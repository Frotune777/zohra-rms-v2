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4.xml.rels" ContentType="application/vnd.openxmlformats-package.relationships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_rels/pivotCacheDefinition2.xml.rels" ContentType="application/vnd.openxmlformats-package.relationships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Transactions" sheetId="1" state="visible" r:id="rId3"/>
    <sheet name="Summary" sheetId="2" state="visible" r:id="rId4"/>
    <sheet name="Daily Photo" sheetId="3" state="visible" r:id="rId5"/>
    <sheet name="Payment" sheetId="4" state="visible" r:id="rId6"/>
    <sheet name="Categories" sheetId="5" state="visible" r:id="rId7"/>
  </sheets>
  <definedNames>
    <definedName function="false" hidden="false" name="Category" vbProcedure="false">#REF!</definedName>
    <definedName function="false" hidden="false" name="Mode" vbProcedure="false">#REF!</definedName>
    <definedName function="false" hidden="true" localSheetId="0" name="Z_0CF507AF_DA2F_4DD2_9077_E2366C3082DB_.wvu.FilterData" vbProcedure="false">'Daily Transactions'!$A$1:$L$5418</definedName>
    <definedName function="false" hidden="true" localSheetId="1" name="Z_AA702FE6_4C48_4101_8BD0_5DE6DFD01AFB_.wvu.FilterData" vbProcedure="false">Summary!$A$3:$M$202</definedName>
    <definedName function="false" hidden="true" localSheetId="1" name="Z_BF40FF53_9B8B_41FE_A13A_E8403791527A_.wvu.FilterData" vbProcedure="false">Summary!$A$3:$M$202</definedName>
  </definedNames>
  <calcPr iterateCount="100" refMode="A1" iterate="false" iterateDelta="0.0001"/>
  <pivotCaches>
    <pivotCache cacheId="1" r:id="rId9"/>
    <pivotCache cacheId="2" r:id="rId10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<sst xmlns="http://schemas.openxmlformats.org/spreadsheetml/2006/main" count="24658" uniqueCount="1085">
  <si>
    <t xml:space="preserve">Date</t>
  </si>
  <si>
    <t xml:space="preserve">Item/Description</t>
  </si>
  <si>
    <t xml:space="preserve">Amount</t>
  </si>
  <si>
    <t xml:space="preserve">Mode</t>
  </si>
  <si>
    <t xml:space="preserve">Remarks/Vendors</t>
  </si>
  <si>
    <t xml:space="preserve">Month</t>
  </si>
  <si>
    <t xml:space="preserve">Paid/Unpaid</t>
  </si>
  <si>
    <t xml:space="preserve">Paid By</t>
  </si>
  <si>
    <t xml:space="preserve">Payment Date</t>
  </si>
  <si>
    <t xml:space="preserve">Category</t>
  </si>
  <si>
    <t xml:space="preserve">ID</t>
  </si>
  <si>
    <t xml:space="preserve">Adv Check</t>
  </si>
  <si>
    <t xml:space="preserve">Electricity</t>
  </si>
  <si>
    <t xml:space="preserve">Bank</t>
  </si>
  <si>
    <t xml:space="preserve">Paid</t>
  </si>
  <si>
    <t xml:space="preserve">Sameer</t>
  </si>
  <si>
    <t xml:space="preserve">Sales</t>
  </si>
  <si>
    <t xml:space="preserve">Wallet</t>
  </si>
  <si>
    <t xml:space="preserve">Unpaid</t>
  </si>
  <si>
    <t xml:space="preserve">Chicken</t>
  </si>
  <si>
    <t xml:space="preserve">Golden</t>
  </si>
  <si>
    <t xml:space="preserve">Cash</t>
  </si>
  <si>
    <t xml:space="preserve">Grocery</t>
  </si>
  <si>
    <t xml:space="preserve">Balaji</t>
  </si>
  <si>
    <t xml:space="preserve">Online Sale</t>
  </si>
  <si>
    <t xml:space="preserve">Dairy</t>
  </si>
  <si>
    <t xml:space="preserve">Adarsh</t>
  </si>
  <si>
    <t xml:space="preserve">Card</t>
  </si>
  <si>
    <t xml:space="preserve">Egg</t>
  </si>
  <si>
    <t xml:space="preserve">Vegetables</t>
  </si>
  <si>
    <t xml:space="preserve">Gatha</t>
  </si>
  <si>
    <t xml:space="preserve">Petrol</t>
  </si>
  <si>
    <t xml:space="preserve">Bakery</t>
  </si>
  <si>
    <t xml:space="preserve">UPI</t>
  </si>
  <si>
    <t xml:space="preserve">Tea</t>
  </si>
  <si>
    <t xml:space="preserve">Stationary</t>
  </si>
  <si>
    <t xml:space="preserve">Electric Work</t>
  </si>
  <si>
    <t xml:space="preserve">Kinners</t>
  </si>
  <si>
    <t xml:space="preserve">Pita Bread</t>
  </si>
  <si>
    <t xml:space="preserve">Newspaper</t>
  </si>
  <si>
    <t xml:space="preserve">Mutton</t>
  </si>
  <si>
    <t xml:space="preserve">Papaya</t>
  </si>
  <si>
    <t xml:space="preserve">Milk</t>
  </si>
  <si>
    <t xml:space="preserve">Maintenance</t>
  </si>
  <si>
    <t xml:space="preserve">Advance</t>
  </si>
  <si>
    <t xml:space="preserve">Bank_Cash</t>
  </si>
  <si>
    <t xml:space="preserve">A1</t>
  </si>
  <si>
    <t xml:space="preserve">Charcoal</t>
  </si>
  <si>
    <t xml:space="preserve">Gyanshweri</t>
  </si>
  <si>
    <t xml:space="preserve">Sealer machine repair</t>
  </si>
  <si>
    <t xml:space="preserve">Gas</t>
  </si>
  <si>
    <t xml:space="preserve">Disposable</t>
  </si>
  <si>
    <t xml:space="preserve">Anand </t>
  </si>
  <si>
    <t xml:space="preserve">Beverages</t>
  </si>
  <si>
    <t xml:space="preserve">Cold Drinks</t>
  </si>
  <si>
    <t xml:space="preserve">Water Bottel</t>
  </si>
  <si>
    <t xml:space="preserve">Restaurant New Inventory</t>
  </si>
  <si>
    <t xml:space="preserve">Mobile Stand</t>
  </si>
  <si>
    <t xml:space="preserve">Disposable payment Umesh sir</t>
  </si>
  <si>
    <t xml:space="preserve">Zomato Pay</t>
  </si>
  <si>
    <t xml:space="preserve">Momos</t>
  </si>
  <si>
    <t xml:space="preserve">Soda</t>
  </si>
  <si>
    <t xml:space="preserve">Soya Chaap </t>
  </si>
  <si>
    <t xml:space="preserve">Civil Work</t>
  </si>
  <si>
    <t xml:space="preserve">Cement</t>
  </si>
  <si>
    <t xml:space="preserve">Mint</t>
  </si>
  <si>
    <t xml:space="preserve">egg</t>
  </si>
  <si>
    <t xml:space="preserve">Police</t>
  </si>
  <si>
    <t xml:space="preserve">Naseem Bhai Salary</t>
  </si>
  <si>
    <t xml:space="preserve">Garbage Vehicle</t>
  </si>
  <si>
    <t xml:space="preserve">Due</t>
  </si>
  <si>
    <t xml:space="preserve">kaju</t>
  </si>
  <si>
    <t xml:space="preserve">Eggs</t>
  </si>
  <si>
    <t xml:space="preserve">cooker city</t>
  </si>
  <si>
    <t xml:space="preserve">Santosh</t>
  </si>
  <si>
    <t xml:space="preserve">Raju</t>
  </si>
  <si>
    <t xml:space="preserve">Hyperpure</t>
  </si>
  <si>
    <t xml:space="preserve">Danish</t>
  </si>
  <si>
    <t xml:space="preserve">Onion</t>
  </si>
  <si>
    <t xml:space="preserve">Mujeeb</t>
  </si>
  <si>
    <t xml:space="preserve">Irfan</t>
  </si>
  <si>
    <t xml:space="preserve">Counter Cash</t>
  </si>
  <si>
    <t xml:space="preserve">Excess UPI Return</t>
  </si>
  <si>
    <t xml:space="preserve">Carrot</t>
  </si>
  <si>
    <t xml:space="preserve">Soya Chaap</t>
  </si>
  <si>
    <t xml:space="preserve">Laxmi Bai Salary</t>
  </si>
  <si>
    <t xml:space="preserve">Vijay</t>
  </si>
  <si>
    <t xml:space="preserve">Mahesh</t>
  </si>
  <si>
    <t xml:space="preserve">Petpooja</t>
  </si>
  <si>
    <t xml:space="preserve">Cash Sale</t>
  </si>
  <si>
    <t xml:space="preserve">Swiggy &amp; Zomato</t>
  </si>
  <si>
    <t xml:space="preserve">Gyaneshwari</t>
  </si>
  <si>
    <t xml:space="preserve">Ashok</t>
  </si>
  <si>
    <t xml:space="preserve">Mulani</t>
  </si>
  <si>
    <t xml:space="preserve">Gaatha</t>
  </si>
  <si>
    <t xml:space="preserve">UPI Sale</t>
  </si>
  <si>
    <t xml:space="preserve">Staff Tea</t>
  </si>
  <si>
    <t xml:space="preserve">A1 Mutton</t>
  </si>
  <si>
    <t xml:space="preserve">Welding</t>
  </si>
  <si>
    <t xml:space="preserve">Lighter</t>
  </si>
  <si>
    <t xml:space="preserve">Kinner</t>
  </si>
  <si>
    <t xml:space="preserve">petpooja</t>
  </si>
  <si>
    <t xml:space="preserve">Internet</t>
  </si>
  <si>
    <t xml:space="preserve">Paya</t>
  </si>
  <si>
    <t xml:space="preserve">staff tea</t>
  </si>
  <si>
    <t xml:space="preserve">milk</t>
  </si>
  <si>
    <t xml:space="preserve">kiner</t>
  </si>
  <si>
    <t xml:space="preserve">Medical</t>
  </si>
  <si>
    <t xml:space="preserve">Banded</t>
  </si>
  <si>
    <t xml:space="preserve">soda</t>
  </si>
  <si>
    <t xml:space="preserve">balaji</t>
  </si>
  <si>
    <t xml:space="preserve">golden chicken</t>
  </si>
  <si>
    <t xml:space="preserve">danish</t>
  </si>
  <si>
    <t xml:space="preserve">adarsh dairy</t>
  </si>
  <si>
    <t xml:space="preserve">anand disposal</t>
  </si>
  <si>
    <t xml:space="preserve">raju</t>
  </si>
  <si>
    <t xml:space="preserve">pita bread</t>
  </si>
  <si>
    <t xml:space="preserve">gatha vegetable</t>
  </si>
  <si>
    <t xml:space="preserve">Cash Shortage</t>
  </si>
  <si>
    <t xml:space="preserve">Today's Cash Shortage</t>
  </si>
  <si>
    <t xml:space="preserve">onion</t>
  </si>
  <si>
    <t xml:space="preserve">kanaya</t>
  </si>
  <si>
    <t xml:space="preserve">kinner</t>
  </si>
  <si>
    <t xml:space="preserve">To Al zohra acc</t>
  </si>
  <si>
    <t xml:space="preserve">gyaneshwari charcoal</t>
  </si>
  <si>
    <t xml:space="preserve">balaji chandan nagar</t>
  </si>
  <si>
    <t xml:space="preserve">dairy</t>
  </si>
  <si>
    <t xml:space="preserve">mulani egg</t>
  </si>
  <si>
    <t xml:space="preserve">ajnomoto</t>
  </si>
  <si>
    <t xml:space="preserve">ayub</t>
  </si>
  <si>
    <t xml:space="preserve">pudina</t>
  </si>
  <si>
    <t xml:space="preserve">pet pooja</t>
  </si>
  <si>
    <t xml:space="preserve">cash shortage</t>
  </si>
  <si>
    <t xml:space="preserve">peri peri masala</t>
  </si>
  <si>
    <t xml:space="preserve">papaya</t>
  </si>
  <si>
    <t xml:space="preserve">balaji chandannagar</t>
  </si>
  <si>
    <t xml:space="preserve">momos</t>
  </si>
  <si>
    <t xml:space="preserve">charcoal</t>
  </si>
  <si>
    <t xml:space="preserve">muttan &amp; paya</t>
  </si>
  <si>
    <t xml:space="preserve">soya chaap</t>
  </si>
  <si>
    <t xml:space="preserve">corn flower</t>
  </si>
  <si>
    <t xml:space="preserve">mayones</t>
  </si>
  <si>
    <t xml:space="preserve">A1 mutton shop</t>
  </si>
  <si>
    <t xml:space="preserve">knife sharpner</t>
  </si>
  <si>
    <t xml:space="preserve">onion 106kg</t>
  </si>
  <si>
    <t xml:space="preserve">news paper</t>
  </si>
  <si>
    <t xml:space="preserve">pepsi</t>
  </si>
  <si>
    <t xml:space="preserve">petrol</t>
  </si>
  <si>
    <t xml:space="preserve">tata water</t>
  </si>
  <si>
    <t xml:space="preserve">Advance amount manager</t>
  </si>
  <si>
    <t xml:space="preserve">vehical service</t>
  </si>
  <si>
    <t xml:space="preserve">sheet</t>
  </si>
  <si>
    <t xml:space="preserve">chicken garbage </t>
  </si>
  <si>
    <t xml:space="preserve">pipe</t>
  </si>
  <si>
    <t xml:space="preserve">tea</t>
  </si>
  <si>
    <t xml:space="preserve">papya</t>
  </si>
  <si>
    <t xml:space="preserve">disposal</t>
  </si>
  <si>
    <t xml:space="preserve">welding</t>
  </si>
  <si>
    <t xml:space="preserve">paint</t>
  </si>
  <si>
    <t xml:space="preserve">marker</t>
  </si>
  <si>
    <t xml:space="preserve">mutton </t>
  </si>
  <si>
    <t xml:space="preserve">tublit 2 pics</t>
  </si>
  <si>
    <t xml:space="preserve">maintance</t>
  </si>
  <si>
    <t xml:space="preserve">nut and boult</t>
  </si>
  <si>
    <t xml:space="preserve">restauranr sheeter grece</t>
  </si>
  <si>
    <t xml:space="preserve">salary danish</t>
  </si>
  <si>
    <t xml:space="preserve">salary suhail</t>
  </si>
  <si>
    <t xml:space="preserve">electricity</t>
  </si>
  <si>
    <t xml:space="preserve">lighter</t>
  </si>
  <si>
    <t xml:space="preserve">bond</t>
  </si>
  <si>
    <t xml:space="preserve">nafees </t>
  </si>
  <si>
    <t xml:space="preserve">Paw (Tava)</t>
  </si>
  <si>
    <t xml:space="preserve">A1 mutton</t>
  </si>
  <si>
    <t xml:space="preserve">bed</t>
  </si>
  <si>
    <t xml:space="preserve">contaner</t>
  </si>
  <si>
    <t xml:space="preserve">tax</t>
  </si>
  <si>
    <t xml:space="preserve">souce botl</t>
  </si>
  <si>
    <t xml:space="preserve">water</t>
  </si>
  <si>
    <t xml:space="preserve">cocunet</t>
  </si>
  <si>
    <t xml:space="preserve">raju tandoor</t>
  </si>
  <si>
    <t xml:space="preserve">tap wall</t>
  </si>
  <si>
    <t xml:space="preserve">bailley bottle</t>
  </si>
  <si>
    <t xml:space="preserve">pery pery masala</t>
  </si>
  <si>
    <t xml:space="preserve">Laute</t>
  </si>
  <si>
    <t xml:space="preserve">Pawar</t>
  </si>
  <si>
    <t xml:space="preserve">Mausi</t>
  </si>
  <si>
    <t xml:space="preserve">Bike Tyre &amp; Tube</t>
  </si>
  <si>
    <t xml:space="preserve">Water Bottle</t>
  </si>
  <si>
    <t xml:space="preserve">Santosh Salary</t>
  </si>
  <si>
    <t xml:space="preserve">upi</t>
  </si>
  <si>
    <t xml:space="preserve">fish</t>
  </si>
  <si>
    <t xml:space="preserve">ayub tava person</t>
  </si>
  <si>
    <t xml:space="preserve">mujib indian helper</t>
  </si>
  <si>
    <t xml:space="preserve">Amplifier repair</t>
  </si>
  <si>
    <t xml:space="preserve">Pudina</t>
  </si>
  <si>
    <t xml:space="preserve">Toothpick</t>
  </si>
  <si>
    <t xml:space="preserve">Alam Bhai</t>
  </si>
  <si>
    <t xml:space="preserve">Water Tanker</t>
  </si>
  <si>
    <t xml:space="preserve">Pita Berad</t>
  </si>
  <si>
    <t xml:space="preserve">Hotel Commision</t>
  </si>
  <si>
    <t xml:space="preserve">Prime Rose</t>
  </si>
  <si>
    <t xml:space="preserve">Water 20 Ltrs</t>
  </si>
  <si>
    <t xml:space="preserve">Plumbing Work</t>
  </si>
  <si>
    <t xml:space="preserve">Extra Upi Return</t>
  </si>
  <si>
    <t xml:space="preserve">Khenya</t>
  </si>
  <si>
    <t xml:space="preserve">Juber </t>
  </si>
  <si>
    <t xml:space="preserve">News Paper</t>
  </si>
  <si>
    <t xml:space="preserve">Jali</t>
  </si>
  <si>
    <t xml:space="preserve">khenya</t>
  </si>
  <si>
    <t xml:space="preserve">Lemon</t>
  </si>
  <si>
    <t xml:space="preserve">Due Payment Recived</t>
  </si>
  <si>
    <t xml:space="preserve">Rajesh</t>
  </si>
  <si>
    <t xml:space="preserve">Ayub Bhai</t>
  </si>
  <si>
    <t xml:space="preserve">Noodles</t>
  </si>
  <si>
    <t xml:space="preserve">Chamber Clean</t>
  </si>
  <si>
    <t xml:space="preserve">Vijay </t>
  </si>
  <si>
    <t xml:space="preserve">a1 </t>
  </si>
  <si>
    <t xml:space="preserve">Swiggy&amp;zomato</t>
  </si>
  <si>
    <t xml:space="preserve">Gyansheweri</t>
  </si>
  <si>
    <t xml:space="preserve">Mulani Eggs</t>
  </si>
  <si>
    <t xml:space="preserve">Megic Bakery</t>
  </si>
  <si>
    <t xml:space="preserve">Mumbai Brisata</t>
  </si>
  <si>
    <t xml:space="preserve">Microwave Oven Repair</t>
  </si>
  <si>
    <t xml:space="preserve">Gyanshewri</t>
  </si>
  <si>
    <t xml:space="preserve">Megic</t>
  </si>
  <si>
    <t xml:space="preserve">Mixer Repair</t>
  </si>
  <si>
    <t xml:space="preserve">Anand</t>
  </si>
  <si>
    <t xml:space="preserve">Donation</t>
  </si>
  <si>
    <t xml:space="preserve">Mela</t>
  </si>
  <si>
    <t xml:space="preserve">a1</t>
  </si>
  <si>
    <t xml:space="preserve">Chiken Waitage</t>
  </si>
  <si>
    <t xml:space="preserve">Shree Bhairavnath</t>
  </si>
  <si>
    <t xml:space="preserve">Naseem</t>
  </si>
  <si>
    <t xml:space="preserve">Kheteshwar Trading</t>
  </si>
  <si>
    <t xml:space="preserve">Delivery</t>
  </si>
  <si>
    <t xml:space="preserve">PetPooja</t>
  </si>
  <si>
    <t xml:space="preserve">Nasim Bhai</t>
  </si>
  <si>
    <t xml:space="preserve">Flex Printing</t>
  </si>
  <si>
    <t xml:space="preserve">Gyanshewari</t>
  </si>
  <si>
    <t xml:space="preserve">Om Enterpriese</t>
  </si>
  <si>
    <t xml:space="preserve">Pita Braed</t>
  </si>
  <si>
    <t xml:space="preserve">Welding </t>
  </si>
  <si>
    <t xml:space="preserve">Dinesh</t>
  </si>
  <si>
    <t xml:space="preserve">Akhil Salary</t>
  </si>
  <si>
    <t xml:space="preserve">Sai Bharat Gas</t>
  </si>
  <si>
    <t xml:space="preserve">Mount</t>
  </si>
  <si>
    <t xml:space="preserve">Zolo Pg </t>
  </si>
  <si>
    <t xml:space="preserve">Pita Bared</t>
  </si>
  <si>
    <t xml:space="preserve">Kaju</t>
  </si>
  <si>
    <t xml:space="preserve">A 1</t>
  </si>
  <si>
    <t xml:space="preserve">Mava</t>
  </si>
  <si>
    <t xml:space="preserve">Milk&amp;Bared</t>
  </si>
  <si>
    <t xml:space="preserve">Mount </t>
  </si>
  <si>
    <t xml:space="preserve">Laxmi Bai</t>
  </si>
  <si>
    <t xml:space="preserve">Bread</t>
  </si>
  <si>
    <t xml:space="preserve">Chapati</t>
  </si>
  <si>
    <t xml:space="preserve">Noddles</t>
  </si>
  <si>
    <t xml:space="preserve">Amplififer Repair</t>
  </si>
  <si>
    <t xml:space="preserve">Staff Edi</t>
  </si>
  <si>
    <t xml:space="preserve">Wire</t>
  </si>
  <si>
    <t xml:space="preserve">Cash Return Extra upi</t>
  </si>
  <si>
    <t xml:space="preserve">Juber</t>
  </si>
  <si>
    <t xml:space="preserve">Shakil</t>
  </si>
  <si>
    <t xml:space="preserve">Sai Bharat</t>
  </si>
  <si>
    <t xml:space="preserve">Braed</t>
  </si>
  <si>
    <t xml:space="preserve">Chipotle Souce</t>
  </si>
  <si>
    <t xml:space="preserve">Aux Cable</t>
  </si>
  <si>
    <t xml:space="preserve">Staff</t>
  </si>
  <si>
    <t xml:space="preserve">Soya Chaap &amp; Paratha</t>
  </si>
  <si>
    <t xml:space="preserve">Baramati</t>
  </si>
  <si>
    <t xml:space="preserve">Salary Patta</t>
  </si>
  <si>
    <t xml:space="preserve">Knife Repair</t>
  </si>
  <si>
    <t xml:space="preserve">Paratha</t>
  </si>
  <si>
    <t xml:space="preserve">Soya Chaap &amp; Sauce</t>
  </si>
  <si>
    <t xml:space="preserve">staff</t>
  </si>
  <si>
    <t xml:space="preserve">Wakil</t>
  </si>
  <si>
    <t xml:space="preserve">Shree Sai</t>
  </si>
  <si>
    <t xml:space="preserve">Mouse,Keybord &amp; Bulb</t>
  </si>
  <si>
    <t xml:space="preserve">Acid</t>
  </si>
  <si>
    <t xml:space="preserve">Hardwear</t>
  </si>
  <si>
    <t xml:space="preserve">Spring For Door</t>
  </si>
  <si>
    <t xml:space="preserve">Door Repair</t>
  </si>
  <si>
    <t xml:space="preserve">Garbage</t>
  </si>
  <si>
    <t xml:space="preserve">soya Chaap &amp; Paratha</t>
  </si>
  <si>
    <t xml:space="preserve">Staff Salary</t>
  </si>
  <si>
    <t xml:space="preserve">Staff </t>
  </si>
  <si>
    <t xml:space="preserve">Junaid</t>
  </si>
  <si>
    <t xml:space="preserve">New Amplifier</t>
  </si>
  <si>
    <t xml:space="preserve">Brisata</t>
  </si>
  <si>
    <t xml:space="preserve">Paneer &amp; Paratha</t>
  </si>
  <si>
    <t xml:space="preserve">Mount Momos</t>
  </si>
  <si>
    <t xml:space="preserve">Butter</t>
  </si>
  <si>
    <t xml:space="preserve">New Speaker</t>
  </si>
  <si>
    <t xml:space="preserve">Onion &amp; Papaya</t>
  </si>
  <si>
    <t xml:space="preserve">hyperpure</t>
  </si>
  <si>
    <t xml:space="preserve">Shakil Sair</t>
  </si>
  <si>
    <t xml:space="preserve">Cornet</t>
  </si>
  <si>
    <t xml:space="preserve">Green Chilli</t>
  </si>
  <si>
    <t xml:space="preserve">Chipotli Sauce</t>
  </si>
  <si>
    <t xml:space="preserve">Satff</t>
  </si>
  <si>
    <t xml:space="preserve">Bike Repair</t>
  </si>
  <si>
    <t xml:space="preserve">Casting Soda</t>
  </si>
  <si>
    <t xml:space="preserve">shree Bhairavnath</t>
  </si>
  <si>
    <t xml:space="preserve">Peri Peri Masala</t>
  </si>
  <si>
    <t xml:space="preserve">Umesh Sir</t>
  </si>
  <si>
    <t xml:space="preserve">Chaat Masala</t>
  </si>
  <si>
    <t xml:space="preserve">Soyachaap &amp; Paratha</t>
  </si>
  <si>
    <t xml:space="preserve">Govt Fine For Shawarama Machine</t>
  </si>
  <si>
    <t xml:space="preserve">Shakil Sir</t>
  </si>
  <si>
    <t xml:space="preserve">Gas Pipe</t>
  </si>
  <si>
    <t xml:space="preserve">All Out</t>
  </si>
  <si>
    <t xml:space="preserve">Knife Repair,Garbage Clean</t>
  </si>
  <si>
    <t xml:space="preserve">Chicken Garbage</t>
  </si>
  <si>
    <t xml:space="preserve">Bike </t>
  </si>
  <si>
    <t xml:space="preserve">Paper Plate</t>
  </si>
  <si>
    <t xml:space="preserve">Paneer</t>
  </si>
  <si>
    <t xml:space="preserve">Ram Kumar</t>
  </si>
  <si>
    <t xml:space="preserve">Mukesh Kumar</t>
  </si>
  <si>
    <t xml:space="preserve">HyperPure</t>
  </si>
  <si>
    <t xml:space="preserve">Mayonises&amp;Peri Peri Masala</t>
  </si>
  <si>
    <t xml:space="preserve">Glen Sir</t>
  </si>
  <si>
    <t xml:space="preserve">Mouse</t>
  </si>
  <si>
    <t xml:space="preserve">Anuj</t>
  </si>
  <si>
    <t xml:space="preserve">Tissuse</t>
  </si>
  <si>
    <t xml:space="preserve">Rain Coat</t>
  </si>
  <si>
    <t xml:space="preserve">Barista</t>
  </si>
  <si>
    <t xml:space="preserve">Gas Bhatti Repair</t>
  </si>
  <si>
    <t xml:space="preserve">Silicon</t>
  </si>
  <si>
    <t xml:space="preserve">Regulater</t>
  </si>
  <si>
    <t xml:space="preserve">Garbage Clean</t>
  </si>
  <si>
    <t xml:space="preserve">Cello Tap</t>
  </si>
  <si>
    <t xml:space="preserve">Thakur</t>
  </si>
  <si>
    <t xml:space="preserve">Umesh sir</t>
  </si>
  <si>
    <t xml:space="preserve">Aux </t>
  </si>
  <si>
    <t xml:space="preserve">Rahman</t>
  </si>
  <si>
    <t xml:space="preserve">Medician</t>
  </si>
  <si>
    <t xml:space="preserve">Talib Bhai</t>
  </si>
  <si>
    <t xml:space="preserve">Papaya &amp; Spring Onion</t>
  </si>
  <si>
    <t xml:space="preserve">Abid Salary</t>
  </si>
  <si>
    <t xml:space="preserve">gyanshewri</t>
  </si>
  <si>
    <t xml:space="preserve">Door Mate </t>
  </si>
  <si>
    <t xml:space="preserve">Porter For Golden Chicken</t>
  </si>
  <si>
    <t xml:space="preserve">Due Payment Talib Bhai</t>
  </si>
  <si>
    <t xml:space="preserve">sameer</t>
  </si>
  <si>
    <t xml:space="preserve">barista &amp; Peri Peri Masala</t>
  </si>
  <si>
    <t xml:space="preserve">Tandoor section repair &amp; metrial</t>
  </si>
  <si>
    <t xml:space="preserve">Cemara &amp; Paint</t>
  </si>
  <si>
    <t xml:space="preserve">Electronic Scale</t>
  </si>
  <si>
    <t xml:space="preserve">Bowl and halogen light</t>
  </si>
  <si>
    <t xml:space="preserve">Charing Cable &amp; Lighter</t>
  </si>
  <si>
    <t xml:space="preserve">Onion &amp; papaya</t>
  </si>
  <si>
    <t xml:space="preserve">Elite Stay</t>
  </si>
  <si>
    <t xml:space="preserve">Shivsai</t>
  </si>
  <si>
    <t xml:space="preserve">Paper Roll For Biling Machine</t>
  </si>
  <si>
    <t xml:space="preserve">Prakash</t>
  </si>
  <si>
    <t xml:space="preserve">Cornet Hotel</t>
  </si>
  <si>
    <t xml:space="preserve">Anna Dosa Wale</t>
  </si>
  <si>
    <t xml:space="preserve">Chopsy</t>
  </si>
  <si>
    <t xml:space="preserve">barista </t>
  </si>
  <si>
    <t xml:space="preserve">Gas Cylinder</t>
  </si>
  <si>
    <t xml:space="preserve">adarsh</t>
  </si>
  <si>
    <t xml:space="preserve">Chipotali Sauce</t>
  </si>
  <si>
    <t xml:space="preserve">Mixer Dhakan</t>
  </si>
  <si>
    <t xml:space="preserve">Vijay Mama</t>
  </si>
  <si>
    <t xml:space="preserve">Danish Ticket</t>
  </si>
  <si>
    <t xml:space="preserve">Mukesh</t>
  </si>
  <si>
    <t xml:space="preserve">Kishan Pan Shop</t>
  </si>
  <si>
    <t xml:space="preserve">paratha &amp; Soya Chaap</t>
  </si>
  <si>
    <t xml:space="preserve">Weldding</t>
  </si>
  <si>
    <t xml:space="preserve">Honey</t>
  </si>
  <si>
    <t xml:space="preserve">Imran</t>
  </si>
  <si>
    <t xml:space="preserve">Prakash Salary</t>
  </si>
  <si>
    <t xml:space="preserve">Ram Kumar Salary</t>
  </si>
  <si>
    <t xml:space="preserve">Banana &amp; Milk</t>
  </si>
  <si>
    <t xml:space="preserve">Bristha</t>
  </si>
  <si>
    <t xml:space="preserve">hardwear</t>
  </si>
  <si>
    <t xml:space="preserve">Oil</t>
  </si>
  <si>
    <t xml:space="preserve">Ibrar</t>
  </si>
  <si>
    <t xml:space="preserve">Oil &amp; Sugar</t>
  </si>
  <si>
    <t xml:space="preserve"> </t>
  </si>
  <si>
    <t xml:space="preserve">Monut</t>
  </si>
  <si>
    <t xml:space="preserve">Files,Notebook</t>
  </si>
  <si>
    <t xml:space="preserve">Cooker Repair</t>
  </si>
  <si>
    <t xml:space="preserve">Ram Kumar </t>
  </si>
  <si>
    <t xml:space="preserve">Qureshi Masala</t>
  </si>
  <si>
    <t xml:space="preserve">Sunflower Oil</t>
  </si>
  <si>
    <t xml:space="preserve">Note Book</t>
  </si>
  <si>
    <t xml:space="preserve">Chanda Ganpati Swaraj mitra Mnadal</t>
  </si>
  <si>
    <t xml:space="preserve">Splendor Service</t>
  </si>
  <si>
    <t xml:space="preserve">Water  1 ltr</t>
  </si>
  <si>
    <t xml:space="preserve">Aditya</t>
  </si>
  <si>
    <t xml:space="preserve">Biryani Sample</t>
  </si>
  <si>
    <t xml:space="preserve">Abid</t>
  </si>
  <si>
    <t xml:space="preserve">Vijay Chamber Cleaning</t>
  </si>
  <si>
    <t xml:space="preserve">Splendor</t>
  </si>
  <si>
    <t xml:space="preserve">Fish</t>
  </si>
  <si>
    <t xml:space="preserve">Vijay Mobile Recharge</t>
  </si>
  <si>
    <t xml:space="preserve">GOlden</t>
  </si>
  <si>
    <t xml:space="preserve">Kedar Vegitable</t>
  </si>
  <si>
    <t xml:space="preserve">Staff tea</t>
  </si>
  <si>
    <t xml:space="preserve">Porter</t>
  </si>
  <si>
    <t xml:space="preserve">Container</t>
  </si>
  <si>
    <t xml:space="preserve">Banana</t>
  </si>
  <si>
    <t xml:space="preserve">Pudhina</t>
  </si>
  <si>
    <t xml:space="preserve">Customer Excess Return</t>
  </si>
  <si>
    <t xml:space="preserve">Akheel</t>
  </si>
  <si>
    <t xml:space="preserve">Sree Bhairavnath</t>
  </si>
  <si>
    <t xml:space="preserve">Pepsi</t>
  </si>
  <si>
    <t xml:space="preserve">20 lts</t>
  </si>
  <si>
    <t xml:space="preserve">Kedar</t>
  </si>
  <si>
    <t xml:space="preserve">Water 1 ltr</t>
  </si>
  <si>
    <t xml:space="preserve">Tomato &amp; Cabbage</t>
  </si>
  <si>
    <t xml:space="preserve">pita Bread</t>
  </si>
  <si>
    <t xml:space="preserve">golden</t>
  </si>
  <si>
    <t xml:space="preserve">jali repair</t>
  </si>
  <si>
    <t xml:space="preserve">Sabji mandi</t>
  </si>
  <si>
    <t xml:space="preserve">kinners</t>
  </si>
  <si>
    <t xml:space="preserve">golden food</t>
  </si>
  <si>
    <t xml:space="preserve">fan repair</t>
  </si>
  <si>
    <t xml:space="preserve">GAS Bhatthi repair</t>
  </si>
  <si>
    <t xml:space="preserve">kinnars</t>
  </si>
  <si>
    <t xml:space="preserve">mutton</t>
  </si>
  <si>
    <t xml:space="preserve">excess cash return</t>
  </si>
  <si>
    <t xml:space="preserve">Umesh Ji</t>
  </si>
  <si>
    <t xml:space="preserve">chopsi</t>
  </si>
  <si>
    <t xml:space="preserve">Splendor Washing</t>
  </si>
  <si>
    <t xml:space="preserve">sahi tukda bread</t>
  </si>
  <si>
    <t xml:space="preserve">Biryani continor</t>
  </si>
  <si>
    <t xml:space="preserve">shivdatt dairy</t>
  </si>
  <si>
    <t xml:space="preserve">Badam </t>
  </si>
  <si>
    <t xml:space="preserve">Bandage</t>
  </si>
  <si>
    <t xml:space="preserve">est and soda</t>
  </si>
  <si>
    <t xml:space="preserve">rosan </t>
  </si>
  <si>
    <t xml:space="preserve">Caremal Pudding</t>
  </si>
  <si>
    <t xml:space="preserve">Mashroom &amp; Dahi</t>
  </si>
  <si>
    <t xml:space="preserve">Moto</t>
  </si>
  <si>
    <t xml:space="preserve">Exhaust Fan</t>
  </si>
  <si>
    <t xml:space="preserve">Waterbottle</t>
  </si>
  <si>
    <t xml:space="preserve">Nirma</t>
  </si>
  <si>
    <t xml:space="preserve">Bhaji mandi</t>
  </si>
  <si>
    <t xml:space="preserve">Shortage</t>
  </si>
  <si>
    <t xml:space="preserve">Tap</t>
  </si>
  <si>
    <t xml:space="preserve">Chicken Kachra</t>
  </si>
  <si>
    <t xml:space="preserve">Pipe</t>
  </si>
  <si>
    <t xml:space="preserve">Peri peri masala and cornflower</t>
  </si>
  <si>
    <t xml:space="preserve">Drainage</t>
  </si>
  <si>
    <t xml:space="preserve">Sadai waris</t>
  </si>
  <si>
    <t xml:space="preserve">Nasim </t>
  </si>
  <si>
    <t xml:space="preserve">Tanker</t>
  </si>
  <si>
    <t xml:space="preserve">Petpooja Renual</t>
  </si>
  <si>
    <t xml:space="preserve">Pitabread</t>
  </si>
  <si>
    <t xml:space="preserve">Irman</t>
  </si>
  <si>
    <t xml:space="preserve">Hotel Sajid</t>
  </si>
  <si>
    <t xml:space="preserve">Kinnars</t>
  </si>
  <si>
    <t xml:space="preserve">Cornflower</t>
  </si>
  <si>
    <t xml:space="preserve">kebab masala</t>
  </si>
  <si>
    <t xml:space="preserve">Chaddar and takiya</t>
  </si>
  <si>
    <t xml:space="preserve">Laitter</t>
  </si>
  <si>
    <t xml:space="preserve">Softdrink</t>
  </si>
  <si>
    <t xml:space="preserve">Mutton and keema</t>
  </si>
  <si>
    <t xml:space="preserve">Taar ghasni</t>
  </si>
  <si>
    <t xml:space="preserve">Customer Return </t>
  </si>
  <si>
    <t xml:space="preserve">mandi</t>
  </si>
  <si>
    <t xml:space="preserve">Tomato</t>
  </si>
  <si>
    <t xml:space="preserve">Vegitable</t>
  </si>
  <si>
    <t xml:space="preserve">Mulani </t>
  </si>
  <si>
    <t xml:space="preserve">Paratha </t>
  </si>
  <si>
    <t xml:space="preserve">Sajid</t>
  </si>
  <si>
    <t xml:space="preserve">mint</t>
  </si>
  <si>
    <t xml:space="preserve">perpooja</t>
  </si>
  <si>
    <t xml:space="preserve">A1Mutton</t>
  </si>
  <si>
    <t xml:space="preserve">175</t>
  </si>
  <si>
    <t xml:space="preserve">Board reparing</t>
  </si>
  <si>
    <t xml:space="preserve">Golden food</t>
  </si>
  <si>
    <t xml:space="preserve">Tata water</t>
  </si>
  <si>
    <t xml:space="preserve">Broobs</t>
  </si>
  <si>
    <t xml:space="preserve">Maintance</t>
  </si>
  <si>
    <t xml:space="preserve">Surf</t>
  </si>
  <si>
    <t xml:space="preserve">Vegetable</t>
  </si>
  <si>
    <t xml:space="preserve">Noodle</t>
  </si>
  <si>
    <t xml:space="preserve">Cement and morang</t>
  </si>
  <si>
    <t xml:space="preserve">Agarbatti </t>
  </si>
  <si>
    <t xml:space="preserve">Chembar cliene</t>
  </si>
  <si>
    <t xml:space="preserve">Imraan</t>
  </si>
  <si>
    <t xml:space="preserve">gyaneswari</t>
  </si>
  <si>
    <t xml:space="preserve">Handi </t>
  </si>
  <si>
    <t xml:space="preserve">Anand disposal</t>
  </si>
  <si>
    <t xml:space="preserve">Hardwere</t>
  </si>
  <si>
    <t xml:space="preserve">Tomatto</t>
  </si>
  <si>
    <t xml:space="preserve">Petrol </t>
  </si>
  <si>
    <t xml:space="preserve">Bhaironath</t>
  </si>
  <si>
    <t xml:space="preserve">brooms</t>
  </si>
  <si>
    <t xml:space="preserve">News papaer</t>
  </si>
  <si>
    <t xml:space="preserve">Soya chap and paratha</t>
  </si>
  <si>
    <t xml:space="preserve">Lightbill</t>
  </si>
  <si>
    <t xml:space="preserve">muttun charbi</t>
  </si>
  <si>
    <t xml:space="preserve">Biscuits</t>
  </si>
  <si>
    <t xml:space="preserve">Ibrar Advance</t>
  </si>
  <si>
    <t xml:space="preserve">Tata water Bottle</t>
  </si>
  <si>
    <t xml:space="preserve">Rocde</t>
  </si>
  <si>
    <t xml:space="preserve">Bike petrol</t>
  </si>
  <si>
    <t xml:space="preserve">Ghisni and piller</t>
  </si>
  <si>
    <t xml:space="preserve">pen</t>
  </si>
  <si>
    <t xml:space="preserve">A1mutton</t>
  </si>
  <si>
    <t xml:space="preserve">Nootebool</t>
  </si>
  <si>
    <t xml:space="preserve">Kachra bag</t>
  </si>
  <si>
    <t xml:space="preserve">Elite hotel</t>
  </si>
  <si>
    <t xml:space="preserve">Peri peri masala</t>
  </si>
  <si>
    <t xml:space="preserve">Drainage Maintance</t>
  </si>
  <si>
    <t xml:space="preserve">Butterdosa</t>
  </si>
  <si>
    <t xml:space="preserve">medicine</t>
  </si>
  <si>
    <t xml:space="preserve">Abid cliener</t>
  </si>
  <si>
    <t xml:space="preserve">Mixer repair</t>
  </si>
  <si>
    <t xml:space="preserve">Saday waris</t>
  </si>
  <si>
    <t xml:space="preserve">Nasim advance</t>
  </si>
  <si>
    <t xml:space="preserve">Counter exes</t>
  </si>
  <si>
    <t xml:space="preserve">Gas Barnal repair</t>
  </si>
  <si>
    <t xml:space="preserve">Chap</t>
  </si>
  <si>
    <t xml:space="preserve">Chakudhar</t>
  </si>
  <si>
    <t xml:space="preserve">Wakeel</t>
  </si>
  <si>
    <t xml:space="preserve">Water tanker</t>
  </si>
  <si>
    <t xml:space="preserve">Handwash and carribag</t>
  </si>
  <si>
    <t xml:space="preserve">Barnal repair</t>
  </si>
  <si>
    <t xml:space="preserve">maintence</t>
  </si>
  <si>
    <t xml:space="preserve">Auto rent</t>
  </si>
  <si>
    <t xml:space="preserve">Plumbing</t>
  </si>
  <si>
    <t xml:space="preserve">Huk </t>
  </si>
  <si>
    <t xml:space="preserve">Salt</t>
  </si>
  <si>
    <t xml:space="preserve">sai Bharat</t>
  </si>
  <si>
    <t xml:space="preserve">newspaper</t>
  </si>
  <si>
    <t xml:space="preserve">washcleiner</t>
  </si>
  <si>
    <t xml:space="preserve">Papad seo </t>
  </si>
  <si>
    <t xml:space="preserve">Mulani egg</t>
  </si>
  <si>
    <t xml:space="preserve">Kukar</t>
  </si>
  <si>
    <t xml:space="preserve">jali keema machine</t>
  </si>
  <si>
    <t xml:space="preserve">Shawrma machine jali</t>
  </si>
  <si>
    <t xml:space="preserve">carrybag</t>
  </si>
  <si>
    <t xml:space="preserve">Grendar machine</t>
  </si>
  <si>
    <t xml:space="preserve">Treaklight</t>
  </si>
  <si>
    <t xml:space="preserve">Umeshji</t>
  </si>
  <si>
    <t xml:space="preserve">Staff expences</t>
  </si>
  <si>
    <t xml:space="preserve">Tata water bottle</t>
  </si>
  <si>
    <t xml:space="preserve">Nasim bhai</t>
  </si>
  <si>
    <t xml:space="preserve">french fries</t>
  </si>
  <si>
    <t xml:space="preserve">Meat Masala</t>
  </si>
  <si>
    <t xml:space="preserve">staff expences</t>
  </si>
  <si>
    <t xml:space="preserve">Tandoori Chicken</t>
  </si>
  <si>
    <t xml:space="preserve">Kolam Rice</t>
  </si>
  <si>
    <t xml:space="preserve">Cerry Beg</t>
  </si>
  <si>
    <t xml:space="preserve">Umeshji fine</t>
  </si>
  <si>
    <t xml:space="preserve">Aunty</t>
  </si>
  <si>
    <t xml:space="preserve">Wada Maker</t>
  </si>
  <si>
    <t xml:space="preserve">Umesh ji</t>
  </si>
  <si>
    <t xml:space="preserve">umesh ji</t>
  </si>
  <si>
    <t xml:space="preserve">For Aunty</t>
  </si>
  <si>
    <t xml:space="preserve">Recharge</t>
  </si>
  <si>
    <t xml:space="preserve">Hotel Rent</t>
  </si>
  <si>
    <t xml:space="preserve">Soyachap paratha</t>
  </si>
  <si>
    <t xml:space="preserve">Lassi</t>
  </si>
  <si>
    <t xml:space="preserve">Hotel rent</t>
  </si>
  <si>
    <t xml:space="preserve">Oven</t>
  </si>
  <si>
    <t xml:space="preserve">Boneless Chicken</t>
  </si>
  <si>
    <t xml:space="preserve">hardwere</t>
  </si>
  <si>
    <t xml:space="preserve">rent auto</t>
  </si>
  <si>
    <t xml:space="preserve">Watertanker</t>
  </si>
  <si>
    <t xml:space="preserve">03/10/0225</t>
  </si>
  <si>
    <t xml:space="preserve">Flex</t>
  </si>
  <si>
    <t xml:space="preserve">Idli Container</t>
  </si>
  <si>
    <t xml:space="preserve">Rabdi</t>
  </si>
  <si>
    <t xml:space="preserve">Paint</t>
  </si>
  <si>
    <t xml:space="preserve">Chef Cap</t>
  </si>
  <si>
    <t xml:space="preserve">medician for aunty</t>
  </si>
  <si>
    <t xml:space="preserve">Musatafa</t>
  </si>
  <si>
    <t xml:space="preserve">Laxmi Salary</t>
  </si>
  <si>
    <t xml:space="preserve">Sajid Noori</t>
  </si>
  <si>
    <t xml:space="preserve">Elite stay &amp; Shivsai</t>
  </si>
  <si>
    <t xml:space="preserve">Akhil</t>
  </si>
  <si>
    <t xml:space="preserve">peri peri masala &amp; Dal Chini</t>
  </si>
  <si>
    <t xml:space="preserve">Singdana</t>
  </si>
  <si>
    <t xml:space="preserve">Anar</t>
  </si>
  <si>
    <t xml:space="preserve">Bhaji Mandi</t>
  </si>
  <si>
    <t xml:space="preserve">French Fries</t>
  </si>
  <si>
    <t xml:space="preserve">Cornet </t>
  </si>
  <si>
    <t xml:space="preserve">Milk &amp; Bread</t>
  </si>
  <si>
    <t xml:space="preserve">Dry Fruits</t>
  </si>
  <si>
    <t xml:space="preserve">Hit</t>
  </si>
  <si>
    <t xml:space="preserve">Desi Chicken</t>
  </si>
  <si>
    <t xml:space="preserve">Staff Incentive</t>
  </si>
  <si>
    <t xml:space="preserve">Carry Beg</t>
  </si>
  <si>
    <t xml:space="preserve">Mop Rifil &amp; Cling Wrap</t>
  </si>
  <si>
    <t xml:space="preserve">Methi &amp; Sev</t>
  </si>
  <si>
    <t xml:space="preserve">Ayaz</t>
  </si>
  <si>
    <t xml:space="preserve">Paint &amp; Diya</t>
  </si>
  <si>
    <t xml:space="preserve">Room Adv</t>
  </si>
  <si>
    <t xml:space="preserve">Khata Jali</t>
  </si>
  <si>
    <t xml:space="preserve">Blanket </t>
  </si>
  <si>
    <t xml:space="preserve">Pen</t>
  </si>
  <si>
    <t xml:space="preserve">M seal</t>
  </si>
  <si>
    <t xml:space="preserve">Lock</t>
  </si>
  <si>
    <t xml:space="preserve">Takiya</t>
  </si>
  <si>
    <t xml:space="preserve">takiya</t>
  </si>
  <si>
    <t xml:space="preserve">Upi</t>
  </si>
  <si>
    <t xml:space="preserve">Coffee</t>
  </si>
  <si>
    <t xml:space="preserve">Mayonise &amp; Chipotle</t>
  </si>
  <si>
    <t xml:space="preserve">Gyneshwari</t>
  </si>
  <si>
    <t xml:space="preserve">Nonstickpen</t>
  </si>
  <si>
    <t xml:space="preserve">Room Advance</t>
  </si>
  <si>
    <t xml:space="preserve">Bike</t>
  </si>
  <si>
    <t xml:space="preserve">Kachra Rockde</t>
  </si>
  <si>
    <t xml:space="preserve">Cap</t>
  </si>
  <si>
    <t xml:space="preserve">Bulb</t>
  </si>
  <si>
    <t xml:space="preserve">Manohar advance</t>
  </si>
  <si>
    <t xml:space="preserve"> Petpooja</t>
  </si>
  <si>
    <t xml:space="preserve">Rockde Bonus</t>
  </si>
  <si>
    <t xml:space="preserve">Seeller machine repair</t>
  </si>
  <si>
    <t xml:space="preserve">Ancle Breakfast</t>
  </si>
  <si>
    <t xml:space="preserve">mILK</t>
  </si>
  <si>
    <t xml:space="preserve">Sandeep</t>
  </si>
  <si>
    <t xml:space="preserve">Seafood</t>
  </si>
  <si>
    <t xml:space="preserve">tomato</t>
  </si>
  <si>
    <t xml:space="preserve">Begger</t>
  </si>
  <si>
    <t xml:space="preserve">continor</t>
  </si>
  <si>
    <t xml:space="preserve">Ancle Breacfast</t>
  </si>
  <si>
    <t xml:space="preserve">palak</t>
  </si>
  <si>
    <t xml:space="preserve">Abrar Advance</t>
  </si>
  <si>
    <t xml:space="preserve">Nasim</t>
  </si>
  <si>
    <t xml:space="preserve">Pana</t>
  </si>
  <si>
    <t xml:space="preserve">Seat</t>
  </si>
  <si>
    <t xml:space="preserve">Advance sandeeop</t>
  </si>
  <si>
    <t xml:space="preserve">Cash Return to Cx</t>
  </si>
  <si>
    <t xml:space="preserve">Return customer</t>
  </si>
  <si>
    <t xml:space="preserve">Anand  </t>
  </si>
  <si>
    <t xml:space="preserve">kInnar</t>
  </si>
  <si>
    <t xml:space="preserve">Brishta</t>
  </si>
  <si>
    <t xml:space="preserve">Water bottle</t>
  </si>
  <si>
    <t xml:space="preserve">Kinnar</t>
  </si>
  <si>
    <t xml:space="preserve">Plate</t>
  </si>
  <si>
    <t xml:space="preserve">Sariya</t>
  </si>
  <si>
    <t xml:space="preserve">Maintence</t>
  </si>
  <si>
    <t xml:space="preserve">Rubber</t>
  </si>
  <si>
    <t xml:space="preserve">Soya chap</t>
  </si>
  <si>
    <t xml:space="preserve">EGG</t>
  </si>
  <si>
    <t xml:space="preserve">Pen marker</t>
  </si>
  <si>
    <t xml:space="preserve">blead</t>
  </si>
  <si>
    <t xml:space="preserve">TEA</t>
  </si>
  <si>
    <t xml:space="preserve">Kachra gadi</t>
  </si>
  <si>
    <t xml:space="preserve">Staff Gadi</t>
  </si>
  <si>
    <t xml:space="preserve">Chembar cliener</t>
  </si>
  <si>
    <t xml:space="preserve">Corn</t>
  </si>
  <si>
    <t xml:space="preserve">Luxmi By</t>
  </si>
  <si>
    <t xml:space="preserve">Coppy and sweet</t>
  </si>
  <si>
    <t xml:space="preserve">Medicine </t>
  </si>
  <si>
    <t xml:space="preserve">Anand disposle</t>
  </si>
  <si>
    <t xml:space="preserve">laitter and papaya</t>
  </si>
  <si>
    <t xml:space="preserve">Mutton and paya</t>
  </si>
  <si>
    <t xml:space="preserve">Abid cleiner</t>
  </si>
  <si>
    <t xml:space="preserve">Toothpic</t>
  </si>
  <si>
    <t xml:space="preserve">BiKe repair</t>
  </si>
  <si>
    <t xml:space="preserve">Raju advance</t>
  </si>
  <si>
    <t xml:space="preserve">Chap </t>
  </si>
  <si>
    <t xml:space="preserve">A1 mutton </t>
  </si>
  <si>
    <t xml:space="preserve">tanki repair</t>
  </si>
  <si>
    <t xml:space="preserve">kinnar</t>
  </si>
  <si>
    <t xml:space="preserve">Cortun</t>
  </si>
  <si>
    <t xml:space="preserve">Cheeler</t>
  </si>
  <si>
    <t xml:space="preserve">Spoon</t>
  </si>
  <si>
    <t xml:space="preserve">Mandi</t>
  </si>
  <si>
    <t xml:space="preserve">Rassi </t>
  </si>
  <si>
    <t xml:space="preserve">Marker pen</t>
  </si>
  <si>
    <t xml:space="preserve">Khad </t>
  </si>
  <si>
    <t xml:space="preserve">Plate and spoon</t>
  </si>
  <si>
    <t xml:space="preserve">Cap staff</t>
  </si>
  <si>
    <t xml:space="preserve">KInnar</t>
  </si>
  <si>
    <t xml:space="preserve">Danish advance</t>
  </si>
  <si>
    <t xml:space="preserve">Autorent</t>
  </si>
  <si>
    <t xml:space="preserve">Break fast </t>
  </si>
  <si>
    <t xml:space="preserve">Momos </t>
  </si>
  <si>
    <t xml:space="preserve">Petrol shakil sir</t>
  </si>
  <si>
    <t xml:space="preserve">MInt</t>
  </si>
  <si>
    <t xml:space="preserve">Gass repair</t>
  </si>
  <si>
    <t xml:space="preserve">11-2025</t>
  </si>
  <si>
    <t xml:space="preserve">Continor</t>
  </si>
  <si>
    <t xml:space="preserve">dosa</t>
  </si>
  <si>
    <t xml:space="preserve">mulani </t>
  </si>
  <si>
    <t xml:space="preserve">Mennue</t>
  </si>
  <si>
    <t xml:space="preserve">Chicken </t>
  </si>
  <si>
    <t xml:space="preserve">Gadi</t>
  </si>
  <si>
    <t xml:space="preserve">te</t>
  </si>
  <si>
    <t xml:space="preserve">Book</t>
  </si>
  <si>
    <t xml:space="preserve">Ancle Naasta</t>
  </si>
  <si>
    <t xml:space="preserve">Dinesh Advance </t>
  </si>
  <si>
    <t xml:space="preserve">Mesurement tap</t>
  </si>
  <si>
    <t xml:space="preserve">Sirup</t>
  </si>
  <si>
    <t xml:space="preserve">Paobhaji</t>
  </si>
  <si>
    <t xml:space="preserve">Nashta</t>
  </si>
  <si>
    <t xml:space="preserve">Singdi stand </t>
  </si>
  <si>
    <t xml:space="preserve">Break fast  and lunch</t>
  </si>
  <si>
    <t xml:space="preserve">Rockde </t>
  </si>
  <si>
    <t xml:space="preserve">Coffee ancle</t>
  </si>
  <si>
    <t xml:space="preserve">Ancle medicine</t>
  </si>
  <si>
    <t xml:space="preserve">Internet </t>
  </si>
  <si>
    <t xml:space="preserve">Bike naintence</t>
  </si>
  <si>
    <t xml:space="preserve">Ancle lunch</t>
  </si>
  <si>
    <t xml:space="preserve">MIlk</t>
  </si>
  <si>
    <t xml:space="preserve">Ancle nasta</t>
  </si>
  <si>
    <t xml:space="preserve">23/11/0205</t>
  </si>
  <si>
    <t xml:space="preserve">mops</t>
  </si>
  <si>
    <t xml:space="preserve">mulani</t>
  </si>
  <si>
    <t xml:space="preserve">frenchfries</t>
  </si>
  <si>
    <t xml:space="preserve">Baket</t>
  </si>
  <si>
    <t xml:space="preserve">Envater</t>
  </si>
  <si>
    <t xml:space="preserve">Anclemasta</t>
  </si>
  <si>
    <t xml:space="preserve">Brush</t>
  </si>
  <si>
    <t xml:space="preserve">lightbill</t>
  </si>
  <si>
    <t xml:space="preserve">Kurkure</t>
  </si>
  <si>
    <t xml:space="preserve">Anclenasta</t>
  </si>
  <si>
    <t xml:space="preserve">65</t>
  </si>
  <si>
    <t xml:space="preserve">Contonor</t>
  </si>
  <si>
    <t xml:space="preserve">pepooja</t>
  </si>
  <si>
    <t xml:space="preserve">brista</t>
  </si>
  <si>
    <t xml:space="preserve">Belan </t>
  </si>
  <si>
    <t xml:space="preserve">Notebook</t>
  </si>
  <si>
    <t xml:space="preserve">Butterpapaer</t>
  </si>
  <si>
    <t xml:space="preserve">Total Sale</t>
  </si>
  <si>
    <t xml:space="preserve">Total Expense</t>
  </si>
  <si>
    <t xml:space="preserve">Cash Expense</t>
  </si>
  <si>
    <t xml:space="preserve">Bank_Cash_Expenses</t>
  </si>
  <si>
    <t xml:space="preserve">Bank_Expenses</t>
  </si>
  <si>
    <t xml:space="preserve">Gross </t>
  </si>
  <si>
    <t xml:space="preserve">Opening Cash</t>
  </si>
  <si>
    <t xml:space="preserve">Cash Sales</t>
  </si>
  <si>
    <t xml:space="preserve">Remaining Cash (Bank_Cash)</t>
  </si>
  <si>
    <t xml:space="preserve">Bank Cash To Give</t>
  </si>
  <si>
    <t xml:space="preserve">Cash in Counter </t>
  </si>
  <si>
    <t xml:space="preserve">To Bank Cash</t>
  </si>
  <si>
    <t xml:space="preserve">Exes </t>
  </si>
  <si>
    <t xml:space="preserve">Expenses</t>
  </si>
  <si>
    <t xml:space="preserve">SUM of Amount</t>
  </si>
  <si>
    <t xml:space="preserve">f</t>
  </si>
  <si>
    <t xml:space="preserve">(empty)</t>
  </si>
  <si>
    <t xml:space="preserve">Total Result</t>
  </si>
  <si>
    <t xml:space="preserve">22/01/2025 Result</t>
  </si>
  <si>
    <t xml:space="preserve">23/01/2025 Result</t>
  </si>
  <si>
    <t xml:space="preserve">24/01/2025 Result</t>
  </si>
  <si>
    <t xml:space="preserve">                                                                                                                                                                                            </t>
  </si>
  <si>
    <t xml:space="preserve">25/01/2025 Result</t>
  </si>
  <si>
    <t xml:space="preserve">26/01/2025 Result</t>
  </si>
  <si>
    <t xml:space="preserve">27/01/2025 Result</t>
  </si>
  <si>
    <t xml:space="preserve">28/01/2025 Result</t>
  </si>
  <si>
    <t xml:space="preserve">29/01/2025 Result</t>
  </si>
  <si>
    <t xml:space="preserve">30/01/2025 Result</t>
  </si>
  <si>
    <t xml:space="preserve">31/01/2025 Result</t>
  </si>
  <si>
    <t xml:space="preserve">01/02/2025 Result</t>
  </si>
  <si>
    <t xml:space="preserve">02/02/2025 Result</t>
  </si>
  <si>
    <t xml:space="preserve">03/02/2025 Result</t>
  </si>
  <si>
    <t xml:space="preserve">04/02/2025 Result</t>
  </si>
  <si>
    <t xml:space="preserve">05/02/2025 Result</t>
  </si>
  <si>
    <t xml:space="preserve">06/02/2025 Result</t>
  </si>
  <si>
    <t xml:space="preserve">07/02/2025 Result</t>
  </si>
  <si>
    <t xml:space="preserve">08/02/2025 Result</t>
  </si>
  <si>
    <t xml:space="preserve">09/02/2025 Result</t>
  </si>
  <si>
    <t xml:space="preserve">10/02/2025 Result</t>
  </si>
  <si>
    <t xml:space="preserve">11/02/2025 Result</t>
  </si>
  <si>
    <t xml:space="preserve">12/02/2025 Result</t>
  </si>
  <si>
    <t xml:space="preserve">13/02/2025 Result</t>
  </si>
  <si>
    <t xml:space="preserve">14/02/2025 Result</t>
  </si>
  <si>
    <t xml:space="preserve">15/02/2025 Result</t>
  </si>
  <si>
    <t xml:space="preserve">16/02/2025 Result</t>
  </si>
  <si>
    <t xml:space="preserve">17/02/2025 Result</t>
  </si>
  <si>
    <t xml:space="preserve">18/02/2025 Result</t>
  </si>
  <si>
    <t xml:space="preserve">19/02/2025 Result</t>
  </si>
  <si>
    <t xml:space="preserve">20/02/2025 Result</t>
  </si>
  <si>
    <t xml:space="preserve">21/02/2025 Result</t>
  </si>
  <si>
    <t xml:space="preserve">22/02/2025 Result</t>
  </si>
  <si>
    <t xml:space="preserve">23/02/2025 Result</t>
  </si>
  <si>
    <t xml:space="preserve">24/02/2025 Result</t>
  </si>
  <si>
    <t xml:space="preserve">25/02/2025 Result</t>
  </si>
  <si>
    <t xml:space="preserve">27/02/2025 Result</t>
  </si>
  <si>
    <t xml:space="preserve">28/02/2025 Result</t>
  </si>
  <si>
    <t xml:space="preserve">01/03/2025 Result</t>
  </si>
  <si>
    <t xml:space="preserve">02/03/2025 Result</t>
  </si>
  <si>
    <t xml:space="preserve">03/03/2025 Result</t>
  </si>
  <si>
    <t xml:space="preserve">04/03/2025 Result</t>
  </si>
  <si>
    <t xml:space="preserve">05/03/2025 Result</t>
  </si>
  <si>
    <t xml:space="preserve">06/03/2025 Result</t>
  </si>
  <si>
    <t xml:space="preserve">07/03/2025 Result</t>
  </si>
  <si>
    <t xml:space="preserve">08/03/2025 Result</t>
  </si>
  <si>
    <t xml:space="preserve">09/03/2025 Result</t>
  </si>
  <si>
    <t xml:space="preserve">10/03/2025 Result</t>
  </si>
  <si>
    <t xml:space="preserve">11/03/2025 Result</t>
  </si>
  <si>
    <t xml:space="preserve">12/03/2025 Result</t>
  </si>
  <si>
    <t xml:space="preserve">13/03/2025 Result</t>
  </si>
  <si>
    <t xml:space="preserve">14/03/2025 Result</t>
  </si>
  <si>
    <t xml:space="preserve">15/03/2025 Result</t>
  </si>
  <si>
    <t xml:space="preserve">16/03/2025 Result</t>
  </si>
  <si>
    <t xml:space="preserve">17/03/2025 Result</t>
  </si>
  <si>
    <t xml:space="preserve">18/03/2025 Result</t>
  </si>
  <si>
    <t xml:space="preserve">19/03/2025 Result</t>
  </si>
  <si>
    <t xml:space="preserve">20/03/2025 Result</t>
  </si>
  <si>
    <t xml:space="preserve">21/03/2025 Result</t>
  </si>
  <si>
    <t xml:space="preserve">22/03/2025 Result</t>
  </si>
  <si>
    <t xml:space="preserve">23/03/2025 Result</t>
  </si>
  <si>
    <t xml:space="preserve">24/03/2025 Result</t>
  </si>
  <si>
    <t xml:space="preserve">25/03/2025 Result</t>
  </si>
  <si>
    <t xml:space="preserve">26/03/2025 Result</t>
  </si>
  <si>
    <t xml:space="preserve">27/03/2025 Result</t>
  </si>
  <si>
    <t xml:space="preserve">28/03/2025 Result</t>
  </si>
  <si>
    <t xml:space="preserve">29/03/2025 Result</t>
  </si>
  <si>
    <t xml:space="preserve">30/03/2025 Result</t>
  </si>
  <si>
    <t xml:space="preserve">31/03/2025 Result</t>
  </si>
  <si>
    <t xml:space="preserve">01/04/2025 Result</t>
  </si>
  <si>
    <t xml:space="preserve">02/04/2025 Result</t>
  </si>
  <si>
    <t xml:space="preserve">03/04/2025 Result</t>
  </si>
  <si>
    <t xml:space="preserve">04/04/2025 Result</t>
  </si>
  <si>
    <t xml:space="preserve">05/04/2025 Result</t>
  </si>
  <si>
    <t xml:space="preserve">06/04/2025 Result</t>
  </si>
  <si>
    <t xml:space="preserve">07/04/2025 Result</t>
  </si>
  <si>
    <t xml:space="preserve">08/04/2025 Result</t>
  </si>
  <si>
    <t xml:space="preserve">09/04/2025 Result</t>
  </si>
  <si>
    <t xml:space="preserve">10/04/2025 Result</t>
  </si>
  <si>
    <t xml:space="preserve">11/04/2025 Result</t>
  </si>
  <si>
    <t xml:space="preserve">12/04/2025 Result</t>
  </si>
  <si>
    <t xml:space="preserve">13/04/2025 Result</t>
  </si>
  <si>
    <t xml:space="preserve">14/04/2025 Result</t>
  </si>
  <si>
    <t xml:space="preserve">15/04/2025 Result</t>
  </si>
  <si>
    <t xml:space="preserve">16/04/2025 Result</t>
  </si>
  <si>
    <t xml:space="preserve">17/04/2025 Result</t>
  </si>
  <si>
    <t xml:space="preserve">18/04/2025 Result</t>
  </si>
  <si>
    <t xml:space="preserve">19/04/2025 Result</t>
  </si>
  <si>
    <t xml:space="preserve">20/04/2025 Result</t>
  </si>
  <si>
    <t xml:space="preserve">21/04/2025 Result</t>
  </si>
  <si>
    <t xml:space="preserve">22/04/2025 Result</t>
  </si>
  <si>
    <t xml:space="preserve">23/04/2025 Result</t>
  </si>
  <si>
    <t xml:space="preserve">24/04/2025 Result</t>
  </si>
  <si>
    <t xml:space="preserve">25/04/2025 Result</t>
  </si>
  <si>
    <t xml:space="preserve">26/04/2025 Result</t>
  </si>
  <si>
    <t xml:space="preserve">27/04/2025 Result</t>
  </si>
  <si>
    <t xml:space="preserve">28/04/2025 Result</t>
  </si>
  <si>
    <t xml:space="preserve">29/04/2025 Result</t>
  </si>
  <si>
    <t xml:space="preserve">30/04/2025 Result</t>
  </si>
  <si>
    <t xml:space="preserve">01/05/2025 Result</t>
  </si>
  <si>
    <t xml:space="preserve">02/05/2025 Result</t>
  </si>
  <si>
    <t xml:space="preserve">03/05/2025 Result</t>
  </si>
  <si>
    <t xml:space="preserve">04/05/2025 Result</t>
  </si>
  <si>
    <t xml:space="preserve">05/05/2025 Result</t>
  </si>
  <si>
    <t xml:space="preserve">06/05/2025 Result</t>
  </si>
  <si>
    <t xml:space="preserve">07/05/2025 Result</t>
  </si>
  <si>
    <t xml:space="preserve">08/05/2025 Result</t>
  </si>
  <si>
    <t xml:space="preserve">09/05/2025 Result</t>
  </si>
  <si>
    <t xml:space="preserve">10/05/2025 Result</t>
  </si>
  <si>
    <t xml:space="preserve">11/05/2025 Result</t>
  </si>
  <si>
    <t xml:space="preserve">12/05/2025 Result</t>
  </si>
  <si>
    <t xml:space="preserve">13/05/2025 Result</t>
  </si>
  <si>
    <t xml:space="preserve">14/05/2025 Result</t>
  </si>
  <si>
    <t xml:space="preserve">15/05/2025 Result</t>
  </si>
  <si>
    <t xml:space="preserve">16/05/2025 Result</t>
  </si>
  <si>
    <t xml:space="preserve">17/05/2025 Result</t>
  </si>
  <si>
    <t xml:space="preserve">18/05/2025 Result</t>
  </si>
  <si>
    <t xml:space="preserve">19/05/2025 Result</t>
  </si>
  <si>
    <t xml:space="preserve">20/05/2025 Result</t>
  </si>
  <si>
    <t xml:space="preserve">21/05/2025 Result</t>
  </si>
  <si>
    <t xml:space="preserve">22/05/2025 Result</t>
  </si>
  <si>
    <t xml:space="preserve">23/05/2025 Result</t>
  </si>
  <si>
    <t xml:space="preserve">24/05/2025 Result</t>
  </si>
  <si>
    <t xml:space="preserve">25/05/2025 Result</t>
  </si>
  <si>
    <t xml:space="preserve">26/05/2025 Result</t>
  </si>
  <si>
    <t xml:space="preserve">27/05/2025 Result</t>
  </si>
  <si>
    <t xml:space="preserve">28/05/2025 Result</t>
  </si>
  <si>
    <t xml:space="preserve">29/05/2025 Result</t>
  </si>
  <si>
    <t xml:space="preserve">30/05/2025 Result</t>
  </si>
  <si>
    <t xml:space="preserve">31/05/2025 Result</t>
  </si>
  <si>
    <t xml:space="preserve">01/06/2025 Result</t>
  </si>
  <si>
    <t xml:space="preserve">02/06/2025 Result</t>
  </si>
  <si>
    <t xml:space="preserve">03/06/2025 Result</t>
  </si>
  <si>
    <t xml:space="preserve">04/06/2025 Result</t>
  </si>
  <si>
    <t xml:space="preserve">05/06/2025 Result</t>
  </si>
  <si>
    <t xml:space="preserve">06/06/2025 Result</t>
  </si>
  <si>
    <t xml:space="preserve">07/06/2025 Result</t>
  </si>
  <si>
    <t xml:space="preserve">08/06/2025 Result</t>
  </si>
  <si>
    <t xml:space="preserve">09/06/2025 Result</t>
  </si>
  <si>
    <t xml:space="preserve">10/06/2025 Result</t>
  </si>
  <si>
    <t xml:space="preserve">11/06/2025 Result</t>
  </si>
  <si>
    <t xml:space="preserve">12/06/2025 Result</t>
  </si>
  <si>
    <t xml:space="preserve">13/06/2025 Result</t>
  </si>
  <si>
    <t xml:space="preserve">14/06/2025 Result</t>
  </si>
  <si>
    <t xml:space="preserve">15/06/2025 Result</t>
  </si>
  <si>
    <t xml:space="preserve">16/06/2025 Result</t>
  </si>
  <si>
    <t xml:space="preserve">17/06/2025 Result</t>
  </si>
  <si>
    <t xml:space="preserve">18/06/2025 Result</t>
  </si>
  <si>
    <t xml:space="preserve">19/06/2025 Result</t>
  </si>
  <si>
    <t xml:space="preserve">20/06/2025 Result</t>
  </si>
  <si>
    <t xml:space="preserve">21/06/2025 Result</t>
  </si>
  <si>
    <t xml:space="preserve">22/06/2025 Result</t>
  </si>
  <si>
    <t xml:space="preserve">23/06/2025 Result</t>
  </si>
  <si>
    <t xml:space="preserve">24/06/2025 Result</t>
  </si>
  <si>
    <t xml:space="preserve">25/06/2025 Result</t>
  </si>
  <si>
    <t xml:space="preserve">26/06/2025 Result</t>
  </si>
  <si>
    <t xml:space="preserve">27/06/2025 Result</t>
  </si>
  <si>
    <t xml:space="preserve">28/06/2025 Result</t>
  </si>
  <si>
    <t xml:space="preserve">29/06/2025 Result</t>
  </si>
  <si>
    <t xml:space="preserve">30/06/2025 Result</t>
  </si>
  <si>
    <t xml:space="preserve">01/07/2025 Result</t>
  </si>
  <si>
    <t xml:space="preserve">02/07/2025 Result</t>
  </si>
  <si>
    <t xml:space="preserve">03/07/2025 Result</t>
  </si>
  <si>
    <t xml:space="preserve">04/07/2025 Result</t>
  </si>
  <si>
    <t xml:space="preserve">05/07/2025 Result</t>
  </si>
  <si>
    <t xml:space="preserve">06/07/2025 Result</t>
  </si>
  <si>
    <t xml:space="preserve">07/07/2025 Result</t>
  </si>
  <si>
    <t xml:space="preserve">08/07/2025 Result</t>
  </si>
  <si>
    <t xml:space="preserve">09/07/2025 Result</t>
  </si>
  <si>
    <t xml:space="preserve">10/07/2025 Result</t>
  </si>
  <si>
    <t xml:space="preserve">11/07/2025 Result</t>
  </si>
  <si>
    <t xml:space="preserve">12/07/2025 Result</t>
  </si>
  <si>
    <t xml:space="preserve">13/07/2025 Result</t>
  </si>
  <si>
    <t xml:space="preserve">14/07/2025 Result</t>
  </si>
  <si>
    <t xml:space="preserve">15/07/2025 Result</t>
  </si>
  <si>
    <t xml:space="preserve">16/07/2025 Result</t>
  </si>
  <si>
    <t xml:space="preserve">17/07/2025 Result</t>
  </si>
  <si>
    <t xml:space="preserve">18/07/2025 Result</t>
  </si>
  <si>
    <t xml:space="preserve">19/07/2025 Result</t>
  </si>
  <si>
    <t xml:space="preserve">20/07/2025 Result</t>
  </si>
  <si>
    <t xml:space="preserve">21/07/2025 Result</t>
  </si>
  <si>
    <t xml:space="preserve">22/07/2025 Result</t>
  </si>
  <si>
    <t xml:space="preserve">23/07/2025 Result</t>
  </si>
  <si>
    <t xml:space="preserve">24/07/2025 Result</t>
  </si>
  <si>
    <t xml:space="preserve">25/07/2025 Result</t>
  </si>
  <si>
    <t xml:space="preserve">26/07/2025 Result</t>
  </si>
  <si>
    <t xml:space="preserve">27/07/2025 Result</t>
  </si>
  <si>
    <t xml:space="preserve">28/07/2025 Result</t>
  </si>
  <si>
    <t xml:space="preserve">29/07/2025 Result</t>
  </si>
  <si>
    <t xml:space="preserve">30/07/2025 Result</t>
  </si>
  <si>
    <t xml:space="preserve">31/07/2025 Result</t>
  </si>
  <si>
    <t xml:space="preserve">01/08/2025 Result</t>
  </si>
  <si>
    <t xml:space="preserve">02/08/2025 Result</t>
  </si>
  <si>
    <t xml:space="preserve">03/08/2025 Result</t>
  </si>
  <si>
    <t xml:space="preserve">04/08/2025 Result</t>
  </si>
  <si>
    <t xml:space="preserve">05/08/2025 Result</t>
  </si>
  <si>
    <t xml:space="preserve">06/08/2025 Result</t>
  </si>
  <si>
    <t xml:space="preserve">07/08/2025 Result</t>
  </si>
  <si>
    <t xml:space="preserve">08/08/2025 Result</t>
  </si>
  <si>
    <t xml:space="preserve">09/08/2025 Result</t>
  </si>
  <si>
    <t xml:space="preserve">10/08/2025 Result</t>
  </si>
  <si>
    <t xml:space="preserve">11/08/2025 Result</t>
  </si>
  <si>
    <t xml:space="preserve">12/08/2025 Result</t>
  </si>
  <si>
    <t xml:space="preserve">13/08/2025 Result</t>
  </si>
  <si>
    <t xml:space="preserve">14/08/2025 Result</t>
  </si>
  <si>
    <t xml:space="preserve">15/08/2025 Result</t>
  </si>
  <si>
    <t xml:space="preserve">16/08/2025 Result</t>
  </si>
  <si>
    <t xml:space="preserve">17/08/2025 Result</t>
  </si>
  <si>
    <t xml:space="preserve">18/08/2025 Result</t>
  </si>
  <si>
    <t xml:space="preserve">19/08/2025 Result</t>
  </si>
  <si>
    <t xml:space="preserve">20/08/2025 Result</t>
  </si>
  <si>
    <t xml:space="preserve">21/08/2025 Result</t>
  </si>
  <si>
    <t xml:space="preserve">22/08/2025 Result</t>
  </si>
  <si>
    <t xml:space="preserve">23/08/2025 Result</t>
  </si>
  <si>
    <t xml:space="preserve">24/08/2025 Result</t>
  </si>
  <si>
    <t xml:space="preserve">25/08/2025 Result</t>
  </si>
  <si>
    <t xml:space="preserve">26/08/2025 Result</t>
  </si>
  <si>
    <t xml:space="preserve">27/08/2025 Result</t>
  </si>
  <si>
    <t xml:space="preserve">28/08/2025 Result</t>
  </si>
  <si>
    <t xml:space="preserve">29/08/2025 Result</t>
  </si>
  <si>
    <t xml:space="preserve">30/08/2025 Result</t>
  </si>
  <si>
    <t xml:space="preserve">31/08/2025 Result</t>
  </si>
  <si>
    <t xml:space="preserve">01/09/2025 Result</t>
  </si>
  <si>
    <t xml:space="preserve">02/09/2025 Result</t>
  </si>
  <si>
    <t xml:space="preserve">03/09/2025 Result</t>
  </si>
  <si>
    <t xml:space="preserve">04/09/2025 Result</t>
  </si>
  <si>
    <t xml:space="preserve">05/09/2025 Result</t>
  </si>
  <si>
    <t xml:space="preserve">06/09/2025 Result</t>
  </si>
  <si>
    <t xml:space="preserve">07/09/2025 Result</t>
  </si>
  <si>
    <t xml:space="preserve">08/09/2025 Result</t>
  </si>
  <si>
    <t xml:space="preserve">09/09/2025 Result</t>
  </si>
  <si>
    <t xml:space="preserve">10/09/2025 Result</t>
  </si>
  <si>
    <t xml:space="preserve">11/09/2025 Result</t>
  </si>
  <si>
    <t xml:space="preserve">12/09/2025 Result</t>
  </si>
  <si>
    <t xml:space="preserve">13/09/2025 Result</t>
  </si>
  <si>
    <t xml:space="preserve">14/09/2025 Result</t>
  </si>
  <si>
    <t xml:space="preserve">15/09/2025 Result</t>
  </si>
  <si>
    <t xml:space="preserve">16/09/2025 Result</t>
  </si>
  <si>
    <t xml:space="preserve">17/09/2025 Result</t>
  </si>
  <si>
    <t xml:space="preserve">18/09/2025 Result</t>
  </si>
  <si>
    <t xml:space="preserve">19/09/2025 Result</t>
  </si>
  <si>
    <t xml:space="preserve">20/09/2025 Result</t>
  </si>
  <si>
    <t xml:space="preserve">21/09/2025 Result</t>
  </si>
  <si>
    <t xml:space="preserve">22/09/2025 Result</t>
  </si>
  <si>
    <t xml:space="preserve">23/09/2025 Result</t>
  </si>
  <si>
    <t xml:space="preserve">24/09/2025 Result</t>
  </si>
  <si>
    <t xml:space="preserve">25/09/2025 Result</t>
  </si>
  <si>
    <t xml:space="preserve">26/09/2025 Result</t>
  </si>
  <si>
    <t xml:space="preserve">27/09/2025 Result</t>
  </si>
  <si>
    <t xml:space="preserve">28/09/2025 Result</t>
  </si>
  <si>
    <t xml:space="preserve">29/09/2025 Result</t>
  </si>
  <si>
    <t xml:space="preserve">30/09/2025 Result</t>
  </si>
  <si>
    <t xml:space="preserve">01/10/2025 Result</t>
  </si>
  <si>
    <t xml:space="preserve">02/10/2025 Result</t>
  </si>
  <si>
    <t xml:space="preserve">03/10/2025 Result</t>
  </si>
  <si>
    <t xml:space="preserve">04/10/2025 Result</t>
  </si>
  <si>
    <t xml:space="preserve">05/10/2025 Result</t>
  </si>
  <si>
    <t xml:space="preserve">06/10/2025 Result</t>
  </si>
  <si>
    <t xml:space="preserve">07/10/2025 Result</t>
  </si>
  <si>
    <t xml:space="preserve">08/10/2025 Result</t>
  </si>
  <si>
    <t xml:space="preserve">09/10/2025 Result</t>
  </si>
  <si>
    <t xml:space="preserve">10/10/2025 Result</t>
  </si>
  <si>
    <t xml:space="preserve">11/10/2025 Result</t>
  </si>
  <si>
    <t xml:space="preserve">12/10/2025 Result</t>
  </si>
  <si>
    <t xml:space="preserve">13/10/2025 Result</t>
  </si>
  <si>
    <t xml:space="preserve">14/10/2025 Result</t>
  </si>
  <si>
    <t xml:space="preserve">15/10/2025 Result</t>
  </si>
  <si>
    <t xml:space="preserve">16/10/2025 Result</t>
  </si>
  <si>
    <t xml:space="preserve">17/10/2025 Result</t>
  </si>
  <si>
    <t xml:space="preserve">18/10/2025 Result</t>
  </si>
  <si>
    <t xml:space="preserve">19/10/2025 Result</t>
  </si>
  <si>
    <t xml:space="preserve">20/10/2025 Result</t>
  </si>
  <si>
    <t xml:space="preserve">21/10/2025 Result</t>
  </si>
  <si>
    <t xml:space="preserve">22/10/2025 Result</t>
  </si>
  <si>
    <t xml:space="preserve">23/10/2025 Result</t>
  </si>
  <si>
    <t xml:space="preserve">24/10/2025 Result</t>
  </si>
  <si>
    <t xml:space="preserve">25/10/2025 Result</t>
  </si>
  <si>
    <t xml:space="preserve">26/10/2025 Result</t>
  </si>
  <si>
    <t xml:space="preserve">27/10/2025 Result</t>
  </si>
  <si>
    <t xml:space="preserve">28/10/2025 Result</t>
  </si>
  <si>
    <t xml:space="preserve">29/10/2025 Result</t>
  </si>
  <si>
    <t xml:space="preserve">30/10/2025 Result</t>
  </si>
  <si>
    <t xml:space="preserve">31/10/2025 Result</t>
  </si>
  <si>
    <t xml:space="preserve">01/11/2025 Result</t>
  </si>
  <si>
    <t xml:space="preserve">02/11/2025 Result</t>
  </si>
  <si>
    <t xml:space="preserve">03/11/2025 Result</t>
  </si>
  <si>
    <t xml:space="preserve">04/11/2025 Result</t>
  </si>
  <si>
    <t xml:space="preserve">05/11/2025 Result</t>
  </si>
  <si>
    <t xml:space="preserve">06/11/2025 Result</t>
  </si>
  <si>
    <t xml:space="preserve">07/11/2025 Result</t>
  </si>
  <si>
    <t xml:space="preserve">08/11/2025 Result</t>
  </si>
  <si>
    <t xml:space="preserve">09/11/2025 Result</t>
  </si>
  <si>
    <t xml:space="preserve">10/11/2025 Result</t>
  </si>
  <si>
    <t xml:space="preserve">11/11/2025 Result</t>
  </si>
  <si>
    <t xml:space="preserve">12/11/2025 Result</t>
  </si>
  <si>
    <t xml:space="preserve">13/11/2025 Result</t>
  </si>
  <si>
    <t xml:space="preserve">14/11/2025 Result</t>
  </si>
  <si>
    <t xml:space="preserve">15/11/2025 Result</t>
  </si>
  <si>
    <t xml:space="preserve">16/11/2025 Result</t>
  </si>
  <si>
    <t xml:space="preserve">17/11/2025 Result</t>
  </si>
  <si>
    <t xml:space="preserve">18/11/2025 Result</t>
  </si>
  <si>
    <t xml:space="preserve">19/11/2025 Result</t>
  </si>
  <si>
    <t xml:space="preserve">20/11/2025 Result</t>
  </si>
  <si>
    <t xml:space="preserve">21/11/2025 Result</t>
  </si>
  <si>
    <t xml:space="preserve">22/11/2025 Result</t>
  </si>
  <si>
    <t xml:space="preserve">23/11/2025 Result</t>
  </si>
  <si>
    <t xml:space="preserve">24/11/2025 Result</t>
  </si>
  <si>
    <t xml:space="preserve">25/11/2025 Result</t>
  </si>
  <si>
    <t xml:space="preserve">26/11/2025 Result</t>
  </si>
  <si>
    <t xml:space="preserve">27/11/2025 Result</t>
  </si>
  <si>
    <t xml:space="preserve">28/11/2025 Result</t>
  </si>
  <si>
    <t xml:space="preserve">(empty) Result</t>
  </si>
  <si>
    <t xml:space="preserve">&lt;&gt; Sales then its expenses</t>
  </si>
  <si>
    <t xml:space="preserve">- all -</t>
  </si>
  <si>
    <t xml:space="preserve">Expenses if any ( Remaning cash )</t>
  </si>
  <si>
    <t xml:space="preserve">Can be sales and expenses</t>
  </si>
  <si>
    <t xml:space="preserve">01-2025</t>
  </si>
  <si>
    <t xml:space="preserve">02-2025</t>
  </si>
  <si>
    <t xml:space="preserve">03-2025</t>
  </si>
  <si>
    <t xml:space="preserve">04-2025</t>
  </si>
  <si>
    <t xml:space="preserve">05-2025</t>
  </si>
  <si>
    <t xml:space="preserve">06-2025</t>
  </si>
  <si>
    <t xml:space="preserve">07-2025</t>
  </si>
  <si>
    <t xml:space="preserve">08-2025</t>
  </si>
  <si>
    <t xml:space="preserve">09-2025</t>
  </si>
  <si>
    <t xml:space="preserve">10-2025</t>
  </si>
  <si>
    <t xml:space="preserve">12-1899</t>
  </si>
  <si>
    <t xml:space="preserve"> ✅ Total Paid   </t>
  </si>
  <si>
    <t xml:space="preserve"> ❌ Total Unpaid </t>
  </si>
  <si>
    <t xml:space="preserve">💰 Total Sales </t>
  </si>
  <si>
    <t xml:space="preserve">Total</t>
  </si>
  <si>
    <t xml:space="preserve">Column 1</t>
  </si>
  <si>
    <t xml:space="preserve">Grouping</t>
  </si>
  <si>
    <t xml:space="preserve">Type</t>
  </si>
  <si>
    <t xml:space="preserve">Salary</t>
  </si>
  <si>
    <t xml:space="preserve">Expense</t>
  </si>
  <si>
    <t xml:space="preserve">Inventory</t>
  </si>
  <si>
    <t xml:space="preserve">Fixed Maintance</t>
  </si>
  <si>
    <t xml:space="preserve">Staff Expenses</t>
  </si>
  <si>
    <t xml:space="preserve">Bike Maintance</t>
  </si>
  <si>
    <t xml:space="preserve">New Inventory</t>
  </si>
  <si>
    <t xml:space="preserve">Income</t>
  </si>
  <si>
    <t xml:space="preserve">Excess Amount Return</t>
  </si>
  <si>
    <t xml:space="preserve">Cash Withdrawal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</si>
</sst>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₹ &quot;#,##0.00"/>
    <numFmt numFmtId="166" formatCode="dd/mm/yyyy"/>
    <numFmt numFmtId="167" formatCode="[$₹]#,##0.00"/>
    <numFmt numFmtId="168" formatCode="@"/>
    <numFmt numFmtId="169" formatCode="General"/>
    <numFmt numFmtId="170" formatCode="m\-yyyy"/>
    <numFmt numFmtId="171" formatCode="d/m/yyyy"/>
  </numFmts>
  <fonts count="1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Arial"/>
      <family val="0"/>
      <charset val="1"/>
    </font>
    <font>
      <sz val="11"/>
      <color rgb="FFFFFFFF"/>
      <name val="Calibri"/>
      <family val="0"/>
      <charset val="1"/>
    </font>
    <font>
      <sz val="11"/>
      <color theme="0"/>
      <name val="Calibri"/>
      <family val="0"/>
      <charset val="1"/>
    </font>
    <font>
      <i val="true"/>
      <sz val="11"/>
      <color rgb="FFBB463C"/>
      <name val="Roboto"/>
      <family val="0"/>
      <charset val="1"/>
    </font>
    <font>
      <sz val="11"/>
      <color rgb="FF434343"/>
      <name val="Roboto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'docs-Calibri'"/>
      <family val="0"/>
      <charset val="1"/>
    </font>
    <font>
      <b val="true"/>
      <sz val="11"/>
      <color theme="0"/>
      <name val="Calibri"/>
      <family val="0"/>
      <charset val="1"/>
    </font>
    <font>
      <b val="true"/>
      <sz val="18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6F8F9"/>
        <bgColor rgb="FFFFFFFF"/>
      </patternFill>
    </fill>
  </fills>
  <borders count="39">
    <border diagonalUp="false" diagonalDown="false">
      <left/>
      <right/>
      <top/>
      <bottom/>
      <diagonal/>
    </border>
    <border diagonalUp="false" diagonalDown="false"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 diagonalUp="false" diagonalDown="false"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3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1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2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13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4" xfId="23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2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2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4" fillId="0" borderId="2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3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3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2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3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34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35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4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0" xfId="23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3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3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30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3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1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70" fontId="0" fillId="0" borderId="12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70" fontId="4" fillId="0" borderId="13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6">
    <dxf>
      <fill>
        <patternFill patternType="solid">
          <fgColor rgb="FFF6F8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34343"/>
          <bgColor rgb="FF000000"/>
        </patternFill>
      </fill>
    </dxf>
    <dxf>
      <fill>
        <patternFill patternType="solid">
          <fgColor rgb="FFBB463C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B463C"/>
      <rgbColor rgb="FFF6F8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84E3F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pivotCacheDefinition" Target="pivotCache/pivotCacheDefinition1.xml"/><Relationship Id="rId10" Type="http://schemas.openxmlformats.org/officeDocument/2006/relationships/pivotCacheDefinition" Target="pivotCache/pivotCacheDefinition2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417" createdVersion="3">
  <cacheSource type="worksheet">
    <worksheetSource ref="A1:L5418" sheet="Daily Transactions"/>
  </cacheSource>
  <cacheFields count="12">
    <cacheField name="f" numFmtId="0">
      <sharedItems containsNonDate="0" containsDate="1" containsString="0" containsBlank="1" minDate="2025-01-22T00:00:00" maxDate="2025-11-28T00:00:00" count="311"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m/>
      </sharedItems>
    </cacheField>
    <cacheField name="Item/Description" numFmtId="0">
      <sharedItems containsBlank="1" count="42">
        <s v="Advance"/>
        <s v="Bakery"/>
        <s v="Bank"/>
        <s v="Beverages"/>
        <s v="Cash Return to Cx"/>
        <s v="Cash Shortage"/>
        <s v="Chamber Clean"/>
        <s v="Chapati"/>
        <s v="Charcoal"/>
        <s v="Chicken"/>
        <s v="Civil Work"/>
        <s v="Counter Cash"/>
        <s v="Dairy"/>
        <s v="Disposable"/>
        <s v="Donation"/>
        <s v="Egg"/>
        <s v="Electric Work"/>
        <s v="Electricity"/>
        <s v="Garbage Vehicle"/>
        <s v="Gas"/>
        <s v="Grocery"/>
        <s v="Hotel Commision"/>
        <s v="Internet"/>
        <s v="Kinners"/>
        <s v="Maintenance"/>
        <s v="Medical"/>
        <s v="Momos"/>
        <s v="Mutton"/>
        <s v="Petrol"/>
        <s v="Plumbing Work"/>
        <s v="Police"/>
        <s v="Restaurant New Inventory"/>
        <s v="Sales"/>
        <s v="Staff"/>
        <s v="Staff "/>
        <s v="Staff Edi"/>
        <s v="Stationary"/>
        <s v="Tea"/>
        <s v="Vegetables"/>
        <s v="Water 20 Ltrs"/>
        <s v="Water Tanker"/>
        <m/>
      </sharedItems>
    </cacheField>
    <cacheField name="Amount" numFmtId="0">
      <sharedItems containsString="0" containsBlank="1" containsNumber="1" minValue="0" maxValue="36525" count="1991">
        <n v="0"/>
        <n v="5"/>
        <n v="6"/>
        <n v="7"/>
        <n v="8"/>
        <n v="10"/>
        <n v="11"/>
        <n v="12"/>
        <n v="14"/>
        <n v="15"/>
        <n v="17"/>
        <n v="19"/>
        <n v="20"/>
        <n v="23"/>
        <n v="24"/>
        <n v="25"/>
        <n v="26"/>
        <n v="28"/>
        <n v="29"/>
        <n v="30"/>
        <n v="32"/>
        <n v="34"/>
        <n v="35"/>
        <n v="37"/>
        <n v="38"/>
        <n v="40"/>
        <n v="45"/>
        <n v="50"/>
        <n v="55"/>
        <n v="56"/>
        <n v="60"/>
        <n v="65"/>
        <n v="69"/>
        <n v="70"/>
        <n v="75"/>
        <n v="76"/>
        <n v="80"/>
        <n v="83"/>
        <n v="85"/>
        <n v="87"/>
        <n v="90"/>
        <n v="94"/>
        <n v="95"/>
        <n v="96"/>
        <n v="99"/>
        <n v="100"/>
        <n v="103"/>
        <n v="104"/>
        <n v="105"/>
        <n v="110"/>
        <n v="115"/>
        <n v="116"/>
        <n v="118"/>
        <n v="120"/>
        <n v="121"/>
        <n v="125"/>
        <n v="128"/>
        <n v="129"/>
        <n v="130"/>
        <n v="135"/>
        <n v="140"/>
        <n v="144"/>
        <n v="145"/>
        <n v="147"/>
        <n v="149"/>
        <n v="150"/>
        <n v="152"/>
        <n v="153"/>
        <n v="155"/>
        <n v="160"/>
        <n v="162"/>
        <n v="164"/>
        <n v="165"/>
        <n v="169"/>
        <n v="170"/>
        <n v="174"/>
        <n v="175"/>
        <n v="180"/>
        <n v="183"/>
        <n v="184"/>
        <n v="185"/>
        <n v="187"/>
        <n v="188"/>
        <n v="190"/>
        <n v="193"/>
        <n v="195"/>
        <n v="198"/>
        <n v="200"/>
        <n v="201"/>
        <n v="203"/>
        <n v="210"/>
        <n v="215"/>
        <n v="216"/>
        <n v="217"/>
        <n v="220"/>
        <n v="221"/>
        <n v="222"/>
        <n v="225"/>
        <n v="226"/>
        <n v="229"/>
        <n v="230"/>
        <n v="232"/>
        <n v="235"/>
        <n v="237"/>
        <n v="238"/>
        <n v="239"/>
        <n v="240"/>
        <n v="241"/>
        <n v="242"/>
        <n v="245"/>
        <n v="248"/>
        <n v="249"/>
        <n v="250"/>
        <n v="254"/>
        <n v="255"/>
        <n v="258"/>
        <n v="259"/>
        <n v="260"/>
        <n v="265"/>
        <n v="269"/>
        <n v="270"/>
        <n v="272"/>
        <n v="273"/>
        <n v="275"/>
        <n v="276"/>
        <n v="278"/>
        <n v="279"/>
        <n v="280"/>
        <n v="282"/>
        <n v="285"/>
        <n v="286"/>
        <n v="288"/>
        <n v="290"/>
        <n v="294"/>
        <n v="300"/>
        <n v="302"/>
        <n v="304"/>
        <n v="307"/>
        <n v="310"/>
        <n v="312"/>
        <n v="313"/>
        <n v="315"/>
        <n v="318"/>
        <n v="320"/>
        <n v="324"/>
        <n v="325"/>
        <n v="327"/>
        <n v="330"/>
        <n v="331"/>
        <n v="332"/>
        <n v="334"/>
        <n v="335"/>
        <n v="336"/>
        <n v="338"/>
        <n v="340"/>
        <n v="344"/>
        <n v="345"/>
        <n v="349"/>
        <n v="350"/>
        <n v="353"/>
        <n v="355"/>
        <n v="356"/>
        <n v="357"/>
        <n v="358"/>
        <n v="360"/>
        <n v="361"/>
        <n v="362"/>
        <n v="363"/>
        <n v="364"/>
        <n v="365"/>
        <n v="366"/>
        <n v="368"/>
        <n v="369"/>
        <n v="370"/>
        <n v="371"/>
        <n v="373"/>
        <n v="374"/>
        <n v="375"/>
        <n v="377"/>
        <n v="379"/>
        <n v="380"/>
        <n v="383"/>
        <n v="385"/>
        <n v="386"/>
        <n v="387"/>
        <n v="388"/>
        <n v="389"/>
        <n v="390"/>
        <n v="391"/>
        <n v="393"/>
        <n v="399"/>
        <n v="400"/>
        <n v="401"/>
        <n v="403"/>
        <n v="405"/>
        <n v="406"/>
        <n v="407"/>
        <n v="408"/>
        <n v="410"/>
        <n v="412"/>
        <n v="414"/>
        <n v="415"/>
        <n v="416"/>
        <n v="418"/>
        <n v="419"/>
        <n v="420"/>
        <n v="421"/>
        <n v="426"/>
        <n v="427"/>
        <n v="428"/>
        <n v="430"/>
        <n v="431"/>
        <n v="434"/>
        <n v="435"/>
        <n v="438"/>
        <n v="439"/>
        <n v="440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9"/>
        <n v="460"/>
        <n v="464"/>
        <n v="465"/>
        <n v="466"/>
        <n v="467"/>
        <n v="468"/>
        <n v="469"/>
        <n v="470"/>
        <n v="471"/>
        <n v="474"/>
        <n v="475"/>
        <n v="479"/>
        <n v="480"/>
        <n v="484"/>
        <n v="485"/>
        <n v="486"/>
        <n v="490"/>
        <n v="491"/>
        <n v="492"/>
        <n v="493"/>
        <n v="494"/>
        <n v="495"/>
        <n v="496"/>
        <n v="498"/>
        <n v="500"/>
        <n v="501"/>
        <n v="503"/>
        <n v="504"/>
        <n v="505"/>
        <n v="506"/>
        <n v="507"/>
        <n v="508"/>
        <n v="510"/>
        <n v="513"/>
        <n v="514"/>
        <n v="515"/>
        <n v="516"/>
        <n v="518"/>
        <n v="519"/>
        <n v="520"/>
        <n v="522"/>
        <n v="525"/>
        <n v="526"/>
        <n v="528"/>
        <n v="529"/>
        <n v="530"/>
        <n v="531"/>
        <n v="532"/>
        <n v="535"/>
        <n v="536"/>
        <n v="537"/>
        <n v="540"/>
        <n v="543"/>
        <n v="545"/>
        <n v="549"/>
        <n v="550"/>
        <n v="551"/>
        <n v="552"/>
        <n v="554"/>
        <n v="555"/>
        <n v="559"/>
        <n v="560"/>
        <n v="561"/>
        <n v="562"/>
        <n v="566"/>
        <n v="567"/>
        <n v="568"/>
        <n v="570"/>
        <n v="573"/>
        <n v="574"/>
        <n v="575"/>
        <n v="577"/>
        <n v="579"/>
        <n v="580"/>
        <n v="581"/>
        <n v="583"/>
        <n v="585"/>
        <n v="586"/>
        <n v="587"/>
        <n v="589"/>
        <n v="590"/>
        <n v="591"/>
        <n v="592"/>
        <n v="595"/>
        <n v="597"/>
        <n v="599"/>
        <n v="600"/>
        <n v="602"/>
        <n v="603"/>
        <n v="605"/>
        <n v="606"/>
        <n v="610"/>
        <n v="613"/>
        <n v="614"/>
        <n v="615"/>
        <n v="616"/>
        <n v="619"/>
        <n v="620"/>
        <n v="621"/>
        <n v="624"/>
        <n v="625"/>
        <n v="626"/>
        <n v="629"/>
        <n v="630"/>
        <n v="635"/>
        <n v="640"/>
        <n v="643"/>
        <n v="645"/>
        <n v="646"/>
        <n v="647"/>
        <n v="648"/>
        <n v="650"/>
        <n v="652"/>
        <n v="653"/>
        <n v="654"/>
        <n v="655"/>
        <n v="657"/>
        <n v="658"/>
        <n v="659"/>
        <n v="660"/>
        <n v="663"/>
        <n v="664"/>
        <n v="665"/>
        <n v="666"/>
        <n v="669"/>
        <n v="670"/>
        <n v="673"/>
        <n v="674"/>
        <n v="675"/>
        <n v="676"/>
        <n v="677"/>
        <n v="680"/>
        <n v="681"/>
        <n v="683"/>
        <n v="685"/>
        <n v="686"/>
        <n v="688"/>
        <n v="689"/>
        <n v="690"/>
        <n v="691"/>
        <n v="692"/>
        <n v="693"/>
        <n v="696"/>
        <n v="700"/>
        <n v="702"/>
        <n v="705"/>
        <n v="706"/>
        <n v="709"/>
        <n v="710"/>
        <n v="711"/>
        <n v="715"/>
        <n v="720"/>
        <n v="725"/>
        <n v="726"/>
        <n v="727"/>
        <n v="728"/>
        <n v="730"/>
        <n v="731"/>
        <n v="735"/>
        <n v="739"/>
        <n v="740"/>
        <n v="741"/>
        <n v="742"/>
        <n v="743"/>
        <n v="744"/>
        <n v="745"/>
        <n v="750"/>
        <n v="751"/>
        <n v="755"/>
        <n v="757"/>
        <n v="760"/>
        <n v="762"/>
        <n v="765"/>
        <n v="766"/>
        <n v="768"/>
        <n v="770"/>
        <n v="774"/>
        <n v="775"/>
        <n v="776"/>
        <n v="778"/>
        <n v="780"/>
        <n v="781"/>
        <n v="782"/>
        <n v="783"/>
        <n v="785"/>
        <n v="787"/>
        <n v="788"/>
        <n v="789"/>
        <n v="790"/>
        <n v="791"/>
        <n v="792"/>
        <n v="794"/>
        <n v="795"/>
        <n v="799"/>
        <n v="800"/>
        <n v="802"/>
        <n v="803"/>
        <n v="806"/>
        <n v="809"/>
        <n v="810"/>
        <n v="813"/>
        <n v="814"/>
        <n v="815"/>
        <n v="816"/>
        <n v="818"/>
        <n v="819"/>
        <n v="820"/>
        <n v="823"/>
        <n v="825"/>
        <n v="827"/>
        <n v="828"/>
        <n v="829"/>
        <n v="830"/>
        <n v="833"/>
        <n v="835"/>
        <n v="836"/>
        <n v="838"/>
        <n v="840"/>
        <n v="844"/>
        <n v="845"/>
        <n v="846"/>
        <n v="848"/>
        <n v="850"/>
        <n v="853"/>
        <n v="854"/>
        <n v="858"/>
        <n v="860"/>
        <n v="864"/>
        <n v="865"/>
        <n v="870"/>
        <n v="874"/>
        <n v="875"/>
        <n v="879"/>
        <n v="880"/>
        <n v="882"/>
        <n v="883"/>
        <n v="885"/>
        <n v="888"/>
        <n v="889"/>
        <n v="890"/>
        <n v="894"/>
        <n v="895"/>
        <n v="899"/>
        <n v="900"/>
        <n v="902"/>
        <n v="905"/>
        <n v="909"/>
        <n v="910"/>
        <n v="913"/>
        <n v="915"/>
        <n v="920"/>
        <n v="923"/>
        <n v="925"/>
        <n v="930"/>
        <n v="933"/>
        <n v="934"/>
        <n v="935"/>
        <n v="936"/>
        <n v="939"/>
        <n v="940"/>
        <n v="943"/>
        <n v="945"/>
        <n v="948"/>
        <n v="950"/>
        <n v="955"/>
        <n v="958"/>
        <n v="960"/>
        <n v="962"/>
        <n v="963"/>
        <n v="964"/>
        <n v="965"/>
        <n v="968"/>
        <n v="969"/>
        <n v="970"/>
        <n v="975"/>
        <n v="976"/>
        <n v="980"/>
        <n v="982"/>
        <n v="985"/>
        <n v="989"/>
        <n v="990"/>
        <n v="993"/>
        <n v="994"/>
        <n v="996"/>
        <n v="998"/>
        <n v="999"/>
        <n v="1000"/>
        <n v="1002"/>
        <n v="1005"/>
        <n v="1006"/>
        <n v="1007"/>
        <n v="1009"/>
        <n v="1010"/>
        <n v="1014"/>
        <n v="1015"/>
        <n v="1020"/>
        <n v="1029"/>
        <n v="1031"/>
        <n v="1034"/>
        <n v="1035"/>
        <n v="1036"/>
        <n v="1038"/>
        <n v="1040"/>
        <n v="1041"/>
        <n v="1043"/>
        <n v="1047"/>
        <n v="1048"/>
        <n v="1050"/>
        <n v="1055"/>
        <n v="1057"/>
        <n v="1058"/>
        <n v="1060"/>
        <n v="1068"/>
        <n v="1070"/>
        <n v="1073"/>
        <n v="1075"/>
        <n v="1079"/>
        <n v="1080"/>
        <n v="1081"/>
        <n v="1084"/>
        <n v="1088"/>
        <n v="1089"/>
        <n v="1090"/>
        <n v="1099"/>
        <n v="1100"/>
        <n v="1105"/>
        <n v="1106"/>
        <n v="1109"/>
        <n v="1110"/>
        <n v="1113"/>
        <n v="1115"/>
        <n v="1119"/>
        <n v="1120"/>
        <n v="1121"/>
        <n v="1122"/>
        <n v="1125"/>
        <n v="1126"/>
        <n v="1130"/>
        <n v="1131"/>
        <n v="1133"/>
        <n v="1135"/>
        <n v="1138"/>
        <n v="1139"/>
        <n v="1140"/>
        <n v="1143"/>
        <n v="1145"/>
        <n v="1150"/>
        <n v="1153"/>
        <n v="1154"/>
        <n v="1155"/>
        <n v="1160"/>
        <n v="1163"/>
        <n v="1165"/>
        <n v="1168"/>
        <n v="1170"/>
        <n v="1178"/>
        <n v="1180"/>
        <n v="1181"/>
        <n v="1185"/>
        <n v="1186"/>
        <n v="1187.5"/>
        <n v="1189"/>
        <n v="1190"/>
        <n v="1192"/>
        <n v="1195"/>
        <n v="1196"/>
        <n v="1197"/>
        <n v="1200"/>
        <n v="1204"/>
        <n v="1205"/>
        <n v="1210"/>
        <n v="1212"/>
        <n v="1214"/>
        <n v="1215"/>
        <n v="1216"/>
        <n v="1220"/>
        <n v="1225"/>
        <n v="1227"/>
        <n v="1229"/>
        <n v="1230"/>
        <n v="1231"/>
        <n v="1233"/>
        <n v="1240"/>
        <n v="1241"/>
        <n v="1244"/>
        <n v="1245"/>
        <n v="1250"/>
        <n v="1253"/>
        <n v="1254"/>
        <n v="1255"/>
        <n v="1256"/>
        <n v="1258"/>
        <n v="1259"/>
        <n v="1260"/>
        <n v="1264"/>
        <n v="1265"/>
        <n v="1269"/>
        <n v="1270"/>
        <n v="1275"/>
        <n v="1278"/>
        <n v="1280"/>
        <n v="1285"/>
        <n v="1286"/>
        <n v="1287"/>
        <n v="1288"/>
        <n v="1289"/>
        <n v="1290"/>
        <n v="1295"/>
        <n v="1296"/>
        <n v="1300"/>
        <n v="1303"/>
        <n v="1305"/>
        <n v="1308"/>
        <n v="1310"/>
        <n v="1314"/>
        <n v="1315"/>
        <n v="1318"/>
        <n v="1325"/>
        <n v="1326"/>
        <n v="1329"/>
        <n v="1330"/>
        <n v="1331"/>
        <n v="1334"/>
        <n v="1335"/>
        <n v="1336"/>
        <n v="1339"/>
        <n v="1340"/>
        <n v="1343"/>
        <n v="1345"/>
        <n v="1349"/>
        <n v="1350"/>
        <n v="1355"/>
        <n v="1357"/>
        <n v="1358"/>
        <n v="1360"/>
        <n v="1362"/>
        <n v="1363"/>
        <n v="1365"/>
        <n v="1368"/>
        <n v="1369"/>
        <n v="1370"/>
        <n v="1371"/>
        <n v="1379"/>
        <n v="1380"/>
        <n v="1381"/>
        <n v="1385"/>
        <n v="1389"/>
        <n v="1390"/>
        <n v="1392"/>
        <n v="1393"/>
        <n v="1395"/>
        <n v="1400"/>
        <n v="1405"/>
        <n v="1407"/>
        <n v="1409"/>
        <n v="1410"/>
        <n v="1415"/>
        <n v="1420"/>
        <n v="1424"/>
        <n v="1425"/>
        <n v="1430"/>
        <n v="1431"/>
        <n v="1437"/>
        <n v="1439"/>
        <n v="1440"/>
        <n v="1445"/>
        <n v="1448"/>
        <n v="1449"/>
        <n v="1450"/>
        <n v="1454"/>
        <n v="1455"/>
        <n v="1457"/>
        <n v="1460"/>
        <n v="1470"/>
        <n v="1473"/>
        <n v="1475"/>
        <n v="1477"/>
        <n v="1480"/>
        <n v="1485"/>
        <n v="1486"/>
        <n v="1487"/>
        <n v="1488"/>
        <n v="1491"/>
        <n v="1492"/>
        <n v="1494"/>
        <n v="1495"/>
        <n v="1498"/>
        <n v="1500"/>
        <n v="1502"/>
        <n v="1507"/>
        <n v="1508"/>
        <n v="1509"/>
        <n v="1510"/>
        <n v="1513"/>
        <n v="1519"/>
        <n v="1520"/>
        <n v="1521"/>
        <n v="1525"/>
        <n v="1527"/>
        <n v="1533"/>
        <n v="1534"/>
        <n v="1539"/>
        <n v="1540"/>
        <n v="1546"/>
        <n v="1550"/>
        <n v="1551"/>
        <n v="1555"/>
        <n v="1560"/>
        <n v="1561"/>
        <n v="1565"/>
        <n v="1568"/>
        <n v="1569"/>
        <n v="1570"/>
        <n v="1571"/>
        <n v="1573"/>
        <n v="1580"/>
        <n v="1585"/>
        <n v="1590"/>
        <n v="1592"/>
        <n v="1593"/>
        <n v="1595"/>
        <n v="1600"/>
        <n v="1606"/>
        <n v="1609"/>
        <n v="1610"/>
        <n v="1615"/>
        <n v="1617"/>
        <n v="1619"/>
        <n v="1620"/>
        <n v="1622"/>
        <n v="1625"/>
        <n v="1630"/>
        <n v="1633"/>
        <n v="1635"/>
        <n v="1644"/>
        <n v="1645"/>
        <n v="1646"/>
        <n v="1650"/>
        <n v="1653"/>
        <n v="1654"/>
        <n v="1655"/>
        <n v="1656"/>
        <n v="1658"/>
        <n v="1660"/>
        <n v="1670"/>
        <n v="1675"/>
        <n v="1678"/>
        <n v="1680"/>
        <n v="1683"/>
        <n v="1684"/>
        <n v="1685"/>
        <n v="1695"/>
        <n v="1700"/>
        <n v="1710"/>
        <n v="1712"/>
        <n v="1715"/>
        <n v="1719"/>
        <n v="1720"/>
        <n v="1725"/>
        <n v="1730"/>
        <n v="1731"/>
        <n v="1735"/>
        <n v="1740"/>
        <n v="1741"/>
        <n v="1744"/>
        <n v="1745"/>
        <n v="1748"/>
        <n v="1750"/>
        <n v="1755"/>
        <n v="1756"/>
        <n v="1759"/>
        <n v="1760"/>
        <n v="1764"/>
        <n v="1767"/>
        <n v="1768"/>
        <n v="1770"/>
        <n v="1772"/>
        <n v="1773"/>
        <n v="1776"/>
        <n v="1780"/>
        <n v="1786"/>
        <n v="1790"/>
        <n v="1795"/>
        <n v="1799"/>
        <n v="1800"/>
        <n v="1802"/>
        <n v="1805"/>
        <n v="1810"/>
        <n v="1813"/>
        <n v="1815"/>
        <n v="1820"/>
        <n v="1825"/>
        <n v="1830"/>
        <n v="1834"/>
        <n v="1835"/>
        <n v="1840"/>
        <n v="1848"/>
        <n v="1850"/>
        <n v="1851"/>
        <n v="1852"/>
        <n v="1855"/>
        <n v="1862"/>
        <n v="1870"/>
        <n v="1879"/>
        <n v="1880"/>
        <n v="1887"/>
        <n v="1890"/>
        <n v="1894"/>
        <n v="1895"/>
        <n v="1900"/>
        <n v="1910"/>
        <n v="1911"/>
        <n v="1914"/>
        <n v="1920"/>
        <n v="1924"/>
        <n v="1928"/>
        <n v="1931"/>
        <n v="1935"/>
        <n v="1936"/>
        <n v="1939"/>
        <n v="1940"/>
        <n v="1941"/>
        <n v="1945"/>
        <n v="1947"/>
        <n v="1949"/>
        <n v="1950"/>
        <n v="1954"/>
        <n v="1958"/>
        <n v="1960"/>
        <n v="1964"/>
        <n v="1970"/>
        <n v="1973"/>
        <n v="1975"/>
        <n v="1989"/>
        <n v="1990"/>
        <n v="1992"/>
        <n v="1999"/>
        <n v="2000"/>
        <n v="2003"/>
        <n v="2010"/>
        <n v="2011"/>
        <n v="2014"/>
        <n v="2015"/>
        <n v="2020"/>
        <n v="2024"/>
        <n v="2025"/>
        <n v="2030"/>
        <n v="2037"/>
        <n v="2040"/>
        <n v="2044"/>
        <n v="2050"/>
        <n v="2052"/>
        <n v="2057"/>
        <n v="2060"/>
        <n v="2061"/>
        <n v="2063"/>
        <n v="2076"/>
        <n v="2080"/>
        <n v="2085"/>
        <n v="2087"/>
        <n v="2090"/>
        <n v="2091"/>
        <n v="2100"/>
        <n v="2105"/>
        <n v="2110"/>
        <n v="2114"/>
        <n v="2115"/>
        <n v="2128"/>
        <n v="2130"/>
        <n v="2137"/>
        <n v="2142"/>
        <n v="2145"/>
        <n v="2148"/>
        <n v="2150"/>
        <n v="2154"/>
        <n v="2155"/>
        <n v="2159"/>
        <n v="2160"/>
        <n v="2169"/>
        <n v="2172"/>
        <n v="2173"/>
        <n v="2178"/>
        <n v="2180"/>
        <n v="2183"/>
        <n v="2184"/>
        <n v="2189"/>
        <n v="2198"/>
        <n v="2200"/>
        <n v="2204"/>
        <n v="2208"/>
        <n v="2210"/>
        <n v="2212"/>
        <n v="2215"/>
        <n v="2220"/>
        <n v="2225"/>
        <n v="2230"/>
        <n v="2232"/>
        <n v="2234"/>
        <n v="2236"/>
        <n v="2240"/>
        <n v="2241"/>
        <n v="2242"/>
        <n v="2248"/>
        <n v="2250"/>
        <n v="2251"/>
        <n v="2255"/>
        <n v="2258"/>
        <n v="2260"/>
        <n v="2265"/>
        <n v="2268"/>
        <n v="2270"/>
        <n v="2275"/>
        <n v="2277"/>
        <n v="2280"/>
        <n v="2285"/>
        <n v="2290"/>
        <n v="2298"/>
        <n v="2300"/>
        <n v="2307"/>
        <n v="2310"/>
        <n v="2319"/>
        <n v="2320"/>
        <n v="2323"/>
        <n v="2324"/>
        <n v="2325"/>
        <n v="2327"/>
        <n v="2329"/>
        <n v="2332"/>
        <n v="2335"/>
        <n v="2336"/>
        <n v="2337"/>
        <n v="2338"/>
        <n v="2340"/>
        <n v="2342"/>
        <n v="2345"/>
        <n v="2346"/>
        <n v="2350"/>
        <n v="2351"/>
        <n v="2355"/>
        <n v="2358"/>
        <n v="2360"/>
        <n v="2362"/>
        <n v="2368"/>
        <n v="2370"/>
        <n v="2371"/>
        <n v="2372"/>
        <n v="2375"/>
        <n v="2376"/>
        <n v="2381"/>
        <n v="2386"/>
        <n v="2390"/>
        <n v="2391"/>
        <n v="2393"/>
        <n v="2394"/>
        <n v="2395"/>
        <n v="2396"/>
        <n v="2400"/>
        <n v="2401"/>
        <n v="2410"/>
        <n v="2414"/>
        <n v="2415"/>
        <n v="2420"/>
        <n v="2422"/>
        <n v="2424"/>
        <n v="2426"/>
        <n v="2430"/>
        <n v="2431"/>
        <n v="2440"/>
        <n v="2442"/>
        <n v="2443"/>
        <n v="2455"/>
        <n v="2458"/>
        <n v="2465"/>
        <n v="2472"/>
        <n v="2475"/>
        <n v="2476"/>
        <n v="2477"/>
        <n v="2478"/>
        <n v="2482"/>
        <n v="2486"/>
        <n v="2490"/>
        <n v="2496"/>
        <n v="2498"/>
        <n v="2500"/>
        <n v="2505"/>
        <n v="2510"/>
        <n v="2520"/>
        <n v="2523"/>
        <n v="2525"/>
        <n v="2530"/>
        <n v="2535"/>
        <n v="2540"/>
        <n v="2542"/>
        <n v="2560"/>
        <n v="2566"/>
        <n v="2575"/>
        <n v="2576"/>
        <n v="2580"/>
        <n v="2583"/>
        <n v="2585"/>
        <n v="2586"/>
        <n v="2598"/>
        <n v="2600"/>
        <n v="2610"/>
        <n v="2615"/>
        <n v="2620"/>
        <n v="2624"/>
        <n v="2630"/>
        <n v="2632"/>
        <n v="2635"/>
        <n v="2638"/>
        <n v="2640"/>
        <n v="2650"/>
        <n v="2655"/>
        <n v="2656"/>
        <n v="2657"/>
        <n v="2661"/>
        <n v="2663"/>
        <n v="2675"/>
        <n v="2677"/>
        <n v="2680"/>
        <n v="2684"/>
        <n v="2687"/>
        <n v="2691"/>
        <n v="2693"/>
        <n v="2694"/>
        <n v="2695"/>
        <n v="2700"/>
        <n v="2701"/>
        <n v="2703"/>
        <n v="2710"/>
        <n v="2714"/>
        <n v="2716"/>
        <n v="2717"/>
        <n v="2725"/>
        <n v="2728"/>
        <n v="2732"/>
        <n v="2736"/>
        <n v="2739"/>
        <n v="2744"/>
        <n v="2745"/>
        <n v="2748"/>
        <n v="2754"/>
        <n v="2755"/>
        <n v="2760"/>
        <n v="2764"/>
        <n v="2765"/>
        <n v="2768"/>
        <n v="2770"/>
        <n v="2773"/>
        <n v="2775"/>
        <n v="2777"/>
        <n v="2780"/>
        <n v="2785"/>
        <n v="2787"/>
        <n v="2788"/>
        <n v="2790"/>
        <n v="2795"/>
        <n v="2800"/>
        <n v="2801"/>
        <n v="2810"/>
        <n v="2811"/>
        <n v="2814"/>
        <n v="2820"/>
        <n v="2824"/>
        <n v="2826"/>
        <n v="2830"/>
        <n v="2832"/>
        <n v="2838"/>
        <n v="2839"/>
        <n v="2850"/>
        <n v="2854"/>
        <n v="2855"/>
        <n v="2865"/>
        <n v="2869"/>
        <n v="2870"/>
        <n v="2872"/>
        <n v="2875"/>
        <n v="2880"/>
        <n v="2885"/>
        <n v="2896"/>
        <n v="2900"/>
        <n v="2905"/>
        <n v="2906"/>
        <n v="2908"/>
        <n v="2910"/>
        <n v="2913"/>
        <n v="2920"/>
        <n v="2923"/>
        <n v="2924"/>
        <n v="2925"/>
        <n v="2926"/>
        <n v="2927"/>
        <n v="2930"/>
        <n v="2934"/>
        <n v="2937"/>
        <n v="2940"/>
        <n v="2947"/>
        <n v="2949"/>
        <n v="2950"/>
        <n v="2954"/>
        <n v="2957"/>
        <n v="2960"/>
        <n v="2961"/>
        <n v="2966"/>
        <n v="2967"/>
        <n v="2969"/>
        <n v="2970"/>
        <n v="2971"/>
        <n v="2972"/>
        <n v="2973"/>
        <n v="2980"/>
        <n v="2989"/>
        <n v="2998"/>
        <n v="3000"/>
        <n v="3005"/>
        <n v="3010"/>
        <n v="3015"/>
        <n v="3022"/>
        <n v="3030"/>
        <n v="3035"/>
        <n v="3039"/>
        <n v="3050"/>
        <n v="3051"/>
        <n v="3053"/>
        <n v="3059"/>
        <n v="3060"/>
        <n v="3061"/>
        <n v="3065"/>
        <n v="3070"/>
        <n v="3074"/>
        <n v="3075"/>
        <n v="3083"/>
        <n v="3086"/>
        <n v="3092"/>
        <n v="3094"/>
        <n v="3095"/>
        <n v="3096"/>
        <n v="3100"/>
        <n v="3101"/>
        <n v="3102"/>
        <n v="3103"/>
        <n v="3105"/>
        <n v="3110"/>
        <n v="3113"/>
        <n v="3117"/>
        <n v="3118"/>
        <n v="3119"/>
        <n v="3120"/>
        <n v="3139"/>
        <n v="3140"/>
        <n v="3141"/>
        <n v="3145"/>
        <n v="3146"/>
        <n v="3158"/>
        <n v="3159"/>
        <n v="3160"/>
        <n v="3167"/>
        <n v="3170"/>
        <n v="3172"/>
        <n v="3178"/>
        <n v="3179"/>
        <n v="3181"/>
        <n v="3186"/>
        <n v="3187"/>
        <n v="3188"/>
        <n v="3190"/>
        <n v="3200"/>
        <n v="3201"/>
        <n v="3207"/>
        <n v="3210"/>
        <n v="3214"/>
        <n v="3215"/>
        <n v="3216"/>
        <n v="3218"/>
        <n v="3225"/>
        <n v="3230"/>
        <n v="3233"/>
        <n v="3235"/>
        <n v="3238"/>
        <n v="3245"/>
        <n v="3255"/>
        <n v="3259"/>
        <n v="3263"/>
        <n v="3267"/>
        <n v="3290"/>
        <n v="3293"/>
        <n v="3295"/>
        <n v="3300"/>
        <n v="3301"/>
        <n v="3307"/>
        <n v="3310"/>
        <n v="3311"/>
        <n v="3315"/>
        <n v="3318"/>
        <n v="3323"/>
        <n v="3325"/>
        <n v="3338"/>
        <n v="3340"/>
        <n v="3345"/>
        <n v="3350"/>
        <n v="3352"/>
        <n v="3355"/>
        <n v="3356"/>
        <n v="3360"/>
        <n v="3365"/>
        <n v="3370"/>
        <n v="3373"/>
        <n v="3375"/>
        <n v="3380"/>
        <n v="3384"/>
        <n v="3390"/>
        <n v="3392"/>
        <n v="3394"/>
        <n v="3400"/>
        <n v="3403"/>
        <n v="3406"/>
        <n v="3415"/>
        <n v="3435"/>
        <n v="3440"/>
        <n v="3444"/>
        <n v="3450"/>
        <n v="3455"/>
        <n v="3465"/>
        <n v="3470"/>
        <n v="3477"/>
        <n v="3480"/>
        <n v="3497"/>
        <n v="3498"/>
        <n v="3500"/>
        <n v="3511"/>
        <n v="3520"/>
        <n v="3533"/>
        <n v="3535"/>
        <n v="3544"/>
        <n v="3547"/>
        <n v="3548"/>
        <n v="3550"/>
        <n v="3551"/>
        <n v="3555"/>
        <n v="3559"/>
        <n v="3565"/>
        <n v="3567"/>
        <n v="3572"/>
        <n v="3586"/>
        <n v="3590"/>
        <n v="3592"/>
        <n v="3595"/>
        <n v="3600"/>
        <n v="3607"/>
        <n v="3609"/>
        <n v="3613"/>
        <n v="3620"/>
        <n v="3633"/>
        <n v="3640"/>
        <n v="3643"/>
        <n v="3645"/>
        <n v="3650"/>
        <n v="3655"/>
        <n v="3658"/>
        <n v="3662"/>
        <n v="3668"/>
        <n v="3670"/>
        <n v="3674"/>
        <n v="3675"/>
        <n v="3676"/>
        <n v="3679"/>
        <n v="3682"/>
        <n v="3690"/>
        <n v="3699"/>
        <n v="3700"/>
        <n v="3702"/>
        <n v="3725"/>
        <n v="3737"/>
        <n v="3740"/>
        <n v="3744"/>
        <n v="3747"/>
        <n v="3750"/>
        <n v="3760"/>
        <n v="3765"/>
        <n v="3768"/>
        <n v="3769"/>
        <n v="3771"/>
        <n v="3775"/>
        <n v="3789"/>
        <n v="3790"/>
        <n v="3800"/>
        <n v="3802"/>
        <n v="3806"/>
        <n v="3810"/>
        <n v="3815"/>
        <n v="3816"/>
        <n v="3818"/>
        <n v="3825"/>
        <n v="3828"/>
        <n v="3833"/>
        <n v="3834"/>
        <n v="3850"/>
        <n v="3855"/>
        <n v="3865"/>
        <n v="3871"/>
        <n v="3890"/>
        <n v="3891"/>
        <n v="3895"/>
        <n v="3897"/>
        <n v="3900"/>
        <n v="3907"/>
        <n v="3915"/>
        <n v="3920"/>
        <n v="3929"/>
        <n v="3937"/>
        <n v="3940"/>
        <n v="3964"/>
        <n v="3967"/>
        <n v="3970"/>
        <n v="3979"/>
        <n v="3982"/>
        <n v="3983"/>
        <n v="3990"/>
        <n v="3995"/>
        <n v="3997"/>
        <n v="4000"/>
        <n v="4004"/>
        <n v="4005"/>
        <n v="4024"/>
        <n v="4025"/>
        <n v="4030"/>
        <n v="4039"/>
        <n v="4052"/>
        <n v="4055"/>
        <n v="4056"/>
        <n v="4069"/>
        <n v="4070"/>
        <n v="4073"/>
        <n v="4074"/>
        <n v="4080"/>
        <n v="4093"/>
        <n v="4095"/>
        <n v="4100"/>
        <n v="4105"/>
        <n v="4119"/>
        <n v="4126"/>
        <n v="4135"/>
        <n v="4147"/>
        <n v="4148"/>
        <n v="4151"/>
        <n v="4154"/>
        <n v="4180"/>
        <n v="4189"/>
        <n v="4194"/>
        <n v="4200"/>
        <n v="4202"/>
        <n v="4204"/>
        <n v="4213"/>
        <n v="4221"/>
        <n v="4222"/>
        <n v="4223"/>
        <n v="4239"/>
        <n v="4243"/>
        <n v="4245"/>
        <n v="4255"/>
        <n v="4259"/>
        <n v="4265"/>
        <n v="4269"/>
        <n v="4278"/>
        <n v="4280"/>
        <n v="4283"/>
        <n v="4295"/>
        <n v="4299"/>
        <n v="4304"/>
        <n v="4305"/>
        <n v="4313"/>
        <n v="4315"/>
        <n v="4324"/>
        <n v="4325"/>
        <n v="4332"/>
        <n v="4333"/>
        <n v="4334"/>
        <n v="4335"/>
        <n v="4336"/>
        <n v="4363"/>
        <n v="4401"/>
        <n v="4422"/>
        <n v="4440"/>
        <n v="4456"/>
        <n v="4463"/>
        <n v="4469"/>
        <n v="4490"/>
        <n v="4500"/>
        <n v="4505"/>
        <n v="4506"/>
        <n v="4511"/>
        <n v="4515"/>
        <n v="4540"/>
        <n v="4545"/>
        <n v="4547"/>
        <n v="4555"/>
        <n v="4559"/>
        <n v="4570"/>
        <n v="4571"/>
        <n v="4580"/>
        <n v="4583"/>
        <n v="4591"/>
        <n v="4594"/>
        <n v="4596"/>
        <n v="4599"/>
        <n v="4600"/>
        <n v="4601"/>
        <n v="4603"/>
        <n v="4625"/>
        <n v="4630"/>
        <n v="4635"/>
        <n v="4640"/>
        <n v="4641"/>
        <n v="4644"/>
        <n v="4645"/>
        <n v="4650"/>
        <n v="4662"/>
        <n v="4676"/>
        <n v="4680"/>
        <n v="4690"/>
        <n v="4692"/>
        <n v="4694"/>
        <n v="4695"/>
        <n v="4700"/>
        <n v="4708"/>
        <n v="4710"/>
        <n v="4715"/>
        <n v="4726"/>
        <n v="4740"/>
        <n v="4743"/>
        <n v="4752"/>
        <n v="4759"/>
        <n v="4760"/>
        <n v="4769"/>
        <n v="4801"/>
        <n v="4802"/>
        <n v="4812"/>
        <n v="4815"/>
        <n v="4818"/>
        <n v="4840"/>
        <n v="4850"/>
        <n v="4865"/>
        <n v="4866"/>
        <n v="4875"/>
        <n v="4916"/>
        <n v="4929"/>
        <n v="4965"/>
        <n v="4975"/>
        <n v="4984"/>
        <n v="4985"/>
        <n v="5000"/>
        <n v="5008"/>
        <n v="5009"/>
        <n v="5010"/>
        <n v="5015"/>
        <n v="5038"/>
        <n v="5040"/>
        <n v="5041"/>
        <n v="5050"/>
        <n v="5059"/>
        <n v="5060"/>
        <n v="5065"/>
        <n v="5087"/>
        <n v="5089"/>
        <n v="5103"/>
        <n v="5104"/>
        <n v="5106"/>
        <n v="5125"/>
        <n v="5140"/>
        <n v="5151"/>
        <n v="5155"/>
        <n v="5165"/>
        <n v="5180"/>
        <n v="5200"/>
        <n v="5205"/>
        <n v="5222"/>
        <n v="5233"/>
        <n v="5235"/>
        <n v="5239"/>
        <n v="5244"/>
        <n v="5257"/>
        <n v="5260"/>
        <n v="5266"/>
        <n v="5284"/>
        <n v="5286"/>
        <n v="5289"/>
        <n v="5293"/>
        <n v="5317"/>
        <n v="5319"/>
        <n v="5320"/>
        <n v="5329"/>
        <n v="5338"/>
        <n v="5350"/>
        <n v="5357"/>
        <n v="5360"/>
        <n v="5361"/>
        <n v="5365"/>
        <n v="5379"/>
        <n v="5385"/>
        <n v="5426"/>
        <n v="5435"/>
        <n v="5440"/>
        <n v="5454"/>
        <n v="5455"/>
        <n v="5465"/>
        <n v="5502"/>
        <n v="5505"/>
        <n v="5525"/>
        <n v="5540"/>
        <n v="5547"/>
        <n v="5570"/>
        <n v="5600"/>
        <n v="5603"/>
        <n v="5624"/>
        <n v="5625"/>
        <n v="5627"/>
        <n v="5655"/>
        <n v="5660"/>
        <n v="5673"/>
        <n v="5685"/>
        <n v="5735"/>
        <n v="5749"/>
        <n v="5777"/>
        <n v="5779"/>
        <n v="5787"/>
        <n v="5788"/>
        <n v="5789"/>
        <n v="5790"/>
        <n v="5840"/>
        <n v="5844"/>
        <n v="5858"/>
        <n v="5860"/>
        <n v="5898"/>
        <n v="5924"/>
        <n v="5930"/>
        <n v="5944"/>
        <n v="5971"/>
        <n v="6000"/>
        <n v="6005"/>
        <n v="6019"/>
        <n v="6034"/>
        <n v="6039"/>
        <n v="6045"/>
        <n v="6053"/>
        <n v="6055"/>
        <n v="6080"/>
        <n v="6085"/>
        <n v="6129"/>
        <n v="6130"/>
        <n v="6148"/>
        <n v="6155"/>
        <n v="6166"/>
        <n v="6170"/>
        <n v="6175"/>
        <n v="6180"/>
        <n v="6188"/>
        <n v="6204"/>
        <n v="6220"/>
        <n v="6256"/>
        <n v="6295"/>
        <n v="6300"/>
        <n v="6323"/>
        <n v="6324"/>
        <n v="6325"/>
        <n v="6335"/>
        <n v="6351"/>
        <n v="6406"/>
        <n v="6410"/>
        <n v="6411"/>
        <n v="6418"/>
        <n v="6431"/>
        <n v="6483"/>
        <n v="6497"/>
        <n v="6500"/>
        <n v="6510"/>
        <n v="6545"/>
        <n v="6575"/>
        <n v="6577"/>
        <n v="6595"/>
        <n v="6605"/>
        <n v="6654"/>
        <n v="6657"/>
        <n v="6665"/>
        <n v="6677"/>
        <n v="6692"/>
        <n v="6740"/>
        <n v="6776"/>
        <n v="6793"/>
        <n v="6811"/>
        <n v="6869"/>
        <n v="6900"/>
        <n v="6980"/>
        <n v="6989"/>
        <n v="7000"/>
        <n v="7155"/>
        <n v="7183"/>
        <n v="7195"/>
        <n v="7223"/>
        <n v="7300"/>
        <n v="7309"/>
        <n v="7373"/>
        <n v="7428"/>
        <n v="7456"/>
        <n v="7481"/>
        <n v="7490"/>
        <n v="7569"/>
        <n v="7602"/>
        <n v="7614"/>
        <n v="7677"/>
        <n v="7704"/>
        <n v="7710"/>
        <n v="7715"/>
        <n v="7720"/>
        <n v="7769"/>
        <n v="7783"/>
        <n v="7809"/>
        <n v="7842"/>
        <n v="7849"/>
        <n v="7910"/>
        <n v="8000"/>
        <n v="8030"/>
        <n v="8060"/>
        <n v="8094"/>
        <n v="8225"/>
        <n v="8312"/>
        <n v="8352"/>
        <n v="8353"/>
        <n v="8364"/>
        <n v="8385"/>
        <n v="8500"/>
        <n v="8517"/>
        <n v="8585"/>
        <n v="8659"/>
        <n v="8789"/>
        <n v="8805"/>
        <n v="8815"/>
        <n v="8923"/>
        <n v="9034"/>
        <n v="9035"/>
        <n v="9094"/>
        <n v="9100"/>
        <n v="9121"/>
        <n v="9143"/>
        <n v="9144"/>
        <n v="9149"/>
        <n v="9159"/>
        <n v="9170"/>
        <n v="9184"/>
        <n v="9188"/>
        <n v="9193"/>
        <n v="9214"/>
        <n v="9270"/>
        <n v="9326"/>
        <n v="9400"/>
        <n v="9411"/>
        <n v="9466"/>
        <n v="9535"/>
        <n v="9552"/>
        <n v="9675"/>
        <n v="9700"/>
        <n v="9723"/>
        <n v="9728"/>
        <n v="9739"/>
        <n v="9744"/>
        <n v="9754"/>
        <n v="9785"/>
        <n v="9793"/>
        <n v="9818"/>
        <n v="9824"/>
        <n v="9834"/>
        <n v="9920"/>
        <n v="9953"/>
        <n v="9978"/>
        <n v="9992"/>
        <n v="10000"/>
        <n v="10062"/>
        <n v="10134"/>
        <n v="10140"/>
        <n v="10210"/>
        <n v="10222"/>
        <n v="10240"/>
        <n v="10300"/>
        <n v="10305"/>
        <n v="10313"/>
        <n v="10354"/>
        <n v="10397"/>
        <n v="10520"/>
        <n v="10553"/>
        <n v="10555"/>
        <n v="10616"/>
        <n v="10663"/>
        <n v="10672"/>
        <n v="10707"/>
        <n v="10737"/>
        <n v="10750"/>
        <n v="10788"/>
        <n v="10789"/>
        <n v="10840"/>
        <n v="10912"/>
        <n v="10920"/>
        <n v="10959"/>
        <n v="11000"/>
        <n v="11024"/>
        <n v="11083"/>
        <n v="11090"/>
        <n v="11194"/>
        <n v="11213"/>
        <n v="11235"/>
        <n v="11325"/>
        <n v="11350"/>
        <n v="11364"/>
        <n v="11538"/>
        <n v="11543"/>
        <n v="11653"/>
        <n v="11687"/>
        <n v="11714"/>
        <n v="11730"/>
        <n v="11739"/>
        <n v="11780"/>
        <n v="11791"/>
        <n v="11800"/>
        <n v="11875"/>
        <n v="11913"/>
        <n v="12000"/>
        <n v="12001"/>
        <n v="12010"/>
        <n v="12030"/>
        <n v="12040"/>
        <n v="12093"/>
        <n v="12235"/>
        <n v="12236"/>
        <n v="12250"/>
        <n v="12393"/>
        <n v="12539"/>
        <n v="12564"/>
        <n v="12600"/>
        <n v="12614"/>
        <n v="12675"/>
        <n v="12740"/>
        <n v="12765"/>
        <n v="12782"/>
        <n v="12800"/>
        <n v="12810"/>
        <n v="12820"/>
        <n v="12830"/>
        <n v="12833"/>
        <n v="12849"/>
        <n v="12895"/>
        <n v="12990"/>
        <n v="13055"/>
        <n v="13068"/>
        <n v="13162"/>
        <n v="13224"/>
        <n v="13250"/>
        <n v="13289"/>
        <n v="13478"/>
        <n v="13508"/>
        <n v="13543"/>
        <n v="13548"/>
        <n v="13585"/>
        <n v="13609"/>
        <n v="13624"/>
        <n v="13660"/>
        <n v="13726"/>
        <n v="13815"/>
        <n v="13878"/>
        <n v="13908"/>
        <n v="13949"/>
        <n v="13984"/>
        <n v="14075"/>
        <n v="14092"/>
        <n v="14098"/>
        <n v="14105"/>
        <n v="14157"/>
        <n v="14167"/>
        <n v="14209"/>
        <n v="14257"/>
        <n v="14284"/>
        <n v="14350"/>
        <n v="14422"/>
        <n v="14425"/>
        <n v="14439"/>
        <n v="14528"/>
        <n v="14543"/>
        <n v="14555"/>
        <n v="14615"/>
        <n v="14730"/>
        <n v="14788"/>
        <n v="14811"/>
        <n v="14834"/>
        <n v="14847"/>
        <n v="14868"/>
        <n v="14970"/>
        <n v="15000"/>
        <n v="15003"/>
        <n v="15048"/>
        <n v="15189"/>
        <n v="15218"/>
        <n v="15327"/>
        <n v="15385"/>
        <n v="15392"/>
        <n v="15463"/>
        <n v="15621"/>
        <n v="15650"/>
        <n v="15666"/>
        <n v="15670"/>
        <n v="15728"/>
        <n v="15734"/>
        <n v="15850"/>
        <n v="15888"/>
        <n v="15891"/>
        <n v="16057"/>
        <n v="16316"/>
        <n v="16319"/>
        <n v="16338"/>
        <n v="16472"/>
        <n v="16528"/>
        <n v="16530"/>
        <n v="16745"/>
        <n v="16799"/>
        <n v="16800"/>
        <n v="16846"/>
        <n v="16880"/>
        <n v="16890"/>
        <n v="16944"/>
        <n v="16970"/>
        <n v="17028"/>
        <n v="17036"/>
        <n v="17038"/>
        <n v="17085"/>
        <n v="17139"/>
        <n v="17160"/>
        <n v="17213"/>
        <n v="17226"/>
        <n v="17353"/>
        <n v="17459"/>
        <n v="17460"/>
        <n v="17494"/>
        <n v="17518"/>
        <n v="17544"/>
        <n v="17575"/>
        <n v="17578"/>
        <n v="17584"/>
        <n v="17653"/>
        <n v="17842"/>
        <n v="17867"/>
        <n v="17925"/>
        <n v="18114"/>
        <n v="18194"/>
        <n v="18246"/>
        <n v="18275"/>
        <n v="18324"/>
        <n v="18449"/>
        <n v="18500"/>
        <n v="18547"/>
        <n v="18583"/>
        <n v="18648"/>
        <n v="18709"/>
        <n v="18734"/>
        <n v="18743"/>
        <n v="18892"/>
        <n v="18895"/>
        <n v="18947"/>
        <n v="18980"/>
        <n v="19113"/>
        <n v="19284"/>
        <n v="19290"/>
        <n v="19394"/>
        <n v="19400"/>
        <n v="19422"/>
        <n v="19470"/>
        <n v="19500"/>
        <n v="19584"/>
        <n v="19643"/>
        <n v="19710"/>
        <n v="19723"/>
        <n v="19753"/>
        <n v="19844"/>
        <n v="19900"/>
        <n v="19947"/>
        <n v="20058"/>
        <n v="20117"/>
        <n v="20190"/>
        <n v="20270"/>
        <n v="20297"/>
        <n v="20324"/>
        <n v="20353"/>
        <n v="20503"/>
        <n v="20530"/>
        <n v="20748"/>
        <n v="20760"/>
        <n v="20846"/>
        <n v="20974"/>
        <n v="21006"/>
        <n v="21014"/>
        <n v="21072"/>
        <n v="21141"/>
        <n v="21150"/>
        <n v="21202"/>
        <n v="21320"/>
        <n v="21399"/>
        <n v="21405"/>
        <n v="21592"/>
        <n v="21950"/>
        <n v="21971"/>
        <n v="22146"/>
        <n v="22260"/>
        <n v="22272"/>
        <n v="22368"/>
        <n v="22459"/>
        <n v="22764"/>
        <n v="23010"/>
        <n v="23233"/>
        <n v="23279"/>
        <n v="23339"/>
        <n v="23463"/>
        <n v="23960"/>
        <n v="24257"/>
        <n v="24374"/>
        <n v="24773"/>
        <n v="24804"/>
        <n v="24840"/>
        <n v="24856"/>
        <n v="25036"/>
        <n v="25162"/>
        <n v="25241"/>
        <n v="25259"/>
        <n v="25280"/>
        <n v="25310"/>
        <n v="25600"/>
        <n v="25730"/>
        <n v="25888"/>
        <n v="25966"/>
        <n v="26031"/>
        <n v="26223"/>
        <n v="26464"/>
        <n v="26482"/>
        <n v="26853"/>
        <n v="27442"/>
        <n v="27552"/>
        <n v="27940"/>
        <n v="28310"/>
        <n v="28766"/>
        <n v="28893"/>
        <n v="29572"/>
        <n v="29901"/>
        <n v="30381"/>
        <n v="30621"/>
        <n v="30878"/>
        <n v="31562"/>
        <n v="32481"/>
        <n v="33268"/>
        <n v="34924"/>
        <n v="34948"/>
        <n v="35087"/>
        <n v="35353"/>
        <n v="36525"/>
        <m/>
      </sharedItems>
    </cacheField>
    <cacheField name="Mode" numFmtId="0">
      <sharedItems containsBlank="1" count="10">
        <s v="Bank"/>
        <s v="Bank_Cash"/>
        <s v="Card"/>
        <s v="Cash"/>
        <s v="Due"/>
        <s v="Online Sale"/>
        <s v="UPI"/>
        <s v="Wallet"/>
        <s v="Zomato Pay"/>
        <m/>
      </sharedItems>
    </cacheField>
    <cacheField name="Remarks/Vendors" numFmtId="0">
      <sharedItems containsBlank="1" count="591">
        <s v=" Petpooja"/>
        <s v="175"/>
        <s v="20 lts"/>
        <s v="65"/>
        <s v="A 1"/>
        <s v="A1"/>
        <s v="a1 "/>
        <s v="A1 Mutton"/>
        <s v="A1 mutton "/>
        <s v="A1 mutton shop"/>
        <s v="A1mutton"/>
        <s v="Abid"/>
        <s v="Abid cleiner"/>
        <s v="Abid cliener"/>
        <s v="Abid Salary"/>
        <s v="Abrar Advance"/>
        <s v="Acid"/>
        <s v="Adarsh"/>
        <s v="adarsh dairy"/>
        <s v="Aditya"/>
        <s v="Advance"/>
        <s v="Advance amount manager"/>
        <s v="Advance sandeeop"/>
        <s v="Agarbatti "/>
        <s v="ajnomoto"/>
        <s v="Akheel"/>
        <s v="Akhil"/>
        <s v="Akhil Salary"/>
        <s v="Alam Bhai"/>
        <s v="All Out"/>
        <s v="Amplifier repair"/>
        <s v="Amplififer Repair"/>
        <s v="Anand"/>
        <s v="Anand "/>
        <s v="Anand  "/>
        <s v="Anand disposal"/>
        <s v="Anand disposle"/>
        <s v="Anar"/>
        <s v="Ancle Breacfast"/>
        <s v="Ancle Breakfast"/>
        <s v="Ancle lunch"/>
        <s v="Ancle medicine"/>
        <s v="Ancle Naasta"/>
        <s v="Ancle nasta"/>
        <s v="Anclemasta"/>
        <s v="Anclenasta"/>
        <s v="Anna Dosa Wale"/>
        <s v="Anuj"/>
        <s v="Ashok"/>
        <s v="Aunty"/>
        <s v="Auto rent"/>
        <s v="Autorent"/>
        <s v="Aux "/>
        <s v="Aux Cable"/>
        <s v="Ayaz"/>
        <s v="ayub"/>
        <s v="Ayub Bhai"/>
        <s v="ayub tava person"/>
        <s v="Badam "/>
        <s v="bailley bottle"/>
        <s v="Baket"/>
        <s v="Balaji"/>
        <s v="balaji chandan nagar"/>
        <s v="balaji chandannagar"/>
        <s v="Banana"/>
        <s v="Banana &amp; Milk"/>
        <s v="Bandage"/>
        <s v="Banded"/>
        <s v="Baramati"/>
        <s v="Barista"/>
        <s v="barista "/>
        <s v="barista &amp; Peri Peri Masala"/>
        <s v="Barnal repair"/>
        <s v="bed"/>
        <s v="Begger"/>
        <s v="Belan "/>
        <s v="Bhaironath"/>
        <s v="Bhaji Mandi"/>
        <s v="Bike"/>
        <s v="Bike "/>
        <s v="Bike naintence"/>
        <s v="Bike petrol"/>
        <s v="Bike Repair"/>
        <s v="Bike Tyre &amp; Tube"/>
        <s v="Biryani continor"/>
        <s v="Biryani Sample"/>
        <s v="Biscuits"/>
        <s v="Blanket "/>
        <s v="blead"/>
        <s v="Board reparing"/>
        <s v="bond"/>
        <s v="Boneless Chicken"/>
        <s v="Book"/>
        <s v="Bowl and halogen light"/>
        <s v="Braed"/>
        <s v="Bread"/>
        <s v="Break fast "/>
        <s v="Break fast  and lunch"/>
        <s v="Brisata"/>
        <s v="Brishta"/>
        <s v="brista"/>
        <s v="Bristha"/>
        <s v="Broobs"/>
        <s v="brooms"/>
        <s v="Brush"/>
        <s v="Bulb"/>
        <s v="Butter"/>
        <s v="Butterdosa"/>
        <s v="Butterpapaer"/>
        <s v="Cap"/>
        <s v="Cap staff"/>
        <s v="Caremal Pudding"/>
        <s v="Carrot"/>
        <s v="Carry Beg"/>
        <s v="carrybag"/>
        <s v="Cash Return Extra upi"/>
        <s v="Cash Sale"/>
        <s v="cash shortage"/>
        <s v="Casting Soda"/>
        <s v="Cello Tap"/>
        <s v="Cemara &amp; Paint"/>
        <s v="Cement"/>
        <s v="Cement and morang"/>
        <s v="Cerry Beg"/>
        <s v="Chaat Masala"/>
        <s v="Chaddar and takiya"/>
        <s v="Chakudhar"/>
        <s v="Chamber Clean"/>
        <s v="Chanda Ganpati Swaraj mitra Mnadal"/>
        <s v="Chap"/>
        <s v="Chap "/>
        <s v="Chapati"/>
        <s v="charcoal"/>
        <s v="Charing Cable &amp; Lighter"/>
        <s v="Cheeler"/>
        <s v="Chef Cap"/>
        <s v="Chembar cliene"/>
        <s v="Chembar cliener"/>
        <s v="Chicken"/>
        <s v="Chicken "/>
        <s v="Chicken Garbage"/>
        <s v="chicken garbage "/>
        <s v="Chicken Kachra"/>
        <s v="Chiken Waitage"/>
        <s v="Chipotali Sauce"/>
        <s v="Chipotle Souce"/>
        <s v="Chipotli Sauce"/>
        <s v="chopsi"/>
        <s v="Chopsy"/>
        <s v="Civil Work"/>
        <s v="cocunet"/>
        <s v="Coffee"/>
        <s v="Coffee ancle"/>
        <s v="Cold Drinks"/>
        <s v="Container"/>
        <s v="contaner"/>
        <s v="continor"/>
        <s v="Contonor"/>
        <s v="cooker city"/>
        <s v="Cooker Repair"/>
        <s v="Coppy and sweet"/>
        <s v="Corn"/>
        <s v="corn flower"/>
        <s v="Cornet"/>
        <s v="Cornet "/>
        <s v="Cornet Hotel"/>
        <s v="Cornflower"/>
        <s v="Cortun"/>
        <s v="Counter exes"/>
        <s v="Customer Excess Return"/>
        <s v="Customer Return "/>
        <s v="dairy"/>
        <s v="danish"/>
        <s v="Danish advance"/>
        <s v="Danish Ticket"/>
        <s v="Delivery"/>
        <s v="Desi Chicken"/>
        <s v="Dinesh"/>
        <s v="Dinesh Advance "/>
        <s v="Disposable"/>
        <s v="Disposable payment Umesh sir"/>
        <s v="disposal"/>
        <s v="Donation"/>
        <s v="Door Mate "/>
        <s v="Door Repair"/>
        <s v="dosa"/>
        <s v="Drainage"/>
        <s v="Drainage Maintance"/>
        <s v="Dry Fruits"/>
        <s v="Due Payment Recived"/>
        <s v="Due Payment Talib Bhai"/>
        <s v="egg"/>
        <s v="Eggs"/>
        <s v="Electric Work"/>
        <s v="Electricity"/>
        <s v="Electronic Scale"/>
        <s v="Elite hotel"/>
        <s v="Elite Stay"/>
        <s v="Elite stay &amp; Shivsai"/>
        <s v="Envater"/>
        <s v="est and soda"/>
        <s v="excess cash return"/>
        <s v="Excess UPI Return"/>
        <s v="Exhaust Fan"/>
        <s v="Extra Upi Return"/>
        <s v="fan repair"/>
        <s v="Files,Notebook"/>
        <s v="Fish"/>
        <s v="Flex"/>
        <s v="Flex Printing"/>
        <s v="For Aunty"/>
        <s v="French Fries"/>
        <s v="frenchfries"/>
        <s v="Gaatha"/>
        <s v="Gadi"/>
        <s v="Garbage"/>
        <s v="Garbage Clean"/>
        <s v="Garbage Vehicle"/>
        <s v="Gas"/>
        <s v="Gas Barnal repair"/>
        <s v="GAS Bhatthi repair"/>
        <s v="Gas Bhatti Repair"/>
        <s v="Gas Cylinder"/>
        <s v="Gas Pipe"/>
        <s v="Gass repair"/>
        <s v="Gatha"/>
        <s v="gatha vegetable"/>
        <s v="Ghisni and piller"/>
        <s v="Glen Sir"/>
        <s v="Golden"/>
        <s v="golden chicken"/>
        <s v="Golden food"/>
        <s v="Govt Fine For Shawarama Machine"/>
        <s v="Green Chilli"/>
        <s v="Grendar machine"/>
        <s v="Grocery"/>
        <s v="Gyaneshwari"/>
        <s v="gyaneshwari charcoal"/>
        <s v="gyaneswari"/>
        <s v="Gyanshewari"/>
        <s v="Gyansheweri"/>
        <s v="gyanshewri"/>
        <s v="Gyanshweri"/>
        <s v="Gyneshwari"/>
        <s v="Handi "/>
        <s v="Handwash and carribag"/>
        <s v="Hardwear"/>
        <s v="hardwere"/>
        <s v="Hit"/>
        <s v="Honey"/>
        <s v="Hotel Rent"/>
        <s v="Hotel Sajid"/>
        <s v="Huk "/>
        <s v="hyperpure"/>
        <s v="Ibrar"/>
        <s v="Ibrar Advance"/>
        <s v="Idli Container"/>
        <s v="Imraan"/>
        <s v="Imran"/>
        <s v="Internet"/>
        <s v="Internet "/>
        <s v="Irfan"/>
        <s v="Irman"/>
        <s v="Jali"/>
        <s v="jali keema machine"/>
        <s v="jali repair"/>
        <s v="Juber"/>
        <s v="Juber "/>
        <s v="Junaid"/>
        <s v="Kachra bag"/>
        <s v="Kachra gadi"/>
        <s v="Kachra Rockde"/>
        <s v="Kaju"/>
        <s v="kanaya"/>
        <s v="kebab masala"/>
        <s v="Kedar"/>
        <s v="Kedar Vegitable"/>
        <s v="Khad "/>
        <s v="Khata Jali"/>
        <s v="Khenya"/>
        <s v="Kheteshwar Trading"/>
        <s v="kiner"/>
        <s v="kInnar"/>
        <s v="Kinnars"/>
        <s v="kinner"/>
        <s v="Kinners"/>
        <s v="Kishan Pan Shop"/>
        <s v="Knife Repair"/>
        <s v="Knife Repair,Garbage Clean"/>
        <s v="knife sharpner"/>
        <s v="Kolam Rice"/>
        <s v="Kukar"/>
        <s v="Kurkure"/>
        <s v="Laitter"/>
        <s v="laitter and papaya"/>
        <s v="Lassi"/>
        <s v="Laute"/>
        <s v="Laxmi Bai"/>
        <s v="Laxmi Bai Salary"/>
        <s v="Laxmi Salary"/>
        <s v="Lemon"/>
        <s v="Lightbill"/>
        <s v="Lighter"/>
        <s v="Lock"/>
        <s v="Luxmi By"/>
        <s v="M seal"/>
        <s v="Mahesh"/>
        <s v="maintance"/>
        <s v="maintence"/>
        <s v="mandi"/>
        <s v="Manohar advance"/>
        <s v="marker"/>
        <s v="Marker pen"/>
        <s v="Mashroom &amp; Dahi"/>
        <s v="Mausi"/>
        <s v="Mava"/>
        <s v="mayones"/>
        <s v="Mayonise &amp; Chipotle"/>
        <s v="Mayonises&amp;Peri Peri Masala"/>
        <s v="Meat Masala"/>
        <s v="Medician"/>
        <s v="medician for aunty"/>
        <s v="medicine"/>
        <s v="Medicine "/>
        <s v="Megic"/>
        <s v="Megic Bakery"/>
        <s v="Mela"/>
        <s v="Mennue"/>
        <s v="Mesurement tap"/>
        <s v="Methi &amp; Sev"/>
        <s v="Microwave Oven Repair"/>
        <s v="Milk"/>
        <s v="Milk &amp; Bread"/>
        <s v="Milk&amp;Bared"/>
        <s v="mint"/>
        <s v="Mixer Dhakan"/>
        <s v="Mixer Repair"/>
        <s v="Mobile Stand"/>
        <s v="Momos"/>
        <s v="Momos "/>
        <s v="Monut"/>
        <s v="Mop Rifil &amp; Cling Wrap"/>
        <s v="mops"/>
        <s v="Moto"/>
        <s v="Mount"/>
        <s v="Mount "/>
        <s v="Mount Momos"/>
        <s v="Mouse"/>
        <s v="Mouse,Keybord &amp; Bulb"/>
        <s v="Mujeeb"/>
        <s v="mujib indian helper"/>
        <s v="Mukesh"/>
        <s v="Mukesh Kumar"/>
        <s v="Mulani"/>
        <s v="mulani "/>
        <s v="mulani egg"/>
        <s v="Mulani Eggs"/>
        <s v="Mumbai Brisata"/>
        <s v="Musatafa"/>
        <s v="muttan &amp; paya"/>
        <s v="Mutton"/>
        <s v="mutton "/>
        <s v="Mutton and keema"/>
        <s v="Mutton and paya"/>
        <s v="muttun charbi"/>
        <s v="nafees "/>
        <s v="Naseem Bhai Salary"/>
        <s v="Nashta"/>
        <s v="Nasim"/>
        <s v="Nasim "/>
        <s v="Nasim advance"/>
        <s v="Nasim bhai"/>
        <s v="New Amplifier"/>
        <s v="New Speaker"/>
        <s v="News papaer"/>
        <s v="News Paper"/>
        <s v="Newspaper"/>
        <s v="Nirma"/>
        <s v="Noddles"/>
        <s v="Nonstickpen"/>
        <s v="Noodle"/>
        <s v="Noodles"/>
        <s v="Nootebool"/>
        <s v="Note Book"/>
        <s v="Notebook"/>
        <s v="nut and boult"/>
        <s v="Oil"/>
        <s v="Oil &amp; Sugar"/>
        <s v="Om Enterpriese"/>
        <s v="Onion"/>
        <s v="Onion &amp; papaya"/>
        <s v="onion 106kg"/>
        <s v="Oven"/>
        <s v="paint"/>
        <s v="Paint &amp; Diya"/>
        <s v="palak"/>
        <s v="Pana"/>
        <s v="Paneer"/>
        <s v="Paneer &amp; Paratha"/>
        <s v="Paobhaji"/>
        <s v="Papad seo "/>
        <s v="papaya"/>
        <s v="Papaya &amp; Spring Onion"/>
        <s v="Paper Plate"/>
        <s v="Paper Roll For Biling Machine"/>
        <s v="papya"/>
        <s v="Paratha"/>
        <s v="Paratha "/>
        <s v="paratha &amp; Soya Chaap"/>
        <s v="Paw (Tava)"/>
        <s v="Pawar"/>
        <s v="Paya"/>
        <s v="Pen"/>
        <s v="Pen marker"/>
        <s v="pepooja"/>
        <s v="pepsi"/>
        <s v="Peri peri masala"/>
        <s v="peri peri masala &amp; Dal Chini"/>
        <s v="Peri peri masala and cornflower"/>
        <s v="perpooja"/>
        <s v="pery pery masala"/>
        <s v="pet pooja"/>
        <s v="Petpooja"/>
        <s v="Petpooja Renual"/>
        <s v="Petrol"/>
        <s v="Petrol "/>
        <s v="Petrol shakil sir"/>
        <s v="pipe"/>
        <s v="Pita Bared"/>
        <s v="Pita Berad"/>
        <s v="Pita Braed"/>
        <s v="Pita Bread"/>
        <s v="Pitabread"/>
        <s v="Plate"/>
        <s v="Plate and spoon"/>
        <s v="Plumbing"/>
        <s v="Plumbing Work"/>
        <s v="Police"/>
        <s v="Porter"/>
        <s v="Porter For Golden Chicken"/>
        <s v="Prakash"/>
        <s v="Prakash Salary"/>
        <s v="Prime Rose"/>
        <s v="Pudhina"/>
        <s v="pudina"/>
        <s v="Qureshi Masala"/>
        <s v="Rabdi"/>
        <s v="Rahman"/>
        <s v="Rain Coat"/>
        <s v="Rajesh"/>
        <s v="Raju"/>
        <s v="Raju advance"/>
        <s v="raju tandoor"/>
        <s v="Ram Kumar"/>
        <s v="Ram Kumar "/>
        <s v="Ram Kumar Salary"/>
        <s v="Rassi "/>
        <s v="Recharge"/>
        <s v="Regulater"/>
        <s v="rent auto"/>
        <s v="restauranr sheeter grece"/>
        <s v="Restaurant New Inventory"/>
        <s v="Return customer"/>
        <s v="Rocde"/>
        <s v="Rockde "/>
        <s v="Rockde Bonus"/>
        <s v="Room Adv"/>
        <s v="Room Advance"/>
        <s v="rosan "/>
        <s v="Rubber"/>
        <s v="Sabji mandi"/>
        <s v="Sadai waris"/>
        <s v="Saday waris"/>
        <s v="sahi tukda bread"/>
        <s v="Sai Bharat"/>
        <s v="Sai Bharat Gas"/>
        <s v="Sajid"/>
        <s v="Sajid Noori"/>
        <s v="salary danish"/>
        <s v="Salary Patta"/>
        <s v="salary suhail"/>
        <s v="Salt"/>
        <s v="Sameer"/>
        <s v="Sandeep"/>
        <s v="Santosh"/>
        <s v="Santosh Salary"/>
        <s v="Sariya"/>
        <s v="Satff"/>
        <s v="Seafood"/>
        <s v="Sealer machine repair"/>
        <s v="Seat"/>
        <s v="Seeller machine repair"/>
        <s v="Shakil"/>
        <s v="Shakil Sair"/>
        <s v="Shakil Sir"/>
        <s v="Shawrma machine jali"/>
        <s v="sheet"/>
        <s v="shivdatt dairy"/>
        <s v="Shivsai"/>
        <s v="Shortage"/>
        <s v="shree Bhairavnath"/>
        <s v="Shree Sai"/>
        <s v="Silicon"/>
        <s v="Singdana"/>
        <s v="Singdi stand "/>
        <s v="Sirup"/>
        <s v="Soda"/>
        <s v="Softdrink"/>
        <s v="souce botl"/>
        <s v="Soya Chaap"/>
        <s v="Soya Chaap "/>
        <s v="Soya Chaap &amp; Paratha"/>
        <s v="Soya Chaap &amp; Sauce"/>
        <s v="Soya chap"/>
        <s v="Soya chap and paratha"/>
        <s v="Soyachaap &amp; Paratha"/>
        <s v="Soyachap paratha"/>
        <s v="Splendor"/>
        <s v="Splendor Service"/>
        <s v="Splendor Washing"/>
        <s v="Spoon"/>
        <s v="Spring For Door"/>
        <s v="Sree Bhairavnath"/>
        <s v="Staff"/>
        <s v="Staff "/>
        <s v="staff expences"/>
        <s v="Staff Gadi"/>
        <s v="Staff Incentive"/>
        <s v="Staff Salary"/>
        <s v="staff tea"/>
        <s v="Sunflower Oil"/>
        <s v="Surf"/>
        <s v="Swiggy &amp; Zomato"/>
        <s v="Swiggy&amp;zomato"/>
        <s v="Taar ghasni"/>
        <s v="takiya"/>
        <s v="Talib Bhai"/>
        <s v="Tandoor section repair &amp; metrial"/>
        <s v="Tandoori Chicken"/>
        <s v="Tanker"/>
        <s v="tanki repair"/>
        <s v="Tap"/>
        <s v="tap wall"/>
        <s v="tata water"/>
        <s v="Tata water bottle"/>
        <s v="tax"/>
        <s v="Tea"/>
        <s v="Thakur"/>
        <s v="Tissuse"/>
        <s v="To Al zohra acc"/>
        <s v="Today's Cash Shortage"/>
        <s v="tomato"/>
        <s v="Tomato &amp; Cabbage"/>
        <s v="Tomatto"/>
        <s v="Toothpic"/>
        <s v="Toothpick"/>
        <s v="Treaklight"/>
        <s v="tublit 2 pics"/>
        <s v="Umesh Ji"/>
        <s v="Umesh Sir"/>
        <s v="Umeshji"/>
        <s v="Umeshji fine"/>
        <s v="UPI Sale"/>
        <s v="Vegetable"/>
        <s v="Vegitable"/>
        <s v="vehical service"/>
        <s v="Vijay"/>
        <s v="Vijay "/>
        <s v="Vijay Chamber Cleaning"/>
        <s v="Vijay Mama"/>
        <s v="Vijay Mobile Recharge"/>
        <s v="Wada Maker"/>
        <s v="Wakeel"/>
        <s v="Wakil"/>
        <s v="washcleiner"/>
        <s v="water"/>
        <s v="Water  1 ltr"/>
        <s v="Water 1 ltr"/>
        <s v="Water 20 Ltrs"/>
        <s v="Water Bottel"/>
        <s v="Water bottle"/>
        <s v="Water Tanker"/>
        <s v="Waterbottle"/>
        <s v="Watertanker"/>
        <s v="Weldding"/>
        <s v="Welding"/>
        <s v="Welding "/>
        <s v="Wire"/>
        <s v="Zolo Pg "/>
        <s v="Zomato Pay"/>
        <m/>
      </sharedItems>
    </cacheField>
    <cacheField name="Month" numFmtId="0">
      <sharedItems containsDate="1" containsMixedTypes="1" minDate="2025-11-01T00:00:00" maxDate="2025-11-01T00:00:00" count="14">
        <d v="2025-11-01T00:00:00"/>
        <s v="01-2025"/>
        <s v="02-2025"/>
        <s v="03-2025"/>
        <s v="04-2025"/>
        <s v="05-2025"/>
        <s v="06-2025"/>
        <s v="07-2025"/>
        <s v="08-2025"/>
        <s v="09-2025"/>
        <s v="10-2025"/>
        <s v="11-2025"/>
        <s v="11=2025"/>
        <s v="12-1899"/>
      </sharedItems>
    </cacheField>
    <cacheField name="Paid/Unpaid" numFmtId="0">
      <sharedItems containsBlank="1" count="3">
        <s v="Paid"/>
        <s v="Unpaid"/>
        <m/>
      </sharedItems>
    </cacheField>
    <cacheField name="Paid By" numFmtId="0">
      <sharedItems containsBlank="1" count="5">
        <s v="Bank"/>
        <s v="Naseem"/>
        <s v="Sameer"/>
        <s v="Shakil"/>
        <m/>
      </sharedItems>
    </cacheField>
    <cacheField name="Payment Date" numFmtId="0">
      <sharedItems containsDate="1" containsBlank="1" containsMixedTypes="1" minDate="2025-04-01T00:00:00" maxDate="2025-11-28T00:00:00" count="222"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6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9T00:00:00"/>
        <d v="2025-08-20T00:00:00"/>
        <d v="2025-08-21T00:00:00"/>
        <d v="2025-08-22T00:00:00"/>
        <d v="2025-08-24T00:00:00"/>
        <d v="2025-08-26T00:00:00"/>
        <d v="2025-08-28T00:00:00"/>
        <d v="2025-08-29T00:00:00"/>
        <d v="2025-08-30T00:00:00"/>
        <d v="2025-08-31T00:00:00"/>
        <d v="2025-09-02T00:00:00"/>
        <d v="2025-09-03T00:00:00"/>
        <d v="2025-09-05T00:00:00"/>
        <d v="2025-09-06T00:00:00"/>
        <d v="2025-09-07T00:00:00"/>
        <d v="2025-09-08T00:00:00"/>
        <d v="2025-09-09T00:00:00"/>
        <d v="2025-09-10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2T00:00:00"/>
        <d v="2025-10-23T00:00:00"/>
        <d v="2025-10-24T00:00:00"/>
        <d v="2025-10-25T00:00:00"/>
        <d v="2025-10-26T00:00:00"/>
        <d v="2025-10-28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10T00:00:00"/>
        <d v="2025-11-11T00:00:00"/>
        <d v="2025-11-12T00:00:00"/>
        <d v="2025-11-13T00:00:00"/>
        <d v="2025-11-15T00:00:00"/>
        <d v="2025-11-17T00:00:00"/>
        <d v="2025-11-18T00:00:00"/>
        <d v="2025-11-20T00:00:00"/>
        <d v="2025-11-23T00:00:00"/>
        <d v="2025-11-24T00:00:00"/>
        <d v="2025-11-28T00:00:00"/>
        <s v=" "/>
        <s v="03/10/0225"/>
        <s v="23/11/0205"/>
        <m/>
      </sharedItems>
    </cacheField>
    <cacheField name="Category" numFmtId="0">
      <sharedItems containsBlank="1" count="15">
        <s v="Bike Maintance"/>
        <s v="Cash Withdrawal"/>
        <s v="Excess Amount Return"/>
        <s v="Fixed Maintance"/>
        <s v="Grocery"/>
        <s v="Inventory"/>
        <s v="Maintance"/>
        <s v="Maintenance"/>
        <s v="New Inventory"/>
        <s v="Salary"/>
        <s v="Sales"/>
        <s v="Shortage"/>
        <s v="Staff Expenses"/>
        <e v="#N/A"/>
        <m/>
      </sharedItems>
    </cacheField>
    <cacheField name="ID" numFmtId="0">
      <sharedItems containsBlank="1" count="5409">
        <s v="0002"/>
        <s v="0003"/>
        <s v="0004"/>
        <s v="0005"/>
        <s v="0006"/>
        <s v="0007"/>
        <s v="0008"/>
        <s v="0009"/>
        <s v="0010"/>
        <s v="0011"/>
        <s v="0012"/>
        <s v="0013"/>
        <s v="0014"/>
        <s v="0015"/>
        <s v="0016"/>
        <s v="0017"/>
        <s v="0018"/>
        <s v="0019"/>
        <s v="0020"/>
        <s v="0021"/>
        <s v="0022"/>
        <s v="0023"/>
        <s v="0024"/>
        <s v="0025"/>
        <s v="0026"/>
        <s v="0027"/>
        <s v="0028"/>
        <s v="0029"/>
        <s v="0030"/>
        <s v="0031"/>
        <s v="0032"/>
        <s v="0033"/>
        <s v="0034"/>
        <s v="0035"/>
        <s v="0036"/>
        <s v="0037"/>
        <s v="0038"/>
        <s v="0039"/>
        <s v="0040"/>
        <s v="0041"/>
        <s v="0042"/>
        <s v="0043"/>
        <s v="0044"/>
        <s v="0045"/>
        <s v="0046"/>
        <s v="0047"/>
        <s v="0048"/>
        <s v="0049"/>
        <s v="0050"/>
        <s v="0051"/>
        <s v="0052"/>
        <s v="0053"/>
        <s v="0054"/>
        <s v="0055"/>
        <s v="0056"/>
        <s v="0057"/>
        <s v="0058"/>
        <s v="0059"/>
        <s v="0060"/>
        <s v="0061"/>
        <s v="0062"/>
        <s v="0063"/>
        <s v="0064"/>
        <s v="0065"/>
        <s v="0066"/>
        <s v="0067"/>
        <s v="0068"/>
        <s v="0069"/>
        <s v="0070"/>
        <s v="0071"/>
        <s v="0072"/>
        <s v="0073"/>
        <s v="0074"/>
        <s v="0075"/>
        <s v="0076"/>
        <s v="0077"/>
        <s v="0078"/>
        <s v="0079"/>
        <s v="0080"/>
        <s v="0081"/>
        <s v="0082"/>
        <s v="0083"/>
        <s v="0084"/>
        <s v="0085"/>
        <s v="0086"/>
        <s v="0087"/>
        <s v="0088"/>
        <s v="0089"/>
        <s v="0090"/>
        <s v="0091"/>
        <s v="0092"/>
        <s v="0093"/>
        <s v="0094"/>
        <s v="0095"/>
        <s v="0096"/>
        <s v="0097"/>
        <s v="0098"/>
        <s v="0099"/>
        <s v="0100"/>
        <s v="0101"/>
        <s v="0102"/>
        <s v="0103"/>
        <s v="0104"/>
        <s v="0105"/>
        <s v="0106"/>
        <s v="0107"/>
        <s v="0108"/>
        <s v="0109"/>
        <s v="0110"/>
        <s v="0111"/>
        <s v="0112"/>
        <s v="0113"/>
        <s v="0114"/>
        <s v="0115"/>
        <s v="0116"/>
        <s v="0117"/>
        <s v="0118"/>
        <s v="0119"/>
        <s v="0120"/>
        <s v="0121"/>
        <s v="0122"/>
        <s v="0123"/>
        <s v="0124"/>
        <s v="0125"/>
        <s v="0126"/>
        <s v="0127"/>
        <s v="0128"/>
        <s v="0129"/>
        <s v="0130"/>
        <s v="0131"/>
        <s v="0132"/>
        <s v="0133"/>
        <s v="0134"/>
        <s v="0135"/>
        <s v="0136"/>
        <s v="0137"/>
        <s v="0138"/>
        <s v="0139"/>
        <s v="0140"/>
        <s v="0141"/>
        <s v="0142"/>
        <s v="0143"/>
        <s v="0144"/>
        <s v="0145"/>
        <s v="0146"/>
        <s v="0147"/>
        <s v="0148"/>
        <s v="0149"/>
        <s v="0150"/>
        <s v="0151"/>
        <s v="0152"/>
        <s v="0153"/>
        <s v="0154"/>
        <s v="0155"/>
        <s v="0156"/>
        <s v="0157"/>
        <s v="0158"/>
        <s v="0159"/>
        <s v="0160"/>
        <s v="0161"/>
        <s v="0162"/>
        <s v="0163"/>
        <s v="0164"/>
        <s v="0165"/>
        <s v="0166"/>
        <s v="0167"/>
        <s v="0168"/>
        <s v="0169"/>
        <s v="0170"/>
        <s v="0171"/>
        <s v="0172"/>
        <s v="0173"/>
        <s v="0174"/>
        <s v="0175"/>
        <s v="0176"/>
        <s v="0177"/>
        <s v="0178"/>
        <s v="0179"/>
        <s v="0180"/>
        <s v="0181"/>
        <s v="0182"/>
        <s v="0183"/>
        <s v="0184"/>
        <s v="0185"/>
        <s v="0186"/>
        <s v="0187"/>
        <s v="0188"/>
        <s v="0189"/>
        <s v="0190"/>
        <s v="0191"/>
        <s v="0192"/>
        <s v="0193"/>
        <s v="0194"/>
        <s v="0195"/>
        <s v="0196"/>
        <s v="0197"/>
        <s v="0198"/>
        <s v="0199"/>
        <s v="0200"/>
        <s v="0201"/>
        <s v="0202"/>
        <s v="0203"/>
        <s v="0204"/>
        <s v="0205"/>
        <s v="0206"/>
        <s v="0207"/>
        <s v="0208"/>
        <s v="0209"/>
        <s v="0210"/>
        <s v="0211"/>
        <s v="0212"/>
        <s v="0213"/>
        <s v="0214"/>
        <s v="0215"/>
        <s v="0216"/>
        <s v="0217"/>
        <s v="0218"/>
        <s v="0219"/>
        <s v="0220"/>
        <s v="0221"/>
        <s v="0222"/>
        <s v="0223"/>
        <s v="0224"/>
        <s v="0225"/>
        <s v="0226"/>
        <s v="0227"/>
        <s v="0228"/>
        <s v="0229"/>
        <s v="0230"/>
        <s v="0231"/>
        <s v="0232"/>
        <s v="0233"/>
        <s v="0234"/>
        <s v="0235"/>
        <s v="0236"/>
        <s v="0237"/>
        <s v="0238"/>
        <s v="0239"/>
        <s v="0240"/>
        <s v="0241"/>
        <s v="0242"/>
        <s v="0243"/>
        <s v="0244"/>
        <s v="0245"/>
        <s v="0246"/>
        <s v="0247"/>
        <s v="0248"/>
        <s v="0249"/>
        <s v="0250"/>
        <s v="0251"/>
        <s v="0252"/>
        <s v="0253"/>
        <s v="0254"/>
        <s v="0255"/>
        <s v="0256"/>
        <s v="0257"/>
        <s v="0258"/>
        <s v="0259"/>
        <s v="0260"/>
        <s v="0261"/>
        <s v="0262"/>
        <s v="0263"/>
        <s v="0264"/>
        <s v="0265"/>
        <s v="0266"/>
        <s v="0267"/>
        <s v="0268"/>
        <s v="0269"/>
        <s v="0270"/>
        <s v="0271"/>
        <s v="0272"/>
        <s v="0273"/>
        <s v="0274"/>
        <s v="0275"/>
        <s v="0276"/>
        <s v="0277"/>
        <s v="0278"/>
        <s v="0279"/>
        <s v="0280"/>
        <s v="0281"/>
        <s v="0282"/>
        <s v="0283"/>
        <s v="0284"/>
        <s v="0285"/>
        <s v="0286"/>
        <s v="0287"/>
        <s v="0288"/>
        <s v="0289"/>
        <s v="0290"/>
        <s v="0291"/>
        <s v="0292"/>
        <s v="0293"/>
        <s v="0294"/>
        <s v="0295"/>
        <s v="0296"/>
        <s v="0297"/>
        <s v="0298"/>
        <s v="0299"/>
        <s v="0300"/>
        <s v="0301"/>
        <s v="0302"/>
        <s v="0303"/>
        <s v="0304"/>
        <s v="0305"/>
        <s v="0306"/>
        <s v="0307"/>
        <s v="0308"/>
        <s v="0309"/>
        <s v="0310"/>
        <s v="0311"/>
        <s v="0312"/>
        <s v="0313"/>
        <s v="0314"/>
        <s v="0315"/>
        <s v="0316"/>
        <s v="0317"/>
        <s v="0318"/>
        <s v="0319"/>
        <s v="0320"/>
        <s v="0321"/>
        <s v="0322"/>
        <s v="0323"/>
        <s v="0324"/>
        <s v="0325"/>
        <s v="0326"/>
        <s v="0327"/>
        <s v="0328"/>
        <s v="0329"/>
        <s v="0330"/>
        <s v="0331"/>
        <s v="0332"/>
        <s v="0333"/>
        <s v="0334"/>
        <s v="0335"/>
        <s v="0336"/>
        <s v="0337"/>
        <s v="0338"/>
        <s v="0339"/>
        <s v="0340"/>
        <s v="0341"/>
        <s v="0342"/>
        <s v="0343"/>
        <s v="0344"/>
        <s v="0345"/>
        <s v="0346"/>
        <s v="0347"/>
        <s v="0348"/>
        <s v="0349"/>
        <s v="0350"/>
        <s v="0351"/>
        <s v="0352"/>
        <s v="0353"/>
        <s v="0354"/>
        <s v="0355"/>
        <s v="0356"/>
        <s v="0357"/>
        <s v="0358"/>
        <s v="0359"/>
        <s v="0360"/>
        <s v="0361"/>
        <s v="0362"/>
        <s v="0363"/>
        <s v="0364"/>
        <s v="0365"/>
        <s v="0366"/>
        <s v="0367"/>
        <s v="0368"/>
        <s v="0369"/>
        <s v="0370"/>
        <s v="0371"/>
        <s v="0372"/>
        <s v="0373"/>
        <s v="0374"/>
        <s v="0375"/>
        <s v="0376"/>
        <s v="0377"/>
        <s v="0378"/>
        <s v="0379"/>
        <s v="0380"/>
        <s v="0381"/>
        <s v="0382"/>
        <s v="0383"/>
        <s v="0384"/>
        <s v="0385"/>
        <s v="0386"/>
        <s v="0387"/>
        <s v="0388"/>
        <s v="0389"/>
        <s v="0390"/>
        <s v="0391"/>
        <s v="0392"/>
        <s v="0393"/>
        <s v="0394"/>
        <s v="0395"/>
        <s v="0396"/>
        <s v="0397"/>
        <s v="0398"/>
        <s v="0399"/>
        <s v="0400"/>
        <s v="0401"/>
        <s v="0402"/>
        <s v="0403"/>
        <s v="0404"/>
        <s v="0405"/>
        <s v="0406"/>
        <s v="0407"/>
        <s v="0408"/>
        <s v="0409"/>
        <s v="0410"/>
        <s v="0411"/>
        <s v="0412"/>
        <s v="0413"/>
        <s v="0414"/>
        <s v="0415"/>
        <s v="0416"/>
        <s v="0417"/>
        <s v="0418"/>
        <s v="0419"/>
        <s v="0420"/>
        <s v="0421"/>
        <s v="0422"/>
        <s v="0423"/>
        <s v="0424"/>
        <s v="0425"/>
        <s v="0426"/>
        <s v="0427"/>
        <s v="0428"/>
        <s v="0429"/>
        <s v="0430"/>
        <s v="0431"/>
        <s v="0432"/>
        <s v="0433"/>
        <s v="0434"/>
        <s v="0435"/>
        <s v="0436"/>
        <s v="0437"/>
        <s v="0438"/>
        <s v="0439"/>
        <s v="0440"/>
        <s v="0441"/>
        <s v="0442"/>
        <s v="0443"/>
        <s v="0444"/>
        <s v="0445"/>
        <s v="0446"/>
        <s v="0447"/>
        <s v="0448"/>
        <s v="0449"/>
        <s v="0450"/>
        <s v="0451"/>
        <s v="0452"/>
        <s v="0453"/>
        <s v="0454"/>
        <s v="0455"/>
        <s v="0456"/>
        <s v="0457"/>
        <s v="0458"/>
        <s v="0459"/>
        <s v="0460"/>
        <s v="0461"/>
        <s v="0462"/>
        <s v="0463"/>
        <s v="0464"/>
        <s v="0465"/>
        <s v="0466"/>
        <s v="0467"/>
        <s v="0468"/>
        <s v="0469"/>
        <s v="0470"/>
        <s v="0471"/>
        <s v="0472"/>
        <s v="0473"/>
        <s v="0474"/>
        <s v="0475"/>
        <s v="0476"/>
        <s v="0477"/>
        <s v="0478"/>
        <s v="0479"/>
        <s v="0480"/>
        <s v="0481"/>
        <s v="0482"/>
        <s v="0483"/>
        <s v="0484"/>
        <s v="0485"/>
        <s v="0486"/>
        <s v="0487"/>
        <s v="0488"/>
        <s v="0489"/>
        <s v="0490"/>
        <s v="0491"/>
        <s v="0492"/>
        <s v="0493"/>
        <s v="0494"/>
        <s v="0495"/>
        <s v="0496"/>
        <s v="0497"/>
        <s v="0498"/>
        <s v="0499"/>
        <s v="0500"/>
        <s v="0501"/>
        <s v="0502"/>
        <s v="0503"/>
        <s v="0504"/>
        <s v="0505"/>
        <s v="0506"/>
        <s v="0507"/>
        <s v="0508"/>
        <s v="0509"/>
        <s v="0510"/>
        <s v="0511"/>
        <s v="0512"/>
        <s v="0513"/>
        <s v="0514"/>
        <s v="0515"/>
        <s v="0516"/>
        <s v="0517"/>
        <s v="0518"/>
        <s v="0519"/>
        <s v="0520"/>
        <s v="0521"/>
        <s v="0522"/>
        <s v="0523"/>
        <s v="0524"/>
        <s v="0525"/>
        <s v="0526"/>
        <s v="0527"/>
        <s v="0528"/>
        <s v="0529"/>
        <s v="0530"/>
        <s v="0531"/>
        <s v="0532"/>
        <s v="0533"/>
        <s v="0534"/>
        <s v="0535"/>
        <s v="0536"/>
        <s v="0537"/>
        <s v="0538"/>
        <s v="0539"/>
        <s v="0540"/>
        <s v="0541"/>
        <s v="0542"/>
        <s v="0543"/>
        <s v="0544"/>
        <s v="0545"/>
        <s v="0546"/>
        <s v="0547"/>
        <s v="0548"/>
        <s v="0549"/>
        <s v="0550"/>
        <s v="0551"/>
        <s v="0552"/>
        <s v="0553"/>
        <s v="0554"/>
        <s v="0555"/>
        <s v="0556"/>
        <s v="0557"/>
        <s v="0558"/>
        <s v="0559"/>
        <s v="0560"/>
        <s v="0561"/>
        <s v="0562"/>
        <s v="0563"/>
        <s v="0564"/>
        <s v="0565"/>
        <s v="0566"/>
        <s v="0567"/>
        <s v="0568"/>
        <s v="0569"/>
        <s v="0570"/>
        <s v="0571"/>
        <s v="0572"/>
        <s v="0573"/>
        <s v="0574"/>
        <s v="0575"/>
        <s v="0576"/>
        <s v="0577"/>
        <s v="0578"/>
        <s v="0579"/>
        <s v="0580"/>
        <s v="0581"/>
        <s v="0582"/>
        <s v="0583"/>
        <s v="0584"/>
        <s v="0585"/>
        <s v="0586"/>
        <s v="0587"/>
        <s v="0588"/>
        <s v="0589"/>
        <s v="0590"/>
        <s v="0591"/>
        <s v="0592"/>
        <s v="0593"/>
        <s v="0594"/>
        <s v="0595"/>
        <s v="0596"/>
        <s v="0597"/>
        <s v="0598"/>
        <s v="0599"/>
        <s v="0600"/>
        <s v="0601"/>
        <s v="0602"/>
        <s v="0603"/>
        <s v="0604"/>
        <s v="0605"/>
        <s v="0606"/>
        <s v="0607"/>
        <s v="0608"/>
        <s v="0609"/>
        <s v="0610"/>
        <s v="0611"/>
        <s v="0612"/>
        <s v="0613"/>
        <s v="0614"/>
        <s v="0615"/>
        <s v="0616"/>
        <s v="0617"/>
        <s v="0618"/>
        <s v="0619"/>
        <s v="0620"/>
        <s v="0621"/>
        <s v="0622"/>
        <s v="0623"/>
        <s v="0624"/>
        <s v="0625"/>
        <s v="0626"/>
        <s v="0627"/>
        <s v="0628"/>
        <s v="0629"/>
        <s v="0630"/>
        <s v="0631"/>
        <s v="0632"/>
        <s v="0633"/>
        <s v="0634"/>
        <s v="0635"/>
        <s v="0636"/>
        <s v="0637"/>
        <s v="0638"/>
        <s v="0639"/>
        <s v="0640"/>
        <s v="0641"/>
        <s v="0642"/>
        <s v="0643"/>
        <s v="0644"/>
        <s v="0645"/>
        <s v="0646"/>
        <s v="0647"/>
        <s v="0648"/>
        <s v="0649"/>
        <s v="0650"/>
        <s v="0651"/>
        <s v="0652"/>
        <s v="0653"/>
        <s v="0654"/>
        <s v="0655"/>
        <s v="0656"/>
        <s v="0657"/>
        <s v="0658"/>
        <s v="0659"/>
        <s v="0660"/>
        <s v="0661"/>
        <s v="0662"/>
        <s v="0663"/>
        <s v="0664"/>
        <s v="0665"/>
        <s v="0666"/>
        <s v="0667"/>
        <s v="0668"/>
        <s v="0669"/>
        <s v="0670"/>
        <s v="0671"/>
        <s v="0672"/>
        <s v="0673"/>
        <s v="0674"/>
        <s v="0675"/>
        <s v="0676"/>
        <s v="0677"/>
        <s v="0678"/>
        <s v="0679"/>
        <s v="0680"/>
        <s v="0681"/>
        <s v="0682"/>
        <s v="0683"/>
        <s v="0684"/>
        <s v="0685"/>
        <s v="0686"/>
        <s v="0687"/>
        <s v="0688"/>
        <s v="0689"/>
        <s v="0690"/>
        <s v="0691"/>
        <s v="0692"/>
        <s v="0693"/>
        <s v="0694"/>
        <s v="0695"/>
        <s v="0696"/>
        <s v="0697"/>
        <s v="0698"/>
        <s v="0699"/>
        <s v="0700"/>
        <s v="0701"/>
        <s v="0702"/>
        <s v="0703"/>
        <s v="0704"/>
        <s v="0705"/>
        <s v="0706"/>
        <s v="0707"/>
        <s v="0708"/>
        <s v="0709"/>
        <s v="0710"/>
        <s v="0711"/>
        <s v="0712"/>
        <s v="0713"/>
        <s v="0714"/>
        <s v="0715"/>
        <s v="0716"/>
        <s v="0717"/>
        <s v="0718"/>
        <s v="0719"/>
        <s v="0720"/>
        <s v="0721"/>
        <s v="0722"/>
        <s v="0723"/>
        <s v="0724"/>
        <s v="0725"/>
        <s v="0726"/>
        <s v="0727"/>
        <s v="0728"/>
        <s v="0729"/>
        <s v="0730"/>
        <s v="0731"/>
        <s v="0732"/>
        <s v="0733"/>
        <s v="0734"/>
        <s v="0735"/>
        <s v="0736"/>
        <s v="0737"/>
        <s v="0738"/>
        <s v="0739"/>
        <s v="0740"/>
        <s v="0741"/>
        <s v="0742"/>
        <s v="0743"/>
        <s v="0744"/>
        <s v="0745"/>
        <s v="0746"/>
        <s v="0747"/>
        <s v="0748"/>
        <s v="0749"/>
        <s v="0750"/>
        <s v="0751"/>
        <s v="0752"/>
        <s v="0753"/>
        <s v="0754"/>
        <s v="0755"/>
        <s v="0756"/>
        <s v="0757"/>
        <s v="0758"/>
        <s v="0759"/>
        <s v="0760"/>
        <s v="0761"/>
        <s v="0762"/>
        <s v="0763"/>
        <s v="0764"/>
        <s v="0765"/>
        <s v="0766"/>
        <s v="0767"/>
        <s v="0768"/>
        <s v="0769"/>
        <s v="0770"/>
        <s v="0771"/>
        <s v="0772"/>
        <s v="0773"/>
        <s v="0774"/>
        <s v="0775"/>
        <s v="0776"/>
        <s v="0777"/>
        <s v="0778"/>
        <s v="0779"/>
        <s v="0780"/>
        <s v="0781"/>
        <s v="0782"/>
        <s v="0783"/>
        <s v="0784"/>
        <s v="0785"/>
        <s v="0786"/>
        <s v="0787"/>
        <s v="0788"/>
        <s v="0789"/>
        <s v="0790"/>
        <s v="0791"/>
        <s v="0792"/>
        <s v="0793"/>
        <s v="0794"/>
        <s v="0795"/>
        <s v="0796"/>
        <s v="0797"/>
        <s v="0798"/>
        <s v="0799"/>
        <s v="0800"/>
        <s v="0801"/>
        <s v="0802"/>
        <s v="0803"/>
        <s v="0804"/>
        <s v="0805"/>
        <s v="0806"/>
        <s v="0807"/>
        <s v="0808"/>
        <s v="0809"/>
        <s v="0810"/>
        <s v="0811"/>
        <s v="0812"/>
        <s v="0813"/>
        <s v="0814"/>
        <s v="0815"/>
        <s v="0816"/>
        <s v="0817"/>
        <s v="0818"/>
        <s v="0819"/>
        <s v="0820"/>
        <s v="0821"/>
        <s v="0822"/>
        <s v="0823"/>
        <s v="0824"/>
        <s v="0825"/>
        <s v="0826"/>
        <s v="0827"/>
        <s v="0828"/>
        <s v="0829"/>
        <s v="0830"/>
        <s v="0831"/>
        <s v="0832"/>
        <s v="0833"/>
        <s v="0834"/>
        <s v="0835"/>
        <s v="0836"/>
        <s v="0837"/>
        <s v="0838"/>
        <s v="0839"/>
        <s v="0840"/>
        <s v="0841"/>
        <s v="0842"/>
        <s v="0843"/>
        <s v="0844"/>
        <s v="0845"/>
        <s v="0846"/>
        <s v="0847"/>
        <s v="0848"/>
        <s v="0849"/>
        <s v="0850"/>
        <s v="0851"/>
        <s v="0852"/>
        <s v="0853"/>
        <s v="0854"/>
        <s v="0855"/>
        <s v="0856"/>
        <s v="0857"/>
        <s v="0858"/>
        <s v="0859"/>
        <s v="0860"/>
        <s v="0861"/>
        <s v="0862"/>
        <s v="0863"/>
        <s v="0864"/>
        <s v="0865"/>
        <s v="0866"/>
        <s v="0867"/>
        <s v="0868"/>
        <s v="0869"/>
        <s v="0870"/>
        <s v="0871"/>
        <s v="0872"/>
        <s v="0873"/>
        <s v="0874"/>
        <s v="0875"/>
        <s v="0876"/>
        <s v="0877"/>
        <s v="0878"/>
        <s v="0879"/>
        <s v="0880"/>
        <s v="0881"/>
        <s v="0882"/>
        <s v="0883"/>
        <s v="0884"/>
        <s v="0885"/>
        <s v="0886"/>
        <s v="0887"/>
        <s v="0888"/>
        <s v="0889"/>
        <s v="0890"/>
        <s v="0891"/>
        <s v="0892"/>
        <s v="0893"/>
        <s v="0894"/>
        <s v="0895"/>
        <s v="0896"/>
        <s v="0897"/>
        <s v="0898"/>
        <s v="0899"/>
        <s v="0900"/>
        <s v="0901"/>
        <s v="0902"/>
        <s v="0903"/>
        <s v="0904"/>
        <s v="0905"/>
        <s v="0906"/>
        <s v="0907"/>
        <s v="0908"/>
        <s v="0909"/>
        <s v="0910"/>
        <s v="0911"/>
        <s v="0912"/>
        <s v="0913"/>
        <s v="0914"/>
        <s v="0915"/>
        <s v="0916"/>
        <s v="0917"/>
        <s v="0918"/>
        <s v="0919"/>
        <s v="0920"/>
        <s v="0921"/>
        <s v="0922"/>
        <s v="0923"/>
        <s v="0924"/>
        <s v="0925"/>
        <s v="0926"/>
        <s v="0927"/>
        <s v="0928"/>
        <s v="0929"/>
        <s v="0930"/>
        <s v="0931"/>
        <s v="0932"/>
        <s v="0933"/>
        <s v="0934"/>
        <s v="0935"/>
        <s v="0936"/>
        <s v="0937"/>
        <s v="0938"/>
        <s v="0939"/>
        <s v="0940"/>
        <s v="0941"/>
        <s v="0942"/>
        <s v="0943"/>
        <s v="0944"/>
        <s v="0945"/>
        <s v="0946"/>
        <s v="0947"/>
        <s v="0948"/>
        <s v="0949"/>
        <s v="0950"/>
        <s v="0951"/>
        <s v="0952"/>
        <s v="0953"/>
        <s v="0954"/>
        <s v="0955"/>
        <s v="0956"/>
        <s v="0957"/>
        <s v="0958"/>
        <s v="0959"/>
        <s v="0960"/>
        <s v="0961"/>
        <s v="0962"/>
        <s v="0963"/>
        <s v="0964"/>
        <s v="0965"/>
        <s v="0966"/>
        <s v="0967"/>
        <s v="0968"/>
        <s v="0969"/>
        <s v="0970"/>
        <s v="0971"/>
        <s v="0972"/>
        <s v="0973"/>
        <s v="0974"/>
        <s v="0975"/>
        <s v="0976"/>
        <s v="0977"/>
        <s v="0978"/>
        <s v="0979"/>
        <s v="0980"/>
        <s v="0981"/>
        <s v="0982"/>
        <s v="0983"/>
        <s v="0984"/>
        <s v="0985"/>
        <s v="0986"/>
        <s v="0987"/>
        <s v="0988"/>
        <s v="0989"/>
        <s v="0990"/>
        <s v="0991"/>
        <s v="0992"/>
        <s v="0993"/>
        <s v="0994"/>
        <s v="0995"/>
        <s v="0996"/>
        <s v="0997"/>
        <s v="0998"/>
        <s v="0999"/>
        <s v="1000"/>
        <s v="1001"/>
        <s v="1002"/>
        <s v="1003"/>
        <s v="1004"/>
        <s v="1005"/>
        <s v="1006"/>
        <s v="1007"/>
        <s v="1008"/>
        <s v="1009"/>
        <s v="1010"/>
        <s v="1011"/>
        <s v="1012"/>
        <s v="1013"/>
        <s v="1014"/>
        <s v="1015"/>
        <s v="1016"/>
        <s v="1017"/>
        <s v="1018"/>
        <s v="1019"/>
        <s v="1020"/>
        <s v="1021"/>
        <s v="1022"/>
        <s v="1023"/>
        <s v="1024"/>
        <s v="1025"/>
        <s v="1026"/>
        <s v="1027"/>
        <s v="1028"/>
        <s v="1029"/>
        <s v="1030"/>
        <s v="1031"/>
        <s v="1032"/>
        <s v="1033"/>
        <s v="1034"/>
        <s v="1035"/>
        <s v="1036"/>
        <s v="1037"/>
        <s v="1038"/>
        <s v="1039"/>
        <s v="1040"/>
        <s v="1041"/>
        <s v="1042"/>
        <s v="1043"/>
        <s v="1044"/>
        <s v="1045"/>
        <s v="1046"/>
        <s v="1047"/>
        <s v="1048"/>
        <s v="1049"/>
        <s v="1050"/>
        <s v="1051"/>
        <s v="1052"/>
        <s v="1053"/>
        <s v="1054"/>
        <s v="1055"/>
        <s v="1056"/>
        <s v="1057"/>
        <s v="1058"/>
        <s v="1059"/>
        <s v="1060"/>
        <s v="1061"/>
        <s v="1062"/>
        <s v="1063"/>
        <s v="1064"/>
        <s v="1065"/>
        <s v="1066"/>
        <s v="1067"/>
        <s v="1068"/>
        <s v="1069"/>
        <s v="1070"/>
        <s v="1071"/>
        <s v="1072"/>
        <s v="1073"/>
        <s v="1074"/>
        <s v="1075"/>
        <s v="1076"/>
        <s v="1077"/>
        <s v="1078"/>
        <s v="1079"/>
        <s v="1080"/>
        <s v="1081"/>
        <s v="1082"/>
        <s v="1083"/>
        <s v="1084"/>
        <s v="1085"/>
        <s v="1086"/>
        <s v="1087"/>
        <s v="1088"/>
        <s v="1089"/>
        <s v="1090"/>
        <s v="1091"/>
        <s v="1092"/>
        <s v="1093"/>
        <s v="1094"/>
        <s v="1095"/>
        <s v="1096"/>
        <s v="1097"/>
        <s v="1098"/>
        <s v="1099"/>
        <s v="1100"/>
        <s v="1101"/>
        <s v="1102"/>
        <s v="1103"/>
        <s v="1104"/>
        <s v="1105"/>
        <s v="1106"/>
        <s v="1107"/>
        <s v="1108"/>
        <s v="1109"/>
        <s v="1110"/>
        <s v="1111"/>
        <s v="1112"/>
        <s v="1113"/>
        <s v="1114"/>
        <s v="1115"/>
        <s v="1116"/>
        <s v="1117"/>
        <s v="1118"/>
        <s v="1119"/>
        <s v="1120"/>
        <s v="1121"/>
        <s v="1122"/>
        <s v="1123"/>
        <s v="1124"/>
        <s v="1125"/>
        <s v="1126"/>
        <s v="1127"/>
        <s v="1128"/>
        <s v="1129"/>
        <s v="1130"/>
        <s v="1131"/>
        <s v="1132"/>
        <s v="1133"/>
        <s v="1134"/>
        <s v="1135"/>
        <s v="1136"/>
        <s v="1137"/>
        <s v="1138"/>
        <s v="1139"/>
        <s v="1140"/>
        <s v="1141"/>
        <s v="1142"/>
        <s v="1143"/>
        <s v="1144"/>
        <s v="1145"/>
        <s v="1146"/>
        <s v="1147"/>
        <s v="1148"/>
        <s v="1149"/>
        <s v="1150"/>
        <s v="1151"/>
        <s v="1152"/>
        <s v="1153"/>
        <s v="1154"/>
        <s v="1155"/>
        <s v="1156"/>
        <s v="1157"/>
        <s v="1158"/>
        <s v="1159"/>
        <s v="1160"/>
        <s v="1161"/>
        <s v="1163"/>
        <s v="1164"/>
        <s v="1165"/>
        <s v="1166"/>
        <s v="1167"/>
        <s v="1174"/>
        <s v="1175"/>
        <s v="1176"/>
        <s v="1177"/>
        <s v="1179"/>
        <s v="1180"/>
        <s v="1181"/>
        <s v="1182"/>
        <s v="1183"/>
        <s v="1184"/>
        <s v="1185"/>
        <s v="1186"/>
        <s v="1187"/>
        <s v="1188"/>
        <s v="1189"/>
        <s v="1190"/>
        <s v="1191"/>
        <s v="1192"/>
        <s v="1193"/>
        <s v="1194"/>
        <s v="1195"/>
        <s v="1196"/>
        <s v="1197"/>
        <s v="1198"/>
        <s v="1199"/>
        <s v="1200"/>
        <s v="1201"/>
        <s v="1202"/>
        <s v="1203"/>
        <s v="1204"/>
        <s v="1205"/>
        <s v="1206"/>
        <s v="1207"/>
        <s v="1208"/>
        <s v="1209"/>
        <s v="1210"/>
        <s v="1211"/>
        <s v="1212"/>
        <s v="1213"/>
        <s v="1214"/>
        <s v="1215"/>
        <s v="1216"/>
        <s v="1217"/>
        <s v="1218"/>
        <s v="1219"/>
        <s v="1220"/>
        <s v="1221"/>
        <s v="1222"/>
        <s v="1223"/>
        <s v="1224"/>
        <s v="1225"/>
        <s v="1226"/>
        <s v="1227"/>
        <s v="1228"/>
        <s v="1229"/>
        <s v="1230"/>
        <s v="1231"/>
        <s v="1232"/>
        <s v="1233"/>
        <s v="1234"/>
        <s v="1235"/>
        <s v="1236"/>
        <s v="1237"/>
        <s v="1238"/>
        <s v="1239"/>
        <s v="1240"/>
        <s v="1241"/>
        <s v="1242"/>
        <s v="1243"/>
        <s v="1244"/>
        <s v="1245"/>
        <s v="1246"/>
        <s v="1247"/>
        <s v="1248"/>
        <s v="1249"/>
        <s v="1250"/>
        <s v="1251"/>
        <s v="1252"/>
        <s v="1253"/>
        <s v="1254"/>
        <s v="1255"/>
        <s v="1256"/>
        <s v="1257"/>
        <s v="1258"/>
        <s v="1259"/>
        <s v="1260"/>
        <s v="1261"/>
        <s v="1262"/>
        <s v="1263"/>
        <s v="1264"/>
        <s v="1265"/>
        <s v="1266"/>
        <s v="1267"/>
        <s v="1268"/>
        <s v="1269"/>
        <s v="1270"/>
        <s v="1271"/>
        <s v="1272"/>
        <s v="1273"/>
        <s v="1274"/>
        <s v="1275"/>
        <s v="1276"/>
        <s v="1277"/>
        <s v="1278"/>
        <s v="1279"/>
        <s v="1280"/>
        <s v="1281"/>
        <s v="1282"/>
        <s v="1283"/>
        <s v="1284"/>
        <s v="1285"/>
        <s v="1286"/>
        <s v="1287"/>
        <s v="1288"/>
        <s v="1289"/>
        <s v="1290"/>
        <s v="1291"/>
        <s v="1292"/>
        <s v="1293"/>
        <s v="1294"/>
        <s v="1295"/>
        <s v="1296"/>
        <s v="1297"/>
        <s v="1298"/>
        <s v="1299"/>
        <s v="1300"/>
        <s v="1301"/>
        <s v="1302"/>
        <s v="1303"/>
        <s v="1304"/>
        <s v="1305"/>
        <s v="1306"/>
        <s v="1307"/>
        <s v="1308"/>
        <s v="1309"/>
        <s v="1310"/>
        <s v="1311"/>
        <s v="1312"/>
        <s v="1313"/>
        <s v="1314"/>
        <s v="1315"/>
        <s v="1316"/>
        <s v="1317"/>
        <s v="1318"/>
        <s v="1319"/>
        <s v="1320"/>
        <s v="1321"/>
        <s v="1322"/>
        <s v="1323"/>
        <s v="1324"/>
        <s v="1325"/>
        <s v="1326"/>
        <s v="1327"/>
        <s v="1328"/>
        <s v="1329"/>
        <s v="1330"/>
        <s v="1331"/>
        <s v="1332"/>
        <s v="1333"/>
        <s v="1334"/>
        <s v="1335"/>
        <s v="1336"/>
        <s v="1337"/>
        <s v="1338"/>
        <s v="1339"/>
        <s v="1340"/>
        <s v="1341"/>
        <s v="1342"/>
        <s v="1343"/>
        <s v="1344"/>
        <s v="1345"/>
        <s v="1346"/>
        <s v="1347"/>
        <s v="1348"/>
        <s v="1349"/>
        <s v="1350"/>
        <s v="1351"/>
        <s v="1352"/>
        <s v="1353"/>
        <s v="1354"/>
        <s v="1355"/>
        <s v="1356"/>
        <s v="1357"/>
        <s v="1358"/>
        <s v="1359"/>
        <s v="1360"/>
        <s v="1361"/>
        <s v="1362"/>
        <s v="1363"/>
        <s v="1364"/>
        <s v="1365"/>
        <s v="1366"/>
        <s v="1367"/>
        <s v="1368"/>
        <s v="1369"/>
        <s v="1370"/>
        <s v="1371"/>
        <s v="1372"/>
        <s v="1373"/>
        <s v="1374"/>
        <s v="1375"/>
        <s v="1376"/>
        <s v="1377"/>
        <s v="1378"/>
        <s v="1379"/>
        <s v="1380"/>
        <s v="1381"/>
        <s v="1382"/>
        <s v="1383"/>
        <s v="1384"/>
        <s v="1385"/>
        <s v="1386"/>
        <s v="1387"/>
        <s v="1388"/>
        <s v="1389"/>
        <s v="1390"/>
        <s v="1391"/>
        <s v="1392"/>
        <s v="1393"/>
        <s v="1394"/>
        <s v="1395"/>
        <s v="1396"/>
        <s v="1397"/>
        <s v="1398"/>
        <s v="1399"/>
        <s v="1400"/>
        <s v="1401"/>
        <s v="1402"/>
        <s v="1403"/>
        <s v="1404"/>
        <s v="1405"/>
        <s v="1406"/>
        <s v="1407"/>
        <s v="1408"/>
        <s v="1409"/>
        <s v="1410"/>
        <s v="1411"/>
        <s v="1412"/>
        <s v="1413"/>
        <s v="1414"/>
        <s v="1415"/>
        <s v="1416"/>
        <s v="1417"/>
        <s v="1418"/>
        <s v="1419"/>
        <s v="1420"/>
        <s v="1421"/>
        <s v="1422"/>
        <s v="1423"/>
        <s v="1424"/>
        <s v="1425"/>
        <s v="1426"/>
        <s v="1427"/>
        <s v="1428"/>
        <s v="1429"/>
        <s v="1430"/>
        <s v="1431"/>
        <s v="1432"/>
        <s v="1433"/>
        <s v="1434"/>
        <s v="1435"/>
        <s v="1436"/>
        <s v="1437"/>
        <s v="1438"/>
        <s v="1439"/>
        <s v="1440"/>
        <s v="1441"/>
        <s v="1442"/>
        <s v="1443"/>
        <s v="1444"/>
        <s v="1445"/>
        <s v="1446"/>
        <s v="1447"/>
        <s v="1448"/>
        <s v="1449"/>
        <s v="1450"/>
        <s v="1451"/>
        <s v="1452"/>
        <s v="1453"/>
        <s v="1454"/>
        <s v="1455"/>
        <s v="1456"/>
        <s v="1457"/>
        <s v="1458"/>
        <s v="1459"/>
        <s v="1460"/>
        <s v="1461"/>
        <s v="1462"/>
        <s v="1463"/>
        <s v="1464"/>
        <s v="1465"/>
        <s v="1466"/>
        <s v="1467"/>
        <s v="1468"/>
        <s v="1469"/>
        <s v="1470"/>
        <s v="1471"/>
        <s v="1472"/>
        <s v="1473"/>
        <s v="1474"/>
        <s v="1475"/>
        <s v="1476"/>
        <s v="1477"/>
        <s v="1478"/>
        <s v="1479"/>
        <s v="1480"/>
        <s v="1481"/>
        <s v="1482"/>
        <s v="1483"/>
        <s v="1484"/>
        <s v="1485"/>
        <s v="1486"/>
        <s v="1487"/>
        <s v="1488"/>
        <s v="1489"/>
        <s v="1490"/>
        <s v="1491"/>
        <s v="1492"/>
        <s v="1493"/>
        <s v="1494"/>
        <s v="1495"/>
        <s v="1496"/>
        <s v="1497"/>
        <s v="1498"/>
        <s v="1499"/>
        <s v="1500"/>
        <s v="1501"/>
        <s v="1502"/>
        <s v="1503"/>
        <s v="1504"/>
        <s v="1505"/>
        <s v="1506"/>
        <s v="1507"/>
        <s v="1508"/>
        <s v="1509"/>
        <s v="1510"/>
        <s v="1511"/>
        <s v="1512"/>
        <s v="1513"/>
        <s v="1514"/>
        <s v="1515"/>
        <s v="1516"/>
        <s v="1517"/>
        <s v="1518"/>
        <s v="1519"/>
        <s v="1520"/>
        <s v="1521"/>
        <s v="1522"/>
        <s v="1523"/>
        <s v="1524"/>
        <s v="1525"/>
        <s v="1526"/>
        <s v="1527"/>
        <s v="1528"/>
        <s v="1529"/>
        <s v="1530"/>
        <s v="1531"/>
        <s v="1532"/>
        <s v="1533"/>
        <s v="1534"/>
        <s v="1535"/>
        <s v="1536"/>
        <s v="1537"/>
        <s v="1538"/>
        <s v="1539"/>
        <s v="1540"/>
        <s v="1541"/>
        <s v="1542"/>
        <s v="1543"/>
        <s v="1544"/>
        <s v="1545"/>
        <s v="1546"/>
        <s v="1547"/>
        <s v="1548"/>
        <s v="1549"/>
        <s v="1550"/>
        <s v="1551"/>
        <s v="1552"/>
        <s v="1553"/>
        <s v="1554"/>
        <s v="1555"/>
        <s v="1556"/>
        <s v="1557"/>
        <s v="1558"/>
        <s v="1559"/>
        <s v="1560"/>
        <s v="1561"/>
        <s v="1562"/>
        <s v="1563"/>
        <s v="1564"/>
        <s v="1565"/>
        <s v="1566"/>
        <s v="1567"/>
        <s v="1568"/>
        <s v="1569"/>
        <s v="1570"/>
        <s v="1571"/>
        <s v="1572"/>
        <s v="1573"/>
        <s v="1574"/>
        <s v="1575"/>
        <s v="1576"/>
        <s v="1577"/>
        <s v="1578"/>
        <s v="1579"/>
        <s v="1580"/>
        <s v="1581"/>
        <s v="1582"/>
        <s v="1583"/>
        <s v="1584"/>
        <s v="1585"/>
        <s v="1586"/>
        <s v="1587"/>
        <s v="1588"/>
        <s v="1589"/>
        <s v="1590"/>
        <s v="1591"/>
        <s v="1592"/>
        <s v="1593"/>
        <s v="1594"/>
        <s v="1595"/>
        <s v="1596"/>
        <s v="1597"/>
        <s v="1598"/>
        <s v="1599"/>
        <s v="1600"/>
        <s v="1601"/>
        <s v="1602"/>
        <s v="1603"/>
        <s v="1604"/>
        <s v="1605"/>
        <s v="1606"/>
        <s v="1607"/>
        <s v="1608"/>
        <s v="1609"/>
        <s v="1610"/>
        <s v="1611"/>
        <s v="1612"/>
        <s v="1613"/>
        <s v="1614"/>
        <s v="1615"/>
        <s v="1616"/>
        <s v="1617"/>
        <s v="1618"/>
        <s v="1619"/>
        <s v="1620"/>
        <s v="1621"/>
        <s v="1622"/>
        <s v="1623"/>
        <s v="1624"/>
        <s v="1625"/>
        <s v="1626"/>
        <s v="1627"/>
        <s v="1628"/>
        <s v="1629"/>
        <s v="1630"/>
        <s v="1631"/>
        <s v="1632"/>
        <s v="1633"/>
        <s v="1634"/>
        <s v="1635"/>
        <s v="1636"/>
        <s v="1637"/>
        <s v="1638"/>
        <s v="1639"/>
        <s v="1640"/>
        <s v="1641"/>
        <s v="1642"/>
        <s v="1643"/>
        <s v="1644"/>
        <s v="1645"/>
        <s v="1646"/>
        <s v="1647"/>
        <s v="1648"/>
        <s v="1649"/>
        <s v="1650"/>
        <s v="1651"/>
        <s v="1652"/>
        <s v="1653"/>
        <s v="1654"/>
        <s v="1655"/>
        <s v="1656"/>
        <s v="1657"/>
        <s v="1658"/>
        <s v="1659"/>
        <s v="1660"/>
        <s v="1661"/>
        <s v="1662"/>
        <s v="1663"/>
        <s v="1664"/>
        <s v="1665"/>
        <s v="1666"/>
        <s v="1667"/>
        <s v="1668"/>
        <s v="1669"/>
        <s v="1670"/>
        <s v="1671"/>
        <s v="1672"/>
        <s v="1673"/>
        <s v="1674"/>
        <s v="1675"/>
        <s v="1676"/>
        <s v="1677"/>
        <s v="1678"/>
        <s v="1679"/>
        <s v="1680"/>
        <s v="1681"/>
        <s v="1682"/>
        <s v="1683"/>
        <s v="1684"/>
        <s v="1685"/>
        <s v="1686"/>
        <s v="1687"/>
        <s v="1688"/>
        <s v="1689"/>
        <s v="1690"/>
        <s v="1691"/>
        <s v="1692"/>
        <s v="1693"/>
        <s v="1694"/>
        <s v="1695"/>
        <s v="1696"/>
        <s v="1697"/>
        <s v="1698"/>
        <s v="1699"/>
        <s v="1700"/>
        <s v="1701"/>
        <s v="1702"/>
        <s v="1703"/>
        <s v="1704"/>
        <s v="1705"/>
        <s v="1706"/>
        <s v="1707"/>
        <s v="1708"/>
        <s v="1709"/>
        <s v="1710"/>
        <s v="1711"/>
        <s v="1712"/>
        <s v="1713"/>
        <s v="1714"/>
        <s v="1715"/>
        <s v="1716"/>
        <s v="1717"/>
        <s v="1718"/>
        <s v="1719"/>
        <s v="1720"/>
        <s v="1721"/>
        <s v="1722"/>
        <s v="1723"/>
        <s v="1724"/>
        <s v="1725"/>
        <s v="1726"/>
        <s v="1727"/>
        <s v="1728"/>
        <s v="1729"/>
        <s v="1730"/>
        <s v="1731"/>
        <s v="1732"/>
        <s v="1733"/>
        <s v="1734"/>
        <s v="1735"/>
        <s v="1736"/>
        <s v="1737"/>
        <s v="1738"/>
        <s v="1739"/>
        <s v="1740"/>
        <s v="1741"/>
        <s v="1742"/>
        <s v="1743"/>
        <s v="1744"/>
        <s v="1745"/>
        <s v="1746"/>
        <s v="1747"/>
        <s v="1748"/>
        <s v="1749"/>
        <s v="1750"/>
        <s v="1751"/>
        <s v="1752"/>
        <s v="1753"/>
        <s v="1754"/>
        <s v="1755"/>
        <s v="1756"/>
        <s v="1757"/>
        <s v="1758"/>
        <s v="1759"/>
        <s v="1760"/>
        <s v="1761"/>
        <s v="1762"/>
        <s v="1763"/>
        <s v="1764"/>
        <s v="1765"/>
        <s v="1766"/>
        <s v="1767"/>
        <s v="1768"/>
        <s v="1769"/>
        <s v="1770"/>
        <s v="1771"/>
        <s v="1772"/>
        <s v="1773"/>
        <s v="1774"/>
        <s v="1775"/>
        <s v="1776"/>
        <s v="1777"/>
        <s v="1778"/>
        <s v="1779"/>
        <s v="1780"/>
        <s v="1781"/>
        <s v="1782"/>
        <s v="1783"/>
        <s v="1784"/>
        <s v="1785"/>
        <s v="1786"/>
        <s v="1787"/>
        <s v="1788"/>
        <s v="1789"/>
        <s v="1790"/>
        <s v="1791"/>
        <s v="1792"/>
        <s v="1793"/>
        <s v="1794"/>
        <s v="1795"/>
        <s v="1796"/>
        <s v="1797"/>
        <s v="1798"/>
        <s v="1799"/>
        <s v="1800"/>
        <s v="1801"/>
        <s v="1802"/>
        <s v="1803"/>
        <s v="1804"/>
        <s v="1805"/>
        <s v="1806"/>
        <s v="1807"/>
        <s v="1808"/>
        <s v="1809"/>
        <s v="1810"/>
        <s v="1811"/>
        <s v="1812"/>
        <s v="1813"/>
        <s v="1814"/>
        <s v="1815"/>
        <s v="1816"/>
        <s v="1817"/>
        <s v="1818"/>
        <s v="1819"/>
        <s v="1820"/>
        <s v="1821"/>
        <s v="1822"/>
        <s v="1823"/>
        <s v="1824"/>
        <s v="1825"/>
        <s v="1826"/>
        <s v="1827"/>
        <s v="1828"/>
        <s v="1829"/>
        <s v="1830"/>
        <s v="1831"/>
        <s v="1832"/>
        <s v="1833"/>
        <s v="1834"/>
        <s v="1835"/>
        <s v="1836"/>
        <s v="1837"/>
        <s v="1838"/>
        <s v="1839"/>
        <s v="1840"/>
        <s v="1841"/>
        <s v="1842"/>
        <s v="1843"/>
        <s v="1844"/>
        <s v="1845"/>
        <s v="1846"/>
        <s v="1847"/>
        <s v="1848"/>
        <s v="1849"/>
        <s v="1850"/>
        <s v="1851"/>
        <s v="1852"/>
        <s v="1853"/>
        <s v="1854"/>
        <s v="1855"/>
        <s v="1856"/>
        <s v="1857"/>
        <s v="1858"/>
        <s v="1859"/>
        <s v="1860"/>
        <s v="1861"/>
        <s v="1862"/>
        <s v="1863"/>
        <s v="1864"/>
        <s v="1865"/>
        <s v="1866"/>
        <s v="1867"/>
        <s v="1868"/>
        <s v="1869"/>
        <s v="1870"/>
        <s v="1871"/>
        <s v="1872"/>
        <s v="1873"/>
        <s v="1874"/>
        <s v="1875"/>
        <s v="1876"/>
        <s v="1877"/>
        <s v="1878"/>
        <s v="1879"/>
        <s v="1880"/>
        <s v="1881"/>
        <s v="1882"/>
        <s v="1883"/>
        <s v="1884"/>
        <s v="1885"/>
        <s v="1886"/>
        <s v="1887"/>
        <s v="1888"/>
        <s v="1889"/>
        <s v="1890"/>
        <s v="1891"/>
        <s v="1892"/>
        <s v="1893"/>
        <s v="1894"/>
        <s v="1895"/>
        <s v="1896"/>
        <s v="1897"/>
        <s v="1898"/>
        <s v="1899"/>
        <s v="1900"/>
        <s v="1901"/>
        <s v="1902"/>
        <s v="1903"/>
        <s v="1904"/>
        <s v="1905"/>
        <s v="1906"/>
        <s v="1907"/>
        <s v="1908"/>
        <s v="1909"/>
        <s v="1910"/>
        <s v="1911"/>
        <s v="1912"/>
        <s v="1913"/>
        <s v="1914"/>
        <s v="1915"/>
        <s v="1916"/>
        <s v="1917"/>
        <s v="1918"/>
        <s v="1919"/>
        <s v="1920"/>
        <s v="1921"/>
        <s v="1922"/>
        <s v="1923"/>
        <s v="1924"/>
        <s v="1925"/>
        <s v="1926"/>
        <s v="1927"/>
        <s v="1928"/>
        <s v="1929"/>
        <s v="1930"/>
        <s v="1931"/>
        <s v="1932"/>
        <s v="1933"/>
        <s v="1934"/>
        <s v="1935"/>
        <s v="1936"/>
        <s v="1937"/>
        <s v="1938"/>
        <s v="1939"/>
        <s v="1940"/>
        <s v="1941"/>
        <s v="1942"/>
        <s v="1943"/>
        <s v="1944"/>
        <s v="1945"/>
        <s v="1946"/>
        <s v="1947"/>
        <s v="1948"/>
        <s v="1949"/>
        <s v="1950"/>
        <s v="1951"/>
        <s v="1952"/>
        <s v="1953"/>
        <s v="1954"/>
        <s v="1955"/>
        <s v="1956"/>
        <s v="1957"/>
        <s v="1958"/>
        <s v="1959"/>
        <s v="1960"/>
        <s v="1961"/>
        <s v="1962"/>
        <s v="1963"/>
        <s v="1964"/>
        <s v="1965"/>
        <s v="1966"/>
        <s v="1967"/>
        <s v="1968"/>
        <s v="1969"/>
        <s v="1970"/>
        <s v="1971"/>
        <s v="1972"/>
        <s v="1973"/>
        <s v="1974"/>
        <s v="1975"/>
        <s v="1976"/>
        <s v="1977"/>
        <s v="1978"/>
        <s v="1979"/>
        <s v="1980"/>
        <s v="1981"/>
        <s v="1982"/>
        <s v="1983"/>
        <s v="1984"/>
        <s v="1985"/>
        <s v="1986"/>
        <s v="1987"/>
        <s v="1988"/>
        <s v="1989"/>
        <s v="1990"/>
        <s v="1991"/>
        <s v="1992"/>
        <s v="1993"/>
        <s v="1994"/>
        <s v="1995"/>
        <s v="1996"/>
        <s v="1997"/>
        <s v="1998"/>
        <s v="1999"/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  <s v="2025"/>
        <s v="2026"/>
        <s v="2027"/>
        <s v="2028"/>
        <s v="2029"/>
        <s v="2030"/>
        <s v="2031"/>
        <s v="2032"/>
        <s v="2033"/>
        <s v="2034"/>
        <s v="2035"/>
        <s v="2036"/>
        <s v="2037"/>
        <s v="2038"/>
        <s v="2039"/>
        <s v="2040"/>
        <s v="2041"/>
        <s v="2042"/>
        <s v="2043"/>
        <s v="2044"/>
        <s v="2045"/>
        <s v="2046"/>
        <s v="2047"/>
        <s v="2048"/>
        <s v="2049"/>
        <s v="2050"/>
        <s v="2051"/>
        <s v="2052"/>
        <s v="2053"/>
        <s v="2054"/>
        <s v="2055"/>
        <s v="2056"/>
        <s v="2057"/>
        <s v="2058"/>
        <s v="2059"/>
        <s v="2060"/>
        <s v="2061"/>
        <s v="2062"/>
        <s v="2063"/>
        <s v="2064"/>
        <s v="2065"/>
        <s v="2066"/>
        <s v="2067"/>
        <s v="2068"/>
        <s v="2069"/>
        <s v="2070"/>
        <s v="2071"/>
        <s v="2072"/>
        <s v="2073"/>
        <s v="2074"/>
        <s v="2075"/>
        <s v="2076"/>
        <s v="2077"/>
        <s v="2078"/>
        <s v="2079"/>
        <s v="2080"/>
        <s v="2081"/>
        <s v="2082"/>
        <s v="2083"/>
        <s v="2084"/>
        <s v="2085"/>
        <s v="2086"/>
        <s v="2087"/>
        <s v="2088"/>
        <s v="2089"/>
        <s v="2090"/>
        <s v="2091"/>
        <s v="2092"/>
        <s v="2093"/>
        <s v="2094"/>
        <s v="2095"/>
        <s v="2096"/>
        <s v="2097"/>
        <s v="2098"/>
        <s v="2099"/>
        <s v="2100"/>
        <s v="2101"/>
        <s v="2102"/>
        <s v="2103"/>
        <s v="2104"/>
        <s v="2105"/>
        <s v="2106"/>
        <s v="2107"/>
        <s v="2108"/>
        <s v="2109"/>
        <s v="2110"/>
        <s v="2111"/>
        <s v="2112"/>
        <s v="2113"/>
        <s v="2114"/>
        <s v="2115"/>
        <s v="2116"/>
        <s v="2117"/>
        <s v="2118"/>
        <s v="2119"/>
        <s v="2120"/>
        <s v="2121"/>
        <s v="2122"/>
        <s v="2123"/>
        <s v="2124"/>
        <s v="2125"/>
        <s v="2126"/>
        <s v="2127"/>
        <s v="2128"/>
        <s v="2129"/>
        <s v="2130"/>
        <s v="2131"/>
        <s v="2132"/>
        <s v="2133"/>
        <s v="2134"/>
        <s v="2135"/>
        <s v="2136"/>
        <s v="2137"/>
        <s v="2138"/>
        <s v="2139"/>
        <s v="2140"/>
        <s v="2141"/>
        <s v="2142"/>
        <s v="2143"/>
        <s v="2144"/>
        <s v="2145"/>
        <s v="2146"/>
        <s v="2147"/>
        <s v="2148"/>
        <s v="2149"/>
        <s v="2150"/>
        <s v="2151"/>
        <s v="2152"/>
        <s v="2153"/>
        <s v="2154"/>
        <s v="2155"/>
        <s v="2156"/>
        <s v="2157"/>
        <s v="2158"/>
        <s v="2159"/>
        <s v="2160"/>
        <s v="2161"/>
        <s v="2162"/>
        <s v="2163"/>
        <s v="2164"/>
        <s v="2165"/>
        <s v="2166"/>
        <s v="2167"/>
        <s v="2168"/>
        <s v="2169"/>
        <s v="2170"/>
        <s v="2171"/>
        <s v="2172"/>
        <s v="2173"/>
        <s v="2174"/>
        <s v="2175"/>
        <s v="2176"/>
        <s v="2177"/>
        <s v="2178"/>
        <s v="2179"/>
        <s v="2180"/>
        <s v="2181"/>
        <s v="2182"/>
        <s v="2183"/>
        <s v="2184"/>
        <s v="2185"/>
        <s v="2186"/>
        <s v="2187"/>
        <s v="2188"/>
        <s v="2189"/>
        <s v="2190"/>
        <s v="2191"/>
        <s v="2192"/>
        <s v="2193"/>
        <s v="2194"/>
        <s v="2195"/>
        <s v="2196"/>
        <s v="2197"/>
        <s v="2198"/>
        <s v="2199"/>
        <s v="2200"/>
        <s v="2201"/>
        <s v="2202"/>
        <s v="2203"/>
        <s v="2204"/>
        <s v="2205"/>
        <s v="2206"/>
        <s v="2207"/>
        <s v="2208"/>
        <s v="2209"/>
        <s v="2210"/>
        <s v="2211"/>
        <s v="2212"/>
        <s v="2213"/>
        <s v="2214"/>
        <s v="2215"/>
        <s v="2216"/>
        <s v="2217"/>
        <s v="2218"/>
        <s v="2219"/>
        <s v="2220"/>
        <s v="2221"/>
        <s v="2222"/>
        <s v="2223"/>
        <s v="2224"/>
        <s v="2225"/>
        <s v="2226"/>
        <s v="2227"/>
        <s v="2228"/>
        <s v="2229"/>
        <s v="2230"/>
        <s v="2231"/>
        <s v="2232"/>
        <s v="2233"/>
        <s v="2234"/>
        <s v="2235"/>
        <s v="2236"/>
        <s v="2237"/>
        <s v="2238"/>
        <s v="2239"/>
        <s v="2240"/>
        <s v="2241"/>
        <s v="2242"/>
        <s v="2243"/>
        <s v="2244"/>
        <s v="2245"/>
        <s v="2246"/>
        <s v="2247"/>
        <s v="2248"/>
        <s v="2249"/>
        <s v="2250"/>
        <s v="2251"/>
        <s v="2252"/>
        <s v="2253"/>
        <s v="2254"/>
        <s v="2255"/>
        <s v="2256"/>
        <s v="2257"/>
        <s v="2258"/>
        <s v="2259"/>
        <s v="2260"/>
        <s v="2261"/>
        <s v="2262"/>
        <s v="2263"/>
        <s v="2264"/>
        <s v="2265"/>
        <s v="2266"/>
        <s v="2267"/>
        <s v="2268"/>
        <s v="2269"/>
        <s v="2270"/>
        <s v="2271"/>
        <s v="2272"/>
        <s v="2273"/>
        <s v="2274"/>
        <s v="2275"/>
        <s v="2276"/>
        <s v="2277"/>
        <s v="2278"/>
        <s v="2279"/>
        <s v="2280"/>
        <s v="2281"/>
        <s v="2282"/>
        <s v="2283"/>
        <s v="2284"/>
        <s v="2285"/>
        <s v="2286"/>
        <s v="2287"/>
        <s v="2288"/>
        <s v="2289"/>
        <s v="2290"/>
        <s v="2291"/>
        <s v="2292"/>
        <s v="2293"/>
        <s v="2294"/>
        <s v="2295"/>
        <s v="2296"/>
        <s v="2297"/>
        <s v="2298"/>
        <s v="2299"/>
        <s v="2300"/>
        <s v="2301"/>
        <s v="2302"/>
        <s v="2303"/>
        <s v="2304"/>
        <s v="2305"/>
        <s v="2306"/>
        <s v="2307"/>
        <s v="2308"/>
        <s v="2309"/>
        <s v="2310"/>
        <s v="2311"/>
        <s v="2312"/>
        <s v="2313"/>
        <s v="2314"/>
        <s v="2315"/>
        <s v="2316"/>
        <s v="2317"/>
        <s v="2318"/>
        <s v="2319"/>
        <s v="2320"/>
        <s v="2321"/>
        <s v="2322"/>
        <s v="2323"/>
        <s v="2324"/>
        <s v="2325"/>
        <s v="2326"/>
        <s v="2327"/>
        <s v="2328"/>
        <s v="2329"/>
        <s v="2330"/>
        <s v="2331"/>
        <s v="2332"/>
        <s v="2333"/>
        <s v="2334"/>
        <s v="2335"/>
        <s v="2336"/>
        <s v="2337"/>
        <s v="2338"/>
        <s v="2339"/>
        <s v="2340"/>
        <s v="2341"/>
        <s v="2342"/>
        <s v="2343"/>
        <s v="2344"/>
        <s v="2345"/>
        <s v="2346"/>
        <s v="2347"/>
        <s v="2348"/>
        <s v="2349"/>
        <s v="2350"/>
        <s v="2351"/>
        <s v="2352"/>
        <s v="2353"/>
        <s v="2354"/>
        <s v="2355"/>
        <s v="2356"/>
        <s v="2357"/>
        <s v="2358"/>
        <s v="2359"/>
        <s v="2360"/>
        <s v="2361"/>
        <s v="2362"/>
        <s v="2363"/>
        <s v="2364"/>
        <s v="2365"/>
        <s v="2366"/>
        <s v="2367"/>
        <s v="2368"/>
        <s v="2369"/>
        <s v="2370"/>
        <s v="2371"/>
        <s v="2372"/>
        <s v="2373"/>
        <s v="2374"/>
        <s v="2375"/>
        <s v="2376"/>
        <s v="2377"/>
        <s v="2378"/>
        <s v="2379"/>
        <s v="2380"/>
        <s v="2381"/>
        <s v="2382"/>
        <s v="2383"/>
        <s v="2384"/>
        <s v="2385"/>
        <s v="2386"/>
        <s v="2387"/>
        <s v="2388"/>
        <s v="2389"/>
        <s v="2390"/>
        <s v="2391"/>
        <s v="2392"/>
        <s v="2393"/>
        <s v="2394"/>
        <s v="2395"/>
        <s v="2396"/>
        <s v="2397"/>
        <s v="2398"/>
        <s v="2399"/>
        <s v="2400"/>
        <s v="2401"/>
        <s v="2402"/>
        <s v="2403"/>
        <s v="2404"/>
        <s v="2405"/>
        <s v="2406"/>
        <s v="2407"/>
        <s v="2408"/>
        <s v="2409"/>
        <s v="2410"/>
        <s v="2411"/>
        <s v="2412"/>
        <s v="2413"/>
        <s v="2414"/>
        <s v="2415"/>
        <s v="2416"/>
        <s v="2417"/>
        <s v="2418"/>
        <s v="2419"/>
        <s v="2420"/>
        <s v="2421"/>
        <s v="2422"/>
        <s v="2423"/>
        <s v="2424"/>
        <s v="2425"/>
        <s v="2426"/>
        <s v="2427"/>
        <s v="2428"/>
        <s v="2429"/>
        <s v="2430"/>
        <s v="2431"/>
        <s v="2432"/>
        <s v="2433"/>
        <s v="2434"/>
        <s v="2435"/>
        <s v="2436"/>
        <s v="2437"/>
        <s v="2438"/>
        <s v="2439"/>
        <s v="2440"/>
        <s v="2441"/>
        <s v="2442"/>
        <s v="2443"/>
        <s v="2444"/>
        <s v="2445"/>
        <s v="2446"/>
        <s v="2447"/>
        <s v="2448"/>
        <s v="2449"/>
        <s v="2450"/>
        <s v="2451"/>
        <s v="2452"/>
        <s v="2453"/>
        <s v="2454"/>
        <s v="2455"/>
        <s v="2456"/>
        <s v="2457"/>
        <s v="2458"/>
        <s v="2459"/>
        <s v="2460"/>
        <s v="2461"/>
        <s v="2462"/>
        <s v="2463"/>
        <s v="2464"/>
        <s v="2465"/>
        <s v="2466"/>
        <s v="2467"/>
        <s v="2468"/>
        <s v="2469"/>
        <s v="2470"/>
        <s v="2471"/>
        <s v="2472"/>
        <s v="2473"/>
        <s v="2474"/>
        <s v="2475"/>
        <s v="2476"/>
        <s v="2477"/>
        <s v="2478"/>
        <s v="2479"/>
        <s v="2480"/>
        <s v="2481"/>
        <s v="2482"/>
        <s v="2483"/>
        <s v="2484"/>
        <s v="2485"/>
        <s v="2486"/>
        <s v="2487"/>
        <s v="2488"/>
        <s v="2489"/>
        <s v="2490"/>
        <s v="2491"/>
        <s v="2492"/>
        <s v="2493"/>
        <s v="2494"/>
        <s v="2495"/>
        <s v="2496"/>
        <s v="2497"/>
        <s v="2498"/>
        <s v="2499"/>
        <s v="2500"/>
        <s v="2501"/>
        <s v="2502"/>
        <s v="2503"/>
        <s v="2504"/>
        <s v="2505"/>
        <s v="2506"/>
        <s v="2507"/>
        <s v="2508"/>
        <s v="2509"/>
        <s v="2510"/>
        <s v="2511"/>
        <s v="2512"/>
        <s v="2513"/>
        <s v="2514"/>
        <s v="2515"/>
        <s v="2516"/>
        <s v="2517"/>
        <s v="2518"/>
        <s v="2519"/>
        <s v="2520"/>
        <s v="2521"/>
        <s v="2522"/>
        <s v="2523"/>
        <s v="2524"/>
        <s v="2525"/>
        <s v="2526"/>
        <s v="2527"/>
        <s v="2528"/>
        <s v="2529"/>
        <s v="2530"/>
        <s v="2531"/>
        <s v="2532"/>
        <s v="2533"/>
        <s v="2534"/>
        <s v="2535"/>
        <s v="2536"/>
        <s v="2537"/>
        <s v="2538"/>
        <s v="2539"/>
        <s v="2540"/>
        <s v="2541"/>
        <s v="2542"/>
        <s v="2543"/>
        <s v="2544"/>
        <s v="2545"/>
        <s v="2546"/>
        <s v="2547"/>
        <s v="2548"/>
        <s v="2549"/>
        <s v="2550"/>
        <s v="2551"/>
        <s v="2552"/>
        <s v="2553"/>
        <s v="2554"/>
        <s v="2555"/>
        <s v="2556"/>
        <s v="2557"/>
        <s v="2558"/>
        <s v="2559"/>
        <s v="2560"/>
        <s v="2561"/>
        <s v="2562"/>
        <s v="2563"/>
        <s v="2564"/>
        <s v="2565"/>
        <s v="2566"/>
        <s v="2567"/>
        <s v="2568"/>
        <s v="2569"/>
        <s v="2570"/>
        <s v="2571"/>
        <s v="2572"/>
        <s v="2573"/>
        <s v="2574"/>
        <s v="2575"/>
        <s v="2576"/>
        <s v="2577"/>
        <s v="2578"/>
        <s v="2579"/>
        <s v="2580"/>
        <s v="2581"/>
        <s v="2582"/>
        <s v="2583"/>
        <s v="2584"/>
        <s v="2585"/>
        <s v="2586"/>
        <s v="2587"/>
        <s v="2588"/>
        <s v="2589"/>
        <s v="2590"/>
        <s v="2591"/>
        <s v="2592"/>
        <s v="2593"/>
        <s v="2594"/>
        <s v="2595"/>
        <s v="2596"/>
        <s v="2597"/>
        <s v="2598"/>
        <s v="2599"/>
        <s v="2600"/>
        <s v="2601"/>
        <s v="2602"/>
        <s v="2603"/>
        <s v="2604"/>
        <s v="2605"/>
        <s v="2606"/>
        <s v="2607"/>
        <s v="2608"/>
        <s v="2609"/>
        <s v="2610"/>
        <s v="2611"/>
        <s v="2612"/>
        <s v="2613"/>
        <s v="2614"/>
        <s v="2615"/>
        <s v="2616"/>
        <s v="2617"/>
        <s v="2618"/>
        <s v="2619"/>
        <s v="2620"/>
        <s v="2621"/>
        <s v="2622"/>
        <s v="2623"/>
        <s v="2624"/>
        <s v="2625"/>
        <s v="2626"/>
        <s v="2627"/>
        <s v="2628"/>
        <s v="2629"/>
        <s v="2630"/>
        <s v="2631"/>
        <s v="2632"/>
        <s v="2633"/>
        <s v="2634"/>
        <s v="2635"/>
        <s v="2636"/>
        <s v="2637"/>
        <s v="2638"/>
        <s v="2639"/>
        <s v="2640"/>
        <s v="2641"/>
        <s v="2642"/>
        <s v="2643"/>
        <s v="2644"/>
        <s v="2645"/>
        <s v="2646"/>
        <s v="2647"/>
        <s v="2648"/>
        <s v="2649"/>
        <s v="2650"/>
        <s v="2651"/>
        <s v="2652"/>
        <s v="2653"/>
        <s v="2654"/>
        <s v="2655"/>
        <s v="2656"/>
        <s v="2657"/>
        <s v="2658"/>
        <s v="2659"/>
        <s v="2660"/>
        <s v="2661"/>
        <s v="2662"/>
        <s v="2663"/>
        <s v="2664"/>
        <s v="2665"/>
        <s v="2666"/>
        <s v="2667"/>
        <s v="2668"/>
        <s v="2669"/>
        <s v="2670"/>
        <s v="2671"/>
        <s v="2672"/>
        <s v="2673"/>
        <s v="2674"/>
        <s v="2675"/>
        <s v="2676"/>
        <s v="2677"/>
        <s v="2678"/>
        <s v="2679"/>
        <s v="2680"/>
        <s v="2681"/>
        <s v="2682"/>
        <s v="2683"/>
        <s v="2684"/>
        <s v="2685"/>
        <s v="2686"/>
        <s v="2687"/>
        <s v="2688"/>
        <s v="2689"/>
        <s v="2690"/>
        <s v="2691"/>
        <s v="2692"/>
        <s v="2693"/>
        <s v="2694"/>
        <s v="2695"/>
        <s v="2696"/>
        <s v="2697"/>
        <s v="2698"/>
        <s v="2699"/>
        <s v="2700"/>
        <s v="2701"/>
        <s v="2702"/>
        <s v="2703"/>
        <s v="2704"/>
        <s v="2705"/>
        <s v="2706"/>
        <s v="2707"/>
        <s v="2708"/>
        <s v="2709"/>
        <s v="2710"/>
        <s v="2711"/>
        <s v="2712"/>
        <s v="2713"/>
        <s v="2714"/>
        <s v="2715"/>
        <s v="2716"/>
        <s v="2717"/>
        <s v="2718"/>
        <s v="2719"/>
        <s v="2720"/>
        <s v="2721"/>
        <s v="2722"/>
        <s v="2723"/>
        <s v="2724"/>
        <s v="2725"/>
        <s v="2726"/>
        <s v="2727"/>
        <s v="2728"/>
        <s v="2729"/>
        <s v="2730"/>
        <s v="2731"/>
        <s v="2732"/>
        <s v="2733"/>
        <s v="2734"/>
        <s v="2735"/>
        <s v="2736"/>
        <s v="2737"/>
        <s v="2738"/>
        <s v="2739"/>
        <s v="2740"/>
        <s v="2741"/>
        <s v="2742"/>
        <s v="2743"/>
        <s v="2744"/>
        <s v="2745"/>
        <s v="2746"/>
        <s v="2747"/>
        <s v="2748"/>
        <s v="2749"/>
        <s v="2750"/>
        <s v="2751"/>
        <s v="2752"/>
        <s v="2753"/>
        <s v="2754"/>
        <s v="2755"/>
        <s v="2756"/>
        <s v="2757"/>
        <s v="2758"/>
        <s v="2759"/>
        <s v="2760"/>
        <s v="2761"/>
        <s v="2762"/>
        <s v="2763"/>
        <s v="2764"/>
        <s v="2765"/>
        <s v="2766"/>
        <s v="2767"/>
        <s v="2768"/>
        <s v="2769"/>
        <s v="2770"/>
        <s v="2771"/>
        <s v="2772"/>
        <s v="2773"/>
        <s v="2774"/>
        <s v="2775"/>
        <s v="2776"/>
        <s v="2777"/>
        <s v="2778"/>
        <s v="2779"/>
        <s v="2780"/>
        <s v="2781"/>
        <s v="2782"/>
        <s v="2783"/>
        <s v="2784"/>
        <s v="2785"/>
        <s v="2786"/>
        <s v="2787"/>
        <s v="2788"/>
        <s v="2789"/>
        <s v="2790"/>
        <s v="2791"/>
        <s v="2792"/>
        <s v="2793"/>
        <s v="2794"/>
        <s v="2795"/>
        <s v="2796"/>
        <s v="2797"/>
        <s v="2798"/>
        <s v="2799"/>
        <s v="2800"/>
        <s v="2801"/>
        <s v="2802"/>
        <s v="2803"/>
        <s v="2804"/>
        <s v="2805"/>
        <s v="2806"/>
        <s v="2807"/>
        <s v="2808"/>
        <s v="2809"/>
        <s v="2810"/>
        <s v="2811"/>
        <s v="2812"/>
        <s v="2813"/>
        <s v="2814"/>
        <s v="2815"/>
        <s v="2816"/>
        <s v="2817"/>
        <s v="2818"/>
        <s v="2819"/>
        <s v="2820"/>
        <s v="2821"/>
        <s v="2822"/>
        <s v="2823"/>
        <s v="2824"/>
        <s v="2825"/>
        <s v="2826"/>
        <s v="2827"/>
        <s v="2828"/>
        <s v="2829"/>
        <s v="2830"/>
        <s v="2831"/>
        <s v="2832"/>
        <s v="2833"/>
        <s v="2834"/>
        <s v="2835"/>
        <s v="2836"/>
        <s v="2837"/>
        <s v="2838"/>
        <s v="2839"/>
        <s v="2840"/>
        <s v="2841"/>
        <s v="2842"/>
        <s v="2843"/>
        <s v="2844"/>
        <s v="2845"/>
        <s v="2846"/>
        <s v="2847"/>
        <s v="2848"/>
        <s v="2849"/>
        <s v="2850"/>
        <s v="2851"/>
        <s v="2852"/>
        <s v="2853"/>
        <s v="2854"/>
        <s v="2855"/>
        <s v="2856"/>
        <s v="2857"/>
        <s v="2858"/>
        <s v="2859"/>
        <s v="2860"/>
        <s v="2861"/>
        <s v="2862"/>
        <s v="2863"/>
        <s v="2864"/>
        <s v="2865"/>
        <s v="2866"/>
        <s v="2867"/>
        <s v="2868"/>
        <s v="2869"/>
        <s v="2870"/>
        <s v="2871"/>
        <s v="2872"/>
        <s v="2873"/>
        <s v="2874"/>
        <s v="2875"/>
        <s v="2876"/>
        <s v="2877"/>
        <s v="2878"/>
        <s v="2879"/>
        <s v="2880"/>
        <s v="2881"/>
        <s v="2882"/>
        <s v="2883"/>
        <s v="2884"/>
        <s v="2885"/>
        <s v="2886"/>
        <s v="2887"/>
        <s v="2888"/>
        <s v="2889"/>
        <s v="2890"/>
        <s v="2891"/>
        <s v="2892"/>
        <s v="2893"/>
        <s v="2894"/>
        <s v="2895"/>
        <s v="2896"/>
        <s v="2897"/>
        <s v="2898"/>
        <s v="2899"/>
        <s v="2900"/>
        <s v="2901"/>
        <s v="2902"/>
        <s v="2903"/>
        <s v="2904"/>
        <s v="2905"/>
        <s v="2906"/>
        <s v="2907"/>
        <s v="2908"/>
        <s v="2909"/>
        <s v="2910"/>
        <s v="2911"/>
        <s v="2912"/>
        <s v="2913"/>
        <s v="2914"/>
        <s v="2915"/>
        <s v="2916"/>
        <s v="2917"/>
        <s v="2918"/>
        <s v="2919"/>
        <s v="2920"/>
        <s v="2921"/>
        <s v="2922"/>
        <s v="2923"/>
        <s v="2924"/>
        <s v="2925"/>
        <s v="2926"/>
        <s v="2927"/>
        <s v="2928"/>
        <s v="2929"/>
        <s v="2930"/>
        <s v="2931"/>
        <s v="2932"/>
        <s v="2933"/>
        <s v="2934"/>
        <s v="2935"/>
        <s v="2936"/>
        <s v="2937"/>
        <s v="2938"/>
        <s v="2939"/>
        <s v="2940"/>
        <s v="2941"/>
        <s v="2942"/>
        <s v="2943"/>
        <s v="2944"/>
        <s v="2945"/>
        <s v="2946"/>
        <s v="2947"/>
        <s v="2948"/>
        <s v="2949"/>
        <s v="2950"/>
        <s v="2951"/>
        <s v="2952"/>
        <s v="2953"/>
        <s v="2954"/>
        <s v="2955"/>
        <s v="2956"/>
        <s v="2957"/>
        <s v="2958"/>
        <s v="2959"/>
        <s v="2960"/>
        <s v="2961"/>
        <s v="2962"/>
        <s v="2963"/>
        <s v="2964"/>
        <s v="2965"/>
        <s v="2966"/>
        <s v="2967"/>
        <s v="2968"/>
        <s v="2969"/>
        <s v="2970"/>
        <s v="2971"/>
        <s v="2972"/>
        <s v="2973"/>
        <s v="2974"/>
        <s v="2975"/>
        <s v="2976"/>
        <s v="2977"/>
        <s v="2978"/>
        <s v="2979"/>
        <s v="2980"/>
        <s v="2981"/>
        <s v="2982"/>
        <s v="2983"/>
        <s v="2984"/>
        <s v="2985"/>
        <s v="2986"/>
        <s v="2987"/>
        <s v="2988"/>
        <s v="2989"/>
        <s v="2990"/>
        <s v="2991"/>
        <s v="2992"/>
        <s v="2993"/>
        <s v="2994"/>
        <s v="2995"/>
        <s v="2996"/>
        <s v="2997"/>
        <s v="2998"/>
        <s v="2999"/>
        <s v="3000"/>
        <s v="3001"/>
        <s v="3002"/>
        <s v="3003"/>
        <s v="3004"/>
        <s v="3005"/>
        <s v="3006"/>
        <s v="3007"/>
        <s v="3008"/>
        <s v="3009"/>
        <s v="3010"/>
        <s v="3011"/>
        <s v="3012"/>
        <s v="3013"/>
        <s v="3014"/>
        <s v="3015"/>
        <s v="3016"/>
        <s v="3017"/>
        <s v="3018"/>
        <s v="3019"/>
        <s v="3020"/>
        <s v="3021"/>
        <s v="3022"/>
        <s v="3023"/>
        <s v="3024"/>
        <s v="3025"/>
        <s v="3026"/>
        <s v="3027"/>
        <s v="3028"/>
        <s v="3029"/>
        <s v="3030"/>
        <s v="3031"/>
        <s v="3032"/>
        <s v="3033"/>
        <s v="3034"/>
        <s v="3035"/>
        <s v="3036"/>
        <s v="3037"/>
        <s v="3038"/>
        <s v="3039"/>
        <s v="3040"/>
        <s v="3041"/>
        <s v="3042"/>
        <s v="3043"/>
        <s v="3044"/>
        <s v="3045"/>
        <s v="3046"/>
        <s v="3047"/>
        <s v="3048"/>
        <s v="3049"/>
        <s v="3050"/>
        <s v="3051"/>
        <s v="3052"/>
        <s v="3053"/>
        <s v="3054"/>
        <s v="3055"/>
        <s v="3056"/>
        <s v="3057"/>
        <s v="3058"/>
        <s v="3059"/>
        <s v="3060"/>
        <s v="3061"/>
        <s v="3062"/>
        <s v="3063"/>
        <s v="3064"/>
        <s v="3065"/>
        <s v="3066"/>
        <s v="3067"/>
        <s v="3068"/>
        <s v="3069"/>
        <s v="3070"/>
        <s v="3071"/>
        <s v="3072"/>
        <s v="3073"/>
        <s v="3074"/>
        <s v="3075"/>
        <s v="3076"/>
        <s v="3077"/>
        <s v="3078"/>
        <s v="3079"/>
        <s v="3080"/>
        <s v="3081"/>
        <s v="3082"/>
        <s v="3083"/>
        <s v="3084"/>
        <s v="3085"/>
        <s v="3086"/>
        <s v="3087"/>
        <s v="3088"/>
        <s v="3089"/>
        <s v="3090"/>
        <s v="3091"/>
        <s v="3092"/>
        <s v="3093"/>
        <s v="3094"/>
        <s v="3095"/>
        <s v="3096"/>
        <s v="3097"/>
        <s v="3098"/>
        <s v="3099"/>
        <s v="3100"/>
        <s v="3101"/>
        <s v="3102"/>
        <s v="3103"/>
        <s v="3104"/>
        <s v="3105"/>
        <s v="3106"/>
        <s v="3107"/>
        <s v="3108"/>
        <s v="3109"/>
        <s v="3110"/>
        <s v="3111"/>
        <s v="3112"/>
        <s v="3113"/>
        <s v="3114"/>
        <s v="3115"/>
        <s v="3116"/>
        <s v="3117"/>
        <s v="3118"/>
        <s v="3119"/>
        <s v="3120"/>
        <s v="3121"/>
        <s v="3122"/>
        <s v="3123"/>
        <s v="3124"/>
        <s v="3125"/>
        <s v="3126"/>
        <s v="3127"/>
        <s v="3128"/>
        <s v="3129"/>
        <s v="3130"/>
        <s v="3131"/>
        <s v="3132"/>
        <s v="3133"/>
        <s v="3134"/>
        <s v="3135"/>
        <s v="3136"/>
        <s v="3137"/>
        <s v="3138"/>
        <s v="3139"/>
        <s v="3140"/>
        <s v="3141"/>
        <s v="3142"/>
        <s v="3143"/>
        <s v="3144"/>
        <s v="3145"/>
        <s v="3146"/>
        <s v="3147"/>
        <s v="3148"/>
        <s v="3149"/>
        <s v="3150"/>
        <s v="3151"/>
        <s v="3152"/>
        <s v="3153"/>
        <s v="3154"/>
        <s v="3155"/>
        <s v="3156"/>
        <s v="3157"/>
        <s v="3158"/>
        <s v="3159"/>
        <s v="3160"/>
        <s v="3161"/>
        <s v="3162"/>
        <s v="3163"/>
        <s v="3164"/>
        <s v="3165"/>
        <s v="3166"/>
        <s v="3167"/>
        <s v="3168"/>
        <s v="3169"/>
        <s v="3170"/>
        <s v="3171"/>
        <s v="3172"/>
        <s v="3173"/>
        <s v="3174"/>
        <s v="3175"/>
        <s v="3176"/>
        <s v="3177"/>
        <s v="3178"/>
        <s v="3179"/>
        <s v="3180"/>
        <s v="3181"/>
        <s v="3182"/>
        <s v="3183"/>
        <s v="3184"/>
        <s v="3185"/>
        <s v="3186"/>
        <s v="3187"/>
        <s v="3188"/>
        <s v="3189"/>
        <s v="3190"/>
        <s v="3191"/>
        <s v="3192"/>
        <s v="3193"/>
        <s v="3194"/>
        <s v="3195"/>
        <s v="3196"/>
        <s v="3197"/>
        <s v="3198"/>
        <s v="3199"/>
        <s v="3200"/>
        <s v="3201"/>
        <s v="3202"/>
        <s v="3203"/>
        <s v="3204"/>
        <s v="3205"/>
        <s v="3206"/>
        <s v="3207"/>
        <s v="3208"/>
        <s v="3209"/>
        <s v="3210"/>
        <s v="3211"/>
        <s v="3212"/>
        <s v="3213"/>
        <s v="3214"/>
        <s v="3215"/>
        <s v="3216"/>
        <s v="3217"/>
        <s v="3218"/>
        <s v="3219"/>
        <s v="3220"/>
        <s v="3221"/>
        <s v="3222"/>
        <s v="3223"/>
        <s v="3224"/>
        <s v="3225"/>
        <s v="3226"/>
        <s v="3227"/>
        <s v="3228"/>
        <s v="3229"/>
        <s v="3230"/>
        <s v="3231"/>
        <s v="3232"/>
        <s v="3233"/>
        <s v="3234"/>
        <s v="3235"/>
        <s v="3236"/>
        <s v="3237"/>
        <s v="3238"/>
        <s v="3239"/>
        <s v="3240"/>
        <s v="3241"/>
        <s v="3242"/>
        <s v="3243"/>
        <s v="3244"/>
        <s v="3245"/>
        <s v="3246"/>
        <s v="3247"/>
        <s v="3248"/>
        <s v="3249"/>
        <s v="3250"/>
        <s v="3251"/>
        <s v="3252"/>
        <s v="3253"/>
        <s v="3254"/>
        <s v="3255"/>
        <s v="3256"/>
        <s v="3257"/>
        <s v="3258"/>
        <s v="3259"/>
        <s v="3260"/>
        <s v="3261"/>
        <s v="3262"/>
        <s v="3263"/>
        <s v="3264"/>
        <s v="3265"/>
        <s v="3266"/>
        <s v="3267"/>
        <s v="3268"/>
        <s v="3269"/>
        <s v="3270"/>
        <s v="3271"/>
        <s v="3272"/>
        <s v="3273"/>
        <s v="3274"/>
        <s v="3275"/>
        <s v="3276"/>
        <s v="3277"/>
        <s v="3278"/>
        <s v="3279"/>
        <s v="3280"/>
        <s v="3281"/>
        <s v="3282"/>
        <s v="3283"/>
        <s v="3284"/>
        <s v="3285"/>
        <s v="3286"/>
        <s v="3287"/>
        <s v="3288"/>
        <s v="3289"/>
        <s v="3290"/>
        <s v="3291"/>
        <s v="3292"/>
        <s v="3293"/>
        <s v="3294"/>
        <s v="3295"/>
        <s v="3296"/>
        <s v="3297"/>
        <s v="3298"/>
        <s v="3299"/>
        <s v="3300"/>
        <s v="3301"/>
        <s v="3302"/>
        <s v="3303"/>
        <s v="3304"/>
        <s v="3305"/>
        <s v="3306"/>
        <s v="3307"/>
        <s v="3308"/>
        <s v="3309"/>
        <s v="3310"/>
        <s v="3311"/>
        <s v="3312"/>
        <s v="3313"/>
        <s v="3314"/>
        <s v="3315"/>
        <s v="3316"/>
        <s v="3317"/>
        <s v="3318"/>
        <s v="3319"/>
        <s v="3320"/>
        <s v="3321"/>
        <s v="3322"/>
        <s v="3323"/>
        <s v="3324"/>
        <s v="3325"/>
        <s v="3326"/>
        <s v="3327"/>
        <s v="3328"/>
        <s v="3329"/>
        <s v="3330"/>
        <s v="3331"/>
        <s v="3332"/>
        <s v="3333"/>
        <s v="3334"/>
        <s v="3335"/>
        <s v="3336"/>
        <s v="3337"/>
        <s v="3338"/>
        <s v="3339"/>
        <s v="3340"/>
        <s v="3341"/>
        <s v="3342"/>
        <s v="3343"/>
        <s v="3344"/>
        <s v="3345"/>
        <s v="3346"/>
        <s v="3347"/>
        <s v="3348"/>
        <s v="3349"/>
        <s v="3350"/>
        <s v="3351"/>
        <s v="3352"/>
        <s v="3353"/>
        <s v="3354"/>
        <s v="3355"/>
        <s v="3356"/>
        <s v="3357"/>
        <s v="3358"/>
        <s v="3359"/>
        <s v="3360"/>
        <s v="3361"/>
        <s v="3362"/>
        <s v="3363"/>
        <s v="3364"/>
        <s v="3365"/>
        <s v="3366"/>
        <s v="3367"/>
        <s v="3368"/>
        <s v="3369"/>
        <s v="3370"/>
        <s v="3371"/>
        <s v="3372"/>
        <s v="3373"/>
        <s v="3374"/>
        <s v="3375"/>
        <s v="3376"/>
        <s v="3377"/>
        <s v="3378"/>
        <s v="3379"/>
        <s v="3380"/>
        <s v="3381"/>
        <s v="3382"/>
        <s v="3383"/>
        <s v="3384"/>
        <s v="3385"/>
        <s v="3386"/>
        <s v="3387"/>
        <s v="3388"/>
        <s v="3389"/>
        <s v="3390"/>
        <s v="3391"/>
        <s v="3392"/>
        <s v="3393"/>
        <s v="3394"/>
        <s v="3395"/>
        <s v="3396"/>
        <s v="3397"/>
        <s v="3398"/>
        <s v="3399"/>
        <s v="3400"/>
        <s v="3401"/>
        <s v="3402"/>
        <s v="3403"/>
        <s v="3404"/>
        <s v="3405"/>
        <s v="3406"/>
        <s v="3407"/>
        <s v="3408"/>
        <s v="3409"/>
        <s v="3410"/>
        <s v="3411"/>
        <s v="3412"/>
        <s v="3413"/>
        <s v="3414"/>
        <s v="3415"/>
        <s v="3416"/>
        <s v="3417"/>
        <s v="3418"/>
        <s v="3419"/>
        <s v="3420"/>
        <s v="3421"/>
        <s v="3422"/>
        <s v="3423"/>
        <s v="3424"/>
        <s v="3425"/>
        <s v="3426"/>
        <s v="3427"/>
        <s v="3428"/>
        <s v="3429"/>
        <s v="3430"/>
        <s v="3431"/>
        <s v="3432"/>
        <s v="3433"/>
        <s v="3434"/>
        <s v="3435"/>
        <s v="3436"/>
        <s v="3437"/>
        <s v="3438"/>
        <s v="3439"/>
        <s v="3440"/>
        <s v="3441"/>
        <s v="3442"/>
        <s v="3443"/>
        <s v="3444"/>
        <s v="3445"/>
        <s v="3446"/>
        <s v="3447"/>
        <s v="3448"/>
        <s v="3449"/>
        <s v="3450"/>
        <s v="3451"/>
        <s v="3452"/>
        <s v="3453"/>
        <s v="3454"/>
        <s v="3455"/>
        <s v="3456"/>
        <s v="3457"/>
        <s v="3458"/>
        <s v="3459"/>
        <s v="3460"/>
        <s v="3461"/>
        <s v="3462"/>
        <s v="3463"/>
        <s v="3464"/>
        <s v="3465"/>
        <s v="3466"/>
        <s v="3467"/>
        <s v="3468"/>
        <s v="3469"/>
        <s v="3470"/>
        <s v="3471"/>
        <s v="3472"/>
        <s v="3473"/>
        <s v="3474"/>
        <s v="3475"/>
        <s v="3476"/>
        <s v="3477"/>
        <s v="3478"/>
        <s v="3479"/>
        <s v="3480"/>
        <s v="3481"/>
        <s v="3482"/>
        <s v="3483"/>
        <s v="3484"/>
        <s v="3485"/>
        <s v="3486"/>
        <s v="3487"/>
        <s v="3488"/>
        <s v="3489"/>
        <s v="3490"/>
        <s v="3491"/>
        <s v="3492"/>
        <s v="3493"/>
        <s v="3494"/>
        <s v="3495"/>
        <s v="3496"/>
        <s v="3497"/>
        <s v="3498"/>
        <s v="3499"/>
        <s v="3500"/>
        <s v="3501"/>
        <s v="3502"/>
        <s v="3503"/>
        <s v="3504"/>
        <s v="3505"/>
        <s v="3506"/>
        <s v="3507"/>
        <s v="3508"/>
        <s v="3509"/>
        <s v="3510"/>
        <s v="3511"/>
        <s v="3512"/>
        <s v="3513"/>
        <s v="3514"/>
        <s v="3515"/>
        <s v="3516"/>
        <s v="3517"/>
        <s v="3518"/>
        <s v="3519"/>
        <s v="3520"/>
        <s v="3521"/>
        <s v="3522"/>
        <s v="3523"/>
        <s v="3524"/>
        <s v="3525"/>
        <s v="3526"/>
        <s v="3527"/>
        <s v="3528"/>
        <s v="3529"/>
        <s v="3530"/>
        <s v="3531"/>
        <s v="3532"/>
        <s v="3533"/>
        <s v="3534"/>
        <s v="3535"/>
        <s v="3536"/>
        <s v="3537"/>
        <s v="3538"/>
        <s v="3539"/>
        <s v="3540"/>
        <s v="3541"/>
        <s v="3542"/>
        <s v="3543"/>
        <s v="3544"/>
        <s v="3545"/>
        <s v="3546"/>
        <s v="3547"/>
        <s v="3548"/>
        <s v="3549"/>
        <s v="3550"/>
        <s v="3551"/>
        <s v="3552"/>
        <s v="3553"/>
        <s v="3554"/>
        <s v="3555"/>
        <s v="3556"/>
        <s v="3557"/>
        <s v="3558"/>
        <s v="3559"/>
        <s v="3560"/>
        <s v="3561"/>
        <s v="3562"/>
        <s v="3563"/>
        <s v="3564"/>
        <s v="3565"/>
        <s v="3566"/>
        <s v="3567"/>
        <s v="3568"/>
        <s v="3569"/>
        <s v="3570"/>
        <s v="3571"/>
        <s v="3572"/>
        <s v="3573"/>
        <s v="3574"/>
        <s v="3575"/>
        <s v="3576"/>
        <s v="3577"/>
        <s v="3578"/>
        <s v="3579"/>
        <s v="3580"/>
        <s v="3581"/>
        <s v="3582"/>
        <s v="3583"/>
        <s v="3584"/>
        <s v="3585"/>
        <s v="3586"/>
        <s v="3587"/>
        <s v="3588"/>
        <s v="3589"/>
        <s v="3590"/>
        <s v="3591"/>
        <s v="3592"/>
        <s v="3593"/>
        <s v="3594"/>
        <s v="3595"/>
        <s v="3596"/>
        <s v="3597"/>
        <s v="3598"/>
        <s v="3599"/>
        <s v="3600"/>
        <s v="3601"/>
        <s v="3602"/>
        <s v="3603"/>
        <s v="3604"/>
        <s v="3605"/>
        <s v="3606"/>
        <s v="3607"/>
        <s v="3608"/>
        <s v="3609"/>
        <s v="3610"/>
        <s v="3611"/>
        <s v="3612"/>
        <s v="3613"/>
        <s v="3614"/>
        <s v="3615"/>
        <s v="3616"/>
        <s v="3617"/>
        <s v="3618"/>
        <s v="3619"/>
        <s v="3620"/>
        <s v="3621"/>
        <s v="3622"/>
        <s v="3623"/>
        <s v="3624"/>
        <s v="3625"/>
        <s v="3626"/>
        <s v="3627"/>
        <s v="3628"/>
        <s v="3629"/>
        <s v="3630"/>
        <s v="3631"/>
        <s v="3632"/>
        <s v="3633"/>
        <s v="3634"/>
        <s v="3635"/>
        <s v="3636"/>
        <s v="3637"/>
        <s v="3638"/>
        <s v="3639"/>
        <s v="3640"/>
        <s v="3641"/>
        <s v="3642"/>
        <s v="3643"/>
        <s v="3644"/>
        <s v="3645"/>
        <s v="3646"/>
        <s v="3647"/>
        <s v="3648"/>
        <s v="3649"/>
        <s v="3650"/>
        <s v="3651"/>
        <s v="3652"/>
        <s v="3653"/>
        <s v="3654"/>
        <s v="3655"/>
        <s v="3656"/>
        <s v="3657"/>
        <s v="3658"/>
        <s v="3659"/>
        <s v="3660"/>
        <s v="3661"/>
        <s v="3662"/>
        <s v="3663"/>
        <s v="3664"/>
        <s v="3665"/>
        <s v="3666"/>
        <s v="3667"/>
        <s v="3668"/>
        <s v="3669"/>
        <s v="3670"/>
        <s v="3671"/>
        <s v="3672"/>
        <s v="3673"/>
        <s v="3674"/>
        <s v="3675"/>
        <s v="3676"/>
        <s v="3677"/>
        <s v="3678"/>
        <s v="3679"/>
        <s v="3680"/>
        <s v="3681"/>
        <s v="3682"/>
        <s v="3683"/>
        <s v="3684"/>
        <s v="3685"/>
        <s v="3686"/>
        <s v="3687"/>
        <s v="3688"/>
        <s v="3689"/>
        <s v="3690"/>
        <s v="3691"/>
        <s v="3692"/>
        <s v="3693"/>
        <s v="3694"/>
        <s v="3695"/>
        <s v="3696"/>
        <s v="3697"/>
        <s v="3698"/>
        <s v="3699"/>
        <s v="3700"/>
        <s v="3701"/>
        <s v="3702"/>
        <s v="3703"/>
        <s v="3704"/>
        <s v="3705"/>
        <s v="3706"/>
        <s v="3707"/>
        <s v="3708"/>
        <s v="3709"/>
        <s v="3710"/>
        <s v="3711"/>
        <s v="3712"/>
        <s v="3713"/>
        <s v="3714"/>
        <s v="3715"/>
        <s v="3716"/>
        <s v="3717"/>
        <s v="3718"/>
        <s v="3719"/>
        <s v="3720"/>
        <s v="3721"/>
        <s v="3722"/>
        <s v="3723"/>
        <s v="3724"/>
        <s v="3725"/>
        <s v="3726"/>
        <s v="3727"/>
        <s v="3728"/>
        <s v="3729"/>
        <s v="3730"/>
        <s v="3731"/>
        <s v="3732"/>
        <s v="3733"/>
        <s v="3734"/>
        <s v="3735"/>
        <s v="3736"/>
        <s v="3737"/>
        <s v="3738"/>
        <s v="3739"/>
        <s v="3740"/>
        <s v="3741"/>
        <s v="3742"/>
        <s v="3743"/>
        <s v="3744"/>
        <s v="3745"/>
        <s v="3746"/>
        <s v="3747"/>
        <s v="3748"/>
        <s v="3749"/>
        <s v="3750"/>
        <s v="3751"/>
        <s v="3752"/>
        <s v="3753"/>
        <s v="3754"/>
        <s v="3755"/>
        <s v="3756"/>
        <s v="3757"/>
        <s v="3758"/>
        <s v="3759"/>
        <s v="3760"/>
        <s v="3761"/>
        <s v="3762"/>
        <s v="3763"/>
        <s v="3764"/>
        <s v="3765"/>
        <s v="3766"/>
        <s v="3767"/>
        <s v="3768"/>
        <s v="3769"/>
        <s v="3770"/>
        <s v="3771"/>
        <s v="3772"/>
        <s v="3773"/>
        <s v="3774"/>
        <s v="3775"/>
        <s v="3776"/>
        <s v="3777"/>
        <s v="3778"/>
        <s v="3779"/>
        <s v="3780"/>
        <s v="3781"/>
        <s v="3782"/>
        <s v="3783"/>
        <s v="3784"/>
        <s v="3785"/>
        <s v="3786"/>
        <s v="3787"/>
        <s v="3788"/>
        <s v="3789"/>
        <s v="3790"/>
        <s v="3791"/>
        <s v="3792"/>
        <s v="3793"/>
        <s v="3794"/>
        <s v="3795"/>
        <s v="3796"/>
        <s v="3797"/>
        <s v="3798"/>
        <s v="3799"/>
        <s v="3800"/>
        <s v="3801"/>
        <s v="3802"/>
        <s v="3803"/>
        <s v="3804"/>
        <s v="3805"/>
        <s v="3806"/>
        <s v="3807"/>
        <s v="3808"/>
        <s v="3809"/>
        <s v="3810"/>
        <s v="3811"/>
        <s v="3812"/>
        <s v="3813"/>
        <s v="3814"/>
        <s v="3815"/>
        <s v="3816"/>
        <s v="3817"/>
        <s v="3818"/>
        <s v="3819"/>
        <s v="3820"/>
        <s v="3821"/>
        <s v="3822"/>
        <s v="3823"/>
        <s v="3824"/>
        <s v="3825"/>
        <s v="3826"/>
        <s v="3827"/>
        <s v="3828"/>
        <s v="3829"/>
        <s v="3830"/>
        <s v="3831"/>
        <s v="3832"/>
        <s v="3833"/>
        <s v="3834"/>
        <s v="3835"/>
        <s v="3836"/>
        <s v="3837"/>
        <s v="3838"/>
        <s v="3839"/>
        <s v="3840"/>
        <s v="3841"/>
        <s v="3842"/>
        <s v="3843"/>
        <s v="3844"/>
        <s v="3845"/>
        <s v="3846"/>
        <s v="3847"/>
        <s v="3848"/>
        <s v="3849"/>
        <s v="3850"/>
        <s v="3851"/>
        <s v="3852"/>
        <s v="3853"/>
        <s v="3854"/>
        <s v="3855"/>
        <s v="3856"/>
        <s v="3857"/>
        <s v="3858"/>
        <s v="3859"/>
        <s v="3860"/>
        <s v="3861"/>
        <s v="3862"/>
        <s v="3863"/>
        <s v="3864"/>
        <s v="3865"/>
        <s v="3866"/>
        <s v="3867"/>
        <s v="3868"/>
        <s v="3869"/>
        <s v="3870"/>
        <s v="3871"/>
        <s v="3872"/>
        <s v="3873"/>
        <s v="3874"/>
        <s v="3875"/>
        <s v="3876"/>
        <s v="3877"/>
        <s v="3878"/>
        <s v="3879"/>
        <s v="3880"/>
        <s v="3881"/>
        <s v="3882"/>
        <s v="3883"/>
        <s v="3884"/>
        <s v="3885"/>
        <s v="3886"/>
        <s v="3887"/>
        <s v="3888"/>
        <s v="3889"/>
        <s v="3890"/>
        <s v="3891"/>
        <s v="3892"/>
        <s v="3893"/>
        <s v="3894"/>
        <s v="3895"/>
        <s v="3896"/>
        <s v="3897"/>
        <s v="3898"/>
        <s v="3899"/>
        <s v="3900"/>
        <s v="3901"/>
        <s v="3902"/>
        <s v="3903"/>
        <s v="3904"/>
        <s v="3905"/>
        <s v="3906"/>
        <s v="3907"/>
        <s v="3908"/>
        <s v="3909"/>
        <s v="3910"/>
        <s v="3911"/>
        <s v="3912"/>
        <s v="3913"/>
        <s v="3914"/>
        <s v="3915"/>
        <s v="3916"/>
        <s v="3917"/>
        <s v="3918"/>
        <s v="3919"/>
        <s v="3920"/>
        <s v="3921"/>
        <s v="3922"/>
        <s v="3923"/>
        <s v="3924"/>
        <s v="3925"/>
        <s v="3926"/>
        <s v="3927"/>
        <s v="3928"/>
        <s v="3929"/>
        <s v="3930"/>
        <s v="3932"/>
        <s v="3933"/>
        <s v="3934"/>
        <s v="3935"/>
        <s v="3936"/>
        <s v="3937"/>
        <s v="3938"/>
        <s v="3939"/>
        <s v="3940"/>
        <s v="3941"/>
        <s v="3942"/>
        <s v="3943"/>
        <s v="3944"/>
        <s v="3945"/>
        <s v="3946"/>
        <s v="3947"/>
        <s v="3948"/>
        <s v="3949"/>
        <s v="3950"/>
        <s v="3951"/>
        <s v="3952"/>
        <s v="3953"/>
        <s v="3954"/>
        <s v="3955"/>
        <s v="3956"/>
        <s v="3957"/>
        <s v="3958"/>
        <s v="3959"/>
        <s v="3960"/>
        <s v="3961"/>
        <s v="3962"/>
        <s v="3963"/>
        <s v="3964"/>
        <s v="3965"/>
        <s v="3966"/>
        <s v="3967"/>
        <s v="3968"/>
        <s v="3969"/>
        <s v="3970"/>
        <s v="3971"/>
        <s v="3972"/>
        <s v="3973"/>
        <s v="3974"/>
        <s v="3975"/>
        <s v="3976"/>
        <s v="3977"/>
        <s v="3978"/>
        <s v="3979"/>
        <s v="3980"/>
        <s v="3981"/>
        <s v="3982"/>
        <s v="3983"/>
        <s v="3984"/>
        <s v="3985"/>
        <s v="3986"/>
        <s v="3987"/>
        <s v="3988"/>
        <s v="3989"/>
        <s v="3990"/>
        <s v="3991"/>
        <s v="3992"/>
        <s v="3993"/>
        <s v="3994"/>
        <s v="3995"/>
        <s v="3996"/>
        <s v="3997"/>
        <s v="3998"/>
        <s v="3999"/>
        <s v="4000"/>
        <s v="4001"/>
        <s v="4002"/>
        <s v="4003"/>
        <s v="4004"/>
        <s v="4005"/>
        <s v="4006"/>
        <s v="4007"/>
        <s v="4008"/>
        <s v="4009"/>
        <s v="4010"/>
        <s v="4011"/>
        <s v="4012"/>
        <s v="4013"/>
        <s v="4014"/>
        <s v="4015"/>
        <s v="4016"/>
        <s v="4017"/>
        <s v="4018"/>
        <s v="4019"/>
        <s v="4020"/>
        <s v="4021"/>
        <s v="4022"/>
        <s v="4023"/>
        <s v="4024"/>
        <s v="4025"/>
        <s v="4026"/>
        <s v="4027"/>
        <s v="4028"/>
        <s v="4029"/>
        <s v="4030"/>
        <s v="4031"/>
        <s v="4032"/>
        <s v="4033"/>
        <s v="4034"/>
        <s v="4035"/>
        <s v="4036"/>
        <s v="4037"/>
        <s v="4038"/>
        <s v="4039"/>
        <s v="4040"/>
        <s v="4041"/>
        <s v="4042"/>
        <s v="4043"/>
        <s v="4044"/>
        <s v="4045"/>
        <s v="4046"/>
        <s v="4047"/>
        <s v="4048"/>
        <s v="4049"/>
        <s v="4050"/>
        <s v="4051"/>
        <s v="4052"/>
        <s v="4053"/>
        <s v="4054"/>
        <s v="4055"/>
        <s v="4056"/>
        <s v="4057"/>
        <s v="4058"/>
        <s v="4059"/>
        <s v="4060"/>
        <s v="4061"/>
        <s v="4062"/>
        <s v="4063"/>
        <s v="4064"/>
        <s v="4065"/>
        <s v="4066"/>
        <s v="4067"/>
        <s v="4068"/>
        <s v="4069"/>
        <s v="4070"/>
        <s v="4071"/>
        <s v="4072"/>
        <s v="4073"/>
        <s v="4074"/>
        <s v="4075"/>
        <s v="4076"/>
        <s v="4077"/>
        <s v="4078"/>
        <s v="4079"/>
        <s v="4080"/>
        <s v="4081"/>
        <s v="4082"/>
        <s v="4083"/>
        <s v="4084"/>
        <s v="4085"/>
        <s v="4086"/>
        <s v="4087"/>
        <s v="4088"/>
        <s v="4089"/>
        <s v="4090"/>
        <s v="4091"/>
        <s v="4092"/>
        <s v="4093"/>
        <s v="4094"/>
        <s v="4095"/>
        <s v="4096"/>
        <s v="4097"/>
        <s v="4098"/>
        <s v="4099"/>
        <s v="4100"/>
        <s v="4101"/>
        <s v="4102"/>
        <s v="4103"/>
        <s v="4104"/>
        <s v="4105"/>
        <s v="4106"/>
        <s v="4107"/>
        <s v="4108"/>
        <s v="4109"/>
        <s v="4110"/>
        <s v="4111"/>
        <s v="4112"/>
        <s v="4113"/>
        <s v="4114"/>
        <s v="4115"/>
        <s v="4116"/>
        <s v="4117"/>
        <s v="4118"/>
        <s v="4119"/>
        <s v="4120"/>
        <s v="4121"/>
        <s v="4122"/>
        <s v="4123"/>
        <s v="4124"/>
        <s v="4125"/>
        <s v="4126"/>
        <s v="4127"/>
        <s v="4128"/>
        <s v="4129"/>
        <s v="4130"/>
        <s v="4131"/>
        <s v="4132"/>
        <s v="4133"/>
        <s v="4134"/>
        <s v="4135"/>
        <s v="4136"/>
        <s v="4137"/>
        <s v="4138"/>
        <s v="4139"/>
        <s v="4140"/>
        <s v="4141"/>
        <s v="4142"/>
        <s v="4143"/>
        <s v="4144"/>
        <s v="4145"/>
        <s v="4146"/>
        <s v="4147"/>
        <s v="4148"/>
        <s v="4149"/>
        <s v="4150"/>
        <s v="4151"/>
        <s v="4152"/>
        <s v="4153"/>
        <s v="4154"/>
        <s v="4155"/>
        <s v="4156"/>
        <s v="4157"/>
        <s v="4158"/>
        <s v="4159"/>
        <s v="4160"/>
        <s v="4161"/>
        <s v="4162"/>
        <s v="4163"/>
        <s v="4164"/>
        <s v="4165"/>
        <s v="4166"/>
        <s v="4167"/>
        <s v="4168"/>
        <s v="4169"/>
        <s v="4170"/>
        <s v="4171"/>
        <s v="4172"/>
        <s v="4173"/>
        <s v="4174"/>
        <s v="4175"/>
        <s v="4176"/>
        <s v="4177"/>
        <s v="4178"/>
        <s v="4179"/>
        <s v="4180"/>
        <s v="4181"/>
        <s v="4182"/>
        <s v="4183"/>
        <s v="4184"/>
        <s v="4185"/>
        <s v="4186"/>
        <s v="4187"/>
        <s v="4188"/>
        <s v="4189"/>
        <s v="4190"/>
        <s v="4191"/>
        <s v="4192"/>
        <s v="4193"/>
        <s v="4194"/>
        <s v="4195"/>
        <s v="4196"/>
        <s v="4197"/>
        <s v="4198"/>
        <s v="4199"/>
        <s v="4200"/>
        <s v="4201"/>
        <s v="4202"/>
        <s v="4203"/>
        <s v="4204"/>
        <s v="4205"/>
        <s v="4206"/>
        <s v="4207"/>
        <s v="4208"/>
        <s v="4209"/>
        <s v="4210"/>
        <s v="4211"/>
        <s v="4212"/>
        <s v="4213"/>
        <s v="4214"/>
        <s v="4215"/>
        <s v="4216"/>
        <s v="4217"/>
        <s v="4218"/>
        <s v="4219"/>
        <s v="4220"/>
        <s v="4221"/>
        <s v="4222"/>
        <s v="4223"/>
        <s v="4224"/>
        <s v="4225"/>
        <s v="4226"/>
        <s v="4227"/>
        <s v="4228"/>
        <s v="4229"/>
        <s v="4230"/>
        <s v="4231"/>
        <s v="4232"/>
        <s v="4233"/>
        <s v="4234"/>
        <s v="4235"/>
        <s v="4236"/>
        <s v="4237"/>
        <s v="4238"/>
        <s v="4239"/>
        <s v="4240"/>
        <s v="4241"/>
        <s v="4242"/>
        <s v="4243"/>
        <s v="4244"/>
        <s v="4245"/>
        <s v="4246"/>
        <s v="4247"/>
        <s v="4248"/>
        <s v="4249"/>
        <s v="4250"/>
        <s v="4251"/>
        <s v="4252"/>
        <s v="4253"/>
        <s v="4254"/>
        <s v="4255"/>
        <s v="4256"/>
        <s v="4257"/>
        <s v="4258"/>
        <s v="4259"/>
        <s v="4260"/>
        <s v="4261"/>
        <s v="4262"/>
        <s v="4263"/>
        <s v="4264"/>
        <s v="4265"/>
        <s v="4266"/>
        <s v="4267"/>
        <s v="4268"/>
        <s v="4269"/>
        <s v="4270"/>
        <s v="4271"/>
        <s v="4272"/>
        <s v="4273"/>
        <s v="4274"/>
        <s v="4275"/>
        <s v="4276"/>
        <s v="4277"/>
        <s v="4278"/>
        <s v="4279"/>
        <s v="4280"/>
        <s v="4281"/>
        <s v="4282"/>
        <s v="4283"/>
        <s v="4284"/>
        <s v="4285"/>
        <s v="4286"/>
        <s v="4287"/>
        <s v="4288"/>
        <s v="4289"/>
        <s v="4290"/>
        <s v="4291"/>
        <s v="4292"/>
        <s v="4293"/>
        <s v="4294"/>
        <s v="4295"/>
        <s v="4296"/>
        <s v="4297"/>
        <s v="4298"/>
        <s v="4299"/>
        <s v="4300"/>
        <s v="4301"/>
        <s v="4302"/>
        <s v="4303"/>
        <s v="4304"/>
        <s v="4305"/>
        <s v="4306"/>
        <s v="4307"/>
        <s v="4308"/>
        <s v="4309"/>
        <s v="4310"/>
        <s v="4311"/>
        <s v="4312"/>
        <s v="4313"/>
        <s v="4314"/>
        <s v="4315"/>
        <s v="4316"/>
        <s v="4317"/>
        <s v="4318"/>
        <s v="4319"/>
        <s v="4320"/>
        <s v="4321"/>
        <s v="4322"/>
        <s v="4323"/>
        <s v="4324"/>
        <s v="4325"/>
        <s v="4326"/>
        <s v="4327"/>
        <s v="4328"/>
        <s v="4329"/>
        <s v="4330"/>
        <s v="4331"/>
        <s v="4332"/>
        <s v="4333"/>
        <s v="4334"/>
        <s v="4335"/>
        <s v="4336"/>
        <s v="4337"/>
        <s v="4338"/>
        <s v="4339"/>
        <s v="4340"/>
        <s v="4341"/>
        <s v="4342"/>
        <s v="4343"/>
        <s v="4344"/>
        <s v="4345"/>
        <s v="4346"/>
        <s v="4347"/>
        <s v="4348"/>
        <s v="4349"/>
        <s v="4350"/>
        <s v="4351"/>
        <s v="4352"/>
        <s v="4353"/>
        <s v="4354"/>
        <s v="4355"/>
        <s v="4356"/>
        <s v="4357"/>
        <s v="4358"/>
        <s v="4359"/>
        <s v="4360"/>
        <s v="4361"/>
        <s v="4362"/>
        <s v="4363"/>
        <s v="4364"/>
        <s v="4365"/>
        <s v="4366"/>
        <s v="4367"/>
        <s v="4368"/>
        <s v="4369"/>
        <s v="4370"/>
        <s v="4371"/>
        <s v="4372"/>
        <s v="4373"/>
        <s v="4374"/>
        <s v="4375"/>
        <s v="4376"/>
        <s v="4377"/>
        <s v="4378"/>
        <s v="4379"/>
        <s v="4380"/>
        <s v="4381"/>
        <s v="4382"/>
        <s v="4383"/>
        <s v="4384"/>
        <s v="4385"/>
        <s v="4386"/>
        <s v="4387"/>
        <s v="4388"/>
        <s v="4389"/>
        <s v="4390"/>
        <s v="4391"/>
        <s v="4392"/>
        <s v="4393"/>
        <s v="4394"/>
        <s v="4395"/>
        <s v="4396"/>
        <s v="4397"/>
        <s v="4398"/>
        <s v="4399"/>
        <s v="4400"/>
        <s v="4401"/>
        <s v="4402"/>
        <s v="4403"/>
        <s v="4404"/>
        <s v="4405"/>
        <s v="4406"/>
        <s v="4407"/>
        <s v="4408"/>
        <s v="4409"/>
        <s v="4410"/>
        <s v="4411"/>
        <s v="4412"/>
        <s v="4413"/>
        <s v="4414"/>
        <s v="4415"/>
        <s v="4416"/>
        <s v="4417"/>
        <s v="4418"/>
        <s v="4419"/>
        <s v="4420"/>
        <s v="4421"/>
        <s v="4422"/>
        <s v="4423"/>
        <s v="4424"/>
        <s v="4425"/>
        <s v="4426"/>
        <s v="4427"/>
        <s v="4428"/>
        <s v="4429"/>
        <s v="4430"/>
        <s v="4431"/>
        <s v="4432"/>
        <s v="4433"/>
        <s v="4434"/>
        <s v="4435"/>
        <s v="4436"/>
        <s v="4437"/>
        <s v="4438"/>
        <s v="4439"/>
        <s v="4440"/>
        <s v="4441"/>
        <s v="4442"/>
        <s v="4443"/>
        <s v="4444"/>
        <s v="4445"/>
        <s v="4446"/>
        <s v="4447"/>
        <s v="4448"/>
        <s v="4449"/>
        <s v="4450"/>
        <s v="4451"/>
        <s v="4452"/>
        <s v="4453"/>
        <s v="4454"/>
        <s v="4455"/>
        <s v="4456"/>
        <s v="4457"/>
        <s v="4458"/>
        <s v="4459"/>
        <s v="4460"/>
        <s v="4461"/>
        <s v="4462"/>
        <s v="4463"/>
        <s v="4464"/>
        <s v="4465"/>
        <s v="4466"/>
        <s v="4467"/>
        <s v="4468"/>
        <s v="4469"/>
        <s v="4470"/>
        <s v="4471"/>
        <s v="4472"/>
        <s v="4473"/>
        <s v="4474"/>
        <s v="4475"/>
        <s v="4476"/>
        <s v="4477"/>
        <s v="4478"/>
        <s v="4479"/>
        <s v="4480"/>
        <s v="4481"/>
        <s v="4482"/>
        <s v="4483"/>
        <s v="4484"/>
        <s v="4485"/>
        <s v="4486"/>
        <s v="4487"/>
        <s v="4488"/>
        <s v="4489"/>
        <s v="4490"/>
        <s v="4491"/>
        <s v="4492"/>
        <s v="4493"/>
        <s v="4494"/>
        <s v="4495"/>
        <s v="4496"/>
        <s v="4497"/>
        <s v="4498"/>
        <s v="4499"/>
        <s v="4500"/>
        <s v="4501"/>
        <s v="4502"/>
        <s v="4503"/>
        <s v="4504"/>
        <s v="4505"/>
        <s v="4506"/>
        <s v="4507"/>
        <s v="4508"/>
        <s v="4509"/>
        <s v="4510"/>
        <s v="4511"/>
        <s v="4512"/>
        <s v="4513"/>
        <s v="4514"/>
        <s v="4515"/>
        <s v="4516"/>
        <s v="4517"/>
        <s v="4518"/>
        <s v="4519"/>
        <s v="4520"/>
        <s v="4521"/>
        <s v="4522"/>
        <s v="4523"/>
        <s v="4524"/>
        <s v="4525"/>
        <s v="4526"/>
        <s v="4527"/>
        <s v="4528"/>
        <s v="4529"/>
        <s v="4530"/>
        <s v="4531"/>
        <s v="4532"/>
        <s v="4533"/>
        <s v="4534"/>
        <s v="4535"/>
        <s v="4536"/>
        <s v="4537"/>
        <s v="4538"/>
        <s v="4539"/>
        <s v="4540"/>
        <s v="4541"/>
        <s v="4542"/>
        <s v="4543"/>
        <s v="4544"/>
        <s v="4545"/>
        <s v="4546"/>
        <s v="4547"/>
        <s v="4548"/>
        <s v="4549"/>
        <s v="4550"/>
        <s v="4551"/>
        <s v="4552"/>
        <s v="4553"/>
        <s v="4554"/>
        <s v="4555"/>
        <s v="4556"/>
        <s v="4557"/>
        <s v="4558"/>
        <s v="4559"/>
        <s v="4560"/>
        <s v="4561"/>
        <s v="4562"/>
        <s v="4563"/>
        <s v="4564"/>
        <s v="4565"/>
        <s v="4566"/>
        <s v="4567"/>
        <s v="4568"/>
        <s v="4569"/>
        <s v="4570"/>
        <s v="4571"/>
        <s v="4572"/>
        <s v="4573"/>
        <s v="4574"/>
        <s v="4575"/>
        <s v="4576"/>
        <s v="4577"/>
        <s v="4578"/>
        <s v="4579"/>
        <s v="4580"/>
        <s v="4581"/>
        <s v="4582"/>
        <s v="4583"/>
        <s v="4584"/>
        <s v="4585"/>
        <s v="4586"/>
        <s v="4587"/>
        <s v="4588"/>
        <s v="4589"/>
        <s v="4590"/>
        <s v="4591"/>
        <s v="4592"/>
        <s v="4593"/>
        <s v="4594"/>
        <s v="4595"/>
        <s v="4596"/>
        <s v="4597"/>
        <s v="4598"/>
        <s v="4599"/>
        <s v="4600"/>
        <s v="4601"/>
        <s v="4602"/>
        <s v="4603"/>
        <s v="4604"/>
        <s v="4605"/>
        <s v="4606"/>
        <s v="4607"/>
        <s v="4608"/>
        <s v="4609"/>
        <s v="4610"/>
        <s v="4611"/>
        <s v="4612"/>
        <s v="4613"/>
        <s v="4614"/>
        <s v="4615"/>
        <s v="4616"/>
        <s v="4617"/>
        <s v="4618"/>
        <s v="4619"/>
        <s v="4620"/>
        <s v="4621"/>
        <s v="4622"/>
        <s v="4623"/>
        <s v="4624"/>
        <s v="4625"/>
        <s v="4626"/>
        <s v="4627"/>
        <s v="4628"/>
        <s v="4629"/>
        <s v="4630"/>
        <s v="4631"/>
        <s v="4632"/>
        <s v="4633"/>
        <s v="4634"/>
        <s v="4635"/>
        <s v="4636"/>
        <s v="4637"/>
        <s v="4638"/>
        <s v="4639"/>
        <s v="4640"/>
        <s v="4641"/>
        <s v="4642"/>
        <s v="4643"/>
        <s v="4644"/>
        <s v="4645"/>
        <s v="4646"/>
        <s v="4647"/>
        <s v="4648"/>
        <s v="4649"/>
        <s v="4650"/>
        <s v="4651"/>
        <s v="4652"/>
        <s v="4653"/>
        <s v="4654"/>
        <s v="4655"/>
        <s v="4656"/>
        <s v="4657"/>
        <s v="4658"/>
        <s v="4659"/>
        <s v="4660"/>
        <s v="4661"/>
        <s v="4662"/>
        <s v="4663"/>
        <s v="4664"/>
        <s v="4665"/>
        <s v="4666"/>
        <s v="4667"/>
        <s v="4668"/>
        <s v="4669"/>
        <s v="4670"/>
        <s v="4671"/>
        <s v="4672"/>
        <s v="4673"/>
        <s v="4674"/>
        <s v="4675"/>
        <s v="4676"/>
        <s v="4677"/>
        <s v="4678"/>
        <s v="4679"/>
        <s v="4680"/>
        <s v="4681"/>
        <s v="4682"/>
        <s v="4683"/>
        <s v="4684"/>
        <s v="4685"/>
        <s v="4686"/>
        <s v="4687"/>
        <s v="4688"/>
        <s v="4689"/>
        <s v="4690"/>
        <s v="4691"/>
        <s v="4692"/>
        <s v="4693"/>
        <s v="4694"/>
        <s v="4695"/>
        <s v="4696"/>
        <s v="4697"/>
        <s v="4698"/>
        <s v="4699"/>
        <s v="4700"/>
        <s v="4701"/>
        <s v="4702"/>
        <s v="4703"/>
        <s v="4704"/>
        <s v="4705"/>
        <s v="4706"/>
        <s v="4707"/>
        <s v="4708"/>
        <s v="4709"/>
        <s v="4710"/>
        <s v="4711"/>
        <s v="4712"/>
        <s v="4713"/>
        <s v="4714"/>
        <s v="4715"/>
        <s v="4716"/>
        <s v="4717"/>
        <s v="4718"/>
        <s v="4719"/>
        <s v="4720"/>
        <s v="4721"/>
        <s v="4722"/>
        <s v="4723"/>
        <s v="4724"/>
        <s v="4725"/>
        <s v="4726"/>
        <s v="4727"/>
        <s v="4728"/>
        <s v="4729"/>
        <s v="4730"/>
        <s v="4731"/>
        <s v="4732"/>
        <s v="4733"/>
        <s v="4734"/>
        <s v="4735"/>
        <s v="4736"/>
        <s v="4737"/>
        <s v="4738"/>
        <s v="4739"/>
        <s v="4740"/>
        <s v="4741"/>
        <s v="4742"/>
        <s v="4743"/>
        <s v="4744"/>
        <s v="4745"/>
        <s v="4746"/>
        <s v="4747"/>
        <s v="4748"/>
        <s v="4749"/>
        <s v="4750"/>
        <s v="4751"/>
        <s v="4752"/>
        <s v="4753"/>
        <s v="4754"/>
        <s v="4755"/>
        <s v="4756"/>
        <s v="4757"/>
        <s v="4758"/>
        <s v="4759"/>
        <s v="4760"/>
        <s v="4761"/>
        <s v="4762"/>
        <s v="4763"/>
        <s v="4764"/>
        <s v="4765"/>
        <s v="4766"/>
        <s v="4767"/>
        <s v="4768"/>
        <s v="4769"/>
        <s v="4770"/>
        <s v="4771"/>
        <s v="4772"/>
        <s v="4773"/>
        <s v="4774"/>
        <s v="4775"/>
        <s v="4776"/>
        <s v="4777"/>
        <s v="4778"/>
        <s v="4779"/>
        <s v="4780"/>
        <s v="4781"/>
        <s v="4782"/>
        <s v="4783"/>
        <s v="4784"/>
        <s v="4785"/>
        <s v="4786"/>
        <s v="4787"/>
        <s v="4788"/>
        <s v="4789"/>
        <s v="4790"/>
        <s v="4791"/>
        <s v="4792"/>
        <s v="4793"/>
        <s v="4794"/>
        <s v="4795"/>
        <s v="4796"/>
        <s v="4797"/>
        <s v="4798"/>
        <s v="4799"/>
        <s v="4800"/>
        <s v="4801"/>
        <s v="4802"/>
        <s v="4803"/>
        <s v="4804"/>
        <s v="4805"/>
        <s v="4806"/>
        <s v="4807"/>
        <s v="4808"/>
        <s v="4809"/>
        <s v="4810"/>
        <s v="4811"/>
        <s v="4812"/>
        <s v="4813"/>
        <s v="4814"/>
        <s v="4815"/>
        <s v="4816"/>
        <s v="4817"/>
        <s v="4818"/>
        <s v="4819"/>
        <s v="4820"/>
        <s v="4821"/>
        <s v="4822"/>
        <s v="4823"/>
        <s v="4824"/>
        <s v="4825"/>
        <s v="4826"/>
        <s v="4827"/>
        <s v="4828"/>
        <s v="4829"/>
        <s v="4830"/>
        <s v="4831"/>
        <s v="4832"/>
        <s v="4833"/>
        <s v="4834"/>
        <s v="4835"/>
        <s v="4836"/>
        <s v="4837"/>
        <s v="4838"/>
        <s v="4839"/>
        <s v="4840"/>
        <s v="4841"/>
        <s v="4842"/>
        <s v="4843"/>
        <s v="4844"/>
        <s v="4845"/>
        <s v="4846"/>
        <s v="4847"/>
        <s v="4848"/>
        <s v="4849"/>
        <s v="4850"/>
        <s v="4851"/>
        <s v="4852"/>
        <s v="4853"/>
        <s v="4854"/>
        <s v="4855"/>
        <s v="4856"/>
        <s v="4857"/>
        <s v="4858"/>
        <s v="4859"/>
        <s v="4860"/>
        <s v="4861"/>
        <s v="4862"/>
        <s v="4863"/>
        <s v="4864"/>
        <s v="4865"/>
        <s v="4866"/>
        <s v="4867"/>
        <s v="4868"/>
        <s v="4869"/>
        <s v="4870"/>
        <s v="4871"/>
        <s v="4872"/>
        <s v="4873"/>
        <s v="4874"/>
        <s v="4875"/>
        <s v="4876"/>
        <s v="4877"/>
        <s v="4878"/>
        <s v="4879"/>
        <s v="4880"/>
        <s v="4881"/>
        <s v="4882"/>
        <s v="4883"/>
        <s v="4884"/>
        <s v="4885"/>
        <s v="4886"/>
        <s v="4887"/>
        <s v="4888"/>
        <s v="4889"/>
        <s v="4890"/>
        <s v="4891"/>
        <s v="4892"/>
        <s v="4893"/>
        <s v="4894"/>
        <s v="4895"/>
        <s v="4896"/>
        <s v="4897"/>
        <s v="4898"/>
        <s v="4899"/>
        <s v="4900"/>
        <s v="4901"/>
        <s v="4902"/>
        <s v="4903"/>
        <s v="4904"/>
        <s v="4905"/>
        <s v="4906"/>
        <s v="4907"/>
        <s v="4908"/>
        <s v="4909"/>
        <s v="4910"/>
        <s v="4911"/>
        <s v="4912"/>
        <s v="4913"/>
        <s v="4914"/>
        <s v="4915"/>
        <s v="4916"/>
        <s v="4917"/>
        <s v="4918"/>
        <s v="4919"/>
        <s v="4920"/>
        <s v="4921"/>
        <s v="4922"/>
        <s v="4923"/>
        <s v="4924"/>
        <s v="4925"/>
        <s v="4926"/>
        <s v="4927"/>
        <s v="4928"/>
        <s v="4929"/>
        <s v="4930"/>
        <s v="4931"/>
        <s v="4932"/>
        <s v="4933"/>
        <s v="4934"/>
        <s v="4935"/>
        <s v="4936"/>
        <s v="4937"/>
        <s v="4938"/>
        <s v="4939"/>
        <s v="4940"/>
        <s v="4941"/>
        <s v="4942"/>
        <s v="4943"/>
        <s v="4944"/>
        <s v="4945"/>
        <s v="4946"/>
        <s v="4947"/>
        <s v="4948"/>
        <s v="4949"/>
        <s v="4950"/>
        <s v="4951"/>
        <s v="4952"/>
        <s v="4953"/>
        <s v="4954"/>
        <s v="4955"/>
        <s v="4956"/>
        <s v="4957"/>
        <s v="4958"/>
        <s v="4959"/>
        <s v="4960"/>
        <s v="4961"/>
        <s v="4962"/>
        <s v="4963"/>
        <s v="4964"/>
        <s v="4965"/>
        <s v="4966"/>
        <s v="4967"/>
        <s v="4968"/>
        <s v="4969"/>
        <s v="4970"/>
        <s v="4971"/>
        <s v="4972"/>
        <s v="4973"/>
        <s v="4974"/>
        <s v="4975"/>
        <s v="4976"/>
        <s v="4977"/>
        <s v="4978"/>
        <s v="4979"/>
        <s v="4980"/>
        <s v="4981"/>
        <s v="4982"/>
        <s v="4983"/>
        <s v="4984"/>
        <s v="4985"/>
        <s v="4986"/>
        <s v="4987"/>
        <s v="4988"/>
        <s v="4989"/>
        <s v="4990"/>
        <s v="4991"/>
        <s v="4992"/>
        <s v="4993"/>
        <s v="4994"/>
        <s v="4995"/>
        <s v="4996"/>
        <s v="4997"/>
        <s v="4998"/>
        <s v="4999"/>
        <s v="5000"/>
        <s v="5001"/>
        <s v="5002"/>
        <s v="5003"/>
        <s v="5004"/>
        <s v="5005"/>
        <s v="5006"/>
        <s v="5007"/>
        <s v="5008"/>
        <s v="5009"/>
        <s v="5010"/>
        <s v="5011"/>
        <s v="5012"/>
        <s v="5013"/>
        <s v="5014"/>
        <s v="5015"/>
        <s v="5016"/>
        <s v="5017"/>
        <s v="5018"/>
        <s v="5019"/>
        <s v="5020"/>
        <s v="5021"/>
        <s v="5022"/>
        <s v="5023"/>
        <s v="5024"/>
        <s v="5025"/>
        <s v="5026"/>
        <s v="5027"/>
        <s v="5028"/>
        <s v="5029"/>
        <s v="5030"/>
        <s v="5031"/>
        <s v="5032"/>
        <s v="5033"/>
        <s v="5034"/>
        <s v="5035"/>
        <s v="5036"/>
        <s v="5037"/>
        <s v="5038"/>
        <s v="5039"/>
        <s v="5040"/>
        <s v="5041"/>
        <s v="5042"/>
        <s v="5043"/>
        <s v="5044"/>
        <s v="5045"/>
        <s v="5046"/>
        <s v="5047"/>
        <s v="5048"/>
        <s v="5049"/>
        <s v="5050"/>
        <s v="5051"/>
        <s v="5052"/>
        <s v="5053"/>
        <s v="5054"/>
        <s v="5055"/>
        <s v="5056"/>
        <s v="5057"/>
        <s v="5058"/>
        <s v="5059"/>
        <s v="5060"/>
        <s v="5061"/>
        <s v="5062"/>
        <s v="5063"/>
        <s v="5064"/>
        <s v="5065"/>
        <s v="5066"/>
        <s v="5067"/>
        <s v="5068"/>
        <s v="5069"/>
        <s v="5070"/>
        <s v="5071"/>
        <s v="5072"/>
        <s v="5073"/>
        <s v="5074"/>
        <s v="5075"/>
        <s v="5076"/>
        <s v="5077"/>
        <s v="5078"/>
        <s v="5079"/>
        <s v="5080"/>
        <s v="5081"/>
        <s v="5082"/>
        <s v="5083"/>
        <s v="5084"/>
        <s v="5085"/>
        <s v="5086"/>
        <s v="5087"/>
        <s v="5088"/>
        <s v="5089"/>
        <s v="5090"/>
        <s v="5091"/>
        <s v="5092"/>
        <s v="5093"/>
        <s v="5094"/>
        <s v="5095"/>
        <s v="5096"/>
        <s v="5097"/>
        <s v="5098"/>
        <s v="5099"/>
        <s v="5100"/>
        <s v="5101"/>
        <s v="5102"/>
        <s v="5103"/>
        <s v="5104"/>
        <s v="5105"/>
        <s v="5106"/>
        <s v="5107"/>
        <s v="5108"/>
        <s v="5109"/>
        <s v="5110"/>
        <s v="5111"/>
        <s v="5112"/>
        <s v="5113"/>
        <s v="5114"/>
        <s v="5115"/>
        <s v="5116"/>
        <s v="5117"/>
        <s v="5118"/>
        <s v="5119"/>
        <s v="5120"/>
        <s v="5121"/>
        <s v="5122"/>
        <s v="5123"/>
        <s v="5124"/>
        <s v="5125"/>
        <s v="5126"/>
        <s v="5127"/>
        <s v="5128"/>
        <s v="5129"/>
        <s v="5130"/>
        <s v="5131"/>
        <s v="5132"/>
        <s v="5133"/>
        <s v="5134"/>
        <s v="5135"/>
        <s v="5136"/>
        <s v="5137"/>
        <s v="5138"/>
        <s v="5139"/>
        <s v="5140"/>
        <s v="5141"/>
        <s v="5142"/>
        <s v="5143"/>
        <s v="5144"/>
        <s v="5145"/>
        <s v="5146"/>
        <s v="5147"/>
        <s v="5148"/>
        <s v="5149"/>
        <s v="5150"/>
        <s v="5151"/>
        <s v="5152"/>
        <s v="5153"/>
        <s v="5154"/>
        <s v="5155"/>
        <s v="5156"/>
        <s v="5157"/>
        <s v="5158"/>
        <s v="5159"/>
        <s v="5160"/>
        <s v="5161"/>
        <s v="5162"/>
        <s v="5163"/>
        <s v="5164"/>
        <s v="5165"/>
        <s v="5166"/>
        <s v="5167"/>
        <s v="5168"/>
        <s v="5169"/>
        <s v="5170"/>
        <s v="5171"/>
        <s v="5172"/>
        <s v="5173"/>
        <s v="5174"/>
        <s v="5175"/>
        <s v="5176"/>
        <s v="5177"/>
        <s v="5178"/>
        <s v="5179"/>
        <s v="5180"/>
        <s v="5181"/>
        <s v="5182"/>
        <s v="5183"/>
        <s v="5184"/>
        <s v="5185"/>
        <s v="5186"/>
        <s v="5187"/>
        <s v="5188"/>
        <s v="5189"/>
        <s v="5190"/>
        <s v="5191"/>
        <s v="5192"/>
        <s v="5193"/>
        <s v="5194"/>
        <s v="5195"/>
        <s v="5196"/>
        <s v="5197"/>
        <s v="5198"/>
        <s v="5199"/>
        <s v="5200"/>
        <s v="5201"/>
        <s v="5202"/>
        <s v="5203"/>
        <s v="5204"/>
        <s v="5205"/>
        <s v="5206"/>
        <s v="5207"/>
        <s v="5208"/>
        <s v="5209"/>
        <s v="5210"/>
        <s v="5211"/>
        <s v="5212"/>
        <s v="5213"/>
        <s v="5214"/>
        <s v="5215"/>
        <s v="5216"/>
        <s v="5217"/>
        <s v="5218"/>
        <s v="5219"/>
        <s v="5220"/>
        <s v="5221"/>
        <s v="5222"/>
        <s v="5223"/>
        <s v="5224"/>
        <s v="5225"/>
        <s v="5226"/>
        <s v="5227"/>
        <s v="5228"/>
        <s v="5229"/>
        <s v="5230"/>
        <s v="5231"/>
        <s v="5232"/>
        <s v="5233"/>
        <s v="5234"/>
        <s v="5235"/>
        <s v="5236"/>
        <s v="5237"/>
        <s v="5238"/>
        <s v="5239"/>
        <s v="5240"/>
        <s v="5241"/>
        <s v="5242"/>
        <s v="5243"/>
        <s v="5244"/>
        <s v="5245"/>
        <s v="5246"/>
        <s v="5247"/>
        <s v="5248"/>
        <s v="5249"/>
        <s v="5250"/>
        <s v="5251"/>
        <s v="5252"/>
        <s v="5253"/>
        <s v="5254"/>
        <s v="5255"/>
        <s v="5256"/>
        <s v="5257"/>
        <s v="5258"/>
        <s v="5259"/>
        <s v="5260"/>
        <s v="5261"/>
        <s v="5262"/>
        <s v="5263"/>
        <s v="5264"/>
        <s v="5265"/>
        <s v="5266"/>
        <s v="5267"/>
        <s v="5268"/>
        <s v="5269"/>
        <s v="5270"/>
        <s v="5271"/>
        <s v="5272"/>
        <s v="5273"/>
        <s v="5274"/>
        <s v="5275"/>
        <s v="5276"/>
        <s v="5277"/>
        <s v="5278"/>
        <s v="5279"/>
        <s v="5280"/>
        <s v="5281"/>
        <s v="5282"/>
        <s v="5283"/>
        <s v="5284"/>
        <s v="5285"/>
        <s v="5286"/>
        <s v="5287"/>
        <s v="5288"/>
        <s v="5289"/>
        <s v="5290"/>
        <s v="5291"/>
        <s v="5292"/>
        <s v="5293"/>
        <s v="5294"/>
        <s v="5295"/>
        <s v="5296"/>
        <s v="5297"/>
        <s v="5298"/>
        <s v="5299"/>
        <s v="5300"/>
        <s v="5301"/>
        <s v="5302"/>
        <s v="5303"/>
        <s v="5304"/>
        <s v="5305"/>
        <s v="5306"/>
        <s v="5307"/>
        <s v="5308"/>
        <s v="5309"/>
        <s v="5310"/>
        <s v="5311"/>
        <s v="5312"/>
        <s v="5313"/>
        <s v="5314"/>
        <s v="5315"/>
        <s v="5316"/>
        <s v="5317"/>
        <s v="5318"/>
        <s v="5319"/>
        <s v="5320"/>
        <s v="5321"/>
        <s v="5322"/>
        <s v="5323"/>
        <s v="5324"/>
        <s v="5325"/>
        <s v="5326"/>
        <s v="5327"/>
        <s v="5328"/>
        <s v="5329"/>
        <s v="5330"/>
        <s v="5331"/>
        <s v="5332"/>
        <s v="5333"/>
        <s v="5334"/>
        <s v="5335"/>
        <s v="5336"/>
        <s v="5337"/>
        <s v="5338"/>
        <s v="5339"/>
        <s v="5340"/>
        <s v="5341"/>
        <s v="5342"/>
        <s v="5343"/>
        <s v="5344"/>
        <s v="5345"/>
        <s v="5346"/>
        <s v="5347"/>
        <s v="5348"/>
        <s v="5349"/>
        <s v="5350"/>
        <s v="5351"/>
        <s v="5352"/>
        <s v="5353"/>
        <s v="5354"/>
        <s v="5355"/>
        <s v="5356"/>
        <s v="5357"/>
        <s v="5358"/>
        <s v="5359"/>
        <s v="5360"/>
        <s v="5361"/>
        <s v="5362"/>
        <s v="5363"/>
        <s v="5364"/>
        <s v="5365"/>
        <s v="5366"/>
        <s v="5367"/>
        <s v="5368"/>
        <s v="5369"/>
        <s v="5370"/>
        <s v="5371"/>
        <s v="5372"/>
        <s v="5373"/>
        <s v="5374"/>
        <s v="5375"/>
        <s v="5376"/>
        <s v="5377"/>
        <s v="5378"/>
        <s v="5379"/>
        <s v="5380"/>
        <s v="5381"/>
        <s v="5382"/>
        <s v="5383"/>
        <s v="5384"/>
        <s v="5385"/>
        <s v="5386"/>
        <s v="5387"/>
        <s v="5388"/>
        <s v="5389"/>
        <s v="5390"/>
        <s v="5391"/>
        <s v="5392"/>
        <s v="5393"/>
        <s v="5394"/>
        <s v="5395"/>
        <s v="5396"/>
        <s v="5397"/>
        <s v="5398"/>
        <s v="5399"/>
        <s v="5400"/>
        <s v="5401"/>
        <s v="5402"/>
        <s v="5403"/>
        <s v="5404"/>
        <s v="5405"/>
        <s v="5406"/>
        <s v="5407"/>
        <s v="5408"/>
        <s v="5409"/>
        <s v="5410"/>
        <s v="5411"/>
        <s v="5412"/>
        <s v="5413"/>
        <s v="5414"/>
        <s v="5415"/>
        <s v="5416"/>
        <s v="5417"/>
        <s v="5418"/>
        <m/>
      </sharedItems>
    </cacheField>
    <cacheField name="Adv Check" numFmtId="0">
      <sharedItems containsString="0" containsBlank="1" containsNumber="1" containsInteger="1" minValue="1" maxValue="1" count="2">
        <n v="1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5417" createdVersion="3">
  <cacheSource type="worksheet">
    <worksheetSource ref="A1:J6436" sheet="Daily Transactions"/>
  </cacheSource>
  <cacheFields count="10">
    <cacheField name="f" numFmtId="0">
      <sharedItems containsNonDate="0" containsDate="1" containsString="0" containsBlank="1" minDate="2025-01-22T00:00:00" maxDate="2025-11-28T00:00:00" count="311"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m/>
      </sharedItems>
    </cacheField>
    <cacheField name="Item/Description" numFmtId="0">
      <sharedItems containsBlank="1" count="42">
        <s v="Advance"/>
        <s v="Bakery"/>
        <s v="Bank"/>
        <s v="Beverages"/>
        <s v="Cash Return to Cx"/>
        <s v="Cash Shortage"/>
        <s v="Chamber Clean"/>
        <s v="Chapati"/>
        <s v="Charcoal"/>
        <s v="Chicken"/>
        <s v="Civil Work"/>
        <s v="Counter Cash"/>
        <s v="Dairy"/>
        <s v="Disposable"/>
        <s v="Donation"/>
        <s v="Egg"/>
        <s v="Electric Work"/>
        <s v="Electricity"/>
        <s v="Garbage Vehicle"/>
        <s v="Gas"/>
        <s v="Grocery"/>
        <s v="Hotel Commision"/>
        <s v="Internet"/>
        <s v="Kinners"/>
        <s v="Maintenance"/>
        <s v="Medical"/>
        <s v="Momos"/>
        <s v="Mutton"/>
        <s v="Petrol"/>
        <s v="Plumbing Work"/>
        <s v="Police"/>
        <s v="Restaurant New Inventory"/>
        <s v="Sales"/>
        <s v="Staff"/>
        <s v="Staff "/>
        <s v="Staff Edi"/>
        <s v="Stationary"/>
        <s v="Tea"/>
        <s v="Vegetables"/>
        <s v="Water 20 Ltrs"/>
        <s v="Water Tanker"/>
        <m/>
      </sharedItems>
    </cacheField>
    <cacheField name="Amount" numFmtId="0">
      <sharedItems containsString="0" containsBlank="1" containsNumber="1" minValue="0" maxValue="36525" count="1991">
        <n v="0"/>
        <n v="5"/>
        <n v="6"/>
        <n v="7"/>
        <n v="8"/>
        <n v="10"/>
        <n v="11"/>
        <n v="12"/>
        <n v="14"/>
        <n v="15"/>
        <n v="17"/>
        <n v="19"/>
        <n v="20"/>
        <n v="23"/>
        <n v="24"/>
        <n v="25"/>
        <n v="26"/>
        <n v="28"/>
        <n v="29"/>
        <n v="30"/>
        <n v="32"/>
        <n v="34"/>
        <n v="35"/>
        <n v="37"/>
        <n v="38"/>
        <n v="40"/>
        <n v="45"/>
        <n v="50"/>
        <n v="55"/>
        <n v="56"/>
        <n v="60"/>
        <n v="65"/>
        <n v="69"/>
        <n v="70"/>
        <n v="75"/>
        <n v="76"/>
        <n v="80"/>
        <n v="83"/>
        <n v="85"/>
        <n v="87"/>
        <n v="90"/>
        <n v="94"/>
        <n v="95"/>
        <n v="96"/>
        <n v="99"/>
        <n v="100"/>
        <n v="103"/>
        <n v="104"/>
        <n v="105"/>
        <n v="110"/>
        <n v="115"/>
        <n v="116"/>
        <n v="118"/>
        <n v="120"/>
        <n v="121"/>
        <n v="125"/>
        <n v="128"/>
        <n v="129"/>
        <n v="130"/>
        <n v="135"/>
        <n v="140"/>
        <n v="144"/>
        <n v="145"/>
        <n v="147"/>
        <n v="149"/>
        <n v="150"/>
        <n v="152"/>
        <n v="153"/>
        <n v="155"/>
        <n v="160"/>
        <n v="162"/>
        <n v="164"/>
        <n v="165"/>
        <n v="169"/>
        <n v="170"/>
        <n v="174"/>
        <n v="175"/>
        <n v="180"/>
        <n v="183"/>
        <n v="184"/>
        <n v="185"/>
        <n v="187"/>
        <n v="188"/>
        <n v="190"/>
        <n v="193"/>
        <n v="195"/>
        <n v="198"/>
        <n v="200"/>
        <n v="201"/>
        <n v="203"/>
        <n v="210"/>
        <n v="215"/>
        <n v="216"/>
        <n v="217"/>
        <n v="220"/>
        <n v="221"/>
        <n v="222"/>
        <n v="225"/>
        <n v="226"/>
        <n v="229"/>
        <n v="230"/>
        <n v="232"/>
        <n v="235"/>
        <n v="237"/>
        <n v="238"/>
        <n v="239"/>
        <n v="240"/>
        <n v="241"/>
        <n v="242"/>
        <n v="245"/>
        <n v="248"/>
        <n v="249"/>
        <n v="250"/>
        <n v="254"/>
        <n v="255"/>
        <n v="258"/>
        <n v="259"/>
        <n v="260"/>
        <n v="265"/>
        <n v="269"/>
        <n v="270"/>
        <n v="272"/>
        <n v="273"/>
        <n v="275"/>
        <n v="276"/>
        <n v="278"/>
        <n v="279"/>
        <n v="280"/>
        <n v="282"/>
        <n v="285"/>
        <n v="286"/>
        <n v="288"/>
        <n v="290"/>
        <n v="294"/>
        <n v="300"/>
        <n v="302"/>
        <n v="304"/>
        <n v="307"/>
        <n v="310"/>
        <n v="312"/>
        <n v="313"/>
        <n v="315"/>
        <n v="318"/>
        <n v="320"/>
        <n v="324"/>
        <n v="325"/>
        <n v="327"/>
        <n v="330"/>
        <n v="331"/>
        <n v="332"/>
        <n v="334"/>
        <n v="335"/>
        <n v="336"/>
        <n v="338"/>
        <n v="340"/>
        <n v="344"/>
        <n v="345"/>
        <n v="349"/>
        <n v="350"/>
        <n v="353"/>
        <n v="355"/>
        <n v="356"/>
        <n v="357"/>
        <n v="358"/>
        <n v="360"/>
        <n v="361"/>
        <n v="362"/>
        <n v="363"/>
        <n v="364"/>
        <n v="365"/>
        <n v="366"/>
        <n v="368"/>
        <n v="369"/>
        <n v="370"/>
        <n v="371"/>
        <n v="373"/>
        <n v="374"/>
        <n v="375"/>
        <n v="377"/>
        <n v="379"/>
        <n v="380"/>
        <n v="383"/>
        <n v="385"/>
        <n v="386"/>
        <n v="387"/>
        <n v="388"/>
        <n v="389"/>
        <n v="390"/>
        <n v="391"/>
        <n v="393"/>
        <n v="399"/>
        <n v="400"/>
        <n v="401"/>
        <n v="403"/>
        <n v="405"/>
        <n v="406"/>
        <n v="407"/>
        <n v="408"/>
        <n v="410"/>
        <n v="412"/>
        <n v="414"/>
        <n v="415"/>
        <n v="416"/>
        <n v="418"/>
        <n v="419"/>
        <n v="420"/>
        <n v="421"/>
        <n v="426"/>
        <n v="427"/>
        <n v="428"/>
        <n v="430"/>
        <n v="431"/>
        <n v="434"/>
        <n v="435"/>
        <n v="438"/>
        <n v="439"/>
        <n v="440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9"/>
        <n v="460"/>
        <n v="464"/>
        <n v="465"/>
        <n v="466"/>
        <n v="467"/>
        <n v="468"/>
        <n v="469"/>
        <n v="470"/>
        <n v="471"/>
        <n v="474"/>
        <n v="475"/>
        <n v="479"/>
        <n v="480"/>
        <n v="484"/>
        <n v="485"/>
        <n v="486"/>
        <n v="490"/>
        <n v="491"/>
        <n v="492"/>
        <n v="493"/>
        <n v="494"/>
        <n v="495"/>
        <n v="496"/>
        <n v="498"/>
        <n v="500"/>
        <n v="501"/>
        <n v="503"/>
        <n v="504"/>
        <n v="505"/>
        <n v="506"/>
        <n v="507"/>
        <n v="508"/>
        <n v="510"/>
        <n v="513"/>
        <n v="514"/>
        <n v="515"/>
        <n v="516"/>
        <n v="518"/>
        <n v="519"/>
        <n v="520"/>
        <n v="522"/>
        <n v="525"/>
        <n v="526"/>
        <n v="528"/>
        <n v="529"/>
        <n v="530"/>
        <n v="531"/>
        <n v="532"/>
        <n v="535"/>
        <n v="536"/>
        <n v="537"/>
        <n v="540"/>
        <n v="543"/>
        <n v="545"/>
        <n v="549"/>
        <n v="550"/>
        <n v="551"/>
        <n v="552"/>
        <n v="554"/>
        <n v="555"/>
        <n v="559"/>
        <n v="560"/>
        <n v="561"/>
        <n v="562"/>
        <n v="566"/>
        <n v="567"/>
        <n v="568"/>
        <n v="570"/>
        <n v="573"/>
        <n v="574"/>
        <n v="575"/>
        <n v="577"/>
        <n v="579"/>
        <n v="580"/>
        <n v="581"/>
        <n v="583"/>
        <n v="585"/>
        <n v="586"/>
        <n v="587"/>
        <n v="589"/>
        <n v="590"/>
        <n v="591"/>
        <n v="592"/>
        <n v="595"/>
        <n v="597"/>
        <n v="599"/>
        <n v="600"/>
        <n v="602"/>
        <n v="603"/>
        <n v="605"/>
        <n v="606"/>
        <n v="610"/>
        <n v="613"/>
        <n v="614"/>
        <n v="615"/>
        <n v="616"/>
        <n v="619"/>
        <n v="620"/>
        <n v="621"/>
        <n v="624"/>
        <n v="625"/>
        <n v="626"/>
        <n v="629"/>
        <n v="630"/>
        <n v="635"/>
        <n v="640"/>
        <n v="643"/>
        <n v="645"/>
        <n v="646"/>
        <n v="647"/>
        <n v="648"/>
        <n v="650"/>
        <n v="652"/>
        <n v="653"/>
        <n v="654"/>
        <n v="655"/>
        <n v="657"/>
        <n v="658"/>
        <n v="659"/>
        <n v="660"/>
        <n v="663"/>
        <n v="664"/>
        <n v="665"/>
        <n v="666"/>
        <n v="669"/>
        <n v="670"/>
        <n v="673"/>
        <n v="674"/>
        <n v="675"/>
        <n v="676"/>
        <n v="677"/>
        <n v="680"/>
        <n v="681"/>
        <n v="683"/>
        <n v="685"/>
        <n v="686"/>
        <n v="688"/>
        <n v="689"/>
        <n v="690"/>
        <n v="691"/>
        <n v="692"/>
        <n v="693"/>
        <n v="696"/>
        <n v="700"/>
        <n v="702"/>
        <n v="705"/>
        <n v="706"/>
        <n v="709"/>
        <n v="710"/>
        <n v="711"/>
        <n v="715"/>
        <n v="720"/>
        <n v="725"/>
        <n v="726"/>
        <n v="727"/>
        <n v="728"/>
        <n v="730"/>
        <n v="731"/>
        <n v="735"/>
        <n v="739"/>
        <n v="740"/>
        <n v="741"/>
        <n v="742"/>
        <n v="743"/>
        <n v="744"/>
        <n v="745"/>
        <n v="750"/>
        <n v="751"/>
        <n v="755"/>
        <n v="757"/>
        <n v="760"/>
        <n v="762"/>
        <n v="765"/>
        <n v="766"/>
        <n v="768"/>
        <n v="770"/>
        <n v="774"/>
        <n v="775"/>
        <n v="776"/>
        <n v="778"/>
        <n v="780"/>
        <n v="781"/>
        <n v="782"/>
        <n v="783"/>
        <n v="785"/>
        <n v="787"/>
        <n v="788"/>
        <n v="789"/>
        <n v="790"/>
        <n v="791"/>
        <n v="792"/>
        <n v="794"/>
        <n v="795"/>
        <n v="799"/>
        <n v="800"/>
        <n v="802"/>
        <n v="803"/>
        <n v="806"/>
        <n v="809"/>
        <n v="810"/>
        <n v="813"/>
        <n v="814"/>
        <n v="815"/>
        <n v="816"/>
        <n v="818"/>
        <n v="819"/>
        <n v="820"/>
        <n v="823"/>
        <n v="825"/>
        <n v="827"/>
        <n v="828"/>
        <n v="829"/>
        <n v="830"/>
        <n v="833"/>
        <n v="835"/>
        <n v="836"/>
        <n v="838"/>
        <n v="840"/>
        <n v="844"/>
        <n v="845"/>
        <n v="846"/>
        <n v="848"/>
        <n v="850"/>
        <n v="853"/>
        <n v="854"/>
        <n v="858"/>
        <n v="860"/>
        <n v="864"/>
        <n v="865"/>
        <n v="870"/>
        <n v="874"/>
        <n v="875"/>
        <n v="879"/>
        <n v="880"/>
        <n v="882"/>
        <n v="883"/>
        <n v="885"/>
        <n v="888"/>
        <n v="889"/>
        <n v="890"/>
        <n v="894"/>
        <n v="895"/>
        <n v="899"/>
        <n v="900"/>
        <n v="902"/>
        <n v="905"/>
        <n v="909"/>
        <n v="910"/>
        <n v="913"/>
        <n v="915"/>
        <n v="920"/>
        <n v="923"/>
        <n v="925"/>
        <n v="930"/>
        <n v="933"/>
        <n v="934"/>
        <n v="935"/>
        <n v="936"/>
        <n v="939"/>
        <n v="940"/>
        <n v="943"/>
        <n v="945"/>
        <n v="948"/>
        <n v="950"/>
        <n v="955"/>
        <n v="958"/>
        <n v="960"/>
        <n v="962"/>
        <n v="963"/>
        <n v="964"/>
        <n v="965"/>
        <n v="968"/>
        <n v="969"/>
        <n v="970"/>
        <n v="975"/>
        <n v="976"/>
        <n v="980"/>
        <n v="982"/>
        <n v="985"/>
        <n v="989"/>
        <n v="990"/>
        <n v="993"/>
        <n v="994"/>
        <n v="996"/>
        <n v="998"/>
        <n v="999"/>
        <n v="1000"/>
        <n v="1002"/>
        <n v="1005"/>
        <n v="1006"/>
        <n v="1007"/>
        <n v="1009"/>
        <n v="1010"/>
        <n v="1014"/>
        <n v="1015"/>
        <n v="1020"/>
        <n v="1029"/>
        <n v="1031"/>
        <n v="1034"/>
        <n v="1035"/>
        <n v="1036"/>
        <n v="1038"/>
        <n v="1040"/>
        <n v="1041"/>
        <n v="1043"/>
        <n v="1047"/>
        <n v="1048"/>
        <n v="1050"/>
        <n v="1055"/>
        <n v="1057"/>
        <n v="1058"/>
        <n v="1060"/>
        <n v="1068"/>
        <n v="1070"/>
        <n v="1073"/>
        <n v="1075"/>
        <n v="1079"/>
        <n v="1080"/>
        <n v="1081"/>
        <n v="1084"/>
        <n v="1088"/>
        <n v="1089"/>
        <n v="1090"/>
        <n v="1099"/>
        <n v="1100"/>
        <n v="1105"/>
        <n v="1106"/>
        <n v="1109"/>
        <n v="1110"/>
        <n v="1113"/>
        <n v="1115"/>
        <n v="1119"/>
        <n v="1120"/>
        <n v="1121"/>
        <n v="1122"/>
        <n v="1125"/>
        <n v="1126"/>
        <n v="1130"/>
        <n v="1131"/>
        <n v="1133"/>
        <n v="1135"/>
        <n v="1138"/>
        <n v="1139"/>
        <n v="1140"/>
        <n v="1143"/>
        <n v="1145"/>
        <n v="1150"/>
        <n v="1153"/>
        <n v="1154"/>
        <n v="1155"/>
        <n v="1160"/>
        <n v="1163"/>
        <n v="1165"/>
        <n v="1168"/>
        <n v="1170"/>
        <n v="1178"/>
        <n v="1180"/>
        <n v="1181"/>
        <n v="1185"/>
        <n v="1186"/>
        <n v="1187.5"/>
        <n v="1189"/>
        <n v="1190"/>
        <n v="1192"/>
        <n v="1195"/>
        <n v="1196"/>
        <n v="1197"/>
        <n v="1200"/>
        <n v="1204"/>
        <n v="1205"/>
        <n v="1210"/>
        <n v="1212"/>
        <n v="1214"/>
        <n v="1215"/>
        <n v="1216"/>
        <n v="1220"/>
        <n v="1225"/>
        <n v="1227"/>
        <n v="1229"/>
        <n v="1230"/>
        <n v="1231"/>
        <n v="1233"/>
        <n v="1240"/>
        <n v="1241"/>
        <n v="1244"/>
        <n v="1245"/>
        <n v="1250"/>
        <n v="1253"/>
        <n v="1254"/>
        <n v="1255"/>
        <n v="1256"/>
        <n v="1258"/>
        <n v="1259"/>
        <n v="1260"/>
        <n v="1264"/>
        <n v="1265"/>
        <n v="1269"/>
        <n v="1270"/>
        <n v="1275"/>
        <n v="1278"/>
        <n v="1280"/>
        <n v="1285"/>
        <n v="1286"/>
        <n v="1287"/>
        <n v="1288"/>
        <n v="1289"/>
        <n v="1290"/>
        <n v="1295"/>
        <n v="1296"/>
        <n v="1300"/>
        <n v="1303"/>
        <n v="1305"/>
        <n v="1308"/>
        <n v="1310"/>
        <n v="1314"/>
        <n v="1315"/>
        <n v="1318"/>
        <n v="1325"/>
        <n v="1326"/>
        <n v="1329"/>
        <n v="1330"/>
        <n v="1331"/>
        <n v="1334"/>
        <n v="1335"/>
        <n v="1336"/>
        <n v="1339"/>
        <n v="1340"/>
        <n v="1343"/>
        <n v="1345"/>
        <n v="1349"/>
        <n v="1350"/>
        <n v="1355"/>
        <n v="1357"/>
        <n v="1358"/>
        <n v="1360"/>
        <n v="1362"/>
        <n v="1363"/>
        <n v="1365"/>
        <n v="1368"/>
        <n v="1369"/>
        <n v="1370"/>
        <n v="1371"/>
        <n v="1379"/>
        <n v="1380"/>
        <n v="1381"/>
        <n v="1385"/>
        <n v="1389"/>
        <n v="1390"/>
        <n v="1392"/>
        <n v="1393"/>
        <n v="1395"/>
        <n v="1400"/>
        <n v="1405"/>
        <n v="1407"/>
        <n v="1409"/>
        <n v="1410"/>
        <n v="1415"/>
        <n v="1420"/>
        <n v="1424"/>
        <n v="1425"/>
        <n v="1430"/>
        <n v="1431"/>
        <n v="1437"/>
        <n v="1439"/>
        <n v="1440"/>
        <n v="1445"/>
        <n v="1448"/>
        <n v="1449"/>
        <n v="1450"/>
        <n v="1454"/>
        <n v="1455"/>
        <n v="1457"/>
        <n v="1460"/>
        <n v="1470"/>
        <n v="1473"/>
        <n v="1475"/>
        <n v="1477"/>
        <n v="1480"/>
        <n v="1485"/>
        <n v="1486"/>
        <n v="1487"/>
        <n v="1488"/>
        <n v="1491"/>
        <n v="1492"/>
        <n v="1494"/>
        <n v="1495"/>
        <n v="1498"/>
        <n v="1500"/>
        <n v="1502"/>
        <n v="1507"/>
        <n v="1508"/>
        <n v="1509"/>
        <n v="1510"/>
        <n v="1513"/>
        <n v="1519"/>
        <n v="1520"/>
        <n v="1521"/>
        <n v="1525"/>
        <n v="1527"/>
        <n v="1533"/>
        <n v="1534"/>
        <n v="1539"/>
        <n v="1540"/>
        <n v="1546"/>
        <n v="1550"/>
        <n v="1551"/>
        <n v="1555"/>
        <n v="1560"/>
        <n v="1561"/>
        <n v="1565"/>
        <n v="1568"/>
        <n v="1569"/>
        <n v="1570"/>
        <n v="1571"/>
        <n v="1573"/>
        <n v="1580"/>
        <n v="1585"/>
        <n v="1590"/>
        <n v="1592"/>
        <n v="1593"/>
        <n v="1595"/>
        <n v="1600"/>
        <n v="1606"/>
        <n v="1609"/>
        <n v="1610"/>
        <n v="1615"/>
        <n v="1617"/>
        <n v="1619"/>
        <n v="1620"/>
        <n v="1622"/>
        <n v="1625"/>
        <n v="1630"/>
        <n v="1633"/>
        <n v="1635"/>
        <n v="1644"/>
        <n v="1645"/>
        <n v="1646"/>
        <n v="1650"/>
        <n v="1653"/>
        <n v="1654"/>
        <n v="1655"/>
        <n v="1656"/>
        <n v="1658"/>
        <n v="1660"/>
        <n v="1670"/>
        <n v="1675"/>
        <n v="1678"/>
        <n v="1680"/>
        <n v="1683"/>
        <n v="1684"/>
        <n v="1685"/>
        <n v="1695"/>
        <n v="1700"/>
        <n v="1710"/>
        <n v="1712"/>
        <n v="1715"/>
        <n v="1719"/>
        <n v="1720"/>
        <n v="1725"/>
        <n v="1730"/>
        <n v="1731"/>
        <n v="1735"/>
        <n v="1740"/>
        <n v="1741"/>
        <n v="1744"/>
        <n v="1745"/>
        <n v="1748"/>
        <n v="1750"/>
        <n v="1755"/>
        <n v="1756"/>
        <n v="1759"/>
        <n v="1760"/>
        <n v="1764"/>
        <n v="1767"/>
        <n v="1768"/>
        <n v="1770"/>
        <n v="1772"/>
        <n v="1773"/>
        <n v="1776"/>
        <n v="1780"/>
        <n v="1786"/>
        <n v="1790"/>
        <n v="1795"/>
        <n v="1799"/>
        <n v="1800"/>
        <n v="1802"/>
        <n v="1805"/>
        <n v="1810"/>
        <n v="1813"/>
        <n v="1815"/>
        <n v="1820"/>
        <n v="1825"/>
        <n v="1830"/>
        <n v="1834"/>
        <n v="1835"/>
        <n v="1840"/>
        <n v="1848"/>
        <n v="1850"/>
        <n v="1851"/>
        <n v="1852"/>
        <n v="1855"/>
        <n v="1862"/>
        <n v="1870"/>
        <n v="1879"/>
        <n v="1880"/>
        <n v="1887"/>
        <n v="1890"/>
        <n v="1894"/>
        <n v="1895"/>
        <n v="1900"/>
        <n v="1910"/>
        <n v="1911"/>
        <n v="1914"/>
        <n v="1920"/>
        <n v="1924"/>
        <n v="1928"/>
        <n v="1931"/>
        <n v="1935"/>
        <n v="1936"/>
        <n v="1939"/>
        <n v="1940"/>
        <n v="1941"/>
        <n v="1945"/>
        <n v="1947"/>
        <n v="1949"/>
        <n v="1950"/>
        <n v="1954"/>
        <n v="1958"/>
        <n v="1960"/>
        <n v="1964"/>
        <n v="1970"/>
        <n v="1973"/>
        <n v="1975"/>
        <n v="1989"/>
        <n v="1990"/>
        <n v="1992"/>
        <n v="1999"/>
        <n v="2000"/>
        <n v="2003"/>
        <n v="2010"/>
        <n v="2011"/>
        <n v="2014"/>
        <n v="2015"/>
        <n v="2020"/>
        <n v="2024"/>
        <n v="2025"/>
        <n v="2030"/>
        <n v="2037"/>
        <n v="2040"/>
        <n v="2044"/>
        <n v="2050"/>
        <n v="2052"/>
        <n v="2057"/>
        <n v="2060"/>
        <n v="2061"/>
        <n v="2063"/>
        <n v="2076"/>
        <n v="2080"/>
        <n v="2085"/>
        <n v="2087"/>
        <n v="2090"/>
        <n v="2091"/>
        <n v="2100"/>
        <n v="2105"/>
        <n v="2110"/>
        <n v="2114"/>
        <n v="2115"/>
        <n v="2128"/>
        <n v="2130"/>
        <n v="2137"/>
        <n v="2142"/>
        <n v="2145"/>
        <n v="2148"/>
        <n v="2150"/>
        <n v="2154"/>
        <n v="2155"/>
        <n v="2159"/>
        <n v="2160"/>
        <n v="2169"/>
        <n v="2172"/>
        <n v="2173"/>
        <n v="2178"/>
        <n v="2180"/>
        <n v="2183"/>
        <n v="2184"/>
        <n v="2189"/>
        <n v="2198"/>
        <n v="2200"/>
        <n v="2204"/>
        <n v="2208"/>
        <n v="2210"/>
        <n v="2212"/>
        <n v="2215"/>
        <n v="2220"/>
        <n v="2225"/>
        <n v="2230"/>
        <n v="2232"/>
        <n v="2234"/>
        <n v="2236"/>
        <n v="2240"/>
        <n v="2241"/>
        <n v="2242"/>
        <n v="2248"/>
        <n v="2250"/>
        <n v="2251"/>
        <n v="2255"/>
        <n v="2258"/>
        <n v="2260"/>
        <n v="2265"/>
        <n v="2268"/>
        <n v="2270"/>
        <n v="2275"/>
        <n v="2277"/>
        <n v="2280"/>
        <n v="2285"/>
        <n v="2290"/>
        <n v="2298"/>
        <n v="2300"/>
        <n v="2307"/>
        <n v="2310"/>
        <n v="2319"/>
        <n v="2320"/>
        <n v="2323"/>
        <n v="2324"/>
        <n v="2325"/>
        <n v="2327"/>
        <n v="2329"/>
        <n v="2332"/>
        <n v="2335"/>
        <n v="2336"/>
        <n v="2337"/>
        <n v="2338"/>
        <n v="2340"/>
        <n v="2342"/>
        <n v="2345"/>
        <n v="2346"/>
        <n v="2350"/>
        <n v="2351"/>
        <n v="2355"/>
        <n v="2358"/>
        <n v="2360"/>
        <n v="2362"/>
        <n v="2368"/>
        <n v="2370"/>
        <n v="2371"/>
        <n v="2372"/>
        <n v="2375"/>
        <n v="2376"/>
        <n v="2381"/>
        <n v="2386"/>
        <n v="2390"/>
        <n v="2391"/>
        <n v="2393"/>
        <n v="2394"/>
        <n v="2395"/>
        <n v="2396"/>
        <n v="2400"/>
        <n v="2401"/>
        <n v="2410"/>
        <n v="2414"/>
        <n v="2415"/>
        <n v="2420"/>
        <n v="2422"/>
        <n v="2424"/>
        <n v="2426"/>
        <n v="2430"/>
        <n v="2431"/>
        <n v="2440"/>
        <n v="2442"/>
        <n v="2443"/>
        <n v="2455"/>
        <n v="2458"/>
        <n v="2465"/>
        <n v="2472"/>
        <n v="2475"/>
        <n v="2476"/>
        <n v="2477"/>
        <n v="2478"/>
        <n v="2482"/>
        <n v="2486"/>
        <n v="2490"/>
        <n v="2496"/>
        <n v="2498"/>
        <n v="2500"/>
        <n v="2505"/>
        <n v="2510"/>
        <n v="2520"/>
        <n v="2523"/>
        <n v="2525"/>
        <n v="2530"/>
        <n v="2535"/>
        <n v="2540"/>
        <n v="2542"/>
        <n v="2560"/>
        <n v="2566"/>
        <n v="2575"/>
        <n v="2576"/>
        <n v="2580"/>
        <n v="2583"/>
        <n v="2585"/>
        <n v="2586"/>
        <n v="2598"/>
        <n v="2600"/>
        <n v="2610"/>
        <n v="2615"/>
        <n v="2620"/>
        <n v="2624"/>
        <n v="2630"/>
        <n v="2632"/>
        <n v="2635"/>
        <n v="2638"/>
        <n v="2640"/>
        <n v="2650"/>
        <n v="2655"/>
        <n v="2656"/>
        <n v="2657"/>
        <n v="2661"/>
        <n v="2663"/>
        <n v="2675"/>
        <n v="2677"/>
        <n v="2680"/>
        <n v="2684"/>
        <n v="2687"/>
        <n v="2691"/>
        <n v="2693"/>
        <n v="2694"/>
        <n v="2695"/>
        <n v="2700"/>
        <n v="2701"/>
        <n v="2703"/>
        <n v="2710"/>
        <n v="2714"/>
        <n v="2716"/>
        <n v="2717"/>
        <n v="2725"/>
        <n v="2728"/>
        <n v="2732"/>
        <n v="2736"/>
        <n v="2739"/>
        <n v="2744"/>
        <n v="2745"/>
        <n v="2748"/>
        <n v="2754"/>
        <n v="2755"/>
        <n v="2760"/>
        <n v="2764"/>
        <n v="2765"/>
        <n v="2768"/>
        <n v="2770"/>
        <n v="2773"/>
        <n v="2775"/>
        <n v="2777"/>
        <n v="2780"/>
        <n v="2785"/>
        <n v="2787"/>
        <n v="2788"/>
        <n v="2790"/>
        <n v="2795"/>
        <n v="2800"/>
        <n v="2801"/>
        <n v="2810"/>
        <n v="2811"/>
        <n v="2814"/>
        <n v="2820"/>
        <n v="2824"/>
        <n v="2826"/>
        <n v="2830"/>
        <n v="2832"/>
        <n v="2838"/>
        <n v="2839"/>
        <n v="2850"/>
        <n v="2854"/>
        <n v="2855"/>
        <n v="2865"/>
        <n v="2869"/>
        <n v="2870"/>
        <n v="2872"/>
        <n v="2875"/>
        <n v="2880"/>
        <n v="2885"/>
        <n v="2896"/>
        <n v="2900"/>
        <n v="2905"/>
        <n v="2906"/>
        <n v="2908"/>
        <n v="2910"/>
        <n v="2913"/>
        <n v="2920"/>
        <n v="2923"/>
        <n v="2924"/>
        <n v="2925"/>
        <n v="2926"/>
        <n v="2927"/>
        <n v="2930"/>
        <n v="2934"/>
        <n v="2937"/>
        <n v="2940"/>
        <n v="2947"/>
        <n v="2949"/>
        <n v="2950"/>
        <n v="2954"/>
        <n v="2957"/>
        <n v="2960"/>
        <n v="2961"/>
        <n v="2966"/>
        <n v="2967"/>
        <n v="2969"/>
        <n v="2970"/>
        <n v="2971"/>
        <n v="2972"/>
        <n v="2973"/>
        <n v="2980"/>
        <n v="2989"/>
        <n v="2998"/>
        <n v="3000"/>
        <n v="3005"/>
        <n v="3010"/>
        <n v="3015"/>
        <n v="3022"/>
        <n v="3030"/>
        <n v="3035"/>
        <n v="3039"/>
        <n v="3050"/>
        <n v="3051"/>
        <n v="3053"/>
        <n v="3059"/>
        <n v="3060"/>
        <n v="3061"/>
        <n v="3065"/>
        <n v="3070"/>
        <n v="3074"/>
        <n v="3075"/>
        <n v="3083"/>
        <n v="3086"/>
        <n v="3092"/>
        <n v="3094"/>
        <n v="3095"/>
        <n v="3096"/>
        <n v="3100"/>
        <n v="3101"/>
        <n v="3102"/>
        <n v="3103"/>
        <n v="3105"/>
        <n v="3110"/>
        <n v="3113"/>
        <n v="3117"/>
        <n v="3118"/>
        <n v="3119"/>
        <n v="3120"/>
        <n v="3139"/>
        <n v="3140"/>
        <n v="3141"/>
        <n v="3145"/>
        <n v="3146"/>
        <n v="3158"/>
        <n v="3159"/>
        <n v="3160"/>
        <n v="3167"/>
        <n v="3170"/>
        <n v="3172"/>
        <n v="3178"/>
        <n v="3179"/>
        <n v="3181"/>
        <n v="3186"/>
        <n v="3187"/>
        <n v="3188"/>
        <n v="3190"/>
        <n v="3200"/>
        <n v="3201"/>
        <n v="3207"/>
        <n v="3210"/>
        <n v="3214"/>
        <n v="3215"/>
        <n v="3216"/>
        <n v="3218"/>
        <n v="3225"/>
        <n v="3230"/>
        <n v="3233"/>
        <n v="3235"/>
        <n v="3238"/>
        <n v="3245"/>
        <n v="3255"/>
        <n v="3259"/>
        <n v="3263"/>
        <n v="3267"/>
        <n v="3290"/>
        <n v="3293"/>
        <n v="3295"/>
        <n v="3300"/>
        <n v="3301"/>
        <n v="3307"/>
        <n v="3310"/>
        <n v="3311"/>
        <n v="3315"/>
        <n v="3318"/>
        <n v="3323"/>
        <n v="3325"/>
        <n v="3338"/>
        <n v="3340"/>
        <n v="3345"/>
        <n v="3350"/>
        <n v="3352"/>
        <n v="3355"/>
        <n v="3356"/>
        <n v="3360"/>
        <n v="3365"/>
        <n v="3370"/>
        <n v="3373"/>
        <n v="3375"/>
        <n v="3380"/>
        <n v="3384"/>
        <n v="3390"/>
        <n v="3392"/>
        <n v="3394"/>
        <n v="3400"/>
        <n v="3403"/>
        <n v="3406"/>
        <n v="3415"/>
        <n v="3435"/>
        <n v="3440"/>
        <n v="3444"/>
        <n v="3450"/>
        <n v="3455"/>
        <n v="3465"/>
        <n v="3470"/>
        <n v="3477"/>
        <n v="3480"/>
        <n v="3497"/>
        <n v="3498"/>
        <n v="3500"/>
        <n v="3511"/>
        <n v="3520"/>
        <n v="3533"/>
        <n v="3535"/>
        <n v="3544"/>
        <n v="3547"/>
        <n v="3548"/>
        <n v="3550"/>
        <n v="3551"/>
        <n v="3555"/>
        <n v="3559"/>
        <n v="3565"/>
        <n v="3567"/>
        <n v="3572"/>
        <n v="3586"/>
        <n v="3590"/>
        <n v="3592"/>
        <n v="3595"/>
        <n v="3600"/>
        <n v="3607"/>
        <n v="3609"/>
        <n v="3613"/>
        <n v="3620"/>
        <n v="3633"/>
        <n v="3640"/>
        <n v="3643"/>
        <n v="3645"/>
        <n v="3650"/>
        <n v="3655"/>
        <n v="3658"/>
        <n v="3662"/>
        <n v="3668"/>
        <n v="3670"/>
        <n v="3674"/>
        <n v="3675"/>
        <n v="3676"/>
        <n v="3679"/>
        <n v="3682"/>
        <n v="3690"/>
        <n v="3699"/>
        <n v="3700"/>
        <n v="3702"/>
        <n v="3725"/>
        <n v="3737"/>
        <n v="3740"/>
        <n v="3744"/>
        <n v="3747"/>
        <n v="3750"/>
        <n v="3760"/>
        <n v="3765"/>
        <n v="3768"/>
        <n v="3769"/>
        <n v="3771"/>
        <n v="3775"/>
        <n v="3789"/>
        <n v="3790"/>
        <n v="3800"/>
        <n v="3802"/>
        <n v="3806"/>
        <n v="3810"/>
        <n v="3815"/>
        <n v="3816"/>
        <n v="3818"/>
        <n v="3825"/>
        <n v="3828"/>
        <n v="3833"/>
        <n v="3834"/>
        <n v="3850"/>
        <n v="3855"/>
        <n v="3865"/>
        <n v="3871"/>
        <n v="3890"/>
        <n v="3891"/>
        <n v="3895"/>
        <n v="3897"/>
        <n v="3900"/>
        <n v="3907"/>
        <n v="3915"/>
        <n v="3920"/>
        <n v="3929"/>
        <n v="3937"/>
        <n v="3940"/>
        <n v="3964"/>
        <n v="3967"/>
        <n v="3970"/>
        <n v="3979"/>
        <n v="3982"/>
        <n v="3983"/>
        <n v="3990"/>
        <n v="3995"/>
        <n v="3997"/>
        <n v="4000"/>
        <n v="4004"/>
        <n v="4005"/>
        <n v="4024"/>
        <n v="4025"/>
        <n v="4030"/>
        <n v="4039"/>
        <n v="4052"/>
        <n v="4055"/>
        <n v="4056"/>
        <n v="4069"/>
        <n v="4070"/>
        <n v="4073"/>
        <n v="4074"/>
        <n v="4080"/>
        <n v="4093"/>
        <n v="4095"/>
        <n v="4100"/>
        <n v="4105"/>
        <n v="4119"/>
        <n v="4126"/>
        <n v="4135"/>
        <n v="4147"/>
        <n v="4148"/>
        <n v="4151"/>
        <n v="4154"/>
        <n v="4180"/>
        <n v="4189"/>
        <n v="4194"/>
        <n v="4200"/>
        <n v="4202"/>
        <n v="4204"/>
        <n v="4213"/>
        <n v="4221"/>
        <n v="4222"/>
        <n v="4223"/>
        <n v="4239"/>
        <n v="4243"/>
        <n v="4245"/>
        <n v="4255"/>
        <n v="4259"/>
        <n v="4265"/>
        <n v="4269"/>
        <n v="4278"/>
        <n v="4280"/>
        <n v="4283"/>
        <n v="4295"/>
        <n v="4299"/>
        <n v="4304"/>
        <n v="4305"/>
        <n v="4313"/>
        <n v="4315"/>
        <n v="4324"/>
        <n v="4325"/>
        <n v="4332"/>
        <n v="4333"/>
        <n v="4334"/>
        <n v="4335"/>
        <n v="4336"/>
        <n v="4363"/>
        <n v="4401"/>
        <n v="4422"/>
        <n v="4440"/>
        <n v="4456"/>
        <n v="4463"/>
        <n v="4469"/>
        <n v="4490"/>
        <n v="4500"/>
        <n v="4505"/>
        <n v="4506"/>
        <n v="4511"/>
        <n v="4515"/>
        <n v="4540"/>
        <n v="4545"/>
        <n v="4547"/>
        <n v="4555"/>
        <n v="4559"/>
        <n v="4570"/>
        <n v="4571"/>
        <n v="4580"/>
        <n v="4583"/>
        <n v="4591"/>
        <n v="4594"/>
        <n v="4596"/>
        <n v="4599"/>
        <n v="4600"/>
        <n v="4601"/>
        <n v="4603"/>
        <n v="4625"/>
        <n v="4630"/>
        <n v="4635"/>
        <n v="4640"/>
        <n v="4641"/>
        <n v="4644"/>
        <n v="4645"/>
        <n v="4650"/>
        <n v="4662"/>
        <n v="4676"/>
        <n v="4680"/>
        <n v="4690"/>
        <n v="4692"/>
        <n v="4694"/>
        <n v="4695"/>
        <n v="4700"/>
        <n v="4708"/>
        <n v="4710"/>
        <n v="4715"/>
        <n v="4726"/>
        <n v="4740"/>
        <n v="4743"/>
        <n v="4752"/>
        <n v="4759"/>
        <n v="4760"/>
        <n v="4769"/>
        <n v="4801"/>
        <n v="4802"/>
        <n v="4812"/>
        <n v="4815"/>
        <n v="4818"/>
        <n v="4840"/>
        <n v="4850"/>
        <n v="4865"/>
        <n v="4866"/>
        <n v="4875"/>
        <n v="4916"/>
        <n v="4929"/>
        <n v="4965"/>
        <n v="4975"/>
        <n v="4984"/>
        <n v="4985"/>
        <n v="5000"/>
        <n v="5008"/>
        <n v="5009"/>
        <n v="5010"/>
        <n v="5015"/>
        <n v="5038"/>
        <n v="5040"/>
        <n v="5041"/>
        <n v="5050"/>
        <n v="5059"/>
        <n v="5060"/>
        <n v="5065"/>
        <n v="5087"/>
        <n v="5089"/>
        <n v="5103"/>
        <n v="5104"/>
        <n v="5106"/>
        <n v="5125"/>
        <n v="5140"/>
        <n v="5151"/>
        <n v="5155"/>
        <n v="5165"/>
        <n v="5180"/>
        <n v="5200"/>
        <n v="5205"/>
        <n v="5222"/>
        <n v="5233"/>
        <n v="5235"/>
        <n v="5239"/>
        <n v="5244"/>
        <n v="5257"/>
        <n v="5260"/>
        <n v="5266"/>
        <n v="5284"/>
        <n v="5286"/>
        <n v="5289"/>
        <n v="5293"/>
        <n v="5317"/>
        <n v="5319"/>
        <n v="5320"/>
        <n v="5329"/>
        <n v="5338"/>
        <n v="5350"/>
        <n v="5357"/>
        <n v="5360"/>
        <n v="5361"/>
        <n v="5365"/>
        <n v="5379"/>
        <n v="5385"/>
        <n v="5426"/>
        <n v="5435"/>
        <n v="5440"/>
        <n v="5454"/>
        <n v="5455"/>
        <n v="5465"/>
        <n v="5502"/>
        <n v="5505"/>
        <n v="5525"/>
        <n v="5540"/>
        <n v="5547"/>
        <n v="5570"/>
        <n v="5600"/>
        <n v="5603"/>
        <n v="5624"/>
        <n v="5625"/>
        <n v="5627"/>
        <n v="5655"/>
        <n v="5660"/>
        <n v="5673"/>
        <n v="5685"/>
        <n v="5735"/>
        <n v="5749"/>
        <n v="5777"/>
        <n v="5779"/>
        <n v="5787"/>
        <n v="5788"/>
        <n v="5789"/>
        <n v="5790"/>
        <n v="5840"/>
        <n v="5844"/>
        <n v="5858"/>
        <n v="5860"/>
        <n v="5898"/>
        <n v="5924"/>
        <n v="5930"/>
        <n v="5944"/>
        <n v="5971"/>
        <n v="6000"/>
        <n v="6005"/>
        <n v="6019"/>
        <n v="6034"/>
        <n v="6039"/>
        <n v="6045"/>
        <n v="6053"/>
        <n v="6055"/>
        <n v="6080"/>
        <n v="6085"/>
        <n v="6129"/>
        <n v="6130"/>
        <n v="6148"/>
        <n v="6155"/>
        <n v="6166"/>
        <n v="6170"/>
        <n v="6175"/>
        <n v="6180"/>
        <n v="6188"/>
        <n v="6204"/>
        <n v="6220"/>
        <n v="6256"/>
        <n v="6295"/>
        <n v="6300"/>
        <n v="6323"/>
        <n v="6324"/>
        <n v="6325"/>
        <n v="6335"/>
        <n v="6351"/>
        <n v="6406"/>
        <n v="6410"/>
        <n v="6411"/>
        <n v="6418"/>
        <n v="6431"/>
        <n v="6483"/>
        <n v="6497"/>
        <n v="6500"/>
        <n v="6510"/>
        <n v="6545"/>
        <n v="6575"/>
        <n v="6577"/>
        <n v="6595"/>
        <n v="6605"/>
        <n v="6654"/>
        <n v="6657"/>
        <n v="6665"/>
        <n v="6677"/>
        <n v="6692"/>
        <n v="6740"/>
        <n v="6776"/>
        <n v="6793"/>
        <n v="6811"/>
        <n v="6869"/>
        <n v="6900"/>
        <n v="6980"/>
        <n v="6989"/>
        <n v="7000"/>
        <n v="7155"/>
        <n v="7183"/>
        <n v="7195"/>
        <n v="7223"/>
        <n v="7300"/>
        <n v="7309"/>
        <n v="7373"/>
        <n v="7428"/>
        <n v="7456"/>
        <n v="7481"/>
        <n v="7490"/>
        <n v="7569"/>
        <n v="7602"/>
        <n v="7614"/>
        <n v="7677"/>
        <n v="7704"/>
        <n v="7710"/>
        <n v="7715"/>
        <n v="7720"/>
        <n v="7769"/>
        <n v="7783"/>
        <n v="7809"/>
        <n v="7842"/>
        <n v="7849"/>
        <n v="7910"/>
        <n v="8000"/>
        <n v="8030"/>
        <n v="8060"/>
        <n v="8094"/>
        <n v="8225"/>
        <n v="8312"/>
        <n v="8352"/>
        <n v="8353"/>
        <n v="8364"/>
        <n v="8385"/>
        <n v="8500"/>
        <n v="8517"/>
        <n v="8585"/>
        <n v="8659"/>
        <n v="8789"/>
        <n v="8805"/>
        <n v="8815"/>
        <n v="8923"/>
        <n v="9034"/>
        <n v="9035"/>
        <n v="9094"/>
        <n v="9100"/>
        <n v="9121"/>
        <n v="9143"/>
        <n v="9144"/>
        <n v="9149"/>
        <n v="9159"/>
        <n v="9170"/>
        <n v="9184"/>
        <n v="9188"/>
        <n v="9193"/>
        <n v="9214"/>
        <n v="9270"/>
        <n v="9326"/>
        <n v="9400"/>
        <n v="9411"/>
        <n v="9466"/>
        <n v="9535"/>
        <n v="9552"/>
        <n v="9675"/>
        <n v="9700"/>
        <n v="9723"/>
        <n v="9728"/>
        <n v="9739"/>
        <n v="9744"/>
        <n v="9754"/>
        <n v="9785"/>
        <n v="9793"/>
        <n v="9818"/>
        <n v="9824"/>
        <n v="9834"/>
        <n v="9920"/>
        <n v="9953"/>
        <n v="9978"/>
        <n v="9992"/>
        <n v="10000"/>
        <n v="10062"/>
        <n v="10134"/>
        <n v="10140"/>
        <n v="10210"/>
        <n v="10222"/>
        <n v="10240"/>
        <n v="10300"/>
        <n v="10305"/>
        <n v="10313"/>
        <n v="10354"/>
        <n v="10397"/>
        <n v="10520"/>
        <n v="10553"/>
        <n v="10555"/>
        <n v="10616"/>
        <n v="10663"/>
        <n v="10672"/>
        <n v="10707"/>
        <n v="10737"/>
        <n v="10750"/>
        <n v="10788"/>
        <n v="10789"/>
        <n v="10840"/>
        <n v="10912"/>
        <n v="10920"/>
        <n v="10959"/>
        <n v="11000"/>
        <n v="11024"/>
        <n v="11083"/>
        <n v="11090"/>
        <n v="11194"/>
        <n v="11213"/>
        <n v="11235"/>
        <n v="11325"/>
        <n v="11350"/>
        <n v="11364"/>
        <n v="11538"/>
        <n v="11543"/>
        <n v="11653"/>
        <n v="11687"/>
        <n v="11714"/>
        <n v="11730"/>
        <n v="11739"/>
        <n v="11780"/>
        <n v="11791"/>
        <n v="11800"/>
        <n v="11875"/>
        <n v="11913"/>
        <n v="12000"/>
        <n v="12001"/>
        <n v="12010"/>
        <n v="12030"/>
        <n v="12040"/>
        <n v="12093"/>
        <n v="12235"/>
        <n v="12236"/>
        <n v="12250"/>
        <n v="12393"/>
        <n v="12539"/>
        <n v="12564"/>
        <n v="12600"/>
        <n v="12614"/>
        <n v="12675"/>
        <n v="12740"/>
        <n v="12765"/>
        <n v="12782"/>
        <n v="12800"/>
        <n v="12810"/>
        <n v="12820"/>
        <n v="12830"/>
        <n v="12833"/>
        <n v="12849"/>
        <n v="12895"/>
        <n v="12990"/>
        <n v="13055"/>
        <n v="13068"/>
        <n v="13162"/>
        <n v="13224"/>
        <n v="13250"/>
        <n v="13289"/>
        <n v="13478"/>
        <n v="13508"/>
        <n v="13543"/>
        <n v="13548"/>
        <n v="13585"/>
        <n v="13609"/>
        <n v="13624"/>
        <n v="13660"/>
        <n v="13726"/>
        <n v="13815"/>
        <n v="13878"/>
        <n v="13908"/>
        <n v="13949"/>
        <n v="13984"/>
        <n v="14075"/>
        <n v="14092"/>
        <n v="14098"/>
        <n v="14105"/>
        <n v="14157"/>
        <n v="14167"/>
        <n v="14209"/>
        <n v="14257"/>
        <n v="14284"/>
        <n v="14350"/>
        <n v="14422"/>
        <n v="14425"/>
        <n v="14439"/>
        <n v="14528"/>
        <n v="14543"/>
        <n v="14555"/>
        <n v="14615"/>
        <n v="14730"/>
        <n v="14788"/>
        <n v="14811"/>
        <n v="14834"/>
        <n v="14847"/>
        <n v="14868"/>
        <n v="14970"/>
        <n v="15000"/>
        <n v="15003"/>
        <n v="15048"/>
        <n v="15189"/>
        <n v="15218"/>
        <n v="15327"/>
        <n v="15385"/>
        <n v="15392"/>
        <n v="15463"/>
        <n v="15621"/>
        <n v="15650"/>
        <n v="15666"/>
        <n v="15670"/>
        <n v="15728"/>
        <n v="15734"/>
        <n v="15850"/>
        <n v="15888"/>
        <n v="15891"/>
        <n v="16057"/>
        <n v="16316"/>
        <n v="16319"/>
        <n v="16338"/>
        <n v="16472"/>
        <n v="16528"/>
        <n v="16530"/>
        <n v="16745"/>
        <n v="16799"/>
        <n v="16800"/>
        <n v="16846"/>
        <n v="16880"/>
        <n v="16890"/>
        <n v="16944"/>
        <n v="16970"/>
        <n v="17028"/>
        <n v="17036"/>
        <n v="17038"/>
        <n v="17085"/>
        <n v="17139"/>
        <n v="17160"/>
        <n v="17213"/>
        <n v="17226"/>
        <n v="17353"/>
        <n v="17459"/>
        <n v="17460"/>
        <n v="17494"/>
        <n v="17518"/>
        <n v="17544"/>
        <n v="17575"/>
        <n v="17578"/>
        <n v="17584"/>
        <n v="17653"/>
        <n v="17842"/>
        <n v="17867"/>
        <n v="17925"/>
        <n v="18114"/>
        <n v="18194"/>
        <n v="18246"/>
        <n v="18275"/>
        <n v="18324"/>
        <n v="18449"/>
        <n v="18500"/>
        <n v="18547"/>
        <n v="18583"/>
        <n v="18648"/>
        <n v="18709"/>
        <n v="18734"/>
        <n v="18743"/>
        <n v="18892"/>
        <n v="18895"/>
        <n v="18947"/>
        <n v="18980"/>
        <n v="19113"/>
        <n v="19284"/>
        <n v="19290"/>
        <n v="19394"/>
        <n v="19400"/>
        <n v="19422"/>
        <n v="19470"/>
        <n v="19500"/>
        <n v="19584"/>
        <n v="19643"/>
        <n v="19710"/>
        <n v="19723"/>
        <n v="19753"/>
        <n v="19844"/>
        <n v="19900"/>
        <n v="19947"/>
        <n v="20058"/>
        <n v="20117"/>
        <n v="20190"/>
        <n v="20270"/>
        <n v="20297"/>
        <n v="20324"/>
        <n v="20353"/>
        <n v="20503"/>
        <n v="20530"/>
        <n v="20748"/>
        <n v="20760"/>
        <n v="20846"/>
        <n v="20974"/>
        <n v="21006"/>
        <n v="21014"/>
        <n v="21072"/>
        <n v="21141"/>
        <n v="21150"/>
        <n v="21202"/>
        <n v="21320"/>
        <n v="21399"/>
        <n v="21405"/>
        <n v="21592"/>
        <n v="21950"/>
        <n v="21971"/>
        <n v="22146"/>
        <n v="22260"/>
        <n v="22272"/>
        <n v="22368"/>
        <n v="22459"/>
        <n v="22764"/>
        <n v="23010"/>
        <n v="23233"/>
        <n v="23279"/>
        <n v="23339"/>
        <n v="23463"/>
        <n v="23960"/>
        <n v="24257"/>
        <n v="24374"/>
        <n v="24773"/>
        <n v="24804"/>
        <n v="24840"/>
        <n v="24856"/>
        <n v="25036"/>
        <n v="25162"/>
        <n v="25241"/>
        <n v="25259"/>
        <n v="25280"/>
        <n v="25310"/>
        <n v="25600"/>
        <n v="25730"/>
        <n v="25888"/>
        <n v="25966"/>
        <n v="26031"/>
        <n v="26223"/>
        <n v="26464"/>
        <n v="26482"/>
        <n v="26853"/>
        <n v="27442"/>
        <n v="27552"/>
        <n v="27940"/>
        <n v="28310"/>
        <n v="28766"/>
        <n v="28893"/>
        <n v="29572"/>
        <n v="29901"/>
        <n v="30381"/>
        <n v="30621"/>
        <n v="30878"/>
        <n v="31562"/>
        <n v="32481"/>
        <n v="33268"/>
        <n v="34924"/>
        <n v="34948"/>
        <n v="35087"/>
        <n v="35353"/>
        <n v="36525"/>
        <m/>
      </sharedItems>
    </cacheField>
    <cacheField name="Mode" numFmtId="0">
      <sharedItems containsBlank="1" count="10">
        <s v="Bank"/>
        <s v="Bank_Cash"/>
        <s v="Card"/>
        <s v="Cash"/>
        <s v="Due"/>
        <s v="Online Sale"/>
        <s v="UPI"/>
        <s v="Wallet"/>
        <s v="Zomato Pay"/>
        <m/>
      </sharedItems>
    </cacheField>
    <cacheField name="Remarks/Vendors" numFmtId="0">
      <sharedItems containsBlank="1" count="591">
        <s v=" Petpooja"/>
        <s v="175"/>
        <s v="20 lts"/>
        <s v="65"/>
        <s v="A 1"/>
        <s v="A1"/>
        <s v="a1 "/>
        <s v="A1 mutton"/>
        <s v="A1 mutton "/>
        <s v="A1 mutton shop"/>
        <s v="A1Mutton"/>
        <s v="Abid"/>
        <s v="Abid cleiner"/>
        <s v="Abid cliener"/>
        <s v="Abid Salary"/>
        <s v="Abrar Advance"/>
        <s v="Acid"/>
        <s v="Adarsh"/>
        <s v="adarsh dairy"/>
        <s v="Aditya"/>
        <s v="Advance"/>
        <s v="Advance amount manager"/>
        <s v="Advance sandeeop"/>
        <s v="Agarbatti "/>
        <s v="ajnomoto"/>
        <s v="Akheel"/>
        <s v="Akhil"/>
        <s v="Akhil Salary"/>
        <s v="Alam Bhai"/>
        <s v="All Out"/>
        <s v="Amplifier repair"/>
        <s v="Amplififer Repair"/>
        <s v="Anand"/>
        <s v="Anand "/>
        <s v="Anand  "/>
        <s v="Anand disposal"/>
        <s v="Anand disposle"/>
        <s v="Anar"/>
        <s v="Ancle Breacfast"/>
        <s v="Ancle Breakfast"/>
        <s v="Ancle lunch"/>
        <s v="Ancle medicine"/>
        <s v="Ancle Naasta"/>
        <s v="Ancle nasta"/>
        <s v="Anclemasta"/>
        <s v="Anclenasta"/>
        <s v="Anna Dosa Wale"/>
        <s v="Anuj"/>
        <s v="Ashok"/>
        <s v="Aunty"/>
        <s v="Auto rent"/>
        <s v="Autorent"/>
        <s v="Aux "/>
        <s v="Aux Cable"/>
        <s v="Ayaz"/>
        <s v="ayub"/>
        <s v="Ayub Bhai"/>
        <s v="ayub tava person"/>
        <s v="Badam "/>
        <s v="bailley bottle"/>
        <s v="Baket"/>
        <s v="Balaji"/>
        <s v="balaji chandan nagar"/>
        <s v="balaji chandannagar"/>
        <s v="Banana"/>
        <s v="Banana &amp; Milk"/>
        <s v="Bandage"/>
        <s v="Banded"/>
        <s v="Baramati"/>
        <s v="Barista"/>
        <s v="barista "/>
        <s v="barista &amp; Peri Peri Masala"/>
        <s v="Barnal repair"/>
        <s v="bed"/>
        <s v="Begger"/>
        <s v="Belan "/>
        <s v="Bhaironath"/>
        <s v="Bhaji Mandi"/>
        <s v="Bike"/>
        <s v="Bike "/>
        <s v="Bike naintence"/>
        <s v="Bike petrol"/>
        <s v="Bike Repair"/>
        <s v="Bike Tyre &amp; Tube"/>
        <s v="Biryani continor"/>
        <s v="Biryani Sample"/>
        <s v="Biscuits"/>
        <s v="Blanket "/>
        <s v="blead"/>
        <s v="Board reparing"/>
        <s v="bond"/>
        <s v="Boneless Chicken"/>
        <s v="Book"/>
        <s v="Bowl and halogen light"/>
        <s v="Braed"/>
        <s v="Bread"/>
        <s v="Break fast "/>
        <s v="Break fast  and lunch"/>
        <s v="Brisata"/>
        <s v="Brishta"/>
        <s v="brista"/>
        <s v="Bristha"/>
        <s v="Broobs"/>
        <s v="brooms"/>
        <s v="Brush"/>
        <s v="Bulb"/>
        <s v="Butter"/>
        <s v="Butterdosa"/>
        <s v="Butterpapaer"/>
        <s v="Cap"/>
        <s v="Cap staff"/>
        <s v="Caremal Pudding"/>
        <s v="Carrot"/>
        <s v="Carry Beg"/>
        <s v="carrybag"/>
        <s v="Cash Return Extra upi"/>
        <s v="Cash Sale"/>
        <s v="cash shortage"/>
        <s v="Casting Soda"/>
        <s v="Cello Tap"/>
        <s v="Cemara &amp; Paint"/>
        <s v="Cement"/>
        <s v="Cement and morang"/>
        <s v="Cerry Beg"/>
        <s v="Chaat Masala"/>
        <s v="Chaddar and takiya"/>
        <s v="Chakudhar"/>
        <s v="Chamber Clean"/>
        <s v="Chanda Ganpati Swaraj mitra Mnadal"/>
        <s v="Chap"/>
        <s v="Chap "/>
        <s v="Chapati"/>
        <s v="charcoal"/>
        <s v="Charing Cable &amp; Lighter"/>
        <s v="Cheeler"/>
        <s v="Chef Cap"/>
        <s v="Chembar cliene"/>
        <s v="Chembar cliener"/>
        <s v="Chicken"/>
        <s v="Chicken "/>
        <s v="Chicken Garbage"/>
        <s v="chicken garbage "/>
        <s v="Chicken Kachra"/>
        <s v="Chiken Waitage"/>
        <s v="Chipotali Sauce"/>
        <s v="Chipotle Souce"/>
        <s v="Chipotli Sauce"/>
        <s v="chopsi"/>
        <s v="Chopsy"/>
        <s v="Civil Work"/>
        <s v="cocunet"/>
        <s v="Coffee"/>
        <s v="Coffee ancle"/>
        <s v="Cold Drinks"/>
        <s v="Container"/>
        <s v="contaner"/>
        <s v="continor"/>
        <s v="Contonor"/>
        <s v="cooker city"/>
        <s v="Cooker Repair"/>
        <s v="Coppy and sweet"/>
        <s v="Corn"/>
        <s v="corn flower"/>
        <s v="Cornet"/>
        <s v="Cornet "/>
        <s v="Cornet Hotel"/>
        <s v="Cornflower"/>
        <s v="Cortun"/>
        <s v="Counter exes"/>
        <s v="Customer Excess Return"/>
        <s v="Customer Return "/>
        <s v="dairy"/>
        <s v="Danish"/>
        <s v="Danish advance"/>
        <s v="Danish Ticket"/>
        <s v="Delivery"/>
        <s v="Desi Chicken"/>
        <s v="Dinesh"/>
        <s v="Dinesh Advance "/>
        <s v="Disposable"/>
        <s v="Disposable payment Umesh sir"/>
        <s v="disposal"/>
        <s v="Donation"/>
        <s v="Door Mate "/>
        <s v="Door Repair"/>
        <s v="dosa"/>
        <s v="Drainage"/>
        <s v="Drainage Maintance"/>
        <s v="Dry Fruits"/>
        <s v="Due Payment Recived"/>
        <s v="Due Payment Talib Bhai"/>
        <s v="egg"/>
        <s v="Eggs"/>
        <s v="Electric Work"/>
        <s v="Electricity"/>
        <s v="Electronic Scale"/>
        <s v="Elite hotel"/>
        <s v="Elite Stay"/>
        <s v="Elite stay &amp; Shivsai"/>
        <s v="Envater"/>
        <s v="est and soda"/>
        <s v="excess cash return"/>
        <s v="Excess UPI Return"/>
        <s v="Exhaust Fan"/>
        <s v="Extra Upi Return"/>
        <s v="fan repair"/>
        <s v="Files,Notebook"/>
        <s v="fish"/>
        <s v="Flex"/>
        <s v="Flex Printing"/>
        <s v="For Aunty"/>
        <s v="French Fries"/>
        <s v="frenchfries"/>
        <s v="Gaatha"/>
        <s v="Gadi"/>
        <s v="Garbage"/>
        <s v="Garbage Clean"/>
        <s v="Garbage Vehicle"/>
        <s v="Gas"/>
        <s v="Gas Barnal repair"/>
        <s v="GAS Bhatthi repair"/>
        <s v="Gas Bhatti Repair"/>
        <s v="Gas Cylinder"/>
        <s v="Gas Pipe"/>
        <s v="Gass repair"/>
        <s v="Gatha"/>
        <s v="gatha vegetable"/>
        <s v="Ghisni and piller"/>
        <s v="Glen Sir"/>
        <s v="Golden"/>
        <s v="golden chicken"/>
        <s v="golden food"/>
        <s v="Govt Fine For Shawarama Machine"/>
        <s v="Green Chilli"/>
        <s v="Grendar machine"/>
        <s v="Grocery"/>
        <s v="Gyaneshwari"/>
        <s v="gyaneshwari charcoal"/>
        <s v="gyaneswari"/>
        <s v="Gyanshewari"/>
        <s v="Gyansheweri"/>
        <s v="gyanshewri"/>
        <s v="Gyanshweri"/>
        <s v="Gyneshwari"/>
        <s v="Handi "/>
        <s v="Handwash and carribag"/>
        <s v="Hardwear"/>
        <s v="Hardwere"/>
        <s v="Hit"/>
        <s v="Honey"/>
        <s v="Hotel Rent"/>
        <s v="Hotel Sajid"/>
        <s v="Huk "/>
        <s v="Hyperpure"/>
        <s v="Ibrar"/>
        <s v="Ibrar Advance"/>
        <s v="Idli Container"/>
        <s v="Imraan"/>
        <s v="Imran"/>
        <s v="Internet"/>
        <s v="Internet "/>
        <s v="Irfan"/>
        <s v="Irman"/>
        <s v="Jali"/>
        <s v="jali keema machine"/>
        <s v="jali repair"/>
        <s v="Juber"/>
        <s v="Juber "/>
        <s v="Junaid"/>
        <s v="Kachra bag"/>
        <s v="Kachra gadi"/>
        <s v="Kachra Rockde"/>
        <s v="kaju"/>
        <s v="kanaya"/>
        <s v="kebab masala"/>
        <s v="Kedar"/>
        <s v="Kedar Vegitable"/>
        <s v="Khad "/>
        <s v="Khata Jali"/>
        <s v="Khenya"/>
        <s v="Kheteshwar Trading"/>
        <s v="kiner"/>
        <s v="KInnar"/>
        <s v="kinnars"/>
        <s v="kinner"/>
        <s v="Kinners"/>
        <s v="Kishan Pan Shop"/>
        <s v="Knife Repair"/>
        <s v="Knife Repair,Garbage Clean"/>
        <s v="knife sharpner"/>
        <s v="Kolam Rice"/>
        <s v="Kukar"/>
        <s v="Kurkure"/>
        <s v="Laitter"/>
        <s v="laitter and papaya"/>
        <s v="Lassi"/>
        <s v="Laute"/>
        <s v="Laxmi Bai"/>
        <s v="Laxmi Bai Salary"/>
        <s v="Laxmi Salary"/>
        <s v="Lemon"/>
        <s v="lightbill"/>
        <s v="Lighter"/>
        <s v="Lock"/>
        <s v="Luxmi By"/>
        <s v="M seal"/>
        <s v="Mahesh"/>
        <s v="Maintance"/>
        <s v="maintence"/>
        <s v="mandi"/>
        <s v="Manohar advance"/>
        <s v="marker"/>
        <s v="Marker pen"/>
        <s v="Mashroom &amp; Dahi"/>
        <s v="Mausi"/>
        <s v="Mava"/>
        <s v="mayones"/>
        <s v="Mayonise &amp; Chipotle"/>
        <s v="Mayonises&amp;Peri Peri Masala"/>
        <s v="Meat Masala"/>
        <s v="Medician"/>
        <s v="medician for aunty"/>
        <s v="medicine"/>
        <s v="Medicine "/>
        <s v="Megic"/>
        <s v="Megic Bakery"/>
        <s v="Mela"/>
        <s v="Mennue"/>
        <s v="Mesurement tap"/>
        <s v="Methi &amp; Sev"/>
        <s v="Microwave Oven Repair"/>
        <s v="milk"/>
        <s v="Milk &amp; Bread"/>
        <s v="Milk&amp;Bared"/>
        <s v="Mint"/>
        <s v="Mixer Dhakan"/>
        <s v="Mixer Repair"/>
        <s v="Mobile Stand"/>
        <s v="Momos"/>
        <s v="Momos "/>
        <s v="Monut"/>
        <s v="Mop Rifil &amp; Cling Wrap"/>
        <s v="mops"/>
        <s v="Moto"/>
        <s v="Mount"/>
        <s v="Mount "/>
        <s v="Mount Momos"/>
        <s v="Mouse"/>
        <s v="Mouse,Keybord &amp; Bulb"/>
        <s v="Mujeeb"/>
        <s v="mujib indian helper"/>
        <s v="Mukesh"/>
        <s v="Mukesh Kumar"/>
        <s v="Mulani"/>
        <s v="mulani "/>
        <s v="mulani egg"/>
        <s v="Mulani Eggs"/>
        <s v="Mumbai Brisata"/>
        <s v="Musatafa"/>
        <s v="muttan &amp; paya"/>
        <s v="Mutton"/>
        <s v="mutton "/>
        <s v="Mutton and keema"/>
        <s v="Mutton and paya"/>
        <s v="muttun charbi"/>
        <s v="nafees "/>
        <s v="Naseem Bhai Salary"/>
        <s v="Nashta"/>
        <s v="Nasim"/>
        <s v="Nasim "/>
        <s v="Nasim advance"/>
        <s v="Nasim Bhai"/>
        <s v="New Amplifier"/>
        <s v="New Speaker"/>
        <s v="News papaer"/>
        <s v="news paper"/>
        <s v="Newspaper"/>
        <s v="Nirma"/>
        <s v="Noddles"/>
        <s v="Nonstickpen"/>
        <s v="Noodle"/>
        <s v="Noodles"/>
        <s v="Nootebool"/>
        <s v="Note Book"/>
        <s v="Notebook"/>
        <s v="nut and boult"/>
        <s v="Oil"/>
        <s v="Oil &amp; Sugar"/>
        <s v="Om Enterpriese"/>
        <s v="Onion"/>
        <s v="Onion &amp; papaya"/>
        <s v="onion 106kg"/>
        <s v="Oven"/>
        <s v="Paint"/>
        <s v="Paint &amp; Diya"/>
        <s v="palak"/>
        <s v="Pana"/>
        <s v="Paneer"/>
        <s v="Paneer &amp; Paratha"/>
        <s v="Paobhaji"/>
        <s v="Papad seo "/>
        <s v="Papaya"/>
        <s v="Papaya &amp; Spring Onion"/>
        <s v="Paper Plate"/>
        <s v="Paper Roll For Biling Machine"/>
        <s v="papya"/>
        <s v="Paratha"/>
        <s v="Paratha "/>
        <s v="paratha &amp; Soya Chaap"/>
        <s v="Paw (Tava)"/>
        <s v="Pawar"/>
        <s v="Paya"/>
        <s v="Pen"/>
        <s v="Pen marker"/>
        <s v="pepooja"/>
        <s v="pepsi"/>
        <s v="Peri Peri Masala"/>
        <s v="peri peri masala &amp; Dal Chini"/>
        <s v="Peri peri masala and cornflower"/>
        <s v="perpooja"/>
        <s v="pery pery masala"/>
        <s v="pet pooja"/>
        <s v="Petpooja"/>
        <s v="Petpooja Renual"/>
        <s v="Petrol"/>
        <s v="Petrol "/>
        <s v="Petrol shakil sir"/>
        <s v="pipe"/>
        <s v="Pita Bared"/>
        <s v="Pita Berad"/>
        <s v="Pita Braed"/>
        <s v="Pita Bread"/>
        <s v="Pitabread"/>
        <s v="Plate"/>
        <s v="Plate and spoon"/>
        <s v="Plumbing"/>
        <s v="Plumbing Work"/>
        <s v="Police"/>
        <s v="Porter"/>
        <s v="Porter For Golden Chicken"/>
        <s v="Prakash"/>
        <s v="Prakash Salary"/>
        <s v="Prime Rose"/>
        <s v="Pudhina"/>
        <s v="Pudina"/>
        <s v="Qureshi Masala"/>
        <s v="Rabdi"/>
        <s v="Rahman"/>
        <s v="Rain Coat"/>
        <s v="Rajesh"/>
        <s v="raju"/>
        <s v="Raju advance"/>
        <s v="raju tandoor"/>
        <s v="Ram Kumar"/>
        <s v="Ram Kumar "/>
        <s v="Ram Kumar Salary"/>
        <s v="Rassi "/>
        <s v="Recharge"/>
        <s v="Regulater"/>
        <s v="rent auto"/>
        <s v="restauranr sheeter grece"/>
        <s v="Restaurant New Inventory"/>
        <s v="Return customer"/>
        <s v="Rocde"/>
        <s v="Rockde "/>
        <s v="Rockde Bonus"/>
        <s v="Room Adv"/>
        <s v="Room Advance"/>
        <s v="rosan "/>
        <s v="Rubber"/>
        <s v="Sabji mandi"/>
        <s v="Sadai waris"/>
        <s v="Saday waris"/>
        <s v="sahi tukda bread"/>
        <s v="Sai Bharat"/>
        <s v="Sai Bharat Gas"/>
        <s v="Sajid"/>
        <s v="Sajid Noori"/>
        <s v="salary danish"/>
        <s v="Salary Patta"/>
        <s v="salary suhail"/>
        <s v="Salt"/>
        <s v="Sameer"/>
        <s v="Sandeep"/>
        <s v="Santosh"/>
        <s v="Santosh Salary"/>
        <s v="Sariya"/>
        <s v="Satff"/>
        <s v="Seafood"/>
        <s v="Sealer machine repair"/>
        <s v="Seat"/>
        <s v="Seeller machine repair"/>
        <s v="Shakil"/>
        <s v="Shakil Sair"/>
        <s v="Shakil Sir"/>
        <s v="Shawrma machine jali"/>
        <s v="sheet"/>
        <s v="shivdatt dairy"/>
        <s v="Shivsai"/>
        <s v="Shortage"/>
        <s v="shree Bhairavnath"/>
        <s v="Shree Sai"/>
        <s v="Silicon"/>
        <s v="Singdana"/>
        <s v="Singdi stand "/>
        <s v="Sirup"/>
        <s v="Soda"/>
        <s v="Softdrink"/>
        <s v="souce botl"/>
        <s v="Soya Chaap"/>
        <s v="Soya Chaap "/>
        <s v="Soya Chaap &amp; Paratha"/>
        <s v="Soya Chaap &amp; Sauce"/>
        <s v="Soya chap"/>
        <s v="Soya chap and paratha"/>
        <s v="Soyachaap &amp; Paratha"/>
        <s v="Soyachap paratha"/>
        <s v="Splendor"/>
        <s v="Splendor Service"/>
        <s v="Splendor Washing"/>
        <s v="Spoon"/>
        <s v="Spring For Door"/>
        <s v="Sree Bhairavnath"/>
        <s v="staff"/>
        <s v="Staff "/>
        <s v="Staff expences"/>
        <s v="Staff Gadi"/>
        <s v="Staff Incentive"/>
        <s v="Staff Salary"/>
        <s v="staff tea"/>
        <s v="Sunflower Oil"/>
        <s v="Surf"/>
        <s v="Swiggy &amp; Zomato"/>
        <s v="Swiggy&amp;zomato"/>
        <s v="Taar ghasni"/>
        <s v="takiya"/>
        <s v="Talib Bhai"/>
        <s v="Tandoor section repair &amp; metrial"/>
        <s v="Tandoori Chicken"/>
        <s v="Tanker"/>
        <s v="tanki repair"/>
        <s v="Tap"/>
        <s v="tap wall"/>
        <s v="tata water"/>
        <s v="Tata water Bottle"/>
        <s v="tax"/>
        <s v="tea"/>
        <s v="Thakur"/>
        <s v="Tissuse"/>
        <s v="To Al zohra acc"/>
        <s v="Today's Cash Shortage"/>
        <s v="Tomato"/>
        <s v="Tomato &amp; Cabbage"/>
        <s v="Tomatto"/>
        <s v="Toothpic"/>
        <s v="Toothpick"/>
        <s v="Treaklight"/>
        <s v="tublit 2 pics"/>
        <s v="Umesh Ji"/>
        <s v="Umesh sir"/>
        <s v="Umeshji"/>
        <s v="Umeshji fine"/>
        <s v="UPI Sale"/>
        <s v="Vegetable"/>
        <s v="Vegitable"/>
        <s v="vehical service"/>
        <s v="Vijay"/>
        <s v="Vijay "/>
        <s v="Vijay Chamber Cleaning"/>
        <s v="Vijay Mama"/>
        <s v="Vijay Mobile Recharge"/>
        <s v="Wada Maker"/>
        <s v="Wakeel"/>
        <s v="Wakil"/>
        <s v="washcleiner"/>
        <s v="water"/>
        <s v="Water  1 ltr"/>
        <s v="Water 1 ltr"/>
        <s v="Water 20 Ltrs"/>
        <s v="Water Bottel"/>
        <s v="Water bottle"/>
        <s v="Water tanker"/>
        <s v="Waterbottle"/>
        <s v="Watertanker"/>
        <s v="Weldding"/>
        <s v="Welding"/>
        <s v="Welding "/>
        <s v="Wire"/>
        <s v="Zolo Pg "/>
        <s v="Zomato Pay"/>
        <m/>
      </sharedItems>
    </cacheField>
    <cacheField name="Month" numFmtId="0">
      <sharedItems containsDate="1" containsBlank="1" containsMixedTypes="1" minDate="2025-11-01T00:00:00" maxDate="2025-11-01T00:00:00" count="15">
        <d v="2025-11-01T00:00:00"/>
        <s v="01-2025"/>
        <s v="02-2025"/>
        <s v="03-2025"/>
        <s v="04-2025"/>
        <s v="05-2025"/>
        <s v="06-2025"/>
        <s v="07-2025"/>
        <s v="08-2025"/>
        <s v="09-2025"/>
        <s v="10-2025"/>
        <s v="11-2025"/>
        <s v="11=2025"/>
        <s v="12-1899"/>
        <m/>
      </sharedItems>
    </cacheField>
    <cacheField name="Paid/Unpaid" numFmtId="0">
      <sharedItems containsBlank="1" count="3">
        <s v="Paid"/>
        <s v="Unpaid"/>
        <m/>
      </sharedItems>
    </cacheField>
    <cacheField name="Paid By" numFmtId="0">
      <sharedItems containsBlank="1" count="5">
        <s v="Bank"/>
        <s v="Naseem"/>
        <s v="Sameer"/>
        <s v="Shakil"/>
        <m/>
      </sharedItems>
    </cacheField>
    <cacheField name="Payment Date" numFmtId="0">
      <sharedItems containsDate="1" containsBlank="1" containsMixedTypes="1" minDate="2025-04-01T00:00:00" maxDate="2025-11-28T00:00:00" count="222"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6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9T00:00:00"/>
        <d v="2025-08-20T00:00:00"/>
        <d v="2025-08-21T00:00:00"/>
        <d v="2025-08-22T00:00:00"/>
        <d v="2025-08-24T00:00:00"/>
        <d v="2025-08-26T00:00:00"/>
        <d v="2025-08-28T00:00:00"/>
        <d v="2025-08-29T00:00:00"/>
        <d v="2025-08-30T00:00:00"/>
        <d v="2025-08-31T00:00:00"/>
        <d v="2025-09-02T00:00:00"/>
        <d v="2025-09-03T00:00:00"/>
        <d v="2025-09-05T00:00:00"/>
        <d v="2025-09-06T00:00:00"/>
        <d v="2025-09-07T00:00:00"/>
        <d v="2025-09-08T00:00:00"/>
        <d v="2025-09-09T00:00:00"/>
        <d v="2025-09-10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2T00:00:00"/>
        <d v="2025-10-23T00:00:00"/>
        <d v="2025-10-24T00:00:00"/>
        <d v="2025-10-25T00:00:00"/>
        <d v="2025-10-26T00:00:00"/>
        <d v="2025-10-28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10T00:00:00"/>
        <d v="2025-11-11T00:00:00"/>
        <d v="2025-11-12T00:00:00"/>
        <d v="2025-11-13T00:00:00"/>
        <d v="2025-11-15T00:00:00"/>
        <d v="2025-11-17T00:00:00"/>
        <d v="2025-11-18T00:00:00"/>
        <d v="2025-11-20T00:00:00"/>
        <d v="2025-11-23T00:00:00"/>
        <d v="2025-11-24T00:00:00"/>
        <d v="2025-11-28T00:00:00"/>
        <s v=" "/>
        <s v="03/10/0225"/>
        <s v="23/11/0205"/>
        <m/>
      </sharedItems>
    </cacheField>
    <cacheField name="Category" numFmtId="0">
      <sharedItems containsBlank="1" count="15">
        <s v="Bike Maintance"/>
        <s v="Cash Withdrawal"/>
        <s v="Excess Amount Return"/>
        <s v="Fixed Maintance"/>
        <s v="Grocery"/>
        <s v="Inventory"/>
        <s v="Maintance"/>
        <s v="Maintenance"/>
        <s v="New Inventory"/>
        <s v="Salary"/>
        <s v="Sales"/>
        <s v="Shortage"/>
        <s v="Staff Expenses"/>
        <e v="#N/A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417">
  <r>
    <x v="0"/>
    <x v="17"/>
    <x v="1903"/>
    <x v="0"/>
    <x v="590"/>
    <x v="1"/>
    <x v="0"/>
    <x v="2"/>
    <x v="221"/>
    <x v="3"/>
    <x v="0"/>
    <x v="1"/>
  </r>
  <r>
    <x v="0"/>
    <x v="32"/>
    <x v="1902"/>
    <x v="7"/>
    <x v="590"/>
    <x v="1"/>
    <x v="2"/>
    <x v="4"/>
    <x v="221"/>
    <x v="10"/>
    <x v="1"/>
    <x v="1"/>
  </r>
  <r>
    <x v="0"/>
    <x v="9"/>
    <x v="1548"/>
    <x v="0"/>
    <x v="229"/>
    <x v="1"/>
    <x v="0"/>
    <x v="2"/>
    <x v="221"/>
    <x v="5"/>
    <x v="2"/>
    <x v="1"/>
  </r>
  <r>
    <x v="0"/>
    <x v="32"/>
    <x v="1464"/>
    <x v="3"/>
    <x v="590"/>
    <x v="1"/>
    <x v="2"/>
    <x v="4"/>
    <x v="221"/>
    <x v="10"/>
    <x v="3"/>
    <x v="1"/>
  </r>
  <r>
    <x v="0"/>
    <x v="20"/>
    <x v="1091"/>
    <x v="0"/>
    <x v="61"/>
    <x v="1"/>
    <x v="0"/>
    <x v="2"/>
    <x v="221"/>
    <x v="5"/>
    <x v="4"/>
    <x v="1"/>
  </r>
  <r>
    <x v="0"/>
    <x v="32"/>
    <x v="915"/>
    <x v="5"/>
    <x v="590"/>
    <x v="1"/>
    <x v="2"/>
    <x v="4"/>
    <x v="221"/>
    <x v="10"/>
    <x v="5"/>
    <x v="1"/>
  </r>
  <r>
    <x v="0"/>
    <x v="12"/>
    <x v="758"/>
    <x v="0"/>
    <x v="17"/>
    <x v="1"/>
    <x v="0"/>
    <x v="2"/>
    <x v="221"/>
    <x v="5"/>
    <x v="6"/>
    <x v="1"/>
  </r>
  <r>
    <x v="0"/>
    <x v="32"/>
    <x v="646"/>
    <x v="2"/>
    <x v="590"/>
    <x v="1"/>
    <x v="2"/>
    <x v="4"/>
    <x v="221"/>
    <x v="10"/>
    <x v="7"/>
    <x v="1"/>
  </r>
  <r>
    <x v="0"/>
    <x v="12"/>
    <x v="440"/>
    <x v="3"/>
    <x v="191"/>
    <x v="1"/>
    <x v="0"/>
    <x v="2"/>
    <x v="221"/>
    <x v="5"/>
    <x v="8"/>
    <x v="1"/>
  </r>
  <r>
    <x v="0"/>
    <x v="38"/>
    <x v="238"/>
    <x v="0"/>
    <x v="225"/>
    <x v="1"/>
    <x v="0"/>
    <x v="2"/>
    <x v="221"/>
    <x v="5"/>
    <x v="9"/>
    <x v="1"/>
  </r>
  <r>
    <x v="0"/>
    <x v="28"/>
    <x v="191"/>
    <x v="3"/>
    <x v="590"/>
    <x v="1"/>
    <x v="0"/>
    <x v="2"/>
    <x v="221"/>
    <x v="0"/>
    <x v="10"/>
    <x v="1"/>
  </r>
  <r>
    <x v="0"/>
    <x v="1"/>
    <x v="145"/>
    <x v="3"/>
    <x v="590"/>
    <x v="1"/>
    <x v="0"/>
    <x v="2"/>
    <x v="221"/>
    <x v="4"/>
    <x v="11"/>
    <x v="1"/>
  </r>
  <r>
    <x v="0"/>
    <x v="32"/>
    <x v="106"/>
    <x v="6"/>
    <x v="590"/>
    <x v="1"/>
    <x v="2"/>
    <x v="4"/>
    <x v="221"/>
    <x v="10"/>
    <x v="12"/>
    <x v="1"/>
  </r>
  <r>
    <x v="0"/>
    <x v="37"/>
    <x v="57"/>
    <x v="3"/>
    <x v="590"/>
    <x v="1"/>
    <x v="0"/>
    <x v="2"/>
    <x v="221"/>
    <x v="12"/>
    <x v="13"/>
    <x v="1"/>
  </r>
  <r>
    <x v="0"/>
    <x v="36"/>
    <x v="45"/>
    <x v="3"/>
    <x v="590"/>
    <x v="1"/>
    <x v="0"/>
    <x v="2"/>
    <x v="221"/>
    <x v="5"/>
    <x v="14"/>
    <x v="1"/>
  </r>
  <r>
    <x v="0"/>
    <x v="38"/>
    <x v="40"/>
    <x v="3"/>
    <x v="590"/>
    <x v="1"/>
    <x v="0"/>
    <x v="2"/>
    <x v="221"/>
    <x v="5"/>
    <x v="15"/>
    <x v="1"/>
  </r>
  <r>
    <x v="0"/>
    <x v="16"/>
    <x v="30"/>
    <x v="3"/>
    <x v="590"/>
    <x v="1"/>
    <x v="0"/>
    <x v="2"/>
    <x v="221"/>
    <x v="6"/>
    <x v="16"/>
    <x v="1"/>
  </r>
  <r>
    <x v="0"/>
    <x v="12"/>
    <x v="19"/>
    <x v="3"/>
    <x v="590"/>
    <x v="1"/>
    <x v="0"/>
    <x v="2"/>
    <x v="221"/>
    <x v="5"/>
    <x v="17"/>
    <x v="1"/>
  </r>
  <r>
    <x v="0"/>
    <x v="23"/>
    <x v="0"/>
    <x v="3"/>
    <x v="590"/>
    <x v="1"/>
    <x v="0"/>
    <x v="2"/>
    <x v="221"/>
    <x v="6"/>
    <x v="18"/>
    <x v="1"/>
  </r>
  <r>
    <x v="1"/>
    <x v="32"/>
    <x v="1720"/>
    <x v="7"/>
    <x v="590"/>
    <x v="1"/>
    <x v="2"/>
    <x v="4"/>
    <x v="221"/>
    <x v="10"/>
    <x v="19"/>
    <x v="1"/>
  </r>
  <r>
    <x v="1"/>
    <x v="9"/>
    <x v="1610"/>
    <x v="0"/>
    <x v="431"/>
    <x v="1"/>
    <x v="0"/>
    <x v="2"/>
    <x v="221"/>
    <x v="5"/>
    <x v="20"/>
    <x v="1"/>
  </r>
  <r>
    <x v="1"/>
    <x v="20"/>
    <x v="1023"/>
    <x v="0"/>
    <x v="590"/>
    <x v="1"/>
    <x v="0"/>
    <x v="2"/>
    <x v="221"/>
    <x v="5"/>
    <x v="21"/>
    <x v="1"/>
  </r>
  <r>
    <x v="1"/>
    <x v="32"/>
    <x v="990"/>
    <x v="3"/>
    <x v="590"/>
    <x v="1"/>
    <x v="2"/>
    <x v="4"/>
    <x v="221"/>
    <x v="10"/>
    <x v="22"/>
    <x v="1"/>
  </r>
  <r>
    <x v="1"/>
    <x v="12"/>
    <x v="711"/>
    <x v="0"/>
    <x v="376"/>
    <x v="1"/>
    <x v="0"/>
    <x v="2"/>
    <x v="221"/>
    <x v="5"/>
    <x v="23"/>
    <x v="1"/>
  </r>
  <r>
    <x v="1"/>
    <x v="27"/>
    <x v="709"/>
    <x v="3"/>
    <x v="401"/>
    <x v="1"/>
    <x v="0"/>
    <x v="2"/>
    <x v="221"/>
    <x v="5"/>
    <x v="24"/>
    <x v="1"/>
  </r>
  <r>
    <x v="1"/>
    <x v="38"/>
    <x v="363"/>
    <x v="0"/>
    <x v="590"/>
    <x v="1"/>
    <x v="0"/>
    <x v="2"/>
    <x v="221"/>
    <x v="5"/>
    <x v="25"/>
    <x v="1"/>
  </r>
  <r>
    <x v="1"/>
    <x v="32"/>
    <x v="236"/>
    <x v="5"/>
    <x v="331"/>
    <x v="1"/>
    <x v="2"/>
    <x v="4"/>
    <x v="221"/>
    <x v="10"/>
    <x v="26"/>
    <x v="1"/>
  </r>
  <r>
    <x v="1"/>
    <x v="24"/>
    <x v="158"/>
    <x v="3"/>
    <x v="590"/>
    <x v="1"/>
    <x v="0"/>
    <x v="2"/>
    <x v="221"/>
    <x v="6"/>
    <x v="27"/>
    <x v="1"/>
  </r>
  <r>
    <x v="1"/>
    <x v="1"/>
    <x v="69"/>
    <x v="3"/>
    <x v="590"/>
    <x v="1"/>
    <x v="0"/>
    <x v="2"/>
    <x v="221"/>
    <x v="4"/>
    <x v="28"/>
    <x v="1"/>
  </r>
  <r>
    <x v="1"/>
    <x v="37"/>
    <x v="53"/>
    <x v="3"/>
    <x v="229"/>
    <x v="1"/>
    <x v="0"/>
    <x v="2"/>
    <x v="221"/>
    <x v="12"/>
    <x v="29"/>
    <x v="1"/>
  </r>
  <r>
    <x v="2"/>
    <x v="32"/>
    <x v="1912"/>
    <x v="7"/>
    <x v="61"/>
    <x v="1"/>
    <x v="2"/>
    <x v="4"/>
    <x v="221"/>
    <x v="10"/>
    <x v="30"/>
    <x v="1"/>
  </r>
  <r>
    <x v="2"/>
    <x v="0"/>
    <x v="1714"/>
    <x v="1"/>
    <x v="590"/>
    <x v="1"/>
    <x v="0"/>
    <x v="2"/>
    <x v="221"/>
    <x v="9"/>
    <x v="31"/>
    <x v="1"/>
  </r>
  <r>
    <x v="2"/>
    <x v="9"/>
    <x v="1390"/>
    <x v="0"/>
    <x v="17"/>
    <x v="1"/>
    <x v="0"/>
    <x v="2"/>
    <x v="221"/>
    <x v="5"/>
    <x v="32"/>
    <x v="1"/>
  </r>
  <r>
    <x v="2"/>
    <x v="20"/>
    <x v="1345"/>
    <x v="0"/>
    <x v="5"/>
    <x v="1"/>
    <x v="0"/>
    <x v="2"/>
    <x v="221"/>
    <x v="5"/>
    <x v="33"/>
    <x v="1"/>
  </r>
  <r>
    <x v="2"/>
    <x v="32"/>
    <x v="1182"/>
    <x v="3"/>
    <x v="590"/>
    <x v="1"/>
    <x v="2"/>
    <x v="4"/>
    <x v="221"/>
    <x v="10"/>
    <x v="34"/>
    <x v="1"/>
  </r>
  <r>
    <x v="2"/>
    <x v="12"/>
    <x v="618"/>
    <x v="0"/>
    <x v="17"/>
    <x v="1"/>
    <x v="0"/>
    <x v="2"/>
    <x v="221"/>
    <x v="5"/>
    <x v="35"/>
    <x v="1"/>
  </r>
  <r>
    <x v="2"/>
    <x v="32"/>
    <x v="533"/>
    <x v="5"/>
    <x v="590"/>
    <x v="1"/>
    <x v="2"/>
    <x v="4"/>
    <x v="221"/>
    <x v="10"/>
    <x v="36"/>
    <x v="1"/>
  </r>
  <r>
    <x v="2"/>
    <x v="8"/>
    <x v="449"/>
    <x v="0"/>
    <x v="242"/>
    <x v="1"/>
    <x v="0"/>
    <x v="2"/>
    <x v="221"/>
    <x v="5"/>
    <x v="37"/>
    <x v="1"/>
  </r>
  <r>
    <x v="2"/>
    <x v="38"/>
    <x v="305"/>
    <x v="0"/>
    <x v="590"/>
    <x v="1"/>
    <x v="0"/>
    <x v="2"/>
    <x v="221"/>
    <x v="5"/>
    <x v="38"/>
    <x v="1"/>
  </r>
  <r>
    <x v="2"/>
    <x v="32"/>
    <x v="287"/>
    <x v="6"/>
    <x v="590"/>
    <x v="1"/>
    <x v="2"/>
    <x v="4"/>
    <x v="221"/>
    <x v="10"/>
    <x v="39"/>
    <x v="1"/>
  </r>
  <r>
    <x v="2"/>
    <x v="24"/>
    <x v="158"/>
    <x v="3"/>
    <x v="489"/>
    <x v="1"/>
    <x v="0"/>
    <x v="2"/>
    <x v="221"/>
    <x v="6"/>
    <x v="40"/>
    <x v="1"/>
  </r>
  <r>
    <x v="2"/>
    <x v="32"/>
    <x v="112"/>
    <x v="2"/>
    <x v="590"/>
    <x v="1"/>
    <x v="2"/>
    <x v="4"/>
    <x v="221"/>
    <x v="10"/>
    <x v="41"/>
    <x v="1"/>
  </r>
  <r>
    <x v="2"/>
    <x v="37"/>
    <x v="45"/>
    <x v="3"/>
    <x v="590"/>
    <x v="1"/>
    <x v="0"/>
    <x v="2"/>
    <x v="221"/>
    <x v="12"/>
    <x v="42"/>
    <x v="1"/>
  </r>
  <r>
    <x v="2"/>
    <x v="23"/>
    <x v="25"/>
    <x v="3"/>
    <x v="590"/>
    <x v="1"/>
    <x v="0"/>
    <x v="2"/>
    <x v="221"/>
    <x v="6"/>
    <x v="43"/>
    <x v="1"/>
  </r>
  <r>
    <x v="3"/>
    <x v="32"/>
    <x v="1968"/>
    <x v="7"/>
    <x v="590"/>
    <x v="1"/>
    <x v="2"/>
    <x v="4"/>
    <x v="221"/>
    <x v="10"/>
    <x v="44"/>
    <x v="1"/>
  </r>
  <r>
    <x v="3"/>
    <x v="19"/>
    <x v="1673"/>
    <x v="0"/>
    <x v="590"/>
    <x v="1"/>
    <x v="0"/>
    <x v="2"/>
    <x v="221"/>
    <x v="3"/>
    <x v="45"/>
    <x v="1"/>
  </r>
  <r>
    <x v="3"/>
    <x v="32"/>
    <x v="1550"/>
    <x v="3"/>
    <x v="590"/>
    <x v="1"/>
    <x v="2"/>
    <x v="4"/>
    <x v="221"/>
    <x v="10"/>
    <x v="46"/>
    <x v="1"/>
  </r>
  <r>
    <x v="3"/>
    <x v="32"/>
    <x v="1257"/>
    <x v="5"/>
    <x v="590"/>
    <x v="1"/>
    <x v="2"/>
    <x v="4"/>
    <x v="221"/>
    <x v="10"/>
    <x v="47"/>
    <x v="1"/>
  </r>
  <r>
    <x v="3"/>
    <x v="32"/>
    <x v="1246"/>
    <x v="6"/>
    <x v="590"/>
    <x v="1"/>
    <x v="2"/>
    <x v="4"/>
    <x v="221"/>
    <x v="10"/>
    <x v="48"/>
    <x v="1"/>
  </r>
  <r>
    <x v="3"/>
    <x v="20"/>
    <x v="1239"/>
    <x v="0"/>
    <x v="61"/>
    <x v="1"/>
    <x v="0"/>
    <x v="2"/>
    <x v="221"/>
    <x v="5"/>
    <x v="49"/>
    <x v="1"/>
  </r>
  <r>
    <x v="3"/>
    <x v="13"/>
    <x v="1168"/>
    <x v="0"/>
    <x v="33"/>
    <x v="1"/>
    <x v="0"/>
    <x v="2"/>
    <x v="221"/>
    <x v="5"/>
    <x v="50"/>
    <x v="1"/>
  </r>
  <r>
    <x v="3"/>
    <x v="9"/>
    <x v="847"/>
    <x v="0"/>
    <x v="229"/>
    <x v="1"/>
    <x v="0"/>
    <x v="2"/>
    <x v="221"/>
    <x v="5"/>
    <x v="51"/>
    <x v="1"/>
  </r>
  <r>
    <x v="3"/>
    <x v="3"/>
    <x v="804"/>
    <x v="3"/>
    <x v="153"/>
    <x v="1"/>
    <x v="0"/>
    <x v="2"/>
    <x v="221"/>
    <x v="4"/>
    <x v="52"/>
    <x v="1"/>
  </r>
  <r>
    <x v="3"/>
    <x v="12"/>
    <x v="640"/>
    <x v="0"/>
    <x v="590"/>
    <x v="1"/>
    <x v="0"/>
    <x v="2"/>
    <x v="221"/>
    <x v="5"/>
    <x v="53"/>
    <x v="1"/>
  </r>
  <r>
    <x v="3"/>
    <x v="3"/>
    <x v="599"/>
    <x v="3"/>
    <x v="579"/>
    <x v="1"/>
    <x v="0"/>
    <x v="2"/>
    <x v="221"/>
    <x v="4"/>
    <x v="54"/>
    <x v="1"/>
  </r>
  <r>
    <x v="3"/>
    <x v="16"/>
    <x v="336"/>
    <x v="3"/>
    <x v="590"/>
    <x v="1"/>
    <x v="0"/>
    <x v="2"/>
    <x v="221"/>
    <x v="6"/>
    <x v="55"/>
    <x v="1"/>
  </r>
  <r>
    <x v="3"/>
    <x v="38"/>
    <x v="299"/>
    <x v="0"/>
    <x v="590"/>
    <x v="1"/>
    <x v="0"/>
    <x v="2"/>
    <x v="221"/>
    <x v="5"/>
    <x v="56"/>
    <x v="1"/>
  </r>
  <r>
    <x v="3"/>
    <x v="31"/>
    <x v="87"/>
    <x v="3"/>
    <x v="337"/>
    <x v="1"/>
    <x v="0"/>
    <x v="2"/>
    <x v="221"/>
    <x v="8"/>
    <x v="57"/>
    <x v="1"/>
  </r>
  <r>
    <x v="3"/>
    <x v="37"/>
    <x v="54"/>
    <x v="3"/>
    <x v="590"/>
    <x v="1"/>
    <x v="0"/>
    <x v="2"/>
    <x v="221"/>
    <x v="12"/>
    <x v="58"/>
    <x v="1"/>
  </r>
  <r>
    <x v="3"/>
    <x v="12"/>
    <x v="25"/>
    <x v="3"/>
    <x v="331"/>
    <x v="1"/>
    <x v="0"/>
    <x v="2"/>
    <x v="221"/>
    <x v="5"/>
    <x v="59"/>
    <x v="1"/>
  </r>
  <r>
    <x v="4"/>
    <x v="32"/>
    <x v="1984"/>
    <x v="7"/>
    <x v="590"/>
    <x v="1"/>
    <x v="2"/>
    <x v="4"/>
    <x v="221"/>
    <x v="10"/>
    <x v="60"/>
    <x v="1"/>
  </r>
  <r>
    <x v="4"/>
    <x v="9"/>
    <x v="1661"/>
    <x v="0"/>
    <x v="590"/>
    <x v="1"/>
    <x v="0"/>
    <x v="2"/>
    <x v="221"/>
    <x v="5"/>
    <x v="61"/>
    <x v="1"/>
  </r>
  <r>
    <x v="4"/>
    <x v="32"/>
    <x v="1347"/>
    <x v="3"/>
    <x v="590"/>
    <x v="1"/>
    <x v="2"/>
    <x v="4"/>
    <x v="221"/>
    <x v="10"/>
    <x v="62"/>
    <x v="1"/>
  </r>
  <r>
    <x v="4"/>
    <x v="20"/>
    <x v="1146"/>
    <x v="0"/>
    <x v="590"/>
    <x v="1"/>
    <x v="0"/>
    <x v="2"/>
    <x v="221"/>
    <x v="5"/>
    <x v="63"/>
    <x v="1"/>
  </r>
  <r>
    <x v="4"/>
    <x v="0"/>
    <x v="1059"/>
    <x v="1"/>
    <x v="180"/>
    <x v="1"/>
    <x v="0"/>
    <x v="2"/>
    <x v="221"/>
    <x v="9"/>
    <x v="64"/>
    <x v="1"/>
  </r>
  <r>
    <x v="4"/>
    <x v="12"/>
    <x v="1011"/>
    <x v="0"/>
    <x v="590"/>
    <x v="1"/>
    <x v="0"/>
    <x v="2"/>
    <x v="221"/>
    <x v="5"/>
    <x v="65"/>
    <x v="1"/>
  </r>
  <r>
    <x v="4"/>
    <x v="32"/>
    <x v="774"/>
    <x v="5"/>
    <x v="590"/>
    <x v="1"/>
    <x v="2"/>
    <x v="4"/>
    <x v="221"/>
    <x v="10"/>
    <x v="66"/>
    <x v="1"/>
  </r>
  <r>
    <x v="4"/>
    <x v="32"/>
    <x v="760"/>
    <x v="2"/>
    <x v="590"/>
    <x v="1"/>
    <x v="2"/>
    <x v="4"/>
    <x v="221"/>
    <x v="10"/>
    <x v="67"/>
    <x v="1"/>
  </r>
  <r>
    <x v="4"/>
    <x v="12"/>
    <x v="561"/>
    <x v="3"/>
    <x v="191"/>
    <x v="1"/>
    <x v="0"/>
    <x v="2"/>
    <x v="221"/>
    <x v="5"/>
    <x v="68"/>
    <x v="1"/>
  </r>
  <r>
    <x v="4"/>
    <x v="32"/>
    <x v="495"/>
    <x v="8"/>
    <x v="590"/>
    <x v="1"/>
    <x v="2"/>
    <x v="4"/>
    <x v="221"/>
    <x v="10"/>
    <x v="69"/>
    <x v="1"/>
  </r>
  <r>
    <x v="4"/>
    <x v="38"/>
    <x v="347"/>
    <x v="0"/>
    <x v="590"/>
    <x v="1"/>
    <x v="0"/>
    <x v="2"/>
    <x v="221"/>
    <x v="5"/>
    <x v="70"/>
    <x v="1"/>
  </r>
  <r>
    <x v="4"/>
    <x v="1"/>
    <x v="246"/>
    <x v="3"/>
    <x v="431"/>
    <x v="1"/>
    <x v="0"/>
    <x v="2"/>
    <x v="221"/>
    <x v="4"/>
    <x v="71"/>
    <x v="1"/>
  </r>
  <r>
    <x v="4"/>
    <x v="26"/>
    <x v="205"/>
    <x v="3"/>
    <x v="590"/>
    <x v="1"/>
    <x v="0"/>
    <x v="2"/>
    <x v="221"/>
    <x v="5"/>
    <x v="72"/>
    <x v="1"/>
  </r>
  <r>
    <x v="4"/>
    <x v="32"/>
    <x v="143"/>
    <x v="6"/>
    <x v="590"/>
    <x v="1"/>
    <x v="2"/>
    <x v="4"/>
    <x v="221"/>
    <x v="10"/>
    <x v="73"/>
    <x v="1"/>
  </r>
  <r>
    <x v="4"/>
    <x v="16"/>
    <x v="80"/>
    <x v="3"/>
    <x v="590"/>
    <x v="1"/>
    <x v="0"/>
    <x v="2"/>
    <x v="221"/>
    <x v="6"/>
    <x v="74"/>
    <x v="1"/>
  </r>
  <r>
    <x v="4"/>
    <x v="37"/>
    <x v="43"/>
    <x v="3"/>
    <x v="590"/>
    <x v="1"/>
    <x v="0"/>
    <x v="2"/>
    <x v="221"/>
    <x v="12"/>
    <x v="75"/>
    <x v="1"/>
  </r>
  <r>
    <x v="4"/>
    <x v="3"/>
    <x v="25"/>
    <x v="3"/>
    <x v="506"/>
    <x v="1"/>
    <x v="0"/>
    <x v="2"/>
    <x v="221"/>
    <x v="4"/>
    <x v="76"/>
    <x v="1"/>
  </r>
  <r>
    <x v="4"/>
    <x v="12"/>
    <x v="25"/>
    <x v="3"/>
    <x v="331"/>
    <x v="1"/>
    <x v="0"/>
    <x v="2"/>
    <x v="221"/>
    <x v="5"/>
    <x v="77"/>
    <x v="1"/>
  </r>
  <r>
    <x v="5"/>
    <x v="32"/>
    <x v="1838"/>
    <x v="7"/>
    <x v="590"/>
    <x v="1"/>
    <x v="2"/>
    <x v="4"/>
    <x v="221"/>
    <x v="10"/>
    <x v="78"/>
    <x v="1"/>
  </r>
  <r>
    <x v="5"/>
    <x v="9"/>
    <x v="1352"/>
    <x v="0"/>
    <x v="590"/>
    <x v="1"/>
    <x v="0"/>
    <x v="2"/>
    <x v="221"/>
    <x v="5"/>
    <x v="79"/>
    <x v="1"/>
  </r>
  <r>
    <x v="5"/>
    <x v="32"/>
    <x v="1023"/>
    <x v="3"/>
    <x v="590"/>
    <x v="1"/>
    <x v="2"/>
    <x v="4"/>
    <x v="221"/>
    <x v="10"/>
    <x v="80"/>
    <x v="1"/>
  </r>
  <r>
    <x v="5"/>
    <x v="32"/>
    <x v="719"/>
    <x v="2"/>
    <x v="590"/>
    <x v="1"/>
    <x v="2"/>
    <x v="4"/>
    <x v="221"/>
    <x v="10"/>
    <x v="81"/>
    <x v="1"/>
  </r>
  <r>
    <x v="5"/>
    <x v="12"/>
    <x v="572"/>
    <x v="0"/>
    <x v="590"/>
    <x v="1"/>
    <x v="0"/>
    <x v="2"/>
    <x v="221"/>
    <x v="5"/>
    <x v="82"/>
    <x v="1"/>
  </r>
  <r>
    <x v="5"/>
    <x v="8"/>
    <x v="449"/>
    <x v="0"/>
    <x v="590"/>
    <x v="1"/>
    <x v="0"/>
    <x v="2"/>
    <x v="221"/>
    <x v="5"/>
    <x v="83"/>
    <x v="1"/>
  </r>
  <r>
    <x v="5"/>
    <x v="32"/>
    <x v="412"/>
    <x v="8"/>
    <x v="590"/>
    <x v="1"/>
    <x v="2"/>
    <x v="4"/>
    <x v="221"/>
    <x v="10"/>
    <x v="84"/>
    <x v="1"/>
  </r>
  <r>
    <x v="5"/>
    <x v="32"/>
    <x v="367"/>
    <x v="5"/>
    <x v="590"/>
    <x v="1"/>
    <x v="2"/>
    <x v="4"/>
    <x v="221"/>
    <x v="10"/>
    <x v="85"/>
    <x v="1"/>
  </r>
  <r>
    <x v="5"/>
    <x v="12"/>
    <x v="343"/>
    <x v="3"/>
    <x v="510"/>
    <x v="1"/>
    <x v="0"/>
    <x v="2"/>
    <x v="221"/>
    <x v="5"/>
    <x v="86"/>
    <x v="1"/>
  </r>
  <r>
    <x v="5"/>
    <x v="32"/>
    <x v="325"/>
    <x v="6"/>
    <x v="590"/>
    <x v="1"/>
    <x v="2"/>
    <x v="4"/>
    <x v="221"/>
    <x v="10"/>
    <x v="87"/>
    <x v="1"/>
  </r>
  <r>
    <x v="5"/>
    <x v="38"/>
    <x v="274"/>
    <x v="0"/>
    <x v="590"/>
    <x v="1"/>
    <x v="0"/>
    <x v="2"/>
    <x v="221"/>
    <x v="5"/>
    <x v="88"/>
    <x v="1"/>
  </r>
  <r>
    <x v="5"/>
    <x v="10"/>
    <x v="224"/>
    <x v="3"/>
    <x v="121"/>
    <x v="1"/>
    <x v="0"/>
    <x v="2"/>
    <x v="221"/>
    <x v="6"/>
    <x v="89"/>
    <x v="1"/>
  </r>
  <r>
    <x v="5"/>
    <x v="37"/>
    <x v="55"/>
    <x v="3"/>
    <x v="590"/>
    <x v="1"/>
    <x v="0"/>
    <x v="2"/>
    <x v="221"/>
    <x v="12"/>
    <x v="90"/>
    <x v="1"/>
  </r>
  <r>
    <x v="5"/>
    <x v="38"/>
    <x v="22"/>
    <x v="3"/>
    <x v="334"/>
    <x v="1"/>
    <x v="0"/>
    <x v="2"/>
    <x v="221"/>
    <x v="5"/>
    <x v="91"/>
    <x v="1"/>
  </r>
  <r>
    <x v="5"/>
    <x v="23"/>
    <x v="19"/>
    <x v="3"/>
    <x v="590"/>
    <x v="1"/>
    <x v="0"/>
    <x v="2"/>
    <x v="221"/>
    <x v="6"/>
    <x v="92"/>
    <x v="1"/>
  </r>
  <r>
    <x v="6"/>
    <x v="32"/>
    <x v="1784"/>
    <x v="7"/>
    <x v="590"/>
    <x v="1"/>
    <x v="2"/>
    <x v="4"/>
    <x v="221"/>
    <x v="10"/>
    <x v="93"/>
    <x v="1"/>
  </r>
  <r>
    <x v="6"/>
    <x v="20"/>
    <x v="1457"/>
    <x v="0"/>
    <x v="590"/>
    <x v="1"/>
    <x v="0"/>
    <x v="2"/>
    <x v="221"/>
    <x v="5"/>
    <x v="94"/>
    <x v="1"/>
  </r>
  <r>
    <x v="6"/>
    <x v="9"/>
    <x v="1384"/>
    <x v="0"/>
    <x v="590"/>
    <x v="1"/>
    <x v="0"/>
    <x v="2"/>
    <x v="221"/>
    <x v="5"/>
    <x v="95"/>
    <x v="1"/>
  </r>
  <r>
    <x v="6"/>
    <x v="32"/>
    <x v="992"/>
    <x v="3"/>
    <x v="590"/>
    <x v="1"/>
    <x v="2"/>
    <x v="4"/>
    <x v="221"/>
    <x v="10"/>
    <x v="96"/>
    <x v="1"/>
  </r>
  <r>
    <x v="6"/>
    <x v="32"/>
    <x v="744"/>
    <x v="2"/>
    <x v="590"/>
    <x v="1"/>
    <x v="2"/>
    <x v="4"/>
    <x v="221"/>
    <x v="10"/>
    <x v="97"/>
    <x v="1"/>
  </r>
  <r>
    <x v="6"/>
    <x v="12"/>
    <x v="731"/>
    <x v="0"/>
    <x v="590"/>
    <x v="1"/>
    <x v="0"/>
    <x v="2"/>
    <x v="221"/>
    <x v="5"/>
    <x v="98"/>
    <x v="1"/>
  </r>
  <r>
    <x v="6"/>
    <x v="12"/>
    <x v="427"/>
    <x v="3"/>
    <x v="191"/>
    <x v="1"/>
    <x v="0"/>
    <x v="2"/>
    <x v="221"/>
    <x v="5"/>
    <x v="99"/>
    <x v="1"/>
  </r>
  <r>
    <x v="6"/>
    <x v="32"/>
    <x v="319"/>
    <x v="5"/>
    <x v="590"/>
    <x v="1"/>
    <x v="2"/>
    <x v="4"/>
    <x v="221"/>
    <x v="10"/>
    <x v="100"/>
    <x v="1"/>
  </r>
  <r>
    <x v="6"/>
    <x v="32"/>
    <x v="308"/>
    <x v="8"/>
    <x v="590"/>
    <x v="1"/>
    <x v="2"/>
    <x v="4"/>
    <x v="221"/>
    <x v="10"/>
    <x v="101"/>
    <x v="1"/>
  </r>
  <r>
    <x v="6"/>
    <x v="38"/>
    <x v="270"/>
    <x v="0"/>
    <x v="590"/>
    <x v="1"/>
    <x v="0"/>
    <x v="2"/>
    <x v="221"/>
    <x v="5"/>
    <x v="102"/>
    <x v="1"/>
  </r>
  <r>
    <x v="6"/>
    <x v="31"/>
    <x v="158"/>
    <x v="3"/>
    <x v="590"/>
    <x v="1"/>
    <x v="0"/>
    <x v="2"/>
    <x v="221"/>
    <x v="8"/>
    <x v="103"/>
    <x v="1"/>
  </r>
  <r>
    <x v="6"/>
    <x v="37"/>
    <x v="45"/>
    <x v="3"/>
    <x v="590"/>
    <x v="1"/>
    <x v="0"/>
    <x v="2"/>
    <x v="221"/>
    <x v="12"/>
    <x v="104"/>
    <x v="1"/>
  </r>
  <r>
    <x v="6"/>
    <x v="3"/>
    <x v="25"/>
    <x v="3"/>
    <x v="506"/>
    <x v="1"/>
    <x v="0"/>
    <x v="2"/>
    <x v="221"/>
    <x v="4"/>
    <x v="105"/>
    <x v="1"/>
  </r>
  <r>
    <x v="6"/>
    <x v="23"/>
    <x v="13"/>
    <x v="3"/>
    <x v="590"/>
    <x v="1"/>
    <x v="0"/>
    <x v="2"/>
    <x v="221"/>
    <x v="6"/>
    <x v="106"/>
    <x v="1"/>
  </r>
  <r>
    <x v="7"/>
    <x v="32"/>
    <x v="1698"/>
    <x v="7"/>
    <x v="590"/>
    <x v="1"/>
    <x v="2"/>
    <x v="4"/>
    <x v="221"/>
    <x v="10"/>
    <x v="107"/>
    <x v="1"/>
  </r>
  <r>
    <x v="7"/>
    <x v="31"/>
    <x v="1634"/>
    <x v="0"/>
    <x v="590"/>
    <x v="1"/>
    <x v="0"/>
    <x v="2"/>
    <x v="221"/>
    <x v="8"/>
    <x v="108"/>
    <x v="1"/>
  </r>
  <r>
    <x v="7"/>
    <x v="32"/>
    <x v="1188"/>
    <x v="6"/>
    <x v="590"/>
    <x v="1"/>
    <x v="2"/>
    <x v="4"/>
    <x v="221"/>
    <x v="10"/>
    <x v="109"/>
    <x v="1"/>
  </r>
  <r>
    <x v="7"/>
    <x v="32"/>
    <x v="1062"/>
    <x v="3"/>
    <x v="590"/>
    <x v="1"/>
    <x v="2"/>
    <x v="4"/>
    <x v="221"/>
    <x v="10"/>
    <x v="110"/>
    <x v="1"/>
  </r>
  <r>
    <x v="7"/>
    <x v="32"/>
    <x v="808"/>
    <x v="5"/>
    <x v="590"/>
    <x v="1"/>
    <x v="2"/>
    <x v="4"/>
    <x v="221"/>
    <x v="10"/>
    <x v="111"/>
    <x v="1"/>
  </r>
  <r>
    <x v="7"/>
    <x v="8"/>
    <x v="779"/>
    <x v="0"/>
    <x v="590"/>
    <x v="1"/>
    <x v="0"/>
    <x v="2"/>
    <x v="221"/>
    <x v="5"/>
    <x v="112"/>
    <x v="1"/>
  </r>
  <r>
    <x v="7"/>
    <x v="3"/>
    <x v="599"/>
    <x v="3"/>
    <x v="153"/>
    <x v="1"/>
    <x v="0"/>
    <x v="2"/>
    <x v="221"/>
    <x v="4"/>
    <x v="113"/>
    <x v="1"/>
  </r>
  <r>
    <x v="7"/>
    <x v="3"/>
    <x v="599"/>
    <x v="3"/>
    <x v="579"/>
    <x v="1"/>
    <x v="0"/>
    <x v="2"/>
    <x v="221"/>
    <x v="4"/>
    <x v="114"/>
    <x v="1"/>
  </r>
  <r>
    <x v="7"/>
    <x v="38"/>
    <x v="236"/>
    <x v="0"/>
    <x v="590"/>
    <x v="1"/>
    <x v="0"/>
    <x v="2"/>
    <x v="221"/>
    <x v="5"/>
    <x v="115"/>
    <x v="1"/>
  </r>
  <r>
    <x v="7"/>
    <x v="37"/>
    <x v="90"/>
    <x v="3"/>
    <x v="590"/>
    <x v="1"/>
    <x v="0"/>
    <x v="2"/>
    <x v="221"/>
    <x v="12"/>
    <x v="116"/>
    <x v="1"/>
  </r>
  <r>
    <x v="7"/>
    <x v="12"/>
    <x v="88"/>
    <x v="0"/>
    <x v="590"/>
    <x v="1"/>
    <x v="0"/>
    <x v="2"/>
    <x v="221"/>
    <x v="5"/>
    <x v="117"/>
    <x v="1"/>
  </r>
  <r>
    <x v="7"/>
    <x v="28"/>
    <x v="45"/>
    <x v="1"/>
    <x v="590"/>
    <x v="1"/>
    <x v="0"/>
    <x v="2"/>
    <x v="221"/>
    <x v="0"/>
    <x v="118"/>
    <x v="1"/>
  </r>
  <r>
    <x v="7"/>
    <x v="38"/>
    <x v="19"/>
    <x v="3"/>
    <x v="334"/>
    <x v="1"/>
    <x v="0"/>
    <x v="2"/>
    <x v="221"/>
    <x v="5"/>
    <x v="119"/>
    <x v="1"/>
  </r>
  <r>
    <x v="7"/>
    <x v="23"/>
    <x v="12"/>
    <x v="3"/>
    <x v="590"/>
    <x v="1"/>
    <x v="0"/>
    <x v="2"/>
    <x v="221"/>
    <x v="6"/>
    <x v="120"/>
    <x v="1"/>
  </r>
  <r>
    <x v="8"/>
    <x v="32"/>
    <x v="1752"/>
    <x v="7"/>
    <x v="590"/>
    <x v="1"/>
    <x v="2"/>
    <x v="4"/>
    <x v="221"/>
    <x v="10"/>
    <x v="121"/>
    <x v="1"/>
  </r>
  <r>
    <x v="8"/>
    <x v="30"/>
    <x v="1662"/>
    <x v="0"/>
    <x v="590"/>
    <x v="1"/>
    <x v="0"/>
    <x v="2"/>
    <x v="221"/>
    <x v="3"/>
    <x v="122"/>
    <x v="1"/>
  </r>
  <r>
    <x v="8"/>
    <x v="9"/>
    <x v="1585"/>
    <x v="0"/>
    <x v="590"/>
    <x v="1"/>
    <x v="0"/>
    <x v="2"/>
    <x v="221"/>
    <x v="5"/>
    <x v="123"/>
    <x v="1"/>
  </r>
  <r>
    <x v="8"/>
    <x v="20"/>
    <x v="1194"/>
    <x v="0"/>
    <x v="590"/>
    <x v="1"/>
    <x v="0"/>
    <x v="2"/>
    <x v="221"/>
    <x v="5"/>
    <x v="124"/>
    <x v="1"/>
  </r>
  <r>
    <x v="8"/>
    <x v="32"/>
    <x v="1125"/>
    <x v="6"/>
    <x v="590"/>
    <x v="1"/>
    <x v="2"/>
    <x v="4"/>
    <x v="221"/>
    <x v="10"/>
    <x v="125"/>
    <x v="1"/>
  </r>
  <r>
    <x v="8"/>
    <x v="0"/>
    <x v="869"/>
    <x v="1"/>
    <x v="366"/>
    <x v="1"/>
    <x v="0"/>
    <x v="2"/>
    <x v="221"/>
    <x v="9"/>
    <x v="126"/>
    <x v="1"/>
  </r>
  <r>
    <x v="8"/>
    <x v="32"/>
    <x v="784"/>
    <x v="3"/>
    <x v="590"/>
    <x v="1"/>
    <x v="2"/>
    <x v="4"/>
    <x v="221"/>
    <x v="10"/>
    <x v="127"/>
    <x v="1"/>
  </r>
  <r>
    <x v="8"/>
    <x v="32"/>
    <x v="511"/>
    <x v="5"/>
    <x v="590"/>
    <x v="1"/>
    <x v="2"/>
    <x v="4"/>
    <x v="221"/>
    <x v="10"/>
    <x v="128"/>
    <x v="1"/>
  </r>
  <r>
    <x v="8"/>
    <x v="12"/>
    <x v="453"/>
    <x v="0"/>
    <x v="590"/>
    <x v="1"/>
    <x v="0"/>
    <x v="2"/>
    <x v="221"/>
    <x v="5"/>
    <x v="129"/>
    <x v="1"/>
  </r>
  <r>
    <x v="8"/>
    <x v="32"/>
    <x v="277"/>
    <x v="2"/>
    <x v="590"/>
    <x v="1"/>
    <x v="2"/>
    <x v="4"/>
    <x v="221"/>
    <x v="10"/>
    <x v="130"/>
    <x v="1"/>
  </r>
  <r>
    <x v="8"/>
    <x v="32"/>
    <x v="256"/>
    <x v="8"/>
    <x v="590"/>
    <x v="1"/>
    <x v="2"/>
    <x v="4"/>
    <x v="221"/>
    <x v="10"/>
    <x v="131"/>
    <x v="1"/>
  </r>
  <r>
    <x v="8"/>
    <x v="38"/>
    <x v="253"/>
    <x v="0"/>
    <x v="590"/>
    <x v="1"/>
    <x v="0"/>
    <x v="2"/>
    <x v="221"/>
    <x v="5"/>
    <x v="132"/>
    <x v="1"/>
  </r>
  <r>
    <x v="8"/>
    <x v="37"/>
    <x v="45"/>
    <x v="3"/>
    <x v="590"/>
    <x v="1"/>
    <x v="0"/>
    <x v="2"/>
    <x v="221"/>
    <x v="12"/>
    <x v="133"/>
    <x v="1"/>
  </r>
  <r>
    <x v="9"/>
    <x v="32"/>
    <x v="1908"/>
    <x v="7"/>
    <x v="590"/>
    <x v="1"/>
    <x v="2"/>
    <x v="4"/>
    <x v="221"/>
    <x v="10"/>
    <x v="134"/>
    <x v="1"/>
  </r>
  <r>
    <x v="9"/>
    <x v="31"/>
    <x v="1853"/>
    <x v="0"/>
    <x v="590"/>
    <x v="1"/>
    <x v="0"/>
    <x v="2"/>
    <x v="221"/>
    <x v="8"/>
    <x v="135"/>
    <x v="1"/>
  </r>
  <r>
    <x v="9"/>
    <x v="9"/>
    <x v="1567"/>
    <x v="0"/>
    <x v="590"/>
    <x v="1"/>
    <x v="0"/>
    <x v="2"/>
    <x v="221"/>
    <x v="5"/>
    <x v="136"/>
    <x v="1"/>
  </r>
  <r>
    <x v="9"/>
    <x v="20"/>
    <x v="1205"/>
    <x v="0"/>
    <x v="590"/>
    <x v="1"/>
    <x v="0"/>
    <x v="2"/>
    <x v="221"/>
    <x v="5"/>
    <x v="137"/>
    <x v="1"/>
  </r>
  <r>
    <x v="9"/>
    <x v="32"/>
    <x v="885"/>
    <x v="5"/>
    <x v="590"/>
    <x v="1"/>
    <x v="2"/>
    <x v="4"/>
    <x v="221"/>
    <x v="10"/>
    <x v="138"/>
    <x v="1"/>
  </r>
  <r>
    <x v="9"/>
    <x v="32"/>
    <x v="827"/>
    <x v="3"/>
    <x v="590"/>
    <x v="1"/>
    <x v="2"/>
    <x v="4"/>
    <x v="221"/>
    <x v="10"/>
    <x v="139"/>
    <x v="1"/>
  </r>
  <r>
    <x v="9"/>
    <x v="12"/>
    <x v="795"/>
    <x v="0"/>
    <x v="590"/>
    <x v="1"/>
    <x v="0"/>
    <x v="2"/>
    <x v="221"/>
    <x v="5"/>
    <x v="140"/>
    <x v="1"/>
  </r>
  <r>
    <x v="9"/>
    <x v="18"/>
    <x v="719"/>
    <x v="1"/>
    <x v="590"/>
    <x v="1"/>
    <x v="0"/>
    <x v="2"/>
    <x v="221"/>
    <x v="3"/>
    <x v="141"/>
    <x v="1"/>
  </r>
  <r>
    <x v="9"/>
    <x v="32"/>
    <x v="682"/>
    <x v="2"/>
    <x v="590"/>
    <x v="1"/>
    <x v="2"/>
    <x v="4"/>
    <x v="221"/>
    <x v="10"/>
    <x v="142"/>
    <x v="1"/>
  </r>
  <r>
    <x v="9"/>
    <x v="38"/>
    <x v="317"/>
    <x v="0"/>
    <x v="590"/>
    <x v="1"/>
    <x v="0"/>
    <x v="2"/>
    <x v="221"/>
    <x v="5"/>
    <x v="143"/>
    <x v="1"/>
  </r>
  <r>
    <x v="9"/>
    <x v="1"/>
    <x v="229"/>
    <x v="3"/>
    <x v="590"/>
    <x v="1"/>
    <x v="0"/>
    <x v="2"/>
    <x v="221"/>
    <x v="4"/>
    <x v="144"/>
    <x v="1"/>
  </r>
  <r>
    <x v="9"/>
    <x v="32"/>
    <x v="90"/>
    <x v="4"/>
    <x v="590"/>
    <x v="1"/>
    <x v="2"/>
    <x v="4"/>
    <x v="221"/>
    <x v="10"/>
    <x v="145"/>
    <x v="1"/>
  </r>
  <r>
    <x v="9"/>
    <x v="32"/>
    <x v="65"/>
    <x v="6"/>
    <x v="590"/>
    <x v="1"/>
    <x v="2"/>
    <x v="4"/>
    <x v="221"/>
    <x v="10"/>
    <x v="146"/>
    <x v="1"/>
  </r>
  <r>
    <x v="9"/>
    <x v="37"/>
    <x v="45"/>
    <x v="3"/>
    <x v="590"/>
    <x v="1"/>
    <x v="0"/>
    <x v="2"/>
    <x v="221"/>
    <x v="12"/>
    <x v="147"/>
    <x v="1"/>
  </r>
  <r>
    <x v="9"/>
    <x v="38"/>
    <x v="40"/>
    <x v="3"/>
    <x v="401"/>
    <x v="1"/>
    <x v="0"/>
    <x v="2"/>
    <x v="221"/>
    <x v="5"/>
    <x v="148"/>
    <x v="1"/>
  </r>
  <r>
    <x v="9"/>
    <x v="12"/>
    <x v="30"/>
    <x v="3"/>
    <x v="331"/>
    <x v="1"/>
    <x v="0"/>
    <x v="2"/>
    <x v="221"/>
    <x v="5"/>
    <x v="149"/>
    <x v="1"/>
  </r>
  <r>
    <x v="9"/>
    <x v="23"/>
    <x v="22"/>
    <x v="3"/>
    <x v="590"/>
    <x v="1"/>
    <x v="0"/>
    <x v="2"/>
    <x v="221"/>
    <x v="6"/>
    <x v="150"/>
    <x v="1"/>
  </r>
  <r>
    <x v="10"/>
    <x v="32"/>
    <x v="1895"/>
    <x v="7"/>
    <x v="590"/>
    <x v="2"/>
    <x v="2"/>
    <x v="4"/>
    <x v="221"/>
    <x v="10"/>
    <x v="151"/>
    <x v="1"/>
  </r>
  <r>
    <x v="10"/>
    <x v="20"/>
    <x v="1606"/>
    <x v="0"/>
    <x v="272"/>
    <x v="2"/>
    <x v="0"/>
    <x v="2"/>
    <x v="221"/>
    <x v="5"/>
    <x v="152"/>
    <x v="1"/>
  </r>
  <r>
    <x v="10"/>
    <x v="32"/>
    <x v="1487"/>
    <x v="3"/>
    <x v="590"/>
    <x v="2"/>
    <x v="2"/>
    <x v="4"/>
    <x v="221"/>
    <x v="10"/>
    <x v="153"/>
    <x v="1"/>
  </r>
  <r>
    <x v="10"/>
    <x v="32"/>
    <x v="946"/>
    <x v="2"/>
    <x v="590"/>
    <x v="2"/>
    <x v="2"/>
    <x v="4"/>
    <x v="221"/>
    <x v="10"/>
    <x v="154"/>
    <x v="1"/>
  </r>
  <r>
    <x v="10"/>
    <x v="8"/>
    <x v="779"/>
    <x v="0"/>
    <x v="590"/>
    <x v="2"/>
    <x v="0"/>
    <x v="2"/>
    <x v="221"/>
    <x v="5"/>
    <x v="155"/>
    <x v="1"/>
  </r>
  <r>
    <x v="10"/>
    <x v="27"/>
    <x v="779"/>
    <x v="3"/>
    <x v="590"/>
    <x v="2"/>
    <x v="0"/>
    <x v="2"/>
    <x v="221"/>
    <x v="5"/>
    <x v="156"/>
    <x v="1"/>
  </r>
  <r>
    <x v="10"/>
    <x v="9"/>
    <x v="701"/>
    <x v="0"/>
    <x v="590"/>
    <x v="2"/>
    <x v="0"/>
    <x v="2"/>
    <x v="221"/>
    <x v="5"/>
    <x v="157"/>
    <x v="1"/>
  </r>
  <r>
    <x v="10"/>
    <x v="12"/>
    <x v="652"/>
    <x v="0"/>
    <x v="590"/>
    <x v="2"/>
    <x v="0"/>
    <x v="2"/>
    <x v="221"/>
    <x v="5"/>
    <x v="158"/>
    <x v="1"/>
  </r>
  <r>
    <x v="10"/>
    <x v="3"/>
    <x v="599"/>
    <x v="3"/>
    <x v="590"/>
    <x v="2"/>
    <x v="0"/>
    <x v="2"/>
    <x v="221"/>
    <x v="4"/>
    <x v="159"/>
    <x v="1"/>
  </r>
  <r>
    <x v="10"/>
    <x v="32"/>
    <x v="556"/>
    <x v="5"/>
    <x v="590"/>
    <x v="2"/>
    <x v="2"/>
    <x v="4"/>
    <x v="221"/>
    <x v="10"/>
    <x v="160"/>
    <x v="1"/>
  </r>
  <r>
    <x v="10"/>
    <x v="20"/>
    <x v="464"/>
    <x v="0"/>
    <x v="590"/>
    <x v="2"/>
    <x v="0"/>
    <x v="2"/>
    <x v="221"/>
    <x v="5"/>
    <x v="161"/>
    <x v="1"/>
  </r>
  <r>
    <x v="10"/>
    <x v="12"/>
    <x v="440"/>
    <x v="3"/>
    <x v="192"/>
    <x v="2"/>
    <x v="0"/>
    <x v="2"/>
    <x v="221"/>
    <x v="5"/>
    <x v="162"/>
    <x v="1"/>
  </r>
  <r>
    <x v="10"/>
    <x v="28"/>
    <x v="244"/>
    <x v="3"/>
    <x v="590"/>
    <x v="2"/>
    <x v="0"/>
    <x v="2"/>
    <x v="221"/>
    <x v="0"/>
    <x v="163"/>
    <x v="1"/>
  </r>
  <r>
    <x v="10"/>
    <x v="38"/>
    <x v="236"/>
    <x v="0"/>
    <x v="590"/>
    <x v="2"/>
    <x v="0"/>
    <x v="2"/>
    <x v="221"/>
    <x v="5"/>
    <x v="164"/>
    <x v="1"/>
  </r>
  <r>
    <x v="10"/>
    <x v="32"/>
    <x v="77"/>
    <x v="6"/>
    <x v="590"/>
    <x v="2"/>
    <x v="2"/>
    <x v="4"/>
    <x v="221"/>
    <x v="10"/>
    <x v="165"/>
    <x v="1"/>
  </r>
  <r>
    <x v="10"/>
    <x v="31"/>
    <x v="65"/>
    <x v="3"/>
    <x v="158"/>
    <x v="2"/>
    <x v="0"/>
    <x v="2"/>
    <x v="221"/>
    <x v="8"/>
    <x v="166"/>
    <x v="1"/>
  </r>
  <r>
    <x v="10"/>
    <x v="37"/>
    <x v="45"/>
    <x v="3"/>
    <x v="590"/>
    <x v="2"/>
    <x v="0"/>
    <x v="2"/>
    <x v="221"/>
    <x v="12"/>
    <x v="167"/>
    <x v="1"/>
  </r>
  <r>
    <x v="10"/>
    <x v="23"/>
    <x v="19"/>
    <x v="3"/>
    <x v="590"/>
    <x v="2"/>
    <x v="0"/>
    <x v="2"/>
    <x v="221"/>
    <x v="6"/>
    <x v="168"/>
    <x v="1"/>
  </r>
  <r>
    <x v="11"/>
    <x v="32"/>
    <x v="1952"/>
    <x v="7"/>
    <x v="590"/>
    <x v="2"/>
    <x v="2"/>
    <x v="4"/>
    <x v="221"/>
    <x v="10"/>
    <x v="169"/>
    <x v="1"/>
  </r>
  <r>
    <x v="11"/>
    <x v="0"/>
    <x v="1483"/>
    <x v="0"/>
    <x v="484"/>
    <x v="2"/>
    <x v="0"/>
    <x v="2"/>
    <x v="221"/>
    <x v="9"/>
    <x v="170"/>
    <x v="1"/>
  </r>
  <r>
    <x v="11"/>
    <x v="0"/>
    <x v="1483"/>
    <x v="0"/>
    <x v="450"/>
    <x v="2"/>
    <x v="0"/>
    <x v="2"/>
    <x v="221"/>
    <x v="9"/>
    <x v="171"/>
    <x v="1"/>
  </r>
  <r>
    <x v="11"/>
    <x v="20"/>
    <x v="1477"/>
    <x v="0"/>
    <x v="253"/>
    <x v="2"/>
    <x v="0"/>
    <x v="2"/>
    <x v="221"/>
    <x v="5"/>
    <x v="172"/>
    <x v="1"/>
  </r>
  <r>
    <x v="11"/>
    <x v="32"/>
    <x v="1405"/>
    <x v="5"/>
    <x v="590"/>
    <x v="2"/>
    <x v="2"/>
    <x v="4"/>
    <x v="221"/>
    <x v="10"/>
    <x v="173"/>
    <x v="1"/>
  </r>
  <r>
    <x v="11"/>
    <x v="9"/>
    <x v="1349"/>
    <x v="0"/>
    <x v="590"/>
    <x v="2"/>
    <x v="0"/>
    <x v="2"/>
    <x v="221"/>
    <x v="5"/>
    <x v="174"/>
    <x v="1"/>
  </r>
  <r>
    <x v="11"/>
    <x v="32"/>
    <x v="1230"/>
    <x v="3"/>
    <x v="590"/>
    <x v="2"/>
    <x v="2"/>
    <x v="4"/>
    <x v="221"/>
    <x v="10"/>
    <x v="175"/>
    <x v="1"/>
  </r>
  <r>
    <x v="11"/>
    <x v="20"/>
    <x v="1102"/>
    <x v="0"/>
    <x v="590"/>
    <x v="2"/>
    <x v="0"/>
    <x v="2"/>
    <x v="221"/>
    <x v="5"/>
    <x v="176"/>
    <x v="1"/>
  </r>
  <r>
    <x v="11"/>
    <x v="32"/>
    <x v="1017"/>
    <x v="2"/>
    <x v="590"/>
    <x v="2"/>
    <x v="2"/>
    <x v="4"/>
    <x v="221"/>
    <x v="10"/>
    <x v="177"/>
    <x v="1"/>
  </r>
  <r>
    <x v="11"/>
    <x v="0"/>
    <x v="719"/>
    <x v="1"/>
    <x v="172"/>
    <x v="2"/>
    <x v="0"/>
    <x v="2"/>
    <x v="221"/>
    <x v="9"/>
    <x v="178"/>
    <x v="1"/>
  </r>
  <r>
    <x v="11"/>
    <x v="38"/>
    <x v="556"/>
    <x v="3"/>
    <x v="389"/>
    <x v="2"/>
    <x v="0"/>
    <x v="2"/>
    <x v="221"/>
    <x v="5"/>
    <x v="179"/>
    <x v="1"/>
  </r>
  <r>
    <x v="11"/>
    <x v="0"/>
    <x v="518"/>
    <x v="1"/>
    <x v="349"/>
    <x v="2"/>
    <x v="0"/>
    <x v="2"/>
    <x v="221"/>
    <x v="9"/>
    <x v="180"/>
    <x v="1"/>
  </r>
  <r>
    <x v="11"/>
    <x v="0"/>
    <x v="518"/>
    <x v="1"/>
    <x v="261"/>
    <x v="2"/>
    <x v="0"/>
    <x v="2"/>
    <x v="221"/>
    <x v="9"/>
    <x v="181"/>
    <x v="1"/>
  </r>
  <r>
    <x v="11"/>
    <x v="32"/>
    <x v="511"/>
    <x v="6"/>
    <x v="590"/>
    <x v="2"/>
    <x v="2"/>
    <x v="4"/>
    <x v="221"/>
    <x v="10"/>
    <x v="182"/>
    <x v="1"/>
  </r>
  <r>
    <x v="11"/>
    <x v="12"/>
    <x v="473"/>
    <x v="0"/>
    <x v="590"/>
    <x v="2"/>
    <x v="0"/>
    <x v="2"/>
    <x v="221"/>
    <x v="5"/>
    <x v="183"/>
    <x v="1"/>
  </r>
  <r>
    <x v="11"/>
    <x v="13"/>
    <x v="287"/>
    <x v="3"/>
    <x v="590"/>
    <x v="2"/>
    <x v="0"/>
    <x v="2"/>
    <x v="221"/>
    <x v="5"/>
    <x v="184"/>
    <x v="1"/>
  </r>
  <r>
    <x v="11"/>
    <x v="38"/>
    <x v="228"/>
    <x v="0"/>
    <x v="590"/>
    <x v="2"/>
    <x v="0"/>
    <x v="2"/>
    <x v="221"/>
    <x v="5"/>
    <x v="185"/>
    <x v="1"/>
  </r>
  <r>
    <x v="11"/>
    <x v="28"/>
    <x v="201"/>
    <x v="3"/>
    <x v="590"/>
    <x v="2"/>
    <x v="0"/>
    <x v="2"/>
    <x v="221"/>
    <x v="0"/>
    <x v="186"/>
    <x v="1"/>
  </r>
  <r>
    <x v="11"/>
    <x v="1"/>
    <x v="85"/>
    <x v="3"/>
    <x v="431"/>
    <x v="2"/>
    <x v="0"/>
    <x v="2"/>
    <x v="221"/>
    <x v="4"/>
    <x v="187"/>
    <x v="1"/>
  </r>
  <r>
    <x v="11"/>
    <x v="37"/>
    <x v="53"/>
    <x v="3"/>
    <x v="590"/>
    <x v="2"/>
    <x v="0"/>
    <x v="2"/>
    <x v="221"/>
    <x v="12"/>
    <x v="188"/>
    <x v="1"/>
  </r>
  <r>
    <x v="11"/>
    <x v="11"/>
    <x v="33"/>
    <x v="3"/>
    <x v="202"/>
    <x v="2"/>
    <x v="0"/>
    <x v="2"/>
    <x v="221"/>
    <x v="2"/>
    <x v="189"/>
    <x v="1"/>
  </r>
  <r>
    <x v="11"/>
    <x v="38"/>
    <x v="27"/>
    <x v="3"/>
    <x v="112"/>
    <x v="2"/>
    <x v="0"/>
    <x v="2"/>
    <x v="221"/>
    <x v="5"/>
    <x v="190"/>
    <x v="1"/>
  </r>
  <r>
    <x v="11"/>
    <x v="38"/>
    <x v="25"/>
    <x v="3"/>
    <x v="334"/>
    <x v="2"/>
    <x v="0"/>
    <x v="2"/>
    <x v="221"/>
    <x v="5"/>
    <x v="191"/>
    <x v="1"/>
  </r>
  <r>
    <x v="12"/>
    <x v="32"/>
    <x v="1851"/>
    <x v="7"/>
    <x v="590"/>
    <x v="2"/>
    <x v="2"/>
    <x v="4"/>
    <x v="221"/>
    <x v="10"/>
    <x v="192"/>
    <x v="1"/>
  </r>
  <r>
    <x v="12"/>
    <x v="19"/>
    <x v="1732"/>
    <x v="0"/>
    <x v="590"/>
    <x v="2"/>
    <x v="0"/>
    <x v="2"/>
    <x v="221"/>
    <x v="3"/>
    <x v="193"/>
    <x v="1"/>
  </r>
  <r>
    <x v="12"/>
    <x v="9"/>
    <x v="1367"/>
    <x v="0"/>
    <x v="590"/>
    <x v="2"/>
    <x v="0"/>
    <x v="2"/>
    <x v="221"/>
    <x v="5"/>
    <x v="194"/>
    <x v="1"/>
  </r>
  <r>
    <x v="12"/>
    <x v="20"/>
    <x v="1318"/>
    <x v="0"/>
    <x v="590"/>
    <x v="2"/>
    <x v="0"/>
    <x v="2"/>
    <x v="221"/>
    <x v="5"/>
    <x v="195"/>
    <x v="1"/>
  </r>
  <r>
    <x v="12"/>
    <x v="32"/>
    <x v="1160"/>
    <x v="3"/>
    <x v="590"/>
    <x v="2"/>
    <x v="2"/>
    <x v="4"/>
    <x v="221"/>
    <x v="10"/>
    <x v="196"/>
    <x v="1"/>
  </r>
  <r>
    <x v="12"/>
    <x v="13"/>
    <x v="1104"/>
    <x v="0"/>
    <x v="590"/>
    <x v="2"/>
    <x v="0"/>
    <x v="2"/>
    <x v="221"/>
    <x v="5"/>
    <x v="197"/>
    <x v="1"/>
  </r>
  <r>
    <x v="12"/>
    <x v="30"/>
    <x v="869"/>
    <x v="3"/>
    <x v="590"/>
    <x v="2"/>
    <x v="0"/>
    <x v="2"/>
    <x v="221"/>
    <x v="3"/>
    <x v="198"/>
    <x v="1"/>
  </r>
  <r>
    <x v="12"/>
    <x v="12"/>
    <x v="546"/>
    <x v="0"/>
    <x v="590"/>
    <x v="2"/>
    <x v="0"/>
    <x v="2"/>
    <x v="221"/>
    <x v="5"/>
    <x v="199"/>
    <x v="1"/>
  </r>
  <r>
    <x v="12"/>
    <x v="32"/>
    <x v="512"/>
    <x v="6"/>
    <x v="590"/>
    <x v="2"/>
    <x v="2"/>
    <x v="4"/>
    <x v="221"/>
    <x v="10"/>
    <x v="200"/>
    <x v="1"/>
  </r>
  <r>
    <x v="12"/>
    <x v="32"/>
    <x v="464"/>
    <x v="2"/>
    <x v="590"/>
    <x v="2"/>
    <x v="2"/>
    <x v="4"/>
    <x v="221"/>
    <x v="10"/>
    <x v="201"/>
    <x v="1"/>
  </r>
  <r>
    <x v="12"/>
    <x v="8"/>
    <x v="449"/>
    <x v="0"/>
    <x v="590"/>
    <x v="2"/>
    <x v="0"/>
    <x v="2"/>
    <x v="221"/>
    <x v="5"/>
    <x v="202"/>
    <x v="1"/>
  </r>
  <r>
    <x v="12"/>
    <x v="32"/>
    <x v="419"/>
    <x v="5"/>
    <x v="590"/>
    <x v="2"/>
    <x v="2"/>
    <x v="4"/>
    <x v="221"/>
    <x v="10"/>
    <x v="203"/>
    <x v="1"/>
  </r>
  <r>
    <x v="12"/>
    <x v="12"/>
    <x v="417"/>
    <x v="3"/>
    <x v="191"/>
    <x v="2"/>
    <x v="0"/>
    <x v="2"/>
    <x v="221"/>
    <x v="5"/>
    <x v="204"/>
    <x v="1"/>
  </r>
  <r>
    <x v="12"/>
    <x v="38"/>
    <x v="234"/>
    <x v="0"/>
    <x v="590"/>
    <x v="2"/>
    <x v="0"/>
    <x v="2"/>
    <x v="221"/>
    <x v="5"/>
    <x v="205"/>
    <x v="1"/>
  </r>
  <r>
    <x v="12"/>
    <x v="37"/>
    <x v="40"/>
    <x v="3"/>
    <x v="590"/>
    <x v="2"/>
    <x v="0"/>
    <x v="2"/>
    <x v="221"/>
    <x v="12"/>
    <x v="206"/>
    <x v="1"/>
  </r>
  <r>
    <x v="12"/>
    <x v="12"/>
    <x v="24"/>
    <x v="3"/>
    <x v="590"/>
    <x v="2"/>
    <x v="0"/>
    <x v="2"/>
    <x v="221"/>
    <x v="5"/>
    <x v="207"/>
    <x v="1"/>
  </r>
  <r>
    <x v="13"/>
    <x v="32"/>
    <x v="1695"/>
    <x v="7"/>
    <x v="590"/>
    <x v="2"/>
    <x v="2"/>
    <x v="4"/>
    <x v="221"/>
    <x v="10"/>
    <x v="208"/>
    <x v="1"/>
  </r>
  <r>
    <x v="13"/>
    <x v="9"/>
    <x v="1064"/>
    <x v="0"/>
    <x v="590"/>
    <x v="2"/>
    <x v="0"/>
    <x v="2"/>
    <x v="221"/>
    <x v="5"/>
    <x v="209"/>
    <x v="1"/>
  </r>
  <r>
    <x v="13"/>
    <x v="32"/>
    <x v="941"/>
    <x v="3"/>
    <x v="590"/>
    <x v="2"/>
    <x v="2"/>
    <x v="4"/>
    <x v="221"/>
    <x v="10"/>
    <x v="210"/>
    <x v="1"/>
  </r>
  <r>
    <x v="13"/>
    <x v="12"/>
    <x v="798"/>
    <x v="0"/>
    <x v="590"/>
    <x v="2"/>
    <x v="0"/>
    <x v="2"/>
    <x v="221"/>
    <x v="5"/>
    <x v="211"/>
    <x v="1"/>
  </r>
  <r>
    <x v="13"/>
    <x v="32"/>
    <x v="600"/>
    <x v="5"/>
    <x v="590"/>
    <x v="2"/>
    <x v="2"/>
    <x v="4"/>
    <x v="221"/>
    <x v="10"/>
    <x v="212"/>
    <x v="1"/>
  </r>
  <r>
    <x v="13"/>
    <x v="20"/>
    <x v="497"/>
    <x v="0"/>
    <x v="590"/>
    <x v="2"/>
    <x v="0"/>
    <x v="2"/>
    <x v="221"/>
    <x v="5"/>
    <x v="213"/>
    <x v="1"/>
  </r>
  <r>
    <x v="13"/>
    <x v="12"/>
    <x v="287"/>
    <x v="3"/>
    <x v="509"/>
    <x v="2"/>
    <x v="0"/>
    <x v="2"/>
    <x v="221"/>
    <x v="5"/>
    <x v="214"/>
    <x v="1"/>
  </r>
  <r>
    <x v="13"/>
    <x v="38"/>
    <x v="261"/>
    <x v="0"/>
    <x v="590"/>
    <x v="2"/>
    <x v="0"/>
    <x v="2"/>
    <x v="221"/>
    <x v="5"/>
    <x v="215"/>
    <x v="1"/>
  </r>
  <r>
    <x v="13"/>
    <x v="32"/>
    <x v="243"/>
    <x v="6"/>
    <x v="590"/>
    <x v="2"/>
    <x v="2"/>
    <x v="4"/>
    <x v="221"/>
    <x v="10"/>
    <x v="216"/>
    <x v="1"/>
  </r>
  <r>
    <x v="13"/>
    <x v="1"/>
    <x v="100"/>
    <x v="3"/>
    <x v="590"/>
    <x v="2"/>
    <x v="0"/>
    <x v="2"/>
    <x v="221"/>
    <x v="4"/>
    <x v="217"/>
    <x v="1"/>
  </r>
  <r>
    <x v="13"/>
    <x v="37"/>
    <x v="53"/>
    <x v="3"/>
    <x v="590"/>
    <x v="2"/>
    <x v="0"/>
    <x v="2"/>
    <x v="221"/>
    <x v="12"/>
    <x v="218"/>
    <x v="1"/>
  </r>
  <r>
    <x v="13"/>
    <x v="23"/>
    <x v="24"/>
    <x v="3"/>
    <x v="590"/>
    <x v="2"/>
    <x v="0"/>
    <x v="2"/>
    <x v="221"/>
    <x v="6"/>
    <x v="219"/>
    <x v="1"/>
  </r>
  <r>
    <x v="13"/>
    <x v="16"/>
    <x v="19"/>
    <x v="3"/>
    <x v="590"/>
    <x v="2"/>
    <x v="0"/>
    <x v="2"/>
    <x v="221"/>
    <x v="6"/>
    <x v="220"/>
    <x v="1"/>
  </r>
  <r>
    <x v="13"/>
    <x v="32"/>
    <x v="12"/>
    <x v="2"/>
    <x v="590"/>
    <x v="2"/>
    <x v="2"/>
    <x v="4"/>
    <x v="221"/>
    <x v="10"/>
    <x v="221"/>
    <x v="1"/>
  </r>
  <r>
    <x v="14"/>
    <x v="32"/>
    <x v="1854"/>
    <x v="7"/>
    <x v="590"/>
    <x v="2"/>
    <x v="2"/>
    <x v="4"/>
    <x v="221"/>
    <x v="10"/>
    <x v="222"/>
    <x v="1"/>
  </r>
  <r>
    <x v="14"/>
    <x v="0"/>
    <x v="1146"/>
    <x v="1"/>
    <x v="298"/>
    <x v="2"/>
    <x v="0"/>
    <x v="2"/>
    <x v="221"/>
    <x v="9"/>
    <x v="223"/>
    <x v="1"/>
  </r>
  <r>
    <x v="14"/>
    <x v="32"/>
    <x v="982"/>
    <x v="3"/>
    <x v="590"/>
    <x v="2"/>
    <x v="2"/>
    <x v="4"/>
    <x v="221"/>
    <x v="10"/>
    <x v="224"/>
    <x v="1"/>
  </r>
  <r>
    <x v="14"/>
    <x v="3"/>
    <x v="869"/>
    <x v="1"/>
    <x v="153"/>
    <x v="2"/>
    <x v="0"/>
    <x v="2"/>
    <x v="221"/>
    <x v="4"/>
    <x v="225"/>
    <x v="1"/>
  </r>
  <r>
    <x v="14"/>
    <x v="9"/>
    <x v="745"/>
    <x v="0"/>
    <x v="590"/>
    <x v="2"/>
    <x v="0"/>
    <x v="2"/>
    <x v="221"/>
    <x v="5"/>
    <x v="226"/>
    <x v="1"/>
  </r>
  <r>
    <x v="14"/>
    <x v="0"/>
    <x v="719"/>
    <x v="0"/>
    <x v="566"/>
    <x v="2"/>
    <x v="0"/>
    <x v="2"/>
    <x v="221"/>
    <x v="9"/>
    <x v="227"/>
    <x v="0"/>
  </r>
  <r>
    <x v="14"/>
    <x v="13"/>
    <x v="582"/>
    <x v="0"/>
    <x v="590"/>
    <x v="2"/>
    <x v="0"/>
    <x v="2"/>
    <x v="221"/>
    <x v="5"/>
    <x v="228"/>
    <x v="1"/>
  </r>
  <r>
    <x v="14"/>
    <x v="32"/>
    <x v="566"/>
    <x v="5"/>
    <x v="590"/>
    <x v="2"/>
    <x v="2"/>
    <x v="4"/>
    <x v="221"/>
    <x v="10"/>
    <x v="229"/>
    <x v="1"/>
  </r>
  <r>
    <x v="14"/>
    <x v="8"/>
    <x v="449"/>
    <x v="0"/>
    <x v="590"/>
    <x v="2"/>
    <x v="0"/>
    <x v="2"/>
    <x v="221"/>
    <x v="5"/>
    <x v="230"/>
    <x v="1"/>
  </r>
  <r>
    <x v="14"/>
    <x v="12"/>
    <x v="448"/>
    <x v="0"/>
    <x v="590"/>
    <x v="2"/>
    <x v="0"/>
    <x v="2"/>
    <x v="221"/>
    <x v="5"/>
    <x v="231"/>
    <x v="1"/>
  </r>
  <r>
    <x v="14"/>
    <x v="20"/>
    <x v="177"/>
    <x v="0"/>
    <x v="590"/>
    <x v="2"/>
    <x v="0"/>
    <x v="2"/>
    <x v="221"/>
    <x v="5"/>
    <x v="232"/>
    <x v="1"/>
  </r>
  <r>
    <x v="14"/>
    <x v="38"/>
    <x v="89"/>
    <x v="0"/>
    <x v="590"/>
    <x v="2"/>
    <x v="0"/>
    <x v="2"/>
    <x v="221"/>
    <x v="5"/>
    <x v="233"/>
    <x v="1"/>
  </r>
  <r>
    <x v="14"/>
    <x v="0"/>
    <x v="87"/>
    <x v="3"/>
    <x v="306"/>
    <x v="2"/>
    <x v="0"/>
    <x v="2"/>
    <x v="221"/>
    <x v="9"/>
    <x v="234"/>
    <x v="1"/>
  </r>
  <r>
    <x v="14"/>
    <x v="32"/>
    <x v="83"/>
    <x v="8"/>
    <x v="590"/>
    <x v="2"/>
    <x v="2"/>
    <x v="4"/>
    <x v="221"/>
    <x v="10"/>
    <x v="235"/>
    <x v="1"/>
  </r>
  <r>
    <x v="14"/>
    <x v="3"/>
    <x v="69"/>
    <x v="3"/>
    <x v="153"/>
    <x v="2"/>
    <x v="0"/>
    <x v="2"/>
    <x v="221"/>
    <x v="4"/>
    <x v="236"/>
    <x v="1"/>
  </r>
  <r>
    <x v="14"/>
    <x v="37"/>
    <x v="53"/>
    <x v="3"/>
    <x v="590"/>
    <x v="2"/>
    <x v="0"/>
    <x v="2"/>
    <x v="221"/>
    <x v="12"/>
    <x v="237"/>
    <x v="1"/>
  </r>
  <r>
    <x v="14"/>
    <x v="12"/>
    <x v="25"/>
    <x v="3"/>
    <x v="590"/>
    <x v="2"/>
    <x v="0"/>
    <x v="2"/>
    <x v="221"/>
    <x v="5"/>
    <x v="238"/>
    <x v="1"/>
  </r>
  <r>
    <x v="14"/>
    <x v="38"/>
    <x v="12"/>
    <x v="3"/>
    <x v="334"/>
    <x v="2"/>
    <x v="0"/>
    <x v="2"/>
    <x v="221"/>
    <x v="5"/>
    <x v="239"/>
    <x v="1"/>
  </r>
  <r>
    <x v="14"/>
    <x v="32"/>
    <x v="5"/>
    <x v="6"/>
    <x v="590"/>
    <x v="2"/>
    <x v="2"/>
    <x v="4"/>
    <x v="221"/>
    <x v="10"/>
    <x v="240"/>
    <x v="1"/>
  </r>
  <r>
    <x v="15"/>
    <x v="32"/>
    <x v="1836"/>
    <x v="7"/>
    <x v="422"/>
    <x v="2"/>
    <x v="2"/>
    <x v="4"/>
    <x v="221"/>
    <x v="10"/>
    <x v="241"/>
    <x v="1"/>
  </r>
  <r>
    <x v="15"/>
    <x v="20"/>
    <x v="1398"/>
    <x v="0"/>
    <x v="61"/>
    <x v="2"/>
    <x v="0"/>
    <x v="2"/>
    <x v="221"/>
    <x v="5"/>
    <x v="242"/>
    <x v="1"/>
  </r>
  <r>
    <x v="15"/>
    <x v="9"/>
    <x v="1374"/>
    <x v="0"/>
    <x v="229"/>
    <x v="2"/>
    <x v="0"/>
    <x v="2"/>
    <x v="221"/>
    <x v="5"/>
    <x v="243"/>
    <x v="1"/>
  </r>
  <r>
    <x v="15"/>
    <x v="32"/>
    <x v="1280"/>
    <x v="3"/>
    <x v="116"/>
    <x v="2"/>
    <x v="2"/>
    <x v="4"/>
    <x v="221"/>
    <x v="10"/>
    <x v="244"/>
    <x v="1"/>
  </r>
  <r>
    <x v="15"/>
    <x v="32"/>
    <x v="616"/>
    <x v="5"/>
    <x v="532"/>
    <x v="2"/>
    <x v="2"/>
    <x v="4"/>
    <x v="221"/>
    <x v="10"/>
    <x v="245"/>
    <x v="1"/>
  </r>
  <r>
    <x v="15"/>
    <x v="8"/>
    <x v="449"/>
    <x v="0"/>
    <x v="236"/>
    <x v="2"/>
    <x v="0"/>
    <x v="2"/>
    <x v="221"/>
    <x v="5"/>
    <x v="246"/>
    <x v="1"/>
  </r>
  <r>
    <x v="15"/>
    <x v="12"/>
    <x v="428"/>
    <x v="0"/>
    <x v="48"/>
    <x v="2"/>
    <x v="0"/>
    <x v="2"/>
    <x v="221"/>
    <x v="5"/>
    <x v="247"/>
    <x v="1"/>
  </r>
  <r>
    <x v="15"/>
    <x v="15"/>
    <x v="401"/>
    <x v="3"/>
    <x v="353"/>
    <x v="2"/>
    <x v="0"/>
    <x v="2"/>
    <x v="221"/>
    <x v="4"/>
    <x v="248"/>
    <x v="1"/>
  </r>
  <r>
    <x v="15"/>
    <x v="38"/>
    <x v="375"/>
    <x v="0"/>
    <x v="213"/>
    <x v="2"/>
    <x v="0"/>
    <x v="2"/>
    <x v="221"/>
    <x v="5"/>
    <x v="249"/>
    <x v="1"/>
  </r>
  <r>
    <x v="15"/>
    <x v="32"/>
    <x v="357"/>
    <x v="6"/>
    <x v="562"/>
    <x v="2"/>
    <x v="2"/>
    <x v="4"/>
    <x v="221"/>
    <x v="10"/>
    <x v="250"/>
    <x v="1"/>
  </r>
  <r>
    <x v="15"/>
    <x v="32"/>
    <x v="239"/>
    <x v="7"/>
    <x v="589"/>
    <x v="2"/>
    <x v="2"/>
    <x v="4"/>
    <x v="221"/>
    <x v="10"/>
    <x v="251"/>
    <x v="1"/>
  </r>
  <r>
    <x v="15"/>
    <x v="26"/>
    <x v="90"/>
    <x v="3"/>
    <x v="338"/>
    <x v="2"/>
    <x v="0"/>
    <x v="2"/>
    <x v="221"/>
    <x v="5"/>
    <x v="252"/>
    <x v="1"/>
  </r>
  <r>
    <x v="15"/>
    <x v="37"/>
    <x v="37"/>
    <x v="3"/>
    <x v="529"/>
    <x v="2"/>
    <x v="0"/>
    <x v="2"/>
    <x v="221"/>
    <x v="12"/>
    <x v="253"/>
    <x v="1"/>
  </r>
  <r>
    <x v="16"/>
    <x v="32"/>
    <x v="1966"/>
    <x v="7"/>
    <x v="422"/>
    <x v="2"/>
    <x v="2"/>
    <x v="4"/>
    <x v="221"/>
    <x v="10"/>
    <x v="254"/>
    <x v="1"/>
  </r>
  <r>
    <x v="16"/>
    <x v="9"/>
    <x v="999"/>
    <x v="0"/>
    <x v="229"/>
    <x v="2"/>
    <x v="0"/>
    <x v="2"/>
    <x v="221"/>
    <x v="5"/>
    <x v="255"/>
    <x v="1"/>
  </r>
  <r>
    <x v="16"/>
    <x v="32"/>
    <x v="948"/>
    <x v="5"/>
    <x v="532"/>
    <x v="2"/>
    <x v="2"/>
    <x v="4"/>
    <x v="221"/>
    <x v="10"/>
    <x v="256"/>
    <x v="1"/>
  </r>
  <r>
    <x v="16"/>
    <x v="32"/>
    <x v="909"/>
    <x v="3"/>
    <x v="422"/>
    <x v="2"/>
    <x v="2"/>
    <x v="4"/>
    <x v="221"/>
    <x v="10"/>
    <x v="257"/>
    <x v="1"/>
  </r>
  <r>
    <x v="16"/>
    <x v="12"/>
    <x v="714"/>
    <x v="0"/>
    <x v="48"/>
    <x v="2"/>
    <x v="0"/>
    <x v="2"/>
    <x v="221"/>
    <x v="5"/>
    <x v="258"/>
    <x v="1"/>
  </r>
  <r>
    <x v="16"/>
    <x v="27"/>
    <x v="709"/>
    <x v="3"/>
    <x v="7"/>
    <x v="2"/>
    <x v="0"/>
    <x v="2"/>
    <x v="221"/>
    <x v="5"/>
    <x v="259"/>
    <x v="1"/>
  </r>
  <r>
    <x v="16"/>
    <x v="38"/>
    <x v="286"/>
    <x v="0"/>
    <x v="213"/>
    <x v="2"/>
    <x v="0"/>
    <x v="2"/>
    <x v="221"/>
    <x v="5"/>
    <x v="260"/>
    <x v="1"/>
  </r>
  <r>
    <x v="16"/>
    <x v="20"/>
    <x v="242"/>
    <x v="0"/>
    <x v="61"/>
    <x v="2"/>
    <x v="0"/>
    <x v="2"/>
    <x v="221"/>
    <x v="5"/>
    <x v="261"/>
    <x v="1"/>
  </r>
  <r>
    <x v="16"/>
    <x v="24"/>
    <x v="87"/>
    <x v="3"/>
    <x v="585"/>
    <x v="2"/>
    <x v="0"/>
    <x v="2"/>
    <x v="221"/>
    <x v="6"/>
    <x v="262"/>
    <x v="1"/>
  </r>
  <r>
    <x v="16"/>
    <x v="37"/>
    <x v="45"/>
    <x v="3"/>
    <x v="529"/>
    <x v="2"/>
    <x v="0"/>
    <x v="2"/>
    <x v="221"/>
    <x v="12"/>
    <x v="263"/>
    <x v="1"/>
  </r>
  <r>
    <x v="16"/>
    <x v="38"/>
    <x v="30"/>
    <x v="3"/>
    <x v="401"/>
    <x v="2"/>
    <x v="0"/>
    <x v="2"/>
    <x v="221"/>
    <x v="5"/>
    <x v="264"/>
    <x v="1"/>
  </r>
  <r>
    <x v="16"/>
    <x v="24"/>
    <x v="25"/>
    <x v="3"/>
    <x v="302"/>
    <x v="2"/>
    <x v="0"/>
    <x v="2"/>
    <x v="221"/>
    <x v="6"/>
    <x v="265"/>
    <x v="1"/>
  </r>
  <r>
    <x v="16"/>
    <x v="12"/>
    <x v="24"/>
    <x v="3"/>
    <x v="331"/>
    <x v="2"/>
    <x v="0"/>
    <x v="2"/>
    <x v="221"/>
    <x v="5"/>
    <x v="266"/>
    <x v="1"/>
  </r>
  <r>
    <x v="16"/>
    <x v="23"/>
    <x v="5"/>
    <x v="3"/>
    <x v="284"/>
    <x v="2"/>
    <x v="0"/>
    <x v="2"/>
    <x v="221"/>
    <x v="6"/>
    <x v="267"/>
    <x v="1"/>
  </r>
  <r>
    <x v="17"/>
    <x v="32"/>
    <x v="1868"/>
    <x v="7"/>
    <x v="422"/>
    <x v="2"/>
    <x v="2"/>
    <x v="4"/>
    <x v="221"/>
    <x v="10"/>
    <x v="268"/>
    <x v="1"/>
  </r>
  <r>
    <x v="17"/>
    <x v="9"/>
    <x v="1552"/>
    <x v="0"/>
    <x v="590"/>
    <x v="2"/>
    <x v="0"/>
    <x v="2"/>
    <x v="221"/>
    <x v="5"/>
    <x v="269"/>
    <x v="1"/>
  </r>
  <r>
    <x v="17"/>
    <x v="32"/>
    <x v="1514"/>
    <x v="3"/>
    <x v="422"/>
    <x v="2"/>
    <x v="2"/>
    <x v="4"/>
    <x v="221"/>
    <x v="10"/>
    <x v="270"/>
    <x v="1"/>
  </r>
  <r>
    <x v="17"/>
    <x v="20"/>
    <x v="947"/>
    <x v="0"/>
    <x v="590"/>
    <x v="2"/>
    <x v="0"/>
    <x v="2"/>
    <x v="221"/>
    <x v="5"/>
    <x v="271"/>
    <x v="1"/>
  </r>
  <r>
    <x v="17"/>
    <x v="32"/>
    <x v="879"/>
    <x v="5"/>
    <x v="532"/>
    <x v="2"/>
    <x v="2"/>
    <x v="4"/>
    <x v="221"/>
    <x v="10"/>
    <x v="272"/>
    <x v="1"/>
  </r>
  <r>
    <x v="17"/>
    <x v="32"/>
    <x v="842"/>
    <x v="2"/>
    <x v="422"/>
    <x v="2"/>
    <x v="2"/>
    <x v="4"/>
    <x v="221"/>
    <x v="10"/>
    <x v="273"/>
    <x v="1"/>
  </r>
  <r>
    <x v="17"/>
    <x v="8"/>
    <x v="779"/>
    <x v="0"/>
    <x v="590"/>
    <x v="2"/>
    <x v="0"/>
    <x v="2"/>
    <x v="221"/>
    <x v="5"/>
    <x v="274"/>
    <x v="1"/>
  </r>
  <r>
    <x v="17"/>
    <x v="3"/>
    <x v="641"/>
    <x v="1"/>
    <x v="590"/>
    <x v="2"/>
    <x v="0"/>
    <x v="2"/>
    <x v="221"/>
    <x v="4"/>
    <x v="275"/>
    <x v="1"/>
  </r>
  <r>
    <x v="17"/>
    <x v="32"/>
    <x v="632"/>
    <x v="8"/>
    <x v="422"/>
    <x v="2"/>
    <x v="2"/>
    <x v="4"/>
    <x v="221"/>
    <x v="10"/>
    <x v="276"/>
    <x v="1"/>
  </r>
  <r>
    <x v="17"/>
    <x v="12"/>
    <x v="332"/>
    <x v="0"/>
    <x v="590"/>
    <x v="2"/>
    <x v="0"/>
    <x v="2"/>
    <x v="221"/>
    <x v="5"/>
    <x v="277"/>
    <x v="1"/>
  </r>
  <r>
    <x v="17"/>
    <x v="22"/>
    <x v="318"/>
    <x v="0"/>
    <x v="590"/>
    <x v="2"/>
    <x v="0"/>
    <x v="2"/>
    <x v="221"/>
    <x v="3"/>
    <x v="278"/>
    <x v="1"/>
  </r>
  <r>
    <x v="17"/>
    <x v="38"/>
    <x v="279"/>
    <x v="0"/>
    <x v="590"/>
    <x v="2"/>
    <x v="0"/>
    <x v="2"/>
    <x v="221"/>
    <x v="5"/>
    <x v="279"/>
    <x v="1"/>
  </r>
  <r>
    <x v="17"/>
    <x v="27"/>
    <x v="191"/>
    <x v="1"/>
    <x v="411"/>
    <x v="2"/>
    <x v="0"/>
    <x v="2"/>
    <x v="221"/>
    <x v="5"/>
    <x v="280"/>
    <x v="1"/>
  </r>
  <r>
    <x v="17"/>
    <x v="32"/>
    <x v="64"/>
    <x v="6"/>
    <x v="422"/>
    <x v="2"/>
    <x v="2"/>
    <x v="4"/>
    <x v="221"/>
    <x v="10"/>
    <x v="281"/>
    <x v="1"/>
  </r>
  <r>
    <x v="17"/>
    <x v="37"/>
    <x v="45"/>
    <x v="3"/>
    <x v="529"/>
    <x v="2"/>
    <x v="0"/>
    <x v="2"/>
    <x v="221"/>
    <x v="12"/>
    <x v="282"/>
    <x v="1"/>
  </r>
  <r>
    <x v="17"/>
    <x v="12"/>
    <x v="24"/>
    <x v="3"/>
    <x v="331"/>
    <x v="2"/>
    <x v="0"/>
    <x v="2"/>
    <x v="221"/>
    <x v="5"/>
    <x v="283"/>
    <x v="1"/>
  </r>
  <r>
    <x v="17"/>
    <x v="38"/>
    <x v="19"/>
    <x v="3"/>
    <x v="334"/>
    <x v="2"/>
    <x v="0"/>
    <x v="2"/>
    <x v="221"/>
    <x v="5"/>
    <x v="284"/>
    <x v="1"/>
  </r>
  <r>
    <x v="17"/>
    <x v="23"/>
    <x v="12"/>
    <x v="3"/>
    <x v="281"/>
    <x v="2"/>
    <x v="0"/>
    <x v="2"/>
    <x v="221"/>
    <x v="6"/>
    <x v="285"/>
    <x v="1"/>
  </r>
  <r>
    <x v="17"/>
    <x v="25"/>
    <x v="12"/>
    <x v="3"/>
    <x v="67"/>
    <x v="2"/>
    <x v="0"/>
    <x v="2"/>
    <x v="221"/>
    <x v="12"/>
    <x v="286"/>
    <x v="1"/>
  </r>
  <r>
    <x v="17"/>
    <x v="3"/>
    <x v="12"/>
    <x v="3"/>
    <x v="506"/>
    <x v="2"/>
    <x v="0"/>
    <x v="2"/>
    <x v="221"/>
    <x v="4"/>
    <x v="287"/>
    <x v="1"/>
  </r>
  <r>
    <x v="18"/>
    <x v="32"/>
    <x v="1948"/>
    <x v="7"/>
    <x v="590"/>
    <x v="2"/>
    <x v="2"/>
    <x v="4"/>
    <x v="221"/>
    <x v="10"/>
    <x v="288"/>
    <x v="1"/>
  </r>
  <r>
    <x v="18"/>
    <x v="32"/>
    <x v="1437"/>
    <x v="3"/>
    <x v="590"/>
    <x v="2"/>
    <x v="2"/>
    <x v="4"/>
    <x v="221"/>
    <x v="10"/>
    <x v="289"/>
    <x v="1"/>
  </r>
  <r>
    <x v="18"/>
    <x v="20"/>
    <x v="1337"/>
    <x v="0"/>
    <x v="61"/>
    <x v="2"/>
    <x v="0"/>
    <x v="2"/>
    <x v="221"/>
    <x v="5"/>
    <x v="290"/>
    <x v="1"/>
  </r>
  <r>
    <x v="18"/>
    <x v="9"/>
    <x v="1137"/>
    <x v="0"/>
    <x v="230"/>
    <x v="2"/>
    <x v="0"/>
    <x v="2"/>
    <x v="221"/>
    <x v="5"/>
    <x v="291"/>
    <x v="1"/>
  </r>
  <r>
    <x v="18"/>
    <x v="0"/>
    <x v="869"/>
    <x v="1"/>
    <x v="172"/>
    <x v="2"/>
    <x v="0"/>
    <x v="2"/>
    <x v="221"/>
    <x v="9"/>
    <x v="292"/>
    <x v="1"/>
  </r>
  <r>
    <x v="18"/>
    <x v="32"/>
    <x v="831"/>
    <x v="5"/>
    <x v="590"/>
    <x v="2"/>
    <x v="2"/>
    <x v="4"/>
    <x v="221"/>
    <x v="10"/>
    <x v="293"/>
    <x v="1"/>
  </r>
  <r>
    <x v="18"/>
    <x v="12"/>
    <x v="792"/>
    <x v="0"/>
    <x v="18"/>
    <x v="2"/>
    <x v="0"/>
    <x v="2"/>
    <x v="221"/>
    <x v="5"/>
    <x v="294"/>
    <x v="1"/>
  </r>
  <r>
    <x v="18"/>
    <x v="13"/>
    <x v="684"/>
    <x v="0"/>
    <x v="35"/>
    <x v="2"/>
    <x v="0"/>
    <x v="2"/>
    <x v="221"/>
    <x v="5"/>
    <x v="295"/>
    <x v="1"/>
  </r>
  <r>
    <x v="18"/>
    <x v="0"/>
    <x v="518"/>
    <x v="1"/>
    <x v="450"/>
    <x v="2"/>
    <x v="0"/>
    <x v="2"/>
    <x v="221"/>
    <x v="9"/>
    <x v="296"/>
    <x v="1"/>
  </r>
  <r>
    <x v="18"/>
    <x v="32"/>
    <x v="484"/>
    <x v="6"/>
    <x v="590"/>
    <x v="2"/>
    <x v="2"/>
    <x v="4"/>
    <x v="221"/>
    <x v="10"/>
    <x v="297"/>
    <x v="1"/>
  </r>
  <r>
    <x v="18"/>
    <x v="1"/>
    <x v="398"/>
    <x v="1"/>
    <x v="431"/>
    <x v="2"/>
    <x v="0"/>
    <x v="2"/>
    <x v="221"/>
    <x v="4"/>
    <x v="298"/>
    <x v="1"/>
  </r>
  <r>
    <x v="18"/>
    <x v="32"/>
    <x v="382"/>
    <x v="8"/>
    <x v="422"/>
    <x v="2"/>
    <x v="2"/>
    <x v="4"/>
    <x v="221"/>
    <x v="10"/>
    <x v="299"/>
    <x v="1"/>
  </r>
  <r>
    <x v="18"/>
    <x v="38"/>
    <x v="322"/>
    <x v="0"/>
    <x v="226"/>
    <x v="2"/>
    <x v="0"/>
    <x v="2"/>
    <x v="221"/>
    <x v="5"/>
    <x v="300"/>
    <x v="1"/>
  </r>
  <r>
    <x v="18"/>
    <x v="32"/>
    <x v="278"/>
    <x v="2"/>
    <x v="590"/>
    <x v="2"/>
    <x v="2"/>
    <x v="4"/>
    <x v="221"/>
    <x v="10"/>
    <x v="301"/>
    <x v="1"/>
  </r>
  <r>
    <x v="18"/>
    <x v="5"/>
    <x v="229"/>
    <x v="3"/>
    <x v="550"/>
    <x v="2"/>
    <x v="0"/>
    <x v="2"/>
    <x v="221"/>
    <x v="11"/>
    <x v="302"/>
    <x v="1"/>
  </r>
  <r>
    <x v="18"/>
    <x v="37"/>
    <x v="55"/>
    <x v="1"/>
    <x v="529"/>
    <x v="2"/>
    <x v="0"/>
    <x v="2"/>
    <x v="221"/>
    <x v="12"/>
    <x v="303"/>
    <x v="1"/>
  </r>
  <r>
    <x v="18"/>
    <x v="38"/>
    <x v="53"/>
    <x v="1"/>
    <x v="389"/>
    <x v="2"/>
    <x v="0"/>
    <x v="2"/>
    <x v="221"/>
    <x v="5"/>
    <x v="304"/>
    <x v="1"/>
  </r>
  <r>
    <x v="18"/>
    <x v="0"/>
    <x v="45"/>
    <x v="1"/>
    <x v="273"/>
    <x v="2"/>
    <x v="0"/>
    <x v="2"/>
    <x v="221"/>
    <x v="9"/>
    <x v="305"/>
    <x v="1"/>
  </r>
  <r>
    <x v="18"/>
    <x v="23"/>
    <x v="33"/>
    <x v="3"/>
    <x v="284"/>
    <x v="2"/>
    <x v="0"/>
    <x v="2"/>
    <x v="221"/>
    <x v="6"/>
    <x v="306"/>
    <x v="1"/>
  </r>
  <r>
    <x v="19"/>
    <x v="32"/>
    <x v="1708"/>
    <x v="7"/>
    <x v="422"/>
    <x v="2"/>
    <x v="2"/>
    <x v="4"/>
    <x v="221"/>
    <x v="10"/>
    <x v="307"/>
    <x v="1"/>
  </r>
  <r>
    <x v="19"/>
    <x v="2"/>
    <x v="1570"/>
    <x v="1"/>
    <x v="549"/>
    <x v="2"/>
    <x v="0"/>
    <x v="2"/>
    <x v="221"/>
    <x v="1"/>
    <x v="308"/>
    <x v="1"/>
  </r>
  <r>
    <x v="19"/>
    <x v="9"/>
    <x v="1472"/>
    <x v="0"/>
    <x v="230"/>
    <x v="2"/>
    <x v="0"/>
    <x v="2"/>
    <x v="221"/>
    <x v="5"/>
    <x v="309"/>
    <x v="1"/>
  </r>
  <r>
    <x v="19"/>
    <x v="32"/>
    <x v="1288"/>
    <x v="3"/>
    <x v="422"/>
    <x v="2"/>
    <x v="2"/>
    <x v="4"/>
    <x v="221"/>
    <x v="10"/>
    <x v="310"/>
    <x v="1"/>
  </r>
  <r>
    <x v="19"/>
    <x v="20"/>
    <x v="1164"/>
    <x v="0"/>
    <x v="61"/>
    <x v="2"/>
    <x v="0"/>
    <x v="2"/>
    <x v="221"/>
    <x v="5"/>
    <x v="311"/>
    <x v="1"/>
  </r>
  <r>
    <x v="19"/>
    <x v="32"/>
    <x v="833"/>
    <x v="5"/>
    <x v="532"/>
    <x v="2"/>
    <x v="2"/>
    <x v="4"/>
    <x v="221"/>
    <x v="10"/>
    <x v="312"/>
    <x v="1"/>
  </r>
  <r>
    <x v="19"/>
    <x v="38"/>
    <x v="791"/>
    <x v="1"/>
    <x v="389"/>
    <x v="2"/>
    <x v="0"/>
    <x v="2"/>
    <x v="221"/>
    <x v="5"/>
    <x v="313"/>
    <x v="1"/>
  </r>
  <r>
    <x v="19"/>
    <x v="32"/>
    <x v="744"/>
    <x v="6"/>
    <x v="422"/>
    <x v="2"/>
    <x v="2"/>
    <x v="4"/>
    <x v="221"/>
    <x v="10"/>
    <x v="314"/>
    <x v="1"/>
  </r>
  <r>
    <x v="19"/>
    <x v="12"/>
    <x v="629"/>
    <x v="0"/>
    <x v="18"/>
    <x v="2"/>
    <x v="0"/>
    <x v="2"/>
    <x v="221"/>
    <x v="5"/>
    <x v="315"/>
    <x v="1"/>
  </r>
  <r>
    <x v="19"/>
    <x v="8"/>
    <x v="449"/>
    <x v="0"/>
    <x v="237"/>
    <x v="2"/>
    <x v="0"/>
    <x v="2"/>
    <x v="221"/>
    <x v="5"/>
    <x v="316"/>
    <x v="1"/>
  </r>
  <r>
    <x v="19"/>
    <x v="38"/>
    <x v="209"/>
    <x v="0"/>
    <x v="226"/>
    <x v="2"/>
    <x v="0"/>
    <x v="2"/>
    <x v="221"/>
    <x v="5"/>
    <x v="317"/>
    <x v="1"/>
  </r>
  <r>
    <x v="19"/>
    <x v="37"/>
    <x v="48"/>
    <x v="1"/>
    <x v="529"/>
    <x v="2"/>
    <x v="0"/>
    <x v="2"/>
    <x v="221"/>
    <x v="12"/>
    <x v="318"/>
    <x v="1"/>
  </r>
  <r>
    <x v="19"/>
    <x v="23"/>
    <x v="19"/>
    <x v="3"/>
    <x v="284"/>
    <x v="2"/>
    <x v="0"/>
    <x v="2"/>
    <x v="221"/>
    <x v="6"/>
    <x v="319"/>
    <x v="1"/>
  </r>
  <r>
    <x v="20"/>
    <x v="32"/>
    <x v="1814"/>
    <x v="7"/>
    <x v="422"/>
    <x v="2"/>
    <x v="2"/>
    <x v="4"/>
    <x v="221"/>
    <x v="10"/>
    <x v="320"/>
    <x v="1"/>
  </r>
  <r>
    <x v="20"/>
    <x v="32"/>
    <x v="1202"/>
    <x v="3"/>
    <x v="422"/>
    <x v="2"/>
    <x v="2"/>
    <x v="4"/>
    <x v="221"/>
    <x v="10"/>
    <x v="321"/>
    <x v="1"/>
  </r>
  <r>
    <x v="20"/>
    <x v="32"/>
    <x v="1079"/>
    <x v="5"/>
    <x v="532"/>
    <x v="2"/>
    <x v="2"/>
    <x v="4"/>
    <x v="221"/>
    <x v="10"/>
    <x v="322"/>
    <x v="1"/>
  </r>
  <r>
    <x v="20"/>
    <x v="20"/>
    <x v="1063"/>
    <x v="0"/>
    <x v="62"/>
    <x v="2"/>
    <x v="0"/>
    <x v="2"/>
    <x v="221"/>
    <x v="5"/>
    <x v="323"/>
    <x v="1"/>
  </r>
  <r>
    <x v="20"/>
    <x v="9"/>
    <x v="824"/>
    <x v="0"/>
    <x v="230"/>
    <x v="2"/>
    <x v="0"/>
    <x v="2"/>
    <x v="221"/>
    <x v="5"/>
    <x v="324"/>
    <x v="1"/>
  </r>
  <r>
    <x v="20"/>
    <x v="12"/>
    <x v="644"/>
    <x v="0"/>
    <x v="171"/>
    <x v="2"/>
    <x v="0"/>
    <x v="2"/>
    <x v="221"/>
    <x v="5"/>
    <x v="325"/>
    <x v="1"/>
  </r>
  <r>
    <x v="20"/>
    <x v="15"/>
    <x v="534"/>
    <x v="3"/>
    <x v="355"/>
    <x v="2"/>
    <x v="0"/>
    <x v="2"/>
    <x v="221"/>
    <x v="4"/>
    <x v="326"/>
    <x v="1"/>
  </r>
  <r>
    <x v="20"/>
    <x v="20"/>
    <x v="337"/>
    <x v="1"/>
    <x v="24"/>
    <x v="2"/>
    <x v="0"/>
    <x v="2"/>
    <x v="221"/>
    <x v="5"/>
    <x v="327"/>
    <x v="1"/>
  </r>
  <r>
    <x v="20"/>
    <x v="32"/>
    <x v="334"/>
    <x v="8"/>
    <x v="422"/>
    <x v="2"/>
    <x v="2"/>
    <x v="4"/>
    <x v="221"/>
    <x v="10"/>
    <x v="328"/>
    <x v="1"/>
  </r>
  <r>
    <x v="20"/>
    <x v="0"/>
    <x v="256"/>
    <x v="1"/>
    <x v="55"/>
    <x v="2"/>
    <x v="0"/>
    <x v="2"/>
    <x v="221"/>
    <x v="9"/>
    <x v="329"/>
    <x v="1"/>
  </r>
  <r>
    <x v="20"/>
    <x v="38"/>
    <x v="252"/>
    <x v="0"/>
    <x v="226"/>
    <x v="2"/>
    <x v="0"/>
    <x v="2"/>
    <x v="221"/>
    <x v="5"/>
    <x v="330"/>
    <x v="1"/>
  </r>
  <r>
    <x v="20"/>
    <x v="32"/>
    <x v="244"/>
    <x v="2"/>
    <x v="422"/>
    <x v="2"/>
    <x v="2"/>
    <x v="4"/>
    <x v="221"/>
    <x v="10"/>
    <x v="331"/>
    <x v="1"/>
  </r>
  <r>
    <x v="20"/>
    <x v="37"/>
    <x v="48"/>
    <x v="1"/>
    <x v="529"/>
    <x v="2"/>
    <x v="0"/>
    <x v="2"/>
    <x v="221"/>
    <x v="12"/>
    <x v="332"/>
    <x v="1"/>
  </r>
  <r>
    <x v="20"/>
    <x v="32"/>
    <x v="27"/>
    <x v="6"/>
    <x v="422"/>
    <x v="2"/>
    <x v="2"/>
    <x v="4"/>
    <x v="221"/>
    <x v="10"/>
    <x v="333"/>
    <x v="1"/>
  </r>
  <r>
    <x v="20"/>
    <x v="23"/>
    <x v="25"/>
    <x v="3"/>
    <x v="284"/>
    <x v="2"/>
    <x v="0"/>
    <x v="2"/>
    <x v="221"/>
    <x v="6"/>
    <x v="334"/>
    <x v="1"/>
  </r>
  <r>
    <x v="20"/>
    <x v="12"/>
    <x v="24"/>
    <x v="1"/>
    <x v="331"/>
    <x v="2"/>
    <x v="0"/>
    <x v="2"/>
    <x v="221"/>
    <x v="5"/>
    <x v="335"/>
    <x v="1"/>
  </r>
  <r>
    <x v="20"/>
    <x v="38"/>
    <x v="12"/>
    <x v="3"/>
    <x v="444"/>
    <x v="2"/>
    <x v="0"/>
    <x v="2"/>
    <x v="221"/>
    <x v="5"/>
    <x v="336"/>
    <x v="1"/>
  </r>
  <r>
    <x v="21"/>
    <x v="32"/>
    <x v="1805"/>
    <x v="7"/>
    <x v="421"/>
    <x v="2"/>
    <x v="2"/>
    <x v="4"/>
    <x v="221"/>
    <x v="10"/>
    <x v="337"/>
    <x v="1"/>
  </r>
  <r>
    <x v="21"/>
    <x v="9"/>
    <x v="1429"/>
    <x v="0"/>
    <x v="230"/>
    <x v="2"/>
    <x v="0"/>
    <x v="2"/>
    <x v="221"/>
    <x v="5"/>
    <x v="338"/>
    <x v="1"/>
  </r>
  <r>
    <x v="21"/>
    <x v="32"/>
    <x v="1376"/>
    <x v="3"/>
    <x v="421"/>
    <x v="2"/>
    <x v="2"/>
    <x v="4"/>
    <x v="221"/>
    <x v="10"/>
    <x v="339"/>
    <x v="1"/>
  </r>
  <r>
    <x v="21"/>
    <x v="32"/>
    <x v="999"/>
    <x v="8"/>
    <x v="421"/>
    <x v="2"/>
    <x v="2"/>
    <x v="4"/>
    <x v="221"/>
    <x v="10"/>
    <x v="340"/>
    <x v="1"/>
  </r>
  <r>
    <x v="21"/>
    <x v="5"/>
    <x v="852"/>
    <x v="3"/>
    <x v="117"/>
    <x v="2"/>
    <x v="0"/>
    <x v="2"/>
    <x v="221"/>
    <x v="11"/>
    <x v="341"/>
    <x v="1"/>
  </r>
  <r>
    <x v="21"/>
    <x v="32"/>
    <x v="645"/>
    <x v="5"/>
    <x v="532"/>
    <x v="2"/>
    <x v="2"/>
    <x v="4"/>
    <x v="221"/>
    <x v="10"/>
    <x v="342"/>
    <x v="1"/>
  </r>
  <r>
    <x v="21"/>
    <x v="12"/>
    <x v="505"/>
    <x v="0"/>
    <x v="18"/>
    <x v="2"/>
    <x v="0"/>
    <x v="2"/>
    <x v="221"/>
    <x v="5"/>
    <x v="343"/>
    <x v="1"/>
  </r>
  <r>
    <x v="21"/>
    <x v="32"/>
    <x v="239"/>
    <x v="6"/>
    <x v="421"/>
    <x v="2"/>
    <x v="2"/>
    <x v="4"/>
    <x v="221"/>
    <x v="10"/>
    <x v="344"/>
    <x v="1"/>
  </r>
  <r>
    <x v="21"/>
    <x v="32"/>
    <x v="180"/>
    <x v="2"/>
    <x v="421"/>
    <x v="2"/>
    <x v="2"/>
    <x v="4"/>
    <x v="221"/>
    <x v="10"/>
    <x v="345"/>
    <x v="1"/>
  </r>
  <r>
    <x v="21"/>
    <x v="38"/>
    <x v="161"/>
    <x v="0"/>
    <x v="226"/>
    <x v="2"/>
    <x v="0"/>
    <x v="2"/>
    <x v="221"/>
    <x v="5"/>
    <x v="346"/>
    <x v="1"/>
  </r>
  <r>
    <x v="21"/>
    <x v="12"/>
    <x v="134"/>
    <x v="1"/>
    <x v="416"/>
    <x v="2"/>
    <x v="0"/>
    <x v="2"/>
    <x v="221"/>
    <x v="5"/>
    <x v="347"/>
    <x v="1"/>
  </r>
  <r>
    <x v="21"/>
    <x v="37"/>
    <x v="45"/>
    <x v="1"/>
    <x v="529"/>
    <x v="2"/>
    <x v="0"/>
    <x v="2"/>
    <x v="221"/>
    <x v="12"/>
    <x v="348"/>
    <x v="1"/>
  </r>
  <r>
    <x v="21"/>
    <x v="38"/>
    <x v="33"/>
    <x v="1"/>
    <x v="401"/>
    <x v="2"/>
    <x v="0"/>
    <x v="2"/>
    <x v="221"/>
    <x v="5"/>
    <x v="349"/>
    <x v="1"/>
  </r>
  <r>
    <x v="21"/>
    <x v="38"/>
    <x v="5"/>
    <x v="3"/>
    <x v="444"/>
    <x v="2"/>
    <x v="0"/>
    <x v="2"/>
    <x v="221"/>
    <x v="5"/>
    <x v="350"/>
    <x v="1"/>
  </r>
  <r>
    <x v="22"/>
    <x v="32"/>
    <x v="1666"/>
    <x v="7"/>
    <x v="422"/>
    <x v="2"/>
    <x v="2"/>
    <x v="4"/>
    <x v="221"/>
    <x v="10"/>
    <x v="351"/>
    <x v="1"/>
  </r>
  <r>
    <x v="22"/>
    <x v="9"/>
    <x v="1321"/>
    <x v="0"/>
    <x v="230"/>
    <x v="2"/>
    <x v="0"/>
    <x v="2"/>
    <x v="221"/>
    <x v="5"/>
    <x v="352"/>
    <x v="1"/>
  </r>
  <r>
    <x v="22"/>
    <x v="20"/>
    <x v="1295"/>
    <x v="0"/>
    <x v="63"/>
    <x v="2"/>
    <x v="0"/>
    <x v="2"/>
    <x v="221"/>
    <x v="5"/>
    <x v="353"/>
    <x v="1"/>
  </r>
  <r>
    <x v="22"/>
    <x v="32"/>
    <x v="1097"/>
    <x v="5"/>
    <x v="532"/>
    <x v="2"/>
    <x v="2"/>
    <x v="4"/>
    <x v="221"/>
    <x v="10"/>
    <x v="354"/>
    <x v="1"/>
  </r>
  <r>
    <x v="22"/>
    <x v="20"/>
    <x v="985"/>
    <x v="0"/>
    <x v="63"/>
    <x v="2"/>
    <x v="0"/>
    <x v="2"/>
    <x v="221"/>
    <x v="5"/>
    <x v="355"/>
    <x v="1"/>
  </r>
  <r>
    <x v="22"/>
    <x v="32"/>
    <x v="816"/>
    <x v="3"/>
    <x v="422"/>
    <x v="2"/>
    <x v="2"/>
    <x v="4"/>
    <x v="221"/>
    <x v="10"/>
    <x v="356"/>
    <x v="1"/>
  </r>
  <r>
    <x v="22"/>
    <x v="32"/>
    <x v="305"/>
    <x v="8"/>
    <x v="422"/>
    <x v="2"/>
    <x v="2"/>
    <x v="4"/>
    <x v="221"/>
    <x v="10"/>
    <x v="357"/>
    <x v="1"/>
  </r>
  <r>
    <x v="22"/>
    <x v="12"/>
    <x v="281"/>
    <x v="0"/>
    <x v="18"/>
    <x v="2"/>
    <x v="0"/>
    <x v="2"/>
    <x v="221"/>
    <x v="5"/>
    <x v="358"/>
    <x v="1"/>
  </r>
  <r>
    <x v="22"/>
    <x v="32"/>
    <x v="244"/>
    <x v="6"/>
    <x v="422"/>
    <x v="2"/>
    <x v="2"/>
    <x v="4"/>
    <x v="221"/>
    <x v="10"/>
    <x v="359"/>
    <x v="1"/>
  </r>
  <r>
    <x v="22"/>
    <x v="26"/>
    <x v="90"/>
    <x v="1"/>
    <x v="338"/>
    <x v="2"/>
    <x v="0"/>
    <x v="2"/>
    <x v="221"/>
    <x v="5"/>
    <x v="360"/>
    <x v="1"/>
  </r>
  <r>
    <x v="22"/>
    <x v="32"/>
    <x v="77"/>
    <x v="2"/>
    <x v="422"/>
    <x v="2"/>
    <x v="2"/>
    <x v="4"/>
    <x v="221"/>
    <x v="10"/>
    <x v="361"/>
    <x v="1"/>
  </r>
  <r>
    <x v="22"/>
    <x v="1"/>
    <x v="70"/>
    <x v="1"/>
    <x v="431"/>
    <x v="2"/>
    <x v="0"/>
    <x v="2"/>
    <x v="221"/>
    <x v="4"/>
    <x v="362"/>
    <x v="1"/>
  </r>
  <r>
    <x v="22"/>
    <x v="20"/>
    <x v="69"/>
    <x v="0"/>
    <x v="63"/>
    <x v="2"/>
    <x v="0"/>
    <x v="2"/>
    <x v="221"/>
    <x v="5"/>
    <x v="363"/>
    <x v="1"/>
  </r>
  <r>
    <x v="22"/>
    <x v="37"/>
    <x v="58"/>
    <x v="1"/>
    <x v="529"/>
    <x v="2"/>
    <x v="0"/>
    <x v="2"/>
    <x v="221"/>
    <x v="12"/>
    <x v="364"/>
    <x v="1"/>
  </r>
  <r>
    <x v="22"/>
    <x v="23"/>
    <x v="5"/>
    <x v="3"/>
    <x v="284"/>
    <x v="2"/>
    <x v="0"/>
    <x v="2"/>
    <x v="221"/>
    <x v="6"/>
    <x v="365"/>
    <x v="1"/>
  </r>
  <r>
    <x v="22"/>
    <x v="38"/>
    <x v="5"/>
    <x v="3"/>
    <x v="444"/>
    <x v="2"/>
    <x v="0"/>
    <x v="2"/>
    <x v="221"/>
    <x v="5"/>
    <x v="366"/>
    <x v="1"/>
  </r>
  <r>
    <x v="23"/>
    <x v="32"/>
    <x v="1976"/>
    <x v="7"/>
    <x v="422"/>
    <x v="2"/>
    <x v="2"/>
    <x v="4"/>
    <x v="221"/>
    <x v="10"/>
    <x v="367"/>
    <x v="1"/>
  </r>
  <r>
    <x v="23"/>
    <x v="32"/>
    <x v="1477"/>
    <x v="5"/>
    <x v="532"/>
    <x v="2"/>
    <x v="2"/>
    <x v="4"/>
    <x v="221"/>
    <x v="10"/>
    <x v="368"/>
    <x v="1"/>
  </r>
  <r>
    <x v="23"/>
    <x v="8"/>
    <x v="1018"/>
    <x v="0"/>
    <x v="132"/>
    <x v="2"/>
    <x v="0"/>
    <x v="2"/>
    <x v="221"/>
    <x v="5"/>
    <x v="369"/>
    <x v="1"/>
  </r>
  <r>
    <x v="23"/>
    <x v="32"/>
    <x v="868"/>
    <x v="3"/>
    <x v="422"/>
    <x v="2"/>
    <x v="2"/>
    <x v="4"/>
    <x v="221"/>
    <x v="10"/>
    <x v="370"/>
    <x v="1"/>
  </r>
  <r>
    <x v="23"/>
    <x v="9"/>
    <x v="680"/>
    <x v="0"/>
    <x v="230"/>
    <x v="2"/>
    <x v="0"/>
    <x v="2"/>
    <x v="221"/>
    <x v="5"/>
    <x v="371"/>
    <x v="1"/>
  </r>
  <r>
    <x v="23"/>
    <x v="32"/>
    <x v="398"/>
    <x v="2"/>
    <x v="422"/>
    <x v="2"/>
    <x v="2"/>
    <x v="4"/>
    <x v="221"/>
    <x v="10"/>
    <x v="372"/>
    <x v="1"/>
  </r>
  <r>
    <x v="23"/>
    <x v="15"/>
    <x v="394"/>
    <x v="3"/>
    <x v="355"/>
    <x v="2"/>
    <x v="0"/>
    <x v="2"/>
    <x v="221"/>
    <x v="4"/>
    <x v="373"/>
    <x v="1"/>
  </r>
  <r>
    <x v="23"/>
    <x v="12"/>
    <x v="375"/>
    <x v="0"/>
    <x v="171"/>
    <x v="2"/>
    <x v="0"/>
    <x v="2"/>
    <x v="221"/>
    <x v="5"/>
    <x v="374"/>
    <x v="1"/>
  </r>
  <r>
    <x v="23"/>
    <x v="38"/>
    <x v="294"/>
    <x v="0"/>
    <x v="226"/>
    <x v="2"/>
    <x v="0"/>
    <x v="2"/>
    <x v="221"/>
    <x v="5"/>
    <x v="375"/>
    <x v="1"/>
  </r>
  <r>
    <x v="23"/>
    <x v="32"/>
    <x v="210"/>
    <x v="8"/>
    <x v="422"/>
    <x v="2"/>
    <x v="2"/>
    <x v="4"/>
    <x v="221"/>
    <x v="10"/>
    <x v="376"/>
    <x v="1"/>
  </r>
  <r>
    <x v="23"/>
    <x v="37"/>
    <x v="40"/>
    <x v="1"/>
    <x v="529"/>
    <x v="2"/>
    <x v="0"/>
    <x v="2"/>
    <x v="221"/>
    <x v="12"/>
    <x v="377"/>
    <x v="1"/>
  </r>
  <r>
    <x v="23"/>
    <x v="23"/>
    <x v="25"/>
    <x v="3"/>
    <x v="284"/>
    <x v="2"/>
    <x v="0"/>
    <x v="2"/>
    <x v="221"/>
    <x v="6"/>
    <x v="378"/>
    <x v="1"/>
  </r>
  <r>
    <x v="23"/>
    <x v="38"/>
    <x v="12"/>
    <x v="3"/>
    <x v="444"/>
    <x v="2"/>
    <x v="0"/>
    <x v="2"/>
    <x v="221"/>
    <x v="5"/>
    <x v="379"/>
    <x v="1"/>
  </r>
  <r>
    <x v="24"/>
    <x v="32"/>
    <x v="1816"/>
    <x v="7"/>
    <x v="422"/>
    <x v="2"/>
    <x v="2"/>
    <x v="4"/>
    <x v="221"/>
    <x v="10"/>
    <x v="380"/>
    <x v="1"/>
  </r>
  <r>
    <x v="24"/>
    <x v="9"/>
    <x v="1541"/>
    <x v="0"/>
    <x v="230"/>
    <x v="2"/>
    <x v="0"/>
    <x v="2"/>
    <x v="221"/>
    <x v="5"/>
    <x v="381"/>
    <x v="1"/>
  </r>
  <r>
    <x v="24"/>
    <x v="32"/>
    <x v="1512"/>
    <x v="3"/>
    <x v="422"/>
    <x v="2"/>
    <x v="2"/>
    <x v="4"/>
    <x v="221"/>
    <x v="10"/>
    <x v="382"/>
    <x v="1"/>
  </r>
  <r>
    <x v="24"/>
    <x v="32"/>
    <x v="894"/>
    <x v="8"/>
    <x v="422"/>
    <x v="2"/>
    <x v="2"/>
    <x v="4"/>
    <x v="221"/>
    <x v="10"/>
    <x v="383"/>
    <x v="1"/>
  </r>
  <r>
    <x v="24"/>
    <x v="27"/>
    <x v="836"/>
    <x v="1"/>
    <x v="359"/>
    <x v="2"/>
    <x v="0"/>
    <x v="2"/>
    <x v="221"/>
    <x v="5"/>
    <x v="384"/>
    <x v="1"/>
  </r>
  <r>
    <x v="24"/>
    <x v="32"/>
    <x v="782"/>
    <x v="2"/>
    <x v="422"/>
    <x v="2"/>
    <x v="2"/>
    <x v="4"/>
    <x v="221"/>
    <x v="10"/>
    <x v="385"/>
    <x v="1"/>
  </r>
  <r>
    <x v="24"/>
    <x v="12"/>
    <x v="644"/>
    <x v="0"/>
    <x v="18"/>
    <x v="2"/>
    <x v="0"/>
    <x v="2"/>
    <x v="221"/>
    <x v="5"/>
    <x v="386"/>
    <x v="1"/>
  </r>
  <r>
    <x v="24"/>
    <x v="32"/>
    <x v="582"/>
    <x v="6"/>
    <x v="422"/>
    <x v="2"/>
    <x v="2"/>
    <x v="4"/>
    <x v="221"/>
    <x v="10"/>
    <x v="387"/>
    <x v="1"/>
  </r>
  <r>
    <x v="24"/>
    <x v="32"/>
    <x v="349"/>
    <x v="5"/>
    <x v="532"/>
    <x v="2"/>
    <x v="2"/>
    <x v="4"/>
    <x v="221"/>
    <x v="10"/>
    <x v="388"/>
    <x v="1"/>
  </r>
  <r>
    <x v="24"/>
    <x v="1"/>
    <x v="343"/>
    <x v="1"/>
    <x v="431"/>
    <x v="2"/>
    <x v="0"/>
    <x v="2"/>
    <x v="221"/>
    <x v="4"/>
    <x v="389"/>
    <x v="1"/>
  </r>
  <r>
    <x v="24"/>
    <x v="12"/>
    <x v="287"/>
    <x v="1"/>
    <x v="509"/>
    <x v="2"/>
    <x v="0"/>
    <x v="2"/>
    <x v="221"/>
    <x v="5"/>
    <x v="390"/>
    <x v="1"/>
  </r>
  <r>
    <x v="24"/>
    <x v="20"/>
    <x v="106"/>
    <x v="1"/>
    <x v="162"/>
    <x v="2"/>
    <x v="0"/>
    <x v="2"/>
    <x v="221"/>
    <x v="5"/>
    <x v="391"/>
    <x v="1"/>
  </r>
  <r>
    <x v="24"/>
    <x v="26"/>
    <x v="90"/>
    <x v="1"/>
    <x v="338"/>
    <x v="2"/>
    <x v="0"/>
    <x v="2"/>
    <x v="221"/>
    <x v="5"/>
    <x v="392"/>
    <x v="1"/>
  </r>
  <r>
    <x v="24"/>
    <x v="37"/>
    <x v="48"/>
    <x v="1"/>
    <x v="529"/>
    <x v="2"/>
    <x v="0"/>
    <x v="2"/>
    <x v="221"/>
    <x v="12"/>
    <x v="393"/>
    <x v="1"/>
  </r>
  <r>
    <x v="24"/>
    <x v="12"/>
    <x v="45"/>
    <x v="1"/>
    <x v="316"/>
    <x v="2"/>
    <x v="0"/>
    <x v="2"/>
    <x v="221"/>
    <x v="5"/>
    <x v="394"/>
    <x v="1"/>
  </r>
  <r>
    <x v="24"/>
    <x v="12"/>
    <x v="29"/>
    <x v="1"/>
    <x v="331"/>
    <x v="2"/>
    <x v="0"/>
    <x v="2"/>
    <x v="221"/>
    <x v="5"/>
    <x v="395"/>
    <x v="1"/>
  </r>
  <r>
    <x v="24"/>
    <x v="23"/>
    <x v="19"/>
    <x v="3"/>
    <x v="284"/>
    <x v="2"/>
    <x v="0"/>
    <x v="2"/>
    <x v="221"/>
    <x v="6"/>
    <x v="396"/>
    <x v="1"/>
  </r>
  <r>
    <x v="25"/>
    <x v="32"/>
    <x v="1862"/>
    <x v="7"/>
    <x v="422"/>
    <x v="2"/>
    <x v="2"/>
    <x v="4"/>
    <x v="221"/>
    <x v="10"/>
    <x v="397"/>
    <x v="1"/>
  </r>
  <r>
    <x v="25"/>
    <x v="9"/>
    <x v="1389"/>
    <x v="0"/>
    <x v="230"/>
    <x v="2"/>
    <x v="0"/>
    <x v="2"/>
    <x v="221"/>
    <x v="5"/>
    <x v="398"/>
    <x v="1"/>
  </r>
  <r>
    <x v="25"/>
    <x v="20"/>
    <x v="1278"/>
    <x v="0"/>
    <x v="63"/>
    <x v="2"/>
    <x v="0"/>
    <x v="2"/>
    <x v="221"/>
    <x v="5"/>
    <x v="399"/>
    <x v="1"/>
  </r>
  <r>
    <x v="25"/>
    <x v="13"/>
    <x v="1249"/>
    <x v="0"/>
    <x v="35"/>
    <x v="2"/>
    <x v="0"/>
    <x v="2"/>
    <x v="221"/>
    <x v="5"/>
    <x v="400"/>
    <x v="1"/>
  </r>
  <r>
    <x v="25"/>
    <x v="20"/>
    <x v="1031"/>
    <x v="0"/>
    <x v="63"/>
    <x v="2"/>
    <x v="0"/>
    <x v="2"/>
    <x v="221"/>
    <x v="5"/>
    <x v="401"/>
    <x v="1"/>
  </r>
  <r>
    <x v="25"/>
    <x v="32"/>
    <x v="960"/>
    <x v="3"/>
    <x v="422"/>
    <x v="2"/>
    <x v="2"/>
    <x v="4"/>
    <x v="221"/>
    <x v="10"/>
    <x v="402"/>
    <x v="1"/>
  </r>
  <r>
    <x v="25"/>
    <x v="27"/>
    <x v="925"/>
    <x v="1"/>
    <x v="9"/>
    <x v="2"/>
    <x v="0"/>
    <x v="2"/>
    <x v="221"/>
    <x v="5"/>
    <x v="403"/>
    <x v="1"/>
  </r>
  <r>
    <x v="25"/>
    <x v="32"/>
    <x v="860"/>
    <x v="5"/>
    <x v="532"/>
    <x v="2"/>
    <x v="2"/>
    <x v="4"/>
    <x v="221"/>
    <x v="10"/>
    <x v="404"/>
    <x v="1"/>
  </r>
  <r>
    <x v="25"/>
    <x v="12"/>
    <x v="656"/>
    <x v="0"/>
    <x v="18"/>
    <x v="2"/>
    <x v="0"/>
    <x v="2"/>
    <x v="221"/>
    <x v="5"/>
    <x v="405"/>
    <x v="1"/>
  </r>
  <r>
    <x v="25"/>
    <x v="32"/>
    <x v="540"/>
    <x v="2"/>
    <x v="422"/>
    <x v="2"/>
    <x v="2"/>
    <x v="4"/>
    <x v="221"/>
    <x v="10"/>
    <x v="406"/>
    <x v="1"/>
  </r>
  <r>
    <x v="25"/>
    <x v="38"/>
    <x v="334"/>
    <x v="0"/>
    <x v="226"/>
    <x v="2"/>
    <x v="0"/>
    <x v="2"/>
    <x v="221"/>
    <x v="5"/>
    <x v="407"/>
    <x v="1"/>
  </r>
  <r>
    <x v="25"/>
    <x v="38"/>
    <x v="315"/>
    <x v="0"/>
    <x v="226"/>
    <x v="2"/>
    <x v="0"/>
    <x v="2"/>
    <x v="221"/>
    <x v="5"/>
    <x v="408"/>
    <x v="1"/>
  </r>
  <r>
    <x v="25"/>
    <x v="38"/>
    <x v="267"/>
    <x v="0"/>
    <x v="226"/>
    <x v="2"/>
    <x v="0"/>
    <x v="2"/>
    <x v="221"/>
    <x v="5"/>
    <x v="409"/>
    <x v="1"/>
  </r>
  <r>
    <x v="25"/>
    <x v="28"/>
    <x v="191"/>
    <x v="1"/>
    <x v="590"/>
    <x v="2"/>
    <x v="0"/>
    <x v="2"/>
    <x v="221"/>
    <x v="0"/>
    <x v="410"/>
    <x v="1"/>
  </r>
  <r>
    <x v="25"/>
    <x v="37"/>
    <x v="50"/>
    <x v="1"/>
    <x v="529"/>
    <x v="2"/>
    <x v="0"/>
    <x v="2"/>
    <x v="221"/>
    <x v="12"/>
    <x v="411"/>
    <x v="1"/>
  </r>
  <r>
    <x v="25"/>
    <x v="24"/>
    <x v="36"/>
    <x v="1"/>
    <x v="289"/>
    <x v="2"/>
    <x v="0"/>
    <x v="2"/>
    <x v="221"/>
    <x v="6"/>
    <x v="412"/>
    <x v="1"/>
  </r>
  <r>
    <x v="25"/>
    <x v="32"/>
    <x v="32"/>
    <x v="6"/>
    <x v="422"/>
    <x v="2"/>
    <x v="2"/>
    <x v="4"/>
    <x v="221"/>
    <x v="10"/>
    <x v="413"/>
    <x v="1"/>
  </r>
  <r>
    <x v="25"/>
    <x v="23"/>
    <x v="19"/>
    <x v="3"/>
    <x v="284"/>
    <x v="2"/>
    <x v="0"/>
    <x v="2"/>
    <x v="221"/>
    <x v="6"/>
    <x v="414"/>
    <x v="1"/>
  </r>
  <r>
    <x v="26"/>
    <x v="32"/>
    <x v="1659"/>
    <x v="7"/>
    <x v="422"/>
    <x v="2"/>
    <x v="2"/>
    <x v="4"/>
    <x v="221"/>
    <x v="10"/>
    <x v="415"/>
    <x v="1"/>
  </r>
  <r>
    <x v="26"/>
    <x v="38"/>
    <x v="1275"/>
    <x v="1"/>
    <x v="391"/>
    <x v="2"/>
    <x v="0"/>
    <x v="2"/>
    <x v="221"/>
    <x v="5"/>
    <x v="416"/>
    <x v="1"/>
  </r>
  <r>
    <x v="26"/>
    <x v="32"/>
    <x v="1029"/>
    <x v="5"/>
    <x v="422"/>
    <x v="2"/>
    <x v="2"/>
    <x v="4"/>
    <x v="221"/>
    <x v="10"/>
    <x v="417"/>
    <x v="1"/>
  </r>
  <r>
    <x v="26"/>
    <x v="32"/>
    <x v="1004"/>
    <x v="3"/>
    <x v="422"/>
    <x v="2"/>
    <x v="2"/>
    <x v="4"/>
    <x v="221"/>
    <x v="10"/>
    <x v="418"/>
    <x v="1"/>
  </r>
  <r>
    <x v="26"/>
    <x v="9"/>
    <x v="954"/>
    <x v="0"/>
    <x v="230"/>
    <x v="2"/>
    <x v="0"/>
    <x v="2"/>
    <x v="221"/>
    <x v="5"/>
    <x v="419"/>
    <x v="1"/>
  </r>
  <r>
    <x v="26"/>
    <x v="15"/>
    <x v="386"/>
    <x v="1"/>
    <x v="355"/>
    <x v="2"/>
    <x v="0"/>
    <x v="2"/>
    <x v="221"/>
    <x v="4"/>
    <x v="420"/>
    <x v="1"/>
  </r>
  <r>
    <x v="26"/>
    <x v="12"/>
    <x v="333"/>
    <x v="0"/>
    <x v="18"/>
    <x v="2"/>
    <x v="0"/>
    <x v="2"/>
    <x v="221"/>
    <x v="5"/>
    <x v="421"/>
    <x v="1"/>
  </r>
  <r>
    <x v="26"/>
    <x v="38"/>
    <x v="235"/>
    <x v="0"/>
    <x v="226"/>
    <x v="2"/>
    <x v="0"/>
    <x v="2"/>
    <x v="221"/>
    <x v="5"/>
    <x v="422"/>
    <x v="1"/>
  </r>
  <r>
    <x v="26"/>
    <x v="32"/>
    <x v="143"/>
    <x v="6"/>
    <x v="422"/>
    <x v="2"/>
    <x v="2"/>
    <x v="4"/>
    <x v="221"/>
    <x v="10"/>
    <x v="423"/>
    <x v="1"/>
  </r>
  <r>
    <x v="26"/>
    <x v="12"/>
    <x v="51"/>
    <x v="1"/>
    <x v="331"/>
    <x v="2"/>
    <x v="0"/>
    <x v="2"/>
    <x v="221"/>
    <x v="5"/>
    <x v="424"/>
    <x v="1"/>
  </r>
  <r>
    <x v="26"/>
    <x v="24"/>
    <x v="45"/>
    <x v="1"/>
    <x v="375"/>
    <x v="2"/>
    <x v="0"/>
    <x v="2"/>
    <x v="221"/>
    <x v="6"/>
    <x v="425"/>
    <x v="1"/>
  </r>
  <r>
    <x v="26"/>
    <x v="0"/>
    <x v="45"/>
    <x v="1"/>
    <x v="273"/>
    <x v="2"/>
    <x v="0"/>
    <x v="2"/>
    <x v="221"/>
    <x v="9"/>
    <x v="426"/>
    <x v="1"/>
  </r>
  <r>
    <x v="26"/>
    <x v="37"/>
    <x v="40"/>
    <x v="1"/>
    <x v="529"/>
    <x v="2"/>
    <x v="0"/>
    <x v="2"/>
    <x v="221"/>
    <x v="12"/>
    <x v="427"/>
    <x v="1"/>
  </r>
  <r>
    <x v="27"/>
    <x v="32"/>
    <x v="1820"/>
    <x v="7"/>
    <x v="422"/>
    <x v="2"/>
    <x v="2"/>
    <x v="4"/>
    <x v="221"/>
    <x v="10"/>
    <x v="428"/>
    <x v="1"/>
  </r>
  <r>
    <x v="27"/>
    <x v="20"/>
    <x v="1003"/>
    <x v="0"/>
    <x v="63"/>
    <x v="2"/>
    <x v="0"/>
    <x v="2"/>
    <x v="221"/>
    <x v="5"/>
    <x v="429"/>
    <x v="1"/>
  </r>
  <r>
    <x v="27"/>
    <x v="32"/>
    <x v="843"/>
    <x v="5"/>
    <x v="422"/>
    <x v="2"/>
    <x v="2"/>
    <x v="4"/>
    <x v="221"/>
    <x v="10"/>
    <x v="430"/>
    <x v="1"/>
  </r>
  <r>
    <x v="27"/>
    <x v="32"/>
    <x v="826"/>
    <x v="2"/>
    <x v="422"/>
    <x v="2"/>
    <x v="2"/>
    <x v="4"/>
    <x v="221"/>
    <x v="10"/>
    <x v="431"/>
    <x v="1"/>
  </r>
  <r>
    <x v="27"/>
    <x v="32"/>
    <x v="691"/>
    <x v="6"/>
    <x v="422"/>
    <x v="2"/>
    <x v="2"/>
    <x v="4"/>
    <x v="221"/>
    <x v="10"/>
    <x v="432"/>
    <x v="1"/>
  </r>
  <r>
    <x v="27"/>
    <x v="9"/>
    <x v="659"/>
    <x v="0"/>
    <x v="230"/>
    <x v="2"/>
    <x v="0"/>
    <x v="2"/>
    <x v="221"/>
    <x v="5"/>
    <x v="433"/>
    <x v="1"/>
  </r>
  <r>
    <x v="27"/>
    <x v="32"/>
    <x v="605"/>
    <x v="3"/>
    <x v="422"/>
    <x v="2"/>
    <x v="2"/>
    <x v="4"/>
    <x v="221"/>
    <x v="10"/>
    <x v="434"/>
    <x v="1"/>
  </r>
  <r>
    <x v="27"/>
    <x v="32"/>
    <x v="370"/>
    <x v="8"/>
    <x v="422"/>
    <x v="2"/>
    <x v="2"/>
    <x v="4"/>
    <x v="221"/>
    <x v="10"/>
    <x v="435"/>
    <x v="1"/>
  </r>
  <r>
    <x v="27"/>
    <x v="12"/>
    <x v="340"/>
    <x v="0"/>
    <x v="18"/>
    <x v="2"/>
    <x v="0"/>
    <x v="2"/>
    <x v="221"/>
    <x v="5"/>
    <x v="436"/>
    <x v="1"/>
  </r>
  <r>
    <x v="27"/>
    <x v="37"/>
    <x v="59"/>
    <x v="1"/>
    <x v="529"/>
    <x v="2"/>
    <x v="0"/>
    <x v="2"/>
    <x v="221"/>
    <x v="12"/>
    <x v="437"/>
    <x v="1"/>
  </r>
  <r>
    <x v="27"/>
    <x v="38"/>
    <x v="9"/>
    <x v="3"/>
    <x v="444"/>
    <x v="2"/>
    <x v="0"/>
    <x v="2"/>
    <x v="221"/>
    <x v="5"/>
    <x v="438"/>
    <x v="1"/>
  </r>
  <r>
    <x v="28"/>
    <x v="32"/>
    <x v="1755"/>
    <x v="7"/>
    <x v="422"/>
    <x v="2"/>
    <x v="2"/>
    <x v="4"/>
    <x v="221"/>
    <x v="10"/>
    <x v="439"/>
    <x v="1"/>
  </r>
  <r>
    <x v="28"/>
    <x v="20"/>
    <x v="1284"/>
    <x v="0"/>
    <x v="63"/>
    <x v="2"/>
    <x v="0"/>
    <x v="2"/>
    <x v="221"/>
    <x v="5"/>
    <x v="440"/>
    <x v="1"/>
  </r>
  <r>
    <x v="28"/>
    <x v="9"/>
    <x v="1065"/>
    <x v="0"/>
    <x v="230"/>
    <x v="2"/>
    <x v="0"/>
    <x v="2"/>
    <x v="221"/>
    <x v="5"/>
    <x v="441"/>
    <x v="1"/>
  </r>
  <r>
    <x v="28"/>
    <x v="32"/>
    <x v="1051"/>
    <x v="3"/>
    <x v="422"/>
    <x v="2"/>
    <x v="2"/>
    <x v="4"/>
    <x v="221"/>
    <x v="10"/>
    <x v="442"/>
    <x v="1"/>
  </r>
  <r>
    <x v="28"/>
    <x v="32"/>
    <x v="897"/>
    <x v="5"/>
    <x v="422"/>
    <x v="2"/>
    <x v="2"/>
    <x v="4"/>
    <x v="221"/>
    <x v="10"/>
    <x v="443"/>
    <x v="1"/>
  </r>
  <r>
    <x v="28"/>
    <x v="3"/>
    <x v="845"/>
    <x v="1"/>
    <x v="415"/>
    <x v="2"/>
    <x v="0"/>
    <x v="2"/>
    <x v="221"/>
    <x v="4"/>
    <x v="444"/>
    <x v="1"/>
  </r>
  <r>
    <x v="28"/>
    <x v="32"/>
    <x v="756"/>
    <x v="6"/>
    <x v="422"/>
    <x v="2"/>
    <x v="2"/>
    <x v="4"/>
    <x v="221"/>
    <x v="10"/>
    <x v="445"/>
    <x v="1"/>
  </r>
  <r>
    <x v="28"/>
    <x v="28"/>
    <x v="618"/>
    <x v="1"/>
    <x v="424"/>
    <x v="2"/>
    <x v="0"/>
    <x v="2"/>
    <x v="221"/>
    <x v="0"/>
    <x v="446"/>
    <x v="1"/>
  </r>
  <r>
    <x v="28"/>
    <x v="3"/>
    <x v="599"/>
    <x v="1"/>
    <x v="543"/>
    <x v="2"/>
    <x v="0"/>
    <x v="2"/>
    <x v="221"/>
    <x v="4"/>
    <x v="447"/>
    <x v="1"/>
  </r>
  <r>
    <x v="28"/>
    <x v="12"/>
    <x v="500"/>
    <x v="0"/>
    <x v="18"/>
    <x v="2"/>
    <x v="0"/>
    <x v="2"/>
    <x v="221"/>
    <x v="5"/>
    <x v="448"/>
    <x v="1"/>
  </r>
  <r>
    <x v="28"/>
    <x v="13"/>
    <x v="256"/>
    <x v="1"/>
    <x v="21"/>
    <x v="2"/>
    <x v="0"/>
    <x v="2"/>
    <x v="221"/>
    <x v="5"/>
    <x v="449"/>
    <x v="1"/>
  </r>
  <r>
    <x v="28"/>
    <x v="24"/>
    <x v="256"/>
    <x v="1"/>
    <x v="565"/>
    <x v="2"/>
    <x v="0"/>
    <x v="2"/>
    <x v="221"/>
    <x v="6"/>
    <x v="450"/>
    <x v="1"/>
  </r>
  <r>
    <x v="28"/>
    <x v="38"/>
    <x v="229"/>
    <x v="0"/>
    <x v="226"/>
    <x v="2"/>
    <x v="0"/>
    <x v="2"/>
    <x v="221"/>
    <x v="5"/>
    <x v="451"/>
    <x v="1"/>
  </r>
  <r>
    <x v="28"/>
    <x v="38"/>
    <x v="223"/>
    <x v="0"/>
    <x v="226"/>
    <x v="2"/>
    <x v="0"/>
    <x v="2"/>
    <x v="221"/>
    <x v="5"/>
    <x v="452"/>
    <x v="1"/>
  </r>
  <r>
    <x v="28"/>
    <x v="32"/>
    <x v="198"/>
    <x v="2"/>
    <x v="422"/>
    <x v="2"/>
    <x v="2"/>
    <x v="4"/>
    <x v="221"/>
    <x v="10"/>
    <x v="453"/>
    <x v="1"/>
  </r>
  <r>
    <x v="28"/>
    <x v="37"/>
    <x v="59"/>
    <x v="1"/>
    <x v="529"/>
    <x v="2"/>
    <x v="0"/>
    <x v="2"/>
    <x v="221"/>
    <x v="12"/>
    <x v="454"/>
    <x v="1"/>
  </r>
  <r>
    <x v="28"/>
    <x v="23"/>
    <x v="19"/>
    <x v="3"/>
    <x v="284"/>
    <x v="2"/>
    <x v="0"/>
    <x v="2"/>
    <x v="221"/>
    <x v="6"/>
    <x v="455"/>
    <x v="1"/>
  </r>
  <r>
    <x v="28"/>
    <x v="38"/>
    <x v="5"/>
    <x v="3"/>
    <x v="444"/>
    <x v="2"/>
    <x v="0"/>
    <x v="2"/>
    <x v="221"/>
    <x v="5"/>
    <x v="456"/>
    <x v="1"/>
  </r>
  <r>
    <x v="29"/>
    <x v="32"/>
    <x v="1822"/>
    <x v="7"/>
    <x v="422"/>
    <x v="2"/>
    <x v="2"/>
    <x v="4"/>
    <x v="221"/>
    <x v="10"/>
    <x v="457"/>
    <x v="1"/>
  </r>
  <r>
    <x v="29"/>
    <x v="32"/>
    <x v="1456"/>
    <x v="3"/>
    <x v="422"/>
    <x v="2"/>
    <x v="2"/>
    <x v="4"/>
    <x v="221"/>
    <x v="10"/>
    <x v="458"/>
    <x v="1"/>
  </r>
  <r>
    <x v="29"/>
    <x v="9"/>
    <x v="1227"/>
    <x v="0"/>
    <x v="230"/>
    <x v="2"/>
    <x v="0"/>
    <x v="2"/>
    <x v="221"/>
    <x v="5"/>
    <x v="459"/>
    <x v="1"/>
  </r>
  <r>
    <x v="29"/>
    <x v="24"/>
    <x v="719"/>
    <x v="1"/>
    <x v="496"/>
    <x v="2"/>
    <x v="0"/>
    <x v="2"/>
    <x v="221"/>
    <x v="6"/>
    <x v="460"/>
    <x v="1"/>
  </r>
  <r>
    <x v="29"/>
    <x v="20"/>
    <x v="612"/>
    <x v="0"/>
    <x v="63"/>
    <x v="2"/>
    <x v="0"/>
    <x v="2"/>
    <x v="221"/>
    <x v="5"/>
    <x v="461"/>
    <x v="1"/>
  </r>
  <r>
    <x v="29"/>
    <x v="32"/>
    <x v="523"/>
    <x v="8"/>
    <x v="422"/>
    <x v="2"/>
    <x v="2"/>
    <x v="4"/>
    <x v="221"/>
    <x v="10"/>
    <x v="462"/>
    <x v="1"/>
  </r>
  <r>
    <x v="29"/>
    <x v="32"/>
    <x v="449"/>
    <x v="5"/>
    <x v="422"/>
    <x v="2"/>
    <x v="2"/>
    <x v="4"/>
    <x v="221"/>
    <x v="10"/>
    <x v="463"/>
    <x v="1"/>
  </r>
  <r>
    <x v="29"/>
    <x v="18"/>
    <x v="375"/>
    <x v="1"/>
    <x v="141"/>
    <x v="2"/>
    <x v="0"/>
    <x v="2"/>
    <x v="221"/>
    <x v="3"/>
    <x v="464"/>
    <x v="1"/>
  </r>
  <r>
    <x v="29"/>
    <x v="38"/>
    <x v="240"/>
    <x v="0"/>
    <x v="226"/>
    <x v="2"/>
    <x v="0"/>
    <x v="2"/>
    <x v="221"/>
    <x v="5"/>
    <x v="465"/>
    <x v="1"/>
  </r>
  <r>
    <x v="29"/>
    <x v="24"/>
    <x v="191"/>
    <x v="1"/>
    <x v="427"/>
    <x v="2"/>
    <x v="0"/>
    <x v="2"/>
    <x v="221"/>
    <x v="6"/>
    <x v="466"/>
    <x v="1"/>
  </r>
  <r>
    <x v="29"/>
    <x v="32"/>
    <x v="80"/>
    <x v="6"/>
    <x v="422"/>
    <x v="2"/>
    <x v="2"/>
    <x v="4"/>
    <x v="221"/>
    <x v="10"/>
    <x v="467"/>
    <x v="1"/>
  </r>
  <r>
    <x v="29"/>
    <x v="32"/>
    <x v="77"/>
    <x v="4"/>
    <x v="422"/>
    <x v="2"/>
    <x v="2"/>
    <x v="4"/>
    <x v="221"/>
    <x v="10"/>
    <x v="468"/>
    <x v="1"/>
  </r>
  <r>
    <x v="29"/>
    <x v="37"/>
    <x v="59"/>
    <x v="1"/>
    <x v="529"/>
    <x v="2"/>
    <x v="0"/>
    <x v="2"/>
    <x v="221"/>
    <x v="12"/>
    <x v="469"/>
    <x v="1"/>
  </r>
  <r>
    <x v="29"/>
    <x v="12"/>
    <x v="35"/>
    <x v="1"/>
    <x v="331"/>
    <x v="2"/>
    <x v="0"/>
    <x v="2"/>
    <x v="221"/>
    <x v="5"/>
    <x v="470"/>
    <x v="1"/>
  </r>
  <r>
    <x v="29"/>
    <x v="38"/>
    <x v="30"/>
    <x v="1"/>
    <x v="405"/>
    <x v="2"/>
    <x v="0"/>
    <x v="2"/>
    <x v="221"/>
    <x v="5"/>
    <x v="471"/>
    <x v="1"/>
  </r>
  <r>
    <x v="29"/>
    <x v="23"/>
    <x v="12"/>
    <x v="3"/>
    <x v="284"/>
    <x v="2"/>
    <x v="0"/>
    <x v="2"/>
    <x v="221"/>
    <x v="6"/>
    <x v="472"/>
    <x v="1"/>
  </r>
  <r>
    <x v="30"/>
    <x v="32"/>
    <x v="1938"/>
    <x v="7"/>
    <x v="422"/>
    <x v="2"/>
    <x v="2"/>
    <x v="4"/>
    <x v="221"/>
    <x v="10"/>
    <x v="473"/>
    <x v="1"/>
  </r>
  <r>
    <x v="30"/>
    <x v="9"/>
    <x v="1338"/>
    <x v="0"/>
    <x v="230"/>
    <x v="2"/>
    <x v="0"/>
    <x v="2"/>
    <x v="221"/>
    <x v="5"/>
    <x v="474"/>
    <x v="1"/>
  </r>
  <r>
    <x v="30"/>
    <x v="13"/>
    <x v="1143"/>
    <x v="0"/>
    <x v="181"/>
    <x v="2"/>
    <x v="0"/>
    <x v="2"/>
    <x v="221"/>
    <x v="5"/>
    <x v="475"/>
    <x v="1"/>
  </r>
  <r>
    <x v="30"/>
    <x v="32"/>
    <x v="800"/>
    <x v="2"/>
    <x v="422"/>
    <x v="2"/>
    <x v="2"/>
    <x v="4"/>
    <x v="221"/>
    <x v="10"/>
    <x v="476"/>
    <x v="1"/>
  </r>
  <r>
    <x v="30"/>
    <x v="8"/>
    <x v="779"/>
    <x v="0"/>
    <x v="132"/>
    <x v="2"/>
    <x v="0"/>
    <x v="2"/>
    <x v="221"/>
    <x v="5"/>
    <x v="477"/>
    <x v="1"/>
  </r>
  <r>
    <x v="30"/>
    <x v="32"/>
    <x v="713"/>
    <x v="5"/>
    <x v="422"/>
    <x v="2"/>
    <x v="2"/>
    <x v="4"/>
    <x v="221"/>
    <x v="10"/>
    <x v="478"/>
    <x v="1"/>
  </r>
  <r>
    <x v="30"/>
    <x v="32"/>
    <x v="610"/>
    <x v="3"/>
    <x v="422"/>
    <x v="2"/>
    <x v="2"/>
    <x v="4"/>
    <x v="221"/>
    <x v="10"/>
    <x v="479"/>
    <x v="1"/>
  </r>
  <r>
    <x v="30"/>
    <x v="3"/>
    <x v="599"/>
    <x v="1"/>
    <x v="543"/>
    <x v="2"/>
    <x v="0"/>
    <x v="2"/>
    <x v="221"/>
    <x v="4"/>
    <x v="480"/>
    <x v="1"/>
  </r>
  <r>
    <x v="30"/>
    <x v="20"/>
    <x v="544"/>
    <x v="0"/>
    <x v="63"/>
    <x v="2"/>
    <x v="0"/>
    <x v="2"/>
    <x v="221"/>
    <x v="5"/>
    <x v="481"/>
    <x v="1"/>
  </r>
  <r>
    <x v="30"/>
    <x v="12"/>
    <x v="503"/>
    <x v="0"/>
    <x v="18"/>
    <x v="2"/>
    <x v="0"/>
    <x v="2"/>
    <x v="221"/>
    <x v="5"/>
    <x v="482"/>
    <x v="1"/>
  </r>
  <r>
    <x v="30"/>
    <x v="1"/>
    <x v="343"/>
    <x v="1"/>
    <x v="431"/>
    <x v="2"/>
    <x v="0"/>
    <x v="2"/>
    <x v="221"/>
    <x v="4"/>
    <x v="483"/>
    <x v="1"/>
  </r>
  <r>
    <x v="30"/>
    <x v="32"/>
    <x v="311"/>
    <x v="6"/>
    <x v="422"/>
    <x v="2"/>
    <x v="2"/>
    <x v="4"/>
    <x v="221"/>
    <x v="10"/>
    <x v="484"/>
    <x v="1"/>
  </r>
  <r>
    <x v="30"/>
    <x v="38"/>
    <x v="158"/>
    <x v="0"/>
    <x v="226"/>
    <x v="2"/>
    <x v="0"/>
    <x v="2"/>
    <x v="221"/>
    <x v="5"/>
    <x v="485"/>
    <x v="1"/>
  </r>
  <r>
    <x v="30"/>
    <x v="24"/>
    <x v="158"/>
    <x v="1"/>
    <x v="585"/>
    <x v="2"/>
    <x v="0"/>
    <x v="2"/>
    <x v="221"/>
    <x v="6"/>
    <x v="486"/>
    <x v="1"/>
  </r>
  <r>
    <x v="30"/>
    <x v="32"/>
    <x v="100"/>
    <x v="4"/>
    <x v="422"/>
    <x v="2"/>
    <x v="2"/>
    <x v="4"/>
    <x v="221"/>
    <x v="10"/>
    <x v="487"/>
    <x v="1"/>
  </r>
  <r>
    <x v="30"/>
    <x v="32"/>
    <x v="94"/>
    <x v="8"/>
    <x v="422"/>
    <x v="2"/>
    <x v="2"/>
    <x v="4"/>
    <x v="221"/>
    <x v="10"/>
    <x v="488"/>
    <x v="1"/>
  </r>
  <r>
    <x v="30"/>
    <x v="24"/>
    <x v="90"/>
    <x v="1"/>
    <x v="393"/>
    <x v="2"/>
    <x v="0"/>
    <x v="2"/>
    <x v="221"/>
    <x v="6"/>
    <x v="489"/>
    <x v="1"/>
  </r>
  <r>
    <x v="30"/>
    <x v="37"/>
    <x v="53"/>
    <x v="1"/>
    <x v="529"/>
    <x v="2"/>
    <x v="0"/>
    <x v="2"/>
    <x v="221"/>
    <x v="12"/>
    <x v="490"/>
    <x v="1"/>
  </r>
  <r>
    <x v="30"/>
    <x v="23"/>
    <x v="19"/>
    <x v="3"/>
    <x v="284"/>
    <x v="2"/>
    <x v="0"/>
    <x v="2"/>
    <x v="221"/>
    <x v="6"/>
    <x v="491"/>
    <x v="1"/>
  </r>
  <r>
    <x v="30"/>
    <x v="36"/>
    <x v="12"/>
    <x v="3"/>
    <x v="311"/>
    <x v="2"/>
    <x v="0"/>
    <x v="2"/>
    <x v="221"/>
    <x v="5"/>
    <x v="492"/>
    <x v="1"/>
  </r>
  <r>
    <x v="31"/>
    <x v="32"/>
    <x v="1837"/>
    <x v="7"/>
    <x v="422"/>
    <x v="2"/>
    <x v="2"/>
    <x v="4"/>
    <x v="221"/>
    <x v="10"/>
    <x v="493"/>
    <x v="1"/>
  </r>
  <r>
    <x v="31"/>
    <x v="20"/>
    <x v="1396"/>
    <x v="0"/>
    <x v="62"/>
    <x v="2"/>
    <x v="0"/>
    <x v="2"/>
    <x v="221"/>
    <x v="5"/>
    <x v="494"/>
    <x v="1"/>
  </r>
  <r>
    <x v="31"/>
    <x v="32"/>
    <x v="1342"/>
    <x v="5"/>
    <x v="532"/>
    <x v="2"/>
    <x v="2"/>
    <x v="4"/>
    <x v="221"/>
    <x v="10"/>
    <x v="495"/>
    <x v="1"/>
  </r>
  <r>
    <x v="31"/>
    <x v="32"/>
    <x v="1182"/>
    <x v="3"/>
    <x v="422"/>
    <x v="2"/>
    <x v="2"/>
    <x v="4"/>
    <x v="221"/>
    <x v="10"/>
    <x v="496"/>
    <x v="1"/>
  </r>
  <r>
    <x v="31"/>
    <x v="20"/>
    <x v="1163"/>
    <x v="0"/>
    <x v="62"/>
    <x v="2"/>
    <x v="0"/>
    <x v="2"/>
    <x v="221"/>
    <x v="5"/>
    <x v="497"/>
    <x v="1"/>
  </r>
  <r>
    <x v="31"/>
    <x v="9"/>
    <x v="888"/>
    <x v="0"/>
    <x v="230"/>
    <x v="2"/>
    <x v="0"/>
    <x v="2"/>
    <x v="221"/>
    <x v="5"/>
    <x v="498"/>
    <x v="1"/>
  </r>
  <r>
    <x v="31"/>
    <x v="38"/>
    <x v="869"/>
    <x v="3"/>
    <x v="389"/>
    <x v="2"/>
    <x v="0"/>
    <x v="2"/>
    <x v="221"/>
    <x v="5"/>
    <x v="499"/>
    <x v="1"/>
  </r>
  <r>
    <x v="31"/>
    <x v="38"/>
    <x v="769"/>
    <x v="1"/>
    <x v="389"/>
    <x v="2"/>
    <x v="0"/>
    <x v="2"/>
    <x v="221"/>
    <x v="5"/>
    <x v="500"/>
    <x v="1"/>
  </r>
  <r>
    <x v="31"/>
    <x v="32"/>
    <x v="744"/>
    <x v="6"/>
    <x v="422"/>
    <x v="2"/>
    <x v="2"/>
    <x v="4"/>
    <x v="221"/>
    <x v="10"/>
    <x v="501"/>
    <x v="1"/>
  </r>
  <r>
    <x v="31"/>
    <x v="27"/>
    <x v="709"/>
    <x v="1"/>
    <x v="361"/>
    <x v="2"/>
    <x v="0"/>
    <x v="2"/>
    <x v="221"/>
    <x v="5"/>
    <x v="502"/>
    <x v="1"/>
  </r>
  <r>
    <x v="31"/>
    <x v="12"/>
    <x v="585"/>
    <x v="0"/>
    <x v="18"/>
    <x v="2"/>
    <x v="0"/>
    <x v="2"/>
    <x v="221"/>
    <x v="5"/>
    <x v="503"/>
    <x v="1"/>
  </r>
  <r>
    <x v="31"/>
    <x v="32"/>
    <x v="360"/>
    <x v="8"/>
    <x v="422"/>
    <x v="2"/>
    <x v="2"/>
    <x v="4"/>
    <x v="221"/>
    <x v="10"/>
    <x v="504"/>
    <x v="1"/>
  </r>
  <r>
    <x v="31"/>
    <x v="38"/>
    <x v="245"/>
    <x v="0"/>
    <x v="226"/>
    <x v="2"/>
    <x v="0"/>
    <x v="2"/>
    <x v="221"/>
    <x v="5"/>
    <x v="505"/>
    <x v="1"/>
  </r>
  <r>
    <x v="31"/>
    <x v="24"/>
    <x v="154"/>
    <x v="1"/>
    <x v="557"/>
    <x v="2"/>
    <x v="0"/>
    <x v="2"/>
    <x v="221"/>
    <x v="6"/>
    <x v="506"/>
    <x v="1"/>
  </r>
  <r>
    <x v="31"/>
    <x v="24"/>
    <x v="59"/>
    <x v="1"/>
    <x v="307"/>
    <x v="2"/>
    <x v="0"/>
    <x v="2"/>
    <x v="221"/>
    <x v="6"/>
    <x v="507"/>
    <x v="1"/>
  </r>
  <r>
    <x v="31"/>
    <x v="37"/>
    <x v="55"/>
    <x v="1"/>
    <x v="529"/>
    <x v="2"/>
    <x v="0"/>
    <x v="2"/>
    <x v="221"/>
    <x v="12"/>
    <x v="508"/>
    <x v="1"/>
  </r>
  <r>
    <x v="31"/>
    <x v="38"/>
    <x v="19"/>
    <x v="3"/>
    <x v="444"/>
    <x v="2"/>
    <x v="0"/>
    <x v="2"/>
    <x v="221"/>
    <x v="5"/>
    <x v="509"/>
    <x v="1"/>
  </r>
  <r>
    <x v="31"/>
    <x v="23"/>
    <x v="5"/>
    <x v="3"/>
    <x v="284"/>
    <x v="2"/>
    <x v="0"/>
    <x v="2"/>
    <x v="221"/>
    <x v="6"/>
    <x v="510"/>
    <x v="1"/>
  </r>
  <r>
    <x v="32"/>
    <x v="32"/>
    <x v="1804"/>
    <x v="7"/>
    <x v="422"/>
    <x v="2"/>
    <x v="2"/>
    <x v="4"/>
    <x v="221"/>
    <x v="10"/>
    <x v="511"/>
    <x v="1"/>
  </r>
  <r>
    <x v="32"/>
    <x v="32"/>
    <x v="1584"/>
    <x v="5"/>
    <x v="532"/>
    <x v="2"/>
    <x v="2"/>
    <x v="4"/>
    <x v="221"/>
    <x v="10"/>
    <x v="512"/>
    <x v="1"/>
  </r>
  <r>
    <x v="32"/>
    <x v="9"/>
    <x v="1123"/>
    <x v="0"/>
    <x v="230"/>
    <x v="2"/>
    <x v="0"/>
    <x v="2"/>
    <x v="221"/>
    <x v="5"/>
    <x v="513"/>
    <x v="1"/>
  </r>
  <r>
    <x v="32"/>
    <x v="32"/>
    <x v="942"/>
    <x v="6"/>
    <x v="422"/>
    <x v="2"/>
    <x v="2"/>
    <x v="4"/>
    <x v="221"/>
    <x v="10"/>
    <x v="514"/>
    <x v="1"/>
  </r>
  <r>
    <x v="32"/>
    <x v="32"/>
    <x v="704"/>
    <x v="3"/>
    <x v="422"/>
    <x v="2"/>
    <x v="2"/>
    <x v="4"/>
    <x v="221"/>
    <x v="10"/>
    <x v="515"/>
    <x v="1"/>
  </r>
  <r>
    <x v="32"/>
    <x v="32"/>
    <x v="662"/>
    <x v="2"/>
    <x v="422"/>
    <x v="2"/>
    <x v="2"/>
    <x v="4"/>
    <x v="221"/>
    <x v="10"/>
    <x v="516"/>
    <x v="1"/>
  </r>
  <r>
    <x v="32"/>
    <x v="15"/>
    <x v="584"/>
    <x v="1"/>
    <x v="355"/>
    <x v="2"/>
    <x v="0"/>
    <x v="2"/>
    <x v="221"/>
    <x v="4"/>
    <x v="517"/>
    <x v="1"/>
  </r>
  <r>
    <x v="32"/>
    <x v="32"/>
    <x v="548"/>
    <x v="8"/>
    <x v="422"/>
    <x v="2"/>
    <x v="2"/>
    <x v="4"/>
    <x v="221"/>
    <x v="10"/>
    <x v="518"/>
    <x v="1"/>
  </r>
  <r>
    <x v="32"/>
    <x v="12"/>
    <x v="370"/>
    <x v="0"/>
    <x v="18"/>
    <x v="2"/>
    <x v="0"/>
    <x v="2"/>
    <x v="221"/>
    <x v="5"/>
    <x v="519"/>
    <x v="1"/>
  </r>
  <r>
    <x v="32"/>
    <x v="38"/>
    <x v="357"/>
    <x v="0"/>
    <x v="226"/>
    <x v="2"/>
    <x v="0"/>
    <x v="2"/>
    <x v="221"/>
    <x v="5"/>
    <x v="520"/>
    <x v="1"/>
  </r>
  <r>
    <x v="32"/>
    <x v="12"/>
    <x v="90"/>
    <x v="1"/>
    <x v="338"/>
    <x v="2"/>
    <x v="0"/>
    <x v="2"/>
    <x v="221"/>
    <x v="5"/>
    <x v="521"/>
    <x v="1"/>
  </r>
  <r>
    <x v="32"/>
    <x v="37"/>
    <x v="45"/>
    <x v="1"/>
    <x v="529"/>
    <x v="2"/>
    <x v="0"/>
    <x v="2"/>
    <x v="221"/>
    <x v="12"/>
    <x v="522"/>
    <x v="1"/>
  </r>
  <r>
    <x v="32"/>
    <x v="24"/>
    <x v="25"/>
    <x v="1"/>
    <x v="385"/>
    <x v="2"/>
    <x v="0"/>
    <x v="2"/>
    <x v="221"/>
    <x v="6"/>
    <x v="523"/>
    <x v="1"/>
  </r>
  <r>
    <x v="32"/>
    <x v="23"/>
    <x v="12"/>
    <x v="3"/>
    <x v="284"/>
    <x v="2"/>
    <x v="0"/>
    <x v="2"/>
    <x v="221"/>
    <x v="6"/>
    <x v="524"/>
    <x v="1"/>
  </r>
  <r>
    <x v="32"/>
    <x v="37"/>
    <x v="12"/>
    <x v="3"/>
    <x v="529"/>
    <x v="2"/>
    <x v="0"/>
    <x v="2"/>
    <x v="221"/>
    <x v="12"/>
    <x v="525"/>
    <x v="1"/>
  </r>
  <r>
    <x v="33"/>
    <x v="24"/>
    <x v="45"/>
    <x v="1"/>
    <x v="460"/>
    <x v="2"/>
    <x v="0"/>
    <x v="2"/>
    <x v="221"/>
    <x v="6"/>
    <x v="526"/>
    <x v="1"/>
  </r>
  <r>
    <x v="33"/>
    <x v="38"/>
    <x v="174"/>
    <x v="0"/>
    <x v="226"/>
    <x v="2"/>
    <x v="0"/>
    <x v="2"/>
    <x v="221"/>
    <x v="5"/>
    <x v="527"/>
    <x v="1"/>
  </r>
  <r>
    <x v="33"/>
    <x v="9"/>
    <x v="1262"/>
    <x v="0"/>
    <x v="230"/>
    <x v="2"/>
    <x v="0"/>
    <x v="2"/>
    <x v="221"/>
    <x v="5"/>
    <x v="528"/>
    <x v="1"/>
  </r>
  <r>
    <x v="33"/>
    <x v="8"/>
    <x v="779"/>
    <x v="0"/>
    <x v="132"/>
    <x v="2"/>
    <x v="0"/>
    <x v="2"/>
    <x v="221"/>
    <x v="5"/>
    <x v="529"/>
    <x v="1"/>
  </r>
  <r>
    <x v="33"/>
    <x v="12"/>
    <x v="507"/>
    <x v="0"/>
    <x v="18"/>
    <x v="2"/>
    <x v="0"/>
    <x v="2"/>
    <x v="221"/>
    <x v="5"/>
    <x v="530"/>
    <x v="1"/>
  </r>
  <r>
    <x v="33"/>
    <x v="23"/>
    <x v="12"/>
    <x v="3"/>
    <x v="284"/>
    <x v="2"/>
    <x v="0"/>
    <x v="2"/>
    <x v="221"/>
    <x v="6"/>
    <x v="531"/>
    <x v="1"/>
  </r>
  <r>
    <x v="33"/>
    <x v="37"/>
    <x v="55"/>
    <x v="1"/>
    <x v="529"/>
    <x v="2"/>
    <x v="0"/>
    <x v="2"/>
    <x v="221"/>
    <x v="12"/>
    <x v="532"/>
    <x v="1"/>
  </r>
  <r>
    <x v="33"/>
    <x v="0"/>
    <x v="256"/>
    <x v="1"/>
    <x v="478"/>
    <x v="2"/>
    <x v="0"/>
    <x v="2"/>
    <x v="221"/>
    <x v="9"/>
    <x v="533"/>
    <x v="1"/>
  </r>
  <r>
    <x v="33"/>
    <x v="12"/>
    <x v="30"/>
    <x v="1"/>
    <x v="331"/>
    <x v="2"/>
    <x v="0"/>
    <x v="2"/>
    <x v="221"/>
    <x v="5"/>
    <x v="534"/>
    <x v="1"/>
  </r>
  <r>
    <x v="33"/>
    <x v="0"/>
    <x v="518"/>
    <x v="1"/>
    <x v="480"/>
    <x v="2"/>
    <x v="0"/>
    <x v="2"/>
    <x v="221"/>
    <x v="9"/>
    <x v="535"/>
    <x v="1"/>
  </r>
  <r>
    <x v="33"/>
    <x v="32"/>
    <x v="890"/>
    <x v="3"/>
    <x v="422"/>
    <x v="2"/>
    <x v="2"/>
    <x v="4"/>
    <x v="221"/>
    <x v="10"/>
    <x v="536"/>
    <x v="1"/>
  </r>
  <r>
    <x v="33"/>
    <x v="32"/>
    <x v="404"/>
    <x v="2"/>
    <x v="422"/>
    <x v="2"/>
    <x v="2"/>
    <x v="4"/>
    <x v="221"/>
    <x v="10"/>
    <x v="537"/>
    <x v="1"/>
  </r>
  <r>
    <x v="33"/>
    <x v="32"/>
    <x v="465"/>
    <x v="6"/>
    <x v="422"/>
    <x v="2"/>
    <x v="2"/>
    <x v="4"/>
    <x v="221"/>
    <x v="10"/>
    <x v="538"/>
    <x v="1"/>
  </r>
  <r>
    <x v="33"/>
    <x v="32"/>
    <x v="1745"/>
    <x v="7"/>
    <x v="422"/>
    <x v="2"/>
    <x v="2"/>
    <x v="4"/>
    <x v="221"/>
    <x v="10"/>
    <x v="539"/>
    <x v="1"/>
  </r>
  <r>
    <x v="33"/>
    <x v="32"/>
    <x v="1134"/>
    <x v="8"/>
    <x v="422"/>
    <x v="2"/>
    <x v="2"/>
    <x v="4"/>
    <x v="221"/>
    <x v="10"/>
    <x v="540"/>
    <x v="1"/>
  </r>
  <r>
    <x v="33"/>
    <x v="32"/>
    <x v="1276"/>
    <x v="5"/>
    <x v="532"/>
    <x v="2"/>
    <x v="2"/>
    <x v="4"/>
    <x v="221"/>
    <x v="10"/>
    <x v="541"/>
    <x v="1"/>
  </r>
  <r>
    <x v="34"/>
    <x v="20"/>
    <x v="1142"/>
    <x v="0"/>
    <x v="62"/>
    <x v="2"/>
    <x v="0"/>
    <x v="2"/>
    <x v="221"/>
    <x v="5"/>
    <x v="542"/>
    <x v="1"/>
  </r>
  <r>
    <x v="34"/>
    <x v="20"/>
    <x v="570"/>
    <x v="0"/>
    <x v="62"/>
    <x v="2"/>
    <x v="0"/>
    <x v="2"/>
    <x v="221"/>
    <x v="5"/>
    <x v="543"/>
    <x v="1"/>
  </r>
  <r>
    <x v="34"/>
    <x v="38"/>
    <x v="128"/>
    <x v="0"/>
    <x v="226"/>
    <x v="2"/>
    <x v="0"/>
    <x v="2"/>
    <x v="221"/>
    <x v="5"/>
    <x v="544"/>
    <x v="1"/>
  </r>
  <r>
    <x v="34"/>
    <x v="9"/>
    <x v="439"/>
    <x v="0"/>
    <x v="230"/>
    <x v="2"/>
    <x v="0"/>
    <x v="2"/>
    <x v="221"/>
    <x v="5"/>
    <x v="545"/>
    <x v="1"/>
  </r>
  <r>
    <x v="34"/>
    <x v="12"/>
    <x v="254"/>
    <x v="0"/>
    <x v="18"/>
    <x v="2"/>
    <x v="0"/>
    <x v="2"/>
    <x v="221"/>
    <x v="5"/>
    <x v="546"/>
    <x v="1"/>
  </r>
  <r>
    <x v="34"/>
    <x v="23"/>
    <x v="12"/>
    <x v="3"/>
    <x v="284"/>
    <x v="2"/>
    <x v="0"/>
    <x v="2"/>
    <x v="221"/>
    <x v="6"/>
    <x v="547"/>
    <x v="1"/>
  </r>
  <r>
    <x v="34"/>
    <x v="17"/>
    <x v="1869"/>
    <x v="0"/>
    <x v="194"/>
    <x v="2"/>
    <x v="0"/>
    <x v="2"/>
    <x v="221"/>
    <x v="3"/>
    <x v="548"/>
    <x v="1"/>
  </r>
  <r>
    <x v="34"/>
    <x v="17"/>
    <x v="1277"/>
    <x v="0"/>
    <x v="194"/>
    <x v="2"/>
    <x v="0"/>
    <x v="2"/>
    <x v="221"/>
    <x v="3"/>
    <x v="549"/>
    <x v="1"/>
  </r>
  <r>
    <x v="34"/>
    <x v="20"/>
    <x v="86"/>
    <x v="1"/>
    <x v="63"/>
    <x v="2"/>
    <x v="0"/>
    <x v="2"/>
    <x v="221"/>
    <x v="5"/>
    <x v="550"/>
    <x v="1"/>
  </r>
  <r>
    <x v="34"/>
    <x v="37"/>
    <x v="45"/>
    <x v="1"/>
    <x v="529"/>
    <x v="2"/>
    <x v="0"/>
    <x v="2"/>
    <x v="221"/>
    <x v="12"/>
    <x v="551"/>
    <x v="1"/>
  </r>
  <r>
    <x v="34"/>
    <x v="24"/>
    <x v="12"/>
    <x v="3"/>
    <x v="302"/>
    <x v="2"/>
    <x v="0"/>
    <x v="2"/>
    <x v="221"/>
    <x v="6"/>
    <x v="552"/>
    <x v="1"/>
  </r>
  <r>
    <x v="34"/>
    <x v="32"/>
    <x v="614"/>
    <x v="3"/>
    <x v="422"/>
    <x v="2"/>
    <x v="2"/>
    <x v="4"/>
    <x v="221"/>
    <x v="10"/>
    <x v="553"/>
    <x v="1"/>
  </r>
  <r>
    <x v="34"/>
    <x v="32"/>
    <x v="45"/>
    <x v="4"/>
    <x v="422"/>
    <x v="2"/>
    <x v="2"/>
    <x v="4"/>
    <x v="221"/>
    <x v="10"/>
    <x v="554"/>
    <x v="1"/>
  </r>
  <r>
    <x v="34"/>
    <x v="32"/>
    <x v="158"/>
    <x v="6"/>
    <x v="422"/>
    <x v="2"/>
    <x v="2"/>
    <x v="4"/>
    <x v="221"/>
    <x v="10"/>
    <x v="555"/>
    <x v="1"/>
  </r>
  <r>
    <x v="34"/>
    <x v="32"/>
    <x v="1699"/>
    <x v="7"/>
    <x v="422"/>
    <x v="2"/>
    <x v="2"/>
    <x v="4"/>
    <x v="221"/>
    <x v="10"/>
    <x v="556"/>
    <x v="1"/>
  </r>
  <r>
    <x v="34"/>
    <x v="32"/>
    <x v="618"/>
    <x v="8"/>
    <x v="422"/>
    <x v="2"/>
    <x v="2"/>
    <x v="4"/>
    <x v="221"/>
    <x v="10"/>
    <x v="557"/>
    <x v="1"/>
  </r>
  <r>
    <x v="34"/>
    <x v="32"/>
    <x v="1071"/>
    <x v="5"/>
    <x v="532"/>
    <x v="2"/>
    <x v="2"/>
    <x v="4"/>
    <x v="221"/>
    <x v="10"/>
    <x v="558"/>
    <x v="1"/>
  </r>
  <r>
    <x v="34"/>
    <x v="12"/>
    <x v="23"/>
    <x v="1"/>
    <x v="331"/>
    <x v="2"/>
    <x v="0"/>
    <x v="2"/>
    <x v="221"/>
    <x v="5"/>
    <x v="559"/>
    <x v="1"/>
  </r>
  <r>
    <x v="35"/>
    <x v="20"/>
    <x v="623"/>
    <x v="0"/>
    <x v="61"/>
    <x v="2"/>
    <x v="0"/>
    <x v="2"/>
    <x v="221"/>
    <x v="5"/>
    <x v="560"/>
    <x v="1"/>
  </r>
  <r>
    <x v="35"/>
    <x v="12"/>
    <x v="785"/>
    <x v="0"/>
    <x v="18"/>
    <x v="2"/>
    <x v="0"/>
    <x v="2"/>
    <x v="221"/>
    <x v="5"/>
    <x v="561"/>
    <x v="1"/>
  </r>
  <r>
    <x v="35"/>
    <x v="1"/>
    <x v="375"/>
    <x v="1"/>
    <x v="431"/>
    <x v="2"/>
    <x v="0"/>
    <x v="2"/>
    <x v="221"/>
    <x v="4"/>
    <x v="562"/>
    <x v="1"/>
  </r>
  <r>
    <x v="35"/>
    <x v="9"/>
    <x v="1598"/>
    <x v="0"/>
    <x v="230"/>
    <x v="2"/>
    <x v="0"/>
    <x v="2"/>
    <x v="221"/>
    <x v="5"/>
    <x v="563"/>
    <x v="1"/>
  </r>
  <r>
    <x v="35"/>
    <x v="38"/>
    <x v="451"/>
    <x v="0"/>
    <x v="226"/>
    <x v="2"/>
    <x v="0"/>
    <x v="2"/>
    <x v="221"/>
    <x v="5"/>
    <x v="564"/>
    <x v="1"/>
  </r>
  <r>
    <x v="35"/>
    <x v="12"/>
    <x v="287"/>
    <x v="1"/>
    <x v="509"/>
    <x v="2"/>
    <x v="0"/>
    <x v="2"/>
    <x v="221"/>
    <x v="5"/>
    <x v="565"/>
    <x v="1"/>
  </r>
  <r>
    <x v="35"/>
    <x v="37"/>
    <x v="97"/>
    <x v="1"/>
    <x v="529"/>
    <x v="2"/>
    <x v="0"/>
    <x v="2"/>
    <x v="221"/>
    <x v="12"/>
    <x v="566"/>
    <x v="1"/>
  </r>
  <r>
    <x v="35"/>
    <x v="38"/>
    <x v="53"/>
    <x v="1"/>
    <x v="405"/>
    <x v="2"/>
    <x v="0"/>
    <x v="2"/>
    <x v="221"/>
    <x v="5"/>
    <x v="567"/>
    <x v="1"/>
  </r>
  <r>
    <x v="35"/>
    <x v="12"/>
    <x v="19"/>
    <x v="1"/>
    <x v="331"/>
    <x v="2"/>
    <x v="0"/>
    <x v="2"/>
    <x v="221"/>
    <x v="5"/>
    <x v="568"/>
    <x v="1"/>
  </r>
  <r>
    <x v="35"/>
    <x v="24"/>
    <x v="30"/>
    <x v="1"/>
    <x v="90"/>
    <x v="2"/>
    <x v="0"/>
    <x v="2"/>
    <x v="221"/>
    <x v="6"/>
    <x v="569"/>
    <x v="1"/>
  </r>
  <r>
    <x v="35"/>
    <x v="37"/>
    <x v="12"/>
    <x v="3"/>
    <x v="529"/>
    <x v="2"/>
    <x v="0"/>
    <x v="2"/>
    <x v="221"/>
    <x v="12"/>
    <x v="570"/>
    <x v="1"/>
  </r>
  <r>
    <x v="35"/>
    <x v="23"/>
    <x v="19"/>
    <x v="3"/>
    <x v="284"/>
    <x v="2"/>
    <x v="0"/>
    <x v="2"/>
    <x v="221"/>
    <x v="6"/>
    <x v="571"/>
    <x v="1"/>
  </r>
  <r>
    <x v="35"/>
    <x v="0"/>
    <x v="87"/>
    <x v="1"/>
    <x v="365"/>
    <x v="2"/>
    <x v="0"/>
    <x v="2"/>
    <x v="221"/>
    <x v="9"/>
    <x v="572"/>
    <x v="1"/>
  </r>
  <r>
    <x v="35"/>
    <x v="32"/>
    <x v="1432"/>
    <x v="3"/>
    <x v="422"/>
    <x v="2"/>
    <x v="2"/>
    <x v="4"/>
    <x v="221"/>
    <x v="10"/>
    <x v="573"/>
    <x v="1"/>
  </r>
  <r>
    <x v="35"/>
    <x v="32"/>
    <x v="900"/>
    <x v="2"/>
    <x v="422"/>
    <x v="2"/>
    <x v="2"/>
    <x v="4"/>
    <x v="221"/>
    <x v="10"/>
    <x v="574"/>
    <x v="1"/>
  </r>
  <r>
    <x v="35"/>
    <x v="32"/>
    <x v="223"/>
    <x v="6"/>
    <x v="422"/>
    <x v="2"/>
    <x v="2"/>
    <x v="4"/>
    <x v="221"/>
    <x v="10"/>
    <x v="575"/>
    <x v="1"/>
  </r>
  <r>
    <x v="35"/>
    <x v="32"/>
    <x v="1845"/>
    <x v="7"/>
    <x v="422"/>
    <x v="2"/>
    <x v="2"/>
    <x v="4"/>
    <x v="221"/>
    <x v="10"/>
    <x v="576"/>
    <x v="1"/>
  </r>
  <r>
    <x v="35"/>
    <x v="32"/>
    <x v="892"/>
    <x v="8"/>
    <x v="422"/>
    <x v="2"/>
    <x v="2"/>
    <x v="4"/>
    <x v="221"/>
    <x v="10"/>
    <x v="577"/>
    <x v="1"/>
  </r>
  <r>
    <x v="35"/>
    <x v="32"/>
    <x v="1313"/>
    <x v="5"/>
    <x v="532"/>
    <x v="2"/>
    <x v="2"/>
    <x v="4"/>
    <x v="221"/>
    <x v="10"/>
    <x v="578"/>
    <x v="1"/>
  </r>
  <r>
    <x v="36"/>
    <x v="20"/>
    <x v="5"/>
    <x v="3"/>
    <x v="409"/>
    <x v="2"/>
    <x v="0"/>
    <x v="2"/>
    <x v="221"/>
    <x v="5"/>
    <x v="579"/>
    <x v="1"/>
  </r>
  <r>
    <x v="36"/>
    <x v="23"/>
    <x v="2"/>
    <x v="3"/>
    <x v="284"/>
    <x v="2"/>
    <x v="0"/>
    <x v="2"/>
    <x v="221"/>
    <x v="6"/>
    <x v="580"/>
    <x v="1"/>
  </r>
  <r>
    <x v="36"/>
    <x v="12"/>
    <x v="431"/>
    <x v="0"/>
    <x v="18"/>
    <x v="2"/>
    <x v="0"/>
    <x v="2"/>
    <x v="221"/>
    <x v="5"/>
    <x v="581"/>
    <x v="1"/>
  </r>
  <r>
    <x v="36"/>
    <x v="9"/>
    <x v="1651"/>
    <x v="0"/>
    <x v="230"/>
    <x v="2"/>
    <x v="0"/>
    <x v="2"/>
    <x v="221"/>
    <x v="5"/>
    <x v="582"/>
    <x v="1"/>
  </r>
  <r>
    <x v="36"/>
    <x v="8"/>
    <x v="779"/>
    <x v="0"/>
    <x v="132"/>
    <x v="2"/>
    <x v="0"/>
    <x v="2"/>
    <x v="221"/>
    <x v="5"/>
    <x v="583"/>
    <x v="1"/>
  </r>
  <r>
    <x v="36"/>
    <x v="20"/>
    <x v="1383"/>
    <x v="0"/>
    <x v="63"/>
    <x v="2"/>
    <x v="0"/>
    <x v="2"/>
    <x v="221"/>
    <x v="5"/>
    <x v="584"/>
    <x v="1"/>
  </r>
  <r>
    <x v="36"/>
    <x v="38"/>
    <x v="386"/>
    <x v="0"/>
    <x v="226"/>
    <x v="2"/>
    <x v="0"/>
    <x v="2"/>
    <x v="221"/>
    <x v="5"/>
    <x v="585"/>
    <x v="1"/>
  </r>
  <r>
    <x v="36"/>
    <x v="15"/>
    <x v="404"/>
    <x v="3"/>
    <x v="355"/>
    <x v="2"/>
    <x v="0"/>
    <x v="2"/>
    <x v="221"/>
    <x v="4"/>
    <x v="586"/>
    <x v="1"/>
  </r>
  <r>
    <x v="36"/>
    <x v="27"/>
    <x v="993"/>
    <x v="1"/>
    <x v="7"/>
    <x v="2"/>
    <x v="0"/>
    <x v="2"/>
    <x v="221"/>
    <x v="5"/>
    <x v="587"/>
    <x v="1"/>
  </r>
  <r>
    <x v="36"/>
    <x v="31"/>
    <x v="224"/>
    <x v="1"/>
    <x v="73"/>
    <x v="2"/>
    <x v="0"/>
    <x v="2"/>
    <x v="221"/>
    <x v="8"/>
    <x v="588"/>
    <x v="1"/>
  </r>
  <r>
    <x v="36"/>
    <x v="24"/>
    <x v="45"/>
    <x v="1"/>
    <x v="155"/>
    <x v="2"/>
    <x v="0"/>
    <x v="2"/>
    <x v="221"/>
    <x v="6"/>
    <x v="589"/>
    <x v="1"/>
  </r>
  <r>
    <x v="36"/>
    <x v="38"/>
    <x v="599"/>
    <x v="1"/>
    <x v="389"/>
    <x v="2"/>
    <x v="0"/>
    <x v="2"/>
    <x v="221"/>
    <x v="5"/>
    <x v="590"/>
    <x v="1"/>
  </r>
  <r>
    <x v="36"/>
    <x v="24"/>
    <x v="12"/>
    <x v="1"/>
    <x v="545"/>
    <x v="2"/>
    <x v="0"/>
    <x v="2"/>
    <x v="221"/>
    <x v="6"/>
    <x v="591"/>
    <x v="1"/>
  </r>
  <r>
    <x v="36"/>
    <x v="37"/>
    <x v="58"/>
    <x v="3"/>
    <x v="529"/>
    <x v="2"/>
    <x v="0"/>
    <x v="2"/>
    <x v="221"/>
    <x v="12"/>
    <x v="592"/>
    <x v="1"/>
  </r>
  <r>
    <x v="36"/>
    <x v="20"/>
    <x v="45"/>
    <x v="1"/>
    <x v="508"/>
    <x v="2"/>
    <x v="0"/>
    <x v="2"/>
    <x v="221"/>
    <x v="5"/>
    <x v="593"/>
    <x v="1"/>
  </r>
  <r>
    <x v="36"/>
    <x v="28"/>
    <x v="412"/>
    <x v="3"/>
    <x v="424"/>
    <x v="2"/>
    <x v="0"/>
    <x v="2"/>
    <x v="221"/>
    <x v="0"/>
    <x v="594"/>
    <x v="1"/>
  </r>
  <r>
    <x v="36"/>
    <x v="3"/>
    <x v="120"/>
    <x v="1"/>
    <x v="575"/>
    <x v="2"/>
    <x v="0"/>
    <x v="2"/>
    <x v="221"/>
    <x v="4"/>
    <x v="595"/>
    <x v="1"/>
  </r>
  <r>
    <x v="36"/>
    <x v="20"/>
    <x v="90"/>
    <x v="1"/>
    <x v="150"/>
    <x v="2"/>
    <x v="0"/>
    <x v="2"/>
    <x v="221"/>
    <x v="5"/>
    <x v="596"/>
    <x v="1"/>
  </r>
  <r>
    <x v="36"/>
    <x v="28"/>
    <x v="191"/>
    <x v="1"/>
    <x v="424"/>
    <x v="2"/>
    <x v="0"/>
    <x v="2"/>
    <x v="221"/>
    <x v="0"/>
    <x v="597"/>
    <x v="1"/>
  </r>
  <r>
    <x v="36"/>
    <x v="0"/>
    <x v="894"/>
    <x v="3"/>
    <x v="273"/>
    <x v="2"/>
    <x v="0"/>
    <x v="2"/>
    <x v="221"/>
    <x v="9"/>
    <x v="598"/>
    <x v="1"/>
  </r>
  <r>
    <x v="36"/>
    <x v="32"/>
    <x v="1534"/>
    <x v="3"/>
    <x v="422"/>
    <x v="2"/>
    <x v="2"/>
    <x v="4"/>
    <x v="221"/>
    <x v="10"/>
    <x v="599"/>
    <x v="1"/>
  </r>
  <r>
    <x v="36"/>
    <x v="32"/>
    <x v="1300"/>
    <x v="2"/>
    <x v="422"/>
    <x v="2"/>
    <x v="2"/>
    <x v="4"/>
    <x v="221"/>
    <x v="10"/>
    <x v="600"/>
    <x v="1"/>
  </r>
  <r>
    <x v="36"/>
    <x v="32"/>
    <x v="117"/>
    <x v="4"/>
    <x v="422"/>
    <x v="2"/>
    <x v="2"/>
    <x v="4"/>
    <x v="221"/>
    <x v="10"/>
    <x v="601"/>
    <x v="1"/>
  </r>
  <r>
    <x v="36"/>
    <x v="32"/>
    <x v="431"/>
    <x v="6"/>
    <x v="422"/>
    <x v="2"/>
    <x v="2"/>
    <x v="4"/>
    <x v="221"/>
    <x v="10"/>
    <x v="602"/>
    <x v="1"/>
  </r>
  <r>
    <x v="36"/>
    <x v="32"/>
    <x v="1967"/>
    <x v="7"/>
    <x v="422"/>
    <x v="2"/>
    <x v="2"/>
    <x v="4"/>
    <x v="221"/>
    <x v="10"/>
    <x v="603"/>
    <x v="1"/>
  </r>
  <r>
    <x v="36"/>
    <x v="32"/>
    <x v="828"/>
    <x v="8"/>
    <x v="422"/>
    <x v="2"/>
    <x v="2"/>
    <x v="4"/>
    <x v="221"/>
    <x v="10"/>
    <x v="604"/>
    <x v="1"/>
  </r>
  <r>
    <x v="36"/>
    <x v="32"/>
    <x v="1594"/>
    <x v="5"/>
    <x v="532"/>
    <x v="2"/>
    <x v="2"/>
    <x v="4"/>
    <x v="221"/>
    <x v="10"/>
    <x v="605"/>
    <x v="1"/>
  </r>
  <r>
    <x v="37"/>
    <x v="23"/>
    <x v="27"/>
    <x v="3"/>
    <x v="284"/>
    <x v="3"/>
    <x v="0"/>
    <x v="2"/>
    <x v="221"/>
    <x v="6"/>
    <x v="606"/>
    <x v="1"/>
  </r>
  <r>
    <x v="37"/>
    <x v="38"/>
    <x v="15"/>
    <x v="3"/>
    <x v="444"/>
    <x v="3"/>
    <x v="0"/>
    <x v="2"/>
    <x v="221"/>
    <x v="5"/>
    <x v="607"/>
    <x v="1"/>
  </r>
  <r>
    <x v="37"/>
    <x v="20"/>
    <x v="1447"/>
    <x v="0"/>
    <x v="63"/>
    <x v="3"/>
    <x v="0"/>
    <x v="2"/>
    <x v="221"/>
    <x v="5"/>
    <x v="608"/>
    <x v="1"/>
  </r>
  <r>
    <x v="37"/>
    <x v="8"/>
    <x v="449"/>
    <x v="0"/>
    <x v="132"/>
    <x v="3"/>
    <x v="0"/>
    <x v="2"/>
    <x v="221"/>
    <x v="5"/>
    <x v="609"/>
    <x v="1"/>
  </r>
  <r>
    <x v="37"/>
    <x v="12"/>
    <x v="948"/>
    <x v="0"/>
    <x v="18"/>
    <x v="3"/>
    <x v="0"/>
    <x v="2"/>
    <x v="221"/>
    <x v="5"/>
    <x v="610"/>
    <x v="1"/>
  </r>
  <r>
    <x v="37"/>
    <x v="9"/>
    <x v="1658"/>
    <x v="0"/>
    <x v="230"/>
    <x v="3"/>
    <x v="0"/>
    <x v="2"/>
    <x v="221"/>
    <x v="5"/>
    <x v="611"/>
    <x v="1"/>
  </r>
  <r>
    <x v="37"/>
    <x v="12"/>
    <x v="375"/>
    <x v="1"/>
    <x v="431"/>
    <x v="3"/>
    <x v="0"/>
    <x v="2"/>
    <x v="221"/>
    <x v="5"/>
    <x v="612"/>
    <x v="1"/>
  </r>
  <r>
    <x v="37"/>
    <x v="3"/>
    <x v="909"/>
    <x v="0"/>
    <x v="415"/>
    <x v="3"/>
    <x v="0"/>
    <x v="2"/>
    <x v="221"/>
    <x v="4"/>
    <x v="613"/>
    <x v="1"/>
  </r>
  <r>
    <x v="37"/>
    <x v="24"/>
    <x v="120"/>
    <x v="1"/>
    <x v="289"/>
    <x v="3"/>
    <x v="0"/>
    <x v="2"/>
    <x v="221"/>
    <x v="6"/>
    <x v="614"/>
    <x v="1"/>
  </r>
  <r>
    <x v="37"/>
    <x v="37"/>
    <x v="53"/>
    <x v="1"/>
    <x v="529"/>
    <x v="3"/>
    <x v="0"/>
    <x v="2"/>
    <x v="221"/>
    <x v="12"/>
    <x v="615"/>
    <x v="1"/>
  </r>
  <r>
    <x v="37"/>
    <x v="32"/>
    <x v="1393"/>
    <x v="3"/>
    <x v="422"/>
    <x v="3"/>
    <x v="2"/>
    <x v="4"/>
    <x v="221"/>
    <x v="10"/>
    <x v="616"/>
    <x v="1"/>
  </r>
  <r>
    <x v="37"/>
    <x v="32"/>
    <x v="402"/>
    <x v="2"/>
    <x v="422"/>
    <x v="3"/>
    <x v="2"/>
    <x v="4"/>
    <x v="221"/>
    <x v="10"/>
    <x v="617"/>
    <x v="1"/>
  </r>
  <r>
    <x v="37"/>
    <x v="32"/>
    <x v="1444"/>
    <x v="6"/>
    <x v="422"/>
    <x v="3"/>
    <x v="2"/>
    <x v="4"/>
    <x v="221"/>
    <x v="10"/>
    <x v="618"/>
    <x v="1"/>
  </r>
  <r>
    <x v="37"/>
    <x v="32"/>
    <x v="1983"/>
    <x v="7"/>
    <x v="422"/>
    <x v="3"/>
    <x v="2"/>
    <x v="4"/>
    <x v="221"/>
    <x v="10"/>
    <x v="619"/>
    <x v="1"/>
  </r>
  <r>
    <x v="37"/>
    <x v="32"/>
    <x v="548"/>
    <x v="8"/>
    <x v="422"/>
    <x v="3"/>
    <x v="2"/>
    <x v="4"/>
    <x v="221"/>
    <x v="10"/>
    <x v="620"/>
    <x v="1"/>
  </r>
  <r>
    <x v="37"/>
    <x v="32"/>
    <x v="1653"/>
    <x v="5"/>
    <x v="532"/>
    <x v="3"/>
    <x v="2"/>
    <x v="4"/>
    <x v="221"/>
    <x v="10"/>
    <x v="621"/>
    <x v="1"/>
  </r>
  <r>
    <x v="38"/>
    <x v="3"/>
    <x v="988"/>
    <x v="0"/>
    <x v="543"/>
    <x v="3"/>
    <x v="0"/>
    <x v="2"/>
    <x v="221"/>
    <x v="4"/>
    <x v="622"/>
    <x v="1"/>
  </r>
  <r>
    <x v="38"/>
    <x v="20"/>
    <x v="1122"/>
    <x v="0"/>
    <x v="63"/>
    <x v="3"/>
    <x v="0"/>
    <x v="2"/>
    <x v="221"/>
    <x v="5"/>
    <x v="623"/>
    <x v="1"/>
  </r>
  <r>
    <x v="38"/>
    <x v="15"/>
    <x v="407"/>
    <x v="1"/>
    <x v="355"/>
    <x v="3"/>
    <x v="0"/>
    <x v="2"/>
    <x v="221"/>
    <x v="4"/>
    <x v="624"/>
    <x v="1"/>
  </r>
  <r>
    <x v="38"/>
    <x v="9"/>
    <x v="1681"/>
    <x v="0"/>
    <x v="230"/>
    <x v="3"/>
    <x v="0"/>
    <x v="2"/>
    <x v="221"/>
    <x v="5"/>
    <x v="625"/>
    <x v="1"/>
  </r>
  <r>
    <x v="38"/>
    <x v="12"/>
    <x v="1089"/>
    <x v="0"/>
    <x v="18"/>
    <x v="3"/>
    <x v="0"/>
    <x v="2"/>
    <x v="221"/>
    <x v="5"/>
    <x v="626"/>
    <x v="1"/>
  </r>
  <r>
    <x v="38"/>
    <x v="0"/>
    <x v="1483"/>
    <x v="0"/>
    <x v="452"/>
    <x v="3"/>
    <x v="0"/>
    <x v="2"/>
    <x v="221"/>
    <x v="9"/>
    <x v="627"/>
    <x v="1"/>
  </r>
  <r>
    <x v="38"/>
    <x v="37"/>
    <x v="55"/>
    <x v="1"/>
    <x v="529"/>
    <x v="3"/>
    <x v="0"/>
    <x v="2"/>
    <x v="221"/>
    <x v="12"/>
    <x v="628"/>
    <x v="1"/>
  </r>
  <r>
    <x v="38"/>
    <x v="24"/>
    <x v="49"/>
    <x v="1"/>
    <x v="542"/>
    <x v="3"/>
    <x v="0"/>
    <x v="2"/>
    <x v="221"/>
    <x v="6"/>
    <x v="629"/>
    <x v="1"/>
  </r>
  <r>
    <x v="38"/>
    <x v="23"/>
    <x v="27"/>
    <x v="3"/>
    <x v="284"/>
    <x v="3"/>
    <x v="0"/>
    <x v="2"/>
    <x v="221"/>
    <x v="6"/>
    <x v="630"/>
    <x v="1"/>
  </r>
  <r>
    <x v="38"/>
    <x v="32"/>
    <x v="834"/>
    <x v="3"/>
    <x v="422"/>
    <x v="3"/>
    <x v="2"/>
    <x v="4"/>
    <x v="221"/>
    <x v="10"/>
    <x v="631"/>
    <x v="1"/>
  </r>
  <r>
    <x v="38"/>
    <x v="32"/>
    <x v="438"/>
    <x v="6"/>
    <x v="422"/>
    <x v="3"/>
    <x v="2"/>
    <x v="4"/>
    <x v="221"/>
    <x v="10"/>
    <x v="632"/>
    <x v="1"/>
  </r>
  <r>
    <x v="38"/>
    <x v="32"/>
    <x v="1937"/>
    <x v="7"/>
    <x v="422"/>
    <x v="3"/>
    <x v="2"/>
    <x v="4"/>
    <x v="221"/>
    <x v="10"/>
    <x v="633"/>
    <x v="1"/>
  </r>
  <r>
    <x v="38"/>
    <x v="32"/>
    <x v="120"/>
    <x v="8"/>
    <x v="422"/>
    <x v="3"/>
    <x v="2"/>
    <x v="4"/>
    <x v="221"/>
    <x v="10"/>
    <x v="634"/>
    <x v="1"/>
  </r>
  <r>
    <x v="38"/>
    <x v="32"/>
    <x v="1516"/>
    <x v="5"/>
    <x v="532"/>
    <x v="3"/>
    <x v="2"/>
    <x v="4"/>
    <x v="221"/>
    <x v="10"/>
    <x v="635"/>
    <x v="1"/>
  </r>
  <r>
    <x v="39"/>
    <x v="20"/>
    <x v="1463"/>
    <x v="0"/>
    <x v="63"/>
    <x v="3"/>
    <x v="0"/>
    <x v="2"/>
    <x v="221"/>
    <x v="5"/>
    <x v="636"/>
    <x v="1"/>
  </r>
  <r>
    <x v="39"/>
    <x v="8"/>
    <x v="779"/>
    <x v="0"/>
    <x v="132"/>
    <x v="3"/>
    <x v="0"/>
    <x v="2"/>
    <x v="221"/>
    <x v="5"/>
    <x v="637"/>
    <x v="1"/>
  </r>
  <r>
    <x v="39"/>
    <x v="12"/>
    <x v="676"/>
    <x v="0"/>
    <x v="18"/>
    <x v="3"/>
    <x v="0"/>
    <x v="2"/>
    <x v="221"/>
    <x v="5"/>
    <x v="638"/>
    <x v="1"/>
  </r>
  <r>
    <x v="39"/>
    <x v="9"/>
    <x v="1632"/>
    <x v="0"/>
    <x v="230"/>
    <x v="3"/>
    <x v="0"/>
    <x v="2"/>
    <x v="221"/>
    <x v="5"/>
    <x v="639"/>
    <x v="1"/>
  </r>
  <r>
    <x v="39"/>
    <x v="27"/>
    <x v="925"/>
    <x v="1"/>
    <x v="7"/>
    <x v="3"/>
    <x v="0"/>
    <x v="2"/>
    <x v="221"/>
    <x v="5"/>
    <x v="640"/>
    <x v="1"/>
  </r>
  <r>
    <x v="39"/>
    <x v="23"/>
    <x v="45"/>
    <x v="3"/>
    <x v="284"/>
    <x v="3"/>
    <x v="0"/>
    <x v="2"/>
    <x v="221"/>
    <x v="6"/>
    <x v="641"/>
    <x v="1"/>
  </r>
  <r>
    <x v="39"/>
    <x v="12"/>
    <x v="287"/>
    <x v="1"/>
    <x v="509"/>
    <x v="3"/>
    <x v="0"/>
    <x v="2"/>
    <x v="221"/>
    <x v="5"/>
    <x v="642"/>
    <x v="1"/>
  </r>
  <r>
    <x v="39"/>
    <x v="20"/>
    <x v="121"/>
    <x v="1"/>
    <x v="62"/>
    <x v="3"/>
    <x v="0"/>
    <x v="2"/>
    <x v="221"/>
    <x v="5"/>
    <x v="643"/>
    <x v="1"/>
  </r>
  <r>
    <x v="39"/>
    <x v="15"/>
    <x v="465"/>
    <x v="3"/>
    <x v="355"/>
    <x v="3"/>
    <x v="0"/>
    <x v="2"/>
    <x v="221"/>
    <x v="4"/>
    <x v="644"/>
    <x v="1"/>
  </r>
  <r>
    <x v="39"/>
    <x v="37"/>
    <x v="45"/>
    <x v="1"/>
    <x v="529"/>
    <x v="3"/>
    <x v="0"/>
    <x v="2"/>
    <x v="221"/>
    <x v="12"/>
    <x v="645"/>
    <x v="1"/>
  </r>
  <r>
    <x v="39"/>
    <x v="38"/>
    <x v="22"/>
    <x v="3"/>
    <x v="444"/>
    <x v="3"/>
    <x v="0"/>
    <x v="2"/>
    <x v="221"/>
    <x v="5"/>
    <x v="646"/>
    <x v="1"/>
  </r>
  <r>
    <x v="39"/>
    <x v="32"/>
    <x v="873"/>
    <x v="3"/>
    <x v="422"/>
    <x v="3"/>
    <x v="2"/>
    <x v="4"/>
    <x v="221"/>
    <x v="10"/>
    <x v="647"/>
    <x v="1"/>
  </r>
  <r>
    <x v="39"/>
    <x v="32"/>
    <x v="346"/>
    <x v="2"/>
    <x v="422"/>
    <x v="3"/>
    <x v="2"/>
    <x v="4"/>
    <x v="221"/>
    <x v="10"/>
    <x v="648"/>
    <x v="1"/>
  </r>
  <r>
    <x v="39"/>
    <x v="32"/>
    <x v="143"/>
    <x v="6"/>
    <x v="422"/>
    <x v="3"/>
    <x v="2"/>
    <x v="4"/>
    <x v="221"/>
    <x v="10"/>
    <x v="649"/>
    <x v="1"/>
  </r>
  <r>
    <x v="39"/>
    <x v="32"/>
    <x v="1830"/>
    <x v="7"/>
    <x v="422"/>
    <x v="3"/>
    <x v="2"/>
    <x v="4"/>
    <x v="221"/>
    <x v="10"/>
    <x v="650"/>
    <x v="1"/>
  </r>
  <r>
    <x v="39"/>
    <x v="32"/>
    <x v="180"/>
    <x v="8"/>
    <x v="422"/>
    <x v="3"/>
    <x v="2"/>
    <x v="4"/>
    <x v="221"/>
    <x v="10"/>
    <x v="651"/>
    <x v="1"/>
  </r>
  <r>
    <x v="39"/>
    <x v="32"/>
    <x v="1386"/>
    <x v="5"/>
    <x v="532"/>
    <x v="3"/>
    <x v="2"/>
    <x v="4"/>
    <x v="221"/>
    <x v="10"/>
    <x v="652"/>
    <x v="1"/>
  </r>
  <r>
    <x v="39"/>
    <x v="25"/>
    <x v="375"/>
    <x v="1"/>
    <x v="365"/>
    <x v="3"/>
    <x v="0"/>
    <x v="2"/>
    <x v="221"/>
    <x v="12"/>
    <x v="653"/>
    <x v="1"/>
  </r>
  <r>
    <x v="39"/>
    <x v="38"/>
    <x v="53"/>
    <x v="1"/>
    <x v="405"/>
    <x v="3"/>
    <x v="0"/>
    <x v="2"/>
    <x v="221"/>
    <x v="5"/>
    <x v="654"/>
    <x v="1"/>
  </r>
  <r>
    <x v="39"/>
    <x v="12"/>
    <x v="30"/>
    <x v="1"/>
    <x v="331"/>
    <x v="3"/>
    <x v="0"/>
    <x v="2"/>
    <x v="221"/>
    <x v="5"/>
    <x v="655"/>
    <x v="1"/>
  </r>
  <r>
    <x v="40"/>
    <x v="9"/>
    <x v="1048"/>
    <x v="0"/>
    <x v="230"/>
    <x v="3"/>
    <x v="0"/>
    <x v="2"/>
    <x v="221"/>
    <x v="5"/>
    <x v="656"/>
    <x v="1"/>
  </r>
  <r>
    <x v="40"/>
    <x v="20"/>
    <x v="880"/>
    <x v="0"/>
    <x v="63"/>
    <x v="3"/>
    <x v="0"/>
    <x v="2"/>
    <x v="221"/>
    <x v="5"/>
    <x v="657"/>
    <x v="1"/>
  </r>
  <r>
    <x v="40"/>
    <x v="12"/>
    <x v="174"/>
    <x v="0"/>
    <x v="18"/>
    <x v="3"/>
    <x v="0"/>
    <x v="2"/>
    <x v="221"/>
    <x v="5"/>
    <x v="658"/>
    <x v="1"/>
  </r>
  <r>
    <x v="40"/>
    <x v="38"/>
    <x v="216"/>
    <x v="0"/>
    <x v="226"/>
    <x v="3"/>
    <x v="0"/>
    <x v="2"/>
    <x v="221"/>
    <x v="5"/>
    <x v="659"/>
    <x v="1"/>
  </r>
  <r>
    <x v="40"/>
    <x v="38"/>
    <x v="201"/>
    <x v="0"/>
    <x v="226"/>
    <x v="3"/>
    <x v="0"/>
    <x v="2"/>
    <x v="221"/>
    <x v="5"/>
    <x v="660"/>
    <x v="1"/>
  </r>
  <r>
    <x v="40"/>
    <x v="3"/>
    <x v="641"/>
    <x v="0"/>
    <x v="59"/>
    <x v="3"/>
    <x v="0"/>
    <x v="2"/>
    <x v="221"/>
    <x v="4"/>
    <x v="661"/>
    <x v="1"/>
  </r>
  <r>
    <x v="40"/>
    <x v="23"/>
    <x v="27"/>
    <x v="3"/>
    <x v="284"/>
    <x v="3"/>
    <x v="0"/>
    <x v="2"/>
    <x v="221"/>
    <x v="6"/>
    <x v="662"/>
    <x v="1"/>
  </r>
  <r>
    <x v="40"/>
    <x v="27"/>
    <x v="1415"/>
    <x v="0"/>
    <x v="7"/>
    <x v="3"/>
    <x v="0"/>
    <x v="2"/>
    <x v="221"/>
    <x v="5"/>
    <x v="663"/>
    <x v="1"/>
  </r>
  <r>
    <x v="40"/>
    <x v="20"/>
    <x v="134"/>
    <x v="1"/>
    <x v="420"/>
    <x v="3"/>
    <x v="0"/>
    <x v="2"/>
    <x v="221"/>
    <x v="5"/>
    <x v="664"/>
    <x v="1"/>
  </r>
  <r>
    <x v="40"/>
    <x v="37"/>
    <x v="53"/>
    <x v="1"/>
    <x v="529"/>
    <x v="3"/>
    <x v="0"/>
    <x v="2"/>
    <x v="221"/>
    <x v="12"/>
    <x v="665"/>
    <x v="1"/>
  </r>
  <r>
    <x v="40"/>
    <x v="38"/>
    <x v="662"/>
    <x v="1"/>
    <x v="389"/>
    <x v="3"/>
    <x v="0"/>
    <x v="2"/>
    <x v="221"/>
    <x v="5"/>
    <x v="666"/>
    <x v="1"/>
  </r>
  <r>
    <x v="40"/>
    <x v="30"/>
    <x v="869"/>
    <x v="0"/>
    <x v="296"/>
    <x v="3"/>
    <x v="0"/>
    <x v="2"/>
    <x v="221"/>
    <x v="3"/>
    <x v="667"/>
    <x v="1"/>
  </r>
  <r>
    <x v="40"/>
    <x v="30"/>
    <x v="1662"/>
    <x v="0"/>
    <x v="410"/>
    <x v="3"/>
    <x v="0"/>
    <x v="2"/>
    <x v="221"/>
    <x v="3"/>
    <x v="668"/>
    <x v="1"/>
  </r>
  <r>
    <x v="40"/>
    <x v="0"/>
    <x v="1570"/>
    <x v="0"/>
    <x v="314"/>
    <x v="3"/>
    <x v="0"/>
    <x v="2"/>
    <x v="221"/>
    <x v="9"/>
    <x v="669"/>
    <x v="1"/>
  </r>
  <r>
    <x v="40"/>
    <x v="32"/>
    <x v="1347"/>
    <x v="3"/>
    <x v="422"/>
    <x v="3"/>
    <x v="2"/>
    <x v="4"/>
    <x v="221"/>
    <x v="10"/>
    <x v="670"/>
    <x v="1"/>
  </r>
  <r>
    <x v="40"/>
    <x v="32"/>
    <x v="377"/>
    <x v="2"/>
    <x v="422"/>
    <x v="3"/>
    <x v="2"/>
    <x v="4"/>
    <x v="221"/>
    <x v="10"/>
    <x v="671"/>
    <x v="1"/>
  </r>
  <r>
    <x v="40"/>
    <x v="32"/>
    <x v="1848"/>
    <x v="7"/>
    <x v="422"/>
    <x v="3"/>
    <x v="2"/>
    <x v="4"/>
    <x v="221"/>
    <x v="10"/>
    <x v="672"/>
    <x v="1"/>
  </r>
  <r>
    <x v="40"/>
    <x v="32"/>
    <x v="1618"/>
    <x v="5"/>
    <x v="532"/>
    <x v="3"/>
    <x v="2"/>
    <x v="4"/>
    <x v="221"/>
    <x v="10"/>
    <x v="673"/>
    <x v="1"/>
  </r>
  <r>
    <x v="41"/>
    <x v="38"/>
    <x v="343"/>
    <x v="0"/>
    <x v="226"/>
    <x v="3"/>
    <x v="0"/>
    <x v="2"/>
    <x v="221"/>
    <x v="5"/>
    <x v="674"/>
    <x v="1"/>
  </r>
  <r>
    <x v="41"/>
    <x v="13"/>
    <x v="1470"/>
    <x v="0"/>
    <x v="181"/>
    <x v="3"/>
    <x v="0"/>
    <x v="2"/>
    <x v="221"/>
    <x v="5"/>
    <x v="675"/>
    <x v="1"/>
  </r>
  <r>
    <x v="41"/>
    <x v="12"/>
    <x v="771"/>
    <x v="0"/>
    <x v="18"/>
    <x v="3"/>
    <x v="0"/>
    <x v="2"/>
    <x v="221"/>
    <x v="5"/>
    <x v="676"/>
    <x v="1"/>
  </r>
  <r>
    <x v="41"/>
    <x v="8"/>
    <x v="449"/>
    <x v="0"/>
    <x v="132"/>
    <x v="3"/>
    <x v="0"/>
    <x v="2"/>
    <x v="221"/>
    <x v="5"/>
    <x v="677"/>
    <x v="1"/>
  </r>
  <r>
    <x v="41"/>
    <x v="9"/>
    <x v="1599"/>
    <x v="0"/>
    <x v="230"/>
    <x v="3"/>
    <x v="0"/>
    <x v="2"/>
    <x v="221"/>
    <x v="5"/>
    <x v="678"/>
    <x v="1"/>
  </r>
  <r>
    <x v="41"/>
    <x v="20"/>
    <x v="1171"/>
    <x v="0"/>
    <x v="63"/>
    <x v="3"/>
    <x v="0"/>
    <x v="2"/>
    <x v="221"/>
    <x v="5"/>
    <x v="679"/>
    <x v="1"/>
  </r>
  <r>
    <x v="41"/>
    <x v="32"/>
    <x v="929"/>
    <x v="3"/>
    <x v="422"/>
    <x v="3"/>
    <x v="2"/>
    <x v="4"/>
    <x v="221"/>
    <x v="10"/>
    <x v="680"/>
    <x v="1"/>
  </r>
  <r>
    <x v="41"/>
    <x v="32"/>
    <x v="53"/>
    <x v="6"/>
    <x v="422"/>
    <x v="3"/>
    <x v="2"/>
    <x v="4"/>
    <x v="221"/>
    <x v="10"/>
    <x v="681"/>
    <x v="1"/>
  </r>
  <r>
    <x v="41"/>
    <x v="32"/>
    <x v="1901"/>
    <x v="7"/>
    <x v="422"/>
    <x v="3"/>
    <x v="2"/>
    <x v="4"/>
    <x v="221"/>
    <x v="10"/>
    <x v="682"/>
    <x v="1"/>
  </r>
  <r>
    <x v="41"/>
    <x v="32"/>
    <x v="1574"/>
    <x v="5"/>
    <x v="532"/>
    <x v="3"/>
    <x v="2"/>
    <x v="4"/>
    <x v="221"/>
    <x v="10"/>
    <x v="683"/>
    <x v="1"/>
  </r>
  <r>
    <x v="41"/>
    <x v="24"/>
    <x v="426"/>
    <x v="1"/>
    <x v="83"/>
    <x v="3"/>
    <x v="0"/>
    <x v="2"/>
    <x v="221"/>
    <x v="6"/>
    <x v="684"/>
    <x v="1"/>
  </r>
  <r>
    <x v="41"/>
    <x v="37"/>
    <x v="53"/>
    <x v="1"/>
    <x v="529"/>
    <x v="3"/>
    <x v="0"/>
    <x v="2"/>
    <x v="221"/>
    <x v="12"/>
    <x v="685"/>
    <x v="1"/>
  </r>
  <r>
    <x v="41"/>
    <x v="23"/>
    <x v="7"/>
    <x v="3"/>
    <x v="284"/>
    <x v="3"/>
    <x v="0"/>
    <x v="2"/>
    <x v="221"/>
    <x v="6"/>
    <x v="686"/>
    <x v="1"/>
  </r>
  <r>
    <x v="41"/>
    <x v="3"/>
    <x v="1280"/>
    <x v="1"/>
    <x v="580"/>
    <x v="3"/>
    <x v="0"/>
    <x v="2"/>
    <x v="221"/>
    <x v="4"/>
    <x v="687"/>
    <x v="1"/>
  </r>
  <r>
    <x v="41"/>
    <x v="0"/>
    <x v="158"/>
    <x v="3"/>
    <x v="485"/>
    <x v="3"/>
    <x v="0"/>
    <x v="2"/>
    <x v="221"/>
    <x v="9"/>
    <x v="688"/>
    <x v="1"/>
  </r>
  <r>
    <x v="41"/>
    <x v="0"/>
    <x v="1570"/>
    <x v="0"/>
    <x v="485"/>
    <x v="3"/>
    <x v="0"/>
    <x v="2"/>
    <x v="221"/>
    <x v="9"/>
    <x v="689"/>
    <x v="1"/>
  </r>
  <r>
    <x v="42"/>
    <x v="27"/>
    <x v="1370"/>
    <x v="0"/>
    <x v="361"/>
    <x v="3"/>
    <x v="0"/>
    <x v="2"/>
    <x v="221"/>
    <x v="5"/>
    <x v="690"/>
    <x v="1"/>
  </r>
  <r>
    <x v="42"/>
    <x v="38"/>
    <x v="521"/>
    <x v="0"/>
    <x v="226"/>
    <x v="3"/>
    <x v="0"/>
    <x v="2"/>
    <x v="221"/>
    <x v="5"/>
    <x v="691"/>
    <x v="1"/>
  </r>
  <r>
    <x v="42"/>
    <x v="9"/>
    <x v="1603"/>
    <x v="0"/>
    <x v="230"/>
    <x v="3"/>
    <x v="0"/>
    <x v="2"/>
    <x v="221"/>
    <x v="5"/>
    <x v="692"/>
    <x v="1"/>
  </r>
  <r>
    <x v="42"/>
    <x v="12"/>
    <x v="528"/>
    <x v="0"/>
    <x v="18"/>
    <x v="3"/>
    <x v="0"/>
    <x v="2"/>
    <x v="221"/>
    <x v="5"/>
    <x v="693"/>
    <x v="1"/>
  </r>
  <r>
    <x v="42"/>
    <x v="20"/>
    <x v="1299"/>
    <x v="0"/>
    <x v="63"/>
    <x v="3"/>
    <x v="0"/>
    <x v="2"/>
    <x v="221"/>
    <x v="5"/>
    <x v="694"/>
    <x v="1"/>
  </r>
  <r>
    <x v="42"/>
    <x v="23"/>
    <x v="19"/>
    <x v="3"/>
    <x v="284"/>
    <x v="3"/>
    <x v="0"/>
    <x v="2"/>
    <x v="221"/>
    <x v="6"/>
    <x v="695"/>
    <x v="1"/>
  </r>
  <r>
    <x v="42"/>
    <x v="37"/>
    <x v="45"/>
    <x v="1"/>
    <x v="529"/>
    <x v="3"/>
    <x v="0"/>
    <x v="2"/>
    <x v="221"/>
    <x v="12"/>
    <x v="696"/>
    <x v="1"/>
  </r>
  <r>
    <x v="42"/>
    <x v="12"/>
    <x v="30"/>
    <x v="1"/>
    <x v="331"/>
    <x v="3"/>
    <x v="0"/>
    <x v="2"/>
    <x v="221"/>
    <x v="5"/>
    <x v="697"/>
    <x v="1"/>
  </r>
  <r>
    <x v="42"/>
    <x v="32"/>
    <x v="677"/>
    <x v="3"/>
    <x v="422"/>
    <x v="3"/>
    <x v="2"/>
    <x v="4"/>
    <x v="221"/>
    <x v="10"/>
    <x v="698"/>
    <x v="1"/>
  </r>
  <r>
    <x v="42"/>
    <x v="32"/>
    <x v="77"/>
    <x v="2"/>
    <x v="422"/>
    <x v="3"/>
    <x v="2"/>
    <x v="4"/>
    <x v="221"/>
    <x v="10"/>
    <x v="699"/>
    <x v="1"/>
  </r>
  <r>
    <x v="42"/>
    <x v="32"/>
    <x v="143"/>
    <x v="6"/>
    <x v="422"/>
    <x v="3"/>
    <x v="2"/>
    <x v="4"/>
    <x v="221"/>
    <x v="10"/>
    <x v="700"/>
    <x v="1"/>
  </r>
  <r>
    <x v="42"/>
    <x v="32"/>
    <x v="1876"/>
    <x v="7"/>
    <x v="422"/>
    <x v="3"/>
    <x v="2"/>
    <x v="4"/>
    <x v="221"/>
    <x v="10"/>
    <x v="701"/>
    <x v="1"/>
  </r>
  <r>
    <x v="42"/>
    <x v="32"/>
    <x v="143"/>
    <x v="8"/>
    <x v="422"/>
    <x v="3"/>
    <x v="2"/>
    <x v="4"/>
    <x v="221"/>
    <x v="10"/>
    <x v="702"/>
    <x v="1"/>
  </r>
  <r>
    <x v="42"/>
    <x v="32"/>
    <x v="1498"/>
    <x v="5"/>
    <x v="532"/>
    <x v="3"/>
    <x v="2"/>
    <x v="4"/>
    <x v="221"/>
    <x v="10"/>
    <x v="703"/>
    <x v="1"/>
  </r>
  <r>
    <x v="43"/>
    <x v="9"/>
    <x v="423"/>
    <x v="1"/>
    <x v="207"/>
    <x v="3"/>
    <x v="0"/>
    <x v="2"/>
    <x v="221"/>
    <x v="5"/>
    <x v="704"/>
    <x v="1"/>
  </r>
  <r>
    <x v="43"/>
    <x v="27"/>
    <x v="1415"/>
    <x v="0"/>
    <x v="7"/>
    <x v="3"/>
    <x v="0"/>
    <x v="2"/>
    <x v="221"/>
    <x v="5"/>
    <x v="705"/>
    <x v="1"/>
  </r>
  <r>
    <x v="43"/>
    <x v="9"/>
    <x v="1292"/>
    <x v="0"/>
    <x v="230"/>
    <x v="3"/>
    <x v="0"/>
    <x v="2"/>
    <x v="221"/>
    <x v="5"/>
    <x v="706"/>
    <x v="1"/>
  </r>
  <r>
    <x v="43"/>
    <x v="12"/>
    <x v="435"/>
    <x v="0"/>
    <x v="18"/>
    <x v="3"/>
    <x v="0"/>
    <x v="2"/>
    <x v="221"/>
    <x v="5"/>
    <x v="707"/>
    <x v="1"/>
  </r>
  <r>
    <x v="43"/>
    <x v="1"/>
    <x v="407"/>
    <x v="1"/>
    <x v="431"/>
    <x v="3"/>
    <x v="0"/>
    <x v="2"/>
    <x v="221"/>
    <x v="4"/>
    <x v="708"/>
    <x v="1"/>
  </r>
  <r>
    <x v="43"/>
    <x v="38"/>
    <x v="578"/>
    <x v="1"/>
    <x v="389"/>
    <x v="3"/>
    <x v="0"/>
    <x v="2"/>
    <x v="221"/>
    <x v="5"/>
    <x v="709"/>
    <x v="1"/>
  </r>
  <r>
    <x v="43"/>
    <x v="37"/>
    <x v="55"/>
    <x v="1"/>
    <x v="529"/>
    <x v="3"/>
    <x v="0"/>
    <x v="2"/>
    <x v="221"/>
    <x v="12"/>
    <x v="710"/>
    <x v="1"/>
  </r>
  <r>
    <x v="43"/>
    <x v="28"/>
    <x v="180"/>
    <x v="1"/>
    <x v="424"/>
    <x v="3"/>
    <x v="0"/>
    <x v="2"/>
    <x v="221"/>
    <x v="0"/>
    <x v="711"/>
    <x v="1"/>
  </r>
  <r>
    <x v="43"/>
    <x v="13"/>
    <x v="187"/>
    <x v="3"/>
    <x v="181"/>
    <x v="3"/>
    <x v="0"/>
    <x v="2"/>
    <x v="221"/>
    <x v="5"/>
    <x v="712"/>
    <x v="1"/>
  </r>
  <r>
    <x v="43"/>
    <x v="0"/>
    <x v="256"/>
    <x v="3"/>
    <x v="57"/>
    <x v="3"/>
    <x v="0"/>
    <x v="2"/>
    <x v="221"/>
    <x v="9"/>
    <x v="713"/>
    <x v="1"/>
  </r>
  <r>
    <x v="43"/>
    <x v="0"/>
    <x v="256"/>
    <x v="3"/>
    <x v="350"/>
    <x v="3"/>
    <x v="0"/>
    <x v="2"/>
    <x v="221"/>
    <x v="9"/>
    <x v="714"/>
    <x v="1"/>
  </r>
  <r>
    <x v="43"/>
    <x v="32"/>
    <x v="1072"/>
    <x v="3"/>
    <x v="422"/>
    <x v="3"/>
    <x v="2"/>
    <x v="4"/>
    <x v="221"/>
    <x v="10"/>
    <x v="715"/>
    <x v="1"/>
  </r>
  <r>
    <x v="43"/>
    <x v="32"/>
    <x v="1075"/>
    <x v="2"/>
    <x v="422"/>
    <x v="3"/>
    <x v="2"/>
    <x v="4"/>
    <x v="221"/>
    <x v="10"/>
    <x v="716"/>
    <x v="1"/>
  </r>
  <r>
    <x v="43"/>
    <x v="32"/>
    <x v="681"/>
    <x v="6"/>
    <x v="422"/>
    <x v="3"/>
    <x v="2"/>
    <x v="4"/>
    <x v="221"/>
    <x v="10"/>
    <x v="717"/>
    <x v="1"/>
  </r>
  <r>
    <x v="43"/>
    <x v="32"/>
    <x v="1975"/>
    <x v="7"/>
    <x v="422"/>
    <x v="3"/>
    <x v="2"/>
    <x v="4"/>
    <x v="221"/>
    <x v="10"/>
    <x v="718"/>
    <x v="1"/>
  </r>
  <r>
    <x v="43"/>
    <x v="32"/>
    <x v="1586"/>
    <x v="5"/>
    <x v="532"/>
    <x v="3"/>
    <x v="2"/>
    <x v="4"/>
    <x v="221"/>
    <x v="10"/>
    <x v="719"/>
    <x v="1"/>
  </r>
  <r>
    <x v="44"/>
    <x v="8"/>
    <x v="449"/>
    <x v="0"/>
    <x v="590"/>
    <x v="3"/>
    <x v="0"/>
    <x v="2"/>
    <x v="221"/>
    <x v="5"/>
    <x v="720"/>
    <x v="1"/>
  </r>
  <r>
    <x v="44"/>
    <x v="12"/>
    <x v="989"/>
    <x v="0"/>
    <x v="590"/>
    <x v="3"/>
    <x v="0"/>
    <x v="2"/>
    <x v="221"/>
    <x v="5"/>
    <x v="721"/>
    <x v="1"/>
  </r>
  <r>
    <x v="44"/>
    <x v="9"/>
    <x v="1488"/>
    <x v="0"/>
    <x v="590"/>
    <x v="3"/>
    <x v="0"/>
    <x v="2"/>
    <x v="221"/>
    <x v="5"/>
    <x v="722"/>
    <x v="1"/>
  </r>
  <r>
    <x v="44"/>
    <x v="20"/>
    <x v="1569"/>
    <x v="0"/>
    <x v="590"/>
    <x v="3"/>
    <x v="0"/>
    <x v="2"/>
    <x v="221"/>
    <x v="5"/>
    <x v="723"/>
    <x v="1"/>
  </r>
  <r>
    <x v="44"/>
    <x v="16"/>
    <x v="158"/>
    <x v="1"/>
    <x v="30"/>
    <x v="3"/>
    <x v="0"/>
    <x v="2"/>
    <x v="221"/>
    <x v="6"/>
    <x v="724"/>
    <x v="1"/>
  </r>
  <r>
    <x v="44"/>
    <x v="27"/>
    <x v="925"/>
    <x v="0"/>
    <x v="590"/>
    <x v="3"/>
    <x v="0"/>
    <x v="2"/>
    <x v="221"/>
    <x v="5"/>
    <x v="725"/>
    <x v="1"/>
  </r>
  <r>
    <x v="44"/>
    <x v="28"/>
    <x v="134"/>
    <x v="1"/>
    <x v="590"/>
    <x v="3"/>
    <x v="0"/>
    <x v="2"/>
    <x v="221"/>
    <x v="0"/>
    <x v="726"/>
    <x v="1"/>
  </r>
  <r>
    <x v="44"/>
    <x v="23"/>
    <x v="19"/>
    <x v="3"/>
    <x v="590"/>
    <x v="3"/>
    <x v="0"/>
    <x v="2"/>
    <x v="221"/>
    <x v="6"/>
    <x v="727"/>
    <x v="1"/>
  </r>
  <r>
    <x v="44"/>
    <x v="38"/>
    <x v="25"/>
    <x v="3"/>
    <x v="444"/>
    <x v="3"/>
    <x v="0"/>
    <x v="2"/>
    <x v="221"/>
    <x v="5"/>
    <x v="728"/>
    <x v="1"/>
  </r>
  <r>
    <x v="44"/>
    <x v="38"/>
    <x v="392"/>
    <x v="0"/>
    <x v="590"/>
    <x v="3"/>
    <x v="0"/>
    <x v="2"/>
    <x v="221"/>
    <x v="5"/>
    <x v="729"/>
    <x v="1"/>
  </r>
  <r>
    <x v="44"/>
    <x v="27"/>
    <x v="925"/>
    <x v="0"/>
    <x v="590"/>
    <x v="3"/>
    <x v="0"/>
    <x v="2"/>
    <x v="221"/>
    <x v="5"/>
    <x v="730"/>
    <x v="1"/>
  </r>
  <r>
    <x v="44"/>
    <x v="13"/>
    <x v="1317"/>
    <x v="0"/>
    <x v="590"/>
    <x v="3"/>
    <x v="0"/>
    <x v="2"/>
    <x v="221"/>
    <x v="5"/>
    <x v="731"/>
    <x v="1"/>
  </r>
  <r>
    <x v="44"/>
    <x v="15"/>
    <x v="554"/>
    <x v="3"/>
    <x v="590"/>
    <x v="3"/>
    <x v="0"/>
    <x v="2"/>
    <x v="221"/>
    <x v="4"/>
    <x v="732"/>
    <x v="1"/>
  </r>
  <r>
    <x v="44"/>
    <x v="32"/>
    <x v="1459"/>
    <x v="3"/>
    <x v="590"/>
    <x v="3"/>
    <x v="2"/>
    <x v="4"/>
    <x v="221"/>
    <x v="10"/>
    <x v="733"/>
    <x v="1"/>
  </r>
  <r>
    <x v="44"/>
    <x v="32"/>
    <x v="223"/>
    <x v="2"/>
    <x v="590"/>
    <x v="3"/>
    <x v="2"/>
    <x v="4"/>
    <x v="221"/>
    <x v="10"/>
    <x v="734"/>
    <x v="1"/>
  </r>
  <r>
    <x v="44"/>
    <x v="32"/>
    <x v="872"/>
    <x v="6"/>
    <x v="590"/>
    <x v="3"/>
    <x v="2"/>
    <x v="4"/>
    <x v="221"/>
    <x v="10"/>
    <x v="735"/>
    <x v="1"/>
  </r>
  <r>
    <x v="44"/>
    <x v="32"/>
    <x v="1945"/>
    <x v="7"/>
    <x v="590"/>
    <x v="3"/>
    <x v="2"/>
    <x v="4"/>
    <x v="221"/>
    <x v="10"/>
    <x v="736"/>
    <x v="1"/>
  </r>
  <r>
    <x v="44"/>
    <x v="32"/>
    <x v="383"/>
    <x v="8"/>
    <x v="590"/>
    <x v="3"/>
    <x v="2"/>
    <x v="4"/>
    <x v="221"/>
    <x v="10"/>
    <x v="737"/>
    <x v="1"/>
  </r>
  <r>
    <x v="44"/>
    <x v="32"/>
    <x v="1739"/>
    <x v="5"/>
    <x v="590"/>
    <x v="3"/>
    <x v="2"/>
    <x v="4"/>
    <x v="221"/>
    <x v="10"/>
    <x v="738"/>
    <x v="1"/>
  </r>
  <r>
    <x v="44"/>
    <x v="37"/>
    <x v="59"/>
    <x v="1"/>
    <x v="590"/>
    <x v="3"/>
    <x v="0"/>
    <x v="2"/>
    <x v="221"/>
    <x v="12"/>
    <x v="739"/>
    <x v="1"/>
  </r>
  <r>
    <x v="44"/>
    <x v="12"/>
    <x v="30"/>
    <x v="1"/>
    <x v="331"/>
    <x v="3"/>
    <x v="0"/>
    <x v="2"/>
    <x v="221"/>
    <x v="5"/>
    <x v="740"/>
    <x v="1"/>
  </r>
  <r>
    <x v="45"/>
    <x v="9"/>
    <x v="1650"/>
    <x v="0"/>
    <x v="590"/>
    <x v="3"/>
    <x v="0"/>
    <x v="2"/>
    <x v="221"/>
    <x v="5"/>
    <x v="741"/>
    <x v="1"/>
  </r>
  <r>
    <x v="45"/>
    <x v="20"/>
    <x v="1340"/>
    <x v="0"/>
    <x v="590"/>
    <x v="3"/>
    <x v="0"/>
    <x v="2"/>
    <x v="221"/>
    <x v="5"/>
    <x v="742"/>
    <x v="1"/>
  </r>
  <r>
    <x v="45"/>
    <x v="12"/>
    <x v="657"/>
    <x v="0"/>
    <x v="590"/>
    <x v="3"/>
    <x v="0"/>
    <x v="2"/>
    <x v="221"/>
    <x v="5"/>
    <x v="743"/>
    <x v="1"/>
  </r>
  <r>
    <x v="45"/>
    <x v="3"/>
    <x v="599"/>
    <x v="3"/>
    <x v="590"/>
    <x v="3"/>
    <x v="0"/>
    <x v="2"/>
    <x v="221"/>
    <x v="4"/>
    <x v="744"/>
    <x v="1"/>
  </r>
  <r>
    <x v="45"/>
    <x v="32"/>
    <x v="1462"/>
    <x v="3"/>
    <x v="590"/>
    <x v="3"/>
    <x v="2"/>
    <x v="4"/>
    <x v="221"/>
    <x v="10"/>
    <x v="745"/>
    <x v="1"/>
  </r>
  <r>
    <x v="45"/>
    <x v="32"/>
    <x v="1110"/>
    <x v="2"/>
    <x v="590"/>
    <x v="3"/>
    <x v="2"/>
    <x v="4"/>
    <x v="221"/>
    <x v="10"/>
    <x v="746"/>
    <x v="1"/>
  </r>
  <r>
    <x v="45"/>
    <x v="32"/>
    <x v="65"/>
    <x v="6"/>
    <x v="590"/>
    <x v="3"/>
    <x v="2"/>
    <x v="4"/>
    <x v="221"/>
    <x v="10"/>
    <x v="747"/>
    <x v="1"/>
  </r>
  <r>
    <x v="45"/>
    <x v="32"/>
    <x v="1970"/>
    <x v="7"/>
    <x v="590"/>
    <x v="3"/>
    <x v="2"/>
    <x v="4"/>
    <x v="221"/>
    <x v="10"/>
    <x v="748"/>
    <x v="1"/>
  </r>
  <r>
    <x v="45"/>
    <x v="32"/>
    <x v="1725"/>
    <x v="5"/>
    <x v="590"/>
    <x v="3"/>
    <x v="2"/>
    <x v="4"/>
    <x v="221"/>
    <x v="10"/>
    <x v="749"/>
    <x v="1"/>
  </r>
  <r>
    <x v="45"/>
    <x v="27"/>
    <x v="1015"/>
    <x v="1"/>
    <x v="590"/>
    <x v="3"/>
    <x v="0"/>
    <x v="2"/>
    <x v="221"/>
    <x v="5"/>
    <x v="750"/>
    <x v="1"/>
  </r>
  <r>
    <x v="45"/>
    <x v="27"/>
    <x v="599"/>
    <x v="0"/>
    <x v="590"/>
    <x v="3"/>
    <x v="0"/>
    <x v="2"/>
    <x v="221"/>
    <x v="5"/>
    <x v="751"/>
    <x v="1"/>
  </r>
  <r>
    <x v="45"/>
    <x v="13"/>
    <x v="30"/>
    <x v="3"/>
    <x v="555"/>
    <x v="3"/>
    <x v="0"/>
    <x v="2"/>
    <x v="221"/>
    <x v="5"/>
    <x v="752"/>
    <x v="1"/>
  </r>
  <r>
    <x v="45"/>
    <x v="37"/>
    <x v="55"/>
    <x v="3"/>
    <x v="590"/>
    <x v="3"/>
    <x v="0"/>
    <x v="2"/>
    <x v="221"/>
    <x v="12"/>
    <x v="753"/>
    <x v="1"/>
  </r>
  <r>
    <x v="45"/>
    <x v="0"/>
    <x v="869"/>
    <x v="3"/>
    <x v="28"/>
    <x v="3"/>
    <x v="0"/>
    <x v="2"/>
    <x v="221"/>
    <x v="9"/>
    <x v="754"/>
    <x v="1"/>
  </r>
  <r>
    <x v="45"/>
    <x v="23"/>
    <x v="4"/>
    <x v="3"/>
    <x v="590"/>
    <x v="3"/>
    <x v="0"/>
    <x v="2"/>
    <x v="221"/>
    <x v="6"/>
    <x v="755"/>
    <x v="1"/>
  </r>
  <r>
    <x v="45"/>
    <x v="38"/>
    <x v="567"/>
    <x v="0"/>
    <x v="590"/>
    <x v="3"/>
    <x v="0"/>
    <x v="2"/>
    <x v="221"/>
    <x v="5"/>
    <x v="756"/>
    <x v="1"/>
  </r>
  <r>
    <x v="46"/>
    <x v="8"/>
    <x v="449"/>
    <x v="0"/>
    <x v="590"/>
    <x v="3"/>
    <x v="0"/>
    <x v="2"/>
    <x v="221"/>
    <x v="5"/>
    <x v="757"/>
    <x v="1"/>
  </r>
  <r>
    <x v="46"/>
    <x v="9"/>
    <x v="1537"/>
    <x v="0"/>
    <x v="590"/>
    <x v="3"/>
    <x v="0"/>
    <x v="2"/>
    <x v="221"/>
    <x v="5"/>
    <x v="758"/>
    <x v="1"/>
  </r>
  <r>
    <x v="46"/>
    <x v="20"/>
    <x v="1292"/>
    <x v="0"/>
    <x v="590"/>
    <x v="3"/>
    <x v="0"/>
    <x v="2"/>
    <x v="221"/>
    <x v="5"/>
    <x v="759"/>
    <x v="1"/>
  </r>
  <r>
    <x v="46"/>
    <x v="12"/>
    <x v="835"/>
    <x v="0"/>
    <x v="590"/>
    <x v="3"/>
    <x v="0"/>
    <x v="2"/>
    <x v="221"/>
    <x v="5"/>
    <x v="760"/>
    <x v="1"/>
  </r>
  <r>
    <x v="46"/>
    <x v="40"/>
    <x v="599"/>
    <x v="1"/>
    <x v="590"/>
    <x v="3"/>
    <x v="0"/>
    <x v="2"/>
    <x v="221"/>
    <x v="7"/>
    <x v="761"/>
    <x v="1"/>
  </r>
  <r>
    <x v="46"/>
    <x v="1"/>
    <x v="463"/>
    <x v="3"/>
    <x v="429"/>
    <x v="3"/>
    <x v="0"/>
    <x v="2"/>
    <x v="221"/>
    <x v="4"/>
    <x v="762"/>
    <x v="1"/>
  </r>
  <r>
    <x v="46"/>
    <x v="38"/>
    <x v="331"/>
    <x v="0"/>
    <x v="590"/>
    <x v="3"/>
    <x v="0"/>
    <x v="2"/>
    <x v="221"/>
    <x v="5"/>
    <x v="763"/>
    <x v="1"/>
  </r>
  <r>
    <x v="46"/>
    <x v="12"/>
    <x v="287"/>
    <x v="1"/>
    <x v="509"/>
    <x v="3"/>
    <x v="0"/>
    <x v="2"/>
    <x v="221"/>
    <x v="5"/>
    <x v="764"/>
    <x v="1"/>
  </r>
  <r>
    <x v="46"/>
    <x v="21"/>
    <x v="147"/>
    <x v="3"/>
    <x v="442"/>
    <x v="3"/>
    <x v="0"/>
    <x v="2"/>
    <x v="221"/>
    <x v="3"/>
    <x v="765"/>
    <x v="1"/>
  </r>
  <r>
    <x v="46"/>
    <x v="32"/>
    <x v="602"/>
    <x v="3"/>
    <x v="590"/>
    <x v="3"/>
    <x v="2"/>
    <x v="4"/>
    <x v="221"/>
    <x v="10"/>
    <x v="766"/>
    <x v="1"/>
  </r>
  <r>
    <x v="46"/>
    <x v="32"/>
    <x v="1813"/>
    <x v="7"/>
    <x v="590"/>
    <x v="3"/>
    <x v="2"/>
    <x v="4"/>
    <x v="221"/>
    <x v="10"/>
    <x v="767"/>
    <x v="1"/>
  </r>
  <r>
    <x v="46"/>
    <x v="32"/>
    <x v="1450"/>
    <x v="5"/>
    <x v="590"/>
    <x v="3"/>
    <x v="2"/>
    <x v="4"/>
    <x v="221"/>
    <x v="10"/>
    <x v="768"/>
    <x v="1"/>
  </r>
  <r>
    <x v="46"/>
    <x v="37"/>
    <x v="53"/>
    <x v="1"/>
    <x v="590"/>
    <x v="3"/>
    <x v="0"/>
    <x v="2"/>
    <x v="221"/>
    <x v="12"/>
    <x v="769"/>
    <x v="1"/>
  </r>
  <r>
    <x v="46"/>
    <x v="23"/>
    <x v="1"/>
    <x v="3"/>
    <x v="590"/>
    <x v="3"/>
    <x v="0"/>
    <x v="2"/>
    <x v="221"/>
    <x v="6"/>
    <x v="770"/>
    <x v="1"/>
  </r>
  <r>
    <x v="47"/>
    <x v="9"/>
    <x v="1332"/>
    <x v="0"/>
    <x v="590"/>
    <x v="3"/>
    <x v="0"/>
    <x v="2"/>
    <x v="221"/>
    <x v="5"/>
    <x v="771"/>
    <x v="1"/>
  </r>
  <r>
    <x v="47"/>
    <x v="12"/>
    <x v="485"/>
    <x v="0"/>
    <x v="590"/>
    <x v="3"/>
    <x v="0"/>
    <x v="2"/>
    <x v="221"/>
    <x v="5"/>
    <x v="772"/>
    <x v="1"/>
  </r>
  <r>
    <x v="47"/>
    <x v="20"/>
    <x v="467"/>
    <x v="0"/>
    <x v="590"/>
    <x v="3"/>
    <x v="0"/>
    <x v="2"/>
    <x v="221"/>
    <x v="5"/>
    <x v="773"/>
    <x v="1"/>
  </r>
  <r>
    <x v="47"/>
    <x v="27"/>
    <x v="1641"/>
    <x v="0"/>
    <x v="590"/>
    <x v="3"/>
    <x v="0"/>
    <x v="2"/>
    <x v="221"/>
    <x v="5"/>
    <x v="774"/>
    <x v="1"/>
  </r>
  <r>
    <x v="47"/>
    <x v="39"/>
    <x v="880"/>
    <x v="0"/>
    <x v="590"/>
    <x v="3"/>
    <x v="0"/>
    <x v="2"/>
    <x v="221"/>
    <x v="5"/>
    <x v="775"/>
    <x v="1"/>
  </r>
  <r>
    <x v="47"/>
    <x v="29"/>
    <x v="49"/>
    <x v="1"/>
    <x v="590"/>
    <x v="3"/>
    <x v="0"/>
    <x v="2"/>
    <x v="221"/>
    <x v="6"/>
    <x v="776"/>
    <x v="1"/>
  </r>
  <r>
    <x v="47"/>
    <x v="22"/>
    <x v="318"/>
    <x v="0"/>
    <x v="590"/>
    <x v="3"/>
    <x v="0"/>
    <x v="2"/>
    <x v="221"/>
    <x v="3"/>
    <x v="777"/>
    <x v="1"/>
  </r>
  <r>
    <x v="47"/>
    <x v="38"/>
    <x v="405"/>
    <x v="0"/>
    <x v="590"/>
    <x v="3"/>
    <x v="0"/>
    <x v="2"/>
    <x v="221"/>
    <x v="5"/>
    <x v="778"/>
    <x v="1"/>
  </r>
  <r>
    <x v="47"/>
    <x v="15"/>
    <x v="438"/>
    <x v="3"/>
    <x v="590"/>
    <x v="3"/>
    <x v="0"/>
    <x v="2"/>
    <x v="221"/>
    <x v="4"/>
    <x v="779"/>
    <x v="1"/>
  </r>
  <r>
    <x v="47"/>
    <x v="11"/>
    <x v="127"/>
    <x v="3"/>
    <x v="204"/>
    <x v="3"/>
    <x v="0"/>
    <x v="2"/>
    <x v="221"/>
    <x v="2"/>
    <x v="780"/>
    <x v="1"/>
  </r>
  <r>
    <x v="47"/>
    <x v="32"/>
    <x v="1037"/>
    <x v="3"/>
    <x v="590"/>
    <x v="3"/>
    <x v="2"/>
    <x v="4"/>
    <x v="221"/>
    <x v="10"/>
    <x v="781"/>
    <x v="1"/>
  </r>
  <r>
    <x v="47"/>
    <x v="32"/>
    <x v="173"/>
    <x v="2"/>
    <x v="590"/>
    <x v="3"/>
    <x v="2"/>
    <x v="4"/>
    <x v="221"/>
    <x v="10"/>
    <x v="782"/>
    <x v="1"/>
  </r>
  <r>
    <x v="47"/>
    <x v="32"/>
    <x v="143"/>
    <x v="6"/>
    <x v="590"/>
    <x v="3"/>
    <x v="2"/>
    <x v="4"/>
    <x v="221"/>
    <x v="10"/>
    <x v="783"/>
    <x v="1"/>
  </r>
  <r>
    <x v="47"/>
    <x v="32"/>
    <x v="1787"/>
    <x v="7"/>
    <x v="590"/>
    <x v="3"/>
    <x v="2"/>
    <x v="4"/>
    <x v="221"/>
    <x v="10"/>
    <x v="784"/>
    <x v="1"/>
  </r>
  <r>
    <x v="47"/>
    <x v="32"/>
    <x v="1589"/>
    <x v="5"/>
    <x v="590"/>
    <x v="3"/>
    <x v="2"/>
    <x v="4"/>
    <x v="221"/>
    <x v="10"/>
    <x v="785"/>
    <x v="1"/>
  </r>
  <r>
    <x v="47"/>
    <x v="38"/>
    <x v="12"/>
    <x v="3"/>
    <x v="444"/>
    <x v="3"/>
    <x v="0"/>
    <x v="2"/>
    <x v="221"/>
    <x v="5"/>
    <x v="786"/>
    <x v="1"/>
  </r>
  <r>
    <x v="47"/>
    <x v="0"/>
    <x v="869"/>
    <x v="0"/>
    <x v="28"/>
    <x v="3"/>
    <x v="0"/>
    <x v="2"/>
    <x v="221"/>
    <x v="9"/>
    <x v="787"/>
    <x v="1"/>
  </r>
  <r>
    <x v="47"/>
    <x v="37"/>
    <x v="46"/>
    <x v="1"/>
    <x v="590"/>
    <x v="3"/>
    <x v="0"/>
    <x v="2"/>
    <x v="221"/>
    <x v="12"/>
    <x v="788"/>
    <x v="1"/>
  </r>
  <r>
    <x v="47"/>
    <x v="0"/>
    <x v="87"/>
    <x v="1"/>
    <x v="279"/>
    <x v="3"/>
    <x v="0"/>
    <x v="2"/>
    <x v="221"/>
    <x v="9"/>
    <x v="789"/>
    <x v="1"/>
  </r>
  <r>
    <x v="47"/>
    <x v="0"/>
    <x v="1483"/>
    <x v="0"/>
    <x v="267"/>
    <x v="3"/>
    <x v="0"/>
    <x v="2"/>
    <x v="221"/>
    <x v="9"/>
    <x v="790"/>
    <x v="1"/>
  </r>
  <r>
    <x v="47"/>
    <x v="36"/>
    <x v="45"/>
    <x v="1"/>
    <x v="375"/>
    <x v="3"/>
    <x v="0"/>
    <x v="2"/>
    <x v="221"/>
    <x v="5"/>
    <x v="791"/>
    <x v="1"/>
  </r>
  <r>
    <x v="47"/>
    <x v="29"/>
    <x v="25"/>
    <x v="1"/>
    <x v="263"/>
    <x v="3"/>
    <x v="0"/>
    <x v="2"/>
    <x v="221"/>
    <x v="6"/>
    <x v="792"/>
    <x v="1"/>
  </r>
  <r>
    <x v="48"/>
    <x v="9"/>
    <x v="1287"/>
    <x v="0"/>
    <x v="590"/>
    <x v="3"/>
    <x v="0"/>
    <x v="2"/>
    <x v="221"/>
    <x v="5"/>
    <x v="793"/>
    <x v="1"/>
  </r>
  <r>
    <x v="48"/>
    <x v="12"/>
    <x v="634"/>
    <x v="0"/>
    <x v="590"/>
    <x v="3"/>
    <x v="0"/>
    <x v="2"/>
    <x v="221"/>
    <x v="5"/>
    <x v="794"/>
    <x v="1"/>
  </r>
  <r>
    <x v="48"/>
    <x v="20"/>
    <x v="1587"/>
    <x v="0"/>
    <x v="590"/>
    <x v="3"/>
    <x v="0"/>
    <x v="2"/>
    <x v="221"/>
    <x v="5"/>
    <x v="795"/>
    <x v="1"/>
  </r>
  <r>
    <x v="48"/>
    <x v="8"/>
    <x v="779"/>
    <x v="0"/>
    <x v="590"/>
    <x v="3"/>
    <x v="0"/>
    <x v="2"/>
    <x v="221"/>
    <x v="5"/>
    <x v="796"/>
    <x v="1"/>
  </r>
  <r>
    <x v="48"/>
    <x v="27"/>
    <x v="1415"/>
    <x v="0"/>
    <x v="590"/>
    <x v="3"/>
    <x v="0"/>
    <x v="2"/>
    <x v="221"/>
    <x v="5"/>
    <x v="797"/>
    <x v="1"/>
  </r>
  <r>
    <x v="48"/>
    <x v="0"/>
    <x v="518"/>
    <x v="0"/>
    <x v="306"/>
    <x v="3"/>
    <x v="0"/>
    <x v="2"/>
    <x v="221"/>
    <x v="9"/>
    <x v="798"/>
    <x v="1"/>
  </r>
  <r>
    <x v="48"/>
    <x v="13"/>
    <x v="1343"/>
    <x v="0"/>
    <x v="590"/>
    <x v="3"/>
    <x v="0"/>
    <x v="2"/>
    <x v="221"/>
    <x v="5"/>
    <x v="799"/>
    <x v="1"/>
  </r>
  <r>
    <x v="48"/>
    <x v="3"/>
    <x v="1061"/>
    <x v="0"/>
    <x v="590"/>
    <x v="3"/>
    <x v="0"/>
    <x v="2"/>
    <x v="221"/>
    <x v="4"/>
    <x v="800"/>
    <x v="1"/>
  </r>
  <r>
    <x v="48"/>
    <x v="32"/>
    <x v="1481"/>
    <x v="3"/>
    <x v="590"/>
    <x v="3"/>
    <x v="2"/>
    <x v="4"/>
    <x v="221"/>
    <x v="10"/>
    <x v="801"/>
    <x v="1"/>
  </r>
  <r>
    <x v="48"/>
    <x v="32"/>
    <x v="1006"/>
    <x v="2"/>
    <x v="590"/>
    <x v="3"/>
    <x v="2"/>
    <x v="4"/>
    <x v="221"/>
    <x v="10"/>
    <x v="802"/>
    <x v="1"/>
  </r>
  <r>
    <x v="48"/>
    <x v="32"/>
    <x v="1044"/>
    <x v="6"/>
    <x v="590"/>
    <x v="3"/>
    <x v="2"/>
    <x v="4"/>
    <x v="221"/>
    <x v="10"/>
    <x v="803"/>
    <x v="1"/>
  </r>
  <r>
    <x v="48"/>
    <x v="32"/>
    <x v="1915"/>
    <x v="7"/>
    <x v="590"/>
    <x v="3"/>
    <x v="2"/>
    <x v="4"/>
    <x v="221"/>
    <x v="10"/>
    <x v="804"/>
    <x v="1"/>
  </r>
  <r>
    <x v="48"/>
    <x v="32"/>
    <x v="1706"/>
    <x v="5"/>
    <x v="590"/>
    <x v="3"/>
    <x v="2"/>
    <x v="4"/>
    <x v="221"/>
    <x v="10"/>
    <x v="805"/>
    <x v="1"/>
  </r>
  <r>
    <x v="48"/>
    <x v="37"/>
    <x v="45"/>
    <x v="1"/>
    <x v="590"/>
    <x v="3"/>
    <x v="0"/>
    <x v="2"/>
    <x v="221"/>
    <x v="12"/>
    <x v="806"/>
    <x v="1"/>
  </r>
  <r>
    <x v="48"/>
    <x v="0"/>
    <x v="719"/>
    <x v="1"/>
    <x v="279"/>
    <x v="3"/>
    <x v="0"/>
    <x v="2"/>
    <x v="221"/>
    <x v="9"/>
    <x v="807"/>
    <x v="1"/>
  </r>
  <r>
    <x v="48"/>
    <x v="12"/>
    <x v="30"/>
    <x v="3"/>
    <x v="590"/>
    <x v="3"/>
    <x v="0"/>
    <x v="2"/>
    <x v="221"/>
    <x v="5"/>
    <x v="808"/>
    <x v="1"/>
  </r>
  <r>
    <x v="48"/>
    <x v="23"/>
    <x v="8"/>
    <x v="3"/>
    <x v="590"/>
    <x v="3"/>
    <x v="0"/>
    <x v="2"/>
    <x v="221"/>
    <x v="6"/>
    <x v="809"/>
    <x v="1"/>
  </r>
  <r>
    <x v="48"/>
    <x v="26"/>
    <x v="90"/>
    <x v="3"/>
    <x v="590"/>
    <x v="3"/>
    <x v="0"/>
    <x v="2"/>
    <x v="221"/>
    <x v="5"/>
    <x v="810"/>
    <x v="1"/>
  </r>
  <r>
    <x v="48"/>
    <x v="38"/>
    <x v="415"/>
    <x v="0"/>
    <x v="590"/>
    <x v="3"/>
    <x v="0"/>
    <x v="2"/>
    <x v="221"/>
    <x v="5"/>
    <x v="811"/>
    <x v="1"/>
  </r>
  <r>
    <x v="49"/>
    <x v="12"/>
    <x v="742"/>
    <x v="0"/>
    <x v="590"/>
    <x v="3"/>
    <x v="0"/>
    <x v="2"/>
    <x v="221"/>
    <x v="5"/>
    <x v="812"/>
    <x v="1"/>
  </r>
  <r>
    <x v="49"/>
    <x v="9"/>
    <x v="1724"/>
    <x v="0"/>
    <x v="590"/>
    <x v="3"/>
    <x v="0"/>
    <x v="2"/>
    <x v="221"/>
    <x v="5"/>
    <x v="813"/>
    <x v="1"/>
  </r>
  <r>
    <x v="49"/>
    <x v="20"/>
    <x v="887"/>
    <x v="0"/>
    <x v="590"/>
    <x v="3"/>
    <x v="0"/>
    <x v="2"/>
    <x v="221"/>
    <x v="5"/>
    <x v="814"/>
    <x v="1"/>
  </r>
  <r>
    <x v="49"/>
    <x v="19"/>
    <x v="1771"/>
    <x v="0"/>
    <x v="590"/>
    <x v="3"/>
    <x v="0"/>
    <x v="2"/>
    <x v="221"/>
    <x v="3"/>
    <x v="815"/>
    <x v="1"/>
  </r>
  <r>
    <x v="49"/>
    <x v="27"/>
    <x v="1146"/>
    <x v="1"/>
    <x v="590"/>
    <x v="3"/>
    <x v="0"/>
    <x v="2"/>
    <x v="221"/>
    <x v="5"/>
    <x v="816"/>
    <x v="1"/>
  </r>
  <r>
    <x v="49"/>
    <x v="27"/>
    <x v="914"/>
    <x v="0"/>
    <x v="590"/>
    <x v="3"/>
    <x v="0"/>
    <x v="2"/>
    <x v="221"/>
    <x v="5"/>
    <x v="817"/>
    <x v="1"/>
  </r>
  <r>
    <x v="49"/>
    <x v="38"/>
    <x v="505"/>
    <x v="1"/>
    <x v="389"/>
    <x v="3"/>
    <x v="0"/>
    <x v="2"/>
    <x v="221"/>
    <x v="5"/>
    <x v="818"/>
    <x v="1"/>
  </r>
  <r>
    <x v="49"/>
    <x v="38"/>
    <x v="87"/>
    <x v="1"/>
    <x v="300"/>
    <x v="3"/>
    <x v="0"/>
    <x v="2"/>
    <x v="221"/>
    <x v="5"/>
    <x v="819"/>
    <x v="1"/>
  </r>
  <r>
    <x v="49"/>
    <x v="32"/>
    <x v="658"/>
    <x v="3"/>
    <x v="590"/>
    <x v="3"/>
    <x v="2"/>
    <x v="4"/>
    <x v="221"/>
    <x v="10"/>
    <x v="820"/>
    <x v="1"/>
  </r>
  <r>
    <x v="49"/>
    <x v="32"/>
    <x v="242"/>
    <x v="2"/>
    <x v="590"/>
    <x v="3"/>
    <x v="2"/>
    <x v="4"/>
    <x v="221"/>
    <x v="10"/>
    <x v="821"/>
    <x v="1"/>
  </r>
  <r>
    <x v="49"/>
    <x v="32"/>
    <x v="1766"/>
    <x v="7"/>
    <x v="590"/>
    <x v="3"/>
    <x v="2"/>
    <x v="4"/>
    <x v="221"/>
    <x v="10"/>
    <x v="822"/>
    <x v="1"/>
  </r>
  <r>
    <x v="49"/>
    <x v="32"/>
    <x v="129"/>
    <x v="8"/>
    <x v="590"/>
    <x v="3"/>
    <x v="2"/>
    <x v="4"/>
    <x v="221"/>
    <x v="10"/>
    <x v="823"/>
    <x v="1"/>
  </r>
  <r>
    <x v="49"/>
    <x v="32"/>
    <x v="1565"/>
    <x v="5"/>
    <x v="590"/>
    <x v="3"/>
    <x v="2"/>
    <x v="4"/>
    <x v="221"/>
    <x v="10"/>
    <x v="824"/>
    <x v="1"/>
  </r>
  <r>
    <x v="49"/>
    <x v="23"/>
    <x v="30"/>
    <x v="3"/>
    <x v="590"/>
    <x v="3"/>
    <x v="0"/>
    <x v="2"/>
    <x v="221"/>
    <x v="6"/>
    <x v="825"/>
    <x v="1"/>
  </r>
  <r>
    <x v="49"/>
    <x v="37"/>
    <x v="85"/>
    <x v="1"/>
    <x v="590"/>
    <x v="3"/>
    <x v="0"/>
    <x v="2"/>
    <x v="221"/>
    <x v="12"/>
    <x v="826"/>
    <x v="1"/>
  </r>
  <r>
    <x v="49"/>
    <x v="28"/>
    <x v="308"/>
    <x v="1"/>
    <x v="590"/>
    <x v="3"/>
    <x v="0"/>
    <x v="2"/>
    <x v="221"/>
    <x v="0"/>
    <x v="827"/>
    <x v="1"/>
  </r>
  <r>
    <x v="49"/>
    <x v="32"/>
    <x v="12"/>
    <x v="3"/>
    <x v="189"/>
    <x v="3"/>
    <x v="2"/>
    <x v="4"/>
    <x v="221"/>
    <x v="10"/>
    <x v="828"/>
    <x v="1"/>
  </r>
  <r>
    <x v="49"/>
    <x v="38"/>
    <x v="437"/>
    <x v="0"/>
    <x v="590"/>
    <x v="3"/>
    <x v="0"/>
    <x v="2"/>
    <x v="221"/>
    <x v="5"/>
    <x v="829"/>
    <x v="1"/>
  </r>
  <r>
    <x v="50"/>
    <x v="9"/>
    <x v="702"/>
    <x v="0"/>
    <x v="590"/>
    <x v="3"/>
    <x v="0"/>
    <x v="2"/>
    <x v="221"/>
    <x v="5"/>
    <x v="830"/>
    <x v="1"/>
  </r>
  <r>
    <x v="50"/>
    <x v="8"/>
    <x v="449"/>
    <x v="0"/>
    <x v="590"/>
    <x v="3"/>
    <x v="0"/>
    <x v="2"/>
    <x v="221"/>
    <x v="5"/>
    <x v="831"/>
    <x v="1"/>
  </r>
  <r>
    <x v="50"/>
    <x v="20"/>
    <x v="1412"/>
    <x v="0"/>
    <x v="590"/>
    <x v="3"/>
    <x v="0"/>
    <x v="2"/>
    <x v="221"/>
    <x v="5"/>
    <x v="832"/>
    <x v="1"/>
  </r>
  <r>
    <x v="50"/>
    <x v="15"/>
    <x v="544"/>
    <x v="3"/>
    <x v="590"/>
    <x v="3"/>
    <x v="0"/>
    <x v="2"/>
    <x v="221"/>
    <x v="4"/>
    <x v="833"/>
    <x v="1"/>
  </r>
  <r>
    <x v="50"/>
    <x v="3"/>
    <x v="599"/>
    <x v="3"/>
    <x v="590"/>
    <x v="3"/>
    <x v="0"/>
    <x v="2"/>
    <x v="221"/>
    <x v="4"/>
    <x v="834"/>
    <x v="1"/>
  </r>
  <r>
    <x v="50"/>
    <x v="12"/>
    <x v="718"/>
    <x v="0"/>
    <x v="590"/>
    <x v="3"/>
    <x v="0"/>
    <x v="2"/>
    <x v="221"/>
    <x v="5"/>
    <x v="835"/>
    <x v="1"/>
  </r>
  <r>
    <x v="50"/>
    <x v="0"/>
    <x v="256"/>
    <x v="1"/>
    <x v="279"/>
    <x v="3"/>
    <x v="0"/>
    <x v="2"/>
    <x v="221"/>
    <x v="9"/>
    <x v="836"/>
    <x v="1"/>
  </r>
  <r>
    <x v="50"/>
    <x v="27"/>
    <x v="1472"/>
    <x v="0"/>
    <x v="590"/>
    <x v="3"/>
    <x v="0"/>
    <x v="2"/>
    <x v="221"/>
    <x v="5"/>
    <x v="837"/>
    <x v="1"/>
  </r>
  <r>
    <x v="50"/>
    <x v="28"/>
    <x v="191"/>
    <x v="1"/>
    <x v="590"/>
    <x v="3"/>
    <x v="0"/>
    <x v="2"/>
    <x v="221"/>
    <x v="0"/>
    <x v="838"/>
    <x v="1"/>
  </r>
  <r>
    <x v="50"/>
    <x v="38"/>
    <x v="148"/>
    <x v="0"/>
    <x v="590"/>
    <x v="3"/>
    <x v="0"/>
    <x v="2"/>
    <x v="221"/>
    <x v="5"/>
    <x v="839"/>
    <x v="1"/>
  </r>
  <r>
    <x v="50"/>
    <x v="32"/>
    <x v="1510"/>
    <x v="3"/>
    <x v="590"/>
    <x v="3"/>
    <x v="2"/>
    <x v="4"/>
    <x v="221"/>
    <x v="10"/>
    <x v="840"/>
    <x v="1"/>
  </r>
  <r>
    <x v="50"/>
    <x v="32"/>
    <x v="552"/>
    <x v="2"/>
    <x v="590"/>
    <x v="3"/>
    <x v="2"/>
    <x v="4"/>
    <x v="221"/>
    <x v="10"/>
    <x v="841"/>
    <x v="1"/>
  </r>
  <r>
    <x v="50"/>
    <x v="32"/>
    <x v="409"/>
    <x v="6"/>
    <x v="590"/>
    <x v="3"/>
    <x v="2"/>
    <x v="4"/>
    <x v="221"/>
    <x v="10"/>
    <x v="842"/>
    <x v="1"/>
  </r>
  <r>
    <x v="50"/>
    <x v="32"/>
    <x v="1985"/>
    <x v="7"/>
    <x v="590"/>
    <x v="3"/>
    <x v="2"/>
    <x v="4"/>
    <x v="221"/>
    <x v="10"/>
    <x v="843"/>
    <x v="1"/>
  </r>
  <r>
    <x v="50"/>
    <x v="32"/>
    <x v="58"/>
    <x v="8"/>
    <x v="590"/>
    <x v="3"/>
    <x v="2"/>
    <x v="4"/>
    <x v="221"/>
    <x v="10"/>
    <x v="844"/>
    <x v="1"/>
  </r>
  <r>
    <x v="50"/>
    <x v="32"/>
    <x v="1359"/>
    <x v="5"/>
    <x v="590"/>
    <x v="3"/>
    <x v="2"/>
    <x v="4"/>
    <x v="221"/>
    <x v="10"/>
    <x v="845"/>
    <x v="1"/>
  </r>
  <r>
    <x v="50"/>
    <x v="0"/>
    <x v="518"/>
    <x v="3"/>
    <x v="449"/>
    <x v="3"/>
    <x v="0"/>
    <x v="2"/>
    <x v="221"/>
    <x v="9"/>
    <x v="846"/>
    <x v="1"/>
  </r>
  <r>
    <x v="50"/>
    <x v="0"/>
    <x v="256"/>
    <x v="3"/>
    <x v="56"/>
    <x v="3"/>
    <x v="0"/>
    <x v="2"/>
    <x v="221"/>
    <x v="9"/>
    <x v="847"/>
    <x v="1"/>
  </r>
  <r>
    <x v="50"/>
    <x v="37"/>
    <x v="65"/>
    <x v="1"/>
    <x v="590"/>
    <x v="3"/>
    <x v="0"/>
    <x v="2"/>
    <x v="221"/>
    <x v="12"/>
    <x v="848"/>
    <x v="1"/>
  </r>
  <r>
    <x v="50"/>
    <x v="23"/>
    <x v="10"/>
    <x v="3"/>
    <x v="590"/>
    <x v="3"/>
    <x v="0"/>
    <x v="2"/>
    <x v="221"/>
    <x v="6"/>
    <x v="849"/>
    <x v="1"/>
  </r>
  <r>
    <x v="51"/>
    <x v="20"/>
    <x v="1431"/>
    <x v="0"/>
    <x v="590"/>
    <x v="3"/>
    <x v="0"/>
    <x v="2"/>
    <x v="221"/>
    <x v="5"/>
    <x v="850"/>
    <x v="1"/>
  </r>
  <r>
    <x v="51"/>
    <x v="8"/>
    <x v="449"/>
    <x v="0"/>
    <x v="590"/>
    <x v="3"/>
    <x v="0"/>
    <x v="2"/>
    <x v="221"/>
    <x v="5"/>
    <x v="851"/>
    <x v="1"/>
  </r>
  <r>
    <x v="51"/>
    <x v="9"/>
    <x v="1613"/>
    <x v="0"/>
    <x v="590"/>
    <x v="3"/>
    <x v="0"/>
    <x v="2"/>
    <x v="221"/>
    <x v="5"/>
    <x v="852"/>
    <x v="1"/>
  </r>
  <r>
    <x v="51"/>
    <x v="27"/>
    <x v="1505"/>
    <x v="0"/>
    <x v="590"/>
    <x v="3"/>
    <x v="0"/>
    <x v="2"/>
    <x v="221"/>
    <x v="5"/>
    <x v="853"/>
    <x v="1"/>
  </r>
  <r>
    <x v="51"/>
    <x v="3"/>
    <x v="611"/>
    <x v="0"/>
    <x v="153"/>
    <x v="3"/>
    <x v="0"/>
    <x v="2"/>
    <x v="221"/>
    <x v="4"/>
    <x v="854"/>
    <x v="1"/>
  </r>
  <r>
    <x v="51"/>
    <x v="38"/>
    <x v="482"/>
    <x v="1"/>
    <x v="389"/>
    <x v="3"/>
    <x v="0"/>
    <x v="2"/>
    <x v="221"/>
    <x v="5"/>
    <x v="855"/>
    <x v="1"/>
  </r>
  <r>
    <x v="51"/>
    <x v="38"/>
    <x v="356"/>
    <x v="0"/>
    <x v="590"/>
    <x v="3"/>
    <x v="0"/>
    <x v="2"/>
    <x v="221"/>
    <x v="5"/>
    <x v="856"/>
    <x v="1"/>
  </r>
  <r>
    <x v="51"/>
    <x v="3"/>
    <x v="641"/>
    <x v="0"/>
    <x v="579"/>
    <x v="3"/>
    <x v="0"/>
    <x v="2"/>
    <x v="221"/>
    <x v="4"/>
    <x v="857"/>
    <x v="1"/>
  </r>
  <r>
    <x v="51"/>
    <x v="32"/>
    <x v="1114"/>
    <x v="3"/>
    <x v="590"/>
    <x v="3"/>
    <x v="2"/>
    <x v="4"/>
    <x v="221"/>
    <x v="10"/>
    <x v="858"/>
    <x v="1"/>
  </r>
  <r>
    <x v="51"/>
    <x v="32"/>
    <x v="391"/>
    <x v="6"/>
    <x v="590"/>
    <x v="3"/>
    <x v="2"/>
    <x v="4"/>
    <x v="221"/>
    <x v="10"/>
    <x v="859"/>
    <x v="1"/>
  </r>
  <r>
    <x v="51"/>
    <x v="32"/>
    <x v="1916"/>
    <x v="7"/>
    <x v="590"/>
    <x v="3"/>
    <x v="2"/>
    <x v="4"/>
    <x v="221"/>
    <x v="10"/>
    <x v="860"/>
    <x v="1"/>
  </r>
  <r>
    <x v="51"/>
    <x v="32"/>
    <x v="258"/>
    <x v="5"/>
    <x v="590"/>
    <x v="3"/>
    <x v="2"/>
    <x v="4"/>
    <x v="221"/>
    <x v="10"/>
    <x v="861"/>
    <x v="1"/>
  </r>
  <r>
    <x v="51"/>
    <x v="37"/>
    <x v="53"/>
    <x v="1"/>
    <x v="590"/>
    <x v="3"/>
    <x v="0"/>
    <x v="2"/>
    <x v="221"/>
    <x v="12"/>
    <x v="862"/>
    <x v="1"/>
  </r>
  <r>
    <x v="51"/>
    <x v="10"/>
    <x v="33"/>
    <x v="1"/>
    <x v="590"/>
    <x v="3"/>
    <x v="0"/>
    <x v="2"/>
    <x v="221"/>
    <x v="6"/>
    <x v="863"/>
    <x v="1"/>
  </r>
  <r>
    <x v="51"/>
    <x v="38"/>
    <x v="30"/>
    <x v="1"/>
    <x v="401"/>
    <x v="3"/>
    <x v="0"/>
    <x v="2"/>
    <x v="221"/>
    <x v="5"/>
    <x v="864"/>
    <x v="1"/>
  </r>
  <r>
    <x v="51"/>
    <x v="23"/>
    <x v="1"/>
    <x v="3"/>
    <x v="590"/>
    <x v="3"/>
    <x v="0"/>
    <x v="2"/>
    <x v="221"/>
    <x v="6"/>
    <x v="865"/>
    <x v="1"/>
  </r>
  <r>
    <x v="51"/>
    <x v="12"/>
    <x v="722"/>
    <x v="0"/>
    <x v="590"/>
    <x v="3"/>
    <x v="0"/>
    <x v="2"/>
    <x v="221"/>
    <x v="5"/>
    <x v="866"/>
    <x v="1"/>
  </r>
  <r>
    <x v="52"/>
    <x v="12"/>
    <x v="552"/>
    <x v="0"/>
    <x v="17"/>
    <x v="3"/>
    <x v="0"/>
    <x v="2"/>
    <x v="221"/>
    <x v="5"/>
    <x v="867"/>
    <x v="1"/>
  </r>
  <r>
    <x v="52"/>
    <x v="9"/>
    <x v="1446"/>
    <x v="0"/>
    <x v="229"/>
    <x v="3"/>
    <x v="0"/>
    <x v="2"/>
    <x v="221"/>
    <x v="5"/>
    <x v="868"/>
    <x v="1"/>
  </r>
  <r>
    <x v="52"/>
    <x v="3"/>
    <x v="599"/>
    <x v="3"/>
    <x v="580"/>
    <x v="3"/>
    <x v="0"/>
    <x v="2"/>
    <x v="221"/>
    <x v="4"/>
    <x v="869"/>
    <x v="1"/>
  </r>
  <r>
    <x v="52"/>
    <x v="20"/>
    <x v="28"/>
    <x v="3"/>
    <x v="381"/>
    <x v="3"/>
    <x v="0"/>
    <x v="2"/>
    <x v="221"/>
    <x v="5"/>
    <x v="870"/>
    <x v="1"/>
  </r>
  <r>
    <x v="52"/>
    <x v="6"/>
    <x v="719"/>
    <x v="1"/>
    <x v="567"/>
    <x v="3"/>
    <x v="0"/>
    <x v="2"/>
    <x v="221"/>
    <x v="7"/>
    <x v="871"/>
    <x v="1"/>
  </r>
  <r>
    <x v="52"/>
    <x v="20"/>
    <x v="1616"/>
    <x v="0"/>
    <x v="253"/>
    <x v="3"/>
    <x v="0"/>
    <x v="2"/>
    <x v="221"/>
    <x v="5"/>
    <x v="872"/>
    <x v="1"/>
  </r>
  <r>
    <x v="52"/>
    <x v="27"/>
    <x v="1134"/>
    <x v="0"/>
    <x v="6"/>
    <x v="3"/>
    <x v="0"/>
    <x v="2"/>
    <x v="221"/>
    <x v="5"/>
    <x v="873"/>
    <x v="1"/>
  </r>
  <r>
    <x v="52"/>
    <x v="32"/>
    <x v="1268"/>
    <x v="3"/>
    <x v="422"/>
    <x v="3"/>
    <x v="2"/>
    <x v="4"/>
    <x v="221"/>
    <x v="10"/>
    <x v="874"/>
    <x v="1"/>
  </r>
  <r>
    <x v="52"/>
    <x v="32"/>
    <x v="599"/>
    <x v="2"/>
    <x v="422"/>
    <x v="3"/>
    <x v="2"/>
    <x v="4"/>
    <x v="221"/>
    <x v="10"/>
    <x v="875"/>
    <x v="1"/>
  </r>
  <r>
    <x v="52"/>
    <x v="32"/>
    <x v="210"/>
    <x v="6"/>
    <x v="422"/>
    <x v="3"/>
    <x v="2"/>
    <x v="4"/>
    <x v="221"/>
    <x v="10"/>
    <x v="876"/>
    <x v="1"/>
  </r>
  <r>
    <x v="52"/>
    <x v="32"/>
    <x v="1931"/>
    <x v="7"/>
    <x v="422"/>
    <x v="3"/>
    <x v="2"/>
    <x v="4"/>
    <x v="221"/>
    <x v="10"/>
    <x v="877"/>
    <x v="1"/>
  </r>
  <r>
    <x v="52"/>
    <x v="32"/>
    <x v="1189"/>
    <x v="5"/>
    <x v="533"/>
    <x v="3"/>
    <x v="2"/>
    <x v="4"/>
    <x v="221"/>
    <x v="10"/>
    <x v="878"/>
    <x v="1"/>
  </r>
  <r>
    <x v="52"/>
    <x v="37"/>
    <x v="53"/>
    <x v="1"/>
    <x v="590"/>
    <x v="3"/>
    <x v="0"/>
    <x v="2"/>
    <x v="221"/>
    <x v="12"/>
    <x v="879"/>
    <x v="1"/>
  </r>
  <r>
    <x v="52"/>
    <x v="23"/>
    <x v="13"/>
    <x v="3"/>
    <x v="590"/>
    <x v="3"/>
    <x v="0"/>
    <x v="2"/>
    <x v="221"/>
    <x v="6"/>
    <x v="880"/>
    <x v="1"/>
  </r>
  <r>
    <x v="53"/>
    <x v="20"/>
    <x v="1620"/>
    <x v="0"/>
    <x v="61"/>
    <x v="3"/>
    <x v="0"/>
    <x v="2"/>
    <x v="221"/>
    <x v="5"/>
    <x v="881"/>
    <x v="1"/>
  </r>
  <r>
    <x v="53"/>
    <x v="12"/>
    <x v="324"/>
    <x v="0"/>
    <x v="17"/>
    <x v="3"/>
    <x v="0"/>
    <x v="2"/>
    <x v="221"/>
    <x v="5"/>
    <x v="882"/>
    <x v="1"/>
  </r>
  <r>
    <x v="53"/>
    <x v="8"/>
    <x v="449"/>
    <x v="0"/>
    <x v="240"/>
    <x v="3"/>
    <x v="0"/>
    <x v="2"/>
    <x v="221"/>
    <x v="5"/>
    <x v="883"/>
    <x v="1"/>
  </r>
  <r>
    <x v="53"/>
    <x v="9"/>
    <x v="1212"/>
    <x v="0"/>
    <x v="229"/>
    <x v="3"/>
    <x v="0"/>
    <x v="2"/>
    <x v="221"/>
    <x v="5"/>
    <x v="884"/>
    <x v="1"/>
  </r>
  <r>
    <x v="53"/>
    <x v="1"/>
    <x v="860"/>
    <x v="1"/>
    <x v="431"/>
    <x v="3"/>
    <x v="0"/>
    <x v="2"/>
    <x v="221"/>
    <x v="4"/>
    <x v="885"/>
    <x v="1"/>
  </r>
  <r>
    <x v="53"/>
    <x v="18"/>
    <x v="719"/>
    <x v="1"/>
    <x v="590"/>
    <x v="3"/>
    <x v="0"/>
    <x v="2"/>
    <x v="221"/>
    <x v="3"/>
    <x v="886"/>
    <x v="1"/>
  </r>
  <r>
    <x v="53"/>
    <x v="27"/>
    <x v="784"/>
    <x v="0"/>
    <x v="5"/>
    <x v="3"/>
    <x v="0"/>
    <x v="2"/>
    <x v="221"/>
    <x v="5"/>
    <x v="887"/>
    <x v="1"/>
  </r>
  <r>
    <x v="53"/>
    <x v="27"/>
    <x v="471"/>
    <x v="1"/>
    <x v="5"/>
    <x v="3"/>
    <x v="0"/>
    <x v="2"/>
    <x v="221"/>
    <x v="5"/>
    <x v="888"/>
    <x v="1"/>
  </r>
  <r>
    <x v="53"/>
    <x v="12"/>
    <x v="287"/>
    <x v="1"/>
    <x v="509"/>
    <x v="3"/>
    <x v="0"/>
    <x v="2"/>
    <x v="221"/>
    <x v="5"/>
    <x v="889"/>
    <x v="1"/>
  </r>
  <r>
    <x v="53"/>
    <x v="38"/>
    <x v="282"/>
    <x v="0"/>
    <x v="225"/>
    <x v="3"/>
    <x v="0"/>
    <x v="2"/>
    <x v="221"/>
    <x v="5"/>
    <x v="890"/>
    <x v="1"/>
  </r>
  <r>
    <x v="53"/>
    <x v="15"/>
    <x v="488"/>
    <x v="3"/>
    <x v="356"/>
    <x v="3"/>
    <x v="0"/>
    <x v="2"/>
    <x v="221"/>
    <x v="4"/>
    <x v="891"/>
    <x v="1"/>
  </r>
  <r>
    <x v="53"/>
    <x v="32"/>
    <x v="539"/>
    <x v="3"/>
    <x v="422"/>
    <x v="3"/>
    <x v="2"/>
    <x v="4"/>
    <x v="221"/>
    <x v="10"/>
    <x v="892"/>
    <x v="1"/>
  </r>
  <r>
    <x v="53"/>
    <x v="32"/>
    <x v="1767"/>
    <x v="7"/>
    <x v="422"/>
    <x v="3"/>
    <x v="2"/>
    <x v="4"/>
    <x v="221"/>
    <x v="10"/>
    <x v="893"/>
    <x v="1"/>
  </r>
  <r>
    <x v="53"/>
    <x v="32"/>
    <x v="65"/>
    <x v="8"/>
    <x v="422"/>
    <x v="3"/>
    <x v="2"/>
    <x v="4"/>
    <x v="221"/>
    <x v="10"/>
    <x v="894"/>
    <x v="1"/>
  </r>
  <r>
    <x v="53"/>
    <x v="32"/>
    <x v="1033"/>
    <x v="5"/>
    <x v="533"/>
    <x v="3"/>
    <x v="2"/>
    <x v="4"/>
    <x v="221"/>
    <x v="10"/>
    <x v="895"/>
    <x v="1"/>
  </r>
  <r>
    <x v="53"/>
    <x v="37"/>
    <x v="118"/>
    <x v="1"/>
    <x v="590"/>
    <x v="3"/>
    <x v="0"/>
    <x v="2"/>
    <x v="221"/>
    <x v="12"/>
    <x v="896"/>
    <x v="1"/>
  </r>
  <r>
    <x v="53"/>
    <x v="23"/>
    <x v="9"/>
    <x v="3"/>
    <x v="590"/>
    <x v="3"/>
    <x v="0"/>
    <x v="2"/>
    <x v="221"/>
    <x v="6"/>
    <x v="897"/>
    <x v="1"/>
  </r>
  <r>
    <x v="54"/>
    <x v="12"/>
    <x v="430"/>
    <x v="0"/>
    <x v="17"/>
    <x v="3"/>
    <x v="0"/>
    <x v="2"/>
    <x v="221"/>
    <x v="5"/>
    <x v="898"/>
    <x v="1"/>
  </r>
  <r>
    <x v="54"/>
    <x v="9"/>
    <x v="930"/>
    <x v="0"/>
    <x v="229"/>
    <x v="3"/>
    <x v="0"/>
    <x v="2"/>
    <x v="221"/>
    <x v="5"/>
    <x v="899"/>
    <x v="1"/>
  </r>
  <r>
    <x v="54"/>
    <x v="1"/>
    <x v="76"/>
    <x v="3"/>
    <x v="325"/>
    <x v="3"/>
    <x v="0"/>
    <x v="2"/>
    <x v="221"/>
    <x v="4"/>
    <x v="900"/>
    <x v="1"/>
  </r>
  <r>
    <x v="54"/>
    <x v="20"/>
    <x v="1309"/>
    <x v="0"/>
    <x v="357"/>
    <x v="3"/>
    <x v="0"/>
    <x v="2"/>
    <x v="221"/>
    <x v="5"/>
    <x v="901"/>
    <x v="1"/>
  </r>
  <r>
    <x v="54"/>
    <x v="24"/>
    <x v="318"/>
    <x v="0"/>
    <x v="330"/>
    <x v="3"/>
    <x v="0"/>
    <x v="2"/>
    <x v="221"/>
    <x v="6"/>
    <x v="902"/>
    <x v="1"/>
  </r>
  <r>
    <x v="54"/>
    <x v="32"/>
    <x v="818"/>
    <x v="3"/>
    <x v="422"/>
    <x v="3"/>
    <x v="2"/>
    <x v="4"/>
    <x v="221"/>
    <x v="10"/>
    <x v="903"/>
    <x v="1"/>
  </r>
  <r>
    <x v="54"/>
    <x v="32"/>
    <x v="1810"/>
    <x v="7"/>
    <x v="422"/>
    <x v="3"/>
    <x v="2"/>
    <x v="4"/>
    <x v="221"/>
    <x v="10"/>
    <x v="904"/>
    <x v="1"/>
  </r>
  <r>
    <x v="54"/>
    <x v="32"/>
    <x v="668"/>
    <x v="5"/>
    <x v="533"/>
    <x v="3"/>
    <x v="2"/>
    <x v="4"/>
    <x v="221"/>
    <x v="10"/>
    <x v="905"/>
    <x v="1"/>
  </r>
  <r>
    <x v="54"/>
    <x v="38"/>
    <x v="255"/>
    <x v="0"/>
    <x v="225"/>
    <x v="3"/>
    <x v="0"/>
    <x v="2"/>
    <x v="221"/>
    <x v="5"/>
    <x v="906"/>
    <x v="1"/>
  </r>
  <r>
    <x v="54"/>
    <x v="37"/>
    <x v="55"/>
    <x v="1"/>
    <x v="590"/>
    <x v="3"/>
    <x v="0"/>
    <x v="2"/>
    <x v="221"/>
    <x v="12"/>
    <x v="907"/>
    <x v="1"/>
  </r>
  <r>
    <x v="54"/>
    <x v="23"/>
    <x v="19"/>
    <x v="3"/>
    <x v="590"/>
    <x v="3"/>
    <x v="0"/>
    <x v="2"/>
    <x v="221"/>
    <x v="6"/>
    <x v="908"/>
    <x v="1"/>
  </r>
  <r>
    <x v="55"/>
    <x v="12"/>
    <x v="551"/>
    <x v="0"/>
    <x v="17"/>
    <x v="3"/>
    <x v="0"/>
    <x v="2"/>
    <x v="221"/>
    <x v="5"/>
    <x v="909"/>
    <x v="1"/>
  </r>
  <r>
    <x v="55"/>
    <x v="9"/>
    <x v="1233"/>
    <x v="0"/>
    <x v="229"/>
    <x v="3"/>
    <x v="0"/>
    <x v="2"/>
    <x v="221"/>
    <x v="5"/>
    <x v="910"/>
    <x v="1"/>
  </r>
  <r>
    <x v="55"/>
    <x v="8"/>
    <x v="779"/>
    <x v="0"/>
    <x v="241"/>
    <x v="3"/>
    <x v="0"/>
    <x v="2"/>
    <x v="221"/>
    <x v="5"/>
    <x v="911"/>
    <x v="1"/>
  </r>
  <r>
    <x v="55"/>
    <x v="1"/>
    <x v="90"/>
    <x v="1"/>
    <x v="324"/>
    <x v="3"/>
    <x v="0"/>
    <x v="2"/>
    <x v="221"/>
    <x v="4"/>
    <x v="912"/>
    <x v="1"/>
  </r>
  <r>
    <x v="55"/>
    <x v="20"/>
    <x v="49"/>
    <x v="3"/>
    <x v="381"/>
    <x v="3"/>
    <x v="0"/>
    <x v="2"/>
    <x v="221"/>
    <x v="5"/>
    <x v="913"/>
    <x v="1"/>
  </r>
  <r>
    <x v="55"/>
    <x v="20"/>
    <x v="1116"/>
    <x v="0"/>
    <x v="61"/>
    <x v="3"/>
    <x v="0"/>
    <x v="2"/>
    <x v="221"/>
    <x v="5"/>
    <x v="914"/>
    <x v="1"/>
  </r>
  <r>
    <x v="55"/>
    <x v="3"/>
    <x v="506"/>
    <x v="1"/>
    <x v="153"/>
    <x v="3"/>
    <x v="0"/>
    <x v="2"/>
    <x v="221"/>
    <x v="4"/>
    <x v="915"/>
    <x v="1"/>
  </r>
  <r>
    <x v="55"/>
    <x v="24"/>
    <x v="77"/>
    <x v="1"/>
    <x v="336"/>
    <x v="3"/>
    <x v="0"/>
    <x v="2"/>
    <x v="221"/>
    <x v="6"/>
    <x v="916"/>
    <x v="1"/>
  </r>
  <r>
    <x v="55"/>
    <x v="13"/>
    <x v="1458"/>
    <x v="0"/>
    <x v="32"/>
    <x v="3"/>
    <x v="0"/>
    <x v="2"/>
    <x v="221"/>
    <x v="5"/>
    <x v="917"/>
    <x v="1"/>
  </r>
  <r>
    <x v="55"/>
    <x v="14"/>
    <x v="1353"/>
    <x v="0"/>
    <x v="326"/>
    <x v="3"/>
    <x v="0"/>
    <x v="2"/>
    <x v="221"/>
    <x v="6"/>
    <x v="918"/>
    <x v="1"/>
  </r>
  <r>
    <x v="55"/>
    <x v="27"/>
    <x v="1134"/>
    <x v="0"/>
    <x v="5"/>
    <x v="3"/>
    <x v="0"/>
    <x v="2"/>
    <x v="221"/>
    <x v="5"/>
    <x v="919"/>
    <x v="1"/>
  </r>
  <r>
    <x v="55"/>
    <x v="18"/>
    <x v="375"/>
    <x v="0"/>
    <x v="143"/>
    <x v="3"/>
    <x v="0"/>
    <x v="2"/>
    <x v="221"/>
    <x v="3"/>
    <x v="920"/>
    <x v="1"/>
  </r>
  <r>
    <x v="55"/>
    <x v="38"/>
    <x v="536"/>
    <x v="1"/>
    <x v="500"/>
    <x v="3"/>
    <x v="0"/>
    <x v="1"/>
    <x v="10"/>
    <x v="5"/>
    <x v="921"/>
    <x v="1"/>
  </r>
  <r>
    <x v="55"/>
    <x v="31"/>
    <x v="739"/>
    <x v="0"/>
    <x v="280"/>
    <x v="3"/>
    <x v="0"/>
    <x v="2"/>
    <x v="221"/>
    <x v="8"/>
    <x v="922"/>
    <x v="1"/>
  </r>
  <r>
    <x v="55"/>
    <x v="28"/>
    <x v="45"/>
    <x v="1"/>
    <x v="175"/>
    <x v="3"/>
    <x v="0"/>
    <x v="2"/>
    <x v="221"/>
    <x v="0"/>
    <x v="923"/>
    <x v="1"/>
  </r>
  <r>
    <x v="55"/>
    <x v="32"/>
    <x v="724"/>
    <x v="3"/>
    <x v="422"/>
    <x v="3"/>
    <x v="2"/>
    <x v="4"/>
    <x v="221"/>
    <x v="10"/>
    <x v="924"/>
    <x v="1"/>
  </r>
  <r>
    <x v="55"/>
    <x v="32"/>
    <x v="1751"/>
    <x v="7"/>
    <x v="422"/>
    <x v="3"/>
    <x v="2"/>
    <x v="4"/>
    <x v="221"/>
    <x v="10"/>
    <x v="925"/>
    <x v="1"/>
  </r>
  <r>
    <x v="55"/>
    <x v="32"/>
    <x v="1210"/>
    <x v="5"/>
    <x v="533"/>
    <x v="3"/>
    <x v="2"/>
    <x v="4"/>
    <x v="221"/>
    <x v="10"/>
    <x v="926"/>
    <x v="1"/>
  </r>
  <r>
    <x v="55"/>
    <x v="37"/>
    <x v="80"/>
    <x v="1"/>
    <x v="590"/>
    <x v="3"/>
    <x v="0"/>
    <x v="2"/>
    <x v="221"/>
    <x v="12"/>
    <x v="927"/>
    <x v="1"/>
  </r>
  <r>
    <x v="55"/>
    <x v="12"/>
    <x v="30"/>
    <x v="1"/>
    <x v="331"/>
    <x v="3"/>
    <x v="0"/>
    <x v="2"/>
    <x v="221"/>
    <x v="5"/>
    <x v="928"/>
    <x v="1"/>
  </r>
  <r>
    <x v="55"/>
    <x v="0"/>
    <x v="318"/>
    <x v="3"/>
    <x v="371"/>
    <x v="3"/>
    <x v="0"/>
    <x v="2"/>
    <x v="221"/>
    <x v="9"/>
    <x v="929"/>
    <x v="1"/>
  </r>
  <r>
    <x v="56"/>
    <x v="9"/>
    <x v="1218"/>
    <x v="0"/>
    <x v="229"/>
    <x v="3"/>
    <x v="0"/>
    <x v="2"/>
    <x v="221"/>
    <x v="5"/>
    <x v="930"/>
    <x v="1"/>
  </r>
  <r>
    <x v="56"/>
    <x v="20"/>
    <x v="1260"/>
    <x v="0"/>
    <x v="61"/>
    <x v="3"/>
    <x v="0"/>
    <x v="2"/>
    <x v="221"/>
    <x v="5"/>
    <x v="931"/>
    <x v="1"/>
  </r>
  <r>
    <x v="56"/>
    <x v="27"/>
    <x v="1415"/>
    <x v="0"/>
    <x v="5"/>
    <x v="3"/>
    <x v="0"/>
    <x v="2"/>
    <x v="221"/>
    <x v="5"/>
    <x v="932"/>
    <x v="1"/>
  </r>
  <r>
    <x v="56"/>
    <x v="31"/>
    <x v="719"/>
    <x v="0"/>
    <x v="209"/>
    <x v="3"/>
    <x v="0"/>
    <x v="2"/>
    <x v="221"/>
    <x v="8"/>
    <x v="933"/>
    <x v="1"/>
  </r>
  <r>
    <x v="56"/>
    <x v="12"/>
    <x v="484"/>
    <x v="0"/>
    <x v="17"/>
    <x v="3"/>
    <x v="0"/>
    <x v="2"/>
    <x v="221"/>
    <x v="5"/>
    <x v="934"/>
    <x v="1"/>
  </r>
  <r>
    <x v="56"/>
    <x v="1"/>
    <x v="90"/>
    <x v="3"/>
    <x v="324"/>
    <x v="3"/>
    <x v="0"/>
    <x v="2"/>
    <x v="221"/>
    <x v="4"/>
    <x v="935"/>
    <x v="1"/>
  </r>
  <r>
    <x v="56"/>
    <x v="15"/>
    <x v="205"/>
    <x v="3"/>
    <x v="353"/>
    <x v="3"/>
    <x v="0"/>
    <x v="2"/>
    <x v="221"/>
    <x v="4"/>
    <x v="936"/>
    <x v="1"/>
  </r>
  <r>
    <x v="56"/>
    <x v="32"/>
    <x v="889"/>
    <x v="3"/>
    <x v="422"/>
    <x v="3"/>
    <x v="2"/>
    <x v="4"/>
    <x v="221"/>
    <x v="10"/>
    <x v="937"/>
    <x v="1"/>
  </r>
  <r>
    <x v="56"/>
    <x v="32"/>
    <x v="420"/>
    <x v="2"/>
    <x v="422"/>
    <x v="3"/>
    <x v="2"/>
    <x v="4"/>
    <x v="221"/>
    <x v="10"/>
    <x v="938"/>
    <x v="1"/>
  </r>
  <r>
    <x v="56"/>
    <x v="32"/>
    <x v="1823"/>
    <x v="7"/>
    <x v="422"/>
    <x v="3"/>
    <x v="2"/>
    <x v="4"/>
    <x v="221"/>
    <x v="10"/>
    <x v="939"/>
    <x v="1"/>
  </r>
  <r>
    <x v="56"/>
    <x v="32"/>
    <x v="637"/>
    <x v="5"/>
    <x v="533"/>
    <x v="3"/>
    <x v="2"/>
    <x v="4"/>
    <x v="221"/>
    <x v="10"/>
    <x v="940"/>
    <x v="1"/>
  </r>
  <r>
    <x v="56"/>
    <x v="37"/>
    <x v="65"/>
    <x v="1"/>
    <x v="590"/>
    <x v="3"/>
    <x v="0"/>
    <x v="2"/>
    <x v="221"/>
    <x v="12"/>
    <x v="941"/>
    <x v="1"/>
  </r>
  <r>
    <x v="56"/>
    <x v="12"/>
    <x v="30"/>
    <x v="1"/>
    <x v="331"/>
    <x v="3"/>
    <x v="0"/>
    <x v="2"/>
    <x v="221"/>
    <x v="5"/>
    <x v="942"/>
    <x v="1"/>
  </r>
  <r>
    <x v="56"/>
    <x v="38"/>
    <x v="141"/>
    <x v="0"/>
    <x v="225"/>
    <x v="3"/>
    <x v="0"/>
    <x v="2"/>
    <x v="221"/>
    <x v="5"/>
    <x v="943"/>
    <x v="1"/>
  </r>
  <r>
    <x v="57"/>
    <x v="8"/>
    <x v="449"/>
    <x v="0"/>
    <x v="239"/>
    <x v="3"/>
    <x v="0"/>
    <x v="2"/>
    <x v="221"/>
    <x v="5"/>
    <x v="944"/>
    <x v="1"/>
  </r>
  <r>
    <x v="57"/>
    <x v="3"/>
    <x v="599"/>
    <x v="3"/>
    <x v="388"/>
    <x v="3"/>
    <x v="0"/>
    <x v="2"/>
    <x v="221"/>
    <x v="4"/>
    <x v="945"/>
    <x v="1"/>
  </r>
  <r>
    <x v="57"/>
    <x v="12"/>
    <x v="648"/>
    <x v="0"/>
    <x v="17"/>
    <x v="3"/>
    <x v="0"/>
    <x v="2"/>
    <x v="221"/>
    <x v="5"/>
    <x v="946"/>
    <x v="1"/>
  </r>
  <r>
    <x v="57"/>
    <x v="1"/>
    <x v="127"/>
    <x v="3"/>
    <x v="430"/>
    <x v="3"/>
    <x v="0"/>
    <x v="2"/>
    <x v="221"/>
    <x v="4"/>
    <x v="947"/>
    <x v="1"/>
  </r>
  <r>
    <x v="57"/>
    <x v="38"/>
    <x v="337"/>
    <x v="1"/>
    <x v="500"/>
    <x v="3"/>
    <x v="0"/>
    <x v="1"/>
    <x v="10"/>
    <x v="5"/>
    <x v="948"/>
    <x v="1"/>
  </r>
  <r>
    <x v="57"/>
    <x v="13"/>
    <x v="655"/>
    <x v="0"/>
    <x v="32"/>
    <x v="3"/>
    <x v="0"/>
    <x v="2"/>
    <x v="221"/>
    <x v="5"/>
    <x v="949"/>
    <x v="1"/>
  </r>
  <r>
    <x v="57"/>
    <x v="32"/>
    <x v="1643"/>
    <x v="3"/>
    <x v="422"/>
    <x v="3"/>
    <x v="2"/>
    <x v="4"/>
    <x v="221"/>
    <x v="10"/>
    <x v="950"/>
    <x v="1"/>
  </r>
  <r>
    <x v="57"/>
    <x v="32"/>
    <x v="757"/>
    <x v="2"/>
    <x v="422"/>
    <x v="3"/>
    <x v="2"/>
    <x v="4"/>
    <x v="221"/>
    <x v="10"/>
    <x v="951"/>
    <x v="1"/>
  </r>
  <r>
    <x v="57"/>
    <x v="32"/>
    <x v="794"/>
    <x v="6"/>
    <x v="422"/>
    <x v="3"/>
    <x v="2"/>
    <x v="4"/>
    <x v="221"/>
    <x v="10"/>
    <x v="952"/>
    <x v="1"/>
  </r>
  <r>
    <x v="57"/>
    <x v="32"/>
    <x v="1958"/>
    <x v="7"/>
    <x v="422"/>
    <x v="3"/>
    <x v="2"/>
    <x v="4"/>
    <x v="221"/>
    <x v="10"/>
    <x v="953"/>
    <x v="1"/>
  </r>
  <r>
    <x v="57"/>
    <x v="32"/>
    <x v="1285"/>
    <x v="5"/>
    <x v="533"/>
    <x v="3"/>
    <x v="2"/>
    <x v="4"/>
    <x v="221"/>
    <x v="10"/>
    <x v="954"/>
    <x v="1"/>
  </r>
  <r>
    <x v="57"/>
    <x v="9"/>
    <x v="1356"/>
    <x v="0"/>
    <x v="229"/>
    <x v="3"/>
    <x v="0"/>
    <x v="2"/>
    <x v="221"/>
    <x v="5"/>
    <x v="955"/>
    <x v="1"/>
  </r>
  <r>
    <x v="57"/>
    <x v="27"/>
    <x v="1302"/>
    <x v="0"/>
    <x v="5"/>
    <x v="3"/>
    <x v="0"/>
    <x v="2"/>
    <x v="221"/>
    <x v="5"/>
    <x v="956"/>
    <x v="1"/>
  </r>
  <r>
    <x v="57"/>
    <x v="37"/>
    <x v="53"/>
    <x v="1"/>
    <x v="590"/>
    <x v="3"/>
    <x v="0"/>
    <x v="2"/>
    <x v="221"/>
    <x v="12"/>
    <x v="957"/>
    <x v="1"/>
  </r>
  <r>
    <x v="57"/>
    <x v="10"/>
    <x v="318"/>
    <x v="1"/>
    <x v="586"/>
    <x v="3"/>
    <x v="0"/>
    <x v="2"/>
    <x v="221"/>
    <x v="6"/>
    <x v="958"/>
    <x v="1"/>
  </r>
  <r>
    <x v="57"/>
    <x v="23"/>
    <x v="19"/>
    <x v="3"/>
    <x v="590"/>
    <x v="3"/>
    <x v="0"/>
    <x v="2"/>
    <x v="221"/>
    <x v="6"/>
    <x v="959"/>
    <x v="1"/>
  </r>
  <r>
    <x v="58"/>
    <x v="38"/>
    <x v="423"/>
    <x v="1"/>
    <x v="500"/>
    <x v="3"/>
    <x v="0"/>
    <x v="1"/>
    <x v="10"/>
    <x v="5"/>
    <x v="960"/>
    <x v="1"/>
  </r>
  <r>
    <x v="58"/>
    <x v="9"/>
    <x v="1688"/>
    <x v="0"/>
    <x v="229"/>
    <x v="3"/>
    <x v="0"/>
    <x v="2"/>
    <x v="221"/>
    <x v="5"/>
    <x v="961"/>
    <x v="1"/>
  </r>
  <r>
    <x v="58"/>
    <x v="12"/>
    <x v="871"/>
    <x v="0"/>
    <x v="17"/>
    <x v="3"/>
    <x v="0"/>
    <x v="2"/>
    <x v="221"/>
    <x v="5"/>
    <x v="962"/>
    <x v="1"/>
  </r>
  <r>
    <x v="58"/>
    <x v="28"/>
    <x v="191"/>
    <x v="1"/>
    <x v="175"/>
    <x v="3"/>
    <x v="0"/>
    <x v="2"/>
    <x v="221"/>
    <x v="0"/>
    <x v="963"/>
    <x v="1"/>
  </r>
  <r>
    <x v="58"/>
    <x v="24"/>
    <x v="36"/>
    <x v="1"/>
    <x v="177"/>
    <x v="3"/>
    <x v="0"/>
    <x v="2"/>
    <x v="221"/>
    <x v="6"/>
    <x v="964"/>
    <x v="1"/>
  </r>
  <r>
    <x v="58"/>
    <x v="20"/>
    <x v="1359"/>
    <x v="0"/>
    <x v="61"/>
    <x v="3"/>
    <x v="0"/>
    <x v="2"/>
    <x v="221"/>
    <x v="5"/>
    <x v="965"/>
    <x v="1"/>
  </r>
  <r>
    <x v="58"/>
    <x v="0"/>
    <x v="65"/>
    <x v="1"/>
    <x v="27"/>
    <x v="3"/>
    <x v="0"/>
    <x v="2"/>
    <x v="221"/>
    <x v="9"/>
    <x v="966"/>
    <x v="1"/>
  </r>
  <r>
    <x v="58"/>
    <x v="1"/>
    <x v="158"/>
    <x v="3"/>
    <x v="431"/>
    <x v="3"/>
    <x v="0"/>
    <x v="2"/>
    <x v="221"/>
    <x v="4"/>
    <x v="967"/>
    <x v="1"/>
  </r>
  <r>
    <x v="58"/>
    <x v="38"/>
    <x v="760"/>
    <x v="1"/>
    <x v="389"/>
    <x v="3"/>
    <x v="0"/>
    <x v="2"/>
    <x v="221"/>
    <x v="5"/>
    <x v="968"/>
    <x v="1"/>
  </r>
  <r>
    <x v="58"/>
    <x v="19"/>
    <x v="1732"/>
    <x v="0"/>
    <x v="475"/>
    <x v="3"/>
    <x v="0"/>
    <x v="2"/>
    <x v="221"/>
    <x v="3"/>
    <x v="969"/>
    <x v="1"/>
  </r>
  <r>
    <x v="58"/>
    <x v="17"/>
    <x v="1932"/>
    <x v="0"/>
    <x v="194"/>
    <x v="3"/>
    <x v="0"/>
    <x v="2"/>
    <x v="221"/>
    <x v="3"/>
    <x v="970"/>
    <x v="1"/>
  </r>
  <r>
    <x v="58"/>
    <x v="15"/>
    <x v="447"/>
    <x v="3"/>
    <x v="353"/>
    <x v="3"/>
    <x v="0"/>
    <x v="2"/>
    <x v="221"/>
    <x v="4"/>
    <x v="971"/>
    <x v="1"/>
  </r>
  <r>
    <x v="58"/>
    <x v="32"/>
    <x v="1635"/>
    <x v="3"/>
    <x v="422"/>
    <x v="3"/>
    <x v="2"/>
    <x v="4"/>
    <x v="221"/>
    <x v="10"/>
    <x v="972"/>
    <x v="1"/>
  </r>
  <r>
    <x v="58"/>
    <x v="32"/>
    <x v="1225"/>
    <x v="2"/>
    <x v="422"/>
    <x v="3"/>
    <x v="2"/>
    <x v="4"/>
    <x v="221"/>
    <x v="10"/>
    <x v="973"/>
    <x v="1"/>
  </r>
  <r>
    <x v="58"/>
    <x v="32"/>
    <x v="83"/>
    <x v="6"/>
    <x v="422"/>
    <x v="3"/>
    <x v="2"/>
    <x v="4"/>
    <x v="221"/>
    <x v="10"/>
    <x v="974"/>
    <x v="1"/>
  </r>
  <r>
    <x v="58"/>
    <x v="32"/>
    <x v="1933"/>
    <x v="7"/>
    <x v="422"/>
    <x v="3"/>
    <x v="2"/>
    <x v="4"/>
    <x v="221"/>
    <x v="10"/>
    <x v="975"/>
    <x v="1"/>
  </r>
  <r>
    <x v="58"/>
    <x v="32"/>
    <x v="1178"/>
    <x v="5"/>
    <x v="533"/>
    <x v="3"/>
    <x v="2"/>
    <x v="4"/>
    <x v="221"/>
    <x v="10"/>
    <x v="976"/>
    <x v="1"/>
  </r>
  <r>
    <x v="58"/>
    <x v="26"/>
    <x v="90"/>
    <x v="1"/>
    <x v="344"/>
    <x v="3"/>
    <x v="0"/>
    <x v="2"/>
    <x v="221"/>
    <x v="5"/>
    <x v="977"/>
    <x v="1"/>
  </r>
  <r>
    <x v="58"/>
    <x v="37"/>
    <x v="58"/>
    <x v="1"/>
    <x v="590"/>
    <x v="3"/>
    <x v="0"/>
    <x v="2"/>
    <x v="221"/>
    <x v="12"/>
    <x v="978"/>
    <x v="1"/>
  </r>
  <r>
    <x v="58"/>
    <x v="27"/>
    <x v="1134"/>
    <x v="1"/>
    <x v="5"/>
    <x v="3"/>
    <x v="0"/>
    <x v="2"/>
    <x v="221"/>
    <x v="5"/>
    <x v="979"/>
    <x v="1"/>
  </r>
  <r>
    <x v="58"/>
    <x v="38"/>
    <x v="12"/>
    <x v="3"/>
    <x v="444"/>
    <x v="3"/>
    <x v="0"/>
    <x v="2"/>
    <x v="221"/>
    <x v="5"/>
    <x v="980"/>
    <x v="1"/>
  </r>
  <r>
    <x v="59"/>
    <x v="12"/>
    <x v="695"/>
    <x v="0"/>
    <x v="17"/>
    <x v="3"/>
    <x v="0"/>
    <x v="2"/>
    <x v="221"/>
    <x v="5"/>
    <x v="981"/>
    <x v="1"/>
  </r>
  <r>
    <x v="59"/>
    <x v="9"/>
    <x v="1572"/>
    <x v="0"/>
    <x v="229"/>
    <x v="3"/>
    <x v="0"/>
    <x v="2"/>
    <x v="221"/>
    <x v="5"/>
    <x v="982"/>
    <x v="1"/>
  </r>
  <r>
    <x v="59"/>
    <x v="20"/>
    <x v="1540"/>
    <x v="0"/>
    <x v="61"/>
    <x v="3"/>
    <x v="0"/>
    <x v="2"/>
    <x v="221"/>
    <x v="5"/>
    <x v="983"/>
    <x v="1"/>
  </r>
  <r>
    <x v="59"/>
    <x v="38"/>
    <x v="375"/>
    <x v="1"/>
    <x v="500"/>
    <x v="3"/>
    <x v="0"/>
    <x v="1"/>
    <x v="10"/>
    <x v="5"/>
    <x v="984"/>
    <x v="1"/>
  </r>
  <r>
    <x v="59"/>
    <x v="1"/>
    <x v="158"/>
    <x v="3"/>
    <x v="431"/>
    <x v="3"/>
    <x v="0"/>
    <x v="2"/>
    <x v="221"/>
    <x v="4"/>
    <x v="985"/>
    <x v="1"/>
  </r>
  <r>
    <x v="59"/>
    <x v="20"/>
    <x v="49"/>
    <x v="3"/>
    <x v="381"/>
    <x v="3"/>
    <x v="0"/>
    <x v="2"/>
    <x v="221"/>
    <x v="5"/>
    <x v="986"/>
    <x v="1"/>
  </r>
  <r>
    <x v="59"/>
    <x v="27"/>
    <x v="1134"/>
    <x v="1"/>
    <x v="5"/>
    <x v="3"/>
    <x v="0"/>
    <x v="2"/>
    <x v="221"/>
    <x v="5"/>
    <x v="987"/>
    <x v="1"/>
  </r>
  <r>
    <x v="59"/>
    <x v="12"/>
    <x v="287"/>
    <x v="1"/>
    <x v="509"/>
    <x v="3"/>
    <x v="0"/>
    <x v="2"/>
    <x v="221"/>
    <x v="5"/>
    <x v="988"/>
    <x v="1"/>
  </r>
  <r>
    <x v="59"/>
    <x v="32"/>
    <x v="1670"/>
    <x v="3"/>
    <x v="422"/>
    <x v="3"/>
    <x v="2"/>
    <x v="4"/>
    <x v="221"/>
    <x v="10"/>
    <x v="989"/>
    <x v="1"/>
  </r>
  <r>
    <x v="59"/>
    <x v="32"/>
    <x v="582"/>
    <x v="2"/>
    <x v="422"/>
    <x v="3"/>
    <x v="2"/>
    <x v="4"/>
    <x v="221"/>
    <x v="10"/>
    <x v="990"/>
    <x v="1"/>
  </r>
  <r>
    <x v="59"/>
    <x v="32"/>
    <x v="277"/>
    <x v="4"/>
    <x v="588"/>
    <x v="3"/>
    <x v="2"/>
    <x v="4"/>
    <x v="221"/>
    <x v="10"/>
    <x v="991"/>
    <x v="1"/>
  </r>
  <r>
    <x v="59"/>
    <x v="32"/>
    <x v="747"/>
    <x v="6"/>
    <x v="422"/>
    <x v="3"/>
    <x v="2"/>
    <x v="4"/>
    <x v="221"/>
    <x v="10"/>
    <x v="992"/>
    <x v="1"/>
  </r>
  <r>
    <x v="59"/>
    <x v="32"/>
    <x v="1918"/>
    <x v="7"/>
    <x v="422"/>
    <x v="3"/>
    <x v="2"/>
    <x v="4"/>
    <x v="221"/>
    <x v="10"/>
    <x v="993"/>
    <x v="1"/>
  </r>
  <r>
    <x v="59"/>
    <x v="32"/>
    <x v="92"/>
    <x v="5"/>
    <x v="533"/>
    <x v="3"/>
    <x v="2"/>
    <x v="4"/>
    <x v="221"/>
    <x v="10"/>
    <x v="994"/>
    <x v="1"/>
  </r>
  <r>
    <x v="59"/>
    <x v="32"/>
    <x v="450"/>
    <x v="8"/>
    <x v="422"/>
    <x v="3"/>
    <x v="2"/>
    <x v="4"/>
    <x v="221"/>
    <x v="10"/>
    <x v="995"/>
    <x v="1"/>
  </r>
  <r>
    <x v="59"/>
    <x v="37"/>
    <x v="53"/>
    <x v="1"/>
    <x v="590"/>
    <x v="3"/>
    <x v="0"/>
    <x v="2"/>
    <x v="221"/>
    <x v="12"/>
    <x v="996"/>
    <x v="1"/>
  </r>
  <r>
    <x v="59"/>
    <x v="23"/>
    <x v="14"/>
    <x v="3"/>
    <x v="590"/>
    <x v="3"/>
    <x v="0"/>
    <x v="2"/>
    <x v="221"/>
    <x v="6"/>
    <x v="997"/>
    <x v="1"/>
  </r>
  <r>
    <x v="60"/>
    <x v="20"/>
    <x v="670"/>
    <x v="0"/>
    <x v="61"/>
    <x v="3"/>
    <x v="0"/>
    <x v="2"/>
    <x v="221"/>
    <x v="5"/>
    <x v="998"/>
    <x v="1"/>
  </r>
  <r>
    <x v="60"/>
    <x v="8"/>
    <x v="779"/>
    <x v="0"/>
    <x v="241"/>
    <x v="3"/>
    <x v="0"/>
    <x v="2"/>
    <x v="221"/>
    <x v="5"/>
    <x v="999"/>
    <x v="1"/>
  </r>
  <r>
    <x v="60"/>
    <x v="12"/>
    <x v="926"/>
    <x v="0"/>
    <x v="17"/>
    <x v="3"/>
    <x v="0"/>
    <x v="2"/>
    <x v="221"/>
    <x v="5"/>
    <x v="1000"/>
    <x v="1"/>
  </r>
  <r>
    <x v="60"/>
    <x v="38"/>
    <x v="372"/>
    <x v="1"/>
    <x v="500"/>
    <x v="3"/>
    <x v="0"/>
    <x v="1"/>
    <x v="10"/>
    <x v="5"/>
    <x v="1001"/>
    <x v="1"/>
  </r>
  <r>
    <x v="60"/>
    <x v="1"/>
    <x v="127"/>
    <x v="3"/>
    <x v="428"/>
    <x v="3"/>
    <x v="0"/>
    <x v="2"/>
    <x v="221"/>
    <x v="4"/>
    <x v="1002"/>
    <x v="1"/>
  </r>
  <r>
    <x v="60"/>
    <x v="3"/>
    <x v="599"/>
    <x v="1"/>
    <x v="579"/>
    <x v="3"/>
    <x v="0"/>
    <x v="2"/>
    <x v="221"/>
    <x v="4"/>
    <x v="1003"/>
    <x v="1"/>
  </r>
  <r>
    <x v="60"/>
    <x v="9"/>
    <x v="1103"/>
    <x v="0"/>
    <x v="229"/>
    <x v="3"/>
    <x v="0"/>
    <x v="2"/>
    <x v="221"/>
    <x v="5"/>
    <x v="1004"/>
    <x v="1"/>
  </r>
  <r>
    <x v="60"/>
    <x v="20"/>
    <x v="1606"/>
    <x v="0"/>
    <x v="272"/>
    <x v="3"/>
    <x v="0"/>
    <x v="2"/>
    <x v="221"/>
    <x v="5"/>
    <x v="1005"/>
    <x v="1"/>
  </r>
  <r>
    <x v="60"/>
    <x v="27"/>
    <x v="1353"/>
    <x v="0"/>
    <x v="4"/>
    <x v="3"/>
    <x v="0"/>
    <x v="2"/>
    <x v="221"/>
    <x v="5"/>
    <x v="1006"/>
    <x v="1"/>
  </r>
  <r>
    <x v="60"/>
    <x v="27"/>
    <x v="216"/>
    <x v="1"/>
    <x v="4"/>
    <x v="3"/>
    <x v="0"/>
    <x v="2"/>
    <x v="221"/>
    <x v="5"/>
    <x v="1007"/>
    <x v="1"/>
  </r>
  <r>
    <x v="60"/>
    <x v="32"/>
    <x v="1399"/>
    <x v="3"/>
    <x v="422"/>
    <x v="3"/>
    <x v="2"/>
    <x v="4"/>
    <x v="221"/>
    <x v="10"/>
    <x v="1008"/>
    <x v="1"/>
  </r>
  <r>
    <x v="60"/>
    <x v="32"/>
    <x v="216"/>
    <x v="2"/>
    <x v="422"/>
    <x v="3"/>
    <x v="2"/>
    <x v="4"/>
    <x v="221"/>
    <x v="10"/>
    <x v="1009"/>
    <x v="1"/>
  </r>
  <r>
    <x v="60"/>
    <x v="32"/>
    <x v="256"/>
    <x v="6"/>
    <x v="422"/>
    <x v="3"/>
    <x v="2"/>
    <x v="4"/>
    <x v="221"/>
    <x v="10"/>
    <x v="1010"/>
    <x v="1"/>
  </r>
  <r>
    <x v="60"/>
    <x v="32"/>
    <x v="1705"/>
    <x v="7"/>
    <x v="422"/>
    <x v="3"/>
    <x v="2"/>
    <x v="4"/>
    <x v="221"/>
    <x v="10"/>
    <x v="1011"/>
    <x v="1"/>
  </r>
  <r>
    <x v="60"/>
    <x v="32"/>
    <x v="790"/>
    <x v="5"/>
    <x v="533"/>
    <x v="3"/>
    <x v="2"/>
    <x v="4"/>
    <x v="221"/>
    <x v="10"/>
    <x v="1012"/>
    <x v="1"/>
  </r>
  <r>
    <x v="60"/>
    <x v="12"/>
    <x v="58"/>
    <x v="1"/>
    <x v="315"/>
    <x v="3"/>
    <x v="0"/>
    <x v="2"/>
    <x v="221"/>
    <x v="5"/>
    <x v="1013"/>
    <x v="1"/>
  </r>
  <r>
    <x v="60"/>
    <x v="29"/>
    <x v="31"/>
    <x v="1"/>
    <x v="177"/>
    <x v="3"/>
    <x v="0"/>
    <x v="2"/>
    <x v="221"/>
    <x v="6"/>
    <x v="1014"/>
    <x v="1"/>
  </r>
  <r>
    <x v="60"/>
    <x v="12"/>
    <x v="53"/>
    <x v="1"/>
    <x v="331"/>
    <x v="3"/>
    <x v="0"/>
    <x v="2"/>
    <x v="221"/>
    <x v="5"/>
    <x v="1015"/>
    <x v="1"/>
  </r>
  <r>
    <x v="60"/>
    <x v="37"/>
    <x v="50"/>
    <x v="1"/>
    <x v="590"/>
    <x v="3"/>
    <x v="0"/>
    <x v="2"/>
    <x v="221"/>
    <x v="12"/>
    <x v="1016"/>
    <x v="1"/>
  </r>
  <r>
    <x v="60"/>
    <x v="23"/>
    <x v="9"/>
    <x v="3"/>
    <x v="590"/>
    <x v="3"/>
    <x v="0"/>
    <x v="2"/>
    <x v="221"/>
    <x v="6"/>
    <x v="1017"/>
    <x v="1"/>
  </r>
  <r>
    <x v="61"/>
    <x v="9"/>
    <x v="1295"/>
    <x v="0"/>
    <x v="229"/>
    <x v="3"/>
    <x v="0"/>
    <x v="2"/>
    <x v="221"/>
    <x v="5"/>
    <x v="1018"/>
    <x v="1"/>
  </r>
  <r>
    <x v="61"/>
    <x v="20"/>
    <x v="1074"/>
    <x v="0"/>
    <x v="61"/>
    <x v="3"/>
    <x v="0"/>
    <x v="2"/>
    <x v="221"/>
    <x v="5"/>
    <x v="1019"/>
    <x v="1"/>
  </r>
  <r>
    <x v="61"/>
    <x v="12"/>
    <x v="351"/>
    <x v="0"/>
    <x v="17"/>
    <x v="3"/>
    <x v="0"/>
    <x v="2"/>
    <x v="221"/>
    <x v="5"/>
    <x v="1020"/>
    <x v="1"/>
  </r>
  <r>
    <x v="61"/>
    <x v="12"/>
    <x v="173"/>
    <x v="1"/>
    <x v="333"/>
    <x v="3"/>
    <x v="0"/>
    <x v="2"/>
    <x v="221"/>
    <x v="5"/>
    <x v="1021"/>
    <x v="1"/>
  </r>
  <r>
    <x v="61"/>
    <x v="27"/>
    <x v="1134"/>
    <x v="0"/>
    <x v="5"/>
    <x v="3"/>
    <x v="0"/>
    <x v="2"/>
    <x v="221"/>
    <x v="5"/>
    <x v="1022"/>
    <x v="1"/>
  </r>
  <r>
    <x v="61"/>
    <x v="26"/>
    <x v="90"/>
    <x v="3"/>
    <x v="345"/>
    <x v="3"/>
    <x v="0"/>
    <x v="2"/>
    <x v="221"/>
    <x v="5"/>
    <x v="1023"/>
    <x v="1"/>
  </r>
  <r>
    <x v="61"/>
    <x v="38"/>
    <x v="233"/>
    <x v="1"/>
    <x v="500"/>
    <x v="3"/>
    <x v="0"/>
    <x v="1"/>
    <x v="10"/>
    <x v="5"/>
    <x v="1024"/>
    <x v="1"/>
  </r>
  <r>
    <x v="61"/>
    <x v="32"/>
    <x v="719"/>
    <x v="3"/>
    <x v="422"/>
    <x v="3"/>
    <x v="2"/>
    <x v="4"/>
    <x v="221"/>
    <x v="10"/>
    <x v="1025"/>
    <x v="1"/>
  </r>
  <r>
    <x v="61"/>
    <x v="32"/>
    <x v="1107"/>
    <x v="2"/>
    <x v="422"/>
    <x v="3"/>
    <x v="2"/>
    <x v="4"/>
    <x v="221"/>
    <x v="10"/>
    <x v="1026"/>
    <x v="1"/>
  </r>
  <r>
    <x v="61"/>
    <x v="32"/>
    <x v="205"/>
    <x v="6"/>
    <x v="422"/>
    <x v="3"/>
    <x v="2"/>
    <x v="4"/>
    <x v="221"/>
    <x v="10"/>
    <x v="1027"/>
    <x v="1"/>
  </r>
  <r>
    <x v="61"/>
    <x v="32"/>
    <x v="1889"/>
    <x v="7"/>
    <x v="422"/>
    <x v="3"/>
    <x v="2"/>
    <x v="4"/>
    <x v="221"/>
    <x v="10"/>
    <x v="1028"/>
    <x v="1"/>
  </r>
  <r>
    <x v="61"/>
    <x v="32"/>
    <x v="615"/>
    <x v="5"/>
    <x v="533"/>
    <x v="3"/>
    <x v="2"/>
    <x v="4"/>
    <x v="221"/>
    <x v="10"/>
    <x v="1029"/>
    <x v="1"/>
  </r>
  <r>
    <x v="61"/>
    <x v="37"/>
    <x v="58"/>
    <x v="1"/>
    <x v="590"/>
    <x v="3"/>
    <x v="0"/>
    <x v="2"/>
    <x v="221"/>
    <x v="12"/>
    <x v="1030"/>
    <x v="1"/>
  </r>
  <r>
    <x v="61"/>
    <x v="0"/>
    <x v="518"/>
    <x v="1"/>
    <x v="297"/>
    <x v="3"/>
    <x v="0"/>
    <x v="2"/>
    <x v="221"/>
    <x v="9"/>
    <x v="1031"/>
    <x v="1"/>
  </r>
  <r>
    <x v="61"/>
    <x v="23"/>
    <x v="25"/>
    <x v="3"/>
    <x v="590"/>
    <x v="3"/>
    <x v="0"/>
    <x v="2"/>
    <x v="221"/>
    <x v="6"/>
    <x v="1032"/>
    <x v="1"/>
  </r>
  <r>
    <x v="62"/>
    <x v="12"/>
    <x v="717"/>
    <x v="0"/>
    <x v="17"/>
    <x v="3"/>
    <x v="0"/>
    <x v="2"/>
    <x v="221"/>
    <x v="5"/>
    <x v="1033"/>
    <x v="1"/>
  </r>
  <r>
    <x v="62"/>
    <x v="8"/>
    <x v="449"/>
    <x v="0"/>
    <x v="241"/>
    <x v="3"/>
    <x v="0"/>
    <x v="2"/>
    <x v="221"/>
    <x v="5"/>
    <x v="1034"/>
    <x v="1"/>
  </r>
  <r>
    <x v="62"/>
    <x v="9"/>
    <x v="1416"/>
    <x v="0"/>
    <x v="229"/>
    <x v="3"/>
    <x v="0"/>
    <x v="2"/>
    <x v="221"/>
    <x v="5"/>
    <x v="1035"/>
    <x v="1"/>
  </r>
  <r>
    <x v="62"/>
    <x v="1"/>
    <x v="158"/>
    <x v="3"/>
    <x v="431"/>
    <x v="3"/>
    <x v="0"/>
    <x v="2"/>
    <x v="221"/>
    <x v="4"/>
    <x v="1036"/>
    <x v="1"/>
  </r>
  <r>
    <x v="62"/>
    <x v="1"/>
    <x v="77"/>
    <x v="1"/>
    <x v="95"/>
    <x v="3"/>
    <x v="0"/>
    <x v="2"/>
    <x v="221"/>
    <x v="4"/>
    <x v="1037"/>
    <x v="1"/>
  </r>
  <r>
    <x v="62"/>
    <x v="3"/>
    <x v="534"/>
    <x v="1"/>
    <x v="153"/>
    <x v="3"/>
    <x v="0"/>
    <x v="2"/>
    <x v="221"/>
    <x v="4"/>
    <x v="1038"/>
    <x v="1"/>
  </r>
  <r>
    <x v="62"/>
    <x v="15"/>
    <x v="496"/>
    <x v="3"/>
    <x v="353"/>
    <x v="3"/>
    <x v="0"/>
    <x v="2"/>
    <x v="221"/>
    <x v="4"/>
    <x v="1039"/>
    <x v="1"/>
  </r>
  <r>
    <x v="62"/>
    <x v="38"/>
    <x v="262"/>
    <x v="1"/>
    <x v="500"/>
    <x v="3"/>
    <x v="0"/>
    <x v="1"/>
    <x v="10"/>
    <x v="5"/>
    <x v="1040"/>
    <x v="1"/>
  </r>
  <r>
    <x v="62"/>
    <x v="32"/>
    <x v="1465"/>
    <x v="3"/>
    <x v="422"/>
    <x v="3"/>
    <x v="2"/>
    <x v="4"/>
    <x v="221"/>
    <x v="10"/>
    <x v="1041"/>
    <x v="1"/>
  </r>
  <r>
    <x v="62"/>
    <x v="32"/>
    <x v="68"/>
    <x v="2"/>
    <x v="422"/>
    <x v="3"/>
    <x v="2"/>
    <x v="4"/>
    <x v="221"/>
    <x v="10"/>
    <x v="1042"/>
    <x v="1"/>
  </r>
  <r>
    <x v="62"/>
    <x v="32"/>
    <x v="1811"/>
    <x v="7"/>
    <x v="422"/>
    <x v="3"/>
    <x v="2"/>
    <x v="4"/>
    <x v="221"/>
    <x v="10"/>
    <x v="1043"/>
    <x v="1"/>
  </r>
  <r>
    <x v="62"/>
    <x v="32"/>
    <x v="1439"/>
    <x v="5"/>
    <x v="533"/>
    <x v="3"/>
    <x v="2"/>
    <x v="4"/>
    <x v="221"/>
    <x v="10"/>
    <x v="1044"/>
    <x v="1"/>
  </r>
  <r>
    <x v="62"/>
    <x v="37"/>
    <x v="45"/>
    <x v="1"/>
    <x v="590"/>
    <x v="3"/>
    <x v="0"/>
    <x v="2"/>
    <x v="221"/>
    <x v="12"/>
    <x v="1045"/>
    <x v="1"/>
  </r>
  <r>
    <x v="62"/>
    <x v="38"/>
    <x v="25"/>
    <x v="3"/>
    <x v="444"/>
    <x v="3"/>
    <x v="0"/>
    <x v="2"/>
    <x v="221"/>
    <x v="5"/>
    <x v="1046"/>
    <x v="1"/>
  </r>
  <r>
    <x v="62"/>
    <x v="23"/>
    <x v="9"/>
    <x v="3"/>
    <x v="590"/>
    <x v="3"/>
    <x v="0"/>
    <x v="2"/>
    <x v="221"/>
    <x v="6"/>
    <x v="1047"/>
    <x v="1"/>
  </r>
  <r>
    <x v="63"/>
    <x v="9"/>
    <x v="1615"/>
    <x v="0"/>
    <x v="229"/>
    <x v="3"/>
    <x v="0"/>
    <x v="2"/>
    <x v="221"/>
    <x v="5"/>
    <x v="1048"/>
    <x v="1"/>
  </r>
  <r>
    <x v="63"/>
    <x v="38"/>
    <x v="160"/>
    <x v="1"/>
    <x v="500"/>
    <x v="3"/>
    <x v="0"/>
    <x v="1"/>
    <x v="10"/>
    <x v="5"/>
    <x v="1049"/>
    <x v="1"/>
  </r>
  <r>
    <x v="63"/>
    <x v="20"/>
    <x v="1105"/>
    <x v="0"/>
    <x v="61"/>
    <x v="3"/>
    <x v="0"/>
    <x v="2"/>
    <x v="221"/>
    <x v="5"/>
    <x v="1050"/>
    <x v="1"/>
  </r>
  <r>
    <x v="63"/>
    <x v="12"/>
    <x v="492"/>
    <x v="0"/>
    <x v="17"/>
    <x v="3"/>
    <x v="0"/>
    <x v="2"/>
    <x v="221"/>
    <x v="5"/>
    <x v="1051"/>
    <x v="1"/>
  </r>
  <r>
    <x v="63"/>
    <x v="7"/>
    <x v="1896"/>
    <x v="0"/>
    <x v="590"/>
    <x v="3"/>
    <x v="0"/>
    <x v="2"/>
    <x v="221"/>
    <x v="4"/>
    <x v="1052"/>
    <x v="1"/>
  </r>
  <r>
    <x v="63"/>
    <x v="1"/>
    <x v="76"/>
    <x v="3"/>
    <x v="431"/>
    <x v="3"/>
    <x v="0"/>
    <x v="2"/>
    <x v="221"/>
    <x v="4"/>
    <x v="1053"/>
    <x v="1"/>
  </r>
  <r>
    <x v="63"/>
    <x v="38"/>
    <x v="527"/>
    <x v="1"/>
    <x v="389"/>
    <x v="3"/>
    <x v="0"/>
    <x v="2"/>
    <x v="221"/>
    <x v="5"/>
    <x v="1054"/>
    <x v="1"/>
  </r>
  <r>
    <x v="63"/>
    <x v="27"/>
    <x v="925"/>
    <x v="1"/>
    <x v="5"/>
    <x v="3"/>
    <x v="0"/>
    <x v="2"/>
    <x v="221"/>
    <x v="5"/>
    <x v="1055"/>
    <x v="1"/>
  </r>
  <r>
    <x v="63"/>
    <x v="13"/>
    <x v="1223"/>
    <x v="0"/>
    <x v="32"/>
    <x v="3"/>
    <x v="0"/>
    <x v="2"/>
    <x v="221"/>
    <x v="5"/>
    <x v="1056"/>
    <x v="1"/>
  </r>
  <r>
    <x v="63"/>
    <x v="32"/>
    <x v="1043"/>
    <x v="3"/>
    <x v="422"/>
    <x v="3"/>
    <x v="2"/>
    <x v="4"/>
    <x v="221"/>
    <x v="10"/>
    <x v="1057"/>
    <x v="1"/>
  </r>
  <r>
    <x v="63"/>
    <x v="32"/>
    <x v="458"/>
    <x v="2"/>
    <x v="422"/>
    <x v="3"/>
    <x v="2"/>
    <x v="4"/>
    <x v="221"/>
    <x v="10"/>
    <x v="1058"/>
    <x v="1"/>
  </r>
  <r>
    <x v="63"/>
    <x v="32"/>
    <x v="419"/>
    <x v="6"/>
    <x v="422"/>
    <x v="3"/>
    <x v="2"/>
    <x v="4"/>
    <x v="221"/>
    <x v="10"/>
    <x v="1059"/>
    <x v="1"/>
  </r>
  <r>
    <x v="63"/>
    <x v="32"/>
    <x v="1749"/>
    <x v="7"/>
    <x v="422"/>
    <x v="3"/>
    <x v="2"/>
    <x v="4"/>
    <x v="221"/>
    <x v="10"/>
    <x v="1060"/>
    <x v="1"/>
  </r>
  <r>
    <x v="63"/>
    <x v="32"/>
    <x v="65"/>
    <x v="8"/>
    <x v="422"/>
    <x v="3"/>
    <x v="2"/>
    <x v="4"/>
    <x v="221"/>
    <x v="10"/>
    <x v="1061"/>
    <x v="1"/>
  </r>
  <r>
    <x v="63"/>
    <x v="32"/>
    <x v="416"/>
    <x v="5"/>
    <x v="533"/>
    <x v="3"/>
    <x v="2"/>
    <x v="4"/>
    <x v="221"/>
    <x v="10"/>
    <x v="1062"/>
    <x v="1"/>
  </r>
  <r>
    <x v="63"/>
    <x v="37"/>
    <x v="60"/>
    <x v="1"/>
    <x v="590"/>
    <x v="3"/>
    <x v="0"/>
    <x v="2"/>
    <x v="221"/>
    <x v="12"/>
    <x v="1063"/>
    <x v="1"/>
  </r>
  <r>
    <x v="63"/>
    <x v="23"/>
    <x v="9"/>
    <x v="3"/>
    <x v="590"/>
    <x v="3"/>
    <x v="0"/>
    <x v="2"/>
    <x v="221"/>
    <x v="6"/>
    <x v="1064"/>
    <x v="1"/>
  </r>
  <r>
    <x v="64"/>
    <x v="1"/>
    <x v="76"/>
    <x v="3"/>
    <x v="430"/>
    <x v="3"/>
    <x v="0"/>
    <x v="2"/>
    <x v="221"/>
    <x v="4"/>
    <x v="1065"/>
    <x v="1"/>
  </r>
  <r>
    <x v="64"/>
    <x v="3"/>
    <x v="599"/>
    <x v="1"/>
    <x v="579"/>
    <x v="3"/>
    <x v="0"/>
    <x v="2"/>
    <x v="221"/>
    <x v="4"/>
    <x v="1066"/>
    <x v="1"/>
  </r>
  <r>
    <x v="64"/>
    <x v="8"/>
    <x v="779"/>
    <x v="0"/>
    <x v="241"/>
    <x v="3"/>
    <x v="0"/>
    <x v="2"/>
    <x v="221"/>
    <x v="5"/>
    <x v="1067"/>
    <x v="1"/>
  </r>
  <r>
    <x v="64"/>
    <x v="38"/>
    <x v="304"/>
    <x v="1"/>
    <x v="500"/>
    <x v="3"/>
    <x v="0"/>
    <x v="1"/>
    <x v="10"/>
    <x v="5"/>
    <x v="1068"/>
    <x v="1"/>
  </r>
  <r>
    <x v="64"/>
    <x v="12"/>
    <x v="452"/>
    <x v="0"/>
    <x v="17"/>
    <x v="3"/>
    <x v="0"/>
    <x v="2"/>
    <x v="221"/>
    <x v="5"/>
    <x v="1069"/>
    <x v="1"/>
  </r>
  <r>
    <x v="64"/>
    <x v="20"/>
    <x v="805"/>
    <x v="0"/>
    <x v="61"/>
    <x v="3"/>
    <x v="0"/>
    <x v="2"/>
    <x v="221"/>
    <x v="5"/>
    <x v="1070"/>
    <x v="1"/>
  </r>
  <r>
    <x v="64"/>
    <x v="9"/>
    <x v="855"/>
    <x v="0"/>
    <x v="229"/>
    <x v="3"/>
    <x v="0"/>
    <x v="2"/>
    <x v="221"/>
    <x v="5"/>
    <x v="1071"/>
    <x v="1"/>
  </r>
  <r>
    <x v="64"/>
    <x v="20"/>
    <x v="49"/>
    <x v="3"/>
    <x v="378"/>
    <x v="3"/>
    <x v="0"/>
    <x v="2"/>
    <x v="221"/>
    <x v="5"/>
    <x v="1072"/>
    <x v="1"/>
  </r>
  <r>
    <x v="64"/>
    <x v="32"/>
    <x v="672"/>
    <x v="3"/>
    <x v="422"/>
    <x v="3"/>
    <x v="2"/>
    <x v="4"/>
    <x v="221"/>
    <x v="10"/>
    <x v="1073"/>
    <x v="1"/>
  </r>
  <r>
    <x v="64"/>
    <x v="32"/>
    <x v="547"/>
    <x v="2"/>
    <x v="422"/>
    <x v="3"/>
    <x v="2"/>
    <x v="4"/>
    <x v="221"/>
    <x v="10"/>
    <x v="1074"/>
    <x v="1"/>
  </r>
  <r>
    <x v="64"/>
    <x v="32"/>
    <x v="25"/>
    <x v="6"/>
    <x v="422"/>
    <x v="3"/>
    <x v="2"/>
    <x v="4"/>
    <x v="221"/>
    <x v="10"/>
    <x v="1075"/>
    <x v="1"/>
  </r>
  <r>
    <x v="64"/>
    <x v="32"/>
    <x v="1874"/>
    <x v="7"/>
    <x v="422"/>
    <x v="3"/>
    <x v="2"/>
    <x v="4"/>
    <x v="221"/>
    <x v="10"/>
    <x v="1076"/>
    <x v="1"/>
  </r>
  <r>
    <x v="64"/>
    <x v="32"/>
    <x v="867"/>
    <x v="5"/>
    <x v="533"/>
    <x v="3"/>
    <x v="2"/>
    <x v="4"/>
    <x v="221"/>
    <x v="10"/>
    <x v="1077"/>
    <x v="1"/>
  </r>
  <r>
    <x v="64"/>
    <x v="37"/>
    <x v="38"/>
    <x v="3"/>
    <x v="590"/>
    <x v="3"/>
    <x v="0"/>
    <x v="2"/>
    <x v="221"/>
    <x v="12"/>
    <x v="1078"/>
    <x v="1"/>
  </r>
  <r>
    <x v="64"/>
    <x v="28"/>
    <x v="641"/>
    <x v="1"/>
    <x v="590"/>
    <x v="3"/>
    <x v="0"/>
    <x v="2"/>
    <x v="221"/>
    <x v="0"/>
    <x v="1079"/>
    <x v="1"/>
  </r>
  <r>
    <x v="65"/>
    <x v="9"/>
    <x v="1434"/>
    <x v="0"/>
    <x v="229"/>
    <x v="3"/>
    <x v="0"/>
    <x v="2"/>
    <x v="221"/>
    <x v="5"/>
    <x v="1080"/>
    <x v="1"/>
  </r>
  <r>
    <x v="65"/>
    <x v="8"/>
    <x v="449"/>
    <x v="0"/>
    <x v="241"/>
    <x v="3"/>
    <x v="0"/>
    <x v="2"/>
    <x v="221"/>
    <x v="5"/>
    <x v="1081"/>
    <x v="1"/>
  </r>
  <r>
    <x v="65"/>
    <x v="38"/>
    <x v="355"/>
    <x v="1"/>
    <x v="500"/>
    <x v="3"/>
    <x v="0"/>
    <x v="1"/>
    <x v="10"/>
    <x v="5"/>
    <x v="1082"/>
    <x v="1"/>
  </r>
  <r>
    <x v="65"/>
    <x v="12"/>
    <x v="529"/>
    <x v="0"/>
    <x v="17"/>
    <x v="3"/>
    <x v="0"/>
    <x v="2"/>
    <x v="221"/>
    <x v="5"/>
    <x v="1083"/>
    <x v="1"/>
  </r>
  <r>
    <x v="65"/>
    <x v="20"/>
    <x v="1213"/>
    <x v="0"/>
    <x v="61"/>
    <x v="3"/>
    <x v="0"/>
    <x v="2"/>
    <x v="221"/>
    <x v="5"/>
    <x v="1084"/>
    <x v="1"/>
  </r>
  <r>
    <x v="65"/>
    <x v="12"/>
    <x v="287"/>
    <x v="1"/>
    <x v="509"/>
    <x v="3"/>
    <x v="0"/>
    <x v="2"/>
    <x v="221"/>
    <x v="5"/>
    <x v="1085"/>
    <x v="1"/>
  </r>
  <r>
    <x v="65"/>
    <x v="24"/>
    <x v="158"/>
    <x v="1"/>
    <x v="31"/>
    <x v="3"/>
    <x v="0"/>
    <x v="2"/>
    <x v="221"/>
    <x v="6"/>
    <x v="1086"/>
    <x v="1"/>
  </r>
  <r>
    <x v="65"/>
    <x v="15"/>
    <x v="390"/>
    <x v="1"/>
    <x v="353"/>
    <x v="3"/>
    <x v="0"/>
    <x v="2"/>
    <x v="221"/>
    <x v="4"/>
    <x v="1087"/>
    <x v="1"/>
  </r>
  <r>
    <x v="65"/>
    <x v="30"/>
    <x v="1662"/>
    <x v="1"/>
    <x v="590"/>
    <x v="3"/>
    <x v="0"/>
    <x v="2"/>
    <x v="221"/>
    <x v="3"/>
    <x v="1088"/>
    <x v="1"/>
  </r>
  <r>
    <x v="65"/>
    <x v="35"/>
    <x v="1606"/>
    <x v="0"/>
    <x v="590"/>
    <x v="3"/>
    <x v="0"/>
    <x v="2"/>
    <x v="221"/>
    <x v="13"/>
    <x v="1089"/>
    <x v="1"/>
  </r>
  <r>
    <x v="65"/>
    <x v="37"/>
    <x v="50"/>
    <x v="1"/>
    <x v="590"/>
    <x v="3"/>
    <x v="0"/>
    <x v="2"/>
    <x v="221"/>
    <x v="12"/>
    <x v="1090"/>
    <x v="1"/>
  </r>
  <r>
    <x v="65"/>
    <x v="23"/>
    <x v="25"/>
    <x v="3"/>
    <x v="422"/>
    <x v="3"/>
    <x v="0"/>
    <x v="2"/>
    <x v="221"/>
    <x v="6"/>
    <x v="1091"/>
    <x v="1"/>
  </r>
  <r>
    <x v="65"/>
    <x v="32"/>
    <x v="1058"/>
    <x v="3"/>
    <x v="422"/>
    <x v="3"/>
    <x v="2"/>
    <x v="4"/>
    <x v="221"/>
    <x v="10"/>
    <x v="1092"/>
    <x v="1"/>
  </r>
  <r>
    <x v="65"/>
    <x v="32"/>
    <x v="607"/>
    <x v="6"/>
    <x v="422"/>
    <x v="3"/>
    <x v="2"/>
    <x v="4"/>
    <x v="221"/>
    <x v="10"/>
    <x v="1093"/>
    <x v="1"/>
  </r>
  <r>
    <x v="65"/>
    <x v="32"/>
    <x v="1754"/>
    <x v="7"/>
    <x v="422"/>
    <x v="3"/>
    <x v="2"/>
    <x v="4"/>
    <x v="221"/>
    <x v="10"/>
    <x v="1094"/>
    <x v="1"/>
  </r>
  <r>
    <x v="65"/>
    <x v="32"/>
    <x v="594"/>
    <x v="5"/>
    <x v="533"/>
    <x v="3"/>
    <x v="2"/>
    <x v="4"/>
    <x v="221"/>
    <x v="10"/>
    <x v="1095"/>
    <x v="1"/>
  </r>
  <r>
    <x v="65"/>
    <x v="1"/>
    <x v="48"/>
    <x v="3"/>
    <x v="430"/>
    <x v="3"/>
    <x v="0"/>
    <x v="2"/>
    <x v="221"/>
    <x v="4"/>
    <x v="1096"/>
    <x v="1"/>
  </r>
  <r>
    <x v="66"/>
    <x v="0"/>
    <x v="1015"/>
    <x v="1"/>
    <x v="279"/>
    <x v="3"/>
    <x v="0"/>
    <x v="2"/>
    <x v="221"/>
    <x v="9"/>
    <x v="1097"/>
    <x v="1"/>
  </r>
  <r>
    <x v="66"/>
    <x v="0"/>
    <x v="518"/>
    <x v="1"/>
    <x v="56"/>
    <x v="3"/>
    <x v="0"/>
    <x v="2"/>
    <x v="221"/>
    <x v="9"/>
    <x v="1098"/>
    <x v="1"/>
  </r>
  <r>
    <x v="66"/>
    <x v="38"/>
    <x v="289"/>
    <x v="1"/>
    <x v="500"/>
    <x v="3"/>
    <x v="0"/>
    <x v="1"/>
    <x v="10"/>
    <x v="5"/>
    <x v="1099"/>
    <x v="1"/>
  </r>
  <r>
    <x v="66"/>
    <x v="12"/>
    <x v="189"/>
    <x v="0"/>
    <x v="17"/>
    <x v="3"/>
    <x v="0"/>
    <x v="2"/>
    <x v="221"/>
    <x v="5"/>
    <x v="1100"/>
    <x v="1"/>
  </r>
  <r>
    <x v="66"/>
    <x v="9"/>
    <x v="955"/>
    <x v="0"/>
    <x v="229"/>
    <x v="3"/>
    <x v="0"/>
    <x v="2"/>
    <x v="221"/>
    <x v="5"/>
    <x v="1101"/>
    <x v="1"/>
  </r>
  <r>
    <x v="66"/>
    <x v="20"/>
    <x v="1327"/>
    <x v="0"/>
    <x v="61"/>
    <x v="3"/>
    <x v="0"/>
    <x v="2"/>
    <x v="221"/>
    <x v="5"/>
    <x v="1102"/>
    <x v="1"/>
  </r>
  <r>
    <x v="66"/>
    <x v="16"/>
    <x v="134"/>
    <x v="1"/>
    <x v="587"/>
    <x v="3"/>
    <x v="0"/>
    <x v="2"/>
    <x v="221"/>
    <x v="6"/>
    <x v="1103"/>
    <x v="1"/>
  </r>
  <r>
    <x v="66"/>
    <x v="11"/>
    <x v="112"/>
    <x v="3"/>
    <x v="115"/>
    <x v="3"/>
    <x v="0"/>
    <x v="2"/>
    <x v="221"/>
    <x v="2"/>
    <x v="1104"/>
    <x v="1"/>
  </r>
  <r>
    <x v="66"/>
    <x v="32"/>
    <x v="1162"/>
    <x v="3"/>
    <x v="422"/>
    <x v="3"/>
    <x v="2"/>
    <x v="4"/>
    <x v="221"/>
    <x v="10"/>
    <x v="1105"/>
    <x v="1"/>
  </r>
  <r>
    <x v="66"/>
    <x v="32"/>
    <x v="205"/>
    <x v="6"/>
    <x v="422"/>
    <x v="3"/>
    <x v="2"/>
    <x v="4"/>
    <x v="221"/>
    <x v="10"/>
    <x v="1106"/>
    <x v="1"/>
  </r>
  <r>
    <x v="66"/>
    <x v="32"/>
    <x v="1744"/>
    <x v="7"/>
    <x v="422"/>
    <x v="3"/>
    <x v="2"/>
    <x v="4"/>
    <x v="221"/>
    <x v="10"/>
    <x v="1107"/>
    <x v="1"/>
  </r>
  <r>
    <x v="66"/>
    <x v="32"/>
    <x v="686"/>
    <x v="5"/>
    <x v="533"/>
    <x v="3"/>
    <x v="2"/>
    <x v="4"/>
    <x v="221"/>
    <x v="10"/>
    <x v="1108"/>
    <x v="1"/>
  </r>
  <r>
    <x v="66"/>
    <x v="35"/>
    <x v="518"/>
    <x v="1"/>
    <x v="590"/>
    <x v="3"/>
    <x v="0"/>
    <x v="2"/>
    <x v="221"/>
    <x v="13"/>
    <x v="1109"/>
    <x v="1"/>
  </r>
  <r>
    <x v="66"/>
    <x v="23"/>
    <x v="14"/>
    <x v="3"/>
    <x v="590"/>
    <x v="3"/>
    <x v="0"/>
    <x v="2"/>
    <x v="221"/>
    <x v="6"/>
    <x v="1110"/>
    <x v="1"/>
  </r>
  <r>
    <x v="66"/>
    <x v="37"/>
    <x v="45"/>
    <x v="1"/>
    <x v="590"/>
    <x v="3"/>
    <x v="0"/>
    <x v="2"/>
    <x v="221"/>
    <x v="12"/>
    <x v="1111"/>
    <x v="1"/>
  </r>
  <r>
    <x v="67"/>
    <x v="1"/>
    <x v="143"/>
    <x v="1"/>
    <x v="431"/>
    <x v="3"/>
    <x v="0"/>
    <x v="2"/>
    <x v="221"/>
    <x v="4"/>
    <x v="1112"/>
    <x v="1"/>
  </r>
  <r>
    <x v="67"/>
    <x v="8"/>
    <x v="449"/>
    <x v="0"/>
    <x v="241"/>
    <x v="3"/>
    <x v="0"/>
    <x v="2"/>
    <x v="221"/>
    <x v="5"/>
    <x v="1113"/>
    <x v="1"/>
  </r>
  <r>
    <x v="67"/>
    <x v="9"/>
    <x v="891"/>
    <x v="0"/>
    <x v="229"/>
    <x v="3"/>
    <x v="0"/>
    <x v="2"/>
    <x v="221"/>
    <x v="5"/>
    <x v="1114"/>
    <x v="1"/>
  </r>
  <r>
    <x v="67"/>
    <x v="38"/>
    <x v="111"/>
    <x v="1"/>
    <x v="500"/>
    <x v="3"/>
    <x v="0"/>
    <x v="1"/>
    <x v="10"/>
    <x v="5"/>
    <x v="1115"/>
    <x v="1"/>
  </r>
  <r>
    <x v="67"/>
    <x v="12"/>
    <x v="585"/>
    <x v="0"/>
    <x v="17"/>
    <x v="3"/>
    <x v="0"/>
    <x v="2"/>
    <x v="221"/>
    <x v="5"/>
    <x v="1116"/>
    <x v="1"/>
  </r>
  <r>
    <x v="67"/>
    <x v="28"/>
    <x v="134"/>
    <x v="1"/>
    <x v="590"/>
    <x v="3"/>
    <x v="0"/>
    <x v="2"/>
    <x v="221"/>
    <x v="0"/>
    <x v="1117"/>
    <x v="1"/>
  </r>
  <r>
    <x v="67"/>
    <x v="12"/>
    <x v="287"/>
    <x v="1"/>
    <x v="509"/>
    <x v="3"/>
    <x v="0"/>
    <x v="2"/>
    <x v="221"/>
    <x v="5"/>
    <x v="1118"/>
    <x v="1"/>
  </r>
  <r>
    <x v="67"/>
    <x v="32"/>
    <x v="1148"/>
    <x v="3"/>
    <x v="422"/>
    <x v="3"/>
    <x v="2"/>
    <x v="4"/>
    <x v="221"/>
    <x v="10"/>
    <x v="1119"/>
    <x v="1"/>
  </r>
  <r>
    <x v="67"/>
    <x v="32"/>
    <x v="892"/>
    <x v="2"/>
    <x v="422"/>
    <x v="3"/>
    <x v="2"/>
    <x v="4"/>
    <x v="221"/>
    <x v="10"/>
    <x v="1120"/>
    <x v="1"/>
  </r>
  <r>
    <x v="67"/>
    <x v="32"/>
    <x v="803"/>
    <x v="6"/>
    <x v="422"/>
    <x v="3"/>
    <x v="2"/>
    <x v="4"/>
    <x v="221"/>
    <x v="10"/>
    <x v="1121"/>
    <x v="1"/>
  </r>
  <r>
    <x v="67"/>
    <x v="32"/>
    <x v="1898"/>
    <x v="7"/>
    <x v="422"/>
    <x v="3"/>
    <x v="2"/>
    <x v="4"/>
    <x v="221"/>
    <x v="10"/>
    <x v="1122"/>
    <x v="1"/>
  </r>
  <r>
    <x v="67"/>
    <x v="32"/>
    <x v="867"/>
    <x v="5"/>
    <x v="533"/>
    <x v="3"/>
    <x v="2"/>
    <x v="4"/>
    <x v="221"/>
    <x v="10"/>
    <x v="1123"/>
    <x v="1"/>
  </r>
  <r>
    <x v="67"/>
    <x v="12"/>
    <x v="40"/>
    <x v="1"/>
    <x v="590"/>
    <x v="3"/>
    <x v="0"/>
    <x v="2"/>
    <x v="221"/>
    <x v="5"/>
    <x v="1124"/>
    <x v="1"/>
  </r>
  <r>
    <x v="67"/>
    <x v="37"/>
    <x v="49"/>
    <x v="3"/>
    <x v="590"/>
    <x v="3"/>
    <x v="0"/>
    <x v="2"/>
    <x v="221"/>
    <x v="12"/>
    <x v="1125"/>
    <x v="1"/>
  </r>
  <r>
    <x v="68"/>
    <x v="9"/>
    <x v="1592"/>
    <x v="0"/>
    <x v="229"/>
    <x v="4"/>
    <x v="0"/>
    <x v="0"/>
    <x v="6"/>
    <x v="5"/>
    <x v="1126"/>
    <x v="1"/>
  </r>
  <r>
    <x v="68"/>
    <x v="38"/>
    <x v="264"/>
    <x v="1"/>
    <x v="500"/>
    <x v="4"/>
    <x v="0"/>
    <x v="1"/>
    <x v="10"/>
    <x v="5"/>
    <x v="1127"/>
    <x v="1"/>
  </r>
  <r>
    <x v="68"/>
    <x v="12"/>
    <x v="777"/>
    <x v="0"/>
    <x v="17"/>
    <x v="4"/>
    <x v="0"/>
    <x v="0"/>
    <x v="18"/>
    <x v="5"/>
    <x v="1128"/>
    <x v="1"/>
  </r>
  <r>
    <x v="68"/>
    <x v="20"/>
    <x v="1155"/>
    <x v="0"/>
    <x v="61"/>
    <x v="4"/>
    <x v="0"/>
    <x v="0"/>
    <x v="6"/>
    <x v="5"/>
    <x v="1129"/>
    <x v="1"/>
  </r>
  <r>
    <x v="68"/>
    <x v="0"/>
    <x v="869"/>
    <x v="1"/>
    <x v="266"/>
    <x v="4"/>
    <x v="0"/>
    <x v="1"/>
    <x v="0"/>
    <x v="9"/>
    <x v="1130"/>
    <x v="1"/>
  </r>
  <r>
    <x v="68"/>
    <x v="36"/>
    <x v="45"/>
    <x v="1"/>
    <x v="376"/>
    <x v="4"/>
    <x v="0"/>
    <x v="1"/>
    <x v="0"/>
    <x v="5"/>
    <x v="1131"/>
    <x v="1"/>
  </r>
  <r>
    <x v="68"/>
    <x v="32"/>
    <x v="1053"/>
    <x v="3"/>
    <x v="422"/>
    <x v="4"/>
    <x v="2"/>
    <x v="4"/>
    <x v="221"/>
    <x v="10"/>
    <x v="1132"/>
    <x v="1"/>
  </r>
  <r>
    <x v="68"/>
    <x v="32"/>
    <x v="191"/>
    <x v="2"/>
    <x v="422"/>
    <x v="4"/>
    <x v="2"/>
    <x v="4"/>
    <x v="221"/>
    <x v="10"/>
    <x v="1133"/>
    <x v="1"/>
  </r>
  <r>
    <x v="68"/>
    <x v="32"/>
    <x v="224"/>
    <x v="6"/>
    <x v="422"/>
    <x v="4"/>
    <x v="2"/>
    <x v="4"/>
    <x v="221"/>
    <x v="10"/>
    <x v="1134"/>
    <x v="1"/>
  </r>
  <r>
    <x v="68"/>
    <x v="32"/>
    <x v="1622"/>
    <x v="7"/>
    <x v="422"/>
    <x v="4"/>
    <x v="2"/>
    <x v="4"/>
    <x v="221"/>
    <x v="10"/>
    <x v="1135"/>
    <x v="1"/>
  </r>
  <r>
    <x v="68"/>
    <x v="32"/>
    <x v="1381"/>
    <x v="5"/>
    <x v="533"/>
    <x v="4"/>
    <x v="2"/>
    <x v="4"/>
    <x v="221"/>
    <x v="10"/>
    <x v="1136"/>
    <x v="1"/>
  </r>
  <r>
    <x v="68"/>
    <x v="0"/>
    <x v="1483"/>
    <x v="1"/>
    <x v="449"/>
    <x v="4"/>
    <x v="0"/>
    <x v="1"/>
    <x v="0"/>
    <x v="9"/>
    <x v="1137"/>
    <x v="1"/>
  </r>
  <r>
    <x v="68"/>
    <x v="37"/>
    <x v="53"/>
    <x v="1"/>
    <x v="590"/>
    <x v="4"/>
    <x v="0"/>
    <x v="1"/>
    <x v="0"/>
    <x v="12"/>
    <x v="1138"/>
    <x v="1"/>
  </r>
  <r>
    <x v="68"/>
    <x v="23"/>
    <x v="21"/>
    <x v="3"/>
    <x v="590"/>
    <x v="4"/>
    <x v="0"/>
    <x v="2"/>
    <x v="0"/>
    <x v="6"/>
    <x v="1139"/>
    <x v="1"/>
  </r>
  <r>
    <x v="69"/>
    <x v="20"/>
    <x v="912"/>
    <x v="0"/>
    <x v="61"/>
    <x v="4"/>
    <x v="0"/>
    <x v="0"/>
    <x v="6"/>
    <x v="5"/>
    <x v="1140"/>
    <x v="1"/>
  </r>
  <r>
    <x v="69"/>
    <x v="9"/>
    <x v="509"/>
    <x v="0"/>
    <x v="229"/>
    <x v="4"/>
    <x v="0"/>
    <x v="0"/>
    <x v="6"/>
    <x v="5"/>
    <x v="1141"/>
    <x v="1"/>
  </r>
  <r>
    <x v="69"/>
    <x v="15"/>
    <x v="305"/>
    <x v="3"/>
    <x v="353"/>
    <x v="4"/>
    <x v="0"/>
    <x v="2"/>
    <x v="1"/>
    <x v="4"/>
    <x v="1142"/>
    <x v="1"/>
  </r>
  <r>
    <x v="69"/>
    <x v="3"/>
    <x v="921"/>
    <x v="0"/>
    <x v="153"/>
    <x v="4"/>
    <x v="0"/>
    <x v="3"/>
    <x v="1"/>
    <x v="4"/>
    <x v="1143"/>
    <x v="1"/>
  </r>
  <r>
    <x v="69"/>
    <x v="27"/>
    <x v="191"/>
    <x v="1"/>
    <x v="5"/>
    <x v="4"/>
    <x v="0"/>
    <x v="3"/>
    <x v="1"/>
    <x v="5"/>
    <x v="1144"/>
    <x v="1"/>
  </r>
  <r>
    <x v="69"/>
    <x v="38"/>
    <x v="159"/>
    <x v="1"/>
    <x v="500"/>
    <x v="4"/>
    <x v="0"/>
    <x v="1"/>
    <x v="10"/>
    <x v="5"/>
    <x v="1145"/>
    <x v="1"/>
  </r>
  <r>
    <x v="69"/>
    <x v="38"/>
    <x v="482"/>
    <x v="1"/>
    <x v="389"/>
    <x v="4"/>
    <x v="0"/>
    <x v="1"/>
    <x v="1"/>
    <x v="5"/>
    <x v="1146"/>
    <x v="1"/>
  </r>
  <r>
    <x v="69"/>
    <x v="8"/>
    <x v="779"/>
    <x v="0"/>
    <x v="241"/>
    <x v="4"/>
    <x v="0"/>
    <x v="0"/>
    <x v="4"/>
    <x v="5"/>
    <x v="1147"/>
    <x v="1"/>
  </r>
  <r>
    <x v="69"/>
    <x v="37"/>
    <x v="58"/>
    <x v="1"/>
    <x v="590"/>
    <x v="4"/>
    <x v="0"/>
    <x v="1"/>
    <x v="1"/>
    <x v="12"/>
    <x v="1148"/>
    <x v="1"/>
  </r>
  <r>
    <x v="69"/>
    <x v="24"/>
    <x v="127"/>
    <x v="1"/>
    <x v="590"/>
    <x v="4"/>
    <x v="0"/>
    <x v="1"/>
    <x v="1"/>
    <x v="6"/>
    <x v="1149"/>
    <x v="1"/>
  </r>
  <r>
    <x v="69"/>
    <x v="12"/>
    <x v="30"/>
    <x v="1"/>
    <x v="331"/>
    <x v="4"/>
    <x v="0"/>
    <x v="1"/>
    <x v="1"/>
    <x v="5"/>
    <x v="1150"/>
    <x v="1"/>
  </r>
  <r>
    <x v="69"/>
    <x v="32"/>
    <x v="903"/>
    <x v="3"/>
    <x v="422"/>
    <x v="4"/>
    <x v="2"/>
    <x v="4"/>
    <x v="221"/>
    <x v="10"/>
    <x v="1151"/>
    <x v="1"/>
  </r>
  <r>
    <x v="69"/>
    <x v="32"/>
    <x v="143"/>
    <x v="6"/>
    <x v="422"/>
    <x v="4"/>
    <x v="2"/>
    <x v="4"/>
    <x v="221"/>
    <x v="10"/>
    <x v="1152"/>
    <x v="1"/>
  </r>
  <r>
    <x v="69"/>
    <x v="32"/>
    <x v="1747"/>
    <x v="7"/>
    <x v="422"/>
    <x v="4"/>
    <x v="2"/>
    <x v="4"/>
    <x v="221"/>
    <x v="10"/>
    <x v="1153"/>
    <x v="1"/>
  </r>
  <r>
    <x v="69"/>
    <x v="32"/>
    <x v="210"/>
    <x v="8"/>
    <x v="422"/>
    <x v="4"/>
    <x v="2"/>
    <x v="4"/>
    <x v="221"/>
    <x v="10"/>
    <x v="1154"/>
    <x v="1"/>
  </r>
  <r>
    <x v="69"/>
    <x v="32"/>
    <x v="1099"/>
    <x v="5"/>
    <x v="533"/>
    <x v="4"/>
    <x v="2"/>
    <x v="4"/>
    <x v="221"/>
    <x v="10"/>
    <x v="1155"/>
    <x v="1"/>
  </r>
  <r>
    <x v="69"/>
    <x v="1"/>
    <x v="141"/>
    <x v="3"/>
    <x v="431"/>
    <x v="4"/>
    <x v="0"/>
    <x v="2"/>
    <x v="1"/>
    <x v="4"/>
    <x v="1156"/>
    <x v="1"/>
  </r>
  <r>
    <x v="69"/>
    <x v="38"/>
    <x v="19"/>
    <x v="3"/>
    <x v="444"/>
    <x v="4"/>
    <x v="0"/>
    <x v="2"/>
    <x v="1"/>
    <x v="5"/>
    <x v="1157"/>
    <x v="1"/>
  </r>
  <r>
    <x v="69"/>
    <x v="12"/>
    <x v="120"/>
    <x v="0"/>
    <x v="17"/>
    <x v="4"/>
    <x v="0"/>
    <x v="0"/>
    <x v="18"/>
    <x v="5"/>
    <x v="1158"/>
    <x v="1"/>
  </r>
  <r>
    <x v="69"/>
    <x v="19"/>
    <x v="807"/>
    <x v="0"/>
    <x v="474"/>
    <x v="4"/>
    <x v="0"/>
    <x v="0"/>
    <x v="11"/>
    <x v="3"/>
    <x v="1159"/>
    <x v="1"/>
  </r>
  <r>
    <x v="70"/>
    <x v="20"/>
    <x v="49"/>
    <x v="3"/>
    <x v="381"/>
    <x v="4"/>
    <x v="0"/>
    <x v="2"/>
    <x v="2"/>
    <x v="5"/>
    <x v="5408"/>
    <x v="1"/>
  </r>
  <r>
    <x v="70"/>
    <x v="19"/>
    <x v="807"/>
    <x v="0"/>
    <x v="474"/>
    <x v="4"/>
    <x v="0"/>
    <x v="0"/>
    <x v="11"/>
    <x v="3"/>
    <x v="1160"/>
    <x v="1"/>
  </r>
  <r>
    <x v="70"/>
    <x v="12"/>
    <x v="374"/>
    <x v="0"/>
    <x v="17"/>
    <x v="4"/>
    <x v="0"/>
    <x v="0"/>
    <x v="18"/>
    <x v="5"/>
    <x v="1161"/>
    <x v="1"/>
  </r>
  <r>
    <x v="70"/>
    <x v="38"/>
    <x v="254"/>
    <x v="1"/>
    <x v="500"/>
    <x v="4"/>
    <x v="0"/>
    <x v="1"/>
    <x v="10"/>
    <x v="5"/>
    <x v="1162"/>
    <x v="1"/>
  </r>
  <r>
    <x v="70"/>
    <x v="9"/>
    <x v="1173"/>
    <x v="0"/>
    <x v="229"/>
    <x v="4"/>
    <x v="0"/>
    <x v="0"/>
    <x v="6"/>
    <x v="5"/>
    <x v="1163"/>
    <x v="1"/>
  </r>
  <r>
    <x v="70"/>
    <x v="20"/>
    <x v="1019"/>
    <x v="0"/>
    <x v="61"/>
    <x v="4"/>
    <x v="0"/>
    <x v="0"/>
    <x v="8"/>
    <x v="5"/>
    <x v="1164"/>
    <x v="1"/>
  </r>
  <r>
    <x v="70"/>
    <x v="1"/>
    <x v="33"/>
    <x v="1"/>
    <x v="94"/>
    <x v="4"/>
    <x v="0"/>
    <x v="1"/>
    <x v="2"/>
    <x v="4"/>
    <x v="5408"/>
    <x v="1"/>
  </r>
  <r>
    <x v="70"/>
    <x v="3"/>
    <x v="599"/>
    <x v="3"/>
    <x v="579"/>
    <x v="4"/>
    <x v="0"/>
    <x v="2"/>
    <x v="2"/>
    <x v="4"/>
    <x v="5408"/>
    <x v="1"/>
  </r>
  <r>
    <x v="70"/>
    <x v="1"/>
    <x v="76"/>
    <x v="3"/>
    <x v="431"/>
    <x v="4"/>
    <x v="0"/>
    <x v="2"/>
    <x v="2"/>
    <x v="4"/>
    <x v="5408"/>
    <x v="1"/>
  </r>
  <r>
    <x v="70"/>
    <x v="23"/>
    <x v="9"/>
    <x v="3"/>
    <x v="285"/>
    <x v="4"/>
    <x v="0"/>
    <x v="2"/>
    <x v="2"/>
    <x v="6"/>
    <x v="5408"/>
    <x v="1"/>
  </r>
  <r>
    <x v="70"/>
    <x v="18"/>
    <x v="719"/>
    <x v="0"/>
    <x v="590"/>
    <x v="4"/>
    <x v="0"/>
    <x v="3"/>
    <x v="2"/>
    <x v="3"/>
    <x v="5408"/>
    <x v="1"/>
  </r>
  <r>
    <x v="70"/>
    <x v="37"/>
    <x v="58"/>
    <x v="1"/>
    <x v="590"/>
    <x v="4"/>
    <x v="0"/>
    <x v="1"/>
    <x v="2"/>
    <x v="12"/>
    <x v="5408"/>
    <x v="1"/>
  </r>
  <r>
    <x v="70"/>
    <x v="32"/>
    <x v="953"/>
    <x v="3"/>
    <x v="422"/>
    <x v="4"/>
    <x v="2"/>
    <x v="4"/>
    <x v="221"/>
    <x v="10"/>
    <x v="1165"/>
    <x v="1"/>
  </r>
  <r>
    <x v="70"/>
    <x v="32"/>
    <x v="925"/>
    <x v="6"/>
    <x v="422"/>
    <x v="4"/>
    <x v="2"/>
    <x v="4"/>
    <x v="221"/>
    <x v="10"/>
    <x v="1166"/>
    <x v="1"/>
  </r>
  <r>
    <x v="70"/>
    <x v="32"/>
    <x v="1716"/>
    <x v="7"/>
    <x v="422"/>
    <x v="4"/>
    <x v="2"/>
    <x v="4"/>
    <x v="221"/>
    <x v="10"/>
    <x v="1167"/>
    <x v="1"/>
  </r>
  <r>
    <x v="70"/>
    <x v="32"/>
    <x v="1106"/>
    <x v="5"/>
    <x v="533"/>
    <x v="4"/>
    <x v="2"/>
    <x v="4"/>
    <x v="221"/>
    <x v="10"/>
    <x v="1168"/>
    <x v="1"/>
  </r>
  <r>
    <x v="70"/>
    <x v="12"/>
    <x v="94"/>
    <x v="1"/>
    <x v="145"/>
    <x v="4"/>
    <x v="0"/>
    <x v="1"/>
    <x v="2"/>
    <x v="5"/>
    <x v="5408"/>
    <x v="1"/>
  </r>
  <r>
    <x v="71"/>
    <x v="38"/>
    <x v="165"/>
    <x v="0"/>
    <x v="225"/>
    <x v="4"/>
    <x v="0"/>
    <x v="3"/>
    <x v="32"/>
    <x v="5"/>
    <x v="1169"/>
    <x v="1"/>
  </r>
  <r>
    <x v="71"/>
    <x v="9"/>
    <x v="1402"/>
    <x v="0"/>
    <x v="229"/>
    <x v="4"/>
    <x v="0"/>
    <x v="0"/>
    <x v="8"/>
    <x v="5"/>
    <x v="1170"/>
    <x v="1"/>
  </r>
  <r>
    <x v="71"/>
    <x v="20"/>
    <x v="340"/>
    <x v="0"/>
    <x v="61"/>
    <x v="4"/>
    <x v="0"/>
    <x v="0"/>
    <x v="8"/>
    <x v="5"/>
    <x v="1171"/>
    <x v="1"/>
  </r>
  <r>
    <x v="71"/>
    <x v="27"/>
    <x v="709"/>
    <x v="0"/>
    <x v="5"/>
    <x v="4"/>
    <x v="0"/>
    <x v="3"/>
    <x v="3"/>
    <x v="5"/>
    <x v="1172"/>
    <x v="1"/>
  </r>
  <r>
    <x v="71"/>
    <x v="12"/>
    <x v="339"/>
    <x v="0"/>
    <x v="17"/>
    <x v="4"/>
    <x v="0"/>
    <x v="0"/>
    <x v="18"/>
    <x v="5"/>
    <x v="1173"/>
    <x v="1"/>
  </r>
  <r>
    <x v="71"/>
    <x v="17"/>
    <x v="1907"/>
    <x v="0"/>
    <x v="194"/>
    <x v="4"/>
    <x v="0"/>
    <x v="0"/>
    <x v="221"/>
    <x v="3"/>
    <x v="1174"/>
    <x v="1"/>
  </r>
  <r>
    <x v="71"/>
    <x v="16"/>
    <x v="30"/>
    <x v="3"/>
    <x v="53"/>
    <x v="4"/>
    <x v="0"/>
    <x v="2"/>
    <x v="3"/>
    <x v="6"/>
    <x v="1175"/>
    <x v="1"/>
  </r>
  <r>
    <x v="71"/>
    <x v="14"/>
    <x v="518"/>
    <x v="0"/>
    <x v="182"/>
    <x v="4"/>
    <x v="0"/>
    <x v="3"/>
    <x v="3"/>
    <x v="6"/>
    <x v="1176"/>
    <x v="1"/>
  </r>
  <r>
    <x v="71"/>
    <x v="32"/>
    <x v="1139"/>
    <x v="3"/>
    <x v="422"/>
    <x v="4"/>
    <x v="2"/>
    <x v="4"/>
    <x v="221"/>
    <x v="10"/>
    <x v="1177"/>
    <x v="1"/>
  </r>
  <r>
    <x v="71"/>
    <x v="32"/>
    <x v="420"/>
    <x v="2"/>
    <x v="422"/>
    <x v="4"/>
    <x v="2"/>
    <x v="4"/>
    <x v="221"/>
    <x v="10"/>
    <x v="1178"/>
    <x v="1"/>
  </r>
  <r>
    <x v="71"/>
    <x v="32"/>
    <x v="132"/>
    <x v="6"/>
    <x v="422"/>
    <x v="4"/>
    <x v="2"/>
    <x v="4"/>
    <x v="221"/>
    <x v="10"/>
    <x v="1179"/>
    <x v="1"/>
  </r>
  <r>
    <x v="71"/>
    <x v="32"/>
    <x v="1860"/>
    <x v="7"/>
    <x v="422"/>
    <x v="4"/>
    <x v="2"/>
    <x v="4"/>
    <x v="221"/>
    <x v="10"/>
    <x v="1180"/>
    <x v="1"/>
  </r>
  <r>
    <x v="71"/>
    <x v="32"/>
    <x v="164"/>
    <x v="8"/>
    <x v="422"/>
    <x v="4"/>
    <x v="2"/>
    <x v="4"/>
    <x v="221"/>
    <x v="10"/>
    <x v="1181"/>
    <x v="1"/>
  </r>
  <r>
    <x v="71"/>
    <x v="32"/>
    <x v="1085"/>
    <x v="5"/>
    <x v="533"/>
    <x v="4"/>
    <x v="2"/>
    <x v="4"/>
    <x v="221"/>
    <x v="10"/>
    <x v="1182"/>
    <x v="1"/>
  </r>
  <r>
    <x v="71"/>
    <x v="11"/>
    <x v="30"/>
    <x v="3"/>
    <x v="204"/>
    <x v="4"/>
    <x v="0"/>
    <x v="2"/>
    <x v="3"/>
    <x v="2"/>
    <x v="1183"/>
    <x v="1"/>
  </r>
  <r>
    <x v="71"/>
    <x v="37"/>
    <x v="45"/>
    <x v="1"/>
    <x v="523"/>
    <x v="4"/>
    <x v="0"/>
    <x v="1"/>
    <x v="3"/>
    <x v="12"/>
    <x v="1184"/>
    <x v="1"/>
  </r>
  <r>
    <x v="71"/>
    <x v="19"/>
    <x v="807"/>
    <x v="0"/>
    <x v="474"/>
    <x v="4"/>
    <x v="0"/>
    <x v="0"/>
    <x v="11"/>
    <x v="3"/>
    <x v="1185"/>
    <x v="1"/>
  </r>
  <r>
    <x v="71"/>
    <x v="23"/>
    <x v="19"/>
    <x v="3"/>
    <x v="285"/>
    <x v="4"/>
    <x v="0"/>
    <x v="2"/>
    <x v="3"/>
    <x v="6"/>
    <x v="1186"/>
    <x v="1"/>
  </r>
  <r>
    <x v="71"/>
    <x v="38"/>
    <x v="12"/>
    <x v="3"/>
    <x v="444"/>
    <x v="4"/>
    <x v="0"/>
    <x v="2"/>
    <x v="3"/>
    <x v="5"/>
    <x v="1187"/>
    <x v="1"/>
  </r>
  <r>
    <x v="71"/>
    <x v="0"/>
    <x v="1707"/>
    <x v="0"/>
    <x v="566"/>
    <x v="4"/>
    <x v="0"/>
    <x v="0"/>
    <x v="3"/>
    <x v="9"/>
    <x v="1188"/>
    <x v="1"/>
  </r>
  <r>
    <x v="72"/>
    <x v="9"/>
    <x v="1082"/>
    <x v="0"/>
    <x v="229"/>
    <x v="4"/>
    <x v="0"/>
    <x v="0"/>
    <x v="8"/>
    <x v="5"/>
    <x v="1189"/>
    <x v="1"/>
  </r>
  <r>
    <x v="72"/>
    <x v="8"/>
    <x v="449"/>
    <x v="0"/>
    <x v="241"/>
    <x v="4"/>
    <x v="0"/>
    <x v="0"/>
    <x v="21"/>
    <x v="5"/>
    <x v="1190"/>
    <x v="1"/>
  </r>
  <r>
    <x v="72"/>
    <x v="12"/>
    <x v="758"/>
    <x v="0"/>
    <x v="17"/>
    <x v="4"/>
    <x v="0"/>
    <x v="0"/>
    <x v="18"/>
    <x v="5"/>
    <x v="1191"/>
    <x v="1"/>
  </r>
  <r>
    <x v="72"/>
    <x v="1"/>
    <x v="158"/>
    <x v="3"/>
    <x v="431"/>
    <x v="4"/>
    <x v="0"/>
    <x v="2"/>
    <x v="4"/>
    <x v="4"/>
    <x v="1192"/>
    <x v="1"/>
  </r>
  <r>
    <x v="72"/>
    <x v="20"/>
    <x v="49"/>
    <x v="3"/>
    <x v="381"/>
    <x v="4"/>
    <x v="0"/>
    <x v="2"/>
    <x v="4"/>
    <x v="5"/>
    <x v="1193"/>
    <x v="1"/>
  </r>
  <r>
    <x v="72"/>
    <x v="20"/>
    <x v="980"/>
    <x v="0"/>
    <x v="61"/>
    <x v="4"/>
    <x v="0"/>
    <x v="0"/>
    <x v="8"/>
    <x v="5"/>
    <x v="1194"/>
    <x v="1"/>
  </r>
  <r>
    <x v="72"/>
    <x v="12"/>
    <x v="475"/>
    <x v="3"/>
    <x v="511"/>
    <x v="4"/>
    <x v="0"/>
    <x v="2"/>
    <x v="4"/>
    <x v="5"/>
    <x v="1195"/>
    <x v="1"/>
  </r>
  <r>
    <x v="72"/>
    <x v="13"/>
    <x v="590"/>
    <x v="0"/>
    <x v="32"/>
    <x v="4"/>
    <x v="0"/>
    <x v="0"/>
    <x v="23"/>
    <x v="5"/>
    <x v="1196"/>
    <x v="1"/>
  </r>
  <r>
    <x v="72"/>
    <x v="29"/>
    <x v="106"/>
    <x v="1"/>
    <x v="177"/>
    <x v="4"/>
    <x v="0"/>
    <x v="1"/>
    <x v="4"/>
    <x v="6"/>
    <x v="1197"/>
    <x v="1"/>
  </r>
  <r>
    <x v="72"/>
    <x v="38"/>
    <x v="113"/>
    <x v="0"/>
    <x v="225"/>
    <x v="4"/>
    <x v="0"/>
    <x v="3"/>
    <x v="32"/>
    <x v="5"/>
    <x v="1198"/>
    <x v="1"/>
  </r>
  <r>
    <x v="72"/>
    <x v="0"/>
    <x v="1483"/>
    <x v="1"/>
    <x v="298"/>
    <x v="4"/>
    <x v="0"/>
    <x v="1"/>
    <x v="4"/>
    <x v="9"/>
    <x v="1199"/>
    <x v="1"/>
  </r>
  <r>
    <x v="72"/>
    <x v="32"/>
    <x v="1252"/>
    <x v="3"/>
    <x v="422"/>
    <x v="4"/>
    <x v="2"/>
    <x v="4"/>
    <x v="221"/>
    <x v="10"/>
    <x v="1200"/>
    <x v="1"/>
  </r>
  <r>
    <x v="72"/>
    <x v="32"/>
    <x v="691"/>
    <x v="2"/>
    <x v="422"/>
    <x v="4"/>
    <x v="2"/>
    <x v="4"/>
    <x v="221"/>
    <x v="10"/>
    <x v="1201"/>
    <x v="1"/>
  </r>
  <r>
    <x v="72"/>
    <x v="32"/>
    <x v="1894"/>
    <x v="7"/>
    <x v="422"/>
    <x v="4"/>
    <x v="2"/>
    <x v="4"/>
    <x v="221"/>
    <x v="10"/>
    <x v="1202"/>
    <x v="1"/>
  </r>
  <r>
    <x v="72"/>
    <x v="32"/>
    <x v="1314"/>
    <x v="5"/>
    <x v="533"/>
    <x v="4"/>
    <x v="2"/>
    <x v="4"/>
    <x v="221"/>
    <x v="10"/>
    <x v="1203"/>
    <x v="1"/>
  </r>
  <r>
    <x v="72"/>
    <x v="32"/>
    <x v="244"/>
    <x v="6"/>
    <x v="422"/>
    <x v="4"/>
    <x v="2"/>
    <x v="4"/>
    <x v="221"/>
    <x v="10"/>
    <x v="1204"/>
    <x v="1"/>
  </r>
  <r>
    <x v="72"/>
    <x v="37"/>
    <x v="60"/>
    <x v="1"/>
    <x v="523"/>
    <x v="4"/>
    <x v="0"/>
    <x v="1"/>
    <x v="4"/>
    <x v="12"/>
    <x v="1205"/>
    <x v="1"/>
  </r>
  <r>
    <x v="72"/>
    <x v="23"/>
    <x v="21"/>
    <x v="3"/>
    <x v="285"/>
    <x v="4"/>
    <x v="0"/>
    <x v="2"/>
    <x v="4"/>
    <x v="6"/>
    <x v="1206"/>
    <x v="1"/>
  </r>
  <r>
    <x v="72"/>
    <x v="30"/>
    <x v="869"/>
    <x v="0"/>
    <x v="437"/>
    <x v="4"/>
    <x v="0"/>
    <x v="3"/>
    <x v="4"/>
    <x v="3"/>
    <x v="1207"/>
    <x v="1"/>
  </r>
  <r>
    <x v="72"/>
    <x v="0"/>
    <x v="176"/>
    <x v="0"/>
    <x v="566"/>
    <x v="4"/>
    <x v="0"/>
    <x v="0"/>
    <x v="4"/>
    <x v="9"/>
    <x v="1208"/>
    <x v="1"/>
  </r>
  <r>
    <x v="73"/>
    <x v="20"/>
    <x v="291"/>
    <x v="0"/>
    <x v="61"/>
    <x v="4"/>
    <x v="0"/>
    <x v="0"/>
    <x v="12"/>
    <x v="5"/>
    <x v="1209"/>
    <x v="1"/>
  </r>
  <r>
    <x v="73"/>
    <x v="38"/>
    <x v="314"/>
    <x v="0"/>
    <x v="225"/>
    <x v="4"/>
    <x v="0"/>
    <x v="3"/>
    <x v="32"/>
    <x v="5"/>
    <x v="1210"/>
    <x v="1"/>
  </r>
  <r>
    <x v="73"/>
    <x v="9"/>
    <x v="1056"/>
    <x v="0"/>
    <x v="229"/>
    <x v="4"/>
    <x v="0"/>
    <x v="0"/>
    <x v="12"/>
    <x v="5"/>
    <x v="1211"/>
    <x v="1"/>
  </r>
  <r>
    <x v="73"/>
    <x v="12"/>
    <x v="606"/>
    <x v="0"/>
    <x v="17"/>
    <x v="4"/>
    <x v="0"/>
    <x v="0"/>
    <x v="18"/>
    <x v="5"/>
    <x v="1212"/>
    <x v="1"/>
  </r>
  <r>
    <x v="73"/>
    <x v="38"/>
    <x v="461"/>
    <x v="1"/>
    <x v="389"/>
    <x v="4"/>
    <x v="0"/>
    <x v="1"/>
    <x v="5"/>
    <x v="5"/>
    <x v="1213"/>
    <x v="1"/>
  </r>
  <r>
    <x v="73"/>
    <x v="3"/>
    <x v="599"/>
    <x v="3"/>
    <x v="579"/>
    <x v="4"/>
    <x v="0"/>
    <x v="2"/>
    <x v="5"/>
    <x v="4"/>
    <x v="1214"/>
    <x v="1"/>
  </r>
  <r>
    <x v="73"/>
    <x v="15"/>
    <x v="143"/>
    <x v="3"/>
    <x v="68"/>
    <x v="4"/>
    <x v="0"/>
    <x v="2"/>
    <x v="5"/>
    <x v="4"/>
    <x v="1215"/>
    <x v="1"/>
  </r>
  <r>
    <x v="73"/>
    <x v="32"/>
    <x v="1066"/>
    <x v="3"/>
    <x v="422"/>
    <x v="4"/>
    <x v="2"/>
    <x v="4"/>
    <x v="221"/>
    <x v="10"/>
    <x v="1216"/>
    <x v="1"/>
  </r>
  <r>
    <x v="73"/>
    <x v="32"/>
    <x v="127"/>
    <x v="2"/>
    <x v="422"/>
    <x v="4"/>
    <x v="2"/>
    <x v="4"/>
    <x v="221"/>
    <x v="10"/>
    <x v="1217"/>
    <x v="1"/>
  </r>
  <r>
    <x v="73"/>
    <x v="32"/>
    <x v="604"/>
    <x v="6"/>
    <x v="422"/>
    <x v="4"/>
    <x v="2"/>
    <x v="4"/>
    <x v="221"/>
    <x v="10"/>
    <x v="1218"/>
    <x v="1"/>
  </r>
  <r>
    <x v="73"/>
    <x v="32"/>
    <x v="1904"/>
    <x v="7"/>
    <x v="422"/>
    <x v="4"/>
    <x v="2"/>
    <x v="4"/>
    <x v="221"/>
    <x v="10"/>
    <x v="1219"/>
    <x v="1"/>
  </r>
  <r>
    <x v="73"/>
    <x v="32"/>
    <x v="685"/>
    <x v="5"/>
    <x v="533"/>
    <x v="4"/>
    <x v="2"/>
    <x v="4"/>
    <x v="221"/>
    <x v="10"/>
    <x v="1220"/>
    <x v="1"/>
  </r>
  <r>
    <x v="73"/>
    <x v="37"/>
    <x v="48"/>
    <x v="3"/>
    <x v="523"/>
    <x v="4"/>
    <x v="0"/>
    <x v="2"/>
    <x v="5"/>
    <x v="12"/>
    <x v="1221"/>
    <x v="1"/>
  </r>
  <r>
    <x v="74"/>
    <x v="8"/>
    <x v="449"/>
    <x v="0"/>
    <x v="241"/>
    <x v="4"/>
    <x v="0"/>
    <x v="0"/>
    <x v="21"/>
    <x v="5"/>
    <x v="1222"/>
    <x v="1"/>
  </r>
  <r>
    <x v="74"/>
    <x v="12"/>
    <x v="770"/>
    <x v="0"/>
    <x v="17"/>
    <x v="4"/>
    <x v="0"/>
    <x v="0"/>
    <x v="18"/>
    <x v="5"/>
    <x v="1223"/>
    <x v="1"/>
  </r>
  <r>
    <x v="74"/>
    <x v="9"/>
    <x v="1440"/>
    <x v="0"/>
    <x v="229"/>
    <x v="4"/>
    <x v="0"/>
    <x v="0"/>
    <x v="12"/>
    <x v="5"/>
    <x v="1224"/>
    <x v="1"/>
  </r>
  <r>
    <x v="74"/>
    <x v="20"/>
    <x v="622"/>
    <x v="0"/>
    <x v="61"/>
    <x v="4"/>
    <x v="0"/>
    <x v="0"/>
    <x v="12"/>
    <x v="5"/>
    <x v="1225"/>
    <x v="1"/>
  </r>
  <r>
    <x v="74"/>
    <x v="1"/>
    <x v="229"/>
    <x v="3"/>
    <x v="431"/>
    <x v="4"/>
    <x v="0"/>
    <x v="2"/>
    <x v="6"/>
    <x v="4"/>
    <x v="1226"/>
    <x v="1"/>
  </r>
  <r>
    <x v="74"/>
    <x v="15"/>
    <x v="377"/>
    <x v="3"/>
    <x v="353"/>
    <x v="4"/>
    <x v="0"/>
    <x v="2"/>
    <x v="6"/>
    <x v="4"/>
    <x v="1227"/>
    <x v="1"/>
  </r>
  <r>
    <x v="74"/>
    <x v="38"/>
    <x v="183"/>
    <x v="0"/>
    <x v="225"/>
    <x v="4"/>
    <x v="0"/>
    <x v="3"/>
    <x v="32"/>
    <x v="5"/>
    <x v="1228"/>
    <x v="1"/>
  </r>
  <r>
    <x v="74"/>
    <x v="32"/>
    <x v="1611"/>
    <x v="3"/>
    <x v="422"/>
    <x v="4"/>
    <x v="2"/>
    <x v="4"/>
    <x v="221"/>
    <x v="10"/>
    <x v="1229"/>
    <x v="1"/>
  </r>
  <r>
    <x v="74"/>
    <x v="32"/>
    <x v="862"/>
    <x v="2"/>
    <x v="422"/>
    <x v="4"/>
    <x v="2"/>
    <x v="4"/>
    <x v="221"/>
    <x v="10"/>
    <x v="1230"/>
    <x v="1"/>
  </r>
  <r>
    <x v="74"/>
    <x v="32"/>
    <x v="1279"/>
    <x v="6"/>
    <x v="422"/>
    <x v="4"/>
    <x v="2"/>
    <x v="4"/>
    <x v="221"/>
    <x v="10"/>
    <x v="1231"/>
    <x v="1"/>
  </r>
  <r>
    <x v="74"/>
    <x v="32"/>
    <x v="1738"/>
    <x v="7"/>
    <x v="422"/>
    <x v="4"/>
    <x v="2"/>
    <x v="4"/>
    <x v="221"/>
    <x v="10"/>
    <x v="1232"/>
    <x v="1"/>
  </r>
  <r>
    <x v="74"/>
    <x v="32"/>
    <x v="370"/>
    <x v="8"/>
    <x v="422"/>
    <x v="4"/>
    <x v="2"/>
    <x v="4"/>
    <x v="221"/>
    <x v="10"/>
    <x v="1233"/>
    <x v="1"/>
  </r>
  <r>
    <x v="74"/>
    <x v="32"/>
    <x v="1067"/>
    <x v="5"/>
    <x v="533"/>
    <x v="4"/>
    <x v="2"/>
    <x v="4"/>
    <x v="221"/>
    <x v="10"/>
    <x v="1234"/>
    <x v="1"/>
  </r>
  <r>
    <x v="74"/>
    <x v="37"/>
    <x v="45"/>
    <x v="1"/>
    <x v="523"/>
    <x v="4"/>
    <x v="0"/>
    <x v="1"/>
    <x v="6"/>
    <x v="12"/>
    <x v="1235"/>
    <x v="1"/>
  </r>
  <r>
    <x v="74"/>
    <x v="38"/>
    <x v="25"/>
    <x v="1"/>
    <x v="479"/>
    <x v="4"/>
    <x v="0"/>
    <x v="1"/>
    <x v="6"/>
    <x v="5"/>
    <x v="1236"/>
    <x v="1"/>
  </r>
  <r>
    <x v="74"/>
    <x v="19"/>
    <x v="807"/>
    <x v="0"/>
    <x v="474"/>
    <x v="4"/>
    <x v="0"/>
    <x v="0"/>
    <x v="11"/>
    <x v="3"/>
    <x v="1237"/>
    <x v="1"/>
  </r>
  <r>
    <x v="74"/>
    <x v="12"/>
    <x v="30"/>
    <x v="1"/>
    <x v="331"/>
    <x v="4"/>
    <x v="0"/>
    <x v="1"/>
    <x v="6"/>
    <x v="5"/>
    <x v="1238"/>
    <x v="1"/>
  </r>
  <r>
    <x v="74"/>
    <x v="23"/>
    <x v="22"/>
    <x v="3"/>
    <x v="285"/>
    <x v="4"/>
    <x v="0"/>
    <x v="2"/>
    <x v="6"/>
    <x v="6"/>
    <x v="1239"/>
    <x v="1"/>
  </r>
  <r>
    <x v="75"/>
    <x v="12"/>
    <x v="496"/>
    <x v="0"/>
    <x v="17"/>
    <x v="4"/>
    <x v="0"/>
    <x v="0"/>
    <x v="18"/>
    <x v="5"/>
    <x v="1240"/>
    <x v="1"/>
  </r>
  <r>
    <x v="75"/>
    <x v="20"/>
    <x v="1145"/>
    <x v="0"/>
    <x v="61"/>
    <x v="4"/>
    <x v="0"/>
    <x v="0"/>
    <x v="14"/>
    <x v="5"/>
    <x v="1241"/>
    <x v="1"/>
  </r>
  <r>
    <x v="75"/>
    <x v="9"/>
    <x v="1211"/>
    <x v="0"/>
    <x v="229"/>
    <x v="4"/>
    <x v="0"/>
    <x v="0"/>
    <x v="14"/>
    <x v="5"/>
    <x v="1242"/>
    <x v="1"/>
  </r>
  <r>
    <x v="75"/>
    <x v="1"/>
    <x v="158"/>
    <x v="3"/>
    <x v="431"/>
    <x v="4"/>
    <x v="0"/>
    <x v="2"/>
    <x v="7"/>
    <x v="4"/>
    <x v="1243"/>
    <x v="1"/>
  </r>
  <r>
    <x v="75"/>
    <x v="27"/>
    <x v="398"/>
    <x v="1"/>
    <x v="5"/>
    <x v="4"/>
    <x v="0"/>
    <x v="1"/>
    <x v="7"/>
    <x v="5"/>
    <x v="1244"/>
    <x v="1"/>
  </r>
  <r>
    <x v="75"/>
    <x v="19"/>
    <x v="794"/>
    <x v="0"/>
    <x v="474"/>
    <x v="4"/>
    <x v="0"/>
    <x v="0"/>
    <x v="11"/>
    <x v="3"/>
    <x v="1245"/>
    <x v="1"/>
  </r>
  <r>
    <x v="75"/>
    <x v="28"/>
    <x v="134"/>
    <x v="1"/>
    <x v="175"/>
    <x v="4"/>
    <x v="0"/>
    <x v="1"/>
    <x v="7"/>
    <x v="0"/>
    <x v="1246"/>
    <x v="1"/>
  </r>
  <r>
    <x v="75"/>
    <x v="37"/>
    <x v="87"/>
    <x v="1"/>
    <x v="523"/>
    <x v="4"/>
    <x v="0"/>
    <x v="1"/>
    <x v="7"/>
    <x v="12"/>
    <x v="1247"/>
    <x v="1"/>
  </r>
  <r>
    <x v="75"/>
    <x v="32"/>
    <x v="819"/>
    <x v="3"/>
    <x v="422"/>
    <x v="4"/>
    <x v="2"/>
    <x v="4"/>
    <x v="221"/>
    <x v="10"/>
    <x v="1248"/>
    <x v="1"/>
  </r>
  <r>
    <x v="75"/>
    <x v="32"/>
    <x v="1750"/>
    <x v="7"/>
    <x v="422"/>
    <x v="4"/>
    <x v="2"/>
    <x v="4"/>
    <x v="221"/>
    <x v="10"/>
    <x v="1249"/>
    <x v="1"/>
  </r>
  <r>
    <x v="75"/>
    <x v="32"/>
    <x v="287"/>
    <x v="8"/>
    <x v="422"/>
    <x v="4"/>
    <x v="2"/>
    <x v="4"/>
    <x v="221"/>
    <x v="10"/>
    <x v="1250"/>
    <x v="1"/>
  </r>
  <r>
    <x v="75"/>
    <x v="32"/>
    <x v="971"/>
    <x v="5"/>
    <x v="533"/>
    <x v="4"/>
    <x v="2"/>
    <x v="4"/>
    <x v="221"/>
    <x v="10"/>
    <x v="1251"/>
    <x v="1"/>
  </r>
  <r>
    <x v="75"/>
    <x v="23"/>
    <x v="5"/>
    <x v="3"/>
    <x v="285"/>
    <x v="4"/>
    <x v="0"/>
    <x v="2"/>
    <x v="7"/>
    <x v="6"/>
    <x v="1252"/>
    <x v="1"/>
  </r>
  <r>
    <x v="75"/>
    <x v="38"/>
    <x v="166"/>
    <x v="0"/>
    <x v="225"/>
    <x v="4"/>
    <x v="0"/>
    <x v="3"/>
    <x v="32"/>
    <x v="5"/>
    <x v="1253"/>
    <x v="1"/>
  </r>
  <r>
    <x v="76"/>
    <x v="20"/>
    <x v="1264"/>
    <x v="0"/>
    <x v="61"/>
    <x v="4"/>
    <x v="0"/>
    <x v="0"/>
    <x v="15"/>
    <x v="5"/>
    <x v="1254"/>
    <x v="1"/>
  </r>
  <r>
    <x v="76"/>
    <x v="12"/>
    <x v="177"/>
    <x v="0"/>
    <x v="17"/>
    <x v="4"/>
    <x v="0"/>
    <x v="0"/>
    <x v="18"/>
    <x v="5"/>
    <x v="1255"/>
    <x v="1"/>
  </r>
  <r>
    <x v="76"/>
    <x v="9"/>
    <x v="1281"/>
    <x v="0"/>
    <x v="229"/>
    <x v="4"/>
    <x v="0"/>
    <x v="0"/>
    <x v="18"/>
    <x v="5"/>
    <x v="1256"/>
    <x v="1"/>
  </r>
  <r>
    <x v="76"/>
    <x v="15"/>
    <x v="370"/>
    <x v="3"/>
    <x v="353"/>
    <x v="4"/>
    <x v="0"/>
    <x v="2"/>
    <x v="8"/>
    <x v="4"/>
    <x v="1257"/>
    <x v="1"/>
  </r>
  <r>
    <x v="76"/>
    <x v="32"/>
    <x v="1544"/>
    <x v="3"/>
    <x v="422"/>
    <x v="4"/>
    <x v="2"/>
    <x v="4"/>
    <x v="221"/>
    <x v="10"/>
    <x v="1258"/>
    <x v="1"/>
  </r>
  <r>
    <x v="76"/>
    <x v="32"/>
    <x v="672"/>
    <x v="2"/>
    <x v="422"/>
    <x v="4"/>
    <x v="2"/>
    <x v="4"/>
    <x v="221"/>
    <x v="10"/>
    <x v="1259"/>
    <x v="1"/>
  </r>
  <r>
    <x v="76"/>
    <x v="32"/>
    <x v="625"/>
    <x v="6"/>
    <x v="422"/>
    <x v="4"/>
    <x v="2"/>
    <x v="4"/>
    <x v="221"/>
    <x v="10"/>
    <x v="1260"/>
    <x v="1"/>
  </r>
  <r>
    <x v="76"/>
    <x v="32"/>
    <x v="1782"/>
    <x v="7"/>
    <x v="422"/>
    <x v="4"/>
    <x v="2"/>
    <x v="4"/>
    <x v="221"/>
    <x v="10"/>
    <x v="1261"/>
    <x v="1"/>
  </r>
  <r>
    <x v="76"/>
    <x v="32"/>
    <x v="458"/>
    <x v="8"/>
    <x v="422"/>
    <x v="4"/>
    <x v="2"/>
    <x v="4"/>
    <x v="221"/>
    <x v="10"/>
    <x v="1262"/>
    <x v="1"/>
  </r>
  <r>
    <x v="76"/>
    <x v="32"/>
    <x v="884"/>
    <x v="5"/>
    <x v="533"/>
    <x v="4"/>
    <x v="2"/>
    <x v="4"/>
    <x v="221"/>
    <x v="10"/>
    <x v="1263"/>
    <x v="1"/>
  </r>
  <r>
    <x v="76"/>
    <x v="37"/>
    <x v="45"/>
    <x v="1"/>
    <x v="523"/>
    <x v="4"/>
    <x v="0"/>
    <x v="1"/>
    <x v="8"/>
    <x v="12"/>
    <x v="1264"/>
    <x v="1"/>
  </r>
  <r>
    <x v="76"/>
    <x v="24"/>
    <x v="112"/>
    <x v="1"/>
    <x v="287"/>
    <x v="4"/>
    <x v="0"/>
    <x v="1"/>
    <x v="8"/>
    <x v="6"/>
    <x v="1265"/>
    <x v="1"/>
  </r>
  <r>
    <x v="76"/>
    <x v="0"/>
    <x v="518"/>
    <x v="1"/>
    <x v="449"/>
    <x v="4"/>
    <x v="0"/>
    <x v="1"/>
    <x v="8"/>
    <x v="9"/>
    <x v="1266"/>
    <x v="1"/>
  </r>
  <r>
    <x v="76"/>
    <x v="23"/>
    <x v="5"/>
    <x v="3"/>
    <x v="285"/>
    <x v="4"/>
    <x v="0"/>
    <x v="1"/>
    <x v="8"/>
    <x v="6"/>
    <x v="1267"/>
    <x v="1"/>
  </r>
  <r>
    <x v="76"/>
    <x v="38"/>
    <x v="155"/>
    <x v="0"/>
    <x v="225"/>
    <x v="4"/>
    <x v="0"/>
    <x v="3"/>
    <x v="32"/>
    <x v="5"/>
    <x v="1268"/>
    <x v="1"/>
  </r>
  <r>
    <x v="77"/>
    <x v="38"/>
    <x v="298"/>
    <x v="0"/>
    <x v="225"/>
    <x v="4"/>
    <x v="0"/>
    <x v="3"/>
    <x v="32"/>
    <x v="5"/>
    <x v="1269"/>
    <x v="1"/>
  </r>
  <r>
    <x v="77"/>
    <x v="9"/>
    <x v="1408"/>
    <x v="0"/>
    <x v="229"/>
    <x v="4"/>
    <x v="0"/>
    <x v="0"/>
    <x v="14"/>
    <x v="5"/>
    <x v="1270"/>
    <x v="1"/>
  </r>
  <r>
    <x v="77"/>
    <x v="3"/>
    <x v="599"/>
    <x v="3"/>
    <x v="579"/>
    <x v="4"/>
    <x v="0"/>
    <x v="2"/>
    <x v="9"/>
    <x v="4"/>
    <x v="1271"/>
    <x v="1"/>
  </r>
  <r>
    <x v="77"/>
    <x v="20"/>
    <x v="1115"/>
    <x v="0"/>
    <x v="61"/>
    <x v="4"/>
    <x v="0"/>
    <x v="0"/>
    <x v="15"/>
    <x v="5"/>
    <x v="1272"/>
    <x v="1"/>
  </r>
  <r>
    <x v="77"/>
    <x v="1"/>
    <x v="273"/>
    <x v="3"/>
    <x v="431"/>
    <x v="4"/>
    <x v="0"/>
    <x v="2"/>
    <x v="9"/>
    <x v="4"/>
    <x v="1273"/>
    <x v="1"/>
  </r>
  <r>
    <x v="77"/>
    <x v="13"/>
    <x v="1501"/>
    <x v="0"/>
    <x v="32"/>
    <x v="4"/>
    <x v="0"/>
    <x v="0"/>
    <x v="23"/>
    <x v="5"/>
    <x v="1274"/>
    <x v="1"/>
  </r>
  <r>
    <x v="77"/>
    <x v="32"/>
    <x v="1443"/>
    <x v="3"/>
    <x v="422"/>
    <x v="4"/>
    <x v="2"/>
    <x v="4"/>
    <x v="221"/>
    <x v="10"/>
    <x v="1275"/>
    <x v="1"/>
  </r>
  <r>
    <x v="77"/>
    <x v="32"/>
    <x v="581"/>
    <x v="2"/>
    <x v="422"/>
    <x v="4"/>
    <x v="2"/>
    <x v="4"/>
    <x v="221"/>
    <x v="10"/>
    <x v="1276"/>
    <x v="1"/>
  </r>
  <r>
    <x v="77"/>
    <x v="32"/>
    <x v="256"/>
    <x v="6"/>
    <x v="422"/>
    <x v="4"/>
    <x v="2"/>
    <x v="4"/>
    <x v="221"/>
    <x v="10"/>
    <x v="1277"/>
    <x v="1"/>
  </r>
  <r>
    <x v="77"/>
    <x v="32"/>
    <x v="1686"/>
    <x v="7"/>
    <x v="422"/>
    <x v="4"/>
    <x v="2"/>
    <x v="4"/>
    <x v="221"/>
    <x v="10"/>
    <x v="1278"/>
    <x v="1"/>
  </r>
  <r>
    <x v="77"/>
    <x v="32"/>
    <x v="538"/>
    <x v="8"/>
    <x v="422"/>
    <x v="4"/>
    <x v="2"/>
    <x v="4"/>
    <x v="221"/>
    <x v="10"/>
    <x v="1279"/>
    <x v="1"/>
  </r>
  <r>
    <x v="77"/>
    <x v="32"/>
    <x v="1388"/>
    <x v="5"/>
    <x v="533"/>
    <x v="4"/>
    <x v="2"/>
    <x v="4"/>
    <x v="221"/>
    <x v="10"/>
    <x v="1280"/>
    <x v="1"/>
  </r>
  <r>
    <x v="77"/>
    <x v="27"/>
    <x v="709"/>
    <x v="1"/>
    <x v="5"/>
    <x v="4"/>
    <x v="0"/>
    <x v="1"/>
    <x v="9"/>
    <x v="5"/>
    <x v="1281"/>
    <x v="1"/>
  </r>
  <r>
    <x v="77"/>
    <x v="12"/>
    <x v="205"/>
    <x v="1"/>
    <x v="406"/>
    <x v="4"/>
    <x v="0"/>
    <x v="1"/>
    <x v="9"/>
    <x v="5"/>
    <x v="1282"/>
    <x v="1"/>
  </r>
  <r>
    <x v="77"/>
    <x v="37"/>
    <x v="87"/>
    <x v="1"/>
    <x v="523"/>
    <x v="4"/>
    <x v="0"/>
    <x v="1"/>
    <x v="9"/>
    <x v="12"/>
    <x v="1283"/>
    <x v="1"/>
  </r>
  <r>
    <x v="77"/>
    <x v="23"/>
    <x v="5"/>
    <x v="3"/>
    <x v="285"/>
    <x v="4"/>
    <x v="0"/>
    <x v="2"/>
    <x v="9"/>
    <x v="6"/>
    <x v="1284"/>
    <x v="1"/>
  </r>
  <r>
    <x v="77"/>
    <x v="12"/>
    <x v="568"/>
    <x v="0"/>
    <x v="17"/>
    <x v="4"/>
    <x v="0"/>
    <x v="0"/>
    <x v="18"/>
    <x v="5"/>
    <x v="1285"/>
    <x v="1"/>
  </r>
  <r>
    <x v="78"/>
    <x v="1"/>
    <x v="76"/>
    <x v="3"/>
    <x v="431"/>
    <x v="4"/>
    <x v="0"/>
    <x v="2"/>
    <x v="10"/>
    <x v="4"/>
    <x v="1286"/>
    <x v="1"/>
  </r>
  <r>
    <x v="78"/>
    <x v="20"/>
    <x v="49"/>
    <x v="3"/>
    <x v="381"/>
    <x v="4"/>
    <x v="0"/>
    <x v="2"/>
    <x v="10"/>
    <x v="5"/>
    <x v="1287"/>
    <x v="1"/>
  </r>
  <r>
    <x v="78"/>
    <x v="12"/>
    <x v="653"/>
    <x v="0"/>
    <x v="17"/>
    <x v="4"/>
    <x v="0"/>
    <x v="0"/>
    <x v="32"/>
    <x v="5"/>
    <x v="1288"/>
    <x v="1"/>
  </r>
  <r>
    <x v="78"/>
    <x v="9"/>
    <x v="1320"/>
    <x v="0"/>
    <x v="229"/>
    <x v="4"/>
    <x v="0"/>
    <x v="0"/>
    <x v="15"/>
    <x v="5"/>
    <x v="1289"/>
    <x v="1"/>
  </r>
  <r>
    <x v="78"/>
    <x v="20"/>
    <x v="550"/>
    <x v="0"/>
    <x v="61"/>
    <x v="4"/>
    <x v="0"/>
    <x v="0"/>
    <x v="18"/>
    <x v="5"/>
    <x v="1290"/>
    <x v="1"/>
  </r>
  <r>
    <x v="78"/>
    <x v="8"/>
    <x v="779"/>
    <x v="0"/>
    <x v="241"/>
    <x v="4"/>
    <x v="0"/>
    <x v="0"/>
    <x v="21"/>
    <x v="5"/>
    <x v="1291"/>
    <x v="1"/>
  </r>
  <r>
    <x v="78"/>
    <x v="12"/>
    <x v="343"/>
    <x v="1"/>
    <x v="512"/>
    <x v="4"/>
    <x v="0"/>
    <x v="1"/>
    <x v="10"/>
    <x v="5"/>
    <x v="1292"/>
    <x v="1"/>
  </r>
  <r>
    <x v="78"/>
    <x v="38"/>
    <x v="239"/>
    <x v="0"/>
    <x v="225"/>
    <x v="4"/>
    <x v="0"/>
    <x v="3"/>
    <x v="32"/>
    <x v="5"/>
    <x v="1293"/>
    <x v="1"/>
  </r>
  <r>
    <x v="78"/>
    <x v="32"/>
    <x v="821"/>
    <x v="3"/>
    <x v="422"/>
    <x v="4"/>
    <x v="2"/>
    <x v="4"/>
    <x v="221"/>
    <x v="10"/>
    <x v="1294"/>
    <x v="1"/>
  </r>
  <r>
    <x v="78"/>
    <x v="32"/>
    <x v="343"/>
    <x v="2"/>
    <x v="422"/>
    <x v="4"/>
    <x v="2"/>
    <x v="4"/>
    <x v="221"/>
    <x v="10"/>
    <x v="1295"/>
    <x v="1"/>
  </r>
  <r>
    <x v="78"/>
    <x v="32"/>
    <x v="205"/>
    <x v="6"/>
    <x v="422"/>
    <x v="4"/>
    <x v="2"/>
    <x v="4"/>
    <x v="221"/>
    <x v="10"/>
    <x v="1296"/>
    <x v="1"/>
  </r>
  <r>
    <x v="78"/>
    <x v="32"/>
    <x v="1880"/>
    <x v="7"/>
    <x v="422"/>
    <x v="4"/>
    <x v="2"/>
    <x v="4"/>
    <x v="221"/>
    <x v="10"/>
    <x v="1297"/>
    <x v="1"/>
  </r>
  <r>
    <x v="78"/>
    <x v="32"/>
    <x v="1130"/>
    <x v="5"/>
    <x v="533"/>
    <x v="4"/>
    <x v="2"/>
    <x v="4"/>
    <x v="221"/>
    <x v="10"/>
    <x v="1298"/>
    <x v="1"/>
  </r>
  <r>
    <x v="78"/>
    <x v="23"/>
    <x v="5"/>
    <x v="3"/>
    <x v="285"/>
    <x v="4"/>
    <x v="0"/>
    <x v="2"/>
    <x v="10"/>
    <x v="6"/>
    <x v="1299"/>
    <x v="1"/>
  </r>
  <r>
    <x v="78"/>
    <x v="24"/>
    <x v="40"/>
    <x v="1"/>
    <x v="287"/>
    <x v="4"/>
    <x v="0"/>
    <x v="1"/>
    <x v="10"/>
    <x v="6"/>
    <x v="1300"/>
    <x v="1"/>
  </r>
  <r>
    <x v="78"/>
    <x v="37"/>
    <x v="58"/>
    <x v="1"/>
    <x v="523"/>
    <x v="4"/>
    <x v="0"/>
    <x v="1"/>
    <x v="10"/>
    <x v="12"/>
    <x v="1301"/>
    <x v="1"/>
  </r>
  <r>
    <x v="79"/>
    <x v="8"/>
    <x v="449"/>
    <x v="0"/>
    <x v="241"/>
    <x v="4"/>
    <x v="0"/>
    <x v="0"/>
    <x v="21"/>
    <x v="5"/>
    <x v="1302"/>
    <x v="1"/>
  </r>
  <r>
    <x v="79"/>
    <x v="9"/>
    <x v="1138"/>
    <x v="0"/>
    <x v="229"/>
    <x v="4"/>
    <x v="0"/>
    <x v="0"/>
    <x v="15"/>
    <x v="5"/>
    <x v="1303"/>
    <x v="1"/>
  </r>
  <r>
    <x v="79"/>
    <x v="12"/>
    <x v="315"/>
    <x v="0"/>
    <x v="17"/>
    <x v="4"/>
    <x v="0"/>
    <x v="0"/>
    <x v="32"/>
    <x v="5"/>
    <x v="1304"/>
    <x v="1"/>
  </r>
  <r>
    <x v="79"/>
    <x v="22"/>
    <x v="318"/>
    <x v="3"/>
    <x v="259"/>
    <x v="4"/>
    <x v="0"/>
    <x v="2"/>
    <x v="11"/>
    <x v="3"/>
    <x v="1305"/>
    <x v="1"/>
  </r>
  <r>
    <x v="79"/>
    <x v="29"/>
    <x v="285"/>
    <x v="1"/>
    <x v="436"/>
    <x v="4"/>
    <x v="0"/>
    <x v="1"/>
    <x v="11"/>
    <x v="6"/>
    <x v="1306"/>
    <x v="1"/>
  </r>
  <r>
    <x v="79"/>
    <x v="19"/>
    <x v="811"/>
    <x v="0"/>
    <x v="474"/>
    <x v="4"/>
    <x v="0"/>
    <x v="0"/>
    <x v="22"/>
    <x v="3"/>
    <x v="1307"/>
    <x v="1"/>
  </r>
  <r>
    <x v="79"/>
    <x v="32"/>
    <x v="1202"/>
    <x v="3"/>
    <x v="422"/>
    <x v="4"/>
    <x v="2"/>
    <x v="4"/>
    <x v="221"/>
    <x v="10"/>
    <x v="1308"/>
    <x v="1"/>
  </r>
  <r>
    <x v="79"/>
    <x v="32"/>
    <x v="377"/>
    <x v="2"/>
    <x v="422"/>
    <x v="4"/>
    <x v="2"/>
    <x v="4"/>
    <x v="221"/>
    <x v="10"/>
    <x v="1309"/>
    <x v="1"/>
  </r>
  <r>
    <x v="79"/>
    <x v="32"/>
    <x v="369"/>
    <x v="6"/>
    <x v="422"/>
    <x v="4"/>
    <x v="2"/>
    <x v="4"/>
    <x v="221"/>
    <x v="10"/>
    <x v="1310"/>
    <x v="1"/>
  </r>
  <r>
    <x v="79"/>
    <x v="32"/>
    <x v="1728"/>
    <x v="7"/>
    <x v="422"/>
    <x v="4"/>
    <x v="2"/>
    <x v="4"/>
    <x v="221"/>
    <x v="10"/>
    <x v="1311"/>
    <x v="1"/>
  </r>
  <r>
    <x v="79"/>
    <x v="32"/>
    <x v="1348"/>
    <x v="5"/>
    <x v="533"/>
    <x v="4"/>
    <x v="2"/>
    <x v="4"/>
    <x v="221"/>
    <x v="10"/>
    <x v="1312"/>
    <x v="1"/>
  </r>
  <r>
    <x v="79"/>
    <x v="37"/>
    <x v="68"/>
    <x v="1"/>
    <x v="523"/>
    <x v="4"/>
    <x v="0"/>
    <x v="1"/>
    <x v="11"/>
    <x v="12"/>
    <x v="1313"/>
    <x v="1"/>
  </r>
  <r>
    <x v="79"/>
    <x v="38"/>
    <x v="170"/>
    <x v="0"/>
    <x v="225"/>
    <x v="4"/>
    <x v="0"/>
    <x v="3"/>
    <x v="32"/>
    <x v="5"/>
    <x v="1314"/>
    <x v="1"/>
  </r>
  <r>
    <x v="79"/>
    <x v="23"/>
    <x v="5"/>
    <x v="3"/>
    <x v="285"/>
    <x v="4"/>
    <x v="0"/>
    <x v="1"/>
    <x v="11"/>
    <x v="6"/>
    <x v="1315"/>
    <x v="1"/>
  </r>
  <r>
    <x v="80"/>
    <x v="20"/>
    <x v="1158"/>
    <x v="0"/>
    <x v="61"/>
    <x v="4"/>
    <x v="0"/>
    <x v="0"/>
    <x v="18"/>
    <x v="5"/>
    <x v="1316"/>
    <x v="1"/>
  </r>
  <r>
    <x v="80"/>
    <x v="12"/>
    <x v="583"/>
    <x v="0"/>
    <x v="17"/>
    <x v="4"/>
    <x v="0"/>
    <x v="0"/>
    <x v="32"/>
    <x v="5"/>
    <x v="1317"/>
    <x v="1"/>
  </r>
  <r>
    <x v="80"/>
    <x v="9"/>
    <x v="1269"/>
    <x v="0"/>
    <x v="229"/>
    <x v="4"/>
    <x v="0"/>
    <x v="0"/>
    <x v="18"/>
    <x v="5"/>
    <x v="1318"/>
    <x v="1"/>
  </r>
  <r>
    <x v="80"/>
    <x v="27"/>
    <x v="836"/>
    <x v="1"/>
    <x v="5"/>
    <x v="4"/>
    <x v="0"/>
    <x v="1"/>
    <x v="12"/>
    <x v="5"/>
    <x v="1319"/>
    <x v="1"/>
  </r>
  <r>
    <x v="80"/>
    <x v="12"/>
    <x v="219"/>
    <x v="1"/>
    <x v="145"/>
    <x v="4"/>
    <x v="0"/>
    <x v="1"/>
    <x v="12"/>
    <x v="5"/>
    <x v="1320"/>
    <x v="1"/>
  </r>
  <r>
    <x v="80"/>
    <x v="29"/>
    <x v="404"/>
    <x v="1"/>
    <x v="436"/>
    <x v="4"/>
    <x v="0"/>
    <x v="1"/>
    <x v="12"/>
    <x v="6"/>
    <x v="1321"/>
    <x v="1"/>
  </r>
  <r>
    <x v="80"/>
    <x v="3"/>
    <x v="857"/>
    <x v="1"/>
    <x v="153"/>
    <x v="4"/>
    <x v="0"/>
    <x v="1"/>
    <x v="12"/>
    <x v="4"/>
    <x v="1322"/>
    <x v="1"/>
  </r>
  <r>
    <x v="80"/>
    <x v="38"/>
    <x v="149"/>
    <x v="0"/>
    <x v="500"/>
    <x v="4"/>
    <x v="0"/>
    <x v="0"/>
    <x v="42"/>
    <x v="5"/>
    <x v="1323"/>
    <x v="1"/>
  </r>
  <r>
    <x v="80"/>
    <x v="19"/>
    <x v="811"/>
    <x v="0"/>
    <x v="474"/>
    <x v="4"/>
    <x v="0"/>
    <x v="0"/>
    <x v="22"/>
    <x v="3"/>
    <x v="1324"/>
    <x v="1"/>
  </r>
  <r>
    <x v="80"/>
    <x v="32"/>
    <x v="1234"/>
    <x v="3"/>
    <x v="422"/>
    <x v="4"/>
    <x v="2"/>
    <x v="4"/>
    <x v="221"/>
    <x v="10"/>
    <x v="1325"/>
    <x v="1"/>
  </r>
  <r>
    <x v="80"/>
    <x v="32"/>
    <x v="488"/>
    <x v="2"/>
    <x v="422"/>
    <x v="4"/>
    <x v="2"/>
    <x v="4"/>
    <x v="221"/>
    <x v="10"/>
    <x v="1326"/>
    <x v="1"/>
  </r>
  <r>
    <x v="80"/>
    <x v="32"/>
    <x v="36"/>
    <x v="6"/>
    <x v="422"/>
    <x v="4"/>
    <x v="2"/>
    <x v="4"/>
    <x v="221"/>
    <x v="10"/>
    <x v="1327"/>
    <x v="1"/>
  </r>
  <r>
    <x v="80"/>
    <x v="32"/>
    <x v="1922"/>
    <x v="7"/>
    <x v="422"/>
    <x v="4"/>
    <x v="2"/>
    <x v="4"/>
    <x v="221"/>
    <x v="10"/>
    <x v="1328"/>
    <x v="1"/>
  </r>
  <r>
    <x v="80"/>
    <x v="32"/>
    <x v="426"/>
    <x v="8"/>
    <x v="422"/>
    <x v="4"/>
    <x v="2"/>
    <x v="4"/>
    <x v="221"/>
    <x v="10"/>
    <x v="1329"/>
    <x v="1"/>
  </r>
  <r>
    <x v="80"/>
    <x v="32"/>
    <x v="1233"/>
    <x v="5"/>
    <x v="533"/>
    <x v="4"/>
    <x v="2"/>
    <x v="4"/>
    <x v="221"/>
    <x v="10"/>
    <x v="1330"/>
    <x v="1"/>
  </r>
  <r>
    <x v="80"/>
    <x v="37"/>
    <x v="69"/>
    <x v="1"/>
    <x v="523"/>
    <x v="4"/>
    <x v="0"/>
    <x v="1"/>
    <x v="12"/>
    <x v="12"/>
    <x v="1331"/>
    <x v="1"/>
  </r>
  <r>
    <x v="80"/>
    <x v="23"/>
    <x v="1"/>
    <x v="3"/>
    <x v="285"/>
    <x v="4"/>
    <x v="0"/>
    <x v="2"/>
    <x v="12"/>
    <x v="6"/>
    <x v="1332"/>
    <x v="1"/>
  </r>
  <r>
    <x v="80"/>
    <x v="28"/>
    <x v="769"/>
    <x v="3"/>
    <x v="175"/>
    <x v="4"/>
    <x v="0"/>
    <x v="2"/>
    <x v="12"/>
    <x v="0"/>
    <x v="1333"/>
    <x v="1"/>
  </r>
  <r>
    <x v="81"/>
    <x v="1"/>
    <x v="229"/>
    <x v="3"/>
    <x v="431"/>
    <x v="4"/>
    <x v="0"/>
    <x v="2"/>
    <x v="13"/>
    <x v="4"/>
    <x v="1334"/>
    <x v="1"/>
  </r>
  <r>
    <x v="81"/>
    <x v="9"/>
    <x v="1165"/>
    <x v="0"/>
    <x v="229"/>
    <x v="4"/>
    <x v="0"/>
    <x v="0"/>
    <x v="18"/>
    <x v="5"/>
    <x v="1335"/>
    <x v="1"/>
  </r>
  <r>
    <x v="81"/>
    <x v="8"/>
    <x v="779"/>
    <x v="0"/>
    <x v="241"/>
    <x v="4"/>
    <x v="0"/>
    <x v="0"/>
    <x v="21"/>
    <x v="5"/>
    <x v="1336"/>
    <x v="1"/>
  </r>
  <r>
    <x v="81"/>
    <x v="12"/>
    <x v="380"/>
    <x v="0"/>
    <x v="17"/>
    <x v="4"/>
    <x v="0"/>
    <x v="0"/>
    <x v="32"/>
    <x v="5"/>
    <x v="1337"/>
    <x v="1"/>
  </r>
  <r>
    <x v="81"/>
    <x v="20"/>
    <x v="1084"/>
    <x v="0"/>
    <x v="61"/>
    <x v="4"/>
    <x v="0"/>
    <x v="0"/>
    <x v="22"/>
    <x v="5"/>
    <x v="1338"/>
    <x v="1"/>
  </r>
  <r>
    <x v="81"/>
    <x v="20"/>
    <x v="49"/>
    <x v="3"/>
    <x v="381"/>
    <x v="4"/>
    <x v="0"/>
    <x v="2"/>
    <x v="13"/>
    <x v="5"/>
    <x v="1339"/>
    <x v="1"/>
  </r>
  <r>
    <x v="81"/>
    <x v="38"/>
    <x v="155"/>
    <x v="0"/>
    <x v="500"/>
    <x v="4"/>
    <x v="0"/>
    <x v="0"/>
    <x v="42"/>
    <x v="5"/>
    <x v="1340"/>
    <x v="1"/>
  </r>
  <r>
    <x v="81"/>
    <x v="15"/>
    <x v="426"/>
    <x v="3"/>
    <x v="353"/>
    <x v="4"/>
    <x v="0"/>
    <x v="2"/>
    <x v="13"/>
    <x v="4"/>
    <x v="1341"/>
    <x v="1"/>
  </r>
  <r>
    <x v="81"/>
    <x v="28"/>
    <x v="256"/>
    <x v="1"/>
    <x v="175"/>
    <x v="4"/>
    <x v="0"/>
    <x v="1"/>
    <x v="13"/>
    <x v="0"/>
    <x v="1342"/>
    <x v="1"/>
  </r>
  <r>
    <x v="81"/>
    <x v="26"/>
    <x v="90"/>
    <x v="1"/>
    <x v="344"/>
    <x v="4"/>
    <x v="0"/>
    <x v="1"/>
    <x v="13"/>
    <x v="5"/>
    <x v="1343"/>
    <x v="1"/>
  </r>
  <r>
    <x v="81"/>
    <x v="12"/>
    <x v="30"/>
    <x v="1"/>
    <x v="331"/>
    <x v="4"/>
    <x v="0"/>
    <x v="1"/>
    <x v="13"/>
    <x v="5"/>
    <x v="1344"/>
    <x v="1"/>
  </r>
  <r>
    <x v="81"/>
    <x v="32"/>
    <x v="1280"/>
    <x v="3"/>
    <x v="422"/>
    <x v="4"/>
    <x v="2"/>
    <x v="4"/>
    <x v="221"/>
    <x v="10"/>
    <x v="1345"/>
    <x v="1"/>
  </r>
  <r>
    <x v="81"/>
    <x v="32"/>
    <x v="674"/>
    <x v="6"/>
    <x v="422"/>
    <x v="4"/>
    <x v="2"/>
    <x v="4"/>
    <x v="221"/>
    <x v="10"/>
    <x v="1346"/>
    <x v="1"/>
  </r>
  <r>
    <x v="81"/>
    <x v="32"/>
    <x v="1660"/>
    <x v="7"/>
    <x v="422"/>
    <x v="4"/>
    <x v="2"/>
    <x v="4"/>
    <x v="221"/>
    <x v="10"/>
    <x v="1347"/>
    <x v="1"/>
  </r>
  <r>
    <x v="81"/>
    <x v="32"/>
    <x v="1039"/>
    <x v="5"/>
    <x v="533"/>
    <x v="4"/>
    <x v="2"/>
    <x v="4"/>
    <x v="221"/>
    <x v="10"/>
    <x v="1348"/>
    <x v="1"/>
  </r>
  <r>
    <x v="81"/>
    <x v="23"/>
    <x v="9"/>
    <x v="3"/>
    <x v="285"/>
    <x v="4"/>
    <x v="0"/>
    <x v="2"/>
    <x v="13"/>
    <x v="6"/>
    <x v="1349"/>
    <x v="1"/>
  </r>
  <r>
    <x v="81"/>
    <x v="37"/>
    <x v="58"/>
    <x v="1"/>
    <x v="523"/>
    <x v="4"/>
    <x v="0"/>
    <x v="1"/>
    <x v="13"/>
    <x v="12"/>
    <x v="1350"/>
    <x v="1"/>
  </r>
  <r>
    <x v="81"/>
    <x v="38"/>
    <x v="12"/>
    <x v="3"/>
    <x v="444"/>
    <x v="4"/>
    <x v="0"/>
    <x v="2"/>
    <x v="13"/>
    <x v="5"/>
    <x v="1351"/>
    <x v="1"/>
  </r>
  <r>
    <x v="82"/>
    <x v="12"/>
    <x v="159"/>
    <x v="0"/>
    <x v="17"/>
    <x v="4"/>
    <x v="0"/>
    <x v="0"/>
    <x v="32"/>
    <x v="5"/>
    <x v="1352"/>
    <x v="1"/>
  </r>
  <r>
    <x v="82"/>
    <x v="20"/>
    <x v="1558"/>
    <x v="0"/>
    <x v="253"/>
    <x v="4"/>
    <x v="0"/>
    <x v="3"/>
    <x v="14"/>
    <x v="5"/>
    <x v="1353"/>
    <x v="1"/>
  </r>
  <r>
    <x v="82"/>
    <x v="9"/>
    <x v="881"/>
    <x v="0"/>
    <x v="229"/>
    <x v="4"/>
    <x v="0"/>
    <x v="0"/>
    <x v="18"/>
    <x v="5"/>
    <x v="1354"/>
    <x v="1"/>
  </r>
  <r>
    <x v="82"/>
    <x v="20"/>
    <x v="1311"/>
    <x v="0"/>
    <x v="61"/>
    <x v="4"/>
    <x v="0"/>
    <x v="0"/>
    <x v="22"/>
    <x v="5"/>
    <x v="1355"/>
    <x v="1"/>
  </r>
  <r>
    <x v="82"/>
    <x v="37"/>
    <x v="55"/>
    <x v="3"/>
    <x v="523"/>
    <x v="4"/>
    <x v="0"/>
    <x v="2"/>
    <x v="14"/>
    <x v="12"/>
    <x v="1356"/>
    <x v="1"/>
  </r>
  <r>
    <x v="82"/>
    <x v="0"/>
    <x v="256"/>
    <x v="3"/>
    <x v="573"/>
    <x v="4"/>
    <x v="0"/>
    <x v="2"/>
    <x v="14"/>
    <x v="9"/>
    <x v="1357"/>
    <x v="1"/>
  </r>
  <r>
    <x v="82"/>
    <x v="38"/>
    <x v="19"/>
    <x v="3"/>
    <x v="444"/>
    <x v="4"/>
    <x v="0"/>
    <x v="2"/>
    <x v="14"/>
    <x v="5"/>
    <x v="1358"/>
    <x v="1"/>
  </r>
  <r>
    <x v="82"/>
    <x v="19"/>
    <x v="811"/>
    <x v="0"/>
    <x v="474"/>
    <x v="4"/>
    <x v="0"/>
    <x v="0"/>
    <x v="22"/>
    <x v="3"/>
    <x v="1359"/>
    <x v="1"/>
  </r>
  <r>
    <x v="82"/>
    <x v="38"/>
    <x v="117"/>
    <x v="0"/>
    <x v="500"/>
    <x v="4"/>
    <x v="0"/>
    <x v="0"/>
    <x v="42"/>
    <x v="5"/>
    <x v="1360"/>
    <x v="1"/>
  </r>
  <r>
    <x v="82"/>
    <x v="24"/>
    <x v="12"/>
    <x v="3"/>
    <x v="177"/>
    <x v="4"/>
    <x v="0"/>
    <x v="2"/>
    <x v="14"/>
    <x v="6"/>
    <x v="1361"/>
    <x v="1"/>
  </r>
  <r>
    <x v="82"/>
    <x v="32"/>
    <x v="1109"/>
    <x v="3"/>
    <x v="422"/>
    <x v="4"/>
    <x v="2"/>
    <x v="4"/>
    <x v="221"/>
    <x v="10"/>
    <x v="1362"/>
    <x v="1"/>
  </r>
  <r>
    <x v="82"/>
    <x v="32"/>
    <x v="549"/>
    <x v="2"/>
    <x v="422"/>
    <x v="4"/>
    <x v="2"/>
    <x v="4"/>
    <x v="221"/>
    <x v="10"/>
    <x v="1363"/>
    <x v="1"/>
  </r>
  <r>
    <x v="82"/>
    <x v="32"/>
    <x v="461"/>
    <x v="6"/>
    <x v="422"/>
    <x v="4"/>
    <x v="2"/>
    <x v="4"/>
    <x v="221"/>
    <x v="10"/>
    <x v="1364"/>
    <x v="1"/>
  </r>
  <r>
    <x v="82"/>
    <x v="32"/>
    <x v="1759"/>
    <x v="7"/>
    <x v="422"/>
    <x v="4"/>
    <x v="2"/>
    <x v="4"/>
    <x v="221"/>
    <x v="10"/>
    <x v="1365"/>
    <x v="1"/>
  </r>
  <r>
    <x v="82"/>
    <x v="32"/>
    <x v="902"/>
    <x v="5"/>
    <x v="533"/>
    <x v="4"/>
    <x v="2"/>
    <x v="4"/>
    <x v="221"/>
    <x v="10"/>
    <x v="1366"/>
    <x v="1"/>
  </r>
  <r>
    <x v="83"/>
    <x v="9"/>
    <x v="1467"/>
    <x v="0"/>
    <x v="229"/>
    <x v="4"/>
    <x v="0"/>
    <x v="0"/>
    <x v="23"/>
    <x v="5"/>
    <x v="1367"/>
    <x v="1"/>
  </r>
  <r>
    <x v="83"/>
    <x v="12"/>
    <x v="461"/>
    <x v="0"/>
    <x v="17"/>
    <x v="4"/>
    <x v="0"/>
    <x v="0"/>
    <x v="32"/>
    <x v="5"/>
    <x v="1368"/>
    <x v="1"/>
  </r>
  <r>
    <x v="83"/>
    <x v="8"/>
    <x v="449"/>
    <x v="0"/>
    <x v="241"/>
    <x v="4"/>
    <x v="0"/>
    <x v="0"/>
    <x v="21"/>
    <x v="5"/>
    <x v="1369"/>
    <x v="1"/>
  </r>
  <r>
    <x v="83"/>
    <x v="20"/>
    <x v="991"/>
    <x v="0"/>
    <x v="61"/>
    <x v="4"/>
    <x v="0"/>
    <x v="0"/>
    <x v="22"/>
    <x v="5"/>
    <x v="1370"/>
    <x v="1"/>
  </r>
  <r>
    <x v="83"/>
    <x v="1"/>
    <x v="127"/>
    <x v="3"/>
    <x v="431"/>
    <x v="4"/>
    <x v="0"/>
    <x v="2"/>
    <x v="15"/>
    <x v="4"/>
    <x v="1371"/>
    <x v="1"/>
  </r>
  <r>
    <x v="83"/>
    <x v="39"/>
    <x v="1035"/>
    <x v="0"/>
    <x v="501"/>
    <x v="4"/>
    <x v="0"/>
    <x v="0"/>
    <x v="15"/>
    <x v="5"/>
    <x v="1372"/>
    <x v="1"/>
  </r>
  <r>
    <x v="83"/>
    <x v="3"/>
    <x v="599"/>
    <x v="3"/>
    <x v="579"/>
    <x v="4"/>
    <x v="0"/>
    <x v="2"/>
    <x v="15"/>
    <x v="4"/>
    <x v="1373"/>
    <x v="1"/>
  </r>
  <r>
    <x v="83"/>
    <x v="38"/>
    <x v="301"/>
    <x v="0"/>
    <x v="500"/>
    <x v="4"/>
    <x v="0"/>
    <x v="0"/>
    <x v="42"/>
    <x v="5"/>
    <x v="1374"/>
    <x v="1"/>
  </r>
  <r>
    <x v="83"/>
    <x v="32"/>
    <x v="1076"/>
    <x v="3"/>
    <x v="422"/>
    <x v="4"/>
    <x v="2"/>
    <x v="4"/>
    <x v="221"/>
    <x v="10"/>
    <x v="1375"/>
    <x v="1"/>
  </r>
  <r>
    <x v="83"/>
    <x v="32"/>
    <x v="629"/>
    <x v="2"/>
    <x v="422"/>
    <x v="4"/>
    <x v="2"/>
    <x v="4"/>
    <x v="221"/>
    <x v="10"/>
    <x v="1376"/>
    <x v="1"/>
  </r>
  <r>
    <x v="83"/>
    <x v="32"/>
    <x v="1034"/>
    <x v="6"/>
    <x v="422"/>
    <x v="4"/>
    <x v="2"/>
    <x v="4"/>
    <x v="221"/>
    <x v="10"/>
    <x v="1377"/>
    <x v="1"/>
  </r>
  <r>
    <x v="83"/>
    <x v="32"/>
    <x v="1700"/>
    <x v="7"/>
    <x v="422"/>
    <x v="4"/>
    <x v="2"/>
    <x v="4"/>
    <x v="221"/>
    <x v="10"/>
    <x v="1378"/>
    <x v="1"/>
  </r>
  <r>
    <x v="83"/>
    <x v="32"/>
    <x v="703"/>
    <x v="5"/>
    <x v="533"/>
    <x v="4"/>
    <x v="2"/>
    <x v="4"/>
    <x v="221"/>
    <x v="10"/>
    <x v="1379"/>
    <x v="1"/>
  </r>
  <r>
    <x v="83"/>
    <x v="37"/>
    <x v="69"/>
    <x v="1"/>
    <x v="523"/>
    <x v="4"/>
    <x v="0"/>
    <x v="1"/>
    <x v="15"/>
    <x v="12"/>
    <x v="1380"/>
    <x v="1"/>
  </r>
  <r>
    <x v="83"/>
    <x v="31"/>
    <x v="283"/>
    <x v="1"/>
    <x v="348"/>
    <x v="4"/>
    <x v="0"/>
    <x v="1"/>
    <x v="15"/>
    <x v="8"/>
    <x v="1381"/>
    <x v="1"/>
  </r>
  <r>
    <x v="83"/>
    <x v="11"/>
    <x v="25"/>
    <x v="3"/>
    <x v="204"/>
    <x v="4"/>
    <x v="0"/>
    <x v="2"/>
    <x v="15"/>
    <x v="2"/>
    <x v="1382"/>
    <x v="1"/>
  </r>
  <r>
    <x v="83"/>
    <x v="24"/>
    <x v="25"/>
    <x v="3"/>
    <x v="16"/>
    <x v="4"/>
    <x v="0"/>
    <x v="2"/>
    <x v="15"/>
    <x v="6"/>
    <x v="1383"/>
    <x v="1"/>
  </r>
  <r>
    <x v="83"/>
    <x v="0"/>
    <x v="518"/>
    <x v="0"/>
    <x v="566"/>
    <x v="4"/>
    <x v="0"/>
    <x v="0"/>
    <x v="15"/>
    <x v="9"/>
    <x v="1384"/>
    <x v="1"/>
  </r>
  <r>
    <x v="84"/>
    <x v="12"/>
    <x v="613"/>
    <x v="0"/>
    <x v="17"/>
    <x v="4"/>
    <x v="0"/>
    <x v="0"/>
    <x v="32"/>
    <x v="5"/>
    <x v="1385"/>
    <x v="1"/>
  </r>
  <r>
    <x v="84"/>
    <x v="9"/>
    <x v="1229"/>
    <x v="0"/>
    <x v="229"/>
    <x v="4"/>
    <x v="0"/>
    <x v="0"/>
    <x v="23"/>
    <x v="5"/>
    <x v="1386"/>
    <x v="1"/>
  </r>
  <r>
    <x v="84"/>
    <x v="20"/>
    <x v="260"/>
    <x v="0"/>
    <x v="61"/>
    <x v="4"/>
    <x v="0"/>
    <x v="0"/>
    <x v="22"/>
    <x v="5"/>
    <x v="1387"/>
    <x v="1"/>
  </r>
  <r>
    <x v="84"/>
    <x v="1"/>
    <x v="127"/>
    <x v="3"/>
    <x v="431"/>
    <x v="4"/>
    <x v="0"/>
    <x v="2"/>
    <x v="16"/>
    <x v="4"/>
    <x v="1388"/>
    <x v="1"/>
  </r>
  <r>
    <x v="84"/>
    <x v="13"/>
    <x v="943"/>
    <x v="0"/>
    <x v="32"/>
    <x v="4"/>
    <x v="0"/>
    <x v="0"/>
    <x v="32"/>
    <x v="5"/>
    <x v="1389"/>
    <x v="1"/>
  </r>
  <r>
    <x v="84"/>
    <x v="38"/>
    <x v="505"/>
    <x v="1"/>
    <x v="389"/>
    <x v="4"/>
    <x v="0"/>
    <x v="2"/>
    <x v="16"/>
    <x v="5"/>
    <x v="1390"/>
    <x v="1"/>
  </r>
  <r>
    <x v="84"/>
    <x v="38"/>
    <x v="237"/>
    <x v="0"/>
    <x v="500"/>
    <x v="4"/>
    <x v="0"/>
    <x v="0"/>
    <x v="42"/>
    <x v="5"/>
    <x v="1391"/>
    <x v="1"/>
  </r>
  <r>
    <x v="84"/>
    <x v="19"/>
    <x v="811"/>
    <x v="0"/>
    <x v="474"/>
    <x v="4"/>
    <x v="0"/>
    <x v="0"/>
    <x v="22"/>
    <x v="3"/>
    <x v="1392"/>
    <x v="1"/>
  </r>
  <r>
    <x v="84"/>
    <x v="32"/>
    <x v="999"/>
    <x v="3"/>
    <x v="422"/>
    <x v="4"/>
    <x v="2"/>
    <x v="4"/>
    <x v="221"/>
    <x v="10"/>
    <x v="1393"/>
    <x v="1"/>
  </r>
  <r>
    <x v="84"/>
    <x v="32"/>
    <x v="1778"/>
    <x v="7"/>
    <x v="422"/>
    <x v="4"/>
    <x v="2"/>
    <x v="4"/>
    <x v="221"/>
    <x v="10"/>
    <x v="1394"/>
    <x v="1"/>
  </r>
  <r>
    <x v="84"/>
    <x v="32"/>
    <x v="512"/>
    <x v="8"/>
    <x v="422"/>
    <x v="4"/>
    <x v="2"/>
    <x v="4"/>
    <x v="221"/>
    <x v="10"/>
    <x v="1395"/>
    <x v="1"/>
  </r>
  <r>
    <x v="84"/>
    <x v="32"/>
    <x v="556"/>
    <x v="5"/>
    <x v="533"/>
    <x v="4"/>
    <x v="2"/>
    <x v="4"/>
    <x v="221"/>
    <x v="10"/>
    <x v="1396"/>
    <x v="1"/>
  </r>
  <r>
    <x v="84"/>
    <x v="23"/>
    <x v="5"/>
    <x v="3"/>
    <x v="285"/>
    <x v="4"/>
    <x v="0"/>
    <x v="2"/>
    <x v="16"/>
    <x v="6"/>
    <x v="1397"/>
    <x v="1"/>
  </r>
  <r>
    <x v="84"/>
    <x v="37"/>
    <x v="53"/>
    <x v="1"/>
    <x v="523"/>
    <x v="4"/>
    <x v="0"/>
    <x v="1"/>
    <x v="16"/>
    <x v="12"/>
    <x v="1398"/>
    <x v="1"/>
  </r>
  <r>
    <x v="84"/>
    <x v="24"/>
    <x v="30"/>
    <x v="1"/>
    <x v="246"/>
    <x v="4"/>
    <x v="0"/>
    <x v="1"/>
    <x v="16"/>
    <x v="6"/>
    <x v="1399"/>
    <x v="1"/>
  </r>
  <r>
    <x v="84"/>
    <x v="0"/>
    <x v="1353"/>
    <x v="0"/>
    <x v="566"/>
    <x v="4"/>
    <x v="0"/>
    <x v="0"/>
    <x v="16"/>
    <x v="9"/>
    <x v="1400"/>
    <x v="1"/>
  </r>
  <r>
    <x v="85"/>
    <x v="8"/>
    <x v="779"/>
    <x v="0"/>
    <x v="241"/>
    <x v="4"/>
    <x v="0"/>
    <x v="0"/>
    <x v="21"/>
    <x v="5"/>
    <x v="1401"/>
    <x v="1"/>
  </r>
  <r>
    <x v="85"/>
    <x v="9"/>
    <x v="889"/>
    <x v="0"/>
    <x v="229"/>
    <x v="4"/>
    <x v="0"/>
    <x v="0"/>
    <x v="23"/>
    <x v="5"/>
    <x v="1402"/>
    <x v="1"/>
  </r>
  <r>
    <x v="85"/>
    <x v="20"/>
    <x v="396"/>
    <x v="0"/>
    <x v="61"/>
    <x v="4"/>
    <x v="0"/>
    <x v="0"/>
    <x v="27"/>
    <x v="5"/>
    <x v="1403"/>
    <x v="1"/>
  </r>
  <r>
    <x v="85"/>
    <x v="12"/>
    <x v="214"/>
    <x v="0"/>
    <x v="17"/>
    <x v="4"/>
    <x v="0"/>
    <x v="0"/>
    <x v="32"/>
    <x v="5"/>
    <x v="1404"/>
    <x v="1"/>
  </r>
  <r>
    <x v="85"/>
    <x v="20"/>
    <x v="49"/>
    <x v="3"/>
    <x v="381"/>
    <x v="4"/>
    <x v="0"/>
    <x v="2"/>
    <x v="17"/>
    <x v="5"/>
    <x v="1405"/>
    <x v="1"/>
  </r>
  <r>
    <x v="85"/>
    <x v="1"/>
    <x v="60"/>
    <x v="3"/>
    <x v="431"/>
    <x v="4"/>
    <x v="0"/>
    <x v="2"/>
    <x v="17"/>
    <x v="4"/>
    <x v="1406"/>
    <x v="1"/>
  </r>
  <r>
    <x v="85"/>
    <x v="38"/>
    <x v="108"/>
    <x v="0"/>
    <x v="500"/>
    <x v="4"/>
    <x v="0"/>
    <x v="0"/>
    <x v="42"/>
    <x v="5"/>
    <x v="1407"/>
    <x v="1"/>
  </r>
  <r>
    <x v="85"/>
    <x v="32"/>
    <x v="1027"/>
    <x v="3"/>
    <x v="422"/>
    <x v="4"/>
    <x v="2"/>
    <x v="4"/>
    <x v="221"/>
    <x v="10"/>
    <x v="1408"/>
    <x v="1"/>
  </r>
  <r>
    <x v="85"/>
    <x v="32"/>
    <x v="117"/>
    <x v="6"/>
    <x v="422"/>
    <x v="4"/>
    <x v="2"/>
    <x v="4"/>
    <x v="221"/>
    <x v="10"/>
    <x v="1409"/>
    <x v="1"/>
  </r>
  <r>
    <x v="85"/>
    <x v="32"/>
    <x v="1842"/>
    <x v="7"/>
    <x v="422"/>
    <x v="4"/>
    <x v="2"/>
    <x v="4"/>
    <x v="221"/>
    <x v="10"/>
    <x v="1410"/>
    <x v="1"/>
  </r>
  <r>
    <x v="85"/>
    <x v="32"/>
    <x v="138"/>
    <x v="8"/>
    <x v="422"/>
    <x v="4"/>
    <x v="2"/>
    <x v="4"/>
    <x v="221"/>
    <x v="10"/>
    <x v="1411"/>
    <x v="1"/>
  </r>
  <r>
    <x v="85"/>
    <x v="32"/>
    <x v="863"/>
    <x v="5"/>
    <x v="533"/>
    <x v="4"/>
    <x v="2"/>
    <x v="4"/>
    <x v="221"/>
    <x v="10"/>
    <x v="1412"/>
    <x v="1"/>
  </r>
  <r>
    <x v="85"/>
    <x v="37"/>
    <x v="65"/>
    <x v="1"/>
    <x v="523"/>
    <x v="4"/>
    <x v="0"/>
    <x v="1"/>
    <x v="17"/>
    <x v="12"/>
    <x v="1413"/>
    <x v="1"/>
  </r>
  <r>
    <x v="85"/>
    <x v="19"/>
    <x v="811"/>
    <x v="0"/>
    <x v="474"/>
    <x v="4"/>
    <x v="0"/>
    <x v="0"/>
    <x v="22"/>
    <x v="3"/>
    <x v="1414"/>
    <x v="1"/>
  </r>
  <r>
    <x v="85"/>
    <x v="23"/>
    <x v="15"/>
    <x v="3"/>
    <x v="285"/>
    <x v="4"/>
    <x v="0"/>
    <x v="2"/>
    <x v="17"/>
    <x v="6"/>
    <x v="1415"/>
    <x v="1"/>
  </r>
  <r>
    <x v="85"/>
    <x v="24"/>
    <x v="495"/>
    <x v="1"/>
    <x v="521"/>
    <x v="4"/>
    <x v="0"/>
    <x v="1"/>
    <x v="17"/>
    <x v="6"/>
    <x v="1416"/>
    <x v="1"/>
  </r>
  <r>
    <x v="86"/>
    <x v="1"/>
    <x v="76"/>
    <x v="3"/>
    <x v="431"/>
    <x v="4"/>
    <x v="0"/>
    <x v="2"/>
    <x v="18"/>
    <x v="4"/>
    <x v="1417"/>
    <x v="1"/>
  </r>
  <r>
    <x v="86"/>
    <x v="12"/>
    <x v="254"/>
    <x v="0"/>
    <x v="17"/>
    <x v="4"/>
    <x v="0"/>
    <x v="0"/>
    <x v="32"/>
    <x v="5"/>
    <x v="1418"/>
    <x v="1"/>
  </r>
  <r>
    <x v="86"/>
    <x v="9"/>
    <x v="820"/>
    <x v="0"/>
    <x v="229"/>
    <x v="4"/>
    <x v="0"/>
    <x v="0"/>
    <x v="23"/>
    <x v="5"/>
    <x v="1419"/>
    <x v="1"/>
  </r>
  <r>
    <x v="86"/>
    <x v="38"/>
    <x v="137"/>
    <x v="0"/>
    <x v="500"/>
    <x v="4"/>
    <x v="0"/>
    <x v="0"/>
    <x v="42"/>
    <x v="5"/>
    <x v="1420"/>
    <x v="1"/>
  </r>
  <r>
    <x v="86"/>
    <x v="24"/>
    <x v="719"/>
    <x v="1"/>
    <x v="184"/>
    <x v="4"/>
    <x v="0"/>
    <x v="1"/>
    <x v="18"/>
    <x v="6"/>
    <x v="1421"/>
    <x v="1"/>
  </r>
  <r>
    <x v="86"/>
    <x v="18"/>
    <x v="375"/>
    <x v="1"/>
    <x v="215"/>
    <x v="4"/>
    <x v="0"/>
    <x v="1"/>
    <x v="18"/>
    <x v="3"/>
    <x v="1422"/>
    <x v="1"/>
  </r>
  <r>
    <x v="86"/>
    <x v="15"/>
    <x v="363"/>
    <x v="3"/>
    <x v="353"/>
    <x v="4"/>
    <x v="0"/>
    <x v="2"/>
    <x v="18"/>
    <x v="4"/>
    <x v="1423"/>
    <x v="1"/>
  </r>
  <r>
    <x v="86"/>
    <x v="24"/>
    <x v="253"/>
    <x v="1"/>
    <x v="246"/>
    <x v="4"/>
    <x v="0"/>
    <x v="1"/>
    <x v="18"/>
    <x v="6"/>
    <x v="1424"/>
    <x v="1"/>
  </r>
  <r>
    <x v="86"/>
    <x v="32"/>
    <x v="1346"/>
    <x v="3"/>
    <x v="422"/>
    <x v="4"/>
    <x v="2"/>
    <x v="4"/>
    <x v="221"/>
    <x v="10"/>
    <x v="1425"/>
    <x v="1"/>
  </r>
  <r>
    <x v="86"/>
    <x v="32"/>
    <x v="531"/>
    <x v="2"/>
    <x v="422"/>
    <x v="4"/>
    <x v="2"/>
    <x v="4"/>
    <x v="221"/>
    <x v="10"/>
    <x v="1426"/>
    <x v="1"/>
  </r>
  <r>
    <x v="86"/>
    <x v="32"/>
    <x v="134"/>
    <x v="6"/>
    <x v="422"/>
    <x v="4"/>
    <x v="2"/>
    <x v="4"/>
    <x v="221"/>
    <x v="10"/>
    <x v="1427"/>
    <x v="1"/>
  </r>
  <r>
    <x v="86"/>
    <x v="32"/>
    <x v="1834"/>
    <x v="7"/>
    <x v="422"/>
    <x v="4"/>
    <x v="2"/>
    <x v="4"/>
    <x v="221"/>
    <x v="10"/>
    <x v="1428"/>
    <x v="1"/>
  </r>
  <r>
    <x v="86"/>
    <x v="32"/>
    <x v="1372"/>
    <x v="5"/>
    <x v="422"/>
    <x v="4"/>
    <x v="2"/>
    <x v="4"/>
    <x v="221"/>
    <x v="10"/>
    <x v="1429"/>
    <x v="1"/>
  </r>
  <r>
    <x v="86"/>
    <x v="19"/>
    <x v="811"/>
    <x v="0"/>
    <x v="474"/>
    <x v="4"/>
    <x v="0"/>
    <x v="0"/>
    <x v="22"/>
    <x v="3"/>
    <x v="1430"/>
    <x v="1"/>
  </r>
  <r>
    <x v="86"/>
    <x v="37"/>
    <x v="68"/>
    <x v="1"/>
    <x v="523"/>
    <x v="4"/>
    <x v="0"/>
    <x v="4"/>
    <x v="221"/>
    <x v="12"/>
    <x v="1431"/>
    <x v="1"/>
  </r>
  <r>
    <x v="86"/>
    <x v="23"/>
    <x v="9"/>
    <x v="3"/>
    <x v="285"/>
    <x v="4"/>
    <x v="0"/>
    <x v="4"/>
    <x v="221"/>
    <x v="6"/>
    <x v="1432"/>
    <x v="1"/>
  </r>
  <r>
    <x v="87"/>
    <x v="12"/>
    <x v="474"/>
    <x v="0"/>
    <x v="17"/>
    <x v="4"/>
    <x v="0"/>
    <x v="0"/>
    <x v="32"/>
    <x v="5"/>
    <x v="1433"/>
    <x v="1"/>
  </r>
  <r>
    <x v="87"/>
    <x v="1"/>
    <x v="76"/>
    <x v="3"/>
    <x v="431"/>
    <x v="4"/>
    <x v="0"/>
    <x v="2"/>
    <x v="19"/>
    <x v="4"/>
    <x v="1434"/>
    <x v="1"/>
  </r>
  <r>
    <x v="87"/>
    <x v="20"/>
    <x v="1166"/>
    <x v="0"/>
    <x v="61"/>
    <x v="4"/>
    <x v="0"/>
    <x v="0"/>
    <x v="27"/>
    <x v="5"/>
    <x v="1435"/>
    <x v="1"/>
  </r>
  <r>
    <x v="87"/>
    <x v="38"/>
    <x v="461"/>
    <x v="1"/>
    <x v="389"/>
    <x v="4"/>
    <x v="0"/>
    <x v="1"/>
    <x v="19"/>
    <x v="5"/>
    <x v="1436"/>
    <x v="1"/>
  </r>
  <r>
    <x v="87"/>
    <x v="12"/>
    <x v="402"/>
    <x v="1"/>
    <x v="511"/>
    <x v="4"/>
    <x v="0"/>
    <x v="1"/>
    <x v="19"/>
    <x v="5"/>
    <x v="1437"/>
    <x v="1"/>
  </r>
  <r>
    <x v="87"/>
    <x v="27"/>
    <x v="709"/>
    <x v="1"/>
    <x v="5"/>
    <x v="4"/>
    <x v="0"/>
    <x v="1"/>
    <x v="19"/>
    <x v="5"/>
    <x v="1438"/>
    <x v="1"/>
  </r>
  <r>
    <x v="87"/>
    <x v="9"/>
    <x v="1221"/>
    <x v="0"/>
    <x v="229"/>
    <x v="4"/>
    <x v="0"/>
    <x v="0"/>
    <x v="26"/>
    <x v="5"/>
    <x v="1439"/>
    <x v="1"/>
  </r>
  <r>
    <x v="87"/>
    <x v="19"/>
    <x v="811"/>
    <x v="0"/>
    <x v="474"/>
    <x v="4"/>
    <x v="0"/>
    <x v="0"/>
    <x v="22"/>
    <x v="3"/>
    <x v="1440"/>
    <x v="1"/>
  </r>
  <r>
    <x v="87"/>
    <x v="38"/>
    <x v="212"/>
    <x v="0"/>
    <x v="500"/>
    <x v="4"/>
    <x v="0"/>
    <x v="0"/>
    <x v="42"/>
    <x v="5"/>
    <x v="1441"/>
    <x v="1"/>
  </r>
  <r>
    <x v="87"/>
    <x v="32"/>
    <x v="1575"/>
    <x v="3"/>
    <x v="422"/>
    <x v="4"/>
    <x v="2"/>
    <x v="4"/>
    <x v="221"/>
    <x v="10"/>
    <x v="1442"/>
    <x v="1"/>
  </r>
  <r>
    <x v="87"/>
    <x v="32"/>
    <x v="652"/>
    <x v="2"/>
    <x v="422"/>
    <x v="4"/>
    <x v="2"/>
    <x v="4"/>
    <x v="221"/>
    <x v="10"/>
    <x v="1443"/>
    <x v="1"/>
  </r>
  <r>
    <x v="87"/>
    <x v="32"/>
    <x v="781"/>
    <x v="6"/>
    <x v="422"/>
    <x v="4"/>
    <x v="2"/>
    <x v="4"/>
    <x v="221"/>
    <x v="10"/>
    <x v="1444"/>
    <x v="1"/>
  </r>
  <r>
    <x v="87"/>
    <x v="32"/>
    <x v="1947"/>
    <x v="7"/>
    <x v="422"/>
    <x v="4"/>
    <x v="2"/>
    <x v="4"/>
    <x v="221"/>
    <x v="10"/>
    <x v="1445"/>
    <x v="1"/>
  </r>
  <r>
    <x v="87"/>
    <x v="32"/>
    <x v="444"/>
    <x v="8"/>
    <x v="422"/>
    <x v="4"/>
    <x v="2"/>
    <x v="4"/>
    <x v="221"/>
    <x v="10"/>
    <x v="1446"/>
    <x v="1"/>
  </r>
  <r>
    <x v="87"/>
    <x v="32"/>
    <x v="694"/>
    <x v="5"/>
    <x v="533"/>
    <x v="4"/>
    <x v="2"/>
    <x v="4"/>
    <x v="221"/>
    <x v="10"/>
    <x v="1447"/>
    <x v="1"/>
  </r>
  <r>
    <x v="87"/>
    <x v="37"/>
    <x v="60"/>
    <x v="1"/>
    <x v="523"/>
    <x v="4"/>
    <x v="0"/>
    <x v="1"/>
    <x v="19"/>
    <x v="12"/>
    <x v="1448"/>
    <x v="1"/>
  </r>
  <r>
    <x v="87"/>
    <x v="36"/>
    <x v="45"/>
    <x v="1"/>
    <x v="375"/>
    <x v="4"/>
    <x v="0"/>
    <x v="1"/>
    <x v="19"/>
    <x v="5"/>
    <x v="1449"/>
    <x v="1"/>
  </r>
  <r>
    <x v="87"/>
    <x v="23"/>
    <x v="12"/>
    <x v="3"/>
    <x v="285"/>
    <x v="4"/>
    <x v="0"/>
    <x v="2"/>
    <x v="19"/>
    <x v="6"/>
    <x v="1450"/>
    <x v="1"/>
  </r>
  <r>
    <x v="88"/>
    <x v="3"/>
    <x v="599"/>
    <x v="3"/>
    <x v="579"/>
    <x v="4"/>
    <x v="0"/>
    <x v="2"/>
    <x v="20"/>
    <x v="4"/>
    <x v="1451"/>
    <x v="1"/>
  </r>
  <r>
    <x v="88"/>
    <x v="1"/>
    <x v="109"/>
    <x v="3"/>
    <x v="431"/>
    <x v="4"/>
    <x v="0"/>
    <x v="2"/>
    <x v="20"/>
    <x v="4"/>
    <x v="1452"/>
    <x v="1"/>
  </r>
  <r>
    <x v="88"/>
    <x v="20"/>
    <x v="1507"/>
    <x v="0"/>
    <x v="61"/>
    <x v="4"/>
    <x v="0"/>
    <x v="0"/>
    <x v="27"/>
    <x v="5"/>
    <x v="1453"/>
    <x v="1"/>
  </r>
  <r>
    <x v="88"/>
    <x v="9"/>
    <x v="1529"/>
    <x v="0"/>
    <x v="229"/>
    <x v="4"/>
    <x v="0"/>
    <x v="0"/>
    <x v="26"/>
    <x v="5"/>
    <x v="1454"/>
    <x v="1"/>
  </r>
  <r>
    <x v="88"/>
    <x v="12"/>
    <x v="671"/>
    <x v="0"/>
    <x v="17"/>
    <x v="4"/>
    <x v="0"/>
    <x v="0"/>
    <x v="42"/>
    <x v="5"/>
    <x v="1455"/>
    <x v="1"/>
  </r>
  <r>
    <x v="88"/>
    <x v="38"/>
    <x v="218"/>
    <x v="0"/>
    <x v="500"/>
    <x v="4"/>
    <x v="0"/>
    <x v="0"/>
    <x v="42"/>
    <x v="5"/>
    <x v="1456"/>
    <x v="1"/>
  </r>
  <r>
    <x v="88"/>
    <x v="32"/>
    <x v="1251"/>
    <x v="3"/>
    <x v="422"/>
    <x v="4"/>
    <x v="2"/>
    <x v="4"/>
    <x v="221"/>
    <x v="10"/>
    <x v="1457"/>
    <x v="1"/>
  </r>
  <r>
    <x v="88"/>
    <x v="32"/>
    <x v="180"/>
    <x v="2"/>
    <x v="422"/>
    <x v="4"/>
    <x v="2"/>
    <x v="4"/>
    <x v="221"/>
    <x v="10"/>
    <x v="1458"/>
    <x v="1"/>
  </r>
  <r>
    <x v="88"/>
    <x v="32"/>
    <x v="508"/>
    <x v="6"/>
    <x v="422"/>
    <x v="4"/>
    <x v="2"/>
    <x v="4"/>
    <x v="221"/>
    <x v="10"/>
    <x v="1459"/>
    <x v="1"/>
  </r>
  <r>
    <x v="88"/>
    <x v="32"/>
    <x v="1711"/>
    <x v="7"/>
    <x v="422"/>
    <x v="4"/>
    <x v="2"/>
    <x v="4"/>
    <x v="221"/>
    <x v="10"/>
    <x v="1460"/>
    <x v="1"/>
  </r>
  <r>
    <x v="88"/>
    <x v="32"/>
    <x v="537"/>
    <x v="5"/>
    <x v="533"/>
    <x v="4"/>
    <x v="2"/>
    <x v="4"/>
    <x v="221"/>
    <x v="10"/>
    <x v="1461"/>
    <x v="1"/>
  </r>
  <r>
    <x v="88"/>
    <x v="0"/>
    <x v="1694"/>
    <x v="1"/>
    <x v="528"/>
    <x v="4"/>
    <x v="0"/>
    <x v="1"/>
    <x v="20"/>
    <x v="9"/>
    <x v="1462"/>
    <x v="1"/>
  </r>
  <r>
    <x v="88"/>
    <x v="37"/>
    <x v="63"/>
    <x v="1"/>
    <x v="523"/>
    <x v="4"/>
    <x v="0"/>
    <x v="1"/>
    <x v="20"/>
    <x v="12"/>
    <x v="1463"/>
    <x v="1"/>
  </r>
  <r>
    <x v="89"/>
    <x v="20"/>
    <x v="919"/>
    <x v="0"/>
    <x v="61"/>
    <x v="4"/>
    <x v="0"/>
    <x v="0"/>
    <x v="27"/>
    <x v="5"/>
    <x v="1464"/>
    <x v="1"/>
  </r>
  <r>
    <x v="89"/>
    <x v="9"/>
    <x v="1169"/>
    <x v="0"/>
    <x v="229"/>
    <x v="4"/>
    <x v="0"/>
    <x v="0"/>
    <x v="26"/>
    <x v="5"/>
    <x v="1465"/>
    <x v="1"/>
  </r>
  <r>
    <x v="89"/>
    <x v="1"/>
    <x v="76"/>
    <x v="3"/>
    <x v="431"/>
    <x v="4"/>
    <x v="0"/>
    <x v="2"/>
    <x v="21"/>
    <x v="4"/>
    <x v="1466"/>
    <x v="1"/>
  </r>
  <r>
    <x v="89"/>
    <x v="12"/>
    <x v="446"/>
    <x v="0"/>
    <x v="17"/>
    <x v="4"/>
    <x v="0"/>
    <x v="0"/>
    <x v="42"/>
    <x v="5"/>
    <x v="1467"/>
    <x v="1"/>
  </r>
  <r>
    <x v="89"/>
    <x v="19"/>
    <x v="811"/>
    <x v="0"/>
    <x v="474"/>
    <x v="4"/>
    <x v="0"/>
    <x v="0"/>
    <x v="31"/>
    <x v="3"/>
    <x v="1468"/>
    <x v="1"/>
  </r>
  <r>
    <x v="89"/>
    <x v="32"/>
    <x v="1044"/>
    <x v="3"/>
    <x v="422"/>
    <x v="4"/>
    <x v="2"/>
    <x v="4"/>
    <x v="221"/>
    <x v="10"/>
    <x v="1469"/>
    <x v="1"/>
  </r>
  <r>
    <x v="89"/>
    <x v="32"/>
    <x v="548"/>
    <x v="2"/>
    <x v="422"/>
    <x v="4"/>
    <x v="2"/>
    <x v="4"/>
    <x v="221"/>
    <x v="10"/>
    <x v="1470"/>
    <x v="1"/>
  </r>
  <r>
    <x v="89"/>
    <x v="32"/>
    <x v="512"/>
    <x v="6"/>
    <x v="422"/>
    <x v="4"/>
    <x v="2"/>
    <x v="4"/>
    <x v="221"/>
    <x v="10"/>
    <x v="1471"/>
    <x v="1"/>
  </r>
  <r>
    <x v="89"/>
    <x v="32"/>
    <x v="1614"/>
    <x v="7"/>
    <x v="422"/>
    <x v="4"/>
    <x v="2"/>
    <x v="4"/>
    <x v="221"/>
    <x v="10"/>
    <x v="1472"/>
    <x v="1"/>
  </r>
  <r>
    <x v="89"/>
    <x v="32"/>
    <x v="1362"/>
    <x v="5"/>
    <x v="533"/>
    <x v="4"/>
    <x v="2"/>
    <x v="4"/>
    <x v="221"/>
    <x v="10"/>
    <x v="1473"/>
    <x v="1"/>
  </r>
  <r>
    <x v="89"/>
    <x v="23"/>
    <x v="26"/>
    <x v="3"/>
    <x v="285"/>
    <x v="4"/>
    <x v="0"/>
    <x v="2"/>
    <x v="21"/>
    <x v="6"/>
    <x v="1474"/>
    <x v="1"/>
  </r>
  <r>
    <x v="89"/>
    <x v="37"/>
    <x v="65"/>
    <x v="1"/>
    <x v="524"/>
    <x v="4"/>
    <x v="0"/>
    <x v="1"/>
    <x v="21"/>
    <x v="12"/>
    <x v="1475"/>
    <x v="1"/>
  </r>
  <r>
    <x v="89"/>
    <x v="38"/>
    <x v="19"/>
    <x v="3"/>
    <x v="444"/>
    <x v="4"/>
    <x v="0"/>
    <x v="1"/>
    <x v="21"/>
    <x v="5"/>
    <x v="1476"/>
    <x v="1"/>
  </r>
  <r>
    <x v="89"/>
    <x v="38"/>
    <x v="215"/>
    <x v="0"/>
    <x v="500"/>
    <x v="4"/>
    <x v="0"/>
    <x v="0"/>
    <x v="42"/>
    <x v="5"/>
    <x v="1477"/>
    <x v="1"/>
  </r>
  <r>
    <x v="90"/>
    <x v="38"/>
    <x v="78"/>
    <x v="0"/>
    <x v="500"/>
    <x v="4"/>
    <x v="0"/>
    <x v="0"/>
    <x v="42"/>
    <x v="5"/>
    <x v="1478"/>
    <x v="1"/>
  </r>
  <r>
    <x v="90"/>
    <x v="12"/>
    <x v="330"/>
    <x v="0"/>
    <x v="17"/>
    <x v="4"/>
    <x v="0"/>
    <x v="0"/>
    <x v="42"/>
    <x v="5"/>
    <x v="1479"/>
    <x v="1"/>
  </r>
  <r>
    <x v="90"/>
    <x v="9"/>
    <x v="575"/>
    <x v="0"/>
    <x v="229"/>
    <x v="4"/>
    <x v="0"/>
    <x v="0"/>
    <x v="26"/>
    <x v="5"/>
    <x v="1480"/>
    <x v="1"/>
  </r>
  <r>
    <x v="90"/>
    <x v="8"/>
    <x v="449"/>
    <x v="0"/>
    <x v="241"/>
    <x v="4"/>
    <x v="0"/>
    <x v="0"/>
    <x v="39"/>
    <x v="5"/>
    <x v="1481"/>
    <x v="1"/>
  </r>
  <r>
    <x v="90"/>
    <x v="20"/>
    <x v="150"/>
    <x v="0"/>
    <x v="61"/>
    <x v="4"/>
    <x v="0"/>
    <x v="0"/>
    <x v="27"/>
    <x v="5"/>
    <x v="1482"/>
    <x v="1"/>
  </r>
  <r>
    <x v="90"/>
    <x v="1"/>
    <x v="158"/>
    <x v="3"/>
    <x v="431"/>
    <x v="4"/>
    <x v="0"/>
    <x v="2"/>
    <x v="22"/>
    <x v="4"/>
    <x v="1483"/>
    <x v="1"/>
  </r>
  <r>
    <x v="90"/>
    <x v="0"/>
    <x v="518"/>
    <x v="1"/>
    <x v="279"/>
    <x v="4"/>
    <x v="0"/>
    <x v="1"/>
    <x v="22"/>
    <x v="9"/>
    <x v="1484"/>
    <x v="1"/>
  </r>
  <r>
    <x v="90"/>
    <x v="3"/>
    <x v="857"/>
    <x v="1"/>
    <x v="153"/>
    <x v="4"/>
    <x v="0"/>
    <x v="1"/>
    <x v="22"/>
    <x v="4"/>
    <x v="1485"/>
    <x v="1"/>
  </r>
  <r>
    <x v="90"/>
    <x v="38"/>
    <x v="19"/>
    <x v="3"/>
    <x v="444"/>
    <x v="4"/>
    <x v="0"/>
    <x v="2"/>
    <x v="22"/>
    <x v="5"/>
    <x v="1486"/>
    <x v="1"/>
  </r>
  <r>
    <x v="90"/>
    <x v="0"/>
    <x v="268"/>
    <x v="0"/>
    <x v="268"/>
    <x v="4"/>
    <x v="0"/>
    <x v="0"/>
    <x v="22"/>
    <x v="9"/>
    <x v="1487"/>
    <x v="1"/>
  </r>
  <r>
    <x v="90"/>
    <x v="28"/>
    <x v="201"/>
    <x v="1"/>
    <x v="175"/>
    <x v="4"/>
    <x v="0"/>
    <x v="1"/>
    <x v="22"/>
    <x v="0"/>
    <x v="1488"/>
    <x v="1"/>
  </r>
  <r>
    <x v="90"/>
    <x v="31"/>
    <x v="420"/>
    <x v="1"/>
    <x v="372"/>
    <x v="4"/>
    <x v="0"/>
    <x v="1"/>
    <x v="22"/>
    <x v="8"/>
    <x v="1489"/>
    <x v="1"/>
  </r>
  <r>
    <x v="90"/>
    <x v="37"/>
    <x v="80"/>
    <x v="1"/>
    <x v="523"/>
    <x v="4"/>
    <x v="0"/>
    <x v="1"/>
    <x v="22"/>
    <x v="12"/>
    <x v="1490"/>
    <x v="1"/>
  </r>
  <r>
    <x v="90"/>
    <x v="32"/>
    <x v="1035"/>
    <x v="3"/>
    <x v="422"/>
    <x v="4"/>
    <x v="2"/>
    <x v="4"/>
    <x v="221"/>
    <x v="10"/>
    <x v="1491"/>
    <x v="1"/>
  </r>
  <r>
    <x v="90"/>
    <x v="32"/>
    <x v="488"/>
    <x v="2"/>
    <x v="422"/>
    <x v="4"/>
    <x v="2"/>
    <x v="4"/>
    <x v="221"/>
    <x v="10"/>
    <x v="1492"/>
    <x v="1"/>
  </r>
  <r>
    <x v="90"/>
    <x v="32"/>
    <x v="271"/>
    <x v="6"/>
    <x v="422"/>
    <x v="4"/>
    <x v="2"/>
    <x v="4"/>
    <x v="221"/>
    <x v="10"/>
    <x v="1493"/>
    <x v="1"/>
  </r>
  <r>
    <x v="90"/>
    <x v="32"/>
    <x v="1730"/>
    <x v="7"/>
    <x v="422"/>
    <x v="4"/>
    <x v="2"/>
    <x v="4"/>
    <x v="221"/>
    <x v="10"/>
    <x v="1494"/>
    <x v="1"/>
  </r>
  <r>
    <x v="90"/>
    <x v="32"/>
    <x v="595"/>
    <x v="5"/>
    <x v="533"/>
    <x v="4"/>
    <x v="2"/>
    <x v="4"/>
    <x v="221"/>
    <x v="10"/>
    <x v="1495"/>
    <x v="1"/>
  </r>
  <r>
    <x v="90"/>
    <x v="23"/>
    <x v="5"/>
    <x v="3"/>
    <x v="285"/>
    <x v="4"/>
    <x v="0"/>
    <x v="2"/>
    <x v="22"/>
    <x v="6"/>
    <x v="1496"/>
    <x v="1"/>
  </r>
  <r>
    <x v="91"/>
    <x v="12"/>
    <x v="220"/>
    <x v="0"/>
    <x v="17"/>
    <x v="4"/>
    <x v="0"/>
    <x v="0"/>
    <x v="42"/>
    <x v="5"/>
    <x v="1497"/>
    <x v="1"/>
  </r>
  <r>
    <x v="91"/>
    <x v="9"/>
    <x v="928"/>
    <x v="0"/>
    <x v="229"/>
    <x v="4"/>
    <x v="0"/>
    <x v="0"/>
    <x v="26"/>
    <x v="5"/>
    <x v="1498"/>
    <x v="1"/>
  </r>
  <r>
    <x v="91"/>
    <x v="20"/>
    <x v="477"/>
    <x v="0"/>
    <x v="61"/>
    <x v="4"/>
    <x v="0"/>
    <x v="0"/>
    <x v="27"/>
    <x v="5"/>
    <x v="1499"/>
    <x v="1"/>
  </r>
  <r>
    <x v="91"/>
    <x v="27"/>
    <x v="709"/>
    <x v="1"/>
    <x v="5"/>
    <x v="4"/>
    <x v="0"/>
    <x v="1"/>
    <x v="23"/>
    <x v="5"/>
    <x v="1500"/>
    <x v="1"/>
  </r>
  <r>
    <x v="91"/>
    <x v="1"/>
    <x v="48"/>
    <x v="3"/>
    <x v="431"/>
    <x v="4"/>
    <x v="0"/>
    <x v="2"/>
    <x v="23"/>
    <x v="4"/>
    <x v="1501"/>
    <x v="1"/>
  </r>
  <r>
    <x v="91"/>
    <x v="38"/>
    <x v="96"/>
    <x v="0"/>
    <x v="500"/>
    <x v="4"/>
    <x v="0"/>
    <x v="0"/>
    <x v="42"/>
    <x v="5"/>
    <x v="1502"/>
    <x v="1"/>
  </r>
  <r>
    <x v="91"/>
    <x v="32"/>
    <x v="688"/>
    <x v="3"/>
    <x v="422"/>
    <x v="4"/>
    <x v="2"/>
    <x v="4"/>
    <x v="221"/>
    <x v="10"/>
    <x v="1503"/>
    <x v="1"/>
  </r>
  <r>
    <x v="91"/>
    <x v="32"/>
    <x v="90"/>
    <x v="2"/>
    <x v="422"/>
    <x v="4"/>
    <x v="2"/>
    <x v="4"/>
    <x v="221"/>
    <x v="10"/>
    <x v="1504"/>
    <x v="1"/>
  </r>
  <r>
    <x v="91"/>
    <x v="32"/>
    <x v="1682"/>
    <x v="7"/>
    <x v="422"/>
    <x v="4"/>
    <x v="2"/>
    <x v="4"/>
    <x v="221"/>
    <x v="10"/>
    <x v="1505"/>
    <x v="1"/>
  </r>
  <r>
    <x v="91"/>
    <x v="32"/>
    <x v="388"/>
    <x v="5"/>
    <x v="533"/>
    <x v="4"/>
    <x v="2"/>
    <x v="4"/>
    <x v="221"/>
    <x v="10"/>
    <x v="1506"/>
    <x v="1"/>
  </r>
  <r>
    <x v="91"/>
    <x v="37"/>
    <x v="65"/>
    <x v="1"/>
    <x v="523"/>
    <x v="4"/>
    <x v="0"/>
    <x v="1"/>
    <x v="23"/>
    <x v="12"/>
    <x v="1507"/>
    <x v="1"/>
  </r>
  <r>
    <x v="91"/>
    <x v="23"/>
    <x v="5"/>
    <x v="3"/>
    <x v="285"/>
    <x v="4"/>
    <x v="0"/>
    <x v="2"/>
    <x v="23"/>
    <x v="6"/>
    <x v="1508"/>
    <x v="1"/>
  </r>
  <r>
    <x v="91"/>
    <x v="28"/>
    <x v="191"/>
    <x v="1"/>
    <x v="175"/>
    <x v="4"/>
    <x v="0"/>
    <x v="1"/>
    <x v="23"/>
    <x v="0"/>
    <x v="1509"/>
    <x v="1"/>
  </r>
  <r>
    <x v="92"/>
    <x v="9"/>
    <x v="786"/>
    <x v="0"/>
    <x v="229"/>
    <x v="4"/>
    <x v="0"/>
    <x v="0"/>
    <x v="31"/>
    <x v="5"/>
    <x v="1510"/>
    <x v="1"/>
  </r>
  <r>
    <x v="92"/>
    <x v="1"/>
    <x v="76"/>
    <x v="3"/>
    <x v="431"/>
    <x v="4"/>
    <x v="0"/>
    <x v="2"/>
    <x v="24"/>
    <x v="4"/>
    <x v="1511"/>
    <x v="1"/>
  </r>
  <r>
    <x v="92"/>
    <x v="8"/>
    <x v="779"/>
    <x v="0"/>
    <x v="241"/>
    <x v="4"/>
    <x v="0"/>
    <x v="0"/>
    <x v="39"/>
    <x v="5"/>
    <x v="1512"/>
    <x v="1"/>
  </r>
  <r>
    <x v="92"/>
    <x v="12"/>
    <x v="151"/>
    <x v="0"/>
    <x v="17"/>
    <x v="4"/>
    <x v="0"/>
    <x v="0"/>
    <x v="42"/>
    <x v="5"/>
    <x v="1513"/>
    <x v="1"/>
  </r>
  <r>
    <x v="92"/>
    <x v="20"/>
    <x v="124"/>
    <x v="0"/>
    <x v="61"/>
    <x v="4"/>
    <x v="0"/>
    <x v="0"/>
    <x v="27"/>
    <x v="5"/>
    <x v="1514"/>
    <x v="1"/>
  </r>
  <r>
    <x v="92"/>
    <x v="20"/>
    <x v="1420"/>
    <x v="0"/>
    <x v="98"/>
    <x v="4"/>
    <x v="0"/>
    <x v="0"/>
    <x v="24"/>
    <x v="5"/>
    <x v="1515"/>
    <x v="1"/>
  </r>
  <r>
    <x v="92"/>
    <x v="12"/>
    <x v="329"/>
    <x v="1"/>
    <x v="398"/>
    <x v="4"/>
    <x v="0"/>
    <x v="1"/>
    <x v="24"/>
    <x v="5"/>
    <x v="1516"/>
    <x v="1"/>
  </r>
  <r>
    <x v="92"/>
    <x v="38"/>
    <x v="187"/>
    <x v="0"/>
    <x v="500"/>
    <x v="4"/>
    <x v="0"/>
    <x v="0"/>
    <x v="42"/>
    <x v="5"/>
    <x v="1517"/>
    <x v="1"/>
  </r>
  <r>
    <x v="92"/>
    <x v="15"/>
    <x v="360"/>
    <x v="3"/>
    <x v="353"/>
    <x v="4"/>
    <x v="0"/>
    <x v="2"/>
    <x v="24"/>
    <x v="4"/>
    <x v="1518"/>
    <x v="1"/>
  </r>
  <r>
    <x v="92"/>
    <x v="32"/>
    <x v="1202"/>
    <x v="3"/>
    <x v="422"/>
    <x v="4"/>
    <x v="2"/>
    <x v="4"/>
    <x v="221"/>
    <x v="10"/>
    <x v="1519"/>
    <x v="1"/>
  </r>
  <r>
    <x v="92"/>
    <x v="32"/>
    <x v="557"/>
    <x v="2"/>
    <x v="422"/>
    <x v="4"/>
    <x v="2"/>
    <x v="4"/>
    <x v="221"/>
    <x v="10"/>
    <x v="1520"/>
    <x v="1"/>
  </r>
  <r>
    <x v="92"/>
    <x v="32"/>
    <x v="951"/>
    <x v="6"/>
    <x v="422"/>
    <x v="4"/>
    <x v="2"/>
    <x v="4"/>
    <x v="221"/>
    <x v="10"/>
    <x v="1521"/>
    <x v="1"/>
  </r>
  <r>
    <x v="92"/>
    <x v="32"/>
    <x v="1920"/>
    <x v="7"/>
    <x v="422"/>
    <x v="4"/>
    <x v="2"/>
    <x v="4"/>
    <x v="221"/>
    <x v="10"/>
    <x v="1522"/>
    <x v="1"/>
  </r>
  <r>
    <x v="92"/>
    <x v="32"/>
    <x v="1485"/>
    <x v="5"/>
    <x v="533"/>
    <x v="4"/>
    <x v="2"/>
    <x v="4"/>
    <x v="221"/>
    <x v="10"/>
    <x v="1523"/>
    <x v="1"/>
  </r>
  <r>
    <x v="92"/>
    <x v="37"/>
    <x v="60"/>
    <x v="1"/>
    <x v="523"/>
    <x v="4"/>
    <x v="0"/>
    <x v="1"/>
    <x v="24"/>
    <x v="12"/>
    <x v="1524"/>
    <x v="1"/>
  </r>
  <r>
    <x v="92"/>
    <x v="23"/>
    <x v="5"/>
    <x v="3"/>
    <x v="285"/>
    <x v="4"/>
    <x v="0"/>
    <x v="2"/>
    <x v="24"/>
    <x v="6"/>
    <x v="1525"/>
    <x v="1"/>
  </r>
  <r>
    <x v="92"/>
    <x v="26"/>
    <x v="90"/>
    <x v="1"/>
    <x v="346"/>
    <x v="4"/>
    <x v="0"/>
    <x v="1"/>
    <x v="24"/>
    <x v="5"/>
    <x v="1526"/>
    <x v="1"/>
  </r>
  <r>
    <x v="93"/>
    <x v="1"/>
    <x v="90"/>
    <x v="3"/>
    <x v="431"/>
    <x v="4"/>
    <x v="0"/>
    <x v="2"/>
    <x v="25"/>
    <x v="4"/>
    <x v="1527"/>
    <x v="1"/>
  </r>
  <r>
    <x v="93"/>
    <x v="9"/>
    <x v="1573"/>
    <x v="0"/>
    <x v="229"/>
    <x v="4"/>
    <x v="0"/>
    <x v="0"/>
    <x v="31"/>
    <x v="5"/>
    <x v="1528"/>
    <x v="1"/>
  </r>
  <r>
    <x v="93"/>
    <x v="20"/>
    <x v="1453"/>
    <x v="0"/>
    <x v="61"/>
    <x v="4"/>
    <x v="0"/>
    <x v="0"/>
    <x v="31"/>
    <x v="5"/>
    <x v="1529"/>
    <x v="1"/>
  </r>
  <r>
    <x v="93"/>
    <x v="3"/>
    <x v="869"/>
    <x v="1"/>
    <x v="579"/>
    <x v="4"/>
    <x v="0"/>
    <x v="1"/>
    <x v="25"/>
    <x v="4"/>
    <x v="1530"/>
    <x v="1"/>
  </r>
  <r>
    <x v="93"/>
    <x v="13"/>
    <x v="1361"/>
    <x v="0"/>
    <x v="32"/>
    <x v="4"/>
    <x v="0"/>
    <x v="0"/>
    <x v="46"/>
    <x v="5"/>
    <x v="1531"/>
    <x v="1"/>
  </r>
  <r>
    <x v="93"/>
    <x v="19"/>
    <x v="811"/>
    <x v="0"/>
    <x v="474"/>
    <x v="4"/>
    <x v="0"/>
    <x v="0"/>
    <x v="31"/>
    <x v="3"/>
    <x v="1532"/>
    <x v="1"/>
  </r>
  <r>
    <x v="93"/>
    <x v="38"/>
    <x v="300"/>
    <x v="0"/>
    <x v="500"/>
    <x v="4"/>
    <x v="0"/>
    <x v="0"/>
    <x v="42"/>
    <x v="5"/>
    <x v="1533"/>
    <x v="1"/>
  </r>
  <r>
    <x v="93"/>
    <x v="12"/>
    <x v="824"/>
    <x v="0"/>
    <x v="17"/>
    <x v="4"/>
    <x v="0"/>
    <x v="0"/>
    <x v="42"/>
    <x v="5"/>
    <x v="1534"/>
    <x v="1"/>
  </r>
  <r>
    <x v="93"/>
    <x v="12"/>
    <x v="38"/>
    <x v="1"/>
    <x v="106"/>
    <x v="4"/>
    <x v="0"/>
    <x v="1"/>
    <x v="25"/>
    <x v="5"/>
    <x v="1535"/>
    <x v="1"/>
  </r>
  <r>
    <x v="93"/>
    <x v="32"/>
    <x v="1310"/>
    <x v="3"/>
    <x v="422"/>
    <x v="4"/>
    <x v="2"/>
    <x v="4"/>
    <x v="221"/>
    <x v="10"/>
    <x v="1536"/>
    <x v="1"/>
  </r>
  <r>
    <x v="93"/>
    <x v="32"/>
    <x v="953"/>
    <x v="2"/>
    <x v="422"/>
    <x v="4"/>
    <x v="2"/>
    <x v="4"/>
    <x v="221"/>
    <x v="10"/>
    <x v="1537"/>
    <x v="1"/>
  </r>
  <r>
    <x v="93"/>
    <x v="32"/>
    <x v="100"/>
    <x v="6"/>
    <x v="422"/>
    <x v="4"/>
    <x v="2"/>
    <x v="4"/>
    <x v="221"/>
    <x v="10"/>
    <x v="1538"/>
    <x v="1"/>
  </r>
  <r>
    <x v="93"/>
    <x v="32"/>
    <x v="1873"/>
    <x v="7"/>
    <x v="422"/>
    <x v="4"/>
    <x v="2"/>
    <x v="4"/>
    <x v="221"/>
    <x v="10"/>
    <x v="1539"/>
    <x v="1"/>
  </r>
  <r>
    <x v="93"/>
    <x v="32"/>
    <x v="511"/>
    <x v="5"/>
    <x v="533"/>
    <x v="4"/>
    <x v="2"/>
    <x v="4"/>
    <x v="221"/>
    <x v="10"/>
    <x v="1540"/>
    <x v="1"/>
  </r>
  <r>
    <x v="93"/>
    <x v="37"/>
    <x v="72"/>
    <x v="1"/>
    <x v="523"/>
    <x v="4"/>
    <x v="0"/>
    <x v="1"/>
    <x v="25"/>
    <x v="12"/>
    <x v="1541"/>
    <x v="1"/>
  </r>
  <r>
    <x v="93"/>
    <x v="31"/>
    <x v="318"/>
    <x v="1"/>
    <x v="373"/>
    <x v="4"/>
    <x v="0"/>
    <x v="1"/>
    <x v="25"/>
    <x v="8"/>
    <x v="1542"/>
    <x v="1"/>
  </r>
  <r>
    <x v="94"/>
    <x v="9"/>
    <x v="1422"/>
    <x v="0"/>
    <x v="229"/>
    <x v="4"/>
    <x v="0"/>
    <x v="0"/>
    <x v="31"/>
    <x v="5"/>
    <x v="1543"/>
    <x v="1"/>
  </r>
  <r>
    <x v="94"/>
    <x v="12"/>
    <x v="593"/>
    <x v="0"/>
    <x v="17"/>
    <x v="4"/>
    <x v="0"/>
    <x v="0"/>
    <x v="42"/>
    <x v="5"/>
    <x v="1544"/>
    <x v="1"/>
  </r>
  <r>
    <x v="94"/>
    <x v="20"/>
    <x v="817"/>
    <x v="0"/>
    <x v="61"/>
    <x v="4"/>
    <x v="0"/>
    <x v="0"/>
    <x v="31"/>
    <x v="5"/>
    <x v="1545"/>
    <x v="1"/>
  </r>
  <r>
    <x v="94"/>
    <x v="20"/>
    <x v="49"/>
    <x v="3"/>
    <x v="381"/>
    <x v="4"/>
    <x v="0"/>
    <x v="2"/>
    <x v="26"/>
    <x v="5"/>
    <x v="1546"/>
    <x v="1"/>
  </r>
  <r>
    <x v="94"/>
    <x v="1"/>
    <x v="76"/>
    <x v="3"/>
    <x v="431"/>
    <x v="4"/>
    <x v="0"/>
    <x v="2"/>
    <x v="26"/>
    <x v="4"/>
    <x v="1547"/>
    <x v="1"/>
  </r>
  <r>
    <x v="94"/>
    <x v="38"/>
    <x v="12"/>
    <x v="3"/>
    <x v="444"/>
    <x v="4"/>
    <x v="0"/>
    <x v="2"/>
    <x v="221"/>
    <x v="5"/>
    <x v="1548"/>
    <x v="1"/>
  </r>
  <r>
    <x v="94"/>
    <x v="38"/>
    <x v="356"/>
    <x v="0"/>
    <x v="500"/>
    <x v="4"/>
    <x v="0"/>
    <x v="0"/>
    <x v="42"/>
    <x v="5"/>
    <x v="1549"/>
    <x v="1"/>
  </r>
  <r>
    <x v="94"/>
    <x v="32"/>
    <x v="1254"/>
    <x v="3"/>
    <x v="422"/>
    <x v="4"/>
    <x v="2"/>
    <x v="4"/>
    <x v="221"/>
    <x v="10"/>
    <x v="1550"/>
    <x v="1"/>
  </r>
  <r>
    <x v="94"/>
    <x v="32"/>
    <x v="749"/>
    <x v="2"/>
    <x v="422"/>
    <x v="4"/>
    <x v="2"/>
    <x v="4"/>
    <x v="221"/>
    <x v="10"/>
    <x v="1551"/>
    <x v="1"/>
  </r>
  <r>
    <x v="94"/>
    <x v="32"/>
    <x v="283"/>
    <x v="6"/>
    <x v="422"/>
    <x v="4"/>
    <x v="2"/>
    <x v="4"/>
    <x v="221"/>
    <x v="10"/>
    <x v="1552"/>
    <x v="1"/>
  </r>
  <r>
    <x v="94"/>
    <x v="32"/>
    <x v="1803"/>
    <x v="7"/>
    <x v="422"/>
    <x v="4"/>
    <x v="2"/>
    <x v="4"/>
    <x v="221"/>
    <x v="10"/>
    <x v="1553"/>
    <x v="1"/>
  </r>
  <r>
    <x v="94"/>
    <x v="32"/>
    <x v="1520"/>
    <x v="5"/>
    <x v="533"/>
    <x v="4"/>
    <x v="2"/>
    <x v="4"/>
    <x v="221"/>
    <x v="10"/>
    <x v="1554"/>
    <x v="1"/>
  </r>
  <r>
    <x v="94"/>
    <x v="19"/>
    <x v="811"/>
    <x v="0"/>
    <x v="474"/>
    <x v="4"/>
    <x v="0"/>
    <x v="0"/>
    <x v="31"/>
    <x v="3"/>
    <x v="1555"/>
    <x v="1"/>
  </r>
  <r>
    <x v="94"/>
    <x v="12"/>
    <x v="287"/>
    <x v="1"/>
    <x v="510"/>
    <x v="4"/>
    <x v="0"/>
    <x v="1"/>
    <x v="26"/>
    <x v="5"/>
    <x v="1556"/>
    <x v="1"/>
  </r>
  <r>
    <x v="94"/>
    <x v="37"/>
    <x v="65"/>
    <x v="1"/>
    <x v="523"/>
    <x v="4"/>
    <x v="0"/>
    <x v="1"/>
    <x v="26"/>
    <x v="12"/>
    <x v="1557"/>
    <x v="1"/>
  </r>
  <r>
    <x v="95"/>
    <x v="9"/>
    <x v="1070"/>
    <x v="0"/>
    <x v="229"/>
    <x v="4"/>
    <x v="0"/>
    <x v="0"/>
    <x v="31"/>
    <x v="5"/>
    <x v="1558"/>
    <x v="1"/>
  </r>
  <r>
    <x v="95"/>
    <x v="12"/>
    <x v="669"/>
    <x v="0"/>
    <x v="17"/>
    <x v="4"/>
    <x v="0"/>
    <x v="0"/>
    <x v="42"/>
    <x v="5"/>
    <x v="1559"/>
    <x v="1"/>
  </r>
  <r>
    <x v="95"/>
    <x v="8"/>
    <x v="779"/>
    <x v="0"/>
    <x v="241"/>
    <x v="4"/>
    <x v="0"/>
    <x v="0"/>
    <x v="39"/>
    <x v="5"/>
    <x v="1560"/>
    <x v="1"/>
  </r>
  <r>
    <x v="95"/>
    <x v="38"/>
    <x v="217"/>
    <x v="0"/>
    <x v="500"/>
    <x v="4"/>
    <x v="0"/>
    <x v="0"/>
    <x v="42"/>
    <x v="5"/>
    <x v="1561"/>
    <x v="1"/>
  </r>
  <r>
    <x v="95"/>
    <x v="20"/>
    <x v="1511"/>
    <x v="0"/>
    <x v="61"/>
    <x v="4"/>
    <x v="0"/>
    <x v="0"/>
    <x v="31"/>
    <x v="5"/>
    <x v="1562"/>
    <x v="1"/>
  </r>
  <r>
    <x v="95"/>
    <x v="1"/>
    <x v="48"/>
    <x v="3"/>
    <x v="431"/>
    <x v="4"/>
    <x v="0"/>
    <x v="2"/>
    <x v="27"/>
    <x v="4"/>
    <x v="1563"/>
    <x v="1"/>
  </r>
  <r>
    <x v="95"/>
    <x v="38"/>
    <x v="444"/>
    <x v="1"/>
    <x v="390"/>
    <x v="4"/>
    <x v="0"/>
    <x v="1"/>
    <x v="27"/>
    <x v="5"/>
    <x v="1564"/>
    <x v="1"/>
  </r>
  <r>
    <x v="95"/>
    <x v="19"/>
    <x v="811"/>
    <x v="0"/>
    <x v="474"/>
    <x v="4"/>
    <x v="0"/>
    <x v="0"/>
    <x v="31"/>
    <x v="3"/>
    <x v="1565"/>
    <x v="1"/>
  </r>
  <r>
    <x v="95"/>
    <x v="32"/>
    <x v="1522"/>
    <x v="3"/>
    <x v="422"/>
    <x v="4"/>
    <x v="2"/>
    <x v="4"/>
    <x v="221"/>
    <x v="10"/>
    <x v="1566"/>
    <x v="1"/>
  </r>
  <r>
    <x v="95"/>
    <x v="32"/>
    <x v="158"/>
    <x v="6"/>
    <x v="422"/>
    <x v="4"/>
    <x v="2"/>
    <x v="4"/>
    <x v="221"/>
    <x v="10"/>
    <x v="1567"/>
    <x v="1"/>
  </r>
  <r>
    <x v="95"/>
    <x v="32"/>
    <x v="1780"/>
    <x v="7"/>
    <x v="422"/>
    <x v="4"/>
    <x v="2"/>
    <x v="4"/>
    <x v="221"/>
    <x v="10"/>
    <x v="1568"/>
    <x v="1"/>
  </r>
  <r>
    <x v="95"/>
    <x v="32"/>
    <x v="712"/>
    <x v="5"/>
    <x v="533"/>
    <x v="4"/>
    <x v="2"/>
    <x v="4"/>
    <x v="221"/>
    <x v="10"/>
    <x v="1569"/>
    <x v="1"/>
  </r>
  <r>
    <x v="95"/>
    <x v="23"/>
    <x v="9"/>
    <x v="3"/>
    <x v="285"/>
    <x v="4"/>
    <x v="0"/>
    <x v="2"/>
    <x v="27"/>
    <x v="6"/>
    <x v="1570"/>
    <x v="1"/>
  </r>
  <r>
    <x v="95"/>
    <x v="37"/>
    <x v="53"/>
    <x v="1"/>
    <x v="523"/>
    <x v="4"/>
    <x v="0"/>
    <x v="1"/>
    <x v="27"/>
    <x v="12"/>
    <x v="1571"/>
    <x v="1"/>
  </r>
  <r>
    <x v="96"/>
    <x v="12"/>
    <x v="415"/>
    <x v="0"/>
    <x v="17"/>
    <x v="4"/>
    <x v="0"/>
    <x v="0"/>
    <x v="42"/>
    <x v="5"/>
    <x v="1572"/>
    <x v="1"/>
  </r>
  <r>
    <x v="96"/>
    <x v="20"/>
    <x v="720"/>
    <x v="0"/>
    <x v="61"/>
    <x v="4"/>
    <x v="0"/>
    <x v="0"/>
    <x v="31"/>
    <x v="5"/>
    <x v="1573"/>
    <x v="1"/>
  </r>
  <r>
    <x v="96"/>
    <x v="20"/>
    <x v="271"/>
    <x v="1"/>
    <x v="253"/>
    <x v="4"/>
    <x v="0"/>
    <x v="1"/>
    <x v="28"/>
    <x v="5"/>
    <x v="1574"/>
    <x v="1"/>
  </r>
  <r>
    <x v="96"/>
    <x v="38"/>
    <x v="144"/>
    <x v="0"/>
    <x v="500"/>
    <x v="4"/>
    <x v="0"/>
    <x v="0"/>
    <x v="42"/>
    <x v="5"/>
    <x v="1575"/>
    <x v="1"/>
  </r>
  <r>
    <x v="96"/>
    <x v="9"/>
    <x v="1197"/>
    <x v="0"/>
    <x v="229"/>
    <x v="4"/>
    <x v="0"/>
    <x v="0"/>
    <x v="31"/>
    <x v="5"/>
    <x v="1576"/>
    <x v="1"/>
  </r>
  <r>
    <x v="96"/>
    <x v="1"/>
    <x v="60"/>
    <x v="3"/>
    <x v="431"/>
    <x v="4"/>
    <x v="0"/>
    <x v="2"/>
    <x v="28"/>
    <x v="4"/>
    <x v="1577"/>
    <x v="1"/>
  </r>
  <r>
    <x v="96"/>
    <x v="12"/>
    <x v="158"/>
    <x v="1"/>
    <x v="406"/>
    <x v="4"/>
    <x v="0"/>
    <x v="1"/>
    <x v="28"/>
    <x v="5"/>
    <x v="1578"/>
    <x v="1"/>
  </r>
  <r>
    <x v="96"/>
    <x v="32"/>
    <x v="1478"/>
    <x v="3"/>
    <x v="422"/>
    <x v="4"/>
    <x v="2"/>
    <x v="4"/>
    <x v="221"/>
    <x v="10"/>
    <x v="1579"/>
    <x v="1"/>
  </r>
  <r>
    <x v="96"/>
    <x v="32"/>
    <x v="68"/>
    <x v="2"/>
    <x v="422"/>
    <x v="4"/>
    <x v="2"/>
    <x v="4"/>
    <x v="221"/>
    <x v="10"/>
    <x v="1580"/>
    <x v="1"/>
  </r>
  <r>
    <x v="96"/>
    <x v="32"/>
    <x v="65"/>
    <x v="6"/>
    <x v="422"/>
    <x v="4"/>
    <x v="2"/>
    <x v="4"/>
    <x v="221"/>
    <x v="10"/>
    <x v="1581"/>
    <x v="1"/>
  </r>
  <r>
    <x v="96"/>
    <x v="32"/>
    <x v="1743"/>
    <x v="7"/>
    <x v="422"/>
    <x v="4"/>
    <x v="2"/>
    <x v="4"/>
    <x v="221"/>
    <x v="10"/>
    <x v="1582"/>
    <x v="1"/>
  </r>
  <r>
    <x v="96"/>
    <x v="32"/>
    <x v="621"/>
    <x v="8"/>
    <x v="422"/>
    <x v="4"/>
    <x v="2"/>
    <x v="4"/>
    <x v="221"/>
    <x v="10"/>
    <x v="1583"/>
    <x v="1"/>
  </r>
  <r>
    <x v="96"/>
    <x v="32"/>
    <x v="665"/>
    <x v="5"/>
    <x v="533"/>
    <x v="4"/>
    <x v="2"/>
    <x v="4"/>
    <x v="221"/>
    <x v="10"/>
    <x v="1584"/>
    <x v="1"/>
  </r>
  <r>
    <x v="96"/>
    <x v="23"/>
    <x v="18"/>
    <x v="3"/>
    <x v="285"/>
    <x v="4"/>
    <x v="0"/>
    <x v="2"/>
    <x v="28"/>
    <x v="6"/>
    <x v="1585"/>
    <x v="1"/>
  </r>
  <r>
    <x v="96"/>
    <x v="37"/>
    <x v="58"/>
    <x v="1"/>
    <x v="523"/>
    <x v="4"/>
    <x v="0"/>
    <x v="2"/>
    <x v="28"/>
    <x v="12"/>
    <x v="1586"/>
    <x v="1"/>
  </r>
  <r>
    <x v="96"/>
    <x v="38"/>
    <x v="5"/>
    <x v="3"/>
    <x v="444"/>
    <x v="4"/>
    <x v="0"/>
    <x v="2"/>
    <x v="28"/>
    <x v="5"/>
    <x v="1587"/>
    <x v="1"/>
  </r>
  <r>
    <x v="97"/>
    <x v="20"/>
    <x v="383"/>
    <x v="0"/>
    <x v="61"/>
    <x v="4"/>
    <x v="0"/>
    <x v="0"/>
    <x v="34"/>
    <x v="5"/>
    <x v="1588"/>
    <x v="1"/>
  </r>
  <r>
    <x v="97"/>
    <x v="8"/>
    <x v="449"/>
    <x v="0"/>
    <x v="241"/>
    <x v="4"/>
    <x v="0"/>
    <x v="0"/>
    <x v="39"/>
    <x v="5"/>
    <x v="1589"/>
    <x v="1"/>
  </r>
  <r>
    <x v="97"/>
    <x v="9"/>
    <x v="1255"/>
    <x v="0"/>
    <x v="229"/>
    <x v="4"/>
    <x v="0"/>
    <x v="0"/>
    <x v="34"/>
    <x v="5"/>
    <x v="1590"/>
    <x v="1"/>
  </r>
  <r>
    <x v="97"/>
    <x v="3"/>
    <x v="506"/>
    <x v="1"/>
    <x v="153"/>
    <x v="4"/>
    <x v="0"/>
    <x v="1"/>
    <x v="29"/>
    <x v="4"/>
    <x v="1591"/>
    <x v="1"/>
  </r>
  <r>
    <x v="97"/>
    <x v="1"/>
    <x v="141"/>
    <x v="3"/>
    <x v="431"/>
    <x v="4"/>
    <x v="0"/>
    <x v="2"/>
    <x v="29"/>
    <x v="4"/>
    <x v="1592"/>
    <x v="1"/>
  </r>
  <r>
    <x v="97"/>
    <x v="38"/>
    <x v="205"/>
    <x v="0"/>
    <x v="500"/>
    <x v="4"/>
    <x v="0"/>
    <x v="0"/>
    <x v="42"/>
    <x v="5"/>
    <x v="1593"/>
    <x v="1"/>
  </r>
  <r>
    <x v="97"/>
    <x v="19"/>
    <x v="811"/>
    <x v="0"/>
    <x v="474"/>
    <x v="4"/>
    <x v="0"/>
    <x v="0"/>
    <x v="31"/>
    <x v="3"/>
    <x v="1594"/>
    <x v="1"/>
  </r>
  <r>
    <x v="97"/>
    <x v="32"/>
    <x v="1182"/>
    <x v="3"/>
    <x v="422"/>
    <x v="4"/>
    <x v="2"/>
    <x v="4"/>
    <x v="221"/>
    <x v="10"/>
    <x v="1595"/>
    <x v="1"/>
  </r>
  <r>
    <x v="97"/>
    <x v="32"/>
    <x v="1833"/>
    <x v="7"/>
    <x v="422"/>
    <x v="4"/>
    <x v="2"/>
    <x v="4"/>
    <x v="221"/>
    <x v="10"/>
    <x v="1596"/>
    <x v="1"/>
  </r>
  <r>
    <x v="97"/>
    <x v="32"/>
    <x v="431"/>
    <x v="8"/>
    <x v="422"/>
    <x v="4"/>
    <x v="2"/>
    <x v="4"/>
    <x v="221"/>
    <x v="10"/>
    <x v="1597"/>
    <x v="1"/>
  </r>
  <r>
    <x v="97"/>
    <x v="32"/>
    <x v="1411"/>
    <x v="5"/>
    <x v="533"/>
    <x v="4"/>
    <x v="2"/>
    <x v="4"/>
    <x v="221"/>
    <x v="10"/>
    <x v="1598"/>
    <x v="1"/>
  </r>
  <r>
    <x v="97"/>
    <x v="12"/>
    <x v="415"/>
    <x v="0"/>
    <x v="17"/>
    <x v="4"/>
    <x v="0"/>
    <x v="0"/>
    <x v="42"/>
    <x v="5"/>
    <x v="1599"/>
    <x v="1"/>
  </r>
  <r>
    <x v="97"/>
    <x v="15"/>
    <x v="380"/>
    <x v="3"/>
    <x v="353"/>
    <x v="4"/>
    <x v="0"/>
    <x v="2"/>
    <x v="29"/>
    <x v="4"/>
    <x v="1600"/>
    <x v="1"/>
  </r>
  <r>
    <x v="97"/>
    <x v="23"/>
    <x v="9"/>
    <x v="3"/>
    <x v="285"/>
    <x v="4"/>
    <x v="0"/>
    <x v="2"/>
    <x v="29"/>
    <x v="6"/>
    <x v="1601"/>
    <x v="1"/>
  </r>
  <r>
    <x v="97"/>
    <x v="37"/>
    <x v="55"/>
    <x v="1"/>
    <x v="523"/>
    <x v="4"/>
    <x v="0"/>
    <x v="1"/>
    <x v="29"/>
    <x v="12"/>
    <x v="1602"/>
    <x v="1"/>
  </r>
  <r>
    <x v="98"/>
    <x v="12"/>
    <x v="327"/>
    <x v="0"/>
    <x v="17"/>
    <x v="5"/>
    <x v="0"/>
    <x v="0"/>
    <x v="48"/>
    <x v="5"/>
    <x v="1603"/>
    <x v="1"/>
  </r>
  <r>
    <x v="98"/>
    <x v="38"/>
    <x v="227"/>
    <x v="0"/>
    <x v="500"/>
    <x v="5"/>
    <x v="0"/>
    <x v="0"/>
    <x v="42"/>
    <x v="5"/>
    <x v="1604"/>
    <x v="1"/>
  </r>
  <r>
    <x v="98"/>
    <x v="9"/>
    <x v="1214"/>
    <x v="0"/>
    <x v="229"/>
    <x v="5"/>
    <x v="0"/>
    <x v="0"/>
    <x v="34"/>
    <x v="5"/>
    <x v="1605"/>
    <x v="1"/>
  </r>
  <r>
    <x v="98"/>
    <x v="20"/>
    <x v="1174"/>
    <x v="0"/>
    <x v="61"/>
    <x v="5"/>
    <x v="0"/>
    <x v="0"/>
    <x v="34"/>
    <x v="5"/>
    <x v="1606"/>
    <x v="1"/>
  </r>
  <r>
    <x v="98"/>
    <x v="20"/>
    <x v="49"/>
    <x v="3"/>
    <x v="381"/>
    <x v="5"/>
    <x v="0"/>
    <x v="2"/>
    <x v="30"/>
    <x v="5"/>
    <x v="1607"/>
    <x v="1"/>
  </r>
  <r>
    <x v="98"/>
    <x v="30"/>
    <x v="1662"/>
    <x v="1"/>
    <x v="437"/>
    <x v="5"/>
    <x v="0"/>
    <x v="1"/>
    <x v="30"/>
    <x v="3"/>
    <x v="1608"/>
    <x v="1"/>
  </r>
  <r>
    <x v="98"/>
    <x v="12"/>
    <x v="19"/>
    <x v="1"/>
    <x v="331"/>
    <x v="5"/>
    <x v="0"/>
    <x v="1"/>
    <x v="30"/>
    <x v="5"/>
    <x v="1609"/>
    <x v="1"/>
  </r>
  <r>
    <x v="98"/>
    <x v="18"/>
    <x v="719"/>
    <x v="1"/>
    <x v="215"/>
    <x v="5"/>
    <x v="0"/>
    <x v="1"/>
    <x v="30"/>
    <x v="3"/>
    <x v="1610"/>
    <x v="1"/>
  </r>
  <r>
    <x v="98"/>
    <x v="28"/>
    <x v="138"/>
    <x v="1"/>
    <x v="371"/>
    <x v="5"/>
    <x v="0"/>
    <x v="1"/>
    <x v="30"/>
    <x v="0"/>
    <x v="1611"/>
    <x v="1"/>
  </r>
  <r>
    <x v="98"/>
    <x v="28"/>
    <x v="547"/>
    <x v="1"/>
    <x v="493"/>
    <x v="5"/>
    <x v="0"/>
    <x v="1"/>
    <x v="30"/>
    <x v="0"/>
    <x v="1612"/>
    <x v="1"/>
  </r>
  <r>
    <x v="98"/>
    <x v="32"/>
    <x v="1071"/>
    <x v="3"/>
    <x v="422"/>
    <x v="5"/>
    <x v="2"/>
    <x v="4"/>
    <x v="221"/>
    <x v="10"/>
    <x v="1613"/>
    <x v="1"/>
  </r>
  <r>
    <x v="98"/>
    <x v="32"/>
    <x v="90"/>
    <x v="2"/>
    <x v="422"/>
    <x v="5"/>
    <x v="2"/>
    <x v="4"/>
    <x v="221"/>
    <x v="10"/>
    <x v="1614"/>
    <x v="1"/>
  </r>
  <r>
    <x v="98"/>
    <x v="32"/>
    <x v="45"/>
    <x v="6"/>
    <x v="422"/>
    <x v="5"/>
    <x v="2"/>
    <x v="4"/>
    <x v="221"/>
    <x v="10"/>
    <x v="1615"/>
    <x v="1"/>
  </r>
  <r>
    <x v="98"/>
    <x v="32"/>
    <x v="1934"/>
    <x v="7"/>
    <x v="422"/>
    <x v="5"/>
    <x v="2"/>
    <x v="4"/>
    <x v="221"/>
    <x v="10"/>
    <x v="1616"/>
    <x v="1"/>
  </r>
  <r>
    <x v="98"/>
    <x v="32"/>
    <x v="1290"/>
    <x v="5"/>
    <x v="533"/>
    <x v="5"/>
    <x v="2"/>
    <x v="4"/>
    <x v="221"/>
    <x v="10"/>
    <x v="1617"/>
    <x v="1"/>
  </r>
  <r>
    <x v="98"/>
    <x v="23"/>
    <x v="21"/>
    <x v="3"/>
    <x v="285"/>
    <x v="5"/>
    <x v="0"/>
    <x v="2"/>
    <x v="30"/>
    <x v="6"/>
    <x v="1618"/>
    <x v="1"/>
  </r>
  <r>
    <x v="98"/>
    <x v="37"/>
    <x v="59"/>
    <x v="1"/>
    <x v="523"/>
    <x v="5"/>
    <x v="0"/>
    <x v="1"/>
    <x v="30"/>
    <x v="12"/>
    <x v="1619"/>
    <x v="1"/>
  </r>
  <r>
    <x v="99"/>
    <x v="12"/>
    <x v="645"/>
    <x v="0"/>
    <x v="17"/>
    <x v="5"/>
    <x v="0"/>
    <x v="0"/>
    <x v="48"/>
    <x v="5"/>
    <x v="1620"/>
    <x v="1"/>
  </r>
  <r>
    <x v="99"/>
    <x v="8"/>
    <x v="449"/>
    <x v="0"/>
    <x v="241"/>
    <x v="5"/>
    <x v="0"/>
    <x v="0"/>
    <x v="39"/>
    <x v="5"/>
    <x v="1621"/>
    <x v="1"/>
  </r>
  <r>
    <x v="99"/>
    <x v="1"/>
    <x v="205"/>
    <x v="1"/>
    <x v="431"/>
    <x v="5"/>
    <x v="0"/>
    <x v="1"/>
    <x v="31"/>
    <x v="4"/>
    <x v="1622"/>
    <x v="1"/>
  </r>
  <r>
    <x v="99"/>
    <x v="27"/>
    <x v="993"/>
    <x v="1"/>
    <x v="5"/>
    <x v="5"/>
    <x v="0"/>
    <x v="1"/>
    <x v="31"/>
    <x v="5"/>
    <x v="1623"/>
    <x v="1"/>
  </r>
  <r>
    <x v="99"/>
    <x v="9"/>
    <x v="1495"/>
    <x v="0"/>
    <x v="229"/>
    <x v="5"/>
    <x v="0"/>
    <x v="0"/>
    <x v="34"/>
    <x v="5"/>
    <x v="1624"/>
    <x v="1"/>
  </r>
  <r>
    <x v="99"/>
    <x v="3"/>
    <x v="599"/>
    <x v="1"/>
    <x v="579"/>
    <x v="5"/>
    <x v="0"/>
    <x v="1"/>
    <x v="30"/>
    <x v="4"/>
    <x v="1625"/>
    <x v="1"/>
  </r>
  <r>
    <x v="99"/>
    <x v="21"/>
    <x v="530"/>
    <x v="0"/>
    <x v="163"/>
    <x v="5"/>
    <x v="0"/>
    <x v="0"/>
    <x v="31"/>
    <x v="3"/>
    <x v="1626"/>
    <x v="1"/>
  </r>
  <r>
    <x v="99"/>
    <x v="0"/>
    <x v="1707"/>
    <x v="0"/>
    <x v="449"/>
    <x v="5"/>
    <x v="0"/>
    <x v="0"/>
    <x v="31"/>
    <x v="9"/>
    <x v="1627"/>
    <x v="1"/>
  </r>
  <r>
    <x v="99"/>
    <x v="15"/>
    <x v="392"/>
    <x v="3"/>
    <x v="353"/>
    <x v="5"/>
    <x v="0"/>
    <x v="2"/>
    <x v="31"/>
    <x v="4"/>
    <x v="1628"/>
    <x v="1"/>
  </r>
  <r>
    <x v="99"/>
    <x v="38"/>
    <x v="277"/>
    <x v="0"/>
    <x v="500"/>
    <x v="5"/>
    <x v="0"/>
    <x v="0"/>
    <x v="42"/>
    <x v="5"/>
    <x v="1629"/>
    <x v="1"/>
  </r>
  <r>
    <x v="99"/>
    <x v="32"/>
    <x v="1335"/>
    <x v="3"/>
    <x v="422"/>
    <x v="5"/>
    <x v="2"/>
    <x v="4"/>
    <x v="221"/>
    <x v="10"/>
    <x v="1630"/>
    <x v="1"/>
  </r>
  <r>
    <x v="99"/>
    <x v="32"/>
    <x v="366"/>
    <x v="2"/>
    <x v="422"/>
    <x v="5"/>
    <x v="2"/>
    <x v="4"/>
    <x v="221"/>
    <x v="10"/>
    <x v="1631"/>
    <x v="1"/>
  </r>
  <r>
    <x v="99"/>
    <x v="32"/>
    <x v="1881"/>
    <x v="7"/>
    <x v="422"/>
    <x v="5"/>
    <x v="2"/>
    <x v="4"/>
    <x v="221"/>
    <x v="10"/>
    <x v="1632"/>
    <x v="1"/>
  </r>
  <r>
    <x v="99"/>
    <x v="32"/>
    <x v="709"/>
    <x v="5"/>
    <x v="533"/>
    <x v="5"/>
    <x v="2"/>
    <x v="4"/>
    <x v="221"/>
    <x v="10"/>
    <x v="1633"/>
    <x v="1"/>
  </r>
  <r>
    <x v="99"/>
    <x v="37"/>
    <x v="68"/>
    <x v="1"/>
    <x v="546"/>
    <x v="5"/>
    <x v="0"/>
    <x v="1"/>
    <x v="31"/>
    <x v="12"/>
    <x v="1634"/>
    <x v="1"/>
  </r>
  <r>
    <x v="99"/>
    <x v="23"/>
    <x v="5"/>
    <x v="3"/>
    <x v="285"/>
    <x v="5"/>
    <x v="0"/>
    <x v="2"/>
    <x v="31"/>
    <x v="6"/>
    <x v="1635"/>
    <x v="1"/>
  </r>
  <r>
    <x v="100"/>
    <x v="9"/>
    <x v="1323"/>
    <x v="0"/>
    <x v="229"/>
    <x v="5"/>
    <x v="0"/>
    <x v="0"/>
    <x v="39"/>
    <x v="5"/>
    <x v="1636"/>
    <x v="1"/>
  </r>
  <r>
    <x v="100"/>
    <x v="38"/>
    <x v="221"/>
    <x v="0"/>
    <x v="500"/>
    <x v="5"/>
    <x v="0"/>
    <x v="0"/>
    <x v="42"/>
    <x v="5"/>
    <x v="1637"/>
    <x v="1"/>
  </r>
  <r>
    <x v="100"/>
    <x v="12"/>
    <x v="431"/>
    <x v="0"/>
    <x v="17"/>
    <x v="5"/>
    <x v="0"/>
    <x v="0"/>
    <x v="48"/>
    <x v="5"/>
    <x v="1638"/>
    <x v="1"/>
  </r>
  <r>
    <x v="100"/>
    <x v="20"/>
    <x v="1008"/>
    <x v="0"/>
    <x v="61"/>
    <x v="5"/>
    <x v="0"/>
    <x v="0"/>
    <x v="34"/>
    <x v="5"/>
    <x v="1639"/>
    <x v="1"/>
  </r>
  <r>
    <x v="100"/>
    <x v="1"/>
    <x v="90"/>
    <x v="3"/>
    <x v="431"/>
    <x v="5"/>
    <x v="0"/>
    <x v="2"/>
    <x v="32"/>
    <x v="4"/>
    <x v="1640"/>
    <x v="1"/>
  </r>
  <r>
    <x v="100"/>
    <x v="3"/>
    <x v="964"/>
    <x v="1"/>
    <x v="153"/>
    <x v="5"/>
    <x v="0"/>
    <x v="1"/>
    <x v="32"/>
    <x v="4"/>
    <x v="1641"/>
    <x v="1"/>
  </r>
  <r>
    <x v="100"/>
    <x v="38"/>
    <x v="25"/>
    <x v="1"/>
    <x v="233"/>
    <x v="5"/>
    <x v="0"/>
    <x v="1"/>
    <x v="32"/>
    <x v="5"/>
    <x v="1642"/>
    <x v="1"/>
  </r>
  <r>
    <x v="100"/>
    <x v="32"/>
    <x v="982"/>
    <x v="3"/>
    <x v="422"/>
    <x v="5"/>
    <x v="2"/>
    <x v="4"/>
    <x v="221"/>
    <x v="10"/>
    <x v="1643"/>
    <x v="1"/>
  </r>
  <r>
    <x v="100"/>
    <x v="32"/>
    <x v="704"/>
    <x v="2"/>
    <x v="422"/>
    <x v="5"/>
    <x v="2"/>
    <x v="4"/>
    <x v="221"/>
    <x v="10"/>
    <x v="1644"/>
    <x v="1"/>
  </r>
  <r>
    <x v="100"/>
    <x v="32"/>
    <x v="645"/>
    <x v="6"/>
    <x v="422"/>
    <x v="5"/>
    <x v="2"/>
    <x v="4"/>
    <x v="221"/>
    <x v="10"/>
    <x v="1645"/>
    <x v="1"/>
  </r>
  <r>
    <x v="100"/>
    <x v="32"/>
    <x v="1959"/>
    <x v="7"/>
    <x v="422"/>
    <x v="5"/>
    <x v="2"/>
    <x v="4"/>
    <x v="221"/>
    <x v="10"/>
    <x v="1646"/>
    <x v="1"/>
  </r>
  <r>
    <x v="100"/>
    <x v="32"/>
    <x v="1092"/>
    <x v="5"/>
    <x v="533"/>
    <x v="5"/>
    <x v="2"/>
    <x v="4"/>
    <x v="221"/>
    <x v="10"/>
    <x v="1647"/>
    <x v="1"/>
  </r>
  <r>
    <x v="100"/>
    <x v="37"/>
    <x v="69"/>
    <x v="1"/>
    <x v="523"/>
    <x v="5"/>
    <x v="0"/>
    <x v="1"/>
    <x v="32"/>
    <x v="12"/>
    <x v="1648"/>
    <x v="1"/>
  </r>
  <r>
    <x v="100"/>
    <x v="24"/>
    <x v="25"/>
    <x v="1"/>
    <x v="246"/>
    <x v="5"/>
    <x v="0"/>
    <x v="1"/>
    <x v="32"/>
    <x v="6"/>
    <x v="1649"/>
    <x v="1"/>
  </r>
  <r>
    <x v="100"/>
    <x v="19"/>
    <x v="1263"/>
    <x v="0"/>
    <x v="474"/>
    <x v="5"/>
    <x v="0"/>
    <x v="0"/>
    <x v="51"/>
    <x v="3"/>
    <x v="1650"/>
    <x v="1"/>
  </r>
  <r>
    <x v="101"/>
    <x v="1"/>
    <x v="109"/>
    <x v="3"/>
    <x v="431"/>
    <x v="5"/>
    <x v="0"/>
    <x v="2"/>
    <x v="33"/>
    <x v="4"/>
    <x v="1651"/>
    <x v="1"/>
  </r>
  <r>
    <x v="101"/>
    <x v="12"/>
    <x v="745"/>
    <x v="0"/>
    <x v="17"/>
    <x v="5"/>
    <x v="0"/>
    <x v="0"/>
    <x v="48"/>
    <x v="5"/>
    <x v="1652"/>
    <x v="1"/>
  </r>
  <r>
    <x v="101"/>
    <x v="9"/>
    <x v="1621"/>
    <x v="0"/>
    <x v="229"/>
    <x v="5"/>
    <x v="0"/>
    <x v="0"/>
    <x v="39"/>
    <x v="5"/>
    <x v="1653"/>
    <x v="1"/>
  </r>
  <r>
    <x v="101"/>
    <x v="20"/>
    <x v="49"/>
    <x v="3"/>
    <x v="381"/>
    <x v="5"/>
    <x v="0"/>
    <x v="2"/>
    <x v="33"/>
    <x v="5"/>
    <x v="1654"/>
    <x v="1"/>
  </r>
  <r>
    <x v="101"/>
    <x v="12"/>
    <x v="287"/>
    <x v="1"/>
    <x v="510"/>
    <x v="5"/>
    <x v="0"/>
    <x v="1"/>
    <x v="33"/>
    <x v="5"/>
    <x v="1655"/>
    <x v="1"/>
  </r>
  <r>
    <x v="101"/>
    <x v="38"/>
    <x v="299"/>
    <x v="1"/>
    <x v="389"/>
    <x v="5"/>
    <x v="0"/>
    <x v="1"/>
    <x v="33"/>
    <x v="5"/>
    <x v="1656"/>
    <x v="1"/>
  </r>
  <r>
    <x v="101"/>
    <x v="20"/>
    <x v="56"/>
    <x v="0"/>
    <x v="61"/>
    <x v="5"/>
    <x v="0"/>
    <x v="0"/>
    <x v="41"/>
    <x v="5"/>
    <x v="1657"/>
    <x v="1"/>
  </r>
  <r>
    <x v="101"/>
    <x v="30"/>
    <x v="869"/>
    <x v="1"/>
    <x v="437"/>
    <x v="5"/>
    <x v="0"/>
    <x v="1"/>
    <x v="33"/>
    <x v="3"/>
    <x v="1658"/>
    <x v="1"/>
  </r>
  <r>
    <x v="101"/>
    <x v="38"/>
    <x v="378"/>
    <x v="0"/>
    <x v="500"/>
    <x v="5"/>
    <x v="0"/>
    <x v="0"/>
    <x v="42"/>
    <x v="5"/>
    <x v="1659"/>
    <x v="1"/>
  </r>
  <r>
    <x v="101"/>
    <x v="15"/>
    <x v="234"/>
    <x v="3"/>
    <x v="353"/>
    <x v="5"/>
    <x v="0"/>
    <x v="2"/>
    <x v="33"/>
    <x v="4"/>
    <x v="1660"/>
    <x v="1"/>
  </r>
  <r>
    <x v="101"/>
    <x v="32"/>
    <x v="1447"/>
    <x v="3"/>
    <x v="422"/>
    <x v="5"/>
    <x v="2"/>
    <x v="4"/>
    <x v="221"/>
    <x v="10"/>
    <x v="1661"/>
    <x v="1"/>
  </r>
  <r>
    <x v="101"/>
    <x v="32"/>
    <x v="1020"/>
    <x v="6"/>
    <x v="422"/>
    <x v="5"/>
    <x v="2"/>
    <x v="4"/>
    <x v="221"/>
    <x v="10"/>
    <x v="1662"/>
    <x v="1"/>
  </r>
  <r>
    <x v="101"/>
    <x v="32"/>
    <x v="1914"/>
    <x v="7"/>
    <x v="422"/>
    <x v="5"/>
    <x v="2"/>
    <x v="4"/>
    <x v="221"/>
    <x v="10"/>
    <x v="1663"/>
    <x v="1"/>
  </r>
  <r>
    <x v="101"/>
    <x v="32"/>
    <x v="1389"/>
    <x v="5"/>
    <x v="533"/>
    <x v="5"/>
    <x v="2"/>
    <x v="4"/>
    <x v="221"/>
    <x v="10"/>
    <x v="1664"/>
    <x v="1"/>
  </r>
  <r>
    <x v="101"/>
    <x v="37"/>
    <x v="58"/>
    <x v="1"/>
    <x v="523"/>
    <x v="5"/>
    <x v="0"/>
    <x v="1"/>
    <x v="33"/>
    <x v="12"/>
    <x v="1665"/>
    <x v="1"/>
  </r>
  <r>
    <x v="101"/>
    <x v="23"/>
    <x v="15"/>
    <x v="3"/>
    <x v="285"/>
    <x v="5"/>
    <x v="0"/>
    <x v="2"/>
    <x v="33"/>
    <x v="6"/>
    <x v="1666"/>
    <x v="1"/>
  </r>
  <r>
    <x v="101"/>
    <x v="0"/>
    <x v="1483"/>
    <x v="0"/>
    <x v="266"/>
    <x v="5"/>
    <x v="0"/>
    <x v="3"/>
    <x v="33"/>
    <x v="9"/>
    <x v="1667"/>
    <x v="1"/>
  </r>
  <r>
    <x v="101"/>
    <x v="0"/>
    <x v="518"/>
    <x v="1"/>
    <x v="266"/>
    <x v="5"/>
    <x v="0"/>
    <x v="1"/>
    <x v="33"/>
    <x v="9"/>
    <x v="1668"/>
    <x v="1"/>
  </r>
  <r>
    <x v="102"/>
    <x v="9"/>
    <x v="1307"/>
    <x v="0"/>
    <x v="229"/>
    <x v="5"/>
    <x v="0"/>
    <x v="0"/>
    <x v="39"/>
    <x v="5"/>
    <x v="1669"/>
    <x v="1"/>
  </r>
  <r>
    <x v="102"/>
    <x v="38"/>
    <x v="261"/>
    <x v="0"/>
    <x v="500"/>
    <x v="5"/>
    <x v="0"/>
    <x v="0"/>
    <x v="42"/>
    <x v="5"/>
    <x v="1670"/>
    <x v="1"/>
  </r>
  <r>
    <x v="102"/>
    <x v="20"/>
    <x v="1625"/>
    <x v="0"/>
    <x v="61"/>
    <x v="5"/>
    <x v="0"/>
    <x v="0"/>
    <x v="41"/>
    <x v="5"/>
    <x v="1671"/>
    <x v="1"/>
  </r>
  <r>
    <x v="102"/>
    <x v="12"/>
    <x v="508"/>
    <x v="0"/>
    <x v="17"/>
    <x v="5"/>
    <x v="0"/>
    <x v="0"/>
    <x v="48"/>
    <x v="5"/>
    <x v="1672"/>
    <x v="1"/>
  </r>
  <r>
    <x v="102"/>
    <x v="8"/>
    <x v="779"/>
    <x v="0"/>
    <x v="241"/>
    <x v="5"/>
    <x v="0"/>
    <x v="0"/>
    <x v="39"/>
    <x v="5"/>
    <x v="1673"/>
    <x v="1"/>
  </r>
  <r>
    <x v="102"/>
    <x v="1"/>
    <x v="109"/>
    <x v="3"/>
    <x v="431"/>
    <x v="5"/>
    <x v="0"/>
    <x v="2"/>
    <x v="34"/>
    <x v="4"/>
    <x v="1674"/>
    <x v="1"/>
  </r>
  <r>
    <x v="102"/>
    <x v="39"/>
    <x v="925"/>
    <x v="0"/>
    <x v="578"/>
    <x v="5"/>
    <x v="0"/>
    <x v="0"/>
    <x v="34"/>
    <x v="5"/>
    <x v="1675"/>
    <x v="1"/>
  </r>
  <r>
    <x v="102"/>
    <x v="17"/>
    <x v="1949"/>
    <x v="0"/>
    <x v="194"/>
    <x v="5"/>
    <x v="1"/>
    <x v="4"/>
    <x v="221"/>
    <x v="3"/>
    <x v="1676"/>
    <x v="1"/>
  </r>
  <r>
    <x v="102"/>
    <x v="3"/>
    <x v="375"/>
    <x v="0"/>
    <x v="579"/>
    <x v="5"/>
    <x v="0"/>
    <x v="3"/>
    <x v="34"/>
    <x v="4"/>
    <x v="1677"/>
    <x v="1"/>
  </r>
  <r>
    <x v="102"/>
    <x v="3"/>
    <x v="12"/>
    <x v="3"/>
    <x v="579"/>
    <x v="5"/>
    <x v="0"/>
    <x v="2"/>
    <x v="34"/>
    <x v="4"/>
    <x v="1678"/>
    <x v="1"/>
  </r>
  <r>
    <x v="102"/>
    <x v="12"/>
    <x v="219"/>
    <x v="1"/>
    <x v="146"/>
    <x v="5"/>
    <x v="0"/>
    <x v="1"/>
    <x v="34"/>
    <x v="5"/>
    <x v="1679"/>
    <x v="1"/>
  </r>
  <r>
    <x v="102"/>
    <x v="28"/>
    <x v="134"/>
    <x v="1"/>
    <x v="371"/>
    <x v="5"/>
    <x v="0"/>
    <x v="1"/>
    <x v="34"/>
    <x v="0"/>
    <x v="1680"/>
    <x v="1"/>
  </r>
  <r>
    <x v="102"/>
    <x v="32"/>
    <x v="1126"/>
    <x v="3"/>
    <x v="422"/>
    <x v="5"/>
    <x v="2"/>
    <x v="4"/>
    <x v="221"/>
    <x v="10"/>
    <x v="1681"/>
    <x v="1"/>
  </r>
  <r>
    <x v="102"/>
    <x v="32"/>
    <x v="440"/>
    <x v="2"/>
    <x v="422"/>
    <x v="5"/>
    <x v="2"/>
    <x v="4"/>
    <x v="221"/>
    <x v="10"/>
    <x v="1682"/>
    <x v="1"/>
  </r>
  <r>
    <x v="102"/>
    <x v="32"/>
    <x v="454"/>
    <x v="6"/>
    <x v="422"/>
    <x v="5"/>
    <x v="2"/>
    <x v="4"/>
    <x v="221"/>
    <x v="10"/>
    <x v="1683"/>
    <x v="1"/>
  </r>
  <r>
    <x v="102"/>
    <x v="32"/>
    <x v="1649"/>
    <x v="7"/>
    <x v="422"/>
    <x v="5"/>
    <x v="2"/>
    <x v="4"/>
    <x v="221"/>
    <x v="10"/>
    <x v="1684"/>
    <x v="1"/>
  </r>
  <r>
    <x v="102"/>
    <x v="32"/>
    <x v="191"/>
    <x v="8"/>
    <x v="422"/>
    <x v="5"/>
    <x v="2"/>
    <x v="4"/>
    <x v="221"/>
    <x v="10"/>
    <x v="1685"/>
    <x v="1"/>
  </r>
  <r>
    <x v="102"/>
    <x v="32"/>
    <x v="296"/>
    <x v="5"/>
    <x v="533"/>
    <x v="5"/>
    <x v="2"/>
    <x v="4"/>
    <x v="221"/>
    <x v="10"/>
    <x v="1686"/>
    <x v="1"/>
  </r>
  <r>
    <x v="102"/>
    <x v="23"/>
    <x v="11"/>
    <x v="3"/>
    <x v="285"/>
    <x v="5"/>
    <x v="0"/>
    <x v="2"/>
    <x v="34"/>
    <x v="6"/>
    <x v="1687"/>
    <x v="1"/>
  </r>
  <r>
    <x v="102"/>
    <x v="37"/>
    <x v="48"/>
    <x v="1"/>
    <x v="487"/>
    <x v="5"/>
    <x v="0"/>
    <x v="1"/>
    <x v="34"/>
    <x v="12"/>
    <x v="1688"/>
    <x v="1"/>
  </r>
  <r>
    <x v="103"/>
    <x v="12"/>
    <x v="421"/>
    <x v="0"/>
    <x v="17"/>
    <x v="5"/>
    <x v="0"/>
    <x v="0"/>
    <x v="48"/>
    <x v="5"/>
    <x v="1689"/>
    <x v="1"/>
  </r>
  <r>
    <x v="103"/>
    <x v="9"/>
    <x v="1082"/>
    <x v="0"/>
    <x v="229"/>
    <x v="5"/>
    <x v="0"/>
    <x v="0"/>
    <x v="42"/>
    <x v="5"/>
    <x v="1690"/>
    <x v="1"/>
  </r>
  <r>
    <x v="103"/>
    <x v="38"/>
    <x v="131"/>
    <x v="0"/>
    <x v="500"/>
    <x v="5"/>
    <x v="0"/>
    <x v="0"/>
    <x v="42"/>
    <x v="5"/>
    <x v="1691"/>
    <x v="1"/>
  </r>
  <r>
    <x v="103"/>
    <x v="1"/>
    <x v="60"/>
    <x v="3"/>
    <x v="431"/>
    <x v="5"/>
    <x v="0"/>
    <x v="2"/>
    <x v="35"/>
    <x v="4"/>
    <x v="1692"/>
    <x v="1"/>
  </r>
  <r>
    <x v="103"/>
    <x v="0"/>
    <x v="1483"/>
    <x v="0"/>
    <x v="449"/>
    <x v="5"/>
    <x v="0"/>
    <x v="3"/>
    <x v="35"/>
    <x v="9"/>
    <x v="1693"/>
    <x v="1"/>
  </r>
  <r>
    <x v="103"/>
    <x v="15"/>
    <x v="244"/>
    <x v="3"/>
    <x v="353"/>
    <x v="5"/>
    <x v="0"/>
    <x v="2"/>
    <x v="35"/>
    <x v="4"/>
    <x v="1694"/>
    <x v="1"/>
  </r>
  <r>
    <x v="103"/>
    <x v="32"/>
    <x v="608"/>
    <x v="3"/>
    <x v="422"/>
    <x v="5"/>
    <x v="2"/>
    <x v="4"/>
    <x v="221"/>
    <x v="10"/>
    <x v="1695"/>
    <x v="1"/>
  </r>
  <r>
    <x v="103"/>
    <x v="32"/>
    <x v="244"/>
    <x v="2"/>
    <x v="422"/>
    <x v="5"/>
    <x v="2"/>
    <x v="4"/>
    <x v="221"/>
    <x v="10"/>
    <x v="1696"/>
    <x v="1"/>
  </r>
  <r>
    <x v="103"/>
    <x v="32"/>
    <x v="819"/>
    <x v="6"/>
    <x v="422"/>
    <x v="5"/>
    <x v="2"/>
    <x v="4"/>
    <x v="221"/>
    <x v="10"/>
    <x v="1697"/>
    <x v="1"/>
  </r>
  <r>
    <x v="103"/>
    <x v="32"/>
    <x v="1770"/>
    <x v="7"/>
    <x v="422"/>
    <x v="5"/>
    <x v="2"/>
    <x v="4"/>
    <x v="221"/>
    <x v="10"/>
    <x v="1698"/>
    <x v="1"/>
  </r>
  <r>
    <x v="103"/>
    <x v="32"/>
    <x v="280"/>
    <x v="8"/>
    <x v="422"/>
    <x v="5"/>
    <x v="2"/>
    <x v="4"/>
    <x v="221"/>
    <x v="10"/>
    <x v="1699"/>
    <x v="1"/>
  </r>
  <r>
    <x v="103"/>
    <x v="32"/>
    <x v="961"/>
    <x v="5"/>
    <x v="533"/>
    <x v="5"/>
    <x v="2"/>
    <x v="4"/>
    <x v="221"/>
    <x v="10"/>
    <x v="1700"/>
    <x v="1"/>
  </r>
  <r>
    <x v="103"/>
    <x v="37"/>
    <x v="65"/>
    <x v="1"/>
    <x v="523"/>
    <x v="5"/>
    <x v="0"/>
    <x v="1"/>
    <x v="35"/>
    <x v="12"/>
    <x v="1701"/>
    <x v="1"/>
  </r>
  <r>
    <x v="103"/>
    <x v="24"/>
    <x v="475"/>
    <x v="1"/>
    <x v="82"/>
    <x v="5"/>
    <x v="0"/>
    <x v="1"/>
    <x v="35"/>
    <x v="6"/>
    <x v="1702"/>
    <x v="1"/>
  </r>
  <r>
    <x v="103"/>
    <x v="23"/>
    <x v="1"/>
    <x v="3"/>
    <x v="285"/>
    <x v="5"/>
    <x v="0"/>
    <x v="2"/>
    <x v="35"/>
    <x v="6"/>
    <x v="1703"/>
    <x v="1"/>
  </r>
  <r>
    <x v="103"/>
    <x v="0"/>
    <x v="1483"/>
    <x v="1"/>
    <x v="298"/>
    <x v="5"/>
    <x v="0"/>
    <x v="1"/>
    <x v="35"/>
    <x v="9"/>
    <x v="1704"/>
    <x v="1"/>
  </r>
  <r>
    <x v="104"/>
    <x v="38"/>
    <x v="316"/>
    <x v="0"/>
    <x v="500"/>
    <x v="5"/>
    <x v="0"/>
    <x v="0"/>
    <x v="42"/>
    <x v="5"/>
    <x v="1705"/>
    <x v="1"/>
  </r>
  <r>
    <x v="104"/>
    <x v="12"/>
    <x v="410"/>
    <x v="0"/>
    <x v="17"/>
    <x v="5"/>
    <x v="0"/>
    <x v="0"/>
    <x v="48"/>
    <x v="5"/>
    <x v="1706"/>
    <x v="1"/>
  </r>
  <r>
    <x v="104"/>
    <x v="3"/>
    <x v="90"/>
    <x v="3"/>
    <x v="431"/>
    <x v="5"/>
    <x v="0"/>
    <x v="4"/>
    <x v="221"/>
    <x v="4"/>
    <x v="1707"/>
    <x v="1"/>
  </r>
  <r>
    <x v="104"/>
    <x v="13"/>
    <x v="1470"/>
    <x v="0"/>
    <x v="32"/>
    <x v="5"/>
    <x v="0"/>
    <x v="0"/>
    <x v="56"/>
    <x v="5"/>
    <x v="1708"/>
    <x v="1"/>
  </r>
  <r>
    <x v="104"/>
    <x v="8"/>
    <x v="779"/>
    <x v="0"/>
    <x v="241"/>
    <x v="5"/>
    <x v="0"/>
    <x v="0"/>
    <x v="39"/>
    <x v="5"/>
    <x v="1709"/>
    <x v="1"/>
  </r>
  <r>
    <x v="104"/>
    <x v="20"/>
    <x v="1129"/>
    <x v="0"/>
    <x v="61"/>
    <x v="5"/>
    <x v="0"/>
    <x v="0"/>
    <x v="41"/>
    <x v="5"/>
    <x v="1710"/>
    <x v="1"/>
  </r>
  <r>
    <x v="104"/>
    <x v="9"/>
    <x v="1130"/>
    <x v="0"/>
    <x v="229"/>
    <x v="5"/>
    <x v="0"/>
    <x v="0"/>
    <x v="42"/>
    <x v="5"/>
    <x v="1711"/>
    <x v="1"/>
  </r>
  <r>
    <x v="104"/>
    <x v="19"/>
    <x v="803"/>
    <x v="0"/>
    <x v="474"/>
    <x v="5"/>
    <x v="0"/>
    <x v="0"/>
    <x v="51"/>
    <x v="3"/>
    <x v="1712"/>
    <x v="1"/>
  </r>
  <r>
    <x v="104"/>
    <x v="32"/>
    <x v="1560"/>
    <x v="3"/>
    <x v="422"/>
    <x v="5"/>
    <x v="2"/>
    <x v="4"/>
    <x v="221"/>
    <x v="10"/>
    <x v="1713"/>
    <x v="1"/>
  </r>
  <r>
    <x v="104"/>
    <x v="32"/>
    <x v="30"/>
    <x v="6"/>
    <x v="422"/>
    <x v="5"/>
    <x v="2"/>
    <x v="4"/>
    <x v="221"/>
    <x v="10"/>
    <x v="1714"/>
    <x v="1"/>
  </r>
  <r>
    <x v="104"/>
    <x v="32"/>
    <x v="1839"/>
    <x v="7"/>
    <x v="422"/>
    <x v="5"/>
    <x v="2"/>
    <x v="4"/>
    <x v="221"/>
    <x v="10"/>
    <x v="1715"/>
    <x v="1"/>
  </r>
  <r>
    <x v="104"/>
    <x v="32"/>
    <x v="224"/>
    <x v="8"/>
    <x v="422"/>
    <x v="5"/>
    <x v="2"/>
    <x v="4"/>
    <x v="221"/>
    <x v="10"/>
    <x v="1716"/>
    <x v="1"/>
  </r>
  <r>
    <x v="104"/>
    <x v="32"/>
    <x v="815"/>
    <x v="5"/>
    <x v="533"/>
    <x v="5"/>
    <x v="2"/>
    <x v="4"/>
    <x v="221"/>
    <x v="10"/>
    <x v="1717"/>
    <x v="1"/>
  </r>
  <r>
    <x v="104"/>
    <x v="0"/>
    <x v="518"/>
    <x v="1"/>
    <x v="298"/>
    <x v="5"/>
    <x v="0"/>
    <x v="1"/>
    <x v="36"/>
    <x v="9"/>
    <x v="1718"/>
    <x v="1"/>
  </r>
  <r>
    <x v="104"/>
    <x v="38"/>
    <x v="12"/>
    <x v="3"/>
    <x v="444"/>
    <x v="5"/>
    <x v="0"/>
    <x v="2"/>
    <x v="36"/>
    <x v="5"/>
    <x v="1719"/>
    <x v="1"/>
  </r>
  <r>
    <x v="104"/>
    <x v="37"/>
    <x v="62"/>
    <x v="3"/>
    <x v="523"/>
    <x v="5"/>
    <x v="0"/>
    <x v="2"/>
    <x v="36"/>
    <x v="12"/>
    <x v="1720"/>
    <x v="1"/>
  </r>
  <r>
    <x v="104"/>
    <x v="0"/>
    <x v="1483"/>
    <x v="0"/>
    <x v="566"/>
    <x v="5"/>
    <x v="0"/>
    <x v="0"/>
    <x v="36"/>
    <x v="9"/>
    <x v="1721"/>
    <x v="1"/>
  </r>
  <r>
    <x v="105"/>
    <x v="9"/>
    <x v="1406"/>
    <x v="0"/>
    <x v="229"/>
    <x v="5"/>
    <x v="0"/>
    <x v="0"/>
    <x v="45"/>
    <x v="5"/>
    <x v="1722"/>
    <x v="1"/>
  </r>
  <r>
    <x v="105"/>
    <x v="12"/>
    <x v="269"/>
    <x v="0"/>
    <x v="17"/>
    <x v="5"/>
    <x v="0"/>
    <x v="0"/>
    <x v="48"/>
    <x v="5"/>
    <x v="1723"/>
    <x v="1"/>
  </r>
  <r>
    <x v="105"/>
    <x v="20"/>
    <x v="1042"/>
    <x v="0"/>
    <x v="61"/>
    <x v="5"/>
    <x v="0"/>
    <x v="0"/>
    <x v="41"/>
    <x v="5"/>
    <x v="1724"/>
    <x v="1"/>
  </r>
  <r>
    <x v="105"/>
    <x v="27"/>
    <x v="925"/>
    <x v="1"/>
    <x v="5"/>
    <x v="5"/>
    <x v="0"/>
    <x v="1"/>
    <x v="37"/>
    <x v="5"/>
    <x v="1725"/>
    <x v="1"/>
  </r>
  <r>
    <x v="105"/>
    <x v="38"/>
    <x v="201"/>
    <x v="0"/>
    <x v="500"/>
    <x v="5"/>
    <x v="0"/>
    <x v="0"/>
    <x v="42"/>
    <x v="5"/>
    <x v="1726"/>
    <x v="1"/>
  </r>
  <r>
    <x v="105"/>
    <x v="19"/>
    <x v="803"/>
    <x v="0"/>
    <x v="474"/>
    <x v="5"/>
    <x v="0"/>
    <x v="0"/>
    <x v="51"/>
    <x v="3"/>
    <x v="1727"/>
    <x v="1"/>
  </r>
  <r>
    <x v="105"/>
    <x v="37"/>
    <x v="62"/>
    <x v="1"/>
    <x v="523"/>
    <x v="5"/>
    <x v="0"/>
    <x v="1"/>
    <x v="37"/>
    <x v="12"/>
    <x v="1728"/>
    <x v="1"/>
  </r>
  <r>
    <x v="105"/>
    <x v="32"/>
    <x v="426"/>
    <x v="3"/>
    <x v="422"/>
    <x v="5"/>
    <x v="2"/>
    <x v="4"/>
    <x v="221"/>
    <x v="10"/>
    <x v="1729"/>
    <x v="1"/>
  </r>
  <r>
    <x v="105"/>
    <x v="32"/>
    <x v="1737"/>
    <x v="7"/>
    <x v="422"/>
    <x v="5"/>
    <x v="2"/>
    <x v="4"/>
    <x v="221"/>
    <x v="10"/>
    <x v="1730"/>
    <x v="1"/>
  </r>
  <r>
    <x v="105"/>
    <x v="32"/>
    <x v="232"/>
    <x v="8"/>
    <x v="422"/>
    <x v="5"/>
    <x v="2"/>
    <x v="4"/>
    <x v="221"/>
    <x v="10"/>
    <x v="1731"/>
    <x v="1"/>
  </r>
  <r>
    <x v="105"/>
    <x v="32"/>
    <x v="643"/>
    <x v="5"/>
    <x v="533"/>
    <x v="5"/>
    <x v="2"/>
    <x v="4"/>
    <x v="221"/>
    <x v="10"/>
    <x v="1732"/>
    <x v="1"/>
  </r>
  <r>
    <x v="106"/>
    <x v="12"/>
    <x v="588"/>
    <x v="0"/>
    <x v="17"/>
    <x v="5"/>
    <x v="0"/>
    <x v="0"/>
    <x v="48"/>
    <x v="5"/>
    <x v="1733"/>
    <x v="1"/>
  </r>
  <r>
    <x v="106"/>
    <x v="38"/>
    <x v="110"/>
    <x v="0"/>
    <x v="500"/>
    <x v="5"/>
    <x v="0"/>
    <x v="0"/>
    <x v="42"/>
    <x v="5"/>
    <x v="1734"/>
    <x v="1"/>
  </r>
  <r>
    <x v="106"/>
    <x v="8"/>
    <x v="779"/>
    <x v="0"/>
    <x v="241"/>
    <x v="5"/>
    <x v="0"/>
    <x v="0"/>
    <x v="53"/>
    <x v="5"/>
    <x v="1735"/>
    <x v="1"/>
  </r>
  <r>
    <x v="106"/>
    <x v="9"/>
    <x v="1057"/>
    <x v="0"/>
    <x v="229"/>
    <x v="5"/>
    <x v="0"/>
    <x v="0"/>
    <x v="45"/>
    <x v="5"/>
    <x v="1736"/>
    <x v="1"/>
  </r>
  <r>
    <x v="106"/>
    <x v="24"/>
    <x v="53"/>
    <x v="1"/>
    <x v="118"/>
    <x v="5"/>
    <x v="0"/>
    <x v="1"/>
    <x v="38"/>
    <x v="6"/>
    <x v="1737"/>
    <x v="1"/>
  </r>
  <r>
    <x v="106"/>
    <x v="32"/>
    <x v="1015"/>
    <x v="3"/>
    <x v="422"/>
    <x v="5"/>
    <x v="2"/>
    <x v="4"/>
    <x v="221"/>
    <x v="10"/>
    <x v="1738"/>
    <x v="1"/>
  </r>
  <r>
    <x v="106"/>
    <x v="32"/>
    <x v="472"/>
    <x v="2"/>
    <x v="422"/>
    <x v="5"/>
    <x v="2"/>
    <x v="4"/>
    <x v="221"/>
    <x v="10"/>
    <x v="1739"/>
    <x v="1"/>
  </r>
  <r>
    <x v="106"/>
    <x v="32"/>
    <x v="398"/>
    <x v="6"/>
    <x v="422"/>
    <x v="5"/>
    <x v="2"/>
    <x v="4"/>
    <x v="221"/>
    <x v="10"/>
    <x v="1740"/>
    <x v="1"/>
  </r>
  <r>
    <x v="106"/>
    <x v="32"/>
    <x v="1796"/>
    <x v="7"/>
    <x v="422"/>
    <x v="5"/>
    <x v="2"/>
    <x v="4"/>
    <x v="221"/>
    <x v="10"/>
    <x v="1741"/>
    <x v="1"/>
  </r>
  <r>
    <x v="106"/>
    <x v="32"/>
    <x v="1530"/>
    <x v="5"/>
    <x v="533"/>
    <x v="5"/>
    <x v="2"/>
    <x v="4"/>
    <x v="221"/>
    <x v="10"/>
    <x v="1742"/>
    <x v="1"/>
  </r>
  <r>
    <x v="106"/>
    <x v="37"/>
    <x v="58"/>
    <x v="1"/>
    <x v="523"/>
    <x v="5"/>
    <x v="0"/>
    <x v="1"/>
    <x v="38"/>
    <x v="12"/>
    <x v="1743"/>
    <x v="1"/>
  </r>
  <r>
    <x v="107"/>
    <x v="12"/>
    <x v="365"/>
    <x v="0"/>
    <x v="17"/>
    <x v="5"/>
    <x v="0"/>
    <x v="0"/>
    <x v="48"/>
    <x v="5"/>
    <x v="1744"/>
    <x v="1"/>
  </r>
  <r>
    <x v="107"/>
    <x v="38"/>
    <x v="155"/>
    <x v="0"/>
    <x v="500"/>
    <x v="5"/>
    <x v="0"/>
    <x v="0"/>
    <x v="42"/>
    <x v="5"/>
    <x v="1745"/>
    <x v="1"/>
  </r>
  <r>
    <x v="107"/>
    <x v="9"/>
    <x v="1028"/>
    <x v="0"/>
    <x v="229"/>
    <x v="5"/>
    <x v="0"/>
    <x v="0"/>
    <x v="45"/>
    <x v="5"/>
    <x v="1746"/>
    <x v="1"/>
  </r>
  <r>
    <x v="107"/>
    <x v="20"/>
    <x v="49"/>
    <x v="3"/>
    <x v="381"/>
    <x v="5"/>
    <x v="0"/>
    <x v="2"/>
    <x v="39"/>
    <x v="5"/>
    <x v="1747"/>
    <x v="1"/>
  </r>
  <r>
    <x v="107"/>
    <x v="3"/>
    <x v="308"/>
    <x v="3"/>
    <x v="153"/>
    <x v="5"/>
    <x v="0"/>
    <x v="2"/>
    <x v="39"/>
    <x v="4"/>
    <x v="1748"/>
    <x v="1"/>
  </r>
  <r>
    <x v="107"/>
    <x v="19"/>
    <x v="803"/>
    <x v="0"/>
    <x v="474"/>
    <x v="5"/>
    <x v="0"/>
    <x v="0"/>
    <x v="51"/>
    <x v="3"/>
    <x v="1749"/>
    <x v="1"/>
  </r>
  <r>
    <x v="107"/>
    <x v="3"/>
    <x v="431"/>
    <x v="3"/>
    <x v="579"/>
    <x v="5"/>
    <x v="0"/>
    <x v="1"/>
    <x v="39"/>
    <x v="4"/>
    <x v="1750"/>
    <x v="1"/>
  </r>
  <r>
    <x v="107"/>
    <x v="38"/>
    <x v="30"/>
    <x v="1"/>
    <x v="401"/>
    <x v="5"/>
    <x v="0"/>
    <x v="1"/>
    <x v="39"/>
    <x v="5"/>
    <x v="1751"/>
    <x v="1"/>
  </r>
  <r>
    <x v="107"/>
    <x v="27"/>
    <x v="575"/>
    <x v="1"/>
    <x v="5"/>
    <x v="5"/>
    <x v="0"/>
    <x v="1"/>
    <x v="39"/>
    <x v="5"/>
    <x v="1752"/>
    <x v="1"/>
  </r>
  <r>
    <x v="107"/>
    <x v="26"/>
    <x v="90"/>
    <x v="1"/>
    <x v="344"/>
    <x v="5"/>
    <x v="0"/>
    <x v="1"/>
    <x v="39"/>
    <x v="5"/>
    <x v="1753"/>
    <x v="1"/>
  </r>
  <r>
    <x v="107"/>
    <x v="32"/>
    <x v="1577"/>
    <x v="3"/>
    <x v="422"/>
    <x v="5"/>
    <x v="2"/>
    <x v="4"/>
    <x v="221"/>
    <x v="10"/>
    <x v="1754"/>
    <x v="1"/>
  </r>
  <r>
    <x v="107"/>
    <x v="32"/>
    <x v="508"/>
    <x v="2"/>
    <x v="422"/>
    <x v="5"/>
    <x v="2"/>
    <x v="4"/>
    <x v="221"/>
    <x v="10"/>
    <x v="1755"/>
    <x v="1"/>
  </r>
  <r>
    <x v="107"/>
    <x v="32"/>
    <x v="1289"/>
    <x v="6"/>
    <x v="422"/>
    <x v="5"/>
    <x v="2"/>
    <x v="4"/>
    <x v="221"/>
    <x v="10"/>
    <x v="1756"/>
    <x v="1"/>
  </r>
  <r>
    <x v="107"/>
    <x v="32"/>
    <x v="1789"/>
    <x v="7"/>
    <x v="422"/>
    <x v="5"/>
    <x v="2"/>
    <x v="4"/>
    <x v="221"/>
    <x v="10"/>
    <x v="1757"/>
    <x v="1"/>
  </r>
  <r>
    <x v="107"/>
    <x v="32"/>
    <x v="716"/>
    <x v="5"/>
    <x v="533"/>
    <x v="5"/>
    <x v="2"/>
    <x v="4"/>
    <x v="221"/>
    <x v="10"/>
    <x v="1758"/>
    <x v="1"/>
  </r>
  <r>
    <x v="107"/>
    <x v="32"/>
    <x v="727"/>
    <x v="4"/>
    <x v="588"/>
    <x v="5"/>
    <x v="2"/>
    <x v="4"/>
    <x v="221"/>
    <x v="10"/>
    <x v="1759"/>
    <x v="1"/>
  </r>
  <r>
    <x v="107"/>
    <x v="37"/>
    <x v="55"/>
    <x v="1"/>
    <x v="523"/>
    <x v="5"/>
    <x v="0"/>
    <x v="1"/>
    <x v="39"/>
    <x v="12"/>
    <x v="1760"/>
    <x v="1"/>
  </r>
  <r>
    <x v="107"/>
    <x v="23"/>
    <x v="9"/>
    <x v="3"/>
    <x v="285"/>
    <x v="5"/>
    <x v="0"/>
    <x v="2"/>
    <x v="39"/>
    <x v="6"/>
    <x v="1761"/>
    <x v="1"/>
  </r>
  <r>
    <x v="108"/>
    <x v="12"/>
    <x v="455"/>
    <x v="0"/>
    <x v="17"/>
    <x v="5"/>
    <x v="0"/>
    <x v="0"/>
    <x v="64"/>
    <x v="5"/>
    <x v="1762"/>
    <x v="1"/>
  </r>
  <r>
    <x v="108"/>
    <x v="20"/>
    <x v="1532"/>
    <x v="0"/>
    <x v="61"/>
    <x v="5"/>
    <x v="0"/>
    <x v="0"/>
    <x v="46"/>
    <x v="5"/>
    <x v="1763"/>
    <x v="1"/>
  </r>
  <r>
    <x v="108"/>
    <x v="38"/>
    <x v="245"/>
    <x v="0"/>
    <x v="500"/>
    <x v="5"/>
    <x v="0"/>
    <x v="0"/>
    <x v="42"/>
    <x v="5"/>
    <x v="1764"/>
    <x v="1"/>
  </r>
  <r>
    <x v="108"/>
    <x v="9"/>
    <x v="1157"/>
    <x v="0"/>
    <x v="229"/>
    <x v="5"/>
    <x v="0"/>
    <x v="0"/>
    <x v="45"/>
    <x v="5"/>
    <x v="1765"/>
    <x v="1"/>
  </r>
  <r>
    <x v="108"/>
    <x v="38"/>
    <x v="357"/>
    <x v="1"/>
    <x v="389"/>
    <x v="5"/>
    <x v="0"/>
    <x v="1"/>
    <x v="40"/>
    <x v="5"/>
    <x v="1766"/>
    <x v="1"/>
  </r>
  <r>
    <x v="108"/>
    <x v="12"/>
    <x v="363"/>
    <x v="1"/>
    <x v="511"/>
    <x v="5"/>
    <x v="0"/>
    <x v="1"/>
    <x v="40"/>
    <x v="5"/>
    <x v="1767"/>
    <x v="1"/>
  </r>
  <r>
    <x v="108"/>
    <x v="19"/>
    <x v="803"/>
    <x v="0"/>
    <x v="474"/>
    <x v="5"/>
    <x v="0"/>
    <x v="0"/>
    <x v="51"/>
    <x v="3"/>
    <x v="1768"/>
    <x v="1"/>
  </r>
  <r>
    <x v="108"/>
    <x v="15"/>
    <x v="440"/>
    <x v="3"/>
    <x v="353"/>
    <x v="5"/>
    <x v="0"/>
    <x v="2"/>
    <x v="40"/>
    <x v="4"/>
    <x v="1769"/>
    <x v="1"/>
  </r>
  <r>
    <x v="108"/>
    <x v="32"/>
    <x v="857"/>
    <x v="3"/>
    <x v="422"/>
    <x v="5"/>
    <x v="2"/>
    <x v="4"/>
    <x v="221"/>
    <x v="10"/>
    <x v="1770"/>
    <x v="1"/>
  </r>
  <r>
    <x v="108"/>
    <x v="32"/>
    <x v="697"/>
    <x v="2"/>
    <x v="422"/>
    <x v="5"/>
    <x v="2"/>
    <x v="4"/>
    <x v="221"/>
    <x v="10"/>
    <x v="1771"/>
    <x v="1"/>
  </r>
  <r>
    <x v="108"/>
    <x v="32"/>
    <x v="127"/>
    <x v="6"/>
    <x v="422"/>
    <x v="5"/>
    <x v="2"/>
    <x v="4"/>
    <x v="221"/>
    <x v="10"/>
    <x v="1772"/>
    <x v="1"/>
  </r>
  <r>
    <x v="108"/>
    <x v="32"/>
    <x v="1887"/>
    <x v="7"/>
    <x v="422"/>
    <x v="5"/>
    <x v="2"/>
    <x v="4"/>
    <x v="221"/>
    <x v="10"/>
    <x v="1773"/>
    <x v="1"/>
  </r>
  <r>
    <x v="108"/>
    <x v="32"/>
    <x v="918"/>
    <x v="5"/>
    <x v="533"/>
    <x v="5"/>
    <x v="2"/>
    <x v="4"/>
    <x v="221"/>
    <x v="10"/>
    <x v="1774"/>
    <x v="1"/>
  </r>
  <r>
    <x v="108"/>
    <x v="37"/>
    <x v="65"/>
    <x v="1"/>
    <x v="523"/>
    <x v="5"/>
    <x v="0"/>
    <x v="1"/>
    <x v="40"/>
    <x v="12"/>
    <x v="1775"/>
    <x v="1"/>
  </r>
  <r>
    <x v="108"/>
    <x v="23"/>
    <x v="15"/>
    <x v="3"/>
    <x v="285"/>
    <x v="5"/>
    <x v="0"/>
    <x v="1"/>
    <x v="40"/>
    <x v="6"/>
    <x v="1776"/>
    <x v="1"/>
  </r>
  <r>
    <x v="109"/>
    <x v="12"/>
    <x v="420"/>
    <x v="0"/>
    <x v="17"/>
    <x v="5"/>
    <x v="0"/>
    <x v="0"/>
    <x v="64"/>
    <x v="5"/>
    <x v="1777"/>
    <x v="1"/>
  </r>
  <r>
    <x v="109"/>
    <x v="8"/>
    <x v="779"/>
    <x v="0"/>
    <x v="241"/>
    <x v="5"/>
    <x v="0"/>
    <x v="0"/>
    <x v="53"/>
    <x v="5"/>
    <x v="1778"/>
    <x v="1"/>
  </r>
  <r>
    <x v="109"/>
    <x v="20"/>
    <x v="1427"/>
    <x v="0"/>
    <x v="61"/>
    <x v="5"/>
    <x v="0"/>
    <x v="0"/>
    <x v="46"/>
    <x v="5"/>
    <x v="1779"/>
    <x v="1"/>
  </r>
  <r>
    <x v="109"/>
    <x v="9"/>
    <x v="1283"/>
    <x v="0"/>
    <x v="229"/>
    <x v="5"/>
    <x v="0"/>
    <x v="0"/>
    <x v="46"/>
    <x v="5"/>
    <x v="1780"/>
    <x v="1"/>
  </r>
  <r>
    <x v="109"/>
    <x v="20"/>
    <x v="65"/>
    <x v="1"/>
    <x v="416"/>
    <x v="5"/>
    <x v="0"/>
    <x v="1"/>
    <x v="41"/>
    <x v="5"/>
    <x v="1781"/>
    <x v="1"/>
  </r>
  <r>
    <x v="109"/>
    <x v="27"/>
    <x v="925"/>
    <x v="1"/>
    <x v="5"/>
    <x v="5"/>
    <x v="0"/>
    <x v="1"/>
    <x v="41"/>
    <x v="5"/>
    <x v="1782"/>
    <x v="1"/>
  </r>
  <r>
    <x v="109"/>
    <x v="36"/>
    <x v="58"/>
    <x v="1"/>
    <x v="375"/>
    <x v="5"/>
    <x v="0"/>
    <x v="1"/>
    <x v="41"/>
    <x v="5"/>
    <x v="1783"/>
    <x v="1"/>
  </r>
  <r>
    <x v="109"/>
    <x v="38"/>
    <x v="342"/>
    <x v="0"/>
    <x v="500"/>
    <x v="5"/>
    <x v="0"/>
    <x v="0"/>
    <x v="61"/>
    <x v="5"/>
    <x v="1784"/>
    <x v="1"/>
  </r>
  <r>
    <x v="109"/>
    <x v="32"/>
    <x v="1238"/>
    <x v="3"/>
    <x v="422"/>
    <x v="5"/>
    <x v="2"/>
    <x v="4"/>
    <x v="221"/>
    <x v="10"/>
    <x v="1785"/>
    <x v="1"/>
  </r>
  <r>
    <x v="109"/>
    <x v="32"/>
    <x v="205"/>
    <x v="6"/>
    <x v="422"/>
    <x v="5"/>
    <x v="2"/>
    <x v="4"/>
    <x v="221"/>
    <x v="10"/>
    <x v="1786"/>
    <x v="1"/>
  </r>
  <r>
    <x v="109"/>
    <x v="32"/>
    <x v="1684"/>
    <x v="7"/>
    <x v="422"/>
    <x v="5"/>
    <x v="2"/>
    <x v="4"/>
    <x v="221"/>
    <x v="10"/>
    <x v="1787"/>
    <x v="1"/>
  </r>
  <r>
    <x v="109"/>
    <x v="32"/>
    <x v="584"/>
    <x v="8"/>
    <x v="422"/>
    <x v="5"/>
    <x v="2"/>
    <x v="4"/>
    <x v="221"/>
    <x v="10"/>
    <x v="1788"/>
    <x v="1"/>
  </r>
  <r>
    <x v="109"/>
    <x v="32"/>
    <x v="480"/>
    <x v="5"/>
    <x v="533"/>
    <x v="5"/>
    <x v="2"/>
    <x v="4"/>
    <x v="221"/>
    <x v="10"/>
    <x v="1789"/>
    <x v="1"/>
  </r>
  <r>
    <x v="109"/>
    <x v="23"/>
    <x v="12"/>
    <x v="3"/>
    <x v="285"/>
    <x v="5"/>
    <x v="0"/>
    <x v="2"/>
    <x v="41"/>
    <x v="6"/>
    <x v="1790"/>
    <x v="1"/>
  </r>
  <r>
    <x v="109"/>
    <x v="37"/>
    <x v="65"/>
    <x v="1"/>
    <x v="523"/>
    <x v="5"/>
    <x v="0"/>
    <x v="1"/>
    <x v="41"/>
    <x v="12"/>
    <x v="1791"/>
    <x v="1"/>
  </r>
  <r>
    <x v="109"/>
    <x v="28"/>
    <x v="134"/>
    <x v="1"/>
    <x v="371"/>
    <x v="5"/>
    <x v="0"/>
    <x v="1"/>
    <x v="41"/>
    <x v="0"/>
    <x v="1792"/>
    <x v="1"/>
  </r>
  <r>
    <x v="110"/>
    <x v="9"/>
    <x v="424"/>
    <x v="0"/>
    <x v="229"/>
    <x v="5"/>
    <x v="0"/>
    <x v="0"/>
    <x v="46"/>
    <x v="5"/>
    <x v="1793"/>
    <x v="1"/>
  </r>
  <r>
    <x v="110"/>
    <x v="20"/>
    <x v="1001"/>
    <x v="0"/>
    <x v="61"/>
    <x v="5"/>
    <x v="0"/>
    <x v="0"/>
    <x v="46"/>
    <x v="5"/>
    <x v="1794"/>
    <x v="1"/>
  </r>
  <r>
    <x v="110"/>
    <x v="12"/>
    <x v="490"/>
    <x v="0"/>
    <x v="17"/>
    <x v="5"/>
    <x v="0"/>
    <x v="0"/>
    <x v="64"/>
    <x v="5"/>
    <x v="1795"/>
    <x v="1"/>
  </r>
  <r>
    <x v="110"/>
    <x v="38"/>
    <x v="145"/>
    <x v="0"/>
    <x v="500"/>
    <x v="5"/>
    <x v="0"/>
    <x v="0"/>
    <x v="61"/>
    <x v="5"/>
    <x v="1796"/>
    <x v="1"/>
  </r>
  <r>
    <x v="110"/>
    <x v="32"/>
    <x v="1353"/>
    <x v="3"/>
    <x v="422"/>
    <x v="5"/>
    <x v="2"/>
    <x v="4"/>
    <x v="221"/>
    <x v="10"/>
    <x v="1797"/>
    <x v="1"/>
  </r>
  <r>
    <x v="110"/>
    <x v="32"/>
    <x v="213"/>
    <x v="2"/>
    <x v="422"/>
    <x v="5"/>
    <x v="2"/>
    <x v="4"/>
    <x v="221"/>
    <x v="10"/>
    <x v="1798"/>
    <x v="1"/>
  </r>
  <r>
    <x v="110"/>
    <x v="32"/>
    <x v="132"/>
    <x v="6"/>
    <x v="422"/>
    <x v="5"/>
    <x v="2"/>
    <x v="4"/>
    <x v="221"/>
    <x v="10"/>
    <x v="1799"/>
    <x v="1"/>
  </r>
  <r>
    <x v="110"/>
    <x v="32"/>
    <x v="1683"/>
    <x v="7"/>
    <x v="422"/>
    <x v="5"/>
    <x v="2"/>
    <x v="4"/>
    <x v="221"/>
    <x v="10"/>
    <x v="1800"/>
    <x v="1"/>
  </r>
  <r>
    <x v="110"/>
    <x v="32"/>
    <x v="1291"/>
    <x v="5"/>
    <x v="533"/>
    <x v="5"/>
    <x v="2"/>
    <x v="4"/>
    <x v="221"/>
    <x v="10"/>
    <x v="1801"/>
    <x v="1"/>
  </r>
  <r>
    <x v="110"/>
    <x v="28"/>
    <x v="87"/>
    <x v="1"/>
    <x v="559"/>
    <x v="5"/>
    <x v="0"/>
    <x v="1"/>
    <x v="42"/>
    <x v="0"/>
    <x v="1802"/>
    <x v="1"/>
  </r>
  <r>
    <x v="110"/>
    <x v="37"/>
    <x v="65"/>
    <x v="1"/>
    <x v="523"/>
    <x v="5"/>
    <x v="0"/>
    <x v="1"/>
    <x v="42"/>
    <x v="12"/>
    <x v="1803"/>
    <x v="1"/>
  </r>
  <r>
    <x v="111"/>
    <x v="8"/>
    <x v="449"/>
    <x v="0"/>
    <x v="241"/>
    <x v="5"/>
    <x v="0"/>
    <x v="0"/>
    <x v="53"/>
    <x v="5"/>
    <x v="1804"/>
    <x v="1"/>
  </r>
  <r>
    <x v="111"/>
    <x v="20"/>
    <x v="857"/>
    <x v="0"/>
    <x v="61"/>
    <x v="5"/>
    <x v="0"/>
    <x v="0"/>
    <x v="49"/>
    <x v="5"/>
    <x v="1805"/>
    <x v="1"/>
  </r>
  <r>
    <x v="111"/>
    <x v="12"/>
    <x v="484"/>
    <x v="0"/>
    <x v="17"/>
    <x v="5"/>
    <x v="0"/>
    <x v="0"/>
    <x v="64"/>
    <x v="5"/>
    <x v="1806"/>
    <x v="1"/>
  </r>
  <r>
    <x v="111"/>
    <x v="9"/>
    <x v="1354"/>
    <x v="0"/>
    <x v="229"/>
    <x v="5"/>
    <x v="0"/>
    <x v="0"/>
    <x v="49"/>
    <x v="5"/>
    <x v="1807"/>
    <x v="1"/>
  </r>
  <r>
    <x v="111"/>
    <x v="7"/>
    <x v="1570"/>
    <x v="1"/>
    <x v="131"/>
    <x v="5"/>
    <x v="0"/>
    <x v="1"/>
    <x v="43"/>
    <x v="4"/>
    <x v="1808"/>
    <x v="1"/>
  </r>
  <r>
    <x v="111"/>
    <x v="3"/>
    <x v="308"/>
    <x v="3"/>
    <x v="153"/>
    <x v="5"/>
    <x v="0"/>
    <x v="2"/>
    <x v="43"/>
    <x v="4"/>
    <x v="1809"/>
    <x v="1"/>
  </r>
  <r>
    <x v="111"/>
    <x v="3"/>
    <x v="475"/>
    <x v="1"/>
    <x v="579"/>
    <x v="5"/>
    <x v="0"/>
    <x v="1"/>
    <x v="43"/>
    <x v="4"/>
    <x v="1810"/>
    <x v="1"/>
  </r>
  <r>
    <x v="111"/>
    <x v="38"/>
    <x v="84"/>
    <x v="0"/>
    <x v="500"/>
    <x v="5"/>
    <x v="0"/>
    <x v="0"/>
    <x v="61"/>
    <x v="5"/>
    <x v="1811"/>
    <x v="1"/>
  </r>
  <r>
    <x v="111"/>
    <x v="13"/>
    <x v="964"/>
    <x v="0"/>
    <x v="32"/>
    <x v="5"/>
    <x v="0"/>
    <x v="0"/>
    <x v="64"/>
    <x v="5"/>
    <x v="1812"/>
    <x v="1"/>
  </r>
  <r>
    <x v="111"/>
    <x v="32"/>
    <x v="1207"/>
    <x v="3"/>
    <x v="422"/>
    <x v="5"/>
    <x v="2"/>
    <x v="4"/>
    <x v="221"/>
    <x v="10"/>
    <x v="1813"/>
    <x v="1"/>
  </r>
  <r>
    <x v="111"/>
    <x v="32"/>
    <x v="564"/>
    <x v="2"/>
    <x v="422"/>
    <x v="5"/>
    <x v="2"/>
    <x v="4"/>
    <x v="221"/>
    <x v="10"/>
    <x v="1814"/>
    <x v="1"/>
  </r>
  <r>
    <x v="111"/>
    <x v="32"/>
    <x v="74"/>
    <x v="4"/>
    <x v="279"/>
    <x v="5"/>
    <x v="2"/>
    <x v="4"/>
    <x v="221"/>
    <x v="10"/>
    <x v="1815"/>
    <x v="1"/>
  </r>
  <r>
    <x v="111"/>
    <x v="32"/>
    <x v="1491"/>
    <x v="6"/>
    <x v="422"/>
    <x v="5"/>
    <x v="2"/>
    <x v="4"/>
    <x v="221"/>
    <x v="10"/>
    <x v="1816"/>
    <x v="1"/>
  </r>
  <r>
    <x v="111"/>
    <x v="32"/>
    <x v="1709"/>
    <x v="7"/>
    <x v="422"/>
    <x v="5"/>
    <x v="2"/>
    <x v="4"/>
    <x v="221"/>
    <x v="10"/>
    <x v="1817"/>
    <x v="1"/>
  </r>
  <r>
    <x v="111"/>
    <x v="32"/>
    <x v="511"/>
    <x v="5"/>
    <x v="533"/>
    <x v="5"/>
    <x v="2"/>
    <x v="4"/>
    <x v="221"/>
    <x v="10"/>
    <x v="1818"/>
    <x v="1"/>
  </r>
  <r>
    <x v="111"/>
    <x v="37"/>
    <x v="60"/>
    <x v="1"/>
    <x v="523"/>
    <x v="5"/>
    <x v="0"/>
    <x v="1"/>
    <x v="43"/>
    <x v="12"/>
    <x v="1819"/>
    <x v="1"/>
  </r>
  <r>
    <x v="111"/>
    <x v="0"/>
    <x v="1483"/>
    <x v="0"/>
    <x v="566"/>
    <x v="5"/>
    <x v="0"/>
    <x v="0"/>
    <x v="43"/>
    <x v="9"/>
    <x v="1820"/>
    <x v="1"/>
  </r>
  <r>
    <x v="112"/>
    <x v="12"/>
    <x v="591"/>
    <x v="0"/>
    <x v="17"/>
    <x v="5"/>
    <x v="0"/>
    <x v="0"/>
    <x v="64"/>
    <x v="5"/>
    <x v="1821"/>
    <x v="1"/>
  </r>
  <r>
    <x v="112"/>
    <x v="38"/>
    <x v="180"/>
    <x v="0"/>
    <x v="500"/>
    <x v="5"/>
    <x v="0"/>
    <x v="0"/>
    <x v="61"/>
    <x v="5"/>
    <x v="1822"/>
    <x v="1"/>
  </r>
  <r>
    <x v="112"/>
    <x v="9"/>
    <x v="1267"/>
    <x v="0"/>
    <x v="229"/>
    <x v="5"/>
    <x v="0"/>
    <x v="0"/>
    <x v="49"/>
    <x v="5"/>
    <x v="1823"/>
    <x v="1"/>
  </r>
  <r>
    <x v="112"/>
    <x v="20"/>
    <x v="769"/>
    <x v="0"/>
    <x v="61"/>
    <x v="5"/>
    <x v="0"/>
    <x v="0"/>
    <x v="49"/>
    <x v="5"/>
    <x v="1824"/>
    <x v="1"/>
  </r>
  <r>
    <x v="112"/>
    <x v="15"/>
    <x v="449"/>
    <x v="3"/>
    <x v="353"/>
    <x v="5"/>
    <x v="0"/>
    <x v="2"/>
    <x v="44"/>
    <x v="4"/>
    <x v="1825"/>
    <x v="1"/>
  </r>
  <r>
    <x v="112"/>
    <x v="20"/>
    <x v="58"/>
    <x v="1"/>
    <x v="124"/>
    <x v="5"/>
    <x v="0"/>
    <x v="1"/>
    <x v="44"/>
    <x v="5"/>
    <x v="1826"/>
    <x v="1"/>
  </r>
  <r>
    <x v="112"/>
    <x v="32"/>
    <x v="543"/>
    <x v="3"/>
    <x v="422"/>
    <x v="5"/>
    <x v="2"/>
    <x v="4"/>
    <x v="221"/>
    <x v="10"/>
    <x v="1827"/>
    <x v="1"/>
  </r>
  <r>
    <x v="112"/>
    <x v="32"/>
    <x v="1761"/>
    <x v="7"/>
    <x v="422"/>
    <x v="5"/>
    <x v="2"/>
    <x v="4"/>
    <x v="221"/>
    <x v="10"/>
    <x v="1828"/>
    <x v="1"/>
  </r>
  <r>
    <x v="112"/>
    <x v="32"/>
    <x v="976"/>
    <x v="5"/>
    <x v="533"/>
    <x v="5"/>
    <x v="2"/>
    <x v="4"/>
    <x v="221"/>
    <x v="10"/>
    <x v="1829"/>
    <x v="1"/>
  </r>
  <r>
    <x v="112"/>
    <x v="37"/>
    <x v="60"/>
    <x v="1"/>
    <x v="523"/>
    <x v="5"/>
    <x v="0"/>
    <x v="1"/>
    <x v="44"/>
    <x v="12"/>
    <x v="1830"/>
    <x v="1"/>
  </r>
  <r>
    <x v="112"/>
    <x v="24"/>
    <x v="45"/>
    <x v="1"/>
    <x v="246"/>
    <x v="5"/>
    <x v="0"/>
    <x v="1"/>
    <x v="44"/>
    <x v="6"/>
    <x v="1831"/>
    <x v="1"/>
  </r>
  <r>
    <x v="112"/>
    <x v="12"/>
    <x v="518"/>
    <x v="1"/>
    <x v="515"/>
    <x v="5"/>
    <x v="0"/>
    <x v="1"/>
    <x v="44"/>
    <x v="5"/>
    <x v="1832"/>
    <x v="1"/>
  </r>
  <r>
    <x v="113"/>
    <x v="8"/>
    <x v="779"/>
    <x v="0"/>
    <x v="241"/>
    <x v="5"/>
    <x v="0"/>
    <x v="0"/>
    <x v="53"/>
    <x v="5"/>
    <x v="1833"/>
    <x v="1"/>
  </r>
  <r>
    <x v="113"/>
    <x v="12"/>
    <x v="249"/>
    <x v="0"/>
    <x v="17"/>
    <x v="5"/>
    <x v="0"/>
    <x v="0"/>
    <x v="64"/>
    <x v="5"/>
    <x v="1834"/>
    <x v="1"/>
  </r>
  <r>
    <x v="113"/>
    <x v="9"/>
    <x v="913"/>
    <x v="0"/>
    <x v="229"/>
    <x v="5"/>
    <x v="0"/>
    <x v="0"/>
    <x v="49"/>
    <x v="5"/>
    <x v="1835"/>
    <x v="1"/>
  </r>
  <r>
    <x v="113"/>
    <x v="19"/>
    <x v="803"/>
    <x v="0"/>
    <x v="474"/>
    <x v="5"/>
    <x v="0"/>
    <x v="0"/>
    <x v="51"/>
    <x v="3"/>
    <x v="1836"/>
    <x v="1"/>
  </r>
  <r>
    <x v="113"/>
    <x v="38"/>
    <x v="142"/>
    <x v="0"/>
    <x v="500"/>
    <x v="5"/>
    <x v="0"/>
    <x v="0"/>
    <x v="61"/>
    <x v="5"/>
    <x v="1837"/>
    <x v="1"/>
  </r>
  <r>
    <x v="113"/>
    <x v="24"/>
    <x v="1525"/>
    <x v="1"/>
    <x v="232"/>
    <x v="5"/>
    <x v="0"/>
    <x v="1"/>
    <x v="45"/>
    <x v="6"/>
    <x v="1838"/>
    <x v="1"/>
  </r>
  <r>
    <x v="113"/>
    <x v="28"/>
    <x v="641"/>
    <x v="1"/>
    <x v="494"/>
    <x v="5"/>
    <x v="0"/>
    <x v="1"/>
    <x v="45"/>
    <x v="0"/>
    <x v="1839"/>
    <x v="1"/>
  </r>
  <r>
    <x v="113"/>
    <x v="32"/>
    <x v="305"/>
    <x v="3"/>
    <x v="422"/>
    <x v="5"/>
    <x v="2"/>
    <x v="4"/>
    <x v="221"/>
    <x v="10"/>
    <x v="1840"/>
    <x v="1"/>
  </r>
  <r>
    <x v="113"/>
    <x v="32"/>
    <x v="1340"/>
    <x v="2"/>
    <x v="422"/>
    <x v="5"/>
    <x v="2"/>
    <x v="4"/>
    <x v="221"/>
    <x v="10"/>
    <x v="1841"/>
    <x v="1"/>
  </r>
  <r>
    <x v="113"/>
    <x v="32"/>
    <x v="87"/>
    <x v="6"/>
    <x v="422"/>
    <x v="5"/>
    <x v="2"/>
    <x v="4"/>
    <x v="221"/>
    <x v="10"/>
    <x v="1842"/>
    <x v="1"/>
  </r>
  <r>
    <x v="113"/>
    <x v="32"/>
    <x v="1735"/>
    <x v="7"/>
    <x v="422"/>
    <x v="5"/>
    <x v="2"/>
    <x v="4"/>
    <x v="221"/>
    <x v="10"/>
    <x v="1843"/>
    <x v="1"/>
  </r>
  <r>
    <x v="113"/>
    <x v="32"/>
    <x v="1423"/>
    <x v="5"/>
    <x v="533"/>
    <x v="5"/>
    <x v="2"/>
    <x v="4"/>
    <x v="221"/>
    <x v="10"/>
    <x v="1844"/>
    <x v="1"/>
  </r>
  <r>
    <x v="113"/>
    <x v="38"/>
    <x v="19"/>
    <x v="3"/>
    <x v="444"/>
    <x v="5"/>
    <x v="0"/>
    <x v="2"/>
    <x v="45"/>
    <x v="5"/>
    <x v="1845"/>
    <x v="1"/>
  </r>
  <r>
    <x v="113"/>
    <x v="37"/>
    <x v="65"/>
    <x v="1"/>
    <x v="523"/>
    <x v="5"/>
    <x v="0"/>
    <x v="1"/>
    <x v="45"/>
    <x v="12"/>
    <x v="1846"/>
    <x v="1"/>
  </r>
  <r>
    <x v="114"/>
    <x v="9"/>
    <x v="1538"/>
    <x v="0"/>
    <x v="229"/>
    <x v="5"/>
    <x v="0"/>
    <x v="0"/>
    <x v="55"/>
    <x v="5"/>
    <x v="1847"/>
    <x v="1"/>
  </r>
  <r>
    <x v="114"/>
    <x v="12"/>
    <x v="496"/>
    <x v="0"/>
    <x v="17"/>
    <x v="5"/>
    <x v="0"/>
    <x v="0"/>
    <x v="64"/>
    <x v="5"/>
    <x v="1848"/>
    <x v="1"/>
  </r>
  <r>
    <x v="114"/>
    <x v="38"/>
    <x v="225"/>
    <x v="0"/>
    <x v="500"/>
    <x v="5"/>
    <x v="0"/>
    <x v="0"/>
    <x v="61"/>
    <x v="5"/>
    <x v="1849"/>
    <x v="1"/>
  </r>
  <r>
    <x v="114"/>
    <x v="8"/>
    <x v="449"/>
    <x v="0"/>
    <x v="241"/>
    <x v="5"/>
    <x v="0"/>
    <x v="0"/>
    <x v="53"/>
    <x v="5"/>
    <x v="1850"/>
    <x v="1"/>
  </r>
  <r>
    <x v="114"/>
    <x v="20"/>
    <x v="958"/>
    <x v="0"/>
    <x v="61"/>
    <x v="5"/>
    <x v="0"/>
    <x v="0"/>
    <x v="54"/>
    <x v="5"/>
    <x v="1851"/>
    <x v="1"/>
  </r>
  <r>
    <x v="114"/>
    <x v="1"/>
    <x v="127"/>
    <x v="3"/>
    <x v="431"/>
    <x v="5"/>
    <x v="0"/>
    <x v="2"/>
    <x v="46"/>
    <x v="4"/>
    <x v="1852"/>
    <x v="1"/>
  </r>
  <r>
    <x v="114"/>
    <x v="3"/>
    <x v="308"/>
    <x v="3"/>
    <x v="153"/>
    <x v="5"/>
    <x v="0"/>
    <x v="2"/>
    <x v="46"/>
    <x v="4"/>
    <x v="1853"/>
    <x v="1"/>
  </r>
  <r>
    <x v="114"/>
    <x v="38"/>
    <x v="357"/>
    <x v="1"/>
    <x v="389"/>
    <x v="5"/>
    <x v="0"/>
    <x v="1"/>
    <x v="46"/>
    <x v="5"/>
    <x v="1854"/>
    <x v="1"/>
  </r>
  <r>
    <x v="114"/>
    <x v="24"/>
    <x v="134"/>
    <x v="1"/>
    <x v="223"/>
    <x v="5"/>
    <x v="0"/>
    <x v="1"/>
    <x v="46"/>
    <x v="6"/>
    <x v="1855"/>
    <x v="1"/>
  </r>
  <r>
    <x v="114"/>
    <x v="32"/>
    <x v="1533"/>
    <x v="3"/>
    <x v="422"/>
    <x v="5"/>
    <x v="2"/>
    <x v="4"/>
    <x v="221"/>
    <x v="10"/>
    <x v="1856"/>
    <x v="1"/>
  </r>
  <r>
    <x v="114"/>
    <x v="32"/>
    <x v="191"/>
    <x v="6"/>
    <x v="422"/>
    <x v="5"/>
    <x v="2"/>
    <x v="4"/>
    <x v="221"/>
    <x v="10"/>
    <x v="1857"/>
    <x v="1"/>
  </r>
  <r>
    <x v="114"/>
    <x v="32"/>
    <x v="1733"/>
    <x v="7"/>
    <x v="422"/>
    <x v="5"/>
    <x v="2"/>
    <x v="4"/>
    <x v="221"/>
    <x v="10"/>
    <x v="1858"/>
    <x v="1"/>
  </r>
  <r>
    <x v="114"/>
    <x v="32"/>
    <x v="256"/>
    <x v="8"/>
    <x v="422"/>
    <x v="5"/>
    <x v="2"/>
    <x v="4"/>
    <x v="221"/>
    <x v="10"/>
    <x v="1859"/>
    <x v="1"/>
  </r>
  <r>
    <x v="114"/>
    <x v="32"/>
    <x v="1030"/>
    <x v="5"/>
    <x v="533"/>
    <x v="5"/>
    <x v="2"/>
    <x v="4"/>
    <x v="221"/>
    <x v="10"/>
    <x v="1860"/>
    <x v="1"/>
  </r>
  <r>
    <x v="114"/>
    <x v="37"/>
    <x v="65"/>
    <x v="1"/>
    <x v="523"/>
    <x v="5"/>
    <x v="0"/>
    <x v="1"/>
    <x v="46"/>
    <x v="12"/>
    <x v="1861"/>
    <x v="1"/>
  </r>
  <r>
    <x v="114"/>
    <x v="19"/>
    <x v="803"/>
    <x v="0"/>
    <x v="474"/>
    <x v="5"/>
    <x v="0"/>
    <x v="0"/>
    <x v="51"/>
    <x v="3"/>
    <x v="1862"/>
    <x v="1"/>
  </r>
  <r>
    <x v="115"/>
    <x v="9"/>
    <x v="689"/>
    <x v="0"/>
    <x v="229"/>
    <x v="5"/>
    <x v="0"/>
    <x v="0"/>
    <x v="55"/>
    <x v="5"/>
    <x v="1863"/>
    <x v="1"/>
  </r>
  <r>
    <x v="115"/>
    <x v="12"/>
    <x v="329"/>
    <x v="0"/>
    <x v="17"/>
    <x v="5"/>
    <x v="0"/>
    <x v="0"/>
    <x v="64"/>
    <x v="5"/>
    <x v="1864"/>
    <x v="1"/>
  </r>
  <r>
    <x v="115"/>
    <x v="20"/>
    <x v="1188"/>
    <x v="0"/>
    <x v="61"/>
    <x v="5"/>
    <x v="0"/>
    <x v="0"/>
    <x v="55"/>
    <x v="5"/>
    <x v="1865"/>
    <x v="1"/>
  </r>
  <r>
    <x v="115"/>
    <x v="20"/>
    <x v="49"/>
    <x v="1"/>
    <x v="381"/>
    <x v="5"/>
    <x v="0"/>
    <x v="1"/>
    <x v="47"/>
    <x v="5"/>
    <x v="1866"/>
    <x v="1"/>
  </r>
  <r>
    <x v="115"/>
    <x v="1"/>
    <x v="127"/>
    <x v="1"/>
    <x v="431"/>
    <x v="5"/>
    <x v="0"/>
    <x v="1"/>
    <x v="47"/>
    <x v="4"/>
    <x v="1867"/>
    <x v="1"/>
  </r>
  <r>
    <x v="115"/>
    <x v="27"/>
    <x v="925"/>
    <x v="1"/>
    <x v="5"/>
    <x v="5"/>
    <x v="0"/>
    <x v="1"/>
    <x v="47"/>
    <x v="5"/>
    <x v="1868"/>
    <x v="1"/>
  </r>
  <r>
    <x v="115"/>
    <x v="12"/>
    <x v="158"/>
    <x v="1"/>
    <x v="406"/>
    <x v="5"/>
    <x v="0"/>
    <x v="1"/>
    <x v="47"/>
    <x v="5"/>
    <x v="1869"/>
    <x v="1"/>
  </r>
  <r>
    <x v="115"/>
    <x v="38"/>
    <x v="160"/>
    <x v="0"/>
    <x v="500"/>
    <x v="5"/>
    <x v="0"/>
    <x v="0"/>
    <x v="61"/>
    <x v="5"/>
    <x v="1870"/>
    <x v="1"/>
  </r>
  <r>
    <x v="115"/>
    <x v="20"/>
    <x v="90"/>
    <x v="1"/>
    <x v="29"/>
    <x v="5"/>
    <x v="0"/>
    <x v="1"/>
    <x v="47"/>
    <x v="5"/>
    <x v="1871"/>
    <x v="1"/>
  </r>
  <r>
    <x v="115"/>
    <x v="19"/>
    <x v="803"/>
    <x v="0"/>
    <x v="474"/>
    <x v="5"/>
    <x v="0"/>
    <x v="0"/>
    <x v="62"/>
    <x v="3"/>
    <x v="1872"/>
    <x v="1"/>
  </r>
  <r>
    <x v="115"/>
    <x v="22"/>
    <x v="318"/>
    <x v="3"/>
    <x v="259"/>
    <x v="5"/>
    <x v="0"/>
    <x v="2"/>
    <x v="47"/>
    <x v="3"/>
    <x v="1873"/>
    <x v="1"/>
  </r>
  <r>
    <x v="115"/>
    <x v="32"/>
    <x v="1525"/>
    <x v="3"/>
    <x v="422"/>
    <x v="5"/>
    <x v="2"/>
    <x v="4"/>
    <x v="221"/>
    <x v="10"/>
    <x v="1874"/>
    <x v="1"/>
  </r>
  <r>
    <x v="115"/>
    <x v="32"/>
    <x v="799"/>
    <x v="2"/>
    <x v="422"/>
    <x v="5"/>
    <x v="2"/>
    <x v="4"/>
    <x v="221"/>
    <x v="10"/>
    <x v="1875"/>
    <x v="1"/>
  </r>
  <r>
    <x v="115"/>
    <x v="32"/>
    <x v="1888"/>
    <x v="7"/>
    <x v="422"/>
    <x v="5"/>
    <x v="2"/>
    <x v="4"/>
    <x v="221"/>
    <x v="10"/>
    <x v="1876"/>
    <x v="1"/>
  </r>
  <r>
    <x v="115"/>
    <x v="32"/>
    <x v="1147"/>
    <x v="5"/>
    <x v="533"/>
    <x v="5"/>
    <x v="2"/>
    <x v="4"/>
    <x v="221"/>
    <x v="10"/>
    <x v="1877"/>
    <x v="1"/>
  </r>
  <r>
    <x v="115"/>
    <x v="32"/>
    <x v="15"/>
    <x v="6"/>
    <x v="422"/>
    <x v="5"/>
    <x v="0"/>
    <x v="2"/>
    <x v="47"/>
    <x v="10"/>
    <x v="1878"/>
    <x v="1"/>
  </r>
  <r>
    <x v="115"/>
    <x v="37"/>
    <x v="58"/>
    <x v="1"/>
    <x v="523"/>
    <x v="5"/>
    <x v="0"/>
    <x v="1"/>
    <x v="47"/>
    <x v="12"/>
    <x v="1879"/>
    <x v="1"/>
  </r>
  <r>
    <x v="116"/>
    <x v="12"/>
    <x v="664"/>
    <x v="0"/>
    <x v="17"/>
    <x v="5"/>
    <x v="0"/>
    <x v="0"/>
    <x v="64"/>
    <x v="5"/>
    <x v="1880"/>
    <x v="1"/>
  </r>
  <r>
    <x v="116"/>
    <x v="9"/>
    <x v="1519"/>
    <x v="0"/>
    <x v="229"/>
    <x v="5"/>
    <x v="0"/>
    <x v="0"/>
    <x v="55"/>
    <x v="5"/>
    <x v="1881"/>
    <x v="1"/>
  </r>
  <r>
    <x v="116"/>
    <x v="8"/>
    <x v="449"/>
    <x v="0"/>
    <x v="241"/>
    <x v="5"/>
    <x v="0"/>
    <x v="0"/>
    <x v="53"/>
    <x v="5"/>
    <x v="1882"/>
    <x v="1"/>
  </r>
  <r>
    <x v="116"/>
    <x v="24"/>
    <x v="527"/>
    <x v="1"/>
    <x v="288"/>
    <x v="5"/>
    <x v="0"/>
    <x v="1"/>
    <x v="48"/>
    <x v="6"/>
    <x v="1883"/>
    <x v="1"/>
  </r>
  <r>
    <x v="116"/>
    <x v="28"/>
    <x v="138"/>
    <x v="1"/>
    <x v="371"/>
    <x v="5"/>
    <x v="0"/>
    <x v="1"/>
    <x v="48"/>
    <x v="0"/>
    <x v="1884"/>
    <x v="1"/>
  </r>
  <r>
    <x v="116"/>
    <x v="3"/>
    <x v="475"/>
    <x v="3"/>
    <x v="579"/>
    <x v="5"/>
    <x v="0"/>
    <x v="2"/>
    <x v="48"/>
    <x v="4"/>
    <x v="1885"/>
    <x v="1"/>
  </r>
  <r>
    <x v="116"/>
    <x v="15"/>
    <x v="475"/>
    <x v="1"/>
    <x v="353"/>
    <x v="5"/>
    <x v="0"/>
    <x v="1"/>
    <x v="48"/>
    <x v="4"/>
    <x v="1886"/>
    <x v="1"/>
  </r>
  <r>
    <x v="116"/>
    <x v="0"/>
    <x v="318"/>
    <x v="1"/>
    <x v="371"/>
    <x v="5"/>
    <x v="0"/>
    <x v="1"/>
    <x v="48"/>
    <x v="9"/>
    <x v="1887"/>
    <x v="1"/>
  </r>
  <r>
    <x v="116"/>
    <x v="18"/>
    <x v="375"/>
    <x v="3"/>
    <x v="140"/>
    <x v="5"/>
    <x v="0"/>
    <x v="2"/>
    <x v="48"/>
    <x v="3"/>
    <x v="1888"/>
    <x v="1"/>
  </r>
  <r>
    <x v="116"/>
    <x v="38"/>
    <x v="228"/>
    <x v="0"/>
    <x v="500"/>
    <x v="5"/>
    <x v="0"/>
    <x v="0"/>
    <x v="61"/>
    <x v="5"/>
    <x v="1889"/>
    <x v="1"/>
  </r>
  <r>
    <x v="116"/>
    <x v="32"/>
    <x v="100"/>
    <x v="6"/>
    <x v="422"/>
    <x v="5"/>
    <x v="2"/>
    <x v="4"/>
    <x v="221"/>
    <x v="10"/>
    <x v="1890"/>
    <x v="1"/>
  </r>
  <r>
    <x v="116"/>
    <x v="32"/>
    <x v="1539"/>
    <x v="7"/>
    <x v="422"/>
    <x v="5"/>
    <x v="2"/>
    <x v="4"/>
    <x v="221"/>
    <x v="10"/>
    <x v="1891"/>
    <x v="1"/>
  </r>
  <r>
    <x v="116"/>
    <x v="32"/>
    <x v="1124"/>
    <x v="5"/>
    <x v="533"/>
    <x v="5"/>
    <x v="2"/>
    <x v="4"/>
    <x v="221"/>
    <x v="10"/>
    <x v="1892"/>
    <x v="1"/>
  </r>
  <r>
    <x v="116"/>
    <x v="32"/>
    <x v="1394"/>
    <x v="3"/>
    <x v="422"/>
    <x v="5"/>
    <x v="2"/>
    <x v="4"/>
    <x v="221"/>
    <x v="10"/>
    <x v="1893"/>
    <x v="1"/>
  </r>
  <r>
    <x v="116"/>
    <x v="37"/>
    <x v="45"/>
    <x v="1"/>
    <x v="523"/>
    <x v="5"/>
    <x v="0"/>
    <x v="1"/>
    <x v="48"/>
    <x v="12"/>
    <x v="1894"/>
    <x v="1"/>
  </r>
  <r>
    <x v="116"/>
    <x v="23"/>
    <x v="22"/>
    <x v="3"/>
    <x v="285"/>
    <x v="5"/>
    <x v="0"/>
    <x v="2"/>
    <x v="48"/>
    <x v="6"/>
    <x v="1895"/>
    <x v="1"/>
  </r>
  <r>
    <x v="117"/>
    <x v="9"/>
    <x v="940"/>
    <x v="0"/>
    <x v="229"/>
    <x v="5"/>
    <x v="0"/>
    <x v="0"/>
    <x v="56"/>
    <x v="5"/>
    <x v="1896"/>
    <x v="1"/>
  </r>
  <r>
    <x v="117"/>
    <x v="12"/>
    <x v="395"/>
    <x v="0"/>
    <x v="17"/>
    <x v="5"/>
    <x v="0"/>
    <x v="0"/>
    <x v="64"/>
    <x v="5"/>
    <x v="1897"/>
    <x v="1"/>
  </r>
  <r>
    <x v="117"/>
    <x v="20"/>
    <x v="966"/>
    <x v="0"/>
    <x v="61"/>
    <x v="5"/>
    <x v="0"/>
    <x v="0"/>
    <x v="55"/>
    <x v="5"/>
    <x v="1898"/>
    <x v="1"/>
  </r>
  <r>
    <x v="117"/>
    <x v="38"/>
    <x v="91"/>
    <x v="0"/>
    <x v="500"/>
    <x v="5"/>
    <x v="0"/>
    <x v="0"/>
    <x v="61"/>
    <x v="5"/>
    <x v="1899"/>
    <x v="1"/>
  </r>
  <r>
    <x v="117"/>
    <x v="1"/>
    <x v="48"/>
    <x v="1"/>
    <x v="431"/>
    <x v="5"/>
    <x v="0"/>
    <x v="1"/>
    <x v="49"/>
    <x v="4"/>
    <x v="1900"/>
    <x v="1"/>
  </r>
  <r>
    <x v="117"/>
    <x v="37"/>
    <x v="62"/>
    <x v="1"/>
    <x v="523"/>
    <x v="5"/>
    <x v="0"/>
    <x v="1"/>
    <x v="49"/>
    <x v="12"/>
    <x v="1901"/>
    <x v="1"/>
  </r>
  <r>
    <x v="117"/>
    <x v="23"/>
    <x v="5"/>
    <x v="3"/>
    <x v="285"/>
    <x v="5"/>
    <x v="0"/>
    <x v="2"/>
    <x v="49"/>
    <x v="6"/>
    <x v="1902"/>
    <x v="1"/>
  </r>
  <r>
    <x v="117"/>
    <x v="32"/>
    <x v="896"/>
    <x v="3"/>
    <x v="422"/>
    <x v="5"/>
    <x v="2"/>
    <x v="4"/>
    <x v="221"/>
    <x v="10"/>
    <x v="1903"/>
    <x v="1"/>
  </r>
  <r>
    <x v="117"/>
    <x v="32"/>
    <x v="74"/>
    <x v="2"/>
    <x v="422"/>
    <x v="5"/>
    <x v="2"/>
    <x v="4"/>
    <x v="221"/>
    <x v="10"/>
    <x v="1904"/>
    <x v="1"/>
  </r>
  <r>
    <x v="117"/>
    <x v="32"/>
    <x v="726"/>
    <x v="6"/>
    <x v="422"/>
    <x v="5"/>
    <x v="2"/>
    <x v="4"/>
    <x v="221"/>
    <x v="10"/>
    <x v="1905"/>
    <x v="1"/>
  </r>
  <r>
    <x v="117"/>
    <x v="32"/>
    <x v="1568"/>
    <x v="7"/>
    <x v="422"/>
    <x v="5"/>
    <x v="2"/>
    <x v="4"/>
    <x v="221"/>
    <x v="10"/>
    <x v="1906"/>
    <x v="1"/>
  </r>
  <r>
    <x v="117"/>
    <x v="32"/>
    <x v="977"/>
    <x v="5"/>
    <x v="533"/>
    <x v="5"/>
    <x v="2"/>
    <x v="4"/>
    <x v="221"/>
    <x v="10"/>
    <x v="1907"/>
    <x v="1"/>
  </r>
  <r>
    <x v="118"/>
    <x v="12"/>
    <x v="187"/>
    <x v="0"/>
    <x v="17"/>
    <x v="5"/>
    <x v="0"/>
    <x v="0"/>
    <x v="76"/>
    <x v="5"/>
    <x v="1908"/>
    <x v="1"/>
  </r>
  <r>
    <x v="118"/>
    <x v="8"/>
    <x v="779"/>
    <x v="0"/>
    <x v="241"/>
    <x v="5"/>
    <x v="0"/>
    <x v="0"/>
    <x v="53"/>
    <x v="5"/>
    <x v="1909"/>
    <x v="1"/>
  </r>
  <r>
    <x v="118"/>
    <x v="20"/>
    <x v="874"/>
    <x v="0"/>
    <x v="61"/>
    <x v="5"/>
    <x v="0"/>
    <x v="0"/>
    <x v="56"/>
    <x v="5"/>
    <x v="1910"/>
    <x v="1"/>
  </r>
  <r>
    <x v="133"/>
    <x v="0"/>
    <x v="1707"/>
    <x v="0"/>
    <x v="566"/>
    <x v="6"/>
    <x v="0"/>
    <x v="0"/>
    <x v="221"/>
    <x v="9"/>
    <x v="1911"/>
    <x v="1"/>
  </r>
  <r>
    <x v="158"/>
    <x v="0"/>
    <x v="1483"/>
    <x v="0"/>
    <x v="566"/>
    <x v="6"/>
    <x v="0"/>
    <x v="0"/>
    <x v="221"/>
    <x v="9"/>
    <x v="1912"/>
    <x v="1"/>
  </r>
  <r>
    <x v="118"/>
    <x v="0"/>
    <x v="518"/>
    <x v="0"/>
    <x v="566"/>
    <x v="5"/>
    <x v="0"/>
    <x v="3"/>
    <x v="49"/>
    <x v="9"/>
    <x v="1913"/>
    <x v="0"/>
  </r>
  <r>
    <x v="118"/>
    <x v="1"/>
    <x v="33"/>
    <x v="3"/>
    <x v="431"/>
    <x v="5"/>
    <x v="0"/>
    <x v="2"/>
    <x v="50"/>
    <x v="4"/>
    <x v="1914"/>
    <x v="1"/>
  </r>
  <r>
    <x v="118"/>
    <x v="13"/>
    <x v="1231"/>
    <x v="0"/>
    <x v="32"/>
    <x v="5"/>
    <x v="0"/>
    <x v="0"/>
    <x v="75"/>
    <x v="5"/>
    <x v="1915"/>
    <x v="1"/>
  </r>
  <r>
    <x v="118"/>
    <x v="26"/>
    <x v="90"/>
    <x v="1"/>
    <x v="344"/>
    <x v="5"/>
    <x v="0"/>
    <x v="1"/>
    <x v="50"/>
    <x v="5"/>
    <x v="1916"/>
    <x v="1"/>
  </r>
  <r>
    <x v="118"/>
    <x v="19"/>
    <x v="803"/>
    <x v="0"/>
    <x v="474"/>
    <x v="5"/>
    <x v="0"/>
    <x v="0"/>
    <x v="62"/>
    <x v="3"/>
    <x v="1917"/>
    <x v="1"/>
  </r>
  <r>
    <x v="118"/>
    <x v="38"/>
    <x v="192"/>
    <x v="0"/>
    <x v="500"/>
    <x v="5"/>
    <x v="0"/>
    <x v="0"/>
    <x v="61"/>
    <x v="5"/>
    <x v="1918"/>
    <x v="1"/>
  </r>
  <r>
    <x v="118"/>
    <x v="24"/>
    <x v="1382"/>
    <x v="1"/>
    <x v="79"/>
    <x v="5"/>
    <x v="0"/>
    <x v="1"/>
    <x v="50"/>
    <x v="6"/>
    <x v="1919"/>
    <x v="1"/>
  </r>
  <r>
    <x v="118"/>
    <x v="32"/>
    <x v="1597"/>
    <x v="3"/>
    <x v="422"/>
    <x v="5"/>
    <x v="2"/>
    <x v="4"/>
    <x v="221"/>
    <x v="10"/>
    <x v="1920"/>
    <x v="1"/>
  </r>
  <r>
    <x v="118"/>
    <x v="32"/>
    <x v="666"/>
    <x v="2"/>
    <x v="422"/>
    <x v="5"/>
    <x v="2"/>
    <x v="4"/>
    <x v="221"/>
    <x v="10"/>
    <x v="1921"/>
    <x v="1"/>
  </r>
  <r>
    <x v="118"/>
    <x v="32"/>
    <x v="138"/>
    <x v="6"/>
    <x v="422"/>
    <x v="5"/>
    <x v="2"/>
    <x v="4"/>
    <x v="221"/>
    <x v="10"/>
    <x v="1922"/>
    <x v="1"/>
  </r>
  <r>
    <x v="118"/>
    <x v="32"/>
    <x v="1702"/>
    <x v="7"/>
    <x v="422"/>
    <x v="5"/>
    <x v="2"/>
    <x v="4"/>
    <x v="221"/>
    <x v="10"/>
    <x v="1923"/>
    <x v="1"/>
  </r>
  <r>
    <x v="118"/>
    <x v="32"/>
    <x v="1144"/>
    <x v="5"/>
    <x v="533"/>
    <x v="5"/>
    <x v="2"/>
    <x v="4"/>
    <x v="221"/>
    <x v="10"/>
    <x v="1924"/>
    <x v="1"/>
  </r>
  <r>
    <x v="118"/>
    <x v="23"/>
    <x v="9"/>
    <x v="3"/>
    <x v="285"/>
    <x v="5"/>
    <x v="0"/>
    <x v="2"/>
    <x v="50"/>
    <x v="6"/>
    <x v="1925"/>
    <x v="1"/>
  </r>
  <r>
    <x v="118"/>
    <x v="37"/>
    <x v="60"/>
    <x v="1"/>
    <x v="523"/>
    <x v="5"/>
    <x v="0"/>
    <x v="1"/>
    <x v="50"/>
    <x v="12"/>
    <x v="1926"/>
    <x v="1"/>
  </r>
  <r>
    <x v="119"/>
    <x v="9"/>
    <x v="1499"/>
    <x v="0"/>
    <x v="229"/>
    <x v="5"/>
    <x v="0"/>
    <x v="0"/>
    <x v="58"/>
    <x v="5"/>
    <x v="1927"/>
    <x v="1"/>
  </r>
  <r>
    <x v="119"/>
    <x v="12"/>
    <x v="441"/>
    <x v="0"/>
    <x v="17"/>
    <x v="5"/>
    <x v="0"/>
    <x v="0"/>
    <x v="76"/>
    <x v="5"/>
    <x v="1928"/>
    <x v="1"/>
  </r>
  <r>
    <x v="119"/>
    <x v="20"/>
    <x v="230"/>
    <x v="0"/>
    <x v="61"/>
    <x v="5"/>
    <x v="0"/>
    <x v="0"/>
    <x v="58"/>
    <x v="5"/>
    <x v="1929"/>
    <x v="1"/>
  </r>
  <r>
    <x v="119"/>
    <x v="1"/>
    <x v="60"/>
    <x v="1"/>
    <x v="431"/>
    <x v="5"/>
    <x v="0"/>
    <x v="1"/>
    <x v="51"/>
    <x v="4"/>
    <x v="1930"/>
    <x v="1"/>
  </r>
  <r>
    <x v="119"/>
    <x v="38"/>
    <x v="45"/>
    <x v="1"/>
    <x v="401"/>
    <x v="5"/>
    <x v="0"/>
    <x v="1"/>
    <x v="51"/>
    <x v="5"/>
    <x v="1931"/>
    <x v="1"/>
  </r>
  <r>
    <x v="119"/>
    <x v="27"/>
    <x v="1134"/>
    <x v="1"/>
    <x v="5"/>
    <x v="5"/>
    <x v="0"/>
    <x v="1"/>
    <x v="51"/>
    <x v="5"/>
    <x v="1932"/>
    <x v="1"/>
  </r>
  <r>
    <x v="119"/>
    <x v="38"/>
    <x v="199"/>
    <x v="0"/>
    <x v="500"/>
    <x v="5"/>
    <x v="0"/>
    <x v="0"/>
    <x v="61"/>
    <x v="5"/>
    <x v="1933"/>
    <x v="1"/>
  </r>
  <r>
    <x v="119"/>
    <x v="15"/>
    <x v="468"/>
    <x v="3"/>
    <x v="353"/>
    <x v="5"/>
    <x v="0"/>
    <x v="2"/>
    <x v="51"/>
    <x v="4"/>
    <x v="1934"/>
    <x v="1"/>
  </r>
  <r>
    <x v="119"/>
    <x v="21"/>
    <x v="508"/>
    <x v="3"/>
    <x v="442"/>
    <x v="5"/>
    <x v="0"/>
    <x v="2"/>
    <x v="51"/>
    <x v="3"/>
    <x v="1935"/>
    <x v="1"/>
  </r>
  <r>
    <x v="119"/>
    <x v="19"/>
    <x v="803"/>
    <x v="0"/>
    <x v="474"/>
    <x v="5"/>
    <x v="0"/>
    <x v="0"/>
    <x v="62"/>
    <x v="3"/>
    <x v="1936"/>
    <x v="1"/>
  </r>
  <r>
    <x v="119"/>
    <x v="13"/>
    <x v="69"/>
    <x v="1"/>
    <x v="403"/>
    <x v="5"/>
    <x v="0"/>
    <x v="1"/>
    <x v="51"/>
    <x v="5"/>
    <x v="1937"/>
    <x v="1"/>
  </r>
  <r>
    <x v="119"/>
    <x v="12"/>
    <x v="205"/>
    <x v="1"/>
    <x v="397"/>
    <x v="5"/>
    <x v="0"/>
    <x v="1"/>
    <x v="51"/>
    <x v="5"/>
    <x v="1938"/>
    <x v="1"/>
  </r>
  <r>
    <x v="119"/>
    <x v="32"/>
    <x v="858"/>
    <x v="3"/>
    <x v="422"/>
    <x v="5"/>
    <x v="2"/>
    <x v="4"/>
    <x v="221"/>
    <x v="10"/>
    <x v="1939"/>
    <x v="1"/>
  </r>
  <r>
    <x v="119"/>
    <x v="32"/>
    <x v="540"/>
    <x v="2"/>
    <x v="422"/>
    <x v="5"/>
    <x v="2"/>
    <x v="4"/>
    <x v="221"/>
    <x v="10"/>
    <x v="1940"/>
    <x v="1"/>
  </r>
  <r>
    <x v="119"/>
    <x v="32"/>
    <x v="518"/>
    <x v="6"/>
    <x v="422"/>
    <x v="5"/>
    <x v="2"/>
    <x v="4"/>
    <x v="221"/>
    <x v="10"/>
    <x v="1941"/>
    <x v="1"/>
  </r>
  <r>
    <x v="119"/>
    <x v="32"/>
    <x v="1819"/>
    <x v="7"/>
    <x v="422"/>
    <x v="5"/>
    <x v="2"/>
    <x v="4"/>
    <x v="221"/>
    <x v="10"/>
    <x v="1942"/>
    <x v="1"/>
  </r>
  <r>
    <x v="119"/>
    <x v="32"/>
    <x v="826"/>
    <x v="5"/>
    <x v="533"/>
    <x v="5"/>
    <x v="2"/>
    <x v="4"/>
    <x v="221"/>
    <x v="10"/>
    <x v="1943"/>
    <x v="1"/>
  </r>
  <r>
    <x v="119"/>
    <x v="38"/>
    <x v="15"/>
    <x v="3"/>
    <x v="444"/>
    <x v="5"/>
    <x v="0"/>
    <x v="2"/>
    <x v="51"/>
    <x v="5"/>
    <x v="1944"/>
    <x v="1"/>
  </r>
  <r>
    <x v="119"/>
    <x v="23"/>
    <x v="8"/>
    <x v="3"/>
    <x v="285"/>
    <x v="5"/>
    <x v="0"/>
    <x v="2"/>
    <x v="51"/>
    <x v="6"/>
    <x v="1945"/>
    <x v="1"/>
  </r>
  <r>
    <x v="119"/>
    <x v="37"/>
    <x v="74"/>
    <x v="1"/>
    <x v="523"/>
    <x v="5"/>
    <x v="0"/>
    <x v="1"/>
    <x v="51"/>
    <x v="12"/>
    <x v="1946"/>
    <x v="1"/>
  </r>
  <r>
    <x v="119"/>
    <x v="0"/>
    <x v="87"/>
    <x v="1"/>
    <x v="453"/>
    <x v="5"/>
    <x v="0"/>
    <x v="1"/>
    <x v="51"/>
    <x v="9"/>
    <x v="1947"/>
    <x v="1"/>
  </r>
  <r>
    <x v="119"/>
    <x v="0"/>
    <x v="45"/>
    <x v="1"/>
    <x v="352"/>
    <x v="5"/>
    <x v="0"/>
    <x v="1"/>
    <x v="51"/>
    <x v="9"/>
    <x v="1948"/>
    <x v="1"/>
  </r>
  <r>
    <x v="120"/>
    <x v="20"/>
    <x v="1302"/>
    <x v="0"/>
    <x v="61"/>
    <x v="5"/>
    <x v="0"/>
    <x v="0"/>
    <x v="58"/>
    <x v="5"/>
    <x v="1949"/>
    <x v="1"/>
  </r>
  <r>
    <x v="120"/>
    <x v="8"/>
    <x v="779"/>
    <x v="0"/>
    <x v="241"/>
    <x v="5"/>
    <x v="0"/>
    <x v="0"/>
    <x v="62"/>
    <x v="5"/>
    <x v="1950"/>
    <x v="1"/>
  </r>
  <r>
    <x v="120"/>
    <x v="9"/>
    <x v="1473"/>
    <x v="0"/>
    <x v="229"/>
    <x v="5"/>
    <x v="0"/>
    <x v="0"/>
    <x v="58"/>
    <x v="5"/>
    <x v="1951"/>
    <x v="1"/>
  </r>
  <r>
    <x v="120"/>
    <x v="20"/>
    <x v="1153"/>
    <x v="0"/>
    <x v="253"/>
    <x v="5"/>
    <x v="0"/>
    <x v="3"/>
    <x v="51"/>
    <x v="5"/>
    <x v="1952"/>
    <x v="1"/>
  </r>
  <r>
    <x v="120"/>
    <x v="12"/>
    <x v="417"/>
    <x v="0"/>
    <x v="17"/>
    <x v="5"/>
    <x v="0"/>
    <x v="0"/>
    <x v="76"/>
    <x v="5"/>
    <x v="1953"/>
    <x v="1"/>
  </r>
  <r>
    <x v="120"/>
    <x v="1"/>
    <x v="76"/>
    <x v="3"/>
    <x v="431"/>
    <x v="5"/>
    <x v="0"/>
    <x v="2"/>
    <x v="52"/>
    <x v="4"/>
    <x v="1954"/>
    <x v="1"/>
  </r>
  <r>
    <x v="120"/>
    <x v="19"/>
    <x v="803"/>
    <x v="0"/>
    <x v="474"/>
    <x v="5"/>
    <x v="0"/>
    <x v="0"/>
    <x v="62"/>
    <x v="3"/>
    <x v="1955"/>
    <x v="1"/>
  </r>
  <r>
    <x v="120"/>
    <x v="38"/>
    <x v="352"/>
    <x v="0"/>
    <x v="500"/>
    <x v="5"/>
    <x v="0"/>
    <x v="0"/>
    <x v="61"/>
    <x v="5"/>
    <x v="1956"/>
    <x v="1"/>
  </r>
  <r>
    <x v="120"/>
    <x v="12"/>
    <x v="158"/>
    <x v="1"/>
    <x v="318"/>
    <x v="5"/>
    <x v="0"/>
    <x v="1"/>
    <x v="52"/>
    <x v="5"/>
    <x v="1957"/>
    <x v="1"/>
  </r>
  <r>
    <x v="120"/>
    <x v="32"/>
    <x v="1181"/>
    <x v="3"/>
    <x v="422"/>
    <x v="5"/>
    <x v="2"/>
    <x v="4"/>
    <x v="221"/>
    <x v="10"/>
    <x v="1958"/>
    <x v="1"/>
  </r>
  <r>
    <x v="120"/>
    <x v="32"/>
    <x v="97"/>
    <x v="2"/>
    <x v="422"/>
    <x v="5"/>
    <x v="2"/>
    <x v="4"/>
    <x v="221"/>
    <x v="10"/>
    <x v="1959"/>
    <x v="1"/>
  </r>
  <r>
    <x v="120"/>
    <x v="32"/>
    <x v="1857"/>
    <x v="7"/>
    <x v="422"/>
    <x v="5"/>
    <x v="2"/>
    <x v="4"/>
    <x v="221"/>
    <x v="10"/>
    <x v="1960"/>
    <x v="1"/>
  </r>
  <r>
    <x v="120"/>
    <x v="32"/>
    <x v="1040"/>
    <x v="5"/>
    <x v="533"/>
    <x v="5"/>
    <x v="2"/>
    <x v="4"/>
    <x v="221"/>
    <x v="10"/>
    <x v="1961"/>
    <x v="1"/>
  </r>
  <r>
    <x v="120"/>
    <x v="23"/>
    <x v="14"/>
    <x v="3"/>
    <x v="285"/>
    <x v="5"/>
    <x v="0"/>
    <x v="2"/>
    <x v="52"/>
    <x v="6"/>
    <x v="1962"/>
    <x v="1"/>
  </r>
  <r>
    <x v="120"/>
    <x v="37"/>
    <x v="60"/>
    <x v="1"/>
    <x v="523"/>
    <x v="5"/>
    <x v="0"/>
    <x v="1"/>
    <x v="52"/>
    <x v="12"/>
    <x v="1963"/>
    <x v="1"/>
  </r>
  <r>
    <x v="120"/>
    <x v="32"/>
    <x v="134"/>
    <x v="4"/>
    <x v="228"/>
    <x v="5"/>
    <x v="2"/>
    <x v="4"/>
    <x v="221"/>
    <x v="10"/>
    <x v="1964"/>
    <x v="1"/>
  </r>
  <r>
    <x v="121"/>
    <x v="12"/>
    <x v="693"/>
    <x v="0"/>
    <x v="17"/>
    <x v="5"/>
    <x v="0"/>
    <x v="0"/>
    <x v="76"/>
    <x v="5"/>
    <x v="1965"/>
    <x v="1"/>
  </r>
  <r>
    <x v="121"/>
    <x v="9"/>
    <x v="1330"/>
    <x v="0"/>
    <x v="229"/>
    <x v="5"/>
    <x v="0"/>
    <x v="0"/>
    <x v="60"/>
    <x v="5"/>
    <x v="1966"/>
    <x v="1"/>
  </r>
  <r>
    <x v="121"/>
    <x v="20"/>
    <x v="1245"/>
    <x v="0"/>
    <x v="61"/>
    <x v="5"/>
    <x v="0"/>
    <x v="0"/>
    <x v="60"/>
    <x v="5"/>
    <x v="1967"/>
    <x v="1"/>
  </r>
  <r>
    <x v="121"/>
    <x v="20"/>
    <x v="49"/>
    <x v="1"/>
    <x v="381"/>
    <x v="5"/>
    <x v="0"/>
    <x v="1"/>
    <x v="53"/>
    <x v="5"/>
    <x v="1968"/>
    <x v="1"/>
  </r>
  <r>
    <x v="121"/>
    <x v="38"/>
    <x v="329"/>
    <x v="1"/>
    <x v="389"/>
    <x v="5"/>
    <x v="0"/>
    <x v="1"/>
    <x v="53"/>
    <x v="5"/>
    <x v="1969"/>
    <x v="1"/>
  </r>
  <r>
    <x v="121"/>
    <x v="3"/>
    <x v="308"/>
    <x v="1"/>
    <x v="153"/>
    <x v="5"/>
    <x v="0"/>
    <x v="1"/>
    <x v="53"/>
    <x v="4"/>
    <x v="1970"/>
    <x v="1"/>
  </r>
  <r>
    <x v="121"/>
    <x v="1"/>
    <x v="60"/>
    <x v="1"/>
    <x v="431"/>
    <x v="5"/>
    <x v="0"/>
    <x v="1"/>
    <x v="53"/>
    <x v="4"/>
    <x v="1971"/>
    <x v="1"/>
  </r>
  <r>
    <x v="121"/>
    <x v="38"/>
    <x v="419"/>
    <x v="0"/>
    <x v="500"/>
    <x v="5"/>
    <x v="0"/>
    <x v="0"/>
    <x v="61"/>
    <x v="5"/>
    <x v="1972"/>
    <x v="1"/>
  </r>
  <r>
    <x v="121"/>
    <x v="31"/>
    <x v="65"/>
    <x v="1"/>
    <x v="347"/>
    <x v="5"/>
    <x v="0"/>
    <x v="1"/>
    <x v="53"/>
    <x v="8"/>
    <x v="1973"/>
    <x v="1"/>
  </r>
  <r>
    <x v="121"/>
    <x v="28"/>
    <x v="375"/>
    <x v="1"/>
    <x v="494"/>
    <x v="5"/>
    <x v="0"/>
    <x v="1"/>
    <x v="53"/>
    <x v="0"/>
    <x v="1974"/>
    <x v="1"/>
  </r>
  <r>
    <x v="121"/>
    <x v="32"/>
    <x v="988"/>
    <x v="3"/>
    <x v="422"/>
    <x v="5"/>
    <x v="2"/>
    <x v="4"/>
    <x v="221"/>
    <x v="10"/>
    <x v="1975"/>
    <x v="1"/>
  </r>
  <r>
    <x v="121"/>
    <x v="32"/>
    <x v="74"/>
    <x v="6"/>
    <x v="422"/>
    <x v="5"/>
    <x v="2"/>
    <x v="4"/>
    <x v="221"/>
    <x v="10"/>
    <x v="1976"/>
    <x v="1"/>
  </r>
  <r>
    <x v="121"/>
    <x v="32"/>
    <x v="1878"/>
    <x v="7"/>
    <x v="422"/>
    <x v="5"/>
    <x v="2"/>
    <x v="4"/>
    <x v="221"/>
    <x v="10"/>
    <x v="1977"/>
    <x v="1"/>
  </r>
  <r>
    <x v="121"/>
    <x v="32"/>
    <x v="797"/>
    <x v="5"/>
    <x v="533"/>
    <x v="5"/>
    <x v="2"/>
    <x v="4"/>
    <x v="221"/>
    <x v="10"/>
    <x v="1978"/>
    <x v="1"/>
  </r>
  <r>
    <x v="121"/>
    <x v="37"/>
    <x v="62"/>
    <x v="1"/>
    <x v="523"/>
    <x v="5"/>
    <x v="0"/>
    <x v="1"/>
    <x v="53"/>
    <x v="12"/>
    <x v="1979"/>
    <x v="1"/>
  </r>
  <r>
    <x v="121"/>
    <x v="38"/>
    <x v="15"/>
    <x v="3"/>
    <x v="444"/>
    <x v="5"/>
    <x v="0"/>
    <x v="2"/>
    <x v="53"/>
    <x v="5"/>
    <x v="1980"/>
    <x v="1"/>
  </r>
  <r>
    <x v="121"/>
    <x v="23"/>
    <x v="15"/>
    <x v="3"/>
    <x v="285"/>
    <x v="5"/>
    <x v="0"/>
    <x v="2"/>
    <x v="53"/>
    <x v="6"/>
    <x v="1981"/>
    <x v="1"/>
  </r>
  <r>
    <x v="122"/>
    <x v="9"/>
    <x v="652"/>
    <x v="0"/>
    <x v="229"/>
    <x v="5"/>
    <x v="0"/>
    <x v="0"/>
    <x v="60"/>
    <x v="5"/>
    <x v="1982"/>
    <x v="1"/>
  </r>
  <r>
    <x v="122"/>
    <x v="12"/>
    <x v="454"/>
    <x v="0"/>
    <x v="17"/>
    <x v="5"/>
    <x v="0"/>
    <x v="0"/>
    <x v="76"/>
    <x v="5"/>
    <x v="1983"/>
    <x v="1"/>
  </r>
  <r>
    <x v="122"/>
    <x v="20"/>
    <x v="1096"/>
    <x v="0"/>
    <x v="61"/>
    <x v="5"/>
    <x v="0"/>
    <x v="0"/>
    <x v="60"/>
    <x v="5"/>
    <x v="1984"/>
    <x v="1"/>
  </r>
  <r>
    <x v="122"/>
    <x v="12"/>
    <x v="363"/>
    <x v="1"/>
    <x v="515"/>
    <x v="5"/>
    <x v="0"/>
    <x v="1"/>
    <x v="54"/>
    <x v="5"/>
    <x v="1985"/>
    <x v="1"/>
  </r>
  <r>
    <x v="122"/>
    <x v="38"/>
    <x v="53"/>
    <x v="1"/>
    <x v="401"/>
    <x v="5"/>
    <x v="0"/>
    <x v="1"/>
    <x v="54"/>
    <x v="5"/>
    <x v="1986"/>
    <x v="1"/>
  </r>
  <r>
    <x v="122"/>
    <x v="1"/>
    <x v="48"/>
    <x v="3"/>
    <x v="431"/>
    <x v="5"/>
    <x v="0"/>
    <x v="2"/>
    <x v="54"/>
    <x v="4"/>
    <x v="1987"/>
    <x v="1"/>
  </r>
  <r>
    <x v="122"/>
    <x v="0"/>
    <x v="45"/>
    <x v="1"/>
    <x v="352"/>
    <x v="5"/>
    <x v="0"/>
    <x v="1"/>
    <x v="54"/>
    <x v="9"/>
    <x v="1988"/>
    <x v="1"/>
  </r>
  <r>
    <x v="122"/>
    <x v="38"/>
    <x v="169"/>
    <x v="0"/>
    <x v="500"/>
    <x v="5"/>
    <x v="0"/>
    <x v="0"/>
    <x v="61"/>
    <x v="5"/>
    <x v="1989"/>
    <x v="1"/>
  </r>
  <r>
    <x v="122"/>
    <x v="19"/>
    <x v="803"/>
    <x v="0"/>
    <x v="474"/>
    <x v="5"/>
    <x v="0"/>
    <x v="0"/>
    <x v="62"/>
    <x v="3"/>
    <x v="1990"/>
    <x v="1"/>
  </r>
  <r>
    <x v="122"/>
    <x v="32"/>
    <x v="1273"/>
    <x v="3"/>
    <x v="422"/>
    <x v="5"/>
    <x v="2"/>
    <x v="4"/>
    <x v="221"/>
    <x v="10"/>
    <x v="1991"/>
    <x v="1"/>
  </r>
  <r>
    <x v="122"/>
    <x v="32"/>
    <x v="117"/>
    <x v="2"/>
    <x v="422"/>
    <x v="5"/>
    <x v="2"/>
    <x v="4"/>
    <x v="221"/>
    <x v="10"/>
    <x v="1992"/>
    <x v="1"/>
  </r>
  <r>
    <x v="122"/>
    <x v="32"/>
    <x v="19"/>
    <x v="4"/>
    <x v="47"/>
    <x v="5"/>
    <x v="2"/>
    <x v="4"/>
    <x v="221"/>
    <x v="10"/>
    <x v="1993"/>
    <x v="1"/>
  </r>
  <r>
    <x v="122"/>
    <x v="32"/>
    <x v="33"/>
    <x v="6"/>
    <x v="422"/>
    <x v="5"/>
    <x v="2"/>
    <x v="4"/>
    <x v="221"/>
    <x v="10"/>
    <x v="1994"/>
    <x v="1"/>
  </r>
  <r>
    <x v="122"/>
    <x v="32"/>
    <x v="1867"/>
    <x v="7"/>
    <x v="422"/>
    <x v="5"/>
    <x v="2"/>
    <x v="4"/>
    <x v="221"/>
    <x v="10"/>
    <x v="1995"/>
    <x v="1"/>
  </r>
  <r>
    <x v="122"/>
    <x v="32"/>
    <x v="1266"/>
    <x v="5"/>
    <x v="533"/>
    <x v="5"/>
    <x v="2"/>
    <x v="4"/>
    <x v="221"/>
    <x v="10"/>
    <x v="1996"/>
    <x v="1"/>
  </r>
  <r>
    <x v="122"/>
    <x v="13"/>
    <x v="33"/>
    <x v="1"/>
    <x v="548"/>
    <x v="5"/>
    <x v="0"/>
    <x v="1"/>
    <x v="54"/>
    <x v="5"/>
    <x v="1997"/>
    <x v="1"/>
  </r>
  <r>
    <x v="122"/>
    <x v="37"/>
    <x v="58"/>
    <x v="1"/>
    <x v="523"/>
    <x v="5"/>
    <x v="0"/>
    <x v="1"/>
    <x v="54"/>
    <x v="12"/>
    <x v="1998"/>
    <x v="1"/>
  </r>
  <r>
    <x v="122"/>
    <x v="23"/>
    <x v="5"/>
    <x v="3"/>
    <x v="285"/>
    <x v="5"/>
    <x v="0"/>
    <x v="2"/>
    <x v="54"/>
    <x v="6"/>
    <x v="1999"/>
    <x v="1"/>
  </r>
  <r>
    <x v="123"/>
    <x v="12"/>
    <x v="383"/>
    <x v="0"/>
    <x v="17"/>
    <x v="5"/>
    <x v="0"/>
    <x v="0"/>
    <x v="76"/>
    <x v="5"/>
    <x v="2000"/>
    <x v="1"/>
  </r>
  <r>
    <x v="123"/>
    <x v="8"/>
    <x v="779"/>
    <x v="0"/>
    <x v="241"/>
    <x v="5"/>
    <x v="0"/>
    <x v="0"/>
    <x v="62"/>
    <x v="5"/>
    <x v="2001"/>
    <x v="1"/>
  </r>
  <r>
    <x v="123"/>
    <x v="9"/>
    <x v="1293"/>
    <x v="0"/>
    <x v="229"/>
    <x v="5"/>
    <x v="0"/>
    <x v="0"/>
    <x v="60"/>
    <x v="5"/>
    <x v="2002"/>
    <x v="1"/>
  </r>
  <r>
    <x v="123"/>
    <x v="20"/>
    <x v="446"/>
    <x v="0"/>
    <x v="61"/>
    <x v="5"/>
    <x v="0"/>
    <x v="0"/>
    <x v="60"/>
    <x v="5"/>
    <x v="2003"/>
    <x v="1"/>
  </r>
  <r>
    <x v="123"/>
    <x v="13"/>
    <x v="1623"/>
    <x v="0"/>
    <x v="32"/>
    <x v="5"/>
    <x v="0"/>
    <x v="0"/>
    <x v="80"/>
    <x v="5"/>
    <x v="2004"/>
    <x v="1"/>
  </r>
  <r>
    <x v="123"/>
    <x v="3"/>
    <x v="549"/>
    <x v="3"/>
    <x v="579"/>
    <x v="5"/>
    <x v="0"/>
    <x v="2"/>
    <x v="55"/>
    <x v="4"/>
    <x v="2005"/>
    <x v="1"/>
  </r>
  <r>
    <x v="123"/>
    <x v="31"/>
    <x v="683"/>
    <x v="1"/>
    <x v="448"/>
    <x v="5"/>
    <x v="0"/>
    <x v="1"/>
    <x v="55"/>
    <x v="8"/>
    <x v="2006"/>
    <x v="1"/>
  </r>
  <r>
    <x v="123"/>
    <x v="19"/>
    <x v="803"/>
    <x v="0"/>
    <x v="474"/>
    <x v="5"/>
    <x v="0"/>
    <x v="0"/>
    <x v="62"/>
    <x v="3"/>
    <x v="2007"/>
    <x v="1"/>
  </r>
  <r>
    <x v="123"/>
    <x v="38"/>
    <x v="160"/>
    <x v="0"/>
    <x v="500"/>
    <x v="5"/>
    <x v="0"/>
    <x v="0"/>
    <x v="61"/>
    <x v="5"/>
    <x v="2008"/>
    <x v="1"/>
  </r>
  <r>
    <x v="123"/>
    <x v="15"/>
    <x v="461"/>
    <x v="1"/>
    <x v="353"/>
    <x v="5"/>
    <x v="0"/>
    <x v="1"/>
    <x v="55"/>
    <x v="4"/>
    <x v="2009"/>
    <x v="1"/>
  </r>
  <r>
    <x v="123"/>
    <x v="32"/>
    <x v="599"/>
    <x v="3"/>
    <x v="422"/>
    <x v="5"/>
    <x v="2"/>
    <x v="4"/>
    <x v="221"/>
    <x v="10"/>
    <x v="2010"/>
    <x v="1"/>
  </r>
  <r>
    <x v="123"/>
    <x v="32"/>
    <x v="36"/>
    <x v="2"/>
    <x v="422"/>
    <x v="5"/>
    <x v="2"/>
    <x v="4"/>
    <x v="221"/>
    <x v="10"/>
    <x v="2011"/>
    <x v="1"/>
  </r>
  <r>
    <x v="123"/>
    <x v="32"/>
    <x v="1726"/>
    <x v="7"/>
    <x v="422"/>
    <x v="5"/>
    <x v="2"/>
    <x v="4"/>
    <x v="221"/>
    <x v="10"/>
    <x v="2012"/>
    <x v="1"/>
  </r>
  <r>
    <x v="123"/>
    <x v="32"/>
    <x v="276"/>
    <x v="8"/>
    <x v="422"/>
    <x v="5"/>
    <x v="2"/>
    <x v="4"/>
    <x v="221"/>
    <x v="10"/>
    <x v="2013"/>
    <x v="1"/>
  </r>
  <r>
    <x v="123"/>
    <x v="32"/>
    <x v="774"/>
    <x v="5"/>
    <x v="533"/>
    <x v="5"/>
    <x v="2"/>
    <x v="4"/>
    <x v="221"/>
    <x v="10"/>
    <x v="2014"/>
    <x v="1"/>
  </r>
  <r>
    <x v="123"/>
    <x v="32"/>
    <x v="210"/>
    <x v="6"/>
    <x v="422"/>
    <x v="5"/>
    <x v="2"/>
    <x v="4"/>
    <x v="221"/>
    <x v="10"/>
    <x v="2015"/>
    <x v="1"/>
  </r>
  <r>
    <x v="123"/>
    <x v="37"/>
    <x v="58"/>
    <x v="1"/>
    <x v="523"/>
    <x v="5"/>
    <x v="0"/>
    <x v="1"/>
    <x v="55"/>
    <x v="12"/>
    <x v="2016"/>
    <x v="1"/>
  </r>
  <r>
    <x v="123"/>
    <x v="23"/>
    <x v="12"/>
    <x v="3"/>
    <x v="285"/>
    <x v="5"/>
    <x v="0"/>
    <x v="2"/>
    <x v="55"/>
    <x v="6"/>
    <x v="2017"/>
    <x v="1"/>
  </r>
  <r>
    <x v="124"/>
    <x v="27"/>
    <x v="1037"/>
    <x v="1"/>
    <x v="5"/>
    <x v="5"/>
    <x v="0"/>
    <x v="1"/>
    <x v="56"/>
    <x v="5"/>
    <x v="2018"/>
    <x v="1"/>
  </r>
  <r>
    <x v="124"/>
    <x v="12"/>
    <x v="202"/>
    <x v="0"/>
    <x v="17"/>
    <x v="5"/>
    <x v="0"/>
    <x v="0"/>
    <x v="76"/>
    <x v="5"/>
    <x v="2019"/>
    <x v="1"/>
  </r>
  <r>
    <x v="124"/>
    <x v="28"/>
    <x v="138"/>
    <x v="1"/>
    <x v="371"/>
    <x v="5"/>
    <x v="0"/>
    <x v="1"/>
    <x v="56"/>
    <x v="0"/>
    <x v="2020"/>
    <x v="1"/>
  </r>
  <r>
    <x v="124"/>
    <x v="20"/>
    <x v="1593"/>
    <x v="0"/>
    <x v="272"/>
    <x v="5"/>
    <x v="0"/>
    <x v="0"/>
    <x v="56"/>
    <x v="5"/>
    <x v="2021"/>
    <x v="1"/>
  </r>
  <r>
    <x v="124"/>
    <x v="38"/>
    <x v="225"/>
    <x v="0"/>
    <x v="500"/>
    <x v="5"/>
    <x v="0"/>
    <x v="0"/>
    <x v="61"/>
    <x v="5"/>
    <x v="2022"/>
    <x v="1"/>
  </r>
  <r>
    <x v="124"/>
    <x v="20"/>
    <x v="375"/>
    <x v="1"/>
    <x v="69"/>
    <x v="5"/>
    <x v="0"/>
    <x v="1"/>
    <x v="56"/>
    <x v="5"/>
    <x v="2023"/>
    <x v="1"/>
  </r>
  <r>
    <x v="124"/>
    <x v="32"/>
    <x v="1372"/>
    <x v="3"/>
    <x v="422"/>
    <x v="5"/>
    <x v="2"/>
    <x v="4"/>
    <x v="221"/>
    <x v="10"/>
    <x v="2024"/>
    <x v="1"/>
  </r>
  <r>
    <x v="124"/>
    <x v="32"/>
    <x v="273"/>
    <x v="6"/>
    <x v="422"/>
    <x v="5"/>
    <x v="2"/>
    <x v="4"/>
    <x v="221"/>
    <x v="10"/>
    <x v="2025"/>
    <x v="1"/>
  </r>
  <r>
    <x v="124"/>
    <x v="32"/>
    <x v="1690"/>
    <x v="7"/>
    <x v="422"/>
    <x v="5"/>
    <x v="2"/>
    <x v="4"/>
    <x v="221"/>
    <x v="10"/>
    <x v="2026"/>
    <x v="1"/>
  </r>
  <r>
    <x v="124"/>
    <x v="32"/>
    <x v="870"/>
    <x v="5"/>
    <x v="533"/>
    <x v="5"/>
    <x v="2"/>
    <x v="4"/>
    <x v="221"/>
    <x v="10"/>
    <x v="2027"/>
    <x v="1"/>
  </r>
  <r>
    <x v="124"/>
    <x v="37"/>
    <x v="53"/>
    <x v="1"/>
    <x v="523"/>
    <x v="5"/>
    <x v="0"/>
    <x v="1"/>
    <x v="56"/>
    <x v="12"/>
    <x v="2028"/>
    <x v="1"/>
  </r>
  <r>
    <x v="124"/>
    <x v="23"/>
    <x v="11"/>
    <x v="3"/>
    <x v="285"/>
    <x v="5"/>
    <x v="0"/>
    <x v="2"/>
    <x v="56"/>
    <x v="6"/>
    <x v="2029"/>
    <x v="1"/>
  </r>
  <r>
    <x v="125"/>
    <x v="9"/>
    <x v="1265"/>
    <x v="0"/>
    <x v="229"/>
    <x v="5"/>
    <x v="0"/>
    <x v="0"/>
    <x v="60"/>
    <x v="5"/>
    <x v="2030"/>
    <x v="1"/>
  </r>
  <r>
    <x v="125"/>
    <x v="12"/>
    <x v="292"/>
    <x v="0"/>
    <x v="17"/>
    <x v="5"/>
    <x v="0"/>
    <x v="0"/>
    <x v="76"/>
    <x v="5"/>
    <x v="2031"/>
    <x v="1"/>
  </r>
  <r>
    <x v="125"/>
    <x v="8"/>
    <x v="449"/>
    <x v="0"/>
    <x v="241"/>
    <x v="5"/>
    <x v="0"/>
    <x v="0"/>
    <x v="62"/>
    <x v="5"/>
    <x v="2032"/>
    <x v="1"/>
  </r>
  <r>
    <x v="125"/>
    <x v="20"/>
    <x v="1159"/>
    <x v="0"/>
    <x v="61"/>
    <x v="5"/>
    <x v="0"/>
    <x v="0"/>
    <x v="60"/>
    <x v="5"/>
    <x v="2033"/>
    <x v="1"/>
  </r>
  <r>
    <x v="125"/>
    <x v="1"/>
    <x v="158"/>
    <x v="1"/>
    <x v="431"/>
    <x v="5"/>
    <x v="0"/>
    <x v="1"/>
    <x v="57"/>
    <x v="4"/>
    <x v="2034"/>
    <x v="1"/>
  </r>
  <r>
    <x v="125"/>
    <x v="24"/>
    <x v="134"/>
    <x v="3"/>
    <x v="221"/>
    <x v="5"/>
    <x v="0"/>
    <x v="2"/>
    <x v="57"/>
    <x v="6"/>
    <x v="2035"/>
    <x v="1"/>
  </r>
  <r>
    <x v="125"/>
    <x v="19"/>
    <x v="803"/>
    <x v="0"/>
    <x v="474"/>
    <x v="5"/>
    <x v="0"/>
    <x v="0"/>
    <x v="62"/>
    <x v="3"/>
    <x v="2036"/>
    <x v="1"/>
  </r>
  <r>
    <x v="125"/>
    <x v="38"/>
    <x v="246"/>
    <x v="0"/>
    <x v="500"/>
    <x v="5"/>
    <x v="0"/>
    <x v="0"/>
    <x v="61"/>
    <x v="5"/>
    <x v="2037"/>
    <x v="1"/>
  </r>
  <r>
    <x v="125"/>
    <x v="32"/>
    <x v="1080"/>
    <x v="3"/>
    <x v="422"/>
    <x v="5"/>
    <x v="2"/>
    <x v="4"/>
    <x v="221"/>
    <x v="10"/>
    <x v="2038"/>
    <x v="1"/>
  </r>
  <r>
    <x v="125"/>
    <x v="32"/>
    <x v="100"/>
    <x v="2"/>
    <x v="422"/>
    <x v="5"/>
    <x v="2"/>
    <x v="4"/>
    <x v="221"/>
    <x v="10"/>
    <x v="2039"/>
    <x v="1"/>
  </r>
  <r>
    <x v="125"/>
    <x v="32"/>
    <x v="1018"/>
    <x v="6"/>
    <x v="422"/>
    <x v="5"/>
    <x v="2"/>
    <x v="4"/>
    <x v="221"/>
    <x v="10"/>
    <x v="2040"/>
    <x v="1"/>
  </r>
  <r>
    <x v="125"/>
    <x v="32"/>
    <x v="1769"/>
    <x v="7"/>
    <x v="422"/>
    <x v="5"/>
    <x v="2"/>
    <x v="4"/>
    <x v="221"/>
    <x v="10"/>
    <x v="2041"/>
    <x v="1"/>
  </r>
  <r>
    <x v="125"/>
    <x v="32"/>
    <x v="759"/>
    <x v="5"/>
    <x v="533"/>
    <x v="5"/>
    <x v="2"/>
    <x v="4"/>
    <x v="221"/>
    <x v="10"/>
    <x v="2042"/>
    <x v="1"/>
  </r>
  <r>
    <x v="125"/>
    <x v="23"/>
    <x v="12"/>
    <x v="3"/>
    <x v="285"/>
    <x v="5"/>
    <x v="0"/>
    <x v="2"/>
    <x v="57"/>
    <x v="6"/>
    <x v="2043"/>
    <x v="1"/>
  </r>
  <r>
    <x v="125"/>
    <x v="37"/>
    <x v="53"/>
    <x v="1"/>
    <x v="523"/>
    <x v="5"/>
    <x v="0"/>
    <x v="1"/>
    <x v="57"/>
    <x v="12"/>
    <x v="2044"/>
    <x v="1"/>
  </r>
  <r>
    <x v="125"/>
    <x v="24"/>
    <x v="100"/>
    <x v="1"/>
    <x v="502"/>
    <x v="5"/>
    <x v="0"/>
    <x v="1"/>
    <x v="57"/>
    <x v="6"/>
    <x v="2045"/>
    <x v="1"/>
  </r>
  <r>
    <x v="126"/>
    <x v="9"/>
    <x v="1330"/>
    <x v="0"/>
    <x v="229"/>
    <x v="5"/>
    <x v="0"/>
    <x v="0"/>
    <x v="64"/>
    <x v="5"/>
    <x v="2046"/>
    <x v="1"/>
  </r>
  <r>
    <x v="126"/>
    <x v="20"/>
    <x v="866"/>
    <x v="0"/>
    <x v="61"/>
    <x v="5"/>
    <x v="0"/>
    <x v="0"/>
    <x v="64"/>
    <x v="5"/>
    <x v="2047"/>
    <x v="1"/>
  </r>
  <r>
    <x v="126"/>
    <x v="12"/>
    <x v="600"/>
    <x v="0"/>
    <x v="17"/>
    <x v="5"/>
    <x v="0"/>
    <x v="0"/>
    <x v="76"/>
    <x v="5"/>
    <x v="2048"/>
    <x v="1"/>
  </r>
  <r>
    <x v="126"/>
    <x v="1"/>
    <x v="90"/>
    <x v="3"/>
    <x v="431"/>
    <x v="5"/>
    <x v="0"/>
    <x v="2"/>
    <x v="58"/>
    <x v="4"/>
    <x v="2049"/>
    <x v="1"/>
  </r>
  <r>
    <x v="126"/>
    <x v="38"/>
    <x v="102"/>
    <x v="0"/>
    <x v="500"/>
    <x v="5"/>
    <x v="0"/>
    <x v="0"/>
    <x v="61"/>
    <x v="5"/>
    <x v="2050"/>
    <x v="1"/>
  </r>
  <r>
    <x v="126"/>
    <x v="24"/>
    <x v="134"/>
    <x v="1"/>
    <x v="246"/>
    <x v="5"/>
    <x v="0"/>
    <x v="1"/>
    <x v="58"/>
    <x v="6"/>
    <x v="2051"/>
    <x v="1"/>
  </r>
  <r>
    <x v="126"/>
    <x v="32"/>
    <x v="1219"/>
    <x v="3"/>
    <x v="422"/>
    <x v="5"/>
    <x v="2"/>
    <x v="4"/>
    <x v="221"/>
    <x v="10"/>
    <x v="2052"/>
    <x v="1"/>
  </r>
  <r>
    <x v="126"/>
    <x v="32"/>
    <x v="741"/>
    <x v="2"/>
    <x v="422"/>
    <x v="5"/>
    <x v="2"/>
    <x v="4"/>
    <x v="221"/>
    <x v="10"/>
    <x v="2053"/>
    <x v="1"/>
  </r>
  <r>
    <x v="126"/>
    <x v="32"/>
    <x v="789"/>
    <x v="6"/>
    <x v="422"/>
    <x v="5"/>
    <x v="2"/>
    <x v="4"/>
    <x v="221"/>
    <x v="10"/>
    <x v="2054"/>
    <x v="1"/>
  </r>
  <r>
    <x v="126"/>
    <x v="32"/>
    <x v="1788"/>
    <x v="7"/>
    <x v="422"/>
    <x v="5"/>
    <x v="2"/>
    <x v="4"/>
    <x v="221"/>
    <x v="10"/>
    <x v="2055"/>
    <x v="1"/>
  </r>
  <r>
    <x v="126"/>
    <x v="32"/>
    <x v="1014"/>
    <x v="5"/>
    <x v="533"/>
    <x v="5"/>
    <x v="2"/>
    <x v="4"/>
    <x v="221"/>
    <x v="10"/>
    <x v="2056"/>
    <x v="1"/>
  </r>
  <r>
    <x v="126"/>
    <x v="38"/>
    <x v="22"/>
    <x v="3"/>
    <x v="444"/>
    <x v="5"/>
    <x v="0"/>
    <x v="2"/>
    <x v="58"/>
    <x v="5"/>
    <x v="2057"/>
    <x v="1"/>
  </r>
  <r>
    <x v="126"/>
    <x v="37"/>
    <x v="65"/>
    <x v="1"/>
    <x v="523"/>
    <x v="5"/>
    <x v="0"/>
    <x v="1"/>
    <x v="58"/>
    <x v="12"/>
    <x v="2058"/>
    <x v="1"/>
  </r>
  <r>
    <x v="126"/>
    <x v="0"/>
    <x v="45"/>
    <x v="1"/>
    <x v="453"/>
    <x v="5"/>
    <x v="0"/>
    <x v="1"/>
    <x v="58"/>
    <x v="9"/>
    <x v="2059"/>
    <x v="1"/>
  </r>
  <r>
    <x v="127"/>
    <x v="9"/>
    <x v="1333"/>
    <x v="0"/>
    <x v="229"/>
    <x v="5"/>
    <x v="0"/>
    <x v="0"/>
    <x v="64"/>
    <x v="5"/>
    <x v="2060"/>
    <x v="1"/>
  </r>
  <r>
    <x v="127"/>
    <x v="8"/>
    <x v="779"/>
    <x v="0"/>
    <x v="241"/>
    <x v="5"/>
    <x v="0"/>
    <x v="0"/>
    <x v="62"/>
    <x v="5"/>
    <x v="2061"/>
    <x v="1"/>
  </r>
  <r>
    <x v="127"/>
    <x v="20"/>
    <x v="337"/>
    <x v="0"/>
    <x v="61"/>
    <x v="5"/>
    <x v="0"/>
    <x v="0"/>
    <x v="64"/>
    <x v="5"/>
    <x v="2062"/>
    <x v="1"/>
  </r>
  <r>
    <x v="127"/>
    <x v="12"/>
    <x v="415"/>
    <x v="0"/>
    <x v="17"/>
    <x v="5"/>
    <x v="0"/>
    <x v="0"/>
    <x v="76"/>
    <x v="5"/>
    <x v="2063"/>
    <x v="1"/>
  </r>
  <r>
    <x v="127"/>
    <x v="1"/>
    <x v="90"/>
    <x v="3"/>
    <x v="431"/>
    <x v="5"/>
    <x v="0"/>
    <x v="2"/>
    <x v="59"/>
    <x v="4"/>
    <x v="2064"/>
    <x v="1"/>
  </r>
  <r>
    <x v="127"/>
    <x v="15"/>
    <x v="471"/>
    <x v="3"/>
    <x v="353"/>
    <x v="5"/>
    <x v="0"/>
    <x v="2"/>
    <x v="59"/>
    <x v="4"/>
    <x v="2065"/>
    <x v="1"/>
  </r>
  <r>
    <x v="127"/>
    <x v="38"/>
    <x v="253"/>
    <x v="0"/>
    <x v="500"/>
    <x v="5"/>
    <x v="0"/>
    <x v="0"/>
    <x v="61"/>
    <x v="5"/>
    <x v="2066"/>
    <x v="1"/>
  </r>
  <r>
    <x v="127"/>
    <x v="19"/>
    <x v="803"/>
    <x v="0"/>
    <x v="474"/>
    <x v="5"/>
    <x v="0"/>
    <x v="0"/>
    <x v="62"/>
    <x v="3"/>
    <x v="2067"/>
    <x v="1"/>
  </r>
  <r>
    <x v="127"/>
    <x v="32"/>
    <x v="785"/>
    <x v="3"/>
    <x v="422"/>
    <x v="5"/>
    <x v="2"/>
    <x v="4"/>
    <x v="221"/>
    <x v="10"/>
    <x v="2068"/>
    <x v="1"/>
  </r>
  <r>
    <x v="127"/>
    <x v="32"/>
    <x v="228"/>
    <x v="2"/>
    <x v="422"/>
    <x v="5"/>
    <x v="2"/>
    <x v="4"/>
    <x v="221"/>
    <x v="10"/>
    <x v="2069"/>
    <x v="1"/>
  </r>
  <r>
    <x v="127"/>
    <x v="32"/>
    <x v="878"/>
    <x v="6"/>
    <x v="422"/>
    <x v="5"/>
    <x v="2"/>
    <x v="4"/>
    <x v="221"/>
    <x v="10"/>
    <x v="2070"/>
    <x v="1"/>
  </r>
  <r>
    <x v="127"/>
    <x v="32"/>
    <x v="1882"/>
    <x v="7"/>
    <x v="422"/>
    <x v="5"/>
    <x v="2"/>
    <x v="4"/>
    <x v="221"/>
    <x v="10"/>
    <x v="2071"/>
    <x v="1"/>
  </r>
  <r>
    <x v="127"/>
    <x v="32"/>
    <x v="495"/>
    <x v="8"/>
    <x v="422"/>
    <x v="5"/>
    <x v="2"/>
    <x v="4"/>
    <x v="221"/>
    <x v="10"/>
    <x v="2072"/>
    <x v="1"/>
  </r>
  <r>
    <x v="127"/>
    <x v="32"/>
    <x v="494"/>
    <x v="5"/>
    <x v="533"/>
    <x v="5"/>
    <x v="2"/>
    <x v="4"/>
    <x v="221"/>
    <x v="10"/>
    <x v="2073"/>
    <x v="1"/>
  </r>
  <r>
    <x v="127"/>
    <x v="23"/>
    <x v="5"/>
    <x v="3"/>
    <x v="285"/>
    <x v="5"/>
    <x v="0"/>
    <x v="2"/>
    <x v="59"/>
    <x v="6"/>
    <x v="2074"/>
    <x v="1"/>
  </r>
  <r>
    <x v="127"/>
    <x v="37"/>
    <x v="65"/>
    <x v="1"/>
    <x v="523"/>
    <x v="5"/>
    <x v="0"/>
    <x v="1"/>
    <x v="59"/>
    <x v="12"/>
    <x v="2075"/>
    <x v="1"/>
  </r>
  <r>
    <x v="127"/>
    <x v="24"/>
    <x v="112"/>
    <x v="1"/>
    <x v="458"/>
    <x v="5"/>
    <x v="0"/>
    <x v="1"/>
    <x v="59"/>
    <x v="6"/>
    <x v="2076"/>
    <x v="1"/>
  </r>
  <r>
    <x v="127"/>
    <x v="24"/>
    <x v="318"/>
    <x v="1"/>
    <x v="216"/>
    <x v="5"/>
    <x v="0"/>
    <x v="1"/>
    <x v="59"/>
    <x v="6"/>
    <x v="2077"/>
    <x v="1"/>
  </r>
  <r>
    <x v="128"/>
    <x v="12"/>
    <x v="587"/>
    <x v="0"/>
    <x v="17"/>
    <x v="5"/>
    <x v="0"/>
    <x v="0"/>
    <x v="76"/>
    <x v="5"/>
    <x v="2078"/>
    <x v="1"/>
  </r>
  <r>
    <x v="128"/>
    <x v="20"/>
    <x v="1009"/>
    <x v="0"/>
    <x v="61"/>
    <x v="5"/>
    <x v="0"/>
    <x v="0"/>
    <x v="64"/>
    <x v="5"/>
    <x v="2079"/>
    <x v="1"/>
  </r>
  <r>
    <x v="128"/>
    <x v="8"/>
    <x v="449"/>
    <x v="0"/>
    <x v="241"/>
    <x v="5"/>
    <x v="0"/>
    <x v="0"/>
    <x v="62"/>
    <x v="5"/>
    <x v="2080"/>
    <x v="1"/>
  </r>
  <r>
    <x v="128"/>
    <x v="9"/>
    <x v="1442"/>
    <x v="0"/>
    <x v="229"/>
    <x v="5"/>
    <x v="0"/>
    <x v="0"/>
    <x v="64"/>
    <x v="5"/>
    <x v="2081"/>
    <x v="1"/>
  </r>
  <r>
    <x v="128"/>
    <x v="1"/>
    <x v="60"/>
    <x v="3"/>
    <x v="431"/>
    <x v="5"/>
    <x v="0"/>
    <x v="2"/>
    <x v="60"/>
    <x v="4"/>
    <x v="2082"/>
    <x v="1"/>
  </r>
  <r>
    <x v="128"/>
    <x v="20"/>
    <x v="49"/>
    <x v="3"/>
    <x v="381"/>
    <x v="5"/>
    <x v="0"/>
    <x v="2"/>
    <x v="60"/>
    <x v="5"/>
    <x v="2083"/>
    <x v="1"/>
  </r>
  <r>
    <x v="128"/>
    <x v="3"/>
    <x v="549"/>
    <x v="1"/>
    <x v="579"/>
    <x v="5"/>
    <x v="0"/>
    <x v="1"/>
    <x v="60"/>
    <x v="4"/>
    <x v="2084"/>
    <x v="1"/>
  </r>
  <r>
    <x v="128"/>
    <x v="13"/>
    <x v="87"/>
    <x v="3"/>
    <x v="119"/>
    <x v="5"/>
    <x v="0"/>
    <x v="2"/>
    <x v="60"/>
    <x v="5"/>
    <x v="2085"/>
    <x v="1"/>
  </r>
  <r>
    <x v="128"/>
    <x v="26"/>
    <x v="90"/>
    <x v="1"/>
    <x v="344"/>
    <x v="5"/>
    <x v="0"/>
    <x v="1"/>
    <x v="60"/>
    <x v="5"/>
    <x v="2086"/>
    <x v="1"/>
  </r>
  <r>
    <x v="128"/>
    <x v="30"/>
    <x v="1662"/>
    <x v="1"/>
    <x v="437"/>
    <x v="5"/>
    <x v="0"/>
    <x v="1"/>
    <x v="60"/>
    <x v="3"/>
    <x v="2087"/>
    <x v="1"/>
  </r>
  <r>
    <x v="128"/>
    <x v="38"/>
    <x v="153"/>
    <x v="0"/>
    <x v="500"/>
    <x v="5"/>
    <x v="0"/>
    <x v="0"/>
    <x v="61"/>
    <x v="5"/>
    <x v="2088"/>
    <x v="1"/>
  </r>
  <r>
    <x v="128"/>
    <x v="32"/>
    <x v="1029"/>
    <x v="3"/>
    <x v="422"/>
    <x v="5"/>
    <x v="2"/>
    <x v="4"/>
    <x v="221"/>
    <x v="10"/>
    <x v="2089"/>
    <x v="1"/>
  </r>
  <r>
    <x v="128"/>
    <x v="32"/>
    <x v="186"/>
    <x v="4"/>
    <x v="547"/>
    <x v="5"/>
    <x v="2"/>
    <x v="4"/>
    <x v="221"/>
    <x v="10"/>
    <x v="2090"/>
    <x v="1"/>
  </r>
  <r>
    <x v="128"/>
    <x v="32"/>
    <x v="305"/>
    <x v="6"/>
    <x v="422"/>
    <x v="5"/>
    <x v="2"/>
    <x v="4"/>
    <x v="221"/>
    <x v="10"/>
    <x v="2091"/>
    <x v="1"/>
  </r>
  <r>
    <x v="128"/>
    <x v="32"/>
    <x v="1955"/>
    <x v="7"/>
    <x v="422"/>
    <x v="5"/>
    <x v="2"/>
    <x v="4"/>
    <x v="221"/>
    <x v="10"/>
    <x v="2092"/>
    <x v="1"/>
  </r>
  <r>
    <x v="128"/>
    <x v="32"/>
    <x v="1355"/>
    <x v="5"/>
    <x v="533"/>
    <x v="5"/>
    <x v="2"/>
    <x v="4"/>
    <x v="221"/>
    <x v="10"/>
    <x v="2093"/>
    <x v="1"/>
  </r>
  <r>
    <x v="128"/>
    <x v="37"/>
    <x v="60"/>
    <x v="1"/>
    <x v="523"/>
    <x v="5"/>
    <x v="0"/>
    <x v="1"/>
    <x v="60"/>
    <x v="12"/>
    <x v="2094"/>
    <x v="1"/>
  </r>
  <r>
    <x v="128"/>
    <x v="19"/>
    <x v="803"/>
    <x v="0"/>
    <x v="474"/>
    <x v="5"/>
    <x v="0"/>
    <x v="0"/>
    <x v="62"/>
    <x v="3"/>
    <x v="2095"/>
    <x v="1"/>
  </r>
  <r>
    <x v="129"/>
    <x v="12"/>
    <x v="626"/>
    <x v="0"/>
    <x v="17"/>
    <x v="6"/>
    <x v="0"/>
    <x v="0"/>
    <x v="105"/>
    <x v="5"/>
    <x v="2096"/>
    <x v="1"/>
  </r>
  <r>
    <x v="129"/>
    <x v="20"/>
    <x v="1249"/>
    <x v="0"/>
    <x v="61"/>
    <x v="6"/>
    <x v="0"/>
    <x v="0"/>
    <x v="64"/>
    <x v="5"/>
    <x v="2097"/>
    <x v="1"/>
  </r>
  <r>
    <x v="129"/>
    <x v="9"/>
    <x v="1609"/>
    <x v="0"/>
    <x v="229"/>
    <x v="6"/>
    <x v="0"/>
    <x v="0"/>
    <x v="64"/>
    <x v="5"/>
    <x v="2098"/>
    <x v="1"/>
  </r>
  <r>
    <x v="129"/>
    <x v="38"/>
    <x v="357"/>
    <x v="1"/>
    <x v="389"/>
    <x v="6"/>
    <x v="0"/>
    <x v="1"/>
    <x v="61"/>
    <x v="5"/>
    <x v="2099"/>
    <x v="1"/>
  </r>
  <r>
    <x v="129"/>
    <x v="36"/>
    <x v="45"/>
    <x v="1"/>
    <x v="375"/>
    <x v="6"/>
    <x v="0"/>
    <x v="1"/>
    <x v="61"/>
    <x v="5"/>
    <x v="2100"/>
    <x v="1"/>
  </r>
  <r>
    <x v="129"/>
    <x v="1"/>
    <x v="158"/>
    <x v="3"/>
    <x v="431"/>
    <x v="6"/>
    <x v="0"/>
    <x v="2"/>
    <x v="61"/>
    <x v="4"/>
    <x v="2101"/>
    <x v="1"/>
  </r>
  <r>
    <x v="129"/>
    <x v="17"/>
    <x v="1923"/>
    <x v="0"/>
    <x v="194"/>
    <x v="6"/>
    <x v="1"/>
    <x v="4"/>
    <x v="221"/>
    <x v="3"/>
    <x v="2102"/>
    <x v="1"/>
  </r>
  <r>
    <x v="129"/>
    <x v="38"/>
    <x v="414"/>
    <x v="1"/>
    <x v="500"/>
    <x v="6"/>
    <x v="0"/>
    <x v="1"/>
    <x v="77"/>
    <x v="5"/>
    <x v="2103"/>
    <x v="1"/>
  </r>
  <r>
    <x v="129"/>
    <x v="15"/>
    <x v="280"/>
    <x v="3"/>
    <x v="353"/>
    <x v="6"/>
    <x v="0"/>
    <x v="4"/>
    <x v="221"/>
    <x v="4"/>
    <x v="2104"/>
    <x v="1"/>
  </r>
  <r>
    <x v="129"/>
    <x v="31"/>
    <x v="772"/>
    <x v="0"/>
    <x v="461"/>
    <x v="6"/>
    <x v="0"/>
    <x v="0"/>
    <x v="61"/>
    <x v="8"/>
    <x v="2105"/>
    <x v="1"/>
  </r>
  <r>
    <x v="129"/>
    <x v="28"/>
    <x v="138"/>
    <x v="1"/>
    <x v="371"/>
    <x v="6"/>
    <x v="0"/>
    <x v="1"/>
    <x v="61"/>
    <x v="0"/>
    <x v="2106"/>
    <x v="1"/>
  </r>
  <r>
    <x v="129"/>
    <x v="10"/>
    <x v="154"/>
    <x v="1"/>
    <x v="246"/>
    <x v="6"/>
    <x v="0"/>
    <x v="1"/>
    <x v="61"/>
    <x v="6"/>
    <x v="2107"/>
    <x v="1"/>
  </r>
  <r>
    <x v="129"/>
    <x v="32"/>
    <x v="910"/>
    <x v="3"/>
    <x v="422"/>
    <x v="6"/>
    <x v="2"/>
    <x v="4"/>
    <x v="221"/>
    <x v="10"/>
    <x v="2108"/>
    <x v="1"/>
  </r>
  <r>
    <x v="129"/>
    <x v="32"/>
    <x v="769"/>
    <x v="2"/>
    <x v="422"/>
    <x v="6"/>
    <x v="2"/>
    <x v="4"/>
    <x v="221"/>
    <x v="10"/>
    <x v="2109"/>
    <x v="1"/>
  </r>
  <r>
    <x v="129"/>
    <x v="32"/>
    <x v="785"/>
    <x v="6"/>
    <x v="422"/>
    <x v="6"/>
    <x v="2"/>
    <x v="4"/>
    <x v="221"/>
    <x v="10"/>
    <x v="2110"/>
    <x v="1"/>
  </r>
  <r>
    <x v="129"/>
    <x v="32"/>
    <x v="1969"/>
    <x v="7"/>
    <x v="422"/>
    <x v="6"/>
    <x v="2"/>
    <x v="4"/>
    <x v="221"/>
    <x v="10"/>
    <x v="2111"/>
    <x v="1"/>
  </r>
  <r>
    <x v="129"/>
    <x v="32"/>
    <x v="1068"/>
    <x v="5"/>
    <x v="533"/>
    <x v="6"/>
    <x v="2"/>
    <x v="4"/>
    <x v="221"/>
    <x v="10"/>
    <x v="2112"/>
    <x v="1"/>
  </r>
  <r>
    <x v="129"/>
    <x v="38"/>
    <x v="14"/>
    <x v="3"/>
    <x v="444"/>
    <x v="6"/>
    <x v="0"/>
    <x v="2"/>
    <x v="61"/>
    <x v="5"/>
    <x v="2113"/>
    <x v="1"/>
  </r>
  <r>
    <x v="129"/>
    <x v="19"/>
    <x v="794"/>
    <x v="0"/>
    <x v="474"/>
    <x v="6"/>
    <x v="0"/>
    <x v="0"/>
    <x v="73"/>
    <x v="3"/>
    <x v="2114"/>
    <x v="1"/>
  </r>
  <r>
    <x v="129"/>
    <x v="37"/>
    <x v="132"/>
    <x v="1"/>
    <x v="523"/>
    <x v="6"/>
    <x v="0"/>
    <x v="1"/>
    <x v="61"/>
    <x v="12"/>
    <x v="2115"/>
    <x v="1"/>
  </r>
  <r>
    <x v="129"/>
    <x v="0"/>
    <x v="45"/>
    <x v="1"/>
    <x v="559"/>
    <x v="6"/>
    <x v="0"/>
    <x v="1"/>
    <x v="61"/>
    <x v="9"/>
    <x v="2116"/>
    <x v="1"/>
  </r>
  <r>
    <x v="130"/>
    <x v="9"/>
    <x v="989"/>
    <x v="0"/>
    <x v="229"/>
    <x v="6"/>
    <x v="0"/>
    <x v="0"/>
    <x v="70"/>
    <x v="5"/>
    <x v="2117"/>
    <x v="1"/>
  </r>
  <r>
    <x v="130"/>
    <x v="8"/>
    <x v="779"/>
    <x v="0"/>
    <x v="241"/>
    <x v="6"/>
    <x v="0"/>
    <x v="0"/>
    <x v="62"/>
    <x v="5"/>
    <x v="2118"/>
    <x v="1"/>
  </r>
  <r>
    <x v="130"/>
    <x v="20"/>
    <x v="1242"/>
    <x v="0"/>
    <x v="61"/>
    <x v="6"/>
    <x v="0"/>
    <x v="0"/>
    <x v="70"/>
    <x v="5"/>
    <x v="2119"/>
    <x v="1"/>
  </r>
  <r>
    <x v="130"/>
    <x v="12"/>
    <x v="708"/>
    <x v="0"/>
    <x v="17"/>
    <x v="6"/>
    <x v="0"/>
    <x v="0"/>
    <x v="105"/>
    <x v="5"/>
    <x v="2120"/>
    <x v="1"/>
  </r>
  <r>
    <x v="130"/>
    <x v="1"/>
    <x v="48"/>
    <x v="3"/>
    <x v="431"/>
    <x v="6"/>
    <x v="0"/>
    <x v="2"/>
    <x v="62"/>
    <x v="4"/>
    <x v="2121"/>
    <x v="1"/>
  </r>
  <r>
    <x v="130"/>
    <x v="12"/>
    <x v="426"/>
    <x v="1"/>
    <x v="515"/>
    <x v="6"/>
    <x v="0"/>
    <x v="1"/>
    <x v="62"/>
    <x v="5"/>
    <x v="2122"/>
    <x v="1"/>
  </r>
  <r>
    <x v="130"/>
    <x v="24"/>
    <x v="112"/>
    <x v="1"/>
    <x v="246"/>
    <x v="6"/>
    <x v="0"/>
    <x v="1"/>
    <x v="62"/>
    <x v="6"/>
    <x v="2123"/>
    <x v="1"/>
  </r>
  <r>
    <x v="130"/>
    <x v="38"/>
    <x v="138"/>
    <x v="1"/>
    <x v="500"/>
    <x v="6"/>
    <x v="0"/>
    <x v="1"/>
    <x v="77"/>
    <x v="5"/>
    <x v="2124"/>
    <x v="1"/>
  </r>
  <r>
    <x v="130"/>
    <x v="39"/>
    <x v="894"/>
    <x v="0"/>
    <x v="578"/>
    <x v="6"/>
    <x v="0"/>
    <x v="0"/>
    <x v="62"/>
    <x v="5"/>
    <x v="2125"/>
    <x v="1"/>
  </r>
  <r>
    <x v="130"/>
    <x v="10"/>
    <x v="1261"/>
    <x v="0"/>
    <x v="149"/>
    <x v="6"/>
    <x v="0"/>
    <x v="3"/>
    <x v="62"/>
    <x v="6"/>
    <x v="2126"/>
    <x v="1"/>
  </r>
  <r>
    <x v="130"/>
    <x v="32"/>
    <x v="952"/>
    <x v="3"/>
    <x v="422"/>
    <x v="6"/>
    <x v="2"/>
    <x v="4"/>
    <x v="221"/>
    <x v="10"/>
    <x v="2127"/>
    <x v="1"/>
  </r>
  <r>
    <x v="130"/>
    <x v="32"/>
    <x v="481"/>
    <x v="2"/>
    <x v="422"/>
    <x v="6"/>
    <x v="2"/>
    <x v="4"/>
    <x v="221"/>
    <x v="10"/>
    <x v="2128"/>
    <x v="1"/>
  </r>
  <r>
    <x v="130"/>
    <x v="32"/>
    <x v="65"/>
    <x v="6"/>
    <x v="422"/>
    <x v="6"/>
    <x v="2"/>
    <x v="4"/>
    <x v="221"/>
    <x v="10"/>
    <x v="2129"/>
    <x v="1"/>
  </r>
  <r>
    <x v="130"/>
    <x v="32"/>
    <x v="1715"/>
    <x v="7"/>
    <x v="422"/>
    <x v="6"/>
    <x v="2"/>
    <x v="4"/>
    <x v="221"/>
    <x v="10"/>
    <x v="2130"/>
    <x v="1"/>
  </r>
  <r>
    <x v="130"/>
    <x v="32"/>
    <x v="438"/>
    <x v="8"/>
    <x v="422"/>
    <x v="6"/>
    <x v="2"/>
    <x v="4"/>
    <x v="221"/>
    <x v="10"/>
    <x v="2131"/>
    <x v="1"/>
  </r>
  <r>
    <x v="130"/>
    <x v="32"/>
    <x v="1083"/>
    <x v="5"/>
    <x v="533"/>
    <x v="6"/>
    <x v="2"/>
    <x v="4"/>
    <x v="221"/>
    <x v="10"/>
    <x v="2132"/>
    <x v="1"/>
  </r>
  <r>
    <x v="130"/>
    <x v="30"/>
    <x v="869"/>
    <x v="1"/>
    <x v="437"/>
    <x v="6"/>
    <x v="0"/>
    <x v="1"/>
    <x v="62"/>
    <x v="3"/>
    <x v="2133"/>
    <x v="1"/>
  </r>
  <r>
    <x v="130"/>
    <x v="23"/>
    <x v="8"/>
    <x v="3"/>
    <x v="285"/>
    <x v="6"/>
    <x v="0"/>
    <x v="2"/>
    <x v="62"/>
    <x v="6"/>
    <x v="2134"/>
    <x v="1"/>
  </r>
  <r>
    <x v="130"/>
    <x v="37"/>
    <x v="65"/>
    <x v="1"/>
    <x v="523"/>
    <x v="6"/>
    <x v="0"/>
    <x v="1"/>
    <x v="62"/>
    <x v="12"/>
    <x v="2135"/>
    <x v="1"/>
  </r>
  <r>
    <x v="131"/>
    <x v="20"/>
    <x v="347"/>
    <x v="0"/>
    <x v="61"/>
    <x v="6"/>
    <x v="0"/>
    <x v="0"/>
    <x v="70"/>
    <x v="5"/>
    <x v="2136"/>
    <x v="1"/>
  </r>
  <r>
    <x v="131"/>
    <x v="12"/>
    <x v="288"/>
    <x v="0"/>
    <x v="17"/>
    <x v="6"/>
    <x v="0"/>
    <x v="0"/>
    <x v="105"/>
    <x v="5"/>
    <x v="2137"/>
    <x v="1"/>
  </r>
  <r>
    <x v="131"/>
    <x v="9"/>
    <x v="1471"/>
    <x v="0"/>
    <x v="229"/>
    <x v="6"/>
    <x v="0"/>
    <x v="0"/>
    <x v="70"/>
    <x v="5"/>
    <x v="2138"/>
    <x v="1"/>
  </r>
  <r>
    <x v="131"/>
    <x v="1"/>
    <x v="90"/>
    <x v="3"/>
    <x v="431"/>
    <x v="6"/>
    <x v="0"/>
    <x v="2"/>
    <x v="63"/>
    <x v="4"/>
    <x v="2139"/>
    <x v="1"/>
  </r>
  <r>
    <x v="131"/>
    <x v="0"/>
    <x v="599"/>
    <x v="1"/>
    <x v="482"/>
    <x v="6"/>
    <x v="0"/>
    <x v="1"/>
    <x v="63"/>
    <x v="9"/>
    <x v="2140"/>
    <x v="1"/>
  </r>
  <r>
    <x v="131"/>
    <x v="38"/>
    <x v="305"/>
    <x v="1"/>
    <x v="500"/>
    <x v="6"/>
    <x v="0"/>
    <x v="1"/>
    <x v="77"/>
    <x v="5"/>
    <x v="2141"/>
    <x v="1"/>
  </r>
  <r>
    <x v="131"/>
    <x v="26"/>
    <x v="90"/>
    <x v="1"/>
    <x v="344"/>
    <x v="6"/>
    <x v="0"/>
    <x v="1"/>
    <x v="63"/>
    <x v="5"/>
    <x v="2142"/>
    <x v="1"/>
  </r>
  <r>
    <x v="131"/>
    <x v="32"/>
    <x v="575"/>
    <x v="3"/>
    <x v="422"/>
    <x v="6"/>
    <x v="2"/>
    <x v="4"/>
    <x v="221"/>
    <x v="10"/>
    <x v="2143"/>
    <x v="1"/>
  </r>
  <r>
    <x v="131"/>
    <x v="32"/>
    <x v="143"/>
    <x v="2"/>
    <x v="422"/>
    <x v="6"/>
    <x v="2"/>
    <x v="4"/>
    <x v="221"/>
    <x v="10"/>
    <x v="2144"/>
    <x v="1"/>
  </r>
  <r>
    <x v="131"/>
    <x v="32"/>
    <x v="109"/>
    <x v="6"/>
    <x v="422"/>
    <x v="6"/>
    <x v="2"/>
    <x v="4"/>
    <x v="221"/>
    <x v="10"/>
    <x v="2145"/>
    <x v="1"/>
  </r>
  <r>
    <x v="131"/>
    <x v="32"/>
    <x v="1791"/>
    <x v="7"/>
    <x v="422"/>
    <x v="6"/>
    <x v="2"/>
    <x v="4"/>
    <x v="221"/>
    <x v="10"/>
    <x v="2146"/>
    <x v="1"/>
  </r>
  <r>
    <x v="131"/>
    <x v="32"/>
    <x v="937"/>
    <x v="5"/>
    <x v="533"/>
    <x v="6"/>
    <x v="2"/>
    <x v="4"/>
    <x v="221"/>
    <x v="10"/>
    <x v="2147"/>
    <x v="1"/>
  </r>
  <r>
    <x v="131"/>
    <x v="10"/>
    <x v="65"/>
    <x v="1"/>
    <x v="149"/>
    <x v="6"/>
    <x v="0"/>
    <x v="1"/>
    <x v="63"/>
    <x v="6"/>
    <x v="2148"/>
    <x v="1"/>
  </r>
  <r>
    <x v="131"/>
    <x v="31"/>
    <x v="30"/>
    <x v="1"/>
    <x v="52"/>
    <x v="6"/>
    <x v="0"/>
    <x v="1"/>
    <x v="63"/>
    <x v="8"/>
    <x v="2149"/>
    <x v="1"/>
  </r>
  <r>
    <x v="131"/>
    <x v="37"/>
    <x v="65"/>
    <x v="1"/>
    <x v="523"/>
    <x v="6"/>
    <x v="0"/>
    <x v="1"/>
    <x v="63"/>
    <x v="12"/>
    <x v="2150"/>
    <x v="1"/>
  </r>
  <r>
    <x v="131"/>
    <x v="23"/>
    <x v="5"/>
    <x v="3"/>
    <x v="285"/>
    <x v="6"/>
    <x v="0"/>
    <x v="2"/>
    <x v="63"/>
    <x v="6"/>
    <x v="2151"/>
    <x v="1"/>
  </r>
  <r>
    <x v="132"/>
    <x v="9"/>
    <x v="735"/>
    <x v="0"/>
    <x v="229"/>
    <x v="6"/>
    <x v="0"/>
    <x v="0"/>
    <x v="70"/>
    <x v="5"/>
    <x v="2152"/>
    <x v="1"/>
  </r>
  <r>
    <x v="132"/>
    <x v="8"/>
    <x v="449"/>
    <x v="0"/>
    <x v="241"/>
    <x v="6"/>
    <x v="0"/>
    <x v="0"/>
    <x v="76"/>
    <x v="5"/>
    <x v="2153"/>
    <x v="1"/>
  </r>
  <r>
    <x v="132"/>
    <x v="20"/>
    <x v="1093"/>
    <x v="0"/>
    <x v="61"/>
    <x v="6"/>
    <x v="0"/>
    <x v="0"/>
    <x v="70"/>
    <x v="5"/>
    <x v="2154"/>
    <x v="1"/>
  </r>
  <r>
    <x v="132"/>
    <x v="20"/>
    <x v="49"/>
    <x v="1"/>
    <x v="381"/>
    <x v="6"/>
    <x v="0"/>
    <x v="1"/>
    <x v="64"/>
    <x v="5"/>
    <x v="2155"/>
    <x v="1"/>
  </r>
  <r>
    <x v="132"/>
    <x v="0"/>
    <x v="869"/>
    <x v="0"/>
    <x v="279"/>
    <x v="6"/>
    <x v="0"/>
    <x v="3"/>
    <x v="64"/>
    <x v="9"/>
    <x v="2156"/>
    <x v="1"/>
  </r>
  <r>
    <x v="132"/>
    <x v="0"/>
    <x v="1353"/>
    <x v="0"/>
    <x v="453"/>
    <x v="6"/>
    <x v="0"/>
    <x v="3"/>
    <x v="64"/>
    <x v="9"/>
    <x v="2157"/>
    <x v="1"/>
  </r>
  <r>
    <x v="132"/>
    <x v="0"/>
    <x v="1146"/>
    <x v="0"/>
    <x v="352"/>
    <x v="6"/>
    <x v="0"/>
    <x v="3"/>
    <x v="64"/>
    <x v="9"/>
    <x v="2158"/>
    <x v="1"/>
  </r>
  <r>
    <x v="132"/>
    <x v="0"/>
    <x v="256"/>
    <x v="1"/>
    <x v="566"/>
    <x v="6"/>
    <x v="0"/>
    <x v="1"/>
    <x v="64"/>
    <x v="9"/>
    <x v="2159"/>
    <x v="1"/>
  </r>
  <r>
    <x v="132"/>
    <x v="0"/>
    <x v="45"/>
    <x v="3"/>
    <x v="447"/>
    <x v="6"/>
    <x v="0"/>
    <x v="2"/>
    <x v="64"/>
    <x v="9"/>
    <x v="2160"/>
    <x v="1"/>
  </r>
  <r>
    <x v="132"/>
    <x v="38"/>
    <x v="19"/>
    <x v="3"/>
    <x v="444"/>
    <x v="6"/>
    <x v="0"/>
    <x v="2"/>
    <x v="64"/>
    <x v="5"/>
    <x v="2161"/>
    <x v="1"/>
  </r>
  <r>
    <x v="132"/>
    <x v="37"/>
    <x v="62"/>
    <x v="1"/>
    <x v="523"/>
    <x v="6"/>
    <x v="0"/>
    <x v="1"/>
    <x v="64"/>
    <x v="12"/>
    <x v="2162"/>
    <x v="1"/>
  </r>
  <r>
    <x v="132"/>
    <x v="25"/>
    <x v="50"/>
    <x v="1"/>
    <x v="320"/>
    <x v="6"/>
    <x v="0"/>
    <x v="1"/>
    <x v="64"/>
    <x v="12"/>
    <x v="2163"/>
    <x v="1"/>
  </r>
  <r>
    <x v="132"/>
    <x v="12"/>
    <x v="525"/>
    <x v="0"/>
    <x v="17"/>
    <x v="6"/>
    <x v="0"/>
    <x v="0"/>
    <x v="105"/>
    <x v="5"/>
    <x v="2164"/>
    <x v="1"/>
  </r>
  <r>
    <x v="132"/>
    <x v="38"/>
    <x v="205"/>
    <x v="1"/>
    <x v="500"/>
    <x v="6"/>
    <x v="0"/>
    <x v="1"/>
    <x v="77"/>
    <x v="5"/>
    <x v="2165"/>
    <x v="1"/>
  </r>
  <r>
    <x v="132"/>
    <x v="38"/>
    <x v="357"/>
    <x v="1"/>
    <x v="389"/>
    <x v="6"/>
    <x v="0"/>
    <x v="1"/>
    <x v="64"/>
    <x v="5"/>
    <x v="2166"/>
    <x v="1"/>
  </r>
  <r>
    <x v="132"/>
    <x v="32"/>
    <x v="1337"/>
    <x v="3"/>
    <x v="422"/>
    <x v="6"/>
    <x v="2"/>
    <x v="4"/>
    <x v="221"/>
    <x v="10"/>
    <x v="2167"/>
    <x v="1"/>
  </r>
  <r>
    <x v="132"/>
    <x v="32"/>
    <x v="100"/>
    <x v="2"/>
    <x v="422"/>
    <x v="6"/>
    <x v="2"/>
    <x v="4"/>
    <x v="221"/>
    <x v="10"/>
    <x v="2168"/>
    <x v="1"/>
  </r>
  <r>
    <x v="132"/>
    <x v="32"/>
    <x v="732"/>
    <x v="6"/>
    <x v="422"/>
    <x v="6"/>
    <x v="2"/>
    <x v="4"/>
    <x v="221"/>
    <x v="10"/>
    <x v="2169"/>
    <x v="1"/>
  </r>
  <r>
    <x v="132"/>
    <x v="32"/>
    <x v="1773"/>
    <x v="7"/>
    <x v="422"/>
    <x v="6"/>
    <x v="2"/>
    <x v="4"/>
    <x v="221"/>
    <x v="10"/>
    <x v="2170"/>
    <x v="1"/>
  </r>
  <r>
    <x v="132"/>
    <x v="32"/>
    <x v="1081"/>
    <x v="5"/>
    <x v="533"/>
    <x v="6"/>
    <x v="2"/>
    <x v="4"/>
    <x v="221"/>
    <x v="10"/>
    <x v="2171"/>
    <x v="1"/>
  </r>
  <r>
    <x v="133"/>
    <x v="38"/>
    <x v="203"/>
    <x v="1"/>
    <x v="500"/>
    <x v="6"/>
    <x v="0"/>
    <x v="1"/>
    <x v="77"/>
    <x v="5"/>
    <x v="2172"/>
    <x v="1"/>
  </r>
  <r>
    <x v="133"/>
    <x v="27"/>
    <x v="925"/>
    <x v="1"/>
    <x v="5"/>
    <x v="6"/>
    <x v="0"/>
    <x v="1"/>
    <x v="65"/>
    <x v="5"/>
    <x v="2173"/>
    <x v="1"/>
  </r>
  <r>
    <x v="133"/>
    <x v="28"/>
    <x v="138"/>
    <x v="1"/>
    <x v="371"/>
    <x v="6"/>
    <x v="0"/>
    <x v="1"/>
    <x v="65"/>
    <x v="0"/>
    <x v="2174"/>
    <x v="1"/>
  </r>
  <r>
    <x v="133"/>
    <x v="12"/>
    <x v="469"/>
    <x v="0"/>
    <x v="17"/>
    <x v="6"/>
    <x v="0"/>
    <x v="0"/>
    <x v="105"/>
    <x v="5"/>
    <x v="2175"/>
    <x v="1"/>
  </r>
  <r>
    <x v="133"/>
    <x v="9"/>
    <x v="1555"/>
    <x v="0"/>
    <x v="229"/>
    <x v="6"/>
    <x v="0"/>
    <x v="0"/>
    <x v="70"/>
    <x v="5"/>
    <x v="2176"/>
    <x v="1"/>
  </r>
  <r>
    <x v="133"/>
    <x v="21"/>
    <x v="672"/>
    <x v="0"/>
    <x v="163"/>
    <x v="6"/>
    <x v="0"/>
    <x v="0"/>
    <x v="64"/>
    <x v="3"/>
    <x v="2177"/>
    <x v="1"/>
  </r>
  <r>
    <x v="133"/>
    <x v="20"/>
    <x v="919"/>
    <x v="0"/>
    <x v="61"/>
    <x v="6"/>
    <x v="0"/>
    <x v="0"/>
    <x v="70"/>
    <x v="5"/>
    <x v="2178"/>
    <x v="1"/>
  </r>
  <r>
    <x v="133"/>
    <x v="1"/>
    <x v="158"/>
    <x v="3"/>
    <x v="431"/>
    <x v="6"/>
    <x v="0"/>
    <x v="1"/>
    <x v="65"/>
    <x v="4"/>
    <x v="2179"/>
    <x v="1"/>
  </r>
  <r>
    <x v="133"/>
    <x v="3"/>
    <x v="599"/>
    <x v="3"/>
    <x v="579"/>
    <x v="6"/>
    <x v="0"/>
    <x v="2"/>
    <x v="65"/>
    <x v="4"/>
    <x v="2180"/>
    <x v="1"/>
  </r>
  <r>
    <x v="133"/>
    <x v="19"/>
    <x v="794"/>
    <x v="0"/>
    <x v="474"/>
    <x v="6"/>
    <x v="0"/>
    <x v="0"/>
    <x v="73"/>
    <x v="3"/>
    <x v="2181"/>
    <x v="1"/>
  </r>
  <r>
    <x v="133"/>
    <x v="18"/>
    <x v="683"/>
    <x v="0"/>
    <x v="217"/>
    <x v="6"/>
    <x v="0"/>
    <x v="3"/>
    <x v="62"/>
    <x v="3"/>
    <x v="2182"/>
    <x v="1"/>
  </r>
  <r>
    <x v="133"/>
    <x v="24"/>
    <x v="869"/>
    <x v="0"/>
    <x v="127"/>
    <x v="6"/>
    <x v="0"/>
    <x v="3"/>
    <x v="65"/>
    <x v="6"/>
    <x v="2183"/>
    <x v="1"/>
  </r>
  <r>
    <x v="133"/>
    <x v="32"/>
    <x v="1208"/>
    <x v="3"/>
    <x v="422"/>
    <x v="6"/>
    <x v="2"/>
    <x v="4"/>
    <x v="221"/>
    <x v="10"/>
    <x v="2184"/>
    <x v="1"/>
  </r>
  <r>
    <x v="133"/>
    <x v="32"/>
    <x v="210"/>
    <x v="2"/>
    <x v="422"/>
    <x v="6"/>
    <x v="2"/>
    <x v="4"/>
    <x v="221"/>
    <x v="10"/>
    <x v="2185"/>
    <x v="1"/>
  </r>
  <r>
    <x v="133"/>
    <x v="32"/>
    <x v="734"/>
    <x v="6"/>
    <x v="422"/>
    <x v="6"/>
    <x v="2"/>
    <x v="4"/>
    <x v="221"/>
    <x v="10"/>
    <x v="2186"/>
    <x v="1"/>
  </r>
  <r>
    <x v="133"/>
    <x v="32"/>
    <x v="1940"/>
    <x v="7"/>
    <x v="422"/>
    <x v="6"/>
    <x v="2"/>
    <x v="4"/>
    <x v="221"/>
    <x v="10"/>
    <x v="2187"/>
    <x v="1"/>
  </r>
  <r>
    <x v="133"/>
    <x v="32"/>
    <x v="744"/>
    <x v="5"/>
    <x v="533"/>
    <x v="6"/>
    <x v="2"/>
    <x v="4"/>
    <x v="221"/>
    <x v="10"/>
    <x v="2188"/>
    <x v="1"/>
  </r>
  <r>
    <x v="133"/>
    <x v="37"/>
    <x v="65"/>
    <x v="1"/>
    <x v="523"/>
    <x v="6"/>
    <x v="0"/>
    <x v="1"/>
    <x v="65"/>
    <x v="12"/>
    <x v="2189"/>
    <x v="1"/>
  </r>
  <r>
    <x v="133"/>
    <x v="38"/>
    <x v="30"/>
    <x v="1"/>
    <x v="401"/>
    <x v="6"/>
    <x v="0"/>
    <x v="1"/>
    <x v="65"/>
    <x v="5"/>
    <x v="2190"/>
    <x v="1"/>
  </r>
  <r>
    <x v="133"/>
    <x v="32"/>
    <x v="117"/>
    <x v="4"/>
    <x v="536"/>
    <x v="6"/>
    <x v="2"/>
    <x v="4"/>
    <x v="221"/>
    <x v="10"/>
    <x v="2191"/>
    <x v="1"/>
  </r>
  <r>
    <x v="133"/>
    <x v="23"/>
    <x v="12"/>
    <x v="3"/>
    <x v="285"/>
    <x v="6"/>
    <x v="0"/>
    <x v="2"/>
    <x v="65"/>
    <x v="6"/>
    <x v="2192"/>
    <x v="1"/>
  </r>
  <r>
    <x v="134"/>
    <x v="8"/>
    <x v="449"/>
    <x v="0"/>
    <x v="241"/>
    <x v="6"/>
    <x v="0"/>
    <x v="0"/>
    <x v="76"/>
    <x v="5"/>
    <x v="2193"/>
    <x v="1"/>
  </r>
  <r>
    <x v="134"/>
    <x v="20"/>
    <x v="1560"/>
    <x v="0"/>
    <x v="61"/>
    <x v="6"/>
    <x v="0"/>
    <x v="0"/>
    <x v="73"/>
    <x v="5"/>
    <x v="2194"/>
    <x v="1"/>
  </r>
  <r>
    <x v="134"/>
    <x v="9"/>
    <x v="1628"/>
    <x v="0"/>
    <x v="229"/>
    <x v="6"/>
    <x v="0"/>
    <x v="0"/>
    <x v="70"/>
    <x v="5"/>
    <x v="2195"/>
    <x v="1"/>
  </r>
  <r>
    <x v="134"/>
    <x v="38"/>
    <x v="53"/>
    <x v="1"/>
    <x v="402"/>
    <x v="6"/>
    <x v="0"/>
    <x v="1"/>
    <x v="65"/>
    <x v="5"/>
    <x v="2196"/>
    <x v="1"/>
  </r>
  <r>
    <x v="134"/>
    <x v="20"/>
    <x v="375"/>
    <x v="1"/>
    <x v="69"/>
    <x v="6"/>
    <x v="0"/>
    <x v="1"/>
    <x v="65"/>
    <x v="5"/>
    <x v="2197"/>
    <x v="1"/>
  </r>
  <r>
    <x v="134"/>
    <x v="13"/>
    <x v="1230"/>
    <x v="0"/>
    <x v="32"/>
    <x v="6"/>
    <x v="0"/>
    <x v="0"/>
    <x v="88"/>
    <x v="5"/>
    <x v="2198"/>
    <x v="1"/>
  </r>
  <r>
    <x v="134"/>
    <x v="12"/>
    <x v="519"/>
    <x v="0"/>
    <x v="17"/>
    <x v="6"/>
    <x v="0"/>
    <x v="0"/>
    <x v="105"/>
    <x v="5"/>
    <x v="2199"/>
    <x v="1"/>
  </r>
  <r>
    <x v="134"/>
    <x v="1"/>
    <x v="158"/>
    <x v="3"/>
    <x v="431"/>
    <x v="6"/>
    <x v="0"/>
    <x v="2"/>
    <x v="66"/>
    <x v="4"/>
    <x v="2200"/>
    <x v="1"/>
  </r>
  <r>
    <x v="134"/>
    <x v="38"/>
    <x v="422"/>
    <x v="1"/>
    <x v="500"/>
    <x v="6"/>
    <x v="0"/>
    <x v="1"/>
    <x v="77"/>
    <x v="5"/>
    <x v="2201"/>
    <x v="1"/>
  </r>
  <r>
    <x v="134"/>
    <x v="0"/>
    <x v="599"/>
    <x v="3"/>
    <x v="14"/>
    <x v="6"/>
    <x v="0"/>
    <x v="2"/>
    <x v="66"/>
    <x v="9"/>
    <x v="2202"/>
    <x v="1"/>
  </r>
  <r>
    <x v="134"/>
    <x v="15"/>
    <x v="545"/>
    <x v="3"/>
    <x v="353"/>
    <x v="6"/>
    <x v="0"/>
    <x v="2"/>
    <x v="66"/>
    <x v="4"/>
    <x v="2203"/>
    <x v="1"/>
  </r>
  <r>
    <x v="134"/>
    <x v="0"/>
    <x v="1570"/>
    <x v="0"/>
    <x v="298"/>
    <x v="6"/>
    <x v="0"/>
    <x v="1"/>
    <x v="66"/>
    <x v="9"/>
    <x v="2204"/>
    <x v="1"/>
  </r>
  <r>
    <x v="134"/>
    <x v="32"/>
    <x v="1105"/>
    <x v="3"/>
    <x v="422"/>
    <x v="6"/>
    <x v="2"/>
    <x v="4"/>
    <x v="221"/>
    <x v="10"/>
    <x v="2205"/>
    <x v="1"/>
  </r>
  <r>
    <x v="134"/>
    <x v="32"/>
    <x v="741"/>
    <x v="2"/>
    <x v="422"/>
    <x v="6"/>
    <x v="2"/>
    <x v="4"/>
    <x v="221"/>
    <x v="10"/>
    <x v="2206"/>
    <x v="1"/>
  </r>
  <r>
    <x v="134"/>
    <x v="32"/>
    <x v="794"/>
    <x v="6"/>
    <x v="422"/>
    <x v="6"/>
    <x v="2"/>
    <x v="4"/>
    <x v="221"/>
    <x v="10"/>
    <x v="2207"/>
    <x v="1"/>
  </r>
  <r>
    <x v="134"/>
    <x v="32"/>
    <x v="1828"/>
    <x v="7"/>
    <x v="422"/>
    <x v="6"/>
    <x v="2"/>
    <x v="4"/>
    <x v="221"/>
    <x v="10"/>
    <x v="2208"/>
    <x v="1"/>
  </r>
  <r>
    <x v="134"/>
    <x v="32"/>
    <x v="1605"/>
    <x v="5"/>
    <x v="533"/>
    <x v="6"/>
    <x v="2"/>
    <x v="4"/>
    <x v="221"/>
    <x v="10"/>
    <x v="2209"/>
    <x v="1"/>
  </r>
  <r>
    <x v="134"/>
    <x v="37"/>
    <x v="55"/>
    <x v="1"/>
    <x v="523"/>
    <x v="6"/>
    <x v="0"/>
    <x v="1"/>
    <x v="66"/>
    <x v="12"/>
    <x v="2210"/>
    <x v="1"/>
  </r>
  <r>
    <x v="134"/>
    <x v="38"/>
    <x v="45"/>
    <x v="1"/>
    <x v="401"/>
    <x v="6"/>
    <x v="0"/>
    <x v="1"/>
    <x v="66"/>
    <x v="5"/>
    <x v="2211"/>
    <x v="1"/>
  </r>
  <r>
    <x v="135"/>
    <x v="3"/>
    <x v="1369"/>
    <x v="0"/>
    <x v="153"/>
    <x v="6"/>
    <x v="0"/>
    <x v="3"/>
    <x v="67"/>
    <x v="4"/>
    <x v="2212"/>
    <x v="1"/>
  </r>
  <r>
    <x v="135"/>
    <x v="20"/>
    <x v="1482"/>
    <x v="0"/>
    <x v="61"/>
    <x v="6"/>
    <x v="0"/>
    <x v="0"/>
    <x v="73"/>
    <x v="5"/>
    <x v="2213"/>
    <x v="1"/>
  </r>
  <r>
    <x v="135"/>
    <x v="8"/>
    <x v="779"/>
    <x v="0"/>
    <x v="241"/>
    <x v="6"/>
    <x v="0"/>
    <x v="0"/>
    <x v="76"/>
    <x v="5"/>
    <x v="2214"/>
    <x v="1"/>
  </r>
  <r>
    <x v="135"/>
    <x v="12"/>
    <x v="442"/>
    <x v="0"/>
    <x v="17"/>
    <x v="6"/>
    <x v="0"/>
    <x v="0"/>
    <x v="105"/>
    <x v="5"/>
    <x v="2215"/>
    <x v="1"/>
  </r>
  <r>
    <x v="135"/>
    <x v="9"/>
    <x v="984"/>
    <x v="0"/>
    <x v="229"/>
    <x v="6"/>
    <x v="0"/>
    <x v="0"/>
    <x v="77"/>
    <x v="5"/>
    <x v="2216"/>
    <x v="1"/>
  </r>
  <r>
    <x v="135"/>
    <x v="19"/>
    <x v="794"/>
    <x v="0"/>
    <x v="474"/>
    <x v="6"/>
    <x v="0"/>
    <x v="0"/>
    <x v="73"/>
    <x v="3"/>
    <x v="2217"/>
    <x v="1"/>
  </r>
  <r>
    <x v="135"/>
    <x v="38"/>
    <x v="205"/>
    <x v="1"/>
    <x v="500"/>
    <x v="6"/>
    <x v="0"/>
    <x v="1"/>
    <x v="77"/>
    <x v="5"/>
    <x v="2218"/>
    <x v="1"/>
  </r>
  <r>
    <x v="135"/>
    <x v="28"/>
    <x v="138"/>
    <x v="1"/>
    <x v="371"/>
    <x v="6"/>
    <x v="0"/>
    <x v="1"/>
    <x v="67"/>
    <x v="0"/>
    <x v="2219"/>
    <x v="1"/>
  </r>
  <r>
    <x v="135"/>
    <x v="32"/>
    <x v="756"/>
    <x v="3"/>
    <x v="422"/>
    <x v="6"/>
    <x v="2"/>
    <x v="4"/>
    <x v="221"/>
    <x v="10"/>
    <x v="2220"/>
    <x v="1"/>
  </r>
  <r>
    <x v="135"/>
    <x v="32"/>
    <x v="271"/>
    <x v="2"/>
    <x v="422"/>
    <x v="6"/>
    <x v="2"/>
    <x v="4"/>
    <x v="221"/>
    <x v="10"/>
    <x v="2221"/>
    <x v="1"/>
  </r>
  <r>
    <x v="135"/>
    <x v="32"/>
    <x v="407"/>
    <x v="6"/>
    <x v="422"/>
    <x v="6"/>
    <x v="2"/>
    <x v="4"/>
    <x v="221"/>
    <x v="10"/>
    <x v="2222"/>
    <x v="1"/>
  </r>
  <r>
    <x v="135"/>
    <x v="32"/>
    <x v="1849"/>
    <x v="7"/>
    <x v="422"/>
    <x v="6"/>
    <x v="2"/>
    <x v="4"/>
    <x v="221"/>
    <x v="10"/>
    <x v="2223"/>
    <x v="1"/>
  </r>
  <r>
    <x v="135"/>
    <x v="32"/>
    <x v="775"/>
    <x v="8"/>
    <x v="422"/>
    <x v="6"/>
    <x v="2"/>
    <x v="4"/>
    <x v="221"/>
    <x v="10"/>
    <x v="2224"/>
    <x v="1"/>
  </r>
  <r>
    <x v="135"/>
    <x v="32"/>
    <x v="1259"/>
    <x v="5"/>
    <x v="533"/>
    <x v="6"/>
    <x v="2"/>
    <x v="4"/>
    <x v="221"/>
    <x v="10"/>
    <x v="2225"/>
    <x v="1"/>
  </r>
  <r>
    <x v="135"/>
    <x v="37"/>
    <x v="45"/>
    <x v="3"/>
    <x v="523"/>
    <x v="6"/>
    <x v="0"/>
    <x v="1"/>
    <x v="67"/>
    <x v="12"/>
    <x v="2226"/>
    <x v="1"/>
  </r>
  <r>
    <x v="136"/>
    <x v="12"/>
    <x v="532"/>
    <x v="0"/>
    <x v="17"/>
    <x v="6"/>
    <x v="0"/>
    <x v="0"/>
    <x v="105"/>
    <x v="5"/>
    <x v="2227"/>
    <x v="1"/>
  </r>
  <r>
    <x v="136"/>
    <x v="9"/>
    <x v="1460"/>
    <x v="0"/>
    <x v="229"/>
    <x v="6"/>
    <x v="0"/>
    <x v="0"/>
    <x v="73"/>
    <x v="5"/>
    <x v="2228"/>
    <x v="1"/>
  </r>
  <r>
    <x v="136"/>
    <x v="20"/>
    <x v="1140"/>
    <x v="0"/>
    <x v="61"/>
    <x v="6"/>
    <x v="0"/>
    <x v="0"/>
    <x v="77"/>
    <x v="5"/>
    <x v="2229"/>
    <x v="1"/>
  </r>
  <r>
    <x v="136"/>
    <x v="31"/>
    <x v="343"/>
    <x v="1"/>
    <x v="183"/>
    <x v="6"/>
    <x v="0"/>
    <x v="1"/>
    <x v="68"/>
    <x v="8"/>
    <x v="2230"/>
    <x v="1"/>
  </r>
  <r>
    <x v="136"/>
    <x v="12"/>
    <x v="283"/>
    <x v="1"/>
    <x v="515"/>
    <x v="6"/>
    <x v="0"/>
    <x v="1"/>
    <x v="68"/>
    <x v="5"/>
    <x v="2231"/>
    <x v="1"/>
  </r>
  <r>
    <x v="136"/>
    <x v="0"/>
    <x v="74"/>
    <x v="3"/>
    <x v="439"/>
    <x v="6"/>
    <x v="0"/>
    <x v="2"/>
    <x v="68"/>
    <x v="9"/>
    <x v="2232"/>
    <x v="1"/>
  </r>
  <r>
    <x v="136"/>
    <x v="1"/>
    <x v="158"/>
    <x v="3"/>
    <x v="431"/>
    <x v="6"/>
    <x v="0"/>
    <x v="2"/>
    <x v="68"/>
    <x v="4"/>
    <x v="2233"/>
    <x v="1"/>
  </r>
  <r>
    <x v="136"/>
    <x v="26"/>
    <x v="90"/>
    <x v="1"/>
    <x v="344"/>
    <x v="6"/>
    <x v="0"/>
    <x v="1"/>
    <x v="68"/>
    <x v="5"/>
    <x v="2234"/>
    <x v="1"/>
  </r>
  <r>
    <x v="136"/>
    <x v="24"/>
    <x v="27"/>
    <x v="1"/>
    <x v="246"/>
    <x v="6"/>
    <x v="0"/>
    <x v="1"/>
    <x v="68"/>
    <x v="6"/>
    <x v="2235"/>
    <x v="1"/>
  </r>
  <r>
    <x v="136"/>
    <x v="38"/>
    <x v="175"/>
    <x v="1"/>
    <x v="500"/>
    <x v="6"/>
    <x v="0"/>
    <x v="1"/>
    <x v="77"/>
    <x v="5"/>
    <x v="2236"/>
    <x v="1"/>
  </r>
  <r>
    <x v="136"/>
    <x v="19"/>
    <x v="1258"/>
    <x v="0"/>
    <x v="474"/>
    <x v="6"/>
    <x v="0"/>
    <x v="0"/>
    <x v="73"/>
    <x v="3"/>
    <x v="2237"/>
    <x v="1"/>
  </r>
  <r>
    <x v="136"/>
    <x v="32"/>
    <x v="980"/>
    <x v="3"/>
    <x v="422"/>
    <x v="6"/>
    <x v="2"/>
    <x v="4"/>
    <x v="221"/>
    <x v="10"/>
    <x v="2238"/>
    <x v="1"/>
  </r>
  <r>
    <x v="136"/>
    <x v="32"/>
    <x v="198"/>
    <x v="2"/>
    <x v="422"/>
    <x v="6"/>
    <x v="2"/>
    <x v="4"/>
    <x v="221"/>
    <x v="10"/>
    <x v="2239"/>
    <x v="1"/>
  </r>
  <r>
    <x v="136"/>
    <x v="32"/>
    <x v="398"/>
    <x v="6"/>
    <x v="422"/>
    <x v="6"/>
    <x v="2"/>
    <x v="4"/>
    <x v="221"/>
    <x v="10"/>
    <x v="2240"/>
    <x v="1"/>
  </r>
  <r>
    <x v="136"/>
    <x v="32"/>
    <x v="1909"/>
    <x v="7"/>
    <x v="422"/>
    <x v="6"/>
    <x v="2"/>
    <x v="4"/>
    <x v="221"/>
    <x v="10"/>
    <x v="2241"/>
    <x v="1"/>
  </r>
  <r>
    <x v="136"/>
    <x v="32"/>
    <x v="1315"/>
    <x v="5"/>
    <x v="533"/>
    <x v="6"/>
    <x v="2"/>
    <x v="4"/>
    <x v="221"/>
    <x v="10"/>
    <x v="2242"/>
    <x v="1"/>
  </r>
  <r>
    <x v="136"/>
    <x v="28"/>
    <x v="554"/>
    <x v="1"/>
    <x v="494"/>
    <x v="6"/>
    <x v="0"/>
    <x v="1"/>
    <x v="68"/>
    <x v="0"/>
    <x v="2243"/>
    <x v="1"/>
  </r>
  <r>
    <x v="136"/>
    <x v="37"/>
    <x v="69"/>
    <x v="1"/>
    <x v="523"/>
    <x v="6"/>
    <x v="0"/>
    <x v="1"/>
    <x v="68"/>
    <x v="12"/>
    <x v="2244"/>
    <x v="1"/>
  </r>
  <r>
    <x v="136"/>
    <x v="23"/>
    <x v="6"/>
    <x v="3"/>
    <x v="285"/>
    <x v="6"/>
    <x v="0"/>
    <x v="2"/>
    <x v="68"/>
    <x v="6"/>
    <x v="2245"/>
    <x v="1"/>
  </r>
  <r>
    <x v="137"/>
    <x v="20"/>
    <x v="49"/>
    <x v="3"/>
    <x v="381"/>
    <x v="6"/>
    <x v="0"/>
    <x v="2"/>
    <x v="69"/>
    <x v="5"/>
    <x v="2246"/>
    <x v="1"/>
  </r>
  <r>
    <x v="137"/>
    <x v="9"/>
    <x v="1417"/>
    <x v="0"/>
    <x v="229"/>
    <x v="6"/>
    <x v="0"/>
    <x v="0"/>
    <x v="73"/>
    <x v="5"/>
    <x v="2247"/>
    <x v="1"/>
  </r>
  <r>
    <x v="137"/>
    <x v="8"/>
    <x v="449"/>
    <x v="0"/>
    <x v="241"/>
    <x v="6"/>
    <x v="0"/>
    <x v="0"/>
    <x v="76"/>
    <x v="5"/>
    <x v="2248"/>
    <x v="1"/>
  </r>
  <r>
    <x v="137"/>
    <x v="12"/>
    <x v="344"/>
    <x v="0"/>
    <x v="17"/>
    <x v="6"/>
    <x v="0"/>
    <x v="0"/>
    <x v="105"/>
    <x v="5"/>
    <x v="2249"/>
    <x v="1"/>
  </r>
  <r>
    <x v="137"/>
    <x v="20"/>
    <x v="93"/>
    <x v="0"/>
    <x v="61"/>
    <x v="6"/>
    <x v="0"/>
    <x v="0"/>
    <x v="77"/>
    <x v="5"/>
    <x v="2250"/>
    <x v="1"/>
  </r>
  <r>
    <x v="137"/>
    <x v="1"/>
    <x v="90"/>
    <x v="3"/>
    <x v="431"/>
    <x v="6"/>
    <x v="0"/>
    <x v="4"/>
    <x v="69"/>
    <x v="4"/>
    <x v="2251"/>
    <x v="1"/>
  </r>
  <r>
    <x v="137"/>
    <x v="38"/>
    <x v="449"/>
    <x v="1"/>
    <x v="500"/>
    <x v="6"/>
    <x v="0"/>
    <x v="1"/>
    <x v="77"/>
    <x v="5"/>
    <x v="2252"/>
    <x v="1"/>
  </r>
  <r>
    <x v="137"/>
    <x v="32"/>
    <x v="814"/>
    <x v="3"/>
    <x v="422"/>
    <x v="6"/>
    <x v="2"/>
    <x v="4"/>
    <x v="221"/>
    <x v="10"/>
    <x v="2253"/>
    <x v="1"/>
  </r>
  <r>
    <x v="137"/>
    <x v="32"/>
    <x v="425"/>
    <x v="2"/>
    <x v="422"/>
    <x v="6"/>
    <x v="2"/>
    <x v="4"/>
    <x v="221"/>
    <x v="10"/>
    <x v="2254"/>
    <x v="1"/>
  </r>
  <r>
    <x v="137"/>
    <x v="32"/>
    <x v="143"/>
    <x v="6"/>
    <x v="422"/>
    <x v="6"/>
    <x v="2"/>
    <x v="4"/>
    <x v="221"/>
    <x v="10"/>
    <x v="2255"/>
    <x v="1"/>
  </r>
  <r>
    <x v="137"/>
    <x v="32"/>
    <x v="1741"/>
    <x v="7"/>
    <x v="422"/>
    <x v="6"/>
    <x v="2"/>
    <x v="4"/>
    <x v="221"/>
    <x v="10"/>
    <x v="2256"/>
    <x v="1"/>
  </r>
  <r>
    <x v="137"/>
    <x v="32"/>
    <x v="290"/>
    <x v="5"/>
    <x v="533"/>
    <x v="6"/>
    <x v="2"/>
    <x v="4"/>
    <x v="221"/>
    <x v="10"/>
    <x v="2257"/>
    <x v="1"/>
  </r>
  <r>
    <x v="137"/>
    <x v="24"/>
    <x v="30"/>
    <x v="3"/>
    <x v="52"/>
    <x v="6"/>
    <x v="0"/>
    <x v="2"/>
    <x v="69"/>
    <x v="6"/>
    <x v="2258"/>
    <x v="1"/>
  </r>
  <r>
    <x v="137"/>
    <x v="37"/>
    <x v="50"/>
    <x v="3"/>
    <x v="523"/>
    <x v="6"/>
    <x v="0"/>
    <x v="2"/>
    <x v="69"/>
    <x v="12"/>
    <x v="2259"/>
    <x v="1"/>
  </r>
  <r>
    <x v="138"/>
    <x v="12"/>
    <x v="605"/>
    <x v="0"/>
    <x v="17"/>
    <x v="6"/>
    <x v="0"/>
    <x v="0"/>
    <x v="105"/>
    <x v="5"/>
    <x v="2260"/>
    <x v="1"/>
  </r>
  <r>
    <x v="138"/>
    <x v="9"/>
    <x v="975"/>
    <x v="0"/>
    <x v="229"/>
    <x v="6"/>
    <x v="0"/>
    <x v="0"/>
    <x v="73"/>
    <x v="5"/>
    <x v="2261"/>
    <x v="1"/>
  </r>
  <r>
    <x v="138"/>
    <x v="20"/>
    <x v="886"/>
    <x v="0"/>
    <x v="61"/>
    <x v="6"/>
    <x v="0"/>
    <x v="0"/>
    <x v="77"/>
    <x v="5"/>
    <x v="2262"/>
    <x v="1"/>
  </r>
  <r>
    <x v="138"/>
    <x v="20"/>
    <x v="343"/>
    <x v="1"/>
    <x v="124"/>
    <x v="6"/>
    <x v="0"/>
    <x v="1"/>
    <x v="70"/>
    <x v="5"/>
    <x v="2263"/>
    <x v="1"/>
  </r>
  <r>
    <x v="138"/>
    <x v="3"/>
    <x v="599"/>
    <x v="0"/>
    <x v="579"/>
    <x v="6"/>
    <x v="0"/>
    <x v="3"/>
    <x v="70"/>
    <x v="4"/>
    <x v="2264"/>
    <x v="1"/>
  </r>
  <r>
    <x v="138"/>
    <x v="10"/>
    <x v="375"/>
    <x v="1"/>
    <x v="149"/>
    <x v="6"/>
    <x v="0"/>
    <x v="1"/>
    <x v="70"/>
    <x v="6"/>
    <x v="2265"/>
    <x v="1"/>
  </r>
  <r>
    <x v="138"/>
    <x v="38"/>
    <x v="329"/>
    <x v="1"/>
    <x v="389"/>
    <x v="6"/>
    <x v="0"/>
    <x v="1"/>
    <x v="70"/>
    <x v="5"/>
    <x v="2266"/>
    <x v="1"/>
  </r>
  <r>
    <x v="138"/>
    <x v="24"/>
    <x v="158"/>
    <x v="1"/>
    <x v="246"/>
    <x v="6"/>
    <x v="0"/>
    <x v="1"/>
    <x v="70"/>
    <x v="6"/>
    <x v="2267"/>
    <x v="1"/>
  </r>
  <r>
    <x v="138"/>
    <x v="38"/>
    <x v="155"/>
    <x v="1"/>
    <x v="500"/>
    <x v="6"/>
    <x v="0"/>
    <x v="1"/>
    <x v="77"/>
    <x v="5"/>
    <x v="2268"/>
    <x v="1"/>
  </r>
  <r>
    <x v="138"/>
    <x v="32"/>
    <x v="1193"/>
    <x v="3"/>
    <x v="422"/>
    <x v="6"/>
    <x v="2"/>
    <x v="4"/>
    <x v="221"/>
    <x v="10"/>
    <x v="2269"/>
    <x v="1"/>
  </r>
  <r>
    <x v="138"/>
    <x v="32"/>
    <x v="1800"/>
    <x v="0"/>
    <x v="422"/>
    <x v="6"/>
    <x v="2"/>
    <x v="4"/>
    <x v="221"/>
    <x v="10"/>
    <x v="2270"/>
    <x v="1"/>
  </r>
  <r>
    <x v="138"/>
    <x v="32"/>
    <x v="444"/>
    <x v="8"/>
    <x v="422"/>
    <x v="6"/>
    <x v="2"/>
    <x v="4"/>
    <x v="221"/>
    <x v="10"/>
    <x v="2271"/>
    <x v="1"/>
  </r>
  <r>
    <x v="138"/>
    <x v="32"/>
    <x v="667"/>
    <x v="5"/>
    <x v="533"/>
    <x v="6"/>
    <x v="2"/>
    <x v="4"/>
    <x v="221"/>
    <x v="10"/>
    <x v="2272"/>
    <x v="1"/>
  </r>
  <r>
    <x v="138"/>
    <x v="37"/>
    <x v="60"/>
    <x v="1"/>
    <x v="523"/>
    <x v="6"/>
    <x v="0"/>
    <x v="1"/>
    <x v="70"/>
    <x v="12"/>
    <x v="2273"/>
    <x v="1"/>
  </r>
  <r>
    <x v="138"/>
    <x v="32"/>
    <x v="117"/>
    <x v="6"/>
    <x v="190"/>
    <x v="6"/>
    <x v="2"/>
    <x v="4"/>
    <x v="221"/>
    <x v="10"/>
    <x v="2274"/>
    <x v="1"/>
  </r>
  <r>
    <x v="138"/>
    <x v="23"/>
    <x v="11"/>
    <x v="3"/>
    <x v="285"/>
    <x v="6"/>
    <x v="0"/>
    <x v="2"/>
    <x v="70"/>
    <x v="6"/>
    <x v="2275"/>
    <x v="1"/>
  </r>
  <r>
    <x v="139"/>
    <x v="12"/>
    <x v="476"/>
    <x v="0"/>
    <x v="17"/>
    <x v="6"/>
    <x v="0"/>
    <x v="0"/>
    <x v="111"/>
    <x v="5"/>
    <x v="2276"/>
    <x v="1"/>
  </r>
  <r>
    <x v="139"/>
    <x v="9"/>
    <x v="1466"/>
    <x v="0"/>
    <x v="229"/>
    <x v="6"/>
    <x v="0"/>
    <x v="0"/>
    <x v="77"/>
    <x v="5"/>
    <x v="2277"/>
    <x v="1"/>
  </r>
  <r>
    <x v="139"/>
    <x v="8"/>
    <x v="779"/>
    <x v="0"/>
    <x v="241"/>
    <x v="6"/>
    <x v="0"/>
    <x v="0"/>
    <x v="76"/>
    <x v="5"/>
    <x v="2278"/>
    <x v="1"/>
  </r>
  <r>
    <x v="139"/>
    <x v="20"/>
    <x v="528"/>
    <x v="0"/>
    <x v="61"/>
    <x v="6"/>
    <x v="0"/>
    <x v="0"/>
    <x v="77"/>
    <x v="5"/>
    <x v="2279"/>
    <x v="1"/>
  </r>
  <r>
    <x v="139"/>
    <x v="27"/>
    <x v="925"/>
    <x v="1"/>
    <x v="5"/>
    <x v="6"/>
    <x v="0"/>
    <x v="1"/>
    <x v="71"/>
    <x v="5"/>
    <x v="2280"/>
    <x v="1"/>
  </r>
  <r>
    <x v="139"/>
    <x v="1"/>
    <x v="90"/>
    <x v="3"/>
    <x v="431"/>
    <x v="6"/>
    <x v="0"/>
    <x v="2"/>
    <x v="221"/>
    <x v="4"/>
    <x v="2281"/>
    <x v="1"/>
  </r>
  <r>
    <x v="139"/>
    <x v="38"/>
    <x v="36"/>
    <x v="1"/>
    <x v="401"/>
    <x v="6"/>
    <x v="0"/>
    <x v="1"/>
    <x v="71"/>
    <x v="5"/>
    <x v="2282"/>
    <x v="1"/>
  </r>
  <r>
    <x v="139"/>
    <x v="16"/>
    <x v="1329"/>
    <x v="0"/>
    <x v="193"/>
    <x v="6"/>
    <x v="0"/>
    <x v="0"/>
    <x v="71"/>
    <x v="6"/>
    <x v="2283"/>
    <x v="1"/>
  </r>
  <r>
    <x v="139"/>
    <x v="32"/>
    <x v="867"/>
    <x v="3"/>
    <x v="422"/>
    <x v="6"/>
    <x v="2"/>
    <x v="4"/>
    <x v="221"/>
    <x v="10"/>
    <x v="2284"/>
    <x v="1"/>
  </r>
  <r>
    <x v="139"/>
    <x v="32"/>
    <x v="972"/>
    <x v="2"/>
    <x v="422"/>
    <x v="6"/>
    <x v="2"/>
    <x v="4"/>
    <x v="221"/>
    <x v="10"/>
    <x v="2285"/>
    <x v="1"/>
  </r>
  <r>
    <x v="139"/>
    <x v="32"/>
    <x v="232"/>
    <x v="6"/>
    <x v="422"/>
    <x v="6"/>
    <x v="2"/>
    <x v="4"/>
    <x v="221"/>
    <x v="10"/>
    <x v="2286"/>
    <x v="1"/>
  </r>
  <r>
    <x v="139"/>
    <x v="32"/>
    <x v="1760"/>
    <x v="7"/>
    <x v="422"/>
    <x v="6"/>
    <x v="2"/>
    <x v="4"/>
    <x v="221"/>
    <x v="10"/>
    <x v="2287"/>
    <x v="1"/>
  </r>
  <r>
    <x v="139"/>
    <x v="32"/>
    <x v="611"/>
    <x v="8"/>
    <x v="422"/>
    <x v="6"/>
    <x v="2"/>
    <x v="4"/>
    <x v="221"/>
    <x v="10"/>
    <x v="2288"/>
    <x v="1"/>
  </r>
  <r>
    <x v="139"/>
    <x v="32"/>
    <x v="1378"/>
    <x v="5"/>
    <x v="533"/>
    <x v="6"/>
    <x v="2"/>
    <x v="4"/>
    <x v="221"/>
    <x v="10"/>
    <x v="2289"/>
    <x v="1"/>
  </r>
  <r>
    <x v="139"/>
    <x v="37"/>
    <x v="101"/>
    <x v="1"/>
    <x v="523"/>
    <x v="6"/>
    <x v="0"/>
    <x v="1"/>
    <x v="71"/>
    <x v="12"/>
    <x v="2290"/>
    <x v="1"/>
  </r>
  <r>
    <x v="139"/>
    <x v="38"/>
    <x v="251"/>
    <x v="0"/>
    <x v="500"/>
    <x v="6"/>
    <x v="0"/>
    <x v="0"/>
    <x v="90"/>
    <x v="5"/>
    <x v="2291"/>
    <x v="1"/>
  </r>
  <r>
    <x v="140"/>
    <x v="12"/>
    <x v="603"/>
    <x v="0"/>
    <x v="17"/>
    <x v="6"/>
    <x v="0"/>
    <x v="0"/>
    <x v="111"/>
    <x v="5"/>
    <x v="2292"/>
    <x v="1"/>
  </r>
  <r>
    <x v="140"/>
    <x v="9"/>
    <x v="1046"/>
    <x v="0"/>
    <x v="229"/>
    <x v="6"/>
    <x v="0"/>
    <x v="0"/>
    <x v="77"/>
    <x v="5"/>
    <x v="2293"/>
    <x v="1"/>
  </r>
  <r>
    <x v="140"/>
    <x v="20"/>
    <x v="1546"/>
    <x v="0"/>
    <x v="61"/>
    <x v="6"/>
    <x v="0"/>
    <x v="0"/>
    <x v="77"/>
    <x v="5"/>
    <x v="2294"/>
    <x v="1"/>
  </r>
  <r>
    <x v="140"/>
    <x v="13"/>
    <x v="1652"/>
    <x v="0"/>
    <x v="32"/>
    <x v="6"/>
    <x v="0"/>
    <x v="0"/>
    <x v="96"/>
    <x v="5"/>
    <x v="2295"/>
    <x v="1"/>
  </r>
  <r>
    <x v="140"/>
    <x v="15"/>
    <x v="481"/>
    <x v="3"/>
    <x v="353"/>
    <x v="6"/>
    <x v="0"/>
    <x v="2"/>
    <x v="72"/>
    <x v="4"/>
    <x v="2296"/>
    <x v="1"/>
  </r>
  <r>
    <x v="140"/>
    <x v="32"/>
    <x v="1361"/>
    <x v="3"/>
    <x v="422"/>
    <x v="6"/>
    <x v="2"/>
    <x v="4"/>
    <x v="221"/>
    <x v="10"/>
    <x v="2297"/>
    <x v="1"/>
  </r>
  <r>
    <x v="140"/>
    <x v="32"/>
    <x v="584"/>
    <x v="2"/>
    <x v="422"/>
    <x v="6"/>
    <x v="2"/>
    <x v="4"/>
    <x v="221"/>
    <x v="10"/>
    <x v="2298"/>
    <x v="1"/>
  </r>
  <r>
    <x v="140"/>
    <x v="32"/>
    <x v="205"/>
    <x v="6"/>
    <x v="422"/>
    <x v="6"/>
    <x v="2"/>
    <x v="4"/>
    <x v="221"/>
    <x v="10"/>
    <x v="2299"/>
    <x v="1"/>
  </r>
  <r>
    <x v="140"/>
    <x v="32"/>
    <x v="1667"/>
    <x v="7"/>
    <x v="422"/>
    <x v="6"/>
    <x v="2"/>
    <x v="4"/>
    <x v="221"/>
    <x v="10"/>
    <x v="2300"/>
    <x v="1"/>
  </r>
  <r>
    <x v="140"/>
    <x v="32"/>
    <x v="1095"/>
    <x v="5"/>
    <x v="533"/>
    <x v="6"/>
    <x v="2"/>
    <x v="4"/>
    <x v="221"/>
    <x v="10"/>
    <x v="2301"/>
    <x v="1"/>
  </r>
  <r>
    <x v="140"/>
    <x v="37"/>
    <x v="69"/>
    <x v="1"/>
    <x v="523"/>
    <x v="6"/>
    <x v="0"/>
    <x v="1"/>
    <x v="72"/>
    <x v="12"/>
    <x v="2302"/>
    <x v="1"/>
  </r>
  <r>
    <x v="140"/>
    <x v="24"/>
    <x v="147"/>
    <x v="1"/>
    <x v="246"/>
    <x v="6"/>
    <x v="0"/>
    <x v="1"/>
    <x v="72"/>
    <x v="6"/>
    <x v="2303"/>
    <x v="1"/>
  </r>
  <r>
    <x v="140"/>
    <x v="38"/>
    <x v="170"/>
    <x v="0"/>
    <x v="500"/>
    <x v="6"/>
    <x v="0"/>
    <x v="0"/>
    <x v="90"/>
    <x v="5"/>
    <x v="2304"/>
    <x v="1"/>
  </r>
  <r>
    <x v="140"/>
    <x v="0"/>
    <x v="134"/>
    <x v="1"/>
    <x v="566"/>
    <x v="6"/>
    <x v="0"/>
    <x v="1"/>
    <x v="72"/>
    <x v="9"/>
    <x v="2305"/>
    <x v="1"/>
  </r>
  <r>
    <x v="141"/>
    <x v="9"/>
    <x v="1244"/>
    <x v="0"/>
    <x v="229"/>
    <x v="6"/>
    <x v="0"/>
    <x v="0"/>
    <x v="77"/>
    <x v="5"/>
    <x v="2306"/>
    <x v="1"/>
  </r>
  <r>
    <x v="141"/>
    <x v="8"/>
    <x v="779"/>
    <x v="0"/>
    <x v="241"/>
    <x v="6"/>
    <x v="0"/>
    <x v="0"/>
    <x v="76"/>
    <x v="5"/>
    <x v="2307"/>
    <x v="1"/>
  </r>
  <r>
    <x v="141"/>
    <x v="12"/>
    <x v="384"/>
    <x v="0"/>
    <x v="17"/>
    <x v="6"/>
    <x v="0"/>
    <x v="0"/>
    <x v="111"/>
    <x v="5"/>
    <x v="2308"/>
    <x v="1"/>
  </r>
  <r>
    <x v="141"/>
    <x v="20"/>
    <x v="853"/>
    <x v="0"/>
    <x v="61"/>
    <x v="6"/>
    <x v="0"/>
    <x v="0"/>
    <x v="84"/>
    <x v="5"/>
    <x v="2309"/>
    <x v="1"/>
  </r>
  <r>
    <x v="141"/>
    <x v="20"/>
    <x v="49"/>
    <x v="3"/>
    <x v="381"/>
    <x v="6"/>
    <x v="0"/>
    <x v="2"/>
    <x v="73"/>
    <x v="5"/>
    <x v="2310"/>
    <x v="1"/>
  </r>
  <r>
    <x v="141"/>
    <x v="1"/>
    <x v="90"/>
    <x v="3"/>
    <x v="431"/>
    <x v="6"/>
    <x v="0"/>
    <x v="2"/>
    <x v="73"/>
    <x v="4"/>
    <x v="2311"/>
    <x v="1"/>
  </r>
  <r>
    <x v="141"/>
    <x v="3"/>
    <x v="599"/>
    <x v="1"/>
    <x v="579"/>
    <x v="6"/>
    <x v="0"/>
    <x v="1"/>
    <x v="73"/>
    <x v="4"/>
    <x v="2312"/>
    <x v="1"/>
  </r>
  <r>
    <x v="141"/>
    <x v="38"/>
    <x v="122"/>
    <x v="0"/>
    <x v="500"/>
    <x v="6"/>
    <x v="0"/>
    <x v="0"/>
    <x v="90"/>
    <x v="5"/>
    <x v="2313"/>
    <x v="1"/>
  </r>
  <r>
    <x v="141"/>
    <x v="28"/>
    <x v="138"/>
    <x v="1"/>
    <x v="371"/>
    <x v="6"/>
    <x v="0"/>
    <x v="1"/>
    <x v="73"/>
    <x v="0"/>
    <x v="2314"/>
    <x v="1"/>
  </r>
  <r>
    <x v="141"/>
    <x v="27"/>
    <x v="191"/>
    <x v="1"/>
    <x v="5"/>
    <x v="6"/>
    <x v="0"/>
    <x v="1"/>
    <x v="73"/>
    <x v="5"/>
    <x v="2315"/>
    <x v="1"/>
  </r>
  <r>
    <x v="141"/>
    <x v="28"/>
    <x v="191"/>
    <x v="1"/>
    <x v="494"/>
    <x v="6"/>
    <x v="0"/>
    <x v="1"/>
    <x v="73"/>
    <x v="0"/>
    <x v="2316"/>
    <x v="1"/>
  </r>
  <r>
    <x v="141"/>
    <x v="32"/>
    <x v="689"/>
    <x v="3"/>
    <x v="422"/>
    <x v="6"/>
    <x v="2"/>
    <x v="4"/>
    <x v="221"/>
    <x v="10"/>
    <x v="2317"/>
    <x v="1"/>
  </r>
  <r>
    <x v="141"/>
    <x v="32"/>
    <x v="813"/>
    <x v="6"/>
    <x v="422"/>
    <x v="6"/>
    <x v="2"/>
    <x v="4"/>
    <x v="221"/>
    <x v="10"/>
    <x v="2318"/>
    <x v="1"/>
  </r>
  <r>
    <x v="141"/>
    <x v="32"/>
    <x v="1825"/>
    <x v="7"/>
    <x v="422"/>
    <x v="6"/>
    <x v="2"/>
    <x v="4"/>
    <x v="221"/>
    <x v="10"/>
    <x v="2319"/>
    <x v="1"/>
  </r>
  <r>
    <x v="141"/>
    <x v="32"/>
    <x v="622"/>
    <x v="5"/>
    <x v="533"/>
    <x v="6"/>
    <x v="2"/>
    <x v="4"/>
    <x v="221"/>
    <x v="10"/>
    <x v="2320"/>
    <x v="1"/>
  </r>
  <r>
    <x v="141"/>
    <x v="37"/>
    <x v="60"/>
    <x v="1"/>
    <x v="523"/>
    <x v="6"/>
    <x v="0"/>
    <x v="1"/>
    <x v="73"/>
    <x v="12"/>
    <x v="2321"/>
    <x v="1"/>
  </r>
  <r>
    <x v="142"/>
    <x v="12"/>
    <x v="326"/>
    <x v="0"/>
    <x v="17"/>
    <x v="6"/>
    <x v="0"/>
    <x v="0"/>
    <x v="111"/>
    <x v="5"/>
    <x v="2322"/>
    <x v="1"/>
  </r>
  <r>
    <x v="142"/>
    <x v="9"/>
    <x v="1183"/>
    <x v="0"/>
    <x v="229"/>
    <x v="6"/>
    <x v="0"/>
    <x v="0"/>
    <x v="77"/>
    <x v="5"/>
    <x v="2323"/>
    <x v="1"/>
  </r>
  <r>
    <x v="142"/>
    <x v="1"/>
    <x v="90"/>
    <x v="1"/>
    <x v="431"/>
    <x v="6"/>
    <x v="0"/>
    <x v="2"/>
    <x v="74"/>
    <x v="4"/>
    <x v="2324"/>
    <x v="1"/>
  </r>
  <r>
    <x v="142"/>
    <x v="38"/>
    <x v="210"/>
    <x v="0"/>
    <x v="500"/>
    <x v="6"/>
    <x v="0"/>
    <x v="0"/>
    <x v="90"/>
    <x v="5"/>
    <x v="2325"/>
    <x v="1"/>
  </r>
  <r>
    <x v="142"/>
    <x v="19"/>
    <x v="1258"/>
    <x v="0"/>
    <x v="474"/>
    <x v="6"/>
    <x v="0"/>
    <x v="0"/>
    <x v="82"/>
    <x v="3"/>
    <x v="2326"/>
    <x v="1"/>
  </r>
  <r>
    <x v="142"/>
    <x v="32"/>
    <x v="1304"/>
    <x v="3"/>
    <x v="422"/>
    <x v="6"/>
    <x v="2"/>
    <x v="4"/>
    <x v="221"/>
    <x v="10"/>
    <x v="2327"/>
    <x v="1"/>
  </r>
  <r>
    <x v="142"/>
    <x v="32"/>
    <x v="543"/>
    <x v="2"/>
    <x v="422"/>
    <x v="6"/>
    <x v="2"/>
    <x v="4"/>
    <x v="221"/>
    <x v="10"/>
    <x v="2328"/>
    <x v="1"/>
  </r>
  <r>
    <x v="142"/>
    <x v="32"/>
    <x v="479"/>
    <x v="6"/>
    <x v="422"/>
    <x v="6"/>
    <x v="2"/>
    <x v="4"/>
    <x v="221"/>
    <x v="10"/>
    <x v="2329"/>
    <x v="1"/>
  </r>
  <r>
    <x v="142"/>
    <x v="32"/>
    <x v="1843"/>
    <x v="7"/>
    <x v="422"/>
    <x v="6"/>
    <x v="2"/>
    <x v="4"/>
    <x v="221"/>
    <x v="10"/>
    <x v="2330"/>
    <x v="1"/>
  </r>
  <r>
    <x v="142"/>
    <x v="32"/>
    <x v="854"/>
    <x v="8"/>
    <x v="422"/>
    <x v="6"/>
    <x v="2"/>
    <x v="4"/>
    <x v="221"/>
    <x v="10"/>
    <x v="2331"/>
    <x v="1"/>
  </r>
  <r>
    <x v="142"/>
    <x v="32"/>
    <x v="938"/>
    <x v="5"/>
    <x v="533"/>
    <x v="6"/>
    <x v="2"/>
    <x v="4"/>
    <x v="221"/>
    <x v="10"/>
    <x v="2332"/>
    <x v="1"/>
  </r>
  <r>
    <x v="142"/>
    <x v="23"/>
    <x v="15"/>
    <x v="3"/>
    <x v="285"/>
    <x v="6"/>
    <x v="0"/>
    <x v="2"/>
    <x v="74"/>
    <x v="6"/>
    <x v="2333"/>
    <x v="1"/>
  </r>
  <r>
    <x v="142"/>
    <x v="37"/>
    <x v="83"/>
    <x v="1"/>
    <x v="523"/>
    <x v="6"/>
    <x v="0"/>
    <x v="1"/>
    <x v="74"/>
    <x v="12"/>
    <x v="2334"/>
    <x v="1"/>
  </r>
  <r>
    <x v="143"/>
    <x v="9"/>
    <x v="1424"/>
    <x v="0"/>
    <x v="229"/>
    <x v="6"/>
    <x v="0"/>
    <x v="0"/>
    <x v="84"/>
    <x v="5"/>
    <x v="2335"/>
    <x v="1"/>
  </r>
  <r>
    <x v="143"/>
    <x v="20"/>
    <x v="584"/>
    <x v="0"/>
    <x v="61"/>
    <x v="6"/>
    <x v="0"/>
    <x v="0"/>
    <x v="84"/>
    <x v="5"/>
    <x v="2336"/>
    <x v="1"/>
  </r>
  <r>
    <x v="143"/>
    <x v="12"/>
    <x v="415"/>
    <x v="0"/>
    <x v="17"/>
    <x v="6"/>
    <x v="0"/>
    <x v="0"/>
    <x v="111"/>
    <x v="5"/>
    <x v="2337"/>
    <x v="1"/>
  </r>
  <r>
    <x v="143"/>
    <x v="38"/>
    <x v="357"/>
    <x v="1"/>
    <x v="389"/>
    <x v="6"/>
    <x v="0"/>
    <x v="4"/>
    <x v="75"/>
    <x v="5"/>
    <x v="2338"/>
    <x v="1"/>
  </r>
  <r>
    <x v="143"/>
    <x v="12"/>
    <x v="363"/>
    <x v="1"/>
    <x v="515"/>
    <x v="6"/>
    <x v="0"/>
    <x v="4"/>
    <x v="75"/>
    <x v="5"/>
    <x v="2339"/>
    <x v="1"/>
  </r>
  <r>
    <x v="143"/>
    <x v="20"/>
    <x v="375"/>
    <x v="1"/>
    <x v="69"/>
    <x v="6"/>
    <x v="0"/>
    <x v="4"/>
    <x v="75"/>
    <x v="5"/>
    <x v="2340"/>
    <x v="1"/>
  </r>
  <r>
    <x v="143"/>
    <x v="38"/>
    <x v="250"/>
    <x v="0"/>
    <x v="500"/>
    <x v="6"/>
    <x v="0"/>
    <x v="0"/>
    <x v="90"/>
    <x v="5"/>
    <x v="2341"/>
    <x v="1"/>
  </r>
  <r>
    <x v="143"/>
    <x v="26"/>
    <x v="90"/>
    <x v="1"/>
    <x v="344"/>
    <x v="6"/>
    <x v="0"/>
    <x v="1"/>
    <x v="75"/>
    <x v="5"/>
    <x v="2342"/>
    <x v="1"/>
  </r>
  <r>
    <x v="143"/>
    <x v="15"/>
    <x v="461"/>
    <x v="3"/>
    <x v="353"/>
    <x v="6"/>
    <x v="0"/>
    <x v="2"/>
    <x v="75"/>
    <x v="4"/>
    <x v="2343"/>
    <x v="1"/>
  </r>
  <r>
    <x v="143"/>
    <x v="32"/>
    <x v="1581"/>
    <x v="3"/>
    <x v="422"/>
    <x v="6"/>
    <x v="2"/>
    <x v="4"/>
    <x v="221"/>
    <x v="10"/>
    <x v="2344"/>
    <x v="1"/>
  </r>
  <r>
    <x v="143"/>
    <x v="32"/>
    <x v="12"/>
    <x v="6"/>
    <x v="422"/>
    <x v="6"/>
    <x v="2"/>
    <x v="4"/>
    <x v="221"/>
    <x v="10"/>
    <x v="2345"/>
    <x v="1"/>
  </r>
  <r>
    <x v="143"/>
    <x v="32"/>
    <x v="1957"/>
    <x v="7"/>
    <x v="422"/>
    <x v="6"/>
    <x v="2"/>
    <x v="4"/>
    <x v="221"/>
    <x v="10"/>
    <x v="2346"/>
    <x v="1"/>
  </r>
  <r>
    <x v="143"/>
    <x v="32"/>
    <x v="531"/>
    <x v="8"/>
    <x v="422"/>
    <x v="6"/>
    <x v="2"/>
    <x v="4"/>
    <x v="221"/>
    <x v="10"/>
    <x v="2347"/>
    <x v="1"/>
  </r>
  <r>
    <x v="143"/>
    <x v="32"/>
    <x v="876"/>
    <x v="5"/>
    <x v="533"/>
    <x v="6"/>
    <x v="2"/>
    <x v="4"/>
    <x v="221"/>
    <x v="10"/>
    <x v="2348"/>
    <x v="1"/>
  </r>
  <r>
    <x v="143"/>
    <x v="37"/>
    <x v="158"/>
    <x v="1"/>
    <x v="523"/>
    <x v="6"/>
    <x v="0"/>
    <x v="1"/>
    <x v="75"/>
    <x v="12"/>
    <x v="2349"/>
    <x v="1"/>
  </r>
  <r>
    <x v="144"/>
    <x v="0"/>
    <x v="256"/>
    <x v="1"/>
    <x v="453"/>
    <x v="6"/>
    <x v="0"/>
    <x v="1"/>
    <x v="76"/>
    <x v="9"/>
    <x v="2350"/>
    <x v="1"/>
  </r>
  <r>
    <x v="144"/>
    <x v="0"/>
    <x v="87"/>
    <x v="1"/>
    <x v="566"/>
    <x v="6"/>
    <x v="0"/>
    <x v="1"/>
    <x v="76"/>
    <x v="9"/>
    <x v="2351"/>
    <x v="1"/>
  </r>
  <r>
    <x v="144"/>
    <x v="0"/>
    <x v="87"/>
    <x v="1"/>
    <x v="279"/>
    <x v="6"/>
    <x v="0"/>
    <x v="1"/>
    <x v="76"/>
    <x v="9"/>
    <x v="2352"/>
    <x v="1"/>
  </r>
  <r>
    <x v="144"/>
    <x v="0"/>
    <x v="87"/>
    <x v="1"/>
    <x v="447"/>
    <x v="6"/>
    <x v="0"/>
    <x v="1"/>
    <x v="76"/>
    <x v="9"/>
    <x v="2353"/>
    <x v="1"/>
  </r>
  <r>
    <x v="145"/>
    <x v="12"/>
    <x v="495"/>
    <x v="0"/>
    <x v="17"/>
    <x v="6"/>
    <x v="0"/>
    <x v="0"/>
    <x v="111"/>
    <x v="5"/>
    <x v="2354"/>
    <x v="1"/>
  </r>
  <r>
    <x v="145"/>
    <x v="9"/>
    <x v="1248"/>
    <x v="0"/>
    <x v="229"/>
    <x v="6"/>
    <x v="0"/>
    <x v="0"/>
    <x v="84"/>
    <x v="5"/>
    <x v="2355"/>
    <x v="1"/>
  </r>
  <r>
    <x v="145"/>
    <x v="8"/>
    <x v="449"/>
    <x v="0"/>
    <x v="241"/>
    <x v="6"/>
    <x v="0"/>
    <x v="0"/>
    <x v="76"/>
    <x v="5"/>
    <x v="2356"/>
    <x v="1"/>
  </r>
  <r>
    <x v="145"/>
    <x v="20"/>
    <x v="1059"/>
    <x v="0"/>
    <x v="61"/>
    <x v="6"/>
    <x v="0"/>
    <x v="0"/>
    <x v="84"/>
    <x v="5"/>
    <x v="2357"/>
    <x v="1"/>
  </r>
  <r>
    <x v="145"/>
    <x v="1"/>
    <x v="127"/>
    <x v="3"/>
    <x v="431"/>
    <x v="6"/>
    <x v="0"/>
    <x v="2"/>
    <x v="76"/>
    <x v="4"/>
    <x v="2358"/>
    <x v="1"/>
  </r>
  <r>
    <x v="145"/>
    <x v="24"/>
    <x v="65"/>
    <x v="1"/>
    <x v="246"/>
    <x v="6"/>
    <x v="0"/>
    <x v="1"/>
    <x v="76"/>
    <x v="6"/>
    <x v="2359"/>
    <x v="1"/>
  </r>
  <r>
    <x v="145"/>
    <x v="0"/>
    <x v="869"/>
    <x v="1"/>
    <x v="352"/>
    <x v="6"/>
    <x v="0"/>
    <x v="1"/>
    <x v="76"/>
    <x v="9"/>
    <x v="2360"/>
    <x v="1"/>
  </r>
  <r>
    <x v="145"/>
    <x v="38"/>
    <x v="295"/>
    <x v="0"/>
    <x v="500"/>
    <x v="6"/>
    <x v="0"/>
    <x v="0"/>
    <x v="90"/>
    <x v="5"/>
    <x v="2361"/>
    <x v="1"/>
  </r>
  <r>
    <x v="145"/>
    <x v="32"/>
    <x v="1184"/>
    <x v="3"/>
    <x v="422"/>
    <x v="6"/>
    <x v="2"/>
    <x v="4"/>
    <x v="221"/>
    <x v="10"/>
    <x v="2362"/>
    <x v="1"/>
  </r>
  <r>
    <x v="145"/>
    <x v="32"/>
    <x v="74"/>
    <x v="6"/>
    <x v="422"/>
    <x v="6"/>
    <x v="2"/>
    <x v="4"/>
    <x v="221"/>
    <x v="10"/>
    <x v="2363"/>
    <x v="1"/>
  </r>
  <r>
    <x v="145"/>
    <x v="32"/>
    <x v="1665"/>
    <x v="7"/>
    <x v="422"/>
    <x v="6"/>
    <x v="2"/>
    <x v="4"/>
    <x v="221"/>
    <x v="10"/>
    <x v="2364"/>
    <x v="1"/>
  </r>
  <r>
    <x v="145"/>
    <x v="32"/>
    <x v="291"/>
    <x v="8"/>
    <x v="422"/>
    <x v="6"/>
    <x v="2"/>
    <x v="4"/>
    <x v="221"/>
    <x v="10"/>
    <x v="2365"/>
    <x v="1"/>
  </r>
  <r>
    <x v="145"/>
    <x v="32"/>
    <x v="937"/>
    <x v="5"/>
    <x v="533"/>
    <x v="6"/>
    <x v="2"/>
    <x v="4"/>
    <x v="221"/>
    <x v="10"/>
    <x v="2366"/>
    <x v="1"/>
  </r>
  <r>
    <x v="145"/>
    <x v="37"/>
    <x v="50"/>
    <x v="3"/>
    <x v="523"/>
    <x v="6"/>
    <x v="0"/>
    <x v="1"/>
    <x v="76"/>
    <x v="12"/>
    <x v="2367"/>
    <x v="1"/>
  </r>
  <r>
    <x v="146"/>
    <x v="9"/>
    <x v="1007"/>
    <x v="0"/>
    <x v="229"/>
    <x v="6"/>
    <x v="0"/>
    <x v="0"/>
    <x v="84"/>
    <x v="5"/>
    <x v="2368"/>
    <x v="1"/>
  </r>
  <r>
    <x v="146"/>
    <x v="8"/>
    <x v="779"/>
    <x v="0"/>
    <x v="241"/>
    <x v="6"/>
    <x v="0"/>
    <x v="0"/>
    <x v="94"/>
    <x v="5"/>
    <x v="2369"/>
    <x v="1"/>
  </r>
  <r>
    <x v="146"/>
    <x v="20"/>
    <x v="385"/>
    <x v="0"/>
    <x v="61"/>
    <x v="6"/>
    <x v="0"/>
    <x v="0"/>
    <x v="84"/>
    <x v="5"/>
    <x v="2370"/>
    <x v="1"/>
  </r>
  <r>
    <x v="146"/>
    <x v="12"/>
    <x v="376"/>
    <x v="0"/>
    <x v="17"/>
    <x v="6"/>
    <x v="0"/>
    <x v="0"/>
    <x v="111"/>
    <x v="5"/>
    <x v="2371"/>
    <x v="1"/>
  </r>
  <r>
    <x v="146"/>
    <x v="1"/>
    <x v="127"/>
    <x v="3"/>
    <x v="431"/>
    <x v="6"/>
    <x v="0"/>
    <x v="2"/>
    <x v="77"/>
    <x v="4"/>
    <x v="2372"/>
    <x v="1"/>
  </r>
  <r>
    <x v="146"/>
    <x v="19"/>
    <x v="1258"/>
    <x v="0"/>
    <x v="474"/>
    <x v="6"/>
    <x v="0"/>
    <x v="0"/>
    <x v="82"/>
    <x v="3"/>
    <x v="2373"/>
    <x v="1"/>
  </r>
  <r>
    <x v="146"/>
    <x v="38"/>
    <x v="231"/>
    <x v="0"/>
    <x v="500"/>
    <x v="6"/>
    <x v="0"/>
    <x v="0"/>
    <x v="90"/>
    <x v="5"/>
    <x v="2374"/>
    <x v="1"/>
  </r>
  <r>
    <x v="146"/>
    <x v="32"/>
    <x v="973"/>
    <x v="3"/>
    <x v="422"/>
    <x v="6"/>
    <x v="2"/>
    <x v="4"/>
    <x v="221"/>
    <x v="10"/>
    <x v="2375"/>
    <x v="1"/>
  </r>
  <r>
    <x v="146"/>
    <x v="32"/>
    <x v="1148"/>
    <x v="2"/>
    <x v="422"/>
    <x v="6"/>
    <x v="2"/>
    <x v="4"/>
    <x v="221"/>
    <x v="10"/>
    <x v="2376"/>
    <x v="1"/>
  </r>
  <r>
    <x v="146"/>
    <x v="32"/>
    <x v="486"/>
    <x v="6"/>
    <x v="422"/>
    <x v="6"/>
    <x v="2"/>
    <x v="4"/>
    <x v="221"/>
    <x v="10"/>
    <x v="2377"/>
    <x v="1"/>
  </r>
  <r>
    <x v="146"/>
    <x v="32"/>
    <x v="1721"/>
    <x v="7"/>
    <x v="422"/>
    <x v="6"/>
    <x v="2"/>
    <x v="4"/>
    <x v="221"/>
    <x v="10"/>
    <x v="2378"/>
    <x v="1"/>
  </r>
  <r>
    <x v="146"/>
    <x v="32"/>
    <x v="1041"/>
    <x v="5"/>
    <x v="533"/>
    <x v="6"/>
    <x v="2"/>
    <x v="4"/>
    <x v="221"/>
    <x v="10"/>
    <x v="2379"/>
    <x v="1"/>
  </r>
  <r>
    <x v="146"/>
    <x v="37"/>
    <x v="67"/>
    <x v="1"/>
    <x v="523"/>
    <x v="6"/>
    <x v="0"/>
    <x v="1"/>
    <x v="77"/>
    <x v="12"/>
    <x v="2380"/>
    <x v="1"/>
  </r>
  <r>
    <x v="147"/>
    <x v="12"/>
    <x v="431"/>
    <x v="0"/>
    <x v="17"/>
    <x v="6"/>
    <x v="0"/>
    <x v="0"/>
    <x v="111"/>
    <x v="5"/>
    <x v="2381"/>
    <x v="1"/>
  </r>
  <r>
    <x v="147"/>
    <x v="20"/>
    <x v="1493"/>
    <x v="0"/>
    <x v="61"/>
    <x v="6"/>
    <x v="0"/>
    <x v="0"/>
    <x v="84"/>
    <x v="5"/>
    <x v="2382"/>
    <x v="1"/>
  </r>
  <r>
    <x v="147"/>
    <x v="9"/>
    <x v="1429"/>
    <x v="0"/>
    <x v="229"/>
    <x v="6"/>
    <x v="0"/>
    <x v="0"/>
    <x v="86"/>
    <x v="5"/>
    <x v="2383"/>
    <x v="1"/>
  </r>
  <r>
    <x v="147"/>
    <x v="28"/>
    <x v="138"/>
    <x v="1"/>
    <x v="371"/>
    <x v="6"/>
    <x v="0"/>
    <x v="1"/>
    <x v="78"/>
    <x v="0"/>
    <x v="2384"/>
    <x v="1"/>
  </r>
  <r>
    <x v="147"/>
    <x v="12"/>
    <x v="363"/>
    <x v="1"/>
    <x v="515"/>
    <x v="6"/>
    <x v="0"/>
    <x v="1"/>
    <x v="78"/>
    <x v="5"/>
    <x v="2385"/>
    <x v="1"/>
  </r>
  <r>
    <x v="147"/>
    <x v="36"/>
    <x v="45"/>
    <x v="1"/>
    <x v="375"/>
    <x v="6"/>
    <x v="0"/>
    <x v="1"/>
    <x v="78"/>
    <x v="5"/>
    <x v="2386"/>
    <x v="1"/>
  </r>
  <r>
    <x v="147"/>
    <x v="38"/>
    <x v="45"/>
    <x v="1"/>
    <x v="401"/>
    <x v="6"/>
    <x v="0"/>
    <x v="1"/>
    <x v="78"/>
    <x v="5"/>
    <x v="2387"/>
    <x v="1"/>
  </r>
  <r>
    <x v="147"/>
    <x v="1"/>
    <x v="90"/>
    <x v="3"/>
    <x v="431"/>
    <x v="6"/>
    <x v="0"/>
    <x v="2"/>
    <x v="78"/>
    <x v="4"/>
    <x v="2388"/>
    <x v="1"/>
  </r>
  <r>
    <x v="147"/>
    <x v="6"/>
    <x v="518"/>
    <x v="1"/>
    <x v="127"/>
    <x v="6"/>
    <x v="0"/>
    <x v="1"/>
    <x v="78"/>
    <x v="7"/>
    <x v="2389"/>
    <x v="1"/>
  </r>
  <r>
    <x v="147"/>
    <x v="18"/>
    <x v="375"/>
    <x v="1"/>
    <x v="138"/>
    <x v="6"/>
    <x v="0"/>
    <x v="1"/>
    <x v="78"/>
    <x v="3"/>
    <x v="2390"/>
    <x v="1"/>
  </r>
  <r>
    <x v="147"/>
    <x v="38"/>
    <x v="119"/>
    <x v="0"/>
    <x v="500"/>
    <x v="6"/>
    <x v="0"/>
    <x v="0"/>
    <x v="90"/>
    <x v="5"/>
    <x v="2391"/>
    <x v="1"/>
  </r>
  <r>
    <x v="147"/>
    <x v="32"/>
    <x v="1568"/>
    <x v="3"/>
    <x v="422"/>
    <x v="6"/>
    <x v="2"/>
    <x v="4"/>
    <x v="221"/>
    <x v="10"/>
    <x v="2392"/>
    <x v="1"/>
  </r>
  <r>
    <x v="147"/>
    <x v="32"/>
    <x v="553"/>
    <x v="2"/>
    <x v="422"/>
    <x v="6"/>
    <x v="2"/>
    <x v="4"/>
    <x v="221"/>
    <x v="10"/>
    <x v="2393"/>
    <x v="1"/>
  </r>
  <r>
    <x v="147"/>
    <x v="32"/>
    <x v="277"/>
    <x v="6"/>
    <x v="422"/>
    <x v="6"/>
    <x v="2"/>
    <x v="4"/>
    <x v="221"/>
    <x v="10"/>
    <x v="2394"/>
    <x v="1"/>
  </r>
  <r>
    <x v="147"/>
    <x v="32"/>
    <x v="1704"/>
    <x v="7"/>
    <x v="422"/>
    <x v="6"/>
    <x v="2"/>
    <x v="4"/>
    <x v="221"/>
    <x v="10"/>
    <x v="2395"/>
    <x v="1"/>
  </r>
  <r>
    <x v="147"/>
    <x v="32"/>
    <x v="299"/>
    <x v="8"/>
    <x v="422"/>
    <x v="6"/>
    <x v="2"/>
    <x v="4"/>
    <x v="221"/>
    <x v="10"/>
    <x v="2396"/>
    <x v="1"/>
  </r>
  <r>
    <x v="147"/>
    <x v="32"/>
    <x v="712"/>
    <x v="5"/>
    <x v="533"/>
    <x v="6"/>
    <x v="2"/>
    <x v="4"/>
    <x v="221"/>
    <x v="10"/>
    <x v="2397"/>
    <x v="1"/>
  </r>
  <r>
    <x v="147"/>
    <x v="37"/>
    <x v="61"/>
    <x v="1"/>
    <x v="523"/>
    <x v="6"/>
    <x v="0"/>
    <x v="1"/>
    <x v="78"/>
    <x v="12"/>
    <x v="2398"/>
    <x v="1"/>
  </r>
  <r>
    <x v="148"/>
    <x v="9"/>
    <x v="1167"/>
    <x v="0"/>
    <x v="229"/>
    <x v="6"/>
    <x v="0"/>
    <x v="0"/>
    <x v="86"/>
    <x v="5"/>
    <x v="2399"/>
    <x v="1"/>
  </r>
  <r>
    <x v="148"/>
    <x v="20"/>
    <x v="107"/>
    <x v="0"/>
    <x v="61"/>
    <x v="6"/>
    <x v="0"/>
    <x v="0"/>
    <x v="87"/>
    <x v="5"/>
    <x v="2400"/>
    <x v="1"/>
  </r>
  <r>
    <x v="148"/>
    <x v="20"/>
    <x v="94"/>
    <x v="3"/>
    <x v="381"/>
    <x v="6"/>
    <x v="0"/>
    <x v="2"/>
    <x v="79"/>
    <x v="5"/>
    <x v="2401"/>
    <x v="1"/>
  </r>
  <r>
    <x v="148"/>
    <x v="12"/>
    <x v="384"/>
    <x v="0"/>
    <x v="17"/>
    <x v="6"/>
    <x v="0"/>
    <x v="0"/>
    <x v="111"/>
    <x v="5"/>
    <x v="2402"/>
    <x v="1"/>
  </r>
  <r>
    <x v="148"/>
    <x v="3"/>
    <x v="599"/>
    <x v="3"/>
    <x v="579"/>
    <x v="6"/>
    <x v="0"/>
    <x v="2"/>
    <x v="79"/>
    <x v="4"/>
    <x v="2403"/>
    <x v="1"/>
  </r>
  <r>
    <x v="148"/>
    <x v="27"/>
    <x v="925"/>
    <x v="0"/>
    <x v="5"/>
    <x v="6"/>
    <x v="0"/>
    <x v="3"/>
    <x v="79"/>
    <x v="5"/>
    <x v="2404"/>
    <x v="1"/>
  </r>
  <r>
    <x v="148"/>
    <x v="22"/>
    <x v="318"/>
    <x v="3"/>
    <x v="259"/>
    <x v="6"/>
    <x v="0"/>
    <x v="2"/>
    <x v="79"/>
    <x v="3"/>
    <x v="2405"/>
    <x v="1"/>
  </r>
  <r>
    <x v="148"/>
    <x v="38"/>
    <x v="277"/>
    <x v="0"/>
    <x v="500"/>
    <x v="6"/>
    <x v="0"/>
    <x v="0"/>
    <x v="90"/>
    <x v="5"/>
    <x v="2406"/>
    <x v="1"/>
  </r>
  <r>
    <x v="148"/>
    <x v="1"/>
    <x v="60"/>
    <x v="3"/>
    <x v="431"/>
    <x v="6"/>
    <x v="0"/>
    <x v="2"/>
    <x v="79"/>
    <x v="4"/>
    <x v="2407"/>
    <x v="1"/>
  </r>
  <r>
    <x v="148"/>
    <x v="32"/>
    <x v="1391"/>
    <x v="3"/>
    <x v="422"/>
    <x v="6"/>
    <x v="2"/>
    <x v="4"/>
    <x v="221"/>
    <x v="10"/>
    <x v="2408"/>
    <x v="1"/>
  </r>
  <r>
    <x v="148"/>
    <x v="32"/>
    <x v="156"/>
    <x v="6"/>
    <x v="422"/>
    <x v="6"/>
    <x v="2"/>
    <x v="4"/>
    <x v="221"/>
    <x v="10"/>
    <x v="2409"/>
    <x v="1"/>
  </r>
  <r>
    <x v="148"/>
    <x v="32"/>
    <x v="1864"/>
    <x v="7"/>
    <x v="422"/>
    <x v="6"/>
    <x v="2"/>
    <x v="4"/>
    <x v="221"/>
    <x v="10"/>
    <x v="2410"/>
    <x v="1"/>
  </r>
  <r>
    <x v="148"/>
    <x v="32"/>
    <x v="1494"/>
    <x v="5"/>
    <x v="533"/>
    <x v="6"/>
    <x v="2"/>
    <x v="4"/>
    <x v="221"/>
    <x v="10"/>
    <x v="2411"/>
    <x v="1"/>
  </r>
  <r>
    <x v="148"/>
    <x v="32"/>
    <x v="779"/>
    <x v="8"/>
    <x v="422"/>
    <x v="6"/>
    <x v="2"/>
    <x v="4"/>
    <x v="221"/>
    <x v="10"/>
    <x v="2412"/>
    <x v="1"/>
  </r>
  <r>
    <x v="148"/>
    <x v="37"/>
    <x v="59"/>
    <x v="3"/>
    <x v="523"/>
    <x v="6"/>
    <x v="0"/>
    <x v="2"/>
    <x v="79"/>
    <x v="12"/>
    <x v="2413"/>
    <x v="1"/>
  </r>
  <r>
    <x v="149"/>
    <x v="9"/>
    <x v="1438"/>
    <x v="0"/>
    <x v="229"/>
    <x v="6"/>
    <x v="0"/>
    <x v="0"/>
    <x v="86"/>
    <x v="5"/>
    <x v="2414"/>
    <x v="1"/>
  </r>
  <r>
    <x v="149"/>
    <x v="8"/>
    <x v="779"/>
    <x v="0"/>
    <x v="241"/>
    <x v="6"/>
    <x v="0"/>
    <x v="0"/>
    <x v="94"/>
    <x v="5"/>
    <x v="2415"/>
    <x v="1"/>
  </r>
  <r>
    <x v="149"/>
    <x v="12"/>
    <x v="495"/>
    <x v="0"/>
    <x v="17"/>
    <x v="6"/>
    <x v="0"/>
    <x v="0"/>
    <x v="122"/>
    <x v="5"/>
    <x v="2416"/>
    <x v="1"/>
  </r>
  <r>
    <x v="149"/>
    <x v="20"/>
    <x v="1000"/>
    <x v="0"/>
    <x v="61"/>
    <x v="6"/>
    <x v="0"/>
    <x v="0"/>
    <x v="87"/>
    <x v="5"/>
    <x v="2417"/>
    <x v="1"/>
  </r>
  <r>
    <x v="149"/>
    <x v="38"/>
    <x v="329"/>
    <x v="1"/>
    <x v="389"/>
    <x v="6"/>
    <x v="0"/>
    <x v="1"/>
    <x v="80"/>
    <x v="5"/>
    <x v="2418"/>
    <x v="1"/>
  </r>
  <r>
    <x v="149"/>
    <x v="0"/>
    <x v="375"/>
    <x v="1"/>
    <x v="482"/>
    <x v="6"/>
    <x v="0"/>
    <x v="1"/>
    <x v="80"/>
    <x v="9"/>
    <x v="2419"/>
    <x v="1"/>
  </r>
  <r>
    <x v="149"/>
    <x v="1"/>
    <x v="90"/>
    <x v="3"/>
    <x v="431"/>
    <x v="6"/>
    <x v="0"/>
    <x v="2"/>
    <x v="80"/>
    <x v="4"/>
    <x v="2420"/>
    <x v="1"/>
  </r>
  <r>
    <x v="149"/>
    <x v="19"/>
    <x v="794"/>
    <x v="0"/>
    <x v="474"/>
    <x v="6"/>
    <x v="0"/>
    <x v="0"/>
    <x v="82"/>
    <x v="3"/>
    <x v="2421"/>
    <x v="1"/>
  </r>
  <r>
    <x v="149"/>
    <x v="15"/>
    <x v="536"/>
    <x v="3"/>
    <x v="353"/>
    <x v="6"/>
    <x v="0"/>
    <x v="2"/>
    <x v="80"/>
    <x v="4"/>
    <x v="2422"/>
    <x v="1"/>
  </r>
  <r>
    <x v="149"/>
    <x v="38"/>
    <x v="297"/>
    <x v="0"/>
    <x v="500"/>
    <x v="6"/>
    <x v="0"/>
    <x v="0"/>
    <x v="90"/>
    <x v="5"/>
    <x v="2423"/>
    <x v="1"/>
  </r>
  <r>
    <x v="149"/>
    <x v="32"/>
    <x v="1509"/>
    <x v="3"/>
    <x v="422"/>
    <x v="6"/>
    <x v="2"/>
    <x v="4"/>
    <x v="221"/>
    <x v="10"/>
    <x v="2424"/>
    <x v="1"/>
  </r>
  <r>
    <x v="149"/>
    <x v="32"/>
    <x v="120"/>
    <x v="2"/>
    <x v="422"/>
    <x v="6"/>
    <x v="2"/>
    <x v="4"/>
    <x v="221"/>
    <x v="10"/>
    <x v="2425"/>
    <x v="1"/>
  </r>
  <r>
    <x v="149"/>
    <x v="32"/>
    <x v="1829"/>
    <x v="7"/>
    <x v="422"/>
    <x v="6"/>
    <x v="2"/>
    <x v="4"/>
    <x v="221"/>
    <x v="10"/>
    <x v="2426"/>
    <x v="1"/>
  </r>
  <r>
    <x v="149"/>
    <x v="32"/>
    <x v="599"/>
    <x v="8"/>
    <x v="422"/>
    <x v="6"/>
    <x v="2"/>
    <x v="4"/>
    <x v="221"/>
    <x v="10"/>
    <x v="2427"/>
    <x v="1"/>
  </r>
  <r>
    <x v="149"/>
    <x v="32"/>
    <x v="1111"/>
    <x v="5"/>
    <x v="533"/>
    <x v="6"/>
    <x v="2"/>
    <x v="4"/>
    <x v="221"/>
    <x v="10"/>
    <x v="2428"/>
    <x v="1"/>
  </r>
  <r>
    <x v="149"/>
    <x v="37"/>
    <x v="69"/>
    <x v="1"/>
    <x v="523"/>
    <x v="6"/>
    <x v="0"/>
    <x v="1"/>
    <x v="80"/>
    <x v="12"/>
    <x v="2429"/>
    <x v="1"/>
  </r>
  <r>
    <x v="149"/>
    <x v="28"/>
    <x v="799"/>
    <x v="1"/>
    <x v="494"/>
    <x v="6"/>
    <x v="0"/>
    <x v="1"/>
    <x v="81"/>
    <x v="0"/>
    <x v="2430"/>
    <x v="1"/>
  </r>
  <r>
    <x v="150"/>
    <x v="12"/>
    <x v="617"/>
    <x v="0"/>
    <x v="17"/>
    <x v="6"/>
    <x v="0"/>
    <x v="0"/>
    <x v="122"/>
    <x v="5"/>
    <x v="2431"/>
    <x v="1"/>
  </r>
  <r>
    <x v="150"/>
    <x v="27"/>
    <x v="191"/>
    <x v="1"/>
    <x v="5"/>
    <x v="6"/>
    <x v="0"/>
    <x v="1"/>
    <x v="81"/>
    <x v="5"/>
    <x v="2432"/>
    <x v="1"/>
  </r>
  <r>
    <x v="150"/>
    <x v="1"/>
    <x v="60"/>
    <x v="1"/>
    <x v="431"/>
    <x v="6"/>
    <x v="0"/>
    <x v="1"/>
    <x v="81"/>
    <x v="4"/>
    <x v="2433"/>
    <x v="1"/>
  </r>
  <r>
    <x v="150"/>
    <x v="19"/>
    <x v="794"/>
    <x v="0"/>
    <x v="474"/>
    <x v="6"/>
    <x v="0"/>
    <x v="0"/>
    <x v="82"/>
    <x v="3"/>
    <x v="2434"/>
    <x v="1"/>
  </r>
  <r>
    <x v="150"/>
    <x v="38"/>
    <x v="281"/>
    <x v="0"/>
    <x v="500"/>
    <x v="6"/>
    <x v="0"/>
    <x v="0"/>
    <x v="90"/>
    <x v="5"/>
    <x v="2435"/>
    <x v="1"/>
  </r>
  <r>
    <x v="150"/>
    <x v="32"/>
    <x v="1579"/>
    <x v="3"/>
    <x v="422"/>
    <x v="6"/>
    <x v="2"/>
    <x v="4"/>
    <x v="221"/>
    <x v="10"/>
    <x v="2436"/>
    <x v="1"/>
  </r>
  <r>
    <x v="150"/>
    <x v="32"/>
    <x v="1199"/>
    <x v="0"/>
    <x v="422"/>
    <x v="6"/>
    <x v="2"/>
    <x v="4"/>
    <x v="221"/>
    <x v="10"/>
    <x v="2437"/>
    <x v="1"/>
  </r>
  <r>
    <x v="150"/>
    <x v="32"/>
    <x v="745"/>
    <x v="6"/>
    <x v="422"/>
    <x v="6"/>
    <x v="2"/>
    <x v="4"/>
    <x v="221"/>
    <x v="10"/>
    <x v="2438"/>
    <x v="1"/>
  </r>
  <r>
    <x v="150"/>
    <x v="32"/>
    <x v="1897"/>
    <x v="7"/>
    <x v="422"/>
    <x v="6"/>
    <x v="2"/>
    <x v="4"/>
    <x v="221"/>
    <x v="10"/>
    <x v="2439"/>
    <x v="1"/>
  </r>
  <r>
    <x v="150"/>
    <x v="32"/>
    <x v="539"/>
    <x v="8"/>
    <x v="422"/>
    <x v="6"/>
    <x v="2"/>
    <x v="4"/>
    <x v="221"/>
    <x v="10"/>
    <x v="2440"/>
    <x v="1"/>
  </r>
  <r>
    <x v="150"/>
    <x v="32"/>
    <x v="1373"/>
    <x v="5"/>
    <x v="533"/>
    <x v="6"/>
    <x v="2"/>
    <x v="4"/>
    <x v="221"/>
    <x v="10"/>
    <x v="2441"/>
    <x v="1"/>
  </r>
  <r>
    <x v="150"/>
    <x v="24"/>
    <x v="27"/>
    <x v="1"/>
    <x v="246"/>
    <x v="6"/>
    <x v="0"/>
    <x v="1"/>
    <x v="81"/>
    <x v="6"/>
    <x v="2442"/>
    <x v="1"/>
  </r>
  <r>
    <x v="150"/>
    <x v="37"/>
    <x v="62"/>
    <x v="1"/>
    <x v="523"/>
    <x v="6"/>
    <x v="0"/>
    <x v="1"/>
    <x v="81"/>
    <x v="12"/>
    <x v="2443"/>
    <x v="1"/>
  </r>
  <r>
    <x v="151"/>
    <x v="9"/>
    <x v="1476"/>
    <x v="0"/>
    <x v="229"/>
    <x v="6"/>
    <x v="0"/>
    <x v="0"/>
    <x v="86"/>
    <x v="5"/>
    <x v="2444"/>
    <x v="1"/>
  </r>
  <r>
    <x v="151"/>
    <x v="12"/>
    <x v="582"/>
    <x v="0"/>
    <x v="17"/>
    <x v="6"/>
    <x v="0"/>
    <x v="0"/>
    <x v="122"/>
    <x v="5"/>
    <x v="2445"/>
    <x v="1"/>
  </r>
  <r>
    <x v="151"/>
    <x v="27"/>
    <x v="1134"/>
    <x v="1"/>
    <x v="5"/>
    <x v="6"/>
    <x v="0"/>
    <x v="1"/>
    <x v="82"/>
    <x v="5"/>
    <x v="2446"/>
    <x v="1"/>
  </r>
  <r>
    <x v="151"/>
    <x v="28"/>
    <x v="138"/>
    <x v="1"/>
    <x v="371"/>
    <x v="6"/>
    <x v="0"/>
    <x v="1"/>
    <x v="82"/>
    <x v="0"/>
    <x v="2447"/>
    <x v="1"/>
  </r>
  <r>
    <x v="151"/>
    <x v="24"/>
    <x v="198"/>
    <x v="1"/>
    <x v="82"/>
    <x v="6"/>
    <x v="0"/>
    <x v="1"/>
    <x v="82"/>
    <x v="6"/>
    <x v="2448"/>
    <x v="1"/>
  </r>
  <r>
    <x v="151"/>
    <x v="8"/>
    <x v="449"/>
    <x v="0"/>
    <x v="241"/>
    <x v="6"/>
    <x v="0"/>
    <x v="0"/>
    <x v="94"/>
    <x v="5"/>
    <x v="2449"/>
    <x v="1"/>
  </r>
  <r>
    <x v="151"/>
    <x v="20"/>
    <x v="558"/>
    <x v="0"/>
    <x v="61"/>
    <x v="6"/>
    <x v="0"/>
    <x v="0"/>
    <x v="87"/>
    <x v="5"/>
    <x v="2450"/>
    <x v="1"/>
  </r>
  <r>
    <x v="151"/>
    <x v="1"/>
    <x v="76"/>
    <x v="3"/>
    <x v="431"/>
    <x v="6"/>
    <x v="0"/>
    <x v="2"/>
    <x v="82"/>
    <x v="4"/>
    <x v="2451"/>
    <x v="1"/>
  </r>
  <r>
    <x v="151"/>
    <x v="38"/>
    <x v="185"/>
    <x v="0"/>
    <x v="500"/>
    <x v="6"/>
    <x v="0"/>
    <x v="0"/>
    <x v="90"/>
    <x v="5"/>
    <x v="2452"/>
    <x v="1"/>
  </r>
  <r>
    <x v="151"/>
    <x v="10"/>
    <x v="599"/>
    <x v="1"/>
    <x v="149"/>
    <x v="6"/>
    <x v="0"/>
    <x v="1"/>
    <x v="82"/>
    <x v="6"/>
    <x v="2453"/>
    <x v="1"/>
  </r>
  <r>
    <x v="151"/>
    <x v="32"/>
    <x v="1222"/>
    <x v="3"/>
    <x v="422"/>
    <x v="6"/>
    <x v="2"/>
    <x v="4"/>
    <x v="221"/>
    <x v="10"/>
    <x v="2454"/>
    <x v="1"/>
  </r>
  <r>
    <x v="151"/>
    <x v="32"/>
    <x v="90"/>
    <x v="2"/>
    <x v="422"/>
    <x v="6"/>
    <x v="2"/>
    <x v="4"/>
    <x v="221"/>
    <x v="10"/>
    <x v="2455"/>
    <x v="1"/>
  </r>
  <r>
    <x v="151"/>
    <x v="32"/>
    <x v="522"/>
    <x v="6"/>
    <x v="422"/>
    <x v="6"/>
    <x v="2"/>
    <x v="4"/>
    <x v="221"/>
    <x v="10"/>
    <x v="2456"/>
    <x v="1"/>
  </r>
  <r>
    <x v="151"/>
    <x v="32"/>
    <x v="1627"/>
    <x v="7"/>
    <x v="422"/>
    <x v="6"/>
    <x v="2"/>
    <x v="4"/>
    <x v="221"/>
    <x v="10"/>
    <x v="2457"/>
    <x v="1"/>
  </r>
  <r>
    <x v="151"/>
    <x v="32"/>
    <x v="412"/>
    <x v="8"/>
    <x v="422"/>
    <x v="6"/>
    <x v="2"/>
    <x v="4"/>
    <x v="221"/>
    <x v="10"/>
    <x v="2458"/>
    <x v="1"/>
  </r>
  <r>
    <x v="151"/>
    <x v="32"/>
    <x v="936"/>
    <x v="5"/>
    <x v="533"/>
    <x v="6"/>
    <x v="2"/>
    <x v="4"/>
    <x v="221"/>
    <x v="10"/>
    <x v="2459"/>
    <x v="1"/>
  </r>
  <r>
    <x v="151"/>
    <x v="37"/>
    <x v="66"/>
    <x v="1"/>
    <x v="523"/>
    <x v="6"/>
    <x v="0"/>
    <x v="1"/>
    <x v="82"/>
    <x v="12"/>
    <x v="2460"/>
    <x v="1"/>
  </r>
  <r>
    <x v="151"/>
    <x v="0"/>
    <x v="1483"/>
    <x v="1"/>
    <x v="279"/>
    <x v="6"/>
    <x v="0"/>
    <x v="1"/>
    <x v="82"/>
    <x v="9"/>
    <x v="2461"/>
    <x v="1"/>
  </r>
  <r>
    <x v="152"/>
    <x v="12"/>
    <x v="159"/>
    <x v="0"/>
    <x v="17"/>
    <x v="6"/>
    <x v="0"/>
    <x v="0"/>
    <x v="122"/>
    <x v="5"/>
    <x v="2462"/>
    <x v="1"/>
  </r>
  <r>
    <x v="152"/>
    <x v="9"/>
    <x v="1433"/>
    <x v="0"/>
    <x v="229"/>
    <x v="6"/>
    <x v="0"/>
    <x v="0"/>
    <x v="86"/>
    <x v="5"/>
    <x v="2463"/>
    <x v="1"/>
  </r>
  <r>
    <x v="152"/>
    <x v="20"/>
    <x v="518"/>
    <x v="1"/>
    <x v="71"/>
    <x v="6"/>
    <x v="0"/>
    <x v="1"/>
    <x v="83"/>
    <x v="5"/>
    <x v="2464"/>
    <x v="1"/>
  </r>
  <r>
    <x v="152"/>
    <x v="24"/>
    <x v="53"/>
    <x v="1"/>
    <x v="246"/>
    <x v="6"/>
    <x v="0"/>
    <x v="1"/>
    <x v="83"/>
    <x v="6"/>
    <x v="2465"/>
    <x v="1"/>
  </r>
  <r>
    <x v="152"/>
    <x v="20"/>
    <x v="1469"/>
    <x v="0"/>
    <x v="61"/>
    <x v="6"/>
    <x v="0"/>
    <x v="0"/>
    <x v="87"/>
    <x v="5"/>
    <x v="2466"/>
    <x v="1"/>
  </r>
  <r>
    <x v="152"/>
    <x v="1"/>
    <x v="158"/>
    <x v="3"/>
    <x v="431"/>
    <x v="6"/>
    <x v="0"/>
    <x v="2"/>
    <x v="83"/>
    <x v="4"/>
    <x v="2467"/>
    <x v="1"/>
  </r>
  <r>
    <x v="152"/>
    <x v="38"/>
    <x v="112"/>
    <x v="0"/>
    <x v="500"/>
    <x v="6"/>
    <x v="0"/>
    <x v="0"/>
    <x v="90"/>
    <x v="5"/>
    <x v="2468"/>
    <x v="1"/>
  </r>
  <r>
    <x v="152"/>
    <x v="32"/>
    <x v="1076"/>
    <x v="3"/>
    <x v="422"/>
    <x v="6"/>
    <x v="2"/>
    <x v="4"/>
    <x v="221"/>
    <x v="10"/>
    <x v="2469"/>
    <x v="1"/>
  </r>
  <r>
    <x v="152"/>
    <x v="32"/>
    <x v="454"/>
    <x v="2"/>
    <x v="422"/>
    <x v="6"/>
    <x v="2"/>
    <x v="4"/>
    <x v="221"/>
    <x v="10"/>
    <x v="2470"/>
    <x v="1"/>
  </r>
  <r>
    <x v="152"/>
    <x v="32"/>
    <x v="69"/>
    <x v="6"/>
    <x v="422"/>
    <x v="6"/>
    <x v="2"/>
    <x v="4"/>
    <x v="221"/>
    <x v="10"/>
    <x v="2471"/>
    <x v="1"/>
  </r>
  <r>
    <x v="152"/>
    <x v="32"/>
    <x v="1906"/>
    <x v="7"/>
    <x v="422"/>
    <x v="6"/>
    <x v="2"/>
    <x v="4"/>
    <x v="221"/>
    <x v="10"/>
    <x v="2472"/>
    <x v="1"/>
  </r>
  <r>
    <x v="152"/>
    <x v="32"/>
    <x v="370"/>
    <x v="8"/>
    <x v="422"/>
    <x v="6"/>
    <x v="2"/>
    <x v="4"/>
    <x v="221"/>
    <x v="10"/>
    <x v="2473"/>
    <x v="1"/>
  </r>
  <r>
    <x v="152"/>
    <x v="32"/>
    <x v="906"/>
    <x v="5"/>
    <x v="533"/>
    <x v="6"/>
    <x v="2"/>
    <x v="4"/>
    <x v="221"/>
    <x v="10"/>
    <x v="2474"/>
    <x v="1"/>
  </r>
  <r>
    <x v="152"/>
    <x v="37"/>
    <x v="53"/>
    <x v="1"/>
    <x v="523"/>
    <x v="6"/>
    <x v="0"/>
    <x v="1"/>
    <x v="83"/>
    <x v="12"/>
    <x v="2475"/>
    <x v="1"/>
  </r>
  <r>
    <x v="152"/>
    <x v="24"/>
    <x v="53"/>
    <x v="1"/>
    <x v="246"/>
    <x v="6"/>
    <x v="0"/>
    <x v="1"/>
    <x v="83"/>
    <x v="6"/>
    <x v="2476"/>
    <x v="1"/>
  </r>
  <r>
    <x v="153"/>
    <x v="9"/>
    <x v="1571"/>
    <x v="0"/>
    <x v="229"/>
    <x v="6"/>
    <x v="0"/>
    <x v="0"/>
    <x v="88"/>
    <x v="5"/>
    <x v="2477"/>
    <x v="1"/>
  </r>
  <r>
    <x v="153"/>
    <x v="8"/>
    <x v="779"/>
    <x v="0"/>
    <x v="241"/>
    <x v="6"/>
    <x v="0"/>
    <x v="0"/>
    <x v="94"/>
    <x v="5"/>
    <x v="2478"/>
    <x v="1"/>
  </r>
  <r>
    <x v="153"/>
    <x v="12"/>
    <x v="609"/>
    <x v="0"/>
    <x v="17"/>
    <x v="6"/>
    <x v="0"/>
    <x v="0"/>
    <x v="122"/>
    <x v="5"/>
    <x v="2479"/>
    <x v="1"/>
  </r>
  <r>
    <x v="153"/>
    <x v="20"/>
    <x v="1326"/>
    <x v="0"/>
    <x v="61"/>
    <x v="6"/>
    <x v="0"/>
    <x v="0"/>
    <x v="87"/>
    <x v="5"/>
    <x v="2480"/>
    <x v="1"/>
  </r>
  <r>
    <x v="153"/>
    <x v="20"/>
    <x v="49"/>
    <x v="1"/>
    <x v="381"/>
    <x v="6"/>
    <x v="0"/>
    <x v="1"/>
    <x v="84"/>
    <x v="5"/>
    <x v="2481"/>
    <x v="1"/>
  </r>
  <r>
    <x v="153"/>
    <x v="1"/>
    <x v="90"/>
    <x v="3"/>
    <x v="431"/>
    <x v="6"/>
    <x v="0"/>
    <x v="2"/>
    <x v="84"/>
    <x v="4"/>
    <x v="2482"/>
    <x v="1"/>
  </r>
  <r>
    <x v="153"/>
    <x v="19"/>
    <x v="794"/>
    <x v="0"/>
    <x v="474"/>
    <x v="6"/>
    <x v="0"/>
    <x v="0"/>
    <x v="93"/>
    <x v="3"/>
    <x v="2483"/>
    <x v="1"/>
  </r>
  <r>
    <x v="153"/>
    <x v="26"/>
    <x v="33"/>
    <x v="1"/>
    <x v="344"/>
    <x v="6"/>
    <x v="0"/>
    <x v="1"/>
    <x v="84"/>
    <x v="5"/>
    <x v="2484"/>
    <x v="1"/>
  </r>
  <r>
    <x v="153"/>
    <x v="38"/>
    <x v="380"/>
    <x v="0"/>
    <x v="500"/>
    <x v="6"/>
    <x v="0"/>
    <x v="0"/>
    <x v="90"/>
    <x v="5"/>
    <x v="2485"/>
    <x v="1"/>
  </r>
  <r>
    <x v="153"/>
    <x v="32"/>
    <x v="1177"/>
    <x v="3"/>
    <x v="422"/>
    <x v="6"/>
    <x v="2"/>
    <x v="4"/>
    <x v="221"/>
    <x v="10"/>
    <x v="2486"/>
    <x v="1"/>
  </r>
  <r>
    <x v="153"/>
    <x v="32"/>
    <x v="576"/>
    <x v="6"/>
    <x v="422"/>
    <x v="6"/>
    <x v="2"/>
    <x v="4"/>
    <x v="221"/>
    <x v="10"/>
    <x v="2487"/>
    <x v="1"/>
  </r>
  <r>
    <x v="153"/>
    <x v="32"/>
    <x v="1678"/>
    <x v="7"/>
    <x v="422"/>
    <x v="6"/>
    <x v="2"/>
    <x v="4"/>
    <x v="221"/>
    <x v="10"/>
    <x v="2488"/>
    <x v="1"/>
  </r>
  <r>
    <x v="153"/>
    <x v="32"/>
    <x v="469"/>
    <x v="8"/>
    <x v="422"/>
    <x v="6"/>
    <x v="2"/>
    <x v="4"/>
    <x v="221"/>
    <x v="10"/>
    <x v="2489"/>
    <x v="1"/>
  </r>
  <r>
    <x v="153"/>
    <x v="32"/>
    <x v="1076"/>
    <x v="5"/>
    <x v="533"/>
    <x v="6"/>
    <x v="2"/>
    <x v="4"/>
    <x v="221"/>
    <x v="10"/>
    <x v="2490"/>
    <x v="1"/>
  </r>
  <r>
    <x v="153"/>
    <x v="23"/>
    <x v="3"/>
    <x v="3"/>
    <x v="285"/>
    <x v="6"/>
    <x v="0"/>
    <x v="2"/>
    <x v="84"/>
    <x v="6"/>
    <x v="2491"/>
    <x v="1"/>
  </r>
  <r>
    <x v="153"/>
    <x v="37"/>
    <x v="53"/>
    <x v="1"/>
    <x v="523"/>
    <x v="6"/>
    <x v="0"/>
    <x v="1"/>
    <x v="84"/>
    <x v="12"/>
    <x v="2492"/>
    <x v="1"/>
  </r>
  <r>
    <x v="153"/>
    <x v="24"/>
    <x v="1353"/>
    <x v="1"/>
    <x v="537"/>
    <x v="6"/>
    <x v="0"/>
    <x v="1"/>
    <x v="84"/>
    <x v="6"/>
    <x v="2493"/>
    <x v="1"/>
  </r>
  <r>
    <x v="154"/>
    <x v="12"/>
    <x v="563"/>
    <x v="0"/>
    <x v="17"/>
    <x v="6"/>
    <x v="0"/>
    <x v="0"/>
    <x v="122"/>
    <x v="5"/>
    <x v="2494"/>
    <x v="1"/>
  </r>
  <r>
    <x v="154"/>
    <x v="20"/>
    <x v="1016"/>
    <x v="0"/>
    <x v="61"/>
    <x v="6"/>
    <x v="0"/>
    <x v="0"/>
    <x v="88"/>
    <x v="5"/>
    <x v="2495"/>
    <x v="1"/>
  </r>
  <r>
    <x v="154"/>
    <x v="9"/>
    <x v="1094"/>
    <x v="0"/>
    <x v="229"/>
    <x v="6"/>
    <x v="0"/>
    <x v="0"/>
    <x v="88"/>
    <x v="5"/>
    <x v="2496"/>
    <x v="1"/>
  </r>
  <r>
    <x v="154"/>
    <x v="15"/>
    <x v="554"/>
    <x v="1"/>
    <x v="353"/>
    <x v="6"/>
    <x v="0"/>
    <x v="1"/>
    <x v="85"/>
    <x v="4"/>
    <x v="2497"/>
    <x v="1"/>
  </r>
  <r>
    <x v="154"/>
    <x v="24"/>
    <x v="594"/>
    <x v="1"/>
    <x v="120"/>
    <x v="6"/>
    <x v="0"/>
    <x v="1"/>
    <x v="85"/>
    <x v="6"/>
    <x v="2498"/>
    <x v="1"/>
  </r>
  <r>
    <x v="154"/>
    <x v="0"/>
    <x v="112"/>
    <x v="1"/>
    <x v="453"/>
    <x v="6"/>
    <x v="0"/>
    <x v="1"/>
    <x v="85"/>
    <x v="9"/>
    <x v="2499"/>
    <x v="1"/>
  </r>
  <r>
    <x v="154"/>
    <x v="31"/>
    <x v="1554"/>
    <x v="0"/>
    <x v="195"/>
    <x v="6"/>
    <x v="0"/>
    <x v="3"/>
    <x v="83"/>
    <x v="8"/>
    <x v="2500"/>
    <x v="1"/>
  </r>
  <r>
    <x v="154"/>
    <x v="19"/>
    <x v="794"/>
    <x v="0"/>
    <x v="474"/>
    <x v="6"/>
    <x v="0"/>
    <x v="0"/>
    <x v="93"/>
    <x v="3"/>
    <x v="2501"/>
    <x v="1"/>
  </r>
  <r>
    <x v="154"/>
    <x v="1"/>
    <x v="60"/>
    <x v="3"/>
    <x v="431"/>
    <x v="6"/>
    <x v="0"/>
    <x v="2"/>
    <x v="85"/>
    <x v="4"/>
    <x v="2502"/>
    <x v="1"/>
  </r>
  <r>
    <x v="154"/>
    <x v="38"/>
    <x v="174"/>
    <x v="0"/>
    <x v="500"/>
    <x v="6"/>
    <x v="0"/>
    <x v="0"/>
    <x v="90"/>
    <x v="5"/>
    <x v="2503"/>
    <x v="1"/>
  </r>
  <r>
    <x v="154"/>
    <x v="31"/>
    <x v="1015"/>
    <x v="1"/>
    <x v="93"/>
    <x v="6"/>
    <x v="0"/>
    <x v="1"/>
    <x v="85"/>
    <x v="8"/>
    <x v="2504"/>
    <x v="1"/>
  </r>
  <r>
    <x v="154"/>
    <x v="28"/>
    <x v="87"/>
    <x v="1"/>
    <x v="371"/>
    <x v="6"/>
    <x v="0"/>
    <x v="1"/>
    <x v="85"/>
    <x v="0"/>
    <x v="2505"/>
    <x v="1"/>
  </r>
  <r>
    <x v="154"/>
    <x v="32"/>
    <x v="1392"/>
    <x v="3"/>
    <x v="422"/>
    <x v="6"/>
    <x v="2"/>
    <x v="4"/>
    <x v="221"/>
    <x v="10"/>
    <x v="2506"/>
    <x v="1"/>
  </r>
  <r>
    <x v="154"/>
    <x v="32"/>
    <x v="315"/>
    <x v="6"/>
    <x v="422"/>
    <x v="6"/>
    <x v="2"/>
    <x v="4"/>
    <x v="221"/>
    <x v="10"/>
    <x v="2507"/>
    <x v="1"/>
  </r>
  <r>
    <x v="154"/>
    <x v="32"/>
    <x v="1748"/>
    <x v="7"/>
    <x v="422"/>
    <x v="6"/>
    <x v="2"/>
    <x v="4"/>
    <x v="221"/>
    <x v="10"/>
    <x v="2508"/>
    <x v="1"/>
  </r>
  <r>
    <x v="154"/>
    <x v="32"/>
    <x v="555"/>
    <x v="8"/>
    <x v="422"/>
    <x v="6"/>
    <x v="2"/>
    <x v="4"/>
    <x v="221"/>
    <x v="10"/>
    <x v="2509"/>
    <x v="1"/>
  </r>
  <r>
    <x v="154"/>
    <x v="32"/>
    <x v="1049"/>
    <x v="5"/>
    <x v="533"/>
    <x v="6"/>
    <x v="2"/>
    <x v="4"/>
    <x v="221"/>
    <x v="10"/>
    <x v="2510"/>
    <x v="1"/>
  </r>
  <r>
    <x v="154"/>
    <x v="32"/>
    <x v="112"/>
    <x v="2"/>
    <x v="422"/>
    <x v="6"/>
    <x v="2"/>
    <x v="4"/>
    <x v="221"/>
    <x v="10"/>
    <x v="2511"/>
    <x v="1"/>
  </r>
  <r>
    <x v="154"/>
    <x v="23"/>
    <x v="9"/>
    <x v="3"/>
    <x v="285"/>
    <x v="6"/>
    <x v="0"/>
    <x v="1"/>
    <x v="85"/>
    <x v="6"/>
    <x v="2512"/>
    <x v="1"/>
  </r>
  <r>
    <x v="154"/>
    <x v="37"/>
    <x v="74"/>
    <x v="1"/>
    <x v="523"/>
    <x v="6"/>
    <x v="0"/>
    <x v="1"/>
    <x v="85"/>
    <x v="12"/>
    <x v="2513"/>
    <x v="1"/>
  </r>
  <r>
    <x v="155"/>
    <x v="12"/>
    <x v="400"/>
    <x v="0"/>
    <x v="17"/>
    <x v="6"/>
    <x v="0"/>
    <x v="0"/>
    <x v="122"/>
    <x v="5"/>
    <x v="2514"/>
    <x v="1"/>
  </r>
  <r>
    <x v="155"/>
    <x v="8"/>
    <x v="779"/>
    <x v="0"/>
    <x v="241"/>
    <x v="6"/>
    <x v="0"/>
    <x v="0"/>
    <x v="94"/>
    <x v="5"/>
    <x v="2515"/>
    <x v="1"/>
  </r>
  <r>
    <x v="155"/>
    <x v="1"/>
    <x v="90"/>
    <x v="3"/>
    <x v="431"/>
    <x v="6"/>
    <x v="0"/>
    <x v="2"/>
    <x v="86"/>
    <x v="4"/>
    <x v="2516"/>
    <x v="1"/>
  </r>
  <r>
    <x v="155"/>
    <x v="24"/>
    <x v="264"/>
    <x v="1"/>
    <x v="133"/>
    <x v="6"/>
    <x v="0"/>
    <x v="1"/>
    <x v="86"/>
    <x v="6"/>
    <x v="2517"/>
    <x v="1"/>
  </r>
  <r>
    <x v="155"/>
    <x v="20"/>
    <x v="521"/>
    <x v="0"/>
    <x v="61"/>
    <x v="6"/>
    <x v="0"/>
    <x v="0"/>
    <x v="88"/>
    <x v="5"/>
    <x v="2518"/>
    <x v="1"/>
  </r>
  <r>
    <x v="155"/>
    <x v="3"/>
    <x v="988"/>
    <x v="1"/>
    <x v="579"/>
    <x v="6"/>
    <x v="0"/>
    <x v="1"/>
    <x v="86"/>
    <x v="4"/>
    <x v="2519"/>
    <x v="1"/>
  </r>
  <r>
    <x v="155"/>
    <x v="38"/>
    <x v="337"/>
    <x v="1"/>
    <x v="390"/>
    <x v="6"/>
    <x v="0"/>
    <x v="1"/>
    <x v="86"/>
    <x v="5"/>
    <x v="2520"/>
    <x v="1"/>
  </r>
  <r>
    <x v="155"/>
    <x v="12"/>
    <x v="158"/>
    <x v="1"/>
    <x v="515"/>
    <x v="6"/>
    <x v="0"/>
    <x v="1"/>
    <x v="86"/>
    <x v="5"/>
    <x v="2521"/>
    <x v="1"/>
  </r>
  <r>
    <x v="155"/>
    <x v="9"/>
    <x v="1451"/>
    <x v="0"/>
    <x v="229"/>
    <x v="6"/>
    <x v="0"/>
    <x v="0"/>
    <x v="92"/>
    <x v="5"/>
    <x v="2522"/>
    <x v="1"/>
  </r>
  <r>
    <x v="155"/>
    <x v="19"/>
    <x v="794"/>
    <x v="0"/>
    <x v="474"/>
    <x v="6"/>
    <x v="0"/>
    <x v="0"/>
    <x v="93"/>
    <x v="3"/>
    <x v="2523"/>
    <x v="1"/>
  </r>
  <r>
    <x v="155"/>
    <x v="38"/>
    <x v="166"/>
    <x v="0"/>
    <x v="500"/>
    <x v="6"/>
    <x v="0"/>
    <x v="0"/>
    <x v="90"/>
    <x v="5"/>
    <x v="2524"/>
    <x v="1"/>
  </r>
  <r>
    <x v="155"/>
    <x v="13"/>
    <x v="1250"/>
    <x v="0"/>
    <x v="32"/>
    <x v="6"/>
    <x v="0"/>
    <x v="0"/>
    <x v="103"/>
    <x v="5"/>
    <x v="2525"/>
    <x v="1"/>
  </r>
  <r>
    <x v="155"/>
    <x v="28"/>
    <x v="527"/>
    <x v="1"/>
    <x v="494"/>
    <x v="6"/>
    <x v="0"/>
    <x v="1"/>
    <x v="86"/>
    <x v="0"/>
    <x v="2526"/>
    <x v="1"/>
  </r>
  <r>
    <x v="155"/>
    <x v="32"/>
    <x v="1250"/>
    <x v="3"/>
    <x v="422"/>
    <x v="6"/>
    <x v="2"/>
    <x v="4"/>
    <x v="221"/>
    <x v="10"/>
    <x v="2527"/>
    <x v="1"/>
  </r>
  <r>
    <x v="155"/>
    <x v="32"/>
    <x v="827"/>
    <x v="2"/>
    <x v="422"/>
    <x v="6"/>
    <x v="2"/>
    <x v="4"/>
    <x v="221"/>
    <x v="10"/>
    <x v="2528"/>
    <x v="1"/>
  </r>
  <r>
    <x v="155"/>
    <x v="32"/>
    <x v="305"/>
    <x v="6"/>
    <x v="422"/>
    <x v="6"/>
    <x v="2"/>
    <x v="4"/>
    <x v="221"/>
    <x v="10"/>
    <x v="2529"/>
    <x v="1"/>
  </r>
  <r>
    <x v="155"/>
    <x v="32"/>
    <x v="1801"/>
    <x v="7"/>
    <x v="422"/>
    <x v="6"/>
    <x v="2"/>
    <x v="4"/>
    <x v="221"/>
    <x v="10"/>
    <x v="2530"/>
    <x v="1"/>
  </r>
  <r>
    <x v="155"/>
    <x v="32"/>
    <x v="1128"/>
    <x v="5"/>
    <x v="533"/>
    <x v="6"/>
    <x v="2"/>
    <x v="4"/>
    <x v="221"/>
    <x v="10"/>
    <x v="2531"/>
    <x v="1"/>
  </r>
  <r>
    <x v="155"/>
    <x v="0"/>
    <x v="45"/>
    <x v="1"/>
    <x v="352"/>
    <x v="6"/>
    <x v="0"/>
    <x v="1"/>
    <x v="86"/>
    <x v="9"/>
    <x v="2532"/>
    <x v="1"/>
  </r>
  <r>
    <x v="155"/>
    <x v="37"/>
    <x v="68"/>
    <x v="1"/>
    <x v="523"/>
    <x v="6"/>
    <x v="0"/>
    <x v="1"/>
    <x v="86"/>
    <x v="12"/>
    <x v="2533"/>
    <x v="1"/>
  </r>
  <r>
    <x v="156"/>
    <x v="12"/>
    <x v="376"/>
    <x v="0"/>
    <x v="17"/>
    <x v="6"/>
    <x v="0"/>
    <x v="0"/>
    <x v="122"/>
    <x v="5"/>
    <x v="2534"/>
    <x v="1"/>
  </r>
  <r>
    <x v="156"/>
    <x v="20"/>
    <x v="1002"/>
    <x v="0"/>
    <x v="61"/>
    <x v="6"/>
    <x v="0"/>
    <x v="0"/>
    <x v="96"/>
    <x v="5"/>
    <x v="2535"/>
    <x v="1"/>
  </r>
  <r>
    <x v="156"/>
    <x v="9"/>
    <x v="1351"/>
    <x v="0"/>
    <x v="229"/>
    <x v="6"/>
    <x v="0"/>
    <x v="0"/>
    <x v="92"/>
    <x v="5"/>
    <x v="2536"/>
    <x v="1"/>
  </r>
  <r>
    <x v="156"/>
    <x v="1"/>
    <x v="90"/>
    <x v="3"/>
    <x v="431"/>
    <x v="6"/>
    <x v="0"/>
    <x v="2"/>
    <x v="87"/>
    <x v="4"/>
    <x v="2537"/>
    <x v="1"/>
  </r>
  <r>
    <x v="156"/>
    <x v="24"/>
    <x v="518"/>
    <x v="1"/>
    <x v="246"/>
    <x v="6"/>
    <x v="0"/>
    <x v="1"/>
    <x v="87"/>
    <x v="6"/>
    <x v="2538"/>
    <x v="1"/>
  </r>
  <r>
    <x v="156"/>
    <x v="38"/>
    <x v="172"/>
    <x v="0"/>
    <x v="500"/>
    <x v="6"/>
    <x v="0"/>
    <x v="0"/>
    <x v="90"/>
    <x v="5"/>
    <x v="2539"/>
    <x v="1"/>
  </r>
  <r>
    <x v="156"/>
    <x v="19"/>
    <x v="794"/>
    <x v="0"/>
    <x v="474"/>
    <x v="6"/>
    <x v="0"/>
    <x v="0"/>
    <x v="93"/>
    <x v="3"/>
    <x v="2540"/>
    <x v="1"/>
  </r>
  <r>
    <x v="156"/>
    <x v="21"/>
    <x v="675"/>
    <x v="3"/>
    <x v="442"/>
    <x v="6"/>
    <x v="0"/>
    <x v="2"/>
    <x v="87"/>
    <x v="3"/>
    <x v="2541"/>
    <x v="1"/>
  </r>
  <r>
    <x v="156"/>
    <x v="32"/>
    <x v="1228"/>
    <x v="3"/>
    <x v="422"/>
    <x v="6"/>
    <x v="2"/>
    <x v="4"/>
    <x v="221"/>
    <x v="10"/>
    <x v="2542"/>
    <x v="1"/>
  </r>
  <r>
    <x v="156"/>
    <x v="32"/>
    <x v="1215"/>
    <x v="2"/>
    <x v="422"/>
    <x v="6"/>
    <x v="2"/>
    <x v="4"/>
    <x v="221"/>
    <x v="10"/>
    <x v="2543"/>
    <x v="1"/>
  </r>
  <r>
    <x v="156"/>
    <x v="32"/>
    <x v="100"/>
    <x v="6"/>
    <x v="422"/>
    <x v="6"/>
    <x v="2"/>
    <x v="4"/>
    <x v="221"/>
    <x v="10"/>
    <x v="2544"/>
    <x v="1"/>
  </r>
  <r>
    <x v="156"/>
    <x v="32"/>
    <x v="1956"/>
    <x v="7"/>
    <x v="422"/>
    <x v="6"/>
    <x v="2"/>
    <x v="4"/>
    <x v="221"/>
    <x v="10"/>
    <x v="2545"/>
    <x v="1"/>
  </r>
  <r>
    <x v="156"/>
    <x v="32"/>
    <x v="1297"/>
    <x v="5"/>
    <x v="533"/>
    <x v="6"/>
    <x v="2"/>
    <x v="4"/>
    <x v="221"/>
    <x v="10"/>
    <x v="2546"/>
    <x v="1"/>
  </r>
  <r>
    <x v="156"/>
    <x v="23"/>
    <x v="22"/>
    <x v="3"/>
    <x v="285"/>
    <x v="6"/>
    <x v="0"/>
    <x v="1"/>
    <x v="87"/>
    <x v="6"/>
    <x v="2547"/>
    <x v="1"/>
  </r>
  <r>
    <x v="156"/>
    <x v="37"/>
    <x v="65"/>
    <x v="1"/>
    <x v="523"/>
    <x v="6"/>
    <x v="0"/>
    <x v="1"/>
    <x v="87"/>
    <x v="12"/>
    <x v="2548"/>
    <x v="1"/>
  </r>
  <r>
    <x v="157"/>
    <x v="12"/>
    <x v="723"/>
    <x v="0"/>
    <x v="17"/>
    <x v="6"/>
    <x v="0"/>
    <x v="0"/>
    <x v="122"/>
    <x v="5"/>
    <x v="2549"/>
    <x v="1"/>
  </r>
  <r>
    <x v="157"/>
    <x v="20"/>
    <x v="229"/>
    <x v="0"/>
    <x v="61"/>
    <x v="6"/>
    <x v="0"/>
    <x v="0"/>
    <x v="96"/>
    <x v="5"/>
    <x v="2550"/>
    <x v="1"/>
  </r>
  <r>
    <x v="157"/>
    <x v="1"/>
    <x v="127"/>
    <x v="3"/>
    <x v="431"/>
    <x v="6"/>
    <x v="0"/>
    <x v="2"/>
    <x v="88"/>
    <x v="4"/>
    <x v="2551"/>
    <x v="1"/>
  </r>
  <r>
    <x v="157"/>
    <x v="20"/>
    <x v="49"/>
    <x v="3"/>
    <x v="381"/>
    <x v="6"/>
    <x v="0"/>
    <x v="2"/>
    <x v="88"/>
    <x v="5"/>
    <x v="2552"/>
    <x v="1"/>
  </r>
  <r>
    <x v="157"/>
    <x v="9"/>
    <x v="1536"/>
    <x v="0"/>
    <x v="229"/>
    <x v="6"/>
    <x v="0"/>
    <x v="0"/>
    <x v="92"/>
    <x v="5"/>
    <x v="2553"/>
    <x v="1"/>
  </r>
  <r>
    <x v="157"/>
    <x v="19"/>
    <x v="794"/>
    <x v="0"/>
    <x v="474"/>
    <x v="6"/>
    <x v="0"/>
    <x v="0"/>
    <x v="93"/>
    <x v="3"/>
    <x v="2554"/>
    <x v="1"/>
  </r>
  <r>
    <x v="157"/>
    <x v="38"/>
    <x v="310"/>
    <x v="0"/>
    <x v="500"/>
    <x v="6"/>
    <x v="0"/>
    <x v="0"/>
    <x v="90"/>
    <x v="5"/>
    <x v="2555"/>
    <x v="1"/>
  </r>
  <r>
    <x v="157"/>
    <x v="26"/>
    <x v="90"/>
    <x v="1"/>
    <x v="344"/>
    <x v="6"/>
    <x v="0"/>
    <x v="1"/>
    <x v="88"/>
    <x v="5"/>
    <x v="2556"/>
    <x v="1"/>
  </r>
  <r>
    <x v="157"/>
    <x v="32"/>
    <x v="1364"/>
    <x v="3"/>
    <x v="422"/>
    <x v="6"/>
    <x v="2"/>
    <x v="4"/>
    <x v="221"/>
    <x v="10"/>
    <x v="2557"/>
    <x v="1"/>
  </r>
  <r>
    <x v="157"/>
    <x v="32"/>
    <x v="26"/>
    <x v="6"/>
    <x v="422"/>
    <x v="6"/>
    <x v="2"/>
    <x v="4"/>
    <x v="221"/>
    <x v="10"/>
    <x v="2558"/>
    <x v="1"/>
  </r>
  <r>
    <x v="157"/>
    <x v="32"/>
    <x v="1917"/>
    <x v="7"/>
    <x v="422"/>
    <x v="6"/>
    <x v="2"/>
    <x v="4"/>
    <x v="221"/>
    <x v="10"/>
    <x v="2559"/>
    <x v="1"/>
  </r>
  <r>
    <x v="157"/>
    <x v="32"/>
    <x v="793"/>
    <x v="5"/>
    <x v="533"/>
    <x v="6"/>
    <x v="2"/>
    <x v="4"/>
    <x v="221"/>
    <x v="10"/>
    <x v="2560"/>
    <x v="1"/>
  </r>
  <r>
    <x v="157"/>
    <x v="28"/>
    <x v="191"/>
    <x v="1"/>
    <x v="371"/>
    <x v="6"/>
    <x v="0"/>
    <x v="1"/>
    <x v="88"/>
    <x v="0"/>
    <x v="2561"/>
    <x v="1"/>
  </r>
  <r>
    <x v="157"/>
    <x v="38"/>
    <x v="329"/>
    <x v="1"/>
    <x v="389"/>
    <x v="6"/>
    <x v="0"/>
    <x v="1"/>
    <x v="88"/>
    <x v="5"/>
    <x v="2562"/>
    <x v="1"/>
  </r>
  <r>
    <x v="157"/>
    <x v="37"/>
    <x v="65"/>
    <x v="1"/>
    <x v="523"/>
    <x v="6"/>
    <x v="0"/>
    <x v="1"/>
    <x v="88"/>
    <x v="12"/>
    <x v="2563"/>
    <x v="1"/>
  </r>
  <r>
    <x v="158"/>
    <x v="12"/>
    <x v="788"/>
    <x v="0"/>
    <x v="17"/>
    <x v="6"/>
    <x v="0"/>
    <x v="0"/>
    <x v="122"/>
    <x v="5"/>
    <x v="2564"/>
    <x v="1"/>
  </r>
  <r>
    <x v="158"/>
    <x v="8"/>
    <x v="449"/>
    <x v="0"/>
    <x v="241"/>
    <x v="6"/>
    <x v="0"/>
    <x v="0"/>
    <x v="94"/>
    <x v="5"/>
    <x v="2565"/>
    <x v="1"/>
  </r>
  <r>
    <x v="158"/>
    <x v="20"/>
    <x v="288"/>
    <x v="0"/>
    <x v="61"/>
    <x v="6"/>
    <x v="0"/>
    <x v="0"/>
    <x v="96"/>
    <x v="5"/>
    <x v="2566"/>
    <x v="1"/>
  </r>
  <r>
    <x v="158"/>
    <x v="1"/>
    <x v="60"/>
    <x v="3"/>
    <x v="431"/>
    <x v="6"/>
    <x v="0"/>
    <x v="4"/>
    <x v="221"/>
    <x v="4"/>
    <x v="2567"/>
    <x v="1"/>
  </r>
  <r>
    <x v="158"/>
    <x v="9"/>
    <x v="1341"/>
    <x v="0"/>
    <x v="229"/>
    <x v="6"/>
    <x v="0"/>
    <x v="0"/>
    <x v="96"/>
    <x v="5"/>
    <x v="2568"/>
    <x v="1"/>
  </r>
  <r>
    <x v="158"/>
    <x v="38"/>
    <x v="135"/>
    <x v="0"/>
    <x v="500"/>
    <x v="6"/>
    <x v="0"/>
    <x v="0"/>
    <x v="90"/>
    <x v="5"/>
    <x v="2569"/>
    <x v="1"/>
  </r>
  <r>
    <x v="158"/>
    <x v="19"/>
    <x v="794"/>
    <x v="0"/>
    <x v="474"/>
    <x v="6"/>
    <x v="0"/>
    <x v="0"/>
    <x v="93"/>
    <x v="3"/>
    <x v="2570"/>
    <x v="1"/>
  </r>
  <r>
    <x v="158"/>
    <x v="15"/>
    <x v="491"/>
    <x v="1"/>
    <x v="353"/>
    <x v="6"/>
    <x v="0"/>
    <x v="2"/>
    <x v="89"/>
    <x v="4"/>
    <x v="2571"/>
    <x v="1"/>
  </r>
  <r>
    <x v="158"/>
    <x v="32"/>
    <x v="187"/>
    <x v="3"/>
    <x v="422"/>
    <x v="6"/>
    <x v="2"/>
    <x v="4"/>
    <x v="221"/>
    <x v="10"/>
    <x v="2572"/>
    <x v="1"/>
  </r>
  <r>
    <x v="158"/>
    <x v="32"/>
    <x v="675"/>
    <x v="2"/>
    <x v="422"/>
    <x v="6"/>
    <x v="2"/>
    <x v="4"/>
    <x v="221"/>
    <x v="10"/>
    <x v="2573"/>
    <x v="1"/>
  </r>
  <r>
    <x v="158"/>
    <x v="32"/>
    <x v="12"/>
    <x v="6"/>
    <x v="422"/>
    <x v="6"/>
    <x v="2"/>
    <x v="4"/>
    <x v="221"/>
    <x v="10"/>
    <x v="2574"/>
    <x v="1"/>
  </r>
  <r>
    <x v="158"/>
    <x v="32"/>
    <x v="1647"/>
    <x v="7"/>
    <x v="422"/>
    <x v="6"/>
    <x v="2"/>
    <x v="4"/>
    <x v="221"/>
    <x v="10"/>
    <x v="2575"/>
    <x v="1"/>
  </r>
  <r>
    <x v="158"/>
    <x v="32"/>
    <x v="187"/>
    <x v="8"/>
    <x v="422"/>
    <x v="6"/>
    <x v="2"/>
    <x v="4"/>
    <x v="221"/>
    <x v="10"/>
    <x v="2576"/>
    <x v="1"/>
  </r>
  <r>
    <x v="158"/>
    <x v="32"/>
    <x v="916"/>
    <x v="5"/>
    <x v="533"/>
    <x v="6"/>
    <x v="2"/>
    <x v="4"/>
    <x v="221"/>
    <x v="10"/>
    <x v="2577"/>
    <x v="1"/>
  </r>
  <r>
    <x v="158"/>
    <x v="37"/>
    <x v="49"/>
    <x v="3"/>
    <x v="523"/>
    <x v="6"/>
    <x v="0"/>
    <x v="2"/>
    <x v="89"/>
    <x v="12"/>
    <x v="2578"/>
    <x v="1"/>
  </r>
  <r>
    <x v="159"/>
    <x v="9"/>
    <x v="418"/>
    <x v="0"/>
    <x v="229"/>
    <x v="7"/>
    <x v="0"/>
    <x v="0"/>
    <x v="96"/>
    <x v="5"/>
    <x v="2579"/>
    <x v="1"/>
  </r>
  <r>
    <x v="159"/>
    <x v="12"/>
    <x v="130"/>
    <x v="0"/>
    <x v="17"/>
    <x v="7"/>
    <x v="1"/>
    <x v="4"/>
    <x v="221"/>
    <x v="5"/>
    <x v="2580"/>
    <x v="1"/>
  </r>
  <r>
    <x v="159"/>
    <x v="21"/>
    <x v="1098"/>
    <x v="1"/>
    <x v="197"/>
    <x v="7"/>
    <x v="0"/>
    <x v="1"/>
    <x v="90"/>
    <x v="3"/>
    <x v="2581"/>
    <x v="1"/>
  </r>
  <r>
    <x v="159"/>
    <x v="21"/>
    <x v="505"/>
    <x v="1"/>
    <x v="498"/>
    <x v="7"/>
    <x v="0"/>
    <x v="1"/>
    <x v="90"/>
    <x v="3"/>
    <x v="2582"/>
    <x v="1"/>
  </r>
  <r>
    <x v="159"/>
    <x v="24"/>
    <x v="582"/>
    <x v="1"/>
    <x v="246"/>
    <x v="7"/>
    <x v="0"/>
    <x v="1"/>
    <x v="90"/>
    <x v="6"/>
    <x v="2583"/>
    <x v="1"/>
  </r>
  <r>
    <x v="159"/>
    <x v="0"/>
    <x v="45"/>
    <x v="1"/>
    <x v="352"/>
    <x v="7"/>
    <x v="0"/>
    <x v="1"/>
    <x v="90"/>
    <x v="9"/>
    <x v="2584"/>
    <x v="1"/>
  </r>
  <r>
    <x v="159"/>
    <x v="36"/>
    <x v="719"/>
    <x v="1"/>
    <x v="404"/>
    <x v="7"/>
    <x v="0"/>
    <x v="1"/>
    <x v="90"/>
    <x v="5"/>
    <x v="2585"/>
    <x v="1"/>
  </r>
  <r>
    <x v="159"/>
    <x v="19"/>
    <x v="778"/>
    <x v="0"/>
    <x v="474"/>
    <x v="7"/>
    <x v="0"/>
    <x v="0"/>
    <x v="115"/>
    <x v="3"/>
    <x v="2586"/>
    <x v="1"/>
  </r>
  <r>
    <x v="159"/>
    <x v="38"/>
    <x v="109"/>
    <x v="0"/>
    <x v="500"/>
    <x v="7"/>
    <x v="1"/>
    <x v="4"/>
    <x v="221"/>
    <x v="5"/>
    <x v="2587"/>
    <x v="1"/>
  </r>
  <r>
    <x v="159"/>
    <x v="32"/>
    <x v="1180"/>
    <x v="3"/>
    <x v="422"/>
    <x v="7"/>
    <x v="2"/>
    <x v="4"/>
    <x v="221"/>
    <x v="10"/>
    <x v="2588"/>
    <x v="1"/>
  </r>
  <r>
    <x v="159"/>
    <x v="32"/>
    <x v="222"/>
    <x v="2"/>
    <x v="422"/>
    <x v="7"/>
    <x v="2"/>
    <x v="4"/>
    <x v="221"/>
    <x v="10"/>
    <x v="2589"/>
    <x v="1"/>
  </r>
  <r>
    <x v="159"/>
    <x v="32"/>
    <x v="293"/>
    <x v="6"/>
    <x v="422"/>
    <x v="7"/>
    <x v="2"/>
    <x v="4"/>
    <x v="221"/>
    <x v="10"/>
    <x v="2590"/>
    <x v="1"/>
  </r>
  <r>
    <x v="159"/>
    <x v="32"/>
    <x v="1855"/>
    <x v="7"/>
    <x v="422"/>
    <x v="7"/>
    <x v="2"/>
    <x v="4"/>
    <x v="221"/>
    <x v="10"/>
    <x v="2591"/>
    <x v="1"/>
  </r>
  <r>
    <x v="159"/>
    <x v="32"/>
    <x v="1041"/>
    <x v="5"/>
    <x v="533"/>
    <x v="7"/>
    <x v="2"/>
    <x v="4"/>
    <x v="221"/>
    <x v="10"/>
    <x v="2592"/>
    <x v="1"/>
  </r>
  <r>
    <x v="159"/>
    <x v="37"/>
    <x v="60"/>
    <x v="1"/>
    <x v="523"/>
    <x v="7"/>
    <x v="0"/>
    <x v="1"/>
    <x v="90"/>
    <x v="12"/>
    <x v="2593"/>
    <x v="1"/>
  </r>
  <r>
    <x v="159"/>
    <x v="23"/>
    <x v="12"/>
    <x v="3"/>
    <x v="285"/>
    <x v="7"/>
    <x v="0"/>
    <x v="2"/>
    <x v="90"/>
    <x v="6"/>
    <x v="2594"/>
    <x v="1"/>
  </r>
  <r>
    <x v="159"/>
    <x v="0"/>
    <x v="256"/>
    <x v="3"/>
    <x v="440"/>
    <x v="7"/>
    <x v="0"/>
    <x v="2"/>
    <x v="90"/>
    <x v="9"/>
    <x v="2595"/>
    <x v="1"/>
  </r>
  <r>
    <x v="160"/>
    <x v="8"/>
    <x v="779"/>
    <x v="0"/>
    <x v="241"/>
    <x v="7"/>
    <x v="0"/>
    <x v="0"/>
    <x v="94"/>
    <x v="5"/>
    <x v="2596"/>
    <x v="1"/>
  </r>
  <r>
    <x v="160"/>
    <x v="12"/>
    <x v="309"/>
    <x v="0"/>
    <x v="17"/>
    <x v="7"/>
    <x v="1"/>
    <x v="4"/>
    <x v="221"/>
    <x v="5"/>
    <x v="2597"/>
    <x v="1"/>
  </r>
  <r>
    <x v="160"/>
    <x v="38"/>
    <x v="73"/>
    <x v="0"/>
    <x v="500"/>
    <x v="7"/>
    <x v="1"/>
    <x v="4"/>
    <x v="221"/>
    <x v="5"/>
    <x v="2598"/>
    <x v="1"/>
  </r>
  <r>
    <x v="160"/>
    <x v="9"/>
    <x v="1521"/>
    <x v="0"/>
    <x v="229"/>
    <x v="7"/>
    <x v="0"/>
    <x v="0"/>
    <x v="96"/>
    <x v="5"/>
    <x v="2599"/>
    <x v="1"/>
  </r>
  <r>
    <x v="160"/>
    <x v="1"/>
    <x v="158"/>
    <x v="3"/>
    <x v="431"/>
    <x v="7"/>
    <x v="0"/>
    <x v="2"/>
    <x v="91"/>
    <x v="4"/>
    <x v="2600"/>
    <x v="1"/>
  </r>
  <r>
    <x v="160"/>
    <x v="17"/>
    <x v="1911"/>
    <x v="0"/>
    <x v="194"/>
    <x v="7"/>
    <x v="1"/>
    <x v="4"/>
    <x v="221"/>
    <x v="3"/>
    <x v="2601"/>
    <x v="1"/>
  </r>
  <r>
    <x v="160"/>
    <x v="3"/>
    <x v="1022"/>
    <x v="1"/>
    <x v="153"/>
    <x v="7"/>
    <x v="0"/>
    <x v="2"/>
    <x v="91"/>
    <x v="4"/>
    <x v="2602"/>
    <x v="1"/>
  </r>
  <r>
    <x v="160"/>
    <x v="27"/>
    <x v="1236"/>
    <x v="0"/>
    <x v="5"/>
    <x v="7"/>
    <x v="0"/>
    <x v="0"/>
    <x v="91"/>
    <x v="5"/>
    <x v="2603"/>
    <x v="1"/>
  </r>
  <r>
    <x v="160"/>
    <x v="21"/>
    <x v="761"/>
    <x v="0"/>
    <x v="165"/>
    <x v="7"/>
    <x v="0"/>
    <x v="0"/>
    <x v="91"/>
    <x v="3"/>
    <x v="2604"/>
    <x v="1"/>
  </r>
  <r>
    <x v="160"/>
    <x v="32"/>
    <x v="775"/>
    <x v="3"/>
    <x v="422"/>
    <x v="7"/>
    <x v="2"/>
    <x v="4"/>
    <x v="221"/>
    <x v="10"/>
    <x v="2605"/>
    <x v="1"/>
  </r>
  <r>
    <x v="160"/>
    <x v="32"/>
    <x v="449"/>
    <x v="4"/>
    <x v="46"/>
    <x v="7"/>
    <x v="2"/>
    <x v="4"/>
    <x v="221"/>
    <x v="10"/>
    <x v="2606"/>
    <x v="1"/>
  </r>
  <r>
    <x v="160"/>
    <x v="32"/>
    <x v="402"/>
    <x v="6"/>
    <x v="422"/>
    <x v="7"/>
    <x v="2"/>
    <x v="4"/>
    <x v="221"/>
    <x v="10"/>
    <x v="2607"/>
    <x v="1"/>
  </r>
  <r>
    <x v="160"/>
    <x v="32"/>
    <x v="1729"/>
    <x v="7"/>
    <x v="422"/>
    <x v="7"/>
    <x v="2"/>
    <x v="4"/>
    <x v="221"/>
    <x v="10"/>
    <x v="2608"/>
    <x v="1"/>
  </r>
  <r>
    <x v="160"/>
    <x v="32"/>
    <x v="436"/>
    <x v="8"/>
    <x v="422"/>
    <x v="7"/>
    <x v="2"/>
    <x v="4"/>
    <x v="221"/>
    <x v="10"/>
    <x v="2609"/>
    <x v="1"/>
  </r>
  <r>
    <x v="160"/>
    <x v="32"/>
    <x v="1185"/>
    <x v="5"/>
    <x v="533"/>
    <x v="7"/>
    <x v="2"/>
    <x v="4"/>
    <x v="221"/>
    <x v="10"/>
    <x v="2610"/>
    <x v="1"/>
  </r>
  <r>
    <x v="160"/>
    <x v="37"/>
    <x v="55"/>
    <x v="3"/>
    <x v="523"/>
    <x v="7"/>
    <x v="0"/>
    <x v="2"/>
    <x v="91"/>
    <x v="12"/>
    <x v="2611"/>
    <x v="1"/>
  </r>
  <r>
    <x v="161"/>
    <x v="38"/>
    <x v="115"/>
    <x v="0"/>
    <x v="500"/>
    <x v="7"/>
    <x v="1"/>
    <x v="4"/>
    <x v="221"/>
    <x v="5"/>
    <x v="2612"/>
    <x v="1"/>
  </r>
  <r>
    <x v="161"/>
    <x v="12"/>
    <x v="497"/>
    <x v="0"/>
    <x v="17"/>
    <x v="7"/>
    <x v="1"/>
    <x v="4"/>
    <x v="221"/>
    <x v="5"/>
    <x v="2613"/>
    <x v="1"/>
  </r>
  <r>
    <x v="161"/>
    <x v="20"/>
    <x v="1468"/>
    <x v="0"/>
    <x v="61"/>
    <x v="7"/>
    <x v="0"/>
    <x v="0"/>
    <x v="102"/>
    <x v="5"/>
    <x v="2614"/>
    <x v="1"/>
  </r>
  <r>
    <x v="161"/>
    <x v="20"/>
    <x v="49"/>
    <x v="3"/>
    <x v="148"/>
    <x v="7"/>
    <x v="0"/>
    <x v="2"/>
    <x v="92"/>
    <x v="5"/>
    <x v="2615"/>
    <x v="1"/>
  </r>
  <r>
    <x v="161"/>
    <x v="12"/>
    <x v="475"/>
    <x v="1"/>
    <x v="515"/>
    <x v="7"/>
    <x v="0"/>
    <x v="1"/>
    <x v="92"/>
    <x v="5"/>
    <x v="2616"/>
    <x v="1"/>
  </r>
  <r>
    <x v="161"/>
    <x v="18"/>
    <x v="719"/>
    <x v="0"/>
    <x v="217"/>
    <x v="7"/>
    <x v="0"/>
    <x v="0"/>
    <x v="92"/>
    <x v="3"/>
    <x v="2617"/>
    <x v="1"/>
  </r>
  <r>
    <x v="161"/>
    <x v="24"/>
    <x v="69"/>
    <x v="1"/>
    <x v="246"/>
    <x v="7"/>
    <x v="0"/>
    <x v="1"/>
    <x v="92"/>
    <x v="6"/>
    <x v="2618"/>
    <x v="1"/>
  </r>
  <r>
    <x v="161"/>
    <x v="20"/>
    <x v="375"/>
    <x v="1"/>
    <x v="70"/>
    <x v="7"/>
    <x v="0"/>
    <x v="1"/>
    <x v="92"/>
    <x v="5"/>
    <x v="2619"/>
    <x v="1"/>
  </r>
  <r>
    <x v="161"/>
    <x v="9"/>
    <x v="981"/>
    <x v="0"/>
    <x v="229"/>
    <x v="7"/>
    <x v="0"/>
    <x v="0"/>
    <x v="96"/>
    <x v="5"/>
    <x v="2620"/>
    <x v="1"/>
  </r>
  <r>
    <x v="161"/>
    <x v="0"/>
    <x v="614"/>
    <x v="1"/>
    <x v="371"/>
    <x v="7"/>
    <x v="0"/>
    <x v="1"/>
    <x v="92"/>
    <x v="9"/>
    <x v="2621"/>
    <x v="1"/>
  </r>
  <r>
    <x v="161"/>
    <x v="0"/>
    <x v="30"/>
    <x v="3"/>
    <x v="371"/>
    <x v="7"/>
    <x v="0"/>
    <x v="2"/>
    <x v="92"/>
    <x v="9"/>
    <x v="2622"/>
    <x v="1"/>
  </r>
  <r>
    <x v="161"/>
    <x v="19"/>
    <x v="778"/>
    <x v="0"/>
    <x v="474"/>
    <x v="7"/>
    <x v="0"/>
    <x v="0"/>
    <x v="115"/>
    <x v="3"/>
    <x v="2623"/>
    <x v="1"/>
  </r>
  <r>
    <x v="161"/>
    <x v="1"/>
    <x v="60"/>
    <x v="3"/>
    <x v="431"/>
    <x v="7"/>
    <x v="0"/>
    <x v="4"/>
    <x v="221"/>
    <x v="4"/>
    <x v="2624"/>
    <x v="1"/>
  </r>
  <r>
    <x v="161"/>
    <x v="31"/>
    <x v="1786"/>
    <x v="0"/>
    <x v="222"/>
    <x v="7"/>
    <x v="0"/>
    <x v="3"/>
    <x v="92"/>
    <x v="8"/>
    <x v="2625"/>
    <x v="1"/>
  </r>
  <r>
    <x v="161"/>
    <x v="32"/>
    <x v="1317"/>
    <x v="3"/>
    <x v="422"/>
    <x v="7"/>
    <x v="2"/>
    <x v="4"/>
    <x v="221"/>
    <x v="10"/>
    <x v="2626"/>
    <x v="1"/>
  </r>
  <r>
    <x v="161"/>
    <x v="32"/>
    <x v="69"/>
    <x v="2"/>
    <x v="422"/>
    <x v="7"/>
    <x v="2"/>
    <x v="4"/>
    <x v="221"/>
    <x v="10"/>
    <x v="2627"/>
    <x v="1"/>
  </r>
  <r>
    <x v="161"/>
    <x v="32"/>
    <x v="332"/>
    <x v="6"/>
    <x v="422"/>
    <x v="7"/>
    <x v="2"/>
    <x v="4"/>
    <x v="221"/>
    <x v="10"/>
    <x v="2628"/>
    <x v="1"/>
  </r>
  <r>
    <x v="161"/>
    <x v="32"/>
    <x v="1701"/>
    <x v="7"/>
    <x v="422"/>
    <x v="7"/>
    <x v="2"/>
    <x v="4"/>
    <x v="221"/>
    <x v="10"/>
    <x v="2629"/>
    <x v="1"/>
  </r>
  <r>
    <x v="161"/>
    <x v="32"/>
    <x v="1413"/>
    <x v="5"/>
    <x v="533"/>
    <x v="7"/>
    <x v="2"/>
    <x v="4"/>
    <x v="221"/>
    <x v="10"/>
    <x v="2630"/>
    <x v="1"/>
  </r>
  <r>
    <x v="161"/>
    <x v="37"/>
    <x v="36"/>
    <x v="3"/>
    <x v="523"/>
    <x v="7"/>
    <x v="0"/>
    <x v="2"/>
    <x v="92"/>
    <x v="12"/>
    <x v="2631"/>
    <x v="1"/>
  </r>
  <r>
    <x v="162"/>
    <x v="20"/>
    <x v="858"/>
    <x v="0"/>
    <x v="61"/>
    <x v="7"/>
    <x v="0"/>
    <x v="0"/>
    <x v="102"/>
    <x v="5"/>
    <x v="2632"/>
    <x v="1"/>
  </r>
  <r>
    <x v="162"/>
    <x v="8"/>
    <x v="816"/>
    <x v="0"/>
    <x v="241"/>
    <x v="7"/>
    <x v="0"/>
    <x v="0"/>
    <x v="108"/>
    <x v="5"/>
    <x v="2633"/>
    <x v="1"/>
  </r>
  <r>
    <x v="162"/>
    <x v="38"/>
    <x v="241"/>
    <x v="0"/>
    <x v="500"/>
    <x v="7"/>
    <x v="1"/>
    <x v="4"/>
    <x v="221"/>
    <x v="5"/>
    <x v="2634"/>
    <x v="1"/>
  </r>
  <r>
    <x v="162"/>
    <x v="12"/>
    <x v="570"/>
    <x v="0"/>
    <x v="17"/>
    <x v="7"/>
    <x v="1"/>
    <x v="4"/>
    <x v="221"/>
    <x v="5"/>
    <x v="2635"/>
    <x v="1"/>
  </r>
  <r>
    <x v="162"/>
    <x v="9"/>
    <x v="1419"/>
    <x v="0"/>
    <x v="229"/>
    <x v="7"/>
    <x v="0"/>
    <x v="0"/>
    <x v="100"/>
    <x v="5"/>
    <x v="2636"/>
    <x v="1"/>
  </r>
  <r>
    <x v="162"/>
    <x v="0"/>
    <x v="1146"/>
    <x v="1"/>
    <x v="453"/>
    <x v="7"/>
    <x v="0"/>
    <x v="2"/>
    <x v="93"/>
    <x v="9"/>
    <x v="2637"/>
    <x v="1"/>
  </r>
  <r>
    <x v="162"/>
    <x v="0"/>
    <x v="256"/>
    <x v="1"/>
    <x v="440"/>
    <x v="7"/>
    <x v="0"/>
    <x v="2"/>
    <x v="93"/>
    <x v="9"/>
    <x v="2638"/>
    <x v="1"/>
  </r>
  <r>
    <x v="162"/>
    <x v="1"/>
    <x v="60"/>
    <x v="3"/>
    <x v="431"/>
    <x v="7"/>
    <x v="0"/>
    <x v="2"/>
    <x v="93"/>
    <x v="4"/>
    <x v="2639"/>
    <x v="1"/>
  </r>
  <r>
    <x v="162"/>
    <x v="0"/>
    <x v="45"/>
    <x v="3"/>
    <x v="352"/>
    <x v="7"/>
    <x v="0"/>
    <x v="2"/>
    <x v="93"/>
    <x v="9"/>
    <x v="2640"/>
    <x v="1"/>
  </r>
  <r>
    <x v="162"/>
    <x v="19"/>
    <x v="778"/>
    <x v="0"/>
    <x v="474"/>
    <x v="7"/>
    <x v="0"/>
    <x v="0"/>
    <x v="115"/>
    <x v="3"/>
    <x v="2641"/>
    <x v="1"/>
  </r>
  <r>
    <x v="162"/>
    <x v="32"/>
    <x v="1271"/>
    <x v="3"/>
    <x v="422"/>
    <x v="7"/>
    <x v="2"/>
    <x v="4"/>
    <x v="221"/>
    <x v="10"/>
    <x v="2642"/>
    <x v="1"/>
  </r>
  <r>
    <x v="162"/>
    <x v="32"/>
    <x v="482"/>
    <x v="6"/>
    <x v="422"/>
    <x v="7"/>
    <x v="2"/>
    <x v="4"/>
    <x v="221"/>
    <x v="10"/>
    <x v="2643"/>
    <x v="1"/>
  </r>
  <r>
    <x v="162"/>
    <x v="32"/>
    <x v="1892"/>
    <x v="7"/>
    <x v="422"/>
    <x v="7"/>
    <x v="2"/>
    <x v="4"/>
    <x v="221"/>
    <x v="10"/>
    <x v="2644"/>
    <x v="1"/>
  </r>
  <r>
    <x v="162"/>
    <x v="32"/>
    <x v="1130"/>
    <x v="5"/>
    <x v="533"/>
    <x v="7"/>
    <x v="2"/>
    <x v="4"/>
    <x v="221"/>
    <x v="10"/>
    <x v="2645"/>
    <x v="1"/>
  </r>
  <r>
    <x v="162"/>
    <x v="37"/>
    <x v="50"/>
    <x v="3"/>
    <x v="523"/>
    <x v="7"/>
    <x v="0"/>
    <x v="2"/>
    <x v="93"/>
    <x v="12"/>
    <x v="2646"/>
    <x v="1"/>
  </r>
  <r>
    <x v="163"/>
    <x v="9"/>
    <x v="569"/>
    <x v="0"/>
    <x v="229"/>
    <x v="7"/>
    <x v="0"/>
    <x v="0"/>
    <x v="100"/>
    <x v="5"/>
    <x v="2647"/>
    <x v="1"/>
  </r>
  <r>
    <x v="163"/>
    <x v="12"/>
    <x v="623"/>
    <x v="0"/>
    <x v="17"/>
    <x v="7"/>
    <x v="1"/>
    <x v="4"/>
    <x v="221"/>
    <x v="5"/>
    <x v="2648"/>
    <x v="1"/>
  </r>
  <r>
    <x v="163"/>
    <x v="3"/>
    <x v="599"/>
    <x v="1"/>
    <x v="579"/>
    <x v="7"/>
    <x v="0"/>
    <x v="2"/>
    <x v="94"/>
    <x v="4"/>
    <x v="2649"/>
    <x v="1"/>
  </r>
  <r>
    <x v="163"/>
    <x v="1"/>
    <x v="60"/>
    <x v="1"/>
    <x v="431"/>
    <x v="7"/>
    <x v="0"/>
    <x v="2"/>
    <x v="94"/>
    <x v="4"/>
    <x v="2650"/>
    <x v="1"/>
  </r>
  <r>
    <x v="163"/>
    <x v="3"/>
    <x v="412"/>
    <x v="1"/>
    <x v="153"/>
    <x v="7"/>
    <x v="0"/>
    <x v="2"/>
    <x v="94"/>
    <x v="4"/>
    <x v="2651"/>
    <x v="1"/>
  </r>
  <r>
    <x v="163"/>
    <x v="36"/>
    <x v="45"/>
    <x v="1"/>
    <x v="375"/>
    <x v="7"/>
    <x v="0"/>
    <x v="2"/>
    <x v="94"/>
    <x v="5"/>
    <x v="2652"/>
    <x v="1"/>
  </r>
  <r>
    <x v="163"/>
    <x v="28"/>
    <x v="198"/>
    <x v="1"/>
    <x v="371"/>
    <x v="7"/>
    <x v="0"/>
    <x v="2"/>
    <x v="94"/>
    <x v="0"/>
    <x v="2653"/>
    <x v="1"/>
  </r>
  <r>
    <x v="163"/>
    <x v="13"/>
    <x v="1586"/>
    <x v="0"/>
    <x v="32"/>
    <x v="7"/>
    <x v="0"/>
    <x v="0"/>
    <x v="123"/>
    <x v="5"/>
    <x v="2654"/>
    <x v="1"/>
  </r>
  <r>
    <x v="163"/>
    <x v="38"/>
    <x v="159"/>
    <x v="0"/>
    <x v="500"/>
    <x v="7"/>
    <x v="1"/>
    <x v="4"/>
    <x v="221"/>
    <x v="5"/>
    <x v="2655"/>
    <x v="1"/>
  </r>
  <r>
    <x v="163"/>
    <x v="15"/>
    <x v="191"/>
    <x v="1"/>
    <x v="353"/>
    <x v="7"/>
    <x v="0"/>
    <x v="2"/>
    <x v="94"/>
    <x v="4"/>
    <x v="2656"/>
    <x v="1"/>
  </r>
  <r>
    <x v="163"/>
    <x v="32"/>
    <x v="1595"/>
    <x v="3"/>
    <x v="422"/>
    <x v="7"/>
    <x v="2"/>
    <x v="4"/>
    <x v="221"/>
    <x v="10"/>
    <x v="2657"/>
    <x v="1"/>
  </r>
  <r>
    <x v="163"/>
    <x v="32"/>
    <x v="388"/>
    <x v="6"/>
    <x v="422"/>
    <x v="7"/>
    <x v="2"/>
    <x v="4"/>
    <x v="221"/>
    <x v="10"/>
    <x v="2658"/>
    <x v="1"/>
  </r>
  <r>
    <x v="163"/>
    <x v="32"/>
    <x v="1850"/>
    <x v="7"/>
    <x v="422"/>
    <x v="7"/>
    <x v="2"/>
    <x v="4"/>
    <x v="221"/>
    <x v="10"/>
    <x v="2659"/>
    <x v="1"/>
  </r>
  <r>
    <x v="163"/>
    <x v="32"/>
    <x v="704"/>
    <x v="8"/>
    <x v="422"/>
    <x v="7"/>
    <x v="2"/>
    <x v="4"/>
    <x v="221"/>
    <x v="10"/>
    <x v="2660"/>
    <x v="1"/>
  </r>
  <r>
    <x v="163"/>
    <x v="32"/>
    <x v="962"/>
    <x v="5"/>
    <x v="533"/>
    <x v="7"/>
    <x v="2"/>
    <x v="4"/>
    <x v="221"/>
    <x v="10"/>
    <x v="2661"/>
    <x v="1"/>
  </r>
  <r>
    <x v="163"/>
    <x v="37"/>
    <x v="41"/>
    <x v="3"/>
    <x v="523"/>
    <x v="7"/>
    <x v="0"/>
    <x v="2"/>
    <x v="94"/>
    <x v="12"/>
    <x v="2662"/>
    <x v="1"/>
  </r>
  <r>
    <x v="164"/>
    <x v="9"/>
    <x v="1563"/>
    <x v="0"/>
    <x v="229"/>
    <x v="7"/>
    <x v="0"/>
    <x v="0"/>
    <x v="101"/>
    <x v="5"/>
    <x v="2663"/>
    <x v="1"/>
  </r>
  <r>
    <x v="164"/>
    <x v="20"/>
    <x v="940"/>
    <x v="0"/>
    <x v="61"/>
    <x v="7"/>
    <x v="0"/>
    <x v="0"/>
    <x v="102"/>
    <x v="5"/>
    <x v="2664"/>
    <x v="1"/>
  </r>
  <r>
    <x v="164"/>
    <x v="12"/>
    <x v="384"/>
    <x v="0"/>
    <x v="17"/>
    <x v="7"/>
    <x v="1"/>
    <x v="4"/>
    <x v="221"/>
    <x v="5"/>
    <x v="2665"/>
    <x v="1"/>
  </r>
  <r>
    <x v="164"/>
    <x v="1"/>
    <x v="60"/>
    <x v="3"/>
    <x v="431"/>
    <x v="7"/>
    <x v="0"/>
    <x v="2"/>
    <x v="95"/>
    <x v="4"/>
    <x v="2666"/>
    <x v="1"/>
  </r>
  <r>
    <x v="164"/>
    <x v="19"/>
    <x v="778"/>
    <x v="0"/>
    <x v="474"/>
    <x v="7"/>
    <x v="0"/>
    <x v="0"/>
    <x v="115"/>
    <x v="3"/>
    <x v="2667"/>
    <x v="1"/>
  </r>
  <r>
    <x v="164"/>
    <x v="0"/>
    <x v="1570"/>
    <x v="1"/>
    <x v="298"/>
    <x v="7"/>
    <x v="0"/>
    <x v="2"/>
    <x v="95"/>
    <x v="9"/>
    <x v="2668"/>
    <x v="1"/>
  </r>
  <r>
    <x v="164"/>
    <x v="15"/>
    <x v="482"/>
    <x v="3"/>
    <x v="353"/>
    <x v="7"/>
    <x v="0"/>
    <x v="2"/>
    <x v="95"/>
    <x v="4"/>
    <x v="2669"/>
    <x v="1"/>
  </r>
  <r>
    <x v="164"/>
    <x v="38"/>
    <x v="140"/>
    <x v="0"/>
    <x v="500"/>
    <x v="7"/>
    <x v="1"/>
    <x v="4"/>
    <x v="221"/>
    <x v="5"/>
    <x v="2670"/>
    <x v="1"/>
  </r>
  <r>
    <x v="164"/>
    <x v="0"/>
    <x v="599"/>
    <x v="3"/>
    <x v="14"/>
    <x v="7"/>
    <x v="0"/>
    <x v="2"/>
    <x v="95"/>
    <x v="9"/>
    <x v="2671"/>
    <x v="1"/>
  </r>
  <r>
    <x v="164"/>
    <x v="32"/>
    <x v="1036"/>
    <x v="3"/>
    <x v="422"/>
    <x v="7"/>
    <x v="2"/>
    <x v="4"/>
    <x v="221"/>
    <x v="10"/>
    <x v="2672"/>
    <x v="1"/>
  </r>
  <r>
    <x v="164"/>
    <x v="32"/>
    <x v="865"/>
    <x v="6"/>
    <x v="422"/>
    <x v="7"/>
    <x v="2"/>
    <x v="4"/>
    <x v="221"/>
    <x v="10"/>
    <x v="2673"/>
    <x v="1"/>
  </r>
  <r>
    <x v="164"/>
    <x v="32"/>
    <x v="1844"/>
    <x v="7"/>
    <x v="422"/>
    <x v="7"/>
    <x v="2"/>
    <x v="4"/>
    <x v="221"/>
    <x v="10"/>
    <x v="2674"/>
    <x v="1"/>
  </r>
  <r>
    <x v="164"/>
    <x v="32"/>
    <x v="998"/>
    <x v="5"/>
    <x v="533"/>
    <x v="7"/>
    <x v="2"/>
    <x v="4"/>
    <x v="221"/>
    <x v="10"/>
    <x v="2675"/>
    <x v="1"/>
  </r>
  <r>
    <x v="164"/>
    <x v="37"/>
    <x v="48"/>
    <x v="3"/>
    <x v="523"/>
    <x v="7"/>
    <x v="0"/>
    <x v="2"/>
    <x v="95"/>
    <x v="12"/>
    <x v="2676"/>
    <x v="1"/>
  </r>
  <r>
    <x v="165"/>
    <x v="20"/>
    <x v="799"/>
    <x v="0"/>
    <x v="61"/>
    <x v="7"/>
    <x v="0"/>
    <x v="0"/>
    <x v="102"/>
    <x v="5"/>
    <x v="2677"/>
    <x v="1"/>
  </r>
  <r>
    <x v="165"/>
    <x v="8"/>
    <x v="816"/>
    <x v="0"/>
    <x v="241"/>
    <x v="7"/>
    <x v="0"/>
    <x v="0"/>
    <x v="108"/>
    <x v="5"/>
    <x v="2678"/>
    <x v="1"/>
  </r>
  <r>
    <x v="165"/>
    <x v="38"/>
    <x v="162"/>
    <x v="0"/>
    <x v="500"/>
    <x v="7"/>
    <x v="1"/>
    <x v="4"/>
    <x v="221"/>
    <x v="5"/>
    <x v="2679"/>
    <x v="1"/>
  </r>
  <r>
    <x v="165"/>
    <x v="12"/>
    <x v="489"/>
    <x v="0"/>
    <x v="17"/>
    <x v="7"/>
    <x v="1"/>
    <x v="4"/>
    <x v="221"/>
    <x v="5"/>
    <x v="2680"/>
    <x v="1"/>
  </r>
  <r>
    <x v="165"/>
    <x v="9"/>
    <x v="910"/>
    <x v="0"/>
    <x v="229"/>
    <x v="7"/>
    <x v="0"/>
    <x v="0"/>
    <x v="102"/>
    <x v="5"/>
    <x v="2681"/>
    <x v="1"/>
  </r>
  <r>
    <x v="165"/>
    <x v="12"/>
    <x v="94"/>
    <x v="1"/>
    <x v="144"/>
    <x v="7"/>
    <x v="0"/>
    <x v="2"/>
    <x v="96"/>
    <x v="5"/>
    <x v="2682"/>
    <x v="1"/>
  </r>
  <r>
    <x v="165"/>
    <x v="24"/>
    <x v="94"/>
    <x v="1"/>
    <x v="335"/>
    <x v="7"/>
    <x v="0"/>
    <x v="2"/>
    <x v="96"/>
    <x v="6"/>
    <x v="2683"/>
    <x v="1"/>
  </r>
  <r>
    <x v="165"/>
    <x v="38"/>
    <x v="256"/>
    <x v="1"/>
    <x v="389"/>
    <x v="7"/>
    <x v="0"/>
    <x v="2"/>
    <x v="96"/>
    <x v="5"/>
    <x v="2684"/>
    <x v="1"/>
  </r>
  <r>
    <x v="165"/>
    <x v="1"/>
    <x v="90"/>
    <x v="1"/>
    <x v="431"/>
    <x v="7"/>
    <x v="0"/>
    <x v="2"/>
    <x v="96"/>
    <x v="4"/>
    <x v="2685"/>
    <x v="1"/>
  </r>
  <r>
    <x v="165"/>
    <x v="13"/>
    <x v="36"/>
    <x v="3"/>
    <x v="403"/>
    <x v="7"/>
    <x v="0"/>
    <x v="2"/>
    <x v="96"/>
    <x v="5"/>
    <x v="2686"/>
    <x v="1"/>
  </r>
  <r>
    <x v="165"/>
    <x v="19"/>
    <x v="778"/>
    <x v="0"/>
    <x v="474"/>
    <x v="7"/>
    <x v="0"/>
    <x v="0"/>
    <x v="115"/>
    <x v="3"/>
    <x v="2687"/>
    <x v="1"/>
  </r>
  <r>
    <x v="165"/>
    <x v="6"/>
    <x v="518"/>
    <x v="3"/>
    <x v="569"/>
    <x v="7"/>
    <x v="0"/>
    <x v="2"/>
    <x v="96"/>
    <x v="7"/>
    <x v="2688"/>
    <x v="1"/>
  </r>
  <r>
    <x v="165"/>
    <x v="0"/>
    <x v="45"/>
    <x v="3"/>
    <x v="566"/>
    <x v="7"/>
    <x v="0"/>
    <x v="2"/>
    <x v="96"/>
    <x v="9"/>
    <x v="2689"/>
    <x v="1"/>
  </r>
  <r>
    <x v="165"/>
    <x v="20"/>
    <x v="1420"/>
    <x v="0"/>
    <x v="235"/>
    <x v="7"/>
    <x v="0"/>
    <x v="3"/>
    <x v="96"/>
    <x v="5"/>
    <x v="2690"/>
    <x v="1"/>
  </r>
  <r>
    <x v="165"/>
    <x v="24"/>
    <x v="949"/>
    <x v="0"/>
    <x v="174"/>
    <x v="7"/>
    <x v="0"/>
    <x v="0"/>
    <x v="96"/>
    <x v="6"/>
    <x v="2691"/>
    <x v="1"/>
  </r>
  <r>
    <x v="165"/>
    <x v="32"/>
    <x v="834"/>
    <x v="3"/>
    <x v="422"/>
    <x v="7"/>
    <x v="2"/>
    <x v="4"/>
    <x v="221"/>
    <x v="10"/>
    <x v="2692"/>
    <x v="1"/>
  </r>
  <r>
    <x v="165"/>
    <x v="32"/>
    <x v="256"/>
    <x v="6"/>
    <x v="422"/>
    <x v="7"/>
    <x v="2"/>
    <x v="4"/>
    <x v="221"/>
    <x v="10"/>
    <x v="2693"/>
    <x v="1"/>
  </r>
  <r>
    <x v="165"/>
    <x v="32"/>
    <x v="1779"/>
    <x v="7"/>
    <x v="422"/>
    <x v="7"/>
    <x v="2"/>
    <x v="4"/>
    <x v="221"/>
    <x v="10"/>
    <x v="2694"/>
    <x v="1"/>
  </r>
  <r>
    <x v="165"/>
    <x v="32"/>
    <x v="765"/>
    <x v="5"/>
    <x v="422"/>
    <x v="7"/>
    <x v="2"/>
    <x v="4"/>
    <x v="221"/>
    <x v="10"/>
    <x v="2695"/>
    <x v="1"/>
  </r>
  <r>
    <x v="165"/>
    <x v="37"/>
    <x v="40"/>
    <x v="3"/>
    <x v="523"/>
    <x v="7"/>
    <x v="0"/>
    <x v="2"/>
    <x v="96"/>
    <x v="12"/>
    <x v="2696"/>
    <x v="1"/>
  </r>
  <r>
    <x v="166"/>
    <x v="12"/>
    <x v="345"/>
    <x v="0"/>
    <x v="17"/>
    <x v="7"/>
    <x v="1"/>
    <x v="4"/>
    <x v="221"/>
    <x v="5"/>
    <x v="2697"/>
    <x v="1"/>
  </r>
  <r>
    <x v="166"/>
    <x v="9"/>
    <x v="1418"/>
    <x v="0"/>
    <x v="229"/>
    <x v="7"/>
    <x v="0"/>
    <x v="0"/>
    <x v="102"/>
    <x v="5"/>
    <x v="2698"/>
    <x v="1"/>
  </r>
  <r>
    <x v="166"/>
    <x v="20"/>
    <x v="1368"/>
    <x v="0"/>
    <x v="61"/>
    <x v="7"/>
    <x v="0"/>
    <x v="0"/>
    <x v="102"/>
    <x v="5"/>
    <x v="2699"/>
    <x v="1"/>
  </r>
  <r>
    <x v="166"/>
    <x v="25"/>
    <x v="40"/>
    <x v="3"/>
    <x v="523"/>
    <x v="7"/>
    <x v="0"/>
    <x v="2"/>
    <x v="97"/>
    <x v="12"/>
    <x v="2700"/>
    <x v="1"/>
  </r>
  <r>
    <x v="166"/>
    <x v="1"/>
    <x v="158"/>
    <x v="3"/>
    <x v="431"/>
    <x v="7"/>
    <x v="0"/>
    <x v="2"/>
    <x v="97"/>
    <x v="4"/>
    <x v="2701"/>
    <x v="1"/>
  </r>
  <r>
    <x v="166"/>
    <x v="38"/>
    <x v="82"/>
    <x v="0"/>
    <x v="500"/>
    <x v="7"/>
    <x v="1"/>
    <x v="4"/>
    <x v="221"/>
    <x v="5"/>
    <x v="2702"/>
    <x v="1"/>
  </r>
  <r>
    <x v="166"/>
    <x v="0"/>
    <x v="1146"/>
    <x v="0"/>
    <x v="351"/>
    <x v="7"/>
    <x v="0"/>
    <x v="3"/>
    <x v="97"/>
    <x v="9"/>
    <x v="2703"/>
    <x v="1"/>
  </r>
  <r>
    <x v="166"/>
    <x v="0"/>
    <x v="1483"/>
    <x v="0"/>
    <x v="447"/>
    <x v="7"/>
    <x v="0"/>
    <x v="3"/>
    <x v="97"/>
    <x v="9"/>
    <x v="2704"/>
    <x v="1"/>
  </r>
  <r>
    <x v="166"/>
    <x v="37"/>
    <x v="44"/>
    <x v="3"/>
    <x v="523"/>
    <x v="7"/>
    <x v="0"/>
    <x v="2"/>
    <x v="97"/>
    <x v="12"/>
    <x v="2705"/>
    <x v="1"/>
  </r>
  <r>
    <x v="166"/>
    <x v="32"/>
    <x v="1144"/>
    <x v="3"/>
    <x v="422"/>
    <x v="7"/>
    <x v="2"/>
    <x v="4"/>
    <x v="221"/>
    <x v="10"/>
    <x v="2706"/>
    <x v="1"/>
  </r>
  <r>
    <x v="166"/>
    <x v="32"/>
    <x v="264"/>
    <x v="2"/>
    <x v="422"/>
    <x v="7"/>
    <x v="2"/>
    <x v="4"/>
    <x v="221"/>
    <x v="10"/>
    <x v="2707"/>
    <x v="1"/>
  </r>
  <r>
    <x v="166"/>
    <x v="32"/>
    <x v="392"/>
    <x v="6"/>
    <x v="422"/>
    <x v="7"/>
    <x v="2"/>
    <x v="4"/>
    <x v="221"/>
    <x v="10"/>
    <x v="2708"/>
    <x v="1"/>
  </r>
  <r>
    <x v="166"/>
    <x v="32"/>
    <x v="1832"/>
    <x v="7"/>
    <x v="422"/>
    <x v="7"/>
    <x v="2"/>
    <x v="4"/>
    <x v="221"/>
    <x v="10"/>
    <x v="2709"/>
    <x v="1"/>
  </r>
  <r>
    <x v="166"/>
    <x v="32"/>
    <x v="979"/>
    <x v="5"/>
    <x v="533"/>
    <x v="7"/>
    <x v="2"/>
    <x v="4"/>
    <x v="221"/>
    <x v="10"/>
    <x v="2710"/>
    <x v="1"/>
  </r>
  <r>
    <x v="167"/>
    <x v="12"/>
    <x v="335"/>
    <x v="0"/>
    <x v="17"/>
    <x v="7"/>
    <x v="1"/>
    <x v="4"/>
    <x v="221"/>
    <x v="5"/>
    <x v="2711"/>
    <x v="1"/>
  </r>
  <r>
    <x v="167"/>
    <x v="8"/>
    <x v="475"/>
    <x v="0"/>
    <x v="241"/>
    <x v="7"/>
    <x v="0"/>
    <x v="0"/>
    <x v="108"/>
    <x v="5"/>
    <x v="2712"/>
    <x v="1"/>
  </r>
  <r>
    <x v="167"/>
    <x v="9"/>
    <x v="1342"/>
    <x v="0"/>
    <x v="229"/>
    <x v="7"/>
    <x v="0"/>
    <x v="0"/>
    <x v="102"/>
    <x v="5"/>
    <x v="2713"/>
    <x v="1"/>
  </r>
  <r>
    <x v="167"/>
    <x v="20"/>
    <x v="924"/>
    <x v="0"/>
    <x v="61"/>
    <x v="7"/>
    <x v="0"/>
    <x v="0"/>
    <x v="105"/>
    <x v="5"/>
    <x v="2714"/>
    <x v="1"/>
  </r>
  <r>
    <x v="167"/>
    <x v="38"/>
    <x v="262"/>
    <x v="0"/>
    <x v="500"/>
    <x v="7"/>
    <x v="1"/>
    <x v="4"/>
    <x v="221"/>
    <x v="5"/>
    <x v="2715"/>
    <x v="1"/>
  </r>
  <r>
    <x v="167"/>
    <x v="27"/>
    <x v="191"/>
    <x v="1"/>
    <x v="5"/>
    <x v="7"/>
    <x v="0"/>
    <x v="2"/>
    <x v="98"/>
    <x v="5"/>
    <x v="2716"/>
    <x v="1"/>
  </r>
  <r>
    <x v="167"/>
    <x v="20"/>
    <x v="65"/>
    <x v="1"/>
    <x v="416"/>
    <x v="7"/>
    <x v="0"/>
    <x v="2"/>
    <x v="98"/>
    <x v="5"/>
    <x v="2717"/>
    <x v="1"/>
  </r>
  <r>
    <x v="167"/>
    <x v="32"/>
    <x v="840"/>
    <x v="3"/>
    <x v="422"/>
    <x v="7"/>
    <x v="2"/>
    <x v="4"/>
    <x v="221"/>
    <x v="10"/>
    <x v="2718"/>
    <x v="1"/>
  </r>
  <r>
    <x v="167"/>
    <x v="32"/>
    <x v="216"/>
    <x v="2"/>
    <x v="422"/>
    <x v="7"/>
    <x v="2"/>
    <x v="4"/>
    <x v="221"/>
    <x v="10"/>
    <x v="2719"/>
    <x v="1"/>
  </r>
  <r>
    <x v="167"/>
    <x v="32"/>
    <x v="682"/>
    <x v="6"/>
    <x v="422"/>
    <x v="7"/>
    <x v="2"/>
    <x v="4"/>
    <x v="221"/>
    <x v="10"/>
    <x v="2720"/>
    <x v="1"/>
  </r>
  <r>
    <x v="167"/>
    <x v="32"/>
    <x v="1905"/>
    <x v="7"/>
    <x v="422"/>
    <x v="7"/>
    <x v="2"/>
    <x v="4"/>
    <x v="221"/>
    <x v="10"/>
    <x v="2721"/>
    <x v="1"/>
  </r>
  <r>
    <x v="167"/>
    <x v="32"/>
    <x v="1490"/>
    <x v="5"/>
    <x v="533"/>
    <x v="7"/>
    <x v="2"/>
    <x v="4"/>
    <x v="221"/>
    <x v="10"/>
    <x v="2722"/>
    <x v="1"/>
  </r>
  <r>
    <x v="167"/>
    <x v="37"/>
    <x v="42"/>
    <x v="3"/>
    <x v="523"/>
    <x v="7"/>
    <x v="0"/>
    <x v="2"/>
    <x v="98"/>
    <x v="12"/>
    <x v="2723"/>
    <x v="1"/>
  </r>
  <r>
    <x v="168"/>
    <x v="38"/>
    <x v="262"/>
    <x v="0"/>
    <x v="500"/>
    <x v="7"/>
    <x v="1"/>
    <x v="4"/>
    <x v="221"/>
    <x v="5"/>
    <x v="2724"/>
    <x v="1"/>
  </r>
  <r>
    <x v="168"/>
    <x v="20"/>
    <x v="413"/>
    <x v="0"/>
    <x v="61"/>
    <x v="7"/>
    <x v="0"/>
    <x v="0"/>
    <x v="105"/>
    <x v="5"/>
    <x v="2725"/>
    <x v="1"/>
  </r>
  <r>
    <x v="168"/>
    <x v="1"/>
    <x v="90"/>
    <x v="1"/>
    <x v="431"/>
    <x v="7"/>
    <x v="0"/>
    <x v="2"/>
    <x v="99"/>
    <x v="4"/>
    <x v="2726"/>
    <x v="1"/>
  </r>
  <r>
    <x v="168"/>
    <x v="12"/>
    <x v="651"/>
    <x v="0"/>
    <x v="17"/>
    <x v="7"/>
    <x v="1"/>
    <x v="4"/>
    <x v="221"/>
    <x v="5"/>
    <x v="2727"/>
    <x v="1"/>
  </r>
  <r>
    <x v="168"/>
    <x v="20"/>
    <x v="375"/>
    <x v="1"/>
    <x v="70"/>
    <x v="7"/>
    <x v="0"/>
    <x v="2"/>
    <x v="99"/>
    <x v="5"/>
    <x v="2728"/>
    <x v="1"/>
  </r>
  <r>
    <x v="168"/>
    <x v="24"/>
    <x v="65"/>
    <x v="1"/>
    <x v="336"/>
    <x v="7"/>
    <x v="0"/>
    <x v="2"/>
    <x v="99"/>
    <x v="6"/>
    <x v="2729"/>
    <x v="1"/>
  </r>
  <r>
    <x v="168"/>
    <x v="20"/>
    <x v="1090"/>
    <x v="1"/>
    <x v="253"/>
    <x v="7"/>
    <x v="0"/>
    <x v="2"/>
    <x v="99"/>
    <x v="5"/>
    <x v="2730"/>
    <x v="1"/>
  </r>
  <r>
    <x v="168"/>
    <x v="13"/>
    <x v="431"/>
    <x v="0"/>
    <x v="32"/>
    <x v="7"/>
    <x v="0"/>
    <x v="4"/>
    <x v="110"/>
    <x v="5"/>
    <x v="2731"/>
    <x v="1"/>
  </r>
  <r>
    <x v="168"/>
    <x v="20"/>
    <x v="49"/>
    <x v="1"/>
    <x v="381"/>
    <x v="7"/>
    <x v="0"/>
    <x v="2"/>
    <x v="99"/>
    <x v="5"/>
    <x v="2732"/>
    <x v="1"/>
  </r>
  <r>
    <x v="168"/>
    <x v="19"/>
    <x v="778"/>
    <x v="0"/>
    <x v="474"/>
    <x v="7"/>
    <x v="0"/>
    <x v="0"/>
    <x v="115"/>
    <x v="3"/>
    <x v="2733"/>
    <x v="1"/>
  </r>
  <r>
    <x v="168"/>
    <x v="15"/>
    <x v="464"/>
    <x v="3"/>
    <x v="353"/>
    <x v="7"/>
    <x v="0"/>
    <x v="2"/>
    <x v="99"/>
    <x v="4"/>
    <x v="2734"/>
    <x v="1"/>
  </r>
  <r>
    <x v="168"/>
    <x v="32"/>
    <x v="851"/>
    <x v="3"/>
    <x v="422"/>
    <x v="7"/>
    <x v="2"/>
    <x v="4"/>
    <x v="221"/>
    <x v="10"/>
    <x v="2735"/>
    <x v="1"/>
  </r>
  <r>
    <x v="168"/>
    <x v="32"/>
    <x v="87"/>
    <x v="4"/>
    <x v="286"/>
    <x v="7"/>
    <x v="2"/>
    <x v="4"/>
    <x v="221"/>
    <x v="10"/>
    <x v="2736"/>
    <x v="1"/>
  </r>
  <r>
    <x v="168"/>
    <x v="32"/>
    <x v="194"/>
    <x v="6"/>
    <x v="422"/>
    <x v="7"/>
    <x v="2"/>
    <x v="4"/>
    <x v="221"/>
    <x v="10"/>
    <x v="2737"/>
    <x v="1"/>
  </r>
  <r>
    <x v="168"/>
    <x v="32"/>
    <x v="1692"/>
    <x v="7"/>
    <x v="422"/>
    <x v="7"/>
    <x v="2"/>
    <x v="4"/>
    <x v="221"/>
    <x v="10"/>
    <x v="2738"/>
    <x v="1"/>
  </r>
  <r>
    <x v="168"/>
    <x v="32"/>
    <x v="636"/>
    <x v="5"/>
    <x v="422"/>
    <x v="7"/>
    <x v="2"/>
    <x v="4"/>
    <x v="221"/>
    <x v="10"/>
    <x v="2739"/>
    <x v="1"/>
  </r>
  <r>
    <x v="168"/>
    <x v="9"/>
    <x v="1535"/>
    <x v="0"/>
    <x v="229"/>
    <x v="7"/>
    <x v="0"/>
    <x v="0"/>
    <x v="105"/>
    <x v="5"/>
    <x v="2740"/>
    <x v="1"/>
  </r>
  <r>
    <x v="168"/>
    <x v="32"/>
    <x v="560"/>
    <x v="2"/>
    <x v="422"/>
    <x v="7"/>
    <x v="2"/>
    <x v="4"/>
    <x v="221"/>
    <x v="10"/>
    <x v="2741"/>
    <x v="1"/>
  </r>
  <r>
    <x v="168"/>
    <x v="37"/>
    <x v="40"/>
    <x v="3"/>
    <x v="523"/>
    <x v="7"/>
    <x v="0"/>
    <x v="2"/>
    <x v="99"/>
    <x v="12"/>
    <x v="2742"/>
    <x v="1"/>
  </r>
  <r>
    <x v="169"/>
    <x v="8"/>
    <x v="816"/>
    <x v="0"/>
    <x v="241"/>
    <x v="7"/>
    <x v="0"/>
    <x v="0"/>
    <x v="108"/>
    <x v="5"/>
    <x v="2743"/>
    <x v="1"/>
  </r>
  <r>
    <x v="169"/>
    <x v="1"/>
    <x v="90"/>
    <x v="1"/>
    <x v="431"/>
    <x v="7"/>
    <x v="0"/>
    <x v="4"/>
    <x v="221"/>
    <x v="4"/>
    <x v="2744"/>
    <x v="1"/>
  </r>
  <r>
    <x v="169"/>
    <x v="20"/>
    <x v="819"/>
    <x v="0"/>
    <x v="61"/>
    <x v="7"/>
    <x v="0"/>
    <x v="0"/>
    <x v="105"/>
    <x v="5"/>
    <x v="2745"/>
    <x v="1"/>
  </r>
  <r>
    <x v="169"/>
    <x v="12"/>
    <x v="335"/>
    <x v="0"/>
    <x v="17"/>
    <x v="7"/>
    <x v="1"/>
    <x v="4"/>
    <x v="221"/>
    <x v="5"/>
    <x v="2746"/>
    <x v="1"/>
  </r>
  <r>
    <x v="169"/>
    <x v="9"/>
    <x v="920"/>
    <x v="0"/>
    <x v="229"/>
    <x v="7"/>
    <x v="0"/>
    <x v="0"/>
    <x v="109"/>
    <x v="5"/>
    <x v="2747"/>
    <x v="1"/>
  </r>
  <r>
    <x v="169"/>
    <x v="28"/>
    <x v="138"/>
    <x v="1"/>
    <x v="371"/>
    <x v="7"/>
    <x v="0"/>
    <x v="2"/>
    <x v="100"/>
    <x v="0"/>
    <x v="2748"/>
    <x v="1"/>
  </r>
  <r>
    <x v="169"/>
    <x v="22"/>
    <x v="318"/>
    <x v="1"/>
    <x v="259"/>
    <x v="7"/>
    <x v="0"/>
    <x v="2"/>
    <x v="100"/>
    <x v="3"/>
    <x v="2749"/>
    <x v="1"/>
  </r>
  <r>
    <x v="169"/>
    <x v="32"/>
    <x v="1497"/>
    <x v="3"/>
    <x v="422"/>
    <x v="7"/>
    <x v="2"/>
    <x v="4"/>
    <x v="221"/>
    <x v="10"/>
    <x v="2750"/>
    <x v="1"/>
  </r>
  <r>
    <x v="169"/>
    <x v="32"/>
    <x v="404"/>
    <x v="2"/>
    <x v="422"/>
    <x v="7"/>
    <x v="2"/>
    <x v="4"/>
    <x v="221"/>
    <x v="10"/>
    <x v="2751"/>
    <x v="1"/>
  </r>
  <r>
    <x v="169"/>
    <x v="32"/>
    <x v="117"/>
    <x v="6"/>
    <x v="422"/>
    <x v="7"/>
    <x v="2"/>
    <x v="4"/>
    <x v="221"/>
    <x v="10"/>
    <x v="2752"/>
    <x v="1"/>
  </r>
  <r>
    <x v="169"/>
    <x v="32"/>
    <x v="1950"/>
    <x v="7"/>
    <x v="422"/>
    <x v="7"/>
    <x v="2"/>
    <x v="4"/>
    <x v="221"/>
    <x v="10"/>
    <x v="2753"/>
    <x v="1"/>
  </r>
  <r>
    <x v="169"/>
    <x v="32"/>
    <x v="1052"/>
    <x v="8"/>
    <x v="422"/>
    <x v="7"/>
    <x v="2"/>
    <x v="4"/>
    <x v="221"/>
    <x v="10"/>
    <x v="2754"/>
    <x v="1"/>
  </r>
  <r>
    <x v="169"/>
    <x v="32"/>
    <x v="1200"/>
    <x v="5"/>
    <x v="533"/>
    <x v="7"/>
    <x v="2"/>
    <x v="4"/>
    <x v="221"/>
    <x v="10"/>
    <x v="2755"/>
    <x v="1"/>
  </r>
  <r>
    <x v="169"/>
    <x v="37"/>
    <x v="37"/>
    <x v="3"/>
    <x v="523"/>
    <x v="7"/>
    <x v="0"/>
    <x v="2"/>
    <x v="100"/>
    <x v="12"/>
    <x v="2756"/>
    <x v="1"/>
  </r>
  <r>
    <x v="169"/>
    <x v="38"/>
    <x v="141"/>
    <x v="0"/>
    <x v="500"/>
    <x v="7"/>
    <x v="1"/>
    <x v="4"/>
    <x v="221"/>
    <x v="5"/>
    <x v="2757"/>
    <x v="1"/>
  </r>
  <r>
    <x v="170"/>
    <x v="20"/>
    <x v="542"/>
    <x v="0"/>
    <x v="61"/>
    <x v="7"/>
    <x v="0"/>
    <x v="0"/>
    <x v="110"/>
    <x v="5"/>
    <x v="2758"/>
    <x v="1"/>
  </r>
  <r>
    <x v="170"/>
    <x v="12"/>
    <x v="768"/>
    <x v="0"/>
    <x v="17"/>
    <x v="7"/>
    <x v="1"/>
    <x v="4"/>
    <x v="221"/>
    <x v="5"/>
    <x v="2759"/>
    <x v="1"/>
  </r>
  <r>
    <x v="170"/>
    <x v="38"/>
    <x v="475"/>
    <x v="1"/>
    <x v="389"/>
    <x v="7"/>
    <x v="0"/>
    <x v="2"/>
    <x v="101"/>
    <x v="5"/>
    <x v="2760"/>
    <x v="1"/>
  </r>
  <r>
    <x v="170"/>
    <x v="9"/>
    <x v="1636"/>
    <x v="0"/>
    <x v="229"/>
    <x v="7"/>
    <x v="0"/>
    <x v="0"/>
    <x v="109"/>
    <x v="5"/>
    <x v="2761"/>
    <x v="1"/>
  </r>
  <r>
    <x v="170"/>
    <x v="3"/>
    <x v="599"/>
    <x v="1"/>
    <x v="579"/>
    <x v="7"/>
    <x v="0"/>
    <x v="2"/>
    <x v="101"/>
    <x v="4"/>
    <x v="2762"/>
    <x v="1"/>
  </r>
  <r>
    <x v="170"/>
    <x v="27"/>
    <x v="836"/>
    <x v="1"/>
    <x v="5"/>
    <x v="7"/>
    <x v="0"/>
    <x v="2"/>
    <x v="101"/>
    <x v="5"/>
    <x v="2763"/>
    <x v="1"/>
  </r>
  <r>
    <x v="170"/>
    <x v="12"/>
    <x v="158"/>
    <x v="1"/>
    <x v="406"/>
    <x v="7"/>
    <x v="0"/>
    <x v="2"/>
    <x v="101"/>
    <x v="5"/>
    <x v="2764"/>
    <x v="1"/>
  </r>
  <r>
    <x v="170"/>
    <x v="19"/>
    <x v="778"/>
    <x v="0"/>
    <x v="474"/>
    <x v="7"/>
    <x v="0"/>
    <x v="0"/>
    <x v="115"/>
    <x v="3"/>
    <x v="2765"/>
    <x v="1"/>
  </r>
  <r>
    <x v="170"/>
    <x v="38"/>
    <x v="448"/>
    <x v="0"/>
    <x v="500"/>
    <x v="7"/>
    <x v="1"/>
    <x v="4"/>
    <x v="221"/>
    <x v="5"/>
    <x v="2766"/>
    <x v="1"/>
  </r>
  <r>
    <x v="170"/>
    <x v="32"/>
    <x v="1454"/>
    <x v="3"/>
    <x v="422"/>
    <x v="7"/>
    <x v="2"/>
    <x v="4"/>
    <x v="221"/>
    <x v="10"/>
    <x v="2767"/>
    <x v="1"/>
  </r>
  <r>
    <x v="170"/>
    <x v="32"/>
    <x v="502"/>
    <x v="2"/>
    <x v="422"/>
    <x v="7"/>
    <x v="2"/>
    <x v="4"/>
    <x v="221"/>
    <x v="10"/>
    <x v="2768"/>
    <x v="1"/>
  </r>
  <r>
    <x v="170"/>
    <x v="32"/>
    <x v="100"/>
    <x v="6"/>
    <x v="422"/>
    <x v="7"/>
    <x v="2"/>
    <x v="4"/>
    <x v="221"/>
    <x v="10"/>
    <x v="2769"/>
    <x v="1"/>
  </r>
  <r>
    <x v="170"/>
    <x v="32"/>
    <x v="1971"/>
    <x v="7"/>
    <x v="422"/>
    <x v="7"/>
    <x v="2"/>
    <x v="4"/>
    <x v="221"/>
    <x v="10"/>
    <x v="2770"/>
    <x v="1"/>
  </r>
  <r>
    <x v="170"/>
    <x v="32"/>
    <x v="1086"/>
    <x v="5"/>
    <x v="533"/>
    <x v="7"/>
    <x v="2"/>
    <x v="4"/>
    <x v="221"/>
    <x v="10"/>
    <x v="2771"/>
    <x v="1"/>
  </r>
  <r>
    <x v="170"/>
    <x v="1"/>
    <x v="90"/>
    <x v="1"/>
    <x v="431"/>
    <x v="7"/>
    <x v="0"/>
    <x v="2"/>
    <x v="101"/>
    <x v="4"/>
    <x v="2772"/>
    <x v="1"/>
  </r>
  <r>
    <x v="170"/>
    <x v="0"/>
    <x v="256"/>
    <x v="3"/>
    <x v="566"/>
    <x v="7"/>
    <x v="0"/>
    <x v="2"/>
    <x v="101"/>
    <x v="9"/>
    <x v="2773"/>
    <x v="1"/>
  </r>
  <r>
    <x v="170"/>
    <x v="0"/>
    <x v="256"/>
    <x v="3"/>
    <x v="453"/>
    <x v="7"/>
    <x v="0"/>
    <x v="2"/>
    <x v="101"/>
    <x v="9"/>
    <x v="2774"/>
    <x v="1"/>
  </r>
  <r>
    <x v="170"/>
    <x v="37"/>
    <x v="47"/>
    <x v="3"/>
    <x v="523"/>
    <x v="7"/>
    <x v="0"/>
    <x v="2"/>
    <x v="101"/>
    <x v="12"/>
    <x v="2775"/>
    <x v="1"/>
  </r>
  <r>
    <x v="170"/>
    <x v="20"/>
    <x v="109"/>
    <x v="0"/>
    <x v="61"/>
    <x v="7"/>
    <x v="0"/>
    <x v="0"/>
    <x v="116"/>
    <x v="5"/>
    <x v="2776"/>
    <x v="1"/>
  </r>
  <r>
    <x v="171"/>
    <x v="12"/>
    <x v="773"/>
    <x v="0"/>
    <x v="17"/>
    <x v="7"/>
    <x v="1"/>
    <x v="4"/>
    <x v="221"/>
    <x v="5"/>
    <x v="2777"/>
    <x v="1"/>
  </r>
  <r>
    <x v="171"/>
    <x v="20"/>
    <x v="1448"/>
    <x v="0"/>
    <x v="61"/>
    <x v="7"/>
    <x v="0"/>
    <x v="0"/>
    <x v="110"/>
    <x v="5"/>
    <x v="2778"/>
    <x v="1"/>
  </r>
  <r>
    <x v="171"/>
    <x v="20"/>
    <x v="49"/>
    <x v="1"/>
    <x v="381"/>
    <x v="7"/>
    <x v="0"/>
    <x v="2"/>
    <x v="102"/>
    <x v="5"/>
    <x v="2779"/>
    <x v="1"/>
  </r>
  <r>
    <x v="171"/>
    <x v="38"/>
    <x v="307"/>
    <x v="0"/>
    <x v="500"/>
    <x v="7"/>
    <x v="1"/>
    <x v="4"/>
    <x v="221"/>
    <x v="5"/>
    <x v="2780"/>
    <x v="1"/>
  </r>
  <r>
    <x v="171"/>
    <x v="1"/>
    <x v="90"/>
    <x v="1"/>
    <x v="431"/>
    <x v="7"/>
    <x v="0"/>
    <x v="2"/>
    <x v="102"/>
    <x v="4"/>
    <x v="2781"/>
    <x v="1"/>
  </r>
  <r>
    <x v="171"/>
    <x v="0"/>
    <x v="256"/>
    <x v="1"/>
    <x v="440"/>
    <x v="7"/>
    <x v="0"/>
    <x v="2"/>
    <x v="102"/>
    <x v="9"/>
    <x v="2782"/>
    <x v="1"/>
  </r>
  <r>
    <x v="171"/>
    <x v="9"/>
    <x v="1325"/>
    <x v="0"/>
    <x v="229"/>
    <x v="7"/>
    <x v="0"/>
    <x v="0"/>
    <x v="109"/>
    <x v="5"/>
    <x v="2783"/>
    <x v="1"/>
  </r>
  <r>
    <x v="171"/>
    <x v="32"/>
    <x v="1630"/>
    <x v="3"/>
    <x v="422"/>
    <x v="7"/>
    <x v="2"/>
    <x v="4"/>
    <x v="221"/>
    <x v="10"/>
    <x v="2784"/>
    <x v="1"/>
  </r>
  <r>
    <x v="171"/>
    <x v="32"/>
    <x v="164"/>
    <x v="2"/>
    <x v="422"/>
    <x v="7"/>
    <x v="2"/>
    <x v="4"/>
    <x v="221"/>
    <x v="10"/>
    <x v="2785"/>
    <x v="1"/>
  </r>
  <r>
    <x v="171"/>
    <x v="32"/>
    <x v="1187"/>
    <x v="6"/>
    <x v="422"/>
    <x v="7"/>
    <x v="2"/>
    <x v="4"/>
    <x v="221"/>
    <x v="10"/>
    <x v="2786"/>
    <x v="1"/>
  </r>
  <r>
    <x v="171"/>
    <x v="32"/>
    <x v="1775"/>
    <x v="7"/>
    <x v="422"/>
    <x v="7"/>
    <x v="2"/>
    <x v="4"/>
    <x v="221"/>
    <x v="10"/>
    <x v="2787"/>
    <x v="1"/>
  </r>
  <r>
    <x v="171"/>
    <x v="32"/>
    <x v="292"/>
    <x v="8"/>
    <x v="422"/>
    <x v="7"/>
    <x v="2"/>
    <x v="4"/>
    <x v="221"/>
    <x v="10"/>
    <x v="2788"/>
    <x v="1"/>
  </r>
  <r>
    <x v="171"/>
    <x v="32"/>
    <x v="968"/>
    <x v="5"/>
    <x v="533"/>
    <x v="7"/>
    <x v="2"/>
    <x v="4"/>
    <x v="221"/>
    <x v="10"/>
    <x v="2789"/>
    <x v="1"/>
  </r>
  <r>
    <x v="171"/>
    <x v="0"/>
    <x v="1146"/>
    <x v="1"/>
    <x v="172"/>
    <x v="7"/>
    <x v="0"/>
    <x v="2"/>
    <x v="102"/>
    <x v="9"/>
    <x v="2790"/>
    <x v="1"/>
  </r>
  <r>
    <x v="171"/>
    <x v="37"/>
    <x v="46"/>
    <x v="3"/>
    <x v="523"/>
    <x v="7"/>
    <x v="0"/>
    <x v="2"/>
    <x v="102"/>
    <x v="12"/>
    <x v="2791"/>
    <x v="1"/>
  </r>
  <r>
    <x v="172"/>
    <x v="20"/>
    <x v="87"/>
    <x v="0"/>
    <x v="61"/>
    <x v="7"/>
    <x v="0"/>
    <x v="0"/>
    <x v="112"/>
    <x v="5"/>
    <x v="2792"/>
    <x v="1"/>
  </r>
  <r>
    <x v="172"/>
    <x v="19"/>
    <x v="778"/>
    <x v="0"/>
    <x v="474"/>
    <x v="7"/>
    <x v="0"/>
    <x v="0"/>
    <x v="115"/>
    <x v="3"/>
    <x v="2793"/>
    <x v="1"/>
  </r>
  <r>
    <x v="172"/>
    <x v="38"/>
    <x v="146"/>
    <x v="0"/>
    <x v="500"/>
    <x v="7"/>
    <x v="1"/>
    <x v="4"/>
    <x v="221"/>
    <x v="5"/>
    <x v="2794"/>
    <x v="1"/>
  </r>
  <r>
    <x v="172"/>
    <x v="9"/>
    <x v="1276"/>
    <x v="0"/>
    <x v="229"/>
    <x v="7"/>
    <x v="0"/>
    <x v="0"/>
    <x v="109"/>
    <x v="5"/>
    <x v="2795"/>
    <x v="1"/>
  </r>
  <r>
    <x v="172"/>
    <x v="12"/>
    <x v="499"/>
    <x v="0"/>
    <x v="17"/>
    <x v="7"/>
    <x v="1"/>
    <x v="4"/>
    <x v="221"/>
    <x v="5"/>
    <x v="2796"/>
    <x v="1"/>
  </r>
  <r>
    <x v="172"/>
    <x v="8"/>
    <x v="475"/>
    <x v="0"/>
    <x v="241"/>
    <x v="7"/>
    <x v="0"/>
    <x v="0"/>
    <x v="108"/>
    <x v="5"/>
    <x v="2797"/>
    <x v="1"/>
  </r>
  <r>
    <x v="172"/>
    <x v="1"/>
    <x v="90"/>
    <x v="1"/>
    <x v="431"/>
    <x v="7"/>
    <x v="0"/>
    <x v="2"/>
    <x v="103"/>
    <x v="4"/>
    <x v="2798"/>
    <x v="1"/>
  </r>
  <r>
    <x v="172"/>
    <x v="23"/>
    <x v="27"/>
    <x v="3"/>
    <x v="285"/>
    <x v="7"/>
    <x v="0"/>
    <x v="2"/>
    <x v="103"/>
    <x v="6"/>
    <x v="2799"/>
    <x v="1"/>
  </r>
  <r>
    <x v="172"/>
    <x v="32"/>
    <x v="458"/>
    <x v="3"/>
    <x v="422"/>
    <x v="7"/>
    <x v="2"/>
    <x v="4"/>
    <x v="221"/>
    <x v="10"/>
    <x v="2800"/>
    <x v="1"/>
  </r>
  <r>
    <x v="172"/>
    <x v="32"/>
    <x v="382"/>
    <x v="2"/>
    <x v="422"/>
    <x v="7"/>
    <x v="2"/>
    <x v="4"/>
    <x v="221"/>
    <x v="10"/>
    <x v="2801"/>
    <x v="1"/>
  </r>
  <r>
    <x v="172"/>
    <x v="32"/>
    <x v="74"/>
    <x v="6"/>
    <x v="422"/>
    <x v="7"/>
    <x v="2"/>
    <x v="4"/>
    <x v="221"/>
    <x v="10"/>
    <x v="2802"/>
    <x v="1"/>
  </r>
  <r>
    <x v="172"/>
    <x v="32"/>
    <x v="1624"/>
    <x v="7"/>
    <x v="422"/>
    <x v="7"/>
    <x v="2"/>
    <x v="4"/>
    <x v="221"/>
    <x v="10"/>
    <x v="2803"/>
    <x v="1"/>
  </r>
  <r>
    <x v="172"/>
    <x v="32"/>
    <x v="816"/>
    <x v="5"/>
    <x v="533"/>
    <x v="7"/>
    <x v="2"/>
    <x v="4"/>
    <x v="221"/>
    <x v="10"/>
    <x v="2804"/>
    <x v="1"/>
  </r>
  <r>
    <x v="173"/>
    <x v="9"/>
    <x v="849"/>
    <x v="0"/>
    <x v="229"/>
    <x v="7"/>
    <x v="0"/>
    <x v="0"/>
    <x v="109"/>
    <x v="5"/>
    <x v="2805"/>
    <x v="1"/>
  </r>
  <r>
    <x v="173"/>
    <x v="38"/>
    <x v="45"/>
    <x v="0"/>
    <x v="500"/>
    <x v="7"/>
    <x v="1"/>
    <x v="4"/>
    <x v="221"/>
    <x v="5"/>
    <x v="2806"/>
    <x v="1"/>
  </r>
  <r>
    <x v="173"/>
    <x v="12"/>
    <x v="381"/>
    <x v="0"/>
    <x v="17"/>
    <x v="7"/>
    <x v="1"/>
    <x v="4"/>
    <x v="221"/>
    <x v="5"/>
    <x v="2807"/>
    <x v="1"/>
  </r>
  <r>
    <x v="173"/>
    <x v="20"/>
    <x v="72"/>
    <x v="1"/>
    <x v="381"/>
    <x v="7"/>
    <x v="0"/>
    <x v="2"/>
    <x v="104"/>
    <x v="5"/>
    <x v="2808"/>
    <x v="1"/>
  </r>
  <r>
    <x v="173"/>
    <x v="15"/>
    <x v="527"/>
    <x v="1"/>
    <x v="353"/>
    <x v="7"/>
    <x v="0"/>
    <x v="2"/>
    <x v="104"/>
    <x v="4"/>
    <x v="2809"/>
    <x v="1"/>
  </r>
  <r>
    <x v="173"/>
    <x v="32"/>
    <x v="1156"/>
    <x v="3"/>
    <x v="422"/>
    <x v="7"/>
    <x v="2"/>
    <x v="4"/>
    <x v="221"/>
    <x v="10"/>
    <x v="2810"/>
    <x v="1"/>
  </r>
  <r>
    <x v="173"/>
    <x v="32"/>
    <x v="30"/>
    <x v="6"/>
    <x v="422"/>
    <x v="7"/>
    <x v="2"/>
    <x v="4"/>
    <x v="221"/>
    <x v="10"/>
    <x v="2811"/>
    <x v="1"/>
  </r>
  <r>
    <x v="173"/>
    <x v="32"/>
    <x v="1675"/>
    <x v="7"/>
    <x v="422"/>
    <x v="7"/>
    <x v="2"/>
    <x v="4"/>
    <x v="221"/>
    <x v="10"/>
    <x v="2812"/>
    <x v="1"/>
  </r>
  <r>
    <x v="173"/>
    <x v="32"/>
    <x v="1005"/>
    <x v="5"/>
    <x v="533"/>
    <x v="7"/>
    <x v="2"/>
    <x v="4"/>
    <x v="221"/>
    <x v="10"/>
    <x v="2813"/>
    <x v="1"/>
  </r>
  <r>
    <x v="173"/>
    <x v="37"/>
    <x v="52"/>
    <x v="3"/>
    <x v="523"/>
    <x v="7"/>
    <x v="0"/>
    <x v="2"/>
    <x v="104"/>
    <x v="12"/>
    <x v="2814"/>
    <x v="1"/>
  </r>
  <r>
    <x v="173"/>
    <x v="0"/>
    <x v="45"/>
    <x v="1"/>
    <x v="566"/>
    <x v="7"/>
    <x v="0"/>
    <x v="2"/>
    <x v="104"/>
    <x v="9"/>
    <x v="2815"/>
    <x v="1"/>
  </r>
  <r>
    <x v="174"/>
    <x v="20"/>
    <x v="1190"/>
    <x v="0"/>
    <x v="61"/>
    <x v="7"/>
    <x v="0"/>
    <x v="0"/>
    <x v="112"/>
    <x v="5"/>
    <x v="2816"/>
    <x v="1"/>
  </r>
  <r>
    <x v="174"/>
    <x v="9"/>
    <x v="700"/>
    <x v="0"/>
    <x v="229"/>
    <x v="7"/>
    <x v="0"/>
    <x v="0"/>
    <x v="112"/>
    <x v="5"/>
    <x v="2817"/>
    <x v="1"/>
  </r>
  <r>
    <x v="174"/>
    <x v="8"/>
    <x v="816"/>
    <x v="0"/>
    <x v="241"/>
    <x v="7"/>
    <x v="0"/>
    <x v="0"/>
    <x v="108"/>
    <x v="5"/>
    <x v="2818"/>
    <x v="1"/>
  </r>
  <r>
    <x v="174"/>
    <x v="12"/>
    <x v="284"/>
    <x v="0"/>
    <x v="17"/>
    <x v="7"/>
    <x v="1"/>
    <x v="4"/>
    <x v="221"/>
    <x v="5"/>
    <x v="2819"/>
    <x v="1"/>
  </r>
  <r>
    <x v="174"/>
    <x v="28"/>
    <x v="173"/>
    <x v="1"/>
    <x v="371"/>
    <x v="7"/>
    <x v="0"/>
    <x v="2"/>
    <x v="105"/>
    <x v="0"/>
    <x v="2820"/>
    <x v="1"/>
  </r>
  <r>
    <x v="174"/>
    <x v="13"/>
    <x v="907"/>
    <x v="0"/>
    <x v="32"/>
    <x v="7"/>
    <x v="0"/>
    <x v="2"/>
    <x v="115"/>
    <x v="5"/>
    <x v="2821"/>
    <x v="1"/>
  </r>
  <r>
    <x v="174"/>
    <x v="12"/>
    <x v="299"/>
    <x v="1"/>
    <x v="408"/>
    <x v="7"/>
    <x v="0"/>
    <x v="2"/>
    <x v="105"/>
    <x v="5"/>
    <x v="2822"/>
    <x v="1"/>
  </r>
  <r>
    <x v="174"/>
    <x v="20"/>
    <x v="375"/>
    <x v="1"/>
    <x v="70"/>
    <x v="7"/>
    <x v="0"/>
    <x v="2"/>
    <x v="105"/>
    <x v="5"/>
    <x v="2823"/>
    <x v="1"/>
  </r>
  <r>
    <x v="174"/>
    <x v="1"/>
    <x v="90"/>
    <x v="1"/>
    <x v="431"/>
    <x v="7"/>
    <x v="0"/>
    <x v="2"/>
    <x v="105"/>
    <x v="4"/>
    <x v="2824"/>
    <x v="1"/>
  </r>
  <r>
    <x v="174"/>
    <x v="38"/>
    <x v="148"/>
    <x v="0"/>
    <x v="500"/>
    <x v="7"/>
    <x v="1"/>
    <x v="4"/>
    <x v="221"/>
    <x v="5"/>
    <x v="2825"/>
    <x v="1"/>
  </r>
  <r>
    <x v="174"/>
    <x v="19"/>
    <x v="778"/>
    <x v="0"/>
    <x v="474"/>
    <x v="7"/>
    <x v="0"/>
    <x v="0"/>
    <x v="115"/>
    <x v="3"/>
    <x v="2826"/>
    <x v="1"/>
  </r>
  <r>
    <x v="174"/>
    <x v="26"/>
    <x v="90"/>
    <x v="1"/>
    <x v="344"/>
    <x v="7"/>
    <x v="0"/>
    <x v="2"/>
    <x v="105"/>
    <x v="5"/>
    <x v="2827"/>
    <x v="1"/>
  </r>
  <r>
    <x v="174"/>
    <x v="39"/>
    <x v="857"/>
    <x v="0"/>
    <x v="578"/>
    <x v="7"/>
    <x v="0"/>
    <x v="0"/>
    <x v="105"/>
    <x v="5"/>
    <x v="2828"/>
    <x v="1"/>
  </r>
  <r>
    <x v="174"/>
    <x v="32"/>
    <x v="1523"/>
    <x v="3"/>
    <x v="422"/>
    <x v="7"/>
    <x v="2"/>
    <x v="4"/>
    <x v="221"/>
    <x v="10"/>
    <x v="2829"/>
    <x v="1"/>
  </r>
  <r>
    <x v="174"/>
    <x v="32"/>
    <x v="210"/>
    <x v="2"/>
    <x v="422"/>
    <x v="7"/>
    <x v="2"/>
    <x v="4"/>
    <x v="221"/>
    <x v="10"/>
    <x v="2830"/>
    <x v="1"/>
  </r>
  <r>
    <x v="174"/>
    <x v="32"/>
    <x v="42"/>
    <x v="6"/>
    <x v="422"/>
    <x v="7"/>
    <x v="2"/>
    <x v="4"/>
    <x v="221"/>
    <x v="10"/>
    <x v="2831"/>
    <x v="1"/>
  </r>
  <r>
    <x v="174"/>
    <x v="32"/>
    <x v="1802"/>
    <x v="7"/>
    <x v="422"/>
    <x v="7"/>
    <x v="2"/>
    <x v="4"/>
    <x v="221"/>
    <x v="10"/>
    <x v="2832"/>
    <x v="1"/>
  </r>
  <r>
    <x v="174"/>
    <x v="32"/>
    <x v="632"/>
    <x v="5"/>
    <x v="533"/>
    <x v="7"/>
    <x v="2"/>
    <x v="4"/>
    <x v="221"/>
    <x v="10"/>
    <x v="2833"/>
    <x v="1"/>
  </r>
  <r>
    <x v="174"/>
    <x v="37"/>
    <x v="32"/>
    <x v="3"/>
    <x v="523"/>
    <x v="7"/>
    <x v="0"/>
    <x v="2"/>
    <x v="105"/>
    <x v="12"/>
    <x v="2834"/>
    <x v="1"/>
  </r>
  <r>
    <x v="175"/>
    <x v="9"/>
    <x v="1312"/>
    <x v="0"/>
    <x v="229"/>
    <x v="7"/>
    <x v="0"/>
    <x v="0"/>
    <x v="112"/>
    <x v="5"/>
    <x v="2835"/>
    <x v="1"/>
  </r>
  <r>
    <x v="175"/>
    <x v="20"/>
    <x v="1120"/>
    <x v="0"/>
    <x v="61"/>
    <x v="7"/>
    <x v="0"/>
    <x v="0"/>
    <x v="112"/>
    <x v="5"/>
    <x v="2836"/>
    <x v="1"/>
  </r>
  <r>
    <x v="175"/>
    <x v="12"/>
    <x v="698"/>
    <x v="0"/>
    <x v="17"/>
    <x v="7"/>
    <x v="1"/>
    <x v="4"/>
    <x v="221"/>
    <x v="5"/>
    <x v="2837"/>
    <x v="1"/>
  </r>
  <r>
    <x v="175"/>
    <x v="1"/>
    <x v="158"/>
    <x v="1"/>
    <x v="431"/>
    <x v="7"/>
    <x v="0"/>
    <x v="2"/>
    <x v="106"/>
    <x v="4"/>
    <x v="2838"/>
    <x v="1"/>
  </r>
  <r>
    <x v="175"/>
    <x v="3"/>
    <x v="599"/>
    <x v="1"/>
    <x v="579"/>
    <x v="7"/>
    <x v="0"/>
    <x v="2"/>
    <x v="106"/>
    <x v="4"/>
    <x v="2839"/>
    <x v="1"/>
  </r>
  <r>
    <x v="175"/>
    <x v="24"/>
    <x v="27"/>
    <x v="1"/>
    <x v="584"/>
    <x v="7"/>
    <x v="0"/>
    <x v="2"/>
    <x v="106"/>
    <x v="6"/>
    <x v="2840"/>
    <x v="1"/>
  </r>
  <r>
    <x v="175"/>
    <x v="38"/>
    <x v="103"/>
    <x v="0"/>
    <x v="500"/>
    <x v="7"/>
    <x v="1"/>
    <x v="4"/>
    <x v="221"/>
    <x v="5"/>
    <x v="2841"/>
    <x v="1"/>
  </r>
  <r>
    <x v="175"/>
    <x v="23"/>
    <x v="45"/>
    <x v="1"/>
    <x v="285"/>
    <x v="7"/>
    <x v="0"/>
    <x v="2"/>
    <x v="106"/>
    <x v="6"/>
    <x v="2842"/>
    <x v="1"/>
  </r>
  <r>
    <x v="175"/>
    <x v="32"/>
    <x v="1271"/>
    <x v="3"/>
    <x v="422"/>
    <x v="7"/>
    <x v="2"/>
    <x v="4"/>
    <x v="221"/>
    <x v="10"/>
    <x v="2843"/>
    <x v="1"/>
  </r>
  <r>
    <x v="175"/>
    <x v="32"/>
    <x v="572"/>
    <x v="2"/>
    <x v="422"/>
    <x v="7"/>
    <x v="2"/>
    <x v="4"/>
    <x v="221"/>
    <x v="10"/>
    <x v="2844"/>
    <x v="1"/>
  </r>
  <r>
    <x v="175"/>
    <x v="32"/>
    <x v="256"/>
    <x v="6"/>
    <x v="422"/>
    <x v="7"/>
    <x v="2"/>
    <x v="4"/>
    <x v="221"/>
    <x v="10"/>
    <x v="2845"/>
    <x v="1"/>
  </r>
  <r>
    <x v="175"/>
    <x v="32"/>
    <x v="1625"/>
    <x v="7"/>
    <x v="422"/>
    <x v="7"/>
    <x v="2"/>
    <x v="4"/>
    <x v="221"/>
    <x v="10"/>
    <x v="2846"/>
    <x v="1"/>
  </r>
  <r>
    <x v="175"/>
    <x v="32"/>
    <x v="456"/>
    <x v="5"/>
    <x v="422"/>
    <x v="7"/>
    <x v="2"/>
    <x v="4"/>
    <x v="221"/>
    <x v="10"/>
    <x v="2847"/>
    <x v="1"/>
  </r>
  <r>
    <x v="175"/>
    <x v="37"/>
    <x v="28"/>
    <x v="3"/>
    <x v="533"/>
    <x v="7"/>
    <x v="0"/>
    <x v="2"/>
    <x v="106"/>
    <x v="12"/>
    <x v="2848"/>
    <x v="1"/>
  </r>
  <r>
    <x v="176"/>
    <x v="20"/>
    <x v="345"/>
    <x v="0"/>
    <x v="61"/>
    <x v="7"/>
    <x v="0"/>
    <x v="0"/>
    <x v="112"/>
    <x v="5"/>
    <x v="2849"/>
    <x v="1"/>
  </r>
  <r>
    <x v="176"/>
    <x v="8"/>
    <x v="475"/>
    <x v="0"/>
    <x v="241"/>
    <x v="7"/>
    <x v="0"/>
    <x v="0"/>
    <x v="121"/>
    <x v="5"/>
    <x v="2850"/>
    <x v="1"/>
  </r>
  <r>
    <x v="176"/>
    <x v="12"/>
    <x v="323"/>
    <x v="0"/>
    <x v="17"/>
    <x v="7"/>
    <x v="1"/>
    <x v="4"/>
    <x v="221"/>
    <x v="5"/>
    <x v="2851"/>
    <x v="1"/>
  </r>
  <r>
    <x v="176"/>
    <x v="20"/>
    <x v="49"/>
    <x v="1"/>
    <x v="381"/>
    <x v="7"/>
    <x v="0"/>
    <x v="2"/>
    <x v="107"/>
    <x v="5"/>
    <x v="2852"/>
    <x v="1"/>
  </r>
  <r>
    <x v="176"/>
    <x v="9"/>
    <x v="864"/>
    <x v="0"/>
    <x v="229"/>
    <x v="7"/>
    <x v="0"/>
    <x v="0"/>
    <x v="112"/>
    <x v="5"/>
    <x v="2853"/>
    <x v="1"/>
  </r>
  <r>
    <x v="176"/>
    <x v="27"/>
    <x v="709"/>
    <x v="1"/>
    <x v="5"/>
    <x v="7"/>
    <x v="0"/>
    <x v="2"/>
    <x v="107"/>
    <x v="5"/>
    <x v="2854"/>
    <x v="1"/>
  </r>
  <r>
    <x v="176"/>
    <x v="38"/>
    <x v="282"/>
    <x v="0"/>
    <x v="500"/>
    <x v="7"/>
    <x v="1"/>
    <x v="4"/>
    <x v="221"/>
    <x v="5"/>
    <x v="2855"/>
    <x v="1"/>
  </r>
  <r>
    <x v="176"/>
    <x v="19"/>
    <x v="778"/>
    <x v="0"/>
    <x v="474"/>
    <x v="7"/>
    <x v="0"/>
    <x v="0"/>
    <x v="115"/>
    <x v="3"/>
    <x v="2856"/>
    <x v="1"/>
  </r>
  <r>
    <x v="176"/>
    <x v="32"/>
    <x v="390"/>
    <x v="3"/>
    <x v="422"/>
    <x v="7"/>
    <x v="2"/>
    <x v="4"/>
    <x v="221"/>
    <x v="10"/>
    <x v="2857"/>
    <x v="1"/>
  </r>
  <r>
    <x v="176"/>
    <x v="32"/>
    <x v="19"/>
    <x v="6"/>
    <x v="422"/>
    <x v="7"/>
    <x v="2"/>
    <x v="4"/>
    <x v="221"/>
    <x v="10"/>
    <x v="2858"/>
    <x v="1"/>
  </r>
  <r>
    <x v="176"/>
    <x v="32"/>
    <x v="1872"/>
    <x v="7"/>
    <x v="422"/>
    <x v="7"/>
    <x v="2"/>
    <x v="4"/>
    <x v="221"/>
    <x v="10"/>
    <x v="2859"/>
    <x v="1"/>
  </r>
  <r>
    <x v="176"/>
    <x v="32"/>
    <x v="305"/>
    <x v="8"/>
    <x v="422"/>
    <x v="7"/>
    <x v="2"/>
    <x v="4"/>
    <x v="221"/>
    <x v="10"/>
    <x v="2860"/>
    <x v="1"/>
  </r>
  <r>
    <x v="176"/>
    <x v="32"/>
    <x v="994"/>
    <x v="5"/>
    <x v="422"/>
    <x v="7"/>
    <x v="2"/>
    <x v="4"/>
    <x v="221"/>
    <x v="10"/>
    <x v="2861"/>
    <x v="1"/>
  </r>
  <r>
    <x v="176"/>
    <x v="37"/>
    <x v="42"/>
    <x v="3"/>
    <x v="523"/>
    <x v="7"/>
    <x v="0"/>
    <x v="2"/>
    <x v="107"/>
    <x v="12"/>
    <x v="2862"/>
    <x v="1"/>
  </r>
  <r>
    <x v="177"/>
    <x v="9"/>
    <x v="1054"/>
    <x v="0"/>
    <x v="229"/>
    <x v="7"/>
    <x v="0"/>
    <x v="0"/>
    <x v="112"/>
    <x v="5"/>
    <x v="2863"/>
    <x v="1"/>
  </r>
  <r>
    <x v="177"/>
    <x v="20"/>
    <x v="1066"/>
    <x v="0"/>
    <x v="61"/>
    <x v="7"/>
    <x v="0"/>
    <x v="0"/>
    <x v="112"/>
    <x v="5"/>
    <x v="2864"/>
    <x v="1"/>
  </r>
  <r>
    <x v="177"/>
    <x v="0"/>
    <x v="1146"/>
    <x v="1"/>
    <x v="566"/>
    <x v="7"/>
    <x v="0"/>
    <x v="2"/>
    <x v="108"/>
    <x v="9"/>
    <x v="2865"/>
    <x v="1"/>
  </r>
  <r>
    <x v="177"/>
    <x v="1"/>
    <x v="90"/>
    <x v="1"/>
    <x v="431"/>
    <x v="7"/>
    <x v="0"/>
    <x v="2"/>
    <x v="108"/>
    <x v="4"/>
    <x v="2866"/>
    <x v="1"/>
  </r>
  <r>
    <x v="177"/>
    <x v="12"/>
    <x v="285"/>
    <x v="0"/>
    <x v="17"/>
    <x v="7"/>
    <x v="1"/>
    <x v="4"/>
    <x v="221"/>
    <x v="5"/>
    <x v="2867"/>
    <x v="1"/>
  </r>
  <r>
    <x v="177"/>
    <x v="20"/>
    <x v="138"/>
    <x v="1"/>
    <x v="249"/>
    <x v="7"/>
    <x v="0"/>
    <x v="2"/>
    <x v="108"/>
    <x v="5"/>
    <x v="2868"/>
    <x v="1"/>
  </r>
  <r>
    <x v="177"/>
    <x v="18"/>
    <x v="375"/>
    <x v="1"/>
    <x v="138"/>
    <x v="7"/>
    <x v="0"/>
    <x v="2"/>
    <x v="108"/>
    <x v="3"/>
    <x v="2869"/>
    <x v="1"/>
  </r>
  <r>
    <x v="177"/>
    <x v="27"/>
    <x v="191"/>
    <x v="1"/>
    <x v="5"/>
    <x v="7"/>
    <x v="0"/>
    <x v="2"/>
    <x v="108"/>
    <x v="5"/>
    <x v="2870"/>
    <x v="1"/>
  </r>
  <r>
    <x v="177"/>
    <x v="15"/>
    <x v="524"/>
    <x v="1"/>
    <x v="353"/>
    <x v="7"/>
    <x v="0"/>
    <x v="2"/>
    <x v="108"/>
    <x v="4"/>
    <x v="2871"/>
    <x v="1"/>
  </r>
  <r>
    <x v="177"/>
    <x v="38"/>
    <x v="242"/>
    <x v="0"/>
    <x v="500"/>
    <x v="7"/>
    <x v="1"/>
    <x v="4"/>
    <x v="221"/>
    <x v="5"/>
    <x v="2872"/>
    <x v="1"/>
  </r>
  <r>
    <x v="177"/>
    <x v="32"/>
    <x v="1125"/>
    <x v="3"/>
    <x v="422"/>
    <x v="7"/>
    <x v="2"/>
    <x v="4"/>
    <x v="221"/>
    <x v="10"/>
    <x v="2873"/>
    <x v="1"/>
  </r>
  <r>
    <x v="177"/>
    <x v="32"/>
    <x v="134"/>
    <x v="2"/>
    <x v="422"/>
    <x v="7"/>
    <x v="2"/>
    <x v="4"/>
    <x v="221"/>
    <x v="10"/>
    <x v="2874"/>
    <x v="1"/>
  </r>
  <r>
    <x v="177"/>
    <x v="32"/>
    <x v="65"/>
    <x v="6"/>
    <x v="422"/>
    <x v="7"/>
    <x v="2"/>
    <x v="4"/>
    <x v="221"/>
    <x v="10"/>
    <x v="2875"/>
    <x v="1"/>
  </r>
  <r>
    <x v="177"/>
    <x v="32"/>
    <x v="1766"/>
    <x v="7"/>
    <x v="422"/>
    <x v="7"/>
    <x v="2"/>
    <x v="4"/>
    <x v="221"/>
    <x v="10"/>
    <x v="2876"/>
    <x v="1"/>
  </r>
  <r>
    <x v="177"/>
    <x v="32"/>
    <x v="1363"/>
    <x v="5"/>
    <x v="533"/>
    <x v="7"/>
    <x v="2"/>
    <x v="4"/>
    <x v="221"/>
    <x v="10"/>
    <x v="2877"/>
    <x v="1"/>
  </r>
  <r>
    <x v="177"/>
    <x v="37"/>
    <x v="45"/>
    <x v="3"/>
    <x v="523"/>
    <x v="7"/>
    <x v="0"/>
    <x v="2"/>
    <x v="108"/>
    <x v="12"/>
    <x v="2878"/>
    <x v="1"/>
  </r>
  <r>
    <x v="178"/>
    <x v="20"/>
    <x v="461"/>
    <x v="0"/>
    <x v="61"/>
    <x v="7"/>
    <x v="0"/>
    <x v="0"/>
    <x v="116"/>
    <x v="5"/>
    <x v="2879"/>
    <x v="1"/>
  </r>
  <r>
    <x v="178"/>
    <x v="38"/>
    <x v="83"/>
    <x v="0"/>
    <x v="500"/>
    <x v="7"/>
    <x v="1"/>
    <x v="4"/>
    <x v="221"/>
    <x v="5"/>
    <x v="2880"/>
    <x v="1"/>
  </r>
  <r>
    <x v="178"/>
    <x v="12"/>
    <x v="673"/>
    <x v="0"/>
    <x v="17"/>
    <x v="7"/>
    <x v="1"/>
    <x v="4"/>
    <x v="221"/>
    <x v="5"/>
    <x v="2881"/>
    <x v="1"/>
  </r>
  <r>
    <x v="178"/>
    <x v="36"/>
    <x v="45"/>
    <x v="1"/>
    <x v="375"/>
    <x v="7"/>
    <x v="0"/>
    <x v="2"/>
    <x v="109"/>
    <x v="5"/>
    <x v="2882"/>
    <x v="1"/>
  </r>
  <r>
    <x v="178"/>
    <x v="19"/>
    <x v="1235"/>
    <x v="0"/>
    <x v="474"/>
    <x v="7"/>
    <x v="0"/>
    <x v="0"/>
    <x v="115"/>
    <x v="3"/>
    <x v="2883"/>
    <x v="1"/>
  </r>
  <r>
    <x v="178"/>
    <x v="12"/>
    <x v="158"/>
    <x v="1"/>
    <x v="406"/>
    <x v="7"/>
    <x v="0"/>
    <x v="2"/>
    <x v="109"/>
    <x v="5"/>
    <x v="2884"/>
    <x v="1"/>
  </r>
  <r>
    <x v="178"/>
    <x v="28"/>
    <x v="138"/>
    <x v="1"/>
    <x v="371"/>
    <x v="7"/>
    <x v="0"/>
    <x v="2"/>
    <x v="109"/>
    <x v="0"/>
    <x v="2885"/>
    <x v="1"/>
  </r>
  <r>
    <x v="178"/>
    <x v="32"/>
    <x v="1134"/>
    <x v="3"/>
    <x v="422"/>
    <x v="7"/>
    <x v="2"/>
    <x v="4"/>
    <x v="221"/>
    <x v="10"/>
    <x v="2886"/>
    <x v="1"/>
  </r>
  <r>
    <x v="178"/>
    <x v="32"/>
    <x v="753"/>
    <x v="2"/>
    <x v="422"/>
    <x v="7"/>
    <x v="2"/>
    <x v="4"/>
    <x v="221"/>
    <x v="10"/>
    <x v="2887"/>
    <x v="1"/>
  </r>
  <r>
    <x v="178"/>
    <x v="32"/>
    <x v="607"/>
    <x v="6"/>
    <x v="422"/>
    <x v="7"/>
    <x v="2"/>
    <x v="4"/>
    <x v="221"/>
    <x v="10"/>
    <x v="2888"/>
    <x v="1"/>
  </r>
  <r>
    <x v="178"/>
    <x v="32"/>
    <x v="1852"/>
    <x v="7"/>
    <x v="422"/>
    <x v="7"/>
    <x v="2"/>
    <x v="4"/>
    <x v="221"/>
    <x v="10"/>
    <x v="2889"/>
    <x v="1"/>
  </r>
  <r>
    <x v="178"/>
    <x v="32"/>
    <x v="109"/>
    <x v="8"/>
    <x v="422"/>
    <x v="7"/>
    <x v="2"/>
    <x v="4"/>
    <x v="221"/>
    <x v="10"/>
    <x v="2890"/>
    <x v="1"/>
  </r>
  <r>
    <x v="178"/>
    <x v="32"/>
    <x v="1502"/>
    <x v="5"/>
    <x v="533"/>
    <x v="7"/>
    <x v="2"/>
    <x v="4"/>
    <x v="221"/>
    <x v="10"/>
    <x v="2891"/>
    <x v="1"/>
  </r>
  <r>
    <x v="178"/>
    <x v="9"/>
    <x v="1428"/>
    <x v="0"/>
    <x v="229"/>
    <x v="7"/>
    <x v="0"/>
    <x v="0"/>
    <x v="116"/>
    <x v="5"/>
    <x v="2892"/>
    <x v="1"/>
  </r>
  <r>
    <x v="178"/>
    <x v="0"/>
    <x v="518"/>
    <x v="1"/>
    <x v="258"/>
    <x v="7"/>
    <x v="0"/>
    <x v="2"/>
    <x v="109"/>
    <x v="9"/>
    <x v="2893"/>
    <x v="1"/>
  </r>
  <r>
    <x v="178"/>
    <x v="0"/>
    <x v="518"/>
    <x v="1"/>
    <x v="441"/>
    <x v="7"/>
    <x v="0"/>
    <x v="2"/>
    <x v="109"/>
    <x v="9"/>
    <x v="2894"/>
    <x v="1"/>
  </r>
  <r>
    <x v="178"/>
    <x v="0"/>
    <x v="1645"/>
    <x v="1"/>
    <x v="455"/>
    <x v="7"/>
    <x v="0"/>
    <x v="2"/>
    <x v="109"/>
    <x v="9"/>
    <x v="2895"/>
    <x v="1"/>
  </r>
  <r>
    <x v="178"/>
    <x v="37"/>
    <x v="36"/>
    <x v="3"/>
    <x v="523"/>
    <x v="7"/>
    <x v="0"/>
    <x v="2"/>
    <x v="109"/>
    <x v="12"/>
    <x v="2896"/>
    <x v="1"/>
  </r>
  <r>
    <x v="179"/>
    <x v="9"/>
    <x v="1553"/>
    <x v="0"/>
    <x v="229"/>
    <x v="7"/>
    <x v="0"/>
    <x v="0"/>
    <x v="116"/>
    <x v="5"/>
    <x v="2897"/>
    <x v="1"/>
  </r>
  <r>
    <x v="179"/>
    <x v="20"/>
    <x v="1449"/>
    <x v="0"/>
    <x v="61"/>
    <x v="7"/>
    <x v="0"/>
    <x v="0"/>
    <x v="116"/>
    <x v="5"/>
    <x v="2898"/>
    <x v="1"/>
  </r>
  <r>
    <x v="179"/>
    <x v="1"/>
    <x v="141"/>
    <x v="3"/>
    <x v="431"/>
    <x v="7"/>
    <x v="0"/>
    <x v="2"/>
    <x v="110"/>
    <x v="4"/>
    <x v="2899"/>
    <x v="1"/>
  </r>
  <r>
    <x v="179"/>
    <x v="12"/>
    <x v="691"/>
    <x v="0"/>
    <x v="17"/>
    <x v="7"/>
    <x v="1"/>
    <x v="4"/>
    <x v="221"/>
    <x v="5"/>
    <x v="2900"/>
    <x v="1"/>
  </r>
  <r>
    <x v="179"/>
    <x v="8"/>
    <x v="475"/>
    <x v="0"/>
    <x v="241"/>
    <x v="7"/>
    <x v="0"/>
    <x v="0"/>
    <x v="121"/>
    <x v="5"/>
    <x v="2901"/>
    <x v="1"/>
  </r>
  <r>
    <x v="179"/>
    <x v="3"/>
    <x v="599"/>
    <x v="1"/>
    <x v="579"/>
    <x v="7"/>
    <x v="0"/>
    <x v="2"/>
    <x v="110"/>
    <x v="4"/>
    <x v="2902"/>
    <x v="1"/>
  </r>
  <r>
    <x v="179"/>
    <x v="38"/>
    <x v="167"/>
    <x v="0"/>
    <x v="500"/>
    <x v="7"/>
    <x v="1"/>
    <x v="4"/>
    <x v="221"/>
    <x v="5"/>
    <x v="2903"/>
    <x v="1"/>
  </r>
  <r>
    <x v="179"/>
    <x v="32"/>
    <x v="363"/>
    <x v="3"/>
    <x v="422"/>
    <x v="7"/>
    <x v="2"/>
    <x v="4"/>
    <x v="221"/>
    <x v="10"/>
    <x v="2904"/>
    <x v="1"/>
  </r>
  <r>
    <x v="179"/>
    <x v="32"/>
    <x v="617"/>
    <x v="6"/>
    <x v="422"/>
    <x v="7"/>
    <x v="2"/>
    <x v="4"/>
    <x v="221"/>
    <x v="10"/>
    <x v="2905"/>
    <x v="1"/>
  </r>
  <r>
    <x v="179"/>
    <x v="32"/>
    <x v="1346"/>
    <x v="7"/>
    <x v="422"/>
    <x v="7"/>
    <x v="2"/>
    <x v="4"/>
    <x v="221"/>
    <x v="10"/>
    <x v="2906"/>
    <x v="1"/>
  </r>
  <r>
    <x v="179"/>
    <x v="32"/>
    <x v="387"/>
    <x v="5"/>
    <x v="533"/>
    <x v="7"/>
    <x v="2"/>
    <x v="4"/>
    <x v="221"/>
    <x v="10"/>
    <x v="2907"/>
    <x v="1"/>
  </r>
  <r>
    <x v="179"/>
    <x v="38"/>
    <x v="27"/>
    <x v="1"/>
    <x v="401"/>
    <x v="7"/>
    <x v="0"/>
    <x v="2"/>
    <x v="110"/>
    <x v="5"/>
    <x v="2908"/>
    <x v="1"/>
  </r>
  <r>
    <x v="179"/>
    <x v="37"/>
    <x v="31"/>
    <x v="3"/>
    <x v="523"/>
    <x v="7"/>
    <x v="0"/>
    <x v="2"/>
    <x v="110"/>
    <x v="12"/>
    <x v="2909"/>
    <x v="1"/>
  </r>
  <r>
    <x v="180"/>
    <x v="12"/>
    <x v="220"/>
    <x v="0"/>
    <x v="17"/>
    <x v="7"/>
    <x v="1"/>
    <x v="4"/>
    <x v="221"/>
    <x v="5"/>
    <x v="2910"/>
    <x v="1"/>
  </r>
  <r>
    <x v="180"/>
    <x v="38"/>
    <x v="287"/>
    <x v="1"/>
    <x v="389"/>
    <x v="7"/>
    <x v="0"/>
    <x v="2"/>
    <x v="111"/>
    <x v="5"/>
    <x v="2911"/>
    <x v="1"/>
  </r>
  <r>
    <x v="180"/>
    <x v="20"/>
    <x v="275"/>
    <x v="0"/>
    <x v="61"/>
    <x v="7"/>
    <x v="0"/>
    <x v="0"/>
    <x v="116"/>
    <x v="5"/>
    <x v="2912"/>
    <x v="1"/>
  </r>
  <r>
    <x v="180"/>
    <x v="12"/>
    <x v="65"/>
    <x v="1"/>
    <x v="65"/>
    <x v="7"/>
    <x v="0"/>
    <x v="2"/>
    <x v="104"/>
    <x v="5"/>
    <x v="2913"/>
    <x v="1"/>
  </r>
  <r>
    <x v="180"/>
    <x v="20"/>
    <x v="844"/>
    <x v="0"/>
    <x v="61"/>
    <x v="7"/>
    <x v="0"/>
    <x v="0"/>
    <x v="120"/>
    <x v="5"/>
    <x v="2914"/>
    <x v="1"/>
  </r>
  <r>
    <x v="180"/>
    <x v="19"/>
    <x v="778"/>
    <x v="0"/>
    <x v="474"/>
    <x v="7"/>
    <x v="1"/>
    <x v="4"/>
    <x v="221"/>
    <x v="3"/>
    <x v="2915"/>
    <x v="1"/>
  </r>
  <r>
    <x v="180"/>
    <x v="38"/>
    <x v="129"/>
    <x v="0"/>
    <x v="500"/>
    <x v="7"/>
    <x v="1"/>
    <x v="4"/>
    <x v="221"/>
    <x v="5"/>
    <x v="2916"/>
    <x v="1"/>
  </r>
  <r>
    <x v="180"/>
    <x v="32"/>
    <x v="1254"/>
    <x v="3"/>
    <x v="422"/>
    <x v="7"/>
    <x v="2"/>
    <x v="4"/>
    <x v="221"/>
    <x v="10"/>
    <x v="2917"/>
    <x v="1"/>
  </r>
  <r>
    <x v="180"/>
    <x v="32"/>
    <x v="729"/>
    <x v="6"/>
    <x v="422"/>
    <x v="7"/>
    <x v="2"/>
    <x v="4"/>
    <x v="221"/>
    <x v="10"/>
    <x v="2918"/>
    <x v="1"/>
  </r>
  <r>
    <x v="180"/>
    <x v="32"/>
    <x v="1713"/>
    <x v="7"/>
    <x v="422"/>
    <x v="7"/>
    <x v="2"/>
    <x v="4"/>
    <x v="221"/>
    <x v="10"/>
    <x v="2919"/>
    <x v="1"/>
  </r>
  <r>
    <x v="180"/>
    <x v="32"/>
    <x v="229"/>
    <x v="8"/>
    <x v="422"/>
    <x v="7"/>
    <x v="2"/>
    <x v="4"/>
    <x v="221"/>
    <x v="10"/>
    <x v="2920"/>
    <x v="1"/>
  </r>
  <r>
    <x v="180"/>
    <x v="32"/>
    <x v="665"/>
    <x v="5"/>
    <x v="533"/>
    <x v="7"/>
    <x v="2"/>
    <x v="4"/>
    <x v="221"/>
    <x v="10"/>
    <x v="2921"/>
    <x v="1"/>
  </r>
  <r>
    <x v="180"/>
    <x v="37"/>
    <x v="28"/>
    <x v="3"/>
    <x v="523"/>
    <x v="7"/>
    <x v="0"/>
    <x v="2"/>
    <x v="111"/>
    <x v="12"/>
    <x v="2922"/>
    <x v="1"/>
  </r>
  <r>
    <x v="181"/>
    <x v="15"/>
    <x v="495"/>
    <x v="3"/>
    <x v="353"/>
    <x v="7"/>
    <x v="0"/>
    <x v="2"/>
    <x v="112"/>
    <x v="4"/>
    <x v="2923"/>
    <x v="1"/>
  </r>
  <r>
    <x v="181"/>
    <x v="27"/>
    <x v="191"/>
    <x v="3"/>
    <x v="5"/>
    <x v="7"/>
    <x v="0"/>
    <x v="2"/>
    <x v="112"/>
    <x v="5"/>
    <x v="2924"/>
    <x v="1"/>
  </r>
  <r>
    <x v="181"/>
    <x v="37"/>
    <x v="12"/>
    <x v="3"/>
    <x v="546"/>
    <x v="7"/>
    <x v="0"/>
    <x v="2"/>
    <x v="112"/>
    <x v="12"/>
    <x v="2925"/>
    <x v="1"/>
  </r>
  <r>
    <x v="181"/>
    <x v="20"/>
    <x v="375"/>
    <x v="3"/>
    <x v="101"/>
    <x v="7"/>
    <x v="0"/>
    <x v="2"/>
    <x v="112"/>
    <x v="5"/>
    <x v="2926"/>
    <x v="1"/>
  </r>
  <r>
    <x v="181"/>
    <x v="1"/>
    <x v="30"/>
    <x v="3"/>
    <x v="431"/>
    <x v="7"/>
    <x v="0"/>
    <x v="2"/>
    <x v="112"/>
    <x v="4"/>
    <x v="2927"/>
    <x v="1"/>
  </r>
  <r>
    <x v="181"/>
    <x v="32"/>
    <x v="829"/>
    <x v="3"/>
    <x v="422"/>
    <x v="7"/>
    <x v="2"/>
    <x v="4"/>
    <x v="221"/>
    <x v="10"/>
    <x v="2928"/>
    <x v="1"/>
  </r>
  <r>
    <x v="181"/>
    <x v="32"/>
    <x v="112"/>
    <x v="2"/>
    <x v="422"/>
    <x v="7"/>
    <x v="2"/>
    <x v="4"/>
    <x v="221"/>
    <x v="10"/>
    <x v="2929"/>
    <x v="1"/>
  </r>
  <r>
    <x v="181"/>
    <x v="32"/>
    <x v="799"/>
    <x v="6"/>
    <x v="422"/>
    <x v="7"/>
    <x v="2"/>
    <x v="4"/>
    <x v="221"/>
    <x v="10"/>
    <x v="2930"/>
    <x v="1"/>
  </r>
  <r>
    <x v="181"/>
    <x v="32"/>
    <x v="1885"/>
    <x v="7"/>
    <x v="422"/>
    <x v="7"/>
    <x v="2"/>
    <x v="4"/>
    <x v="221"/>
    <x v="10"/>
    <x v="2931"/>
    <x v="1"/>
  </r>
  <r>
    <x v="181"/>
    <x v="32"/>
    <x v="671"/>
    <x v="5"/>
    <x v="533"/>
    <x v="7"/>
    <x v="2"/>
    <x v="4"/>
    <x v="221"/>
    <x v="10"/>
    <x v="2932"/>
    <x v="1"/>
  </r>
  <r>
    <x v="181"/>
    <x v="32"/>
    <x v="190"/>
    <x v="8"/>
    <x v="422"/>
    <x v="7"/>
    <x v="2"/>
    <x v="4"/>
    <x v="221"/>
    <x v="10"/>
    <x v="2933"/>
    <x v="1"/>
  </r>
  <r>
    <x v="181"/>
    <x v="38"/>
    <x v="81"/>
    <x v="0"/>
    <x v="500"/>
    <x v="7"/>
    <x v="1"/>
    <x v="4"/>
    <x v="221"/>
    <x v="5"/>
    <x v="2934"/>
    <x v="1"/>
  </r>
  <r>
    <x v="181"/>
    <x v="9"/>
    <x v="1190"/>
    <x v="0"/>
    <x v="229"/>
    <x v="7"/>
    <x v="0"/>
    <x v="0"/>
    <x v="116"/>
    <x v="5"/>
    <x v="2935"/>
    <x v="1"/>
  </r>
  <r>
    <x v="181"/>
    <x v="12"/>
    <x v="320"/>
    <x v="0"/>
    <x v="17"/>
    <x v="7"/>
    <x v="1"/>
    <x v="4"/>
    <x v="221"/>
    <x v="5"/>
    <x v="2936"/>
    <x v="1"/>
  </r>
  <r>
    <x v="181"/>
    <x v="8"/>
    <x v="475"/>
    <x v="0"/>
    <x v="241"/>
    <x v="7"/>
    <x v="0"/>
    <x v="0"/>
    <x v="121"/>
    <x v="5"/>
    <x v="2937"/>
    <x v="1"/>
  </r>
  <r>
    <x v="181"/>
    <x v="20"/>
    <x v="627"/>
    <x v="0"/>
    <x v="61"/>
    <x v="7"/>
    <x v="0"/>
    <x v="0"/>
    <x v="120"/>
    <x v="5"/>
    <x v="2938"/>
    <x v="1"/>
  </r>
  <r>
    <x v="182"/>
    <x v="38"/>
    <x v="136"/>
    <x v="0"/>
    <x v="500"/>
    <x v="7"/>
    <x v="1"/>
    <x v="4"/>
    <x v="221"/>
    <x v="5"/>
    <x v="2939"/>
    <x v="1"/>
  </r>
  <r>
    <x v="182"/>
    <x v="13"/>
    <x v="1608"/>
    <x v="0"/>
    <x v="32"/>
    <x v="7"/>
    <x v="1"/>
    <x v="4"/>
    <x v="221"/>
    <x v="5"/>
    <x v="2940"/>
    <x v="1"/>
  </r>
  <r>
    <x v="182"/>
    <x v="12"/>
    <x v="429"/>
    <x v="0"/>
    <x v="17"/>
    <x v="7"/>
    <x v="1"/>
    <x v="4"/>
    <x v="221"/>
    <x v="5"/>
    <x v="2941"/>
    <x v="1"/>
  </r>
  <r>
    <x v="182"/>
    <x v="9"/>
    <x v="1387"/>
    <x v="0"/>
    <x v="229"/>
    <x v="7"/>
    <x v="0"/>
    <x v="0"/>
    <x v="221"/>
    <x v="5"/>
    <x v="2942"/>
    <x v="1"/>
  </r>
  <r>
    <x v="182"/>
    <x v="32"/>
    <x v="539"/>
    <x v="3"/>
    <x v="422"/>
    <x v="7"/>
    <x v="2"/>
    <x v="4"/>
    <x v="221"/>
    <x v="10"/>
    <x v="2943"/>
    <x v="1"/>
  </r>
  <r>
    <x v="182"/>
    <x v="32"/>
    <x v="743"/>
    <x v="2"/>
    <x v="422"/>
    <x v="7"/>
    <x v="2"/>
    <x v="4"/>
    <x v="221"/>
    <x v="10"/>
    <x v="2944"/>
    <x v="1"/>
  </r>
  <r>
    <x v="182"/>
    <x v="32"/>
    <x v="540"/>
    <x v="6"/>
    <x v="422"/>
    <x v="7"/>
    <x v="2"/>
    <x v="4"/>
    <x v="221"/>
    <x v="10"/>
    <x v="2945"/>
    <x v="1"/>
  </r>
  <r>
    <x v="182"/>
    <x v="32"/>
    <x v="1691"/>
    <x v="7"/>
    <x v="422"/>
    <x v="7"/>
    <x v="2"/>
    <x v="4"/>
    <x v="221"/>
    <x v="10"/>
    <x v="2946"/>
    <x v="1"/>
  </r>
  <r>
    <x v="182"/>
    <x v="32"/>
    <x v="696"/>
    <x v="5"/>
    <x v="533"/>
    <x v="7"/>
    <x v="2"/>
    <x v="4"/>
    <x v="221"/>
    <x v="10"/>
    <x v="2947"/>
    <x v="1"/>
  </r>
  <r>
    <x v="182"/>
    <x v="37"/>
    <x v="30"/>
    <x v="3"/>
    <x v="523"/>
    <x v="7"/>
    <x v="0"/>
    <x v="2"/>
    <x v="113"/>
    <x v="12"/>
    <x v="2948"/>
    <x v="1"/>
  </r>
  <r>
    <x v="182"/>
    <x v="19"/>
    <x v="778"/>
    <x v="0"/>
    <x v="474"/>
    <x v="7"/>
    <x v="1"/>
    <x v="4"/>
    <x v="221"/>
    <x v="3"/>
    <x v="2949"/>
    <x v="1"/>
  </r>
  <r>
    <x v="182"/>
    <x v="20"/>
    <x v="49"/>
    <x v="3"/>
    <x v="381"/>
    <x v="7"/>
    <x v="0"/>
    <x v="2"/>
    <x v="113"/>
    <x v="5"/>
    <x v="2950"/>
    <x v="1"/>
  </r>
  <r>
    <x v="183"/>
    <x v="20"/>
    <x v="1045"/>
    <x v="0"/>
    <x v="61"/>
    <x v="7"/>
    <x v="1"/>
    <x v="4"/>
    <x v="221"/>
    <x v="5"/>
    <x v="2951"/>
    <x v="1"/>
  </r>
  <r>
    <x v="183"/>
    <x v="9"/>
    <x v="1403"/>
    <x v="0"/>
    <x v="229"/>
    <x v="7"/>
    <x v="0"/>
    <x v="0"/>
    <x v="221"/>
    <x v="5"/>
    <x v="2952"/>
    <x v="1"/>
  </r>
  <r>
    <x v="183"/>
    <x v="27"/>
    <x v="709"/>
    <x v="1"/>
    <x v="5"/>
    <x v="7"/>
    <x v="0"/>
    <x v="2"/>
    <x v="114"/>
    <x v="5"/>
    <x v="2953"/>
    <x v="1"/>
  </r>
  <r>
    <x v="183"/>
    <x v="20"/>
    <x v="375"/>
    <x v="1"/>
    <x v="70"/>
    <x v="7"/>
    <x v="0"/>
    <x v="2"/>
    <x v="114"/>
    <x v="5"/>
    <x v="2954"/>
    <x v="1"/>
  </r>
  <r>
    <x v="183"/>
    <x v="1"/>
    <x v="158"/>
    <x v="1"/>
    <x v="431"/>
    <x v="7"/>
    <x v="0"/>
    <x v="2"/>
    <x v="114"/>
    <x v="4"/>
    <x v="2955"/>
    <x v="1"/>
  </r>
  <r>
    <x v="183"/>
    <x v="20"/>
    <x v="49"/>
    <x v="1"/>
    <x v="148"/>
    <x v="7"/>
    <x v="0"/>
    <x v="2"/>
    <x v="114"/>
    <x v="5"/>
    <x v="2956"/>
    <x v="1"/>
  </r>
  <r>
    <x v="183"/>
    <x v="12"/>
    <x v="298"/>
    <x v="0"/>
    <x v="431"/>
    <x v="7"/>
    <x v="1"/>
    <x v="4"/>
    <x v="221"/>
    <x v="5"/>
    <x v="2957"/>
    <x v="1"/>
  </r>
  <r>
    <x v="183"/>
    <x v="28"/>
    <x v="138"/>
    <x v="1"/>
    <x v="371"/>
    <x v="7"/>
    <x v="0"/>
    <x v="2"/>
    <x v="114"/>
    <x v="0"/>
    <x v="2958"/>
    <x v="1"/>
  </r>
  <r>
    <x v="183"/>
    <x v="8"/>
    <x v="816"/>
    <x v="0"/>
    <x v="241"/>
    <x v="7"/>
    <x v="0"/>
    <x v="0"/>
    <x v="121"/>
    <x v="5"/>
    <x v="2959"/>
    <x v="1"/>
  </r>
  <r>
    <x v="183"/>
    <x v="32"/>
    <x v="832"/>
    <x v="3"/>
    <x v="422"/>
    <x v="7"/>
    <x v="2"/>
    <x v="4"/>
    <x v="221"/>
    <x v="10"/>
    <x v="2960"/>
    <x v="1"/>
  </r>
  <r>
    <x v="183"/>
    <x v="32"/>
    <x v="68"/>
    <x v="2"/>
    <x v="422"/>
    <x v="7"/>
    <x v="2"/>
    <x v="4"/>
    <x v="221"/>
    <x v="10"/>
    <x v="2961"/>
    <x v="1"/>
  </r>
  <r>
    <x v="183"/>
    <x v="32"/>
    <x v="1693"/>
    <x v="7"/>
    <x v="422"/>
    <x v="7"/>
    <x v="2"/>
    <x v="4"/>
    <x v="221"/>
    <x v="10"/>
    <x v="2962"/>
    <x v="1"/>
  </r>
  <r>
    <x v="183"/>
    <x v="32"/>
    <x v="416"/>
    <x v="8"/>
    <x v="422"/>
    <x v="7"/>
    <x v="2"/>
    <x v="4"/>
    <x v="221"/>
    <x v="10"/>
    <x v="2963"/>
    <x v="1"/>
  </r>
  <r>
    <x v="183"/>
    <x v="32"/>
    <x v="1141"/>
    <x v="5"/>
    <x v="533"/>
    <x v="7"/>
    <x v="2"/>
    <x v="4"/>
    <x v="221"/>
    <x v="10"/>
    <x v="2964"/>
    <x v="1"/>
  </r>
  <r>
    <x v="183"/>
    <x v="0"/>
    <x v="134"/>
    <x v="1"/>
    <x v="566"/>
    <x v="7"/>
    <x v="0"/>
    <x v="2"/>
    <x v="114"/>
    <x v="9"/>
    <x v="2965"/>
    <x v="1"/>
  </r>
  <r>
    <x v="183"/>
    <x v="37"/>
    <x v="28"/>
    <x v="3"/>
    <x v="523"/>
    <x v="7"/>
    <x v="0"/>
    <x v="2"/>
    <x v="114"/>
    <x v="12"/>
    <x v="2966"/>
    <x v="1"/>
  </r>
  <r>
    <x v="183"/>
    <x v="0"/>
    <x v="45"/>
    <x v="1"/>
    <x v="258"/>
    <x v="7"/>
    <x v="0"/>
    <x v="2"/>
    <x v="114"/>
    <x v="9"/>
    <x v="2967"/>
    <x v="1"/>
  </r>
  <r>
    <x v="183"/>
    <x v="38"/>
    <x v="247"/>
    <x v="0"/>
    <x v="500"/>
    <x v="7"/>
    <x v="1"/>
    <x v="4"/>
    <x v="221"/>
    <x v="5"/>
    <x v="2968"/>
    <x v="1"/>
  </r>
  <r>
    <x v="184"/>
    <x v="20"/>
    <x v="1526"/>
    <x v="0"/>
    <x v="61"/>
    <x v="7"/>
    <x v="1"/>
    <x v="4"/>
    <x v="221"/>
    <x v="5"/>
    <x v="2969"/>
    <x v="1"/>
  </r>
  <r>
    <x v="184"/>
    <x v="8"/>
    <x v="475"/>
    <x v="0"/>
    <x v="241"/>
    <x v="7"/>
    <x v="0"/>
    <x v="0"/>
    <x v="121"/>
    <x v="5"/>
    <x v="2970"/>
    <x v="1"/>
  </r>
  <r>
    <x v="184"/>
    <x v="9"/>
    <x v="1371"/>
    <x v="0"/>
    <x v="229"/>
    <x v="7"/>
    <x v="0"/>
    <x v="0"/>
    <x v="221"/>
    <x v="5"/>
    <x v="2971"/>
    <x v="1"/>
  </r>
  <r>
    <x v="184"/>
    <x v="12"/>
    <x v="439"/>
    <x v="0"/>
    <x v="17"/>
    <x v="7"/>
    <x v="1"/>
    <x v="4"/>
    <x v="221"/>
    <x v="5"/>
    <x v="2972"/>
    <x v="1"/>
  </r>
  <r>
    <x v="184"/>
    <x v="1"/>
    <x v="60"/>
    <x v="1"/>
    <x v="431"/>
    <x v="7"/>
    <x v="0"/>
    <x v="2"/>
    <x v="115"/>
    <x v="4"/>
    <x v="2973"/>
    <x v="1"/>
  </r>
  <r>
    <x v="184"/>
    <x v="24"/>
    <x v="87"/>
    <x v="1"/>
    <x v="246"/>
    <x v="7"/>
    <x v="0"/>
    <x v="2"/>
    <x v="115"/>
    <x v="6"/>
    <x v="2974"/>
    <x v="1"/>
  </r>
  <r>
    <x v="184"/>
    <x v="20"/>
    <x v="69"/>
    <x v="1"/>
    <x v="386"/>
    <x v="7"/>
    <x v="0"/>
    <x v="2"/>
    <x v="115"/>
    <x v="5"/>
    <x v="2975"/>
    <x v="1"/>
  </r>
  <r>
    <x v="184"/>
    <x v="3"/>
    <x v="1073"/>
    <x v="0"/>
    <x v="153"/>
    <x v="7"/>
    <x v="0"/>
    <x v="3"/>
    <x v="115"/>
    <x v="4"/>
    <x v="2976"/>
    <x v="1"/>
  </r>
  <r>
    <x v="184"/>
    <x v="0"/>
    <x v="1146"/>
    <x v="0"/>
    <x v="566"/>
    <x v="7"/>
    <x v="0"/>
    <x v="3"/>
    <x v="115"/>
    <x v="9"/>
    <x v="2977"/>
    <x v="0"/>
  </r>
  <r>
    <x v="184"/>
    <x v="38"/>
    <x v="230"/>
    <x v="0"/>
    <x v="500"/>
    <x v="7"/>
    <x v="1"/>
    <x v="4"/>
    <x v="221"/>
    <x v="5"/>
    <x v="2978"/>
    <x v="1"/>
  </r>
  <r>
    <x v="184"/>
    <x v="32"/>
    <x v="972"/>
    <x v="3"/>
    <x v="422"/>
    <x v="7"/>
    <x v="2"/>
    <x v="4"/>
    <x v="221"/>
    <x v="10"/>
    <x v="2979"/>
    <x v="1"/>
  </r>
  <r>
    <x v="184"/>
    <x v="32"/>
    <x v="36"/>
    <x v="2"/>
    <x v="422"/>
    <x v="7"/>
    <x v="2"/>
    <x v="4"/>
    <x v="221"/>
    <x v="10"/>
    <x v="2980"/>
    <x v="1"/>
  </r>
  <r>
    <x v="184"/>
    <x v="32"/>
    <x v="1847"/>
    <x v="7"/>
    <x v="422"/>
    <x v="7"/>
    <x v="2"/>
    <x v="4"/>
    <x v="221"/>
    <x v="10"/>
    <x v="2981"/>
    <x v="1"/>
  </r>
  <r>
    <x v="184"/>
    <x v="32"/>
    <x v="398"/>
    <x v="8"/>
    <x v="422"/>
    <x v="7"/>
    <x v="2"/>
    <x v="4"/>
    <x v="221"/>
    <x v="10"/>
    <x v="2982"/>
    <x v="1"/>
  </r>
  <r>
    <x v="184"/>
    <x v="32"/>
    <x v="861"/>
    <x v="5"/>
    <x v="533"/>
    <x v="7"/>
    <x v="2"/>
    <x v="4"/>
    <x v="221"/>
    <x v="10"/>
    <x v="2983"/>
    <x v="1"/>
  </r>
  <r>
    <x v="184"/>
    <x v="37"/>
    <x v="30"/>
    <x v="3"/>
    <x v="523"/>
    <x v="7"/>
    <x v="0"/>
    <x v="2"/>
    <x v="115"/>
    <x v="12"/>
    <x v="2984"/>
    <x v="1"/>
  </r>
  <r>
    <x v="184"/>
    <x v="19"/>
    <x v="778"/>
    <x v="0"/>
    <x v="474"/>
    <x v="7"/>
    <x v="1"/>
    <x v="4"/>
    <x v="221"/>
    <x v="3"/>
    <x v="2985"/>
    <x v="1"/>
  </r>
  <r>
    <x v="184"/>
    <x v="32"/>
    <x v="83"/>
    <x v="6"/>
    <x v="422"/>
    <x v="7"/>
    <x v="2"/>
    <x v="4"/>
    <x v="221"/>
    <x v="10"/>
    <x v="2986"/>
    <x v="1"/>
  </r>
  <r>
    <x v="185"/>
    <x v="38"/>
    <x v="84"/>
    <x v="0"/>
    <x v="500"/>
    <x v="7"/>
    <x v="1"/>
    <x v="4"/>
    <x v="221"/>
    <x v="5"/>
    <x v="2987"/>
    <x v="1"/>
  </r>
  <r>
    <x v="185"/>
    <x v="20"/>
    <x v="1377"/>
    <x v="0"/>
    <x v="61"/>
    <x v="7"/>
    <x v="1"/>
    <x v="4"/>
    <x v="221"/>
    <x v="5"/>
    <x v="2988"/>
    <x v="1"/>
  </r>
  <r>
    <x v="185"/>
    <x v="12"/>
    <x v="368"/>
    <x v="0"/>
    <x v="17"/>
    <x v="7"/>
    <x v="1"/>
    <x v="4"/>
    <x v="221"/>
    <x v="5"/>
    <x v="2989"/>
    <x v="1"/>
  </r>
  <r>
    <x v="185"/>
    <x v="1"/>
    <x v="48"/>
    <x v="1"/>
    <x v="431"/>
    <x v="7"/>
    <x v="0"/>
    <x v="2"/>
    <x v="116"/>
    <x v="4"/>
    <x v="2990"/>
    <x v="1"/>
  </r>
  <r>
    <x v="185"/>
    <x v="3"/>
    <x v="599"/>
    <x v="1"/>
    <x v="579"/>
    <x v="7"/>
    <x v="0"/>
    <x v="2"/>
    <x v="116"/>
    <x v="4"/>
    <x v="2991"/>
    <x v="1"/>
  </r>
  <r>
    <x v="185"/>
    <x v="0"/>
    <x v="518"/>
    <x v="0"/>
    <x v="254"/>
    <x v="7"/>
    <x v="0"/>
    <x v="3"/>
    <x v="116"/>
    <x v="9"/>
    <x v="2992"/>
    <x v="1"/>
  </r>
  <r>
    <x v="185"/>
    <x v="32"/>
    <x v="1331"/>
    <x v="3"/>
    <x v="422"/>
    <x v="7"/>
    <x v="2"/>
    <x v="4"/>
    <x v="221"/>
    <x v="10"/>
    <x v="2993"/>
    <x v="1"/>
  </r>
  <r>
    <x v="185"/>
    <x v="32"/>
    <x v="94"/>
    <x v="6"/>
    <x v="422"/>
    <x v="7"/>
    <x v="2"/>
    <x v="4"/>
    <x v="221"/>
    <x v="10"/>
    <x v="2994"/>
    <x v="1"/>
  </r>
  <r>
    <x v="185"/>
    <x v="32"/>
    <x v="1696"/>
    <x v="7"/>
    <x v="422"/>
    <x v="7"/>
    <x v="2"/>
    <x v="4"/>
    <x v="221"/>
    <x v="10"/>
    <x v="2995"/>
    <x v="1"/>
  </r>
  <r>
    <x v="185"/>
    <x v="32"/>
    <x v="893"/>
    <x v="5"/>
    <x v="533"/>
    <x v="7"/>
    <x v="2"/>
    <x v="4"/>
    <x v="221"/>
    <x v="10"/>
    <x v="2996"/>
    <x v="1"/>
  </r>
  <r>
    <x v="185"/>
    <x v="20"/>
    <x v="87"/>
    <x v="1"/>
    <x v="387"/>
    <x v="7"/>
    <x v="0"/>
    <x v="2"/>
    <x v="116"/>
    <x v="5"/>
    <x v="2997"/>
    <x v="1"/>
  </r>
  <r>
    <x v="185"/>
    <x v="37"/>
    <x v="49"/>
    <x v="3"/>
    <x v="523"/>
    <x v="7"/>
    <x v="0"/>
    <x v="2"/>
    <x v="116"/>
    <x v="12"/>
    <x v="2998"/>
    <x v="1"/>
  </r>
  <r>
    <x v="186"/>
    <x v="9"/>
    <x v="382"/>
    <x v="0"/>
    <x v="229"/>
    <x v="7"/>
    <x v="0"/>
    <x v="0"/>
    <x v="221"/>
    <x v="5"/>
    <x v="2999"/>
    <x v="1"/>
  </r>
  <r>
    <x v="186"/>
    <x v="8"/>
    <x v="475"/>
    <x v="0"/>
    <x v="241"/>
    <x v="7"/>
    <x v="0"/>
    <x v="0"/>
    <x v="121"/>
    <x v="5"/>
    <x v="3000"/>
    <x v="1"/>
  </r>
  <r>
    <x v="186"/>
    <x v="20"/>
    <x v="49"/>
    <x v="1"/>
    <x v="381"/>
    <x v="7"/>
    <x v="0"/>
    <x v="2"/>
    <x v="117"/>
    <x v="5"/>
    <x v="3001"/>
    <x v="1"/>
  </r>
  <r>
    <x v="186"/>
    <x v="1"/>
    <x v="48"/>
    <x v="1"/>
    <x v="431"/>
    <x v="7"/>
    <x v="0"/>
    <x v="2"/>
    <x v="117"/>
    <x v="4"/>
    <x v="3002"/>
    <x v="1"/>
  </r>
  <r>
    <x v="186"/>
    <x v="38"/>
    <x v="89"/>
    <x v="0"/>
    <x v="500"/>
    <x v="7"/>
    <x v="1"/>
    <x v="4"/>
    <x v="221"/>
    <x v="5"/>
    <x v="3003"/>
    <x v="1"/>
  </r>
  <r>
    <x v="186"/>
    <x v="24"/>
    <x v="53"/>
    <x v="1"/>
    <x v="82"/>
    <x v="7"/>
    <x v="0"/>
    <x v="2"/>
    <x v="218"/>
    <x v="6"/>
    <x v="3004"/>
    <x v="1"/>
  </r>
  <r>
    <x v="186"/>
    <x v="12"/>
    <x v="155"/>
    <x v="0"/>
    <x v="17"/>
    <x v="7"/>
    <x v="1"/>
    <x v="4"/>
    <x v="221"/>
    <x v="5"/>
    <x v="3005"/>
    <x v="1"/>
  </r>
  <r>
    <x v="186"/>
    <x v="12"/>
    <x v="510"/>
    <x v="1"/>
    <x v="511"/>
    <x v="7"/>
    <x v="0"/>
    <x v="2"/>
    <x v="117"/>
    <x v="5"/>
    <x v="3006"/>
    <x v="1"/>
  </r>
  <r>
    <x v="186"/>
    <x v="27"/>
    <x v="191"/>
    <x v="1"/>
    <x v="5"/>
    <x v="7"/>
    <x v="0"/>
    <x v="2"/>
    <x v="117"/>
    <x v="5"/>
    <x v="3007"/>
    <x v="1"/>
  </r>
  <r>
    <x v="186"/>
    <x v="19"/>
    <x v="1235"/>
    <x v="0"/>
    <x v="474"/>
    <x v="7"/>
    <x v="1"/>
    <x v="4"/>
    <x v="221"/>
    <x v="3"/>
    <x v="3008"/>
    <x v="1"/>
  </r>
  <r>
    <x v="186"/>
    <x v="26"/>
    <x v="90"/>
    <x v="1"/>
    <x v="340"/>
    <x v="7"/>
    <x v="0"/>
    <x v="2"/>
    <x v="117"/>
    <x v="5"/>
    <x v="3009"/>
    <x v="1"/>
  </r>
  <r>
    <x v="186"/>
    <x v="0"/>
    <x v="45"/>
    <x v="1"/>
    <x v="258"/>
    <x v="7"/>
    <x v="0"/>
    <x v="2"/>
    <x v="117"/>
    <x v="9"/>
    <x v="3010"/>
    <x v="1"/>
  </r>
  <r>
    <x v="186"/>
    <x v="32"/>
    <x v="789"/>
    <x v="3"/>
    <x v="422"/>
    <x v="7"/>
    <x v="2"/>
    <x v="4"/>
    <x v="221"/>
    <x v="10"/>
    <x v="3011"/>
    <x v="1"/>
  </r>
  <r>
    <x v="186"/>
    <x v="32"/>
    <x v="574"/>
    <x v="2"/>
    <x v="422"/>
    <x v="7"/>
    <x v="2"/>
    <x v="4"/>
    <x v="221"/>
    <x v="10"/>
    <x v="3012"/>
    <x v="1"/>
  </r>
  <r>
    <x v="186"/>
    <x v="32"/>
    <x v="1669"/>
    <x v="7"/>
    <x v="422"/>
    <x v="7"/>
    <x v="2"/>
    <x v="4"/>
    <x v="221"/>
    <x v="10"/>
    <x v="3013"/>
    <x v="1"/>
  </r>
  <r>
    <x v="186"/>
    <x v="32"/>
    <x v="712"/>
    <x v="5"/>
    <x v="533"/>
    <x v="7"/>
    <x v="2"/>
    <x v="4"/>
    <x v="221"/>
    <x v="10"/>
    <x v="3014"/>
    <x v="1"/>
  </r>
  <r>
    <x v="186"/>
    <x v="37"/>
    <x v="40"/>
    <x v="3"/>
    <x v="523"/>
    <x v="7"/>
    <x v="0"/>
    <x v="2"/>
    <x v="117"/>
    <x v="12"/>
    <x v="3015"/>
    <x v="1"/>
  </r>
  <r>
    <x v="187"/>
    <x v="38"/>
    <x v="166"/>
    <x v="0"/>
    <x v="500"/>
    <x v="7"/>
    <x v="1"/>
    <x v="4"/>
    <x v="221"/>
    <x v="5"/>
    <x v="3016"/>
    <x v="1"/>
  </r>
  <r>
    <x v="187"/>
    <x v="9"/>
    <x v="706"/>
    <x v="0"/>
    <x v="229"/>
    <x v="7"/>
    <x v="0"/>
    <x v="0"/>
    <x v="221"/>
    <x v="5"/>
    <x v="3017"/>
    <x v="1"/>
  </r>
  <r>
    <x v="187"/>
    <x v="20"/>
    <x v="1232"/>
    <x v="0"/>
    <x v="61"/>
    <x v="7"/>
    <x v="1"/>
    <x v="4"/>
    <x v="221"/>
    <x v="5"/>
    <x v="3018"/>
    <x v="1"/>
  </r>
  <r>
    <x v="187"/>
    <x v="12"/>
    <x v="132"/>
    <x v="0"/>
    <x v="17"/>
    <x v="7"/>
    <x v="1"/>
    <x v="4"/>
    <x v="221"/>
    <x v="5"/>
    <x v="3019"/>
    <x v="1"/>
  </r>
  <r>
    <x v="187"/>
    <x v="24"/>
    <x v="256"/>
    <x v="1"/>
    <x v="82"/>
    <x v="7"/>
    <x v="0"/>
    <x v="2"/>
    <x v="118"/>
    <x v="6"/>
    <x v="3020"/>
    <x v="1"/>
  </r>
  <r>
    <x v="187"/>
    <x v="28"/>
    <x v="138"/>
    <x v="1"/>
    <x v="371"/>
    <x v="7"/>
    <x v="0"/>
    <x v="2"/>
    <x v="118"/>
    <x v="0"/>
    <x v="3021"/>
    <x v="1"/>
  </r>
  <r>
    <x v="187"/>
    <x v="32"/>
    <x v="491"/>
    <x v="3"/>
    <x v="422"/>
    <x v="7"/>
    <x v="2"/>
    <x v="4"/>
    <x v="221"/>
    <x v="10"/>
    <x v="3022"/>
    <x v="1"/>
  </r>
  <r>
    <x v="187"/>
    <x v="32"/>
    <x v="76"/>
    <x v="2"/>
    <x v="422"/>
    <x v="7"/>
    <x v="2"/>
    <x v="4"/>
    <x v="221"/>
    <x v="10"/>
    <x v="3023"/>
    <x v="1"/>
  </r>
  <r>
    <x v="187"/>
    <x v="32"/>
    <x v="87"/>
    <x v="6"/>
    <x v="422"/>
    <x v="7"/>
    <x v="2"/>
    <x v="4"/>
    <x v="221"/>
    <x v="10"/>
    <x v="3024"/>
    <x v="1"/>
  </r>
  <r>
    <x v="187"/>
    <x v="32"/>
    <x v="1580"/>
    <x v="7"/>
    <x v="422"/>
    <x v="7"/>
    <x v="2"/>
    <x v="4"/>
    <x v="221"/>
    <x v="10"/>
    <x v="3025"/>
    <x v="1"/>
  </r>
  <r>
    <x v="187"/>
    <x v="32"/>
    <x v="399"/>
    <x v="5"/>
    <x v="533"/>
    <x v="7"/>
    <x v="2"/>
    <x v="4"/>
    <x v="221"/>
    <x v="10"/>
    <x v="3026"/>
    <x v="1"/>
  </r>
  <r>
    <x v="187"/>
    <x v="37"/>
    <x v="19"/>
    <x v="3"/>
    <x v="523"/>
    <x v="7"/>
    <x v="0"/>
    <x v="2"/>
    <x v="118"/>
    <x v="12"/>
    <x v="3027"/>
    <x v="1"/>
  </r>
  <r>
    <x v="188"/>
    <x v="8"/>
    <x v="475"/>
    <x v="0"/>
    <x v="241"/>
    <x v="7"/>
    <x v="0"/>
    <x v="0"/>
    <x v="121"/>
    <x v="5"/>
    <x v="3028"/>
    <x v="1"/>
  </r>
  <r>
    <x v="188"/>
    <x v="12"/>
    <x v="432"/>
    <x v="0"/>
    <x v="17"/>
    <x v="7"/>
    <x v="1"/>
    <x v="4"/>
    <x v="221"/>
    <x v="5"/>
    <x v="3029"/>
    <x v="1"/>
  </r>
  <r>
    <x v="188"/>
    <x v="3"/>
    <x v="880"/>
    <x v="1"/>
    <x v="153"/>
    <x v="7"/>
    <x v="0"/>
    <x v="2"/>
    <x v="119"/>
    <x v="4"/>
    <x v="3030"/>
    <x v="1"/>
  </r>
  <r>
    <x v="188"/>
    <x v="20"/>
    <x v="24"/>
    <x v="0"/>
    <x v="61"/>
    <x v="7"/>
    <x v="1"/>
    <x v="4"/>
    <x v="221"/>
    <x v="5"/>
    <x v="3031"/>
    <x v="1"/>
  </r>
  <r>
    <x v="188"/>
    <x v="27"/>
    <x v="392"/>
    <x v="1"/>
    <x v="5"/>
    <x v="7"/>
    <x v="0"/>
    <x v="2"/>
    <x v="119"/>
    <x v="5"/>
    <x v="3032"/>
    <x v="1"/>
  </r>
  <r>
    <x v="188"/>
    <x v="13"/>
    <x v="60"/>
    <x v="1"/>
    <x v="403"/>
    <x v="7"/>
    <x v="0"/>
    <x v="2"/>
    <x v="119"/>
    <x v="5"/>
    <x v="3033"/>
    <x v="1"/>
  </r>
  <r>
    <x v="188"/>
    <x v="38"/>
    <x v="55"/>
    <x v="0"/>
    <x v="500"/>
    <x v="7"/>
    <x v="1"/>
    <x v="4"/>
    <x v="221"/>
    <x v="5"/>
    <x v="3034"/>
    <x v="1"/>
  </r>
  <r>
    <x v="188"/>
    <x v="32"/>
    <x v="1316"/>
    <x v="3"/>
    <x v="422"/>
    <x v="7"/>
    <x v="2"/>
    <x v="4"/>
    <x v="221"/>
    <x v="10"/>
    <x v="3035"/>
    <x v="1"/>
  </r>
  <r>
    <x v="188"/>
    <x v="32"/>
    <x v="707"/>
    <x v="2"/>
    <x v="422"/>
    <x v="7"/>
    <x v="2"/>
    <x v="4"/>
    <x v="221"/>
    <x v="10"/>
    <x v="3036"/>
    <x v="1"/>
  </r>
  <r>
    <x v="188"/>
    <x v="32"/>
    <x v="99"/>
    <x v="6"/>
    <x v="422"/>
    <x v="7"/>
    <x v="2"/>
    <x v="4"/>
    <x v="221"/>
    <x v="10"/>
    <x v="3037"/>
    <x v="1"/>
  </r>
  <r>
    <x v="188"/>
    <x v="32"/>
    <x v="1646"/>
    <x v="7"/>
    <x v="422"/>
    <x v="7"/>
    <x v="2"/>
    <x v="4"/>
    <x v="221"/>
    <x v="10"/>
    <x v="3038"/>
    <x v="1"/>
  </r>
  <r>
    <x v="188"/>
    <x v="32"/>
    <x v="191"/>
    <x v="8"/>
    <x v="422"/>
    <x v="7"/>
    <x v="2"/>
    <x v="4"/>
    <x v="221"/>
    <x v="10"/>
    <x v="3039"/>
    <x v="1"/>
  </r>
  <r>
    <x v="188"/>
    <x v="32"/>
    <x v="472"/>
    <x v="5"/>
    <x v="533"/>
    <x v="7"/>
    <x v="2"/>
    <x v="4"/>
    <x v="221"/>
    <x v="10"/>
    <x v="3040"/>
    <x v="1"/>
  </r>
  <r>
    <x v="188"/>
    <x v="37"/>
    <x v="32"/>
    <x v="3"/>
    <x v="523"/>
    <x v="7"/>
    <x v="0"/>
    <x v="2"/>
    <x v="119"/>
    <x v="12"/>
    <x v="3041"/>
    <x v="1"/>
  </r>
  <r>
    <x v="189"/>
    <x v="9"/>
    <x v="596"/>
    <x v="0"/>
    <x v="229"/>
    <x v="7"/>
    <x v="0"/>
    <x v="0"/>
    <x v="221"/>
    <x v="5"/>
    <x v="3042"/>
    <x v="1"/>
  </r>
  <r>
    <x v="189"/>
    <x v="20"/>
    <x v="150"/>
    <x v="0"/>
    <x v="61"/>
    <x v="7"/>
    <x v="1"/>
    <x v="4"/>
    <x v="221"/>
    <x v="5"/>
    <x v="3043"/>
    <x v="1"/>
  </r>
  <r>
    <x v="189"/>
    <x v="12"/>
    <x v="195"/>
    <x v="0"/>
    <x v="17"/>
    <x v="7"/>
    <x v="1"/>
    <x v="4"/>
    <x v="221"/>
    <x v="5"/>
    <x v="3044"/>
    <x v="1"/>
  </r>
  <r>
    <x v="189"/>
    <x v="24"/>
    <x v="210"/>
    <x v="1"/>
    <x v="287"/>
    <x v="7"/>
    <x v="0"/>
    <x v="2"/>
    <x v="120"/>
    <x v="6"/>
    <x v="3045"/>
    <x v="1"/>
  </r>
  <r>
    <x v="189"/>
    <x v="27"/>
    <x v="392"/>
    <x v="1"/>
    <x v="5"/>
    <x v="7"/>
    <x v="0"/>
    <x v="2"/>
    <x v="120"/>
    <x v="5"/>
    <x v="3046"/>
    <x v="1"/>
  </r>
  <r>
    <x v="189"/>
    <x v="1"/>
    <x v="60"/>
    <x v="1"/>
    <x v="431"/>
    <x v="7"/>
    <x v="0"/>
    <x v="2"/>
    <x v="120"/>
    <x v="4"/>
    <x v="3047"/>
    <x v="1"/>
  </r>
  <r>
    <x v="189"/>
    <x v="36"/>
    <x v="357"/>
    <x v="1"/>
    <x v="206"/>
    <x v="7"/>
    <x v="0"/>
    <x v="2"/>
    <x v="120"/>
    <x v="5"/>
    <x v="3048"/>
    <x v="1"/>
  </r>
  <r>
    <x v="189"/>
    <x v="19"/>
    <x v="778"/>
    <x v="0"/>
    <x v="474"/>
    <x v="7"/>
    <x v="1"/>
    <x v="4"/>
    <x v="221"/>
    <x v="3"/>
    <x v="3049"/>
    <x v="1"/>
  </r>
  <r>
    <x v="189"/>
    <x v="32"/>
    <x v="856"/>
    <x v="3"/>
    <x v="422"/>
    <x v="7"/>
    <x v="2"/>
    <x v="4"/>
    <x v="221"/>
    <x v="10"/>
    <x v="3050"/>
    <x v="1"/>
  </r>
  <r>
    <x v="189"/>
    <x v="32"/>
    <x v="1596"/>
    <x v="6"/>
    <x v="422"/>
    <x v="7"/>
    <x v="2"/>
    <x v="4"/>
    <x v="221"/>
    <x v="10"/>
    <x v="3051"/>
    <x v="1"/>
  </r>
  <r>
    <x v="189"/>
    <x v="32"/>
    <x v="1656"/>
    <x v="7"/>
    <x v="422"/>
    <x v="7"/>
    <x v="2"/>
    <x v="4"/>
    <x v="221"/>
    <x v="10"/>
    <x v="3052"/>
    <x v="1"/>
  </r>
  <r>
    <x v="189"/>
    <x v="32"/>
    <x v="856"/>
    <x v="5"/>
    <x v="533"/>
    <x v="7"/>
    <x v="2"/>
    <x v="4"/>
    <x v="221"/>
    <x v="10"/>
    <x v="3053"/>
    <x v="1"/>
  </r>
  <r>
    <x v="189"/>
    <x v="37"/>
    <x v="32"/>
    <x v="3"/>
    <x v="523"/>
    <x v="7"/>
    <x v="0"/>
    <x v="2"/>
    <x v="120"/>
    <x v="12"/>
    <x v="3054"/>
    <x v="1"/>
  </r>
  <r>
    <x v="189"/>
    <x v="0"/>
    <x v="426"/>
    <x v="1"/>
    <x v="258"/>
    <x v="7"/>
    <x v="0"/>
    <x v="2"/>
    <x v="120"/>
    <x v="9"/>
    <x v="3055"/>
    <x v="1"/>
  </r>
  <r>
    <x v="190"/>
    <x v="8"/>
    <x v="475"/>
    <x v="0"/>
    <x v="241"/>
    <x v="8"/>
    <x v="1"/>
    <x v="4"/>
    <x v="221"/>
    <x v="5"/>
    <x v="3056"/>
    <x v="1"/>
  </r>
  <r>
    <x v="190"/>
    <x v="38"/>
    <x v="331"/>
    <x v="0"/>
    <x v="500"/>
    <x v="8"/>
    <x v="1"/>
    <x v="4"/>
    <x v="221"/>
    <x v="5"/>
    <x v="3057"/>
    <x v="1"/>
  </r>
  <r>
    <x v="190"/>
    <x v="9"/>
    <x v="861"/>
    <x v="0"/>
    <x v="229"/>
    <x v="8"/>
    <x v="0"/>
    <x v="0"/>
    <x v="221"/>
    <x v="5"/>
    <x v="3058"/>
    <x v="1"/>
  </r>
  <r>
    <x v="190"/>
    <x v="12"/>
    <x v="532"/>
    <x v="0"/>
    <x v="17"/>
    <x v="8"/>
    <x v="1"/>
    <x v="4"/>
    <x v="221"/>
    <x v="5"/>
    <x v="3059"/>
    <x v="1"/>
  </r>
  <r>
    <x v="190"/>
    <x v="1"/>
    <x v="90"/>
    <x v="1"/>
    <x v="431"/>
    <x v="8"/>
    <x v="0"/>
    <x v="2"/>
    <x v="121"/>
    <x v="4"/>
    <x v="3060"/>
    <x v="1"/>
  </r>
  <r>
    <x v="190"/>
    <x v="24"/>
    <x v="87"/>
    <x v="1"/>
    <x v="159"/>
    <x v="8"/>
    <x v="0"/>
    <x v="2"/>
    <x v="121"/>
    <x v="6"/>
    <x v="3061"/>
    <x v="1"/>
  </r>
  <r>
    <x v="190"/>
    <x v="20"/>
    <x v="1746"/>
    <x v="0"/>
    <x v="61"/>
    <x v="8"/>
    <x v="1"/>
    <x v="4"/>
    <x v="221"/>
    <x v="5"/>
    <x v="3062"/>
    <x v="1"/>
  </r>
  <r>
    <x v="190"/>
    <x v="32"/>
    <x v="836"/>
    <x v="3"/>
    <x v="422"/>
    <x v="8"/>
    <x v="2"/>
    <x v="4"/>
    <x v="221"/>
    <x v="10"/>
    <x v="3063"/>
    <x v="1"/>
  </r>
  <r>
    <x v="190"/>
    <x v="32"/>
    <x v="53"/>
    <x v="2"/>
    <x v="422"/>
    <x v="8"/>
    <x v="2"/>
    <x v="4"/>
    <x v="221"/>
    <x v="10"/>
    <x v="3064"/>
    <x v="1"/>
  </r>
  <r>
    <x v="190"/>
    <x v="32"/>
    <x v="545"/>
    <x v="6"/>
    <x v="422"/>
    <x v="8"/>
    <x v="2"/>
    <x v="4"/>
    <x v="221"/>
    <x v="10"/>
    <x v="3065"/>
    <x v="1"/>
  </r>
  <r>
    <x v="190"/>
    <x v="32"/>
    <x v="1794"/>
    <x v="7"/>
    <x v="422"/>
    <x v="8"/>
    <x v="2"/>
    <x v="4"/>
    <x v="221"/>
    <x v="10"/>
    <x v="3066"/>
    <x v="1"/>
  </r>
  <r>
    <x v="190"/>
    <x v="32"/>
    <x v="335"/>
    <x v="8"/>
    <x v="422"/>
    <x v="8"/>
    <x v="2"/>
    <x v="4"/>
    <x v="221"/>
    <x v="10"/>
    <x v="3067"/>
    <x v="1"/>
  </r>
  <r>
    <x v="190"/>
    <x v="32"/>
    <x v="806"/>
    <x v="5"/>
    <x v="533"/>
    <x v="8"/>
    <x v="2"/>
    <x v="4"/>
    <x v="221"/>
    <x v="10"/>
    <x v="3068"/>
    <x v="1"/>
  </r>
  <r>
    <x v="190"/>
    <x v="37"/>
    <x v="30"/>
    <x v="3"/>
    <x v="523"/>
    <x v="8"/>
    <x v="0"/>
    <x v="2"/>
    <x v="121"/>
    <x v="12"/>
    <x v="3069"/>
    <x v="1"/>
  </r>
  <r>
    <x v="190"/>
    <x v="38"/>
    <x v="30"/>
    <x v="3"/>
    <x v="401"/>
    <x v="8"/>
    <x v="0"/>
    <x v="2"/>
    <x v="121"/>
    <x v="5"/>
    <x v="3070"/>
    <x v="1"/>
  </r>
  <r>
    <x v="190"/>
    <x v="28"/>
    <x v="134"/>
    <x v="1"/>
    <x v="371"/>
    <x v="8"/>
    <x v="0"/>
    <x v="2"/>
    <x v="121"/>
    <x v="0"/>
    <x v="3071"/>
    <x v="1"/>
  </r>
  <r>
    <x v="190"/>
    <x v="19"/>
    <x v="767"/>
    <x v="0"/>
    <x v="474"/>
    <x v="8"/>
    <x v="0"/>
    <x v="0"/>
    <x v="132"/>
    <x v="3"/>
    <x v="3072"/>
    <x v="1"/>
  </r>
  <r>
    <x v="191"/>
    <x v="9"/>
    <x v="1133"/>
    <x v="0"/>
    <x v="229"/>
    <x v="8"/>
    <x v="0"/>
    <x v="0"/>
    <x v="221"/>
    <x v="5"/>
    <x v="3073"/>
    <x v="1"/>
  </r>
  <r>
    <x v="191"/>
    <x v="38"/>
    <x v="327"/>
    <x v="0"/>
    <x v="500"/>
    <x v="8"/>
    <x v="1"/>
    <x v="4"/>
    <x v="221"/>
    <x v="5"/>
    <x v="3074"/>
    <x v="1"/>
  </r>
  <r>
    <x v="191"/>
    <x v="12"/>
    <x v="318"/>
    <x v="0"/>
    <x v="17"/>
    <x v="8"/>
    <x v="1"/>
    <x v="4"/>
    <x v="221"/>
    <x v="5"/>
    <x v="3075"/>
    <x v="1"/>
  </r>
  <r>
    <x v="191"/>
    <x v="39"/>
    <x v="40"/>
    <x v="1"/>
    <x v="578"/>
    <x v="8"/>
    <x v="0"/>
    <x v="4"/>
    <x v="221"/>
    <x v="5"/>
    <x v="3076"/>
    <x v="1"/>
  </r>
  <r>
    <x v="191"/>
    <x v="38"/>
    <x v="318"/>
    <x v="1"/>
    <x v="389"/>
    <x v="8"/>
    <x v="0"/>
    <x v="4"/>
    <x v="221"/>
    <x v="5"/>
    <x v="3077"/>
    <x v="1"/>
  </r>
  <r>
    <x v="191"/>
    <x v="0"/>
    <x v="256"/>
    <x v="1"/>
    <x v="454"/>
    <x v="8"/>
    <x v="0"/>
    <x v="4"/>
    <x v="221"/>
    <x v="9"/>
    <x v="3078"/>
    <x v="1"/>
  </r>
  <r>
    <x v="191"/>
    <x v="20"/>
    <x v="27"/>
    <x v="0"/>
    <x v="61"/>
    <x v="8"/>
    <x v="1"/>
    <x v="4"/>
    <x v="221"/>
    <x v="5"/>
    <x v="3079"/>
    <x v="1"/>
  </r>
  <r>
    <x v="191"/>
    <x v="20"/>
    <x v="1365"/>
    <x v="0"/>
    <x v="445"/>
    <x v="8"/>
    <x v="0"/>
    <x v="0"/>
    <x v="122"/>
    <x v="5"/>
    <x v="3080"/>
    <x v="1"/>
  </r>
  <r>
    <x v="191"/>
    <x v="19"/>
    <x v="767"/>
    <x v="0"/>
    <x v="474"/>
    <x v="8"/>
    <x v="0"/>
    <x v="0"/>
    <x v="132"/>
    <x v="3"/>
    <x v="3081"/>
    <x v="1"/>
  </r>
  <r>
    <x v="191"/>
    <x v="27"/>
    <x v="392"/>
    <x v="1"/>
    <x v="5"/>
    <x v="8"/>
    <x v="0"/>
    <x v="2"/>
    <x v="122"/>
    <x v="5"/>
    <x v="3082"/>
    <x v="1"/>
  </r>
  <r>
    <x v="191"/>
    <x v="20"/>
    <x v="72"/>
    <x v="3"/>
    <x v="530"/>
    <x v="8"/>
    <x v="0"/>
    <x v="2"/>
    <x v="122"/>
    <x v="5"/>
    <x v="3083"/>
    <x v="1"/>
  </r>
  <r>
    <x v="191"/>
    <x v="40"/>
    <x v="599"/>
    <x v="0"/>
    <x v="581"/>
    <x v="8"/>
    <x v="0"/>
    <x v="3"/>
    <x v="122"/>
    <x v="7"/>
    <x v="3084"/>
    <x v="1"/>
  </r>
  <r>
    <x v="191"/>
    <x v="36"/>
    <x v="33"/>
    <x v="1"/>
    <x v="383"/>
    <x v="8"/>
    <x v="0"/>
    <x v="2"/>
    <x v="122"/>
    <x v="5"/>
    <x v="3085"/>
    <x v="1"/>
  </r>
  <r>
    <x v="191"/>
    <x v="32"/>
    <x v="1050"/>
    <x v="3"/>
    <x v="422"/>
    <x v="8"/>
    <x v="2"/>
    <x v="4"/>
    <x v="221"/>
    <x v="10"/>
    <x v="3086"/>
    <x v="1"/>
  </r>
  <r>
    <x v="191"/>
    <x v="32"/>
    <x v="87"/>
    <x v="2"/>
    <x v="422"/>
    <x v="8"/>
    <x v="2"/>
    <x v="4"/>
    <x v="221"/>
    <x v="10"/>
    <x v="3087"/>
    <x v="1"/>
  </r>
  <r>
    <x v="191"/>
    <x v="32"/>
    <x v="756"/>
    <x v="6"/>
    <x v="422"/>
    <x v="8"/>
    <x v="2"/>
    <x v="4"/>
    <x v="221"/>
    <x v="10"/>
    <x v="3088"/>
    <x v="1"/>
  </r>
  <r>
    <x v="191"/>
    <x v="32"/>
    <x v="1793"/>
    <x v="7"/>
    <x v="422"/>
    <x v="8"/>
    <x v="2"/>
    <x v="4"/>
    <x v="221"/>
    <x v="10"/>
    <x v="3089"/>
    <x v="1"/>
  </r>
  <r>
    <x v="191"/>
    <x v="32"/>
    <x v="843"/>
    <x v="5"/>
    <x v="533"/>
    <x v="8"/>
    <x v="2"/>
    <x v="4"/>
    <x v="221"/>
    <x v="10"/>
    <x v="3090"/>
    <x v="1"/>
  </r>
  <r>
    <x v="191"/>
    <x v="37"/>
    <x v="49"/>
    <x v="3"/>
    <x v="523"/>
    <x v="8"/>
    <x v="0"/>
    <x v="2"/>
    <x v="122"/>
    <x v="12"/>
    <x v="3091"/>
    <x v="1"/>
  </r>
  <r>
    <x v="192"/>
    <x v="0"/>
    <x v="256"/>
    <x v="3"/>
    <x v="440"/>
    <x v="8"/>
    <x v="0"/>
    <x v="2"/>
    <x v="123"/>
    <x v="9"/>
    <x v="3092"/>
    <x v="1"/>
  </r>
  <r>
    <x v="192"/>
    <x v="9"/>
    <x v="595"/>
    <x v="0"/>
    <x v="229"/>
    <x v="8"/>
    <x v="0"/>
    <x v="0"/>
    <x v="221"/>
    <x v="5"/>
    <x v="3093"/>
    <x v="1"/>
  </r>
  <r>
    <x v="192"/>
    <x v="12"/>
    <x v="586"/>
    <x v="0"/>
    <x v="17"/>
    <x v="8"/>
    <x v="1"/>
    <x v="4"/>
    <x v="221"/>
    <x v="5"/>
    <x v="3094"/>
    <x v="1"/>
  </r>
  <r>
    <x v="192"/>
    <x v="20"/>
    <x v="49"/>
    <x v="3"/>
    <x v="381"/>
    <x v="8"/>
    <x v="0"/>
    <x v="2"/>
    <x v="123"/>
    <x v="5"/>
    <x v="3095"/>
    <x v="1"/>
  </r>
  <r>
    <x v="192"/>
    <x v="12"/>
    <x v="40"/>
    <x v="3"/>
    <x v="331"/>
    <x v="8"/>
    <x v="0"/>
    <x v="2"/>
    <x v="123"/>
    <x v="5"/>
    <x v="3096"/>
    <x v="1"/>
  </r>
  <r>
    <x v="192"/>
    <x v="13"/>
    <x v="1371"/>
    <x v="0"/>
    <x v="32"/>
    <x v="8"/>
    <x v="1"/>
    <x v="4"/>
    <x v="221"/>
    <x v="5"/>
    <x v="3097"/>
    <x v="1"/>
  </r>
  <r>
    <x v="192"/>
    <x v="20"/>
    <x v="838"/>
    <x v="0"/>
    <x v="61"/>
    <x v="8"/>
    <x v="1"/>
    <x v="4"/>
    <x v="221"/>
    <x v="5"/>
    <x v="3098"/>
    <x v="1"/>
  </r>
  <r>
    <x v="192"/>
    <x v="27"/>
    <x v="709"/>
    <x v="3"/>
    <x v="360"/>
    <x v="8"/>
    <x v="0"/>
    <x v="2"/>
    <x v="123"/>
    <x v="5"/>
    <x v="3099"/>
    <x v="1"/>
  </r>
  <r>
    <x v="192"/>
    <x v="1"/>
    <x v="164"/>
    <x v="3"/>
    <x v="431"/>
    <x v="8"/>
    <x v="0"/>
    <x v="2"/>
    <x v="123"/>
    <x v="4"/>
    <x v="3100"/>
    <x v="1"/>
  </r>
  <r>
    <x v="192"/>
    <x v="37"/>
    <x v="36"/>
    <x v="3"/>
    <x v="529"/>
    <x v="8"/>
    <x v="0"/>
    <x v="2"/>
    <x v="123"/>
    <x v="12"/>
    <x v="3101"/>
    <x v="1"/>
  </r>
  <r>
    <x v="192"/>
    <x v="0"/>
    <x v="518"/>
    <x v="3"/>
    <x v="254"/>
    <x v="8"/>
    <x v="0"/>
    <x v="3"/>
    <x v="123"/>
    <x v="9"/>
    <x v="3102"/>
    <x v="1"/>
  </r>
  <r>
    <x v="192"/>
    <x v="18"/>
    <x v="719"/>
    <x v="0"/>
    <x v="215"/>
    <x v="8"/>
    <x v="0"/>
    <x v="3"/>
    <x v="123"/>
    <x v="3"/>
    <x v="3103"/>
    <x v="1"/>
  </r>
  <r>
    <x v="192"/>
    <x v="14"/>
    <x v="894"/>
    <x v="0"/>
    <x v="128"/>
    <x v="8"/>
    <x v="0"/>
    <x v="3"/>
    <x v="221"/>
    <x v="6"/>
    <x v="3104"/>
    <x v="1"/>
  </r>
  <r>
    <x v="192"/>
    <x v="32"/>
    <x v="1272"/>
    <x v="3"/>
    <x v="422"/>
    <x v="8"/>
    <x v="2"/>
    <x v="4"/>
    <x v="221"/>
    <x v="10"/>
    <x v="3105"/>
    <x v="1"/>
  </r>
  <r>
    <x v="192"/>
    <x v="32"/>
    <x v="323"/>
    <x v="2"/>
    <x v="422"/>
    <x v="8"/>
    <x v="2"/>
    <x v="4"/>
    <x v="221"/>
    <x v="10"/>
    <x v="3106"/>
    <x v="1"/>
  </r>
  <r>
    <x v="192"/>
    <x v="32"/>
    <x v="158"/>
    <x v="6"/>
    <x v="422"/>
    <x v="8"/>
    <x v="2"/>
    <x v="4"/>
    <x v="221"/>
    <x v="10"/>
    <x v="3107"/>
    <x v="1"/>
  </r>
  <r>
    <x v="192"/>
    <x v="32"/>
    <x v="1926"/>
    <x v="7"/>
    <x v="422"/>
    <x v="8"/>
    <x v="2"/>
    <x v="4"/>
    <x v="221"/>
    <x v="10"/>
    <x v="3108"/>
    <x v="1"/>
  </r>
  <r>
    <x v="192"/>
    <x v="32"/>
    <x v="1336"/>
    <x v="5"/>
    <x v="422"/>
    <x v="8"/>
    <x v="2"/>
    <x v="4"/>
    <x v="221"/>
    <x v="10"/>
    <x v="3109"/>
    <x v="1"/>
  </r>
  <r>
    <x v="192"/>
    <x v="15"/>
    <x v="375"/>
    <x v="3"/>
    <x v="353"/>
    <x v="8"/>
    <x v="0"/>
    <x v="2"/>
    <x v="123"/>
    <x v="4"/>
    <x v="3110"/>
    <x v="1"/>
  </r>
  <r>
    <x v="193"/>
    <x v="9"/>
    <x v="1401"/>
    <x v="0"/>
    <x v="229"/>
    <x v="8"/>
    <x v="0"/>
    <x v="0"/>
    <x v="221"/>
    <x v="5"/>
    <x v="3111"/>
    <x v="1"/>
  </r>
  <r>
    <x v="193"/>
    <x v="20"/>
    <x v="189"/>
    <x v="0"/>
    <x v="61"/>
    <x v="8"/>
    <x v="0"/>
    <x v="3"/>
    <x v="124"/>
    <x v="5"/>
    <x v="3112"/>
    <x v="1"/>
  </r>
  <r>
    <x v="193"/>
    <x v="37"/>
    <x v="12"/>
    <x v="3"/>
    <x v="529"/>
    <x v="8"/>
    <x v="0"/>
    <x v="3"/>
    <x v="124"/>
    <x v="12"/>
    <x v="3113"/>
    <x v="1"/>
  </r>
  <r>
    <x v="193"/>
    <x v="24"/>
    <x v="753"/>
    <x v="1"/>
    <x v="518"/>
    <x v="8"/>
    <x v="0"/>
    <x v="3"/>
    <x v="124"/>
    <x v="6"/>
    <x v="3114"/>
    <x v="1"/>
  </r>
  <r>
    <x v="193"/>
    <x v="1"/>
    <x v="76"/>
    <x v="3"/>
    <x v="431"/>
    <x v="8"/>
    <x v="0"/>
    <x v="3"/>
    <x v="124"/>
    <x v="4"/>
    <x v="3115"/>
    <x v="1"/>
  </r>
  <r>
    <x v="193"/>
    <x v="3"/>
    <x v="518"/>
    <x v="3"/>
    <x v="576"/>
    <x v="8"/>
    <x v="0"/>
    <x v="3"/>
    <x v="124"/>
    <x v="4"/>
    <x v="3116"/>
    <x v="1"/>
  </r>
  <r>
    <x v="193"/>
    <x v="20"/>
    <x v="74"/>
    <x v="3"/>
    <x v="530"/>
    <x v="8"/>
    <x v="0"/>
    <x v="3"/>
    <x v="124"/>
    <x v="5"/>
    <x v="3117"/>
    <x v="1"/>
  </r>
  <r>
    <x v="193"/>
    <x v="38"/>
    <x v="12"/>
    <x v="3"/>
    <x v="334"/>
    <x v="8"/>
    <x v="0"/>
    <x v="3"/>
    <x v="124"/>
    <x v="5"/>
    <x v="3118"/>
    <x v="1"/>
  </r>
  <r>
    <x v="193"/>
    <x v="23"/>
    <x v="12"/>
    <x v="3"/>
    <x v="284"/>
    <x v="8"/>
    <x v="0"/>
    <x v="3"/>
    <x v="124"/>
    <x v="6"/>
    <x v="3119"/>
    <x v="1"/>
  </r>
  <r>
    <x v="193"/>
    <x v="12"/>
    <x v="27"/>
    <x v="3"/>
    <x v="331"/>
    <x v="8"/>
    <x v="0"/>
    <x v="3"/>
    <x v="124"/>
    <x v="5"/>
    <x v="3120"/>
    <x v="1"/>
  </r>
  <r>
    <x v="193"/>
    <x v="28"/>
    <x v="45"/>
    <x v="3"/>
    <x v="19"/>
    <x v="8"/>
    <x v="0"/>
    <x v="3"/>
    <x v="124"/>
    <x v="0"/>
    <x v="3121"/>
    <x v="1"/>
  </r>
  <r>
    <x v="193"/>
    <x v="0"/>
    <x v="518"/>
    <x v="1"/>
    <x v="19"/>
    <x v="8"/>
    <x v="0"/>
    <x v="3"/>
    <x v="124"/>
    <x v="9"/>
    <x v="3122"/>
    <x v="1"/>
  </r>
  <r>
    <x v="193"/>
    <x v="24"/>
    <x v="74"/>
    <x v="3"/>
    <x v="85"/>
    <x v="8"/>
    <x v="0"/>
    <x v="3"/>
    <x v="124"/>
    <x v="6"/>
    <x v="3123"/>
    <x v="1"/>
  </r>
  <r>
    <x v="193"/>
    <x v="12"/>
    <x v="890"/>
    <x v="0"/>
    <x v="48"/>
    <x v="8"/>
    <x v="2"/>
    <x v="4"/>
    <x v="221"/>
    <x v="5"/>
    <x v="3124"/>
    <x v="1"/>
  </r>
  <r>
    <x v="193"/>
    <x v="8"/>
    <x v="935"/>
    <x v="0"/>
    <x v="241"/>
    <x v="8"/>
    <x v="2"/>
    <x v="4"/>
    <x v="221"/>
    <x v="5"/>
    <x v="3125"/>
    <x v="1"/>
  </r>
  <r>
    <x v="193"/>
    <x v="32"/>
    <x v="1357"/>
    <x v="3"/>
    <x v="422"/>
    <x v="8"/>
    <x v="2"/>
    <x v="4"/>
    <x v="221"/>
    <x v="10"/>
    <x v="3126"/>
    <x v="1"/>
  </r>
  <r>
    <x v="193"/>
    <x v="32"/>
    <x v="138"/>
    <x v="6"/>
    <x v="422"/>
    <x v="8"/>
    <x v="2"/>
    <x v="4"/>
    <x v="221"/>
    <x v="10"/>
    <x v="3127"/>
    <x v="1"/>
  </r>
  <r>
    <x v="193"/>
    <x v="32"/>
    <x v="1561"/>
    <x v="7"/>
    <x v="422"/>
    <x v="8"/>
    <x v="2"/>
    <x v="4"/>
    <x v="221"/>
    <x v="10"/>
    <x v="3128"/>
    <x v="1"/>
  </r>
  <r>
    <x v="193"/>
    <x v="32"/>
    <x v="327"/>
    <x v="5"/>
    <x v="422"/>
    <x v="8"/>
    <x v="2"/>
    <x v="4"/>
    <x v="221"/>
    <x v="10"/>
    <x v="3129"/>
    <x v="1"/>
  </r>
  <r>
    <x v="195"/>
    <x v="0"/>
    <x v="599"/>
    <x v="1"/>
    <x v="11"/>
    <x v="8"/>
    <x v="0"/>
    <x v="3"/>
    <x v="125"/>
    <x v="9"/>
    <x v="3130"/>
    <x v="1"/>
  </r>
  <r>
    <x v="195"/>
    <x v="0"/>
    <x v="518"/>
    <x v="1"/>
    <x v="568"/>
    <x v="8"/>
    <x v="0"/>
    <x v="3"/>
    <x v="125"/>
    <x v="9"/>
    <x v="3131"/>
    <x v="1"/>
  </r>
  <r>
    <x v="195"/>
    <x v="28"/>
    <x v="138"/>
    <x v="3"/>
    <x v="517"/>
    <x v="8"/>
    <x v="0"/>
    <x v="3"/>
    <x v="125"/>
    <x v="0"/>
    <x v="3132"/>
    <x v="1"/>
  </r>
  <r>
    <x v="195"/>
    <x v="20"/>
    <x v="139"/>
    <x v="3"/>
    <x v="207"/>
    <x v="8"/>
    <x v="0"/>
    <x v="3"/>
    <x v="125"/>
    <x v="5"/>
    <x v="3133"/>
    <x v="1"/>
  </r>
  <r>
    <x v="195"/>
    <x v="0"/>
    <x v="94"/>
    <x v="0"/>
    <x v="570"/>
    <x v="8"/>
    <x v="0"/>
    <x v="3"/>
    <x v="125"/>
    <x v="9"/>
    <x v="3134"/>
    <x v="1"/>
  </r>
  <r>
    <x v="197"/>
    <x v="9"/>
    <x v="1350"/>
    <x v="0"/>
    <x v="229"/>
    <x v="8"/>
    <x v="0"/>
    <x v="0"/>
    <x v="221"/>
    <x v="5"/>
    <x v="3135"/>
    <x v="1"/>
  </r>
  <r>
    <x v="197"/>
    <x v="27"/>
    <x v="709"/>
    <x v="1"/>
    <x v="7"/>
    <x v="8"/>
    <x v="0"/>
    <x v="2"/>
    <x v="221"/>
    <x v="5"/>
    <x v="3136"/>
    <x v="1"/>
  </r>
  <r>
    <x v="197"/>
    <x v="27"/>
    <x v="191"/>
    <x v="1"/>
    <x v="7"/>
    <x v="8"/>
    <x v="0"/>
    <x v="2"/>
    <x v="221"/>
    <x v="5"/>
    <x v="3137"/>
    <x v="1"/>
  </r>
  <r>
    <x v="197"/>
    <x v="8"/>
    <x v="475"/>
    <x v="0"/>
    <x v="241"/>
    <x v="8"/>
    <x v="1"/>
    <x v="4"/>
    <x v="221"/>
    <x v="5"/>
    <x v="3138"/>
    <x v="1"/>
  </r>
  <r>
    <x v="197"/>
    <x v="38"/>
    <x v="556"/>
    <x v="0"/>
    <x v="276"/>
    <x v="8"/>
    <x v="0"/>
    <x v="3"/>
    <x v="146"/>
    <x v="5"/>
    <x v="3139"/>
    <x v="1"/>
  </r>
  <r>
    <x v="197"/>
    <x v="12"/>
    <x v="461"/>
    <x v="0"/>
    <x v="48"/>
    <x v="8"/>
    <x v="1"/>
    <x v="4"/>
    <x v="221"/>
    <x v="5"/>
    <x v="3140"/>
    <x v="1"/>
  </r>
  <r>
    <x v="197"/>
    <x v="20"/>
    <x v="1117"/>
    <x v="0"/>
    <x v="61"/>
    <x v="8"/>
    <x v="1"/>
    <x v="4"/>
    <x v="221"/>
    <x v="5"/>
    <x v="3141"/>
    <x v="1"/>
  </r>
  <r>
    <x v="197"/>
    <x v="20"/>
    <x v="68"/>
    <x v="1"/>
    <x v="530"/>
    <x v="8"/>
    <x v="0"/>
    <x v="3"/>
    <x v="126"/>
    <x v="5"/>
    <x v="3142"/>
    <x v="1"/>
  </r>
  <r>
    <x v="197"/>
    <x v="37"/>
    <x v="19"/>
    <x v="1"/>
    <x v="529"/>
    <x v="8"/>
    <x v="0"/>
    <x v="3"/>
    <x v="126"/>
    <x v="12"/>
    <x v="3143"/>
    <x v="1"/>
  </r>
  <r>
    <x v="197"/>
    <x v="23"/>
    <x v="25"/>
    <x v="1"/>
    <x v="284"/>
    <x v="8"/>
    <x v="0"/>
    <x v="3"/>
    <x v="126"/>
    <x v="6"/>
    <x v="3144"/>
    <x v="1"/>
  </r>
  <r>
    <x v="197"/>
    <x v="24"/>
    <x v="60"/>
    <x v="1"/>
    <x v="438"/>
    <x v="8"/>
    <x v="0"/>
    <x v="4"/>
    <x v="221"/>
    <x v="6"/>
    <x v="3145"/>
    <x v="1"/>
  </r>
  <r>
    <x v="197"/>
    <x v="13"/>
    <x v="198"/>
    <x v="1"/>
    <x v="154"/>
    <x v="8"/>
    <x v="0"/>
    <x v="4"/>
    <x v="221"/>
    <x v="5"/>
    <x v="3146"/>
    <x v="1"/>
  </r>
  <r>
    <x v="197"/>
    <x v="12"/>
    <x v="19"/>
    <x v="1"/>
    <x v="331"/>
    <x v="8"/>
    <x v="0"/>
    <x v="4"/>
    <x v="221"/>
    <x v="5"/>
    <x v="3147"/>
    <x v="1"/>
  </r>
  <r>
    <x v="197"/>
    <x v="38"/>
    <x v="12"/>
    <x v="1"/>
    <x v="64"/>
    <x v="8"/>
    <x v="0"/>
    <x v="4"/>
    <x v="221"/>
    <x v="5"/>
    <x v="3148"/>
    <x v="1"/>
  </r>
  <r>
    <x v="197"/>
    <x v="38"/>
    <x v="12"/>
    <x v="1"/>
    <x v="443"/>
    <x v="8"/>
    <x v="0"/>
    <x v="4"/>
    <x v="221"/>
    <x v="5"/>
    <x v="3149"/>
    <x v="1"/>
  </r>
  <r>
    <x v="197"/>
    <x v="11"/>
    <x v="40"/>
    <x v="1"/>
    <x v="169"/>
    <x v="8"/>
    <x v="0"/>
    <x v="4"/>
    <x v="221"/>
    <x v="2"/>
    <x v="3150"/>
    <x v="1"/>
  </r>
  <r>
    <x v="197"/>
    <x v="0"/>
    <x v="1146"/>
    <x v="0"/>
    <x v="25"/>
    <x v="8"/>
    <x v="0"/>
    <x v="0"/>
    <x v="126"/>
    <x v="9"/>
    <x v="3151"/>
    <x v="1"/>
  </r>
  <r>
    <x v="197"/>
    <x v="32"/>
    <x v="588"/>
    <x v="3"/>
    <x v="422"/>
    <x v="8"/>
    <x v="2"/>
    <x v="4"/>
    <x v="221"/>
    <x v="10"/>
    <x v="3152"/>
    <x v="1"/>
  </r>
  <r>
    <x v="197"/>
    <x v="32"/>
    <x v="12"/>
    <x v="6"/>
    <x v="422"/>
    <x v="8"/>
    <x v="2"/>
    <x v="4"/>
    <x v="221"/>
    <x v="10"/>
    <x v="3153"/>
    <x v="1"/>
  </r>
  <r>
    <x v="197"/>
    <x v="32"/>
    <x v="1846"/>
    <x v="7"/>
    <x v="422"/>
    <x v="8"/>
    <x v="2"/>
    <x v="4"/>
    <x v="221"/>
    <x v="10"/>
    <x v="3154"/>
    <x v="1"/>
  </r>
  <r>
    <x v="197"/>
    <x v="32"/>
    <x v="579"/>
    <x v="5"/>
    <x v="422"/>
    <x v="8"/>
    <x v="2"/>
    <x v="4"/>
    <x v="221"/>
    <x v="10"/>
    <x v="3155"/>
    <x v="1"/>
  </r>
  <r>
    <x v="197"/>
    <x v="32"/>
    <x v="527"/>
    <x v="2"/>
    <x v="422"/>
    <x v="8"/>
    <x v="2"/>
    <x v="4"/>
    <x v="221"/>
    <x v="10"/>
    <x v="3156"/>
    <x v="1"/>
  </r>
  <r>
    <x v="197"/>
    <x v="0"/>
    <x v="939"/>
    <x v="1"/>
    <x v="297"/>
    <x v="8"/>
    <x v="0"/>
    <x v="2"/>
    <x v="126"/>
    <x v="9"/>
    <x v="3157"/>
    <x v="1"/>
  </r>
  <r>
    <x v="197"/>
    <x v="0"/>
    <x v="1306"/>
    <x v="0"/>
    <x v="297"/>
    <x v="8"/>
    <x v="0"/>
    <x v="3"/>
    <x v="126"/>
    <x v="9"/>
    <x v="3158"/>
    <x v="1"/>
  </r>
  <r>
    <x v="197"/>
    <x v="38"/>
    <x v="324"/>
    <x v="0"/>
    <x v="522"/>
    <x v="8"/>
    <x v="1"/>
    <x v="4"/>
    <x v="221"/>
    <x v="5"/>
    <x v="3159"/>
    <x v="1"/>
  </r>
  <r>
    <x v="198"/>
    <x v="24"/>
    <x v="45"/>
    <x v="3"/>
    <x v="218"/>
    <x v="8"/>
    <x v="0"/>
    <x v="3"/>
    <x v="127"/>
    <x v="6"/>
    <x v="3160"/>
    <x v="1"/>
  </r>
  <r>
    <x v="198"/>
    <x v="9"/>
    <x v="633"/>
    <x v="0"/>
    <x v="229"/>
    <x v="8"/>
    <x v="0"/>
    <x v="0"/>
    <x v="221"/>
    <x v="5"/>
    <x v="3161"/>
    <x v="1"/>
  </r>
  <r>
    <x v="198"/>
    <x v="38"/>
    <x v="67"/>
    <x v="0"/>
    <x v="522"/>
    <x v="8"/>
    <x v="1"/>
    <x v="4"/>
    <x v="221"/>
    <x v="5"/>
    <x v="3162"/>
    <x v="1"/>
  </r>
  <r>
    <x v="198"/>
    <x v="3"/>
    <x v="506"/>
    <x v="3"/>
    <x v="415"/>
    <x v="8"/>
    <x v="0"/>
    <x v="3"/>
    <x v="127"/>
    <x v="4"/>
    <x v="3163"/>
    <x v="1"/>
  </r>
  <r>
    <x v="198"/>
    <x v="20"/>
    <x v="1960"/>
    <x v="0"/>
    <x v="61"/>
    <x v="8"/>
    <x v="1"/>
    <x v="4"/>
    <x v="221"/>
    <x v="5"/>
    <x v="3164"/>
    <x v="1"/>
  </r>
  <r>
    <x v="198"/>
    <x v="15"/>
    <x v="394"/>
    <x v="3"/>
    <x v="353"/>
    <x v="8"/>
    <x v="0"/>
    <x v="3"/>
    <x v="128"/>
    <x v="4"/>
    <x v="3165"/>
    <x v="1"/>
  </r>
  <r>
    <x v="198"/>
    <x v="20"/>
    <x v="49"/>
    <x v="3"/>
    <x v="381"/>
    <x v="8"/>
    <x v="0"/>
    <x v="3"/>
    <x v="127"/>
    <x v="5"/>
    <x v="3166"/>
    <x v="1"/>
  </r>
  <r>
    <x v="198"/>
    <x v="37"/>
    <x v="12"/>
    <x v="3"/>
    <x v="546"/>
    <x v="8"/>
    <x v="0"/>
    <x v="3"/>
    <x v="127"/>
    <x v="12"/>
    <x v="3167"/>
    <x v="1"/>
  </r>
  <r>
    <x v="198"/>
    <x v="23"/>
    <x v="12"/>
    <x v="3"/>
    <x v="284"/>
    <x v="8"/>
    <x v="0"/>
    <x v="3"/>
    <x v="127"/>
    <x v="6"/>
    <x v="3168"/>
    <x v="1"/>
  </r>
  <r>
    <x v="198"/>
    <x v="32"/>
    <x v="917"/>
    <x v="3"/>
    <x v="422"/>
    <x v="8"/>
    <x v="2"/>
    <x v="4"/>
    <x v="221"/>
    <x v="10"/>
    <x v="3169"/>
    <x v="1"/>
  </r>
  <r>
    <x v="198"/>
    <x v="32"/>
    <x v="49"/>
    <x v="6"/>
    <x v="422"/>
    <x v="8"/>
    <x v="2"/>
    <x v="4"/>
    <x v="221"/>
    <x v="10"/>
    <x v="3170"/>
    <x v="1"/>
  </r>
  <r>
    <x v="198"/>
    <x v="32"/>
    <x v="1762"/>
    <x v="7"/>
    <x v="422"/>
    <x v="8"/>
    <x v="2"/>
    <x v="4"/>
    <x v="221"/>
    <x v="10"/>
    <x v="3171"/>
    <x v="1"/>
  </r>
  <r>
    <x v="198"/>
    <x v="32"/>
    <x v="780"/>
    <x v="5"/>
    <x v="422"/>
    <x v="8"/>
    <x v="2"/>
    <x v="4"/>
    <x v="221"/>
    <x v="10"/>
    <x v="3172"/>
    <x v="1"/>
  </r>
  <r>
    <x v="198"/>
    <x v="39"/>
    <x v="27"/>
    <x v="3"/>
    <x v="2"/>
    <x v="8"/>
    <x v="0"/>
    <x v="3"/>
    <x v="127"/>
    <x v="5"/>
    <x v="3173"/>
    <x v="1"/>
  </r>
  <r>
    <x v="198"/>
    <x v="15"/>
    <x v="74"/>
    <x v="3"/>
    <x v="191"/>
    <x v="8"/>
    <x v="0"/>
    <x v="3"/>
    <x v="127"/>
    <x v="4"/>
    <x v="3174"/>
    <x v="1"/>
  </r>
  <r>
    <x v="199"/>
    <x v="28"/>
    <x v="138"/>
    <x v="3"/>
    <x v="517"/>
    <x v="8"/>
    <x v="0"/>
    <x v="3"/>
    <x v="221"/>
    <x v="0"/>
    <x v="3175"/>
    <x v="1"/>
  </r>
  <r>
    <x v="199"/>
    <x v="38"/>
    <x v="210"/>
    <x v="0"/>
    <x v="275"/>
    <x v="8"/>
    <x v="0"/>
    <x v="3"/>
    <x v="146"/>
    <x v="5"/>
    <x v="3176"/>
    <x v="1"/>
  </r>
  <r>
    <x v="199"/>
    <x v="9"/>
    <x v="821"/>
    <x v="0"/>
    <x v="229"/>
    <x v="8"/>
    <x v="0"/>
    <x v="0"/>
    <x v="221"/>
    <x v="5"/>
    <x v="3177"/>
    <x v="1"/>
  </r>
  <r>
    <x v="199"/>
    <x v="12"/>
    <x v="516"/>
    <x v="0"/>
    <x v="48"/>
    <x v="8"/>
    <x v="1"/>
    <x v="3"/>
    <x v="221"/>
    <x v="5"/>
    <x v="3178"/>
    <x v="1"/>
  </r>
  <r>
    <x v="199"/>
    <x v="23"/>
    <x v="12"/>
    <x v="3"/>
    <x v="284"/>
    <x v="8"/>
    <x v="0"/>
    <x v="3"/>
    <x v="221"/>
    <x v="6"/>
    <x v="3179"/>
    <x v="1"/>
  </r>
  <r>
    <x v="199"/>
    <x v="3"/>
    <x v="599"/>
    <x v="3"/>
    <x v="577"/>
    <x v="8"/>
    <x v="0"/>
    <x v="3"/>
    <x v="221"/>
    <x v="4"/>
    <x v="3180"/>
    <x v="1"/>
  </r>
  <r>
    <x v="199"/>
    <x v="1"/>
    <x v="407"/>
    <x v="3"/>
    <x v="431"/>
    <x v="8"/>
    <x v="0"/>
    <x v="3"/>
    <x v="221"/>
    <x v="4"/>
    <x v="3181"/>
    <x v="1"/>
  </r>
  <r>
    <x v="199"/>
    <x v="0"/>
    <x v="45"/>
    <x v="3"/>
    <x v="566"/>
    <x v="8"/>
    <x v="0"/>
    <x v="3"/>
    <x v="221"/>
    <x v="9"/>
    <x v="3182"/>
    <x v="1"/>
  </r>
  <r>
    <x v="199"/>
    <x v="38"/>
    <x v="5"/>
    <x v="3"/>
    <x v="64"/>
    <x v="8"/>
    <x v="0"/>
    <x v="3"/>
    <x v="221"/>
    <x v="5"/>
    <x v="3183"/>
    <x v="1"/>
  </r>
  <r>
    <x v="199"/>
    <x v="38"/>
    <x v="12"/>
    <x v="3"/>
    <x v="334"/>
    <x v="8"/>
    <x v="0"/>
    <x v="3"/>
    <x v="221"/>
    <x v="5"/>
    <x v="3184"/>
    <x v="1"/>
  </r>
  <r>
    <x v="199"/>
    <x v="38"/>
    <x v="343"/>
    <x v="0"/>
    <x v="552"/>
    <x v="8"/>
    <x v="0"/>
    <x v="3"/>
    <x v="221"/>
    <x v="5"/>
    <x v="3185"/>
    <x v="1"/>
  </r>
  <r>
    <x v="199"/>
    <x v="32"/>
    <x v="1134"/>
    <x v="3"/>
    <x v="422"/>
    <x v="8"/>
    <x v="2"/>
    <x v="4"/>
    <x v="221"/>
    <x v="10"/>
    <x v="3186"/>
    <x v="1"/>
  </r>
  <r>
    <x v="199"/>
    <x v="32"/>
    <x v="762"/>
    <x v="2"/>
    <x v="422"/>
    <x v="8"/>
    <x v="2"/>
    <x v="4"/>
    <x v="221"/>
    <x v="10"/>
    <x v="3187"/>
    <x v="1"/>
  </r>
  <r>
    <x v="199"/>
    <x v="32"/>
    <x v="434"/>
    <x v="6"/>
    <x v="422"/>
    <x v="8"/>
    <x v="2"/>
    <x v="4"/>
    <x v="221"/>
    <x v="10"/>
    <x v="3188"/>
    <x v="1"/>
  </r>
  <r>
    <x v="199"/>
    <x v="32"/>
    <x v="1913"/>
    <x v="7"/>
    <x v="422"/>
    <x v="8"/>
    <x v="2"/>
    <x v="4"/>
    <x v="221"/>
    <x v="10"/>
    <x v="3189"/>
    <x v="1"/>
  </r>
  <r>
    <x v="199"/>
    <x v="32"/>
    <x v="1380"/>
    <x v="5"/>
    <x v="422"/>
    <x v="8"/>
    <x v="2"/>
    <x v="4"/>
    <x v="221"/>
    <x v="10"/>
    <x v="3190"/>
    <x v="1"/>
  </r>
  <r>
    <x v="199"/>
    <x v="32"/>
    <x v="470"/>
    <x v="8"/>
    <x v="422"/>
    <x v="8"/>
    <x v="2"/>
    <x v="4"/>
    <x v="221"/>
    <x v="10"/>
    <x v="3191"/>
    <x v="1"/>
  </r>
  <r>
    <x v="199"/>
    <x v="0"/>
    <x v="518"/>
    <x v="0"/>
    <x v="254"/>
    <x v="8"/>
    <x v="0"/>
    <x v="3"/>
    <x v="128"/>
    <x v="9"/>
    <x v="3192"/>
    <x v="1"/>
  </r>
  <r>
    <x v="200"/>
    <x v="8"/>
    <x v="816"/>
    <x v="0"/>
    <x v="241"/>
    <x v="8"/>
    <x v="1"/>
    <x v="3"/>
    <x v="221"/>
    <x v="5"/>
    <x v="3193"/>
    <x v="1"/>
  </r>
  <r>
    <x v="200"/>
    <x v="1"/>
    <x v="158"/>
    <x v="3"/>
    <x v="431"/>
    <x v="8"/>
    <x v="0"/>
    <x v="3"/>
    <x v="129"/>
    <x v="4"/>
    <x v="3194"/>
    <x v="1"/>
  </r>
  <r>
    <x v="200"/>
    <x v="0"/>
    <x v="134"/>
    <x v="0"/>
    <x v="566"/>
    <x v="8"/>
    <x v="0"/>
    <x v="3"/>
    <x v="129"/>
    <x v="9"/>
    <x v="3195"/>
    <x v="1"/>
  </r>
  <r>
    <x v="200"/>
    <x v="9"/>
    <x v="1087"/>
    <x v="0"/>
    <x v="229"/>
    <x v="8"/>
    <x v="0"/>
    <x v="0"/>
    <x v="221"/>
    <x v="5"/>
    <x v="3196"/>
    <x v="1"/>
  </r>
  <r>
    <x v="200"/>
    <x v="12"/>
    <x v="158"/>
    <x v="3"/>
    <x v="406"/>
    <x v="8"/>
    <x v="0"/>
    <x v="3"/>
    <x v="129"/>
    <x v="5"/>
    <x v="3197"/>
    <x v="1"/>
  </r>
  <r>
    <x v="200"/>
    <x v="24"/>
    <x v="45"/>
    <x v="3"/>
    <x v="265"/>
    <x v="8"/>
    <x v="0"/>
    <x v="3"/>
    <x v="129"/>
    <x v="6"/>
    <x v="3198"/>
    <x v="1"/>
  </r>
  <r>
    <x v="200"/>
    <x v="24"/>
    <x v="45"/>
    <x v="3"/>
    <x v="375"/>
    <x v="8"/>
    <x v="0"/>
    <x v="3"/>
    <x v="129"/>
    <x v="6"/>
    <x v="3199"/>
    <x v="1"/>
  </r>
  <r>
    <x v="200"/>
    <x v="38"/>
    <x v="389"/>
    <x v="0"/>
    <x v="500"/>
    <x v="8"/>
    <x v="1"/>
    <x v="4"/>
    <x v="221"/>
    <x v="5"/>
    <x v="3200"/>
    <x v="1"/>
  </r>
  <r>
    <x v="200"/>
    <x v="38"/>
    <x v="407"/>
    <x v="0"/>
    <x v="470"/>
    <x v="8"/>
    <x v="0"/>
    <x v="3"/>
    <x v="221"/>
    <x v="5"/>
    <x v="3201"/>
    <x v="1"/>
  </r>
  <r>
    <x v="200"/>
    <x v="36"/>
    <x v="45"/>
    <x v="3"/>
    <x v="375"/>
    <x v="8"/>
    <x v="0"/>
    <x v="3"/>
    <x v="221"/>
    <x v="5"/>
    <x v="3202"/>
    <x v="1"/>
  </r>
  <r>
    <x v="200"/>
    <x v="23"/>
    <x v="12"/>
    <x v="3"/>
    <x v="285"/>
    <x v="8"/>
    <x v="0"/>
    <x v="3"/>
    <x v="221"/>
    <x v="6"/>
    <x v="3203"/>
    <x v="1"/>
  </r>
  <r>
    <x v="200"/>
    <x v="32"/>
    <x v="479"/>
    <x v="3"/>
    <x v="422"/>
    <x v="8"/>
    <x v="2"/>
    <x v="4"/>
    <x v="221"/>
    <x v="10"/>
    <x v="3204"/>
    <x v="1"/>
  </r>
  <r>
    <x v="200"/>
    <x v="32"/>
    <x v="1069"/>
    <x v="8"/>
    <x v="422"/>
    <x v="8"/>
    <x v="2"/>
    <x v="4"/>
    <x v="221"/>
    <x v="10"/>
    <x v="3205"/>
    <x v="1"/>
  </r>
  <r>
    <x v="200"/>
    <x v="32"/>
    <x v="1679"/>
    <x v="7"/>
    <x v="422"/>
    <x v="8"/>
    <x v="1"/>
    <x v="4"/>
    <x v="221"/>
    <x v="10"/>
    <x v="3206"/>
    <x v="1"/>
  </r>
  <r>
    <x v="201"/>
    <x v="9"/>
    <x v="619"/>
    <x v="0"/>
    <x v="231"/>
    <x v="8"/>
    <x v="0"/>
    <x v="0"/>
    <x v="221"/>
    <x v="5"/>
    <x v="3207"/>
    <x v="1"/>
  </r>
  <r>
    <x v="201"/>
    <x v="12"/>
    <x v="264"/>
    <x v="0"/>
    <x v="48"/>
    <x v="8"/>
    <x v="1"/>
    <x v="4"/>
    <x v="221"/>
    <x v="5"/>
    <x v="3208"/>
    <x v="1"/>
  </r>
  <r>
    <x v="201"/>
    <x v="24"/>
    <x v="518"/>
    <x v="0"/>
    <x v="205"/>
    <x v="8"/>
    <x v="0"/>
    <x v="4"/>
    <x v="221"/>
    <x v="6"/>
    <x v="3209"/>
    <x v="1"/>
  </r>
  <r>
    <x v="202"/>
    <x v="8"/>
    <x v="475"/>
    <x v="0"/>
    <x v="241"/>
    <x v="8"/>
    <x v="1"/>
    <x v="4"/>
    <x v="221"/>
    <x v="5"/>
    <x v="3210"/>
    <x v="1"/>
  </r>
  <r>
    <x v="202"/>
    <x v="12"/>
    <x v="475"/>
    <x v="0"/>
    <x v="48"/>
    <x v="8"/>
    <x v="1"/>
    <x v="4"/>
    <x v="221"/>
    <x v="5"/>
    <x v="3211"/>
    <x v="1"/>
  </r>
  <r>
    <x v="202"/>
    <x v="24"/>
    <x v="224"/>
    <x v="3"/>
    <x v="220"/>
    <x v="8"/>
    <x v="0"/>
    <x v="4"/>
    <x v="131"/>
    <x v="6"/>
    <x v="3212"/>
    <x v="1"/>
  </r>
  <r>
    <x v="202"/>
    <x v="9"/>
    <x v="400"/>
    <x v="0"/>
    <x v="231"/>
    <x v="8"/>
    <x v="0"/>
    <x v="0"/>
    <x v="221"/>
    <x v="5"/>
    <x v="3213"/>
    <x v="1"/>
  </r>
  <r>
    <x v="202"/>
    <x v="23"/>
    <x v="12"/>
    <x v="3"/>
    <x v="283"/>
    <x v="8"/>
    <x v="0"/>
    <x v="4"/>
    <x v="131"/>
    <x v="6"/>
    <x v="3214"/>
    <x v="1"/>
  </r>
  <r>
    <x v="202"/>
    <x v="27"/>
    <x v="709"/>
    <x v="3"/>
    <x v="360"/>
    <x v="8"/>
    <x v="0"/>
    <x v="4"/>
    <x v="131"/>
    <x v="5"/>
    <x v="3215"/>
    <x v="1"/>
  </r>
  <r>
    <x v="201"/>
    <x v="32"/>
    <x v="819"/>
    <x v="3"/>
    <x v="422"/>
    <x v="8"/>
    <x v="2"/>
    <x v="4"/>
    <x v="221"/>
    <x v="10"/>
    <x v="3216"/>
    <x v="1"/>
  </r>
  <r>
    <x v="201"/>
    <x v="32"/>
    <x v="431"/>
    <x v="2"/>
    <x v="422"/>
    <x v="8"/>
    <x v="2"/>
    <x v="4"/>
    <x v="221"/>
    <x v="10"/>
    <x v="3217"/>
    <x v="1"/>
  </r>
  <r>
    <x v="201"/>
    <x v="32"/>
    <x v="392"/>
    <x v="6"/>
    <x v="422"/>
    <x v="8"/>
    <x v="2"/>
    <x v="4"/>
    <x v="221"/>
    <x v="10"/>
    <x v="3218"/>
    <x v="1"/>
  </r>
  <r>
    <x v="201"/>
    <x v="32"/>
    <x v="1397"/>
    <x v="7"/>
    <x v="422"/>
    <x v="8"/>
    <x v="2"/>
    <x v="4"/>
    <x v="221"/>
    <x v="10"/>
    <x v="3219"/>
    <x v="1"/>
  </r>
  <r>
    <x v="201"/>
    <x v="32"/>
    <x v="754"/>
    <x v="5"/>
    <x v="422"/>
    <x v="8"/>
    <x v="2"/>
    <x v="4"/>
    <x v="221"/>
    <x v="10"/>
    <x v="3220"/>
    <x v="1"/>
  </r>
  <r>
    <x v="201"/>
    <x v="11"/>
    <x v="45"/>
    <x v="3"/>
    <x v="201"/>
    <x v="8"/>
    <x v="0"/>
    <x v="3"/>
    <x v="130"/>
    <x v="2"/>
    <x v="3221"/>
    <x v="1"/>
  </r>
  <r>
    <x v="202"/>
    <x v="13"/>
    <x v="1727"/>
    <x v="0"/>
    <x v="558"/>
    <x v="8"/>
    <x v="1"/>
    <x v="4"/>
    <x v="221"/>
    <x v="5"/>
    <x v="3222"/>
    <x v="1"/>
  </r>
  <r>
    <x v="202"/>
    <x v="20"/>
    <x v="28"/>
    <x v="3"/>
    <x v="147"/>
    <x v="8"/>
    <x v="0"/>
    <x v="4"/>
    <x v="131"/>
    <x v="5"/>
    <x v="3223"/>
    <x v="1"/>
  </r>
  <r>
    <x v="202"/>
    <x v="23"/>
    <x v="19"/>
    <x v="3"/>
    <x v="283"/>
    <x v="8"/>
    <x v="0"/>
    <x v="4"/>
    <x v="131"/>
    <x v="6"/>
    <x v="3224"/>
    <x v="1"/>
  </r>
  <r>
    <x v="202"/>
    <x v="24"/>
    <x v="9"/>
    <x v="3"/>
    <x v="302"/>
    <x v="8"/>
    <x v="0"/>
    <x v="4"/>
    <x v="131"/>
    <x v="6"/>
    <x v="3225"/>
    <x v="1"/>
  </r>
  <r>
    <x v="203"/>
    <x v="9"/>
    <x v="923"/>
    <x v="0"/>
    <x v="231"/>
    <x v="8"/>
    <x v="0"/>
    <x v="0"/>
    <x v="221"/>
    <x v="5"/>
    <x v="3226"/>
    <x v="1"/>
  </r>
  <r>
    <x v="203"/>
    <x v="12"/>
    <x v="662"/>
    <x v="0"/>
    <x v="48"/>
    <x v="8"/>
    <x v="1"/>
    <x v="4"/>
    <x v="221"/>
    <x v="5"/>
    <x v="3227"/>
    <x v="1"/>
  </r>
  <r>
    <x v="203"/>
    <x v="24"/>
    <x v="36"/>
    <x v="3"/>
    <x v="519"/>
    <x v="8"/>
    <x v="0"/>
    <x v="3"/>
    <x v="132"/>
    <x v="6"/>
    <x v="3228"/>
    <x v="1"/>
  </r>
  <r>
    <x v="203"/>
    <x v="1"/>
    <x v="53"/>
    <x v="3"/>
    <x v="473"/>
    <x v="8"/>
    <x v="0"/>
    <x v="3"/>
    <x v="132"/>
    <x v="4"/>
    <x v="3229"/>
    <x v="1"/>
  </r>
  <r>
    <x v="203"/>
    <x v="13"/>
    <x v="224"/>
    <x v="3"/>
    <x v="84"/>
    <x v="8"/>
    <x v="0"/>
    <x v="3"/>
    <x v="132"/>
    <x v="5"/>
    <x v="3230"/>
    <x v="1"/>
  </r>
  <r>
    <x v="203"/>
    <x v="12"/>
    <x v="65"/>
    <x v="3"/>
    <x v="497"/>
    <x v="8"/>
    <x v="0"/>
    <x v="3"/>
    <x v="132"/>
    <x v="5"/>
    <x v="3231"/>
    <x v="1"/>
  </r>
  <r>
    <x v="203"/>
    <x v="20"/>
    <x v="27"/>
    <x v="3"/>
    <x v="58"/>
    <x v="8"/>
    <x v="0"/>
    <x v="3"/>
    <x v="132"/>
    <x v="5"/>
    <x v="3232"/>
    <x v="1"/>
  </r>
  <r>
    <x v="203"/>
    <x v="38"/>
    <x v="19"/>
    <x v="3"/>
    <x v="401"/>
    <x v="8"/>
    <x v="0"/>
    <x v="3"/>
    <x v="132"/>
    <x v="5"/>
    <x v="3233"/>
    <x v="1"/>
  </r>
  <r>
    <x v="203"/>
    <x v="38"/>
    <x v="15"/>
    <x v="3"/>
    <x v="334"/>
    <x v="8"/>
    <x v="0"/>
    <x v="3"/>
    <x v="132"/>
    <x v="5"/>
    <x v="3234"/>
    <x v="1"/>
  </r>
  <r>
    <x v="203"/>
    <x v="0"/>
    <x v="256"/>
    <x v="0"/>
    <x v="566"/>
    <x v="8"/>
    <x v="0"/>
    <x v="3"/>
    <x v="132"/>
    <x v="9"/>
    <x v="3235"/>
    <x v="1"/>
  </r>
  <r>
    <x v="203"/>
    <x v="32"/>
    <x v="1309"/>
    <x v="3"/>
    <x v="422"/>
    <x v="8"/>
    <x v="2"/>
    <x v="4"/>
    <x v="221"/>
    <x v="10"/>
    <x v="3236"/>
    <x v="1"/>
  </r>
  <r>
    <x v="203"/>
    <x v="32"/>
    <x v="186"/>
    <x v="2"/>
    <x v="422"/>
    <x v="8"/>
    <x v="2"/>
    <x v="4"/>
    <x v="221"/>
    <x v="10"/>
    <x v="3237"/>
    <x v="1"/>
  </r>
  <r>
    <x v="203"/>
    <x v="32"/>
    <x v="141"/>
    <x v="6"/>
    <x v="422"/>
    <x v="8"/>
    <x v="2"/>
    <x v="4"/>
    <x v="221"/>
    <x v="10"/>
    <x v="3238"/>
    <x v="1"/>
  </r>
  <r>
    <x v="203"/>
    <x v="32"/>
    <x v="1790"/>
    <x v="7"/>
    <x v="422"/>
    <x v="8"/>
    <x v="2"/>
    <x v="4"/>
    <x v="221"/>
    <x v="10"/>
    <x v="3239"/>
    <x v="1"/>
  </r>
  <r>
    <x v="203"/>
    <x v="32"/>
    <x v="520"/>
    <x v="8"/>
    <x v="422"/>
    <x v="8"/>
    <x v="2"/>
    <x v="4"/>
    <x v="221"/>
    <x v="10"/>
    <x v="3240"/>
    <x v="1"/>
  </r>
  <r>
    <x v="203"/>
    <x v="32"/>
    <x v="444"/>
    <x v="8"/>
    <x v="422"/>
    <x v="8"/>
    <x v="2"/>
    <x v="4"/>
    <x v="221"/>
    <x v="10"/>
    <x v="3241"/>
    <x v="1"/>
  </r>
  <r>
    <x v="204"/>
    <x v="2"/>
    <x v="1220"/>
    <x v="3"/>
    <x v="492"/>
    <x v="8"/>
    <x v="0"/>
    <x v="3"/>
    <x v="133"/>
    <x v="1"/>
    <x v="3242"/>
    <x v="1"/>
  </r>
  <r>
    <x v="204"/>
    <x v="9"/>
    <x v="1274"/>
    <x v="0"/>
    <x v="229"/>
    <x v="8"/>
    <x v="0"/>
    <x v="0"/>
    <x v="221"/>
    <x v="5"/>
    <x v="3243"/>
    <x v="1"/>
  </r>
  <r>
    <x v="204"/>
    <x v="38"/>
    <x v="180"/>
    <x v="0"/>
    <x v="275"/>
    <x v="8"/>
    <x v="0"/>
    <x v="3"/>
    <x v="146"/>
    <x v="5"/>
    <x v="3244"/>
    <x v="1"/>
  </r>
  <r>
    <x v="204"/>
    <x v="20"/>
    <x v="27"/>
    <x v="3"/>
    <x v="61"/>
    <x v="8"/>
    <x v="0"/>
    <x v="3"/>
    <x v="133"/>
    <x v="5"/>
    <x v="3245"/>
    <x v="1"/>
  </r>
  <r>
    <x v="204"/>
    <x v="20"/>
    <x v="147"/>
    <x v="3"/>
    <x v="509"/>
    <x v="8"/>
    <x v="0"/>
    <x v="3"/>
    <x v="133"/>
    <x v="5"/>
    <x v="3246"/>
    <x v="1"/>
  </r>
  <r>
    <x v="204"/>
    <x v="12"/>
    <x v="247"/>
    <x v="0"/>
    <x v="48"/>
    <x v="8"/>
    <x v="1"/>
    <x v="4"/>
    <x v="221"/>
    <x v="5"/>
    <x v="3247"/>
    <x v="1"/>
  </r>
  <r>
    <x v="204"/>
    <x v="8"/>
    <x v="719"/>
    <x v="0"/>
    <x v="241"/>
    <x v="8"/>
    <x v="1"/>
    <x v="4"/>
    <x v="221"/>
    <x v="5"/>
    <x v="3248"/>
    <x v="1"/>
  </r>
  <r>
    <x v="204"/>
    <x v="25"/>
    <x v="5"/>
    <x v="3"/>
    <x v="66"/>
    <x v="8"/>
    <x v="0"/>
    <x v="3"/>
    <x v="133"/>
    <x v="12"/>
    <x v="3249"/>
    <x v="1"/>
  </r>
  <r>
    <x v="204"/>
    <x v="20"/>
    <x v="49"/>
    <x v="3"/>
    <x v="381"/>
    <x v="8"/>
    <x v="0"/>
    <x v="3"/>
    <x v="133"/>
    <x v="5"/>
    <x v="3250"/>
    <x v="1"/>
  </r>
  <r>
    <x v="204"/>
    <x v="23"/>
    <x v="12"/>
    <x v="3"/>
    <x v="283"/>
    <x v="8"/>
    <x v="0"/>
    <x v="3"/>
    <x v="133"/>
    <x v="6"/>
    <x v="3251"/>
    <x v="1"/>
  </r>
  <r>
    <x v="204"/>
    <x v="20"/>
    <x v="27"/>
    <x v="3"/>
    <x v="200"/>
    <x v="8"/>
    <x v="0"/>
    <x v="3"/>
    <x v="133"/>
    <x v="5"/>
    <x v="3252"/>
    <x v="1"/>
  </r>
  <r>
    <x v="204"/>
    <x v="26"/>
    <x v="90"/>
    <x v="3"/>
    <x v="468"/>
    <x v="8"/>
    <x v="0"/>
    <x v="3"/>
    <x v="133"/>
    <x v="5"/>
    <x v="3253"/>
    <x v="1"/>
  </r>
  <r>
    <x v="204"/>
    <x v="38"/>
    <x v="5"/>
    <x v="3"/>
    <x v="64"/>
    <x v="8"/>
    <x v="0"/>
    <x v="3"/>
    <x v="133"/>
    <x v="5"/>
    <x v="3254"/>
    <x v="1"/>
  </r>
  <r>
    <x v="204"/>
    <x v="20"/>
    <x v="592"/>
    <x v="0"/>
    <x v="111"/>
    <x v="8"/>
    <x v="0"/>
    <x v="3"/>
    <x v="133"/>
    <x v="5"/>
    <x v="3255"/>
    <x v="1"/>
  </r>
  <r>
    <x v="204"/>
    <x v="12"/>
    <x v="101"/>
    <x v="0"/>
    <x v="313"/>
    <x v="8"/>
    <x v="0"/>
    <x v="3"/>
    <x v="133"/>
    <x v="5"/>
    <x v="3256"/>
    <x v="1"/>
  </r>
  <r>
    <x v="204"/>
    <x v="1"/>
    <x v="180"/>
    <x v="3"/>
    <x v="431"/>
    <x v="8"/>
    <x v="0"/>
    <x v="3"/>
    <x v="133"/>
    <x v="4"/>
    <x v="3257"/>
    <x v="1"/>
  </r>
  <r>
    <x v="205"/>
    <x v="9"/>
    <x v="1132"/>
    <x v="0"/>
    <x v="231"/>
    <x v="8"/>
    <x v="0"/>
    <x v="0"/>
    <x v="221"/>
    <x v="5"/>
    <x v="3258"/>
    <x v="1"/>
  </r>
  <r>
    <x v="205"/>
    <x v="12"/>
    <x v="419"/>
    <x v="0"/>
    <x v="48"/>
    <x v="8"/>
    <x v="1"/>
    <x v="4"/>
    <x v="221"/>
    <x v="5"/>
    <x v="3259"/>
    <x v="1"/>
  </r>
  <r>
    <x v="205"/>
    <x v="28"/>
    <x v="138"/>
    <x v="3"/>
    <x v="424"/>
    <x v="8"/>
    <x v="0"/>
    <x v="3"/>
    <x v="134"/>
    <x v="0"/>
    <x v="3260"/>
    <x v="1"/>
  </r>
  <r>
    <x v="205"/>
    <x v="27"/>
    <x v="191"/>
    <x v="3"/>
    <x v="411"/>
    <x v="8"/>
    <x v="0"/>
    <x v="3"/>
    <x v="134"/>
    <x v="5"/>
    <x v="3261"/>
    <x v="1"/>
  </r>
  <r>
    <x v="205"/>
    <x v="20"/>
    <x v="33"/>
    <x v="3"/>
    <x v="343"/>
    <x v="8"/>
    <x v="0"/>
    <x v="3"/>
    <x v="134"/>
    <x v="5"/>
    <x v="3262"/>
    <x v="1"/>
  </r>
  <r>
    <x v="205"/>
    <x v="24"/>
    <x v="256"/>
    <x v="3"/>
    <x v="203"/>
    <x v="8"/>
    <x v="0"/>
    <x v="3"/>
    <x v="134"/>
    <x v="6"/>
    <x v="3263"/>
    <x v="1"/>
  </r>
  <r>
    <x v="205"/>
    <x v="23"/>
    <x v="12"/>
    <x v="3"/>
    <x v="283"/>
    <x v="8"/>
    <x v="0"/>
    <x v="3"/>
    <x v="221"/>
    <x v="6"/>
    <x v="3264"/>
    <x v="1"/>
  </r>
  <r>
    <x v="205"/>
    <x v="3"/>
    <x v="841"/>
    <x v="3"/>
    <x v="582"/>
    <x v="8"/>
    <x v="0"/>
    <x v="3"/>
    <x v="221"/>
    <x v="4"/>
    <x v="3265"/>
    <x v="1"/>
  </r>
  <r>
    <x v="205"/>
    <x v="3"/>
    <x v="375"/>
    <x v="3"/>
    <x v="582"/>
    <x v="8"/>
    <x v="0"/>
    <x v="3"/>
    <x v="221"/>
    <x v="4"/>
    <x v="3266"/>
    <x v="1"/>
  </r>
  <r>
    <x v="204"/>
    <x v="32"/>
    <x v="1161"/>
    <x v="3"/>
    <x v="422"/>
    <x v="8"/>
    <x v="2"/>
    <x v="4"/>
    <x v="221"/>
    <x v="10"/>
    <x v="3267"/>
    <x v="1"/>
  </r>
  <r>
    <x v="204"/>
    <x v="32"/>
    <x v="87"/>
    <x v="2"/>
    <x v="422"/>
    <x v="8"/>
    <x v="2"/>
    <x v="4"/>
    <x v="221"/>
    <x v="10"/>
    <x v="3268"/>
    <x v="1"/>
  </r>
  <r>
    <x v="204"/>
    <x v="32"/>
    <x v="700"/>
    <x v="6"/>
    <x v="422"/>
    <x v="8"/>
    <x v="2"/>
    <x v="4"/>
    <x v="221"/>
    <x v="10"/>
    <x v="3269"/>
    <x v="1"/>
  </r>
  <r>
    <x v="204"/>
    <x v="32"/>
    <x v="1871"/>
    <x v="7"/>
    <x v="422"/>
    <x v="8"/>
    <x v="2"/>
    <x v="4"/>
    <x v="221"/>
    <x v="10"/>
    <x v="3270"/>
    <x v="1"/>
  </r>
  <r>
    <x v="204"/>
    <x v="32"/>
    <x v="45"/>
    <x v="8"/>
    <x v="422"/>
    <x v="8"/>
    <x v="2"/>
    <x v="4"/>
    <x v="221"/>
    <x v="10"/>
    <x v="3271"/>
    <x v="1"/>
  </r>
  <r>
    <x v="204"/>
    <x v="32"/>
    <x v="338"/>
    <x v="5"/>
    <x v="422"/>
    <x v="8"/>
    <x v="2"/>
    <x v="4"/>
    <x v="221"/>
    <x v="10"/>
    <x v="3272"/>
    <x v="1"/>
  </r>
  <r>
    <x v="205"/>
    <x v="15"/>
    <x v="412"/>
    <x v="0"/>
    <x v="353"/>
    <x v="8"/>
    <x v="1"/>
    <x v="4"/>
    <x v="221"/>
    <x v="4"/>
    <x v="3273"/>
    <x v="1"/>
  </r>
  <r>
    <x v="205"/>
    <x v="32"/>
    <x v="1021"/>
    <x v="3"/>
    <x v="422"/>
    <x v="8"/>
    <x v="0"/>
    <x v="3"/>
    <x v="221"/>
    <x v="10"/>
    <x v="3274"/>
    <x v="1"/>
  </r>
  <r>
    <x v="205"/>
    <x v="32"/>
    <x v="138"/>
    <x v="6"/>
    <x v="422"/>
    <x v="8"/>
    <x v="2"/>
    <x v="4"/>
    <x v="221"/>
    <x v="10"/>
    <x v="3275"/>
    <x v="1"/>
  </r>
  <r>
    <x v="205"/>
    <x v="32"/>
    <x v="1703"/>
    <x v="7"/>
    <x v="422"/>
    <x v="8"/>
    <x v="2"/>
    <x v="4"/>
    <x v="221"/>
    <x v="10"/>
    <x v="3276"/>
    <x v="1"/>
  </r>
  <r>
    <x v="205"/>
    <x v="32"/>
    <x v="1075"/>
    <x v="5"/>
    <x v="422"/>
    <x v="8"/>
    <x v="2"/>
    <x v="4"/>
    <x v="221"/>
    <x v="10"/>
    <x v="3277"/>
    <x v="1"/>
  </r>
  <r>
    <x v="206"/>
    <x v="9"/>
    <x v="969"/>
    <x v="0"/>
    <x v="231"/>
    <x v="8"/>
    <x v="0"/>
    <x v="0"/>
    <x v="221"/>
    <x v="5"/>
    <x v="3278"/>
    <x v="1"/>
  </r>
  <r>
    <x v="206"/>
    <x v="12"/>
    <x v="464"/>
    <x v="0"/>
    <x v="48"/>
    <x v="8"/>
    <x v="1"/>
    <x v="4"/>
    <x v="221"/>
    <x v="5"/>
    <x v="3279"/>
    <x v="1"/>
  </r>
  <r>
    <x v="206"/>
    <x v="1"/>
    <x v="76"/>
    <x v="3"/>
    <x v="431"/>
    <x v="8"/>
    <x v="0"/>
    <x v="3"/>
    <x v="135"/>
    <x v="4"/>
    <x v="3280"/>
    <x v="1"/>
  </r>
  <r>
    <x v="206"/>
    <x v="20"/>
    <x v="5"/>
    <x v="3"/>
    <x v="64"/>
    <x v="8"/>
    <x v="0"/>
    <x v="3"/>
    <x v="135"/>
    <x v="5"/>
    <x v="3281"/>
    <x v="1"/>
  </r>
  <r>
    <x v="206"/>
    <x v="20"/>
    <x v="248"/>
    <x v="3"/>
    <x v="207"/>
    <x v="8"/>
    <x v="0"/>
    <x v="3"/>
    <x v="135"/>
    <x v="5"/>
    <x v="3282"/>
    <x v="1"/>
  </r>
  <r>
    <x v="206"/>
    <x v="0"/>
    <x v="518"/>
    <x v="3"/>
    <x v="566"/>
    <x v="8"/>
    <x v="0"/>
    <x v="3"/>
    <x v="135"/>
    <x v="9"/>
    <x v="3283"/>
    <x v="0"/>
  </r>
  <r>
    <x v="206"/>
    <x v="20"/>
    <x v="20"/>
    <x v="3"/>
    <x v="377"/>
    <x v="8"/>
    <x v="0"/>
    <x v="3"/>
    <x v="135"/>
    <x v="5"/>
    <x v="3284"/>
    <x v="1"/>
  </r>
  <r>
    <x v="206"/>
    <x v="38"/>
    <x v="12"/>
    <x v="3"/>
    <x v="334"/>
    <x v="8"/>
    <x v="0"/>
    <x v="3"/>
    <x v="135"/>
    <x v="5"/>
    <x v="3285"/>
    <x v="1"/>
  </r>
  <r>
    <x v="206"/>
    <x v="0"/>
    <x v="1146"/>
    <x v="0"/>
    <x v="566"/>
    <x v="8"/>
    <x v="0"/>
    <x v="3"/>
    <x v="135"/>
    <x v="9"/>
    <x v="3286"/>
    <x v="0"/>
  </r>
  <r>
    <x v="206"/>
    <x v="0"/>
    <x v="1146"/>
    <x v="0"/>
    <x v="566"/>
    <x v="8"/>
    <x v="0"/>
    <x v="3"/>
    <x v="135"/>
    <x v="9"/>
    <x v="3287"/>
    <x v="0"/>
  </r>
  <r>
    <x v="206"/>
    <x v="38"/>
    <x v="582"/>
    <x v="3"/>
    <x v="77"/>
    <x v="8"/>
    <x v="0"/>
    <x v="3"/>
    <x v="221"/>
    <x v="5"/>
    <x v="3288"/>
    <x v="1"/>
  </r>
  <r>
    <x v="206"/>
    <x v="23"/>
    <x v="12"/>
    <x v="3"/>
    <x v="283"/>
    <x v="8"/>
    <x v="2"/>
    <x v="4"/>
    <x v="221"/>
    <x v="6"/>
    <x v="3289"/>
    <x v="1"/>
  </r>
  <r>
    <x v="206"/>
    <x v="32"/>
    <x v="895"/>
    <x v="3"/>
    <x v="422"/>
    <x v="8"/>
    <x v="2"/>
    <x v="4"/>
    <x v="221"/>
    <x v="10"/>
    <x v="3290"/>
    <x v="1"/>
  </r>
  <r>
    <x v="206"/>
    <x v="32"/>
    <x v="100"/>
    <x v="6"/>
    <x v="422"/>
    <x v="8"/>
    <x v="2"/>
    <x v="4"/>
    <x v="221"/>
    <x v="10"/>
    <x v="3291"/>
    <x v="1"/>
  </r>
  <r>
    <x v="206"/>
    <x v="32"/>
    <x v="1817"/>
    <x v="7"/>
    <x v="422"/>
    <x v="8"/>
    <x v="2"/>
    <x v="4"/>
    <x v="221"/>
    <x v="10"/>
    <x v="3292"/>
    <x v="1"/>
  </r>
  <r>
    <x v="206"/>
    <x v="32"/>
    <x v="1047"/>
    <x v="5"/>
    <x v="422"/>
    <x v="8"/>
    <x v="2"/>
    <x v="4"/>
    <x v="221"/>
    <x v="10"/>
    <x v="3293"/>
    <x v="1"/>
  </r>
  <r>
    <x v="206"/>
    <x v="5"/>
    <x v="39"/>
    <x v="3"/>
    <x v="499"/>
    <x v="8"/>
    <x v="0"/>
    <x v="3"/>
    <x v="135"/>
    <x v="11"/>
    <x v="3294"/>
    <x v="1"/>
  </r>
  <r>
    <x v="207"/>
    <x v="1"/>
    <x v="127"/>
    <x v="3"/>
    <x v="431"/>
    <x v="8"/>
    <x v="0"/>
    <x v="4"/>
    <x v="221"/>
    <x v="4"/>
    <x v="3295"/>
    <x v="1"/>
  </r>
  <r>
    <x v="207"/>
    <x v="9"/>
    <x v="733"/>
    <x v="0"/>
    <x v="231"/>
    <x v="8"/>
    <x v="0"/>
    <x v="0"/>
    <x v="221"/>
    <x v="5"/>
    <x v="3296"/>
    <x v="1"/>
  </r>
  <r>
    <x v="207"/>
    <x v="12"/>
    <x v="503"/>
    <x v="0"/>
    <x v="48"/>
    <x v="8"/>
    <x v="1"/>
    <x v="4"/>
    <x v="221"/>
    <x v="5"/>
    <x v="3297"/>
    <x v="1"/>
  </r>
  <r>
    <x v="207"/>
    <x v="8"/>
    <x v="816"/>
    <x v="0"/>
    <x v="241"/>
    <x v="8"/>
    <x v="1"/>
    <x v="4"/>
    <x v="221"/>
    <x v="5"/>
    <x v="3298"/>
    <x v="1"/>
  </r>
  <r>
    <x v="207"/>
    <x v="20"/>
    <x v="1694"/>
    <x v="0"/>
    <x v="61"/>
    <x v="8"/>
    <x v="1"/>
    <x v="4"/>
    <x v="221"/>
    <x v="5"/>
    <x v="3299"/>
    <x v="1"/>
  </r>
  <r>
    <x v="207"/>
    <x v="25"/>
    <x v="287"/>
    <x v="3"/>
    <x v="258"/>
    <x v="8"/>
    <x v="0"/>
    <x v="4"/>
    <x v="221"/>
    <x v="12"/>
    <x v="3300"/>
    <x v="1"/>
  </r>
  <r>
    <x v="207"/>
    <x v="32"/>
    <x v="769"/>
    <x v="3"/>
    <x v="422"/>
    <x v="8"/>
    <x v="2"/>
    <x v="4"/>
    <x v="221"/>
    <x v="10"/>
    <x v="3301"/>
    <x v="1"/>
  </r>
  <r>
    <x v="207"/>
    <x v="32"/>
    <x v="164"/>
    <x v="6"/>
    <x v="422"/>
    <x v="8"/>
    <x v="2"/>
    <x v="4"/>
    <x v="221"/>
    <x v="10"/>
    <x v="3302"/>
    <x v="1"/>
  </r>
  <r>
    <x v="207"/>
    <x v="32"/>
    <x v="1556"/>
    <x v="7"/>
    <x v="422"/>
    <x v="8"/>
    <x v="2"/>
    <x v="4"/>
    <x v="221"/>
    <x v="10"/>
    <x v="3303"/>
    <x v="1"/>
  </r>
  <r>
    <x v="207"/>
    <x v="32"/>
    <x v="728"/>
    <x v="5"/>
    <x v="422"/>
    <x v="8"/>
    <x v="2"/>
    <x v="4"/>
    <x v="221"/>
    <x v="10"/>
    <x v="3304"/>
    <x v="1"/>
  </r>
  <r>
    <x v="208"/>
    <x v="9"/>
    <x v="1077"/>
    <x v="0"/>
    <x v="231"/>
    <x v="8"/>
    <x v="0"/>
    <x v="0"/>
    <x v="221"/>
    <x v="5"/>
    <x v="3305"/>
    <x v="1"/>
  </r>
  <r>
    <x v="208"/>
    <x v="12"/>
    <x v="182"/>
    <x v="0"/>
    <x v="48"/>
    <x v="8"/>
    <x v="1"/>
    <x v="4"/>
    <x v="221"/>
    <x v="5"/>
    <x v="3306"/>
    <x v="1"/>
  </r>
  <r>
    <x v="208"/>
    <x v="29"/>
    <x v="53"/>
    <x v="3"/>
    <x v="541"/>
    <x v="8"/>
    <x v="0"/>
    <x v="3"/>
    <x v="136"/>
    <x v="6"/>
    <x v="3307"/>
    <x v="1"/>
  </r>
  <r>
    <x v="208"/>
    <x v="18"/>
    <x v="375"/>
    <x v="0"/>
    <x v="142"/>
    <x v="8"/>
    <x v="0"/>
    <x v="1"/>
    <x v="221"/>
    <x v="3"/>
    <x v="3308"/>
    <x v="1"/>
  </r>
  <r>
    <x v="208"/>
    <x v="32"/>
    <x v="180"/>
    <x v="3"/>
    <x v="422"/>
    <x v="8"/>
    <x v="2"/>
    <x v="4"/>
    <x v="221"/>
    <x v="10"/>
    <x v="3309"/>
    <x v="1"/>
  </r>
  <r>
    <x v="208"/>
    <x v="32"/>
    <x v="1425"/>
    <x v="7"/>
    <x v="422"/>
    <x v="8"/>
    <x v="2"/>
    <x v="4"/>
    <x v="221"/>
    <x v="10"/>
    <x v="3310"/>
    <x v="1"/>
  </r>
  <r>
    <x v="208"/>
    <x v="32"/>
    <x v="661"/>
    <x v="5"/>
    <x v="422"/>
    <x v="8"/>
    <x v="2"/>
    <x v="4"/>
    <x v="221"/>
    <x v="10"/>
    <x v="3311"/>
    <x v="1"/>
  </r>
  <r>
    <x v="209"/>
    <x v="8"/>
    <x v="475"/>
    <x v="0"/>
    <x v="241"/>
    <x v="8"/>
    <x v="1"/>
    <x v="4"/>
    <x v="221"/>
    <x v="5"/>
    <x v="3312"/>
    <x v="1"/>
  </r>
  <r>
    <x v="209"/>
    <x v="12"/>
    <x v="154"/>
    <x v="0"/>
    <x v="48"/>
    <x v="8"/>
    <x v="1"/>
    <x v="4"/>
    <x v="221"/>
    <x v="5"/>
    <x v="3313"/>
    <x v="1"/>
  </r>
  <r>
    <x v="209"/>
    <x v="29"/>
    <x v="102"/>
    <x v="3"/>
    <x v="427"/>
    <x v="8"/>
    <x v="0"/>
    <x v="3"/>
    <x v="137"/>
    <x v="6"/>
    <x v="3314"/>
    <x v="1"/>
  </r>
  <r>
    <x v="209"/>
    <x v="20"/>
    <x v="87"/>
    <x v="3"/>
    <x v="418"/>
    <x v="8"/>
    <x v="0"/>
    <x v="3"/>
    <x v="137"/>
    <x v="5"/>
    <x v="3315"/>
    <x v="1"/>
  </r>
  <r>
    <x v="209"/>
    <x v="24"/>
    <x v="256"/>
    <x v="0"/>
    <x v="186"/>
    <x v="8"/>
    <x v="0"/>
    <x v="3"/>
    <x v="137"/>
    <x v="6"/>
    <x v="3316"/>
    <x v="1"/>
  </r>
  <r>
    <x v="209"/>
    <x v="0"/>
    <x v="134"/>
    <x v="1"/>
    <x v="471"/>
    <x v="8"/>
    <x v="0"/>
    <x v="3"/>
    <x v="137"/>
    <x v="9"/>
    <x v="3317"/>
    <x v="1"/>
  </r>
  <r>
    <x v="209"/>
    <x v="0"/>
    <x v="87"/>
    <x v="3"/>
    <x v="471"/>
    <x v="8"/>
    <x v="0"/>
    <x v="3"/>
    <x v="137"/>
    <x v="9"/>
    <x v="3318"/>
    <x v="1"/>
  </r>
  <r>
    <x v="209"/>
    <x v="37"/>
    <x v="27"/>
    <x v="3"/>
    <x v="369"/>
    <x v="8"/>
    <x v="0"/>
    <x v="3"/>
    <x v="221"/>
    <x v="12"/>
    <x v="3319"/>
    <x v="1"/>
  </r>
  <r>
    <x v="209"/>
    <x v="32"/>
    <x v="398"/>
    <x v="3"/>
    <x v="422"/>
    <x v="8"/>
    <x v="2"/>
    <x v="4"/>
    <x v="221"/>
    <x v="10"/>
    <x v="3320"/>
    <x v="1"/>
  </r>
  <r>
    <x v="209"/>
    <x v="32"/>
    <x v="143"/>
    <x v="6"/>
    <x v="422"/>
    <x v="8"/>
    <x v="2"/>
    <x v="4"/>
    <x v="221"/>
    <x v="10"/>
    <x v="3321"/>
    <x v="1"/>
  </r>
  <r>
    <x v="209"/>
    <x v="32"/>
    <x v="1697"/>
    <x v="7"/>
    <x v="422"/>
    <x v="8"/>
    <x v="2"/>
    <x v="4"/>
    <x v="221"/>
    <x v="10"/>
    <x v="3322"/>
    <x v="1"/>
  </r>
  <r>
    <x v="209"/>
    <x v="32"/>
    <x v="104"/>
    <x v="5"/>
    <x v="422"/>
    <x v="8"/>
    <x v="2"/>
    <x v="4"/>
    <x v="221"/>
    <x v="10"/>
    <x v="3323"/>
    <x v="1"/>
  </r>
  <r>
    <x v="210"/>
    <x v="9"/>
    <x v="1209"/>
    <x v="0"/>
    <x v="231"/>
    <x v="8"/>
    <x v="0"/>
    <x v="0"/>
    <x v="221"/>
    <x v="5"/>
    <x v="3324"/>
    <x v="1"/>
  </r>
  <r>
    <x v="210"/>
    <x v="12"/>
    <x v="549"/>
    <x v="0"/>
    <x v="48"/>
    <x v="8"/>
    <x v="1"/>
    <x v="4"/>
    <x v="221"/>
    <x v="5"/>
    <x v="3325"/>
    <x v="1"/>
  </r>
  <r>
    <x v="210"/>
    <x v="20"/>
    <x v="49"/>
    <x v="3"/>
    <x v="381"/>
    <x v="8"/>
    <x v="0"/>
    <x v="3"/>
    <x v="138"/>
    <x v="5"/>
    <x v="3326"/>
    <x v="1"/>
  </r>
  <r>
    <x v="210"/>
    <x v="40"/>
    <x v="375"/>
    <x v="3"/>
    <x v="539"/>
    <x v="8"/>
    <x v="0"/>
    <x v="3"/>
    <x v="138"/>
    <x v="7"/>
    <x v="3327"/>
    <x v="1"/>
  </r>
  <r>
    <x v="210"/>
    <x v="40"/>
    <x v="134"/>
    <x v="0"/>
    <x v="539"/>
    <x v="8"/>
    <x v="0"/>
    <x v="3"/>
    <x v="138"/>
    <x v="7"/>
    <x v="3328"/>
    <x v="1"/>
  </r>
  <r>
    <x v="210"/>
    <x v="28"/>
    <x v="134"/>
    <x v="0"/>
    <x v="424"/>
    <x v="8"/>
    <x v="0"/>
    <x v="3"/>
    <x v="138"/>
    <x v="0"/>
    <x v="3329"/>
    <x v="1"/>
  </r>
  <r>
    <x v="210"/>
    <x v="23"/>
    <x v="9"/>
    <x v="3"/>
    <x v="284"/>
    <x v="8"/>
    <x v="0"/>
    <x v="3"/>
    <x v="138"/>
    <x v="6"/>
    <x v="3330"/>
    <x v="1"/>
  </r>
  <r>
    <x v="210"/>
    <x v="24"/>
    <x v="1753"/>
    <x v="0"/>
    <x v="423"/>
    <x v="8"/>
    <x v="0"/>
    <x v="3"/>
    <x v="138"/>
    <x v="6"/>
    <x v="3331"/>
    <x v="1"/>
  </r>
  <r>
    <x v="210"/>
    <x v="1"/>
    <x v="77"/>
    <x v="3"/>
    <x v="432"/>
    <x v="8"/>
    <x v="0"/>
    <x v="3"/>
    <x v="138"/>
    <x v="4"/>
    <x v="3332"/>
    <x v="1"/>
  </r>
  <r>
    <x v="210"/>
    <x v="0"/>
    <x v="157"/>
    <x v="0"/>
    <x v="262"/>
    <x v="8"/>
    <x v="0"/>
    <x v="3"/>
    <x v="138"/>
    <x v="9"/>
    <x v="3333"/>
    <x v="1"/>
  </r>
  <r>
    <x v="210"/>
    <x v="12"/>
    <x v="17"/>
    <x v="3"/>
    <x v="331"/>
    <x v="8"/>
    <x v="0"/>
    <x v="3"/>
    <x v="138"/>
    <x v="5"/>
    <x v="3334"/>
    <x v="1"/>
  </r>
  <r>
    <x v="210"/>
    <x v="38"/>
    <x v="15"/>
    <x v="3"/>
    <x v="334"/>
    <x v="8"/>
    <x v="0"/>
    <x v="3"/>
    <x v="138"/>
    <x v="5"/>
    <x v="3335"/>
    <x v="1"/>
  </r>
  <r>
    <x v="210"/>
    <x v="12"/>
    <x v="19"/>
    <x v="3"/>
    <x v="331"/>
    <x v="8"/>
    <x v="0"/>
    <x v="3"/>
    <x v="138"/>
    <x v="5"/>
    <x v="3336"/>
    <x v="1"/>
  </r>
  <r>
    <x v="210"/>
    <x v="24"/>
    <x v="375"/>
    <x v="0"/>
    <x v="251"/>
    <x v="8"/>
    <x v="0"/>
    <x v="3"/>
    <x v="138"/>
    <x v="6"/>
    <x v="3337"/>
    <x v="1"/>
  </r>
  <r>
    <x v="210"/>
    <x v="32"/>
    <x v="970"/>
    <x v="3"/>
    <x v="422"/>
    <x v="8"/>
    <x v="2"/>
    <x v="4"/>
    <x v="221"/>
    <x v="10"/>
    <x v="3338"/>
    <x v="1"/>
  </r>
  <r>
    <x v="210"/>
    <x v="32"/>
    <x v="1757"/>
    <x v="7"/>
    <x v="422"/>
    <x v="8"/>
    <x v="2"/>
    <x v="4"/>
    <x v="221"/>
    <x v="10"/>
    <x v="3339"/>
    <x v="1"/>
  </r>
  <r>
    <x v="210"/>
    <x v="32"/>
    <x v="800"/>
    <x v="5"/>
    <x v="422"/>
    <x v="8"/>
    <x v="2"/>
    <x v="4"/>
    <x v="221"/>
    <x v="10"/>
    <x v="3340"/>
    <x v="1"/>
  </r>
  <r>
    <x v="211"/>
    <x v="9"/>
    <x v="589"/>
    <x v="0"/>
    <x v="231"/>
    <x v="8"/>
    <x v="0"/>
    <x v="0"/>
    <x v="221"/>
    <x v="5"/>
    <x v="3341"/>
    <x v="1"/>
  </r>
  <r>
    <x v="211"/>
    <x v="12"/>
    <x v="274"/>
    <x v="0"/>
    <x v="48"/>
    <x v="8"/>
    <x v="1"/>
    <x v="4"/>
    <x v="221"/>
    <x v="5"/>
    <x v="3342"/>
    <x v="1"/>
  </r>
  <r>
    <x v="211"/>
    <x v="38"/>
    <x v="59"/>
    <x v="0"/>
    <x v="77"/>
    <x v="8"/>
    <x v="1"/>
    <x v="4"/>
    <x v="221"/>
    <x v="5"/>
    <x v="3343"/>
    <x v="1"/>
  </r>
  <r>
    <x v="211"/>
    <x v="8"/>
    <x v="816"/>
    <x v="0"/>
    <x v="241"/>
    <x v="8"/>
    <x v="1"/>
    <x v="4"/>
    <x v="221"/>
    <x v="5"/>
    <x v="3344"/>
    <x v="1"/>
  </r>
  <r>
    <x v="211"/>
    <x v="1"/>
    <x v="90"/>
    <x v="1"/>
    <x v="432"/>
    <x v="8"/>
    <x v="0"/>
    <x v="4"/>
    <x v="221"/>
    <x v="4"/>
    <x v="3345"/>
    <x v="1"/>
  </r>
  <r>
    <x v="211"/>
    <x v="23"/>
    <x v="19"/>
    <x v="3"/>
    <x v="283"/>
    <x v="8"/>
    <x v="0"/>
    <x v="4"/>
    <x v="221"/>
    <x v="6"/>
    <x v="3346"/>
    <x v="1"/>
  </r>
  <r>
    <x v="211"/>
    <x v="20"/>
    <x v="53"/>
    <x v="3"/>
    <x v="166"/>
    <x v="8"/>
    <x v="0"/>
    <x v="4"/>
    <x v="221"/>
    <x v="5"/>
    <x v="3347"/>
    <x v="1"/>
  </r>
  <r>
    <x v="211"/>
    <x v="20"/>
    <x v="147"/>
    <x v="1"/>
    <x v="509"/>
    <x v="8"/>
    <x v="0"/>
    <x v="4"/>
    <x v="221"/>
    <x v="5"/>
    <x v="3348"/>
    <x v="1"/>
  </r>
  <r>
    <x v="211"/>
    <x v="20"/>
    <x v="1365"/>
    <x v="0"/>
    <x v="274"/>
    <x v="8"/>
    <x v="1"/>
    <x v="4"/>
    <x v="221"/>
    <x v="5"/>
    <x v="3349"/>
    <x v="1"/>
  </r>
  <r>
    <x v="211"/>
    <x v="27"/>
    <x v="191"/>
    <x v="1"/>
    <x v="411"/>
    <x v="8"/>
    <x v="0"/>
    <x v="4"/>
    <x v="221"/>
    <x v="5"/>
    <x v="3350"/>
    <x v="1"/>
  </r>
  <r>
    <x v="212"/>
    <x v="31"/>
    <x v="495"/>
    <x v="1"/>
    <x v="125"/>
    <x v="8"/>
    <x v="0"/>
    <x v="4"/>
    <x v="221"/>
    <x v="8"/>
    <x v="3351"/>
    <x v="1"/>
  </r>
  <r>
    <x v="212"/>
    <x v="9"/>
    <x v="1578"/>
    <x v="0"/>
    <x v="231"/>
    <x v="8"/>
    <x v="0"/>
    <x v="0"/>
    <x v="221"/>
    <x v="5"/>
    <x v="3352"/>
    <x v="1"/>
  </r>
  <r>
    <x v="212"/>
    <x v="12"/>
    <x v="883"/>
    <x v="0"/>
    <x v="48"/>
    <x v="8"/>
    <x v="0"/>
    <x v="4"/>
    <x v="221"/>
    <x v="5"/>
    <x v="3353"/>
    <x v="1"/>
  </r>
  <r>
    <x v="212"/>
    <x v="1"/>
    <x v="76"/>
    <x v="1"/>
    <x v="432"/>
    <x v="8"/>
    <x v="0"/>
    <x v="4"/>
    <x v="221"/>
    <x v="4"/>
    <x v="3354"/>
    <x v="1"/>
  </r>
  <r>
    <x v="212"/>
    <x v="20"/>
    <x v="49"/>
    <x v="1"/>
    <x v="381"/>
    <x v="8"/>
    <x v="0"/>
    <x v="4"/>
    <x v="221"/>
    <x v="5"/>
    <x v="3355"/>
    <x v="1"/>
  </r>
  <r>
    <x v="212"/>
    <x v="16"/>
    <x v="94"/>
    <x v="1"/>
    <x v="293"/>
    <x v="8"/>
    <x v="0"/>
    <x v="4"/>
    <x v="221"/>
    <x v="6"/>
    <x v="3356"/>
    <x v="1"/>
  </r>
  <r>
    <x v="212"/>
    <x v="3"/>
    <x v="308"/>
    <x v="1"/>
    <x v="507"/>
    <x v="8"/>
    <x v="0"/>
    <x v="4"/>
    <x v="221"/>
    <x v="4"/>
    <x v="3357"/>
    <x v="1"/>
  </r>
  <r>
    <x v="212"/>
    <x v="27"/>
    <x v="919"/>
    <x v="0"/>
    <x v="362"/>
    <x v="8"/>
    <x v="0"/>
    <x v="3"/>
    <x v="221"/>
    <x v="5"/>
    <x v="3358"/>
    <x v="1"/>
  </r>
  <r>
    <x v="212"/>
    <x v="20"/>
    <x v="36"/>
    <x v="1"/>
    <x v="534"/>
    <x v="8"/>
    <x v="0"/>
    <x v="3"/>
    <x v="221"/>
    <x v="5"/>
    <x v="3359"/>
    <x v="1"/>
  </r>
  <r>
    <x v="212"/>
    <x v="11"/>
    <x v="12"/>
    <x v="3"/>
    <x v="170"/>
    <x v="8"/>
    <x v="0"/>
    <x v="1"/>
    <x v="221"/>
    <x v="2"/>
    <x v="3360"/>
    <x v="1"/>
  </r>
  <r>
    <x v="212"/>
    <x v="23"/>
    <x v="12"/>
    <x v="3"/>
    <x v="283"/>
    <x v="8"/>
    <x v="0"/>
    <x v="1"/>
    <x v="221"/>
    <x v="6"/>
    <x v="3361"/>
    <x v="1"/>
  </r>
  <r>
    <x v="212"/>
    <x v="38"/>
    <x v="482"/>
    <x v="3"/>
    <x v="309"/>
    <x v="8"/>
    <x v="0"/>
    <x v="1"/>
    <x v="221"/>
    <x v="5"/>
    <x v="3362"/>
    <x v="1"/>
  </r>
  <r>
    <x v="211"/>
    <x v="32"/>
    <x v="1188"/>
    <x v="3"/>
    <x v="422"/>
    <x v="8"/>
    <x v="2"/>
    <x v="4"/>
    <x v="221"/>
    <x v="10"/>
    <x v="3363"/>
    <x v="1"/>
  </r>
  <r>
    <x v="211"/>
    <x v="32"/>
    <x v="744"/>
    <x v="2"/>
    <x v="422"/>
    <x v="8"/>
    <x v="2"/>
    <x v="4"/>
    <x v="221"/>
    <x v="10"/>
    <x v="3364"/>
    <x v="1"/>
  </r>
  <r>
    <x v="211"/>
    <x v="32"/>
    <x v="699"/>
    <x v="6"/>
    <x v="422"/>
    <x v="8"/>
    <x v="2"/>
    <x v="4"/>
    <x v="221"/>
    <x v="10"/>
    <x v="3365"/>
    <x v="1"/>
  </r>
  <r>
    <x v="211"/>
    <x v="32"/>
    <x v="1866"/>
    <x v="7"/>
    <x v="422"/>
    <x v="8"/>
    <x v="2"/>
    <x v="4"/>
    <x v="221"/>
    <x v="10"/>
    <x v="3366"/>
    <x v="1"/>
  </r>
  <r>
    <x v="211"/>
    <x v="32"/>
    <x v="998"/>
    <x v="5"/>
    <x v="422"/>
    <x v="8"/>
    <x v="2"/>
    <x v="4"/>
    <x v="221"/>
    <x v="10"/>
    <x v="3367"/>
    <x v="1"/>
  </r>
  <r>
    <x v="212"/>
    <x v="32"/>
    <x v="1545"/>
    <x v="3"/>
    <x v="422"/>
    <x v="8"/>
    <x v="2"/>
    <x v="4"/>
    <x v="221"/>
    <x v="10"/>
    <x v="3368"/>
    <x v="1"/>
  </r>
  <r>
    <x v="212"/>
    <x v="32"/>
    <x v="493"/>
    <x v="6"/>
    <x v="422"/>
    <x v="8"/>
    <x v="2"/>
    <x v="4"/>
    <x v="221"/>
    <x v="10"/>
    <x v="3369"/>
    <x v="1"/>
  </r>
  <r>
    <x v="212"/>
    <x v="32"/>
    <x v="1946"/>
    <x v="7"/>
    <x v="422"/>
    <x v="8"/>
    <x v="2"/>
    <x v="4"/>
    <x v="221"/>
    <x v="10"/>
    <x v="3370"/>
    <x v="1"/>
  </r>
  <r>
    <x v="212"/>
    <x v="32"/>
    <x v="740"/>
    <x v="5"/>
    <x v="422"/>
    <x v="8"/>
    <x v="2"/>
    <x v="4"/>
    <x v="221"/>
    <x v="10"/>
    <x v="3371"/>
    <x v="1"/>
  </r>
  <r>
    <x v="212"/>
    <x v="38"/>
    <x v="318"/>
    <x v="3"/>
    <x v="551"/>
    <x v="8"/>
    <x v="2"/>
    <x v="4"/>
    <x v="221"/>
    <x v="5"/>
    <x v="3372"/>
    <x v="1"/>
  </r>
  <r>
    <x v="212"/>
    <x v="38"/>
    <x v="482"/>
    <x v="3"/>
    <x v="564"/>
    <x v="8"/>
    <x v="2"/>
    <x v="4"/>
    <x v="221"/>
    <x v="5"/>
    <x v="3373"/>
    <x v="1"/>
  </r>
  <r>
    <x v="213"/>
    <x v="9"/>
    <x v="1319"/>
    <x v="0"/>
    <x v="231"/>
    <x v="8"/>
    <x v="0"/>
    <x v="0"/>
    <x v="221"/>
    <x v="5"/>
    <x v="3374"/>
    <x v="1"/>
  </r>
  <r>
    <x v="213"/>
    <x v="15"/>
    <x v="144"/>
    <x v="1"/>
    <x v="354"/>
    <x v="8"/>
    <x v="1"/>
    <x v="4"/>
    <x v="221"/>
    <x v="4"/>
    <x v="3375"/>
    <x v="1"/>
  </r>
  <r>
    <x v="213"/>
    <x v="12"/>
    <x v="158"/>
    <x v="0"/>
    <x v="407"/>
    <x v="8"/>
    <x v="1"/>
    <x v="4"/>
    <x v="221"/>
    <x v="5"/>
    <x v="3376"/>
    <x v="1"/>
  </r>
  <r>
    <x v="213"/>
    <x v="11"/>
    <x v="27"/>
    <x v="3"/>
    <x v="170"/>
    <x v="8"/>
    <x v="0"/>
    <x v="4"/>
    <x v="221"/>
    <x v="2"/>
    <x v="3377"/>
    <x v="1"/>
  </r>
  <r>
    <x v="213"/>
    <x v="1"/>
    <x v="76"/>
    <x v="1"/>
    <x v="432"/>
    <x v="8"/>
    <x v="0"/>
    <x v="4"/>
    <x v="221"/>
    <x v="4"/>
    <x v="3378"/>
    <x v="1"/>
  </r>
  <r>
    <x v="213"/>
    <x v="0"/>
    <x v="112"/>
    <x v="3"/>
    <x v="476"/>
    <x v="8"/>
    <x v="0"/>
    <x v="3"/>
    <x v="140"/>
    <x v="9"/>
    <x v="3379"/>
    <x v="1"/>
  </r>
  <r>
    <x v="213"/>
    <x v="26"/>
    <x v="90"/>
    <x v="1"/>
    <x v="338"/>
    <x v="8"/>
    <x v="0"/>
    <x v="4"/>
    <x v="221"/>
    <x v="5"/>
    <x v="3380"/>
    <x v="1"/>
  </r>
  <r>
    <x v="213"/>
    <x v="23"/>
    <x v="19"/>
    <x v="3"/>
    <x v="283"/>
    <x v="8"/>
    <x v="0"/>
    <x v="4"/>
    <x v="221"/>
    <x v="6"/>
    <x v="3381"/>
    <x v="1"/>
  </r>
  <r>
    <x v="213"/>
    <x v="38"/>
    <x v="19"/>
    <x v="3"/>
    <x v="334"/>
    <x v="8"/>
    <x v="0"/>
    <x v="4"/>
    <x v="221"/>
    <x v="5"/>
    <x v="3382"/>
    <x v="1"/>
  </r>
  <r>
    <x v="213"/>
    <x v="38"/>
    <x v="106"/>
    <x v="1"/>
    <x v="309"/>
    <x v="8"/>
    <x v="0"/>
    <x v="4"/>
    <x v="221"/>
    <x v="5"/>
    <x v="3383"/>
    <x v="1"/>
  </r>
  <r>
    <x v="213"/>
    <x v="32"/>
    <x v="1025"/>
    <x v="3"/>
    <x v="422"/>
    <x v="8"/>
    <x v="2"/>
    <x v="4"/>
    <x v="221"/>
    <x v="10"/>
    <x v="3384"/>
    <x v="1"/>
  </r>
  <r>
    <x v="213"/>
    <x v="32"/>
    <x v="911"/>
    <x v="5"/>
    <x v="422"/>
    <x v="8"/>
    <x v="2"/>
    <x v="4"/>
    <x v="221"/>
    <x v="10"/>
    <x v="3385"/>
    <x v="1"/>
  </r>
  <r>
    <x v="213"/>
    <x v="32"/>
    <x v="505"/>
    <x v="8"/>
    <x v="422"/>
    <x v="8"/>
    <x v="2"/>
    <x v="4"/>
    <x v="221"/>
    <x v="10"/>
    <x v="3386"/>
    <x v="1"/>
  </r>
  <r>
    <x v="213"/>
    <x v="32"/>
    <x v="1962"/>
    <x v="7"/>
    <x v="419"/>
    <x v="8"/>
    <x v="2"/>
    <x v="4"/>
    <x v="221"/>
    <x v="10"/>
    <x v="3387"/>
    <x v="1"/>
  </r>
  <r>
    <x v="213"/>
    <x v="32"/>
    <x v="354"/>
    <x v="2"/>
    <x v="422"/>
    <x v="8"/>
    <x v="2"/>
    <x v="4"/>
    <x v="221"/>
    <x v="10"/>
    <x v="3388"/>
    <x v="1"/>
  </r>
  <r>
    <x v="213"/>
    <x v="37"/>
    <x v="19"/>
    <x v="1"/>
    <x v="529"/>
    <x v="8"/>
    <x v="0"/>
    <x v="4"/>
    <x v="221"/>
    <x v="12"/>
    <x v="3389"/>
    <x v="1"/>
  </r>
  <r>
    <x v="213"/>
    <x v="32"/>
    <x v="512"/>
    <x v="6"/>
    <x v="422"/>
    <x v="8"/>
    <x v="2"/>
    <x v="4"/>
    <x v="221"/>
    <x v="10"/>
    <x v="3390"/>
    <x v="1"/>
  </r>
  <r>
    <x v="213"/>
    <x v="0"/>
    <x v="518"/>
    <x v="3"/>
    <x v="254"/>
    <x v="8"/>
    <x v="0"/>
    <x v="3"/>
    <x v="140"/>
    <x v="9"/>
    <x v="3391"/>
    <x v="1"/>
  </r>
  <r>
    <x v="214"/>
    <x v="9"/>
    <x v="1005"/>
    <x v="0"/>
    <x v="231"/>
    <x v="8"/>
    <x v="0"/>
    <x v="0"/>
    <x v="149"/>
    <x v="5"/>
    <x v="3392"/>
    <x v="1"/>
  </r>
  <r>
    <x v="214"/>
    <x v="8"/>
    <x v="475"/>
    <x v="0"/>
    <x v="241"/>
    <x v="8"/>
    <x v="0"/>
    <x v="4"/>
    <x v="221"/>
    <x v="5"/>
    <x v="3393"/>
    <x v="1"/>
  </r>
  <r>
    <x v="214"/>
    <x v="15"/>
    <x v="248"/>
    <x v="0"/>
    <x v="353"/>
    <x v="8"/>
    <x v="0"/>
    <x v="4"/>
    <x v="221"/>
    <x v="4"/>
    <x v="3394"/>
    <x v="1"/>
  </r>
  <r>
    <x v="214"/>
    <x v="27"/>
    <x v="753"/>
    <x v="0"/>
    <x v="10"/>
    <x v="8"/>
    <x v="0"/>
    <x v="4"/>
    <x v="221"/>
    <x v="5"/>
    <x v="3395"/>
    <x v="1"/>
  </r>
  <r>
    <x v="214"/>
    <x v="23"/>
    <x v="12"/>
    <x v="3"/>
    <x v="283"/>
    <x v="8"/>
    <x v="0"/>
    <x v="4"/>
    <x v="221"/>
    <x v="6"/>
    <x v="3396"/>
    <x v="1"/>
  </r>
  <r>
    <x v="214"/>
    <x v="12"/>
    <x v="584"/>
    <x v="0"/>
    <x v="48"/>
    <x v="8"/>
    <x v="1"/>
    <x v="4"/>
    <x v="221"/>
    <x v="5"/>
    <x v="3397"/>
    <x v="1"/>
  </r>
  <r>
    <x v="214"/>
    <x v="20"/>
    <x v="76"/>
    <x v="1"/>
    <x v="1"/>
    <x v="8"/>
    <x v="0"/>
    <x v="4"/>
    <x v="221"/>
    <x v="5"/>
    <x v="3398"/>
    <x v="1"/>
  </r>
  <r>
    <x v="214"/>
    <x v="28"/>
    <x v="134"/>
    <x v="1"/>
    <x v="424"/>
    <x v="8"/>
    <x v="0"/>
    <x v="4"/>
    <x v="221"/>
    <x v="0"/>
    <x v="3399"/>
    <x v="1"/>
  </r>
  <r>
    <x v="214"/>
    <x v="10"/>
    <x v="138"/>
    <x v="1"/>
    <x v="89"/>
    <x v="8"/>
    <x v="0"/>
    <x v="4"/>
    <x v="221"/>
    <x v="6"/>
    <x v="3400"/>
    <x v="1"/>
  </r>
  <r>
    <x v="214"/>
    <x v="32"/>
    <x v="1118"/>
    <x v="3"/>
    <x v="422"/>
    <x v="8"/>
    <x v="2"/>
    <x v="4"/>
    <x v="221"/>
    <x v="10"/>
    <x v="3401"/>
    <x v="1"/>
  </r>
  <r>
    <x v="214"/>
    <x v="32"/>
    <x v="1358"/>
    <x v="6"/>
    <x v="422"/>
    <x v="8"/>
    <x v="2"/>
    <x v="4"/>
    <x v="221"/>
    <x v="10"/>
    <x v="3402"/>
    <x v="1"/>
  </r>
  <r>
    <x v="214"/>
    <x v="32"/>
    <x v="1640"/>
    <x v="7"/>
    <x v="422"/>
    <x v="8"/>
    <x v="2"/>
    <x v="4"/>
    <x v="221"/>
    <x v="10"/>
    <x v="3403"/>
    <x v="1"/>
  </r>
  <r>
    <x v="214"/>
    <x v="32"/>
    <x v="715"/>
    <x v="5"/>
    <x v="422"/>
    <x v="8"/>
    <x v="2"/>
    <x v="4"/>
    <x v="221"/>
    <x v="10"/>
    <x v="3404"/>
    <x v="1"/>
  </r>
  <r>
    <x v="214"/>
    <x v="20"/>
    <x v="53"/>
    <x v="1"/>
    <x v="61"/>
    <x v="8"/>
    <x v="0"/>
    <x v="4"/>
    <x v="221"/>
    <x v="5"/>
    <x v="3405"/>
    <x v="1"/>
  </r>
  <r>
    <x v="215"/>
    <x v="9"/>
    <x v="750"/>
    <x v="0"/>
    <x v="231"/>
    <x v="8"/>
    <x v="0"/>
    <x v="0"/>
    <x v="149"/>
    <x v="5"/>
    <x v="3406"/>
    <x v="1"/>
  </r>
  <r>
    <x v="215"/>
    <x v="12"/>
    <x v="328"/>
    <x v="0"/>
    <x v="48"/>
    <x v="8"/>
    <x v="1"/>
    <x v="4"/>
    <x v="221"/>
    <x v="5"/>
    <x v="3407"/>
    <x v="1"/>
  </r>
  <r>
    <x v="215"/>
    <x v="27"/>
    <x v="739"/>
    <x v="1"/>
    <x v="10"/>
    <x v="8"/>
    <x v="0"/>
    <x v="3"/>
    <x v="141"/>
    <x v="5"/>
    <x v="3408"/>
    <x v="1"/>
  </r>
  <r>
    <x v="215"/>
    <x v="3"/>
    <x v="599"/>
    <x v="1"/>
    <x v="543"/>
    <x v="8"/>
    <x v="0"/>
    <x v="4"/>
    <x v="141"/>
    <x v="4"/>
    <x v="3409"/>
    <x v="1"/>
  </r>
  <r>
    <x v="215"/>
    <x v="24"/>
    <x v="45"/>
    <x v="1"/>
    <x v="102"/>
    <x v="8"/>
    <x v="0"/>
    <x v="4"/>
    <x v="141"/>
    <x v="6"/>
    <x v="3410"/>
    <x v="1"/>
  </r>
  <r>
    <x v="215"/>
    <x v="20"/>
    <x v="1974"/>
    <x v="0"/>
    <x v="61"/>
    <x v="8"/>
    <x v="1"/>
    <x v="4"/>
    <x v="221"/>
    <x v="5"/>
    <x v="3411"/>
    <x v="1"/>
  </r>
  <r>
    <x v="215"/>
    <x v="32"/>
    <x v="567"/>
    <x v="3"/>
    <x v="422"/>
    <x v="8"/>
    <x v="2"/>
    <x v="4"/>
    <x v="221"/>
    <x v="10"/>
    <x v="3412"/>
    <x v="1"/>
  </r>
  <r>
    <x v="215"/>
    <x v="32"/>
    <x v="147"/>
    <x v="6"/>
    <x v="422"/>
    <x v="8"/>
    <x v="2"/>
    <x v="4"/>
    <x v="221"/>
    <x v="10"/>
    <x v="3413"/>
    <x v="1"/>
  </r>
  <r>
    <x v="215"/>
    <x v="32"/>
    <x v="375"/>
    <x v="8"/>
    <x v="422"/>
    <x v="8"/>
    <x v="2"/>
    <x v="4"/>
    <x v="221"/>
    <x v="10"/>
    <x v="3414"/>
    <x v="1"/>
  </r>
  <r>
    <x v="215"/>
    <x v="32"/>
    <x v="1186"/>
    <x v="5"/>
    <x v="590"/>
    <x v="8"/>
    <x v="2"/>
    <x v="4"/>
    <x v="221"/>
    <x v="10"/>
    <x v="3415"/>
    <x v="1"/>
  </r>
  <r>
    <x v="215"/>
    <x v="24"/>
    <x v="83"/>
    <x v="1"/>
    <x v="307"/>
    <x v="8"/>
    <x v="0"/>
    <x v="4"/>
    <x v="221"/>
    <x v="6"/>
    <x v="3416"/>
    <x v="1"/>
  </r>
  <r>
    <x v="215"/>
    <x v="20"/>
    <x v="25"/>
    <x v="3"/>
    <x v="531"/>
    <x v="8"/>
    <x v="0"/>
    <x v="4"/>
    <x v="221"/>
    <x v="5"/>
    <x v="3417"/>
    <x v="1"/>
  </r>
  <r>
    <x v="215"/>
    <x v="32"/>
    <x v="1672"/>
    <x v="7"/>
    <x v="422"/>
    <x v="8"/>
    <x v="2"/>
    <x v="4"/>
    <x v="221"/>
    <x v="10"/>
    <x v="3418"/>
    <x v="1"/>
  </r>
  <r>
    <x v="215"/>
    <x v="14"/>
    <x v="719"/>
    <x v="1"/>
    <x v="182"/>
    <x v="8"/>
    <x v="0"/>
    <x v="4"/>
    <x v="221"/>
    <x v="6"/>
    <x v="3419"/>
    <x v="1"/>
  </r>
  <r>
    <x v="216"/>
    <x v="9"/>
    <x v="1038"/>
    <x v="0"/>
    <x v="231"/>
    <x v="8"/>
    <x v="0"/>
    <x v="0"/>
    <x v="149"/>
    <x v="5"/>
    <x v="3420"/>
    <x v="1"/>
  </r>
  <r>
    <x v="216"/>
    <x v="12"/>
    <x v="430"/>
    <x v="0"/>
    <x v="48"/>
    <x v="8"/>
    <x v="1"/>
    <x v="4"/>
    <x v="221"/>
    <x v="5"/>
    <x v="3421"/>
    <x v="1"/>
  </r>
  <r>
    <x v="216"/>
    <x v="38"/>
    <x v="126"/>
    <x v="0"/>
    <x v="563"/>
    <x v="8"/>
    <x v="1"/>
    <x v="4"/>
    <x v="221"/>
    <x v="5"/>
    <x v="3422"/>
    <x v="1"/>
  </r>
  <r>
    <x v="216"/>
    <x v="20"/>
    <x v="72"/>
    <x v="1"/>
    <x v="380"/>
    <x v="8"/>
    <x v="0"/>
    <x v="4"/>
    <x v="221"/>
    <x v="5"/>
    <x v="3423"/>
    <x v="1"/>
  </r>
  <r>
    <x v="216"/>
    <x v="24"/>
    <x v="638"/>
    <x v="1"/>
    <x v="122"/>
    <x v="8"/>
    <x v="0"/>
    <x v="4"/>
    <x v="221"/>
    <x v="6"/>
    <x v="3424"/>
    <x v="1"/>
  </r>
  <r>
    <x v="216"/>
    <x v="23"/>
    <x v="5"/>
    <x v="3"/>
    <x v="590"/>
    <x v="8"/>
    <x v="0"/>
    <x v="4"/>
    <x v="221"/>
    <x v="6"/>
    <x v="3425"/>
    <x v="1"/>
  </r>
  <r>
    <x v="216"/>
    <x v="38"/>
    <x v="12"/>
    <x v="3"/>
    <x v="283"/>
    <x v="8"/>
    <x v="0"/>
    <x v="4"/>
    <x v="221"/>
    <x v="5"/>
    <x v="3426"/>
    <x v="1"/>
  </r>
  <r>
    <x v="216"/>
    <x v="20"/>
    <x v="27"/>
    <x v="3"/>
    <x v="23"/>
    <x v="8"/>
    <x v="0"/>
    <x v="4"/>
    <x v="221"/>
    <x v="5"/>
    <x v="3427"/>
    <x v="1"/>
  </r>
  <r>
    <x v="216"/>
    <x v="32"/>
    <x v="645"/>
    <x v="3"/>
    <x v="422"/>
    <x v="8"/>
    <x v="2"/>
    <x v="4"/>
    <x v="221"/>
    <x v="10"/>
    <x v="3428"/>
    <x v="1"/>
  </r>
  <r>
    <x v="216"/>
    <x v="32"/>
    <x v="922"/>
    <x v="6"/>
    <x v="422"/>
    <x v="8"/>
    <x v="2"/>
    <x v="4"/>
    <x v="221"/>
    <x v="10"/>
    <x v="3429"/>
    <x v="1"/>
  </r>
  <r>
    <x v="216"/>
    <x v="32"/>
    <x v="1638"/>
    <x v="7"/>
    <x v="422"/>
    <x v="8"/>
    <x v="2"/>
    <x v="4"/>
    <x v="221"/>
    <x v="10"/>
    <x v="3430"/>
    <x v="1"/>
  </r>
  <r>
    <x v="216"/>
    <x v="32"/>
    <x v="901"/>
    <x v="5"/>
    <x v="422"/>
    <x v="8"/>
    <x v="2"/>
    <x v="4"/>
    <x v="221"/>
    <x v="10"/>
    <x v="3431"/>
    <x v="1"/>
  </r>
  <r>
    <x v="216"/>
    <x v="6"/>
    <x v="719"/>
    <x v="1"/>
    <x v="136"/>
    <x v="8"/>
    <x v="0"/>
    <x v="4"/>
    <x v="221"/>
    <x v="7"/>
    <x v="3432"/>
    <x v="1"/>
  </r>
  <r>
    <x v="217"/>
    <x v="9"/>
    <x v="638"/>
    <x v="0"/>
    <x v="231"/>
    <x v="8"/>
    <x v="0"/>
    <x v="0"/>
    <x v="149"/>
    <x v="5"/>
    <x v="3433"/>
    <x v="1"/>
  </r>
  <r>
    <x v="217"/>
    <x v="12"/>
    <x v="392"/>
    <x v="0"/>
    <x v="48"/>
    <x v="8"/>
    <x v="1"/>
    <x v="4"/>
    <x v="221"/>
    <x v="5"/>
    <x v="3434"/>
    <x v="1"/>
  </r>
  <r>
    <x v="217"/>
    <x v="23"/>
    <x v="5"/>
    <x v="0"/>
    <x v="283"/>
    <x v="8"/>
    <x v="0"/>
    <x v="4"/>
    <x v="221"/>
    <x v="6"/>
    <x v="3435"/>
    <x v="1"/>
  </r>
  <r>
    <x v="217"/>
    <x v="24"/>
    <x v="145"/>
    <x v="1"/>
    <x v="307"/>
    <x v="8"/>
    <x v="0"/>
    <x v="4"/>
    <x v="221"/>
    <x v="6"/>
    <x v="3436"/>
    <x v="1"/>
  </r>
  <r>
    <x v="217"/>
    <x v="0"/>
    <x v="518"/>
    <x v="3"/>
    <x v="257"/>
    <x v="8"/>
    <x v="0"/>
    <x v="4"/>
    <x v="221"/>
    <x v="9"/>
    <x v="3437"/>
    <x v="1"/>
  </r>
  <r>
    <x v="194"/>
    <x v="32"/>
    <x v="317"/>
    <x v="6"/>
    <x v="422"/>
    <x v="8"/>
    <x v="2"/>
    <x v="4"/>
    <x v="221"/>
    <x v="10"/>
    <x v="3438"/>
    <x v="1"/>
  </r>
  <r>
    <x v="194"/>
    <x v="32"/>
    <x v="1740"/>
    <x v="7"/>
    <x v="422"/>
    <x v="8"/>
    <x v="2"/>
    <x v="4"/>
    <x v="221"/>
    <x v="10"/>
    <x v="3439"/>
    <x v="1"/>
  </r>
  <r>
    <x v="194"/>
    <x v="32"/>
    <x v="1152"/>
    <x v="3"/>
    <x v="422"/>
    <x v="8"/>
    <x v="2"/>
    <x v="4"/>
    <x v="221"/>
    <x v="10"/>
    <x v="3440"/>
    <x v="1"/>
  </r>
  <r>
    <x v="194"/>
    <x v="32"/>
    <x v="555"/>
    <x v="5"/>
    <x v="422"/>
    <x v="8"/>
    <x v="2"/>
    <x v="4"/>
    <x v="221"/>
    <x v="10"/>
    <x v="3441"/>
    <x v="1"/>
  </r>
  <r>
    <x v="195"/>
    <x v="32"/>
    <x v="1583"/>
    <x v="7"/>
    <x v="422"/>
    <x v="8"/>
    <x v="2"/>
    <x v="4"/>
    <x v="221"/>
    <x v="10"/>
    <x v="3442"/>
    <x v="1"/>
  </r>
  <r>
    <x v="195"/>
    <x v="32"/>
    <x v="180"/>
    <x v="6"/>
    <x v="422"/>
    <x v="8"/>
    <x v="2"/>
    <x v="4"/>
    <x v="221"/>
    <x v="10"/>
    <x v="3443"/>
    <x v="1"/>
  </r>
  <r>
    <x v="195"/>
    <x v="32"/>
    <x v="210"/>
    <x v="2"/>
    <x v="422"/>
    <x v="8"/>
    <x v="2"/>
    <x v="4"/>
    <x v="221"/>
    <x v="10"/>
    <x v="3444"/>
    <x v="1"/>
  </r>
  <r>
    <x v="195"/>
    <x v="32"/>
    <x v="839"/>
    <x v="5"/>
    <x v="422"/>
    <x v="8"/>
    <x v="2"/>
    <x v="4"/>
    <x v="221"/>
    <x v="10"/>
    <x v="3445"/>
    <x v="1"/>
  </r>
  <r>
    <x v="195"/>
    <x v="32"/>
    <x v="823"/>
    <x v="3"/>
    <x v="422"/>
    <x v="8"/>
    <x v="2"/>
    <x v="4"/>
    <x v="221"/>
    <x v="10"/>
    <x v="3446"/>
    <x v="1"/>
  </r>
  <r>
    <x v="196"/>
    <x v="32"/>
    <x v="1799"/>
    <x v="7"/>
    <x v="422"/>
    <x v="8"/>
    <x v="2"/>
    <x v="4"/>
    <x v="221"/>
    <x v="10"/>
    <x v="3447"/>
    <x v="1"/>
  </r>
  <r>
    <x v="196"/>
    <x v="32"/>
    <x v="1375"/>
    <x v="3"/>
    <x v="422"/>
    <x v="8"/>
    <x v="2"/>
    <x v="4"/>
    <x v="221"/>
    <x v="10"/>
    <x v="3448"/>
    <x v="1"/>
  </r>
  <r>
    <x v="196"/>
    <x v="32"/>
    <x v="534"/>
    <x v="6"/>
    <x v="422"/>
    <x v="8"/>
    <x v="2"/>
    <x v="4"/>
    <x v="221"/>
    <x v="10"/>
    <x v="3449"/>
    <x v="1"/>
  </r>
  <r>
    <x v="196"/>
    <x v="32"/>
    <x v="145"/>
    <x v="2"/>
    <x v="422"/>
    <x v="8"/>
    <x v="2"/>
    <x v="4"/>
    <x v="221"/>
    <x v="10"/>
    <x v="3450"/>
    <x v="1"/>
  </r>
  <r>
    <x v="196"/>
    <x v="32"/>
    <x v="1216"/>
    <x v="5"/>
    <x v="422"/>
    <x v="8"/>
    <x v="2"/>
    <x v="4"/>
    <x v="221"/>
    <x v="10"/>
    <x v="3451"/>
    <x v="1"/>
  </r>
  <r>
    <x v="217"/>
    <x v="32"/>
    <x v="982"/>
    <x v="3"/>
    <x v="422"/>
    <x v="8"/>
    <x v="2"/>
    <x v="4"/>
    <x v="221"/>
    <x v="10"/>
    <x v="3452"/>
    <x v="1"/>
  </r>
  <r>
    <x v="217"/>
    <x v="32"/>
    <x v="1527"/>
    <x v="7"/>
    <x v="422"/>
    <x v="8"/>
    <x v="2"/>
    <x v="4"/>
    <x v="221"/>
    <x v="10"/>
    <x v="3453"/>
    <x v="1"/>
  </r>
  <r>
    <x v="217"/>
    <x v="32"/>
    <x v="643"/>
    <x v="5"/>
    <x v="422"/>
    <x v="8"/>
    <x v="2"/>
    <x v="4"/>
    <x v="221"/>
    <x v="10"/>
    <x v="3454"/>
    <x v="1"/>
  </r>
  <r>
    <x v="202"/>
    <x v="32"/>
    <x v="645"/>
    <x v="3"/>
    <x v="422"/>
    <x v="8"/>
    <x v="2"/>
    <x v="4"/>
    <x v="221"/>
    <x v="10"/>
    <x v="3455"/>
    <x v="1"/>
  </r>
  <r>
    <x v="202"/>
    <x v="32"/>
    <x v="1654"/>
    <x v="7"/>
    <x v="422"/>
    <x v="8"/>
    <x v="2"/>
    <x v="4"/>
    <x v="221"/>
    <x v="10"/>
    <x v="3456"/>
    <x v="1"/>
  </r>
  <r>
    <x v="202"/>
    <x v="32"/>
    <x v="143"/>
    <x v="2"/>
    <x v="422"/>
    <x v="8"/>
    <x v="2"/>
    <x v="4"/>
    <x v="221"/>
    <x v="10"/>
    <x v="3457"/>
    <x v="1"/>
  </r>
  <r>
    <x v="202"/>
    <x v="32"/>
    <x v="540"/>
    <x v="5"/>
    <x v="422"/>
    <x v="8"/>
    <x v="2"/>
    <x v="4"/>
    <x v="221"/>
    <x v="10"/>
    <x v="3458"/>
    <x v="1"/>
  </r>
  <r>
    <x v="217"/>
    <x v="37"/>
    <x v="19"/>
    <x v="1"/>
    <x v="529"/>
    <x v="8"/>
    <x v="0"/>
    <x v="3"/>
    <x v="142"/>
    <x v="12"/>
    <x v="3459"/>
    <x v="1"/>
  </r>
  <r>
    <x v="218"/>
    <x v="8"/>
    <x v="816"/>
    <x v="0"/>
    <x v="238"/>
    <x v="8"/>
    <x v="1"/>
    <x v="4"/>
    <x v="142"/>
    <x v="5"/>
    <x v="3460"/>
    <x v="1"/>
  </r>
  <r>
    <x v="211"/>
    <x v="31"/>
    <x v="224"/>
    <x v="0"/>
    <x v="244"/>
    <x v="8"/>
    <x v="0"/>
    <x v="3"/>
    <x v="139"/>
    <x v="8"/>
    <x v="3461"/>
    <x v="1"/>
  </r>
  <r>
    <x v="218"/>
    <x v="12"/>
    <x v="354"/>
    <x v="0"/>
    <x v="48"/>
    <x v="8"/>
    <x v="1"/>
    <x v="4"/>
    <x v="221"/>
    <x v="5"/>
    <x v="3462"/>
    <x v="1"/>
  </r>
  <r>
    <x v="218"/>
    <x v="38"/>
    <x v="152"/>
    <x v="0"/>
    <x v="563"/>
    <x v="8"/>
    <x v="1"/>
    <x v="4"/>
    <x v="221"/>
    <x v="5"/>
    <x v="3463"/>
    <x v="1"/>
  </r>
  <r>
    <x v="218"/>
    <x v="9"/>
    <x v="1055"/>
    <x v="0"/>
    <x v="231"/>
    <x v="8"/>
    <x v="0"/>
    <x v="0"/>
    <x v="149"/>
    <x v="5"/>
    <x v="3464"/>
    <x v="1"/>
  </r>
  <r>
    <x v="218"/>
    <x v="23"/>
    <x v="5"/>
    <x v="3"/>
    <x v="283"/>
    <x v="8"/>
    <x v="0"/>
    <x v="4"/>
    <x v="221"/>
    <x v="6"/>
    <x v="3465"/>
    <x v="1"/>
  </r>
  <r>
    <x v="218"/>
    <x v="13"/>
    <x v="1734"/>
    <x v="0"/>
    <x v="35"/>
    <x v="8"/>
    <x v="1"/>
    <x v="4"/>
    <x v="221"/>
    <x v="5"/>
    <x v="3466"/>
    <x v="1"/>
  </r>
  <r>
    <x v="218"/>
    <x v="24"/>
    <x v="69"/>
    <x v="1"/>
    <x v="247"/>
    <x v="8"/>
    <x v="0"/>
    <x v="4"/>
    <x v="221"/>
    <x v="6"/>
    <x v="3467"/>
    <x v="1"/>
  </r>
  <r>
    <x v="193"/>
    <x v="21"/>
    <x v="719"/>
    <x v="0"/>
    <x v="498"/>
    <x v="8"/>
    <x v="0"/>
    <x v="0"/>
    <x v="124"/>
    <x v="3"/>
    <x v="3468"/>
    <x v="1"/>
  </r>
  <r>
    <x v="217"/>
    <x v="5"/>
    <x v="1685"/>
    <x v="1"/>
    <x v="369"/>
    <x v="8"/>
    <x v="0"/>
    <x v="3"/>
    <x v="221"/>
    <x v="11"/>
    <x v="3469"/>
    <x v="1"/>
  </r>
  <r>
    <x v="218"/>
    <x v="38"/>
    <x v="318"/>
    <x v="1"/>
    <x v="389"/>
    <x v="8"/>
    <x v="0"/>
    <x v="3"/>
    <x v="143"/>
    <x v="5"/>
    <x v="3470"/>
    <x v="1"/>
  </r>
  <r>
    <x v="218"/>
    <x v="32"/>
    <x v="849"/>
    <x v="3"/>
    <x v="422"/>
    <x v="8"/>
    <x v="2"/>
    <x v="4"/>
    <x v="221"/>
    <x v="10"/>
    <x v="3471"/>
    <x v="1"/>
  </r>
  <r>
    <x v="218"/>
    <x v="32"/>
    <x v="458"/>
    <x v="6"/>
    <x v="422"/>
    <x v="8"/>
    <x v="2"/>
    <x v="4"/>
    <x v="221"/>
    <x v="10"/>
    <x v="3472"/>
    <x v="1"/>
  </r>
  <r>
    <x v="218"/>
    <x v="32"/>
    <x v="1797"/>
    <x v="7"/>
    <x v="422"/>
    <x v="8"/>
    <x v="2"/>
    <x v="4"/>
    <x v="221"/>
    <x v="10"/>
    <x v="3473"/>
    <x v="1"/>
  </r>
  <r>
    <x v="218"/>
    <x v="32"/>
    <x v="534"/>
    <x v="8"/>
    <x v="422"/>
    <x v="8"/>
    <x v="2"/>
    <x v="4"/>
    <x v="221"/>
    <x v="10"/>
    <x v="3474"/>
    <x v="1"/>
  </r>
  <r>
    <x v="218"/>
    <x v="32"/>
    <x v="513"/>
    <x v="5"/>
    <x v="422"/>
    <x v="8"/>
    <x v="2"/>
    <x v="4"/>
    <x v="221"/>
    <x v="10"/>
    <x v="3475"/>
    <x v="1"/>
  </r>
  <r>
    <x v="219"/>
    <x v="9"/>
    <x v="1026"/>
    <x v="0"/>
    <x v="231"/>
    <x v="8"/>
    <x v="0"/>
    <x v="4"/>
    <x v="221"/>
    <x v="5"/>
    <x v="3476"/>
    <x v="1"/>
  </r>
  <r>
    <x v="219"/>
    <x v="3"/>
    <x v="586"/>
    <x v="1"/>
    <x v="507"/>
    <x v="8"/>
    <x v="0"/>
    <x v="3"/>
    <x v="144"/>
    <x v="4"/>
    <x v="3477"/>
    <x v="1"/>
  </r>
  <r>
    <x v="219"/>
    <x v="38"/>
    <x v="12"/>
    <x v="3"/>
    <x v="334"/>
    <x v="8"/>
    <x v="0"/>
    <x v="3"/>
    <x v="221"/>
    <x v="5"/>
    <x v="3478"/>
    <x v="1"/>
  </r>
  <r>
    <x v="219"/>
    <x v="38"/>
    <x v="87"/>
    <x v="1"/>
    <x v="553"/>
    <x v="8"/>
    <x v="0"/>
    <x v="3"/>
    <x v="221"/>
    <x v="5"/>
    <x v="3479"/>
    <x v="1"/>
  </r>
  <r>
    <x v="219"/>
    <x v="23"/>
    <x v="12"/>
    <x v="3"/>
    <x v="283"/>
    <x v="8"/>
    <x v="0"/>
    <x v="1"/>
    <x v="221"/>
    <x v="6"/>
    <x v="3480"/>
    <x v="1"/>
  </r>
  <r>
    <x v="219"/>
    <x v="1"/>
    <x v="271"/>
    <x v="1"/>
    <x v="432"/>
    <x v="8"/>
    <x v="0"/>
    <x v="1"/>
    <x v="221"/>
    <x v="4"/>
    <x v="3481"/>
    <x v="1"/>
  </r>
  <r>
    <x v="219"/>
    <x v="28"/>
    <x v="134"/>
    <x v="1"/>
    <x v="425"/>
    <x v="8"/>
    <x v="0"/>
    <x v="3"/>
    <x v="221"/>
    <x v="0"/>
    <x v="3482"/>
    <x v="1"/>
  </r>
  <r>
    <x v="219"/>
    <x v="32"/>
    <x v="705"/>
    <x v="3"/>
    <x v="422"/>
    <x v="8"/>
    <x v="2"/>
    <x v="4"/>
    <x v="221"/>
    <x v="10"/>
    <x v="3483"/>
    <x v="1"/>
  </r>
  <r>
    <x v="219"/>
    <x v="32"/>
    <x v="390"/>
    <x v="2"/>
    <x v="422"/>
    <x v="8"/>
    <x v="2"/>
    <x v="4"/>
    <x v="221"/>
    <x v="10"/>
    <x v="3484"/>
    <x v="1"/>
  </r>
  <r>
    <x v="219"/>
    <x v="32"/>
    <x v="485"/>
    <x v="6"/>
    <x v="422"/>
    <x v="8"/>
    <x v="2"/>
    <x v="4"/>
    <x v="221"/>
    <x v="10"/>
    <x v="3485"/>
    <x v="1"/>
  </r>
  <r>
    <x v="219"/>
    <x v="32"/>
    <x v="1783"/>
    <x v="7"/>
    <x v="422"/>
    <x v="8"/>
    <x v="2"/>
    <x v="4"/>
    <x v="221"/>
    <x v="10"/>
    <x v="3486"/>
    <x v="1"/>
  </r>
  <r>
    <x v="219"/>
    <x v="12"/>
    <x v="462"/>
    <x v="1"/>
    <x v="48"/>
    <x v="8"/>
    <x v="1"/>
    <x v="4"/>
    <x v="221"/>
    <x v="5"/>
    <x v="3487"/>
    <x v="1"/>
  </r>
  <r>
    <x v="219"/>
    <x v="38"/>
    <x v="196"/>
    <x v="1"/>
    <x v="76"/>
    <x v="8"/>
    <x v="1"/>
    <x v="4"/>
    <x v="221"/>
    <x v="5"/>
    <x v="3488"/>
    <x v="1"/>
  </r>
  <r>
    <x v="219"/>
    <x v="24"/>
    <x v="36"/>
    <x v="1"/>
    <x v="103"/>
    <x v="8"/>
    <x v="0"/>
    <x v="4"/>
    <x v="221"/>
    <x v="6"/>
    <x v="3489"/>
    <x v="1"/>
  </r>
  <r>
    <x v="219"/>
    <x v="37"/>
    <x v="19"/>
    <x v="1"/>
    <x v="546"/>
    <x v="8"/>
    <x v="0"/>
    <x v="4"/>
    <x v="221"/>
    <x v="12"/>
    <x v="3490"/>
    <x v="1"/>
  </r>
  <r>
    <x v="220"/>
    <x v="12"/>
    <x v="456"/>
    <x v="0"/>
    <x v="48"/>
    <x v="8"/>
    <x v="1"/>
    <x v="4"/>
    <x v="221"/>
    <x v="5"/>
    <x v="3491"/>
    <x v="1"/>
  </r>
  <r>
    <x v="220"/>
    <x v="23"/>
    <x v="9"/>
    <x v="3"/>
    <x v="283"/>
    <x v="8"/>
    <x v="0"/>
    <x v="4"/>
    <x v="221"/>
    <x v="6"/>
    <x v="3492"/>
    <x v="1"/>
  </r>
  <r>
    <x v="220"/>
    <x v="20"/>
    <x v="45"/>
    <x v="1"/>
    <x v="374"/>
    <x v="8"/>
    <x v="0"/>
    <x v="4"/>
    <x v="221"/>
    <x v="5"/>
    <x v="3493"/>
    <x v="1"/>
  </r>
  <r>
    <x v="220"/>
    <x v="27"/>
    <x v="739"/>
    <x v="1"/>
    <x v="10"/>
    <x v="8"/>
    <x v="0"/>
    <x v="4"/>
    <x v="221"/>
    <x v="5"/>
    <x v="3494"/>
    <x v="1"/>
  </r>
  <r>
    <x v="220"/>
    <x v="12"/>
    <x v="363"/>
    <x v="1"/>
    <x v="514"/>
    <x v="8"/>
    <x v="0"/>
    <x v="4"/>
    <x v="221"/>
    <x v="5"/>
    <x v="3495"/>
    <x v="1"/>
  </r>
  <r>
    <x v="220"/>
    <x v="15"/>
    <x v="265"/>
    <x v="3"/>
    <x v="353"/>
    <x v="8"/>
    <x v="0"/>
    <x v="4"/>
    <x v="145"/>
    <x v="4"/>
    <x v="3496"/>
    <x v="1"/>
  </r>
  <r>
    <x v="220"/>
    <x v="17"/>
    <x v="1899"/>
    <x v="0"/>
    <x v="301"/>
    <x v="8"/>
    <x v="1"/>
    <x v="4"/>
    <x v="221"/>
    <x v="3"/>
    <x v="3497"/>
    <x v="1"/>
  </r>
  <r>
    <x v="220"/>
    <x v="27"/>
    <x v="65"/>
    <x v="1"/>
    <x v="364"/>
    <x v="8"/>
    <x v="0"/>
    <x v="4"/>
    <x v="221"/>
    <x v="5"/>
    <x v="3498"/>
    <x v="1"/>
  </r>
  <r>
    <x v="220"/>
    <x v="1"/>
    <x v="60"/>
    <x v="3"/>
    <x v="432"/>
    <x v="8"/>
    <x v="0"/>
    <x v="4"/>
    <x v="221"/>
    <x v="4"/>
    <x v="3499"/>
    <x v="1"/>
  </r>
  <r>
    <x v="220"/>
    <x v="20"/>
    <x v="5"/>
    <x v="3"/>
    <x v="86"/>
    <x v="8"/>
    <x v="0"/>
    <x v="4"/>
    <x v="221"/>
    <x v="5"/>
    <x v="3500"/>
    <x v="1"/>
  </r>
  <r>
    <x v="220"/>
    <x v="20"/>
    <x v="133"/>
    <x v="0"/>
    <x v="61"/>
    <x v="8"/>
    <x v="0"/>
    <x v="0"/>
    <x v="157"/>
    <x v="5"/>
    <x v="3501"/>
    <x v="1"/>
  </r>
  <r>
    <x v="220"/>
    <x v="12"/>
    <x v="30"/>
    <x v="1"/>
    <x v="331"/>
    <x v="8"/>
    <x v="0"/>
    <x v="4"/>
    <x v="221"/>
    <x v="5"/>
    <x v="3502"/>
    <x v="1"/>
  </r>
  <r>
    <x v="220"/>
    <x v="0"/>
    <x v="518"/>
    <x v="0"/>
    <x v="255"/>
    <x v="8"/>
    <x v="0"/>
    <x v="4"/>
    <x v="145"/>
    <x v="9"/>
    <x v="3503"/>
    <x v="1"/>
  </r>
  <r>
    <x v="220"/>
    <x v="32"/>
    <x v="271"/>
    <x v="3"/>
    <x v="422"/>
    <x v="8"/>
    <x v="2"/>
    <x v="4"/>
    <x v="221"/>
    <x v="10"/>
    <x v="3504"/>
    <x v="1"/>
  </r>
  <r>
    <x v="220"/>
    <x v="32"/>
    <x v="525"/>
    <x v="2"/>
    <x v="422"/>
    <x v="8"/>
    <x v="2"/>
    <x v="4"/>
    <x v="221"/>
    <x v="10"/>
    <x v="3505"/>
    <x v="1"/>
  </r>
  <r>
    <x v="220"/>
    <x v="32"/>
    <x v="479"/>
    <x v="4"/>
    <x v="422"/>
    <x v="8"/>
    <x v="2"/>
    <x v="4"/>
    <x v="221"/>
    <x v="10"/>
    <x v="3506"/>
    <x v="1"/>
  </r>
  <r>
    <x v="220"/>
    <x v="32"/>
    <x v="287"/>
    <x v="6"/>
    <x v="422"/>
    <x v="8"/>
    <x v="2"/>
    <x v="4"/>
    <x v="221"/>
    <x v="10"/>
    <x v="3507"/>
    <x v="1"/>
  </r>
  <r>
    <x v="220"/>
    <x v="32"/>
    <x v="1712"/>
    <x v="7"/>
    <x v="422"/>
    <x v="8"/>
    <x v="2"/>
    <x v="4"/>
    <x v="221"/>
    <x v="10"/>
    <x v="3508"/>
    <x v="1"/>
  </r>
  <r>
    <x v="220"/>
    <x v="32"/>
    <x v="1127"/>
    <x v="5"/>
    <x v="422"/>
    <x v="8"/>
    <x v="2"/>
    <x v="4"/>
    <x v="221"/>
    <x v="10"/>
    <x v="3509"/>
    <x v="1"/>
  </r>
  <r>
    <x v="221"/>
    <x v="8"/>
    <x v="816"/>
    <x v="0"/>
    <x v="238"/>
    <x v="9"/>
    <x v="2"/>
    <x v="4"/>
    <x v="221"/>
    <x v="5"/>
    <x v="3510"/>
    <x v="1"/>
  </r>
  <r>
    <x v="221"/>
    <x v="12"/>
    <x v="433"/>
    <x v="0"/>
    <x v="48"/>
    <x v="9"/>
    <x v="1"/>
    <x v="4"/>
    <x v="221"/>
    <x v="5"/>
    <x v="3511"/>
    <x v="1"/>
  </r>
  <r>
    <x v="221"/>
    <x v="23"/>
    <x v="12"/>
    <x v="3"/>
    <x v="283"/>
    <x v="9"/>
    <x v="0"/>
    <x v="4"/>
    <x v="221"/>
    <x v="6"/>
    <x v="3512"/>
    <x v="1"/>
  </r>
  <r>
    <x v="221"/>
    <x v="37"/>
    <x v="12"/>
    <x v="1"/>
    <x v="546"/>
    <x v="9"/>
    <x v="0"/>
    <x v="4"/>
    <x v="221"/>
    <x v="12"/>
    <x v="3513"/>
    <x v="1"/>
  </r>
  <r>
    <x v="221"/>
    <x v="32"/>
    <x v="988"/>
    <x v="3"/>
    <x v="422"/>
    <x v="9"/>
    <x v="2"/>
    <x v="4"/>
    <x v="221"/>
    <x v="10"/>
    <x v="3514"/>
    <x v="1"/>
  </r>
  <r>
    <x v="221"/>
    <x v="32"/>
    <x v="1765"/>
    <x v="7"/>
    <x v="422"/>
    <x v="9"/>
    <x v="2"/>
    <x v="4"/>
    <x v="221"/>
    <x v="10"/>
    <x v="3515"/>
    <x v="1"/>
  </r>
  <r>
    <x v="221"/>
    <x v="32"/>
    <x v="206"/>
    <x v="5"/>
    <x v="422"/>
    <x v="9"/>
    <x v="2"/>
    <x v="4"/>
    <x v="221"/>
    <x v="10"/>
    <x v="3516"/>
    <x v="1"/>
  </r>
  <r>
    <x v="221"/>
    <x v="38"/>
    <x v="15"/>
    <x v="3"/>
    <x v="334"/>
    <x v="9"/>
    <x v="0"/>
    <x v="4"/>
    <x v="221"/>
    <x v="5"/>
    <x v="3517"/>
    <x v="1"/>
  </r>
  <r>
    <x v="222"/>
    <x v="9"/>
    <x v="1005"/>
    <x v="0"/>
    <x v="231"/>
    <x v="9"/>
    <x v="0"/>
    <x v="4"/>
    <x v="221"/>
    <x v="5"/>
    <x v="3518"/>
    <x v="1"/>
  </r>
  <r>
    <x v="222"/>
    <x v="12"/>
    <x v="213"/>
    <x v="0"/>
    <x v="48"/>
    <x v="9"/>
    <x v="1"/>
    <x v="4"/>
    <x v="221"/>
    <x v="5"/>
    <x v="3519"/>
    <x v="1"/>
  </r>
  <r>
    <x v="222"/>
    <x v="23"/>
    <x v="12"/>
    <x v="3"/>
    <x v="283"/>
    <x v="9"/>
    <x v="0"/>
    <x v="4"/>
    <x v="221"/>
    <x v="6"/>
    <x v="3520"/>
    <x v="1"/>
  </r>
  <r>
    <x v="222"/>
    <x v="3"/>
    <x v="599"/>
    <x v="3"/>
    <x v="544"/>
    <x v="9"/>
    <x v="0"/>
    <x v="3"/>
    <x v="146"/>
    <x v="4"/>
    <x v="3521"/>
    <x v="1"/>
  </r>
  <r>
    <x v="222"/>
    <x v="37"/>
    <x v="19"/>
    <x v="0"/>
    <x v="546"/>
    <x v="9"/>
    <x v="0"/>
    <x v="4"/>
    <x v="221"/>
    <x v="12"/>
    <x v="3522"/>
    <x v="1"/>
  </r>
  <r>
    <x v="222"/>
    <x v="32"/>
    <x v="1247"/>
    <x v="3"/>
    <x v="422"/>
    <x v="9"/>
    <x v="2"/>
    <x v="4"/>
    <x v="221"/>
    <x v="10"/>
    <x v="3523"/>
    <x v="1"/>
  </r>
  <r>
    <x v="222"/>
    <x v="32"/>
    <x v="1657"/>
    <x v="7"/>
    <x v="422"/>
    <x v="9"/>
    <x v="2"/>
    <x v="4"/>
    <x v="221"/>
    <x v="10"/>
    <x v="3524"/>
    <x v="1"/>
  </r>
  <r>
    <x v="222"/>
    <x v="1"/>
    <x v="76"/>
    <x v="1"/>
    <x v="432"/>
    <x v="9"/>
    <x v="0"/>
    <x v="4"/>
    <x v="221"/>
    <x v="4"/>
    <x v="3525"/>
    <x v="1"/>
  </r>
  <r>
    <x v="222"/>
    <x v="32"/>
    <x v="507"/>
    <x v="5"/>
    <x v="422"/>
    <x v="9"/>
    <x v="2"/>
    <x v="4"/>
    <x v="221"/>
    <x v="10"/>
    <x v="3526"/>
    <x v="1"/>
  </r>
  <r>
    <x v="223"/>
    <x v="18"/>
    <x v="719"/>
    <x v="1"/>
    <x v="463"/>
    <x v="9"/>
    <x v="0"/>
    <x v="4"/>
    <x v="147"/>
    <x v="3"/>
    <x v="3527"/>
    <x v="1"/>
  </r>
  <r>
    <x v="223"/>
    <x v="28"/>
    <x v="134"/>
    <x v="1"/>
    <x v="81"/>
    <x v="9"/>
    <x v="0"/>
    <x v="4"/>
    <x v="221"/>
    <x v="0"/>
    <x v="3528"/>
    <x v="1"/>
  </r>
  <r>
    <x v="223"/>
    <x v="27"/>
    <x v="256"/>
    <x v="1"/>
    <x v="411"/>
    <x v="9"/>
    <x v="0"/>
    <x v="4"/>
    <x v="221"/>
    <x v="5"/>
    <x v="3529"/>
    <x v="1"/>
  </r>
  <r>
    <x v="223"/>
    <x v="12"/>
    <x v="746"/>
    <x v="0"/>
    <x v="48"/>
    <x v="9"/>
    <x v="1"/>
    <x v="4"/>
    <x v="221"/>
    <x v="5"/>
    <x v="3530"/>
    <x v="1"/>
  </r>
  <r>
    <x v="223"/>
    <x v="8"/>
    <x v="475"/>
    <x v="0"/>
    <x v="238"/>
    <x v="9"/>
    <x v="1"/>
    <x v="4"/>
    <x v="221"/>
    <x v="5"/>
    <x v="3531"/>
    <x v="1"/>
  </r>
  <r>
    <x v="223"/>
    <x v="23"/>
    <x v="12"/>
    <x v="3"/>
    <x v="283"/>
    <x v="9"/>
    <x v="0"/>
    <x v="4"/>
    <x v="221"/>
    <x v="6"/>
    <x v="3532"/>
    <x v="1"/>
  </r>
  <r>
    <x v="223"/>
    <x v="9"/>
    <x v="358"/>
    <x v="0"/>
    <x v="231"/>
    <x v="9"/>
    <x v="0"/>
    <x v="4"/>
    <x v="221"/>
    <x v="5"/>
    <x v="3533"/>
    <x v="1"/>
  </r>
  <r>
    <x v="223"/>
    <x v="31"/>
    <x v="127"/>
    <x v="1"/>
    <x v="227"/>
    <x v="9"/>
    <x v="0"/>
    <x v="4"/>
    <x v="221"/>
    <x v="8"/>
    <x v="3534"/>
    <x v="1"/>
  </r>
  <r>
    <x v="223"/>
    <x v="28"/>
    <x v="134"/>
    <x v="1"/>
    <x v="424"/>
    <x v="9"/>
    <x v="0"/>
    <x v="4"/>
    <x v="221"/>
    <x v="0"/>
    <x v="3535"/>
    <x v="1"/>
  </r>
  <r>
    <x v="223"/>
    <x v="31"/>
    <x v="22"/>
    <x v="1"/>
    <x v="412"/>
    <x v="9"/>
    <x v="0"/>
    <x v="4"/>
    <x v="221"/>
    <x v="8"/>
    <x v="3536"/>
    <x v="1"/>
  </r>
  <r>
    <x v="223"/>
    <x v="32"/>
    <x v="475"/>
    <x v="3"/>
    <x v="422"/>
    <x v="9"/>
    <x v="2"/>
    <x v="4"/>
    <x v="221"/>
    <x v="10"/>
    <x v="3537"/>
    <x v="1"/>
  </r>
  <r>
    <x v="223"/>
    <x v="32"/>
    <x v="242"/>
    <x v="6"/>
    <x v="422"/>
    <x v="9"/>
    <x v="2"/>
    <x v="4"/>
    <x v="221"/>
    <x v="10"/>
    <x v="3538"/>
    <x v="1"/>
  </r>
  <r>
    <x v="223"/>
    <x v="32"/>
    <x v="1831"/>
    <x v="7"/>
    <x v="422"/>
    <x v="9"/>
    <x v="2"/>
    <x v="4"/>
    <x v="221"/>
    <x v="10"/>
    <x v="3539"/>
    <x v="1"/>
  </r>
  <r>
    <x v="223"/>
    <x v="17"/>
    <x v="12"/>
    <x v="1"/>
    <x v="293"/>
    <x v="9"/>
    <x v="0"/>
    <x v="4"/>
    <x v="221"/>
    <x v="3"/>
    <x v="3540"/>
    <x v="1"/>
  </r>
  <r>
    <x v="223"/>
    <x v="37"/>
    <x v="19"/>
    <x v="1"/>
    <x v="546"/>
    <x v="9"/>
    <x v="0"/>
    <x v="4"/>
    <x v="221"/>
    <x v="12"/>
    <x v="3541"/>
    <x v="1"/>
  </r>
  <r>
    <x v="223"/>
    <x v="32"/>
    <x v="749"/>
    <x v="8"/>
    <x v="422"/>
    <x v="9"/>
    <x v="2"/>
    <x v="4"/>
    <x v="221"/>
    <x v="10"/>
    <x v="3542"/>
    <x v="1"/>
  </r>
  <r>
    <x v="223"/>
    <x v="32"/>
    <x v="98"/>
    <x v="5"/>
    <x v="422"/>
    <x v="9"/>
    <x v="2"/>
    <x v="4"/>
    <x v="221"/>
    <x v="10"/>
    <x v="3543"/>
    <x v="1"/>
  </r>
  <r>
    <x v="223"/>
    <x v="38"/>
    <x v="87"/>
    <x v="1"/>
    <x v="553"/>
    <x v="9"/>
    <x v="0"/>
    <x v="4"/>
    <x v="221"/>
    <x v="5"/>
    <x v="3544"/>
    <x v="1"/>
  </r>
  <r>
    <x v="224"/>
    <x v="20"/>
    <x v="1639"/>
    <x v="0"/>
    <x v="231"/>
    <x v="9"/>
    <x v="1"/>
    <x v="4"/>
    <x v="221"/>
    <x v="5"/>
    <x v="3545"/>
    <x v="1"/>
  </r>
  <r>
    <x v="224"/>
    <x v="20"/>
    <x v="28"/>
    <x v="3"/>
    <x v="380"/>
    <x v="9"/>
    <x v="0"/>
    <x v="4"/>
    <x v="221"/>
    <x v="5"/>
    <x v="3546"/>
    <x v="1"/>
  </r>
  <r>
    <x v="224"/>
    <x v="27"/>
    <x v="739"/>
    <x v="1"/>
    <x v="10"/>
    <x v="9"/>
    <x v="0"/>
    <x v="4"/>
    <x v="221"/>
    <x v="5"/>
    <x v="3547"/>
    <x v="1"/>
  </r>
  <r>
    <x v="224"/>
    <x v="1"/>
    <x v="76"/>
    <x v="3"/>
    <x v="432"/>
    <x v="9"/>
    <x v="0"/>
    <x v="4"/>
    <x v="221"/>
    <x v="4"/>
    <x v="3548"/>
    <x v="1"/>
  </r>
  <r>
    <x v="224"/>
    <x v="31"/>
    <x v="12"/>
    <x v="1"/>
    <x v="382"/>
    <x v="9"/>
    <x v="0"/>
    <x v="4"/>
    <x v="221"/>
    <x v="8"/>
    <x v="3549"/>
    <x v="1"/>
  </r>
  <r>
    <x v="224"/>
    <x v="0"/>
    <x v="1353"/>
    <x v="0"/>
    <x v="258"/>
    <x v="9"/>
    <x v="0"/>
    <x v="4"/>
    <x v="221"/>
    <x v="9"/>
    <x v="3550"/>
    <x v="1"/>
  </r>
  <r>
    <x v="224"/>
    <x v="38"/>
    <x v="256"/>
    <x v="1"/>
    <x v="389"/>
    <x v="9"/>
    <x v="0"/>
    <x v="4"/>
    <x v="221"/>
    <x v="5"/>
    <x v="3551"/>
    <x v="1"/>
  </r>
  <r>
    <x v="224"/>
    <x v="32"/>
    <x v="1192"/>
    <x v="3"/>
    <x v="422"/>
    <x v="9"/>
    <x v="2"/>
    <x v="4"/>
    <x v="221"/>
    <x v="10"/>
    <x v="3552"/>
    <x v="1"/>
  </r>
  <r>
    <x v="224"/>
    <x v="32"/>
    <x v="1604"/>
    <x v="7"/>
    <x v="422"/>
    <x v="9"/>
    <x v="2"/>
    <x v="4"/>
    <x v="221"/>
    <x v="10"/>
    <x v="3553"/>
    <x v="1"/>
  </r>
  <r>
    <x v="224"/>
    <x v="32"/>
    <x v="1668"/>
    <x v="5"/>
    <x v="422"/>
    <x v="9"/>
    <x v="2"/>
    <x v="4"/>
    <x v="221"/>
    <x v="10"/>
    <x v="3554"/>
    <x v="1"/>
  </r>
  <r>
    <x v="224"/>
    <x v="38"/>
    <x v="15"/>
    <x v="3"/>
    <x v="334"/>
    <x v="9"/>
    <x v="0"/>
    <x v="4"/>
    <x v="221"/>
    <x v="5"/>
    <x v="3555"/>
    <x v="1"/>
  </r>
  <r>
    <x v="224"/>
    <x v="37"/>
    <x v="19"/>
    <x v="1"/>
    <x v="546"/>
    <x v="9"/>
    <x v="0"/>
    <x v="4"/>
    <x v="221"/>
    <x v="12"/>
    <x v="3556"/>
    <x v="1"/>
  </r>
  <r>
    <x v="225"/>
    <x v="0"/>
    <x v="1146"/>
    <x v="1"/>
    <x v="258"/>
    <x v="9"/>
    <x v="0"/>
    <x v="1"/>
    <x v="148"/>
    <x v="9"/>
    <x v="3557"/>
    <x v="1"/>
  </r>
  <r>
    <x v="225"/>
    <x v="15"/>
    <x v="164"/>
    <x v="0"/>
    <x v="191"/>
    <x v="9"/>
    <x v="0"/>
    <x v="4"/>
    <x v="221"/>
    <x v="4"/>
    <x v="3558"/>
    <x v="1"/>
  </r>
  <r>
    <x v="225"/>
    <x v="1"/>
    <x v="60"/>
    <x v="1"/>
    <x v="432"/>
    <x v="9"/>
    <x v="0"/>
    <x v="4"/>
    <x v="221"/>
    <x v="4"/>
    <x v="3559"/>
    <x v="1"/>
  </r>
  <r>
    <x v="225"/>
    <x v="31"/>
    <x v="58"/>
    <x v="1"/>
    <x v="269"/>
    <x v="9"/>
    <x v="0"/>
    <x v="4"/>
    <x v="221"/>
    <x v="8"/>
    <x v="3560"/>
    <x v="1"/>
  </r>
  <r>
    <x v="225"/>
    <x v="21"/>
    <x v="343"/>
    <x v="0"/>
    <x v="498"/>
    <x v="9"/>
    <x v="0"/>
    <x v="4"/>
    <x v="148"/>
    <x v="3"/>
    <x v="3561"/>
    <x v="1"/>
  </r>
  <r>
    <x v="225"/>
    <x v="21"/>
    <x v="1239"/>
    <x v="0"/>
    <x v="196"/>
    <x v="9"/>
    <x v="0"/>
    <x v="4"/>
    <x v="148"/>
    <x v="3"/>
    <x v="3562"/>
    <x v="1"/>
  </r>
  <r>
    <x v="225"/>
    <x v="12"/>
    <x v="79"/>
    <x v="0"/>
    <x v="48"/>
    <x v="9"/>
    <x v="1"/>
    <x v="4"/>
    <x v="221"/>
    <x v="5"/>
    <x v="3563"/>
    <x v="1"/>
  </r>
  <r>
    <x v="195"/>
    <x v="19"/>
    <x v="767"/>
    <x v="0"/>
    <x v="474"/>
    <x v="8"/>
    <x v="0"/>
    <x v="0"/>
    <x v="132"/>
    <x v="3"/>
    <x v="3564"/>
    <x v="1"/>
  </r>
  <r>
    <x v="198"/>
    <x v="19"/>
    <x v="1217"/>
    <x v="0"/>
    <x v="474"/>
    <x v="8"/>
    <x v="0"/>
    <x v="0"/>
    <x v="132"/>
    <x v="3"/>
    <x v="3565"/>
    <x v="1"/>
  </r>
  <r>
    <x v="200"/>
    <x v="19"/>
    <x v="767"/>
    <x v="0"/>
    <x v="474"/>
    <x v="8"/>
    <x v="0"/>
    <x v="0"/>
    <x v="132"/>
    <x v="3"/>
    <x v="3566"/>
    <x v="1"/>
  </r>
  <r>
    <x v="205"/>
    <x v="19"/>
    <x v="767"/>
    <x v="0"/>
    <x v="474"/>
    <x v="8"/>
    <x v="0"/>
    <x v="0"/>
    <x v="132"/>
    <x v="3"/>
    <x v="3567"/>
    <x v="1"/>
  </r>
  <r>
    <x v="208"/>
    <x v="19"/>
    <x v="767"/>
    <x v="0"/>
    <x v="474"/>
    <x v="8"/>
    <x v="0"/>
    <x v="0"/>
    <x v="148"/>
    <x v="3"/>
    <x v="3568"/>
    <x v="1"/>
  </r>
  <r>
    <x v="210"/>
    <x v="19"/>
    <x v="767"/>
    <x v="0"/>
    <x v="474"/>
    <x v="8"/>
    <x v="0"/>
    <x v="0"/>
    <x v="148"/>
    <x v="3"/>
    <x v="3569"/>
    <x v="1"/>
  </r>
  <r>
    <x v="212"/>
    <x v="19"/>
    <x v="767"/>
    <x v="0"/>
    <x v="474"/>
    <x v="8"/>
    <x v="0"/>
    <x v="0"/>
    <x v="148"/>
    <x v="3"/>
    <x v="3570"/>
    <x v="1"/>
  </r>
  <r>
    <x v="213"/>
    <x v="19"/>
    <x v="767"/>
    <x v="0"/>
    <x v="474"/>
    <x v="8"/>
    <x v="0"/>
    <x v="0"/>
    <x v="148"/>
    <x v="3"/>
    <x v="3571"/>
    <x v="1"/>
  </r>
  <r>
    <x v="215"/>
    <x v="19"/>
    <x v="767"/>
    <x v="0"/>
    <x v="474"/>
    <x v="8"/>
    <x v="0"/>
    <x v="0"/>
    <x v="148"/>
    <x v="3"/>
    <x v="3572"/>
    <x v="1"/>
  </r>
  <r>
    <x v="216"/>
    <x v="19"/>
    <x v="767"/>
    <x v="0"/>
    <x v="474"/>
    <x v="8"/>
    <x v="0"/>
    <x v="0"/>
    <x v="148"/>
    <x v="3"/>
    <x v="3573"/>
    <x v="1"/>
  </r>
  <r>
    <x v="217"/>
    <x v="19"/>
    <x v="1217"/>
    <x v="0"/>
    <x v="474"/>
    <x v="8"/>
    <x v="0"/>
    <x v="0"/>
    <x v="148"/>
    <x v="3"/>
    <x v="3574"/>
    <x v="1"/>
  </r>
  <r>
    <x v="220"/>
    <x v="19"/>
    <x v="767"/>
    <x v="0"/>
    <x v="474"/>
    <x v="8"/>
    <x v="0"/>
    <x v="0"/>
    <x v="148"/>
    <x v="3"/>
    <x v="3575"/>
    <x v="1"/>
  </r>
  <r>
    <x v="194"/>
    <x v="9"/>
    <x v="191"/>
    <x v="0"/>
    <x v="231"/>
    <x v="8"/>
    <x v="0"/>
    <x v="4"/>
    <x v="221"/>
    <x v="5"/>
    <x v="3576"/>
    <x v="1"/>
  </r>
  <r>
    <x v="195"/>
    <x v="9"/>
    <x v="1328"/>
    <x v="0"/>
    <x v="231"/>
    <x v="8"/>
    <x v="0"/>
    <x v="4"/>
    <x v="221"/>
    <x v="5"/>
    <x v="3577"/>
    <x v="1"/>
  </r>
  <r>
    <x v="196"/>
    <x v="9"/>
    <x v="513"/>
    <x v="0"/>
    <x v="231"/>
    <x v="8"/>
    <x v="0"/>
    <x v="4"/>
    <x v="221"/>
    <x v="5"/>
    <x v="3578"/>
    <x v="1"/>
  </r>
  <r>
    <x v="205"/>
    <x v="38"/>
    <x v="468"/>
    <x v="0"/>
    <x v="275"/>
    <x v="8"/>
    <x v="0"/>
    <x v="3"/>
    <x v="146"/>
    <x v="5"/>
    <x v="3579"/>
    <x v="1"/>
  </r>
  <r>
    <x v="225"/>
    <x v="0"/>
    <x v="256"/>
    <x v="0"/>
    <x v="257"/>
    <x v="9"/>
    <x v="0"/>
    <x v="3"/>
    <x v="146"/>
    <x v="9"/>
    <x v="3580"/>
    <x v="1"/>
  </r>
  <r>
    <x v="225"/>
    <x v="20"/>
    <x v="60"/>
    <x v="3"/>
    <x v="416"/>
    <x v="9"/>
    <x v="0"/>
    <x v="1"/>
    <x v="146"/>
    <x v="5"/>
    <x v="3581"/>
    <x v="1"/>
  </r>
  <r>
    <x v="225"/>
    <x v="24"/>
    <x v="518"/>
    <x v="0"/>
    <x v="187"/>
    <x v="9"/>
    <x v="0"/>
    <x v="3"/>
    <x v="148"/>
    <x v="6"/>
    <x v="3582"/>
    <x v="1"/>
  </r>
  <r>
    <x v="225"/>
    <x v="20"/>
    <x v="33"/>
    <x v="3"/>
    <x v="107"/>
    <x v="9"/>
    <x v="0"/>
    <x v="3"/>
    <x v="221"/>
    <x v="5"/>
    <x v="3583"/>
    <x v="1"/>
  </r>
  <r>
    <x v="225"/>
    <x v="32"/>
    <x v="852"/>
    <x v="3"/>
    <x v="422"/>
    <x v="9"/>
    <x v="2"/>
    <x v="4"/>
    <x v="221"/>
    <x v="10"/>
    <x v="3584"/>
    <x v="1"/>
  </r>
  <r>
    <x v="225"/>
    <x v="32"/>
    <x v="154"/>
    <x v="2"/>
    <x v="422"/>
    <x v="9"/>
    <x v="2"/>
    <x v="4"/>
    <x v="221"/>
    <x v="10"/>
    <x v="3585"/>
    <x v="1"/>
  </r>
  <r>
    <x v="225"/>
    <x v="32"/>
    <x v="36"/>
    <x v="6"/>
    <x v="422"/>
    <x v="9"/>
    <x v="2"/>
    <x v="4"/>
    <x v="221"/>
    <x v="10"/>
    <x v="3586"/>
    <x v="1"/>
  </r>
  <r>
    <x v="225"/>
    <x v="32"/>
    <x v="1807"/>
    <x v="7"/>
    <x v="422"/>
    <x v="9"/>
    <x v="2"/>
    <x v="4"/>
    <x v="221"/>
    <x v="10"/>
    <x v="3587"/>
    <x v="1"/>
  </r>
  <r>
    <x v="225"/>
    <x v="23"/>
    <x v="5"/>
    <x v="3"/>
    <x v="283"/>
    <x v="9"/>
    <x v="0"/>
    <x v="4"/>
    <x v="221"/>
    <x v="6"/>
    <x v="3588"/>
    <x v="1"/>
  </r>
  <r>
    <x v="225"/>
    <x v="32"/>
    <x v="193"/>
    <x v="5"/>
    <x v="422"/>
    <x v="9"/>
    <x v="2"/>
    <x v="4"/>
    <x v="221"/>
    <x v="10"/>
    <x v="3589"/>
    <x v="1"/>
  </r>
  <r>
    <x v="225"/>
    <x v="37"/>
    <x v="19"/>
    <x v="1"/>
    <x v="546"/>
    <x v="9"/>
    <x v="0"/>
    <x v="4"/>
    <x v="221"/>
    <x v="12"/>
    <x v="3590"/>
    <x v="1"/>
  </r>
  <r>
    <x v="226"/>
    <x v="12"/>
    <x v="580"/>
    <x v="0"/>
    <x v="48"/>
    <x v="9"/>
    <x v="1"/>
    <x v="4"/>
    <x v="221"/>
    <x v="5"/>
    <x v="3591"/>
    <x v="1"/>
  </r>
  <r>
    <x v="226"/>
    <x v="9"/>
    <x v="860"/>
    <x v="0"/>
    <x v="231"/>
    <x v="9"/>
    <x v="0"/>
    <x v="4"/>
    <x v="221"/>
    <x v="5"/>
    <x v="3592"/>
    <x v="1"/>
  </r>
  <r>
    <x v="226"/>
    <x v="20"/>
    <x v="72"/>
    <x v="0"/>
    <x v="380"/>
    <x v="9"/>
    <x v="0"/>
    <x v="4"/>
    <x v="221"/>
    <x v="5"/>
    <x v="3593"/>
    <x v="1"/>
  </r>
  <r>
    <x v="226"/>
    <x v="23"/>
    <x v="12"/>
    <x v="3"/>
    <x v="283"/>
    <x v="9"/>
    <x v="0"/>
    <x v="4"/>
    <x v="221"/>
    <x v="6"/>
    <x v="3594"/>
    <x v="1"/>
  </r>
  <r>
    <x v="226"/>
    <x v="25"/>
    <x v="27"/>
    <x v="1"/>
    <x v="322"/>
    <x v="9"/>
    <x v="0"/>
    <x v="4"/>
    <x v="221"/>
    <x v="12"/>
    <x v="3595"/>
    <x v="1"/>
  </r>
  <r>
    <x v="226"/>
    <x v="17"/>
    <x v="12"/>
    <x v="3"/>
    <x v="293"/>
    <x v="9"/>
    <x v="0"/>
    <x v="4"/>
    <x v="221"/>
    <x v="3"/>
    <x v="3596"/>
    <x v="1"/>
  </r>
  <r>
    <x v="226"/>
    <x v="24"/>
    <x v="618"/>
    <x v="1"/>
    <x v="13"/>
    <x v="9"/>
    <x v="0"/>
    <x v="4"/>
    <x v="221"/>
    <x v="6"/>
    <x v="3597"/>
    <x v="1"/>
  </r>
  <r>
    <x v="226"/>
    <x v="20"/>
    <x v="988"/>
    <x v="0"/>
    <x v="61"/>
    <x v="9"/>
    <x v="0"/>
    <x v="0"/>
    <x v="157"/>
    <x v="5"/>
    <x v="3598"/>
    <x v="1"/>
  </r>
  <r>
    <x v="226"/>
    <x v="24"/>
    <x v="77"/>
    <x v="1"/>
    <x v="336"/>
    <x v="9"/>
    <x v="0"/>
    <x v="1"/>
    <x v="149"/>
    <x v="6"/>
    <x v="3599"/>
    <x v="1"/>
  </r>
  <r>
    <x v="226"/>
    <x v="0"/>
    <x v="256"/>
    <x v="3"/>
    <x v="472"/>
    <x v="9"/>
    <x v="0"/>
    <x v="1"/>
    <x v="149"/>
    <x v="9"/>
    <x v="3600"/>
    <x v="1"/>
  </r>
  <r>
    <x v="226"/>
    <x v="32"/>
    <x v="1237"/>
    <x v="3"/>
    <x v="422"/>
    <x v="9"/>
    <x v="2"/>
    <x v="4"/>
    <x v="221"/>
    <x v="10"/>
    <x v="3601"/>
    <x v="1"/>
  </r>
  <r>
    <x v="226"/>
    <x v="32"/>
    <x v="363"/>
    <x v="2"/>
    <x v="422"/>
    <x v="9"/>
    <x v="2"/>
    <x v="4"/>
    <x v="221"/>
    <x v="10"/>
    <x v="3602"/>
    <x v="1"/>
  </r>
  <r>
    <x v="226"/>
    <x v="32"/>
    <x v="1131"/>
    <x v="6"/>
    <x v="422"/>
    <x v="9"/>
    <x v="2"/>
    <x v="4"/>
    <x v="221"/>
    <x v="10"/>
    <x v="3603"/>
    <x v="1"/>
  </r>
  <r>
    <x v="225"/>
    <x v="12"/>
    <x v="79"/>
    <x v="0"/>
    <x v="48"/>
    <x v="9"/>
    <x v="1"/>
    <x v="4"/>
    <x v="221"/>
    <x v="5"/>
    <x v="3604"/>
    <x v="1"/>
  </r>
  <r>
    <x v="226"/>
    <x v="0"/>
    <x v="321"/>
    <x v="3"/>
    <x v="370"/>
    <x v="9"/>
    <x v="0"/>
    <x v="4"/>
    <x v="221"/>
    <x v="9"/>
    <x v="3605"/>
    <x v="1"/>
  </r>
  <r>
    <x v="226"/>
    <x v="11"/>
    <x v="242"/>
    <x v="3"/>
    <x v="168"/>
    <x v="9"/>
    <x v="0"/>
    <x v="4"/>
    <x v="221"/>
    <x v="2"/>
    <x v="3606"/>
    <x v="1"/>
  </r>
  <r>
    <x v="226"/>
    <x v="32"/>
    <x v="1936"/>
    <x v="7"/>
    <x v="422"/>
    <x v="9"/>
    <x v="2"/>
    <x v="4"/>
    <x v="221"/>
    <x v="10"/>
    <x v="3607"/>
    <x v="1"/>
  </r>
  <r>
    <x v="226"/>
    <x v="32"/>
    <x v="1360"/>
    <x v="5"/>
    <x v="422"/>
    <x v="9"/>
    <x v="2"/>
    <x v="4"/>
    <x v="221"/>
    <x v="10"/>
    <x v="3608"/>
    <x v="1"/>
  </r>
  <r>
    <x v="227"/>
    <x v="12"/>
    <x v="408"/>
    <x v="0"/>
    <x v="48"/>
    <x v="9"/>
    <x v="1"/>
    <x v="4"/>
    <x v="221"/>
    <x v="5"/>
    <x v="3609"/>
    <x v="1"/>
  </r>
  <r>
    <x v="227"/>
    <x v="24"/>
    <x v="191"/>
    <x v="1"/>
    <x v="219"/>
    <x v="9"/>
    <x v="0"/>
    <x v="4"/>
    <x v="221"/>
    <x v="6"/>
    <x v="3610"/>
    <x v="1"/>
  </r>
  <r>
    <x v="227"/>
    <x v="28"/>
    <x v="134"/>
    <x v="1"/>
    <x v="424"/>
    <x v="9"/>
    <x v="0"/>
    <x v="4"/>
    <x v="221"/>
    <x v="0"/>
    <x v="3611"/>
    <x v="1"/>
  </r>
  <r>
    <x v="227"/>
    <x v="9"/>
    <x v="1081"/>
    <x v="0"/>
    <x v="231"/>
    <x v="9"/>
    <x v="0"/>
    <x v="4"/>
    <x v="221"/>
    <x v="5"/>
    <x v="3612"/>
    <x v="1"/>
  </r>
  <r>
    <x v="227"/>
    <x v="12"/>
    <x v="147"/>
    <x v="1"/>
    <x v="129"/>
    <x v="9"/>
    <x v="0"/>
    <x v="4"/>
    <x v="221"/>
    <x v="5"/>
    <x v="3613"/>
    <x v="1"/>
  </r>
  <r>
    <x v="227"/>
    <x v="1"/>
    <x v="76"/>
    <x v="3"/>
    <x v="432"/>
    <x v="9"/>
    <x v="0"/>
    <x v="4"/>
    <x v="221"/>
    <x v="4"/>
    <x v="3614"/>
    <x v="1"/>
  </r>
  <r>
    <x v="227"/>
    <x v="17"/>
    <x v="90"/>
    <x v="1"/>
    <x v="126"/>
    <x v="9"/>
    <x v="0"/>
    <x v="4"/>
    <x v="221"/>
    <x v="3"/>
    <x v="3615"/>
    <x v="1"/>
  </r>
  <r>
    <x v="227"/>
    <x v="17"/>
    <x v="9"/>
    <x v="1"/>
    <x v="293"/>
    <x v="9"/>
    <x v="0"/>
    <x v="4"/>
    <x v="221"/>
    <x v="3"/>
    <x v="3616"/>
    <x v="1"/>
  </r>
  <r>
    <x v="227"/>
    <x v="23"/>
    <x v="9"/>
    <x v="3"/>
    <x v="283"/>
    <x v="9"/>
    <x v="0"/>
    <x v="4"/>
    <x v="221"/>
    <x v="6"/>
    <x v="3617"/>
    <x v="1"/>
  </r>
  <r>
    <x v="227"/>
    <x v="0"/>
    <x v="256"/>
    <x v="1"/>
    <x v="255"/>
    <x v="9"/>
    <x v="0"/>
    <x v="4"/>
    <x v="221"/>
    <x v="9"/>
    <x v="3618"/>
    <x v="1"/>
  </r>
  <r>
    <x v="227"/>
    <x v="32"/>
    <x v="1045"/>
    <x v="3"/>
    <x v="422"/>
    <x v="9"/>
    <x v="2"/>
    <x v="4"/>
    <x v="221"/>
    <x v="10"/>
    <x v="3619"/>
    <x v="1"/>
  </r>
  <r>
    <x v="227"/>
    <x v="32"/>
    <x v="510"/>
    <x v="2"/>
    <x v="422"/>
    <x v="9"/>
    <x v="2"/>
    <x v="4"/>
    <x v="221"/>
    <x v="10"/>
    <x v="3620"/>
    <x v="1"/>
  </r>
  <r>
    <x v="227"/>
    <x v="32"/>
    <x v="1764"/>
    <x v="7"/>
    <x v="422"/>
    <x v="9"/>
    <x v="2"/>
    <x v="4"/>
    <x v="221"/>
    <x v="10"/>
    <x v="3621"/>
    <x v="1"/>
  </r>
  <r>
    <x v="227"/>
    <x v="32"/>
    <x v="283"/>
    <x v="8"/>
    <x v="422"/>
    <x v="9"/>
    <x v="2"/>
    <x v="4"/>
    <x v="221"/>
    <x v="10"/>
    <x v="3622"/>
    <x v="1"/>
  </r>
  <r>
    <x v="227"/>
    <x v="32"/>
    <x v="983"/>
    <x v="5"/>
    <x v="422"/>
    <x v="9"/>
    <x v="2"/>
    <x v="4"/>
    <x v="221"/>
    <x v="10"/>
    <x v="3623"/>
    <x v="1"/>
  </r>
  <r>
    <x v="227"/>
    <x v="37"/>
    <x v="19"/>
    <x v="1"/>
    <x v="546"/>
    <x v="9"/>
    <x v="0"/>
    <x v="4"/>
    <x v="221"/>
    <x v="12"/>
    <x v="3624"/>
    <x v="1"/>
  </r>
  <r>
    <x v="227"/>
    <x v="0"/>
    <x v="256"/>
    <x v="1"/>
    <x v="572"/>
    <x v="9"/>
    <x v="0"/>
    <x v="4"/>
    <x v="221"/>
    <x v="9"/>
    <x v="3625"/>
    <x v="1"/>
  </r>
  <r>
    <x v="228"/>
    <x v="12"/>
    <x v="397"/>
    <x v="0"/>
    <x v="48"/>
    <x v="9"/>
    <x v="1"/>
    <x v="4"/>
    <x v="221"/>
    <x v="5"/>
    <x v="3626"/>
    <x v="1"/>
  </r>
  <r>
    <x v="228"/>
    <x v="8"/>
    <x v="816"/>
    <x v="0"/>
    <x v="238"/>
    <x v="9"/>
    <x v="1"/>
    <x v="4"/>
    <x v="221"/>
    <x v="5"/>
    <x v="3627"/>
    <x v="1"/>
  </r>
  <r>
    <x v="228"/>
    <x v="9"/>
    <x v="1047"/>
    <x v="0"/>
    <x v="231"/>
    <x v="9"/>
    <x v="0"/>
    <x v="4"/>
    <x v="221"/>
    <x v="5"/>
    <x v="3628"/>
    <x v="1"/>
  </r>
  <r>
    <x v="228"/>
    <x v="20"/>
    <x v="1020"/>
    <x v="0"/>
    <x v="61"/>
    <x v="9"/>
    <x v="0"/>
    <x v="0"/>
    <x v="157"/>
    <x v="5"/>
    <x v="3629"/>
    <x v="1"/>
  </r>
  <r>
    <x v="228"/>
    <x v="23"/>
    <x v="9"/>
    <x v="3"/>
    <x v="283"/>
    <x v="9"/>
    <x v="0"/>
    <x v="4"/>
    <x v="221"/>
    <x v="6"/>
    <x v="3630"/>
    <x v="1"/>
  </r>
  <r>
    <x v="228"/>
    <x v="27"/>
    <x v="1170"/>
    <x v="0"/>
    <x v="360"/>
    <x v="9"/>
    <x v="0"/>
    <x v="3"/>
    <x v="151"/>
    <x v="5"/>
    <x v="3631"/>
    <x v="1"/>
  </r>
  <r>
    <x v="228"/>
    <x v="40"/>
    <x v="518"/>
    <x v="1"/>
    <x v="581"/>
    <x v="9"/>
    <x v="0"/>
    <x v="4"/>
    <x v="221"/>
    <x v="7"/>
    <x v="3632"/>
    <x v="1"/>
  </r>
  <r>
    <x v="228"/>
    <x v="3"/>
    <x v="599"/>
    <x v="1"/>
    <x v="582"/>
    <x v="9"/>
    <x v="0"/>
    <x v="1"/>
    <x v="151"/>
    <x v="4"/>
    <x v="3633"/>
    <x v="1"/>
  </r>
  <r>
    <x v="228"/>
    <x v="13"/>
    <x v="420"/>
    <x v="1"/>
    <x v="245"/>
    <x v="9"/>
    <x v="0"/>
    <x v="1"/>
    <x v="221"/>
    <x v="5"/>
    <x v="3634"/>
    <x v="1"/>
  </r>
  <r>
    <x v="228"/>
    <x v="38"/>
    <x v="87"/>
    <x v="3"/>
    <x v="553"/>
    <x v="9"/>
    <x v="0"/>
    <x v="3"/>
    <x v="221"/>
    <x v="5"/>
    <x v="3635"/>
    <x v="1"/>
  </r>
  <r>
    <x v="228"/>
    <x v="32"/>
    <x v="195"/>
    <x v="3"/>
    <x v="422"/>
    <x v="9"/>
    <x v="2"/>
    <x v="4"/>
    <x v="221"/>
    <x v="10"/>
    <x v="3636"/>
    <x v="1"/>
  </r>
  <r>
    <x v="228"/>
    <x v="32"/>
    <x v="305"/>
    <x v="4"/>
    <x v="422"/>
    <x v="9"/>
    <x v="2"/>
    <x v="4"/>
    <x v="221"/>
    <x v="10"/>
    <x v="3637"/>
    <x v="1"/>
  </r>
  <r>
    <x v="228"/>
    <x v="32"/>
    <x v="515"/>
    <x v="6"/>
    <x v="422"/>
    <x v="9"/>
    <x v="2"/>
    <x v="4"/>
    <x v="221"/>
    <x v="10"/>
    <x v="3638"/>
    <x v="1"/>
  </r>
  <r>
    <x v="228"/>
    <x v="32"/>
    <x v="1664"/>
    <x v="7"/>
    <x v="422"/>
    <x v="9"/>
    <x v="2"/>
    <x v="4"/>
    <x v="221"/>
    <x v="10"/>
    <x v="3639"/>
    <x v="1"/>
  </r>
  <r>
    <x v="228"/>
    <x v="32"/>
    <x v="963"/>
    <x v="5"/>
    <x v="422"/>
    <x v="9"/>
    <x v="2"/>
    <x v="4"/>
    <x v="221"/>
    <x v="10"/>
    <x v="3640"/>
    <x v="1"/>
  </r>
  <r>
    <x v="229"/>
    <x v="15"/>
    <x v="272"/>
    <x v="0"/>
    <x v="353"/>
    <x v="9"/>
    <x v="0"/>
    <x v="4"/>
    <x v="221"/>
    <x v="4"/>
    <x v="3641"/>
    <x v="1"/>
  </r>
  <r>
    <x v="229"/>
    <x v="24"/>
    <x v="158"/>
    <x v="3"/>
    <x v="72"/>
    <x v="9"/>
    <x v="0"/>
    <x v="4"/>
    <x v="221"/>
    <x v="6"/>
    <x v="3642"/>
    <x v="1"/>
  </r>
  <r>
    <x v="229"/>
    <x v="9"/>
    <x v="631"/>
    <x v="0"/>
    <x v="231"/>
    <x v="9"/>
    <x v="0"/>
    <x v="4"/>
    <x v="221"/>
    <x v="5"/>
    <x v="3643"/>
    <x v="1"/>
  </r>
  <r>
    <x v="229"/>
    <x v="38"/>
    <x v="22"/>
    <x v="3"/>
    <x v="334"/>
    <x v="9"/>
    <x v="0"/>
    <x v="3"/>
    <x v="152"/>
    <x v="5"/>
    <x v="3644"/>
    <x v="1"/>
  </r>
  <r>
    <x v="229"/>
    <x v="23"/>
    <x v="5"/>
    <x v="3"/>
    <x v="283"/>
    <x v="9"/>
    <x v="0"/>
    <x v="3"/>
    <x v="152"/>
    <x v="6"/>
    <x v="3645"/>
    <x v="1"/>
  </r>
  <r>
    <x v="229"/>
    <x v="1"/>
    <x v="273"/>
    <x v="3"/>
    <x v="432"/>
    <x v="9"/>
    <x v="0"/>
    <x v="3"/>
    <x v="152"/>
    <x v="4"/>
    <x v="3646"/>
    <x v="1"/>
  </r>
  <r>
    <x v="227"/>
    <x v="0"/>
    <x v="1420"/>
    <x v="0"/>
    <x v="472"/>
    <x v="9"/>
    <x v="0"/>
    <x v="0"/>
    <x v="150"/>
    <x v="9"/>
    <x v="3647"/>
    <x v="1"/>
  </r>
  <r>
    <x v="229"/>
    <x v="31"/>
    <x v="1543"/>
    <x v="0"/>
    <x v="308"/>
    <x v="9"/>
    <x v="0"/>
    <x v="3"/>
    <x v="221"/>
    <x v="8"/>
    <x v="3648"/>
    <x v="1"/>
  </r>
  <r>
    <x v="229"/>
    <x v="38"/>
    <x v="224"/>
    <x v="3"/>
    <x v="389"/>
    <x v="9"/>
    <x v="0"/>
    <x v="3"/>
    <x v="221"/>
    <x v="5"/>
    <x v="3649"/>
    <x v="1"/>
  </r>
  <r>
    <x v="229"/>
    <x v="31"/>
    <x v="134"/>
    <x v="3"/>
    <x v="50"/>
    <x v="9"/>
    <x v="0"/>
    <x v="3"/>
    <x v="221"/>
    <x v="8"/>
    <x v="3650"/>
    <x v="1"/>
  </r>
  <r>
    <x v="229"/>
    <x v="32"/>
    <x v="639"/>
    <x v="3"/>
    <x v="422"/>
    <x v="9"/>
    <x v="2"/>
    <x v="4"/>
    <x v="221"/>
    <x v="10"/>
    <x v="3651"/>
    <x v="1"/>
  </r>
  <r>
    <x v="229"/>
    <x v="32"/>
    <x v="1808"/>
    <x v="7"/>
    <x v="422"/>
    <x v="9"/>
    <x v="2"/>
    <x v="4"/>
    <x v="221"/>
    <x v="10"/>
    <x v="3652"/>
    <x v="1"/>
  </r>
  <r>
    <x v="229"/>
    <x v="32"/>
    <x v="348"/>
    <x v="5"/>
    <x v="422"/>
    <x v="9"/>
    <x v="2"/>
    <x v="4"/>
    <x v="221"/>
    <x v="10"/>
    <x v="3653"/>
    <x v="1"/>
  </r>
  <r>
    <x v="229"/>
    <x v="32"/>
    <x v="1014"/>
    <x v="8"/>
    <x v="422"/>
    <x v="9"/>
    <x v="2"/>
    <x v="4"/>
    <x v="221"/>
    <x v="10"/>
    <x v="3654"/>
    <x v="1"/>
  </r>
  <r>
    <x v="230"/>
    <x v="8"/>
    <x v="475"/>
    <x v="0"/>
    <x v="238"/>
    <x v="9"/>
    <x v="1"/>
    <x v="4"/>
    <x v="221"/>
    <x v="5"/>
    <x v="3655"/>
    <x v="1"/>
  </r>
  <r>
    <x v="230"/>
    <x v="23"/>
    <x v="19"/>
    <x v="3"/>
    <x v="283"/>
    <x v="9"/>
    <x v="0"/>
    <x v="4"/>
    <x v="221"/>
    <x v="6"/>
    <x v="3656"/>
    <x v="1"/>
  </r>
  <r>
    <x v="230"/>
    <x v="9"/>
    <x v="1400"/>
    <x v="0"/>
    <x v="231"/>
    <x v="9"/>
    <x v="0"/>
    <x v="4"/>
    <x v="221"/>
    <x v="5"/>
    <x v="3657"/>
    <x v="1"/>
  </r>
  <r>
    <x v="230"/>
    <x v="29"/>
    <x v="12"/>
    <x v="3"/>
    <x v="435"/>
    <x v="9"/>
    <x v="0"/>
    <x v="4"/>
    <x v="221"/>
    <x v="6"/>
    <x v="3658"/>
    <x v="1"/>
  </r>
  <r>
    <x v="230"/>
    <x v="24"/>
    <x v="1199"/>
    <x v="0"/>
    <x v="308"/>
    <x v="9"/>
    <x v="0"/>
    <x v="3"/>
    <x v="153"/>
    <x v="6"/>
    <x v="3659"/>
    <x v="1"/>
  </r>
  <r>
    <x v="230"/>
    <x v="24"/>
    <x v="25"/>
    <x v="1"/>
    <x v="252"/>
    <x v="9"/>
    <x v="0"/>
    <x v="1"/>
    <x v="221"/>
    <x v="6"/>
    <x v="3660"/>
    <x v="1"/>
  </r>
  <r>
    <x v="230"/>
    <x v="31"/>
    <x v="134"/>
    <x v="3"/>
    <x v="207"/>
    <x v="9"/>
    <x v="0"/>
    <x v="1"/>
    <x v="221"/>
    <x v="8"/>
    <x v="3661"/>
    <x v="1"/>
  </r>
  <r>
    <x v="230"/>
    <x v="32"/>
    <x v="1060"/>
    <x v="5"/>
    <x v="422"/>
    <x v="9"/>
    <x v="2"/>
    <x v="4"/>
    <x v="221"/>
    <x v="10"/>
    <x v="3662"/>
    <x v="1"/>
  </r>
  <r>
    <x v="230"/>
    <x v="32"/>
    <x v="1655"/>
    <x v="7"/>
    <x v="422"/>
    <x v="9"/>
    <x v="2"/>
    <x v="4"/>
    <x v="221"/>
    <x v="10"/>
    <x v="3663"/>
    <x v="1"/>
  </r>
  <r>
    <x v="230"/>
    <x v="32"/>
    <x v="1101"/>
    <x v="3"/>
    <x v="422"/>
    <x v="9"/>
    <x v="2"/>
    <x v="4"/>
    <x v="221"/>
    <x v="10"/>
    <x v="3664"/>
    <x v="1"/>
  </r>
  <r>
    <x v="231"/>
    <x v="20"/>
    <x v="30"/>
    <x v="1"/>
    <x v="481"/>
    <x v="9"/>
    <x v="0"/>
    <x v="1"/>
    <x v="221"/>
    <x v="5"/>
    <x v="3665"/>
    <x v="1"/>
  </r>
  <r>
    <x v="231"/>
    <x v="12"/>
    <x v="457"/>
    <x v="0"/>
    <x v="48"/>
    <x v="9"/>
    <x v="1"/>
    <x v="4"/>
    <x v="221"/>
    <x v="5"/>
    <x v="3666"/>
    <x v="1"/>
  </r>
  <r>
    <x v="231"/>
    <x v="23"/>
    <x v="12"/>
    <x v="3"/>
    <x v="283"/>
    <x v="9"/>
    <x v="0"/>
    <x v="4"/>
    <x v="221"/>
    <x v="6"/>
    <x v="3667"/>
    <x v="1"/>
  </r>
  <r>
    <x v="231"/>
    <x v="24"/>
    <x v="444"/>
    <x v="1"/>
    <x v="247"/>
    <x v="9"/>
    <x v="0"/>
    <x v="4"/>
    <x v="221"/>
    <x v="6"/>
    <x v="3668"/>
    <x v="1"/>
  </r>
  <r>
    <x v="230"/>
    <x v="12"/>
    <x v="459"/>
    <x v="0"/>
    <x v="48"/>
    <x v="9"/>
    <x v="1"/>
    <x v="4"/>
    <x v="221"/>
    <x v="5"/>
    <x v="3669"/>
    <x v="1"/>
  </r>
  <r>
    <x v="231"/>
    <x v="19"/>
    <x v="751"/>
    <x v="0"/>
    <x v="474"/>
    <x v="9"/>
    <x v="1"/>
    <x v="4"/>
    <x v="221"/>
    <x v="3"/>
    <x v="3670"/>
    <x v="1"/>
  </r>
  <r>
    <x v="231"/>
    <x v="32"/>
    <x v="1224"/>
    <x v="3"/>
    <x v="422"/>
    <x v="9"/>
    <x v="2"/>
    <x v="4"/>
    <x v="221"/>
    <x v="10"/>
    <x v="3671"/>
    <x v="1"/>
  </r>
  <r>
    <x v="231"/>
    <x v="32"/>
    <x v="329"/>
    <x v="6"/>
    <x v="422"/>
    <x v="9"/>
    <x v="2"/>
    <x v="4"/>
    <x v="221"/>
    <x v="10"/>
    <x v="3672"/>
    <x v="1"/>
  </r>
  <r>
    <x v="231"/>
    <x v="32"/>
    <x v="1777"/>
    <x v="7"/>
    <x v="422"/>
    <x v="9"/>
    <x v="2"/>
    <x v="4"/>
    <x v="221"/>
    <x v="10"/>
    <x v="3673"/>
    <x v="1"/>
  </r>
  <r>
    <x v="231"/>
    <x v="32"/>
    <x v="595"/>
    <x v="5"/>
    <x v="422"/>
    <x v="9"/>
    <x v="2"/>
    <x v="4"/>
    <x v="221"/>
    <x v="10"/>
    <x v="3674"/>
    <x v="1"/>
  </r>
  <r>
    <x v="231"/>
    <x v="26"/>
    <x v="22"/>
    <x v="3"/>
    <x v="338"/>
    <x v="9"/>
    <x v="0"/>
    <x v="4"/>
    <x v="221"/>
    <x v="5"/>
    <x v="3675"/>
    <x v="1"/>
  </r>
  <r>
    <x v="222"/>
    <x v="19"/>
    <x v="751"/>
    <x v="0"/>
    <x v="474"/>
    <x v="9"/>
    <x v="1"/>
    <x v="4"/>
    <x v="221"/>
    <x v="3"/>
    <x v="3676"/>
    <x v="1"/>
  </r>
  <r>
    <x v="224"/>
    <x v="19"/>
    <x v="751"/>
    <x v="0"/>
    <x v="474"/>
    <x v="9"/>
    <x v="1"/>
    <x v="4"/>
    <x v="221"/>
    <x v="3"/>
    <x v="3677"/>
    <x v="1"/>
  </r>
  <r>
    <x v="225"/>
    <x v="19"/>
    <x v="751"/>
    <x v="0"/>
    <x v="474"/>
    <x v="9"/>
    <x v="1"/>
    <x v="4"/>
    <x v="221"/>
    <x v="3"/>
    <x v="3678"/>
    <x v="1"/>
  </r>
  <r>
    <x v="229"/>
    <x v="19"/>
    <x v="751"/>
    <x v="0"/>
    <x v="474"/>
    <x v="9"/>
    <x v="1"/>
    <x v="4"/>
    <x v="221"/>
    <x v="3"/>
    <x v="3679"/>
    <x v="1"/>
  </r>
  <r>
    <x v="231"/>
    <x v="37"/>
    <x v="19"/>
    <x v="1"/>
    <x v="546"/>
    <x v="9"/>
    <x v="0"/>
    <x v="4"/>
    <x v="221"/>
    <x v="12"/>
    <x v="3680"/>
    <x v="1"/>
  </r>
  <r>
    <x v="232"/>
    <x v="8"/>
    <x v="475"/>
    <x v="0"/>
    <x v="238"/>
    <x v="9"/>
    <x v="1"/>
    <x v="4"/>
    <x v="221"/>
    <x v="5"/>
    <x v="3681"/>
    <x v="1"/>
  </r>
  <r>
    <x v="232"/>
    <x v="9"/>
    <x v="1567"/>
    <x v="0"/>
    <x v="231"/>
    <x v="9"/>
    <x v="0"/>
    <x v="4"/>
    <x v="221"/>
    <x v="5"/>
    <x v="3682"/>
    <x v="1"/>
  </r>
  <r>
    <x v="232"/>
    <x v="12"/>
    <x v="262"/>
    <x v="0"/>
    <x v="48"/>
    <x v="9"/>
    <x v="1"/>
    <x v="4"/>
    <x v="221"/>
    <x v="5"/>
    <x v="3683"/>
    <x v="1"/>
  </r>
  <r>
    <x v="232"/>
    <x v="23"/>
    <x v="25"/>
    <x v="3"/>
    <x v="283"/>
    <x v="9"/>
    <x v="0"/>
    <x v="4"/>
    <x v="221"/>
    <x v="6"/>
    <x v="3684"/>
    <x v="1"/>
  </r>
  <r>
    <x v="232"/>
    <x v="38"/>
    <x v="22"/>
    <x v="3"/>
    <x v="334"/>
    <x v="9"/>
    <x v="0"/>
    <x v="4"/>
    <x v="221"/>
    <x v="5"/>
    <x v="3685"/>
    <x v="1"/>
  </r>
  <r>
    <x v="232"/>
    <x v="32"/>
    <x v="1179"/>
    <x v="3"/>
    <x v="422"/>
    <x v="9"/>
    <x v="2"/>
    <x v="4"/>
    <x v="221"/>
    <x v="10"/>
    <x v="3686"/>
    <x v="1"/>
  </r>
  <r>
    <x v="232"/>
    <x v="32"/>
    <x v="106"/>
    <x v="4"/>
    <x v="422"/>
    <x v="9"/>
    <x v="2"/>
    <x v="4"/>
    <x v="221"/>
    <x v="10"/>
    <x v="3687"/>
    <x v="1"/>
  </r>
  <r>
    <x v="232"/>
    <x v="32"/>
    <x v="139"/>
    <x v="6"/>
    <x v="422"/>
    <x v="9"/>
    <x v="2"/>
    <x v="4"/>
    <x v="221"/>
    <x v="10"/>
    <x v="3688"/>
    <x v="1"/>
  </r>
  <r>
    <x v="232"/>
    <x v="32"/>
    <x v="1879"/>
    <x v="7"/>
    <x v="422"/>
    <x v="9"/>
    <x v="2"/>
    <x v="4"/>
    <x v="221"/>
    <x v="10"/>
    <x v="3689"/>
    <x v="1"/>
  </r>
  <r>
    <x v="232"/>
    <x v="32"/>
    <x v="942"/>
    <x v="8"/>
    <x v="422"/>
    <x v="9"/>
    <x v="2"/>
    <x v="4"/>
    <x v="221"/>
    <x v="10"/>
    <x v="3690"/>
    <x v="1"/>
  </r>
  <r>
    <x v="232"/>
    <x v="32"/>
    <x v="1013"/>
    <x v="5"/>
    <x v="422"/>
    <x v="9"/>
    <x v="2"/>
    <x v="4"/>
    <x v="221"/>
    <x v="10"/>
    <x v="3691"/>
    <x v="1"/>
  </r>
  <r>
    <x v="232"/>
    <x v="28"/>
    <x v="134"/>
    <x v="1"/>
    <x v="424"/>
    <x v="9"/>
    <x v="0"/>
    <x v="4"/>
    <x v="221"/>
    <x v="0"/>
    <x v="3692"/>
    <x v="1"/>
  </r>
  <r>
    <x v="233"/>
    <x v="12"/>
    <x v="573"/>
    <x v="0"/>
    <x v="48"/>
    <x v="9"/>
    <x v="1"/>
    <x v="0"/>
    <x v="221"/>
    <x v="5"/>
    <x v="3693"/>
    <x v="1"/>
  </r>
  <r>
    <x v="233"/>
    <x v="12"/>
    <x v="363"/>
    <x v="1"/>
    <x v="514"/>
    <x v="9"/>
    <x v="0"/>
    <x v="1"/>
    <x v="221"/>
    <x v="5"/>
    <x v="3694"/>
    <x v="1"/>
  </r>
  <r>
    <x v="233"/>
    <x v="36"/>
    <x v="45"/>
    <x v="1"/>
    <x v="376"/>
    <x v="9"/>
    <x v="0"/>
    <x v="1"/>
    <x v="221"/>
    <x v="5"/>
    <x v="3695"/>
    <x v="1"/>
  </r>
  <r>
    <x v="233"/>
    <x v="13"/>
    <x v="318"/>
    <x v="1"/>
    <x v="574"/>
    <x v="9"/>
    <x v="0"/>
    <x v="1"/>
    <x v="221"/>
    <x v="5"/>
    <x v="3696"/>
    <x v="1"/>
  </r>
  <r>
    <x v="233"/>
    <x v="23"/>
    <x v="5"/>
    <x v="3"/>
    <x v="283"/>
    <x v="9"/>
    <x v="0"/>
    <x v="2"/>
    <x v="221"/>
    <x v="6"/>
    <x v="3697"/>
    <x v="1"/>
  </r>
  <r>
    <x v="233"/>
    <x v="9"/>
    <x v="944"/>
    <x v="0"/>
    <x v="231"/>
    <x v="9"/>
    <x v="0"/>
    <x v="0"/>
    <x v="221"/>
    <x v="5"/>
    <x v="3698"/>
    <x v="1"/>
  </r>
  <r>
    <x v="233"/>
    <x v="20"/>
    <x v="138"/>
    <x v="1"/>
    <x v="61"/>
    <x v="9"/>
    <x v="0"/>
    <x v="1"/>
    <x v="221"/>
    <x v="5"/>
    <x v="3699"/>
    <x v="1"/>
  </r>
  <r>
    <x v="233"/>
    <x v="27"/>
    <x v="727"/>
    <x v="1"/>
    <x v="360"/>
    <x v="9"/>
    <x v="0"/>
    <x v="1"/>
    <x v="221"/>
    <x v="5"/>
    <x v="3700"/>
    <x v="1"/>
  </r>
  <r>
    <x v="233"/>
    <x v="31"/>
    <x v="224"/>
    <x v="1"/>
    <x v="50"/>
    <x v="9"/>
    <x v="0"/>
    <x v="1"/>
    <x v="221"/>
    <x v="8"/>
    <x v="3701"/>
    <x v="1"/>
  </r>
  <r>
    <x v="233"/>
    <x v="38"/>
    <x v="87"/>
    <x v="1"/>
    <x v="553"/>
    <x v="9"/>
    <x v="0"/>
    <x v="1"/>
    <x v="221"/>
    <x v="5"/>
    <x v="3702"/>
    <x v="1"/>
  </r>
  <r>
    <x v="233"/>
    <x v="32"/>
    <x v="707"/>
    <x v="3"/>
    <x v="422"/>
    <x v="9"/>
    <x v="2"/>
    <x v="4"/>
    <x v="221"/>
    <x v="10"/>
    <x v="3703"/>
    <x v="1"/>
  </r>
  <r>
    <x v="233"/>
    <x v="32"/>
    <x v="36"/>
    <x v="6"/>
    <x v="422"/>
    <x v="9"/>
    <x v="2"/>
    <x v="4"/>
    <x v="221"/>
    <x v="10"/>
    <x v="3704"/>
    <x v="1"/>
  </r>
  <r>
    <x v="233"/>
    <x v="32"/>
    <x v="1798"/>
    <x v="7"/>
    <x v="422"/>
    <x v="9"/>
    <x v="2"/>
    <x v="4"/>
    <x v="221"/>
    <x v="10"/>
    <x v="3705"/>
    <x v="1"/>
  </r>
  <r>
    <x v="233"/>
    <x v="32"/>
    <x v="190"/>
    <x v="8"/>
    <x v="422"/>
    <x v="9"/>
    <x v="2"/>
    <x v="4"/>
    <x v="221"/>
    <x v="10"/>
    <x v="3706"/>
    <x v="1"/>
  </r>
  <r>
    <x v="233"/>
    <x v="32"/>
    <x v="1588"/>
    <x v="5"/>
    <x v="422"/>
    <x v="9"/>
    <x v="2"/>
    <x v="4"/>
    <x v="221"/>
    <x v="10"/>
    <x v="3707"/>
    <x v="1"/>
  </r>
  <r>
    <x v="234"/>
    <x v="12"/>
    <x v="624"/>
    <x v="0"/>
    <x v="48"/>
    <x v="9"/>
    <x v="1"/>
    <x v="4"/>
    <x v="221"/>
    <x v="5"/>
    <x v="3708"/>
    <x v="1"/>
  </r>
  <r>
    <x v="234"/>
    <x v="20"/>
    <x v="94"/>
    <x v="1"/>
    <x v="380"/>
    <x v="9"/>
    <x v="0"/>
    <x v="4"/>
    <x v="221"/>
    <x v="5"/>
    <x v="3709"/>
    <x v="1"/>
  </r>
  <r>
    <x v="234"/>
    <x v="20"/>
    <x v="34"/>
    <x v="1"/>
    <x v="400"/>
    <x v="9"/>
    <x v="0"/>
    <x v="4"/>
    <x v="221"/>
    <x v="5"/>
    <x v="3710"/>
    <x v="1"/>
  </r>
  <r>
    <x v="234"/>
    <x v="23"/>
    <x v="12"/>
    <x v="3"/>
    <x v="283"/>
    <x v="9"/>
    <x v="0"/>
    <x v="4"/>
    <x v="221"/>
    <x v="6"/>
    <x v="3711"/>
    <x v="1"/>
  </r>
  <r>
    <x v="234"/>
    <x v="38"/>
    <x v="472"/>
    <x v="0"/>
    <x v="76"/>
    <x v="9"/>
    <x v="1"/>
    <x v="4"/>
    <x v="221"/>
    <x v="5"/>
    <x v="3712"/>
    <x v="1"/>
  </r>
  <r>
    <x v="234"/>
    <x v="26"/>
    <x v="90"/>
    <x v="1"/>
    <x v="338"/>
    <x v="9"/>
    <x v="0"/>
    <x v="3"/>
    <x v="154"/>
    <x v="5"/>
    <x v="3713"/>
    <x v="1"/>
  </r>
  <r>
    <x v="234"/>
    <x v="15"/>
    <x v="158"/>
    <x v="1"/>
    <x v="355"/>
    <x v="9"/>
    <x v="0"/>
    <x v="4"/>
    <x v="221"/>
    <x v="4"/>
    <x v="3714"/>
    <x v="1"/>
  </r>
  <r>
    <x v="234"/>
    <x v="37"/>
    <x v="19"/>
    <x v="1"/>
    <x v="546"/>
    <x v="9"/>
    <x v="0"/>
    <x v="4"/>
    <x v="221"/>
    <x v="12"/>
    <x v="3715"/>
    <x v="1"/>
  </r>
  <r>
    <x v="234"/>
    <x v="32"/>
    <x v="736"/>
    <x v="3"/>
    <x v="422"/>
    <x v="9"/>
    <x v="2"/>
    <x v="4"/>
    <x v="221"/>
    <x v="10"/>
    <x v="3716"/>
    <x v="1"/>
  </r>
  <r>
    <x v="234"/>
    <x v="32"/>
    <x v="478"/>
    <x v="6"/>
    <x v="422"/>
    <x v="9"/>
    <x v="2"/>
    <x v="4"/>
    <x v="221"/>
    <x v="10"/>
    <x v="3717"/>
    <x v="1"/>
  </r>
  <r>
    <x v="234"/>
    <x v="32"/>
    <x v="1925"/>
    <x v="7"/>
    <x v="422"/>
    <x v="9"/>
    <x v="2"/>
    <x v="4"/>
    <x v="221"/>
    <x v="10"/>
    <x v="3718"/>
    <x v="1"/>
  </r>
  <r>
    <x v="234"/>
    <x v="32"/>
    <x v="622"/>
    <x v="5"/>
    <x v="422"/>
    <x v="9"/>
    <x v="2"/>
    <x v="4"/>
    <x v="221"/>
    <x v="10"/>
    <x v="3719"/>
    <x v="1"/>
  </r>
  <r>
    <x v="235"/>
    <x v="8"/>
    <x v="475"/>
    <x v="0"/>
    <x v="238"/>
    <x v="9"/>
    <x v="1"/>
    <x v="4"/>
    <x v="221"/>
    <x v="5"/>
    <x v="3720"/>
    <x v="1"/>
  </r>
  <r>
    <x v="235"/>
    <x v="9"/>
    <x v="967"/>
    <x v="0"/>
    <x v="231"/>
    <x v="9"/>
    <x v="0"/>
    <x v="4"/>
    <x v="221"/>
    <x v="5"/>
    <x v="3721"/>
    <x v="1"/>
  </r>
  <r>
    <x v="235"/>
    <x v="31"/>
    <x v="1044"/>
    <x v="1"/>
    <x v="291"/>
    <x v="9"/>
    <x v="0"/>
    <x v="4"/>
    <x v="221"/>
    <x v="8"/>
    <x v="3722"/>
    <x v="1"/>
  </r>
  <r>
    <x v="235"/>
    <x v="31"/>
    <x v="94"/>
    <x v="1"/>
    <x v="264"/>
    <x v="9"/>
    <x v="0"/>
    <x v="4"/>
    <x v="221"/>
    <x v="8"/>
    <x v="3723"/>
    <x v="1"/>
  </r>
  <r>
    <x v="235"/>
    <x v="31"/>
    <x v="454"/>
    <x v="1"/>
    <x v="495"/>
    <x v="9"/>
    <x v="0"/>
    <x v="4"/>
    <x v="221"/>
    <x v="8"/>
    <x v="3724"/>
    <x v="1"/>
  </r>
  <r>
    <x v="235"/>
    <x v="16"/>
    <x v="90"/>
    <x v="1"/>
    <x v="247"/>
    <x v="9"/>
    <x v="0"/>
    <x v="4"/>
    <x v="221"/>
    <x v="6"/>
    <x v="3725"/>
    <x v="1"/>
  </r>
  <r>
    <x v="235"/>
    <x v="13"/>
    <x v="77"/>
    <x v="1"/>
    <x v="114"/>
    <x v="9"/>
    <x v="0"/>
    <x v="4"/>
    <x v="221"/>
    <x v="5"/>
    <x v="3726"/>
    <x v="1"/>
  </r>
  <r>
    <x v="235"/>
    <x v="31"/>
    <x v="375"/>
    <x v="1"/>
    <x v="234"/>
    <x v="9"/>
    <x v="0"/>
    <x v="4"/>
    <x v="221"/>
    <x v="8"/>
    <x v="3727"/>
    <x v="1"/>
  </r>
  <r>
    <x v="235"/>
    <x v="31"/>
    <x v="143"/>
    <x v="1"/>
    <x v="556"/>
    <x v="9"/>
    <x v="0"/>
    <x v="4"/>
    <x v="221"/>
    <x v="8"/>
    <x v="3728"/>
    <x v="1"/>
  </r>
  <r>
    <x v="235"/>
    <x v="28"/>
    <x v="65"/>
    <x v="1"/>
    <x v="560"/>
    <x v="9"/>
    <x v="0"/>
    <x v="4"/>
    <x v="221"/>
    <x v="0"/>
    <x v="3729"/>
    <x v="1"/>
  </r>
  <r>
    <x v="235"/>
    <x v="31"/>
    <x v="58"/>
    <x v="1"/>
    <x v="525"/>
    <x v="9"/>
    <x v="0"/>
    <x v="4"/>
    <x v="221"/>
    <x v="8"/>
    <x v="3730"/>
    <x v="1"/>
  </r>
  <r>
    <x v="235"/>
    <x v="23"/>
    <x v="9"/>
    <x v="3"/>
    <x v="283"/>
    <x v="9"/>
    <x v="0"/>
    <x v="4"/>
    <x v="221"/>
    <x v="6"/>
    <x v="3731"/>
    <x v="1"/>
  </r>
  <r>
    <x v="235"/>
    <x v="38"/>
    <x v="5"/>
    <x v="3"/>
    <x v="334"/>
    <x v="9"/>
    <x v="0"/>
    <x v="4"/>
    <x v="221"/>
    <x v="5"/>
    <x v="3732"/>
    <x v="1"/>
  </r>
  <r>
    <x v="235"/>
    <x v="38"/>
    <x v="171"/>
    <x v="0"/>
    <x v="76"/>
    <x v="9"/>
    <x v="1"/>
    <x v="4"/>
    <x v="221"/>
    <x v="5"/>
    <x v="3733"/>
    <x v="1"/>
  </r>
  <r>
    <x v="235"/>
    <x v="3"/>
    <x v="599"/>
    <x v="3"/>
    <x v="544"/>
    <x v="9"/>
    <x v="0"/>
    <x v="4"/>
    <x v="155"/>
    <x v="4"/>
    <x v="3734"/>
    <x v="1"/>
  </r>
  <r>
    <x v="235"/>
    <x v="32"/>
    <x v="802"/>
    <x v="3"/>
    <x v="422"/>
    <x v="9"/>
    <x v="2"/>
    <x v="4"/>
    <x v="221"/>
    <x v="10"/>
    <x v="3735"/>
    <x v="1"/>
  </r>
  <r>
    <x v="235"/>
    <x v="32"/>
    <x v="370"/>
    <x v="6"/>
    <x v="422"/>
    <x v="9"/>
    <x v="2"/>
    <x v="4"/>
    <x v="221"/>
    <x v="10"/>
    <x v="3736"/>
    <x v="1"/>
  </r>
  <r>
    <x v="235"/>
    <x v="32"/>
    <x v="224"/>
    <x v="8"/>
    <x v="422"/>
    <x v="9"/>
    <x v="2"/>
    <x v="4"/>
    <x v="221"/>
    <x v="10"/>
    <x v="3737"/>
    <x v="1"/>
  </r>
  <r>
    <x v="235"/>
    <x v="32"/>
    <x v="1680"/>
    <x v="7"/>
    <x v="422"/>
    <x v="9"/>
    <x v="2"/>
    <x v="4"/>
    <x v="221"/>
    <x v="10"/>
    <x v="3738"/>
    <x v="1"/>
  </r>
  <r>
    <x v="235"/>
    <x v="32"/>
    <x v="850"/>
    <x v="5"/>
    <x v="422"/>
    <x v="9"/>
    <x v="2"/>
    <x v="4"/>
    <x v="221"/>
    <x v="10"/>
    <x v="3739"/>
    <x v="1"/>
  </r>
  <r>
    <x v="234"/>
    <x v="9"/>
    <x v="1108"/>
    <x v="0"/>
    <x v="231"/>
    <x v="9"/>
    <x v="0"/>
    <x v="4"/>
    <x v="221"/>
    <x v="5"/>
    <x v="3740"/>
    <x v="1"/>
  </r>
  <r>
    <x v="235"/>
    <x v="32"/>
    <x v="173"/>
    <x v="4"/>
    <x v="422"/>
    <x v="9"/>
    <x v="2"/>
    <x v="4"/>
    <x v="221"/>
    <x v="10"/>
    <x v="3741"/>
    <x v="1"/>
  </r>
  <r>
    <x v="236"/>
    <x v="9"/>
    <x v="987"/>
    <x v="0"/>
    <x v="231"/>
    <x v="9"/>
    <x v="0"/>
    <x v="4"/>
    <x v="221"/>
    <x v="5"/>
    <x v="3742"/>
    <x v="1"/>
  </r>
  <r>
    <x v="236"/>
    <x v="13"/>
    <x v="885"/>
    <x v="0"/>
    <x v="179"/>
    <x v="9"/>
    <x v="0"/>
    <x v="0"/>
    <x v="156"/>
    <x v="5"/>
    <x v="3743"/>
    <x v="1"/>
  </r>
  <r>
    <x v="236"/>
    <x v="12"/>
    <x v="287"/>
    <x v="0"/>
    <x v="48"/>
    <x v="9"/>
    <x v="1"/>
    <x v="4"/>
    <x v="221"/>
    <x v="5"/>
    <x v="3744"/>
    <x v="1"/>
  </r>
  <r>
    <x v="235"/>
    <x v="12"/>
    <x v="504"/>
    <x v="0"/>
    <x v="48"/>
    <x v="9"/>
    <x v="1"/>
    <x v="4"/>
    <x v="221"/>
    <x v="5"/>
    <x v="3745"/>
    <x v="1"/>
  </r>
  <r>
    <x v="236"/>
    <x v="31"/>
    <x v="683"/>
    <x v="3"/>
    <x v="207"/>
    <x v="9"/>
    <x v="0"/>
    <x v="2"/>
    <x v="156"/>
    <x v="8"/>
    <x v="3746"/>
    <x v="1"/>
  </r>
  <r>
    <x v="236"/>
    <x v="29"/>
    <x v="540"/>
    <x v="1"/>
    <x v="247"/>
    <x v="9"/>
    <x v="0"/>
    <x v="4"/>
    <x v="221"/>
    <x v="6"/>
    <x v="3747"/>
    <x v="1"/>
  </r>
  <r>
    <x v="236"/>
    <x v="38"/>
    <x v="95"/>
    <x v="0"/>
    <x v="76"/>
    <x v="9"/>
    <x v="1"/>
    <x v="4"/>
    <x v="221"/>
    <x v="5"/>
    <x v="3748"/>
    <x v="1"/>
  </r>
  <r>
    <x v="233"/>
    <x v="19"/>
    <x v="751"/>
    <x v="0"/>
    <x v="474"/>
    <x v="9"/>
    <x v="1"/>
    <x v="4"/>
    <x v="221"/>
    <x v="3"/>
    <x v="3749"/>
    <x v="1"/>
  </r>
  <r>
    <x v="234"/>
    <x v="19"/>
    <x v="751"/>
    <x v="0"/>
    <x v="474"/>
    <x v="9"/>
    <x v="1"/>
    <x v="4"/>
    <x v="221"/>
    <x v="3"/>
    <x v="3750"/>
    <x v="1"/>
  </r>
  <r>
    <x v="235"/>
    <x v="19"/>
    <x v="751"/>
    <x v="0"/>
    <x v="474"/>
    <x v="9"/>
    <x v="1"/>
    <x v="4"/>
    <x v="221"/>
    <x v="3"/>
    <x v="3751"/>
    <x v="1"/>
  </r>
  <r>
    <x v="236"/>
    <x v="32"/>
    <x v="1088"/>
    <x v="3"/>
    <x v="422"/>
    <x v="9"/>
    <x v="2"/>
    <x v="4"/>
    <x v="221"/>
    <x v="10"/>
    <x v="3752"/>
    <x v="1"/>
  </r>
  <r>
    <x v="236"/>
    <x v="32"/>
    <x v="112"/>
    <x v="4"/>
    <x v="422"/>
    <x v="9"/>
    <x v="2"/>
    <x v="4"/>
    <x v="221"/>
    <x v="10"/>
    <x v="3753"/>
    <x v="1"/>
  </r>
  <r>
    <x v="236"/>
    <x v="32"/>
    <x v="1238"/>
    <x v="6"/>
    <x v="422"/>
    <x v="9"/>
    <x v="2"/>
    <x v="4"/>
    <x v="221"/>
    <x v="10"/>
    <x v="3754"/>
    <x v="1"/>
  </r>
  <r>
    <x v="236"/>
    <x v="32"/>
    <x v="1742"/>
    <x v="7"/>
    <x v="422"/>
    <x v="9"/>
    <x v="2"/>
    <x v="4"/>
    <x v="221"/>
    <x v="10"/>
    <x v="3755"/>
    <x v="1"/>
  </r>
  <r>
    <x v="236"/>
    <x v="32"/>
    <x v="702"/>
    <x v="5"/>
    <x v="422"/>
    <x v="9"/>
    <x v="2"/>
    <x v="4"/>
    <x v="221"/>
    <x v="10"/>
    <x v="3756"/>
    <x v="1"/>
  </r>
  <r>
    <x v="236"/>
    <x v="38"/>
    <x v="318"/>
    <x v="3"/>
    <x v="389"/>
    <x v="9"/>
    <x v="0"/>
    <x v="2"/>
    <x v="156"/>
    <x v="5"/>
    <x v="3757"/>
    <x v="1"/>
  </r>
  <r>
    <x v="236"/>
    <x v="32"/>
    <x v="614"/>
    <x v="8"/>
    <x v="422"/>
    <x v="9"/>
    <x v="2"/>
    <x v="4"/>
    <x v="221"/>
    <x v="10"/>
    <x v="3758"/>
    <x v="1"/>
  </r>
  <r>
    <x v="236"/>
    <x v="28"/>
    <x v="134"/>
    <x v="3"/>
    <x v="371"/>
    <x v="9"/>
    <x v="0"/>
    <x v="2"/>
    <x v="156"/>
    <x v="0"/>
    <x v="3759"/>
    <x v="1"/>
  </r>
  <r>
    <x v="236"/>
    <x v="37"/>
    <x v="16"/>
    <x v="3"/>
    <x v="525"/>
    <x v="9"/>
    <x v="0"/>
    <x v="2"/>
    <x v="156"/>
    <x v="12"/>
    <x v="3760"/>
    <x v="1"/>
  </r>
  <r>
    <x v="237"/>
    <x v="9"/>
    <x v="1305"/>
    <x v="0"/>
    <x v="231"/>
    <x v="9"/>
    <x v="0"/>
    <x v="4"/>
    <x v="221"/>
    <x v="5"/>
    <x v="3761"/>
    <x v="1"/>
  </r>
  <r>
    <x v="237"/>
    <x v="12"/>
    <x v="453"/>
    <x v="0"/>
    <x v="48"/>
    <x v="9"/>
    <x v="1"/>
    <x v="4"/>
    <x v="221"/>
    <x v="5"/>
    <x v="3762"/>
    <x v="1"/>
  </r>
  <r>
    <x v="237"/>
    <x v="8"/>
    <x v="816"/>
    <x v="0"/>
    <x v="238"/>
    <x v="9"/>
    <x v="1"/>
    <x v="4"/>
    <x v="221"/>
    <x v="5"/>
    <x v="3763"/>
    <x v="1"/>
  </r>
  <r>
    <x v="237"/>
    <x v="40"/>
    <x v="518"/>
    <x v="3"/>
    <x v="581"/>
    <x v="9"/>
    <x v="0"/>
    <x v="2"/>
    <x v="157"/>
    <x v="7"/>
    <x v="3764"/>
    <x v="1"/>
  </r>
  <r>
    <x v="237"/>
    <x v="27"/>
    <x v="709"/>
    <x v="0"/>
    <x v="5"/>
    <x v="9"/>
    <x v="0"/>
    <x v="0"/>
    <x v="157"/>
    <x v="5"/>
    <x v="3765"/>
    <x v="1"/>
  </r>
  <r>
    <x v="237"/>
    <x v="12"/>
    <x v="363"/>
    <x v="0"/>
    <x v="514"/>
    <x v="9"/>
    <x v="0"/>
    <x v="0"/>
    <x v="157"/>
    <x v="5"/>
    <x v="3766"/>
    <x v="1"/>
  </r>
  <r>
    <x v="237"/>
    <x v="20"/>
    <x v="683"/>
    <x v="0"/>
    <x v="61"/>
    <x v="9"/>
    <x v="1"/>
    <x v="4"/>
    <x v="221"/>
    <x v="5"/>
    <x v="3767"/>
    <x v="1"/>
  </r>
  <r>
    <x v="237"/>
    <x v="19"/>
    <x v="751"/>
    <x v="0"/>
    <x v="474"/>
    <x v="9"/>
    <x v="1"/>
    <x v="4"/>
    <x v="221"/>
    <x v="3"/>
    <x v="3768"/>
    <x v="1"/>
  </r>
  <r>
    <x v="237"/>
    <x v="32"/>
    <x v="869"/>
    <x v="3"/>
    <x v="422"/>
    <x v="9"/>
    <x v="2"/>
    <x v="4"/>
    <x v="221"/>
    <x v="10"/>
    <x v="3769"/>
    <x v="1"/>
  </r>
  <r>
    <x v="237"/>
    <x v="32"/>
    <x v="586"/>
    <x v="2"/>
    <x v="422"/>
    <x v="9"/>
    <x v="2"/>
    <x v="4"/>
    <x v="221"/>
    <x v="10"/>
    <x v="3770"/>
    <x v="1"/>
  </r>
  <r>
    <x v="237"/>
    <x v="32"/>
    <x v="465"/>
    <x v="4"/>
    <x v="422"/>
    <x v="9"/>
    <x v="2"/>
    <x v="4"/>
    <x v="221"/>
    <x v="10"/>
    <x v="3771"/>
    <x v="1"/>
  </r>
  <r>
    <x v="237"/>
    <x v="32"/>
    <x v="749"/>
    <x v="6"/>
    <x v="422"/>
    <x v="9"/>
    <x v="2"/>
    <x v="4"/>
    <x v="221"/>
    <x v="10"/>
    <x v="3772"/>
    <x v="1"/>
  </r>
  <r>
    <x v="237"/>
    <x v="32"/>
    <x v="1818"/>
    <x v="7"/>
    <x v="422"/>
    <x v="9"/>
    <x v="2"/>
    <x v="4"/>
    <x v="221"/>
    <x v="10"/>
    <x v="3773"/>
    <x v="1"/>
  </r>
  <r>
    <x v="237"/>
    <x v="32"/>
    <x v="380"/>
    <x v="8"/>
    <x v="422"/>
    <x v="9"/>
    <x v="2"/>
    <x v="4"/>
    <x v="221"/>
    <x v="10"/>
    <x v="3774"/>
    <x v="1"/>
  </r>
  <r>
    <x v="237"/>
    <x v="32"/>
    <x v="254"/>
    <x v="5"/>
    <x v="422"/>
    <x v="9"/>
    <x v="2"/>
    <x v="4"/>
    <x v="221"/>
    <x v="10"/>
    <x v="3775"/>
    <x v="1"/>
  </r>
  <r>
    <x v="237"/>
    <x v="37"/>
    <x v="45"/>
    <x v="1"/>
    <x v="525"/>
    <x v="9"/>
    <x v="0"/>
    <x v="1"/>
    <x v="157"/>
    <x v="12"/>
    <x v="3776"/>
    <x v="1"/>
  </r>
  <r>
    <x v="238"/>
    <x v="9"/>
    <x v="1201"/>
    <x v="0"/>
    <x v="231"/>
    <x v="9"/>
    <x v="0"/>
    <x v="4"/>
    <x v="221"/>
    <x v="5"/>
    <x v="3777"/>
    <x v="1"/>
  </r>
  <r>
    <x v="238"/>
    <x v="12"/>
    <x v="601"/>
    <x v="0"/>
    <x v="48"/>
    <x v="9"/>
    <x v="1"/>
    <x v="4"/>
    <x v="221"/>
    <x v="5"/>
    <x v="3778"/>
    <x v="1"/>
  </r>
  <r>
    <x v="238"/>
    <x v="1"/>
    <x v="55"/>
    <x v="3"/>
    <x v="432"/>
    <x v="9"/>
    <x v="0"/>
    <x v="2"/>
    <x v="158"/>
    <x v="4"/>
    <x v="3779"/>
    <x v="1"/>
  </r>
  <r>
    <x v="238"/>
    <x v="38"/>
    <x v="158"/>
    <x v="3"/>
    <x v="553"/>
    <x v="9"/>
    <x v="0"/>
    <x v="2"/>
    <x v="158"/>
    <x v="5"/>
    <x v="3780"/>
    <x v="1"/>
  </r>
  <r>
    <x v="238"/>
    <x v="15"/>
    <x v="160"/>
    <x v="3"/>
    <x v="353"/>
    <x v="9"/>
    <x v="0"/>
    <x v="2"/>
    <x v="158"/>
    <x v="4"/>
    <x v="3781"/>
    <x v="1"/>
  </r>
  <r>
    <x v="238"/>
    <x v="38"/>
    <x v="316"/>
    <x v="0"/>
    <x v="76"/>
    <x v="9"/>
    <x v="1"/>
    <x v="4"/>
    <x v="221"/>
    <x v="5"/>
    <x v="3782"/>
    <x v="1"/>
  </r>
  <r>
    <x v="237"/>
    <x v="38"/>
    <x v="168"/>
    <x v="0"/>
    <x v="76"/>
    <x v="9"/>
    <x v="1"/>
    <x v="4"/>
    <x v="221"/>
    <x v="5"/>
    <x v="3783"/>
    <x v="1"/>
  </r>
  <r>
    <x v="238"/>
    <x v="19"/>
    <x v="751"/>
    <x v="0"/>
    <x v="474"/>
    <x v="9"/>
    <x v="1"/>
    <x v="4"/>
    <x v="221"/>
    <x v="3"/>
    <x v="3784"/>
    <x v="1"/>
  </r>
  <r>
    <x v="238"/>
    <x v="32"/>
    <x v="1379"/>
    <x v="3"/>
    <x v="422"/>
    <x v="9"/>
    <x v="2"/>
    <x v="4"/>
    <x v="221"/>
    <x v="10"/>
    <x v="3785"/>
    <x v="1"/>
  </r>
  <r>
    <x v="238"/>
    <x v="32"/>
    <x v="757"/>
    <x v="6"/>
    <x v="422"/>
    <x v="9"/>
    <x v="2"/>
    <x v="4"/>
    <x v="221"/>
    <x v="10"/>
    <x v="3786"/>
    <x v="1"/>
  </r>
  <r>
    <x v="238"/>
    <x v="32"/>
    <x v="1812"/>
    <x v="7"/>
    <x v="422"/>
    <x v="9"/>
    <x v="2"/>
    <x v="4"/>
    <x v="221"/>
    <x v="10"/>
    <x v="3787"/>
    <x v="1"/>
  </r>
  <r>
    <x v="238"/>
    <x v="32"/>
    <x v="1024"/>
    <x v="5"/>
    <x v="422"/>
    <x v="9"/>
    <x v="2"/>
    <x v="4"/>
    <x v="221"/>
    <x v="10"/>
    <x v="3788"/>
    <x v="1"/>
  </r>
  <r>
    <x v="238"/>
    <x v="37"/>
    <x v="60"/>
    <x v="3"/>
    <x v="525"/>
    <x v="9"/>
    <x v="0"/>
    <x v="2"/>
    <x v="158"/>
    <x v="12"/>
    <x v="3789"/>
    <x v="1"/>
  </r>
  <r>
    <x v="238"/>
    <x v="28"/>
    <x v="138"/>
    <x v="3"/>
    <x v="371"/>
    <x v="9"/>
    <x v="0"/>
    <x v="2"/>
    <x v="158"/>
    <x v="0"/>
    <x v="3790"/>
    <x v="1"/>
  </r>
  <r>
    <x v="239"/>
    <x v="12"/>
    <x v="419"/>
    <x v="0"/>
    <x v="48"/>
    <x v="9"/>
    <x v="1"/>
    <x v="4"/>
    <x v="221"/>
    <x v="5"/>
    <x v="3791"/>
    <x v="1"/>
  </r>
  <r>
    <x v="239"/>
    <x v="9"/>
    <x v="914"/>
    <x v="0"/>
    <x v="231"/>
    <x v="9"/>
    <x v="0"/>
    <x v="4"/>
    <x v="221"/>
    <x v="5"/>
    <x v="3792"/>
    <x v="1"/>
  </r>
  <r>
    <x v="239"/>
    <x v="8"/>
    <x v="475"/>
    <x v="0"/>
    <x v="238"/>
    <x v="9"/>
    <x v="1"/>
    <x v="4"/>
    <x v="221"/>
    <x v="5"/>
    <x v="3793"/>
    <x v="1"/>
  </r>
  <r>
    <x v="239"/>
    <x v="27"/>
    <x v="739"/>
    <x v="1"/>
    <x v="5"/>
    <x v="9"/>
    <x v="0"/>
    <x v="1"/>
    <x v="159"/>
    <x v="5"/>
    <x v="3794"/>
    <x v="1"/>
  </r>
  <r>
    <x v="239"/>
    <x v="12"/>
    <x v="127"/>
    <x v="1"/>
    <x v="211"/>
    <x v="9"/>
    <x v="0"/>
    <x v="1"/>
    <x v="159"/>
    <x v="5"/>
    <x v="3795"/>
    <x v="1"/>
  </r>
  <r>
    <x v="239"/>
    <x v="24"/>
    <x v="599"/>
    <x v="1"/>
    <x v="585"/>
    <x v="9"/>
    <x v="0"/>
    <x v="1"/>
    <x v="159"/>
    <x v="6"/>
    <x v="3796"/>
    <x v="1"/>
  </r>
  <r>
    <x v="239"/>
    <x v="16"/>
    <x v="19"/>
    <x v="1"/>
    <x v="247"/>
    <x v="9"/>
    <x v="0"/>
    <x v="1"/>
    <x v="159"/>
    <x v="6"/>
    <x v="3797"/>
    <x v="1"/>
  </r>
  <r>
    <x v="239"/>
    <x v="1"/>
    <x v="45"/>
    <x v="3"/>
    <x v="432"/>
    <x v="9"/>
    <x v="0"/>
    <x v="2"/>
    <x v="159"/>
    <x v="4"/>
    <x v="3798"/>
    <x v="1"/>
  </r>
  <r>
    <x v="239"/>
    <x v="20"/>
    <x v="72"/>
    <x v="3"/>
    <x v="380"/>
    <x v="9"/>
    <x v="0"/>
    <x v="2"/>
    <x v="159"/>
    <x v="5"/>
    <x v="3799"/>
    <x v="1"/>
  </r>
  <r>
    <x v="239"/>
    <x v="13"/>
    <x v="248"/>
    <x v="3"/>
    <x v="179"/>
    <x v="9"/>
    <x v="0"/>
    <x v="2"/>
    <x v="159"/>
    <x v="5"/>
    <x v="3800"/>
    <x v="1"/>
  </r>
  <r>
    <x v="239"/>
    <x v="18"/>
    <x v="375"/>
    <x v="3"/>
    <x v="140"/>
    <x v="9"/>
    <x v="0"/>
    <x v="2"/>
    <x v="159"/>
    <x v="3"/>
    <x v="3801"/>
    <x v="1"/>
  </r>
  <r>
    <x v="239"/>
    <x v="20"/>
    <x v="87"/>
    <x v="3"/>
    <x v="319"/>
    <x v="9"/>
    <x v="0"/>
    <x v="2"/>
    <x v="159"/>
    <x v="5"/>
    <x v="3802"/>
    <x v="1"/>
  </r>
  <r>
    <x v="239"/>
    <x v="38"/>
    <x v="236"/>
    <x v="0"/>
    <x v="76"/>
    <x v="9"/>
    <x v="1"/>
    <x v="4"/>
    <x v="221"/>
    <x v="5"/>
    <x v="3803"/>
    <x v="1"/>
  </r>
  <r>
    <x v="239"/>
    <x v="32"/>
    <x v="1547"/>
    <x v="3"/>
    <x v="422"/>
    <x v="9"/>
    <x v="2"/>
    <x v="4"/>
    <x v="221"/>
    <x v="10"/>
    <x v="3804"/>
    <x v="1"/>
  </r>
  <r>
    <x v="239"/>
    <x v="32"/>
    <x v="783"/>
    <x v="2"/>
    <x v="422"/>
    <x v="9"/>
    <x v="2"/>
    <x v="4"/>
    <x v="221"/>
    <x v="10"/>
    <x v="3805"/>
    <x v="1"/>
  </r>
  <r>
    <x v="239"/>
    <x v="32"/>
    <x v="45"/>
    <x v="6"/>
    <x v="422"/>
    <x v="9"/>
    <x v="2"/>
    <x v="4"/>
    <x v="221"/>
    <x v="10"/>
    <x v="3806"/>
    <x v="1"/>
  </r>
  <r>
    <x v="239"/>
    <x v="32"/>
    <x v="1919"/>
    <x v="7"/>
    <x v="422"/>
    <x v="9"/>
    <x v="2"/>
    <x v="4"/>
    <x v="221"/>
    <x v="10"/>
    <x v="3807"/>
    <x v="1"/>
  </r>
  <r>
    <x v="239"/>
    <x v="32"/>
    <x v="1322"/>
    <x v="5"/>
    <x v="422"/>
    <x v="9"/>
    <x v="2"/>
    <x v="4"/>
    <x v="221"/>
    <x v="10"/>
    <x v="3808"/>
    <x v="1"/>
  </r>
  <r>
    <x v="239"/>
    <x v="37"/>
    <x v="87"/>
    <x v="3"/>
    <x v="525"/>
    <x v="9"/>
    <x v="0"/>
    <x v="2"/>
    <x v="159"/>
    <x v="12"/>
    <x v="3809"/>
    <x v="1"/>
  </r>
  <r>
    <x v="240"/>
    <x v="3"/>
    <x v="1367"/>
    <x v="1"/>
    <x v="153"/>
    <x v="9"/>
    <x v="0"/>
    <x v="1"/>
    <x v="160"/>
    <x v="4"/>
    <x v="3810"/>
    <x v="1"/>
  </r>
  <r>
    <x v="240"/>
    <x v="9"/>
    <x v="1435"/>
    <x v="0"/>
    <x v="231"/>
    <x v="9"/>
    <x v="0"/>
    <x v="4"/>
    <x v="221"/>
    <x v="5"/>
    <x v="3811"/>
    <x v="1"/>
  </r>
  <r>
    <x v="240"/>
    <x v="20"/>
    <x v="49"/>
    <x v="3"/>
    <x v="380"/>
    <x v="9"/>
    <x v="0"/>
    <x v="2"/>
    <x v="160"/>
    <x v="5"/>
    <x v="3812"/>
    <x v="1"/>
  </r>
  <r>
    <x v="240"/>
    <x v="1"/>
    <x v="55"/>
    <x v="3"/>
    <x v="432"/>
    <x v="9"/>
    <x v="0"/>
    <x v="2"/>
    <x v="160"/>
    <x v="4"/>
    <x v="3813"/>
    <x v="1"/>
  </r>
  <r>
    <x v="240"/>
    <x v="38"/>
    <x v="256"/>
    <x v="0"/>
    <x v="389"/>
    <x v="9"/>
    <x v="0"/>
    <x v="0"/>
    <x v="160"/>
    <x v="5"/>
    <x v="3814"/>
    <x v="1"/>
  </r>
  <r>
    <x v="240"/>
    <x v="16"/>
    <x v="53"/>
    <x v="3"/>
    <x v="247"/>
    <x v="9"/>
    <x v="0"/>
    <x v="2"/>
    <x v="160"/>
    <x v="6"/>
    <x v="3815"/>
    <x v="1"/>
  </r>
  <r>
    <x v="240"/>
    <x v="9"/>
    <x v="465"/>
    <x v="0"/>
    <x v="538"/>
    <x v="9"/>
    <x v="0"/>
    <x v="0"/>
    <x v="160"/>
    <x v="5"/>
    <x v="3816"/>
    <x v="1"/>
  </r>
  <r>
    <x v="240"/>
    <x v="15"/>
    <x v="160"/>
    <x v="3"/>
    <x v="353"/>
    <x v="9"/>
    <x v="0"/>
    <x v="2"/>
    <x v="160"/>
    <x v="4"/>
    <x v="3817"/>
    <x v="1"/>
  </r>
  <r>
    <x v="240"/>
    <x v="28"/>
    <x v="138"/>
    <x v="3"/>
    <x v="371"/>
    <x v="9"/>
    <x v="0"/>
    <x v="2"/>
    <x v="160"/>
    <x v="0"/>
    <x v="3818"/>
    <x v="1"/>
  </r>
  <r>
    <x v="240"/>
    <x v="9"/>
    <x v="715"/>
    <x v="0"/>
    <x v="138"/>
    <x v="9"/>
    <x v="0"/>
    <x v="3"/>
    <x v="160"/>
    <x v="5"/>
    <x v="3819"/>
    <x v="1"/>
  </r>
  <r>
    <x v="239"/>
    <x v="19"/>
    <x v="751"/>
    <x v="0"/>
    <x v="474"/>
    <x v="9"/>
    <x v="1"/>
    <x v="4"/>
    <x v="221"/>
    <x v="3"/>
    <x v="3820"/>
    <x v="1"/>
  </r>
  <r>
    <x v="240"/>
    <x v="19"/>
    <x v="751"/>
    <x v="0"/>
    <x v="474"/>
    <x v="9"/>
    <x v="1"/>
    <x v="4"/>
    <x v="221"/>
    <x v="3"/>
    <x v="3821"/>
    <x v="1"/>
  </r>
  <r>
    <x v="240"/>
    <x v="38"/>
    <x v="342"/>
    <x v="0"/>
    <x v="76"/>
    <x v="9"/>
    <x v="1"/>
    <x v="4"/>
    <x v="221"/>
    <x v="5"/>
    <x v="3822"/>
    <x v="1"/>
  </r>
  <r>
    <x v="240"/>
    <x v="12"/>
    <x v="533"/>
    <x v="0"/>
    <x v="48"/>
    <x v="9"/>
    <x v="1"/>
    <x v="4"/>
    <x v="221"/>
    <x v="5"/>
    <x v="3823"/>
    <x v="1"/>
  </r>
  <r>
    <x v="240"/>
    <x v="38"/>
    <x v="87"/>
    <x v="3"/>
    <x v="553"/>
    <x v="9"/>
    <x v="0"/>
    <x v="2"/>
    <x v="160"/>
    <x v="5"/>
    <x v="3824"/>
    <x v="1"/>
  </r>
  <r>
    <x v="240"/>
    <x v="13"/>
    <x v="256"/>
    <x v="0"/>
    <x v="179"/>
    <x v="9"/>
    <x v="0"/>
    <x v="0"/>
    <x v="160"/>
    <x v="5"/>
    <x v="3825"/>
    <x v="1"/>
  </r>
  <r>
    <x v="240"/>
    <x v="32"/>
    <x v="991"/>
    <x v="3"/>
    <x v="422"/>
    <x v="9"/>
    <x v="2"/>
    <x v="4"/>
    <x v="221"/>
    <x v="10"/>
    <x v="3826"/>
    <x v="1"/>
  </r>
  <r>
    <x v="240"/>
    <x v="32"/>
    <x v="117"/>
    <x v="2"/>
    <x v="422"/>
    <x v="9"/>
    <x v="2"/>
    <x v="4"/>
    <x v="221"/>
    <x v="10"/>
    <x v="3827"/>
    <x v="1"/>
  </r>
  <r>
    <x v="240"/>
    <x v="32"/>
    <x v="1953"/>
    <x v="7"/>
    <x v="422"/>
    <x v="9"/>
    <x v="2"/>
    <x v="4"/>
    <x v="221"/>
    <x v="10"/>
    <x v="3828"/>
    <x v="1"/>
  </r>
  <r>
    <x v="240"/>
    <x v="32"/>
    <x v="299"/>
    <x v="8"/>
    <x v="422"/>
    <x v="9"/>
    <x v="2"/>
    <x v="4"/>
    <x v="221"/>
    <x v="10"/>
    <x v="3829"/>
    <x v="1"/>
  </r>
  <r>
    <x v="240"/>
    <x v="32"/>
    <x v="1101"/>
    <x v="5"/>
    <x v="422"/>
    <x v="9"/>
    <x v="2"/>
    <x v="4"/>
    <x v="221"/>
    <x v="10"/>
    <x v="3830"/>
    <x v="1"/>
  </r>
  <r>
    <x v="240"/>
    <x v="32"/>
    <x v="138"/>
    <x v="4"/>
    <x v="422"/>
    <x v="9"/>
    <x v="2"/>
    <x v="4"/>
    <x v="221"/>
    <x v="10"/>
    <x v="3831"/>
    <x v="1"/>
  </r>
  <r>
    <x v="240"/>
    <x v="37"/>
    <x v="71"/>
    <x v="3"/>
    <x v="525"/>
    <x v="9"/>
    <x v="0"/>
    <x v="2"/>
    <x v="160"/>
    <x v="12"/>
    <x v="3832"/>
    <x v="1"/>
  </r>
  <r>
    <x v="241"/>
    <x v="1"/>
    <x v="123"/>
    <x v="3"/>
    <x v="432"/>
    <x v="9"/>
    <x v="0"/>
    <x v="2"/>
    <x v="161"/>
    <x v="4"/>
    <x v="3833"/>
    <x v="1"/>
  </r>
  <r>
    <x v="241"/>
    <x v="9"/>
    <x v="1058"/>
    <x v="0"/>
    <x v="231"/>
    <x v="9"/>
    <x v="0"/>
    <x v="4"/>
    <x v="221"/>
    <x v="5"/>
    <x v="3834"/>
    <x v="1"/>
  </r>
  <r>
    <x v="241"/>
    <x v="3"/>
    <x v="242"/>
    <x v="1"/>
    <x v="579"/>
    <x v="9"/>
    <x v="0"/>
    <x v="1"/>
    <x v="161"/>
    <x v="4"/>
    <x v="3835"/>
    <x v="1"/>
  </r>
  <r>
    <x v="241"/>
    <x v="12"/>
    <x v="748"/>
    <x v="0"/>
    <x v="48"/>
    <x v="9"/>
    <x v="1"/>
    <x v="4"/>
    <x v="221"/>
    <x v="5"/>
    <x v="3836"/>
    <x v="1"/>
  </r>
  <r>
    <x v="241"/>
    <x v="13"/>
    <x v="158"/>
    <x v="0"/>
    <x v="179"/>
    <x v="9"/>
    <x v="0"/>
    <x v="0"/>
    <x v="161"/>
    <x v="5"/>
    <x v="3837"/>
    <x v="1"/>
  </r>
  <r>
    <x v="241"/>
    <x v="38"/>
    <x v="211"/>
    <x v="0"/>
    <x v="76"/>
    <x v="9"/>
    <x v="1"/>
    <x v="4"/>
    <x v="221"/>
    <x v="5"/>
    <x v="3838"/>
    <x v="1"/>
  </r>
  <r>
    <x v="241"/>
    <x v="20"/>
    <x v="784"/>
    <x v="0"/>
    <x v="290"/>
    <x v="9"/>
    <x v="0"/>
    <x v="0"/>
    <x v="161"/>
    <x v="5"/>
    <x v="3839"/>
    <x v="1"/>
  </r>
  <r>
    <x v="241"/>
    <x v="19"/>
    <x v="751"/>
    <x v="0"/>
    <x v="474"/>
    <x v="9"/>
    <x v="1"/>
    <x v="4"/>
    <x v="221"/>
    <x v="3"/>
    <x v="3840"/>
    <x v="1"/>
  </r>
  <r>
    <x v="241"/>
    <x v="32"/>
    <x v="823"/>
    <x v="3"/>
    <x v="422"/>
    <x v="9"/>
    <x v="2"/>
    <x v="4"/>
    <x v="221"/>
    <x v="10"/>
    <x v="3841"/>
    <x v="1"/>
  </r>
  <r>
    <x v="241"/>
    <x v="32"/>
    <x v="332"/>
    <x v="2"/>
    <x v="422"/>
    <x v="9"/>
    <x v="2"/>
    <x v="4"/>
    <x v="221"/>
    <x v="10"/>
    <x v="3842"/>
    <x v="1"/>
  </r>
  <r>
    <x v="241"/>
    <x v="32"/>
    <x v="239"/>
    <x v="4"/>
    <x v="422"/>
    <x v="9"/>
    <x v="2"/>
    <x v="4"/>
    <x v="221"/>
    <x v="10"/>
    <x v="3843"/>
    <x v="1"/>
  </r>
  <r>
    <x v="241"/>
    <x v="32"/>
    <x v="244"/>
    <x v="6"/>
    <x v="422"/>
    <x v="9"/>
    <x v="2"/>
    <x v="4"/>
    <x v="221"/>
    <x v="10"/>
    <x v="3844"/>
    <x v="1"/>
  </r>
  <r>
    <x v="241"/>
    <x v="32"/>
    <x v="1939"/>
    <x v="7"/>
    <x v="422"/>
    <x v="9"/>
    <x v="2"/>
    <x v="4"/>
    <x v="221"/>
    <x v="10"/>
    <x v="3845"/>
    <x v="1"/>
  </r>
  <r>
    <x v="241"/>
    <x v="32"/>
    <x v="1032"/>
    <x v="5"/>
    <x v="422"/>
    <x v="9"/>
    <x v="2"/>
    <x v="4"/>
    <x v="221"/>
    <x v="10"/>
    <x v="3846"/>
    <x v="1"/>
  </r>
  <r>
    <x v="241"/>
    <x v="28"/>
    <x v="65"/>
    <x v="1"/>
    <x v="560"/>
    <x v="9"/>
    <x v="0"/>
    <x v="1"/>
    <x v="161"/>
    <x v="0"/>
    <x v="3847"/>
    <x v="1"/>
  </r>
  <r>
    <x v="241"/>
    <x v="0"/>
    <x v="256"/>
    <x v="3"/>
    <x v="254"/>
    <x v="9"/>
    <x v="0"/>
    <x v="2"/>
    <x v="161"/>
    <x v="9"/>
    <x v="3848"/>
    <x v="1"/>
  </r>
  <r>
    <x v="241"/>
    <x v="37"/>
    <x v="90"/>
    <x v="1"/>
    <x v="525"/>
    <x v="9"/>
    <x v="0"/>
    <x v="1"/>
    <x v="161"/>
    <x v="12"/>
    <x v="3849"/>
    <x v="1"/>
  </r>
  <r>
    <x v="241"/>
    <x v="23"/>
    <x v="31"/>
    <x v="3"/>
    <x v="285"/>
    <x v="9"/>
    <x v="0"/>
    <x v="2"/>
    <x v="161"/>
    <x v="6"/>
    <x v="3850"/>
    <x v="1"/>
  </r>
  <r>
    <x v="241"/>
    <x v="0"/>
    <x v="45"/>
    <x v="3"/>
    <x v="450"/>
    <x v="9"/>
    <x v="0"/>
    <x v="2"/>
    <x v="161"/>
    <x v="9"/>
    <x v="3851"/>
    <x v="1"/>
  </r>
  <r>
    <x v="242"/>
    <x v="8"/>
    <x v="475"/>
    <x v="0"/>
    <x v="238"/>
    <x v="9"/>
    <x v="1"/>
    <x v="4"/>
    <x v="221"/>
    <x v="5"/>
    <x v="3852"/>
    <x v="1"/>
  </r>
  <r>
    <x v="242"/>
    <x v="9"/>
    <x v="934"/>
    <x v="0"/>
    <x v="231"/>
    <x v="9"/>
    <x v="0"/>
    <x v="4"/>
    <x v="221"/>
    <x v="5"/>
    <x v="3853"/>
    <x v="1"/>
  </r>
  <r>
    <x v="242"/>
    <x v="1"/>
    <x v="34"/>
    <x v="3"/>
    <x v="432"/>
    <x v="9"/>
    <x v="0"/>
    <x v="2"/>
    <x v="162"/>
    <x v="4"/>
    <x v="3854"/>
    <x v="1"/>
  </r>
  <r>
    <x v="242"/>
    <x v="20"/>
    <x v="28"/>
    <x v="3"/>
    <x v="380"/>
    <x v="9"/>
    <x v="0"/>
    <x v="2"/>
    <x v="162"/>
    <x v="5"/>
    <x v="3855"/>
    <x v="1"/>
  </r>
  <r>
    <x v="231"/>
    <x v="20"/>
    <x v="1973"/>
    <x v="0"/>
    <x v="61"/>
    <x v="9"/>
    <x v="0"/>
    <x v="0"/>
    <x v="162"/>
    <x v="5"/>
    <x v="3856"/>
    <x v="1"/>
  </r>
  <r>
    <x v="242"/>
    <x v="23"/>
    <x v="19"/>
    <x v="3"/>
    <x v="283"/>
    <x v="9"/>
    <x v="0"/>
    <x v="2"/>
    <x v="221"/>
    <x v="6"/>
    <x v="3857"/>
    <x v="1"/>
  </r>
  <r>
    <x v="242"/>
    <x v="38"/>
    <x v="12"/>
    <x v="3"/>
    <x v="334"/>
    <x v="9"/>
    <x v="0"/>
    <x v="1"/>
    <x v="221"/>
    <x v="5"/>
    <x v="3858"/>
    <x v="1"/>
  </r>
  <r>
    <x v="242"/>
    <x v="38"/>
    <x v="497"/>
    <x v="0"/>
    <x v="76"/>
    <x v="9"/>
    <x v="1"/>
    <x v="4"/>
    <x v="221"/>
    <x v="5"/>
    <x v="3859"/>
    <x v="1"/>
  </r>
  <r>
    <x v="242"/>
    <x v="12"/>
    <x v="764"/>
    <x v="0"/>
    <x v="48"/>
    <x v="9"/>
    <x v="1"/>
    <x v="4"/>
    <x v="221"/>
    <x v="5"/>
    <x v="3860"/>
    <x v="1"/>
  </r>
  <r>
    <x v="242"/>
    <x v="31"/>
    <x v="1886"/>
    <x v="0"/>
    <x v="461"/>
    <x v="9"/>
    <x v="0"/>
    <x v="0"/>
    <x v="162"/>
    <x v="8"/>
    <x v="3861"/>
    <x v="1"/>
  </r>
  <r>
    <x v="242"/>
    <x v="24"/>
    <x v="77"/>
    <x v="1"/>
    <x v="336"/>
    <x v="9"/>
    <x v="0"/>
    <x v="1"/>
    <x v="162"/>
    <x v="6"/>
    <x v="3862"/>
    <x v="1"/>
  </r>
  <r>
    <x v="242"/>
    <x v="20"/>
    <x v="1963"/>
    <x v="0"/>
    <x v="61"/>
    <x v="9"/>
    <x v="1"/>
    <x v="4"/>
    <x v="221"/>
    <x v="5"/>
    <x v="3863"/>
    <x v="1"/>
  </r>
  <r>
    <x v="242"/>
    <x v="13"/>
    <x v="53"/>
    <x v="1"/>
    <x v="123"/>
    <x v="9"/>
    <x v="0"/>
    <x v="1"/>
    <x v="162"/>
    <x v="5"/>
    <x v="3864"/>
    <x v="1"/>
  </r>
  <r>
    <x v="242"/>
    <x v="32"/>
    <x v="692"/>
    <x v="3"/>
    <x v="422"/>
    <x v="9"/>
    <x v="2"/>
    <x v="4"/>
    <x v="221"/>
    <x v="10"/>
    <x v="3865"/>
    <x v="1"/>
  </r>
  <r>
    <x v="242"/>
    <x v="32"/>
    <x v="83"/>
    <x v="6"/>
    <x v="422"/>
    <x v="9"/>
    <x v="2"/>
    <x v="4"/>
    <x v="221"/>
    <x v="10"/>
    <x v="3866"/>
    <x v="1"/>
  </r>
  <r>
    <x v="242"/>
    <x v="32"/>
    <x v="1648"/>
    <x v="7"/>
    <x v="422"/>
    <x v="9"/>
    <x v="2"/>
    <x v="4"/>
    <x v="221"/>
    <x v="10"/>
    <x v="3867"/>
    <x v="1"/>
  </r>
  <r>
    <x v="242"/>
    <x v="32"/>
    <x v="678"/>
    <x v="5"/>
    <x v="422"/>
    <x v="9"/>
    <x v="2"/>
    <x v="4"/>
    <x v="221"/>
    <x v="10"/>
    <x v="3868"/>
    <x v="1"/>
  </r>
  <r>
    <x v="242"/>
    <x v="37"/>
    <x v="191"/>
    <x v="1"/>
    <x v="525"/>
    <x v="9"/>
    <x v="0"/>
    <x v="1"/>
    <x v="162"/>
    <x v="12"/>
    <x v="3869"/>
    <x v="1"/>
  </r>
  <r>
    <x v="243"/>
    <x v="9"/>
    <x v="898"/>
    <x v="0"/>
    <x v="231"/>
    <x v="9"/>
    <x v="0"/>
    <x v="4"/>
    <x v="221"/>
    <x v="5"/>
    <x v="3870"/>
    <x v="1"/>
  </r>
  <r>
    <x v="243"/>
    <x v="1"/>
    <x v="34"/>
    <x v="0"/>
    <x v="432"/>
    <x v="9"/>
    <x v="0"/>
    <x v="4"/>
    <x v="221"/>
    <x v="4"/>
    <x v="3871"/>
    <x v="1"/>
  </r>
  <r>
    <x v="243"/>
    <x v="12"/>
    <x v="112"/>
    <x v="0"/>
    <x v="48"/>
    <x v="9"/>
    <x v="1"/>
    <x v="4"/>
    <x v="221"/>
    <x v="5"/>
    <x v="3872"/>
    <x v="1"/>
  </r>
  <r>
    <x v="243"/>
    <x v="28"/>
    <x v="138"/>
    <x v="1"/>
    <x v="371"/>
    <x v="9"/>
    <x v="0"/>
    <x v="4"/>
    <x v="221"/>
    <x v="0"/>
    <x v="3873"/>
    <x v="1"/>
  </r>
  <r>
    <x v="243"/>
    <x v="17"/>
    <x v="1921"/>
    <x v="0"/>
    <x v="194"/>
    <x v="9"/>
    <x v="1"/>
    <x v="4"/>
    <x v="221"/>
    <x v="3"/>
    <x v="3874"/>
    <x v="1"/>
  </r>
  <r>
    <x v="243"/>
    <x v="15"/>
    <x v="158"/>
    <x v="3"/>
    <x v="353"/>
    <x v="9"/>
    <x v="0"/>
    <x v="2"/>
    <x v="163"/>
    <x v="4"/>
    <x v="3875"/>
    <x v="1"/>
  </r>
  <r>
    <x v="243"/>
    <x v="24"/>
    <x v="87"/>
    <x v="3"/>
    <x v="561"/>
    <x v="9"/>
    <x v="0"/>
    <x v="2"/>
    <x v="221"/>
    <x v="6"/>
    <x v="3876"/>
    <x v="1"/>
  </r>
  <r>
    <x v="243"/>
    <x v="32"/>
    <x v="1095"/>
    <x v="3"/>
    <x v="422"/>
    <x v="9"/>
    <x v="2"/>
    <x v="4"/>
    <x v="221"/>
    <x v="10"/>
    <x v="3877"/>
    <x v="1"/>
  </r>
  <r>
    <x v="243"/>
    <x v="32"/>
    <x v="27"/>
    <x v="6"/>
    <x v="422"/>
    <x v="9"/>
    <x v="2"/>
    <x v="4"/>
    <x v="221"/>
    <x v="10"/>
    <x v="3878"/>
    <x v="1"/>
  </r>
  <r>
    <x v="243"/>
    <x v="32"/>
    <x v="1718"/>
    <x v="7"/>
    <x v="422"/>
    <x v="9"/>
    <x v="2"/>
    <x v="4"/>
    <x v="221"/>
    <x v="10"/>
    <x v="3879"/>
    <x v="1"/>
  </r>
  <r>
    <x v="243"/>
    <x v="24"/>
    <x v="83"/>
    <x v="1"/>
    <x v="247"/>
    <x v="9"/>
    <x v="0"/>
    <x v="1"/>
    <x v="163"/>
    <x v="6"/>
    <x v="3880"/>
    <x v="1"/>
  </r>
  <r>
    <x v="243"/>
    <x v="38"/>
    <x v="475"/>
    <x v="1"/>
    <x v="49"/>
    <x v="9"/>
    <x v="0"/>
    <x v="1"/>
    <x v="163"/>
    <x v="5"/>
    <x v="3881"/>
    <x v="1"/>
  </r>
  <r>
    <x v="243"/>
    <x v="37"/>
    <x v="112"/>
    <x v="1"/>
    <x v="525"/>
    <x v="9"/>
    <x v="0"/>
    <x v="1"/>
    <x v="163"/>
    <x v="12"/>
    <x v="3882"/>
    <x v="1"/>
  </r>
  <r>
    <x v="243"/>
    <x v="23"/>
    <x v="12"/>
    <x v="3"/>
    <x v="285"/>
    <x v="9"/>
    <x v="0"/>
    <x v="2"/>
    <x v="163"/>
    <x v="6"/>
    <x v="3883"/>
    <x v="1"/>
  </r>
  <r>
    <x v="243"/>
    <x v="38"/>
    <x v="87"/>
    <x v="3"/>
    <x v="553"/>
    <x v="9"/>
    <x v="0"/>
    <x v="1"/>
    <x v="163"/>
    <x v="5"/>
    <x v="3884"/>
    <x v="1"/>
  </r>
  <r>
    <x v="244"/>
    <x v="9"/>
    <x v="956"/>
    <x v="0"/>
    <x v="231"/>
    <x v="9"/>
    <x v="0"/>
    <x v="4"/>
    <x v="221"/>
    <x v="5"/>
    <x v="3885"/>
    <x v="1"/>
  </r>
  <r>
    <x v="244"/>
    <x v="8"/>
    <x v="1059"/>
    <x v="0"/>
    <x v="238"/>
    <x v="9"/>
    <x v="1"/>
    <x v="4"/>
    <x v="221"/>
    <x v="5"/>
    <x v="3886"/>
    <x v="1"/>
  </r>
  <r>
    <x v="244"/>
    <x v="3"/>
    <x v="578"/>
    <x v="1"/>
    <x v="579"/>
    <x v="9"/>
    <x v="0"/>
    <x v="1"/>
    <x v="164"/>
    <x v="4"/>
    <x v="3887"/>
    <x v="1"/>
  </r>
  <r>
    <x v="244"/>
    <x v="38"/>
    <x v="65"/>
    <x v="1"/>
    <x v="401"/>
    <x v="9"/>
    <x v="0"/>
    <x v="1"/>
    <x v="164"/>
    <x v="5"/>
    <x v="3888"/>
    <x v="1"/>
  </r>
  <r>
    <x v="244"/>
    <x v="1"/>
    <x v="55"/>
    <x v="3"/>
    <x v="432"/>
    <x v="9"/>
    <x v="0"/>
    <x v="2"/>
    <x v="164"/>
    <x v="4"/>
    <x v="3889"/>
    <x v="1"/>
  </r>
  <r>
    <x v="244"/>
    <x v="20"/>
    <x v="28"/>
    <x v="3"/>
    <x v="380"/>
    <x v="9"/>
    <x v="0"/>
    <x v="2"/>
    <x v="164"/>
    <x v="5"/>
    <x v="3890"/>
    <x v="1"/>
  </r>
  <r>
    <x v="243"/>
    <x v="38"/>
    <x v="204"/>
    <x v="0"/>
    <x v="76"/>
    <x v="9"/>
    <x v="1"/>
    <x v="4"/>
    <x v="221"/>
    <x v="5"/>
    <x v="3891"/>
    <x v="1"/>
  </r>
  <r>
    <x v="244"/>
    <x v="38"/>
    <x v="209"/>
    <x v="0"/>
    <x v="76"/>
    <x v="9"/>
    <x v="1"/>
    <x v="4"/>
    <x v="221"/>
    <x v="5"/>
    <x v="3892"/>
    <x v="1"/>
  </r>
  <r>
    <x v="244"/>
    <x v="19"/>
    <x v="1195"/>
    <x v="0"/>
    <x v="474"/>
    <x v="9"/>
    <x v="1"/>
    <x v="4"/>
    <x v="221"/>
    <x v="3"/>
    <x v="3893"/>
    <x v="1"/>
  </r>
  <r>
    <x v="244"/>
    <x v="32"/>
    <x v="611"/>
    <x v="3"/>
    <x v="422"/>
    <x v="9"/>
    <x v="2"/>
    <x v="4"/>
    <x v="221"/>
    <x v="10"/>
    <x v="3894"/>
    <x v="1"/>
  </r>
  <r>
    <x v="244"/>
    <x v="32"/>
    <x v="90"/>
    <x v="2"/>
    <x v="422"/>
    <x v="9"/>
    <x v="2"/>
    <x v="4"/>
    <x v="221"/>
    <x v="10"/>
    <x v="3895"/>
    <x v="1"/>
  </r>
  <r>
    <x v="244"/>
    <x v="32"/>
    <x v="100"/>
    <x v="6"/>
    <x v="422"/>
    <x v="9"/>
    <x v="2"/>
    <x v="4"/>
    <x v="221"/>
    <x v="10"/>
    <x v="3896"/>
    <x v="1"/>
  </r>
  <r>
    <x v="244"/>
    <x v="32"/>
    <x v="1629"/>
    <x v="7"/>
    <x v="422"/>
    <x v="9"/>
    <x v="2"/>
    <x v="4"/>
    <x v="221"/>
    <x v="10"/>
    <x v="3897"/>
    <x v="1"/>
  </r>
  <r>
    <x v="244"/>
    <x v="32"/>
    <x v="105"/>
    <x v="5"/>
    <x v="422"/>
    <x v="9"/>
    <x v="2"/>
    <x v="4"/>
    <x v="221"/>
    <x v="10"/>
    <x v="3898"/>
    <x v="1"/>
  </r>
  <r>
    <x v="244"/>
    <x v="24"/>
    <x v="518"/>
    <x v="3"/>
    <x v="561"/>
    <x v="9"/>
    <x v="0"/>
    <x v="2"/>
    <x v="164"/>
    <x v="6"/>
    <x v="3899"/>
    <x v="1"/>
  </r>
  <r>
    <x v="244"/>
    <x v="37"/>
    <x v="112"/>
    <x v="3"/>
    <x v="525"/>
    <x v="9"/>
    <x v="0"/>
    <x v="2"/>
    <x v="164"/>
    <x v="12"/>
    <x v="3900"/>
    <x v="1"/>
  </r>
  <r>
    <x v="245"/>
    <x v="38"/>
    <x v="375"/>
    <x v="3"/>
    <x v="389"/>
    <x v="9"/>
    <x v="0"/>
    <x v="2"/>
    <x v="165"/>
    <x v="5"/>
    <x v="3901"/>
    <x v="1"/>
  </r>
  <r>
    <x v="245"/>
    <x v="20"/>
    <x v="259"/>
    <x v="0"/>
    <x v="61"/>
    <x v="9"/>
    <x v="1"/>
    <x v="4"/>
    <x v="221"/>
    <x v="5"/>
    <x v="3902"/>
    <x v="1"/>
  </r>
  <r>
    <x v="245"/>
    <x v="32"/>
    <x v="756"/>
    <x v="3"/>
    <x v="422"/>
    <x v="9"/>
    <x v="2"/>
    <x v="4"/>
    <x v="221"/>
    <x v="10"/>
    <x v="3903"/>
    <x v="1"/>
  </r>
  <r>
    <x v="245"/>
    <x v="32"/>
    <x v="1617"/>
    <x v="7"/>
    <x v="422"/>
    <x v="9"/>
    <x v="2"/>
    <x v="4"/>
    <x v="221"/>
    <x v="10"/>
    <x v="3904"/>
    <x v="1"/>
  </r>
  <r>
    <x v="245"/>
    <x v="32"/>
    <x v="1204"/>
    <x v="5"/>
    <x v="422"/>
    <x v="9"/>
    <x v="2"/>
    <x v="4"/>
    <x v="221"/>
    <x v="10"/>
    <x v="3905"/>
    <x v="1"/>
  </r>
  <r>
    <x v="245"/>
    <x v="31"/>
    <x v="112"/>
    <x v="3"/>
    <x v="571"/>
    <x v="9"/>
    <x v="0"/>
    <x v="2"/>
    <x v="165"/>
    <x v="8"/>
    <x v="3906"/>
    <x v="1"/>
  </r>
  <r>
    <x v="245"/>
    <x v="37"/>
    <x v="69"/>
    <x v="3"/>
    <x v="525"/>
    <x v="9"/>
    <x v="0"/>
    <x v="2"/>
    <x v="165"/>
    <x v="12"/>
    <x v="3907"/>
    <x v="1"/>
  </r>
  <r>
    <x v="246"/>
    <x v="8"/>
    <x v="816"/>
    <x v="0"/>
    <x v="238"/>
    <x v="9"/>
    <x v="1"/>
    <x v="4"/>
    <x v="221"/>
    <x v="5"/>
    <x v="3908"/>
    <x v="1"/>
  </r>
  <r>
    <x v="246"/>
    <x v="9"/>
    <x v="180"/>
    <x v="0"/>
    <x v="231"/>
    <x v="9"/>
    <x v="0"/>
    <x v="4"/>
    <x v="221"/>
    <x v="5"/>
    <x v="3909"/>
    <x v="1"/>
  </r>
  <r>
    <x v="246"/>
    <x v="38"/>
    <x v="129"/>
    <x v="0"/>
    <x v="76"/>
    <x v="9"/>
    <x v="1"/>
    <x v="4"/>
    <x v="221"/>
    <x v="5"/>
    <x v="3910"/>
    <x v="1"/>
  </r>
  <r>
    <x v="246"/>
    <x v="12"/>
    <x v="181"/>
    <x v="0"/>
    <x v="48"/>
    <x v="9"/>
    <x v="1"/>
    <x v="4"/>
    <x v="221"/>
    <x v="5"/>
    <x v="3911"/>
    <x v="1"/>
  </r>
  <r>
    <x v="246"/>
    <x v="38"/>
    <x v="19"/>
    <x v="3"/>
    <x v="334"/>
    <x v="9"/>
    <x v="0"/>
    <x v="1"/>
    <x v="166"/>
    <x v="5"/>
    <x v="3912"/>
    <x v="1"/>
  </r>
  <r>
    <x v="246"/>
    <x v="13"/>
    <x v="1689"/>
    <x v="0"/>
    <x v="558"/>
    <x v="9"/>
    <x v="1"/>
    <x v="4"/>
    <x v="221"/>
    <x v="5"/>
    <x v="3913"/>
    <x v="1"/>
  </r>
  <r>
    <x v="246"/>
    <x v="32"/>
    <x v="744"/>
    <x v="3"/>
    <x v="422"/>
    <x v="9"/>
    <x v="2"/>
    <x v="4"/>
    <x v="221"/>
    <x v="10"/>
    <x v="3914"/>
    <x v="1"/>
  </r>
  <r>
    <x v="246"/>
    <x v="32"/>
    <x v="216"/>
    <x v="2"/>
    <x v="422"/>
    <x v="9"/>
    <x v="2"/>
    <x v="4"/>
    <x v="221"/>
    <x v="10"/>
    <x v="3915"/>
    <x v="1"/>
  </r>
  <r>
    <x v="246"/>
    <x v="32"/>
    <x v="58"/>
    <x v="6"/>
    <x v="422"/>
    <x v="9"/>
    <x v="2"/>
    <x v="4"/>
    <x v="221"/>
    <x v="10"/>
    <x v="3916"/>
    <x v="1"/>
  </r>
  <r>
    <x v="246"/>
    <x v="32"/>
    <x v="1723"/>
    <x v="7"/>
    <x v="422"/>
    <x v="9"/>
    <x v="2"/>
    <x v="4"/>
    <x v="221"/>
    <x v="10"/>
    <x v="3917"/>
    <x v="1"/>
  </r>
  <r>
    <x v="246"/>
    <x v="32"/>
    <x v="1191"/>
    <x v="5"/>
    <x v="422"/>
    <x v="9"/>
    <x v="2"/>
    <x v="4"/>
    <x v="221"/>
    <x v="10"/>
    <x v="3918"/>
    <x v="1"/>
  </r>
  <r>
    <x v="246"/>
    <x v="28"/>
    <x v="65"/>
    <x v="3"/>
    <x v="558"/>
    <x v="9"/>
    <x v="0"/>
    <x v="1"/>
    <x v="166"/>
    <x v="0"/>
    <x v="3919"/>
    <x v="1"/>
  </r>
  <r>
    <x v="246"/>
    <x v="37"/>
    <x v="83"/>
    <x v="3"/>
    <x v="525"/>
    <x v="9"/>
    <x v="0"/>
    <x v="1"/>
    <x v="166"/>
    <x v="12"/>
    <x v="3920"/>
    <x v="1"/>
  </r>
  <r>
    <x v="247"/>
    <x v="9"/>
    <x v="240"/>
    <x v="0"/>
    <x v="231"/>
    <x v="9"/>
    <x v="0"/>
    <x v="4"/>
    <x v="221"/>
    <x v="14"/>
    <x v="5408"/>
    <x v="1"/>
  </r>
  <r>
    <x v="247"/>
    <x v="20"/>
    <x v="28"/>
    <x v="3"/>
    <x v="380"/>
    <x v="9"/>
    <x v="0"/>
    <x v="2"/>
    <x v="167"/>
    <x v="5"/>
    <x v="3921"/>
    <x v="1"/>
  </r>
  <r>
    <x v="247"/>
    <x v="1"/>
    <x v="97"/>
    <x v="3"/>
    <x v="432"/>
    <x v="9"/>
    <x v="0"/>
    <x v="2"/>
    <x v="167"/>
    <x v="4"/>
    <x v="3922"/>
    <x v="1"/>
  </r>
  <r>
    <x v="247"/>
    <x v="12"/>
    <x v="242"/>
    <x v="0"/>
    <x v="48"/>
    <x v="9"/>
    <x v="1"/>
    <x v="4"/>
    <x v="221"/>
    <x v="5"/>
    <x v="3923"/>
    <x v="1"/>
  </r>
  <r>
    <x v="247"/>
    <x v="31"/>
    <x v="787"/>
    <x v="0"/>
    <x v="210"/>
    <x v="9"/>
    <x v="0"/>
    <x v="0"/>
    <x v="167"/>
    <x v="8"/>
    <x v="3924"/>
    <x v="1"/>
  </r>
  <r>
    <x v="247"/>
    <x v="38"/>
    <x v="162"/>
    <x v="0"/>
    <x v="76"/>
    <x v="9"/>
    <x v="1"/>
    <x v="4"/>
    <x v="221"/>
    <x v="5"/>
    <x v="3925"/>
    <x v="1"/>
  </r>
  <r>
    <x v="247"/>
    <x v="32"/>
    <x v="842"/>
    <x v="3"/>
    <x v="422"/>
    <x v="9"/>
    <x v="2"/>
    <x v="4"/>
    <x v="221"/>
    <x v="10"/>
    <x v="3926"/>
    <x v="1"/>
  </r>
  <r>
    <x v="247"/>
    <x v="32"/>
    <x v="756"/>
    <x v="2"/>
    <x v="422"/>
    <x v="9"/>
    <x v="2"/>
    <x v="4"/>
    <x v="221"/>
    <x v="10"/>
    <x v="3927"/>
    <x v="1"/>
  </r>
  <r>
    <x v="247"/>
    <x v="32"/>
    <x v="547"/>
    <x v="6"/>
    <x v="422"/>
    <x v="9"/>
    <x v="2"/>
    <x v="4"/>
    <x v="221"/>
    <x v="10"/>
    <x v="3928"/>
    <x v="1"/>
  </r>
  <r>
    <x v="247"/>
    <x v="32"/>
    <x v="1736"/>
    <x v="7"/>
    <x v="422"/>
    <x v="9"/>
    <x v="2"/>
    <x v="4"/>
    <x v="221"/>
    <x v="10"/>
    <x v="3929"/>
    <x v="1"/>
  </r>
  <r>
    <x v="247"/>
    <x v="32"/>
    <x v="1542"/>
    <x v="5"/>
    <x v="422"/>
    <x v="9"/>
    <x v="2"/>
    <x v="4"/>
    <x v="221"/>
    <x v="10"/>
    <x v="3930"/>
    <x v="1"/>
  </r>
  <r>
    <x v="247"/>
    <x v="6"/>
    <x v="518"/>
    <x v="1"/>
    <x v="569"/>
    <x v="9"/>
    <x v="0"/>
    <x v="1"/>
    <x v="167"/>
    <x v="7"/>
    <x v="3931"/>
    <x v="1"/>
  </r>
  <r>
    <x v="247"/>
    <x v="37"/>
    <x v="94"/>
    <x v="3"/>
    <x v="525"/>
    <x v="9"/>
    <x v="0"/>
    <x v="2"/>
    <x v="167"/>
    <x v="12"/>
    <x v="3932"/>
    <x v="1"/>
  </r>
  <r>
    <x v="247"/>
    <x v="16"/>
    <x v="49"/>
    <x v="3"/>
    <x v="247"/>
    <x v="9"/>
    <x v="0"/>
    <x v="2"/>
    <x v="167"/>
    <x v="6"/>
    <x v="3933"/>
    <x v="1"/>
  </r>
  <r>
    <x v="248"/>
    <x v="20"/>
    <x v="28"/>
    <x v="3"/>
    <x v="380"/>
    <x v="9"/>
    <x v="0"/>
    <x v="2"/>
    <x v="168"/>
    <x v="5"/>
    <x v="3934"/>
    <x v="1"/>
  </r>
  <r>
    <x v="248"/>
    <x v="9"/>
    <x v="777"/>
    <x v="0"/>
    <x v="231"/>
    <x v="9"/>
    <x v="0"/>
    <x v="4"/>
    <x v="221"/>
    <x v="5"/>
    <x v="3935"/>
    <x v="1"/>
  </r>
  <r>
    <x v="248"/>
    <x v="1"/>
    <x v="59"/>
    <x v="3"/>
    <x v="432"/>
    <x v="9"/>
    <x v="0"/>
    <x v="2"/>
    <x v="168"/>
    <x v="4"/>
    <x v="3936"/>
    <x v="1"/>
  </r>
  <r>
    <x v="248"/>
    <x v="12"/>
    <x v="434"/>
    <x v="0"/>
    <x v="48"/>
    <x v="9"/>
    <x v="1"/>
    <x v="4"/>
    <x v="221"/>
    <x v="5"/>
    <x v="3937"/>
    <x v="1"/>
  </r>
  <r>
    <x v="248"/>
    <x v="27"/>
    <x v="739"/>
    <x v="0"/>
    <x v="5"/>
    <x v="9"/>
    <x v="0"/>
    <x v="0"/>
    <x v="168"/>
    <x v="5"/>
    <x v="3938"/>
    <x v="1"/>
  </r>
  <r>
    <x v="248"/>
    <x v="28"/>
    <x v="138"/>
    <x v="3"/>
    <x v="371"/>
    <x v="9"/>
    <x v="0"/>
    <x v="1"/>
    <x v="168"/>
    <x v="0"/>
    <x v="3939"/>
    <x v="1"/>
  </r>
  <r>
    <x v="248"/>
    <x v="20"/>
    <x v="226"/>
    <x v="0"/>
    <x v="61"/>
    <x v="9"/>
    <x v="1"/>
    <x v="4"/>
    <x v="221"/>
    <x v="5"/>
    <x v="3940"/>
    <x v="1"/>
  </r>
  <r>
    <x v="248"/>
    <x v="19"/>
    <x v="751"/>
    <x v="0"/>
    <x v="474"/>
    <x v="9"/>
    <x v="1"/>
    <x v="4"/>
    <x v="221"/>
    <x v="3"/>
    <x v="3941"/>
    <x v="1"/>
  </r>
  <r>
    <x v="248"/>
    <x v="38"/>
    <x v="359"/>
    <x v="0"/>
    <x v="76"/>
    <x v="9"/>
    <x v="1"/>
    <x v="4"/>
    <x v="221"/>
    <x v="5"/>
    <x v="3942"/>
    <x v="1"/>
  </r>
  <r>
    <x v="248"/>
    <x v="32"/>
    <x v="655"/>
    <x v="3"/>
    <x v="422"/>
    <x v="9"/>
    <x v="2"/>
    <x v="4"/>
    <x v="221"/>
    <x v="10"/>
    <x v="3943"/>
    <x v="1"/>
  </r>
  <r>
    <x v="248"/>
    <x v="32"/>
    <x v="191"/>
    <x v="2"/>
    <x v="422"/>
    <x v="9"/>
    <x v="2"/>
    <x v="4"/>
    <x v="221"/>
    <x v="10"/>
    <x v="3944"/>
    <x v="1"/>
  </r>
  <r>
    <x v="248"/>
    <x v="32"/>
    <x v="1772"/>
    <x v="7"/>
    <x v="422"/>
    <x v="9"/>
    <x v="2"/>
    <x v="4"/>
    <x v="221"/>
    <x v="10"/>
    <x v="3945"/>
    <x v="1"/>
  </r>
  <r>
    <x v="248"/>
    <x v="32"/>
    <x v="527"/>
    <x v="5"/>
    <x v="422"/>
    <x v="9"/>
    <x v="2"/>
    <x v="4"/>
    <x v="221"/>
    <x v="10"/>
    <x v="3946"/>
    <x v="1"/>
  </r>
  <r>
    <x v="248"/>
    <x v="37"/>
    <x v="129"/>
    <x v="3"/>
    <x v="525"/>
    <x v="9"/>
    <x v="0"/>
    <x v="2"/>
    <x v="168"/>
    <x v="12"/>
    <x v="3947"/>
    <x v="1"/>
  </r>
  <r>
    <x v="249"/>
    <x v="9"/>
    <x v="535"/>
    <x v="0"/>
    <x v="231"/>
    <x v="9"/>
    <x v="0"/>
    <x v="4"/>
    <x v="221"/>
    <x v="5"/>
    <x v="3948"/>
    <x v="1"/>
  </r>
  <r>
    <x v="249"/>
    <x v="1"/>
    <x v="27"/>
    <x v="3"/>
    <x v="432"/>
    <x v="9"/>
    <x v="0"/>
    <x v="2"/>
    <x v="169"/>
    <x v="4"/>
    <x v="3949"/>
    <x v="1"/>
  </r>
  <r>
    <x v="249"/>
    <x v="8"/>
    <x v="816"/>
    <x v="0"/>
    <x v="238"/>
    <x v="9"/>
    <x v="1"/>
    <x v="4"/>
    <x v="221"/>
    <x v="5"/>
    <x v="3950"/>
    <x v="1"/>
  </r>
  <r>
    <x v="249"/>
    <x v="22"/>
    <x v="599"/>
    <x v="0"/>
    <x v="457"/>
    <x v="9"/>
    <x v="0"/>
    <x v="0"/>
    <x v="169"/>
    <x v="3"/>
    <x v="3951"/>
    <x v="1"/>
  </r>
  <r>
    <x v="249"/>
    <x v="20"/>
    <x v="138"/>
    <x v="1"/>
    <x v="61"/>
    <x v="9"/>
    <x v="0"/>
    <x v="1"/>
    <x v="169"/>
    <x v="5"/>
    <x v="3952"/>
    <x v="1"/>
  </r>
  <r>
    <x v="249"/>
    <x v="0"/>
    <x v="45"/>
    <x v="3"/>
    <x v="450"/>
    <x v="9"/>
    <x v="0"/>
    <x v="2"/>
    <x v="169"/>
    <x v="9"/>
    <x v="3953"/>
    <x v="1"/>
  </r>
  <r>
    <x v="249"/>
    <x v="38"/>
    <x v="117"/>
    <x v="0"/>
    <x v="76"/>
    <x v="9"/>
    <x v="1"/>
    <x v="4"/>
    <x v="221"/>
    <x v="5"/>
    <x v="3954"/>
    <x v="1"/>
  </r>
  <r>
    <x v="249"/>
    <x v="19"/>
    <x v="751"/>
    <x v="0"/>
    <x v="474"/>
    <x v="9"/>
    <x v="1"/>
    <x v="4"/>
    <x v="221"/>
    <x v="3"/>
    <x v="3955"/>
    <x v="1"/>
  </r>
  <r>
    <x v="249"/>
    <x v="32"/>
    <x v="154"/>
    <x v="3"/>
    <x v="422"/>
    <x v="9"/>
    <x v="2"/>
    <x v="4"/>
    <x v="221"/>
    <x v="10"/>
    <x v="3956"/>
    <x v="1"/>
  </r>
  <r>
    <x v="249"/>
    <x v="32"/>
    <x v="709"/>
    <x v="2"/>
    <x v="422"/>
    <x v="9"/>
    <x v="2"/>
    <x v="4"/>
    <x v="221"/>
    <x v="10"/>
    <x v="3957"/>
    <x v="1"/>
  </r>
  <r>
    <x v="249"/>
    <x v="32"/>
    <x v="12"/>
    <x v="6"/>
    <x v="422"/>
    <x v="9"/>
    <x v="2"/>
    <x v="4"/>
    <x v="221"/>
    <x v="10"/>
    <x v="3958"/>
    <x v="1"/>
  </r>
  <r>
    <x v="249"/>
    <x v="32"/>
    <x v="1607"/>
    <x v="7"/>
    <x v="422"/>
    <x v="9"/>
    <x v="2"/>
    <x v="4"/>
    <x v="221"/>
    <x v="10"/>
    <x v="3959"/>
    <x v="1"/>
  </r>
  <r>
    <x v="249"/>
    <x v="32"/>
    <x v="642"/>
    <x v="5"/>
    <x v="422"/>
    <x v="9"/>
    <x v="2"/>
    <x v="4"/>
    <x v="221"/>
    <x v="10"/>
    <x v="3960"/>
    <x v="1"/>
  </r>
  <r>
    <x v="249"/>
    <x v="37"/>
    <x v="100"/>
    <x v="1"/>
    <x v="525"/>
    <x v="9"/>
    <x v="0"/>
    <x v="2"/>
    <x v="169"/>
    <x v="12"/>
    <x v="3961"/>
    <x v="1"/>
  </r>
  <r>
    <x v="250"/>
    <x v="9"/>
    <x v="837"/>
    <x v="0"/>
    <x v="231"/>
    <x v="9"/>
    <x v="0"/>
    <x v="4"/>
    <x v="221"/>
    <x v="5"/>
    <x v="3962"/>
    <x v="1"/>
  </r>
  <r>
    <x v="250"/>
    <x v="1"/>
    <x v="27"/>
    <x v="3"/>
    <x v="432"/>
    <x v="9"/>
    <x v="0"/>
    <x v="4"/>
    <x v="221"/>
    <x v="4"/>
    <x v="3963"/>
    <x v="1"/>
  </r>
  <r>
    <x v="250"/>
    <x v="20"/>
    <x v="549"/>
    <x v="0"/>
    <x v="61"/>
    <x v="9"/>
    <x v="1"/>
    <x v="4"/>
    <x v="221"/>
    <x v="5"/>
    <x v="3964"/>
    <x v="1"/>
  </r>
  <r>
    <x v="250"/>
    <x v="12"/>
    <x v="347"/>
    <x v="0"/>
    <x v="48"/>
    <x v="9"/>
    <x v="1"/>
    <x v="4"/>
    <x v="221"/>
    <x v="5"/>
    <x v="3965"/>
    <x v="1"/>
  </r>
  <r>
    <x v="250"/>
    <x v="16"/>
    <x v="191"/>
    <x v="0"/>
    <x v="193"/>
    <x v="9"/>
    <x v="0"/>
    <x v="0"/>
    <x v="170"/>
    <x v="6"/>
    <x v="3966"/>
    <x v="1"/>
  </r>
  <r>
    <x v="250"/>
    <x v="38"/>
    <x v="71"/>
    <x v="0"/>
    <x v="76"/>
    <x v="9"/>
    <x v="1"/>
    <x v="4"/>
    <x v="221"/>
    <x v="5"/>
    <x v="3967"/>
    <x v="1"/>
  </r>
  <r>
    <x v="250"/>
    <x v="15"/>
    <x v="143"/>
    <x v="3"/>
    <x v="353"/>
    <x v="9"/>
    <x v="0"/>
    <x v="2"/>
    <x v="170"/>
    <x v="4"/>
    <x v="3968"/>
    <x v="1"/>
  </r>
  <r>
    <x v="250"/>
    <x v="32"/>
    <x v="1161"/>
    <x v="3"/>
    <x v="422"/>
    <x v="9"/>
    <x v="2"/>
    <x v="4"/>
    <x v="221"/>
    <x v="10"/>
    <x v="3969"/>
    <x v="1"/>
  </r>
  <r>
    <x v="250"/>
    <x v="32"/>
    <x v="517"/>
    <x v="6"/>
    <x v="422"/>
    <x v="9"/>
    <x v="2"/>
    <x v="4"/>
    <x v="221"/>
    <x v="10"/>
    <x v="3970"/>
    <x v="1"/>
  </r>
  <r>
    <x v="250"/>
    <x v="32"/>
    <x v="1474"/>
    <x v="7"/>
    <x v="422"/>
    <x v="9"/>
    <x v="2"/>
    <x v="4"/>
    <x v="221"/>
    <x v="10"/>
    <x v="3971"/>
    <x v="1"/>
  </r>
  <r>
    <x v="250"/>
    <x v="32"/>
    <x v="307"/>
    <x v="5"/>
    <x v="422"/>
    <x v="9"/>
    <x v="2"/>
    <x v="4"/>
    <x v="221"/>
    <x v="10"/>
    <x v="3972"/>
    <x v="1"/>
  </r>
  <r>
    <x v="250"/>
    <x v="24"/>
    <x v="988"/>
    <x v="1"/>
    <x v="250"/>
    <x v="9"/>
    <x v="0"/>
    <x v="1"/>
    <x v="170"/>
    <x v="6"/>
    <x v="3973"/>
    <x v="1"/>
  </r>
  <r>
    <x v="250"/>
    <x v="37"/>
    <x v="65"/>
    <x v="1"/>
    <x v="525"/>
    <x v="9"/>
    <x v="0"/>
    <x v="2"/>
    <x v="170"/>
    <x v="12"/>
    <x v="3974"/>
    <x v="1"/>
  </r>
  <r>
    <x v="251"/>
    <x v="8"/>
    <x v="816"/>
    <x v="0"/>
    <x v="238"/>
    <x v="10"/>
    <x v="1"/>
    <x v="3"/>
    <x v="221"/>
    <x v="5"/>
    <x v="3975"/>
    <x v="1"/>
  </r>
  <r>
    <x v="251"/>
    <x v="9"/>
    <x v="1377"/>
    <x v="0"/>
    <x v="231"/>
    <x v="10"/>
    <x v="0"/>
    <x v="4"/>
    <x v="221"/>
    <x v="5"/>
    <x v="3976"/>
    <x v="1"/>
  </r>
  <r>
    <x v="251"/>
    <x v="12"/>
    <x v="339"/>
    <x v="1"/>
    <x v="516"/>
    <x v="10"/>
    <x v="0"/>
    <x v="3"/>
    <x v="221"/>
    <x v="5"/>
    <x v="3977"/>
    <x v="1"/>
  </r>
  <r>
    <x v="251"/>
    <x v="20"/>
    <x v="28"/>
    <x v="3"/>
    <x v="380"/>
    <x v="10"/>
    <x v="0"/>
    <x v="1"/>
    <x v="221"/>
    <x v="5"/>
    <x v="3978"/>
    <x v="1"/>
  </r>
  <r>
    <x v="251"/>
    <x v="38"/>
    <x v="27"/>
    <x v="1"/>
    <x v="300"/>
    <x v="10"/>
    <x v="0"/>
    <x v="3"/>
    <x v="221"/>
    <x v="5"/>
    <x v="3979"/>
    <x v="1"/>
  </r>
  <r>
    <x v="251"/>
    <x v="12"/>
    <x v="33"/>
    <x v="1"/>
    <x v="295"/>
    <x v="10"/>
    <x v="0"/>
    <x v="4"/>
    <x v="221"/>
    <x v="5"/>
    <x v="3980"/>
    <x v="1"/>
  </r>
  <r>
    <x v="251"/>
    <x v="37"/>
    <x v="80"/>
    <x v="1"/>
    <x v="546"/>
    <x v="10"/>
    <x v="0"/>
    <x v="4"/>
    <x v="221"/>
    <x v="12"/>
    <x v="3981"/>
    <x v="1"/>
  </r>
  <r>
    <x v="251"/>
    <x v="24"/>
    <x v="578"/>
    <x v="1"/>
    <x v="250"/>
    <x v="10"/>
    <x v="0"/>
    <x v="4"/>
    <x v="221"/>
    <x v="6"/>
    <x v="3982"/>
    <x v="1"/>
  </r>
  <r>
    <x v="251"/>
    <x v="32"/>
    <x v="1340"/>
    <x v="3"/>
    <x v="422"/>
    <x v="10"/>
    <x v="2"/>
    <x v="4"/>
    <x v="221"/>
    <x v="10"/>
    <x v="3983"/>
    <x v="1"/>
  </r>
  <r>
    <x v="251"/>
    <x v="32"/>
    <x v="478"/>
    <x v="5"/>
    <x v="422"/>
    <x v="10"/>
    <x v="2"/>
    <x v="4"/>
    <x v="221"/>
    <x v="10"/>
    <x v="3984"/>
    <x v="1"/>
  </r>
  <r>
    <x v="251"/>
    <x v="32"/>
    <x v="49"/>
    <x v="6"/>
    <x v="422"/>
    <x v="10"/>
    <x v="2"/>
    <x v="4"/>
    <x v="221"/>
    <x v="10"/>
    <x v="3985"/>
    <x v="1"/>
  </r>
  <r>
    <x v="251"/>
    <x v="32"/>
    <x v="1840"/>
    <x v="7"/>
    <x v="422"/>
    <x v="10"/>
    <x v="2"/>
    <x v="4"/>
    <x v="221"/>
    <x v="10"/>
    <x v="3986"/>
    <x v="1"/>
  </r>
  <r>
    <x v="251"/>
    <x v="32"/>
    <x v="945"/>
    <x v="2"/>
    <x v="422"/>
    <x v="10"/>
    <x v="2"/>
    <x v="4"/>
    <x v="221"/>
    <x v="10"/>
    <x v="3987"/>
    <x v="1"/>
  </r>
  <r>
    <x v="251"/>
    <x v="1"/>
    <x v="45"/>
    <x v="3"/>
    <x v="432"/>
    <x v="10"/>
    <x v="0"/>
    <x v="2"/>
    <x v="171"/>
    <x v="4"/>
    <x v="3988"/>
    <x v="1"/>
  </r>
  <r>
    <x v="251"/>
    <x v="23"/>
    <x v="9"/>
    <x v="3"/>
    <x v="285"/>
    <x v="10"/>
    <x v="0"/>
    <x v="2"/>
    <x v="171"/>
    <x v="6"/>
    <x v="3989"/>
    <x v="1"/>
  </r>
  <r>
    <x v="251"/>
    <x v="38"/>
    <x v="247"/>
    <x v="0"/>
    <x v="76"/>
    <x v="10"/>
    <x v="1"/>
    <x v="4"/>
    <x v="221"/>
    <x v="5"/>
    <x v="3990"/>
    <x v="1"/>
  </r>
  <r>
    <x v="252"/>
    <x v="20"/>
    <x v="1329"/>
    <x v="0"/>
    <x v="61"/>
    <x v="10"/>
    <x v="1"/>
    <x v="4"/>
    <x v="221"/>
    <x v="5"/>
    <x v="3991"/>
    <x v="1"/>
  </r>
  <r>
    <x v="252"/>
    <x v="20"/>
    <x v="495"/>
    <x v="1"/>
    <x v="210"/>
    <x v="10"/>
    <x v="0"/>
    <x v="1"/>
    <x v="172"/>
    <x v="5"/>
    <x v="3992"/>
    <x v="1"/>
  </r>
  <r>
    <x v="251"/>
    <x v="12"/>
    <x v="117"/>
    <x v="0"/>
    <x v="48"/>
    <x v="10"/>
    <x v="1"/>
    <x v="4"/>
    <x v="221"/>
    <x v="5"/>
    <x v="3993"/>
    <x v="1"/>
  </r>
  <r>
    <x v="252"/>
    <x v="1"/>
    <x v="45"/>
    <x v="3"/>
    <x v="432"/>
    <x v="10"/>
    <x v="0"/>
    <x v="2"/>
    <x v="172"/>
    <x v="4"/>
    <x v="3994"/>
    <x v="1"/>
  </r>
  <r>
    <x v="252"/>
    <x v="31"/>
    <x v="1479"/>
    <x v="0"/>
    <x v="392"/>
    <x v="10"/>
    <x v="0"/>
    <x v="3"/>
    <x v="172"/>
    <x v="8"/>
    <x v="3995"/>
    <x v="1"/>
  </r>
  <r>
    <x v="252"/>
    <x v="9"/>
    <x v="1135"/>
    <x v="0"/>
    <x v="231"/>
    <x v="10"/>
    <x v="0"/>
    <x v="4"/>
    <x v="221"/>
    <x v="5"/>
    <x v="3996"/>
    <x v="1"/>
  </r>
  <r>
    <x v="252"/>
    <x v="9"/>
    <x v="277"/>
    <x v="1"/>
    <x v="91"/>
    <x v="10"/>
    <x v="0"/>
    <x v="1"/>
    <x v="172"/>
    <x v="5"/>
    <x v="3997"/>
    <x v="1"/>
  </r>
  <r>
    <x v="251"/>
    <x v="19"/>
    <x v="755"/>
    <x v="0"/>
    <x v="474"/>
    <x v="10"/>
    <x v="1"/>
    <x v="4"/>
    <x v="221"/>
    <x v="3"/>
    <x v="3998"/>
    <x v="1"/>
  </r>
  <r>
    <x v="252"/>
    <x v="12"/>
    <x v="692"/>
    <x v="0"/>
    <x v="48"/>
    <x v="10"/>
    <x v="1"/>
    <x v="4"/>
    <x v="221"/>
    <x v="5"/>
    <x v="3999"/>
    <x v="1"/>
  </r>
  <r>
    <x v="252"/>
    <x v="20"/>
    <x v="343"/>
    <x v="1"/>
    <x v="98"/>
    <x v="10"/>
    <x v="0"/>
    <x v="1"/>
    <x v="172"/>
    <x v="5"/>
    <x v="4000"/>
    <x v="1"/>
  </r>
  <r>
    <x v="252"/>
    <x v="20"/>
    <x v="461"/>
    <x v="3"/>
    <x v="272"/>
    <x v="10"/>
    <x v="0"/>
    <x v="2"/>
    <x v="172"/>
    <x v="5"/>
    <x v="4001"/>
    <x v="1"/>
  </r>
  <r>
    <x v="252"/>
    <x v="16"/>
    <x v="132"/>
    <x v="1"/>
    <x v="247"/>
    <x v="10"/>
    <x v="0"/>
    <x v="1"/>
    <x v="172"/>
    <x v="6"/>
    <x v="4002"/>
    <x v="1"/>
  </r>
  <r>
    <x v="252"/>
    <x v="24"/>
    <x v="36"/>
    <x v="1"/>
    <x v="459"/>
    <x v="10"/>
    <x v="0"/>
    <x v="1"/>
    <x v="172"/>
    <x v="6"/>
    <x v="4003"/>
    <x v="1"/>
  </r>
  <r>
    <x v="252"/>
    <x v="38"/>
    <x v="239"/>
    <x v="1"/>
    <x v="553"/>
    <x v="10"/>
    <x v="0"/>
    <x v="1"/>
    <x v="172"/>
    <x v="5"/>
    <x v="4004"/>
    <x v="1"/>
  </r>
  <r>
    <x v="252"/>
    <x v="25"/>
    <x v="138"/>
    <x v="1"/>
    <x v="210"/>
    <x v="10"/>
    <x v="0"/>
    <x v="1"/>
    <x v="172"/>
    <x v="12"/>
    <x v="4005"/>
    <x v="1"/>
  </r>
  <r>
    <x v="252"/>
    <x v="12"/>
    <x v="147"/>
    <x v="3"/>
    <x v="516"/>
    <x v="10"/>
    <x v="0"/>
    <x v="2"/>
    <x v="172"/>
    <x v="5"/>
    <x v="4006"/>
    <x v="1"/>
  </r>
  <r>
    <x v="252"/>
    <x v="15"/>
    <x v="143"/>
    <x v="3"/>
    <x v="353"/>
    <x v="10"/>
    <x v="0"/>
    <x v="2"/>
    <x v="172"/>
    <x v="4"/>
    <x v="4007"/>
    <x v="1"/>
  </r>
  <r>
    <x v="252"/>
    <x v="28"/>
    <x v="138"/>
    <x v="1"/>
    <x v="371"/>
    <x v="10"/>
    <x v="0"/>
    <x v="2"/>
    <x v="172"/>
    <x v="0"/>
    <x v="4008"/>
    <x v="1"/>
  </r>
  <r>
    <x v="252"/>
    <x v="32"/>
    <x v="1125"/>
    <x v="3"/>
    <x v="422"/>
    <x v="10"/>
    <x v="2"/>
    <x v="4"/>
    <x v="221"/>
    <x v="10"/>
    <x v="4009"/>
    <x v="1"/>
  </r>
  <r>
    <x v="252"/>
    <x v="32"/>
    <x v="986"/>
    <x v="2"/>
    <x v="422"/>
    <x v="10"/>
    <x v="2"/>
    <x v="4"/>
    <x v="221"/>
    <x v="10"/>
    <x v="4010"/>
    <x v="1"/>
  </r>
  <r>
    <x v="252"/>
    <x v="32"/>
    <x v="87"/>
    <x v="6"/>
    <x v="422"/>
    <x v="10"/>
    <x v="2"/>
    <x v="4"/>
    <x v="221"/>
    <x v="10"/>
    <x v="4011"/>
    <x v="1"/>
  </r>
  <r>
    <x v="252"/>
    <x v="32"/>
    <x v="1927"/>
    <x v="7"/>
    <x v="422"/>
    <x v="10"/>
    <x v="2"/>
    <x v="4"/>
    <x v="221"/>
    <x v="10"/>
    <x v="4012"/>
    <x v="1"/>
  </r>
  <r>
    <x v="252"/>
    <x v="32"/>
    <x v="825"/>
    <x v="5"/>
    <x v="422"/>
    <x v="10"/>
    <x v="2"/>
    <x v="4"/>
    <x v="221"/>
    <x v="10"/>
    <x v="4013"/>
    <x v="1"/>
  </r>
  <r>
    <x v="252"/>
    <x v="37"/>
    <x v="90"/>
    <x v="1"/>
    <x v="525"/>
    <x v="10"/>
    <x v="0"/>
    <x v="1"/>
    <x v="172"/>
    <x v="12"/>
    <x v="4014"/>
    <x v="1"/>
  </r>
  <r>
    <x v="252"/>
    <x v="23"/>
    <x v="5"/>
    <x v="3"/>
    <x v="285"/>
    <x v="10"/>
    <x v="0"/>
    <x v="1"/>
    <x v="172"/>
    <x v="6"/>
    <x v="4015"/>
    <x v="1"/>
  </r>
  <r>
    <x v="253"/>
    <x v="8"/>
    <x v="816"/>
    <x v="0"/>
    <x v="238"/>
    <x v="10"/>
    <x v="1"/>
    <x v="4"/>
    <x v="221"/>
    <x v="5"/>
    <x v="4016"/>
    <x v="1"/>
  </r>
  <r>
    <x v="253"/>
    <x v="1"/>
    <x v="65"/>
    <x v="3"/>
    <x v="432"/>
    <x v="10"/>
    <x v="0"/>
    <x v="2"/>
    <x v="173"/>
    <x v="4"/>
    <x v="4017"/>
    <x v="1"/>
  </r>
  <r>
    <x v="253"/>
    <x v="20"/>
    <x v="72"/>
    <x v="3"/>
    <x v="380"/>
    <x v="10"/>
    <x v="0"/>
    <x v="2"/>
    <x v="173"/>
    <x v="5"/>
    <x v="4018"/>
    <x v="1"/>
  </r>
  <r>
    <x v="253"/>
    <x v="12"/>
    <x v="725"/>
    <x v="0"/>
    <x v="48"/>
    <x v="10"/>
    <x v="1"/>
    <x v="4"/>
    <x v="221"/>
    <x v="5"/>
    <x v="4019"/>
    <x v="1"/>
  </r>
  <r>
    <x v="253"/>
    <x v="38"/>
    <x v="205"/>
    <x v="1"/>
    <x v="389"/>
    <x v="10"/>
    <x v="0"/>
    <x v="1"/>
    <x v="173"/>
    <x v="5"/>
    <x v="4020"/>
    <x v="1"/>
  </r>
  <r>
    <x v="253"/>
    <x v="26"/>
    <x v="90"/>
    <x v="3"/>
    <x v="338"/>
    <x v="10"/>
    <x v="0"/>
    <x v="2"/>
    <x v="173"/>
    <x v="5"/>
    <x v="4021"/>
    <x v="1"/>
  </r>
  <r>
    <x v="253"/>
    <x v="40"/>
    <x v="426"/>
    <x v="3"/>
    <x v="583"/>
    <x v="10"/>
    <x v="0"/>
    <x v="2"/>
    <x v="219"/>
    <x v="7"/>
    <x v="4022"/>
    <x v="1"/>
  </r>
  <r>
    <x v="253"/>
    <x v="36"/>
    <x v="1590"/>
    <x v="0"/>
    <x v="208"/>
    <x v="10"/>
    <x v="0"/>
    <x v="3"/>
    <x v="173"/>
    <x v="5"/>
    <x v="4023"/>
    <x v="1"/>
  </r>
  <r>
    <x v="253"/>
    <x v="27"/>
    <x v="909"/>
    <x v="0"/>
    <x v="360"/>
    <x v="10"/>
    <x v="0"/>
    <x v="3"/>
    <x v="173"/>
    <x v="5"/>
    <x v="4024"/>
    <x v="1"/>
  </r>
  <r>
    <x v="253"/>
    <x v="16"/>
    <x v="1044"/>
    <x v="0"/>
    <x v="247"/>
    <x v="10"/>
    <x v="0"/>
    <x v="3"/>
    <x v="173"/>
    <x v="6"/>
    <x v="4025"/>
    <x v="1"/>
  </r>
  <r>
    <x v="253"/>
    <x v="31"/>
    <x v="495"/>
    <x v="0"/>
    <x v="256"/>
    <x v="10"/>
    <x v="0"/>
    <x v="3"/>
    <x v="173"/>
    <x v="8"/>
    <x v="4026"/>
    <x v="1"/>
  </r>
  <r>
    <x v="253"/>
    <x v="38"/>
    <x v="358"/>
    <x v="0"/>
    <x v="76"/>
    <x v="10"/>
    <x v="1"/>
    <x v="4"/>
    <x v="221"/>
    <x v="5"/>
    <x v="4027"/>
    <x v="1"/>
  </r>
  <r>
    <x v="252"/>
    <x v="38"/>
    <x v="233"/>
    <x v="0"/>
    <x v="76"/>
    <x v="10"/>
    <x v="1"/>
    <x v="4"/>
    <x v="221"/>
    <x v="5"/>
    <x v="4028"/>
    <x v="1"/>
  </r>
  <r>
    <x v="253"/>
    <x v="18"/>
    <x v="719"/>
    <x v="0"/>
    <x v="215"/>
    <x v="10"/>
    <x v="0"/>
    <x v="3"/>
    <x v="173"/>
    <x v="3"/>
    <x v="4029"/>
    <x v="1"/>
  </r>
  <r>
    <x v="253"/>
    <x v="12"/>
    <x v="69"/>
    <x v="1"/>
    <x v="446"/>
    <x v="10"/>
    <x v="0"/>
    <x v="1"/>
    <x v="173"/>
    <x v="5"/>
    <x v="4030"/>
    <x v="1"/>
  </r>
  <r>
    <x v="253"/>
    <x v="28"/>
    <x v="134"/>
    <x v="1"/>
    <x v="560"/>
    <x v="10"/>
    <x v="0"/>
    <x v="1"/>
    <x v="173"/>
    <x v="0"/>
    <x v="4031"/>
    <x v="1"/>
  </r>
  <r>
    <x v="253"/>
    <x v="12"/>
    <x v="287"/>
    <x v="1"/>
    <x v="516"/>
    <x v="10"/>
    <x v="0"/>
    <x v="1"/>
    <x v="173"/>
    <x v="5"/>
    <x v="4032"/>
    <x v="1"/>
  </r>
  <r>
    <x v="253"/>
    <x v="19"/>
    <x v="755"/>
    <x v="0"/>
    <x v="474"/>
    <x v="10"/>
    <x v="1"/>
    <x v="4"/>
    <x v="221"/>
    <x v="3"/>
    <x v="4033"/>
    <x v="1"/>
  </r>
  <r>
    <x v="253"/>
    <x v="9"/>
    <x v="1282"/>
    <x v="0"/>
    <x v="231"/>
    <x v="10"/>
    <x v="0"/>
    <x v="4"/>
    <x v="221"/>
    <x v="5"/>
    <x v="4034"/>
    <x v="1"/>
  </r>
  <r>
    <x v="253"/>
    <x v="32"/>
    <x v="710"/>
    <x v="3"/>
    <x v="422"/>
    <x v="10"/>
    <x v="2"/>
    <x v="4"/>
    <x v="221"/>
    <x v="10"/>
    <x v="4035"/>
    <x v="1"/>
  </r>
  <r>
    <x v="253"/>
    <x v="32"/>
    <x v="112"/>
    <x v="2"/>
    <x v="422"/>
    <x v="10"/>
    <x v="2"/>
    <x v="4"/>
    <x v="221"/>
    <x v="10"/>
    <x v="4036"/>
    <x v="1"/>
  </r>
  <r>
    <x v="253"/>
    <x v="32"/>
    <x v="632"/>
    <x v="4"/>
    <x v="422"/>
    <x v="10"/>
    <x v="2"/>
    <x v="4"/>
    <x v="221"/>
    <x v="10"/>
    <x v="4037"/>
    <x v="1"/>
  </r>
  <r>
    <x v="253"/>
    <x v="32"/>
    <x v="1121"/>
    <x v="6"/>
    <x v="422"/>
    <x v="10"/>
    <x v="2"/>
    <x v="4"/>
    <x v="221"/>
    <x v="10"/>
    <x v="4038"/>
    <x v="1"/>
  </r>
  <r>
    <x v="253"/>
    <x v="32"/>
    <x v="1870"/>
    <x v="7"/>
    <x v="422"/>
    <x v="10"/>
    <x v="2"/>
    <x v="4"/>
    <x v="221"/>
    <x v="10"/>
    <x v="4039"/>
    <x v="1"/>
  </r>
  <r>
    <x v="253"/>
    <x v="32"/>
    <x v="337"/>
    <x v="8"/>
    <x v="422"/>
    <x v="10"/>
    <x v="2"/>
    <x v="4"/>
    <x v="221"/>
    <x v="10"/>
    <x v="4040"/>
    <x v="1"/>
  </r>
  <r>
    <x v="253"/>
    <x v="32"/>
    <x v="819"/>
    <x v="5"/>
    <x v="422"/>
    <x v="10"/>
    <x v="2"/>
    <x v="4"/>
    <x v="221"/>
    <x v="10"/>
    <x v="4041"/>
    <x v="1"/>
  </r>
  <r>
    <x v="253"/>
    <x v="37"/>
    <x v="134"/>
    <x v="1"/>
    <x v="525"/>
    <x v="10"/>
    <x v="0"/>
    <x v="1"/>
    <x v="173"/>
    <x v="12"/>
    <x v="4042"/>
    <x v="1"/>
  </r>
  <r>
    <x v="253"/>
    <x v="38"/>
    <x v="134"/>
    <x v="1"/>
    <x v="553"/>
    <x v="10"/>
    <x v="0"/>
    <x v="1"/>
    <x v="173"/>
    <x v="5"/>
    <x v="4043"/>
    <x v="1"/>
  </r>
  <r>
    <x v="253"/>
    <x v="23"/>
    <x v="19"/>
    <x v="3"/>
    <x v="285"/>
    <x v="10"/>
    <x v="0"/>
    <x v="2"/>
    <x v="173"/>
    <x v="6"/>
    <x v="4044"/>
    <x v="1"/>
  </r>
  <r>
    <x v="254"/>
    <x v="12"/>
    <x v="488"/>
    <x v="0"/>
    <x v="48"/>
    <x v="10"/>
    <x v="1"/>
    <x v="4"/>
    <x v="221"/>
    <x v="5"/>
    <x v="4045"/>
    <x v="1"/>
  </r>
  <r>
    <x v="254"/>
    <x v="9"/>
    <x v="1576"/>
    <x v="0"/>
    <x v="231"/>
    <x v="10"/>
    <x v="0"/>
    <x v="4"/>
    <x v="221"/>
    <x v="5"/>
    <x v="4046"/>
    <x v="1"/>
  </r>
  <r>
    <x v="254"/>
    <x v="24"/>
    <x v="518"/>
    <x v="0"/>
    <x v="393"/>
    <x v="10"/>
    <x v="0"/>
    <x v="0"/>
    <x v="174"/>
    <x v="6"/>
    <x v="4047"/>
    <x v="1"/>
  </r>
  <r>
    <x v="254"/>
    <x v="1"/>
    <x v="45"/>
    <x v="3"/>
    <x v="432"/>
    <x v="10"/>
    <x v="0"/>
    <x v="4"/>
    <x v="221"/>
    <x v="4"/>
    <x v="4048"/>
    <x v="1"/>
  </r>
  <r>
    <x v="254"/>
    <x v="23"/>
    <x v="12"/>
    <x v="3"/>
    <x v="285"/>
    <x v="10"/>
    <x v="0"/>
    <x v="2"/>
    <x v="174"/>
    <x v="6"/>
    <x v="4049"/>
    <x v="1"/>
  </r>
  <r>
    <x v="254"/>
    <x v="13"/>
    <x v="45"/>
    <x v="1"/>
    <x v="135"/>
    <x v="10"/>
    <x v="0"/>
    <x v="1"/>
    <x v="174"/>
    <x v="5"/>
    <x v="4050"/>
    <x v="1"/>
  </r>
  <r>
    <x v="254"/>
    <x v="24"/>
    <x v="224"/>
    <x v="3"/>
    <x v="584"/>
    <x v="10"/>
    <x v="0"/>
    <x v="1"/>
    <x v="174"/>
    <x v="6"/>
    <x v="4051"/>
    <x v="1"/>
  </r>
  <r>
    <x v="254"/>
    <x v="25"/>
    <x v="191"/>
    <x v="3"/>
    <x v="321"/>
    <x v="10"/>
    <x v="0"/>
    <x v="2"/>
    <x v="174"/>
    <x v="12"/>
    <x v="4052"/>
    <x v="1"/>
  </r>
  <r>
    <x v="254"/>
    <x v="38"/>
    <x v="257"/>
    <x v="0"/>
    <x v="76"/>
    <x v="10"/>
    <x v="1"/>
    <x v="4"/>
    <x v="221"/>
    <x v="5"/>
    <x v="4053"/>
    <x v="1"/>
  </r>
  <r>
    <x v="254"/>
    <x v="20"/>
    <x v="1080"/>
    <x v="0"/>
    <x v="61"/>
    <x v="10"/>
    <x v="1"/>
    <x v="4"/>
    <x v="221"/>
    <x v="5"/>
    <x v="4054"/>
    <x v="1"/>
  </r>
  <r>
    <x v="254"/>
    <x v="32"/>
    <x v="822"/>
    <x v="3"/>
    <x v="422"/>
    <x v="10"/>
    <x v="2"/>
    <x v="4"/>
    <x v="221"/>
    <x v="10"/>
    <x v="4055"/>
    <x v="1"/>
  </r>
  <r>
    <x v="254"/>
    <x v="32"/>
    <x v="1151"/>
    <x v="2"/>
    <x v="422"/>
    <x v="10"/>
    <x v="2"/>
    <x v="4"/>
    <x v="221"/>
    <x v="10"/>
    <x v="4056"/>
    <x v="1"/>
  </r>
  <r>
    <x v="254"/>
    <x v="32"/>
    <x v="776"/>
    <x v="4"/>
    <x v="422"/>
    <x v="10"/>
    <x v="2"/>
    <x v="4"/>
    <x v="221"/>
    <x v="10"/>
    <x v="4057"/>
    <x v="1"/>
  </r>
  <r>
    <x v="254"/>
    <x v="32"/>
    <x v="1891"/>
    <x v="7"/>
    <x v="422"/>
    <x v="10"/>
    <x v="2"/>
    <x v="4"/>
    <x v="221"/>
    <x v="10"/>
    <x v="4058"/>
    <x v="1"/>
  </r>
  <r>
    <x v="254"/>
    <x v="32"/>
    <x v="1513"/>
    <x v="5"/>
    <x v="422"/>
    <x v="10"/>
    <x v="2"/>
    <x v="4"/>
    <x v="221"/>
    <x v="10"/>
    <x v="4059"/>
    <x v="1"/>
  </r>
  <r>
    <x v="254"/>
    <x v="37"/>
    <x v="65"/>
    <x v="3"/>
    <x v="525"/>
    <x v="10"/>
    <x v="0"/>
    <x v="2"/>
    <x v="175"/>
    <x v="12"/>
    <x v="4060"/>
    <x v="1"/>
  </r>
  <r>
    <x v="255"/>
    <x v="20"/>
    <x v="1978"/>
    <x v="0"/>
    <x v="61"/>
    <x v="10"/>
    <x v="1"/>
    <x v="4"/>
    <x v="221"/>
    <x v="5"/>
    <x v="4061"/>
    <x v="1"/>
  </r>
  <r>
    <x v="255"/>
    <x v="1"/>
    <x v="55"/>
    <x v="3"/>
    <x v="432"/>
    <x v="10"/>
    <x v="0"/>
    <x v="2"/>
    <x v="175"/>
    <x v="4"/>
    <x v="4062"/>
    <x v="1"/>
  </r>
  <r>
    <x v="255"/>
    <x v="3"/>
    <x v="495"/>
    <x v="0"/>
    <x v="579"/>
    <x v="10"/>
    <x v="0"/>
    <x v="3"/>
    <x v="175"/>
    <x v="4"/>
    <x v="4063"/>
    <x v="1"/>
  </r>
  <r>
    <x v="255"/>
    <x v="20"/>
    <x v="28"/>
    <x v="3"/>
    <x v="380"/>
    <x v="10"/>
    <x v="0"/>
    <x v="2"/>
    <x v="175"/>
    <x v="5"/>
    <x v="4064"/>
    <x v="1"/>
  </r>
  <r>
    <x v="255"/>
    <x v="9"/>
    <x v="1385"/>
    <x v="0"/>
    <x v="231"/>
    <x v="10"/>
    <x v="0"/>
    <x v="4"/>
    <x v="221"/>
    <x v="5"/>
    <x v="4065"/>
    <x v="1"/>
  </r>
  <r>
    <x v="255"/>
    <x v="12"/>
    <x v="663"/>
    <x v="0"/>
    <x v="48"/>
    <x v="10"/>
    <x v="1"/>
    <x v="4"/>
    <x v="221"/>
    <x v="5"/>
    <x v="4066"/>
    <x v="1"/>
  </r>
  <r>
    <x v="255"/>
    <x v="24"/>
    <x v="87"/>
    <x v="1"/>
    <x v="336"/>
    <x v="10"/>
    <x v="0"/>
    <x v="1"/>
    <x v="175"/>
    <x v="6"/>
    <x v="4067"/>
    <x v="1"/>
  </r>
  <r>
    <x v="255"/>
    <x v="27"/>
    <x v="964"/>
    <x v="0"/>
    <x v="5"/>
    <x v="10"/>
    <x v="0"/>
    <x v="3"/>
    <x v="175"/>
    <x v="5"/>
    <x v="4068"/>
    <x v="1"/>
  </r>
  <r>
    <x v="255"/>
    <x v="38"/>
    <x v="378"/>
    <x v="0"/>
    <x v="76"/>
    <x v="10"/>
    <x v="1"/>
    <x v="4"/>
    <x v="221"/>
    <x v="5"/>
    <x v="4069"/>
    <x v="1"/>
  </r>
  <r>
    <x v="255"/>
    <x v="19"/>
    <x v="755"/>
    <x v="0"/>
    <x v="474"/>
    <x v="10"/>
    <x v="1"/>
    <x v="4"/>
    <x v="221"/>
    <x v="3"/>
    <x v="4070"/>
    <x v="1"/>
  </r>
  <r>
    <x v="255"/>
    <x v="12"/>
    <x v="90"/>
    <x v="3"/>
    <x v="210"/>
    <x v="10"/>
    <x v="0"/>
    <x v="2"/>
    <x v="175"/>
    <x v="5"/>
    <x v="4071"/>
    <x v="1"/>
  </r>
  <r>
    <x v="255"/>
    <x v="0"/>
    <x v="256"/>
    <x v="3"/>
    <x v="254"/>
    <x v="10"/>
    <x v="0"/>
    <x v="2"/>
    <x v="175"/>
    <x v="9"/>
    <x v="4072"/>
    <x v="1"/>
  </r>
  <r>
    <x v="255"/>
    <x v="0"/>
    <x v="256"/>
    <x v="3"/>
    <x v="450"/>
    <x v="10"/>
    <x v="0"/>
    <x v="2"/>
    <x v="175"/>
    <x v="9"/>
    <x v="4073"/>
    <x v="1"/>
  </r>
  <r>
    <x v="255"/>
    <x v="0"/>
    <x v="931"/>
    <x v="0"/>
    <x v="358"/>
    <x v="10"/>
    <x v="0"/>
    <x v="3"/>
    <x v="175"/>
    <x v="9"/>
    <x v="4074"/>
    <x v="1"/>
  </r>
  <r>
    <x v="255"/>
    <x v="15"/>
    <x v="244"/>
    <x v="3"/>
    <x v="353"/>
    <x v="10"/>
    <x v="0"/>
    <x v="2"/>
    <x v="175"/>
    <x v="4"/>
    <x v="4075"/>
    <x v="1"/>
  </r>
  <r>
    <x v="255"/>
    <x v="32"/>
    <x v="1549"/>
    <x v="3"/>
    <x v="422"/>
    <x v="10"/>
    <x v="2"/>
    <x v="4"/>
    <x v="221"/>
    <x v="10"/>
    <x v="4076"/>
    <x v="1"/>
  </r>
  <r>
    <x v="255"/>
    <x v="32"/>
    <x v="1070"/>
    <x v="6"/>
    <x v="422"/>
    <x v="10"/>
    <x v="2"/>
    <x v="4"/>
    <x v="221"/>
    <x v="10"/>
    <x v="4077"/>
    <x v="1"/>
  </r>
  <r>
    <x v="255"/>
    <x v="32"/>
    <x v="1979"/>
    <x v="7"/>
    <x v="422"/>
    <x v="10"/>
    <x v="2"/>
    <x v="4"/>
    <x v="221"/>
    <x v="10"/>
    <x v="4078"/>
    <x v="1"/>
  </r>
  <r>
    <x v="255"/>
    <x v="32"/>
    <x v="914"/>
    <x v="5"/>
    <x v="422"/>
    <x v="10"/>
    <x v="2"/>
    <x v="4"/>
    <x v="221"/>
    <x v="10"/>
    <x v="4079"/>
    <x v="1"/>
  </r>
  <r>
    <x v="255"/>
    <x v="24"/>
    <x v="74"/>
    <x v="1"/>
    <x v="247"/>
    <x v="10"/>
    <x v="0"/>
    <x v="2"/>
    <x v="175"/>
    <x v="6"/>
    <x v="4080"/>
    <x v="1"/>
  </r>
  <r>
    <x v="255"/>
    <x v="37"/>
    <x v="72"/>
    <x v="1"/>
    <x v="525"/>
    <x v="10"/>
    <x v="0"/>
    <x v="2"/>
    <x v="175"/>
    <x v="12"/>
    <x v="4081"/>
    <x v="1"/>
  </r>
  <r>
    <x v="255"/>
    <x v="32"/>
    <x v="180"/>
    <x v="2"/>
    <x v="422"/>
    <x v="10"/>
    <x v="2"/>
    <x v="4"/>
    <x v="221"/>
    <x v="10"/>
    <x v="4082"/>
    <x v="1"/>
  </r>
  <r>
    <x v="256"/>
    <x v="8"/>
    <x v="475"/>
    <x v="0"/>
    <x v="238"/>
    <x v="10"/>
    <x v="1"/>
    <x v="4"/>
    <x v="221"/>
    <x v="5"/>
    <x v="4083"/>
    <x v="1"/>
  </r>
  <r>
    <x v="256"/>
    <x v="9"/>
    <x v="1409"/>
    <x v="0"/>
    <x v="231"/>
    <x v="10"/>
    <x v="0"/>
    <x v="4"/>
    <x v="221"/>
    <x v="5"/>
    <x v="4084"/>
    <x v="1"/>
  </r>
  <r>
    <x v="256"/>
    <x v="12"/>
    <x v="599"/>
    <x v="0"/>
    <x v="48"/>
    <x v="10"/>
    <x v="1"/>
    <x v="4"/>
    <x v="221"/>
    <x v="5"/>
    <x v="4085"/>
    <x v="1"/>
  </r>
  <r>
    <x v="256"/>
    <x v="1"/>
    <x v="145"/>
    <x v="3"/>
    <x v="432"/>
    <x v="10"/>
    <x v="0"/>
    <x v="2"/>
    <x v="176"/>
    <x v="4"/>
    <x v="4086"/>
    <x v="1"/>
  </r>
  <r>
    <x v="256"/>
    <x v="20"/>
    <x v="28"/>
    <x v="3"/>
    <x v="380"/>
    <x v="10"/>
    <x v="0"/>
    <x v="2"/>
    <x v="176"/>
    <x v="5"/>
    <x v="4087"/>
    <x v="1"/>
  </r>
  <r>
    <x v="256"/>
    <x v="24"/>
    <x v="527"/>
    <x v="1"/>
    <x v="247"/>
    <x v="10"/>
    <x v="0"/>
    <x v="1"/>
    <x v="176"/>
    <x v="6"/>
    <x v="4088"/>
    <x v="1"/>
  </r>
  <r>
    <x v="256"/>
    <x v="3"/>
    <x v="495"/>
    <x v="1"/>
    <x v="579"/>
    <x v="10"/>
    <x v="0"/>
    <x v="2"/>
    <x v="176"/>
    <x v="4"/>
    <x v="4089"/>
    <x v="1"/>
  </r>
  <r>
    <x v="256"/>
    <x v="13"/>
    <x v="253"/>
    <x v="0"/>
    <x v="558"/>
    <x v="10"/>
    <x v="0"/>
    <x v="2"/>
    <x v="176"/>
    <x v="5"/>
    <x v="4090"/>
    <x v="1"/>
  </r>
  <r>
    <x v="256"/>
    <x v="12"/>
    <x v="158"/>
    <x v="1"/>
    <x v="406"/>
    <x v="10"/>
    <x v="0"/>
    <x v="1"/>
    <x v="176"/>
    <x v="5"/>
    <x v="4091"/>
    <x v="1"/>
  </r>
  <r>
    <x v="256"/>
    <x v="0"/>
    <x v="1570"/>
    <x v="0"/>
    <x v="299"/>
    <x v="10"/>
    <x v="0"/>
    <x v="0"/>
    <x v="176"/>
    <x v="9"/>
    <x v="4092"/>
    <x v="1"/>
  </r>
  <r>
    <x v="256"/>
    <x v="0"/>
    <x v="618"/>
    <x v="1"/>
    <x v="14"/>
    <x v="10"/>
    <x v="0"/>
    <x v="1"/>
    <x v="176"/>
    <x v="9"/>
    <x v="4093"/>
    <x v="1"/>
  </r>
  <r>
    <x v="256"/>
    <x v="0"/>
    <x v="518"/>
    <x v="0"/>
    <x v="477"/>
    <x v="10"/>
    <x v="0"/>
    <x v="3"/>
    <x v="176"/>
    <x v="9"/>
    <x v="4094"/>
    <x v="1"/>
  </r>
  <r>
    <x v="256"/>
    <x v="38"/>
    <x v="379"/>
    <x v="0"/>
    <x v="76"/>
    <x v="10"/>
    <x v="1"/>
    <x v="4"/>
    <x v="221"/>
    <x v="5"/>
    <x v="4095"/>
    <x v="1"/>
  </r>
  <r>
    <x v="256"/>
    <x v="19"/>
    <x v="755"/>
    <x v="0"/>
    <x v="474"/>
    <x v="10"/>
    <x v="1"/>
    <x v="4"/>
    <x v="221"/>
    <x v="3"/>
    <x v="4096"/>
    <x v="1"/>
  </r>
  <r>
    <x v="256"/>
    <x v="32"/>
    <x v="629"/>
    <x v="3"/>
    <x v="422"/>
    <x v="10"/>
    <x v="2"/>
    <x v="4"/>
    <x v="221"/>
    <x v="10"/>
    <x v="4097"/>
    <x v="1"/>
  </r>
  <r>
    <x v="256"/>
    <x v="32"/>
    <x v="172"/>
    <x v="6"/>
    <x v="422"/>
    <x v="10"/>
    <x v="2"/>
    <x v="4"/>
    <x v="221"/>
    <x v="10"/>
    <x v="4098"/>
    <x v="1"/>
  </r>
  <r>
    <x v="256"/>
    <x v="32"/>
    <x v="1785"/>
    <x v="7"/>
    <x v="422"/>
    <x v="10"/>
    <x v="2"/>
    <x v="4"/>
    <x v="221"/>
    <x v="10"/>
    <x v="4099"/>
    <x v="1"/>
  </r>
  <r>
    <x v="256"/>
    <x v="32"/>
    <x v="380"/>
    <x v="8"/>
    <x v="422"/>
    <x v="10"/>
    <x v="2"/>
    <x v="4"/>
    <x v="221"/>
    <x v="10"/>
    <x v="4100"/>
    <x v="1"/>
  </r>
  <r>
    <x v="256"/>
    <x v="32"/>
    <x v="959"/>
    <x v="5"/>
    <x v="422"/>
    <x v="10"/>
    <x v="2"/>
    <x v="4"/>
    <x v="221"/>
    <x v="10"/>
    <x v="4101"/>
    <x v="1"/>
  </r>
  <r>
    <x v="256"/>
    <x v="37"/>
    <x v="74"/>
    <x v="1"/>
    <x v="525"/>
    <x v="10"/>
    <x v="0"/>
    <x v="1"/>
    <x v="176"/>
    <x v="12"/>
    <x v="4102"/>
    <x v="1"/>
  </r>
  <r>
    <x v="256"/>
    <x v="32"/>
    <x v="363"/>
    <x v="4"/>
    <x v="422"/>
    <x v="10"/>
    <x v="2"/>
    <x v="4"/>
    <x v="221"/>
    <x v="10"/>
    <x v="4103"/>
    <x v="1"/>
  </r>
  <r>
    <x v="257"/>
    <x v="9"/>
    <x v="1114"/>
    <x v="0"/>
    <x v="231"/>
    <x v="10"/>
    <x v="0"/>
    <x v="4"/>
    <x v="221"/>
    <x v="5"/>
    <x v="4104"/>
    <x v="1"/>
  </r>
  <r>
    <x v="257"/>
    <x v="20"/>
    <x v="28"/>
    <x v="3"/>
    <x v="380"/>
    <x v="10"/>
    <x v="0"/>
    <x v="2"/>
    <x v="177"/>
    <x v="5"/>
    <x v="4105"/>
    <x v="1"/>
  </r>
  <r>
    <x v="257"/>
    <x v="21"/>
    <x v="1445"/>
    <x v="0"/>
    <x v="198"/>
    <x v="10"/>
    <x v="0"/>
    <x v="0"/>
    <x v="177"/>
    <x v="3"/>
    <x v="4106"/>
    <x v="1"/>
  </r>
  <r>
    <x v="257"/>
    <x v="12"/>
    <x v="198"/>
    <x v="0"/>
    <x v="48"/>
    <x v="10"/>
    <x v="1"/>
    <x v="4"/>
    <x v="221"/>
    <x v="5"/>
    <x v="4107"/>
    <x v="1"/>
  </r>
  <r>
    <x v="257"/>
    <x v="24"/>
    <x v="518"/>
    <x v="1"/>
    <x v="569"/>
    <x v="10"/>
    <x v="0"/>
    <x v="1"/>
    <x v="177"/>
    <x v="6"/>
    <x v="4108"/>
    <x v="1"/>
  </r>
  <r>
    <x v="257"/>
    <x v="28"/>
    <x v="138"/>
    <x v="3"/>
    <x v="371"/>
    <x v="10"/>
    <x v="0"/>
    <x v="2"/>
    <x v="177"/>
    <x v="0"/>
    <x v="4109"/>
    <x v="1"/>
  </r>
  <r>
    <x v="257"/>
    <x v="19"/>
    <x v="755"/>
    <x v="0"/>
    <x v="474"/>
    <x v="10"/>
    <x v="1"/>
    <x v="4"/>
    <x v="221"/>
    <x v="3"/>
    <x v="4110"/>
    <x v="1"/>
  </r>
  <r>
    <x v="257"/>
    <x v="38"/>
    <x v="87"/>
    <x v="3"/>
    <x v="553"/>
    <x v="10"/>
    <x v="0"/>
    <x v="2"/>
    <x v="177"/>
    <x v="5"/>
    <x v="4111"/>
    <x v="1"/>
  </r>
  <r>
    <x v="257"/>
    <x v="0"/>
    <x v="719"/>
    <x v="3"/>
    <x v="26"/>
    <x v="10"/>
    <x v="0"/>
    <x v="2"/>
    <x v="177"/>
    <x v="9"/>
    <x v="4112"/>
    <x v="1"/>
  </r>
  <r>
    <x v="257"/>
    <x v="14"/>
    <x v="27"/>
    <x v="3"/>
    <x v="182"/>
    <x v="10"/>
    <x v="0"/>
    <x v="2"/>
    <x v="177"/>
    <x v="6"/>
    <x v="4113"/>
    <x v="1"/>
  </r>
  <r>
    <x v="257"/>
    <x v="32"/>
    <x v="1269"/>
    <x v="3"/>
    <x v="422"/>
    <x v="10"/>
    <x v="2"/>
    <x v="4"/>
    <x v="221"/>
    <x v="10"/>
    <x v="4114"/>
    <x v="1"/>
  </r>
  <r>
    <x v="257"/>
    <x v="32"/>
    <x v="100"/>
    <x v="2"/>
    <x v="422"/>
    <x v="10"/>
    <x v="2"/>
    <x v="4"/>
    <x v="221"/>
    <x v="10"/>
    <x v="4115"/>
    <x v="1"/>
  </r>
  <r>
    <x v="257"/>
    <x v="32"/>
    <x v="143"/>
    <x v="4"/>
    <x v="422"/>
    <x v="10"/>
    <x v="2"/>
    <x v="4"/>
    <x v="221"/>
    <x v="10"/>
    <x v="4116"/>
    <x v="1"/>
  </r>
  <r>
    <x v="257"/>
    <x v="32"/>
    <x v="112"/>
    <x v="6"/>
    <x v="422"/>
    <x v="10"/>
    <x v="2"/>
    <x v="4"/>
    <x v="221"/>
    <x v="10"/>
    <x v="4117"/>
    <x v="1"/>
  </r>
  <r>
    <x v="257"/>
    <x v="32"/>
    <x v="1861"/>
    <x v="7"/>
    <x v="422"/>
    <x v="10"/>
    <x v="2"/>
    <x v="4"/>
    <x v="221"/>
    <x v="10"/>
    <x v="4118"/>
    <x v="1"/>
  </r>
  <r>
    <x v="257"/>
    <x v="32"/>
    <x v="908"/>
    <x v="5"/>
    <x v="422"/>
    <x v="10"/>
    <x v="2"/>
    <x v="4"/>
    <x v="221"/>
    <x v="10"/>
    <x v="4119"/>
    <x v="1"/>
  </r>
  <r>
    <x v="257"/>
    <x v="20"/>
    <x v="205"/>
    <x v="3"/>
    <x v="417"/>
    <x v="10"/>
    <x v="0"/>
    <x v="1"/>
    <x v="177"/>
    <x v="5"/>
    <x v="4120"/>
    <x v="1"/>
  </r>
  <r>
    <x v="257"/>
    <x v="37"/>
    <x v="50"/>
    <x v="3"/>
    <x v="525"/>
    <x v="10"/>
    <x v="0"/>
    <x v="1"/>
    <x v="177"/>
    <x v="12"/>
    <x v="4121"/>
    <x v="1"/>
  </r>
  <r>
    <x v="258"/>
    <x v="12"/>
    <x v="560"/>
    <x v="0"/>
    <x v="48"/>
    <x v="10"/>
    <x v="1"/>
    <x v="4"/>
    <x v="221"/>
    <x v="5"/>
    <x v="4122"/>
    <x v="1"/>
  </r>
  <r>
    <x v="258"/>
    <x v="9"/>
    <x v="1524"/>
    <x v="0"/>
    <x v="231"/>
    <x v="10"/>
    <x v="0"/>
    <x v="4"/>
    <x v="221"/>
    <x v="5"/>
    <x v="4123"/>
    <x v="1"/>
  </r>
  <r>
    <x v="258"/>
    <x v="1"/>
    <x v="134"/>
    <x v="3"/>
    <x v="432"/>
    <x v="10"/>
    <x v="0"/>
    <x v="2"/>
    <x v="178"/>
    <x v="4"/>
    <x v="4124"/>
    <x v="1"/>
  </r>
  <r>
    <x v="258"/>
    <x v="20"/>
    <x v="49"/>
    <x v="3"/>
    <x v="380"/>
    <x v="10"/>
    <x v="0"/>
    <x v="2"/>
    <x v="178"/>
    <x v="5"/>
    <x v="4125"/>
    <x v="1"/>
  </r>
  <r>
    <x v="258"/>
    <x v="27"/>
    <x v="964"/>
    <x v="0"/>
    <x v="5"/>
    <x v="10"/>
    <x v="0"/>
    <x v="0"/>
    <x v="178"/>
    <x v="5"/>
    <x v="4126"/>
    <x v="1"/>
  </r>
  <r>
    <x v="258"/>
    <x v="20"/>
    <x v="343"/>
    <x v="0"/>
    <x v="98"/>
    <x v="10"/>
    <x v="0"/>
    <x v="0"/>
    <x v="178"/>
    <x v="5"/>
    <x v="4127"/>
    <x v="1"/>
  </r>
  <r>
    <x v="258"/>
    <x v="20"/>
    <x v="49"/>
    <x v="1"/>
    <x v="503"/>
    <x v="10"/>
    <x v="0"/>
    <x v="1"/>
    <x v="178"/>
    <x v="5"/>
    <x v="4128"/>
    <x v="1"/>
  </r>
  <r>
    <x v="258"/>
    <x v="24"/>
    <x v="264"/>
    <x v="1"/>
    <x v="247"/>
    <x v="10"/>
    <x v="0"/>
    <x v="1"/>
    <x v="178"/>
    <x v="6"/>
    <x v="4129"/>
    <x v="1"/>
  </r>
  <r>
    <x v="258"/>
    <x v="0"/>
    <x v="518"/>
    <x v="0"/>
    <x v="482"/>
    <x v="10"/>
    <x v="0"/>
    <x v="0"/>
    <x v="178"/>
    <x v="9"/>
    <x v="4130"/>
    <x v="1"/>
  </r>
  <r>
    <x v="258"/>
    <x v="3"/>
    <x v="607"/>
    <x v="3"/>
    <x v="153"/>
    <x v="10"/>
    <x v="0"/>
    <x v="2"/>
    <x v="178"/>
    <x v="4"/>
    <x v="4131"/>
    <x v="1"/>
  </r>
  <r>
    <x v="257"/>
    <x v="38"/>
    <x v="244"/>
    <x v="0"/>
    <x v="76"/>
    <x v="10"/>
    <x v="1"/>
    <x v="4"/>
    <x v="221"/>
    <x v="5"/>
    <x v="4132"/>
    <x v="1"/>
  </r>
  <r>
    <x v="258"/>
    <x v="38"/>
    <x v="445"/>
    <x v="0"/>
    <x v="76"/>
    <x v="10"/>
    <x v="1"/>
    <x v="4"/>
    <x v="221"/>
    <x v="5"/>
    <x v="4133"/>
    <x v="1"/>
  </r>
  <r>
    <x v="258"/>
    <x v="19"/>
    <x v="755"/>
    <x v="0"/>
    <x v="474"/>
    <x v="10"/>
    <x v="1"/>
    <x v="4"/>
    <x v="221"/>
    <x v="3"/>
    <x v="4134"/>
    <x v="1"/>
  </r>
  <r>
    <x v="258"/>
    <x v="32"/>
    <x v="1256"/>
    <x v="3"/>
    <x v="422"/>
    <x v="10"/>
    <x v="2"/>
    <x v="4"/>
    <x v="221"/>
    <x v="10"/>
    <x v="4135"/>
    <x v="1"/>
  </r>
  <r>
    <x v="258"/>
    <x v="32"/>
    <x v="577"/>
    <x v="2"/>
    <x v="422"/>
    <x v="10"/>
    <x v="2"/>
    <x v="4"/>
    <x v="221"/>
    <x v="10"/>
    <x v="4136"/>
    <x v="1"/>
  </r>
  <r>
    <x v="258"/>
    <x v="32"/>
    <x v="26"/>
    <x v="6"/>
    <x v="422"/>
    <x v="10"/>
    <x v="2"/>
    <x v="4"/>
    <x v="221"/>
    <x v="10"/>
    <x v="4137"/>
    <x v="1"/>
  </r>
  <r>
    <x v="258"/>
    <x v="32"/>
    <x v="1941"/>
    <x v="7"/>
    <x v="422"/>
    <x v="10"/>
    <x v="2"/>
    <x v="4"/>
    <x v="221"/>
    <x v="10"/>
    <x v="4138"/>
    <x v="1"/>
  </r>
  <r>
    <x v="258"/>
    <x v="32"/>
    <x v="571"/>
    <x v="5"/>
    <x v="422"/>
    <x v="10"/>
    <x v="2"/>
    <x v="4"/>
    <x v="221"/>
    <x v="10"/>
    <x v="4139"/>
    <x v="1"/>
  </r>
  <r>
    <x v="258"/>
    <x v="32"/>
    <x v="112"/>
    <x v="4"/>
    <x v="422"/>
    <x v="10"/>
    <x v="2"/>
    <x v="4"/>
    <x v="221"/>
    <x v="10"/>
    <x v="4140"/>
    <x v="1"/>
  </r>
  <r>
    <x v="258"/>
    <x v="37"/>
    <x v="83"/>
    <x v="1"/>
    <x v="525"/>
    <x v="10"/>
    <x v="0"/>
    <x v="1"/>
    <x v="178"/>
    <x v="12"/>
    <x v="4141"/>
    <x v="1"/>
  </r>
  <r>
    <x v="258"/>
    <x v="38"/>
    <x v="19"/>
    <x v="3"/>
    <x v="37"/>
    <x v="10"/>
    <x v="0"/>
    <x v="2"/>
    <x v="178"/>
    <x v="5"/>
    <x v="4142"/>
    <x v="1"/>
  </r>
  <r>
    <x v="259"/>
    <x v="9"/>
    <x v="1395"/>
    <x v="0"/>
    <x v="231"/>
    <x v="10"/>
    <x v="0"/>
    <x v="4"/>
    <x v="221"/>
    <x v="5"/>
    <x v="4143"/>
    <x v="1"/>
  </r>
  <r>
    <x v="259"/>
    <x v="12"/>
    <x v="527"/>
    <x v="0"/>
    <x v="48"/>
    <x v="10"/>
    <x v="1"/>
    <x v="4"/>
    <x v="221"/>
    <x v="5"/>
    <x v="4144"/>
    <x v="1"/>
  </r>
  <r>
    <x v="259"/>
    <x v="1"/>
    <x v="112"/>
    <x v="3"/>
    <x v="432"/>
    <x v="10"/>
    <x v="0"/>
    <x v="2"/>
    <x v="179"/>
    <x v="4"/>
    <x v="4145"/>
    <x v="1"/>
  </r>
  <r>
    <x v="259"/>
    <x v="38"/>
    <x v="629"/>
    <x v="1"/>
    <x v="77"/>
    <x v="10"/>
    <x v="0"/>
    <x v="1"/>
    <x v="179"/>
    <x v="5"/>
    <x v="4146"/>
    <x v="1"/>
  </r>
  <r>
    <x v="259"/>
    <x v="36"/>
    <x v="45"/>
    <x v="1"/>
    <x v="376"/>
    <x v="10"/>
    <x v="0"/>
    <x v="1"/>
    <x v="179"/>
    <x v="5"/>
    <x v="4147"/>
    <x v="1"/>
  </r>
  <r>
    <x v="259"/>
    <x v="24"/>
    <x v="357"/>
    <x v="0"/>
    <x v="247"/>
    <x v="10"/>
    <x v="0"/>
    <x v="0"/>
    <x v="179"/>
    <x v="6"/>
    <x v="4148"/>
    <x v="1"/>
  </r>
  <r>
    <x v="259"/>
    <x v="38"/>
    <x v="184"/>
    <x v="0"/>
    <x v="76"/>
    <x v="10"/>
    <x v="1"/>
    <x v="4"/>
    <x v="221"/>
    <x v="5"/>
    <x v="4149"/>
    <x v="1"/>
  </r>
  <r>
    <x v="259"/>
    <x v="15"/>
    <x v="198"/>
    <x v="3"/>
    <x v="353"/>
    <x v="10"/>
    <x v="0"/>
    <x v="2"/>
    <x v="179"/>
    <x v="4"/>
    <x v="4150"/>
    <x v="1"/>
  </r>
  <r>
    <x v="259"/>
    <x v="21"/>
    <x v="809"/>
    <x v="0"/>
    <x v="442"/>
    <x v="10"/>
    <x v="0"/>
    <x v="0"/>
    <x v="179"/>
    <x v="3"/>
    <x v="4151"/>
    <x v="1"/>
  </r>
  <r>
    <x v="259"/>
    <x v="0"/>
    <x v="1483"/>
    <x v="0"/>
    <x v="371"/>
    <x v="10"/>
    <x v="0"/>
    <x v="0"/>
    <x v="179"/>
    <x v="9"/>
    <x v="4152"/>
    <x v="1"/>
  </r>
  <r>
    <x v="259"/>
    <x v="32"/>
    <x v="1103"/>
    <x v="3"/>
    <x v="422"/>
    <x v="10"/>
    <x v="2"/>
    <x v="4"/>
    <x v="221"/>
    <x v="10"/>
    <x v="4153"/>
    <x v="1"/>
  </r>
  <r>
    <x v="259"/>
    <x v="32"/>
    <x v="90"/>
    <x v="2"/>
    <x v="422"/>
    <x v="10"/>
    <x v="2"/>
    <x v="4"/>
    <x v="221"/>
    <x v="10"/>
    <x v="4154"/>
    <x v="1"/>
  </r>
  <r>
    <x v="259"/>
    <x v="32"/>
    <x v="790"/>
    <x v="6"/>
    <x v="422"/>
    <x v="10"/>
    <x v="2"/>
    <x v="4"/>
    <x v="221"/>
    <x v="10"/>
    <x v="4155"/>
    <x v="1"/>
  </r>
  <r>
    <x v="259"/>
    <x v="32"/>
    <x v="1776"/>
    <x v="7"/>
    <x v="422"/>
    <x v="10"/>
    <x v="2"/>
    <x v="4"/>
    <x v="221"/>
    <x v="10"/>
    <x v="4156"/>
    <x v="1"/>
  </r>
  <r>
    <x v="259"/>
    <x v="32"/>
    <x v="373"/>
    <x v="5"/>
    <x v="422"/>
    <x v="10"/>
    <x v="2"/>
    <x v="4"/>
    <x v="221"/>
    <x v="10"/>
    <x v="4157"/>
    <x v="1"/>
  </r>
  <r>
    <x v="259"/>
    <x v="37"/>
    <x v="75"/>
    <x v="3"/>
    <x v="525"/>
    <x v="10"/>
    <x v="0"/>
    <x v="2"/>
    <x v="179"/>
    <x v="12"/>
    <x v="4158"/>
    <x v="1"/>
  </r>
  <r>
    <x v="259"/>
    <x v="3"/>
    <x v="495"/>
    <x v="3"/>
    <x v="579"/>
    <x v="10"/>
    <x v="0"/>
    <x v="2"/>
    <x v="179"/>
    <x v="4"/>
    <x v="4159"/>
    <x v="1"/>
  </r>
  <r>
    <x v="260"/>
    <x v="9"/>
    <x v="1172"/>
    <x v="0"/>
    <x v="231"/>
    <x v="10"/>
    <x v="0"/>
    <x v="4"/>
    <x v="221"/>
    <x v="5"/>
    <x v="4160"/>
    <x v="1"/>
  </r>
  <r>
    <x v="260"/>
    <x v="12"/>
    <x v="366"/>
    <x v="0"/>
    <x v="48"/>
    <x v="10"/>
    <x v="1"/>
    <x v="4"/>
    <x v="221"/>
    <x v="5"/>
    <x v="4161"/>
    <x v="1"/>
  </r>
  <r>
    <x v="260"/>
    <x v="20"/>
    <x v="28"/>
    <x v="3"/>
    <x v="380"/>
    <x v="10"/>
    <x v="0"/>
    <x v="2"/>
    <x v="180"/>
    <x v="5"/>
    <x v="4162"/>
    <x v="1"/>
  </r>
  <r>
    <x v="260"/>
    <x v="28"/>
    <x v="138"/>
    <x v="1"/>
    <x v="371"/>
    <x v="10"/>
    <x v="0"/>
    <x v="1"/>
    <x v="180"/>
    <x v="0"/>
    <x v="4163"/>
    <x v="1"/>
  </r>
  <r>
    <x v="260"/>
    <x v="12"/>
    <x v="112"/>
    <x v="1"/>
    <x v="211"/>
    <x v="10"/>
    <x v="0"/>
    <x v="1"/>
    <x v="180"/>
    <x v="5"/>
    <x v="4164"/>
    <x v="1"/>
  </r>
  <r>
    <x v="260"/>
    <x v="24"/>
    <x v="68"/>
    <x v="1"/>
    <x v="247"/>
    <x v="10"/>
    <x v="0"/>
    <x v="1"/>
    <x v="180"/>
    <x v="6"/>
    <x v="4165"/>
    <x v="1"/>
  </r>
  <r>
    <x v="260"/>
    <x v="38"/>
    <x v="125"/>
    <x v="0"/>
    <x v="76"/>
    <x v="10"/>
    <x v="1"/>
    <x v="4"/>
    <x v="221"/>
    <x v="5"/>
    <x v="4166"/>
    <x v="1"/>
  </r>
  <r>
    <x v="260"/>
    <x v="13"/>
    <x v="1671"/>
    <x v="0"/>
    <x v="560"/>
    <x v="10"/>
    <x v="1"/>
    <x v="4"/>
    <x v="221"/>
    <x v="5"/>
    <x v="4167"/>
    <x v="1"/>
  </r>
  <r>
    <x v="260"/>
    <x v="26"/>
    <x v="90"/>
    <x v="3"/>
    <x v="338"/>
    <x v="10"/>
    <x v="0"/>
    <x v="2"/>
    <x v="180"/>
    <x v="5"/>
    <x v="4168"/>
    <x v="1"/>
  </r>
  <r>
    <x v="260"/>
    <x v="19"/>
    <x v="755"/>
    <x v="0"/>
    <x v="474"/>
    <x v="10"/>
    <x v="1"/>
    <x v="4"/>
    <x v="221"/>
    <x v="3"/>
    <x v="4169"/>
    <x v="1"/>
  </r>
  <r>
    <x v="260"/>
    <x v="8"/>
    <x v="816"/>
    <x v="0"/>
    <x v="238"/>
    <x v="10"/>
    <x v="1"/>
    <x v="4"/>
    <x v="221"/>
    <x v="5"/>
    <x v="4170"/>
    <x v="1"/>
  </r>
  <r>
    <x v="260"/>
    <x v="32"/>
    <x v="1426"/>
    <x v="3"/>
    <x v="422"/>
    <x v="10"/>
    <x v="2"/>
    <x v="4"/>
    <x v="221"/>
    <x v="10"/>
    <x v="4171"/>
    <x v="1"/>
  </r>
  <r>
    <x v="260"/>
    <x v="32"/>
    <x v="738"/>
    <x v="2"/>
    <x v="422"/>
    <x v="10"/>
    <x v="2"/>
    <x v="4"/>
    <x v="221"/>
    <x v="10"/>
    <x v="4172"/>
    <x v="1"/>
  </r>
  <r>
    <x v="260"/>
    <x v="32"/>
    <x v="299"/>
    <x v="6"/>
    <x v="422"/>
    <x v="10"/>
    <x v="2"/>
    <x v="4"/>
    <x v="221"/>
    <x v="10"/>
    <x v="4173"/>
    <x v="1"/>
  </r>
  <r>
    <x v="260"/>
    <x v="32"/>
    <x v="1875"/>
    <x v="7"/>
    <x v="422"/>
    <x v="10"/>
    <x v="2"/>
    <x v="4"/>
    <x v="221"/>
    <x v="10"/>
    <x v="4174"/>
    <x v="1"/>
  </r>
  <r>
    <x v="260"/>
    <x v="32"/>
    <x v="1436"/>
    <x v="5"/>
    <x v="422"/>
    <x v="10"/>
    <x v="2"/>
    <x v="4"/>
    <x v="221"/>
    <x v="10"/>
    <x v="4175"/>
    <x v="1"/>
  </r>
  <r>
    <x v="260"/>
    <x v="32"/>
    <x v="90"/>
    <x v="8"/>
    <x v="422"/>
    <x v="10"/>
    <x v="2"/>
    <x v="4"/>
    <x v="221"/>
    <x v="10"/>
    <x v="4176"/>
    <x v="1"/>
  </r>
  <r>
    <x v="260"/>
    <x v="37"/>
    <x v="72"/>
    <x v="1"/>
    <x v="525"/>
    <x v="10"/>
    <x v="0"/>
    <x v="1"/>
    <x v="181"/>
    <x v="12"/>
    <x v="4177"/>
    <x v="1"/>
  </r>
  <r>
    <x v="261"/>
    <x v="24"/>
    <x v="120"/>
    <x v="1"/>
    <x v="247"/>
    <x v="10"/>
    <x v="0"/>
    <x v="1"/>
    <x v="181"/>
    <x v="6"/>
    <x v="4178"/>
    <x v="1"/>
  </r>
  <r>
    <x v="261"/>
    <x v="12"/>
    <x v="599"/>
    <x v="0"/>
    <x v="48"/>
    <x v="10"/>
    <x v="1"/>
    <x v="4"/>
    <x v="221"/>
    <x v="5"/>
    <x v="4179"/>
    <x v="1"/>
  </r>
  <r>
    <x v="261"/>
    <x v="9"/>
    <x v="996"/>
    <x v="0"/>
    <x v="231"/>
    <x v="10"/>
    <x v="0"/>
    <x v="4"/>
    <x v="221"/>
    <x v="5"/>
    <x v="4180"/>
    <x v="1"/>
  </r>
  <r>
    <x v="261"/>
    <x v="12"/>
    <x v="147"/>
    <x v="1"/>
    <x v="516"/>
    <x v="10"/>
    <x v="0"/>
    <x v="2"/>
    <x v="181"/>
    <x v="5"/>
    <x v="4181"/>
    <x v="1"/>
  </r>
  <r>
    <x v="261"/>
    <x v="8"/>
    <x v="816"/>
    <x v="0"/>
    <x v="238"/>
    <x v="10"/>
    <x v="1"/>
    <x v="4"/>
    <x v="221"/>
    <x v="5"/>
    <x v="4182"/>
    <x v="1"/>
  </r>
  <r>
    <x v="261"/>
    <x v="38"/>
    <x v="30"/>
    <x v="1"/>
    <x v="401"/>
    <x v="10"/>
    <x v="0"/>
    <x v="2"/>
    <x v="181"/>
    <x v="5"/>
    <x v="4183"/>
    <x v="1"/>
  </r>
  <r>
    <x v="261"/>
    <x v="24"/>
    <x v="578"/>
    <x v="1"/>
    <x v="250"/>
    <x v="10"/>
    <x v="0"/>
    <x v="1"/>
    <x v="181"/>
    <x v="6"/>
    <x v="4184"/>
    <x v="1"/>
  </r>
  <r>
    <x v="261"/>
    <x v="21"/>
    <x v="756"/>
    <x v="1"/>
    <x v="164"/>
    <x v="10"/>
    <x v="0"/>
    <x v="1"/>
    <x v="181"/>
    <x v="3"/>
    <x v="4185"/>
    <x v="1"/>
  </r>
  <r>
    <x v="261"/>
    <x v="12"/>
    <x v="53"/>
    <x v="1"/>
    <x v="332"/>
    <x v="10"/>
    <x v="0"/>
    <x v="1"/>
    <x v="181"/>
    <x v="5"/>
    <x v="4186"/>
    <x v="1"/>
  </r>
  <r>
    <x v="261"/>
    <x v="38"/>
    <x v="208"/>
    <x v="0"/>
    <x v="76"/>
    <x v="10"/>
    <x v="1"/>
    <x v="4"/>
    <x v="221"/>
    <x v="5"/>
    <x v="4187"/>
    <x v="1"/>
  </r>
  <r>
    <x v="261"/>
    <x v="19"/>
    <x v="755"/>
    <x v="0"/>
    <x v="474"/>
    <x v="10"/>
    <x v="1"/>
    <x v="4"/>
    <x v="221"/>
    <x v="3"/>
    <x v="4188"/>
    <x v="1"/>
  </r>
  <r>
    <x v="261"/>
    <x v="23"/>
    <x v="49"/>
    <x v="3"/>
    <x v="285"/>
    <x v="10"/>
    <x v="0"/>
    <x v="2"/>
    <x v="181"/>
    <x v="6"/>
    <x v="4189"/>
    <x v="1"/>
  </r>
  <r>
    <x v="261"/>
    <x v="20"/>
    <x v="177"/>
    <x v="1"/>
    <x v="188"/>
    <x v="10"/>
    <x v="0"/>
    <x v="1"/>
    <x v="181"/>
    <x v="5"/>
    <x v="4190"/>
    <x v="1"/>
  </r>
  <r>
    <x v="261"/>
    <x v="20"/>
    <x v="132"/>
    <x v="1"/>
    <x v="248"/>
    <x v="10"/>
    <x v="0"/>
    <x v="1"/>
    <x v="181"/>
    <x v="5"/>
    <x v="4191"/>
    <x v="1"/>
  </r>
  <r>
    <x v="261"/>
    <x v="32"/>
    <x v="630"/>
    <x v="3"/>
    <x v="422"/>
    <x v="10"/>
    <x v="2"/>
    <x v="4"/>
    <x v="221"/>
    <x v="10"/>
    <x v="4192"/>
    <x v="1"/>
  </r>
  <r>
    <x v="261"/>
    <x v="32"/>
    <x v="775"/>
    <x v="2"/>
    <x v="422"/>
    <x v="10"/>
    <x v="2"/>
    <x v="4"/>
    <x v="221"/>
    <x v="10"/>
    <x v="4193"/>
    <x v="1"/>
  </r>
  <r>
    <x v="261"/>
    <x v="32"/>
    <x v="90"/>
    <x v="6"/>
    <x v="422"/>
    <x v="10"/>
    <x v="2"/>
    <x v="4"/>
    <x v="221"/>
    <x v="10"/>
    <x v="4194"/>
    <x v="1"/>
  </r>
  <r>
    <x v="261"/>
    <x v="32"/>
    <x v="1987"/>
    <x v="7"/>
    <x v="422"/>
    <x v="10"/>
    <x v="2"/>
    <x v="4"/>
    <x v="221"/>
    <x v="10"/>
    <x v="4195"/>
    <x v="1"/>
  </r>
  <r>
    <x v="261"/>
    <x v="32"/>
    <x v="299"/>
    <x v="8"/>
    <x v="422"/>
    <x v="10"/>
    <x v="2"/>
    <x v="4"/>
    <x v="221"/>
    <x v="10"/>
    <x v="4196"/>
    <x v="1"/>
  </r>
  <r>
    <x v="261"/>
    <x v="32"/>
    <x v="735"/>
    <x v="5"/>
    <x v="422"/>
    <x v="10"/>
    <x v="2"/>
    <x v="4"/>
    <x v="221"/>
    <x v="10"/>
    <x v="4197"/>
    <x v="1"/>
  </r>
  <r>
    <x v="261"/>
    <x v="32"/>
    <x v="302"/>
    <x v="4"/>
    <x v="422"/>
    <x v="10"/>
    <x v="2"/>
    <x v="4"/>
    <x v="221"/>
    <x v="10"/>
    <x v="4198"/>
    <x v="1"/>
  </r>
  <r>
    <x v="261"/>
    <x v="37"/>
    <x v="49"/>
    <x v="3"/>
    <x v="525"/>
    <x v="10"/>
    <x v="0"/>
    <x v="2"/>
    <x v="181"/>
    <x v="12"/>
    <x v="4199"/>
    <x v="1"/>
  </r>
  <r>
    <x v="261"/>
    <x v="0"/>
    <x v="134"/>
    <x v="3"/>
    <x v="450"/>
    <x v="10"/>
    <x v="0"/>
    <x v="2"/>
    <x v="181"/>
    <x v="9"/>
    <x v="4200"/>
    <x v="1"/>
  </r>
  <r>
    <x v="262"/>
    <x v="20"/>
    <x v="28"/>
    <x v="3"/>
    <x v="380"/>
    <x v="10"/>
    <x v="0"/>
    <x v="2"/>
    <x v="182"/>
    <x v="5"/>
    <x v="4201"/>
    <x v="1"/>
  </r>
  <r>
    <x v="262"/>
    <x v="9"/>
    <x v="495"/>
    <x v="0"/>
    <x v="176"/>
    <x v="10"/>
    <x v="0"/>
    <x v="1"/>
    <x v="182"/>
    <x v="5"/>
    <x v="4202"/>
    <x v="1"/>
  </r>
  <r>
    <x v="262"/>
    <x v="12"/>
    <x v="649"/>
    <x v="0"/>
    <x v="48"/>
    <x v="10"/>
    <x v="1"/>
    <x v="4"/>
    <x v="221"/>
    <x v="5"/>
    <x v="4203"/>
    <x v="1"/>
  </r>
  <r>
    <x v="262"/>
    <x v="12"/>
    <x v="158"/>
    <x v="1"/>
    <x v="406"/>
    <x v="10"/>
    <x v="0"/>
    <x v="1"/>
    <x v="182"/>
    <x v="5"/>
    <x v="4204"/>
    <x v="1"/>
  </r>
  <r>
    <x v="262"/>
    <x v="1"/>
    <x v="112"/>
    <x v="3"/>
    <x v="432"/>
    <x v="10"/>
    <x v="0"/>
    <x v="2"/>
    <x v="182"/>
    <x v="4"/>
    <x v="4205"/>
    <x v="1"/>
  </r>
  <r>
    <x v="262"/>
    <x v="9"/>
    <x v="1642"/>
    <x v="0"/>
    <x v="231"/>
    <x v="10"/>
    <x v="0"/>
    <x v="4"/>
    <x v="221"/>
    <x v="5"/>
    <x v="4206"/>
    <x v="1"/>
  </r>
  <r>
    <x v="262"/>
    <x v="20"/>
    <x v="1674"/>
    <x v="0"/>
    <x v="61"/>
    <x v="10"/>
    <x v="1"/>
    <x v="4"/>
    <x v="221"/>
    <x v="5"/>
    <x v="4207"/>
    <x v="1"/>
  </r>
  <r>
    <x v="262"/>
    <x v="15"/>
    <x v="147"/>
    <x v="3"/>
    <x v="353"/>
    <x v="10"/>
    <x v="0"/>
    <x v="4"/>
    <x v="221"/>
    <x v="4"/>
    <x v="4208"/>
    <x v="1"/>
  </r>
  <r>
    <x v="262"/>
    <x v="33"/>
    <x v="556"/>
    <x v="1"/>
    <x v="527"/>
    <x v="10"/>
    <x v="0"/>
    <x v="1"/>
    <x v="182"/>
    <x v="13"/>
    <x v="4209"/>
    <x v="1"/>
  </r>
  <r>
    <x v="262"/>
    <x v="33"/>
    <x v="719"/>
    <x v="0"/>
    <x v="527"/>
    <x v="10"/>
    <x v="0"/>
    <x v="0"/>
    <x v="182"/>
    <x v="13"/>
    <x v="4210"/>
    <x v="1"/>
  </r>
  <r>
    <x v="262"/>
    <x v="39"/>
    <x v="794"/>
    <x v="0"/>
    <x v="578"/>
    <x v="10"/>
    <x v="0"/>
    <x v="0"/>
    <x v="182"/>
    <x v="5"/>
    <x v="4211"/>
    <x v="1"/>
  </r>
  <r>
    <x v="262"/>
    <x v="38"/>
    <x v="87"/>
    <x v="3"/>
    <x v="553"/>
    <x v="10"/>
    <x v="0"/>
    <x v="2"/>
    <x v="182"/>
    <x v="5"/>
    <x v="4212"/>
    <x v="1"/>
  </r>
  <r>
    <x v="262"/>
    <x v="26"/>
    <x v="90"/>
    <x v="3"/>
    <x v="338"/>
    <x v="10"/>
    <x v="0"/>
    <x v="2"/>
    <x v="182"/>
    <x v="5"/>
    <x v="4213"/>
    <x v="1"/>
  </r>
  <r>
    <x v="262"/>
    <x v="38"/>
    <x v="432"/>
    <x v="0"/>
    <x v="76"/>
    <x v="10"/>
    <x v="1"/>
    <x v="4"/>
    <x v="221"/>
    <x v="5"/>
    <x v="4214"/>
    <x v="1"/>
  </r>
  <r>
    <x v="262"/>
    <x v="32"/>
    <x v="1504"/>
    <x v="3"/>
    <x v="422"/>
    <x v="10"/>
    <x v="2"/>
    <x v="4"/>
    <x v="221"/>
    <x v="10"/>
    <x v="4215"/>
    <x v="1"/>
  </r>
  <r>
    <x v="262"/>
    <x v="32"/>
    <x v="877"/>
    <x v="2"/>
    <x v="422"/>
    <x v="10"/>
    <x v="2"/>
    <x v="4"/>
    <x v="221"/>
    <x v="10"/>
    <x v="4216"/>
    <x v="1"/>
  </r>
  <r>
    <x v="262"/>
    <x v="32"/>
    <x v="518"/>
    <x v="6"/>
    <x v="422"/>
    <x v="10"/>
    <x v="2"/>
    <x v="4"/>
    <x v="221"/>
    <x v="10"/>
    <x v="4217"/>
    <x v="1"/>
  </r>
  <r>
    <x v="262"/>
    <x v="32"/>
    <x v="1981"/>
    <x v="7"/>
    <x v="422"/>
    <x v="10"/>
    <x v="2"/>
    <x v="4"/>
    <x v="221"/>
    <x v="10"/>
    <x v="4218"/>
    <x v="1"/>
  </r>
  <r>
    <x v="262"/>
    <x v="32"/>
    <x v="1226"/>
    <x v="5"/>
    <x v="422"/>
    <x v="10"/>
    <x v="2"/>
    <x v="4"/>
    <x v="221"/>
    <x v="10"/>
    <x v="4219"/>
    <x v="1"/>
  </r>
  <r>
    <x v="262"/>
    <x v="37"/>
    <x v="87"/>
    <x v="1"/>
    <x v="546"/>
    <x v="10"/>
    <x v="0"/>
    <x v="1"/>
    <x v="182"/>
    <x v="12"/>
    <x v="4220"/>
    <x v="1"/>
  </r>
  <r>
    <x v="262"/>
    <x v="23"/>
    <x v="12"/>
    <x v="3"/>
    <x v="285"/>
    <x v="10"/>
    <x v="0"/>
    <x v="2"/>
    <x v="182"/>
    <x v="6"/>
    <x v="4221"/>
    <x v="1"/>
  </r>
  <r>
    <x v="263"/>
    <x v="9"/>
    <x v="1123"/>
    <x v="0"/>
    <x v="231"/>
    <x v="10"/>
    <x v="0"/>
    <x v="4"/>
    <x v="221"/>
    <x v="5"/>
    <x v="4222"/>
    <x v="1"/>
  </r>
  <r>
    <x v="263"/>
    <x v="12"/>
    <x v="660"/>
    <x v="0"/>
    <x v="48"/>
    <x v="10"/>
    <x v="1"/>
    <x v="4"/>
    <x v="221"/>
    <x v="5"/>
    <x v="4223"/>
    <x v="1"/>
  </r>
  <r>
    <x v="263"/>
    <x v="1"/>
    <x v="65"/>
    <x v="1"/>
    <x v="432"/>
    <x v="10"/>
    <x v="0"/>
    <x v="4"/>
    <x v="183"/>
    <x v="4"/>
    <x v="4224"/>
    <x v="1"/>
  </r>
  <r>
    <x v="263"/>
    <x v="13"/>
    <x v="77"/>
    <x v="1"/>
    <x v="113"/>
    <x v="10"/>
    <x v="0"/>
    <x v="4"/>
    <x v="183"/>
    <x v="5"/>
    <x v="4225"/>
    <x v="1"/>
  </r>
  <r>
    <x v="263"/>
    <x v="24"/>
    <x v="578"/>
    <x v="1"/>
    <x v="250"/>
    <x v="10"/>
    <x v="0"/>
    <x v="4"/>
    <x v="183"/>
    <x v="6"/>
    <x v="4226"/>
    <x v="1"/>
  </r>
  <r>
    <x v="263"/>
    <x v="34"/>
    <x v="869"/>
    <x v="1"/>
    <x v="527"/>
    <x v="10"/>
    <x v="0"/>
    <x v="4"/>
    <x v="183"/>
    <x v="13"/>
    <x v="4227"/>
    <x v="1"/>
  </r>
  <r>
    <x v="263"/>
    <x v="34"/>
    <x v="318"/>
    <x v="0"/>
    <x v="527"/>
    <x v="10"/>
    <x v="0"/>
    <x v="0"/>
    <x v="183"/>
    <x v="13"/>
    <x v="4228"/>
    <x v="1"/>
  </r>
  <r>
    <x v="263"/>
    <x v="19"/>
    <x v="755"/>
    <x v="0"/>
    <x v="474"/>
    <x v="10"/>
    <x v="1"/>
    <x v="4"/>
    <x v="221"/>
    <x v="3"/>
    <x v="4229"/>
    <x v="1"/>
  </r>
  <r>
    <x v="263"/>
    <x v="20"/>
    <x v="28"/>
    <x v="3"/>
    <x v="380"/>
    <x v="10"/>
    <x v="0"/>
    <x v="2"/>
    <x v="183"/>
    <x v="5"/>
    <x v="4230"/>
    <x v="1"/>
  </r>
  <r>
    <x v="263"/>
    <x v="24"/>
    <x v="112"/>
    <x v="1"/>
    <x v="458"/>
    <x v="10"/>
    <x v="0"/>
    <x v="1"/>
    <x v="183"/>
    <x v="6"/>
    <x v="4231"/>
    <x v="1"/>
  </r>
  <r>
    <x v="263"/>
    <x v="23"/>
    <x v="65"/>
    <x v="3"/>
    <x v="285"/>
    <x v="10"/>
    <x v="0"/>
    <x v="2"/>
    <x v="183"/>
    <x v="6"/>
    <x v="4232"/>
    <x v="1"/>
  </r>
  <r>
    <x v="263"/>
    <x v="0"/>
    <x v="869"/>
    <x v="0"/>
    <x v="482"/>
    <x v="10"/>
    <x v="0"/>
    <x v="0"/>
    <x v="183"/>
    <x v="9"/>
    <x v="4233"/>
    <x v="1"/>
  </r>
  <r>
    <x v="263"/>
    <x v="32"/>
    <x v="796"/>
    <x v="3"/>
    <x v="422"/>
    <x v="10"/>
    <x v="2"/>
    <x v="4"/>
    <x v="221"/>
    <x v="10"/>
    <x v="4234"/>
    <x v="1"/>
  </r>
  <r>
    <x v="263"/>
    <x v="32"/>
    <x v="508"/>
    <x v="6"/>
    <x v="422"/>
    <x v="10"/>
    <x v="2"/>
    <x v="4"/>
    <x v="221"/>
    <x v="10"/>
    <x v="4235"/>
    <x v="1"/>
  </r>
  <r>
    <x v="263"/>
    <x v="32"/>
    <x v="1859"/>
    <x v="7"/>
    <x v="422"/>
    <x v="10"/>
    <x v="2"/>
    <x v="4"/>
    <x v="221"/>
    <x v="10"/>
    <x v="4236"/>
    <x v="1"/>
  </r>
  <r>
    <x v="263"/>
    <x v="32"/>
    <x v="1062"/>
    <x v="5"/>
    <x v="422"/>
    <x v="10"/>
    <x v="2"/>
    <x v="4"/>
    <x v="221"/>
    <x v="10"/>
    <x v="4237"/>
    <x v="1"/>
  </r>
  <r>
    <x v="263"/>
    <x v="25"/>
    <x v="49"/>
    <x v="3"/>
    <x v="523"/>
    <x v="10"/>
    <x v="0"/>
    <x v="2"/>
    <x v="183"/>
    <x v="12"/>
    <x v="4238"/>
    <x v="1"/>
  </r>
  <r>
    <x v="263"/>
    <x v="37"/>
    <x v="44"/>
    <x v="3"/>
    <x v="523"/>
    <x v="10"/>
    <x v="0"/>
    <x v="2"/>
    <x v="183"/>
    <x v="12"/>
    <x v="4239"/>
    <x v="1"/>
  </r>
  <r>
    <x v="263"/>
    <x v="32"/>
    <x v="357"/>
    <x v="4"/>
    <x v="422"/>
    <x v="10"/>
    <x v="2"/>
    <x v="4"/>
    <x v="221"/>
    <x v="10"/>
    <x v="4240"/>
    <x v="1"/>
  </r>
  <r>
    <x v="264"/>
    <x v="9"/>
    <x v="1176"/>
    <x v="0"/>
    <x v="231"/>
    <x v="10"/>
    <x v="0"/>
    <x v="4"/>
    <x v="221"/>
    <x v="5"/>
    <x v="4241"/>
    <x v="1"/>
  </r>
  <r>
    <x v="264"/>
    <x v="1"/>
    <x v="45"/>
    <x v="3"/>
    <x v="432"/>
    <x v="10"/>
    <x v="0"/>
    <x v="2"/>
    <x v="184"/>
    <x v="4"/>
    <x v="4242"/>
    <x v="1"/>
  </r>
  <r>
    <x v="264"/>
    <x v="12"/>
    <x v="85"/>
    <x v="0"/>
    <x v="48"/>
    <x v="10"/>
    <x v="1"/>
    <x v="4"/>
    <x v="221"/>
    <x v="5"/>
    <x v="4243"/>
    <x v="1"/>
  </r>
  <r>
    <x v="264"/>
    <x v="12"/>
    <x v="287"/>
    <x v="1"/>
    <x v="516"/>
    <x v="10"/>
    <x v="0"/>
    <x v="1"/>
    <x v="184"/>
    <x v="5"/>
    <x v="4244"/>
    <x v="1"/>
  </r>
  <r>
    <x v="264"/>
    <x v="20"/>
    <x v="398"/>
    <x v="1"/>
    <x v="98"/>
    <x v="10"/>
    <x v="0"/>
    <x v="0"/>
    <x v="184"/>
    <x v="5"/>
    <x v="4245"/>
    <x v="1"/>
  </r>
  <r>
    <x v="264"/>
    <x v="1"/>
    <x v="539"/>
    <x v="0"/>
    <x v="432"/>
    <x v="10"/>
    <x v="0"/>
    <x v="0"/>
    <x v="184"/>
    <x v="4"/>
    <x v="4246"/>
    <x v="1"/>
  </r>
  <r>
    <x v="264"/>
    <x v="38"/>
    <x v="299"/>
    <x v="0"/>
    <x v="389"/>
    <x v="10"/>
    <x v="0"/>
    <x v="1"/>
    <x v="184"/>
    <x v="5"/>
    <x v="4247"/>
    <x v="1"/>
  </r>
  <r>
    <x v="264"/>
    <x v="13"/>
    <x v="277"/>
    <x v="3"/>
    <x v="341"/>
    <x v="10"/>
    <x v="0"/>
    <x v="2"/>
    <x v="184"/>
    <x v="5"/>
    <x v="4248"/>
    <x v="1"/>
  </r>
  <r>
    <x v="264"/>
    <x v="24"/>
    <x v="112"/>
    <x v="1"/>
    <x v="247"/>
    <x v="10"/>
    <x v="0"/>
    <x v="1"/>
    <x v="184"/>
    <x v="6"/>
    <x v="4249"/>
    <x v="1"/>
  </r>
  <r>
    <x v="263"/>
    <x v="38"/>
    <x v="341"/>
    <x v="0"/>
    <x v="76"/>
    <x v="10"/>
    <x v="1"/>
    <x v="4"/>
    <x v="221"/>
    <x v="5"/>
    <x v="4250"/>
    <x v="1"/>
  </r>
  <r>
    <x v="264"/>
    <x v="38"/>
    <x v="559"/>
    <x v="0"/>
    <x v="76"/>
    <x v="10"/>
    <x v="1"/>
    <x v="4"/>
    <x v="221"/>
    <x v="5"/>
    <x v="4251"/>
    <x v="1"/>
  </r>
  <r>
    <x v="264"/>
    <x v="32"/>
    <x v="1294"/>
    <x v="3"/>
    <x v="422"/>
    <x v="10"/>
    <x v="2"/>
    <x v="4"/>
    <x v="221"/>
    <x v="10"/>
    <x v="4252"/>
    <x v="1"/>
  </r>
  <r>
    <x v="264"/>
    <x v="32"/>
    <x v="645"/>
    <x v="2"/>
    <x v="422"/>
    <x v="10"/>
    <x v="2"/>
    <x v="4"/>
    <x v="221"/>
    <x v="10"/>
    <x v="4253"/>
    <x v="1"/>
  </r>
  <r>
    <x v="264"/>
    <x v="32"/>
    <x v="449"/>
    <x v="6"/>
    <x v="422"/>
    <x v="10"/>
    <x v="2"/>
    <x v="4"/>
    <x v="221"/>
    <x v="10"/>
    <x v="4254"/>
    <x v="1"/>
  </r>
  <r>
    <x v="264"/>
    <x v="32"/>
    <x v="1865"/>
    <x v="7"/>
    <x v="422"/>
    <x v="10"/>
    <x v="2"/>
    <x v="4"/>
    <x v="221"/>
    <x v="10"/>
    <x v="4255"/>
    <x v="1"/>
  </r>
  <r>
    <x v="264"/>
    <x v="32"/>
    <x v="339"/>
    <x v="8"/>
    <x v="422"/>
    <x v="10"/>
    <x v="2"/>
    <x v="4"/>
    <x v="221"/>
    <x v="10"/>
    <x v="4256"/>
    <x v="1"/>
  </r>
  <r>
    <x v="264"/>
    <x v="32"/>
    <x v="965"/>
    <x v="5"/>
    <x v="422"/>
    <x v="10"/>
    <x v="2"/>
    <x v="4"/>
    <x v="221"/>
    <x v="10"/>
    <x v="4257"/>
    <x v="1"/>
  </r>
  <r>
    <x v="264"/>
    <x v="37"/>
    <x v="65"/>
    <x v="1"/>
    <x v="523"/>
    <x v="10"/>
    <x v="0"/>
    <x v="1"/>
    <x v="184"/>
    <x v="12"/>
    <x v="4258"/>
    <x v="1"/>
  </r>
  <r>
    <x v="264"/>
    <x v="38"/>
    <x v="25"/>
    <x v="3"/>
    <x v="444"/>
    <x v="10"/>
    <x v="0"/>
    <x v="2"/>
    <x v="184"/>
    <x v="5"/>
    <x v="4259"/>
    <x v="1"/>
  </r>
  <r>
    <x v="265"/>
    <x v="8"/>
    <x v="816"/>
    <x v="0"/>
    <x v="238"/>
    <x v="10"/>
    <x v="1"/>
    <x v="4"/>
    <x v="221"/>
    <x v="5"/>
    <x v="4260"/>
    <x v="1"/>
  </r>
  <r>
    <x v="265"/>
    <x v="20"/>
    <x v="87"/>
    <x v="1"/>
    <x v="329"/>
    <x v="10"/>
    <x v="0"/>
    <x v="1"/>
    <x v="185"/>
    <x v="5"/>
    <x v="4261"/>
    <x v="1"/>
  </r>
  <r>
    <x v="265"/>
    <x v="12"/>
    <x v="687"/>
    <x v="0"/>
    <x v="48"/>
    <x v="10"/>
    <x v="1"/>
    <x v="4"/>
    <x v="221"/>
    <x v="5"/>
    <x v="4262"/>
    <x v="1"/>
  </r>
  <r>
    <x v="265"/>
    <x v="1"/>
    <x v="65"/>
    <x v="3"/>
    <x v="432"/>
    <x v="10"/>
    <x v="0"/>
    <x v="2"/>
    <x v="185"/>
    <x v="4"/>
    <x v="4263"/>
    <x v="1"/>
  </r>
  <r>
    <x v="265"/>
    <x v="20"/>
    <x v="28"/>
    <x v="3"/>
    <x v="380"/>
    <x v="10"/>
    <x v="0"/>
    <x v="2"/>
    <x v="185"/>
    <x v="5"/>
    <x v="4264"/>
    <x v="1"/>
  </r>
  <r>
    <x v="265"/>
    <x v="9"/>
    <x v="1508"/>
    <x v="0"/>
    <x v="231"/>
    <x v="10"/>
    <x v="0"/>
    <x v="4"/>
    <x v="221"/>
    <x v="5"/>
    <x v="4265"/>
    <x v="1"/>
  </r>
  <r>
    <x v="265"/>
    <x v="28"/>
    <x v="138"/>
    <x v="1"/>
    <x v="371"/>
    <x v="10"/>
    <x v="0"/>
    <x v="1"/>
    <x v="185"/>
    <x v="0"/>
    <x v="4266"/>
    <x v="1"/>
  </r>
  <r>
    <x v="265"/>
    <x v="38"/>
    <x v="382"/>
    <x v="0"/>
    <x v="76"/>
    <x v="10"/>
    <x v="1"/>
    <x v="4"/>
    <x v="221"/>
    <x v="5"/>
    <x v="4267"/>
    <x v="1"/>
  </r>
  <r>
    <x v="265"/>
    <x v="24"/>
    <x v="578"/>
    <x v="1"/>
    <x v="250"/>
    <x v="10"/>
    <x v="0"/>
    <x v="1"/>
    <x v="185"/>
    <x v="6"/>
    <x v="4268"/>
    <x v="1"/>
  </r>
  <r>
    <x v="265"/>
    <x v="38"/>
    <x v="87"/>
    <x v="3"/>
    <x v="553"/>
    <x v="10"/>
    <x v="0"/>
    <x v="2"/>
    <x v="185"/>
    <x v="5"/>
    <x v="4269"/>
    <x v="1"/>
  </r>
  <r>
    <x v="265"/>
    <x v="26"/>
    <x v="60"/>
    <x v="3"/>
    <x v="338"/>
    <x v="10"/>
    <x v="0"/>
    <x v="2"/>
    <x v="185"/>
    <x v="5"/>
    <x v="4270"/>
    <x v="1"/>
  </r>
  <r>
    <x v="265"/>
    <x v="32"/>
    <x v="1149"/>
    <x v="3"/>
    <x v="422"/>
    <x v="10"/>
    <x v="2"/>
    <x v="4"/>
    <x v="221"/>
    <x v="10"/>
    <x v="4271"/>
    <x v="1"/>
  </r>
  <r>
    <x v="265"/>
    <x v="32"/>
    <x v="308"/>
    <x v="2"/>
    <x v="422"/>
    <x v="10"/>
    <x v="2"/>
    <x v="4"/>
    <x v="221"/>
    <x v="10"/>
    <x v="4272"/>
    <x v="1"/>
  </r>
  <r>
    <x v="265"/>
    <x v="32"/>
    <x v="94"/>
    <x v="6"/>
    <x v="422"/>
    <x v="10"/>
    <x v="2"/>
    <x v="4"/>
    <x v="221"/>
    <x v="10"/>
    <x v="4273"/>
    <x v="1"/>
  </r>
  <r>
    <x v="265"/>
    <x v="32"/>
    <x v="1928"/>
    <x v="7"/>
    <x v="422"/>
    <x v="10"/>
    <x v="2"/>
    <x v="4"/>
    <x v="221"/>
    <x v="10"/>
    <x v="4274"/>
    <x v="1"/>
  </r>
  <r>
    <x v="265"/>
    <x v="32"/>
    <x v="454"/>
    <x v="8"/>
    <x v="422"/>
    <x v="10"/>
    <x v="2"/>
    <x v="4"/>
    <x v="221"/>
    <x v="10"/>
    <x v="4275"/>
    <x v="1"/>
  </r>
  <r>
    <x v="265"/>
    <x v="32"/>
    <x v="1489"/>
    <x v="5"/>
    <x v="422"/>
    <x v="10"/>
    <x v="2"/>
    <x v="4"/>
    <x v="221"/>
    <x v="10"/>
    <x v="4276"/>
    <x v="1"/>
  </r>
  <r>
    <x v="265"/>
    <x v="37"/>
    <x v="90"/>
    <x v="1"/>
    <x v="523"/>
    <x v="10"/>
    <x v="0"/>
    <x v="1"/>
    <x v="185"/>
    <x v="12"/>
    <x v="4277"/>
    <x v="1"/>
  </r>
  <r>
    <x v="265"/>
    <x v="19"/>
    <x v="1206"/>
    <x v="0"/>
    <x v="474"/>
    <x v="10"/>
    <x v="1"/>
    <x v="2"/>
    <x v="185"/>
    <x v="3"/>
    <x v="4278"/>
    <x v="1"/>
  </r>
  <r>
    <x v="266"/>
    <x v="9"/>
    <x v="1612"/>
    <x v="0"/>
    <x v="231"/>
    <x v="10"/>
    <x v="0"/>
    <x v="4"/>
    <x v="221"/>
    <x v="5"/>
    <x v="4279"/>
    <x v="1"/>
  </r>
  <r>
    <x v="266"/>
    <x v="15"/>
    <x v="164"/>
    <x v="3"/>
    <x v="353"/>
    <x v="10"/>
    <x v="0"/>
    <x v="2"/>
    <x v="186"/>
    <x v="4"/>
    <x v="4280"/>
    <x v="1"/>
  </r>
  <r>
    <x v="266"/>
    <x v="20"/>
    <x v="28"/>
    <x v="3"/>
    <x v="380"/>
    <x v="10"/>
    <x v="0"/>
    <x v="2"/>
    <x v="186"/>
    <x v="5"/>
    <x v="4281"/>
    <x v="1"/>
  </r>
  <r>
    <x v="266"/>
    <x v="1"/>
    <x v="112"/>
    <x v="3"/>
    <x v="432"/>
    <x v="10"/>
    <x v="0"/>
    <x v="2"/>
    <x v="186"/>
    <x v="4"/>
    <x v="4282"/>
    <x v="1"/>
  </r>
  <r>
    <x v="266"/>
    <x v="12"/>
    <x v="488"/>
    <x v="0"/>
    <x v="48"/>
    <x v="10"/>
    <x v="1"/>
    <x v="4"/>
    <x v="221"/>
    <x v="5"/>
    <x v="4283"/>
    <x v="1"/>
  </r>
  <r>
    <x v="266"/>
    <x v="0"/>
    <x v="518"/>
    <x v="1"/>
    <x v="54"/>
    <x v="10"/>
    <x v="0"/>
    <x v="1"/>
    <x v="186"/>
    <x v="9"/>
    <x v="4284"/>
    <x v="1"/>
  </r>
  <r>
    <x v="266"/>
    <x v="23"/>
    <x v="45"/>
    <x v="3"/>
    <x v="285"/>
    <x v="10"/>
    <x v="0"/>
    <x v="2"/>
    <x v="186"/>
    <x v="6"/>
    <x v="4285"/>
    <x v="1"/>
  </r>
  <r>
    <x v="266"/>
    <x v="38"/>
    <x v="390"/>
    <x v="0"/>
    <x v="76"/>
    <x v="10"/>
    <x v="1"/>
    <x v="4"/>
    <x v="221"/>
    <x v="5"/>
    <x v="4286"/>
    <x v="1"/>
  </r>
  <r>
    <x v="266"/>
    <x v="25"/>
    <x v="329"/>
    <x v="3"/>
    <x v="210"/>
    <x v="10"/>
    <x v="0"/>
    <x v="2"/>
    <x v="186"/>
    <x v="12"/>
    <x v="4287"/>
    <x v="1"/>
  </r>
  <r>
    <x v="266"/>
    <x v="0"/>
    <x v="318"/>
    <x v="1"/>
    <x v="371"/>
    <x v="10"/>
    <x v="0"/>
    <x v="1"/>
    <x v="186"/>
    <x v="9"/>
    <x v="4288"/>
    <x v="1"/>
  </r>
  <r>
    <x v="266"/>
    <x v="32"/>
    <x v="1503"/>
    <x v="3"/>
    <x v="422"/>
    <x v="10"/>
    <x v="2"/>
    <x v="4"/>
    <x v="221"/>
    <x v="10"/>
    <x v="4289"/>
    <x v="1"/>
  </r>
  <r>
    <x v="266"/>
    <x v="32"/>
    <x v="83"/>
    <x v="2"/>
    <x v="422"/>
    <x v="10"/>
    <x v="2"/>
    <x v="4"/>
    <x v="221"/>
    <x v="10"/>
    <x v="4290"/>
    <x v="1"/>
  </r>
  <r>
    <x v="266"/>
    <x v="32"/>
    <x v="647"/>
    <x v="6"/>
    <x v="422"/>
    <x v="10"/>
    <x v="2"/>
    <x v="4"/>
    <x v="221"/>
    <x v="10"/>
    <x v="4291"/>
    <x v="1"/>
  </r>
  <r>
    <x v="266"/>
    <x v="32"/>
    <x v="1890"/>
    <x v="7"/>
    <x v="422"/>
    <x v="10"/>
    <x v="2"/>
    <x v="4"/>
    <x v="221"/>
    <x v="10"/>
    <x v="4292"/>
    <x v="1"/>
  </r>
  <r>
    <x v="266"/>
    <x v="32"/>
    <x v="633"/>
    <x v="5"/>
    <x v="422"/>
    <x v="10"/>
    <x v="2"/>
    <x v="4"/>
    <x v="221"/>
    <x v="10"/>
    <x v="4293"/>
    <x v="1"/>
  </r>
  <r>
    <x v="266"/>
    <x v="34"/>
    <x v="158"/>
    <x v="3"/>
    <x v="207"/>
    <x v="10"/>
    <x v="0"/>
    <x v="2"/>
    <x v="186"/>
    <x v="13"/>
    <x v="4294"/>
    <x v="1"/>
  </r>
  <r>
    <x v="266"/>
    <x v="3"/>
    <x v="475"/>
    <x v="3"/>
    <x v="579"/>
    <x v="10"/>
    <x v="0"/>
    <x v="2"/>
    <x v="186"/>
    <x v="4"/>
    <x v="4295"/>
    <x v="1"/>
  </r>
  <r>
    <x v="266"/>
    <x v="37"/>
    <x v="94"/>
    <x v="3"/>
    <x v="523"/>
    <x v="10"/>
    <x v="0"/>
    <x v="2"/>
    <x v="186"/>
    <x v="12"/>
    <x v="4296"/>
    <x v="1"/>
  </r>
  <r>
    <x v="267"/>
    <x v="12"/>
    <x v="620"/>
    <x v="0"/>
    <x v="48"/>
    <x v="10"/>
    <x v="1"/>
    <x v="4"/>
    <x v="221"/>
    <x v="5"/>
    <x v="4297"/>
    <x v="1"/>
  </r>
  <r>
    <x v="267"/>
    <x v="8"/>
    <x v="816"/>
    <x v="0"/>
    <x v="238"/>
    <x v="10"/>
    <x v="1"/>
    <x v="4"/>
    <x v="221"/>
    <x v="5"/>
    <x v="4298"/>
    <x v="1"/>
  </r>
  <r>
    <x v="267"/>
    <x v="9"/>
    <x v="1475"/>
    <x v="0"/>
    <x v="231"/>
    <x v="10"/>
    <x v="0"/>
    <x v="4"/>
    <x v="221"/>
    <x v="5"/>
    <x v="4299"/>
    <x v="1"/>
  </r>
  <r>
    <x v="267"/>
    <x v="1"/>
    <x v="112"/>
    <x v="3"/>
    <x v="432"/>
    <x v="10"/>
    <x v="0"/>
    <x v="2"/>
    <x v="187"/>
    <x v="4"/>
    <x v="4300"/>
    <x v="1"/>
  </r>
  <r>
    <x v="267"/>
    <x v="20"/>
    <x v="284"/>
    <x v="0"/>
    <x v="61"/>
    <x v="10"/>
    <x v="1"/>
    <x v="4"/>
    <x v="221"/>
    <x v="5"/>
    <x v="4301"/>
    <x v="1"/>
  </r>
  <r>
    <x v="267"/>
    <x v="12"/>
    <x v="158"/>
    <x v="1"/>
    <x v="516"/>
    <x v="10"/>
    <x v="0"/>
    <x v="1"/>
    <x v="187"/>
    <x v="5"/>
    <x v="4302"/>
    <x v="1"/>
  </r>
  <r>
    <x v="267"/>
    <x v="27"/>
    <x v="1113"/>
    <x v="1"/>
    <x v="5"/>
    <x v="10"/>
    <x v="0"/>
    <x v="1"/>
    <x v="187"/>
    <x v="5"/>
    <x v="4303"/>
    <x v="1"/>
  </r>
  <r>
    <x v="267"/>
    <x v="24"/>
    <x v="578"/>
    <x v="1"/>
    <x v="250"/>
    <x v="10"/>
    <x v="0"/>
    <x v="1"/>
    <x v="187"/>
    <x v="6"/>
    <x v="4304"/>
    <x v="1"/>
  </r>
  <r>
    <x v="267"/>
    <x v="38"/>
    <x v="19"/>
    <x v="3"/>
    <x v="334"/>
    <x v="10"/>
    <x v="0"/>
    <x v="3"/>
    <x v="187"/>
    <x v="5"/>
    <x v="4305"/>
    <x v="1"/>
  </r>
  <r>
    <x v="267"/>
    <x v="38"/>
    <x v="399"/>
    <x v="0"/>
    <x v="76"/>
    <x v="10"/>
    <x v="1"/>
    <x v="4"/>
    <x v="221"/>
    <x v="5"/>
    <x v="4306"/>
    <x v="1"/>
  </r>
  <r>
    <x v="267"/>
    <x v="19"/>
    <x v="755"/>
    <x v="0"/>
    <x v="474"/>
    <x v="10"/>
    <x v="1"/>
    <x v="4"/>
    <x v="221"/>
    <x v="3"/>
    <x v="4307"/>
    <x v="1"/>
  </r>
  <r>
    <x v="267"/>
    <x v="26"/>
    <x v="90"/>
    <x v="3"/>
    <x v="338"/>
    <x v="10"/>
    <x v="0"/>
    <x v="2"/>
    <x v="187"/>
    <x v="5"/>
    <x v="4308"/>
    <x v="1"/>
  </r>
  <r>
    <x v="267"/>
    <x v="22"/>
    <x v="318"/>
    <x v="3"/>
    <x v="457"/>
    <x v="10"/>
    <x v="0"/>
    <x v="2"/>
    <x v="187"/>
    <x v="3"/>
    <x v="4309"/>
    <x v="1"/>
  </r>
  <r>
    <x v="267"/>
    <x v="32"/>
    <x v="688"/>
    <x v="3"/>
    <x v="422"/>
    <x v="10"/>
    <x v="2"/>
    <x v="4"/>
    <x v="187"/>
    <x v="10"/>
    <x v="4310"/>
    <x v="1"/>
  </r>
  <r>
    <x v="267"/>
    <x v="32"/>
    <x v="621"/>
    <x v="2"/>
    <x v="422"/>
    <x v="10"/>
    <x v="2"/>
    <x v="4"/>
    <x v="221"/>
    <x v="10"/>
    <x v="4311"/>
    <x v="1"/>
  </r>
  <r>
    <x v="267"/>
    <x v="32"/>
    <x v="232"/>
    <x v="6"/>
    <x v="422"/>
    <x v="10"/>
    <x v="2"/>
    <x v="4"/>
    <x v="221"/>
    <x v="10"/>
    <x v="4312"/>
    <x v="1"/>
  </r>
  <r>
    <x v="267"/>
    <x v="32"/>
    <x v="1799"/>
    <x v="7"/>
    <x v="422"/>
    <x v="10"/>
    <x v="2"/>
    <x v="4"/>
    <x v="221"/>
    <x v="10"/>
    <x v="4313"/>
    <x v="1"/>
  </r>
  <r>
    <x v="267"/>
    <x v="32"/>
    <x v="1095"/>
    <x v="5"/>
    <x v="422"/>
    <x v="10"/>
    <x v="2"/>
    <x v="4"/>
    <x v="221"/>
    <x v="10"/>
    <x v="4314"/>
    <x v="1"/>
  </r>
  <r>
    <x v="267"/>
    <x v="32"/>
    <x v="220"/>
    <x v="4"/>
    <x v="422"/>
    <x v="10"/>
    <x v="2"/>
    <x v="4"/>
    <x v="221"/>
    <x v="10"/>
    <x v="4315"/>
    <x v="1"/>
  </r>
  <r>
    <x v="267"/>
    <x v="24"/>
    <x v="27"/>
    <x v="3"/>
    <x v="247"/>
    <x v="10"/>
    <x v="0"/>
    <x v="2"/>
    <x v="187"/>
    <x v="6"/>
    <x v="4316"/>
    <x v="1"/>
  </r>
  <r>
    <x v="267"/>
    <x v="37"/>
    <x v="97"/>
    <x v="3"/>
    <x v="523"/>
    <x v="10"/>
    <x v="0"/>
    <x v="2"/>
    <x v="187"/>
    <x v="12"/>
    <x v="4317"/>
    <x v="1"/>
  </r>
  <r>
    <x v="268"/>
    <x v="9"/>
    <x v="721"/>
    <x v="0"/>
    <x v="231"/>
    <x v="10"/>
    <x v="0"/>
    <x v="4"/>
    <x v="221"/>
    <x v="5"/>
    <x v="4318"/>
    <x v="1"/>
  </r>
  <r>
    <x v="268"/>
    <x v="1"/>
    <x v="45"/>
    <x v="3"/>
    <x v="432"/>
    <x v="10"/>
    <x v="0"/>
    <x v="4"/>
    <x v="221"/>
    <x v="4"/>
    <x v="4319"/>
    <x v="1"/>
  </r>
  <r>
    <x v="268"/>
    <x v="12"/>
    <x v="543"/>
    <x v="0"/>
    <x v="48"/>
    <x v="10"/>
    <x v="1"/>
    <x v="4"/>
    <x v="221"/>
    <x v="5"/>
    <x v="4320"/>
    <x v="1"/>
  </r>
  <r>
    <x v="268"/>
    <x v="24"/>
    <x v="869"/>
    <x v="0"/>
    <x v="394"/>
    <x v="10"/>
    <x v="0"/>
    <x v="0"/>
    <x v="188"/>
    <x v="6"/>
    <x v="4321"/>
    <x v="1"/>
  </r>
  <r>
    <x v="268"/>
    <x v="24"/>
    <x v="1826"/>
    <x v="0"/>
    <x v="466"/>
    <x v="10"/>
    <x v="0"/>
    <x v="0"/>
    <x v="188"/>
    <x v="6"/>
    <x v="4322"/>
    <x v="1"/>
  </r>
  <r>
    <x v="268"/>
    <x v="38"/>
    <x v="271"/>
    <x v="0"/>
    <x v="76"/>
    <x v="10"/>
    <x v="1"/>
    <x v="4"/>
    <x v="221"/>
    <x v="5"/>
    <x v="4323"/>
    <x v="1"/>
  </r>
  <r>
    <x v="268"/>
    <x v="20"/>
    <x v="45"/>
    <x v="3"/>
    <x v="278"/>
    <x v="10"/>
    <x v="0"/>
    <x v="2"/>
    <x v="188"/>
    <x v="5"/>
    <x v="4324"/>
    <x v="1"/>
  </r>
  <r>
    <x v="268"/>
    <x v="23"/>
    <x v="33"/>
    <x v="3"/>
    <x v="285"/>
    <x v="10"/>
    <x v="0"/>
    <x v="2"/>
    <x v="188"/>
    <x v="6"/>
    <x v="4325"/>
    <x v="1"/>
  </r>
  <r>
    <x v="268"/>
    <x v="32"/>
    <x v="1084"/>
    <x v="3"/>
    <x v="422"/>
    <x v="10"/>
    <x v="2"/>
    <x v="4"/>
    <x v="221"/>
    <x v="10"/>
    <x v="4326"/>
    <x v="1"/>
  </r>
  <r>
    <x v="268"/>
    <x v="32"/>
    <x v="329"/>
    <x v="2"/>
    <x v="422"/>
    <x v="10"/>
    <x v="2"/>
    <x v="4"/>
    <x v="221"/>
    <x v="10"/>
    <x v="4327"/>
    <x v="1"/>
  </r>
  <r>
    <x v="268"/>
    <x v="32"/>
    <x v="530"/>
    <x v="6"/>
    <x v="422"/>
    <x v="10"/>
    <x v="2"/>
    <x v="4"/>
    <x v="221"/>
    <x v="10"/>
    <x v="4328"/>
    <x v="1"/>
  </r>
  <r>
    <x v="268"/>
    <x v="32"/>
    <x v="1774"/>
    <x v="7"/>
    <x v="422"/>
    <x v="10"/>
    <x v="2"/>
    <x v="4"/>
    <x v="221"/>
    <x v="10"/>
    <x v="4329"/>
    <x v="1"/>
  </r>
  <r>
    <x v="268"/>
    <x v="32"/>
    <x v="482"/>
    <x v="5"/>
    <x v="422"/>
    <x v="10"/>
    <x v="2"/>
    <x v="4"/>
    <x v="221"/>
    <x v="10"/>
    <x v="4330"/>
    <x v="1"/>
  </r>
  <r>
    <x v="268"/>
    <x v="3"/>
    <x v="475"/>
    <x v="3"/>
    <x v="579"/>
    <x v="10"/>
    <x v="0"/>
    <x v="2"/>
    <x v="188"/>
    <x v="4"/>
    <x v="4331"/>
    <x v="1"/>
  </r>
  <r>
    <x v="268"/>
    <x v="37"/>
    <x v="90"/>
    <x v="3"/>
    <x v="523"/>
    <x v="10"/>
    <x v="0"/>
    <x v="2"/>
    <x v="188"/>
    <x v="12"/>
    <x v="4332"/>
    <x v="1"/>
  </r>
  <r>
    <x v="269"/>
    <x v="9"/>
    <x v="771"/>
    <x v="0"/>
    <x v="231"/>
    <x v="10"/>
    <x v="0"/>
    <x v="4"/>
    <x v="221"/>
    <x v="5"/>
    <x v="4333"/>
    <x v="1"/>
  </r>
  <r>
    <x v="269"/>
    <x v="24"/>
    <x v="1280"/>
    <x v="0"/>
    <x v="87"/>
    <x v="10"/>
    <x v="0"/>
    <x v="0"/>
    <x v="189"/>
    <x v="6"/>
    <x v="4334"/>
    <x v="1"/>
  </r>
  <r>
    <x v="268"/>
    <x v="19"/>
    <x v="755"/>
    <x v="0"/>
    <x v="474"/>
    <x v="10"/>
    <x v="1"/>
    <x v="4"/>
    <x v="221"/>
    <x v="3"/>
    <x v="4335"/>
    <x v="1"/>
  </r>
  <r>
    <x v="269"/>
    <x v="36"/>
    <x v="22"/>
    <x v="1"/>
    <x v="412"/>
    <x v="10"/>
    <x v="0"/>
    <x v="1"/>
    <x v="189"/>
    <x v="5"/>
    <x v="4336"/>
    <x v="1"/>
  </r>
  <r>
    <x v="269"/>
    <x v="24"/>
    <x v="65"/>
    <x v="1"/>
    <x v="305"/>
    <x v="10"/>
    <x v="0"/>
    <x v="1"/>
    <x v="189"/>
    <x v="6"/>
    <x v="4337"/>
    <x v="1"/>
  </r>
  <r>
    <x v="269"/>
    <x v="38"/>
    <x v="33"/>
    <x v="1"/>
    <x v="401"/>
    <x v="10"/>
    <x v="0"/>
    <x v="1"/>
    <x v="189"/>
    <x v="5"/>
    <x v="4338"/>
    <x v="1"/>
  </r>
  <r>
    <x v="269"/>
    <x v="18"/>
    <x v="375"/>
    <x v="3"/>
    <x v="140"/>
    <x v="10"/>
    <x v="0"/>
    <x v="2"/>
    <x v="189"/>
    <x v="3"/>
    <x v="4339"/>
    <x v="1"/>
  </r>
  <r>
    <x v="269"/>
    <x v="13"/>
    <x v="69"/>
    <x v="1"/>
    <x v="303"/>
    <x v="10"/>
    <x v="0"/>
    <x v="2"/>
    <x v="221"/>
    <x v="5"/>
    <x v="4340"/>
    <x v="1"/>
  </r>
  <r>
    <x v="269"/>
    <x v="31"/>
    <x v="191"/>
    <x v="0"/>
    <x v="535"/>
    <x v="10"/>
    <x v="0"/>
    <x v="2"/>
    <x v="221"/>
    <x v="8"/>
    <x v="4341"/>
    <x v="1"/>
  </r>
  <r>
    <x v="269"/>
    <x v="31"/>
    <x v="87"/>
    <x v="1"/>
    <x v="535"/>
    <x v="10"/>
    <x v="0"/>
    <x v="2"/>
    <x v="221"/>
    <x v="8"/>
    <x v="4342"/>
    <x v="1"/>
  </r>
  <r>
    <x v="269"/>
    <x v="32"/>
    <x v="1243"/>
    <x v="3"/>
    <x v="422"/>
    <x v="10"/>
    <x v="2"/>
    <x v="4"/>
    <x v="221"/>
    <x v="10"/>
    <x v="4343"/>
    <x v="1"/>
  </r>
  <r>
    <x v="269"/>
    <x v="32"/>
    <x v="845"/>
    <x v="2"/>
    <x v="422"/>
    <x v="10"/>
    <x v="2"/>
    <x v="4"/>
    <x v="221"/>
    <x v="10"/>
    <x v="4344"/>
    <x v="1"/>
  </r>
  <r>
    <x v="269"/>
    <x v="32"/>
    <x v="491"/>
    <x v="6"/>
    <x v="422"/>
    <x v="10"/>
    <x v="2"/>
    <x v="4"/>
    <x v="221"/>
    <x v="10"/>
    <x v="4345"/>
    <x v="1"/>
  </r>
  <r>
    <x v="269"/>
    <x v="32"/>
    <x v="1883"/>
    <x v="7"/>
    <x v="422"/>
    <x v="10"/>
    <x v="2"/>
    <x v="4"/>
    <x v="221"/>
    <x v="10"/>
    <x v="4346"/>
    <x v="1"/>
  </r>
  <r>
    <x v="269"/>
    <x v="32"/>
    <x v="277"/>
    <x v="8"/>
    <x v="422"/>
    <x v="10"/>
    <x v="2"/>
    <x v="4"/>
    <x v="221"/>
    <x v="10"/>
    <x v="4347"/>
    <x v="1"/>
  </r>
  <r>
    <x v="269"/>
    <x v="32"/>
    <x v="74"/>
    <x v="5"/>
    <x v="422"/>
    <x v="10"/>
    <x v="2"/>
    <x v="4"/>
    <x v="221"/>
    <x v="10"/>
    <x v="4348"/>
    <x v="1"/>
  </r>
  <r>
    <x v="269"/>
    <x v="37"/>
    <x v="27"/>
    <x v="1"/>
    <x v="151"/>
    <x v="10"/>
    <x v="2"/>
    <x v="4"/>
    <x v="221"/>
    <x v="12"/>
    <x v="4349"/>
    <x v="1"/>
  </r>
  <r>
    <x v="269"/>
    <x v="23"/>
    <x v="34"/>
    <x v="3"/>
    <x v="285"/>
    <x v="10"/>
    <x v="0"/>
    <x v="1"/>
    <x v="189"/>
    <x v="6"/>
    <x v="4350"/>
    <x v="1"/>
  </r>
  <r>
    <x v="269"/>
    <x v="38"/>
    <x v="134"/>
    <x v="0"/>
    <x v="76"/>
    <x v="10"/>
    <x v="1"/>
    <x v="4"/>
    <x v="221"/>
    <x v="5"/>
    <x v="4351"/>
    <x v="1"/>
  </r>
  <r>
    <x v="269"/>
    <x v="0"/>
    <x v="719"/>
    <x v="3"/>
    <x v="482"/>
    <x v="10"/>
    <x v="0"/>
    <x v="1"/>
    <x v="189"/>
    <x v="9"/>
    <x v="4352"/>
    <x v="1"/>
  </r>
  <r>
    <x v="270"/>
    <x v="12"/>
    <x v="143"/>
    <x v="1"/>
    <x v="317"/>
    <x v="10"/>
    <x v="0"/>
    <x v="1"/>
    <x v="190"/>
    <x v="5"/>
    <x v="4353"/>
    <x v="1"/>
  </r>
  <r>
    <x v="270"/>
    <x v="27"/>
    <x v="753"/>
    <x v="0"/>
    <x v="5"/>
    <x v="10"/>
    <x v="0"/>
    <x v="1"/>
    <x v="190"/>
    <x v="5"/>
    <x v="4354"/>
    <x v="1"/>
  </r>
  <r>
    <x v="270"/>
    <x v="9"/>
    <x v="679"/>
    <x v="0"/>
    <x v="229"/>
    <x v="10"/>
    <x v="0"/>
    <x v="4"/>
    <x v="221"/>
    <x v="5"/>
    <x v="4355"/>
    <x v="1"/>
  </r>
  <r>
    <x v="270"/>
    <x v="23"/>
    <x v="5"/>
    <x v="3"/>
    <x v="285"/>
    <x v="10"/>
    <x v="0"/>
    <x v="2"/>
    <x v="190"/>
    <x v="6"/>
    <x v="4356"/>
    <x v="1"/>
  </r>
  <r>
    <x v="270"/>
    <x v="8"/>
    <x v="475"/>
    <x v="0"/>
    <x v="243"/>
    <x v="10"/>
    <x v="1"/>
    <x v="4"/>
    <x v="221"/>
    <x v="5"/>
    <x v="4357"/>
    <x v="1"/>
  </r>
  <r>
    <x v="270"/>
    <x v="31"/>
    <x v="266"/>
    <x v="0"/>
    <x v="379"/>
    <x v="10"/>
    <x v="0"/>
    <x v="1"/>
    <x v="221"/>
    <x v="8"/>
    <x v="4358"/>
    <x v="1"/>
  </r>
  <r>
    <x v="270"/>
    <x v="38"/>
    <x v="19"/>
    <x v="3"/>
    <x v="334"/>
    <x v="10"/>
    <x v="0"/>
    <x v="1"/>
    <x v="221"/>
    <x v="5"/>
    <x v="4359"/>
    <x v="1"/>
  </r>
  <r>
    <x v="270"/>
    <x v="31"/>
    <x v="578"/>
    <x v="1"/>
    <x v="467"/>
    <x v="10"/>
    <x v="0"/>
    <x v="3"/>
    <x v="221"/>
    <x v="8"/>
    <x v="4360"/>
    <x v="1"/>
  </r>
  <r>
    <x v="270"/>
    <x v="32"/>
    <x v="1198"/>
    <x v="3"/>
    <x v="422"/>
    <x v="10"/>
    <x v="2"/>
    <x v="4"/>
    <x v="221"/>
    <x v="10"/>
    <x v="4361"/>
    <x v="1"/>
  </r>
  <r>
    <x v="270"/>
    <x v="32"/>
    <x v="134"/>
    <x v="6"/>
    <x v="422"/>
    <x v="10"/>
    <x v="2"/>
    <x v="4"/>
    <x v="221"/>
    <x v="10"/>
    <x v="4362"/>
    <x v="1"/>
  </r>
  <r>
    <x v="270"/>
    <x v="32"/>
    <x v="1768"/>
    <x v="7"/>
    <x v="422"/>
    <x v="10"/>
    <x v="2"/>
    <x v="4"/>
    <x v="221"/>
    <x v="10"/>
    <x v="4363"/>
    <x v="1"/>
  </r>
  <r>
    <x v="270"/>
    <x v="32"/>
    <x v="541"/>
    <x v="5"/>
    <x v="422"/>
    <x v="10"/>
    <x v="2"/>
    <x v="4"/>
    <x v="221"/>
    <x v="10"/>
    <x v="4364"/>
    <x v="1"/>
  </r>
  <r>
    <x v="270"/>
    <x v="15"/>
    <x v="164"/>
    <x v="3"/>
    <x v="191"/>
    <x v="10"/>
    <x v="0"/>
    <x v="1"/>
    <x v="221"/>
    <x v="4"/>
    <x v="4365"/>
    <x v="1"/>
  </r>
  <r>
    <x v="270"/>
    <x v="37"/>
    <x v="27"/>
    <x v="1"/>
    <x v="546"/>
    <x v="10"/>
    <x v="0"/>
    <x v="1"/>
    <x v="221"/>
    <x v="12"/>
    <x v="4366"/>
    <x v="1"/>
  </r>
  <r>
    <x v="271"/>
    <x v="9"/>
    <x v="1303"/>
    <x v="0"/>
    <x v="231"/>
    <x v="10"/>
    <x v="0"/>
    <x v="4"/>
    <x v="221"/>
    <x v="5"/>
    <x v="4367"/>
    <x v="1"/>
  </r>
  <r>
    <x v="271"/>
    <x v="12"/>
    <x v="539"/>
    <x v="0"/>
    <x v="48"/>
    <x v="10"/>
    <x v="1"/>
    <x v="4"/>
    <x v="221"/>
    <x v="5"/>
    <x v="4368"/>
    <x v="1"/>
  </r>
  <r>
    <x v="271"/>
    <x v="28"/>
    <x v="134"/>
    <x v="1"/>
    <x v="78"/>
    <x v="10"/>
    <x v="0"/>
    <x v="1"/>
    <x v="221"/>
    <x v="0"/>
    <x v="4369"/>
    <x v="1"/>
  </r>
  <r>
    <x v="271"/>
    <x v="31"/>
    <x v="256"/>
    <x v="1"/>
    <x v="271"/>
    <x v="10"/>
    <x v="0"/>
    <x v="3"/>
    <x v="221"/>
    <x v="8"/>
    <x v="4370"/>
    <x v="1"/>
  </r>
  <r>
    <x v="271"/>
    <x v="12"/>
    <x v="30"/>
    <x v="1"/>
    <x v="331"/>
    <x v="10"/>
    <x v="0"/>
    <x v="3"/>
    <x v="221"/>
    <x v="5"/>
    <x v="4371"/>
    <x v="1"/>
  </r>
  <r>
    <x v="271"/>
    <x v="23"/>
    <x v="28"/>
    <x v="3"/>
    <x v="285"/>
    <x v="10"/>
    <x v="0"/>
    <x v="1"/>
    <x v="221"/>
    <x v="6"/>
    <x v="4372"/>
    <x v="1"/>
  </r>
  <r>
    <x v="271"/>
    <x v="20"/>
    <x v="882"/>
    <x v="0"/>
    <x v="61"/>
    <x v="10"/>
    <x v="1"/>
    <x v="1"/>
    <x v="221"/>
    <x v="5"/>
    <x v="4373"/>
    <x v="1"/>
  </r>
  <r>
    <x v="271"/>
    <x v="37"/>
    <x v="19"/>
    <x v="1"/>
    <x v="546"/>
    <x v="10"/>
    <x v="0"/>
    <x v="4"/>
    <x v="221"/>
    <x v="12"/>
    <x v="4374"/>
    <x v="1"/>
  </r>
  <r>
    <x v="271"/>
    <x v="32"/>
    <x v="1461"/>
    <x v="3"/>
    <x v="422"/>
    <x v="10"/>
    <x v="2"/>
    <x v="4"/>
    <x v="221"/>
    <x v="10"/>
    <x v="4375"/>
    <x v="1"/>
  </r>
  <r>
    <x v="271"/>
    <x v="32"/>
    <x v="629"/>
    <x v="4"/>
    <x v="422"/>
    <x v="10"/>
    <x v="2"/>
    <x v="4"/>
    <x v="221"/>
    <x v="10"/>
    <x v="4376"/>
    <x v="1"/>
  </r>
  <r>
    <x v="271"/>
    <x v="32"/>
    <x v="859"/>
    <x v="6"/>
    <x v="422"/>
    <x v="10"/>
    <x v="2"/>
    <x v="4"/>
    <x v="221"/>
    <x v="10"/>
    <x v="4377"/>
    <x v="1"/>
  </r>
  <r>
    <x v="271"/>
    <x v="32"/>
    <x v="1964"/>
    <x v="7"/>
    <x v="422"/>
    <x v="10"/>
    <x v="2"/>
    <x v="4"/>
    <x v="221"/>
    <x v="10"/>
    <x v="4378"/>
    <x v="1"/>
  </r>
  <r>
    <x v="271"/>
    <x v="32"/>
    <x v="830"/>
    <x v="5"/>
    <x v="422"/>
    <x v="10"/>
    <x v="2"/>
    <x v="4"/>
    <x v="221"/>
    <x v="10"/>
    <x v="4379"/>
    <x v="1"/>
  </r>
  <r>
    <x v="272"/>
    <x v="12"/>
    <x v="607"/>
    <x v="0"/>
    <x v="48"/>
    <x v="10"/>
    <x v="1"/>
    <x v="4"/>
    <x v="221"/>
    <x v="5"/>
    <x v="4380"/>
    <x v="1"/>
  </r>
  <r>
    <x v="272"/>
    <x v="9"/>
    <x v="1515"/>
    <x v="0"/>
    <x v="231"/>
    <x v="10"/>
    <x v="0"/>
    <x v="4"/>
    <x v="221"/>
    <x v="5"/>
    <x v="4381"/>
    <x v="1"/>
  </r>
  <r>
    <x v="272"/>
    <x v="20"/>
    <x v="1972"/>
    <x v="0"/>
    <x v="61"/>
    <x v="10"/>
    <x v="1"/>
    <x v="4"/>
    <x v="221"/>
    <x v="5"/>
    <x v="4382"/>
    <x v="1"/>
  </r>
  <r>
    <x v="272"/>
    <x v="29"/>
    <x v="40"/>
    <x v="1"/>
    <x v="109"/>
    <x v="10"/>
    <x v="0"/>
    <x v="4"/>
    <x v="221"/>
    <x v="6"/>
    <x v="4383"/>
    <x v="1"/>
  </r>
  <r>
    <x v="272"/>
    <x v="27"/>
    <x v="753"/>
    <x v="1"/>
    <x v="5"/>
    <x v="10"/>
    <x v="0"/>
    <x v="4"/>
    <x v="221"/>
    <x v="5"/>
    <x v="4384"/>
    <x v="1"/>
  </r>
  <r>
    <x v="272"/>
    <x v="8"/>
    <x v="816"/>
    <x v="0"/>
    <x v="238"/>
    <x v="10"/>
    <x v="1"/>
    <x v="4"/>
    <x v="221"/>
    <x v="5"/>
    <x v="4385"/>
    <x v="1"/>
  </r>
  <r>
    <x v="272"/>
    <x v="20"/>
    <x v="398"/>
    <x v="1"/>
    <x v="98"/>
    <x v="10"/>
    <x v="0"/>
    <x v="4"/>
    <x v="221"/>
    <x v="5"/>
    <x v="4386"/>
    <x v="1"/>
  </r>
  <r>
    <x v="272"/>
    <x v="17"/>
    <x v="134"/>
    <x v="0"/>
    <x v="105"/>
    <x v="10"/>
    <x v="0"/>
    <x v="4"/>
    <x v="221"/>
    <x v="3"/>
    <x v="4387"/>
    <x v="1"/>
  </r>
  <r>
    <x v="272"/>
    <x v="0"/>
    <x v="518"/>
    <x v="0"/>
    <x v="310"/>
    <x v="10"/>
    <x v="0"/>
    <x v="0"/>
    <x v="191"/>
    <x v="9"/>
    <x v="4388"/>
    <x v="1"/>
  </r>
  <r>
    <x v="272"/>
    <x v="38"/>
    <x v="383"/>
    <x v="0"/>
    <x v="389"/>
    <x v="10"/>
    <x v="0"/>
    <x v="1"/>
    <x v="221"/>
    <x v="5"/>
    <x v="4389"/>
    <x v="1"/>
  </r>
  <r>
    <x v="272"/>
    <x v="38"/>
    <x v="87"/>
    <x v="3"/>
    <x v="553"/>
    <x v="10"/>
    <x v="0"/>
    <x v="1"/>
    <x v="221"/>
    <x v="5"/>
    <x v="4390"/>
    <x v="1"/>
  </r>
  <r>
    <x v="272"/>
    <x v="38"/>
    <x v="305"/>
    <x v="0"/>
    <x v="76"/>
    <x v="10"/>
    <x v="1"/>
    <x v="1"/>
    <x v="221"/>
    <x v="5"/>
    <x v="4391"/>
    <x v="1"/>
  </r>
  <r>
    <x v="272"/>
    <x v="23"/>
    <x v="5"/>
    <x v="3"/>
    <x v="285"/>
    <x v="10"/>
    <x v="0"/>
    <x v="3"/>
    <x v="221"/>
    <x v="6"/>
    <x v="4392"/>
    <x v="1"/>
  </r>
  <r>
    <x v="272"/>
    <x v="15"/>
    <x v="272"/>
    <x v="3"/>
    <x v="353"/>
    <x v="10"/>
    <x v="0"/>
    <x v="3"/>
    <x v="221"/>
    <x v="4"/>
    <x v="4393"/>
    <x v="1"/>
  </r>
  <r>
    <x v="272"/>
    <x v="20"/>
    <x v="177"/>
    <x v="1"/>
    <x v="380"/>
    <x v="10"/>
    <x v="0"/>
    <x v="4"/>
    <x v="221"/>
    <x v="5"/>
    <x v="4394"/>
    <x v="1"/>
  </r>
  <r>
    <x v="272"/>
    <x v="32"/>
    <x v="1410"/>
    <x v="3"/>
    <x v="0"/>
    <x v="10"/>
    <x v="2"/>
    <x v="4"/>
    <x v="221"/>
    <x v="10"/>
    <x v="4395"/>
    <x v="1"/>
  </r>
  <r>
    <x v="272"/>
    <x v="32"/>
    <x v="343"/>
    <x v="6"/>
    <x v="422"/>
    <x v="10"/>
    <x v="2"/>
    <x v="4"/>
    <x v="221"/>
    <x v="10"/>
    <x v="4396"/>
    <x v="1"/>
  </r>
  <r>
    <x v="272"/>
    <x v="32"/>
    <x v="1677"/>
    <x v="7"/>
    <x v="422"/>
    <x v="10"/>
    <x v="2"/>
    <x v="4"/>
    <x v="221"/>
    <x v="10"/>
    <x v="4397"/>
    <x v="1"/>
  </r>
  <r>
    <x v="272"/>
    <x v="32"/>
    <x v="597"/>
    <x v="5"/>
    <x v="422"/>
    <x v="10"/>
    <x v="2"/>
    <x v="4"/>
    <x v="221"/>
    <x v="10"/>
    <x v="4398"/>
    <x v="1"/>
  </r>
  <r>
    <x v="272"/>
    <x v="37"/>
    <x v="19"/>
    <x v="1"/>
    <x v="546"/>
    <x v="10"/>
    <x v="0"/>
    <x v="4"/>
    <x v="221"/>
    <x v="12"/>
    <x v="4399"/>
    <x v="1"/>
  </r>
  <r>
    <x v="272"/>
    <x v="12"/>
    <x v="19"/>
    <x v="1"/>
    <x v="331"/>
    <x v="10"/>
    <x v="0"/>
    <x v="4"/>
    <x v="221"/>
    <x v="5"/>
    <x v="4400"/>
    <x v="1"/>
  </r>
  <r>
    <x v="273"/>
    <x v="12"/>
    <x v="363"/>
    <x v="0"/>
    <x v="48"/>
    <x v="10"/>
    <x v="1"/>
    <x v="4"/>
    <x v="221"/>
    <x v="5"/>
    <x v="4401"/>
    <x v="1"/>
  </r>
  <r>
    <x v="273"/>
    <x v="8"/>
    <x v="475"/>
    <x v="0"/>
    <x v="238"/>
    <x v="10"/>
    <x v="1"/>
    <x v="4"/>
    <x v="221"/>
    <x v="5"/>
    <x v="4402"/>
    <x v="1"/>
  </r>
  <r>
    <x v="273"/>
    <x v="12"/>
    <x v="19"/>
    <x v="1"/>
    <x v="331"/>
    <x v="10"/>
    <x v="0"/>
    <x v="4"/>
    <x v="221"/>
    <x v="5"/>
    <x v="4403"/>
    <x v="1"/>
  </r>
  <r>
    <x v="273"/>
    <x v="38"/>
    <x v="312"/>
    <x v="0"/>
    <x v="76"/>
    <x v="10"/>
    <x v="1"/>
    <x v="4"/>
    <x v="221"/>
    <x v="5"/>
    <x v="4404"/>
    <x v="1"/>
  </r>
  <r>
    <x v="273"/>
    <x v="9"/>
    <x v="974"/>
    <x v="0"/>
    <x v="231"/>
    <x v="10"/>
    <x v="0"/>
    <x v="4"/>
    <x v="221"/>
    <x v="5"/>
    <x v="4405"/>
    <x v="1"/>
  </r>
  <r>
    <x v="273"/>
    <x v="32"/>
    <x v="1492"/>
    <x v="3"/>
    <x v="422"/>
    <x v="10"/>
    <x v="2"/>
    <x v="4"/>
    <x v="221"/>
    <x v="10"/>
    <x v="4406"/>
    <x v="1"/>
  </r>
  <r>
    <x v="273"/>
    <x v="32"/>
    <x v="1722"/>
    <x v="7"/>
    <x v="422"/>
    <x v="10"/>
    <x v="2"/>
    <x v="4"/>
    <x v="221"/>
    <x v="10"/>
    <x v="4407"/>
    <x v="1"/>
  </r>
  <r>
    <x v="273"/>
    <x v="32"/>
    <x v="205"/>
    <x v="6"/>
    <x v="422"/>
    <x v="10"/>
    <x v="2"/>
    <x v="4"/>
    <x v="221"/>
    <x v="10"/>
    <x v="4408"/>
    <x v="1"/>
  </r>
  <r>
    <x v="273"/>
    <x v="32"/>
    <x v="402"/>
    <x v="5"/>
    <x v="422"/>
    <x v="10"/>
    <x v="2"/>
    <x v="4"/>
    <x v="221"/>
    <x v="10"/>
    <x v="4409"/>
    <x v="1"/>
  </r>
  <r>
    <x v="273"/>
    <x v="23"/>
    <x v="5"/>
    <x v="3"/>
    <x v="285"/>
    <x v="10"/>
    <x v="0"/>
    <x v="4"/>
    <x v="192"/>
    <x v="6"/>
    <x v="4410"/>
    <x v="1"/>
  </r>
  <r>
    <x v="273"/>
    <x v="32"/>
    <x v="738"/>
    <x v="8"/>
    <x v="422"/>
    <x v="10"/>
    <x v="2"/>
    <x v="4"/>
    <x v="221"/>
    <x v="10"/>
    <x v="4411"/>
    <x v="1"/>
  </r>
  <r>
    <x v="274"/>
    <x v="12"/>
    <x v="560"/>
    <x v="0"/>
    <x v="48"/>
    <x v="10"/>
    <x v="0"/>
    <x v="4"/>
    <x v="193"/>
    <x v="5"/>
    <x v="4412"/>
    <x v="1"/>
  </r>
  <r>
    <x v="274"/>
    <x v="9"/>
    <x v="1407"/>
    <x v="0"/>
    <x v="231"/>
    <x v="10"/>
    <x v="0"/>
    <x v="4"/>
    <x v="221"/>
    <x v="5"/>
    <x v="4413"/>
    <x v="1"/>
  </r>
  <r>
    <x v="274"/>
    <x v="38"/>
    <x v="1756"/>
    <x v="1"/>
    <x v="76"/>
    <x v="10"/>
    <x v="0"/>
    <x v="4"/>
    <x v="193"/>
    <x v="5"/>
    <x v="4414"/>
    <x v="1"/>
  </r>
  <r>
    <x v="274"/>
    <x v="3"/>
    <x v="484"/>
    <x v="0"/>
    <x v="579"/>
    <x v="10"/>
    <x v="0"/>
    <x v="1"/>
    <x v="193"/>
    <x v="4"/>
    <x v="4415"/>
    <x v="1"/>
  </r>
  <r>
    <x v="274"/>
    <x v="31"/>
    <x v="256"/>
    <x v="3"/>
    <x v="465"/>
    <x v="10"/>
    <x v="0"/>
    <x v="1"/>
    <x v="221"/>
    <x v="8"/>
    <x v="4416"/>
    <x v="1"/>
  </r>
  <r>
    <x v="274"/>
    <x v="17"/>
    <x v="112"/>
    <x v="1"/>
    <x v="491"/>
    <x v="10"/>
    <x v="0"/>
    <x v="1"/>
    <x v="221"/>
    <x v="3"/>
    <x v="4417"/>
    <x v="1"/>
  </r>
  <r>
    <x v="274"/>
    <x v="38"/>
    <x v="380"/>
    <x v="0"/>
    <x v="76"/>
    <x v="10"/>
    <x v="0"/>
    <x v="1"/>
    <x v="221"/>
    <x v="5"/>
    <x v="4418"/>
    <x v="1"/>
  </r>
  <r>
    <x v="274"/>
    <x v="31"/>
    <x v="36"/>
    <x v="1"/>
    <x v="39"/>
    <x v="10"/>
    <x v="0"/>
    <x v="1"/>
    <x v="221"/>
    <x v="8"/>
    <x v="4419"/>
    <x v="1"/>
  </r>
  <r>
    <x v="274"/>
    <x v="15"/>
    <x v="158"/>
    <x v="3"/>
    <x v="353"/>
    <x v="10"/>
    <x v="0"/>
    <x v="1"/>
    <x v="193"/>
    <x v="4"/>
    <x v="4420"/>
    <x v="1"/>
  </r>
  <r>
    <x v="274"/>
    <x v="37"/>
    <x v="19"/>
    <x v="1"/>
    <x v="546"/>
    <x v="10"/>
    <x v="0"/>
    <x v="1"/>
    <x v="221"/>
    <x v="12"/>
    <x v="4421"/>
    <x v="1"/>
  </r>
  <r>
    <x v="274"/>
    <x v="23"/>
    <x v="25"/>
    <x v="3"/>
    <x v="285"/>
    <x v="10"/>
    <x v="0"/>
    <x v="3"/>
    <x v="221"/>
    <x v="6"/>
    <x v="4422"/>
    <x v="1"/>
  </r>
  <r>
    <x v="274"/>
    <x v="12"/>
    <x v="19"/>
    <x v="1"/>
    <x v="331"/>
    <x v="10"/>
    <x v="0"/>
    <x v="1"/>
    <x v="221"/>
    <x v="5"/>
    <x v="4423"/>
    <x v="1"/>
  </r>
  <r>
    <x v="274"/>
    <x v="32"/>
    <x v="1175"/>
    <x v="3"/>
    <x v="422"/>
    <x v="10"/>
    <x v="2"/>
    <x v="4"/>
    <x v="221"/>
    <x v="10"/>
    <x v="4424"/>
    <x v="1"/>
  </r>
  <r>
    <x v="274"/>
    <x v="32"/>
    <x v="1344"/>
    <x v="2"/>
    <x v="422"/>
    <x v="10"/>
    <x v="2"/>
    <x v="4"/>
    <x v="221"/>
    <x v="10"/>
    <x v="4425"/>
    <x v="1"/>
  </r>
  <r>
    <x v="274"/>
    <x v="32"/>
    <x v="628"/>
    <x v="6"/>
    <x v="422"/>
    <x v="10"/>
    <x v="2"/>
    <x v="4"/>
    <x v="221"/>
    <x v="10"/>
    <x v="4426"/>
    <x v="1"/>
  </r>
  <r>
    <x v="274"/>
    <x v="32"/>
    <x v="1676"/>
    <x v="7"/>
    <x v="422"/>
    <x v="10"/>
    <x v="2"/>
    <x v="4"/>
    <x v="221"/>
    <x v="10"/>
    <x v="4427"/>
    <x v="1"/>
  </r>
  <r>
    <x v="274"/>
    <x v="32"/>
    <x v="256"/>
    <x v="8"/>
    <x v="422"/>
    <x v="10"/>
    <x v="2"/>
    <x v="4"/>
    <x v="221"/>
    <x v="10"/>
    <x v="4428"/>
    <x v="1"/>
  </r>
  <r>
    <x v="274"/>
    <x v="32"/>
    <x v="766"/>
    <x v="5"/>
    <x v="422"/>
    <x v="10"/>
    <x v="2"/>
    <x v="4"/>
    <x v="221"/>
    <x v="10"/>
    <x v="4429"/>
    <x v="1"/>
  </r>
  <r>
    <x v="274"/>
    <x v="38"/>
    <x v="12"/>
    <x v="3"/>
    <x v="334"/>
    <x v="10"/>
    <x v="0"/>
    <x v="1"/>
    <x v="221"/>
    <x v="5"/>
    <x v="4430"/>
    <x v="1"/>
  </r>
  <r>
    <x v="275"/>
    <x v="0"/>
    <x v="283"/>
    <x v="3"/>
    <x v="483"/>
    <x v="10"/>
    <x v="0"/>
    <x v="3"/>
    <x v="221"/>
    <x v="9"/>
    <x v="4431"/>
    <x v="1"/>
  </r>
  <r>
    <x v="275"/>
    <x v="12"/>
    <x v="198"/>
    <x v="0"/>
    <x v="48"/>
    <x v="10"/>
    <x v="1"/>
    <x v="4"/>
    <x v="221"/>
    <x v="5"/>
    <x v="4432"/>
    <x v="1"/>
  </r>
  <r>
    <x v="275"/>
    <x v="9"/>
    <x v="1240"/>
    <x v="0"/>
    <x v="231"/>
    <x v="10"/>
    <x v="0"/>
    <x v="4"/>
    <x v="221"/>
    <x v="5"/>
    <x v="4433"/>
    <x v="1"/>
  </r>
  <r>
    <x v="275"/>
    <x v="20"/>
    <x v="305"/>
    <x v="1"/>
    <x v="488"/>
    <x v="10"/>
    <x v="0"/>
    <x v="4"/>
    <x v="221"/>
    <x v="5"/>
    <x v="4434"/>
    <x v="1"/>
  </r>
  <r>
    <x v="275"/>
    <x v="3"/>
    <x v="957"/>
    <x v="0"/>
    <x v="507"/>
    <x v="10"/>
    <x v="0"/>
    <x v="1"/>
    <x v="194"/>
    <x v="4"/>
    <x v="4435"/>
    <x v="1"/>
  </r>
  <r>
    <x v="275"/>
    <x v="38"/>
    <x v="87"/>
    <x v="3"/>
    <x v="551"/>
    <x v="10"/>
    <x v="0"/>
    <x v="3"/>
    <x v="221"/>
    <x v="5"/>
    <x v="4436"/>
    <x v="1"/>
  </r>
  <r>
    <x v="275"/>
    <x v="38"/>
    <x v="36"/>
    <x v="1"/>
    <x v="401"/>
    <x v="10"/>
    <x v="0"/>
    <x v="1"/>
    <x v="221"/>
    <x v="5"/>
    <x v="4437"/>
    <x v="1"/>
  </r>
  <r>
    <x v="275"/>
    <x v="12"/>
    <x v="19"/>
    <x v="1"/>
    <x v="331"/>
    <x v="10"/>
    <x v="0"/>
    <x v="3"/>
    <x v="221"/>
    <x v="5"/>
    <x v="4438"/>
    <x v="1"/>
  </r>
  <r>
    <x v="275"/>
    <x v="20"/>
    <x v="33"/>
    <x v="1"/>
    <x v="377"/>
    <x v="10"/>
    <x v="0"/>
    <x v="1"/>
    <x v="221"/>
    <x v="5"/>
    <x v="4439"/>
    <x v="1"/>
  </r>
  <r>
    <x v="275"/>
    <x v="23"/>
    <x v="1"/>
    <x v="3"/>
    <x v="74"/>
    <x v="10"/>
    <x v="0"/>
    <x v="1"/>
    <x v="194"/>
    <x v="6"/>
    <x v="4440"/>
    <x v="1"/>
  </r>
  <r>
    <x v="275"/>
    <x v="38"/>
    <x v="319"/>
    <x v="0"/>
    <x v="76"/>
    <x v="10"/>
    <x v="1"/>
    <x v="1"/>
    <x v="221"/>
    <x v="5"/>
    <x v="4441"/>
    <x v="1"/>
  </r>
  <r>
    <x v="275"/>
    <x v="37"/>
    <x v="19"/>
    <x v="1"/>
    <x v="546"/>
    <x v="10"/>
    <x v="0"/>
    <x v="1"/>
    <x v="221"/>
    <x v="12"/>
    <x v="4442"/>
    <x v="1"/>
  </r>
  <r>
    <x v="275"/>
    <x v="32"/>
    <x v="1559"/>
    <x v="3"/>
    <x v="422"/>
    <x v="10"/>
    <x v="2"/>
    <x v="4"/>
    <x v="221"/>
    <x v="10"/>
    <x v="4443"/>
    <x v="1"/>
  </r>
  <r>
    <x v="275"/>
    <x v="32"/>
    <x v="1795"/>
    <x v="7"/>
    <x v="422"/>
    <x v="10"/>
    <x v="2"/>
    <x v="4"/>
    <x v="221"/>
    <x v="10"/>
    <x v="4444"/>
    <x v="1"/>
  </r>
  <r>
    <x v="275"/>
    <x v="32"/>
    <x v="454"/>
    <x v="6"/>
    <x v="422"/>
    <x v="10"/>
    <x v="2"/>
    <x v="4"/>
    <x v="221"/>
    <x v="10"/>
    <x v="4445"/>
    <x v="1"/>
  </r>
  <r>
    <x v="275"/>
    <x v="32"/>
    <x v="471"/>
    <x v="5"/>
    <x v="422"/>
    <x v="10"/>
    <x v="2"/>
    <x v="4"/>
    <x v="221"/>
    <x v="10"/>
    <x v="4446"/>
    <x v="1"/>
  </r>
  <r>
    <x v="275"/>
    <x v="32"/>
    <x v="286"/>
    <x v="2"/>
    <x v="422"/>
    <x v="10"/>
    <x v="2"/>
    <x v="4"/>
    <x v="221"/>
    <x v="10"/>
    <x v="4447"/>
    <x v="1"/>
  </r>
  <r>
    <x v="275"/>
    <x v="31"/>
    <x v="112"/>
    <x v="1"/>
    <x v="156"/>
    <x v="10"/>
    <x v="0"/>
    <x v="3"/>
    <x v="221"/>
    <x v="8"/>
    <x v="4448"/>
    <x v="1"/>
  </r>
  <r>
    <x v="276"/>
    <x v="9"/>
    <x v="1566"/>
    <x v="0"/>
    <x v="231"/>
    <x v="10"/>
    <x v="0"/>
    <x v="4"/>
    <x v="221"/>
    <x v="5"/>
    <x v="4449"/>
    <x v="1"/>
  </r>
  <r>
    <x v="276"/>
    <x v="36"/>
    <x v="45"/>
    <x v="1"/>
    <x v="376"/>
    <x v="10"/>
    <x v="0"/>
    <x v="3"/>
    <x v="221"/>
    <x v="5"/>
    <x v="4450"/>
    <x v="1"/>
  </r>
  <r>
    <x v="276"/>
    <x v="12"/>
    <x v="363"/>
    <x v="1"/>
    <x v="129"/>
    <x v="10"/>
    <x v="0"/>
    <x v="1"/>
    <x v="221"/>
    <x v="5"/>
    <x v="4451"/>
    <x v="1"/>
  </r>
  <r>
    <x v="276"/>
    <x v="27"/>
    <x v="753"/>
    <x v="1"/>
    <x v="360"/>
    <x v="10"/>
    <x v="0"/>
    <x v="3"/>
    <x v="221"/>
    <x v="5"/>
    <x v="4452"/>
    <x v="1"/>
  </r>
  <r>
    <x v="276"/>
    <x v="12"/>
    <x v="277"/>
    <x v="0"/>
    <x v="48"/>
    <x v="10"/>
    <x v="0"/>
    <x v="3"/>
    <x v="221"/>
    <x v="5"/>
    <x v="4453"/>
    <x v="1"/>
  </r>
  <r>
    <x v="276"/>
    <x v="3"/>
    <x v="244"/>
    <x v="1"/>
    <x v="580"/>
    <x v="10"/>
    <x v="0"/>
    <x v="3"/>
    <x v="221"/>
    <x v="4"/>
    <x v="4454"/>
    <x v="1"/>
  </r>
  <r>
    <x v="276"/>
    <x v="38"/>
    <x v="12"/>
    <x v="3"/>
    <x v="334"/>
    <x v="10"/>
    <x v="0"/>
    <x v="1"/>
    <x v="221"/>
    <x v="5"/>
    <x v="4455"/>
    <x v="1"/>
  </r>
  <r>
    <x v="276"/>
    <x v="23"/>
    <x v="12"/>
    <x v="3"/>
    <x v="285"/>
    <x v="10"/>
    <x v="0"/>
    <x v="1"/>
    <x v="221"/>
    <x v="6"/>
    <x v="4456"/>
    <x v="1"/>
  </r>
  <r>
    <x v="276"/>
    <x v="28"/>
    <x v="138"/>
    <x v="1"/>
    <x v="424"/>
    <x v="10"/>
    <x v="0"/>
    <x v="1"/>
    <x v="221"/>
    <x v="0"/>
    <x v="4457"/>
    <x v="1"/>
  </r>
  <r>
    <x v="276"/>
    <x v="31"/>
    <x v="27"/>
    <x v="1"/>
    <x v="38"/>
    <x v="10"/>
    <x v="0"/>
    <x v="3"/>
    <x v="221"/>
    <x v="8"/>
    <x v="4458"/>
    <x v="1"/>
  </r>
  <r>
    <x v="276"/>
    <x v="38"/>
    <x v="238"/>
    <x v="0"/>
    <x v="76"/>
    <x v="10"/>
    <x v="1"/>
    <x v="4"/>
    <x v="221"/>
    <x v="5"/>
    <x v="4459"/>
    <x v="1"/>
  </r>
  <r>
    <x v="276"/>
    <x v="12"/>
    <x v="19"/>
    <x v="1"/>
    <x v="331"/>
    <x v="10"/>
    <x v="0"/>
    <x v="4"/>
    <x v="221"/>
    <x v="5"/>
    <x v="4460"/>
    <x v="1"/>
  </r>
  <r>
    <x v="276"/>
    <x v="17"/>
    <x v="19"/>
    <x v="1"/>
    <x v="395"/>
    <x v="10"/>
    <x v="0"/>
    <x v="4"/>
    <x v="221"/>
    <x v="3"/>
    <x v="4461"/>
    <x v="1"/>
  </r>
  <r>
    <x v="276"/>
    <x v="1"/>
    <x v="332"/>
    <x v="1"/>
    <x v="432"/>
    <x v="10"/>
    <x v="0"/>
    <x v="4"/>
    <x v="221"/>
    <x v="4"/>
    <x v="4462"/>
    <x v="1"/>
  </r>
  <r>
    <x v="276"/>
    <x v="32"/>
    <x v="995"/>
    <x v="3"/>
    <x v="422"/>
    <x v="10"/>
    <x v="2"/>
    <x v="4"/>
    <x v="221"/>
    <x v="10"/>
    <x v="4463"/>
    <x v="1"/>
  </r>
  <r>
    <x v="276"/>
    <x v="32"/>
    <x v="1719"/>
    <x v="7"/>
    <x v="422"/>
    <x v="10"/>
    <x v="2"/>
    <x v="4"/>
    <x v="221"/>
    <x v="10"/>
    <x v="4464"/>
    <x v="1"/>
  </r>
  <r>
    <x v="276"/>
    <x v="32"/>
    <x v="205"/>
    <x v="4"/>
    <x v="422"/>
    <x v="10"/>
    <x v="2"/>
    <x v="4"/>
    <x v="221"/>
    <x v="10"/>
    <x v="4465"/>
    <x v="1"/>
  </r>
  <r>
    <x v="276"/>
    <x v="32"/>
    <x v="1100"/>
    <x v="5"/>
    <x v="422"/>
    <x v="10"/>
    <x v="2"/>
    <x v="4"/>
    <x v="221"/>
    <x v="10"/>
    <x v="4466"/>
    <x v="1"/>
  </r>
  <r>
    <x v="276"/>
    <x v="37"/>
    <x v="19"/>
    <x v="1"/>
    <x v="546"/>
    <x v="10"/>
    <x v="0"/>
    <x v="4"/>
    <x v="221"/>
    <x v="12"/>
    <x v="4467"/>
    <x v="1"/>
  </r>
  <r>
    <x v="276"/>
    <x v="0"/>
    <x v="256"/>
    <x v="3"/>
    <x v="15"/>
    <x v="10"/>
    <x v="0"/>
    <x v="3"/>
    <x v="195"/>
    <x v="9"/>
    <x v="4468"/>
    <x v="1"/>
  </r>
  <r>
    <x v="276"/>
    <x v="5"/>
    <x v="242"/>
    <x v="3"/>
    <x v="368"/>
    <x v="10"/>
    <x v="0"/>
    <x v="3"/>
    <x v="221"/>
    <x v="11"/>
    <x v="4469"/>
    <x v="1"/>
  </r>
  <r>
    <x v="277"/>
    <x v="12"/>
    <x v="366"/>
    <x v="0"/>
    <x v="48"/>
    <x v="10"/>
    <x v="1"/>
    <x v="1"/>
    <x v="221"/>
    <x v="5"/>
    <x v="4470"/>
    <x v="1"/>
  </r>
  <r>
    <x v="277"/>
    <x v="17"/>
    <x v="30"/>
    <x v="1"/>
    <x v="396"/>
    <x v="10"/>
    <x v="0"/>
    <x v="3"/>
    <x v="221"/>
    <x v="3"/>
    <x v="4471"/>
    <x v="1"/>
  </r>
  <r>
    <x v="277"/>
    <x v="16"/>
    <x v="45"/>
    <x v="1"/>
    <x v="336"/>
    <x v="10"/>
    <x v="0"/>
    <x v="3"/>
    <x v="221"/>
    <x v="6"/>
    <x v="4472"/>
    <x v="1"/>
  </r>
  <r>
    <x v="277"/>
    <x v="24"/>
    <x v="112"/>
    <x v="1"/>
    <x v="50"/>
    <x v="10"/>
    <x v="0"/>
    <x v="4"/>
    <x v="221"/>
    <x v="6"/>
    <x v="4473"/>
    <x v="1"/>
  </r>
  <r>
    <x v="277"/>
    <x v="24"/>
    <x v="112"/>
    <x v="1"/>
    <x v="490"/>
    <x v="10"/>
    <x v="0"/>
    <x v="4"/>
    <x v="221"/>
    <x v="6"/>
    <x v="4474"/>
    <x v="1"/>
  </r>
  <r>
    <x v="277"/>
    <x v="17"/>
    <x v="1954"/>
    <x v="0"/>
    <x v="301"/>
    <x v="10"/>
    <x v="1"/>
    <x v="4"/>
    <x v="221"/>
    <x v="3"/>
    <x v="4475"/>
    <x v="1"/>
  </r>
  <r>
    <x v="277"/>
    <x v="38"/>
    <x v="163"/>
    <x v="0"/>
    <x v="76"/>
    <x v="10"/>
    <x v="1"/>
    <x v="4"/>
    <x v="221"/>
    <x v="5"/>
    <x v="4476"/>
    <x v="1"/>
  </r>
  <r>
    <x v="277"/>
    <x v="32"/>
    <x v="1441"/>
    <x v="3"/>
    <x v="422"/>
    <x v="10"/>
    <x v="2"/>
    <x v="4"/>
    <x v="221"/>
    <x v="10"/>
    <x v="4477"/>
    <x v="1"/>
  </r>
  <r>
    <x v="277"/>
    <x v="32"/>
    <x v="1809"/>
    <x v="7"/>
    <x v="422"/>
    <x v="10"/>
    <x v="2"/>
    <x v="4"/>
    <x v="221"/>
    <x v="10"/>
    <x v="4478"/>
    <x v="1"/>
  </r>
  <r>
    <x v="277"/>
    <x v="32"/>
    <x v="19"/>
    <x v="6"/>
    <x v="422"/>
    <x v="10"/>
    <x v="2"/>
    <x v="4"/>
    <x v="221"/>
    <x v="10"/>
    <x v="4479"/>
    <x v="1"/>
  </r>
  <r>
    <x v="277"/>
    <x v="32"/>
    <x v="354"/>
    <x v="2"/>
    <x v="422"/>
    <x v="10"/>
    <x v="2"/>
    <x v="4"/>
    <x v="221"/>
    <x v="10"/>
    <x v="4480"/>
    <x v="1"/>
  </r>
  <r>
    <x v="277"/>
    <x v="32"/>
    <x v="650"/>
    <x v="5"/>
    <x v="422"/>
    <x v="10"/>
    <x v="2"/>
    <x v="4"/>
    <x v="221"/>
    <x v="10"/>
    <x v="4481"/>
    <x v="1"/>
  </r>
  <r>
    <x v="277"/>
    <x v="0"/>
    <x v="256"/>
    <x v="1"/>
    <x v="22"/>
    <x v="10"/>
    <x v="0"/>
    <x v="3"/>
    <x v="221"/>
    <x v="9"/>
    <x v="4482"/>
    <x v="1"/>
  </r>
  <r>
    <x v="278"/>
    <x v="9"/>
    <x v="1119"/>
    <x v="0"/>
    <x v="231"/>
    <x v="10"/>
    <x v="0"/>
    <x v="4"/>
    <x v="221"/>
    <x v="5"/>
    <x v="4483"/>
    <x v="1"/>
  </r>
  <r>
    <x v="278"/>
    <x v="27"/>
    <x v="256"/>
    <x v="1"/>
    <x v="411"/>
    <x v="10"/>
    <x v="0"/>
    <x v="4"/>
    <x v="221"/>
    <x v="5"/>
    <x v="4484"/>
    <x v="1"/>
  </r>
  <r>
    <x v="278"/>
    <x v="38"/>
    <x v="1483"/>
    <x v="1"/>
    <x v="76"/>
    <x v="10"/>
    <x v="0"/>
    <x v="1"/>
    <x v="196"/>
    <x v="5"/>
    <x v="4485"/>
    <x v="1"/>
  </r>
  <r>
    <x v="278"/>
    <x v="12"/>
    <x v="277"/>
    <x v="1"/>
    <x v="48"/>
    <x v="10"/>
    <x v="1"/>
    <x v="4"/>
    <x v="221"/>
    <x v="5"/>
    <x v="4486"/>
    <x v="1"/>
  </r>
  <r>
    <x v="278"/>
    <x v="24"/>
    <x v="158"/>
    <x v="1"/>
    <x v="72"/>
    <x v="10"/>
    <x v="0"/>
    <x v="1"/>
    <x v="221"/>
    <x v="6"/>
    <x v="4487"/>
    <x v="1"/>
  </r>
  <r>
    <x v="278"/>
    <x v="37"/>
    <x v="19"/>
    <x v="1"/>
    <x v="546"/>
    <x v="10"/>
    <x v="0"/>
    <x v="4"/>
    <x v="221"/>
    <x v="12"/>
    <x v="4488"/>
    <x v="1"/>
  </r>
  <r>
    <x v="278"/>
    <x v="32"/>
    <x v="1301"/>
    <x v="3"/>
    <x v="422"/>
    <x v="10"/>
    <x v="2"/>
    <x v="4"/>
    <x v="221"/>
    <x v="10"/>
    <x v="4489"/>
    <x v="1"/>
  </r>
  <r>
    <x v="278"/>
    <x v="32"/>
    <x v="1858"/>
    <x v="7"/>
    <x v="422"/>
    <x v="10"/>
    <x v="2"/>
    <x v="4"/>
    <x v="221"/>
    <x v="10"/>
    <x v="4490"/>
    <x v="1"/>
  </r>
  <r>
    <x v="278"/>
    <x v="32"/>
    <x v="1500"/>
    <x v="5"/>
    <x v="422"/>
    <x v="10"/>
    <x v="2"/>
    <x v="4"/>
    <x v="221"/>
    <x v="10"/>
    <x v="4491"/>
    <x v="1"/>
  </r>
  <r>
    <x v="278"/>
    <x v="4"/>
    <x v="19"/>
    <x v="3"/>
    <x v="462"/>
    <x v="10"/>
    <x v="0"/>
    <x v="4"/>
    <x v="221"/>
    <x v="2"/>
    <x v="4492"/>
    <x v="1"/>
  </r>
  <r>
    <x v="279"/>
    <x v="12"/>
    <x v="397"/>
    <x v="0"/>
    <x v="48"/>
    <x v="10"/>
    <x v="1"/>
    <x v="4"/>
    <x v="221"/>
    <x v="5"/>
    <x v="4493"/>
    <x v="1"/>
  </r>
  <r>
    <x v="279"/>
    <x v="9"/>
    <x v="1506"/>
    <x v="0"/>
    <x v="231"/>
    <x v="10"/>
    <x v="0"/>
    <x v="4"/>
    <x v="221"/>
    <x v="5"/>
    <x v="4494"/>
    <x v="1"/>
  </r>
  <r>
    <x v="279"/>
    <x v="8"/>
    <x v="475"/>
    <x v="0"/>
    <x v="238"/>
    <x v="10"/>
    <x v="1"/>
    <x v="4"/>
    <x v="221"/>
    <x v="5"/>
    <x v="4495"/>
    <x v="1"/>
  </r>
  <r>
    <x v="279"/>
    <x v="20"/>
    <x v="1286"/>
    <x v="0"/>
    <x v="61"/>
    <x v="10"/>
    <x v="1"/>
    <x v="4"/>
    <x v="221"/>
    <x v="5"/>
    <x v="4496"/>
    <x v="1"/>
  </r>
  <r>
    <x v="279"/>
    <x v="26"/>
    <x v="90"/>
    <x v="3"/>
    <x v="338"/>
    <x v="10"/>
    <x v="0"/>
    <x v="4"/>
    <x v="221"/>
    <x v="5"/>
    <x v="4497"/>
    <x v="1"/>
  </r>
  <r>
    <x v="279"/>
    <x v="38"/>
    <x v="12"/>
    <x v="3"/>
    <x v="334"/>
    <x v="10"/>
    <x v="0"/>
    <x v="4"/>
    <x v="221"/>
    <x v="5"/>
    <x v="4498"/>
    <x v="1"/>
  </r>
  <r>
    <x v="279"/>
    <x v="13"/>
    <x v="1004"/>
    <x v="0"/>
    <x v="34"/>
    <x v="10"/>
    <x v="1"/>
    <x v="4"/>
    <x v="221"/>
    <x v="5"/>
    <x v="4499"/>
    <x v="1"/>
  </r>
  <r>
    <x v="279"/>
    <x v="38"/>
    <x v="362"/>
    <x v="0"/>
    <x v="76"/>
    <x v="10"/>
    <x v="1"/>
    <x v="4"/>
    <x v="221"/>
    <x v="5"/>
    <x v="4500"/>
    <x v="1"/>
  </r>
  <r>
    <x v="279"/>
    <x v="32"/>
    <x v="1602"/>
    <x v="3"/>
    <x v="422"/>
    <x v="10"/>
    <x v="2"/>
    <x v="4"/>
    <x v="221"/>
    <x v="10"/>
    <x v="4501"/>
    <x v="1"/>
  </r>
  <r>
    <x v="279"/>
    <x v="32"/>
    <x v="1821"/>
    <x v="7"/>
    <x v="422"/>
    <x v="10"/>
    <x v="2"/>
    <x v="4"/>
    <x v="221"/>
    <x v="10"/>
    <x v="4502"/>
    <x v="1"/>
  </r>
  <r>
    <x v="279"/>
    <x v="32"/>
    <x v="799"/>
    <x v="2"/>
    <x v="422"/>
    <x v="10"/>
    <x v="2"/>
    <x v="4"/>
    <x v="221"/>
    <x v="10"/>
    <x v="4503"/>
    <x v="1"/>
  </r>
  <r>
    <x v="279"/>
    <x v="32"/>
    <x v="377"/>
    <x v="8"/>
    <x v="422"/>
    <x v="10"/>
    <x v="2"/>
    <x v="4"/>
    <x v="221"/>
    <x v="10"/>
    <x v="4504"/>
    <x v="1"/>
  </r>
  <r>
    <x v="279"/>
    <x v="32"/>
    <x v="849"/>
    <x v="5"/>
    <x v="422"/>
    <x v="10"/>
    <x v="2"/>
    <x v="4"/>
    <x v="221"/>
    <x v="10"/>
    <x v="4505"/>
    <x v="1"/>
  </r>
  <r>
    <x v="279"/>
    <x v="32"/>
    <x v="40"/>
    <x v="6"/>
    <x v="422"/>
    <x v="10"/>
    <x v="2"/>
    <x v="4"/>
    <x v="221"/>
    <x v="10"/>
    <x v="4506"/>
    <x v="1"/>
  </r>
  <r>
    <x v="279"/>
    <x v="17"/>
    <x v="9"/>
    <x v="3"/>
    <x v="293"/>
    <x v="10"/>
    <x v="0"/>
    <x v="4"/>
    <x v="221"/>
    <x v="3"/>
    <x v="4507"/>
    <x v="1"/>
  </r>
  <r>
    <x v="278"/>
    <x v="37"/>
    <x v="19"/>
    <x v="3"/>
    <x v="546"/>
    <x v="10"/>
    <x v="0"/>
    <x v="4"/>
    <x v="221"/>
    <x v="12"/>
    <x v="4508"/>
    <x v="1"/>
  </r>
  <r>
    <x v="279"/>
    <x v="23"/>
    <x v="5"/>
    <x v="3"/>
    <x v="282"/>
    <x v="10"/>
    <x v="0"/>
    <x v="4"/>
    <x v="221"/>
    <x v="6"/>
    <x v="4509"/>
    <x v="1"/>
  </r>
  <r>
    <x v="280"/>
    <x v="12"/>
    <x v="498"/>
    <x v="0"/>
    <x v="48"/>
    <x v="10"/>
    <x v="1"/>
    <x v="4"/>
    <x v="221"/>
    <x v="5"/>
    <x v="4510"/>
    <x v="1"/>
  </r>
  <r>
    <x v="280"/>
    <x v="9"/>
    <x v="1619"/>
    <x v="0"/>
    <x v="231"/>
    <x v="10"/>
    <x v="0"/>
    <x v="4"/>
    <x v="221"/>
    <x v="5"/>
    <x v="4511"/>
    <x v="1"/>
  </r>
  <r>
    <x v="280"/>
    <x v="20"/>
    <x v="683"/>
    <x v="1"/>
    <x v="99"/>
    <x v="10"/>
    <x v="0"/>
    <x v="4"/>
    <x v="221"/>
    <x v="5"/>
    <x v="4512"/>
    <x v="1"/>
  </r>
  <r>
    <x v="280"/>
    <x v="38"/>
    <x v="1483"/>
    <x v="1"/>
    <x v="76"/>
    <x v="10"/>
    <x v="0"/>
    <x v="1"/>
    <x v="197"/>
    <x v="5"/>
    <x v="4513"/>
    <x v="1"/>
  </r>
  <r>
    <x v="280"/>
    <x v="3"/>
    <x v="475"/>
    <x v="1"/>
    <x v="580"/>
    <x v="10"/>
    <x v="0"/>
    <x v="1"/>
    <x v="197"/>
    <x v="4"/>
    <x v="4514"/>
    <x v="1"/>
  </r>
  <r>
    <x v="280"/>
    <x v="14"/>
    <x v="12"/>
    <x v="3"/>
    <x v="462"/>
    <x v="10"/>
    <x v="0"/>
    <x v="4"/>
    <x v="221"/>
    <x v="6"/>
    <x v="4515"/>
    <x v="1"/>
  </r>
  <r>
    <x v="280"/>
    <x v="15"/>
    <x v="179"/>
    <x v="1"/>
    <x v="353"/>
    <x v="10"/>
    <x v="0"/>
    <x v="1"/>
    <x v="197"/>
    <x v="4"/>
    <x v="4516"/>
    <x v="1"/>
  </r>
  <r>
    <x v="280"/>
    <x v="38"/>
    <x v="53"/>
    <x v="1"/>
    <x v="401"/>
    <x v="10"/>
    <x v="0"/>
    <x v="1"/>
    <x v="197"/>
    <x v="5"/>
    <x v="4517"/>
    <x v="1"/>
  </r>
  <r>
    <x v="280"/>
    <x v="23"/>
    <x v="5"/>
    <x v="3"/>
    <x v="282"/>
    <x v="10"/>
    <x v="0"/>
    <x v="2"/>
    <x v="197"/>
    <x v="6"/>
    <x v="4518"/>
    <x v="1"/>
  </r>
  <r>
    <x v="280"/>
    <x v="32"/>
    <x v="1250"/>
    <x v="3"/>
    <x v="422"/>
    <x v="10"/>
    <x v="2"/>
    <x v="4"/>
    <x v="221"/>
    <x v="10"/>
    <x v="4519"/>
    <x v="1"/>
  </r>
  <r>
    <x v="280"/>
    <x v="32"/>
    <x v="1792"/>
    <x v="7"/>
    <x v="422"/>
    <x v="10"/>
    <x v="2"/>
    <x v="4"/>
    <x v="221"/>
    <x v="10"/>
    <x v="4520"/>
    <x v="1"/>
  </r>
  <r>
    <x v="280"/>
    <x v="32"/>
    <x v="370"/>
    <x v="8"/>
    <x v="422"/>
    <x v="10"/>
    <x v="2"/>
    <x v="4"/>
    <x v="221"/>
    <x v="10"/>
    <x v="4521"/>
    <x v="1"/>
  </r>
  <r>
    <x v="280"/>
    <x v="32"/>
    <x v="564"/>
    <x v="5"/>
    <x v="422"/>
    <x v="10"/>
    <x v="2"/>
    <x v="4"/>
    <x v="221"/>
    <x v="10"/>
    <x v="4522"/>
    <x v="1"/>
  </r>
  <r>
    <x v="280"/>
    <x v="32"/>
    <x v="45"/>
    <x v="6"/>
    <x v="422"/>
    <x v="10"/>
    <x v="2"/>
    <x v="4"/>
    <x v="221"/>
    <x v="10"/>
    <x v="4523"/>
    <x v="1"/>
  </r>
  <r>
    <x v="280"/>
    <x v="38"/>
    <x v="514"/>
    <x v="0"/>
    <x v="76"/>
    <x v="10"/>
    <x v="1"/>
    <x v="4"/>
    <x v="221"/>
    <x v="5"/>
    <x v="4524"/>
    <x v="1"/>
  </r>
  <r>
    <x v="280"/>
    <x v="13"/>
    <x v="49"/>
    <x v="1"/>
    <x v="433"/>
    <x v="10"/>
    <x v="0"/>
    <x v="1"/>
    <x v="197"/>
    <x v="5"/>
    <x v="4525"/>
    <x v="1"/>
  </r>
  <r>
    <x v="280"/>
    <x v="37"/>
    <x v="19"/>
    <x v="1"/>
    <x v="546"/>
    <x v="10"/>
    <x v="0"/>
    <x v="1"/>
    <x v="197"/>
    <x v="12"/>
    <x v="4526"/>
    <x v="1"/>
  </r>
  <r>
    <x v="280"/>
    <x v="38"/>
    <x v="87"/>
    <x v="1"/>
    <x v="553"/>
    <x v="10"/>
    <x v="0"/>
    <x v="1"/>
    <x v="221"/>
    <x v="5"/>
    <x v="4527"/>
    <x v="1"/>
  </r>
  <r>
    <x v="281"/>
    <x v="12"/>
    <x v="875"/>
    <x v="0"/>
    <x v="48"/>
    <x v="10"/>
    <x v="1"/>
    <x v="4"/>
    <x v="221"/>
    <x v="5"/>
    <x v="4528"/>
    <x v="1"/>
  </r>
  <r>
    <x v="281"/>
    <x v="8"/>
    <x v="816"/>
    <x v="0"/>
    <x v="238"/>
    <x v="10"/>
    <x v="1"/>
    <x v="4"/>
    <x v="221"/>
    <x v="5"/>
    <x v="4529"/>
    <x v="1"/>
  </r>
  <r>
    <x v="281"/>
    <x v="9"/>
    <x v="1404"/>
    <x v="0"/>
    <x v="231"/>
    <x v="10"/>
    <x v="0"/>
    <x v="4"/>
    <x v="221"/>
    <x v="5"/>
    <x v="4530"/>
    <x v="1"/>
  </r>
  <r>
    <x v="281"/>
    <x v="23"/>
    <x v="5"/>
    <x v="3"/>
    <x v="282"/>
    <x v="10"/>
    <x v="0"/>
    <x v="1"/>
    <x v="221"/>
    <x v="6"/>
    <x v="4531"/>
    <x v="1"/>
  </r>
  <r>
    <x v="281"/>
    <x v="23"/>
    <x v="1"/>
    <x v="3"/>
    <x v="282"/>
    <x v="10"/>
    <x v="0"/>
    <x v="4"/>
    <x v="221"/>
    <x v="6"/>
    <x v="4532"/>
    <x v="1"/>
  </r>
  <r>
    <x v="281"/>
    <x v="38"/>
    <x v="19"/>
    <x v="3"/>
    <x v="334"/>
    <x v="10"/>
    <x v="0"/>
    <x v="4"/>
    <x v="221"/>
    <x v="5"/>
    <x v="4533"/>
    <x v="1"/>
  </r>
  <r>
    <x v="281"/>
    <x v="26"/>
    <x v="90"/>
    <x v="3"/>
    <x v="338"/>
    <x v="10"/>
    <x v="0"/>
    <x v="1"/>
    <x v="198"/>
    <x v="5"/>
    <x v="4534"/>
    <x v="1"/>
  </r>
  <r>
    <x v="281"/>
    <x v="24"/>
    <x v="143"/>
    <x v="1"/>
    <x v="50"/>
    <x v="10"/>
    <x v="0"/>
    <x v="1"/>
    <x v="221"/>
    <x v="6"/>
    <x v="4535"/>
    <x v="1"/>
  </r>
  <r>
    <x v="281"/>
    <x v="38"/>
    <x v="239"/>
    <x v="1"/>
    <x v="389"/>
    <x v="10"/>
    <x v="0"/>
    <x v="1"/>
    <x v="221"/>
    <x v="5"/>
    <x v="4536"/>
    <x v="1"/>
  </r>
  <r>
    <x v="281"/>
    <x v="28"/>
    <x v="138"/>
    <x v="1"/>
    <x v="424"/>
    <x v="10"/>
    <x v="0"/>
    <x v="1"/>
    <x v="221"/>
    <x v="0"/>
    <x v="4537"/>
    <x v="1"/>
  </r>
  <r>
    <x v="281"/>
    <x v="20"/>
    <x v="33"/>
    <x v="1"/>
    <x v="377"/>
    <x v="10"/>
    <x v="0"/>
    <x v="1"/>
    <x v="221"/>
    <x v="5"/>
    <x v="4538"/>
    <x v="1"/>
  </r>
  <r>
    <x v="281"/>
    <x v="38"/>
    <x v="397"/>
    <x v="0"/>
    <x v="76"/>
    <x v="10"/>
    <x v="1"/>
    <x v="4"/>
    <x v="221"/>
    <x v="5"/>
    <x v="4539"/>
    <x v="1"/>
  </r>
  <r>
    <x v="281"/>
    <x v="32"/>
    <x v="1253"/>
    <x v="3"/>
    <x v="422"/>
    <x v="10"/>
    <x v="2"/>
    <x v="4"/>
    <x v="221"/>
    <x v="10"/>
    <x v="4540"/>
    <x v="1"/>
  </r>
  <r>
    <x v="281"/>
    <x v="32"/>
    <x v="1989"/>
    <x v="7"/>
    <x v="422"/>
    <x v="10"/>
    <x v="2"/>
    <x v="4"/>
    <x v="221"/>
    <x v="10"/>
    <x v="4541"/>
    <x v="1"/>
  </r>
  <r>
    <x v="281"/>
    <x v="32"/>
    <x v="126"/>
    <x v="6"/>
    <x v="422"/>
    <x v="10"/>
    <x v="2"/>
    <x v="4"/>
    <x v="221"/>
    <x v="10"/>
    <x v="4542"/>
    <x v="1"/>
  </r>
  <r>
    <x v="281"/>
    <x v="32"/>
    <x v="811"/>
    <x v="5"/>
    <x v="422"/>
    <x v="10"/>
    <x v="2"/>
    <x v="4"/>
    <x v="221"/>
    <x v="10"/>
    <x v="4543"/>
    <x v="1"/>
  </r>
  <r>
    <x v="281"/>
    <x v="32"/>
    <x v="890"/>
    <x v="2"/>
    <x v="422"/>
    <x v="10"/>
    <x v="2"/>
    <x v="4"/>
    <x v="221"/>
    <x v="10"/>
    <x v="4544"/>
    <x v="1"/>
  </r>
  <r>
    <x v="282"/>
    <x v="12"/>
    <x v="816"/>
    <x v="0"/>
    <x v="48"/>
    <x v="11"/>
    <x v="1"/>
    <x v="4"/>
    <x v="221"/>
    <x v="5"/>
    <x v="4545"/>
    <x v="1"/>
  </r>
  <r>
    <x v="282"/>
    <x v="9"/>
    <x v="1717"/>
    <x v="0"/>
    <x v="231"/>
    <x v="11"/>
    <x v="0"/>
    <x v="4"/>
    <x v="221"/>
    <x v="5"/>
    <x v="4546"/>
    <x v="1"/>
  </r>
  <r>
    <x v="282"/>
    <x v="38"/>
    <x v="371"/>
    <x v="0"/>
    <x v="76"/>
    <x v="11"/>
    <x v="1"/>
    <x v="4"/>
    <x v="221"/>
    <x v="5"/>
    <x v="4547"/>
    <x v="1"/>
  </r>
  <r>
    <x v="282"/>
    <x v="23"/>
    <x v="12"/>
    <x v="3"/>
    <x v="282"/>
    <x v="11"/>
    <x v="0"/>
    <x v="4"/>
    <x v="221"/>
    <x v="6"/>
    <x v="4548"/>
    <x v="1"/>
  </r>
  <r>
    <x v="282"/>
    <x v="15"/>
    <x v="170"/>
    <x v="3"/>
    <x v="353"/>
    <x v="11"/>
    <x v="0"/>
    <x v="1"/>
    <x v="221"/>
    <x v="4"/>
    <x v="4549"/>
    <x v="1"/>
  </r>
  <r>
    <x v="282"/>
    <x v="32"/>
    <x v="313"/>
    <x v="3"/>
    <x v="422"/>
    <x v="11"/>
    <x v="2"/>
    <x v="4"/>
    <x v="221"/>
    <x v="10"/>
    <x v="4550"/>
    <x v="1"/>
  </r>
  <r>
    <x v="282"/>
    <x v="32"/>
    <x v="1951"/>
    <x v="7"/>
    <x v="422"/>
    <x v="11"/>
    <x v="2"/>
    <x v="4"/>
    <x v="221"/>
    <x v="10"/>
    <x v="4551"/>
    <x v="1"/>
  </r>
  <r>
    <x v="282"/>
    <x v="32"/>
    <x v="717"/>
    <x v="6"/>
    <x v="422"/>
    <x v="11"/>
    <x v="2"/>
    <x v="4"/>
    <x v="221"/>
    <x v="10"/>
    <x v="4552"/>
    <x v="1"/>
  </r>
  <r>
    <x v="282"/>
    <x v="32"/>
    <x v="187"/>
    <x v="2"/>
    <x v="422"/>
    <x v="11"/>
    <x v="2"/>
    <x v="4"/>
    <x v="221"/>
    <x v="10"/>
    <x v="4553"/>
    <x v="1"/>
  </r>
  <r>
    <x v="282"/>
    <x v="32"/>
    <x v="375"/>
    <x v="8"/>
    <x v="422"/>
    <x v="11"/>
    <x v="2"/>
    <x v="4"/>
    <x v="221"/>
    <x v="10"/>
    <x v="4554"/>
    <x v="1"/>
  </r>
  <r>
    <x v="282"/>
    <x v="32"/>
    <x v="737"/>
    <x v="5"/>
    <x v="422"/>
    <x v="11"/>
    <x v="2"/>
    <x v="4"/>
    <x v="221"/>
    <x v="10"/>
    <x v="4555"/>
    <x v="1"/>
  </r>
  <r>
    <x v="282"/>
    <x v="37"/>
    <x v="19"/>
    <x v="1"/>
    <x v="546"/>
    <x v="11"/>
    <x v="0"/>
    <x v="1"/>
    <x v="199"/>
    <x v="12"/>
    <x v="4556"/>
    <x v="1"/>
  </r>
  <r>
    <x v="283"/>
    <x v="21"/>
    <x v="554"/>
    <x v="1"/>
    <x v="196"/>
    <x v="11"/>
    <x v="0"/>
    <x v="4"/>
    <x v="221"/>
    <x v="3"/>
    <x v="4557"/>
    <x v="1"/>
  </r>
  <r>
    <x v="283"/>
    <x v="21"/>
    <x v="431"/>
    <x v="1"/>
    <x v="498"/>
    <x v="11"/>
    <x v="0"/>
    <x v="4"/>
    <x v="221"/>
    <x v="3"/>
    <x v="4558"/>
    <x v="1"/>
  </r>
  <r>
    <x v="283"/>
    <x v="9"/>
    <x v="953"/>
    <x v="0"/>
    <x v="231"/>
    <x v="11"/>
    <x v="0"/>
    <x v="1"/>
    <x v="221"/>
    <x v="5"/>
    <x v="4559"/>
    <x v="1"/>
  </r>
  <r>
    <x v="283"/>
    <x v="12"/>
    <x v="318"/>
    <x v="0"/>
    <x v="48"/>
    <x v="11"/>
    <x v="1"/>
    <x v="1"/>
    <x v="221"/>
    <x v="5"/>
    <x v="4560"/>
    <x v="1"/>
  </r>
  <r>
    <x v="283"/>
    <x v="24"/>
    <x v="158"/>
    <x v="1"/>
    <x v="486"/>
    <x v="11"/>
    <x v="0"/>
    <x v="1"/>
    <x v="200"/>
    <x v="6"/>
    <x v="4561"/>
    <x v="1"/>
  </r>
  <r>
    <x v="283"/>
    <x v="23"/>
    <x v="5"/>
    <x v="3"/>
    <x v="282"/>
    <x v="11"/>
    <x v="0"/>
    <x v="4"/>
    <x v="221"/>
    <x v="6"/>
    <x v="4562"/>
    <x v="1"/>
  </r>
  <r>
    <x v="283"/>
    <x v="24"/>
    <x v="816"/>
    <x v="1"/>
    <x v="308"/>
    <x v="11"/>
    <x v="0"/>
    <x v="1"/>
    <x v="221"/>
    <x v="6"/>
    <x v="4563"/>
    <x v="1"/>
  </r>
  <r>
    <x v="283"/>
    <x v="24"/>
    <x v="106"/>
    <x v="1"/>
    <x v="469"/>
    <x v="11"/>
    <x v="0"/>
    <x v="1"/>
    <x v="221"/>
    <x v="6"/>
    <x v="4564"/>
    <x v="1"/>
  </r>
  <r>
    <x v="283"/>
    <x v="12"/>
    <x v="545"/>
    <x v="1"/>
    <x v="513"/>
    <x v="11"/>
    <x v="0"/>
    <x v="1"/>
    <x v="221"/>
    <x v="5"/>
    <x v="4565"/>
    <x v="1"/>
  </r>
  <r>
    <x v="283"/>
    <x v="15"/>
    <x v="180"/>
    <x v="1"/>
    <x v="191"/>
    <x v="11"/>
    <x v="0"/>
    <x v="1"/>
    <x v="221"/>
    <x v="4"/>
    <x v="4566"/>
    <x v="1"/>
  </r>
  <r>
    <x v="283"/>
    <x v="38"/>
    <x v="87"/>
    <x v="1"/>
    <x v="553"/>
    <x v="11"/>
    <x v="0"/>
    <x v="1"/>
    <x v="221"/>
    <x v="5"/>
    <x v="4567"/>
    <x v="1"/>
  </r>
  <r>
    <x v="283"/>
    <x v="38"/>
    <x v="335"/>
    <x v="0"/>
    <x v="76"/>
    <x v="11"/>
    <x v="1"/>
    <x v="4"/>
    <x v="221"/>
    <x v="5"/>
    <x v="4568"/>
    <x v="1"/>
  </r>
  <r>
    <x v="283"/>
    <x v="32"/>
    <x v="1551"/>
    <x v="3"/>
    <x v="422"/>
    <x v="11"/>
    <x v="2"/>
    <x v="4"/>
    <x v="221"/>
    <x v="10"/>
    <x v="4569"/>
    <x v="1"/>
  </r>
  <r>
    <x v="283"/>
    <x v="32"/>
    <x v="400"/>
    <x v="5"/>
    <x v="422"/>
    <x v="11"/>
    <x v="2"/>
    <x v="4"/>
    <x v="221"/>
    <x v="10"/>
    <x v="4570"/>
    <x v="1"/>
  </r>
  <r>
    <x v="283"/>
    <x v="32"/>
    <x v="1644"/>
    <x v="6"/>
    <x v="422"/>
    <x v="11"/>
    <x v="2"/>
    <x v="4"/>
    <x v="221"/>
    <x v="10"/>
    <x v="4571"/>
    <x v="1"/>
  </r>
  <r>
    <x v="283"/>
    <x v="32"/>
    <x v="1924"/>
    <x v="7"/>
    <x v="422"/>
    <x v="11"/>
    <x v="2"/>
    <x v="4"/>
    <x v="221"/>
    <x v="10"/>
    <x v="4572"/>
    <x v="1"/>
  </r>
  <r>
    <x v="283"/>
    <x v="24"/>
    <x v="25"/>
    <x v="1"/>
    <x v="413"/>
    <x v="11"/>
    <x v="0"/>
    <x v="1"/>
    <x v="221"/>
    <x v="6"/>
    <x v="4573"/>
    <x v="1"/>
  </r>
  <r>
    <x v="283"/>
    <x v="24"/>
    <x v="42"/>
    <x v="1"/>
    <x v="88"/>
    <x v="11"/>
    <x v="0"/>
    <x v="1"/>
    <x v="221"/>
    <x v="6"/>
    <x v="4574"/>
    <x v="1"/>
  </r>
  <r>
    <x v="283"/>
    <x v="24"/>
    <x v="9"/>
    <x v="1"/>
    <x v="395"/>
    <x v="11"/>
    <x v="0"/>
    <x v="3"/>
    <x v="221"/>
    <x v="6"/>
    <x v="4575"/>
    <x v="1"/>
  </r>
  <r>
    <x v="283"/>
    <x v="37"/>
    <x v="19"/>
    <x v="1"/>
    <x v="546"/>
    <x v="11"/>
    <x v="0"/>
    <x v="3"/>
    <x v="221"/>
    <x v="12"/>
    <x v="4576"/>
    <x v="1"/>
  </r>
  <r>
    <x v="284"/>
    <x v="8"/>
    <x v="816"/>
    <x v="0"/>
    <x v="76"/>
    <x v="11"/>
    <x v="1"/>
    <x v="1"/>
    <x v="221"/>
    <x v="5"/>
    <x v="4577"/>
    <x v="1"/>
  </r>
  <r>
    <x v="284"/>
    <x v="9"/>
    <x v="1421"/>
    <x v="0"/>
    <x v="231"/>
    <x v="11"/>
    <x v="0"/>
    <x v="1"/>
    <x v="221"/>
    <x v="5"/>
    <x v="4578"/>
    <x v="1"/>
  </r>
  <r>
    <x v="284"/>
    <x v="24"/>
    <x v="719"/>
    <x v="1"/>
    <x v="270"/>
    <x v="11"/>
    <x v="0"/>
    <x v="1"/>
    <x v="221"/>
    <x v="6"/>
    <x v="4579"/>
    <x v="1"/>
  </r>
  <r>
    <x v="284"/>
    <x v="3"/>
    <x v="242"/>
    <x v="3"/>
    <x v="580"/>
    <x v="11"/>
    <x v="0"/>
    <x v="1"/>
    <x v="201"/>
    <x v="4"/>
    <x v="4580"/>
    <x v="1"/>
  </r>
  <r>
    <x v="284"/>
    <x v="20"/>
    <x v="1980"/>
    <x v="0"/>
    <x v="61"/>
    <x v="11"/>
    <x v="1"/>
    <x v="1"/>
    <x v="221"/>
    <x v="5"/>
    <x v="4581"/>
    <x v="1"/>
  </r>
  <r>
    <x v="284"/>
    <x v="23"/>
    <x v="5"/>
    <x v="3"/>
    <x v="282"/>
    <x v="11"/>
    <x v="0"/>
    <x v="1"/>
    <x v="221"/>
    <x v="6"/>
    <x v="4582"/>
    <x v="1"/>
  </r>
  <r>
    <x v="284"/>
    <x v="12"/>
    <x v="534"/>
    <x v="0"/>
    <x v="48"/>
    <x v="11"/>
    <x v="1"/>
    <x v="4"/>
    <x v="221"/>
    <x v="5"/>
    <x v="4583"/>
    <x v="1"/>
  </r>
  <r>
    <x v="284"/>
    <x v="15"/>
    <x v="170"/>
    <x v="3"/>
    <x v="353"/>
    <x v="11"/>
    <x v="0"/>
    <x v="1"/>
    <x v="201"/>
    <x v="4"/>
    <x v="4584"/>
    <x v="1"/>
  </r>
  <r>
    <x v="284"/>
    <x v="24"/>
    <x v="256"/>
    <x v="1"/>
    <x v="121"/>
    <x v="11"/>
    <x v="0"/>
    <x v="1"/>
    <x v="221"/>
    <x v="6"/>
    <x v="4585"/>
    <x v="1"/>
  </r>
  <r>
    <x v="284"/>
    <x v="32"/>
    <x v="846"/>
    <x v="3"/>
    <x v="422"/>
    <x v="11"/>
    <x v="2"/>
    <x v="4"/>
    <x v="221"/>
    <x v="10"/>
    <x v="4586"/>
    <x v="1"/>
  </r>
  <r>
    <x v="284"/>
    <x v="32"/>
    <x v="444"/>
    <x v="2"/>
    <x v="422"/>
    <x v="11"/>
    <x v="2"/>
    <x v="4"/>
    <x v="221"/>
    <x v="10"/>
    <x v="4587"/>
    <x v="1"/>
  </r>
  <r>
    <x v="284"/>
    <x v="32"/>
    <x v="1781"/>
    <x v="7"/>
    <x v="422"/>
    <x v="11"/>
    <x v="2"/>
    <x v="4"/>
    <x v="221"/>
    <x v="10"/>
    <x v="4588"/>
    <x v="1"/>
  </r>
  <r>
    <x v="284"/>
    <x v="32"/>
    <x v="730"/>
    <x v="5"/>
    <x v="422"/>
    <x v="11"/>
    <x v="2"/>
    <x v="4"/>
    <x v="221"/>
    <x v="10"/>
    <x v="4589"/>
    <x v="1"/>
  </r>
  <r>
    <x v="284"/>
    <x v="32"/>
    <x v="256"/>
    <x v="6"/>
    <x v="422"/>
    <x v="11"/>
    <x v="2"/>
    <x v="4"/>
    <x v="221"/>
    <x v="10"/>
    <x v="4590"/>
    <x v="1"/>
  </r>
  <r>
    <x v="284"/>
    <x v="32"/>
    <x v="1059"/>
    <x v="4"/>
    <x v="422"/>
    <x v="11"/>
    <x v="2"/>
    <x v="4"/>
    <x v="221"/>
    <x v="10"/>
    <x v="4591"/>
    <x v="1"/>
  </r>
  <r>
    <x v="284"/>
    <x v="4"/>
    <x v="25"/>
    <x v="3"/>
    <x v="462"/>
    <x v="11"/>
    <x v="0"/>
    <x v="1"/>
    <x v="221"/>
    <x v="2"/>
    <x v="4592"/>
    <x v="1"/>
  </r>
  <r>
    <x v="284"/>
    <x v="37"/>
    <x v="19"/>
    <x v="1"/>
    <x v="546"/>
    <x v="11"/>
    <x v="0"/>
    <x v="1"/>
    <x v="221"/>
    <x v="12"/>
    <x v="4593"/>
    <x v="1"/>
  </r>
  <r>
    <x v="284"/>
    <x v="13"/>
    <x v="134"/>
    <x v="1"/>
    <x v="156"/>
    <x v="11"/>
    <x v="0"/>
    <x v="1"/>
    <x v="221"/>
    <x v="5"/>
    <x v="4594"/>
    <x v="1"/>
  </r>
  <r>
    <x v="284"/>
    <x v="24"/>
    <x v="191"/>
    <x v="1"/>
    <x v="526"/>
    <x v="11"/>
    <x v="0"/>
    <x v="1"/>
    <x v="221"/>
    <x v="6"/>
    <x v="4595"/>
    <x v="1"/>
  </r>
  <r>
    <x v="284"/>
    <x v="24"/>
    <x v="518"/>
    <x v="1"/>
    <x v="137"/>
    <x v="11"/>
    <x v="0"/>
    <x v="1"/>
    <x v="221"/>
    <x v="6"/>
    <x v="4596"/>
    <x v="1"/>
  </r>
  <r>
    <x v="284"/>
    <x v="0"/>
    <x v="1707"/>
    <x v="0"/>
    <x v="476"/>
    <x v="11"/>
    <x v="0"/>
    <x v="0"/>
    <x v="201"/>
    <x v="9"/>
    <x v="4597"/>
    <x v="1"/>
  </r>
  <r>
    <x v="284"/>
    <x v="0"/>
    <x v="1353"/>
    <x v="0"/>
    <x v="566"/>
    <x v="11"/>
    <x v="0"/>
    <x v="0"/>
    <x v="201"/>
    <x v="9"/>
    <x v="4598"/>
    <x v="1"/>
  </r>
  <r>
    <x v="284"/>
    <x v="0"/>
    <x v="318"/>
    <x v="1"/>
    <x v="368"/>
    <x v="11"/>
    <x v="0"/>
    <x v="1"/>
    <x v="221"/>
    <x v="9"/>
    <x v="4599"/>
    <x v="1"/>
  </r>
  <r>
    <x v="285"/>
    <x v="12"/>
    <x v="360"/>
    <x v="0"/>
    <x v="48"/>
    <x v="11"/>
    <x v="1"/>
    <x v="4"/>
    <x v="221"/>
    <x v="5"/>
    <x v="4600"/>
    <x v="1"/>
  </r>
  <r>
    <x v="285"/>
    <x v="28"/>
    <x v="138"/>
    <x v="1"/>
    <x v="424"/>
    <x v="11"/>
    <x v="0"/>
    <x v="1"/>
    <x v="202"/>
    <x v="0"/>
    <x v="4601"/>
    <x v="1"/>
  </r>
  <r>
    <x v="285"/>
    <x v="24"/>
    <x v="498"/>
    <x v="1"/>
    <x v="247"/>
    <x v="11"/>
    <x v="0"/>
    <x v="1"/>
    <x v="221"/>
    <x v="6"/>
    <x v="4602"/>
    <x v="1"/>
  </r>
  <r>
    <x v="285"/>
    <x v="9"/>
    <x v="810"/>
    <x v="0"/>
    <x v="231"/>
    <x v="11"/>
    <x v="0"/>
    <x v="4"/>
    <x v="221"/>
    <x v="5"/>
    <x v="4603"/>
    <x v="1"/>
  </r>
  <r>
    <x v="285"/>
    <x v="12"/>
    <x v="69"/>
    <x v="1"/>
    <x v="161"/>
    <x v="11"/>
    <x v="0"/>
    <x v="1"/>
    <x v="221"/>
    <x v="5"/>
    <x v="4604"/>
    <x v="1"/>
  </r>
  <r>
    <x v="285"/>
    <x v="38"/>
    <x v="178"/>
    <x v="0"/>
    <x v="76"/>
    <x v="11"/>
    <x v="1"/>
    <x v="4"/>
    <x v="221"/>
    <x v="5"/>
    <x v="4605"/>
    <x v="1"/>
  </r>
  <r>
    <x v="285"/>
    <x v="0"/>
    <x v="1570"/>
    <x v="1"/>
    <x v="304"/>
    <x v="11"/>
    <x v="0"/>
    <x v="1"/>
    <x v="221"/>
    <x v="9"/>
    <x v="4606"/>
    <x v="1"/>
  </r>
  <r>
    <x v="285"/>
    <x v="36"/>
    <x v="45"/>
    <x v="1"/>
    <x v="160"/>
    <x v="11"/>
    <x v="0"/>
    <x v="1"/>
    <x v="221"/>
    <x v="5"/>
    <x v="4607"/>
    <x v="1"/>
  </r>
  <r>
    <x v="285"/>
    <x v="37"/>
    <x v="19"/>
    <x v="1"/>
    <x v="546"/>
    <x v="11"/>
    <x v="0"/>
    <x v="1"/>
    <x v="221"/>
    <x v="12"/>
    <x v="4608"/>
    <x v="1"/>
  </r>
  <r>
    <x v="285"/>
    <x v="23"/>
    <x v="5"/>
    <x v="3"/>
    <x v="282"/>
    <x v="11"/>
    <x v="0"/>
    <x v="1"/>
    <x v="221"/>
    <x v="6"/>
    <x v="4609"/>
    <x v="1"/>
  </r>
  <r>
    <x v="285"/>
    <x v="25"/>
    <x v="45"/>
    <x v="3"/>
    <x v="323"/>
    <x v="11"/>
    <x v="0"/>
    <x v="1"/>
    <x v="221"/>
    <x v="12"/>
    <x v="4610"/>
    <x v="1"/>
  </r>
  <r>
    <x v="285"/>
    <x v="0"/>
    <x v="256"/>
    <x v="3"/>
    <x v="310"/>
    <x v="11"/>
    <x v="0"/>
    <x v="1"/>
    <x v="202"/>
    <x v="9"/>
    <x v="4611"/>
    <x v="1"/>
  </r>
  <r>
    <x v="285"/>
    <x v="38"/>
    <x v="12"/>
    <x v="3"/>
    <x v="334"/>
    <x v="11"/>
    <x v="0"/>
    <x v="1"/>
    <x v="221"/>
    <x v="5"/>
    <x v="4612"/>
    <x v="1"/>
  </r>
  <r>
    <x v="285"/>
    <x v="13"/>
    <x v="1486"/>
    <x v="0"/>
    <x v="36"/>
    <x v="11"/>
    <x v="1"/>
    <x v="4"/>
    <x v="221"/>
    <x v="5"/>
    <x v="4613"/>
    <x v="1"/>
  </r>
  <r>
    <x v="285"/>
    <x v="32"/>
    <x v="1637"/>
    <x v="3"/>
    <x v="422"/>
    <x v="11"/>
    <x v="2"/>
    <x v="4"/>
    <x v="202"/>
    <x v="10"/>
    <x v="4614"/>
    <x v="1"/>
  </r>
  <r>
    <x v="285"/>
    <x v="32"/>
    <x v="299"/>
    <x v="6"/>
    <x v="422"/>
    <x v="11"/>
    <x v="2"/>
    <x v="4"/>
    <x v="221"/>
    <x v="10"/>
    <x v="4615"/>
    <x v="1"/>
  </r>
  <r>
    <x v="285"/>
    <x v="32"/>
    <x v="380"/>
    <x v="2"/>
    <x v="422"/>
    <x v="11"/>
    <x v="2"/>
    <x v="4"/>
    <x v="221"/>
    <x v="10"/>
    <x v="4616"/>
    <x v="1"/>
  </r>
  <r>
    <x v="285"/>
    <x v="32"/>
    <x v="1884"/>
    <x v="7"/>
    <x v="422"/>
    <x v="11"/>
    <x v="2"/>
    <x v="4"/>
    <x v="221"/>
    <x v="10"/>
    <x v="4617"/>
    <x v="1"/>
  </r>
  <r>
    <x v="285"/>
    <x v="32"/>
    <x v="1270"/>
    <x v="5"/>
    <x v="422"/>
    <x v="11"/>
    <x v="2"/>
    <x v="4"/>
    <x v="221"/>
    <x v="10"/>
    <x v="4618"/>
    <x v="1"/>
  </r>
  <r>
    <x v="285"/>
    <x v="20"/>
    <x v="287"/>
    <x v="3"/>
    <x v="380"/>
    <x v="11"/>
    <x v="0"/>
    <x v="1"/>
    <x v="202"/>
    <x v="5"/>
    <x v="4619"/>
    <x v="1"/>
  </r>
  <r>
    <x v="285"/>
    <x v="1"/>
    <x v="790"/>
    <x v="3"/>
    <x v="432"/>
    <x v="11"/>
    <x v="0"/>
    <x v="1"/>
    <x v="202"/>
    <x v="4"/>
    <x v="4620"/>
    <x v="1"/>
  </r>
  <r>
    <x v="286"/>
    <x v="12"/>
    <x v="572"/>
    <x v="0"/>
    <x v="48"/>
    <x v="11"/>
    <x v="1"/>
    <x v="4"/>
    <x v="221"/>
    <x v="5"/>
    <x v="4621"/>
    <x v="1"/>
  </r>
  <r>
    <x v="286"/>
    <x v="9"/>
    <x v="1591"/>
    <x v="0"/>
    <x v="231"/>
    <x v="11"/>
    <x v="1"/>
    <x v="4"/>
    <x v="221"/>
    <x v="5"/>
    <x v="4622"/>
    <x v="1"/>
  </r>
  <r>
    <x v="286"/>
    <x v="3"/>
    <x v="1158"/>
    <x v="1"/>
    <x v="507"/>
    <x v="11"/>
    <x v="0"/>
    <x v="4"/>
    <x v="221"/>
    <x v="4"/>
    <x v="4623"/>
    <x v="1"/>
  </r>
  <r>
    <x v="286"/>
    <x v="17"/>
    <x v="45"/>
    <x v="1"/>
    <x v="247"/>
    <x v="11"/>
    <x v="0"/>
    <x v="1"/>
    <x v="221"/>
    <x v="3"/>
    <x v="4624"/>
    <x v="1"/>
  </r>
  <r>
    <x v="286"/>
    <x v="38"/>
    <x v="87"/>
    <x v="1"/>
    <x v="294"/>
    <x v="11"/>
    <x v="0"/>
    <x v="1"/>
    <x v="221"/>
    <x v="5"/>
    <x v="4625"/>
    <x v="1"/>
  </r>
  <r>
    <x v="286"/>
    <x v="23"/>
    <x v="5"/>
    <x v="3"/>
    <x v="282"/>
    <x v="11"/>
    <x v="0"/>
    <x v="4"/>
    <x v="221"/>
    <x v="6"/>
    <x v="4626"/>
    <x v="1"/>
  </r>
  <r>
    <x v="286"/>
    <x v="27"/>
    <x v="894"/>
    <x v="0"/>
    <x v="363"/>
    <x v="11"/>
    <x v="0"/>
    <x v="3"/>
    <x v="203"/>
    <x v="5"/>
    <x v="4627"/>
    <x v="1"/>
  </r>
  <r>
    <x v="286"/>
    <x v="20"/>
    <x v="426"/>
    <x v="0"/>
    <x v="99"/>
    <x v="11"/>
    <x v="0"/>
    <x v="3"/>
    <x v="203"/>
    <x v="5"/>
    <x v="4628"/>
    <x v="1"/>
  </r>
  <r>
    <x v="286"/>
    <x v="29"/>
    <x v="12"/>
    <x v="1"/>
    <x v="247"/>
    <x v="11"/>
    <x v="0"/>
    <x v="1"/>
    <x v="203"/>
    <x v="6"/>
    <x v="4629"/>
    <x v="1"/>
  </r>
  <r>
    <x v="286"/>
    <x v="3"/>
    <x v="283"/>
    <x v="3"/>
    <x v="580"/>
    <x v="11"/>
    <x v="0"/>
    <x v="1"/>
    <x v="221"/>
    <x v="4"/>
    <x v="4630"/>
    <x v="1"/>
  </r>
  <r>
    <x v="286"/>
    <x v="38"/>
    <x v="238"/>
    <x v="0"/>
    <x v="76"/>
    <x v="11"/>
    <x v="0"/>
    <x v="1"/>
    <x v="221"/>
    <x v="5"/>
    <x v="4631"/>
    <x v="1"/>
  </r>
  <r>
    <x v="286"/>
    <x v="37"/>
    <x v="19"/>
    <x v="1"/>
    <x v="546"/>
    <x v="11"/>
    <x v="0"/>
    <x v="1"/>
    <x v="221"/>
    <x v="12"/>
    <x v="4632"/>
    <x v="1"/>
  </r>
  <r>
    <x v="286"/>
    <x v="24"/>
    <x v="518"/>
    <x v="3"/>
    <x v="137"/>
    <x v="11"/>
    <x v="0"/>
    <x v="1"/>
    <x v="203"/>
    <x v="6"/>
    <x v="4633"/>
    <x v="1"/>
  </r>
  <r>
    <x v="286"/>
    <x v="0"/>
    <x v="256"/>
    <x v="0"/>
    <x v="310"/>
    <x v="11"/>
    <x v="0"/>
    <x v="3"/>
    <x v="203"/>
    <x v="9"/>
    <x v="4634"/>
    <x v="1"/>
  </r>
  <r>
    <x v="286"/>
    <x v="32"/>
    <x v="1480"/>
    <x v="3"/>
    <x v="422"/>
    <x v="11"/>
    <x v="2"/>
    <x v="4"/>
    <x v="221"/>
    <x v="10"/>
    <x v="4635"/>
    <x v="1"/>
  </r>
  <r>
    <x v="286"/>
    <x v="32"/>
    <x v="1863"/>
    <x v="7"/>
    <x v="422"/>
    <x v="11"/>
    <x v="2"/>
    <x v="4"/>
    <x v="221"/>
    <x v="10"/>
    <x v="4636"/>
    <x v="1"/>
  </r>
  <r>
    <x v="286"/>
    <x v="32"/>
    <x v="91"/>
    <x v="6"/>
    <x v="422"/>
    <x v="11"/>
    <x v="2"/>
    <x v="4"/>
    <x v="221"/>
    <x v="10"/>
    <x v="4637"/>
    <x v="1"/>
  </r>
  <r>
    <x v="286"/>
    <x v="32"/>
    <x v="388"/>
    <x v="8"/>
    <x v="422"/>
    <x v="11"/>
    <x v="2"/>
    <x v="4"/>
    <x v="221"/>
    <x v="10"/>
    <x v="4638"/>
    <x v="1"/>
  </r>
  <r>
    <x v="286"/>
    <x v="32"/>
    <x v="932"/>
    <x v="5"/>
    <x v="422"/>
    <x v="11"/>
    <x v="2"/>
    <x v="4"/>
    <x v="221"/>
    <x v="10"/>
    <x v="4639"/>
    <x v="1"/>
  </r>
  <r>
    <x v="287"/>
    <x v="12"/>
    <x v="291"/>
    <x v="0"/>
    <x v="48"/>
    <x v="11"/>
    <x v="1"/>
    <x v="4"/>
    <x v="221"/>
    <x v="5"/>
    <x v="4640"/>
    <x v="1"/>
  </r>
  <r>
    <x v="287"/>
    <x v="9"/>
    <x v="1557"/>
    <x v="0"/>
    <x v="231"/>
    <x v="11"/>
    <x v="1"/>
    <x v="4"/>
    <x v="221"/>
    <x v="5"/>
    <x v="4641"/>
    <x v="1"/>
  </r>
  <r>
    <x v="287"/>
    <x v="17"/>
    <x v="9"/>
    <x v="3"/>
    <x v="293"/>
    <x v="11"/>
    <x v="0"/>
    <x v="1"/>
    <x v="204"/>
    <x v="3"/>
    <x v="4642"/>
    <x v="1"/>
  </r>
  <r>
    <x v="287"/>
    <x v="23"/>
    <x v="9"/>
    <x v="3"/>
    <x v="285"/>
    <x v="11"/>
    <x v="0"/>
    <x v="1"/>
    <x v="204"/>
    <x v="6"/>
    <x v="4643"/>
    <x v="1"/>
  </r>
  <r>
    <x v="287"/>
    <x v="0"/>
    <x v="618"/>
    <x v="1"/>
    <x v="12"/>
    <x v="11"/>
    <x v="0"/>
    <x v="1"/>
    <x v="204"/>
    <x v="9"/>
    <x v="4644"/>
    <x v="1"/>
  </r>
  <r>
    <x v="287"/>
    <x v="13"/>
    <x v="45"/>
    <x v="1"/>
    <x v="554"/>
    <x v="11"/>
    <x v="0"/>
    <x v="1"/>
    <x v="221"/>
    <x v="5"/>
    <x v="4645"/>
    <x v="1"/>
  </r>
  <r>
    <x v="287"/>
    <x v="24"/>
    <x v="40"/>
    <x v="1"/>
    <x v="247"/>
    <x v="11"/>
    <x v="0"/>
    <x v="1"/>
    <x v="221"/>
    <x v="6"/>
    <x v="4646"/>
    <x v="1"/>
  </r>
  <r>
    <x v="287"/>
    <x v="38"/>
    <x v="374"/>
    <x v="0"/>
    <x v="76"/>
    <x v="11"/>
    <x v="1"/>
    <x v="4"/>
    <x v="221"/>
    <x v="5"/>
    <x v="4647"/>
    <x v="1"/>
  </r>
  <r>
    <x v="287"/>
    <x v="38"/>
    <x v="12"/>
    <x v="3"/>
    <x v="334"/>
    <x v="11"/>
    <x v="0"/>
    <x v="1"/>
    <x v="221"/>
    <x v="5"/>
    <x v="4648"/>
    <x v="1"/>
  </r>
  <r>
    <x v="287"/>
    <x v="32"/>
    <x v="1518"/>
    <x v="3"/>
    <x v="422"/>
    <x v="0"/>
    <x v="2"/>
    <x v="4"/>
    <x v="221"/>
    <x v="10"/>
    <x v="4649"/>
    <x v="1"/>
  </r>
  <r>
    <x v="287"/>
    <x v="32"/>
    <x v="1935"/>
    <x v="7"/>
    <x v="422"/>
    <x v="11"/>
    <x v="2"/>
    <x v="4"/>
    <x v="221"/>
    <x v="10"/>
    <x v="4650"/>
    <x v="1"/>
  </r>
  <r>
    <x v="287"/>
    <x v="32"/>
    <x v="33"/>
    <x v="6"/>
    <x v="422"/>
    <x v="11"/>
    <x v="2"/>
    <x v="4"/>
    <x v="221"/>
    <x v="10"/>
    <x v="4651"/>
    <x v="1"/>
  </r>
  <r>
    <x v="287"/>
    <x v="32"/>
    <x v="575"/>
    <x v="5"/>
    <x v="422"/>
    <x v="11"/>
    <x v="2"/>
    <x v="4"/>
    <x v="221"/>
    <x v="10"/>
    <x v="4652"/>
    <x v="1"/>
  </r>
  <r>
    <x v="287"/>
    <x v="24"/>
    <x v="45"/>
    <x v="1"/>
    <x v="82"/>
    <x v="11"/>
    <x v="0"/>
    <x v="1"/>
    <x v="221"/>
    <x v="6"/>
    <x v="4653"/>
    <x v="1"/>
  </r>
  <r>
    <x v="288"/>
    <x v="12"/>
    <x v="491"/>
    <x v="0"/>
    <x v="48"/>
    <x v="11"/>
    <x v="1"/>
    <x v="4"/>
    <x v="221"/>
    <x v="5"/>
    <x v="4654"/>
    <x v="1"/>
  </r>
  <r>
    <x v="288"/>
    <x v="9"/>
    <x v="1600"/>
    <x v="0"/>
    <x v="231"/>
    <x v="11"/>
    <x v="1"/>
    <x v="4"/>
    <x v="221"/>
    <x v="5"/>
    <x v="4655"/>
    <x v="1"/>
  </r>
  <r>
    <x v="288"/>
    <x v="8"/>
    <x v="816"/>
    <x v="0"/>
    <x v="238"/>
    <x v="11"/>
    <x v="1"/>
    <x v="4"/>
    <x v="221"/>
    <x v="5"/>
    <x v="4656"/>
    <x v="1"/>
  </r>
  <r>
    <x v="288"/>
    <x v="23"/>
    <x v="5"/>
    <x v="3"/>
    <x v="282"/>
    <x v="11"/>
    <x v="0"/>
    <x v="1"/>
    <x v="221"/>
    <x v="6"/>
    <x v="4657"/>
    <x v="1"/>
  </r>
  <r>
    <x v="288"/>
    <x v="38"/>
    <x v="87"/>
    <x v="3"/>
    <x v="551"/>
    <x v="11"/>
    <x v="0"/>
    <x v="1"/>
    <x v="205"/>
    <x v="5"/>
    <x v="4658"/>
    <x v="1"/>
  </r>
  <r>
    <x v="288"/>
    <x v="38"/>
    <x v="239"/>
    <x v="1"/>
    <x v="389"/>
    <x v="11"/>
    <x v="0"/>
    <x v="1"/>
    <x v="221"/>
    <x v="5"/>
    <x v="4659"/>
    <x v="1"/>
  </r>
  <r>
    <x v="288"/>
    <x v="24"/>
    <x v="74"/>
    <x v="1"/>
    <x v="247"/>
    <x v="11"/>
    <x v="0"/>
    <x v="1"/>
    <x v="221"/>
    <x v="6"/>
    <x v="4660"/>
    <x v="1"/>
  </r>
  <r>
    <x v="288"/>
    <x v="38"/>
    <x v="1570"/>
    <x v="1"/>
    <x v="76"/>
    <x v="11"/>
    <x v="0"/>
    <x v="1"/>
    <x v="205"/>
    <x v="5"/>
    <x v="4661"/>
    <x v="1"/>
  </r>
  <r>
    <x v="288"/>
    <x v="20"/>
    <x v="1663"/>
    <x v="0"/>
    <x v="61"/>
    <x v="11"/>
    <x v="1"/>
    <x v="4"/>
    <x v="221"/>
    <x v="5"/>
    <x v="4662"/>
    <x v="1"/>
  </r>
  <r>
    <x v="288"/>
    <x v="38"/>
    <x v="443"/>
    <x v="0"/>
    <x v="76"/>
    <x v="11"/>
    <x v="1"/>
    <x v="4"/>
    <x v="221"/>
    <x v="5"/>
    <x v="4663"/>
    <x v="1"/>
  </r>
  <r>
    <x v="288"/>
    <x v="32"/>
    <x v="860"/>
    <x v="3"/>
    <x v="422"/>
    <x v="11"/>
    <x v="2"/>
    <x v="4"/>
    <x v="221"/>
    <x v="10"/>
    <x v="4664"/>
    <x v="1"/>
  </r>
  <r>
    <x v="288"/>
    <x v="32"/>
    <x v="1986"/>
    <x v="7"/>
    <x v="422"/>
    <x v="11"/>
    <x v="2"/>
    <x v="4"/>
    <x v="221"/>
    <x v="10"/>
    <x v="4665"/>
    <x v="1"/>
  </r>
  <r>
    <x v="288"/>
    <x v="32"/>
    <x v="293"/>
    <x v="6"/>
    <x v="422"/>
    <x v="11"/>
    <x v="2"/>
    <x v="4"/>
    <x v="221"/>
    <x v="10"/>
    <x v="4666"/>
    <x v="1"/>
  </r>
  <r>
    <x v="288"/>
    <x v="32"/>
    <x v="1207"/>
    <x v="5"/>
    <x v="422"/>
    <x v="11"/>
    <x v="2"/>
    <x v="4"/>
    <x v="221"/>
    <x v="10"/>
    <x v="4667"/>
    <x v="1"/>
  </r>
  <r>
    <x v="288"/>
    <x v="15"/>
    <x v="187"/>
    <x v="1"/>
    <x v="353"/>
    <x v="11"/>
    <x v="0"/>
    <x v="4"/>
    <x v="221"/>
    <x v="4"/>
    <x v="4668"/>
    <x v="1"/>
  </r>
  <r>
    <x v="288"/>
    <x v="32"/>
    <x v="1564"/>
    <x v="2"/>
    <x v="422"/>
    <x v="11"/>
    <x v="2"/>
    <x v="4"/>
    <x v="221"/>
    <x v="10"/>
    <x v="4669"/>
    <x v="1"/>
  </r>
  <r>
    <x v="288"/>
    <x v="24"/>
    <x v="164"/>
    <x v="1"/>
    <x v="308"/>
    <x v="11"/>
    <x v="0"/>
    <x v="1"/>
    <x v="221"/>
    <x v="6"/>
    <x v="4670"/>
    <x v="1"/>
  </r>
  <r>
    <x v="289"/>
    <x v="0"/>
    <x v="256"/>
    <x v="1"/>
    <x v="451"/>
    <x v="11"/>
    <x v="0"/>
    <x v="1"/>
    <x v="206"/>
    <x v="9"/>
    <x v="4671"/>
    <x v="1"/>
  </r>
  <r>
    <x v="289"/>
    <x v="12"/>
    <x v="363"/>
    <x v="1"/>
    <x v="130"/>
    <x v="11"/>
    <x v="0"/>
    <x v="1"/>
    <x v="221"/>
    <x v="5"/>
    <x v="4672"/>
    <x v="1"/>
  </r>
  <r>
    <x v="289"/>
    <x v="27"/>
    <x v="753"/>
    <x v="0"/>
    <x v="8"/>
    <x v="11"/>
    <x v="0"/>
    <x v="3"/>
    <x v="221"/>
    <x v="5"/>
    <x v="4673"/>
    <x v="1"/>
  </r>
  <r>
    <x v="289"/>
    <x v="3"/>
    <x v="283"/>
    <x v="3"/>
    <x v="580"/>
    <x v="11"/>
    <x v="0"/>
    <x v="1"/>
    <x v="221"/>
    <x v="4"/>
    <x v="4674"/>
    <x v="1"/>
  </r>
  <r>
    <x v="289"/>
    <x v="9"/>
    <x v="1636"/>
    <x v="0"/>
    <x v="231"/>
    <x v="11"/>
    <x v="1"/>
    <x v="4"/>
    <x v="221"/>
    <x v="5"/>
    <x v="4675"/>
    <x v="1"/>
  </r>
  <r>
    <x v="289"/>
    <x v="12"/>
    <x v="49"/>
    <x v="3"/>
    <x v="331"/>
    <x v="11"/>
    <x v="0"/>
    <x v="1"/>
    <x v="221"/>
    <x v="5"/>
    <x v="4676"/>
    <x v="1"/>
  </r>
  <r>
    <x v="289"/>
    <x v="26"/>
    <x v="90"/>
    <x v="3"/>
    <x v="338"/>
    <x v="11"/>
    <x v="0"/>
    <x v="1"/>
    <x v="221"/>
    <x v="5"/>
    <x v="4677"/>
    <x v="1"/>
  </r>
  <r>
    <x v="289"/>
    <x v="38"/>
    <x v="391"/>
    <x v="0"/>
    <x v="76"/>
    <x v="11"/>
    <x v="1"/>
    <x v="4"/>
    <x v="221"/>
    <x v="5"/>
    <x v="4678"/>
    <x v="1"/>
  </r>
  <r>
    <x v="289"/>
    <x v="28"/>
    <x v="138"/>
    <x v="1"/>
    <x v="424"/>
    <x v="11"/>
    <x v="0"/>
    <x v="1"/>
    <x v="221"/>
    <x v="0"/>
    <x v="4679"/>
    <x v="1"/>
  </r>
  <r>
    <x v="289"/>
    <x v="1"/>
    <x v="567"/>
    <x v="1"/>
    <x v="432"/>
    <x v="11"/>
    <x v="0"/>
    <x v="1"/>
    <x v="221"/>
    <x v="4"/>
    <x v="4680"/>
    <x v="1"/>
  </r>
  <r>
    <x v="289"/>
    <x v="24"/>
    <x v="256"/>
    <x v="1"/>
    <x v="540"/>
    <x v="11"/>
    <x v="0"/>
    <x v="1"/>
    <x v="221"/>
    <x v="6"/>
    <x v="4681"/>
    <x v="1"/>
  </r>
  <r>
    <x v="289"/>
    <x v="23"/>
    <x v="9"/>
    <x v="3"/>
    <x v="282"/>
    <x v="11"/>
    <x v="0"/>
    <x v="4"/>
    <x v="221"/>
    <x v="6"/>
    <x v="4682"/>
    <x v="1"/>
  </r>
  <r>
    <x v="289"/>
    <x v="37"/>
    <x v="19"/>
    <x v="1"/>
    <x v="546"/>
    <x v="11"/>
    <x v="0"/>
    <x v="4"/>
    <x v="221"/>
    <x v="12"/>
    <x v="4683"/>
    <x v="1"/>
  </r>
  <r>
    <x v="289"/>
    <x v="32"/>
    <x v="1241"/>
    <x v="3"/>
    <x v="422"/>
    <x v="0"/>
    <x v="0"/>
    <x v="4"/>
    <x v="221"/>
    <x v="10"/>
    <x v="4684"/>
    <x v="1"/>
  </r>
  <r>
    <x v="289"/>
    <x v="32"/>
    <x v="1894"/>
    <x v="7"/>
    <x v="422"/>
    <x v="11"/>
    <x v="2"/>
    <x v="4"/>
    <x v="221"/>
    <x v="10"/>
    <x v="4685"/>
    <x v="1"/>
  </r>
  <r>
    <x v="289"/>
    <x v="32"/>
    <x v="569"/>
    <x v="4"/>
    <x v="422"/>
    <x v="11"/>
    <x v="2"/>
    <x v="4"/>
    <x v="221"/>
    <x v="10"/>
    <x v="4686"/>
    <x v="1"/>
  </r>
  <r>
    <x v="289"/>
    <x v="32"/>
    <x v="1339"/>
    <x v="2"/>
    <x v="422"/>
    <x v="11"/>
    <x v="2"/>
    <x v="4"/>
    <x v="221"/>
    <x v="10"/>
    <x v="4687"/>
    <x v="1"/>
  </r>
  <r>
    <x v="289"/>
    <x v="32"/>
    <x v="1136"/>
    <x v="5"/>
    <x v="422"/>
    <x v="11"/>
    <x v="2"/>
    <x v="4"/>
    <x v="221"/>
    <x v="10"/>
    <x v="4688"/>
    <x v="1"/>
  </r>
  <r>
    <x v="290"/>
    <x v="12"/>
    <x v="1217"/>
    <x v="0"/>
    <x v="48"/>
    <x v="11"/>
    <x v="1"/>
    <x v="4"/>
    <x v="221"/>
    <x v="5"/>
    <x v="4689"/>
    <x v="1"/>
  </r>
  <r>
    <x v="290"/>
    <x v="38"/>
    <x v="191"/>
    <x v="3"/>
    <x v="389"/>
    <x v="11"/>
    <x v="0"/>
    <x v="4"/>
    <x v="221"/>
    <x v="5"/>
    <x v="4690"/>
    <x v="1"/>
  </r>
  <r>
    <x v="290"/>
    <x v="13"/>
    <x v="30"/>
    <x v="3"/>
    <x v="167"/>
    <x v="11"/>
    <x v="0"/>
    <x v="4"/>
    <x v="221"/>
    <x v="5"/>
    <x v="4691"/>
    <x v="1"/>
  </r>
  <r>
    <x v="290"/>
    <x v="24"/>
    <x v="36"/>
    <x v="3"/>
    <x v="134"/>
    <x v="11"/>
    <x v="0"/>
    <x v="4"/>
    <x v="221"/>
    <x v="6"/>
    <x v="4692"/>
    <x v="1"/>
  </r>
  <r>
    <x v="290"/>
    <x v="20"/>
    <x v="1043"/>
    <x v="0"/>
    <x v="61"/>
    <x v="11"/>
    <x v="1"/>
    <x v="4"/>
    <x v="221"/>
    <x v="5"/>
    <x v="4693"/>
    <x v="1"/>
  </r>
  <r>
    <x v="290"/>
    <x v="23"/>
    <x v="12"/>
    <x v="3"/>
    <x v="282"/>
    <x v="11"/>
    <x v="0"/>
    <x v="4"/>
    <x v="221"/>
    <x v="6"/>
    <x v="4694"/>
    <x v="1"/>
  </r>
  <r>
    <x v="290"/>
    <x v="13"/>
    <x v="164"/>
    <x v="3"/>
    <x v="520"/>
    <x v="11"/>
    <x v="0"/>
    <x v="1"/>
    <x v="221"/>
    <x v="5"/>
    <x v="4695"/>
    <x v="1"/>
  </r>
  <r>
    <x v="290"/>
    <x v="38"/>
    <x v="997"/>
    <x v="1"/>
    <x v="309"/>
    <x v="11"/>
    <x v="0"/>
    <x v="1"/>
    <x v="221"/>
    <x v="5"/>
    <x v="4696"/>
    <x v="1"/>
  </r>
  <r>
    <x v="290"/>
    <x v="38"/>
    <x v="487"/>
    <x v="0"/>
    <x v="76"/>
    <x v="11"/>
    <x v="1"/>
    <x v="4"/>
    <x v="221"/>
    <x v="5"/>
    <x v="4697"/>
    <x v="1"/>
  </r>
  <r>
    <x v="290"/>
    <x v="32"/>
    <x v="1731"/>
    <x v="3"/>
    <x v="422"/>
    <x v="11"/>
    <x v="2"/>
    <x v="4"/>
    <x v="221"/>
    <x v="10"/>
    <x v="4698"/>
    <x v="1"/>
  </r>
  <r>
    <x v="290"/>
    <x v="32"/>
    <x v="1988"/>
    <x v="7"/>
    <x v="422"/>
    <x v="11"/>
    <x v="2"/>
    <x v="4"/>
    <x v="221"/>
    <x v="10"/>
    <x v="4699"/>
    <x v="1"/>
  </r>
  <r>
    <x v="290"/>
    <x v="32"/>
    <x v="45"/>
    <x v="6"/>
    <x v="422"/>
    <x v="11"/>
    <x v="2"/>
    <x v="4"/>
    <x v="221"/>
    <x v="10"/>
    <x v="4700"/>
    <x v="1"/>
  </r>
  <r>
    <x v="290"/>
    <x v="32"/>
    <x v="752"/>
    <x v="8"/>
    <x v="422"/>
    <x v="11"/>
    <x v="2"/>
    <x v="4"/>
    <x v="221"/>
    <x v="10"/>
    <x v="4701"/>
    <x v="1"/>
  </r>
  <r>
    <x v="290"/>
    <x v="32"/>
    <x v="1394"/>
    <x v="5"/>
    <x v="422"/>
    <x v="11"/>
    <x v="2"/>
    <x v="4"/>
    <x v="221"/>
    <x v="10"/>
    <x v="4702"/>
    <x v="1"/>
  </r>
  <r>
    <x v="290"/>
    <x v="32"/>
    <x v="829"/>
    <x v="2"/>
    <x v="422"/>
    <x v="11"/>
    <x v="2"/>
    <x v="4"/>
    <x v="221"/>
    <x v="10"/>
    <x v="4703"/>
    <x v="1"/>
  </r>
  <r>
    <x v="290"/>
    <x v="13"/>
    <x v="27"/>
    <x v="3"/>
    <x v="456"/>
    <x v="11"/>
    <x v="0"/>
    <x v="4"/>
    <x v="221"/>
    <x v="5"/>
    <x v="4704"/>
    <x v="1"/>
  </r>
  <r>
    <x v="290"/>
    <x v="9"/>
    <x v="1568"/>
    <x v="0"/>
    <x v="231"/>
    <x v="11"/>
    <x v="1"/>
    <x v="4"/>
    <x v="221"/>
    <x v="5"/>
    <x v="4705"/>
    <x v="1"/>
  </r>
  <r>
    <x v="291"/>
    <x v="12"/>
    <x v="744"/>
    <x v="0"/>
    <x v="48"/>
    <x v="11"/>
    <x v="1"/>
    <x v="4"/>
    <x v="221"/>
    <x v="5"/>
    <x v="4706"/>
    <x v="1"/>
  </r>
  <r>
    <x v="291"/>
    <x v="8"/>
    <x v="816"/>
    <x v="0"/>
    <x v="238"/>
    <x v="11"/>
    <x v="1"/>
    <x v="4"/>
    <x v="221"/>
    <x v="5"/>
    <x v="4707"/>
    <x v="1"/>
  </r>
  <r>
    <x v="291"/>
    <x v="9"/>
    <x v="1633"/>
    <x v="0"/>
    <x v="231"/>
    <x v="11"/>
    <x v="1"/>
    <x v="4"/>
    <x v="221"/>
    <x v="5"/>
    <x v="4708"/>
    <x v="1"/>
  </r>
  <r>
    <x v="291"/>
    <x v="23"/>
    <x v="5"/>
    <x v="3"/>
    <x v="282"/>
    <x v="11"/>
    <x v="0"/>
    <x v="4"/>
    <x v="221"/>
    <x v="6"/>
    <x v="4709"/>
    <x v="1"/>
  </r>
  <r>
    <x v="291"/>
    <x v="38"/>
    <x v="12"/>
    <x v="3"/>
    <x v="334"/>
    <x v="11"/>
    <x v="0"/>
    <x v="4"/>
    <x v="221"/>
    <x v="5"/>
    <x v="4710"/>
    <x v="1"/>
  </r>
  <r>
    <x v="291"/>
    <x v="0"/>
    <x v="869"/>
    <x v="0"/>
    <x v="482"/>
    <x v="11"/>
    <x v="0"/>
    <x v="0"/>
    <x v="207"/>
    <x v="9"/>
    <x v="4711"/>
    <x v="1"/>
  </r>
  <r>
    <x v="291"/>
    <x v="38"/>
    <x v="341"/>
    <x v="0"/>
    <x v="76"/>
    <x v="11"/>
    <x v="1"/>
    <x v="4"/>
    <x v="221"/>
    <x v="5"/>
    <x v="4712"/>
    <x v="1"/>
  </r>
  <r>
    <x v="291"/>
    <x v="32"/>
    <x v="524"/>
    <x v="3"/>
    <x v="422"/>
    <x v="11"/>
    <x v="2"/>
    <x v="4"/>
    <x v="221"/>
    <x v="10"/>
    <x v="4713"/>
    <x v="1"/>
  </r>
  <r>
    <x v="291"/>
    <x v="32"/>
    <x v="293"/>
    <x v="2"/>
    <x v="422"/>
    <x v="11"/>
    <x v="2"/>
    <x v="4"/>
    <x v="221"/>
    <x v="10"/>
    <x v="4714"/>
    <x v="1"/>
  </r>
  <r>
    <x v="291"/>
    <x v="32"/>
    <x v="1763"/>
    <x v="7"/>
    <x v="422"/>
    <x v="11"/>
    <x v="2"/>
    <x v="4"/>
    <x v="221"/>
    <x v="10"/>
    <x v="4715"/>
    <x v="1"/>
  </r>
  <r>
    <x v="291"/>
    <x v="32"/>
    <x v="598"/>
    <x v="5"/>
    <x v="422"/>
    <x v="11"/>
    <x v="2"/>
    <x v="4"/>
    <x v="221"/>
    <x v="10"/>
    <x v="4716"/>
    <x v="1"/>
  </r>
  <r>
    <x v="291"/>
    <x v="32"/>
    <x v="5"/>
    <x v="6"/>
    <x v="422"/>
    <x v="11"/>
    <x v="2"/>
    <x v="4"/>
    <x v="221"/>
    <x v="10"/>
    <x v="4717"/>
    <x v="1"/>
  </r>
  <r>
    <x v="291"/>
    <x v="36"/>
    <x v="25"/>
    <x v="1"/>
    <x v="312"/>
    <x v="11"/>
    <x v="0"/>
    <x v="1"/>
    <x v="221"/>
    <x v="5"/>
    <x v="4718"/>
    <x v="1"/>
  </r>
  <r>
    <x v="291"/>
    <x v="37"/>
    <x v="45"/>
    <x v="1"/>
    <x v="546"/>
    <x v="11"/>
    <x v="0"/>
    <x v="1"/>
    <x v="221"/>
    <x v="12"/>
    <x v="4719"/>
    <x v="1"/>
  </r>
  <r>
    <x v="292"/>
    <x v="27"/>
    <x v="753"/>
    <x v="1"/>
    <x v="8"/>
    <x v="11"/>
    <x v="0"/>
    <x v="1"/>
    <x v="221"/>
    <x v="5"/>
    <x v="4720"/>
    <x v="1"/>
  </r>
  <r>
    <x v="292"/>
    <x v="3"/>
    <x v="283"/>
    <x v="1"/>
    <x v="580"/>
    <x v="11"/>
    <x v="0"/>
    <x v="1"/>
    <x v="221"/>
    <x v="4"/>
    <x v="4721"/>
    <x v="1"/>
  </r>
  <r>
    <x v="292"/>
    <x v="12"/>
    <x v="302"/>
    <x v="0"/>
    <x v="48"/>
    <x v="11"/>
    <x v="1"/>
    <x v="4"/>
    <x v="221"/>
    <x v="5"/>
    <x v="4722"/>
    <x v="1"/>
  </r>
  <r>
    <x v="292"/>
    <x v="20"/>
    <x v="1930"/>
    <x v="0"/>
    <x v="61"/>
    <x v="11"/>
    <x v="2"/>
    <x v="4"/>
    <x v="221"/>
    <x v="5"/>
    <x v="4723"/>
    <x v="1"/>
  </r>
  <r>
    <x v="292"/>
    <x v="9"/>
    <x v="1366"/>
    <x v="0"/>
    <x v="231"/>
    <x v="11"/>
    <x v="1"/>
    <x v="4"/>
    <x v="221"/>
    <x v="5"/>
    <x v="4724"/>
    <x v="1"/>
  </r>
  <r>
    <x v="292"/>
    <x v="24"/>
    <x v="45"/>
    <x v="1"/>
    <x v="277"/>
    <x v="11"/>
    <x v="0"/>
    <x v="4"/>
    <x v="221"/>
    <x v="6"/>
    <x v="4725"/>
    <x v="1"/>
  </r>
  <r>
    <x v="292"/>
    <x v="38"/>
    <x v="353"/>
    <x v="0"/>
    <x v="76"/>
    <x v="11"/>
    <x v="1"/>
    <x v="4"/>
    <x v="221"/>
    <x v="5"/>
    <x v="4726"/>
    <x v="1"/>
  </r>
  <r>
    <x v="292"/>
    <x v="31"/>
    <x v="1370"/>
    <x v="1"/>
    <x v="434"/>
    <x v="11"/>
    <x v="0"/>
    <x v="4"/>
    <x v="221"/>
    <x v="8"/>
    <x v="4727"/>
    <x v="1"/>
  </r>
  <r>
    <x v="292"/>
    <x v="32"/>
    <x v="1459"/>
    <x v="3"/>
    <x v="422"/>
    <x v="11"/>
    <x v="2"/>
    <x v="4"/>
    <x v="221"/>
    <x v="10"/>
    <x v="4728"/>
    <x v="1"/>
  </r>
  <r>
    <x v="292"/>
    <x v="32"/>
    <x v="205"/>
    <x v="6"/>
    <x v="422"/>
    <x v="11"/>
    <x v="2"/>
    <x v="4"/>
    <x v="221"/>
    <x v="10"/>
    <x v="4729"/>
    <x v="1"/>
  </r>
  <r>
    <x v="292"/>
    <x v="32"/>
    <x v="1806"/>
    <x v="7"/>
    <x v="422"/>
    <x v="11"/>
    <x v="2"/>
    <x v="4"/>
    <x v="221"/>
    <x v="10"/>
    <x v="4730"/>
    <x v="1"/>
  </r>
  <r>
    <x v="292"/>
    <x v="32"/>
    <x v="164"/>
    <x v="2"/>
    <x v="422"/>
    <x v="11"/>
    <x v="2"/>
    <x v="4"/>
    <x v="221"/>
    <x v="10"/>
    <x v="4731"/>
    <x v="1"/>
  </r>
  <r>
    <x v="292"/>
    <x v="32"/>
    <x v="978"/>
    <x v="5"/>
    <x v="422"/>
    <x v="11"/>
    <x v="2"/>
    <x v="4"/>
    <x v="221"/>
    <x v="10"/>
    <x v="4732"/>
    <x v="1"/>
  </r>
  <r>
    <x v="292"/>
    <x v="13"/>
    <x v="134"/>
    <x v="1"/>
    <x v="110"/>
    <x v="11"/>
    <x v="0"/>
    <x v="4"/>
    <x v="221"/>
    <x v="5"/>
    <x v="4733"/>
    <x v="1"/>
  </r>
  <r>
    <x v="292"/>
    <x v="13"/>
    <x v="1582"/>
    <x v="0"/>
    <x v="36"/>
    <x v="11"/>
    <x v="1"/>
    <x v="4"/>
    <x v="221"/>
    <x v="5"/>
    <x v="4734"/>
    <x v="1"/>
  </r>
  <r>
    <x v="292"/>
    <x v="28"/>
    <x v="87"/>
    <x v="1"/>
    <x v="424"/>
    <x v="11"/>
    <x v="0"/>
    <x v="4"/>
    <x v="221"/>
    <x v="0"/>
    <x v="4735"/>
    <x v="1"/>
  </r>
  <r>
    <x v="292"/>
    <x v="37"/>
    <x v="30"/>
    <x v="1"/>
    <x v="546"/>
    <x v="11"/>
    <x v="0"/>
    <x v="4"/>
    <x v="221"/>
    <x v="12"/>
    <x v="4736"/>
    <x v="1"/>
  </r>
  <r>
    <x v="292"/>
    <x v="23"/>
    <x v="9"/>
    <x v="3"/>
    <x v="285"/>
    <x v="11"/>
    <x v="0"/>
    <x v="1"/>
    <x v="208"/>
    <x v="6"/>
    <x v="4737"/>
    <x v="1"/>
  </r>
  <r>
    <x v="293"/>
    <x v="28"/>
    <x v="138"/>
    <x v="1"/>
    <x v="424"/>
    <x v="11"/>
    <x v="0"/>
    <x v="1"/>
    <x v="221"/>
    <x v="0"/>
    <x v="4738"/>
    <x v="1"/>
  </r>
  <r>
    <x v="293"/>
    <x v="12"/>
    <x v="154"/>
    <x v="0"/>
    <x v="48"/>
    <x v="11"/>
    <x v="1"/>
    <x v="4"/>
    <x v="221"/>
    <x v="5"/>
    <x v="4739"/>
    <x v="1"/>
  </r>
  <r>
    <x v="293"/>
    <x v="9"/>
    <x v="789"/>
    <x v="0"/>
    <x v="231"/>
    <x v="11"/>
    <x v="1"/>
    <x v="4"/>
    <x v="221"/>
    <x v="5"/>
    <x v="4740"/>
    <x v="1"/>
  </r>
  <r>
    <x v="293"/>
    <x v="3"/>
    <x v="302"/>
    <x v="3"/>
    <x v="580"/>
    <x v="11"/>
    <x v="0"/>
    <x v="4"/>
    <x v="221"/>
    <x v="4"/>
    <x v="4741"/>
    <x v="1"/>
  </r>
  <r>
    <x v="293"/>
    <x v="3"/>
    <x v="763"/>
    <x v="1"/>
    <x v="507"/>
    <x v="11"/>
    <x v="0"/>
    <x v="1"/>
    <x v="209"/>
    <x v="4"/>
    <x v="4742"/>
    <x v="1"/>
  </r>
  <r>
    <x v="293"/>
    <x v="12"/>
    <x v="19"/>
    <x v="3"/>
    <x v="331"/>
    <x v="11"/>
    <x v="0"/>
    <x v="1"/>
    <x v="221"/>
    <x v="5"/>
    <x v="4743"/>
    <x v="1"/>
  </r>
  <r>
    <x v="293"/>
    <x v="23"/>
    <x v="12"/>
    <x v="3"/>
    <x v="282"/>
    <x v="11"/>
    <x v="0"/>
    <x v="1"/>
    <x v="221"/>
    <x v="6"/>
    <x v="4744"/>
    <x v="1"/>
  </r>
  <r>
    <x v="293"/>
    <x v="38"/>
    <x v="12"/>
    <x v="3"/>
    <x v="334"/>
    <x v="11"/>
    <x v="0"/>
    <x v="1"/>
    <x v="221"/>
    <x v="5"/>
    <x v="4745"/>
    <x v="1"/>
  </r>
  <r>
    <x v="293"/>
    <x v="38"/>
    <x v="87"/>
    <x v="1"/>
    <x v="553"/>
    <x v="11"/>
    <x v="0"/>
    <x v="1"/>
    <x v="221"/>
    <x v="5"/>
    <x v="4746"/>
    <x v="1"/>
  </r>
  <r>
    <x v="293"/>
    <x v="36"/>
    <x v="45"/>
    <x v="1"/>
    <x v="376"/>
    <x v="11"/>
    <x v="0"/>
    <x v="1"/>
    <x v="221"/>
    <x v="5"/>
    <x v="4747"/>
    <x v="1"/>
  </r>
  <r>
    <x v="293"/>
    <x v="38"/>
    <x v="116"/>
    <x v="0"/>
    <x v="76"/>
    <x v="11"/>
    <x v="1"/>
    <x v="1"/>
    <x v="221"/>
    <x v="5"/>
    <x v="4748"/>
    <x v="1"/>
  </r>
  <r>
    <x v="293"/>
    <x v="0"/>
    <x v="518"/>
    <x v="1"/>
    <x v="173"/>
    <x v="11"/>
    <x v="0"/>
    <x v="1"/>
    <x v="221"/>
    <x v="9"/>
    <x v="4749"/>
    <x v="1"/>
  </r>
  <r>
    <x v="293"/>
    <x v="15"/>
    <x v="297"/>
    <x v="3"/>
    <x v="353"/>
    <x v="11"/>
    <x v="0"/>
    <x v="1"/>
    <x v="221"/>
    <x v="4"/>
    <x v="4750"/>
    <x v="1"/>
  </r>
  <r>
    <x v="293"/>
    <x v="32"/>
    <x v="1110"/>
    <x v="3"/>
    <x v="422"/>
    <x v="11"/>
    <x v="2"/>
    <x v="4"/>
    <x v="221"/>
    <x v="10"/>
    <x v="4751"/>
    <x v="1"/>
  </r>
  <r>
    <x v="293"/>
    <x v="32"/>
    <x v="1910"/>
    <x v="7"/>
    <x v="422"/>
    <x v="11"/>
    <x v="2"/>
    <x v="4"/>
    <x v="221"/>
    <x v="10"/>
    <x v="4752"/>
    <x v="1"/>
  </r>
  <r>
    <x v="293"/>
    <x v="32"/>
    <x v="904"/>
    <x v="5"/>
    <x v="422"/>
    <x v="11"/>
    <x v="2"/>
    <x v="4"/>
    <x v="221"/>
    <x v="10"/>
    <x v="4753"/>
    <x v="1"/>
  </r>
  <r>
    <x v="293"/>
    <x v="37"/>
    <x v="30"/>
    <x v="1"/>
    <x v="546"/>
    <x v="11"/>
    <x v="0"/>
    <x v="1"/>
    <x v="221"/>
    <x v="12"/>
    <x v="4754"/>
    <x v="1"/>
  </r>
  <r>
    <x v="293"/>
    <x v="24"/>
    <x v="158"/>
    <x v="1"/>
    <x v="126"/>
    <x v="11"/>
    <x v="0"/>
    <x v="1"/>
    <x v="221"/>
    <x v="6"/>
    <x v="4755"/>
    <x v="1"/>
  </r>
  <r>
    <x v="294"/>
    <x v="12"/>
    <x v="428"/>
    <x v="0"/>
    <x v="48"/>
    <x v="11"/>
    <x v="1"/>
    <x v="4"/>
    <x v="221"/>
    <x v="5"/>
    <x v="4756"/>
    <x v="1"/>
  </r>
  <r>
    <x v="294"/>
    <x v="9"/>
    <x v="1308"/>
    <x v="0"/>
    <x v="231"/>
    <x v="11"/>
    <x v="1"/>
    <x v="4"/>
    <x v="221"/>
    <x v="5"/>
    <x v="4757"/>
    <x v="1"/>
  </r>
  <r>
    <x v="294"/>
    <x v="27"/>
    <x v="256"/>
    <x v="1"/>
    <x v="411"/>
    <x v="11"/>
    <x v="0"/>
    <x v="1"/>
    <x v="221"/>
    <x v="5"/>
    <x v="4758"/>
    <x v="1"/>
  </r>
  <r>
    <x v="294"/>
    <x v="20"/>
    <x v="398"/>
    <x v="1"/>
    <x v="99"/>
    <x v="11"/>
    <x v="0"/>
    <x v="1"/>
    <x v="221"/>
    <x v="5"/>
    <x v="4759"/>
    <x v="1"/>
  </r>
  <r>
    <x v="294"/>
    <x v="38"/>
    <x v="45"/>
    <x v="1"/>
    <x v="401"/>
    <x v="11"/>
    <x v="0"/>
    <x v="1"/>
    <x v="221"/>
    <x v="5"/>
    <x v="4760"/>
    <x v="1"/>
  </r>
  <r>
    <x v="294"/>
    <x v="24"/>
    <x v="375"/>
    <x v="1"/>
    <x v="51"/>
    <x v="11"/>
    <x v="0"/>
    <x v="1"/>
    <x v="221"/>
    <x v="6"/>
    <x v="4761"/>
    <x v="1"/>
  </r>
  <r>
    <x v="294"/>
    <x v="12"/>
    <x v="74"/>
    <x v="1"/>
    <x v="151"/>
    <x v="11"/>
    <x v="0"/>
    <x v="1"/>
    <x v="221"/>
    <x v="5"/>
    <x v="4762"/>
    <x v="1"/>
  </r>
  <r>
    <x v="294"/>
    <x v="24"/>
    <x v="69"/>
    <x v="1"/>
    <x v="96"/>
    <x v="11"/>
    <x v="0"/>
    <x v="1"/>
    <x v="221"/>
    <x v="6"/>
    <x v="4763"/>
    <x v="1"/>
  </r>
  <r>
    <x v="294"/>
    <x v="23"/>
    <x v="12"/>
    <x v="3"/>
    <x v="282"/>
    <x v="11"/>
    <x v="0"/>
    <x v="1"/>
    <x v="221"/>
    <x v="6"/>
    <x v="4764"/>
    <x v="1"/>
  </r>
  <r>
    <x v="294"/>
    <x v="38"/>
    <x v="303"/>
    <x v="0"/>
    <x v="76"/>
    <x v="11"/>
    <x v="1"/>
    <x v="4"/>
    <x v="221"/>
    <x v="5"/>
    <x v="4765"/>
    <x v="1"/>
  </r>
  <r>
    <x v="294"/>
    <x v="32"/>
    <x v="1296"/>
    <x v="3"/>
    <x v="422"/>
    <x v="11"/>
    <x v="2"/>
    <x v="4"/>
    <x v="221"/>
    <x v="10"/>
    <x v="4766"/>
    <x v="1"/>
  </r>
  <r>
    <x v="294"/>
    <x v="32"/>
    <x v="58"/>
    <x v="2"/>
    <x v="422"/>
    <x v="11"/>
    <x v="2"/>
    <x v="4"/>
    <x v="221"/>
    <x v="10"/>
    <x v="4767"/>
    <x v="1"/>
  </r>
  <r>
    <x v="294"/>
    <x v="32"/>
    <x v="1835"/>
    <x v="7"/>
    <x v="422"/>
    <x v="11"/>
    <x v="2"/>
    <x v="4"/>
    <x v="221"/>
    <x v="10"/>
    <x v="4768"/>
    <x v="1"/>
  </r>
  <r>
    <x v="294"/>
    <x v="32"/>
    <x v="690"/>
    <x v="5"/>
    <x v="422"/>
    <x v="11"/>
    <x v="2"/>
    <x v="4"/>
    <x v="221"/>
    <x v="10"/>
    <x v="4769"/>
    <x v="1"/>
  </r>
  <r>
    <x v="294"/>
    <x v="0"/>
    <x v="518"/>
    <x v="1"/>
    <x v="310"/>
    <x v="11"/>
    <x v="0"/>
    <x v="1"/>
    <x v="210"/>
    <x v="9"/>
    <x v="4770"/>
    <x v="1"/>
  </r>
  <r>
    <x v="294"/>
    <x v="32"/>
    <x v="12"/>
    <x v="6"/>
    <x v="422"/>
    <x v="11"/>
    <x v="2"/>
    <x v="4"/>
    <x v="221"/>
    <x v="10"/>
    <x v="4771"/>
    <x v="1"/>
  </r>
  <r>
    <x v="294"/>
    <x v="32"/>
    <x v="466"/>
    <x v="8"/>
    <x v="422"/>
    <x v="11"/>
    <x v="2"/>
    <x v="4"/>
    <x v="221"/>
    <x v="10"/>
    <x v="4772"/>
    <x v="1"/>
  </r>
  <r>
    <x v="294"/>
    <x v="23"/>
    <x v="1"/>
    <x v="3"/>
    <x v="282"/>
    <x v="11"/>
    <x v="2"/>
    <x v="4"/>
    <x v="221"/>
    <x v="6"/>
    <x v="4773"/>
    <x v="1"/>
  </r>
  <r>
    <x v="294"/>
    <x v="26"/>
    <x v="90"/>
    <x v="3"/>
    <x v="339"/>
    <x v="11"/>
    <x v="0"/>
    <x v="1"/>
    <x v="221"/>
    <x v="5"/>
    <x v="4774"/>
    <x v="1"/>
  </r>
  <r>
    <x v="294"/>
    <x v="28"/>
    <x v="949"/>
    <x v="3"/>
    <x v="426"/>
    <x v="11"/>
    <x v="0"/>
    <x v="1"/>
    <x v="221"/>
    <x v="0"/>
    <x v="4775"/>
    <x v="1"/>
  </r>
  <r>
    <x v="295"/>
    <x v="12"/>
    <x v="545"/>
    <x v="0"/>
    <x v="48"/>
    <x v="11"/>
    <x v="1"/>
    <x v="4"/>
    <x v="221"/>
    <x v="5"/>
    <x v="4776"/>
    <x v="1"/>
  </r>
  <r>
    <x v="295"/>
    <x v="23"/>
    <x v="12"/>
    <x v="3"/>
    <x v="282"/>
    <x v="11"/>
    <x v="0"/>
    <x v="4"/>
    <x v="221"/>
    <x v="6"/>
    <x v="4777"/>
    <x v="1"/>
  </r>
  <r>
    <x v="295"/>
    <x v="9"/>
    <x v="1334"/>
    <x v="0"/>
    <x v="231"/>
    <x v="11"/>
    <x v="1"/>
    <x v="4"/>
    <x v="221"/>
    <x v="5"/>
    <x v="4778"/>
    <x v="1"/>
  </r>
  <r>
    <x v="295"/>
    <x v="38"/>
    <x v="12"/>
    <x v="3"/>
    <x v="334"/>
    <x v="11"/>
    <x v="2"/>
    <x v="4"/>
    <x v="221"/>
    <x v="5"/>
    <x v="4779"/>
    <x v="1"/>
  </r>
  <r>
    <x v="295"/>
    <x v="12"/>
    <x v="404"/>
    <x v="0"/>
    <x v="130"/>
    <x v="11"/>
    <x v="0"/>
    <x v="1"/>
    <x v="221"/>
    <x v="5"/>
    <x v="4780"/>
    <x v="1"/>
  </r>
  <r>
    <x v="295"/>
    <x v="24"/>
    <x v="318"/>
    <x v="0"/>
    <x v="224"/>
    <x v="11"/>
    <x v="0"/>
    <x v="1"/>
    <x v="221"/>
    <x v="6"/>
    <x v="4781"/>
    <x v="1"/>
  </r>
  <r>
    <x v="295"/>
    <x v="15"/>
    <x v="191"/>
    <x v="0"/>
    <x v="353"/>
    <x v="11"/>
    <x v="0"/>
    <x v="1"/>
    <x v="221"/>
    <x v="4"/>
    <x v="4782"/>
    <x v="1"/>
  </r>
  <r>
    <x v="295"/>
    <x v="24"/>
    <x v="77"/>
    <x v="1"/>
    <x v="72"/>
    <x v="11"/>
    <x v="0"/>
    <x v="1"/>
    <x v="221"/>
    <x v="6"/>
    <x v="4783"/>
    <x v="1"/>
  </r>
  <r>
    <x v="295"/>
    <x v="38"/>
    <x v="247"/>
    <x v="0"/>
    <x v="76"/>
    <x v="11"/>
    <x v="1"/>
    <x v="4"/>
    <x v="221"/>
    <x v="5"/>
    <x v="4784"/>
    <x v="1"/>
  </r>
  <r>
    <x v="295"/>
    <x v="32"/>
    <x v="1078"/>
    <x v="3"/>
    <x v="422"/>
    <x v="12"/>
    <x v="2"/>
    <x v="4"/>
    <x v="221"/>
    <x v="10"/>
    <x v="4785"/>
    <x v="1"/>
  </r>
  <r>
    <x v="295"/>
    <x v="32"/>
    <x v="1758"/>
    <x v="2"/>
    <x v="422"/>
    <x v="11"/>
    <x v="2"/>
    <x v="4"/>
    <x v="221"/>
    <x v="10"/>
    <x v="4786"/>
    <x v="1"/>
  </r>
  <r>
    <x v="295"/>
    <x v="32"/>
    <x v="777"/>
    <x v="6"/>
    <x v="422"/>
    <x v="11"/>
    <x v="2"/>
    <x v="4"/>
    <x v="221"/>
    <x v="10"/>
    <x v="4787"/>
    <x v="1"/>
  </r>
  <r>
    <x v="295"/>
    <x v="32"/>
    <x v="1824"/>
    <x v="7"/>
    <x v="422"/>
    <x v="11"/>
    <x v="2"/>
    <x v="4"/>
    <x v="221"/>
    <x v="10"/>
    <x v="4788"/>
    <x v="1"/>
  </r>
  <r>
    <x v="295"/>
    <x v="32"/>
    <x v="912"/>
    <x v="5"/>
    <x v="422"/>
    <x v="11"/>
    <x v="2"/>
    <x v="4"/>
    <x v="221"/>
    <x v="10"/>
    <x v="4789"/>
    <x v="1"/>
  </r>
  <r>
    <x v="295"/>
    <x v="23"/>
    <x v="1"/>
    <x v="3"/>
    <x v="282"/>
    <x v="11"/>
    <x v="2"/>
    <x v="4"/>
    <x v="221"/>
    <x v="6"/>
    <x v="4790"/>
    <x v="1"/>
  </r>
  <r>
    <x v="295"/>
    <x v="13"/>
    <x v="375"/>
    <x v="1"/>
    <x v="156"/>
    <x v="11"/>
    <x v="0"/>
    <x v="1"/>
    <x v="221"/>
    <x v="5"/>
    <x v="4791"/>
    <x v="1"/>
  </r>
  <r>
    <x v="295"/>
    <x v="37"/>
    <x v="36"/>
    <x v="1"/>
    <x v="546"/>
    <x v="11"/>
    <x v="0"/>
    <x v="4"/>
    <x v="221"/>
    <x v="12"/>
    <x v="4792"/>
    <x v="1"/>
  </r>
  <r>
    <x v="295"/>
    <x v="37"/>
    <x v="36"/>
    <x v="1"/>
    <x v="185"/>
    <x v="11"/>
    <x v="0"/>
    <x v="4"/>
    <x v="221"/>
    <x v="12"/>
    <x v="4793"/>
    <x v="1"/>
  </r>
  <r>
    <x v="296"/>
    <x v="9"/>
    <x v="1309"/>
    <x v="0"/>
    <x v="231"/>
    <x v="11"/>
    <x v="1"/>
    <x v="1"/>
    <x v="221"/>
    <x v="5"/>
    <x v="4794"/>
    <x v="1"/>
  </r>
  <r>
    <x v="296"/>
    <x v="12"/>
    <x v="707"/>
    <x v="0"/>
    <x v="48"/>
    <x v="11"/>
    <x v="1"/>
    <x v="4"/>
    <x v="221"/>
    <x v="5"/>
    <x v="4795"/>
    <x v="1"/>
  </r>
  <r>
    <x v="296"/>
    <x v="15"/>
    <x v="184"/>
    <x v="3"/>
    <x v="354"/>
    <x v="11"/>
    <x v="0"/>
    <x v="1"/>
    <x v="211"/>
    <x v="4"/>
    <x v="4796"/>
    <x v="1"/>
  </r>
  <r>
    <x v="296"/>
    <x v="1"/>
    <x v="581"/>
    <x v="3"/>
    <x v="432"/>
    <x v="11"/>
    <x v="0"/>
    <x v="1"/>
    <x v="211"/>
    <x v="4"/>
    <x v="4797"/>
    <x v="1"/>
  </r>
  <r>
    <x v="296"/>
    <x v="38"/>
    <x v="433"/>
    <x v="0"/>
    <x v="76"/>
    <x v="11"/>
    <x v="1"/>
    <x v="4"/>
    <x v="221"/>
    <x v="5"/>
    <x v="4798"/>
    <x v="1"/>
  </r>
  <r>
    <x v="296"/>
    <x v="23"/>
    <x v="12"/>
    <x v="3"/>
    <x v="282"/>
    <x v="11"/>
    <x v="0"/>
    <x v="4"/>
    <x v="221"/>
    <x v="6"/>
    <x v="4799"/>
    <x v="1"/>
  </r>
  <r>
    <x v="296"/>
    <x v="24"/>
    <x v="30"/>
    <x v="1"/>
    <x v="327"/>
    <x v="11"/>
    <x v="0"/>
    <x v="1"/>
    <x v="221"/>
    <x v="6"/>
    <x v="4800"/>
    <x v="1"/>
  </r>
  <r>
    <x v="296"/>
    <x v="12"/>
    <x v="19"/>
    <x v="1"/>
    <x v="331"/>
    <x v="11"/>
    <x v="0"/>
    <x v="1"/>
    <x v="221"/>
    <x v="5"/>
    <x v="4801"/>
    <x v="1"/>
  </r>
  <r>
    <x v="296"/>
    <x v="32"/>
    <x v="1203"/>
    <x v="3"/>
    <x v="422"/>
    <x v="11"/>
    <x v="2"/>
    <x v="4"/>
    <x v="221"/>
    <x v="10"/>
    <x v="4802"/>
    <x v="1"/>
  </r>
  <r>
    <x v="296"/>
    <x v="32"/>
    <x v="1066"/>
    <x v="2"/>
    <x v="422"/>
    <x v="11"/>
    <x v="2"/>
    <x v="4"/>
    <x v="221"/>
    <x v="10"/>
    <x v="4803"/>
    <x v="1"/>
  </r>
  <r>
    <x v="296"/>
    <x v="32"/>
    <x v="1965"/>
    <x v="7"/>
    <x v="422"/>
    <x v="11"/>
    <x v="2"/>
    <x v="4"/>
    <x v="221"/>
    <x v="10"/>
    <x v="4804"/>
    <x v="1"/>
  </r>
  <r>
    <x v="296"/>
    <x v="32"/>
    <x v="816"/>
    <x v="6"/>
    <x v="422"/>
    <x v="11"/>
    <x v="2"/>
    <x v="4"/>
    <x v="221"/>
    <x v="10"/>
    <x v="4805"/>
    <x v="1"/>
  </r>
  <r>
    <x v="296"/>
    <x v="32"/>
    <x v="217"/>
    <x v="8"/>
    <x v="422"/>
    <x v="11"/>
    <x v="2"/>
    <x v="4"/>
    <x v="221"/>
    <x v="10"/>
    <x v="4806"/>
    <x v="1"/>
  </r>
  <r>
    <x v="296"/>
    <x v="32"/>
    <x v="702"/>
    <x v="5"/>
    <x v="422"/>
    <x v="11"/>
    <x v="0"/>
    <x v="2"/>
    <x v="221"/>
    <x v="10"/>
    <x v="4807"/>
    <x v="1"/>
  </r>
  <r>
    <x v="297"/>
    <x v="3"/>
    <x v="283"/>
    <x v="3"/>
    <x v="580"/>
    <x v="11"/>
    <x v="1"/>
    <x v="1"/>
    <x v="221"/>
    <x v="4"/>
    <x v="4808"/>
    <x v="1"/>
  </r>
  <r>
    <x v="297"/>
    <x v="9"/>
    <x v="1455"/>
    <x v="0"/>
    <x v="231"/>
    <x v="11"/>
    <x v="1"/>
    <x v="4"/>
    <x v="221"/>
    <x v="5"/>
    <x v="4809"/>
    <x v="1"/>
  </r>
  <r>
    <x v="297"/>
    <x v="27"/>
    <x v="753"/>
    <x v="1"/>
    <x v="10"/>
    <x v="11"/>
    <x v="0"/>
    <x v="1"/>
    <x v="221"/>
    <x v="5"/>
    <x v="4810"/>
    <x v="1"/>
  </r>
  <r>
    <x v="297"/>
    <x v="12"/>
    <x v="19"/>
    <x v="1"/>
    <x v="331"/>
    <x v="11"/>
    <x v="0"/>
    <x v="1"/>
    <x v="221"/>
    <x v="5"/>
    <x v="4811"/>
    <x v="1"/>
  </r>
  <r>
    <x v="297"/>
    <x v="20"/>
    <x v="340"/>
    <x v="1"/>
    <x v="61"/>
    <x v="11"/>
    <x v="0"/>
    <x v="1"/>
    <x v="221"/>
    <x v="5"/>
    <x v="4812"/>
    <x v="1"/>
  </r>
  <r>
    <x v="297"/>
    <x v="9"/>
    <x v="1012"/>
    <x v="1"/>
    <x v="139"/>
    <x v="11"/>
    <x v="0"/>
    <x v="1"/>
    <x v="221"/>
    <x v="5"/>
    <x v="4813"/>
    <x v="1"/>
  </r>
  <r>
    <x v="297"/>
    <x v="38"/>
    <x v="15"/>
    <x v="3"/>
    <x v="334"/>
    <x v="11"/>
    <x v="0"/>
    <x v="1"/>
    <x v="221"/>
    <x v="5"/>
    <x v="4814"/>
    <x v="1"/>
  </r>
  <r>
    <x v="297"/>
    <x v="23"/>
    <x v="19"/>
    <x v="3"/>
    <x v="282"/>
    <x v="11"/>
    <x v="0"/>
    <x v="1"/>
    <x v="221"/>
    <x v="6"/>
    <x v="4815"/>
    <x v="1"/>
  </r>
  <r>
    <x v="297"/>
    <x v="37"/>
    <x v="19"/>
    <x v="1"/>
    <x v="546"/>
    <x v="11"/>
    <x v="0"/>
    <x v="1"/>
    <x v="221"/>
    <x v="12"/>
    <x v="4816"/>
    <x v="1"/>
  </r>
  <r>
    <x v="297"/>
    <x v="24"/>
    <x v="191"/>
    <x v="3"/>
    <x v="214"/>
    <x v="11"/>
    <x v="0"/>
    <x v="1"/>
    <x v="221"/>
    <x v="6"/>
    <x v="4817"/>
    <x v="1"/>
  </r>
  <r>
    <x v="297"/>
    <x v="26"/>
    <x v="90"/>
    <x v="3"/>
    <x v="338"/>
    <x v="11"/>
    <x v="0"/>
    <x v="1"/>
    <x v="221"/>
    <x v="5"/>
    <x v="4818"/>
    <x v="1"/>
  </r>
  <r>
    <x v="297"/>
    <x v="38"/>
    <x v="411"/>
    <x v="0"/>
    <x v="76"/>
    <x v="11"/>
    <x v="1"/>
    <x v="4"/>
    <x v="221"/>
    <x v="5"/>
    <x v="4819"/>
    <x v="1"/>
  </r>
  <r>
    <x v="297"/>
    <x v="32"/>
    <x v="1419"/>
    <x v="3"/>
    <x v="422"/>
    <x v="11"/>
    <x v="2"/>
    <x v="4"/>
    <x v="221"/>
    <x v="10"/>
    <x v="4820"/>
    <x v="1"/>
  </r>
  <r>
    <x v="297"/>
    <x v="32"/>
    <x v="1942"/>
    <x v="7"/>
    <x v="422"/>
    <x v="11"/>
    <x v="2"/>
    <x v="4"/>
    <x v="221"/>
    <x v="10"/>
    <x v="4821"/>
    <x v="1"/>
  </r>
  <r>
    <x v="297"/>
    <x v="32"/>
    <x v="770"/>
    <x v="6"/>
    <x v="422"/>
    <x v="11"/>
    <x v="2"/>
    <x v="4"/>
    <x v="221"/>
    <x v="10"/>
    <x v="4822"/>
    <x v="1"/>
  </r>
  <r>
    <x v="297"/>
    <x v="32"/>
    <x v="259"/>
    <x v="8"/>
    <x v="422"/>
    <x v="11"/>
    <x v="2"/>
    <x v="4"/>
    <x v="221"/>
    <x v="10"/>
    <x v="4823"/>
    <x v="1"/>
  </r>
  <r>
    <x v="297"/>
    <x v="32"/>
    <x v="1138"/>
    <x v="5"/>
    <x v="422"/>
    <x v="11"/>
    <x v="2"/>
    <x v="4"/>
    <x v="221"/>
    <x v="10"/>
    <x v="4824"/>
    <x v="1"/>
  </r>
  <r>
    <x v="298"/>
    <x v="0"/>
    <x v="518"/>
    <x v="1"/>
    <x v="310"/>
    <x v="11"/>
    <x v="0"/>
    <x v="1"/>
    <x v="212"/>
    <x v="9"/>
    <x v="4825"/>
    <x v="1"/>
  </r>
  <r>
    <x v="298"/>
    <x v="8"/>
    <x v="816"/>
    <x v="0"/>
    <x v="238"/>
    <x v="11"/>
    <x v="1"/>
    <x v="4"/>
    <x v="221"/>
    <x v="5"/>
    <x v="4826"/>
    <x v="1"/>
  </r>
  <r>
    <x v="298"/>
    <x v="20"/>
    <x v="216"/>
    <x v="1"/>
    <x v="380"/>
    <x v="11"/>
    <x v="0"/>
    <x v="1"/>
    <x v="221"/>
    <x v="5"/>
    <x v="4827"/>
    <x v="1"/>
  </r>
  <r>
    <x v="298"/>
    <x v="9"/>
    <x v="1414"/>
    <x v="0"/>
    <x v="231"/>
    <x v="11"/>
    <x v="1"/>
    <x v="4"/>
    <x v="221"/>
    <x v="5"/>
    <x v="4828"/>
    <x v="1"/>
  </r>
  <r>
    <x v="298"/>
    <x v="12"/>
    <x v="513"/>
    <x v="0"/>
    <x v="48"/>
    <x v="11"/>
    <x v="1"/>
    <x v="4"/>
    <x v="221"/>
    <x v="5"/>
    <x v="4829"/>
    <x v="1"/>
  </r>
  <r>
    <x v="298"/>
    <x v="23"/>
    <x v="25"/>
    <x v="3"/>
    <x v="282"/>
    <x v="11"/>
    <x v="0"/>
    <x v="4"/>
    <x v="221"/>
    <x v="6"/>
    <x v="4830"/>
    <x v="1"/>
  </r>
  <r>
    <x v="298"/>
    <x v="28"/>
    <x v="138"/>
    <x v="1"/>
    <x v="424"/>
    <x v="11"/>
    <x v="0"/>
    <x v="4"/>
    <x v="221"/>
    <x v="0"/>
    <x v="4831"/>
    <x v="1"/>
  </r>
  <r>
    <x v="298"/>
    <x v="37"/>
    <x v="25"/>
    <x v="1"/>
    <x v="546"/>
    <x v="11"/>
    <x v="0"/>
    <x v="4"/>
    <x v="221"/>
    <x v="12"/>
    <x v="4832"/>
    <x v="1"/>
  </r>
  <r>
    <x v="298"/>
    <x v="20"/>
    <x v="1687"/>
    <x v="0"/>
    <x v="61"/>
    <x v="11"/>
    <x v="1"/>
    <x v="4"/>
    <x v="221"/>
    <x v="5"/>
    <x v="4833"/>
    <x v="1"/>
  </r>
  <r>
    <x v="298"/>
    <x v="36"/>
    <x v="28"/>
    <x v="1"/>
    <x v="92"/>
    <x v="11"/>
    <x v="0"/>
    <x v="4"/>
    <x v="221"/>
    <x v="5"/>
    <x v="4834"/>
    <x v="1"/>
  </r>
  <r>
    <x v="298"/>
    <x v="38"/>
    <x v="927"/>
    <x v="0"/>
    <x v="76"/>
    <x v="11"/>
    <x v="1"/>
    <x v="4"/>
    <x v="221"/>
    <x v="5"/>
    <x v="4835"/>
    <x v="1"/>
  </r>
  <r>
    <x v="298"/>
    <x v="24"/>
    <x v="635"/>
    <x v="1"/>
    <x v="207"/>
    <x v="11"/>
    <x v="0"/>
    <x v="1"/>
    <x v="221"/>
    <x v="6"/>
    <x v="4836"/>
    <x v="1"/>
  </r>
  <r>
    <x v="298"/>
    <x v="32"/>
    <x v="775"/>
    <x v="3"/>
    <x v="422"/>
    <x v="11"/>
    <x v="2"/>
    <x v="4"/>
    <x v="221"/>
    <x v="10"/>
    <x v="4837"/>
    <x v="1"/>
  </r>
  <r>
    <x v="298"/>
    <x v="32"/>
    <x v="383"/>
    <x v="2"/>
    <x v="422"/>
    <x v="11"/>
    <x v="2"/>
    <x v="4"/>
    <x v="221"/>
    <x v="10"/>
    <x v="4838"/>
    <x v="1"/>
  </r>
  <r>
    <x v="298"/>
    <x v="32"/>
    <x v="19"/>
    <x v="6"/>
    <x v="422"/>
    <x v="11"/>
    <x v="2"/>
    <x v="4"/>
    <x v="221"/>
    <x v="10"/>
    <x v="4839"/>
    <x v="1"/>
  </r>
  <r>
    <x v="298"/>
    <x v="32"/>
    <x v="1815"/>
    <x v="7"/>
    <x v="422"/>
    <x v="11"/>
    <x v="2"/>
    <x v="4"/>
    <x v="221"/>
    <x v="10"/>
    <x v="4840"/>
    <x v="1"/>
  </r>
  <r>
    <x v="298"/>
    <x v="32"/>
    <x v="361"/>
    <x v="5"/>
    <x v="422"/>
    <x v="11"/>
    <x v="2"/>
    <x v="4"/>
    <x v="221"/>
    <x v="10"/>
    <x v="4841"/>
    <x v="1"/>
  </r>
  <r>
    <x v="298"/>
    <x v="12"/>
    <x v="19"/>
    <x v="1"/>
    <x v="331"/>
    <x v="11"/>
    <x v="1"/>
    <x v="3"/>
    <x v="221"/>
    <x v="5"/>
    <x v="4842"/>
    <x v="1"/>
  </r>
  <r>
    <x v="298"/>
    <x v="24"/>
    <x v="65"/>
    <x v="3"/>
    <x v="42"/>
    <x v="11"/>
    <x v="0"/>
    <x v="1"/>
    <x v="221"/>
    <x v="6"/>
    <x v="4843"/>
    <x v="1"/>
  </r>
  <r>
    <x v="298"/>
    <x v="38"/>
    <x v="36"/>
    <x v="1"/>
    <x v="401"/>
    <x v="11"/>
    <x v="0"/>
    <x v="3"/>
    <x v="221"/>
    <x v="5"/>
    <x v="4844"/>
    <x v="1"/>
  </r>
  <r>
    <x v="299"/>
    <x v="9"/>
    <x v="1010"/>
    <x v="0"/>
    <x v="231"/>
    <x v="11"/>
    <x v="1"/>
    <x v="4"/>
    <x v="221"/>
    <x v="5"/>
    <x v="4845"/>
    <x v="1"/>
  </r>
  <r>
    <x v="299"/>
    <x v="12"/>
    <x v="300"/>
    <x v="0"/>
    <x v="48"/>
    <x v="11"/>
    <x v="1"/>
    <x v="4"/>
    <x v="221"/>
    <x v="5"/>
    <x v="4846"/>
    <x v="1"/>
  </r>
  <r>
    <x v="299"/>
    <x v="27"/>
    <x v="829"/>
    <x v="0"/>
    <x v="10"/>
    <x v="11"/>
    <x v="0"/>
    <x v="1"/>
    <x v="213"/>
    <x v="5"/>
    <x v="4847"/>
    <x v="1"/>
  </r>
  <r>
    <x v="299"/>
    <x v="20"/>
    <x v="398"/>
    <x v="1"/>
    <x v="99"/>
    <x v="11"/>
    <x v="0"/>
    <x v="1"/>
    <x v="221"/>
    <x v="5"/>
    <x v="4848"/>
    <x v="1"/>
  </r>
  <r>
    <x v="299"/>
    <x v="3"/>
    <x v="599"/>
    <x v="3"/>
    <x v="580"/>
    <x v="11"/>
    <x v="0"/>
    <x v="1"/>
    <x v="221"/>
    <x v="4"/>
    <x v="4849"/>
    <x v="1"/>
  </r>
  <r>
    <x v="299"/>
    <x v="23"/>
    <x v="12"/>
    <x v="3"/>
    <x v="282"/>
    <x v="11"/>
    <x v="0"/>
    <x v="1"/>
    <x v="221"/>
    <x v="6"/>
    <x v="4850"/>
    <x v="1"/>
  </r>
  <r>
    <x v="299"/>
    <x v="0"/>
    <x v="45"/>
    <x v="3"/>
    <x v="178"/>
    <x v="11"/>
    <x v="0"/>
    <x v="1"/>
    <x v="213"/>
    <x v="9"/>
    <x v="4851"/>
    <x v="1"/>
  </r>
  <r>
    <x v="299"/>
    <x v="38"/>
    <x v="12"/>
    <x v="3"/>
    <x v="334"/>
    <x v="11"/>
    <x v="0"/>
    <x v="1"/>
    <x v="221"/>
    <x v="5"/>
    <x v="4852"/>
    <x v="1"/>
  </r>
  <r>
    <x v="299"/>
    <x v="38"/>
    <x v="191"/>
    <x v="0"/>
    <x v="76"/>
    <x v="11"/>
    <x v="1"/>
    <x v="4"/>
    <x v="221"/>
    <x v="5"/>
    <x v="4853"/>
    <x v="1"/>
  </r>
  <r>
    <x v="299"/>
    <x v="32"/>
    <x v="899"/>
    <x v="3"/>
    <x v="422"/>
    <x v="0"/>
    <x v="2"/>
    <x v="4"/>
    <x v="221"/>
    <x v="10"/>
    <x v="4854"/>
    <x v="1"/>
  </r>
  <r>
    <x v="299"/>
    <x v="32"/>
    <x v="1827"/>
    <x v="7"/>
    <x v="422"/>
    <x v="11"/>
    <x v="2"/>
    <x v="4"/>
    <x v="221"/>
    <x v="10"/>
    <x v="4855"/>
    <x v="1"/>
  </r>
  <r>
    <x v="299"/>
    <x v="32"/>
    <x v="277"/>
    <x v="4"/>
    <x v="422"/>
    <x v="11"/>
    <x v="2"/>
    <x v="4"/>
    <x v="221"/>
    <x v="10"/>
    <x v="4856"/>
    <x v="1"/>
  </r>
  <r>
    <x v="299"/>
    <x v="32"/>
    <x v="1244"/>
    <x v="5"/>
    <x v="422"/>
    <x v="11"/>
    <x v="2"/>
    <x v="4"/>
    <x v="221"/>
    <x v="10"/>
    <x v="4857"/>
    <x v="1"/>
  </r>
  <r>
    <x v="299"/>
    <x v="32"/>
    <x v="90"/>
    <x v="2"/>
    <x v="422"/>
    <x v="11"/>
    <x v="2"/>
    <x v="4"/>
    <x v="221"/>
    <x v="10"/>
    <x v="4858"/>
    <x v="1"/>
  </r>
  <r>
    <x v="299"/>
    <x v="12"/>
    <x v="19"/>
    <x v="1"/>
    <x v="546"/>
    <x v="11"/>
    <x v="0"/>
    <x v="4"/>
    <x v="221"/>
    <x v="5"/>
    <x v="4859"/>
    <x v="1"/>
  </r>
  <r>
    <x v="299"/>
    <x v="12"/>
    <x v="19"/>
    <x v="1"/>
    <x v="331"/>
    <x v="11"/>
    <x v="0"/>
    <x v="4"/>
    <x v="221"/>
    <x v="5"/>
    <x v="4860"/>
    <x v="1"/>
  </r>
  <r>
    <x v="300"/>
    <x v="9"/>
    <x v="1484"/>
    <x v="0"/>
    <x v="231"/>
    <x v="11"/>
    <x v="1"/>
    <x v="4"/>
    <x v="221"/>
    <x v="5"/>
    <x v="4861"/>
    <x v="1"/>
  </r>
  <r>
    <x v="300"/>
    <x v="12"/>
    <x v="526"/>
    <x v="0"/>
    <x v="48"/>
    <x v="11"/>
    <x v="1"/>
    <x v="4"/>
    <x v="221"/>
    <x v="5"/>
    <x v="4862"/>
    <x v="1"/>
  </r>
  <r>
    <x v="300"/>
    <x v="38"/>
    <x v="173"/>
    <x v="1"/>
    <x v="389"/>
    <x v="11"/>
    <x v="0"/>
    <x v="4"/>
    <x v="221"/>
    <x v="5"/>
    <x v="4863"/>
    <x v="1"/>
  </r>
  <r>
    <x v="300"/>
    <x v="24"/>
    <x v="27"/>
    <x v="1"/>
    <x v="328"/>
    <x v="11"/>
    <x v="0"/>
    <x v="4"/>
    <x v="221"/>
    <x v="6"/>
    <x v="4864"/>
    <x v="1"/>
  </r>
  <r>
    <x v="300"/>
    <x v="20"/>
    <x v="1841"/>
    <x v="0"/>
    <x v="61"/>
    <x v="11"/>
    <x v="1"/>
    <x v="4"/>
    <x v="221"/>
    <x v="5"/>
    <x v="4865"/>
    <x v="1"/>
  </r>
  <r>
    <x v="300"/>
    <x v="20"/>
    <x v="127"/>
    <x v="1"/>
    <x v="505"/>
    <x v="11"/>
    <x v="0"/>
    <x v="4"/>
    <x v="221"/>
    <x v="5"/>
    <x v="4866"/>
    <x v="1"/>
  </r>
  <r>
    <x v="300"/>
    <x v="15"/>
    <x v="207"/>
    <x v="1"/>
    <x v="353"/>
    <x v="11"/>
    <x v="0"/>
    <x v="1"/>
    <x v="221"/>
    <x v="4"/>
    <x v="4867"/>
    <x v="1"/>
  </r>
  <r>
    <x v="300"/>
    <x v="38"/>
    <x v="253"/>
    <x v="0"/>
    <x v="76"/>
    <x v="11"/>
    <x v="1"/>
    <x v="1"/>
    <x v="221"/>
    <x v="5"/>
    <x v="4868"/>
    <x v="1"/>
  </r>
  <r>
    <x v="300"/>
    <x v="23"/>
    <x v="19"/>
    <x v="3"/>
    <x v="282"/>
    <x v="11"/>
    <x v="0"/>
    <x v="1"/>
    <x v="221"/>
    <x v="6"/>
    <x v="4869"/>
    <x v="1"/>
  </r>
  <r>
    <x v="300"/>
    <x v="20"/>
    <x v="53"/>
    <x v="1"/>
    <x v="399"/>
    <x v="11"/>
    <x v="0"/>
    <x v="1"/>
    <x v="221"/>
    <x v="5"/>
    <x v="4870"/>
    <x v="1"/>
  </r>
  <r>
    <x v="300"/>
    <x v="12"/>
    <x v="40"/>
    <x v="1"/>
    <x v="331"/>
    <x v="11"/>
    <x v="0"/>
    <x v="1"/>
    <x v="221"/>
    <x v="5"/>
    <x v="4871"/>
    <x v="1"/>
  </r>
  <r>
    <x v="300"/>
    <x v="32"/>
    <x v="1298"/>
    <x v="3"/>
    <x v="422"/>
    <x v="11"/>
    <x v="2"/>
    <x v="4"/>
    <x v="221"/>
    <x v="10"/>
    <x v="4872"/>
    <x v="1"/>
  </r>
  <r>
    <x v="300"/>
    <x v="32"/>
    <x v="891"/>
    <x v="6"/>
    <x v="422"/>
    <x v="11"/>
    <x v="2"/>
    <x v="4"/>
    <x v="221"/>
    <x v="10"/>
    <x v="4873"/>
    <x v="1"/>
  </r>
  <r>
    <x v="300"/>
    <x v="32"/>
    <x v="1324"/>
    <x v="5"/>
    <x v="422"/>
    <x v="11"/>
    <x v="2"/>
    <x v="4"/>
    <x v="221"/>
    <x v="10"/>
    <x v="4874"/>
    <x v="1"/>
  </r>
  <r>
    <x v="300"/>
    <x v="32"/>
    <x v="1929"/>
    <x v="7"/>
    <x v="422"/>
    <x v="11"/>
    <x v="2"/>
    <x v="4"/>
    <x v="221"/>
    <x v="10"/>
    <x v="4875"/>
    <x v="1"/>
  </r>
  <r>
    <x v="300"/>
    <x v="32"/>
    <x v="524"/>
    <x v="8"/>
    <x v="422"/>
    <x v="11"/>
    <x v="2"/>
    <x v="4"/>
    <x v="221"/>
    <x v="10"/>
    <x v="4876"/>
    <x v="1"/>
  </r>
  <r>
    <x v="300"/>
    <x v="20"/>
    <x v="45"/>
    <x v="1"/>
    <x v="367"/>
    <x v="11"/>
    <x v="0"/>
    <x v="4"/>
    <x v="221"/>
    <x v="5"/>
    <x v="4877"/>
    <x v="1"/>
  </r>
  <r>
    <x v="300"/>
    <x v="24"/>
    <x v="753"/>
    <x v="0"/>
    <x v="504"/>
    <x v="11"/>
    <x v="0"/>
    <x v="3"/>
    <x v="221"/>
    <x v="6"/>
    <x v="4878"/>
    <x v="1"/>
  </r>
  <r>
    <x v="301"/>
    <x v="9"/>
    <x v="1496"/>
    <x v="0"/>
    <x v="231"/>
    <x v="11"/>
    <x v="1"/>
    <x v="4"/>
    <x v="221"/>
    <x v="5"/>
    <x v="4879"/>
    <x v="1"/>
  </r>
  <r>
    <x v="301"/>
    <x v="37"/>
    <x v="33"/>
    <x v="1"/>
    <x v="546"/>
    <x v="11"/>
    <x v="0"/>
    <x v="1"/>
    <x v="221"/>
    <x v="12"/>
    <x v="4880"/>
    <x v="1"/>
  </r>
  <r>
    <x v="301"/>
    <x v="12"/>
    <x v="134"/>
    <x v="1"/>
    <x v="97"/>
    <x v="11"/>
    <x v="0"/>
    <x v="1"/>
    <x v="221"/>
    <x v="5"/>
    <x v="4881"/>
    <x v="1"/>
  </r>
  <r>
    <x v="301"/>
    <x v="12"/>
    <x v="25"/>
    <x v="3"/>
    <x v="42"/>
    <x v="11"/>
    <x v="0"/>
    <x v="4"/>
    <x v="221"/>
    <x v="5"/>
    <x v="4882"/>
    <x v="1"/>
  </r>
  <r>
    <x v="301"/>
    <x v="18"/>
    <x v="375"/>
    <x v="3"/>
    <x v="464"/>
    <x v="11"/>
    <x v="0"/>
    <x v="1"/>
    <x v="214"/>
    <x v="3"/>
    <x v="4883"/>
    <x v="1"/>
  </r>
  <r>
    <x v="301"/>
    <x v="37"/>
    <x v="27"/>
    <x v="3"/>
    <x v="152"/>
    <x v="11"/>
    <x v="0"/>
    <x v="1"/>
    <x v="221"/>
    <x v="12"/>
    <x v="4884"/>
    <x v="1"/>
  </r>
  <r>
    <x v="301"/>
    <x v="25"/>
    <x v="114"/>
    <x v="3"/>
    <x v="41"/>
    <x v="11"/>
    <x v="0"/>
    <x v="1"/>
    <x v="221"/>
    <x v="12"/>
    <x v="4885"/>
    <x v="1"/>
  </r>
  <r>
    <x v="301"/>
    <x v="4"/>
    <x v="335"/>
    <x v="3"/>
    <x v="462"/>
    <x v="11"/>
    <x v="0"/>
    <x v="1"/>
    <x v="221"/>
    <x v="2"/>
    <x v="4886"/>
    <x v="1"/>
  </r>
  <r>
    <x v="301"/>
    <x v="38"/>
    <x v="350"/>
    <x v="0"/>
    <x v="76"/>
    <x v="11"/>
    <x v="1"/>
    <x v="4"/>
    <x v="221"/>
    <x v="5"/>
    <x v="4887"/>
    <x v="1"/>
  </r>
  <r>
    <x v="301"/>
    <x v="23"/>
    <x v="12"/>
    <x v="3"/>
    <x v="282"/>
    <x v="11"/>
    <x v="0"/>
    <x v="4"/>
    <x v="221"/>
    <x v="6"/>
    <x v="4888"/>
    <x v="1"/>
  </r>
  <r>
    <x v="301"/>
    <x v="32"/>
    <x v="1072"/>
    <x v="3"/>
    <x v="422"/>
    <x v="11"/>
    <x v="2"/>
    <x v="4"/>
    <x v="221"/>
    <x v="10"/>
    <x v="4889"/>
    <x v="1"/>
  </r>
  <r>
    <x v="301"/>
    <x v="32"/>
    <x v="1877"/>
    <x v="7"/>
    <x v="422"/>
    <x v="11"/>
    <x v="2"/>
    <x v="4"/>
    <x v="221"/>
    <x v="10"/>
    <x v="4890"/>
    <x v="1"/>
  </r>
  <r>
    <x v="301"/>
    <x v="32"/>
    <x v="460"/>
    <x v="6"/>
    <x v="422"/>
    <x v="11"/>
    <x v="2"/>
    <x v="4"/>
    <x v="221"/>
    <x v="10"/>
    <x v="4891"/>
    <x v="1"/>
  </r>
  <r>
    <x v="301"/>
    <x v="32"/>
    <x v="200"/>
    <x v="5"/>
    <x v="422"/>
    <x v="11"/>
    <x v="2"/>
    <x v="4"/>
    <x v="221"/>
    <x v="10"/>
    <x v="4892"/>
    <x v="1"/>
  </r>
  <r>
    <x v="301"/>
    <x v="1"/>
    <x v="332"/>
    <x v="3"/>
    <x v="432"/>
    <x v="11"/>
    <x v="0"/>
    <x v="1"/>
    <x v="214"/>
    <x v="4"/>
    <x v="4893"/>
    <x v="1"/>
  </r>
  <r>
    <x v="301"/>
    <x v="32"/>
    <x v="200"/>
    <x v="5"/>
    <x v="422"/>
    <x v="11"/>
    <x v="2"/>
    <x v="4"/>
    <x v="221"/>
    <x v="10"/>
    <x v="4894"/>
    <x v="1"/>
  </r>
  <r>
    <x v="302"/>
    <x v="12"/>
    <x v="483"/>
    <x v="0"/>
    <x v="48"/>
    <x v="11"/>
    <x v="1"/>
    <x v="4"/>
    <x v="221"/>
    <x v="5"/>
    <x v="4895"/>
    <x v="1"/>
  </r>
  <r>
    <x v="302"/>
    <x v="24"/>
    <x v="112"/>
    <x v="1"/>
    <x v="260"/>
    <x v="11"/>
    <x v="0"/>
    <x v="1"/>
    <x v="221"/>
    <x v="6"/>
    <x v="4896"/>
    <x v="1"/>
  </r>
  <r>
    <x v="302"/>
    <x v="9"/>
    <x v="1631"/>
    <x v="0"/>
    <x v="231"/>
    <x v="11"/>
    <x v="1"/>
    <x v="4"/>
    <x v="221"/>
    <x v="5"/>
    <x v="4897"/>
    <x v="1"/>
  </r>
  <r>
    <x v="302"/>
    <x v="37"/>
    <x v="19"/>
    <x v="1"/>
    <x v="546"/>
    <x v="11"/>
    <x v="0"/>
    <x v="4"/>
    <x v="221"/>
    <x v="12"/>
    <x v="4898"/>
    <x v="1"/>
  </r>
  <r>
    <x v="302"/>
    <x v="1"/>
    <x v="112"/>
    <x v="3"/>
    <x v="432"/>
    <x v="11"/>
    <x v="0"/>
    <x v="4"/>
    <x v="221"/>
    <x v="4"/>
    <x v="4899"/>
    <x v="1"/>
  </r>
  <r>
    <x v="302"/>
    <x v="38"/>
    <x v="379"/>
    <x v="0"/>
    <x v="76"/>
    <x v="11"/>
    <x v="1"/>
    <x v="4"/>
    <x v="221"/>
    <x v="5"/>
    <x v="4900"/>
    <x v="1"/>
  </r>
  <r>
    <x v="302"/>
    <x v="27"/>
    <x v="112"/>
    <x v="1"/>
    <x v="411"/>
    <x v="11"/>
    <x v="0"/>
    <x v="1"/>
    <x v="221"/>
    <x v="5"/>
    <x v="4901"/>
    <x v="1"/>
  </r>
  <r>
    <x v="302"/>
    <x v="12"/>
    <x v="287"/>
    <x v="1"/>
    <x v="130"/>
    <x v="11"/>
    <x v="0"/>
    <x v="1"/>
    <x v="221"/>
    <x v="5"/>
    <x v="4902"/>
    <x v="1"/>
  </r>
  <r>
    <x v="302"/>
    <x v="28"/>
    <x v="138"/>
    <x v="1"/>
    <x v="424"/>
    <x v="11"/>
    <x v="0"/>
    <x v="4"/>
    <x v="221"/>
    <x v="0"/>
    <x v="4903"/>
    <x v="1"/>
  </r>
  <r>
    <x v="302"/>
    <x v="24"/>
    <x v="87"/>
    <x v="1"/>
    <x v="80"/>
    <x v="11"/>
    <x v="0"/>
    <x v="1"/>
    <x v="221"/>
    <x v="6"/>
    <x v="4904"/>
    <x v="1"/>
  </r>
  <r>
    <x v="302"/>
    <x v="12"/>
    <x v="19"/>
    <x v="1"/>
    <x v="331"/>
    <x v="11"/>
    <x v="0"/>
    <x v="4"/>
    <x v="221"/>
    <x v="5"/>
    <x v="4905"/>
    <x v="1"/>
  </r>
  <r>
    <x v="302"/>
    <x v="25"/>
    <x v="45"/>
    <x v="1"/>
    <x v="40"/>
    <x v="11"/>
    <x v="0"/>
    <x v="4"/>
    <x v="221"/>
    <x v="12"/>
    <x v="4906"/>
    <x v="1"/>
  </r>
  <r>
    <x v="302"/>
    <x v="23"/>
    <x v="19"/>
    <x v="3"/>
    <x v="282"/>
    <x v="11"/>
    <x v="0"/>
    <x v="4"/>
    <x v="221"/>
    <x v="6"/>
    <x v="4907"/>
    <x v="1"/>
  </r>
  <r>
    <x v="302"/>
    <x v="32"/>
    <x v="1531"/>
    <x v="3"/>
    <x v="422"/>
    <x v="11"/>
    <x v="2"/>
    <x v="4"/>
    <x v="221"/>
    <x v="10"/>
    <x v="4908"/>
    <x v="1"/>
  </r>
  <r>
    <x v="302"/>
    <x v="32"/>
    <x v="1943"/>
    <x v="7"/>
    <x v="422"/>
    <x v="11"/>
    <x v="2"/>
    <x v="4"/>
    <x v="221"/>
    <x v="10"/>
    <x v="4909"/>
    <x v="1"/>
  </r>
  <r>
    <x v="302"/>
    <x v="32"/>
    <x v="562"/>
    <x v="6"/>
    <x v="422"/>
    <x v="11"/>
    <x v="2"/>
    <x v="4"/>
    <x v="221"/>
    <x v="10"/>
    <x v="4910"/>
    <x v="1"/>
  </r>
  <r>
    <x v="302"/>
    <x v="32"/>
    <x v="812"/>
    <x v="5"/>
    <x v="422"/>
    <x v="11"/>
    <x v="2"/>
    <x v="4"/>
    <x v="221"/>
    <x v="10"/>
    <x v="4911"/>
    <x v="1"/>
  </r>
  <r>
    <x v="302"/>
    <x v="32"/>
    <x v="188"/>
    <x v="8"/>
    <x v="422"/>
    <x v="11"/>
    <x v="2"/>
    <x v="4"/>
    <x v="221"/>
    <x v="10"/>
    <x v="4912"/>
    <x v="1"/>
  </r>
  <r>
    <x v="303"/>
    <x v="12"/>
    <x v="406"/>
    <x v="0"/>
    <x v="48"/>
    <x v="11"/>
    <x v="1"/>
    <x v="4"/>
    <x v="221"/>
    <x v="5"/>
    <x v="4913"/>
    <x v="1"/>
  </r>
  <r>
    <x v="303"/>
    <x v="8"/>
    <x v="77"/>
    <x v="0"/>
    <x v="238"/>
    <x v="11"/>
    <x v="0"/>
    <x v="4"/>
    <x v="221"/>
    <x v="5"/>
    <x v="4914"/>
    <x v="1"/>
  </r>
  <r>
    <x v="303"/>
    <x v="12"/>
    <x v="158"/>
    <x v="1"/>
    <x v="406"/>
    <x v="11"/>
    <x v="0"/>
    <x v="4"/>
    <x v="221"/>
    <x v="5"/>
    <x v="4915"/>
    <x v="1"/>
  </r>
  <r>
    <x v="303"/>
    <x v="27"/>
    <x v="829"/>
    <x v="1"/>
    <x v="360"/>
    <x v="0"/>
    <x v="0"/>
    <x v="4"/>
    <x v="221"/>
    <x v="5"/>
    <x v="4916"/>
    <x v="1"/>
  </r>
  <r>
    <x v="303"/>
    <x v="20"/>
    <x v="232"/>
    <x v="1"/>
    <x v="61"/>
    <x v="11"/>
    <x v="0"/>
    <x v="4"/>
    <x v="221"/>
    <x v="5"/>
    <x v="4917"/>
    <x v="1"/>
  </r>
  <r>
    <x v="303"/>
    <x v="9"/>
    <x v="1150"/>
    <x v="0"/>
    <x v="231"/>
    <x v="11"/>
    <x v="1"/>
    <x v="4"/>
    <x v="221"/>
    <x v="5"/>
    <x v="4918"/>
    <x v="1"/>
  </r>
  <r>
    <x v="303"/>
    <x v="12"/>
    <x v="19"/>
    <x v="1"/>
    <x v="331"/>
    <x v="11"/>
    <x v="0"/>
    <x v="4"/>
    <x v="221"/>
    <x v="5"/>
    <x v="4919"/>
    <x v="1"/>
  </r>
  <r>
    <x v="303"/>
    <x v="3"/>
    <x v="933"/>
    <x v="1"/>
    <x v="507"/>
    <x v="11"/>
    <x v="0"/>
    <x v="1"/>
    <x v="221"/>
    <x v="4"/>
    <x v="4920"/>
    <x v="1"/>
  </r>
  <r>
    <x v="303"/>
    <x v="3"/>
    <x v="599"/>
    <x v="3"/>
    <x v="580"/>
    <x v="11"/>
    <x v="0"/>
    <x v="4"/>
    <x v="221"/>
    <x v="4"/>
    <x v="4921"/>
    <x v="1"/>
  </r>
  <r>
    <x v="303"/>
    <x v="23"/>
    <x v="17"/>
    <x v="3"/>
    <x v="282"/>
    <x v="11"/>
    <x v="0"/>
    <x v="4"/>
    <x v="221"/>
    <x v="6"/>
    <x v="4922"/>
    <x v="1"/>
  </r>
  <r>
    <x v="303"/>
    <x v="37"/>
    <x v="19"/>
    <x v="1"/>
    <x v="546"/>
    <x v="11"/>
    <x v="0"/>
    <x v="4"/>
    <x v="221"/>
    <x v="12"/>
    <x v="4923"/>
    <x v="1"/>
  </r>
  <r>
    <x v="303"/>
    <x v="38"/>
    <x v="263"/>
    <x v="0"/>
    <x v="76"/>
    <x v="11"/>
    <x v="1"/>
    <x v="4"/>
    <x v="221"/>
    <x v="5"/>
    <x v="4924"/>
    <x v="1"/>
  </r>
  <r>
    <x v="303"/>
    <x v="32"/>
    <x v="1710"/>
    <x v="3"/>
    <x v="422"/>
    <x v="0"/>
    <x v="2"/>
    <x v="4"/>
    <x v="221"/>
    <x v="10"/>
    <x v="4925"/>
    <x v="1"/>
  </r>
  <r>
    <x v="303"/>
    <x v="32"/>
    <x v="645"/>
    <x v="6"/>
    <x v="422"/>
    <x v="11"/>
    <x v="2"/>
    <x v="4"/>
    <x v="221"/>
    <x v="10"/>
    <x v="4926"/>
    <x v="1"/>
  </r>
  <r>
    <x v="303"/>
    <x v="32"/>
    <x v="380"/>
    <x v="2"/>
    <x v="422"/>
    <x v="11"/>
    <x v="2"/>
    <x v="4"/>
    <x v="221"/>
    <x v="10"/>
    <x v="4927"/>
    <x v="1"/>
  </r>
  <r>
    <x v="303"/>
    <x v="32"/>
    <x v="950"/>
    <x v="5"/>
    <x v="422"/>
    <x v="11"/>
    <x v="2"/>
    <x v="4"/>
    <x v="221"/>
    <x v="10"/>
    <x v="4928"/>
    <x v="1"/>
  </r>
  <r>
    <x v="303"/>
    <x v="32"/>
    <x v="1982"/>
    <x v="7"/>
    <x v="422"/>
    <x v="11"/>
    <x v="2"/>
    <x v="4"/>
    <x v="221"/>
    <x v="10"/>
    <x v="4929"/>
    <x v="1"/>
  </r>
  <r>
    <x v="303"/>
    <x v="32"/>
    <x v="134"/>
    <x v="4"/>
    <x v="422"/>
    <x v="11"/>
    <x v="2"/>
    <x v="4"/>
    <x v="221"/>
    <x v="10"/>
    <x v="4930"/>
    <x v="1"/>
  </r>
  <r>
    <x v="304"/>
    <x v="12"/>
    <x v="778"/>
    <x v="0"/>
    <x v="48"/>
    <x v="11"/>
    <x v="1"/>
    <x v="4"/>
    <x v="221"/>
    <x v="5"/>
    <x v="4931"/>
    <x v="1"/>
  </r>
  <r>
    <x v="304"/>
    <x v="9"/>
    <x v="1547"/>
    <x v="0"/>
    <x v="231"/>
    <x v="11"/>
    <x v="1"/>
    <x v="4"/>
    <x v="221"/>
    <x v="5"/>
    <x v="4932"/>
    <x v="1"/>
  </r>
  <r>
    <x v="304"/>
    <x v="36"/>
    <x v="112"/>
    <x v="1"/>
    <x v="376"/>
    <x v="11"/>
    <x v="0"/>
    <x v="4"/>
    <x v="221"/>
    <x v="5"/>
    <x v="4933"/>
    <x v="1"/>
  </r>
  <r>
    <x v="304"/>
    <x v="38"/>
    <x v="1626"/>
    <x v="1"/>
    <x v="76"/>
    <x v="11"/>
    <x v="0"/>
    <x v="1"/>
    <x v="215"/>
    <x v="5"/>
    <x v="4934"/>
    <x v="1"/>
  </r>
  <r>
    <x v="304"/>
    <x v="12"/>
    <x v="19"/>
    <x v="1"/>
    <x v="331"/>
    <x v="11"/>
    <x v="0"/>
    <x v="1"/>
    <x v="221"/>
    <x v="5"/>
    <x v="4935"/>
    <x v="1"/>
  </r>
  <r>
    <x v="304"/>
    <x v="37"/>
    <x v="45"/>
    <x v="1"/>
    <x v="43"/>
    <x v="11"/>
    <x v="0"/>
    <x v="1"/>
    <x v="221"/>
    <x v="12"/>
    <x v="4936"/>
    <x v="1"/>
  </r>
  <r>
    <x v="304"/>
    <x v="23"/>
    <x v="19"/>
    <x v="1"/>
    <x v="282"/>
    <x v="11"/>
    <x v="0"/>
    <x v="4"/>
    <x v="221"/>
    <x v="6"/>
    <x v="4937"/>
    <x v="1"/>
  </r>
  <r>
    <x v="304"/>
    <x v="8"/>
    <x v="318"/>
    <x v="1"/>
    <x v="238"/>
    <x v="11"/>
    <x v="0"/>
    <x v="1"/>
    <x v="220"/>
    <x v="5"/>
    <x v="4938"/>
    <x v="1"/>
  </r>
  <r>
    <x v="304"/>
    <x v="13"/>
    <x v="147"/>
    <x v="1"/>
    <x v="342"/>
    <x v="11"/>
    <x v="0"/>
    <x v="1"/>
    <x v="221"/>
    <x v="5"/>
    <x v="4939"/>
    <x v="1"/>
  </r>
  <r>
    <x v="304"/>
    <x v="24"/>
    <x v="19"/>
    <x v="1"/>
    <x v="247"/>
    <x v="11"/>
    <x v="0"/>
    <x v="1"/>
    <x v="221"/>
    <x v="6"/>
    <x v="4940"/>
    <x v="1"/>
  </r>
  <r>
    <x v="304"/>
    <x v="24"/>
    <x v="49"/>
    <x v="1"/>
    <x v="247"/>
    <x v="11"/>
    <x v="0"/>
    <x v="1"/>
    <x v="221"/>
    <x v="6"/>
    <x v="4941"/>
    <x v="1"/>
  </r>
  <r>
    <x v="304"/>
    <x v="15"/>
    <x v="216"/>
    <x v="1"/>
    <x v="353"/>
    <x v="11"/>
    <x v="0"/>
    <x v="1"/>
    <x v="221"/>
    <x v="4"/>
    <x v="4942"/>
    <x v="1"/>
  </r>
  <r>
    <x v="304"/>
    <x v="26"/>
    <x v="90"/>
    <x v="1"/>
    <x v="338"/>
    <x v="11"/>
    <x v="0"/>
    <x v="1"/>
    <x v="221"/>
    <x v="5"/>
    <x v="4943"/>
    <x v="1"/>
  </r>
  <r>
    <x v="304"/>
    <x v="12"/>
    <x v="112"/>
    <x v="1"/>
    <x v="212"/>
    <x v="11"/>
    <x v="0"/>
    <x v="1"/>
    <x v="221"/>
    <x v="5"/>
    <x v="4944"/>
    <x v="1"/>
  </r>
  <r>
    <x v="304"/>
    <x v="38"/>
    <x v="386"/>
    <x v="0"/>
    <x v="76"/>
    <x v="11"/>
    <x v="1"/>
    <x v="4"/>
    <x v="221"/>
    <x v="5"/>
    <x v="4945"/>
    <x v="1"/>
  </r>
  <r>
    <x v="304"/>
    <x v="32"/>
    <x v="1452"/>
    <x v="3"/>
    <x v="422"/>
    <x v="11"/>
    <x v="2"/>
    <x v="4"/>
    <x v="221"/>
    <x v="10"/>
    <x v="4946"/>
    <x v="1"/>
  </r>
  <r>
    <x v="304"/>
    <x v="32"/>
    <x v="1977"/>
    <x v="7"/>
    <x v="422"/>
    <x v="11"/>
    <x v="2"/>
    <x v="4"/>
    <x v="221"/>
    <x v="10"/>
    <x v="4947"/>
    <x v="1"/>
  </r>
  <r>
    <x v="304"/>
    <x v="32"/>
    <x v="654"/>
    <x v="6"/>
    <x v="422"/>
    <x v="11"/>
    <x v="2"/>
    <x v="4"/>
    <x v="221"/>
    <x v="10"/>
    <x v="4948"/>
    <x v="1"/>
  </r>
  <r>
    <x v="304"/>
    <x v="32"/>
    <x v="1196"/>
    <x v="5"/>
    <x v="422"/>
    <x v="11"/>
    <x v="2"/>
    <x v="4"/>
    <x v="221"/>
    <x v="10"/>
    <x v="4949"/>
    <x v="1"/>
  </r>
  <r>
    <x v="304"/>
    <x v="32"/>
    <x v="909"/>
    <x v="2"/>
    <x v="422"/>
    <x v="11"/>
    <x v="2"/>
    <x v="4"/>
    <x v="221"/>
    <x v="10"/>
    <x v="4950"/>
    <x v="1"/>
  </r>
  <r>
    <x v="304"/>
    <x v="0"/>
    <x v="518"/>
    <x v="3"/>
    <x v="20"/>
    <x v="11"/>
    <x v="0"/>
    <x v="1"/>
    <x v="215"/>
    <x v="9"/>
    <x v="4951"/>
    <x v="1"/>
  </r>
  <r>
    <x v="304"/>
    <x v="37"/>
    <x v="19"/>
    <x v="1"/>
    <x v="546"/>
    <x v="11"/>
    <x v="0"/>
    <x v="4"/>
    <x v="221"/>
    <x v="12"/>
    <x v="4952"/>
    <x v="1"/>
  </r>
  <r>
    <x v="304"/>
    <x v="0"/>
    <x v="518"/>
    <x v="3"/>
    <x v="20"/>
    <x v="11"/>
    <x v="0"/>
    <x v="1"/>
    <x v="215"/>
    <x v="14"/>
    <x v="4953"/>
    <x v="1"/>
  </r>
  <r>
    <x v="305"/>
    <x v="20"/>
    <x v="226"/>
    <x v="1"/>
    <x v="61"/>
    <x v="11"/>
    <x v="0"/>
    <x v="1"/>
    <x v="221"/>
    <x v="5"/>
    <x v="4954"/>
    <x v="1"/>
  </r>
  <r>
    <x v="305"/>
    <x v="20"/>
    <x v="42"/>
    <x v="1"/>
    <x v="61"/>
    <x v="11"/>
    <x v="0"/>
    <x v="1"/>
    <x v="221"/>
    <x v="5"/>
    <x v="4955"/>
    <x v="1"/>
  </r>
  <r>
    <x v="305"/>
    <x v="8"/>
    <x v="816"/>
    <x v="0"/>
    <x v="238"/>
    <x v="11"/>
    <x v="1"/>
    <x v="4"/>
    <x v="221"/>
    <x v="5"/>
    <x v="4956"/>
    <x v="1"/>
  </r>
  <r>
    <x v="305"/>
    <x v="12"/>
    <x v="473"/>
    <x v="0"/>
    <x v="48"/>
    <x v="11"/>
    <x v="1"/>
    <x v="4"/>
    <x v="221"/>
    <x v="5"/>
    <x v="4957"/>
    <x v="1"/>
  </r>
  <r>
    <x v="305"/>
    <x v="9"/>
    <x v="1517"/>
    <x v="0"/>
    <x v="231"/>
    <x v="11"/>
    <x v="1"/>
    <x v="4"/>
    <x v="221"/>
    <x v="5"/>
    <x v="4958"/>
    <x v="1"/>
  </r>
  <r>
    <x v="305"/>
    <x v="25"/>
    <x v="547"/>
    <x v="1"/>
    <x v="41"/>
    <x v="11"/>
    <x v="0"/>
    <x v="1"/>
    <x v="221"/>
    <x v="12"/>
    <x v="4959"/>
    <x v="1"/>
  </r>
  <r>
    <x v="305"/>
    <x v="20"/>
    <x v="30"/>
    <x v="1"/>
    <x v="61"/>
    <x v="11"/>
    <x v="0"/>
    <x v="4"/>
    <x v="221"/>
    <x v="5"/>
    <x v="4960"/>
    <x v="1"/>
  </r>
  <r>
    <x v="305"/>
    <x v="38"/>
    <x v="382"/>
    <x v="0"/>
    <x v="76"/>
    <x v="11"/>
    <x v="1"/>
    <x v="4"/>
    <x v="221"/>
    <x v="5"/>
    <x v="4961"/>
    <x v="1"/>
  </r>
  <r>
    <x v="305"/>
    <x v="12"/>
    <x v="19"/>
    <x v="1"/>
    <x v="331"/>
    <x v="11"/>
    <x v="0"/>
    <x v="1"/>
    <x v="221"/>
    <x v="5"/>
    <x v="4962"/>
    <x v="1"/>
  </r>
  <r>
    <x v="305"/>
    <x v="37"/>
    <x v="19"/>
    <x v="1"/>
    <x v="546"/>
    <x v="11"/>
    <x v="0"/>
    <x v="1"/>
    <x v="221"/>
    <x v="12"/>
    <x v="4963"/>
    <x v="1"/>
  </r>
  <r>
    <x v="305"/>
    <x v="15"/>
    <x v="197"/>
    <x v="3"/>
    <x v="353"/>
    <x v="11"/>
    <x v="0"/>
    <x v="1"/>
    <x v="216"/>
    <x v="4"/>
    <x v="4964"/>
    <x v="1"/>
  </r>
  <r>
    <x v="305"/>
    <x v="38"/>
    <x v="12"/>
    <x v="3"/>
    <x v="334"/>
    <x v="11"/>
    <x v="0"/>
    <x v="1"/>
    <x v="221"/>
    <x v="5"/>
    <x v="4965"/>
    <x v="1"/>
  </r>
  <r>
    <x v="305"/>
    <x v="32"/>
    <x v="1154"/>
    <x v="3"/>
    <x v="422"/>
    <x v="11"/>
    <x v="2"/>
    <x v="4"/>
    <x v="221"/>
    <x v="10"/>
    <x v="4966"/>
    <x v="1"/>
  </r>
  <r>
    <x v="305"/>
    <x v="32"/>
    <x v="431"/>
    <x v="6"/>
    <x v="422"/>
    <x v="11"/>
    <x v="2"/>
    <x v="4"/>
    <x v="221"/>
    <x v="10"/>
    <x v="4967"/>
    <x v="1"/>
  </r>
  <r>
    <x v="305"/>
    <x v="32"/>
    <x v="1856"/>
    <x v="7"/>
    <x v="422"/>
    <x v="11"/>
    <x v="2"/>
    <x v="4"/>
    <x v="221"/>
    <x v="10"/>
    <x v="4968"/>
    <x v="1"/>
  </r>
  <r>
    <x v="305"/>
    <x v="32"/>
    <x v="801"/>
    <x v="5"/>
    <x v="422"/>
    <x v="11"/>
    <x v="2"/>
    <x v="4"/>
    <x v="221"/>
    <x v="10"/>
    <x v="4969"/>
    <x v="1"/>
  </r>
  <r>
    <x v="305"/>
    <x v="0"/>
    <x v="53"/>
    <x v="3"/>
    <x v="370"/>
    <x v="11"/>
    <x v="0"/>
    <x v="1"/>
    <x v="221"/>
    <x v="9"/>
    <x v="4970"/>
    <x v="1"/>
  </r>
  <r>
    <x v="305"/>
    <x v="20"/>
    <x v="232"/>
    <x v="1"/>
    <x v="380"/>
    <x v="11"/>
    <x v="0"/>
    <x v="1"/>
    <x v="221"/>
    <x v="5"/>
    <x v="4971"/>
    <x v="1"/>
  </r>
  <r>
    <x v="304"/>
    <x v="28"/>
    <x v="138"/>
    <x v="1"/>
    <x v="424"/>
    <x v="11"/>
    <x v="0"/>
    <x v="1"/>
    <x v="221"/>
    <x v="0"/>
    <x v="4972"/>
    <x v="1"/>
  </r>
  <r>
    <x v="306"/>
    <x v="9"/>
    <x v="1112"/>
    <x v="0"/>
    <x v="231"/>
    <x v="11"/>
    <x v="1"/>
    <x v="1"/>
    <x v="221"/>
    <x v="5"/>
    <x v="4973"/>
    <x v="1"/>
  </r>
  <r>
    <x v="306"/>
    <x v="3"/>
    <x v="599"/>
    <x v="1"/>
    <x v="580"/>
    <x v="11"/>
    <x v="0"/>
    <x v="1"/>
    <x v="221"/>
    <x v="4"/>
    <x v="4974"/>
    <x v="1"/>
  </r>
  <r>
    <x v="306"/>
    <x v="38"/>
    <x v="239"/>
    <x v="1"/>
    <x v="389"/>
    <x v="11"/>
    <x v="0"/>
    <x v="1"/>
    <x v="221"/>
    <x v="5"/>
    <x v="4975"/>
    <x v="1"/>
  </r>
  <r>
    <x v="306"/>
    <x v="24"/>
    <x v="112"/>
    <x v="1"/>
    <x v="60"/>
    <x v="11"/>
    <x v="0"/>
    <x v="1"/>
    <x v="221"/>
    <x v="6"/>
    <x v="4976"/>
    <x v="1"/>
  </r>
  <r>
    <x v="306"/>
    <x v="23"/>
    <x v="12"/>
    <x v="3"/>
    <x v="282"/>
    <x v="11"/>
    <x v="0"/>
    <x v="4"/>
    <x v="221"/>
    <x v="6"/>
    <x v="4977"/>
    <x v="1"/>
  </r>
  <r>
    <x v="306"/>
    <x v="24"/>
    <x v="905"/>
    <x v="0"/>
    <x v="199"/>
    <x v="11"/>
    <x v="0"/>
    <x v="1"/>
    <x v="221"/>
    <x v="6"/>
    <x v="4978"/>
    <x v="1"/>
  </r>
  <r>
    <x v="306"/>
    <x v="12"/>
    <x v="510"/>
    <x v="1"/>
    <x v="130"/>
    <x v="11"/>
    <x v="0"/>
    <x v="3"/>
    <x v="221"/>
    <x v="5"/>
    <x v="4979"/>
    <x v="1"/>
  </r>
  <r>
    <x v="306"/>
    <x v="37"/>
    <x v="49"/>
    <x v="1"/>
    <x v="546"/>
    <x v="11"/>
    <x v="0"/>
    <x v="1"/>
    <x v="221"/>
    <x v="12"/>
    <x v="4980"/>
    <x v="1"/>
  </r>
  <r>
    <x v="306"/>
    <x v="37"/>
    <x v="112"/>
    <x v="1"/>
    <x v="44"/>
    <x v="11"/>
    <x v="0"/>
    <x v="1"/>
    <x v="221"/>
    <x v="12"/>
    <x v="4981"/>
    <x v="1"/>
  </r>
  <r>
    <x v="306"/>
    <x v="15"/>
    <x v="216"/>
    <x v="1"/>
    <x v="353"/>
    <x v="11"/>
    <x v="0"/>
    <x v="1"/>
    <x v="221"/>
    <x v="4"/>
    <x v="4982"/>
    <x v="1"/>
  </r>
  <r>
    <x v="306"/>
    <x v="38"/>
    <x v="364"/>
    <x v="0"/>
    <x v="76"/>
    <x v="11"/>
    <x v="1"/>
    <x v="4"/>
    <x v="221"/>
    <x v="5"/>
    <x v="4983"/>
    <x v="1"/>
  </r>
  <r>
    <x v="306"/>
    <x v="12"/>
    <x v="393"/>
    <x v="0"/>
    <x v="48"/>
    <x v="11"/>
    <x v="1"/>
    <x v="4"/>
    <x v="221"/>
    <x v="5"/>
    <x v="4984"/>
    <x v="1"/>
  </r>
  <r>
    <x v="306"/>
    <x v="32"/>
    <x v="426"/>
    <x v="2"/>
    <x v="422"/>
    <x v="11"/>
    <x v="2"/>
    <x v="4"/>
    <x v="221"/>
    <x v="10"/>
    <x v="4985"/>
    <x v="1"/>
  </r>
  <r>
    <x v="306"/>
    <x v="32"/>
    <x v="1893"/>
    <x v="7"/>
    <x v="422"/>
    <x v="11"/>
    <x v="2"/>
    <x v="4"/>
    <x v="221"/>
    <x v="10"/>
    <x v="4986"/>
    <x v="1"/>
  </r>
  <r>
    <x v="306"/>
    <x v="32"/>
    <x v="848"/>
    <x v="5"/>
    <x v="422"/>
    <x v="11"/>
    <x v="2"/>
    <x v="4"/>
    <x v="221"/>
    <x v="10"/>
    <x v="4987"/>
    <x v="1"/>
  </r>
  <r>
    <x v="306"/>
    <x v="32"/>
    <x v="461"/>
    <x v="6"/>
    <x v="422"/>
    <x v="11"/>
    <x v="2"/>
    <x v="4"/>
    <x v="221"/>
    <x v="10"/>
    <x v="4988"/>
    <x v="1"/>
  </r>
  <r>
    <x v="306"/>
    <x v="32"/>
    <x v="1397"/>
    <x v="3"/>
    <x v="422"/>
    <x v="11"/>
    <x v="2"/>
    <x v="4"/>
    <x v="221"/>
    <x v="10"/>
    <x v="4989"/>
    <x v="1"/>
  </r>
  <r>
    <x v="306"/>
    <x v="32"/>
    <x v="0"/>
    <x v="8"/>
    <x v="422"/>
    <x v="11"/>
    <x v="2"/>
    <x v="4"/>
    <x v="221"/>
    <x v="10"/>
    <x v="4990"/>
    <x v="1"/>
  </r>
  <r>
    <x v="306"/>
    <x v="24"/>
    <x v="12"/>
    <x v="1"/>
    <x v="104"/>
    <x v="11"/>
    <x v="0"/>
    <x v="4"/>
    <x v="221"/>
    <x v="6"/>
    <x v="4991"/>
    <x v="1"/>
  </r>
  <r>
    <x v="306"/>
    <x v="24"/>
    <x v="1961"/>
    <x v="0"/>
    <x v="301"/>
    <x v="11"/>
    <x v="1"/>
    <x v="4"/>
    <x v="221"/>
    <x v="6"/>
    <x v="4992"/>
    <x v="1"/>
  </r>
  <r>
    <x v="306"/>
    <x v="37"/>
    <x v="53"/>
    <x v="1"/>
    <x v="292"/>
    <x v="11"/>
    <x v="0"/>
    <x v="4"/>
    <x v="221"/>
    <x v="12"/>
    <x v="4993"/>
    <x v="1"/>
  </r>
  <r>
    <x v="307"/>
    <x v="12"/>
    <x v="634"/>
    <x v="0"/>
    <x v="48"/>
    <x v="11"/>
    <x v="1"/>
    <x v="4"/>
    <x v="221"/>
    <x v="5"/>
    <x v="4994"/>
    <x v="1"/>
  </r>
  <r>
    <x v="307"/>
    <x v="9"/>
    <x v="1528"/>
    <x v="0"/>
    <x v="231"/>
    <x v="11"/>
    <x v="1"/>
    <x v="4"/>
    <x v="221"/>
    <x v="5"/>
    <x v="4995"/>
    <x v="1"/>
  </r>
  <r>
    <x v="307"/>
    <x v="12"/>
    <x v="19"/>
    <x v="1"/>
    <x v="331"/>
    <x v="11"/>
    <x v="0"/>
    <x v="4"/>
    <x v="221"/>
    <x v="5"/>
    <x v="4996"/>
    <x v="1"/>
  </r>
  <r>
    <x v="307"/>
    <x v="37"/>
    <x v="27"/>
    <x v="1"/>
    <x v="45"/>
    <x v="11"/>
    <x v="0"/>
    <x v="4"/>
    <x v="221"/>
    <x v="12"/>
    <x v="4997"/>
    <x v="1"/>
  </r>
  <r>
    <x v="307"/>
    <x v="24"/>
    <x v="31"/>
    <x v="1"/>
    <x v="3"/>
    <x v="11"/>
    <x v="0"/>
    <x v="4"/>
    <x v="221"/>
    <x v="6"/>
    <x v="4998"/>
    <x v="1"/>
  </r>
  <r>
    <x v="307"/>
    <x v="38"/>
    <x v="565"/>
    <x v="0"/>
    <x v="76"/>
    <x v="11"/>
    <x v="1"/>
    <x v="4"/>
    <x v="221"/>
    <x v="5"/>
    <x v="4999"/>
    <x v="1"/>
  </r>
  <r>
    <x v="307"/>
    <x v="28"/>
    <x v="138"/>
    <x v="1"/>
    <x v="424"/>
    <x v="11"/>
    <x v="0"/>
    <x v="4"/>
    <x v="221"/>
    <x v="0"/>
    <x v="5000"/>
    <x v="1"/>
  </r>
  <r>
    <x v="307"/>
    <x v="32"/>
    <x v="1134"/>
    <x v="3"/>
    <x v="422"/>
    <x v="11"/>
    <x v="2"/>
    <x v="4"/>
    <x v="221"/>
    <x v="10"/>
    <x v="5001"/>
    <x v="1"/>
  </r>
  <r>
    <x v="307"/>
    <x v="32"/>
    <x v="1944"/>
    <x v="7"/>
    <x v="422"/>
    <x v="11"/>
    <x v="2"/>
    <x v="4"/>
    <x v="221"/>
    <x v="10"/>
    <x v="5002"/>
    <x v="1"/>
  </r>
  <r>
    <x v="307"/>
    <x v="32"/>
    <x v="549"/>
    <x v="6"/>
    <x v="422"/>
    <x v="11"/>
    <x v="2"/>
    <x v="4"/>
    <x v="221"/>
    <x v="10"/>
    <x v="5003"/>
    <x v="1"/>
  </r>
  <r>
    <x v="307"/>
    <x v="32"/>
    <x v="824"/>
    <x v="5"/>
    <x v="422"/>
    <x v="11"/>
    <x v="2"/>
    <x v="4"/>
    <x v="221"/>
    <x v="10"/>
    <x v="5004"/>
    <x v="1"/>
  </r>
  <r>
    <x v="307"/>
    <x v="32"/>
    <x v="403"/>
    <x v="8"/>
    <x v="422"/>
    <x v="11"/>
    <x v="2"/>
    <x v="4"/>
    <x v="221"/>
    <x v="10"/>
    <x v="5005"/>
    <x v="1"/>
  </r>
  <r>
    <x v="307"/>
    <x v="32"/>
    <x v="299"/>
    <x v="2"/>
    <x v="422"/>
    <x v="11"/>
    <x v="2"/>
    <x v="4"/>
    <x v="221"/>
    <x v="10"/>
    <x v="5006"/>
    <x v="1"/>
  </r>
  <r>
    <x v="308"/>
    <x v="37"/>
    <x v="27"/>
    <x v="1"/>
    <x v="546"/>
    <x v="11"/>
    <x v="2"/>
    <x v="4"/>
    <x v="221"/>
    <x v="12"/>
    <x v="5007"/>
    <x v="1"/>
  </r>
  <r>
    <x v="307"/>
    <x v="13"/>
    <x v="375"/>
    <x v="1"/>
    <x v="157"/>
    <x v="11"/>
    <x v="0"/>
    <x v="1"/>
    <x v="221"/>
    <x v="5"/>
    <x v="5008"/>
    <x v="1"/>
  </r>
  <r>
    <x v="307"/>
    <x v="23"/>
    <x v="12"/>
    <x v="3"/>
    <x v="282"/>
    <x v="11"/>
    <x v="0"/>
    <x v="1"/>
    <x v="221"/>
    <x v="6"/>
    <x v="5009"/>
    <x v="1"/>
  </r>
  <r>
    <x v="308"/>
    <x v="9"/>
    <x v="1562"/>
    <x v="0"/>
    <x v="231"/>
    <x v="11"/>
    <x v="1"/>
    <x v="4"/>
    <x v="221"/>
    <x v="5"/>
    <x v="5010"/>
    <x v="1"/>
  </r>
  <r>
    <x v="308"/>
    <x v="12"/>
    <x v="521"/>
    <x v="0"/>
    <x v="48"/>
    <x v="11"/>
    <x v="1"/>
    <x v="4"/>
    <x v="221"/>
    <x v="5"/>
    <x v="5011"/>
    <x v="1"/>
  </r>
  <r>
    <x v="308"/>
    <x v="38"/>
    <x v="306"/>
    <x v="0"/>
    <x v="76"/>
    <x v="11"/>
    <x v="1"/>
    <x v="4"/>
    <x v="221"/>
    <x v="5"/>
    <x v="5012"/>
    <x v="1"/>
  </r>
  <r>
    <x v="308"/>
    <x v="32"/>
    <x v="1430"/>
    <x v="3"/>
    <x v="422"/>
    <x v="11"/>
    <x v="2"/>
    <x v="4"/>
    <x v="221"/>
    <x v="10"/>
    <x v="5013"/>
    <x v="1"/>
  </r>
  <r>
    <x v="308"/>
    <x v="32"/>
    <x v="1900"/>
    <x v="7"/>
    <x v="422"/>
    <x v="11"/>
    <x v="2"/>
    <x v="4"/>
    <x v="221"/>
    <x v="10"/>
    <x v="5014"/>
    <x v="1"/>
  </r>
  <r>
    <x v="308"/>
    <x v="32"/>
    <x v="198"/>
    <x v="6"/>
    <x v="422"/>
    <x v="11"/>
    <x v="2"/>
    <x v="4"/>
    <x v="221"/>
    <x v="10"/>
    <x v="5015"/>
    <x v="1"/>
  </r>
  <r>
    <x v="308"/>
    <x v="32"/>
    <x v="772"/>
    <x v="5"/>
    <x v="414"/>
    <x v="11"/>
    <x v="2"/>
    <x v="4"/>
    <x v="221"/>
    <x v="10"/>
    <x v="5016"/>
    <x v="1"/>
  </r>
  <r>
    <x v="308"/>
    <x v="32"/>
    <x v="0"/>
    <x v="2"/>
    <x v="422"/>
    <x v="11"/>
    <x v="2"/>
    <x v="4"/>
    <x v="221"/>
    <x v="10"/>
    <x v="5017"/>
    <x v="1"/>
  </r>
  <r>
    <x v="308"/>
    <x v="1"/>
    <x v="12"/>
    <x v="3"/>
    <x v="95"/>
    <x v="11"/>
    <x v="0"/>
    <x v="1"/>
    <x v="221"/>
    <x v="4"/>
    <x v="5018"/>
    <x v="1"/>
  </r>
  <r>
    <x v="309"/>
    <x v="38"/>
    <x v="1570"/>
    <x v="1"/>
    <x v="76"/>
    <x v="11"/>
    <x v="0"/>
    <x v="1"/>
    <x v="217"/>
    <x v="5"/>
    <x v="5019"/>
    <x v="1"/>
  </r>
  <r>
    <x v="309"/>
    <x v="20"/>
    <x v="398"/>
    <x v="1"/>
    <x v="100"/>
    <x v="11"/>
    <x v="0"/>
    <x v="3"/>
    <x v="221"/>
    <x v="5"/>
    <x v="5020"/>
    <x v="1"/>
  </r>
  <r>
    <x v="309"/>
    <x v="9"/>
    <x v="1601"/>
    <x v="0"/>
    <x v="231"/>
    <x v="11"/>
    <x v="1"/>
    <x v="4"/>
    <x v="221"/>
    <x v="5"/>
    <x v="5021"/>
    <x v="1"/>
  </r>
  <r>
    <x v="309"/>
    <x v="12"/>
    <x v="501"/>
    <x v="0"/>
    <x v="48"/>
    <x v="11"/>
    <x v="1"/>
    <x v="4"/>
    <x v="221"/>
    <x v="5"/>
    <x v="5022"/>
    <x v="1"/>
  </r>
  <r>
    <x v="309"/>
    <x v="8"/>
    <x v="816"/>
    <x v="0"/>
    <x v="238"/>
    <x v="11"/>
    <x v="1"/>
    <x v="4"/>
    <x v="221"/>
    <x v="5"/>
    <x v="5023"/>
    <x v="1"/>
  </r>
  <r>
    <x v="309"/>
    <x v="27"/>
    <x v="753"/>
    <x v="1"/>
    <x v="10"/>
    <x v="11"/>
    <x v="0"/>
    <x v="1"/>
    <x v="221"/>
    <x v="5"/>
    <x v="5024"/>
    <x v="1"/>
  </r>
  <r>
    <x v="309"/>
    <x v="24"/>
    <x v="87"/>
    <x v="1"/>
    <x v="75"/>
    <x v="11"/>
    <x v="0"/>
    <x v="1"/>
    <x v="221"/>
    <x v="6"/>
    <x v="5025"/>
    <x v="1"/>
  </r>
  <r>
    <x v="309"/>
    <x v="24"/>
    <x v="25"/>
    <x v="1"/>
    <x v="384"/>
    <x v="11"/>
    <x v="0"/>
    <x v="1"/>
    <x v="221"/>
    <x v="6"/>
    <x v="5026"/>
    <x v="1"/>
  </r>
  <r>
    <x v="309"/>
    <x v="24"/>
    <x v="25"/>
    <x v="1"/>
    <x v="247"/>
    <x v="11"/>
    <x v="0"/>
    <x v="1"/>
    <x v="221"/>
    <x v="6"/>
    <x v="5027"/>
    <x v="1"/>
  </r>
  <r>
    <x v="309"/>
    <x v="13"/>
    <x v="154"/>
    <x v="3"/>
    <x v="108"/>
    <x v="11"/>
    <x v="0"/>
    <x v="1"/>
    <x v="221"/>
    <x v="5"/>
    <x v="5028"/>
    <x v="1"/>
  </r>
  <r>
    <x v="309"/>
    <x v="38"/>
    <x v="1990"/>
    <x v="0"/>
    <x v="76"/>
    <x v="11"/>
    <x v="2"/>
    <x v="4"/>
    <x v="221"/>
    <x v="5"/>
    <x v="5029"/>
    <x v="1"/>
  </r>
  <r>
    <x v="309"/>
    <x v="1"/>
    <x v="518"/>
    <x v="3"/>
    <x v="131"/>
    <x v="11"/>
    <x v="0"/>
    <x v="1"/>
    <x v="217"/>
    <x v="4"/>
    <x v="5030"/>
    <x v="1"/>
  </r>
  <r>
    <x v="309"/>
    <x v="41"/>
    <x v="1990"/>
    <x v="9"/>
    <x v="590"/>
    <x v="11"/>
    <x v="2"/>
    <x v="4"/>
    <x v="221"/>
    <x v="13"/>
    <x v="5031"/>
    <x v="1"/>
  </r>
  <r>
    <x v="309"/>
    <x v="41"/>
    <x v="1990"/>
    <x v="9"/>
    <x v="590"/>
    <x v="11"/>
    <x v="2"/>
    <x v="4"/>
    <x v="221"/>
    <x v="13"/>
    <x v="5032"/>
    <x v="1"/>
  </r>
  <r>
    <x v="310"/>
    <x v="41"/>
    <x v="1990"/>
    <x v="9"/>
    <x v="590"/>
    <x v="13"/>
    <x v="2"/>
    <x v="4"/>
    <x v="221"/>
    <x v="13"/>
    <x v="5033"/>
    <x v="1"/>
  </r>
  <r>
    <x v="310"/>
    <x v="41"/>
    <x v="1990"/>
    <x v="9"/>
    <x v="590"/>
    <x v="13"/>
    <x v="2"/>
    <x v="4"/>
    <x v="221"/>
    <x v="13"/>
    <x v="5034"/>
    <x v="1"/>
  </r>
  <r>
    <x v="310"/>
    <x v="41"/>
    <x v="1990"/>
    <x v="9"/>
    <x v="590"/>
    <x v="13"/>
    <x v="2"/>
    <x v="4"/>
    <x v="221"/>
    <x v="13"/>
    <x v="5035"/>
    <x v="1"/>
  </r>
  <r>
    <x v="310"/>
    <x v="41"/>
    <x v="1990"/>
    <x v="9"/>
    <x v="590"/>
    <x v="13"/>
    <x v="2"/>
    <x v="4"/>
    <x v="221"/>
    <x v="13"/>
    <x v="5036"/>
    <x v="1"/>
  </r>
  <r>
    <x v="310"/>
    <x v="41"/>
    <x v="1990"/>
    <x v="9"/>
    <x v="590"/>
    <x v="13"/>
    <x v="2"/>
    <x v="4"/>
    <x v="221"/>
    <x v="13"/>
    <x v="5037"/>
    <x v="1"/>
  </r>
  <r>
    <x v="310"/>
    <x v="41"/>
    <x v="1990"/>
    <x v="9"/>
    <x v="590"/>
    <x v="13"/>
    <x v="2"/>
    <x v="4"/>
    <x v="221"/>
    <x v="13"/>
    <x v="5038"/>
    <x v="1"/>
  </r>
  <r>
    <x v="310"/>
    <x v="41"/>
    <x v="1990"/>
    <x v="9"/>
    <x v="590"/>
    <x v="13"/>
    <x v="2"/>
    <x v="4"/>
    <x v="221"/>
    <x v="13"/>
    <x v="5039"/>
    <x v="1"/>
  </r>
  <r>
    <x v="310"/>
    <x v="41"/>
    <x v="1990"/>
    <x v="9"/>
    <x v="590"/>
    <x v="13"/>
    <x v="2"/>
    <x v="4"/>
    <x v="221"/>
    <x v="13"/>
    <x v="5040"/>
    <x v="1"/>
  </r>
  <r>
    <x v="310"/>
    <x v="41"/>
    <x v="1990"/>
    <x v="9"/>
    <x v="590"/>
    <x v="13"/>
    <x v="2"/>
    <x v="4"/>
    <x v="221"/>
    <x v="13"/>
    <x v="5041"/>
    <x v="1"/>
  </r>
  <r>
    <x v="310"/>
    <x v="41"/>
    <x v="1990"/>
    <x v="9"/>
    <x v="590"/>
    <x v="13"/>
    <x v="2"/>
    <x v="4"/>
    <x v="221"/>
    <x v="13"/>
    <x v="5042"/>
    <x v="1"/>
  </r>
  <r>
    <x v="310"/>
    <x v="41"/>
    <x v="1990"/>
    <x v="9"/>
    <x v="590"/>
    <x v="13"/>
    <x v="2"/>
    <x v="4"/>
    <x v="221"/>
    <x v="13"/>
    <x v="5043"/>
    <x v="1"/>
  </r>
  <r>
    <x v="310"/>
    <x v="41"/>
    <x v="1990"/>
    <x v="9"/>
    <x v="590"/>
    <x v="13"/>
    <x v="2"/>
    <x v="4"/>
    <x v="221"/>
    <x v="13"/>
    <x v="5044"/>
    <x v="1"/>
  </r>
  <r>
    <x v="310"/>
    <x v="41"/>
    <x v="1990"/>
    <x v="9"/>
    <x v="590"/>
    <x v="13"/>
    <x v="2"/>
    <x v="4"/>
    <x v="221"/>
    <x v="13"/>
    <x v="5045"/>
    <x v="1"/>
  </r>
  <r>
    <x v="310"/>
    <x v="41"/>
    <x v="1990"/>
    <x v="9"/>
    <x v="590"/>
    <x v="13"/>
    <x v="2"/>
    <x v="4"/>
    <x v="221"/>
    <x v="13"/>
    <x v="5046"/>
    <x v="1"/>
  </r>
  <r>
    <x v="310"/>
    <x v="41"/>
    <x v="1990"/>
    <x v="9"/>
    <x v="590"/>
    <x v="13"/>
    <x v="2"/>
    <x v="4"/>
    <x v="221"/>
    <x v="13"/>
    <x v="5047"/>
    <x v="1"/>
  </r>
  <r>
    <x v="310"/>
    <x v="41"/>
    <x v="1990"/>
    <x v="9"/>
    <x v="590"/>
    <x v="13"/>
    <x v="2"/>
    <x v="4"/>
    <x v="221"/>
    <x v="13"/>
    <x v="5048"/>
    <x v="1"/>
  </r>
  <r>
    <x v="310"/>
    <x v="41"/>
    <x v="1990"/>
    <x v="9"/>
    <x v="590"/>
    <x v="13"/>
    <x v="2"/>
    <x v="4"/>
    <x v="221"/>
    <x v="13"/>
    <x v="5049"/>
    <x v="1"/>
  </r>
  <r>
    <x v="310"/>
    <x v="41"/>
    <x v="1990"/>
    <x v="9"/>
    <x v="590"/>
    <x v="13"/>
    <x v="2"/>
    <x v="4"/>
    <x v="221"/>
    <x v="13"/>
    <x v="5050"/>
    <x v="1"/>
  </r>
  <r>
    <x v="310"/>
    <x v="41"/>
    <x v="1990"/>
    <x v="9"/>
    <x v="590"/>
    <x v="13"/>
    <x v="2"/>
    <x v="4"/>
    <x v="221"/>
    <x v="13"/>
    <x v="5051"/>
    <x v="1"/>
  </r>
  <r>
    <x v="310"/>
    <x v="41"/>
    <x v="1990"/>
    <x v="9"/>
    <x v="590"/>
    <x v="13"/>
    <x v="2"/>
    <x v="4"/>
    <x v="221"/>
    <x v="13"/>
    <x v="5052"/>
    <x v="1"/>
  </r>
  <r>
    <x v="310"/>
    <x v="41"/>
    <x v="1990"/>
    <x v="9"/>
    <x v="590"/>
    <x v="13"/>
    <x v="2"/>
    <x v="4"/>
    <x v="221"/>
    <x v="13"/>
    <x v="5053"/>
    <x v="1"/>
  </r>
  <r>
    <x v="310"/>
    <x v="41"/>
    <x v="1990"/>
    <x v="9"/>
    <x v="590"/>
    <x v="13"/>
    <x v="2"/>
    <x v="4"/>
    <x v="221"/>
    <x v="13"/>
    <x v="5054"/>
    <x v="1"/>
  </r>
  <r>
    <x v="310"/>
    <x v="41"/>
    <x v="1990"/>
    <x v="9"/>
    <x v="590"/>
    <x v="13"/>
    <x v="2"/>
    <x v="4"/>
    <x v="221"/>
    <x v="13"/>
    <x v="5055"/>
    <x v="1"/>
  </r>
  <r>
    <x v="310"/>
    <x v="41"/>
    <x v="1990"/>
    <x v="9"/>
    <x v="590"/>
    <x v="13"/>
    <x v="2"/>
    <x v="4"/>
    <x v="221"/>
    <x v="13"/>
    <x v="5056"/>
    <x v="1"/>
  </r>
  <r>
    <x v="310"/>
    <x v="41"/>
    <x v="1990"/>
    <x v="9"/>
    <x v="590"/>
    <x v="13"/>
    <x v="2"/>
    <x v="4"/>
    <x v="221"/>
    <x v="13"/>
    <x v="5057"/>
    <x v="1"/>
  </r>
  <r>
    <x v="310"/>
    <x v="41"/>
    <x v="1990"/>
    <x v="9"/>
    <x v="590"/>
    <x v="13"/>
    <x v="2"/>
    <x v="4"/>
    <x v="221"/>
    <x v="13"/>
    <x v="5058"/>
    <x v="1"/>
  </r>
  <r>
    <x v="310"/>
    <x v="41"/>
    <x v="1990"/>
    <x v="9"/>
    <x v="590"/>
    <x v="13"/>
    <x v="2"/>
    <x v="4"/>
    <x v="221"/>
    <x v="13"/>
    <x v="5059"/>
    <x v="1"/>
  </r>
  <r>
    <x v="310"/>
    <x v="41"/>
    <x v="1990"/>
    <x v="9"/>
    <x v="590"/>
    <x v="13"/>
    <x v="2"/>
    <x v="4"/>
    <x v="221"/>
    <x v="13"/>
    <x v="5060"/>
    <x v="1"/>
  </r>
  <r>
    <x v="310"/>
    <x v="41"/>
    <x v="1990"/>
    <x v="9"/>
    <x v="590"/>
    <x v="13"/>
    <x v="2"/>
    <x v="4"/>
    <x v="221"/>
    <x v="13"/>
    <x v="5061"/>
    <x v="1"/>
  </r>
  <r>
    <x v="310"/>
    <x v="41"/>
    <x v="1990"/>
    <x v="9"/>
    <x v="590"/>
    <x v="13"/>
    <x v="2"/>
    <x v="4"/>
    <x v="221"/>
    <x v="13"/>
    <x v="5062"/>
    <x v="1"/>
  </r>
  <r>
    <x v="310"/>
    <x v="41"/>
    <x v="1990"/>
    <x v="9"/>
    <x v="590"/>
    <x v="13"/>
    <x v="2"/>
    <x v="4"/>
    <x v="221"/>
    <x v="13"/>
    <x v="5063"/>
    <x v="1"/>
  </r>
  <r>
    <x v="310"/>
    <x v="41"/>
    <x v="1990"/>
    <x v="9"/>
    <x v="590"/>
    <x v="13"/>
    <x v="2"/>
    <x v="4"/>
    <x v="221"/>
    <x v="13"/>
    <x v="5064"/>
    <x v="1"/>
  </r>
  <r>
    <x v="310"/>
    <x v="41"/>
    <x v="1990"/>
    <x v="9"/>
    <x v="590"/>
    <x v="13"/>
    <x v="2"/>
    <x v="4"/>
    <x v="221"/>
    <x v="13"/>
    <x v="5065"/>
    <x v="1"/>
  </r>
  <r>
    <x v="310"/>
    <x v="41"/>
    <x v="1990"/>
    <x v="9"/>
    <x v="590"/>
    <x v="13"/>
    <x v="2"/>
    <x v="4"/>
    <x v="221"/>
    <x v="13"/>
    <x v="5066"/>
    <x v="1"/>
  </r>
  <r>
    <x v="310"/>
    <x v="41"/>
    <x v="1990"/>
    <x v="9"/>
    <x v="590"/>
    <x v="13"/>
    <x v="2"/>
    <x v="4"/>
    <x v="221"/>
    <x v="13"/>
    <x v="5067"/>
    <x v="1"/>
  </r>
  <r>
    <x v="310"/>
    <x v="41"/>
    <x v="1990"/>
    <x v="9"/>
    <x v="590"/>
    <x v="13"/>
    <x v="2"/>
    <x v="4"/>
    <x v="221"/>
    <x v="13"/>
    <x v="5068"/>
    <x v="1"/>
  </r>
  <r>
    <x v="310"/>
    <x v="41"/>
    <x v="1990"/>
    <x v="9"/>
    <x v="590"/>
    <x v="13"/>
    <x v="2"/>
    <x v="4"/>
    <x v="221"/>
    <x v="13"/>
    <x v="5069"/>
    <x v="1"/>
  </r>
  <r>
    <x v="310"/>
    <x v="41"/>
    <x v="1990"/>
    <x v="9"/>
    <x v="590"/>
    <x v="13"/>
    <x v="2"/>
    <x v="4"/>
    <x v="221"/>
    <x v="13"/>
    <x v="5070"/>
    <x v="1"/>
  </r>
  <r>
    <x v="310"/>
    <x v="41"/>
    <x v="1990"/>
    <x v="9"/>
    <x v="590"/>
    <x v="13"/>
    <x v="2"/>
    <x v="4"/>
    <x v="221"/>
    <x v="13"/>
    <x v="5071"/>
    <x v="1"/>
  </r>
  <r>
    <x v="310"/>
    <x v="41"/>
    <x v="1990"/>
    <x v="9"/>
    <x v="590"/>
    <x v="13"/>
    <x v="2"/>
    <x v="4"/>
    <x v="221"/>
    <x v="13"/>
    <x v="5072"/>
    <x v="1"/>
  </r>
  <r>
    <x v="310"/>
    <x v="41"/>
    <x v="1990"/>
    <x v="9"/>
    <x v="590"/>
    <x v="13"/>
    <x v="2"/>
    <x v="4"/>
    <x v="221"/>
    <x v="13"/>
    <x v="5073"/>
    <x v="1"/>
  </r>
  <r>
    <x v="310"/>
    <x v="41"/>
    <x v="1990"/>
    <x v="9"/>
    <x v="590"/>
    <x v="13"/>
    <x v="2"/>
    <x v="4"/>
    <x v="221"/>
    <x v="13"/>
    <x v="5074"/>
    <x v="1"/>
  </r>
  <r>
    <x v="310"/>
    <x v="41"/>
    <x v="1990"/>
    <x v="9"/>
    <x v="590"/>
    <x v="13"/>
    <x v="2"/>
    <x v="4"/>
    <x v="221"/>
    <x v="13"/>
    <x v="5075"/>
    <x v="1"/>
  </r>
  <r>
    <x v="310"/>
    <x v="41"/>
    <x v="1990"/>
    <x v="9"/>
    <x v="590"/>
    <x v="13"/>
    <x v="2"/>
    <x v="4"/>
    <x v="221"/>
    <x v="13"/>
    <x v="5076"/>
    <x v="1"/>
  </r>
  <r>
    <x v="310"/>
    <x v="41"/>
    <x v="1990"/>
    <x v="9"/>
    <x v="590"/>
    <x v="13"/>
    <x v="2"/>
    <x v="4"/>
    <x v="221"/>
    <x v="13"/>
    <x v="5077"/>
    <x v="1"/>
  </r>
  <r>
    <x v="310"/>
    <x v="41"/>
    <x v="1990"/>
    <x v="9"/>
    <x v="590"/>
    <x v="13"/>
    <x v="2"/>
    <x v="4"/>
    <x v="221"/>
    <x v="13"/>
    <x v="5078"/>
    <x v="1"/>
  </r>
  <r>
    <x v="310"/>
    <x v="41"/>
    <x v="1990"/>
    <x v="9"/>
    <x v="590"/>
    <x v="13"/>
    <x v="2"/>
    <x v="4"/>
    <x v="221"/>
    <x v="13"/>
    <x v="5079"/>
    <x v="1"/>
  </r>
  <r>
    <x v="310"/>
    <x v="41"/>
    <x v="1990"/>
    <x v="9"/>
    <x v="590"/>
    <x v="13"/>
    <x v="2"/>
    <x v="4"/>
    <x v="221"/>
    <x v="13"/>
    <x v="5080"/>
    <x v="1"/>
  </r>
  <r>
    <x v="310"/>
    <x v="41"/>
    <x v="1990"/>
    <x v="9"/>
    <x v="590"/>
    <x v="13"/>
    <x v="2"/>
    <x v="4"/>
    <x v="221"/>
    <x v="13"/>
    <x v="5081"/>
    <x v="1"/>
  </r>
  <r>
    <x v="310"/>
    <x v="41"/>
    <x v="1990"/>
    <x v="9"/>
    <x v="590"/>
    <x v="13"/>
    <x v="2"/>
    <x v="4"/>
    <x v="221"/>
    <x v="13"/>
    <x v="5082"/>
    <x v="1"/>
  </r>
  <r>
    <x v="310"/>
    <x v="41"/>
    <x v="1990"/>
    <x v="9"/>
    <x v="590"/>
    <x v="13"/>
    <x v="2"/>
    <x v="4"/>
    <x v="221"/>
    <x v="13"/>
    <x v="5083"/>
    <x v="1"/>
  </r>
  <r>
    <x v="310"/>
    <x v="41"/>
    <x v="1990"/>
    <x v="9"/>
    <x v="590"/>
    <x v="13"/>
    <x v="2"/>
    <x v="4"/>
    <x v="221"/>
    <x v="13"/>
    <x v="5084"/>
    <x v="1"/>
  </r>
  <r>
    <x v="310"/>
    <x v="41"/>
    <x v="1990"/>
    <x v="9"/>
    <x v="590"/>
    <x v="13"/>
    <x v="2"/>
    <x v="4"/>
    <x v="221"/>
    <x v="13"/>
    <x v="5085"/>
    <x v="1"/>
  </r>
  <r>
    <x v="310"/>
    <x v="41"/>
    <x v="1990"/>
    <x v="9"/>
    <x v="590"/>
    <x v="13"/>
    <x v="2"/>
    <x v="4"/>
    <x v="221"/>
    <x v="13"/>
    <x v="5086"/>
    <x v="1"/>
  </r>
  <r>
    <x v="310"/>
    <x v="41"/>
    <x v="1990"/>
    <x v="9"/>
    <x v="590"/>
    <x v="13"/>
    <x v="2"/>
    <x v="4"/>
    <x v="221"/>
    <x v="13"/>
    <x v="5087"/>
    <x v="1"/>
  </r>
  <r>
    <x v="310"/>
    <x v="41"/>
    <x v="1990"/>
    <x v="9"/>
    <x v="590"/>
    <x v="13"/>
    <x v="2"/>
    <x v="4"/>
    <x v="221"/>
    <x v="13"/>
    <x v="5088"/>
    <x v="1"/>
  </r>
  <r>
    <x v="310"/>
    <x v="41"/>
    <x v="1990"/>
    <x v="9"/>
    <x v="590"/>
    <x v="13"/>
    <x v="2"/>
    <x v="4"/>
    <x v="221"/>
    <x v="13"/>
    <x v="5089"/>
    <x v="1"/>
  </r>
  <r>
    <x v="310"/>
    <x v="41"/>
    <x v="1990"/>
    <x v="9"/>
    <x v="590"/>
    <x v="13"/>
    <x v="2"/>
    <x v="4"/>
    <x v="221"/>
    <x v="13"/>
    <x v="5090"/>
    <x v="1"/>
  </r>
  <r>
    <x v="310"/>
    <x v="41"/>
    <x v="1990"/>
    <x v="9"/>
    <x v="590"/>
    <x v="13"/>
    <x v="2"/>
    <x v="4"/>
    <x v="221"/>
    <x v="13"/>
    <x v="5091"/>
    <x v="1"/>
  </r>
  <r>
    <x v="310"/>
    <x v="41"/>
    <x v="1990"/>
    <x v="9"/>
    <x v="590"/>
    <x v="13"/>
    <x v="2"/>
    <x v="4"/>
    <x v="221"/>
    <x v="13"/>
    <x v="5092"/>
    <x v="1"/>
  </r>
  <r>
    <x v="310"/>
    <x v="41"/>
    <x v="1990"/>
    <x v="9"/>
    <x v="590"/>
    <x v="13"/>
    <x v="2"/>
    <x v="4"/>
    <x v="221"/>
    <x v="13"/>
    <x v="5093"/>
    <x v="1"/>
  </r>
  <r>
    <x v="310"/>
    <x v="41"/>
    <x v="1990"/>
    <x v="9"/>
    <x v="590"/>
    <x v="13"/>
    <x v="2"/>
    <x v="4"/>
    <x v="221"/>
    <x v="13"/>
    <x v="5094"/>
    <x v="1"/>
  </r>
  <r>
    <x v="310"/>
    <x v="41"/>
    <x v="1990"/>
    <x v="9"/>
    <x v="590"/>
    <x v="13"/>
    <x v="2"/>
    <x v="4"/>
    <x v="221"/>
    <x v="13"/>
    <x v="5095"/>
    <x v="1"/>
  </r>
  <r>
    <x v="310"/>
    <x v="41"/>
    <x v="1990"/>
    <x v="9"/>
    <x v="590"/>
    <x v="13"/>
    <x v="2"/>
    <x v="4"/>
    <x v="221"/>
    <x v="13"/>
    <x v="5096"/>
    <x v="1"/>
  </r>
  <r>
    <x v="310"/>
    <x v="41"/>
    <x v="1990"/>
    <x v="9"/>
    <x v="590"/>
    <x v="13"/>
    <x v="2"/>
    <x v="4"/>
    <x v="221"/>
    <x v="13"/>
    <x v="5097"/>
    <x v="1"/>
  </r>
  <r>
    <x v="310"/>
    <x v="41"/>
    <x v="1990"/>
    <x v="9"/>
    <x v="590"/>
    <x v="13"/>
    <x v="2"/>
    <x v="4"/>
    <x v="221"/>
    <x v="13"/>
    <x v="5098"/>
    <x v="1"/>
  </r>
  <r>
    <x v="310"/>
    <x v="41"/>
    <x v="1990"/>
    <x v="9"/>
    <x v="590"/>
    <x v="13"/>
    <x v="2"/>
    <x v="4"/>
    <x v="221"/>
    <x v="13"/>
    <x v="5099"/>
    <x v="1"/>
  </r>
  <r>
    <x v="310"/>
    <x v="41"/>
    <x v="1990"/>
    <x v="9"/>
    <x v="590"/>
    <x v="13"/>
    <x v="2"/>
    <x v="4"/>
    <x v="221"/>
    <x v="13"/>
    <x v="5100"/>
    <x v="1"/>
  </r>
  <r>
    <x v="310"/>
    <x v="41"/>
    <x v="1990"/>
    <x v="9"/>
    <x v="590"/>
    <x v="13"/>
    <x v="2"/>
    <x v="4"/>
    <x v="221"/>
    <x v="13"/>
    <x v="5101"/>
    <x v="1"/>
  </r>
  <r>
    <x v="310"/>
    <x v="41"/>
    <x v="1990"/>
    <x v="9"/>
    <x v="590"/>
    <x v="13"/>
    <x v="2"/>
    <x v="4"/>
    <x v="221"/>
    <x v="13"/>
    <x v="5102"/>
    <x v="1"/>
  </r>
  <r>
    <x v="310"/>
    <x v="41"/>
    <x v="1990"/>
    <x v="9"/>
    <x v="590"/>
    <x v="13"/>
    <x v="2"/>
    <x v="4"/>
    <x v="221"/>
    <x v="13"/>
    <x v="5103"/>
    <x v="1"/>
  </r>
  <r>
    <x v="310"/>
    <x v="41"/>
    <x v="1990"/>
    <x v="9"/>
    <x v="590"/>
    <x v="13"/>
    <x v="2"/>
    <x v="4"/>
    <x v="221"/>
    <x v="13"/>
    <x v="5104"/>
    <x v="1"/>
  </r>
  <r>
    <x v="310"/>
    <x v="41"/>
    <x v="1990"/>
    <x v="9"/>
    <x v="590"/>
    <x v="13"/>
    <x v="2"/>
    <x v="4"/>
    <x v="221"/>
    <x v="13"/>
    <x v="5105"/>
    <x v="1"/>
  </r>
  <r>
    <x v="310"/>
    <x v="41"/>
    <x v="1990"/>
    <x v="9"/>
    <x v="590"/>
    <x v="13"/>
    <x v="2"/>
    <x v="4"/>
    <x v="221"/>
    <x v="13"/>
    <x v="5106"/>
    <x v="1"/>
  </r>
  <r>
    <x v="310"/>
    <x v="41"/>
    <x v="1990"/>
    <x v="9"/>
    <x v="590"/>
    <x v="13"/>
    <x v="2"/>
    <x v="4"/>
    <x v="221"/>
    <x v="13"/>
    <x v="5107"/>
    <x v="1"/>
  </r>
  <r>
    <x v="310"/>
    <x v="41"/>
    <x v="1990"/>
    <x v="9"/>
    <x v="590"/>
    <x v="13"/>
    <x v="2"/>
    <x v="4"/>
    <x v="221"/>
    <x v="13"/>
    <x v="5108"/>
    <x v="1"/>
  </r>
  <r>
    <x v="310"/>
    <x v="41"/>
    <x v="1990"/>
    <x v="9"/>
    <x v="590"/>
    <x v="13"/>
    <x v="2"/>
    <x v="4"/>
    <x v="221"/>
    <x v="13"/>
    <x v="5109"/>
    <x v="1"/>
  </r>
  <r>
    <x v="310"/>
    <x v="41"/>
    <x v="1990"/>
    <x v="9"/>
    <x v="590"/>
    <x v="13"/>
    <x v="2"/>
    <x v="4"/>
    <x v="221"/>
    <x v="13"/>
    <x v="5110"/>
    <x v="1"/>
  </r>
  <r>
    <x v="310"/>
    <x v="41"/>
    <x v="1990"/>
    <x v="9"/>
    <x v="590"/>
    <x v="13"/>
    <x v="2"/>
    <x v="4"/>
    <x v="221"/>
    <x v="13"/>
    <x v="5111"/>
    <x v="1"/>
  </r>
  <r>
    <x v="310"/>
    <x v="41"/>
    <x v="1990"/>
    <x v="9"/>
    <x v="590"/>
    <x v="13"/>
    <x v="2"/>
    <x v="4"/>
    <x v="221"/>
    <x v="13"/>
    <x v="5112"/>
    <x v="1"/>
  </r>
  <r>
    <x v="310"/>
    <x v="41"/>
    <x v="1990"/>
    <x v="9"/>
    <x v="590"/>
    <x v="13"/>
    <x v="2"/>
    <x v="4"/>
    <x v="221"/>
    <x v="13"/>
    <x v="5113"/>
    <x v="1"/>
  </r>
  <r>
    <x v="310"/>
    <x v="41"/>
    <x v="1990"/>
    <x v="9"/>
    <x v="590"/>
    <x v="13"/>
    <x v="2"/>
    <x v="4"/>
    <x v="221"/>
    <x v="13"/>
    <x v="5114"/>
    <x v="1"/>
  </r>
  <r>
    <x v="310"/>
    <x v="41"/>
    <x v="1990"/>
    <x v="9"/>
    <x v="590"/>
    <x v="13"/>
    <x v="2"/>
    <x v="4"/>
    <x v="221"/>
    <x v="13"/>
    <x v="5115"/>
    <x v="1"/>
  </r>
  <r>
    <x v="310"/>
    <x v="41"/>
    <x v="1990"/>
    <x v="9"/>
    <x v="590"/>
    <x v="13"/>
    <x v="2"/>
    <x v="4"/>
    <x v="221"/>
    <x v="13"/>
    <x v="5116"/>
    <x v="1"/>
  </r>
  <r>
    <x v="310"/>
    <x v="41"/>
    <x v="1990"/>
    <x v="9"/>
    <x v="590"/>
    <x v="13"/>
    <x v="2"/>
    <x v="4"/>
    <x v="221"/>
    <x v="13"/>
    <x v="5117"/>
    <x v="1"/>
  </r>
  <r>
    <x v="310"/>
    <x v="41"/>
    <x v="1990"/>
    <x v="9"/>
    <x v="590"/>
    <x v="13"/>
    <x v="2"/>
    <x v="4"/>
    <x v="221"/>
    <x v="13"/>
    <x v="5118"/>
    <x v="1"/>
  </r>
  <r>
    <x v="310"/>
    <x v="41"/>
    <x v="1990"/>
    <x v="9"/>
    <x v="590"/>
    <x v="13"/>
    <x v="2"/>
    <x v="4"/>
    <x v="221"/>
    <x v="13"/>
    <x v="5119"/>
    <x v="1"/>
  </r>
  <r>
    <x v="310"/>
    <x v="41"/>
    <x v="1990"/>
    <x v="9"/>
    <x v="590"/>
    <x v="13"/>
    <x v="2"/>
    <x v="4"/>
    <x v="221"/>
    <x v="13"/>
    <x v="5120"/>
    <x v="1"/>
  </r>
  <r>
    <x v="310"/>
    <x v="41"/>
    <x v="1990"/>
    <x v="9"/>
    <x v="590"/>
    <x v="13"/>
    <x v="2"/>
    <x v="4"/>
    <x v="221"/>
    <x v="13"/>
    <x v="5121"/>
    <x v="1"/>
  </r>
  <r>
    <x v="310"/>
    <x v="41"/>
    <x v="1990"/>
    <x v="9"/>
    <x v="590"/>
    <x v="13"/>
    <x v="2"/>
    <x v="4"/>
    <x v="221"/>
    <x v="13"/>
    <x v="5122"/>
    <x v="1"/>
  </r>
  <r>
    <x v="310"/>
    <x v="41"/>
    <x v="1990"/>
    <x v="9"/>
    <x v="590"/>
    <x v="13"/>
    <x v="2"/>
    <x v="4"/>
    <x v="221"/>
    <x v="13"/>
    <x v="5123"/>
    <x v="1"/>
  </r>
  <r>
    <x v="310"/>
    <x v="41"/>
    <x v="1990"/>
    <x v="9"/>
    <x v="590"/>
    <x v="13"/>
    <x v="2"/>
    <x v="4"/>
    <x v="221"/>
    <x v="13"/>
    <x v="5124"/>
    <x v="1"/>
  </r>
  <r>
    <x v="310"/>
    <x v="41"/>
    <x v="1990"/>
    <x v="9"/>
    <x v="590"/>
    <x v="13"/>
    <x v="2"/>
    <x v="4"/>
    <x v="221"/>
    <x v="13"/>
    <x v="5125"/>
    <x v="1"/>
  </r>
  <r>
    <x v="310"/>
    <x v="41"/>
    <x v="1990"/>
    <x v="9"/>
    <x v="590"/>
    <x v="13"/>
    <x v="2"/>
    <x v="4"/>
    <x v="221"/>
    <x v="13"/>
    <x v="5126"/>
    <x v="1"/>
  </r>
  <r>
    <x v="310"/>
    <x v="41"/>
    <x v="1990"/>
    <x v="9"/>
    <x v="590"/>
    <x v="13"/>
    <x v="2"/>
    <x v="4"/>
    <x v="221"/>
    <x v="13"/>
    <x v="5127"/>
    <x v="1"/>
  </r>
  <r>
    <x v="310"/>
    <x v="41"/>
    <x v="1990"/>
    <x v="9"/>
    <x v="590"/>
    <x v="13"/>
    <x v="2"/>
    <x v="4"/>
    <x v="221"/>
    <x v="13"/>
    <x v="5128"/>
    <x v="1"/>
  </r>
  <r>
    <x v="310"/>
    <x v="41"/>
    <x v="1990"/>
    <x v="9"/>
    <x v="590"/>
    <x v="13"/>
    <x v="2"/>
    <x v="4"/>
    <x v="221"/>
    <x v="13"/>
    <x v="5129"/>
    <x v="1"/>
  </r>
  <r>
    <x v="310"/>
    <x v="41"/>
    <x v="1990"/>
    <x v="9"/>
    <x v="590"/>
    <x v="13"/>
    <x v="2"/>
    <x v="4"/>
    <x v="221"/>
    <x v="13"/>
    <x v="5130"/>
    <x v="1"/>
  </r>
  <r>
    <x v="310"/>
    <x v="41"/>
    <x v="1990"/>
    <x v="9"/>
    <x v="590"/>
    <x v="13"/>
    <x v="2"/>
    <x v="4"/>
    <x v="221"/>
    <x v="13"/>
    <x v="5131"/>
    <x v="1"/>
  </r>
  <r>
    <x v="310"/>
    <x v="41"/>
    <x v="1990"/>
    <x v="9"/>
    <x v="590"/>
    <x v="13"/>
    <x v="2"/>
    <x v="4"/>
    <x v="221"/>
    <x v="13"/>
    <x v="5132"/>
    <x v="1"/>
  </r>
  <r>
    <x v="310"/>
    <x v="41"/>
    <x v="1990"/>
    <x v="9"/>
    <x v="590"/>
    <x v="13"/>
    <x v="2"/>
    <x v="4"/>
    <x v="221"/>
    <x v="13"/>
    <x v="5133"/>
    <x v="1"/>
  </r>
  <r>
    <x v="310"/>
    <x v="41"/>
    <x v="1990"/>
    <x v="9"/>
    <x v="590"/>
    <x v="13"/>
    <x v="2"/>
    <x v="4"/>
    <x v="221"/>
    <x v="13"/>
    <x v="5134"/>
    <x v="1"/>
  </r>
  <r>
    <x v="310"/>
    <x v="41"/>
    <x v="1990"/>
    <x v="9"/>
    <x v="590"/>
    <x v="13"/>
    <x v="2"/>
    <x v="4"/>
    <x v="221"/>
    <x v="13"/>
    <x v="5135"/>
    <x v="1"/>
  </r>
  <r>
    <x v="310"/>
    <x v="41"/>
    <x v="1990"/>
    <x v="9"/>
    <x v="590"/>
    <x v="13"/>
    <x v="2"/>
    <x v="4"/>
    <x v="221"/>
    <x v="13"/>
    <x v="5136"/>
    <x v="1"/>
  </r>
  <r>
    <x v="310"/>
    <x v="41"/>
    <x v="1990"/>
    <x v="9"/>
    <x v="590"/>
    <x v="13"/>
    <x v="2"/>
    <x v="4"/>
    <x v="221"/>
    <x v="13"/>
    <x v="5137"/>
    <x v="1"/>
  </r>
  <r>
    <x v="310"/>
    <x v="41"/>
    <x v="1990"/>
    <x v="9"/>
    <x v="590"/>
    <x v="13"/>
    <x v="2"/>
    <x v="4"/>
    <x v="221"/>
    <x v="13"/>
    <x v="5138"/>
    <x v="1"/>
  </r>
  <r>
    <x v="310"/>
    <x v="41"/>
    <x v="1990"/>
    <x v="9"/>
    <x v="590"/>
    <x v="13"/>
    <x v="2"/>
    <x v="4"/>
    <x v="221"/>
    <x v="13"/>
    <x v="5139"/>
    <x v="1"/>
  </r>
  <r>
    <x v="310"/>
    <x v="41"/>
    <x v="1990"/>
    <x v="9"/>
    <x v="590"/>
    <x v="13"/>
    <x v="2"/>
    <x v="4"/>
    <x v="221"/>
    <x v="13"/>
    <x v="5140"/>
    <x v="1"/>
  </r>
  <r>
    <x v="310"/>
    <x v="41"/>
    <x v="1990"/>
    <x v="9"/>
    <x v="590"/>
    <x v="13"/>
    <x v="2"/>
    <x v="4"/>
    <x v="221"/>
    <x v="13"/>
    <x v="5141"/>
    <x v="1"/>
  </r>
  <r>
    <x v="310"/>
    <x v="41"/>
    <x v="1990"/>
    <x v="9"/>
    <x v="590"/>
    <x v="13"/>
    <x v="2"/>
    <x v="4"/>
    <x v="221"/>
    <x v="13"/>
    <x v="5142"/>
    <x v="1"/>
  </r>
  <r>
    <x v="310"/>
    <x v="41"/>
    <x v="1990"/>
    <x v="9"/>
    <x v="590"/>
    <x v="13"/>
    <x v="2"/>
    <x v="4"/>
    <x v="221"/>
    <x v="13"/>
    <x v="5143"/>
    <x v="1"/>
  </r>
  <r>
    <x v="310"/>
    <x v="41"/>
    <x v="1990"/>
    <x v="9"/>
    <x v="590"/>
    <x v="13"/>
    <x v="2"/>
    <x v="4"/>
    <x v="221"/>
    <x v="13"/>
    <x v="5144"/>
    <x v="1"/>
  </r>
  <r>
    <x v="310"/>
    <x v="41"/>
    <x v="1990"/>
    <x v="9"/>
    <x v="590"/>
    <x v="13"/>
    <x v="2"/>
    <x v="4"/>
    <x v="221"/>
    <x v="13"/>
    <x v="5145"/>
    <x v="1"/>
  </r>
  <r>
    <x v="310"/>
    <x v="41"/>
    <x v="1990"/>
    <x v="9"/>
    <x v="590"/>
    <x v="13"/>
    <x v="2"/>
    <x v="4"/>
    <x v="221"/>
    <x v="13"/>
    <x v="5146"/>
    <x v="1"/>
  </r>
  <r>
    <x v="310"/>
    <x v="41"/>
    <x v="1990"/>
    <x v="9"/>
    <x v="590"/>
    <x v="13"/>
    <x v="2"/>
    <x v="4"/>
    <x v="221"/>
    <x v="13"/>
    <x v="5147"/>
    <x v="1"/>
  </r>
  <r>
    <x v="310"/>
    <x v="41"/>
    <x v="1990"/>
    <x v="9"/>
    <x v="590"/>
    <x v="13"/>
    <x v="2"/>
    <x v="4"/>
    <x v="221"/>
    <x v="13"/>
    <x v="5148"/>
    <x v="1"/>
  </r>
  <r>
    <x v="310"/>
    <x v="41"/>
    <x v="1990"/>
    <x v="9"/>
    <x v="590"/>
    <x v="13"/>
    <x v="2"/>
    <x v="4"/>
    <x v="221"/>
    <x v="13"/>
    <x v="5149"/>
    <x v="1"/>
  </r>
  <r>
    <x v="310"/>
    <x v="41"/>
    <x v="1990"/>
    <x v="9"/>
    <x v="590"/>
    <x v="13"/>
    <x v="2"/>
    <x v="4"/>
    <x v="221"/>
    <x v="13"/>
    <x v="5150"/>
    <x v="1"/>
  </r>
  <r>
    <x v="310"/>
    <x v="41"/>
    <x v="1990"/>
    <x v="9"/>
    <x v="590"/>
    <x v="13"/>
    <x v="2"/>
    <x v="4"/>
    <x v="221"/>
    <x v="13"/>
    <x v="5151"/>
    <x v="1"/>
  </r>
  <r>
    <x v="310"/>
    <x v="41"/>
    <x v="1990"/>
    <x v="9"/>
    <x v="590"/>
    <x v="13"/>
    <x v="2"/>
    <x v="4"/>
    <x v="221"/>
    <x v="13"/>
    <x v="5152"/>
    <x v="1"/>
  </r>
  <r>
    <x v="310"/>
    <x v="41"/>
    <x v="1990"/>
    <x v="9"/>
    <x v="590"/>
    <x v="13"/>
    <x v="2"/>
    <x v="4"/>
    <x v="221"/>
    <x v="13"/>
    <x v="5153"/>
    <x v="1"/>
  </r>
  <r>
    <x v="310"/>
    <x v="41"/>
    <x v="1990"/>
    <x v="9"/>
    <x v="590"/>
    <x v="13"/>
    <x v="2"/>
    <x v="4"/>
    <x v="221"/>
    <x v="13"/>
    <x v="5154"/>
    <x v="1"/>
  </r>
  <r>
    <x v="310"/>
    <x v="41"/>
    <x v="1990"/>
    <x v="9"/>
    <x v="590"/>
    <x v="13"/>
    <x v="2"/>
    <x v="4"/>
    <x v="221"/>
    <x v="13"/>
    <x v="5155"/>
    <x v="1"/>
  </r>
  <r>
    <x v="310"/>
    <x v="41"/>
    <x v="1990"/>
    <x v="9"/>
    <x v="590"/>
    <x v="13"/>
    <x v="2"/>
    <x v="4"/>
    <x v="221"/>
    <x v="13"/>
    <x v="5156"/>
    <x v="1"/>
  </r>
  <r>
    <x v="310"/>
    <x v="41"/>
    <x v="1990"/>
    <x v="9"/>
    <x v="590"/>
    <x v="13"/>
    <x v="2"/>
    <x v="4"/>
    <x v="221"/>
    <x v="13"/>
    <x v="5157"/>
    <x v="1"/>
  </r>
  <r>
    <x v="310"/>
    <x v="41"/>
    <x v="1990"/>
    <x v="9"/>
    <x v="590"/>
    <x v="13"/>
    <x v="2"/>
    <x v="4"/>
    <x v="221"/>
    <x v="13"/>
    <x v="5158"/>
    <x v="1"/>
  </r>
  <r>
    <x v="310"/>
    <x v="41"/>
    <x v="1990"/>
    <x v="9"/>
    <x v="590"/>
    <x v="13"/>
    <x v="2"/>
    <x v="4"/>
    <x v="221"/>
    <x v="13"/>
    <x v="5159"/>
    <x v="1"/>
  </r>
  <r>
    <x v="310"/>
    <x v="41"/>
    <x v="1990"/>
    <x v="9"/>
    <x v="590"/>
    <x v="13"/>
    <x v="2"/>
    <x v="4"/>
    <x v="221"/>
    <x v="13"/>
    <x v="5160"/>
    <x v="1"/>
  </r>
  <r>
    <x v="310"/>
    <x v="41"/>
    <x v="1990"/>
    <x v="9"/>
    <x v="590"/>
    <x v="13"/>
    <x v="2"/>
    <x v="4"/>
    <x v="221"/>
    <x v="13"/>
    <x v="5161"/>
    <x v="1"/>
  </r>
  <r>
    <x v="310"/>
    <x v="41"/>
    <x v="1990"/>
    <x v="9"/>
    <x v="590"/>
    <x v="13"/>
    <x v="2"/>
    <x v="4"/>
    <x v="221"/>
    <x v="13"/>
    <x v="5162"/>
    <x v="1"/>
  </r>
  <r>
    <x v="310"/>
    <x v="41"/>
    <x v="1990"/>
    <x v="9"/>
    <x v="590"/>
    <x v="13"/>
    <x v="2"/>
    <x v="4"/>
    <x v="221"/>
    <x v="13"/>
    <x v="5163"/>
    <x v="1"/>
  </r>
  <r>
    <x v="310"/>
    <x v="41"/>
    <x v="1990"/>
    <x v="9"/>
    <x v="590"/>
    <x v="13"/>
    <x v="2"/>
    <x v="4"/>
    <x v="221"/>
    <x v="13"/>
    <x v="5164"/>
    <x v="1"/>
  </r>
  <r>
    <x v="310"/>
    <x v="41"/>
    <x v="1990"/>
    <x v="9"/>
    <x v="590"/>
    <x v="13"/>
    <x v="2"/>
    <x v="4"/>
    <x v="221"/>
    <x v="13"/>
    <x v="5165"/>
    <x v="1"/>
  </r>
  <r>
    <x v="310"/>
    <x v="41"/>
    <x v="1990"/>
    <x v="9"/>
    <x v="590"/>
    <x v="13"/>
    <x v="2"/>
    <x v="4"/>
    <x v="221"/>
    <x v="13"/>
    <x v="5166"/>
    <x v="1"/>
  </r>
  <r>
    <x v="310"/>
    <x v="41"/>
    <x v="1990"/>
    <x v="9"/>
    <x v="590"/>
    <x v="13"/>
    <x v="2"/>
    <x v="4"/>
    <x v="221"/>
    <x v="13"/>
    <x v="5167"/>
    <x v="1"/>
  </r>
  <r>
    <x v="310"/>
    <x v="41"/>
    <x v="1990"/>
    <x v="9"/>
    <x v="590"/>
    <x v="13"/>
    <x v="2"/>
    <x v="4"/>
    <x v="221"/>
    <x v="13"/>
    <x v="5168"/>
    <x v="1"/>
  </r>
  <r>
    <x v="310"/>
    <x v="41"/>
    <x v="1990"/>
    <x v="9"/>
    <x v="590"/>
    <x v="13"/>
    <x v="2"/>
    <x v="4"/>
    <x v="221"/>
    <x v="13"/>
    <x v="5169"/>
    <x v="1"/>
  </r>
  <r>
    <x v="310"/>
    <x v="41"/>
    <x v="1990"/>
    <x v="9"/>
    <x v="590"/>
    <x v="13"/>
    <x v="2"/>
    <x v="4"/>
    <x v="221"/>
    <x v="13"/>
    <x v="5170"/>
    <x v="1"/>
  </r>
  <r>
    <x v="310"/>
    <x v="41"/>
    <x v="1990"/>
    <x v="9"/>
    <x v="590"/>
    <x v="13"/>
    <x v="2"/>
    <x v="4"/>
    <x v="221"/>
    <x v="13"/>
    <x v="5171"/>
    <x v="1"/>
  </r>
  <r>
    <x v="310"/>
    <x v="41"/>
    <x v="1990"/>
    <x v="9"/>
    <x v="590"/>
    <x v="13"/>
    <x v="2"/>
    <x v="4"/>
    <x v="221"/>
    <x v="13"/>
    <x v="5172"/>
    <x v="1"/>
  </r>
  <r>
    <x v="310"/>
    <x v="41"/>
    <x v="1990"/>
    <x v="9"/>
    <x v="590"/>
    <x v="13"/>
    <x v="2"/>
    <x v="4"/>
    <x v="221"/>
    <x v="13"/>
    <x v="5173"/>
    <x v="1"/>
  </r>
  <r>
    <x v="310"/>
    <x v="41"/>
    <x v="1990"/>
    <x v="9"/>
    <x v="590"/>
    <x v="13"/>
    <x v="2"/>
    <x v="4"/>
    <x v="221"/>
    <x v="13"/>
    <x v="5174"/>
    <x v="1"/>
  </r>
  <r>
    <x v="310"/>
    <x v="41"/>
    <x v="1990"/>
    <x v="9"/>
    <x v="590"/>
    <x v="13"/>
    <x v="2"/>
    <x v="4"/>
    <x v="221"/>
    <x v="13"/>
    <x v="5175"/>
    <x v="1"/>
  </r>
  <r>
    <x v="310"/>
    <x v="41"/>
    <x v="1990"/>
    <x v="9"/>
    <x v="590"/>
    <x v="13"/>
    <x v="2"/>
    <x v="4"/>
    <x v="221"/>
    <x v="13"/>
    <x v="5176"/>
    <x v="1"/>
  </r>
  <r>
    <x v="310"/>
    <x v="41"/>
    <x v="1990"/>
    <x v="9"/>
    <x v="590"/>
    <x v="13"/>
    <x v="2"/>
    <x v="4"/>
    <x v="221"/>
    <x v="13"/>
    <x v="5177"/>
    <x v="1"/>
  </r>
  <r>
    <x v="310"/>
    <x v="41"/>
    <x v="1990"/>
    <x v="9"/>
    <x v="590"/>
    <x v="13"/>
    <x v="2"/>
    <x v="4"/>
    <x v="221"/>
    <x v="13"/>
    <x v="5178"/>
    <x v="1"/>
  </r>
  <r>
    <x v="310"/>
    <x v="41"/>
    <x v="1990"/>
    <x v="9"/>
    <x v="590"/>
    <x v="13"/>
    <x v="2"/>
    <x v="4"/>
    <x v="221"/>
    <x v="13"/>
    <x v="5179"/>
    <x v="1"/>
  </r>
  <r>
    <x v="310"/>
    <x v="41"/>
    <x v="1990"/>
    <x v="9"/>
    <x v="590"/>
    <x v="13"/>
    <x v="2"/>
    <x v="4"/>
    <x v="221"/>
    <x v="13"/>
    <x v="5180"/>
    <x v="1"/>
  </r>
  <r>
    <x v="310"/>
    <x v="41"/>
    <x v="1990"/>
    <x v="9"/>
    <x v="590"/>
    <x v="13"/>
    <x v="2"/>
    <x v="4"/>
    <x v="221"/>
    <x v="13"/>
    <x v="5181"/>
    <x v="1"/>
  </r>
  <r>
    <x v="310"/>
    <x v="41"/>
    <x v="1990"/>
    <x v="9"/>
    <x v="590"/>
    <x v="13"/>
    <x v="2"/>
    <x v="4"/>
    <x v="221"/>
    <x v="13"/>
    <x v="5182"/>
    <x v="1"/>
  </r>
  <r>
    <x v="310"/>
    <x v="41"/>
    <x v="1990"/>
    <x v="9"/>
    <x v="590"/>
    <x v="13"/>
    <x v="2"/>
    <x v="4"/>
    <x v="221"/>
    <x v="13"/>
    <x v="5183"/>
    <x v="1"/>
  </r>
  <r>
    <x v="310"/>
    <x v="41"/>
    <x v="1990"/>
    <x v="9"/>
    <x v="590"/>
    <x v="13"/>
    <x v="2"/>
    <x v="4"/>
    <x v="221"/>
    <x v="13"/>
    <x v="5184"/>
    <x v="1"/>
  </r>
  <r>
    <x v="310"/>
    <x v="41"/>
    <x v="1990"/>
    <x v="9"/>
    <x v="590"/>
    <x v="13"/>
    <x v="2"/>
    <x v="4"/>
    <x v="221"/>
    <x v="13"/>
    <x v="5185"/>
    <x v="1"/>
  </r>
  <r>
    <x v="310"/>
    <x v="41"/>
    <x v="1990"/>
    <x v="9"/>
    <x v="590"/>
    <x v="13"/>
    <x v="2"/>
    <x v="4"/>
    <x v="221"/>
    <x v="13"/>
    <x v="5186"/>
    <x v="1"/>
  </r>
  <r>
    <x v="310"/>
    <x v="41"/>
    <x v="1990"/>
    <x v="9"/>
    <x v="590"/>
    <x v="13"/>
    <x v="2"/>
    <x v="4"/>
    <x v="221"/>
    <x v="13"/>
    <x v="5187"/>
    <x v="1"/>
  </r>
  <r>
    <x v="310"/>
    <x v="41"/>
    <x v="1990"/>
    <x v="9"/>
    <x v="590"/>
    <x v="13"/>
    <x v="2"/>
    <x v="4"/>
    <x v="221"/>
    <x v="13"/>
    <x v="5188"/>
    <x v="1"/>
  </r>
  <r>
    <x v="310"/>
    <x v="41"/>
    <x v="1990"/>
    <x v="9"/>
    <x v="590"/>
    <x v="13"/>
    <x v="2"/>
    <x v="4"/>
    <x v="221"/>
    <x v="13"/>
    <x v="5189"/>
    <x v="1"/>
  </r>
  <r>
    <x v="310"/>
    <x v="41"/>
    <x v="1990"/>
    <x v="9"/>
    <x v="590"/>
    <x v="13"/>
    <x v="2"/>
    <x v="4"/>
    <x v="221"/>
    <x v="13"/>
    <x v="5190"/>
    <x v="1"/>
  </r>
  <r>
    <x v="310"/>
    <x v="41"/>
    <x v="1990"/>
    <x v="9"/>
    <x v="590"/>
    <x v="13"/>
    <x v="2"/>
    <x v="4"/>
    <x v="221"/>
    <x v="13"/>
    <x v="5191"/>
    <x v="1"/>
  </r>
  <r>
    <x v="310"/>
    <x v="41"/>
    <x v="1990"/>
    <x v="9"/>
    <x v="590"/>
    <x v="13"/>
    <x v="2"/>
    <x v="4"/>
    <x v="221"/>
    <x v="13"/>
    <x v="5192"/>
    <x v="1"/>
  </r>
  <r>
    <x v="310"/>
    <x v="41"/>
    <x v="1990"/>
    <x v="9"/>
    <x v="590"/>
    <x v="13"/>
    <x v="2"/>
    <x v="4"/>
    <x v="221"/>
    <x v="13"/>
    <x v="5193"/>
    <x v="1"/>
  </r>
  <r>
    <x v="310"/>
    <x v="41"/>
    <x v="1990"/>
    <x v="9"/>
    <x v="590"/>
    <x v="13"/>
    <x v="2"/>
    <x v="4"/>
    <x v="221"/>
    <x v="13"/>
    <x v="5194"/>
    <x v="1"/>
  </r>
  <r>
    <x v="310"/>
    <x v="41"/>
    <x v="1990"/>
    <x v="9"/>
    <x v="590"/>
    <x v="13"/>
    <x v="2"/>
    <x v="4"/>
    <x v="221"/>
    <x v="13"/>
    <x v="5195"/>
    <x v="1"/>
  </r>
  <r>
    <x v="310"/>
    <x v="41"/>
    <x v="1990"/>
    <x v="9"/>
    <x v="590"/>
    <x v="13"/>
    <x v="2"/>
    <x v="4"/>
    <x v="221"/>
    <x v="13"/>
    <x v="5196"/>
    <x v="1"/>
  </r>
  <r>
    <x v="310"/>
    <x v="41"/>
    <x v="1990"/>
    <x v="9"/>
    <x v="590"/>
    <x v="13"/>
    <x v="2"/>
    <x v="4"/>
    <x v="221"/>
    <x v="13"/>
    <x v="5197"/>
    <x v="1"/>
  </r>
  <r>
    <x v="310"/>
    <x v="41"/>
    <x v="1990"/>
    <x v="9"/>
    <x v="590"/>
    <x v="13"/>
    <x v="2"/>
    <x v="4"/>
    <x v="221"/>
    <x v="13"/>
    <x v="5198"/>
    <x v="1"/>
  </r>
  <r>
    <x v="310"/>
    <x v="41"/>
    <x v="1990"/>
    <x v="9"/>
    <x v="590"/>
    <x v="13"/>
    <x v="2"/>
    <x v="4"/>
    <x v="221"/>
    <x v="13"/>
    <x v="5199"/>
    <x v="1"/>
  </r>
  <r>
    <x v="310"/>
    <x v="41"/>
    <x v="1990"/>
    <x v="9"/>
    <x v="590"/>
    <x v="13"/>
    <x v="2"/>
    <x v="4"/>
    <x v="221"/>
    <x v="13"/>
    <x v="5200"/>
    <x v="1"/>
  </r>
  <r>
    <x v="310"/>
    <x v="41"/>
    <x v="1990"/>
    <x v="9"/>
    <x v="590"/>
    <x v="13"/>
    <x v="2"/>
    <x v="4"/>
    <x v="221"/>
    <x v="13"/>
    <x v="5201"/>
    <x v="1"/>
  </r>
  <r>
    <x v="310"/>
    <x v="41"/>
    <x v="1990"/>
    <x v="9"/>
    <x v="590"/>
    <x v="13"/>
    <x v="2"/>
    <x v="4"/>
    <x v="221"/>
    <x v="13"/>
    <x v="5202"/>
    <x v="1"/>
  </r>
  <r>
    <x v="310"/>
    <x v="41"/>
    <x v="1990"/>
    <x v="9"/>
    <x v="590"/>
    <x v="13"/>
    <x v="2"/>
    <x v="4"/>
    <x v="221"/>
    <x v="13"/>
    <x v="5203"/>
    <x v="1"/>
  </r>
  <r>
    <x v="310"/>
    <x v="41"/>
    <x v="1990"/>
    <x v="9"/>
    <x v="590"/>
    <x v="13"/>
    <x v="2"/>
    <x v="4"/>
    <x v="221"/>
    <x v="13"/>
    <x v="5204"/>
    <x v="1"/>
  </r>
  <r>
    <x v="310"/>
    <x v="41"/>
    <x v="1990"/>
    <x v="9"/>
    <x v="590"/>
    <x v="13"/>
    <x v="2"/>
    <x v="4"/>
    <x v="221"/>
    <x v="13"/>
    <x v="5205"/>
    <x v="1"/>
  </r>
  <r>
    <x v="310"/>
    <x v="41"/>
    <x v="1990"/>
    <x v="9"/>
    <x v="590"/>
    <x v="13"/>
    <x v="2"/>
    <x v="4"/>
    <x v="221"/>
    <x v="13"/>
    <x v="5206"/>
    <x v="1"/>
  </r>
  <r>
    <x v="310"/>
    <x v="41"/>
    <x v="1990"/>
    <x v="9"/>
    <x v="590"/>
    <x v="13"/>
    <x v="2"/>
    <x v="4"/>
    <x v="221"/>
    <x v="13"/>
    <x v="5207"/>
    <x v="1"/>
  </r>
  <r>
    <x v="310"/>
    <x v="41"/>
    <x v="1990"/>
    <x v="9"/>
    <x v="590"/>
    <x v="13"/>
    <x v="2"/>
    <x v="4"/>
    <x v="221"/>
    <x v="13"/>
    <x v="5208"/>
    <x v="1"/>
  </r>
  <r>
    <x v="310"/>
    <x v="41"/>
    <x v="1990"/>
    <x v="9"/>
    <x v="590"/>
    <x v="13"/>
    <x v="2"/>
    <x v="4"/>
    <x v="221"/>
    <x v="13"/>
    <x v="5209"/>
    <x v="1"/>
  </r>
  <r>
    <x v="310"/>
    <x v="41"/>
    <x v="1990"/>
    <x v="9"/>
    <x v="590"/>
    <x v="13"/>
    <x v="2"/>
    <x v="4"/>
    <x v="221"/>
    <x v="13"/>
    <x v="5210"/>
    <x v="1"/>
  </r>
  <r>
    <x v="310"/>
    <x v="41"/>
    <x v="1990"/>
    <x v="9"/>
    <x v="590"/>
    <x v="13"/>
    <x v="2"/>
    <x v="4"/>
    <x v="221"/>
    <x v="13"/>
    <x v="5211"/>
    <x v="1"/>
  </r>
  <r>
    <x v="310"/>
    <x v="41"/>
    <x v="1990"/>
    <x v="9"/>
    <x v="590"/>
    <x v="13"/>
    <x v="2"/>
    <x v="4"/>
    <x v="221"/>
    <x v="13"/>
    <x v="5212"/>
    <x v="1"/>
  </r>
  <r>
    <x v="310"/>
    <x v="41"/>
    <x v="1990"/>
    <x v="9"/>
    <x v="590"/>
    <x v="13"/>
    <x v="2"/>
    <x v="4"/>
    <x v="221"/>
    <x v="13"/>
    <x v="5213"/>
    <x v="1"/>
  </r>
  <r>
    <x v="310"/>
    <x v="41"/>
    <x v="1990"/>
    <x v="9"/>
    <x v="590"/>
    <x v="13"/>
    <x v="2"/>
    <x v="4"/>
    <x v="221"/>
    <x v="13"/>
    <x v="5214"/>
    <x v="1"/>
  </r>
  <r>
    <x v="310"/>
    <x v="41"/>
    <x v="1990"/>
    <x v="9"/>
    <x v="590"/>
    <x v="13"/>
    <x v="2"/>
    <x v="4"/>
    <x v="221"/>
    <x v="13"/>
    <x v="5215"/>
    <x v="1"/>
  </r>
  <r>
    <x v="310"/>
    <x v="41"/>
    <x v="1990"/>
    <x v="9"/>
    <x v="590"/>
    <x v="13"/>
    <x v="2"/>
    <x v="4"/>
    <x v="221"/>
    <x v="13"/>
    <x v="5216"/>
    <x v="1"/>
  </r>
  <r>
    <x v="310"/>
    <x v="41"/>
    <x v="1990"/>
    <x v="9"/>
    <x v="590"/>
    <x v="13"/>
    <x v="2"/>
    <x v="4"/>
    <x v="221"/>
    <x v="13"/>
    <x v="5217"/>
    <x v="1"/>
  </r>
  <r>
    <x v="310"/>
    <x v="41"/>
    <x v="1990"/>
    <x v="9"/>
    <x v="590"/>
    <x v="13"/>
    <x v="2"/>
    <x v="4"/>
    <x v="221"/>
    <x v="13"/>
    <x v="5218"/>
    <x v="1"/>
  </r>
  <r>
    <x v="310"/>
    <x v="41"/>
    <x v="1990"/>
    <x v="9"/>
    <x v="590"/>
    <x v="13"/>
    <x v="2"/>
    <x v="4"/>
    <x v="221"/>
    <x v="13"/>
    <x v="5219"/>
    <x v="1"/>
  </r>
  <r>
    <x v="310"/>
    <x v="41"/>
    <x v="1990"/>
    <x v="9"/>
    <x v="590"/>
    <x v="13"/>
    <x v="2"/>
    <x v="4"/>
    <x v="221"/>
    <x v="13"/>
    <x v="5220"/>
    <x v="1"/>
  </r>
  <r>
    <x v="310"/>
    <x v="41"/>
    <x v="1990"/>
    <x v="9"/>
    <x v="590"/>
    <x v="13"/>
    <x v="2"/>
    <x v="4"/>
    <x v="221"/>
    <x v="13"/>
    <x v="5221"/>
    <x v="1"/>
  </r>
  <r>
    <x v="310"/>
    <x v="41"/>
    <x v="1990"/>
    <x v="9"/>
    <x v="590"/>
    <x v="13"/>
    <x v="2"/>
    <x v="4"/>
    <x v="221"/>
    <x v="13"/>
    <x v="5222"/>
    <x v="1"/>
  </r>
  <r>
    <x v="310"/>
    <x v="41"/>
    <x v="1990"/>
    <x v="9"/>
    <x v="590"/>
    <x v="13"/>
    <x v="2"/>
    <x v="4"/>
    <x v="221"/>
    <x v="13"/>
    <x v="5223"/>
    <x v="1"/>
  </r>
  <r>
    <x v="310"/>
    <x v="41"/>
    <x v="1990"/>
    <x v="9"/>
    <x v="590"/>
    <x v="13"/>
    <x v="2"/>
    <x v="4"/>
    <x v="221"/>
    <x v="13"/>
    <x v="5224"/>
    <x v="1"/>
  </r>
  <r>
    <x v="310"/>
    <x v="41"/>
    <x v="1990"/>
    <x v="9"/>
    <x v="590"/>
    <x v="13"/>
    <x v="2"/>
    <x v="4"/>
    <x v="221"/>
    <x v="13"/>
    <x v="5225"/>
    <x v="1"/>
  </r>
  <r>
    <x v="310"/>
    <x v="41"/>
    <x v="1990"/>
    <x v="9"/>
    <x v="590"/>
    <x v="13"/>
    <x v="2"/>
    <x v="4"/>
    <x v="221"/>
    <x v="13"/>
    <x v="5226"/>
    <x v="1"/>
  </r>
  <r>
    <x v="310"/>
    <x v="41"/>
    <x v="1990"/>
    <x v="9"/>
    <x v="590"/>
    <x v="13"/>
    <x v="2"/>
    <x v="4"/>
    <x v="221"/>
    <x v="13"/>
    <x v="5227"/>
    <x v="1"/>
  </r>
  <r>
    <x v="310"/>
    <x v="41"/>
    <x v="1990"/>
    <x v="9"/>
    <x v="590"/>
    <x v="13"/>
    <x v="2"/>
    <x v="4"/>
    <x v="221"/>
    <x v="13"/>
    <x v="5228"/>
    <x v="1"/>
  </r>
  <r>
    <x v="310"/>
    <x v="41"/>
    <x v="1990"/>
    <x v="9"/>
    <x v="590"/>
    <x v="13"/>
    <x v="2"/>
    <x v="4"/>
    <x v="221"/>
    <x v="13"/>
    <x v="5229"/>
    <x v="1"/>
  </r>
  <r>
    <x v="310"/>
    <x v="41"/>
    <x v="1990"/>
    <x v="9"/>
    <x v="590"/>
    <x v="13"/>
    <x v="2"/>
    <x v="4"/>
    <x v="221"/>
    <x v="13"/>
    <x v="5230"/>
    <x v="1"/>
  </r>
  <r>
    <x v="310"/>
    <x v="41"/>
    <x v="1990"/>
    <x v="9"/>
    <x v="590"/>
    <x v="13"/>
    <x v="2"/>
    <x v="4"/>
    <x v="221"/>
    <x v="13"/>
    <x v="5231"/>
    <x v="1"/>
  </r>
  <r>
    <x v="310"/>
    <x v="41"/>
    <x v="1990"/>
    <x v="9"/>
    <x v="590"/>
    <x v="13"/>
    <x v="2"/>
    <x v="4"/>
    <x v="221"/>
    <x v="13"/>
    <x v="5232"/>
    <x v="1"/>
  </r>
  <r>
    <x v="310"/>
    <x v="41"/>
    <x v="1990"/>
    <x v="9"/>
    <x v="590"/>
    <x v="13"/>
    <x v="2"/>
    <x v="4"/>
    <x v="221"/>
    <x v="13"/>
    <x v="5233"/>
    <x v="1"/>
  </r>
  <r>
    <x v="310"/>
    <x v="41"/>
    <x v="1990"/>
    <x v="9"/>
    <x v="590"/>
    <x v="13"/>
    <x v="2"/>
    <x v="4"/>
    <x v="221"/>
    <x v="13"/>
    <x v="5234"/>
    <x v="1"/>
  </r>
  <r>
    <x v="310"/>
    <x v="41"/>
    <x v="1990"/>
    <x v="9"/>
    <x v="590"/>
    <x v="13"/>
    <x v="2"/>
    <x v="4"/>
    <x v="221"/>
    <x v="13"/>
    <x v="5235"/>
    <x v="1"/>
  </r>
  <r>
    <x v="310"/>
    <x v="41"/>
    <x v="1990"/>
    <x v="9"/>
    <x v="590"/>
    <x v="13"/>
    <x v="2"/>
    <x v="4"/>
    <x v="221"/>
    <x v="13"/>
    <x v="5236"/>
    <x v="1"/>
  </r>
  <r>
    <x v="310"/>
    <x v="41"/>
    <x v="1990"/>
    <x v="9"/>
    <x v="590"/>
    <x v="13"/>
    <x v="2"/>
    <x v="4"/>
    <x v="221"/>
    <x v="13"/>
    <x v="5237"/>
    <x v="1"/>
  </r>
  <r>
    <x v="310"/>
    <x v="41"/>
    <x v="1990"/>
    <x v="9"/>
    <x v="590"/>
    <x v="13"/>
    <x v="2"/>
    <x v="4"/>
    <x v="221"/>
    <x v="13"/>
    <x v="5238"/>
    <x v="1"/>
  </r>
  <r>
    <x v="310"/>
    <x v="41"/>
    <x v="1990"/>
    <x v="9"/>
    <x v="590"/>
    <x v="13"/>
    <x v="2"/>
    <x v="4"/>
    <x v="221"/>
    <x v="13"/>
    <x v="5239"/>
    <x v="1"/>
  </r>
  <r>
    <x v="310"/>
    <x v="41"/>
    <x v="1990"/>
    <x v="9"/>
    <x v="590"/>
    <x v="13"/>
    <x v="2"/>
    <x v="4"/>
    <x v="221"/>
    <x v="13"/>
    <x v="5240"/>
    <x v="1"/>
  </r>
  <r>
    <x v="310"/>
    <x v="41"/>
    <x v="1990"/>
    <x v="9"/>
    <x v="590"/>
    <x v="13"/>
    <x v="2"/>
    <x v="4"/>
    <x v="221"/>
    <x v="13"/>
    <x v="5241"/>
    <x v="1"/>
  </r>
  <r>
    <x v="310"/>
    <x v="41"/>
    <x v="1990"/>
    <x v="9"/>
    <x v="590"/>
    <x v="13"/>
    <x v="2"/>
    <x v="4"/>
    <x v="221"/>
    <x v="13"/>
    <x v="5242"/>
    <x v="1"/>
  </r>
  <r>
    <x v="310"/>
    <x v="41"/>
    <x v="1990"/>
    <x v="9"/>
    <x v="590"/>
    <x v="13"/>
    <x v="2"/>
    <x v="4"/>
    <x v="221"/>
    <x v="13"/>
    <x v="5243"/>
    <x v="1"/>
  </r>
  <r>
    <x v="310"/>
    <x v="41"/>
    <x v="1990"/>
    <x v="9"/>
    <x v="590"/>
    <x v="13"/>
    <x v="2"/>
    <x v="4"/>
    <x v="221"/>
    <x v="13"/>
    <x v="5244"/>
    <x v="1"/>
  </r>
  <r>
    <x v="310"/>
    <x v="41"/>
    <x v="1990"/>
    <x v="9"/>
    <x v="590"/>
    <x v="13"/>
    <x v="2"/>
    <x v="4"/>
    <x v="221"/>
    <x v="13"/>
    <x v="5245"/>
    <x v="1"/>
  </r>
  <r>
    <x v="310"/>
    <x v="41"/>
    <x v="1990"/>
    <x v="9"/>
    <x v="590"/>
    <x v="13"/>
    <x v="2"/>
    <x v="4"/>
    <x v="221"/>
    <x v="13"/>
    <x v="5246"/>
    <x v="1"/>
  </r>
  <r>
    <x v="310"/>
    <x v="41"/>
    <x v="1990"/>
    <x v="9"/>
    <x v="590"/>
    <x v="13"/>
    <x v="2"/>
    <x v="4"/>
    <x v="221"/>
    <x v="13"/>
    <x v="5247"/>
    <x v="1"/>
  </r>
  <r>
    <x v="310"/>
    <x v="41"/>
    <x v="1990"/>
    <x v="9"/>
    <x v="590"/>
    <x v="13"/>
    <x v="2"/>
    <x v="4"/>
    <x v="221"/>
    <x v="13"/>
    <x v="5248"/>
    <x v="1"/>
  </r>
  <r>
    <x v="310"/>
    <x v="41"/>
    <x v="1990"/>
    <x v="9"/>
    <x v="590"/>
    <x v="13"/>
    <x v="2"/>
    <x v="4"/>
    <x v="221"/>
    <x v="13"/>
    <x v="5249"/>
    <x v="1"/>
  </r>
  <r>
    <x v="310"/>
    <x v="41"/>
    <x v="1990"/>
    <x v="9"/>
    <x v="590"/>
    <x v="13"/>
    <x v="2"/>
    <x v="4"/>
    <x v="221"/>
    <x v="13"/>
    <x v="5250"/>
    <x v="1"/>
  </r>
  <r>
    <x v="310"/>
    <x v="41"/>
    <x v="1990"/>
    <x v="9"/>
    <x v="590"/>
    <x v="13"/>
    <x v="2"/>
    <x v="4"/>
    <x v="221"/>
    <x v="13"/>
    <x v="5251"/>
    <x v="1"/>
  </r>
  <r>
    <x v="310"/>
    <x v="41"/>
    <x v="1990"/>
    <x v="9"/>
    <x v="590"/>
    <x v="13"/>
    <x v="2"/>
    <x v="4"/>
    <x v="221"/>
    <x v="13"/>
    <x v="5252"/>
    <x v="1"/>
  </r>
  <r>
    <x v="310"/>
    <x v="41"/>
    <x v="1990"/>
    <x v="9"/>
    <x v="590"/>
    <x v="13"/>
    <x v="2"/>
    <x v="4"/>
    <x v="221"/>
    <x v="13"/>
    <x v="5253"/>
    <x v="1"/>
  </r>
  <r>
    <x v="310"/>
    <x v="41"/>
    <x v="1990"/>
    <x v="9"/>
    <x v="590"/>
    <x v="13"/>
    <x v="2"/>
    <x v="4"/>
    <x v="221"/>
    <x v="13"/>
    <x v="5254"/>
    <x v="1"/>
  </r>
  <r>
    <x v="310"/>
    <x v="41"/>
    <x v="1990"/>
    <x v="9"/>
    <x v="590"/>
    <x v="13"/>
    <x v="2"/>
    <x v="4"/>
    <x v="221"/>
    <x v="13"/>
    <x v="5255"/>
    <x v="1"/>
  </r>
  <r>
    <x v="310"/>
    <x v="41"/>
    <x v="1990"/>
    <x v="9"/>
    <x v="590"/>
    <x v="13"/>
    <x v="2"/>
    <x v="4"/>
    <x v="221"/>
    <x v="13"/>
    <x v="5256"/>
    <x v="1"/>
  </r>
  <r>
    <x v="310"/>
    <x v="41"/>
    <x v="1990"/>
    <x v="9"/>
    <x v="590"/>
    <x v="13"/>
    <x v="2"/>
    <x v="4"/>
    <x v="221"/>
    <x v="13"/>
    <x v="5257"/>
    <x v="1"/>
  </r>
  <r>
    <x v="310"/>
    <x v="41"/>
    <x v="1990"/>
    <x v="9"/>
    <x v="590"/>
    <x v="13"/>
    <x v="2"/>
    <x v="4"/>
    <x v="221"/>
    <x v="13"/>
    <x v="5258"/>
    <x v="1"/>
  </r>
  <r>
    <x v="310"/>
    <x v="41"/>
    <x v="1990"/>
    <x v="9"/>
    <x v="590"/>
    <x v="13"/>
    <x v="2"/>
    <x v="4"/>
    <x v="221"/>
    <x v="13"/>
    <x v="5259"/>
    <x v="1"/>
  </r>
  <r>
    <x v="310"/>
    <x v="41"/>
    <x v="1990"/>
    <x v="9"/>
    <x v="590"/>
    <x v="13"/>
    <x v="2"/>
    <x v="4"/>
    <x v="221"/>
    <x v="13"/>
    <x v="5260"/>
    <x v="1"/>
  </r>
  <r>
    <x v="310"/>
    <x v="41"/>
    <x v="1990"/>
    <x v="9"/>
    <x v="590"/>
    <x v="13"/>
    <x v="2"/>
    <x v="4"/>
    <x v="221"/>
    <x v="13"/>
    <x v="5261"/>
    <x v="1"/>
  </r>
  <r>
    <x v="310"/>
    <x v="41"/>
    <x v="1990"/>
    <x v="9"/>
    <x v="590"/>
    <x v="13"/>
    <x v="2"/>
    <x v="4"/>
    <x v="221"/>
    <x v="13"/>
    <x v="5262"/>
    <x v="1"/>
  </r>
  <r>
    <x v="310"/>
    <x v="41"/>
    <x v="1990"/>
    <x v="9"/>
    <x v="590"/>
    <x v="13"/>
    <x v="2"/>
    <x v="4"/>
    <x v="221"/>
    <x v="13"/>
    <x v="5263"/>
    <x v="1"/>
  </r>
  <r>
    <x v="310"/>
    <x v="41"/>
    <x v="1990"/>
    <x v="9"/>
    <x v="590"/>
    <x v="13"/>
    <x v="2"/>
    <x v="4"/>
    <x v="221"/>
    <x v="13"/>
    <x v="5264"/>
    <x v="1"/>
  </r>
  <r>
    <x v="310"/>
    <x v="41"/>
    <x v="1990"/>
    <x v="9"/>
    <x v="590"/>
    <x v="13"/>
    <x v="2"/>
    <x v="4"/>
    <x v="221"/>
    <x v="13"/>
    <x v="5265"/>
    <x v="1"/>
  </r>
  <r>
    <x v="310"/>
    <x v="41"/>
    <x v="1990"/>
    <x v="9"/>
    <x v="590"/>
    <x v="13"/>
    <x v="2"/>
    <x v="4"/>
    <x v="221"/>
    <x v="13"/>
    <x v="5266"/>
    <x v="1"/>
  </r>
  <r>
    <x v="310"/>
    <x v="41"/>
    <x v="1990"/>
    <x v="9"/>
    <x v="590"/>
    <x v="13"/>
    <x v="2"/>
    <x v="4"/>
    <x v="221"/>
    <x v="13"/>
    <x v="5267"/>
    <x v="1"/>
  </r>
  <r>
    <x v="310"/>
    <x v="41"/>
    <x v="1990"/>
    <x v="9"/>
    <x v="590"/>
    <x v="13"/>
    <x v="2"/>
    <x v="4"/>
    <x v="221"/>
    <x v="13"/>
    <x v="5268"/>
    <x v="1"/>
  </r>
  <r>
    <x v="310"/>
    <x v="41"/>
    <x v="1990"/>
    <x v="9"/>
    <x v="590"/>
    <x v="13"/>
    <x v="2"/>
    <x v="4"/>
    <x v="221"/>
    <x v="13"/>
    <x v="5269"/>
    <x v="1"/>
  </r>
  <r>
    <x v="310"/>
    <x v="41"/>
    <x v="1990"/>
    <x v="9"/>
    <x v="590"/>
    <x v="13"/>
    <x v="2"/>
    <x v="4"/>
    <x v="221"/>
    <x v="13"/>
    <x v="5270"/>
    <x v="1"/>
  </r>
  <r>
    <x v="310"/>
    <x v="41"/>
    <x v="1990"/>
    <x v="9"/>
    <x v="590"/>
    <x v="13"/>
    <x v="2"/>
    <x v="4"/>
    <x v="221"/>
    <x v="13"/>
    <x v="5271"/>
    <x v="1"/>
  </r>
  <r>
    <x v="310"/>
    <x v="41"/>
    <x v="1990"/>
    <x v="9"/>
    <x v="590"/>
    <x v="13"/>
    <x v="2"/>
    <x v="4"/>
    <x v="221"/>
    <x v="13"/>
    <x v="5272"/>
    <x v="1"/>
  </r>
  <r>
    <x v="310"/>
    <x v="41"/>
    <x v="1990"/>
    <x v="9"/>
    <x v="590"/>
    <x v="13"/>
    <x v="2"/>
    <x v="4"/>
    <x v="221"/>
    <x v="13"/>
    <x v="5273"/>
    <x v="1"/>
  </r>
  <r>
    <x v="310"/>
    <x v="41"/>
    <x v="1990"/>
    <x v="9"/>
    <x v="590"/>
    <x v="13"/>
    <x v="2"/>
    <x v="4"/>
    <x v="221"/>
    <x v="13"/>
    <x v="5274"/>
    <x v="1"/>
  </r>
  <r>
    <x v="310"/>
    <x v="41"/>
    <x v="1990"/>
    <x v="9"/>
    <x v="590"/>
    <x v="13"/>
    <x v="2"/>
    <x v="4"/>
    <x v="221"/>
    <x v="13"/>
    <x v="5275"/>
    <x v="1"/>
  </r>
  <r>
    <x v="310"/>
    <x v="41"/>
    <x v="1990"/>
    <x v="9"/>
    <x v="590"/>
    <x v="13"/>
    <x v="2"/>
    <x v="4"/>
    <x v="221"/>
    <x v="13"/>
    <x v="5276"/>
    <x v="1"/>
  </r>
  <r>
    <x v="310"/>
    <x v="41"/>
    <x v="1990"/>
    <x v="9"/>
    <x v="590"/>
    <x v="13"/>
    <x v="2"/>
    <x v="4"/>
    <x v="221"/>
    <x v="13"/>
    <x v="5277"/>
    <x v="1"/>
  </r>
  <r>
    <x v="310"/>
    <x v="41"/>
    <x v="1990"/>
    <x v="9"/>
    <x v="590"/>
    <x v="13"/>
    <x v="2"/>
    <x v="4"/>
    <x v="221"/>
    <x v="13"/>
    <x v="5278"/>
    <x v="1"/>
  </r>
  <r>
    <x v="310"/>
    <x v="41"/>
    <x v="1990"/>
    <x v="9"/>
    <x v="590"/>
    <x v="13"/>
    <x v="2"/>
    <x v="4"/>
    <x v="221"/>
    <x v="13"/>
    <x v="5279"/>
    <x v="1"/>
  </r>
  <r>
    <x v="310"/>
    <x v="41"/>
    <x v="1990"/>
    <x v="9"/>
    <x v="590"/>
    <x v="13"/>
    <x v="2"/>
    <x v="4"/>
    <x v="221"/>
    <x v="13"/>
    <x v="5280"/>
    <x v="1"/>
  </r>
  <r>
    <x v="310"/>
    <x v="41"/>
    <x v="1990"/>
    <x v="9"/>
    <x v="590"/>
    <x v="13"/>
    <x v="2"/>
    <x v="4"/>
    <x v="221"/>
    <x v="13"/>
    <x v="5281"/>
    <x v="1"/>
  </r>
  <r>
    <x v="310"/>
    <x v="41"/>
    <x v="1990"/>
    <x v="9"/>
    <x v="590"/>
    <x v="13"/>
    <x v="2"/>
    <x v="4"/>
    <x v="221"/>
    <x v="13"/>
    <x v="5282"/>
    <x v="1"/>
  </r>
  <r>
    <x v="310"/>
    <x v="41"/>
    <x v="1990"/>
    <x v="9"/>
    <x v="590"/>
    <x v="13"/>
    <x v="2"/>
    <x v="4"/>
    <x v="221"/>
    <x v="13"/>
    <x v="5283"/>
    <x v="1"/>
  </r>
  <r>
    <x v="310"/>
    <x v="41"/>
    <x v="1990"/>
    <x v="9"/>
    <x v="590"/>
    <x v="13"/>
    <x v="2"/>
    <x v="4"/>
    <x v="221"/>
    <x v="13"/>
    <x v="5284"/>
    <x v="1"/>
  </r>
  <r>
    <x v="310"/>
    <x v="41"/>
    <x v="1990"/>
    <x v="9"/>
    <x v="590"/>
    <x v="13"/>
    <x v="2"/>
    <x v="4"/>
    <x v="221"/>
    <x v="13"/>
    <x v="5285"/>
    <x v="1"/>
  </r>
  <r>
    <x v="310"/>
    <x v="41"/>
    <x v="1990"/>
    <x v="9"/>
    <x v="590"/>
    <x v="13"/>
    <x v="2"/>
    <x v="4"/>
    <x v="221"/>
    <x v="13"/>
    <x v="5286"/>
    <x v="1"/>
  </r>
  <r>
    <x v="310"/>
    <x v="41"/>
    <x v="1990"/>
    <x v="9"/>
    <x v="590"/>
    <x v="13"/>
    <x v="2"/>
    <x v="4"/>
    <x v="221"/>
    <x v="13"/>
    <x v="5287"/>
    <x v="1"/>
  </r>
  <r>
    <x v="310"/>
    <x v="41"/>
    <x v="1990"/>
    <x v="9"/>
    <x v="590"/>
    <x v="13"/>
    <x v="2"/>
    <x v="4"/>
    <x v="221"/>
    <x v="13"/>
    <x v="5288"/>
    <x v="1"/>
  </r>
  <r>
    <x v="310"/>
    <x v="41"/>
    <x v="1990"/>
    <x v="9"/>
    <x v="590"/>
    <x v="13"/>
    <x v="2"/>
    <x v="4"/>
    <x v="221"/>
    <x v="13"/>
    <x v="5289"/>
    <x v="1"/>
  </r>
  <r>
    <x v="310"/>
    <x v="41"/>
    <x v="1990"/>
    <x v="9"/>
    <x v="590"/>
    <x v="13"/>
    <x v="2"/>
    <x v="4"/>
    <x v="221"/>
    <x v="13"/>
    <x v="5290"/>
    <x v="1"/>
  </r>
  <r>
    <x v="310"/>
    <x v="41"/>
    <x v="1990"/>
    <x v="9"/>
    <x v="590"/>
    <x v="13"/>
    <x v="2"/>
    <x v="4"/>
    <x v="221"/>
    <x v="13"/>
    <x v="5291"/>
    <x v="1"/>
  </r>
  <r>
    <x v="310"/>
    <x v="41"/>
    <x v="1990"/>
    <x v="9"/>
    <x v="590"/>
    <x v="13"/>
    <x v="2"/>
    <x v="4"/>
    <x v="221"/>
    <x v="13"/>
    <x v="5292"/>
    <x v="1"/>
  </r>
  <r>
    <x v="310"/>
    <x v="41"/>
    <x v="1990"/>
    <x v="9"/>
    <x v="590"/>
    <x v="13"/>
    <x v="2"/>
    <x v="4"/>
    <x v="221"/>
    <x v="13"/>
    <x v="5293"/>
    <x v="1"/>
  </r>
  <r>
    <x v="310"/>
    <x v="41"/>
    <x v="1990"/>
    <x v="9"/>
    <x v="590"/>
    <x v="13"/>
    <x v="2"/>
    <x v="4"/>
    <x v="221"/>
    <x v="13"/>
    <x v="5294"/>
    <x v="1"/>
  </r>
  <r>
    <x v="310"/>
    <x v="41"/>
    <x v="1990"/>
    <x v="9"/>
    <x v="590"/>
    <x v="13"/>
    <x v="2"/>
    <x v="4"/>
    <x v="221"/>
    <x v="13"/>
    <x v="5295"/>
    <x v="1"/>
  </r>
  <r>
    <x v="310"/>
    <x v="41"/>
    <x v="1990"/>
    <x v="9"/>
    <x v="590"/>
    <x v="13"/>
    <x v="2"/>
    <x v="4"/>
    <x v="221"/>
    <x v="13"/>
    <x v="5296"/>
    <x v="1"/>
  </r>
  <r>
    <x v="310"/>
    <x v="41"/>
    <x v="1990"/>
    <x v="9"/>
    <x v="590"/>
    <x v="13"/>
    <x v="2"/>
    <x v="4"/>
    <x v="221"/>
    <x v="13"/>
    <x v="5297"/>
    <x v="1"/>
  </r>
  <r>
    <x v="310"/>
    <x v="41"/>
    <x v="1990"/>
    <x v="9"/>
    <x v="590"/>
    <x v="13"/>
    <x v="2"/>
    <x v="4"/>
    <x v="221"/>
    <x v="13"/>
    <x v="5298"/>
    <x v="1"/>
  </r>
  <r>
    <x v="310"/>
    <x v="41"/>
    <x v="1990"/>
    <x v="9"/>
    <x v="590"/>
    <x v="13"/>
    <x v="2"/>
    <x v="4"/>
    <x v="221"/>
    <x v="13"/>
    <x v="5299"/>
    <x v="1"/>
  </r>
  <r>
    <x v="310"/>
    <x v="41"/>
    <x v="1990"/>
    <x v="9"/>
    <x v="590"/>
    <x v="13"/>
    <x v="2"/>
    <x v="4"/>
    <x v="221"/>
    <x v="13"/>
    <x v="5300"/>
    <x v="1"/>
  </r>
  <r>
    <x v="310"/>
    <x v="41"/>
    <x v="1990"/>
    <x v="9"/>
    <x v="590"/>
    <x v="13"/>
    <x v="2"/>
    <x v="4"/>
    <x v="221"/>
    <x v="13"/>
    <x v="5301"/>
    <x v="1"/>
  </r>
  <r>
    <x v="310"/>
    <x v="41"/>
    <x v="1990"/>
    <x v="9"/>
    <x v="590"/>
    <x v="13"/>
    <x v="2"/>
    <x v="4"/>
    <x v="221"/>
    <x v="13"/>
    <x v="5302"/>
    <x v="1"/>
  </r>
  <r>
    <x v="310"/>
    <x v="41"/>
    <x v="1990"/>
    <x v="9"/>
    <x v="590"/>
    <x v="13"/>
    <x v="2"/>
    <x v="4"/>
    <x v="221"/>
    <x v="13"/>
    <x v="5303"/>
    <x v="1"/>
  </r>
  <r>
    <x v="310"/>
    <x v="41"/>
    <x v="1990"/>
    <x v="9"/>
    <x v="590"/>
    <x v="13"/>
    <x v="2"/>
    <x v="4"/>
    <x v="221"/>
    <x v="13"/>
    <x v="5304"/>
    <x v="1"/>
  </r>
  <r>
    <x v="310"/>
    <x v="41"/>
    <x v="1990"/>
    <x v="9"/>
    <x v="590"/>
    <x v="13"/>
    <x v="2"/>
    <x v="4"/>
    <x v="221"/>
    <x v="13"/>
    <x v="5305"/>
    <x v="1"/>
  </r>
  <r>
    <x v="310"/>
    <x v="41"/>
    <x v="1990"/>
    <x v="9"/>
    <x v="590"/>
    <x v="13"/>
    <x v="2"/>
    <x v="4"/>
    <x v="221"/>
    <x v="13"/>
    <x v="5306"/>
    <x v="1"/>
  </r>
  <r>
    <x v="310"/>
    <x v="41"/>
    <x v="1990"/>
    <x v="9"/>
    <x v="590"/>
    <x v="13"/>
    <x v="2"/>
    <x v="4"/>
    <x v="221"/>
    <x v="13"/>
    <x v="5307"/>
    <x v="1"/>
  </r>
  <r>
    <x v="310"/>
    <x v="41"/>
    <x v="1990"/>
    <x v="9"/>
    <x v="590"/>
    <x v="13"/>
    <x v="2"/>
    <x v="4"/>
    <x v="221"/>
    <x v="13"/>
    <x v="5308"/>
    <x v="1"/>
  </r>
  <r>
    <x v="310"/>
    <x v="41"/>
    <x v="1990"/>
    <x v="9"/>
    <x v="590"/>
    <x v="13"/>
    <x v="2"/>
    <x v="4"/>
    <x v="221"/>
    <x v="13"/>
    <x v="5309"/>
    <x v="1"/>
  </r>
  <r>
    <x v="310"/>
    <x v="41"/>
    <x v="1990"/>
    <x v="9"/>
    <x v="590"/>
    <x v="13"/>
    <x v="2"/>
    <x v="4"/>
    <x v="221"/>
    <x v="13"/>
    <x v="5310"/>
    <x v="1"/>
  </r>
  <r>
    <x v="310"/>
    <x v="41"/>
    <x v="1990"/>
    <x v="9"/>
    <x v="590"/>
    <x v="13"/>
    <x v="2"/>
    <x v="4"/>
    <x v="221"/>
    <x v="13"/>
    <x v="5311"/>
    <x v="1"/>
  </r>
  <r>
    <x v="310"/>
    <x v="41"/>
    <x v="1990"/>
    <x v="9"/>
    <x v="590"/>
    <x v="13"/>
    <x v="2"/>
    <x v="4"/>
    <x v="221"/>
    <x v="13"/>
    <x v="5312"/>
    <x v="1"/>
  </r>
  <r>
    <x v="310"/>
    <x v="41"/>
    <x v="1990"/>
    <x v="9"/>
    <x v="590"/>
    <x v="13"/>
    <x v="2"/>
    <x v="4"/>
    <x v="221"/>
    <x v="13"/>
    <x v="5313"/>
    <x v="1"/>
  </r>
  <r>
    <x v="310"/>
    <x v="41"/>
    <x v="1990"/>
    <x v="9"/>
    <x v="590"/>
    <x v="13"/>
    <x v="2"/>
    <x v="4"/>
    <x v="221"/>
    <x v="13"/>
    <x v="5314"/>
    <x v="1"/>
  </r>
  <r>
    <x v="310"/>
    <x v="41"/>
    <x v="1990"/>
    <x v="9"/>
    <x v="590"/>
    <x v="13"/>
    <x v="2"/>
    <x v="4"/>
    <x v="221"/>
    <x v="13"/>
    <x v="5315"/>
    <x v="1"/>
  </r>
  <r>
    <x v="310"/>
    <x v="41"/>
    <x v="1990"/>
    <x v="9"/>
    <x v="590"/>
    <x v="13"/>
    <x v="2"/>
    <x v="4"/>
    <x v="221"/>
    <x v="13"/>
    <x v="5316"/>
    <x v="1"/>
  </r>
  <r>
    <x v="310"/>
    <x v="41"/>
    <x v="1990"/>
    <x v="9"/>
    <x v="590"/>
    <x v="13"/>
    <x v="2"/>
    <x v="4"/>
    <x v="221"/>
    <x v="13"/>
    <x v="5317"/>
    <x v="1"/>
  </r>
  <r>
    <x v="310"/>
    <x v="41"/>
    <x v="1990"/>
    <x v="9"/>
    <x v="590"/>
    <x v="13"/>
    <x v="2"/>
    <x v="4"/>
    <x v="221"/>
    <x v="13"/>
    <x v="5318"/>
    <x v="1"/>
  </r>
  <r>
    <x v="310"/>
    <x v="41"/>
    <x v="1990"/>
    <x v="9"/>
    <x v="590"/>
    <x v="13"/>
    <x v="2"/>
    <x v="4"/>
    <x v="221"/>
    <x v="13"/>
    <x v="5319"/>
    <x v="1"/>
  </r>
  <r>
    <x v="310"/>
    <x v="41"/>
    <x v="1990"/>
    <x v="9"/>
    <x v="590"/>
    <x v="13"/>
    <x v="2"/>
    <x v="4"/>
    <x v="221"/>
    <x v="13"/>
    <x v="5320"/>
    <x v="1"/>
  </r>
  <r>
    <x v="310"/>
    <x v="41"/>
    <x v="1990"/>
    <x v="9"/>
    <x v="590"/>
    <x v="13"/>
    <x v="2"/>
    <x v="4"/>
    <x v="221"/>
    <x v="13"/>
    <x v="5321"/>
    <x v="1"/>
  </r>
  <r>
    <x v="310"/>
    <x v="41"/>
    <x v="1990"/>
    <x v="9"/>
    <x v="590"/>
    <x v="13"/>
    <x v="2"/>
    <x v="4"/>
    <x v="221"/>
    <x v="13"/>
    <x v="5322"/>
    <x v="1"/>
  </r>
  <r>
    <x v="310"/>
    <x v="41"/>
    <x v="1990"/>
    <x v="9"/>
    <x v="590"/>
    <x v="13"/>
    <x v="2"/>
    <x v="4"/>
    <x v="221"/>
    <x v="13"/>
    <x v="5323"/>
    <x v="1"/>
  </r>
  <r>
    <x v="310"/>
    <x v="41"/>
    <x v="1990"/>
    <x v="9"/>
    <x v="590"/>
    <x v="13"/>
    <x v="2"/>
    <x v="4"/>
    <x v="221"/>
    <x v="13"/>
    <x v="5324"/>
    <x v="1"/>
  </r>
  <r>
    <x v="310"/>
    <x v="41"/>
    <x v="1990"/>
    <x v="9"/>
    <x v="590"/>
    <x v="13"/>
    <x v="2"/>
    <x v="4"/>
    <x v="221"/>
    <x v="13"/>
    <x v="5325"/>
    <x v="1"/>
  </r>
  <r>
    <x v="310"/>
    <x v="41"/>
    <x v="1990"/>
    <x v="9"/>
    <x v="590"/>
    <x v="13"/>
    <x v="2"/>
    <x v="4"/>
    <x v="221"/>
    <x v="13"/>
    <x v="5326"/>
    <x v="1"/>
  </r>
  <r>
    <x v="310"/>
    <x v="41"/>
    <x v="1990"/>
    <x v="9"/>
    <x v="590"/>
    <x v="13"/>
    <x v="2"/>
    <x v="4"/>
    <x v="221"/>
    <x v="13"/>
    <x v="5327"/>
    <x v="1"/>
  </r>
  <r>
    <x v="310"/>
    <x v="41"/>
    <x v="1990"/>
    <x v="9"/>
    <x v="590"/>
    <x v="13"/>
    <x v="2"/>
    <x v="4"/>
    <x v="221"/>
    <x v="13"/>
    <x v="5328"/>
    <x v="1"/>
  </r>
  <r>
    <x v="310"/>
    <x v="41"/>
    <x v="1990"/>
    <x v="9"/>
    <x v="590"/>
    <x v="13"/>
    <x v="2"/>
    <x v="4"/>
    <x v="221"/>
    <x v="13"/>
    <x v="5329"/>
    <x v="1"/>
  </r>
  <r>
    <x v="310"/>
    <x v="41"/>
    <x v="1990"/>
    <x v="9"/>
    <x v="590"/>
    <x v="13"/>
    <x v="2"/>
    <x v="4"/>
    <x v="221"/>
    <x v="13"/>
    <x v="5330"/>
    <x v="1"/>
  </r>
  <r>
    <x v="310"/>
    <x v="41"/>
    <x v="1990"/>
    <x v="9"/>
    <x v="590"/>
    <x v="13"/>
    <x v="2"/>
    <x v="4"/>
    <x v="221"/>
    <x v="13"/>
    <x v="5331"/>
    <x v="1"/>
  </r>
  <r>
    <x v="310"/>
    <x v="41"/>
    <x v="1990"/>
    <x v="9"/>
    <x v="590"/>
    <x v="13"/>
    <x v="2"/>
    <x v="4"/>
    <x v="221"/>
    <x v="13"/>
    <x v="5332"/>
    <x v="1"/>
  </r>
  <r>
    <x v="310"/>
    <x v="41"/>
    <x v="1990"/>
    <x v="9"/>
    <x v="590"/>
    <x v="13"/>
    <x v="2"/>
    <x v="4"/>
    <x v="221"/>
    <x v="13"/>
    <x v="5333"/>
    <x v="1"/>
  </r>
  <r>
    <x v="310"/>
    <x v="41"/>
    <x v="1990"/>
    <x v="9"/>
    <x v="590"/>
    <x v="13"/>
    <x v="2"/>
    <x v="4"/>
    <x v="221"/>
    <x v="13"/>
    <x v="5334"/>
    <x v="1"/>
  </r>
  <r>
    <x v="310"/>
    <x v="41"/>
    <x v="1990"/>
    <x v="9"/>
    <x v="590"/>
    <x v="13"/>
    <x v="2"/>
    <x v="4"/>
    <x v="221"/>
    <x v="13"/>
    <x v="5335"/>
    <x v="1"/>
  </r>
  <r>
    <x v="310"/>
    <x v="41"/>
    <x v="1990"/>
    <x v="9"/>
    <x v="590"/>
    <x v="13"/>
    <x v="2"/>
    <x v="4"/>
    <x v="221"/>
    <x v="13"/>
    <x v="5336"/>
    <x v="1"/>
  </r>
  <r>
    <x v="310"/>
    <x v="41"/>
    <x v="1990"/>
    <x v="9"/>
    <x v="590"/>
    <x v="13"/>
    <x v="2"/>
    <x v="4"/>
    <x v="221"/>
    <x v="13"/>
    <x v="5337"/>
    <x v="1"/>
  </r>
  <r>
    <x v="310"/>
    <x v="41"/>
    <x v="1990"/>
    <x v="9"/>
    <x v="590"/>
    <x v="13"/>
    <x v="2"/>
    <x v="4"/>
    <x v="221"/>
    <x v="13"/>
    <x v="5338"/>
    <x v="1"/>
  </r>
  <r>
    <x v="310"/>
    <x v="41"/>
    <x v="1990"/>
    <x v="9"/>
    <x v="590"/>
    <x v="13"/>
    <x v="2"/>
    <x v="4"/>
    <x v="221"/>
    <x v="13"/>
    <x v="5339"/>
    <x v="1"/>
  </r>
  <r>
    <x v="310"/>
    <x v="41"/>
    <x v="1990"/>
    <x v="9"/>
    <x v="590"/>
    <x v="13"/>
    <x v="2"/>
    <x v="4"/>
    <x v="221"/>
    <x v="13"/>
    <x v="5340"/>
    <x v="1"/>
  </r>
  <r>
    <x v="310"/>
    <x v="41"/>
    <x v="1990"/>
    <x v="9"/>
    <x v="590"/>
    <x v="13"/>
    <x v="2"/>
    <x v="4"/>
    <x v="221"/>
    <x v="13"/>
    <x v="5341"/>
    <x v="1"/>
  </r>
  <r>
    <x v="310"/>
    <x v="41"/>
    <x v="1990"/>
    <x v="9"/>
    <x v="590"/>
    <x v="13"/>
    <x v="2"/>
    <x v="4"/>
    <x v="221"/>
    <x v="13"/>
    <x v="5342"/>
    <x v="1"/>
  </r>
  <r>
    <x v="310"/>
    <x v="41"/>
    <x v="1990"/>
    <x v="9"/>
    <x v="590"/>
    <x v="13"/>
    <x v="2"/>
    <x v="4"/>
    <x v="221"/>
    <x v="13"/>
    <x v="5343"/>
    <x v="1"/>
  </r>
  <r>
    <x v="310"/>
    <x v="41"/>
    <x v="1990"/>
    <x v="9"/>
    <x v="590"/>
    <x v="13"/>
    <x v="2"/>
    <x v="4"/>
    <x v="221"/>
    <x v="13"/>
    <x v="5344"/>
    <x v="1"/>
  </r>
  <r>
    <x v="310"/>
    <x v="41"/>
    <x v="1990"/>
    <x v="9"/>
    <x v="590"/>
    <x v="13"/>
    <x v="2"/>
    <x v="4"/>
    <x v="221"/>
    <x v="13"/>
    <x v="5345"/>
    <x v="1"/>
  </r>
  <r>
    <x v="310"/>
    <x v="41"/>
    <x v="1990"/>
    <x v="9"/>
    <x v="590"/>
    <x v="13"/>
    <x v="2"/>
    <x v="4"/>
    <x v="221"/>
    <x v="13"/>
    <x v="5346"/>
    <x v="1"/>
  </r>
  <r>
    <x v="310"/>
    <x v="41"/>
    <x v="1990"/>
    <x v="9"/>
    <x v="590"/>
    <x v="13"/>
    <x v="2"/>
    <x v="4"/>
    <x v="221"/>
    <x v="13"/>
    <x v="5347"/>
    <x v="1"/>
  </r>
  <r>
    <x v="310"/>
    <x v="41"/>
    <x v="1990"/>
    <x v="9"/>
    <x v="590"/>
    <x v="13"/>
    <x v="2"/>
    <x v="4"/>
    <x v="221"/>
    <x v="13"/>
    <x v="5348"/>
    <x v="1"/>
  </r>
  <r>
    <x v="310"/>
    <x v="41"/>
    <x v="1990"/>
    <x v="9"/>
    <x v="590"/>
    <x v="13"/>
    <x v="2"/>
    <x v="4"/>
    <x v="221"/>
    <x v="13"/>
    <x v="5349"/>
    <x v="1"/>
  </r>
  <r>
    <x v="310"/>
    <x v="41"/>
    <x v="1990"/>
    <x v="9"/>
    <x v="590"/>
    <x v="13"/>
    <x v="2"/>
    <x v="4"/>
    <x v="221"/>
    <x v="13"/>
    <x v="5350"/>
    <x v="1"/>
  </r>
  <r>
    <x v="310"/>
    <x v="41"/>
    <x v="1990"/>
    <x v="9"/>
    <x v="590"/>
    <x v="13"/>
    <x v="2"/>
    <x v="4"/>
    <x v="221"/>
    <x v="13"/>
    <x v="5351"/>
    <x v="1"/>
  </r>
  <r>
    <x v="310"/>
    <x v="41"/>
    <x v="1990"/>
    <x v="9"/>
    <x v="590"/>
    <x v="13"/>
    <x v="2"/>
    <x v="4"/>
    <x v="221"/>
    <x v="13"/>
    <x v="5352"/>
    <x v="1"/>
  </r>
  <r>
    <x v="310"/>
    <x v="41"/>
    <x v="1990"/>
    <x v="9"/>
    <x v="590"/>
    <x v="13"/>
    <x v="2"/>
    <x v="4"/>
    <x v="221"/>
    <x v="13"/>
    <x v="5353"/>
    <x v="1"/>
  </r>
  <r>
    <x v="310"/>
    <x v="41"/>
    <x v="1990"/>
    <x v="9"/>
    <x v="590"/>
    <x v="13"/>
    <x v="2"/>
    <x v="4"/>
    <x v="221"/>
    <x v="13"/>
    <x v="5354"/>
    <x v="1"/>
  </r>
  <r>
    <x v="310"/>
    <x v="41"/>
    <x v="1990"/>
    <x v="9"/>
    <x v="590"/>
    <x v="13"/>
    <x v="2"/>
    <x v="4"/>
    <x v="221"/>
    <x v="13"/>
    <x v="5355"/>
    <x v="1"/>
  </r>
  <r>
    <x v="310"/>
    <x v="41"/>
    <x v="1990"/>
    <x v="9"/>
    <x v="590"/>
    <x v="13"/>
    <x v="2"/>
    <x v="4"/>
    <x v="221"/>
    <x v="13"/>
    <x v="5356"/>
    <x v="1"/>
  </r>
  <r>
    <x v="310"/>
    <x v="41"/>
    <x v="1990"/>
    <x v="9"/>
    <x v="590"/>
    <x v="13"/>
    <x v="2"/>
    <x v="4"/>
    <x v="221"/>
    <x v="13"/>
    <x v="5357"/>
    <x v="1"/>
  </r>
  <r>
    <x v="310"/>
    <x v="41"/>
    <x v="1990"/>
    <x v="9"/>
    <x v="590"/>
    <x v="13"/>
    <x v="2"/>
    <x v="4"/>
    <x v="221"/>
    <x v="13"/>
    <x v="5358"/>
    <x v="1"/>
  </r>
  <r>
    <x v="310"/>
    <x v="41"/>
    <x v="1990"/>
    <x v="9"/>
    <x v="590"/>
    <x v="13"/>
    <x v="2"/>
    <x v="4"/>
    <x v="221"/>
    <x v="13"/>
    <x v="5359"/>
    <x v="1"/>
  </r>
  <r>
    <x v="310"/>
    <x v="41"/>
    <x v="1990"/>
    <x v="9"/>
    <x v="590"/>
    <x v="13"/>
    <x v="2"/>
    <x v="4"/>
    <x v="221"/>
    <x v="13"/>
    <x v="5360"/>
    <x v="1"/>
  </r>
  <r>
    <x v="310"/>
    <x v="41"/>
    <x v="1990"/>
    <x v="9"/>
    <x v="590"/>
    <x v="13"/>
    <x v="2"/>
    <x v="4"/>
    <x v="221"/>
    <x v="13"/>
    <x v="5361"/>
    <x v="1"/>
  </r>
  <r>
    <x v="310"/>
    <x v="41"/>
    <x v="1990"/>
    <x v="9"/>
    <x v="590"/>
    <x v="13"/>
    <x v="2"/>
    <x v="4"/>
    <x v="221"/>
    <x v="13"/>
    <x v="5362"/>
    <x v="1"/>
  </r>
  <r>
    <x v="310"/>
    <x v="41"/>
    <x v="1990"/>
    <x v="9"/>
    <x v="590"/>
    <x v="13"/>
    <x v="2"/>
    <x v="4"/>
    <x v="221"/>
    <x v="13"/>
    <x v="5363"/>
    <x v="1"/>
  </r>
  <r>
    <x v="310"/>
    <x v="41"/>
    <x v="1990"/>
    <x v="9"/>
    <x v="590"/>
    <x v="13"/>
    <x v="2"/>
    <x v="4"/>
    <x v="221"/>
    <x v="13"/>
    <x v="5364"/>
    <x v="1"/>
  </r>
  <r>
    <x v="310"/>
    <x v="41"/>
    <x v="1990"/>
    <x v="9"/>
    <x v="590"/>
    <x v="13"/>
    <x v="2"/>
    <x v="4"/>
    <x v="221"/>
    <x v="13"/>
    <x v="5365"/>
    <x v="1"/>
  </r>
  <r>
    <x v="310"/>
    <x v="41"/>
    <x v="1990"/>
    <x v="9"/>
    <x v="590"/>
    <x v="13"/>
    <x v="2"/>
    <x v="4"/>
    <x v="221"/>
    <x v="13"/>
    <x v="5366"/>
    <x v="1"/>
  </r>
  <r>
    <x v="310"/>
    <x v="41"/>
    <x v="1990"/>
    <x v="9"/>
    <x v="590"/>
    <x v="13"/>
    <x v="2"/>
    <x v="4"/>
    <x v="221"/>
    <x v="13"/>
    <x v="5367"/>
    <x v="1"/>
  </r>
  <r>
    <x v="310"/>
    <x v="41"/>
    <x v="1990"/>
    <x v="9"/>
    <x v="590"/>
    <x v="13"/>
    <x v="2"/>
    <x v="4"/>
    <x v="221"/>
    <x v="13"/>
    <x v="5368"/>
    <x v="1"/>
  </r>
  <r>
    <x v="310"/>
    <x v="41"/>
    <x v="1990"/>
    <x v="9"/>
    <x v="590"/>
    <x v="13"/>
    <x v="2"/>
    <x v="4"/>
    <x v="221"/>
    <x v="13"/>
    <x v="5369"/>
    <x v="1"/>
  </r>
  <r>
    <x v="310"/>
    <x v="41"/>
    <x v="1990"/>
    <x v="9"/>
    <x v="590"/>
    <x v="13"/>
    <x v="2"/>
    <x v="4"/>
    <x v="221"/>
    <x v="13"/>
    <x v="5370"/>
    <x v="1"/>
  </r>
  <r>
    <x v="310"/>
    <x v="41"/>
    <x v="1990"/>
    <x v="9"/>
    <x v="590"/>
    <x v="13"/>
    <x v="2"/>
    <x v="4"/>
    <x v="221"/>
    <x v="13"/>
    <x v="5371"/>
    <x v="1"/>
  </r>
  <r>
    <x v="310"/>
    <x v="41"/>
    <x v="1990"/>
    <x v="9"/>
    <x v="590"/>
    <x v="13"/>
    <x v="2"/>
    <x v="4"/>
    <x v="221"/>
    <x v="13"/>
    <x v="5372"/>
    <x v="1"/>
  </r>
  <r>
    <x v="310"/>
    <x v="41"/>
    <x v="1990"/>
    <x v="9"/>
    <x v="590"/>
    <x v="13"/>
    <x v="2"/>
    <x v="4"/>
    <x v="221"/>
    <x v="13"/>
    <x v="5373"/>
    <x v="1"/>
  </r>
  <r>
    <x v="310"/>
    <x v="41"/>
    <x v="1990"/>
    <x v="9"/>
    <x v="590"/>
    <x v="13"/>
    <x v="2"/>
    <x v="4"/>
    <x v="221"/>
    <x v="13"/>
    <x v="5374"/>
    <x v="1"/>
  </r>
  <r>
    <x v="310"/>
    <x v="41"/>
    <x v="1990"/>
    <x v="9"/>
    <x v="590"/>
    <x v="13"/>
    <x v="2"/>
    <x v="4"/>
    <x v="221"/>
    <x v="13"/>
    <x v="5375"/>
    <x v="1"/>
  </r>
  <r>
    <x v="310"/>
    <x v="41"/>
    <x v="1990"/>
    <x v="9"/>
    <x v="590"/>
    <x v="13"/>
    <x v="2"/>
    <x v="4"/>
    <x v="221"/>
    <x v="13"/>
    <x v="5376"/>
    <x v="1"/>
  </r>
  <r>
    <x v="310"/>
    <x v="41"/>
    <x v="1990"/>
    <x v="9"/>
    <x v="590"/>
    <x v="13"/>
    <x v="2"/>
    <x v="4"/>
    <x v="221"/>
    <x v="13"/>
    <x v="5377"/>
    <x v="1"/>
  </r>
  <r>
    <x v="310"/>
    <x v="41"/>
    <x v="1990"/>
    <x v="9"/>
    <x v="590"/>
    <x v="13"/>
    <x v="2"/>
    <x v="4"/>
    <x v="221"/>
    <x v="13"/>
    <x v="5378"/>
    <x v="1"/>
  </r>
  <r>
    <x v="310"/>
    <x v="41"/>
    <x v="1990"/>
    <x v="9"/>
    <x v="590"/>
    <x v="13"/>
    <x v="2"/>
    <x v="4"/>
    <x v="221"/>
    <x v="13"/>
    <x v="5379"/>
    <x v="1"/>
  </r>
  <r>
    <x v="310"/>
    <x v="41"/>
    <x v="1990"/>
    <x v="9"/>
    <x v="590"/>
    <x v="13"/>
    <x v="2"/>
    <x v="4"/>
    <x v="221"/>
    <x v="13"/>
    <x v="5380"/>
    <x v="1"/>
  </r>
  <r>
    <x v="310"/>
    <x v="41"/>
    <x v="1990"/>
    <x v="9"/>
    <x v="590"/>
    <x v="13"/>
    <x v="2"/>
    <x v="4"/>
    <x v="221"/>
    <x v="13"/>
    <x v="5381"/>
    <x v="1"/>
  </r>
  <r>
    <x v="310"/>
    <x v="41"/>
    <x v="1990"/>
    <x v="9"/>
    <x v="590"/>
    <x v="13"/>
    <x v="2"/>
    <x v="4"/>
    <x v="221"/>
    <x v="13"/>
    <x v="5382"/>
    <x v="1"/>
  </r>
  <r>
    <x v="310"/>
    <x v="41"/>
    <x v="1990"/>
    <x v="9"/>
    <x v="590"/>
    <x v="13"/>
    <x v="2"/>
    <x v="4"/>
    <x v="221"/>
    <x v="13"/>
    <x v="5383"/>
    <x v="1"/>
  </r>
  <r>
    <x v="310"/>
    <x v="41"/>
    <x v="1990"/>
    <x v="9"/>
    <x v="590"/>
    <x v="13"/>
    <x v="2"/>
    <x v="4"/>
    <x v="221"/>
    <x v="13"/>
    <x v="5384"/>
    <x v="1"/>
  </r>
  <r>
    <x v="310"/>
    <x v="41"/>
    <x v="1990"/>
    <x v="9"/>
    <x v="590"/>
    <x v="13"/>
    <x v="2"/>
    <x v="4"/>
    <x v="221"/>
    <x v="13"/>
    <x v="5385"/>
    <x v="1"/>
  </r>
  <r>
    <x v="310"/>
    <x v="41"/>
    <x v="1990"/>
    <x v="9"/>
    <x v="590"/>
    <x v="13"/>
    <x v="2"/>
    <x v="4"/>
    <x v="221"/>
    <x v="13"/>
    <x v="5386"/>
    <x v="1"/>
  </r>
  <r>
    <x v="310"/>
    <x v="41"/>
    <x v="1990"/>
    <x v="9"/>
    <x v="590"/>
    <x v="13"/>
    <x v="2"/>
    <x v="4"/>
    <x v="221"/>
    <x v="13"/>
    <x v="5387"/>
    <x v="1"/>
  </r>
  <r>
    <x v="310"/>
    <x v="41"/>
    <x v="1990"/>
    <x v="9"/>
    <x v="590"/>
    <x v="13"/>
    <x v="2"/>
    <x v="4"/>
    <x v="221"/>
    <x v="13"/>
    <x v="5388"/>
    <x v="1"/>
  </r>
  <r>
    <x v="310"/>
    <x v="41"/>
    <x v="1990"/>
    <x v="9"/>
    <x v="590"/>
    <x v="13"/>
    <x v="2"/>
    <x v="4"/>
    <x v="221"/>
    <x v="13"/>
    <x v="5389"/>
    <x v="1"/>
  </r>
  <r>
    <x v="310"/>
    <x v="41"/>
    <x v="1990"/>
    <x v="9"/>
    <x v="590"/>
    <x v="13"/>
    <x v="2"/>
    <x v="4"/>
    <x v="221"/>
    <x v="13"/>
    <x v="5390"/>
    <x v="1"/>
  </r>
  <r>
    <x v="310"/>
    <x v="41"/>
    <x v="1990"/>
    <x v="9"/>
    <x v="590"/>
    <x v="13"/>
    <x v="2"/>
    <x v="4"/>
    <x v="221"/>
    <x v="13"/>
    <x v="5391"/>
    <x v="1"/>
  </r>
  <r>
    <x v="310"/>
    <x v="41"/>
    <x v="1990"/>
    <x v="9"/>
    <x v="590"/>
    <x v="13"/>
    <x v="2"/>
    <x v="4"/>
    <x v="221"/>
    <x v="13"/>
    <x v="5392"/>
    <x v="1"/>
  </r>
  <r>
    <x v="310"/>
    <x v="41"/>
    <x v="1990"/>
    <x v="9"/>
    <x v="590"/>
    <x v="13"/>
    <x v="2"/>
    <x v="4"/>
    <x v="221"/>
    <x v="13"/>
    <x v="5393"/>
    <x v="1"/>
  </r>
  <r>
    <x v="310"/>
    <x v="41"/>
    <x v="1990"/>
    <x v="9"/>
    <x v="590"/>
    <x v="13"/>
    <x v="2"/>
    <x v="4"/>
    <x v="221"/>
    <x v="13"/>
    <x v="5394"/>
    <x v="1"/>
  </r>
  <r>
    <x v="310"/>
    <x v="41"/>
    <x v="1990"/>
    <x v="9"/>
    <x v="590"/>
    <x v="13"/>
    <x v="2"/>
    <x v="4"/>
    <x v="221"/>
    <x v="13"/>
    <x v="5395"/>
    <x v="1"/>
  </r>
  <r>
    <x v="310"/>
    <x v="41"/>
    <x v="1990"/>
    <x v="9"/>
    <x v="590"/>
    <x v="13"/>
    <x v="2"/>
    <x v="4"/>
    <x v="221"/>
    <x v="13"/>
    <x v="5396"/>
    <x v="1"/>
  </r>
  <r>
    <x v="310"/>
    <x v="41"/>
    <x v="1990"/>
    <x v="9"/>
    <x v="590"/>
    <x v="13"/>
    <x v="2"/>
    <x v="4"/>
    <x v="221"/>
    <x v="13"/>
    <x v="5397"/>
    <x v="1"/>
  </r>
  <r>
    <x v="310"/>
    <x v="41"/>
    <x v="1990"/>
    <x v="9"/>
    <x v="590"/>
    <x v="13"/>
    <x v="2"/>
    <x v="4"/>
    <x v="221"/>
    <x v="13"/>
    <x v="5398"/>
    <x v="1"/>
  </r>
  <r>
    <x v="310"/>
    <x v="41"/>
    <x v="1990"/>
    <x v="9"/>
    <x v="590"/>
    <x v="13"/>
    <x v="2"/>
    <x v="4"/>
    <x v="221"/>
    <x v="13"/>
    <x v="5399"/>
    <x v="1"/>
  </r>
  <r>
    <x v="310"/>
    <x v="41"/>
    <x v="1990"/>
    <x v="9"/>
    <x v="590"/>
    <x v="13"/>
    <x v="2"/>
    <x v="4"/>
    <x v="221"/>
    <x v="13"/>
    <x v="5400"/>
    <x v="1"/>
  </r>
  <r>
    <x v="310"/>
    <x v="41"/>
    <x v="1990"/>
    <x v="9"/>
    <x v="590"/>
    <x v="13"/>
    <x v="2"/>
    <x v="4"/>
    <x v="221"/>
    <x v="13"/>
    <x v="5401"/>
    <x v="1"/>
  </r>
  <r>
    <x v="310"/>
    <x v="41"/>
    <x v="1990"/>
    <x v="9"/>
    <x v="590"/>
    <x v="13"/>
    <x v="2"/>
    <x v="4"/>
    <x v="221"/>
    <x v="13"/>
    <x v="5402"/>
    <x v="1"/>
  </r>
  <r>
    <x v="310"/>
    <x v="41"/>
    <x v="1990"/>
    <x v="9"/>
    <x v="590"/>
    <x v="13"/>
    <x v="2"/>
    <x v="4"/>
    <x v="221"/>
    <x v="13"/>
    <x v="5403"/>
    <x v="1"/>
  </r>
  <r>
    <x v="310"/>
    <x v="41"/>
    <x v="1990"/>
    <x v="9"/>
    <x v="590"/>
    <x v="13"/>
    <x v="2"/>
    <x v="4"/>
    <x v="221"/>
    <x v="13"/>
    <x v="5404"/>
    <x v="1"/>
  </r>
  <r>
    <x v="310"/>
    <x v="41"/>
    <x v="1990"/>
    <x v="9"/>
    <x v="590"/>
    <x v="13"/>
    <x v="2"/>
    <x v="4"/>
    <x v="221"/>
    <x v="13"/>
    <x v="5405"/>
    <x v="1"/>
  </r>
  <r>
    <x v="310"/>
    <x v="41"/>
    <x v="1990"/>
    <x v="9"/>
    <x v="590"/>
    <x v="13"/>
    <x v="2"/>
    <x v="4"/>
    <x v="221"/>
    <x v="13"/>
    <x v="5406"/>
    <x v="1"/>
  </r>
  <r>
    <x v="310"/>
    <x v="41"/>
    <x v="1990"/>
    <x v="9"/>
    <x v="590"/>
    <x v="13"/>
    <x v="2"/>
    <x v="4"/>
    <x v="221"/>
    <x v="13"/>
    <x v="5407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417">
  <r>
    <x v="0"/>
    <x v="17"/>
    <x v="1903"/>
    <x v="0"/>
    <x v="590"/>
    <x v="1"/>
    <x v="0"/>
    <x v="2"/>
    <x v="221"/>
    <x v="3"/>
  </r>
  <r>
    <x v="0"/>
    <x v="32"/>
    <x v="1902"/>
    <x v="7"/>
    <x v="590"/>
    <x v="1"/>
    <x v="2"/>
    <x v="4"/>
    <x v="221"/>
    <x v="10"/>
  </r>
  <r>
    <x v="0"/>
    <x v="9"/>
    <x v="1548"/>
    <x v="0"/>
    <x v="229"/>
    <x v="1"/>
    <x v="0"/>
    <x v="2"/>
    <x v="221"/>
    <x v="5"/>
  </r>
  <r>
    <x v="0"/>
    <x v="32"/>
    <x v="1464"/>
    <x v="3"/>
    <x v="590"/>
    <x v="1"/>
    <x v="2"/>
    <x v="4"/>
    <x v="221"/>
    <x v="10"/>
  </r>
  <r>
    <x v="0"/>
    <x v="20"/>
    <x v="1091"/>
    <x v="0"/>
    <x v="61"/>
    <x v="1"/>
    <x v="0"/>
    <x v="2"/>
    <x v="221"/>
    <x v="5"/>
  </r>
  <r>
    <x v="0"/>
    <x v="32"/>
    <x v="915"/>
    <x v="5"/>
    <x v="590"/>
    <x v="1"/>
    <x v="2"/>
    <x v="4"/>
    <x v="221"/>
    <x v="10"/>
  </r>
  <r>
    <x v="0"/>
    <x v="12"/>
    <x v="758"/>
    <x v="0"/>
    <x v="17"/>
    <x v="1"/>
    <x v="0"/>
    <x v="2"/>
    <x v="221"/>
    <x v="5"/>
  </r>
  <r>
    <x v="0"/>
    <x v="32"/>
    <x v="646"/>
    <x v="2"/>
    <x v="590"/>
    <x v="1"/>
    <x v="2"/>
    <x v="4"/>
    <x v="221"/>
    <x v="10"/>
  </r>
  <r>
    <x v="0"/>
    <x v="12"/>
    <x v="440"/>
    <x v="3"/>
    <x v="191"/>
    <x v="1"/>
    <x v="0"/>
    <x v="2"/>
    <x v="221"/>
    <x v="5"/>
  </r>
  <r>
    <x v="0"/>
    <x v="38"/>
    <x v="238"/>
    <x v="0"/>
    <x v="225"/>
    <x v="1"/>
    <x v="0"/>
    <x v="2"/>
    <x v="221"/>
    <x v="5"/>
  </r>
  <r>
    <x v="0"/>
    <x v="28"/>
    <x v="191"/>
    <x v="3"/>
    <x v="590"/>
    <x v="1"/>
    <x v="0"/>
    <x v="2"/>
    <x v="221"/>
    <x v="0"/>
  </r>
  <r>
    <x v="0"/>
    <x v="1"/>
    <x v="145"/>
    <x v="3"/>
    <x v="590"/>
    <x v="1"/>
    <x v="0"/>
    <x v="2"/>
    <x v="221"/>
    <x v="4"/>
  </r>
  <r>
    <x v="0"/>
    <x v="32"/>
    <x v="106"/>
    <x v="6"/>
    <x v="590"/>
    <x v="1"/>
    <x v="2"/>
    <x v="4"/>
    <x v="221"/>
    <x v="10"/>
  </r>
  <r>
    <x v="0"/>
    <x v="37"/>
    <x v="57"/>
    <x v="3"/>
    <x v="590"/>
    <x v="1"/>
    <x v="0"/>
    <x v="2"/>
    <x v="221"/>
    <x v="12"/>
  </r>
  <r>
    <x v="0"/>
    <x v="36"/>
    <x v="45"/>
    <x v="3"/>
    <x v="590"/>
    <x v="1"/>
    <x v="0"/>
    <x v="2"/>
    <x v="221"/>
    <x v="5"/>
  </r>
  <r>
    <x v="0"/>
    <x v="38"/>
    <x v="40"/>
    <x v="3"/>
    <x v="590"/>
    <x v="1"/>
    <x v="0"/>
    <x v="2"/>
    <x v="221"/>
    <x v="5"/>
  </r>
  <r>
    <x v="0"/>
    <x v="16"/>
    <x v="30"/>
    <x v="3"/>
    <x v="590"/>
    <x v="1"/>
    <x v="0"/>
    <x v="2"/>
    <x v="221"/>
    <x v="6"/>
  </r>
  <r>
    <x v="0"/>
    <x v="12"/>
    <x v="19"/>
    <x v="3"/>
    <x v="590"/>
    <x v="1"/>
    <x v="0"/>
    <x v="2"/>
    <x v="221"/>
    <x v="5"/>
  </r>
  <r>
    <x v="0"/>
    <x v="23"/>
    <x v="0"/>
    <x v="3"/>
    <x v="590"/>
    <x v="1"/>
    <x v="0"/>
    <x v="2"/>
    <x v="221"/>
    <x v="6"/>
  </r>
  <r>
    <x v="1"/>
    <x v="32"/>
    <x v="1720"/>
    <x v="7"/>
    <x v="590"/>
    <x v="1"/>
    <x v="2"/>
    <x v="4"/>
    <x v="221"/>
    <x v="10"/>
  </r>
  <r>
    <x v="1"/>
    <x v="9"/>
    <x v="1610"/>
    <x v="0"/>
    <x v="431"/>
    <x v="1"/>
    <x v="0"/>
    <x v="2"/>
    <x v="221"/>
    <x v="5"/>
  </r>
  <r>
    <x v="1"/>
    <x v="20"/>
    <x v="1023"/>
    <x v="0"/>
    <x v="590"/>
    <x v="1"/>
    <x v="0"/>
    <x v="2"/>
    <x v="221"/>
    <x v="5"/>
  </r>
  <r>
    <x v="1"/>
    <x v="32"/>
    <x v="990"/>
    <x v="3"/>
    <x v="590"/>
    <x v="1"/>
    <x v="2"/>
    <x v="4"/>
    <x v="221"/>
    <x v="10"/>
  </r>
  <r>
    <x v="1"/>
    <x v="12"/>
    <x v="711"/>
    <x v="0"/>
    <x v="376"/>
    <x v="1"/>
    <x v="0"/>
    <x v="2"/>
    <x v="221"/>
    <x v="5"/>
  </r>
  <r>
    <x v="1"/>
    <x v="27"/>
    <x v="709"/>
    <x v="3"/>
    <x v="401"/>
    <x v="1"/>
    <x v="0"/>
    <x v="2"/>
    <x v="221"/>
    <x v="5"/>
  </r>
  <r>
    <x v="1"/>
    <x v="38"/>
    <x v="363"/>
    <x v="0"/>
    <x v="590"/>
    <x v="1"/>
    <x v="0"/>
    <x v="2"/>
    <x v="221"/>
    <x v="5"/>
  </r>
  <r>
    <x v="1"/>
    <x v="32"/>
    <x v="236"/>
    <x v="5"/>
    <x v="331"/>
    <x v="1"/>
    <x v="2"/>
    <x v="4"/>
    <x v="221"/>
    <x v="10"/>
  </r>
  <r>
    <x v="1"/>
    <x v="24"/>
    <x v="158"/>
    <x v="3"/>
    <x v="590"/>
    <x v="1"/>
    <x v="0"/>
    <x v="2"/>
    <x v="221"/>
    <x v="6"/>
  </r>
  <r>
    <x v="1"/>
    <x v="1"/>
    <x v="69"/>
    <x v="3"/>
    <x v="590"/>
    <x v="1"/>
    <x v="0"/>
    <x v="2"/>
    <x v="221"/>
    <x v="4"/>
  </r>
  <r>
    <x v="1"/>
    <x v="37"/>
    <x v="53"/>
    <x v="3"/>
    <x v="229"/>
    <x v="1"/>
    <x v="0"/>
    <x v="2"/>
    <x v="221"/>
    <x v="12"/>
  </r>
  <r>
    <x v="2"/>
    <x v="32"/>
    <x v="1912"/>
    <x v="7"/>
    <x v="61"/>
    <x v="1"/>
    <x v="2"/>
    <x v="4"/>
    <x v="221"/>
    <x v="10"/>
  </r>
  <r>
    <x v="2"/>
    <x v="0"/>
    <x v="1714"/>
    <x v="1"/>
    <x v="590"/>
    <x v="1"/>
    <x v="0"/>
    <x v="2"/>
    <x v="221"/>
    <x v="9"/>
  </r>
  <r>
    <x v="2"/>
    <x v="9"/>
    <x v="1390"/>
    <x v="0"/>
    <x v="17"/>
    <x v="1"/>
    <x v="0"/>
    <x v="2"/>
    <x v="221"/>
    <x v="5"/>
  </r>
  <r>
    <x v="2"/>
    <x v="20"/>
    <x v="1345"/>
    <x v="0"/>
    <x v="5"/>
    <x v="1"/>
    <x v="0"/>
    <x v="2"/>
    <x v="221"/>
    <x v="5"/>
  </r>
  <r>
    <x v="2"/>
    <x v="32"/>
    <x v="1182"/>
    <x v="3"/>
    <x v="590"/>
    <x v="1"/>
    <x v="2"/>
    <x v="4"/>
    <x v="221"/>
    <x v="10"/>
  </r>
  <r>
    <x v="2"/>
    <x v="12"/>
    <x v="618"/>
    <x v="0"/>
    <x v="17"/>
    <x v="1"/>
    <x v="0"/>
    <x v="2"/>
    <x v="221"/>
    <x v="5"/>
  </r>
  <r>
    <x v="2"/>
    <x v="32"/>
    <x v="533"/>
    <x v="5"/>
    <x v="590"/>
    <x v="1"/>
    <x v="2"/>
    <x v="4"/>
    <x v="221"/>
    <x v="10"/>
  </r>
  <r>
    <x v="2"/>
    <x v="8"/>
    <x v="449"/>
    <x v="0"/>
    <x v="242"/>
    <x v="1"/>
    <x v="0"/>
    <x v="2"/>
    <x v="221"/>
    <x v="5"/>
  </r>
  <r>
    <x v="2"/>
    <x v="38"/>
    <x v="305"/>
    <x v="0"/>
    <x v="590"/>
    <x v="1"/>
    <x v="0"/>
    <x v="2"/>
    <x v="221"/>
    <x v="5"/>
  </r>
  <r>
    <x v="2"/>
    <x v="32"/>
    <x v="287"/>
    <x v="6"/>
    <x v="590"/>
    <x v="1"/>
    <x v="2"/>
    <x v="4"/>
    <x v="221"/>
    <x v="10"/>
  </r>
  <r>
    <x v="2"/>
    <x v="24"/>
    <x v="158"/>
    <x v="3"/>
    <x v="489"/>
    <x v="1"/>
    <x v="0"/>
    <x v="2"/>
    <x v="221"/>
    <x v="6"/>
  </r>
  <r>
    <x v="2"/>
    <x v="32"/>
    <x v="112"/>
    <x v="2"/>
    <x v="590"/>
    <x v="1"/>
    <x v="2"/>
    <x v="4"/>
    <x v="221"/>
    <x v="10"/>
  </r>
  <r>
    <x v="2"/>
    <x v="37"/>
    <x v="45"/>
    <x v="3"/>
    <x v="590"/>
    <x v="1"/>
    <x v="0"/>
    <x v="2"/>
    <x v="221"/>
    <x v="12"/>
  </r>
  <r>
    <x v="2"/>
    <x v="23"/>
    <x v="25"/>
    <x v="3"/>
    <x v="590"/>
    <x v="1"/>
    <x v="0"/>
    <x v="2"/>
    <x v="221"/>
    <x v="6"/>
  </r>
  <r>
    <x v="3"/>
    <x v="32"/>
    <x v="1968"/>
    <x v="7"/>
    <x v="590"/>
    <x v="1"/>
    <x v="2"/>
    <x v="4"/>
    <x v="221"/>
    <x v="10"/>
  </r>
  <r>
    <x v="3"/>
    <x v="19"/>
    <x v="1673"/>
    <x v="0"/>
    <x v="590"/>
    <x v="1"/>
    <x v="0"/>
    <x v="2"/>
    <x v="221"/>
    <x v="3"/>
  </r>
  <r>
    <x v="3"/>
    <x v="32"/>
    <x v="1550"/>
    <x v="3"/>
    <x v="590"/>
    <x v="1"/>
    <x v="2"/>
    <x v="4"/>
    <x v="221"/>
    <x v="10"/>
  </r>
  <r>
    <x v="3"/>
    <x v="32"/>
    <x v="1257"/>
    <x v="5"/>
    <x v="590"/>
    <x v="1"/>
    <x v="2"/>
    <x v="4"/>
    <x v="221"/>
    <x v="10"/>
  </r>
  <r>
    <x v="3"/>
    <x v="32"/>
    <x v="1246"/>
    <x v="6"/>
    <x v="590"/>
    <x v="1"/>
    <x v="2"/>
    <x v="4"/>
    <x v="221"/>
    <x v="10"/>
  </r>
  <r>
    <x v="3"/>
    <x v="20"/>
    <x v="1239"/>
    <x v="0"/>
    <x v="61"/>
    <x v="1"/>
    <x v="0"/>
    <x v="2"/>
    <x v="221"/>
    <x v="5"/>
  </r>
  <r>
    <x v="3"/>
    <x v="13"/>
    <x v="1168"/>
    <x v="0"/>
    <x v="33"/>
    <x v="1"/>
    <x v="0"/>
    <x v="2"/>
    <x v="221"/>
    <x v="5"/>
  </r>
  <r>
    <x v="3"/>
    <x v="9"/>
    <x v="847"/>
    <x v="0"/>
    <x v="229"/>
    <x v="1"/>
    <x v="0"/>
    <x v="2"/>
    <x v="221"/>
    <x v="5"/>
  </r>
  <r>
    <x v="3"/>
    <x v="3"/>
    <x v="804"/>
    <x v="3"/>
    <x v="153"/>
    <x v="1"/>
    <x v="0"/>
    <x v="2"/>
    <x v="221"/>
    <x v="4"/>
  </r>
  <r>
    <x v="3"/>
    <x v="12"/>
    <x v="640"/>
    <x v="0"/>
    <x v="590"/>
    <x v="1"/>
    <x v="0"/>
    <x v="2"/>
    <x v="221"/>
    <x v="5"/>
  </r>
  <r>
    <x v="3"/>
    <x v="3"/>
    <x v="599"/>
    <x v="3"/>
    <x v="579"/>
    <x v="1"/>
    <x v="0"/>
    <x v="2"/>
    <x v="221"/>
    <x v="4"/>
  </r>
  <r>
    <x v="3"/>
    <x v="16"/>
    <x v="336"/>
    <x v="3"/>
    <x v="590"/>
    <x v="1"/>
    <x v="0"/>
    <x v="2"/>
    <x v="221"/>
    <x v="6"/>
  </r>
  <r>
    <x v="3"/>
    <x v="38"/>
    <x v="299"/>
    <x v="0"/>
    <x v="590"/>
    <x v="1"/>
    <x v="0"/>
    <x v="2"/>
    <x v="221"/>
    <x v="5"/>
  </r>
  <r>
    <x v="3"/>
    <x v="31"/>
    <x v="87"/>
    <x v="3"/>
    <x v="337"/>
    <x v="1"/>
    <x v="0"/>
    <x v="2"/>
    <x v="221"/>
    <x v="8"/>
  </r>
  <r>
    <x v="3"/>
    <x v="37"/>
    <x v="54"/>
    <x v="3"/>
    <x v="590"/>
    <x v="1"/>
    <x v="0"/>
    <x v="2"/>
    <x v="221"/>
    <x v="12"/>
  </r>
  <r>
    <x v="3"/>
    <x v="12"/>
    <x v="25"/>
    <x v="3"/>
    <x v="331"/>
    <x v="1"/>
    <x v="0"/>
    <x v="2"/>
    <x v="221"/>
    <x v="5"/>
  </r>
  <r>
    <x v="4"/>
    <x v="32"/>
    <x v="1984"/>
    <x v="7"/>
    <x v="590"/>
    <x v="1"/>
    <x v="2"/>
    <x v="4"/>
    <x v="221"/>
    <x v="10"/>
  </r>
  <r>
    <x v="4"/>
    <x v="9"/>
    <x v="1661"/>
    <x v="0"/>
    <x v="590"/>
    <x v="1"/>
    <x v="0"/>
    <x v="2"/>
    <x v="221"/>
    <x v="5"/>
  </r>
  <r>
    <x v="4"/>
    <x v="32"/>
    <x v="1347"/>
    <x v="3"/>
    <x v="590"/>
    <x v="1"/>
    <x v="2"/>
    <x v="4"/>
    <x v="221"/>
    <x v="10"/>
  </r>
  <r>
    <x v="4"/>
    <x v="20"/>
    <x v="1146"/>
    <x v="0"/>
    <x v="590"/>
    <x v="1"/>
    <x v="0"/>
    <x v="2"/>
    <x v="221"/>
    <x v="5"/>
  </r>
  <r>
    <x v="4"/>
    <x v="0"/>
    <x v="1059"/>
    <x v="1"/>
    <x v="180"/>
    <x v="1"/>
    <x v="0"/>
    <x v="2"/>
    <x v="221"/>
    <x v="9"/>
  </r>
  <r>
    <x v="4"/>
    <x v="12"/>
    <x v="1011"/>
    <x v="0"/>
    <x v="590"/>
    <x v="1"/>
    <x v="0"/>
    <x v="2"/>
    <x v="221"/>
    <x v="5"/>
  </r>
  <r>
    <x v="4"/>
    <x v="32"/>
    <x v="774"/>
    <x v="5"/>
    <x v="590"/>
    <x v="1"/>
    <x v="2"/>
    <x v="4"/>
    <x v="221"/>
    <x v="10"/>
  </r>
  <r>
    <x v="4"/>
    <x v="32"/>
    <x v="760"/>
    <x v="2"/>
    <x v="590"/>
    <x v="1"/>
    <x v="2"/>
    <x v="4"/>
    <x v="221"/>
    <x v="10"/>
  </r>
  <r>
    <x v="4"/>
    <x v="12"/>
    <x v="561"/>
    <x v="3"/>
    <x v="191"/>
    <x v="1"/>
    <x v="0"/>
    <x v="2"/>
    <x v="221"/>
    <x v="5"/>
  </r>
  <r>
    <x v="4"/>
    <x v="32"/>
    <x v="495"/>
    <x v="8"/>
    <x v="590"/>
    <x v="1"/>
    <x v="2"/>
    <x v="4"/>
    <x v="221"/>
    <x v="10"/>
  </r>
  <r>
    <x v="4"/>
    <x v="38"/>
    <x v="347"/>
    <x v="0"/>
    <x v="590"/>
    <x v="1"/>
    <x v="0"/>
    <x v="2"/>
    <x v="221"/>
    <x v="5"/>
  </r>
  <r>
    <x v="4"/>
    <x v="1"/>
    <x v="246"/>
    <x v="3"/>
    <x v="431"/>
    <x v="1"/>
    <x v="0"/>
    <x v="2"/>
    <x v="221"/>
    <x v="4"/>
  </r>
  <r>
    <x v="4"/>
    <x v="26"/>
    <x v="205"/>
    <x v="3"/>
    <x v="590"/>
    <x v="1"/>
    <x v="0"/>
    <x v="2"/>
    <x v="221"/>
    <x v="5"/>
  </r>
  <r>
    <x v="4"/>
    <x v="32"/>
    <x v="143"/>
    <x v="6"/>
    <x v="590"/>
    <x v="1"/>
    <x v="2"/>
    <x v="4"/>
    <x v="221"/>
    <x v="10"/>
  </r>
  <r>
    <x v="4"/>
    <x v="16"/>
    <x v="80"/>
    <x v="3"/>
    <x v="590"/>
    <x v="1"/>
    <x v="0"/>
    <x v="2"/>
    <x v="221"/>
    <x v="6"/>
  </r>
  <r>
    <x v="4"/>
    <x v="37"/>
    <x v="43"/>
    <x v="3"/>
    <x v="590"/>
    <x v="1"/>
    <x v="0"/>
    <x v="2"/>
    <x v="221"/>
    <x v="12"/>
  </r>
  <r>
    <x v="4"/>
    <x v="3"/>
    <x v="25"/>
    <x v="3"/>
    <x v="506"/>
    <x v="1"/>
    <x v="0"/>
    <x v="2"/>
    <x v="221"/>
    <x v="4"/>
  </r>
  <r>
    <x v="4"/>
    <x v="12"/>
    <x v="25"/>
    <x v="3"/>
    <x v="331"/>
    <x v="1"/>
    <x v="0"/>
    <x v="2"/>
    <x v="221"/>
    <x v="5"/>
  </r>
  <r>
    <x v="5"/>
    <x v="32"/>
    <x v="1838"/>
    <x v="7"/>
    <x v="590"/>
    <x v="1"/>
    <x v="2"/>
    <x v="4"/>
    <x v="221"/>
    <x v="10"/>
  </r>
  <r>
    <x v="5"/>
    <x v="9"/>
    <x v="1352"/>
    <x v="0"/>
    <x v="590"/>
    <x v="1"/>
    <x v="0"/>
    <x v="2"/>
    <x v="221"/>
    <x v="5"/>
  </r>
  <r>
    <x v="5"/>
    <x v="32"/>
    <x v="1023"/>
    <x v="3"/>
    <x v="590"/>
    <x v="1"/>
    <x v="2"/>
    <x v="4"/>
    <x v="221"/>
    <x v="10"/>
  </r>
  <r>
    <x v="5"/>
    <x v="32"/>
    <x v="719"/>
    <x v="2"/>
    <x v="590"/>
    <x v="1"/>
    <x v="2"/>
    <x v="4"/>
    <x v="221"/>
    <x v="10"/>
  </r>
  <r>
    <x v="5"/>
    <x v="12"/>
    <x v="572"/>
    <x v="0"/>
    <x v="590"/>
    <x v="1"/>
    <x v="0"/>
    <x v="2"/>
    <x v="221"/>
    <x v="5"/>
  </r>
  <r>
    <x v="5"/>
    <x v="8"/>
    <x v="449"/>
    <x v="0"/>
    <x v="590"/>
    <x v="1"/>
    <x v="0"/>
    <x v="2"/>
    <x v="221"/>
    <x v="5"/>
  </r>
  <r>
    <x v="5"/>
    <x v="32"/>
    <x v="412"/>
    <x v="8"/>
    <x v="590"/>
    <x v="1"/>
    <x v="2"/>
    <x v="4"/>
    <x v="221"/>
    <x v="10"/>
  </r>
  <r>
    <x v="5"/>
    <x v="32"/>
    <x v="367"/>
    <x v="5"/>
    <x v="590"/>
    <x v="1"/>
    <x v="2"/>
    <x v="4"/>
    <x v="221"/>
    <x v="10"/>
  </r>
  <r>
    <x v="5"/>
    <x v="12"/>
    <x v="343"/>
    <x v="3"/>
    <x v="510"/>
    <x v="1"/>
    <x v="0"/>
    <x v="2"/>
    <x v="221"/>
    <x v="5"/>
  </r>
  <r>
    <x v="5"/>
    <x v="32"/>
    <x v="325"/>
    <x v="6"/>
    <x v="590"/>
    <x v="1"/>
    <x v="2"/>
    <x v="4"/>
    <x v="221"/>
    <x v="10"/>
  </r>
  <r>
    <x v="5"/>
    <x v="38"/>
    <x v="274"/>
    <x v="0"/>
    <x v="590"/>
    <x v="1"/>
    <x v="0"/>
    <x v="2"/>
    <x v="221"/>
    <x v="5"/>
  </r>
  <r>
    <x v="5"/>
    <x v="10"/>
    <x v="224"/>
    <x v="3"/>
    <x v="121"/>
    <x v="1"/>
    <x v="0"/>
    <x v="2"/>
    <x v="221"/>
    <x v="6"/>
  </r>
  <r>
    <x v="5"/>
    <x v="37"/>
    <x v="55"/>
    <x v="3"/>
    <x v="590"/>
    <x v="1"/>
    <x v="0"/>
    <x v="2"/>
    <x v="221"/>
    <x v="12"/>
  </r>
  <r>
    <x v="5"/>
    <x v="38"/>
    <x v="22"/>
    <x v="3"/>
    <x v="334"/>
    <x v="1"/>
    <x v="0"/>
    <x v="2"/>
    <x v="221"/>
    <x v="5"/>
  </r>
  <r>
    <x v="5"/>
    <x v="23"/>
    <x v="19"/>
    <x v="3"/>
    <x v="590"/>
    <x v="1"/>
    <x v="0"/>
    <x v="2"/>
    <x v="221"/>
    <x v="6"/>
  </r>
  <r>
    <x v="6"/>
    <x v="32"/>
    <x v="1784"/>
    <x v="7"/>
    <x v="590"/>
    <x v="1"/>
    <x v="2"/>
    <x v="4"/>
    <x v="221"/>
    <x v="10"/>
  </r>
  <r>
    <x v="6"/>
    <x v="20"/>
    <x v="1457"/>
    <x v="0"/>
    <x v="590"/>
    <x v="1"/>
    <x v="0"/>
    <x v="2"/>
    <x v="221"/>
    <x v="5"/>
  </r>
  <r>
    <x v="6"/>
    <x v="9"/>
    <x v="1384"/>
    <x v="0"/>
    <x v="590"/>
    <x v="1"/>
    <x v="0"/>
    <x v="2"/>
    <x v="221"/>
    <x v="5"/>
  </r>
  <r>
    <x v="6"/>
    <x v="32"/>
    <x v="992"/>
    <x v="3"/>
    <x v="590"/>
    <x v="1"/>
    <x v="2"/>
    <x v="4"/>
    <x v="221"/>
    <x v="10"/>
  </r>
  <r>
    <x v="6"/>
    <x v="32"/>
    <x v="744"/>
    <x v="2"/>
    <x v="590"/>
    <x v="1"/>
    <x v="2"/>
    <x v="4"/>
    <x v="221"/>
    <x v="10"/>
  </r>
  <r>
    <x v="6"/>
    <x v="12"/>
    <x v="731"/>
    <x v="0"/>
    <x v="590"/>
    <x v="1"/>
    <x v="0"/>
    <x v="2"/>
    <x v="221"/>
    <x v="5"/>
  </r>
  <r>
    <x v="6"/>
    <x v="12"/>
    <x v="427"/>
    <x v="3"/>
    <x v="191"/>
    <x v="1"/>
    <x v="0"/>
    <x v="2"/>
    <x v="221"/>
    <x v="5"/>
  </r>
  <r>
    <x v="6"/>
    <x v="32"/>
    <x v="319"/>
    <x v="5"/>
    <x v="590"/>
    <x v="1"/>
    <x v="2"/>
    <x v="4"/>
    <x v="221"/>
    <x v="10"/>
  </r>
  <r>
    <x v="6"/>
    <x v="32"/>
    <x v="308"/>
    <x v="8"/>
    <x v="590"/>
    <x v="1"/>
    <x v="2"/>
    <x v="4"/>
    <x v="221"/>
    <x v="10"/>
  </r>
  <r>
    <x v="6"/>
    <x v="38"/>
    <x v="270"/>
    <x v="0"/>
    <x v="590"/>
    <x v="1"/>
    <x v="0"/>
    <x v="2"/>
    <x v="221"/>
    <x v="5"/>
  </r>
  <r>
    <x v="6"/>
    <x v="31"/>
    <x v="158"/>
    <x v="3"/>
    <x v="590"/>
    <x v="1"/>
    <x v="0"/>
    <x v="2"/>
    <x v="221"/>
    <x v="8"/>
  </r>
  <r>
    <x v="6"/>
    <x v="37"/>
    <x v="45"/>
    <x v="3"/>
    <x v="590"/>
    <x v="1"/>
    <x v="0"/>
    <x v="2"/>
    <x v="221"/>
    <x v="12"/>
  </r>
  <r>
    <x v="6"/>
    <x v="3"/>
    <x v="25"/>
    <x v="3"/>
    <x v="506"/>
    <x v="1"/>
    <x v="0"/>
    <x v="2"/>
    <x v="221"/>
    <x v="4"/>
  </r>
  <r>
    <x v="6"/>
    <x v="23"/>
    <x v="13"/>
    <x v="3"/>
    <x v="590"/>
    <x v="1"/>
    <x v="0"/>
    <x v="2"/>
    <x v="221"/>
    <x v="6"/>
  </r>
  <r>
    <x v="7"/>
    <x v="32"/>
    <x v="1698"/>
    <x v="7"/>
    <x v="590"/>
    <x v="1"/>
    <x v="2"/>
    <x v="4"/>
    <x v="221"/>
    <x v="10"/>
  </r>
  <r>
    <x v="7"/>
    <x v="31"/>
    <x v="1634"/>
    <x v="0"/>
    <x v="590"/>
    <x v="1"/>
    <x v="0"/>
    <x v="2"/>
    <x v="221"/>
    <x v="8"/>
  </r>
  <r>
    <x v="7"/>
    <x v="32"/>
    <x v="1188"/>
    <x v="6"/>
    <x v="590"/>
    <x v="1"/>
    <x v="2"/>
    <x v="4"/>
    <x v="221"/>
    <x v="10"/>
  </r>
  <r>
    <x v="7"/>
    <x v="32"/>
    <x v="1062"/>
    <x v="3"/>
    <x v="590"/>
    <x v="1"/>
    <x v="2"/>
    <x v="4"/>
    <x v="221"/>
    <x v="10"/>
  </r>
  <r>
    <x v="7"/>
    <x v="32"/>
    <x v="808"/>
    <x v="5"/>
    <x v="590"/>
    <x v="1"/>
    <x v="2"/>
    <x v="4"/>
    <x v="221"/>
    <x v="10"/>
  </r>
  <r>
    <x v="7"/>
    <x v="8"/>
    <x v="779"/>
    <x v="0"/>
    <x v="590"/>
    <x v="1"/>
    <x v="0"/>
    <x v="2"/>
    <x v="221"/>
    <x v="5"/>
  </r>
  <r>
    <x v="7"/>
    <x v="3"/>
    <x v="599"/>
    <x v="3"/>
    <x v="153"/>
    <x v="1"/>
    <x v="0"/>
    <x v="2"/>
    <x v="221"/>
    <x v="4"/>
  </r>
  <r>
    <x v="7"/>
    <x v="3"/>
    <x v="599"/>
    <x v="3"/>
    <x v="579"/>
    <x v="1"/>
    <x v="0"/>
    <x v="2"/>
    <x v="221"/>
    <x v="4"/>
  </r>
  <r>
    <x v="7"/>
    <x v="38"/>
    <x v="236"/>
    <x v="0"/>
    <x v="590"/>
    <x v="1"/>
    <x v="0"/>
    <x v="2"/>
    <x v="221"/>
    <x v="5"/>
  </r>
  <r>
    <x v="7"/>
    <x v="37"/>
    <x v="90"/>
    <x v="3"/>
    <x v="590"/>
    <x v="1"/>
    <x v="0"/>
    <x v="2"/>
    <x v="221"/>
    <x v="12"/>
  </r>
  <r>
    <x v="7"/>
    <x v="12"/>
    <x v="88"/>
    <x v="0"/>
    <x v="590"/>
    <x v="1"/>
    <x v="0"/>
    <x v="2"/>
    <x v="221"/>
    <x v="5"/>
  </r>
  <r>
    <x v="7"/>
    <x v="28"/>
    <x v="45"/>
    <x v="1"/>
    <x v="590"/>
    <x v="1"/>
    <x v="0"/>
    <x v="2"/>
    <x v="221"/>
    <x v="0"/>
  </r>
  <r>
    <x v="7"/>
    <x v="38"/>
    <x v="19"/>
    <x v="3"/>
    <x v="334"/>
    <x v="1"/>
    <x v="0"/>
    <x v="2"/>
    <x v="221"/>
    <x v="5"/>
  </r>
  <r>
    <x v="7"/>
    <x v="23"/>
    <x v="12"/>
    <x v="3"/>
    <x v="590"/>
    <x v="1"/>
    <x v="0"/>
    <x v="2"/>
    <x v="221"/>
    <x v="6"/>
  </r>
  <r>
    <x v="8"/>
    <x v="32"/>
    <x v="1752"/>
    <x v="7"/>
    <x v="590"/>
    <x v="1"/>
    <x v="2"/>
    <x v="4"/>
    <x v="221"/>
    <x v="10"/>
  </r>
  <r>
    <x v="8"/>
    <x v="30"/>
    <x v="1662"/>
    <x v="0"/>
    <x v="590"/>
    <x v="1"/>
    <x v="0"/>
    <x v="2"/>
    <x v="221"/>
    <x v="3"/>
  </r>
  <r>
    <x v="8"/>
    <x v="9"/>
    <x v="1585"/>
    <x v="0"/>
    <x v="590"/>
    <x v="1"/>
    <x v="0"/>
    <x v="2"/>
    <x v="221"/>
    <x v="5"/>
  </r>
  <r>
    <x v="8"/>
    <x v="20"/>
    <x v="1194"/>
    <x v="0"/>
    <x v="590"/>
    <x v="1"/>
    <x v="0"/>
    <x v="2"/>
    <x v="221"/>
    <x v="5"/>
  </r>
  <r>
    <x v="8"/>
    <x v="32"/>
    <x v="1125"/>
    <x v="6"/>
    <x v="590"/>
    <x v="1"/>
    <x v="2"/>
    <x v="4"/>
    <x v="221"/>
    <x v="10"/>
  </r>
  <r>
    <x v="8"/>
    <x v="0"/>
    <x v="869"/>
    <x v="1"/>
    <x v="366"/>
    <x v="1"/>
    <x v="0"/>
    <x v="2"/>
    <x v="221"/>
    <x v="9"/>
  </r>
  <r>
    <x v="8"/>
    <x v="32"/>
    <x v="784"/>
    <x v="3"/>
    <x v="590"/>
    <x v="1"/>
    <x v="2"/>
    <x v="4"/>
    <x v="221"/>
    <x v="10"/>
  </r>
  <r>
    <x v="8"/>
    <x v="32"/>
    <x v="511"/>
    <x v="5"/>
    <x v="590"/>
    <x v="1"/>
    <x v="2"/>
    <x v="4"/>
    <x v="221"/>
    <x v="10"/>
  </r>
  <r>
    <x v="8"/>
    <x v="12"/>
    <x v="453"/>
    <x v="0"/>
    <x v="590"/>
    <x v="1"/>
    <x v="0"/>
    <x v="2"/>
    <x v="221"/>
    <x v="5"/>
  </r>
  <r>
    <x v="8"/>
    <x v="32"/>
    <x v="277"/>
    <x v="2"/>
    <x v="590"/>
    <x v="1"/>
    <x v="2"/>
    <x v="4"/>
    <x v="221"/>
    <x v="10"/>
  </r>
  <r>
    <x v="8"/>
    <x v="32"/>
    <x v="256"/>
    <x v="8"/>
    <x v="590"/>
    <x v="1"/>
    <x v="2"/>
    <x v="4"/>
    <x v="221"/>
    <x v="10"/>
  </r>
  <r>
    <x v="8"/>
    <x v="38"/>
    <x v="253"/>
    <x v="0"/>
    <x v="590"/>
    <x v="1"/>
    <x v="0"/>
    <x v="2"/>
    <x v="221"/>
    <x v="5"/>
  </r>
  <r>
    <x v="8"/>
    <x v="37"/>
    <x v="45"/>
    <x v="3"/>
    <x v="590"/>
    <x v="1"/>
    <x v="0"/>
    <x v="2"/>
    <x v="221"/>
    <x v="12"/>
  </r>
  <r>
    <x v="9"/>
    <x v="32"/>
    <x v="1908"/>
    <x v="7"/>
    <x v="590"/>
    <x v="1"/>
    <x v="2"/>
    <x v="4"/>
    <x v="221"/>
    <x v="10"/>
  </r>
  <r>
    <x v="9"/>
    <x v="31"/>
    <x v="1853"/>
    <x v="0"/>
    <x v="590"/>
    <x v="1"/>
    <x v="0"/>
    <x v="2"/>
    <x v="221"/>
    <x v="8"/>
  </r>
  <r>
    <x v="9"/>
    <x v="9"/>
    <x v="1567"/>
    <x v="0"/>
    <x v="590"/>
    <x v="1"/>
    <x v="0"/>
    <x v="2"/>
    <x v="221"/>
    <x v="5"/>
  </r>
  <r>
    <x v="9"/>
    <x v="20"/>
    <x v="1205"/>
    <x v="0"/>
    <x v="590"/>
    <x v="1"/>
    <x v="0"/>
    <x v="2"/>
    <x v="221"/>
    <x v="5"/>
  </r>
  <r>
    <x v="9"/>
    <x v="32"/>
    <x v="885"/>
    <x v="5"/>
    <x v="590"/>
    <x v="1"/>
    <x v="2"/>
    <x v="4"/>
    <x v="221"/>
    <x v="10"/>
  </r>
  <r>
    <x v="9"/>
    <x v="32"/>
    <x v="827"/>
    <x v="3"/>
    <x v="590"/>
    <x v="1"/>
    <x v="2"/>
    <x v="4"/>
    <x v="221"/>
    <x v="10"/>
  </r>
  <r>
    <x v="9"/>
    <x v="12"/>
    <x v="795"/>
    <x v="0"/>
    <x v="590"/>
    <x v="1"/>
    <x v="0"/>
    <x v="2"/>
    <x v="221"/>
    <x v="5"/>
  </r>
  <r>
    <x v="9"/>
    <x v="18"/>
    <x v="719"/>
    <x v="1"/>
    <x v="590"/>
    <x v="1"/>
    <x v="0"/>
    <x v="2"/>
    <x v="221"/>
    <x v="3"/>
  </r>
  <r>
    <x v="9"/>
    <x v="32"/>
    <x v="682"/>
    <x v="2"/>
    <x v="590"/>
    <x v="1"/>
    <x v="2"/>
    <x v="4"/>
    <x v="221"/>
    <x v="10"/>
  </r>
  <r>
    <x v="9"/>
    <x v="38"/>
    <x v="317"/>
    <x v="0"/>
    <x v="590"/>
    <x v="1"/>
    <x v="0"/>
    <x v="2"/>
    <x v="221"/>
    <x v="5"/>
  </r>
  <r>
    <x v="9"/>
    <x v="1"/>
    <x v="229"/>
    <x v="3"/>
    <x v="590"/>
    <x v="1"/>
    <x v="0"/>
    <x v="2"/>
    <x v="221"/>
    <x v="4"/>
  </r>
  <r>
    <x v="9"/>
    <x v="32"/>
    <x v="90"/>
    <x v="4"/>
    <x v="590"/>
    <x v="1"/>
    <x v="2"/>
    <x v="4"/>
    <x v="221"/>
    <x v="10"/>
  </r>
  <r>
    <x v="9"/>
    <x v="32"/>
    <x v="65"/>
    <x v="6"/>
    <x v="590"/>
    <x v="1"/>
    <x v="2"/>
    <x v="4"/>
    <x v="221"/>
    <x v="10"/>
  </r>
  <r>
    <x v="9"/>
    <x v="37"/>
    <x v="45"/>
    <x v="3"/>
    <x v="590"/>
    <x v="1"/>
    <x v="0"/>
    <x v="2"/>
    <x v="221"/>
    <x v="12"/>
  </r>
  <r>
    <x v="9"/>
    <x v="38"/>
    <x v="40"/>
    <x v="3"/>
    <x v="401"/>
    <x v="1"/>
    <x v="0"/>
    <x v="2"/>
    <x v="221"/>
    <x v="5"/>
  </r>
  <r>
    <x v="9"/>
    <x v="12"/>
    <x v="30"/>
    <x v="3"/>
    <x v="331"/>
    <x v="1"/>
    <x v="0"/>
    <x v="2"/>
    <x v="221"/>
    <x v="5"/>
  </r>
  <r>
    <x v="9"/>
    <x v="23"/>
    <x v="22"/>
    <x v="3"/>
    <x v="590"/>
    <x v="1"/>
    <x v="0"/>
    <x v="2"/>
    <x v="221"/>
    <x v="6"/>
  </r>
  <r>
    <x v="10"/>
    <x v="32"/>
    <x v="1895"/>
    <x v="7"/>
    <x v="590"/>
    <x v="2"/>
    <x v="2"/>
    <x v="4"/>
    <x v="221"/>
    <x v="10"/>
  </r>
  <r>
    <x v="10"/>
    <x v="20"/>
    <x v="1606"/>
    <x v="0"/>
    <x v="272"/>
    <x v="2"/>
    <x v="0"/>
    <x v="2"/>
    <x v="221"/>
    <x v="5"/>
  </r>
  <r>
    <x v="10"/>
    <x v="32"/>
    <x v="1487"/>
    <x v="3"/>
    <x v="590"/>
    <x v="2"/>
    <x v="2"/>
    <x v="4"/>
    <x v="221"/>
    <x v="10"/>
  </r>
  <r>
    <x v="10"/>
    <x v="32"/>
    <x v="946"/>
    <x v="2"/>
    <x v="590"/>
    <x v="2"/>
    <x v="2"/>
    <x v="4"/>
    <x v="221"/>
    <x v="10"/>
  </r>
  <r>
    <x v="10"/>
    <x v="8"/>
    <x v="779"/>
    <x v="0"/>
    <x v="590"/>
    <x v="2"/>
    <x v="0"/>
    <x v="2"/>
    <x v="221"/>
    <x v="5"/>
  </r>
  <r>
    <x v="10"/>
    <x v="27"/>
    <x v="779"/>
    <x v="3"/>
    <x v="590"/>
    <x v="2"/>
    <x v="0"/>
    <x v="2"/>
    <x v="221"/>
    <x v="5"/>
  </r>
  <r>
    <x v="10"/>
    <x v="9"/>
    <x v="701"/>
    <x v="0"/>
    <x v="590"/>
    <x v="2"/>
    <x v="0"/>
    <x v="2"/>
    <x v="221"/>
    <x v="5"/>
  </r>
  <r>
    <x v="10"/>
    <x v="12"/>
    <x v="652"/>
    <x v="0"/>
    <x v="590"/>
    <x v="2"/>
    <x v="0"/>
    <x v="2"/>
    <x v="221"/>
    <x v="5"/>
  </r>
  <r>
    <x v="10"/>
    <x v="3"/>
    <x v="599"/>
    <x v="3"/>
    <x v="590"/>
    <x v="2"/>
    <x v="0"/>
    <x v="2"/>
    <x v="221"/>
    <x v="4"/>
  </r>
  <r>
    <x v="10"/>
    <x v="32"/>
    <x v="556"/>
    <x v="5"/>
    <x v="590"/>
    <x v="2"/>
    <x v="2"/>
    <x v="4"/>
    <x v="221"/>
    <x v="10"/>
  </r>
  <r>
    <x v="10"/>
    <x v="20"/>
    <x v="464"/>
    <x v="0"/>
    <x v="590"/>
    <x v="2"/>
    <x v="0"/>
    <x v="2"/>
    <x v="221"/>
    <x v="5"/>
  </r>
  <r>
    <x v="10"/>
    <x v="12"/>
    <x v="440"/>
    <x v="3"/>
    <x v="192"/>
    <x v="2"/>
    <x v="0"/>
    <x v="2"/>
    <x v="221"/>
    <x v="5"/>
  </r>
  <r>
    <x v="10"/>
    <x v="28"/>
    <x v="244"/>
    <x v="3"/>
    <x v="590"/>
    <x v="2"/>
    <x v="0"/>
    <x v="2"/>
    <x v="221"/>
    <x v="0"/>
  </r>
  <r>
    <x v="10"/>
    <x v="38"/>
    <x v="236"/>
    <x v="0"/>
    <x v="590"/>
    <x v="2"/>
    <x v="0"/>
    <x v="2"/>
    <x v="221"/>
    <x v="5"/>
  </r>
  <r>
    <x v="10"/>
    <x v="32"/>
    <x v="77"/>
    <x v="6"/>
    <x v="590"/>
    <x v="2"/>
    <x v="2"/>
    <x v="4"/>
    <x v="221"/>
    <x v="10"/>
  </r>
  <r>
    <x v="10"/>
    <x v="31"/>
    <x v="65"/>
    <x v="3"/>
    <x v="158"/>
    <x v="2"/>
    <x v="0"/>
    <x v="2"/>
    <x v="221"/>
    <x v="8"/>
  </r>
  <r>
    <x v="10"/>
    <x v="37"/>
    <x v="45"/>
    <x v="3"/>
    <x v="590"/>
    <x v="2"/>
    <x v="0"/>
    <x v="2"/>
    <x v="221"/>
    <x v="12"/>
  </r>
  <r>
    <x v="10"/>
    <x v="23"/>
    <x v="19"/>
    <x v="3"/>
    <x v="590"/>
    <x v="2"/>
    <x v="0"/>
    <x v="2"/>
    <x v="221"/>
    <x v="6"/>
  </r>
  <r>
    <x v="11"/>
    <x v="32"/>
    <x v="1952"/>
    <x v="7"/>
    <x v="590"/>
    <x v="2"/>
    <x v="2"/>
    <x v="4"/>
    <x v="221"/>
    <x v="10"/>
  </r>
  <r>
    <x v="11"/>
    <x v="0"/>
    <x v="1483"/>
    <x v="0"/>
    <x v="484"/>
    <x v="2"/>
    <x v="0"/>
    <x v="2"/>
    <x v="221"/>
    <x v="9"/>
  </r>
  <r>
    <x v="11"/>
    <x v="0"/>
    <x v="1483"/>
    <x v="0"/>
    <x v="450"/>
    <x v="2"/>
    <x v="0"/>
    <x v="2"/>
    <x v="221"/>
    <x v="9"/>
  </r>
  <r>
    <x v="11"/>
    <x v="20"/>
    <x v="1477"/>
    <x v="0"/>
    <x v="253"/>
    <x v="2"/>
    <x v="0"/>
    <x v="2"/>
    <x v="221"/>
    <x v="5"/>
  </r>
  <r>
    <x v="11"/>
    <x v="32"/>
    <x v="1405"/>
    <x v="5"/>
    <x v="590"/>
    <x v="2"/>
    <x v="2"/>
    <x v="4"/>
    <x v="221"/>
    <x v="10"/>
  </r>
  <r>
    <x v="11"/>
    <x v="9"/>
    <x v="1349"/>
    <x v="0"/>
    <x v="590"/>
    <x v="2"/>
    <x v="0"/>
    <x v="2"/>
    <x v="221"/>
    <x v="5"/>
  </r>
  <r>
    <x v="11"/>
    <x v="32"/>
    <x v="1230"/>
    <x v="3"/>
    <x v="590"/>
    <x v="2"/>
    <x v="2"/>
    <x v="4"/>
    <x v="221"/>
    <x v="10"/>
  </r>
  <r>
    <x v="11"/>
    <x v="20"/>
    <x v="1102"/>
    <x v="0"/>
    <x v="590"/>
    <x v="2"/>
    <x v="0"/>
    <x v="2"/>
    <x v="221"/>
    <x v="5"/>
  </r>
  <r>
    <x v="11"/>
    <x v="32"/>
    <x v="1017"/>
    <x v="2"/>
    <x v="590"/>
    <x v="2"/>
    <x v="2"/>
    <x v="4"/>
    <x v="221"/>
    <x v="10"/>
  </r>
  <r>
    <x v="11"/>
    <x v="0"/>
    <x v="719"/>
    <x v="1"/>
    <x v="172"/>
    <x v="2"/>
    <x v="0"/>
    <x v="2"/>
    <x v="221"/>
    <x v="9"/>
  </r>
  <r>
    <x v="11"/>
    <x v="38"/>
    <x v="556"/>
    <x v="3"/>
    <x v="389"/>
    <x v="2"/>
    <x v="0"/>
    <x v="2"/>
    <x v="221"/>
    <x v="5"/>
  </r>
  <r>
    <x v="11"/>
    <x v="0"/>
    <x v="518"/>
    <x v="1"/>
    <x v="349"/>
    <x v="2"/>
    <x v="0"/>
    <x v="2"/>
    <x v="221"/>
    <x v="9"/>
  </r>
  <r>
    <x v="11"/>
    <x v="0"/>
    <x v="518"/>
    <x v="1"/>
    <x v="261"/>
    <x v="2"/>
    <x v="0"/>
    <x v="2"/>
    <x v="221"/>
    <x v="9"/>
  </r>
  <r>
    <x v="11"/>
    <x v="32"/>
    <x v="511"/>
    <x v="6"/>
    <x v="590"/>
    <x v="2"/>
    <x v="2"/>
    <x v="4"/>
    <x v="221"/>
    <x v="10"/>
  </r>
  <r>
    <x v="11"/>
    <x v="12"/>
    <x v="473"/>
    <x v="0"/>
    <x v="590"/>
    <x v="2"/>
    <x v="0"/>
    <x v="2"/>
    <x v="221"/>
    <x v="5"/>
  </r>
  <r>
    <x v="11"/>
    <x v="13"/>
    <x v="287"/>
    <x v="3"/>
    <x v="590"/>
    <x v="2"/>
    <x v="0"/>
    <x v="2"/>
    <x v="221"/>
    <x v="5"/>
  </r>
  <r>
    <x v="11"/>
    <x v="38"/>
    <x v="228"/>
    <x v="0"/>
    <x v="590"/>
    <x v="2"/>
    <x v="0"/>
    <x v="2"/>
    <x v="221"/>
    <x v="5"/>
  </r>
  <r>
    <x v="11"/>
    <x v="28"/>
    <x v="201"/>
    <x v="3"/>
    <x v="590"/>
    <x v="2"/>
    <x v="0"/>
    <x v="2"/>
    <x v="221"/>
    <x v="0"/>
  </r>
  <r>
    <x v="11"/>
    <x v="1"/>
    <x v="85"/>
    <x v="3"/>
    <x v="431"/>
    <x v="2"/>
    <x v="0"/>
    <x v="2"/>
    <x v="221"/>
    <x v="4"/>
  </r>
  <r>
    <x v="11"/>
    <x v="37"/>
    <x v="53"/>
    <x v="3"/>
    <x v="590"/>
    <x v="2"/>
    <x v="0"/>
    <x v="2"/>
    <x v="221"/>
    <x v="12"/>
  </r>
  <r>
    <x v="11"/>
    <x v="11"/>
    <x v="33"/>
    <x v="3"/>
    <x v="202"/>
    <x v="2"/>
    <x v="0"/>
    <x v="2"/>
    <x v="221"/>
    <x v="2"/>
  </r>
  <r>
    <x v="11"/>
    <x v="38"/>
    <x v="27"/>
    <x v="3"/>
    <x v="112"/>
    <x v="2"/>
    <x v="0"/>
    <x v="2"/>
    <x v="221"/>
    <x v="5"/>
  </r>
  <r>
    <x v="11"/>
    <x v="38"/>
    <x v="25"/>
    <x v="3"/>
    <x v="334"/>
    <x v="2"/>
    <x v="0"/>
    <x v="2"/>
    <x v="221"/>
    <x v="5"/>
  </r>
  <r>
    <x v="12"/>
    <x v="32"/>
    <x v="1851"/>
    <x v="7"/>
    <x v="590"/>
    <x v="2"/>
    <x v="2"/>
    <x v="4"/>
    <x v="221"/>
    <x v="10"/>
  </r>
  <r>
    <x v="12"/>
    <x v="19"/>
    <x v="1732"/>
    <x v="0"/>
    <x v="590"/>
    <x v="2"/>
    <x v="0"/>
    <x v="2"/>
    <x v="221"/>
    <x v="3"/>
  </r>
  <r>
    <x v="12"/>
    <x v="9"/>
    <x v="1367"/>
    <x v="0"/>
    <x v="590"/>
    <x v="2"/>
    <x v="0"/>
    <x v="2"/>
    <x v="221"/>
    <x v="5"/>
  </r>
  <r>
    <x v="12"/>
    <x v="20"/>
    <x v="1318"/>
    <x v="0"/>
    <x v="590"/>
    <x v="2"/>
    <x v="0"/>
    <x v="2"/>
    <x v="221"/>
    <x v="5"/>
  </r>
  <r>
    <x v="12"/>
    <x v="32"/>
    <x v="1160"/>
    <x v="3"/>
    <x v="590"/>
    <x v="2"/>
    <x v="2"/>
    <x v="4"/>
    <x v="221"/>
    <x v="10"/>
  </r>
  <r>
    <x v="12"/>
    <x v="13"/>
    <x v="1104"/>
    <x v="0"/>
    <x v="590"/>
    <x v="2"/>
    <x v="0"/>
    <x v="2"/>
    <x v="221"/>
    <x v="5"/>
  </r>
  <r>
    <x v="12"/>
    <x v="30"/>
    <x v="869"/>
    <x v="3"/>
    <x v="590"/>
    <x v="2"/>
    <x v="0"/>
    <x v="2"/>
    <x v="221"/>
    <x v="3"/>
  </r>
  <r>
    <x v="12"/>
    <x v="12"/>
    <x v="546"/>
    <x v="0"/>
    <x v="590"/>
    <x v="2"/>
    <x v="0"/>
    <x v="2"/>
    <x v="221"/>
    <x v="5"/>
  </r>
  <r>
    <x v="12"/>
    <x v="32"/>
    <x v="512"/>
    <x v="6"/>
    <x v="590"/>
    <x v="2"/>
    <x v="2"/>
    <x v="4"/>
    <x v="221"/>
    <x v="10"/>
  </r>
  <r>
    <x v="12"/>
    <x v="32"/>
    <x v="464"/>
    <x v="2"/>
    <x v="590"/>
    <x v="2"/>
    <x v="2"/>
    <x v="4"/>
    <x v="221"/>
    <x v="10"/>
  </r>
  <r>
    <x v="12"/>
    <x v="8"/>
    <x v="449"/>
    <x v="0"/>
    <x v="590"/>
    <x v="2"/>
    <x v="0"/>
    <x v="2"/>
    <x v="221"/>
    <x v="5"/>
  </r>
  <r>
    <x v="12"/>
    <x v="32"/>
    <x v="419"/>
    <x v="5"/>
    <x v="590"/>
    <x v="2"/>
    <x v="2"/>
    <x v="4"/>
    <x v="221"/>
    <x v="10"/>
  </r>
  <r>
    <x v="12"/>
    <x v="12"/>
    <x v="417"/>
    <x v="3"/>
    <x v="191"/>
    <x v="2"/>
    <x v="0"/>
    <x v="2"/>
    <x v="221"/>
    <x v="5"/>
  </r>
  <r>
    <x v="12"/>
    <x v="38"/>
    <x v="234"/>
    <x v="0"/>
    <x v="590"/>
    <x v="2"/>
    <x v="0"/>
    <x v="2"/>
    <x v="221"/>
    <x v="5"/>
  </r>
  <r>
    <x v="12"/>
    <x v="37"/>
    <x v="40"/>
    <x v="3"/>
    <x v="590"/>
    <x v="2"/>
    <x v="0"/>
    <x v="2"/>
    <x v="221"/>
    <x v="12"/>
  </r>
  <r>
    <x v="12"/>
    <x v="12"/>
    <x v="24"/>
    <x v="3"/>
    <x v="590"/>
    <x v="2"/>
    <x v="0"/>
    <x v="2"/>
    <x v="221"/>
    <x v="5"/>
  </r>
  <r>
    <x v="13"/>
    <x v="32"/>
    <x v="1695"/>
    <x v="7"/>
    <x v="590"/>
    <x v="2"/>
    <x v="2"/>
    <x v="4"/>
    <x v="221"/>
    <x v="10"/>
  </r>
  <r>
    <x v="13"/>
    <x v="9"/>
    <x v="1064"/>
    <x v="0"/>
    <x v="590"/>
    <x v="2"/>
    <x v="0"/>
    <x v="2"/>
    <x v="221"/>
    <x v="5"/>
  </r>
  <r>
    <x v="13"/>
    <x v="32"/>
    <x v="941"/>
    <x v="3"/>
    <x v="590"/>
    <x v="2"/>
    <x v="2"/>
    <x v="4"/>
    <x v="221"/>
    <x v="10"/>
  </r>
  <r>
    <x v="13"/>
    <x v="12"/>
    <x v="798"/>
    <x v="0"/>
    <x v="590"/>
    <x v="2"/>
    <x v="0"/>
    <x v="2"/>
    <x v="221"/>
    <x v="5"/>
  </r>
  <r>
    <x v="13"/>
    <x v="32"/>
    <x v="600"/>
    <x v="5"/>
    <x v="590"/>
    <x v="2"/>
    <x v="2"/>
    <x v="4"/>
    <x v="221"/>
    <x v="10"/>
  </r>
  <r>
    <x v="13"/>
    <x v="20"/>
    <x v="497"/>
    <x v="0"/>
    <x v="590"/>
    <x v="2"/>
    <x v="0"/>
    <x v="2"/>
    <x v="221"/>
    <x v="5"/>
  </r>
  <r>
    <x v="13"/>
    <x v="12"/>
    <x v="287"/>
    <x v="3"/>
    <x v="509"/>
    <x v="2"/>
    <x v="0"/>
    <x v="2"/>
    <x v="221"/>
    <x v="5"/>
  </r>
  <r>
    <x v="13"/>
    <x v="38"/>
    <x v="261"/>
    <x v="0"/>
    <x v="590"/>
    <x v="2"/>
    <x v="0"/>
    <x v="2"/>
    <x v="221"/>
    <x v="5"/>
  </r>
  <r>
    <x v="13"/>
    <x v="32"/>
    <x v="243"/>
    <x v="6"/>
    <x v="590"/>
    <x v="2"/>
    <x v="2"/>
    <x v="4"/>
    <x v="221"/>
    <x v="10"/>
  </r>
  <r>
    <x v="13"/>
    <x v="1"/>
    <x v="100"/>
    <x v="3"/>
    <x v="590"/>
    <x v="2"/>
    <x v="0"/>
    <x v="2"/>
    <x v="221"/>
    <x v="4"/>
  </r>
  <r>
    <x v="13"/>
    <x v="37"/>
    <x v="53"/>
    <x v="3"/>
    <x v="590"/>
    <x v="2"/>
    <x v="0"/>
    <x v="2"/>
    <x v="221"/>
    <x v="12"/>
  </r>
  <r>
    <x v="13"/>
    <x v="23"/>
    <x v="24"/>
    <x v="3"/>
    <x v="590"/>
    <x v="2"/>
    <x v="0"/>
    <x v="2"/>
    <x v="221"/>
    <x v="6"/>
  </r>
  <r>
    <x v="13"/>
    <x v="16"/>
    <x v="19"/>
    <x v="3"/>
    <x v="590"/>
    <x v="2"/>
    <x v="0"/>
    <x v="2"/>
    <x v="221"/>
    <x v="6"/>
  </r>
  <r>
    <x v="13"/>
    <x v="32"/>
    <x v="12"/>
    <x v="2"/>
    <x v="590"/>
    <x v="2"/>
    <x v="2"/>
    <x v="4"/>
    <x v="221"/>
    <x v="10"/>
  </r>
  <r>
    <x v="14"/>
    <x v="32"/>
    <x v="1854"/>
    <x v="7"/>
    <x v="590"/>
    <x v="2"/>
    <x v="2"/>
    <x v="4"/>
    <x v="221"/>
    <x v="10"/>
  </r>
  <r>
    <x v="14"/>
    <x v="0"/>
    <x v="1146"/>
    <x v="1"/>
    <x v="298"/>
    <x v="2"/>
    <x v="0"/>
    <x v="2"/>
    <x v="221"/>
    <x v="9"/>
  </r>
  <r>
    <x v="14"/>
    <x v="32"/>
    <x v="982"/>
    <x v="3"/>
    <x v="590"/>
    <x v="2"/>
    <x v="2"/>
    <x v="4"/>
    <x v="221"/>
    <x v="10"/>
  </r>
  <r>
    <x v="14"/>
    <x v="3"/>
    <x v="869"/>
    <x v="1"/>
    <x v="153"/>
    <x v="2"/>
    <x v="0"/>
    <x v="2"/>
    <x v="221"/>
    <x v="4"/>
  </r>
  <r>
    <x v="14"/>
    <x v="9"/>
    <x v="745"/>
    <x v="0"/>
    <x v="590"/>
    <x v="2"/>
    <x v="0"/>
    <x v="2"/>
    <x v="221"/>
    <x v="5"/>
  </r>
  <r>
    <x v="14"/>
    <x v="0"/>
    <x v="719"/>
    <x v="0"/>
    <x v="566"/>
    <x v="2"/>
    <x v="0"/>
    <x v="2"/>
    <x v="221"/>
    <x v="9"/>
  </r>
  <r>
    <x v="14"/>
    <x v="13"/>
    <x v="582"/>
    <x v="0"/>
    <x v="590"/>
    <x v="2"/>
    <x v="0"/>
    <x v="2"/>
    <x v="221"/>
    <x v="5"/>
  </r>
  <r>
    <x v="14"/>
    <x v="32"/>
    <x v="566"/>
    <x v="5"/>
    <x v="590"/>
    <x v="2"/>
    <x v="2"/>
    <x v="4"/>
    <x v="221"/>
    <x v="10"/>
  </r>
  <r>
    <x v="14"/>
    <x v="8"/>
    <x v="449"/>
    <x v="0"/>
    <x v="590"/>
    <x v="2"/>
    <x v="0"/>
    <x v="2"/>
    <x v="221"/>
    <x v="5"/>
  </r>
  <r>
    <x v="14"/>
    <x v="12"/>
    <x v="448"/>
    <x v="0"/>
    <x v="590"/>
    <x v="2"/>
    <x v="0"/>
    <x v="2"/>
    <x v="221"/>
    <x v="5"/>
  </r>
  <r>
    <x v="14"/>
    <x v="20"/>
    <x v="177"/>
    <x v="0"/>
    <x v="590"/>
    <x v="2"/>
    <x v="0"/>
    <x v="2"/>
    <x v="221"/>
    <x v="5"/>
  </r>
  <r>
    <x v="14"/>
    <x v="38"/>
    <x v="89"/>
    <x v="0"/>
    <x v="590"/>
    <x v="2"/>
    <x v="0"/>
    <x v="2"/>
    <x v="221"/>
    <x v="5"/>
  </r>
  <r>
    <x v="14"/>
    <x v="0"/>
    <x v="87"/>
    <x v="3"/>
    <x v="306"/>
    <x v="2"/>
    <x v="0"/>
    <x v="2"/>
    <x v="221"/>
    <x v="9"/>
  </r>
  <r>
    <x v="14"/>
    <x v="32"/>
    <x v="83"/>
    <x v="8"/>
    <x v="590"/>
    <x v="2"/>
    <x v="2"/>
    <x v="4"/>
    <x v="221"/>
    <x v="10"/>
  </r>
  <r>
    <x v="14"/>
    <x v="3"/>
    <x v="69"/>
    <x v="3"/>
    <x v="153"/>
    <x v="2"/>
    <x v="0"/>
    <x v="2"/>
    <x v="221"/>
    <x v="4"/>
  </r>
  <r>
    <x v="14"/>
    <x v="37"/>
    <x v="53"/>
    <x v="3"/>
    <x v="590"/>
    <x v="2"/>
    <x v="0"/>
    <x v="2"/>
    <x v="221"/>
    <x v="12"/>
  </r>
  <r>
    <x v="14"/>
    <x v="12"/>
    <x v="25"/>
    <x v="3"/>
    <x v="590"/>
    <x v="2"/>
    <x v="0"/>
    <x v="2"/>
    <x v="221"/>
    <x v="5"/>
  </r>
  <r>
    <x v="14"/>
    <x v="38"/>
    <x v="12"/>
    <x v="3"/>
    <x v="334"/>
    <x v="2"/>
    <x v="0"/>
    <x v="2"/>
    <x v="221"/>
    <x v="5"/>
  </r>
  <r>
    <x v="14"/>
    <x v="32"/>
    <x v="5"/>
    <x v="6"/>
    <x v="590"/>
    <x v="2"/>
    <x v="2"/>
    <x v="4"/>
    <x v="221"/>
    <x v="10"/>
  </r>
  <r>
    <x v="15"/>
    <x v="32"/>
    <x v="1836"/>
    <x v="7"/>
    <x v="422"/>
    <x v="2"/>
    <x v="2"/>
    <x v="4"/>
    <x v="221"/>
    <x v="10"/>
  </r>
  <r>
    <x v="15"/>
    <x v="20"/>
    <x v="1398"/>
    <x v="0"/>
    <x v="61"/>
    <x v="2"/>
    <x v="0"/>
    <x v="2"/>
    <x v="221"/>
    <x v="5"/>
  </r>
  <r>
    <x v="15"/>
    <x v="9"/>
    <x v="1374"/>
    <x v="0"/>
    <x v="229"/>
    <x v="2"/>
    <x v="0"/>
    <x v="2"/>
    <x v="221"/>
    <x v="5"/>
  </r>
  <r>
    <x v="15"/>
    <x v="32"/>
    <x v="1280"/>
    <x v="3"/>
    <x v="116"/>
    <x v="2"/>
    <x v="2"/>
    <x v="4"/>
    <x v="221"/>
    <x v="10"/>
  </r>
  <r>
    <x v="15"/>
    <x v="32"/>
    <x v="616"/>
    <x v="5"/>
    <x v="532"/>
    <x v="2"/>
    <x v="2"/>
    <x v="4"/>
    <x v="221"/>
    <x v="10"/>
  </r>
  <r>
    <x v="15"/>
    <x v="8"/>
    <x v="449"/>
    <x v="0"/>
    <x v="236"/>
    <x v="2"/>
    <x v="0"/>
    <x v="2"/>
    <x v="221"/>
    <x v="5"/>
  </r>
  <r>
    <x v="15"/>
    <x v="12"/>
    <x v="428"/>
    <x v="0"/>
    <x v="48"/>
    <x v="2"/>
    <x v="0"/>
    <x v="2"/>
    <x v="221"/>
    <x v="5"/>
  </r>
  <r>
    <x v="15"/>
    <x v="15"/>
    <x v="401"/>
    <x v="3"/>
    <x v="353"/>
    <x v="2"/>
    <x v="0"/>
    <x v="2"/>
    <x v="221"/>
    <x v="4"/>
  </r>
  <r>
    <x v="15"/>
    <x v="38"/>
    <x v="375"/>
    <x v="0"/>
    <x v="213"/>
    <x v="2"/>
    <x v="0"/>
    <x v="2"/>
    <x v="221"/>
    <x v="5"/>
  </r>
  <r>
    <x v="15"/>
    <x v="32"/>
    <x v="357"/>
    <x v="6"/>
    <x v="562"/>
    <x v="2"/>
    <x v="2"/>
    <x v="4"/>
    <x v="221"/>
    <x v="10"/>
  </r>
  <r>
    <x v="15"/>
    <x v="32"/>
    <x v="239"/>
    <x v="7"/>
    <x v="589"/>
    <x v="2"/>
    <x v="2"/>
    <x v="4"/>
    <x v="221"/>
    <x v="10"/>
  </r>
  <r>
    <x v="15"/>
    <x v="26"/>
    <x v="90"/>
    <x v="3"/>
    <x v="338"/>
    <x v="2"/>
    <x v="0"/>
    <x v="2"/>
    <x v="221"/>
    <x v="5"/>
  </r>
  <r>
    <x v="15"/>
    <x v="37"/>
    <x v="37"/>
    <x v="3"/>
    <x v="529"/>
    <x v="2"/>
    <x v="0"/>
    <x v="2"/>
    <x v="221"/>
    <x v="12"/>
  </r>
  <r>
    <x v="16"/>
    <x v="32"/>
    <x v="1966"/>
    <x v="7"/>
    <x v="422"/>
    <x v="2"/>
    <x v="2"/>
    <x v="4"/>
    <x v="221"/>
    <x v="10"/>
  </r>
  <r>
    <x v="16"/>
    <x v="9"/>
    <x v="999"/>
    <x v="0"/>
    <x v="229"/>
    <x v="2"/>
    <x v="0"/>
    <x v="2"/>
    <x v="221"/>
    <x v="5"/>
  </r>
  <r>
    <x v="16"/>
    <x v="32"/>
    <x v="948"/>
    <x v="5"/>
    <x v="532"/>
    <x v="2"/>
    <x v="2"/>
    <x v="4"/>
    <x v="221"/>
    <x v="10"/>
  </r>
  <r>
    <x v="16"/>
    <x v="32"/>
    <x v="909"/>
    <x v="3"/>
    <x v="422"/>
    <x v="2"/>
    <x v="2"/>
    <x v="4"/>
    <x v="221"/>
    <x v="10"/>
  </r>
  <r>
    <x v="16"/>
    <x v="12"/>
    <x v="714"/>
    <x v="0"/>
    <x v="48"/>
    <x v="2"/>
    <x v="0"/>
    <x v="2"/>
    <x v="221"/>
    <x v="5"/>
  </r>
  <r>
    <x v="16"/>
    <x v="27"/>
    <x v="709"/>
    <x v="3"/>
    <x v="7"/>
    <x v="2"/>
    <x v="0"/>
    <x v="2"/>
    <x v="221"/>
    <x v="5"/>
  </r>
  <r>
    <x v="16"/>
    <x v="38"/>
    <x v="286"/>
    <x v="0"/>
    <x v="213"/>
    <x v="2"/>
    <x v="0"/>
    <x v="2"/>
    <x v="221"/>
    <x v="5"/>
  </r>
  <r>
    <x v="16"/>
    <x v="20"/>
    <x v="242"/>
    <x v="0"/>
    <x v="61"/>
    <x v="2"/>
    <x v="0"/>
    <x v="2"/>
    <x v="221"/>
    <x v="5"/>
  </r>
  <r>
    <x v="16"/>
    <x v="24"/>
    <x v="87"/>
    <x v="3"/>
    <x v="585"/>
    <x v="2"/>
    <x v="0"/>
    <x v="2"/>
    <x v="221"/>
    <x v="6"/>
  </r>
  <r>
    <x v="16"/>
    <x v="37"/>
    <x v="45"/>
    <x v="3"/>
    <x v="529"/>
    <x v="2"/>
    <x v="0"/>
    <x v="2"/>
    <x v="221"/>
    <x v="12"/>
  </r>
  <r>
    <x v="16"/>
    <x v="38"/>
    <x v="30"/>
    <x v="3"/>
    <x v="401"/>
    <x v="2"/>
    <x v="0"/>
    <x v="2"/>
    <x v="221"/>
    <x v="5"/>
  </r>
  <r>
    <x v="16"/>
    <x v="24"/>
    <x v="25"/>
    <x v="3"/>
    <x v="302"/>
    <x v="2"/>
    <x v="0"/>
    <x v="2"/>
    <x v="221"/>
    <x v="6"/>
  </r>
  <r>
    <x v="16"/>
    <x v="12"/>
    <x v="24"/>
    <x v="3"/>
    <x v="331"/>
    <x v="2"/>
    <x v="0"/>
    <x v="2"/>
    <x v="221"/>
    <x v="5"/>
  </r>
  <r>
    <x v="16"/>
    <x v="23"/>
    <x v="5"/>
    <x v="3"/>
    <x v="284"/>
    <x v="2"/>
    <x v="0"/>
    <x v="2"/>
    <x v="221"/>
    <x v="6"/>
  </r>
  <r>
    <x v="17"/>
    <x v="32"/>
    <x v="1868"/>
    <x v="7"/>
    <x v="422"/>
    <x v="2"/>
    <x v="2"/>
    <x v="4"/>
    <x v="221"/>
    <x v="10"/>
  </r>
  <r>
    <x v="17"/>
    <x v="9"/>
    <x v="1552"/>
    <x v="0"/>
    <x v="590"/>
    <x v="2"/>
    <x v="0"/>
    <x v="2"/>
    <x v="221"/>
    <x v="5"/>
  </r>
  <r>
    <x v="17"/>
    <x v="32"/>
    <x v="1514"/>
    <x v="3"/>
    <x v="422"/>
    <x v="2"/>
    <x v="2"/>
    <x v="4"/>
    <x v="221"/>
    <x v="10"/>
  </r>
  <r>
    <x v="17"/>
    <x v="20"/>
    <x v="947"/>
    <x v="0"/>
    <x v="590"/>
    <x v="2"/>
    <x v="0"/>
    <x v="2"/>
    <x v="221"/>
    <x v="5"/>
  </r>
  <r>
    <x v="17"/>
    <x v="32"/>
    <x v="879"/>
    <x v="5"/>
    <x v="532"/>
    <x v="2"/>
    <x v="2"/>
    <x v="4"/>
    <x v="221"/>
    <x v="10"/>
  </r>
  <r>
    <x v="17"/>
    <x v="32"/>
    <x v="842"/>
    <x v="2"/>
    <x v="422"/>
    <x v="2"/>
    <x v="2"/>
    <x v="4"/>
    <x v="221"/>
    <x v="10"/>
  </r>
  <r>
    <x v="17"/>
    <x v="8"/>
    <x v="779"/>
    <x v="0"/>
    <x v="590"/>
    <x v="2"/>
    <x v="0"/>
    <x v="2"/>
    <x v="221"/>
    <x v="5"/>
  </r>
  <r>
    <x v="17"/>
    <x v="3"/>
    <x v="641"/>
    <x v="1"/>
    <x v="590"/>
    <x v="2"/>
    <x v="0"/>
    <x v="2"/>
    <x v="221"/>
    <x v="4"/>
  </r>
  <r>
    <x v="17"/>
    <x v="32"/>
    <x v="632"/>
    <x v="8"/>
    <x v="422"/>
    <x v="2"/>
    <x v="2"/>
    <x v="4"/>
    <x v="221"/>
    <x v="10"/>
  </r>
  <r>
    <x v="17"/>
    <x v="12"/>
    <x v="332"/>
    <x v="0"/>
    <x v="590"/>
    <x v="2"/>
    <x v="0"/>
    <x v="2"/>
    <x v="221"/>
    <x v="5"/>
  </r>
  <r>
    <x v="17"/>
    <x v="22"/>
    <x v="318"/>
    <x v="0"/>
    <x v="590"/>
    <x v="2"/>
    <x v="0"/>
    <x v="2"/>
    <x v="221"/>
    <x v="3"/>
  </r>
  <r>
    <x v="17"/>
    <x v="38"/>
    <x v="279"/>
    <x v="0"/>
    <x v="590"/>
    <x v="2"/>
    <x v="0"/>
    <x v="2"/>
    <x v="221"/>
    <x v="5"/>
  </r>
  <r>
    <x v="17"/>
    <x v="27"/>
    <x v="191"/>
    <x v="1"/>
    <x v="411"/>
    <x v="2"/>
    <x v="0"/>
    <x v="2"/>
    <x v="221"/>
    <x v="5"/>
  </r>
  <r>
    <x v="17"/>
    <x v="32"/>
    <x v="64"/>
    <x v="6"/>
    <x v="422"/>
    <x v="2"/>
    <x v="2"/>
    <x v="4"/>
    <x v="221"/>
    <x v="10"/>
  </r>
  <r>
    <x v="17"/>
    <x v="37"/>
    <x v="45"/>
    <x v="3"/>
    <x v="529"/>
    <x v="2"/>
    <x v="0"/>
    <x v="2"/>
    <x v="221"/>
    <x v="12"/>
  </r>
  <r>
    <x v="17"/>
    <x v="12"/>
    <x v="24"/>
    <x v="3"/>
    <x v="331"/>
    <x v="2"/>
    <x v="0"/>
    <x v="2"/>
    <x v="221"/>
    <x v="5"/>
  </r>
  <r>
    <x v="17"/>
    <x v="38"/>
    <x v="19"/>
    <x v="3"/>
    <x v="334"/>
    <x v="2"/>
    <x v="0"/>
    <x v="2"/>
    <x v="221"/>
    <x v="5"/>
  </r>
  <r>
    <x v="17"/>
    <x v="23"/>
    <x v="12"/>
    <x v="3"/>
    <x v="281"/>
    <x v="2"/>
    <x v="0"/>
    <x v="2"/>
    <x v="221"/>
    <x v="6"/>
  </r>
  <r>
    <x v="17"/>
    <x v="25"/>
    <x v="12"/>
    <x v="3"/>
    <x v="67"/>
    <x v="2"/>
    <x v="0"/>
    <x v="2"/>
    <x v="221"/>
    <x v="12"/>
  </r>
  <r>
    <x v="17"/>
    <x v="3"/>
    <x v="12"/>
    <x v="3"/>
    <x v="506"/>
    <x v="2"/>
    <x v="0"/>
    <x v="2"/>
    <x v="221"/>
    <x v="4"/>
  </r>
  <r>
    <x v="18"/>
    <x v="32"/>
    <x v="1948"/>
    <x v="7"/>
    <x v="590"/>
    <x v="2"/>
    <x v="2"/>
    <x v="4"/>
    <x v="221"/>
    <x v="10"/>
  </r>
  <r>
    <x v="18"/>
    <x v="32"/>
    <x v="1437"/>
    <x v="3"/>
    <x v="590"/>
    <x v="2"/>
    <x v="2"/>
    <x v="4"/>
    <x v="221"/>
    <x v="10"/>
  </r>
  <r>
    <x v="18"/>
    <x v="20"/>
    <x v="1337"/>
    <x v="0"/>
    <x v="61"/>
    <x v="2"/>
    <x v="0"/>
    <x v="2"/>
    <x v="221"/>
    <x v="5"/>
  </r>
  <r>
    <x v="18"/>
    <x v="9"/>
    <x v="1137"/>
    <x v="0"/>
    <x v="230"/>
    <x v="2"/>
    <x v="0"/>
    <x v="2"/>
    <x v="221"/>
    <x v="5"/>
  </r>
  <r>
    <x v="18"/>
    <x v="0"/>
    <x v="869"/>
    <x v="1"/>
    <x v="172"/>
    <x v="2"/>
    <x v="0"/>
    <x v="2"/>
    <x v="221"/>
    <x v="9"/>
  </r>
  <r>
    <x v="18"/>
    <x v="32"/>
    <x v="831"/>
    <x v="5"/>
    <x v="590"/>
    <x v="2"/>
    <x v="2"/>
    <x v="4"/>
    <x v="221"/>
    <x v="10"/>
  </r>
  <r>
    <x v="18"/>
    <x v="12"/>
    <x v="792"/>
    <x v="0"/>
    <x v="18"/>
    <x v="2"/>
    <x v="0"/>
    <x v="2"/>
    <x v="221"/>
    <x v="5"/>
  </r>
  <r>
    <x v="18"/>
    <x v="13"/>
    <x v="684"/>
    <x v="0"/>
    <x v="35"/>
    <x v="2"/>
    <x v="0"/>
    <x v="2"/>
    <x v="221"/>
    <x v="5"/>
  </r>
  <r>
    <x v="18"/>
    <x v="0"/>
    <x v="518"/>
    <x v="1"/>
    <x v="450"/>
    <x v="2"/>
    <x v="0"/>
    <x v="2"/>
    <x v="221"/>
    <x v="9"/>
  </r>
  <r>
    <x v="18"/>
    <x v="32"/>
    <x v="484"/>
    <x v="6"/>
    <x v="590"/>
    <x v="2"/>
    <x v="2"/>
    <x v="4"/>
    <x v="221"/>
    <x v="10"/>
  </r>
  <r>
    <x v="18"/>
    <x v="1"/>
    <x v="398"/>
    <x v="1"/>
    <x v="431"/>
    <x v="2"/>
    <x v="0"/>
    <x v="2"/>
    <x v="221"/>
    <x v="4"/>
  </r>
  <r>
    <x v="18"/>
    <x v="32"/>
    <x v="382"/>
    <x v="8"/>
    <x v="422"/>
    <x v="2"/>
    <x v="2"/>
    <x v="4"/>
    <x v="221"/>
    <x v="10"/>
  </r>
  <r>
    <x v="18"/>
    <x v="38"/>
    <x v="322"/>
    <x v="0"/>
    <x v="226"/>
    <x v="2"/>
    <x v="0"/>
    <x v="2"/>
    <x v="221"/>
    <x v="5"/>
  </r>
  <r>
    <x v="18"/>
    <x v="32"/>
    <x v="278"/>
    <x v="2"/>
    <x v="590"/>
    <x v="2"/>
    <x v="2"/>
    <x v="4"/>
    <x v="221"/>
    <x v="10"/>
  </r>
  <r>
    <x v="18"/>
    <x v="5"/>
    <x v="229"/>
    <x v="3"/>
    <x v="550"/>
    <x v="2"/>
    <x v="0"/>
    <x v="2"/>
    <x v="221"/>
    <x v="11"/>
  </r>
  <r>
    <x v="18"/>
    <x v="37"/>
    <x v="55"/>
    <x v="1"/>
    <x v="529"/>
    <x v="2"/>
    <x v="0"/>
    <x v="2"/>
    <x v="221"/>
    <x v="12"/>
  </r>
  <r>
    <x v="18"/>
    <x v="38"/>
    <x v="53"/>
    <x v="1"/>
    <x v="389"/>
    <x v="2"/>
    <x v="0"/>
    <x v="2"/>
    <x v="221"/>
    <x v="5"/>
  </r>
  <r>
    <x v="18"/>
    <x v="0"/>
    <x v="45"/>
    <x v="1"/>
    <x v="273"/>
    <x v="2"/>
    <x v="0"/>
    <x v="2"/>
    <x v="221"/>
    <x v="9"/>
  </r>
  <r>
    <x v="18"/>
    <x v="23"/>
    <x v="33"/>
    <x v="3"/>
    <x v="284"/>
    <x v="2"/>
    <x v="0"/>
    <x v="2"/>
    <x v="221"/>
    <x v="6"/>
  </r>
  <r>
    <x v="19"/>
    <x v="32"/>
    <x v="1708"/>
    <x v="7"/>
    <x v="422"/>
    <x v="2"/>
    <x v="2"/>
    <x v="4"/>
    <x v="221"/>
    <x v="10"/>
  </r>
  <r>
    <x v="19"/>
    <x v="2"/>
    <x v="1570"/>
    <x v="1"/>
    <x v="549"/>
    <x v="2"/>
    <x v="0"/>
    <x v="2"/>
    <x v="221"/>
    <x v="1"/>
  </r>
  <r>
    <x v="19"/>
    <x v="9"/>
    <x v="1472"/>
    <x v="0"/>
    <x v="230"/>
    <x v="2"/>
    <x v="0"/>
    <x v="2"/>
    <x v="221"/>
    <x v="5"/>
  </r>
  <r>
    <x v="19"/>
    <x v="32"/>
    <x v="1288"/>
    <x v="3"/>
    <x v="422"/>
    <x v="2"/>
    <x v="2"/>
    <x v="4"/>
    <x v="221"/>
    <x v="10"/>
  </r>
  <r>
    <x v="19"/>
    <x v="20"/>
    <x v="1164"/>
    <x v="0"/>
    <x v="61"/>
    <x v="2"/>
    <x v="0"/>
    <x v="2"/>
    <x v="221"/>
    <x v="5"/>
  </r>
  <r>
    <x v="19"/>
    <x v="32"/>
    <x v="833"/>
    <x v="5"/>
    <x v="532"/>
    <x v="2"/>
    <x v="2"/>
    <x v="4"/>
    <x v="221"/>
    <x v="10"/>
  </r>
  <r>
    <x v="19"/>
    <x v="38"/>
    <x v="791"/>
    <x v="1"/>
    <x v="389"/>
    <x v="2"/>
    <x v="0"/>
    <x v="2"/>
    <x v="221"/>
    <x v="5"/>
  </r>
  <r>
    <x v="19"/>
    <x v="32"/>
    <x v="744"/>
    <x v="6"/>
    <x v="422"/>
    <x v="2"/>
    <x v="2"/>
    <x v="4"/>
    <x v="221"/>
    <x v="10"/>
  </r>
  <r>
    <x v="19"/>
    <x v="12"/>
    <x v="629"/>
    <x v="0"/>
    <x v="18"/>
    <x v="2"/>
    <x v="0"/>
    <x v="2"/>
    <x v="221"/>
    <x v="5"/>
  </r>
  <r>
    <x v="19"/>
    <x v="8"/>
    <x v="449"/>
    <x v="0"/>
    <x v="237"/>
    <x v="2"/>
    <x v="0"/>
    <x v="2"/>
    <x v="221"/>
    <x v="5"/>
  </r>
  <r>
    <x v="19"/>
    <x v="38"/>
    <x v="209"/>
    <x v="0"/>
    <x v="226"/>
    <x v="2"/>
    <x v="0"/>
    <x v="2"/>
    <x v="221"/>
    <x v="5"/>
  </r>
  <r>
    <x v="19"/>
    <x v="37"/>
    <x v="48"/>
    <x v="1"/>
    <x v="529"/>
    <x v="2"/>
    <x v="0"/>
    <x v="2"/>
    <x v="221"/>
    <x v="12"/>
  </r>
  <r>
    <x v="19"/>
    <x v="23"/>
    <x v="19"/>
    <x v="3"/>
    <x v="284"/>
    <x v="2"/>
    <x v="0"/>
    <x v="2"/>
    <x v="221"/>
    <x v="6"/>
  </r>
  <r>
    <x v="20"/>
    <x v="32"/>
    <x v="1814"/>
    <x v="7"/>
    <x v="422"/>
    <x v="2"/>
    <x v="2"/>
    <x v="4"/>
    <x v="221"/>
    <x v="10"/>
  </r>
  <r>
    <x v="20"/>
    <x v="32"/>
    <x v="1202"/>
    <x v="3"/>
    <x v="422"/>
    <x v="2"/>
    <x v="2"/>
    <x v="4"/>
    <x v="221"/>
    <x v="10"/>
  </r>
  <r>
    <x v="20"/>
    <x v="32"/>
    <x v="1079"/>
    <x v="5"/>
    <x v="532"/>
    <x v="2"/>
    <x v="2"/>
    <x v="4"/>
    <x v="221"/>
    <x v="10"/>
  </r>
  <r>
    <x v="20"/>
    <x v="20"/>
    <x v="1063"/>
    <x v="0"/>
    <x v="62"/>
    <x v="2"/>
    <x v="0"/>
    <x v="2"/>
    <x v="221"/>
    <x v="5"/>
  </r>
  <r>
    <x v="20"/>
    <x v="9"/>
    <x v="824"/>
    <x v="0"/>
    <x v="230"/>
    <x v="2"/>
    <x v="0"/>
    <x v="2"/>
    <x v="221"/>
    <x v="5"/>
  </r>
  <r>
    <x v="20"/>
    <x v="12"/>
    <x v="644"/>
    <x v="0"/>
    <x v="171"/>
    <x v="2"/>
    <x v="0"/>
    <x v="2"/>
    <x v="221"/>
    <x v="5"/>
  </r>
  <r>
    <x v="20"/>
    <x v="15"/>
    <x v="534"/>
    <x v="3"/>
    <x v="355"/>
    <x v="2"/>
    <x v="0"/>
    <x v="2"/>
    <x v="221"/>
    <x v="4"/>
  </r>
  <r>
    <x v="20"/>
    <x v="20"/>
    <x v="337"/>
    <x v="1"/>
    <x v="24"/>
    <x v="2"/>
    <x v="0"/>
    <x v="2"/>
    <x v="221"/>
    <x v="5"/>
  </r>
  <r>
    <x v="20"/>
    <x v="32"/>
    <x v="334"/>
    <x v="8"/>
    <x v="422"/>
    <x v="2"/>
    <x v="2"/>
    <x v="4"/>
    <x v="221"/>
    <x v="10"/>
  </r>
  <r>
    <x v="20"/>
    <x v="0"/>
    <x v="256"/>
    <x v="1"/>
    <x v="55"/>
    <x v="2"/>
    <x v="0"/>
    <x v="2"/>
    <x v="221"/>
    <x v="9"/>
  </r>
  <r>
    <x v="20"/>
    <x v="38"/>
    <x v="252"/>
    <x v="0"/>
    <x v="226"/>
    <x v="2"/>
    <x v="0"/>
    <x v="2"/>
    <x v="221"/>
    <x v="5"/>
  </r>
  <r>
    <x v="20"/>
    <x v="32"/>
    <x v="244"/>
    <x v="2"/>
    <x v="422"/>
    <x v="2"/>
    <x v="2"/>
    <x v="4"/>
    <x v="221"/>
    <x v="10"/>
  </r>
  <r>
    <x v="20"/>
    <x v="37"/>
    <x v="48"/>
    <x v="1"/>
    <x v="529"/>
    <x v="2"/>
    <x v="0"/>
    <x v="2"/>
    <x v="221"/>
    <x v="12"/>
  </r>
  <r>
    <x v="20"/>
    <x v="32"/>
    <x v="27"/>
    <x v="6"/>
    <x v="422"/>
    <x v="2"/>
    <x v="2"/>
    <x v="4"/>
    <x v="221"/>
    <x v="10"/>
  </r>
  <r>
    <x v="20"/>
    <x v="23"/>
    <x v="25"/>
    <x v="3"/>
    <x v="284"/>
    <x v="2"/>
    <x v="0"/>
    <x v="2"/>
    <x v="221"/>
    <x v="6"/>
  </r>
  <r>
    <x v="20"/>
    <x v="12"/>
    <x v="24"/>
    <x v="1"/>
    <x v="331"/>
    <x v="2"/>
    <x v="0"/>
    <x v="2"/>
    <x v="221"/>
    <x v="5"/>
  </r>
  <r>
    <x v="20"/>
    <x v="38"/>
    <x v="12"/>
    <x v="3"/>
    <x v="444"/>
    <x v="2"/>
    <x v="0"/>
    <x v="2"/>
    <x v="221"/>
    <x v="5"/>
  </r>
  <r>
    <x v="21"/>
    <x v="32"/>
    <x v="1805"/>
    <x v="7"/>
    <x v="421"/>
    <x v="2"/>
    <x v="2"/>
    <x v="4"/>
    <x v="221"/>
    <x v="10"/>
  </r>
  <r>
    <x v="21"/>
    <x v="9"/>
    <x v="1429"/>
    <x v="0"/>
    <x v="230"/>
    <x v="2"/>
    <x v="0"/>
    <x v="2"/>
    <x v="221"/>
    <x v="5"/>
  </r>
  <r>
    <x v="21"/>
    <x v="32"/>
    <x v="1376"/>
    <x v="3"/>
    <x v="421"/>
    <x v="2"/>
    <x v="2"/>
    <x v="4"/>
    <x v="221"/>
    <x v="10"/>
  </r>
  <r>
    <x v="21"/>
    <x v="32"/>
    <x v="999"/>
    <x v="8"/>
    <x v="421"/>
    <x v="2"/>
    <x v="2"/>
    <x v="4"/>
    <x v="221"/>
    <x v="10"/>
  </r>
  <r>
    <x v="21"/>
    <x v="5"/>
    <x v="852"/>
    <x v="3"/>
    <x v="117"/>
    <x v="2"/>
    <x v="0"/>
    <x v="2"/>
    <x v="221"/>
    <x v="11"/>
  </r>
  <r>
    <x v="21"/>
    <x v="32"/>
    <x v="645"/>
    <x v="5"/>
    <x v="532"/>
    <x v="2"/>
    <x v="2"/>
    <x v="4"/>
    <x v="221"/>
    <x v="10"/>
  </r>
  <r>
    <x v="21"/>
    <x v="12"/>
    <x v="505"/>
    <x v="0"/>
    <x v="18"/>
    <x v="2"/>
    <x v="0"/>
    <x v="2"/>
    <x v="221"/>
    <x v="5"/>
  </r>
  <r>
    <x v="21"/>
    <x v="32"/>
    <x v="239"/>
    <x v="6"/>
    <x v="421"/>
    <x v="2"/>
    <x v="2"/>
    <x v="4"/>
    <x v="221"/>
    <x v="10"/>
  </r>
  <r>
    <x v="21"/>
    <x v="32"/>
    <x v="180"/>
    <x v="2"/>
    <x v="421"/>
    <x v="2"/>
    <x v="2"/>
    <x v="4"/>
    <x v="221"/>
    <x v="10"/>
  </r>
  <r>
    <x v="21"/>
    <x v="38"/>
    <x v="161"/>
    <x v="0"/>
    <x v="226"/>
    <x v="2"/>
    <x v="0"/>
    <x v="2"/>
    <x v="221"/>
    <x v="5"/>
  </r>
  <r>
    <x v="21"/>
    <x v="12"/>
    <x v="134"/>
    <x v="1"/>
    <x v="416"/>
    <x v="2"/>
    <x v="0"/>
    <x v="2"/>
    <x v="221"/>
    <x v="5"/>
  </r>
  <r>
    <x v="21"/>
    <x v="37"/>
    <x v="45"/>
    <x v="1"/>
    <x v="529"/>
    <x v="2"/>
    <x v="0"/>
    <x v="2"/>
    <x v="221"/>
    <x v="12"/>
  </r>
  <r>
    <x v="21"/>
    <x v="38"/>
    <x v="33"/>
    <x v="1"/>
    <x v="401"/>
    <x v="2"/>
    <x v="0"/>
    <x v="2"/>
    <x v="221"/>
    <x v="5"/>
  </r>
  <r>
    <x v="21"/>
    <x v="38"/>
    <x v="5"/>
    <x v="3"/>
    <x v="444"/>
    <x v="2"/>
    <x v="0"/>
    <x v="2"/>
    <x v="221"/>
    <x v="5"/>
  </r>
  <r>
    <x v="22"/>
    <x v="32"/>
    <x v="1666"/>
    <x v="7"/>
    <x v="422"/>
    <x v="2"/>
    <x v="2"/>
    <x v="4"/>
    <x v="221"/>
    <x v="10"/>
  </r>
  <r>
    <x v="22"/>
    <x v="9"/>
    <x v="1321"/>
    <x v="0"/>
    <x v="230"/>
    <x v="2"/>
    <x v="0"/>
    <x v="2"/>
    <x v="221"/>
    <x v="5"/>
  </r>
  <r>
    <x v="22"/>
    <x v="20"/>
    <x v="1295"/>
    <x v="0"/>
    <x v="63"/>
    <x v="2"/>
    <x v="0"/>
    <x v="2"/>
    <x v="221"/>
    <x v="5"/>
  </r>
  <r>
    <x v="22"/>
    <x v="32"/>
    <x v="1097"/>
    <x v="5"/>
    <x v="532"/>
    <x v="2"/>
    <x v="2"/>
    <x v="4"/>
    <x v="221"/>
    <x v="10"/>
  </r>
  <r>
    <x v="22"/>
    <x v="20"/>
    <x v="985"/>
    <x v="0"/>
    <x v="63"/>
    <x v="2"/>
    <x v="0"/>
    <x v="2"/>
    <x v="221"/>
    <x v="5"/>
  </r>
  <r>
    <x v="22"/>
    <x v="32"/>
    <x v="816"/>
    <x v="3"/>
    <x v="422"/>
    <x v="2"/>
    <x v="2"/>
    <x v="4"/>
    <x v="221"/>
    <x v="10"/>
  </r>
  <r>
    <x v="22"/>
    <x v="32"/>
    <x v="305"/>
    <x v="8"/>
    <x v="422"/>
    <x v="2"/>
    <x v="2"/>
    <x v="4"/>
    <x v="221"/>
    <x v="10"/>
  </r>
  <r>
    <x v="22"/>
    <x v="12"/>
    <x v="281"/>
    <x v="0"/>
    <x v="18"/>
    <x v="2"/>
    <x v="0"/>
    <x v="2"/>
    <x v="221"/>
    <x v="5"/>
  </r>
  <r>
    <x v="22"/>
    <x v="32"/>
    <x v="244"/>
    <x v="6"/>
    <x v="422"/>
    <x v="2"/>
    <x v="2"/>
    <x v="4"/>
    <x v="221"/>
    <x v="10"/>
  </r>
  <r>
    <x v="22"/>
    <x v="26"/>
    <x v="90"/>
    <x v="1"/>
    <x v="338"/>
    <x v="2"/>
    <x v="0"/>
    <x v="2"/>
    <x v="221"/>
    <x v="5"/>
  </r>
  <r>
    <x v="22"/>
    <x v="32"/>
    <x v="77"/>
    <x v="2"/>
    <x v="422"/>
    <x v="2"/>
    <x v="2"/>
    <x v="4"/>
    <x v="221"/>
    <x v="10"/>
  </r>
  <r>
    <x v="22"/>
    <x v="1"/>
    <x v="70"/>
    <x v="1"/>
    <x v="431"/>
    <x v="2"/>
    <x v="0"/>
    <x v="2"/>
    <x v="221"/>
    <x v="4"/>
  </r>
  <r>
    <x v="22"/>
    <x v="20"/>
    <x v="69"/>
    <x v="0"/>
    <x v="63"/>
    <x v="2"/>
    <x v="0"/>
    <x v="2"/>
    <x v="221"/>
    <x v="5"/>
  </r>
  <r>
    <x v="22"/>
    <x v="37"/>
    <x v="58"/>
    <x v="1"/>
    <x v="529"/>
    <x v="2"/>
    <x v="0"/>
    <x v="2"/>
    <x v="221"/>
    <x v="12"/>
  </r>
  <r>
    <x v="22"/>
    <x v="23"/>
    <x v="5"/>
    <x v="3"/>
    <x v="284"/>
    <x v="2"/>
    <x v="0"/>
    <x v="2"/>
    <x v="221"/>
    <x v="6"/>
  </r>
  <r>
    <x v="22"/>
    <x v="38"/>
    <x v="5"/>
    <x v="3"/>
    <x v="444"/>
    <x v="2"/>
    <x v="0"/>
    <x v="2"/>
    <x v="221"/>
    <x v="5"/>
  </r>
  <r>
    <x v="23"/>
    <x v="32"/>
    <x v="1976"/>
    <x v="7"/>
    <x v="422"/>
    <x v="2"/>
    <x v="2"/>
    <x v="4"/>
    <x v="221"/>
    <x v="10"/>
  </r>
  <r>
    <x v="23"/>
    <x v="32"/>
    <x v="1477"/>
    <x v="5"/>
    <x v="532"/>
    <x v="2"/>
    <x v="2"/>
    <x v="4"/>
    <x v="221"/>
    <x v="10"/>
  </r>
  <r>
    <x v="23"/>
    <x v="8"/>
    <x v="1018"/>
    <x v="0"/>
    <x v="132"/>
    <x v="2"/>
    <x v="0"/>
    <x v="2"/>
    <x v="221"/>
    <x v="5"/>
  </r>
  <r>
    <x v="23"/>
    <x v="32"/>
    <x v="868"/>
    <x v="3"/>
    <x v="422"/>
    <x v="2"/>
    <x v="2"/>
    <x v="4"/>
    <x v="221"/>
    <x v="10"/>
  </r>
  <r>
    <x v="23"/>
    <x v="9"/>
    <x v="680"/>
    <x v="0"/>
    <x v="230"/>
    <x v="2"/>
    <x v="0"/>
    <x v="2"/>
    <x v="221"/>
    <x v="5"/>
  </r>
  <r>
    <x v="23"/>
    <x v="32"/>
    <x v="398"/>
    <x v="2"/>
    <x v="422"/>
    <x v="2"/>
    <x v="2"/>
    <x v="4"/>
    <x v="221"/>
    <x v="10"/>
  </r>
  <r>
    <x v="23"/>
    <x v="15"/>
    <x v="394"/>
    <x v="3"/>
    <x v="355"/>
    <x v="2"/>
    <x v="0"/>
    <x v="2"/>
    <x v="221"/>
    <x v="4"/>
  </r>
  <r>
    <x v="23"/>
    <x v="12"/>
    <x v="375"/>
    <x v="0"/>
    <x v="171"/>
    <x v="2"/>
    <x v="0"/>
    <x v="2"/>
    <x v="221"/>
    <x v="5"/>
  </r>
  <r>
    <x v="23"/>
    <x v="38"/>
    <x v="294"/>
    <x v="0"/>
    <x v="226"/>
    <x v="2"/>
    <x v="0"/>
    <x v="2"/>
    <x v="221"/>
    <x v="5"/>
  </r>
  <r>
    <x v="23"/>
    <x v="32"/>
    <x v="210"/>
    <x v="8"/>
    <x v="422"/>
    <x v="2"/>
    <x v="2"/>
    <x v="4"/>
    <x v="221"/>
    <x v="10"/>
  </r>
  <r>
    <x v="23"/>
    <x v="37"/>
    <x v="40"/>
    <x v="1"/>
    <x v="529"/>
    <x v="2"/>
    <x v="0"/>
    <x v="2"/>
    <x v="221"/>
    <x v="12"/>
  </r>
  <r>
    <x v="23"/>
    <x v="23"/>
    <x v="25"/>
    <x v="3"/>
    <x v="284"/>
    <x v="2"/>
    <x v="0"/>
    <x v="2"/>
    <x v="221"/>
    <x v="6"/>
  </r>
  <r>
    <x v="23"/>
    <x v="38"/>
    <x v="12"/>
    <x v="3"/>
    <x v="444"/>
    <x v="2"/>
    <x v="0"/>
    <x v="2"/>
    <x v="221"/>
    <x v="5"/>
  </r>
  <r>
    <x v="24"/>
    <x v="32"/>
    <x v="1816"/>
    <x v="7"/>
    <x v="422"/>
    <x v="2"/>
    <x v="2"/>
    <x v="4"/>
    <x v="221"/>
    <x v="10"/>
  </r>
  <r>
    <x v="24"/>
    <x v="9"/>
    <x v="1541"/>
    <x v="0"/>
    <x v="230"/>
    <x v="2"/>
    <x v="0"/>
    <x v="2"/>
    <x v="221"/>
    <x v="5"/>
  </r>
  <r>
    <x v="24"/>
    <x v="32"/>
    <x v="1512"/>
    <x v="3"/>
    <x v="422"/>
    <x v="2"/>
    <x v="2"/>
    <x v="4"/>
    <x v="221"/>
    <x v="10"/>
  </r>
  <r>
    <x v="24"/>
    <x v="32"/>
    <x v="894"/>
    <x v="8"/>
    <x v="422"/>
    <x v="2"/>
    <x v="2"/>
    <x v="4"/>
    <x v="221"/>
    <x v="10"/>
  </r>
  <r>
    <x v="24"/>
    <x v="27"/>
    <x v="836"/>
    <x v="1"/>
    <x v="359"/>
    <x v="2"/>
    <x v="0"/>
    <x v="2"/>
    <x v="221"/>
    <x v="5"/>
  </r>
  <r>
    <x v="24"/>
    <x v="32"/>
    <x v="782"/>
    <x v="2"/>
    <x v="422"/>
    <x v="2"/>
    <x v="2"/>
    <x v="4"/>
    <x v="221"/>
    <x v="10"/>
  </r>
  <r>
    <x v="24"/>
    <x v="12"/>
    <x v="644"/>
    <x v="0"/>
    <x v="18"/>
    <x v="2"/>
    <x v="0"/>
    <x v="2"/>
    <x v="221"/>
    <x v="5"/>
  </r>
  <r>
    <x v="24"/>
    <x v="32"/>
    <x v="582"/>
    <x v="6"/>
    <x v="422"/>
    <x v="2"/>
    <x v="2"/>
    <x v="4"/>
    <x v="221"/>
    <x v="10"/>
  </r>
  <r>
    <x v="24"/>
    <x v="32"/>
    <x v="349"/>
    <x v="5"/>
    <x v="532"/>
    <x v="2"/>
    <x v="2"/>
    <x v="4"/>
    <x v="221"/>
    <x v="10"/>
  </r>
  <r>
    <x v="24"/>
    <x v="1"/>
    <x v="343"/>
    <x v="1"/>
    <x v="431"/>
    <x v="2"/>
    <x v="0"/>
    <x v="2"/>
    <x v="221"/>
    <x v="4"/>
  </r>
  <r>
    <x v="24"/>
    <x v="12"/>
    <x v="287"/>
    <x v="1"/>
    <x v="509"/>
    <x v="2"/>
    <x v="0"/>
    <x v="2"/>
    <x v="221"/>
    <x v="5"/>
  </r>
  <r>
    <x v="24"/>
    <x v="20"/>
    <x v="106"/>
    <x v="1"/>
    <x v="162"/>
    <x v="2"/>
    <x v="0"/>
    <x v="2"/>
    <x v="221"/>
    <x v="5"/>
  </r>
  <r>
    <x v="24"/>
    <x v="26"/>
    <x v="90"/>
    <x v="1"/>
    <x v="338"/>
    <x v="2"/>
    <x v="0"/>
    <x v="2"/>
    <x v="221"/>
    <x v="5"/>
  </r>
  <r>
    <x v="24"/>
    <x v="37"/>
    <x v="48"/>
    <x v="1"/>
    <x v="529"/>
    <x v="2"/>
    <x v="0"/>
    <x v="2"/>
    <x v="221"/>
    <x v="12"/>
  </r>
  <r>
    <x v="24"/>
    <x v="12"/>
    <x v="45"/>
    <x v="1"/>
    <x v="316"/>
    <x v="2"/>
    <x v="0"/>
    <x v="2"/>
    <x v="221"/>
    <x v="5"/>
  </r>
  <r>
    <x v="24"/>
    <x v="12"/>
    <x v="29"/>
    <x v="1"/>
    <x v="331"/>
    <x v="2"/>
    <x v="0"/>
    <x v="2"/>
    <x v="221"/>
    <x v="5"/>
  </r>
  <r>
    <x v="24"/>
    <x v="23"/>
    <x v="19"/>
    <x v="3"/>
    <x v="284"/>
    <x v="2"/>
    <x v="0"/>
    <x v="2"/>
    <x v="221"/>
    <x v="6"/>
  </r>
  <r>
    <x v="25"/>
    <x v="32"/>
    <x v="1862"/>
    <x v="7"/>
    <x v="422"/>
    <x v="2"/>
    <x v="2"/>
    <x v="4"/>
    <x v="221"/>
    <x v="10"/>
  </r>
  <r>
    <x v="25"/>
    <x v="9"/>
    <x v="1389"/>
    <x v="0"/>
    <x v="230"/>
    <x v="2"/>
    <x v="0"/>
    <x v="2"/>
    <x v="221"/>
    <x v="5"/>
  </r>
  <r>
    <x v="25"/>
    <x v="20"/>
    <x v="1278"/>
    <x v="0"/>
    <x v="63"/>
    <x v="2"/>
    <x v="0"/>
    <x v="2"/>
    <x v="221"/>
    <x v="5"/>
  </r>
  <r>
    <x v="25"/>
    <x v="13"/>
    <x v="1249"/>
    <x v="0"/>
    <x v="35"/>
    <x v="2"/>
    <x v="0"/>
    <x v="2"/>
    <x v="221"/>
    <x v="5"/>
  </r>
  <r>
    <x v="25"/>
    <x v="20"/>
    <x v="1031"/>
    <x v="0"/>
    <x v="63"/>
    <x v="2"/>
    <x v="0"/>
    <x v="2"/>
    <x v="221"/>
    <x v="5"/>
  </r>
  <r>
    <x v="25"/>
    <x v="32"/>
    <x v="960"/>
    <x v="3"/>
    <x v="422"/>
    <x v="2"/>
    <x v="2"/>
    <x v="4"/>
    <x v="221"/>
    <x v="10"/>
  </r>
  <r>
    <x v="25"/>
    <x v="27"/>
    <x v="925"/>
    <x v="1"/>
    <x v="9"/>
    <x v="2"/>
    <x v="0"/>
    <x v="2"/>
    <x v="221"/>
    <x v="5"/>
  </r>
  <r>
    <x v="25"/>
    <x v="32"/>
    <x v="860"/>
    <x v="5"/>
    <x v="532"/>
    <x v="2"/>
    <x v="2"/>
    <x v="4"/>
    <x v="221"/>
    <x v="10"/>
  </r>
  <r>
    <x v="25"/>
    <x v="12"/>
    <x v="656"/>
    <x v="0"/>
    <x v="18"/>
    <x v="2"/>
    <x v="0"/>
    <x v="2"/>
    <x v="221"/>
    <x v="5"/>
  </r>
  <r>
    <x v="25"/>
    <x v="32"/>
    <x v="540"/>
    <x v="2"/>
    <x v="422"/>
    <x v="2"/>
    <x v="2"/>
    <x v="4"/>
    <x v="221"/>
    <x v="10"/>
  </r>
  <r>
    <x v="25"/>
    <x v="38"/>
    <x v="334"/>
    <x v="0"/>
    <x v="226"/>
    <x v="2"/>
    <x v="0"/>
    <x v="2"/>
    <x v="221"/>
    <x v="5"/>
  </r>
  <r>
    <x v="25"/>
    <x v="38"/>
    <x v="315"/>
    <x v="0"/>
    <x v="226"/>
    <x v="2"/>
    <x v="0"/>
    <x v="2"/>
    <x v="221"/>
    <x v="5"/>
  </r>
  <r>
    <x v="25"/>
    <x v="38"/>
    <x v="267"/>
    <x v="0"/>
    <x v="226"/>
    <x v="2"/>
    <x v="0"/>
    <x v="2"/>
    <x v="221"/>
    <x v="5"/>
  </r>
  <r>
    <x v="25"/>
    <x v="28"/>
    <x v="191"/>
    <x v="1"/>
    <x v="590"/>
    <x v="2"/>
    <x v="0"/>
    <x v="2"/>
    <x v="221"/>
    <x v="0"/>
  </r>
  <r>
    <x v="25"/>
    <x v="37"/>
    <x v="50"/>
    <x v="1"/>
    <x v="529"/>
    <x v="2"/>
    <x v="0"/>
    <x v="2"/>
    <x v="221"/>
    <x v="12"/>
  </r>
  <r>
    <x v="25"/>
    <x v="24"/>
    <x v="36"/>
    <x v="1"/>
    <x v="289"/>
    <x v="2"/>
    <x v="0"/>
    <x v="2"/>
    <x v="221"/>
    <x v="6"/>
  </r>
  <r>
    <x v="25"/>
    <x v="32"/>
    <x v="32"/>
    <x v="6"/>
    <x v="422"/>
    <x v="2"/>
    <x v="2"/>
    <x v="4"/>
    <x v="221"/>
    <x v="10"/>
  </r>
  <r>
    <x v="25"/>
    <x v="23"/>
    <x v="19"/>
    <x v="3"/>
    <x v="284"/>
    <x v="2"/>
    <x v="0"/>
    <x v="2"/>
    <x v="221"/>
    <x v="6"/>
  </r>
  <r>
    <x v="26"/>
    <x v="32"/>
    <x v="1659"/>
    <x v="7"/>
    <x v="422"/>
    <x v="2"/>
    <x v="2"/>
    <x v="4"/>
    <x v="221"/>
    <x v="10"/>
  </r>
  <r>
    <x v="26"/>
    <x v="38"/>
    <x v="1275"/>
    <x v="1"/>
    <x v="391"/>
    <x v="2"/>
    <x v="0"/>
    <x v="2"/>
    <x v="221"/>
    <x v="5"/>
  </r>
  <r>
    <x v="26"/>
    <x v="32"/>
    <x v="1029"/>
    <x v="5"/>
    <x v="422"/>
    <x v="2"/>
    <x v="2"/>
    <x v="4"/>
    <x v="221"/>
    <x v="10"/>
  </r>
  <r>
    <x v="26"/>
    <x v="32"/>
    <x v="1004"/>
    <x v="3"/>
    <x v="422"/>
    <x v="2"/>
    <x v="2"/>
    <x v="4"/>
    <x v="221"/>
    <x v="10"/>
  </r>
  <r>
    <x v="26"/>
    <x v="9"/>
    <x v="954"/>
    <x v="0"/>
    <x v="230"/>
    <x v="2"/>
    <x v="0"/>
    <x v="2"/>
    <x v="221"/>
    <x v="5"/>
  </r>
  <r>
    <x v="26"/>
    <x v="15"/>
    <x v="386"/>
    <x v="1"/>
    <x v="355"/>
    <x v="2"/>
    <x v="0"/>
    <x v="2"/>
    <x v="221"/>
    <x v="4"/>
  </r>
  <r>
    <x v="26"/>
    <x v="12"/>
    <x v="333"/>
    <x v="0"/>
    <x v="18"/>
    <x v="2"/>
    <x v="0"/>
    <x v="2"/>
    <x v="221"/>
    <x v="5"/>
  </r>
  <r>
    <x v="26"/>
    <x v="38"/>
    <x v="235"/>
    <x v="0"/>
    <x v="226"/>
    <x v="2"/>
    <x v="0"/>
    <x v="2"/>
    <x v="221"/>
    <x v="5"/>
  </r>
  <r>
    <x v="26"/>
    <x v="32"/>
    <x v="143"/>
    <x v="6"/>
    <x v="422"/>
    <x v="2"/>
    <x v="2"/>
    <x v="4"/>
    <x v="221"/>
    <x v="10"/>
  </r>
  <r>
    <x v="26"/>
    <x v="12"/>
    <x v="51"/>
    <x v="1"/>
    <x v="331"/>
    <x v="2"/>
    <x v="0"/>
    <x v="2"/>
    <x v="221"/>
    <x v="5"/>
  </r>
  <r>
    <x v="26"/>
    <x v="24"/>
    <x v="45"/>
    <x v="1"/>
    <x v="375"/>
    <x v="2"/>
    <x v="0"/>
    <x v="2"/>
    <x v="221"/>
    <x v="6"/>
  </r>
  <r>
    <x v="26"/>
    <x v="0"/>
    <x v="45"/>
    <x v="1"/>
    <x v="273"/>
    <x v="2"/>
    <x v="0"/>
    <x v="2"/>
    <x v="221"/>
    <x v="9"/>
  </r>
  <r>
    <x v="26"/>
    <x v="37"/>
    <x v="40"/>
    <x v="1"/>
    <x v="529"/>
    <x v="2"/>
    <x v="0"/>
    <x v="2"/>
    <x v="221"/>
    <x v="12"/>
  </r>
  <r>
    <x v="27"/>
    <x v="32"/>
    <x v="1820"/>
    <x v="7"/>
    <x v="422"/>
    <x v="2"/>
    <x v="2"/>
    <x v="4"/>
    <x v="221"/>
    <x v="10"/>
  </r>
  <r>
    <x v="27"/>
    <x v="20"/>
    <x v="1003"/>
    <x v="0"/>
    <x v="63"/>
    <x v="2"/>
    <x v="0"/>
    <x v="2"/>
    <x v="221"/>
    <x v="5"/>
  </r>
  <r>
    <x v="27"/>
    <x v="32"/>
    <x v="843"/>
    <x v="5"/>
    <x v="422"/>
    <x v="2"/>
    <x v="2"/>
    <x v="4"/>
    <x v="221"/>
    <x v="10"/>
  </r>
  <r>
    <x v="27"/>
    <x v="32"/>
    <x v="826"/>
    <x v="2"/>
    <x v="422"/>
    <x v="2"/>
    <x v="2"/>
    <x v="4"/>
    <x v="221"/>
    <x v="10"/>
  </r>
  <r>
    <x v="27"/>
    <x v="32"/>
    <x v="691"/>
    <x v="6"/>
    <x v="422"/>
    <x v="2"/>
    <x v="2"/>
    <x v="4"/>
    <x v="221"/>
    <x v="10"/>
  </r>
  <r>
    <x v="27"/>
    <x v="9"/>
    <x v="659"/>
    <x v="0"/>
    <x v="230"/>
    <x v="2"/>
    <x v="0"/>
    <x v="2"/>
    <x v="221"/>
    <x v="5"/>
  </r>
  <r>
    <x v="27"/>
    <x v="32"/>
    <x v="605"/>
    <x v="3"/>
    <x v="422"/>
    <x v="2"/>
    <x v="2"/>
    <x v="4"/>
    <x v="221"/>
    <x v="10"/>
  </r>
  <r>
    <x v="27"/>
    <x v="32"/>
    <x v="370"/>
    <x v="8"/>
    <x v="422"/>
    <x v="2"/>
    <x v="2"/>
    <x v="4"/>
    <x v="221"/>
    <x v="10"/>
  </r>
  <r>
    <x v="27"/>
    <x v="12"/>
    <x v="340"/>
    <x v="0"/>
    <x v="18"/>
    <x v="2"/>
    <x v="0"/>
    <x v="2"/>
    <x v="221"/>
    <x v="5"/>
  </r>
  <r>
    <x v="27"/>
    <x v="37"/>
    <x v="59"/>
    <x v="1"/>
    <x v="529"/>
    <x v="2"/>
    <x v="0"/>
    <x v="2"/>
    <x v="221"/>
    <x v="12"/>
  </r>
  <r>
    <x v="27"/>
    <x v="38"/>
    <x v="9"/>
    <x v="3"/>
    <x v="444"/>
    <x v="2"/>
    <x v="0"/>
    <x v="2"/>
    <x v="221"/>
    <x v="5"/>
  </r>
  <r>
    <x v="28"/>
    <x v="32"/>
    <x v="1755"/>
    <x v="7"/>
    <x v="422"/>
    <x v="2"/>
    <x v="2"/>
    <x v="4"/>
    <x v="221"/>
    <x v="10"/>
  </r>
  <r>
    <x v="28"/>
    <x v="20"/>
    <x v="1284"/>
    <x v="0"/>
    <x v="63"/>
    <x v="2"/>
    <x v="0"/>
    <x v="2"/>
    <x v="221"/>
    <x v="5"/>
  </r>
  <r>
    <x v="28"/>
    <x v="9"/>
    <x v="1065"/>
    <x v="0"/>
    <x v="230"/>
    <x v="2"/>
    <x v="0"/>
    <x v="2"/>
    <x v="221"/>
    <x v="5"/>
  </r>
  <r>
    <x v="28"/>
    <x v="32"/>
    <x v="1051"/>
    <x v="3"/>
    <x v="422"/>
    <x v="2"/>
    <x v="2"/>
    <x v="4"/>
    <x v="221"/>
    <x v="10"/>
  </r>
  <r>
    <x v="28"/>
    <x v="32"/>
    <x v="897"/>
    <x v="5"/>
    <x v="422"/>
    <x v="2"/>
    <x v="2"/>
    <x v="4"/>
    <x v="221"/>
    <x v="10"/>
  </r>
  <r>
    <x v="28"/>
    <x v="3"/>
    <x v="845"/>
    <x v="1"/>
    <x v="415"/>
    <x v="2"/>
    <x v="0"/>
    <x v="2"/>
    <x v="221"/>
    <x v="4"/>
  </r>
  <r>
    <x v="28"/>
    <x v="32"/>
    <x v="756"/>
    <x v="6"/>
    <x v="422"/>
    <x v="2"/>
    <x v="2"/>
    <x v="4"/>
    <x v="221"/>
    <x v="10"/>
  </r>
  <r>
    <x v="28"/>
    <x v="28"/>
    <x v="618"/>
    <x v="1"/>
    <x v="424"/>
    <x v="2"/>
    <x v="0"/>
    <x v="2"/>
    <x v="221"/>
    <x v="0"/>
  </r>
  <r>
    <x v="28"/>
    <x v="3"/>
    <x v="599"/>
    <x v="1"/>
    <x v="543"/>
    <x v="2"/>
    <x v="0"/>
    <x v="2"/>
    <x v="221"/>
    <x v="4"/>
  </r>
  <r>
    <x v="28"/>
    <x v="12"/>
    <x v="500"/>
    <x v="0"/>
    <x v="18"/>
    <x v="2"/>
    <x v="0"/>
    <x v="2"/>
    <x v="221"/>
    <x v="5"/>
  </r>
  <r>
    <x v="28"/>
    <x v="13"/>
    <x v="256"/>
    <x v="1"/>
    <x v="21"/>
    <x v="2"/>
    <x v="0"/>
    <x v="2"/>
    <x v="221"/>
    <x v="5"/>
  </r>
  <r>
    <x v="28"/>
    <x v="24"/>
    <x v="256"/>
    <x v="1"/>
    <x v="565"/>
    <x v="2"/>
    <x v="0"/>
    <x v="2"/>
    <x v="221"/>
    <x v="6"/>
  </r>
  <r>
    <x v="28"/>
    <x v="38"/>
    <x v="229"/>
    <x v="0"/>
    <x v="226"/>
    <x v="2"/>
    <x v="0"/>
    <x v="2"/>
    <x v="221"/>
    <x v="5"/>
  </r>
  <r>
    <x v="28"/>
    <x v="38"/>
    <x v="223"/>
    <x v="0"/>
    <x v="226"/>
    <x v="2"/>
    <x v="0"/>
    <x v="2"/>
    <x v="221"/>
    <x v="5"/>
  </r>
  <r>
    <x v="28"/>
    <x v="32"/>
    <x v="198"/>
    <x v="2"/>
    <x v="422"/>
    <x v="2"/>
    <x v="2"/>
    <x v="4"/>
    <x v="221"/>
    <x v="10"/>
  </r>
  <r>
    <x v="28"/>
    <x v="37"/>
    <x v="59"/>
    <x v="1"/>
    <x v="529"/>
    <x v="2"/>
    <x v="0"/>
    <x v="2"/>
    <x v="221"/>
    <x v="12"/>
  </r>
  <r>
    <x v="28"/>
    <x v="23"/>
    <x v="19"/>
    <x v="3"/>
    <x v="284"/>
    <x v="2"/>
    <x v="0"/>
    <x v="2"/>
    <x v="221"/>
    <x v="6"/>
  </r>
  <r>
    <x v="28"/>
    <x v="38"/>
    <x v="5"/>
    <x v="3"/>
    <x v="444"/>
    <x v="2"/>
    <x v="0"/>
    <x v="2"/>
    <x v="221"/>
    <x v="5"/>
  </r>
  <r>
    <x v="29"/>
    <x v="32"/>
    <x v="1822"/>
    <x v="7"/>
    <x v="422"/>
    <x v="2"/>
    <x v="2"/>
    <x v="4"/>
    <x v="221"/>
    <x v="10"/>
  </r>
  <r>
    <x v="29"/>
    <x v="32"/>
    <x v="1456"/>
    <x v="3"/>
    <x v="422"/>
    <x v="2"/>
    <x v="2"/>
    <x v="4"/>
    <x v="221"/>
    <x v="10"/>
  </r>
  <r>
    <x v="29"/>
    <x v="9"/>
    <x v="1227"/>
    <x v="0"/>
    <x v="230"/>
    <x v="2"/>
    <x v="0"/>
    <x v="2"/>
    <x v="221"/>
    <x v="5"/>
  </r>
  <r>
    <x v="29"/>
    <x v="24"/>
    <x v="719"/>
    <x v="1"/>
    <x v="496"/>
    <x v="2"/>
    <x v="0"/>
    <x v="2"/>
    <x v="221"/>
    <x v="6"/>
  </r>
  <r>
    <x v="29"/>
    <x v="20"/>
    <x v="612"/>
    <x v="0"/>
    <x v="63"/>
    <x v="2"/>
    <x v="0"/>
    <x v="2"/>
    <x v="221"/>
    <x v="5"/>
  </r>
  <r>
    <x v="29"/>
    <x v="32"/>
    <x v="523"/>
    <x v="8"/>
    <x v="422"/>
    <x v="2"/>
    <x v="2"/>
    <x v="4"/>
    <x v="221"/>
    <x v="10"/>
  </r>
  <r>
    <x v="29"/>
    <x v="32"/>
    <x v="449"/>
    <x v="5"/>
    <x v="422"/>
    <x v="2"/>
    <x v="2"/>
    <x v="4"/>
    <x v="221"/>
    <x v="10"/>
  </r>
  <r>
    <x v="29"/>
    <x v="18"/>
    <x v="375"/>
    <x v="1"/>
    <x v="141"/>
    <x v="2"/>
    <x v="0"/>
    <x v="2"/>
    <x v="221"/>
    <x v="3"/>
  </r>
  <r>
    <x v="29"/>
    <x v="38"/>
    <x v="240"/>
    <x v="0"/>
    <x v="226"/>
    <x v="2"/>
    <x v="0"/>
    <x v="2"/>
    <x v="221"/>
    <x v="5"/>
  </r>
  <r>
    <x v="29"/>
    <x v="24"/>
    <x v="191"/>
    <x v="1"/>
    <x v="427"/>
    <x v="2"/>
    <x v="0"/>
    <x v="2"/>
    <x v="221"/>
    <x v="6"/>
  </r>
  <r>
    <x v="29"/>
    <x v="32"/>
    <x v="80"/>
    <x v="6"/>
    <x v="422"/>
    <x v="2"/>
    <x v="2"/>
    <x v="4"/>
    <x v="221"/>
    <x v="10"/>
  </r>
  <r>
    <x v="29"/>
    <x v="32"/>
    <x v="77"/>
    <x v="4"/>
    <x v="422"/>
    <x v="2"/>
    <x v="2"/>
    <x v="4"/>
    <x v="221"/>
    <x v="10"/>
  </r>
  <r>
    <x v="29"/>
    <x v="37"/>
    <x v="59"/>
    <x v="1"/>
    <x v="529"/>
    <x v="2"/>
    <x v="0"/>
    <x v="2"/>
    <x v="221"/>
    <x v="12"/>
  </r>
  <r>
    <x v="29"/>
    <x v="12"/>
    <x v="35"/>
    <x v="1"/>
    <x v="331"/>
    <x v="2"/>
    <x v="0"/>
    <x v="2"/>
    <x v="221"/>
    <x v="5"/>
  </r>
  <r>
    <x v="29"/>
    <x v="38"/>
    <x v="30"/>
    <x v="1"/>
    <x v="405"/>
    <x v="2"/>
    <x v="0"/>
    <x v="2"/>
    <x v="221"/>
    <x v="5"/>
  </r>
  <r>
    <x v="29"/>
    <x v="23"/>
    <x v="12"/>
    <x v="3"/>
    <x v="284"/>
    <x v="2"/>
    <x v="0"/>
    <x v="2"/>
    <x v="221"/>
    <x v="6"/>
  </r>
  <r>
    <x v="30"/>
    <x v="32"/>
    <x v="1938"/>
    <x v="7"/>
    <x v="422"/>
    <x v="2"/>
    <x v="2"/>
    <x v="4"/>
    <x v="221"/>
    <x v="10"/>
  </r>
  <r>
    <x v="30"/>
    <x v="9"/>
    <x v="1338"/>
    <x v="0"/>
    <x v="230"/>
    <x v="2"/>
    <x v="0"/>
    <x v="2"/>
    <x v="221"/>
    <x v="5"/>
  </r>
  <r>
    <x v="30"/>
    <x v="13"/>
    <x v="1143"/>
    <x v="0"/>
    <x v="181"/>
    <x v="2"/>
    <x v="0"/>
    <x v="2"/>
    <x v="221"/>
    <x v="5"/>
  </r>
  <r>
    <x v="30"/>
    <x v="32"/>
    <x v="800"/>
    <x v="2"/>
    <x v="422"/>
    <x v="2"/>
    <x v="2"/>
    <x v="4"/>
    <x v="221"/>
    <x v="10"/>
  </r>
  <r>
    <x v="30"/>
    <x v="8"/>
    <x v="779"/>
    <x v="0"/>
    <x v="132"/>
    <x v="2"/>
    <x v="0"/>
    <x v="2"/>
    <x v="221"/>
    <x v="5"/>
  </r>
  <r>
    <x v="30"/>
    <x v="32"/>
    <x v="713"/>
    <x v="5"/>
    <x v="422"/>
    <x v="2"/>
    <x v="2"/>
    <x v="4"/>
    <x v="221"/>
    <x v="10"/>
  </r>
  <r>
    <x v="30"/>
    <x v="32"/>
    <x v="610"/>
    <x v="3"/>
    <x v="422"/>
    <x v="2"/>
    <x v="2"/>
    <x v="4"/>
    <x v="221"/>
    <x v="10"/>
  </r>
  <r>
    <x v="30"/>
    <x v="3"/>
    <x v="599"/>
    <x v="1"/>
    <x v="543"/>
    <x v="2"/>
    <x v="0"/>
    <x v="2"/>
    <x v="221"/>
    <x v="4"/>
  </r>
  <r>
    <x v="30"/>
    <x v="20"/>
    <x v="544"/>
    <x v="0"/>
    <x v="63"/>
    <x v="2"/>
    <x v="0"/>
    <x v="2"/>
    <x v="221"/>
    <x v="5"/>
  </r>
  <r>
    <x v="30"/>
    <x v="12"/>
    <x v="503"/>
    <x v="0"/>
    <x v="18"/>
    <x v="2"/>
    <x v="0"/>
    <x v="2"/>
    <x v="221"/>
    <x v="5"/>
  </r>
  <r>
    <x v="30"/>
    <x v="1"/>
    <x v="343"/>
    <x v="1"/>
    <x v="431"/>
    <x v="2"/>
    <x v="0"/>
    <x v="2"/>
    <x v="221"/>
    <x v="4"/>
  </r>
  <r>
    <x v="30"/>
    <x v="32"/>
    <x v="311"/>
    <x v="6"/>
    <x v="422"/>
    <x v="2"/>
    <x v="2"/>
    <x v="4"/>
    <x v="221"/>
    <x v="10"/>
  </r>
  <r>
    <x v="30"/>
    <x v="38"/>
    <x v="158"/>
    <x v="0"/>
    <x v="226"/>
    <x v="2"/>
    <x v="0"/>
    <x v="2"/>
    <x v="221"/>
    <x v="5"/>
  </r>
  <r>
    <x v="30"/>
    <x v="24"/>
    <x v="158"/>
    <x v="1"/>
    <x v="585"/>
    <x v="2"/>
    <x v="0"/>
    <x v="2"/>
    <x v="221"/>
    <x v="6"/>
  </r>
  <r>
    <x v="30"/>
    <x v="32"/>
    <x v="100"/>
    <x v="4"/>
    <x v="422"/>
    <x v="2"/>
    <x v="2"/>
    <x v="4"/>
    <x v="221"/>
    <x v="10"/>
  </r>
  <r>
    <x v="30"/>
    <x v="32"/>
    <x v="94"/>
    <x v="8"/>
    <x v="422"/>
    <x v="2"/>
    <x v="2"/>
    <x v="4"/>
    <x v="221"/>
    <x v="10"/>
  </r>
  <r>
    <x v="30"/>
    <x v="24"/>
    <x v="90"/>
    <x v="1"/>
    <x v="393"/>
    <x v="2"/>
    <x v="0"/>
    <x v="2"/>
    <x v="221"/>
    <x v="6"/>
  </r>
  <r>
    <x v="30"/>
    <x v="37"/>
    <x v="53"/>
    <x v="1"/>
    <x v="529"/>
    <x v="2"/>
    <x v="0"/>
    <x v="2"/>
    <x v="221"/>
    <x v="12"/>
  </r>
  <r>
    <x v="30"/>
    <x v="23"/>
    <x v="19"/>
    <x v="3"/>
    <x v="284"/>
    <x v="2"/>
    <x v="0"/>
    <x v="2"/>
    <x v="221"/>
    <x v="6"/>
  </r>
  <r>
    <x v="30"/>
    <x v="36"/>
    <x v="12"/>
    <x v="3"/>
    <x v="311"/>
    <x v="2"/>
    <x v="0"/>
    <x v="2"/>
    <x v="221"/>
    <x v="5"/>
  </r>
  <r>
    <x v="31"/>
    <x v="32"/>
    <x v="1837"/>
    <x v="7"/>
    <x v="422"/>
    <x v="2"/>
    <x v="2"/>
    <x v="4"/>
    <x v="221"/>
    <x v="10"/>
  </r>
  <r>
    <x v="31"/>
    <x v="20"/>
    <x v="1396"/>
    <x v="0"/>
    <x v="62"/>
    <x v="2"/>
    <x v="0"/>
    <x v="2"/>
    <x v="221"/>
    <x v="5"/>
  </r>
  <r>
    <x v="31"/>
    <x v="32"/>
    <x v="1342"/>
    <x v="5"/>
    <x v="532"/>
    <x v="2"/>
    <x v="2"/>
    <x v="4"/>
    <x v="221"/>
    <x v="10"/>
  </r>
  <r>
    <x v="31"/>
    <x v="32"/>
    <x v="1182"/>
    <x v="3"/>
    <x v="422"/>
    <x v="2"/>
    <x v="2"/>
    <x v="4"/>
    <x v="221"/>
    <x v="10"/>
  </r>
  <r>
    <x v="31"/>
    <x v="20"/>
    <x v="1163"/>
    <x v="0"/>
    <x v="62"/>
    <x v="2"/>
    <x v="0"/>
    <x v="2"/>
    <x v="221"/>
    <x v="5"/>
  </r>
  <r>
    <x v="31"/>
    <x v="9"/>
    <x v="888"/>
    <x v="0"/>
    <x v="230"/>
    <x v="2"/>
    <x v="0"/>
    <x v="2"/>
    <x v="221"/>
    <x v="5"/>
  </r>
  <r>
    <x v="31"/>
    <x v="38"/>
    <x v="869"/>
    <x v="3"/>
    <x v="389"/>
    <x v="2"/>
    <x v="0"/>
    <x v="2"/>
    <x v="221"/>
    <x v="5"/>
  </r>
  <r>
    <x v="31"/>
    <x v="38"/>
    <x v="769"/>
    <x v="1"/>
    <x v="389"/>
    <x v="2"/>
    <x v="0"/>
    <x v="2"/>
    <x v="221"/>
    <x v="5"/>
  </r>
  <r>
    <x v="31"/>
    <x v="32"/>
    <x v="744"/>
    <x v="6"/>
    <x v="422"/>
    <x v="2"/>
    <x v="2"/>
    <x v="4"/>
    <x v="221"/>
    <x v="10"/>
  </r>
  <r>
    <x v="31"/>
    <x v="27"/>
    <x v="709"/>
    <x v="1"/>
    <x v="361"/>
    <x v="2"/>
    <x v="0"/>
    <x v="2"/>
    <x v="221"/>
    <x v="5"/>
  </r>
  <r>
    <x v="31"/>
    <x v="12"/>
    <x v="585"/>
    <x v="0"/>
    <x v="18"/>
    <x v="2"/>
    <x v="0"/>
    <x v="2"/>
    <x v="221"/>
    <x v="5"/>
  </r>
  <r>
    <x v="31"/>
    <x v="32"/>
    <x v="360"/>
    <x v="8"/>
    <x v="422"/>
    <x v="2"/>
    <x v="2"/>
    <x v="4"/>
    <x v="221"/>
    <x v="10"/>
  </r>
  <r>
    <x v="31"/>
    <x v="38"/>
    <x v="245"/>
    <x v="0"/>
    <x v="226"/>
    <x v="2"/>
    <x v="0"/>
    <x v="2"/>
    <x v="221"/>
    <x v="5"/>
  </r>
  <r>
    <x v="31"/>
    <x v="24"/>
    <x v="154"/>
    <x v="1"/>
    <x v="557"/>
    <x v="2"/>
    <x v="0"/>
    <x v="2"/>
    <x v="221"/>
    <x v="6"/>
  </r>
  <r>
    <x v="31"/>
    <x v="24"/>
    <x v="59"/>
    <x v="1"/>
    <x v="307"/>
    <x v="2"/>
    <x v="0"/>
    <x v="2"/>
    <x v="221"/>
    <x v="6"/>
  </r>
  <r>
    <x v="31"/>
    <x v="37"/>
    <x v="55"/>
    <x v="1"/>
    <x v="529"/>
    <x v="2"/>
    <x v="0"/>
    <x v="2"/>
    <x v="221"/>
    <x v="12"/>
  </r>
  <r>
    <x v="31"/>
    <x v="38"/>
    <x v="19"/>
    <x v="3"/>
    <x v="444"/>
    <x v="2"/>
    <x v="0"/>
    <x v="2"/>
    <x v="221"/>
    <x v="5"/>
  </r>
  <r>
    <x v="31"/>
    <x v="23"/>
    <x v="5"/>
    <x v="3"/>
    <x v="284"/>
    <x v="2"/>
    <x v="0"/>
    <x v="2"/>
    <x v="221"/>
    <x v="6"/>
  </r>
  <r>
    <x v="32"/>
    <x v="32"/>
    <x v="1804"/>
    <x v="7"/>
    <x v="422"/>
    <x v="2"/>
    <x v="2"/>
    <x v="4"/>
    <x v="221"/>
    <x v="10"/>
  </r>
  <r>
    <x v="32"/>
    <x v="32"/>
    <x v="1584"/>
    <x v="5"/>
    <x v="532"/>
    <x v="2"/>
    <x v="2"/>
    <x v="4"/>
    <x v="221"/>
    <x v="10"/>
  </r>
  <r>
    <x v="32"/>
    <x v="9"/>
    <x v="1123"/>
    <x v="0"/>
    <x v="230"/>
    <x v="2"/>
    <x v="0"/>
    <x v="2"/>
    <x v="221"/>
    <x v="5"/>
  </r>
  <r>
    <x v="32"/>
    <x v="32"/>
    <x v="942"/>
    <x v="6"/>
    <x v="422"/>
    <x v="2"/>
    <x v="2"/>
    <x v="4"/>
    <x v="221"/>
    <x v="10"/>
  </r>
  <r>
    <x v="32"/>
    <x v="32"/>
    <x v="704"/>
    <x v="3"/>
    <x v="422"/>
    <x v="2"/>
    <x v="2"/>
    <x v="4"/>
    <x v="221"/>
    <x v="10"/>
  </r>
  <r>
    <x v="32"/>
    <x v="32"/>
    <x v="662"/>
    <x v="2"/>
    <x v="422"/>
    <x v="2"/>
    <x v="2"/>
    <x v="4"/>
    <x v="221"/>
    <x v="10"/>
  </r>
  <r>
    <x v="32"/>
    <x v="15"/>
    <x v="584"/>
    <x v="1"/>
    <x v="355"/>
    <x v="2"/>
    <x v="0"/>
    <x v="2"/>
    <x v="221"/>
    <x v="4"/>
  </r>
  <r>
    <x v="32"/>
    <x v="32"/>
    <x v="548"/>
    <x v="8"/>
    <x v="422"/>
    <x v="2"/>
    <x v="2"/>
    <x v="4"/>
    <x v="221"/>
    <x v="10"/>
  </r>
  <r>
    <x v="32"/>
    <x v="12"/>
    <x v="370"/>
    <x v="0"/>
    <x v="18"/>
    <x v="2"/>
    <x v="0"/>
    <x v="2"/>
    <x v="221"/>
    <x v="5"/>
  </r>
  <r>
    <x v="32"/>
    <x v="38"/>
    <x v="357"/>
    <x v="0"/>
    <x v="226"/>
    <x v="2"/>
    <x v="0"/>
    <x v="2"/>
    <x v="221"/>
    <x v="5"/>
  </r>
  <r>
    <x v="32"/>
    <x v="12"/>
    <x v="90"/>
    <x v="1"/>
    <x v="338"/>
    <x v="2"/>
    <x v="0"/>
    <x v="2"/>
    <x v="221"/>
    <x v="5"/>
  </r>
  <r>
    <x v="32"/>
    <x v="37"/>
    <x v="45"/>
    <x v="1"/>
    <x v="529"/>
    <x v="2"/>
    <x v="0"/>
    <x v="2"/>
    <x v="221"/>
    <x v="12"/>
  </r>
  <r>
    <x v="32"/>
    <x v="24"/>
    <x v="25"/>
    <x v="1"/>
    <x v="385"/>
    <x v="2"/>
    <x v="0"/>
    <x v="2"/>
    <x v="221"/>
    <x v="6"/>
  </r>
  <r>
    <x v="32"/>
    <x v="23"/>
    <x v="12"/>
    <x v="3"/>
    <x v="284"/>
    <x v="2"/>
    <x v="0"/>
    <x v="2"/>
    <x v="221"/>
    <x v="6"/>
  </r>
  <r>
    <x v="32"/>
    <x v="37"/>
    <x v="12"/>
    <x v="3"/>
    <x v="529"/>
    <x v="2"/>
    <x v="0"/>
    <x v="2"/>
    <x v="221"/>
    <x v="12"/>
  </r>
  <r>
    <x v="33"/>
    <x v="24"/>
    <x v="45"/>
    <x v="1"/>
    <x v="460"/>
    <x v="2"/>
    <x v="0"/>
    <x v="2"/>
    <x v="221"/>
    <x v="6"/>
  </r>
  <r>
    <x v="33"/>
    <x v="38"/>
    <x v="174"/>
    <x v="0"/>
    <x v="226"/>
    <x v="2"/>
    <x v="0"/>
    <x v="2"/>
    <x v="221"/>
    <x v="5"/>
  </r>
  <r>
    <x v="33"/>
    <x v="9"/>
    <x v="1262"/>
    <x v="0"/>
    <x v="230"/>
    <x v="2"/>
    <x v="0"/>
    <x v="2"/>
    <x v="221"/>
    <x v="5"/>
  </r>
  <r>
    <x v="33"/>
    <x v="8"/>
    <x v="779"/>
    <x v="0"/>
    <x v="132"/>
    <x v="2"/>
    <x v="0"/>
    <x v="2"/>
    <x v="221"/>
    <x v="5"/>
  </r>
  <r>
    <x v="33"/>
    <x v="12"/>
    <x v="507"/>
    <x v="0"/>
    <x v="18"/>
    <x v="2"/>
    <x v="0"/>
    <x v="2"/>
    <x v="221"/>
    <x v="5"/>
  </r>
  <r>
    <x v="33"/>
    <x v="23"/>
    <x v="12"/>
    <x v="3"/>
    <x v="284"/>
    <x v="2"/>
    <x v="0"/>
    <x v="2"/>
    <x v="221"/>
    <x v="6"/>
  </r>
  <r>
    <x v="33"/>
    <x v="37"/>
    <x v="55"/>
    <x v="1"/>
    <x v="529"/>
    <x v="2"/>
    <x v="0"/>
    <x v="2"/>
    <x v="221"/>
    <x v="12"/>
  </r>
  <r>
    <x v="33"/>
    <x v="0"/>
    <x v="256"/>
    <x v="1"/>
    <x v="478"/>
    <x v="2"/>
    <x v="0"/>
    <x v="2"/>
    <x v="221"/>
    <x v="9"/>
  </r>
  <r>
    <x v="33"/>
    <x v="12"/>
    <x v="30"/>
    <x v="1"/>
    <x v="331"/>
    <x v="2"/>
    <x v="0"/>
    <x v="2"/>
    <x v="221"/>
    <x v="5"/>
  </r>
  <r>
    <x v="33"/>
    <x v="0"/>
    <x v="518"/>
    <x v="1"/>
    <x v="480"/>
    <x v="2"/>
    <x v="0"/>
    <x v="2"/>
    <x v="221"/>
    <x v="9"/>
  </r>
  <r>
    <x v="33"/>
    <x v="32"/>
    <x v="890"/>
    <x v="3"/>
    <x v="422"/>
    <x v="2"/>
    <x v="2"/>
    <x v="4"/>
    <x v="221"/>
    <x v="10"/>
  </r>
  <r>
    <x v="33"/>
    <x v="32"/>
    <x v="404"/>
    <x v="2"/>
    <x v="422"/>
    <x v="2"/>
    <x v="2"/>
    <x v="4"/>
    <x v="221"/>
    <x v="10"/>
  </r>
  <r>
    <x v="33"/>
    <x v="32"/>
    <x v="465"/>
    <x v="6"/>
    <x v="422"/>
    <x v="2"/>
    <x v="2"/>
    <x v="4"/>
    <x v="221"/>
    <x v="10"/>
  </r>
  <r>
    <x v="33"/>
    <x v="32"/>
    <x v="1745"/>
    <x v="7"/>
    <x v="422"/>
    <x v="2"/>
    <x v="2"/>
    <x v="4"/>
    <x v="221"/>
    <x v="10"/>
  </r>
  <r>
    <x v="33"/>
    <x v="32"/>
    <x v="1134"/>
    <x v="8"/>
    <x v="422"/>
    <x v="2"/>
    <x v="2"/>
    <x v="4"/>
    <x v="221"/>
    <x v="10"/>
  </r>
  <r>
    <x v="33"/>
    <x v="32"/>
    <x v="1276"/>
    <x v="5"/>
    <x v="532"/>
    <x v="2"/>
    <x v="2"/>
    <x v="4"/>
    <x v="221"/>
    <x v="10"/>
  </r>
  <r>
    <x v="34"/>
    <x v="20"/>
    <x v="1142"/>
    <x v="0"/>
    <x v="62"/>
    <x v="2"/>
    <x v="0"/>
    <x v="2"/>
    <x v="221"/>
    <x v="5"/>
  </r>
  <r>
    <x v="34"/>
    <x v="20"/>
    <x v="570"/>
    <x v="0"/>
    <x v="62"/>
    <x v="2"/>
    <x v="0"/>
    <x v="2"/>
    <x v="221"/>
    <x v="5"/>
  </r>
  <r>
    <x v="34"/>
    <x v="38"/>
    <x v="128"/>
    <x v="0"/>
    <x v="226"/>
    <x v="2"/>
    <x v="0"/>
    <x v="2"/>
    <x v="221"/>
    <x v="5"/>
  </r>
  <r>
    <x v="34"/>
    <x v="9"/>
    <x v="439"/>
    <x v="0"/>
    <x v="230"/>
    <x v="2"/>
    <x v="0"/>
    <x v="2"/>
    <x v="221"/>
    <x v="5"/>
  </r>
  <r>
    <x v="34"/>
    <x v="12"/>
    <x v="254"/>
    <x v="0"/>
    <x v="18"/>
    <x v="2"/>
    <x v="0"/>
    <x v="2"/>
    <x v="221"/>
    <x v="5"/>
  </r>
  <r>
    <x v="34"/>
    <x v="23"/>
    <x v="12"/>
    <x v="3"/>
    <x v="284"/>
    <x v="2"/>
    <x v="0"/>
    <x v="2"/>
    <x v="221"/>
    <x v="6"/>
  </r>
  <r>
    <x v="34"/>
    <x v="17"/>
    <x v="1869"/>
    <x v="0"/>
    <x v="194"/>
    <x v="2"/>
    <x v="0"/>
    <x v="2"/>
    <x v="221"/>
    <x v="3"/>
  </r>
  <r>
    <x v="34"/>
    <x v="17"/>
    <x v="1277"/>
    <x v="0"/>
    <x v="194"/>
    <x v="2"/>
    <x v="0"/>
    <x v="2"/>
    <x v="221"/>
    <x v="3"/>
  </r>
  <r>
    <x v="34"/>
    <x v="20"/>
    <x v="86"/>
    <x v="1"/>
    <x v="63"/>
    <x v="2"/>
    <x v="0"/>
    <x v="2"/>
    <x v="221"/>
    <x v="5"/>
  </r>
  <r>
    <x v="34"/>
    <x v="37"/>
    <x v="45"/>
    <x v="1"/>
    <x v="529"/>
    <x v="2"/>
    <x v="0"/>
    <x v="2"/>
    <x v="221"/>
    <x v="12"/>
  </r>
  <r>
    <x v="34"/>
    <x v="24"/>
    <x v="12"/>
    <x v="3"/>
    <x v="302"/>
    <x v="2"/>
    <x v="0"/>
    <x v="2"/>
    <x v="221"/>
    <x v="6"/>
  </r>
  <r>
    <x v="34"/>
    <x v="32"/>
    <x v="614"/>
    <x v="3"/>
    <x v="422"/>
    <x v="2"/>
    <x v="2"/>
    <x v="4"/>
    <x v="221"/>
    <x v="10"/>
  </r>
  <r>
    <x v="34"/>
    <x v="32"/>
    <x v="45"/>
    <x v="4"/>
    <x v="422"/>
    <x v="2"/>
    <x v="2"/>
    <x v="4"/>
    <x v="221"/>
    <x v="10"/>
  </r>
  <r>
    <x v="34"/>
    <x v="32"/>
    <x v="158"/>
    <x v="6"/>
    <x v="422"/>
    <x v="2"/>
    <x v="2"/>
    <x v="4"/>
    <x v="221"/>
    <x v="10"/>
  </r>
  <r>
    <x v="34"/>
    <x v="32"/>
    <x v="1699"/>
    <x v="7"/>
    <x v="422"/>
    <x v="2"/>
    <x v="2"/>
    <x v="4"/>
    <x v="221"/>
    <x v="10"/>
  </r>
  <r>
    <x v="34"/>
    <x v="32"/>
    <x v="618"/>
    <x v="8"/>
    <x v="422"/>
    <x v="2"/>
    <x v="2"/>
    <x v="4"/>
    <x v="221"/>
    <x v="10"/>
  </r>
  <r>
    <x v="34"/>
    <x v="32"/>
    <x v="1071"/>
    <x v="5"/>
    <x v="532"/>
    <x v="2"/>
    <x v="2"/>
    <x v="4"/>
    <x v="221"/>
    <x v="10"/>
  </r>
  <r>
    <x v="34"/>
    <x v="12"/>
    <x v="23"/>
    <x v="1"/>
    <x v="331"/>
    <x v="2"/>
    <x v="0"/>
    <x v="2"/>
    <x v="221"/>
    <x v="5"/>
  </r>
  <r>
    <x v="35"/>
    <x v="20"/>
    <x v="623"/>
    <x v="0"/>
    <x v="61"/>
    <x v="2"/>
    <x v="0"/>
    <x v="2"/>
    <x v="221"/>
    <x v="5"/>
  </r>
  <r>
    <x v="35"/>
    <x v="12"/>
    <x v="785"/>
    <x v="0"/>
    <x v="18"/>
    <x v="2"/>
    <x v="0"/>
    <x v="2"/>
    <x v="221"/>
    <x v="5"/>
  </r>
  <r>
    <x v="35"/>
    <x v="1"/>
    <x v="375"/>
    <x v="1"/>
    <x v="431"/>
    <x v="2"/>
    <x v="0"/>
    <x v="2"/>
    <x v="221"/>
    <x v="4"/>
  </r>
  <r>
    <x v="35"/>
    <x v="9"/>
    <x v="1598"/>
    <x v="0"/>
    <x v="230"/>
    <x v="2"/>
    <x v="0"/>
    <x v="2"/>
    <x v="221"/>
    <x v="5"/>
  </r>
  <r>
    <x v="35"/>
    <x v="38"/>
    <x v="451"/>
    <x v="0"/>
    <x v="226"/>
    <x v="2"/>
    <x v="0"/>
    <x v="2"/>
    <x v="221"/>
    <x v="5"/>
  </r>
  <r>
    <x v="35"/>
    <x v="12"/>
    <x v="287"/>
    <x v="1"/>
    <x v="509"/>
    <x v="2"/>
    <x v="0"/>
    <x v="2"/>
    <x v="221"/>
    <x v="5"/>
  </r>
  <r>
    <x v="35"/>
    <x v="37"/>
    <x v="97"/>
    <x v="1"/>
    <x v="529"/>
    <x v="2"/>
    <x v="0"/>
    <x v="2"/>
    <x v="221"/>
    <x v="12"/>
  </r>
  <r>
    <x v="35"/>
    <x v="38"/>
    <x v="53"/>
    <x v="1"/>
    <x v="405"/>
    <x v="2"/>
    <x v="0"/>
    <x v="2"/>
    <x v="221"/>
    <x v="5"/>
  </r>
  <r>
    <x v="35"/>
    <x v="12"/>
    <x v="19"/>
    <x v="1"/>
    <x v="331"/>
    <x v="2"/>
    <x v="0"/>
    <x v="2"/>
    <x v="221"/>
    <x v="5"/>
  </r>
  <r>
    <x v="35"/>
    <x v="24"/>
    <x v="30"/>
    <x v="1"/>
    <x v="90"/>
    <x v="2"/>
    <x v="0"/>
    <x v="2"/>
    <x v="221"/>
    <x v="6"/>
  </r>
  <r>
    <x v="35"/>
    <x v="37"/>
    <x v="12"/>
    <x v="3"/>
    <x v="529"/>
    <x v="2"/>
    <x v="0"/>
    <x v="2"/>
    <x v="221"/>
    <x v="12"/>
  </r>
  <r>
    <x v="35"/>
    <x v="23"/>
    <x v="19"/>
    <x v="3"/>
    <x v="284"/>
    <x v="2"/>
    <x v="0"/>
    <x v="2"/>
    <x v="221"/>
    <x v="6"/>
  </r>
  <r>
    <x v="35"/>
    <x v="0"/>
    <x v="87"/>
    <x v="1"/>
    <x v="365"/>
    <x v="2"/>
    <x v="0"/>
    <x v="2"/>
    <x v="221"/>
    <x v="9"/>
  </r>
  <r>
    <x v="35"/>
    <x v="32"/>
    <x v="1432"/>
    <x v="3"/>
    <x v="422"/>
    <x v="2"/>
    <x v="2"/>
    <x v="4"/>
    <x v="221"/>
    <x v="10"/>
  </r>
  <r>
    <x v="35"/>
    <x v="32"/>
    <x v="900"/>
    <x v="2"/>
    <x v="422"/>
    <x v="2"/>
    <x v="2"/>
    <x v="4"/>
    <x v="221"/>
    <x v="10"/>
  </r>
  <r>
    <x v="35"/>
    <x v="32"/>
    <x v="223"/>
    <x v="6"/>
    <x v="422"/>
    <x v="2"/>
    <x v="2"/>
    <x v="4"/>
    <x v="221"/>
    <x v="10"/>
  </r>
  <r>
    <x v="35"/>
    <x v="32"/>
    <x v="1845"/>
    <x v="7"/>
    <x v="422"/>
    <x v="2"/>
    <x v="2"/>
    <x v="4"/>
    <x v="221"/>
    <x v="10"/>
  </r>
  <r>
    <x v="35"/>
    <x v="32"/>
    <x v="892"/>
    <x v="8"/>
    <x v="422"/>
    <x v="2"/>
    <x v="2"/>
    <x v="4"/>
    <x v="221"/>
    <x v="10"/>
  </r>
  <r>
    <x v="35"/>
    <x v="32"/>
    <x v="1313"/>
    <x v="5"/>
    <x v="532"/>
    <x v="2"/>
    <x v="2"/>
    <x v="4"/>
    <x v="221"/>
    <x v="10"/>
  </r>
  <r>
    <x v="36"/>
    <x v="20"/>
    <x v="5"/>
    <x v="3"/>
    <x v="409"/>
    <x v="2"/>
    <x v="0"/>
    <x v="2"/>
    <x v="221"/>
    <x v="5"/>
  </r>
  <r>
    <x v="36"/>
    <x v="23"/>
    <x v="2"/>
    <x v="3"/>
    <x v="284"/>
    <x v="2"/>
    <x v="0"/>
    <x v="2"/>
    <x v="221"/>
    <x v="6"/>
  </r>
  <r>
    <x v="36"/>
    <x v="12"/>
    <x v="431"/>
    <x v="0"/>
    <x v="18"/>
    <x v="2"/>
    <x v="0"/>
    <x v="2"/>
    <x v="221"/>
    <x v="5"/>
  </r>
  <r>
    <x v="36"/>
    <x v="9"/>
    <x v="1651"/>
    <x v="0"/>
    <x v="230"/>
    <x v="2"/>
    <x v="0"/>
    <x v="2"/>
    <x v="221"/>
    <x v="5"/>
  </r>
  <r>
    <x v="36"/>
    <x v="8"/>
    <x v="779"/>
    <x v="0"/>
    <x v="132"/>
    <x v="2"/>
    <x v="0"/>
    <x v="2"/>
    <x v="221"/>
    <x v="5"/>
  </r>
  <r>
    <x v="36"/>
    <x v="20"/>
    <x v="1383"/>
    <x v="0"/>
    <x v="63"/>
    <x v="2"/>
    <x v="0"/>
    <x v="2"/>
    <x v="221"/>
    <x v="5"/>
  </r>
  <r>
    <x v="36"/>
    <x v="38"/>
    <x v="386"/>
    <x v="0"/>
    <x v="226"/>
    <x v="2"/>
    <x v="0"/>
    <x v="2"/>
    <x v="221"/>
    <x v="5"/>
  </r>
  <r>
    <x v="36"/>
    <x v="15"/>
    <x v="404"/>
    <x v="3"/>
    <x v="355"/>
    <x v="2"/>
    <x v="0"/>
    <x v="2"/>
    <x v="221"/>
    <x v="4"/>
  </r>
  <r>
    <x v="36"/>
    <x v="27"/>
    <x v="993"/>
    <x v="1"/>
    <x v="7"/>
    <x v="2"/>
    <x v="0"/>
    <x v="2"/>
    <x v="221"/>
    <x v="5"/>
  </r>
  <r>
    <x v="36"/>
    <x v="31"/>
    <x v="224"/>
    <x v="1"/>
    <x v="73"/>
    <x v="2"/>
    <x v="0"/>
    <x v="2"/>
    <x v="221"/>
    <x v="8"/>
  </r>
  <r>
    <x v="36"/>
    <x v="24"/>
    <x v="45"/>
    <x v="1"/>
    <x v="155"/>
    <x v="2"/>
    <x v="0"/>
    <x v="2"/>
    <x v="221"/>
    <x v="6"/>
  </r>
  <r>
    <x v="36"/>
    <x v="38"/>
    <x v="599"/>
    <x v="1"/>
    <x v="389"/>
    <x v="2"/>
    <x v="0"/>
    <x v="2"/>
    <x v="221"/>
    <x v="5"/>
  </r>
  <r>
    <x v="36"/>
    <x v="24"/>
    <x v="12"/>
    <x v="1"/>
    <x v="545"/>
    <x v="2"/>
    <x v="0"/>
    <x v="2"/>
    <x v="221"/>
    <x v="6"/>
  </r>
  <r>
    <x v="36"/>
    <x v="37"/>
    <x v="58"/>
    <x v="3"/>
    <x v="529"/>
    <x v="2"/>
    <x v="0"/>
    <x v="2"/>
    <x v="221"/>
    <x v="12"/>
  </r>
  <r>
    <x v="36"/>
    <x v="20"/>
    <x v="45"/>
    <x v="1"/>
    <x v="508"/>
    <x v="2"/>
    <x v="0"/>
    <x v="2"/>
    <x v="221"/>
    <x v="5"/>
  </r>
  <r>
    <x v="36"/>
    <x v="28"/>
    <x v="412"/>
    <x v="3"/>
    <x v="424"/>
    <x v="2"/>
    <x v="0"/>
    <x v="2"/>
    <x v="221"/>
    <x v="0"/>
  </r>
  <r>
    <x v="36"/>
    <x v="3"/>
    <x v="120"/>
    <x v="1"/>
    <x v="575"/>
    <x v="2"/>
    <x v="0"/>
    <x v="2"/>
    <x v="221"/>
    <x v="4"/>
  </r>
  <r>
    <x v="36"/>
    <x v="20"/>
    <x v="90"/>
    <x v="1"/>
    <x v="150"/>
    <x v="2"/>
    <x v="0"/>
    <x v="2"/>
    <x v="221"/>
    <x v="5"/>
  </r>
  <r>
    <x v="36"/>
    <x v="28"/>
    <x v="191"/>
    <x v="1"/>
    <x v="424"/>
    <x v="2"/>
    <x v="0"/>
    <x v="2"/>
    <x v="221"/>
    <x v="0"/>
  </r>
  <r>
    <x v="36"/>
    <x v="0"/>
    <x v="894"/>
    <x v="3"/>
    <x v="273"/>
    <x v="2"/>
    <x v="0"/>
    <x v="2"/>
    <x v="221"/>
    <x v="9"/>
  </r>
  <r>
    <x v="36"/>
    <x v="32"/>
    <x v="1534"/>
    <x v="3"/>
    <x v="422"/>
    <x v="2"/>
    <x v="2"/>
    <x v="4"/>
    <x v="221"/>
    <x v="10"/>
  </r>
  <r>
    <x v="36"/>
    <x v="32"/>
    <x v="1300"/>
    <x v="2"/>
    <x v="422"/>
    <x v="2"/>
    <x v="2"/>
    <x v="4"/>
    <x v="221"/>
    <x v="10"/>
  </r>
  <r>
    <x v="36"/>
    <x v="32"/>
    <x v="117"/>
    <x v="4"/>
    <x v="422"/>
    <x v="2"/>
    <x v="2"/>
    <x v="4"/>
    <x v="221"/>
    <x v="10"/>
  </r>
  <r>
    <x v="36"/>
    <x v="32"/>
    <x v="431"/>
    <x v="6"/>
    <x v="422"/>
    <x v="2"/>
    <x v="2"/>
    <x v="4"/>
    <x v="221"/>
    <x v="10"/>
  </r>
  <r>
    <x v="36"/>
    <x v="32"/>
    <x v="1967"/>
    <x v="7"/>
    <x v="422"/>
    <x v="2"/>
    <x v="2"/>
    <x v="4"/>
    <x v="221"/>
    <x v="10"/>
  </r>
  <r>
    <x v="36"/>
    <x v="32"/>
    <x v="828"/>
    <x v="8"/>
    <x v="422"/>
    <x v="2"/>
    <x v="2"/>
    <x v="4"/>
    <x v="221"/>
    <x v="10"/>
  </r>
  <r>
    <x v="36"/>
    <x v="32"/>
    <x v="1594"/>
    <x v="5"/>
    <x v="532"/>
    <x v="2"/>
    <x v="2"/>
    <x v="4"/>
    <x v="221"/>
    <x v="10"/>
  </r>
  <r>
    <x v="37"/>
    <x v="23"/>
    <x v="27"/>
    <x v="3"/>
    <x v="284"/>
    <x v="3"/>
    <x v="0"/>
    <x v="2"/>
    <x v="221"/>
    <x v="6"/>
  </r>
  <r>
    <x v="37"/>
    <x v="38"/>
    <x v="15"/>
    <x v="3"/>
    <x v="444"/>
    <x v="3"/>
    <x v="0"/>
    <x v="2"/>
    <x v="221"/>
    <x v="5"/>
  </r>
  <r>
    <x v="37"/>
    <x v="20"/>
    <x v="1447"/>
    <x v="0"/>
    <x v="63"/>
    <x v="3"/>
    <x v="0"/>
    <x v="2"/>
    <x v="221"/>
    <x v="5"/>
  </r>
  <r>
    <x v="37"/>
    <x v="8"/>
    <x v="449"/>
    <x v="0"/>
    <x v="132"/>
    <x v="3"/>
    <x v="0"/>
    <x v="2"/>
    <x v="221"/>
    <x v="5"/>
  </r>
  <r>
    <x v="37"/>
    <x v="12"/>
    <x v="948"/>
    <x v="0"/>
    <x v="18"/>
    <x v="3"/>
    <x v="0"/>
    <x v="2"/>
    <x v="221"/>
    <x v="5"/>
  </r>
  <r>
    <x v="37"/>
    <x v="9"/>
    <x v="1658"/>
    <x v="0"/>
    <x v="230"/>
    <x v="3"/>
    <x v="0"/>
    <x v="2"/>
    <x v="221"/>
    <x v="5"/>
  </r>
  <r>
    <x v="37"/>
    <x v="12"/>
    <x v="375"/>
    <x v="1"/>
    <x v="431"/>
    <x v="3"/>
    <x v="0"/>
    <x v="2"/>
    <x v="221"/>
    <x v="5"/>
  </r>
  <r>
    <x v="37"/>
    <x v="3"/>
    <x v="909"/>
    <x v="0"/>
    <x v="415"/>
    <x v="3"/>
    <x v="0"/>
    <x v="2"/>
    <x v="221"/>
    <x v="4"/>
  </r>
  <r>
    <x v="37"/>
    <x v="24"/>
    <x v="120"/>
    <x v="1"/>
    <x v="289"/>
    <x v="3"/>
    <x v="0"/>
    <x v="2"/>
    <x v="221"/>
    <x v="6"/>
  </r>
  <r>
    <x v="37"/>
    <x v="37"/>
    <x v="53"/>
    <x v="1"/>
    <x v="529"/>
    <x v="3"/>
    <x v="0"/>
    <x v="2"/>
    <x v="221"/>
    <x v="12"/>
  </r>
  <r>
    <x v="37"/>
    <x v="32"/>
    <x v="1393"/>
    <x v="3"/>
    <x v="422"/>
    <x v="3"/>
    <x v="2"/>
    <x v="4"/>
    <x v="221"/>
    <x v="10"/>
  </r>
  <r>
    <x v="37"/>
    <x v="32"/>
    <x v="402"/>
    <x v="2"/>
    <x v="422"/>
    <x v="3"/>
    <x v="2"/>
    <x v="4"/>
    <x v="221"/>
    <x v="10"/>
  </r>
  <r>
    <x v="37"/>
    <x v="32"/>
    <x v="1444"/>
    <x v="6"/>
    <x v="422"/>
    <x v="3"/>
    <x v="2"/>
    <x v="4"/>
    <x v="221"/>
    <x v="10"/>
  </r>
  <r>
    <x v="37"/>
    <x v="32"/>
    <x v="1983"/>
    <x v="7"/>
    <x v="422"/>
    <x v="3"/>
    <x v="2"/>
    <x v="4"/>
    <x v="221"/>
    <x v="10"/>
  </r>
  <r>
    <x v="37"/>
    <x v="32"/>
    <x v="548"/>
    <x v="8"/>
    <x v="422"/>
    <x v="3"/>
    <x v="2"/>
    <x v="4"/>
    <x v="221"/>
    <x v="10"/>
  </r>
  <r>
    <x v="37"/>
    <x v="32"/>
    <x v="1653"/>
    <x v="5"/>
    <x v="532"/>
    <x v="3"/>
    <x v="2"/>
    <x v="4"/>
    <x v="221"/>
    <x v="10"/>
  </r>
  <r>
    <x v="38"/>
    <x v="3"/>
    <x v="988"/>
    <x v="0"/>
    <x v="543"/>
    <x v="3"/>
    <x v="0"/>
    <x v="2"/>
    <x v="221"/>
    <x v="4"/>
  </r>
  <r>
    <x v="38"/>
    <x v="20"/>
    <x v="1122"/>
    <x v="0"/>
    <x v="63"/>
    <x v="3"/>
    <x v="0"/>
    <x v="2"/>
    <x v="221"/>
    <x v="5"/>
  </r>
  <r>
    <x v="38"/>
    <x v="15"/>
    <x v="407"/>
    <x v="1"/>
    <x v="355"/>
    <x v="3"/>
    <x v="0"/>
    <x v="2"/>
    <x v="221"/>
    <x v="4"/>
  </r>
  <r>
    <x v="38"/>
    <x v="9"/>
    <x v="1681"/>
    <x v="0"/>
    <x v="230"/>
    <x v="3"/>
    <x v="0"/>
    <x v="2"/>
    <x v="221"/>
    <x v="5"/>
  </r>
  <r>
    <x v="38"/>
    <x v="12"/>
    <x v="1089"/>
    <x v="0"/>
    <x v="18"/>
    <x v="3"/>
    <x v="0"/>
    <x v="2"/>
    <x v="221"/>
    <x v="5"/>
  </r>
  <r>
    <x v="38"/>
    <x v="0"/>
    <x v="1483"/>
    <x v="0"/>
    <x v="452"/>
    <x v="3"/>
    <x v="0"/>
    <x v="2"/>
    <x v="221"/>
    <x v="9"/>
  </r>
  <r>
    <x v="38"/>
    <x v="37"/>
    <x v="55"/>
    <x v="1"/>
    <x v="529"/>
    <x v="3"/>
    <x v="0"/>
    <x v="2"/>
    <x v="221"/>
    <x v="12"/>
  </r>
  <r>
    <x v="38"/>
    <x v="24"/>
    <x v="49"/>
    <x v="1"/>
    <x v="542"/>
    <x v="3"/>
    <x v="0"/>
    <x v="2"/>
    <x v="221"/>
    <x v="6"/>
  </r>
  <r>
    <x v="38"/>
    <x v="23"/>
    <x v="27"/>
    <x v="3"/>
    <x v="284"/>
    <x v="3"/>
    <x v="0"/>
    <x v="2"/>
    <x v="221"/>
    <x v="6"/>
  </r>
  <r>
    <x v="38"/>
    <x v="32"/>
    <x v="834"/>
    <x v="3"/>
    <x v="422"/>
    <x v="3"/>
    <x v="2"/>
    <x v="4"/>
    <x v="221"/>
    <x v="10"/>
  </r>
  <r>
    <x v="38"/>
    <x v="32"/>
    <x v="438"/>
    <x v="6"/>
    <x v="422"/>
    <x v="3"/>
    <x v="2"/>
    <x v="4"/>
    <x v="221"/>
    <x v="10"/>
  </r>
  <r>
    <x v="38"/>
    <x v="32"/>
    <x v="1937"/>
    <x v="7"/>
    <x v="422"/>
    <x v="3"/>
    <x v="2"/>
    <x v="4"/>
    <x v="221"/>
    <x v="10"/>
  </r>
  <r>
    <x v="38"/>
    <x v="32"/>
    <x v="120"/>
    <x v="8"/>
    <x v="422"/>
    <x v="3"/>
    <x v="2"/>
    <x v="4"/>
    <x v="221"/>
    <x v="10"/>
  </r>
  <r>
    <x v="38"/>
    <x v="32"/>
    <x v="1516"/>
    <x v="5"/>
    <x v="532"/>
    <x v="3"/>
    <x v="2"/>
    <x v="4"/>
    <x v="221"/>
    <x v="10"/>
  </r>
  <r>
    <x v="39"/>
    <x v="20"/>
    <x v="1463"/>
    <x v="0"/>
    <x v="63"/>
    <x v="3"/>
    <x v="0"/>
    <x v="2"/>
    <x v="221"/>
    <x v="5"/>
  </r>
  <r>
    <x v="39"/>
    <x v="8"/>
    <x v="779"/>
    <x v="0"/>
    <x v="132"/>
    <x v="3"/>
    <x v="0"/>
    <x v="2"/>
    <x v="221"/>
    <x v="5"/>
  </r>
  <r>
    <x v="39"/>
    <x v="12"/>
    <x v="676"/>
    <x v="0"/>
    <x v="18"/>
    <x v="3"/>
    <x v="0"/>
    <x v="2"/>
    <x v="221"/>
    <x v="5"/>
  </r>
  <r>
    <x v="39"/>
    <x v="9"/>
    <x v="1632"/>
    <x v="0"/>
    <x v="230"/>
    <x v="3"/>
    <x v="0"/>
    <x v="2"/>
    <x v="221"/>
    <x v="5"/>
  </r>
  <r>
    <x v="39"/>
    <x v="27"/>
    <x v="925"/>
    <x v="1"/>
    <x v="7"/>
    <x v="3"/>
    <x v="0"/>
    <x v="2"/>
    <x v="221"/>
    <x v="5"/>
  </r>
  <r>
    <x v="39"/>
    <x v="23"/>
    <x v="45"/>
    <x v="3"/>
    <x v="284"/>
    <x v="3"/>
    <x v="0"/>
    <x v="2"/>
    <x v="221"/>
    <x v="6"/>
  </r>
  <r>
    <x v="39"/>
    <x v="12"/>
    <x v="287"/>
    <x v="1"/>
    <x v="509"/>
    <x v="3"/>
    <x v="0"/>
    <x v="2"/>
    <x v="221"/>
    <x v="5"/>
  </r>
  <r>
    <x v="39"/>
    <x v="20"/>
    <x v="121"/>
    <x v="1"/>
    <x v="62"/>
    <x v="3"/>
    <x v="0"/>
    <x v="2"/>
    <x v="221"/>
    <x v="5"/>
  </r>
  <r>
    <x v="39"/>
    <x v="15"/>
    <x v="465"/>
    <x v="3"/>
    <x v="355"/>
    <x v="3"/>
    <x v="0"/>
    <x v="2"/>
    <x v="221"/>
    <x v="4"/>
  </r>
  <r>
    <x v="39"/>
    <x v="37"/>
    <x v="45"/>
    <x v="1"/>
    <x v="529"/>
    <x v="3"/>
    <x v="0"/>
    <x v="2"/>
    <x v="221"/>
    <x v="12"/>
  </r>
  <r>
    <x v="39"/>
    <x v="38"/>
    <x v="22"/>
    <x v="3"/>
    <x v="444"/>
    <x v="3"/>
    <x v="0"/>
    <x v="2"/>
    <x v="221"/>
    <x v="5"/>
  </r>
  <r>
    <x v="39"/>
    <x v="32"/>
    <x v="873"/>
    <x v="3"/>
    <x v="422"/>
    <x v="3"/>
    <x v="2"/>
    <x v="4"/>
    <x v="221"/>
    <x v="10"/>
  </r>
  <r>
    <x v="39"/>
    <x v="32"/>
    <x v="346"/>
    <x v="2"/>
    <x v="422"/>
    <x v="3"/>
    <x v="2"/>
    <x v="4"/>
    <x v="221"/>
    <x v="10"/>
  </r>
  <r>
    <x v="39"/>
    <x v="32"/>
    <x v="143"/>
    <x v="6"/>
    <x v="422"/>
    <x v="3"/>
    <x v="2"/>
    <x v="4"/>
    <x v="221"/>
    <x v="10"/>
  </r>
  <r>
    <x v="39"/>
    <x v="32"/>
    <x v="1830"/>
    <x v="7"/>
    <x v="422"/>
    <x v="3"/>
    <x v="2"/>
    <x v="4"/>
    <x v="221"/>
    <x v="10"/>
  </r>
  <r>
    <x v="39"/>
    <x v="32"/>
    <x v="180"/>
    <x v="8"/>
    <x v="422"/>
    <x v="3"/>
    <x v="2"/>
    <x v="4"/>
    <x v="221"/>
    <x v="10"/>
  </r>
  <r>
    <x v="39"/>
    <x v="32"/>
    <x v="1386"/>
    <x v="5"/>
    <x v="532"/>
    <x v="3"/>
    <x v="2"/>
    <x v="4"/>
    <x v="221"/>
    <x v="10"/>
  </r>
  <r>
    <x v="39"/>
    <x v="25"/>
    <x v="375"/>
    <x v="1"/>
    <x v="365"/>
    <x v="3"/>
    <x v="0"/>
    <x v="2"/>
    <x v="221"/>
    <x v="12"/>
  </r>
  <r>
    <x v="39"/>
    <x v="38"/>
    <x v="53"/>
    <x v="1"/>
    <x v="405"/>
    <x v="3"/>
    <x v="0"/>
    <x v="2"/>
    <x v="221"/>
    <x v="5"/>
  </r>
  <r>
    <x v="39"/>
    <x v="12"/>
    <x v="30"/>
    <x v="1"/>
    <x v="331"/>
    <x v="3"/>
    <x v="0"/>
    <x v="2"/>
    <x v="221"/>
    <x v="5"/>
  </r>
  <r>
    <x v="40"/>
    <x v="9"/>
    <x v="1048"/>
    <x v="0"/>
    <x v="230"/>
    <x v="3"/>
    <x v="0"/>
    <x v="2"/>
    <x v="221"/>
    <x v="5"/>
  </r>
  <r>
    <x v="40"/>
    <x v="20"/>
    <x v="880"/>
    <x v="0"/>
    <x v="63"/>
    <x v="3"/>
    <x v="0"/>
    <x v="2"/>
    <x v="221"/>
    <x v="5"/>
  </r>
  <r>
    <x v="40"/>
    <x v="12"/>
    <x v="174"/>
    <x v="0"/>
    <x v="18"/>
    <x v="3"/>
    <x v="0"/>
    <x v="2"/>
    <x v="221"/>
    <x v="5"/>
  </r>
  <r>
    <x v="40"/>
    <x v="38"/>
    <x v="216"/>
    <x v="0"/>
    <x v="226"/>
    <x v="3"/>
    <x v="0"/>
    <x v="2"/>
    <x v="221"/>
    <x v="5"/>
  </r>
  <r>
    <x v="40"/>
    <x v="38"/>
    <x v="201"/>
    <x v="0"/>
    <x v="226"/>
    <x v="3"/>
    <x v="0"/>
    <x v="2"/>
    <x v="221"/>
    <x v="5"/>
  </r>
  <r>
    <x v="40"/>
    <x v="3"/>
    <x v="641"/>
    <x v="0"/>
    <x v="59"/>
    <x v="3"/>
    <x v="0"/>
    <x v="2"/>
    <x v="221"/>
    <x v="4"/>
  </r>
  <r>
    <x v="40"/>
    <x v="23"/>
    <x v="27"/>
    <x v="3"/>
    <x v="284"/>
    <x v="3"/>
    <x v="0"/>
    <x v="2"/>
    <x v="221"/>
    <x v="6"/>
  </r>
  <r>
    <x v="40"/>
    <x v="27"/>
    <x v="1415"/>
    <x v="0"/>
    <x v="7"/>
    <x v="3"/>
    <x v="0"/>
    <x v="2"/>
    <x v="221"/>
    <x v="5"/>
  </r>
  <r>
    <x v="40"/>
    <x v="20"/>
    <x v="134"/>
    <x v="1"/>
    <x v="420"/>
    <x v="3"/>
    <x v="0"/>
    <x v="2"/>
    <x v="221"/>
    <x v="5"/>
  </r>
  <r>
    <x v="40"/>
    <x v="37"/>
    <x v="53"/>
    <x v="1"/>
    <x v="529"/>
    <x v="3"/>
    <x v="0"/>
    <x v="2"/>
    <x v="221"/>
    <x v="12"/>
  </r>
  <r>
    <x v="40"/>
    <x v="38"/>
    <x v="662"/>
    <x v="1"/>
    <x v="389"/>
    <x v="3"/>
    <x v="0"/>
    <x v="2"/>
    <x v="221"/>
    <x v="5"/>
  </r>
  <r>
    <x v="40"/>
    <x v="30"/>
    <x v="869"/>
    <x v="0"/>
    <x v="296"/>
    <x v="3"/>
    <x v="0"/>
    <x v="2"/>
    <x v="221"/>
    <x v="3"/>
  </r>
  <r>
    <x v="40"/>
    <x v="30"/>
    <x v="1662"/>
    <x v="0"/>
    <x v="410"/>
    <x v="3"/>
    <x v="0"/>
    <x v="2"/>
    <x v="221"/>
    <x v="3"/>
  </r>
  <r>
    <x v="40"/>
    <x v="0"/>
    <x v="1570"/>
    <x v="0"/>
    <x v="314"/>
    <x v="3"/>
    <x v="0"/>
    <x v="2"/>
    <x v="221"/>
    <x v="9"/>
  </r>
  <r>
    <x v="40"/>
    <x v="32"/>
    <x v="1347"/>
    <x v="3"/>
    <x v="422"/>
    <x v="3"/>
    <x v="2"/>
    <x v="4"/>
    <x v="221"/>
    <x v="10"/>
  </r>
  <r>
    <x v="40"/>
    <x v="32"/>
    <x v="377"/>
    <x v="2"/>
    <x v="422"/>
    <x v="3"/>
    <x v="2"/>
    <x v="4"/>
    <x v="221"/>
    <x v="10"/>
  </r>
  <r>
    <x v="40"/>
    <x v="32"/>
    <x v="1848"/>
    <x v="7"/>
    <x v="422"/>
    <x v="3"/>
    <x v="2"/>
    <x v="4"/>
    <x v="221"/>
    <x v="10"/>
  </r>
  <r>
    <x v="40"/>
    <x v="32"/>
    <x v="1618"/>
    <x v="5"/>
    <x v="532"/>
    <x v="3"/>
    <x v="2"/>
    <x v="4"/>
    <x v="221"/>
    <x v="10"/>
  </r>
  <r>
    <x v="41"/>
    <x v="38"/>
    <x v="343"/>
    <x v="0"/>
    <x v="226"/>
    <x v="3"/>
    <x v="0"/>
    <x v="2"/>
    <x v="221"/>
    <x v="5"/>
  </r>
  <r>
    <x v="41"/>
    <x v="13"/>
    <x v="1470"/>
    <x v="0"/>
    <x v="181"/>
    <x v="3"/>
    <x v="0"/>
    <x v="2"/>
    <x v="221"/>
    <x v="5"/>
  </r>
  <r>
    <x v="41"/>
    <x v="12"/>
    <x v="771"/>
    <x v="0"/>
    <x v="18"/>
    <x v="3"/>
    <x v="0"/>
    <x v="2"/>
    <x v="221"/>
    <x v="5"/>
  </r>
  <r>
    <x v="41"/>
    <x v="8"/>
    <x v="449"/>
    <x v="0"/>
    <x v="132"/>
    <x v="3"/>
    <x v="0"/>
    <x v="2"/>
    <x v="221"/>
    <x v="5"/>
  </r>
  <r>
    <x v="41"/>
    <x v="9"/>
    <x v="1599"/>
    <x v="0"/>
    <x v="230"/>
    <x v="3"/>
    <x v="0"/>
    <x v="2"/>
    <x v="221"/>
    <x v="5"/>
  </r>
  <r>
    <x v="41"/>
    <x v="20"/>
    <x v="1171"/>
    <x v="0"/>
    <x v="63"/>
    <x v="3"/>
    <x v="0"/>
    <x v="2"/>
    <x v="221"/>
    <x v="5"/>
  </r>
  <r>
    <x v="41"/>
    <x v="32"/>
    <x v="929"/>
    <x v="3"/>
    <x v="422"/>
    <x v="3"/>
    <x v="2"/>
    <x v="4"/>
    <x v="221"/>
    <x v="10"/>
  </r>
  <r>
    <x v="41"/>
    <x v="32"/>
    <x v="53"/>
    <x v="6"/>
    <x v="422"/>
    <x v="3"/>
    <x v="2"/>
    <x v="4"/>
    <x v="221"/>
    <x v="10"/>
  </r>
  <r>
    <x v="41"/>
    <x v="32"/>
    <x v="1901"/>
    <x v="7"/>
    <x v="422"/>
    <x v="3"/>
    <x v="2"/>
    <x v="4"/>
    <x v="221"/>
    <x v="10"/>
  </r>
  <r>
    <x v="41"/>
    <x v="32"/>
    <x v="1574"/>
    <x v="5"/>
    <x v="532"/>
    <x v="3"/>
    <x v="2"/>
    <x v="4"/>
    <x v="221"/>
    <x v="10"/>
  </r>
  <r>
    <x v="41"/>
    <x v="24"/>
    <x v="426"/>
    <x v="1"/>
    <x v="83"/>
    <x v="3"/>
    <x v="0"/>
    <x v="2"/>
    <x v="221"/>
    <x v="6"/>
  </r>
  <r>
    <x v="41"/>
    <x v="37"/>
    <x v="53"/>
    <x v="1"/>
    <x v="529"/>
    <x v="3"/>
    <x v="0"/>
    <x v="2"/>
    <x v="221"/>
    <x v="12"/>
  </r>
  <r>
    <x v="41"/>
    <x v="23"/>
    <x v="7"/>
    <x v="3"/>
    <x v="284"/>
    <x v="3"/>
    <x v="0"/>
    <x v="2"/>
    <x v="221"/>
    <x v="6"/>
  </r>
  <r>
    <x v="41"/>
    <x v="3"/>
    <x v="1280"/>
    <x v="1"/>
    <x v="580"/>
    <x v="3"/>
    <x v="0"/>
    <x v="2"/>
    <x v="221"/>
    <x v="4"/>
  </r>
  <r>
    <x v="41"/>
    <x v="0"/>
    <x v="158"/>
    <x v="3"/>
    <x v="485"/>
    <x v="3"/>
    <x v="0"/>
    <x v="2"/>
    <x v="221"/>
    <x v="9"/>
  </r>
  <r>
    <x v="41"/>
    <x v="0"/>
    <x v="1570"/>
    <x v="0"/>
    <x v="485"/>
    <x v="3"/>
    <x v="0"/>
    <x v="2"/>
    <x v="221"/>
    <x v="9"/>
  </r>
  <r>
    <x v="42"/>
    <x v="27"/>
    <x v="1370"/>
    <x v="0"/>
    <x v="361"/>
    <x v="3"/>
    <x v="0"/>
    <x v="2"/>
    <x v="221"/>
    <x v="5"/>
  </r>
  <r>
    <x v="42"/>
    <x v="38"/>
    <x v="521"/>
    <x v="0"/>
    <x v="226"/>
    <x v="3"/>
    <x v="0"/>
    <x v="2"/>
    <x v="221"/>
    <x v="5"/>
  </r>
  <r>
    <x v="42"/>
    <x v="9"/>
    <x v="1603"/>
    <x v="0"/>
    <x v="230"/>
    <x v="3"/>
    <x v="0"/>
    <x v="2"/>
    <x v="221"/>
    <x v="5"/>
  </r>
  <r>
    <x v="42"/>
    <x v="12"/>
    <x v="528"/>
    <x v="0"/>
    <x v="18"/>
    <x v="3"/>
    <x v="0"/>
    <x v="2"/>
    <x v="221"/>
    <x v="5"/>
  </r>
  <r>
    <x v="42"/>
    <x v="20"/>
    <x v="1299"/>
    <x v="0"/>
    <x v="63"/>
    <x v="3"/>
    <x v="0"/>
    <x v="2"/>
    <x v="221"/>
    <x v="5"/>
  </r>
  <r>
    <x v="42"/>
    <x v="23"/>
    <x v="19"/>
    <x v="3"/>
    <x v="284"/>
    <x v="3"/>
    <x v="0"/>
    <x v="2"/>
    <x v="221"/>
    <x v="6"/>
  </r>
  <r>
    <x v="42"/>
    <x v="37"/>
    <x v="45"/>
    <x v="1"/>
    <x v="529"/>
    <x v="3"/>
    <x v="0"/>
    <x v="2"/>
    <x v="221"/>
    <x v="12"/>
  </r>
  <r>
    <x v="42"/>
    <x v="12"/>
    <x v="30"/>
    <x v="1"/>
    <x v="331"/>
    <x v="3"/>
    <x v="0"/>
    <x v="2"/>
    <x v="221"/>
    <x v="5"/>
  </r>
  <r>
    <x v="42"/>
    <x v="32"/>
    <x v="677"/>
    <x v="3"/>
    <x v="422"/>
    <x v="3"/>
    <x v="2"/>
    <x v="4"/>
    <x v="221"/>
    <x v="10"/>
  </r>
  <r>
    <x v="42"/>
    <x v="32"/>
    <x v="77"/>
    <x v="2"/>
    <x v="422"/>
    <x v="3"/>
    <x v="2"/>
    <x v="4"/>
    <x v="221"/>
    <x v="10"/>
  </r>
  <r>
    <x v="42"/>
    <x v="32"/>
    <x v="143"/>
    <x v="6"/>
    <x v="422"/>
    <x v="3"/>
    <x v="2"/>
    <x v="4"/>
    <x v="221"/>
    <x v="10"/>
  </r>
  <r>
    <x v="42"/>
    <x v="32"/>
    <x v="1876"/>
    <x v="7"/>
    <x v="422"/>
    <x v="3"/>
    <x v="2"/>
    <x v="4"/>
    <x v="221"/>
    <x v="10"/>
  </r>
  <r>
    <x v="42"/>
    <x v="32"/>
    <x v="143"/>
    <x v="8"/>
    <x v="422"/>
    <x v="3"/>
    <x v="2"/>
    <x v="4"/>
    <x v="221"/>
    <x v="10"/>
  </r>
  <r>
    <x v="42"/>
    <x v="32"/>
    <x v="1498"/>
    <x v="5"/>
    <x v="532"/>
    <x v="3"/>
    <x v="2"/>
    <x v="4"/>
    <x v="221"/>
    <x v="10"/>
  </r>
  <r>
    <x v="43"/>
    <x v="9"/>
    <x v="423"/>
    <x v="1"/>
    <x v="207"/>
    <x v="3"/>
    <x v="0"/>
    <x v="2"/>
    <x v="221"/>
    <x v="5"/>
  </r>
  <r>
    <x v="43"/>
    <x v="27"/>
    <x v="1415"/>
    <x v="0"/>
    <x v="7"/>
    <x v="3"/>
    <x v="0"/>
    <x v="2"/>
    <x v="221"/>
    <x v="5"/>
  </r>
  <r>
    <x v="43"/>
    <x v="9"/>
    <x v="1292"/>
    <x v="0"/>
    <x v="230"/>
    <x v="3"/>
    <x v="0"/>
    <x v="2"/>
    <x v="221"/>
    <x v="5"/>
  </r>
  <r>
    <x v="43"/>
    <x v="12"/>
    <x v="435"/>
    <x v="0"/>
    <x v="18"/>
    <x v="3"/>
    <x v="0"/>
    <x v="2"/>
    <x v="221"/>
    <x v="5"/>
  </r>
  <r>
    <x v="43"/>
    <x v="1"/>
    <x v="407"/>
    <x v="1"/>
    <x v="431"/>
    <x v="3"/>
    <x v="0"/>
    <x v="2"/>
    <x v="221"/>
    <x v="4"/>
  </r>
  <r>
    <x v="43"/>
    <x v="38"/>
    <x v="578"/>
    <x v="1"/>
    <x v="389"/>
    <x v="3"/>
    <x v="0"/>
    <x v="2"/>
    <x v="221"/>
    <x v="5"/>
  </r>
  <r>
    <x v="43"/>
    <x v="37"/>
    <x v="55"/>
    <x v="1"/>
    <x v="529"/>
    <x v="3"/>
    <x v="0"/>
    <x v="2"/>
    <x v="221"/>
    <x v="12"/>
  </r>
  <r>
    <x v="43"/>
    <x v="28"/>
    <x v="180"/>
    <x v="1"/>
    <x v="424"/>
    <x v="3"/>
    <x v="0"/>
    <x v="2"/>
    <x v="221"/>
    <x v="0"/>
  </r>
  <r>
    <x v="43"/>
    <x v="13"/>
    <x v="187"/>
    <x v="3"/>
    <x v="181"/>
    <x v="3"/>
    <x v="0"/>
    <x v="2"/>
    <x v="221"/>
    <x v="5"/>
  </r>
  <r>
    <x v="43"/>
    <x v="0"/>
    <x v="256"/>
    <x v="3"/>
    <x v="57"/>
    <x v="3"/>
    <x v="0"/>
    <x v="2"/>
    <x v="221"/>
    <x v="9"/>
  </r>
  <r>
    <x v="43"/>
    <x v="0"/>
    <x v="256"/>
    <x v="3"/>
    <x v="350"/>
    <x v="3"/>
    <x v="0"/>
    <x v="2"/>
    <x v="221"/>
    <x v="9"/>
  </r>
  <r>
    <x v="43"/>
    <x v="32"/>
    <x v="1072"/>
    <x v="3"/>
    <x v="422"/>
    <x v="3"/>
    <x v="2"/>
    <x v="4"/>
    <x v="221"/>
    <x v="10"/>
  </r>
  <r>
    <x v="43"/>
    <x v="32"/>
    <x v="1075"/>
    <x v="2"/>
    <x v="422"/>
    <x v="3"/>
    <x v="2"/>
    <x v="4"/>
    <x v="221"/>
    <x v="10"/>
  </r>
  <r>
    <x v="43"/>
    <x v="32"/>
    <x v="681"/>
    <x v="6"/>
    <x v="422"/>
    <x v="3"/>
    <x v="2"/>
    <x v="4"/>
    <x v="221"/>
    <x v="10"/>
  </r>
  <r>
    <x v="43"/>
    <x v="32"/>
    <x v="1975"/>
    <x v="7"/>
    <x v="422"/>
    <x v="3"/>
    <x v="2"/>
    <x v="4"/>
    <x v="221"/>
    <x v="10"/>
  </r>
  <r>
    <x v="43"/>
    <x v="32"/>
    <x v="1586"/>
    <x v="5"/>
    <x v="532"/>
    <x v="3"/>
    <x v="2"/>
    <x v="4"/>
    <x v="221"/>
    <x v="10"/>
  </r>
  <r>
    <x v="44"/>
    <x v="8"/>
    <x v="449"/>
    <x v="0"/>
    <x v="590"/>
    <x v="3"/>
    <x v="0"/>
    <x v="2"/>
    <x v="221"/>
    <x v="5"/>
  </r>
  <r>
    <x v="44"/>
    <x v="12"/>
    <x v="989"/>
    <x v="0"/>
    <x v="590"/>
    <x v="3"/>
    <x v="0"/>
    <x v="2"/>
    <x v="221"/>
    <x v="5"/>
  </r>
  <r>
    <x v="44"/>
    <x v="9"/>
    <x v="1488"/>
    <x v="0"/>
    <x v="590"/>
    <x v="3"/>
    <x v="0"/>
    <x v="2"/>
    <x v="221"/>
    <x v="5"/>
  </r>
  <r>
    <x v="44"/>
    <x v="20"/>
    <x v="1569"/>
    <x v="0"/>
    <x v="590"/>
    <x v="3"/>
    <x v="0"/>
    <x v="2"/>
    <x v="221"/>
    <x v="5"/>
  </r>
  <r>
    <x v="44"/>
    <x v="16"/>
    <x v="158"/>
    <x v="1"/>
    <x v="30"/>
    <x v="3"/>
    <x v="0"/>
    <x v="2"/>
    <x v="221"/>
    <x v="6"/>
  </r>
  <r>
    <x v="44"/>
    <x v="27"/>
    <x v="925"/>
    <x v="0"/>
    <x v="590"/>
    <x v="3"/>
    <x v="0"/>
    <x v="2"/>
    <x v="221"/>
    <x v="5"/>
  </r>
  <r>
    <x v="44"/>
    <x v="28"/>
    <x v="134"/>
    <x v="1"/>
    <x v="590"/>
    <x v="3"/>
    <x v="0"/>
    <x v="2"/>
    <x v="221"/>
    <x v="0"/>
  </r>
  <r>
    <x v="44"/>
    <x v="23"/>
    <x v="19"/>
    <x v="3"/>
    <x v="590"/>
    <x v="3"/>
    <x v="0"/>
    <x v="2"/>
    <x v="221"/>
    <x v="6"/>
  </r>
  <r>
    <x v="44"/>
    <x v="38"/>
    <x v="25"/>
    <x v="3"/>
    <x v="444"/>
    <x v="3"/>
    <x v="0"/>
    <x v="2"/>
    <x v="221"/>
    <x v="5"/>
  </r>
  <r>
    <x v="44"/>
    <x v="38"/>
    <x v="392"/>
    <x v="0"/>
    <x v="590"/>
    <x v="3"/>
    <x v="0"/>
    <x v="2"/>
    <x v="221"/>
    <x v="5"/>
  </r>
  <r>
    <x v="44"/>
    <x v="27"/>
    <x v="925"/>
    <x v="0"/>
    <x v="590"/>
    <x v="3"/>
    <x v="0"/>
    <x v="2"/>
    <x v="221"/>
    <x v="5"/>
  </r>
  <r>
    <x v="44"/>
    <x v="13"/>
    <x v="1317"/>
    <x v="0"/>
    <x v="590"/>
    <x v="3"/>
    <x v="0"/>
    <x v="2"/>
    <x v="221"/>
    <x v="5"/>
  </r>
  <r>
    <x v="44"/>
    <x v="15"/>
    <x v="554"/>
    <x v="3"/>
    <x v="590"/>
    <x v="3"/>
    <x v="0"/>
    <x v="2"/>
    <x v="221"/>
    <x v="4"/>
  </r>
  <r>
    <x v="44"/>
    <x v="32"/>
    <x v="1459"/>
    <x v="3"/>
    <x v="590"/>
    <x v="3"/>
    <x v="2"/>
    <x v="4"/>
    <x v="221"/>
    <x v="10"/>
  </r>
  <r>
    <x v="44"/>
    <x v="32"/>
    <x v="223"/>
    <x v="2"/>
    <x v="590"/>
    <x v="3"/>
    <x v="2"/>
    <x v="4"/>
    <x v="221"/>
    <x v="10"/>
  </r>
  <r>
    <x v="44"/>
    <x v="32"/>
    <x v="872"/>
    <x v="6"/>
    <x v="590"/>
    <x v="3"/>
    <x v="2"/>
    <x v="4"/>
    <x v="221"/>
    <x v="10"/>
  </r>
  <r>
    <x v="44"/>
    <x v="32"/>
    <x v="1945"/>
    <x v="7"/>
    <x v="590"/>
    <x v="3"/>
    <x v="2"/>
    <x v="4"/>
    <x v="221"/>
    <x v="10"/>
  </r>
  <r>
    <x v="44"/>
    <x v="32"/>
    <x v="383"/>
    <x v="8"/>
    <x v="590"/>
    <x v="3"/>
    <x v="2"/>
    <x v="4"/>
    <x v="221"/>
    <x v="10"/>
  </r>
  <r>
    <x v="44"/>
    <x v="32"/>
    <x v="1739"/>
    <x v="5"/>
    <x v="590"/>
    <x v="3"/>
    <x v="2"/>
    <x v="4"/>
    <x v="221"/>
    <x v="10"/>
  </r>
  <r>
    <x v="44"/>
    <x v="37"/>
    <x v="59"/>
    <x v="1"/>
    <x v="590"/>
    <x v="3"/>
    <x v="0"/>
    <x v="2"/>
    <x v="221"/>
    <x v="12"/>
  </r>
  <r>
    <x v="44"/>
    <x v="12"/>
    <x v="30"/>
    <x v="1"/>
    <x v="331"/>
    <x v="3"/>
    <x v="0"/>
    <x v="2"/>
    <x v="221"/>
    <x v="5"/>
  </r>
  <r>
    <x v="45"/>
    <x v="9"/>
    <x v="1650"/>
    <x v="0"/>
    <x v="590"/>
    <x v="3"/>
    <x v="0"/>
    <x v="2"/>
    <x v="221"/>
    <x v="5"/>
  </r>
  <r>
    <x v="45"/>
    <x v="20"/>
    <x v="1340"/>
    <x v="0"/>
    <x v="590"/>
    <x v="3"/>
    <x v="0"/>
    <x v="2"/>
    <x v="221"/>
    <x v="5"/>
  </r>
  <r>
    <x v="45"/>
    <x v="12"/>
    <x v="657"/>
    <x v="0"/>
    <x v="590"/>
    <x v="3"/>
    <x v="0"/>
    <x v="2"/>
    <x v="221"/>
    <x v="5"/>
  </r>
  <r>
    <x v="45"/>
    <x v="3"/>
    <x v="599"/>
    <x v="3"/>
    <x v="590"/>
    <x v="3"/>
    <x v="0"/>
    <x v="2"/>
    <x v="221"/>
    <x v="4"/>
  </r>
  <r>
    <x v="45"/>
    <x v="32"/>
    <x v="1462"/>
    <x v="3"/>
    <x v="590"/>
    <x v="3"/>
    <x v="2"/>
    <x v="4"/>
    <x v="221"/>
    <x v="10"/>
  </r>
  <r>
    <x v="45"/>
    <x v="32"/>
    <x v="1110"/>
    <x v="2"/>
    <x v="590"/>
    <x v="3"/>
    <x v="2"/>
    <x v="4"/>
    <x v="221"/>
    <x v="10"/>
  </r>
  <r>
    <x v="45"/>
    <x v="32"/>
    <x v="65"/>
    <x v="6"/>
    <x v="590"/>
    <x v="3"/>
    <x v="2"/>
    <x v="4"/>
    <x v="221"/>
    <x v="10"/>
  </r>
  <r>
    <x v="45"/>
    <x v="32"/>
    <x v="1970"/>
    <x v="7"/>
    <x v="590"/>
    <x v="3"/>
    <x v="2"/>
    <x v="4"/>
    <x v="221"/>
    <x v="10"/>
  </r>
  <r>
    <x v="45"/>
    <x v="32"/>
    <x v="1725"/>
    <x v="5"/>
    <x v="590"/>
    <x v="3"/>
    <x v="2"/>
    <x v="4"/>
    <x v="221"/>
    <x v="10"/>
  </r>
  <r>
    <x v="45"/>
    <x v="27"/>
    <x v="1015"/>
    <x v="1"/>
    <x v="590"/>
    <x v="3"/>
    <x v="0"/>
    <x v="2"/>
    <x v="221"/>
    <x v="5"/>
  </r>
  <r>
    <x v="45"/>
    <x v="27"/>
    <x v="599"/>
    <x v="0"/>
    <x v="590"/>
    <x v="3"/>
    <x v="0"/>
    <x v="2"/>
    <x v="221"/>
    <x v="5"/>
  </r>
  <r>
    <x v="45"/>
    <x v="13"/>
    <x v="30"/>
    <x v="3"/>
    <x v="555"/>
    <x v="3"/>
    <x v="0"/>
    <x v="2"/>
    <x v="221"/>
    <x v="5"/>
  </r>
  <r>
    <x v="45"/>
    <x v="37"/>
    <x v="55"/>
    <x v="3"/>
    <x v="590"/>
    <x v="3"/>
    <x v="0"/>
    <x v="2"/>
    <x v="221"/>
    <x v="12"/>
  </r>
  <r>
    <x v="45"/>
    <x v="0"/>
    <x v="869"/>
    <x v="3"/>
    <x v="28"/>
    <x v="3"/>
    <x v="0"/>
    <x v="2"/>
    <x v="221"/>
    <x v="9"/>
  </r>
  <r>
    <x v="45"/>
    <x v="23"/>
    <x v="4"/>
    <x v="3"/>
    <x v="590"/>
    <x v="3"/>
    <x v="0"/>
    <x v="2"/>
    <x v="221"/>
    <x v="6"/>
  </r>
  <r>
    <x v="45"/>
    <x v="38"/>
    <x v="567"/>
    <x v="0"/>
    <x v="590"/>
    <x v="3"/>
    <x v="0"/>
    <x v="2"/>
    <x v="221"/>
    <x v="5"/>
  </r>
  <r>
    <x v="46"/>
    <x v="8"/>
    <x v="449"/>
    <x v="0"/>
    <x v="590"/>
    <x v="3"/>
    <x v="0"/>
    <x v="2"/>
    <x v="221"/>
    <x v="5"/>
  </r>
  <r>
    <x v="46"/>
    <x v="9"/>
    <x v="1537"/>
    <x v="0"/>
    <x v="590"/>
    <x v="3"/>
    <x v="0"/>
    <x v="2"/>
    <x v="221"/>
    <x v="5"/>
  </r>
  <r>
    <x v="46"/>
    <x v="20"/>
    <x v="1292"/>
    <x v="0"/>
    <x v="590"/>
    <x v="3"/>
    <x v="0"/>
    <x v="2"/>
    <x v="221"/>
    <x v="5"/>
  </r>
  <r>
    <x v="46"/>
    <x v="12"/>
    <x v="835"/>
    <x v="0"/>
    <x v="590"/>
    <x v="3"/>
    <x v="0"/>
    <x v="2"/>
    <x v="221"/>
    <x v="5"/>
  </r>
  <r>
    <x v="46"/>
    <x v="40"/>
    <x v="599"/>
    <x v="1"/>
    <x v="590"/>
    <x v="3"/>
    <x v="0"/>
    <x v="2"/>
    <x v="221"/>
    <x v="7"/>
  </r>
  <r>
    <x v="46"/>
    <x v="1"/>
    <x v="463"/>
    <x v="3"/>
    <x v="429"/>
    <x v="3"/>
    <x v="0"/>
    <x v="2"/>
    <x v="221"/>
    <x v="4"/>
  </r>
  <r>
    <x v="46"/>
    <x v="38"/>
    <x v="331"/>
    <x v="0"/>
    <x v="590"/>
    <x v="3"/>
    <x v="0"/>
    <x v="2"/>
    <x v="221"/>
    <x v="5"/>
  </r>
  <r>
    <x v="46"/>
    <x v="12"/>
    <x v="287"/>
    <x v="1"/>
    <x v="509"/>
    <x v="3"/>
    <x v="0"/>
    <x v="2"/>
    <x v="221"/>
    <x v="5"/>
  </r>
  <r>
    <x v="46"/>
    <x v="21"/>
    <x v="147"/>
    <x v="3"/>
    <x v="442"/>
    <x v="3"/>
    <x v="0"/>
    <x v="2"/>
    <x v="221"/>
    <x v="3"/>
  </r>
  <r>
    <x v="46"/>
    <x v="32"/>
    <x v="602"/>
    <x v="3"/>
    <x v="590"/>
    <x v="3"/>
    <x v="2"/>
    <x v="4"/>
    <x v="221"/>
    <x v="10"/>
  </r>
  <r>
    <x v="46"/>
    <x v="32"/>
    <x v="1813"/>
    <x v="7"/>
    <x v="590"/>
    <x v="3"/>
    <x v="2"/>
    <x v="4"/>
    <x v="221"/>
    <x v="10"/>
  </r>
  <r>
    <x v="46"/>
    <x v="32"/>
    <x v="1450"/>
    <x v="5"/>
    <x v="590"/>
    <x v="3"/>
    <x v="2"/>
    <x v="4"/>
    <x v="221"/>
    <x v="10"/>
  </r>
  <r>
    <x v="46"/>
    <x v="37"/>
    <x v="53"/>
    <x v="1"/>
    <x v="590"/>
    <x v="3"/>
    <x v="0"/>
    <x v="2"/>
    <x v="221"/>
    <x v="12"/>
  </r>
  <r>
    <x v="46"/>
    <x v="23"/>
    <x v="1"/>
    <x v="3"/>
    <x v="590"/>
    <x v="3"/>
    <x v="0"/>
    <x v="2"/>
    <x v="221"/>
    <x v="6"/>
  </r>
  <r>
    <x v="47"/>
    <x v="9"/>
    <x v="1332"/>
    <x v="0"/>
    <x v="590"/>
    <x v="3"/>
    <x v="0"/>
    <x v="2"/>
    <x v="221"/>
    <x v="5"/>
  </r>
  <r>
    <x v="47"/>
    <x v="12"/>
    <x v="485"/>
    <x v="0"/>
    <x v="590"/>
    <x v="3"/>
    <x v="0"/>
    <x v="2"/>
    <x v="221"/>
    <x v="5"/>
  </r>
  <r>
    <x v="47"/>
    <x v="20"/>
    <x v="467"/>
    <x v="0"/>
    <x v="590"/>
    <x v="3"/>
    <x v="0"/>
    <x v="2"/>
    <x v="221"/>
    <x v="5"/>
  </r>
  <r>
    <x v="47"/>
    <x v="27"/>
    <x v="1641"/>
    <x v="0"/>
    <x v="590"/>
    <x v="3"/>
    <x v="0"/>
    <x v="2"/>
    <x v="221"/>
    <x v="5"/>
  </r>
  <r>
    <x v="47"/>
    <x v="39"/>
    <x v="880"/>
    <x v="0"/>
    <x v="590"/>
    <x v="3"/>
    <x v="0"/>
    <x v="2"/>
    <x v="221"/>
    <x v="5"/>
  </r>
  <r>
    <x v="47"/>
    <x v="29"/>
    <x v="49"/>
    <x v="1"/>
    <x v="590"/>
    <x v="3"/>
    <x v="0"/>
    <x v="2"/>
    <x v="221"/>
    <x v="6"/>
  </r>
  <r>
    <x v="47"/>
    <x v="22"/>
    <x v="318"/>
    <x v="0"/>
    <x v="590"/>
    <x v="3"/>
    <x v="0"/>
    <x v="2"/>
    <x v="221"/>
    <x v="3"/>
  </r>
  <r>
    <x v="47"/>
    <x v="38"/>
    <x v="405"/>
    <x v="0"/>
    <x v="590"/>
    <x v="3"/>
    <x v="0"/>
    <x v="2"/>
    <x v="221"/>
    <x v="5"/>
  </r>
  <r>
    <x v="47"/>
    <x v="15"/>
    <x v="438"/>
    <x v="3"/>
    <x v="590"/>
    <x v="3"/>
    <x v="0"/>
    <x v="2"/>
    <x v="221"/>
    <x v="4"/>
  </r>
  <r>
    <x v="47"/>
    <x v="11"/>
    <x v="127"/>
    <x v="3"/>
    <x v="204"/>
    <x v="3"/>
    <x v="0"/>
    <x v="2"/>
    <x v="221"/>
    <x v="2"/>
  </r>
  <r>
    <x v="47"/>
    <x v="32"/>
    <x v="1037"/>
    <x v="3"/>
    <x v="590"/>
    <x v="3"/>
    <x v="2"/>
    <x v="4"/>
    <x v="221"/>
    <x v="10"/>
  </r>
  <r>
    <x v="47"/>
    <x v="32"/>
    <x v="173"/>
    <x v="2"/>
    <x v="590"/>
    <x v="3"/>
    <x v="2"/>
    <x v="4"/>
    <x v="221"/>
    <x v="10"/>
  </r>
  <r>
    <x v="47"/>
    <x v="32"/>
    <x v="143"/>
    <x v="6"/>
    <x v="590"/>
    <x v="3"/>
    <x v="2"/>
    <x v="4"/>
    <x v="221"/>
    <x v="10"/>
  </r>
  <r>
    <x v="47"/>
    <x v="32"/>
    <x v="1787"/>
    <x v="7"/>
    <x v="590"/>
    <x v="3"/>
    <x v="2"/>
    <x v="4"/>
    <x v="221"/>
    <x v="10"/>
  </r>
  <r>
    <x v="47"/>
    <x v="32"/>
    <x v="1589"/>
    <x v="5"/>
    <x v="590"/>
    <x v="3"/>
    <x v="2"/>
    <x v="4"/>
    <x v="221"/>
    <x v="10"/>
  </r>
  <r>
    <x v="47"/>
    <x v="38"/>
    <x v="12"/>
    <x v="3"/>
    <x v="444"/>
    <x v="3"/>
    <x v="0"/>
    <x v="2"/>
    <x v="221"/>
    <x v="5"/>
  </r>
  <r>
    <x v="47"/>
    <x v="0"/>
    <x v="869"/>
    <x v="0"/>
    <x v="28"/>
    <x v="3"/>
    <x v="0"/>
    <x v="2"/>
    <x v="221"/>
    <x v="9"/>
  </r>
  <r>
    <x v="47"/>
    <x v="37"/>
    <x v="46"/>
    <x v="1"/>
    <x v="590"/>
    <x v="3"/>
    <x v="0"/>
    <x v="2"/>
    <x v="221"/>
    <x v="12"/>
  </r>
  <r>
    <x v="47"/>
    <x v="0"/>
    <x v="87"/>
    <x v="1"/>
    <x v="279"/>
    <x v="3"/>
    <x v="0"/>
    <x v="2"/>
    <x v="221"/>
    <x v="9"/>
  </r>
  <r>
    <x v="47"/>
    <x v="0"/>
    <x v="1483"/>
    <x v="0"/>
    <x v="267"/>
    <x v="3"/>
    <x v="0"/>
    <x v="2"/>
    <x v="221"/>
    <x v="9"/>
  </r>
  <r>
    <x v="47"/>
    <x v="36"/>
    <x v="45"/>
    <x v="1"/>
    <x v="375"/>
    <x v="3"/>
    <x v="0"/>
    <x v="2"/>
    <x v="221"/>
    <x v="5"/>
  </r>
  <r>
    <x v="47"/>
    <x v="29"/>
    <x v="25"/>
    <x v="1"/>
    <x v="263"/>
    <x v="3"/>
    <x v="0"/>
    <x v="2"/>
    <x v="221"/>
    <x v="6"/>
  </r>
  <r>
    <x v="48"/>
    <x v="9"/>
    <x v="1287"/>
    <x v="0"/>
    <x v="590"/>
    <x v="3"/>
    <x v="0"/>
    <x v="2"/>
    <x v="221"/>
    <x v="5"/>
  </r>
  <r>
    <x v="48"/>
    <x v="12"/>
    <x v="634"/>
    <x v="0"/>
    <x v="590"/>
    <x v="3"/>
    <x v="0"/>
    <x v="2"/>
    <x v="221"/>
    <x v="5"/>
  </r>
  <r>
    <x v="48"/>
    <x v="20"/>
    <x v="1587"/>
    <x v="0"/>
    <x v="590"/>
    <x v="3"/>
    <x v="0"/>
    <x v="2"/>
    <x v="221"/>
    <x v="5"/>
  </r>
  <r>
    <x v="48"/>
    <x v="8"/>
    <x v="779"/>
    <x v="0"/>
    <x v="590"/>
    <x v="3"/>
    <x v="0"/>
    <x v="2"/>
    <x v="221"/>
    <x v="5"/>
  </r>
  <r>
    <x v="48"/>
    <x v="27"/>
    <x v="1415"/>
    <x v="0"/>
    <x v="590"/>
    <x v="3"/>
    <x v="0"/>
    <x v="2"/>
    <x v="221"/>
    <x v="5"/>
  </r>
  <r>
    <x v="48"/>
    <x v="0"/>
    <x v="518"/>
    <x v="0"/>
    <x v="306"/>
    <x v="3"/>
    <x v="0"/>
    <x v="2"/>
    <x v="221"/>
    <x v="9"/>
  </r>
  <r>
    <x v="48"/>
    <x v="13"/>
    <x v="1343"/>
    <x v="0"/>
    <x v="590"/>
    <x v="3"/>
    <x v="0"/>
    <x v="2"/>
    <x v="221"/>
    <x v="5"/>
  </r>
  <r>
    <x v="48"/>
    <x v="3"/>
    <x v="1061"/>
    <x v="0"/>
    <x v="590"/>
    <x v="3"/>
    <x v="0"/>
    <x v="2"/>
    <x v="221"/>
    <x v="4"/>
  </r>
  <r>
    <x v="48"/>
    <x v="32"/>
    <x v="1481"/>
    <x v="3"/>
    <x v="590"/>
    <x v="3"/>
    <x v="2"/>
    <x v="4"/>
    <x v="221"/>
    <x v="10"/>
  </r>
  <r>
    <x v="48"/>
    <x v="32"/>
    <x v="1006"/>
    <x v="2"/>
    <x v="590"/>
    <x v="3"/>
    <x v="2"/>
    <x v="4"/>
    <x v="221"/>
    <x v="10"/>
  </r>
  <r>
    <x v="48"/>
    <x v="32"/>
    <x v="1044"/>
    <x v="6"/>
    <x v="590"/>
    <x v="3"/>
    <x v="2"/>
    <x v="4"/>
    <x v="221"/>
    <x v="10"/>
  </r>
  <r>
    <x v="48"/>
    <x v="32"/>
    <x v="1915"/>
    <x v="7"/>
    <x v="590"/>
    <x v="3"/>
    <x v="2"/>
    <x v="4"/>
    <x v="221"/>
    <x v="10"/>
  </r>
  <r>
    <x v="48"/>
    <x v="32"/>
    <x v="1706"/>
    <x v="5"/>
    <x v="590"/>
    <x v="3"/>
    <x v="2"/>
    <x v="4"/>
    <x v="221"/>
    <x v="10"/>
  </r>
  <r>
    <x v="48"/>
    <x v="37"/>
    <x v="45"/>
    <x v="1"/>
    <x v="590"/>
    <x v="3"/>
    <x v="0"/>
    <x v="2"/>
    <x v="221"/>
    <x v="12"/>
  </r>
  <r>
    <x v="48"/>
    <x v="0"/>
    <x v="719"/>
    <x v="1"/>
    <x v="279"/>
    <x v="3"/>
    <x v="0"/>
    <x v="2"/>
    <x v="221"/>
    <x v="9"/>
  </r>
  <r>
    <x v="48"/>
    <x v="12"/>
    <x v="30"/>
    <x v="3"/>
    <x v="590"/>
    <x v="3"/>
    <x v="0"/>
    <x v="2"/>
    <x v="221"/>
    <x v="5"/>
  </r>
  <r>
    <x v="48"/>
    <x v="23"/>
    <x v="8"/>
    <x v="3"/>
    <x v="590"/>
    <x v="3"/>
    <x v="0"/>
    <x v="2"/>
    <x v="221"/>
    <x v="6"/>
  </r>
  <r>
    <x v="48"/>
    <x v="26"/>
    <x v="90"/>
    <x v="3"/>
    <x v="590"/>
    <x v="3"/>
    <x v="0"/>
    <x v="2"/>
    <x v="221"/>
    <x v="5"/>
  </r>
  <r>
    <x v="48"/>
    <x v="38"/>
    <x v="415"/>
    <x v="0"/>
    <x v="590"/>
    <x v="3"/>
    <x v="0"/>
    <x v="2"/>
    <x v="221"/>
    <x v="5"/>
  </r>
  <r>
    <x v="49"/>
    <x v="12"/>
    <x v="742"/>
    <x v="0"/>
    <x v="590"/>
    <x v="3"/>
    <x v="0"/>
    <x v="2"/>
    <x v="221"/>
    <x v="5"/>
  </r>
  <r>
    <x v="49"/>
    <x v="9"/>
    <x v="1724"/>
    <x v="0"/>
    <x v="590"/>
    <x v="3"/>
    <x v="0"/>
    <x v="2"/>
    <x v="221"/>
    <x v="5"/>
  </r>
  <r>
    <x v="49"/>
    <x v="20"/>
    <x v="887"/>
    <x v="0"/>
    <x v="590"/>
    <x v="3"/>
    <x v="0"/>
    <x v="2"/>
    <x v="221"/>
    <x v="5"/>
  </r>
  <r>
    <x v="49"/>
    <x v="19"/>
    <x v="1771"/>
    <x v="0"/>
    <x v="590"/>
    <x v="3"/>
    <x v="0"/>
    <x v="2"/>
    <x v="221"/>
    <x v="3"/>
  </r>
  <r>
    <x v="49"/>
    <x v="27"/>
    <x v="1146"/>
    <x v="1"/>
    <x v="590"/>
    <x v="3"/>
    <x v="0"/>
    <x v="2"/>
    <x v="221"/>
    <x v="5"/>
  </r>
  <r>
    <x v="49"/>
    <x v="27"/>
    <x v="914"/>
    <x v="0"/>
    <x v="590"/>
    <x v="3"/>
    <x v="0"/>
    <x v="2"/>
    <x v="221"/>
    <x v="5"/>
  </r>
  <r>
    <x v="49"/>
    <x v="38"/>
    <x v="505"/>
    <x v="1"/>
    <x v="389"/>
    <x v="3"/>
    <x v="0"/>
    <x v="2"/>
    <x v="221"/>
    <x v="5"/>
  </r>
  <r>
    <x v="49"/>
    <x v="38"/>
    <x v="87"/>
    <x v="1"/>
    <x v="300"/>
    <x v="3"/>
    <x v="0"/>
    <x v="2"/>
    <x v="221"/>
    <x v="5"/>
  </r>
  <r>
    <x v="49"/>
    <x v="32"/>
    <x v="658"/>
    <x v="3"/>
    <x v="590"/>
    <x v="3"/>
    <x v="2"/>
    <x v="4"/>
    <x v="221"/>
    <x v="10"/>
  </r>
  <r>
    <x v="49"/>
    <x v="32"/>
    <x v="242"/>
    <x v="2"/>
    <x v="590"/>
    <x v="3"/>
    <x v="2"/>
    <x v="4"/>
    <x v="221"/>
    <x v="10"/>
  </r>
  <r>
    <x v="49"/>
    <x v="32"/>
    <x v="1766"/>
    <x v="7"/>
    <x v="590"/>
    <x v="3"/>
    <x v="2"/>
    <x v="4"/>
    <x v="221"/>
    <x v="10"/>
  </r>
  <r>
    <x v="49"/>
    <x v="32"/>
    <x v="129"/>
    <x v="8"/>
    <x v="590"/>
    <x v="3"/>
    <x v="2"/>
    <x v="4"/>
    <x v="221"/>
    <x v="10"/>
  </r>
  <r>
    <x v="49"/>
    <x v="32"/>
    <x v="1565"/>
    <x v="5"/>
    <x v="590"/>
    <x v="3"/>
    <x v="2"/>
    <x v="4"/>
    <x v="221"/>
    <x v="10"/>
  </r>
  <r>
    <x v="49"/>
    <x v="23"/>
    <x v="30"/>
    <x v="3"/>
    <x v="590"/>
    <x v="3"/>
    <x v="0"/>
    <x v="2"/>
    <x v="221"/>
    <x v="6"/>
  </r>
  <r>
    <x v="49"/>
    <x v="37"/>
    <x v="85"/>
    <x v="1"/>
    <x v="590"/>
    <x v="3"/>
    <x v="0"/>
    <x v="2"/>
    <x v="221"/>
    <x v="12"/>
  </r>
  <r>
    <x v="49"/>
    <x v="28"/>
    <x v="308"/>
    <x v="1"/>
    <x v="590"/>
    <x v="3"/>
    <x v="0"/>
    <x v="2"/>
    <x v="221"/>
    <x v="0"/>
  </r>
  <r>
    <x v="49"/>
    <x v="32"/>
    <x v="12"/>
    <x v="3"/>
    <x v="189"/>
    <x v="3"/>
    <x v="2"/>
    <x v="4"/>
    <x v="221"/>
    <x v="10"/>
  </r>
  <r>
    <x v="49"/>
    <x v="38"/>
    <x v="437"/>
    <x v="0"/>
    <x v="590"/>
    <x v="3"/>
    <x v="0"/>
    <x v="2"/>
    <x v="221"/>
    <x v="5"/>
  </r>
  <r>
    <x v="50"/>
    <x v="9"/>
    <x v="702"/>
    <x v="0"/>
    <x v="590"/>
    <x v="3"/>
    <x v="0"/>
    <x v="2"/>
    <x v="221"/>
    <x v="5"/>
  </r>
  <r>
    <x v="50"/>
    <x v="8"/>
    <x v="449"/>
    <x v="0"/>
    <x v="590"/>
    <x v="3"/>
    <x v="0"/>
    <x v="2"/>
    <x v="221"/>
    <x v="5"/>
  </r>
  <r>
    <x v="50"/>
    <x v="20"/>
    <x v="1412"/>
    <x v="0"/>
    <x v="590"/>
    <x v="3"/>
    <x v="0"/>
    <x v="2"/>
    <x v="221"/>
    <x v="5"/>
  </r>
  <r>
    <x v="50"/>
    <x v="15"/>
    <x v="544"/>
    <x v="3"/>
    <x v="590"/>
    <x v="3"/>
    <x v="0"/>
    <x v="2"/>
    <x v="221"/>
    <x v="4"/>
  </r>
  <r>
    <x v="50"/>
    <x v="3"/>
    <x v="599"/>
    <x v="3"/>
    <x v="590"/>
    <x v="3"/>
    <x v="0"/>
    <x v="2"/>
    <x v="221"/>
    <x v="4"/>
  </r>
  <r>
    <x v="50"/>
    <x v="12"/>
    <x v="718"/>
    <x v="0"/>
    <x v="590"/>
    <x v="3"/>
    <x v="0"/>
    <x v="2"/>
    <x v="221"/>
    <x v="5"/>
  </r>
  <r>
    <x v="50"/>
    <x v="0"/>
    <x v="256"/>
    <x v="1"/>
    <x v="279"/>
    <x v="3"/>
    <x v="0"/>
    <x v="2"/>
    <x v="221"/>
    <x v="9"/>
  </r>
  <r>
    <x v="50"/>
    <x v="27"/>
    <x v="1472"/>
    <x v="0"/>
    <x v="590"/>
    <x v="3"/>
    <x v="0"/>
    <x v="2"/>
    <x v="221"/>
    <x v="5"/>
  </r>
  <r>
    <x v="50"/>
    <x v="28"/>
    <x v="191"/>
    <x v="1"/>
    <x v="590"/>
    <x v="3"/>
    <x v="0"/>
    <x v="2"/>
    <x v="221"/>
    <x v="0"/>
  </r>
  <r>
    <x v="50"/>
    <x v="38"/>
    <x v="148"/>
    <x v="0"/>
    <x v="590"/>
    <x v="3"/>
    <x v="0"/>
    <x v="2"/>
    <x v="221"/>
    <x v="5"/>
  </r>
  <r>
    <x v="50"/>
    <x v="32"/>
    <x v="1510"/>
    <x v="3"/>
    <x v="590"/>
    <x v="3"/>
    <x v="2"/>
    <x v="4"/>
    <x v="221"/>
    <x v="10"/>
  </r>
  <r>
    <x v="50"/>
    <x v="32"/>
    <x v="552"/>
    <x v="2"/>
    <x v="590"/>
    <x v="3"/>
    <x v="2"/>
    <x v="4"/>
    <x v="221"/>
    <x v="10"/>
  </r>
  <r>
    <x v="50"/>
    <x v="32"/>
    <x v="409"/>
    <x v="6"/>
    <x v="590"/>
    <x v="3"/>
    <x v="2"/>
    <x v="4"/>
    <x v="221"/>
    <x v="10"/>
  </r>
  <r>
    <x v="50"/>
    <x v="32"/>
    <x v="1985"/>
    <x v="7"/>
    <x v="590"/>
    <x v="3"/>
    <x v="2"/>
    <x v="4"/>
    <x v="221"/>
    <x v="10"/>
  </r>
  <r>
    <x v="50"/>
    <x v="32"/>
    <x v="58"/>
    <x v="8"/>
    <x v="590"/>
    <x v="3"/>
    <x v="2"/>
    <x v="4"/>
    <x v="221"/>
    <x v="10"/>
  </r>
  <r>
    <x v="50"/>
    <x v="32"/>
    <x v="1359"/>
    <x v="5"/>
    <x v="590"/>
    <x v="3"/>
    <x v="2"/>
    <x v="4"/>
    <x v="221"/>
    <x v="10"/>
  </r>
  <r>
    <x v="50"/>
    <x v="0"/>
    <x v="518"/>
    <x v="3"/>
    <x v="449"/>
    <x v="3"/>
    <x v="0"/>
    <x v="2"/>
    <x v="221"/>
    <x v="9"/>
  </r>
  <r>
    <x v="50"/>
    <x v="0"/>
    <x v="256"/>
    <x v="3"/>
    <x v="56"/>
    <x v="3"/>
    <x v="0"/>
    <x v="2"/>
    <x v="221"/>
    <x v="9"/>
  </r>
  <r>
    <x v="50"/>
    <x v="37"/>
    <x v="65"/>
    <x v="1"/>
    <x v="590"/>
    <x v="3"/>
    <x v="0"/>
    <x v="2"/>
    <x v="221"/>
    <x v="12"/>
  </r>
  <r>
    <x v="50"/>
    <x v="23"/>
    <x v="10"/>
    <x v="3"/>
    <x v="590"/>
    <x v="3"/>
    <x v="0"/>
    <x v="2"/>
    <x v="221"/>
    <x v="6"/>
  </r>
  <r>
    <x v="51"/>
    <x v="20"/>
    <x v="1431"/>
    <x v="0"/>
    <x v="590"/>
    <x v="3"/>
    <x v="0"/>
    <x v="2"/>
    <x v="221"/>
    <x v="5"/>
  </r>
  <r>
    <x v="51"/>
    <x v="8"/>
    <x v="449"/>
    <x v="0"/>
    <x v="590"/>
    <x v="3"/>
    <x v="0"/>
    <x v="2"/>
    <x v="221"/>
    <x v="5"/>
  </r>
  <r>
    <x v="51"/>
    <x v="9"/>
    <x v="1613"/>
    <x v="0"/>
    <x v="590"/>
    <x v="3"/>
    <x v="0"/>
    <x v="2"/>
    <x v="221"/>
    <x v="5"/>
  </r>
  <r>
    <x v="51"/>
    <x v="27"/>
    <x v="1505"/>
    <x v="0"/>
    <x v="590"/>
    <x v="3"/>
    <x v="0"/>
    <x v="2"/>
    <x v="221"/>
    <x v="5"/>
  </r>
  <r>
    <x v="51"/>
    <x v="3"/>
    <x v="611"/>
    <x v="0"/>
    <x v="153"/>
    <x v="3"/>
    <x v="0"/>
    <x v="2"/>
    <x v="221"/>
    <x v="4"/>
  </r>
  <r>
    <x v="51"/>
    <x v="38"/>
    <x v="482"/>
    <x v="1"/>
    <x v="389"/>
    <x v="3"/>
    <x v="0"/>
    <x v="2"/>
    <x v="221"/>
    <x v="5"/>
  </r>
  <r>
    <x v="51"/>
    <x v="38"/>
    <x v="356"/>
    <x v="0"/>
    <x v="590"/>
    <x v="3"/>
    <x v="0"/>
    <x v="2"/>
    <x v="221"/>
    <x v="5"/>
  </r>
  <r>
    <x v="51"/>
    <x v="3"/>
    <x v="641"/>
    <x v="0"/>
    <x v="579"/>
    <x v="3"/>
    <x v="0"/>
    <x v="2"/>
    <x v="221"/>
    <x v="4"/>
  </r>
  <r>
    <x v="51"/>
    <x v="32"/>
    <x v="1114"/>
    <x v="3"/>
    <x v="590"/>
    <x v="3"/>
    <x v="2"/>
    <x v="4"/>
    <x v="221"/>
    <x v="10"/>
  </r>
  <r>
    <x v="51"/>
    <x v="32"/>
    <x v="391"/>
    <x v="6"/>
    <x v="590"/>
    <x v="3"/>
    <x v="2"/>
    <x v="4"/>
    <x v="221"/>
    <x v="10"/>
  </r>
  <r>
    <x v="51"/>
    <x v="32"/>
    <x v="1916"/>
    <x v="7"/>
    <x v="590"/>
    <x v="3"/>
    <x v="2"/>
    <x v="4"/>
    <x v="221"/>
    <x v="10"/>
  </r>
  <r>
    <x v="51"/>
    <x v="32"/>
    <x v="258"/>
    <x v="5"/>
    <x v="590"/>
    <x v="3"/>
    <x v="2"/>
    <x v="4"/>
    <x v="221"/>
    <x v="10"/>
  </r>
  <r>
    <x v="51"/>
    <x v="37"/>
    <x v="53"/>
    <x v="1"/>
    <x v="590"/>
    <x v="3"/>
    <x v="0"/>
    <x v="2"/>
    <x v="221"/>
    <x v="12"/>
  </r>
  <r>
    <x v="51"/>
    <x v="10"/>
    <x v="33"/>
    <x v="1"/>
    <x v="590"/>
    <x v="3"/>
    <x v="0"/>
    <x v="2"/>
    <x v="221"/>
    <x v="6"/>
  </r>
  <r>
    <x v="51"/>
    <x v="38"/>
    <x v="30"/>
    <x v="1"/>
    <x v="401"/>
    <x v="3"/>
    <x v="0"/>
    <x v="2"/>
    <x v="221"/>
    <x v="5"/>
  </r>
  <r>
    <x v="51"/>
    <x v="23"/>
    <x v="1"/>
    <x v="3"/>
    <x v="590"/>
    <x v="3"/>
    <x v="0"/>
    <x v="2"/>
    <x v="221"/>
    <x v="6"/>
  </r>
  <r>
    <x v="51"/>
    <x v="12"/>
    <x v="722"/>
    <x v="0"/>
    <x v="590"/>
    <x v="3"/>
    <x v="0"/>
    <x v="2"/>
    <x v="221"/>
    <x v="5"/>
  </r>
  <r>
    <x v="52"/>
    <x v="12"/>
    <x v="552"/>
    <x v="0"/>
    <x v="17"/>
    <x v="3"/>
    <x v="0"/>
    <x v="2"/>
    <x v="221"/>
    <x v="5"/>
  </r>
  <r>
    <x v="52"/>
    <x v="9"/>
    <x v="1446"/>
    <x v="0"/>
    <x v="229"/>
    <x v="3"/>
    <x v="0"/>
    <x v="2"/>
    <x v="221"/>
    <x v="5"/>
  </r>
  <r>
    <x v="52"/>
    <x v="3"/>
    <x v="599"/>
    <x v="3"/>
    <x v="580"/>
    <x v="3"/>
    <x v="0"/>
    <x v="2"/>
    <x v="221"/>
    <x v="4"/>
  </r>
  <r>
    <x v="52"/>
    <x v="20"/>
    <x v="28"/>
    <x v="3"/>
    <x v="381"/>
    <x v="3"/>
    <x v="0"/>
    <x v="2"/>
    <x v="221"/>
    <x v="5"/>
  </r>
  <r>
    <x v="52"/>
    <x v="6"/>
    <x v="719"/>
    <x v="1"/>
    <x v="567"/>
    <x v="3"/>
    <x v="0"/>
    <x v="2"/>
    <x v="221"/>
    <x v="7"/>
  </r>
  <r>
    <x v="52"/>
    <x v="20"/>
    <x v="1616"/>
    <x v="0"/>
    <x v="253"/>
    <x v="3"/>
    <x v="0"/>
    <x v="2"/>
    <x v="221"/>
    <x v="5"/>
  </r>
  <r>
    <x v="52"/>
    <x v="27"/>
    <x v="1134"/>
    <x v="0"/>
    <x v="6"/>
    <x v="3"/>
    <x v="0"/>
    <x v="2"/>
    <x v="221"/>
    <x v="5"/>
  </r>
  <r>
    <x v="52"/>
    <x v="32"/>
    <x v="1268"/>
    <x v="3"/>
    <x v="422"/>
    <x v="3"/>
    <x v="2"/>
    <x v="4"/>
    <x v="221"/>
    <x v="10"/>
  </r>
  <r>
    <x v="52"/>
    <x v="32"/>
    <x v="599"/>
    <x v="2"/>
    <x v="422"/>
    <x v="3"/>
    <x v="2"/>
    <x v="4"/>
    <x v="221"/>
    <x v="10"/>
  </r>
  <r>
    <x v="52"/>
    <x v="32"/>
    <x v="210"/>
    <x v="6"/>
    <x v="422"/>
    <x v="3"/>
    <x v="2"/>
    <x v="4"/>
    <x v="221"/>
    <x v="10"/>
  </r>
  <r>
    <x v="52"/>
    <x v="32"/>
    <x v="1931"/>
    <x v="7"/>
    <x v="422"/>
    <x v="3"/>
    <x v="2"/>
    <x v="4"/>
    <x v="221"/>
    <x v="10"/>
  </r>
  <r>
    <x v="52"/>
    <x v="32"/>
    <x v="1189"/>
    <x v="5"/>
    <x v="533"/>
    <x v="3"/>
    <x v="2"/>
    <x v="4"/>
    <x v="221"/>
    <x v="10"/>
  </r>
  <r>
    <x v="52"/>
    <x v="37"/>
    <x v="53"/>
    <x v="1"/>
    <x v="590"/>
    <x v="3"/>
    <x v="0"/>
    <x v="2"/>
    <x v="221"/>
    <x v="12"/>
  </r>
  <r>
    <x v="52"/>
    <x v="23"/>
    <x v="13"/>
    <x v="3"/>
    <x v="590"/>
    <x v="3"/>
    <x v="0"/>
    <x v="2"/>
    <x v="221"/>
    <x v="6"/>
  </r>
  <r>
    <x v="53"/>
    <x v="20"/>
    <x v="1620"/>
    <x v="0"/>
    <x v="61"/>
    <x v="3"/>
    <x v="0"/>
    <x v="2"/>
    <x v="221"/>
    <x v="5"/>
  </r>
  <r>
    <x v="53"/>
    <x v="12"/>
    <x v="324"/>
    <x v="0"/>
    <x v="17"/>
    <x v="3"/>
    <x v="0"/>
    <x v="2"/>
    <x v="221"/>
    <x v="5"/>
  </r>
  <r>
    <x v="53"/>
    <x v="8"/>
    <x v="449"/>
    <x v="0"/>
    <x v="240"/>
    <x v="3"/>
    <x v="0"/>
    <x v="2"/>
    <x v="221"/>
    <x v="5"/>
  </r>
  <r>
    <x v="53"/>
    <x v="9"/>
    <x v="1212"/>
    <x v="0"/>
    <x v="229"/>
    <x v="3"/>
    <x v="0"/>
    <x v="2"/>
    <x v="221"/>
    <x v="5"/>
  </r>
  <r>
    <x v="53"/>
    <x v="1"/>
    <x v="860"/>
    <x v="1"/>
    <x v="431"/>
    <x v="3"/>
    <x v="0"/>
    <x v="2"/>
    <x v="221"/>
    <x v="4"/>
  </r>
  <r>
    <x v="53"/>
    <x v="18"/>
    <x v="719"/>
    <x v="1"/>
    <x v="590"/>
    <x v="3"/>
    <x v="0"/>
    <x v="2"/>
    <x v="221"/>
    <x v="3"/>
  </r>
  <r>
    <x v="53"/>
    <x v="27"/>
    <x v="784"/>
    <x v="0"/>
    <x v="5"/>
    <x v="3"/>
    <x v="0"/>
    <x v="2"/>
    <x v="221"/>
    <x v="5"/>
  </r>
  <r>
    <x v="53"/>
    <x v="27"/>
    <x v="471"/>
    <x v="1"/>
    <x v="5"/>
    <x v="3"/>
    <x v="0"/>
    <x v="2"/>
    <x v="221"/>
    <x v="5"/>
  </r>
  <r>
    <x v="53"/>
    <x v="12"/>
    <x v="287"/>
    <x v="1"/>
    <x v="509"/>
    <x v="3"/>
    <x v="0"/>
    <x v="2"/>
    <x v="221"/>
    <x v="5"/>
  </r>
  <r>
    <x v="53"/>
    <x v="38"/>
    <x v="282"/>
    <x v="0"/>
    <x v="225"/>
    <x v="3"/>
    <x v="0"/>
    <x v="2"/>
    <x v="221"/>
    <x v="5"/>
  </r>
  <r>
    <x v="53"/>
    <x v="15"/>
    <x v="488"/>
    <x v="3"/>
    <x v="356"/>
    <x v="3"/>
    <x v="0"/>
    <x v="2"/>
    <x v="221"/>
    <x v="4"/>
  </r>
  <r>
    <x v="53"/>
    <x v="32"/>
    <x v="539"/>
    <x v="3"/>
    <x v="422"/>
    <x v="3"/>
    <x v="2"/>
    <x v="4"/>
    <x v="221"/>
    <x v="10"/>
  </r>
  <r>
    <x v="53"/>
    <x v="32"/>
    <x v="1767"/>
    <x v="7"/>
    <x v="422"/>
    <x v="3"/>
    <x v="2"/>
    <x v="4"/>
    <x v="221"/>
    <x v="10"/>
  </r>
  <r>
    <x v="53"/>
    <x v="32"/>
    <x v="65"/>
    <x v="8"/>
    <x v="422"/>
    <x v="3"/>
    <x v="2"/>
    <x v="4"/>
    <x v="221"/>
    <x v="10"/>
  </r>
  <r>
    <x v="53"/>
    <x v="32"/>
    <x v="1033"/>
    <x v="5"/>
    <x v="533"/>
    <x v="3"/>
    <x v="2"/>
    <x v="4"/>
    <x v="221"/>
    <x v="10"/>
  </r>
  <r>
    <x v="53"/>
    <x v="37"/>
    <x v="118"/>
    <x v="1"/>
    <x v="590"/>
    <x v="3"/>
    <x v="0"/>
    <x v="2"/>
    <x v="221"/>
    <x v="12"/>
  </r>
  <r>
    <x v="53"/>
    <x v="23"/>
    <x v="9"/>
    <x v="3"/>
    <x v="590"/>
    <x v="3"/>
    <x v="0"/>
    <x v="2"/>
    <x v="221"/>
    <x v="6"/>
  </r>
  <r>
    <x v="54"/>
    <x v="12"/>
    <x v="430"/>
    <x v="0"/>
    <x v="17"/>
    <x v="3"/>
    <x v="0"/>
    <x v="2"/>
    <x v="221"/>
    <x v="5"/>
  </r>
  <r>
    <x v="54"/>
    <x v="9"/>
    <x v="930"/>
    <x v="0"/>
    <x v="229"/>
    <x v="3"/>
    <x v="0"/>
    <x v="2"/>
    <x v="221"/>
    <x v="5"/>
  </r>
  <r>
    <x v="54"/>
    <x v="1"/>
    <x v="76"/>
    <x v="3"/>
    <x v="325"/>
    <x v="3"/>
    <x v="0"/>
    <x v="2"/>
    <x v="221"/>
    <x v="4"/>
  </r>
  <r>
    <x v="54"/>
    <x v="20"/>
    <x v="1309"/>
    <x v="0"/>
    <x v="357"/>
    <x v="3"/>
    <x v="0"/>
    <x v="2"/>
    <x v="221"/>
    <x v="5"/>
  </r>
  <r>
    <x v="54"/>
    <x v="24"/>
    <x v="318"/>
    <x v="0"/>
    <x v="330"/>
    <x v="3"/>
    <x v="0"/>
    <x v="2"/>
    <x v="221"/>
    <x v="6"/>
  </r>
  <r>
    <x v="54"/>
    <x v="32"/>
    <x v="818"/>
    <x v="3"/>
    <x v="422"/>
    <x v="3"/>
    <x v="2"/>
    <x v="4"/>
    <x v="221"/>
    <x v="10"/>
  </r>
  <r>
    <x v="54"/>
    <x v="32"/>
    <x v="1810"/>
    <x v="7"/>
    <x v="422"/>
    <x v="3"/>
    <x v="2"/>
    <x v="4"/>
    <x v="221"/>
    <x v="10"/>
  </r>
  <r>
    <x v="54"/>
    <x v="32"/>
    <x v="668"/>
    <x v="5"/>
    <x v="533"/>
    <x v="3"/>
    <x v="2"/>
    <x v="4"/>
    <x v="221"/>
    <x v="10"/>
  </r>
  <r>
    <x v="54"/>
    <x v="38"/>
    <x v="255"/>
    <x v="0"/>
    <x v="225"/>
    <x v="3"/>
    <x v="0"/>
    <x v="2"/>
    <x v="221"/>
    <x v="5"/>
  </r>
  <r>
    <x v="54"/>
    <x v="37"/>
    <x v="55"/>
    <x v="1"/>
    <x v="590"/>
    <x v="3"/>
    <x v="0"/>
    <x v="2"/>
    <x v="221"/>
    <x v="12"/>
  </r>
  <r>
    <x v="54"/>
    <x v="23"/>
    <x v="19"/>
    <x v="3"/>
    <x v="590"/>
    <x v="3"/>
    <x v="0"/>
    <x v="2"/>
    <x v="221"/>
    <x v="6"/>
  </r>
  <r>
    <x v="55"/>
    <x v="12"/>
    <x v="551"/>
    <x v="0"/>
    <x v="17"/>
    <x v="3"/>
    <x v="0"/>
    <x v="2"/>
    <x v="221"/>
    <x v="5"/>
  </r>
  <r>
    <x v="55"/>
    <x v="9"/>
    <x v="1233"/>
    <x v="0"/>
    <x v="229"/>
    <x v="3"/>
    <x v="0"/>
    <x v="2"/>
    <x v="221"/>
    <x v="5"/>
  </r>
  <r>
    <x v="55"/>
    <x v="8"/>
    <x v="779"/>
    <x v="0"/>
    <x v="241"/>
    <x v="3"/>
    <x v="0"/>
    <x v="2"/>
    <x v="221"/>
    <x v="5"/>
  </r>
  <r>
    <x v="55"/>
    <x v="1"/>
    <x v="90"/>
    <x v="1"/>
    <x v="324"/>
    <x v="3"/>
    <x v="0"/>
    <x v="2"/>
    <x v="221"/>
    <x v="4"/>
  </r>
  <r>
    <x v="55"/>
    <x v="20"/>
    <x v="49"/>
    <x v="3"/>
    <x v="381"/>
    <x v="3"/>
    <x v="0"/>
    <x v="2"/>
    <x v="221"/>
    <x v="5"/>
  </r>
  <r>
    <x v="55"/>
    <x v="20"/>
    <x v="1116"/>
    <x v="0"/>
    <x v="61"/>
    <x v="3"/>
    <x v="0"/>
    <x v="2"/>
    <x v="221"/>
    <x v="5"/>
  </r>
  <r>
    <x v="55"/>
    <x v="3"/>
    <x v="506"/>
    <x v="1"/>
    <x v="153"/>
    <x v="3"/>
    <x v="0"/>
    <x v="2"/>
    <x v="221"/>
    <x v="4"/>
  </r>
  <r>
    <x v="55"/>
    <x v="24"/>
    <x v="77"/>
    <x v="1"/>
    <x v="336"/>
    <x v="3"/>
    <x v="0"/>
    <x v="2"/>
    <x v="221"/>
    <x v="6"/>
  </r>
  <r>
    <x v="55"/>
    <x v="13"/>
    <x v="1458"/>
    <x v="0"/>
    <x v="32"/>
    <x v="3"/>
    <x v="0"/>
    <x v="2"/>
    <x v="221"/>
    <x v="5"/>
  </r>
  <r>
    <x v="55"/>
    <x v="14"/>
    <x v="1353"/>
    <x v="0"/>
    <x v="326"/>
    <x v="3"/>
    <x v="0"/>
    <x v="2"/>
    <x v="221"/>
    <x v="6"/>
  </r>
  <r>
    <x v="55"/>
    <x v="27"/>
    <x v="1134"/>
    <x v="0"/>
    <x v="5"/>
    <x v="3"/>
    <x v="0"/>
    <x v="2"/>
    <x v="221"/>
    <x v="5"/>
  </r>
  <r>
    <x v="55"/>
    <x v="18"/>
    <x v="375"/>
    <x v="0"/>
    <x v="143"/>
    <x v="3"/>
    <x v="0"/>
    <x v="2"/>
    <x v="221"/>
    <x v="3"/>
  </r>
  <r>
    <x v="55"/>
    <x v="38"/>
    <x v="536"/>
    <x v="1"/>
    <x v="500"/>
    <x v="3"/>
    <x v="0"/>
    <x v="1"/>
    <x v="10"/>
    <x v="5"/>
  </r>
  <r>
    <x v="55"/>
    <x v="31"/>
    <x v="739"/>
    <x v="0"/>
    <x v="280"/>
    <x v="3"/>
    <x v="0"/>
    <x v="2"/>
    <x v="221"/>
    <x v="8"/>
  </r>
  <r>
    <x v="55"/>
    <x v="28"/>
    <x v="45"/>
    <x v="1"/>
    <x v="175"/>
    <x v="3"/>
    <x v="0"/>
    <x v="2"/>
    <x v="221"/>
    <x v="0"/>
  </r>
  <r>
    <x v="55"/>
    <x v="32"/>
    <x v="724"/>
    <x v="3"/>
    <x v="422"/>
    <x v="3"/>
    <x v="2"/>
    <x v="4"/>
    <x v="221"/>
    <x v="10"/>
  </r>
  <r>
    <x v="55"/>
    <x v="32"/>
    <x v="1751"/>
    <x v="7"/>
    <x v="422"/>
    <x v="3"/>
    <x v="2"/>
    <x v="4"/>
    <x v="221"/>
    <x v="10"/>
  </r>
  <r>
    <x v="55"/>
    <x v="32"/>
    <x v="1210"/>
    <x v="5"/>
    <x v="533"/>
    <x v="3"/>
    <x v="2"/>
    <x v="4"/>
    <x v="221"/>
    <x v="10"/>
  </r>
  <r>
    <x v="55"/>
    <x v="37"/>
    <x v="80"/>
    <x v="1"/>
    <x v="590"/>
    <x v="3"/>
    <x v="0"/>
    <x v="2"/>
    <x v="221"/>
    <x v="12"/>
  </r>
  <r>
    <x v="55"/>
    <x v="12"/>
    <x v="30"/>
    <x v="1"/>
    <x v="331"/>
    <x v="3"/>
    <x v="0"/>
    <x v="2"/>
    <x v="221"/>
    <x v="5"/>
  </r>
  <r>
    <x v="55"/>
    <x v="0"/>
    <x v="318"/>
    <x v="3"/>
    <x v="371"/>
    <x v="3"/>
    <x v="0"/>
    <x v="2"/>
    <x v="221"/>
    <x v="9"/>
  </r>
  <r>
    <x v="56"/>
    <x v="9"/>
    <x v="1218"/>
    <x v="0"/>
    <x v="229"/>
    <x v="3"/>
    <x v="0"/>
    <x v="2"/>
    <x v="221"/>
    <x v="5"/>
  </r>
  <r>
    <x v="56"/>
    <x v="20"/>
    <x v="1260"/>
    <x v="0"/>
    <x v="61"/>
    <x v="3"/>
    <x v="0"/>
    <x v="2"/>
    <x v="221"/>
    <x v="5"/>
  </r>
  <r>
    <x v="56"/>
    <x v="27"/>
    <x v="1415"/>
    <x v="0"/>
    <x v="5"/>
    <x v="3"/>
    <x v="0"/>
    <x v="2"/>
    <x v="221"/>
    <x v="5"/>
  </r>
  <r>
    <x v="56"/>
    <x v="31"/>
    <x v="719"/>
    <x v="0"/>
    <x v="209"/>
    <x v="3"/>
    <x v="0"/>
    <x v="2"/>
    <x v="221"/>
    <x v="8"/>
  </r>
  <r>
    <x v="56"/>
    <x v="12"/>
    <x v="484"/>
    <x v="0"/>
    <x v="17"/>
    <x v="3"/>
    <x v="0"/>
    <x v="2"/>
    <x v="221"/>
    <x v="5"/>
  </r>
  <r>
    <x v="56"/>
    <x v="1"/>
    <x v="90"/>
    <x v="3"/>
    <x v="324"/>
    <x v="3"/>
    <x v="0"/>
    <x v="2"/>
    <x v="221"/>
    <x v="4"/>
  </r>
  <r>
    <x v="56"/>
    <x v="15"/>
    <x v="205"/>
    <x v="3"/>
    <x v="353"/>
    <x v="3"/>
    <x v="0"/>
    <x v="2"/>
    <x v="221"/>
    <x v="4"/>
  </r>
  <r>
    <x v="56"/>
    <x v="32"/>
    <x v="889"/>
    <x v="3"/>
    <x v="422"/>
    <x v="3"/>
    <x v="2"/>
    <x v="4"/>
    <x v="221"/>
    <x v="10"/>
  </r>
  <r>
    <x v="56"/>
    <x v="32"/>
    <x v="420"/>
    <x v="2"/>
    <x v="422"/>
    <x v="3"/>
    <x v="2"/>
    <x v="4"/>
    <x v="221"/>
    <x v="10"/>
  </r>
  <r>
    <x v="56"/>
    <x v="32"/>
    <x v="1823"/>
    <x v="7"/>
    <x v="422"/>
    <x v="3"/>
    <x v="2"/>
    <x v="4"/>
    <x v="221"/>
    <x v="10"/>
  </r>
  <r>
    <x v="56"/>
    <x v="32"/>
    <x v="637"/>
    <x v="5"/>
    <x v="533"/>
    <x v="3"/>
    <x v="2"/>
    <x v="4"/>
    <x v="221"/>
    <x v="10"/>
  </r>
  <r>
    <x v="56"/>
    <x v="37"/>
    <x v="65"/>
    <x v="1"/>
    <x v="590"/>
    <x v="3"/>
    <x v="0"/>
    <x v="2"/>
    <x v="221"/>
    <x v="12"/>
  </r>
  <r>
    <x v="56"/>
    <x v="12"/>
    <x v="30"/>
    <x v="1"/>
    <x v="331"/>
    <x v="3"/>
    <x v="0"/>
    <x v="2"/>
    <x v="221"/>
    <x v="5"/>
  </r>
  <r>
    <x v="56"/>
    <x v="38"/>
    <x v="141"/>
    <x v="0"/>
    <x v="225"/>
    <x v="3"/>
    <x v="0"/>
    <x v="2"/>
    <x v="221"/>
    <x v="5"/>
  </r>
  <r>
    <x v="57"/>
    <x v="8"/>
    <x v="449"/>
    <x v="0"/>
    <x v="239"/>
    <x v="3"/>
    <x v="0"/>
    <x v="2"/>
    <x v="221"/>
    <x v="5"/>
  </r>
  <r>
    <x v="57"/>
    <x v="3"/>
    <x v="599"/>
    <x v="3"/>
    <x v="388"/>
    <x v="3"/>
    <x v="0"/>
    <x v="2"/>
    <x v="221"/>
    <x v="4"/>
  </r>
  <r>
    <x v="57"/>
    <x v="12"/>
    <x v="648"/>
    <x v="0"/>
    <x v="17"/>
    <x v="3"/>
    <x v="0"/>
    <x v="2"/>
    <x v="221"/>
    <x v="5"/>
  </r>
  <r>
    <x v="57"/>
    <x v="1"/>
    <x v="127"/>
    <x v="3"/>
    <x v="430"/>
    <x v="3"/>
    <x v="0"/>
    <x v="2"/>
    <x v="221"/>
    <x v="4"/>
  </r>
  <r>
    <x v="57"/>
    <x v="38"/>
    <x v="337"/>
    <x v="1"/>
    <x v="500"/>
    <x v="3"/>
    <x v="0"/>
    <x v="1"/>
    <x v="10"/>
    <x v="5"/>
  </r>
  <r>
    <x v="57"/>
    <x v="13"/>
    <x v="655"/>
    <x v="0"/>
    <x v="32"/>
    <x v="3"/>
    <x v="0"/>
    <x v="2"/>
    <x v="221"/>
    <x v="5"/>
  </r>
  <r>
    <x v="57"/>
    <x v="32"/>
    <x v="1643"/>
    <x v="3"/>
    <x v="422"/>
    <x v="3"/>
    <x v="2"/>
    <x v="4"/>
    <x v="221"/>
    <x v="10"/>
  </r>
  <r>
    <x v="57"/>
    <x v="32"/>
    <x v="757"/>
    <x v="2"/>
    <x v="422"/>
    <x v="3"/>
    <x v="2"/>
    <x v="4"/>
    <x v="221"/>
    <x v="10"/>
  </r>
  <r>
    <x v="57"/>
    <x v="32"/>
    <x v="794"/>
    <x v="6"/>
    <x v="422"/>
    <x v="3"/>
    <x v="2"/>
    <x v="4"/>
    <x v="221"/>
    <x v="10"/>
  </r>
  <r>
    <x v="57"/>
    <x v="32"/>
    <x v="1958"/>
    <x v="7"/>
    <x v="422"/>
    <x v="3"/>
    <x v="2"/>
    <x v="4"/>
    <x v="221"/>
    <x v="10"/>
  </r>
  <r>
    <x v="57"/>
    <x v="32"/>
    <x v="1285"/>
    <x v="5"/>
    <x v="533"/>
    <x v="3"/>
    <x v="2"/>
    <x v="4"/>
    <x v="221"/>
    <x v="10"/>
  </r>
  <r>
    <x v="57"/>
    <x v="9"/>
    <x v="1356"/>
    <x v="0"/>
    <x v="229"/>
    <x v="3"/>
    <x v="0"/>
    <x v="2"/>
    <x v="221"/>
    <x v="5"/>
  </r>
  <r>
    <x v="57"/>
    <x v="27"/>
    <x v="1302"/>
    <x v="0"/>
    <x v="5"/>
    <x v="3"/>
    <x v="0"/>
    <x v="2"/>
    <x v="221"/>
    <x v="5"/>
  </r>
  <r>
    <x v="57"/>
    <x v="37"/>
    <x v="53"/>
    <x v="1"/>
    <x v="590"/>
    <x v="3"/>
    <x v="0"/>
    <x v="2"/>
    <x v="221"/>
    <x v="12"/>
  </r>
  <r>
    <x v="57"/>
    <x v="10"/>
    <x v="318"/>
    <x v="1"/>
    <x v="586"/>
    <x v="3"/>
    <x v="0"/>
    <x v="2"/>
    <x v="221"/>
    <x v="6"/>
  </r>
  <r>
    <x v="57"/>
    <x v="23"/>
    <x v="19"/>
    <x v="3"/>
    <x v="590"/>
    <x v="3"/>
    <x v="0"/>
    <x v="2"/>
    <x v="221"/>
    <x v="6"/>
  </r>
  <r>
    <x v="58"/>
    <x v="38"/>
    <x v="423"/>
    <x v="1"/>
    <x v="500"/>
    <x v="3"/>
    <x v="0"/>
    <x v="1"/>
    <x v="10"/>
    <x v="5"/>
  </r>
  <r>
    <x v="58"/>
    <x v="9"/>
    <x v="1688"/>
    <x v="0"/>
    <x v="229"/>
    <x v="3"/>
    <x v="0"/>
    <x v="2"/>
    <x v="221"/>
    <x v="5"/>
  </r>
  <r>
    <x v="58"/>
    <x v="12"/>
    <x v="871"/>
    <x v="0"/>
    <x v="17"/>
    <x v="3"/>
    <x v="0"/>
    <x v="2"/>
    <x v="221"/>
    <x v="5"/>
  </r>
  <r>
    <x v="58"/>
    <x v="28"/>
    <x v="191"/>
    <x v="1"/>
    <x v="175"/>
    <x v="3"/>
    <x v="0"/>
    <x v="2"/>
    <x v="221"/>
    <x v="0"/>
  </r>
  <r>
    <x v="58"/>
    <x v="24"/>
    <x v="36"/>
    <x v="1"/>
    <x v="177"/>
    <x v="3"/>
    <x v="0"/>
    <x v="2"/>
    <x v="221"/>
    <x v="6"/>
  </r>
  <r>
    <x v="58"/>
    <x v="20"/>
    <x v="1359"/>
    <x v="0"/>
    <x v="61"/>
    <x v="3"/>
    <x v="0"/>
    <x v="2"/>
    <x v="221"/>
    <x v="5"/>
  </r>
  <r>
    <x v="58"/>
    <x v="0"/>
    <x v="65"/>
    <x v="1"/>
    <x v="27"/>
    <x v="3"/>
    <x v="0"/>
    <x v="2"/>
    <x v="221"/>
    <x v="9"/>
  </r>
  <r>
    <x v="58"/>
    <x v="1"/>
    <x v="158"/>
    <x v="3"/>
    <x v="431"/>
    <x v="3"/>
    <x v="0"/>
    <x v="2"/>
    <x v="221"/>
    <x v="4"/>
  </r>
  <r>
    <x v="58"/>
    <x v="38"/>
    <x v="760"/>
    <x v="1"/>
    <x v="389"/>
    <x v="3"/>
    <x v="0"/>
    <x v="2"/>
    <x v="221"/>
    <x v="5"/>
  </r>
  <r>
    <x v="58"/>
    <x v="19"/>
    <x v="1732"/>
    <x v="0"/>
    <x v="475"/>
    <x v="3"/>
    <x v="0"/>
    <x v="2"/>
    <x v="221"/>
    <x v="3"/>
  </r>
  <r>
    <x v="58"/>
    <x v="17"/>
    <x v="1932"/>
    <x v="0"/>
    <x v="194"/>
    <x v="3"/>
    <x v="0"/>
    <x v="2"/>
    <x v="221"/>
    <x v="3"/>
  </r>
  <r>
    <x v="58"/>
    <x v="15"/>
    <x v="447"/>
    <x v="3"/>
    <x v="353"/>
    <x v="3"/>
    <x v="0"/>
    <x v="2"/>
    <x v="221"/>
    <x v="4"/>
  </r>
  <r>
    <x v="58"/>
    <x v="32"/>
    <x v="1635"/>
    <x v="3"/>
    <x v="422"/>
    <x v="3"/>
    <x v="2"/>
    <x v="4"/>
    <x v="221"/>
    <x v="10"/>
  </r>
  <r>
    <x v="58"/>
    <x v="32"/>
    <x v="1225"/>
    <x v="2"/>
    <x v="422"/>
    <x v="3"/>
    <x v="2"/>
    <x v="4"/>
    <x v="221"/>
    <x v="10"/>
  </r>
  <r>
    <x v="58"/>
    <x v="32"/>
    <x v="83"/>
    <x v="6"/>
    <x v="422"/>
    <x v="3"/>
    <x v="2"/>
    <x v="4"/>
    <x v="221"/>
    <x v="10"/>
  </r>
  <r>
    <x v="58"/>
    <x v="32"/>
    <x v="1933"/>
    <x v="7"/>
    <x v="422"/>
    <x v="3"/>
    <x v="2"/>
    <x v="4"/>
    <x v="221"/>
    <x v="10"/>
  </r>
  <r>
    <x v="58"/>
    <x v="32"/>
    <x v="1178"/>
    <x v="5"/>
    <x v="533"/>
    <x v="3"/>
    <x v="2"/>
    <x v="4"/>
    <x v="221"/>
    <x v="10"/>
  </r>
  <r>
    <x v="58"/>
    <x v="26"/>
    <x v="90"/>
    <x v="1"/>
    <x v="344"/>
    <x v="3"/>
    <x v="0"/>
    <x v="2"/>
    <x v="221"/>
    <x v="5"/>
  </r>
  <r>
    <x v="58"/>
    <x v="37"/>
    <x v="58"/>
    <x v="1"/>
    <x v="590"/>
    <x v="3"/>
    <x v="0"/>
    <x v="2"/>
    <x v="221"/>
    <x v="12"/>
  </r>
  <r>
    <x v="58"/>
    <x v="27"/>
    <x v="1134"/>
    <x v="1"/>
    <x v="5"/>
    <x v="3"/>
    <x v="0"/>
    <x v="2"/>
    <x v="221"/>
    <x v="5"/>
  </r>
  <r>
    <x v="58"/>
    <x v="38"/>
    <x v="12"/>
    <x v="3"/>
    <x v="444"/>
    <x v="3"/>
    <x v="0"/>
    <x v="2"/>
    <x v="221"/>
    <x v="5"/>
  </r>
  <r>
    <x v="59"/>
    <x v="12"/>
    <x v="695"/>
    <x v="0"/>
    <x v="17"/>
    <x v="3"/>
    <x v="0"/>
    <x v="2"/>
    <x v="221"/>
    <x v="5"/>
  </r>
  <r>
    <x v="59"/>
    <x v="9"/>
    <x v="1572"/>
    <x v="0"/>
    <x v="229"/>
    <x v="3"/>
    <x v="0"/>
    <x v="2"/>
    <x v="221"/>
    <x v="5"/>
  </r>
  <r>
    <x v="59"/>
    <x v="20"/>
    <x v="1540"/>
    <x v="0"/>
    <x v="61"/>
    <x v="3"/>
    <x v="0"/>
    <x v="2"/>
    <x v="221"/>
    <x v="5"/>
  </r>
  <r>
    <x v="59"/>
    <x v="38"/>
    <x v="375"/>
    <x v="1"/>
    <x v="500"/>
    <x v="3"/>
    <x v="0"/>
    <x v="1"/>
    <x v="10"/>
    <x v="5"/>
  </r>
  <r>
    <x v="59"/>
    <x v="1"/>
    <x v="158"/>
    <x v="3"/>
    <x v="431"/>
    <x v="3"/>
    <x v="0"/>
    <x v="2"/>
    <x v="221"/>
    <x v="4"/>
  </r>
  <r>
    <x v="59"/>
    <x v="20"/>
    <x v="49"/>
    <x v="3"/>
    <x v="381"/>
    <x v="3"/>
    <x v="0"/>
    <x v="2"/>
    <x v="221"/>
    <x v="5"/>
  </r>
  <r>
    <x v="59"/>
    <x v="27"/>
    <x v="1134"/>
    <x v="1"/>
    <x v="5"/>
    <x v="3"/>
    <x v="0"/>
    <x v="2"/>
    <x v="221"/>
    <x v="5"/>
  </r>
  <r>
    <x v="59"/>
    <x v="12"/>
    <x v="287"/>
    <x v="1"/>
    <x v="509"/>
    <x v="3"/>
    <x v="0"/>
    <x v="2"/>
    <x v="221"/>
    <x v="5"/>
  </r>
  <r>
    <x v="59"/>
    <x v="32"/>
    <x v="1670"/>
    <x v="3"/>
    <x v="422"/>
    <x v="3"/>
    <x v="2"/>
    <x v="4"/>
    <x v="221"/>
    <x v="10"/>
  </r>
  <r>
    <x v="59"/>
    <x v="32"/>
    <x v="582"/>
    <x v="2"/>
    <x v="422"/>
    <x v="3"/>
    <x v="2"/>
    <x v="4"/>
    <x v="221"/>
    <x v="10"/>
  </r>
  <r>
    <x v="59"/>
    <x v="32"/>
    <x v="277"/>
    <x v="4"/>
    <x v="588"/>
    <x v="3"/>
    <x v="2"/>
    <x v="4"/>
    <x v="221"/>
    <x v="10"/>
  </r>
  <r>
    <x v="59"/>
    <x v="32"/>
    <x v="747"/>
    <x v="6"/>
    <x v="422"/>
    <x v="3"/>
    <x v="2"/>
    <x v="4"/>
    <x v="221"/>
    <x v="10"/>
  </r>
  <r>
    <x v="59"/>
    <x v="32"/>
    <x v="1918"/>
    <x v="7"/>
    <x v="422"/>
    <x v="3"/>
    <x v="2"/>
    <x v="4"/>
    <x v="221"/>
    <x v="10"/>
  </r>
  <r>
    <x v="59"/>
    <x v="32"/>
    <x v="92"/>
    <x v="5"/>
    <x v="533"/>
    <x v="3"/>
    <x v="2"/>
    <x v="4"/>
    <x v="221"/>
    <x v="10"/>
  </r>
  <r>
    <x v="59"/>
    <x v="32"/>
    <x v="450"/>
    <x v="8"/>
    <x v="422"/>
    <x v="3"/>
    <x v="2"/>
    <x v="4"/>
    <x v="221"/>
    <x v="10"/>
  </r>
  <r>
    <x v="59"/>
    <x v="37"/>
    <x v="53"/>
    <x v="1"/>
    <x v="590"/>
    <x v="3"/>
    <x v="0"/>
    <x v="2"/>
    <x v="221"/>
    <x v="12"/>
  </r>
  <r>
    <x v="59"/>
    <x v="23"/>
    <x v="14"/>
    <x v="3"/>
    <x v="590"/>
    <x v="3"/>
    <x v="0"/>
    <x v="2"/>
    <x v="221"/>
    <x v="6"/>
  </r>
  <r>
    <x v="60"/>
    <x v="20"/>
    <x v="670"/>
    <x v="0"/>
    <x v="61"/>
    <x v="3"/>
    <x v="0"/>
    <x v="2"/>
    <x v="221"/>
    <x v="5"/>
  </r>
  <r>
    <x v="60"/>
    <x v="8"/>
    <x v="779"/>
    <x v="0"/>
    <x v="241"/>
    <x v="3"/>
    <x v="0"/>
    <x v="2"/>
    <x v="221"/>
    <x v="5"/>
  </r>
  <r>
    <x v="60"/>
    <x v="12"/>
    <x v="926"/>
    <x v="0"/>
    <x v="17"/>
    <x v="3"/>
    <x v="0"/>
    <x v="2"/>
    <x v="221"/>
    <x v="5"/>
  </r>
  <r>
    <x v="60"/>
    <x v="38"/>
    <x v="372"/>
    <x v="1"/>
    <x v="500"/>
    <x v="3"/>
    <x v="0"/>
    <x v="1"/>
    <x v="10"/>
    <x v="5"/>
  </r>
  <r>
    <x v="60"/>
    <x v="1"/>
    <x v="127"/>
    <x v="3"/>
    <x v="428"/>
    <x v="3"/>
    <x v="0"/>
    <x v="2"/>
    <x v="221"/>
    <x v="4"/>
  </r>
  <r>
    <x v="60"/>
    <x v="3"/>
    <x v="599"/>
    <x v="1"/>
    <x v="579"/>
    <x v="3"/>
    <x v="0"/>
    <x v="2"/>
    <x v="221"/>
    <x v="4"/>
  </r>
  <r>
    <x v="60"/>
    <x v="9"/>
    <x v="1103"/>
    <x v="0"/>
    <x v="229"/>
    <x v="3"/>
    <x v="0"/>
    <x v="2"/>
    <x v="221"/>
    <x v="5"/>
  </r>
  <r>
    <x v="60"/>
    <x v="20"/>
    <x v="1606"/>
    <x v="0"/>
    <x v="272"/>
    <x v="3"/>
    <x v="0"/>
    <x v="2"/>
    <x v="221"/>
    <x v="5"/>
  </r>
  <r>
    <x v="60"/>
    <x v="27"/>
    <x v="1353"/>
    <x v="0"/>
    <x v="4"/>
    <x v="3"/>
    <x v="0"/>
    <x v="2"/>
    <x v="221"/>
    <x v="5"/>
  </r>
  <r>
    <x v="60"/>
    <x v="27"/>
    <x v="216"/>
    <x v="1"/>
    <x v="4"/>
    <x v="3"/>
    <x v="0"/>
    <x v="2"/>
    <x v="221"/>
    <x v="5"/>
  </r>
  <r>
    <x v="60"/>
    <x v="32"/>
    <x v="1399"/>
    <x v="3"/>
    <x v="422"/>
    <x v="3"/>
    <x v="2"/>
    <x v="4"/>
    <x v="221"/>
    <x v="10"/>
  </r>
  <r>
    <x v="60"/>
    <x v="32"/>
    <x v="216"/>
    <x v="2"/>
    <x v="422"/>
    <x v="3"/>
    <x v="2"/>
    <x v="4"/>
    <x v="221"/>
    <x v="10"/>
  </r>
  <r>
    <x v="60"/>
    <x v="32"/>
    <x v="256"/>
    <x v="6"/>
    <x v="422"/>
    <x v="3"/>
    <x v="2"/>
    <x v="4"/>
    <x v="221"/>
    <x v="10"/>
  </r>
  <r>
    <x v="60"/>
    <x v="32"/>
    <x v="1705"/>
    <x v="7"/>
    <x v="422"/>
    <x v="3"/>
    <x v="2"/>
    <x v="4"/>
    <x v="221"/>
    <x v="10"/>
  </r>
  <r>
    <x v="60"/>
    <x v="32"/>
    <x v="790"/>
    <x v="5"/>
    <x v="533"/>
    <x v="3"/>
    <x v="2"/>
    <x v="4"/>
    <x v="221"/>
    <x v="10"/>
  </r>
  <r>
    <x v="60"/>
    <x v="12"/>
    <x v="58"/>
    <x v="1"/>
    <x v="315"/>
    <x v="3"/>
    <x v="0"/>
    <x v="2"/>
    <x v="221"/>
    <x v="5"/>
  </r>
  <r>
    <x v="60"/>
    <x v="29"/>
    <x v="31"/>
    <x v="1"/>
    <x v="177"/>
    <x v="3"/>
    <x v="0"/>
    <x v="2"/>
    <x v="221"/>
    <x v="6"/>
  </r>
  <r>
    <x v="60"/>
    <x v="12"/>
    <x v="53"/>
    <x v="1"/>
    <x v="331"/>
    <x v="3"/>
    <x v="0"/>
    <x v="2"/>
    <x v="221"/>
    <x v="5"/>
  </r>
  <r>
    <x v="60"/>
    <x v="37"/>
    <x v="50"/>
    <x v="1"/>
    <x v="590"/>
    <x v="3"/>
    <x v="0"/>
    <x v="2"/>
    <x v="221"/>
    <x v="12"/>
  </r>
  <r>
    <x v="60"/>
    <x v="23"/>
    <x v="9"/>
    <x v="3"/>
    <x v="590"/>
    <x v="3"/>
    <x v="0"/>
    <x v="2"/>
    <x v="221"/>
    <x v="6"/>
  </r>
  <r>
    <x v="61"/>
    <x v="9"/>
    <x v="1295"/>
    <x v="0"/>
    <x v="229"/>
    <x v="3"/>
    <x v="0"/>
    <x v="2"/>
    <x v="221"/>
    <x v="5"/>
  </r>
  <r>
    <x v="61"/>
    <x v="20"/>
    <x v="1074"/>
    <x v="0"/>
    <x v="61"/>
    <x v="3"/>
    <x v="0"/>
    <x v="2"/>
    <x v="221"/>
    <x v="5"/>
  </r>
  <r>
    <x v="61"/>
    <x v="12"/>
    <x v="351"/>
    <x v="0"/>
    <x v="17"/>
    <x v="3"/>
    <x v="0"/>
    <x v="2"/>
    <x v="221"/>
    <x v="5"/>
  </r>
  <r>
    <x v="61"/>
    <x v="12"/>
    <x v="173"/>
    <x v="1"/>
    <x v="333"/>
    <x v="3"/>
    <x v="0"/>
    <x v="2"/>
    <x v="221"/>
    <x v="5"/>
  </r>
  <r>
    <x v="61"/>
    <x v="27"/>
    <x v="1134"/>
    <x v="0"/>
    <x v="5"/>
    <x v="3"/>
    <x v="0"/>
    <x v="2"/>
    <x v="221"/>
    <x v="5"/>
  </r>
  <r>
    <x v="61"/>
    <x v="26"/>
    <x v="90"/>
    <x v="3"/>
    <x v="345"/>
    <x v="3"/>
    <x v="0"/>
    <x v="2"/>
    <x v="221"/>
    <x v="5"/>
  </r>
  <r>
    <x v="61"/>
    <x v="38"/>
    <x v="233"/>
    <x v="1"/>
    <x v="500"/>
    <x v="3"/>
    <x v="0"/>
    <x v="1"/>
    <x v="10"/>
    <x v="5"/>
  </r>
  <r>
    <x v="61"/>
    <x v="32"/>
    <x v="719"/>
    <x v="3"/>
    <x v="422"/>
    <x v="3"/>
    <x v="2"/>
    <x v="4"/>
    <x v="221"/>
    <x v="10"/>
  </r>
  <r>
    <x v="61"/>
    <x v="32"/>
    <x v="1107"/>
    <x v="2"/>
    <x v="422"/>
    <x v="3"/>
    <x v="2"/>
    <x v="4"/>
    <x v="221"/>
    <x v="10"/>
  </r>
  <r>
    <x v="61"/>
    <x v="32"/>
    <x v="205"/>
    <x v="6"/>
    <x v="422"/>
    <x v="3"/>
    <x v="2"/>
    <x v="4"/>
    <x v="221"/>
    <x v="10"/>
  </r>
  <r>
    <x v="61"/>
    <x v="32"/>
    <x v="1889"/>
    <x v="7"/>
    <x v="422"/>
    <x v="3"/>
    <x v="2"/>
    <x v="4"/>
    <x v="221"/>
    <x v="10"/>
  </r>
  <r>
    <x v="61"/>
    <x v="32"/>
    <x v="615"/>
    <x v="5"/>
    <x v="533"/>
    <x v="3"/>
    <x v="2"/>
    <x v="4"/>
    <x v="221"/>
    <x v="10"/>
  </r>
  <r>
    <x v="61"/>
    <x v="37"/>
    <x v="58"/>
    <x v="1"/>
    <x v="590"/>
    <x v="3"/>
    <x v="0"/>
    <x v="2"/>
    <x v="221"/>
    <x v="12"/>
  </r>
  <r>
    <x v="61"/>
    <x v="0"/>
    <x v="518"/>
    <x v="1"/>
    <x v="297"/>
    <x v="3"/>
    <x v="0"/>
    <x v="2"/>
    <x v="221"/>
    <x v="9"/>
  </r>
  <r>
    <x v="61"/>
    <x v="23"/>
    <x v="25"/>
    <x v="3"/>
    <x v="590"/>
    <x v="3"/>
    <x v="0"/>
    <x v="2"/>
    <x v="221"/>
    <x v="6"/>
  </r>
  <r>
    <x v="62"/>
    <x v="12"/>
    <x v="717"/>
    <x v="0"/>
    <x v="17"/>
    <x v="3"/>
    <x v="0"/>
    <x v="2"/>
    <x v="221"/>
    <x v="5"/>
  </r>
  <r>
    <x v="62"/>
    <x v="8"/>
    <x v="449"/>
    <x v="0"/>
    <x v="241"/>
    <x v="3"/>
    <x v="0"/>
    <x v="2"/>
    <x v="221"/>
    <x v="5"/>
  </r>
  <r>
    <x v="62"/>
    <x v="9"/>
    <x v="1416"/>
    <x v="0"/>
    <x v="229"/>
    <x v="3"/>
    <x v="0"/>
    <x v="2"/>
    <x v="221"/>
    <x v="5"/>
  </r>
  <r>
    <x v="62"/>
    <x v="1"/>
    <x v="158"/>
    <x v="3"/>
    <x v="431"/>
    <x v="3"/>
    <x v="0"/>
    <x v="2"/>
    <x v="221"/>
    <x v="4"/>
  </r>
  <r>
    <x v="62"/>
    <x v="1"/>
    <x v="77"/>
    <x v="1"/>
    <x v="95"/>
    <x v="3"/>
    <x v="0"/>
    <x v="2"/>
    <x v="221"/>
    <x v="4"/>
  </r>
  <r>
    <x v="62"/>
    <x v="3"/>
    <x v="534"/>
    <x v="1"/>
    <x v="153"/>
    <x v="3"/>
    <x v="0"/>
    <x v="2"/>
    <x v="221"/>
    <x v="4"/>
  </r>
  <r>
    <x v="62"/>
    <x v="15"/>
    <x v="496"/>
    <x v="3"/>
    <x v="353"/>
    <x v="3"/>
    <x v="0"/>
    <x v="2"/>
    <x v="221"/>
    <x v="4"/>
  </r>
  <r>
    <x v="62"/>
    <x v="38"/>
    <x v="262"/>
    <x v="1"/>
    <x v="500"/>
    <x v="3"/>
    <x v="0"/>
    <x v="1"/>
    <x v="10"/>
    <x v="5"/>
  </r>
  <r>
    <x v="62"/>
    <x v="32"/>
    <x v="1465"/>
    <x v="3"/>
    <x v="422"/>
    <x v="3"/>
    <x v="2"/>
    <x v="4"/>
    <x v="221"/>
    <x v="10"/>
  </r>
  <r>
    <x v="62"/>
    <x v="32"/>
    <x v="68"/>
    <x v="2"/>
    <x v="422"/>
    <x v="3"/>
    <x v="2"/>
    <x v="4"/>
    <x v="221"/>
    <x v="10"/>
  </r>
  <r>
    <x v="62"/>
    <x v="32"/>
    <x v="1811"/>
    <x v="7"/>
    <x v="422"/>
    <x v="3"/>
    <x v="2"/>
    <x v="4"/>
    <x v="221"/>
    <x v="10"/>
  </r>
  <r>
    <x v="62"/>
    <x v="32"/>
    <x v="1439"/>
    <x v="5"/>
    <x v="533"/>
    <x v="3"/>
    <x v="2"/>
    <x v="4"/>
    <x v="221"/>
    <x v="10"/>
  </r>
  <r>
    <x v="62"/>
    <x v="37"/>
    <x v="45"/>
    <x v="1"/>
    <x v="590"/>
    <x v="3"/>
    <x v="0"/>
    <x v="2"/>
    <x v="221"/>
    <x v="12"/>
  </r>
  <r>
    <x v="62"/>
    <x v="38"/>
    <x v="25"/>
    <x v="3"/>
    <x v="444"/>
    <x v="3"/>
    <x v="0"/>
    <x v="2"/>
    <x v="221"/>
    <x v="5"/>
  </r>
  <r>
    <x v="62"/>
    <x v="23"/>
    <x v="9"/>
    <x v="3"/>
    <x v="590"/>
    <x v="3"/>
    <x v="0"/>
    <x v="2"/>
    <x v="221"/>
    <x v="6"/>
  </r>
  <r>
    <x v="63"/>
    <x v="9"/>
    <x v="1615"/>
    <x v="0"/>
    <x v="229"/>
    <x v="3"/>
    <x v="0"/>
    <x v="2"/>
    <x v="221"/>
    <x v="5"/>
  </r>
  <r>
    <x v="63"/>
    <x v="38"/>
    <x v="160"/>
    <x v="1"/>
    <x v="500"/>
    <x v="3"/>
    <x v="0"/>
    <x v="1"/>
    <x v="10"/>
    <x v="5"/>
  </r>
  <r>
    <x v="63"/>
    <x v="20"/>
    <x v="1105"/>
    <x v="0"/>
    <x v="61"/>
    <x v="3"/>
    <x v="0"/>
    <x v="2"/>
    <x v="221"/>
    <x v="5"/>
  </r>
  <r>
    <x v="63"/>
    <x v="12"/>
    <x v="492"/>
    <x v="0"/>
    <x v="17"/>
    <x v="3"/>
    <x v="0"/>
    <x v="2"/>
    <x v="221"/>
    <x v="5"/>
  </r>
  <r>
    <x v="63"/>
    <x v="7"/>
    <x v="1896"/>
    <x v="0"/>
    <x v="590"/>
    <x v="3"/>
    <x v="0"/>
    <x v="2"/>
    <x v="221"/>
    <x v="4"/>
  </r>
  <r>
    <x v="63"/>
    <x v="1"/>
    <x v="76"/>
    <x v="3"/>
    <x v="431"/>
    <x v="3"/>
    <x v="0"/>
    <x v="2"/>
    <x v="221"/>
    <x v="4"/>
  </r>
  <r>
    <x v="63"/>
    <x v="38"/>
    <x v="527"/>
    <x v="1"/>
    <x v="389"/>
    <x v="3"/>
    <x v="0"/>
    <x v="2"/>
    <x v="221"/>
    <x v="5"/>
  </r>
  <r>
    <x v="63"/>
    <x v="27"/>
    <x v="925"/>
    <x v="1"/>
    <x v="5"/>
    <x v="3"/>
    <x v="0"/>
    <x v="2"/>
    <x v="221"/>
    <x v="5"/>
  </r>
  <r>
    <x v="63"/>
    <x v="13"/>
    <x v="1223"/>
    <x v="0"/>
    <x v="32"/>
    <x v="3"/>
    <x v="0"/>
    <x v="2"/>
    <x v="221"/>
    <x v="5"/>
  </r>
  <r>
    <x v="63"/>
    <x v="32"/>
    <x v="1043"/>
    <x v="3"/>
    <x v="422"/>
    <x v="3"/>
    <x v="2"/>
    <x v="4"/>
    <x v="221"/>
    <x v="10"/>
  </r>
  <r>
    <x v="63"/>
    <x v="32"/>
    <x v="458"/>
    <x v="2"/>
    <x v="422"/>
    <x v="3"/>
    <x v="2"/>
    <x v="4"/>
    <x v="221"/>
    <x v="10"/>
  </r>
  <r>
    <x v="63"/>
    <x v="32"/>
    <x v="419"/>
    <x v="6"/>
    <x v="422"/>
    <x v="3"/>
    <x v="2"/>
    <x v="4"/>
    <x v="221"/>
    <x v="10"/>
  </r>
  <r>
    <x v="63"/>
    <x v="32"/>
    <x v="1749"/>
    <x v="7"/>
    <x v="422"/>
    <x v="3"/>
    <x v="2"/>
    <x v="4"/>
    <x v="221"/>
    <x v="10"/>
  </r>
  <r>
    <x v="63"/>
    <x v="32"/>
    <x v="65"/>
    <x v="8"/>
    <x v="422"/>
    <x v="3"/>
    <x v="2"/>
    <x v="4"/>
    <x v="221"/>
    <x v="10"/>
  </r>
  <r>
    <x v="63"/>
    <x v="32"/>
    <x v="416"/>
    <x v="5"/>
    <x v="533"/>
    <x v="3"/>
    <x v="2"/>
    <x v="4"/>
    <x v="221"/>
    <x v="10"/>
  </r>
  <r>
    <x v="63"/>
    <x v="37"/>
    <x v="60"/>
    <x v="1"/>
    <x v="590"/>
    <x v="3"/>
    <x v="0"/>
    <x v="2"/>
    <x v="221"/>
    <x v="12"/>
  </r>
  <r>
    <x v="63"/>
    <x v="23"/>
    <x v="9"/>
    <x v="3"/>
    <x v="590"/>
    <x v="3"/>
    <x v="0"/>
    <x v="2"/>
    <x v="221"/>
    <x v="6"/>
  </r>
  <r>
    <x v="64"/>
    <x v="1"/>
    <x v="76"/>
    <x v="3"/>
    <x v="430"/>
    <x v="3"/>
    <x v="0"/>
    <x v="2"/>
    <x v="221"/>
    <x v="4"/>
  </r>
  <r>
    <x v="64"/>
    <x v="3"/>
    <x v="599"/>
    <x v="1"/>
    <x v="579"/>
    <x v="3"/>
    <x v="0"/>
    <x v="2"/>
    <x v="221"/>
    <x v="4"/>
  </r>
  <r>
    <x v="64"/>
    <x v="8"/>
    <x v="779"/>
    <x v="0"/>
    <x v="241"/>
    <x v="3"/>
    <x v="0"/>
    <x v="2"/>
    <x v="221"/>
    <x v="5"/>
  </r>
  <r>
    <x v="64"/>
    <x v="38"/>
    <x v="304"/>
    <x v="1"/>
    <x v="500"/>
    <x v="3"/>
    <x v="0"/>
    <x v="1"/>
    <x v="10"/>
    <x v="5"/>
  </r>
  <r>
    <x v="64"/>
    <x v="12"/>
    <x v="452"/>
    <x v="0"/>
    <x v="17"/>
    <x v="3"/>
    <x v="0"/>
    <x v="2"/>
    <x v="221"/>
    <x v="5"/>
  </r>
  <r>
    <x v="64"/>
    <x v="20"/>
    <x v="805"/>
    <x v="0"/>
    <x v="61"/>
    <x v="3"/>
    <x v="0"/>
    <x v="2"/>
    <x v="221"/>
    <x v="5"/>
  </r>
  <r>
    <x v="64"/>
    <x v="9"/>
    <x v="855"/>
    <x v="0"/>
    <x v="229"/>
    <x v="3"/>
    <x v="0"/>
    <x v="2"/>
    <x v="221"/>
    <x v="5"/>
  </r>
  <r>
    <x v="64"/>
    <x v="20"/>
    <x v="49"/>
    <x v="3"/>
    <x v="378"/>
    <x v="3"/>
    <x v="0"/>
    <x v="2"/>
    <x v="221"/>
    <x v="5"/>
  </r>
  <r>
    <x v="64"/>
    <x v="32"/>
    <x v="672"/>
    <x v="3"/>
    <x v="422"/>
    <x v="3"/>
    <x v="2"/>
    <x v="4"/>
    <x v="221"/>
    <x v="10"/>
  </r>
  <r>
    <x v="64"/>
    <x v="32"/>
    <x v="547"/>
    <x v="2"/>
    <x v="422"/>
    <x v="3"/>
    <x v="2"/>
    <x v="4"/>
    <x v="221"/>
    <x v="10"/>
  </r>
  <r>
    <x v="64"/>
    <x v="32"/>
    <x v="25"/>
    <x v="6"/>
    <x v="422"/>
    <x v="3"/>
    <x v="2"/>
    <x v="4"/>
    <x v="221"/>
    <x v="10"/>
  </r>
  <r>
    <x v="64"/>
    <x v="32"/>
    <x v="1874"/>
    <x v="7"/>
    <x v="422"/>
    <x v="3"/>
    <x v="2"/>
    <x v="4"/>
    <x v="221"/>
    <x v="10"/>
  </r>
  <r>
    <x v="64"/>
    <x v="32"/>
    <x v="867"/>
    <x v="5"/>
    <x v="533"/>
    <x v="3"/>
    <x v="2"/>
    <x v="4"/>
    <x v="221"/>
    <x v="10"/>
  </r>
  <r>
    <x v="64"/>
    <x v="37"/>
    <x v="38"/>
    <x v="3"/>
    <x v="590"/>
    <x v="3"/>
    <x v="0"/>
    <x v="2"/>
    <x v="221"/>
    <x v="12"/>
  </r>
  <r>
    <x v="64"/>
    <x v="28"/>
    <x v="641"/>
    <x v="1"/>
    <x v="590"/>
    <x v="3"/>
    <x v="0"/>
    <x v="2"/>
    <x v="221"/>
    <x v="0"/>
  </r>
  <r>
    <x v="65"/>
    <x v="9"/>
    <x v="1434"/>
    <x v="0"/>
    <x v="229"/>
    <x v="3"/>
    <x v="0"/>
    <x v="2"/>
    <x v="221"/>
    <x v="5"/>
  </r>
  <r>
    <x v="65"/>
    <x v="8"/>
    <x v="449"/>
    <x v="0"/>
    <x v="241"/>
    <x v="3"/>
    <x v="0"/>
    <x v="2"/>
    <x v="221"/>
    <x v="5"/>
  </r>
  <r>
    <x v="65"/>
    <x v="38"/>
    <x v="355"/>
    <x v="1"/>
    <x v="500"/>
    <x v="3"/>
    <x v="0"/>
    <x v="1"/>
    <x v="10"/>
    <x v="5"/>
  </r>
  <r>
    <x v="65"/>
    <x v="12"/>
    <x v="529"/>
    <x v="0"/>
    <x v="17"/>
    <x v="3"/>
    <x v="0"/>
    <x v="2"/>
    <x v="221"/>
    <x v="5"/>
  </r>
  <r>
    <x v="65"/>
    <x v="20"/>
    <x v="1213"/>
    <x v="0"/>
    <x v="61"/>
    <x v="3"/>
    <x v="0"/>
    <x v="2"/>
    <x v="221"/>
    <x v="5"/>
  </r>
  <r>
    <x v="65"/>
    <x v="12"/>
    <x v="287"/>
    <x v="1"/>
    <x v="509"/>
    <x v="3"/>
    <x v="0"/>
    <x v="2"/>
    <x v="221"/>
    <x v="5"/>
  </r>
  <r>
    <x v="65"/>
    <x v="24"/>
    <x v="158"/>
    <x v="1"/>
    <x v="31"/>
    <x v="3"/>
    <x v="0"/>
    <x v="2"/>
    <x v="221"/>
    <x v="6"/>
  </r>
  <r>
    <x v="65"/>
    <x v="15"/>
    <x v="390"/>
    <x v="1"/>
    <x v="353"/>
    <x v="3"/>
    <x v="0"/>
    <x v="2"/>
    <x v="221"/>
    <x v="4"/>
  </r>
  <r>
    <x v="65"/>
    <x v="30"/>
    <x v="1662"/>
    <x v="1"/>
    <x v="590"/>
    <x v="3"/>
    <x v="0"/>
    <x v="2"/>
    <x v="221"/>
    <x v="3"/>
  </r>
  <r>
    <x v="65"/>
    <x v="35"/>
    <x v="1606"/>
    <x v="0"/>
    <x v="590"/>
    <x v="3"/>
    <x v="0"/>
    <x v="2"/>
    <x v="221"/>
    <x v="13"/>
  </r>
  <r>
    <x v="65"/>
    <x v="37"/>
    <x v="50"/>
    <x v="1"/>
    <x v="590"/>
    <x v="3"/>
    <x v="0"/>
    <x v="2"/>
    <x v="221"/>
    <x v="12"/>
  </r>
  <r>
    <x v="65"/>
    <x v="23"/>
    <x v="25"/>
    <x v="3"/>
    <x v="422"/>
    <x v="3"/>
    <x v="0"/>
    <x v="2"/>
    <x v="221"/>
    <x v="6"/>
  </r>
  <r>
    <x v="65"/>
    <x v="32"/>
    <x v="1058"/>
    <x v="3"/>
    <x v="422"/>
    <x v="3"/>
    <x v="2"/>
    <x v="4"/>
    <x v="221"/>
    <x v="10"/>
  </r>
  <r>
    <x v="65"/>
    <x v="32"/>
    <x v="607"/>
    <x v="6"/>
    <x v="422"/>
    <x v="3"/>
    <x v="2"/>
    <x v="4"/>
    <x v="221"/>
    <x v="10"/>
  </r>
  <r>
    <x v="65"/>
    <x v="32"/>
    <x v="1754"/>
    <x v="7"/>
    <x v="422"/>
    <x v="3"/>
    <x v="2"/>
    <x v="4"/>
    <x v="221"/>
    <x v="10"/>
  </r>
  <r>
    <x v="65"/>
    <x v="32"/>
    <x v="594"/>
    <x v="5"/>
    <x v="533"/>
    <x v="3"/>
    <x v="2"/>
    <x v="4"/>
    <x v="221"/>
    <x v="10"/>
  </r>
  <r>
    <x v="65"/>
    <x v="1"/>
    <x v="48"/>
    <x v="3"/>
    <x v="430"/>
    <x v="3"/>
    <x v="0"/>
    <x v="2"/>
    <x v="221"/>
    <x v="4"/>
  </r>
  <r>
    <x v="66"/>
    <x v="0"/>
    <x v="1015"/>
    <x v="1"/>
    <x v="279"/>
    <x v="3"/>
    <x v="0"/>
    <x v="2"/>
    <x v="221"/>
    <x v="9"/>
  </r>
  <r>
    <x v="66"/>
    <x v="0"/>
    <x v="518"/>
    <x v="1"/>
    <x v="56"/>
    <x v="3"/>
    <x v="0"/>
    <x v="2"/>
    <x v="221"/>
    <x v="9"/>
  </r>
  <r>
    <x v="66"/>
    <x v="38"/>
    <x v="289"/>
    <x v="1"/>
    <x v="500"/>
    <x v="3"/>
    <x v="0"/>
    <x v="1"/>
    <x v="10"/>
    <x v="5"/>
  </r>
  <r>
    <x v="66"/>
    <x v="12"/>
    <x v="189"/>
    <x v="0"/>
    <x v="17"/>
    <x v="3"/>
    <x v="0"/>
    <x v="2"/>
    <x v="221"/>
    <x v="5"/>
  </r>
  <r>
    <x v="66"/>
    <x v="9"/>
    <x v="955"/>
    <x v="0"/>
    <x v="229"/>
    <x v="3"/>
    <x v="0"/>
    <x v="2"/>
    <x v="221"/>
    <x v="5"/>
  </r>
  <r>
    <x v="66"/>
    <x v="20"/>
    <x v="1327"/>
    <x v="0"/>
    <x v="61"/>
    <x v="3"/>
    <x v="0"/>
    <x v="2"/>
    <x v="221"/>
    <x v="5"/>
  </r>
  <r>
    <x v="66"/>
    <x v="16"/>
    <x v="134"/>
    <x v="1"/>
    <x v="587"/>
    <x v="3"/>
    <x v="0"/>
    <x v="2"/>
    <x v="221"/>
    <x v="6"/>
  </r>
  <r>
    <x v="66"/>
    <x v="11"/>
    <x v="112"/>
    <x v="3"/>
    <x v="115"/>
    <x v="3"/>
    <x v="0"/>
    <x v="2"/>
    <x v="221"/>
    <x v="2"/>
  </r>
  <r>
    <x v="66"/>
    <x v="32"/>
    <x v="1162"/>
    <x v="3"/>
    <x v="422"/>
    <x v="3"/>
    <x v="2"/>
    <x v="4"/>
    <x v="221"/>
    <x v="10"/>
  </r>
  <r>
    <x v="66"/>
    <x v="32"/>
    <x v="205"/>
    <x v="6"/>
    <x v="422"/>
    <x v="3"/>
    <x v="2"/>
    <x v="4"/>
    <x v="221"/>
    <x v="10"/>
  </r>
  <r>
    <x v="66"/>
    <x v="32"/>
    <x v="1744"/>
    <x v="7"/>
    <x v="422"/>
    <x v="3"/>
    <x v="2"/>
    <x v="4"/>
    <x v="221"/>
    <x v="10"/>
  </r>
  <r>
    <x v="66"/>
    <x v="32"/>
    <x v="686"/>
    <x v="5"/>
    <x v="533"/>
    <x v="3"/>
    <x v="2"/>
    <x v="4"/>
    <x v="221"/>
    <x v="10"/>
  </r>
  <r>
    <x v="66"/>
    <x v="35"/>
    <x v="518"/>
    <x v="1"/>
    <x v="590"/>
    <x v="3"/>
    <x v="0"/>
    <x v="2"/>
    <x v="221"/>
    <x v="13"/>
  </r>
  <r>
    <x v="66"/>
    <x v="23"/>
    <x v="14"/>
    <x v="3"/>
    <x v="590"/>
    <x v="3"/>
    <x v="0"/>
    <x v="2"/>
    <x v="221"/>
    <x v="6"/>
  </r>
  <r>
    <x v="66"/>
    <x v="37"/>
    <x v="45"/>
    <x v="1"/>
    <x v="590"/>
    <x v="3"/>
    <x v="0"/>
    <x v="2"/>
    <x v="221"/>
    <x v="12"/>
  </r>
  <r>
    <x v="67"/>
    <x v="1"/>
    <x v="143"/>
    <x v="1"/>
    <x v="431"/>
    <x v="3"/>
    <x v="0"/>
    <x v="2"/>
    <x v="221"/>
    <x v="4"/>
  </r>
  <r>
    <x v="67"/>
    <x v="8"/>
    <x v="449"/>
    <x v="0"/>
    <x v="241"/>
    <x v="3"/>
    <x v="0"/>
    <x v="2"/>
    <x v="221"/>
    <x v="5"/>
  </r>
  <r>
    <x v="67"/>
    <x v="9"/>
    <x v="891"/>
    <x v="0"/>
    <x v="229"/>
    <x v="3"/>
    <x v="0"/>
    <x v="2"/>
    <x v="221"/>
    <x v="5"/>
  </r>
  <r>
    <x v="67"/>
    <x v="38"/>
    <x v="111"/>
    <x v="1"/>
    <x v="500"/>
    <x v="3"/>
    <x v="0"/>
    <x v="1"/>
    <x v="10"/>
    <x v="5"/>
  </r>
  <r>
    <x v="67"/>
    <x v="12"/>
    <x v="585"/>
    <x v="0"/>
    <x v="17"/>
    <x v="3"/>
    <x v="0"/>
    <x v="2"/>
    <x v="221"/>
    <x v="5"/>
  </r>
  <r>
    <x v="67"/>
    <x v="28"/>
    <x v="134"/>
    <x v="1"/>
    <x v="590"/>
    <x v="3"/>
    <x v="0"/>
    <x v="2"/>
    <x v="221"/>
    <x v="0"/>
  </r>
  <r>
    <x v="67"/>
    <x v="12"/>
    <x v="287"/>
    <x v="1"/>
    <x v="509"/>
    <x v="3"/>
    <x v="0"/>
    <x v="2"/>
    <x v="221"/>
    <x v="5"/>
  </r>
  <r>
    <x v="67"/>
    <x v="32"/>
    <x v="1148"/>
    <x v="3"/>
    <x v="422"/>
    <x v="3"/>
    <x v="2"/>
    <x v="4"/>
    <x v="221"/>
    <x v="10"/>
  </r>
  <r>
    <x v="67"/>
    <x v="32"/>
    <x v="892"/>
    <x v="2"/>
    <x v="422"/>
    <x v="3"/>
    <x v="2"/>
    <x v="4"/>
    <x v="221"/>
    <x v="10"/>
  </r>
  <r>
    <x v="67"/>
    <x v="32"/>
    <x v="803"/>
    <x v="6"/>
    <x v="422"/>
    <x v="3"/>
    <x v="2"/>
    <x v="4"/>
    <x v="221"/>
    <x v="10"/>
  </r>
  <r>
    <x v="67"/>
    <x v="32"/>
    <x v="1898"/>
    <x v="7"/>
    <x v="422"/>
    <x v="3"/>
    <x v="2"/>
    <x v="4"/>
    <x v="221"/>
    <x v="10"/>
  </r>
  <r>
    <x v="67"/>
    <x v="32"/>
    <x v="867"/>
    <x v="5"/>
    <x v="533"/>
    <x v="3"/>
    <x v="2"/>
    <x v="4"/>
    <x v="221"/>
    <x v="10"/>
  </r>
  <r>
    <x v="67"/>
    <x v="12"/>
    <x v="40"/>
    <x v="1"/>
    <x v="590"/>
    <x v="3"/>
    <x v="0"/>
    <x v="2"/>
    <x v="221"/>
    <x v="5"/>
  </r>
  <r>
    <x v="67"/>
    <x v="37"/>
    <x v="49"/>
    <x v="3"/>
    <x v="590"/>
    <x v="3"/>
    <x v="0"/>
    <x v="2"/>
    <x v="221"/>
    <x v="12"/>
  </r>
  <r>
    <x v="68"/>
    <x v="9"/>
    <x v="1592"/>
    <x v="0"/>
    <x v="229"/>
    <x v="4"/>
    <x v="0"/>
    <x v="0"/>
    <x v="6"/>
    <x v="5"/>
  </r>
  <r>
    <x v="68"/>
    <x v="38"/>
    <x v="264"/>
    <x v="1"/>
    <x v="500"/>
    <x v="4"/>
    <x v="0"/>
    <x v="1"/>
    <x v="10"/>
    <x v="5"/>
  </r>
  <r>
    <x v="68"/>
    <x v="12"/>
    <x v="777"/>
    <x v="0"/>
    <x v="17"/>
    <x v="4"/>
    <x v="0"/>
    <x v="0"/>
    <x v="18"/>
    <x v="5"/>
  </r>
  <r>
    <x v="68"/>
    <x v="20"/>
    <x v="1155"/>
    <x v="0"/>
    <x v="61"/>
    <x v="4"/>
    <x v="0"/>
    <x v="0"/>
    <x v="6"/>
    <x v="5"/>
  </r>
  <r>
    <x v="68"/>
    <x v="0"/>
    <x v="869"/>
    <x v="1"/>
    <x v="266"/>
    <x v="4"/>
    <x v="0"/>
    <x v="1"/>
    <x v="0"/>
    <x v="9"/>
  </r>
  <r>
    <x v="68"/>
    <x v="36"/>
    <x v="45"/>
    <x v="1"/>
    <x v="376"/>
    <x v="4"/>
    <x v="0"/>
    <x v="1"/>
    <x v="0"/>
    <x v="5"/>
  </r>
  <r>
    <x v="68"/>
    <x v="32"/>
    <x v="1053"/>
    <x v="3"/>
    <x v="422"/>
    <x v="4"/>
    <x v="2"/>
    <x v="4"/>
    <x v="221"/>
    <x v="10"/>
  </r>
  <r>
    <x v="68"/>
    <x v="32"/>
    <x v="191"/>
    <x v="2"/>
    <x v="422"/>
    <x v="4"/>
    <x v="2"/>
    <x v="4"/>
    <x v="221"/>
    <x v="10"/>
  </r>
  <r>
    <x v="68"/>
    <x v="32"/>
    <x v="224"/>
    <x v="6"/>
    <x v="422"/>
    <x v="4"/>
    <x v="2"/>
    <x v="4"/>
    <x v="221"/>
    <x v="10"/>
  </r>
  <r>
    <x v="68"/>
    <x v="32"/>
    <x v="1622"/>
    <x v="7"/>
    <x v="422"/>
    <x v="4"/>
    <x v="2"/>
    <x v="4"/>
    <x v="221"/>
    <x v="10"/>
  </r>
  <r>
    <x v="68"/>
    <x v="32"/>
    <x v="1381"/>
    <x v="5"/>
    <x v="533"/>
    <x v="4"/>
    <x v="2"/>
    <x v="4"/>
    <x v="221"/>
    <x v="10"/>
  </r>
  <r>
    <x v="68"/>
    <x v="0"/>
    <x v="1483"/>
    <x v="1"/>
    <x v="449"/>
    <x v="4"/>
    <x v="0"/>
    <x v="1"/>
    <x v="0"/>
    <x v="9"/>
  </r>
  <r>
    <x v="68"/>
    <x v="37"/>
    <x v="53"/>
    <x v="1"/>
    <x v="590"/>
    <x v="4"/>
    <x v="0"/>
    <x v="1"/>
    <x v="0"/>
    <x v="12"/>
  </r>
  <r>
    <x v="68"/>
    <x v="23"/>
    <x v="21"/>
    <x v="3"/>
    <x v="590"/>
    <x v="4"/>
    <x v="0"/>
    <x v="2"/>
    <x v="0"/>
    <x v="6"/>
  </r>
  <r>
    <x v="69"/>
    <x v="20"/>
    <x v="912"/>
    <x v="0"/>
    <x v="61"/>
    <x v="4"/>
    <x v="0"/>
    <x v="0"/>
    <x v="6"/>
    <x v="5"/>
  </r>
  <r>
    <x v="69"/>
    <x v="9"/>
    <x v="509"/>
    <x v="0"/>
    <x v="229"/>
    <x v="4"/>
    <x v="0"/>
    <x v="0"/>
    <x v="6"/>
    <x v="5"/>
  </r>
  <r>
    <x v="69"/>
    <x v="15"/>
    <x v="305"/>
    <x v="3"/>
    <x v="353"/>
    <x v="4"/>
    <x v="0"/>
    <x v="2"/>
    <x v="1"/>
    <x v="4"/>
  </r>
  <r>
    <x v="69"/>
    <x v="3"/>
    <x v="921"/>
    <x v="0"/>
    <x v="153"/>
    <x v="4"/>
    <x v="0"/>
    <x v="3"/>
    <x v="1"/>
    <x v="4"/>
  </r>
  <r>
    <x v="69"/>
    <x v="27"/>
    <x v="191"/>
    <x v="1"/>
    <x v="5"/>
    <x v="4"/>
    <x v="0"/>
    <x v="3"/>
    <x v="1"/>
    <x v="5"/>
  </r>
  <r>
    <x v="69"/>
    <x v="38"/>
    <x v="159"/>
    <x v="1"/>
    <x v="500"/>
    <x v="4"/>
    <x v="0"/>
    <x v="1"/>
    <x v="10"/>
    <x v="5"/>
  </r>
  <r>
    <x v="69"/>
    <x v="38"/>
    <x v="482"/>
    <x v="1"/>
    <x v="389"/>
    <x v="4"/>
    <x v="0"/>
    <x v="1"/>
    <x v="1"/>
    <x v="5"/>
  </r>
  <r>
    <x v="69"/>
    <x v="8"/>
    <x v="779"/>
    <x v="0"/>
    <x v="241"/>
    <x v="4"/>
    <x v="0"/>
    <x v="0"/>
    <x v="4"/>
    <x v="5"/>
  </r>
  <r>
    <x v="69"/>
    <x v="37"/>
    <x v="58"/>
    <x v="1"/>
    <x v="590"/>
    <x v="4"/>
    <x v="0"/>
    <x v="1"/>
    <x v="1"/>
    <x v="12"/>
  </r>
  <r>
    <x v="69"/>
    <x v="24"/>
    <x v="127"/>
    <x v="1"/>
    <x v="590"/>
    <x v="4"/>
    <x v="0"/>
    <x v="1"/>
    <x v="1"/>
    <x v="6"/>
  </r>
  <r>
    <x v="69"/>
    <x v="12"/>
    <x v="30"/>
    <x v="1"/>
    <x v="331"/>
    <x v="4"/>
    <x v="0"/>
    <x v="1"/>
    <x v="1"/>
    <x v="5"/>
  </r>
  <r>
    <x v="69"/>
    <x v="32"/>
    <x v="903"/>
    <x v="3"/>
    <x v="422"/>
    <x v="4"/>
    <x v="2"/>
    <x v="4"/>
    <x v="221"/>
    <x v="10"/>
  </r>
  <r>
    <x v="69"/>
    <x v="32"/>
    <x v="143"/>
    <x v="6"/>
    <x v="422"/>
    <x v="4"/>
    <x v="2"/>
    <x v="4"/>
    <x v="221"/>
    <x v="10"/>
  </r>
  <r>
    <x v="69"/>
    <x v="32"/>
    <x v="1747"/>
    <x v="7"/>
    <x v="422"/>
    <x v="4"/>
    <x v="2"/>
    <x v="4"/>
    <x v="221"/>
    <x v="10"/>
  </r>
  <r>
    <x v="69"/>
    <x v="32"/>
    <x v="210"/>
    <x v="8"/>
    <x v="422"/>
    <x v="4"/>
    <x v="2"/>
    <x v="4"/>
    <x v="221"/>
    <x v="10"/>
  </r>
  <r>
    <x v="69"/>
    <x v="32"/>
    <x v="1099"/>
    <x v="5"/>
    <x v="533"/>
    <x v="4"/>
    <x v="2"/>
    <x v="4"/>
    <x v="221"/>
    <x v="10"/>
  </r>
  <r>
    <x v="69"/>
    <x v="1"/>
    <x v="141"/>
    <x v="3"/>
    <x v="431"/>
    <x v="4"/>
    <x v="0"/>
    <x v="2"/>
    <x v="1"/>
    <x v="4"/>
  </r>
  <r>
    <x v="69"/>
    <x v="38"/>
    <x v="19"/>
    <x v="3"/>
    <x v="444"/>
    <x v="4"/>
    <x v="0"/>
    <x v="2"/>
    <x v="1"/>
    <x v="5"/>
  </r>
  <r>
    <x v="69"/>
    <x v="12"/>
    <x v="120"/>
    <x v="0"/>
    <x v="17"/>
    <x v="4"/>
    <x v="0"/>
    <x v="0"/>
    <x v="18"/>
    <x v="5"/>
  </r>
  <r>
    <x v="69"/>
    <x v="19"/>
    <x v="807"/>
    <x v="0"/>
    <x v="474"/>
    <x v="4"/>
    <x v="0"/>
    <x v="0"/>
    <x v="11"/>
    <x v="3"/>
  </r>
  <r>
    <x v="70"/>
    <x v="20"/>
    <x v="49"/>
    <x v="3"/>
    <x v="381"/>
    <x v="4"/>
    <x v="0"/>
    <x v="2"/>
    <x v="2"/>
    <x v="5"/>
  </r>
  <r>
    <x v="70"/>
    <x v="19"/>
    <x v="807"/>
    <x v="0"/>
    <x v="474"/>
    <x v="4"/>
    <x v="0"/>
    <x v="0"/>
    <x v="11"/>
    <x v="3"/>
  </r>
  <r>
    <x v="70"/>
    <x v="12"/>
    <x v="374"/>
    <x v="0"/>
    <x v="17"/>
    <x v="4"/>
    <x v="0"/>
    <x v="0"/>
    <x v="18"/>
    <x v="5"/>
  </r>
  <r>
    <x v="70"/>
    <x v="38"/>
    <x v="254"/>
    <x v="1"/>
    <x v="500"/>
    <x v="4"/>
    <x v="0"/>
    <x v="1"/>
    <x v="10"/>
    <x v="5"/>
  </r>
  <r>
    <x v="70"/>
    <x v="9"/>
    <x v="1173"/>
    <x v="0"/>
    <x v="229"/>
    <x v="4"/>
    <x v="0"/>
    <x v="0"/>
    <x v="6"/>
    <x v="5"/>
  </r>
  <r>
    <x v="70"/>
    <x v="20"/>
    <x v="1019"/>
    <x v="0"/>
    <x v="61"/>
    <x v="4"/>
    <x v="0"/>
    <x v="0"/>
    <x v="8"/>
    <x v="5"/>
  </r>
  <r>
    <x v="70"/>
    <x v="1"/>
    <x v="33"/>
    <x v="1"/>
    <x v="94"/>
    <x v="4"/>
    <x v="0"/>
    <x v="1"/>
    <x v="2"/>
    <x v="4"/>
  </r>
  <r>
    <x v="70"/>
    <x v="3"/>
    <x v="599"/>
    <x v="3"/>
    <x v="579"/>
    <x v="4"/>
    <x v="0"/>
    <x v="2"/>
    <x v="2"/>
    <x v="4"/>
  </r>
  <r>
    <x v="70"/>
    <x v="1"/>
    <x v="76"/>
    <x v="3"/>
    <x v="431"/>
    <x v="4"/>
    <x v="0"/>
    <x v="2"/>
    <x v="2"/>
    <x v="4"/>
  </r>
  <r>
    <x v="70"/>
    <x v="23"/>
    <x v="9"/>
    <x v="3"/>
    <x v="285"/>
    <x v="4"/>
    <x v="0"/>
    <x v="2"/>
    <x v="2"/>
    <x v="6"/>
  </r>
  <r>
    <x v="70"/>
    <x v="18"/>
    <x v="719"/>
    <x v="0"/>
    <x v="590"/>
    <x v="4"/>
    <x v="0"/>
    <x v="3"/>
    <x v="2"/>
    <x v="3"/>
  </r>
  <r>
    <x v="70"/>
    <x v="37"/>
    <x v="58"/>
    <x v="1"/>
    <x v="590"/>
    <x v="4"/>
    <x v="0"/>
    <x v="1"/>
    <x v="2"/>
    <x v="12"/>
  </r>
  <r>
    <x v="70"/>
    <x v="32"/>
    <x v="953"/>
    <x v="3"/>
    <x v="422"/>
    <x v="4"/>
    <x v="2"/>
    <x v="4"/>
    <x v="221"/>
    <x v="10"/>
  </r>
  <r>
    <x v="70"/>
    <x v="32"/>
    <x v="925"/>
    <x v="6"/>
    <x v="422"/>
    <x v="4"/>
    <x v="2"/>
    <x v="4"/>
    <x v="221"/>
    <x v="10"/>
  </r>
  <r>
    <x v="70"/>
    <x v="32"/>
    <x v="1716"/>
    <x v="7"/>
    <x v="422"/>
    <x v="4"/>
    <x v="2"/>
    <x v="4"/>
    <x v="221"/>
    <x v="10"/>
  </r>
  <r>
    <x v="70"/>
    <x v="32"/>
    <x v="1106"/>
    <x v="5"/>
    <x v="533"/>
    <x v="4"/>
    <x v="2"/>
    <x v="4"/>
    <x v="221"/>
    <x v="10"/>
  </r>
  <r>
    <x v="70"/>
    <x v="12"/>
    <x v="94"/>
    <x v="1"/>
    <x v="145"/>
    <x v="4"/>
    <x v="0"/>
    <x v="1"/>
    <x v="2"/>
    <x v="5"/>
  </r>
  <r>
    <x v="71"/>
    <x v="38"/>
    <x v="165"/>
    <x v="0"/>
    <x v="225"/>
    <x v="4"/>
    <x v="0"/>
    <x v="3"/>
    <x v="32"/>
    <x v="5"/>
  </r>
  <r>
    <x v="71"/>
    <x v="9"/>
    <x v="1402"/>
    <x v="0"/>
    <x v="229"/>
    <x v="4"/>
    <x v="0"/>
    <x v="0"/>
    <x v="8"/>
    <x v="5"/>
  </r>
  <r>
    <x v="71"/>
    <x v="20"/>
    <x v="340"/>
    <x v="0"/>
    <x v="61"/>
    <x v="4"/>
    <x v="0"/>
    <x v="0"/>
    <x v="8"/>
    <x v="5"/>
  </r>
  <r>
    <x v="71"/>
    <x v="27"/>
    <x v="709"/>
    <x v="0"/>
    <x v="5"/>
    <x v="4"/>
    <x v="0"/>
    <x v="3"/>
    <x v="3"/>
    <x v="5"/>
  </r>
  <r>
    <x v="71"/>
    <x v="12"/>
    <x v="339"/>
    <x v="0"/>
    <x v="17"/>
    <x v="4"/>
    <x v="0"/>
    <x v="0"/>
    <x v="18"/>
    <x v="5"/>
  </r>
  <r>
    <x v="71"/>
    <x v="17"/>
    <x v="1907"/>
    <x v="0"/>
    <x v="194"/>
    <x v="4"/>
    <x v="0"/>
    <x v="0"/>
    <x v="221"/>
    <x v="3"/>
  </r>
  <r>
    <x v="71"/>
    <x v="16"/>
    <x v="30"/>
    <x v="3"/>
    <x v="53"/>
    <x v="4"/>
    <x v="0"/>
    <x v="2"/>
    <x v="3"/>
    <x v="6"/>
  </r>
  <r>
    <x v="71"/>
    <x v="14"/>
    <x v="518"/>
    <x v="0"/>
    <x v="182"/>
    <x v="4"/>
    <x v="0"/>
    <x v="3"/>
    <x v="3"/>
    <x v="6"/>
  </r>
  <r>
    <x v="71"/>
    <x v="32"/>
    <x v="1139"/>
    <x v="3"/>
    <x v="422"/>
    <x v="4"/>
    <x v="2"/>
    <x v="4"/>
    <x v="221"/>
    <x v="10"/>
  </r>
  <r>
    <x v="71"/>
    <x v="32"/>
    <x v="420"/>
    <x v="2"/>
    <x v="422"/>
    <x v="4"/>
    <x v="2"/>
    <x v="4"/>
    <x v="221"/>
    <x v="10"/>
  </r>
  <r>
    <x v="71"/>
    <x v="32"/>
    <x v="132"/>
    <x v="6"/>
    <x v="422"/>
    <x v="4"/>
    <x v="2"/>
    <x v="4"/>
    <x v="221"/>
    <x v="10"/>
  </r>
  <r>
    <x v="71"/>
    <x v="32"/>
    <x v="1860"/>
    <x v="7"/>
    <x v="422"/>
    <x v="4"/>
    <x v="2"/>
    <x v="4"/>
    <x v="221"/>
    <x v="10"/>
  </r>
  <r>
    <x v="71"/>
    <x v="32"/>
    <x v="164"/>
    <x v="8"/>
    <x v="422"/>
    <x v="4"/>
    <x v="2"/>
    <x v="4"/>
    <x v="221"/>
    <x v="10"/>
  </r>
  <r>
    <x v="71"/>
    <x v="32"/>
    <x v="1085"/>
    <x v="5"/>
    <x v="533"/>
    <x v="4"/>
    <x v="2"/>
    <x v="4"/>
    <x v="221"/>
    <x v="10"/>
  </r>
  <r>
    <x v="71"/>
    <x v="11"/>
    <x v="30"/>
    <x v="3"/>
    <x v="204"/>
    <x v="4"/>
    <x v="0"/>
    <x v="2"/>
    <x v="3"/>
    <x v="2"/>
  </r>
  <r>
    <x v="71"/>
    <x v="37"/>
    <x v="45"/>
    <x v="1"/>
    <x v="523"/>
    <x v="4"/>
    <x v="0"/>
    <x v="1"/>
    <x v="3"/>
    <x v="12"/>
  </r>
  <r>
    <x v="71"/>
    <x v="19"/>
    <x v="807"/>
    <x v="0"/>
    <x v="474"/>
    <x v="4"/>
    <x v="0"/>
    <x v="0"/>
    <x v="11"/>
    <x v="3"/>
  </r>
  <r>
    <x v="71"/>
    <x v="23"/>
    <x v="19"/>
    <x v="3"/>
    <x v="285"/>
    <x v="4"/>
    <x v="0"/>
    <x v="2"/>
    <x v="3"/>
    <x v="6"/>
  </r>
  <r>
    <x v="71"/>
    <x v="38"/>
    <x v="12"/>
    <x v="3"/>
    <x v="444"/>
    <x v="4"/>
    <x v="0"/>
    <x v="2"/>
    <x v="3"/>
    <x v="5"/>
  </r>
  <r>
    <x v="71"/>
    <x v="0"/>
    <x v="1707"/>
    <x v="0"/>
    <x v="566"/>
    <x v="4"/>
    <x v="0"/>
    <x v="0"/>
    <x v="3"/>
    <x v="9"/>
  </r>
  <r>
    <x v="72"/>
    <x v="9"/>
    <x v="1082"/>
    <x v="0"/>
    <x v="229"/>
    <x v="4"/>
    <x v="0"/>
    <x v="0"/>
    <x v="8"/>
    <x v="5"/>
  </r>
  <r>
    <x v="72"/>
    <x v="8"/>
    <x v="449"/>
    <x v="0"/>
    <x v="241"/>
    <x v="4"/>
    <x v="0"/>
    <x v="0"/>
    <x v="21"/>
    <x v="5"/>
  </r>
  <r>
    <x v="72"/>
    <x v="12"/>
    <x v="758"/>
    <x v="0"/>
    <x v="17"/>
    <x v="4"/>
    <x v="0"/>
    <x v="0"/>
    <x v="18"/>
    <x v="5"/>
  </r>
  <r>
    <x v="72"/>
    <x v="1"/>
    <x v="158"/>
    <x v="3"/>
    <x v="431"/>
    <x v="4"/>
    <x v="0"/>
    <x v="2"/>
    <x v="4"/>
    <x v="4"/>
  </r>
  <r>
    <x v="72"/>
    <x v="20"/>
    <x v="49"/>
    <x v="3"/>
    <x v="381"/>
    <x v="4"/>
    <x v="0"/>
    <x v="2"/>
    <x v="4"/>
    <x v="5"/>
  </r>
  <r>
    <x v="72"/>
    <x v="20"/>
    <x v="980"/>
    <x v="0"/>
    <x v="61"/>
    <x v="4"/>
    <x v="0"/>
    <x v="0"/>
    <x v="8"/>
    <x v="5"/>
  </r>
  <r>
    <x v="72"/>
    <x v="12"/>
    <x v="475"/>
    <x v="3"/>
    <x v="511"/>
    <x v="4"/>
    <x v="0"/>
    <x v="2"/>
    <x v="4"/>
    <x v="5"/>
  </r>
  <r>
    <x v="72"/>
    <x v="13"/>
    <x v="590"/>
    <x v="0"/>
    <x v="32"/>
    <x v="4"/>
    <x v="0"/>
    <x v="0"/>
    <x v="23"/>
    <x v="5"/>
  </r>
  <r>
    <x v="72"/>
    <x v="29"/>
    <x v="106"/>
    <x v="1"/>
    <x v="177"/>
    <x v="4"/>
    <x v="0"/>
    <x v="1"/>
    <x v="4"/>
    <x v="6"/>
  </r>
  <r>
    <x v="72"/>
    <x v="38"/>
    <x v="113"/>
    <x v="0"/>
    <x v="225"/>
    <x v="4"/>
    <x v="0"/>
    <x v="3"/>
    <x v="32"/>
    <x v="5"/>
  </r>
  <r>
    <x v="72"/>
    <x v="0"/>
    <x v="1483"/>
    <x v="1"/>
    <x v="298"/>
    <x v="4"/>
    <x v="0"/>
    <x v="1"/>
    <x v="4"/>
    <x v="9"/>
  </r>
  <r>
    <x v="72"/>
    <x v="32"/>
    <x v="1252"/>
    <x v="3"/>
    <x v="422"/>
    <x v="4"/>
    <x v="2"/>
    <x v="4"/>
    <x v="221"/>
    <x v="10"/>
  </r>
  <r>
    <x v="72"/>
    <x v="32"/>
    <x v="691"/>
    <x v="2"/>
    <x v="422"/>
    <x v="4"/>
    <x v="2"/>
    <x v="4"/>
    <x v="221"/>
    <x v="10"/>
  </r>
  <r>
    <x v="72"/>
    <x v="32"/>
    <x v="1894"/>
    <x v="7"/>
    <x v="422"/>
    <x v="4"/>
    <x v="2"/>
    <x v="4"/>
    <x v="221"/>
    <x v="10"/>
  </r>
  <r>
    <x v="72"/>
    <x v="32"/>
    <x v="1314"/>
    <x v="5"/>
    <x v="533"/>
    <x v="4"/>
    <x v="2"/>
    <x v="4"/>
    <x v="221"/>
    <x v="10"/>
  </r>
  <r>
    <x v="72"/>
    <x v="32"/>
    <x v="244"/>
    <x v="6"/>
    <x v="422"/>
    <x v="4"/>
    <x v="2"/>
    <x v="4"/>
    <x v="221"/>
    <x v="10"/>
  </r>
  <r>
    <x v="72"/>
    <x v="37"/>
    <x v="60"/>
    <x v="1"/>
    <x v="523"/>
    <x v="4"/>
    <x v="0"/>
    <x v="1"/>
    <x v="4"/>
    <x v="12"/>
  </r>
  <r>
    <x v="72"/>
    <x v="23"/>
    <x v="21"/>
    <x v="3"/>
    <x v="285"/>
    <x v="4"/>
    <x v="0"/>
    <x v="2"/>
    <x v="4"/>
    <x v="6"/>
  </r>
  <r>
    <x v="72"/>
    <x v="30"/>
    <x v="869"/>
    <x v="0"/>
    <x v="437"/>
    <x v="4"/>
    <x v="0"/>
    <x v="3"/>
    <x v="4"/>
    <x v="3"/>
  </r>
  <r>
    <x v="72"/>
    <x v="0"/>
    <x v="176"/>
    <x v="0"/>
    <x v="566"/>
    <x v="4"/>
    <x v="0"/>
    <x v="0"/>
    <x v="4"/>
    <x v="9"/>
  </r>
  <r>
    <x v="73"/>
    <x v="20"/>
    <x v="291"/>
    <x v="0"/>
    <x v="61"/>
    <x v="4"/>
    <x v="0"/>
    <x v="0"/>
    <x v="12"/>
    <x v="5"/>
  </r>
  <r>
    <x v="73"/>
    <x v="38"/>
    <x v="314"/>
    <x v="0"/>
    <x v="225"/>
    <x v="4"/>
    <x v="0"/>
    <x v="3"/>
    <x v="32"/>
    <x v="5"/>
  </r>
  <r>
    <x v="73"/>
    <x v="9"/>
    <x v="1056"/>
    <x v="0"/>
    <x v="229"/>
    <x v="4"/>
    <x v="0"/>
    <x v="0"/>
    <x v="12"/>
    <x v="5"/>
  </r>
  <r>
    <x v="73"/>
    <x v="12"/>
    <x v="606"/>
    <x v="0"/>
    <x v="17"/>
    <x v="4"/>
    <x v="0"/>
    <x v="0"/>
    <x v="18"/>
    <x v="5"/>
  </r>
  <r>
    <x v="73"/>
    <x v="38"/>
    <x v="461"/>
    <x v="1"/>
    <x v="389"/>
    <x v="4"/>
    <x v="0"/>
    <x v="1"/>
    <x v="5"/>
    <x v="5"/>
  </r>
  <r>
    <x v="73"/>
    <x v="3"/>
    <x v="599"/>
    <x v="3"/>
    <x v="579"/>
    <x v="4"/>
    <x v="0"/>
    <x v="2"/>
    <x v="5"/>
    <x v="4"/>
  </r>
  <r>
    <x v="73"/>
    <x v="15"/>
    <x v="143"/>
    <x v="3"/>
    <x v="68"/>
    <x v="4"/>
    <x v="0"/>
    <x v="2"/>
    <x v="5"/>
    <x v="4"/>
  </r>
  <r>
    <x v="73"/>
    <x v="32"/>
    <x v="1066"/>
    <x v="3"/>
    <x v="422"/>
    <x v="4"/>
    <x v="2"/>
    <x v="4"/>
    <x v="221"/>
    <x v="10"/>
  </r>
  <r>
    <x v="73"/>
    <x v="32"/>
    <x v="127"/>
    <x v="2"/>
    <x v="422"/>
    <x v="4"/>
    <x v="2"/>
    <x v="4"/>
    <x v="221"/>
    <x v="10"/>
  </r>
  <r>
    <x v="73"/>
    <x v="32"/>
    <x v="604"/>
    <x v="6"/>
    <x v="422"/>
    <x v="4"/>
    <x v="2"/>
    <x v="4"/>
    <x v="221"/>
    <x v="10"/>
  </r>
  <r>
    <x v="73"/>
    <x v="32"/>
    <x v="1904"/>
    <x v="7"/>
    <x v="422"/>
    <x v="4"/>
    <x v="2"/>
    <x v="4"/>
    <x v="221"/>
    <x v="10"/>
  </r>
  <r>
    <x v="73"/>
    <x v="32"/>
    <x v="685"/>
    <x v="5"/>
    <x v="533"/>
    <x v="4"/>
    <x v="2"/>
    <x v="4"/>
    <x v="221"/>
    <x v="10"/>
  </r>
  <r>
    <x v="73"/>
    <x v="37"/>
    <x v="48"/>
    <x v="3"/>
    <x v="523"/>
    <x v="4"/>
    <x v="0"/>
    <x v="2"/>
    <x v="5"/>
    <x v="12"/>
  </r>
  <r>
    <x v="74"/>
    <x v="8"/>
    <x v="449"/>
    <x v="0"/>
    <x v="241"/>
    <x v="4"/>
    <x v="0"/>
    <x v="0"/>
    <x v="21"/>
    <x v="5"/>
  </r>
  <r>
    <x v="74"/>
    <x v="12"/>
    <x v="770"/>
    <x v="0"/>
    <x v="17"/>
    <x v="4"/>
    <x v="0"/>
    <x v="0"/>
    <x v="18"/>
    <x v="5"/>
  </r>
  <r>
    <x v="74"/>
    <x v="9"/>
    <x v="1440"/>
    <x v="0"/>
    <x v="229"/>
    <x v="4"/>
    <x v="0"/>
    <x v="0"/>
    <x v="12"/>
    <x v="5"/>
  </r>
  <r>
    <x v="74"/>
    <x v="20"/>
    <x v="622"/>
    <x v="0"/>
    <x v="61"/>
    <x v="4"/>
    <x v="0"/>
    <x v="0"/>
    <x v="12"/>
    <x v="5"/>
  </r>
  <r>
    <x v="74"/>
    <x v="1"/>
    <x v="229"/>
    <x v="3"/>
    <x v="431"/>
    <x v="4"/>
    <x v="0"/>
    <x v="2"/>
    <x v="6"/>
    <x v="4"/>
  </r>
  <r>
    <x v="74"/>
    <x v="15"/>
    <x v="377"/>
    <x v="3"/>
    <x v="353"/>
    <x v="4"/>
    <x v="0"/>
    <x v="2"/>
    <x v="6"/>
    <x v="4"/>
  </r>
  <r>
    <x v="74"/>
    <x v="38"/>
    <x v="183"/>
    <x v="0"/>
    <x v="225"/>
    <x v="4"/>
    <x v="0"/>
    <x v="3"/>
    <x v="32"/>
    <x v="5"/>
  </r>
  <r>
    <x v="74"/>
    <x v="32"/>
    <x v="1611"/>
    <x v="3"/>
    <x v="422"/>
    <x v="4"/>
    <x v="2"/>
    <x v="4"/>
    <x v="221"/>
    <x v="10"/>
  </r>
  <r>
    <x v="74"/>
    <x v="32"/>
    <x v="862"/>
    <x v="2"/>
    <x v="422"/>
    <x v="4"/>
    <x v="2"/>
    <x v="4"/>
    <x v="221"/>
    <x v="10"/>
  </r>
  <r>
    <x v="74"/>
    <x v="32"/>
    <x v="1279"/>
    <x v="6"/>
    <x v="422"/>
    <x v="4"/>
    <x v="2"/>
    <x v="4"/>
    <x v="221"/>
    <x v="10"/>
  </r>
  <r>
    <x v="74"/>
    <x v="32"/>
    <x v="1738"/>
    <x v="7"/>
    <x v="422"/>
    <x v="4"/>
    <x v="2"/>
    <x v="4"/>
    <x v="221"/>
    <x v="10"/>
  </r>
  <r>
    <x v="74"/>
    <x v="32"/>
    <x v="370"/>
    <x v="8"/>
    <x v="422"/>
    <x v="4"/>
    <x v="2"/>
    <x v="4"/>
    <x v="221"/>
    <x v="10"/>
  </r>
  <r>
    <x v="74"/>
    <x v="32"/>
    <x v="1067"/>
    <x v="5"/>
    <x v="533"/>
    <x v="4"/>
    <x v="2"/>
    <x v="4"/>
    <x v="221"/>
    <x v="10"/>
  </r>
  <r>
    <x v="74"/>
    <x v="37"/>
    <x v="45"/>
    <x v="1"/>
    <x v="523"/>
    <x v="4"/>
    <x v="0"/>
    <x v="1"/>
    <x v="6"/>
    <x v="12"/>
  </r>
  <r>
    <x v="74"/>
    <x v="38"/>
    <x v="25"/>
    <x v="1"/>
    <x v="479"/>
    <x v="4"/>
    <x v="0"/>
    <x v="1"/>
    <x v="6"/>
    <x v="5"/>
  </r>
  <r>
    <x v="74"/>
    <x v="19"/>
    <x v="807"/>
    <x v="0"/>
    <x v="474"/>
    <x v="4"/>
    <x v="0"/>
    <x v="0"/>
    <x v="11"/>
    <x v="3"/>
  </r>
  <r>
    <x v="74"/>
    <x v="12"/>
    <x v="30"/>
    <x v="1"/>
    <x v="331"/>
    <x v="4"/>
    <x v="0"/>
    <x v="1"/>
    <x v="6"/>
    <x v="5"/>
  </r>
  <r>
    <x v="74"/>
    <x v="23"/>
    <x v="22"/>
    <x v="3"/>
    <x v="285"/>
    <x v="4"/>
    <x v="0"/>
    <x v="2"/>
    <x v="6"/>
    <x v="6"/>
  </r>
  <r>
    <x v="75"/>
    <x v="12"/>
    <x v="496"/>
    <x v="0"/>
    <x v="17"/>
    <x v="4"/>
    <x v="0"/>
    <x v="0"/>
    <x v="18"/>
    <x v="5"/>
  </r>
  <r>
    <x v="75"/>
    <x v="20"/>
    <x v="1145"/>
    <x v="0"/>
    <x v="61"/>
    <x v="4"/>
    <x v="0"/>
    <x v="0"/>
    <x v="14"/>
    <x v="5"/>
  </r>
  <r>
    <x v="75"/>
    <x v="9"/>
    <x v="1211"/>
    <x v="0"/>
    <x v="229"/>
    <x v="4"/>
    <x v="0"/>
    <x v="0"/>
    <x v="14"/>
    <x v="5"/>
  </r>
  <r>
    <x v="75"/>
    <x v="1"/>
    <x v="158"/>
    <x v="3"/>
    <x v="431"/>
    <x v="4"/>
    <x v="0"/>
    <x v="2"/>
    <x v="7"/>
    <x v="4"/>
  </r>
  <r>
    <x v="75"/>
    <x v="27"/>
    <x v="398"/>
    <x v="1"/>
    <x v="5"/>
    <x v="4"/>
    <x v="0"/>
    <x v="1"/>
    <x v="7"/>
    <x v="5"/>
  </r>
  <r>
    <x v="75"/>
    <x v="19"/>
    <x v="794"/>
    <x v="0"/>
    <x v="474"/>
    <x v="4"/>
    <x v="0"/>
    <x v="0"/>
    <x v="11"/>
    <x v="3"/>
  </r>
  <r>
    <x v="75"/>
    <x v="28"/>
    <x v="134"/>
    <x v="1"/>
    <x v="175"/>
    <x v="4"/>
    <x v="0"/>
    <x v="1"/>
    <x v="7"/>
    <x v="0"/>
  </r>
  <r>
    <x v="75"/>
    <x v="37"/>
    <x v="87"/>
    <x v="1"/>
    <x v="523"/>
    <x v="4"/>
    <x v="0"/>
    <x v="1"/>
    <x v="7"/>
    <x v="12"/>
  </r>
  <r>
    <x v="75"/>
    <x v="32"/>
    <x v="819"/>
    <x v="3"/>
    <x v="422"/>
    <x v="4"/>
    <x v="2"/>
    <x v="4"/>
    <x v="221"/>
    <x v="10"/>
  </r>
  <r>
    <x v="75"/>
    <x v="32"/>
    <x v="1750"/>
    <x v="7"/>
    <x v="422"/>
    <x v="4"/>
    <x v="2"/>
    <x v="4"/>
    <x v="221"/>
    <x v="10"/>
  </r>
  <r>
    <x v="75"/>
    <x v="32"/>
    <x v="287"/>
    <x v="8"/>
    <x v="422"/>
    <x v="4"/>
    <x v="2"/>
    <x v="4"/>
    <x v="221"/>
    <x v="10"/>
  </r>
  <r>
    <x v="75"/>
    <x v="32"/>
    <x v="971"/>
    <x v="5"/>
    <x v="533"/>
    <x v="4"/>
    <x v="2"/>
    <x v="4"/>
    <x v="221"/>
    <x v="10"/>
  </r>
  <r>
    <x v="75"/>
    <x v="23"/>
    <x v="5"/>
    <x v="3"/>
    <x v="285"/>
    <x v="4"/>
    <x v="0"/>
    <x v="2"/>
    <x v="7"/>
    <x v="6"/>
  </r>
  <r>
    <x v="75"/>
    <x v="38"/>
    <x v="166"/>
    <x v="0"/>
    <x v="225"/>
    <x v="4"/>
    <x v="0"/>
    <x v="3"/>
    <x v="32"/>
    <x v="5"/>
  </r>
  <r>
    <x v="76"/>
    <x v="20"/>
    <x v="1264"/>
    <x v="0"/>
    <x v="61"/>
    <x v="4"/>
    <x v="0"/>
    <x v="0"/>
    <x v="15"/>
    <x v="5"/>
  </r>
  <r>
    <x v="76"/>
    <x v="12"/>
    <x v="177"/>
    <x v="0"/>
    <x v="17"/>
    <x v="4"/>
    <x v="0"/>
    <x v="0"/>
    <x v="18"/>
    <x v="5"/>
  </r>
  <r>
    <x v="76"/>
    <x v="9"/>
    <x v="1281"/>
    <x v="0"/>
    <x v="229"/>
    <x v="4"/>
    <x v="0"/>
    <x v="0"/>
    <x v="18"/>
    <x v="5"/>
  </r>
  <r>
    <x v="76"/>
    <x v="15"/>
    <x v="370"/>
    <x v="3"/>
    <x v="353"/>
    <x v="4"/>
    <x v="0"/>
    <x v="2"/>
    <x v="8"/>
    <x v="4"/>
  </r>
  <r>
    <x v="76"/>
    <x v="32"/>
    <x v="1544"/>
    <x v="3"/>
    <x v="422"/>
    <x v="4"/>
    <x v="2"/>
    <x v="4"/>
    <x v="221"/>
    <x v="10"/>
  </r>
  <r>
    <x v="76"/>
    <x v="32"/>
    <x v="672"/>
    <x v="2"/>
    <x v="422"/>
    <x v="4"/>
    <x v="2"/>
    <x v="4"/>
    <x v="221"/>
    <x v="10"/>
  </r>
  <r>
    <x v="76"/>
    <x v="32"/>
    <x v="625"/>
    <x v="6"/>
    <x v="422"/>
    <x v="4"/>
    <x v="2"/>
    <x v="4"/>
    <x v="221"/>
    <x v="10"/>
  </r>
  <r>
    <x v="76"/>
    <x v="32"/>
    <x v="1782"/>
    <x v="7"/>
    <x v="422"/>
    <x v="4"/>
    <x v="2"/>
    <x v="4"/>
    <x v="221"/>
    <x v="10"/>
  </r>
  <r>
    <x v="76"/>
    <x v="32"/>
    <x v="458"/>
    <x v="8"/>
    <x v="422"/>
    <x v="4"/>
    <x v="2"/>
    <x v="4"/>
    <x v="221"/>
    <x v="10"/>
  </r>
  <r>
    <x v="76"/>
    <x v="32"/>
    <x v="884"/>
    <x v="5"/>
    <x v="533"/>
    <x v="4"/>
    <x v="2"/>
    <x v="4"/>
    <x v="221"/>
    <x v="10"/>
  </r>
  <r>
    <x v="76"/>
    <x v="37"/>
    <x v="45"/>
    <x v="1"/>
    <x v="523"/>
    <x v="4"/>
    <x v="0"/>
    <x v="1"/>
    <x v="8"/>
    <x v="12"/>
  </r>
  <r>
    <x v="76"/>
    <x v="24"/>
    <x v="112"/>
    <x v="1"/>
    <x v="287"/>
    <x v="4"/>
    <x v="0"/>
    <x v="1"/>
    <x v="8"/>
    <x v="6"/>
  </r>
  <r>
    <x v="76"/>
    <x v="0"/>
    <x v="518"/>
    <x v="1"/>
    <x v="449"/>
    <x v="4"/>
    <x v="0"/>
    <x v="1"/>
    <x v="8"/>
    <x v="9"/>
  </r>
  <r>
    <x v="76"/>
    <x v="23"/>
    <x v="5"/>
    <x v="3"/>
    <x v="285"/>
    <x v="4"/>
    <x v="0"/>
    <x v="1"/>
    <x v="8"/>
    <x v="6"/>
  </r>
  <r>
    <x v="76"/>
    <x v="38"/>
    <x v="155"/>
    <x v="0"/>
    <x v="225"/>
    <x v="4"/>
    <x v="0"/>
    <x v="3"/>
    <x v="32"/>
    <x v="5"/>
  </r>
  <r>
    <x v="77"/>
    <x v="38"/>
    <x v="298"/>
    <x v="0"/>
    <x v="225"/>
    <x v="4"/>
    <x v="0"/>
    <x v="3"/>
    <x v="32"/>
    <x v="5"/>
  </r>
  <r>
    <x v="77"/>
    <x v="9"/>
    <x v="1408"/>
    <x v="0"/>
    <x v="229"/>
    <x v="4"/>
    <x v="0"/>
    <x v="0"/>
    <x v="14"/>
    <x v="5"/>
  </r>
  <r>
    <x v="77"/>
    <x v="3"/>
    <x v="599"/>
    <x v="3"/>
    <x v="579"/>
    <x v="4"/>
    <x v="0"/>
    <x v="2"/>
    <x v="9"/>
    <x v="4"/>
  </r>
  <r>
    <x v="77"/>
    <x v="20"/>
    <x v="1115"/>
    <x v="0"/>
    <x v="61"/>
    <x v="4"/>
    <x v="0"/>
    <x v="0"/>
    <x v="15"/>
    <x v="5"/>
  </r>
  <r>
    <x v="77"/>
    <x v="1"/>
    <x v="273"/>
    <x v="3"/>
    <x v="431"/>
    <x v="4"/>
    <x v="0"/>
    <x v="2"/>
    <x v="9"/>
    <x v="4"/>
  </r>
  <r>
    <x v="77"/>
    <x v="13"/>
    <x v="1501"/>
    <x v="0"/>
    <x v="32"/>
    <x v="4"/>
    <x v="0"/>
    <x v="0"/>
    <x v="23"/>
    <x v="5"/>
  </r>
  <r>
    <x v="77"/>
    <x v="32"/>
    <x v="1443"/>
    <x v="3"/>
    <x v="422"/>
    <x v="4"/>
    <x v="2"/>
    <x v="4"/>
    <x v="221"/>
    <x v="10"/>
  </r>
  <r>
    <x v="77"/>
    <x v="32"/>
    <x v="581"/>
    <x v="2"/>
    <x v="422"/>
    <x v="4"/>
    <x v="2"/>
    <x v="4"/>
    <x v="221"/>
    <x v="10"/>
  </r>
  <r>
    <x v="77"/>
    <x v="32"/>
    <x v="256"/>
    <x v="6"/>
    <x v="422"/>
    <x v="4"/>
    <x v="2"/>
    <x v="4"/>
    <x v="221"/>
    <x v="10"/>
  </r>
  <r>
    <x v="77"/>
    <x v="32"/>
    <x v="1686"/>
    <x v="7"/>
    <x v="422"/>
    <x v="4"/>
    <x v="2"/>
    <x v="4"/>
    <x v="221"/>
    <x v="10"/>
  </r>
  <r>
    <x v="77"/>
    <x v="32"/>
    <x v="538"/>
    <x v="8"/>
    <x v="422"/>
    <x v="4"/>
    <x v="2"/>
    <x v="4"/>
    <x v="221"/>
    <x v="10"/>
  </r>
  <r>
    <x v="77"/>
    <x v="32"/>
    <x v="1388"/>
    <x v="5"/>
    <x v="533"/>
    <x v="4"/>
    <x v="2"/>
    <x v="4"/>
    <x v="221"/>
    <x v="10"/>
  </r>
  <r>
    <x v="77"/>
    <x v="27"/>
    <x v="709"/>
    <x v="1"/>
    <x v="5"/>
    <x v="4"/>
    <x v="0"/>
    <x v="1"/>
    <x v="9"/>
    <x v="5"/>
  </r>
  <r>
    <x v="77"/>
    <x v="12"/>
    <x v="205"/>
    <x v="1"/>
    <x v="406"/>
    <x v="4"/>
    <x v="0"/>
    <x v="1"/>
    <x v="9"/>
    <x v="5"/>
  </r>
  <r>
    <x v="77"/>
    <x v="37"/>
    <x v="87"/>
    <x v="1"/>
    <x v="523"/>
    <x v="4"/>
    <x v="0"/>
    <x v="1"/>
    <x v="9"/>
    <x v="12"/>
  </r>
  <r>
    <x v="77"/>
    <x v="23"/>
    <x v="5"/>
    <x v="3"/>
    <x v="285"/>
    <x v="4"/>
    <x v="0"/>
    <x v="2"/>
    <x v="9"/>
    <x v="6"/>
  </r>
  <r>
    <x v="77"/>
    <x v="12"/>
    <x v="568"/>
    <x v="0"/>
    <x v="17"/>
    <x v="4"/>
    <x v="0"/>
    <x v="0"/>
    <x v="18"/>
    <x v="5"/>
  </r>
  <r>
    <x v="78"/>
    <x v="1"/>
    <x v="76"/>
    <x v="3"/>
    <x v="431"/>
    <x v="4"/>
    <x v="0"/>
    <x v="2"/>
    <x v="10"/>
    <x v="4"/>
  </r>
  <r>
    <x v="78"/>
    <x v="20"/>
    <x v="49"/>
    <x v="3"/>
    <x v="381"/>
    <x v="4"/>
    <x v="0"/>
    <x v="2"/>
    <x v="10"/>
    <x v="5"/>
  </r>
  <r>
    <x v="78"/>
    <x v="12"/>
    <x v="653"/>
    <x v="0"/>
    <x v="17"/>
    <x v="4"/>
    <x v="0"/>
    <x v="0"/>
    <x v="32"/>
    <x v="5"/>
  </r>
  <r>
    <x v="78"/>
    <x v="9"/>
    <x v="1320"/>
    <x v="0"/>
    <x v="229"/>
    <x v="4"/>
    <x v="0"/>
    <x v="0"/>
    <x v="15"/>
    <x v="5"/>
  </r>
  <r>
    <x v="78"/>
    <x v="20"/>
    <x v="550"/>
    <x v="0"/>
    <x v="61"/>
    <x v="4"/>
    <x v="0"/>
    <x v="0"/>
    <x v="18"/>
    <x v="5"/>
  </r>
  <r>
    <x v="78"/>
    <x v="8"/>
    <x v="779"/>
    <x v="0"/>
    <x v="241"/>
    <x v="4"/>
    <x v="0"/>
    <x v="0"/>
    <x v="21"/>
    <x v="5"/>
  </r>
  <r>
    <x v="78"/>
    <x v="12"/>
    <x v="343"/>
    <x v="1"/>
    <x v="512"/>
    <x v="4"/>
    <x v="0"/>
    <x v="1"/>
    <x v="10"/>
    <x v="5"/>
  </r>
  <r>
    <x v="78"/>
    <x v="38"/>
    <x v="239"/>
    <x v="0"/>
    <x v="225"/>
    <x v="4"/>
    <x v="0"/>
    <x v="3"/>
    <x v="32"/>
    <x v="5"/>
  </r>
  <r>
    <x v="78"/>
    <x v="32"/>
    <x v="821"/>
    <x v="3"/>
    <x v="422"/>
    <x v="4"/>
    <x v="2"/>
    <x v="4"/>
    <x v="221"/>
    <x v="10"/>
  </r>
  <r>
    <x v="78"/>
    <x v="32"/>
    <x v="343"/>
    <x v="2"/>
    <x v="422"/>
    <x v="4"/>
    <x v="2"/>
    <x v="4"/>
    <x v="221"/>
    <x v="10"/>
  </r>
  <r>
    <x v="78"/>
    <x v="32"/>
    <x v="205"/>
    <x v="6"/>
    <x v="422"/>
    <x v="4"/>
    <x v="2"/>
    <x v="4"/>
    <x v="221"/>
    <x v="10"/>
  </r>
  <r>
    <x v="78"/>
    <x v="32"/>
    <x v="1880"/>
    <x v="7"/>
    <x v="422"/>
    <x v="4"/>
    <x v="2"/>
    <x v="4"/>
    <x v="221"/>
    <x v="10"/>
  </r>
  <r>
    <x v="78"/>
    <x v="32"/>
    <x v="1130"/>
    <x v="5"/>
    <x v="533"/>
    <x v="4"/>
    <x v="2"/>
    <x v="4"/>
    <x v="221"/>
    <x v="10"/>
  </r>
  <r>
    <x v="78"/>
    <x v="23"/>
    <x v="5"/>
    <x v="3"/>
    <x v="285"/>
    <x v="4"/>
    <x v="0"/>
    <x v="2"/>
    <x v="10"/>
    <x v="6"/>
  </r>
  <r>
    <x v="78"/>
    <x v="24"/>
    <x v="40"/>
    <x v="1"/>
    <x v="287"/>
    <x v="4"/>
    <x v="0"/>
    <x v="1"/>
    <x v="10"/>
    <x v="6"/>
  </r>
  <r>
    <x v="78"/>
    <x v="37"/>
    <x v="58"/>
    <x v="1"/>
    <x v="523"/>
    <x v="4"/>
    <x v="0"/>
    <x v="1"/>
    <x v="10"/>
    <x v="12"/>
  </r>
  <r>
    <x v="79"/>
    <x v="8"/>
    <x v="449"/>
    <x v="0"/>
    <x v="241"/>
    <x v="4"/>
    <x v="0"/>
    <x v="0"/>
    <x v="21"/>
    <x v="5"/>
  </r>
  <r>
    <x v="79"/>
    <x v="9"/>
    <x v="1138"/>
    <x v="0"/>
    <x v="229"/>
    <x v="4"/>
    <x v="0"/>
    <x v="0"/>
    <x v="15"/>
    <x v="5"/>
  </r>
  <r>
    <x v="79"/>
    <x v="12"/>
    <x v="315"/>
    <x v="0"/>
    <x v="17"/>
    <x v="4"/>
    <x v="0"/>
    <x v="0"/>
    <x v="32"/>
    <x v="5"/>
  </r>
  <r>
    <x v="79"/>
    <x v="22"/>
    <x v="318"/>
    <x v="3"/>
    <x v="259"/>
    <x v="4"/>
    <x v="0"/>
    <x v="2"/>
    <x v="11"/>
    <x v="3"/>
  </r>
  <r>
    <x v="79"/>
    <x v="29"/>
    <x v="285"/>
    <x v="1"/>
    <x v="436"/>
    <x v="4"/>
    <x v="0"/>
    <x v="1"/>
    <x v="11"/>
    <x v="6"/>
  </r>
  <r>
    <x v="79"/>
    <x v="19"/>
    <x v="811"/>
    <x v="0"/>
    <x v="474"/>
    <x v="4"/>
    <x v="0"/>
    <x v="0"/>
    <x v="22"/>
    <x v="3"/>
  </r>
  <r>
    <x v="79"/>
    <x v="32"/>
    <x v="1202"/>
    <x v="3"/>
    <x v="422"/>
    <x v="4"/>
    <x v="2"/>
    <x v="4"/>
    <x v="221"/>
    <x v="10"/>
  </r>
  <r>
    <x v="79"/>
    <x v="32"/>
    <x v="377"/>
    <x v="2"/>
    <x v="422"/>
    <x v="4"/>
    <x v="2"/>
    <x v="4"/>
    <x v="221"/>
    <x v="10"/>
  </r>
  <r>
    <x v="79"/>
    <x v="32"/>
    <x v="369"/>
    <x v="6"/>
    <x v="422"/>
    <x v="4"/>
    <x v="2"/>
    <x v="4"/>
    <x v="221"/>
    <x v="10"/>
  </r>
  <r>
    <x v="79"/>
    <x v="32"/>
    <x v="1728"/>
    <x v="7"/>
    <x v="422"/>
    <x v="4"/>
    <x v="2"/>
    <x v="4"/>
    <x v="221"/>
    <x v="10"/>
  </r>
  <r>
    <x v="79"/>
    <x v="32"/>
    <x v="1348"/>
    <x v="5"/>
    <x v="533"/>
    <x v="4"/>
    <x v="2"/>
    <x v="4"/>
    <x v="221"/>
    <x v="10"/>
  </r>
  <r>
    <x v="79"/>
    <x v="37"/>
    <x v="68"/>
    <x v="1"/>
    <x v="523"/>
    <x v="4"/>
    <x v="0"/>
    <x v="1"/>
    <x v="11"/>
    <x v="12"/>
  </r>
  <r>
    <x v="79"/>
    <x v="38"/>
    <x v="170"/>
    <x v="0"/>
    <x v="225"/>
    <x v="4"/>
    <x v="0"/>
    <x v="3"/>
    <x v="32"/>
    <x v="5"/>
  </r>
  <r>
    <x v="79"/>
    <x v="23"/>
    <x v="5"/>
    <x v="3"/>
    <x v="285"/>
    <x v="4"/>
    <x v="0"/>
    <x v="1"/>
    <x v="11"/>
    <x v="6"/>
  </r>
  <r>
    <x v="80"/>
    <x v="20"/>
    <x v="1158"/>
    <x v="0"/>
    <x v="61"/>
    <x v="4"/>
    <x v="0"/>
    <x v="0"/>
    <x v="18"/>
    <x v="5"/>
  </r>
  <r>
    <x v="80"/>
    <x v="12"/>
    <x v="583"/>
    <x v="0"/>
    <x v="17"/>
    <x v="4"/>
    <x v="0"/>
    <x v="0"/>
    <x v="32"/>
    <x v="5"/>
  </r>
  <r>
    <x v="80"/>
    <x v="9"/>
    <x v="1269"/>
    <x v="0"/>
    <x v="229"/>
    <x v="4"/>
    <x v="0"/>
    <x v="0"/>
    <x v="18"/>
    <x v="5"/>
  </r>
  <r>
    <x v="80"/>
    <x v="27"/>
    <x v="836"/>
    <x v="1"/>
    <x v="5"/>
    <x v="4"/>
    <x v="0"/>
    <x v="1"/>
    <x v="12"/>
    <x v="5"/>
  </r>
  <r>
    <x v="80"/>
    <x v="12"/>
    <x v="219"/>
    <x v="1"/>
    <x v="145"/>
    <x v="4"/>
    <x v="0"/>
    <x v="1"/>
    <x v="12"/>
    <x v="5"/>
  </r>
  <r>
    <x v="80"/>
    <x v="29"/>
    <x v="404"/>
    <x v="1"/>
    <x v="436"/>
    <x v="4"/>
    <x v="0"/>
    <x v="1"/>
    <x v="12"/>
    <x v="6"/>
  </r>
  <r>
    <x v="80"/>
    <x v="3"/>
    <x v="857"/>
    <x v="1"/>
    <x v="153"/>
    <x v="4"/>
    <x v="0"/>
    <x v="1"/>
    <x v="12"/>
    <x v="4"/>
  </r>
  <r>
    <x v="80"/>
    <x v="38"/>
    <x v="149"/>
    <x v="0"/>
    <x v="500"/>
    <x v="4"/>
    <x v="0"/>
    <x v="0"/>
    <x v="42"/>
    <x v="5"/>
  </r>
  <r>
    <x v="80"/>
    <x v="19"/>
    <x v="811"/>
    <x v="0"/>
    <x v="474"/>
    <x v="4"/>
    <x v="0"/>
    <x v="0"/>
    <x v="22"/>
    <x v="3"/>
  </r>
  <r>
    <x v="80"/>
    <x v="32"/>
    <x v="1234"/>
    <x v="3"/>
    <x v="422"/>
    <x v="4"/>
    <x v="2"/>
    <x v="4"/>
    <x v="221"/>
    <x v="10"/>
  </r>
  <r>
    <x v="80"/>
    <x v="32"/>
    <x v="488"/>
    <x v="2"/>
    <x v="422"/>
    <x v="4"/>
    <x v="2"/>
    <x v="4"/>
    <x v="221"/>
    <x v="10"/>
  </r>
  <r>
    <x v="80"/>
    <x v="32"/>
    <x v="36"/>
    <x v="6"/>
    <x v="422"/>
    <x v="4"/>
    <x v="2"/>
    <x v="4"/>
    <x v="221"/>
    <x v="10"/>
  </r>
  <r>
    <x v="80"/>
    <x v="32"/>
    <x v="1922"/>
    <x v="7"/>
    <x v="422"/>
    <x v="4"/>
    <x v="2"/>
    <x v="4"/>
    <x v="221"/>
    <x v="10"/>
  </r>
  <r>
    <x v="80"/>
    <x v="32"/>
    <x v="426"/>
    <x v="8"/>
    <x v="422"/>
    <x v="4"/>
    <x v="2"/>
    <x v="4"/>
    <x v="221"/>
    <x v="10"/>
  </r>
  <r>
    <x v="80"/>
    <x v="32"/>
    <x v="1233"/>
    <x v="5"/>
    <x v="533"/>
    <x v="4"/>
    <x v="2"/>
    <x v="4"/>
    <x v="221"/>
    <x v="10"/>
  </r>
  <r>
    <x v="80"/>
    <x v="37"/>
    <x v="69"/>
    <x v="1"/>
    <x v="523"/>
    <x v="4"/>
    <x v="0"/>
    <x v="1"/>
    <x v="12"/>
    <x v="12"/>
  </r>
  <r>
    <x v="80"/>
    <x v="23"/>
    <x v="1"/>
    <x v="3"/>
    <x v="285"/>
    <x v="4"/>
    <x v="0"/>
    <x v="2"/>
    <x v="12"/>
    <x v="6"/>
  </r>
  <r>
    <x v="80"/>
    <x v="28"/>
    <x v="769"/>
    <x v="3"/>
    <x v="175"/>
    <x v="4"/>
    <x v="0"/>
    <x v="2"/>
    <x v="12"/>
    <x v="0"/>
  </r>
  <r>
    <x v="81"/>
    <x v="1"/>
    <x v="229"/>
    <x v="3"/>
    <x v="431"/>
    <x v="4"/>
    <x v="0"/>
    <x v="2"/>
    <x v="13"/>
    <x v="4"/>
  </r>
  <r>
    <x v="81"/>
    <x v="9"/>
    <x v="1165"/>
    <x v="0"/>
    <x v="229"/>
    <x v="4"/>
    <x v="0"/>
    <x v="0"/>
    <x v="18"/>
    <x v="5"/>
  </r>
  <r>
    <x v="81"/>
    <x v="8"/>
    <x v="779"/>
    <x v="0"/>
    <x v="241"/>
    <x v="4"/>
    <x v="0"/>
    <x v="0"/>
    <x v="21"/>
    <x v="5"/>
  </r>
  <r>
    <x v="81"/>
    <x v="12"/>
    <x v="380"/>
    <x v="0"/>
    <x v="17"/>
    <x v="4"/>
    <x v="0"/>
    <x v="0"/>
    <x v="32"/>
    <x v="5"/>
  </r>
  <r>
    <x v="81"/>
    <x v="20"/>
    <x v="1084"/>
    <x v="0"/>
    <x v="61"/>
    <x v="4"/>
    <x v="0"/>
    <x v="0"/>
    <x v="22"/>
    <x v="5"/>
  </r>
  <r>
    <x v="81"/>
    <x v="20"/>
    <x v="49"/>
    <x v="3"/>
    <x v="381"/>
    <x v="4"/>
    <x v="0"/>
    <x v="2"/>
    <x v="13"/>
    <x v="5"/>
  </r>
  <r>
    <x v="81"/>
    <x v="38"/>
    <x v="155"/>
    <x v="0"/>
    <x v="500"/>
    <x v="4"/>
    <x v="0"/>
    <x v="0"/>
    <x v="42"/>
    <x v="5"/>
  </r>
  <r>
    <x v="81"/>
    <x v="15"/>
    <x v="426"/>
    <x v="3"/>
    <x v="353"/>
    <x v="4"/>
    <x v="0"/>
    <x v="2"/>
    <x v="13"/>
    <x v="4"/>
  </r>
  <r>
    <x v="81"/>
    <x v="28"/>
    <x v="256"/>
    <x v="1"/>
    <x v="175"/>
    <x v="4"/>
    <x v="0"/>
    <x v="1"/>
    <x v="13"/>
    <x v="0"/>
  </r>
  <r>
    <x v="81"/>
    <x v="26"/>
    <x v="90"/>
    <x v="1"/>
    <x v="344"/>
    <x v="4"/>
    <x v="0"/>
    <x v="1"/>
    <x v="13"/>
    <x v="5"/>
  </r>
  <r>
    <x v="81"/>
    <x v="12"/>
    <x v="30"/>
    <x v="1"/>
    <x v="331"/>
    <x v="4"/>
    <x v="0"/>
    <x v="1"/>
    <x v="13"/>
    <x v="5"/>
  </r>
  <r>
    <x v="81"/>
    <x v="32"/>
    <x v="1280"/>
    <x v="3"/>
    <x v="422"/>
    <x v="4"/>
    <x v="2"/>
    <x v="4"/>
    <x v="221"/>
    <x v="10"/>
  </r>
  <r>
    <x v="81"/>
    <x v="32"/>
    <x v="674"/>
    <x v="6"/>
    <x v="422"/>
    <x v="4"/>
    <x v="2"/>
    <x v="4"/>
    <x v="221"/>
    <x v="10"/>
  </r>
  <r>
    <x v="81"/>
    <x v="32"/>
    <x v="1660"/>
    <x v="7"/>
    <x v="422"/>
    <x v="4"/>
    <x v="2"/>
    <x v="4"/>
    <x v="221"/>
    <x v="10"/>
  </r>
  <r>
    <x v="81"/>
    <x v="32"/>
    <x v="1039"/>
    <x v="5"/>
    <x v="533"/>
    <x v="4"/>
    <x v="2"/>
    <x v="4"/>
    <x v="221"/>
    <x v="10"/>
  </r>
  <r>
    <x v="81"/>
    <x v="23"/>
    <x v="9"/>
    <x v="3"/>
    <x v="285"/>
    <x v="4"/>
    <x v="0"/>
    <x v="2"/>
    <x v="13"/>
    <x v="6"/>
  </r>
  <r>
    <x v="81"/>
    <x v="37"/>
    <x v="58"/>
    <x v="1"/>
    <x v="523"/>
    <x v="4"/>
    <x v="0"/>
    <x v="1"/>
    <x v="13"/>
    <x v="12"/>
  </r>
  <r>
    <x v="81"/>
    <x v="38"/>
    <x v="12"/>
    <x v="3"/>
    <x v="444"/>
    <x v="4"/>
    <x v="0"/>
    <x v="2"/>
    <x v="13"/>
    <x v="5"/>
  </r>
  <r>
    <x v="82"/>
    <x v="12"/>
    <x v="159"/>
    <x v="0"/>
    <x v="17"/>
    <x v="4"/>
    <x v="0"/>
    <x v="0"/>
    <x v="32"/>
    <x v="5"/>
  </r>
  <r>
    <x v="82"/>
    <x v="20"/>
    <x v="1558"/>
    <x v="0"/>
    <x v="253"/>
    <x v="4"/>
    <x v="0"/>
    <x v="3"/>
    <x v="14"/>
    <x v="5"/>
  </r>
  <r>
    <x v="82"/>
    <x v="9"/>
    <x v="881"/>
    <x v="0"/>
    <x v="229"/>
    <x v="4"/>
    <x v="0"/>
    <x v="0"/>
    <x v="18"/>
    <x v="5"/>
  </r>
  <r>
    <x v="82"/>
    <x v="20"/>
    <x v="1311"/>
    <x v="0"/>
    <x v="61"/>
    <x v="4"/>
    <x v="0"/>
    <x v="0"/>
    <x v="22"/>
    <x v="5"/>
  </r>
  <r>
    <x v="82"/>
    <x v="37"/>
    <x v="55"/>
    <x v="3"/>
    <x v="523"/>
    <x v="4"/>
    <x v="0"/>
    <x v="2"/>
    <x v="14"/>
    <x v="12"/>
  </r>
  <r>
    <x v="82"/>
    <x v="0"/>
    <x v="256"/>
    <x v="3"/>
    <x v="573"/>
    <x v="4"/>
    <x v="0"/>
    <x v="2"/>
    <x v="14"/>
    <x v="9"/>
  </r>
  <r>
    <x v="82"/>
    <x v="38"/>
    <x v="19"/>
    <x v="3"/>
    <x v="444"/>
    <x v="4"/>
    <x v="0"/>
    <x v="2"/>
    <x v="14"/>
    <x v="5"/>
  </r>
  <r>
    <x v="82"/>
    <x v="19"/>
    <x v="811"/>
    <x v="0"/>
    <x v="474"/>
    <x v="4"/>
    <x v="0"/>
    <x v="0"/>
    <x v="22"/>
    <x v="3"/>
  </r>
  <r>
    <x v="82"/>
    <x v="38"/>
    <x v="117"/>
    <x v="0"/>
    <x v="500"/>
    <x v="4"/>
    <x v="0"/>
    <x v="0"/>
    <x v="42"/>
    <x v="5"/>
  </r>
  <r>
    <x v="82"/>
    <x v="24"/>
    <x v="12"/>
    <x v="3"/>
    <x v="177"/>
    <x v="4"/>
    <x v="0"/>
    <x v="2"/>
    <x v="14"/>
    <x v="6"/>
  </r>
  <r>
    <x v="82"/>
    <x v="32"/>
    <x v="1109"/>
    <x v="3"/>
    <x v="422"/>
    <x v="4"/>
    <x v="2"/>
    <x v="4"/>
    <x v="221"/>
    <x v="10"/>
  </r>
  <r>
    <x v="82"/>
    <x v="32"/>
    <x v="549"/>
    <x v="2"/>
    <x v="422"/>
    <x v="4"/>
    <x v="2"/>
    <x v="4"/>
    <x v="221"/>
    <x v="10"/>
  </r>
  <r>
    <x v="82"/>
    <x v="32"/>
    <x v="461"/>
    <x v="6"/>
    <x v="422"/>
    <x v="4"/>
    <x v="2"/>
    <x v="4"/>
    <x v="221"/>
    <x v="10"/>
  </r>
  <r>
    <x v="82"/>
    <x v="32"/>
    <x v="1759"/>
    <x v="7"/>
    <x v="422"/>
    <x v="4"/>
    <x v="2"/>
    <x v="4"/>
    <x v="221"/>
    <x v="10"/>
  </r>
  <r>
    <x v="82"/>
    <x v="32"/>
    <x v="902"/>
    <x v="5"/>
    <x v="533"/>
    <x v="4"/>
    <x v="2"/>
    <x v="4"/>
    <x v="221"/>
    <x v="10"/>
  </r>
  <r>
    <x v="83"/>
    <x v="9"/>
    <x v="1467"/>
    <x v="0"/>
    <x v="229"/>
    <x v="4"/>
    <x v="0"/>
    <x v="0"/>
    <x v="23"/>
    <x v="5"/>
  </r>
  <r>
    <x v="83"/>
    <x v="12"/>
    <x v="461"/>
    <x v="0"/>
    <x v="17"/>
    <x v="4"/>
    <x v="0"/>
    <x v="0"/>
    <x v="32"/>
    <x v="5"/>
  </r>
  <r>
    <x v="83"/>
    <x v="8"/>
    <x v="449"/>
    <x v="0"/>
    <x v="241"/>
    <x v="4"/>
    <x v="0"/>
    <x v="0"/>
    <x v="21"/>
    <x v="5"/>
  </r>
  <r>
    <x v="83"/>
    <x v="20"/>
    <x v="991"/>
    <x v="0"/>
    <x v="61"/>
    <x v="4"/>
    <x v="0"/>
    <x v="0"/>
    <x v="22"/>
    <x v="5"/>
  </r>
  <r>
    <x v="83"/>
    <x v="1"/>
    <x v="127"/>
    <x v="3"/>
    <x v="431"/>
    <x v="4"/>
    <x v="0"/>
    <x v="2"/>
    <x v="15"/>
    <x v="4"/>
  </r>
  <r>
    <x v="83"/>
    <x v="39"/>
    <x v="1035"/>
    <x v="0"/>
    <x v="501"/>
    <x v="4"/>
    <x v="0"/>
    <x v="0"/>
    <x v="15"/>
    <x v="5"/>
  </r>
  <r>
    <x v="83"/>
    <x v="3"/>
    <x v="599"/>
    <x v="3"/>
    <x v="579"/>
    <x v="4"/>
    <x v="0"/>
    <x v="2"/>
    <x v="15"/>
    <x v="4"/>
  </r>
  <r>
    <x v="83"/>
    <x v="38"/>
    <x v="301"/>
    <x v="0"/>
    <x v="500"/>
    <x v="4"/>
    <x v="0"/>
    <x v="0"/>
    <x v="42"/>
    <x v="5"/>
  </r>
  <r>
    <x v="83"/>
    <x v="32"/>
    <x v="1076"/>
    <x v="3"/>
    <x v="422"/>
    <x v="4"/>
    <x v="2"/>
    <x v="4"/>
    <x v="221"/>
    <x v="10"/>
  </r>
  <r>
    <x v="83"/>
    <x v="32"/>
    <x v="629"/>
    <x v="2"/>
    <x v="422"/>
    <x v="4"/>
    <x v="2"/>
    <x v="4"/>
    <x v="221"/>
    <x v="10"/>
  </r>
  <r>
    <x v="83"/>
    <x v="32"/>
    <x v="1034"/>
    <x v="6"/>
    <x v="422"/>
    <x v="4"/>
    <x v="2"/>
    <x v="4"/>
    <x v="221"/>
    <x v="10"/>
  </r>
  <r>
    <x v="83"/>
    <x v="32"/>
    <x v="1700"/>
    <x v="7"/>
    <x v="422"/>
    <x v="4"/>
    <x v="2"/>
    <x v="4"/>
    <x v="221"/>
    <x v="10"/>
  </r>
  <r>
    <x v="83"/>
    <x v="32"/>
    <x v="703"/>
    <x v="5"/>
    <x v="533"/>
    <x v="4"/>
    <x v="2"/>
    <x v="4"/>
    <x v="221"/>
    <x v="10"/>
  </r>
  <r>
    <x v="83"/>
    <x v="37"/>
    <x v="69"/>
    <x v="1"/>
    <x v="523"/>
    <x v="4"/>
    <x v="0"/>
    <x v="1"/>
    <x v="15"/>
    <x v="12"/>
  </r>
  <r>
    <x v="83"/>
    <x v="31"/>
    <x v="283"/>
    <x v="1"/>
    <x v="348"/>
    <x v="4"/>
    <x v="0"/>
    <x v="1"/>
    <x v="15"/>
    <x v="8"/>
  </r>
  <r>
    <x v="83"/>
    <x v="11"/>
    <x v="25"/>
    <x v="3"/>
    <x v="204"/>
    <x v="4"/>
    <x v="0"/>
    <x v="2"/>
    <x v="15"/>
    <x v="2"/>
  </r>
  <r>
    <x v="83"/>
    <x v="24"/>
    <x v="25"/>
    <x v="3"/>
    <x v="16"/>
    <x v="4"/>
    <x v="0"/>
    <x v="2"/>
    <x v="15"/>
    <x v="6"/>
  </r>
  <r>
    <x v="83"/>
    <x v="0"/>
    <x v="518"/>
    <x v="0"/>
    <x v="566"/>
    <x v="4"/>
    <x v="0"/>
    <x v="0"/>
    <x v="15"/>
    <x v="9"/>
  </r>
  <r>
    <x v="84"/>
    <x v="12"/>
    <x v="613"/>
    <x v="0"/>
    <x v="17"/>
    <x v="4"/>
    <x v="0"/>
    <x v="0"/>
    <x v="32"/>
    <x v="5"/>
  </r>
  <r>
    <x v="84"/>
    <x v="9"/>
    <x v="1229"/>
    <x v="0"/>
    <x v="229"/>
    <x v="4"/>
    <x v="0"/>
    <x v="0"/>
    <x v="23"/>
    <x v="5"/>
  </r>
  <r>
    <x v="84"/>
    <x v="20"/>
    <x v="260"/>
    <x v="0"/>
    <x v="61"/>
    <x v="4"/>
    <x v="0"/>
    <x v="0"/>
    <x v="22"/>
    <x v="5"/>
  </r>
  <r>
    <x v="84"/>
    <x v="1"/>
    <x v="127"/>
    <x v="3"/>
    <x v="431"/>
    <x v="4"/>
    <x v="0"/>
    <x v="2"/>
    <x v="16"/>
    <x v="4"/>
  </r>
  <r>
    <x v="84"/>
    <x v="13"/>
    <x v="943"/>
    <x v="0"/>
    <x v="32"/>
    <x v="4"/>
    <x v="0"/>
    <x v="0"/>
    <x v="32"/>
    <x v="5"/>
  </r>
  <r>
    <x v="84"/>
    <x v="38"/>
    <x v="505"/>
    <x v="1"/>
    <x v="389"/>
    <x v="4"/>
    <x v="0"/>
    <x v="2"/>
    <x v="16"/>
    <x v="5"/>
  </r>
  <r>
    <x v="84"/>
    <x v="38"/>
    <x v="237"/>
    <x v="0"/>
    <x v="500"/>
    <x v="4"/>
    <x v="0"/>
    <x v="0"/>
    <x v="42"/>
    <x v="5"/>
  </r>
  <r>
    <x v="84"/>
    <x v="19"/>
    <x v="811"/>
    <x v="0"/>
    <x v="474"/>
    <x v="4"/>
    <x v="0"/>
    <x v="0"/>
    <x v="22"/>
    <x v="3"/>
  </r>
  <r>
    <x v="84"/>
    <x v="32"/>
    <x v="999"/>
    <x v="3"/>
    <x v="422"/>
    <x v="4"/>
    <x v="2"/>
    <x v="4"/>
    <x v="221"/>
    <x v="10"/>
  </r>
  <r>
    <x v="84"/>
    <x v="32"/>
    <x v="1778"/>
    <x v="7"/>
    <x v="422"/>
    <x v="4"/>
    <x v="2"/>
    <x v="4"/>
    <x v="221"/>
    <x v="10"/>
  </r>
  <r>
    <x v="84"/>
    <x v="32"/>
    <x v="512"/>
    <x v="8"/>
    <x v="422"/>
    <x v="4"/>
    <x v="2"/>
    <x v="4"/>
    <x v="221"/>
    <x v="10"/>
  </r>
  <r>
    <x v="84"/>
    <x v="32"/>
    <x v="556"/>
    <x v="5"/>
    <x v="533"/>
    <x v="4"/>
    <x v="2"/>
    <x v="4"/>
    <x v="221"/>
    <x v="10"/>
  </r>
  <r>
    <x v="84"/>
    <x v="23"/>
    <x v="5"/>
    <x v="3"/>
    <x v="285"/>
    <x v="4"/>
    <x v="0"/>
    <x v="2"/>
    <x v="16"/>
    <x v="6"/>
  </r>
  <r>
    <x v="84"/>
    <x v="37"/>
    <x v="53"/>
    <x v="1"/>
    <x v="523"/>
    <x v="4"/>
    <x v="0"/>
    <x v="1"/>
    <x v="16"/>
    <x v="12"/>
  </r>
  <r>
    <x v="84"/>
    <x v="24"/>
    <x v="30"/>
    <x v="1"/>
    <x v="246"/>
    <x v="4"/>
    <x v="0"/>
    <x v="1"/>
    <x v="16"/>
    <x v="6"/>
  </r>
  <r>
    <x v="84"/>
    <x v="0"/>
    <x v="1353"/>
    <x v="0"/>
    <x v="566"/>
    <x v="4"/>
    <x v="0"/>
    <x v="0"/>
    <x v="16"/>
    <x v="9"/>
  </r>
  <r>
    <x v="85"/>
    <x v="8"/>
    <x v="779"/>
    <x v="0"/>
    <x v="241"/>
    <x v="4"/>
    <x v="0"/>
    <x v="0"/>
    <x v="21"/>
    <x v="5"/>
  </r>
  <r>
    <x v="85"/>
    <x v="9"/>
    <x v="889"/>
    <x v="0"/>
    <x v="229"/>
    <x v="4"/>
    <x v="0"/>
    <x v="0"/>
    <x v="23"/>
    <x v="5"/>
  </r>
  <r>
    <x v="85"/>
    <x v="20"/>
    <x v="396"/>
    <x v="0"/>
    <x v="61"/>
    <x v="4"/>
    <x v="0"/>
    <x v="0"/>
    <x v="27"/>
    <x v="5"/>
  </r>
  <r>
    <x v="85"/>
    <x v="12"/>
    <x v="214"/>
    <x v="0"/>
    <x v="17"/>
    <x v="4"/>
    <x v="0"/>
    <x v="0"/>
    <x v="32"/>
    <x v="5"/>
  </r>
  <r>
    <x v="85"/>
    <x v="20"/>
    <x v="49"/>
    <x v="3"/>
    <x v="381"/>
    <x v="4"/>
    <x v="0"/>
    <x v="2"/>
    <x v="17"/>
    <x v="5"/>
  </r>
  <r>
    <x v="85"/>
    <x v="1"/>
    <x v="60"/>
    <x v="3"/>
    <x v="431"/>
    <x v="4"/>
    <x v="0"/>
    <x v="2"/>
    <x v="17"/>
    <x v="4"/>
  </r>
  <r>
    <x v="85"/>
    <x v="38"/>
    <x v="108"/>
    <x v="0"/>
    <x v="500"/>
    <x v="4"/>
    <x v="0"/>
    <x v="0"/>
    <x v="42"/>
    <x v="5"/>
  </r>
  <r>
    <x v="85"/>
    <x v="32"/>
    <x v="1027"/>
    <x v="3"/>
    <x v="422"/>
    <x v="4"/>
    <x v="2"/>
    <x v="4"/>
    <x v="221"/>
    <x v="10"/>
  </r>
  <r>
    <x v="85"/>
    <x v="32"/>
    <x v="117"/>
    <x v="6"/>
    <x v="422"/>
    <x v="4"/>
    <x v="2"/>
    <x v="4"/>
    <x v="221"/>
    <x v="10"/>
  </r>
  <r>
    <x v="85"/>
    <x v="32"/>
    <x v="1842"/>
    <x v="7"/>
    <x v="422"/>
    <x v="4"/>
    <x v="2"/>
    <x v="4"/>
    <x v="221"/>
    <x v="10"/>
  </r>
  <r>
    <x v="85"/>
    <x v="32"/>
    <x v="138"/>
    <x v="8"/>
    <x v="422"/>
    <x v="4"/>
    <x v="2"/>
    <x v="4"/>
    <x v="221"/>
    <x v="10"/>
  </r>
  <r>
    <x v="85"/>
    <x v="32"/>
    <x v="863"/>
    <x v="5"/>
    <x v="533"/>
    <x v="4"/>
    <x v="2"/>
    <x v="4"/>
    <x v="221"/>
    <x v="10"/>
  </r>
  <r>
    <x v="85"/>
    <x v="37"/>
    <x v="65"/>
    <x v="1"/>
    <x v="523"/>
    <x v="4"/>
    <x v="0"/>
    <x v="1"/>
    <x v="17"/>
    <x v="12"/>
  </r>
  <r>
    <x v="85"/>
    <x v="19"/>
    <x v="811"/>
    <x v="0"/>
    <x v="474"/>
    <x v="4"/>
    <x v="0"/>
    <x v="0"/>
    <x v="22"/>
    <x v="3"/>
  </r>
  <r>
    <x v="85"/>
    <x v="23"/>
    <x v="15"/>
    <x v="3"/>
    <x v="285"/>
    <x v="4"/>
    <x v="0"/>
    <x v="2"/>
    <x v="17"/>
    <x v="6"/>
  </r>
  <r>
    <x v="85"/>
    <x v="24"/>
    <x v="495"/>
    <x v="1"/>
    <x v="521"/>
    <x v="4"/>
    <x v="0"/>
    <x v="1"/>
    <x v="17"/>
    <x v="6"/>
  </r>
  <r>
    <x v="86"/>
    <x v="1"/>
    <x v="76"/>
    <x v="3"/>
    <x v="431"/>
    <x v="4"/>
    <x v="0"/>
    <x v="2"/>
    <x v="18"/>
    <x v="4"/>
  </r>
  <r>
    <x v="86"/>
    <x v="12"/>
    <x v="254"/>
    <x v="0"/>
    <x v="17"/>
    <x v="4"/>
    <x v="0"/>
    <x v="0"/>
    <x v="32"/>
    <x v="5"/>
  </r>
  <r>
    <x v="86"/>
    <x v="9"/>
    <x v="820"/>
    <x v="0"/>
    <x v="229"/>
    <x v="4"/>
    <x v="0"/>
    <x v="0"/>
    <x v="23"/>
    <x v="5"/>
  </r>
  <r>
    <x v="86"/>
    <x v="38"/>
    <x v="137"/>
    <x v="0"/>
    <x v="500"/>
    <x v="4"/>
    <x v="0"/>
    <x v="0"/>
    <x v="42"/>
    <x v="5"/>
  </r>
  <r>
    <x v="86"/>
    <x v="24"/>
    <x v="719"/>
    <x v="1"/>
    <x v="184"/>
    <x v="4"/>
    <x v="0"/>
    <x v="1"/>
    <x v="18"/>
    <x v="6"/>
  </r>
  <r>
    <x v="86"/>
    <x v="18"/>
    <x v="375"/>
    <x v="1"/>
    <x v="215"/>
    <x v="4"/>
    <x v="0"/>
    <x v="1"/>
    <x v="18"/>
    <x v="3"/>
  </r>
  <r>
    <x v="86"/>
    <x v="15"/>
    <x v="363"/>
    <x v="3"/>
    <x v="353"/>
    <x v="4"/>
    <x v="0"/>
    <x v="2"/>
    <x v="18"/>
    <x v="4"/>
  </r>
  <r>
    <x v="86"/>
    <x v="24"/>
    <x v="253"/>
    <x v="1"/>
    <x v="246"/>
    <x v="4"/>
    <x v="0"/>
    <x v="1"/>
    <x v="18"/>
    <x v="6"/>
  </r>
  <r>
    <x v="86"/>
    <x v="32"/>
    <x v="1346"/>
    <x v="3"/>
    <x v="422"/>
    <x v="4"/>
    <x v="2"/>
    <x v="4"/>
    <x v="221"/>
    <x v="10"/>
  </r>
  <r>
    <x v="86"/>
    <x v="32"/>
    <x v="531"/>
    <x v="2"/>
    <x v="422"/>
    <x v="4"/>
    <x v="2"/>
    <x v="4"/>
    <x v="221"/>
    <x v="10"/>
  </r>
  <r>
    <x v="86"/>
    <x v="32"/>
    <x v="134"/>
    <x v="6"/>
    <x v="422"/>
    <x v="4"/>
    <x v="2"/>
    <x v="4"/>
    <x v="221"/>
    <x v="10"/>
  </r>
  <r>
    <x v="86"/>
    <x v="32"/>
    <x v="1834"/>
    <x v="7"/>
    <x v="422"/>
    <x v="4"/>
    <x v="2"/>
    <x v="4"/>
    <x v="221"/>
    <x v="10"/>
  </r>
  <r>
    <x v="86"/>
    <x v="32"/>
    <x v="1372"/>
    <x v="5"/>
    <x v="422"/>
    <x v="4"/>
    <x v="2"/>
    <x v="4"/>
    <x v="221"/>
    <x v="10"/>
  </r>
  <r>
    <x v="86"/>
    <x v="19"/>
    <x v="811"/>
    <x v="0"/>
    <x v="474"/>
    <x v="4"/>
    <x v="0"/>
    <x v="0"/>
    <x v="22"/>
    <x v="3"/>
  </r>
  <r>
    <x v="86"/>
    <x v="37"/>
    <x v="68"/>
    <x v="1"/>
    <x v="523"/>
    <x v="4"/>
    <x v="0"/>
    <x v="4"/>
    <x v="221"/>
    <x v="12"/>
  </r>
  <r>
    <x v="86"/>
    <x v="23"/>
    <x v="9"/>
    <x v="3"/>
    <x v="285"/>
    <x v="4"/>
    <x v="0"/>
    <x v="4"/>
    <x v="221"/>
    <x v="6"/>
  </r>
  <r>
    <x v="87"/>
    <x v="12"/>
    <x v="474"/>
    <x v="0"/>
    <x v="17"/>
    <x v="4"/>
    <x v="0"/>
    <x v="0"/>
    <x v="32"/>
    <x v="5"/>
  </r>
  <r>
    <x v="87"/>
    <x v="1"/>
    <x v="76"/>
    <x v="3"/>
    <x v="431"/>
    <x v="4"/>
    <x v="0"/>
    <x v="2"/>
    <x v="19"/>
    <x v="4"/>
  </r>
  <r>
    <x v="87"/>
    <x v="20"/>
    <x v="1166"/>
    <x v="0"/>
    <x v="61"/>
    <x v="4"/>
    <x v="0"/>
    <x v="0"/>
    <x v="27"/>
    <x v="5"/>
  </r>
  <r>
    <x v="87"/>
    <x v="38"/>
    <x v="461"/>
    <x v="1"/>
    <x v="389"/>
    <x v="4"/>
    <x v="0"/>
    <x v="1"/>
    <x v="19"/>
    <x v="5"/>
  </r>
  <r>
    <x v="87"/>
    <x v="12"/>
    <x v="402"/>
    <x v="1"/>
    <x v="511"/>
    <x v="4"/>
    <x v="0"/>
    <x v="1"/>
    <x v="19"/>
    <x v="5"/>
  </r>
  <r>
    <x v="87"/>
    <x v="27"/>
    <x v="709"/>
    <x v="1"/>
    <x v="5"/>
    <x v="4"/>
    <x v="0"/>
    <x v="1"/>
    <x v="19"/>
    <x v="5"/>
  </r>
  <r>
    <x v="87"/>
    <x v="9"/>
    <x v="1221"/>
    <x v="0"/>
    <x v="229"/>
    <x v="4"/>
    <x v="0"/>
    <x v="0"/>
    <x v="26"/>
    <x v="5"/>
  </r>
  <r>
    <x v="87"/>
    <x v="19"/>
    <x v="811"/>
    <x v="0"/>
    <x v="474"/>
    <x v="4"/>
    <x v="0"/>
    <x v="0"/>
    <x v="22"/>
    <x v="3"/>
  </r>
  <r>
    <x v="87"/>
    <x v="38"/>
    <x v="212"/>
    <x v="0"/>
    <x v="500"/>
    <x v="4"/>
    <x v="0"/>
    <x v="0"/>
    <x v="42"/>
    <x v="5"/>
  </r>
  <r>
    <x v="87"/>
    <x v="32"/>
    <x v="1575"/>
    <x v="3"/>
    <x v="422"/>
    <x v="4"/>
    <x v="2"/>
    <x v="4"/>
    <x v="221"/>
    <x v="10"/>
  </r>
  <r>
    <x v="87"/>
    <x v="32"/>
    <x v="652"/>
    <x v="2"/>
    <x v="422"/>
    <x v="4"/>
    <x v="2"/>
    <x v="4"/>
    <x v="221"/>
    <x v="10"/>
  </r>
  <r>
    <x v="87"/>
    <x v="32"/>
    <x v="781"/>
    <x v="6"/>
    <x v="422"/>
    <x v="4"/>
    <x v="2"/>
    <x v="4"/>
    <x v="221"/>
    <x v="10"/>
  </r>
  <r>
    <x v="87"/>
    <x v="32"/>
    <x v="1947"/>
    <x v="7"/>
    <x v="422"/>
    <x v="4"/>
    <x v="2"/>
    <x v="4"/>
    <x v="221"/>
    <x v="10"/>
  </r>
  <r>
    <x v="87"/>
    <x v="32"/>
    <x v="444"/>
    <x v="8"/>
    <x v="422"/>
    <x v="4"/>
    <x v="2"/>
    <x v="4"/>
    <x v="221"/>
    <x v="10"/>
  </r>
  <r>
    <x v="87"/>
    <x v="32"/>
    <x v="694"/>
    <x v="5"/>
    <x v="533"/>
    <x v="4"/>
    <x v="2"/>
    <x v="4"/>
    <x v="221"/>
    <x v="10"/>
  </r>
  <r>
    <x v="87"/>
    <x v="37"/>
    <x v="60"/>
    <x v="1"/>
    <x v="523"/>
    <x v="4"/>
    <x v="0"/>
    <x v="1"/>
    <x v="19"/>
    <x v="12"/>
  </r>
  <r>
    <x v="87"/>
    <x v="36"/>
    <x v="45"/>
    <x v="1"/>
    <x v="375"/>
    <x v="4"/>
    <x v="0"/>
    <x v="1"/>
    <x v="19"/>
    <x v="5"/>
  </r>
  <r>
    <x v="87"/>
    <x v="23"/>
    <x v="12"/>
    <x v="3"/>
    <x v="285"/>
    <x v="4"/>
    <x v="0"/>
    <x v="2"/>
    <x v="19"/>
    <x v="6"/>
  </r>
  <r>
    <x v="88"/>
    <x v="3"/>
    <x v="599"/>
    <x v="3"/>
    <x v="579"/>
    <x v="4"/>
    <x v="0"/>
    <x v="2"/>
    <x v="20"/>
    <x v="4"/>
  </r>
  <r>
    <x v="88"/>
    <x v="1"/>
    <x v="109"/>
    <x v="3"/>
    <x v="431"/>
    <x v="4"/>
    <x v="0"/>
    <x v="2"/>
    <x v="20"/>
    <x v="4"/>
  </r>
  <r>
    <x v="88"/>
    <x v="20"/>
    <x v="1507"/>
    <x v="0"/>
    <x v="61"/>
    <x v="4"/>
    <x v="0"/>
    <x v="0"/>
    <x v="27"/>
    <x v="5"/>
  </r>
  <r>
    <x v="88"/>
    <x v="9"/>
    <x v="1529"/>
    <x v="0"/>
    <x v="229"/>
    <x v="4"/>
    <x v="0"/>
    <x v="0"/>
    <x v="26"/>
    <x v="5"/>
  </r>
  <r>
    <x v="88"/>
    <x v="12"/>
    <x v="671"/>
    <x v="0"/>
    <x v="17"/>
    <x v="4"/>
    <x v="0"/>
    <x v="0"/>
    <x v="42"/>
    <x v="5"/>
  </r>
  <r>
    <x v="88"/>
    <x v="38"/>
    <x v="218"/>
    <x v="0"/>
    <x v="500"/>
    <x v="4"/>
    <x v="0"/>
    <x v="0"/>
    <x v="42"/>
    <x v="5"/>
  </r>
  <r>
    <x v="88"/>
    <x v="32"/>
    <x v="1251"/>
    <x v="3"/>
    <x v="422"/>
    <x v="4"/>
    <x v="2"/>
    <x v="4"/>
    <x v="221"/>
    <x v="10"/>
  </r>
  <r>
    <x v="88"/>
    <x v="32"/>
    <x v="180"/>
    <x v="2"/>
    <x v="422"/>
    <x v="4"/>
    <x v="2"/>
    <x v="4"/>
    <x v="221"/>
    <x v="10"/>
  </r>
  <r>
    <x v="88"/>
    <x v="32"/>
    <x v="508"/>
    <x v="6"/>
    <x v="422"/>
    <x v="4"/>
    <x v="2"/>
    <x v="4"/>
    <x v="221"/>
    <x v="10"/>
  </r>
  <r>
    <x v="88"/>
    <x v="32"/>
    <x v="1711"/>
    <x v="7"/>
    <x v="422"/>
    <x v="4"/>
    <x v="2"/>
    <x v="4"/>
    <x v="221"/>
    <x v="10"/>
  </r>
  <r>
    <x v="88"/>
    <x v="32"/>
    <x v="537"/>
    <x v="5"/>
    <x v="533"/>
    <x v="4"/>
    <x v="2"/>
    <x v="4"/>
    <x v="221"/>
    <x v="10"/>
  </r>
  <r>
    <x v="88"/>
    <x v="0"/>
    <x v="1694"/>
    <x v="1"/>
    <x v="528"/>
    <x v="4"/>
    <x v="0"/>
    <x v="1"/>
    <x v="20"/>
    <x v="9"/>
  </r>
  <r>
    <x v="88"/>
    <x v="37"/>
    <x v="63"/>
    <x v="1"/>
    <x v="523"/>
    <x v="4"/>
    <x v="0"/>
    <x v="1"/>
    <x v="20"/>
    <x v="12"/>
  </r>
  <r>
    <x v="89"/>
    <x v="20"/>
    <x v="919"/>
    <x v="0"/>
    <x v="61"/>
    <x v="4"/>
    <x v="0"/>
    <x v="0"/>
    <x v="27"/>
    <x v="5"/>
  </r>
  <r>
    <x v="89"/>
    <x v="9"/>
    <x v="1169"/>
    <x v="0"/>
    <x v="229"/>
    <x v="4"/>
    <x v="0"/>
    <x v="0"/>
    <x v="26"/>
    <x v="5"/>
  </r>
  <r>
    <x v="89"/>
    <x v="1"/>
    <x v="76"/>
    <x v="3"/>
    <x v="431"/>
    <x v="4"/>
    <x v="0"/>
    <x v="2"/>
    <x v="21"/>
    <x v="4"/>
  </r>
  <r>
    <x v="89"/>
    <x v="12"/>
    <x v="446"/>
    <x v="0"/>
    <x v="17"/>
    <x v="4"/>
    <x v="0"/>
    <x v="0"/>
    <x v="42"/>
    <x v="5"/>
  </r>
  <r>
    <x v="89"/>
    <x v="19"/>
    <x v="811"/>
    <x v="0"/>
    <x v="474"/>
    <x v="4"/>
    <x v="0"/>
    <x v="0"/>
    <x v="31"/>
    <x v="3"/>
  </r>
  <r>
    <x v="89"/>
    <x v="32"/>
    <x v="1044"/>
    <x v="3"/>
    <x v="422"/>
    <x v="4"/>
    <x v="2"/>
    <x v="4"/>
    <x v="221"/>
    <x v="10"/>
  </r>
  <r>
    <x v="89"/>
    <x v="32"/>
    <x v="548"/>
    <x v="2"/>
    <x v="422"/>
    <x v="4"/>
    <x v="2"/>
    <x v="4"/>
    <x v="221"/>
    <x v="10"/>
  </r>
  <r>
    <x v="89"/>
    <x v="32"/>
    <x v="512"/>
    <x v="6"/>
    <x v="422"/>
    <x v="4"/>
    <x v="2"/>
    <x v="4"/>
    <x v="221"/>
    <x v="10"/>
  </r>
  <r>
    <x v="89"/>
    <x v="32"/>
    <x v="1614"/>
    <x v="7"/>
    <x v="422"/>
    <x v="4"/>
    <x v="2"/>
    <x v="4"/>
    <x v="221"/>
    <x v="10"/>
  </r>
  <r>
    <x v="89"/>
    <x v="32"/>
    <x v="1362"/>
    <x v="5"/>
    <x v="533"/>
    <x v="4"/>
    <x v="2"/>
    <x v="4"/>
    <x v="221"/>
    <x v="10"/>
  </r>
  <r>
    <x v="89"/>
    <x v="23"/>
    <x v="26"/>
    <x v="3"/>
    <x v="285"/>
    <x v="4"/>
    <x v="0"/>
    <x v="2"/>
    <x v="21"/>
    <x v="6"/>
  </r>
  <r>
    <x v="89"/>
    <x v="37"/>
    <x v="65"/>
    <x v="1"/>
    <x v="524"/>
    <x v="4"/>
    <x v="0"/>
    <x v="1"/>
    <x v="21"/>
    <x v="12"/>
  </r>
  <r>
    <x v="89"/>
    <x v="38"/>
    <x v="19"/>
    <x v="3"/>
    <x v="444"/>
    <x v="4"/>
    <x v="0"/>
    <x v="1"/>
    <x v="21"/>
    <x v="5"/>
  </r>
  <r>
    <x v="89"/>
    <x v="38"/>
    <x v="215"/>
    <x v="0"/>
    <x v="500"/>
    <x v="4"/>
    <x v="0"/>
    <x v="0"/>
    <x v="42"/>
    <x v="5"/>
  </r>
  <r>
    <x v="90"/>
    <x v="38"/>
    <x v="78"/>
    <x v="0"/>
    <x v="500"/>
    <x v="4"/>
    <x v="0"/>
    <x v="0"/>
    <x v="42"/>
    <x v="5"/>
  </r>
  <r>
    <x v="90"/>
    <x v="12"/>
    <x v="330"/>
    <x v="0"/>
    <x v="17"/>
    <x v="4"/>
    <x v="0"/>
    <x v="0"/>
    <x v="42"/>
    <x v="5"/>
  </r>
  <r>
    <x v="90"/>
    <x v="9"/>
    <x v="575"/>
    <x v="0"/>
    <x v="229"/>
    <x v="4"/>
    <x v="0"/>
    <x v="0"/>
    <x v="26"/>
    <x v="5"/>
  </r>
  <r>
    <x v="90"/>
    <x v="8"/>
    <x v="449"/>
    <x v="0"/>
    <x v="241"/>
    <x v="4"/>
    <x v="0"/>
    <x v="0"/>
    <x v="39"/>
    <x v="5"/>
  </r>
  <r>
    <x v="90"/>
    <x v="20"/>
    <x v="150"/>
    <x v="0"/>
    <x v="61"/>
    <x v="4"/>
    <x v="0"/>
    <x v="0"/>
    <x v="27"/>
    <x v="5"/>
  </r>
  <r>
    <x v="90"/>
    <x v="1"/>
    <x v="158"/>
    <x v="3"/>
    <x v="431"/>
    <x v="4"/>
    <x v="0"/>
    <x v="2"/>
    <x v="22"/>
    <x v="4"/>
  </r>
  <r>
    <x v="90"/>
    <x v="0"/>
    <x v="518"/>
    <x v="1"/>
    <x v="279"/>
    <x v="4"/>
    <x v="0"/>
    <x v="1"/>
    <x v="22"/>
    <x v="9"/>
  </r>
  <r>
    <x v="90"/>
    <x v="3"/>
    <x v="857"/>
    <x v="1"/>
    <x v="153"/>
    <x v="4"/>
    <x v="0"/>
    <x v="1"/>
    <x v="22"/>
    <x v="4"/>
  </r>
  <r>
    <x v="90"/>
    <x v="38"/>
    <x v="19"/>
    <x v="3"/>
    <x v="444"/>
    <x v="4"/>
    <x v="0"/>
    <x v="2"/>
    <x v="22"/>
    <x v="5"/>
  </r>
  <r>
    <x v="90"/>
    <x v="0"/>
    <x v="268"/>
    <x v="0"/>
    <x v="268"/>
    <x v="4"/>
    <x v="0"/>
    <x v="0"/>
    <x v="22"/>
    <x v="9"/>
  </r>
  <r>
    <x v="90"/>
    <x v="28"/>
    <x v="201"/>
    <x v="1"/>
    <x v="175"/>
    <x v="4"/>
    <x v="0"/>
    <x v="1"/>
    <x v="22"/>
    <x v="0"/>
  </r>
  <r>
    <x v="90"/>
    <x v="31"/>
    <x v="420"/>
    <x v="1"/>
    <x v="372"/>
    <x v="4"/>
    <x v="0"/>
    <x v="1"/>
    <x v="22"/>
    <x v="8"/>
  </r>
  <r>
    <x v="90"/>
    <x v="37"/>
    <x v="80"/>
    <x v="1"/>
    <x v="523"/>
    <x v="4"/>
    <x v="0"/>
    <x v="1"/>
    <x v="22"/>
    <x v="12"/>
  </r>
  <r>
    <x v="90"/>
    <x v="32"/>
    <x v="1035"/>
    <x v="3"/>
    <x v="422"/>
    <x v="4"/>
    <x v="2"/>
    <x v="4"/>
    <x v="221"/>
    <x v="10"/>
  </r>
  <r>
    <x v="90"/>
    <x v="32"/>
    <x v="488"/>
    <x v="2"/>
    <x v="422"/>
    <x v="4"/>
    <x v="2"/>
    <x v="4"/>
    <x v="221"/>
    <x v="10"/>
  </r>
  <r>
    <x v="90"/>
    <x v="32"/>
    <x v="271"/>
    <x v="6"/>
    <x v="422"/>
    <x v="4"/>
    <x v="2"/>
    <x v="4"/>
    <x v="221"/>
    <x v="10"/>
  </r>
  <r>
    <x v="90"/>
    <x v="32"/>
    <x v="1730"/>
    <x v="7"/>
    <x v="422"/>
    <x v="4"/>
    <x v="2"/>
    <x v="4"/>
    <x v="221"/>
    <x v="10"/>
  </r>
  <r>
    <x v="90"/>
    <x v="32"/>
    <x v="595"/>
    <x v="5"/>
    <x v="533"/>
    <x v="4"/>
    <x v="2"/>
    <x v="4"/>
    <x v="221"/>
    <x v="10"/>
  </r>
  <r>
    <x v="90"/>
    <x v="23"/>
    <x v="5"/>
    <x v="3"/>
    <x v="285"/>
    <x v="4"/>
    <x v="0"/>
    <x v="2"/>
    <x v="22"/>
    <x v="6"/>
  </r>
  <r>
    <x v="91"/>
    <x v="12"/>
    <x v="220"/>
    <x v="0"/>
    <x v="17"/>
    <x v="4"/>
    <x v="0"/>
    <x v="0"/>
    <x v="42"/>
    <x v="5"/>
  </r>
  <r>
    <x v="91"/>
    <x v="9"/>
    <x v="928"/>
    <x v="0"/>
    <x v="229"/>
    <x v="4"/>
    <x v="0"/>
    <x v="0"/>
    <x v="26"/>
    <x v="5"/>
  </r>
  <r>
    <x v="91"/>
    <x v="20"/>
    <x v="477"/>
    <x v="0"/>
    <x v="61"/>
    <x v="4"/>
    <x v="0"/>
    <x v="0"/>
    <x v="27"/>
    <x v="5"/>
  </r>
  <r>
    <x v="91"/>
    <x v="27"/>
    <x v="709"/>
    <x v="1"/>
    <x v="5"/>
    <x v="4"/>
    <x v="0"/>
    <x v="1"/>
    <x v="23"/>
    <x v="5"/>
  </r>
  <r>
    <x v="91"/>
    <x v="1"/>
    <x v="48"/>
    <x v="3"/>
    <x v="431"/>
    <x v="4"/>
    <x v="0"/>
    <x v="2"/>
    <x v="23"/>
    <x v="4"/>
  </r>
  <r>
    <x v="91"/>
    <x v="38"/>
    <x v="96"/>
    <x v="0"/>
    <x v="500"/>
    <x v="4"/>
    <x v="0"/>
    <x v="0"/>
    <x v="42"/>
    <x v="5"/>
  </r>
  <r>
    <x v="91"/>
    <x v="32"/>
    <x v="688"/>
    <x v="3"/>
    <x v="422"/>
    <x v="4"/>
    <x v="2"/>
    <x v="4"/>
    <x v="221"/>
    <x v="10"/>
  </r>
  <r>
    <x v="91"/>
    <x v="32"/>
    <x v="90"/>
    <x v="2"/>
    <x v="422"/>
    <x v="4"/>
    <x v="2"/>
    <x v="4"/>
    <x v="221"/>
    <x v="10"/>
  </r>
  <r>
    <x v="91"/>
    <x v="32"/>
    <x v="1682"/>
    <x v="7"/>
    <x v="422"/>
    <x v="4"/>
    <x v="2"/>
    <x v="4"/>
    <x v="221"/>
    <x v="10"/>
  </r>
  <r>
    <x v="91"/>
    <x v="32"/>
    <x v="388"/>
    <x v="5"/>
    <x v="533"/>
    <x v="4"/>
    <x v="2"/>
    <x v="4"/>
    <x v="221"/>
    <x v="10"/>
  </r>
  <r>
    <x v="91"/>
    <x v="37"/>
    <x v="65"/>
    <x v="1"/>
    <x v="523"/>
    <x v="4"/>
    <x v="0"/>
    <x v="1"/>
    <x v="23"/>
    <x v="12"/>
  </r>
  <r>
    <x v="91"/>
    <x v="23"/>
    <x v="5"/>
    <x v="3"/>
    <x v="285"/>
    <x v="4"/>
    <x v="0"/>
    <x v="2"/>
    <x v="23"/>
    <x v="6"/>
  </r>
  <r>
    <x v="91"/>
    <x v="28"/>
    <x v="191"/>
    <x v="1"/>
    <x v="175"/>
    <x v="4"/>
    <x v="0"/>
    <x v="1"/>
    <x v="23"/>
    <x v="0"/>
  </r>
  <r>
    <x v="92"/>
    <x v="9"/>
    <x v="786"/>
    <x v="0"/>
    <x v="229"/>
    <x v="4"/>
    <x v="0"/>
    <x v="0"/>
    <x v="31"/>
    <x v="5"/>
  </r>
  <r>
    <x v="92"/>
    <x v="1"/>
    <x v="76"/>
    <x v="3"/>
    <x v="431"/>
    <x v="4"/>
    <x v="0"/>
    <x v="2"/>
    <x v="24"/>
    <x v="4"/>
  </r>
  <r>
    <x v="92"/>
    <x v="8"/>
    <x v="779"/>
    <x v="0"/>
    <x v="241"/>
    <x v="4"/>
    <x v="0"/>
    <x v="0"/>
    <x v="39"/>
    <x v="5"/>
  </r>
  <r>
    <x v="92"/>
    <x v="12"/>
    <x v="151"/>
    <x v="0"/>
    <x v="17"/>
    <x v="4"/>
    <x v="0"/>
    <x v="0"/>
    <x v="42"/>
    <x v="5"/>
  </r>
  <r>
    <x v="92"/>
    <x v="20"/>
    <x v="124"/>
    <x v="0"/>
    <x v="61"/>
    <x v="4"/>
    <x v="0"/>
    <x v="0"/>
    <x v="27"/>
    <x v="5"/>
  </r>
  <r>
    <x v="92"/>
    <x v="20"/>
    <x v="1420"/>
    <x v="0"/>
    <x v="98"/>
    <x v="4"/>
    <x v="0"/>
    <x v="0"/>
    <x v="24"/>
    <x v="5"/>
  </r>
  <r>
    <x v="92"/>
    <x v="12"/>
    <x v="329"/>
    <x v="1"/>
    <x v="398"/>
    <x v="4"/>
    <x v="0"/>
    <x v="1"/>
    <x v="24"/>
    <x v="5"/>
  </r>
  <r>
    <x v="92"/>
    <x v="38"/>
    <x v="187"/>
    <x v="0"/>
    <x v="500"/>
    <x v="4"/>
    <x v="0"/>
    <x v="0"/>
    <x v="42"/>
    <x v="5"/>
  </r>
  <r>
    <x v="92"/>
    <x v="15"/>
    <x v="360"/>
    <x v="3"/>
    <x v="353"/>
    <x v="4"/>
    <x v="0"/>
    <x v="2"/>
    <x v="24"/>
    <x v="4"/>
  </r>
  <r>
    <x v="92"/>
    <x v="32"/>
    <x v="1202"/>
    <x v="3"/>
    <x v="422"/>
    <x v="4"/>
    <x v="2"/>
    <x v="4"/>
    <x v="221"/>
    <x v="10"/>
  </r>
  <r>
    <x v="92"/>
    <x v="32"/>
    <x v="557"/>
    <x v="2"/>
    <x v="422"/>
    <x v="4"/>
    <x v="2"/>
    <x v="4"/>
    <x v="221"/>
    <x v="10"/>
  </r>
  <r>
    <x v="92"/>
    <x v="32"/>
    <x v="951"/>
    <x v="6"/>
    <x v="422"/>
    <x v="4"/>
    <x v="2"/>
    <x v="4"/>
    <x v="221"/>
    <x v="10"/>
  </r>
  <r>
    <x v="92"/>
    <x v="32"/>
    <x v="1920"/>
    <x v="7"/>
    <x v="422"/>
    <x v="4"/>
    <x v="2"/>
    <x v="4"/>
    <x v="221"/>
    <x v="10"/>
  </r>
  <r>
    <x v="92"/>
    <x v="32"/>
    <x v="1485"/>
    <x v="5"/>
    <x v="533"/>
    <x v="4"/>
    <x v="2"/>
    <x v="4"/>
    <x v="221"/>
    <x v="10"/>
  </r>
  <r>
    <x v="92"/>
    <x v="37"/>
    <x v="60"/>
    <x v="1"/>
    <x v="523"/>
    <x v="4"/>
    <x v="0"/>
    <x v="1"/>
    <x v="24"/>
    <x v="12"/>
  </r>
  <r>
    <x v="92"/>
    <x v="23"/>
    <x v="5"/>
    <x v="3"/>
    <x v="285"/>
    <x v="4"/>
    <x v="0"/>
    <x v="2"/>
    <x v="24"/>
    <x v="6"/>
  </r>
  <r>
    <x v="92"/>
    <x v="26"/>
    <x v="90"/>
    <x v="1"/>
    <x v="346"/>
    <x v="4"/>
    <x v="0"/>
    <x v="1"/>
    <x v="24"/>
    <x v="5"/>
  </r>
  <r>
    <x v="93"/>
    <x v="1"/>
    <x v="90"/>
    <x v="3"/>
    <x v="431"/>
    <x v="4"/>
    <x v="0"/>
    <x v="2"/>
    <x v="25"/>
    <x v="4"/>
  </r>
  <r>
    <x v="93"/>
    <x v="9"/>
    <x v="1573"/>
    <x v="0"/>
    <x v="229"/>
    <x v="4"/>
    <x v="0"/>
    <x v="0"/>
    <x v="31"/>
    <x v="5"/>
  </r>
  <r>
    <x v="93"/>
    <x v="20"/>
    <x v="1453"/>
    <x v="0"/>
    <x v="61"/>
    <x v="4"/>
    <x v="0"/>
    <x v="0"/>
    <x v="31"/>
    <x v="5"/>
  </r>
  <r>
    <x v="93"/>
    <x v="3"/>
    <x v="869"/>
    <x v="1"/>
    <x v="579"/>
    <x v="4"/>
    <x v="0"/>
    <x v="1"/>
    <x v="25"/>
    <x v="4"/>
  </r>
  <r>
    <x v="93"/>
    <x v="13"/>
    <x v="1361"/>
    <x v="0"/>
    <x v="32"/>
    <x v="4"/>
    <x v="0"/>
    <x v="0"/>
    <x v="46"/>
    <x v="5"/>
  </r>
  <r>
    <x v="93"/>
    <x v="19"/>
    <x v="811"/>
    <x v="0"/>
    <x v="474"/>
    <x v="4"/>
    <x v="0"/>
    <x v="0"/>
    <x v="31"/>
    <x v="3"/>
  </r>
  <r>
    <x v="93"/>
    <x v="38"/>
    <x v="300"/>
    <x v="0"/>
    <x v="500"/>
    <x v="4"/>
    <x v="0"/>
    <x v="0"/>
    <x v="42"/>
    <x v="5"/>
  </r>
  <r>
    <x v="93"/>
    <x v="12"/>
    <x v="824"/>
    <x v="0"/>
    <x v="17"/>
    <x v="4"/>
    <x v="0"/>
    <x v="0"/>
    <x v="42"/>
    <x v="5"/>
  </r>
  <r>
    <x v="93"/>
    <x v="12"/>
    <x v="38"/>
    <x v="1"/>
    <x v="106"/>
    <x v="4"/>
    <x v="0"/>
    <x v="1"/>
    <x v="25"/>
    <x v="5"/>
  </r>
  <r>
    <x v="93"/>
    <x v="32"/>
    <x v="1310"/>
    <x v="3"/>
    <x v="422"/>
    <x v="4"/>
    <x v="2"/>
    <x v="4"/>
    <x v="221"/>
    <x v="10"/>
  </r>
  <r>
    <x v="93"/>
    <x v="32"/>
    <x v="953"/>
    <x v="2"/>
    <x v="422"/>
    <x v="4"/>
    <x v="2"/>
    <x v="4"/>
    <x v="221"/>
    <x v="10"/>
  </r>
  <r>
    <x v="93"/>
    <x v="32"/>
    <x v="100"/>
    <x v="6"/>
    <x v="422"/>
    <x v="4"/>
    <x v="2"/>
    <x v="4"/>
    <x v="221"/>
    <x v="10"/>
  </r>
  <r>
    <x v="93"/>
    <x v="32"/>
    <x v="1873"/>
    <x v="7"/>
    <x v="422"/>
    <x v="4"/>
    <x v="2"/>
    <x v="4"/>
    <x v="221"/>
    <x v="10"/>
  </r>
  <r>
    <x v="93"/>
    <x v="32"/>
    <x v="511"/>
    <x v="5"/>
    <x v="533"/>
    <x v="4"/>
    <x v="2"/>
    <x v="4"/>
    <x v="221"/>
    <x v="10"/>
  </r>
  <r>
    <x v="93"/>
    <x v="37"/>
    <x v="72"/>
    <x v="1"/>
    <x v="523"/>
    <x v="4"/>
    <x v="0"/>
    <x v="1"/>
    <x v="25"/>
    <x v="12"/>
  </r>
  <r>
    <x v="93"/>
    <x v="31"/>
    <x v="318"/>
    <x v="1"/>
    <x v="373"/>
    <x v="4"/>
    <x v="0"/>
    <x v="1"/>
    <x v="25"/>
    <x v="8"/>
  </r>
  <r>
    <x v="94"/>
    <x v="9"/>
    <x v="1422"/>
    <x v="0"/>
    <x v="229"/>
    <x v="4"/>
    <x v="0"/>
    <x v="0"/>
    <x v="31"/>
    <x v="5"/>
  </r>
  <r>
    <x v="94"/>
    <x v="12"/>
    <x v="593"/>
    <x v="0"/>
    <x v="17"/>
    <x v="4"/>
    <x v="0"/>
    <x v="0"/>
    <x v="42"/>
    <x v="5"/>
  </r>
  <r>
    <x v="94"/>
    <x v="20"/>
    <x v="817"/>
    <x v="0"/>
    <x v="61"/>
    <x v="4"/>
    <x v="0"/>
    <x v="0"/>
    <x v="31"/>
    <x v="5"/>
  </r>
  <r>
    <x v="94"/>
    <x v="20"/>
    <x v="49"/>
    <x v="3"/>
    <x v="381"/>
    <x v="4"/>
    <x v="0"/>
    <x v="2"/>
    <x v="26"/>
    <x v="5"/>
  </r>
  <r>
    <x v="94"/>
    <x v="1"/>
    <x v="76"/>
    <x v="3"/>
    <x v="431"/>
    <x v="4"/>
    <x v="0"/>
    <x v="2"/>
    <x v="26"/>
    <x v="4"/>
  </r>
  <r>
    <x v="94"/>
    <x v="38"/>
    <x v="12"/>
    <x v="3"/>
    <x v="444"/>
    <x v="4"/>
    <x v="0"/>
    <x v="2"/>
    <x v="221"/>
    <x v="5"/>
  </r>
  <r>
    <x v="94"/>
    <x v="38"/>
    <x v="356"/>
    <x v="0"/>
    <x v="500"/>
    <x v="4"/>
    <x v="0"/>
    <x v="0"/>
    <x v="42"/>
    <x v="5"/>
  </r>
  <r>
    <x v="94"/>
    <x v="32"/>
    <x v="1254"/>
    <x v="3"/>
    <x v="422"/>
    <x v="4"/>
    <x v="2"/>
    <x v="4"/>
    <x v="221"/>
    <x v="10"/>
  </r>
  <r>
    <x v="94"/>
    <x v="32"/>
    <x v="749"/>
    <x v="2"/>
    <x v="422"/>
    <x v="4"/>
    <x v="2"/>
    <x v="4"/>
    <x v="221"/>
    <x v="10"/>
  </r>
  <r>
    <x v="94"/>
    <x v="32"/>
    <x v="283"/>
    <x v="6"/>
    <x v="422"/>
    <x v="4"/>
    <x v="2"/>
    <x v="4"/>
    <x v="221"/>
    <x v="10"/>
  </r>
  <r>
    <x v="94"/>
    <x v="32"/>
    <x v="1803"/>
    <x v="7"/>
    <x v="422"/>
    <x v="4"/>
    <x v="2"/>
    <x v="4"/>
    <x v="221"/>
    <x v="10"/>
  </r>
  <r>
    <x v="94"/>
    <x v="32"/>
    <x v="1520"/>
    <x v="5"/>
    <x v="533"/>
    <x v="4"/>
    <x v="2"/>
    <x v="4"/>
    <x v="221"/>
    <x v="10"/>
  </r>
  <r>
    <x v="94"/>
    <x v="19"/>
    <x v="811"/>
    <x v="0"/>
    <x v="474"/>
    <x v="4"/>
    <x v="0"/>
    <x v="0"/>
    <x v="31"/>
    <x v="3"/>
  </r>
  <r>
    <x v="94"/>
    <x v="12"/>
    <x v="287"/>
    <x v="1"/>
    <x v="510"/>
    <x v="4"/>
    <x v="0"/>
    <x v="1"/>
    <x v="26"/>
    <x v="5"/>
  </r>
  <r>
    <x v="94"/>
    <x v="37"/>
    <x v="65"/>
    <x v="1"/>
    <x v="523"/>
    <x v="4"/>
    <x v="0"/>
    <x v="1"/>
    <x v="26"/>
    <x v="12"/>
  </r>
  <r>
    <x v="95"/>
    <x v="9"/>
    <x v="1070"/>
    <x v="0"/>
    <x v="229"/>
    <x v="4"/>
    <x v="0"/>
    <x v="0"/>
    <x v="31"/>
    <x v="5"/>
  </r>
  <r>
    <x v="95"/>
    <x v="12"/>
    <x v="669"/>
    <x v="0"/>
    <x v="17"/>
    <x v="4"/>
    <x v="0"/>
    <x v="0"/>
    <x v="42"/>
    <x v="5"/>
  </r>
  <r>
    <x v="95"/>
    <x v="8"/>
    <x v="779"/>
    <x v="0"/>
    <x v="241"/>
    <x v="4"/>
    <x v="0"/>
    <x v="0"/>
    <x v="39"/>
    <x v="5"/>
  </r>
  <r>
    <x v="95"/>
    <x v="38"/>
    <x v="217"/>
    <x v="0"/>
    <x v="500"/>
    <x v="4"/>
    <x v="0"/>
    <x v="0"/>
    <x v="42"/>
    <x v="5"/>
  </r>
  <r>
    <x v="95"/>
    <x v="20"/>
    <x v="1511"/>
    <x v="0"/>
    <x v="61"/>
    <x v="4"/>
    <x v="0"/>
    <x v="0"/>
    <x v="31"/>
    <x v="5"/>
  </r>
  <r>
    <x v="95"/>
    <x v="1"/>
    <x v="48"/>
    <x v="3"/>
    <x v="431"/>
    <x v="4"/>
    <x v="0"/>
    <x v="2"/>
    <x v="27"/>
    <x v="4"/>
  </r>
  <r>
    <x v="95"/>
    <x v="38"/>
    <x v="444"/>
    <x v="1"/>
    <x v="390"/>
    <x v="4"/>
    <x v="0"/>
    <x v="1"/>
    <x v="27"/>
    <x v="5"/>
  </r>
  <r>
    <x v="95"/>
    <x v="19"/>
    <x v="811"/>
    <x v="0"/>
    <x v="474"/>
    <x v="4"/>
    <x v="0"/>
    <x v="0"/>
    <x v="31"/>
    <x v="3"/>
  </r>
  <r>
    <x v="95"/>
    <x v="32"/>
    <x v="1522"/>
    <x v="3"/>
    <x v="422"/>
    <x v="4"/>
    <x v="2"/>
    <x v="4"/>
    <x v="221"/>
    <x v="10"/>
  </r>
  <r>
    <x v="95"/>
    <x v="32"/>
    <x v="158"/>
    <x v="6"/>
    <x v="422"/>
    <x v="4"/>
    <x v="2"/>
    <x v="4"/>
    <x v="221"/>
    <x v="10"/>
  </r>
  <r>
    <x v="95"/>
    <x v="32"/>
    <x v="1780"/>
    <x v="7"/>
    <x v="422"/>
    <x v="4"/>
    <x v="2"/>
    <x v="4"/>
    <x v="221"/>
    <x v="10"/>
  </r>
  <r>
    <x v="95"/>
    <x v="32"/>
    <x v="712"/>
    <x v="5"/>
    <x v="533"/>
    <x v="4"/>
    <x v="2"/>
    <x v="4"/>
    <x v="221"/>
    <x v="10"/>
  </r>
  <r>
    <x v="95"/>
    <x v="23"/>
    <x v="9"/>
    <x v="3"/>
    <x v="285"/>
    <x v="4"/>
    <x v="0"/>
    <x v="2"/>
    <x v="27"/>
    <x v="6"/>
  </r>
  <r>
    <x v="95"/>
    <x v="37"/>
    <x v="53"/>
    <x v="1"/>
    <x v="523"/>
    <x v="4"/>
    <x v="0"/>
    <x v="1"/>
    <x v="27"/>
    <x v="12"/>
  </r>
  <r>
    <x v="96"/>
    <x v="12"/>
    <x v="415"/>
    <x v="0"/>
    <x v="17"/>
    <x v="4"/>
    <x v="0"/>
    <x v="0"/>
    <x v="42"/>
    <x v="5"/>
  </r>
  <r>
    <x v="96"/>
    <x v="20"/>
    <x v="720"/>
    <x v="0"/>
    <x v="61"/>
    <x v="4"/>
    <x v="0"/>
    <x v="0"/>
    <x v="31"/>
    <x v="5"/>
  </r>
  <r>
    <x v="96"/>
    <x v="20"/>
    <x v="271"/>
    <x v="1"/>
    <x v="253"/>
    <x v="4"/>
    <x v="0"/>
    <x v="1"/>
    <x v="28"/>
    <x v="5"/>
  </r>
  <r>
    <x v="96"/>
    <x v="38"/>
    <x v="144"/>
    <x v="0"/>
    <x v="500"/>
    <x v="4"/>
    <x v="0"/>
    <x v="0"/>
    <x v="42"/>
    <x v="5"/>
  </r>
  <r>
    <x v="96"/>
    <x v="9"/>
    <x v="1197"/>
    <x v="0"/>
    <x v="229"/>
    <x v="4"/>
    <x v="0"/>
    <x v="0"/>
    <x v="31"/>
    <x v="5"/>
  </r>
  <r>
    <x v="96"/>
    <x v="1"/>
    <x v="60"/>
    <x v="3"/>
    <x v="431"/>
    <x v="4"/>
    <x v="0"/>
    <x v="2"/>
    <x v="28"/>
    <x v="4"/>
  </r>
  <r>
    <x v="96"/>
    <x v="12"/>
    <x v="158"/>
    <x v="1"/>
    <x v="406"/>
    <x v="4"/>
    <x v="0"/>
    <x v="1"/>
    <x v="28"/>
    <x v="5"/>
  </r>
  <r>
    <x v="96"/>
    <x v="32"/>
    <x v="1478"/>
    <x v="3"/>
    <x v="422"/>
    <x v="4"/>
    <x v="2"/>
    <x v="4"/>
    <x v="221"/>
    <x v="10"/>
  </r>
  <r>
    <x v="96"/>
    <x v="32"/>
    <x v="68"/>
    <x v="2"/>
    <x v="422"/>
    <x v="4"/>
    <x v="2"/>
    <x v="4"/>
    <x v="221"/>
    <x v="10"/>
  </r>
  <r>
    <x v="96"/>
    <x v="32"/>
    <x v="65"/>
    <x v="6"/>
    <x v="422"/>
    <x v="4"/>
    <x v="2"/>
    <x v="4"/>
    <x v="221"/>
    <x v="10"/>
  </r>
  <r>
    <x v="96"/>
    <x v="32"/>
    <x v="1743"/>
    <x v="7"/>
    <x v="422"/>
    <x v="4"/>
    <x v="2"/>
    <x v="4"/>
    <x v="221"/>
    <x v="10"/>
  </r>
  <r>
    <x v="96"/>
    <x v="32"/>
    <x v="621"/>
    <x v="8"/>
    <x v="422"/>
    <x v="4"/>
    <x v="2"/>
    <x v="4"/>
    <x v="221"/>
    <x v="10"/>
  </r>
  <r>
    <x v="96"/>
    <x v="32"/>
    <x v="665"/>
    <x v="5"/>
    <x v="533"/>
    <x v="4"/>
    <x v="2"/>
    <x v="4"/>
    <x v="221"/>
    <x v="10"/>
  </r>
  <r>
    <x v="96"/>
    <x v="23"/>
    <x v="18"/>
    <x v="3"/>
    <x v="285"/>
    <x v="4"/>
    <x v="0"/>
    <x v="2"/>
    <x v="28"/>
    <x v="6"/>
  </r>
  <r>
    <x v="96"/>
    <x v="37"/>
    <x v="58"/>
    <x v="1"/>
    <x v="523"/>
    <x v="4"/>
    <x v="0"/>
    <x v="2"/>
    <x v="28"/>
    <x v="12"/>
  </r>
  <r>
    <x v="96"/>
    <x v="38"/>
    <x v="5"/>
    <x v="3"/>
    <x v="444"/>
    <x v="4"/>
    <x v="0"/>
    <x v="2"/>
    <x v="28"/>
    <x v="5"/>
  </r>
  <r>
    <x v="97"/>
    <x v="20"/>
    <x v="383"/>
    <x v="0"/>
    <x v="61"/>
    <x v="4"/>
    <x v="0"/>
    <x v="0"/>
    <x v="34"/>
    <x v="5"/>
  </r>
  <r>
    <x v="97"/>
    <x v="8"/>
    <x v="449"/>
    <x v="0"/>
    <x v="241"/>
    <x v="4"/>
    <x v="0"/>
    <x v="0"/>
    <x v="39"/>
    <x v="5"/>
  </r>
  <r>
    <x v="97"/>
    <x v="9"/>
    <x v="1255"/>
    <x v="0"/>
    <x v="229"/>
    <x v="4"/>
    <x v="0"/>
    <x v="0"/>
    <x v="34"/>
    <x v="5"/>
  </r>
  <r>
    <x v="97"/>
    <x v="3"/>
    <x v="506"/>
    <x v="1"/>
    <x v="153"/>
    <x v="4"/>
    <x v="0"/>
    <x v="1"/>
    <x v="29"/>
    <x v="4"/>
  </r>
  <r>
    <x v="97"/>
    <x v="1"/>
    <x v="141"/>
    <x v="3"/>
    <x v="431"/>
    <x v="4"/>
    <x v="0"/>
    <x v="2"/>
    <x v="29"/>
    <x v="4"/>
  </r>
  <r>
    <x v="97"/>
    <x v="38"/>
    <x v="205"/>
    <x v="0"/>
    <x v="500"/>
    <x v="4"/>
    <x v="0"/>
    <x v="0"/>
    <x v="42"/>
    <x v="5"/>
  </r>
  <r>
    <x v="97"/>
    <x v="19"/>
    <x v="811"/>
    <x v="0"/>
    <x v="474"/>
    <x v="4"/>
    <x v="0"/>
    <x v="0"/>
    <x v="31"/>
    <x v="3"/>
  </r>
  <r>
    <x v="97"/>
    <x v="32"/>
    <x v="1182"/>
    <x v="3"/>
    <x v="422"/>
    <x v="4"/>
    <x v="2"/>
    <x v="4"/>
    <x v="221"/>
    <x v="10"/>
  </r>
  <r>
    <x v="97"/>
    <x v="32"/>
    <x v="1833"/>
    <x v="7"/>
    <x v="422"/>
    <x v="4"/>
    <x v="2"/>
    <x v="4"/>
    <x v="221"/>
    <x v="10"/>
  </r>
  <r>
    <x v="97"/>
    <x v="32"/>
    <x v="431"/>
    <x v="8"/>
    <x v="422"/>
    <x v="4"/>
    <x v="2"/>
    <x v="4"/>
    <x v="221"/>
    <x v="10"/>
  </r>
  <r>
    <x v="97"/>
    <x v="32"/>
    <x v="1411"/>
    <x v="5"/>
    <x v="533"/>
    <x v="4"/>
    <x v="2"/>
    <x v="4"/>
    <x v="221"/>
    <x v="10"/>
  </r>
  <r>
    <x v="97"/>
    <x v="12"/>
    <x v="415"/>
    <x v="0"/>
    <x v="17"/>
    <x v="4"/>
    <x v="0"/>
    <x v="0"/>
    <x v="42"/>
    <x v="5"/>
  </r>
  <r>
    <x v="97"/>
    <x v="15"/>
    <x v="380"/>
    <x v="3"/>
    <x v="353"/>
    <x v="4"/>
    <x v="0"/>
    <x v="2"/>
    <x v="29"/>
    <x v="4"/>
  </r>
  <r>
    <x v="97"/>
    <x v="23"/>
    <x v="9"/>
    <x v="3"/>
    <x v="285"/>
    <x v="4"/>
    <x v="0"/>
    <x v="2"/>
    <x v="29"/>
    <x v="6"/>
  </r>
  <r>
    <x v="97"/>
    <x v="37"/>
    <x v="55"/>
    <x v="1"/>
    <x v="523"/>
    <x v="4"/>
    <x v="0"/>
    <x v="1"/>
    <x v="29"/>
    <x v="12"/>
  </r>
  <r>
    <x v="98"/>
    <x v="12"/>
    <x v="327"/>
    <x v="0"/>
    <x v="17"/>
    <x v="5"/>
    <x v="0"/>
    <x v="0"/>
    <x v="48"/>
    <x v="5"/>
  </r>
  <r>
    <x v="98"/>
    <x v="38"/>
    <x v="227"/>
    <x v="0"/>
    <x v="500"/>
    <x v="5"/>
    <x v="0"/>
    <x v="0"/>
    <x v="42"/>
    <x v="5"/>
  </r>
  <r>
    <x v="98"/>
    <x v="9"/>
    <x v="1214"/>
    <x v="0"/>
    <x v="229"/>
    <x v="5"/>
    <x v="0"/>
    <x v="0"/>
    <x v="34"/>
    <x v="5"/>
  </r>
  <r>
    <x v="98"/>
    <x v="20"/>
    <x v="1174"/>
    <x v="0"/>
    <x v="61"/>
    <x v="5"/>
    <x v="0"/>
    <x v="0"/>
    <x v="34"/>
    <x v="5"/>
  </r>
  <r>
    <x v="98"/>
    <x v="20"/>
    <x v="49"/>
    <x v="3"/>
    <x v="381"/>
    <x v="5"/>
    <x v="0"/>
    <x v="2"/>
    <x v="30"/>
    <x v="5"/>
  </r>
  <r>
    <x v="98"/>
    <x v="30"/>
    <x v="1662"/>
    <x v="1"/>
    <x v="437"/>
    <x v="5"/>
    <x v="0"/>
    <x v="1"/>
    <x v="30"/>
    <x v="3"/>
  </r>
  <r>
    <x v="98"/>
    <x v="12"/>
    <x v="19"/>
    <x v="1"/>
    <x v="331"/>
    <x v="5"/>
    <x v="0"/>
    <x v="1"/>
    <x v="30"/>
    <x v="5"/>
  </r>
  <r>
    <x v="98"/>
    <x v="18"/>
    <x v="719"/>
    <x v="1"/>
    <x v="215"/>
    <x v="5"/>
    <x v="0"/>
    <x v="1"/>
    <x v="30"/>
    <x v="3"/>
  </r>
  <r>
    <x v="98"/>
    <x v="28"/>
    <x v="138"/>
    <x v="1"/>
    <x v="371"/>
    <x v="5"/>
    <x v="0"/>
    <x v="1"/>
    <x v="30"/>
    <x v="0"/>
  </r>
  <r>
    <x v="98"/>
    <x v="28"/>
    <x v="547"/>
    <x v="1"/>
    <x v="493"/>
    <x v="5"/>
    <x v="0"/>
    <x v="1"/>
    <x v="30"/>
    <x v="0"/>
  </r>
  <r>
    <x v="98"/>
    <x v="32"/>
    <x v="1071"/>
    <x v="3"/>
    <x v="422"/>
    <x v="5"/>
    <x v="2"/>
    <x v="4"/>
    <x v="221"/>
    <x v="10"/>
  </r>
  <r>
    <x v="98"/>
    <x v="32"/>
    <x v="90"/>
    <x v="2"/>
    <x v="422"/>
    <x v="5"/>
    <x v="2"/>
    <x v="4"/>
    <x v="221"/>
    <x v="10"/>
  </r>
  <r>
    <x v="98"/>
    <x v="32"/>
    <x v="45"/>
    <x v="6"/>
    <x v="422"/>
    <x v="5"/>
    <x v="2"/>
    <x v="4"/>
    <x v="221"/>
    <x v="10"/>
  </r>
  <r>
    <x v="98"/>
    <x v="32"/>
    <x v="1934"/>
    <x v="7"/>
    <x v="422"/>
    <x v="5"/>
    <x v="2"/>
    <x v="4"/>
    <x v="221"/>
    <x v="10"/>
  </r>
  <r>
    <x v="98"/>
    <x v="32"/>
    <x v="1290"/>
    <x v="5"/>
    <x v="533"/>
    <x v="5"/>
    <x v="2"/>
    <x v="4"/>
    <x v="221"/>
    <x v="10"/>
  </r>
  <r>
    <x v="98"/>
    <x v="23"/>
    <x v="21"/>
    <x v="3"/>
    <x v="285"/>
    <x v="5"/>
    <x v="0"/>
    <x v="2"/>
    <x v="30"/>
    <x v="6"/>
  </r>
  <r>
    <x v="98"/>
    <x v="37"/>
    <x v="59"/>
    <x v="1"/>
    <x v="523"/>
    <x v="5"/>
    <x v="0"/>
    <x v="1"/>
    <x v="30"/>
    <x v="12"/>
  </r>
  <r>
    <x v="99"/>
    <x v="12"/>
    <x v="645"/>
    <x v="0"/>
    <x v="17"/>
    <x v="5"/>
    <x v="0"/>
    <x v="0"/>
    <x v="48"/>
    <x v="5"/>
  </r>
  <r>
    <x v="99"/>
    <x v="8"/>
    <x v="449"/>
    <x v="0"/>
    <x v="241"/>
    <x v="5"/>
    <x v="0"/>
    <x v="0"/>
    <x v="39"/>
    <x v="5"/>
  </r>
  <r>
    <x v="99"/>
    <x v="1"/>
    <x v="205"/>
    <x v="1"/>
    <x v="431"/>
    <x v="5"/>
    <x v="0"/>
    <x v="1"/>
    <x v="31"/>
    <x v="4"/>
  </r>
  <r>
    <x v="99"/>
    <x v="27"/>
    <x v="993"/>
    <x v="1"/>
    <x v="5"/>
    <x v="5"/>
    <x v="0"/>
    <x v="1"/>
    <x v="31"/>
    <x v="5"/>
  </r>
  <r>
    <x v="99"/>
    <x v="9"/>
    <x v="1495"/>
    <x v="0"/>
    <x v="229"/>
    <x v="5"/>
    <x v="0"/>
    <x v="0"/>
    <x v="34"/>
    <x v="5"/>
  </r>
  <r>
    <x v="99"/>
    <x v="3"/>
    <x v="599"/>
    <x v="1"/>
    <x v="579"/>
    <x v="5"/>
    <x v="0"/>
    <x v="1"/>
    <x v="30"/>
    <x v="4"/>
  </r>
  <r>
    <x v="99"/>
    <x v="21"/>
    <x v="530"/>
    <x v="0"/>
    <x v="163"/>
    <x v="5"/>
    <x v="0"/>
    <x v="0"/>
    <x v="31"/>
    <x v="3"/>
  </r>
  <r>
    <x v="99"/>
    <x v="0"/>
    <x v="1707"/>
    <x v="0"/>
    <x v="449"/>
    <x v="5"/>
    <x v="0"/>
    <x v="0"/>
    <x v="31"/>
    <x v="9"/>
  </r>
  <r>
    <x v="99"/>
    <x v="15"/>
    <x v="392"/>
    <x v="3"/>
    <x v="353"/>
    <x v="5"/>
    <x v="0"/>
    <x v="2"/>
    <x v="31"/>
    <x v="4"/>
  </r>
  <r>
    <x v="99"/>
    <x v="38"/>
    <x v="277"/>
    <x v="0"/>
    <x v="500"/>
    <x v="5"/>
    <x v="0"/>
    <x v="0"/>
    <x v="42"/>
    <x v="5"/>
  </r>
  <r>
    <x v="99"/>
    <x v="32"/>
    <x v="1335"/>
    <x v="3"/>
    <x v="422"/>
    <x v="5"/>
    <x v="2"/>
    <x v="4"/>
    <x v="221"/>
    <x v="10"/>
  </r>
  <r>
    <x v="99"/>
    <x v="32"/>
    <x v="366"/>
    <x v="2"/>
    <x v="422"/>
    <x v="5"/>
    <x v="2"/>
    <x v="4"/>
    <x v="221"/>
    <x v="10"/>
  </r>
  <r>
    <x v="99"/>
    <x v="32"/>
    <x v="1881"/>
    <x v="7"/>
    <x v="422"/>
    <x v="5"/>
    <x v="2"/>
    <x v="4"/>
    <x v="221"/>
    <x v="10"/>
  </r>
  <r>
    <x v="99"/>
    <x v="32"/>
    <x v="709"/>
    <x v="5"/>
    <x v="533"/>
    <x v="5"/>
    <x v="2"/>
    <x v="4"/>
    <x v="221"/>
    <x v="10"/>
  </r>
  <r>
    <x v="99"/>
    <x v="37"/>
    <x v="68"/>
    <x v="1"/>
    <x v="546"/>
    <x v="5"/>
    <x v="0"/>
    <x v="1"/>
    <x v="31"/>
    <x v="12"/>
  </r>
  <r>
    <x v="99"/>
    <x v="23"/>
    <x v="5"/>
    <x v="3"/>
    <x v="285"/>
    <x v="5"/>
    <x v="0"/>
    <x v="2"/>
    <x v="31"/>
    <x v="6"/>
  </r>
  <r>
    <x v="100"/>
    <x v="9"/>
    <x v="1323"/>
    <x v="0"/>
    <x v="229"/>
    <x v="5"/>
    <x v="0"/>
    <x v="0"/>
    <x v="39"/>
    <x v="5"/>
  </r>
  <r>
    <x v="100"/>
    <x v="38"/>
    <x v="221"/>
    <x v="0"/>
    <x v="500"/>
    <x v="5"/>
    <x v="0"/>
    <x v="0"/>
    <x v="42"/>
    <x v="5"/>
  </r>
  <r>
    <x v="100"/>
    <x v="12"/>
    <x v="431"/>
    <x v="0"/>
    <x v="17"/>
    <x v="5"/>
    <x v="0"/>
    <x v="0"/>
    <x v="48"/>
    <x v="5"/>
  </r>
  <r>
    <x v="100"/>
    <x v="20"/>
    <x v="1008"/>
    <x v="0"/>
    <x v="61"/>
    <x v="5"/>
    <x v="0"/>
    <x v="0"/>
    <x v="34"/>
    <x v="5"/>
  </r>
  <r>
    <x v="100"/>
    <x v="1"/>
    <x v="90"/>
    <x v="3"/>
    <x v="431"/>
    <x v="5"/>
    <x v="0"/>
    <x v="2"/>
    <x v="32"/>
    <x v="4"/>
  </r>
  <r>
    <x v="100"/>
    <x v="3"/>
    <x v="964"/>
    <x v="1"/>
    <x v="153"/>
    <x v="5"/>
    <x v="0"/>
    <x v="1"/>
    <x v="32"/>
    <x v="4"/>
  </r>
  <r>
    <x v="100"/>
    <x v="38"/>
    <x v="25"/>
    <x v="1"/>
    <x v="233"/>
    <x v="5"/>
    <x v="0"/>
    <x v="1"/>
    <x v="32"/>
    <x v="5"/>
  </r>
  <r>
    <x v="100"/>
    <x v="32"/>
    <x v="982"/>
    <x v="3"/>
    <x v="422"/>
    <x v="5"/>
    <x v="2"/>
    <x v="4"/>
    <x v="221"/>
    <x v="10"/>
  </r>
  <r>
    <x v="100"/>
    <x v="32"/>
    <x v="704"/>
    <x v="2"/>
    <x v="422"/>
    <x v="5"/>
    <x v="2"/>
    <x v="4"/>
    <x v="221"/>
    <x v="10"/>
  </r>
  <r>
    <x v="100"/>
    <x v="32"/>
    <x v="645"/>
    <x v="6"/>
    <x v="422"/>
    <x v="5"/>
    <x v="2"/>
    <x v="4"/>
    <x v="221"/>
    <x v="10"/>
  </r>
  <r>
    <x v="100"/>
    <x v="32"/>
    <x v="1959"/>
    <x v="7"/>
    <x v="422"/>
    <x v="5"/>
    <x v="2"/>
    <x v="4"/>
    <x v="221"/>
    <x v="10"/>
  </r>
  <r>
    <x v="100"/>
    <x v="32"/>
    <x v="1092"/>
    <x v="5"/>
    <x v="533"/>
    <x v="5"/>
    <x v="2"/>
    <x v="4"/>
    <x v="221"/>
    <x v="10"/>
  </r>
  <r>
    <x v="100"/>
    <x v="37"/>
    <x v="69"/>
    <x v="1"/>
    <x v="523"/>
    <x v="5"/>
    <x v="0"/>
    <x v="1"/>
    <x v="32"/>
    <x v="12"/>
  </r>
  <r>
    <x v="100"/>
    <x v="24"/>
    <x v="25"/>
    <x v="1"/>
    <x v="246"/>
    <x v="5"/>
    <x v="0"/>
    <x v="1"/>
    <x v="32"/>
    <x v="6"/>
  </r>
  <r>
    <x v="100"/>
    <x v="19"/>
    <x v="1263"/>
    <x v="0"/>
    <x v="474"/>
    <x v="5"/>
    <x v="0"/>
    <x v="0"/>
    <x v="51"/>
    <x v="3"/>
  </r>
  <r>
    <x v="101"/>
    <x v="1"/>
    <x v="109"/>
    <x v="3"/>
    <x v="431"/>
    <x v="5"/>
    <x v="0"/>
    <x v="2"/>
    <x v="33"/>
    <x v="4"/>
  </r>
  <r>
    <x v="101"/>
    <x v="12"/>
    <x v="745"/>
    <x v="0"/>
    <x v="17"/>
    <x v="5"/>
    <x v="0"/>
    <x v="0"/>
    <x v="48"/>
    <x v="5"/>
  </r>
  <r>
    <x v="101"/>
    <x v="9"/>
    <x v="1621"/>
    <x v="0"/>
    <x v="229"/>
    <x v="5"/>
    <x v="0"/>
    <x v="0"/>
    <x v="39"/>
    <x v="5"/>
  </r>
  <r>
    <x v="101"/>
    <x v="20"/>
    <x v="49"/>
    <x v="3"/>
    <x v="381"/>
    <x v="5"/>
    <x v="0"/>
    <x v="2"/>
    <x v="33"/>
    <x v="5"/>
  </r>
  <r>
    <x v="101"/>
    <x v="12"/>
    <x v="287"/>
    <x v="1"/>
    <x v="510"/>
    <x v="5"/>
    <x v="0"/>
    <x v="1"/>
    <x v="33"/>
    <x v="5"/>
  </r>
  <r>
    <x v="101"/>
    <x v="38"/>
    <x v="299"/>
    <x v="1"/>
    <x v="389"/>
    <x v="5"/>
    <x v="0"/>
    <x v="1"/>
    <x v="33"/>
    <x v="5"/>
  </r>
  <r>
    <x v="101"/>
    <x v="20"/>
    <x v="56"/>
    <x v="0"/>
    <x v="61"/>
    <x v="5"/>
    <x v="0"/>
    <x v="0"/>
    <x v="41"/>
    <x v="5"/>
  </r>
  <r>
    <x v="101"/>
    <x v="30"/>
    <x v="869"/>
    <x v="1"/>
    <x v="437"/>
    <x v="5"/>
    <x v="0"/>
    <x v="1"/>
    <x v="33"/>
    <x v="3"/>
  </r>
  <r>
    <x v="101"/>
    <x v="38"/>
    <x v="378"/>
    <x v="0"/>
    <x v="500"/>
    <x v="5"/>
    <x v="0"/>
    <x v="0"/>
    <x v="42"/>
    <x v="5"/>
  </r>
  <r>
    <x v="101"/>
    <x v="15"/>
    <x v="234"/>
    <x v="3"/>
    <x v="353"/>
    <x v="5"/>
    <x v="0"/>
    <x v="2"/>
    <x v="33"/>
    <x v="4"/>
  </r>
  <r>
    <x v="101"/>
    <x v="32"/>
    <x v="1447"/>
    <x v="3"/>
    <x v="422"/>
    <x v="5"/>
    <x v="2"/>
    <x v="4"/>
    <x v="221"/>
    <x v="10"/>
  </r>
  <r>
    <x v="101"/>
    <x v="32"/>
    <x v="1020"/>
    <x v="6"/>
    <x v="422"/>
    <x v="5"/>
    <x v="2"/>
    <x v="4"/>
    <x v="221"/>
    <x v="10"/>
  </r>
  <r>
    <x v="101"/>
    <x v="32"/>
    <x v="1914"/>
    <x v="7"/>
    <x v="422"/>
    <x v="5"/>
    <x v="2"/>
    <x v="4"/>
    <x v="221"/>
    <x v="10"/>
  </r>
  <r>
    <x v="101"/>
    <x v="32"/>
    <x v="1389"/>
    <x v="5"/>
    <x v="533"/>
    <x v="5"/>
    <x v="2"/>
    <x v="4"/>
    <x v="221"/>
    <x v="10"/>
  </r>
  <r>
    <x v="101"/>
    <x v="37"/>
    <x v="58"/>
    <x v="1"/>
    <x v="523"/>
    <x v="5"/>
    <x v="0"/>
    <x v="1"/>
    <x v="33"/>
    <x v="12"/>
  </r>
  <r>
    <x v="101"/>
    <x v="23"/>
    <x v="15"/>
    <x v="3"/>
    <x v="285"/>
    <x v="5"/>
    <x v="0"/>
    <x v="2"/>
    <x v="33"/>
    <x v="6"/>
  </r>
  <r>
    <x v="101"/>
    <x v="0"/>
    <x v="1483"/>
    <x v="0"/>
    <x v="266"/>
    <x v="5"/>
    <x v="0"/>
    <x v="3"/>
    <x v="33"/>
    <x v="9"/>
  </r>
  <r>
    <x v="101"/>
    <x v="0"/>
    <x v="518"/>
    <x v="1"/>
    <x v="266"/>
    <x v="5"/>
    <x v="0"/>
    <x v="1"/>
    <x v="33"/>
    <x v="9"/>
  </r>
  <r>
    <x v="102"/>
    <x v="9"/>
    <x v="1307"/>
    <x v="0"/>
    <x v="229"/>
    <x v="5"/>
    <x v="0"/>
    <x v="0"/>
    <x v="39"/>
    <x v="5"/>
  </r>
  <r>
    <x v="102"/>
    <x v="38"/>
    <x v="261"/>
    <x v="0"/>
    <x v="500"/>
    <x v="5"/>
    <x v="0"/>
    <x v="0"/>
    <x v="42"/>
    <x v="5"/>
  </r>
  <r>
    <x v="102"/>
    <x v="20"/>
    <x v="1625"/>
    <x v="0"/>
    <x v="61"/>
    <x v="5"/>
    <x v="0"/>
    <x v="0"/>
    <x v="41"/>
    <x v="5"/>
  </r>
  <r>
    <x v="102"/>
    <x v="12"/>
    <x v="508"/>
    <x v="0"/>
    <x v="17"/>
    <x v="5"/>
    <x v="0"/>
    <x v="0"/>
    <x v="48"/>
    <x v="5"/>
  </r>
  <r>
    <x v="102"/>
    <x v="8"/>
    <x v="779"/>
    <x v="0"/>
    <x v="241"/>
    <x v="5"/>
    <x v="0"/>
    <x v="0"/>
    <x v="39"/>
    <x v="5"/>
  </r>
  <r>
    <x v="102"/>
    <x v="1"/>
    <x v="109"/>
    <x v="3"/>
    <x v="431"/>
    <x v="5"/>
    <x v="0"/>
    <x v="2"/>
    <x v="34"/>
    <x v="4"/>
  </r>
  <r>
    <x v="102"/>
    <x v="39"/>
    <x v="925"/>
    <x v="0"/>
    <x v="578"/>
    <x v="5"/>
    <x v="0"/>
    <x v="0"/>
    <x v="34"/>
    <x v="5"/>
  </r>
  <r>
    <x v="102"/>
    <x v="17"/>
    <x v="1949"/>
    <x v="0"/>
    <x v="194"/>
    <x v="5"/>
    <x v="1"/>
    <x v="4"/>
    <x v="221"/>
    <x v="3"/>
  </r>
  <r>
    <x v="102"/>
    <x v="3"/>
    <x v="375"/>
    <x v="0"/>
    <x v="579"/>
    <x v="5"/>
    <x v="0"/>
    <x v="3"/>
    <x v="34"/>
    <x v="4"/>
  </r>
  <r>
    <x v="102"/>
    <x v="3"/>
    <x v="12"/>
    <x v="3"/>
    <x v="579"/>
    <x v="5"/>
    <x v="0"/>
    <x v="2"/>
    <x v="34"/>
    <x v="4"/>
  </r>
  <r>
    <x v="102"/>
    <x v="12"/>
    <x v="219"/>
    <x v="1"/>
    <x v="146"/>
    <x v="5"/>
    <x v="0"/>
    <x v="1"/>
    <x v="34"/>
    <x v="5"/>
  </r>
  <r>
    <x v="102"/>
    <x v="28"/>
    <x v="134"/>
    <x v="1"/>
    <x v="371"/>
    <x v="5"/>
    <x v="0"/>
    <x v="1"/>
    <x v="34"/>
    <x v="0"/>
  </r>
  <r>
    <x v="102"/>
    <x v="32"/>
    <x v="1126"/>
    <x v="3"/>
    <x v="422"/>
    <x v="5"/>
    <x v="2"/>
    <x v="4"/>
    <x v="221"/>
    <x v="10"/>
  </r>
  <r>
    <x v="102"/>
    <x v="32"/>
    <x v="440"/>
    <x v="2"/>
    <x v="422"/>
    <x v="5"/>
    <x v="2"/>
    <x v="4"/>
    <x v="221"/>
    <x v="10"/>
  </r>
  <r>
    <x v="102"/>
    <x v="32"/>
    <x v="454"/>
    <x v="6"/>
    <x v="422"/>
    <x v="5"/>
    <x v="2"/>
    <x v="4"/>
    <x v="221"/>
    <x v="10"/>
  </r>
  <r>
    <x v="102"/>
    <x v="32"/>
    <x v="1649"/>
    <x v="7"/>
    <x v="422"/>
    <x v="5"/>
    <x v="2"/>
    <x v="4"/>
    <x v="221"/>
    <x v="10"/>
  </r>
  <r>
    <x v="102"/>
    <x v="32"/>
    <x v="191"/>
    <x v="8"/>
    <x v="422"/>
    <x v="5"/>
    <x v="2"/>
    <x v="4"/>
    <x v="221"/>
    <x v="10"/>
  </r>
  <r>
    <x v="102"/>
    <x v="32"/>
    <x v="296"/>
    <x v="5"/>
    <x v="533"/>
    <x v="5"/>
    <x v="2"/>
    <x v="4"/>
    <x v="221"/>
    <x v="10"/>
  </r>
  <r>
    <x v="102"/>
    <x v="23"/>
    <x v="11"/>
    <x v="3"/>
    <x v="285"/>
    <x v="5"/>
    <x v="0"/>
    <x v="2"/>
    <x v="34"/>
    <x v="6"/>
  </r>
  <r>
    <x v="102"/>
    <x v="37"/>
    <x v="48"/>
    <x v="1"/>
    <x v="487"/>
    <x v="5"/>
    <x v="0"/>
    <x v="1"/>
    <x v="34"/>
    <x v="12"/>
  </r>
  <r>
    <x v="103"/>
    <x v="12"/>
    <x v="421"/>
    <x v="0"/>
    <x v="17"/>
    <x v="5"/>
    <x v="0"/>
    <x v="0"/>
    <x v="48"/>
    <x v="5"/>
  </r>
  <r>
    <x v="103"/>
    <x v="9"/>
    <x v="1082"/>
    <x v="0"/>
    <x v="229"/>
    <x v="5"/>
    <x v="0"/>
    <x v="0"/>
    <x v="42"/>
    <x v="5"/>
  </r>
  <r>
    <x v="103"/>
    <x v="38"/>
    <x v="131"/>
    <x v="0"/>
    <x v="500"/>
    <x v="5"/>
    <x v="0"/>
    <x v="0"/>
    <x v="42"/>
    <x v="5"/>
  </r>
  <r>
    <x v="103"/>
    <x v="1"/>
    <x v="60"/>
    <x v="3"/>
    <x v="431"/>
    <x v="5"/>
    <x v="0"/>
    <x v="2"/>
    <x v="35"/>
    <x v="4"/>
  </r>
  <r>
    <x v="103"/>
    <x v="0"/>
    <x v="1483"/>
    <x v="0"/>
    <x v="449"/>
    <x v="5"/>
    <x v="0"/>
    <x v="3"/>
    <x v="35"/>
    <x v="9"/>
  </r>
  <r>
    <x v="103"/>
    <x v="15"/>
    <x v="244"/>
    <x v="3"/>
    <x v="353"/>
    <x v="5"/>
    <x v="0"/>
    <x v="2"/>
    <x v="35"/>
    <x v="4"/>
  </r>
  <r>
    <x v="103"/>
    <x v="32"/>
    <x v="608"/>
    <x v="3"/>
    <x v="422"/>
    <x v="5"/>
    <x v="2"/>
    <x v="4"/>
    <x v="221"/>
    <x v="10"/>
  </r>
  <r>
    <x v="103"/>
    <x v="32"/>
    <x v="244"/>
    <x v="2"/>
    <x v="422"/>
    <x v="5"/>
    <x v="2"/>
    <x v="4"/>
    <x v="221"/>
    <x v="10"/>
  </r>
  <r>
    <x v="103"/>
    <x v="32"/>
    <x v="819"/>
    <x v="6"/>
    <x v="422"/>
    <x v="5"/>
    <x v="2"/>
    <x v="4"/>
    <x v="221"/>
    <x v="10"/>
  </r>
  <r>
    <x v="103"/>
    <x v="32"/>
    <x v="1770"/>
    <x v="7"/>
    <x v="422"/>
    <x v="5"/>
    <x v="2"/>
    <x v="4"/>
    <x v="221"/>
    <x v="10"/>
  </r>
  <r>
    <x v="103"/>
    <x v="32"/>
    <x v="280"/>
    <x v="8"/>
    <x v="422"/>
    <x v="5"/>
    <x v="2"/>
    <x v="4"/>
    <x v="221"/>
    <x v="10"/>
  </r>
  <r>
    <x v="103"/>
    <x v="32"/>
    <x v="961"/>
    <x v="5"/>
    <x v="533"/>
    <x v="5"/>
    <x v="2"/>
    <x v="4"/>
    <x v="221"/>
    <x v="10"/>
  </r>
  <r>
    <x v="103"/>
    <x v="37"/>
    <x v="65"/>
    <x v="1"/>
    <x v="523"/>
    <x v="5"/>
    <x v="0"/>
    <x v="1"/>
    <x v="35"/>
    <x v="12"/>
  </r>
  <r>
    <x v="103"/>
    <x v="24"/>
    <x v="475"/>
    <x v="1"/>
    <x v="82"/>
    <x v="5"/>
    <x v="0"/>
    <x v="1"/>
    <x v="35"/>
    <x v="6"/>
  </r>
  <r>
    <x v="103"/>
    <x v="23"/>
    <x v="1"/>
    <x v="3"/>
    <x v="285"/>
    <x v="5"/>
    <x v="0"/>
    <x v="2"/>
    <x v="35"/>
    <x v="6"/>
  </r>
  <r>
    <x v="103"/>
    <x v="0"/>
    <x v="1483"/>
    <x v="1"/>
    <x v="298"/>
    <x v="5"/>
    <x v="0"/>
    <x v="1"/>
    <x v="35"/>
    <x v="9"/>
  </r>
  <r>
    <x v="104"/>
    <x v="38"/>
    <x v="316"/>
    <x v="0"/>
    <x v="500"/>
    <x v="5"/>
    <x v="0"/>
    <x v="0"/>
    <x v="42"/>
    <x v="5"/>
  </r>
  <r>
    <x v="104"/>
    <x v="12"/>
    <x v="410"/>
    <x v="0"/>
    <x v="17"/>
    <x v="5"/>
    <x v="0"/>
    <x v="0"/>
    <x v="48"/>
    <x v="5"/>
  </r>
  <r>
    <x v="104"/>
    <x v="3"/>
    <x v="90"/>
    <x v="3"/>
    <x v="431"/>
    <x v="5"/>
    <x v="0"/>
    <x v="4"/>
    <x v="221"/>
    <x v="4"/>
  </r>
  <r>
    <x v="104"/>
    <x v="13"/>
    <x v="1470"/>
    <x v="0"/>
    <x v="32"/>
    <x v="5"/>
    <x v="0"/>
    <x v="0"/>
    <x v="56"/>
    <x v="5"/>
  </r>
  <r>
    <x v="104"/>
    <x v="8"/>
    <x v="779"/>
    <x v="0"/>
    <x v="241"/>
    <x v="5"/>
    <x v="0"/>
    <x v="0"/>
    <x v="39"/>
    <x v="5"/>
  </r>
  <r>
    <x v="104"/>
    <x v="20"/>
    <x v="1129"/>
    <x v="0"/>
    <x v="61"/>
    <x v="5"/>
    <x v="0"/>
    <x v="0"/>
    <x v="41"/>
    <x v="5"/>
  </r>
  <r>
    <x v="104"/>
    <x v="9"/>
    <x v="1130"/>
    <x v="0"/>
    <x v="229"/>
    <x v="5"/>
    <x v="0"/>
    <x v="0"/>
    <x v="42"/>
    <x v="5"/>
  </r>
  <r>
    <x v="104"/>
    <x v="19"/>
    <x v="803"/>
    <x v="0"/>
    <x v="474"/>
    <x v="5"/>
    <x v="0"/>
    <x v="0"/>
    <x v="51"/>
    <x v="3"/>
  </r>
  <r>
    <x v="104"/>
    <x v="32"/>
    <x v="1560"/>
    <x v="3"/>
    <x v="422"/>
    <x v="5"/>
    <x v="2"/>
    <x v="4"/>
    <x v="221"/>
    <x v="10"/>
  </r>
  <r>
    <x v="104"/>
    <x v="32"/>
    <x v="30"/>
    <x v="6"/>
    <x v="422"/>
    <x v="5"/>
    <x v="2"/>
    <x v="4"/>
    <x v="221"/>
    <x v="10"/>
  </r>
  <r>
    <x v="104"/>
    <x v="32"/>
    <x v="1839"/>
    <x v="7"/>
    <x v="422"/>
    <x v="5"/>
    <x v="2"/>
    <x v="4"/>
    <x v="221"/>
    <x v="10"/>
  </r>
  <r>
    <x v="104"/>
    <x v="32"/>
    <x v="224"/>
    <x v="8"/>
    <x v="422"/>
    <x v="5"/>
    <x v="2"/>
    <x v="4"/>
    <x v="221"/>
    <x v="10"/>
  </r>
  <r>
    <x v="104"/>
    <x v="32"/>
    <x v="815"/>
    <x v="5"/>
    <x v="533"/>
    <x v="5"/>
    <x v="2"/>
    <x v="4"/>
    <x v="221"/>
    <x v="10"/>
  </r>
  <r>
    <x v="104"/>
    <x v="0"/>
    <x v="518"/>
    <x v="1"/>
    <x v="298"/>
    <x v="5"/>
    <x v="0"/>
    <x v="1"/>
    <x v="36"/>
    <x v="9"/>
  </r>
  <r>
    <x v="104"/>
    <x v="38"/>
    <x v="12"/>
    <x v="3"/>
    <x v="444"/>
    <x v="5"/>
    <x v="0"/>
    <x v="2"/>
    <x v="36"/>
    <x v="5"/>
  </r>
  <r>
    <x v="104"/>
    <x v="37"/>
    <x v="62"/>
    <x v="3"/>
    <x v="523"/>
    <x v="5"/>
    <x v="0"/>
    <x v="2"/>
    <x v="36"/>
    <x v="12"/>
  </r>
  <r>
    <x v="104"/>
    <x v="0"/>
    <x v="1483"/>
    <x v="0"/>
    <x v="566"/>
    <x v="5"/>
    <x v="0"/>
    <x v="0"/>
    <x v="36"/>
    <x v="9"/>
  </r>
  <r>
    <x v="105"/>
    <x v="9"/>
    <x v="1406"/>
    <x v="0"/>
    <x v="229"/>
    <x v="5"/>
    <x v="0"/>
    <x v="0"/>
    <x v="45"/>
    <x v="5"/>
  </r>
  <r>
    <x v="105"/>
    <x v="12"/>
    <x v="269"/>
    <x v="0"/>
    <x v="17"/>
    <x v="5"/>
    <x v="0"/>
    <x v="0"/>
    <x v="48"/>
    <x v="5"/>
  </r>
  <r>
    <x v="105"/>
    <x v="20"/>
    <x v="1042"/>
    <x v="0"/>
    <x v="61"/>
    <x v="5"/>
    <x v="0"/>
    <x v="0"/>
    <x v="41"/>
    <x v="5"/>
  </r>
  <r>
    <x v="105"/>
    <x v="27"/>
    <x v="925"/>
    <x v="1"/>
    <x v="5"/>
    <x v="5"/>
    <x v="0"/>
    <x v="1"/>
    <x v="37"/>
    <x v="5"/>
  </r>
  <r>
    <x v="105"/>
    <x v="38"/>
    <x v="201"/>
    <x v="0"/>
    <x v="500"/>
    <x v="5"/>
    <x v="0"/>
    <x v="0"/>
    <x v="42"/>
    <x v="5"/>
  </r>
  <r>
    <x v="105"/>
    <x v="19"/>
    <x v="803"/>
    <x v="0"/>
    <x v="474"/>
    <x v="5"/>
    <x v="0"/>
    <x v="0"/>
    <x v="51"/>
    <x v="3"/>
  </r>
  <r>
    <x v="105"/>
    <x v="37"/>
    <x v="62"/>
    <x v="1"/>
    <x v="523"/>
    <x v="5"/>
    <x v="0"/>
    <x v="1"/>
    <x v="37"/>
    <x v="12"/>
  </r>
  <r>
    <x v="105"/>
    <x v="32"/>
    <x v="426"/>
    <x v="3"/>
    <x v="422"/>
    <x v="5"/>
    <x v="2"/>
    <x v="4"/>
    <x v="221"/>
    <x v="10"/>
  </r>
  <r>
    <x v="105"/>
    <x v="32"/>
    <x v="1737"/>
    <x v="7"/>
    <x v="422"/>
    <x v="5"/>
    <x v="2"/>
    <x v="4"/>
    <x v="221"/>
    <x v="10"/>
  </r>
  <r>
    <x v="105"/>
    <x v="32"/>
    <x v="232"/>
    <x v="8"/>
    <x v="422"/>
    <x v="5"/>
    <x v="2"/>
    <x v="4"/>
    <x v="221"/>
    <x v="10"/>
  </r>
  <r>
    <x v="105"/>
    <x v="32"/>
    <x v="643"/>
    <x v="5"/>
    <x v="533"/>
    <x v="5"/>
    <x v="2"/>
    <x v="4"/>
    <x v="221"/>
    <x v="10"/>
  </r>
  <r>
    <x v="106"/>
    <x v="12"/>
    <x v="588"/>
    <x v="0"/>
    <x v="17"/>
    <x v="5"/>
    <x v="0"/>
    <x v="0"/>
    <x v="48"/>
    <x v="5"/>
  </r>
  <r>
    <x v="106"/>
    <x v="38"/>
    <x v="110"/>
    <x v="0"/>
    <x v="500"/>
    <x v="5"/>
    <x v="0"/>
    <x v="0"/>
    <x v="42"/>
    <x v="5"/>
  </r>
  <r>
    <x v="106"/>
    <x v="8"/>
    <x v="779"/>
    <x v="0"/>
    <x v="241"/>
    <x v="5"/>
    <x v="0"/>
    <x v="0"/>
    <x v="53"/>
    <x v="5"/>
  </r>
  <r>
    <x v="106"/>
    <x v="9"/>
    <x v="1057"/>
    <x v="0"/>
    <x v="229"/>
    <x v="5"/>
    <x v="0"/>
    <x v="0"/>
    <x v="45"/>
    <x v="5"/>
  </r>
  <r>
    <x v="106"/>
    <x v="24"/>
    <x v="53"/>
    <x v="1"/>
    <x v="118"/>
    <x v="5"/>
    <x v="0"/>
    <x v="1"/>
    <x v="38"/>
    <x v="6"/>
  </r>
  <r>
    <x v="106"/>
    <x v="32"/>
    <x v="1015"/>
    <x v="3"/>
    <x v="422"/>
    <x v="5"/>
    <x v="2"/>
    <x v="4"/>
    <x v="221"/>
    <x v="10"/>
  </r>
  <r>
    <x v="106"/>
    <x v="32"/>
    <x v="472"/>
    <x v="2"/>
    <x v="422"/>
    <x v="5"/>
    <x v="2"/>
    <x v="4"/>
    <x v="221"/>
    <x v="10"/>
  </r>
  <r>
    <x v="106"/>
    <x v="32"/>
    <x v="398"/>
    <x v="6"/>
    <x v="422"/>
    <x v="5"/>
    <x v="2"/>
    <x v="4"/>
    <x v="221"/>
    <x v="10"/>
  </r>
  <r>
    <x v="106"/>
    <x v="32"/>
    <x v="1796"/>
    <x v="7"/>
    <x v="422"/>
    <x v="5"/>
    <x v="2"/>
    <x v="4"/>
    <x v="221"/>
    <x v="10"/>
  </r>
  <r>
    <x v="106"/>
    <x v="32"/>
    <x v="1530"/>
    <x v="5"/>
    <x v="533"/>
    <x v="5"/>
    <x v="2"/>
    <x v="4"/>
    <x v="221"/>
    <x v="10"/>
  </r>
  <r>
    <x v="106"/>
    <x v="37"/>
    <x v="58"/>
    <x v="1"/>
    <x v="523"/>
    <x v="5"/>
    <x v="0"/>
    <x v="1"/>
    <x v="38"/>
    <x v="12"/>
  </r>
  <r>
    <x v="107"/>
    <x v="12"/>
    <x v="365"/>
    <x v="0"/>
    <x v="17"/>
    <x v="5"/>
    <x v="0"/>
    <x v="0"/>
    <x v="48"/>
    <x v="5"/>
  </r>
  <r>
    <x v="107"/>
    <x v="38"/>
    <x v="155"/>
    <x v="0"/>
    <x v="500"/>
    <x v="5"/>
    <x v="0"/>
    <x v="0"/>
    <x v="42"/>
    <x v="5"/>
  </r>
  <r>
    <x v="107"/>
    <x v="9"/>
    <x v="1028"/>
    <x v="0"/>
    <x v="229"/>
    <x v="5"/>
    <x v="0"/>
    <x v="0"/>
    <x v="45"/>
    <x v="5"/>
  </r>
  <r>
    <x v="107"/>
    <x v="20"/>
    <x v="49"/>
    <x v="3"/>
    <x v="381"/>
    <x v="5"/>
    <x v="0"/>
    <x v="2"/>
    <x v="39"/>
    <x v="5"/>
  </r>
  <r>
    <x v="107"/>
    <x v="3"/>
    <x v="308"/>
    <x v="3"/>
    <x v="153"/>
    <x v="5"/>
    <x v="0"/>
    <x v="2"/>
    <x v="39"/>
    <x v="4"/>
  </r>
  <r>
    <x v="107"/>
    <x v="19"/>
    <x v="803"/>
    <x v="0"/>
    <x v="474"/>
    <x v="5"/>
    <x v="0"/>
    <x v="0"/>
    <x v="51"/>
    <x v="3"/>
  </r>
  <r>
    <x v="107"/>
    <x v="3"/>
    <x v="431"/>
    <x v="3"/>
    <x v="579"/>
    <x v="5"/>
    <x v="0"/>
    <x v="1"/>
    <x v="39"/>
    <x v="4"/>
  </r>
  <r>
    <x v="107"/>
    <x v="38"/>
    <x v="30"/>
    <x v="1"/>
    <x v="401"/>
    <x v="5"/>
    <x v="0"/>
    <x v="1"/>
    <x v="39"/>
    <x v="5"/>
  </r>
  <r>
    <x v="107"/>
    <x v="27"/>
    <x v="575"/>
    <x v="1"/>
    <x v="5"/>
    <x v="5"/>
    <x v="0"/>
    <x v="1"/>
    <x v="39"/>
    <x v="5"/>
  </r>
  <r>
    <x v="107"/>
    <x v="26"/>
    <x v="90"/>
    <x v="1"/>
    <x v="344"/>
    <x v="5"/>
    <x v="0"/>
    <x v="1"/>
    <x v="39"/>
    <x v="5"/>
  </r>
  <r>
    <x v="107"/>
    <x v="32"/>
    <x v="1577"/>
    <x v="3"/>
    <x v="422"/>
    <x v="5"/>
    <x v="2"/>
    <x v="4"/>
    <x v="221"/>
    <x v="10"/>
  </r>
  <r>
    <x v="107"/>
    <x v="32"/>
    <x v="508"/>
    <x v="2"/>
    <x v="422"/>
    <x v="5"/>
    <x v="2"/>
    <x v="4"/>
    <x v="221"/>
    <x v="10"/>
  </r>
  <r>
    <x v="107"/>
    <x v="32"/>
    <x v="1289"/>
    <x v="6"/>
    <x v="422"/>
    <x v="5"/>
    <x v="2"/>
    <x v="4"/>
    <x v="221"/>
    <x v="10"/>
  </r>
  <r>
    <x v="107"/>
    <x v="32"/>
    <x v="1789"/>
    <x v="7"/>
    <x v="422"/>
    <x v="5"/>
    <x v="2"/>
    <x v="4"/>
    <x v="221"/>
    <x v="10"/>
  </r>
  <r>
    <x v="107"/>
    <x v="32"/>
    <x v="716"/>
    <x v="5"/>
    <x v="533"/>
    <x v="5"/>
    <x v="2"/>
    <x v="4"/>
    <x v="221"/>
    <x v="10"/>
  </r>
  <r>
    <x v="107"/>
    <x v="32"/>
    <x v="727"/>
    <x v="4"/>
    <x v="588"/>
    <x v="5"/>
    <x v="2"/>
    <x v="4"/>
    <x v="221"/>
    <x v="10"/>
  </r>
  <r>
    <x v="107"/>
    <x v="37"/>
    <x v="55"/>
    <x v="1"/>
    <x v="523"/>
    <x v="5"/>
    <x v="0"/>
    <x v="1"/>
    <x v="39"/>
    <x v="12"/>
  </r>
  <r>
    <x v="107"/>
    <x v="23"/>
    <x v="9"/>
    <x v="3"/>
    <x v="285"/>
    <x v="5"/>
    <x v="0"/>
    <x v="2"/>
    <x v="39"/>
    <x v="6"/>
  </r>
  <r>
    <x v="108"/>
    <x v="12"/>
    <x v="455"/>
    <x v="0"/>
    <x v="17"/>
    <x v="5"/>
    <x v="0"/>
    <x v="0"/>
    <x v="64"/>
    <x v="5"/>
  </r>
  <r>
    <x v="108"/>
    <x v="20"/>
    <x v="1532"/>
    <x v="0"/>
    <x v="61"/>
    <x v="5"/>
    <x v="0"/>
    <x v="0"/>
    <x v="46"/>
    <x v="5"/>
  </r>
  <r>
    <x v="108"/>
    <x v="38"/>
    <x v="245"/>
    <x v="0"/>
    <x v="500"/>
    <x v="5"/>
    <x v="0"/>
    <x v="0"/>
    <x v="42"/>
    <x v="5"/>
  </r>
  <r>
    <x v="108"/>
    <x v="9"/>
    <x v="1157"/>
    <x v="0"/>
    <x v="229"/>
    <x v="5"/>
    <x v="0"/>
    <x v="0"/>
    <x v="45"/>
    <x v="5"/>
  </r>
  <r>
    <x v="108"/>
    <x v="38"/>
    <x v="357"/>
    <x v="1"/>
    <x v="389"/>
    <x v="5"/>
    <x v="0"/>
    <x v="1"/>
    <x v="40"/>
    <x v="5"/>
  </r>
  <r>
    <x v="108"/>
    <x v="12"/>
    <x v="363"/>
    <x v="1"/>
    <x v="511"/>
    <x v="5"/>
    <x v="0"/>
    <x v="1"/>
    <x v="40"/>
    <x v="5"/>
  </r>
  <r>
    <x v="108"/>
    <x v="19"/>
    <x v="803"/>
    <x v="0"/>
    <x v="474"/>
    <x v="5"/>
    <x v="0"/>
    <x v="0"/>
    <x v="51"/>
    <x v="3"/>
  </r>
  <r>
    <x v="108"/>
    <x v="15"/>
    <x v="440"/>
    <x v="3"/>
    <x v="353"/>
    <x v="5"/>
    <x v="0"/>
    <x v="2"/>
    <x v="40"/>
    <x v="4"/>
  </r>
  <r>
    <x v="108"/>
    <x v="32"/>
    <x v="857"/>
    <x v="3"/>
    <x v="422"/>
    <x v="5"/>
    <x v="2"/>
    <x v="4"/>
    <x v="221"/>
    <x v="10"/>
  </r>
  <r>
    <x v="108"/>
    <x v="32"/>
    <x v="697"/>
    <x v="2"/>
    <x v="422"/>
    <x v="5"/>
    <x v="2"/>
    <x v="4"/>
    <x v="221"/>
    <x v="10"/>
  </r>
  <r>
    <x v="108"/>
    <x v="32"/>
    <x v="127"/>
    <x v="6"/>
    <x v="422"/>
    <x v="5"/>
    <x v="2"/>
    <x v="4"/>
    <x v="221"/>
    <x v="10"/>
  </r>
  <r>
    <x v="108"/>
    <x v="32"/>
    <x v="1887"/>
    <x v="7"/>
    <x v="422"/>
    <x v="5"/>
    <x v="2"/>
    <x v="4"/>
    <x v="221"/>
    <x v="10"/>
  </r>
  <r>
    <x v="108"/>
    <x v="32"/>
    <x v="918"/>
    <x v="5"/>
    <x v="533"/>
    <x v="5"/>
    <x v="2"/>
    <x v="4"/>
    <x v="221"/>
    <x v="10"/>
  </r>
  <r>
    <x v="108"/>
    <x v="37"/>
    <x v="65"/>
    <x v="1"/>
    <x v="523"/>
    <x v="5"/>
    <x v="0"/>
    <x v="1"/>
    <x v="40"/>
    <x v="12"/>
  </r>
  <r>
    <x v="108"/>
    <x v="23"/>
    <x v="15"/>
    <x v="3"/>
    <x v="285"/>
    <x v="5"/>
    <x v="0"/>
    <x v="1"/>
    <x v="40"/>
    <x v="6"/>
  </r>
  <r>
    <x v="109"/>
    <x v="12"/>
    <x v="420"/>
    <x v="0"/>
    <x v="17"/>
    <x v="5"/>
    <x v="0"/>
    <x v="0"/>
    <x v="64"/>
    <x v="5"/>
  </r>
  <r>
    <x v="109"/>
    <x v="8"/>
    <x v="779"/>
    <x v="0"/>
    <x v="241"/>
    <x v="5"/>
    <x v="0"/>
    <x v="0"/>
    <x v="53"/>
    <x v="5"/>
  </r>
  <r>
    <x v="109"/>
    <x v="20"/>
    <x v="1427"/>
    <x v="0"/>
    <x v="61"/>
    <x v="5"/>
    <x v="0"/>
    <x v="0"/>
    <x v="46"/>
    <x v="5"/>
  </r>
  <r>
    <x v="109"/>
    <x v="9"/>
    <x v="1283"/>
    <x v="0"/>
    <x v="229"/>
    <x v="5"/>
    <x v="0"/>
    <x v="0"/>
    <x v="46"/>
    <x v="5"/>
  </r>
  <r>
    <x v="109"/>
    <x v="20"/>
    <x v="65"/>
    <x v="1"/>
    <x v="416"/>
    <x v="5"/>
    <x v="0"/>
    <x v="1"/>
    <x v="41"/>
    <x v="5"/>
  </r>
  <r>
    <x v="109"/>
    <x v="27"/>
    <x v="925"/>
    <x v="1"/>
    <x v="5"/>
    <x v="5"/>
    <x v="0"/>
    <x v="1"/>
    <x v="41"/>
    <x v="5"/>
  </r>
  <r>
    <x v="109"/>
    <x v="36"/>
    <x v="58"/>
    <x v="1"/>
    <x v="375"/>
    <x v="5"/>
    <x v="0"/>
    <x v="1"/>
    <x v="41"/>
    <x v="5"/>
  </r>
  <r>
    <x v="109"/>
    <x v="38"/>
    <x v="342"/>
    <x v="0"/>
    <x v="500"/>
    <x v="5"/>
    <x v="0"/>
    <x v="0"/>
    <x v="61"/>
    <x v="5"/>
  </r>
  <r>
    <x v="109"/>
    <x v="32"/>
    <x v="1238"/>
    <x v="3"/>
    <x v="422"/>
    <x v="5"/>
    <x v="2"/>
    <x v="4"/>
    <x v="221"/>
    <x v="10"/>
  </r>
  <r>
    <x v="109"/>
    <x v="32"/>
    <x v="205"/>
    <x v="6"/>
    <x v="422"/>
    <x v="5"/>
    <x v="2"/>
    <x v="4"/>
    <x v="221"/>
    <x v="10"/>
  </r>
  <r>
    <x v="109"/>
    <x v="32"/>
    <x v="1684"/>
    <x v="7"/>
    <x v="422"/>
    <x v="5"/>
    <x v="2"/>
    <x v="4"/>
    <x v="221"/>
    <x v="10"/>
  </r>
  <r>
    <x v="109"/>
    <x v="32"/>
    <x v="584"/>
    <x v="8"/>
    <x v="422"/>
    <x v="5"/>
    <x v="2"/>
    <x v="4"/>
    <x v="221"/>
    <x v="10"/>
  </r>
  <r>
    <x v="109"/>
    <x v="32"/>
    <x v="480"/>
    <x v="5"/>
    <x v="533"/>
    <x v="5"/>
    <x v="2"/>
    <x v="4"/>
    <x v="221"/>
    <x v="10"/>
  </r>
  <r>
    <x v="109"/>
    <x v="23"/>
    <x v="12"/>
    <x v="3"/>
    <x v="285"/>
    <x v="5"/>
    <x v="0"/>
    <x v="2"/>
    <x v="41"/>
    <x v="6"/>
  </r>
  <r>
    <x v="109"/>
    <x v="37"/>
    <x v="65"/>
    <x v="1"/>
    <x v="523"/>
    <x v="5"/>
    <x v="0"/>
    <x v="1"/>
    <x v="41"/>
    <x v="12"/>
  </r>
  <r>
    <x v="109"/>
    <x v="28"/>
    <x v="134"/>
    <x v="1"/>
    <x v="371"/>
    <x v="5"/>
    <x v="0"/>
    <x v="1"/>
    <x v="41"/>
    <x v="0"/>
  </r>
  <r>
    <x v="110"/>
    <x v="9"/>
    <x v="424"/>
    <x v="0"/>
    <x v="229"/>
    <x v="5"/>
    <x v="0"/>
    <x v="0"/>
    <x v="46"/>
    <x v="5"/>
  </r>
  <r>
    <x v="110"/>
    <x v="20"/>
    <x v="1001"/>
    <x v="0"/>
    <x v="61"/>
    <x v="5"/>
    <x v="0"/>
    <x v="0"/>
    <x v="46"/>
    <x v="5"/>
  </r>
  <r>
    <x v="110"/>
    <x v="12"/>
    <x v="490"/>
    <x v="0"/>
    <x v="17"/>
    <x v="5"/>
    <x v="0"/>
    <x v="0"/>
    <x v="64"/>
    <x v="5"/>
  </r>
  <r>
    <x v="110"/>
    <x v="38"/>
    <x v="145"/>
    <x v="0"/>
    <x v="500"/>
    <x v="5"/>
    <x v="0"/>
    <x v="0"/>
    <x v="61"/>
    <x v="5"/>
  </r>
  <r>
    <x v="110"/>
    <x v="32"/>
    <x v="1353"/>
    <x v="3"/>
    <x v="422"/>
    <x v="5"/>
    <x v="2"/>
    <x v="4"/>
    <x v="221"/>
    <x v="10"/>
  </r>
  <r>
    <x v="110"/>
    <x v="32"/>
    <x v="213"/>
    <x v="2"/>
    <x v="422"/>
    <x v="5"/>
    <x v="2"/>
    <x v="4"/>
    <x v="221"/>
    <x v="10"/>
  </r>
  <r>
    <x v="110"/>
    <x v="32"/>
    <x v="132"/>
    <x v="6"/>
    <x v="422"/>
    <x v="5"/>
    <x v="2"/>
    <x v="4"/>
    <x v="221"/>
    <x v="10"/>
  </r>
  <r>
    <x v="110"/>
    <x v="32"/>
    <x v="1683"/>
    <x v="7"/>
    <x v="422"/>
    <x v="5"/>
    <x v="2"/>
    <x v="4"/>
    <x v="221"/>
    <x v="10"/>
  </r>
  <r>
    <x v="110"/>
    <x v="32"/>
    <x v="1291"/>
    <x v="5"/>
    <x v="533"/>
    <x v="5"/>
    <x v="2"/>
    <x v="4"/>
    <x v="221"/>
    <x v="10"/>
  </r>
  <r>
    <x v="110"/>
    <x v="28"/>
    <x v="87"/>
    <x v="1"/>
    <x v="559"/>
    <x v="5"/>
    <x v="0"/>
    <x v="1"/>
    <x v="42"/>
    <x v="0"/>
  </r>
  <r>
    <x v="110"/>
    <x v="37"/>
    <x v="65"/>
    <x v="1"/>
    <x v="523"/>
    <x v="5"/>
    <x v="0"/>
    <x v="1"/>
    <x v="42"/>
    <x v="12"/>
  </r>
  <r>
    <x v="111"/>
    <x v="8"/>
    <x v="449"/>
    <x v="0"/>
    <x v="241"/>
    <x v="5"/>
    <x v="0"/>
    <x v="0"/>
    <x v="53"/>
    <x v="5"/>
  </r>
  <r>
    <x v="111"/>
    <x v="20"/>
    <x v="857"/>
    <x v="0"/>
    <x v="61"/>
    <x v="5"/>
    <x v="0"/>
    <x v="0"/>
    <x v="49"/>
    <x v="5"/>
  </r>
  <r>
    <x v="111"/>
    <x v="12"/>
    <x v="484"/>
    <x v="0"/>
    <x v="17"/>
    <x v="5"/>
    <x v="0"/>
    <x v="0"/>
    <x v="64"/>
    <x v="5"/>
  </r>
  <r>
    <x v="111"/>
    <x v="9"/>
    <x v="1354"/>
    <x v="0"/>
    <x v="229"/>
    <x v="5"/>
    <x v="0"/>
    <x v="0"/>
    <x v="49"/>
    <x v="5"/>
  </r>
  <r>
    <x v="111"/>
    <x v="7"/>
    <x v="1570"/>
    <x v="1"/>
    <x v="131"/>
    <x v="5"/>
    <x v="0"/>
    <x v="1"/>
    <x v="43"/>
    <x v="4"/>
  </r>
  <r>
    <x v="111"/>
    <x v="3"/>
    <x v="308"/>
    <x v="3"/>
    <x v="153"/>
    <x v="5"/>
    <x v="0"/>
    <x v="2"/>
    <x v="43"/>
    <x v="4"/>
  </r>
  <r>
    <x v="111"/>
    <x v="3"/>
    <x v="475"/>
    <x v="1"/>
    <x v="579"/>
    <x v="5"/>
    <x v="0"/>
    <x v="1"/>
    <x v="43"/>
    <x v="4"/>
  </r>
  <r>
    <x v="111"/>
    <x v="38"/>
    <x v="84"/>
    <x v="0"/>
    <x v="500"/>
    <x v="5"/>
    <x v="0"/>
    <x v="0"/>
    <x v="61"/>
    <x v="5"/>
  </r>
  <r>
    <x v="111"/>
    <x v="13"/>
    <x v="964"/>
    <x v="0"/>
    <x v="32"/>
    <x v="5"/>
    <x v="0"/>
    <x v="0"/>
    <x v="64"/>
    <x v="5"/>
  </r>
  <r>
    <x v="111"/>
    <x v="32"/>
    <x v="1207"/>
    <x v="3"/>
    <x v="422"/>
    <x v="5"/>
    <x v="2"/>
    <x v="4"/>
    <x v="221"/>
    <x v="10"/>
  </r>
  <r>
    <x v="111"/>
    <x v="32"/>
    <x v="564"/>
    <x v="2"/>
    <x v="422"/>
    <x v="5"/>
    <x v="2"/>
    <x v="4"/>
    <x v="221"/>
    <x v="10"/>
  </r>
  <r>
    <x v="111"/>
    <x v="32"/>
    <x v="74"/>
    <x v="4"/>
    <x v="279"/>
    <x v="5"/>
    <x v="2"/>
    <x v="4"/>
    <x v="221"/>
    <x v="10"/>
  </r>
  <r>
    <x v="111"/>
    <x v="32"/>
    <x v="1491"/>
    <x v="6"/>
    <x v="422"/>
    <x v="5"/>
    <x v="2"/>
    <x v="4"/>
    <x v="221"/>
    <x v="10"/>
  </r>
  <r>
    <x v="111"/>
    <x v="32"/>
    <x v="1709"/>
    <x v="7"/>
    <x v="422"/>
    <x v="5"/>
    <x v="2"/>
    <x v="4"/>
    <x v="221"/>
    <x v="10"/>
  </r>
  <r>
    <x v="111"/>
    <x v="32"/>
    <x v="511"/>
    <x v="5"/>
    <x v="533"/>
    <x v="5"/>
    <x v="2"/>
    <x v="4"/>
    <x v="221"/>
    <x v="10"/>
  </r>
  <r>
    <x v="111"/>
    <x v="37"/>
    <x v="60"/>
    <x v="1"/>
    <x v="523"/>
    <x v="5"/>
    <x v="0"/>
    <x v="1"/>
    <x v="43"/>
    <x v="12"/>
  </r>
  <r>
    <x v="111"/>
    <x v="0"/>
    <x v="1483"/>
    <x v="0"/>
    <x v="566"/>
    <x v="5"/>
    <x v="0"/>
    <x v="0"/>
    <x v="43"/>
    <x v="9"/>
  </r>
  <r>
    <x v="112"/>
    <x v="12"/>
    <x v="591"/>
    <x v="0"/>
    <x v="17"/>
    <x v="5"/>
    <x v="0"/>
    <x v="0"/>
    <x v="64"/>
    <x v="5"/>
  </r>
  <r>
    <x v="112"/>
    <x v="38"/>
    <x v="180"/>
    <x v="0"/>
    <x v="500"/>
    <x v="5"/>
    <x v="0"/>
    <x v="0"/>
    <x v="61"/>
    <x v="5"/>
  </r>
  <r>
    <x v="112"/>
    <x v="9"/>
    <x v="1267"/>
    <x v="0"/>
    <x v="229"/>
    <x v="5"/>
    <x v="0"/>
    <x v="0"/>
    <x v="49"/>
    <x v="5"/>
  </r>
  <r>
    <x v="112"/>
    <x v="20"/>
    <x v="769"/>
    <x v="0"/>
    <x v="61"/>
    <x v="5"/>
    <x v="0"/>
    <x v="0"/>
    <x v="49"/>
    <x v="5"/>
  </r>
  <r>
    <x v="112"/>
    <x v="15"/>
    <x v="449"/>
    <x v="3"/>
    <x v="353"/>
    <x v="5"/>
    <x v="0"/>
    <x v="2"/>
    <x v="44"/>
    <x v="4"/>
  </r>
  <r>
    <x v="112"/>
    <x v="20"/>
    <x v="58"/>
    <x v="1"/>
    <x v="124"/>
    <x v="5"/>
    <x v="0"/>
    <x v="1"/>
    <x v="44"/>
    <x v="5"/>
  </r>
  <r>
    <x v="112"/>
    <x v="32"/>
    <x v="543"/>
    <x v="3"/>
    <x v="422"/>
    <x v="5"/>
    <x v="2"/>
    <x v="4"/>
    <x v="221"/>
    <x v="10"/>
  </r>
  <r>
    <x v="112"/>
    <x v="32"/>
    <x v="1761"/>
    <x v="7"/>
    <x v="422"/>
    <x v="5"/>
    <x v="2"/>
    <x v="4"/>
    <x v="221"/>
    <x v="10"/>
  </r>
  <r>
    <x v="112"/>
    <x v="32"/>
    <x v="976"/>
    <x v="5"/>
    <x v="533"/>
    <x v="5"/>
    <x v="2"/>
    <x v="4"/>
    <x v="221"/>
    <x v="10"/>
  </r>
  <r>
    <x v="112"/>
    <x v="37"/>
    <x v="60"/>
    <x v="1"/>
    <x v="523"/>
    <x v="5"/>
    <x v="0"/>
    <x v="1"/>
    <x v="44"/>
    <x v="12"/>
  </r>
  <r>
    <x v="112"/>
    <x v="24"/>
    <x v="45"/>
    <x v="1"/>
    <x v="246"/>
    <x v="5"/>
    <x v="0"/>
    <x v="1"/>
    <x v="44"/>
    <x v="6"/>
  </r>
  <r>
    <x v="112"/>
    <x v="12"/>
    <x v="518"/>
    <x v="1"/>
    <x v="515"/>
    <x v="5"/>
    <x v="0"/>
    <x v="1"/>
    <x v="44"/>
    <x v="5"/>
  </r>
  <r>
    <x v="113"/>
    <x v="8"/>
    <x v="779"/>
    <x v="0"/>
    <x v="241"/>
    <x v="5"/>
    <x v="0"/>
    <x v="0"/>
    <x v="53"/>
    <x v="5"/>
  </r>
  <r>
    <x v="113"/>
    <x v="12"/>
    <x v="249"/>
    <x v="0"/>
    <x v="17"/>
    <x v="5"/>
    <x v="0"/>
    <x v="0"/>
    <x v="64"/>
    <x v="5"/>
  </r>
  <r>
    <x v="113"/>
    <x v="9"/>
    <x v="913"/>
    <x v="0"/>
    <x v="229"/>
    <x v="5"/>
    <x v="0"/>
    <x v="0"/>
    <x v="49"/>
    <x v="5"/>
  </r>
  <r>
    <x v="113"/>
    <x v="19"/>
    <x v="803"/>
    <x v="0"/>
    <x v="474"/>
    <x v="5"/>
    <x v="0"/>
    <x v="0"/>
    <x v="51"/>
    <x v="3"/>
  </r>
  <r>
    <x v="113"/>
    <x v="38"/>
    <x v="142"/>
    <x v="0"/>
    <x v="500"/>
    <x v="5"/>
    <x v="0"/>
    <x v="0"/>
    <x v="61"/>
    <x v="5"/>
  </r>
  <r>
    <x v="113"/>
    <x v="24"/>
    <x v="1525"/>
    <x v="1"/>
    <x v="232"/>
    <x v="5"/>
    <x v="0"/>
    <x v="1"/>
    <x v="45"/>
    <x v="6"/>
  </r>
  <r>
    <x v="113"/>
    <x v="28"/>
    <x v="641"/>
    <x v="1"/>
    <x v="494"/>
    <x v="5"/>
    <x v="0"/>
    <x v="1"/>
    <x v="45"/>
    <x v="0"/>
  </r>
  <r>
    <x v="113"/>
    <x v="32"/>
    <x v="305"/>
    <x v="3"/>
    <x v="422"/>
    <x v="5"/>
    <x v="2"/>
    <x v="4"/>
    <x v="221"/>
    <x v="10"/>
  </r>
  <r>
    <x v="113"/>
    <x v="32"/>
    <x v="1340"/>
    <x v="2"/>
    <x v="422"/>
    <x v="5"/>
    <x v="2"/>
    <x v="4"/>
    <x v="221"/>
    <x v="10"/>
  </r>
  <r>
    <x v="113"/>
    <x v="32"/>
    <x v="87"/>
    <x v="6"/>
    <x v="422"/>
    <x v="5"/>
    <x v="2"/>
    <x v="4"/>
    <x v="221"/>
    <x v="10"/>
  </r>
  <r>
    <x v="113"/>
    <x v="32"/>
    <x v="1735"/>
    <x v="7"/>
    <x v="422"/>
    <x v="5"/>
    <x v="2"/>
    <x v="4"/>
    <x v="221"/>
    <x v="10"/>
  </r>
  <r>
    <x v="113"/>
    <x v="32"/>
    <x v="1423"/>
    <x v="5"/>
    <x v="533"/>
    <x v="5"/>
    <x v="2"/>
    <x v="4"/>
    <x v="221"/>
    <x v="10"/>
  </r>
  <r>
    <x v="113"/>
    <x v="38"/>
    <x v="19"/>
    <x v="3"/>
    <x v="444"/>
    <x v="5"/>
    <x v="0"/>
    <x v="2"/>
    <x v="45"/>
    <x v="5"/>
  </r>
  <r>
    <x v="113"/>
    <x v="37"/>
    <x v="65"/>
    <x v="1"/>
    <x v="523"/>
    <x v="5"/>
    <x v="0"/>
    <x v="1"/>
    <x v="45"/>
    <x v="12"/>
  </r>
  <r>
    <x v="114"/>
    <x v="9"/>
    <x v="1538"/>
    <x v="0"/>
    <x v="229"/>
    <x v="5"/>
    <x v="0"/>
    <x v="0"/>
    <x v="55"/>
    <x v="5"/>
  </r>
  <r>
    <x v="114"/>
    <x v="12"/>
    <x v="496"/>
    <x v="0"/>
    <x v="17"/>
    <x v="5"/>
    <x v="0"/>
    <x v="0"/>
    <x v="64"/>
    <x v="5"/>
  </r>
  <r>
    <x v="114"/>
    <x v="38"/>
    <x v="225"/>
    <x v="0"/>
    <x v="500"/>
    <x v="5"/>
    <x v="0"/>
    <x v="0"/>
    <x v="61"/>
    <x v="5"/>
  </r>
  <r>
    <x v="114"/>
    <x v="8"/>
    <x v="449"/>
    <x v="0"/>
    <x v="241"/>
    <x v="5"/>
    <x v="0"/>
    <x v="0"/>
    <x v="53"/>
    <x v="5"/>
  </r>
  <r>
    <x v="114"/>
    <x v="20"/>
    <x v="958"/>
    <x v="0"/>
    <x v="61"/>
    <x v="5"/>
    <x v="0"/>
    <x v="0"/>
    <x v="54"/>
    <x v="5"/>
  </r>
  <r>
    <x v="114"/>
    <x v="1"/>
    <x v="127"/>
    <x v="3"/>
    <x v="431"/>
    <x v="5"/>
    <x v="0"/>
    <x v="2"/>
    <x v="46"/>
    <x v="4"/>
  </r>
  <r>
    <x v="114"/>
    <x v="3"/>
    <x v="308"/>
    <x v="3"/>
    <x v="153"/>
    <x v="5"/>
    <x v="0"/>
    <x v="2"/>
    <x v="46"/>
    <x v="4"/>
  </r>
  <r>
    <x v="114"/>
    <x v="38"/>
    <x v="357"/>
    <x v="1"/>
    <x v="389"/>
    <x v="5"/>
    <x v="0"/>
    <x v="1"/>
    <x v="46"/>
    <x v="5"/>
  </r>
  <r>
    <x v="114"/>
    <x v="24"/>
    <x v="134"/>
    <x v="1"/>
    <x v="223"/>
    <x v="5"/>
    <x v="0"/>
    <x v="1"/>
    <x v="46"/>
    <x v="6"/>
  </r>
  <r>
    <x v="114"/>
    <x v="32"/>
    <x v="1533"/>
    <x v="3"/>
    <x v="422"/>
    <x v="5"/>
    <x v="2"/>
    <x v="4"/>
    <x v="221"/>
    <x v="10"/>
  </r>
  <r>
    <x v="114"/>
    <x v="32"/>
    <x v="191"/>
    <x v="6"/>
    <x v="422"/>
    <x v="5"/>
    <x v="2"/>
    <x v="4"/>
    <x v="221"/>
    <x v="10"/>
  </r>
  <r>
    <x v="114"/>
    <x v="32"/>
    <x v="1733"/>
    <x v="7"/>
    <x v="422"/>
    <x v="5"/>
    <x v="2"/>
    <x v="4"/>
    <x v="221"/>
    <x v="10"/>
  </r>
  <r>
    <x v="114"/>
    <x v="32"/>
    <x v="256"/>
    <x v="8"/>
    <x v="422"/>
    <x v="5"/>
    <x v="2"/>
    <x v="4"/>
    <x v="221"/>
    <x v="10"/>
  </r>
  <r>
    <x v="114"/>
    <x v="32"/>
    <x v="1030"/>
    <x v="5"/>
    <x v="533"/>
    <x v="5"/>
    <x v="2"/>
    <x v="4"/>
    <x v="221"/>
    <x v="10"/>
  </r>
  <r>
    <x v="114"/>
    <x v="37"/>
    <x v="65"/>
    <x v="1"/>
    <x v="523"/>
    <x v="5"/>
    <x v="0"/>
    <x v="1"/>
    <x v="46"/>
    <x v="12"/>
  </r>
  <r>
    <x v="114"/>
    <x v="19"/>
    <x v="803"/>
    <x v="0"/>
    <x v="474"/>
    <x v="5"/>
    <x v="0"/>
    <x v="0"/>
    <x v="51"/>
    <x v="3"/>
  </r>
  <r>
    <x v="115"/>
    <x v="9"/>
    <x v="689"/>
    <x v="0"/>
    <x v="229"/>
    <x v="5"/>
    <x v="0"/>
    <x v="0"/>
    <x v="55"/>
    <x v="5"/>
  </r>
  <r>
    <x v="115"/>
    <x v="12"/>
    <x v="329"/>
    <x v="0"/>
    <x v="17"/>
    <x v="5"/>
    <x v="0"/>
    <x v="0"/>
    <x v="64"/>
    <x v="5"/>
  </r>
  <r>
    <x v="115"/>
    <x v="20"/>
    <x v="1188"/>
    <x v="0"/>
    <x v="61"/>
    <x v="5"/>
    <x v="0"/>
    <x v="0"/>
    <x v="55"/>
    <x v="5"/>
  </r>
  <r>
    <x v="115"/>
    <x v="20"/>
    <x v="49"/>
    <x v="1"/>
    <x v="381"/>
    <x v="5"/>
    <x v="0"/>
    <x v="1"/>
    <x v="47"/>
    <x v="5"/>
  </r>
  <r>
    <x v="115"/>
    <x v="1"/>
    <x v="127"/>
    <x v="1"/>
    <x v="431"/>
    <x v="5"/>
    <x v="0"/>
    <x v="1"/>
    <x v="47"/>
    <x v="4"/>
  </r>
  <r>
    <x v="115"/>
    <x v="27"/>
    <x v="925"/>
    <x v="1"/>
    <x v="5"/>
    <x v="5"/>
    <x v="0"/>
    <x v="1"/>
    <x v="47"/>
    <x v="5"/>
  </r>
  <r>
    <x v="115"/>
    <x v="12"/>
    <x v="158"/>
    <x v="1"/>
    <x v="406"/>
    <x v="5"/>
    <x v="0"/>
    <x v="1"/>
    <x v="47"/>
    <x v="5"/>
  </r>
  <r>
    <x v="115"/>
    <x v="38"/>
    <x v="160"/>
    <x v="0"/>
    <x v="500"/>
    <x v="5"/>
    <x v="0"/>
    <x v="0"/>
    <x v="61"/>
    <x v="5"/>
  </r>
  <r>
    <x v="115"/>
    <x v="20"/>
    <x v="90"/>
    <x v="1"/>
    <x v="29"/>
    <x v="5"/>
    <x v="0"/>
    <x v="1"/>
    <x v="47"/>
    <x v="5"/>
  </r>
  <r>
    <x v="115"/>
    <x v="19"/>
    <x v="803"/>
    <x v="0"/>
    <x v="474"/>
    <x v="5"/>
    <x v="0"/>
    <x v="0"/>
    <x v="62"/>
    <x v="3"/>
  </r>
  <r>
    <x v="115"/>
    <x v="22"/>
    <x v="318"/>
    <x v="3"/>
    <x v="259"/>
    <x v="5"/>
    <x v="0"/>
    <x v="2"/>
    <x v="47"/>
    <x v="3"/>
  </r>
  <r>
    <x v="115"/>
    <x v="32"/>
    <x v="1525"/>
    <x v="3"/>
    <x v="422"/>
    <x v="5"/>
    <x v="2"/>
    <x v="4"/>
    <x v="221"/>
    <x v="10"/>
  </r>
  <r>
    <x v="115"/>
    <x v="32"/>
    <x v="799"/>
    <x v="2"/>
    <x v="422"/>
    <x v="5"/>
    <x v="2"/>
    <x v="4"/>
    <x v="221"/>
    <x v="10"/>
  </r>
  <r>
    <x v="115"/>
    <x v="32"/>
    <x v="1888"/>
    <x v="7"/>
    <x v="422"/>
    <x v="5"/>
    <x v="2"/>
    <x v="4"/>
    <x v="221"/>
    <x v="10"/>
  </r>
  <r>
    <x v="115"/>
    <x v="32"/>
    <x v="1147"/>
    <x v="5"/>
    <x v="533"/>
    <x v="5"/>
    <x v="2"/>
    <x v="4"/>
    <x v="221"/>
    <x v="10"/>
  </r>
  <r>
    <x v="115"/>
    <x v="32"/>
    <x v="15"/>
    <x v="6"/>
    <x v="422"/>
    <x v="5"/>
    <x v="0"/>
    <x v="2"/>
    <x v="47"/>
    <x v="10"/>
  </r>
  <r>
    <x v="115"/>
    <x v="37"/>
    <x v="58"/>
    <x v="1"/>
    <x v="523"/>
    <x v="5"/>
    <x v="0"/>
    <x v="1"/>
    <x v="47"/>
    <x v="12"/>
  </r>
  <r>
    <x v="116"/>
    <x v="12"/>
    <x v="664"/>
    <x v="0"/>
    <x v="17"/>
    <x v="5"/>
    <x v="0"/>
    <x v="0"/>
    <x v="64"/>
    <x v="5"/>
  </r>
  <r>
    <x v="116"/>
    <x v="9"/>
    <x v="1519"/>
    <x v="0"/>
    <x v="229"/>
    <x v="5"/>
    <x v="0"/>
    <x v="0"/>
    <x v="55"/>
    <x v="5"/>
  </r>
  <r>
    <x v="116"/>
    <x v="8"/>
    <x v="449"/>
    <x v="0"/>
    <x v="241"/>
    <x v="5"/>
    <x v="0"/>
    <x v="0"/>
    <x v="53"/>
    <x v="5"/>
  </r>
  <r>
    <x v="116"/>
    <x v="24"/>
    <x v="527"/>
    <x v="1"/>
    <x v="288"/>
    <x v="5"/>
    <x v="0"/>
    <x v="1"/>
    <x v="48"/>
    <x v="6"/>
  </r>
  <r>
    <x v="116"/>
    <x v="28"/>
    <x v="138"/>
    <x v="1"/>
    <x v="371"/>
    <x v="5"/>
    <x v="0"/>
    <x v="1"/>
    <x v="48"/>
    <x v="0"/>
  </r>
  <r>
    <x v="116"/>
    <x v="3"/>
    <x v="475"/>
    <x v="3"/>
    <x v="579"/>
    <x v="5"/>
    <x v="0"/>
    <x v="2"/>
    <x v="48"/>
    <x v="4"/>
  </r>
  <r>
    <x v="116"/>
    <x v="15"/>
    <x v="475"/>
    <x v="1"/>
    <x v="353"/>
    <x v="5"/>
    <x v="0"/>
    <x v="1"/>
    <x v="48"/>
    <x v="4"/>
  </r>
  <r>
    <x v="116"/>
    <x v="0"/>
    <x v="318"/>
    <x v="1"/>
    <x v="371"/>
    <x v="5"/>
    <x v="0"/>
    <x v="1"/>
    <x v="48"/>
    <x v="9"/>
  </r>
  <r>
    <x v="116"/>
    <x v="18"/>
    <x v="375"/>
    <x v="3"/>
    <x v="140"/>
    <x v="5"/>
    <x v="0"/>
    <x v="2"/>
    <x v="48"/>
    <x v="3"/>
  </r>
  <r>
    <x v="116"/>
    <x v="38"/>
    <x v="228"/>
    <x v="0"/>
    <x v="500"/>
    <x v="5"/>
    <x v="0"/>
    <x v="0"/>
    <x v="61"/>
    <x v="5"/>
  </r>
  <r>
    <x v="116"/>
    <x v="32"/>
    <x v="100"/>
    <x v="6"/>
    <x v="422"/>
    <x v="5"/>
    <x v="2"/>
    <x v="4"/>
    <x v="221"/>
    <x v="10"/>
  </r>
  <r>
    <x v="116"/>
    <x v="32"/>
    <x v="1539"/>
    <x v="7"/>
    <x v="422"/>
    <x v="5"/>
    <x v="2"/>
    <x v="4"/>
    <x v="221"/>
    <x v="10"/>
  </r>
  <r>
    <x v="116"/>
    <x v="32"/>
    <x v="1124"/>
    <x v="5"/>
    <x v="533"/>
    <x v="5"/>
    <x v="2"/>
    <x v="4"/>
    <x v="221"/>
    <x v="10"/>
  </r>
  <r>
    <x v="116"/>
    <x v="32"/>
    <x v="1394"/>
    <x v="3"/>
    <x v="422"/>
    <x v="5"/>
    <x v="2"/>
    <x v="4"/>
    <x v="221"/>
    <x v="10"/>
  </r>
  <r>
    <x v="116"/>
    <x v="37"/>
    <x v="45"/>
    <x v="1"/>
    <x v="523"/>
    <x v="5"/>
    <x v="0"/>
    <x v="1"/>
    <x v="48"/>
    <x v="12"/>
  </r>
  <r>
    <x v="116"/>
    <x v="23"/>
    <x v="22"/>
    <x v="3"/>
    <x v="285"/>
    <x v="5"/>
    <x v="0"/>
    <x v="2"/>
    <x v="48"/>
    <x v="6"/>
  </r>
  <r>
    <x v="117"/>
    <x v="9"/>
    <x v="940"/>
    <x v="0"/>
    <x v="229"/>
    <x v="5"/>
    <x v="0"/>
    <x v="0"/>
    <x v="56"/>
    <x v="5"/>
  </r>
  <r>
    <x v="117"/>
    <x v="12"/>
    <x v="395"/>
    <x v="0"/>
    <x v="17"/>
    <x v="5"/>
    <x v="0"/>
    <x v="0"/>
    <x v="64"/>
    <x v="5"/>
  </r>
  <r>
    <x v="117"/>
    <x v="20"/>
    <x v="966"/>
    <x v="0"/>
    <x v="61"/>
    <x v="5"/>
    <x v="0"/>
    <x v="0"/>
    <x v="55"/>
    <x v="5"/>
  </r>
  <r>
    <x v="117"/>
    <x v="38"/>
    <x v="91"/>
    <x v="0"/>
    <x v="500"/>
    <x v="5"/>
    <x v="0"/>
    <x v="0"/>
    <x v="61"/>
    <x v="5"/>
  </r>
  <r>
    <x v="117"/>
    <x v="1"/>
    <x v="48"/>
    <x v="1"/>
    <x v="431"/>
    <x v="5"/>
    <x v="0"/>
    <x v="1"/>
    <x v="49"/>
    <x v="4"/>
  </r>
  <r>
    <x v="117"/>
    <x v="37"/>
    <x v="62"/>
    <x v="1"/>
    <x v="523"/>
    <x v="5"/>
    <x v="0"/>
    <x v="1"/>
    <x v="49"/>
    <x v="12"/>
  </r>
  <r>
    <x v="117"/>
    <x v="23"/>
    <x v="5"/>
    <x v="3"/>
    <x v="285"/>
    <x v="5"/>
    <x v="0"/>
    <x v="2"/>
    <x v="49"/>
    <x v="6"/>
  </r>
  <r>
    <x v="117"/>
    <x v="32"/>
    <x v="896"/>
    <x v="3"/>
    <x v="422"/>
    <x v="5"/>
    <x v="2"/>
    <x v="4"/>
    <x v="221"/>
    <x v="10"/>
  </r>
  <r>
    <x v="117"/>
    <x v="32"/>
    <x v="74"/>
    <x v="2"/>
    <x v="422"/>
    <x v="5"/>
    <x v="2"/>
    <x v="4"/>
    <x v="221"/>
    <x v="10"/>
  </r>
  <r>
    <x v="117"/>
    <x v="32"/>
    <x v="726"/>
    <x v="6"/>
    <x v="422"/>
    <x v="5"/>
    <x v="2"/>
    <x v="4"/>
    <x v="221"/>
    <x v="10"/>
  </r>
  <r>
    <x v="117"/>
    <x v="32"/>
    <x v="1568"/>
    <x v="7"/>
    <x v="422"/>
    <x v="5"/>
    <x v="2"/>
    <x v="4"/>
    <x v="221"/>
    <x v="10"/>
  </r>
  <r>
    <x v="117"/>
    <x v="32"/>
    <x v="977"/>
    <x v="5"/>
    <x v="533"/>
    <x v="5"/>
    <x v="2"/>
    <x v="4"/>
    <x v="221"/>
    <x v="10"/>
  </r>
  <r>
    <x v="118"/>
    <x v="12"/>
    <x v="187"/>
    <x v="0"/>
    <x v="17"/>
    <x v="5"/>
    <x v="0"/>
    <x v="0"/>
    <x v="76"/>
    <x v="5"/>
  </r>
  <r>
    <x v="118"/>
    <x v="8"/>
    <x v="779"/>
    <x v="0"/>
    <x v="241"/>
    <x v="5"/>
    <x v="0"/>
    <x v="0"/>
    <x v="53"/>
    <x v="5"/>
  </r>
  <r>
    <x v="118"/>
    <x v="20"/>
    <x v="874"/>
    <x v="0"/>
    <x v="61"/>
    <x v="5"/>
    <x v="0"/>
    <x v="0"/>
    <x v="56"/>
    <x v="5"/>
  </r>
  <r>
    <x v="133"/>
    <x v="0"/>
    <x v="1707"/>
    <x v="0"/>
    <x v="566"/>
    <x v="6"/>
    <x v="0"/>
    <x v="0"/>
    <x v="221"/>
    <x v="9"/>
  </r>
  <r>
    <x v="158"/>
    <x v="0"/>
    <x v="1483"/>
    <x v="0"/>
    <x v="566"/>
    <x v="6"/>
    <x v="0"/>
    <x v="0"/>
    <x v="221"/>
    <x v="9"/>
  </r>
  <r>
    <x v="118"/>
    <x v="0"/>
    <x v="518"/>
    <x v="0"/>
    <x v="566"/>
    <x v="5"/>
    <x v="0"/>
    <x v="3"/>
    <x v="49"/>
    <x v="9"/>
  </r>
  <r>
    <x v="118"/>
    <x v="1"/>
    <x v="33"/>
    <x v="3"/>
    <x v="431"/>
    <x v="5"/>
    <x v="0"/>
    <x v="2"/>
    <x v="50"/>
    <x v="4"/>
  </r>
  <r>
    <x v="118"/>
    <x v="13"/>
    <x v="1231"/>
    <x v="0"/>
    <x v="32"/>
    <x v="5"/>
    <x v="0"/>
    <x v="0"/>
    <x v="75"/>
    <x v="5"/>
  </r>
  <r>
    <x v="118"/>
    <x v="26"/>
    <x v="90"/>
    <x v="1"/>
    <x v="344"/>
    <x v="5"/>
    <x v="0"/>
    <x v="1"/>
    <x v="50"/>
    <x v="5"/>
  </r>
  <r>
    <x v="118"/>
    <x v="19"/>
    <x v="803"/>
    <x v="0"/>
    <x v="474"/>
    <x v="5"/>
    <x v="0"/>
    <x v="0"/>
    <x v="62"/>
    <x v="3"/>
  </r>
  <r>
    <x v="118"/>
    <x v="38"/>
    <x v="192"/>
    <x v="0"/>
    <x v="500"/>
    <x v="5"/>
    <x v="0"/>
    <x v="0"/>
    <x v="61"/>
    <x v="5"/>
  </r>
  <r>
    <x v="118"/>
    <x v="24"/>
    <x v="1382"/>
    <x v="1"/>
    <x v="79"/>
    <x v="5"/>
    <x v="0"/>
    <x v="1"/>
    <x v="50"/>
    <x v="6"/>
  </r>
  <r>
    <x v="118"/>
    <x v="32"/>
    <x v="1597"/>
    <x v="3"/>
    <x v="422"/>
    <x v="5"/>
    <x v="2"/>
    <x v="4"/>
    <x v="221"/>
    <x v="10"/>
  </r>
  <r>
    <x v="118"/>
    <x v="32"/>
    <x v="666"/>
    <x v="2"/>
    <x v="422"/>
    <x v="5"/>
    <x v="2"/>
    <x v="4"/>
    <x v="221"/>
    <x v="10"/>
  </r>
  <r>
    <x v="118"/>
    <x v="32"/>
    <x v="138"/>
    <x v="6"/>
    <x v="422"/>
    <x v="5"/>
    <x v="2"/>
    <x v="4"/>
    <x v="221"/>
    <x v="10"/>
  </r>
  <r>
    <x v="118"/>
    <x v="32"/>
    <x v="1702"/>
    <x v="7"/>
    <x v="422"/>
    <x v="5"/>
    <x v="2"/>
    <x v="4"/>
    <x v="221"/>
    <x v="10"/>
  </r>
  <r>
    <x v="118"/>
    <x v="32"/>
    <x v="1144"/>
    <x v="5"/>
    <x v="533"/>
    <x v="5"/>
    <x v="2"/>
    <x v="4"/>
    <x v="221"/>
    <x v="10"/>
  </r>
  <r>
    <x v="118"/>
    <x v="23"/>
    <x v="9"/>
    <x v="3"/>
    <x v="285"/>
    <x v="5"/>
    <x v="0"/>
    <x v="2"/>
    <x v="50"/>
    <x v="6"/>
  </r>
  <r>
    <x v="118"/>
    <x v="37"/>
    <x v="60"/>
    <x v="1"/>
    <x v="523"/>
    <x v="5"/>
    <x v="0"/>
    <x v="1"/>
    <x v="50"/>
    <x v="12"/>
  </r>
  <r>
    <x v="119"/>
    <x v="9"/>
    <x v="1499"/>
    <x v="0"/>
    <x v="229"/>
    <x v="5"/>
    <x v="0"/>
    <x v="0"/>
    <x v="58"/>
    <x v="5"/>
  </r>
  <r>
    <x v="119"/>
    <x v="12"/>
    <x v="441"/>
    <x v="0"/>
    <x v="17"/>
    <x v="5"/>
    <x v="0"/>
    <x v="0"/>
    <x v="76"/>
    <x v="5"/>
  </r>
  <r>
    <x v="119"/>
    <x v="20"/>
    <x v="230"/>
    <x v="0"/>
    <x v="61"/>
    <x v="5"/>
    <x v="0"/>
    <x v="0"/>
    <x v="58"/>
    <x v="5"/>
  </r>
  <r>
    <x v="119"/>
    <x v="1"/>
    <x v="60"/>
    <x v="1"/>
    <x v="431"/>
    <x v="5"/>
    <x v="0"/>
    <x v="1"/>
    <x v="51"/>
    <x v="4"/>
  </r>
  <r>
    <x v="119"/>
    <x v="38"/>
    <x v="45"/>
    <x v="1"/>
    <x v="401"/>
    <x v="5"/>
    <x v="0"/>
    <x v="1"/>
    <x v="51"/>
    <x v="5"/>
  </r>
  <r>
    <x v="119"/>
    <x v="27"/>
    <x v="1134"/>
    <x v="1"/>
    <x v="5"/>
    <x v="5"/>
    <x v="0"/>
    <x v="1"/>
    <x v="51"/>
    <x v="5"/>
  </r>
  <r>
    <x v="119"/>
    <x v="38"/>
    <x v="199"/>
    <x v="0"/>
    <x v="500"/>
    <x v="5"/>
    <x v="0"/>
    <x v="0"/>
    <x v="61"/>
    <x v="5"/>
  </r>
  <r>
    <x v="119"/>
    <x v="15"/>
    <x v="468"/>
    <x v="3"/>
    <x v="353"/>
    <x v="5"/>
    <x v="0"/>
    <x v="2"/>
    <x v="51"/>
    <x v="4"/>
  </r>
  <r>
    <x v="119"/>
    <x v="21"/>
    <x v="508"/>
    <x v="3"/>
    <x v="442"/>
    <x v="5"/>
    <x v="0"/>
    <x v="2"/>
    <x v="51"/>
    <x v="3"/>
  </r>
  <r>
    <x v="119"/>
    <x v="19"/>
    <x v="803"/>
    <x v="0"/>
    <x v="474"/>
    <x v="5"/>
    <x v="0"/>
    <x v="0"/>
    <x v="62"/>
    <x v="3"/>
  </r>
  <r>
    <x v="119"/>
    <x v="13"/>
    <x v="69"/>
    <x v="1"/>
    <x v="403"/>
    <x v="5"/>
    <x v="0"/>
    <x v="1"/>
    <x v="51"/>
    <x v="5"/>
  </r>
  <r>
    <x v="119"/>
    <x v="12"/>
    <x v="205"/>
    <x v="1"/>
    <x v="397"/>
    <x v="5"/>
    <x v="0"/>
    <x v="1"/>
    <x v="51"/>
    <x v="5"/>
  </r>
  <r>
    <x v="119"/>
    <x v="32"/>
    <x v="858"/>
    <x v="3"/>
    <x v="422"/>
    <x v="5"/>
    <x v="2"/>
    <x v="4"/>
    <x v="221"/>
    <x v="10"/>
  </r>
  <r>
    <x v="119"/>
    <x v="32"/>
    <x v="540"/>
    <x v="2"/>
    <x v="422"/>
    <x v="5"/>
    <x v="2"/>
    <x v="4"/>
    <x v="221"/>
    <x v="10"/>
  </r>
  <r>
    <x v="119"/>
    <x v="32"/>
    <x v="518"/>
    <x v="6"/>
    <x v="422"/>
    <x v="5"/>
    <x v="2"/>
    <x v="4"/>
    <x v="221"/>
    <x v="10"/>
  </r>
  <r>
    <x v="119"/>
    <x v="32"/>
    <x v="1819"/>
    <x v="7"/>
    <x v="422"/>
    <x v="5"/>
    <x v="2"/>
    <x v="4"/>
    <x v="221"/>
    <x v="10"/>
  </r>
  <r>
    <x v="119"/>
    <x v="32"/>
    <x v="826"/>
    <x v="5"/>
    <x v="533"/>
    <x v="5"/>
    <x v="2"/>
    <x v="4"/>
    <x v="221"/>
    <x v="10"/>
  </r>
  <r>
    <x v="119"/>
    <x v="38"/>
    <x v="15"/>
    <x v="3"/>
    <x v="444"/>
    <x v="5"/>
    <x v="0"/>
    <x v="2"/>
    <x v="51"/>
    <x v="5"/>
  </r>
  <r>
    <x v="119"/>
    <x v="23"/>
    <x v="8"/>
    <x v="3"/>
    <x v="285"/>
    <x v="5"/>
    <x v="0"/>
    <x v="2"/>
    <x v="51"/>
    <x v="6"/>
  </r>
  <r>
    <x v="119"/>
    <x v="37"/>
    <x v="74"/>
    <x v="1"/>
    <x v="523"/>
    <x v="5"/>
    <x v="0"/>
    <x v="1"/>
    <x v="51"/>
    <x v="12"/>
  </r>
  <r>
    <x v="119"/>
    <x v="0"/>
    <x v="87"/>
    <x v="1"/>
    <x v="453"/>
    <x v="5"/>
    <x v="0"/>
    <x v="1"/>
    <x v="51"/>
    <x v="9"/>
  </r>
  <r>
    <x v="119"/>
    <x v="0"/>
    <x v="45"/>
    <x v="1"/>
    <x v="352"/>
    <x v="5"/>
    <x v="0"/>
    <x v="1"/>
    <x v="51"/>
    <x v="9"/>
  </r>
  <r>
    <x v="120"/>
    <x v="20"/>
    <x v="1302"/>
    <x v="0"/>
    <x v="61"/>
    <x v="5"/>
    <x v="0"/>
    <x v="0"/>
    <x v="58"/>
    <x v="5"/>
  </r>
  <r>
    <x v="120"/>
    <x v="8"/>
    <x v="779"/>
    <x v="0"/>
    <x v="241"/>
    <x v="5"/>
    <x v="0"/>
    <x v="0"/>
    <x v="62"/>
    <x v="5"/>
  </r>
  <r>
    <x v="120"/>
    <x v="9"/>
    <x v="1473"/>
    <x v="0"/>
    <x v="229"/>
    <x v="5"/>
    <x v="0"/>
    <x v="0"/>
    <x v="58"/>
    <x v="5"/>
  </r>
  <r>
    <x v="120"/>
    <x v="20"/>
    <x v="1153"/>
    <x v="0"/>
    <x v="253"/>
    <x v="5"/>
    <x v="0"/>
    <x v="3"/>
    <x v="51"/>
    <x v="5"/>
  </r>
  <r>
    <x v="120"/>
    <x v="12"/>
    <x v="417"/>
    <x v="0"/>
    <x v="17"/>
    <x v="5"/>
    <x v="0"/>
    <x v="0"/>
    <x v="76"/>
    <x v="5"/>
  </r>
  <r>
    <x v="120"/>
    <x v="1"/>
    <x v="76"/>
    <x v="3"/>
    <x v="431"/>
    <x v="5"/>
    <x v="0"/>
    <x v="2"/>
    <x v="52"/>
    <x v="4"/>
  </r>
  <r>
    <x v="120"/>
    <x v="19"/>
    <x v="803"/>
    <x v="0"/>
    <x v="474"/>
    <x v="5"/>
    <x v="0"/>
    <x v="0"/>
    <x v="62"/>
    <x v="3"/>
  </r>
  <r>
    <x v="120"/>
    <x v="38"/>
    <x v="352"/>
    <x v="0"/>
    <x v="500"/>
    <x v="5"/>
    <x v="0"/>
    <x v="0"/>
    <x v="61"/>
    <x v="5"/>
  </r>
  <r>
    <x v="120"/>
    <x v="12"/>
    <x v="158"/>
    <x v="1"/>
    <x v="318"/>
    <x v="5"/>
    <x v="0"/>
    <x v="1"/>
    <x v="52"/>
    <x v="5"/>
  </r>
  <r>
    <x v="120"/>
    <x v="32"/>
    <x v="1181"/>
    <x v="3"/>
    <x v="422"/>
    <x v="5"/>
    <x v="2"/>
    <x v="4"/>
    <x v="221"/>
    <x v="10"/>
  </r>
  <r>
    <x v="120"/>
    <x v="32"/>
    <x v="97"/>
    <x v="2"/>
    <x v="422"/>
    <x v="5"/>
    <x v="2"/>
    <x v="4"/>
    <x v="221"/>
    <x v="10"/>
  </r>
  <r>
    <x v="120"/>
    <x v="32"/>
    <x v="1857"/>
    <x v="7"/>
    <x v="422"/>
    <x v="5"/>
    <x v="2"/>
    <x v="4"/>
    <x v="221"/>
    <x v="10"/>
  </r>
  <r>
    <x v="120"/>
    <x v="32"/>
    <x v="1040"/>
    <x v="5"/>
    <x v="533"/>
    <x v="5"/>
    <x v="2"/>
    <x v="4"/>
    <x v="221"/>
    <x v="10"/>
  </r>
  <r>
    <x v="120"/>
    <x v="23"/>
    <x v="14"/>
    <x v="3"/>
    <x v="285"/>
    <x v="5"/>
    <x v="0"/>
    <x v="2"/>
    <x v="52"/>
    <x v="6"/>
  </r>
  <r>
    <x v="120"/>
    <x v="37"/>
    <x v="60"/>
    <x v="1"/>
    <x v="523"/>
    <x v="5"/>
    <x v="0"/>
    <x v="1"/>
    <x v="52"/>
    <x v="12"/>
  </r>
  <r>
    <x v="120"/>
    <x v="32"/>
    <x v="134"/>
    <x v="4"/>
    <x v="228"/>
    <x v="5"/>
    <x v="2"/>
    <x v="4"/>
    <x v="221"/>
    <x v="10"/>
  </r>
  <r>
    <x v="121"/>
    <x v="12"/>
    <x v="693"/>
    <x v="0"/>
    <x v="17"/>
    <x v="5"/>
    <x v="0"/>
    <x v="0"/>
    <x v="76"/>
    <x v="5"/>
  </r>
  <r>
    <x v="121"/>
    <x v="9"/>
    <x v="1330"/>
    <x v="0"/>
    <x v="229"/>
    <x v="5"/>
    <x v="0"/>
    <x v="0"/>
    <x v="60"/>
    <x v="5"/>
  </r>
  <r>
    <x v="121"/>
    <x v="20"/>
    <x v="1245"/>
    <x v="0"/>
    <x v="61"/>
    <x v="5"/>
    <x v="0"/>
    <x v="0"/>
    <x v="60"/>
    <x v="5"/>
  </r>
  <r>
    <x v="121"/>
    <x v="20"/>
    <x v="49"/>
    <x v="1"/>
    <x v="381"/>
    <x v="5"/>
    <x v="0"/>
    <x v="1"/>
    <x v="53"/>
    <x v="5"/>
  </r>
  <r>
    <x v="121"/>
    <x v="38"/>
    <x v="329"/>
    <x v="1"/>
    <x v="389"/>
    <x v="5"/>
    <x v="0"/>
    <x v="1"/>
    <x v="53"/>
    <x v="5"/>
  </r>
  <r>
    <x v="121"/>
    <x v="3"/>
    <x v="308"/>
    <x v="1"/>
    <x v="153"/>
    <x v="5"/>
    <x v="0"/>
    <x v="1"/>
    <x v="53"/>
    <x v="4"/>
  </r>
  <r>
    <x v="121"/>
    <x v="1"/>
    <x v="60"/>
    <x v="1"/>
    <x v="431"/>
    <x v="5"/>
    <x v="0"/>
    <x v="1"/>
    <x v="53"/>
    <x v="4"/>
  </r>
  <r>
    <x v="121"/>
    <x v="38"/>
    <x v="419"/>
    <x v="0"/>
    <x v="500"/>
    <x v="5"/>
    <x v="0"/>
    <x v="0"/>
    <x v="61"/>
    <x v="5"/>
  </r>
  <r>
    <x v="121"/>
    <x v="31"/>
    <x v="65"/>
    <x v="1"/>
    <x v="347"/>
    <x v="5"/>
    <x v="0"/>
    <x v="1"/>
    <x v="53"/>
    <x v="8"/>
  </r>
  <r>
    <x v="121"/>
    <x v="28"/>
    <x v="375"/>
    <x v="1"/>
    <x v="494"/>
    <x v="5"/>
    <x v="0"/>
    <x v="1"/>
    <x v="53"/>
    <x v="0"/>
  </r>
  <r>
    <x v="121"/>
    <x v="32"/>
    <x v="988"/>
    <x v="3"/>
    <x v="422"/>
    <x v="5"/>
    <x v="2"/>
    <x v="4"/>
    <x v="221"/>
    <x v="10"/>
  </r>
  <r>
    <x v="121"/>
    <x v="32"/>
    <x v="74"/>
    <x v="6"/>
    <x v="422"/>
    <x v="5"/>
    <x v="2"/>
    <x v="4"/>
    <x v="221"/>
    <x v="10"/>
  </r>
  <r>
    <x v="121"/>
    <x v="32"/>
    <x v="1878"/>
    <x v="7"/>
    <x v="422"/>
    <x v="5"/>
    <x v="2"/>
    <x v="4"/>
    <x v="221"/>
    <x v="10"/>
  </r>
  <r>
    <x v="121"/>
    <x v="32"/>
    <x v="797"/>
    <x v="5"/>
    <x v="533"/>
    <x v="5"/>
    <x v="2"/>
    <x v="4"/>
    <x v="221"/>
    <x v="10"/>
  </r>
  <r>
    <x v="121"/>
    <x v="37"/>
    <x v="62"/>
    <x v="1"/>
    <x v="523"/>
    <x v="5"/>
    <x v="0"/>
    <x v="1"/>
    <x v="53"/>
    <x v="12"/>
  </r>
  <r>
    <x v="121"/>
    <x v="38"/>
    <x v="15"/>
    <x v="3"/>
    <x v="444"/>
    <x v="5"/>
    <x v="0"/>
    <x v="2"/>
    <x v="53"/>
    <x v="5"/>
  </r>
  <r>
    <x v="121"/>
    <x v="23"/>
    <x v="15"/>
    <x v="3"/>
    <x v="285"/>
    <x v="5"/>
    <x v="0"/>
    <x v="2"/>
    <x v="53"/>
    <x v="6"/>
  </r>
  <r>
    <x v="122"/>
    <x v="9"/>
    <x v="652"/>
    <x v="0"/>
    <x v="229"/>
    <x v="5"/>
    <x v="0"/>
    <x v="0"/>
    <x v="60"/>
    <x v="5"/>
  </r>
  <r>
    <x v="122"/>
    <x v="12"/>
    <x v="454"/>
    <x v="0"/>
    <x v="17"/>
    <x v="5"/>
    <x v="0"/>
    <x v="0"/>
    <x v="76"/>
    <x v="5"/>
  </r>
  <r>
    <x v="122"/>
    <x v="20"/>
    <x v="1096"/>
    <x v="0"/>
    <x v="61"/>
    <x v="5"/>
    <x v="0"/>
    <x v="0"/>
    <x v="60"/>
    <x v="5"/>
  </r>
  <r>
    <x v="122"/>
    <x v="12"/>
    <x v="363"/>
    <x v="1"/>
    <x v="515"/>
    <x v="5"/>
    <x v="0"/>
    <x v="1"/>
    <x v="54"/>
    <x v="5"/>
  </r>
  <r>
    <x v="122"/>
    <x v="38"/>
    <x v="53"/>
    <x v="1"/>
    <x v="401"/>
    <x v="5"/>
    <x v="0"/>
    <x v="1"/>
    <x v="54"/>
    <x v="5"/>
  </r>
  <r>
    <x v="122"/>
    <x v="1"/>
    <x v="48"/>
    <x v="3"/>
    <x v="431"/>
    <x v="5"/>
    <x v="0"/>
    <x v="2"/>
    <x v="54"/>
    <x v="4"/>
  </r>
  <r>
    <x v="122"/>
    <x v="0"/>
    <x v="45"/>
    <x v="1"/>
    <x v="352"/>
    <x v="5"/>
    <x v="0"/>
    <x v="1"/>
    <x v="54"/>
    <x v="9"/>
  </r>
  <r>
    <x v="122"/>
    <x v="38"/>
    <x v="169"/>
    <x v="0"/>
    <x v="500"/>
    <x v="5"/>
    <x v="0"/>
    <x v="0"/>
    <x v="61"/>
    <x v="5"/>
  </r>
  <r>
    <x v="122"/>
    <x v="19"/>
    <x v="803"/>
    <x v="0"/>
    <x v="474"/>
    <x v="5"/>
    <x v="0"/>
    <x v="0"/>
    <x v="62"/>
    <x v="3"/>
  </r>
  <r>
    <x v="122"/>
    <x v="32"/>
    <x v="1273"/>
    <x v="3"/>
    <x v="422"/>
    <x v="5"/>
    <x v="2"/>
    <x v="4"/>
    <x v="221"/>
    <x v="10"/>
  </r>
  <r>
    <x v="122"/>
    <x v="32"/>
    <x v="117"/>
    <x v="2"/>
    <x v="422"/>
    <x v="5"/>
    <x v="2"/>
    <x v="4"/>
    <x v="221"/>
    <x v="10"/>
  </r>
  <r>
    <x v="122"/>
    <x v="32"/>
    <x v="19"/>
    <x v="4"/>
    <x v="47"/>
    <x v="5"/>
    <x v="2"/>
    <x v="4"/>
    <x v="221"/>
    <x v="10"/>
  </r>
  <r>
    <x v="122"/>
    <x v="32"/>
    <x v="33"/>
    <x v="6"/>
    <x v="422"/>
    <x v="5"/>
    <x v="2"/>
    <x v="4"/>
    <x v="221"/>
    <x v="10"/>
  </r>
  <r>
    <x v="122"/>
    <x v="32"/>
    <x v="1867"/>
    <x v="7"/>
    <x v="422"/>
    <x v="5"/>
    <x v="2"/>
    <x v="4"/>
    <x v="221"/>
    <x v="10"/>
  </r>
  <r>
    <x v="122"/>
    <x v="32"/>
    <x v="1266"/>
    <x v="5"/>
    <x v="533"/>
    <x v="5"/>
    <x v="2"/>
    <x v="4"/>
    <x v="221"/>
    <x v="10"/>
  </r>
  <r>
    <x v="122"/>
    <x v="13"/>
    <x v="33"/>
    <x v="1"/>
    <x v="548"/>
    <x v="5"/>
    <x v="0"/>
    <x v="1"/>
    <x v="54"/>
    <x v="5"/>
  </r>
  <r>
    <x v="122"/>
    <x v="37"/>
    <x v="58"/>
    <x v="1"/>
    <x v="523"/>
    <x v="5"/>
    <x v="0"/>
    <x v="1"/>
    <x v="54"/>
    <x v="12"/>
  </r>
  <r>
    <x v="122"/>
    <x v="23"/>
    <x v="5"/>
    <x v="3"/>
    <x v="285"/>
    <x v="5"/>
    <x v="0"/>
    <x v="2"/>
    <x v="54"/>
    <x v="6"/>
  </r>
  <r>
    <x v="123"/>
    <x v="12"/>
    <x v="383"/>
    <x v="0"/>
    <x v="17"/>
    <x v="5"/>
    <x v="0"/>
    <x v="0"/>
    <x v="76"/>
    <x v="5"/>
  </r>
  <r>
    <x v="123"/>
    <x v="8"/>
    <x v="779"/>
    <x v="0"/>
    <x v="241"/>
    <x v="5"/>
    <x v="0"/>
    <x v="0"/>
    <x v="62"/>
    <x v="5"/>
  </r>
  <r>
    <x v="123"/>
    <x v="9"/>
    <x v="1293"/>
    <x v="0"/>
    <x v="229"/>
    <x v="5"/>
    <x v="0"/>
    <x v="0"/>
    <x v="60"/>
    <x v="5"/>
  </r>
  <r>
    <x v="123"/>
    <x v="20"/>
    <x v="446"/>
    <x v="0"/>
    <x v="61"/>
    <x v="5"/>
    <x v="0"/>
    <x v="0"/>
    <x v="60"/>
    <x v="5"/>
  </r>
  <r>
    <x v="123"/>
    <x v="13"/>
    <x v="1623"/>
    <x v="0"/>
    <x v="32"/>
    <x v="5"/>
    <x v="0"/>
    <x v="0"/>
    <x v="80"/>
    <x v="5"/>
  </r>
  <r>
    <x v="123"/>
    <x v="3"/>
    <x v="549"/>
    <x v="3"/>
    <x v="579"/>
    <x v="5"/>
    <x v="0"/>
    <x v="2"/>
    <x v="55"/>
    <x v="4"/>
  </r>
  <r>
    <x v="123"/>
    <x v="31"/>
    <x v="683"/>
    <x v="1"/>
    <x v="448"/>
    <x v="5"/>
    <x v="0"/>
    <x v="1"/>
    <x v="55"/>
    <x v="8"/>
  </r>
  <r>
    <x v="123"/>
    <x v="19"/>
    <x v="803"/>
    <x v="0"/>
    <x v="474"/>
    <x v="5"/>
    <x v="0"/>
    <x v="0"/>
    <x v="62"/>
    <x v="3"/>
  </r>
  <r>
    <x v="123"/>
    <x v="38"/>
    <x v="160"/>
    <x v="0"/>
    <x v="500"/>
    <x v="5"/>
    <x v="0"/>
    <x v="0"/>
    <x v="61"/>
    <x v="5"/>
  </r>
  <r>
    <x v="123"/>
    <x v="15"/>
    <x v="461"/>
    <x v="1"/>
    <x v="353"/>
    <x v="5"/>
    <x v="0"/>
    <x v="1"/>
    <x v="55"/>
    <x v="4"/>
  </r>
  <r>
    <x v="123"/>
    <x v="32"/>
    <x v="599"/>
    <x v="3"/>
    <x v="422"/>
    <x v="5"/>
    <x v="2"/>
    <x v="4"/>
    <x v="221"/>
    <x v="10"/>
  </r>
  <r>
    <x v="123"/>
    <x v="32"/>
    <x v="36"/>
    <x v="2"/>
    <x v="422"/>
    <x v="5"/>
    <x v="2"/>
    <x v="4"/>
    <x v="221"/>
    <x v="10"/>
  </r>
  <r>
    <x v="123"/>
    <x v="32"/>
    <x v="1726"/>
    <x v="7"/>
    <x v="422"/>
    <x v="5"/>
    <x v="2"/>
    <x v="4"/>
    <x v="221"/>
    <x v="10"/>
  </r>
  <r>
    <x v="123"/>
    <x v="32"/>
    <x v="276"/>
    <x v="8"/>
    <x v="422"/>
    <x v="5"/>
    <x v="2"/>
    <x v="4"/>
    <x v="221"/>
    <x v="10"/>
  </r>
  <r>
    <x v="123"/>
    <x v="32"/>
    <x v="774"/>
    <x v="5"/>
    <x v="533"/>
    <x v="5"/>
    <x v="2"/>
    <x v="4"/>
    <x v="221"/>
    <x v="10"/>
  </r>
  <r>
    <x v="123"/>
    <x v="32"/>
    <x v="210"/>
    <x v="6"/>
    <x v="422"/>
    <x v="5"/>
    <x v="2"/>
    <x v="4"/>
    <x v="221"/>
    <x v="10"/>
  </r>
  <r>
    <x v="123"/>
    <x v="37"/>
    <x v="58"/>
    <x v="1"/>
    <x v="523"/>
    <x v="5"/>
    <x v="0"/>
    <x v="1"/>
    <x v="55"/>
    <x v="12"/>
  </r>
  <r>
    <x v="123"/>
    <x v="23"/>
    <x v="12"/>
    <x v="3"/>
    <x v="285"/>
    <x v="5"/>
    <x v="0"/>
    <x v="2"/>
    <x v="55"/>
    <x v="6"/>
  </r>
  <r>
    <x v="124"/>
    <x v="27"/>
    <x v="1037"/>
    <x v="1"/>
    <x v="5"/>
    <x v="5"/>
    <x v="0"/>
    <x v="1"/>
    <x v="56"/>
    <x v="5"/>
  </r>
  <r>
    <x v="124"/>
    <x v="12"/>
    <x v="202"/>
    <x v="0"/>
    <x v="17"/>
    <x v="5"/>
    <x v="0"/>
    <x v="0"/>
    <x v="76"/>
    <x v="5"/>
  </r>
  <r>
    <x v="124"/>
    <x v="28"/>
    <x v="138"/>
    <x v="1"/>
    <x v="371"/>
    <x v="5"/>
    <x v="0"/>
    <x v="1"/>
    <x v="56"/>
    <x v="0"/>
  </r>
  <r>
    <x v="124"/>
    <x v="20"/>
    <x v="1593"/>
    <x v="0"/>
    <x v="272"/>
    <x v="5"/>
    <x v="0"/>
    <x v="0"/>
    <x v="56"/>
    <x v="5"/>
  </r>
  <r>
    <x v="124"/>
    <x v="38"/>
    <x v="225"/>
    <x v="0"/>
    <x v="500"/>
    <x v="5"/>
    <x v="0"/>
    <x v="0"/>
    <x v="61"/>
    <x v="5"/>
  </r>
  <r>
    <x v="124"/>
    <x v="20"/>
    <x v="375"/>
    <x v="1"/>
    <x v="69"/>
    <x v="5"/>
    <x v="0"/>
    <x v="1"/>
    <x v="56"/>
    <x v="5"/>
  </r>
  <r>
    <x v="124"/>
    <x v="32"/>
    <x v="1372"/>
    <x v="3"/>
    <x v="422"/>
    <x v="5"/>
    <x v="2"/>
    <x v="4"/>
    <x v="221"/>
    <x v="10"/>
  </r>
  <r>
    <x v="124"/>
    <x v="32"/>
    <x v="273"/>
    <x v="6"/>
    <x v="422"/>
    <x v="5"/>
    <x v="2"/>
    <x v="4"/>
    <x v="221"/>
    <x v="10"/>
  </r>
  <r>
    <x v="124"/>
    <x v="32"/>
    <x v="1690"/>
    <x v="7"/>
    <x v="422"/>
    <x v="5"/>
    <x v="2"/>
    <x v="4"/>
    <x v="221"/>
    <x v="10"/>
  </r>
  <r>
    <x v="124"/>
    <x v="32"/>
    <x v="870"/>
    <x v="5"/>
    <x v="533"/>
    <x v="5"/>
    <x v="2"/>
    <x v="4"/>
    <x v="221"/>
    <x v="10"/>
  </r>
  <r>
    <x v="124"/>
    <x v="37"/>
    <x v="53"/>
    <x v="1"/>
    <x v="523"/>
    <x v="5"/>
    <x v="0"/>
    <x v="1"/>
    <x v="56"/>
    <x v="12"/>
  </r>
  <r>
    <x v="124"/>
    <x v="23"/>
    <x v="11"/>
    <x v="3"/>
    <x v="285"/>
    <x v="5"/>
    <x v="0"/>
    <x v="2"/>
    <x v="56"/>
    <x v="6"/>
  </r>
  <r>
    <x v="125"/>
    <x v="9"/>
    <x v="1265"/>
    <x v="0"/>
    <x v="229"/>
    <x v="5"/>
    <x v="0"/>
    <x v="0"/>
    <x v="60"/>
    <x v="5"/>
  </r>
  <r>
    <x v="125"/>
    <x v="12"/>
    <x v="292"/>
    <x v="0"/>
    <x v="17"/>
    <x v="5"/>
    <x v="0"/>
    <x v="0"/>
    <x v="76"/>
    <x v="5"/>
  </r>
  <r>
    <x v="125"/>
    <x v="8"/>
    <x v="449"/>
    <x v="0"/>
    <x v="241"/>
    <x v="5"/>
    <x v="0"/>
    <x v="0"/>
    <x v="62"/>
    <x v="5"/>
  </r>
  <r>
    <x v="125"/>
    <x v="20"/>
    <x v="1159"/>
    <x v="0"/>
    <x v="61"/>
    <x v="5"/>
    <x v="0"/>
    <x v="0"/>
    <x v="60"/>
    <x v="5"/>
  </r>
  <r>
    <x v="125"/>
    <x v="1"/>
    <x v="158"/>
    <x v="1"/>
    <x v="431"/>
    <x v="5"/>
    <x v="0"/>
    <x v="1"/>
    <x v="57"/>
    <x v="4"/>
  </r>
  <r>
    <x v="125"/>
    <x v="24"/>
    <x v="134"/>
    <x v="3"/>
    <x v="221"/>
    <x v="5"/>
    <x v="0"/>
    <x v="2"/>
    <x v="57"/>
    <x v="6"/>
  </r>
  <r>
    <x v="125"/>
    <x v="19"/>
    <x v="803"/>
    <x v="0"/>
    <x v="474"/>
    <x v="5"/>
    <x v="0"/>
    <x v="0"/>
    <x v="62"/>
    <x v="3"/>
  </r>
  <r>
    <x v="125"/>
    <x v="38"/>
    <x v="246"/>
    <x v="0"/>
    <x v="500"/>
    <x v="5"/>
    <x v="0"/>
    <x v="0"/>
    <x v="61"/>
    <x v="5"/>
  </r>
  <r>
    <x v="125"/>
    <x v="32"/>
    <x v="1080"/>
    <x v="3"/>
    <x v="422"/>
    <x v="5"/>
    <x v="2"/>
    <x v="4"/>
    <x v="221"/>
    <x v="10"/>
  </r>
  <r>
    <x v="125"/>
    <x v="32"/>
    <x v="100"/>
    <x v="2"/>
    <x v="422"/>
    <x v="5"/>
    <x v="2"/>
    <x v="4"/>
    <x v="221"/>
    <x v="10"/>
  </r>
  <r>
    <x v="125"/>
    <x v="32"/>
    <x v="1018"/>
    <x v="6"/>
    <x v="422"/>
    <x v="5"/>
    <x v="2"/>
    <x v="4"/>
    <x v="221"/>
    <x v="10"/>
  </r>
  <r>
    <x v="125"/>
    <x v="32"/>
    <x v="1769"/>
    <x v="7"/>
    <x v="422"/>
    <x v="5"/>
    <x v="2"/>
    <x v="4"/>
    <x v="221"/>
    <x v="10"/>
  </r>
  <r>
    <x v="125"/>
    <x v="32"/>
    <x v="759"/>
    <x v="5"/>
    <x v="533"/>
    <x v="5"/>
    <x v="2"/>
    <x v="4"/>
    <x v="221"/>
    <x v="10"/>
  </r>
  <r>
    <x v="125"/>
    <x v="23"/>
    <x v="12"/>
    <x v="3"/>
    <x v="285"/>
    <x v="5"/>
    <x v="0"/>
    <x v="2"/>
    <x v="57"/>
    <x v="6"/>
  </r>
  <r>
    <x v="125"/>
    <x v="37"/>
    <x v="53"/>
    <x v="1"/>
    <x v="523"/>
    <x v="5"/>
    <x v="0"/>
    <x v="1"/>
    <x v="57"/>
    <x v="12"/>
  </r>
  <r>
    <x v="125"/>
    <x v="24"/>
    <x v="100"/>
    <x v="1"/>
    <x v="502"/>
    <x v="5"/>
    <x v="0"/>
    <x v="1"/>
    <x v="57"/>
    <x v="6"/>
  </r>
  <r>
    <x v="126"/>
    <x v="9"/>
    <x v="1330"/>
    <x v="0"/>
    <x v="229"/>
    <x v="5"/>
    <x v="0"/>
    <x v="0"/>
    <x v="64"/>
    <x v="5"/>
  </r>
  <r>
    <x v="126"/>
    <x v="20"/>
    <x v="866"/>
    <x v="0"/>
    <x v="61"/>
    <x v="5"/>
    <x v="0"/>
    <x v="0"/>
    <x v="64"/>
    <x v="5"/>
  </r>
  <r>
    <x v="126"/>
    <x v="12"/>
    <x v="600"/>
    <x v="0"/>
    <x v="17"/>
    <x v="5"/>
    <x v="0"/>
    <x v="0"/>
    <x v="76"/>
    <x v="5"/>
  </r>
  <r>
    <x v="126"/>
    <x v="1"/>
    <x v="90"/>
    <x v="3"/>
    <x v="431"/>
    <x v="5"/>
    <x v="0"/>
    <x v="2"/>
    <x v="58"/>
    <x v="4"/>
  </r>
  <r>
    <x v="126"/>
    <x v="38"/>
    <x v="102"/>
    <x v="0"/>
    <x v="500"/>
    <x v="5"/>
    <x v="0"/>
    <x v="0"/>
    <x v="61"/>
    <x v="5"/>
  </r>
  <r>
    <x v="126"/>
    <x v="24"/>
    <x v="134"/>
    <x v="1"/>
    <x v="246"/>
    <x v="5"/>
    <x v="0"/>
    <x v="1"/>
    <x v="58"/>
    <x v="6"/>
  </r>
  <r>
    <x v="126"/>
    <x v="32"/>
    <x v="1219"/>
    <x v="3"/>
    <x v="422"/>
    <x v="5"/>
    <x v="2"/>
    <x v="4"/>
    <x v="221"/>
    <x v="10"/>
  </r>
  <r>
    <x v="126"/>
    <x v="32"/>
    <x v="741"/>
    <x v="2"/>
    <x v="422"/>
    <x v="5"/>
    <x v="2"/>
    <x v="4"/>
    <x v="221"/>
    <x v="10"/>
  </r>
  <r>
    <x v="126"/>
    <x v="32"/>
    <x v="789"/>
    <x v="6"/>
    <x v="422"/>
    <x v="5"/>
    <x v="2"/>
    <x v="4"/>
    <x v="221"/>
    <x v="10"/>
  </r>
  <r>
    <x v="126"/>
    <x v="32"/>
    <x v="1788"/>
    <x v="7"/>
    <x v="422"/>
    <x v="5"/>
    <x v="2"/>
    <x v="4"/>
    <x v="221"/>
    <x v="10"/>
  </r>
  <r>
    <x v="126"/>
    <x v="32"/>
    <x v="1014"/>
    <x v="5"/>
    <x v="533"/>
    <x v="5"/>
    <x v="2"/>
    <x v="4"/>
    <x v="221"/>
    <x v="10"/>
  </r>
  <r>
    <x v="126"/>
    <x v="38"/>
    <x v="22"/>
    <x v="3"/>
    <x v="444"/>
    <x v="5"/>
    <x v="0"/>
    <x v="2"/>
    <x v="58"/>
    <x v="5"/>
  </r>
  <r>
    <x v="126"/>
    <x v="37"/>
    <x v="65"/>
    <x v="1"/>
    <x v="523"/>
    <x v="5"/>
    <x v="0"/>
    <x v="1"/>
    <x v="58"/>
    <x v="12"/>
  </r>
  <r>
    <x v="126"/>
    <x v="0"/>
    <x v="45"/>
    <x v="1"/>
    <x v="453"/>
    <x v="5"/>
    <x v="0"/>
    <x v="1"/>
    <x v="58"/>
    <x v="9"/>
  </r>
  <r>
    <x v="127"/>
    <x v="9"/>
    <x v="1333"/>
    <x v="0"/>
    <x v="229"/>
    <x v="5"/>
    <x v="0"/>
    <x v="0"/>
    <x v="64"/>
    <x v="5"/>
  </r>
  <r>
    <x v="127"/>
    <x v="8"/>
    <x v="779"/>
    <x v="0"/>
    <x v="241"/>
    <x v="5"/>
    <x v="0"/>
    <x v="0"/>
    <x v="62"/>
    <x v="5"/>
  </r>
  <r>
    <x v="127"/>
    <x v="20"/>
    <x v="337"/>
    <x v="0"/>
    <x v="61"/>
    <x v="5"/>
    <x v="0"/>
    <x v="0"/>
    <x v="64"/>
    <x v="5"/>
  </r>
  <r>
    <x v="127"/>
    <x v="12"/>
    <x v="415"/>
    <x v="0"/>
    <x v="17"/>
    <x v="5"/>
    <x v="0"/>
    <x v="0"/>
    <x v="76"/>
    <x v="5"/>
  </r>
  <r>
    <x v="127"/>
    <x v="1"/>
    <x v="90"/>
    <x v="3"/>
    <x v="431"/>
    <x v="5"/>
    <x v="0"/>
    <x v="2"/>
    <x v="59"/>
    <x v="4"/>
  </r>
  <r>
    <x v="127"/>
    <x v="15"/>
    <x v="471"/>
    <x v="3"/>
    <x v="353"/>
    <x v="5"/>
    <x v="0"/>
    <x v="2"/>
    <x v="59"/>
    <x v="4"/>
  </r>
  <r>
    <x v="127"/>
    <x v="38"/>
    <x v="253"/>
    <x v="0"/>
    <x v="500"/>
    <x v="5"/>
    <x v="0"/>
    <x v="0"/>
    <x v="61"/>
    <x v="5"/>
  </r>
  <r>
    <x v="127"/>
    <x v="19"/>
    <x v="803"/>
    <x v="0"/>
    <x v="474"/>
    <x v="5"/>
    <x v="0"/>
    <x v="0"/>
    <x v="62"/>
    <x v="3"/>
  </r>
  <r>
    <x v="127"/>
    <x v="32"/>
    <x v="785"/>
    <x v="3"/>
    <x v="422"/>
    <x v="5"/>
    <x v="2"/>
    <x v="4"/>
    <x v="221"/>
    <x v="10"/>
  </r>
  <r>
    <x v="127"/>
    <x v="32"/>
    <x v="228"/>
    <x v="2"/>
    <x v="422"/>
    <x v="5"/>
    <x v="2"/>
    <x v="4"/>
    <x v="221"/>
    <x v="10"/>
  </r>
  <r>
    <x v="127"/>
    <x v="32"/>
    <x v="878"/>
    <x v="6"/>
    <x v="422"/>
    <x v="5"/>
    <x v="2"/>
    <x v="4"/>
    <x v="221"/>
    <x v="10"/>
  </r>
  <r>
    <x v="127"/>
    <x v="32"/>
    <x v="1882"/>
    <x v="7"/>
    <x v="422"/>
    <x v="5"/>
    <x v="2"/>
    <x v="4"/>
    <x v="221"/>
    <x v="10"/>
  </r>
  <r>
    <x v="127"/>
    <x v="32"/>
    <x v="495"/>
    <x v="8"/>
    <x v="422"/>
    <x v="5"/>
    <x v="2"/>
    <x v="4"/>
    <x v="221"/>
    <x v="10"/>
  </r>
  <r>
    <x v="127"/>
    <x v="32"/>
    <x v="494"/>
    <x v="5"/>
    <x v="533"/>
    <x v="5"/>
    <x v="2"/>
    <x v="4"/>
    <x v="221"/>
    <x v="10"/>
  </r>
  <r>
    <x v="127"/>
    <x v="23"/>
    <x v="5"/>
    <x v="3"/>
    <x v="285"/>
    <x v="5"/>
    <x v="0"/>
    <x v="2"/>
    <x v="59"/>
    <x v="6"/>
  </r>
  <r>
    <x v="127"/>
    <x v="37"/>
    <x v="65"/>
    <x v="1"/>
    <x v="523"/>
    <x v="5"/>
    <x v="0"/>
    <x v="1"/>
    <x v="59"/>
    <x v="12"/>
  </r>
  <r>
    <x v="127"/>
    <x v="24"/>
    <x v="112"/>
    <x v="1"/>
    <x v="458"/>
    <x v="5"/>
    <x v="0"/>
    <x v="1"/>
    <x v="59"/>
    <x v="6"/>
  </r>
  <r>
    <x v="127"/>
    <x v="24"/>
    <x v="318"/>
    <x v="1"/>
    <x v="216"/>
    <x v="5"/>
    <x v="0"/>
    <x v="1"/>
    <x v="59"/>
    <x v="6"/>
  </r>
  <r>
    <x v="128"/>
    <x v="12"/>
    <x v="587"/>
    <x v="0"/>
    <x v="17"/>
    <x v="5"/>
    <x v="0"/>
    <x v="0"/>
    <x v="76"/>
    <x v="5"/>
  </r>
  <r>
    <x v="128"/>
    <x v="20"/>
    <x v="1009"/>
    <x v="0"/>
    <x v="61"/>
    <x v="5"/>
    <x v="0"/>
    <x v="0"/>
    <x v="64"/>
    <x v="5"/>
  </r>
  <r>
    <x v="128"/>
    <x v="8"/>
    <x v="449"/>
    <x v="0"/>
    <x v="241"/>
    <x v="5"/>
    <x v="0"/>
    <x v="0"/>
    <x v="62"/>
    <x v="5"/>
  </r>
  <r>
    <x v="128"/>
    <x v="9"/>
    <x v="1442"/>
    <x v="0"/>
    <x v="229"/>
    <x v="5"/>
    <x v="0"/>
    <x v="0"/>
    <x v="64"/>
    <x v="5"/>
  </r>
  <r>
    <x v="128"/>
    <x v="1"/>
    <x v="60"/>
    <x v="3"/>
    <x v="431"/>
    <x v="5"/>
    <x v="0"/>
    <x v="2"/>
    <x v="60"/>
    <x v="4"/>
  </r>
  <r>
    <x v="128"/>
    <x v="20"/>
    <x v="49"/>
    <x v="3"/>
    <x v="381"/>
    <x v="5"/>
    <x v="0"/>
    <x v="2"/>
    <x v="60"/>
    <x v="5"/>
  </r>
  <r>
    <x v="128"/>
    <x v="3"/>
    <x v="549"/>
    <x v="1"/>
    <x v="579"/>
    <x v="5"/>
    <x v="0"/>
    <x v="1"/>
    <x v="60"/>
    <x v="4"/>
  </r>
  <r>
    <x v="128"/>
    <x v="13"/>
    <x v="87"/>
    <x v="3"/>
    <x v="119"/>
    <x v="5"/>
    <x v="0"/>
    <x v="2"/>
    <x v="60"/>
    <x v="5"/>
  </r>
  <r>
    <x v="128"/>
    <x v="26"/>
    <x v="90"/>
    <x v="1"/>
    <x v="344"/>
    <x v="5"/>
    <x v="0"/>
    <x v="1"/>
    <x v="60"/>
    <x v="5"/>
  </r>
  <r>
    <x v="128"/>
    <x v="30"/>
    <x v="1662"/>
    <x v="1"/>
    <x v="437"/>
    <x v="5"/>
    <x v="0"/>
    <x v="1"/>
    <x v="60"/>
    <x v="3"/>
  </r>
  <r>
    <x v="128"/>
    <x v="38"/>
    <x v="153"/>
    <x v="0"/>
    <x v="500"/>
    <x v="5"/>
    <x v="0"/>
    <x v="0"/>
    <x v="61"/>
    <x v="5"/>
  </r>
  <r>
    <x v="128"/>
    <x v="32"/>
    <x v="1029"/>
    <x v="3"/>
    <x v="422"/>
    <x v="5"/>
    <x v="2"/>
    <x v="4"/>
    <x v="221"/>
    <x v="10"/>
  </r>
  <r>
    <x v="128"/>
    <x v="32"/>
    <x v="186"/>
    <x v="4"/>
    <x v="547"/>
    <x v="5"/>
    <x v="2"/>
    <x v="4"/>
    <x v="221"/>
    <x v="10"/>
  </r>
  <r>
    <x v="128"/>
    <x v="32"/>
    <x v="305"/>
    <x v="6"/>
    <x v="422"/>
    <x v="5"/>
    <x v="2"/>
    <x v="4"/>
    <x v="221"/>
    <x v="10"/>
  </r>
  <r>
    <x v="128"/>
    <x v="32"/>
    <x v="1955"/>
    <x v="7"/>
    <x v="422"/>
    <x v="5"/>
    <x v="2"/>
    <x v="4"/>
    <x v="221"/>
    <x v="10"/>
  </r>
  <r>
    <x v="128"/>
    <x v="32"/>
    <x v="1355"/>
    <x v="5"/>
    <x v="533"/>
    <x v="5"/>
    <x v="2"/>
    <x v="4"/>
    <x v="221"/>
    <x v="10"/>
  </r>
  <r>
    <x v="128"/>
    <x v="37"/>
    <x v="60"/>
    <x v="1"/>
    <x v="523"/>
    <x v="5"/>
    <x v="0"/>
    <x v="1"/>
    <x v="60"/>
    <x v="12"/>
  </r>
  <r>
    <x v="128"/>
    <x v="19"/>
    <x v="803"/>
    <x v="0"/>
    <x v="474"/>
    <x v="5"/>
    <x v="0"/>
    <x v="0"/>
    <x v="62"/>
    <x v="3"/>
  </r>
  <r>
    <x v="129"/>
    <x v="12"/>
    <x v="626"/>
    <x v="0"/>
    <x v="17"/>
    <x v="6"/>
    <x v="0"/>
    <x v="0"/>
    <x v="105"/>
    <x v="5"/>
  </r>
  <r>
    <x v="129"/>
    <x v="20"/>
    <x v="1249"/>
    <x v="0"/>
    <x v="61"/>
    <x v="6"/>
    <x v="0"/>
    <x v="0"/>
    <x v="64"/>
    <x v="5"/>
  </r>
  <r>
    <x v="129"/>
    <x v="9"/>
    <x v="1609"/>
    <x v="0"/>
    <x v="229"/>
    <x v="6"/>
    <x v="0"/>
    <x v="0"/>
    <x v="64"/>
    <x v="5"/>
  </r>
  <r>
    <x v="129"/>
    <x v="38"/>
    <x v="357"/>
    <x v="1"/>
    <x v="389"/>
    <x v="6"/>
    <x v="0"/>
    <x v="1"/>
    <x v="61"/>
    <x v="5"/>
  </r>
  <r>
    <x v="129"/>
    <x v="36"/>
    <x v="45"/>
    <x v="1"/>
    <x v="375"/>
    <x v="6"/>
    <x v="0"/>
    <x v="1"/>
    <x v="61"/>
    <x v="5"/>
  </r>
  <r>
    <x v="129"/>
    <x v="1"/>
    <x v="158"/>
    <x v="3"/>
    <x v="431"/>
    <x v="6"/>
    <x v="0"/>
    <x v="2"/>
    <x v="61"/>
    <x v="4"/>
  </r>
  <r>
    <x v="129"/>
    <x v="17"/>
    <x v="1923"/>
    <x v="0"/>
    <x v="194"/>
    <x v="6"/>
    <x v="1"/>
    <x v="4"/>
    <x v="221"/>
    <x v="3"/>
  </r>
  <r>
    <x v="129"/>
    <x v="38"/>
    <x v="414"/>
    <x v="1"/>
    <x v="500"/>
    <x v="6"/>
    <x v="0"/>
    <x v="1"/>
    <x v="77"/>
    <x v="5"/>
  </r>
  <r>
    <x v="129"/>
    <x v="15"/>
    <x v="280"/>
    <x v="3"/>
    <x v="353"/>
    <x v="6"/>
    <x v="0"/>
    <x v="4"/>
    <x v="221"/>
    <x v="4"/>
  </r>
  <r>
    <x v="129"/>
    <x v="31"/>
    <x v="772"/>
    <x v="0"/>
    <x v="461"/>
    <x v="6"/>
    <x v="0"/>
    <x v="0"/>
    <x v="61"/>
    <x v="8"/>
  </r>
  <r>
    <x v="129"/>
    <x v="28"/>
    <x v="138"/>
    <x v="1"/>
    <x v="371"/>
    <x v="6"/>
    <x v="0"/>
    <x v="1"/>
    <x v="61"/>
    <x v="0"/>
  </r>
  <r>
    <x v="129"/>
    <x v="10"/>
    <x v="154"/>
    <x v="1"/>
    <x v="246"/>
    <x v="6"/>
    <x v="0"/>
    <x v="1"/>
    <x v="61"/>
    <x v="6"/>
  </r>
  <r>
    <x v="129"/>
    <x v="32"/>
    <x v="910"/>
    <x v="3"/>
    <x v="422"/>
    <x v="6"/>
    <x v="2"/>
    <x v="4"/>
    <x v="221"/>
    <x v="10"/>
  </r>
  <r>
    <x v="129"/>
    <x v="32"/>
    <x v="769"/>
    <x v="2"/>
    <x v="422"/>
    <x v="6"/>
    <x v="2"/>
    <x v="4"/>
    <x v="221"/>
    <x v="10"/>
  </r>
  <r>
    <x v="129"/>
    <x v="32"/>
    <x v="785"/>
    <x v="6"/>
    <x v="422"/>
    <x v="6"/>
    <x v="2"/>
    <x v="4"/>
    <x v="221"/>
    <x v="10"/>
  </r>
  <r>
    <x v="129"/>
    <x v="32"/>
    <x v="1969"/>
    <x v="7"/>
    <x v="422"/>
    <x v="6"/>
    <x v="2"/>
    <x v="4"/>
    <x v="221"/>
    <x v="10"/>
  </r>
  <r>
    <x v="129"/>
    <x v="32"/>
    <x v="1068"/>
    <x v="5"/>
    <x v="533"/>
    <x v="6"/>
    <x v="2"/>
    <x v="4"/>
    <x v="221"/>
    <x v="10"/>
  </r>
  <r>
    <x v="129"/>
    <x v="38"/>
    <x v="14"/>
    <x v="3"/>
    <x v="444"/>
    <x v="6"/>
    <x v="0"/>
    <x v="2"/>
    <x v="61"/>
    <x v="5"/>
  </r>
  <r>
    <x v="129"/>
    <x v="19"/>
    <x v="794"/>
    <x v="0"/>
    <x v="474"/>
    <x v="6"/>
    <x v="0"/>
    <x v="0"/>
    <x v="73"/>
    <x v="3"/>
  </r>
  <r>
    <x v="129"/>
    <x v="37"/>
    <x v="132"/>
    <x v="1"/>
    <x v="523"/>
    <x v="6"/>
    <x v="0"/>
    <x v="1"/>
    <x v="61"/>
    <x v="12"/>
  </r>
  <r>
    <x v="129"/>
    <x v="0"/>
    <x v="45"/>
    <x v="1"/>
    <x v="559"/>
    <x v="6"/>
    <x v="0"/>
    <x v="1"/>
    <x v="61"/>
    <x v="9"/>
  </r>
  <r>
    <x v="130"/>
    <x v="9"/>
    <x v="989"/>
    <x v="0"/>
    <x v="229"/>
    <x v="6"/>
    <x v="0"/>
    <x v="0"/>
    <x v="70"/>
    <x v="5"/>
  </r>
  <r>
    <x v="130"/>
    <x v="8"/>
    <x v="779"/>
    <x v="0"/>
    <x v="241"/>
    <x v="6"/>
    <x v="0"/>
    <x v="0"/>
    <x v="62"/>
    <x v="5"/>
  </r>
  <r>
    <x v="130"/>
    <x v="20"/>
    <x v="1242"/>
    <x v="0"/>
    <x v="61"/>
    <x v="6"/>
    <x v="0"/>
    <x v="0"/>
    <x v="70"/>
    <x v="5"/>
  </r>
  <r>
    <x v="130"/>
    <x v="12"/>
    <x v="708"/>
    <x v="0"/>
    <x v="17"/>
    <x v="6"/>
    <x v="0"/>
    <x v="0"/>
    <x v="105"/>
    <x v="5"/>
  </r>
  <r>
    <x v="130"/>
    <x v="1"/>
    <x v="48"/>
    <x v="3"/>
    <x v="431"/>
    <x v="6"/>
    <x v="0"/>
    <x v="2"/>
    <x v="62"/>
    <x v="4"/>
  </r>
  <r>
    <x v="130"/>
    <x v="12"/>
    <x v="426"/>
    <x v="1"/>
    <x v="515"/>
    <x v="6"/>
    <x v="0"/>
    <x v="1"/>
    <x v="62"/>
    <x v="5"/>
  </r>
  <r>
    <x v="130"/>
    <x v="24"/>
    <x v="112"/>
    <x v="1"/>
    <x v="246"/>
    <x v="6"/>
    <x v="0"/>
    <x v="1"/>
    <x v="62"/>
    <x v="6"/>
  </r>
  <r>
    <x v="130"/>
    <x v="38"/>
    <x v="138"/>
    <x v="1"/>
    <x v="500"/>
    <x v="6"/>
    <x v="0"/>
    <x v="1"/>
    <x v="77"/>
    <x v="5"/>
  </r>
  <r>
    <x v="130"/>
    <x v="39"/>
    <x v="894"/>
    <x v="0"/>
    <x v="578"/>
    <x v="6"/>
    <x v="0"/>
    <x v="0"/>
    <x v="62"/>
    <x v="5"/>
  </r>
  <r>
    <x v="130"/>
    <x v="10"/>
    <x v="1261"/>
    <x v="0"/>
    <x v="149"/>
    <x v="6"/>
    <x v="0"/>
    <x v="3"/>
    <x v="62"/>
    <x v="6"/>
  </r>
  <r>
    <x v="130"/>
    <x v="32"/>
    <x v="952"/>
    <x v="3"/>
    <x v="422"/>
    <x v="6"/>
    <x v="2"/>
    <x v="4"/>
    <x v="221"/>
    <x v="10"/>
  </r>
  <r>
    <x v="130"/>
    <x v="32"/>
    <x v="481"/>
    <x v="2"/>
    <x v="422"/>
    <x v="6"/>
    <x v="2"/>
    <x v="4"/>
    <x v="221"/>
    <x v="10"/>
  </r>
  <r>
    <x v="130"/>
    <x v="32"/>
    <x v="65"/>
    <x v="6"/>
    <x v="422"/>
    <x v="6"/>
    <x v="2"/>
    <x v="4"/>
    <x v="221"/>
    <x v="10"/>
  </r>
  <r>
    <x v="130"/>
    <x v="32"/>
    <x v="1715"/>
    <x v="7"/>
    <x v="422"/>
    <x v="6"/>
    <x v="2"/>
    <x v="4"/>
    <x v="221"/>
    <x v="10"/>
  </r>
  <r>
    <x v="130"/>
    <x v="32"/>
    <x v="438"/>
    <x v="8"/>
    <x v="422"/>
    <x v="6"/>
    <x v="2"/>
    <x v="4"/>
    <x v="221"/>
    <x v="10"/>
  </r>
  <r>
    <x v="130"/>
    <x v="32"/>
    <x v="1083"/>
    <x v="5"/>
    <x v="533"/>
    <x v="6"/>
    <x v="2"/>
    <x v="4"/>
    <x v="221"/>
    <x v="10"/>
  </r>
  <r>
    <x v="130"/>
    <x v="30"/>
    <x v="869"/>
    <x v="1"/>
    <x v="437"/>
    <x v="6"/>
    <x v="0"/>
    <x v="1"/>
    <x v="62"/>
    <x v="3"/>
  </r>
  <r>
    <x v="130"/>
    <x v="23"/>
    <x v="8"/>
    <x v="3"/>
    <x v="285"/>
    <x v="6"/>
    <x v="0"/>
    <x v="2"/>
    <x v="62"/>
    <x v="6"/>
  </r>
  <r>
    <x v="130"/>
    <x v="37"/>
    <x v="65"/>
    <x v="1"/>
    <x v="523"/>
    <x v="6"/>
    <x v="0"/>
    <x v="1"/>
    <x v="62"/>
    <x v="12"/>
  </r>
  <r>
    <x v="131"/>
    <x v="20"/>
    <x v="347"/>
    <x v="0"/>
    <x v="61"/>
    <x v="6"/>
    <x v="0"/>
    <x v="0"/>
    <x v="70"/>
    <x v="5"/>
  </r>
  <r>
    <x v="131"/>
    <x v="12"/>
    <x v="288"/>
    <x v="0"/>
    <x v="17"/>
    <x v="6"/>
    <x v="0"/>
    <x v="0"/>
    <x v="105"/>
    <x v="5"/>
  </r>
  <r>
    <x v="131"/>
    <x v="9"/>
    <x v="1471"/>
    <x v="0"/>
    <x v="229"/>
    <x v="6"/>
    <x v="0"/>
    <x v="0"/>
    <x v="70"/>
    <x v="5"/>
  </r>
  <r>
    <x v="131"/>
    <x v="1"/>
    <x v="90"/>
    <x v="3"/>
    <x v="431"/>
    <x v="6"/>
    <x v="0"/>
    <x v="2"/>
    <x v="63"/>
    <x v="4"/>
  </r>
  <r>
    <x v="131"/>
    <x v="0"/>
    <x v="599"/>
    <x v="1"/>
    <x v="482"/>
    <x v="6"/>
    <x v="0"/>
    <x v="1"/>
    <x v="63"/>
    <x v="9"/>
  </r>
  <r>
    <x v="131"/>
    <x v="38"/>
    <x v="305"/>
    <x v="1"/>
    <x v="500"/>
    <x v="6"/>
    <x v="0"/>
    <x v="1"/>
    <x v="77"/>
    <x v="5"/>
  </r>
  <r>
    <x v="131"/>
    <x v="26"/>
    <x v="90"/>
    <x v="1"/>
    <x v="344"/>
    <x v="6"/>
    <x v="0"/>
    <x v="1"/>
    <x v="63"/>
    <x v="5"/>
  </r>
  <r>
    <x v="131"/>
    <x v="32"/>
    <x v="575"/>
    <x v="3"/>
    <x v="422"/>
    <x v="6"/>
    <x v="2"/>
    <x v="4"/>
    <x v="221"/>
    <x v="10"/>
  </r>
  <r>
    <x v="131"/>
    <x v="32"/>
    <x v="143"/>
    <x v="2"/>
    <x v="422"/>
    <x v="6"/>
    <x v="2"/>
    <x v="4"/>
    <x v="221"/>
    <x v="10"/>
  </r>
  <r>
    <x v="131"/>
    <x v="32"/>
    <x v="109"/>
    <x v="6"/>
    <x v="422"/>
    <x v="6"/>
    <x v="2"/>
    <x v="4"/>
    <x v="221"/>
    <x v="10"/>
  </r>
  <r>
    <x v="131"/>
    <x v="32"/>
    <x v="1791"/>
    <x v="7"/>
    <x v="422"/>
    <x v="6"/>
    <x v="2"/>
    <x v="4"/>
    <x v="221"/>
    <x v="10"/>
  </r>
  <r>
    <x v="131"/>
    <x v="32"/>
    <x v="937"/>
    <x v="5"/>
    <x v="533"/>
    <x v="6"/>
    <x v="2"/>
    <x v="4"/>
    <x v="221"/>
    <x v="10"/>
  </r>
  <r>
    <x v="131"/>
    <x v="10"/>
    <x v="65"/>
    <x v="1"/>
    <x v="149"/>
    <x v="6"/>
    <x v="0"/>
    <x v="1"/>
    <x v="63"/>
    <x v="6"/>
  </r>
  <r>
    <x v="131"/>
    <x v="31"/>
    <x v="30"/>
    <x v="1"/>
    <x v="52"/>
    <x v="6"/>
    <x v="0"/>
    <x v="1"/>
    <x v="63"/>
    <x v="8"/>
  </r>
  <r>
    <x v="131"/>
    <x v="37"/>
    <x v="65"/>
    <x v="1"/>
    <x v="523"/>
    <x v="6"/>
    <x v="0"/>
    <x v="1"/>
    <x v="63"/>
    <x v="12"/>
  </r>
  <r>
    <x v="131"/>
    <x v="23"/>
    <x v="5"/>
    <x v="3"/>
    <x v="285"/>
    <x v="6"/>
    <x v="0"/>
    <x v="2"/>
    <x v="63"/>
    <x v="6"/>
  </r>
  <r>
    <x v="132"/>
    <x v="9"/>
    <x v="735"/>
    <x v="0"/>
    <x v="229"/>
    <x v="6"/>
    <x v="0"/>
    <x v="0"/>
    <x v="70"/>
    <x v="5"/>
  </r>
  <r>
    <x v="132"/>
    <x v="8"/>
    <x v="449"/>
    <x v="0"/>
    <x v="241"/>
    <x v="6"/>
    <x v="0"/>
    <x v="0"/>
    <x v="76"/>
    <x v="5"/>
  </r>
  <r>
    <x v="132"/>
    <x v="20"/>
    <x v="1093"/>
    <x v="0"/>
    <x v="61"/>
    <x v="6"/>
    <x v="0"/>
    <x v="0"/>
    <x v="70"/>
    <x v="5"/>
  </r>
  <r>
    <x v="132"/>
    <x v="20"/>
    <x v="49"/>
    <x v="1"/>
    <x v="381"/>
    <x v="6"/>
    <x v="0"/>
    <x v="1"/>
    <x v="64"/>
    <x v="5"/>
  </r>
  <r>
    <x v="132"/>
    <x v="0"/>
    <x v="869"/>
    <x v="0"/>
    <x v="279"/>
    <x v="6"/>
    <x v="0"/>
    <x v="3"/>
    <x v="64"/>
    <x v="9"/>
  </r>
  <r>
    <x v="132"/>
    <x v="0"/>
    <x v="1353"/>
    <x v="0"/>
    <x v="453"/>
    <x v="6"/>
    <x v="0"/>
    <x v="3"/>
    <x v="64"/>
    <x v="9"/>
  </r>
  <r>
    <x v="132"/>
    <x v="0"/>
    <x v="1146"/>
    <x v="0"/>
    <x v="352"/>
    <x v="6"/>
    <x v="0"/>
    <x v="3"/>
    <x v="64"/>
    <x v="9"/>
  </r>
  <r>
    <x v="132"/>
    <x v="0"/>
    <x v="256"/>
    <x v="1"/>
    <x v="566"/>
    <x v="6"/>
    <x v="0"/>
    <x v="1"/>
    <x v="64"/>
    <x v="9"/>
  </r>
  <r>
    <x v="132"/>
    <x v="0"/>
    <x v="45"/>
    <x v="3"/>
    <x v="447"/>
    <x v="6"/>
    <x v="0"/>
    <x v="2"/>
    <x v="64"/>
    <x v="9"/>
  </r>
  <r>
    <x v="132"/>
    <x v="38"/>
    <x v="19"/>
    <x v="3"/>
    <x v="444"/>
    <x v="6"/>
    <x v="0"/>
    <x v="2"/>
    <x v="64"/>
    <x v="5"/>
  </r>
  <r>
    <x v="132"/>
    <x v="37"/>
    <x v="62"/>
    <x v="1"/>
    <x v="523"/>
    <x v="6"/>
    <x v="0"/>
    <x v="1"/>
    <x v="64"/>
    <x v="12"/>
  </r>
  <r>
    <x v="132"/>
    <x v="25"/>
    <x v="50"/>
    <x v="1"/>
    <x v="320"/>
    <x v="6"/>
    <x v="0"/>
    <x v="1"/>
    <x v="64"/>
    <x v="12"/>
  </r>
  <r>
    <x v="132"/>
    <x v="12"/>
    <x v="525"/>
    <x v="0"/>
    <x v="17"/>
    <x v="6"/>
    <x v="0"/>
    <x v="0"/>
    <x v="105"/>
    <x v="5"/>
  </r>
  <r>
    <x v="132"/>
    <x v="38"/>
    <x v="205"/>
    <x v="1"/>
    <x v="500"/>
    <x v="6"/>
    <x v="0"/>
    <x v="1"/>
    <x v="77"/>
    <x v="5"/>
  </r>
  <r>
    <x v="132"/>
    <x v="38"/>
    <x v="357"/>
    <x v="1"/>
    <x v="389"/>
    <x v="6"/>
    <x v="0"/>
    <x v="1"/>
    <x v="64"/>
    <x v="5"/>
  </r>
  <r>
    <x v="132"/>
    <x v="32"/>
    <x v="1337"/>
    <x v="3"/>
    <x v="422"/>
    <x v="6"/>
    <x v="2"/>
    <x v="4"/>
    <x v="221"/>
    <x v="10"/>
  </r>
  <r>
    <x v="132"/>
    <x v="32"/>
    <x v="100"/>
    <x v="2"/>
    <x v="422"/>
    <x v="6"/>
    <x v="2"/>
    <x v="4"/>
    <x v="221"/>
    <x v="10"/>
  </r>
  <r>
    <x v="132"/>
    <x v="32"/>
    <x v="732"/>
    <x v="6"/>
    <x v="422"/>
    <x v="6"/>
    <x v="2"/>
    <x v="4"/>
    <x v="221"/>
    <x v="10"/>
  </r>
  <r>
    <x v="132"/>
    <x v="32"/>
    <x v="1773"/>
    <x v="7"/>
    <x v="422"/>
    <x v="6"/>
    <x v="2"/>
    <x v="4"/>
    <x v="221"/>
    <x v="10"/>
  </r>
  <r>
    <x v="132"/>
    <x v="32"/>
    <x v="1081"/>
    <x v="5"/>
    <x v="533"/>
    <x v="6"/>
    <x v="2"/>
    <x v="4"/>
    <x v="221"/>
    <x v="10"/>
  </r>
  <r>
    <x v="133"/>
    <x v="38"/>
    <x v="203"/>
    <x v="1"/>
    <x v="500"/>
    <x v="6"/>
    <x v="0"/>
    <x v="1"/>
    <x v="77"/>
    <x v="5"/>
  </r>
  <r>
    <x v="133"/>
    <x v="27"/>
    <x v="925"/>
    <x v="1"/>
    <x v="5"/>
    <x v="6"/>
    <x v="0"/>
    <x v="1"/>
    <x v="65"/>
    <x v="5"/>
  </r>
  <r>
    <x v="133"/>
    <x v="28"/>
    <x v="138"/>
    <x v="1"/>
    <x v="371"/>
    <x v="6"/>
    <x v="0"/>
    <x v="1"/>
    <x v="65"/>
    <x v="0"/>
  </r>
  <r>
    <x v="133"/>
    <x v="12"/>
    <x v="469"/>
    <x v="0"/>
    <x v="17"/>
    <x v="6"/>
    <x v="0"/>
    <x v="0"/>
    <x v="105"/>
    <x v="5"/>
  </r>
  <r>
    <x v="133"/>
    <x v="9"/>
    <x v="1555"/>
    <x v="0"/>
    <x v="229"/>
    <x v="6"/>
    <x v="0"/>
    <x v="0"/>
    <x v="70"/>
    <x v="5"/>
  </r>
  <r>
    <x v="133"/>
    <x v="21"/>
    <x v="672"/>
    <x v="0"/>
    <x v="163"/>
    <x v="6"/>
    <x v="0"/>
    <x v="0"/>
    <x v="64"/>
    <x v="3"/>
  </r>
  <r>
    <x v="133"/>
    <x v="20"/>
    <x v="919"/>
    <x v="0"/>
    <x v="61"/>
    <x v="6"/>
    <x v="0"/>
    <x v="0"/>
    <x v="70"/>
    <x v="5"/>
  </r>
  <r>
    <x v="133"/>
    <x v="1"/>
    <x v="158"/>
    <x v="3"/>
    <x v="431"/>
    <x v="6"/>
    <x v="0"/>
    <x v="1"/>
    <x v="65"/>
    <x v="4"/>
  </r>
  <r>
    <x v="133"/>
    <x v="3"/>
    <x v="599"/>
    <x v="3"/>
    <x v="579"/>
    <x v="6"/>
    <x v="0"/>
    <x v="2"/>
    <x v="65"/>
    <x v="4"/>
  </r>
  <r>
    <x v="133"/>
    <x v="19"/>
    <x v="794"/>
    <x v="0"/>
    <x v="474"/>
    <x v="6"/>
    <x v="0"/>
    <x v="0"/>
    <x v="73"/>
    <x v="3"/>
  </r>
  <r>
    <x v="133"/>
    <x v="18"/>
    <x v="683"/>
    <x v="0"/>
    <x v="217"/>
    <x v="6"/>
    <x v="0"/>
    <x v="3"/>
    <x v="62"/>
    <x v="3"/>
  </r>
  <r>
    <x v="133"/>
    <x v="24"/>
    <x v="869"/>
    <x v="0"/>
    <x v="127"/>
    <x v="6"/>
    <x v="0"/>
    <x v="3"/>
    <x v="65"/>
    <x v="6"/>
  </r>
  <r>
    <x v="133"/>
    <x v="32"/>
    <x v="1208"/>
    <x v="3"/>
    <x v="422"/>
    <x v="6"/>
    <x v="2"/>
    <x v="4"/>
    <x v="221"/>
    <x v="10"/>
  </r>
  <r>
    <x v="133"/>
    <x v="32"/>
    <x v="210"/>
    <x v="2"/>
    <x v="422"/>
    <x v="6"/>
    <x v="2"/>
    <x v="4"/>
    <x v="221"/>
    <x v="10"/>
  </r>
  <r>
    <x v="133"/>
    <x v="32"/>
    <x v="734"/>
    <x v="6"/>
    <x v="422"/>
    <x v="6"/>
    <x v="2"/>
    <x v="4"/>
    <x v="221"/>
    <x v="10"/>
  </r>
  <r>
    <x v="133"/>
    <x v="32"/>
    <x v="1940"/>
    <x v="7"/>
    <x v="422"/>
    <x v="6"/>
    <x v="2"/>
    <x v="4"/>
    <x v="221"/>
    <x v="10"/>
  </r>
  <r>
    <x v="133"/>
    <x v="32"/>
    <x v="744"/>
    <x v="5"/>
    <x v="533"/>
    <x v="6"/>
    <x v="2"/>
    <x v="4"/>
    <x v="221"/>
    <x v="10"/>
  </r>
  <r>
    <x v="133"/>
    <x v="37"/>
    <x v="65"/>
    <x v="1"/>
    <x v="523"/>
    <x v="6"/>
    <x v="0"/>
    <x v="1"/>
    <x v="65"/>
    <x v="12"/>
  </r>
  <r>
    <x v="133"/>
    <x v="38"/>
    <x v="30"/>
    <x v="1"/>
    <x v="401"/>
    <x v="6"/>
    <x v="0"/>
    <x v="1"/>
    <x v="65"/>
    <x v="5"/>
  </r>
  <r>
    <x v="133"/>
    <x v="32"/>
    <x v="117"/>
    <x v="4"/>
    <x v="536"/>
    <x v="6"/>
    <x v="2"/>
    <x v="4"/>
    <x v="221"/>
    <x v="10"/>
  </r>
  <r>
    <x v="133"/>
    <x v="23"/>
    <x v="12"/>
    <x v="3"/>
    <x v="285"/>
    <x v="6"/>
    <x v="0"/>
    <x v="2"/>
    <x v="65"/>
    <x v="6"/>
  </r>
  <r>
    <x v="134"/>
    <x v="8"/>
    <x v="449"/>
    <x v="0"/>
    <x v="241"/>
    <x v="6"/>
    <x v="0"/>
    <x v="0"/>
    <x v="76"/>
    <x v="5"/>
  </r>
  <r>
    <x v="134"/>
    <x v="20"/>
    <x v="1560"/>
    <x v="0"/>
    <x v="61"/>
    <x v="6"/>
    <x v="0"/>
    <x v="0"/>
    <x v="73"/>
    <x v="5"/>
  </r>
  <r>
    <x v="134"/>
    <x v="9"/>
    <x v="1628"/>
    <x v="0"/>
    <x v="229"/>
    <x v="6"/>
    <x v="0"/>
    <x v="0"/>
    <x v="70"/>
    <x v="5"/>
  </r>
  <r>
    <x v="134"/>
    <x v="38"/>
    <x v="53"/>
    <x v="1"/>
    <x v="402"/>
    <x v="6"/>
    <x v="0"/>
    <x v="1"/>
    <x v="65"/>
    <x v="5"/>
  </r>
  <r>
    <x v="134"/>
    <x v="20"/>
    <x v="375"/>
    <x v="1"/>
    <x v="69"/>
    <x v="6"/>
    <x v="0"/>
    <x v="1"/>
    <x v="65"/>
    <x v="5"/>
  </r>
  <r>
    <x v="134"/>
    <x v="13"/>
    <x v="1230"/>
    <x v="0"/>
    <x v="32"/>
    <x v="6"/>
    <x v="0"/>
    <x v="0"/>
    <x v="88"/>
    <x v="5"/>
  </r>
  <r>
    <x v="134"/>
    <x v="12"/>
    <x v="519"/>
    <x v="0"/>
    <x v="17"/>
    <x v="6"/>
    <x v="0"/>
    <x v="0"/>
    <x v="105"/>
    <x v="5"/>
  </r>
  <r>
    <x v="134"/>
    <x v="1"/>
    <x v="158"/>
    <x v="3"/>
    <x v="431"/>
    <x v="6"/>
    <x v="0"/>
    <x v="2"/>
    <x v="66"/>
    <x v="4"/>
  </r>
  <r>
    <x v="134"/>
    <x v="38"/>
    <x v="422"/>
    <x v="1"/>
    <x v="500"/>
    <x v="6"/>
    <x v="0"/>
    <x v="1"/>
    <x v="77"/>
    <x v="5"/>
  </r>
  <r>
    <x v="134"/>
    <x v="0"/>
    <x v="599"/>
    <x v="3"/>
    <x v="14"/>
    <x v="6"/>
    <x v="0"/>
    <x v="2"/>
    <x v="66"/>
    <x v="9"/>
  </r>
  <r>
    <x v="134"/>
    <x v="15"/>
    <x v="545"/>
    <x v="3"/>
    <x v="353"/>
    <x v="6"/>
    <x v="0"/>
    <x v="2"/>
    <x v="66"/>
    <x v="4"/>
  </r>
  <r>
    <x v="134"/>
    <x v="0"/>
    <x v="1570"/>
    <x v="0"/>
    <x v="298"/>
    <x v="6"/>
    <x v="0"/>
    <x v="1"/>
    <x v="66"/>
    <x v="9"/>
  </r>
  <r>
    <x v="134"/>
    <x v="32"/>
    <x v="1105"/>
    <x v="3"/>
    <x v="422"/>
    <x v="6"/>
    <x v="2"/>
    <x v="4"/>
    <x v="221"/>
    <x v="10"/>
  </r>
  <r>
    <x v="134"/>
    <x v="32"/>
    <x v="741"/>
    <x v="2"/>
    <x v="422"/>
    <x v="6"/>
    <x v="2"/>
    <x v="4"/>
    <x v="221"/>
    <x v="10"/>
  </r>
  <r>
    <x v="134"/>
    <x v="32"/>
    <x v="794"/>
    <x v="6"/>
    <x v="422"/>
    <x v="6"/>
    <x v="2"/>
    <x v="4"/>
    <x v="221"/>
    <x v="10"/>
  </r>
  <r>
    <x v="134"/>
    <x v="32"/>
    <x v="1828"/>
    <x v="7"/>
    <x v="422"/>
    <x v="6"/>
    <x v="2"/>
    <x v="4"/>
    <x v="221"/>
    <x v="10"/>
  </r>
  <r>
    <x v="134"/>
    <x v="32"/>
    <x v="1605"/>
    <x v="5"/>
    <x v="533"/>
    <x v="6"/>
    <x v="2"/>
    <x v="4"/>
    <x v="221"/>
    <x v="10"/>
  </r>
  <r>
    <x v="134"/>
    <x v="37"/>
    <x v="55"/>
    <x v="1"/>
    <x v="523"/>
    <x v="6"/>
    <x v="0"/>
    <x v="1"/>
    <x v="66"/>
    <x v="12"/>
  </r>
  <r>
    <x v="134"/>
    <x v="38"/>
    <x v="45"/>
    <x v="1"/>
    <x v="401"/>
    <x v="6"/>
    <x v="0"/>
    <x v="1"/>
    <x v="66"/>
    <x v="5"/>
  </r>
  <r>
    <x v="135"/>
    <x v="3"/>
    <x v="1369"/>
    <x v="0"/>
    <x v="153"/>
    <x v="6"/>
    <x v="0"/>
    <x v="3"/>
    <x v="67"/>
    <x v="4"/>
  </r>
  <r>
    <x v="135"/>
    <x v="20"/>
    <x v="1482"/>
    <x v="0"/>
    <x v="61"/>
    <x v="6"/>
    <x v="0"/>
    <x v="0"/>
    <x v="73"/>
    <x v="5"/>
  </r>
  <r>
    <x v="135"/>
    <x v="8"/>
    <x v="779"/>
    <x v="0"/>
    <x v="241"/>
    <x v="6"/>
    <x v="0"/>
    <x v="0"/>
    <x v="76"/>
    <x v="5"/>
  </r>
  <r>
    <x v="135"/>
    <x v="12"/>
    <x v="442"/>
    <x v="0"/>
    <x v="17"/>
    <x v="6"/>
    <x v="0"/>
    <x v="0"/>
    <x v="105"/>
    <x v="5"/>
  </r>
  <r>
    <x v="135"/>
    <x v="9"/>
    <x v="984"/>
    <x v="0"/>
    <x v="229"/>
    <x v="6"/>
    <x v="0"/>
    <x v="0"/>
    <x v="77"/>
    <x v="5"/>
  </r>
  <r>
    <x v="135"/>
    <x v="19"/>
    <x v="794"/>
    <x v="0"/>
    <x v="474"/>
    <x v="6"/>
    <x v="0"/>
    <x v="0"/>
    <x v="73"/>
    <x v="3"/>
  </r>
  <r>
    <x v="135"/>
    <x v="38"/>
    <x v="205"/>
    <x v="1"/>
    <x v="500"/>
    <x v="6"/>
    <x v="0"/>
    <x v="1"/>
    <x v="77"/>
    <x v="5"/>
  </r>
  <r>
    <x v="135"/>
    <x v="28"/>
    <x v="138"/>
    <x v="1"/>
    <x v="371"/>
    <x v="6"/>
    <x v="0"/>
    <x v="1"/>
    <x v="67"/>
    <x v="0"/>
  </r>
  <r>
    <x v="135"/>
    <x v="32"/>
    <x v="756"/>
    <x v="3"/>
    <x v="422"/>
    <x v="6"/>
    <x v="2"/>
    <x v="4"/>
    <x v="221"/>
    <x v="10"/>
  </r>
  <r>
    <x v="135"/>
    <x v="32"/>
    <x v="271"/>
    <x v="2"/>
    <x v="422"/>
    <x v="6"/>
    <x v="2"/>
    <x v="4"/>
    <x v="221"/>
    <x v="10"/>
  </r>
  <r>
    <x v="135"/>
    <x v="32"/>
    <x v="407"/>
    <x v="6"/>
    <x v="422"/>
    <x v="6"/>
    <x v="2"/>
    <x v="4"/>
    <x v="221"/>
    <x v="10"/>
  </r>
  <r>
    <x v="135"/>
    <x v="32"/>
    <x v="1849"/>
    <x v="7"/>
    <x v="422"/>
    <x v="6"/>
    <x v="2"/>
    <x v="4"/>
    <x v="221"/>
    <x v="10"/>
  </r>
  <r>
    <x v="135"/>
    <x v="32"/>
    <x v="775"/>
    <x v="8"/>
    <x v="422"/>
    <x v="6"/>
    <x v="2"/>
    <x v="4"/>
    <x v="221"/>
    <x v="10"/>
  </r>
  <r>
    <x v="135"/>
    <x v="32"/>
    <x v="1259"/>
    <x v="5"/>
    <x v="533"/>
    <x v="6"/>
    <x v="2"/>
    <x v="4"/>
    <x v="221"/>
    <x v="10"/>
  </r>
  <r>
    <x v="135"/>
    <x v="37"/>
    <x v="45"/>
    <x v="3"/>
    <x v="523"/>
    <x v="6"/>
    <x v="0"/>
    <x v="1"/>
    <x v="67"/>
    <x v="12"/>
  </r>
  <r>
    <x v="136"/>
    <x v="12"/>
    <x v="532"/>
    <x v="0"/>
    <x v="17"/>
    <x v="6"/>
    <x v="0"/>
    <x v="0"/>
    <x v="105"/>
    <x v="5"/>
  </r>
  <r>
    <x v="136"/>
    <x v="9"/>
    <x v="1460"/>
    <x v="0"/>
    <x v="229"/>
    <x v="6"/>
    <x v="0"/>
    <x v="0"/>
    <x v="73"/>
    <x v="5"/>
  </r>
  <r>
    <x v="136"/>
    <x v="20"/>
    <x v="1140"/>
    <x v="0"/>
    <x v="61"/>
    <x v="6"/>
    <x v="0"/>
    <x v="0"/>
    <x v="77"/>
    <x v="5"/>
  </r>
  <r>
    <x v="136"/>
    <x v="31"/>
    <x v="343"/>
    <x v="1"/>
    <x v="183"/>
    <x v="6"/>
    <x v="0"/>
    <x v="1"/>
    <x v="68"/>
    <x v="8"/>
  </r>
  <r>
    <x v="136"/>
    <x v="12"/>
    <x v="283"/>
    <x v="1"/>
    <x v="515"/>
    <x v="6"/>
    <x v="0"/>
    <x v="1"/>
    <x v="68"/>
    <x v="5"/>
  </r>
  <r>
    <x v="136"/>
    <x v="0"/>
    <x v="74"/>
    <x v="3"/>
    <x v="439"/>
    <x v="6"/>
    <x v="0"/>
    <x v="2"/>
    <x v="68"/>
    <x v="9"/>
  </r>
  <r>
    <x v="136"/>
    <x v="1"/>
    <x v="158"/>
    <x v="3"/>
    <x v="431"/>
    <x v="6"/>
    <x v="0"/>
    <x v="2"/>
    <x v="68"/>
    <x v="4"/>
  </r>
  <r>
    <x v="136"/>
    <x v="26"/>
    <x v="90"/>
    <x v="1"/>
    <x v="344"/>
    <x v="6"/>
    <x v="0"/>
    <x v="1"/>
    <x v="68"/>
    <x v="5"/>
  </r>
  <r>
    <x v="136"/>
    <x v="24"/>
    <x v="27"/>
    <x v="1"/>
    <x v="246"/>
    <x v="6"/>
    <x v="0"/>
    <x v="1"/>
    <x v="68"/>
    <x v="6"/>
  </r>
  <r>
    <x v="136"/>
    <x v="38"/>
    <x v="175"/>
    <x v="1"/>
    <x v="500"/>
    <x v="6"/>
    <x v="0"/>
    <x v="1"/>
    <x v="77"/>
    <x v="5"/>
  </r>
  <r>
    <x v="136"/>
    <x v="19"/>
    <x v="1258"/>
    <x v="0"/>
    <x v="474"/>
    <x v="6"/>
    <x v="0"/>
    <x v="0"/>
    <x v="73"/>
    <x v="3"/>
  </r>
  <r>
    <x v="136"/>
    <x v="32"/>
    <x v="980"/>
    <x v="3"/>
    <x v="422"/>
    <x v="6"/>
    <x v="2"/>
    <x v="4"/>
    <x v="221"/>
    <x v="10"/>
  </r>
  <r>
    <x v="136"/>
    <x v="32"/>
    <x v="198"/>
    <x v="2"/>
    <x v="422"/>
    <x v="6"/>
    <x v="2"/>
    <x v="4"/>
    <x v="221"/>
    <x v="10"/>
  </r>
  <r>
    <x v="136"/>
    <x v="32"/>
    <x v="398"/>
    <x v="6"/>
    <x v="422"/>
    <x v="6"/>
    <x v="2"/>
    <x v="4"/>
    <x v="221"/>
    <x v="10"/>
  </r>
  <r>
    <x v="136"/>
    <x v="32"/>
    <x v="1909"/>
    <x v="7"/>
    <x v="422"/>
    <x v="6"/>
    <x v="2"/>
    <x v="4"/>
    <x v="221"/>
    <x v="10"/>
  </r>
  <r>
    <x v="136"/>
    <x v="32"/>
    <x v="1315"/>
    <x v="5"/>
    <x v="533"/>
    <x v="6"/>
    <x v="2"/>
    <x v="4"/>
    <x v="221"/>
    <x v="10"/>
  </r>
  <r>
    <x v="136"/>
    <x v="28"/>
    <x v="554"/>
    <x v="1"/>
    <x v="494"/>
    <x v="6"/>
    <x v="0"/>
    <x v="1"/>
    <x v="68"/>
    <x v="0"/>
  </r>
  <r>
    <x v="136"/>
    <x v="37"/>
    <x v="69"/>
    <x v="1"/>
    <x v="523"/>
    <x v="6"/>
    <x v="0"/>
    <x v="1"/>
    <x v="68"/>
    <x v="12"/>
  </r>
  <r>
    <x v="136"/>
    <x v="23"/>
    <x v="6"/>
    <x v="3"/>
    <x v="285"/>
    <x v="6"/>
    <x v="0"/>
    <x v="2"/>
    <x v="68"/>
    <x v="6"/>
  </r>
  <r>
    <x v="137"/>
    <x v="20"/>
    <x v="49"/>
    <x v="3"/>
    <x v="381"/>
    <x v="6"/>
    <x v="0"/>
    <x v="2"/>
    <x v="69"/>
    <x v="5"/>
  </r>
  <r>
    <x v="137"/>
    <x v="9"/>
    <x v="1417"/>
    <x v="0"/>
    <x v="229"/>
    <x v="6"/>
    <x v="0"/>
    <x v="0"/>
    <x v="73"/>
    <x v="5"/>
  </r>
  <r>
    <x v="137"/>
    <x v="8"/>
    <x v="449"/>
    <x v="0"/>
    <x v="241"/>
    <x v="6"/>
    <x v="0"/>
    <x v="0"/>
    <x v="76"/>
    <x v="5"/>
  </r>
  <r>
    <x v="137"/>
    <x v="12"/>
    <x v="344"/>
    <x v="0"/>
    <x v="17"/>
    <x v="6"/>
    <x v="0"/>
    <x v="0"/>
    <x v="105"/>
    <x v="5"/>
  </r>
  <r>
    <x v="137"/>
    <x v="20"/>
    <x v="93"/>
    <x v="0"/>
    <x v="61"/>
    <x v="6"/>
    <x v="0"/>
    <x v="0"/>
    <x v="77"/>
    <x v="5"/>
  </r>
  <r>
    <x v="137"/>
    <x v="1"/>
    <x v="90"/>
    <x v="3"/>
    <x v="431"/>
    <x v="6"/>
    <x v="0"/>
    <x v="4"/>
    <x v="69"/>
    <x v="4"/>
  </r>
  <r>
    <x v="137"/>
    <x v="38"/>
    <x v="449"/>
    <x v="1"/>
    <x v="500"/>
    <x v="6"/>
    <x v="0"/>
    <x v="1"/>
    <x v="77"/>
    <x v="5"/>
  </r>
  <r>
    <x v="137"/>
    <x v="32"/>
    <x v="814"/>
    <x v="3"/>
    <x v="422"/>
    <x v="6"/>
    <x v="2"/>
    <x v="4"/>
    <x v="221"/>
    <x v="10"/>
  </r>
  <r>
    <x v="137"/>
    <x v="32"/>
    <x v="425"/>
    <x v="2"/>
    <x v="422"/>
    <x v="6"/>
    <x v="2"/>
    <x v="4"/>
    <x v="221"/>
    <x v="10"/>
  </r>
  <r>
    <x v="137"/>
    <x v="32"/>
    <x v="143"/>
    <x v="6"/>
    <x v="422"/>
    <x v="6"/>
    <x v="2"/>
    <x v="4"/>
    <x v="221"/>
    <x v="10"/>
  </r>
  <r>
    <x v="137"/>
    <x v="32"/>
    <x v="1741"/>
    <x v="7"/>
    <x v="422"/>
    <x v="6"/>
    <x v="2"/>
    <x v="4"/>
    <x v="221"/>
    <x v="10"/>
  </r>
  <r>
    <x v="137"/>
    <x v="32"/>
    <x v="290"/>
    <x v="5"/>
    <x v="533"/>
    <x v="6"/>
    <x v="2"/>
    <x v="4"/>
    <x v="221"/>
    <x v="10"/>
  </r>
  <r>
    <x v="137"/>
    <x v="24"/>
    <x v="30"/>
    <x v="3"/>
    <x v="52"/>
    <x v="6"/>
    <x v="0"/>
    <x v="2"/>
    <x v="69"/>
    <x v="6"/>
  </r>
  <r>
    <x v="137"/>
    <x v="37"/>
    <x v="50"/>
    <x v="3"/>
    <x v="523"/>
    <x v="6"/>
    <x v="0"/>
    <x v="2"/>
    <x v="69"/>
    <x v="12"/>
  </r>
  <r>
    <x v="138"/>
    <x v="12"/>
    <x v="605"/>
    <x v="0"/>
    <x v="17"/>
    <x v="6"/>
    <x v="0"/>
    <x v="0"/>
    <x v="105"/>
    <x v="5"/>
  </r>
  <r>
    <x v="138"/>
    <x v="9"/>
    <x v="975"/>
    <x v="0"/>
    <x v="229"/>
    <x v="6"/>
    <x v="0"/>
    <x v="0"/>
    <x v="73"/>
    <x v="5"/>
  </r>
  <r>
    <x v="138"/>
    <x v="20"/>
    <x v="886"/>
    <x v="0"/>
    <x v="61"/>
    <x v="6"/>
    <x v="0"/>
    <x v="0"/>
    <x v="77"/>
    <x v="5"/>
  </r>
  <r>
    <x v="138"/>
    <x v="20"/>
    <x v="343"/>
    <x v="1"/>
    <x v="124"/>
    <x v="6"/>
    <x v="0"/>
    <x v="1"/>
    <x v="70"/>
    <x v="5"/>
  </r>
  <r>
    <x v="138"/>
    <x v="3"/>
    <x v="599"/>
    <x v="0"/>
    <x v="579"/>
    <x v="6"/>
    <x v="0"/>
    <x v="3"/>
    <x v="70"/>
    <x v="4"/>
  </r>
  <r>
    <x v="138"/>
    <x v="10"/>
    <x v="375"/>
    <x v="1"/>
    <x v="149"/>
    <x v="6"/>
    <x v="0"/>
    <x v="1"/>
    <x v="70"/>
    <x v="6"/>
  </r>
  <r>
    <x v="138"/>
    <x v="38"/>
    <x v="329"/>
    <x v="1"/>
    <x v="389"/>
    <x v="6"/>
    <x v="0"/>
    <x v="1"/>
    <x v="70"/>
    <x v="5"/>
  </r>
  <r>
    <x v="138"/>
    <x v="24"/>
    <x v="158"/>
    <x v="1"/>
    <x v="246"/>
    <x v="6"/>
    <x v="0"/>
    <x v="1"/>
    <x v="70"/>
    <x v="6"/>
  </r>
  <r>
    <x v="138"/>
    <x v="38"/>
    <x v="155"/>
    <x v="1"/>
    <x v="500"/>
    <x v="6"/>
    <x v="0"/>
    <x v="1"/>
    <x v="77"/>
    <x v="5"/>
  </r>
  <r>
    <x v="138"/>
    <x v="32"/>
    <x v="1193"/>
    <x v="3"/>
    <x v="422"/>
    <x v="6"/>
    <x v="2"/>
    <x v="4"/>
    <x v="221"/>
    <x v="10"/>
  </r>
  <r>
    <x v="138"/>
    <x v="32"/>
    <x v="1800"/>
    <x v="0"/>
    <x v="422"/>
    <x v="6"/>
    <x v="2"/>
    <x v="4"/>
    <x v="221"/>
    <x v="10"/>
  </r>
  <r>
    <x v="138"/>
    <x v="32"/>
    <x v="444"/>
    <x v="8"/>
    <x v="422"/>
    <x v="6"/>
    <x v="2"/>
    <x v="4"/>
    <x v="221"/>
    <x v="10"/>
  </r>
  <r>
    <x v="138"/>
    <x v="32"/>
    <x v="667"/>
    <x v="5"/>
    <x v="533"/>
    <x v="6"/>
    <x v="2"/>
    <x v="4"/>
    <x v="221"/>
    <x v="10"/>
  </r>
  <r>
    <x v="138"/>
    <x v="37"/>
    <x v="60"/>
    <x v="1"/>
    <x v="523"/>
    <x v="6"/>
    <x v="0"/>
    <x v="1"/>
    <x v="70"/>
    <x v="12"/>
  </r>
  <r>
    <x v="138"/>
    <x v="32"/>
    <x v="117"/>
    <x v="6"/>
    <x v="190"/>
    <x v="6"/>
    <x v="2"/>
    <x v="4"/>
    <x v="221"/>
    <x v="10"/>
  </r>
  <r>
    <x v="138"/>
    <x v="23"/>
    <x v="11"/>
    <x v="3"/>
    <x v="285"/>
    <x v="6"/>
    <x v="0"/>
    <x v="2"/>
    <x v="70"/>
    <x v="6"/>
  </r>
  <r>
    <x v="139"/>
    <x v="12"/>
    <x v="476"/>
    <x v="0"/>
    <x v="17"/>
    <x v="6"/>
    <x v="0"/>
    <x v="0"/>
    <x v="111"/>
    <x v="5"/>
  </r>
  <r>
    <x v="139"/>
    <x v="9"/>
    <x v="1466"/>
    <x v="0"/>
    <x v="229"/>
    <x v="6"/>
    <x v="0"/>
    <x v="0"/>
    <x v="77"/>
    <x v="5"/>
  </r>
  <r>
    <x v="139"/>
    <x v="8"/>
    <x v="779"/>
    <x v="0"/>
    <x v="241"/>
    <x v="6"/>
    <x v="0"/>
    <x v="0"/>
    <x v="76"/>
    <x v="5"/>
  </r>
  <r>
    <x v="139"/>
    <x v="20"/>
    <x v="528"/>
    <x v="0"/>
    <x v="61"/>
    <x v="6"/>
    <x v="0"/>
    <x v="0"/>
    <x v="77"/>
    <x v="5"/>
  </r>
  <r>
    <x v="139"/>
    <x v="27"/>
    <x v="925"/>
    <x v="1"/>
    <x v="5"/>
    <x v="6"/>
    <x v="0"/>
    <x v="1"/>
    <x v="71"/>
    <x v="5"/>
  </r>
  <r>
    <x v="139"/>
    <x v="1"/>
    <x v="90"/>
    <x v="3"/>
    <x v="431"/>
    <x v="6"/>
    <x v="0"/>
    <x v="2"/>
    <x v="221"/>
    <x v="4"/>
  </r>
  <r>
    <x v="139"/>
    <x v="38"/>
    <x v="36"/>
    <x v="1"/>
    <x v="401"/>
    <x v="6"/>
    <x v="0"/>
    <x v="1"/>
    <x v="71"/>
    <x v="5"/>
  </r>
  <r>
    <x v="139"/>
    <x v="16"/>
    <x v="1329"/>
    <x v="0"/>
    <x v="193"/>
    <x v="6"/>
    <x v="0"/>
    <x v="0"/>
    <x v="71"/>
    <x v="6"/>
  </r>
  <r>
    <x v="139"/>
    <x v="32"/>
    <x v="867"/>
    <x v="3"/>
    <x v="422"/>
    <x v="6"/>
    <x v="2"/>
    <x v="4"/>
    <x v="221"/>
    <x v="10"/>
  </r>
  <r>
    <x v="139"/>
    <x v="32"/>
    <x v="972"/>
    <x v="2"/>
    <x v="422"/>
    <x v="6"/>
    <x v="2"/>
    <x v="4"/>
    <x v="221"/>
    <x v="10"/>
  </r>
  <r>
    <x v="139"/>
    <x v="32"/>
    <x v="232"/>
    <x v="6"/>
    <x v="422"/>
    <x v="6"/>
    <x v="2"/>
    <x v="4"/>
    <x v="221"/>
    <x v="10"/>
  </r>
  <r>
    <x v="139"/>
    <x v="32"/>
    <x v="1760"/>
    <x v="7"/>
    <x v="422"/>
    <x v="6"/>
    <x v="2"/>
    <x v="4"/>
    <x v="221"/>
    <x v="10"/>
  </r>
  <r>
    <x v="139"/>
    <x v="32"/>
    <x v="611"/>
    <x v="8"/>
    <x v="422"/>
    <x v="6"/>
    <x v="2"/>
    <x v="4"/>
    <x v="221"/>
    <x v="10"/>
  </r>
  <r>
    <x v="139"/>
    <x v="32"/>
    <x v="1378"/>
    <x v="5"/>
    <x v="533"/>
    <x v="6"/>
    <x v="2"/>
    <x v="4"/>
    <x v="221"/>
    <x v="10"/>
  </r>
  <r>
    <x v="139"/>
    <x v="37"/>
    <x v="101"/>
    <x v="1"/>
    <x v="523"/>
    <x v="6"/>
    <x v="0"/>
    <x v="1"/>
    <x v="71"/>
    <x v="12"/>
  </r>
  <r>
    <x v="139"/>
    <x v="38"/>
    <x v="251"/>
    <x v="0"/>
    <x v="500"/>
    <x v="6"/>
    <x v="0"/>
    <x v="0"/>
    <x v="90"/>
    <x v="5"/>
  </r>
  <r>
    <x v="140"/>
    <x v="12"/>
    <x v="603"/>
    <x v="0"/>
    <x v="17"/>
    <x v="6"/>
    <x v="0"/>
    <x v="0"/>
    <x v="111"/>
    <x v="5"/>
  </r>
  <r>
    <x v="140"/>
    <x v="9"/>
    <x v="1046"/>
    <x v="0"/>
    <x v="229"/>
    <x v="6"/>
    <x v="0"/>
    <x v="0"/>
    <x v="77"/>
    <x v="5"/>
  </r>
  <r>
    <x v="140"/>
    <x v="20"/>
    <x v="1546"/>
    <x v="0"/>
    <x v="61"/>
    <x v="6"/>
    <x v="0"/>
    <x v="0"/>
    <x v="77"/>
    <x v="5"/>
  </r>
  <r>
    <x v="140"/>
    <x v="13"/>
    <x v="1652"/>
    <x v="0"/>
    <x v="32"/>
    <x v="6"/>
    <x v="0"/>
    <x v="0"/>
    <x v="96"/>
    <x v="5"/>
  </r>
  <r>
    <x v="140"/>
    <x v="15"/>
    <x v="481"/>
    <x v="3"/>
    <x v="353"/>
    <x v="6"/>
    <x v="0"/>
    <x v="2"/>
    <x v="72"/>
    <x v="4"/>
  </r>
  <r>
    <x v="140"/>
    <x v="32"/>
    <x v="1361"/>
    <x v="3"/>
    <x v="422"/>
    <x v="6"/>
    <x v="2"/>
    <x v="4"/>
    <x v="221"/>
    <x v="10"/>
  </r>
  <r>
    <x v="140"/>
    <x v="32"/>
    <x v="584"/>
    <x v="2"/>
    <x v="422"/>
    <x v="6"/>
    <x v="2"/>
    <x v="4"/>
    <x v="221"/>
    <x v="10"/>
  </r>
  <r>
    <x v="140"/>
    <x v="32"/>
    <x v="205"/>
    <x v="6"/>
    <x v="422"/>
    <x v="6"/>
    <x v="2"/>
    <x v="4"/>
    <x v="221"/>
    <x v="10"/>
  </r>
  <r>
    <x v="140"/>
    <x v="32"/>
    <x v="1667"/>
    <x v="7"/>
    <x v="422"/>
    <x v="6"/>
    <x v="2"/>
    <x v="4"/>
    <x v="221"/>
    <x v="10"/>
  </r>
  <r>
    <x v="140"/>
    <x v="32"/>
    <x v="1095"/>
    <x v="5"/>
    <x v="533"/>
    <x v="6"/>
    <x v="2"/>
    <x v="4"/>
    <x v="221"/>
    <x v="10"/>
  </r>
  <r>
    <x v="140"/>
    <x v="37"/>
    <x v="69"/>
    <x v="1"/>
    <x v="523"/>
    <x v="6"/>
    <x v="0"/>
    <x v="1"/>
    <x v="72"/>
    <x v="12"/>
  </r>
  <r>
    <x v="140"/>
    <x v="24"/>
    <x v="147"/>
    <x v="1"/>
    <x v="246"/>
    <x v="6"/>
    <x v="0"/>
    <x v="1"/>
    <x v="72"/>
    <x v="6"/>
  </r>
  <r>
    <x v="140"/>
    <x v="38"/>
    <x v="170"/>
    <x v="0"/>
    <x v="500"/>
    <x v="6"/>
    <x v="0"/>
    <x v="0"/>
    <x v="90"/>
    <x v="5"/>
  </r>
  <r>
    <x v="140"/>
    <x v="0"/>
    <x v="134"/>
    <x v="1"/>
    <x v="566"/>
    <x v="6"/>
    <x v="0"/>
    <x v="1"/>
    <x v="72"/>
    <x v="9"/>
  </r>
  <r>
    <x v="141"/>
    <x v="9"/>
    <x v="1244"/>
    <x v="0"/>
    <x v="229"/>
    <x v="6"/>
    <x v="0"/>
    <x v="0"/>
    <x v="77"/>
    <x v="5"/>
  </r>
  <r>
    <x v="141"/>
    <x v="8"/>
    <x v="779"/>
    <x v="0"/>
    <x v="241"/>
    <x v="6"/>
    <x v="0"/>
    <x v="0"/>
    <x v="76"/>
    <x v="5"/>
  </r>
  <r>
    <x v="141"/>
    <x v="12"/>
    <x v="384"/>
    <x v="0"/>
    <x v="17"/>
    <x v="6"/>
    <x v="0"/>
    <x v="0"/>
    <x v="111"/>
    <x v="5"/>
  </r>
  <r>
    <x v="141"/>
    <x v="20"/>
    <x v="853"/>
    <x v="0"/>
    <x v="61"/>
    <x v="6"/>
    <x v="0"/>
    <x v="0"/>
    <x v="84"/>
    <x v="5"/>
  </r>
  <r>
    <x v="141"/>
    <x v="20"/>
    <x v="49"/>
    <x v="3"/>
    <x v="381"/>
    <x v="6"/>
    <x v="0"/>
    <x v="2"/>
    <x v="73"/>
    <x v="5"/>
  </r>
  <r>
    <x v="141"/>
    <x v="1"/>
    <x v="90"/>
    <x v="3"/>
    <x v="431"/>
    <x v="6"/>
    <x v="0"/>
    <x v="2"/>
    <x v="73"/>
    <x v="4"/>
  </r>
  <r>
    <x v="141"/>
    <x v="3"/>
    <x v="599"/>
    <x v="1"/>
    <x v="579"/>
    <x v="6"/>
    <x v="0"/>
    <x v="1"/>
    <x v="73"/>
    <x v="4"/>
  </r>
  <r>
    <x v="141"/>
    <x v="38"/>
    <x v="122"/>
    <x v="0"/>
    <x v="500"/>
    <x v="6"/>
    <x v="0"/>
    <x v="0"/>
    <x v="90"/>
    <x v="5"/>
  </r>
  <r>
    <x v="141"/>
    <x v="28"/>
    <x v="138"/>
    <x v="1"/>
    <x v="371"/>
    <x v="6"/>
    <x v="0"/>
    <x v="1"/>
    <x v="73"/>
    <x v="0"/>
  </r>
  <r>
    <x v="141"/>
    <x v="27"/>
    <x v="191"/>
    <x v="1"/>
    <x v="5"/>
    <x v="6"/>
    <x v="0"/>
    <x v="1"/>
    <x v="73"/>
    <x v="5"/>
  </r>
  <r>
    <x v="141"/>
    <x v="28"/>
    <x v="191"/>
    <x v="1"/>
    <x v="494"/>
    <x v="6"/>
    <x v="0"/>
    <x v="1"/>
    <x v="73"/>
    <x v="0"/>
  </r>
  <r>
    <x v="141"/>
    <x v="32"/>
    <x v="689"/>
    <x v="3"/>
    <x v="422"/>
    <x v="6"/>
    <x v="2"/>
    <x v="4"/>
    <x v="221"/>
    <x v="10"/>
  </r>
  <r>
    <x v="141"/>
    <x v="32"/>
    <x v="813"/>
    <x v="6"/>
    <x v="422"/>
    <x v="6"/>
    <x v="2"/>
    <x v="4"/>
    <x v="221"/>
    <x v="10"/>
  </r>
  <r>
    <x v="141"/>
    <x v="32"/>
    <x v="1825"/>
    <x v="7"/>
    <x v="422"/>
    <x v="6"/>
    <x v="2"/>
    <x v="4"/>
    <x v="221"/>
    <x v="10"/>
  </r>
  <r>
    <x v="141"/>
    <x v="32"/>
    <x v="622"/>
    <x v="5"/>
    <x v="533"/>
    <x v="6"/>
    <x v="2"/>
    <x v="4"/>
    <x v="221"/>
    <x v="10"/>
  </r>
  <r>
    <x v="141"/>
    <x v="37"/>
    <x v="60"/>
    <x v="1"/>
    <x v="523"/>
    <x v="6"/>
    <x v="0"/>
    <x v="1"/>
    <x v="73"/>
    <x v="12"/>
  </r>
  <r>
    <x v="142"/>
    <x v="12"/>
    <x v="326"/>
    <x v="0"/>
    <x v="17"/>
    <x v="6"/>
    <x v="0"/>
    <x v="0"/>
    <x v="111"/>
    <x v="5"/>
  </r>
  <r>
    <x v="142"/>
    <x v="9"/>
    <x v="1183"/>
    <x v="0"/>
    <x v="229"/>
    <x v="6"/>
    <x v="0"/>
    <x v="0"/>
    <x v="77"/>
    <x v="5"/>
  </r>
  <r>
    <x v="142"/>
    <x v="1"/>
    <x v="90"/>
    <x v="1"/>
    <x v="431"/>
    <x v="6"/>
    <x v="0"/>
    <x v="2"/>
    <x v="74"/>
    <x v="4"/>
  </r>
  <r>
    <x v="142"/>
    <x v="38"/>
    <x v="210"/>
    <x v="0"/>
    <x v="500"/>
    <x v="6"/>
    <x v="0"/>
    <x v="0"/>
    <x v="90"/>
    <x v="5"/>
  </r>
  <r>
    <x v="142"/>
    <x v="19"/>
    <x v="1258"/>
    <x v="0"/>
    <x v="474"/>
    <x v="6"/>
    <x v="0"/>
    <x v="0"/>
    <x v="82"/>
    <x v="3"/>
  </r>
  <r>
    <x v="142"/>
    <x v="32"/>
    <x v="1304"/>
    <x v="3"/>
    <x v="422"/>
    <x v="6"/>
    <x v="2"/>
    <x v="4"/>
    <x v="221"/>
    <x v="10"/>
  </r>
  <r>
    <x v="142"/>
    <x v="32"/>
    <x v="543"/>
    <x v="2"/>
    <x v="422"/>
    <x v="6"/>
    <x v="2"/>
    <x v="4"/>
    <x v="221"/>
    <x v="10"/>
  </r>
  <r>
    <x v="142"/>
    <x v="32"/>
    <x v="479"/>
    <x v="6"/>
    <x v="422"/>
    <x v="6"/>
    <x v="2"/>
    <x v="4"/>
    <x v="221"/>
    <x v="10"/>
  </r>
  <r>
    <x v="142"/>
    <x v="32"/>
    <x v="1843"/>
    <x v="7"/>
    <x v="422"/>
    <x v="6"/>
    <x v="2"/>
    <x v="4"/>
    <x v="221"/>
    <x v="10"/>
  </r>
  <r>
    <x v="142"/>
    <x v="32"/>
    <x v="854"/>
    <x v="8"/>
    <x v="422"/>
    <x v="6"/>
    <x v="2"/>
    <x v="4"/>
    <x v="221"/>
    <x v="10"/>
  </r>
  <r>
    <x v="142"/>
    <x v="32"/>
    <x v="938"/>
    <x v="5"/>
    <x v="533"/>
    <x v="6"/>
    <x v="2"/>
    <x v="4"/>
    <x v="221"/>
    <x v="10"/>
  </r>
  <r>
    <x v="142"/>
    <x v="23"/>
    <x v="15"/>
    <x v="3"/>
    <x v="285"/>
    <x v="6"/>
    <x v="0"/>
    <x v="2"/>
    <x v="74"/>
    <x v="6"/>
  </r>
  <r>
    <x v="142"/>
    <x v="37"/>
    <x v="83"/>
    <x v="1"/>
    <x v="523"/>
    <x v="6"/>
    <x v="0"/>
    <x v="1"/>
    <x v="74"/>
    <x v="12"/>
  </r>
  <r>
    <x v="143"/>
    <x v="9"/>
    <x v="1424"/>
    <x v="0"/>
    <x v="229"/>
    <x v="6"/>
    <x v="0"/>
    <x v="0"/>
    <x v="84"/>
    <x v="5"/>
  </r>
  <r>
    <x v="143"/>
    <x v="20"/>
    <x v="584"/>
    <x v="0"/>
    <x v="61"/>
    <x v="6"/>
    <x v="0"/>
    <x v="0"/>
    <x v="84"/>
    <x v="5"/>
  </r>
  <r>
    <x v="143"/>
    <x v="12"/>
    <x v="415"/>
    <x v="0"/>
    <x v="17"/>
    <x v="6"/>
    <x v="0"/>
    <x v="0"/>
    <x v="111"/>
    <x v="5"/>
  </r>
  <r>
    <x v="143"/>
    <x v="38"/>
    <x v="357"/>
    <x v="1"/>
    <x v="389"/>
    <x v="6"/>
    <x v="0"/>
    <x v="4"/>
    <x v="75"/>
    <x v="5"/>
  </r>
  <r>
    <x v="143"/>
    <x v="12"/>
    <x v="363"/>
    <x v="1"/>
    <x v="515"/>
    <x v="6"/>
    <x v="0"/>
    <x v="4"/>
    <x v="75"/>
    <x v="5"/>
  </r>
  <r>
    <x v="143"/>
    <x v="20"/>
    <x v="375"/>
    <x v="1"/>
    <x v="69"/>
    <x v="6"/>
    <x v="0"/>
    <x v="4"/>
    <x v="75"/>
    <x v="5"/>
  </r>
  <r>
    <x v="143"/>
    <x v="38"/>
    <x v="250"/>
    <x v="0"/>
    <x v="500"/>
    <x v="6"/>
    <x v="0"/>
    <x v="0"/>
    <x v="90"/>
    <x v="5"/>
  </r>
  <r>
    <x v="143"/>
    <x v="26"/>
    <x v="90"/>
    <x v="1"/>
    <x v="344"/>
    <x v="6"/>
    <x v="0"/>
    <x v="1"/>
    <x v="75"/>
    <x v="5"/>
  </r>
  <r>
    <x v="143"/>
    <x v="15"/>
    <x v="461"/>
    <x v="3"/>
    <x v="353"/>
    <x v="6"/>
    <x v="0"/>
    <x v="2"/>
    <x v="75"/>
    <x v="4"/>
  </r>
  <r>
    <x v="143"/>
    <x v="32"/>
    <x v="1581"/>
    <x v="3"/>
    <x v="422"/>
    <x v="6"/>
    <x v="2"/>
    <x v="4"/>
    <x v="221"/>
    <x v="10"/>
  </r>
  <r>
    <x v="143"/>
    <x v="32"/>
    <x v="12"/>
    <x v="6"/>
    <x v="422"/>
    <x v="6"/>
    <x v="2"/>
    <x v="4"/>
    <x v="221"/>
    <x v="10"/>
  </r>
  <r>
    <x v="143"/>
    <x v="32"/>
    <x v="1957"/>
    <x v="7"/>
    <x v="422"/>
    <x v="6"/>
    <x v="2"/>
    <x v="4"/>
    <x v="221"/>
    <x v="10"/>
  </r>
  <r>
    <x v="143"/>
    <x v="32"/>
    <x v="531"/>
    <x v="8"/>
    <x v="422"/>
    <x v="6"/>
    <x v="2"/>
    <x v="4"/>
    <x v="221"/>
    <x v="10"/>
  </r>
  <r>
    <x v="143"/>
    <x v="32"/>
    <x v="876"/>
    <x v="5"/>
    <x v="533"/>
    <x v="6"/>
    <x v="2"/>
    <x v="4"/>
    <x v="221"/>
    <x v="10"/>
  </r>
  <r>
    <x v="143"/>
    <x v="37"/>
    <x v="158"/>
    <x v="1"/>
    <x v="523"/>
    <x v="6"/>
    <x v="0"/>
    <x v="1"/>
    <x v="75"/>
    <x v="12"/>
  </r>
  <r>
    <x v="144"/>
    <x v="0"/>
    <x v="256"/>
    <x v="1"/>
    <x v="453"/>
    <x v="6"/>
    <x v="0"/>
    <x v="1"/>
    <x v="76"/>
    <x v="9"/>
  </r>
  <r>
    <x v="144"/>
    <x v="0"/>
    <x v="87"/>
    <x v="1"/>
    <x v="566"/>
    <x v="6"/>
    <x v="0"/>
    <x v="1"/>
    <x v="76"/>
    <x v="9"/>
  </r>
  <r>
    <x v="144"/>
    <x v="0"/>
    <x v="87"/>
    <x v="1"/>
    <x v="279"/>
    <x v="6"/>
    <x v="0"/>
    <x v="1"/>
    <x v="76"/>
    <x v="9"/>
  </r>
  <r>
    <x v="144"/>
    <x v="0"/>
    <x v="87"/>
    <x v="1"/>
    <x v="447"/>
    <x v="6"/>
    <x v="0"/>
    <x v="1"/>
    <x v="76"/>
    <x v="9"/>
  </r>
  <r>
    <x v="145"/>
    <x v="12"/>
    <x v="495"/>
    <x v="0"/>
    <x v="17"/>
    <x v="6"/>
    <x v="0"/>
    <x v="0"/>
    <x v="111"/>
    <x v="5"/>
  </r>
  <r>
    <x v="145"/>
    <x v="9"/>
    <x v="1248"/>
    <x v="0"/>
    <x v="229"/>
    <x v="6"/>
    <x v="0"/>
    <x v="0"/>
    <x v="84"/>
    <x v="5"/>
  </r>
  <r>
    <x v="145"/>
    <x v="8"/>
    <x v="449"/>
    <x v="0"/>
    <x v="241"/>
    <x v="6"/>
    <x v="0"/>
    <x v="0"/>
    <x v="76"/>
    <x v="5"/>
  </r>
  <r>
    <x v="145"/>
    <x v="20"/>
    <x v="1059"/>
    <x v="0"/>
    <x v="61"/>
    <x v="6"/>
    <x v="0"/>
    <x v="0"/>
    <x v="84"/>
    <x v="5"/>
  </r>
  <r>
    <x v="145"/>
    <x v="1"/>
    <x v="127"/>
    <x v="3"/>
    <x v="431"/>
    <x v="6"/>
    <x v="0"/>
    <x v="2"/>
    <x v="76"/>
    <x v="4"/>
  </r>
  <r>
    <x v="145"/>
    <x v="24"/>
    <x v="65"/>
    <x v="1"/>
    <x v="246"/>
    <x v="6"/>
    <x v="0"/>
    <x v="1"/>
    <x v="76"/>
    <x v="6"/>
  </r>
  <r>
    <x v="145"/>
    <x v="0"/>
    <x v="869"/>
    <x v="1"/>
    <x v="352"/>
    <x v="6"/>
    <x v="0"/>
    <x v="1"/>
    <x v="76"/>
    <x v="9"/>
  </r>
  <r>
    <x v="145"/>
    <x v="38"/>
    <x v="295"/>
    <x v="0"/>
    <x v="500"/>
    <x v="6"/>
    <x v="0"/>
    <x v="0"/>
    <x v="90"/>
    <x v="5"/>
  </r>
  <r>
    <x v="145"/>
    <x v="32"/>
    <x v="1184"/>
    <x v="3"/>
    <x v="422"/>
    <x v="6"/>
    <x v="2"/>
    <x v="4"/>
    <x v="221"/>
    <x v="10"/>
  </r>
  <r>
    <x v="145"/>
    <x v="32"/>
    <x v="74"/>
    <x v="6"/>
    <x v="422"/>
    <x v="6"/>
    <x v="2"/>
    <x v="4"/>
    <x v="221"/>
    <x v="10"/>
  </r>
  <r>
    <x v="145"/>
    <x v="32"/>
    <x v="1665"/>
    <x v="7"/>
    <x v="422"/>
    <x v="6"/>
    <x v="2"/>
    <x v="4"/>
    <x v="221"/>
    <x v="10"/>
  </r>
  <r>
    <x v="145"/>
    <x v="32"/>
    <x v="291"/>
    <x v="8"/>
    <x v="422"/>
    <x v="6"/>
    <x v="2"/>
    <x v="4"/>
    <x v="221"/>
    <x v="10"/>
  </r>
  <r>
    <x v="145"/>
    <x v="32"/>
    <x v="937"/>
    <x v="5"/>
    <x v="533"/>
    <x v="6"/>
    <x v="2"/>
    <x v="4"/>
    <x v="221"/>
    <x v="10"/>
  </r>
  <r>
    <x v="145"/>
    <x v="37"/>
    <x v="50"/>
    <x v="3"/>
    <x v="523"/>
    <x v="6"/>
    <x v="0"/>
    <x v="1"/>
    <x v="76"/>
    <x v="12"/>
  </r>
  <r>
    <x v="146"/>
    <x v="9"/>
    <x v="1007"/>
    <x v="0"/>
    <x v="229"/>
    <x v="6"/>
    <x v="0"/>
    <x v="0"/>
    <x v="84"/>
    <x v="5"/>
  </r>
  <r>
    <x v="146"/>
    <x v="8"/>
    <x v="779"/>
    <x v="0"/>
    <x v="241"/>
    <x v="6"/>
    <x v="0"/>
    <x v="0"/>
    <x v="94"/>
    <x v="5"/>
  </r>
  <r>
    <x v="146"/>
    <x v="20"/>
    <x v="385"/>
    <x v="0"/>
    <x v="61"/>
    <x v="6"/>
    <x v="0"/>
    <x v="0"/>
    <x v="84"/>
    <x v="5"/>
  </r>
  <r>
    <x v="146"/>
    <x v="12"/>
    <x v="376"/>
    <x v="0"/>
    <x v="17"/>
    <x v="6"/>
    <x v="0"/>
    <x v="0"/>
    <x v="111"/>
    <x v="5"/>
  </r>
  <r>
    <x v="146"/>
    <x v="1"/>
    <x v="127"/>
    <x v="3"/>
    <x v="431"/>
    <x v="6"/>
    <x v="0"/>
    <x v="2"/>
    <x v="77"/>
    <x v="4"/>
  </r>
  <r>
    <x v="146"/>
    <x v="19"/>
    <x v="1258"/>
    <x v="0"/>
    <x v="474"/>
    <x v="6"/>
    <x v="0"/>
    <x v="0"/>
    <x v="82"/>
    <x v="3"/>
  </r>
  <r>
    <x v="146"/>
    <x v="38"/>
    <x v="231"/>
    <x v="0"/>
    <x v="500"/>
    <x v="6"/>
    <x v="0"/>
    <x v="0"/>
    <x v="90"/>
    <x v="5"/>
  </r>
  <r>
    <x v="146"/>
    <x v="32"/>
    <x v="973"/>
    <x v="3"/>
    <x v="422"/>
    <x v="6"/>
    <x v="2"/>
    <x v="4"/>
    <x v="221"/>
    <x v="10"/>
  </r>
  <r>
    <x v="146"/>
    <x v="32"/>
    <x v="1148"/>
    <x v="2"/>
    <x v="422"/>
    <x v="6"/>
    <x v="2"/>
    <x v="4"/>
    <x v="221"/>
    <x v="10"/>
  </r>
  <r>
    <x v="146"/>
    <x v="32"/>
    <x v="486"/>
    <x v="6"/>
    <x v="422"/>
    <x v="6"/>
    <x v="2"/>
    <x v="4"/>
    <x v="221"/>
    <x v="10"/>
  </r>
  <r>
    <x v="146"/>
    <x v="32"/>
    <x v="1721"/>
    <x v="7"/>
    <x v="422"/>
    <x v="6"/>
    <x v="2"/>
    <x v="4"/>
    <x v="221"/>
    <x v="10"/>
  </r>
  <r>
    <x v="146"/>
    <x v="32"/>
    <x v="1041"/>
    <x v="5"/>
    <x v="533"/>
    <x v="6"/>
    <x v="2"/>
    <x v="4"/>
    <x v="221"/>
    <x v="10"/>
  </r>
  <r>
    <x v="146"/>
    <x v="37"/>
    <x v="67"/>
    <x v="1"/>
    <x v="523"/>
    <x v="6"/>
    <x v="0"/>
    <x v="1"/>
    <x v="77"/>
    <x v="12"/>
  </r>
  <r>
    <x v="147"/>
    <x v="12"/>
    <x v="431"/>
    <x v="0"/>
    <x v="17"/>
    <x v="6"/>
    <x v="0"/>
    <x v="0"/>
    <x v="111"/>
    <x v="5"/>
  </r>
  <r>
    <x v="147"/>
    <x v="20"/>
    <x v="1493"/>
    <x v="0"/>
    <x v="61"/>
    <x v="6"/>
    <x v="0"/>
    <x v="0"/>
    <x v="84"/>
    <x v="5"/>
  </r>
  <r>
    <x v="147"/>
    <x v="9"/>
    <x v="1429"/>
    <x v="0"/>
    <x v="229"/>
    <x v="6"/>
    <x v="0"/>
    <x v="0"/>
    <x v="86"/>
    <x v="5"/>
  </r>
  <r>
    <x v="147"/>
    <x v="28"/>
    <x v="138"/>
    <x v="1"/>
    <x v="371"/>
    <x v="6"/>
    <x v="0"/>
    <x v="1"/>
    <x v="78"/>
    <x v="0"/>
  </r>
  <r>
    <x v="147"/>
    <x v="12"/>
    <x v="363"/>
    <x v="1"/>
    <x v="515"/>
    <x v="6"/>
    <x v="0"/>
    <x v="1"/>
    <x v="78"/>
    <x v="5"/>
  </r>
  <r>
    <x v="147"/>
    <x v="36"/>
    <x v="45"/>
    <x v="1"/>
    <x v="375"/>
    <x v="6"/>
    <x v="0"/>
    <x v="1"/>
    <x v="78"/>
    <x v="5"/>
  </r>
  <r>
    <x v="147"/>
    <x v="38"/>
    <x v="45"/>
    <x v="1"/>
    <x v="401"/>
    <x v="6"/>
    <x v="0"/>
    <x v="1"/>
    <x v="78"/>
    <x v="5"/>
  </r>
  <r>
    <x v="147"/>
    <x v="1"/>
    <x v="90"/>
    <x v="3"/>
    <x v="431"/>
    <x v="6"/>
    <x v="0"/>
    <x v="2"/>
    <x v="78"/>
    <x v="4"/>
  </r>
  <r>
    <x v="147"/>
    <x v="6"/>
    <x v="518"/>
    <x v="1"/>
    <x v="127"/>
    <x v="6"/>
    <x v="0"/>
    <x v="1"/>
    <x v="78"/>
    <x v="7"/>
  </r>
  <r>
    <x v="147"/>
    <x v="18"/>
    <x v="375"/>
    <x v="1"/>
    <x v="138"/>
    <x v="6"/>
    <x v="0"/>
    <x v="1"/>
    <x v="78"/>
    <x v="3"/>
  </r>
  <r>
    <x v="147"/>
    <x v="38"/>
    <x v="119"/>
    <x v="0"/>
    <x v="500"/>
    <x v="6"/>
    <x v="0"/>
    <x v="0"/>
    <x v="90"/>
    <x v="5"/>
  </r>
  <r>
    <x v="147"/>
    <x v="32"/>
    <x v="1568"/>
    <x v="3"/>
    <x v="422"/>
    <x v="6"/>
    <x v="2"/>
    <x v="4"/>
    <x v="221"/>
    <x v="10"/>
  </r>
  <r>
    <x v="147"/>
    <x v="32"/>
    <x v="553"/>
    <x v="2"/>
    <x v="422"/>
    <x v="6"/>
    <x v="2"/>
    <x v="4"/>
    <x v="221"/>
    <x v="10"/>
  </r>
  <r>
    <x v="147"/>
    <x v="32"/>
    <x v="277"/>
    <x v="6"/>
    <x v="422"/>
    <x v="6"/>
    <x v="2"/>
    <x v="4"/>
    <x v="221"/>
    <x v="10"/>
  </r>
  <r>
    <x v="147"/>
    <x v="32"/>
    <x v="1704"/>
    <x v="7"/>
    <x v="422"/>
    <x v="6"/>
    <x v="2"/>
    <x v="4"/>
    <x v="221"/>
    <x v="10"/>
  </r>
  <r>
    <x v="147"/>
    <x v="32"/>
    <x v="299"/>
    <x v="8"/>
    <x v="422"/>
    <x v="6"/>
    <x v="2"/>
    <x v="4"/>
    <x v="221"/>
    <x v="10"/>
  </r>
  <r>
    <x v="147"/>
    <x v="32"/>
    <x v="712"/>
    <x v="5"/>
    <x v="533"/>
    <x v="6"/>
    <x v="2"/>
    <x v="4"/>
    <x v="221"/>
    <x v="10"/>
  </r>
  <r>
    <x v="147"/>
    <x v="37"/>
    <x v="61"/>
    <x v="1"/>
    <x v="523"/>
    <x v="6"/>
    <x v="0"/>
    <x v="1"/>
    <x v="78"/>
    <x v="12"/>
  </r>
  <r>
    <x v="148"/>
    <x v="9"/>
    <x v="1167"/>
    <x v="0"/>
    <x v="229"/>
    <x v="6"/>
    <x v="0"/>
    <x v="0"/>
    <x v="86"/>
    <x v="5"/>
  </r>
  <r>
    <x v="148"/>
    <x v="20"/>
    <x v="107"/>
    <x v="0"/>
    <x v="61"/>
    <x v="6"/>
    <x v="0"/>
    <x v="0"/>
    <x v="87"/>
    <x v="5"/>
  </r>
  <r>
    <x v="148"/>
    <x v="20"/>
    <x v="94"/>
    <x v="3"/>
    <x v="381"/>
    <x v="6"/>
    <x v="0"/>
    <x v="2"/>
    <x v="79"/>
    <x v="5"/>
  </r>
  <r>
    <x v="148"/>
    <x v="12"/>
    <x v="384"/>
    <x v="0"/>
    <x v="17"/>
    <x v="6"/>
    <x v="0"/>
    <x v="0"/>
    <x v="111"/>
    <x v="5"/>
  </r>
  <r>
    <x v="148"/>
    <x v="3"/>
    <x v="599"/>
    <x v="3"/>
    <x v="579"/>
    <x v="6"/>
    <x v="0"/>
    <x v="2"/>
    <x v="79"/>
    <x v="4"/>
  </r>
  <r>
    <x v="148"/>
    <x v="27"/>
    <x v="925"/>
    <x v="0"/>
    <x v="5"/>
    <x v="6"/>
    <x v="0"/>
    <x v="3"/>
    <x v="79"/>
    <x v="5"/>
  </r>
  <r>
    <x v="148"/>
    <x v="22"/>
    <x v="318"/>
    <x v="3"/>
    <x v="259"/>
    <x v="6"/>
    <x v="0"/>
    <x v="2"/>
    <x v="79"/>
    <x v="3"/>
  </r>
  <r>
    <x v="148"/>
    <x v="38"/>
    <x v="277"/>
    <x v="0"/>
    <x v="500"/>
    <x v="6"/>
    <x v="0"/>
    <x v="0"/>
    <x v="90"/>
    <x v="5"/>
  </r>
  <r>
    <x v="148"/>
    <x v="1"/>
    <x v="60"/>
    <x v="3"/>
    <x v="431"/>
    <x v="6"/>
    <x v="0"/>
    <x v="2"/>
    <x v="79"/>
    <x v="4"/>
  </r>
  <r>
    <x v="148"/>
    <x v="32"/>
    <x v="1391"/>
    <x v="3"/>
    <x v="422"/>
    <x v="6"/>
    <x v="2"/>
    <x v="4"/>
    <x v="221"/>
    <x v="10"/>
  </r>
  <r>
    <x v="148"/>
    <x v="32"/>
    <x v="156"/>
    <x v="6"/>
    <x v="422"/>
    <x v="6"/>
    <x v="2"/>
    <x v="4"/>
    <x v="221"/>
    <x v="10"/>
  </r>
  <r>
    <x v="148"/>
    <x v="32"/>
    <x v="1864"/>
    <x v="7"/>
    <x v="422"/>
    <x v="6"/>
    <x v="2"/>
    <x v="4"/>
    <x v="221"/>
    <x v="10"/>
  </r>
  <r>
    <x v="148"/>
    <x v="32"/>
    <x v="1494"/>
    <x v="5"/>
    <x v="533"/>
    <x v="6"/>
    <x v="2"/>
    <x v="4"/>
    <x v="221"/>
    <x v="10"/>
  </r>
  <r>
    <x v="148"/>
    <x v="32"/>
    <x v="779"/>
    <x v="8"/>
    <x v="422"/>
    <x v="6"/>
    <x v="2"/>
    <x v="4"/>
    <x v="221"/>
    <x v="10"/>
  </r>
  <r>
    <x v="148"/>
    <x v="37"/>
    <x v="59"/>
    <x v="3"/>
    <x v="523"/>
    <x v="6"/>
    <x v="0"/>
    <x v="2"/>
    <x v="79"/>
    <x v="12"/>
  </r>
  <r>
    <x v="149"/>
    <x v="9"/>
    <x v="1438"/>
    <x v="0"/>
    <x v="229"/>
    <x v="6"/>
    <x v="0"/>
    <x v="0"/>
    <x v="86"/>
    <x v="5"/>
  </r>
  <r>
    <x v="149"/>
    <x v="8"/>
    <x v="779"/>
    <x v="0"/>
    <x v="241"/>
    <x v="6"/>
    <x v="0"/>
    <x v="0"/>
    <x v="94"/>
    <x v="5"/>
  </r>
  <r>
    <x v="149"/>
    <x v="12"/>
    <x v="495"/>
    <x v="0"/>
    <x v="17"/>
    <x v="6"/>
    <x v="0"/>
    <x v="0"/>
    <x v="122"/>
    <x v="5"/>
  </r>
  <r>
    <x v="149"/>
    <x v="20"/>
    <x v="1000"/>
    <x v="0"/>
    <x v="61"/>
    <x v="6"/>
    <x v="0"/>
    <x v="0"/>
    <x v="87"/>
    <x v="5"/>
  </r>
  <r>
    <x v="149"/>
    <x v="38"/>
    <x v="329"/>
    <x v="1"/>
    <x v="389"/>
    <x v="6"/>
    <x v="0"/>
    <x v="1"/>
    <x v="80"/>
    <x v="5"/>
  </r>
  <r>
    <x v="149"/>
    <x v="0"/>
    <x v="375"/>
    <x v="1"/>
    <x v="482"/>
    <x v="6"/>
    <x v="0"/>
    <x v="1"/>
    <x v="80"/>
    <x v="9"/>
  </r>
  <r>
    <x v="149"/>
    <x v="1"/>
    <x v="90"/>
    <x v="3"/>
    <x v="431"/>
    <x v="6"/>
    <x v="0"/>
    <x v="2"/>
    <x v="80"/>
    <x v="4"/>
  </r>
  <r>
    <x v="149"/>
    <x v="19"/>
    <x v="794"/>
    <x v="0"/>
    <x v="474"/>
    <x v="6"/>
    <x v="0"/>
    <x v="0"/>
    <x v="82"/>
    <x v="3"/>
  </r>
  <r>
    <x v="149"/>
    <x v="15"/>
    <x v="536"/>
    <x v="3"/>
    <x v="353"/>
    <x v="6"/>
    <x v="0"/>
    <x v="2"/>
    <x v="80"/>
    <x v="4"/>
  </r>
  <r>
    <x v="149"/>
    <x v="38"/>
    <x v="297"/>
    <x v="0"/>
    <x v="500"/>
    <x v="6"/>
    <x v="0"/>
    <x v="0"/>
    <x v="90"/>
    <x v="5"/>
  </r>
  <r>
    <x v="149"/>
    <x v="32"/>
    <x v="1509"/>
    <x v="3"/>
    <x v="422"/>
    <x v="6"/>
    <x v="2"/>
    <x v="4"/>
    <x v="221"/>
    <x v="10"/>
  </r>
  <r>
    <x v="149"/>
    <x v="32"/>
    <x v="120"/>
    <x v="2"/>
    <x v="422"/>
    <x v="6"/>
    <x v="2"/>
    <x v="4"/>
    <x v="221"/>
    <x v="10"/>
  </r>
  <r>
    <x v="149"/>
    <x v="32"/>
    <x v="1829"/>
    <x v="7"/>
    <x v="422"/>
    <x v="6"/>
    <x v="2"/>
    <x v="4"/>
    <x v="221"/>
    <x v="10"/>
  </r>
  <r>
    <x v="149"/>
    <x v="32"/>
    <x v="599"/>
    <x v="8"/>
    <x v="422"/>
    <x v="6"/>
    <x v="2"/>
    <x v="4"/>
    <x v="221"/>
    <x v="10"/>
  </r>
  <r>
    <x v="149"/>
    <x v="32"/>
    <x v="1111"/>
    <x v="5"/>
    <x v="533"/>
    <x v="6"/>
    <x v="2"/>
    <x v="4"/>
    <x v="221"/>
    <x v="10"/>
  </r>
  <r>
    <x v="149"/>
    <x v="37"/>
    <x v="69"/>
    <x v="1"/>
    <x v="523"/>
    <x v="6"/>
    <x v="0"/>
    <x v="1"/>
    <x v="80"/>
    <x v="12"/>
  </r>
  <r>
    <x v="149"/>
    <x v="28"/>
    <x v="799"/>
    <x v="1"/>
    <x v="494"/>
    <x v="6"/>
    <x v="0"/>
    <x v="1"/>
    <x v="81"/>
    <x v="0"/>
  </r>
  <r>
    <x v="150"/>
    <x v="12"/>
    <x v="617"/>
    <x v="0"/>
    <x v="17"/>
    <x v="6"/>
    <x v="0"/>
    <x v="0"/>
    <x v="122"/>
    <x v="5"/>
  </r>
  <r>
    <x v="150"/>
    <x v="27"/>
    <x v="191"/>
    <x v="1"/>
    <x v="5"/>
    <x v="6"/>
    <x v="0"/>
    <x v="1"/>
    <x v="81"/>
    <x v="5"/>
  </r>
  <r>
    <x v="150"/>
    <x v="1"/>
    <x v="60"/>
    <x v="1"/>
    <x v="431"/>
    <x v="6"/>
    <x v="0"/>
    <x v="1"/>
    <x v="81"/>
    <x v="4"/>
  </r>
  <r>
    <x v="150"/>
    <x v="19"/>
    <x v="794"/>
    <x v="0"/>
    <x v="474"/>
    <x v="6"/>
    <x v="0"/>
    <x v="0"/>
    <x v="82"/>
    <x v="3"/>
  </r>
  <r>
    <x v="150"/>
    <x v="38"/>
    <x v="281"/>
    <x v="0"/>
    <x v="500"/>
    <x v="6"/>
    <x v="0"/>
    <x v="0"/>
    <x v="90"/>
    <x v="5"/>
  </r>
  <r>
    <x v="150"/>
    <x v="32"/>
    <x v="1579"/>
    <x v="3"/>
    <x v="422"/>
    <x v="6"/>
    <x v="2"/>
    <x v="4"/>
    <x v="221"/>
    <x v="10"/>
  </r>
  <r>
    <x v="150"/>
    <x v="32"/>
    <x v="1199"/>
    <x v="0"/>
    <x v="422"/>
    <x v="6"/>
    <x v="2"/>
    <x v="4"/>
    <x v="221"/>
    <x v="10"/>
  </r>
  <r>
    <x v="150"/>
    <x v="32"/>
    <x v="745"/>
    <x v="6"/>
    <x v="422"/>
    <x v="6"/>
    <x v="2"/>
    <x v="4"/>
    <x v="221"/>
    <x v="10"/>
  </r>
  <r>
    <x v="150"/>
    <x v="32"/>
    <x v="1897"/>
    <x v="7"/>
    <x v="422"/>
    <x v="6"/>
    <x v="2"/>
    <x v="4"/>
    <x v="221"/>
    <x v="10"/>
  </r>
  <r>
    <x v="150"/>
    <x v="32"/>
    <x v="539"/>
    <x v="8"/>
    <x v="422"/>
    <x v="6"/>
    <x v="2"/>
    <x v="4"/>
    <x v="221"/>
    <x v="10"/>
  </r>
  <r>
    <x v="150"/>
    <x v="32"/>
    <x v="1373"/>
    <x v="5"/>
    <x v="533"/>
    <x v="6"/>
    <x v="2"/>
    <x v="4"/>
    <x v="221"/>
    <x v="10"/>
  </r>
  <r>
    <x v="150"/>
    <x v="24"/>
    <x v="27"/>
    <x v="1"/>
    <x v="246"/>
    <x v="6"/>
    <x v="0"/>
    <x v="1"/>
    <x v="81"/>
    <x v="6"/>
  </r>
  <r>
    <x v="150"/>
    <x v="37"/>
    <x v="62"/>
    <x v="1"/>
    <x v="523"/>
    <x v="6"/>
    <x v="0"/>
    <x v="1"/>
    <x v="81"/>
    <x v="12"/>
  </r>
  <r>
    <x v="151"/>
    <x v="9"/>
    <x v="1476"/>
    <x v="0"/>
    <x v="229"/>
    <x v="6"/>
    <x v="0"/>
    <x v="0"/>
    <x v="86"/>
    <x v="5"/>
  </r>
  <r>
    <x v="151"/>
    <x v="12"/>
    <x v="582"/>
    <x v="0"/>
    <x v="17"/>
    <x v="6"/>
    <x v="0"/>
    <x v="0"/>
    <x v="122"/>
    <x v="5"/>
  </r>
  <r>
    <x v="151"/>
    <x v="27"/>
    <x v="1134"/>
    <x v="1"/>
    <x v="5"/>
    <x v="6"/>
    <x v="0"/>
    <x v="1"/>
    <x v="82"/>
    <x v="5"/>
  </r>
  <r>
    <x v="151"/>
    <x v="28"/>
    <x v="138"/>
    <x v="1"/>
    <x v="371"/>
    <x v="6"/>
    <x v="0"/>
    <x v="1"/>
    <x v="82"/>
    <x v="0"/>
  </r>
  <r>
    <x v="151"/>
    <x v="24"/>
    <x v="198"/>
    <x v="1"/>
    <x v="82"/>
    <x v="6"/>
    <x v="0"/>
    <x v="1"/>
    <x v="82"/>
    <x v="6"/>
  </r>
  <r>
    <x v="151"/>
    <x v="8"/>
    <x v="449"/>
    <x v="0"/>
    <x v="241"/>
    <x v="6"/>
    <x v="0"/>
    <x v="0"/>
    <x v="94"/>
    <x v="5"/>
  </r>
  <r>
    <x v="151"/>
    <x v="20"/>
    <x v="558"/>
    <x v="0"/>
    <x v="61"/>
    <x v="6"/>
    <x v="0"/>
    <x v="0"/>
    <x v="87"/>
    <x v="5"/>
  </r>
  <r>
    <x v="151"/>
    <x v="1"/>
    <x v="76"/>
    <x v="3"/>
    <x v="431"/>
    <x v="6"/>
    <x v="0"/>
    <x v="2"/>
    <x v="82"/>
    <x v="4"/>
  </r>
  <r>
    <x v="151"/>
    <x v="38"/>
    <x v="185"/>
    <x v="0"/>
    <x v="500"/>
    <x v="6"/>
    <x v="0"/>
    <x v="0"/>
    <x v="90"/>
    <x v="5"/>
  </r>
  <r>
    <x v="151"/>
    <x v="10"/>
    <x v="599"/>
    <x v="1"/>
    <x v="149"/>
    <x v="6"/>
    <x v="0"/>
    <x v="1"/>
    <x v="82"/>
    <x v="6"/>
  </r>
  <r>
    <x v="151"/>
    <x v="32"/>
    <x v="1222"/>
    <x v="3"/>
    <x v="422"/>
    <x v="6"/>
    <x v="2"/>
    <x v="4"/>
    <x v="221"/>
    <x v="10"/>
  </r>
  <r>
    <x v="151"/>
    <x v="32"/>
    <x v="90"/>
    <x v="2"/>
    <x v="422"/>
    <x v="6"/>
    <x v="2"/>
    <x v="4"/>
    <x v="221"/>
    <x v="10"/>
  </r>
  <r>
    <x v="151"/>
    <x v="32"/>
    <x v="522"/>
    <x v="6"/>
    <x v="422"/>
    <x v="6"/>
    <x v="2"/>
    <x v="4"/>
    <x v="221"/>
    <x v="10"/>
  </r>
  <r>
    <x v="151"/>
    <x v="32"/>
    <x v="1627"/>
    <x v="7"/>
    <x v="422"/>
    <x v="6"/>
    <x v="2"/>
    <x v="4"/>
    <x v="221"/>
    <x v="10"/>
  </r>
  <r>
    <x v="151"/>
    <x v="32"/>
    <x v="412"/>
    <x v="8"/>
    <x v="422"/>
    <x v="6"/>
    <x v="2"/>
    <x v="4"/>
    <x v="221"/>
    <x v="10"/>
  </r>
  <r>
    <x v="151"/>
    <x v="32"/>
    <x v="936"/>
    <x v="5"/>
    <x v="533"/>
    <x v="6"/>
    <x v="2"/>
    <x v="4"/>
    <x v="221"/>
    <x v="10"/>
  </r>
  <r>
    <x v="151"/>
    <x v="37"/>
    <x v="66"/>
    <x v="1"/>
    <x v="523"/>
    <x v="6"/>
    <x v="0"/>
    <x v="1"/>
    <x v="82"/>
    <x v="12"/>
  </r>
  <r>
    <x v="151"/>
    <x v="0"/>
    <x v="1483"/>
    <x v="1"/>
    <x v="279"/>
    <x v="6"/>
    <x v="0"/>
    <x v="1"/>
    <x v="82"/>
    <x v="9"/>
  </r>
  <r>
    <x v="152"/>
    <x v="12"/>
    <x v="159"/>
    <x v="0"/>
    <x v="17"/>
    <x v="6"/>
    <x v="0"/>
    <x v="0"/>
    <x v="122"/>
    <x v="5"/>
  </r>
  <r>
    <x v="152"/>
    <x v="9"/>
    <x v="1433"/>
    <x v="0"/>
    <x v="229"/>
    <x v="6"/>
    <x v="0"/>
    <x v="0"/>
    <x v="86"/>
    <x v="5"/>
  </r>
  <r>
    <x v="152"/>
    <x v="20"/>
    <x v="518"/>
    <x v="1"/>
    <x v="71"/>
    <x v="6"/>
    <x v="0"/>
    <x v="1"/>
    <x v="83"/>
    <x v="5"/>
  </r>
  <r>
    <x v="152"/>
    <x v="24"/>
    <x v="53"/>
    <x v="1"/>
    <x v="246"/>
    <x v="6"/>
    <x v="0"/>
    <x v="1"/>
    <x v="83"/>
    <x v="6"/>
  </r>
  <r>
    <x v="152"/>
    <x v="20"/>
    <x v="1469"/>
    <x v="0"/>
    <x v="61"/>
    <x v="6"/>
    <x v="0"/>
    <x v="0"/>
    <x v="87"/>
    <x v="5"/>
  </r>
  <r>
    <x v="152"/>
    <x v="1"/>
    <x v="158"/>
    <x v="3"/>
    <x v="431"/>
    <x v="6"/>
    <x v="0"/>
    <x v="2"/>
    <x v="83"/>
    <x v="4"/>
  </r>
  <r>
    <x v="152"/>
    <x v="38"/>
    <x v="112"/>
    <x v="0"/>
    <x v="500"/>
    <x v="6"/>
    <x v="0"/>
    <x v="0"/>
    <x v="90"/>
    <x v="5"/>
  </r>
  <r>
    <x v="152"/>
    <x v="32"/>
    <x v="1076"/>
    <x v="3"/>
    <x v="422"/>
    <x v="6"/>
    <x v="2"/>
    <x v="4"/>
    <x v="221"/>
    <x v="10"/>
  </r>
  <r>
    <x v="152"/>
    <x v="32"/>
    <x v="454"/>
    <x v="2"/>
    <x v="422"/>
    <x v="6"/>
    <x v="2"/>
    <x v="4"/>
    <x v="221"/>
    <x v="10"/>
  </r>
  <r>
    <x v="152"/>
    <x v="32"/>
    <x v="69"/>
    <x v="6"/>
    <x v="422"/>
    <x v="6"/>
    <x v="2"/>
    <x v="4"/>
    <x v="221"/>
    <x v="10"/>
  </r>
  <r>
    <x v="152"/>
    <x v="32"/>
    <x v="1906"/>
    <x v="7"/>
    <x v="422"/>
    <x v="6"/>
    <x v="2"/>
    <x v="4"/>
    <x v="221"/>
    <x v="10"/>
  </r>
  <r>
    <x v="152"/>
    <x v="32"/>
    <x v="370"/>
    <x v="8"/>
    <x v="422"/>
    <x v="6"/>
    <x v="2"/>
    <x v="4"/>
    <x v="221"/>
    <x v="10"/>
  </r>
  <r>
    <x v="152"/>
    <x v="32"/>
    <x v="906"/>
    <x v="5"/>
    <x v="533"/>
    <x v="6"/>
    <x v="2"/>
    <x v="4"/>
    <x v="221"/>
    <x v="10"/>
  </r>
  <r>
    <x v="152"/>
    <x v="37"/>
    <x v="53"/>
    <x v="1"/>
    <x v="523"/>
    <x v="6"/>
    <x v="0"/>
    <x v="1"/>
    <x v="83"/>
    <x v="12"/>
  </r>
  <r>
    <x v="152"/>
    <x v="24"/>
    <x v="53"/>
    <x v="1"/>
    <x v="246"/>
    <x v="6"/>
    <x v="0"/>
    <x v="1"/>
    <x v="83"/>
    <x v="6"/>
  </r>
  <r>
    <x v="153"/>
    <x v="9"/>
    <x v="1571"/>
    <x v="0"/>
    <x v="229"/>
    <x v="6"/>
    <x v="0"/>
    <x v="0"/>
    <x v="88"/>
    <x v="5"/>
  </r>
  <r>
    <x v="153"/>
    <x v="8"/>
    <x v="779"/>
    <x v="0"/>
    <x v="241"/>
    <x v="6"/>
    <x v="0"/>
    <x v="0"/>
    <x v="94"/>
    <x v="5"/>
  </r>
  <r>
    <x v="153"/>
    <x v="12"/>
    <x v="609"/>
    <x v="0"/>
    <x v="17"/>
    <x v="6"/>
    <x v="0"/>
    <x v="0"/>
    <x v="122"/>
    <x v="5"/>
  </r>
  <r>
    <x v="153"/>
    <x v="20"/>
    <x v="1326"/>
    <x v="0"/>
    <x v="61"/>
    <x v="6"/>
    <x v="0"/>
    <x v="0"/>
    <x v="87"/>
    <x v="5"/>
  </r>
  <r>
    <x v="153"/>
    <x v="20"/>
    <x v="49"/>
    <x v="1"/>
    <x v="381"/>
    <x v="6"/>
    <x v="0"/>
    <x v="1"/>
    <x v="84"/>
    <x v="5"/>
  </r>
  <r>
    <x v="153"/>
    <x v="1"/>
    <x v="90"/>
    <x v="3"/>
    <x v="431"/>
    <x v="6"/>
    <x v="0"/>
    <x v="2"/>
    <x v="84"/>
    <x v="4"/>
  </r>
  <r>
    <x v="153"/>
    <x v="19"/>
    <x v="794"/>
    <x v="0"/>
    <x v="474"/>
    <x v="6"/>
    <x v="0"/>
    <x v="0"/>
    <x v="93"/>
    <x v="3"/>
  </r>
  <r>
    <x v="153"/>
    <x v="26"/>
    <x v="33"/>
    <x v="1"/>
    <x v="344"/>
    <x v="6"/>
    <x v="0"/>
    <x v="1"/>
    <x v="84"/>
    <x v="5"/>
  </r>
  <r>
    <x v="153"/>
    <x v="38"/>
    <x v="380"/>
    <x v="0"/>
    <x v="500"/>
    <x v="6"/>
    <x v="0"/>
    <x v="0"/>
    <x v="90"/>
    <x v="5"/>
  </r>
  <r>
    <x v="153"/>
    <x v="32"/>
    <x v="1177"/>
    <x v="3"/>
    <x v="422"/>
    <x v="6"/>
    <x v="2"/>
    <x v="4"/>
    <x v="221"/>
    <x v="10"/>
  </r>
  <r>
    <x v="153"/>
    <x v="32"/>
    <x v="576"/>
    <x v="6"/>
    <x v="422"/>
    <x v="6"/>
    <x v="2"/>
    <x v="4"/>
    <x v="221"/>
    <x v="10"/>
  </r>
  <r>
    <x v="153"/>
    <x v="32"/>
    <x v="1678"/>
    <x v="7"/>
    <x v="422"/>
    <x v="6"/>
    <x v="2"/>
    <x v="4"/>
    <x v="221"/>
    <x v="10"/>
  </r>
  <r>
    <x v="153"/>
    <x v="32"/>
    <x v="469"/>
    <x v="8"/>
    <x v="422"/>
    <x v="6"/>
    <x v="2"/>
    <x v="4"/>
    <x v="221"/>
    <x v="10"/>
  </r>
  <r>
    <x v="153"/>
    <x v="32"/>
    <x v="1076"/>
    <x v="5"/>
    <x v="533"/>
    <x v="6"/>
    <x v="2"/>
    <x v="4"/>
    <x v="221"/>
    <x v="10"/>
  </r>
  <r>
    <x v="153"/>
    <x v="23"/>
    <x v="3"/>
    <x v="3"/>
    <x v="285"/>
    <x v="6"/>
    <x v="0"/>
    <x v="2"/>
    <x v="84"/>
    <x v="6"/>
  </r>
  <r>
    <x v="153"/>
    <x v="37"/>
    <x v="53"/>
    <x v="1"/>
    <x v="523"/>
    <x v="6"/>
    <x v="0"/>
    <x v="1"/>
    <x v="84"/>
    <x v="12"/>
  </r>
  <r>
    <x v="153"/>
    <x v="24"/>
    <x v="1353"/>
    <x v="1"/>
    <x v="537"/>
    <x v="6"/>
    <x v="0"/>
    <x v="1"/>
    <x v="84"/>
    <x v="6"/>
  </r>
  <r>
    <x v="154"/>
    <x v="12"/>
    <x v="563"/>
    <x v="0"/>
    <x v="17"/>
    <x v="6"/>
    <x v="0"/>
    <x v="0"/>
    <x v="122"/>
    <x v="5"/>
  </r>
  <r>
    <x v="154"/>
    <x v="20"/>
    <x v="1016"/>
    <x v="0"/>
    <x v="61"/>
    <x v="6"/>
    <x v="0"/>
    <x v="0"/>
    <x v="88"/>
    <x v="5"/>
  </r>
  <r>
    <x v="154"/>
    <x v="9"/>
    <x v="1094"/>
    <x v="0"/>
    <x v="229"/>
    <x v="6"/>
    <x v="0"/>
    <x v="0"/>
    <x v="88"/>
    <x v="5"/>
  </r>
  <r>
    <x v="154"/>
    <x v="15"/>
    <x v="554"/>
    <x v="1"/>
    <x v="353"/>
    <x v="6"/>
    <x v="0"/>
    <x v="1"/>
    <x v="85"/>
    <x v="4"/>
  </r>
  <r>
    <x v="154"/>
    <x v="24"/>
    <x v="594"/>
    <x v="1"/>
    <x v="120"/>
    <x v="6"/>
    <x v="0"/>
    <x v="1"/>
    <x v="85"/>
    <x v="6"/>
  </r>
  <r>
    <x v="154"/>
    <x v="0"/>
    <x v="112"/>
    <x v="1"/>
    <x v="453"/>
    <x v="6"/>
    <x v="0"/>
    <x v="1"/>
    <x v="85"/>
    <x v="9"/>
  </r>
  <r>
    <x v="154"/>
    <x v="31"/>
    <x v="1554"/>
    <x v="0"/>
    <x v="195"/>
    <x v="6"/>
    <x v="0"/>
    <x v="3"/>
    <x v="83"/>
    <x v="8"/>
  </r>
  <r>
    <x v="154"/>
    <x v="19"/>
    <x v="794"/>
    <x v="0"/>
    <x v="474"/>
    <x v="6"/>
    <x v="0"/>
    <x v="0"/>
    <x v="93"/>
    <x v="3"/>
  </r>
  <r>
    <x v="154"/>
    <x v="1"/>
    <x v="60"/>
    <x v="3"/>
    <x v="431"/>
    <x v="6"/>
    <x v="0"/>
    <x v="2"/>
    <x v="85"/>
    <x v="4"/>
  </r>
  <r>
    <x v="154"/>
    <x v="38"/>
    <x v="174"/>
    <x v="0"/>
    <x v="500"/>
    <x v="6"/>
    <x v="0"/>
    <x v="0"/>
    <x v="90"/>
    <x v="5"/>
  </r>
  <r>
    <x v="154"/>
    <x v="31"/>
    <x v="1015"/>
    <x v="1"/>
    <x v="93"/>
    <x v="6"/>
    <x v="0"/>
    <x v="1"/>
    <x v="85"/>
    <x v="8"/>
  </r>
  <r>
    <x v="154"/>
    <x v="28"/>
    <x v="87"/>
    <x v="1"/>
    <x v="371"/>
    <x v="6"/>
    <x v="0"/>
    <x v="1"/>
    <x v="85"/>
    <x v="0"/>
  </r>
  <r>
    <x v="154"/>
    <x v="32"/>
    <x v="1392"/>
    <x v="3"/>
    <x v="422"/>
    <x v="6"/>
    <x v="2"/>
    <x v="4"/>
    <x v="221"/>
    <x v="10"/>
  </r>
  <r>
    <x v="154"/>
    <x v="32"/>
    <x v="315"/>
    <x v="6"/>
    <x v="422"/>
    <x v="6"/>
    <x v="2"/>
    <x v="4"/>
    <x v="221"/>
    <x v="10"/>
  </r>
  <r>
    <x v="154"/>
    <x v="32"/>
    <x v="1748"/>
    <x v="7"/>
    <x v="422"/>
    <x v="6"/>
    <x v="2"/>
    <x v="4"/>
    <x v="221"/>
    <x v="10"/>
  </r>
  <r>
    <x v="154"/>
    <x v="32"/>
    <x v="555"/>
    <x v="8"/>
    <x v="422"/>
    <x v="6"/>
    <x v="2"/>
    <x v="4"/>
    <x v="221"/>
    <x v="10"/>
  </r>
  <r>
    <x v="154"/>
    <x v="32"/>
    <x v="1049"/>
    <x v="5"/>
    <x v="533"/>
    <x v="6"/>
    <x v="2"/>
    <x v="4"/>
    <x v="221"/>
    <x v="10"/>
  </r>
  <r>
    <x v="154"/>
    <x v="32"/>
    <x v="112"/>
    <x v="2"/>
    <x v="422"/>
    <x v="6"/>
    <x v="2"/>
    <x v="4"/>
    <x v="221"/>
    <x v="10"/>
  </r>
  <r>
    <x v="154"/>
    <x v="23"/>
    <x v="9"/>
    <x v="3"/>
    <x v="285"/>
    <x v="6"/>
    <x v="0"/>
    <x v="1"/>
    <x v="85"/>
    <x v="6"/>
  </r>
  <r>
    <x v="154"/>
    <x v="37"/>
    <x v="74"/>
    <x v="1"/>
    <x v="523"/>
    <x v="6"/>
    <x v="0"/>
    <x v="1"/>
    <x v="85"/>
    <x v="12"/>
  </r>
  <r>
    <x v="155"/>
    <x v="12"/>
    <x v="400"/>
    <x v="0"/>
    <x v="17"/>
    <x v="6"/>
    <x v="0"/>
    <x v="0"/>
    <x v="122"/>
    <x v="5"/>
  </r>
  <r>
    <x v="155"/>
    <x v="8"/>
    <x v="779"/>
    <x v="0"/>
    <x v="241"/>
    <x v="6"/>
    <x v="0"/>
    <x v="0"/>
    <x v="94"/>
    <x v="5"/>
  </r>
  <r>
    <x v="155"/>
    <x v="1"/>
    <x v="90"/>
    <x v="3"/>
    <x v="431"/>
    <x v="6"/>
    <x v="0"/>
    <x v="2"/>
    <x v="86"/>
    <x v="4"/>
  </r>
  <r>
    <x v="155"/>
    <x v="24"/>
    <x v="264"/>
    <x v="1"/>
    <x v="133"/>
    <x v="6"/>
    <x v="0"/>
    <x v="1"/>
    <x v="86"/>
    <x v="6"/>
  </r>
  <r>
    <x v="155"/>
    <x v="20"/>
    <x v="521"/>
    <x v="0"/>
    <x v="61"/>
    <x v="6"/>
    <x v="0"/>
    <x v="0"/>
    <x v="88"/>
    <x v="5"/>
  </r>
  <r>
    <x v="155"/>
    <x v="3"/>
    <x v="988"/>
    <x v="1"/>
    <x v="579"/>
    <x v="6"/>
    <x v="0"/>
    <x v="1"/>
    <x v="86"/>
    <x v="4"/>
  </r>
  <r>
    <x v="155"/>
    <x v="38"/>
    <x v="337"/>
    <x v="1"/>
    <x v="390"/>
    <x v="6"/>
    <x v="0"/>
    <x v="1"/>
    <x v="86"/>
    <x v="5"/>
  </r>
  <r>
    <x v="155"/>
    <x v="12"/>
    <x v="158"/>
    <x v="1"/>
    <x v="515"/>
    <x v="6"/>
    <x v="0"/>
    <x v="1"/>
    <x v="86"/>
    <x v="5"/>
  </r>
  <r>
    <x v="155"/>
    <x v="9"/>
    <x v="1451"/>
    <x v="0"/>
    <x v="229"/>
    <x v="6"/>
    <x v="0"/>
    <x v="0"/>
    <x v="92"/>
    <x v="5"/>
  </r>
  <r>
    <x v="155"/>
    <x v="19"/>
    <x v="794"/>
    <x v="0"/>
    <x v="474"/>
    <x v="6"/>
    <x v="0"/>
    <x v="0"/>
    <x v="93"/>
    <x v="3"/>
  </r>
  <r>
    <x v="155"/>
    <x v="38"/>
    <x v="166"/>
    <x v="0"/>
    <x v="500"/>
    <x v="6"/>
    <x v="0"/>
    <x v="0"/>
    <x v="90"/>
    <x v="5"/>
  </r>
  <r>
    <x v="155"/>
    <x v="13"/>
    <x v="1250"/>
    <x v="0"/>
    <x v="32"/>
    <x v="6"/>
    <x v="0"/>
    <x v="0"/>
    <x v="103"/>
    <x v="5"/>
  </r>
  <r>
    <x v="155"/>
    <x v="28"/>
    <x v="527"/>
    <x v="1"/>
    <x v="494"/>
    <x v="6"/>
    <x v="0"/>
    <x v="1"/>
    <x v="86"/>
    <x v="0"/>
  </r>
  <r>
    <x v="155"/>
    <x v="32"/>
    <x v="1250"/>
    <x v="3"/>
    <x v="422"/>
    <x v="6"/>
    <x v="2"/>
    <x v="4"/>
    <x v="221"/>
    <x v="10"/>
  </r>
  <r>
    <x v="155"/>
    <x v="32"/>
    <x v="827"/>
    <x v="2"/>
    <x v="422"/>
    <x v="6"/>
    <x v="2"/>
    <x v="4"/>
    <x v="221"/>
    <x v="10"/>
  </r>
  <r>
    <x v="155"/>
    <x v="32"/>
    <x v="305"/>
    <x v="6"/>
    <x v="422"/>
    <x v="6"/>
    <x v="2"/>
    <x v="4"/>
    <x v="221"/>
    <x v="10"/>
  </r>
  <r>
    <x v="155"/>
    <x v="32"/>
    <x v="1801"/>
    <x v="7"/>
    <x v="422"/>
    <x v="6"/>
    <x v="2"/>
    <x v="4"/>
    <x v="221"/>
    <x v="10"/>
  </r>
  <r>
    <x v="155"/>
    <x v="32"/>
    <x v="1128"/>
    <x v="5"/>
    <x v="533"/>
    <x v="6"/>
    <x v="2"/>
    <x v="4"/>
    <x v="221"/>
    <x v="10"/>
  </r>
  <r>
    <x v="155"/>
    <x v="0"/>
    <x v="45"/>
    <x v="1"/>
    <x v="352"/>
    <x v="6"/>
    <x v="0"/>
    <x v="1"/>
    <x v="86"/>
    <x v="9"/>
  </r>
  <r>
    <x v="155"/>
    <x v="37"/>
    <x v="68"/>
    <x v="1"/>
    <x v="523"/>
    <x v="6"/>
    <x v="0"/>
    <x v="1"/>
    <x v="86"/>
    <x v="12"/>
  </r>
  <r>
    <x v="156"/>
    <x v="12"/>
    <x v="376"/>
    <x v="0"/>
    <x v="17"/>
    <x v="6"/>
    <x v="0"/>
    <x v="0"/>
    <x v="122"/>
    <x v="5"/>
  </r>
  <r>
    <x v="156"/>
    <x v="20"/>
    <x v="1002"/>
    <x v="0"/>
    <x v="61"/>
    <x v="6"/>
    <x v="0"/>
    <x v="0"/>
    <x v="96"/>
    <x v="5"/>
  </r>
  <r>
    <x v="156"/>
    <x v="9"/>
    <x v="1351"/>
    <x v="0"/>
    <x v="229"/>
    <x v="6"/>
    <x v="0"/>
    <x v="0"/>
    <x v="92"/>
    <x v="5"/>
  </r>
  <r>
    <x v="156"/>
    <x v="1"/>
    <x v="90"/>
    <x v="3"/>
    <x v="431"/>
    <x v="6"/>
    <x v="0"/>
    <x v="2"/>
    <x v="87"/>
    <x v="4"/>
  </r>
  <r>
    <x v="156"/>
    <x v="24"/>
    <x v="518"/>
    <x v="1"/>
    <x v="246"/>
    <x v="6"/>
    <x v="0"/>
    <x v="1"/>
    <x v="87"/>
    <x v="6"/>
  </r>
  <r>
    <x v="156"/>
    <x v="38"/>
    <x v="172"/>
    <x v="0"/>
    <x v="500"/>
    <x v="6"/>
    <x v="0"/>
    <x v="0"/>
    <x v="90"/>
    <x v="5"/>
  </r>
  <r>
    <x v="156"/>
    <x v="19"/>
    <x v="794"/>
    <x v="0"/>
    <x v="474"/>
    <x v="6"/>
    <x v="0"/>
    <x v="0"/>
    <x v="93"/>
    <x v="3"/>
  </r>
  <r>
    <x v="156"/>
    <x v="21"/>
    <x v="675"/>
    <x v="3"/>
    <x v="442"/>
    <x v="6"/>
    <x v="0"/>
    <x v="2"/>
    <x v="87"/>
    <x v="3"/>
  </r>
  <r>
    <x v="156"/>
    <x v="32"/>
    <x v="1228"/>
    <x v="3"/>
    <x v="422"/>
    <x v="6"/>
    <x v="2"/>
    <x v="4"/>
    <x v="221"/>
    <x v="10"/>
  </r>
  <r>
    <x v="156"/>
    <x v="32"/>
    <x v="1215"/>
    <x v="2"/>
    <x v="422"/>
    <x v="6"/>
    <x v="2"/>
    <x v="4"/>
    <x v="221"/>
    <x v="10"/>
  </r>
  <r>
    <x v="156"/>
    <x v="32"/>
    <x v="100"/>
    <x v="6"/>
    <x v="422"/>
    <x v="6"/>
    <x v="2"/>
    <x v="4"/>
    <x v="221"/>
    <x v="10"/>
  </r>
  <r>
    <x v="156"/>
    <x v="32"/>
    <x v="1956"/>
    <x v="7"/>
    <x v="422"/>
    <x v="6"/>
    <x v="2"/>
    <x v="4"/>
    <x v="221"/>
    <x v="10"/>
  </r>
  <r>
    <x v="156"/>
    <x v="32"/>
    <x v="1297"/>
    <x v="5"/>
    <x v="533"/>
    <x v="6"/>
    <x v="2"/>
    <x v="4"/>
    <x v="221"/>
    <x v="10"/>
  </r>
  <r>
    <x v="156"/>
    <x v="23"/>
    <x v="22"/>
    <x v="3"/>
    <x v="285"/>
    <x v="6"/>
    <x v="0"/>
    <x v="1"/>
    <x v="87"/>
    <x v="6"/>
  </r>
  <r>
    <x v="156"/>
    <x v="37"/>
    <x v="65"/>
    <x v="1"/>
    <x v="523"/>
    <x v="6"/>
    <x v="0"/>
    <x v="1"/>
    <x v="87"/>
    <x v="12"/>
  </r>
  <r>
    <x v="157"/>
    <x v="12"/>
    <x v="723"/>
    <x v="0"/>
    <x v="17"/>
    <x v="6"/>
    <x v="0"/>
    <x v="0"/>
    <x v="122"/>
    <x v="5"/>
  </r>
  <r>
    <x v="157"/>
    <x v="20"/>
    <x v="229"/>
    <x v="0"/>
    <x v="61"/>
    <x v="6"/>
    <x v="0"/>
    <x v="0"/>
    <x v="96"/>
    <x v="5"/>
  </r>
  <r>
    <x v="157"/>
    <x v="1"/>
    <x v="127"/>
    <x v="3"/>
    <x v="431"/>
    <x v="6"/>
    <x v="0"/>
    <x v="2"/>
    <x v="88"/>
    <x v="4"/>
  </r>
  <r>
    <x v="157"/>
    <x v="20"/>
    <x v="49"/>
    <x v="3"/>
    <x v="381"/>
    <x v="6"/>
    <x v="0"/>
    <x v="2"/>
    <x v="88"/>
    <x v="5"/>
  </r>
  <r>
    <x v="157"/>
    <x v="9"/>
    <x v="1536"/>
    <x v="0"/>
    <x v="229"/>
    <x v="6"/>
    <x v="0"/>
    <x v="0"/>
    <x v="92"/>
    <x v="5"/>
  </r>
  <r>
    <x v="157"/>
    <x v="19"/>
    <x v="794"/>
    <x v="0"/>
    <x v="474"/>
    <x v="6"/>
    <x v="0"/>
    <x v="0"/>
    <x v="93"/>
    <x v="3"/>
  </r>
  <r>
    <x v="157"/>
    <x v="38"/>
    <x v="310"/>
    <x v="0"/>
    <x v="500"/>
    <x v="6"/>
    <x v="0"/>
    <x v="0"/>
    <x v="90"/>
    <x v="5"/>
  </r>
  <r>
    <x v="157"/>
    <x v="26"/>
    <x v="90"/>
    <x v="1"/>
    <x v="344"/>
    <x v="6"/>
    <x v="0"/>
    <x v="1"/>
    <x v="88"/>
    <x v="5"/>
  </r>
  <r>
    <x v="157"/>
    <x v="32"/>
    <x v="1364"/>
    <x v="3"/>
    <x v="422"/>
    <x v="6"/>
    <x v="2"/>
    <x v="4"/>
    <x v="221"/>
    <x v="10"/>
  </r>
  <r>
    <x v="157"/>
    <x v="32"/>
    <x v="26"/>
    <x v="6"/>
    <x v="422"/>
    <x v="6"/>
    <x v="2"/>
    <x v="4"/>
    <x v="221"/>
    <x v="10"/>
  </r>
  <r>
    <x v="157"/>
    <x v="32"/>
    <x v="1917"/>
    <x v="7"/>
    <x v="422"/>
    <x v="6"/>
    <x v="2"/>
    <x v="4"/>
    <x v="221"/>
    <x v="10"/>
  </r>
  <r>
    <x v="157"/>
    <x v="32"/>
    <x v="793"/>
    <x v="5"/>
    <x v="533"/>
    <x v="6"/>
    <x v="2"/>
    <x v="4"/>
    <x v="221"/>
    <x v="10"/>
  </r>
  <r>
    <x v="157"/>
    <x v="28"/>
    <x v="191"/>
    <x v="1"/>
    <x v="371"/>
    <x v="6"/>
    <x v="0"/>
    <x v="1"/>
    <x v="88"/>
    <x v="0"/>
  </r>
  <r>
    <x v="157"/>
    <x v="38"/>
    <x v="329"/>
    <x v="1"/>
    <x v="389"/>
    <x v="6"/>
    <x v="0"/>
    <x v="1"/>
    <x v="88"/>
    <x v="5"/>
  </r>
  <r>
    <x v="157"/>
    <x v="37"/>
    <x v="65"/>
    <x v="1"/>
    <x v="523"/>
    <x v="6"/>
    <x v="0"/>
    <x v="1"/>
    <x v="88"/>
    <x v="12"/>
  </r>
  <r>
    <x v="158"/>
    <x v="12"/>
    <x v="788"/>
    <x v="0"/>
    <x v="17"/>
    <x v="6"/>
    <x v="0"/>
    <x v="0"/>
    <x v="122"/>
    <x v="5"/>
  </r>
  <r>
    <x v="158"/>
    <x v="8"/>
    <x v="449"/>
    <x v="0"/>
    <x v="241"/>
    <x v="6"/>
    <x v="0"/>
    <x v="0"/>
    <x v="94"/>
    <x v="5"/>
  </r>
  <r>
    <x v="158"/>
    <x v="20"/>
    <x v="288"/>
    <x v="0"/>
    <x v="61"/>
    <x v="6"/>
    <x v="0"/>
    <x v="0"/>
    <x v="96"/>
    <x v="5"/>
  </r>
  <r>
    <x v="158"/>
    <x v="1"/>
    <x v="60"/>
    <x v="3"/>
    <x v="431"/>
    <x v="6"/>
    <x v="0"/>
    <x v="4"/>
    <x v="221"/>
    <x v="4"/>
  </r>
  <r>
    <x v="158"/>
    <x v="9"/>
    <x v="1341"/>
    <x v="0"/>
    <x v="229"/>
    <x v="6"/>
    <x v="0"/>
    <x v="0"/>
    <x v="96"/>
    <x v="5"/>
  </r>
  <r>
    <x v="158"/>
    <x v="38"/>
    <x v="135"/>
    <x v="0"/>
    <x v="500"/>
    <x v="6"/>
    <x v="0"/>
    <x v="0"/>
    <x v="90"/>
    <x v="5"/>
  </r>
  <r>
    <x v="158"/>
    <x v="19"/>
    <x v="794"/>
    <x v="0"/>
    <x v="474"/>
    <x v="6"/>
    <x v="0"/>
    <x v="0"/>
    <x v="93"/>
    <x v="3"/>
  </r>
  <r>
    <x v="158"/>
    <x v="15"/>
    <x v="491"/>
    <x v="1"/>
    <x v="353"/>
    <x v="6"/>
    <x v="0"/>
    <x v="2"/>
    <x v="89"/>
    <x v="4"/>
  </r>
  <r>
    <x v="158"/>
    <x v="32"/>
    <x v="187"/>
    <x v="3"/>
    <x v="422"/>
    <x v="6"/>
    <x v="2"/>
    <x v="4"/>
    <x v="221"/>
    <x v="10"/>
  </r>
  <r>
    <x v="158"/>
    <x v="32"/>
    <x v="675"/>
    <x v="2"/>
    <x v="422"/>
    <x v="6"/>
    <x v="2"/>
    <x v="4"/>
    <x v="221"/>
    <x v="10"/>
  </r>
  <r>
    <x v="158"/>
    <x v="32"/>
    <x v="12"/>
    <x v="6"/>
    <x v="422"/>
    <x v="6"/>
    <x v="2"/>
    <x v="4"/>
    <x v="221"/>
    <x v="10"/>
  </r>
  <r>
    <x v="158"/>
    <x v="32"/>
    <x v="1647"/>
    <x v="7"/>
    <x v="422"/>
    <x v="6"/>
    <x v="2"/>
    <x v="4"/>
    <x v="221"/>
    <x v="10"/>
  </r>
  <r>
    <x v="158"/>
    <x v="32"/>
    <x v="187"/>
    <x v="8"/>
    <x v="422"/>
    <x v="6"/>
    <x v="2"/>
    <x v="4"/>
    <x v="221"/>
    <x v="10"/>
  </r>
  <r>
    <x v="158"/>
    <x v="32"/>
    <x v="916"/>
    <x v="5"/>
    <x v="533"/>
    <x v="6"/>
    <x v="2"/>
    <x v="4"/>
    <x v="221"/>
    <x v="10"/>
  </r>
  <r>
    <x v="158"/>
    <x v="37"/>
    <x v="49"/>
    <x v="3"/>
    <x v="523"/>
    <x v="6"/>
    <x v="0"/>
    <x v="2"/>
    <x v="89"/>
    <x v="12"/>
  </r>
  <r>
    <x v="159"/>
    <x v="9"/>
    <x v="418"/>
    <x v="0"/>
    <x v="229"/>
    <x v="7"/>
    <x v="0"/>
    <x v="0"/>
    <x v="96"/>
    <x v="5"/>
  </r>
  <r>
    <x v="159"/>
    <x v="12"/>
    <x v="130"/>
    <x v="0"/>
    <x v="17"/>
    <x v="7"/>
    <x v="1"/>
    <x v="4"/>
    <x v="221"/>
    <x v="5"/>
  </r>
  <r>
    <x v="159"/>
    <x v="21"/>
    <x v="1098"/>
    <x v="1"/>
    <x v="197"/>
    <x v="7"/>
    <x v="0"/>
    <x v="1"/>
    <x v="90"/>
    <x v="3"/>
  </r>
  <r>
    <x v="159"/>
    <x v="21"/>
    <x v="505"/>
    <x v="1"/>
    <x v="498"/>
    <x v="7"/>
    <x v="0"/>
    <x v="1"/>
    <x v="90"/>
    <x v="3"/>
  </r>
  <r>
    <x v="159"/>
    <x v="24"/>
    <x v="582"/>
    <x v="1"/>
    <x v="246"/>
    <x v="7"/>
    <x v="0"/>
    <x v="1"/>
    <x v="90"/>
    <x v="6"/>
  </r>
  <r>
    <x v="159"/>
    <x v="0"/>
    <x v="45"/>
    <x v="1"/>
    <x v="352"/>
    <x v="7"/>
    <x v="0"/>
    <x v="1"/>
    <x v="90"/>
    <x v="9"/>
  </r>
  <r>
    <x v="159"/>
    <x v="36"/>
    <x v="719"/>
    <x v="1"/>
    <x v="404"/>
    <x v="7"/>
    <x v="0"/>
    <x v="1"/>
    <x v="90"/>
    <x v="5"/>
  </r>
  <r>
    <x v="159"/>
    <x v="19"/>
    <x v="778"/>
    <x v="0"/>
    <x v="474"/>
    <x v="7"/>
    <x v="0"/>
    <x v="0"/>
    <x v="115"/>
    <x v="3"/>
  </r>
  <r>
    <x v="159"/>
    <x v="38"/>
    <x v="109"/>
    <x v="0"/>
    <x v="500"/>
    <x v="7"/>
    <x v="1"/>
    <x v="4"/>
    <x v="221"/>
    <x v="5"/>
  </r>
  <r>
    <x v="159"/>
    <x v="32"/>
    <x v="1180"/>
    <x v="3"/>
    <x v="422"/>
    <x v="7"/>
    <x v="2"/>
    <x v="4"/>
    <x v="221"/>
    <x v="10"/>
  </r>
  <r>
    <x v="159"/>
    <x v="32"/>
    <x v="222"/>
    <x v="2"/>
    <x v="422"/>
    <x v="7"/>
    <x v="2"/>
    <x v="4"/>
    <x v="221"/>
    <x v="10"/>
  </r>
  <r>
    <x v="159"/>
    <x v="32"/>
    <x v="293"/>
    <x v="6"/>
    <x v="422"/>
    <x v="7"/>
    <x v="2"/>
    <x v="4"/>
    <x v="221"/>
    <x v="10"/>
  </r>
  <r>
    <x v="159"/>
    <x v="32"/>
    <x v="1855"/>
    <x v="7"/>
    <x v="422"/>
    <x v="7"/>
    <x v="2"/>
    <x v="4"/>
    <x v="221"/>
    <x v="10"/>
  </r>
  <r>
    <x v="159"/>
    <x v="32"/>
    <x v="1041"/>
    <x v="5"/>
    <x v="533"/>
    <x v="7"/>
    <x v="2"/>
    <x v="4"/>
    <x v="221"/>
    <x v="10"/>
  </r>
  <r>
    <x v="159"/>
    <x v="37"/>
    <x v="60"/>
    <x v="1"/>
    <x v="523"/>
    <x v="7"/>
    <x v="0"/>
    <x v="1"/>
    <x v="90"/>
    <x v="12"/>
  </r>
  <r>
    <x v="159"/>
    <x v="23"/>
    <x v="12"/>
    <x v="3"/>
    <x v="285"/>
    <x v="7"/>
    <x v="0"/>
    <x v="2"/>
    <x v="90"/>
    <x v="6"/>
  </r>
  <r>
    <x v="159"/>
    <x v="0"/>
    <x v="256"/>
    <x v="3"/>
    <x v="440"/>
    <x v="7"/>
    <x v="0"/>
    <x v="2"/>
    <x v="90"/>
    <x v="9"/>
  </r>
  <r>
    <x v="160"/>
    <x v="8"/>
    <x v="779"/>
    <x v="0"/>
    <x v="241"/>
    <x v="7"/>
    <x v="0"/>
    <x v="0"/>
    <x v="94"/>
    <x v="5"/>
  </r>
  <r>
    <x v="160"/>
    <x v="12"/>
    <x v="309"/>
    <x v="0"/>
    <x v="17"/>
    <x v="7"/>
    <x v="1"/>
    <x v="4"/>
    <x v="221"/>
    <x v="5"/>
  </r>
  <r>
    <x v="160"/>
    <x v="38"/>
    <x v="73"/>
    <x v="0"/>
    <x v="500"/>
    <x v="7"/>
    <x v="1"/>
    <x v="4"/>
    <x v="221"/>
    <x v="5"/>
  </r>
  <r>
    <x v="160"/>
    <x v="9"/>
    <x v="1521"/>
    <x v="0"/>
    <x v="229"/>
    <x v="7"/>
    <x v="0"/>
    <x v="0"/>
    <x v="96"/>
    <x v="5"/>
  </r>
  <r>
    <x v="160"/>
    <x v="1"/>
    <x v="158"/>
    <x v="3"/>
    <x v="431"/>
    <x v="7"/>
    <x v="0"/>
    <x v="2"/>
    <x v="91"/>
    <x v="4"/>
  </r>
  <r>
    <x v="160"/>
    <x v="17"/>
    <x v="1911"/>
    <x v="0"/>
    <x v="194"/>
    <x v="7"/>
    <x v="1"/>
    <x v="4"/>
    <x v="221"/>
    <x v="3"/>
  </r>
  <r>
    <x v="160"/>
    <x v="3"/>
    <x v="1022"/>
    <x v="1"/>
    <x v="153"/>
    <x v="7"/>
    <x v="0"/>
    <x v="2"/>
    <x v="91"/>
    <x v="4"/>
  </r>
  <r>
    <x v="160"/>
    <x v="27"/>
    <x v="1236"/>
    <x v="0"/>
    <x v="5"/>
    <x v="7"/>
    <x v="0"/>
    <x v="0"/>
    <x v="91"/>
    <x v="5"/>
  </r>
  <r>
    <x v="160"/>
    <x v="21"/>
    <x v="761"/>
    <x v="0"/>
    <x v="165"/>
    <x v="7"/>
    <x v="0"/>
    <x v="0"/>
    <x v="91"/>
    <x v="3"/>
  </r>
  <r>
    <x v="160"/>
    <x v="32"/>
    <x v="775"/>
    <x v="3"/>
    <x v="422"/>
    <x v="7"/>
    <x v="2"/>
    <x v="4"/>
    <x v="221"/>
    <x v="10"/>
  </r>
  <r>
    <x v="160"/>
    <x v="32"/>
    <x v="449"/>
    <x v="4"/>
    <x v="46"/>
    <x v="7"/>
    <x v="2"/>
    <x v="4"/>
    <x v="221"/>
    <x v="10"/>
  </r>
  <r>
    <x v="160"/>
    <x v="32"/>
    <x v="402"/>
    <x v="6"/>
    <x v="422"/>
    <x v="7"/>
    <x v="2"/>
    <x v="4"/>
    <x v="221"/>
    <x v="10"/>
  </r>
  <r>
    <x v="160"/>
    <x v="32"/>
    <x v="1729"/>
    <x v="7"/>
    <x v="422"/>
    <x v="7"/>
    <x v="2"/>
    <x v="4"/>
    <x v="221"/>
    <x v="10"/>
  </r>
  <r>
    <x v="160"/>
    <x v="32"/>
    <x v="436"/>
    <x v="8"/>
    <x v="422"/>
    <x v="7"/>
    <x v="2"/>
    <x v="4"/>
    <x v="221"/>
    <x v="10"/>
  </r>
  <r>
    <x v="160"/>
    <x v="32"/>
    <x v="1185"/>
    <x v="5"/>
    <x v="533"/>
    <x v="7"/>
    <x v="2"/>
    <x v="4"/>
    <x v="221"/>
    <x v="10"/>
  </r>
  <r>
    <x v="160"/>
    <x v="37"/>
    <x v="55"/>
    <x v="3"/>
    <x v="523"/>
    <x v="7"/>
    <x v="0"/>
    <x v="2"/>
    <x v="91"/>
    <x v="12"/>
  </r>
  <r>
    <x v="161"/>
    <x v="38"/>
    <x v="115"/>
    <x v="0"/>
    <x v="500"/>
    <x v="7"/>
    <x v="1"/>
    <x v="4"/>
    <x v="221"/>
    <x v="5"/>
  </r>
  <r>
    <x v="161"/>
    <x v="12"/>
    <x v="497"/>
    <x v="0"/>
    <x v="17"/>
    <x v="7"/>
    <x v="1"/>
    <x v="4"/>
    <x v="221"/>
    <x v="5"/>
  </r>
  <r>
    <x v="161"/>
    <x v="20"/>
    <x v="1468"/>
    <x v="0"/>
    <x v="61"/>
    <x v="7"/>
    <x v="0"/>
    <x v="0"/>
    <x v="102"/>
    <x v="5"/>
  </r>
  <r>
    <x v="161"/>
    <x v="20"/>
    <x v="49"/>
    <x v="3"/>
    <x v="148"/>
    <x v="7"/>
    <x v="0"/>
    <x v="2"/>
    <x v="92"/>
    <x v="5"/>
  </r>
  <r>
    <x v="161"/>
    <x v="12"/>
    <x v="475"/>
    <x v="1"/>
    <x v="515"/>
    <x v="7"/>
    <x v="0"/>
    <x v="1"/>
    <x v="92"/>
    <x v="5"/>
  </r>
  <r>
    <x v="161"/>
    <x v="18"/>
    <x v="719"/>
    <x v="0"/>
    <x v="217"/>
    <x v="7"/>
    <x v="0"/>
    <x v="0"/>
    <x v="92"/>
    <x v="3"/>
  </r>
  <r>
    <x v="161"/>
    <x v="24"/>
    <x v="69"/>
    <x v="1"/>
    <x v="246"/>
    <x v="7"/>
    <x v="0"/>
    <x v="1"/>
    <x v="92"/>
    <x v="6"/>
  </r>
  <r>
    <x v="161"/>
    <x v="20"/>
    <x v="375"/>
    <x v="1"/>
    <x v="70"/>
    <x v="7"/>
    <x v="0"/>
    <x v="1"/>
    <x v="92"/>
    <x v="5"/>
  </r>
  <r>
    <x v="161"/>
    <x v="9"/>
    <x v="981"/>
    <x v="0"/>
    <x v="229"/>
    <x v="7"/>
    <x v="0"/>
    <x v="0"/>
    <x v="96"/>
    <x v="5"/>
  </r>
  <r>
    <x v="161"/>
    <x v="0"/>
    <x v="614"/>
    <x v="1"/>
    <x v="371"/>
    <x v="7"/>
    <x v="0"/>
    <x v="1"/>
    <x v="92"/>
    <x v="9"/>
  </r>
  <r>
    <x v="161"/>
    <x v="0"/>
    <x v="30"/>
    <x v="3"/>
    <x v="371"/>
    <x v="7"/>
    <x v="0"/>
    <x v="2"/>
    <x v="92"/>
    <x v="9"/>
  </r>
  <r>
    <x v="161"/>
    <x v="19"/>
    <x v="778"/>
    <x v="0"/>
    <x v="474"/>
    <x v="7"/>
    <x v="0"/>
    <x v="0"/>
    <x v="115"/>
    <x v="3"/>
  </r>
  <r>
    <x v="161"/>
    <x v="1"/>
    <x v="60"/>
    <x v="3"/>
    <x v="431"/>
    <x v="7"/>
    <x v="0"/>
    <x v="4"/>
    <x v="221"/>
    <x v="4"/>
  </r>
  <r>
    <x v="161"/>
    <x v="31"/>
    <x v="1786"/>
    <x v="0"/>
    <x v="222"/>
    <x v="7"/>
    <x v="0"/>
    <x v="3"/>
    <x v="92"/>
    <x v="8"/>
  </r>
  <r>
    <x v="161"/>
    <x v="32"/>
    <x v="1317"/>
    <x v="3"/>
    <x v="422"/>
    <x v="7"/>
    <x v="2"/>
    <x v="4"/>
    <x v="221"/>
    <x v="10"/>
  </r>
  <r>
    <x v="161"/>
    <x v="32"/>
    <x v="69"/>
    <x v="2"/>
    <x v="422"/>
    <x v="7"/>
    <x v="2"/>
    <x v="4"/>
    <x v="221"/>
    <x v="10"/>
  </r>
  <r>
    <x v="161"/>
    <x v="32"/>
    <x v="332"/>
    <x v="6"/>
    <x v="422"/>
    <x v="7"/>
    <x v="2"/>
    <x v="4"/>
    <x v="221"/>
    <x v="10"/>
  </r>
  <r>
    <x v="161"/>
    <x v="32"/>
    <x v="1701"/>
    <x v="7"/>
    <x v="422"/>
    <x v="7"/>
    <x v="2"/>
    <x v="4"/>
    <x v="221"/>
    <x v="10"/>
  </r>
  <r>
    <x v="161"/>
    <x v="32"/>
    <x v="1413"/>
    <x v="5"/>
    <x v="533"/>
    <x v="7"/>
    <x v="2"/>
    <x v="4"/>
    <x v="221"/>
    <x v="10"/>
  </r>
  <r>
    <x v="161"/>
    <x v="37"/>
    <x v="36"/>
    <x v="3"/>
    <x v="523"/>
    <x v="7"/>
    <x v="0"/>
    <x v="2"/>
    <x v="92"/>
    <x v="12"/>
  </r>
  <r>
    <x v="162"/>
    <x v="20"/>
    <x v="858"/>
    <x v="0"/>
    <x v="61"/>
    <x v="7"/>
    <x v="0"/>
    <x v="0"/>
    <x v="102"/>
    <x v="5"/>
  </r>
  <r>
    <x v="162"/>
    <x v="8"/>
    <x v="816"/>
    <x v="0"/>
    <x v="241"/>
    <x v="7"/>
    <x v="0"/>
    <x v="0"/>
    <x v="108"/>
    <x v="5"/>
  </r>
  <r>
    <x v="162"/>
    <x v="38"/>
    <x v="241"/>
    <x v="0"/>
    <x v="500"/>
    <x v="7"/>
    <x v="1"/>
    <x v="4"/>
    <x v="221"/>
    <x v="5"/>
  </r>
  <r>
    <x v="162"/>
    <x v="12"/>
    <x v="570"/>
    <x v="0"/>
    <x v="17"/>
    <x v="7"/>
    <x v="1"/>
    <x v="4"/>
    <x v="221"/>
    <x v="5"/>
  </r>
  <r>
    <x v="162"/>
    <x v="9"/>
    <x v="1419"/>
    <x v="0"/>
    <x v="229"/>
    <x v="7"/>
    <x v="0"/>
    <x v="0"/>
    <x v="100"/>
    <x v="5"/>
  </r>
  <r>
    <x v="162"/>
    <x v="0"/>
    <x v="1146"/>
    <x v="1"/>
    <x v="453"/>
    <x v="7"/>
    <x v="0"/>
    <x v="2"/>
    <x v="93"/>
    <x v="9"/>
  </r>
  <r>
    <x v="162"/>
    <x v="0"/>
    <x v="256"/>
    <x v="1"/>
    <x v="440"/>
    <x v="7"/>
    <x v="0"/>
    <x v="2"/>
    <x v="93"/>
    <x v="9"/>
  </r>
  <r>
    <x v="162"/>
    <x v="1"/>
    <x v="60"/>
    <x v="3"/>
    <x v="431"/>
    <x v="7"/>
    <x v="0"/>
    <x v="2"/>
    <x v="93"/>
    <x v="4"/>
  </r>
  <r>
    <x v="162"/>
    <x v="0"/>
    <x v="45"/>
    <x v="3"/>
    <x v="352"/>
    <x v="7"/>
    <x v="0"/>
    <x v="2"/>
    <x v="93"/>
    <x v="9"/>
  </r>
  <r>
    <x v="162"/>
    <x v="19"/>
    <x v="778"/>
    <x v="0"/>
    <x v="474"/>
    <x v="7"/>
    <x v="0"/>
    <x v="0"/>
    <x v="115"/>
    <x v="3"/>
  </r>
  <r>
    <x v="162"/>
    <x v="32"/>
    <x v="1271"/>
    <x v="3"/>
    <x v="422"/>
    <x v="7"/>
    <x v="2"/>
    <x v="4"/>
    <x v="221"/>
    <x v="10"/>
  </r>
  <r>
    <x v="162"/>
    <x v="32"/>
    <x v="482"/>
    <x v="6"/>
    <x v="422"/>
    <x v="7"/>
    <x v="2"/>
    <x v="4"/>
    <x v="221"/>
    <x v="10"/>
  </r>
  <r>
    <x v="162"/>
    <x v="32"/>
    <x v="1892"/>
    <x v="7"/>
    <x v="422"/>
    <x v="7"/>
    <x v="2"/>
    <x v="4"/>
    <x v="221"/>
    <x v="10"/>
  </r>
  <r>
    <x v="162"/>
    <x v="32"/>
    <x v="1130"/>
    <x v="5"/>
    <x v="533"/>
    <x v="7"/>
    <x v="2"/>
    <x v="4"/>
    <x v="221"/>
    <x v="10"/>
  </r>
  <r>
    <x v="162"/>
    <x v="37"/>
    <x v="50"/>
    <x v="3"/>
    <x v="523"/>
    <x v="7"/>
    <x v="0"/>
    <x v="2"/>
    <x v="93"/>
    <x v="12"/>
  </r>
  <r>
    <x v="163"/>
    <x v="9"/>
    <x v="569"/>
    <x v="0"/>
    <x v="229"/>
    <x v="7"/>
    <x v="0"/>
    <x v="0"/>
    <x v="100"/>
    <x v="5"/>
  </r>
  <r>
    <x v="163"/>
    <x v="12"/>
    <x v="623"/>
    <x v="0"/>
    <x v="17"/>
    <x v="7"/>
    <x v="1"/>
    <x v="4"/>
    <x v="221"/>
    <x v="5"/>
  </r>
  <r>
    <x v="163"/>
    <x v="3"/>
    <x v="599"/>
    <x v="1"/>
    <x v="579"/>
    <x v="7"/>
    <x v="0"/>
    <x v="2"/>
    <x v="94"/>
    <x v="4"/>
  </r>
  <r>
    <x v="163"/>
    <x v="1"/>
    <x v="60"/>
    <x v="1"/>
    <x v="431"/>
    <x v="7"/>
    <x v="0"/>
    <x v="2"/>
    <x v="94"/>
    <x v="4"/>
  </r>
  <r>
    <x v="163"/>
    <x v="3"/>
    <x v="412"/>
    <x v="1"/>
    <x v="153"/>
    <x v="7"/>
    <x v="0"/>
    <x v="2"/>
    <x v="94"/>
    <x v="4"/>
  </r>
  <r>
    <x v="163"/>
    <x v="36"/>
    <x v="45"/>
    <x v="1"/>
    <x v="375"/>
    <x v="7"/>
    <x v="0"/>
    <x v="2"/>
    <x v="94"/>
    <x v="5"/>
  </r>
  <r>
    <x v="163"/>
    <x v="28"/>
    <x v="198"/>
    <x v="1"/>
    <x v="371"/>
    <x v="7"/>
    <x v="0"/>
    <x v="2"/>
    <x v="94"/>
    <x v="0"/>
  </r>
  <r>
    <x v="163"/>
    <x v="13"/>
    <x v="1586"/>
    <x v="0"/>
    <x v="32"/>
    <x v="7"/>
    <x v="0"/>
    <x v="0"/>
    <x v="123"/>
    <x v="5"/>
  </r>
  <r>
    <x v="163"/>
    <x v="38"/>
    <x v="159"/>
    <x v="0"/>
    <x v="500"/>
    <x v="7"/>
    <x v="1"/>
    <x v="4"/>
    <x v="221"/>
    <x v="5"/>
  </r>
  <r>
    <x v="163"/>
    <x v="15"/>
    <x v="191"/>
    <x v="1"/>
    <x v="353"/>
    <x v="7"/>
    <x v="0"/>
    <x v="2"/>
    <x v="94"/>
    <x v="4"/>
  </r>
  <r>
    <x v="163"/>
    <x v="32"/>
    <x v="1595"/>
    <x v="3"/>
    <x v="422"/>
    <x v="7"/>
    <x v="2"/>
    <x v="4"/>
    <x v="221"/>
    <x v="10"/>
  </r>
  <r>
    <x v="163"/>
    <x v="32"/>
    <x v="388"/>
    <x v="6"/>
    <x v="422"/>
    <x v="7"/>
    <x v="2"/>
    <x v="4"/>
    <x v="221"/>
    <x v="10"/>
  </r>
  <r>
    <x v="163"/>
    <x v="32"/>
    <x v="1850"/>
    <x v="7"/>
    <x v="422"/>
    <x v="7"/>
    <x v="2"/>
    <x v="4"/>
    <x v="221"/>
    <x v="10"/>
  </r>
  <r>
    <x v="163"/>
    <x v="32"/>
    <x v="704"/>
    <x v="8"/>
    <x v="422"/>
    <x v="7"/>
    <x v="2"/>
    <x v="4"/>
    <x v="221"/>
    <x v="10"/>
  </r>
  <r>
    <x v="163"/>
    <x v="32"/>
    <x v="962"/>
    <x v="5"/>
    <x v="533"/>
    <x v="7"/>
    <x v="2"/>
    <x v="4"/>
    <x v="221"/>
    <x v="10"/>
  </r>
  <r>
    <x v="163"/>
    <x v="37"/>
    <x v="41"/>
    <x v="3"/>
    <x v="523"/>
    <x v="7"/>
    <x v="0"/>
    <x v="2"/>
    <x v="94"/>
    <x v="12"/>
  </r>
  <r>
    <x v="164"/>
    <x v="9"/>
    <x v="1563"/>
    <x v="0"/>
    <x v="229"/>
    <x v="7"/>
    <x v="0"/>
    <x v="0"/>
    <x v="101"/>
    <x v="5"/>
  </r>
  <r>
    <x v="164"/>
    <x v="20"/>
    <x v="940"/>
    <x v="0"/>
    <x v="61"/>
    <x v="7"/>
    <x v="0"/>
    <x v="0"/>
    <x v="102"/>
    <x v="5"/>
  </r>
  <r>
    <x v="164"/>
    <x v="12"/>
    <x v="384"/>
    <x v="0"/>
    <x v="17"/>
    <x v="7"/>
    <x v="1"/>
    <x v="4"/>
    <x v="221"/>
    <x v="5"/>
  </r>
  <r>
    <x v="164"/>
    <x v="1"/>
    <x v="60"/>
    <x v="3"/>
    <x v="431"/>
    <x v="7"/>
    <x v="0"/>
    <x v="2"/>
    <x v="95"/>
    <x v="4"/>
  </r>
  <r>
    <x v="164"/>
    <x v="19"/>
    <x v="778"/>
    <x v="0"/>
    <x v="474"/>
    <x v="7"/>
    <x v="0"/>
    <x v="0"/>
    <x v="115"/>
    <x v="3"/>
  </r>
  <r>
    <x v="164"/>
    <x v="0"/>
    <x v="1570"/>
    <x v="1"/>
    <x v="298"/>
    <x v="7"/>
    <x v="0"/>
    <x v="2"/>
    <x v="95"/>
    <x v="9"/>
  </r>
  <r>
    <x v="164"/>
    <x v="15"/>
    <x v="482"/>
    <x v="3"/>
    <x v="353"/>
    <x v="7"/>
    <x v="0"/>
    <x v="2"/>
    <x v="95"/>
    <x v="4"/>
  </r>
  <r>
    <x v="164"/>
    <x v="38"/>
    <x v="140"/>
    <x v="0"/>
    <x v="500"/>
    <x v="7"/>
    <x v="1"/>
    <x v="4"/>
    <x v="221"/>
    <x v="5"/>
  </r>
  <r>
    <x v="164"/>
    <x v="0"/>
    <x v="599"/>
    <x v="3"/>
    <x v="14"/>
    <x v="7"/>
    <x v="0"/>
    <x v="2"/>
    <x v="95"/>
    <x v="9"/>
  </r>
  <r>
    <x v="164"/>
    <x v="32"/>
    <x v="1036"/>
    <x v="3"/>
    <x v="422"/>
    <x v="7"/>
    <x v="2"/>
    <x v="4"/>
    <x v="221"/>
    <x v="10"/>
  </r>
  <r>
    <x v="164"/>
    <x v="32"/>
    <x v="865"/>
    <x v="6"/>
    <x v="422"/>
    <x v="7"/>
    <x v="2"/>
    <x v="4"/>
    <x v="221"/>
    <x v="10"/>
  </r>
  <r>
    <x v="164"/>
    <x v="32"/>
    <x v="1844"/>
    <x v="7"/>
    <x v="422"/>
    <x v="7"/>
    <x v="2"/>
    <x v="4"/>
    <x v="221"/>
    <x v="10"/>
  </r>
  <r>
    <x v="164"/>
    <x v="32"/>
    <x v="998"/>
    <x v="5"/>
    <x v="533"/>
    <x v="7"/>
    <x v="2"/>
    <x v="4"/>
    <x v="221"/>
    <x v="10"/>
  </r>
  <r>
    <x v="164"/>
    <x v="37"/>
    <x v="48"/>
    <x v="3"/>
    <x v="523"/>
    <x v="7"/>
    <x v="0"/>
    <x v="2"/>
    <x v="95"/>
    <x v="12"/>
  </r>
  <r>
    <x v="165"/>
    <x v="20"/>
    <x v="799"/>
    <x v="0"/>
    <x v="61"/>
    <x v="7"/>
    <x v="0"/>
    <x v="0"/>
    <x v="102"/>
    <x v="5"/>
  </r>
  <r>
    <x v="165"/>
    <x v="8"/>
    <x v="816"/>
    <x v="0"/>
    <x v="241"/>
    <x v="7"/>
    <x v="0"/>
    <x v="0"/>
    <x v="108"/>
    <x v="5"/>
  </r>
  <r>
    <x v="165"/>
    <x v="38"/>
    <x v="162"/>
    <x v="0"/>
    <x v="500"/>
    <x v="7"/>
    <x v="1"/>
    <x v="4"/>
    <x v="221"/>
    <x v="5"/>
  </r>
  <r>
    <x v="165"/>
    <x v="12"/>
    <x v="489"/>
    <x v="0"/>
    <x v="17"/>
    <x v="7"/>
    <x v="1"/>
    <x v="4"/>
    <x v="221"/>
    <x v="5"/>
  </r>
  <r>
    <x v="165"/>
    <x v="9"/>
    <x v="910"/>
    <x v="0"/>
    <x v="229"/>
    <x v="7"/>
    <x v="0"/>
    <x v="0"/>
    <x v="102"/>
    <x v="5"/>
  </r>
  <r>
    <x v="165"/>
    <x v="12"/>
    <x v="94"/>
    <x v="1"/>
    <x v="144"/>
    <x v="7"/>
    <x v="0"/>
    <x v="2"/>
    <x v="96"/>
    <x v="5"/>
  </r>
  <r>
    <x v="165"/>
    <x v="24"/>
    <x v="94"/>
    <x v="1"/>
    <x v="335"/>
    <x v="7"/>
    <x v="0"/>
    <x v="2"/>
    <x v="96"/>
    <x v="6"/>
  </r>
  <r>
    <x v="165"/>
    <x v="38"/>
    <x v="256"/>
    <x v="1"/>
    <x v="389"/>
    <x v="7"/>
    <x v="0"/>
    <x v="2"/>
    <x v="96"/>
    <x v="5"/>
  </r>
  <r>
    <x v="165"/>
    <x v="1"/>
    <x v="90"/>
    <x v="1"/>
    <x v="431"/>
    <x v="7"/>
    <x v="0"/>
    <x v="2"/>
    <x v="96"/>
    <x v="4"/>
  </r>
  <r>
    <x v="165"/>
    <x v="13"/>
    <x v="36"/>
    <x v="3"/>
    <x v="403"/>
    <x v="7"/>
    <x v="0"/>
    <x v="2"/>
    <x v="96"/>
    <x v="5"/>
  </r>
  <r>
    <x v="165"/>
    <x v="19"/>
    <x v="778"/>
    <x v="0"/>
    <x v="474"/>
    <x v="7"/>
    <x v="0"/>
    <x v="0"/>
    <x v="115"/>
    <x v="3"/>
  </r>
  <r>
    <x v="165"/>
    <x v="6"/>
    <x v="518"/>
    <x v="3"/>
    <x v="569"/>
    <x v="7"/>
    <x v="0"/>
    <x v="2"/>
    <x v="96"/>
    <x v="7"/>
  </r>
  <r>
    <x v="165"/>
    <x v="0"/>
    <x v="45"/>
    <x v="3"/>
    <x v="566"/>
    <x v="7"/>
    <x v="0"/>
    <x v="2"/>
    <x v="96"/>
    <x v="9"/>
  </r>
  <r>
    <x v="165"/>
    <x v="20"/>
    <x v="1420"/>
    <x v="0"/>
    <x v="235"/>
    <x v="7"/>
    <x v="0"/>
    <x v="3"/>
    <x v="96"/>
    <x v="5"/>
  </r>
  <r>
    <x v="165"/>
    <x v="24"/>
    <x v="949"/>
    <x v="0"/>
    <x v="174"/>
    <x v="7"/>
    <x v="0"/>
    <x v="0"/>
    <x v="96"/>
    <x v="6"/>
  </r>
  <r>
    <x v="165"/>
    <x v="32"/>
    <x v="834"/>
    <x v="3"/>
    <x v="422"/>
    <x v="7"/>
    <x v="2"/>
    <x v="4"/>
    <x v="221"/>
    <x v="10"/>
  </r>
  <r>
    <x v="165"/>
    <x v="32"/>
    <x v="256"/>
    <x v="6"/>
    <x v="422"/>
    <x v="7"/>
    <x v="2"/>
    <x v="4"/>
    <x v="221"/>
    <x v="10"/>
  </r>
  <r>
    <x v="165"/>
    <x v="32"/>
    <x v="1779"/>
    <x v="7"/>
    <x v="422"/>
    <x v="7"/>
    <x v="2"/>
    <x v="4"/>
    <x v="221"/>
    <x v="10"/>
  </r>
  <r>
    <x v="165"/>
    <x v="32"/>
    <x v="765"/>
    <x v="5"/>
    <x v="422"/>
    <x v="7"/>
    <x v="2"/>
    <x v="4"/>
    <x v="221"/>
    <x v="10"/>
  </r>
  <r>
    <x v="165"/>
    <x v="37"/>
    <x v="40"/>
    <x v="3"/>
    <x v="523"/>
    <x v="7"/>
    <x v="0"/>
    <x v="2"/>
    <x v="96"/>
    <x v="12"/>
  </r>
  <r>
    <x v="166"/>
    <x v="12"/>
    <x v="345"/>
    <x v="0"/>
    <x v="17"/>
    <x v="7"/>
    <x v="1"/>
    <x v="4"/>
    <x v="221"/>
    <x v="5"/>
  </r>
  <r>
    <x v="166"/>
    <x v="9"/>
    <x v="1418"/>
    <x v="0"/>
    <x v="229"/>
    <x v="7"/>
    <x v="0"/>
    <x v="0"/>
    <x v="102"/>
    <x v="5"/>
  </r>
  <r>
    <x v="166"/>
    <x v="20"/>
    <x v="1368"/>
    <x v="0"/>
    <x v="61"/>
    <x v="7"/>
    <x v="0"/>
    <x v="0"/>
    <x v="102"/>
    <x v="5"/>
  </r>
  <r>
    <x v="166"/>
    <x v="25"/>
    <x v="40"/>
    <x v="3"/>
    <x v="523"/>
    <x v="7"/>
    <x v="0"/>
    <x v="2"/>
    <x v="97"/>
    <x v="12"/>
  </r>
  <r>
    <x v="166"/>
    <x v="1"/>
    <x v="158"/>
    <x v="3"/>
    <x v="431"/>
    <x v="7"/>
    <x v="0"/>
    <x v="2"/>
    <x v="97"/>
    <x v="4"/>
  </r>
  <r>
    <x v="166"/>
    <x v="38"/>
    <x v="82"/>
    <x v="0"/>
    <x v="500"/>
    <x v="7"/>
    <x v="1"/>
    <x v="4"/>
    <x v="221"/>
    <x v="5"/>
  </r>
  <r>
    <x v="166"/>
    <x v="0"/>
    <x v="1146"/>
    <x v="0"/>
    <x v="351"/>
    <x v="7"/>
    <x v="0"/>
    <x v="3"/>
    <x v="97"/>
    <x v="9"/>
  </r>
  <r>
    <x v="166"/>
    <x v="0"/>
    <x v="1483"/>
    <x v="0"/>
    <x v="447"/>
    <x v="7"/>
    <x v="0"/>
    <x v="3"/>
    <x v="97"/>
    <x v="9"/>
  </r>
  <r>
    <x v="166"/>
    <x v="37"/>
    <x v="44"/>
    <x v="3"/>
    <x v="523"/>
    <x v="7"/>
    <x v="0"/>
    <x v="2"/>
    <x v="97"/>
    <x v="12"/>
  </r>
  <r>
    <x v="166"/>
    <x v="32"/>
    <x v="1144"/>
    <x v="3"/>
    <x v="422"/>
    <x v="7"/>
    <x v="2"/>
    <x v="4"/>
    <x v="221"/>
    <x v="10"/>
  </r>
  <r>
    <x v="166"/>
    <x v="32"/>
    <x v="264"/>
    <x v="2"/>
    <x v="422"/>
    <x v="7"/>
    <x v="2"/>
    <x v="4"/>
    <x v="221"/>
    <x v="10"/>
  </r>
  <r>
    <x v="166"/>
    <x v="32"/>
    <x v="392"/>
    <x v="6"/>
    <x v="422"/>
    <x v="7"/>
    <x v="2"/>
    <x v="4"/>
    <x v="221"/>
    <x v="10"/>
  </r>
  <r>
    <x v="166"/>
    <x v="32"/>
    <x v="1832"/>
    <x v="7"/>
    <x v="422"/>
    <x v="7"/>
    <x v="2"/>
    <x v="4"/>
    <x v="221"/>
    <x v="10"/>
  </r>
  <r>
    <x v="166"/>
    <x v="32"/>
    <x v="979"/>
    <x v="5"/>
    <x v="533"/>
    <x v="7"/>
    <x v="2"/>
    <x v="4"/>
    <x v="221"/>
    <x v="10"/>
  </r>
  <r>
    <x v="167"/>
    <x v="12"/>
    <x v="335"/>
    <x v="0"/>
    <x v="17"/>
    <x v="7"/>
    <x v="1"/>
    <x v="4"/>
    <x v="221"/>
    <x v="5"/>
  </r>
  <r>
    <x v="167"/>
    <x v="8"/>
    <x v="475"/>
    <x v="0"/>
    <x v="241"/>
    <x v="7"/>
    <x v="0"/>
    <x v="0"/>
    <x v="108"/>
    <x v="5"/>
  </r>
  <r>
    <x v="167"/>
    <x v="9"/>
    <x v="1342"/>
    <x v="0"/>
    <x v="229"/>
    <x v="7"/>
    <x v="0"/>
    <x v="0"/>
    <x v="102"/>
    <x v="5"/>
  </r>
  <r>
    <x v="167"/>
    <x v="20"/>
    <x v="924"/>
    <x v="0"/>
    <x v="61"/>
    <x v="7"/>
    <x v="0"/>
    <x v="0"/>
    <x v="105"/>
    <x v="5"/>
  </r>
  <r>
    <x v="167"/>
    <x v="38"/>
    <x v="262"/>
    <x v="0"/>
    <x v="500"/>
    <x v="7"/>
    <x v="1"/>
    <x v="4"/>
    <x v="221"/>
    <x v="5"/>
  </r>
  <r>
    <x v="167"/>
    <x v="27"/>
    <x v="191"/>
    <x v="1"/>
    <x v="5"/>
    <x v="7"/>
    <x v="0"/>
    <x v="2"/>
    <x v="98"/>
    <x v="5"/>
  </r>
  <r>
    <x v="167"/>
    <x v="20"/>
    <x v="65"/>
    <x v="1"/>
    <x v="416"/>
    <x v="7"/>
    <x v="0"/>
    <x v="2"/>
    <x v="98"/>
    <x v="5"/>
  </r>
  <r>
    <x v="167"/>
    <x v="32"/>
    <x v="840"/>
    <x v="3"/>
    <x v="422"/>
    <x v="7"/>
    <x v="2"/>
    <x v="4"/>
    <x v="221"/>
    <x v="10"/>
  </r>
  <r>
    <x v="167"/>
    <x v="32"/>
    <x v="216"/>
    <x v="2"/>
    <x v="422"/>
    <x v="7"/>
    <x v="2"/>
    <x v="4"/>
    <x v="221"/>
    <x v="10"/>
  </r>
  <r>
    <x v="167"/>
    <x v="32"/>
    <x v="682"/>
    <x v="6"/>
    <x v="422"/>
    <x v="7"/>
    <x v="2"/>
    <x v="4"/>
    <x v="221"/>
    <x v="10"/>
  </r>
  <r>
    <x v="167"/>
    <x v="32"/>
    <x v="1905"/>
    <x v="7"/>
    <x v="422"/>
    <x v="7"/>
    <x v="2"/>
    <x v="4"/>
    <x v="221"/>
    <x v="10"/>
  </r>
  <r>
    <x v="167"/>
    <x v="32"/>
    <x v="1490"/>
    <x v="5"/>
    <x v="533"/>
    <x v="7"/>
    <x v="2"/>
    <x v="4"/>
    <x v="221"/>
    <x v="10"/>
  </r>
  <r>
    <x v="167"/>
    <x v="37"/>
    <x v="42"/>
    <x v="3"/>
    <x v="523"/>
    <x v="7"/>
    <x v="0"/>
    <x v="2"/>
    <x v="98"/>
    <x v="12"/>
  </r>
  <r>
    <x v="168"/>
    <x v="38"/>
    <x v="262"/>
    <x v="0"/>
    <x v="500"/>
    <x v="7"/>
    <x v="1"/>
    <x v="4"/>
    <x v="221"/>
    <x v="5"/>
  </r>
  <r>
    <x v="168"/>
    <x v="20"/>
    <x v="413"/>
    <x v="0"/>
    <x v="61"/>
    <x v="7"/>
    <x v="0"/>
    <x v="0"/>
    <x v="105"/>
    <x v="5"/>
  </r>
  <r>
    <x v="168"/>
    <x v="1"/>
    <x v="90"/>
    <x v="1"/>
    <x v="431"/>
    <x v="7"/>
    <x v="0"/>
    <x v="2"/>
    <x v="99"/>
    <x v="4"/>
  </r>
  <r>
    <x v="168"/>
    <x v="12"/>
    <x v="651"/>
    <x v="0"/>
    <x v="17"/>
    <x v="7"/>
    <x v="1"/>
    <x v="4"/>
    <x v="221"/>
    <x v="5"/>
  </r>
  <r>
    <x v="168"/>
    <x v="20"/>
    <x v="375"/>
    <x v="1"/>
    <x v="70"/>
    <x v="7"/>
    <x v="0"/>
    <x v="2"/>
    <x v="99"/>
    <x v="5"/>
  </r>
  <r>
    <x v="168"/>
    <x v="24"/>
    <x v="65"/>
    <x v="1"/>
    <x v="336"/>
    <x v="7"/>
    <x v="0"/>
    <x v="2"/>
    <x v="99"/>
    <x v="6"/>
  </r>
  <r>
    <x v="168"/>
    <x v="20"/>
    <x v="1090"/>
    <x v="1"/>
    <x v="253"/>
    <x v="7"/>
    <x v="0"/>
    <x v="2"/>
    <x v="99"/>
    <x v="5"/>
  </r>
  <r>
    <x v="168"/>
    <x v="13"/>
    <x v="431"/>
    <x v="0"/>
    <x v="32"/>
    <x v="7"/>
    <x v="0"/>
    <x v="4"/>
    <x v="110"/>
    <x v="5"/>
  </r>
  <r>
    <x v="168"/>
    <x v="20"/>
    <x v="49"/>
    <x v="1"/>
    <x v="381"/>
    <x v="7"/>
    <x v="0"/>
    <x v="2"/>
    <x v="99"/>
    <x v="5"/>
  </r>
  <r>
    <x v="168"/>
    <x v="19"/>
    <x v="778"/>
    <x v="0"/>
    <x v="474"/>
    <x v="7"/>
    <x v="0"/>
    <x v="0"/>
    <x v="115"/>
    <x v="3"/>
  </r>
  <r>
    <x v="168"/>
    <x v="15"/>
    <x v="464"/>
    <x v="3"/>
    <x v="353"/>
    <x v="7"/>
    <x v="0"/>
    <x v="2"/>
    <x v="99"/>
    <x v="4"/>
  </r>
  <r>
    <x v="168"/>
    <x v="32"/>
    <x v="851"/>
    <x v="3"/>
    <x v="422"/>
    <x v="7"/>
    <x v="2"/>
    <x v="4"/>
    <x v="221"/>
    <x v="10"/>
  </r>
  <r>
    <x v="168"/>
    <x v="32"/>
    <x v="87"/>
    <x v="4"/>
    <x v="286"/>
    <x v="7"/>
    <x v="2"/>
    <x v="4"/>
    <x v="221"/>
    <x v="10"/>
  </r>
  <r>
    <x v="168"/>
    <x v="32"/>
    <x v="194"/>
    <x v="6"/>
    <x v="422"/>
    <x v="7"/>
    <x v="2"/>
    <x v="4"/>
    <x v="221"/>
    <x v="10"/>
  </r>
  <r>
    <x v="168"/>
    <x v="32"/>
    <x v="1692"/>
    <x v="7"/>
    <x v="422"/>
    <x v="7"/>
    <x v="2"/>
    <x v="4"/>
    <x v="221"/>
    <x v="10"/>
  </r>
  <r>
    <x v="168"/>
    <x v="32"/>
    <x v="636"/>
    <x v="5"/>
    <x v="422"/>
    <x v="7"/>
    <x v="2"/>
    <x v="4"/>
    <x v="221"/>
    <x v="10"/>
  </r>
  <r>
    <x v="168"/>
    <x v="9"/>
    <x v="1535"/>
    <x v="0"/>
    <x v="229"/>
    <x v="7"/>
    <x v="0"/>
    <x v="0"/>
    <x v="105"/>
    <x v="5"/>
  </r>
  <r>
    <x v="168"/>
    <x v="32"/>
    <x v="560"/>
    <x v="2"/>
    <x v="422"/>
    <x v="7"/>
    <x v="2"/>
    <x v="4"/>
    <x v="221"/>
    <x v="10"/>
  </r>
  <r>
    <x v="168"/>
    <x v="37"/>
    <x v="40"/>
    <x v="3"/>
    <x v="523"/>
    <x v="7"/>
    <x v="0"/>
    <x v="2"/>
    <x v="99"/>
    <x v="12"/>
  </r>
  <r>
    <x v="169"/>
    <x v="8"/>
    <x v="816"/>
    <x v="0"/>
    <x v="241"/>
    <x v="7"/>
    <x v="0"/>
    <x v="0"/>
    <x v="108"/>
    <x v="5"/>
  </r>
  <r>
    <x v="169"/>
    <x v="1"/>
    <x v="90"/>
    <x v="1"/>
    <x v="431"/>
    <x v="7"/>
    <x v="0"/>
    <x v="4"/>
    <x v="221"/>
    <x v="4"/>
  </r>
  <r>
    <x v="169"/>
    <x v="20"/>
    <x v="819"/>
    <x v="0"/>
    <x v="61"/>
    <x v="7"/>
    <x v="0"/>
    <x v="0"/>
    <x v="105"/>
    <x v="5"/>
  </r>
  <r>
    <x v="169"/>
    <x v="12"/>
    <x v="335"/>
    <x v="0"/>
    <x v="17"/>
    <x v="7"/>
    <x v="1"/>
    <x v="4"/>
    <x v="221"/>
    <x v="5"/>
  </r>
  <r>
    <x v="169"/>
    <x v="9"/>
    <x v="920"/>
    <x v="0"/>
    <x v="229"/>
    <x v="7"/>
    <x v="0"/>
    <x v="0"/>
    <x v="109"/>
    <x v="5"/>
  </r>
  <r>
    <x v="169"/>
    <x v="28"/>
    <x v="138"/>
    <x v="1"/>
    <x v="371"/>
    <x v="7"/>
    <x v="0"/>
    <x v="2"/>
    <x v="100"/>
    <x v="0"/>
  </r>
  <r>
    <x v="169"/>
    <x v="22"/>
    <x v="318"/>
    <x v="1"/>
    <x v="259"/>
    <x v="7"/>
    <x v="0"/>
    <x v="2"/>
    <x v="100"/>
    <x v="3"/>
  </r>
  <r>
    <x v="169"/>
    <x v="32"/>
    <x v="1497"/>
    <x v="3"/>
    <x v="422"/>
    <x v="7"/>
    <x v="2"/>
    <x v="4"/>
    <x v="221"/>
    <x v="10"/>
  </r>
  <r>
    <x v="169"/>
    <x v="32"/>
    <x v="404"/>
    <x v="2"/>
    <x v="422"/>
    <x v="7"/>
    <x v="2"/>
    <x v="4"/>
    <x v="221"/>
    <x v="10"/>
  </r>
  <r>
    <x v="169"/>
    <x v="32"/>
    <x v="117"/>
    <x v="6"/>
    <x v="422"/>
    <x v="7"/>
    <x v="2"/>
    <x v="4"/>
    <x v="221"/>
    <x v="10"/>
  </r>
  <r>
    <x v="169"/>
    <x v="32"/>
    <x v="1950"/>
    <x v="7"/>
    <x v="422"/>
    <x v="7"/>
    <x v="2"/>
    <x v="4"/>
    <x v="221"/>
    <x v="10"/>
  </r>
  <r>
    <x v="169"/>
    <x v="32"/>
    <x v="1052"/>
    <x v="8"/>
    <x v="422"/>
    <x v="7"/>
    <x v="2"/>
    <x v="4"/>
    <x v="221"/>
    <x v="10"/>
  </r>
  <r>
    <x v="169"/>
    <x v="32"/>
    <x v="1200"/>
    <x v="5"/>
    <x v="533"/>
    <x v="7"/>
    <x v="2"/>
    <x v="4"/>
    <x v="221"/>
    <x v="10"/>
  </r>
  <r>
    <x v="169"/>
    <x v="37"/>
    <x v="37"/>
    <x v="3"/>
    <x v="523"/>
    <x v="7"/>
    <x v="0"/>
    <x v="2"/>
    <x v="100"/>
    <x v="12"/>
  </r>
  <r>
    <x v="169"/>
    <x v="38"/>
    <x v="141"/>
    <x v="0"/>
    <x v="500"/>
    <x v="7"/>
    <x v="1"/>
    <x v="4"/>
    <x v="221"/>
    <x v="5"/>
  </r>
  <r>
    <x v="170"/>
    <x v="20"/>
    <x v="542"/>
    <x v="0"/>
    <x v="61"/>
    <x v="7"/>
    <x v="0"/>
    <x v="0"/>
    <x v="110"/>
    <x v="5"/>
  </r>
  <r>
    <x v="170"/>
    <x v="12"/>
    <x v="768"/>
    <x v="0"/>
    <x v="17"/>
    <x v="7"/>
    <x v="1"/>
    <x v="4"/>
    <x v="221"/>
    <x v="5"/>
  </r>
  <r>
    <x v="170"/>
    <x v="38"/>
    <x v="475"/>
    <x v="1"/>
    <x v="389"/>
    <x v="7"/>
    <x v="0"/>
    <x v="2"/>
    <x v="101"/>
    <x v="5"/>
  </r>
  <r>
    <x v="170"/>
    <x v="9"/>
    <x v="1636"/>
    <x v="0"/>
    <x v="229"/>
    <x v="7"/>
    <x v="0"/>
    <x v="0"/>
    <x v="109"/>
    <x v="5"/>
  </r>
  <r>
    <x v="170"/>
    <x v="3"/>
    <x v="599"/>
    <x v="1"/>
    <x v="579"/>
    <x v="7"/>
    <x v="0"/>
    <x v="2"/>
    <x v="101"/>
    <x v="4"/>
  </r>
  <r>
    <x v="170"/>
    <x v="27"/>
    <x v="836"/>
    <x v="1"/>
    <x v="5"/>
    <x v="7"/>
    <x v="0"/>
    <x v="2"/>
    <x v="101"/>
    <x v="5"/>
  </r>
  <r>
    <x v="170"/>
    <x v="12"/>
    <x v="158"/>
    <x v="1"/>
    <x v="406"/>
    <x v="7"/>
    <x v="0"/>
    <x v="2"/>
    <x v="101"/>
    <x v="5"/>
  </r>
  <r>
    <x v="170"/>
    <x v="19"/>
    <x v="778"/>
    <x v="0"/>
    <x v="474"/>
    <x v="7"/>
    <x v="0"/>
    <x v="0"/>
    <x v="115"/>
    <x v="3"/>
  </r>
  <r>
    <x v="170"/>
    <x v="38"/>
    <x v="448"/>
    <x v="0"/>
    <x v="500"/>
    <x v="7"/>
    <x v="1"/>
    <x v="4"/>
    <x v="221"/>
    <x v="5"/>
  </r>
  <r>
    <x v="170"/>
    <x v="32"/>
    <x v="1454"/>
    <x v="3"/>
    <x v="422"/>
    <x v="7"/>
    <x v="2"/>
    <x v="4"/>
    <x v="221"/>
    <x v="10"/>
  </r>
  <r>
    <x v="170"/>
    <x v="32"/>
    <x v="502"/>
    <x v="2"/>
    <x v="422"/>
    <x v="7"/>
    <x v="2"/>
    <x v="4"/>
    <x v="221"/>
    <x v="10"/>
  </r>
  <r>
    <x v="170"/>
    <x v="32"/>
    <x v="100"/>
    <x v="6"/>
    <x v="422"/>
    <x v="7"/>
    <x v="2"/>
    <x v="4"/>
    <x v="221"/>
    <x v="10"/>
  </r>
  <r>
    <x v="170"/>
    <x v="32"/>
    <x v="1971"/>
    <x v="7"/>
    <x v="422"/>
    <x v="7"/>
    <x v="2"/>
    <x v="4"/>
    <x v="221"/>
    <x v="10"/>
  </r>
  <r>
    <x v="170"/>
    <x v="32"/>
    <x v="1086"/>
    <x v="5"/>
    <x v="533"/>
    <x v="7"/>
    <x v="2"/>
    <x v="4"/>
    <x v="221"/>
    <x v="10"/>
  </r>
  <r>
    <x v="170"/>
    <x v="1"/>
    <x v="90"/>
    <x v="1"/>
    <x v="431"/>
    <x v="7"/>
    <x v="0"/>
    <x v="2"/>
    <x v="101"/>
    <x v="4"/>
  </r>
  <r>
    <x v="170"/>
    <x v="0"/>
    <x v="256"/>
    <x v="3"/>
    <x v="566"/>
    <x v="7"/>
    <x v="0"/>
    <x v="2"/>
    <x v="101"/>
    <x v="9"/>
  </r>
  <r>
    <x v="170"/>
    <x v="0"/>
    <x v="256"/>
    <x v="3"/>
    <x v="453"/>
    <x v="7"/>
    <x v="0"/>
    <x v="2"/>
    <x v="101"/>
    <x v="9"/>
  </r>
  <r>
    <x v="170"/>
    <x v="37"/>
    <x v="47"/>
    <x v="3"/>
    <x v="523"/>
    <x v="7"/>
    <x v="0"/>
    <x v="2"/>
    <x v="101"/>
    <x v="12"/>
  </r>
  <r>
    <x v="170"/>
    <x v="20"/>
    <x v="109"/>
    <x v="0"/>
    <x v="61"/>
    <x v="7"/>
    <x v="0"/>
    <x v="0"/>
    <x v="116"/>
    <x v="5"/>
  </r>
  <r>
    <x v="171"/>
    <x v="12"/>
    <x v="773"/>
    <x v="0"/>
    <x v="17"/>
    <x v="7"/>
    <x v="1"/>
    <x v="4"/>
    <x v="221"/>
    <x v="5"/>
  </r>
  <r>
    <x v="171"/>
    <x v="20"/>
    <x v="1448"/>
    <x v="0"/>
    <x v="61"/>
    <x v="7"/>
    <x v="0"/>
    <x v="0"/>
    <x v="110"/>
    <x v="5"/>
  </r>
  <r>
    <x v="171"/>
    <x v="20"/>
    <x v="49"/>
    <x v="1"/>
    <x v="381"/>
    <x v="7"/>
    <x v="0"/>
    <x v="2"/>
    <x v="102"/>
    <x v="5"/>
  </r>
  <r>
    <x v="171"/>
    <x v="38"/>
    <x v="307"/>
    <x v="0"/>
    <x v="500"/>
    <x v="7"/>
    <x v="1"/>
    <x v="4"/>
    <x v="221"/>
    <x v="5"/>
  </r>
  <r>
    <x v="171"/>
    <x v="1"/>
    <x v="90"/>
    <x v="1"/>
    <x v="431"/>
    <x v="7"/>
    <x v="0"/>
    <x v="2"/>
    <x v="102"/>
    <x v="4"/>
  </r>
  <r>
    <x v="171"/>
    <x v="0"/>
    <x v="256"/>
    <x v="1"/>
    <x v="440"/>
    <x v="7"/>
    <x v="0"/>
    <x v="2"/>
    <x v="102"/>
    <x v="9"/>
  </r>
  <r>
    <x v="171"/>
    <x v="9"/>
    <x v="1325"/>
    <x v="0"/>
    <x v="229"/>
    <x v="7"/>
    <x v="0"/>
    <x v="0"/>
    <x v="109"/>
    <x v="5"/>
  </r>
  <r>
    <x v="171"/>
    <x v="32"/>
    <x v="1630"/>
    <x v="3"/>
    <x v="422"/>
    <x v="7"/>
    <x v="2"/>
    <x v="4"/>
    <x v="221"/>
    <x v="10"/>
  </r>
  <r>
    <x v="171"/>
    <x v="32"/>
    <x v="164"/>
    <x v="2"/>
    <x v="422"/>
    <x v="7"/>
    <x v="2"/>
    <x v="4"/>
    <x v="221"/>
    <x v="10"/>
  </r>
  <r>
    <x v="171"/>
    <x v="32"/>
    <x v="1187"/>
    <x v="6"/>
    <x v="422"/>
    <x v="7"/>
    <x v="2"/>
    <x v="4"/>
    <x v="221"/>
    <x v="10"/>
  </r>
  <r>
    <x v="171"/>
    <x v="32"/>
    <x v="1775"/>
    <x v="7"/>
    <x v="422"/>
    <x v="7"/>
    <x v="2"/>
    <x v="4"/>
    <x v="221"/>
    <x v="10"/>
  </r>
  <r>
    <x v="171"/>
    <x v="32"/>
    <x v="292"/>
    <x v="8"/>
    <x v="422"/>
    <x v="7"/>
    <x v="2"/>
    <x v="4"/>
    <x v="221"/>
    <x v="10"/>
  </r>
  <r>
    <x v="171"/>
    <x v="32"/>
    <x v="968"/>
    <x v="5"/>
    <x v="533"/>
    <x v="7"/>
    <x v="2"/>
    <x v="4"/>
    <x v="221"/>
    <x v="10"/>
  </r>
  <r>
    <x v="171"/>
    <x v="0"/>
    <x v="1146"/>
    <x v="1"/>
    <x v="172"/>
    <x v="7"/>
    <x v="0"/>
    <x v="2"/>
    <x v="102"/>
    <x v="9"/>
  </r>
  <r>
    <x v="171"/>
    <x v="37"/>
    <x v="46"/>
    <x v="3"/>
    <x v="523"/>
    <x v="7"/>
    <x v="0"/>
    <x v="2"/>
    <x v="102"/>
    <x v="12"/>
  </r>
  <r>
    <x v="172"/>
    <x v="20"/>
    <x v="87"/>
    <x v="0"/>
    <x v="61"/>
    <x v="7"/>
    <x v="0"/>
    <x v="0"/>
    <x v="112"/>
    <x v="5"/>
  </r>
  <r>
    <x v="172"/>
    <x v="19"/>
    <x v="778"/>
    <x v="0"/>
    <x v="474"/>
    <x v="7"/>
    <x v="0"/>
    <x v="0"/>
    <x v="115"/>
    <x v="3"/>
  </r>
  <r>
    <x v="172"/>
    <x v="38"/>
    <x v="146"/>
    <x v="0"/>
    <x v="500"/>
    <x v="7"/>
    <x v="1"/>
    <x v="4"/>
    <x v="221"/>
    <x v="5"/>
  </r>
  <r>
    <x v="172"/>
    <x v="9"/>
    <x v="1276"/>
    <x v="0"/>
    <x v="229"/>
    <x v="7"/>
    <x v="0"/>
    <x v="0"/>
    <x v="109"/>
    <x v="5"/>
  </r>
  <r>
    <x v="172"/>
    <x v="12"/>
    <x v="499"/>
    <x v="0"/>
    <x v="17"/>
    <x v="7"/>
    <x v="1"/>
    <x v="4"/>
    <x v="221"/>
    <x v="5"/>
  </r>
  <r>
    <x v="172"/>
    <x v="8"/>
    <x v="475"/>
    <x v="0"/>
    <x v="241"/>
    <x v="7"/>
    <x v="0"/>
    <x v="0"/>
    <x v="108"/>
    <x v="5"/>
  </r>
  <r>
    <x v="172"/>
    <x v="1"/>
    <x v="90"/>
    <x v="1"/>
    <x v="431"/>
    <x v="7"/>
    <x v="0"/>
    <x v="2"/>
    <x v="103"/>
    <x v="4"/>
  </r>
  <r>
    <x v="172"/>
    <x v="23"/>
    <x v="27"/>
    <x v="3"/>
    <x v="285"/>
    <x v="7"/>
    <x v="0"/>
    <x v="2"/>
    <x v="103"/>
    <x v="6"/>
  </r>
  <r>
    <x v="172"/>
    <x v="32"/>
    <x v="458"/>
    <x v="3"/>
    <x v="422"/>
    <x v="7"/>
    <x v="2"/>
    <x v="4"/>
    <x v="221"/>
    <x v="10"/>
  </r>
  <r>
    <x v="172"/>
    <x v="32"/>
    <x v="382"/>
    <x v="2"/>
    <x v="422"/>
    <x v="7"/>
    <x v="2"/>
    <x v="4"/>
    <x v="221"/>
    <x v="10"/>
  </r>
  <r>
    <x v="172"/>
    <x v="32"/>
    <x v="74"/>
    <x v="6"/>
    <x v="422"/>
    <x v="7"/>
    <x v="2"/>
    <x v="4"/>
    <x v="221"/>
    <x v="10"/>
  </r>
  <r>
    <x v="172"/>
    <x v="32"/>
    <x v="1624"/>
    <x v="7"/>
    <x v="422"/>
    <x v="7"/>
    <x v="2"/>
    <x v="4"/>
    <x v="221"/>
    <x v="10"/>
  </r>
  <r>
    <x v="172"/>
    <x v="32"/>
    <x v="816"/>
    <x v="5"/>
    <x v="533"/>
    <x v="7"/>
    <x v="2"/>
    <x v="4"/>
    <x v="221"/>
    <x v="10"/>
  </r>
  <r>
    <x v="173"/>
    <x v="9"/>
    <x v="849"/>
    <x v="0"/>
    <x v="229"/>
    <x v="7"/>
    <x v="0"/>
    <x v="0"/>
    <x v="109"/>
    <x v="5"/>
  </r>
  <r>
    <x v="173"/>
    <x v="38"/>
    <x v="45"/>
    <x v="0"/>
    <x v="500"/>
    <x v="7"/>
    <x v="1"/>
    <x v="4"/>
    <x v="221"/>
    <x v="5"/>
  </r>
  <r>
    <x v="173"/>
    <x v="12"/>
    <x v="381"/>
    <x v="0"/>
    <x v="17"/>
    <x v="7"/>
    <x v="1"/>
    <x v="4"/>
    <x v="221"/>
    <x v="5"/>
  </r>
  <r>
    <x v="173"/>
    <x v="20"/>
    <x v="72"/>
    <x v="1"/>
    <x v="381"/>
    <x v="7"/>
    <x v="0"/>
    <x v="2"/>
    <x v="104"/>
    <x v="5"/>
  </r>
  <r>
    <x v="173"/>
    <x v="15"/>
    <x v="527"/>
    <x v="1"/>
    <x v="353"/>
    <x v="7"/>
    <x v="0"/>
    <x v="2"/>
    <x v="104"/>
    <x v="4"/>
  </r>
  <r>
    <x v="173"/>
    <x v="32"/>
    <x v="1156"/>
    <x v="3"/>
    <x v="422"/>
    <x v="7"/>
    <x v="2"/>
    <x v="4"/>
    <x v="221"/>
    <x v="10"/>
  </r>
  <r>
    <x v="173"/>
    <x v="32"/>
    <x v="30"/>
    <x v="6"/>
    <x v="422"/>
    <x v="7"/>
    <x v="2"/>
    <x v="4"/>
    <x v="221"/>
    <x v="10"/>
  </r>
  <r>
    <x v="173"/>
    <x v="32"/>
    <x v="1675"/>
    <x v="7"/>
    <x v="422"/>
    <x v="7"/>
    <x v="2"/>
    <x v="4"/>
    <x v="221"/>
    <x v="10"/>
  </r>
  <r>
    <x v="173"/>
    <x v="32"/>
    <x v="1005"/>
    <x v="5"/>
    <x v="533"/>
    <x v="7"/>
    <x v="2"/>
    <x v="4"/>
    <x v="221"/>
    <x v="10"/>
  </r>
  <r>
    <x v="173"/>
    <x v="37"/>
    <x v="52"/>
    <x v="3"/>
    <x v="523"/>
    <x v="7"/>
    <x v="0"/>
    <x v="2"/>
    <x v="104"/>
    <x v="12"/>
  </r>
  <r>
    <x v="173"/>
    <x v="0"/>
    <x v="45"/>
    <x v="1"/>
    <x v="566"/>
    <x v="7"/>
    <x v="0"/>
    <x v="2"/>
    <x v="104"/>
    <x v="9"/>
  </r>
  <r>
    <x v="174"/>
    <x v="20"/>
    <x v="1190"/>
    <x v="0"/>
    <x v="61"/>
    <x v="7"/>
    <x v="0"/>
    <x v="0"/>
    <x v="112"/>
    <x v="5"/>
  </r>
  <r>
    <x v="174"/>
    <x v="9"/>
    <x v="700"/>
    <x v="0"/>
    <x v="229"/>
    <x v="7"/>
    <x v="0"/>
    <x v="0"/>
    <x v="112"/>
    <x v="5"/>
  </r>
  <r>
    <x v="174"/>
    <x v="8"/>
    <x v="816"/>
    <x v="0"/>
    <x v="241"/>
    <x v="7"/>
    <x v="0"/>
    <x v="0"/>
    <x v="108"/>
    <x v="5"/>
  </r>
  <r>
    <x v="174"/>
    <x v="12"/>
    <x v="284"/>
    <x v="0"/>
    <x v="17"/>
    <x v="7"/>
    <x v="1"/>
    <x v="4"/>
    <x v="221"/>
    <x v="5"/>
  </r>
  <r>
    <x v="174"/>
    <x v="28"/>
    <x v="173"/>
    <x v="1"/>
    <x v="371"/>
    <x v="7"/>
    <x v="0"/>
    <x v="2"/>
    <x v="105"/>
    <x v="0"/>
  </r>
  <r>
    <x v="174"/>
    <x v="13"/>
    <x v="907"/>
    <x v="0"/>
    <x v="32"/>
    <x v="7"/>
    <x v="0"/>
    <x v="2"/>
    <x v="115"/>
    <x v="5"/>
  </r>
  <r>
    <x v="174"/>
    <x v="12"/>
    <x v="299"/>
    <x v="1"/>
    <x v="408"/>
    <x v="7"/>
    <x v="0"/>
    <x v="2"/>
    <x v="105"/>
    <x v="5"/>
  </r>
  <r>
    <x v="174"/>
    <x v="20"/>
    <x v="375"/>
    <x v="1"/>
    <x v="70"/>
    <x v="7"/>
    <x v="0"/>
    <x v="2"/>
    <x v="105"/>
    <x v="5"/>
  </r>
  <r>
    <x v="174"/>
    <x v="1"/>
    <x v="90"/>
    <x v="1"/>
    <x v="431"/>
    <x v="7"/>
    <x v="0"/>
    <x v="2"/>
    <x v="105"/>
    <x v="4"/>
  </r>
  <r>
    <x v="174"/>
    <x v="38"/>
    <x v="148"/>
    <x v="0"/>
    <x v="500"/>
    <x v="7"/>
    <x v="1"/>
    <x v="4"/>
    <x v="221"/>
    <x v="5"/>
  </r>
  <r>
    <x v="174"/>
    <x v="19"/>
    <x v="778"/>
    <x v="0"/>
    <x v="474"/>
    <x v="7"/>
    <x v="0"/>
    <x v="0"/>
    <x v="115"/>
    <x v="3"/>
  </r>
  <r>
    <x v="174"/>
    <x v="26"/>
    <x v="90"/>
    <x v="1"/>
    <x v="344"/>
    <x v="7"/>
    <x v="0"/>
    <x v="2"/>
    <x v="105"/>
    <x v="5"/>
  </r>
  <r>
    <x v="174"/>
    <x v="39"/>
    <x v="857"/>
    <x v="0"/>
    <x v="578"/>
    <x v="7"/>
    <x v="0"/>
    <x v="0"/>
    <x v="105"/>
    <x v="5"/>
  </r>
  <r>
    <x v="174"/>
    <x v="32"/>
    <x v="1523"/>
    <x v="3"/>
    <x v="422"/>
    <x v="7"/>
    <x v="2"/>
    <x v="4"/>
    <x v="221"/>
    <x v="10"/>
  </r>
  <r>
    <x v="174"/>
    <x v="32"/>
    <x v="210"/>
    <x v="2"/>
    <x v="422"/>
    <x v="7"/>
    <x v="2"/>
    <x v="4"/>
    <x v="221"/>
    <x v="10"/>
  </r>
  <r>
    <x v="174"/>
    <x v="32"/>
    <x v="42"/>
    <x v="6"/>
    <x v="422"/>
    <x v="7"/>
    <x v="2"/>
    <x v="4"/>
    <x v="221"/>
    <x v="10"/>
  </r>
  <r>
    <x v="174"/>
    <x v="32"/>
    <x v="1802"/>
    <x v="7"/>
    <x v="422"/>
    <x v="7"/>
    <x v="2"/>
    <x v="4"/>
    <x v="221"/>
    <x v="10"/>
  </r>
  <r>
    <x v="174"/>
    <x v="32"/>
    <x v="632"/>
    <x v="5"/>
    <x v="533"/>
    <x v="7"/>
    <x v="2"/>
    <x v="4"/>
    <x v="221"/>
    <x v="10"/>
  </r>
  <r>
    <x v="174"/>
    <x v="37"/>
    <x v="32"/>
    <x v="3"/>
    <x v="523"/>
    <x v="7"/>
    <x v="0"/>
    <x v="2"/>
    <x v="105"/>
    <x v="12"/>
  </r>
  <r>
    <x v="175"/>
    <x v="9"/>
    <x v="1312"/>
    <x v="0"/>
    <x v="229"/>
    <x v="7"/>
    <x v="0"/>
    <x v="0"/>
    <x v="112"/>
    <x v="5"/>
  </r>
  <r>
    <x v="175"/>
    <x v="20"/>
    <x v="1120"/>
    <x v="0"/>
    <x v="61"/>
    <x v="7"/>
    <x v="0"/>
    <x v="0"/>
    <x v="112"/>
    <x v="5"/>
  </r>
  <r>
    <x v="175"/>
    <x v="12"/>
    <x v="698"/>
    <x v="0"/>
    <x v="17"/>
    <x v="7"/>
    <x v="1"/>
    <x v="4"/>
    <x v="221"/>
    <x v="5"/>
  </r>
  <r>
    <x v="175"/>
    <x v="1"/>
    <x v="158"/>
    <x v="1"/>
    <x v="431"/>
    <x v="7"/>
    <x v="0"/>
    <x v="2"/>
    <x v="106"/>
    <x v="4"/>
  </r>
  <r>
    <x v="175"/>
    <x v="3"/>
    <x v="599"/>
    <x v="1"/>
    <x v="579"/>
    <x v="7"/>
    <x v="0"/>
    <x v="2"/>
    <x v="106"/>
    <x v="4"/>
  </r>
  <r>
    <x v="175"/>
    <x v="24"/>
    <x v="27"/>
    <x v="1"/>
    <x v="584"/>
    <x v="7"/>
    <x v="0"/>
    <x v="2"/>
    <x v="106"/>
    <x v="6"/>
  </r>
  <r>
    <x v="175"/>
    <x v="38"/>
    <x v="103"/>
    <x v="0"/>
    <x v="500"/>
    <x v="7"/>
    <x v="1"/>
    <x v="4"/>
    <x v="221"/>
    <x v="5"/>
  </r>
  <r>
    <x v="175"/>
    <x v="23"/>
    <x v="45"/>
    <x v="1"/>
    <x v="285"/>
    <x v="7"/>
    <x v="0"/>
    <x v="2"/>
    <x v="106"/>
    <x v="6"/>
  </r>
  <r>
    <x v="175"/>
    <x v="32"/>
    <x v="1271"/>
    <x v="3"/>
    <x v="422"/>
    <x v="7"/>
    <x v="2"/>
    <x v="4"/>
    <x v="221"/>
    <x v="10"/>
  </r>
  <r>
    <x v="175"/>
    <x v="32"/>
    <x v="572"/>
    <x v="2"/>
    <x v="422"/>
    <x v="7"/>
    <x v="2"/>
    <x v="4"/>
    <x v="221"/>
    <x v="10"/>
  </r>
  <r>
    <x v="175"/>
    <x v="32"/>
    <x v="256"/>
    <x v="6"/>
    <x v="422"/>
    <x v="7"/>
    <x v="2"/>
    <x v="4"/>
    <x v="221"/>
    <x v="10"/>
  </r>
  <r>
    <x v="175"/>
    <x v="32"/>
    <x v="1625"/>
    <x v="7"/>
    <x v="422"/>
    <x v="7"/>
    <x v="2"/>
    <x v="4"/>
    <x v="221"/>
    <x v="10"/>
  </r>
  <r>
    <x v="175"/>
    <x v="32"/>
    <x v="456"/>
    <x v="5"/>
    <x v="422"/>
    <x v="7"/>
    <x v="2"/>
    <x v="4"/>
    <x v="221"/>
    <x v="10"/>
  </r>
  <r>
    <x v="175"/>
    <x v="37"/>
    <x v="28"/>
    <x v="3"/>
    <x v="533"/>
    <x v="7"/>
    <x v="0"/>
    <x v="2"/>
    <x v="106"/>
    <x v="12"/>
  </r>
  <r>
    <x v="176"/>
    <x v="20"/>
    <x v="345"/>
    <x v="0"/>
    <x v="61"/>
    <x v="7"/>
    <x v="0"/>
    <x v="0"/>
    <x v="112"/>
    <x v="5"/>
  </r>
  <r>
    <x v="176"/>
    <x v="8"/>
    <x v="475"/>
    <x v="0"/>
    <x v="241"/>
    <x v="7"/>
    <x v="0"/>
    <x v="0"/>
    <x v="121"/>
    <x v="5"/>
  </r>
  <r>
    <x v="176"/>
    <x v="12"/>
    <x v="323"/>
    <x v="0"/>
    <x v="17"/>
    <x v="7"/>
    <x v="1"/>
    <x v="4"/>
    <x v="221"/>
    <x v="5"/>
  </r>
  <r>
    <x v="176"/>
    <x v="20"/>
    <x v="49"/>
    <x v="1"/>
    <x v="381"/>
    <x v="7"/>
    <x v="0"/>
    <x v="2"/>
    <x v="107"/>
    <x v="5"/>
  </r>
  <r>
    <x v="176"/>
    <x v="9"/>
    <x v="864"/>
    <x v="0"/>
    <x v="229"/>
    <x v="7"/>
    <x v="0"/>
    <x v="0"/>
    <x v="112"/>
    <x v="5"/>
  </r>
  <r>
    <x v="176"/>
    <x v="27"/>
    <x v="709"/>
    <x v="1"/>
    <x v="5"/>
    <x v="7"/>
    <x v="0"/>
    <x v="2"/>
    <x v="107"/>
    <x v="5"/>
  </r>
  <r>
    <x v="176"/>
    <x v="38"/>
    <x v="282"/>
    <x v="0"/>
    <x v="500"/>
    <x v="7"/>
    <x v="1"/>
    <x v="4"/>
    <x v="221"/>
    <x v="5"/>
  </r>
  <r>
    <x v="176"/>
    <x v="19"/>
    <x v="778"/>
    <x v="0"/>
    <x v="474"/>
    <x v="7"/>
    <x v="0"/>
    <x v="0"/>
    <x v="115"/>
    <x v="3"/>
  </r>
  <r>
    <x v="176"/>
    <x v="32"/>
    <x v="390"/>
    <x v="3"/>
    <x v="422"/>
    <x v="7"/>
    <x v="2"/>
    <x v="4"/>
    <x v="221"/>
    <x v="10"/>
  </r>
  <r>
    <x v="176"/>
    <x v="32"/>
    <x v="19"/>
    <x v="6"/>
    <x v="422"/>
    <x v="7"/>
    <x v="2"/>
    <x v="4"/>
    <x v="221"/>
    <x v="10"/>
  </r>
  <r>
    <x v="176"/>
    <x v="32"/>
    <x v="1872"/>
    <x v="7"/>
    <x v="422"/>
    <x v="7"/>
    <x v="2"/>
    <x v="4"/>
    <x v="221"/>
    <x v="10"/>
  </r>
  <r>
    <x v="176"/>
    <x v="32"/>
    <x v="305"/>
    <x v="8"/>
    <x v="422"/>
    <x v="7"/>
    <x v="2"/>
    <x v="4"/>
    <x v="221"/>
    <x v="10"/>
  </r>
  <r>
    <x v="176"/>
    <x v="32"/>
    <x v="994"/>
    <x v="5"/>
    <x v="422"/>
    <x v="7"/>
    <x v="2"/>
    <x v="4"/>
    <x v="221"/>
    <x v="10"/>
  </r>
  <r>
    <x v="176"/>
    <x v="37"/>
    <x v="42"/>
    <x v="3"/>
    <x v="523"/>
    <x v="7"/>
    <x v="0"/>
    <x v="2"/>
    <x v="107"/>
    <x v="12"/>
  </r>
  <r>
    <x v="177"/>
    <x v="9"/>
    <x v="1054"/>
    <x v="0"/>
    <x v="229"/>
    <x v="7"/>
    <x v="0"/>
    <x v="0"/>
    <x v="112"/>
    <x v="5"/>
  </r>
  <r>
    <x v="177"/>
    <x v="20"/>
    <x v="1066"/>
    <x v="0"/>
    <x v="61"/>
    <x v="7"/>
    <x v="0"/>
    <x v="0"/>
    <x v="112"/>
    <x v="5"/>
  </r>
  <r>
    <x v="177"/>
    <x v="0"/>
    <x v="1146"/>
    <x v="1"/>
    <x v="566"/>
    <x v="7"/>
    <x v="0"/>
    <x v="2"/>
    <x v="108"/>
    <x v="9"/>
  </r>
  <r>
    <x v="177"/>
    <x v="1"/>
    <x v="90"/>
    <x v="1"/>
    <x v="431"/>
    <x v="7"/>
    <x v="0"/>
    <x v="2"/>
    <x v="108"/>
    <x v="4"/>
  </r>
  <r>
    <x v="177"/>
    <x v="12"/>
    <x v="285"/>
    <x v="0"/>
    <x v="17"/>
    <x v="7"/>
    <x v="1"/>
    <x v="4"/>
    <x v="221"/>
    <x v="5"/>
  </r>
  <r>
    <x v="177"/>
    <x v="20"/>
    <x v="138"/>
    <x v="1"/>
    <x v="249"/>
    <x v="7"/>
    <x v="0"/>
    <x v="2"/>
    <x v="108"/>
    <x v="5"/>
  </r>
  <r>
    <x v="177"/>
    <x v="18"/>
    <x v="375"/>
    <x v="1"/>
    <x v="138"/>
    <x v="7"/>
    <x v="0"/>
    <x v="2"/>
    <x v="108"/>
    <x v="3"/>
  </r>
  <r>
    <x v="177"/>
    <x v="27"/>
    <x v="191"/>
    <x v="1"/>
    <x v="5"/>
    <x v="7"/>
    <x v="0"/>
    <x v="2"/>
    <x v="108"/>
    <x v="5"/>
  </r>
  <r>
    <x v="177"/>
    <x v="15"/>
    <x v="524"/>
    <x v="1"/>
    <x v="353"/>
    <x v="7"/>
    <x v="0"/>
    <x v="2"/>
    <x v="108"/>
    <x v="4"/>
  </r>
  <r>
    <x v="177"/>
    <x v="38"/>
    <x v="242"/>
    <x v="0"/>
    <x v="500"/>
    <x v="7"/>
    <x v="1"/>
    <x v="4"/>
    <x v="221"/>
    <x v="5"/>
  </r>
  <r>
    <x v="177"/>
    <x v="32"/>
    <x v="1125"/>
    <x v="3"/>
    <x v="422"/>
    <x v="7"/>
    <x v="2"/>
    <x v="4"/>
    <x v="221"/>
    <x v="10"/>
  </r>
  <r>
    <x v="177"/>
    <x v="32"/>
    <x v="134"/>
    <x v="2"/>
    <x v="422"/>
    <x v="7"/>
    <x v="2"/>
    <x v="4"/>
    <x v="221"/>
    <x v="10"/>
  </r>
  <r>
    <x v="177"/>
    <x v="32"/>
    <x v="65"/>
    <x v="6"/>
    <x v="422"/>
    <x v="7"/>
    <x v="2"/>
    <x v="4"/>
    <x v="221"/>
    <x v="10"/>
  </r>
  <r>
    <x v="177"/>
    <x v="32"/>
    <x v="1766"/>
    <x v="7"/>
    <x v="422"/>
    <x v="7"/>
    <x v="2"/>
    <x v="4"/>
    <x v="221"/>
    <x v="10"/>
  </r>
  <r>
    <x v="177"/>
    <x v="32"/>
    <x v="1363"/>
    <x v="5"/>
    <x v="533"/>
    <x v="7"/>
    <x v="2"/>
    <x v="4"/>
    <x v="221"/>
    <x v="10"/>
  </r>
  <r>
    <x v="177"/>
    <x v="37"/>
    <x v="45"/>
    <x v="3"/>
    <x v="523"/>
    <x v="7"/>
    <x v="0"/>
    <x v="2"/>
    <x v="108"/>
    <x v="12"/>
  </r>
  <r>
    <x v="178"/>
    <x v="20"/>
    <x v="461"/>
    <x v="0"/>
    <x v="61"/>
    <x v="7"/>
    <x v="0"/>
    <x v="0"/>
    <x v="116"/>
    <x v="5"/>
  </r>
  <r>
    <x v="178"/>
    <x v="38"/>
    <x v="83"/>
    <x v="0"/>
    <x v="500"/>
    <x v="7"/>
    <x v="1"/>
    <x v="4"/>
    <x v="221"/>
    <x v="5"/>
  </r>
  <r>
    <x v="178"/>
    <x v="12"/>
    <x v="673"/>
    <x v="0"/>
    <x v="17"/>
    <x v="7"/>
    <x v="1"/>
    <x v="4"/>
    <x v="221"/>
    <x v="5"/>
  </r>
  <r>
    <x v="178"/>
    <x v="36"/>
    <x v="45"/>
    <x v="1"/>
    <x v="375"/>
    <x v="7"/>
    <x v="0"/>
    <x v="2"/>
    <x v="109"/>
    <x v="5"/>
  </r>
  <r>
    <x v="178"/>
    <x v="19"/>
    <x v="1235"/>
    <x v="0"/>
    <x v="474"/>
    <x v="7"/>
    <x v="0"/>
    <x v="0"/>
    <x v="115"/>
    <x v="3"/>
  </r>
  <r>
    <x v="178"/>
    <x v="12"/>
    <x v="158"/>
    <x v="1"/>
    <x v="406"/>
    <x v="7"/>
    <x v="0"/>
    <x v="2"/>
    <x v="109"/>
    <x v="5"/>
  </r>
  <r>
    <x v="178"/>
    <x v="28"/>
    <x v="138"/>
    <x v="1"/>
    <x v="371"/>
    <x v="7"/>
    <x v="0"/>
    <x v="2"/>
    <x v="109"/>
    <x v="0"/>
  </r>
  <r>
    <x v="178"/>
    <x v="32"/>
    <x v="1134"/>
    <x v="3"/>
    <x v="422"/>
    <x v="7"/>
    <x v="2"/>
    <x v="4"/>
    <x v="221"/>
    <x v="10"/>
  </r>
  <r>
    <x v="178"/>
    <x v="32"/>
    <x v="753"/>
    <x v="2"/>
    <x v="422"/>
    <x v="7"/>
    <x v="2"/>
    <x v="4"/>
    <x v="221"/>
    <x v="10"/>
  </r>
  <r>
    <x v="178"/>
    <x v="32"/>
    <x v="607"/>
    <x v="6"/>
    <x v="422"/>
    <x v="7"/>
    <x v="2"/>
    <x v="4"/>
    <x v="221"/>
    <x v="10"/>
  </r>
  <r>
    <x v="178"/>
    <x v="32"/>
    <x v="1852"/>
    <x v="7"/>
    <x v="422"/>
    <x v="7"/>
    <x v="2"/>
    <x v="4"/>
    <x v="221"/>
    <x v="10"/>
  </r>
  <r>
    <x v="178"/>
    <x v="32"/>
    <x v="109"/>
    <x v="8"/>
    <x v="422"/>
    <x v="7"/>
    <x v="2"/>
    <x v="4"/>
    <x v="221"/>
    <x v="10"/>
  </r>
  <r>
    <x v="178"/>
    <x v="32"/>
    <x v="1502"/>
    <x v="5"/>
    <x v="533"/>
    <x v="7"/>
    <x v="2"/>
    <x v="4"/>
    <x v="221"/>
    <x v="10"/>
  </r>
  <r>
    <x v="178"/>
    <x v="9"/>
    <x v="1428"/>
    <x v="0"/>
    <x v="229"/>
    <x v="7"/>
    <x v="0"/>
    <x v="0"/>
    <x v="116"/>
    <x v="5"/>
  </r>
  <r>
    <x v="178"/>
    <x v="0"/>
    <x v="518"/>
    <x v="1"/>
    <x v="258"/>
    <x v="7"/>
    <x v="0"/>
    <x v="2"/>
    <x v="109"/>
    <x v="9"/>
  </r>
  <r>
    <x v="178"/>
    <x v="0"/>
    <x v="518"/>
    <x v="1"/>
    <x v="441"/>
    <x v="7"/>
    <x v="0"/>
    <x v="2"/>
    <x v="109"/>
    <x v="9"/>
  </r>
  <r>
    <x v="178"/>
    <x v="0"/>
    <x v="1645"/>
    <x v="1"/>
    <x v="455"/>
    <x v="7"/>
    <x v="0"/>
    <x v="2"/>
    <x v="109"/>
    <x v="9"/>
  </r>
  <r>
    <x v="178"/>
    <x v="37"/>
    <x v="36"/>
    <x v="3"/>
    <x v="523"/>
    <x v="7"/>
    <x v="0"/>
    <x v="2"/>
    <x v="109"/>
    <x v="12"/>
  </r>
  <r>
    <x v="179"/>
    <x v="9"/>
    <x v="1553"/>
    <x v="0"/>
    <x v="229"/>
    <x v="7"/>
    <x v="0"/>
    <x v="0"/>
    <x v="116"/>
    <x v="5"/>
  </r>
  <r>
    <x v="179"/>
    <x v="20"/>
    <x v="1449"/>
    <x v="0"/>
    <x v="61"/>
    <x v="7"/>
    <x v="0"/>
    <x v="0"/>
    <x v="116"/>
    <x v="5"/>
  </r>
  <r>
    <x v="179"/>
    <x v="1"/>
    <x v="141"/>
    <x v="3"/>
    <x v="431"/>
    <x v="7"/>
    <x v="0"/>
    <x v="2"/>
    <x v="110"/>
    <x v="4"/>
  </r>
  <r>
    <x v="179"/>
    <x v="12"/>
    <x v="691"/>
    <x v="0"/>
    <x v="17"/>
    <x v="7"/>
    <x v="1"/>
    <x v="4"/>
    <x v="221"/>
    <x v="5"/>
  </r>
  <r>
    <x v="179"/>
    <x v="8"/>
    <x v="475"/>
    <x v="0"/>
    <x v="241"/>
    <x v="7"/>
    <x v="0"/>
    <x v="0"/>
    <x v="121"/>
    <x v="5"/>
  </r>
  <r>
    <x v="179"/>
    <x v="3"/>
    <x v="599"/>
    <x v="1"/>
    <x v="579"/>
    <x v="7"/>
    <x v="0"/>
    <x v="2"/>
    <x v="110"/>
    <x v="4"/>
  </r>
  <r>
    <x v="179"/>
    <x v="38"/>
    <x v="167"/>
    <x v="0"/>
    <x v="500"/>
    <x v="7"/>
    <x v="1"/>
    <x v="4"/>
    <x v="221"/>
    <x v="5"/>
  </r>
  <r>
    <x v="179"/>
    <x v="32"/>
    <x v="363"/>
    <x v="3"/>
    <x v="422"/>
    <x v="7"/>
    <x v="2"/>
    <x v="4"/>
    <x v="221"/>
    <x v="10"/>
  </r>
  <r>
    <x v="179"/>
    <x v="32"/>
    <x v="617"/>
    <x v="6"/>
    <x v="422"/>
    <x v="7"/>
    <x v="2"/>
    <x v="4"/>
    <x v="221"/>
    <x v="10"/>
  </r>
  <r>
    <x v="179"/>
    <x v="32"/>
    <x v="1346"/>
    <x v="7"/>
    <x v="422"/>
    <x v="7"/>
    <x v="2"/>
    <x v="4"/>
    <x v="221"/>
    <x v="10"/>
  </r>
  <r>
    <x v="179"/>
    <x v="32"/>
    <x v="387"/>
    <x v="5"/>
    <x v="533"/>
    <x v="7"/>
    <x v="2"/>
    <x v="4"/>
    <x v="221"/>
    <x v="10"/>
  </r>
  <r>
    <x v="179"/>
    <x v="38"/>
    <x v="27"/>
    <x v="1"/>
    <x v="401"/>
    <x v="7"/>
    <x v="0"/>
    <x v="2"/>
    <x v="110"/>
    <x v="5"/>
  </r>
  <r>
    <x v="179"/>
    <x v="37"/>
    <x v="31"/>
    <x v="3"/>
    <x v="523"/>
    <x v="7"/>
    <x v="0"/>
    <x v="2"/>
    <x v="110"/>
    <x v="12"/>
  </r>
  <r>
    <x v="180"/>
    <x v="12"/>
    <x v="220"/>
    <x v="0"/>
    <x v="17"/>
    <x v="7"/>
    <x v="1"/>
    <x v="4"/>
    <x v="221"/>
    <x v="5"/>
  </r>
  <r>
    <x v="180"/>
    <x v="38"/>
    <x v="287"/>
    <x v="1"/>
    <x v="389"/>
    <x v="7"/>
    <x v="0"/>
    <x v="2"/>
    <x v="111"/>
    <x v="5"/>
  </r>
  <r>
    <x v="180"/>
    <x v="20"/>
    <x v="275"/>
    <x v="0"/>
    <x v="61"/>
    <x v="7"/>
    <x v="0"/>
    <x v="0"/>
    <x v="116"/>
    <x v="5"/>
  </r>
  <r>
    <x v="180"/>
    <x v="12"/>
    <x v="65"/>
    <x v="1"/>
    <x v="65"/>
    <x v="7"/>
    <x v="0"/>
    <x v="2"/>
    <x v="104"/>
    <x v="5"/>
  </r>
  <r>
    <x v="180"/>
    <x v="20"/>
    <x v="844"/>
    <x v="0"/>
    <x v="61"/>
    <x v="7"/>
    <x v="0"/>
    <x v="0"/>
    <x v="120"/>
    <x v="5"/>
  </r>
  <r>
    <x v="180"/>
    <x v="19"/>
    <x v="778"/>
    <x v="0"/>
    <x v="474"/>
    <x v="7"/>
    <x v="1"/>
    <x v="4"/>
    <x v="221"/>
    <x v="3"/>
  </r>
  <r>
    <x v="180"/>
    <x v="38"/>
    <x v="129"/>
    <x v="0"/>
    <x v="500"/>
    <x v="7"/>
    <x v="1"/>
    <x v="4"/>
    <x v="221"/>
    <x v="5"/>
  </r>
  <r>
    <x v="180"/>
    <x v="32"/>
    <x v="1254"/>
    <x v="3"/>
    <x v="422"/>
    <x v="7"/>
    <x v="2"/>
    <x v="4"/>
    <x v="221"/>
    <x v="10"/>
  </r>
  <r>
    <x v="180"/>
    <x v="32"/>
    <x v="729"/>
    <x v="6"/>
    <x v="422"/>
    <x v="7"/>
    <x v="2"/>
    <x v="4"/>
    <x v="221"/>
    <x v="10"/>
  </r>
  <r>
    <x v="180"/>
    <x v="32"/>
    <x v="1713"/>
    <x v="7"/>
    <x v="422"/>
    <x v="7"/>
    <x v="2"/>
    <x v="4"/>
    <x v="221"/>
    <x v="10"/>
  </r>
  <r>
    <x v="180"/>
    <x v="32"/>
    <x v="229"/>
    <x v="8"/>
    <x v="422"/>
    <x v="7"/>
    <x v="2"/>
    <x v="4"/>
    <x v="221"/>
    <x v="10"/>
  </r>
  <r>
    <x v="180"/>
    <x v="32"/>
    <x v="665"/>
    <x v="5"/>
    <x v="533"/>
    <x v="7"/>
    <x v="2"/>
    <x v="4"/>
    <x v="221"/>
    <x v="10"/>
  </r>
  <r>
    <x v="180"/>
    <x v="37"/>
    <x v="28"/>
    <x v="3"/>
    <x v="523"/>
    <x v="7"/>
    <x v="0"/>
    <x v="2"/>
    <x v="111"/>
    <x v="12"/>
  </r>
  <r>
    <x v="181"/>
    <x v="15"/>
    <x v="495"/>
    <x v="3"/>
    <x v="353"/>
    <x v="7"/>
    <x v="0"/>
    <x v="2"/>
    <x v="112"/>
    <x v="4"/>
  </r>
  <r>
    <x v="181"/>
    <x v="27"/>
    <x v="191"/>
    <x v="3"/>
    <x v="5"/>
    <x v="7"/>
    <x v="0"/>
    <x v="2"/>
    <x v="112"/>
    <x v="5"/>
  </r>
  <r>
    <x v="181"/>
    <x v="37"/>
    <x v="12"/>
    <x v="3"/>
    <x v="546"/>
    <x v="7"/>
    <x v="0"/>
    <x v="2"/>
    <x v="112"/>
    <x v="12"/>
  </r>
  <r>
    <x v="181"/>
    <x v="20"/>
    <x v="375"/>
    <x v="3"/>
    <x v="101"/>
    <x v="7"/>
    <x v="0"/>
    <x v="2"/>
    <x v="112"/>
    <x v="5"/>
  </r>
  <r>
    <x v="181"/>
    <x v="1"/>
    <x v="30"/>
    <x v="3"/>
    <x v="431"/>
    <x v="7"/>
    <x v="0"/>
    <x v="2"/>
    <x v="112"/>
    <x v="4"/>
  </r>
  <r>
    <x v="181"/>
    <x v="32"/>
    <x v="829"/>
    <x v="3"/>
    <x v="422"/>
    <x v="7"/>
    <x v="2"/>
    <x v="4"/>
    <x v="221"/>
    <x v="10"/>
  </r>
  <r>
    <x v="181"/>
    <x v="32"/>
    <x v="112"/>
    <x v="2"/>
    <x v="422"/>
    <x v="7"/>
    <x v="2"/>
    <x v="4"/>
    <x v="221"/>
    <x v="10"/>
  </r>
  <r>
    <x v="181"/>
    <x v="32"/>
    <x v="799"/>
    <x v="6"/>
    <x v="422"/>
    <x v="7"/>
    <x v="2"/>
    <x v="4"/>
    <x v="221"/>
    <x v="10"/>
  </r>
  <r>
    <x v="181"/>
    <x v="32"/>
    <x v="1885"/>
    <x v="7"/>
    <x v="422"/>
    <x v="7"/>
    <x v="2"/>
    <x v="4"/>
    <x v="221"/>
    <x v="10"/>
  </r>
  <r>
    <x v="181"/>
    <x v="32"/>
    <x v="671"/>
    <x v="5"/>
    <x v="533"/>
    <x v="7"/>
    <x v="2"/>
    <x v="4"/>
    <x v="221"/>
    <x v="10"/>
  </r>
  <r>
    <x v="181"/>
    <x v="32"/>
    <x v="190"/>
    <x v="8"/>
    <x v="422"/>
    <x v="7"/>
    <x v="2"/>
    <x v="4"/>
    <x v="221"/>
    <x v="10"/>
  </r>
  <r>
    <x v="181"/>
    <x v="38"/>
    <x v="81"/>
    <x v="0"/>
    <x v="500"/>
    <x v="7"/>
    <x v="1"/>
    <x v="4"/>
    <x v="221"/>
    <x v="5"/>
  </r>
  <r>
    <x v="181"/>
    <x v="9"/>
    <x v="1190"/>
    <x v="0"/>
    <x v="229"/>
    <x v="7"/>
    <x v="0"/>
    <x v="0"/>
    <x v="116"/>
    <x v="5"/>
  </r>
  <r>
    <x v="181"/>
    <x v="12"/>
    <x v="320"/>
    <x v="0"/>
    <x v="17"/>
    <x v="7"/>
    <x v="1"/>
    <x v="4"/>
    <x v="221"/>
    <x v="5"/>
  </r>
  <r>
    <x v="181"/>
    <x v="8"/>
    <x v="475"/>
    <x v="0"/>
    <x v="241"/>
    <x v="7"/>
    <x v="0"/>
    <x v="0"/>
    <x v="121"/>
    <x v="5"/>
  </r>
  <r>
    <x v="181"/>
    <x v="20"/>
    <x v="627"/>
    <x v="0"/>
    <x v="61"/>
    <x v="7"/>
    <x v="0"/>
    <x v="0"/>
    <x v="120"/>
    <x v="5"/>
  </r>
  <r>
    <x v="182"/>
    <x v="38"/>
    <x v="136"/>
    <x v="0"/>
    <x v="500"/>
    <x v="7"/>
    <x v="1"/>
    <x v="4"/>
    <x v="221"/>
    <x v="5"/>
  </r>
  <r>
    <x v="182"/>
    <x v="13"/>
    <x v="1608"/>
    <x v="0"/>
    <x v="32"/>
    <x v="7"/>
    <x v="1"/>
    <x v="4"/>
    <x v="221"/>
    <x v="5"/>
  </r>
  <r>
    <x v="182"/>
    <x v="12"/>
    <x v="429"/>
    <x v="0"/>
    <x v="17"/>
    <x v="7"/>
    <x v="1"/>
    <x v="4"/>
    <x v="221"/>
    <x v="5"/>
  </r>
  <r>
    <x v="182"/>
    <x v="9"/>
    <x v="1387"/>
    <x v="0"/>
    <x v="229"/>
    <x v="7"/>
    <x v="0"/>
    <x v="0"/>
    <x v="221"/>
    <x v="5"/>
  </r>
  <r>
    <x v="182"/>
    <x v="32"/>
    <x v="539"/>
    <x v="3"/>
    <x v="422"/>
    <x v="7"/>
    <x v="2"/>
    <x v="4"/>
    <x v="221"/>
    <x v="10"/>
  </r>
  <r>
    <x v="182"/>
    <x v="32"/>
    <x v="743"/>
    <x v="2"/>
    <x v="422"/>
    <x v="7"/>
    <x v="2"/>
    <x v="4"/>
    <x v="221"/>
    <x v="10"/>
  </r>
  <r>
    <x v="182"/>
    <x v="32"/>
    <x v="540"/>
    <x v="6"/>
    <x v="422"/>
    <x v="7"/>
    <x v="2"/>
    <x v="4"/>
    <x v="221"/>
    <x v="10"/>
  </r>
  <r>
    <x v="182"/>
    <x v="32"/>
    <x v="1691"/>
    <x v="7"/>
    <x v="422"/>
    <x v="7"/>
    <x v="2"/>
    <x v="4"/>
    <x v="221"/>
    <x v="10"/>
  </r>
  <r>
    <x v="182"/>
    <x v="32"/>
    <x v="696"/>
    <x v="5"/>
    <x v="533"/>
    <x v="7"/>
    <x v="2"/>
    <x v="4"/>
    <x v="221"/>
    <x v="10"/>
  </r>
  <r>
    <x v="182"/>
    <x v="37"/>
    <x v="30"/>
    <x v="3"/>
    <x v="523"/>
    <x v="7"/>
    <x v="0"/>
    <x v="2"/>
    <x v="113"/>
    <x v="12"/>
  </r>
  <r>
    <x v="182"/>
    <x v="19"/>
    <x v="778"/>
    <x v="0"/>
    <x v="474"/>
    <x v="7"/>
    <x v="1"/>
    <x v="4"/>
    <x v="221"/>
    <x v="3"/>
  </r>
  <r>
    <x v="182"/>
    <x v="20"/>
    <x v="49"/>
    <x v="3"/>
    <x v="381"/>
    <x v="7"/>
    <x v="0"/>
    <x v="2"/>
    <x v="113"/>
    <x v="5"/>
  </r>
  <r>
    <x v="183"/>
    <x v="20"/>
    <x v="1045"/>
    <x v="0"/>
    <x v="61"/>
    <x v="7"/>
    <x v="1"/>
    <x v="4"/>
    <x v="221"/>
    <x v="5"/>
  </r>
  <r>
    <x v="183"/>
    <x v="9"/>
    <x v="1403"/>
    <x v="0"/>
    <x v="229"/>
    <x v="7"/>
    <x v="0"/>
    <x v="0"/>
    <x v="221"/>
    <x v="5"/>
  </r>
  <r>
    <x v="183"/>
    <x v="27"/>
    <x v="709"/>
    <x v="1"/>
    <x v="5"/>
    <x v="7"/>
    <x v="0"/>
    <x v="2"/>
    <x v="114"/>
    <x v="5"/>
  </r>
  <r>
    <x v="183"/>
    <x v="20"/>
    <x v="375"/>
    <x v="1"/>
    <x v="70"/>
    <x v="7"/>
    <x v="0"/>
    <x v="2"/>
    <x v="114"/>
    <x v="5"/>
  </r>
  <r>
    <x v="183"/>
    <x v="1"/>
    <x v="158"/>
    <x v="1"/>
    <x v="431"/>
    <x v="7"/>
    <x v="0"/>
    <x v="2"/>
    <x v="114"/>
    <x v="4"/>
  </r>
  <r>
    <x v="183"/>
    <x v="20"/>
    <x v="49"/>
    <x v="1"/>
    <x v="148"/>
    <x v="7"/>
    <x v="0"/>
    <x v="2"/>
    <x v="114"/>
    <x v="5"/>
  </r>
  <r>
    <x v="183"/>
    <x v="12"/>
    <x v="298"/>
    <x v="0"/>
    <x v="431"/>
    <x v="7"/>
    <x v="1"/>
    <x v="4"/>
    <x v="221"/>
    <x v="5"/>
  </r>
  <r>
    <x v="183"/>
    <x v="28"/>
    <x v="138"/>
    <x v="1"/>
    <x v="371"/>
    <x v="7"/>
    <x v="0"/>
    <x v="2"/>
    <x v="114"/>
    <x v="0"/>
  </r>
  <r>
    <x v="183"/>
    <x v="8"/>
    <x v="816"/>
    <x v="0"/>
    <x v="241"/>
    <x v="7"/>
    <x v="0"/>
    <x v="0"/>
    <x v="121"/>
    <x v="5"/>
  </r>
  <r>
    <x v="183"/>
    <x v="32"/>
    <x v="832"/>
    <x v="3"/>
    <x v="422"/>
    <x v="7"/>
    <x v="2"/>
    <x v="4"/>
    <x v="221"/>
    <x v="10"/>
  </r>
  <r>
    <x v="183"/>
    <x v="32"/>
    <x v="68"/>
    <x v="2"/>
    <x v="422"/>
    <x v="7"/>
    <x v="2"/>
    <x v="4"/>
    <x v="221"/>
    <x v="10"/>
  </r>
  <r>
    <x v="183"/>
    <x v="32"/>
    <x v="1693"/>
    <x v="7"/>
    <x v="422"/>
    <x v="7"/>
    <x v="2"/>
    <x v="4"/>
    <x v="221"/>
    <x v="10"/>
  </r>
  <r>
    <x v="183"/>
    <x v="32"/>
    <x v="416"/>
    <x v="8"/>
    <x v="422"/>
    <x v="7"/>
    <x v="2"/>
    <x v="4"/>
    <x v="221"/>
    <x v="10"/>
  </r>
  <r>
    <x v="183"/>
    <x v="32"/>
    <x v="1141"/>
    <x v="5"/>
    <x v="533"/>
    <x v="7"/>
    <x v="2"/>
    <x v="4"/>
    <x v="221"/>
    <x v="10"/>
  </r>
  <r>
    <x v="183"/>
    <x v="0"/>
    <x v="134"/>
    <x v="1"/>
    <x v="566"/>
    <x v="7"/>
    <x v="0"/>
    <x v="2"/>
    <x v="114"/>
    <x v="9"/>
  </r>
  <r>
    <x v="183"/>
    <x v="37"/>
    <x v="28"/>
    <x v="3"/>
    <x v="523"/>
    <x v="7"/>
    <x v="0"/>
    <x v="2"/>
    <x v="114"/>
    <x v="12"/>
  </r>
  <r>
    <x v="183"/>
    <x v="0"/>
    <x v="45"/>
    <x v="1"/>
    <x v="258"/>
    <x v="7"/>
    <x v="0"/>
    <x v="2"/>
    <x v="114"/>
    <x v="9"/>
  </r>
  <r>
    <x v="183"/>
    <x v="38"/>
    <x v="247"/>
    <x v="0"/>
    <x v="500"/>
    <x v="7"/>
    <x v="1"/>
    <x v="4"/>
    <x v="221"/>
    <x v="5"/>
  </r>
  <r>
    <x v="184"/>
    <x v="20"/>
    <x v="1526"/>
    <x v="0"/>
    <x v="61"/>
    <x v="7"/>
    <x v="1"/>
    <x v="4"/>
    <x v="221"/>
    <x v="5"/>
  </r>
  <r>
    <x v="184"/>
    <x v="8"/>
    <x v="475"/>
    <x v="0"/>
    <x v="241"/>
    <x v="7"/>
    <x v="0"/>
    <x v="0"/>
    <x v="121"/>
    <x v="5"/>
  </r>
  <r>
    <x v="184"/>
    <x v="9"/>
    <x v="1371"/>
    <x v="0"/>
    <x v="229"/>
    <x v="7"/>
    <x v="0"/>
    <x v="0"/>
    <x v="221"/>
    <x v="5"/>
  </r>
  <r>
    <x v="184"/>
    <x v="12"/>
    <x v="439"/>
    <x v="0"/>
    <x v="17"/>
    <x v="7"/>
    <x v="1"/>
    <x v="4"/>
    <x v="221"/>
    <x v="5"/>
  </r>
  <r>
    <x v="184"/>
    <x v="1"/>
    <x v="60"/>
    <x v="1"/>
    <x v="431"/>
    <x v="7"/>
    <x v="0"/>
    <x v="2"/>
    <x v="115"/>
    <x v="4"/>
  </r>
  <r>
    <x v="184"/>
    <x v="24"/>
    <x v="87"/>
    <x v="1"/>
    <x v="246"/>
    <x v="7"/>
    <x v="0"/>
    <x v="2"/>
    <x v="115"/>
    <x v="6"/>
  </r>
  <r>
    <x v="184"/>
    <x v="20"/>
    <x v="69"/>
    <x v="1"/>
    <x v="386"/>
    <x v="7"/>
    <x v="0"/>
    <x v="2"/>
    <x v="115"/>
    <x v="5"/>
  </r>
  <r>
    <x v="184"/>
    <x v="3"/>
    <x v="1073"/>
    <x v="0"/>
    <x v="153"/>
    <x v="7"/>
    <x v="0"/>
    <x v="3"/>
    <x v="115"/>
    <x v="4"/>
  </r>
  <r>
    <x v="184"/>
    <x v="0"/>
    <x v="1146"/>
    <x v="0"/>
    <x v="566"/>
    <x v="7"/>
    <x v="0"/>
    <x v="3"/>
    <x v="115"/>
    <x v="9"/>
  </r>
  <r>
    <x v="184"/>
    <x v="38"/>
    <x v="230"/>
    <x v="0"/>
    <x v="500"/>
    <x v="7"/>
    <x v="1"/>
    <x v="4"/>
    <x v="221"/>
    <x v="5"/>
  </r>
  <r>
    <x v="184"/>
    <x v="32"/>
    <x v="972"/>
    <x v="3"/>
    <x v="422"/>
    <x v="7"/>
    <x v="2"/>
    <x v="4"/>
    <x v="221"/>
    <x v="10"/>
  </r>
  <r>
    <x v="184"/>
    <x v="32"/>
    <x v="36"/>
    <x v="2"/>
    <x v="422"/>
    <x v="7"/>
    <x v="2"/>
    <x v="4"/>
    <x v="221"/>
    <x v="10"/>
  </r>
  <r>
    <x v="184"/>
    <x v="32"/>
    <x v="1847"/>
    <x v="7"/>
    <x v="422"/>
    <x v="7"/>
    <x v="2"/>
    <x v="4"/>
    <x v="221"/>
    <x v="10"/>
  </r>
  <r>
    <x v="184"/>
    <x v="32"/>
    <x v="398"/>
    <x v="8"/>
    <x v="422"/>
    <x v="7"/>
    <x v="2"/>
    <x v="4"/>
    <x v="221"/>
    <x v="10"/>
  </r>
  <r>
    <x v="184"/>
    <x v="32"/>
    <x v="861"/>
    <x v="5"/>
    <x v="533"/>
    <x v="7"/>
    <x v="2"/>
    <x v="4"/>
    <x v="221"/>
    <x v="10"/>
  </r>
  <r>
    <x v="184"/>
    <x v="37"/>
    <x v="30"/>
    <x v="3"/>
    <x v="523"/>
    <x v="7"/>
    <x v="0"/>
    <x v="2"/>
    <x v="115"/>
    <x v="12"/>
  </r>
  <r>
    <x v="184"/>
    <x v="19"/>
    <x v="778"/>
    <x v="0"/>
    <x v="474"/>
    <x v="7"/>
    <x v="1"/>
    <x v="4"/>
    <x v="221"/>
    <x v="3"/>
  </r>
  <r>
    <x v="184"/>
    <x v="32"/>
    <x v="83"/>
    <x v="6"/>
    <x v="422"/>
    <x v="7"/>
    <x v="2"/>
    <x v="4"/>
    <x v="221"/>
    <x v="10"/>
  </r>
  <r>
    <x v="185"/>
    <x v="38"/>
    <x v="84"/>
    <x v="0"/>
    <x v="500"/>
    <x v="7"/>
    <x v="1"/>
    <x v="4"/>
    <x v="221"/>
    <x v="5"/>
  </r>
  <r>
    <x v="185"/>
    <x v="20"/>
    <x v="1377"/>
    <x v="0"/>
    <x v="61"/>
    <x v="7"/>
    <x v="1"/>
    <x v="4"/>
    <x v="221"/>
    <x v="5"/>
  </r>
  <r>
    <x v="185"/>
    <x v="12"/>
    <x v="368"/>
    <x v="0"/>
    <x v="17"/>
    <x v="7"/>
    <x v="1"/>
    <x v="4"/>
    <x v="221"/>
    <x v="5"/>
  </r>
  <r>
    <x v="185"/>
    <x v="1"/>
    <x v="48"/>
    <x v="1"/>
    <x v="431"/>
    <x v="7"/>
    <x v="0"/>
    <x v="2"/>
    <x v="116"/>
    <x v="4"/>
  </r>
  <r>
    <x v="185"/>
    <x v="3"/>
    <x v="599"/>
    <x v="1"/>
    <x v="579"/>
    <x v="7"/>
    <x v="0"/>
    <x v="2"/>
    <x v="116"/>
    <x v="4"/>
  </r>
  <r>
    <x v="185"/>
    <x v="0"/>
    <x v="518"/>
    <x v="0"/>
    <x v="254"/>
    <x v="7"/>
    <x v="0"/>
    <x v="3"/>
    <x v="116"/>
    <x v="9"/>
  </r>
  <r>
    <x v="185"/>
    <x v="32"/>
    <x v="1331"/>
    <x v="3"/>
    <x v="422"/>
    <x v="7"/>
    <x v="2"/>
    <x v="4"/>
    <x v="221"/>
    <x v="10"/>
  </r>
  <r>
    <x v="185"/>
    <x v="32"/>
    <x v="94"/>
    <x v="6"/>
    <x v="422"/>
    <x v="7"/>
    <x v="2"/>
    <x v="4"/>
    <x v="221"/>
    <x v="10"/>
  </r>
  <r>
    <x v="185"/>
    <x v="32"/>
    <x v="1696"/>
    <x v="7"/>
    <x v="422"/>
    <x v="7"/>
    <x v="2"/>
    <x v="4"/>
    <x v="221"/>
    <x v="10"/>
  </r>
  <r>
    <x v="185"/>
    <x v="32"/>
    <x v="893"/>
    <x v="5"/>
    <x v="533"/>
    <x v="7"/>
    <x v="2"/>
    <x v="4"/>
    <x v="221"/>
    <x v="10"/>
  </r>
  <r>
    <x v="185"/>
    <x v="20"/>
    <x v="87"/>
    <x v="1"/>
    <x v="387"/>
    <x v="7"/>
    <x v="0"/>
    <x v="2"/>
    <x v="116"/>
    <x v="5"/>
  </r>
  <r>
    <x v="185"/>
    <x v="37"/>
    <x v="49"/>
    <x v="3"/>
    <x v="523"/>
    <x v="7"/>
    <x v="0"/>
    <x v="2"/>
    <x v="116"/>
    <x v="12"/>
  </r>
  <r>
    <x v="186"/>
    <x v="9"/>
    <x v="382"/>
    <x v="0"/>
    <x v="229"/>
    <x v="7"/>
    <x v="0"/>
    <x v="0"/>
    <x v="221"/>
    <x v="5"/>
  </r>
  <r>
    <x v="186"/>
    <x v="8"/>
    <x v="475"/>
    <x v="0"/>
    <x v="241"/>
    <x v="7"/>
    <x v="0"/>
    <x v="0"/>
    <x v="121"/>
    <x v="5"/>
  </r>
  <r>
    <x v="186"/>
    <x v="20"/>
    <x v="49"/>
    <x v="1"/>
    <x v="381"/>
    <x v="7"/>
    <x v="0"/>
    <x v="2"/>
    <x v="117"/>
    <x v="5"/>
  </r>
  <r>
    <x v="186"/>
    <x v="1"/>
    <x v="48"/>
    <x v="1"/>
    <x v="431"/>
    <x v="7"/>
    <x v="0"/>
    <x v="2"/>
    <x v="117"/>
    <x v="4"/>
  </r>
  <r>
    <x v="186"/>
    <x v="38"/>
    <x v="89"/>
    <x v="0"/>
    <x v="500"/>
    <x v="7"/>
    <x v="1"/>
    <x v="4"/>
    <x v="221"/>
    <x v="5"/>
  </r>
  <r>
    <x v="186"/>
    <x v="24"/>
    <x v="53"/>
    <x v="1"/>
    <x v="82"/>
    <x v="7"/>
    <x v="0"/>
    <x v="2"/>
    <x v="218"/>
    <x v="6"/>
  </r>
  <r>
    <x v="186"/>
    <x v="12"/>
    <x v="155"/>
    <x v="0"/>
    <x v="17"/>
    <x v="7"/>
    <x v="1"/>
    <x v="4"/>
    <x v="221"/>
    <x v="5"/>
  </r>
  <r>
    <x v="186"/>
    <x v="12"/>
    <x v="510"/>
    <x v="1"/>
    <x v="511"/>
    <x v="7"/>
    <x v="0"/>
    <x v="2"/>
    <x v="117"/>
    <x v="5"/>
  </r>
  <r>
    <x v="186"/>
    <x v="27"/>
    <x v="191"/>
    <x v="1"/>
    <x v="5"/>
    <x v="7"/>
    <x v="0"/>
    <x v="2"/>
    <x v="117"/>
    <x v="5"/>
  </r>
  <r>
    <x v="186"/>
    <x v="19"/>
    <x v="1235"/>
    <x v="0"/>
    <x v="474"/>
    <x v="7"/>
    <x v="1"/>
    <x v="4"/>
    <x v="221"/>
    <x v="3"/>
  </r>
  <r>
    <x v="186"/>
    <x v="26"/>
    <x v="90"/>
    <x v="1"/>
    <x v="340"/>
    <x v="7"/>
    <x v="0"/>
    <x v="2"/>
    <x v="117"/>
    <x v="5"/>
  </r>
  <r>
    <x v="186"/>
    <x v="0"/>
    <x v="45"/>
    <x v="1"/>
    <x v="258"/>
    <x v="7"/>
    <x v="0"/>
    <x v="2"/>
    <x v="117"/>
    <x v="9"/>
  </r>
  <r>
    <x v="186"/>
    <x v="32"/>
    <x v="789"/>
    <x v="3"/>
    <x v="422"/>
    <x v="7"/>
    <x v="2"/>
    <x v="4"/>
    <x v="221"/>
    <x v="10"/>
  </r>
  <r>
    <x v="186"/>
    <x v="32"/>
    <x v="574"/>
    <x v="2"/>
    <x v="422"/>
    <x v="7"/>
    <x v="2"/>
    <x v="4"/>
    <x v="221"/>
    <x v="10"/>
  </r>
  <r>
    <x v="186"/>
    <x v="32"/>
    <x v="1669"/>
    <x v="7"/>
    <x v="422"/>
    <x v="7"/>
    <x v="2"/>
    <x v="4"/>
    <x v="221"/>
    <x v="10"/>
  </r>
  <r>
    <x v="186"/>
    <x v="32"/>
    <x v="712"/>
    <x v="5"/>
    <x v="533"/>
    <x v="7"/>
    <x v="2"/>
    <x v="4"/>
    <x v="221"/>
    <x v="10"/>
  </r>
  <r>
    <x v="186"/>
    <x v="37"/>
    <x v="40"/>
    <x v="3"/>
    <x v="523"/>
    <x v="7"/>
    <x v="0"/>
    <x v="2"/>
    <x v="117"/>
    <x v="12"/>
  </r>
  <r>
    <x v="187"/>
    <x v="38"/>
    <x v="166"/>
    <x v="0"/>
    <x v="500"/>
    <x v="7"/>
    <x v="1"/>
    <x v="4"/>
    <x v="221"/>
    <x v="5"/>
  </r>
  <r>
    <x v="187"/>
    <x v="9"/>
    <x v="706"/>
    <x v="0"/>
    <x v="229"/>
    <x v="7"/>
    <x v="0"/>
    <x v="0"/>
    <x v="221"/>
    <x v="5"/>
  </r>
  <r>
    <x v="187"/>
    <x v="20"/>
    <x v="1232"/>
    <x v="0"/>
    <x v="61"/>
    <x v="7"/>
    <x v="1"/>
    <x v="4"/>
    <x v="221"/>
    <x v="5"/>
  </r>
  <r>
    <x v="187"/>
    <x v="12"/>
    <x v="132"/>
    <x v="0"/>
    <x v="17"/>
    <x v="7"/>
    <x v="1"/>
    <x v="4"/>
    <x v="221"/>
    <x v="5"/>
  </r>
  <r>
    <x v="187"/>
    <x v="24"/>
    <x v="256"/>
    <x v="1"/>
    <x v="82"/>
    <x v="7"/>
    <x v="0"/>
    <x v="2"/>
    <x v="118"/>
    <x v="6"/>
  </r>
  <r>
    <x v="187"/>
    <x v="28"/>
    <x v="138"/>
    <x v="1"/>
    <x v="371"/>
    <x v="7"/>
    <x v="0"/>
    <x v="2"/>
    <x v="118"/>
    <x v="0"/>
  </r>
  <r>
    <x v="187"/>
    <x v="32"/>
    <x v="491"/>
    <x v="3"/>
    <x v="422"/>
    <x v="7"/>
    <x v="2"/>
    <x v="4"/>
    <x v="221"/>
    <x v="10"/>
  </r>
  <r>
    <x v="187"/>
    <x v="32"/>
    <x v="76"/>
    <x v="2"/>
    <x v="422"/>
    <x v="7"/>
    <x v="2"/>
    <x v="4"/>
    <x v="221"/>
    <x v="10"/>
  </r>
  <r>
    <x v="187"/>
    <x v="32"/>
    <x v="87"/>
    <x v="6"/>
    <x v="422"/>
    <x v="7"/>
    <x v="2"/>
    <x v="4"/>
    <x v="221"/>
    <x v="10"/>
  </r>
  <r>
    <x v="187"/>
    <x v="32"/>
    <x v="1580"/>
    <x v="7"/>
    <x v="422"/>
    <x v="7"/>
    <x v="2"/>
    <x v="4"/>
    <x v="221"/>
    <x v="10"/>
  </r>
  <r>
    <x v="187"/>
    <x v="32"/>
    <x v="399"/>
    <x v="5"/>
    <x v="533"/>
    <x v="7"/>
    <x v="2"/>
    <x v="4"/>
    <x v="221"/>
    <x v="10"/>
  </r>
  <r>
    <x v="187"/>
    <x v="37"/>
    <x v="19"/>
    <x v="3"/>
    <x v="523"/>
    <x v="7"/>
    <x v="0"/>
    <x v="2"/>
    <x v="118"/>
    <x v="12"/>
  </r>
  <r>
    <x v="188"/>
    <x v="8"/>
    <x v="475"/>
    <x v="0"/>
    <x v="241"/>
    <x v="7"/>
    <x v="0"/>
    <x v="0"/>
    <x v="121"/>
    <x v="5"/>
  </r>
  <r>
    <x v="188"/>
    <x v="12"/>
    <x v="432"/>
    <x v="0"/>
    <x v="17"/>
    <x v="7"/>
    <x v="1"/>
    <x v="4"/>
    <x v="221"/>
    <x v="5"/>
  </r>
  <r>
    <x v="188"/>
    <x v="3"/>
    <x v="880"/>
    <x v="1"/>
    <x v="153"/>
    <x v="7"/>
    <x v="0"/>
    <x v="2"/>
    <x v="119"/>
    <x v="4"/>
  </r>
  <r>
    <x v="188"/>
    <x v="20"/>
    <x v="24"/>
    <x v="0"/>
    <x v="61"/>
    <x v="7"/>
    <x v="1"/>
    <x v="4"/>
    <x v="221"/>
    <x v="5"/>
  </r>
  <r>
    <x v="188"/>
    <x v="27"/>
    <x v="392"/>
    <x v="1"/>
    <x v="5"/>
    <x v="7"/>
    <x v="0"/>
    <x v="2"/>
    <x v="119"/>
    <x v="5"/>
  </r>
  <r>
    <x v="188"/>
    <x v="13"/>
    <x v="60"/>
    <x v="1"/>
    <x v="403"/>
    <x v="7"/>
    <x v="0"/>
    <x v="2"/>
    <x v="119"/>
    <x v="5"/>
  </r>
  <r>
    <x v="188"/>
    <x v="38"/>
    <x v="55"/>
    <x v="0"/>
    <x v="500"/>
    <x v="7"/>
    <x v="1"/>
    <x v="4"/>
    <x v="221"/>
    <x v="5"/>
  </r>
  <r>
    <x v="188"/>
    <x v="32"/>
    <x v="1316"/>
    <x v="3"/>
    <x v="422"/>
    <x v="7"/>
    <x v="2"/>
    <x v="4"/>
    <x v="221"/>
    <x v="10"/>
  </r>
  <r>
    <x v="188"/>
    <x v="32"/>
    <x v="707"/>
    <x v="2"/>
    <x v="422"/>
    <x v="7"/>
    <x v="2"/>
    <x v="4"/>
    <x v="221"/>
    <x v="10"/>
  </r>
  <r>
    <x v="188"/>
    <x v="32"/>
    <x v="99"/>
    <x v="6"/>
    <x v="422"/>
    <x v="7"/>
    <x v="2"/>
    <x v="4"/>
    <x v="221"/>
    <x v="10"/>
  </r>
  <r>
    <x v="188"/>
    <x v="32"/>
    <x v="1646"/>
    <x v="7"/>
    <x v="422"/>
    <x v="7"/>
    <x v="2"/>
    <x v="4"/>
    <x v="221"/>
    <x v="10"/>
  </r>
  <r>
    <x v="188"/>
    <x v="32"/>
    <x v="191"/>
    <x v="8"/>
    <x v="422"/>
    <x v="7"/>
    <x v="2"/>
    <x v="4"/>
    <x v="221"/>
    <x v="10"/>
  </r>
  <r>
    <x v="188"/>
    <x v="32"/>
    <x v="472"/>
    <x v="5"/>
    <x v="533"/>
    <x v="7"/>
    <x v="2"/>
    <x v="4"/>
    <x v="221"/>
    <x v="10"/>
  </r>
  <r>
    <x v="188"/>
    <x v="37"/>
    <x v="32"/>
    <x v="3"/>
    <x v="523"/>
    <x v="7"/>
    <x v="0"/>
    <x v="2"/>
    <x v="119"/>
    <x v="12"/>
  </r>
  <r>
    <x v="189"/>
    <x v="9"/>
    <x v="596"/>
    <x v="0"/>
    <x v="229"/>
    <x v="7"/>
    <x v="0"/>
    <x v="0"/>
    <x v="221"/>
    <x v="5"/>
  </r>
  <r>
    <x v="189"/>
    <x v="20"/>
    <x v="150"/>
    <x v="0"/>
    <x v="61"/>
    <x v="7"/>
    <x v="1"/>
    <x v="4"/>
    <x v="221"/>
    <x v="5"/>
  </r>
  <r>
    <x v="189"/>
    <x v="12"/>
    <x v="195"/>
    <x v="0"/>
    <x v="17"/>
    <x v="7"/>
    <x v="1"/>
    <x v="4"/>
    <x v="221"/>
    <x v="5"/>
  </r>
  <r>
    <x v="189"/>
    <x v="24"/>
    <x v="210"/>
    <x v="1"/>
    <x v="287"/>
    <x v="7"/>
    <x v="0"/>
    <x v="2"/>
    <x v="120"/>
    <x v="6"/>
  </r>
  <r>
    <x v="189"/>
    <x v="27"/>
    <x v="392"/>
    <x v="1"/>
    <x v="5"/>
    <x v="7"/>
    <x v="0"/>
    <x v="2"/>
    <x v="120"/>
    <x v="5"/>
  </r>
  <r>
    <x v="189"/>
    <x v="1"/>
    <x v="60"/>
    <x v="1"/>
    <x v="431"/>
    <x v="7"/>
    <x v="0"/>
    <x v="2"/>
    <x v="120"/>
    <x v="4"/>
  </r>
  <r>
    <x v="189"/>
    <x v="36"/>
    <x v="357"/>
    <x v="1"/>
    <x v="206"/>
    <x v="7"/>
    <x v="0"/>
    <x v="2"/>
    <x v="120"/>
    <x v="5"/>
  </r>
  <r>
    <x v="189"/>
    <x v="19"/>
    <x v="778"/>
    <x v="0"/>
    <x v="474"/>
    <x v="7"/>
    <x v="1"/>
    <x v="4"/>
    <x v="221"/>
    <x v="3"/>
  </r>
  <r>
    <x v="189"/>
    <x v="32"/>
    <x v="856"/>
    <x v="3"/>
    <x v="422"/>
    <x v="7"/>
    <x v="2"/>
    <x v="4"/>
    <x v="221"/>
    <x v="10"/>
  </r>
  <r>
    <x v="189"/>
    <x v="32"/>
    <x v="1596"/>
    <x v="6"/>
    <x v="422"/>
    <x v="7"/>
    <x v="2"/>
    <x v="4"/>
    <x v="221"/>
    <x v="10"/>
  </r>
  <r>
    <x v="189"/>
    <x v="32"/>
    <x v="1656"/>
    <x v="7"/>
    <x v="422"/>
    <x v="7"/>
    <x v="2"/>
    <x v="4"/>
    <x v="221"/>
    <x v="10"/>
  </r>
  <r>
    <x v="189"/>
    <x v="32"/>
    <x v="856"/>
    <x v="5"/>
    <x v="533"/>
    <x v="7"/>
    <x v="2"/>
    <x v="4"/>
    <x v="221"/>
    <x v="10"/>
  </r>
  <r>
    <x v="189"/>
    <x v="37"/>
    <x v="32"/>
    <x v="3"/>
    <x v="523"/>
    <x v="7"/>
    <x v="0"/>
    <x v="2"/>
    <x v="120"/>
    <x v="12"/>
  </r>
  <r>
    <x v="189"/>
    <x v="0"/>
    <x v="426"/>
    <x v="1"/>
    <x v="258"/>
    <x v="7"/>
    <x v="0"/>
    <x v="2"/>
    <x v="120"/>
    <x v="9"/>
  </r>
  <r>
    <x v="190"/>
    <x v="8"/>
    <x v="475"/>
    <x v="0"/>
    <x v="241"/>
    <x v="8"/>
    <x v="1"/>
    <x v="4"/>
    <x v="221"/>
    <x v="5"/>
  </r>
  <r>
    <x v="190"/>
    <x v="38"/>
    <x v="331"/>
    <x v="0"/>
    <x v="500"/>
    <x v="8"/>
    <x v="1"/>
    <x v="4"/>
    <x v="221"/>
    <x v="5"/>
  </r>
  <r>
    <x v="190"/>
    <x v="9"/>
    <x v="861"/>
    <x v="0"/>
    <x v="229"/>
    <x v="8"/>
    <x v="0"/>
    <x v="0"/>
    <x v="221"/>
    <x v="5"/>
  </r>
  <r>
    <x v="190"/>
    <x v="12"/>
    <x v="532"/>
    <x v="0"/>
    <x v="17"/>
    <x v="8"/>
    <x v="1"/>
    <x v="4"/>
    <x v="221"/>
    <x v="5"/>
  </r>
  <r>
    <x v="190"/>
    <x v="1"/>
    <x v="90"/>
    <x v="1"/>
    <x v="431"/>
    <x v="8"/>
    <x v="0"/>
    <x v="2"/>
    <x v="121"/>
    <x v="4"/>
  </r>
  <r>
    <x v="190"/>
    <x v="24"/>
    <x v="87"/>
    <x v="1"/>
    <x v="159"/>
    <x v="8"/>
    <x v="0"/>
    <x v="2"/>
    <x v="121"/>
    <x v="6"/>
  </r>
  <r>
    <x v="190"/>
    <x v="20"/>
    <x v="1746"/>
    <x v="0"/>
    <x v="61"/>
    <x v="8"/>
    <x v="1"/>
    <x v="4"/>
    <x v="221"/>
    <x v="5"/>
  </r>
  <r>
    <x v="190"/>
    <x v="32"/>
    <x v="836"/>
    <x v="3"/>
    <x v="422"/>
    <x v="8"/>
    <x v="2"/>
    <x v="4"/>
    <x v="221"/>
    <x v="10"/>
  </r>
  <r>
    <x v="190"/>
    <x v="32"/>
    <x v="53"/>
    <x v="2"/>
    <x v="422"/>
    <x v="8"/>
    <x v="2"/>
    <x v="4"/>
    <x v="221"/>
    <x v="10"/>
  </r>
  <r>
    <x v="190"/>
    <x v="32"/>
    <x v="545"/>
    <x v="6"/>
    <x v="422"/>
    <x v="8"/>
    <x v="2"/>
    <x v="4"/>
    <x v="221"/>
    <x v="10"/>
  </r>
  <r>
    <x v="190"/>
    <x v="32"/>
    <x v="1794"/>
    <x v="7"/>
    <x v="422"/>
    <x v="8"/>
    <x v="2"/>
    <x v="4"/>
    <x v="221"/>
    <x v="10"/>
  </r>
  <r>
    <x v="190"/>
    <x v="32"/>
    <x v="335"/>
    <x v="8"/>
    <x v="422"/>
    <x v="8"/>
    <x v="2"/>
    <x v="4"/>
    <x v="221"/>
    <x v="10"/>
  </r>
  <r>
    <x v="190"/>
    <x v="32"/>
    <x v="806"/>
    <x v="5"/>
    <x v="533"/>
    <x v="8"/>
    <x v="2"/>
    <x v="4"/>
    <x v="221"/>
    <x v="10"/>
  </r>
  <r>
    <x v="190"/>
    <x v="37"/>
    <x v="30"/>
    <x v="3"/>
    <x v="523"/>
    <x v="8"/>
    <x v="0"/>
    <x v="2"/>
    <x v="121"/>
    <x v="12"/>
  </r>
  <r>
    <x v="190"/>
    <x v="38"/>
    <x v="30"/>
    <x v="3"/>
    <x v="401"/>
    <x v="8"/>
    <x v="0"/>
    <x v="2"/>
    <x v="121"/>
    <x v="5"/>
  </r>
  <r>
    <x v="190"/>
    <x v="28"/>
    <x v="134"/>
    <x v="1"/>
    <x v="371"/>
    <x v="8"/>
    <x v="0"/>
    <x v="2"/>
    <x v="121"/>
    <x v="0"/>
  </r>
  <r>
    <x v="190"/>
    <x v="19"/>
    <x v="767"/>
    <x v="0"/>
    <x v="474"/>
    <x v="8"/>
    <x v="0"/>
    <x v="0"/>
    <x v="132"/>
    <x v="3"/>
  </r>
  <r>
    <x v="191"/>
    <x v="9"/>
    <x v="1133"/>
    <x v="0"/>
    <x v="229"/>
    <x v="8"/>
    <x v="0"/>
    <x v="0"/>
    <x v="221"/>
    <x v="5"/>
  </r>
  <r>
    <x v="191"/>
    <x v="38"/>
    <x v="327"/>
    <x v="0"/>
    <x v="500"/>
    <x v="8"/>
    <x v="1"/>
    <x v="4"/>
    <x v="221"/>
    <x v="5"/>
  </r>
  <r>
    <x v="191"/>
    <x v="12"/>
    <x v="318"/>
    <x v="0"/>
    <x v="17"/>
    <x v="8"/>
    <x v="1"/>
    <x v="4"/>
    <x v="221"/>
    <x v="5"/>
  </r>
  <r>
    <x v="191"/>
    <x v="39"/>
    <x v="40"/>
    <x v="1"/>
    <x v="578"/>
    <x v="8"/>
    <x v="0"/>
    <x v="4"/>
    <x v="221"/>
    <x v="5"/>
  </r>
  <r>
    <x v="191"/>
    <x v="38"/>
    <x v="318"/>
    <x v="1"/>
    <x v="389"/>
    <x v="8"/>
    <x v="0"/>
    <x v="4"/>
    <x v="221"/>
    <x v="5"/>
  </r>
  <r>
    <x v="191"/>
    <x v="0"/>
    <x v="256"/>
    <x v="1"/>
    <x v="454"/>
    <x v="8"/>
    <x v="0"/>
    <x v="4"/>
    <x v="221"/>
    <x v="9"/>
  </r>
  <r>
    <x v="191"/>
    <x v="20"/>
    <x v="27"/>
    <x v="0"/>
    <x v="61"/>
    <x v="8"/>
    <x v="1"/>
    <x v="4"/>
    <x v="221"/>
    <x v="5"/>
  </r>
  <r>
    <x v="191"/>
    <x v="20"/>
    <x v="1365"/>
    <x v="0"/>
    <x v="445"/>
    <x v="8"/>
    <x v="0"/>
    <x v="0"/>
    <x v="122"/>
    <x v="5"/>
  </r>
  <r>
    <x v="191"/>
    <x v="19"/>
    <x v="767"/>
    <x v="0"/>
    <x v="474"/>
    <x v="8"/>
    <x v="0"/>
    <x v="0"/>
    <x v="132"/>
    <x v="3"/>
  </r>
  <r>
    <x v="191"/>
    <x v="27"/>
    <x v="392"/>
    <x v="1"/>
    <x v="5"/>
    <x v="8"/>
    <x v="0"/>
    <x v="2"/>
    <x v="122"/>
    <x v="5"/>
  </r>
  <r>
    <x v="191"/>
    <x v="20"/>
    <x v="72"/>
    <x v="3"/>
    <x v="530"/>
    <x v="8"/>
    <x v="0"/>
    <x v="2"/>
    <x v="122"/>
    <x v="5"/>
  </r>
  <r>
    <x v="191"/>
    <x v="40"/>
    <x v="599"/>
    <x v="0"/>
    <x v="581"/>
    <x v="8"/>
    <x v="0"/>
    <x v="3"/>
    <x v="122"/>
    <x v="7"/>
  </r>
  <r>
    <x v="191"/>
    <x v="36"/>
    <x v="33"/>
    <x v="1"/>
    <x v="383"/>
    <x v="8"/>
    <x v="0"/>
    <x v="2"/>
    <x v="122"/>
    <x v="5"/>
  </r>
  <r>
    <x v="191"/>
    <x v="32"/>
    <x v="1050"/>
    <x v="3"/>
    <x v="422"/>
    <x v="8"/>
    <x v="2"/>
    <x v="4"/>
    <x v="221"/>
    <x v="10"/>
  </r>
  <r>
    <x v="191"/>
    <x v="32"/>
    <x v="87"/>
    <x v="2"/>
    <x v="422"/>
    <x v="8"/>
    <x v="2"/>
    <x v="4"/>
    <x v="221"/>
    <x v="10"/>
  </r>
  <r>
    <x v="191"/>
    <x v="32"/>
    <x v="756"/>
    <x v="6"/>
    <x v="422"/>
    <x v="8"/>
    <x v="2"/>
    <x v="4"/>
    <x v="221"/>
    <x v="10"/>
  </r>
  <r>
    <x v="191"/>
    <x v="32"/>
    <x v="1793"/>
    <x v="7"/>
    <x v="422"/>
    <x v="8"/>
    <x v="2"/>
    <x v="4"/>
    <x v="221"/>
    <x v="10"/>
  </r>
  <r>
    <x v="191"/>
    <x v="32"/>
    <x v="843"/>
    <x v="5"/>
    <x v="533"/>
    <x v="8"/>
    <x v="2"/>
    <x v="4"/>
    <x v="221"/>
    <x v="10"/>
  </r>
  <r>
    <x v="191"/>
    <x v="37"/>
    <x v="49"/>
    <x v="3"/>
    <x v="523"/>
    <x v="8"/>
    <x v="0"/>
    <x v="2"/>
    <x v="122"/>
    <x v="12"/>
  </r>
  <r>
    <x v="192"/>
    <x v="0"/>
    <x v="256"/>
    <x v="3"/>
    <x v="440"/>
    <x v="8"/>
    <x v="0"/>
    <x v="2"/>
    <x v="123"/>
    <x v="9"/>
  </r>
  <r>
    <x v="192"/>
    <x v="9"/>
    <x v="595"/>
    <x v="0"/>
    <x v="229"/>
    <x v="8"/>
    <x v="0"/>
    <x v="0"/>
    <x v="221"/>
    <x v="5"/>
  </r>
  <r>
    <x v="192"/>
    <x v="12"/>
    <x v="586"/>
    <x v="0"/>
    <x v="17"/>
    <x v="8"/>
    <x v="1"/>
    <x v="4"/>
    <x v="221"/>
    <x v="5"/>
  </r>
  <r>
    <x v="192"/>
    <x v="20"/>
    <x v="49"/>
    <x v="3"/>
    <x v="381"/>
    <x v="8"/>
    <x v="0"/>
    <x v="2"/>
    <x v="123"/>
    <x v="5"/>
  </r>
  <r>
    <x v="192"/>
    <x v="12"/>
    <x v="40"/>
    <x v="3"/>
    <x v="331"/>
    <x v="8"/>
    <x v="0"/>
    <x v="2"/>
    <x v="123"/>
    <x v="5"/>
  </r>
  <r>
    <x v="192"/>
    <x v="13"/>
    <x v="1371"/>
    <x v="0"/>
    <x v="32"/>
    <x v="8"/>
    <x v="1"/>
    <x v="4"/>
    <x v="221"/>
    <x v="5"/>
  </r>
  <r>
    <x v="192"/>
    <x v="20"/>
    <x v="838"/>
    <x v="0"/>
    <x v="61"/>
    <x v="8"/>
    <x v="1"/>
    <x v="4"/>
    <x v="221"/>
    <x v="5"/>
  </r>
  <r>
    <x v="192"/>
    <x v="27"/>
    <x v="709"/>
    <x v="3"/>
    <x v="360"/>
    <x v="8"/>
    <x v="0"/>
    <x v="2"/>
    <x v="123"/>
    <x v="5"/>
  </r>
  <r>
    <x v="192"/>
    <x v="1"/>
    <x v="164"/>
    <x v="3"/>
    <x v="431"/>
    <x v="8"/>
    <x v="0"/>
    <x v="2"/>
    <x v="123"/>
    <x v="4"/>
  </r>
  <r>
    <x v="192"/>
    <x v="37"/>
    <x v="36"/>
    <x v="3"/>
    <x v="529"/>
    <x v="8"/>
    <x v="0"/>
    <x v="2"/>
    <x v="123"/>
    <x v="12"/>
  </r>
  <r>
    <x v="192"/>
    <x v="0"/>
    <x v="518"/>
    <x v="3"/>
    <x v="254"/>
    <x v="8"/>
    <x v="0"/>
    <x v="3"/>
    <x v="123"/>
    <x v="9"/>
  </r>
  <r>
    <x v="192"/>
    <x v="18"/>
    <x v="719"/>
    <x v="0"/>
    <x v="215"/>
    <x v="8"/>
    <x v="0"/>
    <x v="3"/>
    <x v="123"/>
    <x v="3"/>
  </r>
  <r>
    <x v="192"/>
    <x v="14"/>
    <x v="894"/>
    <x v="0"/>
    <x v="128"/>
    <x v="8"/>
    <x v="0"/>
    <x v="3"/>
    <x v="221"/>
    <x v="6"/>
  </r>
  <r>
    <x v="192"/>
    <x v="32"/>
    <x v="1272"/>
    <x v="3"/>
    <x v="422"/>
    <x v="8"/>
    <x v="2"/>
    <x v="4"/>
    <x v="221"/>
    <x v="10"/>
  </r>
  <r>
    <x v="192"/>
    <x v="32"/>
    <x v="323"/>
    <x v="2"/>
    <x v="422"/>
    <x v="8"/>
    <x v="2"/>
    <x v="4"/>
    <x v="221"/>
    <x v="10"/>
  </r>
  <r>
    <x v="192"/>
    <x v="32"/>
    <x v="158"/>
    <x v="6"/>
    <x v="422"/>
    <x v="8"/>
    <x v="2"/>
    <x v="4"/>
    <x v="221"/>
    <x v="10"/>
  </r>
  <r>
    <x v="192"/>
    <x v="32"/>
    <x v="1926"/>
    <x v="7"/>
    <x v="422"/>
    <x v="8"/>
    <x v="2"/>
    <x v="4"/>
    <x v="221"/>
    <x v="10"/>
  </r>
  <r>
    <x v="192"/>
    <x v="32"/>
    <x v="1336"/>
    <x v="5"/>
    <x v="422"/>
    <x v="8"/>
    <x v="2"/>
    <x v="4"/>
    <x v="221"/>
    <x v="10"/>
  </r>
  <r>
    <x v="192"/>
    <x v="15"/>
    <x v="375"/>
    <x v="3"/>
    <x v="353"/>
    <x v="8"/>
    <x v="0"/>
    <x v="2"/>
    <x v="123"/>
    <x v="4"/>
  </r>
  <r>
    <x v="193"/>
    <x v="9"/>
    <x v="1401"/>
    <x v="0"/>
    <x v="229"/>
    <x v="8"/>
    <x v="0"/>
    <x v="0"/>
    <x v="221"/>
    <x v="5"/>
  </r>
  <r>
    <x v="193"/>
    <x v="20"/>
    <x v="189"/>
    <x v="0"/>
    <x v="61"/>
    <x v="8"/>
    <x v="0"/>
    <x v="3"/>
    <x v="124"/>
    <x v="5"/>
  </r>
  <r>
    <x v="193"/>
    <x v="37"/>
    <x v="12"/>
    <x v="3"/>
    <x v="529"/>
    <x v="8"/>
    <x v="0"/>
    <x v="3"/>
    <x v="124"/>
    <x v="12"/>
  </r>
  <r>
    <x v="193"/>
    <x v="24"/>
    <x v="753"/>
    <x v="1"/>
    <x v="518"/>
    <x v="8"/>
    <x v="0"/>
    <x v="3"/>
    <x v="124"/>
    <x v="6"/>
  </r>
  <r>
    <x v="193"/>
    <x v="1"/>
    <x v="76"/>
    <x v="3"/>
    <x v="431"/>
    <x v="8"/>
    <x v="0"/>
    <x v="3"/>
    <x v="124"/>
    <x v="4"/>
  </r>
  <r>
    <x v="193"/>
    <x v="3"/>
    <x v="518"/>
    <x v="3"/>
    <x v="576"/>
    <x v="8"/>
    <x v="0"/>
    <x v="3"/>
    <x v="124"/>
    <x v="4"/>
  </r>
  <r>
    <x v="193"/>
    <x v="20"/>
    <x v="74"/>
    <x v="3"/>
    <x v="530"/>
    <x v="8"/>
    <x v="0"/>
    <x v="3"/>
    <x v="124"/>
    <x v="5"/>
  </r>
  <r>
    <x v="193"/>
    <x v="38"/>
    <x v="12"/>
    <x v="3"/>
    <x v="334"/>
    <x v="8"/>
    <x v="0"/>
    <x v="3"/>
    <x v="124"/>
    <x v="5"/>
  </r>
  <r>
    <x v="193"/>
    <x v="23"/>
    <x v="12"/>
    <x v="3"/>
    <x v="284"/>
    <x v="8"/>
    <x v="0"/>
    <x v="3"/>
    <x v="124"/>
    <x v="6"/>
  </r>
  <r>
    <x v="193"/>
    <x v="12"/>
    <x v="27"/>
    <x v="3"/>
    <x v="331"/>
    <x v="8"/>
    <x v="0"/>
    <x v="3"/>
    <x v="124"/>
    <x v="5"/>
  </r>
  <r>
    <x v="193"/>
    <x v="28"/>
    <x v="45"/>
    <x v="3"/>
    <x v="19"/>
    <x v="8"/>
    <x v="0"/>
    <x v="3"/>
    <x v="124"/>
    <x v="0"/>
  </r>
  <r>
    <x v="193"/>
    <x v="0"/>
    <x v="518"/>
    <x v="1"/>
    <x v="19"/>
    <x v="8"/>
    <x v="0"/>
    <x v="3"/>
    <x v="124"/>
    <x v="9"/>
  </r>
  <r>
    <x v="193"/>
    <x v="24"/>
    <x v="74"/>
    <x v="3"/>
    <x v="85"/>
    <x v="8"/>
    <x v="0"/>
    <x v="3"/>
    <x v="124"/>
    <x v="6"/>
  </r>
  <r>
    <x v="193"/>
    <x v="12"/>
    <x v="890"/>
    <x v="0"/>
    <x v="48"/>
    <x v="8"/>
    <x v="2"/>
    <x v="4"/>
    <x v="221"/>
    <x v="5"/>
  </r>
  <r>
    <x v="193"/>
    <x v="8"/>
    <x v="935"/>
    <x v="0"/>
    <x v="241"/>
    <x v="8"/>
    <x v="2"/>
    <x v="4"/>
    <x v="221"/>
    <x v="5"/>
  </r>
  <r>
    <x v="193"/>
    <x v="32"/>
    <x v="1357"/>
    <x v="3"/>
    <x v="422"/>
    <x v="8"/>
    <x v="2"/>
    <x v="4"/>
    <x v="221"/>
    <x v="10"/>
  </r>
  <r>
    <x v="193"/>
    <x v="32"/>
    <x v="138"/>
    <x v="6"/>
    <x v="422"/>
    <x v="8"/>
    <x v="2"/>
    <x v="4"/>
    <x v="221"/>
    <x v="10"/>
  </r>
  <r>
    <x v="193"/>
    <x v="32"/>
    <x v="1561"/>
    <x v="7"/>
    <x v="422"/>
    <x v="8"/>
    <x v="2"/>
    <x v="4"/>
    <x v="221"/>
    <x v="10"/>
  </r>
  <r>
    <x v="193"/>
    <x v="32"/>
    <x v="327"/>
    <x v="5"/>
    <x v="422"/>
    <x v="8"/>
    <x v="2"/>
    <x v="4"/>
    <x v="221"/>
    <x v="10"/>
  </r>
  <r>
    <x v="195"/>
    <x v="0"/>
    <x v="599"/>
    <x v="1"/>
    <x v="11"/>
    <x v="8"/>
    <x v="0"/>
    <x v="3"/>
    <x v="125"/>
    <x v="9"/>
  </r>
  <r>
    <x v="195"/>
    <x v="0"/>
    <x v="518"/>
    <x v="1"/>
    <x v="568"/>
    <x v="8"/>
    <x v="0"/>
    <x v="3"/>
    <x v="125"/>
    <x v="9"/>
  </r>
  <r>
    <x v="195"/>
    <x v="28"/>
    <x v="138"/>
    <x v="3"/>
    <x v="517"/>
    <x v="8"/>
    <x v="0"/>
    <x v="3"/>
    <x v="125"/>
    <x v="0"/>
  </r>
  <r>
    <x v="195"/>
    <x v="20"/>
    <x v="139"/>
    <x v="3"/>
    <x v="207"/>
    <x v="8"/>
    <x v="0"/>
    <x v="3"/>
    <x v="125"/>
    <x v="5"/>
  </r>
  <r>
    <x v="195"/>
    <x v="0"/>
    <x v="94"/>
    <x v="0"/>
    <x v="570"/>
    <x v="8"/>
    <x v="0"/>
    <x v="3"/>
    <x v="125"/>
    <x v="9"/>
  </r>
  <r>
    <x v="197"/>
    <x v="9"/>
    <x v="1350"/>
    <x v="0"/>
    <x v="229"/>
    <x v="8"/>
    <x v="0"/>
    <x v="0"/>
    <x v="221"/>
    <x v="5"/>
  </r>
  <r>
    <x v="197"/>
    <x v="27"/>
    <x v="709"/>
    <x v="1"/>
    <x v="7"/>
    <x v="8"/>
    <x v="0"/>
    <x v="2"/>
    <x v="221"/>
    <x v="5"/>
  </r>
  <r>
    <x v="197"/>
    <x v="27"/>
    <x v="191"/>
    <x v="1"/>
    <x v="7"/>
    <x v="8"/>
    <x v="0"/>
    <x v="2"/>
    <x v="221"/>
    <x v="5"/>
  </r>
  <r>
    <x v="197"/>
    <x v="8"/>
    <x v="475"/>
    <x v="0"/>
    <x v="241"/>
    <x v="8"/>
    <x v="1"/>
    <x v="4"/>
    <x v="221"/>
    <x v="5"/>
  </r>
  <r>
    <x v="197"/>
    <x v="38"/>
    <x v="556"/>
    <x v="0"/>
    <x v="276"/>
    <x v="8"/>
    <x v="0"/>
    <x v="3"/>
    <x v="146"/>
    <x v="5"/>
  </r>
  <r>
    <x v="197"/>
    <x v="12"/>
    <x v="461"/>
    <x v="0"/>
    <x v="48"/>
    <x v="8"/>
    <x v="1"/>
    <x v="4"/>
    <x v="221"/>
    <x v="5"/>
  </r>
  <r>
    <x v="197"/>
    <x v="20"/>
    <x v="1117"/>
    <x v="0"/>
    <x v="61"/>
    <x v="8"/>
    <x v="1"/>
    <x v="4"/>
    <x v="221"/>
    <x v="5"/>
  </r>
  <r>
    <x v="197"/>
    <x v="20"/>
    <x v="68"/>
    <x v="1"/>
    <x v="530"/>
    <x v="8"/>
    <x v="0"/>
    <x v="3"/>
    <x v="126"/>
    <x v="5"/>
  </r>
  <r>
    <x v="197"/>
    <x v="37"/>
    <x v="19"/>
    <x v="1"/>
    <x v="529"/>
    <x v="8"/>
    <x v="0"/>
    <x v="3"/>
    <x v="126"/>
    <x v="12"/>
  </r>
  <r>
    <x v="197"/>
    <x v="23"/>
    <x v="25"/>
    <x v="1"/>
    <x v="284"/>
    <x v="8"/>
    <x v="0"/>
    <x v="3"/>
    <x v="126"/>
    <x v="6"/>
  </r>
  <r>
    <x v="197"/>
    <x v="24"/>
    <x v="60"/>
    <x v="1"/>
    <x v="438"/>
    <x v="8"/>
    <x v="0"/>
    <x v="4"/>
    <x v="221"/>
    <x v="6"/>
  </r>
  <r>
    <x v="197"/>
    <x v="13"/>
    <x v="198"/>
    <x v="1"/>
    <x v="154"/>
    <x v="8"/>
    <x v="0"/>
    <x v="4"/>
    <x v="221"/>
    <x v="5"/>
  </r>
  <r>
    <x v="197"/>
    <x v="12"/>
    <x v="19"/>
    <x v="1"/>
    <x v="331"/>
    <x v="8"/>
    <x v="0"/>
    <x v="4"/>
    <x v="221"/>
    <x v="5"/>
  </r>
  <r>
    <x v="197"/>
    <x v="38"/>
    <x v="12"/>
    <x v="1"/>
    <x v="64"/>
    <x v="8"/>
    <x v="0"/>
    <x v="4"/>
    <x v="221"/>
    <x v="5"/>
  </r>
  <r>
    <x v="197"/>
    <x v="38"/>
    <x v="12"/>
    <x v="1"/>
    <x v="443"/>
    <x v="8"/>
    <x v="0"/>
    <x v="4"/>
    <x v="221"/>
    <x v="5"/>
  </r>
  <r>
    <x v="197"/>
    <x v="11"/>
    <x v="40"/>
    <x v="1"/>
    <x v="169"/>
    <x v="8"/>
    <x v="0"/>
    <x v="4"/>
    <x v="221"/>
    <x v="2"/>
  </r>
  <r>
    <x v="197"/>
    <x v="0"/>
    <x v="1146"/>
    <x v="0"/>
    <x v="25"/>
    <x v="8"/>
    <x v="0"/>
    <x v="0"/>
    <x v="126"/>
    <x v="9"/>
  </r>
  <r>
    <x v="197"/>
    <x v="32"/>
    <x v="588"/>
    <x v="3"/>
    <x v="422"/>
    <x v="8"/>
    <x v="2"/>
    <x v="4"/>
    <x v="221"/>
    <x v="10"/>
  </r>
  <r>
    <x v="197"/>
    <x v="32"/>
    <x v="12"/>
    <x v="6"/>
    <x v="422"/>
    <x v="8"/>
    <x v="2"/>
    <x v="4"/>
    <x v="221"/>
    <x v="10"/>
  </r>
  <r>
    <x v="197"/>
    <x v="32"/>
    <x v="1846"/>
    <x v="7"/>
    <x v="422"/>
    <x v="8"/>
    <x v="2"/>
    <x v="4"/>
    <x v="221"/>
    <x v="10"/>
  </r>
  <r>
    <x v="197"/>
    <x v="32"/>
    <x v="579"/>
    <x v="5"/>
    <x v="422"/>
    <x v="8"/>
    <x v="2"/>
    <x v="4"/>
    <x v="221"/>
    <x v="10"/>
  </r>
  <r>
    <x v="197"/>
    <x v="32"/>
    <x v="527"/>
    <x v="2"/>
    <x v="422"/>
    <x v="8"/>
    <x v="2"/>
    <x v="4"/>
    <x v="221"/>
    <x v="10"/>
  </r>
  <r>
    <x v="197"/>
    <x v="0"/>
    <x v="939"/>
    <x v="1"/>
    <x v="297"/>
    <x v="8"/>
    <x v="0"/>
    <x v="2"/>
    <x v="126"/>
    <x v="9"/>
  </r>
  <r>
    <x v="197"/>
    <x v="0"/>
    <x v="1306"/>
    <x v="0"/>
    <x v="297"/>
    <x v="8"/>
    <x v="0"/>
    <x v="3"/>
    <x v="126"/>
    <x v="9"/>
  </r>
  <r>
    <x v="197"/>
    <x v="38"/>
    <x v="324"/>
    <x v="0"/>
    <x v="522"/>
    <x v="8"/>
    <x v="1"/>
    <x v="4"/>
    <x v="221"/>
    <x v="5"/>
  </r>
  <r>
    <x v="198"/>
    <x v="24"/>
    <x v="45"/>
    <x v="3"/>
    <x v="218"/>
    <x v="8"/>
    <x v="0"/>
    <x v="3"/>
    <x v="127"/>
    <x v="6"/>
  </r>
  <r>
    <x v="198"/>
    <x v="9"/>
    <x v="633"/>
    <x v="0"/>
    <x v="229"/>
    <x v="8"/>
    <x v="0"/>
    <x v="0"/>
    <x v="221"/>
    <x v="5"/>
  </r>
  <r>
    <x v="198"/>
    <x v="38"/>
    <x v="67"/>
    <x v="0"/>
    <x v="522"/>
    <x v="8"/>
    <x v="1"/>
    <x v="4"/>
    <x v="221"/>
    <x v="5"/>
  </r>
  <r>
    <x v="198"/>
    <x v="3"/>
    <x v="506"/>
    <x v="3"/>
    <x v="415"/>
    <x v="8"/>
    <x v="0"/>
    <x v="3"/>
    <x v="127"/>
    <x v="4"/>
  </r>
  <r>
    <x v="198"/>
    <x v="20"/>
    <x v="1960"/>
    <x v="0"/>
    <x v="61"/>
    <x v="8"/>
    <x v="1"/>
    <x v="4"/>
    <x v="221"/>
    <x v="5"/>
  </r>
  <r>
    <x v="198"/>
    <x v="15"/>
    <x v="394"/>
    <x v="3"/>
    <x v="353"/>
    <x v="8"/>
    <x v="0"/>
    <x v="3"/>
    <x v="128"/>
    <x v="4"/>
  </r>
  <r>
    <x v="198"/>
    <x v="20"/>
    <x v="49"/>
    <x v="3"/>
    <x v="381"/>
    <x v="8"/>
    <x v="0"/>
    <x v="3"/>
    <x v="127"/>
    <x v="5"/>
  </r>
  <r>
    <x v="198"/>
    <x v="37"/>
    <x v="12"/>
    <x v="3"/>
    <x v="546"/>
    <x v="8"/>
    <x v="0"/>
    <x v="3"/>
    <x v="127"/>
    <x v="12"/>
  </r>
  <r>
    <x v="198"/>
    <x v="23"/>
    <x v="12"/>
    <x v="3"/>
    <x v="284"/>
    <x v="8"/>
    <x v="0"/>
    <x v="3"/>
    <x v="127"/>
    <x v="6"/>
  </r>
  <r>
    <x v="198"/>
    <x v="32"/>
    <x v="917"/>
    <x v="3"/>
    <x v="422"/>
    <x v="8"/>
    <x v="2"/>
    <x v="4"/>
    <x v="221"/>
    <x v="10"/>
  </r>
  <r>
    <x v="198"/>
    <x v="32"/>
    <x v="49"/>
    <x v="6"/>
    <x v="422"/>
    <x v="8"/>
    <x v="2"/>
    <x v="4"/>
    <x v="221"/>
    <x v="10"/>
  </r>
  <r>
    <x v="198"/>
    <x v="32"/>
    <x v="1762"/>
    <x v="7"/>
    <x v="422"/>
    <x v="8"/>
    <x v="2"/>
    <x v="4"/>
    <x v="221"/>
    <x v="10"/>
  </r>
  <r>
    <x v="198"/>
    <x v="32"/>
    <x v="780"/>
    <x v="5"/>
    <x v="422"/>
    <x v="8"/>
    <x v="2"/>
    <x v="4"/>
    <x v="221"/>
    <x v="10"/>
  </r>
  <r>
    <x v="198"/>
    <x v="39"/>
    <x v="27"/>
    <x v="3"/>
    <x v="2"/>
    <x v="8"/>
    <x v="0"/>
    <x v="3"/>
    <x v="127"/>
    <x v="5"/>
  </r>
  <r>
    <x v="198"/>
    <x v="15"/>
    <x v="74"/>
    <x v="3"/>
    <x v="191"/>
    <x v="8"/>
    <x v="0"/>
    <x v="3"/>
    <x v="127"/>
    <x v="4"/>
  </r>
  <r>
    <x v="199"/>
    <x v="28"/>
    <x v="138"/>
    <x v="3"/>
    <x v="517"/>
    <x v="8"/>
    <x v="0"/>
    <x v="3"/>
    <x v="221"/>
    <x v="0"/>
  </r>
  <r>
    <x v="199"/>
    <x v="38"/>
    <x v="210"/>
    <x v="0"/>
    <x v="275"/>
    <x v="8"/>
    <x v="0"/>
    <x v="3"/>
    <x v="146"/>
    <x v="5"/>
  </r>
  <r>
    <x v="199"/>
    <x v="9"/>
    <x v="821"/>
    <x v="0"/>
    <x v="229"/>
    <x v="8"/>
    <x v="0"/>
    <x v="0"/>
    <x v="221"/>
    <x v="5"/>
  </r>
  <r>
    <x v="199"/>
    <x v="12"/>
    <x v="516"/>
    <x v="0"/>
    <x v="48"/>
    <x v="8"/>
    <x v="1"/>
    <x v="3"/>
    <x v="221"/>
    <x v="5"/>
  </r>
  <r>
    <x v="199"/>
    <x v="23"/>
    <x v="12"/>
    <x v="3"/>
    <x v="284"/>
    <x v="8"/>
    <x v="0"/>
    <x v="3"/>
    <x v="221"/>
    <x v="6"/>
  </r>
  <r>
    <x v="199"/>
    <x v="3"/>
    <x v="599"/>
    <x v="3"/>
    <x v="577"/>
    <x v="8"/>
    <x v="0"/>
    <x v="3"/>
    <x v="221"/>
    <x v="4"/>
  </r>
  <r>
    <x v="199"/>
    <x v="1"/>
    <x v="407"/>
    <x v="3"/>
    <x v="431"/>
    <x v="8"/>
    <x v="0"/>
    <x v="3"/>
    <x v="221"/>
    <x v="4"/>
  </r>
  <r>
    <x v="199"/>
    <x v="0"/>
    <x v="45"/>
    <x v="3"/>
    <x v="566"/>
    <x v="8"/>
    <x v="0"/>
    <x v="3"/>
    <x v="221"/>
    <x v="9"/>
  </r>
  <r>
    <x v="199"/>
    <x v="38"/>
    <x v="5"/>
    <x v="3"/>
    <x v="64"/>
    <x v="8"/>
    <x v="0"/>
    <x v="3"/>
    <x v="221"/>
    <x v="5"/>
  </r>
  <r>
    <x v="199"/>
    <x v="38"/>
    <x v="12"/>
    <x v="3"/>
    <x v="334"/>
    <x v="8"/>
    <x v="0"/>
    <x v="3"/>
    <x v="221"/>
    <x v="5"/>
  </r>
  <r>
    <x v="199"/>
    <x v="38"/>
    <x v="343"/>
    <x v="0"/>
    <x v="552"/>
    <x v="8"/>
    <x v="0"/>
    <x v="3"/>
    <x v="221"/>
    <x v="5"/>
  </r>
  <r>
    <x v="199"/>
    <x v="32"/>
    <x v="1134"/>
    <x v="3"/>
    <x v="422"/>
    <x v="8"/>
    <x v="2"/>
    <x v="4"/>
    <x v="221"/>
    <x v="10"/>
  </r>
  <r>
    <x v="199"/>
    <x v="32"/>
    <x v="762"/>
    <x v="2"/>
    <x v="422"/>
    <x v="8"/>
    <x v="2"/>
    <x v="4"/>
    <x v="221"/>
    <x v="10"/>
  </r>
  <r>
    <x v="199"/>
    <x v="32"/>
    <x v="434"/>
    <x v="6"/>
    <x v="422"/>
    <x v="8"/>
    <x v="2"/>
    <x v="4"/>
    <x v="221"/>
    <x v="10"/>
  </r>
  <r>
    <x v="199"/>
    <x v="32"/>
    <x v="1913"/>
    <x v="7"/>
    <x v="422"/>
    <x v="8"/>
    <x v="2"/>
    <x v="4"/>
    <x v="221"/>
    <x v="10"/>
  </r>
  <r>
    <x v="199"/>
    <x v="32"/>
    <x v="1380"/>
    <x v="5"/>
    <x v="422"/>
    <x v="8"/>
    <x v="2"/>
    <x v="4"/>
    <x v="221"/>
    <x v="10"/>
  </r>
  <r>
    <x v="199"/>
    <x v="32"/>
    <x v="470"/>
    <x v="8"/>
    <x v="422"/>
    <x v="8"/>
    <x v="2"/>
    <x v="4"/>
    <x v="221"/>
    <x v="10"/>
  </r>
  <r>
    <x v="199"/>
    <x v="0"/>
    <x v="518"/>
    <x v="0"/>
    <x v="254"/>
    <x v="8"/>
    <x v="0"/>
    <x v="3"/>
    <x v="128"/>
    <x v="9"/>
  </r>
  <r>
    <x v="200"/>
    <x v="8"/>
    <x v="816"/>
    <x v="0"/>
    <x v="241"/>
    <x v="8"/>
    <x v="1"/>
    <x v="3"/>
    <x v="221"/>
    <x v="5"/>
  </r>
  <r>
    <x v="200"/>
    <x v="1"/>
    <x v="158"/>
    <x v="3"/>
    <x v="431"/>
    <x v="8"/>
    <x v="0"/>
    <x v="3"/>
    <x v="129"/>
    <x v="4"/>
  </r>
  <r>
    <x v="200"/>
    <x v="0"/>
    <x v="134"/>
    <x v="0"/>
    <x v="566"/>
    <x v="8"/>
    <x v="0"/>
    <x v="3"/>
    <x v="129"/>
    <x v="9"/>
  </r>
  <r>
    <x v="200"/>
    <x v="9"/>
    <x v="1087"/>
    <x v="0"/>
    <x v="229"/>
    <x v="8"/>
    <x v="0"/>
    <x v="0"/>
    <x v="221"/>
    <x v="5"/>
  </r>
  <r>
    <x v="200"/>
    <x v="12"/>
    <x v="158"/>
    <x v="3"/>
    <x v="406"/>
    <x v="8"/>
    <x v="0"/>
    <x v="3"/>
    <x v="129"/>
    <x v="5"/>
  </r>
  <r>
    <x v="200"/>
    <x v="24"/>
    <x v="45"/>
    <x v="3"/>
    <x v="265"/>
    <x v="8"/>
    <x v="0"/>
    <x v="3"/>
    <x v="129"/>
    <x v="6"/>
  </r>
  <r>
    <x v="200"/>
    <x v="24"/>
    <x v="45"/>
    <x v="3"/>
    <x v="375"/>
    <x v="8"/>
    <x v="0"/>
    <x v="3"/>
    <x v="129"/>
    <x v="6"/>
  </r>
  <r>
    <x v="200"/>
    <x v="38"/>
    <x v="389"/>
    <x v="0"/>
    <x v="500"/>
    <x v="8"/>
    <x v="1"/>
    <x v="4"/>
    <x v="221"/>
    <x v="5"/>
  </r>
  <r>
    <x v="200"/>
    <x v="38"/>
    <x v="407"/>
    <x v="0"/>
    <x v="470"/>
    <x v="8"/>
    <x v="0"/>
    <x v="3"/>
    <x v="221"/>
    <x v="5"/>
  </r>
  <r>
    <x v="200"/>
    <x v="36"/>
    <x v="45"/>
    <x v="3"/>
    <x v="375"/>
    <x v="8"/>
    <x v="0"/>
    <x v="3"/>
    <x v="221"/>
    <x v="5"/>
  </r>
  <r>
    <x v="200"/>
    <x v="23"/>
    <x v="12"/>
    <x v="3"/>
    <x v="285"/>
    <x v="8"/>
    <x v="0"/>
    <x v="3"/>
    <x v="221"/>
    <x v="6"/>
  </r>
  <r>
    <x v="200"/>
    <x v="32"/>
    <x v="479"/>
    <x v="3"/>
    <x v="422"/>
    <x v="8"/>
    <x v="2"/>
    <x v="4"/>
    <x v="221"/>
    <x v="10"/>
  </r>
  <r>
    <x v="200"/>
    <x v="32"/>
    <x v="1069"/>
    <x v="8"/>
    <x v="422"/>
    <x v="8"/>
    <x v="2"/>
    <x v="4"/>
    <x v="221"/>
    <x v="10"/>
  </r>
  <r>
    <x v="200"/>
    <x v="32"/>
    <x v="1679"/>
    <x v="7"/>
    <x v="422"/>
    <x v="8"/>
    <x v="1"/>
    <x v="4"/>
    <x v="221"/>
    <x v="10"/>
  </r>
  <r>
    <x v="201"/>
    <x v="9"/>
    <x v="619"/>
    <x v="0"/>
    <x v="231"/>
    <x v="8"/>
    <x v="0"/>
    <x v="0"/>
    <x v="221"/>
    <x v="5"/>
  </r>
  <r>
    <x v="201"/>
    <x v="12"/>
    <x v="264"/>
    <x v="0"/>
    <x v="48"/>
    <x v="8"/>
    <x v="1"/>
    <x v="4"/>
    <x v="221"/>
    <x v="5"/>
  </r>
  <r>
    <x v="201"/>
    <x v="24"/>
    <x v="518"/>
    <x v="0"/>
    <x v="205"/>
    <x v="8"/>
    <x v="0"/>
    <x v="4"/>
    <x v="221"/>
    <x v="6"/>
  </r>
  <r>
    <x v="202"/>
    <x v="8"/>
    <x v="475"/>
    <x v="0"/>
    <x v="241"/>
    <x v="8"/>
    <x v="1"/>
    <x v="4"/>
    <x v="221"/>
    <x v="5"/>
  </r>
  <r>
    <x v="202"/>
    <x v="12"/>
    <x v="475"/>
    <x v="0"/>
    <x v="48"/>
    <x v="8"/>
    <x v="1"/>
    <x v="4"/>
    <x v="221"/>
    <x v="5"/>
  </r>
  <r>
    <x v="202"/>
    <x v="24"/>
    <x v="224"/>
    <x v="3"/>
    <x v="220"/>
    <x v="8"/>
    <x v="0"/>
    <x v="4"/>
    <x v="131"/>
    <x v="6"/>
  </r>
  <r>
    <x v="202"/>
    <x v="9"/>
    <x v="400"/>
    <x v="0"/>
    <x v="231"/>
    <x v="8"/>
    <x v="0"/>
    <x v="0"/>
    <x v="221"/>
    <x v="5"/>
  </r>
  <r>
    <x v="202"/>
    <x v="23"/>
    <x v="12"/>
    <x v="3"/>
    <x v="283"/>
    <x v="8"/>
    <x v="0"/>
    <x v="4"/>
    <x v="131"/>
    <x v="6"/>
  </r>
  <r>
    <x v="202"/>
    <x v="27"/>
    <x v="709"/>
    <x v="3"/>
    <x v="360"/>
    <x v="8"/>
    <x v="0"/>
    <x v="4"/>
    <x v="131"/>
    <x v="5"/>
  </r>
  <r>
    <x v="201"/>
    <x v="32"/>
    <x v="819"/>
    <x v="3"/>
    <x v="422"/>
    <x v="8"/>
    <x v="2"/>
    <x v="4"/>
    <x v="221"/>
    <x v="10"/>
  </r>
  <r>
    <x v="201"/>
    <x v="32"/>
    <x v="431"/>
    <x v="2"/>
    <x v="422"/>
    <x v="8"/>
    <x v="2"/>
    <x v="4"/>
    <x v="221"/>
    <x v="10"/>
  </r>
  <r>
    <x v="201"/>
    <x v="32"/>
    <x v="392"/>
    <x v="6"/>
    <x v="422"/>
    <x v="8"/>
    <x v="2"/>
    <x v="4"/>
    <x v="221"/>
    <x v="10"/>
  </r>
  <r>
    <x v="201"/>
    <x v="32"/>
    <x v="1397"/>
    <x v="7"/>
    <x v="422"/>
    <x v="8"/>
    <x v="2"/>
    <x v="4"/>
    <x v="221"/>
    <x v="10"/>
  </r>
  <r>
    <x v="201"/>
    <x v="32"/>
    <x v="754"/>
    <x v="5"/>
    <x v="422"/>
    <x v="8"/>
    <x v="2"/>
    <x v="4"/>
    <x v="221"/>
    <x v="10"/>
  </r>
  <r>
    <x v="201"/>
    <x v="11"/>
    <x v="45"/>
    <x v="3"/>
    <x v="201"/>
    <x v="8"/>
    <x v="0"/>
    <x v="3"/>
    <x v="130"/>
    <x v="2"/>
  </r>
  <r>
    <x v="202"/>
    <x v="13"/>
    <x v="1727"/>
    <x v="0"/>
    <x v="558"/>
    <x v="8"/>
    <x v="1"/>
    <x v="4"/>
    <x v="221"/>
    <x v="5"/>
  </r>
  <r>
    <x v="202"/>
    <x v="20"/>
    <x v="28"/>
    <x v="3"/>
    <x v="147"/>
    <x v="8"/>
    <x v="0"/>
    <x v="4"/>
    <x v="131"/>
    <x v="5"/>
  </r>
  <r>
    <x v="202"/>
    <x v="23"/>
    <x v="19"/>
    <x v="3"/>
    <x v="283"/>
    <x v="8"/>
    <x v="0"/>
    <x v="4"/>
    <x v="131"/>
    <x v="6"/>
  </r>
  <r>
    <x v="202"/>
    <x v="24"/>
    <x v="9"/>
    <x v="3"/>
    <x v="302"/>
    <x v="8"/>
    <x v="0"/>
    <x v="4"/>
    <x v="131"/>
    <x v="6"/>
  </r>
  <r>
    <x v="203"/>
    <x v="9"/>
    <x v="923"/>
    <x v="0"/>
    <x v="231"/>
    <x v="8"/>
    <x v="0"/>
    <x v="0"/>
    <x v="221"/>
    <x v="5"/>
  </r>
  <r>
    <x v="203"/>
    <x v="12"/>
    <x v="662"/>
    <x v="0"/>
    <x v="48"/>
    <x v="8"/>
    <x v="1"/>
    <x v="4"/>
    <x v="221"/>
    <x v="5"/>
  </r>
  <r>
    <x v="203"/>
    <x v="24"/>
    <x v="36"/>
    <x v="3"/>
    <x v="519"/>
    <x v="8"/>
    <x v="0"/>
    <x v="3"/>
    <x v="132"/>
    <x v="6"/>
  </r>
  <r>
    <x v="203"/>
    <x v="1"/>
    <x v="53"/>
    <x v="3"/>
    <x v="473"/>
    <x v="8"/>
    <x v="0"/>
    <x v="3"/>
    <x v="132"/>
    <x v="4"/>
  </r>
  <r>
    <x v="203"/>
    <x v="13"/>
    <x v="224"/>
    <x v="3"/>
    <x v="84"/>
    <x v="8"/>
    <x v="0"/>
    <x v="3"/>
    <x v="132"/>
    <x v="5"/>
  </r>
  <r>
    <x v="203"/>
    <x v="12"/>
    <x v="65"/>
    <x v="3"/>
    <x v="497"/>
    <x v="8"/>
    <x v="0"/>
    <x v="3"/>
    <x v="132"/>
    <x v="5"/>
  </r>
  <r>
    <x v="203"/>
    <x v="20"/>
    <x v="27"/>
    <x v="3"/>
    <x v="58"/>
    <x v="8"/>
    <x v="0"/>
    <x v="3"/>
    <x v="132"/>
    <x v="5"/>
  </r>
  <r>
    <x v="203"/>
    <x v="38"/>
    <x v="19"/>
    <x v="3"/>
    <x v="401"/>
    <x v="8"/>
    <x v="0"/>
    <x v="3"/>
    <x v="132"/>
    <x v="5"/>
  </r>
  <r>
    <x v="203"/>
    <x v="38"/>
    <x v="15"/>
    <x v="3"/>
    <x v="334"/>
    <x v="8"/>
    <x v="0"/>
    <x v="3"/>
    <x v="132"/>
    <x v="5"/>
  </r>
  <r>
    <x v="203"/>
    <x v="0"/>
    <x v="256"/>
    <x v="0"/>
    <x v="566"/>
    <x v="8"/>
    <x v="0"/>
    <x v="3"/>
    <x v="132"/>
    <x v="9"/>
  </r>
  <r>
    <x v="203"/>
    <x v="32"/>
    <x v="1309"/>
    <x v="3"/>
    <x v="422"/>
    <x v="8"/>
    <x v="2"/>
    <x v="4"/>
    <x v="221"/>
    <x v="10"/>
  </r>
  <r>
    <x v="203"/>
    <x v="32"/>
    <x v="186"/>
    <x v="2"/>
    <x v="422"/>
    <x v="8"/>
    <x v="2"/>
    <x v="4"/>
    <x v="221"/>
    <x v="10"/>
  </r>
  <r>
    <x v="203"/>
    <x v="32"/>
    <x v="141"/>
    <x v="6"/>
    <x v="422"/>
    <x v="8"/>
    <x v="2"/>
    <x v="4"/>
    <x v="221"/>
    <x v="10"/>
  </r>
  <r>
    <x v="203"/>
    <x v="32"/>
    <x v="1790"/>
    <x v="7"/>
    <x v="422"/>
    <x v="8"/>
    <x v="2"/>
    <x v="4"/>
    <x v="221"/>
    <x v="10"/>
  </r>
  <r>
    <x v="203"/>
    <x v="32"/>
    <x v="520"/>
    <x v="8"/>
    <x v="422"/>
    <x v="8"/>
    <x v="2"/>
    <x v="4"/>
    <x v="221"/>
    <x v="10"/>
  </r>
  <r>
    <x v="203"/>
    <x v="32"/>
    <x v="444"/>
    <x v="8"/>
    <x v="422"/>
    <x v="8"/>
    <x v="2"/>
    <x v="4"/>
    <x v="221"/>
    <x v="10"/>
  </r>
  <r>
    <x v="204"/>
    <x v="2"/>
    <x v="1220"/>
    <x v="3"/>
    <x v="492"/>
    <x v="8"/>
    <x v="0"/>
    <x v="3"/>
    <x v="133"/>
    <x v="1"/>
  </r>
  <r>
    <x v="204"/>
    <x v="9"/>
    <x v="1274"/>
    <x v="0"/>
    <x v="229"/>
    <x v="8"/>
    <x v="0"/>
    <x v="0"/>
    <x v="221"/>
    <x v="5"/>
  </r>
  <r>
    <x v="204"/>
    <x v="38"/>
    <x v="180"/>
    <x v="0"/>
    <x v="275"/>
    <x v="8"/>
    <x v="0"/>
    <x v="3"/>
    <x v="146"/>
    <x v="5"/>
  </r>
  <r>
    <x v="204"/>
    <x v="20"/>
    <x v="27"/>
    <x v="3"/>
    <x v="61"/>
    <x v="8"/>
    <x v="0"/>
    <x v="3"/>
    <x v="133"/>
    <x v="5"/>
  </r>
  <r>
    <x v="204"/>
    <x v="20"/>
    <x v="147"/>
    <x v="3"/>
    <x v="509"/>
    <x v="8"/>
    <x v="0"/>
    <x v="3"/>
    <x v="133"/>
    <x v="5"/>
  </r>
  <r>
    <x v="204"/>
    <x v="12"/>
    <x v="247"/>
    <x v="0"/>
    <x v="48"/>
    <x v="8"/>
    <x v="1"/>
    <x v="4"/>
    <x v="221"/>
    <x v="5"/>
  </r>
  <r>
    <x v="204"/>
    <x v="8"/>
    <x v="719"/>
    <x v="0"/>
    <x v="241"/>
    <x v="8"/>
    <x v="1"/>
    <x v="4"/>
    <x v="221"/>
    <x v="5"/>
  </r>
  <r>
    <x v="204"/>
    <x v="25"/>
    <x v="5"/>
    <x v="3"/>
    <x v="66"/>
    <x v="8"/>
    <x v="0"/>
    <x v="3"/>
    <x v="133"/>
    <x v="12"/>
  </r>
  <r>
    <x v="204"/>
    <x v="20"/>
    <x v="49"/>
    <x v="3"/>
    <x v="381"/>
    <x v="8"/>
    <x v="0"/>
    <x v="3"/>
    <x v="133"/>
    <x v="5"/>
  </r>
  <r>
    <x v="204"/>
    <x v="23"/>
    <x v="12"/>
    <x v="3"/>
    <x v="283"/>
    <x v="8"/>
    <x v="0"/>
    <x v="3"/>
    <x v="133"/>
    <x v="6"/>
  </r>
  <r>
    <x v="204"/>
    <x v="20"/>
    <x v="27"/>
    <x v="3"/>
    <x v="200"/>
    <x v="8"/>
    <x v="0"/>
    <x v="3"/>
    <x v="133"/>
    <x v="5"/>
  </r>
  <r>
    <x v="204"/>
    <x v="26"/>
    <x v="90"/>
    <x v="3"/>
    <x v="468"/>
    <x v="8"/>
    <x v="0"/>
    <x v="3"/>
    <x v="133"/>
    <x v="5"/>
  </r>
  <r>
    <x v="204"/>
    <x v="38"/>
    <x v="5"/>
    <x v="3"/>
    <x v="64"/>
    <x v="8"/>
    <x v="0"/>
    <x v="3"/>
    <x v="133"/>
    <x v="5"/>
  </r>
  <r>
    <x v="204"/>
    <x v="20"/>
    <x v="592"/>
    <x v="0"/>
    <x v="111"/>
    <x v="8"/>
    <x v="0"/>
    <x v="3"/>
    <x v="133"/>
    <x v="5"/>
  </r>
  <r>
    <x v="204"/>
    <x v="12"/>
    <x v="101"/>
    <x v="0"/>
    <x v="313"/>
    <x v="8"/>
    <x v="0"/>
    <x v="3"/>
    <x v="133"/>
    <x v="5"/>
  </r>
  <r>
    <x v="204"/>
    <x v="1"/>
    <x v="180"/>
    <x v="3"/>
    <x v="431"/>
    <x v="8"/>
    <x v="0"/>
    <x v="3"/>
    <x v="133"/>
    <x v="4"/>
  </r>
  <r>
    <x v="205"/>
    <x v="9"/>
    <x v="1132"/>
    <x v="0"/>
    <x v="231"/>
    <x v="8"/>
    <x v="0"/>
    <x v="0"/>
    <x v="221"/>
    <x v="5"/>
  </r>
  <r>
    <x v="205"/>
    <x v="12"/>
    <x v="419"/>
    <x v="0"/>
    <x v="48"/>
    <x v="8"/>
    <x v="1"/>
    <x v="4"/>
    <x v="221"/>
    <x v="5"/>
  </r>
  <r>
    <x v="205"/>
    <x v="28"/>
    <x v="138"/>
    <x v="3"/>
    <x v="424"/>
    <x v="8"/>
    <x v="0"/>
    <x v="3"/>
    <x v="134"/>
    <x v="0"/>
  </r>
  <r>
    <x v="205"/>
    <x v="27"/>
    <x v="191"/>
    <x v="3"/>
    <x v="411"/>
    <x v="8"/>
    <x v="0"/>
    <x v="3"/>
    <x v="134"/>
    <x v="5"/>
  </r>
  <r>
    <x v="205"/>
    <x v="20"/>
    <x v="33"/>
    <x v="3"/>
    <x v="343"/>
    <x v="8"/>
    <x v="0"/>
    <x v="3"/>
    <x v="134"/>
    <x v="5"/>
  </r>
  <r>
    <x v="205"/>
    <x v="24"/>
    <x v="256"/>
    <x v="3"/>
    <x v="203"/>
    <x v="8"/>
    <x v="0"/>
    <x v="3"/>
    <x v="134"/>
    <x v="6"/>
  </r>
  <r>
    <x v="205"/>
    <x v="23"/>
    <x v="12"/>
    <x v="3"/>
    <x v="283"/>
    <x v="8"/>
    <x v="0"/>
    <x v="3"/>
    <x v="221"/>
    <x v="6"/>
  </r>
  <r>
    <x v="205"/>
    <x v="3"/>
    <x v="841"/>
    <x v="3"/>
    <x v="582"/>
    <x v="8"/>
    <x v="0"/>
    <x v="3"/>
    <x v="221"/>
    <x v="4"/>
  </r>
  <r>
    <x v="205"/>
    <x v="3"/>
    <x v="375"/>
    <x v="3"/>
    <x v="582"/>
    <x v="8"/>
    <x v="0"/>
    <x v="3"/>
    <x v="221"/>
    <x v="4"/>
  </r>
  <r>
    <x v="204"/>
    <x v="32"/>
    <x v="1161"/>
    <x v="3"/>
    <x v="422"/>
    <x v="8"/>
    <x v="2"/>
    <x v="4"/>
    <x v="221"/>
    <x v="10"/>
  </r>
  <r>
    <x v="204"/>
    <x v="32"/>
    <x v="87"/>
    <x v="2"/>
    <x v="422"/>
    <x v="8"/>
    <x v="2"/>
    <x v="4"/>
    <x v="221"/>
    <x v="10"/>
  </r>
  <r>
    <x v="204"/>
    <x v="32"/>
    <x v="700"/>
    <x v="6"/>
    <x v="422"/>
    <x v="8"/>
    <x v="2"/>
    <x v="4"/>
    <x v="221"/>
    <x v="10"/>
  </r>
  <r>
    <x v="204"/>
    <x v="32"/>
    <x v="1871"/>
    <x v="7"/>
    <x v="422"/>
    <x v="8"/>
    <x v="2"/>
    <x v="4"/>
    <x v="221"/>
    <x v="10"/>
  </r>
  <r>
    <x v="204"/>
    <x v="32"/>
    <x v="45"/>
    <x v="8"/>
    <x v="422"/>
    <x v="8"/>
    <x v="2"/>
    <x v="4"/>
    <x v="221"/>
    <x v="10"/>
  </r>
  <r>
    <x v="204"/>
    <x v="32"/>
    <x v="338"/>
    <x v="5"/>
    <x v="422"/>
    <x v="8"/>
    <x v="2"/>
    <x v="4"/>
    <x v="221"/>
    <x v="10"/>
  </r>
  <r>
    <x v="205"/>
    <x v="15"/>
    <x v="412"/>
    <x v="0"/>
    <x v="353"/>
    <x v="8"/>
    <x v="1"/>
    <x v="4"/>
    <x v="221"/>
    <x v="4"/>
  </r>
  <r>
    <x v="205"/>
    <x v="32"/>
    <x v="1021"/>
    <x v="3"/>
    <x v="422"/>
    <x v="8"/>
    <x v="0"/>
    <x v="3"/>
    <x v="221"/>
    <x v="10"/>
  </r>
  <r>
    <x v="205"/>
    <x v="32"/>
    <x v="138"/>
    <x v="6"/>
    <x v="422"/>
    <x v="8"/>
    <x v="2"/>
    <x v="4"/>
    <x v="221"/>
    <x v="10"/>
  </r>
  <r>
    <x v="205"/>
    <x v="32"/>
    <x v="1703"/>
    <x v="7"/>
    <x v="422"/>
    <x v="8"/>
    <x v="2"/>
    <x v="4"/>
    <x v="221"/>
    <x v="10"/>
  </r>
  <r>
    <x v="205"/>
    <x v="32"/>
    <x v="1075"/>
    <x v="5"/>
    <x v="422"/>
    <x v="8"/>
    <x v="2"/>
    <x v="4"/>
    <x v="221"/>
    <x v="10"/>
  </r>
  <r>
    <x v="206"/>
    <x v="9"/>
    <x v="969"/>
    <x v="0"/>
    <x v="231"/>
    <x v="8"/>
    <x v="0"/>
    <x v="0"/>
    <x v="221"/>
    <x v="5"/>
  </r>
  <r>
    <x v="206"/>
    <x v="12"/>
    <x v="464"/>
    <x v="0"/>
    <x v="48"/>
    <x v="8"/>
    <x v="1"/>
    <x v="4"/>
    <x v="221"/>
    <x v="5"/>
  </r>
  <r>
    <x v="206"/>
    <x v="1"/>
    <x v="76"/>
    <x v="3"/>
    <x v="431"/>
    <x v="8"/>
    <x v="0"/>
    <x v="3"/>
    <x v="135"/>
    <x v="4"/>
  </r>
  <r>
    <x v="206"/>
    <x v="20"/>
    <x v="5"/>
    <x v="3"/>
    <x v="64"/>
    <x v="8"/>
    <x v="0"/>
    <x v="3"/>
    <x v="135"/>
    <x v="5"/>
  </r>
  <r>
    <x v="206"/>
    <x v="20"/>
    <x v="248"/>
    <x v="3"/>
    <x v="207"/>
    <x v="8"/>
    <x v="0"/>
    <x v="3"/>
    <x v="135"/>
    <x v="5"/>
  </r>
  <r>
    <x v="206"/>
    <x v="0"/>
    <x v="518"/>
    <x v="3"/>
    <x v="566"/>
    <x v="8"/>
    <x v="0"/>
    <x v="3"/>
    <x v="135"/>
    <x v="9"/>
  </r>
  <r>
    <x v="206"/>
    <x v="20"/>
    <x v="20"/>
    <x v="3"/>
    <x v="377"/>
    <x v="8"/>
    <x v="0"/>
    <x v="3"/>
    <x v="135"/>
    <x v="5"/>
  </r>
  <r>
    <x v="206"/>
    <x v="38"/>
    <x v="12"/>
    <x v="3"/>
    <x v="334"/>
    <x v="8"/>
    <x v="0"/>
    <x v="3"/>
    <x v="135"/>
    <x v="5"/>
  </r>
  <r>
    <x v="206"/>
    <x v="0"/>
    <x v="1146"/>
    <x v="0"/>
    <x v="566"/>
    <x v="8"/>
    <x v="0"/>
    <x v="3"/>
    <x v="135"/>
    <x v="9"/>
  </r>
  <r>
    <x v="206"/>
    <x v="0"/>
    <x v="1146"/>
    <x v="0"/>
    <x v="566"/>
    <x v="8"/>
    <x v="0"/>
    <x v="3"/>
    <x v="135"/>
    <x v="9"/>
  </r>
  <r>
    <x v="206"/>
    <x v="38"/>
    <x v="582"/>
    <x v="3"/>
    <x v="77"/>
    <x v="8"/>
    <x v="0"/>
    <x v="3"/>
    <x v="221"/>
    <x v="5"/>
  </r>
  <r>
    <x v="206"/>
    <x v="23"/>
    <x v="12"/>
    <x v="3"/>
    <x v="283"/>
    <x v="8"/>
    <x v="2"/>
    <x v="4"/>
    <x v="221"/>
    <x v="6"/>
  </r>
  <r>
    <x v="206"/>
    <x v="32"/>
    <x v="895"/>
    <x v="3"/>
    <x v="422"/>
    <x v="8"/>
    <x v="2"/>
    <x v="4"/>
    <x v="221"/>
    <x v="10"/>
  </r>
  <r>
    <x v="206"/>
    <x v="32"/>
    <x v="100"/>
    <x v="6"/>
    <x v="422"/>
    <x v="8"/>
    <x v="2"/>
    <x v="4"/>
    <x v="221"/>
    <x v="10"/>
  </r>
  <r>
    <x v="206"/>
    <x v="32"/>
    <x v="1817"/>
    <x v="7"/>
    <x v="422"/>
    <x v="8"/>
    <x v="2"/>
    <x v="4"/>
    <x v="221"/>
    <x v="10"/>
  </r>
  <r>
    <x v="206"/>
    <x v="32"/>
    <x v="1047"/>
    <x v="5"/>
    <x v="422"/>
    <x v="8"/>
    <x v="2"/>
    <x v="4"/>
    <x v="221"/>
    <x v="10"/>
  </r>
  <r>
    <x v="206"/>
    <x v="5"/>
    <x v="39"/>
    <x v="3"/>
    <x v="499"/>
    <x v="8"/>
    <x v="0"/>
    <x v="3"/>
    <x v="135"/>
    <x v="11"/>
  </r>
  <r>
    <x v="207"/>
    <x v="1"/>
    <x v="127"/>
    <x v="3"/>
    <x v="431"/>
    <x v="8"/>
    <x v="0"/>
    <x v="4"/>
    <x v="221"/>
    <x v="4"/>
  </r>
  <r>
    <x v="207"/>
    <x v="9"/>
    <x v="733"/>
    <x v="0"/>
    <x v="231"/>
    <x v="8"/>
    <x v="0"/>
    <x v="0"/>
    <x v="221"/>
    <x v="5"/>
  </r>
  <r>
    <x v="207"/>
    <x v="12"/>
    <x v="503"/>
    <x v="0"/>
    <x v="48"/>
    <x v="8"/>
    <x v="1"/>
    <x v="4"/>
    <x v="221"/>
    <x v="5"/>
  </r>
  <r>
    <x v="207"/>
    <x v="8"/>
    <x v="816"/>
    <x v="0"/>
    <x v="241"/>
    <x v="8"/>
    <x v="1"/>
    <x v="4"/>
    <x v="221"/>
    <x v="5"/>
  </r>
  <r>
    <x v="207"/>
    <x v="20"/>
    <x v="1694"/>
    <x v="0"/>
    <x v="61"/>
    <x v="8"/>
    <x v="1"/>
    <x v="4"/>
    <x v="221"/>
    <x v="5"/>
  </r>
  <r>
    <x v="207"/>
    <x v="25"/>
    <x v="287"/>
    <x v="3"/>
    <x v="258"/>
    <x v="8"/>
    <x v="0"/>
    <x v="4"/>
    <x v="221"/>
    <x v="12"/>
  </r>
  <r>
    <x v="207"/>
    <x v="32"/>
    <x v="769"/>
    <x v="3"/>
    <x v="422"/>
    <x v="8"/>
    <x v="2"/>
    <x v="4"/>
    <x v="221"/>
    <x v="10"/>
  </r>
  <r>
    <x v="207"/>
    <x v="32"/>
    <x v="164"/>
    <x v="6"/>
    <x v="422"/>
    <x v="8"/>
    <x v="2"/>
    <x v="4"/>
    <x v="221"/>
    <x v="10"/>
  </r>
  <r>
    <x v="207"/>
    <x v="32"/>
    <x v="1556"/>
    <x v="7"/>
    <x v="422"/>
    <x v="8"/>
    <x v="2"/>
    <x v="4"/>
    <x v="221"/>
    <x v="10"/>
  </r>
  <r>
    <x v="207"/>
    <x v="32"/>
    <x v="728"/>
    <x v="5"/>
    <x v="422"/>
    <x v="8"/>
    <x v="2"/>
    <x v="4"/>
    <x v="221"/>
    <x v="10"/>
  </r>
  <r>
    <x v="208"/>
    <x v="9"/>
    <x v="1077"/>
    <x v="0"/>
    <x v="231"/>
    <x v="8"/>
    <x v="0"/>
    <x v="0"/>
    <x v="221"/>
    <x v="5"/>
  </r>
  <r>
    <x v="208"/>
    <x v="12"/>
    <x v="182"/>
    <x v="0"/>
    <x v="48"/>
    <x v="8"/>
    <x v="1"/>
    <x v="4"/>
    <x v="221"/>
    <x v="5"/>
  </r>
  <r>
    <x v="208"/>
    <x v="29"/>
    <x v="53"/>
    <x v="3"/>
    <x v="541"/>
    <x v="8"/>
    <x v="0"/>
    <x v="3"/>
    <x v="136"/>
    <x v="6"/>
  </r>
  <r>
    <x v="208"/>
    <x v="18"/>
    <x v="375"/>
    <x v="0"/>
    <x v="142"/>
    <x v="8"/>
    <x v="0"/>
    <x v="1"/>
    <x v="221"/>
    <x v="3"/>
  </r>
  <r>
    <x v="208"/>
    <x v="32"/>
    <x v="180"/>
    <x v="3"/>
    <x v="422"/>
    <x v="8"/>
    <x v="2"/>
    <x v="4"/>
    <x v="221"/>
    <x v="10"/>
  </r>
  <r>
    <x v="208"/>
    <x v="32"/>
    <x v="1425"/>
    <x v="7"/>
    <x v="422"/>
    <x v="8"/>
    <x v="2"/>
    <x v="4"/>
    <x v="221"/>
    <x v="10"/>
  </r>
  <r>
    <x v="208"/>
    <x v="32"/>
    <x v="661"/>
    <x v="5"/>
    <x v="422"/>
    <x v="8"/>
    <x v="2"/>
    <x v="4"/>
    <x v="221"/>
    <x v="10"/>
  </r>
  <r>
    <x v="209"/>
    <x v="8"/>
    <x v="475"/>
    <x v="0"/>
    <x v="241"/>
    <x v="8"/>
    <x v="1"/>
    <x v="4"/>
    <x v="221"/>
    <x v="5"/>
  </r>
  <r>
    <x v="209"/>
    <x v="12"/>
    <x v="154"/>
    <x v="0"/>
    <x v="48"/>
    <x v="8"/>
    <x v="1"/>
    <x v="4"/>
    <x v="221"/>
    <x v="5"/>
  </r>
  <r>
    <x v="209"/>
    <x v="29"/>
    <x v="102"/>
    <x v="3"/>
    <x v="427"/>
    <x v="8"/>
    <x v="0"/>
    <x v="3"/>
    <x v="137"/>
    <x v="6"/>
  </r>
  <r>
    <x v="209"/>
    <x v="20"/>
    <x v="87"/>
    <x v="3"/>
    <x v="418"/>
    <x v="8"/>
    <x v="0"/>
    <x v="3"/>
    <x v="137"/>
    <x v="5"/>
  </r>
  <r>
    <x v="209"/>
    <x v="24"/>
    <x v="256"/>
    <x v="0"/>
    <x v="186"/>
    <x v="8"/>
    <x v="0"/>
    <x v="3"/>
    <x v="137"/>
    <x v="6"/>
  </r>
  <r>
    <x v="209"/>
    <x v="0"/>
    <x v="134"/>
    <x v="1"/>
    <x v="471"/>
    <x v="8"/>
    <x v="0"/>
    <x v="3"/>
    <x v="137"/>
    <x v="9"/>
  </r>
  <r>
    <x v="209"/>
    <x v="0"/>
    <x v="87"/>
    <x v="3"/>
    <x v="471"/>
    <x v="8"/>
    <x v="0"/>
    <x v="3"/>
    <x v="137"/>
    <x v="9"/>
  </r>
  <r>
    <x v="209"/>
    <x v="37"/>
    <x v="27"/>
    <x v="3"/>
    <x v="369"/>
    <x v="8"/>
    <x v="0"/>
    <x v="3"/>
    <x v="221"/>
    <x v="12"/>
  </r>
  <r>
    <x v="209"/>
    <x v="32"/>
    <x v="398"/>
    <x v="3"/>
    <x v="422"/>
    <x v="8"/>
    <x v="2"/>
    <x v="4"/>
    <x v="221"/>
    <x v="10"/>
  </r>
  <r>
    <x v="209"/>
    <x v="32"/>
    <x v="143"/>
    <x v="6"/>
    <x v="422"/>
    <x v="8"/>
    <x v="2"/>
    <x v="4"/>
    <x v="221"/>
    <x v="10"/>
  </r>
  <r>
    <x v="209"/>
    <x v="32"/>
    <x v="1697"/>
    <x v="7"/>
    <x v="422"/>
    <x v="8"/>
    <x v="2"/>
    <x v="4"/>
    <x v="221"/>
    <x v="10"/>
  </r>
  <r>
    <x v="209"/>
    <x v="32"/>
    <x v="104"/>
    <x v="5"/>
    <x v="422"/>
    <x v="8"/>
    <x v="2"/>
    <x v="4"/>
    <x v="221"/>
    <x v="10"/>
  </r>
  <r>
    <x v="210"/>
    <x v="9"/>
    <x v="1209"/>
    <x v="0"/>
    <x v="231"/>
    <x v="8"/>
    <x v="0"/>
    <x v="0"/>
    <x v="221"/>
    <x v="5"/>
  </r>
  <r>
    <x v="210"/>
    <x v="12"/>
    <x v="549"/>
    <x v="0"/>
    <x v="48"/>
    <x v="8"/>
    <x v="1"/>
    <x v="4"/>
    <x v="221"/>
    <x v="5"/>
  </r>
  <r>
    <x v="210"/>
    <x v="20"/>
    <x v="49"/>
    <x v="3"/>
    <x v="381"/>
    <x v="8"/>
    <x v="0"/>
    <x v="3"/>
    <x v="138"/>
    <x v="5"/>
  </r>
  <r>
    <x v="210"/>
    <x v="40"/>
    <x v="375"/>
    <x v="3"/>
    <x v="539"/>
    <x v="8"/>
    <x v="0"/>
    <x v="3"/>
    <x v="138"/>
    <x v="7"/>
  </r>
  <r>
    <x v="210"/>
    <x v="40"/>
    <x v="134"/>
    <x v="0"/>
    <x v="539"/>
    <x v="8"/>
    <x v="0"/>
    <x v="3"/>
    <x v="138"/>
    <x v="7"/>
  </r>
  <r>
    <x v="210"/>
    <x v="28"/>
    <x v="134"/>
    <x v="0"/>
    <x v="424"/>
    <x v="8"/>
    <x v="0"/>
    <x v="3"/>
    <x v="138"/>
    <x v="0"/>
  </r>
  <r>
    <x v="210"/>
    <x v="23"/>
    <x v="9"/>
    <x v="3"/>
    <x v="284"/>
    <x v="8"/>
    <x v="0"/>
    <x v="3"/>
    <x v="138"/>
    <x v="6"/>
  </r>
  <r>
    <x v="210"/>
    <x v="24"/>
    <x v="1753"/>
    <x v="0"/>
    <x v="423"/>
    <x v="8"/>
    <x v="0"/>
    <x v="3"/>
    <x v="138"/>
    <x v="6"/>
  </r>
  <r>
    <x v="210"/>
    <x v="1"/>
    <x v="77"/>
    <x v="3"/>
    <x v="432"/>
    <x v="8"/>
    <x v="0"/>
    <x v="3"/>
    <x v="138"/>
    <x v="4"/>
  </r>
  <r>
    <x v="210"/>
    <x v="0"/>
    <x v="157"/>
    <x v="0"/>
    <x v="262"/>
    <x v="8"/>
    <x v="0"/>
    <x v="3"/>
    <x v="138"/>
    <x v="9"/>
  </r>
  <r>
    <x v="210"/>
    <x v="12"/>
    <x v="17"/>
    <x v="3"/>
    <x v="331"/>
    <x v="8"/>
    <x v="0"/>
    <x v="3"/>
    <x v="138"/>
    <x v="5"/>
  </r>
  <r>
    <x v="210"/>
    <x v="38"/>
    <x v="15"/>
    <x v="3"/>
    <x v="334"/>
    <x v="8"/>
    <x v="0"/>
    <x v="3"/>
    <x v="138"/>
    <x v="5"/>
  </r>
  <r>
    <x v="210"/>
    <x v="12"/>
    <x v="19"/>
    <x v="3"/>
    <x v="331"/>
    <x v="8"/>
    <x v="0"/>
    <x v="3"/>
    <x v="138"/>
    <x v="5"/>
  </r>
  <r>
    <x v="210"/>
    <x v="24"/>
    <x v="375"/>
    <x v="0"/>
    <x v="251"/>
    <x v="8"/>
    <x v="0"/>
    <x v="3"/>
    <x v="138"/>
    <x v="6"/>
  </r>
  <r>
    <x v="210"/>
    <x v="32"/>
    <x v="970"/>
    <x v="3"/>
    <x v="422"/>
    <x v="8"/>
    <x v="2"/>
    <x v="4"/>
    <x v="221"/>
    <x v="10"/>
  </r>
  <r>
    <x v="210"/>
    <x v="32"/>
    <x v="1757"/>
    <x v="7"/>
    <x v="422"/>
    <x v="8"/>
    <x v="2"/>
    <x v="4"/>
    <x v="221"/>
    <x v="10"/>
  </r>
  <r>
    <x v="210"/>
    <x v="32"/>
    <x v="800"/>
    <x v="5"/>
    <x v="422"/>
    <x v="8"/>
    <x v="2"/>
    <x v="4"/>
    <x v="221"/>
    <x v="10"/>
  </r>
  <r>
    <x v="211"/>
    <x v="9"/>
    <x v="589"/>
    <x v="0"/>
    <x v="231"/>
    <x v="8"/>
    <x v="0"/>
    <x v="0"/>
    <x v="221"/>
    <x v="5"/>
  </r>
  <r>
    <x v="211"/>
    <x v="12"/>
    <x v="274"/>
    <x v="0"/>
    <x v="48"/>
    <x v="8"/>
    <x v="1"/>
    <x v="4"/>
    <x v="221"/>
    <x v="5"/>
  </r>
  <r>
    <x v="211"/>
    <x v="38"/>
    <x v="59"/>
    <x v="0"/>
    <x v="77"/>
    <x v="8"/>
    <x v="1"/>
    <x v="4"/>
    <x v="221"/>
    <x v="5"/>
  </r>
  <r>
    <x v="211"/>
    <x v="8"/>
    <x v="816"/>
    <x v="0"/>
    <x v="241"/>
    <x v="8"/>
    <x v="1"/>
    <x v="4"/>
    <x v="221"/>
    <x v="5"/>
  </r>
  <r>
    <x v="211"/>
    <x v="1"/>
    <x v="90"/>
    <x v="1"/>
    <x v="432"/>
    <x v="8"/>
    <x v="0"/>
    <x v="4"/>
    <x v="221"/>
    <x v="4"/>
  </r>
  <r>
    <x v="211"/>
    <x v="23"/>
    <x v="19"/>
    <x v="3"/>
    <x v="283"/>
    <x v="8"/>
    <x v="0"/>
    <x v="4"/>
    <x v="221"/>
    <x v="6"/>
  </r>
  <r>
    <x v="211"/>
    <x v="20"/>
    <x v="53"/>
    <x v="3"/>
    <x v="166"/>
    <x v="8"/>
    <x v="0"/>
    <x v="4"/>
    <x v="221"/>
    <x v="5"/>
  </r>
  <r>
    <x v="211"/>
    <x v="20"/>
    <x v="147"/>
    <x v="1"/>
    <x v="509"/>
    <x v="8"/>
    <x v="0"/>
    <x v="4"/>
    <x v="221"/>
    <x v="5"/>
  </r>
  <r>
    <x v="211"/>
    <x v="20"/>
    <x v="1365"/>
    <x v="0"/>
    <x v="274"/>
    <x v="8"/>
    <x v="1"/>
    <x v="4"/>
    <x v="221"/>
    <x v="5"/>
  </r>
  <r>
    <x v="211"/>
    <x v="27"/>
    <x v="191"/>
    <x v="1"/>
    <x v="411"/>
    <x v="8"/>
    <x v="0"/>
    <x v="4"/>
    <x v="221"/>
    <x v="5"/>
  </r>
  <r>
    <x v="212"/>
    <x v="31"/>
    <x v="495"/>
    <x v="1"/>
    <x v="125"/>
    <x v="8"/>
    <x v="0"/>
    <x v="4"/>
    <x v="221"/>
    <x v="8"/>
  </r>
  <r>
    <x v="212"/>
    <x v="9"/>
    <x v="1578"/>
    <x v="0"/>
    <x v="231"/>
    <x v="8"/>
    <x v="0"/>
    <x v="0"/>
    <x v="221"/>
    <x v="5"/>
  </r>
  <r>
    <x v="212"/>
    <x v="12"/>
    <x v="883"/>
    <x v="0"/>
    <x v="48"/>
    <x v="8"/>
    <x v="0"/>
    <x v="4"/>
    <x v="221"/>
    <x v="5"/>
  </r>
  <r>
    <x v="212"/>
    <x v="1"/>
    <x v="76"/>
    <x v="1"/>
    <x v="432"/>
    <x v="8"/>
    <x v="0"/>
    <x v="4"/>
    <x v="221"/>
    <x v="4"/>
  </r>
  <r>
    <x v="212"/>
    <x v="20"/>
    <x v="49"/>
    <x v="1"/>
    <x v="381"/>
    <x v="8"/>
    <x v="0"/>
    <x v="4"/>
    <x v="221"/>
    <x v="5"/>
  </r>
  <r>
    <x v="212"/>
    <x v="16"/>
    <x v="94"/>
    <x v="1"/>
    <x v="293"/>
    <x v="8"/>
    <x v="0"/>
    <x v="4"/>
    <x v="221"/>
    <x v="6"/>
  </r>
  <r>
    <x v="212"/>
    <x v="3"/>
    <x v="308"/>
    <x v="1"/>
    <x v="507"/>
    <x v="8"/>
    <x v="0"/>
    <x v="4"/>
    <x v="221"/>
    <x v="4"/>
  </r>
  <r>
    <x v="212"/>
    <x v="27"/>
    <x v="919"/>
    <x v="0"/>
    <x v="362"/>
    <x v="8"/>
    <x v="0"/>
    <x v="3"/>
    <x v="221"/>
    <x v="5"/>
  </r>
  <r>
    <x v="212"/>
    <x v="20"/>
    <x v="36"/>
    <x v="1"/>
    <x v="534"/>
    <x v="8"/>
    <x v="0"/>
    <x v="3"/>
    <x v="221"/>
    <x v="5"/>
  </r>
  <r>
    <x v="212"/>
    <x v="11"/>
    <x v="12"/>
    <x v="3"/>
    <x v="170"/>
    <x v="8"/>
    <x v="0"/>
    <x v="1"/>
    <x v="221"/>
    <x v="2"/>
  </r>
  <r>
    <x v="212"/>
    <x v="23"/>
    <x v="12"/>
    <x v="3"/>
    <x v="283"/>
    <x v="8"/>
    <x v="0"/>
    <x v="1"/>
    <x v="221"/>
    <x v="6"/>
  </r>
  <r>
    <x v="212"/>
    <x v="38"/>
    <x v="482"/>
    <x v="3"/>
    <x v="309"/>
    <x v="8"/>
    <x v="0"/>
    <x v="1"/>
    <x v="221"/>
    <x v="5"/>
  </r>
  <r>
    <x v="211"/>
    <x v="32"/>
    <x v="1188"/>
    <x v="3"/>
    <x v="422"/>
    <x v="8"/>
    <x v="2"/>
    <x v="4"/>
    <x v="221"/>
    <x v="10"/>
  </r>
  <r>
    <x v="211"/>
    <x v="32"/>
    <x v="744"/>
    <x v="2"/>
    <x v="422"/>
    <x v="8"/>
    <x v="2"/>
    <x v="4"/>
    <x v="221"/>
    <x v="10"/>
  </r>
  <r>
    <x v="211"/>
    <x v="32"/>
    <x v="699"/>
    <x v="6"/>
    <x v="422"/>
    <x v="8"/>
    <x v="2"/>
    <x v="4"/>
    <x v="221"/>
    <x v="10"/>
  </r>
  <r>
    <x v="211"/>
    <x v="32"/>
    <x v="1866"/>
    <x v="7"/>
    <x v="422"/>
    <x v="8"/>
    <x v="2"/>
    <x v="4"/>
    <x v="221"/>
    <x v="10"/>
  </r>
  <r>
    <x v="211"/>
    <x v="32"/>
    <x v="998"/>
    <x v="5"/>
    <x v="422"/>
    <x v="8"/>
    <x v="2"/>
    <x v="4"/>
    <x v="221"/>
    <x v="10"/>
  </r>
  <r>
    <x v="212"/>
    <x v="32"/>
    <x v="1545"/>
    <x v="3"/>
    <x v="422"/>
    <x v="8"/>
    <x v="2"/>
    <x v="4"/>
    <x v="221"/>
    <x v="10"/>
  </r>
  <r>
    <x v="212"/>
    <x v="32"/>
    <x v="493"/>
    <x v="6"/>
    <x v="422"/>
    <x v="8"/>
    <x v="2"/>
    <x v="4"/>
    <x v="221"/>
    <x v="10"/>
  </r>
  <r>
    <x v="212"/>
    <x v="32"/>
    <x v="1946"/>
    <x v="7"/>
    <x v="422"/>
    <x v="8"/>
    <x v="2"/>
    <x v="4"/>
    <x v="221"/>
    <x v="10"/>
  </r>
  <r>
    <x v="212"/>
    <x v="32"/>
    <x v="740"/>
    <x v="5"/>
    <x v="422"/>
    <x v="8"/>
    <x v="2"/>
    <x v="4"/>
    <x v="221"/>
    <x v="10"/>
  </r>
  <r>
    <x v="212"/>
    <x v="38"/>
    <x v="318"/>
    <x v="3"/>
    <x v="551"/>
    <x v="8"/>
    <x v="2"/>
    <x v="4"/>
    <x v="221"/>
    <x v="5"/>
  </r>
  <r>
    <x v="212"/>
    <x v="38"/>
    <x v="482"/>
    <x v="3"/>
    <x v="564"/>
    <x v="8"/>
    <x v="2"/>
    <x v="4"/>
    <x v="221"/>
    <x v="5"/>
  </r>
  <r>
    <x v="213"/>
    <x v="9"/>
    <x v="1319"/>
    <x v="0"/>
    <x v="231"/>
    <x v="8"/>
    <x v="0"/>
    <x v="0"/>
    <x v="221"/>
    <x v="5"/>
  </r>
  <r>
    <x v="213"/>
    <x v="15"/>
    <x v="144"/>
    <x v="1"/>
    <x v="354"/>
    <x v="8"/>
    <x v="1"/>
    <x v="4"/>
    <x v="221"/>
    <x v="4"/>
  </r>
  <r>
    <x v="213"/>
    <x v="12"/>
    <x v="158"/>
    <x v="0"/>
    <x v="407"/>
    <x v="8"/>
    <x v="1"/>
    <x v="4"/>
    <x v="221"/>
    <x v="5"/>
  </r>
  <r>
    <x v="213"/>
    <x v="11"/>
    <x v="27"/>
    <x v="3"/>
    <x v="170"/>
    <x v="8"/>
    <x v="0"/>
    <x v="4"/>
    <x v="221"/>
    <x v="2"/>
  </r>
  <r>
    <x v="213"/>
    <x v="1"/>
    <x v="76"/>
    <x v="1"/>
    <x v="432"/>
    <x v="8"/>
    <x v="0"/>
    <x v="4"/>
    <x v="221"/>
    <x v="4"/>
  </r>
  <r>
    <x v="213"/>
    <x v="0"/>
    <x v="112"/>
    <x v="3"/>
    <x v="476"/>
    <x v="8"/>
    <x v="0"/>
    <x v="3"/>
    <x v="140"/>
    <x v="9"/>
  </r>
  <r>
    <x v="213"/>
    <x v="26"/>
    <x v="90"/>
    <x v="1"/>
    <x v="338"/>
    <x v="8"/>
    <x v="0"/>
    <x v="4"/>
    <x v="221"/>
    <x v="5"/>
  </r>
  <r>
    <x v="213"/>
    <x v="23"/>
    <x v="19"/>
    <x v="3"/>
    <x v="283"/>
    <x v="8"/>
    <x v="0"/>
    <x v="4"/>
    <x v="221"/>
    <x v="6"/>
  </r>
  <r>
    <x v="213"/>
    <x v="38"/>
    <x v="19"/>
    <x v="3"/>
    <x v="334"/>
    <x v="8"/>
    <x v="0"/>
    <x v="4"/>
    <x v="221"/>
    <x v="5"/>
  </r>
  <r>
    <x v="213"/>
    <x v="38"/>
    <x v="106"/>
    <x v="1"/>
    <x v="309"/>
    <x v="8"/>
    <x v="0"/>
    <x v="4"/>
    <x v="221"/>
    <x v="5"/>
  </r>
  <r>
    <x v="213"/>
    <x v="32"/>
    <x v="1025"/>
    <x v="3"/>
    <x v="422"/>
    <x v="8"/>
    <x v="2"/>
    <x v="4"/>
    <x v="221"/>
    <x v="10"/>
  </r>
  <r>
    <x v="213"/>
    <x v="32"/>
    <x v="911"/>
    <x v="5"/>
    <x v="422"/>
    <x v="8"/>
    <x v="2"/>
    <x v="4"/>
    <x v="221"/>
    <x v="10"/>
  </r>
  <r>
    <x v="213"/>
    <x v="32"/>
    <x v="505"/>
    <x v="8"/>
    <x v="422"/>
    <x v="8"/>
    <x v="2"/>
    <x v="4"/>
    <x v="221"/>
    <x v="10"/>
  </r>
  <r>
    <x v="213"/>
    <x v="32"/>
    <x v="1962"/>
    <x v="7"/>
    <x v="419"/>
    <x v="8"/>
    <x v="2"/>
    <x v="4"/>
    <x v="221"/>
    <x v="10"/>
  </r>
  <r>
    <x v="213"/>
    <x v="32"/>
    <x v="354"/>
    <x v="2"/>
    <x v="422"/>
    <x v="8"/>
    <x v="2"/>
    <x v="4"/>
    <x v="221"/>
    <x v="10"/>
  </r>
  <r>
    <x v="213"/>
    <x v="37"/>
    <x v="19"/>
    <x v="1"/>
    <x v="529"/>
    <x v="8"/>
    <x v="0"/>
    <x v="4"/>
    <x v="221"/>
    <x v="12"/>
  </r>
  <r>
    <x v="213"/>
    <x v="32"/>
    <x v="512"/>
    <x v="6"/>
    <x v="422"/>
    <x v="8"/>
    <x v="2"/>
    <x v="4"/>
    <x v="221"/>
    <x v="10"/>
  </r>
  <r>
    <x v="213"/>
    <x v="0"/>
    <x v="518"/>
    <x v="3"/>
    <x v="254"/>
    <x v="8"/>
    <x v="0"/>
    <x v="3"/>
    <x v="140"/>
    <x v="9"/>
  </r>
  <r>
    <x v="214"/>
    <x v="9"/>
    <x v="1005"/>
    <x v="0"/>
    <x v="231"/>
    <x v="8"/>
    <x v="0"/>
    <x v="0"/>
    <x v="149"/>
    <x v="5"/>
  </r>
  <r>
    <x v="214"/>
    <x v="8"/>
    <x v="475"/>
    <x v="0"/>
    <x v="241"/>
    <x v="8"/>
    <x v="0"/>
    <x v="4"/>
    <x v="221"/>
    <x v="5"/>
  </r>
  <r>
    <x v="214"/>
    <x v="15"/>
    <x v="248"/>
    <x v="0"/>
    <x v="353"/>
    <x v="8"/>
    <x v="0"/>
    <x v="4"/>
    <x v="221"/>
    <x v="4"/>
  </r>
  <r>
    <x v="214"/>
    <x v="27"/>
    <x v="753"/>
    <x v="0"/>
    <x v="10"/>
    <x v="8"/>
    <x v="0"/>
    <x v="4"/>
    <x v="221"/>
    <x v="5"/>
  </r>
  <r>
    <x v="214"/>
    <x v="23"/>
    <x v="12"/>
    <x v="3"/>
    <x v="283"/>
    <x v="8"/>
    <x v="0"/>
    <x v="4"/>
    <x v="221"/>
    <x v="6"/>
  </r>
  <r>
    <x v="214"/>
    <x v="12"/>
    <x v="584"/>
    <x v="0"/>
    <x v="48"/>
    <x v="8"/>
    <x v="1"/>
    <x v="4"/>
    <x v="221"/>
    <x v="5"/>
  </r>
  <r>
    <x v="214"/>
    <x v="20"/>
    <x v="76"/>
    <x v="1"/>
    <x v="1"/>
    <x v="8"/>
    <x v="0"/>
    <x v="4"/>
    <x v="221"/>
    <x v="5"/>
  </r>
  <r>
    <x v="214"/>
    <x v="28"/>
    <x v="134"/>
    <x v="1"/>
    <x v="424"/>
    <x v="8"/>
    <x v="0"/>
    <x v="4"/>
    <x v="221"/>
    <x v="0"/>
  </r>
  <r>
    <x v="214"/>
    <x v="10"/>
    <x v="138"/>
    <x v="1"/>
    <x v="89"/>
    <x v="8"/>
    <x v="0"/>
    <x v="4"/>
    <x v="221"/>
    <x v="6"/>
  </r>
  <r>
    <x v="214"/>
    <x v="32"/>
    <x v="1118"/>
    <x v="3"/>
    <x v="422"/>
    <x v="8"/>
    <x v="2"/>
    <x v="4"/>
    <x v="221"/>
    <x v="10"/>
  </r>
  <r>
    <x v="214"/>
    <x v="32"/>
    <x v="1358"/>
    <x v="6"/>
    <x v="422"/>
    <x v="8"/>
    <x v="2"/>
    <x v="4"/>
    <x v="221"/>
    <x v="10"/>
  </r>
  <r>
    <x v="214"/>
    <x v="32"/>
    <x v="1640"/>
    <x v="7"/>
    <x v="422"/>
    <x v="8"/>
    <x v="2"/>
    <x v="4"/>
    <x v="221"/>
    <x v="10"/>
  </r>
  <r>
    <x v="214"/>
    <x v="32"/>
    <x v="715"/>
    <x v="5"/>
    <x v="422"/>
    <x v="8"/>
    <x v="2"/>
    <x v="4"/>
    <x v="221"/>
    <x v="10"/>
  </r>
  <r>
    <x v="214"/>
    <x v="20"/>
    <x v="53"/>
    <x v="1"/>
    <x v="61"/>
    <x v="8"/>
    <x v="0"/>
    <x v="4"/>
    <x v="221"/>
    <x v="5"/>
  </r>
  <r>
    <x v="215"/>
    <x v="9"/>
    <x v="750"/>
    <x v="0"/>
    <x v="231"/>
    <x v="8"/>
    <x v="0"/>
    <x v="0"/>
    <x v="149"/>
    <x v="5"/>
  </r>
  <r>
    <x v="215"/>
    <x v="12"/>
    <x v="328"/>
    <x v="0"/>
    <x v="48"/>
    <x v="8"/>
    <x v="1"/>
    <x v="4"/>
    <x v="221"/>
    <x v="5"/>
  </r>
  <r>
    <x v="215"/>
    <x v="27"/>
    <x v="739"/>
    <x v="1"/>
    <x v="10"/>
    <x v="8"/>
    <x v="0"/>
    <x v="3"/>
    <x v="141"/>
    <x v="5"/>
  </r>
  <r>
    <x v="215"/>
    <x v="3"/>
    <x v="599"/>
    <x v="1"/>
    <x v="543"/>
    <x v="8"/>
    <x v="0"/>
    <x v="4"/>
    <x v="141"/>
    <x v="4"/>
  </r>
  <r>
    <x v="215"/>
    <x v="24"/>
    <x v="45"/>
    <x v="1"/>
    <x v="102"/>
    <x v="8"/>
    <x v="0"/>
    <x v="4"/>
    <x v="141"/>
    <x v="6"/>
  </r>
  <r>
    <x v="215"/>
    <x v="20"/>
    <x v="1974"/>
    <x v="0"/>
    <x v="61"/>
    <x v="8"/>
    <x v="1"/>
    <x v="4"/>
    <x v="221"/>
    <x v="5"/>
  </r>
  <r>
    <x v="215"/>
    <x v="32"/>
    <x v="567"/>
    <x v="3"/>
    <x v="422"/>
    <x v="8"/>
    <x v="2"/>
    <x v="4"/>
    <x v="221"/>
    <x v="10"/>
  </r>
  <r>
    <x v="215"/>
    <x v="32"/>
    <x v="147"/>
    <x v="6"/>
    <x v="422"/>
    <x v="8"/>
    <x v="2"/>
    <x v="4"/>
    <x v="221"/>
    <x v="10"/>
  </r>
  <r>
    <x v="215"/>
    <x v="32"/>
    <x v="375"/>
    <x v="8"/>
    <x v="422"/>
    <x v="8"/>
    <x v="2"/>
    <x v="4"/>
    <x v="221"/>
    <x v="10"/>
  </r>
  <r>
    <x v="215"/>
    <x v="32"/>
    <x v="1186"/>
    <x v="5"/>
    <x v="590"/>
    <x v="8"/>
    <x v="2"/>
    <x v="4"/>
    <x v="221"/>
    <x v="10"/>
  </r>
  <r>
    <x v="215"/>
    <x v="24"/>
    <x v="83"/>
    <x v="1"/>
    <x v="307"/>
    <x v="8"/>
    <x v="0"/>
    <x v="4"/>
    <x v="221"/>
    <x v="6"/>
  </r>
  <r>
    <x v="215"/>
    <x v="20"/>
    <x v="25"/>
    <x v="3"/>
    <x v="531"/>
    <x v="8"/>
    <x v="0"/>
    <x v="4"/>
    <x v="221"/>
    <x v="5"/>
  </r>
  <r>
    <x v="215"/>
    <x v="32"/>
    <x v="1672"/>
    <x v="7"/>
    <x v="422"/>
    <x v="8"/>
    <x v="2"/>
    <x v="4"/>
    <x v="221"/>
    <x v="10"/>
  </r>
  <r>
    <x v="215"/>
    <x v="14"/>
    <x v="719"/>
    <x v="1"/>
    <x v="182"/>
    <x v="8"/>
    <x v="0"/>
    <x v="4"/>
    <x v="221"/>
    <x v="6"/>
  </r>
  <r>
    <x v="216"/>
    <x v="9"/>
    <x v="1038"/>
    <x v="0"/>
    <x v="231"/>
    <x v="8"/>
    <x v="0"/>
    <x v="0"/>
    <x v="149"/>
    <x v="5"/>
  </r>
  <r>
    <x v="216"/>
    <x v="12"/>
    <x v="430"/>
    <x v="0"/>
    <x v="48"/>
    <x v="8"/>
    <x v="1"/>
    <x v="4"/>
    <x v="221"/>
    <x v="5"/>
  </r>
  <r>
    <x v="216"/>
    <x v="38"/>
    <x v="126"/>
    <x v="0"/>
    <x v="563"/>
    <x v="8"/>
    <x v="1"/>
    <x v="4"/>
    <x v="221"/>
    <x v="5"/>
  </r>
  <r>
    <x v="216"/>
    <x v="20"/>
    <x v="72"/>
    <x v="1"/>
    <x v="380"/>
    <x v="8"/>
    <x v="0"/>
    <x v="4"/>
    <x v="221"/>
    <x v="5"/>
  </r>
  <r>
    <x v="216"/>
    <x v="24"/>
    <x v="638"/>
    <x v="1"/>
    <x v="122"/>
    <x v="8"/>
    <x v="0"/>
    <x v="4"/>
    <x v="221"/>
    <x v="6"/>
  </r>
  <r>
    <x v="216"/>
    <x v="23"/>
    <x v="5"/>
    <x v="3"/>
    <x v="590"/>
    <x v="8"/>
    <x v="0"/>
    <x v="4"/>
    <x v="221"/>
    <x v="6"/>
  </r>
  <r>
    <x v="216"/>
    <x v="38"/>
    <x v="12"/>
    <x v="3"/>
    <x v="283"/>
    <x v="8"/>
    <x v="0"/>
    <x v="4"/>
    <x v="221"/>
    <x v="5"/>
  </r>
  <r>
    <x v="216"/>
    <x v="20"/>
    <x v="27"/>
    <x v="3"/>
    <x v="23"/>
    <x v="8"/>
    <x v="0"/>
    <x v="4"/>
    <x v="221"/>
    <x v="5"/>
  </r>
  <r>
    <x v="216"/>
    <x v="32"/>
    <x v="645"/>
    <x v="3"/>
    <x v="422"/>
    <x v="8"/>
    <x v="2"/>
    <x v="4"/>
    <x v="221"/>
    <x v="10"/>
  </r>
  <r>
    <x v="216"/>
    <x v="32"/>
    <x v="922"/>
    <x v="6"/>
    <x v="422"/>
    <x v="8"/>
    <x v="2"/>
    <x v="4"/>
    <x v="221"/>
    <x v="10"/>
  </r>
  <r>
    <x v="216"/>
    <x v="32"/>
    <x v="1638"/>
    <x v="7"/>
    <x v="422"/>
    <x v="8"/>
    <x v="2"/>
    <x v="4"/>
    <x v="221"/>
    <x v="10"/>
  </r>
  <r>
    <x v="216"/>
    <x v="32"/>
    <x v="901"/>
    <x v="5"/>
    <x v="422"/>
    <x v="8"/>
    <x v="2"/>
    <x v="4"/>
    <x v="221"/>
    <x v="10"/>
  </r>
  <r>
    <x v="216"/>
    <x v="6"/>
    <x v="719"/>
    <x v="1"/>
    <x v="136"/>
    <x v="8"/>
    <x v="0"/>
    <x v="4"/>
    <x v="221"/>
    <x v="7"/>
  </r>
  <r>
    <x v="217"/>
    <x v="9"/>
    <x v="638"/>
    <x v="0"/>
    <x v="231"/>
    <x v="8"/>
    <x v="0"/>
    <x v="0"/>
    <x v="149"/>
    <x v="5"/>
  </r>
  <r>
    <x v="217"/>
    <x v="12"/>
    <x v="392"/>
    <x v="0"/>
    <x v="48"/>
    <x v="8"/>
    <x v="1"/>
    <x v="4"/>
    <x v="221"/>
    <x v="5"/>
  </r>
  <r>
    <x v="217"/>
    <x v="23"/>
    <x v="5"/>
    <x v="0"/>
    <x v="283"/>
    <x v="8"/>
    <x v="0"/>
    <x v="4"/>
    <x v="221"/>
    <x v="6"/>
  </r>
  <r>
    <x v="217"/>
    <x v="24"/>
    <x v="145"/>
    <x v="1"/>
    <x v="307"/>
    <x v="8"/>
    <x v="0"/>
    <x v="4"/>
    <x v="221"/>
    <x v="6"/>
  </r>
  <r>
    <x v="217"/>
    <x v="0"/>
    <x v="518"/>
    <x v="3"/>
    <x v="257"/>
    <x v="8"/>
    <x v="0"/>
    <x v="4"/>
    <x v="221"/>
    <x v="9"/>
  </r>
  <r>
    <x v="194"/>
    <x v="32"/>
    <x v="317"/>
    <x v="6"/>
    <x v="422"/>
    <x v="8"/>
    <x v="2"/>
    <x v="4"/>
    <x v="221"/>
    <x v="10"/>
  </r>
  <r>
    <x v="194"/>
    <x v="32"/>
    <x v="1740"/>
    <x v="7"/>
    <x v="422"/>
    <x v="8"/>
    <x v="2"/>
    <x v="4"/>
    <x v="221"/>
    <x v="10"/>
  </r>
  <r>
    <x v="194"/>
    <x v="32"/>
    <x v="1152"/>
    <x v="3"/>
    <x v="422"/>
    <x v="8"/>
    <x v="2"/>
    <x v="4"/>
    <x v="221"/>
    <x v="10"/>
  </r>
  <r>
    <x v="194"/>
    <x v="32"/>
    <x v="555"/>
    <x v="5"/>
    <x v="422"/>
    <x v="8"/>
    <x v="2"/>
    <x v="4"/>
    <x v="221"/>
    <x v="10"/>
  </r>
  <r>
    <x v="195"/>
    <x v="32"/>
    <x v="1583"/>
    <x v="7"/>
    <x v="422"/>
    <x v="8"/>
    <x v="2"/>
    <x v="4"/>
    <x v="221"/>
    <x v="10"/>
  </r>
  <r>
    <x v="195"/>
    <x v="32"/>
    <x v="180"/>
    <x v="6"/>
    <x v="422"/>
    <x v="8"/>
    <x v="2"/>
    <x v="4"/>
    <x v="221"/>
    <x v="10"/>
  </r>
  <r>
    <x v="195"/>
    <x v="32"/>
    <x v="210"/>
    <x v="2"/>
    <x v="422"/>
    <x v="8"/>
    <x v="2"/>
    <x v="4"/>
    <x v="221"/>
    <x v="10"/>
  </r>
  <r>
    <x v="195"/>
    <x v="32"/>
    <x v="839"/>
    <x v="5"/>
    <x v="422"/>
    <x v="8"/>
    <x v="2"/>
    <x v="4"/>
    <x v="221"/>
    <x v="10"/>
  </r>
  <r>
    <x v="195"/>
    <x v="32"/>
    <x v="823"/>
    <x v="3"/>
    <x v="422"/>
    <x v="8"/>
    <x v="2"/>
    <x v="4"/>
    <x v="221"/>
    <x v="10"/>
  </r>
  <r>
    <x v="196"/>
    <x v="32"/>
    <x v="1799"/>
    <x v="7"/>
    <x v="422"/>
    <x v="8"/>
    <x v="2"/>
    <x v="4"/>
    <x v="221"/>
    <x v="10"/>
  </r>
  <r>
    <x v="196"/>
    <x v="32"/>
    <x v="1375"/>
    <x v="3"/>
    <x v="422"/>
    <x v="8"/>
    <x v="2"/>
    <x v="4"/>
    <x v="221"/>
    <x v="10"/>
  </r>
  <r>
    <x v="196"/>
    <x v="32"/>
    <x v="534"/>
    <x v="6"/>
    <x v="422"/>
    <x v="8"/>
    <x v="2"/>
    <x v="4"/>
    <x v="221"/>
    <x v="10"/>
  </r>
  <r>
    <x v="196"/>
    <x v="32"/>
    <x v="145"/>
    <x v="2"/>
    <x v="422"/>
    <x v="8"/>
    <x v="2"/>
    <x v="4"/>
    <x v="221"/>
    <x v="10"/>
  </r>
  <r>
    <x v="196"/>
    <x v="32"/>
    <x v="1216"/>
    <x v="5"/>
    <x v="422"/>
    <x v="8"/>
    <x v="2"/>
    <x v="4"/>
    <x v="221"/>
    <x v="10"/>
  </r>
  <r>
    <x v="217"/>
    <x v="32"/>
    <x v="982"/>
    <x v="3"/>
    <x v="422"/>
    <x v="8"/>
    <x v="2"/>
    <x v="4"/>
    <x v="221"/>
    <x v="10"/>
  </r>
  <r>
    <x v="217"/>
    <x v="32"/>
    <x v="1527"/>
    <x v="7"/>
    <x v="422"/>
    <x v="8"/>
    <x v="2"/>
    <x v="4"/>
    <x v="221"/>
    <x v="10"/>
  </r>
  <r>
    <x v="217"/>
    <x v="32"/>
    <x v="643"/>
    <x v="5"/>
    <x v="422"/>
    <x v="8"/>
    <x v="2"/>
    <x v="4"/>
    <x v="221"/>
    <x v="10"/>
  </r>
  <r>
    <x v="202"/>
    <x v="32"/>
    <x v="645"/>
    <x v="3"/>
    <x v="422"/>
    <x v="8"/>
    <x v="2"/>
    <x v="4"/>
    <x v="221"/>
    <x v="10"/>
  </r>
  <r>
    <x v="202"/>
    <x v="32"/>
    <x v="1654"/>
    <x v="7"/>
    <x v="422"/>
    <x v="8"/>
    <x v="2"/>
    <x v="4"/>
    <x v="221"/>
    <x v="10"/>
  </r>
  <r>
    <x v="202"/>
    <x v="32"/>
    <x v="143"/>
    <x v="2"/>
    <x v="422"/>
    <x v="8"/>
    <x v="2"/>
    <x v="4"/>
    <x v="221"/>
    <x v="10"/>
  </r>
  <r>
    <x v="202"/>
    <x v="32"/>
    <x v="540"/>
    <x v="5"/>
    <x v="422"/>
    <x v="8"/>
    <x v="2"/>
    <x v="4"/>
    <x v="221"/>
    <x v="10"/>
  </r>
  <r>
    <x v="217"/>
    <x v="37"/>
    <x v="19"/>
    <x v="1"/>
    <x v="529"/>
    <x v="8"/>
    <x v="0"/>
    <x v="3"/>
    <x v="142"/>
    <x v="12"/>
  </r>
  <r>
    <x v="218"/>
    <x v="8"/>
    <x v="816"/>
    <x v="0"/>
    <x v="238"/>
    <x v="8"/>
    <x v="1"/>
    <x v="4"/>
    <x v="142"/>
    <x v="5"/>
  </r>
  <r>
    <x v="211"/>
    <x v="31"/>
    <x v="224"/>
    <x v="0"/>
    <x v="244"/>
    <x v="8"/>
    <x v="0"/>
    <x v="3"/>
    <x v="139"/>
    <x v="8"/>
  </r>
  <r>
    <x v="218"/>
    <x v="12"/>
    <x v="354"/>
    <x v="0"/>
    <x v="48"/>
    <x v="8"/>
    <x v="1"/>
    <x v="4"/>
    <x v="221"/>
    <x v="5"/>
  </r>
  <r>
    <x v="218"/>
    <x v="38"/>
    <x v="152"/>
    <x v="0"/>
    <x v="563"/>
    <x v="8"/>
    <x v="1"/>
    <x v="4"/>
    <x v="221"/>
    <x v="5"/>
  </r>
  <r>
    <x v="218"/>
    <x v="9"/>
    <x v="1055"/>
    <x v="0"/>
    <x v="231"/>
    <x v="8"/>
    <x v="0"/>
    <x v="0"/>
    <x v="149"/>
    <x v="5"/>
  </r>
  <r>
    <x v="218"/>
    <x v="23"/>
    <x v="5"/>
    <x v="3"/>
    <x v="283"/>
    <x v="8"/>
    <x v="0"/>
    <x v="4"/>
    <x v="221"/>
    <x v="6"/>
  </r>
  <r>
    <x v="218"/>
    <x v="13"/>
    <x v="1734"/>
    <x v="0"/>
    <x v="35"/>
    <x v="8"/>
    <x v="1"/>
    <x v="4"/>
    <x v="221"/>
    <x v="5"/>
  </r>
  <r>
    <x v="218"/>
    <x v="24"/>
    <x v="69"/>
    <x v="1"/>
    <x v="247"/>
    <x v="8"/>
    <x v="0"/>
    <x v="4"/>
    <x v="221"/>
    <x v="6"/>
  </r>
  <r>
    <x v="193"/>
    <x v="21"/>
    <x v="719"/>
    <x v="0"/>
    <x v="498"/>
    <x v="8"/>
    <x v="0"/>
    <x v="0"/>
    <x v="124"/>
    <x v="3"/>
  </r>
  <r>
    <x v="217"/>
    <x v="5"/>
    <x v="1685"/>
    <x v="1"/>
    <x v="369"/>
    <x v="8"/>
    <x v="0"/>
    <x v="3"/>
    <x v="221"/>
    <x v="11"/>
  </r>
  <r>
    <x v="218"/>
    <x v="38"/>
    <x v="318"/>
    <x v="1"/>
    <x v="389"/>
    <x v="8"/>
    <x v="0"/>
    <x v="3"/>
    <x v="143"/>
    <x v="5"/>
  </r>
  <r>
    <x v="218"/>
    <x v="32"/>
    <x v="849"/>
    <x v="3"/>
    <x v="422"/>
    <x v="8"/>
    <x v="2"/>
    <x v="4"/>
    <x v="221"/>
    <x v="10"/>
  </r>
  <r>
    <x v="218"/>
    <x v="32"/>
    <x v="458"/>
    <x v="6"/>
    <x v="422"/>
    <x v="8"/>
    <x v="2"/>
    <x v="4"/>
    <x v="221"/>
    <x v="10"/>
  </r>
  <r>
    <x v="218"/>
    <x v="32"/>
    <x v="1797"/>
    <x v="7"/>
    <x v="422"/>
    <x v="8"/>
    <x v="2"/>
    <x v="4"/>
    <x v="221"/>
    <x v="10"/>
  </r>
  <r>
    <x v="218"/>
    <x v="32"/>
    <x v="534"/>
    <x v="8"/>
    <x v="422"/>
    <x v="8"/>
    <x v="2"/>
    <x v="4"/>
    <x v="221"/>
    <x v="10"/>
  </r>
  <r>
    <x v="218"/>
    <x v="32"/>
    <x v="513"/>
    <x v="5"/>
    <x v="422"/>
    <x v="8"/>
    <x v="2"/>
    <x v="4"/>
    <x v="221"/>
    <x v="10"/>
  </r>
  <r>
    <x v="219"/>
    <x v="9"/>
    <x v="1026"/>
    <x v="0"/>
    <x v="231"/>
    <x v="8"/>
    <x v="0"/>
    <x v="4"/>
    <x v="221"/>
    <x v="5"/>
  </r>
  <r>
    <x v="219"/>
    <x v="3"/>
    <x v="586"/>
    <x v="1"/>
    <x v="507"/>
    <x v="8"/>
    <x v="0"/>
    <x v="3"/>
    <x v="144"/>
    <x v="4"/>
  </r>
  <r>
    <x v="219"/>
    <x v="38"/>
    <x v="12"/>
    <x v="3"/>
    <x v="334"/>
    <x v="8"/>
    <x v="0"/>
    <x v="3"/>
    <x v="221"/>
    <x v="5"/>
  </r>
  <r>
    <x v="219"/>
    <x v="38"/>
    <x v="87"/>
    <x v="1"/>
    <x v="553"/>
    <x v="8"/>
    <x v="0"/>
    <x v="3"/>
    <x v="221"/>
    <x v="5"/>
  </r>
  <r>
    <x v="219"/>
    <x v="23"/>
    <x v="12"/>
    <x v="3"/>
    <x v="283"/>
    <x v="8"/>
    <x v="0"/>
    <x v="1"/>
    <x v="221"/>
    <x v="6"/>
  </r>
  <r>
    <x v="219"/>
    <x v="1"/>
    <x v="271"/>
    <x v="1"/>
    <x v="432"/>
    <x v="8"/>
    <x v="0"/>
    <x v="1"/>
    <x v="221"/>
    <x v="4"/>
  </r>
  <r>
    <x v="219"/>
    <x v="28"/>
    <x v="134"/>
    <x v="1"/>
    <x v="425"/>
    <x v="8"/>
    <x v="0"/>
    <x v="3"/>
    <x v="221"/>
    <x v="0"/>
  </r>
  <r>
    <x v="219"/>
    <x v="32"/>
    <x v="705"/>
    <x v="3"/>
    <x v="422"/>
    <x v="8"/>
    <x v="2"/>
    <x v="4"/>
    <x v="221"/>
    <x v="10"/>
  </r>
  <r>
    <x v="219"/>
    <x v="32"/>
    <x v="390"/>
    <x v="2"/>
    <x v="422"/>
    <x v="8"/>
    <x v="2"/>
    <x v="4"/>
    <x v="221"/>
    <x v="10"/>
  </r>
  <r>
    <x v="219"/>
    <x v="32"/>
    <x v="485"/>
    <x v="6"/>
    <x v="422"/>
    <x v="8"/>
    <x v="2"/>
    <x v="4"/>
    <x v="221"/>
    <x v="10"/>
  </r>
  <r>
    <x v="219"/>
    <x v="32"/>
    <x v="1783"/>
    <x v="7"/>
    <x v="422"/>
    <x v="8"/>
    <x v="2"/>
    <x v="4"/>
    <x v="221"/>
    <x v="10"/>
  </r>
  <r>
    <x v="219"/>
    <x v="12"/>
    <x v="462"/>
    <x v="1"/>
    <x v="48"/>
    <x v="8"/>
    <x v="1"/>
    <x v="4"/>
    <x v="221"/>
    <x v="5"/>
  </r>
  <r>
    <x v="219"/>
    <x v="38"/>
    <x v="196"/>
    <x v="1"/>
    <x v="76"/>
    <x v="8"/>
    <x v="1"/>
    <x v="4"/>
    <x v="221"/>
    <x v="5"/>
  </r>
  <r>
    <x v="219"/>
    <x v="24"/>
    <x v="36"/>
    <x v="1"/>
    <x v="103"/>
    <x v="8"/>
    <x v="0"/>
    <x v="4"/>
    <x v="221"/>
    <x v="6"/>
  </r>
  <r>
    <x v="219"/>
    <x v="37"/>
    <x v="19"/>
    <x v="1"/>
    <x v="546"/>
    <x v="8"/>
    <x v="0"/>
    <x v="4"/>
    <x v="221"/>
    <x v="12"/>
  </r>
  <r>
    <x v="220"/>
    <x v="12"/>
    <x v="456"/>
    <x v="0"/>
    <x v="48"/>
    <x v="8"/>
    <x v="1"/>
    <x v="4"/>
    <x v="221"/>
    <x v="5"/>
  </r>
  <r>
    <x v="220"/>
    <x v="23"/>
    <x v="9"/>
    <x v="3"/>
    <x v="283"/>
    <x v="8"/>
    <x v="0"/>
    <x v="4"/>
    <x v="221"/>
    <x v="6"/>
  </r>
  <r>
    <x v="220"/>
    <x v="20"/>
    <x v="45"/>
    <x v="1"/>
    <x v="374"/>
    <x v="8"/>
    <x v="0"/>
    <x v="4"/>
    <x v="221"/>
    <x v="5"/>
  </r>
  <r>
    <x v="220"/>
    <x v="27"/>
    <x v="739"/>
    <x v="1"/>
    <x v="10"/>
    <x v="8"/>
    <x v="0"/>
    <x v="4"/>
    <x v="221"/>
    <x v="5"/>
  </r>
  <r>
    <x v="220"/>
    <x v="12"/>
    <x v="363"/>
    <x v="1"/>
    <x v="514"/>
    <x v="8"/>
    <x v="0"/>
    <x v="4"/>
    <x v="221"/>
    <x v="5"/>
  </r>
  <r>
    <x v="220"/>
    <x v="15"/>
    <x v="265"/>
    <x v="3"/>
    <x v="353"/>
    <x v="8"/>
    <x v="0"/>
    <x v="4"/>
    <x v="145"/>
    <x v="4"/>
  </r>
  <r>
    <x v="220"/>
    <x v="17"/>
    <x v="1899"/>
    <x v="0"/>
    <x v="301"/>
    <x v="8"/>
    <x v="1"/>
    <x v="4"/>
    <x v="221"/>
    <x v="3"/>
  </r>
  <r>
    <x v="220"/>
    <x v="27"/>
    <x v="65"/>
    <x v="1"/>
    <x v="364"/>
    <x v="8"/>
    <x v="0"/>
    <x v="4"/>
    <x v="221"/>
    <x v="5"/>
  </r>
  <r>
    <x v="220"/>
    <x v="1"/>
    <x v="60"/>
    <x v="3"/>
    <x v="432"/>
    <x v="8"/>
    <x v="0"/>
    <x v="4"/>
    <x v="221"/>
    <x v="4"/>
  </r>
  <r>
    <x v="220"/>
    <x v="20"/>
    <x v="5"/>
    <x v="3"/>
    <x v="86"/>
    <x v="8"/>
    <x v="0"/>
    <x v="4"/>
    <x v="221"/>
    <x v="5"/>
  </r>
  <r>
    <x v="220"/>
    <x v="20"/>
    <x v="133"/>
    <x v="0"/>
    <x v="61"/>
    <x v="8"/>
    <x v="0"/>
    <x v="0"/>
    <x v="157"/>
    <x v="5"/>
  </r>
  <r>
    <x v="220"/>
    <x v="12"/>
    <x v="30"/>
    <x v="1"/>
    <x v="331"/>
    <x v="8"/>
    <x v="0"/>
    <x v="4"/>
    <x v="221"/>
    <x v="5"/>
  </r>
  <r>
    <x v="220"/>
    <x v="0"/>
    <x v="518"/>
    <x v="0"/>
    <x v="255"/>
    <x v="8"/>
    <x v="0"/>
    <x v="4"/>
    <x v="145"/>
    <x v="9"/>
  </r>
  <r>
    <x v="220"/>
    <x v="32"/>
    <x v="271"/>
    <x v="3"/>
    <x v="422"/>
    <x v="8"/>
    <x v="2"/>
    <x v="4"/>
    <x v="221"/>
    <x v="10"/>
  </r>
  <r>
    <x v="220"/>
    <x v="32"/>
    <x v="525"/>
    <x v="2"/>
    <x v="422"/>
    <x v="8"/>
    <x v="2"/>
    <x v="4"/>
    <x v="221"/>
    <x v="10"/>
  </r>
  <r>
    <x v="220"/>
    <x v="32"/>
    <x v="479"/>
    <x v="4"/>
    <x v="422"/>
    <x v="8"/>
    <x v="2"/>
    <x v="4"/>
    <x v="221"/>
    <x v="10"/>
  </r>
  <r>
    <x v="220"/>
    <x v="32"/>
    <x v="287"/>
    <x v="6"/>
    <x v="422"/>
    <x v="8"/>
    <x v="2"/>
    <x v="4"/>
    <x v="221"/>
    <x v="10"/>
  </r>
  <r>
    <x v="220"/>
    <x v="32"/>
    <x v="1712"/>
    <x v="7"/>
    <x v="422"/>
    <x v="8"/>
    <x v="2"/>
    <x v="4"/>
    <x v="221"/>
    <x v="10"/>
  </r>
  <r>
    <x v="220"/>
    <x v="32"/>
    <x v="1127"/>
    <x v="5"/>
    <x v="422"/>
    <x v="8"/>
    <x v="2"/>
    <x v="4"/>
    <x v="221"/>
    <x v="10"/>
  </r>
  <r>
    <x v="221"/>
    <x v="8"/>
    <x v="816"/>
    <x v="0"/>
    <x v="238"/>
    <x v="9"/>
    <x v="2"/>
    <x v="4"/>
    <x v="221"/>
    <x v="5"/>
  </r>
  <r>
    <x v="221"/>
    <x v="12"/>
    <x v="433"/>
    <x v="0"/>
    <x v="48"/>
    <x v="9"/>
    <x v="1"/>
    <x v="4"/>
    <x v="221"/>
    <x v="5"/>
  </r>
  <r>
    <x v="221"/>
    <x v="23"/>
    <x v="12"/>
    <x v="3"/>
    <x v="283"/>
    <x v="9"/>
    <x v="0"/>
    <x v="4"/>
    <x v="221"/>
    <x v="6"/>
  </r>
  <r>
    <x v="221"/>
    <x v="37"/>
    <x v="12"/>
    <x v="1"/>
    <x v="546"/>
    <x v="9"/>
    <x v="0"/>
    <x v="4"/>
    <x v="221"/>
    <x v="12"/>
  </r>
  <r>
    <x v="221"/>
    <x v="32"/>
    <x v="988"/>
    <x v="3"/>
    <x v="422"/>
    <x v="9"/>
    <x v="2"/>
    <x v="4"/>
    <x v="221"/>
    <x v="10"/>
  </r>
  <r>
    <x v="221"/>
    <x v="32"/>
    <x v="1765"/>
    <x v="7"/>
    <x v="422"/>
    <x v="9"/>
    <x v="2"/>
    <x v="4"/>
    <x v="221"/>
    <x v="10"/>
  </r>
  <r>
    <x v="221"/>
    <x v="32"/>
    <x v="206"/>
    <x v="5"/>
    <x v="422"/>
    <x v="9"/>
    <x v="2"/>
    <x v="4"/>
    <x v="221"/>
    <x v="10"/>
  </r>
  <r>
    <x v="221"/>
    <x v="38"/>
    <x v="15"/>
    <x v="3"/>
    <x v="334"/>
    <x v="9"/>
    <x v="0"/>
    <x v="4"/>
    <x v="221"/>
    <x v="5"/>
  </r>
  <r>
    <x v="222"/>
    <x v="9"/>
    <x v="1005"/>
    <x v="0"/>
    <x v="231"/>
    <x v="9"/>
    <x v="0"/>
    <x v="4"/>
    <x v="221"/>
    <x v="5"/>
  </r>
  <r>
    <x v="222"/>
    <x v="12"/>
    <x v="213"/>
    <x v="0"/>
    <x v="48"/>
    <x v="9"/>
    <x v="1"/>
    <x v="4"/>
    <x v="221"/>
    <x v="5"/>
  </r>
  <r>
    <x v="222"/>
    <x v="23"/>
    <x v="12"/>
    <x v="3"/>
    <x v="283"/>
    <x v="9"/>
    <x v="0"/>
    <x v="4"/>
    <x v="221"/>
    <x v="6"/>
  </r>
  <r>
    <x v="222"/>
    <x v="3"/>
    <x v="599"/>
    <x v="3"/>
    <x v="544"/>
    <x v="9"/>
    <x v="0"/>
    <x v="3"/>
    <x v="146"/>
    <x v="4"/>
  </r>
  <r>
    <x v="222"/>
    <x v="37"/>
    <x v="19"/>
    <x v="0"/>
    <x v="546"/>
    <x v="9"/>
    <x v="0"/>
    <x v="4"/>
    <x v="221"/>
    <x v="12"/>
  </r>
  <r>
    <x v="222"/>
    <x v="32"/>
    <x v="1247"/>
    <x v="3"/>
    <x v="422"/>
    <x v="9"/>
    <x v="2"/>
    <x v="4"/>
    <x v="221"/>
    <x v="10"/>
  </r>
  <r>
    <x v="222"/>
    <x v="32"/>
    <x v="1657"/>
    <x v="7"/>
    <x v="422"/>
    <x v="9"/>
    <x v="2"/>
    <x v="4"/>
    <x v="221"/>
    <x v="10"/>
  </r>
  <r>
    <x v="222"/>
    <x v="1"/>
    <x v="76"/>
    <x v="1"/>
    <x v="432"/>
    <x v="9"/>
    <x v="0"/>
    <x v="4"/>
    <x v="221"/>
    <x v="4"/>
  </r>
  <r>
    <x v="222"/>
    <x v="32"/>
    <x v="507"/>
    <x v="5"/>
    <x v="422"/>
    <x v="9"/>
    <x v="2"/>
    <x v="4"/>
    <x v="221"/>
    <x v="10"/>
  </r>
  <r>
    <x v="223"/>
    <x v="18"/>
    <x v="719"/>
    <x v="1"/>
    <x v="463"/>
    <x v="9"/>
    <x v="0"/>
    <x v="4"/>
    <x v="147"/>
    <x v="3"/>
  </r>
  <r>
    <x v="223"/>
    <x v="28"/>
    <x v="134"/>
    <x v="1"/>
    <x v="81"/>
    <x v="9"/>
    <x v="0"/>
    <x v="4"/>
    <x v="221"/>
    <x v="0"/>
  </r>
  <r>
    <x v="223"/>
    <x v="27"/>
    <x v="256"/>
    <x v="1"/>
    <x v="411"/>
    <x v="9"/>
    <x v="0"/>
    <x v="4"/>
    <x v="221"/>
    <x v="5"/>
  </r>
  <r>
    <x v="223"/>
    <x v="12"/>
    <x v="746"/>
    <x v="0"/>
    <x v="48"/>
    <x v="9"/>
    <x v="1"/>
    <x v="4"/>
    <x v="221"/>
    <x v="5"/>
  </r>
  <r>
    <x v="223"/>
    <x v="8"/>
    <x v="475"/>
    <x v="0"/>
    <x v="238"/>
    <x v="9"/>
    <x v="1"/>
    <x v="4"/>
    <x v="221"/>
    <x v="5"/>
  </r>
  <r>
    <x v="223"/>
    <x v="23"/>
    <x v="12"/>
    <x v="3"/>
    <x v="283"/>
    <x v="9"/>
    <x v="0"/>
    <x v="4"/>
    <x v="221"/>
    <x v="6"/>
  </r>
  <r>
    <x v="223"/>
    <x v="9"/>
    <x v="358"/>
    <x v="0"/>
    <x v="231"/>
    <x v="9"/>
    <x v="0"/>
    <x v="4"/>
    <x v="221"/>
    <x v="5"/>
  </r>
  <r>
    <x v="223"/>
    <x v="31"/>
    <x v="127"/>
    <x v="1"/>
    <x v="227"/>
    <x v="9"/>
    <x v="0"/>
    <x v="4"/>
    <x v="221"/>
    <x v="8"/>
  </r>
  <r>
    <x v="223"/>
    <x v="28"/>
    <x v="134"/>
    <x v="1"/>
    <x v="424"/>
    <x v="9"/>
    <x v="0"/>
    <x v="4"/>
    <x v="221"/>
    <x v="0"/>
  </r>
  <r>
    <x v="223"/>
    <x v="31"/>
    <x v="22"/>
    <x v="1"/>
    <x v="412"/>
    <x v="9"/>
    <x v="0"/>
    <x v="4"/>
    <x v="221"/>
    <x v="8"/>
  </r>
  <r>
    <x v="223"/>
    <x v="32"/>
    <x v="475"/>
    <x v="3"/>
    <x v="422"/>
    <x v="9"/>
    <x v="2"/>
    <x v="4"/>
    <x v="221"/>
    <x v="10"/>
  </r>
  <r>
    <x v="223"/>
    <x v="32"/>
    <x v="242"/>
    <x v="6"/>
    <x v="422"/>
    <x v="9"/>
    <x v="2"/>
    <x v="4"/>
    <x v="221"/>
    <x v="10"/>
  </r>
  <r>
    <x v="223"/>
    <x v="32"/>
    <x v="1831"/>
    <x v="7"/>
    <x v="422"/>
    <x v="9"/>
    <x v="2"/>
    <x v="4"/>
    <x v="221"/>
    <x v="10"/>
  </r>
  <r>
    <x v="223"/>
    <x v="17"/>
    <x v="12"/>
    <x v="1"/>
    <x v="293"/>
    <x v="9"/>
    <x v="0"/>
    <x v="4"/>
    <x v="221"/>
    <x v="3"/>
  </r>
  <r>
    <x v="223"/>
    <x v="37"/>
    <x v="19"/>
    <x v="1"/>
    <x v="546"/>
    <x v="9"/>
    <x v="0"/>
    <x v="4"/>
    <x v="221"/>
    <x v="12"/>
  </r>
  <r>
    <x v="223"/>
    <x v="32"/>
    <x v="749"/>
    <x v="8"/>
    <x v="422"/>
    <x v="9"/>
    <x v="2"/>
    <x v="4"/>
    <x v="221"/>
    <x v="10"/>
  </r>
  <r>
    <x v="223"/>
    <x v="32"/>
    <x v="98"/>
    <x v="5"/>
    <x v="422"/>
    <x v="9"/>
    <x v="2"/>
    <x v="4"/>
    <x v="221"/>
    <x v="10"/>
  </r>
  <r>
    <x v="223"/>
    <x v="38"/>
    <x v="87"/>
    <x v="1"/>
    <x v="553"/>
    <x v="9"/>
    <x v="0"/>
    <x v="4"/>
    <x v="221"/>
    <x v="5"/>
  </r>
  <r>
    <x v="224"/>
    <x v="20"/>
    <x v="1639"/>
    <x v="0"/>
    <x v="231"/>
    <x v="9"/>
    <x v="1"/>
    <x v="4"/>
    <x v="221"/>
    <x v="5"/>
  </r>
  <r>
    <x v="224"/>
    <x v="20"/>
    <x v="28"/>
    <x v="3"/>
    <x v="380"/>
    <x v="9"/>
    <x v="0"/>
    <x v="4"/>
    <x v="221"/>
    <x v="5"/>
  </r>
  <r>
    <x v="224"/>
    <x v="27"/>
    <x v="739"/>
    <x v="1"/>
    <x v="10"/>
    <x v="9"/>
    <x v="0"/>
    <x v="4"/>
    <x v="221"/>
    <x v="5"/>
  </r>
  <r>
    <x v="224"/>
    <x v="1"/>
    <x v="76"/>
    <x v="3"/>
    <x v="432"/>
    <x v="9"/>
    <x v="0"/>
    <x v="4"/>
    <x v="221"/>
    <x v="4"/>
  </r>
  <r>
    <x v="224"/>
    <x v="31"/>
    <x v="12"/>
    <x v="1"/>
    <x v="382"/>
    <x v="9"/>
    <x v="0"/>
    <x v="4"/>
    <x v="221"/>
    <x v="8"/>
  </r>
  <r>
    <x v="224"/>
    <x v="0"/>
    <x v="1353"/>
    <x v="0"/>
    <x v="258"/>
    <x v="9"/>
    <x v="0"/>
    <x v="4"/>
    <x v="221"/>
    <x v="9"/>
  </r>
  <r>
    <x v="224"/>
    <x v="38"/>
    <x v="256"/>
    <x v="1"/>
    <x v="389"/>
    <x v="9"/>
    <x v="0"/>
    <x v="4"/>
    <x v="221"/>
    <x v="5"/>
  </r>
  <r>
    <x v="224"/>
    <x v="32"/>
    <x v="1192"/>
    <x v="3"/>
    <x v="422"/>
    <x v="9"/>
    <x v="2"/>
    <x v="4"/>
    <x v="221"/>
    <x v="10"/>
  </r>
  <r>
    <x v="224"/>
    <x v="32"/>
    <x v="1604"/>
    <x v="7"/>
    <x v="422"/>
    <x v="9"/>
    <x v="2"/>
    <x v="4"/>
    <x v="221"/>
    <x v="10"/>
  </r>
  <r>
    <x v="224"/>
    <x v="32"/>
    <x v="1668"/>
    <x v="5"/>
    <x v="422"/>
    <x v="9"/>
    <x v="2"/>
    <x v="4"/>
    <x v="221"/>
    <x v="10"/>
  </r>
  <r>
    <x v="224"/>
    <x v="38"/>
    <x v="15"/>
    <x v="3"/>
    <x v="334"/>
    <x v="9"/>
    <x v="0"/>
    <x v="4"/>
    <x v="221"/>
    <x v="5"/>
  </r>
  <r>
    <x v="224"/>
    <x v="37"/>
    <x v="19"/>
    <x v="1"/>
    <x v="546"/>
    <x v="9"/>
    <x v="0"/>
    <x v="4"/>
    <x v="221"/>
    <x v="12"/>
  </r>
  <r>
    <x v="225"/>
    <x v="0"/>
    <x v="1146"/>
    <x v="1"/>
    <x v="258"/>
    <x v="9"/>
    <x v="0"/>
    <x v="1"/>
    <x v="148"/>
    <x v="9"/>
  </r>
  <r>
    <x v="225"/>
    <x v="15"/>
    <x v="164"/>
    <x v="0"/>
    <x v="191"/>
    <x v="9"/>
    <x v="0"/>
    <x v="4"/>
    <x v="221"/>
    <x v="4"/>
  </r>
  <r>
    <x v="225"/>
    <x v="1"/>
    <x v="60"/>
    <x v="1"/>
    <x v="432"/>
    <x v="9"/>
    <x v="0"/>
    <x v="4"/>
    <x v="221"/>
    <x v="4"/>
  </r>
  <r>
    <x v="225"/>
    <x v="31"/>
    <x v="58"/>
    <x v="1"/>
    <x v="269"/>
    <x v="9"/>
    <x v="0"/>
    <x v="4"/>
    <x v="221"/>
    <x v="8"/>
  </r>
  <r>
    <x v="225"/>
    <x v="21"/>
    <x v="343"/>
    <x v="0"/>
    <x v="498"/>
    <x v="9"/>
    <x v="0"/>
    <x v="4"/>
    <x v="148"/>
    <x v="3"/>
  </r>
  <r>
    <x v="225"/>
    <x v="21"/>
    <x v="1239"/>
    <x v="0"/>
    <x v="196"/>
    <x v="9"/>
    <x v="0"/>
    <x v="4"/>
    <x v="148"/>
    <x v="3"/>
  </r>
  <r>
    <x v="225"/>
    <x v="12"/>
    <x v="79"/>
    <x v="0"/>
    <x v="48"/>
    <x v="9"/>
    <x v="1"/>
    <x v="4"/>
    <x v="221"/>
    <x v="5"/>
  </r>
  <r>
    <x v="195"/>
    <x v="19"/>
    <x v="767"/>
    <x v="0"/>
    <x v="474"/>
    <x v="8"/>
    <x v="0"/>
    <x v="0"/>
    <x v="132"/>
    <x v="3"/>
  </r>
  <r>
    <x v="198"/>
    <x v="19"/>
    <x v="1217"/>
    <x v="0"/>
    <x v="474"/>
    <x v="8"/>
    <x v="0"/>
    <x v="0"/>
    <x v="132"/>
    <x v="3"/>
  </r>
  <r>
    <x v="200"/>
    <x v="19"/>
    <x v="767"/>
    <x v="0"/>
    <x v="474"/>
    <x v="8"/>
    <x v="0"/>
    <x v="0"/>
    <x v="132"/>
    <x v="3"/>
  </r>
  <r>
    <x v="205"/>
    <x v="19"/>
    <x v="767"/>
    <x v="0"/>
    <x v="474"/>
    <x v="8"/>
    <x v="0"/>
    <x v="0"/>
    <x v="132"/>
    <x v="3"/>
  </r>
  <r>
    <x v="208"/>
    <x v="19"/>
    <x v="767"/>
    <x v="0"/>
    <x v="474"/>
    <x v="8"/>
    <x v="0"/>
    <x v="0"/>
    <x v="148"/>
    <x v="3"/>
  </r>
  <r>
    <x v="210"/>
    <x v="19"/>
    <x v="767"/>
    <x v="0"/>
    <x v="474"/>
    <x v="8"/>
    <x v="0"/>
    <x v="0"/>
    <x v="148"/>
    <x v="3"/>
  </r>
  <r>
    <x v="212"/>
    <x v="19"/>
    <x v="767"/>
    <x v="0"/>
    <x v="474"/>
    <x v="8"/>
    <x v="0"/>
    <x v="0"/>
    <x v="148"/>
    <x v="3"/>
  </r>
  <r>
    <x v="213"/>
    <x v="19"/>
    <x v="767"/>
    <x v="0"/>
    <x v="474"/>
    <x v="8"/>
    <x v="0"/>
    <x v="0"/>
    <x v="148"/>
    <x v="3"/>
  </r>
  <r>
    <x v="215"/>
    <x v="19"/>
    <x v="767"/>
    <x v="0"/>
    <x v="474"/>
    <x v="8"/>
    <x v="0"/>
    <x v="0"/>
    <x v="148"/>
    <x v="3"/>
  </r>
  <r>
    <x v="216"/>
    <x v="19"/>
    <x v="767"/>
    <x v="0"/>
    <x v="474"/>
    <x v="8"/>
    <x v="0"/>
    <x v="0"/>
    <x v="148"/>
    <x v="3"/>
  </r>
  <r>
    <x v="217"/>
    <x v="19"/>
    <x v="1217"/>
    <x v="0"/>
    <x v="474"/>
    <x v="8"/>
    <x v="0"/>
    <x v="0"/>
    <x v="148"/>
    <x v="3"/>
  </r>
  <r>
    <x v="220"/>
    <x v="19"/>
    <x v="767"/>
    <x v="0"/>
    <x v="474"/>
    <x v="8"/>
    <x v="0"/>
    <x v="0"/>
    <x v="148"/>
    <x v="3"/>
  </r>
  <r>
    <x v="194"/>
    <x v="9"/>
    <x v="191"/>
    <x v="0"/>
    <x v="231"/>
    <x v="8"/>
    <x v="0"/>
    <x v="4"/>
    <x v="221"/>
    <x v="5"/>
  </r>
  <r>
    <x v="195"/>
    <x v="9"/>
    <x v="1328"/>
    <x v="0"/>
    <x v="231"/>
    <x v="8"/>
    <x v="0"/>
    <x v="4"/>
    <x v="221"/>
    <x v="5"/>
  </r>
  <r>
    <x v="196"/>
    <x v="9"/>
    <x v="513"/>
    <x v="0"/>
    <x v="231"/>
    <x v="8"/>
    <x v="0"/>
    <x v="4"/>
    <x v="221"/>
    <x v="5"/>
  </r>
  <r>
    <x v="205"/>
    <x v="38"/>
    <x v="468"/>
    <x v="0"/>
    <x v="275"/>
    <x v="8"/>
    <x v="0"/>
    <x v="3"/>
    <x v="146"/>
    <x v="5"/>
  </r>
  <r>
    <x v="225"/>
    <x v="0"/>
    <x v="256"/>
    <x v="0"/>
    <x v="257"/>
    <x v="9"/>
    <x v="0"/>
    <x v="3"/>
    <x v="146"/>
    <x v="9"/>
  </r>
  <r>
    <x v="225"/>
    <x v="20"/>
    <x v="60"/>
    <x v="3"/>
    <x v="416"/>
    <x v="9"/>
    <x v="0"/>
    <x v="1"/>
    <x v="146"/>
    <x v="5"/>
  </r>
  <r>
    <x v="225"/>
    <x v="24"/>
    <x v="518"/>
    <x v="0"/>
    <x v="187"/>
    <x v="9"/>
    <x v="0"/>
    <x v="3"/>
    <x v="148"/>
    <x v="6"/>
  </r>
  <r>
    <x v="225"/>
    <x v="20"/>
    <x v="33"/>
    <x v="3"/>
    <x v="107"/>
    <x v="9"/>
    <x v="0"/>
    <x v="3"/>
    <x v="221"/>
    <x v="5"/>
  </r>
  <r>
    <x v="225"/>
    <x v="32"/>
    <x v="852"/>
    <x v="3"/>
    <x v="422"/>
    <x v="9"/>
    <x v="2"/>
    <x v="4"/>
    <x v="221"/>
    <x v="10"/>
  </r>
  <r>
    <x v="225"/>
    <x v="32"/>
    <x v="154"/>
    <x v="2"/>
    <x v="422"/>
    <x v="9"/>
    <x v="2"/>
    <x v="4"/>
    <x v="221"/>
    <x v="10"/>
  </r>
  <r>
    <x v="225"/>
    <x v="32"/>
    <x v="36"/>
    <x v="6"/>
    <x v="422"/>
    <x v="9"/>
    <x v="2"/>
    <x v="4"/>
    <x v="221"/>
    <x v="10"/>
  </r>
  <r>
    <x v="225"/>
    <x v="32"/>
    <x v="1807"/>
    <x v="7"/>
    <x v="422"/>
    <x v="9"/>
    <x v="2"/>
    <x v="4"/>
    <x v="221"/>
    <x v="10"/>
  </r>
  <r>
    <x v="225"/>
    <x v="23"/>
    <x v="5"/>
    <x v="3"/>
    <x v="283"/>
    <x v="9"/>
    <x v="0"/>
    <x v="4"/>
    <x v="221"/>
    <x v="6"/>
  </r>
  <r>
    <x v="225"/>
    <x v="32"/>
    <x v="193"/>
    <x v="5"/>
    <x v="422"/>
    <x v="9"/>
    <x v="2"/>
    <x v="4"/>
    <x v="221"/>
    <x v="10"/>
  </r>
  <r>
    <x v="225"/>
    <x v="37"/>
    <x v="19"/>
    <x v="1"/>
    <x v="546"/>
    <x v="9"/>
    <x v="0"/>
    <x v="4"/>
    <x v="221"/>
    <x v="12"/>
  </r>
  <r>
    <x v="226"/>
    <x v="12"/>
    <x v="580"/>
    <x v="0"/>
    <x v="48"/>
    <x v="9"/>
    <x v="1"/>
    <x v="4"/>
    <x v="221"/>
    <x v="5"/>
  </r>
  <r>
    <x v="226"/>
    <x v="9"/>
    <x v="860"/>
    <x v="0"/>
    <x v="231"/>
    <x v="9"/>
    <x v="0"/>
    <x v="4"/>
    <x v="221"/>
    <x v="5"/>
  </r>
  <r>
    <x v="226"/>
    <x v="20"/>
    <x v="72"/>
    <x v="0"/>
    <x v="380"/>
    <x v="9"/>
    <x v="0"/>
    <x v="4"/>
    <x v="221"/>
    <x v="5"/>
  </r>
  <r>
    <x v="226"/>
    <x v="23"/>
    <x v="12"/>
    <x v="3"/>
    <x v="283"/>
    <x v="9"/>
    <x v="0"/>
    <x v="4"/>
    <x v="221"/>
    <x v="6"/>
  </r>
  <r>
    <x v="226"/>
    <x v="25"/>
    <x v="27"/>
    <x v="1"/>
    <x v="322"/>
    <x v="9"/>
    <x v="0"/>
    <x v="4"/>
    <x v="221"/>
    <x v="12"/>
  </r>
  <r>
    <x v="226"/>
    <x v="17"/>
    <x v="12"/>
    <x v="3"/>
    <x v="293"/>
    <x v="9"/>
    <x v="0"/>
    <x v="4"/>
    <x v="221"/>
    <x v="3"/>
  </r>
  <r>
    <x v="226"/>
    <x v="24"/>
    <x v="618"/>
    <x v="1"/>
    <x v="13"/>
    <x v="9"/>
    <x v="0"/>
    <x v="4"/>
    <x v="221"/>
    <x v="6"/>
  </r>
  <r>
    <x v="226"/>
    <x v="20"/>
    <x v="988"/>
    <x v="0"/>
    <x v="61"/>
    <x v="9"/>
    <x v="0"/>
    <x v="0"/>
    <x v="157"/>
    <x v="5"/>
  </r>
  <r>
    <x v="226"/>
    <x v="24"/>
    <x v="77"/>
    <x v="1"/>
    <x v="336"/>
    <x v="9"/>
    <x v="0"/>
    <x v="1"/>
    <x v="149"/>
    <x v="6"/>
  </r>
  <r>
    <x v="226"/>
    <x v="0"/>
    <x v="256"/>
    <x v="3"/>
    <x v="472"/>
    <x v="9"/>
    <x v="0"/>
    <x v="1"/>
    <x v="149"/>
    <x v="9"/>
  </r>
  <r>
    <x v="226"/>
    <x v="32"/>
    <x v="1237"/>
    <x v="3"/>
    <x v="422"/>
    <x v="9"/>
    <x v="2"/>
    <x v="4"/>
    <x v="221"/>
    <x v="10"/>
  </r>
  <r>
    <x v="226"/>
    <x v="32"/>
    <x v="363"/>
    <x v="2"/>
    <x v="422"/>
    <x v="9"/>
    <x v="2"/>
    <x v="4"/>
    <x v="221"/>
    <x v="10"/>
  </r>
  <r>
    <x v="226"/>
    <x v="32"/>
    <x v="1131"/>
    <x v="6"/>
    <x v="422"/>
    <x v="9"/>
    <x v="2"/>
    <x v="4"/>
    <x v="221"/>
    <x v="10"/>
  </r>
  <r>
    <x v="225"/>
    <x v="12"/>
    <x v="79"/>
    <x v="0"/>
    <x v="48"/>
    <x v="9"/>
    <x v="1"/>
    <x v="4"/>
    <x v="221"/>
    <x v="5"/>
  </r>
  <r>
    <x v="226"/>
    <x v="0"/>
    <x v="321"/>
    <x v="3"/>
    <x v="370"/>
    <x v="9"/>
    <x v="0"/>
    <x v="4"/>
    <x v="221"/>
    <x v="9"/>
  </r>
  <r>
    <x v="226"/>
    <x v="11"/>
    <x v="242"/>
    <x v="3"/>
    <x v="168"/>
    <x v="9"/>
    <x v="0"/>
    <x v="4"/>
    <x v="221"/>
    <x v="2"/>
  </r>
  <r>
    <x v="226"/>
    <x v="32"/>
    <x v="1936"/>
    <x v="7"/>
    <x v="422"/>
    <x v="9"/>
    <x v="2"/>
    <x v="4"/>
    <x v="221"/>
    <x v="10"/>
  </r>
  <r>
    <x v="226"/>
    <x v="32"/>
    <x v="1360"/>
    <x v="5"/>
    <x v="422"/>
    <x v="9"/>
    <x v="2"/>
    <x v="4"/>
    <x v="221"/>
    <x v="10"/>
  </r>
  <r>
    <x v="227"/>
    <x v="12"/>
    <x v="408"/>
    <x v="0"/>
    <x v="48"/>
    <x v="9"/>
    <x v="1"/>
    <x v="4"/>
    <x v="221"/>
    <x v="5"/>
  </r>
  <r>
    <x v="227"/>
    <x v="24"/>
    <x v="191"/>
    <x v="1"/>
    <x v="219"/>
    <x v="9"/>
    <x v="0"/>
    <x v="4"/>
    <x v="221"/>
    <x v="6"/>
  </r>
  <r>
    <x v="227"/>
    <x v="28"/>
    <x v="134"/>
    <x v="1"/>
    <x v="424"/>
    <x v="9"/>
    <x v="0"/>
    <x v="4"/>
    <x v="221"/>
    <x v="0"/>
  </r>
  <r>
    <x v="227"/>
    <x v="9"/>
    <x v="1081"/>
    <x v="0"/>
    <x v="231"/>
    <x v="9"/>
    <x v="0"/>
    <x v="4"/>
    <x v="221"/>
    <x v="5"/>
  </r>
  <r>
    <x v="227"/>
    <x v="12"/>
    <x v="147"/>
    <x v="1"/>
    <x v="129"/>
    <x v="9"/>
    <x v="0"/>
    <x v="4"/>
    <x v="221"/>
    <x v="5"/>
  </r>
  <r>
    <x v="227"/>
    <x v="1"/>
    <x v="76"/>
    <x v="3"/>
    <x v="432"/>
    <x v="9"/>
    <x v="0"/>
    <x v="4"/>
    <x v="221"/>
    <x v="4"/>
  </r>
  <r>
    <x v="227"/>
    <x v="17"/>
    <x v="90"/>
    <x v="1"/>
    <x v="126"/>
    <x v="9"/>
    <x v="0"/>
    <x v="4"/>
    <x v="221"/>
    <x v="3"/>
  </r>
  <r>
    <x v="227"/>
    <x v="17"/>
    <x v="9"/>
    <x v="1"/>
    <x v="293"/>
    <x v="9"/>
    <x v="0"/>
    <x v="4"/>
    <x v="221"/>
    <x v="3"/>
  </r>
  <r>
    <x v="227"/>
    <x v="23"/>
    <x v="9"/>
    <x v="3"/>
    <x v="283"/>
    <x v="9"/>
    <x v="0"/>
    <x v="4"/>
    <x v="221"/>
    <x v="6"/>
  </r>
  <r>
    <x v="227"/>
    <x v="0"/>
    <x v="256"/>
    <x v="1"/>
    <x v="255"/>
    <x v="9"/>
    <x v="0"/>
    <x v="4"/>
    <x v="221"/>
    <x v="9"/>
  </r>
  <r>
    <x v="227"/>
    <x v="32"/>
    <x v="1045"/>
    <x v="3"/>
    <x v="422"/>
    <x v="9"/>
    <x v="2"/>
    <x v="4"/>
    <x v="221"/>
    <x v="10"/>
  </r>
  <r>
    <x v="227"/>
    <x v="32"/>
    <x v="510"/>
    <x v="2"/>
    <x v="422"/>
    <x v="9"/>
    <x v="2"/>
    <x v="4"/>
    <x v="221"/>
    <x v="10"/>
  </r>
  <r>
    <x v="227"/>
    <x v="32"/>
    <x v="1764"/>
    <x v="7"/>
    <x v="422"/>
    <x v="9"/>
    <x v="2"/>
    <x v="4"/>
    <x v="221"/>
    <x v="10"/>
  </r>
  <r>
    <x v="227"/>
    <x v="32"/>
    <x v="283"/>
    <x v="8"/>
    <x v="422"/>
    <x v="9"/>
    <x v="2"/>
    <x v="4"/>
    <x v="221"/>
    <x v="10"/>
  </r>
  <r>
    <x v="227"/>
    <x v="32"/>
    <x v="983"/>
    <x v="5"/>
    <x v="422"/>
    <x v="9"/>
    <x v="2"/>
    <x v="4"/>
    <x v="221"/>
    <x v="10"/>
  </r>
  <r>
    <x v="227"/>
    <x v="37"/>
    <x v="19"/>
    <x v="1"/>
    <x v="546"/>
    <x v="9"/>
    <x v="0"/>
    <x v="4"/>
    <x v="221"/>
    <x v="12"/>
  </r>
  <r>
    <x v="227"/>
    <x v="0"/>
    <x v="256"/>
    <x v="1"/>
    <x v="572"/>
    <x v="9"/>
    <x v="0"/>
    <x v="4"/>
    <x v="221"/>
    <x v="9"/>
  </r>
  <r>
    <x v="228"/>
    <x v="12"/>
    <x v="397"/>
    <x v="0"/>
    <x v="48"/>
    <x v="9"/>
    <x v="1"/>
    <x v="4"/>
    <x v="221"/>
    <x v="5"/>
  </r>
  <r>
    <x v="228"/>
    <x v="8"/>
    <x v="816"/>
    <x v="0"/>
    <x v="238"/>
    <x v="9"/>
    <x v="1"/>
    <x v="4"/>
    <x v="221"/>
    <x v="5"/>
  </r>
  <r>
    <x v="228"/>
    <x v="9"/>
    <x v="1047"/>
    <x v="0"/>
    <x v="231"/>
    <x v="9"/>
    <x v="0"/>
    <x v="4"/>
    <x v="221"/>
    <x v="5"/>
  </r>
  <r>
    <x v="228"/>
    <x v="20"/>
    <x v="1020"/>
    <x v="0"/>
    <x v="61"/>
    <x v="9"/>
    <x v="0"/>
    <x v="0"/>
    <x v="157"/>
    <x v="5"/>
  </r>
  <r>
    <x v="228"/>
    <x v="23"/>
    <x v="9"/>
    <x v="3"/>
    <x v="283"/>
    <x v="9"/>
    <x v="0"/>
    <x v="4"/>
    <x v="221"/>
    <x v="6"/>
  </r>
  <r>
    <x v="228"/>
    <x v="27"/>
    <x v="1170"/>
    <x v="0"/>
    <x v="360"/>
    <x v="9"/>
    <x v="0"/>
    <x v="3"/>
    <x v="151"/>
    <x v="5"/>
  </r>
  <r>
    <x v="228"/>
    <x v="40"/>
    <x v="518"/>
    <x v="1"/>
    <x v="581"/>
    <x v="9"/>
    <x v="0"/>
    <x v="4"/>
    <x v="221"/>
    <x v="7"/>
  </r>
  <r>
    <x v="228"/>
    <x v="3"/>
    <x v="599"/>
    <x v="1"/>
    <x v="582"/>
    <x v="9"/>
    <x v="0"/>
    <x v="1"/>
    <x v="151"/>
    <x v="4"/>
  </r>
  <r>
    <x v="228"/>
    <x v="13"/>
    <x v="420"/>
    <x v="1"/>
    <x v="245"/>
    <x v="9"/>
    <x v="0"/>
    <x v="1"/>
    <x v="221"/>
    <x v="5"/>
  </r>
  <r>
    <x v="228"/>
    <x v="38"/>
    <x v="87"/>
    <x v="3"/>
    <x v="553"/>
    <x v="9"/>
    <x v="0"/>
    <x v="3"/>
    <x v="221"/>
    <x v="5"/>
  </r>
  <r>
    <x v="228"/>
    <x v="32"/>
    <x v="195"/>
    <x v="3"/>
    <x v="422"/>
    <x v="9"/>
    <x v="2"/>
    <x v="4"/>
    <x v="221"/>
    <x v="10"/>
  </r>
  <r>
    <x v="228"/>
    <x v="32"/>
    <x v="305"/>
    <x v="4"/>
    <x v="422"/>
    <x v="9"/>
    <x v="2"/>
    <x v="4"/>
    <x v="221"/>
    <x v="10"/>
  </r>
  <r>
    <x v="228"/>
    <x v="32"/>
    <x v="515"/>
    <x v="6"/>
    <x v="422"/>
    <x v="9"/>
    <x v="2"/>
    <x v="4"/>
    <x v="221"/>
    <x v="10"/>
  </r>
  <r>
    <x v="228"/>
    <x v="32"/>
    <x v="1664"/>
    <x v="7"/>
    <x v="422"/>
    <x v="9"/>
    <x v="2"/>
    <x v="4"/>
    <x v="221"/>
    <x v="10"/>
  </r>
  <r>
    <x v="228"/>
    <x v="32"/>
    <x v="963"/>
    <x v="5"/>
    <x v="422"/>
    <x v="9"/>
    <x v="2"/>
    <x v="4"/>
    <x v="221"/>
    <x v="10"/>
  </r>
  <r>
    <x v="229"/>
    <x v="15"/>
    <x v="272"/>
    <x v="0"/>
    <x v="353"/>
    <x v="9"/>
    <x v="0"/>
    <x v="4"/>
    <x v="221"/>
    <x v="4"/>
  </r>
  <r>
    <x v="229"/>
    <x v="24"/>
    <x v="158"/>
    <x v="3"/>
    <x v="72"/>
    <x v="9"/>
    <x v="0"/>
    <x v="4"/>
    <x v="221"/>
    <x v="6"/>
  </r>
  <r>
    <x v="229"/>
    <x v="9"/>
    <x v="631"/>
    <x v="0"/>
    <x v="231"/>
    <x v="9"/>
    <x v="0"/>
    <x v="4"/>
    <x v="221"/>
    <x v="5"/>
  </r>
  <r>
    <x v="229"/>
    <x v="38"/>
    <x v="22"/>
    <x v="3"/>
    <x v="334"/>
    <x v="9"/>
    <x v="0"/>
    <x v="3"/>
    <x v="152"/>
    <x v="5"/>
  </r>
  <r>
    <x v="229"/>
    <x v="23"/>
    <x v="5"/>
    <x v="3"/>
    <x v="283"/>
    <x v="9"/>
    <x v="0"/>
    <x v="3"/>
    <x v="152"/>
    <x v="6"/>
  </r>
  <r>
    <x v="229"/>
    <x v="1"/>
    <x v="273"/>
    <x v="3"/>
    <x v="432"/>
    <x v="9"/>
    <x v="0"/>
    <x v="3"/>
    <x v="152"/>
    <x v="4"/>
  </r>
  <r>
    <x v="227"/>
    <x v="0"/>
    <x v="1420"/>
    <x v="0"/>
    <x v="472"/>
    <x v="9"/>
    <x v="0"/>
    <x v="0"/>
    <x v="150"/>
    <x v="9"/>
  </r>
  <r>
    <x v="229"/>
    <x v="31"/>
    <x v="1543"/>
    <x v="0"/>
    <x v="308"/>
    <x v="9"/>
    <x v="0"/>
    <x v="3"/>
    <x v="221"/>
    <x v="8"/>
  </r>
  <r>
    <x v="229"/>
    <x v="38"/>
    <x v="224"/>
    <x v="3"/>
    <x v="389"/>
    <x v="9"/>
    <x v="0"/>
    <x v="3"/>
    <x v="221"/>
    <x v="5"/>
  </r>
  <r>
    <x v="229"/>
    <x v="31"/>
    <x v="134"/>
    <x v="3"/>
    <x v="50"/>
    <x v="9"/>
    <x v="0"/>
    <x v="3"/>
    <x v="221"/>
    <x v="8"/>
  </r>
  <r>
    <x v="229"/>
    <x v="32"/>
    <x v="639"/>
    <x v="3"/>
    <x v="422"/>
    <x v="9"/>
    <x v="2"/>
    <x v="4"/>
    <x v="221"/>
    <x v="10"/>
  </r>
  <r>
    <x v="229"/>
    <x v="32"/>
    <x v="1808"/>
    <x v="7"/>
    <x v="422"/>
    <x v="9"/>
    <x v="2"/>
    <x v="4"/>
    <x v="221"/>
    <x v="10"/>
  </r>
  <r>
    <x v="229"/>
    <x v="32"/>
    <x v="348"/>
    <x v="5"/>
    <x v="422"/>
    <x v="9"/>
    <x v="2"/>
    <x v="4"/>
    <x v="221"/>
    <x v="10"/>
  </r>
  <r>
    <x v="229"/>
    <x v="32"/>
    <x v="1014"/>
    <x v="8"/>
    <x v="422"/>
    <x v="9"/>
    <x v="2"/>
    <x v="4"/>
    <x v="221"/>
    <x v="10"/>
  </r>
  <r>
    <x v="230"/>
    <x v="8"/>
    <x v="475"/>
    <x v="0"/>
    <x v="238"/>
    <x v="9"/>
    <x v="1"/>
    <x v="4"/>
    <x v="221"/>
    <x v="5"/>
  </r>
  <r>
    <x v="230"/>
    <x v="23"/>
    <x v="19"/>
    <x v="3"/>
    <x v="283"/>
    <x v="9"/>
    <x v="0"/>
    <x v="4"/>
    <x v="221"/>
    <x v="6"/>
  </r>
  <r>
    <x v="230"/>
    <x v="9"/>
    <x v="1400"/>
    <x v="0"/>
    <x v="231"/>
    <x v="9"/>
    <x v="0"/>
    <x v="4"/>
    <x v="221"/>
    <x v="5"/>
  </r>
  <r>
    <x v="230"/>
    <x v="29"/>
    <x v="12"/>
    <x v="3"/>
    <x v="435"/>
    <x v="9"/>
    <x v="0"/>
    <x v="4"/>
    <x v="221"/>
    <x v="6"/>
  </r>
  <r>
    <x v="230"/>
    <x v="24"/>
    <x v="1199"/>
    <x v="0"/>
    <x v="308"/>
    <x v="9"/>
    <x v="0"/>
    <x v="3"/>
    <x v="153"/>
    <x v="6"/>
  </r>
  <r>
    <x v="230"/>
    <x v="24"/>
    <x v="25"/>
    <x v="1"/>
    <x v="252"/>
    <x v="9"/>
    <x v="0"/>
    <x v="1"/>
    <x v="221"/>
    <x v="6"/>
  </r>
  <r>
    <x v="230"/>
    <x v="31"/>
    <x v="134"/>
    <x v="3"/>
    <x v="207"/>
    <x v="9"/>
    <x v="0"/>
    <x v="1"/>
    <x v="221"/>
    <x v="8"/>
  </r>
  <r>
    <x v="230"/>
    <x v="32"/>
    <x v="1060"/>
    <x v="5"/>
    <x v="422"/>
    <x v="9"/>
    <x v="2"/>
    <x v="4"/>
    <x v="221"/>
    <x v="10"/>
  </r>
  <r>
    <x v="230"/>
    <x v="32"/>
    <x v="1655"/>
    <x v="7"/>
    <x v="422"/>
    <x v="9"/>
    <x v="2"/>
    <x v="4"/>
    <x v="221"/>
    <x v="10"/>
  </r>
  <r>
    <x v="230"/>
    <x v="32"/>
    <x v="1101"/>
    <x v="3"/>
    <x v="422"/>
    <x v="9"/>
    <x v="2"/>
    <x v="4"/>
    <x v="221"/>
    <x v="10"/>
  </r>
  <r>
    <x v="231"/>
    <x v="20"/>
    <x v="30"/>
    <x v="1"/>
    <x v="481"/>
    <x v="9"/>
    <x v="0"/>
    <x v="1"/>
    <x v="221"/>
    <x v="5"/>
  </r>
  <r>
    <x v="231"/>
    <x v="12"/>
    <x v="457"/>
    <x v="0"/>
    <x v="48"/>
    <x v="9"/>
    <x v="1"/>
    <x v="4"/>
    <x v="221"/>
    <x v="5"/>
  </r>
  <r>
    <x v="231"/>
    <x v="23"/>
    <x v="12"/>
    <x v="3"/>
    <x v="283"/>
    <x v="9"/>
    <x v="0"/>
    <x v="4"/>
    <x v="221"/>
    <x v="6"/>
  </r>
  <r>
    <x v="231"/>
    <x v="24"/>
    <x v="444"/>
    <x v="1"/>
    <x v="247"/>
    <x v="9"/>
    <x v="0"/>
    <x v="4"/>
    <x v="221"/>
    <x v="6"/>
  </r>
  <r>
    <x v="230"/>
    <x v="12"/>
    <x v="459"/>
    <x v="0"/>
    <x v="48"/>
    <x v="9"/>
    <x v="1"/>
    <x v="4"/>
    <x v="221"/>
    <x v="5"/>
  </r>
  <r>
    <x v="231"/>
    <x v="19"/>
    <x v="751"/>
    <x v="0"/>
    <x v="474"/>
    <x v="9"/>
    <x v="1"/>
    <x v="4"/>
    <x v="221"/>
    <x v="3"/>
  </r>
  <r>
    <x v="231"/>
    <x v="32"/>
    <x v="1224"/>
    <x v="3"/>
    <x v="422"/>
    <x v="9"/>
    <x v="2"/>
    <x v="4"/>
    <x v="221"/>
    <x v="10"/>
  </r>
  <r>
    <x v="231"/>
    <x v="32"/>
    <x v="329"/>
    <x v="6"/>
    <x v="422"/>
    <x v="9"/>
    <x v="2"/>
    <x v="4"/>
    <x v="221"/>
    <x v="10"/>
  </r>
  <r>
    <x v="231"/>
    <x v="32"/>
    <x v="1777"/>
    <x v="7"/>
    <x v="422"/>
    <x v="9"/>
    <x v="2"/>
    <x v="4"/>
    <x v="221"/>
    <x v="10"/>
  </r>
  <r>
    <x v="231"/>
    <x v="32"/>
    <x v="595"/>
    <x v="5"/>
    <x v="422"/>
    <x v="9"/>
    <x v="2"/>
    <x v="4"/>
    <x v="221"/>
    <x v="10"/>
  </r>
  <r>
    <x v="231"/>
    <x v="26"/>
    <x v="22"/>
    <x v="3"/>
    <x v="338"/>
    <x v="9"/>
    <x v="0"/>
    <x v="4"/>
    <x v="221"/>
    <x v="5"/>
  </r>
  <r>
    <x v="222"/>
    <x v="19"/>
    <x v="751"/>
    <x v="0"/>
    <x v="474"/>
    <x v="9"/>
    <x v="1"/>
    <x v="4"/>
    <x v="221"/>
    <x v="3"/>
  </r>
  <r>
    <x v="224"/>
    <x v="19"/>
    <x v="751"/>
    <x v="0"/>
    <x v="474"/>
    <x v="9"/>
    <x v="1"/>
    <x v="4"/>
    <x v="221"/>
    <x v="3"/>
  </r>
  <r>
    <x v="225"/>
    <x v="19"/>
    <x v="751"/>
    <x v="0"/>
    <x v="474"/>
    <x v="9"/>
    <x v="1"/>
    <x v="4"/>
    <x v="221"/>
    <x v="3"/>
  </r>
  <r>
    <x v="229"/>
    <x v="19"/>
    <x v="751"/>
    <x v="0"/>
    <x v="474"/>
    <x v="9"/>
    <x v="1"/>
    <x v="4"/>
    <x v="221"/>
    <x v="3"/>
  </r>
  <r>
    <x v="231"/>
    <x v="37"/>
    <x v="19"/>
    <x v="1"/>
    <x v="546"/>
    <x v="9"/>
    <x v="0"/>
    <x v="4"/>
    <x v="221"/>
    <x v="12"/>
  </r>
  <r>
    <x v="232"/>
    <x v="8"/>
    <x v="475"/>
    <x v="0"/>
    <x v="238"/>
    <x v="9"/>
    <x v="1"/>
    <x v="4"/>
    <x v="221"/>
    <x v="5"/>
  </r>
  <r>
    <x v="232"/>
    <x v="9"/>
    <x v="1567"/>
    <x v="0"/>
    <x v="231"/>
    <x v="9"/>
    <x v="0"/>
    <x v="4"/>
    <x v="221"/>
    <x v="5"/>
  </r>
  <r>
    <x v="232"/>
    <x v="12"/>
    <x v="262"/>
    <x v="0"/>
    <x v="48"/>
    <x v="9"/>
    <x v="1"/>
    <x v="4"/>
    <x v="221"/>
    <x v="5"/>
  </r>
  <r>
    <x v="232"/>
    <x v="23"/>
    <x v="25"/>
    <x v="3"/>
    <x v="283"/>
    <x v="9"/>
    <x v="0"/>
    <x v="4"/>
    <x v="221"/>
    <x v="6"/>
  </r>
  <r>
    <x v="232"/>
    <x v="38"/>
    <x v="22"/>
    <x v="3"/>
    <x v="334"/>
    <x v="9"/>
    <x v="0"/>
    <x v="4"/>
    <x v="221"/>
    <x v="5"/>
  </r>
  <r>
    <x v="232"/>
    <x v="32"/>
    <x v="1179"/>
    <x v="3"/>
    <x v="422"/>
    <x v="9"/>
    <x v="2"/>
    <x v="4"/>
    <x v="221"/>
    <x v="10"/>
  </r>
  <r>
    <x v="232"/>
    <x v="32"/>
    <x v="106"/>
    <x v="4"/>
    <x v="422"/>
    <x v="9"/>
    <x v="2"/>
    <x v="4"/>
    <x v="221"/>
    <x v="10"/>
  </r>
  <r>
    <x v="232"/>
    <x v="32"/>
    <x v="139"/>
    <x v="6"/>
    <x v="422"/>
    <x v="9"/>
    <x v="2"/>
    <x v="4"/>
    <x v="221"/>
    <x v="10"/>
  </r>
  <r>
    <x v="232"/>
    <x v="32"/>
    <x v="1879"/>
    <x v="7"/>
    <x v="422"/>
    <x v="9"/>
    <x v="2"/>
    <x v="4"/>
    <x v="221"/>
    <x v="10"/>
  </r>
  <r>
    <x v="232"/>
    <x v="32"/>
    <x v="942"/>
    <x v="8"/>
    <x v="422"/>
    <x v="9"/>
    <x v="2"/>
    <x v="4"/>
    <x v="221"/>
    <x v="10"/>
  </r>
  <r>
    <x v="232"/>
    <x v="32"/>
    <x v="1013"/>
    <x v="5"/>
    <x v="422"/>
    <x v="9"/>
    <x v="2"/>
    <x v="4"/>
    <x v="221"/>
    <x v="10"/>
  </r>
  <r>
    <x v="232"/>
    <x v="28"/>
    <x v="134"/>
    <x v="1"/>
    <x v="424"/>
    <x v="9"/>
    <x v="0"/>
    <x v="4"/>
    <x v="221"/>
    <x v="0"/>
  </r>
  <r>
    <x v="233"/>
    <x v="12"/>
    <x v="573"/>
    <x v="0"/>
    <x v="48"/>
    <x v="9"/>
    <x v="1"/>
    <x v="0"/>
    <x v="221"/>
    <x v="5"/>
  </r>
  <r>
    <x v="233"/>
    <x v="12"/>
    <x v="363"/>
    <x v="1"/>
    <x v="514"/>
    <x v="9"/>
    <x v="0"/>
    <x v="1"/>
    <x v="221"/>
    <x v="5"/>
  </r>
  <r>
    <x v="233"/>
    <x v="36"/>
    <x v="45"/>
    <x v="1"/>
    <x v="376"/>
    <x v="9"/>
    <x v="0"/>
    <x v="1"/>
    <x v="221"/>
    <x v="5"/>
  </r>
  <r>
    <x v="233"/>
    <x v="13"/>
    <x v="318"/>
    <x v="1"/>
    <x v="574"/>
    <x v="9"/>
    <x v="0"/>
    <x v="1"/>
    <x v="221"/>
    <x v="5"/>
  </r>
  <r>
    <x v="233"/>
    <x v="23"/>
    <x v="5"/>
    <x v="3"/>
    <x v="283"/>
    <x v="9"/>
    <x v="0"/>
    <x v="2"/>
    <x v="221"/>
    <x v="6"/>
  </r>
  <r>
    <x v="233"/>
    <x v="9"/>
    <x v="944"/>
    <x v="0"/>
    <x v="231"/>
    <x v="9"/>
    <x v="0"/>
    <x v="0"/>
    <x v="221"/>
    <x v="5"/>
  </r>
  <r>
    <x v="233"/>
    <x v="20"/>
    <x v="138"/>
    <x v="1"/>
    <x v="61"/>
    <x v="9"/>
    <x v="0"/>
    <x v="1"/>
    <x v="221"/>
    <x v="5"/>
  </r>
  <r>
    <x v="233"/>
    <x v="27"/>
    <x v="727"/>
    <x v="1"/>
    <x v="360"/>
    <x v="9"/>
    <x v="0"/>
    <x v="1"/>
    <x v="221"/>
    <x v="5"/>
  </r>
  <r>
    <x v="233"/>
    <x v="31"/>
    <x v="224"/>
    <x v="1"/>
    <x v="50"/>
    <x v="9"/>
    <x v="0"/>
    <x v="1"/>
    <x v="221"/>
    <x v="8"/>
  </r>
  <r>
    <x v="233"/>
    <x v="38"/>
    <x v="87"/>
    <x v="1"/>
    <x v="553"/>
    <x v="9"/>
    <x v="0"/>
    <x v="1"/>
    <x v="221"/>
    <x v="5"/>
  </r>
  <r>
    <x v="233"/>
    <x v="32"/>
    <x v="707"/>
    <x v="3"/>
    <x v="422"/>
    <x v="9"/>
    <x v="2"/>
    <x v="4"/>
    <x v="221"/>
    <x v="10"/>
  </r>
  <r>
    <x v="233"/>
    <x v="32"/>
    <x v="36"/>
    <x v="6"/>
    <x v="422"/>
    <x v="9"/>
    <x v="2"/>
    <x v="4"/>
    <x v="221"/>
    <x v="10"/>
  </r>
  <r>
    <x v="233"/>
    <x v="32"/>
    <x v="1798"/>
    <x v="7"/>
    <x v="422"/>
    <x v="9"/>
    <x v="2"/>
    <x v="4"/>
    <x v="221"/>
    <x v="10"/>
  </r>
  <r>
    <x v="233"/>
    <x v="32"/>
    <x v="190"/>
    <x v="8"/>
    <x v="422"/>
    <x v="9"/>
    <x v="2"/>
    <x v="4"/>
    <x v="221"/>
    <x v="10"/>
  </r>
  <r>
    <x v="233"/>
    <x v="32"/>
    <x v="1588"/>
    <x v="5"/>
    <x v="422"/>
    <x v="9"/>
    <x v="2"/>
    <x v="4"/>
    <x v="221"/>
    <x v="10"/>
  </r>
  <r>
    <x v="234"/>
    <x v="12"/>
    <x v="624"/>
    <x v="0"/>
    <x v="48"/>
    <x v="9"/>
    <x v="1"/>
    <x v="4"/>
    <x v="221"/>
    <x v="5"/>
  </r>
  <r>
    <x v="234"/>
    <x v="20"/>
    <x v="94"/>
    <x v="1"/>
    <x v="380"/>
    <x v="9"/>
    <x v="0"/>
    <x v="4"/>
    <x v="221"/>
    <x v="5"/>
  </r>
  <r>
    <x v="234"/>
    <x v="20"/>
    <x v="34"/>
    <x v="1"/>
    <x v="400"/>
    <x v="9"/>
    <x v="0"/>
    <x v="4"/>
    <x v="221"/>
    <x v="5"/>
  </r>
  <r>
    <x v="234"/>
    <x v="23"/>
    <x v="12"/>
    <x v="3"/>
    <x v="283"/>
    <x v="9"/>
    <x v="0"/>
    <x v="4"/>
    <x v="221"/>
    <x v="6"/>
  </r>
  <r>
    <x v="234"/>
    <x v="38"/>
    <x v="472"/>
    <x v="0"/>
    <x v="76"/>
    <x v="9"/>
    <x v="1"/>
    <x v="4"/>
    <x v="221"/>
    <x v="5"/>
  </r>
  <r>
    <x v="234"/>
    <x v="26"/>
    <x v="90"/>
    <x v="1"/>
    <x v="338"/>
    <x v="9"/>
    <x v="0"/>
    <x v="3"/>
    <x v="154"/>
    <x v="5"/>
  </r>
  <r>
    <x v="234"/>
    <x v="15"/>
    <x v="158"/>
    <x v="1"/>
    <x v="355"/>
    <x v="9"/>
    <x v="0"/>
    <x v="4"/>
    <x v="221"/>
    <x v="4"/>
  </r>
  <r>
    <x v="234"/>
    <x v="37"/>
    <x v="19"/>
    <x v="1"/>
    <x v="546"/>
    <x v="9"/>
    <x v="0"/>
    <x v="4"/>
    <x v="221"/>
    <x v="12"/>
  </r>
  <r>
    <x v="234"/>
    <x v="32"/>
    <x v="736"/>
    <x v="3"/>
    <x v="422"/>
    <x v="9"/>
    <x v="2"/>
    <x v="4"/>
    <x v="221"/>
    <x v="10"/>
  </r>
  <r>
    <x v="234"/>
    <x v="32"/>
    <x v="478"/>
    <x v="6"/>
    <x v="422"/>
    <x v="9"/>
    <x v="2"/>
    <x v="4"/>
    <x v="221"/>
    <x v="10"/>
  </r>
  <r>
    <x v="234"/>
    <x v="32"/>
    <x v="1925"/>
    <x v="7"/>
    <x v="422"/>
    <x v="9"/>
    <x v="2"/>
    <x v="4"/>
    <x v="221"/>
    <x v="10"/>
  </r>
  <r>
    <x v="234"/>
    <x v="32"/>
    <x v="622"/>
    <x v="5"/>
    <x v="422"/>
    <x v="9"/>
    <x v="2"/>
    <x v="4"/>
    <x v="221"/>
    <x v="10"/>
  </r>
  <r>
    <x v="235"/>
    <x v="8"/>
    <x v="475"/>
    <x v="0"/>
    <x v="238"/>
    <x v="9"/>
    <x v="1"/>
    <x v="4"/>
    <x v="221"/>
    <x v="5"/>
  </r>
  <r>
    <x v="235"/>
    <x v="9"/>
    <x v="967"/>
    <x v="0"/>
    <x v="231"/>
    <x v="9"/>
    <x v="0"/>
    <x v="4"/>
    <x v="221"/>
    <x v="5"/>
  </r>
  <r>
    <x v="235"/>
    <x v="31"/>
    <x v="1044"/>
    <x v="1"/>
    <x v="291"/>
    <x v="9"/>
    <x v="0"/>
    <x v="4"/>
    <x v="221"/>
    <x v="8"/>
  </r>
  <r>
    <x v="235"/>
    <x v="31"/>
    <x v="94"/>
    <x v="1"/>
    <x v="264"/>
    <x v="9"/>
    <x v="0"/>
    <x v="4"/>
    <x v="221"/>
    <x v="8"/>
  </r>
  <r>
    <x v="235"/>
    <x v="31"/>
    <x v="454"/>
    <x v="1"/>
    <x v="495"/>
    <x v="9"/>
    <x v="0"/>
    <x v="4"/>
    <x v="221"/>
    <x v="8"/>
  </r>
  <r>
    <x v="235"/>
    <x v="16"/>
    <x v="90"/>
    <x v="1"/>
    <x v="247"/>
    <x v="9"/>
    <x v="0"/>
    <x v="4"/>
    <x v="221"/>
    <x v="6"/>
  </r>
  <r>
    <x v="235"/>
    <x v="13"/>
    <x v="77"/>
    <x v="1"/>
    <x v="114"/>
    <x v="9"/>
    <x v="0"/>
    <x v="4"/>
    <x v="221"/>
    <x v="5"/>
  </r>
  <r>
    <x v="235"/>
    <x v="31"/>
    <x v="375"/>
    <x v="1"/>
    <x v="234"/>
    <x v="9"/>
    <x v="0"/>
    <x v="4"/>
    <x v="221"/>
    <x v="8"/>
  </r>
  <r>
    <x v="235"/>
    <x v="31"/>
    <x v="143"/>
    <x v="1"/>
    <x v="556"/>
    <x v="9"/>
    <x v="0"/>
    <x v="4"/>
    <x v="221"/>
    <x v="8"/>
  </r>
  <r>
    <x v="235"/>
    <x v="28"/>
    <x v="65"/>
    <x v="1"/>
    <x v="560"/>
    <x v="9"/>
    <x v="0"/>
    <x v="4"/>
    <x v="221"/>
    <x v="0"/>
  </r>
  <r>
    <x v="235"/>
    <x v="31"/>
    <x v="58"/>
    <x v="1"/>
    <x v="525"/>
    <x v="9"/>
    <x v="0"/>
    <x v="4"/>
    <x v="221"/>
    <x v="8"/>
  </r>
  <r>
    <x v="235"/>
    <x v="23"/>
    <x v="9"/>
    <x v="3"/>
    <x v="283"/>
    <x v="9"/>
    <x v="0"/>
    <x v="4"/>
    <x v="221"/>
    <x v="6"/>
  </r>
  <r>
    <x v="235"/>
    <x v="38"/>
    <x v="5"/>
    <x v="3"/>
    <x v="334"/>
    <x v="9"/>
    <x v="0"/>
    <x v="4"/>
    <x v="221"/>
    <x v="5"/>
  </r>
  <r>
    <x v="235"/>
    <x v="38"/>
    <x v="171"/>
    <x v="0"/>
    <x v="76"/>
    <x v="9"/>
    <x v="1"/>
    <x v="4"/>
    <x v="221"/>
    <x v="5"/>
  </r>
  <r>
    <x v="235"/>
    <x v="3"/>
    <x v="599"/>
    <x v="3"/>
    <x v="544"/>
    <x v="9"/>
    <x v="0"/>
    <x v="4"/>
    <x v="155"/>
    <x v="4"/>
  </r>
  <r>
    <x v="235"/>
    <x v="32"/>
    <x v="802"/>
    <x v="3"/>
    <x v="422"/>
    <x v="9"/>
    <x v="2"/>
    <x v="4"/>
    <x v="221"/>
    <x v="10"/>
  </r>
  <r>
    <x v="235"/>
    <x v="32"/>
    <x v="370"/>
    <x v="6"/>
    <x v="422"/>
    <x v="9"/>
    <x v="2"/>
    <x v="4"/>
    <x v="221"/>
    <x v="10"/>
  </r>
  <r>
    <x v="235"/>
    <x v="32"/>
    <x v="224"/>
    <x v="8"/>
    <x v="422"/>
    <x v="9"/>
    <x v="2"/>
    <x v="4"/>
    <x v="221"/>
    <x v="10"/>
  </r>
  <r>
    <x v="235"/>
    <x v="32"/>
    <x v="1680"/>
    <x v="7"/>
    <x v="422"/>
    <x v="9"/>
    <x v="2"/>
    <x v="4"/>
    <x v="221"/>
    <x v="10"/>
  </r>
  <r>
    <x v="235"/>
    <x v="32"/>
    <x v="850"/>
    <x v="5"/>
    <x v="422"/>
    <x v="9"/>
    <x v="2"/>
    <x v="4"/>
    <x v="221"/>
    <x v="10"/>
  </r>
  <r>
    <x v="234"/>
    <x v="9"/>
    <x v="1108"/>
    <x v="0"/>
    <x v="231"/>
    <x v="9"/>
    <x v="0"/>
    <x v="4"/>
    <x v="221"/>
    <x v="5"/>
  </r>
  <r>
    <x v="235"/>
    <x v="32"/>
    <x v="173"/>
    <x v="4"/>
    <x v="422"/>
    <x v="9"/>
    <x v="2"/>
    <x v="4"/>
    <x v="221"/>
    <x v="10"/>
  </r>
  <r>
    <x v="236"/>
    <x v="9"/>
    <x v="987"/>
    <x v="0"/>
    <x v="231"/>
    <x v="9"/>
    <x v="0"/>
    <x v="4"/>
    <x v="221"/>
    <x v="5"/>
  </r>
  <r>
    <x v="236"/>
    <x v="13"/>
    <x v="885"/>
    <x v="0"/>
    <x v="179"/>
    <x v="9"/>
    <x v="0"/>
    <x v="0"/>
    <x v="156"/>
    <x v="5"/>
  </r>
  <r>
    <x v="236"/>
    <x v="12"/>
    <x v="287"/>
    <x v="0"/>
    <x v="48"/>
    <x v="9"/>
    <x v="1"/>
    <x v="4"/>
    <x v="221"/>
    <x v="5"/>
  </r>
  <r>
    <x v="235"/>
    <x v="12"/>
    <x v="504"/>
    <x v="0"/>
    <x v="48"/>
    <x v="9"/>
    <x v="1"/>
    <x v="4"/>
    <x v="221"/>
    <x v="5"/>
  </r>
  <r>
    <x v="236"/>
    <x v="31"/>
    <x v="683"/>
    <x v="3"/>
    <x v="207"/>
    <x v="9"/>
    <x v="0"/>
    <x v="2"/>
    <x v="156"/>
    <x v="8"/>
  </r>
  <r>
    <x v="236"/>
    <x v="29"/>
    <x v="540"/>
    <x v="1"/>
    <x v="247"/>
    <x v="9"/>
    <x v="0"/>
    <x v="4"/>
    <x v="221"/>
    <x v="6"/>
  </r>
  <r>
    <x v="236"/>
    <x v="38"/>
    <x v="95"/>
    <x v="0"/>
    <x v="76"/>
    <x v="9"/>
    <x v="1"/>
    <x v="4"/>
    <x v="221"/>
    <x v="5"/>
  </r>
  <r>
    <x v="233"/>
    <x v="19"/>
    <x v="751"/>
    <x v="0"/>
    <x v="474"/>
    <x v="9"/>
    <x v="1"/>
    <x v="4"/>
    <x v="221"/>
    <x v="3"/>
  </r>
  <r>
    <x v="234"/>
    <x v="19"/>
    <x v="751"/>
    <x v="0"/>
    <x v="474"/>
    <x v="9"/>
    <x v="1"/>
    <x v="4"/>
    <x v="221"/>
    <x v="3"/>
  </r>
  <r>
    <x v="235"/>
    <x v="19"/>
    <x v="751"/>
    <x v="0"/>
    <x v="474"/>
    <x v="9"/>
    <x v="1"/>
    <x v="4"/>
    <x v="221"/>
    <x v="3"/>
  </r>
  <r>
    <x v="236"/>
    <x v="32"/>
    <x v="1088"/>
    <x v="3"/>
    <x v="422"/>
    <x v="9"/>
    <x v="2"/>
    <x v="4"/>
    <x v="221"/>
    <x v="10"/>
  </r>
  <r>
    <x v="236"/>
    <x v="32"/>
    <x v="112"/>
    <x v="4"/>
    <x v="422"/>
    <x v="9"/>
    <x v="2"/>
    <x v="4"/>
    <x v="221"/>
    <x v="10"/>
  </r>
  <r>
    <x v="236"/>
    <x v="32"/>
    <x v="1238"/>
    <x v="6"/>
    <x v="422"/>
    <x v="9"/>
    <x v="2"/>
    <x v="4"/>
    <x v="221"/>
    <x v="10"/>
  </r>
  <r>
    <x v="236"/>
    <x v="32"/>
    <x v="1742"/>
    <x v="7"/>
    <x v="422"/>
    <x v="9"/>
    <x v="2"/>
    <x v="4"/>
    <x v="221"/>
    <x v="10"/>
  </r>
  <r>
    <x v="236"/>
    <x v="32"/>
    <x v="702"/>
    <x v="5"/>
    <x v="422"/>
    <x v="9"/>
    <x v="2"/>
    <x v="4"/>
    <x v="221"/>
    <x v="10"/>
  </r>
  <r>
    <x v="236"/>
    <x v="38"/>
    <x v="318"/>
    <x v="3"/>
    <x v="389"/>
    <x v="9"/>
    <x v="0"/>
    <x v="2"/>
    <x v="156"/>
    <x v="5"/>
  </r>
  <r>
    <x v="236"/>
    <x v="32"/>
    <x v="614"/>
    <x v="8"/>
    <x v="422"/>
    <x v="9"/>
    <x v="2"/>
    <x v="4"/>
    <x v="221"/>
    <x v="10"/>
  </r>
  <r>
    <x v="236"/>
    <x v="28"/>
    <x v="134"/>
    <x v="3"/>
    <x v="371"/>
    <x v="9"/>
    <x v="0"/>
    <x v="2"/>
    <x v="156"/>
    <x v="0"/>
  </r>
  <r>
    <x v="236"/>
    <x v="37"/>
    <x v="16"/>
    <x v="3"/>
    <x v="525"/>
    <x v="9"/>
    <x v="0"/>
    <x v="2"/>
    <x v="156"/>
    <x v="12"/>
  </r>
  <r>
    <x v="237"/>
    <x v="9"/>
    <x v="1305"/>
    <x v="0"/>
    <x v="231"/>
    <x v="9"/>
    <x v="0"/>
    <x v="4"/>
    <x v="221"/>
    <x v="5"/>
  </r>
  <r>
    <x v="237"/>
    <x v="12"/>
    <x v="453"/>
    <x v="0"/>
    <x v="48"/>
    <x v="9"/>
    <x v="1"/>
    <x v="4"/>
    <x v="221"/>
    <x v="5"/>
  </r>
  <r>
    <x v="237"/>
    <x v="8"/>
    <x v="816"/>
    <x v="0"/>
    <x v="238"/>
    <x v="9"/>
    <x v="1"/>
    <x v="4"/>
    <x v="221"/>
    <x v="5"/>
  </r>
  <r>
    <x v="237"/>
    <x v="40"/>
    <x v="518"/>
    <x v="3"/>
    <x v="581"/>
    <x v="9"/>
    <x v="0"/>
    <x v="2"/>
    <x v="157"/>
    <x v="7"/>
  </r>
  <r>
    <x v="237"/>
    <x v="27"/>
    <x v="709"/>
    <x v="0"/>
    <x v="5"/>
    <x v="9"/>
    <x v="0"/>
    <x v="0"/>
    <x v="157"/>
    <x v="5"/>
  </r>
  <r>
    <x v="237"/>
    <x v="12"/>
    <x v="363"/>
    <x v="0"/>
    <x v="514"/>
    <x v="9"/>
    <x v="0"/>
    <x v="0"/>
    <x v="157"/>
    <x v="5"/>
  </r>
  <r>
    <x v="237"/>
    <x v="20"/>
    <x v="683"/>
    <x v="0"/>
    <x v="61"/>
    <x v="9"/>
    <x v="1"/>
    <x v="4"/>
    <x v="221"/>
    <x v="5"/>
  </r>
  <r>
    <x v="237"/>
    <x v="19"/>
    <x v="751"/>
    <x v="0"/>
    <x v="474"/>
    <x v="9"/>
    <x v="1"/>
    <x v="4"/>
    <x v="221"/>
    <x v="3"/>
  </r>
  <r>
    <x v="237"/>
    <x v="32"/>
    <x v="869"/>
    <x v="3"/>
    <x v="422"/>
    <x v="9"/>
    <x v="2"/>
    <x v="4"/>
    <x v="221"/>
    <x v="10"/>
  </r>
  <r>
    <x v="237"/>
    <x v="32"/>
    <x v="586"/>
    <x v="2"/>
    <x v="422"/>
    <x v="9"/>
    <x v="2"/>
    <x v="4"/>
    <x v="221"/>
    <x v="10"/>
  </r>
  <r>
    <x v="237"/>
    <x v="32"/>
    <x v="465"/>
    <x v="4"/>
    <x v="422"/>
    <x v="9"/>
    <x v="2"/>
    <x v="4"/>
    <x v="221"/>
    <x v="10"/>
  </r>
  <r>
    <x v="237"/>
    <x v="32"/>
    <x v="749"/>
    <x v="6"/>
    <x v="422"/>
    <x v="9"/>
    <x v="2"/>
    <x v="4"/>
    <x v="221"/>
    <x v="10"/>
  </r>
  <r>
    <x v="237"/>
    <x v="32"/>
    <x v="1818"/>
    <x v="7"/>
    <x v="422"/>
    <x v="9"/>
    <x v="2"/>
    <x v="4"/>
    <x v="221"/>
    <x v="10"/>
  </r>
  <r>
    <x v="237"/>
    <x v="32"/>
    <x v="380"/>
    <x v="8"/>
    <x v="422"/>
    <x v="9"/>
    <x v="2"/>
    <x v="4"/>
    <x v="221"/>
    <x v="10"/>
  </r>
  <r>
    <x v="237"/>
    <x v="32"/>
    <x v="254"/>
    <x v="5"/>
    <x v="422"/>
    <x v="9"/>
    <x v="2"/>
    <x v="4"/>
    <x v="221"/>
    <x v="10"/>
  </r>
  <r>
    <x v="237"/>
    <x v="37"/>
    <x v="45"/>
    <x v="1"/>
    <x v="525"/>
    <x v="9"/>
    <x v="0"/>
    <x v="1"/>
    <x v="157"/>
    <x v="12"/>
  </r>
  <r>
    <x v="238"/>
    <x v="9"/>
    <x v="1201"/>
    <x v="0"/>
    <x v="231"/>
    <x v="9"/>
    <x v="0"/>
    <x v="4"/>
    <x v="221"/>
    <x v="5"/>
  </r>
  <r>
    <x v="238"/>
    <x v="12"/>
    <x v="601"/>
    <x v="0"/>
    <x v="48"/>
    <x v="9"/>
    <x v="1"/>
    <x v="4"/>
    <x v="221"/>
    <x v="5"/>
  </r>
  <r>
    <x v="238"/>
    <x v="1"/>
    <x v="55"/>
    <x v="3"/>
    <x v="432"/>
    <x v="9"/>
    <x v="0"/>
    <x v="2"/>
    <x v="158"/>
    <x v="4"/>
  </r>
  <r>
    <x v="238"/>
    <x v="38"/>
    <x v="158"/>
    <x v="3"/>
    <x v="553"/>
    <x v="9"/>
    <x v="0"/>
    <x v="2"/>
    <x v="158"/>
    <x v="5"/>
  </r>
  <r>
    <x v="238"/>
    <x v="15"/>
    <x v="160"/>
    <x v="3"/>
    <x v="353"/>
    <x v="9"/>
    <x v="0"/>
    <x v="2"/>
    <x v="158"/>
    <x v="4"/>
  </r>
  <r>
    <x v="238"/>
    <x v="38"/>
    <x v="316"/>
    <x v="0"/>
    <x v="76"/>
    <x v="9"/>
    <x v="1"/>
    <x v="4"/>
    <x v="221"/>
    <x v="5"/>
  </r>
  <r>
    <x v="237"/>
    <x v="38"/>
    <x v="168"/>
    <x v="0"/>
    <x v="76"/>
    <x v="9"/>
    <x v="1"/>
    <x v="4"/>
    <x v="221"/>
    <x v="5"/>
  </r>
  <r>
    <x v="238"/>
    <x v="19"/>
    <x v="751"/>
    <x v="0"/>
    <x v="474"/>
    <x v="9"/>
    <x v="1"/>
    <x v="4"/>
    <x v="221"/>
    <x v="3"/>
  </r>
  <r>
    <x v="238"/>
    <x v="32"/>
    <x v="1379"/>
    <x v="3"/>
    <x v="422"/>
    <x v="9"/>
    <x v="2"/>
    <x v="4"/>
    <x v="221"/>
    <x v="10"/>
  </r>
  <r>
    <x v="238"/>
    <x v="32"/>
    <x v="757"/>
    <x v="6"/>
    <x v="422"/>
    <x v="9"/>
    <x v="2"/>
    <x v="4"/>
    <x v="221"/>
    <x v="10"/>
  </r>
  <r>
    <x v="238"/>
    <x v="32"/>
    <x v="1812"/>
    <x v="7"/>
    <x v="422"/>
    <x v="9"/>
    <x v="2"/>
    <x v="4"/>
    <x v="221"/>
    <x v="10"/>
  </r>
  <r>
    <x v="238"/>
    <x v="32"/>
    <x v="1024"/>
    <x v="5"/>
    <x v="422"/>
    <x v="9"/>
    <x v="2"/>
    <x v="4"/>
    <x v="221"/>
    <x v="10"/>
  </r>
  <r>
    <x v="238"/>
    <x v="37"/>
    <x v="60"/>
    <x v="3"/>
    <x v="525"/>
    <x v="9"/>
    <x v="0"/>
    <x v="2"/>
    <x v="158"/>
    <x v="12"/>
  </r>
  <r>
    <x v="238"/>
    <x v="28"/>
    <x v="138"/>
    <x v="3"/>
    <x v="371"/>
    <x v="9"/>
    <x v="0"/>
    <x v="2"/>
    <x v="158"/>
    <x v="0"/>
  </r>
  <r>
    <x v="239"/>
    <x v="12"/>
    <x v="419"/>
    <x v="0"/>
    <x v="48"/>
    <x v="9"/>
    <x v="1"/>
    <x v="4"/>
    <x v="221"/>
    <x v="5"/>
  </r>
  <r>
    <x v="239"/>
    <x v="9"/>
    <x v="914"/>
    <x v="0"/>
    <x v="231"/>
    <x v="9"/>
    <x v="0"/>
    <x v="4"/>
    <x v="221"/>
    <x v="5"/>
  </r>
  <r>
    <x v="239"/>
    <x v="8"/>
    <x v="475"/>
    <x v="0"/>
    <x v="238"/>
    <x v="9"/>
    <x v="1"/>
    <x v="4"/>
    <x v="221"/>
    <x v="5"/>
  </r>
  <r>
    <x v="239"/>
    <x v="27"/>
    <x v="739"/>
    <x v="1"/>
    <x v="5"/>
    <x v="9"/>
    <x v="0"/>
    <x v="1"/>
    <x v="159"/>
    <x v="5"/>
  </r>
  <r>
    <x v="239"/>
    <x v="12"/>
    <x v="127"/>
    <x v="1"/>
    <x v="211"/>
    <x v="9"/>
    <x v="0"/>
    <x v="1"/>
    <x v="159"/>
    <x v="5"/>
  </r>
  <r>
    <x v="239"/>
    <x v="24"/>
    <x v="599"/>
    <x v="1"/>
    <x v="585"/>
    <x v="9"/>
    <x v="0"/>
    <x v="1"/>
    <x v="159"/>
    <x v="6"/>
  </r>
  <r>
    <x v="239"/>
    <x v="16"/>
    <x v="19"/>
    <x v="1"/>
    <x v="247"/>
    <x v="9"/>
    <x v="0"/>
    <x v="1"/>
    <x v="159"/>
    <x v="6"/>
  </r>
  <r>
    <x v="239"/>
    <x v="1"/>
    <x v="45"/>
    <x v="3"/>
    <x v="432"/>
    <x v="9"/>
    <x v="0"/>
    <x v="2"/>
    <x v="159"/>
    <x v="4"/>
  </r>
  <r>
    <x v="239"/>
    <x v="20"/>
    <x v="72"/>
    <x v="3"/>
    <x v="380"/>
    <x v="9"/>
    <x v="0"/>
    <x v="2"/>
    <x v="159"/>
    <x v="5"/>
  </r>
  <r>
    <x v="239"/>
    <x v="13"/>
    <x v="248"/>
    <x v="3"/>
    <x v="179"/>
    <x v="9"/>
    <x v="0"/>
    <x v="2"/>
    <x v="159"/>
    <x v="5"/>
  </r>
  <r>
    <x v="239"/>
    <x v="18"/>
    <x v="375"/>
    <x v="3"/>
    <x v="140"/>
    <x v="9"/>
    <x v="0"/>
    <x v="2"/>
    <x v="159"/>
    <x v="3"/>
  </r>
  <r>
    <x v="239"/>
    <x v="20"/>
    <x v="87"/>
    <x v="3"/>
    <x v="319"/>
    <x v="9"/>
    <x v="0"/>
    <x v="2"/>
    <x v="159"/>
    <x v="5"/>
  </r>
  <r>
    <x v="239"/>
    <x v="38"/>
    <x v="236"/>
    <x v="0"/>
    <x v="76"/>
    <x v="9"/>
    <x v="1"/>
    <x v="4"/>
    <x v="221"/>
    <x v="5"/>
  </r>
  <r>
    <x v="239"/>
    <x v="32"/>
    <x v="1547"/>
    <x v="3"/>
    <x v="422"/>
    <x v="9"/>
    <x v="2"/>
    <x v="4"/>
    <x v="221"/>
    <x v="10"/>
  </r>
  <r>
    <x v="239"/>
    <x v="32"/>
    <x v="783"/>
    <x v="2"/>
    <x v="422"/>
    <x v="9"/>
    <x v="2"/>
    <x v="4"/>
    <x v="221"/>
    <x v="10"/>
  </r>
  <r>
    <x v="239"/>
    <x v="32"/>
    <x v="45"/>
    <x v="6"/>
    <x v="422"/>
    <x v="9"/>
    <x v="2"/>
    <x v="4"/>
    <x v="221"/>
    <x v="10"/>
  </r>
  <r>
    <x v="239"/>
    <x v="32"/>
    <x v="1919"/>
    <x v="7"/>
    <x v="422"/>
    <x v="9"/>
    <x v="2"/>
    <x v="4"/>
    <x v="221"/>
    <x v="10"/>
  </r>
  <r>
    <x v="239"/>
    <x v="32"/>
    <x v="1322"/>
    <x v="5"/>
    <x v="422"/>
    <x v="9"/>
    <x v="2"/>
    <x v="4"/>
    <x v="221"/>
    <x v="10"/>
  </r>
  <r>
    <x v="239"/>
    <x v="37"/>
    <x v="87"/>
    <x v="3"/>
    <x v="525"/>
    <x v="9"/>
    <x v="0"/>
    <x v="2"/>
    <x v="159"/>
    <x v="12"/>
  </r>
  <r>
    <x v="240"/>
    <x v="3"/>
    <x v="1367"/>
    <x v="1"/>
    <x v="153"/>
    <x v="9"/>
    <x v="0"/>
    <x v="1"/>
    <x v="160"/>
    <x v="4"/>
  </r>
  <r>
    <x v="240"/>
    <x v="9"/>
    <x v="1435"/>
    <x v="0"/>
    <x v="231"/>
    <x v="9"/>
    <x v="0"/>
    <x v="4"/>
    <x v="221"/>
    <x v="5"/>
  </r>
  <r>
    <x v="240"/>
    <x v="20"/>
    <x v="49"/>
    <x v="3"/>
    <x v="380"/>
    <x v="9"/>
    <x v="0"/>
    <x v="2"/>
    <x v="160"/>
    <x v="5"/>
  </r>
  <r>
    <x v="240"/>
    <x v="1"/>
    <x v="55"/>
    <x v="3"/>
    <x v="432"/>
    <x v="9"/>
    <x v="0"/>
    <x v="2"/>
    <x v="160"/>
    <x v="4"/>
  </r>
  <r>
    <x v="240"/>
    <x v="38"/>
    <x v="256"/>
    <x v="0"/>
    <x v="389"/>
    <x v="9"/>
    <x v="0"/>
    <x v="0"/>
    <x v="160"/>
    <x v="5"/>
  </r>
  <r>
    <x v="240"/>
    <x v="16"/>
    <x v="53"/>
    <x v="3"/>
    <x v="247"/>
    <x v="9"/>
    <x v="0"/>
    <x v="2"/>
    <x v="160"/>
    <x v="6"/>
  </r>
  <r>
    <x v="240"/>
    <x v="9"/>
    <x v="465"/>
    <x v="0"/>
    <x v="538"/>
    <x v="9"/>
    <x v="0"/>
    <x v="0"/>
    <x v="160"/>
    <x v="5"/>
  </r>
  <r>
    <x v="240"/>
    <x v="15"/>
    <x v="160"/>
    <x v="3"/>
    <x v="353"/>
    <x v="9"/>
    <x v="0"/>
    <x v="2"/>
    <x v="160"/>
    <x v="4"/>
  </r>
  <r>
    <x v="240"/>
    <x v="28"/>
    <x v="138"/>
    <x v="3"/>
    <x v="371"/>
    <x v="9"/>
    <x v="0"/>
    <x v="2"/>
    <x v="160"/>
    <x v="0"/>
  </r>
  <r>
    <x v="240"/>
    <x v="9"/>
    <x v="715"/>
    <x v="0"/>
    <x v="138"/>
    <x v="9"/>
    <x v="0"/>
    <x v="3"/>
    <x v="160"/>
    <x v="5"/>
  </r>
  <r>
    <x v="239"/>
    <x v="19"/>
    <x v="751"/>
    <x v="0"/>
    <x v="474"/>
    <x v="9"/>
    <x v="1"/>
    <x v="4"/>
    <x v="221"/>
    <x v="3"/>
  </r>
  <r>
    <x v="240"/>
    <x v="19"/>
    <x v="751"/>
    <x v="0"/>
    <x v="474"/>
    <x v="9"/>
    <x v="1"/>
    <x v="4"/>
    <x v="221"/>
    <x v="3"/>
  </r>
  <r>
    <x v="240"/>
    <x v="38"/>
    <x v="342"/>
    <x v="0"/>
    <x v="76"/>
    <x v="9"/>
    <x v="1"/>
    <x v="4"/>
    <x v="221"/>
    <x v="5"/>
  </r>
  <r>
    <x v="240"/>
    <x v="12"/>
    <x v="533"/>
    <x v="0"/>
    <x v="48"/>
    <x v="9"/>
    <x v="1"/>
    <x v="4"/>
    <x v="221"/>
    <x v="5"/>
  </r>
  <r>
    <x v="240"/>
    <x v="38"/>
    <x v="87"/>
    <x v="3"/>
    <x v="553"/>
    <x v="9"/>
    <x v="0"/>
    <x v="2"/>
    <x v="160"/>
    <x v="5"/>
  </r>
  <r>
    <x v="240"/>
    <x v="13"/>
    <x v="256"/>
    <x v="0"/>
    <x v="179"/>
    <x v="9"/>
    <x v="0"/>
    <x v="0"/>
    <x v="160"/>
    <x v="5"/>
  </r>
  <r>
    <x v="240"/>
    <x v="32"/>
    <x v="991"/>
    <x v="3"/>
    <x v="422"/>
    <x v="9"/>
    <x v="2"/>
    <x v="4"/>
    <x v="221"/>
    <x v="10"/>
  </r>
  <r>
    <x v="240"/>
    <x v="32"/>
    <x v="117"/>
    <x v="2"/>
    <x v="422"/>
    <x v="9"/>
    <x v="2"/>
    <x v="4"/>
    <x v="221"/>
    <x v="10"/>
  </r>
  <r>
    <x v="240"/>
    <x v="32"/>
    <x v="1953"/>
    <x v="7"/>
    <x v="422"/>
    <x v="9"/>
    <x v="2"/>
    <x v="4"/>
    <x v="221"/>
    <x v="10"/>
  </r>
  <r>
    <x v="240"/>
    <x v="32"/>
    <x v="299"/>
    <x v="8"/>
    <x v="422"/>
    <x v="9"/>
    <x v="2"/>
    <x v="4"/>
    <x v="221"/>
    <x v="10"/>
  </r>
  <r>
    <x v="240"/>
    <x v="32"/>
    <x v="1101"/>
    <x v="5"/>
    <x v="422"/>
    <x v="9"/>
    <x v="2"/>
    <x v="4"/>
    <x v="221"/>
    <x v="10"/>
  </r>
  <r>
    <x v="240"/>
    <x v="32"/>
    <x v="138"/>
    <x v="4"/>
    <x v="422"/>
    <x v="9"/>
    <x v="2"/>
    <x v="4"/>
    <x v="221"/>
    <x v="10"/>
  </r>
  <r>
    <x v="240"/>
    <x v="37"/>
    <x v="71"/>
    <x v="3"/>
    <x v="525"/>
    <x v="9"/>
    <x v="0"/>
    <x v="2"/>
    <x v="160"/>
    <x v="12"/>
  </r>
  <r>
    <x v="241"/>
    <x v="1"/>
    <x v="123"/>
    <x v="3"/>
    <x v="432"/>
    <x v="9"/>
    <x v="0"/>
    <x v="2"/>
    <x v="161"/>
    <x v="4"/>
  </r>
  <r>
    <x v="241"/>
    <x v="9"/>
    <x v="1058"/>
    <x v="0"/>
    <x v="231"/>
    <x v="9"/>
    <x v="0"/>
    <x v="4"/>
    <x v="221"/>
    <x v="5"/>
  </r>
  <r>
    <x v="241"/>
    <x v="3"/>
    <x v="242"/>
    <x v="1"/>
    <x v="579"/>
    <x v="9"/>
    <x v="0"/>
    <x v="1"/>
    <x v="161"/>
    <x v="4"/>
  </r>
  <r>
    <x v="241"/>
    <x v="12"/>
    <x v="748"/>
    <x v="0"/>
    <x v="48"/>
    <x v="9"/>
    <x v="1"/>
    <x v="4"/>
    <x v="221"/>
    <x v="5"/>
  </r>
  <r>
    <x v="241"/>
    <x v="13"/>
    <x v="158"/>
    <x v="0"/>
    <x v="179"/>
    <x v="9"/>
    <x v="0"/>
    <x v="0"/>
    <x v="161"/>
    <x v="5"/>
  </r>
  <r>
    <x v="241"/>
    <x v="38"/>
    <x v="211"/>
    <x v="0"/>
    <x v="76"/>
    <x v="9"/>
    <x v="1"/>
    <x v="4"/>
    <x v="221"/>
    <x v="5"/>
  </r>
  <r>
    <x v="241"/>
    <x v="20"/>
    <x v="784"/>
    <x v="0"/>
    <x v="290"/>
    <x v="9"/>
    <x v="0"/>
    <x v="0"/>
    <x v="161"/>
    <x v="5"/>
  </r>
  <r>
    <x v="241"/>
    <x v="19"/>
    <x v="751"/>
    <x v="0"/>
    <x v="474"/>
    <x v="9"/>
    <x v="1"/>
    <x v="4"/>
    <x v="221"/>
    <x v="3"/>
  </r>
  <r>
    <x v="241"/>
    <x v="32"/>
    <x v="823"/>
    <x v="3"/>
    <x v="422"/>
    <x v="9"/>
    <x v="2"/>
    <x v="4"/>
    <x v="221"/>
    <x v="10"/>
  </r>
  <r>
    <x v="241"/>
    <x v="32"/>
    <x v="332"/>
    <x v="2"/>
    <x v="422"/>
    <x v="9"/>
    <x v="2"/>
    <x v="4"/>
    <x v="221"/>
    <x v="10"/>
  </r>
  <r>
    <x v="241"/>
    <x v="32"/>
    <x v="239"/>
    <x v="4"/>
    <x v="422"/>
    <x v="9"/>
    <x v="2"/>
    <x v="4"/>
    <x v="221"/>
    <x v="10"/>
  </r>
  <r>
    <x v="241"/>
    <x v="32"/>
    <x v="244"/>
    <x v="6"/>
    <x v="422"/>
    <x v="9"/>
    <x v="2"/>
    <x v="4"/>
    <x v="221"/>
    <x v="10"/>
  </r>
  <r>
    <x v="241"/>
    <x v="32"/>
    <x v="1939"/>
    <x v="7"/>
    <x v="422"/>
    <x v="9"/>
    <x v="2"/>
    <x v="4"/>
    <x v="221"/>
    <x v="10"/>
  </r>
  <r>
    <x v="241"/>
    <x v="32"/>
    <x v="1032"/>
    <x v="5"/>
    <x v="422"/>
    <x v="9"/>
    <x v="2"/>
    <x v="4"/>
    <x v="221"/>
    <x v="10"/>
  </r>
  <r>
    <x v="241"/>
    <x v="28"/>
    <x v="65"/>
    <x v="1"/>
    <x v="560"/>
    <x v="9"/>
    <x v="0"/>
    <x v="1"/>
    <x v="161"/>
    <x v="0"/>
  </r>
  <r>
    <x v="241"/>
    <x v="0"/>
    <x v="256"/>
    <x v="3"/>
    <x v="254"/>
    <x v="9"/>
    <x v="0"/>
    <x v="2"/>
    <x v="161"/>
    <x v="9"/>
  </r>
  <r>
    <x v="241"/>
    <x v="37"/>
    <x v="90"/>
    <x v="1"/>
    <x v="525"/>
    <x v="9"/>
    <x v="0"/>
    <x v="1"/>
    <x v="161"/>
    <x v="12"/>
  </r>
  <r>
    <x v="241"/>
    <x v="23"/>
    <x v="31"/>
    <x v="3"/>
    <x v="285"/>
    <x v="9"/>
    <x v="0"/>
    <x v="2"/>
    <x v="161"/>
    <x v="6"/>
  </r>
  <r>
    <x v="241"/>
    <x v="0"/>
    <x v="45"/>
    <x v="3"/>
    <x v="450"/>
    <x v="9"/>
    <x v="0"/>
    <x v="2"/>
    <x v="161"/>
    <x v="9"/>
  </r>
  <r>
    <x v="242"/>
    <x v="8"/>
    <x v="475"/>
    <x v="0"/>
    <x v="238"/>
    <x v="9"/>
    <x v="1"/>
    <x v="4"/>
    <x v="221"/>
    <x v="5"/>
  </r>
  <r>
    <x v="242"/>
    <x v="9"/>
    <x v="934"/>
    <x v="0"/>
    <x v="231"/>
    <x v="9"/>
    <x v="0"/>
    <x v="4"/>
    <x v="221"/>
    <x v="5"/>
  </r>
  <r>
    <x v="242"/>
    <x v="1"/>
    <x v="34"/>
    <x v="3"/>
    <x v="432"/>
    <x v="9"/>
    <x v="0"/>
    <x v="2"/>
    <x v="162"/>
    <x v="4"/>
  </r>
  <r>
    <x v="242"/>
    <x v="20"/>
    <x v="28"/>
    <x v="3"/>
    <x v="380"/>
    <x v="9"/>
    <x v="0"/>
    <x v="2"/>
    <x v="162"/>
    <x v="5"/>
  </r>
  <r>
    <x v="231"/>
    <x v="20"/>
    <x v="1973"/>
    <x v="0"/>
    <x v="61"/>
    <x v="9"/>
    <x v="0"/>
    <x v="0"/>
    <x v="162"/>
    <x v="5"/>
  </r>
  <r>
    <x v="242"/>
    <x v="23"/>
    <x v="19"/>
    <x v="3"/>
    <x v="283"/>
    <x v="9"/>
    <x v="0"/>
    <x v="2"/>
    <x v="221"/>
    <x v="6"/>
  </r>
  <r>
    <x v="242"/>
    <x v="38"/>
    <x v="12"/>
    <x v="3"/>
    <x v="334"/>
    <x v="9"/>
    <x v="0"/>
    <x v="1"/>
    <x v="221"/>
    <x v="5"/>
  </r>
  <r>
    <x v="242"/>
    <x v="38"/>
    <x v="497"/>
    <x v="0"/>
    <x v="76"/>
    <x v="9"/>
    <x v="1"/>
    <x v="4"/>
    <x v="221"/>
    <x v="5"/>
  </r>
  <r>
    <x v="242"/>
    <x v="12"/>
    <x v="764"/>
    <x v="0"/>
    <x v="48"/>
    <x v="9"/>
    <x v="1"/>
    <x v="4"/>
    <x v="221"/>
    <x v="5"/>
  </r>
  <r>
    <x v="242"/>
    <x v="31"/>
    <x v="1886"/>
    <x v="0"/>
    <x v="461"/>
    <x v="9"/>
    <x v="0"/>
    <x v="0"/>
    <x v="162"/>
    <x v="8"/>
  </r>
  <r>
    <x v="242"/>
    <x v="24"/>
    <x v="77"/>
    <x v="1"/>
    <x v="336"/>
    <x v="9"/>
    <x v="0"/>
    <x v="1"/>
    <x v="162"/>
    <x v="6"/>
  </r>
  <r>
    <x v="242"/>
    <x v="20"/>
    <x v="1963"/>
    <x v="0"/>
    <x v="61"/>
    <x v="9"/>
    <x v="1"/>
    <x v="4"/>
    <x v="221"/>
    <x v="5"/>
  </r>
  <r>
    <x v="242"/>
    <x v="13"/>
    <x v="53"/>
    <x v="1"/>
    <x v="123"/>
    <x v="9"/>
    <x v="0"/>
    <x v="1"/>
    <x v="162"/>
    <x v="5"/>
  </r>
  <r>
    <x v="242"/>
    <x v="32"/>
    <x v="692"/>
    <x v="3"/>
    <x v="422"/>
    <x v="9"/>
    <x v="2"/>
    <x v="4"/>
    <x v="221"/>
    <x v="10"/>
  </r>
  <r>
    <x v="242"/>
    <x v="32"/>
    <x v="83"/>
    <x v="6"/>
    <x v="422"/>
    <x v="9"/>
    <x v="2"/>
    <x v="4"/>
    <x v="221"/>
    <x v="10"/>
  </r>
  <r>
    <x v="242"/>
    <x v="32"/>
    <x v="1648"/>
    <x v="7"/>
    <x v="422"/>
    <x v="9"/>
    <x v="2"/>
    <x v="4"/>
    <x v="221"/>
    <x v="10"/>
  </r>
  <r>
    <x v="242"/>
    <x v="32"/>
    <x v="678"/>
    <x v="5"/>
    <x v="422"/>
    <x v="9"/>
    <x v="2"/>
    <x v="4"/>
    <x v="221"/>
    <x v="10"/>
  </r>
  <r>
    <x v="242"/>
    <x v="37"/>
    <x v="191"/>
    <x v="1"/>
    <x v="525"/>
    <x v="9"/>
    <x v="0"/>
    <x v="1"/>
    <x v="162"/>
    <x v="12"/>
  </r>
  <r>
    <x v="243"/>
    <x v="9"/>
    <x v="898"/>
    <x v="0"/>
    <x v="231"/>
    <x v="9"/>
    <x v="0"/>
    <x v="4"/>
    <x v="221"/>
    <x v="5"/>
  </r>
  <r>
    <x v="243"/>
    <x v="1"/>
    <x v="34"/>
    <x v="0"/>
    <x v="432"/>
    <x v="9"/>
    <x v="0"/>
    <x v="4"/>
    <x v="221"/>
    <x v="4"/>
  </r>
  <r>
    <x v="243"/>
    <x v="12"/>
    <x v="112"/>
    <x v="0"/>
    <x v="48"/>
    <x v="9"/>
    <x v="1"/>
    <x v="4"/>
    <x v="221"/>
    <x v="5"/>
  </r>
  <r>
    <x v="243"/>
    <x v="28"/>
    <x v="138"/>
    <x v="1"/>
    <x v="371"/>
    <x v="9"/>
    <x v="0"/>
    <x v="4"/>
    <x v="221"/>
    <x v="0"/>
  </r>
  <r>
    <x v="243"/>
    <x v="17"/>
    <x v="1921"/>
    <x v="0"/>
    <x v="194"/>
    <x v="9"/>
    <x v="1"/>
    <x v="4"/>
    <x v="221"/>
    <x v="3"/>
  </r>
  <r>
    <x v="243"/>
    <x v="15"/>
    <x v="158"/>
    <x v="3"/>
    <x v="353"/>
    <x v="9"/>
    <x v="0"/>
    <x v="2"/>
    <x v="163"/>
    <x v="4"/>
  </r>
  <r>
    <x v="243"/>
    <x v="24"/>
    <x v="87"/>
    <x v="3"/>
    <x v="561"/>
    <x v="9"/>
    <x v="0"/>
    <x v="2"/>
    <x v="221"/>
    <x v="6"/>
  </r>
  <r>
    <x v="243"/>
    <x v="32"/>
    <x v="1095"/>
    <x v="3"/>
    <x v="422"/>
    <x v="9"/>
    <x v="2"/>
    <x v="4"/>
    <x v="221"/>
    <x v="10"/>
  </r>
  <r>
    <x v="243"/>
    <x v="32"/>
    <x v="27"/>
    <x v="6"/>
    <x v="422"/>
    <x v="9"/>
    <x v="2"/>
    <x v="4"/>
    <x v="221"/>
    <x v="10"/>
  </r>
  <r>
    <x v="243"/>
    <x v="32"/>
    <x v="1718"/>
    <x v="7"/>
    <x v="422"/>
    <x v="9"/>
    <x v="2"/>
    <x v="4"/>
    <x v="221"/>
    <x v="10"/>
  </r>
  <r>
    <x v="243"/>
    <x v="24"/>
    <x v="83"/>
    <x v="1"/>
    <x v="247"/>
    <x v="9"/>
    <x v="0"/>
    <x v="1"/>
    <x v="163"/>
    <x v="6"/>
  </r>
  <r>
    <x v="243"/>
    <x v="38"/>
    <x v="475"/>
    <x v="1"/>
    <x v="49"/>
    <x v="9"/>
    <x v="0"/>
    <x v="1"/>
    <x v="163"/>
    <x v="5"/>
  </r>
  <r>
    <x v="243"/>
    <x v="37"/>
    <x v="112"/>
    <x v="1"/>
    <x v="525"/>
    <x v="9"/>
    <x v="0"/>
    <x v="1"/>
    <x v="163"/>
    <x v="12"/>
  </r>
  <r>
    <x v="243"/>
    <x v="23"/>
    <x v="12"/>
    <x v="3"/>
    <x v="285"/>
    <x v="9"/>
    <x v="0"/>
    <x v="2"/>
    <x v="163"/>
    <x v="6"/>
  </r>
  <r>
    <x v="243"/>
    <x v="38"/>
    <x v="87"/>
    <x v="3"/>
    <x v="553"/>
    <x v="9"/>
    <x v="0"/>
    <x v="1"/>
    <x v="163"/>
    <x v="5"/>
  </r>
  <r>
    <x v="244"/>
    <x v="9"/>
    <x v="956"/>
    <x v="0"/>
    <x v="231"/>
    <x v="9"/>
    <x v="0"/>
    <x v="4"/>
    <x v="221"/>
    <x v="5"/>
  </r>
  <r>
    <x v="244"/>
    <x v="8"/>
    <x v="1059"/>
    <x v="0"/>
    <x v="238"/>
    <x v="9"/>
    <x v="1"/>
    <x v="4"/>
    <x v="221"/>
    <x v="5"/>
  </r>
  <r>
    <x v="244"/>
    <x v="3"/>
    <x v="578"/>
    <x v="1"/>
    <x v="579"/>
    <x v="9"/>
    <x v="0"/>
    <x v="1"/>
    <x v="164"/>
    <x v="4"/>
  </r>
  <r>
    <x v="244"/>
    <x v="38"/>
    <x v="65"/>
    <x v="1"/>
    <x v="401"/>
    <x v="9"/>
    <x v="0"/>
    <x v="1"/>
    <x v="164"/>
    <x v="5"/>
  </r>
  <r>
    <x v="244"/>
    <x v="1"/>
    <x v="55"/>
    <x v="3"/>
    <x v="432"/>
    <x v="9"/>
    <x v="0"/>
    <x v="2"/>
    <x v="164"/>
    <x v="4"/>
  </r>
  <r>
    <x v="244"/>
    <x v="20"/>
    <x v="28"/>
    <x v="3"/>
    <x v="380"/>
    <x v="9"/>
    <x v="0"/>
    <x v="2"/>
    <x v="164"/>
    <x v="5"/>
  </r>
  <r>
    <x v="243"/>
    <x v="38"/>
    <x v="204"/>
    <x v="0"/>
    <x v="76"/>
    <x v="9"/>
    <x v="1"/>
    <x v="4"/>
    <x v="221"/>
    <x v="5"/>
  </r>
  <r>
    <x v="244"/>
    <x v="38"/>
    <x v="209"/>
    <x v="0"/>
    <x v="76"/>
    <x v="9"/>
    <x v="1"/>
    <x v="4"/>
    <x v="221"/>
    <x v="5"/>
  </r>
  <r>
    <x v="244"/>
    <x v="19"/>
    <x v="1195"/>
    <x v="0"/>
    <x v="474"/>
    <x v="9"/>
    <x v="1"/>
    <x v="4"/>
    <x v="221"/>
    <x v="3"/>
  </r>
  <r>
    <x v="244"/>
    <x v="32"/>
    <x v="611"/>
    <x v="3"/>
    <x v="422"/>
    <x v="9"/>
    <x v="2"/>
    <x v="4"/>
    <x v="221"/>
    <x v="10"/>
  </r>
  <r>
    <x v="244"/>
    <x v="32"/>
    <x v="90"/>
    <x v="2"/>
    <x v="422"/>
    <x v="9"/>
    <x v="2"/>
    <x v="4"/>
    <x v="221"/>
    <x v="10"/>
  </r>
  <r>
    <x v="244"/>
    <x v="32"/>
    <x v="100"/>
    <x v="6"/>
    <x v="422"/>
    <x v="9"/>
    <x v="2"/>
    <x v="4"/>
    <x v="221"/>
    <x v="10"/>
  </r>
  <r>
    <x v="244"/>
    <x v="32"/>
    <x v="1629"/>
    <x v="7"/>
    <x v="422"/>
    <x v="9"/>
    <x v="2"/>
    <x v="4"/>
    <x v="221"/>
    <x v="10"/>
  </r>
  <r>
    <x v="244"/>
    <x v="32"/>
    <x v="105"/>
    <x v="5"/>
    <x v="422"/>
    <x v="9"/>
    <x v="2"/>
    <x v="4"/>
    <x v="221"/>
    <x v="10"/>
  </r>
  <r>
    <x v="244"/>
    <x v="24"/>
    <x v="518"/>
    <x v="3"/>
    <x v="561"/>
    <x v="9"/>
    <x v="0"/>
    <x v="2"/>
    <x v="164"/>
    <x v="6"/>
  </r>
  <r>
    <x v="244"/>
    <x v="37"/>
    <x v="112"/>
    <x v="3"/>
    <x v="525"/>
    <x v="9"/>
    <x v="0"/>
    <x v="2"/>
    <x v="164"/>
    <x v="12"/>
  </r>
  <r>
    <x v="245"/>
    <x v="38"/>
    <x v="375"/>
    <x v="3"/>
    <x v="389"/>
    <x v="9"/>
    <x v="0"/>
    <x v="2"/>
    <x v="165"/>
    <x v="5"/>
  </r>
  <r>
    <x v="245"/>
    <x v="20"/>
    <x v="259"/>
    <x v="0"/>
    <x v="61"/>
    <x v="9"/>
    <x v="1"/>
    <x v="4"/>
    <x v="221"/>
    <x v="5"/>
  </r>
  <r>
    <x v="245"/>
    <x v="32"/>
    <x v="756"/>
    <x v="3"/>
    <x v="422"/>
    <x v="9"/>
    <x v="2"/>
    <x v="4"/>
    <x v="221"/>
    <x v="10"/>
  </r>
  <r>
    <x v="245"/>
    <x v="32"/>
    <x v="1617"/>
    <x v="7"/>
    <x v="422"/>
    <x v="9"/>
    <x v="2"/>
    <x v="4"/>
    <x v="221"/>
    <x v="10"/>
  </r>
  <r>
    <x v="245"/>
    <x v="32"/>
    <x v="1204"/>
    <x v="5"/>
    <x v="422"/>
    <x v="9"/>
    <x v="2"/>
    <x v="4"/>
    <x v="221"/>
    <x v="10"/>
  </r>
  <r>
    <x v="245"/>
    <x v="31"/>
    <x v="112"/>
    <x v="3"/>
    <x v="571"/>
    <x v="9"/>
    <x v="0"/>
    <x v="2"/>
    <x v="165"/>
    <x v="8"/>
  </r>
  <r>
    <x v="245"/>
    <x v="37"/>
    <x v="69"/>
    <x v="3"/>
    <x v="525"/>
    <x v="9"/>
    <x v="0"/>
    <x v="2"/>
    <x v="165"/>
    <x v="12"/>
  </r>
  <r>
    <x v="246"/>
    <x v="8"/>
    <x v="816"/>
    <x v="0"/>
    <x v="238"/>
    <x v="9"/>
    <x v="1"/>
    <x v="4"/>
    <x v="221"/>
    <x v="5"/>
  </r>
  <r>
    <x v="246"/>
    <x v="9"/>
    <x v="180"/>
    <x v="0"/>
    <x v="231"/>
    <x v="9"/>
    <x v="0"/>
    <x v="4"/>
    <x v="221"/>
    <x v="5"/>
  </r>
  <r>
    <x v="246"/>
    <x v="38"/>
    <x v="129"/>
    <x v="0"/>
    <x v="76"/>
    <x v="9"/>
    <x v="1"/>
    <x v="4"/>
    <x v="221"/>
    <x v="5"/>
  </r>
  <r>
    <x v="246"/>
    <x v="12"/>
    <x v="181"/>
    <x v="0"/>
    <x v="48"/>
    <x v="9"/>
    <x v="1"/>
    <x v="4"/>
    <x v="221"/>
    <x v="5"/>
  </r>
  <r>
    <x v="246"/>
    <x v="38"/>
    <x v="19"/>
    <x v="3"/>
    <x v="334"/>
    <x v="9"/>
    <x v="0"/>
    <x v="1"/>
    <x v="166"/>
    <x v="5"/>
  </r>
  <r>
    <x v="246"/>
    <x v="13"/>
    <x v="1689"/>
    <x v="0"/>
    <x v="558"/>
    <x v="9"/>
    <x v="1"/>
    <x v="4"/>
    <x v="221"/>
    <x v="5"/>
  </r>
  <r>
    <x v="246"/>
    <x v="32"/>
    <x v="744"/>
    <x v="3"/>
    <x v="422"/>
    <x v="9"/>
    <x v="2"/>
    <x v="4"/>
    <x v="221"/>
    <x v="10"/>
  </r>
  <r>
    <x v="246"/>
    <x v="32"/>
    <x v="216"/>
    <x v="2"/>
    <x v="422"/>
    <x v="9"/>
    <x v="2"/>
    <x v="4"/>
    <x v="221"/>
    <x v="10"/>
  </r>
  <r>
    <x v="246"/>
    <x v="32"/>
    <x v="58"/>
    <x v="6"/>
    <x v="422"/>
    <x v="9"/>
    <x v="2"/>
    <x v="4"/>
    <x v="221"/>
    <x v="10"/>
  </r>
  <r>
    <x v="246"/>
    <x v="32"/>
    <x v="1723"/>
    <x v="7"/>
    <x v="422"/>
    <x v="9"/>
    <x v="2"/>
    <x v="4"/>
    <x v="221"/>
    <x v="10"/>
  </r>
  <r>
    <x v="246"/>
    <x v="32"/>
    <x v="1191"/>
    <x v="5"/>
    <x v="422"/>
    <x v="9"/>
    <x v="2"/>
    <x v="4"/>
    <x v="221"/>
    <x v="10"/>
  </r>
  <r>
    <x v="246"/>
    <x v="28"/>
    <x v="65"/>
    <x v="3"/>
    <x v="558"/>
    <x v="9"/>
    <x v="0"/>
    <x v="1"/>
    <x v="166"/>
    <x v="0"/>
  </r>
  <r>
    <x v="246"/>
    <x v="37"/>
    <x v="83"/>
    <x v="3"/>
    <x v="525"/>
    <x v="9"/>
    <x v="0"/>
    <x v="1"/>
    <x v="166"/>
    <x v="12"/>
  </r>
  <r>
    <x v="247"/>
    <x v="9"/>
    <x v="240"/>
    <x v="0"/>
    <x v="231"/>
    <x v="9"/>
    <x v="0"/>
    <x v="4"/>
    <x v="221"/>
    <x v="14"/>
  </r>
  <r>
    <x v="247"/>
    <x v="20"/>
    <x v="28"/>
    <x v="3"/>
    <x v="380"/>
    <x v="9"/>
    <x v="0"/>
    <x v="2"/>
    <x v="167"/>
    <x v="5"/>
  </r>
  <r>
    <x v="247"/>
    <x v="1"/>
    <x v="97"/>
    <x v="3"/>
    <x v="432"/>
    <x v="9"/>
    <x v="0"/>
    <x v="2"/>
    <x v="167"/>
    <x v="4"/>
  </r>
  <r>
    <x v="247"/>
    <x v="12"/>
    <x v="242"/>
    <x v="0"/>
    <x v="48"/>
    <x v="9"/>
    <x v="1"/>
    <x v="4"/>
    <x v="221"/>
    <x v="5"/>
  </r>
  <r>
    <x v="247"/>
    <x v="31"/>
    <x v="787"/>
    <x v="0"/>
    <x v="210"/>
    <x v="9"/>
    <x v="0"/>
    <x v="0"/>
    <x v="167"/>
    <x v="8"/>
  </r>
  <r>
    <x v="247"/>
    <x v="38"/>
    <x v="162"/>
    <x v="0"/>
    <x v="76"/>
    <x v="9"/>
    <x v="1"/>
    <x v="4"/>
    <x v="221"/>
    <x v="5"/>
  </r>
  <r>
    <x v="247"/>
    <x v="32"/>
    <x v="842"/>
    <x v="3"/>
    <x v="422"/>
    <x v="9"/>
    <x v="2"/>
    <x v="4"/>
    <x v="221"/>
    <x v="10"/>
  </r>
  <r>
    <x v="247"/>
    <x v="32"/>
    <x v="756"/>
    <x v="2"/>
    <x v="422"/>
    <x v="9"/>
    <x v="2"/>
    <x v="4"/>
    <x v="221"/>
    <x v="10"/>
  </r>
  <r>
    <x v="247"/>
    <x v="32"/>
    <x v="547"/>
    <x v="6"/>
    <x v="422"/>
    <x v="9"/>
    <x v="2"/>
    <x v="4"/>
    <x v="221"/>
    <x v="10"/>
  </r>
  <r>
    <x v="247"/>
    <x v="32"/>
    <x v="1736"/>
    <x v="7"/>
    <x v="422"/>
    <x v="9"/>
    <x v="2"/>
    <x v="4"/>
    <x v="221"/>
    <x v="10"/>
  </r>
  <r>
    <x v="247"/>
    <x v="32"/>
    <x v="1542"/>
    <x v="5"/>
    <x v="422"/>
    <x v="9"/>
    <x v="2"/>
    <x v="4"/>
    <x v="221"/>
    <x v="10"/>
  </r>
  <r>
    <x v="247"/>
    <x v="6"/>
    <x v="518"/>
    <x v="1"/>
    <x v="569"/>
    <x v="9"/>
    <x v="0"/>
    <x v="1"/>
    <x v="167"/>
    <x v="7"/>
  </r>
  <r>
    <x v="247"/>
    <x v="37"/>
    <x v="94"/>
    <x v="3"/>
    <x v="525"/>
    <x v="9"/>
    <x v="0"/>
    <x v="2"/>
    <x v="167"/>
    <x v="12"/>
  </r>
  <r>
    <x v="247"/>
    <x v="16"/>
    <x v="49"/>
    <x v="3"/>
    <x v="247"/>
    <x v="9"/>
    <x v="0"/>
    <x v="2"/>
    <x v="167"/>
    <x v="6"/>
  </r>
  <r>
    <x v="248"/>
    <x v="20"/>
    <x v="28"/>
    <x v="3"/>
    <x v="380"/>
    <x v="9"/>
    <x v="0"/>
    <x v="2"/>
    <x v="168"/>
    <x v="5"/>
  </r>
  <r>
    <x v="248"/>
    <x v="9"/>
    <x v="777"/>
    <x v="0"/>
    <x v="231"/>
    <x v="9"/>
    <x v="0"/>
    <x v="4"/>
    <x v="221"/>
    <x v="5"/>
  </r>
  <r>
    <x v="248"/>
    <x v="1"/>
    <x v="59"/>
    <x v="3"/>
    <x v="432"/>
    <x v="9"/>
    <x v="0"/>
    <x v="2"/>
    <x v="168"/>
    <x v="4"/>
  </r>
  <r>
    <x v="248"/>
    <x v="12"/>
    <x v="434"/>
    <x v="0"/>
    <x v="48"/>
    <x v="9"/>
    <x v="1"/>
    <x v="4"/>
    <x v="221"/>
    <x v="5"/>
  </r>
  <r>
    <x v="248"/>
    <x v="27"/>
    <x v="739"/>
    <x v="0"/>
    <x v="5"/>
    <x v="9"/>
    <x v="0"/>
    <x v="0"/>
    <x v="168"/>
    <x v="5"/>
  </r>
  <r>
    <x v="248"/>
    <x v="28"/>
    <x v="138"/>
    <x v="3"/>
    <x v="371"/>
    <x v="9"/>
    <x v="0"/>
    <x v="1"/>
    <x v="168"/>
    <x v="0"/>
  </r>
  <r>
    <x v="248"/>
    <x v="20"/>
    <x v="226"/>
    <x v="0"/>
    <x v="61"/>
    <x v="9"/>
    <x v="1"/>
    <x v="4"/>
    <x v="221"/>
    <x v="5"/>
  </r>
  <r>
    <x v="248"/>
    <x v="19"/>
    <x v="751"/>
    <x v="0"/>
    <x v="474"/>
    <x v="9"/>
    <x v="1"/>
    <x v="4"/>
    <x v="221"/>
    <x v="3"/>
  </r>
  <r>
    <x v="248"/>
    <x v="38"/>
    <x v="359"/>
    <x v="0"/>
    <x v="76"/>
    <x v="9"/>
    <x v="1"/>
    <x v="4"/>
    <x v="221"/>
    <x v="5"/>
  </r>
  <r>
    <x v="248"/>
    <x v="32"/>
    <x v="655"/>
    <x v="3"/>
    <x v="422"/>
    <x v="9"/>
    <x v="2"/>
    <x v="4"/>
    <x v="221"/>
    <x v="10"/>
  </r>
  <r>
    <x v="248"/>
    <x v="32"/>
    <x v="191"/>
    <x v="2"/>
    <x v="422"/>
    <x v="9"/>
    <x v="2"/>
    <x v="4"/>
    <x v="221"/>
    <x v="10"/>
  </r>
  <r>
    <x v="248"/>
    <x v="32"/>
    <x v="1772"/>
    <x v="7"/>
    <x v="422"/>
    <x v="9"/>
    <x v="2"/>
    <x v="4"/>
    <x v="221"/>
    <x v="10"/>
  </r>
  <r>
    <x v="248"/>
    <x v="32"/>
    <x v="527"/>
    <x v="5"/>
    <x v="422"/>
    <x v="9"/>
    <x v="2"/>
    <x v="4"/>
    <x v="221"/>
    <x v="10"/>
  </r>
  <r>
    <x v="248"/>
    <x v="37"/>
    <x v="129"/>
    <x v="3"/>
    <x v="525"/>
    <x v="9"/>
    <x v="0"/>
    <x v="2"/>
    <x v="168"/>
    <x v="12"/>
  </r>
  <r>
    <x v="249"/>
    <x v="9"/>
    <x v="535"/>
    <x v="0"/>
    <x v="231"/>
    <x v="9"/>
    <x v="0"/>
    <x v="4"/>
    <x v="221"/>
    <x v="5"/>
  </r>
  <r>
    <x v="249"/>
    <x v="1"/>
    <x v="27"/>
    <x v="3"/>
    <x v="432"/>
    <x v="9"/>
    <x v="0"/>
    <x v="2"/>
    <x v="169"/>
    <x v="4"/>
  </r>
  <r>
    <x v="249"/>
    <x v="8"/>
    <x v="816"/>
    <x v="0"/>
    <x v="238"/>
    <x v="9"/>
    <x v="1"/>
    <x v="4"/>
    <x v="221"/>
    <x v="5"/>
  </r>
  <r>
    <x v="249"/>
    <x v="22"/>
    <x v="599"/>
    <x v="0"/>
    <x v="457"/>
    <x v="9"/>
    <x v="0"/>
    <x v="0"/>
    <x v="169"/>
    <x v="3"/>
  </r>
  <r>
    <x v="249"/>
    <x v="20"/>
    <x v="138"/>
    <x v="1"/>
    <x v="61"/>
    <x v="9"/>
    <x v="0"/>
    <x v="1"/>
    <x v="169"/>
    <x v="5"/>
  </r>
  <r>
    <x v="249"/>
    <x v="0"/>
    <x v="45"/>
    <x v="3"/>
    <x v="450"/>
    <x v="9"/>
    <x v="0"/>
    <x v="2"/>
    <x v="169"/>
    <x v="9"/>
  </r>
  <r>
    <x v="249"/>
    <x v="38"/>
    <x v="117"/>
    <x v="0"/>
    <x v="76"/>
    <x v="9"/>
    <x v="1"/>
    <x v="4"/>
    <x v="221"/>
    <x v="5"/>
  </r>
  <r>
    <x v="249"/>
    <x v="19"/>
    <x v="751"/>
    <x v="0"/>
    <x v="474"/>
    <x v="9"/>
    <x v="1"/>
    <x v="4"/>
    <x v="221"/>
    <x v="3"/>
  </r>
  <r>
    <x v="249"/>
    <x v="32"/>
    <x v="154"/>
    <x v="3"/>
    <x v="422"/>
    <x v="9"/>
    <x v="2"/>
    <x v="4"/>
    <x v="221"/>
    <x v="10"/>
  </r>
  <r>
    <x v="249"/>
    <x v="32"/>
    <x v="709"/>
    <x v="2"/>
    <x v="422"/>
    <x v="9"/>
    <x v="2"/>
    <x v="4"/>
    <x v="221"/>
    <x v="10"/>
  </r>
  <r>
    <x v="249"/>
    <x v="32"/>
    <x v="12"/>
    <x v="6"/>
    <x v="422"/>
    <x v="9"/>
    <x v="2"/>
    <x v="4"/>
    <x v="221"/>
    <x v="10"/>
  </r>
  <r>
    <x v="249"/>
    <x v="32"/>
    <x v="1607"/>
    <x v="7"/>
    <x v="422"/>
    <x v="9"/>
    <x v="2"/>
    <x v="4"/>
    <x v="221"/>
    <x v="10"/>
  </r>
  <r>
    <x v="249"/>
    <x v="32"/>
    <x v="642"/>
    <x v="5"/>
    <x v="422"/>
    <x v="9"/>
    <x v="2"/>
    <x v="4"/>
    <x v="221"/>
    <x v="10"/>
  </r>
  <r>
    <x v="249"/>
    <x v="37"/>
    <x v="100"/>
    <x v="1"/>
    <x v="525"/>
    <x v="9"/>
    <x v="0"/>
    <x v="2"/>
    <x v="169"/>
    <x v="12"/>
  </r>
  <r>
    <x v="250"/>
    <x v="9"/>
    <x v="837"/>
    <x v="0"/>
    <x v="231"/>
    <x v="9"/>
    <x v="0"/>
    <x v="4"/>
    <x v="221"/>
    <x v="5"/>
  </r>
  <r>
    <x v="250"/>
    <x v="1"/>
    <x v="27"/>
    <x v="3"/>
    <x v="432"/>
    <x v="9"/>
    <x v="0"/>
    <x v="4"/>
    <x v="221"/>
    <x v="4"/>
  </r>
  <r>
    <x v="250"/>
    <x v="20"/>
    <x v="549"/>
    <x v="0"/>
    <x v="61"/>
    <x v="9"/>
    <x v="1"/>
    <x v="4"/>
    <x v="221"/>
    <x v="5"/>
  </r>
  <r>
    <x v="250"/>
    <x v="12"/>
    <x v="347"/>
    <x v="0"/>
    <x v="48"/>
    <x v="9"/>
    <x v="1"/>
    <x v="4"/>
    <x v="221"/>
    <x v="5"/>
  </r>
  <r>
    <x v="250"/>
    <x v="16"/>
    <x v="191"/>
    <x v="0"/>
    <x v="193"/>
    <x v="9"/>
    <x v="0"/>
    <x v="0"/>
    <x v="170"/>
    <x v="6"/>
  </r>
  <r>
    <x v="250"/>
    <x v="38"/>
    <x v="71"/>
    <x v="0"/>
    <x v="76"/>
    <x v="9"/>
    <x v="1"/>
    <x v="4"/>
    <x v="221"/>
    <x v="5"/>
  </r>
  <r>
    <x v="250"/>
    <x v="15"/>
    <x v="143"/>
    <x v="3"/>
    <x v="353"/>
    <x v="9"/>
    <x v="0"/>
    <x v="2"/>
    <x v="170"/>
    <x v="4"/>
  </r>
  <r>
    <x v="250"/>
    <x v="32"/>
    <x v="1161"/>
    <x v="3"/>
    <x v="422"/>
    <x v="9"/>
    <x v="2"/>
    <x v="4"/>
    <x v="221"/>
    <x v="10"/>
  </r>
  <r>
    <x v="250"/>
    <x v="32"/>
    <x v="517"/>
    <x v="6"/>
    <x v="422"/>
    <x v="9"/>
    <x v="2"/>
    <x v="4"/>
    <x v="221"/>
    <x v="10"/>
  </r>
  <r>
    <x v="250"/>
    <x v="32"/>
    <x v="1474"/>
    <x v="7"/>
    <x v="422"/>
    <x v="9"/>
    <x v="2"/>
    <x v="4"/>
    <x v="221"/>
    <x v="10"/>
  </r>
  <r>
    <x v="250"/>
    <x v="32"/>
    <x v="307"/>
    <x v="5"/>
    <x v="422"/>
    <x v="9"/>
    <x v="2"/>
    <x v="4"/>
    <x v="221"/>
    <x v="10"/>
  </r>
  <r>
    <x v="250"/>
    <x v="24"/>
    <x v="988"/>
    <x v="1"/>
    <x v="250"/>
    <x v="9"/>
    <x v="0"/>
    <x v="1"/>
    <x v="170"/>
    <x v="6"/>
  </r>
  <r>
    <x v="250"/>
    <x v="37"/>
    <x v="65"/>
    <x v="1"/>
    <x v="525"/>
    <x v="9"/>
    <x v="0"/>
    <x v="2"/>
    <x v="170"/>
    <x v="12"/>
  </r>
  <r>
    <x v="251"/>
    <x v="8"/>
    <x v="816"/>
    <x v="0"/>
    <x v="238"/>
    <x v="10"/>
    <x v="1"/>
    <x v="3"/>
    <x v="221"/>
    <x v="5"/>
  </r>
  <r>
    <x v="251"/>
    <x v="9"/>
    <x v="1377"/>
    <x v="0"/>
    <x v="231"/>
    <x v="10"/>
    <x v="0"/>
    <x v="4"/>
    <x v="221"/>
    <x v="5"/>
  </r>
  <r>
    <x v="251"/>
    <x v="12"/>
    <x v="339"/>
    <x v="1"/>
    <x v="516"/>
    <x v="10"/>
    <x v="0"/>
    <x v="3"/>
    <x v="221"/>
    <x v="5"/>
  </r>
  <r>
    <x v="251"/>
    <x v="20"/>
    <x v="28"/>
    <x v="3"/>
    <x v="380"/>
    <x v="10"/>
    <x v="0"/>
    <x v="1"/>
    <x v="221"/>
    <x v="5"/>
  </r>
  <r>
    <x v="251"/>
    <x v="38"/>
    <x v="27"/>
    <x v="1"/>
    <x v="300"/>
    <x v="10"/>
    <x v="0"/>
    <x v="3"/>
    <x v="221"/>
    <x v="5"/>
  </r>
  <r>
    <x v="251"/>
    <x v="12"/>
    <x v="33"/>
    <x v="1"/>
    <x v="295"/>
    <x v="10"/>
    <x v="0"/>
    <x v="4"/>
    <x v="221"/>
    <x v="5"/>
  </r>
  <r>
    <x v="251"/>
    <x v="37"/>
    <x v="80"/>
    <x v="1"/>
    <x v="546"/>
    <x v="10"/>
    <x v="0"/>
    <x v="4"/>
    <x v="221"/>
    <x v="12"/>
  </r>
  <r>
    <x v="251"/>
    <x v="24"/>
    <x v="578"/>
    <x v="1"/>
    <x v="250"/>
    <x v="10"/>
    <x v="0"/>
    <x v="4"/>
    <x v="221"/>
    <x v="6"/>
  </r>
  <r>
    <x v="251"/>
    <x v="32"/>
    <x v="1340"/>
    <x v="3"/>
    <x v="422"/>
    <x v="10"/>
    <x v="2"/>
    <x v="4"/>
    <x v="221"/>
    <x v="10"/>
  </r>
  <r>
    <x v="251"/>
    <x v="32"/>
    <x v="478"/>
    <x v="5"/>
    <x v="422"/>
    <x v="10"/>
    <x v="2"/>
    <x v="4"/>
    <x v="221"/>
    <x v="10"/>
  </r>
  <r>
    <x v="251"/>
    <x v="32"/>
    <x v="49"/>
    <x v="6"/>
    <x v="422"/>
    <x v="10"/>
    <x v="2"/>
    <x v="4"/>
    <x v="221"/>
    <x v="10"/>
  </r>
  <r>
    <x v="251"/>
    <x v="32"/>
    <x v="1840"/>
    <x v="7"/>
    <x v="422"/>
    <x v="10"/>
    <x v="2"/>
    <x v="4"/>
    <x v="221"/>
    <x v="10"/>
  </r>
  <r>
    <x v="251"/>
    <x v="32"/>
    <x v="945"/>
    <x v="2"/>
    <x v="422"/>
    <x v="10"/>
    <x v="2"/>
    <x v="4"/>
    <x v="221"/>
    <x v="10"/>
  </r>
  <r>
    <x v="251"/>
    <x v="1"/>
    <x v="45"/>
    <x v="3"/>
    <x v="432"/>
    <x v="10"/>
    <x v="0"/>
    <x v="2"/>
    <x v="171"/>
    <x v="4"/>
  </r>
  <r>
    <x v="251"/>
    <x v="23"/>
    <x v="9"/>
    <x v="3"/>
    <x v="285"/>
    <x v="10"/>
    <x v="0"/>
    <x v="2"/>
    <x v="171"/>
    <x v="6"/>
  </r>
  <r>
    <x v="251"/>
    <x v="38"/>
    <x v="247"/>
    <x v="0"/>
    <x v="76"/>
    <x v="10"/>
    <x v="1"/>
    <x v="4"/>
    <x v="221"/>
    <x v="5"/>
  </r>
  <r>
    <x v="252"/>
    <x v="20"/>
    <x v="1329"/>
    <x v="0"/>
    <x v="61"/>
    <x v="10"/>
    <x v="1"/>
    <x v="4"/>
    <x v="221"/>
    <x v="5"/>
  </r>
  <r>
    <x v="252"/>
    <x v="20"/>
    <x v="495"/>
    <x v="1"/>
    <x v="210"/>
    <x v="10"/>
    <x v="0"/>
    <x v="1"/>
    <x v="172"/>
    <x v="5"/>
  </r>
  <r>
    <x v="251"/>
    <x v="12"/>
    <x v="117"/>
    <x v="0"/>
    <x v="48"/>
    <x v="10"/>
    <x v="1"/>
    <x v="4"/>
    <x v="221"/>
    <x v="5"/>
  </r>
  <r>
    <x v="252"/>
    <x v="1"/>
    <x v="45"/>
    <x v="3"/>
    <x v="432"/>
    <x v="10"/>
    <x v="0"/>
    <x v="2"/>
    <x v="172"/>
    <x v="4"/>
  </r>
  <r>
    <x v="252"/>
    <x v="31"/>
    <x v="1479"/>
    <x v="0"/>
    <x v="392"/>
    <x v="10"/>
    <x v="0"/>
    <x v="3"/>
    <x v="172"/>
    <x v="8"/>
  </r>
  <r>
    <x v="252"/>
    <x v="9"/>
    <x v="1135"/>
    <x v="0"/>
    <x v="231"/>
    <x v="10"/>
    <x v="0"/>
    <x v="4"/>
    <x v="221"/>
    <x v="5"/>
  </r>
  <r>
    <x v="252"/>
    <x v="9"/>
    <x v="277"/>
    <x v="1"/>
    <x v="91"/>
    <x v="10"/>
    <x v="0"/>
    <x v="1"/>
    <x v="172"/>
    <x v="5"/>
  </r>
  <r>
    <x v="251"/>
    <x v="19"/>
    <x v="755"/>
    <x v="0"/>
    <x v="474"/>
    <x v="10"/>
    <x v="1"/>
    <x v="4"/>
    <x v="221"/>
    <x v="3"/>
  </r>
  <r>
    <x v="252"/>
    <x v="12"/>
    <x v="692"/>
    <x v="0"/>
    <x v="48"/>
    <x v="10"/>
    <x v="1"/>
    <x v="4"/>
    <x v="221"/>
    <x v="5"/>
  </r>
  <r>
    <x v="252"/>
    <x v="20"/>
    <x v="343"/>
    <x v="1"/>
    <x v="98"/>
    <x v="10"/>
    <x v="0"/>
    <x v="1"/>
    <x v="172"/>
    <x v="5"/>
  </r>
  <r>
    <x v="252"/>
    <x v="20"/>
    <x v="461"/>
    <x v="3"/>
    <x v="272"/>
    <x v="10"/>
    <x v="0"/>
    <x v="2"/>
    <x v="172"/>
    <x v="5"/>
  </r>
  <r>
    <x v="252"/>
    <x v="16"/>
    <x v="132"/>
    <x v="1"/>
    <x v="247"/>
    <x v="10"/>
    <x v="0"/>
    <x v="1"/>
    <x v="172"/>
    <x v="6"/>
  </r>
  <r>
    <x v="252"/>
    <x v="24"/>
    <x v="36"/>
    <x v="1"/>
    <x v="459"/>
    <x v="10"/>
    <x v="0"/>
    <x v="1"/>
    <x v="172"/>
    <x v="6"/>
  </r>
  <r>
    <x v="252"/>
    <x v="38"/>
    <x v="239"/>
    <x v="1"/>
    <x v="553"/>
    <x v="10"/>
    <x v="0"/>
    <x v="1"/>
    <x v="172"/>
    <x v="5"/>
  </r>
  <r>
    <x v="252"/>
    <x v="25"/>
    <x v="138"/>
    <x v="1"/>
    <x v="210"/>
    <x v="10"/>
    <x v="0"/>
    <x v="1"/>
    <x v="172"/>
    <x v="12"/>
  </r>
  <r>
    <x v="252"/>
    <x v="12"/>
    <x v="147"/>
    <x v="3"/>
    <x v="516"/>
    <x v="10"/>
    <x v="0"/>
    <x v="2"/>
    <x v="172"/>
    <x v="5"/>
  </r>
  <r>
    <x v="252"/>
    <x v="15"/>
    <x v="143"/>
    <x v="3"/>
    <x v="353"/>
    <x v="10"/>
    <x v="0"/>
    <x v="2"/>
    <x v="172"/>
    <x v="4"/>
  </r>
  <r>
    <x v="252"/>
    <x v="28"/>
    <x v="138"/>
    <x v="1"/>
    <x v="371"/>
    <x v="10"/>
    <x v="0"/>
    <x v="2"/>
    <x v="172"/>
    <x v="0"/>
  </r>
  <r>
    <x v="252"/>
    <x v="32"/>
    <x v="1125"/>
    <x v="3"/>
    <x v="422"/>
    <x v="10"/>
    <x v="2"/>
    <x v="4"/>
    <x v="221"/>
    <x v="10"/>
  </r>
  <r>
    <x v="252"/>
    <x v="32"/>
    <x v="986"/>
    <x v="2"/>
    <x v="422"/>
    <x v="10"/>
    <x v="2"/>
    <x v="4"/>
    <x v="221"/>
    <x v="10"/>
  </r>
  <r>
    <x v="252"/>
    <x v="32"/>
    <x v="87"/>
    <x v="6"/>
    <x v="422"/>
    <x v="10"/>
    <x v="2"/>
    <x v="4"/>
    <x v="221"/>
    <x v="10"/>
  </r>
  <r>
    <x v="252"/>
    <x v="32"/>
    <x v="1927"/>
    <x v="7"/>
    <x v="422"/>
    <x v="10"/>
    <x v="2"/>
    <x v="4"/>
    <x v="221"/>
    <x v="10"/>
  </r>
  <r>
    <x v="252"/>
    <x v="32"/>
    <x v="825"/>
    <x v="5"/>
    <x v="422"/>
    <x v="10"/>
    <x v="2"/>
    <x v="4"/>
    <x v="221"/>
    <x v="10"/>
  </r>
  <r>
    <x v="252"/>
    <x v="37"/>
    <x v="90"/>
    <x v="1"/>
    <x v="525"/>
    <x v="10"/>
    <x v="0"/>
    <x v="1"/>
    <x v="172"/>
    <x v="12"/>
  </r>
  <r>
    <x v="252"/>
    <x v="23"/>
    <x v="5"/>
    <x v="3"/>
    <x v="285"/>
    <x v="10"/>
    <x v="0"/>
    <x v="1"/>
    <x v="172"/>
    <x v="6"/>
  </r>
  <r>
    <x v="253"/>
    <x v="8"/>
    <x v="816"/>
    <x v="0"/>
    <x v="238"/>
    <x v="10"/>
    <x v="1"/>
    <x v="4"/>
    <x v="221"/>
    <x v="5"/>
  </r>
  <r>
    <x v="253"/>
    <x v="1"/>
    <x v="65"/>
    <x v="3"/>
    <x v="432"/>
    <x v="10"/>
    <x v="0"/>
    <x v="2"/>
    <x v="173"/>
    <x v="4"/>
  </r>
  <r>
    <x v="253"/>
    <x v="20"/>
    <x v="72"/>
    <x v="3"/>
    <x v="380"/>
    <x v="10"/>
    <x v="0"/>
    <x v="2"/>
    <x v="173"/>
    <x v="5"/>
  </r>
  <r>
    <x v="253"/>
    <x v="12"/>
    <x v="725"/>
    <x v="0"/>
    <x v="48"/>
    <x v="10"/>
    <x v="1"/>
    <x v="4"/>
    <x v="221"/>
    <x v="5"/>
  </r>
  <r>
    <x v="253"/>
    <x v="38"/>
    <x v="205"/>
    <x v="1"/>
    <x v="389"/>
    <x v="10"/>
    <x v="0"/>
    <x v="1"/>
    <x v="173"/>
    <x v="5"/>
  </r>
  <r>
    <x v="253"/>
    <x v="26"/>
    <x v="90"/>
    <x v="3"/>
    <x v="338"/>
    <x v="10"/>
    <x v="0"/>
    <x v="2"/>
    <x v="173"/>
    <x v="5"/>
  </r>
  <r>
    <x v="253"/>
    <x v="40"/>
    <x v="426"/>
    <x v="3"/>
    <x v="583"/>
    <x v="10"/>
    <x v="0"/>
    <x v="2"/>
    <x v="219"/>
    <x v="7"/>
  </r>
  <r>
    <x v="253"/>
    <x v="36"/>
    <x v="1590"/>
    <x v="0"/>
    <x v="208"/>
    <x v="10"/>
    <x v="0"/>
    <x v="3"/>
    <x v="173"/>
    <x v="5"/>
  </r>
  <r>
    <x v="253"/>
    <x v="27"/>
    <x v="909"/>
    <x v="0"/>
    <x v="360"/>
    <x v="10"/>
    <x v="0"/>
    <x v="3"/>
    <x v="173"/>
    <x v="5"/>
  </r>
  <r>
    <x v="253"/>
    <x v="16"/>
    <x v="1044"/>
    <x v="0"/>
    <x v="247"/>
    <x v="10"/>
    <x v="0"/>
    <x v="3"/>
    <x v="173"/>
    <x v="6"/>
  </r>
  <r>
    <x v="253"/>
    <x v="31"/>
    <x v="495"/>
    <x v="0"/>
    <x v="256"/>
    <x v="10"/>
    <x v="0"/>
    <x v="3"/>
    <x v="173"/>
    <x v="8"/>
  </r>
  <r>
    <x v="253"/>
    <x v="38"/>
    <x v="358"/>
    <x v="0"/>
    <x v="76"/>
    <x v="10"/>
    <x v="1"/>
    <x v="4"/>
    <x v="221"/>
    <x v="5"/>
  </r>
  <r>
    <x v="252"/>
    <x v="38"/>
    <x v="233"/>
    <x v="0"/>
    <x v="76"/>
    <x v="10"/>
    <x v="1"/>
    <x v="4"/>
    <x v="221"/>
    <x v="5"/>
  </r>
  <r>
    <x v="253"/>
    <x v="18"/>
    <x v="719"/>
    <x v="0"/>
    <x v="215"/>
    <x v="10"/>
    <x v="0"/>
    <x v="3"/>
    <x v="173"/>
    <x v="3"/>
  </r>
  <r>
    <x v="253"/>
    <x v="12"/>
    <x v="69"/>
    <x v="1"/>
    <x v="446"/>
    <x v="10"/>
    <x v="0"/>
    <x v="1"/>
    <x v="173"/>
    <x v="5"/>
  </r>
  <r>
    <x v="253"/>
    <x v="28"/>
    <x v="134"/>
    <x v="1"/>
    <x v="560"/>
    <x v="10"/>
    <x v="0"/>
    <x v="1"/>
    <x v="173"/>
    <x v="0"/>
  </r>
  <r>
    <x v="253"/>
    <x v="12"/>
    <x v="287"/>
    <x v="1"/>
    <x v="516"/>
    <x v="10"/>
    <x v="0"/>
    <x v="1"/>
    <x v="173"/>
    <x v="5"/>
  </r>
  <r>
    <x v="253"/>
    <x v="19"/>
    <x v="755"/>
    <x v="0"/>
    <x v="474"/>
    <x v="10"/>
    <x v="1"/>
    <x v="4"/>
    <x v="221"/>
    <x v="3"/>
  </r>
  <r>
    <x v="253"/>
    <x v="9"/>
    <x v="1282"/>
    <x v="0"/>
    <x v="231"/>
    <x v="10"/>
    <x v="0"/>
    <x v="4"/>
    <x v="221"/>
    <x v="5"/>
  </r>
  <r>
    <x v="253"/>
    <x v="32"/>
    <x v="710"/>
    <x v="3"/>
    <x v="422"/>
    <x v="10"/>
    <x v="2"/>
    <x v="4"/>
    <x v="221"/>
    <x v="10"/>
  </r>
  <r>
    <x v="253"/>
    <x v="32"/>
    <x v="112"/>
    <x v="2"/>
    <x v="422"/>
    <x v="10"/>
    <x v="2"/>
    <x v="4"/>
    <x v="221"/>
    <x v="10"/>
  </r>
  <r>
    <x v="253"/>
    <x v="32"/>
    <x v="632"/>
    <x v="4"/>
    <x v="422"/>
    <x v="10"/>
    <x v="2"/>
    <x v="4"/>
    <x v="221"/>
    <x v="10"/>
  </r>
  <r>
    <x v="253"/>
    <x v="32"/>
    <x v="1121"/>
    <x v="6"/>
    <x v="422"/>
    <x v="10"/>
    <x v="2"/>
    <x v="4"/>
    <x v="221"/>
    <x v="10"/>
  </r>
  <r>
    <x v="253"/>
    <x v="32"/>
    <x v="1870"/>
    <x v="7"/>
    <x v="422"/>
    <x v="10"/>
    <x v="2"/>
    <x v="4"/>
    <x v="221"/>
    <x v="10"/>
  </r>
  <r>
    <x v="253"/>
    <x v="32"/>
    <x v="337"/>
    <x v="8"/>
    <x v="422"/>
    <x v="10"/>
    <x v="2"/>
    <x v="4"/>
    <x v="221"/>
    <x v="10"/>
  </r>
  <r>
    <x v="253"/>
    <x v="32"/>
    <x v="819"/>
    <x v="5"/>
    <x v="422"/>
    <x v="10"/>
    <x v="2"/>
    <x v="4"/>
    <x v="221"/>
    <x v="10"/>
  </r>
  <r>
    <x v="253"/>
    <x v="37"/>
    <x v="134"/>
    <x v="1"/>
    <x v="525"/>
    <x v="10"/>
    <x v="0"/>
    <x v="1"/>
    <x v="173"/>
    <x v="12"/>
  </r>
  <r>
    <x v="253"/>
    <x v="38"/>
    <x v="134"/>
    <x v="1"/>
    <x v="553"/>
    <x v="10"/>
    <x v="0"/>
    <x v="1"/>
    <x v="173"/>
    <x v="5"/>
  </r>
  <r>
    <x v="253"/>
    <x v="23"/>
    <x v="19"/>
    <x v="3"/>
    <x v="285"/>
    <x v="10"/>
    <x v="0"/>
    <x v="2"/>
    <x v="173"/>
    <x v="6"/>
  </r>
  <r>
    <x v="254"/>
    <x v="12"/>
    <x v="488"/>
    <x v="0"/>
    <x v="48"/>
    <x v="10"/>
    <x v="1"/>
    <x v="4"/>
    <x v="221"/>
    <x v="5"/>
  </r>
  <r>
    <x v="254"/>
    <x v="9"/>
    <x v="1576"/>
    <x v="0"/>
    <x v="231"/>
    <x v="10"/>
    <x v="0"/>
    <x v="4"/>
    <x v="221"/>
    <x v="5"/>
  </r>
  <r>
    <x v="254"/>
    <x v="24"/>
    <x v="518"/>
    <x v="0"/>
    <x v="393"/>
    <x v="10"/>
    <x v="0"/>
    <x v="0"/>
    <x v="174"/>
    <x v="6"/>
  </r>
  <r>
    <x v="254"/>
    <x v="1"/>
    <x v="45"/>
    <x v="3"/>
    <x v="432"/>
    <x v="10"/>
    <x v="0"/>
    <x v="4"/>
    <x v="221"/>
    <x v="4"/>
  </r>
  <r>
    <x v="254"/>
    <x v="23"/>
    <x v="12"/>
    <x v="3"/>
    <x v="285"/>
    <x v="10"/>
    <x v="0"/>
    <x v="2"/>
    <x v="174"/>
    <x v="6"/>
  </r>
  <r>
    <x v="254"/>
    <x v="13"/>
    <x v="45"/>
    <x v="1"/>
    <x v="135"/>
    <x v="10"/>
    <x v="0"/>
    <x v="1"/>
    <x v="174"/>
    <x v="5"/>
  </r>
  <r>
    <x v="254"/>
    <x v="24"/>
    <x v="224"/>
    <x v="3"/>
    <x v="584"/>
    <x v="10"/>
    <x v="0"/>
    <x v="1"/>
    <x v="174"/>
    <x v="6"/>
  </r>
  <r>
    <x v="254"/>
    <x v="25"/>
    <x v="191"/>
    <x v="3"/>
    <x v="321"/>
    <x v="10"/>
    <x v="0"/>
    <x v="2"/>
    <x v="174"/>
    <x v="12"/>
  </r>
  <r>
    <x v="254"/>
    <x v="38"/>
    <x v="257"/>
    <x v="0"/>
    <x v="76"/>
    <x v="10"/>
    <x v="1"/>
    <x v="4"/>
    <x v="221"/>
    <x v="5"/>
  </r>
  <r>
    <x v="254"/>
    <x v="20"/>
    <x v="1080"/>
    <x v="0"/>
    <x v="61"/>
    <x v="10"/>
    <x v="1"/>
    <x v="4"/>
    <x v="221"/>
    <x v="5"/>
  </r>
  <r>
    <x v="254"/>
    <x v="32"/>
    <x v="822"/>
    <x v="3"/>
    <x v="422"/>
    <x v="10"/>
    <x v="2"/>
    <x v="4"/>
    <x v="221"/>
    <x v="10"/>
  </r>
  <r>
    <x v="254"/>
    <x v="32"/>
    <x v="1151"/>
    <x v="2"/>
    <x v="422"/>
    <x v="10"/>
    <x v="2"/>
    <x v="4"/>
    <x v="221"/>
    <x v="10"/>
  </r>
  <r>
    <x v="254"/>
    <x v="32"/>
    <x v="776"/>
    <x v="4"/>
    <x v="422"/>
    <x v="10"/>
    <x v="2"/>
    <x v="4"/>
    <x v="221"/>
    <x v="10"/>
  </r>
  <r>
    <x v="254"/>
    <x v="32"/>
    <x v="1891"/>
    <x v="7"/>
    <x v="422"/>
    <x v="10"/>
    <x v="2"/>
    <x v="4"/>
    <x v="221"/>
    <x v="10"/>
  </r>
  <r>
    <x v="254"/>
    <x v="32"/>
    <x v="1513"/>
    <x v="5"/>
    <x v="422"/>
    <x v="10"/>
    <x v="2"/>
    <x v="4"/>
    <x v="221"/>
    <x v="10"/>
  </r>
  <r>
    <x v="254"/>
    <x v="37"/>
    <x v="65"/>
    <x v="3"/>
    <x v="525"/>
    <x v="10"/>
    <x v="0"/>
    <x v="2"/>
    <x v="175"/>
    <x v="12"/>
  </r>
  <r>
    <x v="255"/>
    <x v="20"/>
    <x v="1978"/>
    <x v="0"/>
    <x v="61"/>
    <x v="10"/>
    <x v="1"/>
    <x v="4"/>
    <x v="221"/>
    <x v="5"/>
  </r>
  <r>
    <x v="255"/>
    <x v="1"/>
    <x v="55"/>
    <x v="3"/>
    <x v="432"/>
    <x v="10"/>
    <x v="0"/>
    <x v="2"/>
    <x v="175"/>
    <x v="4"/>
  </r>
  <r>
    <x v="255"/>
    <x v="3"/>
    <x v="495"/>
    <x v="0"/>
    <x v="579"/>
    <x v="10"/>
    <x v="0"/>
    <x v="3"/>
    <x v="175"/>
    <x v="4"/>
  </r>
  <r>
    <x v="255"/>
    <x v="20"/>
    <x v="28"/>
    <x v="3"/>
    <x v="380"/>
    <x v="10"/>
    <x v="0"/>
    <x v="2"/>
    <x v="175"/>
    <x v="5"/>
  </r>
  <r>
    <x v="255"/>
    <x v="9"/>
    <x v="1385"/>
    <x v="0"/>
    <x v="231"/>
    <x v="10"/>
    <x v="0"/>
    <x v="4"/>
    <x v="221"/>
    <x v="5"/>
  </r>
  <r>
    <x v="255"/>
    <x v="12"/>
    <x v="663"/>
    <x v="0"/>
    <x v="48"/>
    <x v="10"/>
    <x v="1"/>
    <x v="4"/>
    <x v="221"/>
    <x v="5"/>
  </r>
  <r>
    <x v="255"/>
    <x v="24"/>
    <x v="87"/>
    <x v="1"/>
    <x v="336"/>
    <x v="10"/>
    <x v="0"/>
    <x v="1"/>
    <x v="175"/>
    <x v="6"/>
  </r>
  <r>
    <x v="255"/>
    <x v="27"/>
    <x v="964"/>
    <x v="0"/>
    <x v="5"/>
    <x v="10"/>
    <x v="0"/>
    <x v="3"/>
    <x v="175"/>
    <x v="5"/>
  </r>
  <r>
    <x v="255"/>
    <x v="38"/>
    <x v="378"/>
    <x v="0"/>
    <x v="76"/>
    <x v="10"/>
    <x v="1"/>
    <x v="4"/>
    <x v="221"/>
    <x v="5"/>
  </r>
  <r>
    <x v="255"/>
    <x v="19"/>
    <x v="755"/>
    <x v="0"/>
    <x v="474"/>
    <x v="10"/>
    <x v="1"/>
    <x v="4"/>
    <x v="221"/>
    <x v="3"/>
  </r>
  <r>
    <x v="255"/>
    <x v="12"/>
    <x v="90"/>
    <x v="3"/>
    <x v="210"/>
    <x v="10"/>
    <x v="0"/>
    <x v="2"/>
    <x v="175"/>
    <x v="5"/>
  </r>
  <r>
    <x v="255"/>
    <x v="0"/>
    <x v="256"/>
    <x v="3"/>
    <x v="254"/>
    <x v="10"/>
    <x v="0"/>
    <x v="2"/>
    <x v="175"/>
    <x v="9"/>
  </r>
  <r>
    <x v="255"/>
    <x v="0"/>
    <x v="256"/>
    <x v="3"/>
    <x v="450"/>
    <x v="10"/>
    <x v="0"/>
    <x v="2"/>
    <x v="175"/>
    <x v="9"/>
  </r>
  <r>
    <x v="255"/>
    <x v="0"/>
    <x v="931"/>
    <x v="0"/>
    <x v="358"/>
    <x v="10"/>
    <x v="0"/>
    <x v="3"/>
    <x v="175"/>
    <x v="9"/>
  </r>
  <r>
    <x v="255"/>
    <x v="15"/>
    <x v="244"/>
    <x v="3"/>
    <x v="353"/>
    <x v="10"/>
    <x v="0"/>
    <x v="2"/>
    <x v="175"/>
    <x v="4"/>
  </r>
  <r>
    <x v="255"/>
    <x v="32"/>
    <x v="1549"/>
    <x v="3"/>
    <x v="422"/>
    <x v="10"/>
    <x v="2"/>
    <x v="4"/>
    <x v="221"/>
    <x v="10"/>
  </r>
  <r>
    <x v="255"/>
    <x v="32"/>
    <x v="1070"/>
    <x v="6"/>
    <x v="422"/>
    <x v="10"/>
    <x v="2"/>
    <x v="4"/>
    <x v="221"/>
    <x v="10"/>
  </r>
  <r>
    <x v="255"/>
    <x v="32"/>
    <x v="1979"/>
    <x v="7"/>
    <x v="422"/>
    <x v="10"/>
    <x v="2"/>
    <x v="4"/>
    <x v="221"/>
    <x v="10"/>
  </r>
  <r>
    <x v="255"/>
    <x v="32"/>
    <x v="914"/>
    <x v="5"/>
    <x v="422"/>
    <x v="10"/>
    <x v="2"/>
    <x v="4"/>
    <x v="221"/>
    <x v="10"/>
  </r>
  <r>
    <x v="255"/>
    <x v="24"/>
    <x v="74"/>
    <x v="1"/>
    <x v="247"/>
    <x v="10"/>
    <x v="0"/>
    <x v="2"/>
    <x v="175"/>
    <x v="6"/>
  </r>
  <r>
    <x v="255"/>
    <x v="37"/>
    <x v="72"/>
    <x v="1"/>
    <x v="525"/>
    <x v="10"/>
    <x v="0"/>
    <x v="2"/>
    <x v="175"/>
    <x v="12"/>
  </r>
  <r>
    <x v="255"/>
    <x v="32"/>
    <x v="180"/>
    <x v="2"/>
    <x v="422"/>
    <x v="10"/>
    <x v="2"/>
    <x v="4"/>
    <x v="221"/>
    <x v="10"/>
  </r>
  <r>
    <x v="256"/>
    <x v="8"/>
    <x v="475"/>
    <x v="0"/>
    <x v="238"/>
    <x v="10"/>
    <x v="1"/>
    <x v="4"/>
    <x v="221"/>
    <x v="5"/>
  </r>
  <r>
    <x v="256"/>
    <x v="9"/>
    <x v="1409"/>
    <x v="0"/>
    <x v="231"/>
    <x v="10"/>
    <x v="0"/>
    <x v="4"/>
    <x v="221"/>
    <x v="5"/>
  </r>
  <r>
    <x v="256"/>
    <x v="12"/>
    <x v="599"/>
    <x v="0"/>
    <x v="48"/>
    <x v="10"/>
    <x v="1"/>
    <x v="4"/>
    <x v="221"/>
    <x v="5"/>
  </r>
  <r>
    <x v="256"/>
    <x v="1"/>
    <x v="145"/>
    <x v="3"/>
    <x v="432"/>
    <x v="10"/>
    <x v="0"/>
    <x v="2"/>
    <x v="176"/>
    <x v="4"/>
  </r>
  <r>
    <x v="256"/>
    <x v="20"/>
    <x v="28"/>
    <x v="3"/>
    <x v="380"/>
    <x v="10"/>
    <x v="0"/>
    <x v="2"/>
    <x v="176"/>
    <x v="5"/>
  </r>
  <r>
    <x v="256"/>
    <x v="24"/>
    <x v="527"/>
    <x v="1"/>
    <x v="247"/>
    <x v="10"/>
    <x v="0"/>
    <x v="1"/>
    <x v="176"/>
    <x v="6"/>
  </r>
  <r>
    <x v="256"/>
    <x v="3"/>
    <x v="495"/>
    <x v="1"/>
    <x v="579"/>
    <x v="10"/>
    <x v="0"/>
    <x v="2"/>
    <x v="176"/>
    <x v="4"/>
  </r>
  <r>
    <x v="256"/>
    <x v="13"/>
    <x v="253"/>
    <x v="0"/>
    <x v="558"/>
    <x v="10"/>
    <x v="0"/>
    <x v="2"/>
    <x v="176"/>
    <x v="5"/>
  </r>
  <r>
    <x v="256"/>
    <x v="12"/>
    <x v="158"/>
    <x v="1"/>
    <x v="406"/>
    <x v="10"/>
    <x v="0"/>
    <x v="1"/>
    <x v="176"/>
    <x v="5"/>
  </r>
  <r>
    <x v="256"/>
    <x v="0"/>
    <x v="1570"/>
    <x v="0"/>
    <x v="299"/>
    <x v="10"/>
    <x v="0"/>
    <x v="0"/>
    <x v="176"/>
    <x v="9"/>
  </r>
  <r>
    <x v="256"/>
    <x v="0"/>
    <x v="618"/>
    <x v="1"/>
    <x v="14"/>
    <x v="10"/>
    <x v="0"/>
    <x v="1"/>
    <x v="176"/>
    <x v="9"/>
  </r>
  <r>
    <x v="256"/>
    <x v="0"/>
    <x v="518"/>
    <x v="0"/>
    <x v="477"/>
    <x v="10"/>
    <x v="0"/>
    <x v="3"/>
    <x v="176"/>
    <x v="9"/>
  </r>
  <r>
    <x v="256"/>
    <x v="38"/>
    <x v="379"/>
    <x v="0"/>
    <x v="76"/>
    <x v="10"/>
    <x v="1"/>
    <x v="4"/>
    <x v="221"/>
    <x v="5"/>
  </r>
  <r>
    <x v="256"/>
    <x v="19"/>
    <x v="755"/>
    <x v="0"/>
    <x v="474"/>
    <x v="10"/>
    <x v="1"/>
    <x v="4"/>
    <x v="221"/>
    <x v="3"/>
  </r>
  <r>
    <x v="256"/>
    <x v="32"/>
    <x v="629"/>
    <x v="3"/>
    <x v="422"/>
    <x v="10"/>
    <x v="2"/>
    <x v="4"/>
    <x v="221"/>
    <x v="10"/>
  </r>
  <r>
    <x v="256"/>
    <x v="32"/>
    <x v="172"/>
    <x v="6"/>
    <x v="422"/>
    <x v="10"/>
    <x v="2"/>
    <x v="4"/>
    <x v="221"/>
    <x v="10"/>
  </r>
  <r>
    <x v="256"/>
    <x v="32"/>
    <x v="1785"/>
    <x v="7"/>
    <x v="422"/>
    <x v="10"/>
    <x v="2"/>
    <x v="4"/>
    <x v="221"/>
    <x v="10"/>
  </r>
  <r>
    <x v="256"/>
    <x v="32"/>
    <x v="380"/>
    <x v="8"/>
    <x v="422"/>
    <x v="10"/>
    <x v="2"/>
    <x v="4"/>
    <x v="221"/>
    <x v="10"/>
  </r>
  <r>
    <x v="256"/>
    <x v="32"/>
    <x v="959"/>
    <x v="5"/>
    <x v="422"/>
    <x v="10"/>
    <x v="2"/>
    <x v="4"/>
    <x v="221"/>
    <x v="10"/>
  </r>
  <r>
    <x v="256"/>
    <x v="37"/>
    <x v="74"/>
    <x v="1"/>
    <x v="525"/>
    <x v="10"/>
    <x v="0"/>
    <x v="1"/>
    <x v="176"/>
    <x v="12"/>
  </r>
  <r>
    <x v="256"/>
    <x v="32"/>
    <x v="363"/>
    <x v="4"/>
    <x v="422"/>
    <x v="10"/>
    <x v="2"/>
    <x v="4"/>
    <x v="221"/>
    <x v="10"/>
  </r>
  <r>
    <x v="257"/>
    <x v="9"/>
    <x v="1114"/>
    <x v="0"/>
    <x v="231"/>
    <x v="10"/>
    <x v="0"/>
    <x v="4"/>
    <x v="221"/>
    <x v="5"/>
  </r>
  <r>
    <x v="257"/>
    <x v="20"/>
    <x v="28"/>
    <x v="3"/>
    <x v="380"/>
    <x v="10"/>
    <x v="0"/>
    <x v="2"/>
    <x v="177"/>
    <x v="5"/>
  </r>
  <r>
    <x v="257"/>
    <x v="21"/>
    <x v="1445"/>
    <x v="0"/>
    <x v="198"/>
    <x v="10"/>
    <x v="0"/>
    <x v="0"/>
    <x v="177"/>
    <x v="3"/>
  </r>
  <r>
    <x v="257"/>
    <x v="12"/>
    <x v="198"/>
    <x v="0"/>
    <x v="48"/>
    <x v="10"/>
    <x v="1"/>
    <x v="4"/>
    <x v="221"/>
    <x v="5"/>
  </r>
  <r>
    <x v="257"/>
    <x v="24"/>
    <x v="518"/>
    <x v="1"/>
    <x v="569"/>
    <x v="10"/>
    <x v="0"/>
    <x v="1"/>
    <x v="177"/>
    <x v="6"/>
  </r>
  <r>
    <x v="257"/>
    <x v="28"/>
    <x v="138"/>
    <x v="3"/>
    <x v="371"/>
    <x v="10"/>
    <x v="0"/>
    <x v="2"/>
    <x v="177"/>
    <x v="0"/>
  </r>
  <r>
    <x v="257"/>
    <x v="19"/>
    <x v="755"/>
    <x v="0"/>
    <x v="474"/>
    <x v="10"/>
    <x v="1"/>
    <x v="4"/>
    <x v="221"/>
    <x v="3"/>
  </r>
  <r>
    <x v="257"/>
    <x v="38"/>
    <x v="87"/>
    <x v="3"/>
    <x v="553"/>
    <x v="10"/>
    <x v="0"/>
    <x v="2"/>
    <x v="177"/>
    <x v="5"/>
  </r>
  <r>
    <x v="257"/>
    <x v="0"/>
    <x v="719"/>
    <x v="3"/>
    <x v="26"/>
    <x v="10"/>
    <x v="0"/>
    <x v="2"/>
    <x v="177"/>
    <x v="9"/>
  </r>
  <r>
    <x v="257"/>
    <x v="14"/>
    <x v="27"/>
    <x v="3"/>
    <x v="182"/>
    <x v="10"/>
    <x v="0"/>
    <x v="2"/>
    <x v="177"/>
    <x v="6"/>
  </r>
  <r>
    <x v="257"/>
    <x v="32"/>
    <x v="1269"/>
    <x v="3"/>
    <x v="422"/>
    <x v="10"/>
    <x v="2"/>
    <x v="4"/>
    <x v="221"/>
    <x v="10"/>
  </r>
  <r>
    <x v="257"/>
    <x v="32"/>
    <x v="100"/>
    <x v="2"/>
    <x v="422"/>
    <x v="10"/>
    <x v="2"/>
    <x v="4"/>
    <x v="221"/>
    <x v="10"/>
  </r>
  <r>
    <x v="257"/>
    <x v="32"/>
    <x v="143"/>
    <x v="4"/>
    <x v="422"/>
    <x v="10"/>
    <x v="2"/>
    <x v="4"/>
    <x v="221"/>
    <x v="10"/>
  </r>
  <r>
    <x v="257"/>
    <x v="32"/>
    <x v="112"/>
    <x v="6"/>
    <x v="422"/>
    <x v="10"/>
    <x v="2"/>
    <x v="4"/>
    <x v="221"/>
    <x v="10"/>
  </r>
  <r>
    <x v="257"/>
    <x v="32"/>
    <x v="1861"/>
    <x v="7"/>
    <x v="422"/>
    <x v="10"/>
    <x v="2"/>
    <x v="4"/>
    <x v="221"/>
    <x v="10"/>
  </r>
  <r>
    <x v="257"/>
    <x v="32"/>
    <x v="908"/>
    <x v="5"/>
    <x v="422"/>
    <x v="10"/>
    <x v="2"/>
    <x v="4"/>
    <x v="221"/>
    <x v="10"/>
  </r>
  <r>
    <x v="257"/>
    <x v="20"/>
    <x v="205"/>
    <x v="3"/>
    <x v="417"/>
    <x v="10"/>
    <x v="0"/>
    <x v="1"/>
    <x v="177"/>
    <x v="5"/>
  </r>
  <r>
    <x v="257"/>
    <x v="37"/>
    <x v="50"/>
    <x v="3"/>
    <x v="525"/>
    <x v="10"/>
    <x v="0"/>
    <x v="1"/>
    <x v="177"/>
    <x v="12"/>
  </r>
  <r>
    <x v="258"/>
    <x v="12"/>
    <x v="560"/>
    <x v="0"/>
    <x v="48"/>
    <x v="10"/>
    <x v="1"/>
    <x v="4"/>
    <x v="221"/>
    <x v="5"/>
  </r>
  <r>
    <x v="258"/>
    <x v="9"/>
    <x v="1524"/>
    <x v="0"/>
    <x v="231"/>
    <x v="10"/>
    <x v="0"/>
    <x v="4"/>
    <x v="221"/>
    <x v="5"/>
  </r>
  <r>
    <x v="258"/>
    <x v="1"/>
    <x v="134"/>
    <x v="3"/>
    <x v="432"/>
    <x v="10"/>
    <x v="0"/>
    <x v="2"/>
    <x v="178"/>
    <x v="4"/>
  </r>
  <r>
    <x v="258"/>
    <x v="20"/>
    <x v="49"/>
    <x v="3"/>
    <x v="380"/>
    <x v="10"/>
    <x v="0"/>
    <x v="2"/>
    <x v="178"/>
    <x v="5"/>
  </r>
  <r>
    <x v="258"/>
    <x v="27"/>
    <x v="964"/>
    <x v="0"/>
    <x v="5"/>
    <x v="10"/>
    <x v="0"/>
    <x v="0"/>
    <x v="178"/>
    <x v="5"/>
  </r>
  <r>
    <x v="258"/>
    <x v="20"/>
    <x v="343"/>
    <x v="0"/>
    <x v="98"/>
    <x v="10"/>
    <x v="0"/>
    <x v="0"/>
    <x v="178"/>
    <x v="5"/>
  </r>
  <r>
    <x v="258"/>
    <x v="20"/>
    <x v="49"/>
    <x v="1"/>
    <x v="503"/>
    <x v="10"/>
    <x v="0"/>
    <x v="1"/>
    <x v="178"/>
    <x v="5"/>
  </r>
  <r>
    <x v="258"/>
    <x v="24"/>
    <x v="264"/>
    <x v="1"/>
    <x v="247"/>
    <x v="10"/>
    <x v="0"/>
    <x v="1"/>
    <x v="178"/>
    <x v="6"/>
  </r>
  <r>
    <x v="258"/>
    <x v="0"/>
    <x v="518"/>
    <x v="0"/>
    <x v="482"/>
    <x v="10"/>
    <x v="0"/>
    <x v="0"/>
    <x v="178"/>
    <x v="9"/>
  </r>
  <r>
    <x v="258"/>
    <x v="3"/>
    <x v="607"/>
    <x v="3"/>
    <x v="153"/>
    <x v="10"/>
    <x v="0"/>
    <x v="2"/>
    <x v="178"/>
    <x v="4"/>
  </r>
  <r>
    <x v="257"/>
    <x v="38"/>
    <x v="244"/>
    <x v="0"/>
    <x v="76"/>
    <x v="10"/>
    <x v="1"/>
    <x v="4"/>
    <x v="221"/>
    <x v="5"/>
  </r>
  <r>
    <x v="258"/>
    <x v="38"/>
    <x v="445"/>
    <x v="0"/>
    <x v="76"/>
    <x v="10"/>
    <x v="1"/>
    <x v="4"/>
    <x v="221"/>
    <x v="5"/>
  </r>
  <r>
    <x v="258"/>
    <x v="19"/>
    <x v="755"/>
    <x v="0"/>
    <x v="474"/>
    <x v="10"/>
    <x v="1"/>
    <x v="4"/>
    <x v="221"/>
    <x v="3"/>
  </r>
  <r>
    <x v="258"/>
    <x v="32"/>
    <x v="1256"/>
    <x v="3"/>
    <x v="422"/>
    <x v="10"/>
    <x v="2"/>
    <x v="4"/>
    <x v="221"/>
    <x v="10"/>
  </r>
  <r>
    <x v="258"/>
    <x v="32"/>
    <x v="577"/>
    <x v="2"/>
    <x v="422"/>
    <x v="10"/>
    <x v="2"/>
    <x v="4"/>
    <x v="221"/>
    <x v="10"/>
  </r>
  <r>
    <x v="258"/>
    <x v="32"/>
    <x v="26"/>
    <x v="6"/>
    <x v="422"/>
    <x v="10"/>
    <x v="2"/>
    <x v="4"/>
    <x v="221"/>
    <x v="10"/>
  </r>
  <r>
    <x v="258"/>
    <x v="32"/>
    <x v="1941"/>
    <x v="7"/>
    <x v="422"/>
    <x v="10"/>
    <x v="2"/>
    <x v="4"/>
    <x v="221"/>
    <x v="10"/>
  </r>
  <r>
    <x v="258"/>
    <x v="32"/>
    <x v="571"/>
    <x v="5"/>
    <x v="422"/>
    <x v="10"/>
    <x v="2"/>
    <x v="4"/>
    <x v="221"/>
    <x v="10"/>
  </r>
  <r>
    <x v="258"/>
    <x v="32"/>
    <x v="112"/>
    <x v="4"/>
    <x v="422"/>
    <x v="10"/>
    <x v="2"/>
    <x v="4"/>
    <x v="221"/>
    <x v="10"/>
  </r>
  <r>
    <x v="258"/>
    <x v="37"/>
    <x v="83"/>
    <x v="1"/>
    <x v="525"/>
    <x v="10"/>
    <x v="0"/>
    <x v="1"/>
    <x v="178"/>
    <x v="12"/>
  </r>
  <r>
    <x v="258"/>
    <x v="38"/>
    <x v="19"/>
    <x v="3"/>
    <x v="37"/>
    <x v="10"/>
    <x v="0"/>
    <x v="2"/>
    <x v="178"/>
    <x v="5"/>
  </r>
  <r>
    <x v="259"/>
    <x v="9"/>
    <x v="1395"/>
    <x v="0"/>
    <x v="231"/>
    <x v="10"/>
    <x v="0"/>
    <x v="4"/>
    <x v="221"/>
    <x v="5"/>
  </r>
  <r>
    <x v="259"/>
    <x v="12"/>
    <x v="527"/>
    <x v="0"/>
    <x v="48"/>
    <x v="10"/>
    <x v="1"/>
    <x v="4"/>
    <x v="221"/>
    <x v="5"/>
  </r>
  <r>
    <x v="259"/>
    <x v="1"/>
    <x v="112"/>
    <x v="3"/>
    <x v="432"/>
    <x v="10"/>
    <x v="0"/>
    <x v="2"/>
    <x v="179"/>
    <x v="4"/>
  </r>
  <r>
    <x v="259"/>
    <x v="38"/>
    <x v="629"/>
    <x v="1"/>
    <x v="77"/>
    <x v="10"/>
    <x v="0"/>
    <x v="1"/>
    <x v="179"/>
    <x v="5"/>
  </r>
  <r>
    <x v="259"/>
    <x v="36"/>
    <x v="45"/>
    <x v="1"/>
    <x v="376"/>
    <x v="10"/>
    <x v="0"/>
    <x v="1"/>
    <x v="179"/>
    <x v="5"/>
  </r>
  <r>
    <x v="259"/>
    <x v="24"/>
    <x v="357"/>
    <x v="0"/>
    <x v="247"/>
    <x v="10"/>
    <x v="0"/>
    <x v="0"/>
    <x v="179"/>
    <x v="6"/>
  </r>
  <r>
    <x v="259"/>
    <x v="38"/>
    <x v="184"/>
    <x v="0"/>
    <x v="76"/>
    <x v="10"/>
    <x v="1"/>
    <x v="4"/>
    <x v="221"/>
    <x v="5"/>
  </r>
  <r>
    <x v="259"/>
    <x v="15"/>
    <x v="198"/>
    <x v="3"/>
    <x v="353"/>
    <x v="10"/>
    <x v="0"/>
    <x v="2"/>
    <x v="179"/>
    <x v="4"/>
  </r>
  <r>
    <x v="259"/>
    <x v="21"/>
    <x v="809"/>
    <x v="0"/>
    <x v="442"/>
    <x v="10"/>
    <x v="0"/>
    <x v="0"/>
    <x v="179"/>
    <x v="3"/>
  </r>
  <r>
    <x v="259"/>
    <x v="0"/>
    <x v="1483"/>
    <x v="0"/>
    <x v="371"/>
    <x v="10"/>
    <x v="0"/>
    <x v="0"/>
    <x v="179"/>
    <x v="9"/>
  </r>
  <r>
    <x v="259"/>
    <x v="32"/>
    <x v="1103"/>
    <x v="3"/>
    <x v="422"/>
    <x v="10"/>
    <x v="2"/>
    <x v="4"/>
    <x v="221"/>
    <x v="10"/>
  </r>
  <r>
    <x v="259"/>
    <x v="32"/>
    <x v="90"/>
    <x v="2"/>
    <x v="422"/>
    <x v="10"/>
    <x v="2"/>
    <x v="4"/>
    <x v="221"/>
    <x v="10"/>
  </r>
  <r>
    <x v="259"/>
    <x v="32"/>
    <x v="790"/>
    <x v="6"/>
    <x v="422"/>
    <x v="10"/>
    <x v="2"/>
    <x v="4"/>
    <x v="221"/>
    <x v="10"/>
  </r>
  <r>
    <x v="259"/>
    <x v="32"/>
    <x v="1776"/>
    <x v="7"/>
    <x v="422"/>
    <x v="10"/>
    <x v="2"/>
    <x v="4"/>
    <x v="221"/>
    <x v="10"/>
  </r>
  <r>
    <x v="259"/>
    <x v="32"/>
    <x v="373"/>
    <x v="5"/>
    <x v="422"/>
    <x v="10"/>
    <x v="2"/>
    <x v="4"/>
    <x v="221"/>
    <x v="10"/>
  </r>
  <r>
    <x v="259"/>
    <x v="37"/>
    <x v="75"/>
    <x v="3"/>
    <x v="525"/>
    <x v="10"/>
    <x v="0"/>
    <x v="2"/>
    <x v="179"/>
    <x v="12"/>
  </r>
  <r>
    <x v="259"/>
    <x v="3"/>
    <x v="495"/>
    <x v="3"/>
    <x v="579"/>
    <x v="10"/>
    <x v="0"/>
    <x v="2"/>
    <x v="179"/>
    <x v="4"/>
  </r>
  <r>
    <x v="260"/>
    <x v="9"/>
    <x v="1172"/>
    <x v="0"/>
    <x v="231"/>
    <x v="10"/>
    <x v="0"/>
    <x v="4"/>
    <x v="221"/>
    <x v="5"/>
  </r>
  <r>
    <x v="260"/>
    <x v="12"/>
    <x v="366"/>
    <x v="0"/>
    <x v="48"/>
    <x v="10"/>
    <x v="1"/>
    <x v="4"/>
    <x v="221"/>
    <x v="5"/>
  </r>
  <r>
    <x v="260"/>
    <x v="20"/>
    <x v="28"/>
    <x v="3"/>
    <x v="380"/>
    <x v="10"/>
    <x v="0"/>
    <x v="2"/>
    <x v="180"/>
    <x v="5"/>
  </r>
  <r>
    <x v="260"/>
    <x v="28"/>
    <x v="138"/>
    <x v="1"/>
    <x v="371"/>
    <x v="10"/>
    <x v="0"/>
    <x v="1"/>
    <x v="180"/>
    <x v="0"/>
  </r>
  <r>
    <x v="260"/>
    <x v="12"/>
    <x v="112"/>
    <x v="1"/>
    <x v="211"/>
    <x v="10"/>
    <x v="0"/>
    <x v="1"/>
    <x v="180"/>
    <x v="5"/>
  </r>
  <r>
    <x v="260"/>
    <x v="24"/>
    <x v="68"/>
    <x v="1"/>
    <x v="247"/>
    <x v="10"/>
    <x v="0"/>
    <x v="1"/>
    <x v="180"/>
    <x v="6"/>
  </r>
  <r>
    <x v="260"/>
    <x v="38"/>
    <x v="125"/>
    <x v="0"/>
    <x v="76"/>
    <x v="10"/>
    <x v="1"/>
    <x v="4"/>
    <x v="221"/>
    <x v="5"/>
  </r>
  <r>
    <x v="260"/>
    <x v="13"/>
    <x v="1671"/>
    <x v="0"/>
    <x v="560"/>
    <x v="10"/>
    <x v="1"/>
    <x v="4"/>
    <x v="221"/>
    <x v="5"/>
  </r>
  <r>
    <x v="260"/>
    <x v="26"/>
    <x v="90"/>
    <x v="3"/>
    <x v="338"/>
    <x v="10"/>
    <x v="0"/>
    <x v="2"/>
    <x v="180"/>
    <x v="5"/>
  </r>
  <r>
    <x v="260"/>
    <x v="19"/>
    <x v="755"/>
    <x v="0"/>
    <x v="474"/>
    <x v="10"/>
    <x v="1"/>
    <x v="4"/>
    <x v="221"/>
    <x v="3"/>
  </r>
  <r>
    <x v="260"/>
    <x v="8"/>
    <x v="816"/>
    <x v="0"/>
    <x v="238"/>
    <x v="10"/>
    <x v="1"/>
    <x v="4"/>
    <x v="221"/>
    <x v="5"/>
  </r>
  <r>
    <x v="260"/>
    <x v="32"/>
    <x v="1426"/>
    <x v="3"/>
    <x v="422"/>
    <x v="10"/>
    <x v="2"/>
    <x v="4"/>
    <x v="221"/>
    <x v="10"/>
  </r>
  <r>
    <x v="260"/>
    <x v="32"/>
    <x v="738"/>
    <x v="2"/>
    <x v="422"/>
    <x v="10"/>
    <x v="2"/>
    <x v="4"/>
    <x v="221"/>
    <x v="10"/>
  </r>
  <r>
    <x v="260"/>
    <x v="32"/>
    <x v="299"/>
    <x v="6"/>
    <x v="422"/>
    <x v="10"/>
    <x v="2"/>
    <x v="4"/>
    <x v="221"/>
    <x v="10"/>
  </r>
  <r>
    <x v="260"/>
    <x v="32"/>
    <x v="1875"/>
    <x v="7"/>
    <x v="422"/>
    <x v="10"/>
    <x v="2"/>
    <x v="4"/>
    <x v="221"/>
    <x v="10"/>
  </r>
  <r>
    <x v="260"/>
    <x v="32"/>
    <x v="1436"/>
    <x v="5"/>
    <x v="422"/>
    <x v="10"/>
    <x v="2"/>
    <x v="4"/>
    <x v="221"/>
    <x v="10"/>
  </r>
  <r>
    <x v="260"/>
    <x v="32"/>
    <x v="90"/>
    <x v="8"/>
    <x v="422"/>
    <x v="10"/>
    <x v="2"/>
    <x v="4"/>
    <x v="221"/>
    <x v="10"/>
  </r>
  <r>
    <x v="260"/>
    <x v="37"/>
    <x v="72"/>
    <x v="1"/>
    <x v="525"/>
    <x v="10"/>
    <x v="0"/>
    <x v="1"/>
    <x v="181"/>
    <x v="12"/>
  </r>
  <r>
    <x v="261"/>
    <x v="24"/>
    <x v="120"/>
    <x v="1"/>
    <x v="247"/>
    <x v="10"/>
    <x v="0"/>
    <x v="1"/>
    <x v="181"/>
    <x v="6"/>
  </r>
  <r>
    <x v="261"/>
    <x v="12"/>
    <x v="599"/>
    <x v="0"/>
    <x v="48"/>
    <x v="10"/>
    <x v="1"/>
    <x v="4"/>
    <x v="221"/>
    <x v="5"/>
  </r>
  <r>
    <x v="261"/>
    <x v="9"/>
    <x v="996"/>
    <x v="0"/>
    <x v="231"/>
    <x v="10"/>
    <x v="0"/>
    <x v="4"/>
    <x v="221"/>
    <x v="5"/>
  </r>
  <r>
    <x v="261"/>
    <x v="12"/>
    <x v="147"/>
    <x v="1"/>
    <x v="516"/>
    <x v="10"/>
    <x v="0"/>
    <x v="2"/>
    <x v="181"/>
    <x v="5"/>
  </r>
  <r>
    <x v="261"/>
    <x v="8"/>
    <x v="816"/>
    <x v="0"/>
    <x v="238"/>
    <x v="10"/>
    <x v="1"/>
    <x v="4"/>
    <x v="221"/>
    <x v="5"/>
  </r>
  <r>
    <x v="261"/>
    <x v="38"/>
    <x v="30"/>
    <x v="1"/>
    <x v="401"/>
    <x v="10"/>
    <x v="0"/>
    <x v="2"/>
    <x v="181"/>
    <x v="5"/>
  </r>
  <r>
    <x v="261"/>
    <x v="24"/>
    <x v="578"/>
    <x v="1"/>
    <x v="250"/>
    <x v="10"/>
    <x v="0"/>
    <x v="1"/>
    <x v="181"/>
    <x v="6"/>
  </r>
  <r>
    <x v="261"/>
    <x v="21"/>
    <x v="756"/>
    <x v="1"/>
    <x v="164"/>
    <x v="10"/>
    <x v="0"/>
    <x v="1"/>
    <x v="181"/>
    <x v="3"/>
  </r>
  <r>
    <x v="261"/>
    <x v="12"/>
    <x v="53"/>
    <x v="1"/>
    <x v="332"/>
    <x v="10"/>
    <x v="0"/>
    <x v="1"/>
    <x v="181"/>
    <x v="5"/>
  </r>
  <r>
    <x v="261"/>
    <x v="38"/>
    <x v="208"/>
    <x v="0"/>
    <x v="76"/>
    <x v="10"/>
    <x v="1"/>
    <x v="4"/>
    <x v="221"/>
    <x v="5"/>
  </r>
  <r>
    <x v="261"/>
    <x v="19"/>
    <x v="755"/>
    <x v="0"/>
    <x v="474"/>
    <x v="10"/>
    <x v="1"/>
    <x v="4"/>
    <x v="221"/>
    <x v="3"/>
  </r>
  <r>
    <x v="261"/>
    <x v="23"/>
    <x v="49"/>
    <x v="3"/>
    <x v="285"/>
    <x v="10"/>
    <x v="0"/>
    <x v="2"/>
    <x v="181"/>
    <x v="6"/>
  </r>
  <r>
    <x v="261"/>
    <x v="20"/>
    <x v="177"/>
    <x v="1"/>
    <x v="188"/>
    <x v="10"/>
    <x v="0"/>
    <x v="1"/>
    <x v="181"/>
    <x v="5"/>
  </r>
  <r>
    <x v="261"/>
    <x v="20"/>
    <x v="132"/>
    <x v="1"/>
    <x v="248"/>
    <x v="10"/>
    <x v="0"/>
    <x v="1"/>
    <x v="181"/>
    <x v="5"/>
  </r>
  <r>
    <x v="261"/>
    <x v="32"/>
    <x v="630"/>
    <x v="3"/>
    <x v="422"/>
    <x v="10"/>
    <x v="2"/>
    <x v="4"/>
    <x v="221"/>
    <x v="10"/>
  </r>
  <r>
    <x v="261"/>
    <x v="32"/>
    <x v="775"/>
    <x v="2"/>
    <x v="422"/>
    <x v="10"/>
    <x v="2"/>
    <x v="4"/>
    <x v="221"/>
    <x v="10"/>
  </r>
  <r>
    <x v="261"/>
    <x v="32"/>
    <x v="90"/>
    <x v="6"/>
    <x v="422"/>
    <x v="10"/>
    <x v="2"/>
    <x v="4"/>
    <x v="221"/>
    <x v="10"/>
  </r>
  <r>
    <x v="261"/>
    <x v="32"/>
    <x v="1987"/>
    <x v="7"/>
    <x v="422"/>
    <x v="10"/>
    <x v="2"/>
    <x v="4"/>
    <x v="221"/>
    <x v="10"/>
  </r>
  <r>
    <x v="261"/>
    <x v="32"/>
    <x v="299"/>
    <x v="8"/>
    <x v="422"/>
    <x v="10"/>
    <x v="2"/>
    <x v="4"/>
    <x v="221"/>
    <x v="10"/>
  </r>
  <r>
    <x v="261"/>
    <x v="32"/>
    <x v="735"/>
    <x v="5"/>
    <x v="422"/>
    <x v="10"/>
    <x v="2"/>
    <x v="4"/>
    <x v="221"/>
    <x v="10"/>
  </r>
  <r>
    <x v="261"/>
    <x v="32"/>
    <x v="302"/>
    <x v="4"/>
    <x v="422"/>
    <x v="10"/>
    <x v="2"/>
    <x v="4"/>
    <x v="221"/>
    <x v="10"/>
  </r>
  <r>
    <x v="261"/>
    <x v="37"/>
    <x v="49"/>
    <x v="3"/>
    <x v="525"/>
    <x v="10"/>
    <x v="0"/>
    <x v="2"/>
    <x v="181"/>
    <x v="12"/>
  </r>
  <r>
    <x v="261"/>
    <x v="0"/>
    <x v="134"/>
    <x v="3"/>
    <x v="450"/>
    <x v="10"/>
    <x v="0"/>
    <x v="2"/>
    <x v="181"/>
    <x v="9"/>
  </r>
  <r>
    <x v="262"/>
    <x v="20"/>
    <x v="28"/>
    <x v="3"/>
    <x v="380"/>
    <x v="10"/>
    <x v="0"/>
    <x v="2"/>
    <x v="182"/>
    <x v="5"/>
  </r>
  <r>
    <x v="262"/>
    <x v="9"/>
    <x v="495"/>
    <x v="0"/>
    <x v="176"/>
    <x v="10"/>
    <x v="0"/>
    <x v="1"/>
    <x v="182"/>
    <x v="5"/>
  </r>
  <r>
    <x v="262"/>
    <x v="12"/>
    <x v="649"/>
    <x v="0"/>
    <x v="48"/>
    <x v="10"/>
    <x v="1"/>
    <x v="4"/>
    <x v="221"/>
    <x v="5"/>
  </r>
  <r>
    <x v="262"/>
    <x v="12"/>
    <x v="158"/>
    <x v="1"/>
    <x v="406"/>
    <x v="10"/>
    <x v="0"/>
    <x v="1"/>
    <x v="182"/>
    <x v="5"/>
  </r>
  <r>
    <x v="262"/>
    <x v="1"/>
    <x v="112"/>
    <x v="3"/>
    <x v="432"/>
    <x v="10"/>
    <x v="0"/>
    <x v="2"/>
    <x v="182"/>
    <x v="4"/>
  </r>
  <r>
    <x v="262"/>
    <x v="9"/>
    <x v="1642"/>
    <x v="0"/>
    <x v="231"/>
    <x v="10"/>
    <x v="0"/>
    <x v="4"/>
    <x v="221"/>
    <x v="5"/>
  </r>
  <r>
    <x v="262"/>
    <x v="20"/>
    <x v="1674"/>
    <x v="0"/>
    <x v="61"/>
    <x v="10"/>
    <x v="1"/>
    <x v="4"/>
    <x v="221"/>
    <x v="5"/>
  </r>
  <r>
    <x v="262"/>
    <x v="15"/>
    <x v="147"/>
    <x v="3"/>
    <x v="353"/>
    <x v="10"/>
    <x v="0"/>
    <x v="4"/>
    <x v="221"/>
    <x v="4"/>
  </r>
  <r>
    <x v="262"/>
    <x v="33"/>
    <x v="556"/>
    <x v="1"/>
    <x v="527"/>
    <x v="10"/>
    <x v="0"/>
    <x v="1"/>
    <x v="182"/>
    <x v="13"/>
  </r>
  <r>
    <x v="262"/>
    <x v="33"/>
    <x v="719"/>
    <x v="0"/>
    <x v="527"/>
    <x v="10"/>
    <x v="0"/>
    <x v="0"/>
    <x v="182"/>
    <x v="13"/>
  </r>
  <r>
    <x v="262"/>
    <x v="39"/>
    <x v="794"/>
    <x v="0"/>
    <x v="578"/>
    <x v="10"/>
    <x v="0"/>
    <x v="0"/>
    <x v="182"/>
    <x v="5"/>
  </r>
  <r>
    <x v="262"/>
    <x v="38"/>
    <x v="87"/>
    <x v="3"/>
    <x v="553"/>
    <x v="10"/>
    <x v="0"/>
    <x v="2"/>
    <x v="182"/>
    <x v="5"/>
  </r>
  <r>
    <x v="262"/>
    <x v="26"/>
    <x v="90"/>
    <x v="3"/>
    <x v="338"/>
    <x v="10"/>
    <x v="0"/>
    <x v="2"/>
    <x v="182"/>
    <x v="5"/>
  </r>
  <r>
    <x v="262"/>
    <x v="38"/>
    <x v="432"/>
    <x v="0"/>
    <x v="76"/>
    <x v="10"/>
    <x v="1"/>
    <x v="4"/>
    <x v="221"/>
    <x v="5"/>
  </r>
  <r>
    <x v="262"/>
    <x v="32"/>
    <x v="1504"/>
    <x v="3"/>
    <x v="422"/>
    <x v="10"/>
    <x v="2"/>
    <x v="4"/>
    <x v="221"/>
    <x v="10"/>
  </r>
  <r>
    <x v="262"/>
    <x v="32"/>
    <x v="877"/>
    <x v="2"/>
    <x v="422"/>
    <x v="10"/>
    <x v="2"/>
    <x v="4"/>
    <x v="221"/>
    <x v="10"/>
  </r>
  <r>
    <x v="262"/>
    <x v="32"/>
    <x v="518"/>
    <x v="6"/>
    <x v="422"/>
    <x v="10"/>
    <x v="2"/>
    <x v="4"/>
    <x v="221"/>
    <x v="10"/>
  </r>
  <r>
    <x v="262"/>
    <x v="32"/>
    <x v="1981"/>
    <x v="7"/>
    <x v="422"/>
    <x v="10"/>
    <x v="2"/>
    <x v="4"/>
    <x v="221"/>
    <x v="10"/>
  </r>
  <r>
    <x v="262"/>
    <x v="32"/>
    <x v="1226"/>
    <x v="5"/>
    <x v="422"/>
    <x v="10"/>
    <x v="2"/>
    <x v="4"/>
    <x v="221"/>
    <x v="10"/>
  </r>
  <r>
    <x v="262"/>
    <x v="37"/>
    <x v="87"/>
    <x v="1"/>
    <x v="546"/>
    <x v="10"/>
    <x v="0"/>
    <x v="1"/>
    <x v="182"/>
    <x v="12"/>
  </r>
  <r>
    <x v="262"/>
    <x v="23"/>
    <x v="12"/>
    <x v="3"/>
    <x v="285"/>
    <x v="10"/>
    <x v="0"/>
    <x v="2"/>
    <x v="182"/>
    <x v="6"/>
  </r>
  <r>
    <x v="263"/>
    <x v="9"/>
    <x v="1123"/>
    <x v="0"/>
    <x v="231"/>
    <x v="10"/>
    <x v="0"/>
    <x v="4"/>
    <x v="221"/>
    <x v="5"/>
  </r>
  <r>
    <x v="263"/>
    <x v="12"/>
    <x v="660"/>
    <x v="0"/>
    <x v="48"/>
    <x v="10"/>
    <x v="1"/>
    <x v="4"/>
    <x v="221"/>
    <x v="5"/>
  </r>
  <r>
    <x v="263"/>
    <x v="1"/>
    <x v="65"/>
    <x v="1"/>
    <x v="432"/>
    <x v="10"/>
    <x v="0"/>
    <x v="4"/>
    <x v="183"/>
    <x v="4"/>
  </r>
  <r>
    <x v="263"/>
    <x v="13"/>
    <x v="77"/>
    <x v="1"/>
    <x v="113"/>
    <x v="10"/>
    <x v="0"/>
    <x v="4"/>
    <x v="183"/>
    <x v="5"/>
  </r>
  <r>
    <x v="263"/>
    <x v="24"/>
    <x v="578"/>
    <x v="1"/>
    <x v="250"/>
    <x v="10"/>
    <x v="0"/>
    <x v="4"/>
    <x v="183"/>
    <x v="6"/>
  </r>
  <r>
    <x v="263"/>
    <x v="34"/>
    <x v="869"/>
    <x v="1"/>
    <x v="527"/>
    <x v="10"/>
    <x v="0"/>
    <x v="4"/>
    <x v="183"/>
    <x v="13"/>
  </r>
  <r>
    <x v="263"/>
    <x v="34"/>
    <x v="318"/>
    <x v="0"/>
    <x v="527"/>
    <x v="10"/>
    <x v="0"/>
    <x v="0"/>
    <x v="183"/>
    <x v="13"/>
  </r>
  <r>
    <x v="263"/>
    <x v="19"/>
    <x v="755"/>
    <x v="0"/>
    <x v="474"/>
    <x v="10"/>
    <x v="1"/>
    <x v="4"/>
    <x v="221"/>
    <x v="3"/>
  </r>
  <r>
    <x v="263"/>
    <x v="20"/>
    <x v="28"/>
    <x v="3"/>
    <x v="380"/>
    <x v="10"/>
    <x v="0"/>
    <x v="2"/>
    <x v="183"/>
    <x v="5"/>
  </r>
  <r>
    <x v="263"/>
    <x v="24"/>
    <x v="112"/>
    <x v="1"/>
    <x v="458"/>
    <x v="10"/>
    <x v="0"/>
    <x v="1"/>
    <x v="183"/>
    <x v="6"/>
  </r>
  <r>
    <x v="263"/>
    <x v="23"/>
    <x v="65"/>
    <x v="3"/>
    <x v="285"/>
    <x v="10"/>
    <x v="0"/>
    <x v="2"/>
    <x v="183"/>
    <x v="6"/>
  </r>
  <r>
    <x v="263"/>
    <x v="0"/>
    <x v="869"/>
    <x v="0"/>
    <x v="482"/>
    <x v="10"/>
    <x v="0"/>
    <x v="0"/>
    <x v="183"/>
    <x v="9"/>
  </r>
  <r>
    <x v="263"/>
    <x v="32"/>
    <x v="796"/>
    <x v="3"/>
    <x v="422"/>
    <x v="10"/>
    <x v="2"/>
    <x v="4"/>
    <x v="221"/>
    <x v="10"/>
  </r>
  <r>
    <x v="263"/>
    <x v="32"/>
    <x v="508"/>
    <x v="6"/>
    <x v="422"/>
    <x v="10"/>
    <x v="2"/>
    <x v="4"/>
    <x v="221"/>
    <x v="10"/>
  </r>
  <r>
    <x v="263"/>
    <x v="32"/>
    <x v="1859"/>
    <x v="7"/>
    <x v="422"/>
    <x v="10"/>
    <x v="2"/>
    <x v="4"/>
    <x v="221"/>
    <x v="10"/>
  </r>
  <r>
    <x v="263"/>
    <x v="32"/>
    <x v="1062"/>
    <x v="5"/>
    <x v="422"/>
    <x v="10"/>
    <x v="2"/>
    <x v="4"/>
    <x v="221"/>
    <x v="10"/>
  </r>
  <r>
    <x v="263"/>
    <x v="25"/>
    <x v="49"/>
    <x v="3"/>
    <x v="523"/>
    <x v="10"/>
    <x v="0"/>
    <x v="2"/>
    <x v="183"/>
    <x v="12"/>
  </r>
  <r>
    <x v="263"/>
    <x v="37"/>
    <x v="44"/>
    <x v="3"/>
    <x v="523"/>
    <x v="10"/>
    <x v="0"/>
    <x v="2"/>
    <x v="183"/>
    <x v="12"/>
  </r>
  <r>
    <x v="263"/>
    <x v="32"/>
    <x v="357"/>
    <x v="4"/>
    <x v="422"/>
    <x v="10"/>
    <x v="2"/>
    <x v="4"/>
    <x v="221"/>
    <x v="10"/>
  </r>
  <r>
    <x v="264"/>
    <x v="9"/>
    <x v="1176"/>
    <x v="0"/>
    <x v="231"/>
    <x v="10"/>
    <x v="0"/>
    <x v="4"/>
    <x v="221"/>
    <x v="5"/>
  </r>
  <r>
    <x v="264"/>
    <x v="1"/>
    <x v="45"/>
    <x v="3"/>
    <x v="432"/>
    <x v="10"/>
    <x v="0"/>
    <x v="2"/>
    <x v="184"/>
    <x v="4"/>
  </r>
  <r>
    <x v="264"/>
    <x v="12"/>
    <x v="85"/>
    <x v="0"/>
    <x v="48"/>
    <x v="10"/>
    <x v="1"/>
    <x v="4"/>
    <x v="221"/>
    <x v="5"/>
  </r>
  <r>
    <x v="264"/>
    <x v="12"/>
    <x v="287"/>
    <x v="1"/>
    <x v="516"/>
    <x v="10"/>
    <x v="0"/>
    <x v="1"/>
    <x v="184"/>
    <x v="5"/>
  </r>
  <r>
    <x v="264"/>
    <x v="20"/>
    <x v="398"/>
    <x v="1"/>
    <x v="98"/>
    <x v="10"/>
    <x v="0"/>
    <x v="0"/>
    <x v="184"/>
    <x v="5"/>
  </r>
  <r>
    <x v="264"/>
    <x v="1"/>
    <x v="539"/>
    <x v="0"/>
    <x v="432"/>
    <x v="10"/>
    <x v="0"/>
    <x v="0"/>
    <x v="184"/>
    <x v="4"/>
  </r>
  <r>
    <x v="264"/>
    <x v="38"/>
    <x v="299"/>
    <x v="0"/>
    <x v="389"/>
    <x v="10"/>
    <x v="0"/>
    <x v="1"/>
    <x v="184"/>
    <x v="5"/>
  </r>
  <r>
    <x v="264"/>
    <x v="13"/>
    <x v="277"/>
    <x v="3"/>
    <x v="341"/>
    <x v="10"/>
    <x v="0"/>
    <x v="2"/>
    <x v="184"/>
    <x v="5"/>
  </r>
  <r>
    <x v="264"/>
    <x v="24"/>
    <x v="112"/>
    <x v="1"/>
    <x v="247"/>
    <x v="10"/>
    <x v="0"/>
    <x v="1"/>
    <x v="184"/>
    <x v="6"/>
  </r>
  <r>
    <x v="263"/>
    <x v="38"/>
    <x v="341"/>
    <x v="0"/>
    <x v="76"/>
    <x v="10"/>
    <x v="1"/>
    <x v="4"/>
    <x v="221"/>
    <x v="5"/>
  </r>
  <r>
    <x v="264"/>
    <x v="38"/>
    <x v="559"/>
    <x v="0"/>
    <x v="76"/>
    <x v="10"/>
    <x v="1"/>
    <x v="4"/>
    <x v="221"/>
    <x v="5"/>
  </r>
  <r>
    <x v="264"/>
    <x v="32"/>
    <x v="1294"/>
    <x v="3"/>
    <x v="422"/>
    <x v="10"/>
    <x v="2"/>
    <x v="4"/>
    <x v="221"/>
    <x v="10"/>
  </r>
  <r>
    <x v="264"/>
    <x v="32"/>
    <x v="645"/>
    <x v="2"/>
    <x v="422"/>
    <x v="10"/>
    <x v="2"/>
    <x v="4"/>
    <x v="221"/>
    <x v="10"/>
  </r>
  <r>
    <x v="264"/>
    <x v="32"/>
    <x v="449"/>
    <x v="6"/>
    <x v="422"/>
    <x v="10"/>
    <x v="2"/>
    <x v="4"/>
    <x v="221"/>
    <x v="10"/>
  </r>
  <r>
    <x v="264"/>
    <x v="32"/>
    <x v="1865"/>
    <x v="7"/>
    <x v="422"/>
    <x v="10"/>
    <x v="2"/>
    <x v="4"/>
    <x v="221"/>
    <x v="10"/>
  </r>
  <r>
    <x v="264"/>
    <x v="32"/>
    <x v="339"/>
    <x v="8"/>
    <x v="422"/>
    <x v="10"/>
    <x v="2"/>
    <x v="4"/>
    <x v="221"/>
    <x v="10"/>
  </r>
  <r>
    <x v="264"/>
    <x v="32"/>
    <x v="965"/>
    <x v="5"/>
    <x v="422"/>
    <x v="10"/>
    <x v="2"/>
    <x v="4"/>
    <x v="221"/>
    <x v="10"/>
  </r>
  <r>
    <x v="264"/>
    <x v="37"/>
    <x v="65"/>
    <x v="1"/>
    <x v="523"/>
    <x v="10"/>
    <x v="0"/>
    <x v="1"/>
    <x v="184"/>
    <x v="12"/>
  </r>
  <r>
    <x v="264"/>
    <x v="38"/>
    <x v="25"/>
    <x v="3"/>
    <x v="444"/>
    <x v="10"/>
    <x v="0"/>
    <x v="2"/>
    <x v="184"/>
    <x v="5"/>
  </r>
  <r>
    <x v="265"/>
    <x v="8"/>
    <x v="816"/>
    <x v="0"/>
    <x v="238"/>
    <x v="10"/>
    <x v="1"/>
    <x v="4"/>
    <x v="221"/>
    <x v="5"/>
  </r>
  <r>
    <x v="265"/>
    <x v="20"/>
    <x v="87"/>
    <x v="1"/>
    <x v="329"/>
    <x v="10"/>
    <x v="0"/>
    <x v="1"/>
    <x v="185"/>
    <x v="5"/>
  </r>
  <r>
    <x v="265"/>
    <x v="12"/>
    <x v="687"/>
    <x v="0"/>
    <x v="48"/>
    <x v="10"/>
    <x v="1"/>
    <x v="4"/>
    <x v="221"/>
    <x v="5"/>
  </r>
  <r>
    <x v="265"/>
    <x v="1"/>
    <x v="65"/>
    <x v="3"/>
    <x v="432"/>
    <x v="10"/>
    <x v="0"/>
    <x v="2"/>
    <x v="185"/>
    <x v="4"/>
  </r>
  <r>
    <x v="265"/>
    <x v="20"/>
    <x v="28"/>
    <x v="3"/>
    <x v="380"/>
    <x v="10"/>
    <x v="0"/>
    <x v="2"/>
    <x v="185"/>
    <x v="5"/>
  </r>
  <r>
    <x v="265"/>
    <x v="9"/>
    <x v="1508"/>
    <x v="0"/>
    <x v="231"/>
    <x v="10"/>
    <x v="0"/>
    <x v="4"/>
    <x v="221"/>
    <x v="5"/>
  </r>
  <r>
    <x v="265"/>
    <x v="28"/>
    <x v="138"/>
    <x v="1"/>
    <x v="371"/>
    <x v="10"/>
    <x v="0"/>
    <x v="1"/>
    <x v="185"/>
    <x v="0"/>
  </r>
  <r>
    <x v="265"/>
    <x v="38"/>
    <x v="382"/>
    <x v="0"/>
    <x v="76"/>
    <x v="10"/>
    <x v="1"/>
    <x v="4"/>
    <x v="221"/>
    <x v="5"/>
  </r>
  <r>
    <x v="265"/>
    <x v="24"/>
    <x v="578"/>
    <x v="1"/>
    <x v="250"/>
    <x v="10"/>
    <x v="0"/>
    <x v="1"/>
    <x v="185"/>
    <x v="6"/>
  </r>
  <r>
    <x v="265"/>
    <x v="38"/>
    <x v="87"/>
    <x v="3"/>
    <x v="553"/>
    <x v="10"/>
    <x v="0"/>
    <x v="2"/>
    <x v="185"/>
    <x v="5"/>
  </r>
  <r>
    <x v="265"/>
    <x v="26"/>
    <x v="60"/>
    <x v="3"/>
    <x v="338"/>
    <x v="10"/>
    <x v="0"/>
    <x v="2"/>
    <x v="185"/>
    <x v="5"/>
  </r>
  <r>
    <x v="265"/>
    <x v="32"/>
    <x v="1149"/>
    <x v="3"/>
    <x v="422"/>
    <x v="10"/>
    <x v="2"/>
    <x v="4"/>
    <x v="221"/>
    <x v="10"/>
  </r>
  <r>
    <x v="265"/>
    <x v="32"/>
    <x v="308"/>
    <x v="2"/>
    <x v="422"/>
    <x v="10"/>
    <x v="2"/>
    <x v="4"/>
    <x v="221"/>
    <x v="10"/>
  </r>
  <r>
    <x v="265"/>
    <x v="32"/>
    <x v="94"/>
    <x v="6"/>
    <x v="422"/>
    <x v="10"/>
    <x v="2"/>
    <x v="4"/>
    <x v="221"/>
    <x v="10"/>
  </r>
  <r>
    <x v="265"/>
    <x v="32"/>
    <x v="1928"/>
    <x v="7"/>
    <x v="422"/>
    <x v="10"/>
    <x v="2"/>
    <x v="4"/>
    <x v="221"/>
    <x v="10"/>
  </r>
  <r>
    <x v="265"/>
    <x v="32"/>
    <x v="454"/>
    <x v="8"/>
    <x v="422"/>
    <x v="10"/>
    <x v="2"/>
    <x v="4"/>
    <x v="221"/>
    <x v="10"/>
  </r>
  <r>
    <x v="265"/>
    <x v="32"/>
    <x v="1489"/>
    <x v="5"/>
    <x v="422"/>
    <x v="10"/>
    <x v="2"/>
    <x v="4"/>
    <x v="221"/>
    <x v="10"/>
  </r>
  <r>
    <x v="265"/>
    <x v="37"/>
    <x v="90"/>
    <x v="1"/>
    <x v="523"/>
    <x v="10"/>
    <x v="0"/>
    <x v="1"/>
    <x v="185"/>
    <x v="12"/>
  </r>
  <r>
    <x v="265"/>
    <x v="19"/>
    <x v="1206"/>
    <x v="0"/>
    <x v="474"/>
    <x v="10"/>
    <x v="1"/>
    <x v="2"/>
    <x v="185"/>
    <x v="3"/>
  </r>
  <r>
    <x v="266"/>
    <x v="9"/>
    <x v="1612"/>
    <x v="0"/>
    <x v="231"/>
    <x v="10"/>
    <x v="0"/>
    <x v="4"/>
    <x v="221"/>
    <x v="5"/>
  </r>
  <r>
    <x v="266"/>
    <x v="15"/>
    <x v="164"/>
    <x v="3"/>
    <x v="353"/>
    <x v="10"/>
    <x v="0"/>
    <x v="2"/>
    <x v="186"/>
    <x v="4"/>
  </r>
  <r>
    <x v="266"/>
    <x v="20"/>
    <x v="28"/>
    <x v="3"/>
    <x v="380"/>
    <x v="10"/>
    <x v="0"/>
    <x v="2"/>
    <x v="186"/>
    <x v="5"/>
  </r>
  <r>
    <x v="266"/>
    <x v="1"/>
    <x v="112"/>
    <x v="3"/>
    <x v="432"/>
    <x v="10"/>
    <x v="0"/>
    <x v="2"/>
    <x v="186"/>
    <x v="4"/>
  </r>
  <r>
    <x v="266"/>
    <x v="12"/>
    <x v="488"/>
    <x v="0"/>
    <x v="48"/>
    <x v="10"/>
    <x v="1"/>
    <x v="4"/>
    <x v="221"/>
    <x v="5"/>
  </r>
  <r>
    <x v="266"/>
    <x v="0"/>
    <x v="518"/>
    <x v="1"/>
    <x v="54"/>
    <x v="10"/>
    <x v="0"/>
    <x v="1"/>
    <x v="186"/>
    <x v="9"/>
  </r>
  <r>
    <x v="266"/>
    <x v="23"/>
    <x v="45"/>
    <x v="3"/>
    <x v="285"/>
    <x v="10"/>
    <x v="0"/>
    <x v="2"/>
    <x v="186"/>
    <x v="6"/>
  </r>
  <r>
    <x v="266"/>
    <x v="38"/>
    <x v="390"/>
    <x v="0"/>
    <x v="76"/>
    <x v="10"/>
    <x v="1"/>
    <x v="4"/>
    <x v="221"/>
    <x v="5"/>
  </r>
  <r>
    <x v="266"/>
    <x v="25"/>
    <x v="329"/>
    <x v="3"/>
    <x v="210"/>
    <x v="10"/>
    <x v="0"/>
    <x v="2"/>
    <x v="186"/>
    <x v="12"/>
  </r>
  <r>
    <x v="266"/>
    <x v="0"/>
    <x v="318"/>
    <x v="1"/>
    <x v="371"/>
    <x v="10"/>
    <x v="0"/>
    <x v="1"/>
    <x v="186"/>
    <x v="9"/>
  </r>
  <r>
    <x v="266"/>
    <x v="32"/>
    <x v="1503"/>
    <x v="3"/>
    <x v="422"/>
    <x v="10"/>
    <x v="2"/>
    <x v="4"/>
    <x v="221"/>
    <x v="10"/>
  </r>
  <r>
    <x v="266"/>
    <x v="32"/>
    <x v="83"/>
    <x v="2"/>
    <x v="422"/>
    <x v="10"/>
    <x v="2"/>
    <x v="4"/>
    <x v="221"/>
    <x v="10"/>
  </r>
  <r>
    <x v="266"/>
    <x v="32"/>
    <x v="647"/>
    <x v="6"/>
    <x v="422"/>
    <x v="10"/>
    <x v="2"/>
    <x v="4"/>
    <x v="221"/>
    <x v="10"/>
  </r>
  <r>
    <x v="266"/>
    <x v="32"/>
    <x v="1890"/>
    <x v="7"/>
    <x v="422"/>
    <x v="10"/>
    <x v="2"/>
    <x v="4"/>
    <x v="221"/>
    <x v="10"/>
  </r>
  <r>
    <x v="266"/>
    <x v="32"/>
    <x v="633"/>
    <x v="5"/>
    <x v="422"/>
    <x v="10"/>
    <x v="2"/>
    <x v="4"/>
    <x v="221"/>
    <x v="10"/>
  </r>
  <r>
    <x v="266"/>
    <x v="34"/>
    <x v="158"/>
    <x v="3"/>
    <x v="207"/>
    <x v="10"/>
    <x v="0"/>
    <x v="2"/>
    <x v="186"/>
    <x v="13"/>
  </r>
  <r>
    <x v="266"/>
    <x v="3"/>
    <x v="475"/>
    <x v="3"/>
    <x v="579"/>
    <x v="10"/>
    <x v="0"/>
    <x v="2"/>
    <x v="186"/>
    <x v="4"/>
  </r>
  <r>
    <x v="266"/>
    <x v="37"/>
    <x v="94"/>
    <x v="3"/>
    <x v="523"/>
    <x v="10"/>
    <x v="0"/>
    <x v="2"/>
    <x v="186"/>
    <x v="12"/>
  </r>
  <r>
    <x v="267"/>
    <x v="12"/>
    <x v="620"/>
    <x v="0"/>
    <x v="48"/>
    <x v="10"/>
    <x v="1"/>
    <x v="4"/>
    <x v="221"/>
    <x v="5"/>
  </r>
  <r>
    <x v="267"/>
    <x v="8"/>
    <x v="816"/>
    <x v="0"/>
    <x v="238"/>
    <x v="10"/>
    <x v="1"/>
    <x v="4"/>
    <x v="221"/>
    <x v="5"/>
  </r>
  <r>
    <x v="267"/>
    <x v="9"/>
    <x v="1475"/>
    <x v="0"/>
    <x v="231"/>
    <x v="10"/>
    <x v="0"/>
    <x v="4"/>
    <x v="221"/>
    <x v="5"/>
  </r>
  <r>
    <x v="267"/>
    <x v="1"/>
    <x v="112"/>
    <x v="3"/>
    <x v="432"/>
    <x v="10"/>
    <x v="0"/>
    <x v="2"/>
    <x v="187"/>
    <x v="4"/>
  </r>
  <r>
    <x v="267"/>
    <x v="20"/>
    <x v="284"/>
    <x v="0"/>
    <x v="61"/>
    <x v="10"/>
    <x v="1"/>
    <x v="4"/>
    <x v="221"/>
    <x v="5"/>
  </r>
  <r>
    <x v="267"/>
    <x v="12"/>
    <x v="158"/>
    <x v="1"/>
    <x v="516"/>
    <x v="10"/>
    <x v="0"/>
    <x v="1"/>
    <x v="187"/>
    <x v="5"/>
  </r>
  <r>
    <x v="267"/>
    <x v="27"/>
    <x v="1113"/>
    <x v="1"/>
    <x v="5"/>
    <x v="10"/>
    <x v="0"/>
    <x v="1"/>
    <x v="187"/>
    <x v="5"/>
  </r>
  <r>
    <x v="267"/>
    <x v="24"/>
    <x v="578"/>
    <x v="1"/>
    <x v="250"/>
    <x v="10"/>
    <x v="0"/>
    <x v="1"/>
    <x v="187"/>
    <x v="6"/>
  </r>
  <r>
    <x v="267"/>
    <x v="38"/>
    <x v="19"/>
    <x v="3"/>
    <x v="334"/>
    <x v="10"/>
    <x v="0"/>
    <x v="3"/>
    <x v="187"/>
    <x v="5"/>
  </r>
  <r>
    <x v="267"/>
    <x v="38"/>
    <x v="399"/>
    <x v="0"/>
    <x v="76"/>
    <x v="10"/>
    <x v="1"/>
    <x v="4"/>
    <x v="221"/>
    <x v="5"/>
  </r>
  <r>
    <x v="267"/>
    <x v="19"/>
    <x v="755"/>
    <x v="0"/>
    <x v="474"/>
    <x v="10"/>
    <x v="1"/>
    <x v="4"/>
    <x v="221"/>
    <x v="3"/>
  </r>
  <r>
    <x v="267"/>
    <x v="26"/>
    <x v="90"/>
    <x v="3"/>
    <x v="338"/>
    <x v="10"/>
    <x v="0"/>
    <x v="2"/>
    <x v="187"/>
    <x v="5"/>
  </r>
  <r>
    <x v="267"/>
    <x v="22"/>
    <x v="318"/>
    <x v="3"/>
    <x v="457"/>
    <x v="10"/>
    <x v="0"/>
    <x v="2"/>
    <x v="187"/>
    <x v="3"/>
  </r>
  <r>
    <x v="267"/>
    <x v="32"/>
    <x v="688"/>
    <x v="3"/>
    <x v="422"/>
    <x v="10"/>
    <x v="2"/>
    <x v="4"/>
    <x v="187"/>
    <x v="10"/>
  </r>
  <r>
    <x v="267"/>
    <x v="32"/>
    <x v="621"/>
    <x v="2"/>
    <x v="422"/>
    <x v="10"/>
    <x v="2"/>
    <x v="4"/>
    <x v="221"/>
    <x v="10"/>
  </r>
  <r>
    <x v="267"/>
    <x v="32"/>
    <x v="232"/>
    <x v="6"/>
    <x v="422"/>
    <x v="10"/>
    <x v="2"/>
    <x v="4"/>
    <x v="221"/>
    <x v="10"/>
  </r>
  <r>
    <x v="267"/>
    <x v="32"/>
    <x v="1799"/>
    <x v="7"/>
    <x v="422"/>
    <x v="10"/>
    <x v="2"/>
    <x v="4"/>
    <x v="221"/>
    <x v="10"/>
  </r>
  <r>
    <x v="267"/>
    <x v="32"/>
    <x v="1095"/>
    <x v="5"/>
    <x v="422"/>
    <x v="10"/>
    <x v="2"/>
    <x v="4"/>
    <x v="221"/>
    <x v="10"/>
  </r>
  <r>
    <x v="267"/>
    <x v="32"/>
    <x v="220"/>
    <x v="4"/>
    <x v="422"/>
    <x v="10"/>
    <x v="2"/>
    <x v="4"/>
    <x v="221"/>
    <x v="10"/>
  </r>
  <r>
    <x v="267"/>
    <x v="24"/>
    <x v="27"/>
    <x v="3"/>
    <x v="247"/>
    <x v="10"/>
    <x v="0"/>
    <x v="2"/>
    <x v="187"/>
    <x v="6"/>
  </r>
  <r>
    <x v="267"/>
    <x v="37"/>
    <x v="97"/>
    <x v="3"/>
    <x v="523"/>
    <x v="10"/>
    <x v="0"/>
    <x v="2"/>
    <x v="187"/>
    <x v="12"/>
  </r>
  <r>
    <x v="268"/>
    <x v="9"/>
    <x v="721"/>
    <x v="0"/>
    <x v="231"/>
    <x v="10"/>
    <x v="0"/>
    <x v="4"/>
    <x v="221"/>
    <x v="5"/>
  </r>
  <r>
    <x v="268"/>
    <x v="1"/>
    <x v="45"/>
    <x v="3"/>
    <x v="432"/>
    <x v="10"/>
    <x v="0"/>
    <x v="4"/>
    <x v="221"/>
    <x v="4"/>
  </r>
  <r>
    <x v="268"/>
    <x v="12"/>
    <x v="543"/>
    <x v="0"/>
    <x v="48"/>
    <x v="10"/>
    <x v="1"/>
    <x v="4"/>
    <x v="221"/>
    <x v="5"/>
  </r>
  <r>
    <x v="268"/>
    <x v="24"/>
    <x v="869"/>
    <x v="0"/>
    <x v="394"/>
    <x v="10"/>
    <x v="0"/>
    <x v="0"/>
    <x v="188"/>
    <x v="6"/>
  </r>
  <r>
    <x v="268"/>
    <x v="24"/>
    <x v="1826"/>
    <x v="0"/>
    <x v="466"/>
    <x v="10"/>
    <x v="0"/>
    <x v="0"/>
    <x v="188"/>
    <x v="6"/>
  </r>
  <r>
    <x v="268"/>
    <x v="38"/>
    <x v="271"/>
    <x v="0"/>
    <x v="76"/>
    <x v="10"/>
    <x v="1"/>
    <x v="4"/>
    <x v="221"/>
    <x v="5"/>
  </r>
  <r>
    <x v="268"/>
    <x v="20"/>
    <x v="45"/>
    <x v="3"/>
    <x v="278"/>
    <x v="10"/>
    <x v="0"/>
    <x v="2"/>
    <x v="188"/>
    <x v="5"/>
  </r>
  <r>
    <x v="268"/>
    <x v="23"/>
    <x v="33"/>
    <x v="3"/>
    <x v="285"/>
    <x v="10"/>
    <x v="0"/>
    <x v="2"/>
    <x v="188"/>
    <x v="6"/>
  </r>
  <r>
    <x v="268"/>
    <x v="32"/>
    <x v="1084"/>
    <x v="3"/>
    <x v="422"/>
    <x v="10"/>
    <x v="2"/>
    <x v="4"/>
    <x v="221"/>
    <x v="10"/>
  </r>
  <r>
    <x v="268"/>
    <x v="32"/>
    <x v="329"/>
    <x v="2"/>
    <x v="422"/>
    <x v="10"/>
    <x v="2"/>
    <x v="4"/>
    <x v="221"/>
    <x v="10"/>
  </r>
  <r>
    <x v="268"/>
    <x v="32"/>
    <x v="530"/>
    <x v="6"/>
    <x v="422"/>
    <x v="10"/>
    <x v="2"/>
    <x v="4"/>
    <x v="221"/>
    <x v="10"/>
  </r>
  <r>
    <x v="268"/>
    <x v="32"/>
    <x v="1774"/>
    <x v="7"/>
    <x v="422"/>
    <x v="10"/>
    <x v="2"/>
    <x v="4"/>
    <x v="221"/>
    <x v="10"/>
  </r>
  <r>
    <x v="268"/>
    <x v="32"/>
    <x v="482"/>
    <x v="5"/>
    <x v="422"/>
    <x v="10"/>
    <x v="2"/>
    <x v="4"/>
    <x v="221"/>
    <x v="10"/>
  </r>
  <r>
    <x v="268"/>
    <x v="3"/>
    <x v="475"/>
    <x v="3"/>
    <x v="579"/>
    <x v="10"/>
    <x v="0"/>
    <x v="2"/>
    <x v="188"/>
    <x v="4"/>
  </r>
  <r>
    <x v="268"/>
    <x v="37"/>
    <x v="90"/>
    <x v="3"/>
    <x v="523"/>
    <x v="10"/>
    <x v="0"/>
    <x v="2"/>
    <x v="188"/>
    <x v="12"/>
  </r>
  <r>
    <x v="269"/>
    <x v="9"/>
    <x v="771"/>
    <x v="0"/>
    <x v="231"/>
    <x v="10"/>
    <x v="0"/>
    <x v="4"/>
    <x v="221"/>
    <x v="5"/>
  </r>
  <r>
    <x v="269"/>
    <x v="24"/>
    <x v="1280"/>
    <x v="0"/>
    <x v="87"/>
    <x v="10"/>
    <x v="0"/>
    <x v="0"/>
    <x v="189"/>
    <x v="6"/>
  </r>
  <r>
    <x v="268"/>
    <x v="19"/>
    <x v="755"/>
    <x v="0"/>
    <x v="474"/>
    <x v="10"/>
    <x v="1"/>
    <x v="4"/>
    <x v="221"/>
    <x v="3"/>
  </r>
  <r>
    <x v="269"/>
    <x v="36"/>
    <x v="22"/>
    <x v="1"/>
    <x v="412"/>
    <x v="10"/>
    <x v="0"/>
    <x v="1"/>
    <x v="189"/>
    <x v="5"/>
  </r>
  <r>
    <x v="269"/>
    <x v="24"/>
    <x v="65"/>
    <x v="1"/>
    <x v="305"/>
    <x v="10"/>
    <x v="0"/>
    <x v="1"/>
    <x v="189"/>
    <x v="6"/>
  </r>
  <r>
    <x v="269"/>
    <x v="38"/>
    <x v="33"/>
    <x v="1"/>
    <x v="401"/>
    <x v="10"/>
    <x v="0"/>
    <x v="1"/>
    <x v="189"/>
    <x v="5"/>
  </r>
  <r>
    <x v="269"/>
    <x v="18"/>
    <x v="375"/>
    <x v="3"/>
    <x v="140"/>
    <x v="10"/>
    <x v="0"/>
    <x v="2"/>
    <x v="189"/>
    <x v="3"/>
  </r>
  <r>
    <x v="269"/>
    <x v="13"/>
    <x v="69"/>
    <x v="1"/>
    <x v="303"/>
    <x v="10"/>
    <x v="0"/>
    <x v="2"/>
    <x v="221"/>
    <x v="5"/>
  </r>
  <r>
    <x v="269"/>
    <x v="31"/>
    <x v="191"/>
    <x v="0"/>
    <x v="535"/>
    <x v="10"/>
    <x v="0"/>
    <x v="2"/>
    <x v="221"/>
    <x v="8"/>
  </r>
  <r>
    <x v="269"/>
    <x v="31"/>
    <x v="87"/>
    <x v="1"/>
    <x v="535"/>
    <x v="10"/>
    <x v="0"/>
    <x v="2"/>
    <x v="221"/>
    <x v="8"/>
  </r>
  <r>
    <x v="269"/>
    <x v="32"/>
    <x v="1243"/>
    <x v="3"/>
    <x v="422"/>
    <x v="10"/>
    <x v="2"/>
    <x v="4"/>
    <x v="221"/>
    <x v="10"/>
  </r>
  <r>
    <x v="269"/>
    <x v="32"/>
    <x v="845"/>
    <x v="2"/>
    <x v="422"/>
    <x v="10"/>
    <x v="2"/>
    <x v="4"/>
    <x v="221"/>
    <x v="10"/>
  </r>
  <r>
    <x v="269"/>
    <x v="32"/>
    <x v="491"/>
    <x v="6"/>
    <x v="422"/>
    <x v="10"/>
    <x v="2"/>
    <x v="4"/>
    <x v="221"/>
    <x v="10"/>
  </r>
  <r>
    <x v="269"/>
    <x v="32"/>
    <x v="1883"/>
    <x v="7"/>
    <x v="422"/>
    <x v="10"/>
    <x v="2"/>
    <x v="4"/>
    <x v="221"/>
    <x v="10"/>
  </r>
  <r>
    <x v="269"/>
    <x v="32"/>
    <x v="277"/>
    <x v="8"/>
    <x v="422"/>
    <x v="10"/>
    <x v="2"/>
    <x v="4"/>
    <x v="221"/>
    <x v="10"/>
  </r>
  <r>
    <x v="269"/>
    <x v="32"/>
    <x v="74"/>
    <x v="5"/>
    <x v="422"/>
    <x v="10"/>
    <x v="2"/>
    <x v="4"/>
    <x v="221"/>
    <x v="10"/>
  </r>
  <r>
    <x v="269"/>
    <x v="37"/>
    <x v="27"/>
    <x v="1"/>
    <x v="151"/>
    <x v="10"/>
    <x v="2"/>
    <x v="4"/>
    <x v="221"/>
    <x v="12"/>
  </r>
  <r>
    <x v="269"/>
    <x v="23"/>
    <x v="34"/>
    <x v="3"/>
    <x v="285"/>
    <x v="10"/>
    <x v="0"/>
    <x v="1"/>
    <x v="189"/>
    <x v="6"/>
  </r>
  <r>
    <x v="269"/>
    <x v="38"/>
    <x v="134"/>
    <x v="0"/>
    <x v="76"/>
    <x v="10"/>
    <x v="1"/>
    <x v="4"/>
    <x v="221"/>
    <x v="5"/>
  </r>
  <r>
    <x v="269"/>
    <x v="0"/>
    <x v="719"/>
    <x v="3"/>
    <x v="482"/>
    <x v="10"/>
    <x v="0"/>
    <x v="1"/>
    <x v="189"/>
    <x v="9"/>
  </r>
  <r>
    <x v="270"/>
    <x v="12"/>
    <x v="143"/>
    <x v="1"/>
    <x v="317"/>
    <x v="10"/>
    <x v="0"/>
    <x v="1"/>
    <x v="190"/>
    <x v="5"/>
  </r>
  <r>
    <x v="270"/>
    <x v="27"/>
    <x v="753"/>
    <x v="0"/>
    <x v="5"/>
    <x v="10"/>
    <x v="0"/>
    <x v="1"/>
    <x v="190"/>
    <x v="5"/>
  </r>
  <r>
    <x v="270"/>
    <x v="9"/>
    <x v="679"/>
    <x v="0"/>
    <x v="229"/>
    <x v="10"/>
    <x v="0"/>
    <x v="4"/>
    <x v="221"/>
    <x v="5"/>
  </r>
  <r>
    <x v="270"/>
    <x v="23"/>
    <x v="5"/>
    <x v="3"/>
    <x v="285"/>
    <x v="10"/>
    <x v="0"/>
    <x v="2"/>
    <x v="190"/>
    <x v="6"/>
  </r>
  <r>
    <x v="270"/>
    <x v="8"/>
    <x v="475"/>
    <x v="0"/>
    <x v="243"/>
    <x v="10"/>
    <x v="1"/>
    <x v="4"/>
    <x v="221"/>
    <x v="5"/>
  </r>
  <r>
    <x v="270"/>
    <x v="31"/>
    <x v="266"/>
    <x v="0"/>
    <x v="379"/>
    <x v="10"/>
    <x v="0"/>
    <x v="1"/>
    <x v="221"/>
    <x v="8"/>
  </r>
  <r>
    <x v="270"/>
    <x v="38"/>
    <x v="19"/>
    <x v="3"/>
    <x v="334"/>
    <x v="10"/>
    <x v="0"/>
    <x v="1"/>
    <x v="221"/>
    <x v="5"/>
  </r>
  <r>
    <x v="270"/>
    <x v="31"/>
    <x v="578"/>
    <x v="1"/>
    <x v="467"/>
    <x v="10"/>
    <x v="0"/>
    <x v="3"/>
    <x v="221"/>
    <x v="8"/>
  </r>
  <r>
    <x v="270"/>
    <x v="32"/>
    <x v="1198"/>
    <x v="3"/>
    <x v="422"/>
    <x v="10"/>
    <x v="2"/>
    <x v="4"/>
    <x v="221"/>
    <x v="10"/>
  </r>
  <r>
    <x v="270"/>
    <x v="32"/>
    <x v="134"/>
    <x v="6"/>
    <x v="422"/>
    <x v="10"/>
    <x v="2"/>
    <x v="4"/>
    <x v="221"/>
    <x v="10"/>
  </r>
  <r>
    <x v="270"/>
    <x v="32"/>
    <x v="1768"/>
    <x v="7"/>
    <x v="422"/>
    <x v="10"/>
    <x v="2"/>
    <x v="4"/>
    <x v="221"/>
    <x v="10"/>
  </r>
  <r>
    <x v="270"/>
    <x v="32"/>
    <x v="541"/>
    <x v="5"/>
    <x v="422"/>
    <x v="10"/>
    <x v="2"/>
    <x v="4"/>
    <x v="221"/>
    <x v="10"/>
  </r>
  <r>
    <x v="270"/>
    <x v="15"/>
    <x v="164"/>
    <x v="3"/>
    <x v="191"/>
    <x v="10"/>
    <x v="0"/>
    <x v="1"/>
    <x v="221"/>
    <x v="4"/>
  </r>
  <r>
    <x v="270"/>
    <x v="37"/>
    <x v="27"/>
    <x v="1"/>
    <x v="546"/>
    <x v="10"/>
    <x v="0"/>
    <x v="1"/>
    <x v="221"/>
    <x v="12"/>
  </r>
  <r>
    <x v="271"/>
    <x v="9"/>
    <x v="1303"/>
    <x v="0"/>
    <x v="231"/>
    <x v="10"/>
    <x v="0"/>
    <x v="4"/>
    <x v="221"/>
    <x v="5"/>
  </r>
  <r>
    <x v="271"/>
    <x v="12"/>
    <x v="539"/>
    <x v="0"/>
    <x v="48"/>
    <x v="10"/>
    <x v="1"/>
    <x v="4"/>
    <x v="221"/>
    <x v="5"/>
  </r>
  <r>
    <x v="271"/>
    <x v="28"/>
    <x v="134"/>
    <x v="1"/>
    <x v="78"/>
    <x v="10"/>
    <x v="0"/>
    <x v="1"/>
    <x v="221"/>
    <x v="0"/>
  </r>
  <r>
    <x v="271"/>
    <x v="31"/>
    <x v="256"/>
    <x v="1"/>
    <x v="271"/>
    <x v="10"/>
    <x v="0"/>
    <x v="3"/>
    <x v="221"/>
    <x v="8"/>
  </r>
  <r>
    <x v="271"/>
    <x v="12"/>
    <x v="30"/>
    <x v="1"/>
    <x v="331"/>
    <x v="10"/>
    <x v="0"/>
    <x v="3"/>
    <x v="221"/>
    <x v="5"/>
  </r>
  <r>
    <x v="271"/>
    <x v="23"/>
    <x v="28"/>
    <x v="3"/>
    <x v="285"/>
    <x v="10"/>
    <x v="0"/>
    <x v="1"/>
    <x v="221"/>
    <x v="6"/>
  </r>
  <r>
    <x v="271"/>
    <x v="20"/>
    <x v="882"/>
    <x v="0"/>
    <x v="61"/>
    <x v="10"/>
    <x v="1"/>
    <x v="1"/>
    <x v="221"/>
    <x v="5"/>
  </r>
  <r>
    <x v="271"/>
    <x v="37"/>
    <x v="19"/>
    <x v="1"/>
    <x v="546"/>
    <x v="10"/>
    <x v="0"/>
    <x v="4"/>
    <x v="221"/>
    <x v="12"/>
  </r>
  <r>
    <x v="271"/>
    <x v="32"/>
    <x v="1461"/>
    <x v="3"/>
    <x v="422"/>
    <x v="10"/>
    <x v="2"/>
    <x v="4"/>
    <x v="221"/>
    <x v="10"/>
  </r>
  <r>
    <x v="271"/>
    <x v="32"/>
    <x v="629"/>
    <x v="4"/>
    <x v="422"/>
    <x v="10"/>
    <x v="2"/>
    <x v="4"/>
    <x v="221"/>
    <x v="10"/>
  </r>
  <r>
    <x v="271"/>
    <x v="32"/>
    <x v="859"/>
    <x v="6"/>
    <x v="422"/>
    <x v="10"/>
    <x v="2"/>
    <x v="4"/>
    <x v="221"/>
    <x v="10"/>
  </r>
  <r>
    <x v="271"/>
    <x v="32"/>
    <x v="1964"/>
    <x v="7"/>
    <x v="422"/>
    <x v="10"/>
    <x v="2"/>
    <x v="4"/>
    <x v="221"/>
    <x v="10"/>
  </r>
  <r>
    <x v="271"/>
    <x v="32"/>
    <x v="830"/>
    <x v="5"/>
    <x v="422"/>
    <x v="10"/>
    <x v="2"/>
    <x v="4"/>
    <x v="221"/>
    <x v="10"/>
  </r>
  <r>
    <x v="272"/>
    <x v="12"/>
    <x v="607"/>
    <x v="0"/>
    <x v="48"/>
    <x v="10"/>
    <x v="1"/>
    <x v="4"/>
    <x v="221"/>
    <x v="5"/>
  </r>
  <r>
    <x v="272"/>
    <x v="9"/>
    <x v="1515"/>
    <x v="0"/>
    <x v="231"/>
    <x v="10"/>
    <x v="0"/>
    <x v="4"/>
    <x v="221"/>
    <x v="5"/>
  </r>
  <r>
    <x v="272"/>
    <x v="20"/>
    <x v="1972"/>
    <x v="0"/>
    <x v="61"/>
    <x v="10"/>
    <x v="1"/>
    <x v="4"/>
    <x v="221"/>
    <x v="5"/>
  </r>
  <r>
    <x v="272"/>
    <x v="29"/>
    <x v="40"/>
    <x v="1"/>
    <x v="109"/>
    <x v="10"/>
    <x v="0"/>
    <x v="4"/>
    <x v="221"/>
    <x v="6"/>
  </r>
  <r>
    <x v="272"/>
    <x v="27"/>
    <x v="753"/>
    <x v="1"/>
    <x v="5"/>
    <x v="10"/>
    <x v="0"/>
    <x v="4"/>
    <x v="221"/>
    <x v="5"/>
  </r>
  <r>
    <x v="272"/>
    <x v="8"/>
    <x v="816"/>
    <x v="0"/>
    <x v="238"/>
    <x v="10"/>
    <x v="1"/>
    <x v="4"/>
    <x v="221"/>
    <x v="5"/>
  </r>
  <r>
    <x v="272"/>
    <x v="20"/>
    <x v="398"/>
    <x v="1"/>
    <x v="98"/>
    <x v="10"/>
    <x v="0"/>
    <x v="4"/>
    <x v="221"/>
    <x v="5"/>
  </r>
  <r>
    <x v="272"/>
    <x v="17"/>
    <x v="134"/>
    <x v="0"/>
    <x v="105"/>
    <x v="10"/>
    <x v="0"/>
    <x v="4"/>
    <x v="221"/>
    <x v="3"/>
  </r>
  <r>
    <x v="272"/>
    <x v="0"/>
    <x v="518"/>
    <x v="0"/>
    <x v="310"/>
    <x v="10"/>
    <x v="0"/>
    <x v="0"/>
    <x v="191"/>
    <x v="9"/>
  </r>
  <r>
    <x v="272"/>
    <x v="38"/>
    <x v="383"/>
    <x v="0"/>
    <x v="389"/>
    <x v="10"/>
    <x v="0"/>
    <x v="1"/>
    <x v="221"/>
    <x v="5"/>
  </r>
  <r>
    <x v="272"/>
    <x v="38"/>
    <x v="87"/>
    <x v="3"/>
    <x v="553"/>
    <x v="10"/>
    <x v="0"/>
    <x v="1"/>
    <x v="221"/>
    <x v="5"/>
  </r>
  <r>
    <x v="272"/>
    <x v="38"/>
    <x v="305"/>
    <x v="0"/>
    <x v="76"/>
    <x v="10"/>
    <x v="1"/>
    <x v="1"/>
    <x v="221"/>
    <x v="5"/>
  </r>
  <r>
    <x v="272"/>
    <x v="23"/>
    <x v="5"/>
    <x v="3"/>
    <x v="285"/>
    <x v="10"/>
    <x v="0"/>
    <x v="3"/>
    <x v="221"/>
    <x v="6"/>
  </r>
  <r>
    <x v="272"/>
    <x v="15"/>
    <x v="272"/>
    <x v="3"/>
    <x v="353"/>
    <x v="10"/>
    <x v="0"/>
    <x v="3"/>
    <x v="221"/>
    <x v="4"/>
  </r>
  <r>
    <x v="272"/>
    <x v="20"/>
    <x v="177"/>
    <x v="1"/>
    <x v="380"/>
    <x v="10"/>
    <x v="0"/>
    <x v="4"/>
    <x v="221"/>
    <x v="5"/>
  </r>
  <r>
    <x v="272"/>
    <x v="32"/>
    <x v="1410"/>
    <x v="3"/>
    <x v="0"/>
    <x v="10"/>
    <x v="2"/>
    <x v="4"/>
    <x v="221"/>
    <x v="10"/>
  </r>
  <r>
    <x v="272"/>
    <x v="32"/>
    <x v="343"/>
    <x v="6"/>
    <x v="422"/>
    <x v="10"/>
    <x v="2"/>
    <x v="4"/>
    <x v="221"/>
    <x v="10"/>
  </r>
  <r>
    <x v="272"/>
    <x v="32"/>
    <x v="1677"/>
    <x v="7"/>
    <x v="422"/>
    <x v="10"/>
    <x v="2"/>
    <x v="4"/>
    <x v="221"/>
    <x v="10"/>
  </r>
  <r>
    <x v="272"/>
    <x v="32"/>
    <x v="597"/>
    <x v="5"/>
    <x v="422"/>
    <x v="10"/>
    <x v="2"/>
    <x v="4"/>
    <x v="221"/>
    <x v="10"/>
  </r>
  <r>
    <x v="272"/>
    <x v="37"/>
    <x v="19"/>
    <x v="1"/>
    <x v="546"/>
    <x v="10"/>
    <x v="0"/>
    <x v="4"/>
    <x v="221"/>
    <x v="12"/>
  </r>
  <r>
    <x v="272"/>
    <x v="12"/>
    <x v="19"/>
    <x v="1"/>
    <x v="331"/>
    <x v="10"/>
    <x v="0"/>
    <x v="4"/>
    <x v="221"/>
    <x v="5"/>
  </r>
  <r>
    <x v="273"/>
    <x v="12"/>
    <x v="363"/>
    <x v="0"/>
    <x v="48"/>
    <x v="10"/>
    <x v="1"/>
    <x v="4"/>
    <x v="221"/>
    <x v="5"/>
  </r>
  <r>
    <x v="273"/>
    <x v="8"/>
    <x v="475"/>
    <x v="0"/>
    <x v="238"/>
    <x v="10"/>
    <x v="1"/>
    <x v="4"/>
    <x v="221"/>
    <x v="5"/>
  </r>
  <r>
    <x v="273"/>
    <x v="12"/>
    <x v="19"/>
    <x v="1"/>
    <x v="331"/>
    <x v="10"/>
    <x v="0"/>
    <x v="4"/>
    <x v="221"/>
    <x v="5"/>
  </r>
  <r>
    <x v="273"/>
    <x v="38"/>
    <x v="312"/>
    <x v="0"/>
    <x v="76"/>
    <x v="10"/>
    <x v="1"/>
    <x v="4"/>
    <x v="221"/>
    <x v="5"/>
  </r>
  <r>
    <x v="273"/>
    <x v="9"/>
    <x v="974"/>
    <x v="0"/>
    <x v="231"/>
    <x v="10"/>
    <x v="0"/>
    <x v="4"/>
    <x v="221"/>
    <x v="5"/>
  </r>
  <r>
    <x v="273"/>
    <x v="32"/>
    <x v="1492"/>
    <x v="3"/>
    <x v="422"/>
    <x v="10"/>
    <x v="2"/>
    <x v="4"/>
    <x v="221"/>
    <x v="10"/>
  </r>
  <r>
    <x v="273"/>
    <x v="32"/>
    <x v="1722"/>
    <x v="7"/>
    <x v="422"/>
    <x v="10"/>
    <x v="2"/>
    <x v="4"/>
    <x v="221"/>
    <x v="10"/>
  </r>
  <r>
    <x v="273"/>
    <x v="32"/>
    <x v="205"/>
    <x v="6"/>
    <x v="422"/>
    <x v="10"/>
    <x v="2"/>
    <x v="4"/>
    <x v="221"/>
    <x v="10"/>
  </r>
  <r>
    <x v="273"/>
    <x v="32"/>
    <x v="402"/>
    <x v="5"/>
    <x v="422"/>
    <x v="10"/>
    <x v="2"/>
    <x v="4"/>
    <x v="221"/>
    <x v="10"/>
  </r>
  <r>
    <x v="273"/>
    <x v="23"/>
    <x v="5"/>
    <x v="3"/>
    <x v="285"/>
    <x v="10"/>
    <x v="0"/>
    <x v="4"/>
    <x v="192"/>
    <x v="6"/>
  </r>
  <r>
    <x v="273"/>
    <x v="32"/>
    <x v="738"/>
    <x v="8"/>
    <x v="422"/>
    <x v="10"/>
    <x v="2"/>
    <x v="4"/>
    <x v="221"/>
    <x v="10"/>
  </r>
  <r>
    <x v="274"/>
    <x v="12"/>
    <x v="560"/>
    <x v="0"/>
    <x v="48"/>
    <x v="10"/>
    <x v="0"/>
    <x v="4"/>
    <x v="193"/>
    <x v="5"/>
  </r>
  <r>
    <x v="274"/>
    <x v="9"/>
    <x v="1407"/>
    <x v="0"/>
    <x v="231"/>
    <x v="10"/>
    <x v="0"/>
    <x v="4"/>
    <x v="221"/>
    <x v="5"/>
  </r>
  <r>
    <x v="274"/>
    <x v="38"/>
    <x v="1756"/>
    <x v="1"/>
    <x v="76"/>
    <x v="10"/>
    <x v="0"/>
    <x v="4"/>
    <x v="193"/>
    <x v="5"/>
  </r>
  <r>
    <x v="274"/>
    <x v="3"/>
    <x v="484"/>
    <x v="0"/>
    <x v="579"/>
    <x v="10"/>
    <x v="0"/>
    <x v="1"/>
    <x v="193"/>
    <x v="4"/>
  </r>
  <r>
    <x v="274"/>
    <x v="31"/>
    <x v="256"/>
    <x v="3"/>
    <x v="465"/>
    <x v="10"/>
    <x v="0"/>
    <x v="1"/>
    <x v="221"/>
    <x v="8"/>
  </r>
  <r>
    <x v="274"/>
    <x v="17"/>
    <x v="112"/>
    <x v="1"/>
    <x v="491"/>
    <x v="10"/>
    <x v="0"/>
    <x v="1"/>
    <x v="221"/>
    <x v="3"/>
  </r>
  <r>
    <x v="274"/>
    <x v="38"/>
    <x v="380"/>
    <x v="0"/>
    <x v="76"/>
    <x v="10"/>
    <x v="0"/>
    <x v="1"/>
    <x v="221"/>
    <x v="5"/>
  </r>
  <r>
    <x v="274"/>
    <x v="31"/>
    <x v="36"/>
    <x v="1"/>
    <x v="39"/>
    <x v="10"/>
    <x v="0"/>
    <x v="1"/>
    <x v="221"/>
    <x v="8"/>
  </r>
  <r>
    <x v="274"/>
    <x v="15"/>
    <x v="158"/>
    <x v="3"/>
    <x v="353"/>
    <x v="10"/>
    <x v="0"/>
    <x v="1"/>
    <x v="193"/>
    <x v="4"/>
  </r>
  <r>
    <x v="274"/>
    <x v="37"/>
    <x v="19"/>
    <x v="1"/>
    <x v="546"/>
    <x v="10"/>
    <x v="0"/>
    <x v="1"/>
    <x v="221"/>
    <x v="12"/>
  </r>
  <r>
    <x v="274"/>
    <x v="23"/>
    <x v="25"/>
    <x v="3"/>
    <x v="285"/>
    <x v="10"/>
    <x v="0"/>
    <x v="3"/>
    <x v="221"/>
    <x v="6"/>
  </r>
  <r>
    <x v="274"/>
    <x v="12"/>
    <x v="19"/>
    <x v="1"/>
    <x v="331"/>
    <x v="10"/>
    <x v="0"/>
    <x v="1"/>
    <x v="221"/>
    <x v="5"/>
  </r>
  <r>
    <x v="274"/>
    <x v="32"/>
    <x v="1175"/>
    <x v="3"/>
    <x v="422"/>
    <x v="10"/>
    <x v="2"/>
    <x v="4"/>
    <x v="221"/>
    <x v="10"/>
  </r>
  <r>
    <x v="274"/>
    <x v="32"/>
    <x v="1344"/>
    <x v="2"/>
    <x v="422"/>
    <x v="10"/>
    <x v="2"/>
    <x v="4"/>
    <x v="221"/>
    <x v="10"/>
  </r>
  <r>
    <x v="274"/>
    <x v="32"/>
    <x v="628"/>
    <x v="6"/>
    <x v="422"/>
    <x v="10"/>
    <x v="2"/>
    <x v="4"/>
    <x v="221"/>
    <x v="10"/>
  </r>
  <r>
    <x v="274"/>
    <x v="32"/>
    <x v="1676"/>
    <x v="7"/>
    <x v="422"/>
    <x v="10"/>
    <x v="2"/>
    <x v="4"/>
    <x v="221"/>
    <x v="10"/>
  </r>
  <r>
    <x v="274"/>
    <x v="32"/>
    <x v="256"/>
    <x v="8"/>
    <x v="422"/>
    <x v="10"/>
    <x v="2"/>
    <x v="4"/>
    <x v="221"/>
    <x v="10"/>
  </r>
  <r>
    <x v="274"/>
    <x v="32"/>
    <x v="766"/>
    <x v="5"/>
    <x v="422"/>
    <x v="10"/>
    <x v="2"/>
    <x v="4"/>
    <x v="221"/>
    <x v="10"/>
  </r>
  <r>
    <x v="274"/>
    <x v="38"/>
    <x v="12"/>
    <x v="3"/>
    <x v="334"/>
    <x v="10"/>
    <x v="0"/>
    <x v="1"/>
    <x v="221"/>
    <x v="5"/>
  </r>
  <r>
    <x v="275"/>
    <x v="0"/>
    <x v="283"/>
    <x v="3"/>
    <x v="483"/>
    <x v="10"/>
    <x v="0"/>
    <x v="3"/>
    <x v="221"/>
    <x v="9"/>
  </r>
  <r>
    <x v="275"/>
    <x v="12"/>
    <x v="198"/>
    <x v="0"/>
    <x v="48"/>
    <x v="10"/>
    <x v="1"/>
    <x v="4"/>
    <x v="221"/>
    <x v="5"/>
  </r>
  <r>
    <x v="275"/>
    <x v="9"/>
    <x v="1240"/>
    <x v="0"/>
    <x v="231"/>
    <x v="10"/>
    <x v="0"/>
    <x v="4"/>
    <x v="221"/>
    <x v="5"/>
  </r>
  <r>
    <x v="275"/>
    <x v="20"/>
    <x v="305"/>
    <x v="1"/>
    <x v="488"/>
    <x v="10"/>
    <x v="0"/>
    <x v="4"/>
    <x v="221"/>
    <x v="5"/>
  </r>
  <r>
    <x v="275"/>
    <x v="3"/>
    <x v="957"/>
    <x v="0"/>
    <x v="507"/>
    <x v="10"/>
    <x v="0"/>
    <x v="1"/>
    <x v="194"/>
    <x v="4"/>
  </r>
  <r>
    <x v="275"/>
    <x v="38"/>
    <x v="87"/>
    <x v="3"/>
    <x v="551"/>
    <x v="10"/>
    <x v="0"/>
    <x v="3"/>
    <x v="221"/>
    <x v="5"/>
  </r>
  <r>
    <x v="275"/>
    <x v="38"/>
    <x v="36"/>
    <x v="1"/>
    <x v="401"/>
    <x v="10"/>
    <x v="0"/>
    <x v="1"/>
    <x v="221"/>
    <x v="5"/>
  </r>
  <r>
    <x v="275"/>
    <x v="12"/>
    <x v="19"/>
    <x v="1"/>
    <x v="331"/>
    <x v="10"/>
    <x v="0"/>
    <x v="3"/>
    <x v="221"/>
    <x v="5"/>
  </r>
  <r>
    <x v="275"/>
    <x v="20"/>
    <x v="33"/>
    <x v="1"/>
    <x v="377"/>
    <x v="10"/>
    <x v="0"/>
    <x v="1"/>
    <x v="221"/>
    <x v="5"/>
  </r>
  <r>
    <x v="275"/>
    <x v="23"/>
    <x v="1"/>
    <x v="3"/>
    <x v="74"/>
    <x v="10"/>
    <x v="0"/>
    <x v="1"/>
    <x v="194"/>
    <x v="6"/>
  </r>
  <r>
    <x v="275"/>
    <x v="38"/>
    <x v="319"/>
    <x v="0"/>
    <x v="76"/>
    <x v="10"/>
    <x v="1"/>
    <x v="1"/>
    <x v="221"/>
    <x v="5"/>
  </r>
  <r>
    <x v="275"/>
    <x v="37"/>
    <x v="19"/>
    <x v="1"/>
    <x v="546"/>
    <x v="10"/>
    <x v="0"/>
    <x v="1"/>
    <x v="221"/>
    <x v="12"/>
  </r>
  <r>
    <x v="275"/>
    <x v="32"/>
    <x v="1559"/>
    <x v="3"/>
    <x v="422"/>
    <x v="10"/>
    <x v="2"/>
    <x v="4"/>
    <x v="221"/>
    <x v="10"/>
  </r>
  <r>
    <x v="275"/>
    <x v="32"/>
    <x v="1795"/>
    <x v="7"/>
    <x v="422"/>
    <x v="10"/>
    <x v="2"/>
    <x v="4"/>
    <x v="221"/>
    <x v="10"/>
  </r>
  <r>
    <x v="275"/>
    <x v="32"/>
    <x v="454"/>
    <x v="6"/>
    <x v="422"/>
    <x v="10"/>
    <x v="2"/>
    <x v="4"/>
    <x v="221"/>
    <x v="10"/>
  </r>
  <r>
    <x v="275"/>
    <x v="32"/>
    <x v="471"/>
    <x v="5"/>
    <x v="422"/>
    <x v="10"/>
    <x v="2"/>
    <x v="4"/>
    <x v="221"/>
    <x v="10"/>
  </r>
  <r>
    <x v="275"/>
    <x v="32"/>
    <x v="286"/>
    <x v="2"/>
    <x v="422"/>
    <x v="10"/>
    <x v="2"/>
    <x v="4"/>
    <x v="221"/>
    <x v="10"/>
  </r>
  <r>
    <x v="275"/>
    <x v="31"/>
    <x v="112"/>
    <x v="1"/>
    <x v="156"/>
    <x v="10"/>
    <x v="0"/>
    <x v="3"/>
    <x v="221"/>
    <x v="8"/>
  </r>
  <r>
    <x v="276"/>
    <x v="9"/>
    <x v="1566"/>
    <x v="0"/>
    <x v="231"/>
    <x v="10"/>
    <x v="0"/>
    <x v="4"/>
    <x v="221"/>
    <x v="5"/>
  </r>
  <r>
    <x v="276"/>
    <x v="36"/>
    <x v="45"/>
    <x v="1"/>
    <x v="376"/>
    <x v="10"/>
    <x v="0"/>
    <x v="3"/>
    <x v="221"/>
    <x v="5"/>
  </r>
  <r>
    <x v="276"/>
    <x v="12"/>
    <x v="363"/>
    <x v="1"/>
    <x v="129"/>
    <x v="10"/>
    <x v="0"/>
    <x v="1"/>
    <x v="221"/>
    <x v="5"/>
  </r>
  <r>
    <x v="276"/>
    <x v="27"/>
    <x v="753"/>
    <x v="1"/>
    <x v="360"/>
    <x v="10"/>
    <x v="0"/>
    <x v="3"/>
    <x v="221"/>
    <x v="5"/>
  </r>
  <r>
    <x v="276"/>
    <x v="12"/>
    <x v="277"/>
    <x v="0"/>
    <x v="48"/>
    <x v="10"/>
    <x v="0"/>
    <x v="3"/>
    <x v="221"/>
    <x v="5"/>
  </r>
  <r>
    <x v="276"/>
    <x v="3"/>
    <x v="244"/>
    <x v="1"/>
    <x v="580"/>
    <x v="10"/>
    <x v="0"/>
    <x v="3"/>
    <x v="221"/>
    <x v="4"/>
  </r>
  <r>
    <x v="276"/>
    <x v="38"/>
    <x v="12"/>
    <x v="3"/>
    <x v="334"/>
    <x v="10"/>
    <x v="0"/>
    <x v="1"/>
    <x v="221"/>
    <x v="5"/>
  </r>
  <r>
    <x v="276"/>
    <x v="23"/>
    <x v="12"/>
    <x v="3"/>
    <x v="285"/>
    <x v="10"/>
    <x v="0"/>
    <x v="1"/>
    <x v="221"/>
    <x v="6"/>
  </r>
  <r>
    <x v="276"/>
    <x v="28"/>
    <x v="138"/>
    <x v="1"/>
    <x v="424"/>
    <x v="10"/>
    <x v="0"/>
    <x v="1"/>
    <x v="221"/>
    <x v="0"/>
  </r>
  <r>
    <x v="276"/>
    <x v="31"/>
    <x v="27"/>
    <x v="1"/>
    <x v="38"/>
    <x v="10"/>
    <x v="0"/>
    <x v="3"/>
    <x v="221"/>
    <x v="8"/>
  </r>
  <r>
    <x v="276"/>
    <x v="38"/>
    <x v="238"/>
    <x v="0"/>
    <x v="76"/>
    <x v="10"/>
    <x v="1"/>
    <x v="4"/>
    <x v="221"/>
    <x v="5"/>
  </r>
  <r>
    <x v="276"/>
    <x v="12"/>
    <x v="19"/>
    <x v="1"/>
    <x v="331"/>
    <x v="10"/>
    <x v="0"/>
    <x v="4"/>
    <x v="221"/>
    <x v="5"/>
  </r>
  <r>
    <x v="276"/>
    <x v="17"/>
    <x v="19"/>
    <x v="1"/>
    <x v="395"/>
    <x v="10"/>
    <x v="0"/>
    <x v="4"/>
    <x v="221"/>
    <x v="3"/>
  </r>
  <r>
    <x v="276"/>
    <x v="1"/>
    <x v="332"/>
    <x v="1"/>
    <x v="432"/>
    <x v="10"/>
    <x v="0"/>
    <x v="4"/>
    <x v="221"/>
    <x v="4"/>
  </r>
  <r>
    <x v="276"/>
    <x v="32"/>
    <x v="995"/>
    <x v="3"/>
    <x v="422"/>
    <x v="10"/>
    <x v="2"/>
    <x v="4"/>
    <x v="221"/>
    <x v="10"/>
  </r>
  <r>
    <x v="276"/>
    <x v="32"/>
    <x v="1719"/>
    <x v="7"/>
    <x v="422"/>
    <x v="10"/>
    <x v="2"/>
    <x v="4"/>
    <x v="221"/>
    <x v="10"/>
  </r>
  <r>
    <x v="276"/>
    <x v="32"/>
    <x v="205"/>
    <x v="4"/>
    <x v="422"/>
    <x v="10"/>
    <x v="2"/>
    <x v="4"/>
    <x v="221"/>
    <x v="10"/>
  </r>
  <r>
    <x v="276"/>
    <x v="32"/>
    <x v="1100"/>
    <x v="5"/>
    <x v="422"/>
    <x v="10"/>
    <x v="2"/>
    <x v="4"/>
    <x v="221"/>
    <x v="10"/>
  </r>
  <r>
    <x v="276"/>
    <x v="37"/>
    <x v="19"/>
    <x v="1"/>
    <x v="546"/>
    <x v="10"/>
    <x v="0"/>
    <x v="4"/>
    <x v="221"/>
    <x v="12"/>
  </r>
  <r>
    <x v="276"/>
    <x v="0"/>
    <x v="256"/>
    <x v="3"/>
    <x v="15"/>
    <x v="10"/>
    <x v="0"/>
    <x v="3"/>
    <x v="195"/>
    <x v="9"/>
  </r>
  <r>
    <x v="276"/>
    <x v="5"/>
    <x v="242"/>
    <x v="3"/>
    <x v="368"/>
    <x v="10"/>
    <x v="0"/>
    <x v="3"/>
    <x v="221"/>
    <x v="11"/>
  </r>
  <r>
    <x v="277"/>
    <x v="12"/>
    <x v="366"/>
    <x v="0"/>
    <x v="48"/>
    <x v="10"/>
    <x v="1"/>
    <x v="1"/>
    <x v="221"/>
    <x v="5"/>
  </r>
  <r>
    <x v="277"/>
    <x v="17"/>
    <x v="30"/>
    <x v="1"/>
    <x v="396"/>
    <x v="10"/>
    <x v="0"/>
    <x v="3"/>
    <x v="221"/>
    <x v="3"/>
  </r>
  <r>
    <x v="277"/>
    <x v="16"/>
    <x v="45"/>
    <x v="1"/>
    <x v="336"/>
    <x v="10"/>
    <x v="0"/>
    <x v="3"/>
    <x v="221"/>
    <x v="6"/>
  </r>
  <r>
    <x v="277"/>
    <x v="24"/>
    <x v="112"/>
    <x v="1"/>
    <x v="50"/>
    <x v="10"/>
    <x v="0"/>
    <x v="4"/>
    <x v="221"/>
    <x v="6"/>
  </r>
  <r>
    <x v="277"/>
    <x v="24"/>
    <x v="112"/>
    <x v="1"/>
    <x v="490"/>
    <x v="10"/>
    <x v="0"/>
    <x v="4"/>
    <x v="221"/>
    <x v="6"/>
  </r>
  <r>
    <x v="277"/>
    <x v="17"/>
    <x v="1954"/>
    <x v="0"/>
    <x v="301"/>
    <x v="10"/>
    <x v="1"/>
    <x v="4"/>
    <x v="221"/>
    <x v="3"/>
  </r>
  <r>
    <x v="277"/>
    <x v="38"/>
    <x v="163"/>
    <x v="0"/>
    <x v="76"/>
    <x v="10"/>
    <x v="1"/>
    <x v="4"/>
    <x v="221"/>
    <x v="5"/>
  </r>
  <r>
    <x v="277"/>
    <x v="32"/>
    <x v="1441"/>
    <x v="3"/>
    <x v="422"/>
    <x v="10"/>
    <x v="2"/>
    <x v="4"/>
    <x v="221"/>
    <x v="10"/>
  </r>
  <r>
    <x v="277"/>
    <x v="32"/>
    <x v="1809"/>
    <x v="7"/>
    <x v="422"/>
    <x v="10"/>
    <x v="2"/>
    <x v="4"/>
    <x v="221"/>
    <x v="10"/>
  </r>
  <r>
    <x v="277"/>
    <x v="32"/>
    <x v="19"/>
    <x v="6"/>
    <x v="422"/>
    <x v="10"/>
    <x v="2"/>
    <x v="4"/>
    <x v="221"/>
    <x v="10"/>
  </r>
  <r>
    <x v="277"/>
    <x v="32"/>
    <x v="354"/>
    <x v="2"/>
    <x v="422"/>
    <x v="10"/>
    <x v="2"/>
    <x v="4"/>
    <x v="221"/>
    <x v="10"/>
  </r>
  <r>
    <x v="277"/>
    <x v="32"/>
    <x v="650"/>
    <x v="5"/>
    <x v="422"/>
    <x v="10"/>
    <x v="2"/>
    <x v="4"/>
    <x v="221"/>
    <x v="10"/>
  </r>
  <r>
    <x v="277"/>
    <x v="0"/>
    <x v="256"/>
    <x v="1"/>
    <x v="22"/>
    <x v="10"/>
    <x v="0"/>
    <x v="3"/>
    <x v="221"/>
    <x v="9"/>
  </r>
  <r>
    <x v="278"/>
    <x v="9"/>
    <x v="1119"/>
    <x v="0"/>
    <x v="231"/>
    <x v="10"/>
    <x v="0"/>
    <x v="4"/>
    <x v="221"/>
    <x v="5"/>
  </r>
  <r>
    <x v="278"/>
    <x v="27"/>
    <x v="256"/>
    <x v="1"/>
    <x v="411"/>
    <x v="10"/>
    <x v="0"/>
    <x v="4"/>
    <x v="221"/>
    <x v="5"/>
  </r>
  <r>
    <x v="278"/>
    <x v="38"/>
    <x v="1483"/>
    <x v="1"/>
    <x v="76"/>
    <x v="10"/>
    <x v="0"/>
    <x v="1"/>
    <x v="196"/>
    <x v="5"/>
  </r>
  <r>
    <x v="278"/>
    <x v="12"/>
    <x v="277"/>
    <x v="1"/>
    <x v="48"/>
    <x v="10"/>
    <x v="1"/>
    <x v="4"/>
    <x v="221"/>
    <x v="5"/>
  </r>
  <r>
    <x v="278"/>
    <x v="24"/>
    <x v="158"/>
    <x v="1"/>
    <x v="72"/>
    <x v="10"/>
    <x v="0"/>
    <x v="1"/>
    <x v="221"/>
    <x v="6"/>
  </r>
  <r>
    <x v="278"/>
    <x v="37"/>
    <x v="19"/>
    <x v="1"/>
    <x v="546"/>
    <x v="10"/>
    <x v="0"/>
    <x v="4"/>
    <x v="221"/>
    <x v="12"/>
  </r>
  <r>
    <x v="278"/>
    <x v="32"/>
    <x v="1301"/>
    <x v="3"/>
    <x v="422"/>
    <x v="10"/>
    <x v="2"/>
    <x v="4"/>
    <x v="221"/>
    <x v="10"/>
  </r>
  <r>
    <x v="278"/>
    <x v="32"/>
    <x v="1858"/>
    <x v="7"/>
    <x v="422"/>
    <x v="10"/>
    <x v="2"/>
    <x v="4"/>
    <x v="221"/>
    <x v="10"/>
  </r>
  <r>
    <x v="278"/>
    <x v="32"/>
    <x v="1500"/>
    <x v="5"/>
    <x v="422"/>
    <x v="10"/>
    <x v="2"/>
    <x v="4"/>
    <x v="221"/>
    <x v="10"/>
  </r>
  <r>
    <x v="278"/>
    <x v="4"/>
    <x v="19"/>
    <x v="3"/>
    <x v="462"/>
    <x v="10"/>
    <x v="0"/>
    <x v="4"/>
    <x v="221"/>
    <x v="2"/>
  </r>
  <r>
    <x v="279"/>
    <x v="12"/>
    <x v="397"/>
    <x v="0"/>
    <x v="48"/>
    <x v="10"/>
    <x v="1"/>
    <x v="4"/>
    <x v="221"/>
    <x v="5"/>
  </r>
  <r>
    <x v="279"/>
    <x v="9"/>
    <x v="1506"/>
    <x v="0"/>
    <x v="231"/>
    <x v="10"/>
    <x v="0"/>
    <x v="4"/>
    <x v="221"/>
    <x v="5"/>
  </r>
  <r>
    <x v="279"/>
    <x v="8"/>
    <x v="475"/>
    <x v="0"/>
    <x v="238"/>
    <x v="10"/>
    <x v="1"/>
    <x v="4"/>
    <x v="221"/>
    <x v="5"/>
  </r>
  <r>
    <x v="279"/>
    <x v="20"/>
    <x v="1286"/>
    <x v="0"/>
    <x v="61"/>
    <x v="10"/>
    <x v="1"/>
    <x v="4"/>
    <x v="221"/>
    <x v="5"/>
  </r>
  <r>
    <x v="279"/>
    <x v="26"/>
    <x v="90"/>
    <x v="3"/>
    <x v="338"/>
    <x v="10"/>
    <x v="0"/>
    <x v="4"/>
    <x v="221"/>
    <x v="5"/>
  </r>
  <r>
    <x v="279"/>
    <x v="38"/>
    <x v="12"/>
    <x v="3"/>
    <x v="334"/>
    <x v="10"/>
    <x v="0"/>
    <x v="4"/>
    <x v="221"/>
    <x v="5"/>
  </r>
  <r>
    <x v="279"/>
    <x v="13"/>
    <x v="1004"/>
    <x v="0"/>
    <x v="34"/>
    <x v="10"/>
    <x v="1"/>
    <x v="4"/>
    <x v="221"/>
    <x v="5"/>
  </r>
  <r>
    <x v="279"/>
    <x v="38"/>
    <x v="362"/>
    <x v="0"/>
    <x v="76"/>
    <x v="10"/>
    <x v="1"/>
    <x v="4"/>
    <x v="221"/>
    <x v="5"/>
  </r>
  <r>
    <x v="279"/>
    <x v="32"/>
    <x v="1602"/>
    <x v="3"/>
    <x v="422"/>
    <x v="10"/>
    <x v="2"/>
    <x v="4"/>
    <x v="221"/>
    <x v="10"/>
  </r>
  <r>
    <x v="279"/>
    <x v="32"/>
    <x v="1821"/>
    <x v="7"/>
    <x v="422"/>
    <x v="10"/>
    <x v="2"/>
    <x v="4"/>
    <x v="221"/>
    <x v="10"/>
  </r>
  <r>
    <x v="279"/>
    <x v="32"/>
    <x v="799"/>
    <x v="2"/>
    <x v="422"/>
    <x v="10"/>
    <x v="2"/>
    <x v="4"/>
    <x v="221"/>
    <x v="10"/>
  </r>
  <r>
    <x v="279"/>
    <x v="32"/>
    <x v="377"/>
    <x v="8"/>
    <x v="422"/>
    <x v="10"/>
    <x v="2"/>
    <x v="4"/>
    <x v="221"/>
    <x v="10"/>
  </r>
  <r>
    <x v="279"/>
    <x v="32"/>
    <x v="849"/>
    <x v="5"/>
    <x v="422"/>
    <x v="10"/>
    <x v="2"/>
    <x v="4"/>
    <x v="221"/>
    <x v="10"/>
  </r>
  <r>
    <x v="279"/>
    <x v="32"/>
    <x v="40"/>
    <x v="6"/>
    <x v="422"/>
    <x v="10"/>
    <x v="2"/>
    <x v="4"/>
    <x v="221"/>
    <x v="10"/>
  </r>
  <r>
    <x v="279"/>
    <x v="17"/>
    <x v="9"/>
    <x v="3"/>
    <x v="293"/>
    <x v="10"/>
    <x v="0"/>
    <x v="4"/>
    <x v="221"/>
    <x v="3"/>
  </r>
  <r>
    <x v="278"/>
    <x v="37"/>
    <x v="19"/>
    <x v="3"/>
    <x v="546"/>
    <x v="10"/>
    <x v="0"/>
    <x v="4"/>
    <x v="221"/>
    <x v="12"/>
  </r>
  <r>
    <x v="279"/>
    <x v="23"/>
    <x v="5"/>
    <x v="3"/>
    <x v="282"/>
    <x v="10"/>
    <x v="0"/>
    <x v="4"/>
    <x v="221"/>
    <x v="6"/>
  </r>
  <r>
    <x v="280"/>
    <x v="12"/>
    <x v="498"/>
    <x v="0"/>
    <x v="48"/>
    <x v="10"/>
    <x v="1"/>
    <x v="4"/>
    <x v="221"/>
    <x v="5"/>
  </r>
  <r>
    <x v="280"/>
    <x v="9"/>
    <x v="1619"/>
    <x v="0"/>
    <x v="231"/>
    <x v="10"/>
    <x v="0"/>
    <x v="4"/>
    <x v="221"/>
    <x v="5"/>
  </r>
  <r>
    <x v="280"/>
    <x v="20"/>
    <x v="683"/>
    <x v="1"/>
    <x v="99"/>
    <x v="10"/>
    <x v="0"/>
    <x v="4"/>
    <x v="221"/>
    <x v="5"/>
  </r>
  <r>
    <x v="280"/>
    <x v="38"/>
    <x v="1483"/>
    <x v="1"/>
    <x v="76"/>
    <x v="10"/>
    <x v="0"/>
    <x v="1"/>
    <x v="197"/>
    <x v="5"/>
  </r>
  <r>
    <x v="280"/>
    <x v="3"/>
    <x v="475"/>
    <x v="1"/>
    <x v="580"/>
    <x v="10"/>
    <x v="0"/>
    <x v="1"/>
    <x v="197"/>
    <x v="4"/>
  </r>
  <r>
    <x v="280"/>
    <x v="14"/>
    <x v="12"/>
    <x v="3"/>
    <x v="462"/>
    <x v="10"/>
    <x v="0"/>
    <x v="4"/>
    <x v="221"/>
    <x v="6"/>
  </r>
  <r>
    <x v="280"/>
    <x v="15"/>
    <x v="179"/>
    <x v="1"/>
    <x v="353"/>
    <x v="10"/>
    <x v="0"/>
    <x v="1"/>
    <x v="197"/>
    <x v="4"/>
  </r>
  <r>
    <x v="280"/>
    <x v="38"/>
    <x v="53"/>
    <x v="1"/>
    <x v="401"/>
    <x v="10"/>
    <x v="0"/>
    <x v="1"/>
    <x v="197"/>
    <x v="5"/>
  </r>
  <r>
    <x v="280"/>
    <x v="23"/>
    <x v="5"/>
    <x v="3"/>
    <x v="282"/>
    <x v="10"/>
    <x v="0"/>
    <x v="2"/>
    <x v="197"/>
    <x v="6"/>
  </r>
  <r>
    <x v="280"/>
    <x v="32"/>
    <x v="1250"/>
    <x v="3"/>
    <x v="422"/>
    <x v="10"/>
    <x v="2"/>
    <x v="4"/>
    <x v="221"/>
    <x v="10"/>
  </r>
  <r>
    <x v="280"/>
    <x v="32"/>
    <x v="1792"/>
    <x v="7"/>
    <x v="422"/>
    <x v="10"/>
    <x v="2"/>
    <x v="4"/>
    <x v="221"/>
    <x v="10"/>
  </r>
  <r>
    <x v="280"/>
    <x v="32"/>
    <x v="370"/>
    <x v="8"/>
    <x v="422"/>
    <x v="10"/>
    <x v="2"/>
    <x v="4"/>
    <x v="221"/>
    <x v="10"/>
  </r>
  <r>
    <x v="280"/>
    <x v="32"/>
    <x v="564"/>
    <x v="5"/>
    <x v="422"/>
    <x v="10"/>
    <x v="2"/>
    <x v="4"/>
    <x v="221"/>
    <x v="10"/>
  </r>
  <r>
    <x v="280"/>
    <x v="32"/>
    <x v="45"/>
    <x v="6"/>
    <x v="422"/>
    <x v="10"/>
    <x v="2"/>
    <x v="4"/>
    <x v="221"/>
    <x v="10"/>
  </r>
  <r>
    <x v="280"/>
    <x v="38"/>
    <x v="514"/>
    <x v="0"/>
    <x v="76"/>
    <x v="10"/>
    <x v="1"/>
    <x v="4"/>
    <x v="221"/>
    <x v="5"/>
  </r>
  <r>
    <x v="280"/>
    <x v="13"/>
    <x v="49"/>
    <x v="1"/>
    <x v="433"/>
    <x v="10"/>
    <x v="0"/>
    <x v="1"/>
    <x v="197"/>
    <x v="5"/>
  </r>
  <r>
    <x v="280"/>
    <x v="37"/>
    <x v="19"/>
    <x v="1"/>
    <x v="546"/>
    <x v="10"/>
    <x v="0"/>
    <x v="1"/>
    <x v="197"/>
    <x v="12"/>
  </r>
  <r>
    <x v="280"/>
    <x v="38"/>
    <x v="87"/>
    <x v="1"/>
    <x v="553"/>
    <x v="10"/>
    <x v="0"/>
    <x v="1"/>
    <x v="221"/>
    <x v="5"/>
  </r>
  <r>
    <x v="281"/>
    <x v="12"/>
    <x v="875"/>
    <x v="0"/>
    <x v="48"/>
    <x v="10"/>
    <x v="1"/>
    <x v="4"/>
    <x v="221"/>
    <x v="5"/>
  </r>
  <r>
    <x v="281"/>
    <x v="8"/>
    <x v="816"/>
    <x v="0"/>
    <x v="238"/>
    <x v="10"/>
    <x v="1"/>
    <x v="4"/>
    <x v="221"/>
    <x v="5"/>
  </r>
  <r>
    <x v="281"/>
    <x v="9"/>
    <x v="1404"/>
    <x v="0"/>
    <x v="231"/>
    <x v="10"/>
    <x v="0"/>
    <x v="4"/>
    <x v="221"/>
    <x v="5"/>
  </r>
  <r>
    <x v="281"/>
    <x v="23"/>
    <x v="5"/>
    <x v="3"/>
    <x v="282"/>
    <x v="10"/>
    <x v="0"/>
    <x v="1"/>
    <x v="221"/>
    <x v="6"/>
  </r>
  <r>
    <x v="281"/>
    <x v="23"/>
    <x v="1"/>
    <x v="3"/>
    <x v="282"/>
    <x v="10"/>
    <x v="0"/>
    <x v="4"/>
    <x v="221"/>
    <x v="6"/>
  </r>
  <r>
    <x v="281"/>
    <x v="38"/>
    <x v="19"/>
    <x v="3"/>
    <x v="334"/>
    <x v="10"/>
    <x v="0"/>
    <x v="4"/>
    <x v="221"/>
    <x v="5"/>
  </r>
  <r>
    <x v="281"/>
    <x v="26"/>
    <x v="90"/>
    <x v="3"/>
    <x v="338"/>
    <x v="10"/>
    <x v="0"/>
    <x v="1"/>
    <x v="198"/>
    <x v="5"/>
  </r>
  <r>
    <x v="281"/>
    <x v="24"/>
    <x v="143"/>
    <x v="1"/>
    <x v="50"/>
    <x v="10"/>
    <x v="0"/>
    <x v="1"/>
    <x v="221"/>
    <x v="6"/>
  </r>
  <r>
    <x v="281"/>
    <x v="38"/>
    <x v="239"/>
    <x v="1"/>
    <x v="389"/>
    <x v="10"/>
    <x v="0"/>
    <x v="1"/>
    <x v="221"/>
    <x v="5"/>
  </r>
  <r>
    <x v="281"/>
    <x v="28"/>
    <x v="138"/>
    <x v="1"/>
    <x v="424"/>
    <x v="10"/>
    <x v="0"/>
    <x v="1"/>
    <x v="221"/>
    <x v="0"/>
  </r>
  <r>
    <x v="281"/>
    <x v="20"/>
    <x v="33"/>
    <x v="1"/>
    <x v="377"/>
    <x v="10"/>
    <x v="0"/>
    <x v="1"/>
    <x v="221"/>
    <x v="5"/>
  </r>
  <r>
    <x v="281"/>
    <x v="38"/>
    <x v="397"/>
    <x v="0"/>
    <x v="76"/>
    <x v="10"/>
    <x v="1"/>
    <x v="4"/>
    <x v="221"/>
    <x v="5"/>
  </r>
  <r>
    <x v="281"/>
    <x v="32"/>
    <x v="1253"/>
    <x v="3"/>
    <x v="422"/>
    <x v="10"/>
    <x v="2"/>
    <x v="4"/>
    <x v="221"/>
    <x v="10"/>
  </r>
  <r>
    <x v="281"/>
    <x v="32"/>
    <x v="1989"/>
    <x v="7"/>
    <x v="422"/>
    <x v="10"/>
    <x v="2"/>
    <x v="4"/>
    <x v="221"/>
    <x v="10"/>
  </r>
  <r>
    <x v="281"/>
    <x v="32"/>
    <x v="126"/>
    <x v="6"/>
    <x v="422"/>
    <x v="10"/>
    <x v="2"/>
    <x v="4"/>
    <x v="221"/>
    <x v="10"/>
  </r>
  <r>
    <x v="281"/>
    <x v="32"/>
    <x v="811"/>
    <x v="5"/>
    <x v="422"/>
    <x v="10"/>
    <x v="2"/>
    <x v="4"/>
    <x v="221"/>
    <x v="10"/>
  </r>
  <r>
    <x v="281"/>
    <x v="32"/>
    <x v="890"/>
    <x v="2"/>
    <x v="422"/>
    <x v="10"/>
    <x v="2"/>
    <x v="4"/>
    <x v="221"/>
    <x v="10"/>
  </r>
  <r>
    <x v="282"/>
    <x v="12"/>
    <x v="816"/>
    <x v="0"/>
    <x v="48"/>
    <x v="11"/>
    <x v="1"/>
    <x v="4"/>
    <x v="221"/>
    <x v="5"/>
  </r>
  <r>
    <x v="282"/>
    <x v="9"/>
    <x v="1717"/>
    <x v="0"/>
    <x v="231"/>
    <x v="11"/>
    <x v="0"/>
    <x v="4"/>
    <x v="221"/>
    <x v="5"/>
  </r>
  <r>
    <x v="282"/>
    <x v="38"/>
    <x v="371"/>
    <x v="0"/>
    <x v="76"/>
    <x v="11"/>
    <x v="1"/>
    <x v="4"/>
    <x v="221"/>
    <x v="5"/>
  </r>
  <r>
    <x v="282"/>
    <x v="23"/>
    <x v="12"/>
    <x v="3"/>
    <x v="282"/>
    <x v="11"/>
    <x v="0"/>
    <x v="4"/>
    <x v="221"/>
    <x v="6"/>
  </r>
  <r>
    <x v="282"/>
    <x v="15"/>
    <x v="170"/>
    <x v="3"/>
    <x v="353"/>
    <x v="11"/>
    <x v="0"/>
    <x v="1"/>
    <x v="221"/>
    <x v="4"/>
  </r>
  <r>
    <x v="282"/>
    <x v="32"/>
    <x v="313"/>
    <x v="3"/>
    <x v="422"/>
    <x v="11"/>
    <x v="2"/>
    <x v="4"/>
    <x v="221"/>
    <x v="10"/>
  </r>
  <r>
    <x v="282"/>
    <x v="32"/>
    <x v="1951"/>
    <x v="7"/>
    <x v="422"/>
    <x v="11"/>
    <x v="2"/>
    <x v="4"/>
    <x v="221"/>
    <x v="10"/>
  </r>
  <r>
    <x v="282"/>
    <x v="32"/>
    <x v="717"/>
    <x v="6"/>
    <x v="422"/>
    <x v="11"/>
    <x v="2"/>
    <x v="4"/>
    <x v="221"/>
    <x v="10"/>
  </r>
  <r>
    <x v="282"/>
    <x v="32"/>
    <x v="187"/>
    <x v="2"/>
    <x v="422"/>
    <x v="11"/>
    <x v="2"/>
    <x v="4"/>
    <x v="221"/>
    <x v="10"/>
  </r>
  <r>
    <x v="282"/>
    <x v="32"/>
    <x v="375"/>
    <x v="8"/>
    <x v="422"/>
    <x v="11"/>
    <x v="2"/>
    <x v="4"/>
    <x v="221"/>
    <x v="10"/>
  </r>
  <r>
    <x v="282"/>
    <x v="32"/>
    <x v="737"/>
    <x v="5"/>
    <x v="422"/>
    <x v="11"/>
    <x v="2"/>
    <x v="4"/>
    <x v="221"/>
    <x v="10"/>
  </r>
  <r>
    <x v="282"/>
    <x v="37"/>
    <x v="19"/>
    <x v="1"/>
    <x v="546"/>
    <x v="11"/>
    <x v="0"/>
    <x v="1"/>
    <x v="199"/>
    <x v="12"/>
  </r>
  <r>
    <x v="283"/>
    <x v="21"/>
    <x v="554"/>
    <x v="1"/>
    <x v="196"/>
    <x v="11"/>
    <x v="0"/>
    <x v="4"/>
    <x v="221"/>
    <x v="3"/>
  </r>
  <r>
    <x v="283"/>
    <x v="21"/>
    <x v="431"/>
    <x v="1"/>
    <x v="498"/>
    <x v="11"/>
    <x v="0"/>
    <x v="4"/>
    <x v="221"/>
    <x v="3"/>
  </r>
  <r>
    <x v="283"/>
    <x v="9"/>
    <x v="953"/>
    <x v="0"/>
    <x v="231"/>
    <x v="11"/>
    <x v="0"/>
    <x v="1"/>
    <x v="221"/>
    <x v="5"/>
  </r>
  <r>
    <x v="283"/>
    <x v="12"/>
    <x v="318"/>
    <x v="0"/>
    <x v="48"/>
    <x v="11"/>
    <x v="1"/>
    <x v="1"/>
    <x v="221"/>
    <x v="5"/>
  </r>
  <r>
    <x v="283"/>
    <x v="24"/>
    <x v="158"/>
    <x v="1"/>
    <x v="486"/>
    <x v="11"/>
    <x v="0"/>
    <x v="1"/>
    <x v="200"/>
    <x v="6"/>
  </r>
  <r>
    <x v="283"/>
    <x v="23"/>
    <x v="5"/>
    <x v="3"/>
    <x v="282"/>
    <x v="11"/>
    <x v="0"/>
    <x v="4"/>
    <x v="221"/>
    <x v="6"/>
  </r>
  <r>
    <x v="283"/>
    <x v="24"/>
    <x v="816"/>
    <x v="1"/>
    <x v="308"/>
    <x v="11"/>
    <x v="0"/>
    <x v="1"/>
    <x v="221"/>
    <x v="6"/>
  </r>
  <r>
    <x v="283"/>
    <x v="24"/>
    <x v="106"/>
    <x v="1"/>
    <x v="469"/>
    <x v="11"/>
    <x v="0"/>
    <x v="1"/>
    <x v="221"/>
    <x v="6"/>
  </r>
  <r>
    <x v="283"/>
    <x v="12"/>
    <x v="545"/>
    <x v="1"/>
    <x v="513"/>
    <x v="11"/>
    <x v="0"/>
    <x v="1"/>
    <x v="221"/>
    <x v="5"/>
  </r>
  <r>
    <x v="283"/>
    <x v="15"/>
    <x v="180"/>
    <x v="1"/>
    <x v="191"/>
    <x v="11"/>
    <x v="0"/>
    <x v="1"/>
    <x v="221"/>
    <x v="4"/>
  </r>
  <r>
    <x v="283"/>
    <x v="38"/>
    <x v="87"/>
    <x v="1"/>
    <x v="553"/>
    <x v="11"/>
    <x v="0"/>
    <x v="1"/>
    <x v="221"/>
    <x v="5"/>
  </r>
  <r>
    <x v="283"/>
    <x v="38"/>
    <x v="335"/>
    <x v="0"/>
    <x v="76"/>
    <x v="11"/>
    <x v="1"/>
    <x v="4"/>
    <x v="221"/>
    <x v="5"/>
  </r>
  <r>
    <x v="283"/>
    <x v="32"/>
    <x v="1551"/>
    <x v="3"/>
    <x v="422"/>
    <x v="11"/>
    <x v="2"/>
    <x v="4"/>
    <x v="221"/>
    <x v="10"/>
  </r>
  <r>
    <x v="283"/>
    <x v="32"/>
    <x v="400"/>
    <x v="5"/>
    <x v="422"/>
    <x v="11"/>
    <x v="2"/>
    <x v="4"/>
    <x v="221"/>
    <x v="10"/>
  </r>
  <r>
    <x v="283"/>
    <x v="32"/>
    <x v="1644"/>
    <x v="6"/>
    <x v="422"/>
    <x v="11"/>
    <x v="2"/>
    <x v="4"/>
    <x v="221"/>
    <x v="10"/>
  </r>
  <r>
    <x v="283"/>
    <x v="32"/>
    <x v="1924"/>
    <x v="7"/>
    <x v="422"/>
    <x v="11"/>
    <x v="2"/>
    <x v="4"/>
    <x v="221"/>
    <x v="10"/>
  </r>
  <r>
    <x v="283"/>
    <x v="24"/>
    <x v="25"/>
    <x v="1"/>
    <x v="413"/>
    <x v="11"/>
    <x v="0"/>
    <x v="1"/>
    <x v="221"/>
    <x v="6"/>
  </r>
  <r>
    <x v="283"/>
    <x v="24"/>
    <x v="42"/>
    <x v="1"/>
    <x v="88"/>
    <x v="11"/>
    <x v="0"/>
    <x v="1"/>
    <x v="221"/>
    <x v="6"/>
  </r>
  <r>
    <x v="283"/>
    <x v="24"/>
    <x v="9"/>
    <x v="1"/>
    <x v="395"/>
    <x v="11"/>
    <x v="0"/>
    <x v="3"/>
    <x v="221"/>
    <x v="6"/>
  </r>
  <r>
    <x v="283"/>
    <x v="37"/>
    <x v="19"/>
    <x v="1"/>
    <x v="546"/>
    <x v="11"/>
    <x v="0"/>
    <x v="3"/>
    <x v="221"/>
    <x v="12"/>
  </r>
  <r>
    <x v="284"/>
    <x v="8"/>
    <x v="816"/>
    <x v="0"/>
    <x v="76"/>
    <x v="11"/>
    <x v="1"/>
    <x v="1"/>
    <x v="221"/>
    <x v="5"/>
  </r>
  <r>
    <x v="284"/>
    <x v="9"/>
    <x v="1421"/>
    <x v="0"/>
    <x v="231"/>
    <x v="11"/>
    <x v="0"/>
    <x v="1"/>
    <x v="221"/>
    <x v="5"/>
  </r>
  <r>
    <x v="284"/>
    <x v="24"/>
    <x v="719"/>
    <x v="1"/>
    <x v="270"/>
    <x v="11"/>
    <x v="0"/>
    <x v="1"/>
    <x v="221"/>
    <x v="6"/>
  </r>
  <r>
    <x v="284"/>
    <x v="3"/>
    <x v="242"/>
    <x v="3"/>
    <x v="580"/>
    <x v="11"/>
    <x v="0"/>
    <x v="1"/>
    <x v="201"/>
    <x v="4"/>
  </r>
  <r>
    <x v="284"/>
    <x v="20"/>
    <x v="1980"/>
    <x v="0"/>
    <x v="61"/>
    <x v="11"/>
    <x v="1"/>
    <x v="1"/>
    <x v="221"/>
    <x v="5"/>
  </r>
  <r>
    <x v="284"/>
    <x v="23"/>
    <x v="5"/>
    <x v="3"/>
    <x v="282"/>
    <x v="11"/>
    <x v="0"/>
    <x v="1"/>
    <x v="221"/>
    <x v="6"/>
  </r>
  <r>
    <x v="284"/>
    <x v="12"/>
    <x v="534"/>
    <x v="0"/>
    <x v="48"/>
    <x v="11"/>
    <x v="1"/>
    <x v="4"/>
    <x v="221"/>
    <x v="5"/>
  </r>
  <r>
    <x v="284"/>
    <x v="15"/>
    <x v="170"/>
    <x v="3"/>
    <x v="353"/>
    <x v="11"/>
    <x v="0"/>
    <x v="1"/>
    <x v="201"/>
    <x v="4"/>
  </r>
  <r>
    <x v="284"/>
    <x v="24"/>
    <x v="256"/>
    <x v="1"/>
    <x v="121"/>
    <x v="11"/>
    <x v="0"/>
    <x v="1"/>
    <x v="221"/>
    <x v="6"/>
  </r>
  <r>
    <x v="284"/>
    <x v="32"/>
    <x v="846"/>
    <x v="3"/>
    <x v="422"/>
    <x v="11"/>
    <x v="2"/>
    <x v="4"/>
    <x v="221"/>
    <x v="10"/>
  </r>
  <r>
    <x v="284"/>
    <x v="32"/>
    <x v="444"/>
    <x v="2"/>
    <x v="422"/>
    <x v="11"/>
    <x v="2"/>
    <x v="4"/>
    <x v="221"/>
    <x v="10"/>
  </r>
  <r>
    <x v="284"/>
    <x v="32"/>
    <x v="1781"/>
    <x v="7"/>
    <x v="422"/>
    <x v="11"/>
    <x v="2"/>
    <x v="4"/>
    <x v="221"/>
    <x v="10"/>
  </r>
  <r>
    <x v="284"/>
    <x v="32"/>
    <x v="730"/>
    <x v="5"/>
    <x v="422"/>
    <x v="11"/>
    <x v="2"/>
    <x v="4"/>
    <x v="221"/>
    <x v="10"/>
  </r>
  <r>
    <x v="284"/>
    <x v="32"/>
    <x v="256"/>
    <x v="6"/>
    <x v="422"/>
    <x v="11"/>
    <x v="2"/>
    <x v="4"/>
    <x v="221"/>
    <x v="10"/>
  </r>
  <r>
    <x v="284"/>
    <x v="32"/>
    <x v="1059"/>
    <x v="4"/>
    <x v="422"/>
    <x v="11"/>
    <x v="2"/>
    <x v="4"/>
    <x v="221"/>
    <x v="10"/>
  </r>
  <r>
    <x v="284"/>
    <x v="4"/>
    <x v="25"/>
    <x v="3"/>
    <x v="462"/>
    <x v="11"/>
    <x v="0"/>
    <x v="1"/>
    <x v="221"/>
    <x v="2"/>
  </r>
  <r>
    <x v="284"/>
    <x v="37"/>
    <x v="19"/>
    <x v="1"/>
    <x v="546"/>
    <x v="11"/>
    <x v="0"/>
    <x v="1"/>
    <x v="221"/>
    <x v="12"/>
  </r>
  <r>
    <x v="284"/>
    <x v="13"/>
    <x v="134"/>
    <x v="1"/>
    <x v="156"/>
    <x v="11"/>
    <x v="0"/>
    <x v="1"/>
    <x v="221"/>
    <x v="5"/>
  </r>
  <r>
    <x v="284"/>
    <x v="24"/>
    <x v="191"/>
    <x v="1"/>
    <x v="526"/>
    <x v="11"/>
    <x v="0"/>
    <x v="1"/>
    <x v="221"/>
    <x v="6"/>
  </r>
  <r>
    <x v="284"/>
    <x v="24"/>
    <x v="518"/>
    <x v="1"/>
    <x v="137"/>
    <x v="11"/>
    <x v="0"/>
    <x v="1"/>
    <x v="221"/>
    <x v="6"/>
  </r>
  <r>
    <x v="284"/>
    <x v="0"/>
    <x v="1707"/>
    <x v="0"/>
    <x v="476"/>
    <x v="11"/>
    <x v="0"/>
    <x v="0"/>
    <x v="201"/>
    <x v="9"/>
  </r>
  <r>
    <x v="284"/>
    <x v="0"/>
    <x v="1353"/>
    <x v="0"/>
    <x v="566"/>
    <x v="11"/>
    <x v="0"/>
    <x v="0"/>
    <x v="201"/>
    <x v="9"/>
  </r>
  <r>
    <x v="284"/>
    <x v="0"/>
    <x v="318"/>
    <x v="1"/>
    <x v="368"/>
    <x v="11"/>
    <x v="0"/>
    <x v="1"/>
    <x v="221"/>
    <x v="9"/>
  </r>
  <r>
    <x v="285"/>
    <x v="12"/>
    <x v="360"/>
    <x v="0"/>
    <x v="48"/>
    <x v="11"/>
    <x v="1"/>
    <x v="4"/>
    <x v="221"/>
    <x v="5"/>
  </r>
  <r>
    <x v="285"/>
    <x v="28"/>
    <x v="138"/>
    <x v="1"/>
    <x v="424"/>
    <x v="11"/>
    <x v="0"/>
    <x v="1"/>
    <x v="202"/>
    <x v="0"/>
  </r>
  <r>
    <x v="285"/>
    <x v="24"/>
    <x v="498"/>
    <x v="1"/>
    <x v="247"/>
    <x v="11"/>
    <x v="0"/>
    <x v="1"/>
    <x v="221"/>
    <x v="6"/>
  </r>
  <r>
    <x v="285"/>
    <x v="9"/>
    <x v="810"/>
    <x v="0"/>
    <x v="231"/>
    <x v="11"/>
    <x v="0"/>
    <x v="4"/>
    <x v="221"/>
    <x v="5"/>
  </r>
  <r>
    <x v="285"/>
    <x v="12"/>
    <x v="69"/>
    <x v="1"/>
    <x v="161"/>
    <x v="11"/>
    <x v="0"/>
    <x v="1"/>
    <x v="221"/>
    <x v="5"/>
  </r>
  <r>
    <x v="285"/>
    <x v="38"/>
    <x v="178"/>
    <x v="0"/>
    <x v="76"/>
    <x v="11"/>
    <x v="1"/>
    <x v="4"/>
    <x v="221"/>
    <x v="5"/>
  </r>
  <r>
    <x v="285"/>
    <x v="0"/>
    <x v="1570"/>
    <x v="1"/>
    <x v="304"/>
    <x v="11"/>
    <x v="0"/>
    <x v="1"/>
    <x v="221"/>
    <x v="9"/>
  </r>
  <r>
    <x v="285"/>
    <x v="36"/>
    <x v="45"/>
    <x v="1"/>
    <x v="160"/>
    <x v="11"/>
    <x v="0"/>
    <x v="1"/>
    <x v="221"/>
    <x v="5"/>
  </r>
  <r>
    <x v="285"/>
    <x v="37"/>
    <x v="19"/>
    <x v="1"/>
    <x v="546"/>
    <x v="11"/>
    <x v="0"/>
    <x v="1"/>
    <x v="221"/>
    <x v="12"/>
  </r>
  <r>
    <x v="285"/>
    <x v="23"/>
    <x v="5"/>
    <x v="3"/>
    <x v="282"/>
    <x v="11"/>
    <x v="0"/>
    <x v="1"/>
    <x v="221"/>
    <x v="6"/>
  </r>
  <r>
    <x v="285"/>
    <x v="25"/>
    <x v="45"/>
    <x v="3"/>
    <x v="323"/>
    <x v="11"/>
    <x v="0"/>
    <x v="1"/>
    <x v="221"/>
    <x v="12"/>
  </r>
  <r>
    <x v="285"/>
    <x v="0"/>
    <x v="256"/>
    <x v="3"/>
    <x v="310"/>
    <x v="11"/>
    <x v="0"/>
    <x v="1"/>
    <x v="202"/>
    <x v="9"/>
  </r>
  <r>
    <x v="285"/>
    <x v="38"/>
    <x v="12"/>
    <x v="3"/>
    <x v="334"/>
    <x v="11"/>
    <x v="0"/>
    <x v="1"/>
    <x v="221"/>
    <x v="5"/>
  </r>
  <r>
    <x v="285"/>
    <x v="13"/>
    <x v="1486"/>
    <x v="0"/>
    <x v="36"/>
    <x v="11"/>
    <x v="1"/>
    <x v="4"/>
    <x v="221"/>
    <x v="5"/>
  </r>
  <r>
    <x v="285"/>
    <x v="32"/>
    <x v="1637"/>
    <x v="3"/>
    <x v="422"/>
    <x v="11"/>
    <x v="2"/>
    <x v="4"/>
    <x v="202"/>
    <x v="10"/>
  </r>
  <r>
    <x v="285"/>
    <x v="32"/>
    <x v="299"/>
    <x v="6"/>
    <x v="422"/>
    <x v="11"/>
    <x v="2"/>
    <x v="4"/>
    <x v="221"/>
    <x v="10"/>
  </r>
  <r>
    <x v="285"/>
    <x v="32"/>
    <x v="380"/>
    <x v="2"/>
    <x v="422"/>
    <x v="11"/>
    <x v="2"/>
    <x v="4"/>
    <x v="221"/>
    <x v="10"/>
  </r>
  <r>
    <x v="285"/>
    <x v="32"/>
    <x v="1884"/>
    <x v="7"/>
    <x v="422"/>
    <x v="11"/>
    <x v="2"/>
    <x v="4"/>
    <x v="221"/>
    <x v="10"/>
  </r>
  <r>
    <x v="285"/>
    <x v="32"/>
    <x v="1270"/>
    <x v="5"/>
    <x v="422"/>
    <x v="11"/>
    <x v="2"/>
    <x v="4"/>
    <x v="221"/>
    <x v="10"/>
  </r>
  <r>
    <x v="285"/>
    <x v="20"/>
    <x v="287"/>
    <x v="3"/>
    <x v="380"/>
    <x v="11"/>
    <x v="0"/>
    <x v="1"/>
    <x v="202"/>
    <x v="5"/>
  </r>
  <r>
    <x v="285"/>
    <x v="1"/>
    <x v="790"/>
    <x v="3"/>
    <x v="432"/>
    <x v="11"/>
    <x v="0"/>
    <x v="1"/>
    <x v="202"/>
    <x v="4"/>
  </r>
  <r>
    <x v="286"/>
    <x v="12"/>
    <x v="572"/>
    <x v="0"/>
    <x v="48"/>
    <x v="11"/>
    <x v="1"/>
    <x v="4"/>
    <x v="221"/>
    <x v="5"/>
  </r>
  <r>
    <x v="286"/>
    <x v="9"/>
    <x v="1591"/>
    <x v="0"/>
    <x v="231"/>
    <x v="11"/>
    <x v="1"/>
    <x v="4"/>
    <x v="221"/>
    <x v="5"/>
  </r>
  <r>
    <x v="286"/>
    <x v="3"/>
    <x v="1158"/>
    <x v="1"/>
    <x v="507"/>
    <x v="11"/>
    <x v="0"/>
    <x v="4"/>
    <x v="221"/>
    <x v="4"/>
  </r>
  <r>
    <x v="286"/>
    <x v="17"/>
    <x v="45"/>
    <x v="1"/>
    <x v="247"/>
    <x v="11"/>
    <x v="0"/>
    <x v="1"/>
    <x v="221"/>
    <x v="3"/>
  </r>
  <r>
    <x v="286"/>
    <x v="38"/>
    <x v="87"/>
    <x v="1"/>
    <x v="294"/>
    <x v="11"/>
    <x v="0"/>
    <x v="1"/>
    <x v="221"/>
    <x v="5"/>
  </r>
  <r>
    <x v="286"/>
    <x v="23"/>
    <x v="5"/>
    <x v="3"/>
    <x v="282"/>
    <x v="11"/>
    <x v="0"/>
    <x v="4"/>
    <x v="221"/>
    <x v="6"/>
  </r>
  <r>
    <x v="286"/>
    <x v="27"/>
    <x v="894"/>
    <x v="0"/>
    <x v="363"/>
    <x v="11"/>
    <x v="0"/>
    <x v="3"/>
    <x v="203"/>
    <x v="5"/>
  </r>
  <r>
    <x v="286"/>
    <x v="20"/>
    <x v="426"/>
    <x v="0"/>
    <x v="99"/>
    <x v="11"/>
    <x v="0"/>
    <x v="3"/>
    <x v="203"/>
    <x v="5"/>
  </r>
  <r>
    <x v="286"/>
    <x v="29"/>
    <x v="12"/>
    <x v="1"/>
    <x v="247"/>
    <x v="11"/>
    <x v="0"/>
    <x v="1"/>
    <x v="203"/>
    <x v="6"/>
  </r>
  <r>
    <x v="286"/>
    <x v="3"/>
    <x v="283"/>
    <x v="3"/>
    <x v="580"/>
    <x v="11"/>
    <x v="0"/>
    <x v="1"/>
    <x v="221"/>
    <x v="4"/>
  </r>
  <r>
    <x v="286"/>
    <x v="38"/>
    <x v="238"/>
    <x v="0"/>
    <x v="76"/>
    <x v="11"/>
    <x v="0"/>
    <x v="1"/>
    <x v="221"/>
    <x v="5"/>
  </r>
  <r>
    <x v="286"/>
    <x v="37"/>
    <x v="19"/>
    <x v="1"/>
    <x v="546"/>
    <x v="11"/>
    <x v="0"/>
    <x v="1"/>
    <x v="221"/>
    <x v="12"/>
  </r>
  <r>
    <x v="286"/>
    <x v="24"/>
    <x v="518"/>
    <x v="3"/>
    <x v="137"/>
    <x v="11"/>
    <x v="0"/>
    <x v="1"/>
    <x v="203"/>
    <x v="6"/>
  </r>
  <r>
    <x v="286"/>
    <x v="0"/>
    <x v="256"/>
    <x v="0"/>
    <x v="310"/>
    <x v="11"/>
    <x v="0"/>
    <x v="3"/>
    <x v="203"/>
    <x v="9"/>
  </r>
  <r>
    <x v="286"/>
    <x v="32"/>
    <x v="1480"/>
    <x v="3"/>
    <x v="422"/>
    <x v="11"/>
    <x v="2"/>
    <x v="4"/>
    <x v="221"/>
    <x v="10"/>
  </r>
  <r>
    <x v="286"/>
    <x v="32"/>
    <x v="1863"/>
    <x v="7"/>
    <x v="422"/>
    <x v="11"/>
    <x v="2"/>
    <x v="4"/>
    <x v="221"/>
    <x v="10"/>
  </r>
  <r>
    <x v="286"/>
    <x v="32"/>
    <x v="91"/>
    <x v="6"/>
    <x v="422"/>
    <x v="11"/>
    <x v="2"/>
    <x v="4"/>
    <x v="221"/>
    <x v="10"/>
  </r>
  <r>
    <x v="286"/>
    <x v="32"/>
    <x v="388"/>
    <x v="8"/>
    <x v="422"/>
    <x v="11"/>
    <x v="2"/>
    <x v="4"/>
    <x v="221"/>
    <x v="10"/>
  </r>
  <r>
    <x v="286"/>
    <x v="32"/>
    <x v="932"/>
    <x v="5"/>
    <x v="422"/>
    <x v="11"/>
    <x v="2"/>
    <x v="4"/>
    <x v="221"/>
    <x v="10"/>
  </r>
  <r>
    <x v="287"/>
    <x v="12"/>
    <x v="291"/>
    <x v="0"/>
    <x v="48"/>
    <x v="11"/>
    <x v="1"/>
    <x v="4"/>
    <x v="221"/>
    <x v="5"/>
  </r>
  <r>
    <x v="287"/>
    <x v="9"/>
    <x v="1557"/>
    <x v="0"/>
    <x v="231"/>
    <x v="11"/>
    <x v="1"/>
    <x v="4"/>
    <x v="221"/>
    <x v="5"/>
  </r>
  <r>
    <x v="287"/>
    <x v="17"/>
    <x v="9"/>
    <x v="3"/>
    <x v="293"/>
    <x v="11"/>
    <x v="0"/>
    <x v="1"/>
    <x v="204"/>
    <x v="3"/>
  </r>
  <r>
    <x v="287"/>
    <x v="23"/>
    <x v="9"/>
    <x v="3"/>
    <x v="285"/>
    <x v="11"/>
    <x v="0"/>
    <x v="1"/>
    <x v="204"/>
    <x v="6"/>
  </r>
  <r>
    <x v="287"/>
    <x v="0"/>
    <x v="618"/>
    <x v="1"/>
    <x v="12"/>
    <x v="11"/>
    <x v="0"/>
    <x v="1"/>
    <x v="204"/>
    <x v="9"/>
  </r>
  <r>
    <x v="287"/>
    <x v="13"/>
    <x v="45"/>
    <x v="1"/>
    <x v="554"/>
    <x v="11"/>
    <x v="0"/>
    <x v="1"/>
    <x v="221"/>
    <x v="5"/>
  </r>
  <r>
    <x v="287"/>
    <x v="24"/>
    <x v="40"/>
    <x v="1"/>
    <x v="247"/>
    <x v="11"/>
    <x v="0"/>
    <x v="1"/>
    <x v="221"/>
    <x v="6"/>
  </r>
  <r>
    <x v="287"/>
    <x v="38"/>
    <x v="374"/>
    <x v="0"/>
    <x v="76"/>
    <x v="11"/>
    <x v="1"/>
    <x v="4"/>
    <x v="221"/>
    <x v="5"/>
  </r>
  <r>
    <x v="287"/>
    <x v="38"/>
    <x v="12"/>
    <x v="3"/>
    <x v="334"/>
    <x v="11"/>
    <x v="0"/>
    <x v="1"/>
    <x v="221"/>
    <x v="5"/>
  </r>
  <r>
    <x v="287"/>
    <x v="32"/>
    <x v="1518"/>
    <x v="3"/>
    <x v="422"/>
    <x v="0"/>
    <x v="2"/>
    <x v="4"/>
    <x v="221"/>
    <x v="10"/>
  </r>
  <r>
    <x v="287"/>
    <x v="32"/>
    <x v="1935"/>
    <x v="7"/>
    <x v="422"/>
    <x v="11"/>
    <x v="2"/>
    <x v="4"/>
    <x v="221"/>
    <x v="10"/>
  </r>
  <r>
    <x v="287"/>
    <x v="32"/>
    <x v="33"/>
    <x v="6"/>
    <x v="422"/>
    <x v="11"/>
    <x v="2"/>
    <x v="4"/>
    <x v="221"/>
    <x v="10"/>
  </r>
  <r>
    <x v="287"/>
    <x v="32"/>
    <x v="575"/>
    <x v="5"/>
    <x v="422"/>
    <x v="11"/>
    <x v="2"/>
    <x v="4"/>
    <x v="221"/>
    <x v="10"/>
  </r>
  <r>
    <x v="287"/>
    <x v="24"/>
    <x v="45"/>
    <x v="1"/>
    <x v="82"/>
    <x v="11"/>
    <x v="0"/>
    <x v="1"/>
    <x v="221"/>
    <x v="6"/>
  </r>
  <r>
    <x v="288"/>
    <x v="12"/>
    <x v="491"/>
    <x v="0"/>
    <x v="48"/>
    <x v="11"/>
    <x v="1"/>
    <x v="4"/>
    <x v="221"/>
    <x v="5"/>
  </r>
  <r>
    <x v="288"/>
    <x v="9"/>
    <x v="1600"/>
    <x v="0"/>
    <x v="231"/>
    <x v="11"/>
    <x v="1"/>
    <x v="4"/>
    <x v="221"/>
    <x v="5"/>
  </r>
  <r>
    <x v="288"/>
    <x v="8"/>
    <x v="816"/>
    <x v="0"/>
    <x v="238"/>
    <x v="11"/>
    <x v="1"/>
    <x v="4"/>
    <x v="221"/>
    <x v="5"/>
  </r>
  <r>
    <x v="288"/>
    <x v="23"/>
    <x v="5"/>
    <x v="3"/>
    <x v="282"/>
    <x v="11"/>
    <x v="0"/>
    <x v="1"/>
    <x v="221"/>
    <x v="6"/>
  </r>
  <r>
    <x v="288"/>
    <x v="38"/>
    <x v="87"/>
    <x v="3"/>
    <x v="551"/>
    <x v="11"/>
    <x v="0"/>
    <x v="1"/>
    <x v="205"/>
    <x v="5"/>
  </r>
  <r>
    <x v="288"/>
    <x v="38"/>
    <x v="239"/>
    <x v="1"/>
    <x v="389"/>
    <x v="11"/>
    <x v="0"/>
    <x v="1"/>
    <x v="221"/>
    <x v="5"/>
  </r>
  <r>
    <x v="288"/>
    <x v="24"/>
    <x v="74"/>
    <x v="1"/>
    <x v="247"/>
    <x v="11"/>
    <x v="0"/>
    <x v="1"/>
    <x v="221"/>
    <x v="6"/>
  </r>
  <r>
    <x v="288"/>
    <x v="38"/>
    <x v="1570"/>
    <x v="1"/>
    <x v="76"/>
    <x v="11"/>
    <x v="0"/>
    <x v="1"/>
    <x v="205"/>
    <x v="5"/>
  </r>
  <r>
    <x v="288"/>
    <x v="20"/>
    <x v="1663"/>
    <x v="0"/>
    <x v="61"/>
    <x v="11"/>
    <x v="1"/>
    <x v="4"/>
    <x v="221"/>
    <x v="5"/>
  </r>
  <r>
    <x v="288"/>
    <x v="38"/>
    <x v="443"/>
    <x v="0"/>
    <x v="76"/>
    <x v="11"/>
    <x v="1"/>
    <x v="4"/>
    <x v="221"/>
    <x v="5"/>
  </r>
  <r>
    <x v="288"/>
    <x v="32"/>
    <x v="860"/>
    <x v="3"/>
    <x v="422"/>
    <x v="11"/>
    <x v="2"/>
    <x v="4"/>
    <x v="221"/>
    <x v="10"/>
  </r>
  <r>
    <x v="288"/>
    <x v="32"/>
    <x v="1986"/>
    <x v="7"/>
    <x v="422"/>
    <x v="11"/>
    <x v="2"/>
    <x v="4"/>
    <x v="221"/>
    <x v="10"/>
  </r>
  <r>
    <x v="288"/>
    <x v="32"/>
    <x v="293"/>
    <x v="6"/>
    <x v="422"/>
    <x v="11"/>
    <x v="2"/>
    <x v="4"/>
    <x v="221"/>
    <x v="10"/>
  </r>
  <r>
    <x v="288"/>
    <x v="32"/>
    <x v="1207"/>
    <x v="5"/>
    <x v="422"/>
    <x v="11"/>
    <x v="2"/>
    <x v="4"/>
    <x v="221"/>
    <x v="10"/>
  </r>
  <r>
    <x v="288"/>
    <x v="15"/>
    <x v="187"/>
    <x v="1"/>
    <x v="353"/>
    <x v="11"/>
    <x v="0"/>
    <x v="4"/>
    <x v="221"/>
    <x v="4"/>
  </r>
  <r>
    <x v="288"/>
    <x v="32"/>
    <x v="1564"/>
    <x v="2"/>
    <x v="422"/>
    <x v="11"/>
    <x v="2"/>
    <x v="4"/>
    <x v="221"/>
    <x v="10"/>
  </r>
  <r>
    <x v="288"/>
    <x v="24"/>
    <x v="164"/>
    <x v="1"/>
    <x v="308"/>
    <x v="11"/>
    <x v="0"/>
    <x v="1"/>
    <x v="221"/>
    <x v="6"/>
  </r>
  <r>
    <x v="289"/>
    <x v="0"/>
    <x v="256"/>
    <x v="1"/>
    <x v="451"/>
    <x v="11"/>
    <x v="0"/>
    <x v="1"/>
    <x v="206"/>
    <x v="9"/>
  </r>
  <r>
    <x v="289"/>
    <x v="12"/>
    <x v="363"/>
    <x v="1"/>
    <x v="130"/>
    <x v="11"/>
    <x v="0"/>
    <x v="1"/>
    <x v="221"/>
    <x v="5"/>
  </r>
  <r>
    <x v="289"/>
    <x v="27"/>
    <x v="753"/>
    <x v="0"/>
    <x v="8"/>
    <x v="11"/>
    <x v="0"/>
    <x v="3"/>
    <x v="221"/>
    <x v="5"/>
  </r>
  <r>
    <x v="289"/>
    <x v="3"/>
    <x v="283"/>
    <x v="3"/>
    <x v="580"/>
    <x v="11"/>
    <x v="0"/>
    <x v="1"/>
    <x v="221"/>
    <x v="4"/>
  </r>
  <r>
    <x v="289"/>
    <x v="9"/>
    <x v="1636"/>
    <x v="0"/>
    <x v="231"/>
    <x v="11"/>
    <x v="1"/>
    <x v="4"/>
    <x v="221"/>
    <x v="5"/>
  </r>
  <r>
    <x v="289"/>
    <x v="12"/>
    <x v="49"/>
    <x v="3"/>
    <x v="331"/>
    <x v="11"/>
    <x v="0"/>
    <x v="1"/>
    <x v="221"/>
    <x v="5"/>
  </r>
  <r>
    <x v="289"/>
    <x v="26"/>
    <x v="90"/>
    <x v="3"/>
    <x v="338"/>
    <x v="11"/>
    <x v="0"/>
    <x v="1"/>
    <x v="221"/>
    <x v="5"/>
  </r>
  <r>
    <x v="289"/>
    <x v="38"/>
    <x v="391"/>
    <x v="0"/>
    <x v="76"/>
    <x v="11"/>
    <x v="1"/>
    <x v="4"/>
    <x v="221"/>
    <x v="5"/>
  </r>
  <r>
    <x v="289"/>
    <x v="28"/>
    <x v="138"/>
    <x v="1"/>
    <x v="424"/>
    <x v="11"/>
    <x v="0"/>
    <x v="1"/>
    <x v="221"/>
    <x v="0"/>
  </r>
  <r>
    <x v="289"/>
    <x v="1"/>
    <x v="567"/>
    <x v="1"/>
    <x v="432"/>
    <x v="11"/>
    <x v="0"/>
    <x v="1"/>
    <x v="221"/>
    <x v="4"/>
  </r>
  <r>
    <x v="289"/>
    <x v="24"/>
    <x v="256"/>
    <x v="1"/>
    <x v="540"/>
    <x v="11"/>
    <x v="0"/>
    <x v="1"/>
    <x v="221"/>
    <x v="6"/>
  </r>
  <r>
    <x v="289"/>
    <x v="23"/>
    <x v="9"/>
    <x v="3"/>
    <x v="282"/>
    <x v="11"/>
    <x v="0"/>
    <x v="4"/>
    <x v="221"/>
    <x v="6"/>
  </r>
  <r>
    <x v="289"/>
    <x v="37"/>
    <x v="19"/>
    <x v="1"/>
    <x v="546"/>
    <x v="11"/>
    <x v="0"/>
    <x v="4"/>
    <x v="221"/>
    <x v="12"/>
  </r>
  <r>
    <x v="289"/>
    <x v="32"/>
    <x v="1241"/>
    <x v="3"/>
    <x v="422"/>
    <x v="0"/>
    <x v="0"/>
    <x v="4"/>
    <x v="221"/>
    <x v="10"/>
  </r>
  <r>
    <x v="289"/>
    <x v="32"/>
    <x v="1894"/>
    <x v="7"/>
    <x v="422"/>
    <x v="11"/>
    <x v="2"/>
    <x v="4"/>
    <x v="221"/>
    <x v="10"/>
  </r>
  <r>
    <x v="289"/>
    <x v="32"/>
    <x v="569"/>
    <x v="4"/>
    <x v="422"/>
    <x v="11"/>
    <x v="2"/>
    <x v="4"/>
    <x v="221"/>
    <x v="10"/>
  </r>
  <r>
    <x v="289"/>
    <x v="32"/>
    <x v="1339"/>
    <x v="2"/>
    <x v="422"/>
    <x v="11"/>
    <x v="2"/>
    <x v="4"/>
    <x v="221"/>
    <x v="10"/>
  </r>
  <r>
    <x v="289"/>
    <x v="32"/>
    <x v="1136"/>
    <x v="5"/>
    <x v="422"/>
    <x v="11"/>
    <x v="2"/>
    <x v="4"/>
    <x v="221"/>
    <x v="10"/>
  </r>
  <r>
    <x v="290"/>
    <x v="12"/>
    <x v="1217"/>
    <x v="0"/>
    <x v="48"/>
    <x v="11"/>
    <x v="1"/>
    <x v="4"/>
    <x v="221"/>
    <x v="5"/>
  </r>
  <r>
    <x v="290"/>
    <x v="38"/>
    <x v="191"/>
    <x v="3"/>
    <x v="389"/>
    <x v="11"/>
    <x v="0"/>
    <x v="4"/>
    <x v="221"/>
    <x v="5"/>
  </r>
  <r>
    <x v="290"/>
    <x v="13"/>
    <x v="30"/>
    <x v="3"/>
    <x v="167"/>
    <x v="11"/>
    <x v="0"/>
    <x v="4"/>
    <x v="221"/>
    <x v="5"/>
  </r>
  <r>
    <x v="290"/>
    <x v="24"/>
    <x v="36"/>
    <x v="3"/>
    <x v="134"/>
    <x v="11"/>
    <x v="0"/>
    <x v="4"/>
    <x v="221"/>
    <x v="6"/>
  </r>
  <r>
    <x v="290"/>
    <x v="20"/>
    <x v="1043"/>
    <x v="0"/>
    <x v="61"/>
    <x v="11"/>
    <x v="1"/>
    <x v="4"/>
    <x v="221"/>
    <x v="5"/>
  </r>
  <r>
    <x v="290"/>
    <x v="23"/>
    <x v="12"/>
    <x v="3"/>
    <x v="282"/>
    <x v="11"/>
    <x v="0"/>
    <x v="4"/>
    <x v="221"/>
    <x v="6"/>
  </r>
  <r>
    <x v="290"/>
    <x v="13"/>
    <x v="164"/>
    <x v="3"/>
    <x v="520"/>
    <x v="11"/>
    <x v="0"/>
    <x v="1"/>
    <x v="221"/>
    <x v="5"/>
  </r>
  <r>
    <x v="290"/>
    <x v="38"/>
    <x v="997"/>
    <x v="1"/>
    <x v="309"/>
    <x v="11"/>
    <x v="0"/>
    <x v="1"/>
    <x v="221"/>
    <x v="5"/>
  </r>
  <r>
    <x v="290"/>
    <x v="38"/>
    <x v="487"/>
    <x v="0"/>
    <x v="76"/>
    <x v="11"/>
    <x v="1"/>
    <x v="4"/>
    <x v="221"/>
    <x v="5"/>
  </r>
  <r>
    <x v="290"/>
    <x v="32"/>
    <x v="1731"/>
    <x v="3"/>
    <x v="422"/>
    <x v="11"/>
    <x v="2"/>
    <x v="4"/>
    <x v="221"/>
    <x v="10"/>
  </r>
  <r>
    <x v="290"/>
    <x v="32"/>
    <x v="1988"/>
    <x v="7"/>
    <x v="422"/>
    <x v="11"/>
    <x v="2"/>
    <x v="4"/>
    <x v="221"/>
    <x v="10"/>
  </r>
  <r>
    <x v="290"/>
    <x v="32"/>
    <x v="45"/>
    <x v="6"/>
    <x v="422"/>
    <x v="11"/>
    <x v="2"/>
    <x v="4"/>
    <x v="221"/>
    <x v="10"/>
  </r>
  <r>
    <x v="290"/>
    <x v="32"/>
    <x v="752"/>
    <x v="8"/>
    <x v="422"/>
    <x v="11"/>
    <x v="2"/>
    <x v="4"/>
    <x v="221"/>
    <x v="10"/>
  </r>
  <r>
    <x v="290"/>
    <x v="32"/>
    <x v="1394"/>
    <x v="5"/>
    <x v="422"/>
    <x v="11"/>
    <x v="2"/>
    <x v="4"/>
    <x v="221"/>
    <x v="10"/>
  </r>
  <r>
    <x v="290"/>
    <x v="32"/>
    <x v="829"/>
    <x v="2"/>
    <x v="422"/>
    <x v="11"/>
    <x v="2"/>
    <x v="4"/>
    <x v="221"/>
    <x v="10"/>
  </r>
  <r>
    <x v="290"/>
    <x v="13"/>
    <x v="27"/>
    <x v="3"/>
    <x v="456"/>
    <x v="11"/>
    <x v="0"/>
    <x v="4"/>
    <x v="221"/>
    <x v="5"/>
  </r>
  <r>
    <x v="290"/>
    <x v="9"/>
    <x v="1568"/>
    <x v="0"/>
    <x v="231"/>
    <x v="11"/>
    <x v="1"/>
    <x v="4"/>
    <x v="221"/>
    <x v="5"/>
  </r>
  <r>
    <x v="291"/>
    <x v="12"/>
    <x v="744"/>
    <x v="0"/>
    <x v="48"/>
    <x v="11"/>
    <x v="1"/>
    <x v="4"/>
    <x v="221"/>
    <x v="5"/>
  </r>
  <r>
    <x v="291"/>
    <x v="8"/>
    <x v="816"/>
    <x v="0"/>
    <x v="238"/>
    <x v="11"/>
    <x v="1"/>
    <x v="4"/>
    <x v="221"/>
    <x v="5"/>
  </r>
  <r>
    <x v="291"/>
    <x v="9"/>
    <x v="1633"/>
    <x v="0"/>
    <x v="231"/>
    <x v="11"/>
    <x v="1"/>
    <x v="4"/>
    <x v="221"/>
    <x v="5"/>
  </r>
  <r>
    <x v="291"/>
    <x v="23"/>
    <x v="5"/>
    <x v="3"/>
    <x v="282"/>
    <x v="11"/>
    <x v="0"/>
    <x v="4"/>
    <x v="221"/>
    <x v="6"/>
  </r>
  <r>
    <x v="291"/>
    <x v="38"/>
    <x v="12"/>
    <x v="3"/>
    <x v="334"/>
    <x v="11"/>
    <x v="0"/>
    <x v="4"/>
    <x v="221"/>
    <x v="5"/>
  </r>
  <r>
    <x v="291"/>
    <x v="0"/>
    <x v="869"/>
    <x v="0"/>
    <x v="482"/>
    <x v="11"/>
    <x v="0"/>
    <x v="0"/>
    <x v="207"/>
    <x v="9"/>
  </r>
  <r>
    <x v="291"/>
    <x v="38"/>
    <x v="341"/>
    <x v="0"/>
    <x v="76"/>
    <x v="11"/>
    <x v="1"/>
    <x v="4"/>
    <x v="221"/>
    <x v="5"/>
  </r>
  <r>
    <x v="291"/>
    <x v="32"/>
    <x v="524"/>
    <x v="3"/>
    <x v="422"/>
    <x v="11"/>
    <x v="2"/>
    <x v="4"/>
    <x v="221"/>
    <x v="10"/>
  </r>
  <r>
    <x v="291"/>
    <x v="32"/>
    <x v="293"/>
    <x v="2"/>
    <x v="422"/>
    <x v="11"/>
    <x v="2"/>
    <x v="4"/>
    <x v="221"/>
    <x v="10"/>
  </r>
  <r>
    <x v="291"/>
    <x v="32"/>
    <x v="1763"/>
    <x v="7"/>
    <x v="422"/>
    <x v="11"/>
    <x v="2"/>
    <x v="4"/>
    <x v="221"/>
    <x v="10"/>
  </r>
  <r>
    <x v="291"/>
    <x v="32"/>
    <x v="598"/>
    <x v="5"/>
    <x v="422"/>
    <x v="11"/>
    <x v="2"/>
    <x v="4"/>
    <x v="221"/>
    <x v="10"/>
  </r>
  <r>
    <x v="291"/>
    <x v="32"/>
    <x v="5"/>
    <x v="6"/>
    <x v="422"/>
    <x v="11"/>
    <x v="2"/>
    <x v="4"/>
    <x v="221"/>
    <x v="10"/>
  </r>
  <r>
    <x v="291"/>
    <x v="36"/>
    <x v="25"/>
    <x v="1"/>
    <x v="312"/>
    <x v="11"/>
    <x v="0"/>
    <x v="1"/>
    <x v="221"/>
    <x v="5"/>
  </r>
  <r>
    <x v="291"/>
    <x v="37"/>
    <x v="45"/>
    <x v="1"/>
    <x v="546"/>
    <x v="11"/>
    <x v="0"/>
    <x v="1"/>
    <x v="221"/>
    <x v="12"/>
  </r>
  <r>
    <x v="292"/>
    <x v="27"/>
    <x v="753"/>
    <x v="1"/>
    <x v="8"/>
    <x v="11"/>
    <x v="0"/>
    <x v="1"/>
    <x v="221"/>
    <x v="5"/>
  </r>
  <r>
    <x v="292"/>
    <x v="3"/>
    <x v="283"/>
    <x v="1"/>
    <x v="580"/>
    <x v="11"/>
    <x v="0"/>
    <x v="1"/>
    <x v="221"/>
    <x v="4"/>
  </r>
  <r>
    <x v="292"/>
    <x v="12"/>
    <x v="302"/>
    <x v="0"/>
    <x v="48"/>
    <x v="11"/>
    <x v="1"/>
    <x v="4"/>
    <x v="221"/>
    <x v="5"/>
  </r>
  <r>
    <x v="292"/>
    <x v="20"/>
    <x v="1930"/>
    <x v="0"/>
    <x v="61"/>
    <x v="11"/>
    <x v="2"/>
    <x v="4"/>
    <x v="221"/>
    <x v="5"/>
  </r>
  <r>
    <x v="292"/>
    <x v="9"/>
    <x v="1366"/>
    <x v="0"/>
    <x v="231"/>
    <x v="11"/>
    <x v="1"/>
    <x v="4"/>
    <x v="221"/>
    <x v="5"/>
  </r>
  <r>
    <x v="292"/>
    <x v="24"/>
    <x v="45"/>
    <x v="1"/>
    <x v="277"/>
    <x v="11"/>
    <x v="0"/>
    <x v="4"/>
    <x v="221"/>
    <x v="6"/>
  </r>
  <r>
    <x v="292"/>
    <x v="38"/>
    <x v="353"/>
    <x v="0"/>
    <x v="76"/>
    <x v="11"/>
    <x v="1"/>
    <x v="4"/>
    <x v="221"/>
    <x v="5"/>
  </r>
  <r>
    <x v="292"/>
    <x v="31"/>
    <x v="1370"/>
    <x v="1"/>
    <x v="434"/>
    <x v="11"/>
    <x v="0"/>
    <x v="4"/>
    <x v="221"/>
    <x v="8"/>
  </r>
  <r>
    <x v="292"/>
    <x v="32"/>
    <x v="1459"/>
    <x v="3"/>
    <x v="422"/>
    <x v="11"/>
    <x v="2"/>
    <x v="4"/>
    <x v="221"/>
    <x v="10"/>
  </r>
  <r>
    <x v="292"/>
    <x v="32"/>
    <x v="205"/>
    <x v="6"/>
    <x v="422"/>
    <x v="11"/>
    <x v="2"/>
    <x v="4"/>
    <x v="221"/>
    <x v="10"/>
  </r>
  <r>
    <x v="292"/>
    <x v="32"/>
    <x v="1806"/>
    <x v="7"/>
    <x v="422"/>
    <x v="11"/>
    <x v="2"/>
    <x v="4"/>
    <x v="221"/>
    <x v="10"/>
  </r>
  <r>
    <x v="292"/>
    <x v="32"/>
    <x v="164"/>
    <x v="2"/>
    <x v="422"/>
    <x v="11"/>
    <x v="2"/>
    <x v="4"/>
    <x v="221"/>
    <x v="10"/>
  </r>
  <r>
    <x v="292"/>
    <x v="32"/>
    <x v="978"/>
    <x v="5"/>
    <x v="422"/>
    <x v="11"/>
    <x v="2"/>
    <x v="4"/>
    <x v="221"/>
    <x v="10"/>
  </r>
  <r>
    <x v="292"/>
    <x v="13"/>
    <x v="134"/>
    <x v="1"/>
    <x v="110"/>
    <x v="11"/>
    <x v="0"/>
    <x v="4"/>
    <x v="221"/>
    <x v="5"/>
  </r>
  <r>
    <x v="292"/>
    <x v="13"/>
    <x v="1582"/>
    <x v="0"/>
    <x v="36"/>
    <x v="11"/>
    <x v="1"/>
    <x v="4"/>
    <x v="221"/>
    <x v="5"/>
  </r>
  <r>
    <x v="292"/>
    <x v="28"/>
    <x v="87"/>
    <x v="1"/>
    <x v="424"/>
    <x v="11"/>
    <x v="0"/>
    <x v="4"/>
    <x v="221"/>
    <x v="0"/>
  </r>
  <r>
    <x v="292"/>
    <x v="37"/>
    <x v="30"/>
    <x v="1"/>
    <x v="546"/>
    <x v="11"/>
    <x v="0"/>
    <x v="4"/>
    <x v="221"/>
    <x v="12"/>
  </r>
  <r>
    <x v="292"/>
    <x v="23"/>
    <x v="9"/>
    <x v="3"/>
    <x v="285"/>
    <x v="11"/>
    <x v="0"/>
    <x v="1"/>
    <x v="208"/>
    <x v="6"/>
  </r>
  <r>
    <x v="293"/>
    <x v="28"/>
    <x v="138"/>
    <x v="1"/>
    <x v="424"/>
    <x v="11"/>
    <x v="0"/>
    <x v="1"/>
    <x v="221"/>
    <x v="0"/>
  </r>
  <r>
    <x v="293"/>
    <x v="12"/>
    <x v="154"/>
    <x v="0"/>
    <x v="48"/>
    <x v="11"/>
    <x v="1"/>
    <x v="4"/>
    <x v="221"/>
    <x v="5"/>
  </r>
  <r>
    <x v="293"/>
    <x v="9"/>
    <x v="789"/>
    <x v="0"/>
    <x v="231"/>
    <x v="11"/>
    <x v="1"/>
    <x v="4"/>
    <x v="221"/>
    <x v="5"/>
  </r>
  <r>
    <x v="293"/>
    <x v="3"/>
    <x v="302"/>
    <x v="3"/>
    <x v="580"/>
    <x v="11"/>
    <x v="0"/>
    <x v="4"/>
    <x v="221"/>
    <x v="4"/>
  </r>
  <r>
    <x v="293"/>
    <x v="3"/>
    <x v="763"/>
    <x v="1"/>
    <x v="507"/>
    <x v="11"/>
    <x v="0"/>
    <x v="1"/>
    <x v="209"/>
    <x v="4"/>
  </r>
  <r>
    <x v="293"/>
    <x v="12"/>
    <x v="19"/>
    <x v="3"/>
    <x v="331"/>
    <x v="11"/>
    <x v="0"/>
    <x v="1"/>
    <x v="221"/>
    <x v="5"/>
  </r>
  <r>
    <x v="293"/>
    <x v="23"/>
    <x v="12"/>
    <x v="3"/>
    <x v="282"/>
    <x v="11"/>
    <x v="0"/>
    <x v="1"/>
    <x v="221"/>
    <x v="6"/>
  </r>
  <r>
    <x v="293"/>
    <x v="38"/>
    <x v="12"/>
    <x v="3"/>
    <x v="334"/>
    <x v="11"/>
    <x v="0"/>
    <x v="1"/>
    <x v="221"/>
    <x v="5"/>
  </r>
  <r>
    <x v="293"/>
    <x v="38"/>
    <x v="87"/>
    <x v="1"/>
    <x v="553"/>
    <x v="11"/>
    <x v="0"/>
    <x v="1"/>
    <x v="221"/>
    <x v="5"/>
  </r>
  <r>
    <x v="293"/>
    <x v="36"/>
    <x v="45"/>
    <x v="1"/>
    <x v="376"/>
    <x v="11"/>
    <x v="0"/>
    <x v="1"/>
    <x v="221"/>
    <x v="5"/>
  </r>
  <r>
    <x v="293"/>
    <x v="38"/>
    <x v="116"/>
    <x v="0"/>
    <x v="76"/>
    <x v="11"/>
    <x v="1"/>
    <x v="1"/>
    <x v="221"/>
    <x v="5"/>
  </r>
  <r>
    <x v="293"/>
    <x v="0"/>
    <x v="518"/>
    <x v="1"/>
    <x v="173"/>
    <x v="11"/>
    <x v="0"/>
    <x v="1"/>
    <x v="221"/>
    <x v="9"/>
  </r>
  <r>
    <x v="293"/>
    <x v="15"/>
    <x v="297"/>
    <x v="3"/>
    <x v="353"/>
    <x v="11"/>
    <x v="0"/>
    <x v="1"/>
    <x v="221"/>
    <x v="4"/>
  </r>
  <r>
    <x v="293"/>
    <x v="32"/>
    <x v="1110"/>
    <x v="3"/>
    <x v="422"/>
    <x v="11"/>
    <x v="2"/>
    <x v="4"/>
    <x v="221"/>
    <x v="10"/>
  </r>
  <r>
    <x v="293"/>
    <x v="32"/>
    <x v="1910"/>
    <x v="7"/>
    <x v="422"/>
    <x v="11"/>
    <x v="2"/>
    <x v="4"/>
    <x v="221"/>
    <x v="10"/>
  </r>
  <r>
    <x v="293"/>
    <x v="32"/>
    <x v="904"/>
    <x v="5"/>
    <x v="422"/>
    <x v="11"/>
    <x v="2"/>
    <x v="4"/>
    <x v="221"/>
    <x v="10"/>
  </r>
  <r>
    <x v="293"/>
    <x v="37"/>
    <x v="30"/>
    <x v="1"/>
    <x v="546"/>
    <x v="11"/>
    <x v="0"/>
    <x v="1"/>
    <x v="221"/>
    <x v="12"/>
  </r>
  <r>
    <x v="293"/>
    <x v="24"/>
    <x v="158"/>
    <x v="1"/>
    <x v="126"/>
    <x v="11"/>
    <x v="0"/>
    <x v="1"/>
    <x v="221"/>
    <x v="6"/>
  </r>
  <r>
    <x v="294"/>
    <x v="12"/>
    <x v="428"/>
    <x v="0"/>
    <x v="48"/>
    <x v="11"/>
    <x v="1"/>
    <x v="4"/>
    <x v="221"/>
    <x v="5"/>
  </r>
  <r>
    <x v="294"/>
    <x v="9"/>
    <x v="1308"/>
    <x v="0"/>
    <x v="231"/>
    <x v="11"/>
    <x v="1"/>
    <x v="4"/>
    <x v="221"/>
    <x v="5"/>
  </r>
  <r>
    <x v="294"/>
    <x v="27"/>
    <x v="256"/>
    <x v="1"/>
    <x v="411"/>
    <x v="11"/>
    <x v="0"/>
    <x v="1"/>
    <x v="221"/>
    <x v="5"/>
  </r>
  <r>
    <x v="294"/>
    <x v="20"/>
    <x v="398"/>
    <x v="1"/>
    <x v="99"/>
    <x v="11"/>
    <x v="0"/>
    <x v="1"/>
    <x v="221"/>
    <x v="5"/>
  </r>
  <r>
    <x v="294"/>
    <x v="38"/>
    <x v="45"/>
    <x v="1"/>
    <x v="401"/>
    <x v="11"/>
    <x v="0"/>
    <x v="1"/>
    <x v="221"/>
    <x v="5"/>
  </r>
  <r>
    <x v="294"/>
    <x v="24"/>
    <x v="375"/>
    <x v="1"/>
    <x v="51"/>
    <x v="11"/>
    <x v="0"/>
    <x v="1"/>
    <x v="221"/>
    <x v="6"/>
  </r>
  <r>
    <x v="294"/>
    <x v="12"/>
    <x v="74"/>
    <x v="1"/>
    <x v="151"/>
    <x v="11"/>
    <x v="0"/>
    <x v="1"/>
    <x v="221"/>
    <x v="5"/>
  </r>
  <r>
    <x v="294"/>
    <x v="24"/>
    <x v="69"/>
    <x v="1"/>
    <x v="96"/>
    <x v="11"/>
    <x v="0"/>
    <x v="1"/>
    <x v="221"/>
    <x v="6"/>
  </r>
  <r>
    <x v="294"/>
    <x v="23"/>
    <x v="12"/>
    <x v="3"/>
    <x v="282"/>
    <x v="11"/>
    <x v="0"/>
    <x v="1"/>
    <x v="221"/>
    <x v="6"/>
  </r>
  <r>
    <x v="294"/>
    <x v="38"/>
    <x v="303"/>
    <x v="0"/>
    <x v="76"/>
    <x v="11"/>
    <x v="1"/>
    <x v="4"/>
    <x v="221"/>
    <x v="5"/>
  </r>
  <r>
    <x v="294"/>
    <x v="32"/>
    <x v="1296"/>
    <x v="3"/>
    <x v="422"/>
    <x v="11"/>
    <x v="2"/>
    <x v="4"/>
    <x v="221"/>
    <x v="10"/>
  </r>
  <r>
    <x v="294"/>
    <x v="32"/>
    <x v="58"/>
    <x v="2"/>
    <x v="422"/>
    <x v="11"/>
    <x v="2"/>
    <x v="4"/>
    <x v="221"/>
    <x v="10"/>
  </r>
  <r>
    <x v="294"/>
    <x v="32"/>
    <x v="1835"/>
    <x v="7"/>
    <x v="422"/>
    <x v="11"/>
    <x v="2"/>
    <x v="4"/>
    <x v="221"/>
    <x v="10"/>
  </r>
  <r>
    <x v="294"/>
    <x v="32"/>
    <x v="690"/>
    <x v="5"/>
    <x v="422"/>
    <x v="11"/>
    <x v="2"/>
    <x v="4"/>
    <x v="221"/>
    <x v="10"/>
  </r>
  <r>
    <x v="294"/>
    <x v="0"/>
    <x v="518"/>
    <x v="1"/>
    <x v="310"/>
    <x v="11"/>
    <x v="0"/>
    <x v="1"/>
    <x v="210"/>
    <x v="9"/>
  </r>
  <r>
    <x v="294"/>
    <x v="32"/>
    <x v="12"/>
    <x v="6"/>
    <x v="422"/>
    <x v="11"/>
    <x v="2"/>
    <x v="4"/>
    <x v="221"/>
    <x v="10"/>
  </r>
  <r>
    <x v="294"/>
    <x v="32"/>
    <x v="466"/>
    <x v="8"/>
    <x v="422"/>
    <x v="11"/>
    <x v="2"/>
    <x v="4"/>
    <x v="221"/>
    <x v="10"/>
  </r>
  <r>
    <x v="294"/>
    <x v="23"/>
    <x v="1"/>
    <x v="3"/>
    <x v="282"/>
    <x v="11"/>
    <x v="2"/>
    <x v="4"/>
    <x v="221"/>
    <x v="6"/>
  </r>
  <r>
    <x v="294"/>
    <x v="26"/>
    <x v="90"/>
    <x v="3"/>
    <x v="339"/>
    <x v="11"/>
    <x v="0"/>
    <x v="1"/>
    <x v="221"/>
    <x v="5"/>
  </r>
  <r>
    <x v="294"/>
    <x v="28"/>
    <x v="949"/>
    <x v="3"/>
    <x v="426"/>
    <x v="11"/>
    <x v="0"/>
    <x v="1"/>
    <x v="221"/>
    <x v="0"/>
  </r>
  <r>
    <x v="295"/>
    <x v="12"/>
    <x v="545"/>
    <x v="0"/>
    <x v="48"/>
    <x v="11"/>
    <x v="1"/>
    <x v="4"/>
    <x v="221"/>
    <x v="5"/>
  </r>
  <r>
    <x v="295"/>
    <x v="23"/>
    <x v="12"/>
    <x v="3"/>
    <x v="282"/>
    <x v="11"/>
    <x v="0"/>
    <x v="4"/>
    <x v="221"/>
    <x v="6"/>
  </r>
  <r>
    <x v="295"/>
    <x v="9"/>
    <x v="1334"/>
    <x v="0"/>
    <x v="231"/>
    <x v="11"/>
    <x v="1"/>
    <x v="4"/>
    <x v="221"/>
    <x v="5"/>
  </r>
  <r>
    <x v="295"/>
    <x v="38"/>
    <x v="12"/>
    <x v="3"/>
    <x v="334"/>
    <x v="11"/>
    <x v="2"/>
    <x v="4"/>
    <x v="221"/>
    <x v="5"/>
  </r>
  <r>
    <x v="295"/>
    <x v="12"/>
    <x v="404"/>
    <x v="0"/>
    <x v="130"/>
    <x v="11"/>
    <x v="0"/>
    <x v="1"/>
    <x v="221"/>
    <x v="5"/>
  </r>
  <r>
    <x v="295"/>
    <x v="24"/>
    <x v="318"/>
    <x v="0"/>
    <x v="224"/>
    <x v="11"/>
    <x v="0"/>
    <x v="1"/>
    <x v="221"/>
    <x v="6"/>
  </r>
  <r>
    <x v="295"/>
    <x v="15"/>
    <x v="191"/>
    <x v="0"/>
    <x v="353"/>
    <x v="11"/>
    <x v="0"/>
    <x v="1"/>
    <x v="221"/>
    <x v="4"/>
  </r>
  <r>
    <x v="295"/>
    <x v="24"/>
    <x v="77"/>
    <x v="1"/>
    <x v="72"/>
    <x v="11"/>
    <x v="0"/>
    <x v="1"/>
    <x v="221"/>
    <x v="6"/>
  </r>
  <r>
    <x v="295"/>
    <x v="38"/>
    <x v="247"/>
    <x v="0"/>
    <x v="76"/>
    <x v="11"/>
    <x v="1"/>
    <x v="4"/>
    <x v="221"/>
    <x v="5"/>
  </r>
  <r>
    <x v="295"/>
    <x v="32"/>
    <x v="1078"/>
    <x v="3"/>
    <x v="422"/>
    <x v="12"/>
    <x v="2"/>
    <x v="4"/>
    <x v="221"/>
    <x v="10"/>
  </r>
  <r>
    <x v="295"/>
    <x v="32"/>
    <x v="1758"/>
    <x v="2"/>
    <x v="422"/>
    <x v="11"/>
    <x v="2"/>
    <x v="4"/>
    <x v="221"/>
    <x v="10"/>
  </r>
  <r>
    <x v="295"/>
    <x v="32"/>
    <x v="777"/>
    <x v="6"/>
    <x v="422"/>
    <x v="11"/>
    <x v="2"/>
    <x v="4"/>
    <x v="221"/>
    <x v="10"/>
  </r>
  <r>
    <x v="295"/>
    <x v="32"/>
    <x v="1824"/>
    <x v="7"/>
    <x v="422"/>
    <x v="11"/>
    <x v="2"/>
    <x v="4"/>
    <x v="221"/>
    <x v="10"/>
  </r>
  <r>
    <x v="295"/>
    <x v="32"/>
    <x v="912"/>
    <x v="5"/>
    <x v="422"/>
    <x v="11"/>
    <x v="2"/>
    <x v="4"/>
    <x v="221"/>
    <x v="10"/>
  </r>
  <r>
    <x v="295"/>
    <x v="23"/>
    <x v="1"/>
    <x v="3"/>
    <x v="282"/>
    <x v="11"/>
    <x v="2"/>
    <x v="4"/>
    <x v="221"/>
    <x v="6"/>
  </r>
  <r>
    <x v="295"/>
    <x v="13"/>
    <x v="375"/>
    <x v="1"/>
    <x v="156"/>
    <x v="11"/>
    <x v="0"/>
    <x v="1"/>
    <x v="221"/>
    <x v="5"/>
  </r>
  <r>
    <x v="295"/>
    <x v="37"/>
    <x v="36"/>
    <x v="1"/>
    <x v="546"/>
    <x v="11"/>
    <x v="0"/>
    <x v="4"/>
    <x v="221"/>
    <x v="12"/>
  </r>
  <r>
    <x v="295"/>
    <x v="37"/>
    <x v="36"/>
    <x v="1"/>
    <x v="185"/>
    <x v="11"/>
    <x v="0"/>
    <x v="4"/>
    <x v="221"/>
    <x v="12"/>
  </r>
  <r>
    <x v="296"/>
    <x v="9"/>
    <x v="1309"/>
    <x v="0"/>
    <x v="231"/>
    <x v="11"/>
    <x v="1"/>
    <x v="1"/>
    <x v="221"/>
    <x v="5"/>
  </r>
  <r>
    <x v="296"/>
    <x v="12"/>
    <x v="707"/>
    <x v="0"/>
    <x v="48"/>
    <x v="11"/>
    <x v="1"/>
    <x v="4"/>
    <x v="221"/>
    <x v="5"/>
  </r>
  <r>
    <x v="296"/>
    <x v="15"/>
    <x v="184"/>
    <x v="3"/>
    <x v="354"/>
    <x v="11"/>
    <x v="0"/>
    <x v="1"/>
    <x v="211"/>
    <x v="4"/>
  </r>
  <r>
    <x v="296"/>
    <x v="1"/>
    <x v="581"/>
    <x v="3"/>
    <x v="432"/>
    <x v="11"/>
    <x v="0"/>
    <x v="1"/>
    <x v="211"/>
    <x v="4"/>
  </r>
  <r>
    <x v="296"/>
    <x v="38"/>
    <x v="433"/>
    <x v="0"/>
    <x v="76"/>
    <x v="11"/>
    <x v="1"/>
    <x v="4"/>
    <x v="221"/>
    <x v="5"/>
  </r>
  <r>
    <x v="296"/>
    <x v="23"/>
    <x v="12"/>
    <x v="3"/>
    <x v="282"/>
    <x v="11"/>
    <x v="0"/>
    <x v="4"/>
    <x v="221"/>
    <x v="6"/>
  </r>
  <r>
    <x v="296"/>
    <x v="24"/>
    <x v="30"/>
    <x v="1"/>
    <x v="327"/>
    <x v="11"/>
    <x v="0"/>
    <x v="1"/>
    <x v="221"/>
    <x v="6"/>
  </r>
  <r>
    <x v="296"/>
    <x v="12"/>
    <x v="19"/>
    <x v="1"/>
    <x v="331"/>
    <x v="11"/>
    <x v="0"/>
    <x v="1"/>
    <x v="221"/>
    <x v="5"/>
  </r>
  <r>
    <x v="296"/>
    <x v="32"/>
    <x v="1203"/>
    <x v="3"/>
    <x v="422"/>
    <x v="11"/>
    <x v="2"/>
    <x v="4"/>
    <x v="221"/>
    <x v="10"/>
  </r>
  <r>
    <x v="296"/>
    <x v="32"/>
    <x v="1066"/>
    <x v="2"/>
    <x v="422"/>
    <x v="11"/>
    <x v="2"/>
    <x v="4"/>
    <x v="221"/>
    <x v="10"/>
  </r>
  <r>
    <x v="296"/>
    <x v="32"/>
    <x v="1965"/>
    <x v="7"/>
    <x v="422"/>
    <x v="11"/>
    <x v="2"/>
    <x v="4"/>
    <x v="221"/>
    <x v="10"/>
  </r>
  <r>
    <x v="296"/>
    <x v="32"/>
    <x v="816"/>
    <x v="6"/>
    <x v="422"/>
    <x v="11"/>
    <x v="2"/>
    <x v="4"/>
    <x v="221"/>
    <x v="10"/>
  </r>
  <r>
    <x v="296"/>
    <x v="32"/>
    <x v="217"/>
    <x v="8"/>
    <x v="422"/>
    <x v="11"/>
    <x v="2"/>
    <x v="4"/>
    <x v="221"/>
    <x v="10"/>
  </r>
  <r>
    <x v="296"/>
    <x v="32"/>
    <x v="702"/>
    <x v="5"/>
    <x v="422"/>
    <x v="11"/>
    <x v="0"/>
    <x v="2"/>
    <x v="221"/>
    <x v="10"/>
  </r>
  <r>
    <x v="297"/>
    <x v="3"/>
    <x v="283"/>
    <x v="3"/>
    <x v="580"/>
    <x v="11"/>
    <x v="1"/>
    <x v="1"/>
    <x v="221"/>
    <x v="4"/>
  </r>
  <r>
    <x v="297"/>
    <x v="9"/>
    <x v="1455"/>
    <x v="0"/>
    <x v="231"/>
    <x v="11"/>
    <x v="1"/>
    <x v="4"/>
    <x v="221"/>
    <x v="5"/>
  </r>
  <r>
    <x v="297"/>
    <x v="27"/>
    <x v="753"/>
    <x v="1"/>
    <x v="10"/>
    <x v="11"/>
    <x v="0"/>
    <x v="1"/>
    <x v="221"/>
    <x v="5"/>
  </r>
  <r>
    <x v="297"/>
    <x v="12"/>
    <x v="19"/>
    <x v="1"/>
    <x v="331"/>
    <x v="11"/>
    <x v="0"/>
    <x v="1"/>
    <x v="221"/>
    <x v="5"/>
  </r>
  <r>
    <x v="297"/>
    <x v="20"/>
    <x v="340"/>
    <x v="1"/>
    <x v="61"/>
    <x v="11"/>
    <x v="0"/>
    <x v="1"/>
    <x v="221"/>
    <x v="5"/>
  </r>
  <r>
    <x v="297"/>
    <x v="9"/>
    <x v="1012"/>
    <x v="1"/>
    <x v="139"/>
    <x v="11"/>
    <x v="0"/>
    <x v="1"/>
    <x v="221"/>
    <x v="5"/>
  </r>
  <r>
    <x v="297"/>
    <x v="38"/>
    <x v="15"/>
    <x v="3"/>
    <x v="334"/>
    <x v="11"/>
    <x v="0"/>
    <x v="1"/>
    <x v="221"/>
    <x v="5"/>
  </r>
  <r>
    <x v="297"/>
    <x v="23"/>
    <x v="19"/>
    <x v="3"/>
    <x v="282"/>
    <x v="11"/>
    <x v="0"/>
    <x v="1"/>
    <x v="221"/>
    <x v="6"/>
  </r>
  <r>
    <x v="297"/>
    <x v="37"/>
    <x v="19"/>
    <x v="1"/>
    <x v="546"/>
    <x v="11"/>
    <x v="0"/>
    <x v="1"/>
    <x v="221"/>
    <x v="12"/>
  </r>
  <r>
    <x v="297"/>
    <x v="24"/>
    <x v="191"/>
    <x v="3"/>
    <x v="214"/>
    <x v="11"/>
    <x v="0"/>
    <x v="1"/>
    <x v="221"/>
    <x v="6"/>
  </r>
  <r>
    <x v="297"/>
    <x v="26"/>
    <x v="90"/>
    <x v="3"/>
    <x v="338"/>
    <x v="11"/>
    <x v="0"/>
    <x v="1"/>
    <x v="221"/>
    <x v="5"/>
  </r>
  <r>
    <x v="297"/>
    <x v="38"/>
    <x v="411"/>
    <x v="0"/>
    <x v="76"/>
    <x v="11"/>
    <x v="1"/>
    <x v="4"/>
    <x v="221"/>
    <x v="5"/>
  </r>
  <r>
    <x v="297"/>
    <x v="32"/>
    <x v="1419"/>
    <x v="3"/>
    <x v="422"/>
    <x v="11"/>
    <x v="2"/>
    <x v="4"/>
    <x v="221"/>
    <x v="10"/>
  </r>
  <r>
    <x v="297"/>
    <x v="32"/>
    <x v="1942"/>
    <x v="7"/>
    <x v="422"/>
    <x v="11"/>
    <x v="2"/>
    <x v="4"/>
    <x v="221"/>
    <x v="10"/>
  </r>
  <r>
    <x v="297"/>
    <x v="32"/>
    <x v="770"/>
    <x v="6"/>
    <x v="422"/>
    <x v="11"/>
    <x v="2"/>
    <x v="4"/>
    <x v="221"/>
    <x v="10"/>
  </r>
  <r>
    <x v="297"/>
    <x v="32"/>
    <x v="259"/>
    <x v="8"/>
    <x v="422"/>
    <x v="11"/>
    <x v="2"/>
    <x v="4"/>
    <x v="221"/>
    <x v="10"/>
  </r>
  <r>
    <x v="297"/>
    <x v="32"/>
    <x v="1138"/>
    <x v="5"/>
    <x v="422"/>
    <x v="11"/>
    <x v="2"/>
    <x v="4"/>
    <x v="221"/>
    <x v="10"/>
  </r>
  <r>
    <x v="298"/>
    <x v="0"/>
    <x v="518"/>
    <x v="1"/>
    <x v="310"/>
    <x v="11"/>
    <x v="0"/>
    <x v="1"/>
    <x v="212"/>
    <x v="9"/>
  </r>
  <r>
    <x v="298"/>
    <x v="8"/>
    <x v="816"/>
    <x v="0"/>
    <x v="238"/>
    <x v="11"/>
    <x v="1"/>
    <x v="4"/>
    <x v="221"/>
    <x v="5"/>
  </r>
  <r>
    <x v="298"/>
    <x v="20"/>
    <x v="216"/>
    <x v="1"/>
    <x v="380"/>
    <x v="11"/>
    <x v="0"/>
    <x v="1"/>
    <x v="221"/>
    <x v="5"/>
  </r>
  <r>
    <x v="298"/>
    <x v="9"/>
    <x v="1414"/>
    <x v="0"/>
    <x v="231"/>
    <x v="11"/>
    <x v="1"/>
    <x v="4"/>
    <x v="221"/>
    <x v="5"/>
  </r>
  <r>
    <x v="298"/>
    <x v="12"/>
    <x v="513"/>
    <x v="0"/>
    <x v="48"/>
    <x v="11"/>
    <x v="1"/>
    <x v="4"/>
    <x v="221"/>
    <x v="5"/>
  </r>
  <r>
    <x v="298"/>
    <x v="23"/>
    <x v="25"/>
    <x v="3"/>
    <x v="282"/>
    <x v="11"/>
    <x v="0"/>
    <x v="4"/>
    <x v="221"/>
    <x v="6"/>
  </r>
  <r>
    <x v="298"/>
    <x v="28"/>
    <x v="138"/>
    <x v="1"/>
    <x v="424"/>
    <x v="11"/>
    <x v="0"/>
    <x v="4"/>
    <x v="221"/>
    <x v="0"/>
  </r>
  <r>
    <x v="298"/>
    <x v="37"/>
    <x v="25"/>
    <x v="1"/>
    <x v="546"/>
    <x v="11"/>
    <x v="0"/>
    <x v="4"/>
    <x v="221"/>
    <x v="12"/>
  </r>
  <r>
    <x v="298"/>
    <x v="20"/>
    <x v="1687"/>
    <x v="0"/>
    <x v="61"/>
    <x v="11"/>
    <x v="1"/>
    <x v="4"/>
    <x v="221"/>
    <x v="5"/>
  </r>
  <r>
    <x v="298"/>
    <x v="36"/>
    <x v="28"/>
    <x v="1"/>
    <x v="92"/>
    <x v="11"/>
    <x v="0"/>
    <x v="4"/>
    <x v="221"/>
    <x v="5"/>
  </r>
  <r>
    <x v="298"/>
    <x v="38"/>
    <x v="927"/>
    <x v="0"/>
    <x v="76"/>
    <x v="11"/>
    <x v="1"/>
    <x v="4"/>
    <x v="221"/>
    <x v="5"/>
  </r>
  <r>
    <x v="298"/>
    <x v="24"/>
    <x v="635"/>
    <x v="1"/>
    <x v="207"/>
    <x v="11"/>
    <x v="0"/>
    <x v="1"/>
    <x v="221"/>
    <x v="6"/>
  </r>
  <r>
    <x v="298"/>
    <x v="32"/>
    <x v="775"/>
    <x v="3"/>
    <x v="422"/>
    <x v="11"/>
    <x v="2"/>
    <x v="4"/>
    <x v="221"/>
    <x v="10"/>
  </r>
  <r>
    <x v="298"/>
    <x v="32"/>
    <x v="383"/>
    <x v="2"/>
    <x v="422"/>
    <x v="11"/>
    <x v="2"/>
    <x v="4"/>
    <x v="221"/>
    <x v="10"/>
  </r>
  <r>
    <x v="298"/>
    <x v="32"/>
    <x v="19"/>
    <x v="6"/>
    <x v="422"/>
    <x v="11"/>
    <x v="2"/>
    <x v="4"/>
    <x v="221"/>
    <x v="10"/>
  </r>
  <r>
    <x v="298"/>
    <x v="32"/>
    <x v="1815"/>
    <x v="7"/>
    <x v="422"/>
    <x v="11"/>
    <x v="2"/>
    <x v="4"/>
    <x v="221"/>
    <x v="10"/>
  </r>
  <r>
    <x v="298"/>
    <x v="32"/>
    <x v="361"/>
    <x v="5"/>
    <x v="422"/>
    <x v="11"/>
    <x v="2"/>
    <x v="4"/>
    <x v="221"/>
    <x v="10"/>
  </r>
  <r>
    <x v="298"/>
    <x v="12"/>
    <x v="19"/>
    <x v="1"/>
    <x v="331"/>
    <x v="11"/>
    <x v="1"/>
    <x v="3"/>
    <x v="221"/>
    <x v="5"/>
  </r>
  <r>
    <x v="298"/>
    <x v="24"/>
    <x v="65"/>
    <x v="3"/>
    <x v="42"/>
    <x v="11"/>
    <x v="0"/>
    <x v="1"/>
    <x v="221"/>
    <x v="6"/>
  </r>
  <r>
    <x v="298"/>
    <x v="38"/>
    <x v="36"/>
    <x v="1"/>
    <x v="401"/>
    <x v="11"/>
    <x v="0"/>
    <x v="3"/>
    <x v="221"/>
    <x v="5"/>
  </r>
  <r>
    <x v="299"/>
    <x v="9"/>
    <x v="1010"/>
    <x v="0"/>
    <x v="231"/>
    <x v="11"/>
    <x v="1"/>
    <x v="4"/>
    <x v="221"/>
    <x v="5"/>
  </r>
  <r>
    <x v="299"/>
    <x v="12"/>
    <x v="300"/>
    <x v="0"/>
    <x v="48"/>
    <x v="11"/>
    <x v="1"/>
    <x v="4"/>
    <x v="221"/>
    <x v="5"/>
  </r>
  <r>
    <x v="299"/>
    <x v="27"/>
    <x v="829"/>
    <x v="0"/>
    <x v="10"/>
    <x v="11"/>
    <x v="0"/>
    <x v="1"/>
    <x v="213"/>
    <x v="5"/>
  </r>
  <r>
    <x v="299"/>
    <x v="20"/>
    <x v="398"/>
    <x v="1"/>
    <x v="99"/>
    <x v="11"/>
    <x v="0"/>
    <x v="1"/>
    <x v="221"/>
    <x v="5"/>
  </r>
  <r>
    <x v="299"/>
    <x v="3"/>
    <x v="599"/>
    <x v="3"/>
    <x v="580"/>
    <x v="11"/>
    <x v="0"/>
    <x v="1"/>
    <x v="221"/>
    <x v="4"/>
  </r>
  <r>
    <x v="299"/>
    <x v="23"/>
    <x v="12"/>
    <x v="3"/>
    <x v="282"/>
    <x v="11"/>
    <x v="0"/>
    <x v="1"/>
    <x v="221"/>
    <x v="6"/>
  </r>
  <r>
    <x v="299"/>
    <x v="0"/>
    <x v="45"/>
    <x v="3"/>
    <x v="178"/>
    <x v="11"/>
    <x v="0"/>
    <x v="1"/>
    <x v="213"/>
    <x v="9"/>
  </r>
  <r>
    <x v="299"/>
    <x v="38"/>
    <x v="12"/>
    <x v="3"/>
    <x v="334"/>
    <x v="11"/>
    <x v="0"/>
    <x v="1"/>
    <x v="221"/>
    <x v="5"/>
  </r>
  <r>
    <x v="299"/>
    <x v="38"/>
    <x v="191"/>
    <x v="0"/>
    <x v="76"/>
    <x v="11"/>
    <x v="1"/>
    <x v="4"/>
    <x v="221"/>
    <x v="5"/>
  </r>
  <r>
    <x v="299"/>
    <x v="32"/>
    <x v="899"/>
    <x v="3"/>
    <x v="422"/>
    <x v="0"/>
    <x v="2"/>
    <x v="4"/>
    <x v="221"/>
    <x v="10"/>
  </r>
  <r>
    <x v="299"/>
    <x v="32"/>
    <x v="1827"/>
    <x v="7"/>
    <x v="422"/>
    <x v="11"/>
    <x v="2"/>
    <x v="4"/>
    <x v="221"/>
    <x v="10"/>
  </r>
  <r>
    <x v="299"/>
    <x v="32"/>
    <x v="277"/>
    <x v="4"/>
    <x v="422"/>
    <x v="11"/>
    <x v="2"/>
    <x v="4"/>
    <x v="221"/>
    <x v="10"/>
  </r>
  <r>
    <x v="299"/>
    <x v="32"/>
    <x v="1244"/>
    <x v="5"/>
    <x v="422"/>
    <x v="11"/>
    <x v="2"/>
    <x v="4"/>
    <x v="221"/>
    <x v="10"/>
  </r>
  <r>
    <x v="299"/>
    <x v="32"/>
    <x v="90"/>
    <x v="2"/>
    <x v="422"/>
    <x v="11"/>
    <x v="2"/>
    <x v="4"/>
    <x v="221"/>
    <x v="10"/>
  </r>
  <r>
    <x v="299"/>
    <x v="12"/>
    <x v="19"/>
    <x v="1"/>
    <x v="546"/>
    <x v="11"/>
    <x v="0"/>
    <x v="4"/>
    <x v="221"/>
    <x v="5"/>
  </r>
  <r>
    <x v="299"/>
    <x v="12"/>
    <x v="19"/>
    <x v="1"/>
    <x v="331"/>
    <x v="11"/>
    <x v="0"/>
    <x v="4"/>
    <x v="221"/>
    <x v="5"/>
  </r>
  <r>
    <x v="300"/>
    <x v="9"/>
    <x v="1484"/>
    <x v="0"/>
    <x v="231"/>
    <x v="11"/>
    <x v="1"/>
    <x v="4"/>
    <x v="221"/>
    <x v="5"/>
  </r>
  <r>
    <x v="300"/>
    <x v="12"/>
    <x v="526"/>
    <x v="0"/>
    <x v="48"/>
    <x v="11"/>
    <x v="1"/>
    <x v="4"/>
    <x v="221"/>
    <x v="5"/>
  </r>
  <r>
    <x v="300"/>
    <x v="38"/>
    <x v="173"/>
    <x v="1"/>
    <x v="389"/>
    <x v="11"/>
    <x v="0"/>
    <x v="4"/>
    <x v="221"/>
    <x v="5"/>
  </r>
  <r>
    <x v="300"/>
    <x v="24"/>
    <x v="27"/>
    <x v="1"/>
    <x v="328"/>
    <x v="11"/>
    <x v="0"/>
    <x v="4"/>
    <x v="221"/>
    <x v="6"/>
  </r>
  <r>
    <x v="300"/>
    <x v="20"/>
    <x v="1841"/>
    <x v="0"/>
    <x v="61"/>
    <x v="11"/>
    <x v="1"/>
    <x v="4"/>
    <x v="221"/>
    <x v="5"/>
  </r>
  <r>
    <x v="300"/>
    <x v="20"/>
    <x v="127"/>
    <x v="1"/>
    <x v="505"/>
    <x v="11"/>
    <x v="0"/>
    <x v="4"/>
    <x v="221"/>
    <x v="5"/>
  </r>
  <r>
    <x v="300"/>
    <x v="15"/>
    <x v="207"/>
    <x v="1"/>
    <x v="353"/>
    <x v="11"/>
    <x v="0"/>
    <x v="1"/>
    <x v="221"/>
    <x v="4"/>
  </r>
  <r>
    <x v="300"/>
    <x v="38"/>
    <x v="253"/>
    <x v="0"/>
    <x v="76"/>
    <x v="11"/>
    <x v="1"/>
    <x v="1"/>
    <x v="221"/>
    <x v="5"/>
  </r>
  <r>
    <x v="300"/>
    <x v="23"/>
    <x v="19"/>
    <x v="3"/>
    <x v="282"/>
    <x v="11"/>
    <x v="0"/>
    <x v="1"/>
    <x v="221"/>
    <x v="6"/>
  </r>
  <r>
    <x v="300"/>
    <x v="20"/>
    <x v="53"/>
    <x v="1"/>
    <x v="399"/>
    <x v="11"/>
    <x v="0"/>
    <x v="1"/>
    <x v="221"/>
    <x v="5"/>
  </r>
  <r>
    <x v="300"/>
    <x v="12"/>
    <x v="40"/>
    <x v="1"/>
    <x v="331"/>
    <x v="11"/>
    <x v="0"/>
    <x v="1"/>
    <x v="221"/>
    <x v="5"/>
  </r>
  <r>
    <x v="300"/>
    <x v="32"/>
    <x v="1298"/>
    <x v="3"/>
    <x v="422"/>
    <x v="11"/>
    <x v="2"/>
    <x v="4"/>
    <x v="221"/>
    <x v="10"/>
  </r>
  <r>
    <x v="300"/>
    <x v="32"/>
    <x v="891"/>
    <x v="6"/>
    <x v="422"/>
    <x v="11"/>
    <x v="2"/>
    <x v="4"/>
    <x v="221"/>
    <x v="10"/>
  </r>
  <r>
    <x v="300"/>
    <x v="32"/>
    <x v="1324"/>
    <x v="5"/>
    <x v="422"/>
    <x v="11"/>
    <x v="2"/>
    <x v="4"/>
    <x v="221"/>
    <x v="10"/>
  </r>
  <r>
    <x v="300"/>
    <x v="32"/>
    <x v="1929"/>
    <x v="7"/>
    <x v="422"/>
    <x v="11"/>
    <x v="2"/>
    <x v="4"/>
    <x v="221"/>
    <x v="10"/>
  </r>
  <r>
    <x v="300"/>
    <x v="32"/>
    <x v="524"/>
    <x v="8"/>
    <x v="422"/>
    <x v="11"/>
    <x v="2"/>
    <x v="4"/>
    <x v="221"/>
    <x v="10"/>
  </r>
  <r>
    <x v="300"/>
    <x v="20"/>
    <x v="45"/>
    <x v="1"/>
    <x v="367"/>
    <x v="11"/>
    <x v="0"/>
    <x v="4"/>
    <x v="221"/>
    <x v="5"/>
  </r>
  <r>
    <x v="300"/>
    <x v="24"/>
    <x v="753"/>
    <x v="0"/>
    <x v="504"/>
    <x v="11"/>
    <x v="0"/>
    <x v="3"/>
    <x v="221"/>
    <x v="6"/>
  </r>
  <r>
    <x v="301"/>
    <x v="9"/>
    <x v="1496"/>
    <x v="0"/>
    <x v="231"/>
    <x v="11"/>
    <x v="1"/>
    <x v="4"/>
    <x v="221"/>
    <x v="5"/>
  </r>
  <r>
    <x v="301"/>
    <x v="37"/>
    <x v="33"/>
    <x v="1"/>
    <x v="546"/>
    <x v="11"/>
    <x v="0"/>
    <x v="1"/>
    <x v="221"/>
    <x v="12"/>
  </r>
  <r>
    <x v="301"/>
    <x v="12"/>
    <x v="134"/>
    <x v="1"/>
    <x v="97"/>
    <x v="11"/>
    <x v="0"/>
    <x v="1"/>
    <x v="221"/>
    <x v="5"/>
  </r>
  <r>
    <x v="301"/>
    <x v="12"/>
    <x v="25"/>
    <x v="3"/>
    <x v="42"/>
    <x v="11"/>
    <x v="0"/>
    <x v="4"/>
    <x v="221"/>
    <x v="5"/>
  </r>
  <r>
    <x v="301"/>
    <x v="18"/>
    <x v="375"/>
    <x v="3"/>
    <x v="464"/>
    <x v="11"/>
    <x v="0"/>
    <x v="1"/>
    <x v="214"/>
    <x v="3"/>
  </r>
  <r>
    <x v="301"/>
    <x v="37"/>
    <x v="27"/>
    <x v="3"/>
    <x v="152"/>
    <x v="11"/>
    <x v="0"/>
    <x v="1"/>
    <x v="221"/>
    <x v="12"/>
  </r>
  <r>
    <x v="301"/>
    <x v="25"/>
    <x v="114"/>
    <x v="3"/>
    <x v="41"/>
    <x v="11"/>
    <x v="0"/>
    <x v="1"/>
    <x v="221"/>
    <x v="12"/>
  </r>
  <r>
    <x v="301"/>
    <x v="4"/>
    <x v="335"/>
    <x v="3"/>
    <x v="462"/>
    <x v="11"/>
    <x v="0"/>
    <x v="1"/>
    <x v="221"/>
    <x v="2"/>
  </r>
  <r>
    <x v="301"/>
    <x v="38"/>
    <x v="350"/>
    <x v="0"/>
    <x v="76"/>
    <x v="11"/>
    <x v="1"/>
    <x v="4"/>
    <x v="221"/>
    <x v="5"/>
  </r>
  <r>
    <x v="301"/>
    <x v="23"/>
    <x v="12"/>
    <x v="3"/>
    <x v="282"/>
    <x v="11"/>
    <x v="0"/>
    <x v="4"/>
    <x v="221"/>
    <x v="6"/>
  </r>
  <r>
    <x v="301"/>
    <x v="32"/>
    <x v="1072"/>
    <x v="3"/>
    <x v="422"/>
    <x v="11"/>
    <x v="2"/>
    <x v="4"/>
    <x v="221"/>
    <x v="10"/>
  </r>
  <r>
    <x v="301"/>
    <x v="32"/>
    <x v="1877"/>
    <x v="7"/>
    <x v="422"/>
    <x v="11"/>
    <x v="2"/>
    <x v="4"/>
    <x v="221"/>
    <x v="10"/>
  </r>
  <r>
    <x v="301"/>
    <x v="32"/>
    <x v="460"/>
    <x v="6"/>
    <x v="422"/>
    <x v="11"/>
    <x v="2"/>
    <x v="4"/>
    <x v="221"/>
    <x v="10"/>
  </r>
  <r>
    <x v="301"/>
    <x v="32"/>
    <x v="200"/>
    <x v="5"/>
    <x v="422"/>
    <x v="11"/>
    <x v="2"/>
    <x v="4"/>
    <x v="221"/>
    <x v="10"/>
  </r>
  <r>
    <x v="301"/>
    <x v="1"/>
    <x v="332"/>
    <x v="3"/>
    <x v="432"/>
    <x v="11"/>
    <x v="0"/>
    <x v="1"/>
    <x v="214"/>
    <x v="4"/>
  </r>
  <r>
    <x v="301"/>
    <x v="32"/>
    <x v="200"/>
    <x v="5"/>
    <x v="422"/>
    <x v="11"/>
    <x v="2"/>
    <x v="4"/>
    <x v="221"/>
    <x v="10"/>
  </r>
  <r>
    <x v="302"/>
    <x v="12"/>
    <x v="483"/>
    <x v="0"/>
    <x v="48"/>
    <x v="11"/>
    <x v="1"/>
    <x v="4"/>
    <x v="221"/>
    <x v="5"/>
  </r>
  <r>
    <x v="302"/>
    <x v="24"/>
    <x v="112"/>
    <x v="1"/>
    <x v="260"/>
    <x v="11"/>
    <x v="0"/>
    <x v="1"/>
    <x v="221"/>
    <x v="6"/>
  </r>
  <r>
    <x v="302"/>
    <x v="9"/>
    <x v="1631"/>
    <x v="0"/>
    <x v="231"/>
    <x v="11"/>
    <x v="1"/>
    <x v="4"/>
    <x v="221"/>
    <x v="5"/>
  </r>
  <r>
    <x v="302"/>
    <x v="37"/>
    <x v="19"/>
    <x v="1"/>
    <x v="546"/>
    <x v="11"/>
    <x v="0"/>
    <x v="4"/>
    <x v="221"/>
    <x v="12"/>
  </r>
  <r>
    <x v="302"/>
    <x v="1"/>
    <x v="112"/>
    <x v="3"/>
    <x v="432"/>
    <x v="11"/>
    <x v="0"/>
    <x v="4"/>
    <x v="221"/>
    <x v="4"/>
  </r>
  <r>
    <x v="302"/>
    <x v="38"/>
    <x v="379"/>
    <x v="0"/>
    <x v="76"/>
    <x v="11"/>
    <x v="1"/>
    <x v="4"/>
    <x v="221"/>
    <x v="5"/>
  </r>
  <r>
    <x v="302"/>
    <x v="27"/>
    <x v="112"/>
    <x v="1"/>
    <x v="411"/>
    <x v="11"/>
    <x v="0"/>
    <x v="1"/>
    <x v="221"/>
    <x v="5"/>
  </r>
  <r>
    <x v="302"/>
    <x v="12"/>
    <x v="287"/>
    <x v="1"/>
    <x v="130"/>
    <x v="11"/>
    <x v="0"/>
    <x v="1"/>
    <x v="221"/>
    <x v="5"/>
  </r>
  <r>
    <x v="302"/>
    <x v="28"/>
    <x v="138"/>
    <x v="1"/>
    <x v="424"/>
    <x v="11"/>
    <x v="0"/>
    <x v="4"/>
    <x v="221"/>
    <x v="0"/>
  </r>
  <r>
    <x v="302"/>
    <x v="24"/>
    <x v="87"/>
    <x v="1"/>
    <x v="80"/>
    <x v="11"/>
    <x v="0"/>
    <x v="1"/>
    <x v="221"/>
    <x v="6"/>
  </r>
  <r>
    <x v="302"/>
    <x v="12"/>
    <x v="19"/>
    <x v="1"/>
    <x v="331"/>
    <x v="11"/>
    <x v="0"/>
    <x v="4"/>
    <x v="221"/>
    <x v="5"/>
  </r>
  <r>
    <x v="302"/>
    <x v="25"/>
    <x v="45"/>
    <x v="1"/>
    <x v="40"/>
    <x v="11"/>
    <x v="0"/>
    <x v="4"/>
    <x v="221"/>
    <x v="12"/>
  </r>
  <r>
    <x v="302"/>
    <x v="23"/>
    <x v="19"/>
    <x v="3"/>
    <x v="282"/>
    <x v="11"/>
    <x v="0"/>
    <x v="4"/>
    <x v="221"/>
    <x v="6"/>
  </r>
  <r>
    <x v="302"/>
    <x v="32"/>
    <x v="1531"/>
    <x v="3"/>
    <x v="422"/>
    <x v="11"/>
    <x v="2"/>
    <x v="4"/>
    <x v="221"/>
    <x v="10"/>
  </r>
  <r>
    <x v="302"/>
    <x v="32"/>
    <x v="1943"/>
    <x v="7"/>
    <x v="422"/>
    <x v="11"/>
    <x v="2"/>
    <x v="4"/>
    <x v="221"/>
    <x v="10"/>
  </r>
  <r>
    <x v="302"/>
    <x v="32"/>
    <x v="562"/>
    <x v="6"/>
    <x v="422"/>
    <x v="11"/>
    <x v="2"/>
    <x v="4"/>
    <x v="221"/>
    <x v="10"/>
  </r>
  <r>
    <x v="302"/>
    <x v="32"/>
    <x v="812"/>
    <x v="5"/>
    <x v="422"/>
    <x v="11"/>
    <x v="2"/>
    <x v="4"/>
    <x v="221"/>
    <x v="10"/>
  </r>
  <r>
    <x v="302"/>
    <x v="32"/>
    <x v="188"/>
    <x v="8"/>
    <x v="422"/>
    <x v="11"/>
    <x v="2"/>
    <x v="4"/>
    <x v="221"/>
    <x v="10"/>
  </r>
  <r>
    <x v="303"/>
    <x v="12"/>
    <x v="406"/>
    <x v="0"/>
    <x v="48"/>
    <x v="11"/>
    <x v="1"/>
    <x v="4"/>
    <x v="221"/>
    <x v="5"/>
  </r>
  <r>
    <x v="303"/>
    <x v="8"/>
    <x v="77"/>
    <x v="0"/>
    <x v="238"/>
    <x v="11"/>
    <x v="0"/>
    <x v="4"/>
    <x v="221"/>
    <x v="5"/>
  </r>
  <r>
    <x v="303"/>
    <x v="12"/>
    <x v="158"/>
    <x v="1"/>
    <x v="406"/>
    <x v="11"/>
    <x v="0"/>
    <x v="4"/>
    <x v="221"/>
    <x v="5"/>
  </r>
  <r>
    <x v="303"/>
    <x v="27"/>
    <x v="829"/>
    <x v="1"/>
    <x v="360"/>
    <x v="0"/>
    <x v="0"/>
    <x v="4"/>
    <x v="221"/>
    <x v="5"/>
  </r>
  <r>
    <x v="303"/>
    <x v="20"/>
    <x v="232"/>
    <x v="1"/>
    <x v="61"/>
    <x v="11"/>
    <x v="0"/>
    <x v="4"/>
    <x v="221"/>
    <x v="5"/>
  </r>
  <r>
    <x v="303"/>
    <x v="9"/>
    <x v="1150"/>
    <x v="0"/>
    <x v="231"/>
    <x v="11"/>
    <x v="1"/>
    <x v="4"/>
    <x v="221"/>
    <x v="5"/>
  </r>
  <r>
    <x v="303"/>
    <x v="12"/>
    <x v="19"/>
    <x v="1"/>
    <x v="331"/>
    <x v="11"/>
    <x v="0"/>
    <x v="4"/>
    <x v="221"/>
    <x v="5"/>
  </r>
  <r>
    <x v="303"/>
    <x v="3"/>
    <x v="933"/>
    <x v="1"/>
    <x v="507"/>
    <x v="11"/>
    <x v="0"/>
    <x v="1"/>
    <x v="221"/>
    <x v="4"/>
  </r>
  <r>
    <x v="303"/>
    <x v="3"/>
    <x v="599"/>
    <x v="3"/>
    <x v="580"/>
    <x v="11"/>
    <x v="0"/>
    <x v="4"/>
    <x v="221"/>
    <x v="4"/>
  </r>
  <r>
    <x v="303"/>
    <x v="23"/>
    <x v="17"/>
    <x v="3"/>
    <x v="282"/>
    <x v="11"/>
    <x v="0"/>
    <x v="4"/>
    <x v="221"/>
    <x v="6"/>
  </r>
  <r>
    <x v="303"/>
    <x v="37"/>
    <x v="19"/>
    <x v="1"/>
    <x v="546"/>
    <x v="11"/>
    <x v="0"/>
    <x v="4"/>
    <x v="221"/>
    <x v="12"/>
  </r>
  <r>
    <x v="303"/>
    <x v="38"/>
    <x v="263"/>
    <x v="0"/>
    <x v="76"/>
    <x v="11"/>
    <x v="1"/>
    <x v="4"/>
    <x v="221"/>
    <x v="5"/>
  </r>
  <r>
    <x v="303"/>
    <x v="32"/>
    <x v="1710"/>
    <x v="3"/>
    <x v="422"/>
    <x v="0"/>
    <x v="2"/>
    <x v="4"/>
    <x v="221"/>
    <x v="10"/>
  </r>
  <r>
    <x v="303"/>
    <x v="32"/>
    <x v="645"/>
    <x v="6"/>
    <x v="422"/>
    <x v="11"/>
    <x v="2"/>
    <x v="4"/>
    <x v="221"/>
    <x v="10"/>
  </r>
  <r>
    <x v="303"/>
    <x v="32"/>
    <x v="380"/>
    <x v="2"/>
    <x v="422"/>
    <x v="11"/>
    <x v="2"/>
    <x v="4"/>
    <x v="221"/>
    <x v="10"/>
  </r>
  <r>
    <x v="303"/>
    <x v="32"/>
    <x v="950"/>
    <x v="5"/>
    <x v="422"/>
    <x v="11"/>
    <x v="2"/>
    <x v="4"/>
    <x v="221"/>
    <x v="10"/>
  </r>
  <r>
    <x v="303"/>
    <x v="32"/>
    <x v="1982"/>
    <x v="7"/>
    <x v="422"/>
    <x v="11"/>
    <x v="2"/>
    <x v="4"/>
    <x v="221"/>
    <x v="10"/>
  </r>
  <r>
    <x v="303"/>
    <x v="32"/>
    <x v="134"/>
    <x v="4"/>
    <x v="422"/>
    <x v="11"/>
    <x v="2"/>
    <x v="4"/>
    <x v="221"/>
    <x v="10"/>
  </r>
  <r>
    <x v="304"/>
    <x v="12"/>
    <x v="778"/>
    <x v="0"/>
    <x v="48"/>
    <x v="11"/>
    <x v="1"/>
    <x v="4"/>
    <x v="221"/>
    <x v="5"/>
  </r>
  <r>
    <x v="304"/>
    <x v="9"/>
    <x v="1547"/>
    <x v="0"/>
    <x v="231"/>
    <x v="11"/>
    <x v="1"/>
    <x v="4"/>
    <x v="221"/>
    <x v="5"/>
  </r>
  <r>
    <x v="304"/>
    <x v="36"/>
    <x v="112"/>
    <x v="1"/>
    <x v="376"/>
    <x v="11"/>
    <x v="0"/>
    <x v="4"/>
    <x v="221"/>
    <x v="5"/>
  </r>
  <r>
    <x v="304"/>
    <x v="38"/>
    <x v="1626"/>
    <x v="1"/>
    <x v="76"/>
    <x v="11"/>
    <x v="0"/>
    <x v="1"/>
    <x v="215"/>
    <x v="5"/>
  </r>
  <r>
    <x v="304"/>
    <x v="12"/>
    <x v="19"/>
    <x v="1"/>
    <x v="331"/>
    <x v="11"/>
    <x v="0"/>
    <x v="1"/>
    <x v="221"/>
    <x v="5"/>
  </r>
  <r>
    <x v="304"/>
    <x v="37"/>
    <x v="45"/>
    <x v="1"/>
    <x v="43"/>
    <x v="11"/>
    <x v="0"/>
    <x v="1"/>
    <x v="221"/>
    <x v="12"/>
  </r>
  <r>
    <x v="304"/>
    <x v="23"/>
    <x v="19"/>
    <x v="1"/>
    <x v="282"/>
    <x v="11"/>
    <x v="0"/>
    <x v="4"/>
    <x v="221"/>
    <x v="6"/>
  </r>
  <r>
    <x v="304"/>
    <x v="8"/>
    <x v="318"/>
    <x v="1"/>
    <x v="238"/>
    <x v="11"/>
    <x v="0"/>
    <x v="1"/>
    <x v="220"/>
    <x v="5"/>
  </r>
  <r>
    <x v="304"/>
    <x v="13"/>
    <x v="147"/>
    <x v="1"/>
    <x v="342"/>
    <x v="11"/>
    <x v="0"/>
    <x v="1"/>
    <x v="221"/>
    <x v="5"/>
  </r>
  <r>
    <x v="304"/>
    <x v="24"/>
    <x v="19"/>
    <x v="1"/>
    <x v="247"/>
    <x v="11"/>
    <x v="0"/>
    <x v="1"/>
    <x v="221"/>
    <x v="6"/>
  </r>
  <r>
    <x v="304"/>
    <x v="24"/>
    <x v="49"/>
    <x v="1"/>
    <x v="247"/>
    <x v="11"/>
    <x v="0"/>
    <x v="1"/>
    <x v="221"/>
    <x v="6"/>
  </r>
  <r>
    <x v="304"/>
    <x v="15"/>
    <x v="216"/>
    <x v="1"/>
    <x v="353"/>
    <x v="11"/>
    <x v="0"/>
    <x v="1"/>
    <x v="221"/>
    <x v="4"/>
  </r>
  <r>
    <x v="304"/>
    <x v="26"/>
    <x v="90"/>
    <x v="1"/>
    <x v="338"/>
    <x v="11"/>
    <x v="0"/>
    <x v="1"/>
    <x v="221"/>
    <x v="5"/>
  </r>
  <r>
    <x v="304"/>
    <x v="12"/>
    <x v="112"/>
    <x v="1"/>
    <x v="212"/>
    <x v="11"/>
    <x v="0"/>
    <x v="1"/>
    <x v="221"/>
    <x v="5"/>
  </r>
  <r>
    <x v="304"/>
    <x v="38"/>
    <x v="386"/>
    <x v="0"/>
    <x v="76"/>
    <x v="11"/>
    <x v="1"/>
    <x v="4"/>
    <x v="221"/>
    <x v="5"/>
  </r>
  <r>
    <x v="304"/>
    <x v="32"/>
    <x v="1452"/>
    <x v="3"/>
    <x v="422"/>
    <x v="11"/>
    <x v="2"/>
    <x v="4"/>
    <x v="221"/>
    <x v="10"/>
  </r>
  <r>
    <x v="304"/>
    <x v="32"/>
    <x v="1977"/>
    <x v="7"/>
    <x v="422"/>
    <x v="11"/>
    <x v="2"/>
    <x v="4"/>
    <x v="221"/>
    <x v="10"/>
  </r>
  <r>
    <x v="304"/>
    <x v="32"/>
    <x v="654"/>
    <x v="6"/>
    <x v="422"/>
    <x v="11"/>
    <x v="2"/>
    <x v="4"/>
    <x v="221"/>
    <x v="10"/>
  </r>
  <r>
    <x v="304"/>
    <x v="32"/>
    <x v="1196"/>
    <x v="5"/>
    <x v="422"/>
    <x v="11"/>
    <x v="2"/>
    <x v="4"/>
    <x v="221"/>
    <x v="10"/>
  </r>
  <r>
    <x v="304"/>
    <x v="32"/>
    <x v="909"/>
    <x v="2"/>
    <x v="422"/>
    <x v="11"/>
    <x v="2"/>
    <x v="4"/>
    <x v="221"/>
    <x v="10"/>
  </r>
  <r>
    <x v="304"/>
    <x v="0"/>
    <x v="518"/>
    <x v="3"/>
    <x v="20"/>
    <x v="11"/>
    <x v="0"/>
    <x v="1"/>
    <x v="215"/>
    <x v="9"/>
  </r>
  <r>
    <x v="304"/>
    <x v="37"/>
    <x v="19"/>
    <x v="1"/>
    <x v="546"/>
    <x v="11"/>
    <x v="0"/>
    <x v="4"/>
    <x v="221"/>
    <x v="12"/>
  </r>
  <r>
    <x v="304"/>
    <x v="0"/>
    <x v="518"/>
    <x v="3"/>
    <x v="20"/>
    <x v="11"/>
    <x v="0"/>
    <x v="1"/>
    <x v="215"/>
    <x v="14"/>
  </r>
  <r>
    <x v="305"/>
    <x v="20"/>
    <x v="226"/>
    <x v="1"/>
    <x v="61"/>
    <x v="11"/>
    <x v="0"/>
    <x v="1"/>
    <x v="221"/>
    <x v="5"/>
  </r>
  <r>
    <x v="305"/>
    <x v="20"/>
    <x v="42"/>
    <x v="1"/>
    <x v="61"/>
    <x v="11"/>
    <x v="0"/>
    <x v="1"/>
    <x v="221"/>
    <x v="5"/>
  </r>
  <r>
    <x v="305"/>
    <x v="8"/>
    <x v="816"/>
    <x v="0"/>
    <x v="238"/>
    <x v="11"/>
    <x v="1"/>
    <x v="4"/>
    <x v="221"/>
    <x v="5"/>
  </r>
  <r>
    <x v="305"/>
    <x v="12"/>
    <x v="473"/>
    <x v="0"/>
    <x v="48"/>
    <x v="11"/>
    <x v="1"/>
    <x v="4"/>
    <x v="221"/>
    <x v="5"/>
  </r>
  <r>
    <x v="305"/>
    <x v="9"/>
    <x v="1517"/>
    <x v="0"/>
    <x v="231"/>
    <x v="11"/>
    <x v="1"/>
    <x v="4"/>
    <x v="221"/>
    <x v="5"/>
  </r>
  <r>
    <x v="305"/>
    <x v="25"/>
    <x v="547"/>
    <x v="1"/>
    <x v="41"/>
    <x v="11"/>
    <x v="0"/>
    <x v="1"/>
    <x v="221"/>
    <x v="12"/>
  </r>
  <r>
    <x v="305"/>
    <x v="20"/>
    <x v="30"/>
    <x v="1"/>
    <x v="61"/>
    <x v="11"/>
    <x v="0"/>
    <x v="4"/>
    <x v="221"/>
    <x v="5"/>
  </r>
  <r>
    <x v="305"/>
    <x v="38"/>
    <x v="382"/>
    <x v="0"/>
    <x v="76"/>
    <x v="11"/>
    <x v="1"/>
    <x v="4"/>
    <x v="221"/>
    <x v="5"/>
  </r>
  <r>
    <x v="305"/>
    <x v="12"/>
    <x v="19"/>
    <x v="1"/>
    <x v="331"/>
    <x v="11"/>
    <x v="0"/>
    <x v="1"/>
    <x v="221"/>
    <x v="5"/>
  </r>
  <r>
    <x v="305"/>
    <x v="37"/>
    <x v="19"/>
    <x v="1"/>
    <x v="546"/>
    <x v="11"/>
    <x v="0"/>
    <x v="1"/>
    <x v="221"/>
    <x v="12"/>
  </r>
  <r>
    <x v="305"/>
    <x v="15"/>
    <x v="197"/>
    <x v="3"/>
    <x v="353"/>
    <x v="11"/>
    <x v="0"/>
    <x v="1"/>
    <x v="216"/>
    <x v="4"/>
  </r>
  <r>
    <x v="305"/>
    <x v="38"/>
    <x v="12"/>
    <x v="3"/>
    <x v="334"/>
    <x v="11"/>
    <x v="0"/>
    <x v="1"/>
    <x v="221"/>
    <x v="5"/>
  </r>
  <r>
    <x v="305"/>
    <x v="32"/>
    <x v="1154"/>
    <x v="3"/>
    <x v="422"/>
    <x v="11"/>
    <x v="2"/>
    <x v="4"/>
    <x v="221"/>
    <x v="10"/>
  </r>
  <r>
    <x v="305"/>
    <x v="32"/>
    <x v="431"/>
    <x v="6"/>
    <x v="422"/>
    <x v="11"/>
    <x v="2"/>
    <x v="4"/>
    <x v="221"/>
    <x v="10"/>
  </r>
  <r>
    <x v="305"/>
    <x v="32"/>
    <x v="1856"/>
    <x v="7"/>
    <x v="422"/>
    <x v="11"/>
    <x v="2"/>
    <x v="4"/>
    <x v="221"/>
    <x v="10"/>
  </r>
  <r>
    <x v="305"/>
    <x v="32"/>
    <x v="801"/>
    <x v="5"/>
    <x v="422"/>
    <x v="11"/>
    <x v="2"/>
    <x v="4"/>
    <x v="221"/>
    <x v="10"/>
  </r>
  <r>
    <x v="305"/>
    <x v="0"/>
    <x v="53"/>
    <x v="3"/>
    <x v="370"/>
    <x v="11"/>
    <x v="0"/>
    <x v="1"/>
    <x v="221"/>
    <x v="9"/>
  </r>
  <r>
    <x v="305"/>
    <x v="20"/>
    <x v="232"/>
    <x v="1"/>
    <x v="380"/>
    <x v="11"/>
    <x v="0"/>
    <x v="1"/>
    <x v="221"/>
    <x v="5"/>
  </r>
  <r>
    <x v="304"/>
    <x v="28"/>
    <x v="138"/>
    <x v="1"/>
    <x v="424"/>
    <x v="11"/>
    <x v="0"/>
    <x v="1"/>
    <x v="221"/>
    <x v="0"/>
  </r>
  <r>
    <x v="306"/>
    <x v="9"/>
    <x v="1112"/>
    <x v="0"/>
    <x v="231"/>
    <x v="11"/>
    <x v="1"/>
    <x v="1"/>
    <x v="221"/>
    <x v="5"/>
  </r>
  <r>
    <x v="306"/>
    <x v="3"/>
    <x v="599"/>
    <x v="1"/>
    <x v="580"/>
    <x v="11"/>
    <x v="0"/>
    <x v="1"/>
    <x v="221"/>
    <x v="4"/>
  </r>
  <r>
    <x v="306"/>
    <x v="38"/>
    <x v="239"/>
    <x v="1"/>
    <x v="389"/>
    <x v="11"/>
    <x v="0"/>
    <x v="1"/>
    <x v="221"/>
    <x v="5"/>
  </r>
  <r>
    <x v="306"/>
    <x v="24"/>
    <x v="112"/>
    <x v="1"/>
    <x v="60"/>
    <x v="11"/>
    <x v="0"/>
    <x v="1"/>
    <x v="221"/>
    <x v="6"/>
  </r>
  <r>
    <x v="306"/>
    <x v="23"/>
    <x v="12"/>
    <x v="3"/>
    <x v="282"/>
    <x v="11"/>
    <x v="0"/>
    <x v="4"/>
    <x v="221"/>
    <x v="6"/>
  </r>
  <r>
    <x v="306"/>
    <x v="24"/>
    <x v="905"/>
    <x v="0"/>
    <x v="199"/>
    <x v="11"/>
    <x v="0"/>
    <x v="1"/>
    <x v="221"/>
    <x v="6"/>
  </r>
  <r>
    <x v="306"/>
    <x v="12"/>
    <x v="510"/>
    <x v="1"/>
    <x v="130"/>
    <x v="11"/>
    <x v="0"/>
    <x v="3"/>
    <x v="221"/>
    <x v="5"/>
  </r>
  <r>
    <x v="306"/>
    <x v="37"/>
    <x v="49"/>
    <x v="1"/>
    <x v="546"/>
    <x v="11"/>
    <x v="0"/>
    <x v="1"/>
    <x v="221"/>
    <x v="12"/>
  </r>
  <r>
    <x v="306"/>
    <x v="37"/>
    <x v="112"/>
    <x v="1"/>
    <x v="44"/>
    <x v="11"/>
    <x v="0"/>
    <x v="1"/>
    <x v="221"/>
    <x v="12"/>
  </r>
  <r>
    <x v="306"/>
    <x v="15"/>
    <x v="216"/>
    <x v="1"/>
    <x v="353"/>
    <x v="11"/>
    <x v="0"/>
    <x v="1"/>
    <x v="221"/>
    <x v="4"/>
  </r>
  <r>
    <x v="306"/>
    <x v="38"/>
    <x v="364"/>
    <x v="0"/>
    <x v="76"/>
    <x v="11"/>
    <x v="1"/>
    <x v="4"/>
    <x v="221"/>
    <x v="5"/>
  </r>
  <r>
    <x v="306"/>
    <x v="12"/>
    <x v="393"/>
    <x v="0"/>
    <x v="48"/>
    <x v="11"/>
    <x v="1"/>
    <x v="4"/>
    <x v="221"/>
    <x v="5"/>
  </r>
  <r>
    <x v="306"/>
    <x v="32"/>
    <x v="426"/>
    <x v="2"/>
    <x v="422"/>
    <x v="11"/>
    <x v="2"/>
    <x v="4"/>
    <x v="221"/>
    <x v="10"/>
  </r>
  <r>
    <x v="306"/>
    <x v="32"/>
    <x v="1893"/>
    <x v="7"/>
    <x v="422"/>
    <x v="11"/>
    <x v="2"/>
    <x v="4"/>
    <x v="221"/>
    <x v="10"/>
  </r>
  <r>
    <x v="306"/>
    <x v="32"/>
    <x v="848"/>
    <x v="5"/>
    <x v="422"/>
    <x v="11"/>
    <x v="2"/>
    <x v="4"/>
    <x v="221"/>
    <x v="10"/>
  </r>
  <r>
    <x v="306"/>
    <x v="32"/>
    <x v="461"/>
    <x v="6"/>
    <x v="422"/>
    <x v="11"/>
    <x v="2"/>
    <x v="4"/>
    <x v="221"/>
    <x v="10"/>
  </r>
  <r>
    <x v="306"/>
    <x v="32"/>
    <x v="1397"/>
    <x v="3"/>
    <x v="422"/>
    <x v="11"/>
    <x v="2"/>
    <x v="4"/>
    <x v="221"/>
    <x v="10"/>
  </r>
  <r>
    <x v="306"/>
    <x v="32"/>
    <x v="0"/>
    <x v="8"/>
    <x v="422"/>
    <x v="11"/>
    <x v="2"/>
    <x v="4"/>
    <x v="221"/>
    <x v="10"/>
  </r>
  <r>
    <x v="306"/>
    <x v="24"/>
    <x v="12"/>
    <x v="1"/>
    <x v="104"/>
    <x v="11"/>
    <x v="0"/>
    <x v="4"/>
    <x v="221"/>
    <x v="6"/>
  </r>
  <r>
    <x v="306"/>
    <x v="24"/>
    <x v="1961"/>
    <x v="0"/>
    <x v="301"/>
    <x v="11"/>
    <x v="1"/>
    <x v="4"/>
    <x v="221"/>
    <x v="6"/>
  </r>
  <r>
    <x v="306"/>
    <x v="37"/>
    <x v="53"/>
    <x v="1"/>
    <x v="292"/>
    <x v="11"/>
    <x v="0"/>
    <x v="4"/>
    <x v="221"/>
    <x v="12"/>
  </r>
  <r>
    <x v="307"/>
    <x v="12"/>
    <x v="634"/>
    <x v="0"/>
    <x v="48"/>
    <x v="11"/>
    <x v="1"/>
    <x v="4"/>
    <x v="221"/>
    <x v="5"/>
  </r>
  <r>
    <x v="307"/>
    <x v="9"/>
    <x v="1528"/>
    <x v="0"/>
    <x v="231"/>
    <x v="11"/>
    <x v="1"/>
    <x v="4"/>
    <x v="221"/>
    <x v="5"/>
  </r>
  <r>
    <x v="307"/>
    <x v="12"/>
    <x v="19"/>
    <x v="1"/>
    <x v="331"/>
    <x v="11"/>
    <x v="0"/>
    <x v="4"/>
    <x v="221"/>
    <x v="5"/>
  </r>
  <r>
    <x v="307"/>
    <x v="37"/>
    <x v="27"/>
    <x v="1"/>
    <x v="45"/>
    <x v="11"/>
    <x v="0"/>
    <x v="4"/>
    <x v="221"/>
    <x v="12"/>
  </r>
  <r>
    <x v="307"/>
    <x v="24"/>
    <x v="31"/>
    <x v="1"/>
    <x v="3"/>
    <x v="11"/>
    <x v="0"/>
    <x v="4"/>
    <x v="221"/>
    <x v="6"/>
  </r>
  <r>
    <x v="307"/>
    <x v="38"/>
    <x v="565"/>
    <x v="0"/>
    <x v="76"/>
    <x v="11"/>
    <x v="1"/>
    <x v="4"/>
    <x v="221"/>
    <x v="5"/>
  </r>
  <r>
    <x v="307"/>
    <x v="28"/>
    <x v="138"/>
    <x v="1"/>
    <x v="424"/>
    <x v="11"/>
    <x v="0"/>
    <x v="4"/>
    <x v="221"/>
    <x v="0"/>
  </r>
  <r>
    <x v="307"/>
    <x v="32"/>
    <x v="1134"/>
    <x v="3"/>
    <x v="422"/>
    <x v="11"/>
    <x v="2"/>
    <x v="4"/>
    <x v="221"/>
    <x v="10"/>
  </r>
  <r>
    <x v="307"/>
    <x v="32"/>
    <x v="1944"/>
    <x v="7"/>
    <x v="422"/>
    <x v="11"/>
    <x v="2"/>
    <x v="4"/>
    <x v="221"/>
    <x v="10"/>
  </r>
  <r>
    <x v="307"/>
    <x v="32"/>
    <x v="549"/>
    <x v="6"/>
    <x v="422"/>
    <x v="11"/>
    <x v="2"/>
    <x v="4"/>
    <x v="221"/>
    <x v="10"/>
  </r>
  <r>
    <x v="307"/>
    <x v="32"/>
    <x v="824"/>
    <x v="5"/>
    <x v="422"/>
    <x v="11"/>
    <x v="2"/>
    <x v="4"/>
    <x v="221"/>
    <x v="10"/>
  </r>
  <r>
    <x v="307"/>
    <x v="32"/>
    <x v="403"/>
    <x v="8"/>
    <x v="422"/>
    <x v="11"/>
    <x v="2"/>
    <x v="4"/>
    <x v="221"/>
    <x v="10"/>
  </r>
  <r>
    <x v="307"/>
    <x v="32"/>
    <x v="299"/>
    <x v="2"/>
    <x v="422"/>
    <x v="11"/>
    <x v="2"/>
    <x v="4"/>
    <x v="221"/>
    <x v="10"/>
  </r>
  <r>
    <x v="308"/>
    <x v="37"/>
    <x v="27"/>
    <x v="1"/>
    <x v="546"/>
    <x v="11"/>
    <x v="2"/>
    <x v="4"/>
    <x v="221"/>
    <x v="12"/>
  </r>
  <r>
    <x v="307"/>
    <x v="13"/>
    <x v="375"/>
    <x v="1"/>
    <x v="157"/>
    <x v="11"/>
    <x v="0"/>
    <x v="1"/>
    <x v="221"/>
    <x v="5"/>
  </r>
  <r>
    <x v="307"/>
    <x v="23"/>
    <x v="12"/>
    <x v="3"/>
    <x v="282"/>
    <x v="11"/>
    <x v="0"/>
    <x v="1"/>
    <x v="221"/>
    <x v="6"/>
  </r>
  <r>
    <x v="308"/>
    <x v="9"/>
    <x v="1562"/>
    <x v="0"/>
    <x v="231"/>
    <x v="11"/>
    <x v="1"/>
    <x v="4"/>
    <x v="221"/>
    <x v="5"/>
  </r>
  <r>
    <x v="308"/>
    <x v="12"/>
    <x v="521"/>
    <x v="0"/>
    <x v="48"/>
    <x v="11"/>
    <x v="1"/>
    <x v="4"/>
    <x v="221"/>
    <x v="5"/>
  </r>
  <r>
    <x v="308"/>
    <x v="38"/>
    <x v="306"/>
    <x v="0"/>
    <x v="76"/>
    <x v="11"/>
    <x v="1"/>
    <x v="4"/>
    <x v="221"/>
    <x v="5"/>
  </r>
  <r>
    <x v="308"/>
    <x v="32"/>
    <x v="1430"/>
    <x v="3"/>
    <x v="422"/>
    <x v="11"/>
    <x v="2"/>
    <x v="4"/>
    <x v="221"/>
    <x v="10"/>
  </r>
  <r>
    <x v="308"/>
    <x v="32"/>
    <x v="1900"/>
    <x v="7"/>
    <x v="422"/>
    <x v="11"/>
    <x v="2"/>
    <x v="4"/>
    <x v="221"/>
    <x v="10"/>
  </r>
  <r>
    <x v="308"/>
    <x v="32"/>
    <x v="198"/>
    <x v="6"/>
    <x v="422"/>
    <x v="11"/>
    <x v="2"/>
    <x v="4"/>
    <x v="221"/>
    <x v="10"/>
  </r>
  <r>
    <x v="308"/>
    <x v="32"/>
    <x v="772"/>
    <x v="5"/>
    <x v="414"/>
    <x v="11"/>
    <x v="2"/>
    <x v="4"/>
    <x v="221"/>
    <x v="10"/>
  </r>
  <r>
    <x v="308"/>
    <x v="32"/>
    <x v="0"/>
    <x v="2"/>
    <x v="422"/>
    <x v="11"/>
    <x v="2"/>
    <x v="4"/>
    <x v="221"/>
    <x v="10"/>
  </r>
  <r>
    <x v="308"/>
    <x v="1"/>
    <x v="12"/>
    <x v="3"/>
    <x v="95"/>
    <x v="11"/>
    <x v="0"/>
    <x v="1"/>
    <x v="221"/>
    <x v="4"/>
  </r>
  <r>
    <x v="309"/>
    <x v="38"/>
    <x v="1570"/>
    <x v="1"/>
    <x v="76"/>
    <x v="11"/>
    <x v="0"/>
    <x v="1"/>
    <x v="217"/>
    <x v="5"/>
  </r>
  <r>
    <x v="309"/>
    <x v="20"/>
    <x v="398"/>
    <x v="1"/>
    <x v="100"/>
    <x v="11"/>
    <x v="0"/>
    <x v="3"/>
    <x v="221"/>
    <x v="5"/>
  </r>
  <r>
    <x v="309"/>
    <x v="9"/>
    <x v="1601"/>
    <x v="0"/>
    <x v="231"/>
    <x v="11"/>
    <x v="1"/>
    <x v="4"/>
    <x v="221"/>
    <x v="5"/>
  </r>
  <r>
    <x v="309"/>
    <x v="12"/>
    <x v="501"/>
    <x v="0"/>
    <x v="48"/>
    <x v="11"/>
    <x v="1"/>
    <x v="4"/>
    <x v="221"/>
    <x v="5"/>
  </r>
  <r>
    <x v="309"/>
    <x v="8"/>
    <x v="816"/>
    <x v="0"/>
    <x v="238"/>
    <x v="11"/>
    <x v="1"/>
    <x v="4"/>
    <x v="221"/>
    <x v="5"/>
  </r>
  <r>
    <x v="309"/>
    <x v="27"/>
    <x v="753"/>
    <x v="1"/>
    <x v="10"/>
    <x v="11"/>
    <x v="0"/>
    <x v="1"/>
    <x v="221"/>
    <x v="5"/>
  </r>
  <r>
    <x v="309"/>
    <x v="24"/>
    <x v="87"/>
    <x v="1"/>
    <x v="75"/>
    <x v="11"/>
    <x v="0"/>
    <x v="1"/>
    <x v="221"/>
    <x v="6"/>
  </r>
  <r>
    <x v="309"/>
    <x v="24"/>
    <x v="25"/>
    <x v="1"/>
    <x v="384"/>
    <x v="11"/>
    <x v="0"/>
    <x v="1"/>
    <x v="221"/>
    <x v="6"/>
  </r>
  <r>
    <x v="309"/>
    <x v="24"/>
    <x v="25"/>
    <x v="1"/>
    <x v="247"/>
    <x v="11"/>
    <x v="0"/>
    <x v="1"/>
    <x v="221"/>
    <x v="6"/>
  </r>
  <r>
    <x v="309"/>
    <x v="13"/>
    <x v="154"/>
    <x v="3"/>
    <x v="108"/>
    <x v="11"/>
    <x v="0"/>
    <x v="1"/>
    <x v="221"/>
    <x v="5"/>
  </r>
  <r>
    <x v="309"/>
    <x v="38"/>
    <x v="1990"/>
    <x v="0"/>
    <x v="76"/>
    <x v="11"/>
    <x v="2"/>
    <x v="4"/>
    <x v="221"/>
    <x v="5"/>
  </r>
  <r>
    <x v="309"/>
    <x v="1"/>
    <x v="518"/>
    <x v="3"/>
    <x v="131"/>
    <x v="11"/>
    <x v="0"/>
    <x v="1"/>
    <x v="217"/>
    <x v="4"/>
  </r>
  <r>
    <x v="309"/>
    <x v="41"/>
    <x v="1990"/>
    <x v="9"/>
    <x v="590"/>
    <x v="11"/>
    <x v="2"/>
    <x v="4"/>
    <x v="221"/>
    <x v="13"/>
  </r>
  <r>
    <x v="309"/>
    <x v="41"/>
    <x v="1990"/>
    <x v="9"/>
    <x v="590"/>
    <x v="11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  <r>
    <x v="310"/>
    <x v="41"/>
    <x v="1990"/>
    <x v="9"/>
    <x v="590"/>
    <x v="13"/>
    <x v="2"/>
    <x v="4"/>
    <x v="221"/>
    <x v="1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Daily Photo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B4:H3215" firstHeaderRow="1" firstDataRow="2" firstDataCol="2"/>
  <pivotFields count="12">
    <pivotField axis="axisRow" compact="0" showAll="0" outline="0">
      <items count="3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axis="axisRow" compact="0" showAll="0" outline="0">
      <items count="43">
        <item x="0"/>
        <item x="1"/>
        <item x="2"/>
        <item x="3"/>
        <item h="1"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h="1" x="32"/>
        <item h="1" x="33"/>
        <item h="1" x="34"/>
        <item x="35"/>
        <item x="36"/>
        <item x="37"/>
        <item x="38"/>
        <item x="39"/>
        <item x="40"/>
        <item x="41"/>
        <item t="default"/>
      </items>
    </pivotField>
    <pivotField dataField="1" compact="0" showAll="0" outline="0"/>
    <pivotField axis="axisCol" compact="0" showAll="0" outline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</pivotFields>
  <rowFields count="2">
    <field x="0"/>
    <field x="1"/>
  </rowFields>
  <colFields count="1">
    <field x="3"/>
  </colFields>
  <dataFields count="1">
    <dataField name="SUM of Amount" fld="2" subtotal="sum" numFmtId="167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ily Photo 2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K4:LH14" firstHeaderRow="1" firstDataRow="2" firstDataCol="1" rowPageCount="1" colPageCount="1"/>
  <pivotFields count="12">
    <pivotField axis="axisCol" compact="0" showAll="0" outline="0">
      <items count="3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axis="axisPage" compact="0" showAll="0" outline="0">
      <items count="43">
        <item h="1" x="17"/>
        <item x="32"/>
        <item h="1" x="9"/>
        <item h="1" x="20"/>
        <item h="1" x="12"/>
        <item h="1" x="38"/>
        <item h="1" x="28"/>
        <item h="1" x="1"/>
        <item h="1" x="37"/>
        <item h="1" x="36"/>
        <item h="1" x="16"/>
        <item h="1" x="23"/>
        <item h="1" x="27"/>
        <item h="1" x="24"/>
        <item h="1" x="0"/>
        <item h="1" x="8"/>
        <item h="1" x="19"/>
        <item h="1" x="13"/>
        <item h="1" x="3"/>
        <item h="1" x="31"/>
        <item h="1" x="26"/>
        <item h="1" x="10"/>
        <item h="1" x="30"/>
        <item h="1" x="18"/>
        <item h="1" x="11"/>
        <item h="1" x="15"/>
        <item h="1" x="22"/>
        <item h="1" x="25"/>
        <item h="1" x="5"/>
        <item h="1" x="2"/>
        <item h="1" x="40"/>
        <item h="1" x="21"/>
        <item h="1" x="39"/>
        <item h="1" x="29"/>
        <item h="1" x="6"/>
        <item h="1" x="14"/>
        <item h="1" x="7"/>
        <item h="1" x="35"/>
        <item h="1" x="33"/>
        <item h="1" x="34"/>
        <item h="1" x="4"/>
        <item h="1" x="41"/>
        <item t="default"/>
      </items>
    </pivotField>
    <pivotField dataField="1" compact="0" showAll="0" outline="0"/>
    <pivotField axis="axisRow" compact="0" showAll="0" outline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</pivotFields>
  <rowFields count="1">
    <field x="3"/>
  </rowFields>
  <colFields count="1">
    <field x="0"/>
  </colFields>
  <pageFields count="1">
    <pageField fld="1" hier="-1"/>
  </pageFields>
  <dataFields count="1">
    <dataField name="SUM of Amount" fld="2" subtotal="sum" numFmtId="167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ayment" cacheId="2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6:P48" firstHeaderRow="1" firstDataRow="2" firstDataCol="1" rowPageCount="1" colPageCount="1"/>
  <pivotFields count="10">
    <pivotField compact="0" showAll="0" outline="0"/>
    <pivotField axis="axisRow" compact="0" showAll="0" outline="0">
      <items count="43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h="1"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dataField="1" compact="0" showAll="0" outline="0"/>
    <pivotField compact="0" showAll="0" outline="0"/>
    <pivotField axis="axisPage" compact="0" showAll="0" outline="0">
      <items count="592">
        <item x="590"/>
        <item x="229"/>
        <item x="61"/>
        <item x="17"/>
        <item x="225"/>
        <item x="431"/>
        <item x="376"/>
        <item x="401"/>
        <item x="5"/>
        <item x="242"/>
        <item x="489"/>
        <item x="33"/>
        <item x="153"/>
        <item x="579"/>
        <item x="337"/>
        <item x="180"/>
        <item x="506"/>
        <item x="510"/>
        <item x="121"/>
        <item x="334"/>
        <item x="366"/>
        <item x="272"/>
        <item x="192"/>
        <item x="158"/>
        <item x="484"/>
        <item x="253"/>
        <item x="172"/>
        <item x="389"/>
        <item x="349"/>
        <item x="261"/>
        <item x="202"/>
        <item x="112"/>
        <item x="509"/>
        <item x="298"/>
        <item x="566"/>
        <item x="306"/>
        <item x="422"/>
        <item x="116"/>
        <item x="532"/>
        <item x="236"/>
        <item x="48"/>
        <item x="353"/>
        <item x="213"/>
        <item x="562"/>
        <item x="589"/>
        <item x="338"/>
        <item x="585"/>
        <item x="302"/>
        <item x="411"/>
        <item x="281"/>
        <item x="67"/>
        <item x="230"/>
        <item x="18"/>
        <item x="226"/>
        <item x="550"/>
        <item x="273"/>
        <item x="549"/>
        <item x="237"/>
        <item x="62"/>
        <item x="171"/>
        <item x="355"/>
        <item x="24"/>
        <item x="55"/>
        <item x="421"/>
        <item x="117"/>
        <item x="63"/>
        <item x="132"/>
        <item x="359"/>
        <item x="162"/>
        <item x="316"/>
        <item x="9"/>
        <item x="289"/>
        <item x="391"/>
        <item x="375"/>
        <item x="415"/>
        <item x="543"/>
        <item x="21"/>
        <item x="565"/>
        <item x="496"/>
        <item x="141"/>
        <item x="427"/>
        <item x="405"/>
        <item x="181"/>
        <item x="311"/>
        <item x="361"/>
        <item x="557"/>
        <item x="385"/>
        <item x="460"/>
        <item x="478"/>
        <item x="480"/>
        <item x="90"/>
        <item x="365"/>
        <item x="409"/>
        <item x="73"/>
        <item x="155"/>
        <item x="545"/>
        <item x="508"/>
        <item x="575"/>
        <item x="150"/>
        <item x="452"/>
        <item x="542"/>
        <item x="59"/>
        <item x="420"/>
        <item x="296"/>
        <item x="410"/>
        <item x="314"/>
        <item x="83"/>
        <item x="485"/>
        <item x="207"/>
        <item x="57"/>
        <item x="350"/>
        <item x="30"/>
        <item x="555"/>
        <item x="28"/>
        <item x="429"/>
        <item x="442"/>
        <item x="204"/>
        <item x="279"/>
        <item x="267"/>
        <item x="263"/>
        <item x="300"/>
        <item x="189"/>
        <item x="449"/>
        <item x="56"/>
        <item x="381"/>
        <item x="567"/>
        <item x="6"/>
        <item x="533"/>
        <item x="240"/>
        <item x="356"/>
        <item x="325"/>
        <item x="357"/>
        <item x="330"/>
        <item x="324"/>
        <item x="336"/>
        <item x="32"/>
        <item x="326"/>
        <item x="143"/>
        <item x="280"/>
        <item x="175"/>
        <item x="371"/>
        <item x="209"/>
        <item x="239"/>
        <item x="388"/>
        <item x="430"/>
        <item x="586"/>
        <item x="177"/>
        <item x="27"/>
        <item x="475"/>
        <item x="344"/>
        <item x="588"/>
        <item x="428"/>
        <item x="4"/>
        <item x="315"/>
        <item x="333"/>
        <item x="345"/>
        <item x="297"/>
        <item x="95"/>
        <item x="378"/>
        <item x="31"/>
        <item x="587"/>
        <item x="115"/>
        <item x="266"/>
        <item x="474"/>
        <item x="94"/>
        <item x="285"/>
        <item x="145"/>
        <item x="53"/>
        <item x="182"/>
        <item x="511"/>
        <item x="437"/>
        <item x="68"/>
        <item x="479"/>
        <item x="287"/>
        <item x="406"/>
        <item x="512"/>
        <item x="259"/>
        <item x="436"/>
        <item x="573"/>
        <item x="501"/>
        <item x="348"/>
        <item x="16"/>
        <item x="246"/>
        <item x="521"/>
        <item x="184"/>
        <item x="215"/>
        <item x="528"/>
        <item x="524"/>
        <item x="268"/>
        <item x="372"/>
        <item x="98"/>
        <item x="398"/>
        <item x="346"/>
        <item x="106"/>
        <item x="373"/>
        <item x="493"/>
        <item x="163"/>
        <item x="233"/>
        <item x="578"/>
        <item x="146"/>
        <item x="487"/>
        <item x="82"/>
        <item x="118"/>
        <item x="131"/>
        <item x="124"/>
        <item x="515"/>
        <item x="232"/>
        <item x="494"/>
        <item x="223"/>
        <item x="29"/>
        <item x="288"/>
        <item x="140"/>
        <item x="79"/>
        <item x="403"/>
        <item x="397"/>
        <item x="453"/>
        <item x="352"/>
        <item x="318"/>
        <item x="228"/>
        <item x="347"/>
        <item x="47"/>
        <item x="548"/>
        <item x="448"/>
        <item x="69"/>
        <item x="221"/>
        <item x="502"/>
        <item x="458"/>
        <item x="216"/>
        <item x="119"/>
        <item x="547"/>
        <item x="461"/>
        <item x="149"/>
        <item x="482"/>
        <item x="52"/>
        <item x="447"/>
        <item x="320"/>
        <item x="217"/>
        <item x="127"/>
        <item x="536"/>
        <item x="402"/>
        <item x="14"/>
        <item x="183"/>
        <item x="439"/>
        <item x="190"/>
        <item x="193"/>
        <item x="138"/>
        <item x="71"/>
        <item x="537"/>
        <item x="120"/>
        <item x="195"/>
        <item x="93"/>
        <item x="133"/>
        <item x="197"/>
        <item x="498"/>
        <item x="404"/>
        <item x="440"/>
        <item x="165"/>
        <item x="46"/>
        <item x="148"/>
        <item x="70"/>
        <item x="222"/>
        <item x="144"/>
        <item x="335"/>
        <item x="569"/>
        <item x="235"/>
        <item x="174"/>
        <item x="351"/>
        <item x="286"/>
        <item x="408"/>
        <item x="584"/>
        <item x="249"/>
        <item x="258"/>
        <item x="441"/>
        <item x="455"/>
        <item x="65"/>
        <item x="101"/>
        <item x="386"/>
        <item x="254"/>
        <item x="387"/>
        <item x="340"/>
        <item x="206"/>
        <item x="159"/>
        <item x="454"/>
        <item x="445"/>
        <item x="530"/>
        <item x="383"/>
        <item x="360"/>
        <item x="128"/>
        <item x="518"/>
        <item x="576"/>
        <item x="19"/>
        <item x="85"/>
        <item x="11"/>
        <item x="568"/>
        <item x="517"/>
        <item x="570"/>
        <item x="276"/>
        <item x="438"/>
        <item x="154"/>
        <item x="64"/>
        <item x="443"/>
        <item x="169"/>
        <item x="25"/>
        <item x="522"/>
        <item x="218"/>
        <item x="2"/>
        <item x="275"/>
        <item x="577"/>
        <item x="552"/>
        <item x="265"/>
        <item x="470"/>
        <item x="231"/>
        <item x="205"/>
        <item x="220"/>
        <item x="283"/>
        <item x="201"/>
        <item x="558"/>
        <item x="147"/>
        <item x="519"/>
        <item x="473"/>
        <item x="84"/>
        <item x="497"/>
        <item x="58"/>
        <item x="492"/>
        <item x="66"/>
        <item x="200"/>
        <item x="468"/>
        <item x="111"/>
        <item x="313"/>
        <item x="343"/>
        <item x="203"/>
        <item x="582"/>
        <item x="377"/>
        <item x="499"/>
        <item x="541"/>
        <item x="142"/>
        <item x="418"/>
        <item x="186"/>
        <item x="471"/>
        <item x="369"/>
        <item x="539"/>
        <item x="423"/>
        <item x="432"/>
        <item x="262"/>
        <item x="251"/>
        <item x="166"/>
        <item x="274"/>
        <item x="125"/>
        <item x="293"/>
        <item x="507"/>
        <item x="362"/>
        <item x="534"/>
        <item x="170"/>
        <item x="309"/>
        <item x="551"/>
        <item x="564"/>
        <item x="407"/>
        <item x="476"/>
        <item x="419"/>
        <item x="10"/>
        <item x="1"/>
        <item x="89"/>
        <item x="102"/>
        <item x="531"/>
        <item x="563"/>
        <item x="380"/>
        <item x="122"/>
        <item x="23"/>
        <item x="136"/>
        <item x="257"/>
        <item x="238"/>
        <item x="244"/>
        <item x="247"/>
        <item x="553"/>
        <item x="425"/>
        <item x="76"/>
        <item x="103"/>
        <item x="374"/>
        <item x="514"/>
        <item x="364"/>
        <item x="86"/>
        <item x="255"/>
        <item x="544"/>
        <item x="463"/>
        <item x="81"/>
        <item x="227"/>
        <item x="382"/>
        <item x="269"/>
        <item x="196"/>
        <item x="187"/>
        <item x="107"/>
        <item x="322"/>
        <item x="13"/>
        <item x="472"/>
        <item x="370"/>
        <item x="168"/>
        <item x="219"/>
        <item x="129"/>
        <item x="126"/>
        <item x="572"/>
        <item x="245"/>
        <item x="72"/>
        <item x="308"/>
        <item x="50"/>
        <item x="435"/>
        <item x="252"/>
        <item x="481"/>
        <item x="574"/>
        <item x="400"/>
        <item x="291"/>
        <item x="264"/>
        <item x="495"/>
        <item x="114"/>
        <item x="234"/>
        <item x="556"/>
        <item x="560"/>
        <item x="525"/>
        <item x="179"/>
        <item x="319"/>
        <item x="538"/>
        <item x="290"/>
        <item x="123"/>
        <item x="561"/>
        <item x="49"/>
        <item x="571"/>
        <item x="210"/>
        <item x="457"/>
        <item x="250"/>
        <item x="516"/>
        <item x="295"/>
        <item x="392"/>
        <item x="91"/>
        <item x="459"/>
        <item x="583"/>
        <item x="208"/>
        <item x="256"/>
        <item x="446"/>
        <item x="135"/>
        <item x="321"/>
        <item x="358"/>
        <item x="299"/>
        <item x="477"/>
        <item x="198"/>
        <item x="26"/>
        <item x="417"/>
        <item x="503"/>
        <item x="37"/>
        <item x="164"/>
        <item x="332"/>
        <item x="188"/>
        <item x="248"/>
        <item x="176"/>
        <item x="527"/>
        <item x="113"/>
        <item x="341"/>
        <item x="329"/>
        <item x="54"/>
        <item x="394"/>
        <item x="466"/>
        <item x="278"/>
        <item x="87"/>
        <item x="305"/>
        <item x="303"/>
        <item x="151"/>
        <item x="317"/>
        <item x="243"/>
        <item x="379"/>
        <item x="467"/>
        <item x="78"/>
        <item x="271"/>
        <item x="109"/>
        <item x="105"/>
        <item x="310"/>
        <item x="0"/>
        <item x="465"/>
        <item x="491"/>
        <item x="39"/>
        <item x="483"/>
        <item x="488"/>
        <item x="74"/>
        <item x="156"/>
        <item x="38"/>
        <item x="395"/>
        <item x="15"/>
        <item x="368"/>
        <item x="396"/>
        <item x="490"/>
        <item x="22"/>
        <item x="462"/>
        <item x="34"/>
        <item x="99"/>
        <item x="433"/>
        <item x="486"/>
        <item x="469"/>
        <item x="513"/>
        <item x="413"/>
        <item x="88"/>
        <item x="270"/>
        <item x="526"/>
        <item x="137"/>
        <item x="161"/>
        <item x="304"/>
        <item x="160"/>
        <item x="323"/>
        <item x="36"/>
        <item x="294"/>
        <item x="363"/>
        <item x="12"/>
        <item x="554"/>
        <item x="451"/>
        <item x="130"/>
        <item x="8"/>
        <item x="540"/>
        <item x="167"/>
        <item x="134"/>
        <item x="520"/>
        <item x="456"/>
        <item x="312"/>
        <item x="277"/>
        <item x="434"/>
        <item x="110"/>
        <item x="173"/>
        <item x="51"/>
        <item x="96"/>
        <item x="339"/>
        <item x="426"/>
        <item x="224"/>
        <item x="185"/>
        <item x="327"/>
        <item x="139"/>
        <item x="214"/>
        <item x="92"/>
        <item x="42"/>
        <item x="178"/>
        <item x="328"/>
        <item x="505"/>
        <item x="399"/>
        <item x="367"/>
        <item x="504"/>
        <item x="97"/>
        <item x="464"/>
        <item x="152"/>
        <item x="41"/>
        <item x="260"/>
        <item x="80"/>
        <item x="40"/>
        <item x="43"/>
        <item x="342"/>
        <item x="212"/>
        <item x="20"/>
        <item x="60"/>
        <item x="199"/>
        <item x="44"/>
        <item x="104"/>
        <item x="292"/>
        <item x="45"/>
        <item x="3"/>
        <item x="157"/>
        <item x="414"/>
        <item x="100"/>
        <item x="75"/>
        <item x="384"/>
        <item x="108"/>
        <item x="7"/>
        <item x="35"/>
        <item x="77"/>
        <item x="191"/>
        <item x="194"/>
        <item x="211"/>
        <item x="241"/>
        <item x="282"/>
        <item x="284"/>
        <item x="301"/>
        <item x="307"/>
        <item x="331"/>
        <item x="354"/>
        <item x="390"/>
        <item x="393"/>
        <item x="412"/>
        <item x="416"/>
        <item x="424"/>
        <item x="444"/>
        <item x="450"/>
        <item x="500"/>
        <item x="523"/>
        <item x="529"/>
        <item x="535"/>
        <item x="546"/>
        <item x="559"/>
        <item x="580"/>
        <item x="581"/>
        <item t="default"/>
      </items>
    </pivotField>
    <pivotField axis="axisCol" compact="0" showAll="0" outline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h="1" x="11"/>
        <item t="default"/>
      </items>
    </pivotField>
    <pivotField compact="0" showAll="0" outline="0"/>
    <pivotField compact="0" showAll="0" outline="0"/>
    <pivotField compact="0" showAll="0" outline="0"/>
    <pivotField compact="0" showAll="0" outline="0"/>
  </pivotFields>
  <rowFields count="1">
    <field x="1"/>
  </rowFields>
  <colFields count="1">
    <field x="5"/>
  </colFields>
  <pageFields count="1">
    <pageField fld="4" hier="-1"/>
  </pageFields>
  <dataFields count="1">
    <dataField name="SUM of Amount" fld="2" subtotal="sum" numFmtId="167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ayment 2" cacheId="2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55:M133" firstHeaderRow="1" firstDataRow="2" firstDataCol="1" rowPageCount="1" colPageCount="1"/>
  <pivotFields count="10">
    <pivotField compact="0" showAll="0" outline="0"/>
    <pivotField axis="axisPage" compact="0" showAll="0" outline="0">
      <items count="43">
        <item h="1" x="17"/>
        <item h="1" x="32"/>
        <item h="1" x="9"/>
        <item h="1" x="20"/>
        <item h="1" x="12"/>
        <item h="1" x="38"/>
        <item h="1" x="28"/>
        <item h="1" x="1"/>
        <item h="1" x="37"/>
        <item h="1" x="36"/>
        <item h="1" x="16"/>
        <item h="1" x="23"/>
        <item h="1" x="27"/>
        <item h="1" x="24"/>
        <item x="0"/>
        <item h="1" x="8"/>
        <item h="1" x="19"/>
        <item h="1" x="13"/>
        <item h="1" x="3"/>
        <item h="1" x="31"/>
        <item h="1" x="26"/>
        <item h="1" x="10"/>
        <item h="1" x="30"/>
        <item h="1" x="18"/>
        <item h="1" x="11"/>
        <item h="1" x="15"/>
        <item h="1" x="22"/>
        <item h="1" x="25"/>
        <item h="1" x="5"/>
        <item h="1" x="2"/>
        <item h="1" x="40"/>
        <item h="1" x="21"/>
        <item h="1" x="39"/>
        <item h="1" x="29"/>
        <item h="1" x="6"/>
        <item h="1" x="14"/>
        <item h="1" x="7"/>
        <item h="1" x="35"/>
        <item h="1" x="33"/>
        <item h="1" x="34"/>
        <item h="1" x="4"/>
        <item h="1" x="41"/>
        <item t="default"/>
      </items>
    </pivotField>
    <pivotField dataField="1" compact="0" showAll="0" outline="0"/>
    <pivotField compact="0" showAll="0" outline="0"/>
    <pivotField axis="axisRow" compact="0" showAll="0" outline="0">
      <items count="5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t="default"/>
      </items>
    </pivotField>
    <pivotField axis="axisCol" compact="0" showAll="0" outline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h="1" x="11"/>
        <item t="default"/>
      </items>
    </pivotField>
    <pivotField compact="0" showAll="0" outline="0"/>
    <pivotField compact="0" showAll="0" outline="0"/>
    <pivotField compact="0" showAll="0" outline="0"/>
    <pivotField compact="0" showAll="0" outline="0"/>
  </pivotFields>
  <rowFields count="1">
    <field x="4"/>
  </rowFields>
  <colFields count="1">
    <field x="5"/>
  </colFields>
  <pageFields count="1">
    <pageField fld="1" hier="-1"/>
  </pageFields>
  <dataFields count="1">
    <dataField name="SUM of Amount" fld="2" subtotal="sum" numFmtId="167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Summary" displayName="Summary" ref="A3:M202" headerRowCount="1" totalsRowCount="0" totalsRowShown="0">
  <autoFilter ref="A3:M202"/>
  <tableColumns count="13">
    <tableColumn id="1" name="Date"/>
    <tableColumn id="2" name="Total Sale"/>
    <tableColumn id="3" name="Total Expense"/>
    <tableColumn id="4" name="Cash Expense"/>
    <tableColumn id="5" name="Bank_Cash_Expenses"/>
    <tableColumn id="6" name="Bank_Expenses"/>
    <tableColumn id="7" name="Gross "/>
    <tableColumn id="8" name="Opening Cash"/>
    <tableColumn id="9" name="Cash Sales"/>
    <tableColumn id="10" name="Remaining Cash (Bank_Cash)"/>
    <tableColumn id="11" name="Bank Cash To Give"/>
    <tableColumn id="12" name="Cash Shortage"/>
    <tableColumn id="13" name="ID"/>
  </tableColumns>
</table>
</file>

<file path=xl/tables/table2.xml><?xml version="1.0" encoding="utf-8"?>
<table xmlns="http://schemas.openxmlformats.org/spreadsheetml/2006/main" id="2" name="Table1" displayName="Table1" ref="A1:L5418" headerRowCount="1" totalsRowCount="0" totalsRowShown="0">
  <tableColumns count="12">
    <tableColumn id="1" name="Date"/>
    <tableColumn id="2" name="Item/Description"/>
    <tableColumn id="3" name="Amount"/>
    <tableColumn id="4" name="Mode"/>
    <tableColumn id="5" name="Remarks/Vendors"/>
    <tableColumn id="6" name="Month"/>
    <tableColumn id="7" name="Paid/Unpaid"/>
    <tableColumn id="8" name="Paid By"/>
    <tableColumn id="9" name="Payment Date"/>
    <tableColumn id="10" name="Category"/>
    <tableColumn id="11" name="ID"/>
    <tableColumn id="12" name="Adv Check"/>
  </tableColumns>
</table>
</file>

<file path=xl/tables/table3.xml><?xml version="1.0" encoding="utf-8"?>
<table xmlns="http://schemas.openxmlformats.org/spreadsheetml/2006/main" id="3" name="Table2" displayName="Table2" ref="P61:P426" headerRowCount="1" totalsRowCount="0" totalsRowShown="0">
  <tableColumns count="1">
    <tableColumn id="1" name="Column 1"/>
  </tableColumns>
</table>
</file>

<file path=xl/tables/table4.xml><?xml version="1.0" encoding="utf-8"?>
<table xmlns="http://schemas.openxmlformats.org/spreadsheetml/2006/main" id="4" name="Table3" displayName="Table3" ref="D1:G42" headerRowCount="1" totalsRowCount="0" totalsRowShown="0">
  <tableColumns count="4">
    <tableColumn id="1" name="Item/Description"/>
    <tableColumn id="2" name="Grouping"/>
    <tableColumn id="3" name="Type"/>
    <tableColumn id="4" name="ID"/>
  </tableColumns>
</table>
</file>

<file path=xl/tables/table5.xml><?xml version="1.0" encoding="utf-8"?>
<table xmlns="http://schemas.openxmlformats.org/spreadsheetml/2006/main" id="5" name="Table_1" displayName="Table_1" ref="T8:T3137" headerRowCount="0" totalsRowCount="0" totalsRowShown="0">
  <tableColumns count="1">
    <tableColumn id="1" name="Column1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<Relationship Id="rId2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4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4.14"/>
    <col collapsed="false" customWidth="true" hidden="false" outlineLevel="0" max="2" min="2" style="0" width="37.57"/>
    <col collapsed="false" customWidth="true" hidden="false" outlineLevel="0" max="3" min="3" style="0" width="17"/>
    <col collapsed="false" customWidth="true" hidden="false" outlineLevel="0" max="4" min="4" style="0" width="16.43"/>
    <col collapsed="false" customWidth="true" hidden="false" outlineLevel="0" max="5" min="5" style="0" width="26"/>
    <col collapsed="false" customWidth="true" hidden="false" outlineLevel="0" max="6" min="6" style="0" width="12.29"/>
    <col collapsed="false" customWidth="true" hidden="false" outlineLevel="0" max="7" min="7" style="0" width="21.57"/>
    <col collapsed="false" customWidth="true" hidden="false" outlineLevel="0" max="8" min="8" style="0" width="17.14"/>
    <col collapsed="false" customWidth="true" hidden="false" outlineLevel="0" max="9" min="9" style="0" width="23.15"/>
    <col collapsed="false" customWidth="true" hidden="false" outlineLevel="0" max="10" min="10" style="0" width="17.86"/>
    <col collapsed="false" customWidth="true" hidden="false" outlineLevel="0" max="21" min="11" style="0" width="8.71"/>
  </cols>
  <sheetData>
    <row r="1" customFormat="false" ht="22.5" hidden="false" customHeight="tru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6"/>
      <c r="N1" s="6"/>
      <c r="O1" s="6"/>
      <c r="P1" s="6"/>
      <c r="Q1" s="6"/>
      <c r="R1" s="6"/>
      <c r="S1" s="6"/>
      <c r="T1" s="6"/>
      <c r="U1" s="6"/>
    </row>
    <row r="2" customFormat="false" ht="22.5" hidden="false" customHeight="true" outlineLevel="0" collapsed="false">
      <c r="A2" s="7" t="n">
        <v>45679</v>
      </c>
      <c r="B2" s="8" t="s">
        <v>12</v>
      </c>
      <c r="C2" s="9" t="n">
        <v>19470</v>
      </c>
      <c r="D2" s="8" t="s">
        <v>13</v>
      </c>
      <c r="E2" s="10"/>
      <c r="F2" s="8" t="str">
        <f aca="false">TEXT(A2,"MM-YYYY")</f>
        <v>01-2025</v>
      </c>
      <c r="G2" s="8" t="s">
        <v>14</v>
      </c>
      <c r="H2" s="8" t="s">
        <v>15</v>
      </c>
      <c r="I2" s="7"/>
      <c r="J2" s="8" t="str">
        <f aca="false">VLOOKUP(B2,Table3[#All],2,0)</f>
        <v>Fixed Maintance</v>
      </c>
      <c r="K2" s="8" t="str">
        <f aca="false">TEXT(ROW(), "0000")</f>
        <v>0002</v>
      </c>
      <c r="L2" s="8"/>
      <c r="M2" s="11" t="s">
        <v>14</v>
      </c>
    </row>
    <row r="3" customFormat="false" ht="22.5" hidden="false" customHeight="true" outlineLevel="0" collapsed="false">
      <c r="A3" s="7" t="n">
        <v>45679</v>
      </c>
      <c r="B3" s="8" t="s">
        <v>16</v>
      </c>
      <c r="C3" s="9" t="n">
        <v>19422</v>
      </c>
      <c r="D3" s="8" t="s">
        <v>17</v>
      </c>
      <c r="E3" s="10"/>
      <c r="F3" s="8" t="str">
        <f aca="false">TEXT(A3,"MM-YYYY")</f>
        <v>01-2025</v>
      </c>
      <c r="G3" s="8"/>
      <c r="H3" s="8"/>
      <c r="I3" s="7"/>
      <c r="J3" s="8" t="str">
        <f aca="false">VLOOKUP(B3,Table3[#All],2,0)</f>
        <v>Sales</v>
      </c>
      <c r="K3" s="8" t="str">
        <f aca="false">TEXT(ROW(), "0000")</f>
        <v>0003</v>
      </c>
      <c r="L3" s="8"/>
      <c r="M3" s="11" t="s">
        <v>18</v>
      </c>
    </row>
    <row r="4" customFormat="false" ht="22.5" hidden="false" customHeight="true" outlineLevel="0" collapsed="false">
      <c r="A4" s="7" t="n">
        <v>45679</v>
      </c>
      <c r="B4" s="8" t="s">
        <v>19</v>
      </c>
      <c r="C4" s="9" t="n">
        <v>5627</v>
      </c>
      <c r="D4" s="8" t="s">
        <v>13</v>
      </c>
      <c r="E4" s="8" t="s">
        <v>20</v>
      </c>
      <c r="F4" s="8" t="str">
        <f aca="false">TEXT(A4,"MM-YYYY")</f>
        <v>01-2025</v>
      </c>
      <c r="G4" s="8" t="s">
        <v>14</v>
      </c>
      <c r="H4" s="8" t="s">
        <v>15</v>
      </c>
      <c r="I4" s="7"/>
      <c r="J4" s="8" t="str">
        <f aca="false">VLOOKUP(B4,Table3[#All],2,0)</f>
        <v>Inventory</v>
      </c>
      <c r="K4" s="8" t="str">
        <f aca="false">TEXT(ROW(), "0000")</f>
        <v>0004</v>
      </c>
      <c r="L4" s="8"/>
    </row>
    <row r="5" customFormat="false" ht="22.5" hidden="false" customHeight="true" outlineLevel="0" collapsed="false">
      <c r="A5" s="7" t="n">
        <v>45679</v>
      </c>
      <c r="B5" s="8" t="s">
        <v>16</v>
      </c>
      <c r="C5" s="9" t="n">
        <v>4759</v>
      </c>
      <c r="D5" s="8" t="s">
        <v>21</v>
      </c>
      <c r="E5" s="10"/>
      <c r="F5" s="8" t="str">
        <f aca="false">TEXT(A5,"MM-YYYY")</f>
        <v>01-2025</v>
      </c>
      <c r="G5" s="8"/>
      <c r="H5" s="8"/>
      <c r="I5" s="7"/>
      <c r="J5" s="8" t="str">
        <f aca="false">VLOOKUP(B5,Table3[#All],2,0)</f>
        <v>Sales</v>
      </c>
      <c r="K5" s="8" t="str">
        <f aca="false">TEXT(ROW(), "0000")</f>
        <v>0005</v>
      </c>
      <c r="L5" s="8"/>
    </row>
    <row r="6" customFormat="false" ht="22.5" hidden="false" customHeight="true" outlineLevel="0" collapsed="false">
      <c r="A6" s="7" t="n">
        <v>45679</v>
      </c>
      <c r="B6" s="8" t="s">
        <v>22</v>
      </c>
      <c r="C6" s="9" t="n">
        <v>2801</v>
      </c>
      <c r="D6" s="8" t="s">
        <v>13</v>
      </c>
      <c r="E6" s="8" t="s">
        <v>23</v>
      </c>
      <c r="F6" s="8" t="str">
        <f aca="false">TEXT(A6,"MM-YYYY")</f>
        <v>01-2025</v>
      </c>
      <c r="G6" s="8" t="s">
        <v>14</v>
      </c>
      <c r="H6" s="8" t="s">
        <v>15</v>
      </c>
      <c r="I6" s="7"/>
      <c r="J6" s="8" t="str">
        <f aca="false">VLOOKUP(B6,Table3[#All],2,0)</f>
        <v>Inventory</v>
      </c>
      <c r="K6" s="8" t="str">
        <f aca="false">TEXT(ROW(), "0000")</f>
        <v>0006</v>
      </c>
      <c r="L6" s="8"/>
    </row>
    <row r="7" customFormat="false" ht="22.5" hidden="false" customHeight="true" outlineLevel="0" collapsed="false">
      <c r="A7" s="7" t="n">
        <v>45679</v>
      </c>
      <c r="B7" s="8" t="s">
        <v>16</v>
      </c>
      <c r="C7" s="9" t="n">
        <v>2183</v>
      </c>
      <c r="D7" s="8" t="s">
        <v>24</v>
      </c>
      <c r="E7" s="10"/>
      <c r="F7" s="8" t="str">
        <f aca="false">TEXT(A7,"MM-YYYY")</f>
        <v>01-2025</v>
      </c>
      <c r="G7" s="8"/>
      <c r="H7" s="8"/>
      <c r="I7" s="7"/>
      <c r="J7" s="8" t="str">
        <f aca="false">VLOOKUP(B7,Table3[#All],2,0)</f>
        <v>Sales</v>
      </c>
      <c r="K7" s="8" t="str">
        <f aca="false">TEXT(ROW(), "0000")</f>
        <v>0007</v>
      </c>
      <c r="L7" s="8"/>
    </row>
    <row r="8" customFormat="false" ht="22.5" hidden="false" customHeight="true" outlineLevel="0" collapsed="false">
      <c r="A8" s="7" t="n">
        <v>45679</v>
      </c>
      <c r="B8" s="8" t="s">
        <v>25</v>
      </c>
      <c r="C8" s="9" t="n">
        <v>1617</v>
      </c>
      <c r="D8" s="8" t="s">
        <v>13</v>
      </c>
      <c r="E8" s="8" t="s">
        <v>26</v>
      </c>
      <c r="F8" s="8" t="str">
        <f aca="false">TEXT(A8,"MM-YYYY")</f>
        <v>01-2025</v>
      </c>
      <c r="G8" s="8" t="s">
        <v>14</v>
      </c>
      <c r="H8" s="8" t="s">
        <v>15</v>
      </c>
      <c r="I8" s="7"/>
      <c r="J8" s="8" t="str">
        <f aca="false">VLOOKUP(B8,Table3[#All],2,0)</f>
        <v>Inventory</v>
      </c>
      <c r="K8" s="8" t="str">
        <f aca="false">TEXT(ROW(), "0000")</f>
        <v>0008</v>
      </c>
      <c r="L8" s="8"/>
    </row>
    <row r="9" customFormat="false" ht="22.5" hidden="false" customHeight="true" outlineLevel="0" collapsed="false">
      <c r="A9" s="7" t="n">
        <v>45679</v>
      </c>
      <c r="B9" s="8" t="s">
        <v>16</v>
      </c>
      <c r="C9" s="9" t="n">
        <v>1314</v>
      </c>
      <c r="D9" s="8" t="s">
        <v>27</v>
      </c>
      <c r="E9" s="10"/>
      <c r="F9" s="8" t="str">
        <f aca="false">TEXT(A9,"MM-YYYY")</f>
        <v>01-2025</v>
      </c>
      <c r="G9" s="8"/>
      <c r="H9" s="8"/>
      <c r="I9" s="7"/>
      <c r="J9" s="8" t="str">
        <f aca="false">VLOOKUP(B9,Table3[#All],2,0)</f>
        <v>Sales</v>
      </c>
      <c r="K9" s="8" t="str">
        <f aca="false">TEXT(ROW(), "0000")</f>
        <v>0009</v>
      </c>
      <c r="L9" s="8"/>
    </row>
    <row r="10" customFormat="false" ht="22.5" hidden="false" customHeight="true" outlineLevel="0" collapsed="false">
      <c r="A10" s="7" t="n">
        <v>45679</v>
      </c>
      <c r="B10" s="8" t="s">
        <v>25</v>
      </c>
      <c r="C10" s="9" t="n">
        <v>825</v>
      </c>
      <c r="D10" s="8" t="s">
        <v>21</v>
      </c>
      <c r="E10" s="8" t="s">
        <v>28</v>
      </c>
      <c r="F10" s="8" t="str">
        <f aca="false">TEXT(A10,"MM-YYYY")</f>
        <v>01-2025</v>
      </c>
      <c r="G10" s="8" t="s">
        <v>14</v>
      </c>
      <c r="H10" s="8" t="s">
        <v>15</v>
      </c>
      <c r="I10" s="7"/>
      <c r="J10" s="8" t="str">
        <f aca="false">VLOOKUP(B10,Table3[#All],2,0)</f>
        <v>Inventory</v>
      </c>
      <c r="K10" s="8" t="str">
        <f aca="false">TEXT(ROW(), "0000")</f>
        <v>0010</v>
      </c>
      <c r="L10" s="8"/>
    </row>
    <row r="11" customFormat="false" ht="22.5" hidden="false" customHeight="true" outlineLevel="0" collapsed="false">
      <c r="A11" s="7" t="n">
        <v>45679</v>
      </c>
      <c r="B11" s="8" t="s">
        <v>29</v>
      </c>
      <c r="C11" s="9" t="n">
        <v>469</v>
      </c>
      <c r="D11" s="8" t="s">
        <v>13</v>
      </c>
      <c r="E11" s="8" t="s">
        <v>30</v>
      </c>
      <c r="F11" s="8" t="str">
        <f aca="false">TEXT(A11,"MM-YYYY")</f>
        <v>01-2025</v>
      </c>
      <c r="G11" s="8" t="s">
        <v>14</v>
      </c>
      <c r="H11" s="8" t="s">
        <v>15</v>
      </c>
      <c r="I11" s="7"/>
      <c r="J11" s="8" t="str">
        <f aca="false">VLOOKUP(B11,Table3[#All],2,0)</f>
        <v>Inventory</v>
      </c>
      <c r="K11" s="8" t="str">
        <f aca="false">TEXT(ROW(), "0000")</f>
        <v>0011</v>
      </c>
      <c r="L11" s="8"/>
    </row>
    <row r="12" customFormat="false" ht="22.5" hidden="false" customHeight="true" outlineLevel="0" collapsed="false">
      <c r="A12" s="7" t="n">
        <v>45679</v>
      </c>
      <c r="B12" s="8" t="s">
        <v>31</v>
      </c>
      <c r="C12" s="9" t="n">
        <v>400</v>
      </c>
      <c r="D12" s="8" t="s">
        <v>21</v>
      </c>
      <c r="E12" s="10"/>
      <c r="F12" s="8" t="str">
        <f aca="false">TEXT(A12,"MM-YYYY")</f>
        <v>01-2025</v>
      </c>
      <c r="G12" s="8" t="s">
        <v>14</v>
      </c>
      <c r="H12" s="8" t="s">
        <v>15</v>
      </c>
      <c r="I12" s="7"/>
      <c r="J12" s="8" t="str">
        <f aca="false">VLOOKUP(B12,Table3[#All],2,0)</f>
        <v>Bike Maintance</v>
      </c>
      <c r="K12" s="8" t="str">
        <f aca="false">TEXT(ROW(), "0000")</f>
        <v>0012</v>
      </c>
      <c r="L12" s="8"/>
    </row>
    <row r="13" customFormat="false" ht="22.5" hidden="false" customHeight="true" outlineLevel="0" collapsed="false">
      <c r="A13" s="7" t="n">
        <v>45679</v>
      </c>
      <c r="B13" s="8" t="s">
        <v>32</v>
      </c>
      <c r="C13" s="9" t="n">
        <v>325</v>
      </c>
      <c r="D13" s="8" t="s">
        <v>21</v>
      </c>
      <c r="E13" s="10"/>
      <c r="F13" s="8" t="str">
        <f aca="false">TEXT(A13,"MM-YYYY")</f>
        <v>01-2025</v>
      </c>
      <c r="G13" s="8" t="s">
        <v>14</v>
      </c>
      <c r="H13" s="8" t="s">
        <v>15</v>
      </c>
      <c r="I13" s="7"/>
      <c r="J13" s="8" t="str">
        <f aca="false">VLOOKUP(B13,Table3[#All],2,0)</f>
        <v>Grocery</v>
      </c>
      <c r="K13" s="8" t="str">
        <f aca="false">TEXT(ROW(), "0000")</f>
        <v>0013</v>
      </c>
      <c r="L13" s="8"/>
    </row>
    <row r="14" customFormat="false" ht="22.5" hidden="false" customHeight="true" outlineLevel="0" collapsed="false">
      <c r="A14" s="7" t="n">
        <v>45679</v>
      </c>
      <c r="B14" s="8" t="s">
        <v>16</v>
      </c>
      <c r="C14" s="9" t="n">
        <v>240</v>
      </c>
      <c r="D14" s="8" t="s">
        <v>33</v>
      </c>
      <c r="E14" s="10"/>
      <c r="F14" s="8" t="str">
        <f aca="false">TEXT(A14,"MM-YYYY")</f>
        <v>01-2025</v>
      </c>
      <c r="G14" s="8"/>
      <c r="H14" s="8"/>
      <c r="I14" s="7"/>
      <c r="J14" s="8" t="str">
        <f aca="false">VLOOKUP(B14,Table3[#All],2,0)</f>
        <v>Sales</v>
      </c>
      <c r="K14" s="8" t="str">
        <f aca="false">TEXT(ROW(), "0000")</f>
        <v>0014</v>
      </c>
      <c r="L14" s="8"/>
    </row>
    <row r="15" customFormat="false" ht="22.5" hidden="false" customHeight="true" outlineLevel="0" collapsed="false">
      <c r="A15" s="7" t="n">
        <v>45679</v>
      </c>
      <c r="B15" s="8" t="s">
        <v>34</v>
      </c>
      <c r="C15" s="9" t="n">
        <v>129</v>
      </c>
      <c r="D15" s="8" t="s">
        <v>21</v>
      </c>
      <c r="E15" s="10"/>
      <c r="F15" s="8" t="str">
        <f aca="false">TEXT(A15,"MM-YYYY")</f>
        <v>01-2025</v>
      </c>
      <c r="G15" s="8" t="s">
        <v>14</v>
      </c>
      <c r="H15" s="8" t="s">
        <v>15</v>
      </c>
      <c r="I15" s="7"/>
      <c r="J15" s="8" t="str">
        <f aca="false">VLOOKUP(B15,Table3[#All],2,0)</f>
        <v>Staff Expenses</v>
      </c>
      <c r="K15" s="8" t="str">
        <f aca="false">TEXT(ROW(), "0000")</f>
        <v>0015</v>
      </c>
      <c r="L15" s="8"/>
    </row>
    <row r="16" customFormat="false" ht="22.5" hidden="false" customHeight="true" outlineLevel="0" collapsed="false">
      <c r="A16" s="7" t="n">
        <v>45679</v>
      </c>
      <c r="B16" s="8" t="s">
        <v>35</v>
      </c>
      <c r="C16" s="9" t="n">
        <v>100</v>
      </c>
      <c r="D16" s="8" t="s">
        <v>21</v>
      </c>
      <c r="E16" s="10"/>
      <c r="F16" s="8" t="str">
        <f aca="false">TEXT(A16,"MM-YYYY")</f>
        <v>01-2025</v>
      </c>
      <c r="G16" s="8" t="s">
        <v>14</v>
      </c>
      <c r="H16" s="8" t="s">
        <v>15</v>
      </c>
      <c r="I16" s="7"/>
      <c r="J16" s="8" t="str">
        <f aca="false">VLOOKUP(B16,Table3[#All],2,0)</f>
        <v>Inventory</v>
      </c>
      <c r="K16" s="8" t="str">
        <f aca="false">TEXT(ROW(), "0000")</f>
        <v>0016</v>
      </c>
      <c r="L16" s="8"/>
    </row>
    <row r="17" customFormat="false" ht="22.5" hidden="false" customHeight="true" outlineLevel="0" collapsed="false">
      <c r="A17" s="7" t="n">
        <v>45679</v>
      </c>
      <c r="B17" s="8" t="s">
        <v>29</v>
      </c>
      <c r="C17" s="9" t="n">
        <v>90</v>
      </c>
      <c r="D17" s="8" t="s">
        <v>21</v>
      </c>
      <c r="E17" s="10"/>
      <c r="F17" s="8" t="str">
        <f aca="false">TEXT(A17,"MM-YYYY")</f>
        <v>01-2025</v>
      </c>
      <c r="G17" s="8" t="s">
        <v>14</v>
      </c>
      <c r="H17" s="8" t="s">
        <v>15</v>
      </c>
      <c r="I17" s="7"/>
      <c r="J17" s="8" t="str">
        <f aca="false">VLOOKUP(B17,Table3[#All],2,0)</f>
        <v>Inventory</v>
      </c>
      <c r="K17" s="8" t="str">
        <f aca="false">TEXT(ROW(), "0000")</f>
        <v>0017</v>
      </c>
      <c r="L17" s="8"/>
    </row>
    <row r="18" customFormat="false" ht="22.5" hidden="false" customHeight="true" outlineLevel="0" collapsed="false">
      <c r="A18" s="7" t="n">
        <v>45679</v>
      </c>
      <c r="B18" s="8" t="s">
        <v>36</v>
      </c>
      <c r="C18" s="9" t="n">
        <v>60</v>
      </c>
      <c r="D18" s="8" t="s">
        <v>21</v>
      </c>
      <c r="E18" s="10"/>
      <c r="F18" s="8" t="str">
        <f aca="false">TEXT(A18,"MM-YYYY")</f>
        <v>01-2025</v>
      </c>
      <c r="G18" s="8" t="s">
        <v>14</v>
      </c>
      <c r="H18" s="8" t="s">
        <v>15</v>
      </c>
      <c r="I18" s="7"/>
      <c r="J18" s="8" t="str">
        <f aca="false">VLOOKUP(B18,Table3[#All],2,0)</f>
        <v>Maintance</v>
      </c>
      <c r="K18" s="8" t="str">
        <f aca="false">TEXT(ROW(), "0000")</f>
        <v>0018</v>
      </c>
      <c r="L18" s="8"/>
    </row>
    <row r="19" customFormat="false" ht="22.5" hidden="false" customHeight="true" outlineLevel="0" collapsed="false">
      <c r="A19" s="7" t="n">
        <v>45679</v>
      </c>
      <c r="B19" s="8" t="s">
        <v>25</v>
      </c>
      <c r="C19" s="9" t="n">
        <v>30</v>
      </c>
      <c r="D19" s="8" t="s">
        <v>21</v>
      </c>
      <c r="E19" s="10"/>
      <c r="F19" s="8" t="str">
        <f aca="false">TEXT(A19,"MM-YYYY")</f>
        <v>01-2025</v>
      </c>
      <c r="G19" s="8" t="s">
        <v>14</v>
      </c>
      <c r="H19" s="8" t="s">
        <v>15</v>
      </c>
      <c r="I19" s="7"/>
      <c r="J19" s="8" t="str">
        <f aca="false">VLOOKUP(B19,Table3[#All],2,0)</f>
        <v>Inventory</v>
      </c>
      <c r="K19" s="8" t="str">
        <f aca="false">TEXT(ROW(), "0000")</f>
        <v>0019</v>
      </c>
      <c r="L19" s="8"/>
    </row>
    <row r="20" customFormat="false" ht="22.5" hidden="false" customHeight="true" outlineLevel="0" collapsed="false">
      <c r="A20" s="7" t="n">
        <v>45679</v>
      </c>
      <c r="B20" s="8" t="s">
        <v>37</v>
      </c>
      <c r="C20" s="9" t="n">
        <v>0</v>
      </c>
      <c r="D20" s="8" t="s">
        <v>21</v>
      </c>
      <c r="E20" s="10"/>
      <c r="F20" s="8" t="str">
        <f aca="false">TEXT(A20,"MM-YYYY")</f>
        <v>01-2025</v>
      </c>
      <c r="G20" s="8" t="s">
        <v>14</v>
      </c>
      <c r="H20" s="8" t="s">
        <v>15</v>
      </c>
      <c r="I20" s="7"/>
      <c r="J20" s="8" t="str">
        <f aca="false">VLOOKUP(B20,Table3[#All],2,0)</f>
        <v>Maintance</v>
      </c>
      <c r="K20" s="8" t="str">
        <f aca="false">TEXT(ROW(), "0000")</f>
        <v>0020</v>
      </c>
      <c r="L20" s="8"/>
    </row>
    <row r="21" customFormat="false" ht="15.75" hidden="false" customHeight="true" outlineLevel="0" collapsed="false">
      <c r="A21" s="7" t="n">
        <v>45680</v>
      </c>
      <c r="B21" s="8" t="s">
        <v>16</v>
      </c>
      <c r="C21" s="9" t="n">
        <v>10553</v>
      </c>
      <c r="D21" s="8" t="s">
        <v>17</v>
      </c>
      <c r="E21" s="10"/>
      <c r="F21" s="8" t="str">
        <f aca="false">TEXT(A21,"MM-YYYY")</f>
        <v>01-2025</v>
      </c>
      <c r="G21" s="8"/>
      <c r="H21" s="8"/>
      <c r="I21" s="7"/>
      <c r="J21" s="8" t="str">
        <f aca="false">VLOOKUP(B21,Table3[#All],2,0)</f>
        <v>Sales</v>
      </c>
      <c r="K21" s="8" t="str">
        <f aca="false">TEXT(ROW(), "0000")</f>
        <v>0021</v>
      </c>
      <c r="L21" s="8"/>
    </row>
    <row r="22" customFormat="false" ht="15.75" hidden="false" customHeight="true" outlineLevel="0" collapsed="false">
      <c r="A22" s="7" t="n">
        <v>45680</v>
      </c>
      <c r="B22" s="8" t="s">
        <v>19</v>
      </c>
      <c r="C22" s="9" t="n">
        <v>6577</v>
      </c>
      <c r="D22" s="8" t="s">
        <v>13</v>
      </c>
      <c r="E22" s="8" t="s">
        <v>38</v>
      </c>
      <c r="F22" s="8" t="str">
        <f aca="false">TEXT(A22,"MM-YYYY")</f>
        <v>01-2025</v>
      </c>
      <c r="G22" s="8" t="s">
        <v>14</v>
      </c>
      <c r="H22" s="8" t="s">
        <v>15</v>
      </c>
      <c r="I22" s="7"/>
      <c r="J22" s="8" t="str">
        <f aca="false">VLOOKUP(B22,Table3[#All],2,0)</f>
        <v>Inventory</v>
      </c>
      <c r="K22" s="8" t="str">
        <f aca="false">TEXT(ROW(), "0000")</f>
        <v>0022</v>
      </c>
      <c r="L22" s="8"/>
    </row>
    <row r="23" customFormat="false" ht="15.75" hidden="false" customHeight="true" outlineLevel="0" collapsed="false">
      <c r="A23" s="7" t="n">
        <v>45680</v>
      </c>
      <c r="B23" s="8" t="s">
        <v>22</v>
      </c>
      <c r="C23" s="9" t="n">
        <v>2540</v>
      </c>
      <c r="D23" s="8" t="s">
        <v>13</v>
      </c>
      <c r="E23" s="10"/>
      <c r="F23" s="8" t="str">
        <f aca="false">TEXT(A23,"MM-YYYY")</f>
        <v>01-2025</v>
      </c>
      <c r="G23" s="8" t="s">
        <v>14</v>
      </c>
      <c r="H23" s="8" t="s">
        <v>15</v>
      </c>
      <c r="I23" s="7"/>
      <c r="J23" s="8" t="str">
        <f aca="false">VLOOKUP(B23,Table3[#All],2,0)</f>
        <v>Inventory</v>
      </c>
      <c r="K23" s="8" t="str">
        <f aca="false">TEXT(ROW(), "0000")</f>
        <v>0023</v>
      </c>
      <c r="L23" s="8"/>
    </row>
    <row r="24" customFormat="false" ht="15.75" hidden="false" customHeight="true" outlineLevel="0" collapsed="false">
      <c r="A24" s="7" t="n">
        <v>45680</v>
      </c>
      <c r="B24" s="8" t="s">
        <v>16</v>
      </c>
      <c r="C24" s="9" t="n">
        <v>2410</v>
      </c>
      <c r="D24" s="8" t="s">
        <v>21</v>
      </c>
      <c r="E24" s="10"/>
      <c r="F24" s="8" t="str">
        <f aca="false">TEXT(A24,"MM-YYYY")</f>
        <v>01-2025</v>
      </c>
      <c r="G24" s="8"/>
      <c r="H24" s="8"/>
      <c r="I24" s="7"/>
      <c r="J24" s="8" t="str">
        <f aca="false">VLOOKUP(B24,Table3[#All],2,0)</f>
        <v>Sales</v>
      </c>
      <c r="K24" s="8" t="str">
        <f aca="false">TEXT(ROW(), "0000")</f>
        <v>0024</v>
      </c>
      <c r="L24" s="8"/>
    </row>
    <row r="25" customFormat="false" ht="15.75" hidden="false" customHeight="true" outlineLevel="0" collapsed="false">
      <c r="A25" s="7" t="n">
        <v>45680</v>
      </c>
      <c r="B25" s="8" t="s">
        <v>25</v>
      </c>
      <c r="C25" s="9" t="n">
        <v>1486</v>
      </c>
      <c r="D25" s="8" t="s">
        <v>13</v>
      </c>
      <c r="E25" s="8" t="s">
        <v>39</v>
      </c>
      <c r="F25" s="8" t="str">
        <f aca="false">TEXT(A16,"MM-YYYY")</f>
        <v>01-2025</v>
      </c>
      <c r="G25" s="8" t="s">
        <v>14</v>
      </c>
      <c r="H25" s="8" t="s">
        <v>15</v>
      </c>
      <c r="I25" s="7"/>
      <c r="J25" s="8" t="str">
        <f aca="false">VLOOKUP(B25,Table3[#All],2,0)</f>
        <v>Inventory</v>
      </c>
      <c r="K25" s="8" t="str">
        <f aca="false">TEXT(ROW(), "0000")</f>
        <v>0025</v>
      </c>
      <c r="L25" s="8"/>
    </row>
    <row r="26" customFormat="false" ht="15.75" hidden="false" customHeight="true" outlineLevel="0" collapsed="false">
      <c r="A26" s="7" t="n">
        <v>45680</v>
      </c>
      <c r="B26" s="8" t="s">
        <v>40</v>
      </c>
      <c r="C26" s="9" t="n">
        <v>1480</v>
      </c>
      <c r="D26" s="8" t="s">
        <v>21</v>
      </c>
      <c r="E26" s="8" t="s">
        <v>41</v>
      </c>
      <c r="F26" s="8" t="str">
        <f aca="false">TEXT(A17,"MM-YYYY")</f>
        <v>01-2025</v>
      </c>
      <c r="G26" s="8" t="s">
        <v>14</v>
      </c>
      <c r="H26" s="8" t="s">
        <v>15</v>
      </c>
      <c r="I26" s="7"/>
      <c r="J26" s="8" t="str">
        <f aca="false">VLOOKUP(B26,Table3[#All],2,0)</f>
        <v>Inventory</v>
      </c>
      <c r="K26" s="8" t="str">
        <f aca="false">TEXT(ROW(), "0000")</f>
        <v>0026</v>
      </c>
      <c r="L26" s="8"/>
    </row>
    <row r="27" customFormat="false" ht="15.75" hidden="false" customHeight="true" outlineLevel="0" collapsed="false">
      <c r="A27" s="7" t="n">
        <v>45680</v>
      </c>
      <c r="B27" s="8" t="s">
        <v>29</v>
      </c>
      <c r="C27" s="9" t="n">
        <v>680</v>
      </c>
      <c r="D27" s="8" t="s">
        <v>13</v>
      </c>
      <c r="E27" s="10"/>
      <c r="F27" s="8" t="str">
        <f aca="false">TEXT(A18,"MM-YYYY")</f>
        <v>01-2025</v>
      </c>
      <c r="G27" s="8" t="s">
        <v>14</v>
      </c>
      <c r="H27" s="8" t="s">
        <v>15</v>
      </c>
      <c r="I27" s="7"/>
      <c r="J27" s="8" t="str">
        <f aca="false">VLOOKUP(B27,Table3[#All],2,0)</f>
        <v>Inventory</v>
      </c>
      <c r="K27" s="8" t="str">
        <f aca="false">TEXT(ROW(), "0000")</f>
        <v>0027</v>
      </c>
      <c r="L27" s="8"/>
    </row>
    <row r="28" customFormat="false" ht="15.75" hidden="false" customHeight="true" outlineLevel="0" collapsed="false">
      <c r="A28" s="7" t="n">
        <v>45680</v>
      </c>
      <c r="B28" s="8" t="s">
        <v>16</v>
      </c>
      <c r="C28" s="9" t="n">
        <v>467</v>
      </c>
      <c r="D28" s="8" t="s">
        <v>24</v>
      </c>
      <c r="E28" s="8" t="s">
        <v>42</v>
      </c>
      <c r="F28" s="8" t="str">
        <f aca="false">TEXT(A19,"MM-YYYY")</f>
        <v>01-2025</v>
      </c>
      <c r="G28" s="8"/>
      <c r="H28" s="8"/>
      <c r="I28" s="7"/>
      <c r="J28" s="8" t="str">
        <f aca="false">VLOOKUP(B28,Table3[#All],2,0)</f>
        <v>Sales</v>
      </c>
      <c r="K28" s="8" t="str">
        <f aca="false">TEXT(ROW(), "0000")</f>
        <v>0028</v>
      </c>
      <c r="L28" s="8"/>
    </row>
    <row r="29" customFormat="false" ht="15.75" hidden="false" customHeight="true" outlineLevel="0" collapsed="false">
      <c r="A29" s="7" t="n">
        <v>45680</v>
      </c>
      <c r="B29" s="8" t="s">
        <v>43</v>
      </c>
      <c r="C29" s="9" t="n">
        <v>350</v>
      </c>
      <c r="D29" s="8" t="s">
        <v>21</v>
      </c>
      <c r="E29" s="10"/>
      <c r="F29" s="8" t="str">
        <f aca="false">TEXT(A20,"MM-YYYY")</f>
        <v>01-2025</v>
      </c>
      <c r="G29" s="8" t="s">
        <v>14</v>
      </c>
      <c r="H29" s="8" t="s">
        <v>15</v>
      </c>
      <c r="I29" s="7"/>
      <c r="J29" s="8" t="str">
        <f aca="false">VLOOKUP(B29,Table3[#All],2,0)</f>
        <v>Maintance</v>
      </c>
      <c r="K29" s="8" t="str">
        <f aca="false">TEXT(ROW(), "0000")</f>
        <v>0029</v>
      </c>
      <c r="L29" s="8"/>
    </row>
    <row r="30" customFormat="false" ht="15.75" hidden="false" customHeight="true" outlineLevel="0" collapsed="false">
      <c r="A30" s="7" t="n">
        <v>45680</v>
      </c>
      <c r="B30" s="8" t="s">
        <v>32</v>
      </c>
      <c r="C30" s="9" t="n">
        <v>160</v>
      </c>
      <c r="D30" s="8" t="s">
        <v>21</v>
      </c>
      <c r="E30" s="10"/>
      <c r="F30" s="8" t="str">
        <f aca="false">TEXT(A21,"MM-YYYY")</f>
        <v>01-2025</v>
      </c>
      <c r="G30" s="8" t="s">
        <v>14</v>
      </c>
      <c r="H30" s="8" t="s">
        <v>15</v>
      </c>
      <c r="I30" s="7"/>
      <c r="J30" s="8" t="str">
        <f aca="false">VLOOKUP(B30,Table3[#All],2,0)</f>
        <v>Grocery</v>
      </c>
      <c r="K30" s="8" t="str">
        <f aca="false">TEXT(ROW(), "0000")</f>
        <v>0030</v>
      </c>
      <c r="L30" s="8"/>
    </row>
    <row r="31" customFormat="false" ht="15.75" hidden="false" customHeight="true" outlineLevel="0" collapsed="false">
      <c r="A31" s="7" t="n">
        <v>45680</v>
      </c>
      <c r="B31" s="8" t="s">
        <v>34</v>
      </c>
      <c r="C31" s="9" t="n">
        <v>120</v>
      </c>
      <c r="D31" s="8" t="s">
        <v>21</v>
      </c>
      <c r="E31" s="8" t="s">
        <v>20</v>
      </c>
      <c r="F31" s="8" t="str">
        <f aca="false">TEXT(A22,"MM-YYYY")</f>
        <v>01-2025</v>
      </c>
      <c r="G31" s="8" t="s">
        <v>14</v>
      </c>
      <c r="H31" s="8" t="s">
        <v>15</v>
      </c>
      <c r="I31" s="7"/>
      <c r="J31" s="8" t="str">
        <f aca="false">VLOOKUP(B31,Table3[#All],2,0)</f>
        <v>Staff Expenses</v>
      </c>
      <c r="K31" s="8" t="str">
        <f aca="false">TEXT(ROW(), "0000")</f>
        <v>0031</v>
      </c>
      <c r="L31" s="8"/>
    </row>
    <row r="32" customFormat="false" ht="15.75" hidden="false" customHeight="true" outlineLevel="0" collapsed="false">
      <c r="A32" s="7" t="n">
        <v>45681</v>
      </c>
      <c r="B32" s="8" t="s">
        <v>16</v>
      </c>
      <c r="C32" s="9" t="n">
        <v>19947</v>
      </c>
      <c r="D32" s="8" t="s">
        <v>17</v>
      </c>
      <c r="E32" s="8" t="s">
        <v>23</v>
      </c>
      <c r="F32" s="8" t="str">
        <f aca="false">TEXT(A23,"MM-YYYY")</f>
        <v>01-2025</v>
      </c>
      <c r="G32" s="8"/>
      <c r="H32" s="8"/>
      <c r="I32" s="7"/>
      <c r="J32" s="8" t="str">
        <f aca="false">VLOOKUP(B32,Table3[#All],2,0)</f>
        <v>Sales</v>
      </c>
      <c r="K32" s="8" t="str">
        <f aca="false">TEXT(ROW(), "0000")</f>
        <v>0032</v>
      </c>
      <c r="L32" s="8"/>
    </row>
    <row r="33" customFormat="false" ht="15.75" hidden="false" customHeight="true" outlineLevel="0" collapsed="false">
      <c r="A33" s="7" t="n">
        <v>45681</v>
      </c>
      <c r="B33" s="8" t="s">
        <v>44</v>
      </c>
      <c r="C33" s="9" t="n">
        <v>10300</v>
      </c>
      <c r="D33" s="8" t="s">
        <v>45</v>
      </c>
      <c r="E33" s="10"/>
      <c r="F33" s="8" t="str">
        <f aca="false">TEXT(A24,"MM-YYYY")</f>
        <v>01-2025</v>
      </c>
      <c r="G33" s="8" t="s">
        <v>14</v>
      </c>
      <c r="H33" s="8" t="s">
        <v>15</v>
      </c>
      <c r="I33" s="7"/>
      <c r="J33" s="8" t="str">
        <f aca="false">VLOOKUP(B33,Table3[#All],2,0)</f>
        <v>Salary</v>
      </c>
      <c r="K33" s="8" t="str">
        <f aca="false">TEXT(ROW(), "0000")</f>
        <v>0033</v>
      </c>
      <c r="L33" s="8"/>
    </row>
    <row r="34" customFormat="false" ht="15.75" hidden="false" customHeight="true" outlineLevel="0" collapsed="false">
      <c r="A34" s="7" t="n">
        <v>45681</v>
      </c>
      <c r="B34" s="8" t="s">
        <v>19</v>
      </c>
      <c r="C34" s="9" t="n">
        <v>4243</v>
      </c>
      <c r="D34" s="8" t="s">
        <v>13</v>
      </c>
      <c r="E34" s="8" t="s">
        <v>26</v>
      </c>
      <c r="F34" s="8" t="str">
        <f aca="false">TEXT(A25,"MM-YYYY")</f>
        <v>01-2025</v>
      </c>
      <c r="G34" s="8" t="s">
        <v>14</v>
      </c>
      <c r="H34" s="8" t="s">
        <v>15</v>
      </c>
      <c r="I34" s="7"/>
      <c r="J34" s="8" t="str">
        <f aca="false">VLOOKUP(B34,Table3[#All],2,0)</f>
        <v>Inventory</v>
      </c>
      <c r="K34" s="8" t="str">
        <f aca="false">TEXT(ROW(), "0000")</f>
        <v>0034</v>
      </c>
      <c r="L34" s="8"/>
    </row>
    <row r="35" customFormat="false" ht="15.75" hidden="false" customHeight="true" outlineLevel="0" collapsed="false">
      <c r="A35" s="7" t="n">
        <v>45681</v>
      </c>
      <c r="B35" s="8" t="s">
        <v>22</v>
      </c>
      <c r="C35" s="9" t="n">
        <v>3967</v>
      </c>
      <c r="D35" s="8" t="s">
        <v>13</v>
      </c>
      <c r="E35" s="8" t="s">
        <v>46</v>
      </c>
      <c r="F35" s="8" t="str">
        <f aca="false">TEXT(A26,"MM-YYYY")</f>
        <v>01-2025</v>
      </c>
      <c r="G35" s="8" t="s">
        <v>14</v>
      </c>
      <c r="H35" s="8" t="s">
        <v>15</v>
      </c>
      <c r="I35" s="7"/>
      <c r="J35" s="8" t="str">
        <f aca="false">VLOOKUP(B35,Table3[#All],2,0)</f>
        <v>Inventory</v>
      </c>
      <c r="K35" s="8" t="str">
        <f aca="false">TEXT(ROW(), "0000")</f>
        <v>0035</v>
      </c>
      <c r="L35" s="8"/>
    </row>
    <row r="36" customFormat="false" ht="15.75" hidden="false" customHeight="true" outlineLevel="0" collapsed="false">
      <c r="A36" s="7" t="n">
        <v>45681</v>
      </c>
      <c r="B36" s="8" t="s">
        <v>16</v>
      </c>
      <c r="C36" s="9" t="n">
        <v>3140</v>
      </c>
      <c r="D36" s="8" t="s">
        <v>21</v>
      </c>
      <c r="E36" s="10"/>
      <c r="F36" s="8" t="str">
        <f aca="false">TEXT(A27,"MM-YYYY")</f>
        <v>01-2025</v>
      </c>
      <c r="G36" s="8"/>
      <c r="H36" s="8"/>
      <c r="I36" s="7"/>
      <c r="J36" s="8" t="str">
        <f aca="false">VLOOKUP(B36,Table3[#All],2,0)</f>
        <v>Sales</v>
      </c>
      <c r="K36" s="8" t="str">
        <f aca="false">TEXT(ROW(), "0000")</f>
        <v>0036</v>
      </c>
      <c r="L36" s="8"/>
    </row>
    <row r="37" customFormat="false" ht="15.75" hidden="false" customHeight="true" outlineLevel="0" collapsed="false">
      <c r="A37" s="7" t="n">
        <v>45681</v>
      </c>
      <c r="B37" s="8" t="s">
        <v>25</v>
      </c>
      <c r="C37" s="9" t="n">
        <v>1250</v>
      </c>
      <c r="D37" s="8" t="s">
        <v>13</v>
      </c>
      <c r="E37" s="8" t="s">
        <v>26</v>
      </c>
      <c r="F37" s="8" t="str">
        <f aca="false">TEXT(A37,"MM-YYYY")</f>
        <v>01-2025</v>
      </c>
      <c r="G37" s="8" t="s">
        <v>14</v>
      </c>
      <c r="H37" s="8" t="s">
        <v>15</v>
      </c>
      <c r="I37" s="7"/>
      <c r="J37" s="8" t="str">
        <f aca="false">VLOOKUP(B37,Table3[#All],2,0)</f>
        <v>Inventory</v>
      </c>
      <c r="K37" s="8" t="str">
        <f aca="false">TEXT(ROW(), "0000")</f>
        <v>0037</v>
      </c>
      <c r="L37" s="8"/>
    </row>
    <row r="38" customFormat="false" ht="15.75" hidden="false" customHeight="true" outlineLevel="0" collapsed="false">
      <c r="A38" s="7" t="n">
        <v>45681</v>
      </c>
      <c r="B38" s="8" t="s">
        <v>16</v>
      </c>
      <c r="C38" s="9" t="n">
        <v>1038</v>
      </c>
      <c r="D38" s="8" t="s">
        <v>24</v>
      </c>
      <c r="E38" s="10"/>
      <c r="F38" s="8" t="str">
        <f aca="false">TEXT(A38,"MM-YYYY")</f>
        <v>01-2025</v>
      </c>
      <c r="G38" s="8"/>
      <c r="H38" s="8"/>
      <c r="I38" s="7"/>
      <c r="J38" s="8" t="str">
        <f aca="false">VLOOKUP(B38,Table3[#All],2,0)</f>
        <v>Sales</v>
      </c>
      <c r="K38" s="8" t="str">
        <f aca="false">TEXT(ROW(), "0000")</f>
        <v>0038</v>
      </c>
      <c r="L38" s="8"/>
    </row>
    <row r="39" customFormat="false" ht="15.75" hidden="false" customHeight="true" outlineLevel="0" collapsed="false">
      <c r="A39" s="7" t="n">
        <v>45681</v>
      </c>
      <c r="B39" s="8" t="s">
        <v>47</v>
      </c>
      <c r="C39" s="9" t="n">
        <v>840</v>
      </c>
      <c r="D39" s="8" t="s">
        <v>13</v>
      </c>
      <c r="E39" s="8" t="s">
        <v>48</v>
      </c>
      <c r="F39" s="8" t="str">
        <f aca="false">TEXT(A39,"MM-YYYY")</f>
        <v>01-2025</v>
      </c>
      <c r="G39" s="8" t="s">
        <v>14</v>
      </c>
      <c r="H39" s="8" t="s">
        <v>15</v>
      </c>
      <c r="I39" s="7"/>
      <c r="J39" s="8" t="str">
        <f aca="false">VLOOKUP(B39,Table3[#All],2,0)</f>
        <v>Inventory</v>
      </c>
      <c r="K39" s="8" t="str">
        <f aca="false">TEXT(ROW(), "0000")</f>
        <v>0039</v>
      </c>
      <c r="L39" s="8"/>
    </row>
    <row r="40" customFormat="false" ht="15.75" hidden="false" customHeight="true" outlineLevel="0" collapsed="false">
      <c r="A40" s="7" t="n">
        <v>45681</v>
      </c>
      <c r="B40" s="8" t="s">
        <v>29</v>
      </c>
      <c r="C40" s="9" t="n">
        <v>580</v>
      </c>
      <c r="D40" s="8" t="s">
        <v>13</v>
      </c>
      <c r="E40" s="10"/>
      <c r="F40" s="8" t="str">
        <f aca="false">TEXT(A40,"MM-YYYY")</f>
        <v>01-2025</v>
      </c>
      <c r="G40" s="8" t="s">
        <v>14</v>
      </c>
      <c r="H40" s="8" t="s">
        <v>15</v>
      </c>
      <c r="I40" s="7"/>
      <c r="J40" s="8" t="str">
        <f aca="false">VLOOKUP(B40,Table3[#All],2,0)</f>
        <v>Inventory</v>
      </c>
      <c r="K40" s="8" t="str">
        <f aca="false">TEXT(ROW(), "0000")</f>
        <v>0040</v>
      </c>
      <c r="L40" s="8"/>
    </row>
    <row r="41" customFormat="false" ht="15.75" hidden="false" customHeight="true" outlineLevel="0" collapsed="false">
      <c r="A41" s="7" t="n">
        <v>45681</v>
      </c>
      <c r="B41" s="8" t="s">
        <v>16</v>
      </c>
      <c r="C41" s="9" t="n">
        <v>550</v>
      </c>
      <c r="D41" s="8" t="s">
        <v>33</v>
      </c>
      <c r="E41" s="10"/>
      <c r="F41" s="8" t="str">
        <f aca="false">TEXT(A41,"MM-YYYY")</f>
        <v>01-2025</v>
      </c>
      <c r="G41" s="8"/>
      <c r="H41" s="8"/>
      <c r="I41" s="7"/>
      <c r="J41" s="8" t="str">
        <f aca="false">VLOOKUP(B41,Table3[#All],2,0)</f>
        <v>Sales</v>
      </c>
      <c r="K41" s="8" t="str">
        <f aca="false">TEXT(ROW(), "0000")</f>
        <v>0041</v>
      </c>
      <c r="L41" s="8"/>
    </row>
    <row r="42" customFormat="false" ht="15.75" hidden="false" customHeight="true" outlineLevel="0" collapsed="false">
      <c r="A42" s="7" t="n">
        <v>45681</v>
      </c>
      <c r="B42" s="8" t="s">
        <v>43</v>
      </c>
      <c r="C42" s="9" t="n">
        <v>350</v>
      </c>
      <c r="D42" s="8" t="s">
        <v>21</v>
      </c>
      <c r="E42" s="8" t="s">
        <v>49</v>
      </c>
      <c r="F42" s="8" t="str">
        <f aca="false">TEXT(A42,"MM-YYYY")</f>
        <v>01-2025</v>
      </c>
      <c r="G42" s="8" t="s">
        <v>14</v>
      </c>
      <c r="H42" s="8" t="s">
        <v>15</v>
      </c>
      <c r="I42" s="7"/>
      <c r="J42" s="8" t="str">
        <f aca="false">VLOOKUP(B42,Table3[#All],2,0)</f>
        <v>Maintance</v>
      </c>
      <c r="K42" s="8" t="str">
        <f aca="false">TEXT(ROW(), "0000")</f>
        <v>0042</v>
      </c>
      <c r="L42" s="8"/>
    </row>
    <row r="43" customFormat="false" ht="15.75" hidden="false" customHeight="true" outlineLevel="0" collapsed="false">
      <c r="A43" s="7" t="n">
        <v>45681</v>
      </c>
      <c r="B43" s="8" t="s">
        <v>16</v>
      </c>
      <c r="C43" s="9" t="n">
        <v>250</v>
      </c>
      <c r="D43" s="8" t="s">
        <v>27</v>
      </c>
      <c r="E43" s="10"/>
      <c r="F43" s="8" t="str">
        <f aca="false">TEXT(A43,"MM-YYYY")</f>
        <v>01-2025</v>
      </c>
      <c r="G43" s="8"/>
      <c r="H43" s="8"/>
      <c r="I43" s="7"/>
      <c r="J43" s="8" t="str">
        <f aca="false">VLOOKUP(B43,Table3[#All],2,0)</f>
        <v>Sales</v>
      </c>
      <c r="K43" s="8" t="str">
        <f aca="false">TEXT(ROW(), "0000")</f>
        <v>0043</v>
      </c>
      <c r="L43" s="8"/>
    </row>
    <row r="44" customFormat="false" ht="15.75" hidden="false" customHeight="true" outlineLevel="0" collapsed="false">
      <c r="A44" s="7" t="n">
        <v>45681</v>
      </c>
      <c r="B44" s="8" t="s">
        <v>34</v>
      </c>
      <c r="C44" s="9" t="n">
        <v>100</v>
      </c>
      <c r="D44" s="8" t="s">
        <v>21</v>
      </c>
      <c r="E44" s="10"/>
      <c r="F44" s="8" t="str">
        <f aca="false">TEXT(A44,"MM-YYYY")</f>
        <v>01-2025</v>
      </c>
      <c r="G44" s="8" t="s">
        <v>14</v>
      </c>
      <c r="H44" s="8" t="s">
        <v>15</v>
      </c>
      <c r="I44" s="7"/>
      <c r="J44" s="8" t="str">
        <f aca="false">VLOOKUP(B44,Table3[#All],2,0)</f>
        <v>Staff Expenses</v>
      </c>
      <c r="K44" s="8" t="str">
        <f aca="false">TEXT(ROW(), "0000")</f>
        <v>0044</v>
      </c>
      <c r="L44" s="8"/>
    </row>
    <row r="45" customFormat="false" ht="15.75" hidden="false" customHeight="true" outlineLevel="0" collapsed="false">
      <c r="A45" s="7" t="n">
        <v>45681</v>
      </c>
      <c r="B45" s="8" t="s">
        <v>37</v>
      </c>
      <c r="C45" s="9" t="n">
        <v>40</v>
      </c>
      <c r="D45" s="8" t="s">
        <v>21</v>
      </c>
      <c r="E45" s="10"/>
      <c r="F45" s="8" t="str">
        <f aca="false">TEXT(A45,"MM-YYYY")</f>
        <v>01-2025</v>
      </c>
      <c r="G45" s="8" t="s">
        <v>14</v>
      </c>
      <c r="H45" s="8" t="s">
        <v>15</v>
      </c>
      <c r="I45" s="7"/>
      <c r="J45" s="8" t="str">
        <f aca="false">VLOOKUP(B45,Table3[#All],2,0)</f>
        <v>Maintance</v>
      </c>
      <c r="K45" s="8" t="str">
        <f aca="false">TEXT(ROW(), "0000")</f>
        <v>0045</v>
      </c>
      <c r="L45" s="8"/>
    </row>
    <row r="46" customFormat="false" ht="15.75" hidden="false" customHeight="true" outlineLevel="0" collapsed="false">
      <c r="A46" s="7" t="n">
        <v>45682</v>
      </c>
      <c r="B46" s="8" t="s">
        <v>16</v>
      </c>
      <c r="C46" s="9" t="n">
        <v>26464</v>
      </c>
      <c r="D46" s="8" t="s">
        <v>17</v>
      </c>
      <c r="E46" s="10"/>
      <c r="F46" s="8" t="str">
        <f aca="false">TEXT(A46,"MM-YYYY")</f>
        <v>01-2025</v>
      </c>
      <c r="G46" s="8"/>
      <c r="H46" s="8"/>
      <c r="I46" s="7"/>
      <c r="J46" s="8" t="str">
        <f aca="false">VLOOKUP(B46,Table3[#All],2,0)</f>
        <v>Sales</v>
      </c>
      <c r="K46" s="8" t="str">
        <f aca="false">TEXT(ROW(), "0000")</f>
        <v>0046</v>
      </c>
      <c r="L46" s="8"/>
    </row>
    <row r="47" customFormat="false" ht="15.75" hidden="false" customHeight="true" outlineLevel="0" collapsed="false">
      <c r="A47" s="7" t="n">
        <v>45682</v>
      </c>
      <c r="B47" s="8" t="s">
        <v>50</v>
      </c>
      <c r="C47" s="9" t="n">
        <v>9100</v>
      </c>
      <c r="D47" s="8" t="s">
        <v>13</v>
      </c>
      <c r="E47" s="10"/>
      <c r="F47" s="8" t="str">
        <f aca="false">TEXT(A47,"MM-YYYY")</f>
        <v>01-2025</v>
      </c>
      <c r="G47" s="8" t="s">
        <v>14</v>
      </c>
      <c r="H47" s="8" t="s">
        <v>15</v>
      </c>
      <c r="I47" s="7"/>
      <c r="J47" s="8" t="str">
        <f aca="false">VLOOKUP(B47,Table3[#All],2,0)</f>
        <v>Fixed Maintance</v>
      </c>
      <c r="K47" s="8" t="str">
        <f aca="false">TEXT(ROW(), "0000")</f>
        <v>0047</v>
      </c>
      <c r="L47" s="8"/>
    </row>
    <row r="48" customFormat="false" ht="15.75" hidden="false" customHeight="true" outlineLevel="0" collapsed="false">
      <c r="A48" s="7" t="n">
        <v>45682</v>
      </c>
      <c r="B48" s="8" t="s">
        <v>16</v>
      </c>
      <c r="C48" s="9" t="n">
        <v>5660</v>
      </c>
      <c r="D48" s="8" t="s">
        <v>21</v>
      </c>
      <c r="E48" s="10"/>
      <c r="F48" s="8" t="str">
        <f aca="false">TEXT(A48,"MM-YYYY")</f>
        <v>01-2025</v>
      </c>
      <c r="G48" s="8"/>
      <c r="H48" s="8"/>
      <c r="I48" s="7"/>
      <c r="J48" s="8" t="str">
        <f aca="false">VLOOKUP(B48,Table3[#All],2,0)</f>
        <v>Sales</v>
      </c>
      <c r="K48" s="8" t="str">
        <f aca="false">TEXT(ROW(), "0000")</f>
        <v>0048</v>
      </c>
      <c r="L48" s="8"/>
    </row>
    <row r="49" customFormat="false" ht="15.75" hidden="false" customHeight="true" outlineLevel="0" collapsed="false">
      <c r="A49" s="7" t="n">
        <v>45682</v>
      </c>
      <c r="B49" s="8" t="s">
        <v>16</v>
      </c>
      <c r="C49" s="9" t="n">
        <v>3477</v>
      </c>
      <c r="D49" s="8" t="s">
        <v>24</v>
      </c>
      <c r="E49" s="10"/>
      <c r="F49" s="8" t="str">
        <f aca="false">TEXT(A49,"MM-YYYY")</f>
        <v>01-2025</v>
      </c>
      <c r="G49" s="8"/>
      <c r="H49" s="8"/>
      <c r="I49" s="7"/>
      <c r="J49" s="8" t="str">
        <f aca="false">VLOOKUP(B49,Table3[#All],2,0)</f>
        <v>Sales</v>
      </c>
      <c r="K49" s="8" t="str">
        <f aca="false">TEXT(ROW(), "0000")</f>
        <v>0049</v>
      </c>
      <c r="L49" s="8"/>
    </row>
    <row r="50" customFormat="false" ht="15.75" hidden="false" customHeight="true" outlineLevel="0" collapsed="false">
      <c r="A50" s="7" t="n">
        <v>45682</v>
      </c>
      <c r="B50" s="8" t="s">
        <v>16</v>
      </c>
      <c r="C50" s="9" t="n">
        <v>3400</v>
      </c>
      <c r="D50" s="8" t="s">
        <v>33</v>
      </c>
      <c r="E50" s="10"/>
      <c r="F50" s="8" t="str">
        <f aca="false">TEXT(A50,"MM-YYYY")</f>
        <v>01-2025</v>
      </c>
      <c r="G50" s="8"/>
      <c r="H50" s="8"/>
      <c r="I50" s="7"/>
      <c r="J50" s="8" t="str">
        <f aca="false">VLOOKUP(B50,Table3[#All],2,0)</f>
        <v>Sales</v>
      </c>
      <c r="K50" s="8" t="str">
        <f aca="false">TEXT(ROW(), "0000")</f>
        <v>0050</v>
      </c>
      <c r="L50" s="8"/>
    </row>
    <row r="51" customFormat="false" ht="15.75" hidden="false" customHeight="true" outlineLevel="0" collapsed="false">
      <c r="A51" s="7" t="n">
        <v>45682</v>
      </c>
      <c r="B51" s="8" t="s">
        <v>22</v>
      </c>
      <c r="C51" s="9" t="n">
        <v>3373</v>
      </c>
      <c r="D51" s="8" t="s">
        <v>13</v>
      </c>
      <c r="E51" s="8" t="s">
        <v>23</v>
      </c>
      <c r="F51" s="8" t="str">
        <f aca="false">TEXT(A51,"MM-YYYY")</f>
        <v>01-2025</v>
      </c>
      <c r="G51" s="8" t="s">
        <v>14</v>
      </c>
      <c r="H51" s="8" t="s">
        <v>15</v>
      </c>
      <c r="I51" s="7"/>
      <c r="J51" s="8" t="str">
        <f aca="false">VLOOKUP(B51,Table3[#All],2,0)</f>
        <v>Inventory</v>
      </c>
      <c r="K51" s="8" t="str">
        <f aca="false">TEXT(ROW(), "0000")</f>
        <v>0051</v>
      </c>
      <c r="L51" s="8"/>
    </row>
    <row r="52" customFormat="false" ht="15.75" hidden="false" customHeight="true" outlineLevel="0" collapsed="false">
      <c r="A52" s="7" t="n">
        <v>45682</v>
      </c>
      <c r="B52" s="8" t="s">
        <v>51</v>
      </c>
      <c r="C52" s="9" t="n">
        <v>3095</v>
      </c>
      <c r="D52" s="8" t="s">
        <v>13</v>
      </c>
      <c r="E52" s="8" t="s">
        <v>52</v>
      </c>
      <c r="F52" s="8" t="str">
        <f aca="false">TEXT(A52,"MM-YYYY")</f>
        <v>01-2025</v>
      </c>
      <c r="G52" s="8" t="s">
        <v>14</v>
      </c>
      <c r="H52" s="8" t="s">
        <v>15</v>
      </c>
      <c r="I52" s="7"/>
      <c r="J52" s="8" t="str">
        <f aca="false">VLOOKUP(B52,Table3[#All],2,0)</f>
        <v>Inventory</v>
      </c>
      <c r="K52" s="8" t="str">
        <f aca="false">TEXT(ROW(), "0000")</f>
        <v>0052</v>
      </c>
      <c r="L52" s="8"/>
    </row>
    <row r="53" customFormat="false" ht="15.75" hidden="false" customHeight="true" outlineLevel="0" collapsed="false">
      <c r="A53" s="7" t="n">
        <v>45682</v>
      </c>
      <c r="B53" s="8" t="s">
        <v>19</v>
      </c>
      <c r="C53" s="9" t="n">
        <v>1928</v>
      </c>
      <c r="D53" s="8" t="s">
        <v>13</v>
      </c>
      <c r="E53" s="8" t="s">
        <v>20</v>
      </c>
      <c r="F53" s="8" t="str">
        <f aca="false">TEXT(A53,"MM-YYYY")</f>
        <v>01-2025</v>
      </c>
      <c r="G53" s="8" t="s">
        <v>14</v>
      </c>
      <c r="H53" s="8" t="s">
        <v>15</v>
      </c>
      <c r="I53" s="7"/>
      <c r="J53" s="8" t="str">
        <f aca="false">VLOOKUP(B53,Table3[#All],2,0)</f>
        <v>Inventory</v>
      </c>
      <c r="K53" s="8" t="str">
        <f aca="false">TEXT(ROW(), "0000")</f>
        <v>0053</v>
      </c>
      <c r="L53" s="8"/>
    </row>
    <row r="54" customFormat="false" ht="15.75" hidden="false" customHeight="true" outlineLevel="0" collapsed="false">
      <c r="A54" s="7" t="n">
        <v>45682</v>
      </c>
      <c r="B54" s="8" t="s">
        <v>53</v>
      </c>
      <c r="C54" s="9" t="n">
        <v>1764</v>
      </c>
      <c r="D54" s="8" t="s">
        <v>21</v>
      </c>
      <c r="E54" s="8" t="s">
        <v>54</v>
      </c>
      <c r="F54" s="8" t="str">
        <f aca="false">TEXT(A54,"MM-YYYY")</f>
        <v>01-2025</v>
      </c>
      <c r="G54" s="8" t="s">
        <v>14</v>
      </c>
      <c r="H54" s="8" t="s">
        <v>15</v>
      </c>
      <c r="I54" s="7"/>
      <c r="J54" s="8" t="str">
        <f aca="false">VLOOKUP(B54,Table3[#All],2,0)</f>
        <v>Grocery</v>
      </c>
      <c r="K54" s="8" t="str">
        <f aca="false">TEXT(ROW(), "0000")</f>
        <v>0054</v>
      </c>
      <c r="L54" s="8"/>
    </row>
    <row r="55" customFormat="false" ht="15.75" hidden="false" customHeight="true" outlineLevel="0" collapsed="false">
      <c r="A55" s="7" t="n">
        <v>45682</v>
      </c>
      <c r="B55" s="8" t="s">
        <v>25</v>
      </c>
      <c r="C55" s="9" t="n">
        <v>1296</v>
      </c>
      <c r="D55" s="8" t="s">
        <v>13</v>
      </c>
      <c r="E55" s="10"/>
      <c r="F55" s="8" t="str">
        <f aca="false">TEXT(A55,"MM-YYYY")</f>
        <v>01-2025</v>
      </c>
      <c r="G55" s="8" t="s">
        <v>14</v>
      </c>
      <c r="H55" s="8" t="s">
        <v>15</v>
      </c>
      <c r="I55" s="7"/>
      <c r="J55" s="8" t="str">
        <f aca="false">VLOOKUP(B55,Table3[#All],2,0)</f>
        <v>Inventory</v>
      </c>
      <c r="K55" s="8" t="str">
        <f aca="false">TEXT(ROW(), "0000")</f>
        <v>0055</v>
      </c>
      <c r="L55" s="8"/>
    </row>
    <row r="56" customFormat="false" ht="15.75" hidden="false" customHeight="true" outlineLevel="0" collapsed="false">
      <c r="A56" s="7" t="n">
        <v>45682</v>
      </c>
      <c r="B56" s="8" t="s">
        <v>53</v>
      </c>
      <c r="C56" s="9" t="n">
        <v>1200</v>
      </c>
      <c r="D56" s="8" t="s">
        <v>21</v>
      </c>
      <c r="E56" s="8" t="s">
        <v>55</v>
      </c>
      <c r="F56" s="8" t="str">
        <f aca="false">TEXT(A56,"MM-YYYY")</f>
        <v>01-2025</v>
      </c>
      <c r="G56" s="8" t="s">
        <v>14</v>
      </c>
      <c r="H56" s="8" t="s">
        <v>15</v>
      </c>
      <c r="I56" s="7"/>
      <c r="J56" s="8" t="str">
        <f aca="false">VLOOKUP(B56,Table3[#All],2,0)</f>
        <v>Grocery</v>
      </c>
      <c r="K56" s="8" t="str">
        <f aca="false">TEXT(ROW(), "0000")</f>
        <v>0056</v>
      </c>
      <c r="L56" s="8"/>
    </row>
    <row r="57" customFormat="false" ht="15.75" hidden="false" customHeight="true" outlineLevel="0" collapsed="false">
      <c r="A57" s="7" t="n">
        <v>45682</v>
      </c>
      <c r="B57" s="8" t="s">
        <v>36</v>
      </c>
      <c r="C57" s="9" t="n">
        <v>635</v>
      </c>
      <c r="D57" s="8" t="s">
        <v>21</v>
      </c>
      <c r="E57" s="10"/>
      <c r="F57" s="8" t="str">
        <f aca="false">TEXT(A57,"MM-YYYY")</f>
        <v>01-2025</v>
      </c>
      <c r="G57" s="8" t="s">
        <v>14</v>
      </c>
      <c r="H57" s="8" t="s">
        <v>15</v>
      </c>
      <c r="I57" s="7"/>
      <c r="J57" s="8" t="str">
        <f aca="false">VLOOKUP(B57,Table3[#All],2,0)</f>
        <v>Maintance</v>
      </c>
      <c r="K57" s="8" t="str">
        <f aca="false">TEXT(ROW(), "0000")</f>
        <v>0057</v>
      </c>
      <c r="L57" s="8"/>
    </row>
    <row r="58" customFormat="false" ht="15.75" hidden="false" customHeight="true" outlineLevel="0" collapsed="false">
      <c r="A58" s="7" t="n">
        <v>45682</v>
      </c>
      <c r="B58" s="8" t="s">
        <v>29</v>
      </c>
      <c r="C58" s="9" t="n">
        <v>570</v>
      </c>
      <c r="D58" s="8" t="s">
        <v>13</v>
      </c>
      <c r="E58" s="10"/>
      <c r="F58" s="8" t="str">
        <f aca="false">TEXT(A58,"MM-YYYY")</f>
        <v>01-2025</v>
      </c>
      <c r="G58" s="8" t="s">
        <v>14</v>
      </c>
      <c r="H58" s="8" t="s">
        <v>15</v>
      </c>
      <c r="I58" s="7"/>
      <c r="J58" s="8" t="str">
        <f aca="false">VLOOKUP(B58,Table3[#All],2,0)</f>
        <v>Inventory</v>
      </c>
      <c r="K58" s="8" t="str">
        <f aca="false">TEXT(ROW(), "0000")</f>
        <v>0058</v>
      </c>
      <c r="L58" s="8"/>
    </row>
    <row r="59" customFormat="false" ht="15.75" hidden="false" customHeight="true" outlineLevel="0" collapsed="false">
      <c r="A59" s="7" t="n">
        <v>45682</v>
      </c>
      <c r="B59" s="8" t="s">
        <v>56</v>
      </c>
      <c r="C59" s="9" t="n">
        <v>200</v>
      </c>
      <c r="D59" s="8" t="s">
        <v>21</v>
      </c>
      <c r="E59" s="8" t="s">
        <v>57</v>
      </c>
      <c r="F59" s="8" t="str">
        <f aca="false">TEXT(A59,"MM-YYYY")</f>
        <v>01-2025</v>
      </c>
      <c r="G59" s="8" t="s">
        <v>14</v>
      </c>
      <c r="H59" s="8" t="s">
        <v>15</v>
      </c>
      <c r="I59" s="7"/>
      <c r="J59" s="8" t="str">
        <f aca="false">VLOOKUP(B59,Table3[#All],2,0)</f>
        <v>New Inventory</v>
      </c>
      <c r="K59" s="8" t="str">
        <f aca="false">TEXT(ROW(), "0000")</f>
        <v>0059</v>
      </c>
      <c r="L59" s="8"/>
    </row>
    <row r="60" customFormat="false" ht="15.75" hidden="false" customHeight="true" outlineLevel="0" collapsed="false">
      <c r="A60" s="7" t="n">
        <v>45682</v>
      </c>
      <c r="B60" s="8" t="s">
        <v>34</v>
      </c>
      <c r="C60" s="9" t="n">
        <v>121</v>
      </c>
      <c r="D60" s="8" t="s">
        <v>21</v>
      </c>
      <c r="E60" s="10"/>
      <c r="F60" s="8" t="str">
        <f aca="false">TEXT(A60,"MM-YYYY")</f>
        <v>01-2025</v>
      </c>
      <c r="G60" s="8" t="s">
        <v>14</v>
      </c>
      <c r="H60" s="8" t="s">
        <v>15</v>
      </c>
      <c r="I60" s="7"/>
      <c r="J60" s="8" t="str">
        <f aca="false">VLOOKUP(B60,Table3[#All],2,0)</f>
        <v>Staff Expenses</v>
      </c>
      <c r="K60" s="8" t="str">
        <f aca="false">TEXT(ROW(), "0000")</f>
        <v>0060</v>
      </c>
      <c r="L60" s="8"/>
    </row>
    <row r="61" customFormat="false" ht="15.75" hidden="false" customHeight="true" outlineLevel="0" collapsed="false">
      <c r="A61" s="7" t="n">
        <v>45682</v>
      </c>
      <c r="B61" s="8" t="s">
        <v>25</v>
      </c>
      <c r="C61" s="9" t="n">
        <v>40</v>
      </c>
      <c r="D61" s="8" t="s">
        <v>21</v>
      </c>
      <c r="E61" s="8" t="s">
        <v>42</v>
      </c>
      <c r="F61" s="8" t="str">
        <f aca="false">TEXT(A61,"MM-YYYY")</f>
        <v>01-2025</v>
      </c>
      <c r="G61" s="8" t="s">
        <v>14</v>
      </c>
      <c r="H61" s="8" t="s">
        <v>15</v>
      </c>
      <c r="I61" s="7"/>
      <c r="J61" s="8" t="str">
        <f aca="false">VLOOKUP(B61,Table3[#All],2,0)</f>
        <v>Inventory</v>
      </c>
      <c r="K61" s="8" t="str">
        <f aca="false">TEXT(ROW(), "0000")</f>
        <v>0061</v>
      </c>
      <c r="L61" s="8"/>
    </row>
    <row r="62" customFormat="false" ht="15.75" hidden="false" customHeight="true" outlineLevel="0" collapsed="false">
      <c r="A62" s="7" t="n">
        <v>45683</v>
      </c>
      <c r="B62" s="8" t="s">
        <v>16</v>
      </c>
      <c r="C62" s="9" t="n">
        <v>33268</v>
      </c>
      <c r="D62" s="8" t="s">
        <v>17</v>
      </c>
      <c r="E62" s="10"/>
      <c r="F62" s="8" t="str">
        <f aca="false">TEXT(A62,"MM-YYYY")</f>
        <v>01-2025</v>
      </c>
      <c r="G62" s="8"/>
      <c r="H62" s="8"/>
      <c r="I62" s="7"/>
      <c r="J62" s="8" t="str">
        <f aca="false">VLOOKUP(B62,Table3[#All],2,0)</f>
        <v>Sales</v>
      </c>
      <c r="K62" s="8" t="str">
        <f aca="false">TEXT(ROW(), "0000")</f>
        <v>0062</v>
      </c>
      <c r="L62" s="8"/>
    </row>
    <row r="63" customFormat="false" ht="15.75" hidden="false" customHeight="true" outlineLevel="0" collapsed="false">
      <c r="A63" s="7" t="n">
        <v>45683</v>
      </c>
      <c r="B63" s="8" t="s">
        <v>19</v>
      </c>
      <c r="C63" s="9" t="n">
        <v>8385</v>
      </c>
      <c r="D63" s="8" t="s">
        <v>13</v>
      </c>
      <c r="E63" s="10"/>
      <c r="F63" s="8" t="str">
        <f aca="false">TEXT(A63,"MM-YYYY")</f>
        <v>01-2025</v>
      </c>
      <c r="G63" s="8" t="s">
        <v>14</v>
      </c>
      <c r="H63" s="8" t="s">
        <v>15</v>
      </c>
      <c r="I63" s="7"/>
      <c r="J63" s="8" t="str">
        <f aca="false">VLOOKUP(B63,Table3[#All],2,0)</f>
        <v>Inventory</v>
      </c>
      <c r="K63" s="8" t="str">
        <f aca="false">TEXT(ROW(), "0000")</f>
        <v>0063</v>
      </c>
      <c r="L63" s="8"/>
    </row>
    <row r="64" customFormat="false" ht="15.75" hidden="false" customHeight="true" outlineLevel="0" collapsed="false">
      <c r="A64" s="7" t="n">
        <v>45683</v>
      </c>
      <c r="B64" s="8" t="s">
        <v>16</v>
      </c>
      <c r="C64" s="9" t="n">
        <v>3979</v>
      </c>
      <c r="D64" s="8" t="s">
        <v>21</v>
      </c>
      <c r="E64" s="10"/>
      <c r="F64" s="8" t="str">
        <f aca="false">TEXT(A64,"MM-YYYY")</f>
        <v>01-2025</v>
      </c>
      <c r="G64" s="8"/>
      <c r="H64" s="8"/>
      <c r="I64" s="7"/>
      <c r="J64" s="8" t="str">
        <f aca="false">VLOOKUP(B64,Table3[#All],2,0)</f>
        <v>Sales</v>
      </c>
      <c r="K64" s="8" t="str">
        <f aca="false">TEXT(ROW(), "0000")</f>
        <v>0064</v>
      </c>
      <c r="L64" s="8"/>
    </row>
    <row r="65" customFormat="false" ht="15.75" hidden="false" customHeight="true" outlineLevel="0" collapsed="false">
      <c r="A65" s="7" t="n">
        <v>45683</v>
      </c>
      <c r="B65" s="8" t="s">
        <v>22</v>
      </c>
      <c r="C65" s="9" t="n">
        <v>3000</v>
      </c>
      <c r="D65" s="8" t="s">
        <v>13</v>
      </c>
      <c r="E65" s="10"/>
      <c r="F65" s="8" t="str">
        <f aca="false">TEXT(A65,"MM-YYYY")</f>
        <v>01-2025</v>
      </c>
      <c r="G65" s="8" t="s">
        <v>14</v>
      </c>
      <c r="H65" s="8" t="s">
        <v>15</v>
      </c>
      <c r="I65" s="7"/>
      <c r="J65" s="8" t="str">
        <f aca="false">VLOOKUP(B65,Table3[#All],2,0)</f>
        <v>Inventory</v>
      </c>
      <c r="K65" s="8" t="str">
        <f aca="false">TEXT(ROW(), "0000")</f>
        <v>0065</v>
      </c>
      <c r="L65" s="8"/>
    </row>
    <row r="66" customFormat="false" ht="15.75" hidden="false" customHeight="true" outlineLevel="0" collapsed="false">
      <c r="A66" s="7" t="n">
        <v>45683</v>
      </c>
      <c r="B66" s="8" t="s">
        <v>44</v>
      </c>
      <c r="C66" s="9" t="n">
        <v>2700</v>
      </c>
      <c r="D66" s="8" t="s">
        <v>45</v>
      </c>
      <c r="E66" s="8" t="s">
        <v>58</v>
      </c>
      <c r="F66" s="8" t="str">
        <f aca="false">TEXT(A66,"MM-YYYY")</f>
        <v>01-2025</v>
      </c>
      <c r="G66" s="8" t="s">
        <v>14</v>
      </c>
      <c r="H66" s="8" t="s">
        <v>15</v>
      </c>
      <c r="I66" s="7"/>
      <c r="J66" s="8" t="str">
        <f aca="false">VLOOKUP(B66,Table3[#All],2,0)</f>
        <v>Salary</v>
      </c>
      <c r="K66" s="8" t="str">
        <f aca="false">TEXT(ROW(), "0000")</f>
        <v>0066</v>
      </c>
      <c r="L66" s="8"/>
    </row>
    <row r="67" customFormat="false" ht="15.75" hidden="false" customHeight="true" outlineLevel="0" collapsed="false">
      <c r="A67" s="7" t="n">
        <v>45683</v>
      </c>
      <c r="B67" s="8" t="s">
        <v>25</v>
      </c>
      <c r="C67" s="9" t="n">
        <v>2486</v>
      </c>
      <c r="D67" s="8" t="s">
        <v>13</v>
      </c>
      <c r="E67" s="10"/>
      <c r="F67" s="8" t="str">
        <f aca="false">TEXT(A67,"MM-YYYY")</f>
        <v>01-2025</v>
      </c>
      <c r="G67" s="8" t="s">
        <v>14</v>
      </c>
      <c r="H67" s="8" t="s">
        <v>15</v>
      </c>
      <c r="I67" s="7"/>
      <c r="J67" s="8" t="str">
        <f aca="false">VLOOKUP(B67,Table3[#All],2,0)</f>
        <v>Inventory</v>
      </c>
      <c r="K67" s="8" t="str">
        <f aca="false">TEXT(ROW(), "0000")</f>
        <v>0067</v>
      </c>
      <c r="L67" s="8"/>
    </row>
    <row r="68" customFormat="false" ht="15.75" hidden="false" customHeight="true" outlineLevel="0" collapsed="false">
      <c r="A68" s="7" t="n">
        <v>45683</v>
      </c>
      <c r="B68" s="8" t="s">
        <v>16</v>
      </c>
      <c r="C68" s="9" t="n">
        <v>1658</v>
      </c>
      <c r="D68" s="8" t="s">
        <v>24</v>
      </c>
      <c r="E68" s="10"/>
      <c r="F68" s="8" t="str">
        <f aca="false">TEXT(A68,"MM-YYYY")</f>
        <v>01-2025</v>
      </c>
      <c r="G68" s="8"/>
      <c r="H68" s="8"/>
      <c r="I68" s="7"/>
      <c r="J68" s="8" t="str">
        <f aca="false">VLOOKUP(B68,Table3[#All],2,0)</f>
        <v>Sales</v>
      </c>
      <c r="K68" s="8" t="str">
        <f aca="false">TEXT(ROW(), "0000")</f>
        <v>0068</v>
      </c>
      <c r="L68" s="8"/>
    </row>
    <row r="69" customFormat="false" ht="15.75" hidden="false" customHeight="true" outlineLevel="0" collapsed="false">
      <c r="A69" s="7" t="n">
        <v>45683</v>
      </c>
      <c r="B69" s="8" t="s">
        <v>16</v>
      </c>
      <c r="C69" s="9" t="n">
        <v>1620</v>
      </c>
      <c r="D69" s="8" t="s">
        <v>27</v>
      </c>
      <c r="E69" s="10"/>
      <c r="F69" s="8" t="str">
        <f aca="false">TEXT(A69,"MM-YYYY")</f>
        <v>01-2025</v>
      </c>
      <c r="G69" s="8"/>
      <c r="H69" s="8"/>
      <c r="I69" s="7"/>
      <c r="J69" s="8" t="str">
        <f aca="false">VLOOKUP(B69,Table3[#All],2,0)</f>
        <v>Sales</v>
      </c>
      <c r="K69" s="8" t="str">
        <f aca="false">TEXT(ROW(), "0000")</f>
        <v>0069</v>
      </c>
      <c r="L69" s="8"/>
    </row>
    <row r="70" customFormat="false" ht="15.75" hidden="false" customHeight="true" outlineLevel="0" collapsed="false">
      <c r="A70" s="7" t="n">
        <v>45683</v>
      </c>
      <c r="B70" s="8" t="s">
        <v>25</v>
      </c>
      <c r="C70" s="9" t="n">
        <v>1113</v>
      </c>
      <c r="D70" s="8" t="s">
        <v>21</v>
      </c>
      <c r="E70" s="8" t="s">
        <v>28</v>
      </c>
      <c r="F70" s="8" t="str">
        <f aca="false">TEXT(A70,"MM-YYYY")</f>
        <v>01-2025</v>
      </c>
      <c r="G70" s="8" t="s">
        <v>14</v>
      </c>
      <c r="H70" s="8" t="s">
        <v>15</v>
      </c>
      <c r="I70" s="7"/>
      <c r="J70" s="8" t="str">
        <f aca="false">VLOOKUP(B70,Table3[#All],2,0)</f>
        <v>Inventory</v>
      </c>
      <c r="K70" s="8" t="str">
        <f aca="false">TEXT(ROW(), "0000")</f>
        <v>0070</v>
      </c>
      <c r="L70" s="8"/>
    </row>
    <row r="71" customFormat="false" ht="15.75" hidden="false" customHeight="true" outlineLevel="0" collapsed="false">
      <c r="A71" s="7" t="n">
        <v>45683</v>
      </c>
      <c r="B71" s="8" t="s">
        <v>16</v>
      </c>
      <c r="C71" s="9" t="n">
        <v>950</v>
      </c>
      <c r="D71" s="8" t="s">
        <v>59</v>
      </c>
      <c r="E71" s="10"/>
      <c r="F71" s="8" t="str">
        <f aca="false">TEXT(A71,"MM-YYYY")</f>
        <v>01-2025</v>
      </c>
      <c r="G71" s="8"/>
      <c r="H71" s="8"/>
      <c r="I71" s="7"/>
      <c r="J71" s="8" t="str">
        <f aca="false">VLOOKUP(B71,Table3[#All],2,0)</f>
        <v>Sales</v>
      </c>
      <c r="K71" s="8" t="str">
        <f aca="false">TEXT(ROW(), "0000")</f>
        <v>0071</v>
      </c>
      <c r="L71" s="8"/>
    </row>
    <row r="72" customFormat="false" ht="15.75" hidden="false" customHeight="true" outlineLevel="0" collapsed="false">
      <c r="A72" s="7" t="n">
        <v>45683</v>
      </c>
      <c r="B72" s="8" t="s">
        <v>29</v>
      </c>
      <c r="C72" s="9" t="n">
        <v>655</v>
      </c>
      <c r="D72" s="8" t="s">
        <v>13</v>
      </c>
      <c r="E72" s="10"/>
      <c r="F72" s="8" t="str">
        <f aca="false">TEXT(A72,"MM-YYYY")</f>
        <v>01-2025</v>
      </c>
      <c r="G72" s="8" t="s">
        <v>14</v>
      </c>
      <c r="H72" s="8" t="s">
        <v>15</v>
      </c>
      <c r="I72" s="7"/>
      <c r="J72" s="8" t="str">
        <f aca="false">VLOOKUP(B72,Table3[#All],2,0)</f>
        <v>Inventory</v>
      </c>
      <c r="K72" s="8" t="str">
        <f aca="false">TEXT(ROW(), "0000")</f>
        <v>0072</v>
      </c>
      <c r="L72" s="8"/>
    </row>
    <row r="73" customFormat="false" ht="15.75" hidden="false" customHeight="true" outlineLevel="0" collapsed="false">
      <c r="A73" s="7" t="n">
        <v>45683</v>
      </c>
      <c r="B73" s="8" t="s">
        <v>32</v>
      </c>
      <c r="C73" s="9" t="n">
        <v>485</v>
      </c>
      <c r="D73" s="8" t="s">
        <v>21</v>
      </c>
      <c r="E73" s="8" t="s">
        <v>38</v>
      </c>
      <c r="F73" s="8" t="str">
        <f aca="false">TEXT(A73,"MM-YYYY")</f>
        <v>01-2025</v>
      </c>
      <c r="G73" s="8" t="s">
        <v>14</v>
      </c>
      <c r="H73" s="8" t="s">
        <v>15</v>
      </c>
      <c r="I73" s="7"/>
      <c r="J73" s="8" t="str">
        <f aca="false">VLOOKUP(B73,Table3[#All],2,0)</f>
        <v>Grocery</v>
      </c>
      <c r="K73" s="8" t="str">
        <f aca="false">TEXT(ROW(), "0000")</f>
        <v>0073</v>
      </c>
      <c r="L73" s="8"/>
    </row>
    <row r="74" customFormat="false" ht="15.75" hidden="false" customHeight="true" outlineLevel="0" collapsed="false">
      <c r="A74" s="7" t="n">
        <v>45683</v>
      </c>
      <c r="B74" s="8" t="s">
        <v>60</v>
      </c>
      <c r="C74" s="9" t="n">
        <v>420</v>
      </c>
      <c r="D74" s="8" t="s">
        <v>21</v>
      </c>
      <c r="E74" s="10"/>
      <c r="F74" s="8" t="str">
        <f aca="false">TEXT(A74,"MM-YYYY")</f>
        <v>01-2025</v>
      </c>
      <c r="G74" s="8" t="s">
        <v>14</v>
      </c>
      <c r="H74" s="8" t="s">
        <v>15</v>
      </c>
      <c r="I74" s="7"/>
      <c r="J74" s="8" t="str">
        <f aca="false">VLOOKUP(B74,Table3[#All],2,0)</f>
        <v>Inventory</v>
      </c>
      <c r="K74" s="8" t="str">
        <f aca="false">TEXT(ROW(), "0000")</f>
        <v>0074</v>
      </c>
      <c r="L74" s="8"/>
    </row>
    <row r="75" customFormat="false" ht="15.75" hidden="false" customHeight="true" outlineLevel="0" collapsed="false">
      <c r="A75" s="7" t="n">
        <v>45683</v>
      </c>
      <c r="B75" s="8" t="s">
        <v>16</v>
      </c>
      <c r="C75" s="9" t="n">
        <v>320</v>
      </c>
      <c r="D75" s="8" t="s">
        <v>33</v>
      </c>
      <c r="E75" s="10"/>
      <c r="F75" s="8" t="str">
        <f aca="false">TEXT(A75,"MM-YYYY")</f>
        <v>01-2025</v>
      </c>
      <c r="G75" s="8"/>
      <c r="H75" s="8"/>
      <c r="I75" s="7"/>
      <c r="J75" s="8" t="str">
        <f aca="false">VLOOKUP(B75,Table3[#All],2,0)</f>
        <v>Sales</v>
      </c>
      <c r="K75" s="8" t="str">
        <f aca="false">TEXT(ROW(), "0000")</f>
        <v>0075</v>
      </c>
      <c r="L75" s="8"/>
    </row>
    <row r="76" customFormat="false" ht="15.75" hidden="false" customHeight="true" outlineLevel="0" collapsed="false">
      <c r="A76" s="7" t="n">
        <v>45683</v>
      </c>
      <c r="B76" s="8" t="s">
        <v>36</v>
      </c>
      <c r="C76" s="9" t="n">
        <v>185</v>
      </c>
      <c r="D76" s="8" t="s">
        <v>21</v>
      </c>
      <c r="E76" s="10"/>
      <c r="F76" s="8" t="str">
        <f aca="false">TEXT(A76,"MM-YYYY")</f>
        <v>01-2025</v>
      </c>
      <c r="G76" s="8" t="s">
        <v>14</v>
      </c>
      <c r="H76" s="8" t="s">
        <v>15</v>
      </c>
      <c r="I76" s="7"/>
      <c r="J76" s="8" t="str">
        <f aca="false">VLOOKUP(B76,Table3[#All],2,0)</f>
        <v>Maintance</v>
      </c>
      <c r="K76" s="8" t="str">
        <f aca="false">TEXT(ROW(), "0000")</f>
        <v>0076</v>
      </c>
      <c r="L76" s="8"/>
    </row>
    <row r="77" customFormat="false" ht="15.75" hidden="false" customHeight="true" outlineLevel="0" collapsed="false">
      <c r="A77" s="7" t="n">
        <v>45683</v>
      </c>
      <c r="B77" s="8" t="s">
        <v>34</v>
      </c>
      <c r="C77" s="9" t="n">
        <v>96</v>
      </c>
      <c r="D77" s="8" t="s">
        <v>21</v>
      </c>
      <c r="E77" s="10"/>
      <c r="F77" s="8" t="str">
        <f aca="false">TEXT(A77,"MM-YYYY")</f>
        <v>01-2025</v>
      </c>
      <c r="G77" s="8" t="s">
        <v>14</v>
      </c>
      <c r="H77" s="8" t="s">
        <v>15</v>
      </c>
      <c r="I77" s="7"/>
      <c r="J77" s="8" t="str">
        <f aca="false">VLOOKUP(B77,Table3[#All],2,0)</f>
        <v>Staff Expenses</v>
      </c>
      <c r="K77" s="8" t="str">
        <f aca="false">TEXT(ROW(), "0000")</f>
        <v>0077</v>
      </c>
      <c r="L77" s="8"/>
    </row>
    <row r="78" customFormat="false" ht="15.75" hidden="false" customHeight="true" outlineLevel="0" collapsed="false">
      <c r="A78" s="7" t="n">
        <v>45683</v>
      </c>
      <c r="B78" s="8" t="s">
        <v>53</v>
      </c>
      <c r="C78" s="9" t="n">
        <v>40</v>
      </c>
      <c r="D78" s="8" t="s">
        <v>21</v>
      </c>
      <c r="E78" s="8" t="s">
        <v>61</v>
      </c>
      <c r="F78" s="8" t="str">
        <f aca="false">TEXT(A78,"MM-YYYY")</f>
        <v>01-2025</v>
      </c>
      <c r="G78" s="8" t="s">
        <v>14</v>
      </c>
      <c r="H78" s="8" t="s">
        <v>15</v>
      </c>
      <c r="I78" s="7"/>
      <c r="J78" s="8" t="str">
        <f aca="false">VLOOKUP(B78,Table3[#All],2,0)</f>
        <v>Grocery</v>
      </c>
      <c r="K78" s="8" t="str">
        <f aca="false">TEXT(ROW(), "0000")</f>
        <v>0078</v>
      </c>
      <c r="L78" s="8"/>
    </row>
    <row r="79" customFormat="false" ht="15.75" hidden="false" customHeight="true" outlineLevel="0" collapsed="false">
      <c r="A79" s="7" t="n">
        <v>45683</v>
      </c>
      <c r="B79" s="8" t="s">
        <v>25</v>
      </c>
      <c r="C79" s="9" t="n">
        <v>40</v>
      </c>
      <c r="D79" s="8" t="s">
        <v>21</v>
      </c>
      <c r="E79" s="8" t="s">
        <v>42</v>
      </c>
      <c r="F79" s="8" t="str">
        <f aca="false">TEXT(A79,"MM-YYYY")</f>
        <v>01-2025</v>
      </c>
      <c r="G79" s="8" t="s">
        <v>14</v>
      </c>
      <c r="H79" s="8" t="s">
        <v>15</v>
      </c>
      <c r="I79" s="7"/>
      <c r="J79" s="8" t="str">
        <f aca="false">VLOOKUP(B79,Table3[#All],2,0)</f>
        <v>Inventory</v>
      </c>
      <c r="K79" s="8" t="str">
        <f aca="false">TEXT(ROW(), "0000")</f>
        <v>0079</v>
      </c>
      <c r="L79" s="8"/>
    </row>
    <row r="80" customFormat="false" ht="15.75" hidden="false" customHeight="true" outlineLevel="0" collapsed="false">
      <c r="A80" s="7" t="n">
        <v>45684</v>
      </c>
      <c r="B80" s="8" t="s">
        <v>16</v>
      </c>
      <c r="C80" s="9" t="n">
        <v>15670</v>
      </c>
      <c r="D80" s="8" t="s">
        <v>17</v>
      </c>
      <c r="E80" s="10"/>
      <c r="F80" s="8" t="str">
        <f aca="false">TEXT(A80,"MM-YYYY")</f>
        <v>01-2025</v>
      </c>
      <c r="G80" s="8"/>
      <c r="H80" s="8"/>
      <c r="I80" s="7"/>
      <c r="J80" s="8" t="str">
        <f aca="false">VLOOKUP(B80,Table3[#All],2,0)</f>
        <v>Sales</v>
      </c>
      <c r="K80" s="8" t="str">
        <f aca="false">TEXT(ROW(), "0000")</f>
        <v>0080</v>
      </c>
      <c r="L80" s="8"/>
    </row>
    <row r="81" customFormat="false" ht="15.75" hidden="false" customHeight="true" outlineLevel="0" collapsed="false">
      <c r="A81" s="7" t="n">
        <v>45684</v>
      </c>
      <c r="B81" s="8" t="s">
        <v>19</v>
      </c>
      <c r="C81" s="9" t="n">
        <v>3997</v>
      </c>
      <c r="D81" s="8" t="s">
        <v>13</v>
      </c>
      <c r="E81" s="10"/>
      <c r="F81" s="8" t="str">
        <f aca="false">TEXT(A81,"MM-YYYY")</f>
        <v>01-2025</v>
      </c>
      <c r="G81" s="8" t="s">
        <v>14</v>
      </c>
      <c r="H81" s="8" t="s">
        <v>15</v>
      </c>
      <c r="I81" s="7"/>
      <c r="J81" s="8" t="str">
        <f aca="false">VLOOKUP(B81,Table3[#All],2,0)</f>
        <v>Inventory</v>
      </c>
      <c r="K81" s="8" t="str">
        <f aca="false">TEXT(ROW(), "0000")</f>
        <v>0081</v>
      </c>
      <c r="L81" s="8"/>
    </row>
    <row r="82" customFormat="false" ht="15.75" hidden="false" customHeight="true" outlineLevel="0" collapsed="false">
      <c r="A82" s="7" t="n">
        <v>45684</v>
      </c>
      <c r="B82" s="8" t="s">
        <v>16</v>
      </c>
      <c r="C82" s="9" t="n">
        <v>2540</v>
      </c>
      <c r="D82" s="8" t="s">
        <v>21</v>
      </c>
      <c r="E82" s="10"/>
      <c r="F82" s="8" t="str">
        <f aca="false">TEXT(A82,"MM-YYYY")</f>
        <v>01-2025</v>
      </c>
      <c r="G82" s="8"/>
      <c r="H82" s="8"/>
      <c r="I82" s="7"/>
      <c r="J82" s="8" t="str">
        <f aca="false">VLOOKUP(B82,Table3[#All],2,0)</f>
        <v>Sales</v>
      </c>
      <c r="K82" s="8" t="str">
        <f aca="false">TEXT(ROW(), "0000")</f>
        <v>0082</v>
      </c>
      <c r="L82" s="8"/>
    </row>
    <row r="83" customFormat="false" ht="15.75" hidden="false" customHeight="true" outlineLevel="0" collapsed="false">
      <c r="A83" s="7" t="n">
        <v>45684</v>
      </c>
      <c r="B83" s="8" t="s">
        <v>16</v>
      </c>
      <c r="C83" s="9" t="n">
        <v>1500</v>
      </c>
      <c r="D83" s="8" t="s">
        <v>27</v>
      </c>
      <c r="E83" s="10"/>
      <c r="F83" s="8" t="str">
        <f aca="false">TEXT(A83,"MM-YYYY")</f>
        <v>01-2025</v>
      </c>
      <c r="G83" s="8"/>
      <c r="H83" s="8"/>
      <c r="I83" s="7"/>
      <c r="J83" s="8" t="str">
        <f aca="false">VLOOKUP(B83,Table3[#All],2,0)</f>
        <v>Sales</v>
      </c>
      <c r="K83" s="8" t="str">
        <f aca="false">TEXT(ROW(), "0000")</f>
        <v>0083</v>
      </c>
      <c r="L83" s="8"/>
    </row>
    <row r="84" customFormat="false" ht="15.75" hidden="false" customHeight="true" outlineLevel="0" collapsed="false">
      <c r="A84" s="7" t="n">
        <v>45684</v>
      </c>
      <c r="B84" s="8" t="s">
        <v>25</v>
      </c>
      <c r="C84" s="9" t="n">
        <v>1135</v>
      </c>
      <c r="D84" s="8" t="s">
        <v>13</v>
      </c>
      <c r="E84" s="10"/>
      <c r="F84" s="8" t="str">
        <f aca="false">TEXT(A84,"MM-YYYY")</f>
        <v>01-2025</v>
      </c>
      <c r="G84" s="8" t="s">
        <v>14</v>
      </c>
      <c r="H84" s="8" t="s">
        <v>15</v>
      </c>
      <c r="I84" s="7"/>
      <c r="J84" s="8" t="str">
        <f aca="false">VLOOKUP(B84,Table3[#All],2,0)</f>
        <v>Inventory</v>
      </c>
      <c r="K84" s="8" t="str">
        <f aca="false">TEXT(ROW(), "0000")</f>
        <v>0084</v>
      </c>
      <c r="L84" s="8"/>
    </row>
    <row r="85" customFormat="false" ht="15.75" hidden="false" customHeight="true" outlineLevel="0" collapsed="false">
      <c r="A85" s="7" t="n">
        <v>45684</v>
      </c>
      <c r="B85" s="8" t="s">
        <v>47</v>
      </c>
      <c r="C85" s="9" t="n">
        <v>840</v>
      </c>
      <c r="D85" s="8" t="s">
        <v>13</v>
      </c>
      <c r="E85" s="10"/>
      <c r="F85" s="8" t="str">
        <f aca="false">TEXT(A85,"MM-YYYY")</f>
        <v>01-2025</v>
      </c>
      <c r="G85" s="8" t="s">
        <v>14</v>
      </c>
      <c r="H85" s="8" t="s">
        <v>15</v>
      </c>
      <c r="I85" s="7"/>
      <c r="J85" s="8" t="str">
        <f aca="false">VLOOKUP(B85,Table3[#All],2,0)</f>
        <v>Inventory</v>
      </c>
      <c r="K85" s="8" t="str">
        <f aca="false">TEXT(ROW(), "0000")</f>
        <v>0085</v>
      </c>
      <c r="L85" s="8"/>
    </row>
    <row r="86" customFormat="false" ht="15.75" hidden="false" customHeight="true" outlineLevel="0" collapsed="false">
      <c r="A86" s="7" t="n">
        <v>45684</v>
      </c>
      <c r="B86" s="8" t="s">
        <v>16</v>
      </c>
      <c r="C86" s="9" t="n">
        <v>780</v>
      </c>
      <c r="D86" s="8" t="s">
        <v>59</v>
      </c>
      <c r="E86" s="10"/>
      <c r="F86" s="8" t="str">
        <f aca="false">TEXT(A86,"MM-YYYY")</f>
        <v>01-2025</v>
      </c>
      <c r="G86" s="8"/>
      <c r="H86" s="8"/>
      <c r="I86" s="7"/>
      <c r="J86" s="8" t="str">
        <f aca="false">VLOOKUP(B86,Table3[#All],2,0)</f>
        <v>Sales</v>
      </c>
      <c r="K86" s="8" t="str">
        <f aca="false">TEXT(ROW(), "0000")</f>
        <v>0086</v>
      </c>
      <c r="L86" s="8"/>
    </row>
    <row r="87" customFormat="false" ht="15.75" hidden="false" customHeight="true" outlineLevel="0" collapsed="false">
      <c r="A87" s="7" t="n">
        <v>45684</v>
      </c>
      <c r="B87" s="8" t="s">
        <v>16</v>
      </c>
      <c r="C87" s="9" t="n">
        <v>686</v>
      </c>
      <c r="D87" s="8" t="s">
        <v>24</v>
      </c>
      <c r="E87" s="10"/>
      <c r="F87" s="8" t="str">
        <f aca="false">TEXT(A87,"MM-YYYY")</f>
        <v>01-2025</v>
      </c>
      <c r="G87" s="8"/>
      <c r="H87" s="8"/>
      <c r="I87" s="7"/>
      <c r="J87" s="8" t="str">
        <f aca="false">VLOOKUP(B87,Table3[#All],2,0)</f>
        <v>Sales</v>
      </c>
      <c r="K87" s="8" t="str">
        <f aca="false">TEXT(ROW(), "0000")</f>
        <v>0087</v>
      </c>
      <c r="L87" s="8"/>
    </row>
    <row r="88" customFormat="false" ht="15.75" hidden="false" customHeight="true" outlineLevel="0" collapsed="false">
      <c r="A88" s="7" t="n">
        <v>45684</v>
      </c>
      <c r="B88" s="8" t="s">
        <v>25</v>
      </c>
      <c r="C88" s="9" t="n">
        <v>650</v>
      </c>
      <c r="D88" s="8" t="s">
        <v>21</v>
      </c>
      <c r="E88" s="8" t="s">
        <v>62</v>
      </c>
      <c r="F88" s="8" t="str">
        <f aca="false">TEXT(A88,"MM-YYYY")</f>
        <v>01-2025</v>
      </c>
      <c r="G88" s="8" t="s">
        <v>14</v>
      </c>
      <c r="H88" s="8" t="s">
        <v>15</v>
      </c>
      <c r="I88" s="7"/>
      <c r="J88" s="8" t="str">
        <f aca="false">VLOOKUP(B88,Table3[#All],2,0)</f>
        <v>Inventory</v>
      </c>
      <c r="K88" s="8" t="str">
        <f aca="false">TEXT(ROW(), "0000")</f>
        <v>0088</v>
      </c>
      <c r="L88" s="8"/>
    </row>
    <row r="89" customFormat="false" ht="15.75" hidden="false" customHeight="true" outlineLevel="0" collapsed="false">
      <c r="A89" s="7" t="n">
        <v>45684</v>
      </c>
      <c r="B89" s="8" t="s">
        <v>16</v>
      </c>
      <c r="C89" s="9" t="n">
        <v>614</v>
      </c>
      <c r="D89" s="8" t="s">
        <v>33</v>
      </c>
      <c r="E89" s="10"/>
      <c r="F89" s="8" t="str">
        <f aca="false">TEXT(A89,"MM-YYYY")</f>
        <v>01-2025</v>
      </c>
      <c r="G89" s="8"/>
      <c r="H89" s="8"/>
      <c r="I89" s="7"/>
      <c r="J89" s="8" t="str">
        <f aca="false">VLOOKUP(B89,Table3[#All],2,0)</f>
        <v>Sales</v>
      </c>
      <c r="K89" s="8" t="str">
        <f aca="false">TEXT(ROW(), "0000")</f>
        <v>0089</v>
      </c>
      <c r="L89" s="8"/>
    </row>
    <row r="90" customFormat="false" ht="15.75" hidden="false" customHeight="true" outlineLevel="0" collapsed="false">
      <c r="A90" s="7" t="n">
        <v>45684</v>
      </c>
      <c r="B90" s="8" t="s">
        <v>29</v>
      </c>
      <c r="C90" s="9" t="n">
        <v>526</v>
      </c>
      <c r="D90" s="8" t="s">
        <v>13</v>
      </c>
      <c r="E90" s="10"/>
      <c r="F90" s="8" t="str">
        <f aca="false">TEXT(A90,"MM-YYYY")</f>
        <v>01-2025</v>
      </c>
      <c r="G90" s="8" t="s">
        <v>14</v>
      </c>
      <c r="H90" s="8" t="s">
        <v>15</v>
      </c>
      <c r="I90" s="7"/>
      <c r="J90" s="8" t="str">
        <f aca="false">VLOOKUP(B90,Table3[#All],2,0)</f>
        <v>Inventory</v>
      </c>
      <c r="K90" s="8" t="str">
        <f aca="false">TEXT(ROW(), "0000")</f>
        <v>0090</v>
      </c>
      <c r="L90" s="8"/>
    </row>
    <row r="91" customFormat="false" ht="15.75" hidden="false" customHeight="true" outlineLevel="0" collapsed="false">
      <c r="A91" s="7" t="n">
        <v>45684</v>
      </c>
      <c r="B91" s="8" t="s">
        <v>63</v>
      </c>
      <c r="C91" s="9" t="n">
        <v>450</v>
      </c>
      <c r="D91" s="8" t="s">
        <v>21</v>
      </c>
      <c r="E91" s="8" t="s">
        <v>64</v>
      </c>
      <c r="F91" s="8" t="str">
        <f aca="false">TEXT(A91,"MM-YYYY")</f>
        <v>01-2025</v>
      </c>
      <c r="G91" s="8" t="s">
        <v>14</v>
      </c>
      <c r="H91" s="8" t="s">
        <v>15</v>
      </c>
      <c r="I91" s="7"/>
      <c r="J91" s="8" t="str">
        <f aca="false">VLOOKUP(B91,Table3[#All],2,0)</f>
        <v>Maintance</v>
      </c>
      <c r="K91" s="8" t="str">
        <f aca="false">TEXT(ROW(), "0000")</f>
        <v>0091</v>
      </c>
      <c r="L91" s="8"/>
    </row>
    <row r="92" customFormat="false" ht="15.75" hidden="false" customHeight="true" outlineLevel="0" collapsed="false">
      <c r="A92" s="7" t="n">
        <v>45684</v>
      </c>
      <c r="B92" s="8" t="s">
        <v>34</v>
      </c>
      <c r="C92" s="9" t="n">
        <v>125</v>
      </c>
      <c r="D92" s="8" t="s">
        <v>21</v>
      </c>
      <c r="E92" s="10"/>
      <c r="F92" s="8" t="str">
        <f aca="false">TEXT(A92,"MM-YYYY")</f>
        <v>01-2025</v>
      </c>
      <c r="G92" s="8" t="s">
        <v>14</v>
      </c>
      <c r="H92" s="8" t="s">
        <v>15</v>
      </c>
      <c r="I92" s="7"/>
      <c r="J92" s="8" t="str">
        <f aca="false">VLOOKUP(B92,Table3[#All],2,0)</f>
        <v>Staff Expenses</v>
      </c>
      <c r="K92" s="8" t="str">
        <f aca="false">TEXT(ROW(), "0000")</f>
        <v>0092</v>
      </c>
      <c r="L92" s="8"/>
    </row>
    <row r="93" customFormat="false" ht="15.75" hidden="false" customHeight="true" outlineLevel="0" collapsed="false">
      <c r="A93" s="7" t="n">
        <v>45684</v>
      </c>
      <c r="B93" s="8" t="s">
        <v>29</v>
      </c>
      <c r="C93" s="12" t="n">
        <v>35</v>
      </c>
      <c r="D93" s="8" t="s">
        <v>21</v>
      </c>
      <c r="E93" s="8" t="s">
        <v>65</v>
      </c>
      <c r="F93" s="8" t="str">
        <f aca="false">TEXT(A93,"MM-YYYY")</f>
        <v>01-2025</v>
      </c>
      <c r="G93" s="8" t="s">
        <v>14</v>
      </c>
      <c r="H93" s="8" t="s">
        <v>15</v>
      </c>
      <c r="I93" s="7"/>
      <c r="J93" s="8" t="str">
        <f aca="false">VLOOKUP(B93,Table3[#All],2,0)</f>
        <v>Inventory</v>
      </c>
      <c r="K93" s="8" t="str">
        <f aca="false">TEXT(ROW(), "0000")</f>
        <v>0093</v>
      </c>
      <c r="L93" s="8"/>
    </row>
    <row r="94" customFormat="false" ht="15.75" hidden="false" customHeight="true" outlineLevel="0" collapsed="false">
      <c r="A94" s="7" t="n">
        <v>45684</v>
      </c>
      <c r="B94" s="8" t="s">
        <v>37</v>
      </c>
      <c r="C94" s="9" t="n">
        <v>30</v>
      </c>
      <c r="D94" s="8" t="s">
        <v>21</v>
      </c>
      <c r="E94" s="10"/>
      <c r="F94" s="8" t="str">
        <f aca="false">TEXT(A94,"MM-YYYY")</f>
        <v>01-2025</v>
      </c>
      <c r="G94" s="8" t="s">
        <v>14</v>
      </c>
      <c r="H94" s="8" t="s">
        <v>15</v>
      </c>
      <c r="I94" s="7"/>
      <c r="J94" s="8" t="str">
        <f aca="false">VLOOKUP(B94,Table3[#All],2,0)</f>
        <v>Maintance</v>
      </c>
      <c r="K94" s="8" t="str">
        <f aca="false">TEXT(ROW(), "0000")</f>
        <v>0094</v>
      </c>
      <c r="L94" s="8"/>
    </row>
    <row r="95" customFormat="false" ht="15.75" hidden="false" customHeight="true" outlineLevel="0" collapsed="false">
      <c r="A95" s="7" t="n">
        <v>45685</v>
      </c>
      <c r="B95" s="8" t="s">
        <v>16</v>
      </c>
      <c r="C95" s="9" t="n">
        <v>13162</v>
      </c>
      <c r="D95" s="8" t="s">
        <v>17</v>
      </c>
      <c r="E95" s="10"/>
      <c r="F95" s="8" t="str">
        <f aca="false">TEXT(A95,"MM-YYYY")</f>
        <v>01-2025</v>
      </c>
      <c r="G95" s="8"/>
      <c r="H95" s="8"/>
      <c r="I95" s="7"/>
      <c r="J95" s="8" t="str">
        <f aca="false">VLOOKUP(B95,Table3[#All],2,0)</f>
        <v>Sales</v>
      </c>
      <c r="K95" s="8" t="str">
        <f aca="false">TEXT(ROW(), "0000")</f>
        <v>0095</v>
      </c>
      <c r="L95" s="8"/>
    </row>
    <row r="96" customFormat="false" ht="15.75" hidden="false" customHeight="true" outlineLevel="0" collapsed="false">
      <c r="A96" s="7" t="n">
        <v>45685</v>
      </c>
      <c r="B96" s="8" t="s">
        <v>22</v>
      </c>
      <c r="C96" s="9" t="n">
        <v>4708</v>
      </c>
      <c r="D96" s="8" t="s">
        <v>13</v>
      </c>
      <c r="E96" s="10"/>
      <c r="F96" s="8" t="str">
        <f aca="false">TEXT(A96,"MM-YYYY")</f>
        <v>01-2025</v>
      </c>
      <c r="G96" s="8" t="s">
        <v>14</v>
      </c>
      <c r="H96" s="8" t="s">
        <v>15</v>
      </c>
      <c r="I96" s="7"/>
      <c r="J96" s="8" t="str">
        <f aca="false">VLOOKUP(B96,Table3[#All],2,0)</f>
        <v>Inventory</v>
      </c>
      <c r="K96" s="8" t="str">
        <f aca="false">TEXT(ROW(), "0000")</f>
        <v>0096</v>
      </c>
      <c r="L96" s="8"/>
    </row>
    <row r="97" customFormat="false" ht="15.75" hidden="false" customHeight="true" outlineLevel="0" collapsed="false">
      <c r="A97" s="7" t="n">
        <v>45685</v>
      </c>
      <c r="B97" s="8" t="s">
        <v>19</v>
      </c>
      <c r="C97" s="9" t="n">
        <v>4204</v>
      </c>
      <c r="D97" s="8" t="s">
        <v>13</v>
      </c>
      <c r="E97" s="10"/>
      <c r="F97" s="8" t="str">
        <f aca="false">TEXT(A97,"MM-YYYY")</f>
        <v>01-2025</v>
      </c>
      <c r="G97" s="8" t="s">
        <v>14</v>
      </c>
      <c r="H97" s="8" t="s">
        <v>15</v>
      </c>
      <c r="I97" s="7"/>
      <c r="J97" s="8" t="str">
        <f aca="false">VLOOKUP(B97,Table3[#All],2,0)</f>
        <v>Inventory</v>
      </c>
      <c r="K97" s="8" t="str">
        <f aca="false">TEXT(ROW(), "0000")</f>
        <v>0097</v>
      </c>
      <c r="L97" s="8"/>
    </row>
    <row r="98" customFormat="false" ht="15.75" hidden="false" customHeight="true" outlineLevel="0" collapsed="false">
      <c r="A98" s="7" t="n">
        <v>45685</v>
      </c>
      <c r="B98" s="8" t="s">
        <v>16</v>
      </c>
      <c r="C98" s="9" t="n">
        <v>2415</v>
      </c>
      <c r="D98" s="8" t="s">
        <v>21</v>
      </c>
      <c r="E98" s="10"/>
      <c r="F98" s="8" t="str">
        <f aca="false">TEXT(A98,"MM-YYYY")</f>
        <v>01-2025</v>
      </c>
      <c r="G98" s="8"/>
      <c r="H98" s="8"/>
      <c r="I98" s="7"/>
      <c r="J98" s="8" t="str">
        <f aca="false">VLOOKUP(B98,Table3[#All],2,0)</f>
        <v>Sales</v>
      </c>
      <c r="K98" s="8" t="str">
        <f aca="false">TEXT(ROW(), "0000")</f>
        <v>0098</v>
      </c>
      <c r="L98" s="8"/>
    </row>
    <row r="99" customFormat="false" ht="15.75" hidden="false" customHeight="true" outlineLevel="0" collapsed="false">
      <c r="A99" s="7" t="n">
        <v>45685</v>
      </c>
      <c r="B99" s="8" t="s">
        <v>16</v>
      </c>
      <c r="C99" s="9" t="n">
        <v>1570</v>
      </c>
      <c r="D99" s="8" t="s">
        <v>27</v>
      </c>
      <c r="E99" s="10"/>
      <c r="F99" s="8" t="str">
        <f aca="false">TEXT(A99,"MM-YYYY")</f>
        <v>01-2025</v>
      </c>
      <c r="G99" s="8"/>
      <c r="H99" s="8"/>
      <c r="I99" s="7"/>
      <c r="J99" s="8" t="str">
        <f aca="false">VLOOKUP(B99,Table3[#All],2,0)</f>
        <v>Sales</v>
      </c>
      <c r="K99" s="8" t="str">
        <f aca="false">TEXT(ROW(), "0000")</f>
        <v>0099</v>
      </c>
      <c r="L99" s="8"/>
    </row>
    <row r="100" customFormat="false" ht="15.75" hidden="false" customHeight="true" outlineLevel="0" collapsed="false">
      <c r="A100" s="7" t="n">
        <v>45685</v>
      </c>
      <c r="B100" s="8" t="s">
        <v>25</v>
      </c>
      <c r="C100" s="9" t="n">
        <v>1533</v>
      </c>
      <c r="D100" s="8" t="s">
        <v>13</v>
      </c>
      <c r="E100" s="10"/>
      <c r="F100" s="8" t="str">
        <f aca="false">TEXT(A100,"MM-YYYY")</f>
        <v>01-2025</v>
      </c>
      <c r="G100" s="8" t="s">
        <v>14</v>
      </c>
      <c r="H100" s="8" t="s">
        <v>15</v>
      </c>
      <c r="I100" s="7"/>
      <c r="J100" s="8" t="str">
        <f aca="false">VLOOKUP(B100,Table3[#All],2,0)</f>
        <v>Inventory</v>
      </c>
      <c r="K100" s="8" t="str">
        <f aca="false">TEXT(ROW(), "0000")</f>
        <v>0100</v>
      </c>
      <c r="L100" s="8"/>
    </row>
    <row r="101" customFormat="false" ht="15.75" hidden="false" customHeight="true" outlineLevel="0" collapsed="false">
      <c r="A101" s="7" t="n">
        <v>45685</v>
      </c>
      <c r="B101" s="8" t="s">
        <v>25</v>
      </c>
      <c r="C101" s="9" t="n">
        <v>802</v>
      </c>
      <c r="D101" s="8" t="s">
        <v>21</v>
      </c>
      <c r="E101" s="8" t="s">
        <v>66</v>
      </c>
      <c r="F101" s="8" t="str">
        <f aca="false">TEXT(A101,"MM-YYYY")</f>
        <v>01-2025</v>
      </c>
      <c r="G101" s="8" t="s">
        <v>14</v>
      </c>
      <c r="H101" s="8" t="s">
        <v>15</v>
      </c>
      <c r="I101" s="7"/>
      <c r="J101" s="8" t="str">
        <f aca="false">VLOOKUP(B101,Table3[#All],2,0)</f>
        <v>Inventory</v>
      </c>
      <c r="K101" s="8" t="str">
        <f aca="false">TEXT(ROW(), "0000")</f>
        <v>0101</v>
      </c>
      <c r="L101" s="8"/>
    </row>
    <row r="102" customFormat="false" ht="15.75" hidden="false" customHeight="true" outlineLevel="0" collapsed="false">
      <c r="A102" s="7" t="n">
        <v>45685</v>
      </c>
      <c r="B102" s="8" t="s">
        <v>16</v>
      </c>
      <c r="C102" s="9" t="n">
        <v>602</v>
      </c>
      <c r="D102" s="8" t="s">
        <v>24</v>
      </c>
      <c r="E102" s="10"/>
      <c r="F102" s="8" t="str">
        <f aca="false">TEXT(A102,"MM-YYYY")</f>
        <v>01-2025</v>
      </c>
      <c r="G102" s="8"/>
      <c r="H102" s="8"/>
      <c r="I102" s="7"/>
      <c r="J102" s="8" t="str">
        <f aca="false">VLOOKUP(B102,Table3[#All],2,0)</f>
        <v>Sales</v>
      </c>
      <c r="K102" s="8" t="str">
        <f aca="false">TEXT(ROW(), "0000")</f>
        <v>0102</v>
      </c>
      <c r="L102" s="8"/>
    </row>
    <row r="103" customFormat="false" ht="15.75" hidden="false" customHeight="true" outlineLevel="0" collapsed="false">
      <c r="A103" s="7" t="n">
        <v>45685</v>
      </c>
      <c r="B103" s="8" t="s">
        <v>16</v>
      </c>
      <c r="C103" s="9" t="n">
        <v>585</v>
      </c>
      <c r="D103" s="8" t="s">
        <v>59</v>
      </c>
      <c r="E103" s="10"/>
      <c r="F103" s="8" t="str">
        <f aca="false">TEXT(A103,"MM-YYYY")</f>
        <v>01-2025</v>
      </c>
      <c r="G103" s="8"/>
      <c r="H103" s="8"/>
      <c r="I103" s="7"/>
      <c r="J103" s="8" t="str">
        <f aca="false">VLOOKUP(B103,Table3[#All],2,0)</f>
        <v>Sales</v>
      </c>
      <c r="K103" s="8" t="str">
        <f aca="false">TEXT(ROW(), "0000")</f>
        <v>0103</v>
      </c>
      <c r="L103" s="8"/>
    </row>
    <row r="104" customFormat="false" ht="15.75" hidden="false" customHeight="true" outlineLevel="0" collapsed="false">
      <c r="A104" s="7" t="n">
        <v>45685</v>
      </c>
      <c r="B104" s="8" t="s">
        <v>29</v>
      </c>
      <c r="C104" s="9" t="n">
        <v>519</v>
      </c>
      <c r="D104" s="8" t="s">
        <v>13</v>
      </c>
      <c r="E104" s="10"/>
      <c r="F104" s="8" t="str">
        <f aca="false">TEXT(A104,"MM-YYYY")</f>
        <v>01-2025</v>
      </c>
      <c r="G104" s="8" t="s">
        <v>14</v>
      </c>
      <c r="H104" s="8" t="s">
        <v>15</v>
      </c>
      <c r="I104" s="7"/>
      <c r="J104" s="8" t="str">
        <f aca="false">VLOOKUP(B104,Table3[#All],2,0)</f>
        <v>Inventory</v>
      </c>
      <c r="K104" s="8" t="str">
        <f aca="false">TEXT(ROW(), "0000")</f>
        <v>0104</v>
      </c>
      <c r="L104" s="8"/>
    </row>
    <row r="105" customFormat="false" ht="15.75" hidden="false" customHeight="true" outlineLevel="0" collapsed="false">
      <c r="A105" s="7" t="n">
        <v>45685</v>
      </c>
      <c r="B105" s="8" t="s">
        <v>56</v>
      </c>
      <c r="C105" s="9" t="n">
        <v>350</v>
      </c>
      <c r="D105" s="8" t="s">
        <v>21</v>
      </c>
      <c r="E105" s="10"/>
      <c r="F105" s="8" t="str">
        <f aca="false">TEXT(A105,"MM-YYYY")</f>
        <v>01-2025</v>
      </c>
      <c r="G105" s="8" t="s">
        <v>14</v>
      </c>
      <c r="H105" s="8" t="s">
        <v>15</v>
      </c>
      <c r="I105" s="7"/>
      <c r="J105" s="8" t="str">
        <f aca="false">VLOOKUP(B105,Table3[#All],2,0)</f>
        <v>New Inventory</v>
      </c>
      <c r="K105" s="8" t="str">
        <f aca="false">TEXT(ROW(), "0000")</f>
        <v>0105</v>
      </c>
      <c r="L105" s="8"/>
    </row>
    <row r="106" customFormat="false" ht="15.75" hidden="false" customHeight="true" outlineLevel="0" collapsed="false">
      <c r="A106" s="7" t="n">
        <v>45685</v>
      </c>
      <c r="B106" s="8" t="s">
        <v>34</v>
      </c>
      <c r="C106" s="9" t="n">
        <v>100</v>
      </c>
      <c r="D106" s="8" t="s">
        <v>21</v>
      </c>
      <c r="E106" s="10"/>
      <c r="F106" s="8" t="str">
        <f aca="false">TEXT(A106,"MM-YYYY")</f>
        <v>01-2025</v>
      </c>
      <c r="G106" s="8" t="s">
        <v>14</v>
      </c>
      <c r="H106" s="8" t="s">
        <v>15</v>
      </c>
      <c r="I106" s="7"/>
      <c r="J106" s="8" t="str">
        <f aca="false">VLOOKUP(B106,Table3[#All],2,0)</f>
        <v>Staff Expenses</v>
      </c>
      <c r="K106" s="8" t="str">
        <f aca="false">TEXT(ROW(), "0000")</f>
        <v>0106</v>
      </c>
      <c r="L106" s="8"/>
    </row>
    <row r="107" customFormat="false" ht="15.75" hidden="false" customHeight="true" outlineLevel="0" collapsed="false">
      <c r="A107" s="7" t="n">
        <v>45685</v>
      </c>
      <c r="B107" s="8" t="s">
        <v>53</v>
      </c>
      <c r="C107" s="9" t="n">
        <v>40</v>
      </c>
      <c r="D107" s="8" t="s">
        <v>21</v>
      </c>
      <c r="E107" s="8" t="s">
        <v>61</v>
      </c>
      <c r="F107" s="8" t="str">
        <f aca="false">TEXT(A107,"MM-YYYY")</f>
        <v>01-2025</v>
      </c>
      <c r="G107" s="8" t="s">
        <v>14</v>
      </c>
      <c r="H107" s="8" t="s">
        <v>15</v>
      </c>
      <c r="I107" s="7"/>
      <c r="J107" s="8" t="str">
        <f aca="false">VLOOKUP(B107,Table3[#All],2,0)</f>
        <v>Grocery</v>
      </c>
      <c r="K107" s="8" t="str">
        <f aca="false">TEXT(ROW(), "0000")</f>
        <v>0107</v>
      </c>
      <c r="L107" s="8"/>
    </row>
    <row r="108" customFormat="false" ht="15.75" hidden="false" customHeight="true" outlineLevel="0" collapsed="false">
      <c r="A108" s="7" t="n">
        <v>45685</v>
      </c>
      <c r="B108" s="8" t="s">
        <v>37</v>
      </c>
      <c r="C108" s="9" t="n">
        <v>23</v>
      </c>
      <c r="D108" s="8" t="s">
        <v>21</v>
      </c>
      <c r="E108" s="10"/>
      <c r="F108" s="8" t="str">
        <f aca="false">TEXT(A108,"MM-YYYY")</f>
        <v>01-2025</v>
      </c>
      <c r="G108" s="8" t="s">
        <v>14</v>
      </c>
      <c r="H108" s="8" t="s">
        <v>15</v>
      </c>
      <c r="I108" s="7"/>
      <c r="J108" s="8" t="str">
        <f aca="false">VLOOKUP(B108,Table3[#All],2,0)</f>
        <v>Maintance</v>
      </c>
      <c r="K108" s="8" t="str">
        <f aca="false">TEXT(ROW(), "0000")</f>
        <v>0108</v>
      </c>
      <c r="L108" s="8"/>
    </row>
    <row r="109" customFormat="false" ht="15.75" hidden="false" customHeight="true" outlineLevel="0" collapsed="false">
      <c r="A109" s="7" t="n">
        <v>45686</v>
      </c>
      <c r="B109" s="8" t="s">
        <v>16</v>
      </c>
      <c r="C109" s="9" t="n">
        <v>9785</v>
      </c>
      <c r="D109" s="8" t="s">
        <v>17</v>
      </c>
      <c r="E109" s="10"/>
      <c r="F109" s="8" t="str">
        <f aca="false">TEXT(A109,"MM-YYYY")</f>
        <v>01-2025</v>
      </c>
      <c r="G109" s="8"/>
      <c r="H109" s="8"/>
      <c r="I109" s="7"/>
      <c r="J109" s="8" t="str">
        <f aca="false">VLOOKUP(B109,Table3[#All],2,0)</f>
        <v>Sales</v>
      </c>
      <c r="K109" s="8" t="str">
        <f aca="false">TEXT(ROW(), "0000")</f>
        <v>0109</v>
      </c>
      <c r="L109" s="8"/>
    </row>
    <row r="110" customFormat="false" ht="15.75" hidden="false" customHeight="true" outlineLevel="0" collapsed="false">
      <c r="A110" s="7" t="n">
        <v>45686</v>
      </c>
      <c r="B110" s="8" t="s">
        <v>56</v>
      </c>
      <c r="C110" s="9" t="n">
        <v>7428</v>
      </c>
      <c r="D110" s="8" t="s">
        <v>13</v>
      </c>
      <c r="E110" s="10"/>
      <c r="F110" s="8" t="str">
        <f aca="false">TEXT(A110,"MM-YYYY")</f>
        <v>01-2025</v>
      </c>
      <c r="G110" s="8" t="s">
        <v>14</v>
      </c>
      <c r="H110" s="8" t="s">
        <v>15</v>
      </c>
      <c r="I110" s="7"/>
      <c r="J110" s="8" t="str">
        <f aca="false">VLOOKUP(B110,Table3[#All],2,0)</f>
        <v>New Inventory</v>
      </c>
      <c r="K110" s="8" t="str">
        <f aca="false">TEXT(ROW(), "0000")</f>
        <v>0110</v>
      </c>
      <c r="L110" s="8"/>
    </row>
    <row r="111" customFormat="false" ht="15.75" hidden="false" customHeight="true" outlineLevel="0" collapsed="false">
      <c r="A111" s="7" t="n">
        <v>45686</v>
      </c>
      <c r="B111" s="8" t="s">
        <v>16</v>
      </c>
      <c r="C111" s="9" t="n">
        <v>3160</v>
      </c>
      <c r="D111" s="8" t="s">
        <v>33</v>
      </c>
      <c r="E111" s="10"/>
      <c r="F111" s="8" t="str">
        <f aca="false">TEXT(A111,"MM-YYYY")</f>
        <v>01-2025</v>
      </c>
      <c r="G111" s="8"/>
      <c r="H111" s="8"/>
      <c r="I111" s="7"/>
      <c r="J111" s="8" t="str">
        <f aca="false">VLOOKUP(B111,Table3[#All],2,0)</f>
        <v>Sales</v>
      </c>
      <c r="K111" s="8" t="str">
        <f aca="false">TEXT(ROW(), "0000")</f>
        <v>0111</v>
      </c>
      <c r="L111" s="8"/>
    </row>
    <row r="112" customFormat="false" ht="15.75" hidden="false" customHeight="true" outlineLevel="0" collapsed="false">
      <c r="A112" s="7" t="n">
        <v>45686</v>
      </c>
      <c r="B112" s="8" t="s">
        <v>16</v>
      </c>
      <c r="C112" s="9" t="n">
        <v>2710</v>
      </c>
      <c r="D112" s="8" t="s">
        <v>21</v>
      </c>
      <c r="E112" s="10"/>
      <c r="F112" s="8" t="str">
        <f aca="false">TEXT(A112,"MM-YYYY")</f>
        <v>01-2025</v>
      </c>
      <c r="G112" s="8"/>
      <c r="H112" s="8"/>
      <c r="I112" s="7"/>
      <c r="J112" s="8" t="str">
        <f aca="false">VLOOKUP(B112,Table3[#All],2,0)</f>
        <v>Sales</v>
      </c>
      <c r="K112" s="8" t="str">
        <f aca="false">TEXT(ROW(), "0000")</f>
        <v>0112</v>
      </c>
      <c r="L112" s="8"/>
    </row>
    <row r="113" customFormat="false" ht="15.75" hidden="false" customHeight="true" outlineLevel="0" collapsed="false">
      <c r="A113" s="7" t="n">
        <v>45686</v>
      </c>
      <c r="B113" s="8" t="s">
        <v>16</v>
      </c>
      <c r="C113" s="9" t="n">
        <v>1772</v>
      </c>
      <c r="D113" s="8" t="s">
        <v>24</v>
      </c>
      <c r="E113" s="10"/>
      <c r="F113" s="8" t="str">
        <f aca="false">TEXT(A113,"MM-YYYY")</f>
        <v>01-2025</v>
      </c>
      <c r="G113" s="8"/>
      <c r="H113" s="8"/>
      <c r="I113" s="7"/>
      <c r="J113" s="8" t="str">
        <f aca="false">VLOOKUP(B113,Table3[#All],2,0)</f>
        <v>Sales</v>
      </c>
      <c r="K113" s="8" t="str">
        <f aca="false">TEXT(ROW(), "0000")</f>
        <v>0113</v>
      </c>
      <c r="L113" s="8"/>
    </row>
    <row r="114" customFormat="false" ht="15.75" hidden="false" customHeight="true" outlineLevel="0" collapsed="false">
      <c r="A114" s="7" t="n">
        <v>45686</v>
      </c>
      <c r="B114" s="8" t="s">
        <v>47</v>
      </c>
      <c r="C114" s="9" t="n">
        <v>1680</v>
      </c>
      <c r="D114" s="8" t="s">
        <v>13</v>
      </c>
      <c r="E114" s="10"/>
      <c r="F114" s="8" t="str">
        <f aca="false">TEXT(A114,"MM-YYYY")</f>
        <v>01-2025</v>
      </c>
      <c r="G114" s="8" t="s">
        <v>14</v>
      </c>
      <c r="H114" s="8" t="s">
        <v>15</v>
      </c>
      <c r="I114" s="7"/>
      <c r="J114" s="8" t="str">
        <f aca="false">VLOOKUP(B114,Table3[#All],2,0)</f>
        <v>Inventory</v>
      </c>
      <c r="K114" s="8" t="str">
        <f aca="false">TEXT(ROW(), "0000")</f>
        <v>0114</v>
      </c>
      <c r="L114" s="8"/>
    </row>
    <row r="115" customFormat="false" ht="15.75" hidden="false" customHeight="true" outlineLevel="0" collapsed="false">
      <c r="A115" s="7" t="n">
        <v>45686</v>
      </c>
      <c r="B115" s="8" t="s">
        <v>53</v>
      </c>
      <c r="C115" s="9" t="n">
        <v>1200</v>
      </c>
      <c r="D115" s="8" t="s">
        <v>21</v>
      </c>
      <c r="E115" s="8" t="s">
        <v>54</v>
      </c>
      <c r="F115" s="8" t="str">
        <f aca="false">TEXT(A115,"MM-YYYY")</f>
        <v>01-2025</v>
      </c>
      <c r="G115" s="8" t="s">
        <v>14</v>
      </c>
      <c r="H115" s="8" t="s">
        <v>15</v>
      </c>
      <c r="I115" s="7"/>
      <c r="J115" s="8" t="str">
        <f aca="false">VLOOKUP(B115,Table3[#All],2,0)</f>
        <v>Grocery</v>
      </c>
      <c r="K115" s="8" t="str">
        <f aca="false">TEXT(ROW(), "0000")</f>
        <v>0115</v>
      </c>
      <c r="L115" s="8"/>
    </row>
    <row r="116" customFormat="false" ht="15.75" hidden="false" customHeight="true" outlineLevel="0" collapsed="false">
      <c r="A116" s="7" t="n">
        <v>45686</v>
      </c>
      <c r="B116" s="8" t="s">
        <v>53</v>
      </c>
      <c r="C116" s="9" t="n">
        <v>1200</v>
      </c>
      <c r="D116" s="8" t="s">
        <v>21</v>
      </c>
      <c r="E116" s="8" t="s">
        <v>55</v>
      </c>
      <c r="F116" s="8" t="str">
        <f aca="false">TEXT(A116,"MM-YYYY")</f>
        <v>01-2025</v>
      </c>
      <c r="G116" s="8" t="s">
        <v>14</v>
      </c>
      <c r="H116" s="8" t="s">
        <v>15</v>
      </c>
      <c r="I116" s="7"/>
      <c r="J116" s="8" t="str">
        <f aca="false">VLOOKUP(B116,Table3[#All],2,0)</f>
        <v>Grocery</v>
      </c>
      <c r="K116" s="8" t="str">
        <f aca="false">TEXT(ROW(), "0000")</f>
        <v>0116</v>
      </c>
      <c r="L116" s="8"/>
    </row>
    <row r="117" customFormat="false" ht="15.75" hidden="false" customHeight="true" outlineLevel="0" collapsed="false">
      <c r="A117" s="7" t="n">
        <v>45686</v>
      </c>
      <c r="B117" s="8" t="s">
        <v>29</v>
      </c>
      <c r="C117" s="9" t="n">
        <v>467</v>
      </c>
      <c r="D117" s="8" t="s">
        <v>13</v>
      </c>
      <c r="E117" s="10"/>
      <c r="F117" s="8" t="str">
        <f aca="false">TEXT(A117,"MM-YYYY")</f>
        <v>01-2025</v>
      </c>
      <c r="G117" s="8" t="s">
        <v>14</v>
      </c>
      <c r="H117" s="8" t="s">
        <v>15</v>
      </c>
      <c r="I117" s="7"/>
      <c r="J117" s="8" t="str">
        <f aca="false">VLOOKUP(B117,Table3[#All],2,0)</f>
        <v>Inventory</v>
      </c>
      <c r="K117" s="8" t="str">
        <f aca="false">TEXT(ROW(), "0000")</f>
        <v>0117</v>
      </c>
      <c r="L117" s="8"/>
    </row>
    <row r="118" customFormat="false" ht="15.75" hidden="false" customHeight="true" outlineLevel="0" collapsed="false">
      <c r="A118" s="7" t="n">
        <v>45686</v>
      </c>
      <c r="B118" s="8" t="s">
        <v>34</v>
      </c>
      <c r="C118" s="9" t="n">
        <v>210</v>
      </c>
      <c r="D118" s="8" t="s">
        <v>21</v>
      </c>
      <c r="E118" s="10"/>
      <c r="F118" s="8" t="str">
        <f aca="false">TEXT(A118,"MM-YYYY")</f>
        <v>01-2025</v>
      </c>
      <c r="G118" s="8" t="s">
        <v>14</v>
      </c>
      <c r="H118" s="8" t="s">
        <v>15</v>
      </c>
      <c r="I118" s="7"/>
      <c r="J118" s="8" t="str">
        <f aca="false">VLOOKUP(B118,Table3[#All],2,0)</f>
        <v>Staff Expenses</v>
      </c>
      <c r="K118" s="8" t="str">
        <f aca="false">TEXT(ROW(), "0000")</f>
        <v>0118</v>
      </c>
      <c r="L118" s="8"/>
    </row>
    <row r="119" customFormat="false" ht="15.75" hidden="false" customHeight="true" outlineLevel="0" collapsed="false">
      <c r="A119" s="7" t="n">
        <v>45686</v>
      </c>
      <c r="B119" s="8" t="s">
        <v>25</v>
      </c>
      <c r="C119" s="9" t="n">
        <v>201</v>
      </c>
      <c r="D119" s="8" t="s">
        <v>13</v>
      </c>
      <c r="E119" s="10"/>
      <c r="F119" s="8" t="str">
        <f aca="false">TEXT(A119,"MM-YYYY")</f>
        <v>01-2025</v>
      </c>
      <c r="G119" s="8" t="s">
        <v>14</v>
      </c>
      <c r="H119" s="8" t="s">
        <v>15</v>
      </c>
      <c r="I119" s="7"/>
      <c r="J119" s="8" t="str">
        <f aca="false">VLOOKUP(B119,Table3[#All],2,0)</f>
        <v>Inventory</v>
      </c>
      <c r="K119" s="8" t="str">
        <f aca="false">TEXT(ROW(), "0000")</f>
        <v>0119</v>
      </c>
      <c r="L119" s="8"/>
    </row>
    <row r="120" customFormat="false" ht="15.75" hidden="false" customHeight="true" outlineLevel="0" collapsed="false">
      <c r="A120" s="7" t="n">
        <v>45686</v>
      </c>
      <c r="B120" s="8" t="s">
        <v>31</v>
      </c>
      <c r="C120" s="9" t="n">
        <v>100</v>
      </c>
      <c r="D120" s="8" t="s">
        <v>45</v>
      </c>
      <c r="E120" s="10"/>
      <c r="F120" s="8" t="str">
        <f aca="false">TEXT(A120,"MM-YYYY")</f>
        <v>01-2025</v>
      </c>
      <c r="G120" s="8" t="s">
        <v>14</v>
      </c>
      <c r="H120" s="8" t="s">
        <v>15</v>
      </c>
      <c r="I120" s="7"/>
      <c r="J120" s="8" t="str">
        <f aca="false">VLOOKUP(B120,Table3[#All],2,0)</f>
        <v>Bike Maintance</v>
      </c>
      <c r="K120" s="8" t="str">
        <f aca="false">TEXT(ROW(), "0000")</f>
        <v>0120</v>
      </c>
      <c r="L120" s="8"/>
    </row>
    <row r="121" customFormat="false" ht="15.75" hidden="false" customHeight="true" outlineLevel="0" collapsed="false">
      <c r="A121" s="7" t="n">
        <v>45686</v>
      </c>
      <c r="B121" s="8" t="s">
        <v>29</v>
      </c>
      <c r="C121" s="9" t="n">
        <v>30</v>
      </c>
      <c r="D121" s="8" t="s">
        <v>21</v>
      </c>
      <c r="E121" s="8" t="s">
        <v>65</v>
      </c>
      <c r="F121" s="8" t="str">
        <f aca="false">TEXT(A121,"MM-YYYY")</f>
        <v>01-2025</v>
      </c>
      <c r="G121" s="8" t="s">
        <v>14</v>
      </c>
      <c r="H121" s="8" t="s">
        <v>15</v>
      </c>
      <c r="I121" s="7"/>
      <c r="J121" s="8" t="str">
        <f aca="false">VLOOKUP(B121,Table3[#All],2,0)</f>
        <v>Inventory</v>
      </c>
      <c r="K121" s="8" t="str">
        <f aca="false">TEXT(ROW(), "0000")</f>
        <v>0121</v>
      </c>
      <c r="L121" s="8"/>
    </row>
    <row r="122" customFormat="false" ht="15.75" hidden="false" customHeight="true" outlineLevel="0" collapsed="false">
      <c r="A122" s="7" t="n">
        <v>45686</v>
      </c>
      <c r="B122" s="8" t="s">
        <v>37</v>
      </c>
      <c r="C122" s="9" t="n">
        <v>20</v>
      </c>
      <c r="D122" s="8" t="s">
        <v>21</v>
      </c>
      <c r="E122" s="10"/>
      <c r="F122" s="8" t="str">
        <f aca="false">TEXT(A122,"MM-YYYY")</f>
        <v>01-2025</v>
      </c>
      <c r="G122" s="8" t="s">
        <v>14</v>
      </c>
      <c r="H122" s="8" t="s">
        <v>15</v>
      </c>
      <c r="I122" s="7"/>
      <c r="J122" s="8" t="str">
        <f aca="false">VLOOKUP(B122,Table3[#All],2,0)</f>
        <v>Maintance</v>
      </c>
      <c r="K122" s="8" t="str">
        <f aca="false">TEXT(ROW(), "0000")</f>
        <v>0122</v>
      </c>
      <c r="L122" s="8"/>
    </row>
    <row r="123" customFormat="false" ht="15.75" hidden="false" customHeight="true" outlineLevel="0" collapsed="false">
      <c r="A123" s="7" t="n">
        <v>45687</v>
      </c>
      <c r="B123" s="8" t="s">
        <v>16</v>
      </c>
      <c r="C123" s="9" t="n">
        <v>11791</v>
      </c>
      <c r="D123" s="8" t="s">
        <v>17</v>
      </c>
      <c r="E123" s="10"/>
      <c r="F123" s="8" t="str">
        <f aca="false">TEXT(A123,"MM-YYYY")</f>
        <v>01-2025</v>
      </c>
      <c r="G123" s="8"/>
      <c r="H123" s="8"/>
      <c r="I123" s="7"/>
      <c r="J123" s="8" t="str">
        <f aca="false">VLOOKUP(B123,Table3[#All],2,0)</f>
        <v>Sales</v>
      </c>
      <c r="K123" s="8" t="str">
        <f aca="false">TEXT(ROW(), "0000")</f>
        <v>0123</v>
      </c>
      <c r="L123" s="8"/>
    </row>
    <row r="124" customFormat="false" ht="15.75" hidden="false" customHeight="true" outlineLevel="0" collapsed="false">
      <c r="A124" s="7" t="n">
        <v>45687</v>
      </c>
      <c r="B124" s="8" t="s">
        <v>67</v>
      </c>
      <c r="C124" s="9" t="n">
        <v>8500</v>
      </c>
      <c r="D124" s="8" t="s">
        <v>13</v>
      </c>
      <c r="E124" s="10"/>
      <c r="F124" s="8" t="str">
        <f aca="false">TEXT(A124,"MM-YYYY")</f>
        <v>01-2025</v>
      </c>
      <c r="G124" s="8" t="s">
        <v>14</v>
      </c>
      <c r="H124" s="8" t="s">
        <v>15</v>
      </c>
      <c r="I124" s="7"/>
      <c r="J124" s="8" t="str">
        <f aca="false">VLOOKUP(B124,Table3[#All],2,0)</f>
        <v>Fixed Maintance</v>
      </c>
      <c r="K124" s="8" t="str">
        <f aca="false">TEXT(ROW(), "0000")</f>
        <v>0124</v>
      </c>
      <c r="L124" s="8"/>
    </row>
    <row r="125" customFormat="false" ht="15.75" hidden="false" customHeight="true" outlineLevel="0" collapsed="false">
      <c r="A125" s="7" t="n">
        <v>45687</v>
      </c>
      <c r="B125" s="8" t="s">
        <v>19</v>
      </c>
      <c r="C125" s="9" t="n">
        <v>6170</v>
      </c>
      <c r="D125" s="8" t="s">
        <v>13</v>
      </c>
      <c r="E125" s="10"/>
      <c r="F125" s="8" t="str">
        <f aca="false">TEXT(A125,"MM-YYYY")</f>
        <v>01-2025</v>
      </c>
      <c r="G125" s="8" t="s">
        <v>14</v>
      </c>
      <c r="H125" s="8" t="s">
        <v>15</v>
      </c>
      <c r="I125" s="7"/>
      <c r="J125" s="8" t="str">
        <f aca="false">VLOOKUP(B125,Table3[#All],2,0)</f>
        <v>Inventory</v>
      </c>
      <c r="K125" s="8" t="str">
        <f aca="false">TEXT(ROW(), "0000")</f>
        <v>0125</v>
      </c>
      <c r="L125" s="8"/>
    </row>
    <row r="126" customFormat="false" ht="15.75" hidden="false" customHeight="true" outlineLevel="0" collapsed="false">
      <c r="A126" s="7" t="n">
        <v>45687</v>
      </c>
      <c r="B126" s="8" t="s">
        <v>22</v>
      </c>
      <c r="C126" s="9" t="n">
        <v>3181</v>
      </c>
      <c r="D126" s="8" t="s">
        <v>13</v>
      </c>
      <c r="E126" s="10"/>
      <c r="F126" s="8" t="str">
        <f aca="false">TEXT(A126,"MM-YYYY")</f>
        <v>01-2025</v>
      </c>
      <c r="G126" s="8" t="s">
        <v>14</v>
      </c>
      <c r="H126" s="8" t="s">
        <v>15</v>
      </c>
      <c r="I126" s="7"/>
      <c r="J126" s="8" t="str">
        <f aca="false">VLOOKUP(B126,Table3[#All],2,0)</f>
        <v>Inventory</v>
      </c>
      <c r="K126" s="8" t="str">
        <f aca="false">TEXT(ROW(), "0000")</f>
        <v>0126</v>
      </c>
      <c r="L126" s="8"/>
    </row>
    <row r="127" customFormat="false" ht="15.75" hidden="false" customHeight="true" outlineLevel="0" collapsed="false">
      <c r="A127" s="7" t="n">
        <v>45687</v>
      </c>
      <c r="B127" s="8" t="s">
        <v>16</v>
      </c>
      <c r="C127" s="9" t="n">
        <v>2930</v>
      </c>
      <c r="D127" s="8" t="s">
        <v>33</v>
      </c>
      <c r="E127" s="10"/>
      <c r="F127" s="8" t="str">
        <f aca="false">TEXT(A127,"MM-YYYY")</f>
        <v>01-2025</v>
      </c>
      <c r="G127" s="8"/>
      <c r="H127" s="8"/>
      <c r="I127" s="7"/>
      <c r="J127" s="8" t="str">
        <f aca="false">VLOOKUP(B127,Table3[#All],2,0)</f>
        <v>Sales</v>
      </c>
      <c r="K127" s="8" t="str">
        <f aca="false">TEXT(ROW(), "0000")</f>
        <v>0127</v>
      </c>
      <c r="L127" s="8"/>
    </row>
    <row r="128" customFormat="false" ht="15.75" hidden="false" customHeight="true" outlineLevel="0" collapsed="false">
      <c r="A128" s="7" t="n">
        <v>45687</v>
      </c>
      <c r="B128" s="8" t="s">
        <v>44</v>
      </c>
      <c r="C128" s="9" t="n">
        <v>2000</v>
      </c>
      <c r="D128" s="8" t="s">
        <v>45</v>
      </c>
      <c r="E128" s="8" t="s">
        <v>68</v>
      </c>
      <c r="F128" s="8" t="str">
        <f aca="false">TEXT(A128,"MM-YYYY")</f>
        <v>01-2025</v>
      </c>
      <c r="G128" s="8" t="s">
        <v>14</v>
      </c>
      <c r="H128" s="8" t="s">
        <v>15</v>
      </c>
      <c r="I128" s="7"/>
      <c r="J128" s="8" t="str">
        <f aca="false">VLOOKUP(B128,Table3[#All],2,0)</f>
        <v>Salary</v>
      </c>
      <c r="K128" s="8" t="str">
        <f aca="false">TEXT(ROW(), "0000")</f>
        <v>0128</v>
      </c>
      <c r="L128" s="8"/>
    </row>
    <row r="129" customFormat="false" ht="15.75" hidden="false" customHeight="true" outlineLevel="0" collapsed="false">
      <c r="A129" s="7" t="n">
        <v>45687</v>
      </c>
      <c r="B129" s="8" t="s">
        <v>16</v>
      </c>
      <c r="C129" s="9" t="n">
        <v>1700</v>
      </c>
      <c r="D129" s="8" t="s">
        <v>21</v>
      </c>
      <c r="E129" s="10"/>
      <c r="F129" s="8" t="str">
        <f aca="false">TEXT(A129,"MM-YYYY")</f>
        <v>01-2025</v>
      </c>
      <c r="G129" s="8"/>
      <c r="H129" s="8"/>
      <c r="I129" s="7"/>
      <c r="J129" s="8" t="str">
        <f aca="false">VLOOKUP(B129,Table3[#All],2,0)</f>
        <v>Sales</v>
      </c>
      <c r="K129" s="8" t="str">
        <f aca="false">TEXT(ROW(), "0000")</f>
        <v>0129</v>
      </c>
      <c r="L129" s="8"/>
    </row>
    <row r="130" customFormat="false" ht="15.75" hidden="false" customHeight="true" outlineLevel="0" collapsed="false">
      <c r="A130" s="7" t="n">
        <v>45687</v>
      </c>
      <c r="B130" s="8" t="s">
        <v>16</v>
      </c>
      <c r="C130" s="9" t="n">
        <v>989</v>
      </c>
      <c r="D130" s="8" t="s">
        <v>24</v>
      </c>
      <c r="E130" s="10"/>
      <c r="F130" s="8" t="str">
        <f aca="false">TEXT(A130,"MM-YYYY")</f>
        <v>01-2025</v>
      </c>
      <c r="G130" s="8"/>
      <c r="H130" s="8"/>
      <c r="I130" s="7"/>
      <c r="J130" s="8" t="str">
        <f aca="false">VLOOKUP(B130,Table3[#All],2,0)</f>
        <v>Sales</v>
      </c>
      <c r="K130" s="8" t="str">
        <f aca="false">TEXT(ROW(), "0000")</f>
        <v>0130</v>
      </c>
      <c r="L130" s="8"/>
    </row>
    <row r="131" customFormat="false" ht="15.75" hidden="false" customHeight="true" outlineLevel="0" collapsed="false">
      <c r="A131" s="7" t="n">
        <v>45687</v>
      </c>
      <c r="B131" s="8" t="s">
        <v>25</v>
      </c>
      <c r="C131" s="9" t="n">
        <v>848</v>
      </c>
      <c r="D131" s="8" t="s">
        <v>13</v>
      </c>
      <c r="E131" s="10"/>
      <c r="F131" s="8" t="str">
        <f aca="false">TEXT(A131,"MM-YYYY")</f>
        <v>01-2025</v>
      </c>
      <c r="G131" s="8" t="s">
        <v>14</v>
      </c>
      <c r="H131" s="8" t="s">
        <v>15</v>
      </c>
      <c r="I131" s="7"/>
      <c r="J131" s="8" t="str">
        <f aca="false">VLOOKUP(B131,Table3[#All],2,0)</f>
        <v>Inventory</v>
      </c>
      <c r="K131" s="8" t="str">
        <f aca="false">TEXT(ROW(), "0000")</f>
        <v>0131</v>
      </c>
      <c r="L131" s="8"/>
    </row>
    <row r="132" customFormat="false" ht="15.75" hidden="false" customHeight="true" outlineLevel="0" collapsed="false">
      <c r="A132" s="7" t="n">
        <v>45687</v>
      </c>
      <c r="B132" s="8" t="s">
        <v>16</v>
      </c>
      <c r="C132" s="9" t="n">
        <v>530</v>
      </c>
      <c r="D132" s="8" t="s">
        <v>27</v>
      </c>
      <c r="E132" s="10"/>
      <c r="F132" s="8" t="str">
        <f aca="false">TEXT(A132,"MM-YYYY")</f>
        <v>01-2025</v>
      </c>
      <c r="G132" s="8"/>
      <c r="H132" s="8"/>
      <c r="I132" s="7"/>
      <c r="J132" s="8" t="str">
        <f aca="false">VLOOKUP(B132,Table3[#All],2,0)</f>
        <v>Sales</v>
      </c>
      <c r="K132" s="8" t="str">
        <f aca="false">TEXT(ROW(), "0000")</f>
        <v>0132</v>
      </c>
      <c r="L132" s="8"/>
    </row>
    <row r="133" customFormat="false" ht="15.75" hidden="false" customHeight="true" outlineLevel="0" collapsed="false">
      <c r="A133" s="7" t="n">
        <v>45687</v>
      </c>
      <c r="B133" s="8" t="s">
        <v>16</v>
      </c>
      <c r="C133" s="9" t="n">
        <v>500</v>
      </c>
      <c r="D133" s="8" t="s">
        <v>59</v>
      </c>
      <c r="E133" s="10"/>
      <c r="F133" s="8" t="str">
        <f aca="false">TEXT(A133,"MM-YYYY")</f>
        <v>01-2025</v>
      </c>
      <c r="G133" s="8"/>
      <c r="H133" s="8"/>
      <c r="I133" s="7"/>
      <c r="J133" s="8" t="str">
        <f aca="false">VLOOKUP(B133,Table3[#All],2,0)</f>
        <v>Sales</v>
      </c>
      <c r="K133" s="8" t="str">
        <f aca="false">TEXT(ROW(), "0000")</f>
        <v>0133</v>
      </c>
      <c r="L133" s="8"/>
    </row>
    <row r="134" customFormat="false" ht="15.75" hidden="false" customHeight="true" outlineLevel="0" collapsed="false">
      <c r="A134" s="7" t="n">
        <v>45687</v>
      </c>
      <c r="B134" s="8" t="s">
        <v>29</v>
      </c>
      <c r="C134" s="9" t="n">
        <v>495</v>
      </c>
      <c r="D134" s="8" t="s">
        <v>13</v>
      </c>
      <c r="E134" s="10"/>
      <c r="F134" s="8" t="str">
        <f aca="false">TEXT(A134,"MM-YYYY")</f>
        <v>01-2025</v>
      </c>
      <c r="G134" s="8" t="s">
        <v>14</v>
      </c>
      <c r="H134" s="8" t="s">
        <v>15</v>
      </c>
      <c r="I134" s="7"/>
      <c r="J134" s="8" t="str">
        <f aca="false">VLOOKUP(B134,Table3[#All],2,0)</f>
        <v>Inventory</v>
      </c>
      <c r="K134" s="8" t="str">
        <f aca="false">TEXT(ROW(), "0000")</f>
        <v>0134</v>
      </c>
      <c r="L134" s="8"/>
    </row>
    <row r="135" customFormat="false" ht="15.75" hidden="false" customHeight="true" outlineLevel="0" collapsed="false">
      <c r="A135" s="7" t="n">
        <v>45687</v>
      </c>
      <c r="B135" s="8" t="s">
        <v>34</v>
      </c>
      <c r="C135" s="9" t="n">
        <v>100</v>
      </c>
      <c r="D135" s="8" t="s">
        <v>21</v>
      </c>
      <c r="E135" s="10"/>
      <c r="F135" s="8" t="str">
        <f aca="false">TEXT(A135,"MM-YYYY")</f>
        <v>01-2025</v>
      </c>
      <c r="G135" s="8" t="s">
        <v>14</v>
      </c>
      <c r="H135" s="8" t="s">
        <v>15</v>
      </c>
      <c r="I135" s="7"/>
      <c r="J135" s="8" t="str">
        <f aca="false">VLOOKUP(B135,Table3[#All],2,0)</f>
        <v>Staff Expenses</v>
      </c>
      <c r="K135" s="8" t="str">
        <f aca="false">TEXT(ROW(), "0000")</f>
        <v>0135</v>
      </c>
      <c r="L135" s="8"/>
    </row>
    <row r="136" customFormat="false" ht="15.75" hidden="false" customHeight="true" outlineLevel="0" collapsed="false">
      <c r="A136" s="7" t="n">
        <v>45688</v>
      </c>
      <c r="B136" s="8" t="s">
        <v>16</v>
      </c>
      <c r="C136" s="9" t="n">
        <v>19723</v>
      </c>
      <c r="D136" s="8" t="s">
        <v>17</v>
      </c>
      <c r="E136" s="10"/>
      <c r="F136" s="8" t="str">
        <f aca="false">TEXT(A136,"MM-YYYY")</f>
        <v>01-2025</v>
      </c>
      <c r="G136" s="8"/>
      <c r="H136" s="8"/>
      <c r="I136" s="7"/>
      <c r="J136" s="8" t="str">
        <f aca="false">VLOOKUP(B136,Table3[#All],2,0)</f>
        <v>Sales</v>
      </c>
      <c r="K136" s="8" t="str">
        <f aca="false">TEXT(ROW(), "0000")</f>
        <v>0136</v>
      </c>
      <c r="L136" s="8"/>
    </row>
    <row r="137" customFormat="false" ht="15.75" hidden="false" customHeight="true" outlineLevel="0" collapsed="false">
      <c r="A137" s="7" t="n">
        <v>45688</v>
      </c>
      <c r="B137" s="8" t="s">
        <v>56</v>
      </c>
      <c r="C137" s="9" t="n">
        <v>16800</v>
      </c>
      <c r="D137" s="8" t="s">
        <v>13</v>
      </c>
      <c r="E137" s="10"/>
      <c r="F137" s="8" t="str">
        <f aca="false">TEXT(A137,"MM-YYYY")</f>
        <v>01-2025</v>
      </c>
      <c r="G137" s="8" t="s">
        <v>14</v>
      </c>
      <c r="H137" s="8" t="s">
        <v>15</v>
      </c>
      <c r="I137" s="7"/>
      <c r="J137" s="8" t="str">
        <f aca="false">VLOOKUP(B137,Table3[#All],2,0)</f>
        <v>New Inventory</v>
      </c>
      <c r="K137" s="8" t="str">
        <f aca="false">TEXT(ROW(), "0000")</f>
        <v>0137</v>
      </c>
      <c r="L137" s="8"/>
    </row>
    <row r="138" customFormat="false" ht="15.75" hidden="false" customHeight="true" outlineLevel="0" collapsed="false">
      <c r="A138" s="7" t="n">
        <v>45688</v>
      </c>
      <c r="B138" s="8" t="s">
        <v>19</v>
      </c>
      <c r="C138" s="9" t="n">
        <v>5930</v>
      </c>
      <c r="D138" s="8" t="s">
        <v>13</v>
      </c>
      <c r="E138" s="10"/>
      <c r="F138" s="8" t="str">
        <f aca="false">TEXT(A138,"MM-YYYY")</f>
        <v>01-2025</v>
      </c>
      <c r="G138" s="8" t="s">
        <v>14</v>
      </c>
      <c r="H138" s="8" t="s">
        <v>15</v>
      </c>
      <c r="I138" s="7"/>
      <c r="J138" s="8" t="str">
        <f aca="false">VLOOKUP(B138,Table3[#All],2,0)</f>
        <v>Inventory</v>
      </c>
      <c r="K138" s="8" t="str">
        <f aca="false">TEXT(ROW(), "0000")</f>
        <v>0138</v>
      </c>
      <c r="L138" s="8"/>
    </row>
    <row r="139" customFormat="false" ht="15.75" hidden="false" customHeight="true" outlineLevel="0" collapsed="false">
      <c r="A139" s="7" t="n">
        <v>45688</v>
      </c>
      <c r="B139" s="8" t="s">
        <v>22</v>
      </c>
      <c r="C139" s="9" t="n">
        <v>3216</v>
      </c>
      <c r="D139" s="8" t="s">
        <v>13</v>
      </c>
      <c r="E139" s="10"/>
      <c r="F139" s="8" t="str">
        <f aca="false">TEXT(A139,"MM-YYYY")</f>
        <v>01-2025</v>
      </c>
      <c r="G139" s="8" t="s">
        <v>14</v>
      </c>
      <c r="H139" s="8" t="s">
        <v>15</v>
      </c>
      <c r="I139" s="7"/>
      <c r="J139" s="8" t="str">
        <f aca="false">VLOOKUP(B139,Table3[#All],2,0)</f>
        <v>Inventory</v>
      </c>
      <c r="K139" s="8" t="str">
        <f aca="false">TEXT(ROW(), "0000")</f>
        <v>0139</v>
      </c>
      <c r="L139" s="8"/>
    </row>
    <row r="140" customFormat="false" ht="15.75" hidden="false" customHeight="true" outlineLevel="0" collapsed="false">
      <c r="A140" s="7" t="n">
        <v>45688</v>
      </c>
      <c r="B140" s="8" t="s">
        <v>16</v>
      </c>
      <c r="C140" s="9" t="n">
        <v>2060</v>
      </c>
      <c r="D140" s="8" t="s">
        <v>24</v>
      </c>
      <c r="E140" s="10"/>
      <c r="F140" s="8" t="str">
        <f aca="false">TEXT(A140,"MM-YYYY")</f>
        <v>01-2025</v>
      </c>
      <c r="G140" s="8"/>
      <c r="H140" s="8"/>
      <c r="I140" s="7"/>
      <c r="J140" s="8" t="str">
        <f aca="false">VLOOKUP(B140,Table3[#All],2,0)</f>
        <v>Sales</v>
      </c>
      <c r="K140" s="8" t="str">
        <f aca="false">TEXT(ROW(), "0000")</f>
        <v>0140</v>
      </c>
      <c r="L140" s="8"/>
    </row>
    <row r="141" customFormat="false" ht="15.75" hidden="false" customHeight="true" outlineLevel="0" collapsed="false">
      <c r="A141" s="7" t="n">
        <v>45688</v>
      </c>
      <c r="B141" s="8" t="s">
        <v>16</v>
      </c>
      <c r="C141" s="9" t="n">
        <v>1840</v>
      </c>
      <c r="D141" s="8" t="s">
        <v>21</v>
      </c>
      <c r="E141" s="10"/>
      <c r="F141" s="8" t="str">
        <f aca="false">TEXT(A141,"MM-YYYY")</f>
        <v>01-2025</v>
      </c>
      <c r="G141" s="8"/>
      <c r="H141" s="8"/>
      <c r="I141" s="7"/>
      <c r="J141" s="8" t="str">
        <f aca="false">VLOOKUP(B141,Table3[#All],2,0)</f>
        <v>Sales</v>
      </c>
      <c r="K141" s="8" t="str">
        <f aca="false">TEXT(ROW(), "0000")</f>
        <v>0141</v>
      </c>
      <c r="L141" s="8"/>
    </row>
    <row r="142" customFormat="false" ht="15.75" hidden="false" customHeight="true" outlineLevel="0" collapsed="false">
      <c r="A142" s="7" t="n">
        <v>45688</v>
      </c>
      <c r="B142" s="8" t="s">
        <v>25</v>
      </c>
      <c r="C142" s="9" t="n">
        <v>1741</v>
      </c>
      <c r="D142" s="8" t="s">
        <v>13</v>
      </c>
      <c r="E142" s="10"/>
      <c r="F142" s="8" t="str">
        <f aca="false">TEXT(A142,"MM-YYYY")</f>
        <v>01-2025</v>
      </c>
      <c r="G142" s="8" t="s">
        <v>14</v>
      </c>
      <c r="H142" s="8" t="s">
        <v>15</v>
      </c>
      <c r="I142" s="7"/>
      <c r="J142" s="8" t="str">
        <f aca="false">VLOOKUP(B142,Table3[#All],2,0)</f>
        <v>Inventory</v>
      </c>
      <c r="K142" s="8" t="str">
        <f aca="false">TEXT(ROW(), "0000")</f>
        <v>0142</v>
      </c>
      <c r="L142" s="8"/>
    </row>
    <row r="143" customFormat="false" ht="15.75" hidden="false" customHeight="true" outlineLevel="0" collapsed="false">
      <c r="A143" s="7" t="n">
        <v>45688</v>
      </c>
      <c r="B143" s="8" t="s">
        <v>69</v>
      </c>
      <c r="C143" s="9" t="n">
        <v>1500</v>
      </c>
      <c r="D143" s="8" t="s">
        <v>45</v>
      </c>
      <c r="E143" s="10"/>
      <c r="F143" s="8" t="str">
        <f aca="false">TEXT(A143,"MM-YYYY")</f>
        <v>01-2025</v>
      </c>
      <c r="G143" s="8" t="s">
        <v>14</v>
      </c>
      <c r="H143" s="8" t="s">
        <v>15</v>
      </c>
      <c r="I143" s="7"/>
      <c r="J143" s="8" t="str">
        <f aca="false">VLOOKUP(B143,Table3[#All],2,0)</f>
        <v>Fixed Maintance</v>
      </c>
      <c r="K143" s="8" t="str">
        <f aca="false">TEXT(ROW(), "0000")</f>
        <v>0143</v>
      </c>
      <c r="L143" s="8"/>
    </row>
    <row r="144" customFormat="false" ht="15.75" hidden="false" customHeight="true" outlineLevel="0" collapsed="false">
      <c r="A144" s="7" t="n">
        <v>45688</v>
      </c>
      <c r="B144" s="8" t="s">
        <v>16</v>
      </c>
      <c r="C144" s="9" t="n">
        <v>1395</v>
      </c>
      <c r="D144" s="8" t="s">
        <v>27</v>
      </c>
      <c r="E144" s="10"/>
      <c r="F144" s="8" t="str">
        <f aca="false">TEXT(A144,"MM-YYYY")</f>
        <v>01-2025</v>
      </c>
      <c r="G144" s="8"/>
      <c r="H144" s="8"/>
      <c r="I144" s="7"/>
      <c r="J144" s="8" t="str">
        <f aca="false">VLOOKUP(B144,Table3[#All],2,0)</f>
        <v>Sales</v>
      </c>
      <c r="K144" s="8" t="str">
        <f aca="false">TEXT(ROW(), "0000")</f>
        <v>0144</v>
      </c>
      <c r="L144" s="8"/>
    </row>
    <row r="145" customFormat="false" ht="15.75" hidden="false" customHeight="true" outlineLevel="0" collapsed="false">
      <c r="A145" s="7" t="n">
        <v>45688</v>
      </c>
      <c r="B145" s="8" t="s">
        <v>29</v>
      </c>
      <c r="C145" s="9" t="n">
        <v>599</v>
      </c>
      <c r="D145" s="8" t="s">
        <v>13</v>
      </c>
      <c r="E145" s="10"/>
      <c r="F145" s="8" t="str">
        <f aca="false">TEXT(A145,"MM-YYYY")</f>
        <v>01-2025</v>
      </c>
      <c r="G145" s="8" t="s">
        <v>14</v>
      </c>
      <c r="H145" s="8" t="s">
        <v>15</v>
      </c>
      <c r="I145" s="7"/>
      <c r="J145" s="8" t="str">
        <f aca="false">VLOOKUP(B145,Table3[#All],2,0)</f>
        <v>Inventory</v>
      </c>
      <c r="K145" s="8" t="str">
        <f aca="false">TEXT(ROW(), "0000")</f>
        <v>0145</v>
      </c>
      <c r="L145" s="8"/>
    </row>
    <row r="146" customFormat="false" ht="15.75" hidden="false" customHeight="true" outlineLevel="0" collapsed="false">
      <c r="A146" s="7" t="n">
        <v>45688</v>
      </c>
      <c r="B146" s="8" t="s">
        <v>32</v>
      </c>
      <c r="C146" s="9" t="n">
        <v>455</v>
      </c>
      <c r="D146" s="8" t="s">
        <v>21</v>
      </c>
      <c r="E146" s="10"/>
      <c r="F146" s="8" t="str">
        <f aca="false">TEXT(A146,"MM-YYYY")</f>
        <v>01-2025</v>
      </c>
      <c r="G146" s="8" t="s">
        <v>14</v>
      </c>
      <c r="H146" s="8" t="s">
        <v>15</v>
      </c>
      <c r="I146" s="7"/>
      <c r="J146" s="8" t="str">
        <f aca="false">VLOOKUP(B146,Table3[#All],2,0)</f>
        <v>Grocery</v>
      </c>
      <c r="K146" s="8" t="str">
        <f aca="false">TEXT(ROW(), "0000")</f>
        <v>0146</v>
      </c>
      <c r="L146" s="8"/>
    </row>
    <row r="147" customFormat="false" ht="15.75" hidden="false" customHeight="true" outlineLevel="0" collapsed="false">
      <c r="A147" s="7" t="n">
        <v>45688</v>
      </c>
      <c r="B147" s="8" t="s">
        <v>16</v>
      </c>
      <c r="C147" s="9" t="n">
        <v>210</v>
      </c>
      <c r="D147" s="8" t="s">
        <v>70</v>
      </c>
      <c r="E147" s="10"/>
      <c r="F147" s="8" t="str">
        <f aca="false">TEXT(A147,"MM-YYYY")</f>
        <v>01-2025</v>
      </c>
      <c r="G147" s="8"/>
      <c r="H147" s="8"/>
      <c r="I147" s="7"/>
      <c r="J147" s="8" t="str">
        <f aca="false">VLOOKUP(B147,Table3[#All],2,0)</f>
        <v>Sales</v>
      </c>
      <c r="K147" s="8" t="str">
        <f aca="false">TEXT(ROW(), "0000")</f>
        <v>0147</v>
      </c>
      <c r="L147" s="8"/>
    </row>
    <row r="148" customFormat="false" ht="15.75" hidden="false" customHeight="true" outlineLevel="0" collapsed="false">
      <c r="A148" s="7" t="n">
        <v>45688</v>
      </c>
      <c r="B148" s="8" t="s">
        <v>16</v>
      </c>
      <c r="C148" s="9" t="n">
        <v>150</v>
      </c>
      <c r="D148" s="8" t="s">
        <v>33</v>
      </c>
      <c r="E148" s="10"/>
      <c r="F148" s="8" t="str">
        <f aca="false">TEXT(A148,"MM-YYYY")</f>
        <v>01-2025</v>
      </c>
      <c r="G148" s="8"/>
      <c r="H148" s="8"/>
      <c r="I148" s="7"/>
      <c r="J148" s="8" t="str">
        <f aca="false">VLOOKUP(B148,Table3[#All],2,0)</f>
        <v>Sales</v>
      </c>
      <c r="K148" s="8" t="str">
        <f aca="false">TEXT(ROW(), "0000")</f>
        <v>0148</v>
      </c>
      <c r="L148" s="8"/>
    </row>
    <row r="149" customFormat="false" ht="15.75" hidden="false" customHeight="true" outlineLevel="0" collapsed="false">
      <c r="A149" s="7" t="n">
        <v>45688</v>
      </c>
      <c r="B149" s="8" t="s">
        <v>34</v>
      </c>
      <c r="C149" s="9" t="n">
        <v>100</v>
      </c>
      <c r="D149" s="8" t="s">
        <v>21</v>
      </c>
      <c r="E149" s="10"/>
      <c r="F149" s="8" t="str">
        <f aca="false">TEXT(A149,"MM-YYYY")</f>
        <v>01-2025</v>
      </c>
      <c r="G149" s="8" t="s">
        <v>14</v>
      </c>
      <c r="H149" s="8" t="s">
        <v>15</v>
      </c>
      <c r="I149" s="7"/>
      <c r="J149" s="8" t="str">
        <f aca="false">VLOOKUP(B149,Table3[#All],2,0)</f>
        <v>Staff Expenses</v>
      </c>
      <c r="K149" s="8" t="str">
        <f aca="false">TEXT(ROW(), "0000")</f>
        <v>0149</v>
      </c>
      <c r="L149" s="8"/>
    </row>
    <row r="150" customFormat="false" ht="15.75" hidden="false" customHeight="true" outlineLevel="0" collapsed="false">
      <c r="A150" s="7" t="n">
        <v>45688</v>
      </c>
      <c r="B150" s="8" t="s">
        <v>29</v>
      </c>
      <c r="C150" s="9" t="n">
        <v>90</v>
      </c>
      <c r="D150" s="8" t="s">
        <v>21</v>
      </c>
      <c r="E150" s="8" t="s">
        <v>41</v>
      </c>
      <c r="F150" s="8" t="str">
        <f aca="false">TEXT(A150,"MM-YYYY")</f>
        <v>01-2025</v>
      </c>
      <c r="G150" s="8" t="s">
        <v>14</v>
      </c>
      <c r="H150" s="8" t="s">
        <v>15</v>
      </c>
      <c r="I150" s="7"/>
      <c r="J150" s="8" t="str">
        <f aca="false">VLOOKUP(B150,Table3[#All],2,0)</f>
        <v>Inventory</v>
      </c>
      <c r="K150" s="8" t="str">
        <f aca="false">TEXT(ROW(), "0000")</f>
        <v>0150</v>
      </c>
      <c r="L150" s="8"/>
    </row>
    <row r="151" customFormat="false" ht="15.75" hidden="false" customHeight="true" outlineLevel="0" collapsed="false">
      <c r="A151" s="7" t="n">
        <v>45688</v>
      </c>
      <c r="B151" s="8" t="s">
        <v>25</v>
      </c>
      <c r="C151" s="9" t="n">
        <v>60</v>
      </c>
      <c r="D151" s="8" t="s">
        <v>21</v>
      </c>
      <c r="E151" s="8" t="s">
        <v>42</v>
      </c>
      <c r="F151" s="8" t="str">
        <f aca="false">TEXT(A151,"MM-YYYY")</f>
        <v>01-2025</v>
      </c>
      <c r="G151" s="8" t="s">
        <v>14</v>
      </c>
      <c r="H151" s="8" t="s">
        <v>15</v>
      </c>
      <c r="I151" s="7"/>
      <c r="J151" s="8" t="str">
        <f aca="false">VLOOKUP(B151,Table3[#All],2,0)</f>
        <v>Inventory</v>
      </c>
      <c r="K151" s="8" t="str">
        <f aca="false">TEXT(ROW(), "0000")</f>
        <v>0151</v>
      </c>
      <c r="L151" s="8"/>
    </row>
    <row r="152" customFormat="false" ht="15.75" hidden="false" customHeight="true" outlineLevel="0" collapsed="false">
      <c r="A152" s="7" t="n">
        <v>45688</v>
      </c>
      <c r="B152" s="8" t="s">
        <v>37</v>
      </c>
      <c r="C152" s="9" t="n">
        <v>35</v>
      </c>
      <c r="D152" s="8" t="s">
        <v>21</v>
      </c>
      <c r="E152" s="10"/>
      <c r="F152" s="8" t="str">
        <f aca="false">TEXT(A152,"MM-YYYY")</f>
        <v>01-2025</v>
      </c>
      <c r="G152" s="8" t="s">
        <v>14</v>
      </c>
      <c r="H152" s="8" t="s">
        <v>15</v>
      </c>
      <c r="I152" s="7"/>
      <c r="J152" s="8" t="str">
        <f aca="false">VLOOKUP(B152,Table3[#All],2,0)</f>
        <v>Maintance</v>
      </c>
      <c r="K152" s="8" t="str">
        <f aca="false">TEXT(ROW(), "0000")</f>
        <v>0152</v>
      </c>
      <c r="L152" s="8"/>
    </row>
    <row r="153" customFormat="false" ht="15.75" hidden="false" customHeight="true" outlineLevel="0" collapsed="false">
      <c r="A153" s="7" t="n">
        <v>45689</v>
      </c>
      <c r="B153" s="8" t="s">
        <v>16</v>
      </c>
      <c r="C153" s="9" t="n">
        <v>18947</v>
      </c>
      <c r="D153" s="8" t="s">
        <v>17</v>
      </c>
      <c r="E153" s="10"/>
      <c r="F153" s="8" t="str">
        <f aca="false">TEXT(A153,"MM-YYYY")</f>
        <v>02-2025</v>
      </c>
      <c r="G153" s="8"/>
      <c r="H153" s="8"/>
      <c r="I153" s="7"/>
      <c r="J153" s="8" t="str">
        <f aca="false">VLOOKUP(B153,Table3[#All],2,0)</f>
        <v>Sales</v>
      </c>
      <c r="K153" s="8" t="str">
        <f aca="false">TEXT(ROW(), "0000")</f>
        <v>0153</v>
      </c>
      <c r="L153" s="8"/>
    </row>
    <row r="154" customFormat="false" ht="15.75" hidden="false" customHeight="true" outlineLevel="0" collapsed="false">
      <c r="A154" s="7" t="n">
        <v>45689</v>
      </c>
      <c r="B154" s="8" t="s">
        <v>22</v>
      </c>
      <c r="C154" s="9" t="n">
        <v>6500</v>
      </c>
      <c r="D154" s="8" t="s">
        <v>13</v>
      </c>
      <c r="E154" s="8" t="s">
        <v>71</v>
      </c>
      <c r="F154" s="8" t="str">
        <f aca="false">TEXT(A154,"MM-YYYY")</f>
        <v>02-2025</v>
      </c>
      <c r="G154" s="8" t="s">
        <v>14</v>
      </c>
      <c r="H154" s="8" t="s">
        <v>15</v>
      </c>
      <c r="I154" s="7"/>
      <c r="J154" s="8" t="str">
        <f aca="false">VLOOKUP(B154,Table3[#All],2,0)</f>
        <v>Inventory</v>
      </c>
      <c r="K154" s="8" t="str">
        <f aca="false">TEXT(ROW(), "0000")</f>
        <v>0154</v>
      </c>
      <c r="L154" s="8"/>
    </row>
    <row r="155" customFormat="false" ht="15.75" hidden="false" customHeight="true" outlineLevel="0" collapsed="false">
      <c r="A155" s="7" t="n">
        <v>45689</v>
      </c>
      <c r="B155" s="8" t="s">
        <v>16</v>
      </c>
      <c r="C155" s="9" t="n">
        <v>5015</v>
      </c>
      <c r="D155" s="8" t="s">
        <v>21</v>
      </c>
      <c r="E155" s="10"/>
      <c r="F155" s="8" t="str">
        <f aca="false">TEXT(A155,"MM-YYYY")</f>
        <v>02-2025</v>
      </c>
      <c r="G155" s="8"/>
      <c r="H155" s="8"/>
      <c r="I155" s="7"/>
      <c r="J155" s="8" t="str">
        <f aca="false">VLOOKUP(B155,Table3[#All],2,0)</f>
        <v>Sales</v>
      </c>
      <c r="K155" s="8" t="str">
        <f aca="false">TEXT(ROW(), "0000")</f>
        <v>0155</v>
      </c>
      <c r="L155" s="8"/>
    </row>
    <row r="156" customFormat="false" ht="15.75" hidden="false" customHeight="true" outlineLevel="0" collapsed="false">
      <c r="A156" s="7" t="n">
        <v>45689</v>
      </c>
      <c r="B156" s="8" t="s">
        <v>16</v>
      </c>
      <c r="C156" s="9" t="n">
        <v>2285</v>
      </c>
      <c r="D156" s="8" t="s">
        <v>27</v>
      </c>
      <c r="E156" s="10"/>
      <c r="F156" s="8" t="str">
        <f aca="false">TEXT(A156,"MM-YYYY")</f>
        <v>02-2025</v>
      </c>
      <c r="G156" s="8"/>
      <c r="H156" s="8"/>
      <c r="I156" s="7"/>
      <c r="J156" s="8" t="str">
        <f aca="false">VLOOKUP(B156,Table3[#All],2,0)</f>
        <v>Sales</v>
      </c>
      <c r="K156" s="8" t="str">
        <f aca="false">TEXT(ROW(), "0000")</f>
        <v>0156</v>
      </c>
      <c r="L156" s="8"/>
    </row>
    <row r="157" customFormat="false" ht="15.75" hidden="false" customHeight="true" outlineLevel="0" collapsed="false">
      <c r="A157" s="7" t="n">
        <v>45689</v>
      </c>
      <c r="B157" s="8" t="s">
        <v>47</v>
      </c>
      <c r="C157" s="9" t="n">
        <v>1680</v>
      </c>
      <c r="D157" s="8" t="s">
        <v>13</v>
      </c>
      <c r="E157" s="10"/>
      <c r="F157" s="8" t="str">
        <f aca="false">TEXT(A157,"MM-YYYY")</f>
        <v>02-2025</v>
      </c>
      <c r="G157" s="8" t="s">
        <v>14</v>
      </c>
      <c r="H157" s="8" t="s">
        <v>15</v>
      </c>
      <c r="I157" s="7"/>
      <c r="J157" s="8" t="str">
        <f aca="false">VLOOKUP(B157,Table3[#All],2,0)</f>
        <v>Inventory</v>
      </c>
      <c r="K157" s="8" t="str">
        <f aca="false">TEXT(ROW(), "0000")</f>
        <v>0157</v>
      </c>
      <c r="L157" s="8"/>
    </row>
    <row r="158" customFormat="false" ht="15.75" hidden="false" customHeight="true" outlineLevel="0" collapsed="false">
      <c r="A158" s="7" t="n">
        <v>45689</v>
      </c>
      <c r="B158" s="8" t="s">
        <v>40</v>
      </c>
      <c r="C158" s="9" t="n">
        <v>1680</v>
      </c>
      <c r="D158" s="8" t="s">
        <v>21</v>
      </c>
      <c r="E158" s="10"/>
      <c r="F158" s="8" t="str">
        <f aca="false">TEXT(A158,"MM-YYYY")</f>
        <v>02-2025</v>
      </c>
      <c r="G158" s="8" t="s">
        <v>14</v>
      </c>
      <c r="H158" s="8" t="s">
        <v>15</v>
      </c>
      <c r="I158" s="7"/>
      <c r="J158" s="8" t="str">
        <f aca="false">VLOOKUP(B158,Table3[#All],2,0)</f>
        <v>Inventory</v>
      </c>
      <c r="K158" s="8" t="str">
        <f aca="false">TEXT(ROW(), "0000")</f>
        <v>0158</v>
      </c>
      <c r="L158" s="8"/>
    </row>
    <row r="159" customFormat="false" ht="15.75" hidden="false" customHeight="true" outlineLevel="0" collapsed="false">
      <c r="A159" s="7" t="n">
        <v>45689</v>
      </c>
      <c r="B159" s="8" t="s">
        <v>19</v>
      </c>
      <c r="C159" s="9" t="n">
        <v>1454</v>
      </c>
      <c r="D159" s="8" t="s">
        <v>13</v>
      </c>
      <c r="E159" s="10"/>
      <c r="F159" s="8" t="str">
        <f aca="false">TEXT(A159,"MM-YYYY")</f>
        <v>02-2025</v>
      </c>
      <c r="G159" s="8" t="s">
        <v>14</v>
      </c>
      <c r="H159" s="8" t="s">
        <v>15</v>
      </c>
      <c r="I159" s="7"/>
      <c r="J159" s="8" t="str">
        <f aca="false">VLOOKUP(B159,Table3[#All],2,0)</f>
        <v>Inventory</v>
      </c>
      <c r="K159" s="8" t="str">
        <f aca="false">TEXT(ROW(), "0000")</f>
        <v>0159</v>
      </c>
      <c r="L159" s="8"/>
    </row>
    <row r="160" customFormat="false" ht="15.75" hidden="false" customHeight="true" outlineLevel="0" collapsed="false">
      <c r="A160" s="7" t="n">
        <v>45689</v>
      </c>
      <c r="B160" s="8" t="s">
        <v>25</v>
      </c>
      <c r="C160" s="9" t="n">
        <v>1330</v>
      </c>
      <c r="D160" s="8" t="s">
        <v>13</v>
      </c>
      <c r="E160" s="10"/>
      <c r="F160" s="8" t="str">
        <f aca="false">TEXT(A160,"MM-YYYY")</f>
        <v>02-2025</v>
      </c>
      <c r="G160" s="8" t="s">
        <v>14</v>
      </c>
      <c r="H160" s="8" t="s">
        <v>15</v>
      </c>
      <c r="I160" s="7"/>
      <c r="J160" s="8" t="str">
        <f aca="false">VLOOKUP(B160,Table3[#All],2,0)</f>
        <v>Inventory</v>
      </c>
      <c r="K160" s="8" t="str">
        <f aca="false">TEXT(ROW(), "0000")</f>
        <v>0160</v>
      </c>
      <c r="L160" s="8"/>
    </row>
    <row r="161" customFormat="false" ht="15.75" hidden="false" customHeight="true" outlineLevel="0" collapsed="false">
      <c r="A161" s="7" t="n">
        <v>45689</v>
      </c>
      <c r="B161" s="8" t="s">
        <v>53</v>
      </c>
      <c r="C161" s="9" t="n">
        <v>1200</v>
      </c>
      <c r="D161" s="8" t="s">
        <v>21</v>
      </c>
      <c r="E161" s="10"/>
      <c r="F161" s="8" t="str">
        <f aca="false">TEXT(A161,"MM-YYYY")</f>
        <v>02-2025</v>
      </c>
      <c r="G161" s="8" t="s">
        <v>14</v>
      </c>
      <c r="H161" s="8" t="s">
        <v>15</v>
      </c>
      <c r="I161" s="7"/>
      <c r="J161" s="8" t="str">
        <f aca="false">VLOOKUP(B161,Table3[#All],2,0)</f>
        <v>Grocery</v>
      </c>
      <c r="K161" s="8" t="str">
        <f aca="false">TEXT(ROW(), "0000")</f>
        <v>0161</v>
      </c>
      <c r="L161" s="8"/>
    </row>
    <row r="162" customFormat="false" ht="15.75" hidden="false" customHeight="true" outlineLevel="0" collapsed="false">
      <c r="A162" s="7" t="n">
        <v>45689</v>
      </c>
      <c r="B162" s="8" t="s">
        <v>16</v>
      </c>
      <c r="C162" s="9" t="n">
        <v>1100</v>
      </c>
      <c r="D162" s="8" t="s">
        <v>24</v>
      </c>
      <c r="E162" s="10"/>
      <c r="F162" s="8" t="str">
        <f aca="false">TEXT(A162,"MM-YYYY")</f>
        <v>02-2025</v>
      </c>
      <c r="G162" s="8"/>
      <c r="H162" s="8"/>
      <c r="I162" s="7"/>
      <c r="J162" s="8" t="str">
        <f aca="false">VLOOKUP(B162,Table3[#All],2,0)</f>
        <v>Sales</v>
      </c>
      <c r="K162" s="8" t="str">
        <f aca="false">TEXT(ROW(), "0000")</f>
        <v>0162</v>
      </c>
      <c r="L162" s="8"/>
    </row>
    <row r="163" customFormat="false" ht="15.75" hidden="false" customHeight="true" outlineLevel="0" collapsed="false">
      <c r="A163" s="7" t="n">
        <v>45689</v>
      </c>
      <c r="B163" s="8" t="s">
        <v>22</v>
      </c>
      <c r="C163" s="9" t="n">
        <v>879</v>
      </c>
      <c r="D163" s="8" t="s">
        <v>13</v>
      </c>
      <c r="E163" s="10"/>
      <c r="F163" s="8" t="str">
        <f aca="false">TEXT(A163,"MM-YYYY")</f>
        <v>02-2025</v>
      </c>
      <c r="G163" s="8" t="s">
        <v>14</v>
      </c>
      <c r="H163" s="8" t="s">
        <v>15</v>
      </c>
      <c r="I163" s="7"/>
      <c r="J163" s="8" t="str">
        <f aca="false">VLOOKUP(B163,Table3[#All],2,0)</f>
        <v>Inventory</v>
      </c>
      <c r="K163" s="8" t="str">
        <f aca="false">TEXT(ROW(), "0000")</f>
        <v>0163</v>
      </c>
      <c r="L163" s="8"/>
    </row>
    <row r="164" customFormat="false" ht="15.75" hidden="false" customHeight="true" outlineLevel="0" collapsed="false">
      <c r="A164" s="7" t="n">
        <v>45689</v>
      </c>
      <c r="B164" s="8" t="s">
        <v>25</v>
      </c>
      <c r="C164" s="9" t="n">
        <v>825</v>
      </c>
      <c r="D164" s="8" t="s">
        <v>21</v>
      </c>
      <c r="E164" s="8" t="s">
        <v>72</v>
      </c>
      <c r="F164" s="8" t="str">
        <f aca="false">TEXT(A164,"MM-YYYY")</f>
        <v>02-2025</v>
      </c>
      <c r="G164" s="8" t="s">
        <v>14</v>
      </c>
      <c r="H164" s="8" t="s">
        <v>15</v>
      </c>
      <c r="I164" s="7"/>
      <c r="J164" s="8" t="str">
        <f aca="false">VLOOKUP(B164,Table3[#All],2,0)</f>
        <v>Inventory</v>
      </c>
      <c r="K164" s="8" t="str">
        <f aca="false">TEXT(ROW(), "0000")</f>
        <v>0164</v>
      </c>
      <c r="L164" s="8"/>
    </row>
    <row r="165" customFormat="false" ht="15.75" hidden="false" customHeight="true" outlineLevel="0" collapsed="false">
      <c r="A165" s="7" t="n">
        <v>45689</v>
      </c>
      <c r="B165" s="8" t="s">
        <v>31</v>
      </c>
      <c r="C165" s="9" t="n">
        <v>480</v>
      </c>
      <c r="D165" s="8" t="s">
        <v>21</v>
      </c>
      <c r="E165" s="10"/>
      <c r="F165" s="8" t="str">
        <f aca="false">TEXT(A165,"MM-YYYY")</f>
        <v>02-2025</v>
      </c>
      <c r="G165" s="8" t="s">
        <v>14</v>
      </c>
      <c r="H165" s="8" t="s">
        <v>15</v>
      </c>
      <c r="I165" s="7"/>
      <c r="J165" s="8" t="str">
        <f aca="false">VLOOKUP(B165,Table3[#All],2,0)</f>
        <v>Bike Maintance</v>
      </c>
      <c r="K165" s="8" t="str">
        <f aca="false">TEXT(ROW(), "0000")</f>
        <v>0165</v>
      </c>
      <c r="L165" s="8"/>
    </row>
    <row r="166" customFormat="false" ht="15.75" hidden="false" customHeight="true" outlineLevel="0" collapsed="false">
      <c r="A166" s="7" t="n">
        <v>45689</v>
      </c>
      <c r="B166" s="8" t="s">
        <v>29</v>
      </c>
      <c r="C166" s="9" t="n">
        <v>467</v>
      </c>
      <c r="D166" s="8" t="s">
        <v>13</v>
      </c>
      <c r="E166" s="10"/>
      <c r="F166" s="8" t="str">
        <f aca="false">TEXT(A166,"MM-YYYY")</f>
        <v>02-2025</v>
      </c>
      <c r="G166" s="8" t="s">
        <v>14</v>
      </c>
      <c r="H166" s="8" t="s">
        <v>15</v>
      </c>
      <c r="I166" s="7"/>
      <c r="J166" s="8" t="str">
        <f aca="false">VLOOKUP(B166,Table3[#All],2,0)</f>
        <v>Inventory</v>
      </c>
      <c r="K166" s="8" t="str">
        <f aca="false">TEXT(ROW(), "0000")</f>
        <v>0166</v>
      </c>
      <c r="L166" s="8"/>
    </row>
    <row r="167" customFormat="false" ht="15.75" hidden="false" customHeight="true" outlineLevel="0" collapsed="false">
      <c r="A167" s="7" t="n">
        <v>45689</v>
      </c>
      <c r="B167" s="8" t="s">
        <v>16</v>
      </c>
      <c r="C167" s="9" t="n">
        <v>180</v>
      </c>
      <c r="D167" s="8" t="s">
        <v>33</v>
      </c>
      <c r="E167" s="10"/>
      <c r="F167" s="8" t="str">
        <f aca="false">TEXT(A167,"MM-YYYY")</f>
        <v>02-2025</v>
      </c>
      <c r="G167" s="8"/>
      <c r="H167" s="8"/>
      <c r="I167" s="7"/>
      <c r="J167" s="8" t="str">
        <f aca="false">VLOOKUP(B167,Table3[#All],2,0)</f>
        <v>Sales</v>
      </c>
      <c r="K167" s="8" t="str">
        <f aca="false">TEXT(ROW(), "0000")</f>
        <v>0167</v>
      </c>
      <c r="L167" s="8"/>
    </row>
    <row r="168" customFormat="false" ht="15.75" hidden="false" customHeight="true" outlineLevel="0" collapsed="false">
      <c r="A168" s="7" t="n">
        <v>45689</v>
      </c>
      <c r="B168" s="8" t="s">
        <v>56</v>
      </c>
      <c r="C168" s="9" t="n">
        <v>150</v>
      </c>
      <c r="D168" s="8" t="s">
        <v>21</v>
      </c>
      <c r="E168" s="8" t="s">
        <v>73</v>
      </c>
      <c r="F168" s="8" t="str">
        <f aca="false">TEXT(A168,"MM-YYYY")</f>
        <v>02-2025</v>
      </c>
      <c r="G168" s="8" t="s">
        <v>14</v>
      </c>
      <c r="H168" s="8" t="s">
        <v>15</v>
      </c>
      <c r="I168" s="7"/>
      <c r="J168" s="8" t="str">
        <f aca="false">VLOOKUP(B168,Table3[#All],2,0)</f>
        <v>New Inventory</v>
      </c>
      <c r="K168" s="8" t="str">
        <f aca="false">TEXT(ROW(), "0000")</f>
        <v>0168</v>
      </c>
      <c r="L168" s="8"/>
    </row>
    <row r="169" customFormat="false" ht="15.75" hidden="false" customHeight="true" outlineLevel="0" collapsed="false">
      <c r="A169" s="7" t="n">
        <v>45689</v>
      </c>
      <c r="B169" s="8" t="s">
        <v>34</v>
      </c>
      <c r="C169" s="9" t="n">
        <v>100</v>
      </c>
      <c r="D169" s="8" t="s">
        <v>21</v>
      </c>
      <c r="E169" s="10"/>
      <c r="F169" s="8" t="str">
        <f aca="false">TEXT(A169,"MM-YYYY")</f>
        <v>02-2025</v>
      </c>
      <c r="G169" s="8" t="s">
        <v>14</v>
      </c>
      <c r="H169" s="8" t="s">
        <v>15</v>
      </c>
      <c r="I169" s="7"/>
      <c r="J169" s="8" t="str">
        <f aca="false">VLOOKUP(B169,Table3[#All],2,0)</f>
        <v>Staff Expenses</v>
      </c>
      <c r="K169" s="8" t="str">
        <f aca="false">TEXT(ROW(), "0000")</f>
        <v>0169</v>
      </c>
      <c r="L169" s="8"/>
    </row>
    <row r="170" customFormat="false" ht="15.75" hidden="false" customHeight="true" outlineLevel="0" collapsed="false">
      <c r="A170" s="7" t="n">
        <v>45689</v>
      </c>
      <c r="B170" s="8" t="s">
        <v>37</v>
      </c>
      <c r="C170" s="9" t="n">
        <v>30</v>
      </c>
      <c r="D170" s="8" t="s">
        <v>21</v>
      </c>
      <c r="E170" s="10"/>
      <c r="F170" s="8" t="str">
        <f aca="false">TEXT(A170,"MM-YYYY")</f>
        <v>02-2025</v>
      </c>
      <c r="G170" s="8" t="s">
        <v>14</v>
      </c>
      <c r="H170" s="8" t="s">
        <v>15</v>
      </c>
      <c r="I170" s="7"/>
      <c r="J170" s="8" t="str">
        <f aca="false">VLOOKUP(B170,Table3[#All],2,0)</f>
        <v>Maintance</v>
      </c>
      <c r="K170" s="8" t="str">
        <f aca="false">TEXT(ROW(), "0000")</f>
        <v>0170</v>
      </c>
      <c r="L170" s="8"/>
    </row>
    <row r="171" customFormat="false" ht="15.75" hidden="false" customHeight="true" outlineLevel="0" collapsed="false">
      <c r="A171" s="7" t="n">
        <v>45690</v>
      </c>
      <c r="B171" s="8" t="s">
        <v>16</v>
      </c>
      <c r="C171" s="9" t="n">
        <v>24773</v>
      </c>
      <c r="D171" s="8" t="s">
        <v>17</v>
      </c>
      <c r="E171" s="10"/>
      <c r="F171" s="8" t="str">
        <f aca="false">TEXT(A171,"MM-YYYY")</f>
        <v>02-2025</v>
      </c>
      <c r="G171" s="8"/>
      <c r="H171" s="8"/>
      <c r="I171" s="7"/>
      <c r="J171" s="8" t="str">
        <f aca="false">VLOOKUP(B171,Table3[#All],2,0)</f>
        <v>Sales</v>
      </c>
      <c r="K171" s="8" t="str">
        <f aca="false">TEXT(ROW(), "0000")</f>
        <v>0171</v>
      </c>
      <c r="L171" s="8"/>
    </row>
    <row r="172" customFormat="false" ht="15.75" hidden="false" customHeight="true" outlineLevel="0" collapsed="false">
      <c r="A172" s="7" t="n">
        <v>45690</v>
      </c>
      <c r="B172" s="8" t="s">
        <v>44</v>
      </c>
      <c r="C172" s="9" t="n">
        <v>5000</v>
      </c>
      <c r="D172" s="8" t="s">
        <v>13</v>
      </c>
      <c r="E172" s="8" t="s">
        <v>74</v>
      </c>
      <c r="F172" s="8" t="str">
        <f aca="false">TEXT(A172,"MM-YYYY")</f>
        <v>02-2025</v>
      </c>
      <c r="G172" s="8" t="s">
        <v>14</v>
      </c>
      <c r="H172" s="8" t="s">
        <v>15</v>
      </c>
      <c r="I172" s="7"/>
      <c r="J172" s="8" t="str">
        <f aca="false">VLOOKUP(B172,Table3[#All],2,0)</f>
        <v>Salary</v>
      </c>
      <c r="K172" s="8" t="str">
        <f aca="false">TEXT(ROW(), "0000")</f>
        <v>0172</v>
      </c>
      <c r="L172" s="8"/>
    </row>
    <row r="173" customFormat="false" ht="15.75" hidden="false" customHeight="true" outlineLevel="0" collapsed="false">
      <c r="A173" s="7" t="n">
        <v>45690</v>
      </c>
      <c r="B173" s="8" t="s">
        <v>44</v>
      </c>
      <c r="C173" s="9" t="n">
        <v>5000</v>
      </c>
      <c r="D173" s="8" t="s">
        <v>13</v>
      </c>
      <c r="E173" s="8" t="s">
        <v>75</v>
      </c>
      <c r="F173" s="8" t="str">
        <f aca="false">TEXT(A173,"MM-YYYY")</f>
        <v>02-2025</v>
      </c>
      <c r="G173" s="8" t="s">
        <v>14</v>
      </c>
      <c r="H173" s="8" t="s">
        <v>15</v>
      </c>
      <c r="I173" s="7"/>
      <c r="J173" s="8" t="str">
        <f aca="false">VLOOKUP(B173,Table3[#All],2,0)</f>
        <v>Salary</v>
      </c>
      <c r="K173" s="8" t="str">
        <f aca="false">TEXT(ROW(), "0000")</f>
        <v>0173</v>
      </c>
      <c r="L173" s="8"/>
    </row>
    <row r="174" customFormat="false" ht="15.75" hidden="false" customHeight="true" outlineLevel="0" collapsed="false">
      <c r="A174" s="7" t="n">
        <v>45690</v>
      </c>
      <c r="B174" s="8" t="s">
        <v>22</v>
      </c>
      <c r="C174" s="9" t="n">
        <v>4916</v>
      </c>
      <c r="D174" s="8" t="s">
        <v>13</v>
      </c>
      <c r="E174" s="8" t="s">
        <v>76</v>
      </c>
      <c r="F174" s="8" t="str">
        <f aca="false">TEXT(A174,"MM-YYYY")</f>
        <v>02-2025</v>
      </c>
      <c r="G174" s="8" t="s">
        <v>14</v>
      </c>
      <c r="H174" s="8" t="s">
        <v>15</v>
      </c>
      <c r="I174" s="7"/>
      <c r="J174" s="8" t="str">
        <f aca="false">VLOOKUP(B174,Table3[#All],2,0)</f>
        <v>Inventory</v>
      </c>
      <c r="K174" s="8" t="str">
        <f aca="false">TEXT(ROW(), "0000")</f>
        <v>0174</v>
      </c>
      <c r="L174" s="8"/>
    </row>
    <row r="175" customFormat="false" ht="15.75" hidden="false" customHeight="true" outlineLevel="0" collapsed="false">
      <c r="A175" s="7" t="n">
        <v>45690</v>
      </c>
      <c r="B175" s="8" t="s">
        <v>16</v>
      </c>
      <c r="C175" s="9" t="n">
        <v>4324</v>
      </c>
      <c r="D175" s="8" t="s">
        <v>24</v>
      </c>
      <c r="E175" s="10"/>
      <c r="F175" s="8" t="str">
        <f aca="false">TEXT(A175,"MM-YYYY")</f>
        <v>02-2025</v>
      </c>
      <c r="G175" s="8"/>
      <c r="H175" s="8"/>
      <c r="I175" s="7"/>
      <c r="J175" s="8" t="str">
        <f aca="false">VLOOKUP(B175,Table3[#All],2,0)</f>
        <v>Sales</v>
      </c>
      <c r="K175" s="8" t="str">
        <f aca="false">TEXT(ROW(), "0000")</f>
        <v>0175</v>
      </c>
      <c r="L175" s="8"/>
    </row>
    <row r="176" customFormat="false" ht="15.75" hidden="false" customHeight="true" outlineLevel="0" collapsed="false">
      <c r="A176" s="7" t="n">
        <v>45690</v>
      </c>
      <c r="B176" s="8" t="s">
        <v>19</v>
      </c>
      <c r="C176" s="9" t="n">
        <v>3983</v>
      </c>
      <c r="D176" s="8" t="s">
        <v>13</v>
      </c>
      <c r="E176" s="10"/>
      <c r="F176" s="8" t="str">
        <f aca="false">TEXT(A176,"MM-YYYY")</f>
        <v>02-2025</v>
      </c>
      <c r="G176" s="8" t="s">
        <v>14</v>
      </c>
      <c r="H176" s="8" t="s">
        <v>15</v>
      </c>
      <c r="I176" s="7"/>
      <c r="J176" s="8" t="str">
        <f aca="false">VLOOKUP(B176,Table3[#All],2,0)</f>
        <v>Inventory</v>
      </c>
      <c r="K176" s="8" t="str">
        <f aca="false">TEXT(ROW(), "0000")</f>
        <v>0176</v>
      </c>
      <c r="L176" s="8"/>
    </row>
    <row r="177" customFormat="false" ht="15.75" hidden="false" customHeight="true" outlineLevel="0" collapsed="false">
      <c r="A177" s="7" t="n">
        <v>45690</v>
      </c>
      <c r="B177" s="8" t="s">
        <v>16</v>
      </c>
      <c r="C177" s="9" t="n">
        <v>3340</v>
      </c>
      <c r="D177" s="8" t="s">
        <v>21</v>
      </c>
      <c r="E177" s="10"/>
      <c r="F177" s="8" t="str">
        <f aca="false">TEXT(A177,"MM-YYYY")</f>
        <v>02-2025</v>
      </c>
      <c r="G177" s="8"/>
      <c r="H177" s="8"/>
      <c r="I177" s="7"/>
      <c r="J177" s="8" t="str">
        <f aca="false">VLOOKUP(B177,Table3[#All],2,0)</f>
        <v>Sales</v>
      </c>
      <c r="K177" s="8" t="str">
        <f aca="false">TEXT(ROW(), "0000")</f>
        <v>0177</v>
      </c>
      <c r="L177" s="8"/>
    </row>
    <row r="178" customFormat="false" ht="15.75" hidden="false" customHeight="true" outlineLevel="0" collapsed="false">
      <c r="A178" s="7" t="n">
        <v>45690</v>
      </c>
      <c r="B178" s="8" t="s">
        <v>22</v>
      </c>
      <c r="C178" s="9" t="n">
        <v>2850</v>
      </c>
      <c r="D178" s="8" t="s">
        <v>13</v>
      </c>
      <c r="E178" s="10"/>
      <c r="F178" s="8" t="str">
        <f aca="false">TEXT(A178,"MM-YYYY")</f>
        <v>02-2025</v>
      </c>
      <c r="G178" s="8" t="s">
        <v>14</v>
      </c>
      <c r="H178" s="8" t="s">
        <v>15</v>
      </c>
      <c r="I178" s="7"/>
      <c r="J178" s="8" t="str">
        <f aca="false">VLOOKUP(B178,Table3[#All],2,0)</f>
        <v>Inventory</v>
      </c>
      <c r="K178" s="8" t="str">
        <f aca="false">TEXT(ROW(), "0000")</f>
        <v>0178</v>
      </c>
      <c r="L178" s="8"/>
    </row>
    <row r="179" customFormat="false" ht="15.75" hidden="false" customHeight="true" outlineLevel="0" collapsed="false">
      <c r="A179" s="7" t="n">
        <v>45690</v>
      </c>
      <c r="B179" s="8" t="s">
        <v>16</v>
      </c>
      <c r="C179" s="9" t="n">
        <v>2510</v>
      </c>
      <c r="D179" s="8" t="s">
        <v>27</v>
      </c>
      <c r="E179" s="10"/>
      <c r="F179" s="8" t="str">
        <f aca="false">TEXT(A179,"MM-YYYY")</f>
        <v>02-2025</v>
      </c>
      <c r="G179" s="8"/>
      <c r="H179" s="8"/>
      <c r="I179" s="7"/>
      <c r="J179" s="8" t="str">
        <f aca="false">VLOOKUP(B179,Table3[#All],2,0)</f>
        <v>Sales</v>
      </c>
      <c r="K179" s="8" t="str">
        <f aca="false">TEXT(ROW(), "0000")</f>
        <v>0179</v>
      </c>
      <c r="L179" s="8"/>
    </row>
    <row r="180" customFormat="false" ht="15.75" hidden="false" customHeight="true" outlineLevel="0" collapsed="false">
      <c r="A180" s="7" t="n">
        <v>45690</v>
      </c>
      <c r="B180" s="8" t="s">
        <v>44</v>
      </c>
      <c r="C180" s="9" t="n">
        <v>1500</v>
      </c>
      <c r="D180" s="8" t="s">
        <v>45</v>
      </c>
      <c r="E180" s="8" t="s">
        <v>77</v>
      </c>
      <c r="F180" s="8" t="str">
        <f aca="false">TEXT(A180,"MM-YYYY")</f>
        <v>02-2025</v>
      </c>
      <c r="G180" s="8" t="s">
        <v>14</v>
      </c>
      <c r="H180" s="8" t="s">
        <v>15</v>
      </c>
      <c r="I180" s="7"/>
      <c r="J180" s="8" t="str">
        <f aca="false">VLOOKUP(B180,Table3[#All],2,0)</f>
        <v>Salary</v>
      </c>
      <c r="K180" s="8" t="str">
        <f aca="false">TEXT(ROW(), "0000")</f>
        <v>0180</v>
      </c>
      <c r="L180" s="8"/>
    </row>
    <row r="181" customFormat="false" ht="15.75" hidden="false" customHeight="true" outlineLevel="0" collapsed="false">
      <c r="A181" s="7" t="n">
        <v>45690</v>
      </c>
      <c r="B181" s="8" t="s">
        <v>29</v>
      </c>
      <c r="C181" s="9" t="n">
        <v>1100</v>
      </c>
      <c r="D181" s="8" t="s">
        <v>21</v>
      </c>
      <c r="E181" s="8" t="s">
        <v>78</v>
      </c>
      <c r="F181" s="8" t="str">
        <f aca="false">TEXT(A181,"MM-YYYY")</f>
        <v>02-2025</v>
      </c>
      <c r="G181" s="8" t="s">
        <v>14</v>
      </c>
      <c r="H181" s="8" t="s">
        <v>15</v>
      </c>
      <c r="I181" s="7"/>
      <c r="J181" s="8" t="str">
        <f aca="false">VLOOKUP(B181,Table3[#All],2,0)</f>
        <v>Inventory</v>
      </c>
      <c r="K181" s="8" t="str">
        <f aca="false">TEXT(ROW(), "0000")</f>
        <v>0181</v>
      </c>
      <c r="L181" s="8"/>
    </row>
    <row r="182" customFormat="false" ht="15.75" hidden="false" customHeight="true" outlineLevel="0" collapsed="false">
      <c r="A182" s="7" t="n">
        <v>45690</v>
      </c>
      <c r="B182" s="8" t="s">
        <v>44</v>
      </c>
      <c r="C182" s="9" t="n">
        <v>1000</v>
      </c>
      <c r="D182" s="8" t="s">
        <v>45</v>
      </c>
      <c r="E182" s="8" t="s">
        <v>79</v>
      </c>
      <c r="F182" s="8" t="str">
        <f aca="false">TEXT(A182,"MM-YYYY")</f>
        <v>02-2025</v>
      </c>
      <c r="G182" s="8" t="s">
        <v>14</v>
      </c>
      <c r="H182" s="8" t="s">
        <v>15</v>
      </c>
      <c r="I182" s="7"/>
      <c r="J182" s="8" t="str">
        <f aca="false">VLOOKUP(B182,Table3[#All],2,0)</f>
        <v>Salary</v>
      </c>
      <c r="K182" s="8" t="str">
        <f aca="false">TEXT(ROW(), "0000")</f>
        <v>0182</v>
      </c>
      <c r="L182" s="8"/>
    </row>
    <row r="183" customFormat="false" ht="15.75" hidden="false" customHeight="true" outlineLevel="0" collapsed="false">
      <c r="A183" s="7" t="n">
        <v>45690</v>
      </c>
      <c r="B183" s="8" t="s">
        <v>44</v>
      </c>
      <c r="C183" s="9" t="n">
        <v>1000</v>
      </c>
      <c r="D183" s="8" t="s">
        <v>45</v>
      </c>
      <c r="E183" s="8" t="s">
        <v>80</v>
      </c>
      <c r="F183" s="8" t="str">
        <f aca="false">TEXT(A183,"MM-YYYY")</f>
        <v>02-2025</v>
      </c>
      <c r="G183" s="8" t="s">
        <v>14</v>
      </c>
      <c r="H183" s="8" t="s">
        <v>15</v>
      </c>
      <c r="I183" s="7"/>
      <c r="J183" s="8" t="str">
        <f aca="false">VLOOKUP(B183,Table3[#All],2,0)</f>
        <v>Salary</v>
      </c>
      <c r="K183" s="8" t="str">
        <f aca="false">TEXT(ROW(), "0000")</f>
        <v>0183</v>
      </c>
      <c r="L183" s="8"/>
    </row>
    <row r="184" customFormat="false" ht="15.75" hidden="false" customHeight="true" outlineLevel="0" collapsed="false">
      <c r="A184" s="7" t="n">
        <v>45690</v>
      </c>
      <c r="B184" s="8" t="s">
        <v>16</v>
      </c>
      <c r="C184" s="9" t="n">
        <v>989</v>
      </c>
      <c r="D184" s="8" t="s">
        <v>33</v>
      </c>
      <c r="E184" s="10"/>
      <c r="F184" s="8" t="str">
        <f aca="false">TEXT(A184,"MM-YYYY")</f>
        <v>02-2025</v>
      </c>
      <c r="G184" s="8"/>
      <c r="H184" s="8"/>
      <c r="I184" s="7"/>
      <c r="J184" s="8" t="str">
        <f aca="false">VLOOKUP(B184,Table3[#All],2,0)</f>
        <v>Sales</v>
      </c>
      <c r="K184" s="8" t="str">
        <f aca="false">TEXT(ROW(), "0000")</f>
        <v>0184</v>
      </c>
      <c r="L184" s="8"/>
    </row>
    <row r="185" customFormat="false" ht="15.75" hidden="false" customHeight="true" outlineLevel="0" collapsed="false">
      <c r="A185" s="7" t="n">
        <v>45690</v>
      </c>
      <c r="B185" s="8" t="s">
        <v>25</v>
      </c>
      <c r="C185" s="9" t="n">
        <v>895</v>
      </c>
      <c r="D185" s="8" t="s">
        <v>13</v>
      </c>
      <c r="E185" s="10"/>
      <c r="F185" s="8" t="str">
        <f aca="false">TEXT(A185,"MM-YYYY")</f>
        <v>02-2025</v>
      </c>
      <c r="G185" s="8" t="s">
        <v>14</v>
      </c>
      <c r="H185" s="8" t="s">
        <v>15</v>
      </c>
      <c r="I185" s="7"/>
      <c r="J185" s="8" t="str">
        <f aca="false">VLOOKUP(B185,Table3[#All],2,0)</f>
        <v>Inventory</v>
      </c>
      <c r="K185" s="8" t="str">
        <f aca="false">TEXT(ROW(), "0000")</f>
        <v>0185</v>
      </c>
      <c r="L185" s="8"/>
    </row>
    <row r="186" customFormat="false" ht="15.75" hidden="false" customHeight="true" outlineLevel="0" collapsed="false">
      <c r="A186" s="7" t="n">
        <v>45690</v>
      </c>
      <c r="B186" s="8" t="s">
        <v>51</v>
      </c>
      <c r="C186" s="9" t="n">
        <v>550</v>
      </c>
      <c r="D186" s="8" t="s">
        <v>21</v>
      </c>
      <c r="E186" s="10"/>
      <c r="F186" s="8" t="str">
        <f aca="false">TEXT(A186,"MM-YYYY")</f>
        <v>02-2025</v>
      </c>
      <c r="G186" s="8" t="s">
        <v>14</v>
      </c>
      <c r="H186" s="8" t="s">
        <v>15</v>
      </c>
      <c r="I186" s="7"/>
      <c r="J186" s="8" t="str">
        <f aca="false">VLOOKUP(B186,Table3[#All],2,0)</f>
        <v>Inventory</v>
      </c>
      <c r="K186" s="8" t="str">
        <f aca="false">TEXT(ROW(), "0000")</f>
        <v>0186</v>
      </c>
      <c r="L186" s="8"/>
    </row>
    <row r="187" customFormat="false" ht="15.75" hidden="false" customHeight="true" outlineLevel="0" collapsed="false">
      <c r="A187" s="7" t="n">
        <v>45690</v>
      </c>
      <c r="B187" s="8" t="s">
        <v>29</v>
      </c>
      <c r="C187" s="9" t="n">
        <v>454</v>
      </c>
      <c r="D187" s="8" t="s">
        <v>13</v>
      </c>
      <c r="E187" s="10"/>
      <c r="F187" s="8" t="str">
        <f aca="false">TEXT(A187,"MM-YYYY")</f>
        <v>02-2025</v>
      </c>
      <c r="G187" s="8" t="s">
        <v>14</v>
      </c>
      <c r="H187" s="8" t="s">
        <v>15</v>
      </c>
      <c r="I187" s="7"/>
      <c r="J187" s="8" t="str">
        <f aca="false">VLOOKUP(B187,Table3[#All],2,0)</f>
        <v>Inventory</v>
      </c>
      <c r="K187" s="8" t="str">
        <f aca="false">TEXT(ROW(), "0000")</f>
        <v>0187</v>
      </c>
      <c r="L187" s="8"/>
    </row>
    <row r="188" customFormat="false" ht="15.75" hidden="false" customHeight="true" outlineLevel="0" collapsed="false">
      <c r="A188" s="7" t="n">
        <v>45690</v>
      </c>
      <c r="B188" s="8" t="s">
        <v>31</v>
      </c>
      <c r="C188" s="9" t="n">
        <v>415</v>
      </c>
      <c r="D188" s="8" t="s">
        <v>21</v>
      </c>
      <c r="E188" s="10"/>
      <c r="F188" s="8" t="str">
        <f aca="false">TEXT(A188,"MM-YYYY")</f>
        <v>02-2025</v>
      </c>
      <c r="G188" s="8" t="s">
        <v>14</v>
      </c>
      <c r="H188" s="8" t="s">
        <v>15</v>
      </c>
      <c r="I188" s="7"/>
      <c r="J188" s="8" t="str">
        <f aca="false">VLOOKUP(B188,Table3[#All],2,0)</f>
        <v>Bike Maintance</v>
      </c>
      <c r="K188" s="8" t="str">
        <f aca="false">TEXT(ROW(), "0000")</f>
        <v>0188</v>
      </c>
      <c r="L188" s="8"/>
    </row>
    <row r="189" customFormat="false" ht="15.75" hidden="false" customHeight="true" outlineLevel="0" collapsed="false">
      <c r="A189" s="7" t="n">
        <v>45690</v>
      </c>
      <c r="B189" s="8" t="s">
        <v>32</v>
      </c>
      <c r="C189" s="9" t="n">
        <v>195</v>
      </c>
      <c r="D189" s="8" t="s">
        <v>21</v>
      </c>
      <c r="E189" s="8" t="s">
        <v>38</v>
      </c>
      <c r="F189" s="8" t="str">
        <f aca="false">TEXT(A189,"MM-YYYY")</f>
        <v>02-2025</v>
      </c>
      <c r="G189" s="8" t="s">
        <v>14</v>
      </c>
      <c r="H189" s="8" t="s">
        <v>15</v>
      </c>
      <c r="I189" s="7"/>
      <c r="J189" s="8" t="str">
        <f aca="false">VLOOKUP(B189,Table3[#All],2,0)</f>
        <v>Grocery</v>
      </c>
      <c r="K189" s="8" t="str">
        <f aca="false">TEXT(ROW(), "0000")</f>
        <v>0189</v>
      </c>
      <c r="L189" s="8"/>
    </row>
    <row r="190" customFormat="false" ht="15.75" hidden="false" customHeight="true" outlineLevel="0" collapsed="false">
      <c r="A190" s="7" t="n">
        <v>45690</v>
      </c>
      <c r="B190" s="8" t="s">
        <v>34</v>
      </c>
      <c r="C190" s="9" t="n">
        <v>120</v>
      </c>
      <c r="D190" s="8" t="s">
        <v>21</v>
      </c>
      <c r="E190" s="10"/>
      <c r="F190" s="8" t="str">
        <f aca="false">TEXT(A190,"MM-YYYY")</f>
        <v>02-2025</v>
      </c>
      <c r="G190" s="8" t="s">
        <v>14</v>
      </c>
      <c r="H190" s="8" t="s">
        <v>15</v>
      </c>
      <c r="I190" s="7"/>
      <c r="J190" s="8" t="str">
        <f aca="false">VLOOKUP(B190,Table3[#All],2,0)</f>
        <v>Staff Expenses</v>
      </c>
      <c r="K190" s="8" t="str">
        <f aca="false">TEXT(ROW(), "0000")</f>
        <v>0190</v>
      </c>
      <c r="L190" s="8"/>
    </row>
    <row r="191" customFormat="false" ht="15.75" hidden="false" customHeight="true" outlineLevel="0" collapsed="false">
      <c r="A191" s="7" t="n">
        <v>45690</v>
      </c>
      <c r="B191" s="8" t="s">
        <v>81</v>
      </c>
      <c r="C191" s="9" t="n">
        <v>70</v>
      </c>
      <c r="D191" s="8" t="s">
        <v>21</v>
      </c>
      <c r="E191" s="8" t="s">
        <v>82</v>
      </c>
      <c r="F191" s="8" t="str">
        <f aca="false">TEXT(A191,"MM-YYYY")</f>
        <v>02-2025</v>
      </c>
      <c r="G191" s="8" t="s">
        <v>14</v>
      </c>
      <c r="H191" s="8" t="s">
        <v>15</v>
      </c>
      <c r="I191" s="7"/>
      <c r="J191" s="8" t="str">
        <f aca="false">VLOOKUP(B191,Table3[#All],2,0)</f>
        <v>Excess Amount Return</v>
      </c>
      <c r="K191" s="8" t="str">
        <f aca="false">TEXT(ROW(), "0000")</f>
        <v>0191</v>
      </c>
      <c r="L191" s="8"/>
    </row>
    <row r="192" customFormat="false" ht="15.75" hidden="false" customHeight="true" outlineLevel="0" collapsed="false">
      <c r="A192" s="7" t="n">
        <v>45690</v>
      </c>
      <c r="B192" s="8" t="s">
        <v>29</v>
      </c>
      <c r="C192" s="9" t="n">
        <v>50</v>
      </c>
      <c r="D192" s="8" t="s">
        <v>21</v>
      </c>
      <c r="E192" s="8" t="s">
        <v>83</v>
      </c>
      <c r="F192" s="8" t="str">
        <f aca="false">TEXT(A192,"MM-YYYY")</f>
        <v>02-2025</v>
      </c>
      <c r="G192" s="8" t="s">
        <v>14</v>
      </c>
      <c r="H192" s="8" t="s">
        <v>15</v>
      </c>
      <c r="I192" s="7"/>
      <c r="J192" s="8" t="str">
        <f aca="false">VLOOKUP(B192,Table3[#All],2,0)</f>
        <v>Inventory</v>
      </c>
      <c r="K192" s="8" t="str">
        <f aca="false">TEXT(ROW(), "0000")</f>
        <v>0192</v>
      </c>
      <c r="L192" s="8"/>
    </row>
    <row r="193" customFormat="false" ht="15.75" hidden="false" customHeight="true" outlineLevel="0" collapsed="false">
      <c r="A193" s="7" t="n">
        <v>45690</v>
      </c>
      <c r="B193" s="8" t="s">
        <v>29</v>
      </c>
      <c r="C193" s="9" t="n">
        <v>40</v>
      </c>
      <c r="D193" s="8" t="s">
        <v>21</v>
      </c>
      <c r="E193" s="8" t="s">
        <v>65</v>
      </c>
      <c r="F193" s="8" t="str">
        <f aca="false">TEXT(A193,"MM-YYYY")</f>
        <v>02-2025</v>
      </c>
      <c r="G193" s="8" t="s">
        <v>14</v>
      </c>
      <c r="H193" s="8" t="s">
        <v>15</v>
      </c>
      <c r="I193" s="7"/>
      <c r="J193" s="8" t="str">
        <f aca="false">VLOOKUP(B193,Table3[#All],2,0)</f>
        <v>Inventory</v>
      </c>
      <c r="K193" s="8" t="str">
        <f aca="false">TEXT(ROW(), "0000")</f>
        <v>0193</v>
      </c>
      <c r="L193" s="8"/>
    </row>
    <row r="194" customFormat="false" ht="15.75" hidden="false" customHeight="true" outlineLevel="0" collapsed="false">
      <c r="A194" s="7" t="n">
        <v>45691</v>
      </c>
      <c r="B194" s="8" t="s">
        <v>16</v>
      </c>
      <c r="C194" s="9" t="n">
        <v>16745</v>
      </c>
      <c r="D194" s="8" t="s">
        <v>17</v>
      </c>
      <c r="E194" s="10"/>
      <c r="F194" s="8" t="str">
        <f aca="false">TEXT(A194,"MM-YYYY")</f>
        <v>02-2025</v>
      </c>
      <c r="G194" s="8"/>
      <c r="H194" s="8"/>
      <c r="I194" s="7"/>
      <c r="J194" s="8" t="str">
        <f aca="false">VLOOKUP(B194,Table3[#All],2,0)</f>
        <v>Sales</v>
      </c>
      <c r="K194" s="8" t="str">
        <f aca="false">TEXT(ROW(), "0000")</f>
        <v>0194</v>
      </c>
      <c r="L194" s="8"/>
    </row>
    <row r="195" customFormat="false" ht="15.75" hidden="false" customHeight="true" outlineLevel="0" collapsed="false">
      <c r="A195" s="7" t="n">
        <v>45691</v>
      </c>
      <c r="B195" s="8" t="s">
        <v>50</v>
      </c>
      <c r="C195" s="9" t="n">
        <v>10920</v>
      </c>
      <c r="D195" s="8" t="s">
        <v>13</v>
      </c>
      <c r="E195" s="10"/>
      <c r="F195" s="8" t="str">
        <f aca="false">TEXT(A195,"MM-YYYY")</f>
        <v>02-2025</v>
      </c>
      <c r="G195" s="8" t="s">
        <v>14</v>
      </c>
      <c r="H195" s="8" t="s">
        <v>15</v>
      </c>
      <c r="I195" s="7"/>
      <c r="J195" s="8" t="str">
        <f aca="false">VLOOKUP(B195,Table3[#All],2,0)</f>
        <v>Fixed Maintance</v>
      </c>
      <c r="K195" s="8" t="str">
        <f aca="false">TEXT(ROW(), "0000")</f>
        <v>0195</v>
      </c>
      <c r="L195" s="8"/>
    </row>
    <row r="196" customFormat="false" ht="15.75" hidden="false" customHeight="true" outlineLevel="0" collapsed="false">
      <c r="A196" s="7" t="n">
        <v>45691</v>
      </c>
      <c r="B196" s="8" t="s">
        <v>19</v>
      </c>
      <c r="C196" s="9" t="n">
        <v>4080</v>
      </c>
      <c r="D196" s="8" t="s">
        <v>13</v>
      </c>
      <c r="E196" s="10"/>
      <c r="F196" s="8" t="str">
        <f aca="false">TEXT(A196,"MM-YYYY")</f>
        <v>02-2025</v>
      </c>
      <c r="G196" s="8" t="s">
        <v>14</v>
      </c>
      <c r="H196" s="8" t="s">
        <v>15</v>
      </c>
      <c r="I196" s="7"/>
      <c r="J196" s="8" t="str">
        <f aca="false">VLOOKUP(B196,Table3[#All],2,0)</f>
        <v>Inventory</v>
      </c>
      <c r="K196" s="8" t="str">
        <f aca="false">TEXT(ROW(), "0000")</f>
        <v>0196</v>
      </c>
      <c r="L196" s="8"/>
    </row>
    <row r="197" customFormat="false" ht="15.75" hidden="false" customHeight="true" outlineLevel="0" collapsed="false">
      <c r="A197" s="7" t="n">
        <v>45691</v>
      </c>
      <c r="B197" s="8" t="s">
        <v>22</v>
      </c>
      <c r="C197" s="9" t="n">
        <v>3800</v>
      </c>
      <c r="D197" s="8" t="s">
        <v>13</v>
      </c>
      <c r="E197" s="10"/>
      <c r="F197" s="8" t="str">
        <f aca="false">TEXT(A197,"MM-YYYY")</f>
        <v>02-2025</v>
      </c>
      <c r="G197" s="8" t="s">
        <v>14</v>
      </c>
      <c r="H197" s="8" t="s">
        <v>15</v>
      </c>
      <c r="I197" s="7"/>
      <c r="J197" s="8" t="str">
        <f aca="false">VLOOKUP(B197,Table3[#All],2,0)</f>
        <v>Inventory</v>
      </c>
      <c r="K197" s="8" t="str">
        <f aca="false">TEXT(ROW(), "0000")</f>
        <v>0197</v>
      </c>
      <c r="L197" s="8"/>
    </row>
    <row r="198" customFormat="false" ht="15.75" hidden="false" customHeight="true" outlineLevel="0" collapsed="false">
      <c r="A198" s="7" t="n">
        <v>45691</v>
      </c>
      <c r="B198" s="8" t="s">
        <v>16</v>
      </c>
      <c r="C198" s="9" t="n">
        <v>3065</v>
      </c>
      <c r="D198" s="8" t="s">
        <v>21</v>
      </c>
      <c r="E198" s="10"/>
      <c r="F198" s="8" t="str">
        <f aca="false">TEXT(A198,"MM-YYYY")</f>
        <v>02-2025</v>
      </c>
      <c r="G198" s="8"/>
      <c r="H198" s="8"/>
      <c r="I198" s="7"/>
      <c r="J198" s="8" t="str">
        <f aca="false">VLOOKUP(B198,Table3[#All],2,0)</f>
        <v>Sales</v>
      </c>
      <c r="K198" s="8" t="str">
        <f aca="false">TEXT(ROW(), "0000")</f>
        <v>0198</v>
      </c>
      <c r="L198" s="8"/>
    </row>
    <row r="199" customFormat="false" ht="15.75" hidden="false" customHeight="true" outlineLevel="0" collapsed="false">
      <c r="A199" s="7" t="n">
        <v>45691</v>
      </c>
      <c r="B199" s="8" t="s">
        <v>51</v>
      </c>
      <c r="C199" s="9" t="n">
        <v>2855</v>
      </c>
      <c r="D199" s="8" t="s">
        <v>13</v>
      </c>
      <c r="E199" s="10"/>
      <c r="F199" s="8" t="str">
        <f aca="false">TEXT(A199,"MM-YYYY")</f>
        <v>02-2025</v>
      </c>
      <c r="G199" s="8" t="s">
        <v>14</v>
      </c>
      <c r="H199" s="8" t="s">
        <v>15</v>
      </c>
      <c r="I199" s="7"/>
      <c r="J199" s="8" t="str">
        <f aca="false">VLOOKUP(B199,Table3[#All],2,0)</f>
        <v>Inventory</v>
      </c>
      <c r="K199" s="8" t="str">
        <f aca="false">TEXT(ROW(), "0000")</f>
        <v>0199</v>
      </c>
      <c r="L199" s="8"/>
    </row>
    <row r="200" customFormat="false" ht="15.75" hidden="false" customHeight="true" outlineLevel="0" collapsed="false">
      <c r="A200" s="7" t="n">
        <v>45691</v>
      </c>
      <c r="B200" s="8" t="s">
        <v>67</v>
      </c>
      <c r="C200" s="9" t="n">
        <v>2000</v>
      </c>
      <c r="D200" s="8" t="s">
        <v>21</v>
      </c>
      <c r="E200" s="10"/>
      <c r="F200" s="8" t="str">
        <f aca="false">TEXT(A200,"MM-YYYY")</f>
        <v>02-2025</v>
      </c>
      <c r="G200" s="8" t="s">
        <v>14</v>
      </c>
      <c r="H200" s="8" t="s">
        <v>15</v>
      </c>
      <c r="I200" s="7"/>
      <c r="J200" s="8" t="str">
        <f aca="false">VLOOKUP(B200,Table3[#All],2,0)</f>
        <v>Fixed Maintance</v>
      </c>
      <c r="K200" s="8" t="str">
        <f aca="false">TEXT(ROW(), "0000")</f>
        <v>0200</v>
      </c>
      <c r="L200" s="8"/>
    </row>
    <row r="201" customFormat="false" ht="15.75" hidden="false" customHeight="true" outlineLevel="0" collapsed="false">
      <c r="A201" s="7" t="n">
        <v>45691</v>
      </c>
      <c r="B201" s="8" t="s">
        <v>25</v>
      </c>
      <c r="C201" s="9" t="n">
        <v>1073</v>
      </c>
      <c r="D201" s="8" t="s">
        <v>13</v>
      </c>
      <c r="E201" s="10"/>
      <c r="F201" s="8" t="str">
        <f aca="false">TEXT(A201,"MM-YYYY")</f>
        <v>02-2025</v>
      </c>
      <c r="G201" s="8" t="s">
        <v>14</v>
      </c>
      <c r="H201" s="8" t="s">
        <v>15</v>
      </c>
      <c r="I201" s="7"/>
      <c r="J201" s="8" t="str">
        <f aca="false">VLOOKUP(B201,Table3[#All],2,0)</f>
        <v>Inventory</v>
      </c>
      <c r="K201" s="8" t="str">
        <f aca="false">TEXT(ROW(), "0000")</f>
        <v>0201</v>
      </c>
      <c r="L201" s="8"/>
    </row>
    <row r="202" customFormat="false" ht="15.75" hidden="false" customHeight="true" outlineLevel="0" collapsed="false">
      <c r="A202" s="7" t="n">
        <v>45691</v>
      </c>
      <c r="B202" s="8" t="s">
        <v>16</v>
      </c>
      <c r="C202" s="9" t="n">
        <v>990</v>
      </c>
      <c r="D202" s="8" t="s">
        <v>33</v>
      </c>
      <c r="E202" s="10"/>
      <c r="F202" s="8" t="str">
        <f aca="false">TEXT(A202,"MM-YYYY")</f>
        <v>02-2025</v>
      </c>
      <c r="G202" s="8"/>
      <c r="H202" s="8"/>
      <c r="I202" s="7"/>
      <c r="J202" s="8" t="str">
        <f aca="false">VLOOKUP(B202,Table3[#All],2,0)</f>
        <v>Sales</v>
      </c>
      <c r="K202" s="8" t="str">
        <f aca="false">TEXT(ROW(), "0000")</f>
        <v>0202</v>
      </c>
      <c r="L202" s="8"/>
    </row>
    <row r="203" customFormat="false" ht="15.75" hidden="false" customHeight="true" outlineLevel="0" collapsed="false">
      <c r="A203" s="7" t="n">
        <v>45691</v>
      </c>
      <c r="B203" s="8" t="s">
        <v>16</v>
      </c>
      <c r="C203" s="9" t="n">
        <v>879</v>
      </c>
      <c r="D203" s="8" t="s">
        <v>27</v>
      </c>
      <c r="E203" s="10"/>
      <c r="F203" s="8" t="str">
        <f aca="false">TEXT(A203,"MM-YYYY")</f>
        <v>02-2025</v>
      </c>
      <c r="G203" s="8"/>
      <c r="H203" s="8"/>
      <c r="I203" s="7"/>
      <c r="J203" s="8" t="str">
        <f aca="false">VLOOKUP(B203,Table3[#All],2,0)</f>
        <v>Sales</v>
      </c>
      <c r="K203" s="8" t="str">
        <f aca="false">TEXT(ROW(), "0000")</f>
        <v>0203</v>
      </c>
      <c r="L203" s="8"/>
    </row>
    <row r="204" customFormat="false" ht="15.75" hidden="false" customHeight="true" outlineLevel="0" collapsed="false">
      <c r="A204" s="7" t="n">
        <v>45691</v>
      </c>
      <c r="B204" s="8" t="s">
        <v>47</v>
      </c>
      <c r="C204" s="9" t="n">
        <v>840</v>
      </c>
      <c r="D204" s="8" t="s">
        <v>13</v>
      </c>
      <c r="E204" s="10"/>
      <c r="F204" s="8" t="str">
        <f aca="false">TEXT(A204,"MM-YYYY")</f>
        <v>02-2025</v>
      </c>
      <c r="G204" s="8" t="s">
        <v>14</v>
      </c>
      <c r="H204" s="8" t="s">
        <v>15</v>
      </c>
      <c r="I204" s="7"/>
      <c r="J204" s="8" t="str">
        <f aca="false">VLOOKUP(B204,Table3[#All],2,0)</f>
        <v>Inventory</v>
      </c>
      <c r="K204" s="8" t="str">
        <f aca="false">TEXT(ROW(), "0000")</f>
        <v>0204</v>
      </c>
      <c r="L204" s="8"/>
    </row>
    <row r="205" customFormat="false" ht="15.75" hidden="false" customHeight="true" outlineLevel="0" collapsed="false">
      <c r="A205" s="7" t="n">
        <v>45691</v>
      </c>
      <c r="B205" s="8" t="s">
        <v>16</v>
      </c>
      <c r="C205" s="9" t="n">
        <v>789</v>
      </c>
      <c r="D205" s="8" t="s">
        <v>24</v>
      </c>
      <c r="E205" s="10"/>
      <c r="F205" s="8" t="str">
        <f aca="false">TEXT(A205,"MM-YYYY")</f>
        <v>02-2025</v>
      </c>
      <c r="G205" s="8"/>
      <c r="H205" s="8"/>
      <c r="I205" s="7"/>
      <c r="J205" s="8" t="str">
        <f aca="false">VLOOKUP(B205,Table3[#All],2,0)</f>
        <v>Sales</v>
      </c>
      <c r="K205" s="8" t="str">
        <f aca="false">TEXT(ROW(), "0000")</f>
        <v>0205</v>
      </c>
      <c r="L205" s="8"/>
    </row>
    <row r="206" customFormat="false" ht="15.75" hidden="false" customHeight="true" outlineLevel="0" collapsed="false">
      <c r="A206" s="7" t="n">
        <v>45691</v>
      </c>
      <c r="B206" s="8" t="s">
        <v>25</v>
      </c>
      <c r="C206" s="9" t="n">
        <v>787</v>
      </c>
      <c r="D206" s="8" t="s">
        <v>21</v>
      </c>
      <c r="E206" s="8" t="s">
        <v>28</v>
      </c>
      <c r="F206" s="8" t="str">
        <f aca="false">TEXT(A206,"MM-YYYY")</f>
        <v>02-2025</v>
      </c>
      <c r="G206" s="8" t="s">
        <v>14</v>
      </c>
      <c r="H206" s="8" t="s">
        <v>15</v>
      </c>
      <c r="I206" s="7"/>
      <c r="J206" s="8" t="str">
        <f aca="false">VLOOKUP(B206,Table3[#All],2,0)</f>
        <v>Inventory</v>
      </c>
      <c r="K206" s="8" t="str">
        <f aca="false">TEXT(ROW(), "0000")</f>
        <v>0206</v>
      </c>
      <c r="L206" s="8"/>
    </row>
    <row r="207" customFormat="false" ht="15.75" hidden="false" customHeight="true" outlineLevel="0" collapsed="false">
      <c r="A207" s="7" t="n">
        <v>45691</v>
      </c>
      <c r="B207" s="8" t="s">
        <v>29</v>
      </c>
      <c r="C207" s="9" t="n">
        <v>465</v>
      </c>
      <c r="D207" s="8" t="s">
        <v>13</v>
      </c>
      <c r="E207" s="10"/>
      <c r="F207" s="8" t="str">
        <f aca="false">TEXT(A207,"MM-YYYY")</f>
        <v>02-2025</v>
      </c>
      <c r="G207" s="8" t="s">
        <v>14</v>
      </c>
      <c r="H207" s="8" t="s">
        <v>15</v>
      </c>
      <c r="I207" s="7"/>
      <c r="J207" s="8" t="str">
        <f aca="false">VLOOKUP(B207,Table3[#All],2,0)</f>
        <v>Inventory</v>
      </c>
      <c r="K207" s="8" t="str">
        <f aca="false">TEXT(ROW(), "0000")</f>
        <v>0207</v>
      </c>
      <c r="L207" s="8"/>
    </row>
    <row r="208" customFormat="false" ht="15.75" hidden="false" customHeight="true" outlineLevel="0" collapsed="false">
      <c r="A208" s="7" t="n">
        <v>45691</v>
      </c>
      <c r="B208" s="8" t="s">
        <v>34</v>
      </c>
      <c r="C208" s="9" t="n">
        <v>90</v>
      </c>
      <c r="D208" s="8" t="s">
        <v>21</v>
      </c>
      <c r="E208" s="10"/>
      <c r="F208" s="8" t="str">
        <f aca="false">TEXT(A208,"MM-YYYY")</f>
        <v>02-2025</v>
      </c>
      <c r="G208" s="8" t="s">
        <v>14</v>
      </c>
      <c r="H208" s="8" t="s">
        <v>15</v>
      </c>
      <c r="I208" s="7"/>
      <c r="J208" s="8" t="str">
        <f aca="false">VLOOKUP(B208,Table3[#All],2,0)</f>
        <v>Staff Expenses</v>
      </c>
      <c r="K208" s="8" t="str">
        <f aca="false">TEXT(ROW(), "0000")</f>
        <v>0208</v>
      </c>
      <c r="L208" s="8"/>
    </row>
    <row r="209" customFormat="false" ht="15.75" hidden="false" customHeight="true" outlineLevel="0" collapsed="false">
      <c r="A209" s="7" t="n">
        <v>45691</v>
      </c>
      <c r="B209" s="8" t="s">
        <v>25</v>
      </c>
      <c r="C209" s="9" t="n">
        <v>38</v>
      </c>
      <c r="D209" s="8" t="s">
        <v>21</v>
      </c>
      <c r="E209" s="10"/>
      <c r="F209" s="8" t="str">
        <f aca="false">TEXT(A209,"MM-YYYY")</f>
        <v>02-2025</v>
      </c>
      <c r="G209" s="8" t="s">
        <v>14</v>
      </c>
      <c r="H209" s="8" t="s">
        <v>15</v>
      </c>
      <c r="I209" s="7"/>
      <c r="J209" s="8" t="str">
        <f aca="false">VLOOKUP(B209,Table3[#All],2,0)</f>
        <v>Inventory</v>
      </c>
      <c r="K209" s="8" t="str">
        <f aca="false">TEXT(ROW(), "0000")</f>
        <v>0209</v>
      </c>
      <c r="L209" s="8"/>
    </row>
    <row r="210" customFormat="false" ht="15.75" hidden="false" customHeight="true" outlineLevel="0" collapsed="false">
      <c r="A210" s="7" t="n">
        <v>45692</v>
      </c>
      <c r="B210" s="8" t="s">
        <v>16</v>
      </c>
      <c r="C210" s="9" t="n">
        <v>9739</v>
      </c>
      <c r="D210" s="8" t="s">
        <v>17</v>
      </c>
      <c r="E210" s="10"/>
      <c r="F210" s="8" t="str">
        <f aca="false">TEXT(A210,"MM-YYYY")</f>
        <v>02-2025</v>
      </c>
      <c r="G210" s="8"/>
      <c r="H210" s="8"/>
      <c r="I210" s="7"/>
      <c r="J210" s="8" t="str">
        <f aca="false">VLOOKUP(B210,Table3[#All],2,0)</f>
        <v>Sales</v>
      </c>
      <c r="K210" s="8" t="str">
        <f aca="false">TEXT(ROW(), "0000")</f>
        <v>0210</v>
      </c>
      <c r="L210" s="8"/>
    </row>
    <row r="211" customFormat="false" ht="15.75" hidden="false" customHeight="true" outlineLevel="0" collapsed="false">
      <c r="A211" s="7" t="n">
        <v>45692</v>
      </c>
      <c r="B211" s="8" t="s">
        <v>19</v>
      </c>
      <c r="C211" s="9" t="n">
        <v>2716</v>
      </c>
      <c r="D211" s="8" t="s">
        <v>13</v>
      </c>
      <c r="E211" s="10"/>
      <c r="F211" s="8" t="str">
        <f aca="false">TEXT(A211,"MM-YYYY")</f>
        <v>02-2025</v>
      </c>
      <c r="G211" s="8" t="s">
        <v>14</v>
      </c>
      <c r="H211" s="8" t="s">
        <v>15</v>
      </c>
      <c r="I211" s="7"/>
      <c r="J211" s="8" t="str">
        <f aca="false">VLOOKUP(B211,Table3[#All],2,0)</f>
        <v>Inventory</v>
      </c>
      <c r="K211" s="8" t="str">
        <f aca="false">TEXT(ROW(), "0000")</f>
        <v>0211</v>
      </c>
      <c r="L211" s="8"/>
    </row>
    <row r="212" customFormat="false" ht="15.75" hidden="false" customHeight="true" outlineLevel="0" collapsed="false">
      <c r="A212" s="7" t="n">
        <v>45692</v>
      </c>
      <c r="B212" s="8" t="s">
        <v>16</v>
      </c>
      <c r="C212" s="9" t="n">
        <v>2268</v>
      </c>
      <c r="D212" s="8" t="s">
        <v>21</v>
      </c>
      <c r="E212" s="10"/>
      <c r="F212" s="8" t="str">
        <f aca="false">TEXT(A212,"MM-YYYY")</f>
        <v>02-2025</v>
      </c>
      <c r="G212" s="8"/>
      <c r="H212" s="8"/>
      <c r="I212" s="7"/>
      <c r="J212" s="8" t="str">
        <f aca="false">VLOOKUP(B212,Table3[#All],2,0)</f>
        <v>Sales</v>
      </c>
      <c r="K212" s="8" t="str">
        <f aca="false">TEXT(ROW(), "0000")</f>
        <v>0212</v>
      </c>
      <c r="L212" s="8"/>
    </row>
    <row r="213" customFormat="false" ht="15.75" hidden="false" customHeight="true" outlineLevel="0" collapsed="false">
      <c r="A213" s="7" t="n">
        <v>45692</v>
      </c>
      <c r="B213" s="8" t="s">
        <v>25</v>
      </c>
      <c r="C213" s="9" t="n">
        <v>1748</v>
      </c>
      <c r="D213" s="8" t="s">
        <v>13</v>
      </c>
      <c r="E213" s="10"/>
      <c r="F213" s="8" t="str">
        <f aca="false">TEXT(A213,"MM-YYYY")</f>
        <v>02-2025</v>
      </c>
      <c r="G213" s="8" t="s">
        <v>14</v>
      </c>
      <c r="H213" s="8" t="s">
        <v>15</v>
      </c>
      <c r="I213" s="7"/>
      <c r="J213" s="8" t="str">
        <f aca="false">VLOOKUP(B213,Table3[#All],2,0)</f>
        <v>Inventory</v>
      </c>
      <c r="K213" s="8" t="str">
        <f aca="false">TEXT(ROW(), "0000")</f>
        <v>0213</v>
      </c>
      <c r="L213" s="8"/>
    </row>
    <row r="214" customFormat="false" ht="15.75" hidden="false" customHeight="true" outlineLevel="0" collapsed="false">
      <c r="A214" s="7" t="n">
        <v>45692</v>
      </c>
      <c r="B214" s="8" t="s">
        <v>16</v>
      </c>
      <c r="C214" s="9" t="n">
        <v>1204</v>
      </c>
      <c r="D214" s="8" t="s">
        <v>24</v>
      </c>
      <c r="E214" s="10"/>
      <c r="F214" s="8" t="str">
        <f aca="false">TEXT(A214,"MM-YYYY")</f>
        <v>02-2025</v>
      </c>
      <c r="G214" s="8"/>
      <c r="H214" s="8"/>
      <c r="I214" s="7"/>
      <c r="J214" s="8" t="str">
        <f aca="false">VLOOKUP(B214,Table3[#All],2,0)</f>
        <v>Sales</v>
      </c>
      <c r="K214" s="8" t="str">
        <f aca="false">TEXT(ROW(), "0000")</f>
        <v>0214</v>
      </c>
      <c r="L214" s="8"/>
    </row>
    <row r="215" customFormat="false" ht="15.75" hidden="false" customHeight="true" outlineLevel="0" collapsed="false">
      <c r="A215" s="7" t="n">
        <v>45692</v>
      </c>
      <c r="B215" s="8" t="s">
        <v>22</v>
      </c>
      <c r="C215" s="9" t="n">
        <v>958</v>
      </c>
      <c r="D215" s="8" t="s">
        <v>13</v>
      </c>
      <c r="E215" s="10"/>
      <c r="F215" s="8" t="str">
        <f aca="false">TEXT(A215,"MM-YYYY")</f>
        <v>02-2025</v>
      </c>
      <c r="G215" s="8" t="s">
        <v>14</v>
      </c>
      <c r="H215" s="8" t="s">
        <v>15</v>
      </c>
      <c r="I215" s="7"/>
      <c r="J215" s="8" t="str">
        <f aca="false">VLOOKUP(B215,Table3[#All],2,0)</f>
        <v>Inventory</v>
      </c>
      <c r="K215" s="8" t="str">
        <f aca="false">TEXT(ROW(), "0000")</f>
        <v>0215</v>
      </c>
      <c r="L215" s="8"/>
    </row>
    <row r="216" customFormat="false" ht="15.75" hidden="false" customHeight="true" outlineLevel="0" collapsed="false">
      <c r="A216" s="7" t="n">
        <v>45692</v>
      </c>
      <c r="B216" s="8" t="s">
        <v>25</v>
      </c>
      <c r="C216" s="9" t="n">
        <v>550</v>
      </c>
      <c r="D216" s="8" t="s">
        <v>21</v>
      </c>
      <c r="E216" s="8" t="s">
        <v>84</v>
      </c>
      <c r="F216" s="8" t="str">
        <f aca="false">TEXT(A216,"MM-YYYY")</f>
        <v>02-2025</v>
      </c>
      <c r="G216" s="8" t="s">
        <v>14</v>
      </c>
      <c r="H216" s="8" t="s">
        <v>15</v>
      </c>
      <c r="I216" s="7"/>
      <c r="J216" s="8" t="str">
        <f aca="false">VLOOKUP(B216,Table3[#All],2,0)</f>
        <v>Inventory</v>
      </c>
      <c r="K216" s="8" t="str">
        <f aca="false">TEXT(ROW(), "0000")</f>
        <v>0216</v>
      </c>
      <c r="L216" s="8"/>
    </row>
    <row r="217" customFormat="false" ht="15.75" hidden="false" customHeight="true" outlineLevel="0" collapsed="false">
      <c r="A217" s="7" t="n">
        <v>45692</v>
      </c>
      <c r="B217" s="8" t="s">
        <v>29</v>
      </c>
      <c r="C217" s="9" t="n">
        <v>506</v>
      </c>
      <c r="D217" s="8" t="s">
        <v>13</v>
      </c>
      <c r="E217" s="10"/>
      <c r="F217" s="8" t="str">
        <f aca="false">TEXT(A217,"MM-YYYY")</f>
        <v>02-2025</v>
      </c>
      <c r="G217" s="8" t="s">
        <v>14</v>
      </c>
      <c r="H217" s="8" t="s">
        <v>15</v>
      </c>
      <c r="I217" s="7"/>
      <c r="J217" s="8" t="str">
        <f aca="false">VLOOKUP(B217,Table3[#All],2,0)</f>
        <v>Inventory</v>
      </c>
      <c r="K217" s="8" t="str">
        <f aca="false">TEXT(ROW(), "0000")</f>
        <v>0217</v>
      </c>
      <c r="L217" s="8"/>
    </row>
    <row r="218" customFormat="false" ht="15.75" hidden="false" customHeight="true" outlineLevel="0" collapsed="false">
      <c r="A218" s="7" t="n">
        <v>45692</v>
      </c>
      <c r="B218" s="8" t="s">
        <v>16</v>
      </c>
      <c r="C218" s="9" t="n">
        <v>479</v>
      </c>
      <c r="D218" s="8" t="s">
        <v>33</v>
      </c>
      <c r="E218" s="10"/>
      <c r="F218" s="8" t="str">
        <f aca="false">TEXT(A218,"MM-YYYY")</f>
        <v>02-2025</v>
      </c>
      <c r="G218" s="8"/>
      <c r="H218" s="8"/>
      <c r="I218" s="7"/>
      <c r="J218" s="8" t="str">
        <f aca="false">VLOOKUP(B218,Table3[#All],2,0)</f>
        <v>Sales</v>
      </c>
      <c r="K218" s="8" t="str">
        <f aca="false">TEXT(ROW(), "0000")</f>
        <v>0218</v>
      </c>
      <c r="L218" s="8"/>
    </row>
    <row r="219" customFormat="false" ht="15.75" hidden="false" customHeight="true" outlineLevel="0" collapsed="false">
      <c r="A219" s="7" t="n">
        <v>45692</v>
      </c>
      <c r="B219" s="8" t="s">
        <v>32</v>
      </c>
      <c r="C219" s="9" t="n">
        <v>230</v>
      </c>
      <c r="D219" s="8" t="s">
        <v>21</v>
      </c>
      <c r="E219" s="10"/>
      <c r="F219" s="8" t="str">
        <f aca="false">TEXT(A219,"MM-YYYY")</f>
        <v>02-2025</v>
      </c>
      <c r="G219" s="8" t="s">
        <v>14</v>
      </c>
      <c r="H219" s="8" t="s">
        <v>15</v>
      </c>
      <c r="I219" s="7"/>
      <c r="J219" s="8" t="str">
        <f aca="false">VLOOKUP(B219,Table3[#All],2,0)</f>
        <v>Grocery</v>
      </c>
      <c r="K219" s="8" t="str">
        <f aca="false">TEXT(ROW(), "0000")</f>
        <v>0219</v>
      </c>
      <c r="L219" s="8"/>
    </row>
    <row r="220" customFormat="false" ht="15.75" hidden="false" customHeight="true" outlineLevel="0" collapsed="false">
      <c r="A220" s="7" t="n">
        <v>45692</v>
      </c>
      <c r="B220" s="8" t="s">
        <v>34</v>
      </c>
      <c r="C220" s="9" t="n">
        <v>120</v>
      </c>
      <c r="D220" s="8" t="s">
        <v>21</v>
      </c>
      <c r="E220" s="10"/>
      <c r="F220" s="8" t="str">
        <f aca="false">TEXT(A220,"MM-YYYY")</f>
        <v>02-2025</v>
      </c>
      <c r="G220" s="8" t="s">
        <v>14</v>
      </c>
      <c r="H220" s="8" t="s">
        <v>15</v>
      </c>
      <c r="I220" s="7"/>
      <c r="J220" s="8" t="str">
        <f aca="false">VLOOKUP(B220,Table3[#All],2,0)</f>
        <v>Staff Expenses</v>
      </c>
      <c r="K220" s="8" t="str">
        <f aca="false">TEXT(ROW(), "0000")</f>
        <v>0220</v>
      </c>
      <c r="L220" s="8"/>
    </row>
    <row r="221" customFormat="false" ht="15.75" hidden="false" customHeight="true" outlineLevel="0" collapsed="false">
      <c r="A221" s="7" t="n">
        <v>45692</v>
      </c>
      <c r="B221" s="8" t="s">
        <v>37</v>
      </c>
      <c r="C221" s="9" t="n">
        <v>38</v>
      </c>
      <c r="D221" s="8" t="s">
        <v>21</v>
      </c>
      <c r="E221" s="10"/>
      <c r="F221" s="8" t="str">
        <f aca="false">TEXT(A221,"MM-YYYY")</f>
        <v>02-2025</v>
      </c>
      <c r="G221" s="8" t="s">
        <v>14</v>
      </c>
      <c r="H221" s="8" t="s">
        <v>15</v>
      </c>
      <c r="I221" s="7"/>
      <c r="J221" s="8" t="str">
        <f aca="false">VLOOKUP(B221,Table3[#All],2,0)</f>
        <v>Maintance</v>
      </c>
      <c r="K221" s="8" t="str">
        <f aca="false">TEXT(ROW(), "0000")</f>
        <v>0221</v>
      </c>
      <c r="L221" s="8"/>
    </row>
    <row r="222" customFormat="false" ht="15.75" hidden="false" customHeight="true" outlineLevel="0" collapsed="false">
      <c r="A222" s="7" t="n">
        <v>45692</v>
      </c>
      <c r="B222" s="8" t="s">
        <v>36</v>
      </c>
      <c r="C222" s="9" t="n">
        <v>30</v>
      </c>
      <c r="D222" s="8" t="s">
        <v>21</v>
      </c>
      <c r="E222" s="10"/>
      <c r="F222" s="8" t="str">
        <f aca="false">TEXT(A222,"MM-YYYY")</f>
        <v>02-2025</v>
      </c>
      <c r="G222" s="8" t="s">
        <v>14</v>
      </c>
      <c r="H222" s="8" t="s">
        <v>15</v>
      </c>
      <c r="I222" s="7"/>
      <c r="J222" s="8" t="str">
        <f aca="false">VLOOKUP(B222,Table3[#All],2,0)</f>
        <v>Maintance</v>
      </c>
      <c r="K222" s="8" t="str">
        <f aca="false">TEXT(ROW(), "0000")</f>
        <v>0222</v>
      </c>
      <c r="L222" s="8"/>
    </row>
    <row r="223" customFormat="false" ht="15.75" hidden="false" customHeight="true" outlineLevel="0" collapsed="false">
      <c r="A223" s="7" t="n">
        <v>45692</v>
      </c>
      <c r="B223" s="8" t="s">
        <v>16</v>
      </c>
      <c r="C223" s="9" t="n">
        <v>20</v>
      </c>
      <c r="D223" s="8" t="s">
        <v>27</v>
      </c>
      <c r="E223" s="10"/>
      <c r="F223" s="8" t="str">
        <f aca="false">TEXT(A223,"MM-YYYY")</f>
        <v>02-2025</v>
      </c>
      <c r="G223" s="8"/>
      <c r="H223" s="8"/>
      <c r="I223" s="7"/>
      <c r="J223" s="8" t="str">
        <f aca="false">VLOOKUP(B223,Table3[#All],2,0)</f>
        <v>Sales</v>
      </c>
      <c r="K223" s="8" t="str">
        <f aca="false">TEXT(ROW(), "0000")</f>
        <v>0223</v>
      </c>
      <c r="L223" s="8"/>
    </row>
    <row r="224" customFormat="false" ht="15.75" hidden="false" customHeight="true" outlineLevel="0" collapsed="false">
      <c r="A224" s="7" t="n">
        <v>45693</v>
      </c>
      <c r="B224" s="8" t="s">
        <v>16</v>
      </c>
      <c r="C224" s="9" t="n">
        <v>16846</v>
      </c>
      <c r="D224" s="8" t="s">
        <v>17</v>
      </c>
      <c r="E224" s="8"/>
      <c r="F224" s="8" t="str">
        <f aca="false">TEXT(A224,"MM-YYYY")</f>
        <v>02-2025</v>
      </c>
      <c r="G224" s="8"/>
      <c r="H224" s="8"/>
      <c r="I224" s="7"/>
      <c r="J224" s="8" t="str">
        <f aca="false">VLOOKUP(B224,Table3[#All],2,0)</f>
        <v>Sales</v>
      </c>
      <c r="K224" s="8" t="str">
        <f aca="false">TEXT(ROW(), "0000")</f>
        <v>0224</v>
      </c>
      <c r="L224" s="8"/>
    </row>
    <row r="225" customFormat="false" ht="15.75" hidden="false" customHeight="true" outlineLevel="0" collapsed="false">
      <c r="A225" s="7" t="n">
        <v>45693</v>
      </c>
      <c r="B225" s="8" t="s">
        <v>44</v>
      </c>
      <c r="C225" s="9" t="n">
        <v>3000</v>
      </c>
      <c r="D225" s="8" t="s">
        <v>45</v>
      </c>
      <c r="E225" s="8" t="s">
        <v>85</v>
      </c>
      <c r="F225" s="8" t="str">
        <f aca="false">TEXT(A225,"MM-YYYY")</f>
        <v>02-2025</v>
      </c>
      <c r="G225" s="8" t="s">
        <v>14</v>
      </c>
      <c r="H225" s="8" t="s">
        <v>15</v>
      </c>
      <c r="I225" s="7"/>
      <c r="J225" s="8" t="str">
        <f aca="false">VLOOKUP(B225,Table3[#All],2,0)</f>
        <v>Salary</v>
      </c>
      <c r="K225" s="8" t="str">
        <f aca="false">TEXT(ROW(), "0000")</f>
        <v>0225</v>
      </c>
      <c r="L225" s="8"/>
    </row>
    <row r="226" customFormat="false" ht="15.75" hidden="false" customHeight="true" outlineLevel="0" collapsed="false">
      <c r="A226" s="7" t="n">
        <v>45693</v>
      </c>
      <c r="B226" s="8" t="s">
        <v>16</v>
      </c>
      <c r="C226" s="9" t="n">
        <v>2390</v>
      </c>
      <c r="D226" s="8" t="s">
        <v>21</v>
      </c>
      <c r="E226" s="8"/>
      <c r="F226" s="8" t="str">
        <f aca="false">TEXT(A226,"MM-YYYY")</f>
        <v>02-2025</v>
      </c>
      <c r="G226" s="8"/>
      <c r="H226" s="8"/>
      <c r="I226" s="7"/>
      <c r="J226" s="8" t="str">
        <f aca="false">VLOOKUP(B226,Table3[#All],2,0)</f>
        <v>Sales</v>
      </c>
      <c r="K226" s="8" t="str">
        <f aca="false">TEXT(ROW(), "0000")</f>
        <v>0226</v>
      </c>
      <c r="L226" s="8"/>
    </row>
    <row r="227" customFormat="false" ht="15.75" hidden="false" customHeight="true" outlineLevel="0" collapsed="false">
      <c r="A227" s="7" t="n">
        <v>45693</v>
      </c>
      <c r="B227" s="8" t="s">
        <v>53</v>
      </c>
      <c r="C227" s="9" t="n">
        <v>2000</v>
      </c>
      <c r="D227" s="8" t="s">
        <v>45</v>
      </c>
      <c r="E227" s="8" t="s">
        <v>54</v>
      </c>
      <c r="F227" s="8" t="str">
        <f aca="false">TEXT(A227,"MM-YYYY")</f>
        <v>02-2025</v>
      </c>
      <c r="G227" s="8" t="s">
        <v>14</v>
      </c>
      <c r="H227" s="8" t="s">
        <v>15</v>
      </c>
      <c r="I227" s="7"/>
      <c r="J227" s="8" t="str">
        <f aca="false">VLOOKUP(B227,Table3[#All],2,0)</f>
        <v>Grocery</v>
      </c>
      <c r="K227" s="8" t="str">
        <f aca="false">TEXT(ROW(), "0000")</f>
        <v>0227</v>
      </c>
      <c r="L227" s="8"/>
    </row>
    <row r="228" customFormat="false" ht="15.75" hidden="false" customHeight="true" outlineLevel="0" collapsed="false">
      <c r="A228" s="7" t="n">
        <v>45693</v>
      </c>
      <c r="B228" s="8" t="s">
        <v>19</v>
      </c>
      <c r="C228" s="9" t="n">
        <v>1571</v>
      </c>
      <c r="D228" s="8" t="s">
        <v>13</v>
      </c>
      <c r="E228" s="10"/>
      <c r="F228" s="8" t="str">
        <f aca="false">TEXT(A228,"MM-YYYY")</f>
        <v>02-2025</v>
      </c>
      <c r="G228" s="8" t="s">
        <v>14</v>
      </c>
      <c r="H228" s="8" t="s">
        <v>15</v>
      </c>
      <c r="I228" s="7"/>
      <c r="J228" s="8" t="str">
        <f aca="false">VLOOKUP(B228,Table3[#All],2,0)</f>
        <v>Inventory</v>
      </c>
      <c r="K228" s="8" t="str">
        <f aca="false">TEXT(ROW(), "0000")</f>
        <v>0228</v>
      </c>
      <c r="L228" s="8"/>
    </row>
    <row r="229" customFormat="false" ht="15.75" hidden="false" customHeight="true" outlineLevel="0" collapsed="false">
      <c r="A229" s="7" t="n">
        <v>45693</v>
      </c>
      <c r="B229" s="8" t="s">
        <v>44</v>
      </c>
      <c r="C229" s="9" t="n">
        <v>1500</v>
      </c>
      <c r="D229" s="8" t="s">
        <v>13</v>
      </c>
      <c r="E229" s="8" t="s">
        <v>86</v>
      </c>
      <c r="F229" s="8" t="str">
        <f aca="false">TEXT(A229,"MM-YYYY")</f>
        <v>02-2025</v>
      </c>
      <c r="G229" s="8" t="s">
        <v>14</v>
      </c>
      <c r="H229" s="8" t="s">
        <v>15</v>
      </c>
      <c r="I229" s="7"/>
      <c r="J229" s="8" t="str">
        <f aca="false">VLOOKUP(B229,Table3[#All],2,0)</f>
        <v>Salary</v>
      </c>
      <c r="K229" s="8" t="str">
        <f aca="false">TEXT(ROW(), "0000")</f>
        <v>0229</v>
      </c>
      <c r="L229" s="8" t="n">
        <v>1</v>
      </c>
    </row>
    <row r="230" customFormat="false" ht="15.75" hidden="false" customHeight="true" outlineLevel="0" collapsed="false">
      <c r="A230" s="7" t="n">
        <v>45693</v>
      </c>
      <c r="B230" s="8" t="s">
        <v>51</v>
      </c>
      <c r="C230" s="9" t="n">
        <v>1160</v>
      </c>
      <c r="D230" s="8" t="s">
        <v>13</v>
      </c>
      <c r="E230" s="8"/>
      <c r="F230" s="8" t="str">
        <f aca="false">TEXT(A230,"MM-YYYY")</f>
        <v>02-2025</v>
      </c>
      <c r="G230" s="8" t="s">
        <v>14</v>
      </c>
      <c r="H230" s="8" t="s">
        <v>15</v>
      </c>
      <c r="I230" s="7"/>
      <c r="J230" s="8" t="str">
        <f aca="false">VLOOKUP(B230,Table3[#All],2,0)</f>
        <v>Inventory</v>
      </c>
      <c r="K230" s="8" t="str">
        <f aca="false">TEXT(ROW(), "0000")</f>
        <v>0230</v>
      </c>
      <c r="L230" s="8"/>
    </row>
    <row r="231" customFormat="false" ht="15.75" hidden="false" customHeight="true" outlineLevel="0" collapsed="false">
      <c r="A231" s="7" t="n">
        <v>45693</v>
      </c>
      <c r="B231" s="8" t="s">
        <v>16</v>
      </c>
      <c r="C231" s="9" t="n">
        <v>1122</v>
      </c>
      <c r="D231" s="8" t="s">
        <v>24</v>
      </c>
      <c r="E231" s="8"/>
      <c r="F231" s="8" t="str">
        <f aca="false">TEXT(A231,"MM-YYYY")</f>
        <v>02-2025</v>
      </c>
      <c r="G231" s="8"/>
      <c r="H231" s="8"/>
      <c r="I231" s="7"/>
      <c r="J231" s="8" t="str">
        <f aca="false">VLOOKUP(B231,Table3[#All],2,0)</f>
        <v>Sales</v>
      </c>
      <c r="K231" s="8" t="str">
        <f aca="false">TEXT(ROW(), "0000")</f>
        <v>0231</v>
      </c>
      <c r="L231" s="8"/>
    </row>
    <row r="232" customFormat="false" ht="15.75" hidden="false" customHeight="true" outlineLevel="0" collapsed="false">
      <c r="A232" s="7" t="n">
        <v>45693</v>
      </c>
      <c r="B232" s="8" t="s">
        <v>47</v>
      </c>
      <c r="C232" s="9" t="n">
        <v>840</v>
      </c>
      <c r="D232" s="8" t="s">
        <v>13</v>
      </c>
      <c r="E232" s="10"/>
      <c r="F232" s="8" t="str">
        <f aca="false">TEXT(A232,"MM-YYYY")</f>
        <v>02-2025</v>
      </c>
      <c r="G232" s="8" t="s">
        <v>14</v>
      </c>
      <c r="H232" s="8" t="s">
        <v>15</v>
      </c>
      <c r="I232" s="7"/>
      <c r="J232" s="8" t="str">
        <f aca="false">VLOOKUP(B232,Table3[#All],2,0)</f>
        <v>Inventory</v>
      </c>
      <c r="K232" s="8" t="str">
        <f aca="false">TEXT(ROW(), "0000")</f>
        <v>0232</v>
      </c>
      <c r="L232" s="8"/>
    </row>
    <row r="233" customFormat="false" ht="15.75" hidden="false" customHeight="true" outlineLevel="0" collapsed="false">
      <c r="A233" s="7" t="n">
        <v>45693</v>
      </c>
      <c r="B233" s="8" t="s">
        <v>25</v>
      </c>
      <c r="C233" s="9" t="n">
        <v>838</v>
      </c>
      <c r="D233" s="8" t="s">
        <v>13</v>
      </c>
      <c r="E233" s="10"/>
      <c r="F233" s="8" t="str">
        <f aca="false">TEXT(A233,"MM-YYYY")</f>
        <v>02-2025</v>
      </c>
      <c r="G233" s="8" t="s">
        <v>14</v>
      </c>
      <c r="H233" s="8" t="s">
        <v>15</v>
      </c>
      <c r="I233" s="7"/>
      <c r="J233" s="8" t="str">
        <f aca="false">VLOOKUP(B233,Table3[#All],2,0)</f>
        <v>Inventory</v>
      </c>
      <c r="K233" s="8" t="str">
        <f aca="false">TEXT(ROW(), "0000")</f>
        <v>0233</v>
      </c>
      <c r="L233" s="8"/>
    </row>
    <row r="234" customFormat="false" ht="15.75" hidden="false" customHeight="true" outlineLevel="0" collapsed="false">
      <c r="A234" s="7" t="n">
        <v>45693</v>
      </c>
      <c r="B234" s="8" t="s">
        <v>22</v>
      </c>
      <c r="C234" s="9" t="n">
        <v>375</v>
      </c>
      <c r="D234" s="8" t="s">
        <v>13</v>
      </c>
      <c r="E234" s="10"/>
      <c r="F234" s="8" t="str">
        <f aca="false">TEXT(A234,"MM-YYYY")</f>
        <v>02-2025</v>
      </c>
      <c r="G234" s="8" t="s">
        <v>14</v>
      </c>
      <c r="H234" s="8" t="s">
        <v>15</v>
      </c>
      <c r="I234" s="7"/>
      <c r="J234" s="8" t="str">
        <f aca="false">VLOOKUP(B234,Table3[#All],2,0)</f>
        <v>Inventory</v>
      </c>
      <c r="K234" s="8" t="str">
        <f aca="false">TEXT(ROW(), "0000")</f>
        <v>0234</v>
      </c>
      <c r="L234" s="8"/>
    </row>
    <row r="235" customFormat="false" ht="15.75" hidden="false" customHeight="true" outlineLevel="0" collapsed="false">
      <c r="A235" s="7" t="n">
        <v>45693</v>
      </c>
      <c r="B235" s="8" t="s">
        <v>29</v>
      </c>
      <c r="C235" s="9" t="n">
        <v>203</v>
      </c>
      <c r="D235" s="8" t="s">
        <v>13</v>
      </c>
      <c r="E235" s="10"/>
      <c r="F235" s="8" t="str">
        <f aca="false">TEXT(A235,"MM-YYYY")</f>
        <v>02-2025</v>
      </c>
      <c r="G235" s="8" t="s">
        <v>14</v>
      </c>
      <c r="H235" s="8" t="s">
        <v>15</v>
      </c>
      <c r="I235" s="7"/>
      <c r="J235" s="8" t="str">
        <f aca="false">VLOOKUP(B235,Table3[#All],2,0)</f>
        <v>Inventory</v>
      </c>
      <c r="K235" s="8" t="str">
        <f aca="false">TEXT(ROW(), "0000")</f>
        <v>0235</v>
      </c>
      <c r="L235" s="8"/>
    </row>
    <row r="236" customFormat="false" ht="15.75" hidden="false" customHeight="true" outlineLevel="0" collapsed="false">
      <c r="A236" s="7" t="n">
        <v>45693</v>
      </c>
      <c r="B236" s="8" t="s">
        <v>44</v>
      </c>
      <c r="C236" s="9" t="n">
        <v>200</v>
      </c>
      <c r="D236" s="8" t="s">
        <v>21</v>
      </c>
      <c r="E236" s="8" t="s">
        <v>87</v>
      </c>
      <c r="F236" s="8" t="str">
        <f aca="false">TEXT(A236,"MM-YYYY")</f>
        <v>02-2025</v>
      </c>
      <c r="G236" s="8" t="s">
        <v>14</v>
      </c>
      <c r="H236" s="8" t="s">
        <v>15</v>
      </c>
      <c r="I236" s="7"/>
      <c r="J236" s="8" t="str">
        <f aca="false">VLOOKUP(B236,Table3[#All],2,0)</f>
        <v>Salary</v>
      </c>
      <c r="K236" s="8" t="str">
        <f aca="false">TEXT(ROW(), "0000")</f>
        <v>0236</v>
      </c>
      <c r="L236" s="8"/>
    </row>
    <row r="237" customFormat="false" ht="15.75" hidden="false" customHeight="true" outlineLevel="0" collapsed="false">
      <c r="A237" s="7" t="n">
        <v>45693</v>
      </c>
      <c r="B237" s="8" t="s">
        <v>16</v>
      </c>
      <c r="C237" s="9" t="n">
        <v>190</v>
      </c>
      <c r="D237" s="8" t="s">
        <v>59</v>
      </c>
      <c r="E237" s="8"/>
      <c r="F237" s="8" t="str">
        <f aca="false">TEXT(A237,"MM-YYYY")</f>
        <v>02-2025</v>
      </c>
      <c r="G237" s="8"/>
      <c r="H237" s="8"/>
      <c r="I237" s="7"/>
      <c r="J237" s="8" t="str">
        <f aca="false">VLOOKUP(B237,Table3[#All],2,0)</f>
        <v>Sales</v>
      </c>
      <c r="K237" s="8" t="str">
        <f aca="false">TEXT(ROW(), "0000")</f>
        <v>0237</v>
      </c>
      <c r="L237" s="8"/>
    </row>
    <row r="238" customFormat="false" ht="15.75" hidden="false" customHeight="true" outlineLevel="0" collapsed="false">
      <c r="A238" s="7" t="n">
        <v>45693</v>
      </c>
      <c r="B238" s="8" t="s">
        <v>53</v>
      </c>
      <c r="C238" s="9" t="n">
        <v>160</v>
      </c>
      <c r="D238" s="8" t="s">
        <v>21</v>
      </c>
      <c r="E238" s="8" t="s">
        <v>54</v>
      </c>
      <c r="F238" s="8" t="str">
        <f aca="false">TEXT(A238,"MM-YYYY")</f>
        <v>02-2025</v>
      </c>
      <c r="G238" s="8" t="s">
        <v>14</v>
      </c>
      <c r="H238" s="8" t="s">
        <v>15</v>
      </c>
      <c r="I238" s="7"/>
      <c r="J238" s="8" t="str">
        <f aca="false">VLOOKUP(B238,Table3[#All],2,0)</f>
        <v>Grocery</v>
      </c>
      <c r="K238" s="8" t="str">
        <f aca="false">TEXT(ROW(), "0000")</f>
        <v>0238</v>
      </c>
      <c r="L238" s="8"/>
    </row>
    <row r="239" customFormat="false" ht="15.75" hidden="false" customHeight="true" outlineLevel="0" collapsed="false">
      <c r="A239" s="7" t="n">
        <v>45693</v>
      </c>
      <c r="B239" s="8" t="s">
        <v>34</v>
      </c>
      <c r="C239" s="9" t="n">
        <v>120</v>
      </c>
      <c r="D239" s="8" t="s">
        <v>21</v>
      </c>
      <c r="E239" s="8"/>
      <c r="F239" s="8" t="str">
        <f aca="false">TEXT(A239,"MM-YYYY")</f>
        <v>02-2025</v>
      </c>
      <c r="G239" s="8" t="s">
        <v>14</v>
      </c>
      <c r="H239" s="8" t="s">
        <v>15</v>
      </c>
      <c r="I239" s="7"/>
      <c r="J239" s="8" t="str">
        <f aca="false">VLOOKUP(B239,Table3[#All],2,0)</f>
        <v>Staff Expenses</v>
      </c>
      <c r="K239" s="8" t="str">
        <f aca="false">TEXT(ROW(), "0000")</f>
        <v>0239</v>
      </c>
      <c r="L239" s="8"/>
    </row>
    <row r="240" customFormat="false" ht="15.75" hidden="false" customHeight="true" outlineLevel="0" collapsed="false">
      <c r="A240" s="7" t="n">
        <v>45693</v>
      </c>
      <c r="B240" s="8" t="s">
        <v>25</v>
      </c>
      <c r="C240" s="9" t="n">
        <v>40</v>
      </c>
      <c r="D240" s="8" t="s">
        <v>21</v>
      </c>
      <c r="E240" s="8"/>
      <c r="F240" s="8" t="str">
        <f aca="false">TEXT(A240,"MM-YYYY")</f>
        <v>02-2025</v>
      </c>
      <c r="G240" s="8" t="s">
        <v>14</v>
      </c>
      <c r="H240" s="8" t="s">
        <v>15</v>
      </c>
      <c r="I240" s="7"/>
      <c r="J240" s="8" t="str">
        <f aca="false">VLOOKUP(B240,Table3[#All],2,0)</f>
        <v>Inventory</v>
      </c>
      <c r="K240" s="8" t="str">
        <f aca="false">TEXT(ROW(), "0000")</f>
        <v>0240</v>
      </c>
      <c r="L240" s="8"/>
    </row>
    <row r="241" customFormat="false" ht="15.75" hidden="false" customHeight="true" outlineLevel="0" collapsed="false">
      <c r="A241" s="7" t="n">
        <v>45693</v>
      </c>
      <c r="B241" s="8" t="s">
        <v>29</v>
      </c>
      <c r="C241" s="9" t="n">
        <v>20</v>
      </c>
      <c r="D241" s="8" t="s">
        <v>21</v>
      </c>
      <c r="E241" s="8" t="s">
        <v>65</v>
      </c>
      <c r="F241" s="8" t="str">
        <f aca="false">TEXT(A241,"MM-YYYY")</f>
        <v>02-2025</v>
      </c>
      <c r="G241" s="8" t="s">
        <v>14</v>
      </c>
      <c r="H241" s="8" t="s">
        <v>15</v>
      </c>
      <c r="I241" s="7"/>
      <c r="J241" s="8" t="str">
        <f aca="false">VLOOKUP(B241,Table3[#All],2,0)</f>
        <v>Inventory</v>
      </c>
      <c r="K241" s="8" t="str">
        <f aca="false">TEXT(ROW(), "0000")</f>
        <v>0241</v>
      </c>
      <c r="L241" s="8"/>
    </row>
    <row r="242" customFormat="false" ht="15.75" hidden="false" customHeight="true" outlineLevel="0" collapsed="false">
      <c r="A242" s="7" t="n">
        <v>45693</v>
      </c>
      <c r="B242" s="8" t="s">
        <v>16</v>
      </c>
      <c r="C242" s="9" t="n">
        <v>10</v>
      </c>
      <c r="D242" s="8" t="s">
        <v>33</v>
      </c>
      <c r="E242" s="8"/>
      <c r="F242" s="8" t="str">
        <f aca="false">TEXT(A242,"MM-YYYY")</f>
        <v>02-2025</v>
      </c>
      <c r="G242" s="8"/>
      <c r="H242" s="8"/>
      <c r="I242" s="7"/>
      <c r="J242" s="8" t="str">
        <f aca="false">VLOOKUP(B242,Table3[#All],2,0)</f>
        <v>Sales</v>
      </c>
      <c r="K242" s="8" t="str">
        <f aca="false">TEXT(ROW(), "0000")</f>
        <v>0242</v>
      </c>
      <c r="L242" s="8"/>
    </row>
    <row r="243" customFormat="false" ht="15.75" hidden="false" customHeight="true" outlineLevel="0" collapsed="false">
      <c r="A243" s="7" t="n">
        <v>45694</v>
      </c>
      <c r="B243" s="8" t="s">
        <v>16</v>
      </c>
      <c r="C243" s="9" t="n">
        <v>15650</v>
      </c>
      <c r="D243" s="8" t="s">
        <v>17</v>
      </c>
      <c r="E243" s="8" t="s">
        <v>88</v>
      </c>
      <c r="F243" s="8" t="str">
        <f aca="false">TEXT(A243,"MM-YYYY")</f>
        <v>02-2025</v>
      </c>
      <c r="G243" s="8"/>
      <c r="H243" s="8"/>
      <c r="I243" s="7"/>
      <c r="J243" s="8" t="str">
        <f aca="false">VLOOKUP(B243,Table3[#All],2,0)</f>
        <v>Sales</v>
      </c>
      <c r="K243" s="8" t="str">
        <f aca="false">TEXT(ROW(), "0000")</f>
        <v>0243</v>
      </c>
      <c r="L243" s="8"/>
    </row>
    <row r="244" customFormat="false" ht="15.75" hidden="false" customHeight="true" outlineLevel="0" collapsed="false">
      <c r="A244" s="7" t="n">
        <v>45694</v>
      </c>
      <c r="B244" s="8" t="s">
        <v>22</v>
      </c>
      <c r="C244" s="9" t="n">
        <v>4283</v>
      </c>
      <c r="D244" s="8" t="s">
        <v>13</v>
      </c>
      <c r="E244" s="8" t="s">
        <v>23</v>
      </c>
      <c r="F244" s="8" t="str">
        <f aca="false">TEXT(A244,"MM-YYYY")</f>
        <v>02-2025</v>
      </c>
      <c r="G244" s="8" t="s">
        <v>14</v>
      </c>
      <c r="H244" s="8" t="s">
        <v>15</v>
      </c>
      <c r="I244" s="7"/>
      <c r="J244" s="8" t="str">
        <f aca="false">VLOOKUP(B244,Table3[#All],2,0)</f>
        <v>Inventory</v>
      </c>
      <c r="K244" s="8" t="str">
        <f aca="false">TEXT(ROW(), "0000")</f>
        <v>0244</v>
      </c>
      <c r="L244" s="8"/>
    </row>
    <row r="245" customFormat="false" ht="15.75" hidden="false" customHeight="true" outlineLevel="0" collapsed="false">
      <c r="A245" s="7" t="n">
        <v>45694</v>
      </c>
      <c r="B245" s="8" t="s">
        <v>19</v>
      </c>
      <c r="C245" s="9" t="n">
        <v>4135</v>
      </c>
      <c r="D245" s="8" t="s">
        <v>13</v>
      </c>
      <c r="E245" s="8" t="s">
        <v>20</v>
      </c>
      <c r="F245" s="8" t="str">
        <f aca="false">TEXT(A245,"MM-YYYY")</f>
        <v>02-2025</v>
      </c>
      <c r="G245" s="8" t="s">
        <v>14</v>
      </c>
      <c r="H245" s="8" t="s">
        <v>15</v>
      </c>
      <c r="I245" s="7"/>
      <c r="J245" s="8" t="str">
        <f aca="false">VLOOKUP(B245,Table3[#All],2,0)</f>
        <v>Inventory</v>
      </c>
      <c r="K245" s="8" t="str">
        <f aca="false">TEXT(ROW(), "0000")</f>
        <v>0245</v>
      </c>
      <c r="L245" s="8"/>
    </row>
    <row r="246" customFormat="false" ht="15.75" hidden="false" customHeight="true" outlineLevel="0" collapsed="false">
      <c r="A246" s="7" t="n">
        <v>45694</v>
      </c>
      <c r="B246" s="8" t="s">
        <v>16</v>
      </c>
      <c r="C246" s="9" t="n">
        <v>3600</v>
      </c>
      <c r="D246" s="8" t="s">
        <v>21</v>
      </c>
      <c r="E246" s="8" t="s">
        <v>89</v>
      </c>
      <c r="F246" s="8" t="str">
        <f aca="false">TEXT(A246,"MM-YYYY")</f>
        <v>02-2025</v>
      </c>
      <c r="G246" s="8"/>
      <c r="H246" s="8"/>
      <c r="I246" s="7"/>
      <c r="J246" s="8" t="str">
        <f aca="false">VLOOKUP(B246,Table3[#All],2,0)</f>
        <v>Sales</v>
      </c>
      <c r="K246" s="8" t="str">
        <f aca="false">TEXT(ROW(), "0000")</f>
        <v>0246</v>
      </c>
      <c r="L246" s="8"/>
    </row>
    <row r="247" customFormat="false" ht="15.75" hidden="false" customHeight="true" outlineLevel="0" collapsed="false">
      <c r="A247" s="7" t="n">
        <v>45694</v>
      </c>
      <c r="B247" s="8" t="s">
        <v>16</v>
      </c>
      <c r="C247" s="9" t="n">
        <v>1244</v>
      </c>
      <c r="D247" s="8" t="s">
        <v>24</v>
      </c>
      <c r="E247" s="8" t="s">
        <v>90</v>
      </c>
      <c r="F247" s="8" t="str">
        <f aca="false">TEXT(A247,"MM-YYYY")</f>
        <v>02-2025</v>
      </c>
      <c r="G247" s="8"/>
      <c r="H247" s="8"/>
      <c r="I247" s="7"/>
      <c r="J247" s="8" t="str">
        <f aca="false">VLOOKUP(B247,Table3[#All],2,0)</f>
        <v>Sales</v>
      </c>
      <c r="K247" s="8" t="str">
        <f aca="false">TEXT(ROW(), "0000")</f>
        <v>0247</v>
      </c>
      <c r="L247" s="8"/>
    </row>
    <row r="248" customFormat="false" ht="15.75" hidden="false" customHeight="true" outlineLevel="0" collapsed="false">
      <c r="A248" s="7" t="n">
        <v>45694</v>
      </c>
      <c r="B248" s="8" t="s">
        <v>47</v>
      </c>
      <c r="C248" s="9" t="n">
        <v>840</v>
      </c>
      <c r="D248" s="8" t="s">
        <v>13</v>
      </c>
      <c r="E248" s="8" t="s">
        <v>91</v>
      </c>
      <c r="F248" s="8" t="str">
        <f aca="false">TEXT(A248,"MM-YYYY")</f>
        <v>02-2025</v>
      </c>
      <c r="G248" s="8" t="s">
        <v>14</v>
      </c>
      <c r="H248" s="8" t="s">
        <v>15</v>
      </c>
      <c r="I248" s="7"/>
      <c r="J248" s="8" t="str">
        <f aca="false">VLOOKUP(B248,Table3[#All],2,0)</f>
        <v>Inventory</v>
      </c>
      <c r="K248" s="8" t="str">
        <f aca="false">TEXT(ROW(), "0000")</f>
        <v>0248</v>
      </c>
      <c r="L248" s="8"/>
    </row>
    <row r="249" customFormat="false" ht="15.75" hidden="false" customHeight="true" outlineLevel="0" collapsed="false">
      <c r="A249" s="7" t="n">
        <v>45694</v>
      </c>
      <c r="B249" s="8" t="s">
        <v>25</v>
      </c>
      <c r="C249" s="9" t="n">
        <v>803</v>
      </c>
      <c r="D249" s="8" t="s">
        <v>13</v>
      </c>
      <c r="E249" s="8" t="s">
        <v>92</v>
      </c>
      <c r="F249" s="8" t="str">
        <f aca="false">TEXT(A249,"MM-YYYY")</f>
        <v>02-2025</v>
      </c>
      <c r="G249" s="8" t="s">
        <v>14</v>
      </c>
      <c r="H249" s="8" t="s">
        <v>15</v>
      </c>
      <c r="I249" s="7"/>
      <c r="J249" s="8" t="str">
        <f aca="false">VLOOKUP(B249,Table3[#All],2,0)</f>
        <v>Inventory</v>
      </c>
      <c r="K249" s="8" t="str">
        <f aca="false">TEXT(ROW(), "0000")</f>
        <v>0249</v>
      </c>
      <c r="L249" s="8"/>
    </row>
    <row r="250" customFormat="false" ht="15.75" hidden="false" customHeight="true" outlineLevel="0" collapsed="false">
      <c r="A250" s="7" t="n">
        <v>45694</v>
      </c>
      <c r="B250" s="8" t="s">
        <v>28</v>
      </c>
      <c r="C250" s="9" t="n">
        <v>757</v>
      </c>
      <c r="D250" s="8" t="s">
        <v>21</v>
      </c>
      <c r="E250" s="8" t="s">
        <v>93</v>
      </c>
      <c r="F250" s="8" t="str">
        <f aca="false">TEXT(A250,"MM-YYYY")</f>
        <v>02-2025</v>
      </c>
      <c r="G250" s="8" t="s">
        <v>14</v>
      </c>
      <c r="H250" s="8" t="s">
        <v>15</v>
      </c>
      <c r="I250" s="7"/>
      <c r="J250" s="8" t="str">
        <f aca="false">VLOOKUP(B250,Table3[#All],2,0)</f>
        <v>Grocery</v>
      </c>
      <c r="K250" s="8" t="str">
        <f aca="false">TEXT(ROW(), "0000")</f>
        <v>0250</v>
      </c>
      <c r="L250" s="8"/>
    </row>
    <row r="251" customFormat="false" ht="15.75" hidden="false" customHeight="true" outlineLevel="0" collapsed="false">
      <c r="A251" s="7" t="n">
        <v>45694</v>
      </c>
      <c r="B251" s="8" t="s">
        <v>29</v>
      </c>
      <c r="C251" s="9" t="n">
        <v>700</v>
      </c>
      <c r="D251" s="8" t="s">
        <v>13</v>
      </c>
      <c r="E251" s="8" t="s">
        <v>94</v>
      </c>
      <c r="F251" s="8" t="str">
        <f aca="false">TEXT(A251,"MM-YYYY")</f>
        <v>02-2025</v>
      </c>
      <c r="G251" s="8" t="s">
        <v>14</v>
      </c>
      <c r="H251" s="8" t="s">
        <v>15</v>
      </c>
      <c r="I251" s="7"/>
      <c r="J251" s="8" t="str">
        <f aca="false">VLOOKUP(B251,Table3[#All],2,0)</f>
        <v>Inventory</v>
      </c>
      <c r="K251" s="8" t="str">
        <f aca="false">TEXT(ROW(), "0000")</f>
        <v>0251</v>
      </c>
      <c r="L251" s="8"/>
    </row>
    <row r="252" customFormat="false" ht="15.75" hidden="false" customHeight="true" outlineLevel="0" collapsed="false">
      <c r="A252" s="7" t="n">
        <v>45694</v>
      </c>
      <c r="B252" s="8" t="s">
        <v>16</v>
      </c>
      <c r="C252" s="9" t="n">
        <v>670</v>
      </c>
      <c r="D252" s="8" t="s">
        <v>33</v>
      </c>
      <c r="E252" s="8" t="s">
        <v>95</v>
      </c>
      <c r="F252" s="8" t="str">
        <f aca="false">TEXT(A252,"MM-YYYY")</f>
        <v>02-2025</v>
      </c>
      <c r="G252" s="8"/>
      <c r="H252" s="8"/>
      <c r="I252" s="7"/>
      <c r="J252" s="8" t="str">
        <f aca="false">VLOOKUP(B252,Table3[#All],2,0)</f>
        <v>Sales</v>
      </c>
      <c r="K252" s="8" t="str">
        <f aca="false">TEXT(ROW(), "0000")</f>
        <v>0252</v>
      </c>
      <c r="L252" s="8"/>
    </row>
    <row r="253" customFormat="false" ht="15.75" hidden="false" customHeight="true" outlineLevel="0" collapsed="false">
      <c r="A253" s="7" t="n">
        <v>45694</v>
      </c>
      <c r="B253" s="8" t="s">
        <v>16</v>
      </c>
      <c r="C253" s="9" t="n">
        <v>470</v>
      </c>
      <c r="D253" s="8" t="s">
        <v>17</v>
      </c>
      <c r="E253" s="8" t="s">
        <v>59</v>
      </c>
      <c r="F253" s="8" t="str">
        <f aca="false">TEXT(A253,"MM-YYYY")</f>
        <v>02-2025</v>
      </c>
      <c r="G253" s="8"/>
      <c r="H253" s="8"/>
      <c r="I253" s="7"/>
      <c r="J253" s="8" t="str">
        <f aca="false">VLOOKUP(B253,Table3[#All],2,0)</f>
        <v>Sales</v>
      </c>
      <c r="K253" s="8" t="str">
        <f aca="false">TEXT(ROW(), "0000")</f>
        <v>0253</v>
      </c>
      <c r="L253" s="8"/>
    </row>
    <row r="254" customFormat="false" ht="15.75" hidden="false" customHeight="true" outlineLevel="0" collapsed="false">
      <c r="A254" s="7" t="n">
        <v>45694</v>
      </c>
      <c r="B254" s="8" t="s">
        <v>60</v>
      </c>
      <c r="C254" s="9" t="n">
        <v>210</v>
      </c>
      <c r="D254" s="8" t="s">
        <v>21</v>
      </c>
      <c r="E254" s="8" t="s">
        <v>60</v>
      </c>
      <c r="F254" s="8" t="str">
        <f aca="false">TEXT(A254,"MM-YYYY")</f>
        <v>02-2025</v>
      </c>
      <c r="G254" s="8" t="s">
        <v>14</v>
      </c>
      <c r="H254" s="8" t="s">
        <v>15</v>
      </c>
      <c r="I254" s="7"/>
      <c r="J254" s="8" t="str">
        <f aca="false">VLOOKUP(B254,Table3[#All],2,0)</f>
        <v>Inventory</v>
      </c>
      <c r="K254" s="8" t="str">
        <f aca="false">TEXT(ROW(), "0000")</f>
        <v>0254</v>
      </c>
      <c r="L254" s="8"/>
    </row>
    <row r="255" customFormat="false" ht="15.75" hidden="false" customHeight="true" outlineLevel="0" collapsed="false">
      <c r="A255" s="7" t="n">
        <v>45694</v>
      </c>
      <c r="B255" s="8" t="s">
        <v>34</v>
      </c>
      <c r="C255" s="9" t="n">
        <v>83</v>
      </c>
      <c r="D255" s="8" t="s">
        <v>21</v>
      </c>
      <c r="E255" s="8" t="s">
        <v>96</v>
      </c>
      <c r="F255" s="8" t="str">
        <f aca="false">TEXT(A255,"MM-YYYY")</f>
        <v>02-2025</v>
      </c>
      <c r="G255" s="8" t="s">
        <v>14</v>
      </c>
      <c r="H255" s="8" t="s">
        <v>15</v>
      </c>
      <c r="I255" s="7"/>
      <c r="J255" s="8" t="str">
        <f aca="false">VLOOKUP(B255,Table3[#All],2,0)</f>
        <v>Staff Expenses</v>
      </c>
      <c r="K255" s="8" t="str">
        <f aca="false">TEXT(ROW(), "0000")</f>
        <v>0255</v>
      </c>
      <c r="L255" s="8"/>
    </row>
    <row r="256" customFormat="false" ht="15.75" hidden="false" customHeight="true" outlineLevel="0" collapsed="false">
      <c r="A256" s="7" t="n">
        <v>45695</v>
      </c>
      <c r="B256" s="8" t="s">
        <v>16</v>
      </c>
      <c r="C256" s="9" t="n">
        <v>26031</v>
      </c>
      <c r="D256" s="8" t="s">
        <v>17</v>
      </c>
      <c r="E256" s="8" t="s">
        <v>88</v>
      </c>
      <c r="F256" s="8" t="str">
        <f aca="false">TEXT(A256,"MM-YYYY")</f>
        <v>02-2025</v>
      </c>
      <c r="G256" s="8"/>
      <c r="H256" s="8"/>
      <c r="I256" s="7"/>
      <c r="J256" s="8" t="str">
        <f aca="false">VLOOKUP(B256,Table3[#All],2,0)</f>
        <v>Sales</v>
      </c>
      <c r="K256" s="8" t="str">
        <f aca="false">TEXT(ROW(), "0000")</f>
        <v>0256</v>
      </c>
      <c r="L256" s="8"/>
    </row>
    <row r="257" customFormat="false" ht="15.75" hidden="false" customHeight="true" outlineLevel="0" collapsed="false">
      <c r="A257" s="7" t="n">
        <v>45695</v>
      </c>
      <c r="B257" s="8" t="s">
        <v>19</v>
      </c>
      <c r="C257" s="9" t="n">
        <v>2440</v>
      </c>
      <c r="D257" s="8" t="s">
        <v>13</v>
      </c>
      <c r="E257" s="8" t="s">
        <v>20</v>
      </c>
      <c r="F257" s="8" t="str">
        <f aca="false">TEXT(A257,"MM-YYYY")</f>
        <v>02-2025</v>
      </c>
      <c r="G257" s="8" t="s">
        <v>14</v>
      </c>
      <c r="H257" s="8" t="s">
        <v>15</v>
      </c>
      <c r="I257" s="7"/>
      <c r="J257" s="8" t="str">
        <f aca="false">VLOOKUP(B257,Table3[#All],2,0)</f>
        <v>Inventory</v>
      </c>
      <c r="K257" s="8" t="str">
        <f aca="false">TEXT(ROW(), "0000")</f>
        <v>0257</v>
      </c>
      <c r="L257" s="8"/>
    </row>
    <row r="258" customFormat="false" ht="15.75" hidden="false" customHeight="true" outlineLevel="0" collapsed="false">
      <c r="A258" s="7" t="n">
        <v>45695</v>
      </c>
      <c r="B258" s="8" t="s">
        <v>16</v>
      </c>
      <c r="C258" s="9" t="n">
        <v>2298</v>
      </c>
      <c r="D258" s="8" t="s">
        <v>24</v>
      </c>
      <c r="E258" s="8" t="s">
        <v>90</v>
      </c>
      <c r="F258" s="8" t="str">
        <f aca="false">TEXT(A258,"MM-YYYY")</f>
        <v>02-2025</v>
      </c>
      <c r="G258" s="8"/>
      <c r="H258" s="8"/>
      <c r="I258" s="7"/>
      <c r="J258" s="8" t="str">
        <f aca="false">VLOOKUP(B258,Table3[#All],2,0)</f>
        <v>Sales</v>
      </c>
      <c r="K258" s="8" t="str">
        <f aca="false">TEXT(ROW(), "0000")</f>
        <v>0258</v>
      </c>
      <c r="L258" s="8"/>
    </row>
    <row r="259" customFormat="false" ht="15.75" hidden="false" customHeight="true" outlineLevel="0" collapsed="false">
      <c r="A259" s="7" t="n">
        <v>45695</v>
      </c>
      <c r="B259" s="8" t="s">
        <v>16</v>
      </c>
      <c r="C259" s="9" t="n">
        <v>2160</v>
      </c>
      <c r="D259" s="8" t="s">
        <v>21</v>
      </c>
      <c r="E259" s="8" t="s">
        <v>88</v>
      </c>
      <c r="F259" s="8" t="str">
        <f aca="false">TEXT(A259,"MM-YYYY")</f>
        <v>02-2025</v>
      </c>
      <c r="G259" s="8"/>
      <c r="H259" s="8"/>
      <c r="I259" s="7"/>
      <c r="J259" s="8" t="str">
        <f aca="false">VLOOKUP(B259,Table3[#All],2,0)</f>
        <v>Sales</v>
      </c>
      <c r="K259" s="8" t="str">
        <f aca="false">TEXT(ROW(), "0000")</f>
        <v>0259</v>
      </c>
      <c r="L259" s="8"/>
    </row>
    <row r="260" customFormat="false" ht="15.75" hidden="false" customHeight="true" outlineLevel="0" collapsed="false">
      <c r="A260" s="7" t="n">
        <v>45695</v>
      </c>
      <c r="B260" s="8" t="s">
        <v>25</v>
      </c>
      <c r="C260" s="9" t="n">
        <v>1491</v>
      </c>
      <c r="D260" s="8" t="s">
        <v>13</v>
      </c>
      <c r="E260" s="8" t="s">
        <v>92</v>
      </c>
      <c r="F260" s="8" t="str">
        <f aca="false">TEXT(A260,"MM-YYYY")</f>
        <v>02-2025</v>
      </c>
      <c r="G260" s="8" t="s">
        <v>14</v>
      </c>
      <c r="H260" s="8" t="s">
        <v>15</v>
      </c>
      <c r="I260" s="7"/>
      <c r="J260" s="8" t="str">
        <f aca="false">VLOOKUP(B260,Table3[#All],2,0)</f>
        <v>Inventory</v>
      </c>
      <c r="K260" s="8" t="str">
        <f aca="false">TEXT(ROW(), "0000")</f>
        <v>0260</v>
      </c>
      <c r="L260" s="8"/>
    </row>
    <row r="261" customFormat="false" ht="15.75" hidden="false" customHeight="true" outlineLevel="0" collapsed="false">
      <c r="A261" s="7" t="n">
        <v>45695</v>
      </c>
      <c r="B261" s="8" t="s">
        <v>40</v>
      </c>
      <c r="C261" s="9" t="n">
        <v>1480</v>
      </c>
      <c r="D261" s="8" t="s">
        <v>21</v>
      </c>
      <c r="E261" s="8" t="s">
        <v>97</v>
      </c>
      <c r="F261" s="8" t="str">
        <f aca="false">TEXT(A261,"MM-YYYY")</f>
        <v>02-2025</v>
      </c>
      <c r="G261" s="8" t="s">
        <v>14</v>
      </c>
      <c r="H261" s="8" t="s">
        <v>15</v>
      </c>
      <c r="I261" s="7"/>
      <c r="J261" s="8" t="str">
        <f aca="false">VLOOKUP(B261,Table3[#All],2,0)</f>
        <v>Inventory</v>
      </c>
      <c r="K261" s="8" t="str">
        <f aca="false">TEXT(ROW(), "0000")</f>
        <v>0261</v>
      </c>
      <c r="L261" s="8"/>
    </row>
    <row r="262" customFormat="false" ht="15.75" hidden="false" customHeight="true" outlineLevel="0" collapsed="false">
      <c r="A262" s="7" t="n">
        <v>45695</v>
      </c>
      <c r="B262" s="8" t="s">
        <v>29</v>
      </c>
      <c r="C262" s="9" t="n">
        <v>549</v>
      </c>
      <c r="D262" s="8" t="s">
        <v>13</v>
      </c>
      <c r="E262" s="8" t="s">
        <v>94</v>
      </c>
      <c r="F262" s="8" t="str">
        <f aca="false">TEXT(A262,"MM-YYYY")</f>
        <v>02-2025</v>
      </c>
      <c r="G262" s="8" t="s">
        <v>14</v>
      </c>
      <c r="H262" s="8" t="s">
        <v>15</v>
      </c>
      <c r="I262" s="7"/>
      <c r="J262" s="8" t="str">
        <f aca="false">VLOOKUP(B262,Table3[#All],2,0)</f>
        <v>Inventory</v>
      </c>
      <c r="K262" s="8" t="str">
        <f aca="false">TEXT(ROW(), "0000")</f>
        <v>0262</v>
      </c>
      <c r="L262" s="8"/>
    </row>
    <row r="263" customFormat="false" ht="15.75" hidden="false" customHeight="true" outlineLevel="0" collapsed="false">
      <c r="A263" s="7" t="n">
        <v>45695</v>
      </c>
      <c r="B263" s="8" t="s">
        <v>22</v>
      </c>
      <c r="C263" s="9" t="n">
        <v>475</v>
      </c>
      <c r="D263" s="8" t="s">
        <v>13</v>
      </c>
      <c r="E263" s="8" t="s">
        <v>23</v>
      </c>
      <c r="F263" s="8" t="str">
        <f aca="false">TEXT(A263,"MM-YYYY")</f>
        <v>02-2025</v>
      </c>
      <c r="G263" s="8" t="s">
        <v>14</v>
      </c>
      <c r="H263" s="8" t="s">
        <v>15</v>
      </c>
      <c r="I263" s="7"/>
      <c r="J263" s="8" t="str">
        <f aca="false">VLOOKUP(B263,Table3[#All],2,0)</f>
        <v>Inventory</v>
      </c>
      <c r="K263" s="8" t="str">
        <f aca="false">TEXT(ROW(), "0000")</f>
        <v>0263</v>
      </c>
      <c r="L263" s="8"/>
    </row>
    <row r="264" customFormat="false" ht="15.75" hidden="false" customHeight="true" outlineLevel="0" collapsed="false">
      <c r="A264" s="7" t="n">
        <v>45695</v>
      </c>
      <c r="B264" s="8" t="s">
        <v>43</v>
      </c>
      <c r="C264" s="9" t="n">
        <v>200</v>
      </c>
      <c r="D264" s="8" t="s">
        <v>21</v>
      </c>
      <c r="E264" s="8" t="s">
        <v>98</v>
      </c>
      <c r="F264" s="8" t="str">
        <f aca="false">TEXT(A264,"MM-YYYY")</f>
        <v>02-2025</v>
      </c>
      <c r="G264" s="8" t="s">
        <v>14</v>
      </c>
      <c r="H264" s="8" t="s">
        <v>15</v>
      </c>
      <c r="I264" s="7"/>
      <c r="J264" s="8" t="str">
        <f aca="false">VLOOKUP(B264,Table3[#All],2,0)</f>
        <v>Maintance</v>
      </c>
      <c r="K264" s="8" t="str">
        <f aca="false">TEXT(ROW(), "0000")</f>
        <v>0264</v>
      </c>
      <c r="L264" s="8"/>
    </row>
    <row r="265" customFormat="false" ht="15.75" hidden="false" customHeight="true" outlineLevel="0" collapsed="false">
      <c r="A265" s="7" t="n">
        <v>45695</v>
      </c>
      <c r="B265" s="8" t="s">
        <v>34</v>
      </c>
      <c r="C265" s="9" t="n">
        <v>100</v>
      </c>
      <c r="D265" s="8" t="s">
        <v>21</v>
      </c>
      <c r="E265" s="8" t="s">
        <v>96</v>
      </c>
      <c r="F265" s="8" t="str">
        <f aca="false">TEXT(A265,"MM-YYYY")</f>
        <v>02-2025</v>
      </c>
      <c r="G265" s="8" t="s">
        <v>14</v>
      </c>
      <c r="H265" s="8" t="s">
        <v>15</v>
      </c>
      <c r="I265" s="7"/>
      <c r="J265" s="8" t="str">
        <f aca="false">VLOOKUP(B265,Table3[#All],2,0)</f>
        <v>Staff Expenses</v>
      </c>
      <c r="K265" s="8" t="str">
        <f aca="false">TEXT(ROW(), "0000")</f>
        <v>0265</v>
      </c>
      <c r="L265" s="8"/>
    </row>
    <row r="266" customFormat="false" ht="15.75" hidden="false" customHeight="true" outlineLevel="0" collapsed="false">
      <c r="A266" s="7" t="n">
        <v>45695</v>
      </c>
      <c r="B266" s="8" t="s">
        <v>29</v>
      </c>
      <c r="C266" s="9" t="n">
        <v>60</v>
      </c>
      <c r="D266" s="8" t="s">
        <v>21</v>
      </c>
      <c r="E266" s="8" t="s">
        <v>41</v>
      </c>
      <c r="F266" s="8" t="str">
        <f aca="false">TEXT(A266,"MM-YYYY")</f>
        <v>02-2025</v>
      </c>
      <c r="G266" s="8" t="s">
        <v>14</v>
      </c>
      <c r="H266" s="8" t="s">
        <v>15</v>
      </c>
      <c r="I266" s="7"/>
      <c r="J266" s="8" t="str">
        <f aca="false">VLOOKUP(B266,Table3[#All],2,0)</f>
        <v>Inventory</v>
      </c>
      <c r="K266" s="8" t="str">
        <f aca="false">TEXT(ROW(), "0000")</f>
        <v>0266</v>
      </c>
      <c r="L266" s="8"/>
    </row>
    <row r="267" customFormat="false" ht="15.75" hidden="false" customHeight="true" outlineLevel="0" collapsed="false">
      <c r="A267" s="7" t="n">
        <v>45695</v>
      </c>
      <c r="B267" s="8" t="s">
        <v>43</v>
      </c>
      <c r="C267" s="9" t="n">
        <v>40</v>
      </c>
      <c r="D267" s="8" t="s">
        <v>21</v>
      </c>
      <c r="E267" s="8" t="s">
        <v>99</v>
      </c>
      <c r="F267" s="8" t="str">
        <f aca="false">TEXT(A267,"MM-YYYY")</f>
        <v>02-2025</v>
      </c>
      <c r="G267" s="8" t="s">
        <v>14</v>
      </c>
      <c r="H267" s="8" t="s">
        <v>15</v>
      </c>
      <c r="I267" s="7"/>
      <c r="J267" s="8" t="str">
        <f aca="false">VLOOKUP(B267,Table3[#All],2,0)</f>
        <v>Maintance</v>
      </c>
      <c r="K267" s="8" t="str">
        <f aca="false">TEXT(ROW(), "0000")</f>
        <v>0267</v>
      </c>
      <c r="L267" s="8"/>
    </row>
    <row r="268" customFormat="false" ht="15.75" hidden="false" customHeight="true" outlineLevel="0" collapsed="false">
      <c r="A268" s="7" t="n">
        <v>45695</v>
      </c>
      <c r="B268" s="8" t="s">
        <v>25</v>
      </c>
      <c r="C268" s="9" t="n">
        <v>38</v>
      </c>
      <c r="D268" s="8" t="s">
        <v>21</v>
      </c>
      <c r="E268" s="8" t="s">
        <v>42</v>
      </c>
      <c r="F268" s="8" t="str">
        <f aca="false">TEXT(A268,"MM-YYYY")</f>
        <v>02-2025</v>
      </c>
      <c r="G268" s="8" t="s">
        <v>14</v>
      </c>
      <c r="H268" s="8" t="s">
        <v>15</v>
      </c>
      <c r="I268" s="7"/>
      <c r="J268" s="8" t="str">
        <f aca="false">VLOOKUP(B268,Table3[#All],2,0)</f>
        <v>Inventory</v>
      </c>
      <c r="K268" s="8" t="str">
        <f aca="false">TEXT(ROW(), "0000")</f>
        <v>0268</v>
      </c>
      <c r="L268" s="8"/>
    </row>
    <row r="269" customFormat="false" ht="15.75" hidden="false" customHeight="true" outlineLevel="0" collapsed="false">
      <c r="A269" s="7" t="n">
        <v>45695</v>
      </c>
      <c r="B269" s="8" t="s">
        <v>37</v>
      </c>
      <c r="C269" s="9" t="n">
        <v>10</v>
      </c>
      <c r="D269" s="8" t="s">
        <v>21</v>
      </c>
      <c r="E269" s="8" t="s">
        <v>100</v>
      </c>
      <c r="F269" s="8" t="str">
        <f aca="false">TEXT(A269,"MM-YYYY")</f>
        <v>02-2025</v>
      </c>
      <c r="G269" s="8" t="s">
        <v>14</v>
      </c>
      <c r="H269" s="8" t="s">
        <v>15</v>
      </c>
      <c r="I269" s="7"/>
      <c r="J269" s="8" t="str">
        <f aca="false">VLOOKUP(B269,Table3[#All],2,0)</f>
        <v>Maintance</v>
      </c>
      <c r="K269" s="8" t="str">
        <f aca="false">TEXT(ROW(), "0000")</f>
        <v>0269</v>
      </c>
      <c r="L269" s="8"/>
    </row>
    <row r="270" customFormat="false" ht="15.75" hidden="false" customHeight="true" outlineLevel="0" collapsed="false">
      <c r="A270" s="7" t="n">
        <v>45696</v>
      </c>
      <c r="B270" s="8" t="s">
        <v>16</v>
      </c>
      <c r="C270" s="9" t="n">
        <v>17459</v>
      </c>
      <c r="D270" s="8" t="s">
        <v>17</v>
      </c>
      <c r="E270" s="8" t="s">
        <v>101</v>
      </c>
      <c r="F270" s="8" t="str">
        <f aca="false">TEXT(A270,"MM-YYYY")</f>
        <v>02-2025</v>
      </c>
      <c r="G270" s="8"/>
      <c r="H270" s="8"/>
      <c r="I270" s="7"/>
      <c r="J270" s="8" t="str">
        <f aca="false">VLOOKUP(B270,Table3[#All],2,0)</f>
        <v>Sales</v>
      </c>
      <c r="K270" s="8" t="str">
        <f aca="false">TEXT(ROW(), "0000")</f>
        <v>0270</v>
      </c>
      <c r="L270" s="8"/>
    </row>
    <row r="271" customFormat="false" ht="15.75" hidden="false" customHeight="true" outlineLevel="0" collapsed="false">
      <c r="A271" s="7" t="n">
        <v>45696</v>
      </c>
      <c r="B271" s="8" t="s">
        <v>19</v>
      </c>
      <c r="C271" s="9" t="n">
        <v>5685</v>
      </c>
      <c r="D271" s="8" t="s">
        <v>13</v>
      </c>
      <c r="E271" s="8"/>
      <c r="F271" s="8" t="str">
        <f aca="false">TEXT(A271,"MM-YYYY")</f>
        <v>02-2025</v>
      </c>
      <c r="G271" s="8" t="s">
        <v>14</v>
      </c>
      <c r="H271" s="8" t="s">
        <v>15</v>
      </c>
      <c r="I271" s="7"/>
      <c r="J271" s="8" t="str">
        <f aca="false">VLOOKUP(B271,Table3[#All],2,0)</f>
        <v>Inventory</v>
      </c>
      <c r="K271" s="8" t="str">
        <f aca="false">TEXT(ROW(), "0000")</f>
        <v>0271</v>
      </c>
      <c r="L271" s="8"/>
    </row>
    <row r="272" customFormat="false" ht="15.75" hidden="false" customHeight="true" outlineLevel="0" collapsed="false">
      <c r="A272" s="7" t="n">
        <v>45696</v>
      </c>
      <c r="B272" s="8" t="s">
        <v>16</v>
      </c>
      <c r="C272" s="9" t="n">
        <v>5260</v>
      </c>
      <c r="D272" s="8" t="s">
        <v>21</v>
      </c>
      <c r="E272" s="8" t="s">
        <v>101</v>
      </c>
      <c r="F272" s="8" t="str">
        <f aca="false">TEXT(A272,"MM-YYYY")</f>
        <v>02-2025</v>
      </c>
      <c r="G272" s="8"/>
      <c r="H272" s="8"/>
      <c r="I272" s="7"/>
      <c r="J272" s="8" t="str">
        <f aca="false">VLOOKUP(B272,Table3[#All],2,0)</f>
        <v>Sales</v>
      </c>
      <c r="K272" s="8" t="str">
        <f aca="false">TEXT(ROW(), "0000")</f>
        <v>0272</v>
      </c>
      <c r="L272" s="8"/>
    </row>
    <row r="273" customFormat="false" ht="15.75" hidden="false" customHeight="true" outlineLevel="0" collapsed="false">
      <c r="A273" s="7" t="n">
        <v>45696</v>
      </c>
      <c r="B273" s="8" t="s">
        <v>22</v>
      </c>
      <c r="C273" s="9" t="n">
        <v>2290</v>
      </c>
      <c r="D273" s="8" t="s">
        <v>13</v>
      </c>
      <c r="E273" s="8"/>
      <c r="F273" s="8" t="str">
        <f aca="false">TEXT(A273,"MM-YYYY")</f>
        <v>02-2025</v>
      </c>
      <c r="G273" s="8" t="s">
        <v>14</v>
      </c>
      <c r="H273" s="8" t="s">
        <v>15</v>
      </c>
      <c r="I273" s="7"/>
      <c r="J273" s="8" t="str">
        <f aca="false">VLOOKUP(B273,Table3[#All],2,0)</f>
        <v>Inventory</v>
      </c>
      <c r="K273" s="8" t="str">
        <f aca="false">TEXT(ROW(), "0000")</f>
        <v>0273</v>
      </c>
      <c r="L273" s="8"/>
    </row>
    <row r="274" customFormat="false" ht="15.75" hidden="false" customHeight="true" outlineLevel="0" collapsed="false">
      <c r="A274" s="7" t="n">
        <v>45696</v>
      </c>
      <c r="B274" s="8" t="s">
        <v>16</v>
      </c>
      <c r="C274" s="9" t="n">
        <v>2037</v>
      </c>
      <c r="D274" s="8" t="s">
        <v>24</v>
      </c>
      <c r="E274" s="8" t="s">
        <v>90</v>
      </c>
      <c r="F274" s="8" t="str">
        <f aca="false">TEXT(A274,"MM-YYYY")</f>
        <v>02-2025</v>
      </c>
      <c r="G274" s="8"/>
      <c r="H274" s="8"/>
      <c r="I274" s="7"/>
      <c r="J274" s="8" t="str">
        <f aca="false">VLOOKUP(B274,Table3[#All],2,0)</f>
        <v>Sales</v>
      </c>
      <c r="K274" s="8" t="str">
        <f aca="false">TEXT(ROW(), "0000")</f>
        <v>0274</v>
      </c>
      <c r="L274" s="8"/>
    </row>
    <row r="275" customFormat="false" ht="15.75" hidden="false" customHeight="true" outlineLevel="0" collapsed="false">
      <c r="A275" s="7" t="n">
        <v>45696</v>
      </c>
      <c r="B275" s="8" t="s">
        <v>16</v>
      </c>
      <c r="C275" s="9" t="n">
        <v>1910</v>
      </c>
      <c r="D275" s="8" t="s">
        <v>27</v>
      </c>
      <c r="E275" s="8" t="s">
        <v>101</v>
      </c>
      <c r="F275" s="8" t="str">
        <f aca="false">TEXT(A275,"MM-YYYY")</f>
        <v>02-2025</v>
      </c>
      <c r="G275" s="8"/>
      <c r="H275" s="8"/>
      <c r="I275" s="7"/>
      <c r="J275" s="8" t="str">
        <f aca="false">VLOOKUP(B275,Table3[#All],2,0)</f>
        <v>Sales</v>
      </c>
      <c r="K275" s="8" t="str">
        <f aca="false">TEXT(ROW(), "0000")</f>
        <v>0275</v>
      </c>
      <c r="L275" s="8"/>
    </row>
    <row r="276" customFormat="false" ht="15.75" hidden="false" customHeight="true" outlineLevel="0" collapsed="false">
      <c r="A276" s="7" t="n">
        <v>45696</v>
      </c>
      <c r="B276" s="8" t="s">
        <v>47</v>
      </c>
      <c r="C276" s="9" t="n">
        <v>1680</v>
      </c>
      <c r="D276" s="8" t="s">
        <v>13</v>
      </c>
      <c r="E276" s="8"/>
      <c r="F276" s="8" t="str">
        <f aca="false">TEXT(A276,"MM-YYYY")</f>
        <v>02-2025</v>
      </c>
      <c r="G276" s="8" t="s">
        <v>14</v>
      </c>
      <c r="H276" s="8" t="s">
        <v>15</v>
      </c>
      <c r="I276" s="7"/>
      <c r="J276" s="8" t="str">
        <f aca="false">VLOOKUP(B276,Table3[#All],2,0)</f>
        <v>Inventory</v>
      </c>
      <c r="K276" s="8" t="str">
        <f aca="false">TEXT(ROW(), "0000")</f>
        <v>0276</v>
      </c>
      <c r="L276" s="8"/>
    </row>
    <row r="277" customFormat="false" ht="15.75" hidden="false" customHeight="true" outlineLevel="0" collapsed="false">
      <c r="A277" s="7" t="n">
        <v>45696</v>
      </c>
      <c r="B277" s="8" t="s">
        <v>53</v>
      </c>
      <c r="C277" s="9" t="n">
        <v>1300</v>
      </c>
      <c r="D277" s="8" t="s">
        <v>45</v>
      </c>
      <c r="E277" s="8"/>
      <c r="F277" s="8" t="str">
        <f aca="false">TEXT(A277,"MM-YYYY")</f>
        <v>02-2025</v>
      </c>
      <c r="G277" s="8" t="s">
        <v>14</v>
      </c>
      <c r="H277" s="8" t="s">
        <v>15</v>
      </c>
      <c r="I277" s="7"/>
      <c r="J277" s="8" t="str">
        <f aca="false">VLOOKUP(B277,Table3[#All],2,0)</f>
        <v>Grocery</v>
      </c>
      <c r="K277" s="8" t="str">
        <f aca="false">TEXT(ROW(), "0000")</f>
        <v>0277</v>
      </c>
      <c r="L277" s="8"/>
    </row>
    <row r="278" customFormat="false" ht="15.75" hidden="false" customHeight="true" outlineLevel="0" collapsed="false">
      <c r="A278" s="7" t="n">
        <v>45696</v>
      </c>
      <c r="B278" s="8" t="s">
        <v>16</v>
      </c>
      <c r="C278" s="9" t="n">
        <v>1280</v>
      </c>
      <c r="D278" s="8" t="s">
        <v>59</v>
      </c>
      <c r="E278" s="8" t="s">
        <v>101</v>
      </c>
      <c r="F278" s="8" t="str">
        <f aca="false">TEXT(A278,"MM-YYYY")</f>
        <v>02-2025</v>
      </c>
      <c r="G278" s="8"/>
      <c r="H278" s="8"/>
      <c r="I278" s="7"/>
      <c r="J278" s="8" t="str">
        <f aca="false">VLOOKUP(B278,Table3[#All],2,0)</f>
        <v>Sales</v>
      </c>
      <c r="K278" s="8" t="str">
        <f aca="false">TEXT(ROW(), "0000")</f>
        <v>0278</v>
      </c>
      <c r="L278" s="8"/>
    </row>
    <row r="279" customFormat="false" ht="15.75" hidden="false" customHeight="true" outlineLevel="0" collapsed="false">
      <c r="A279" s="7" t="n">
        <v>45696</v>
      </c>
      <c r="B279" s="8" t="s">
        <v>25</v>
      </c>
      <c r="C279" s="9" t="n">
        <v>625</v>
      </c>
      <c r="D279" s="8" t="s">
        <v>13</v>
      </c>
      <c r="E279" s="8"/>
      <c r="F279" s="8" t="str">
        <f aca="false">TEXT(A279,"MM-YYYY")</f>
        <v>02-2025</v>
      </c>
      <c r="G279" s="8" t="s">
        <v>14</v>
      </c>
      <c r="H279" s="8" t="s">
        <v>15</v>
      </c>
      <c r="I279" s="7"/>
      <c r="J279" s="8" t="str">
        <f aca="false">VLOOKUP(B279,Table3[#All],2,0)</f>
        <v>Inventory</v>
      </c>
      <c r="K279" s="8" t="str">
        <f aca="false">TEXT(ROW(), "0000")</f>
        <v>0279</v>
      </c>
      <c r="L279" s="8"/>
    </row>
    <row r="280" customFormat="false" ht="15.75" hidden="false" customHeight="true" outlineLevel="0" collapsed="false">
      <c r="A280" s="7" t="n">
        <v>45696</v>
      </c>
      <c r="B280" s="8" t="s">
        <v>102</v>
      </c>
      <c r="C280" s="9" t="n">
        <v>600</v>
      </c>
      <c r="D280" s="8" t="s">
        <v>13</v>
      </c>
      <c r="E280" s="8"/>
      <c r="F280" s="8" t="str">
        <f aca="false">TEXT(A280,"MM-YYYY")</f>
        <v>02-2025</v>
      </c>
      <c r="G280" s="8" t="s">
        <v>14</v>
      </c>
      <c r="H280" s="8" t="s">
        <v>15</v>
      </c>
      <c r="I280" s="7"/>
      <c r="J280" s="8" t="str">
        <f aca="false">VLOOKUP(B280,Table3[#All],2,0)</f>
        <v>Fixed Maintance</v>
      </c>
      <c r="K280" s="8" t="str">
        <f aca="false">TEXT(ROW(), "0000")</f>
        <v>0280</v>
      </c>
      <c r="L280" s="8"/>
    </row>
    <row r="281" customFormat="false" ht="15.75" hidden="false" customHeight="true" outlineLevel="0" collapsed="false">
      <c r="A281" s="7" t="n">
        <v>45696</v>
      </c>
      <c r="B281" s="8" t="s">
        <v>29</v>
      </c>
      <c r="C281" s="9" t="n">
        <v>532</v>
      </c>
      <c r="D281" s="8" t="s">
        <v>13</v>
      </c>
      <c r="E281" s="8"/>
      <c r="F281" s="8" t="str">
        <f aca="false">TEXT(A281,"MM-YYYY")</f>
        <v>02-2025</v>
      </c>
      <c r="G281" s="8" t="s">
        <v>14</v>
      </c>
      <c r="H281" s="8" t="s">
        <v>15</v>
      </c>
      <c r="I281" s="7"/>
      <c r="J281" s="8" t="str">
        <f aca="false">VLOOKUP(B281,Table3[#All],2,0)</f>
        <v>Inventory</v>
      </c>
      <c r="K281" s="8" t="str">
        <f aca="false">TEXT(ROW(), "0000")</f>
        <v>0281</v>
      </c>
      <c r="L281" s="8"/>
    </row>
    <row r="282" customFormat="false" ht="15.75" hidden="false" customHeight="true" outlineLevel="0" collapsed="false">
      <c r="A282" s="7" t="n">
        <v>45696</v>
      </c>
      <c r="B282" s="8" t="s">
        <v>40</v>
      </c>
      <c r="C282" s="9" t="n">
        <v>400</v>
      </c>
      <c r="D282" s="8" t="s">
        <v>45</v>
      </c>
      <c r="E282" s="8" t="s">
        <v>103</v>
      </c>
      <c r="F282" s="8" t="str">
        <f aca="false">TEXT(A282,"MM-YYYY")</f>
        <v>02-2025</v>
      </c>
      <c r="G282" s="8" t="s">
        <v>14</v>
      </c>
      <c r="H282" s="8" t="s">
        <v>15</v>
      </c>
      <c r="I282" s="7"/>
      <c r="J282" s="8" t="str">
        <f aca="false">VLOOKUP(B282,Table3[#All],2,0)</f>
        <v>Inventory</v>
      </c>
      <c r="K282" s="8" t="str">
        <f aca="false">TEXT(ROW(), "0000")</f>
        <v>0282</v>
      </c>
      <c r="L282" s="8"/>
    </row>
    <row r="283" customFormat="false" ht="15.75" hidden="false" customHeight="true" outlineLevel="0" collapsed="false">
      <c r="A283" s="7" t="n">
        <v>45696</v>
      </c>
      <c r="B283" s="8" t="s">
        <v>16</v>
      </c>
      <c r="C283" s="9" t="n">
        <v>149</v>
      </c>
      <c r="D283" s="8" t="s">
        <v>33</v>
      </c>
      <c r="E283" s="8" t="s">
        <v>101</v>
      </c>
      <c r="F283" s="8" t="str">
        <f aca="false">TEXT(A283,"MM-YYYY")</f>
        <v>02-2025</v>
      </c>
      <c r="G283" s="8"/>
      <c r="H283" s="8"/>
      <c r="I283" s="7"/>
      <c r="J283" s="8" t="str">
        <f aca="false">VLOOKUP(B283,Table3[#All],2,0)</f>
        <v>Sales</v>
      </c>
      <c r="K283" s="8" t="str">
        <f aca="false">TEXT(ROW(), "0000")</f>
        <v>0283</v>
      </c>
      <c r="L283" s="8"/>
    </row>
    <row r="284" customFormat="false" ht="15.75" hidden="false" customHeight="true" outlineLevel="0" collapsed="false">
      <c r="A284" s="7" t="n">
        <v>45696</v>
      </c>
      <c r="B284" s="8" t="s">
        <v>34</v>
      </c>
      <c r="C284" s="9" t="n">
        <v>100</v>
      </c>
      <c r="D284" s="8" t="s">
        <v>21</v>
      </c>
      <c r="E284" s="8" t="s">
        <v>104</v>
      </c>
      <c r="F284" s="8" t="str">
        <f aca="false">TEXT(A284,"MM-YYYY")</f>
        <v>02-2025</v>
      </c>
      <c r="G284" s="8" t="s">
        <v>14</v>
      </c>
      <c r="H284" s="8" t="s">
        <v>15</v>
      </c>
      <c r="I284" s="7"/>
      <c r="J284" s="8" t="str">
        <f aca="false">VLOOKUP(B284,Table3[#All],2,0)</f>
        <v>Staff Expenses</v>
      </c>
      <c r="K284" s="8" t="str">
        <f aca="false">TEXT(ROW(), "0000")</f>
        <v>0284</v>
      </c>
      <c r="L284" s="8"/>
    </row>
    <row r="285" customFormat="false" ht="15.75" hidden="false" customHeight="true" outlineLevel="0" collapsed="false">
      <c r="A285" s="7" t="n">
        <v>45696</v>
      </c>
      <c r="B285" s="8" t="s">
        <v>25</v>
      </c>
      <c r="C285" s="9" t="n">
        <v>38</v>
      </c>
      <c r="D285" s="8" t="s">
        <v>21</v>
      </c>
      <c r="E285" s="8" t="s">
        <v>105</v>
      </c>
      <c r="F285" s="8" t="str">
        <f aca="false">TEXT(A285,"MM-YYYY")</f>
        <v>02-2025</v>
      </c>
      <c r="G285" s="8" t="s">
        <v>14</v>
      </c>
      <c r="H285" s="8" t="s">
        <v>15</v>
      </c>
      <c r="I285" s="7"/>
      <c r="J285" s="8" t="str">
        <f aca="false">VLOOKUP(B285,Table3[#All],2,0)</f>
        <v>Inventory</v>
      </c>
      <c r="K285" s="8" t="str">
        <f aca="false">TEXT(ROW(), "0000")</f>
        <v>0285</v>
      </c>
      <c r="L285" s="8"/>
    </row>
    <row r="286" customFormat="false" ht="15.75" hidden="false" customHeight="true" outlineLevel="0" collapsed="false">
      <c r="A286" s="7" t="n">
        <v>45696</v>
      </c>
      <c r="B286" s="8" t="s">
        <v>29</v>
      </c>
      <c r="C286" s="9" t="n">
        <v>30</v>
      </c>
      <c r="D286" s="8" t="s">
        <v>21</v>
      </c>
      <c r="E286" s="8" t="s">
        <v>65</v>
      </c>
      <c r="F286" s="8" t="str">
        <f aca="false">TEXT(A286,"MM-YYYY")</f>
        <v>02-2025</v>
      </c>
      <c r="G286" s="8" t="s">
        <v>14</v>
      </c>
      <c r="H286" s="8" t="s">
        <v>15</v>
      </c>
      <c r="I286" s="7"/>
      <c r="J286" s="8" t="str">
        <f aca="false">VLOOKUP(B286,Table3[#All],2,0)</f>
        <v>Inventory</v>
      </c>
      <c r="K286" s="8" t="str">
        <f aca="false">TEXT(ROW(), "0000")</f>
        <v>0286</v>
      </c>
      <c r="L286" s="8"/>
    </row>
    <row r="287" customFormat="false" ht="15.75" hidden="false" customHeight="true" outlineLevel="0" collapsed="false">
      <c r="A287" s="7" t="n">
        <v>45696</v>
      </c>
      <c r="B287" s="8" t="s">
        <v>37</v>
      </c>
      <c r="C287" s="9" t="n">
        <v>20</v>
      </c>
      <c r="D287" s="8" t="s">
        <v>21</v>
      </c>
      <c r="E287" s="8" t="s">
        <v>106</v>
      </c>
      <c r="F287" s="8" t="str">
        <f aca="false">TEXT(A287,"MM-YYYY")</f>
        <v>02-2025</v>
      </c>
      <c r="G287" s="8" t="s">
        <v>14</v>
      </c>
      <c r="H287" s="8" t="s">
        <v>15</v>
      </c>
      <c r="I287" s="7"/>
      <c r="J287" s="8" t="str">
        <f aca="false">VLOOKUP(B287,Table3[#All],2,0)</f>
        <v>Maintance</v>
      </c>
      <c r="K287" s="8" t="str">
        <f aca="false">TEXT(ROW(), "0000")</f>
        <v>0287</v>
      </c>
      <c r="L287" s="8"/>
    </row>
    <row r="288" customFormat="false" ht="15.75" hidden="false" customHeight="true" outlineLevel="0" collapsed="false">
      <c r="A288" s="7" t="n">
        <v>45696</v>
      </c>
      <c r="B288" s="8" t="s">
        <v>107</v>
      </c>
      <c r="C288" s="9" t="n">
        <v>20</v>
      </c>
      <c r="D288" s="8" t="s">
        <v>21</v>
      </c>
      <c r="E288" s="8" t="s">
        <v>108</v>
      </c>
      <c r="F288" s="8" t="str">
        <f aca="false">TEXT(A288,"MM-YYYY")</f>
        <v>02-2025</v>
      </c>
      <c r="G288" s="8" t="s">
        <v>14</v>
      </c>
      <c r="H288" s="8" t="s">
        <v>15</v>
      </c>
      <c r="I288" s="7"/>
      <c r="J288" s="8" t="str">
        <f aca="false">VLOOKUP(B288,Table3[#All],2,0)</f>
        <v>Staff Expenses</v>
      </c>
      <c r="K288" s="8" t="str">
        <f aca="false">TEXT(ROW(), "0000")</f>
        <v>0288</v>
      </c>
      <c r="L288" s="8"/>
    </row>
    <row r="289" customFormat="false" ht="15.75" hidden="false" customHeight="true" outlineLevel="0" collapsed="false">
      <c r="A289" s="7" t="n">
        <v>45696</v>
      </c>
      <c r="B289" s="8" t="s">
        <v>53</v>
      </c>
      <c r="C289" s="9" t="n">
        <v>20</v>
      </c>
      <c r="D289" s="8" t="s">
        <v>21</v>
      </c>
      <c r="E289" s="8" t="s">
        <v>109</v>
      </c>
      <c r="F289" s="8" t="str">
        <f aca="false">TEXT(A289,"MM-YYYY")</f>
        <v>02-2025</v>
      </c>
      <c r="G289" s="8" t="s">
        <v>14</v>
      </c>
      <c r="H289" s="8" t="s">
        <v>15</v>
      </c>
      <c r="I289" s="7"/>
      <c r="J289" s="8" t="str">
        <f aca="false">VLOOKUP(B289,Table3[#All],2,0)</f>
        <v>Grocery</v>
      </c>
      <c r="K289" s="8" t="str">
        <f aca="false">TEXT(ROW(), "0000")</f>
        <v>0289</v>
      </c>
      <c r="L289" s="8"/>
    </row>
    <row r="290" customFormat="false" ht="15.75" hidden="false" customHeight="true" outlineLevel="0" collapsed="false">
      <c r="A290" s="7" t="n">
        <v>45697</v>
      </c>
      <c r="B290" s="8" t="s">
        <v>16</v>
      </c>
      <c r="C290" s="9" t="n">
        <v>23463</v>
      </c>
      <c r="D290" s="8" t="s">
        <v>17</v>
      </c>
      <c r="E290" s="8"/>
      <c r="F290" s="8" t="str">
        <f aca="false">TEXT(A290,"MM-YYYY")</f>
        <v>02-2025</v>
      </c>
      <c r="G290" s="8"/>
      <c r="H290" s="8"/>
      <c r="I290" s="7"/>
      <c r="J290" s="8" t="str">
        <f aca="false">VLOOKUP(B290,Table3[#All],2,0)</f>
        <v>Sales</v>
      </c>
      <c r="K290" s="8" t="str">
        <f aca="false">TEXT(ROW(), "0000")</f>
        <v>0290</v>
      </c>
      <c r="L290" s="8"/>
    </row>
    <row r="291" customFormat="false" ht="15.75" hidden="false" customHeight="true" outlineLevel="0" collapsed="false">
      <c r="A291" s="7" t="n">
        <v>45697</v>
      </c>
      <c r="B291" s="8" t="s">
        <v>16</v>
      </c>
      <c r="C291" s="9" t="n">
        <v>4599</v>
      </c>
      <c r="D291" s="8" t="s">
        <v>21</v>
      </c>
      <c r="E291" s="8"/>
      <c r="F291" s="8" t="str">
        <f aca="false">TEXT(A291,"MM-YYYY")</f>
        <v>02-2025</v>
      </c>
      <c r="G291" s="8"/>
      <c r="H291" s="8"/>
      <c r="I291" s="7"/>
      <c r="J291" s="8" t="str">
        <f aca="false">VLOOKUP(B291,Table3[#All],2,0)</f>
        <v>Sales</v>
      </c>
      <c r="K291" s="8" t="str">
        <f aca="false">TEXT(ROW(), "0000")</f>
        <v>0291</v>
      </c>
      <c r="L291" s="8"/>
    </row>
    <row r="292" customFormat="false" ht="15.75" hidden="false" customHeight="true" outlineLevel="0" collapsed="false">
      <c r="A292" s="7" t="n">
        <v>45697</v>
      </c>
      <c r="B292" s="8" t="s">
        <v>22</v>
      </c>
      <c r="C292" s="9" t="n">
        <v>3900</v>
      </c>
      <c r="D292" s="8" t="s">
        <v>13</v>
      </c>
      <c r="E292" s="8" t="s">
        <v>110</v>
      </c>
      <c r="F292" s="8" t="str">
        <f aca="false">TEXT(A292,"MM-YYYY")</f>
        <v>02-2025</v>
      </c>
      <c r="G292" s="8" t="s">
        <v>14</v>
      </c>
      <c r="H292" s="8" t="s">
        <v>15</v>
      </c>
      <c r="I292" s="7"/>
      <c r="J292" s="8" t="str">
        <f aca="false">VLOOKUP(B292,Table3[#All],2,0)</f>
        <v>Inventory</v>
      </c>
      <c r="K292" s="8" t="str">
        <f aca="false">TEXT(ROW(), "0000")</f>
        <v>0292</v>
      </c>
      <c r="L292" s="8"/>
    </row>
    <row r="293" customFormat="false" ht="15.75" hidden="false" customHeight="true" outlineLevel="0" collapsed="false">
      <c r="A293" s="7" t="n">
        <v>45697</v>
      </c>
      <c r="B293" s="8" t="s">
        <v>19</v>
      </c>
      <c r="C293" s="9" t="n">
        <v>2967</v>
      </c>
      <c r="D293" s="8" t="s">
        <v>13</v>
      </c>
      <c r="E293" s="8" t="s">
        <v>111</v>
      </c>
      <c r="F293" s="8" t="str">
        <f aca="false">TEXT(A293,"MM-YYYY")</f>
        <v>02-2025</v>
      </c>
      <c r="G293" s="8" t="s">
        <v>14</v>
      </c>
      <c r="H293" s="8" t="s">
        <v>15</v>
      </c>
      <c r="I293" s="7"/>
      <c r="J293" s="8" t="str">
        <f aca="false">VLOOKUP(B293,Table3[#All],2,0)</f>
        <v>Inventory</v>
      </c>
      <c r="K293" s="8" t="str">
        <f aca="false">TEXT(ROW(), "0000")</f>
        <v>0293</v>
      </c>
      <c r="L293" s="8"/>
    </row>
    <row r="294" customFormat="false" ht="15.75" hidden="false" customHeight="true" outlineLevel="0" collapsed="false">
      <c r="A294" s="7" t="n">
        <v>45697</v>
      </c>
      <c r="B294" s="8" t="s">
        <v>44</v>
      </c>
      <c r="C294" s="9" t="n">
        <v>2000</v>
      </c>
      <c r="D294" s="8" t="s">
        <v>45</v>
      </c>
      <c r="E294" s="8" t="s">
        <v>112</v>
      </c>
      <c r="F294" s="8" t="str">
        <f aca="false">TEXT(A294,"MM-YYYY")</f>
        <v>02-2025</v>
      </c>
      <c r="G294" s="8" t="s">
        <v>14</v>
      </c>
      <c r="H294" s="8" t="s">
        <v>15</v>
      </c>
      <c r="I294" s="7"/>
      <c r="J294" s="8" t="str">
        <f aca="false">VLOOKUP(B294,Table3[#All],2,0)</f>
        <v>Salary</v>
      </c>
      <c r="K294" s="8" t="str">
        <f aca="false">TEXT(ROW(), "0000")</f>
        <v>0294</v>
      </c>
      <c r="L294" s="8"/>
    </row>
    <row r="295" customFormat="false" ht="15.75" hidden="false" customHeight="true" outlineLevel="0" collapsed="false">
      <c r="A295" s="7" t="n">
        <v>45697</v>
      </c>
      <c r="B295" s="8" t="s">
        <v>16</v>
      </c>
      <c r="C295" s="9" t="n">
        <v>1852</v>
      </c>
      <c r="D295" s="8" t="s">
        <v>24</v>
      </c>
      <c r="E295" s="10"/>
      <c r="F295" s="8" t="str">
        <f aca="false">TEXT(A295,"MM-YYYY")</f>
        <v>02-2025</v>
      </c>
      <c r="G295" s="8"/>
      <c r="H295" s="8"/>
      <c r="I295" s="7"/>
      <c r="J295" s="8" t="str">
        <f aca="false">VLOOKUP(B295,Table3[#All],2,0)</f>
        <v>Sales</v>
      </c>
      <c r="K295" s="8" t="str">
        <f aca="false">TEXT(ROW(), "0000")</f>
        <v>0295</v>
      </c>
      <c r="L295" s="8"/>
    </row>
    <row r="296" customFormat="false" ht="15.75" hidden="false" customHeight="true" outlineLevel="0" collapsed="false">
      <c r="A296" s="7" t="n">
        <v>45697</v>
      </c>
      <c r="B296" s="8" t="s">
        <v>25</v>
      </c>
      <c r="C296" s="9" t="n">
        <v>1731</v>
      </c>
      <c r="D296" s="8" t="s">
        <v>13</v>
      </c>
      <c r="E296" s="8" t="s">
        <v>113</v>
      </c>
      <c r="F296" s="8" t="str">
        <f aca="false">TEXT(A296,"MM-YYYY")</f>
        <v>02-2025</v>
      </c>
      <c r="G296" s="8" t="s">
        <v>14</v>
      </c>
      <c r="H296" s="8" t="s">
        <v>15</v>
      </c>
      <c r="I296" s="7"/>
      <c r="J296" s="8" t="str">
        <f aca="false">VLOOKUP(B296,Table3[#All],2,0)</f>
        <v>Inventory</v>
      </c>
      <c r="K296" s="8" t="str">
        <f aca="false">TEXT(ROW(), "0000")</f>
        <v>0296</v>
      </c>
      <c r="L296" s="8"/>
    </row>
    <row r="297" customFormat="false" ht="15.75" hidden="false" customHeight="true" outlineLevel="0" collapsed="false">
      <c r="A297" s="7" t="n">
        <v>45697</v>
      </c>
      <c r="B297" s="8" t="s">
        <v>51</v>
      </c>
      <c r="C297" s="9" t="n">
        <v>1405</v>
      </c>
      <c r="D297" s="8" t="s">
        <v>13</v>
      </c>
      <c r="E297" s="8" t="s">
        <v>114</v>
      </c>
      <c r="F297" s="8" t="str">
        <f aca="false">TEXT(A297,"MM-YYYY")</f>
        <v>02-2025</v>
      </c>
      <c r="G297" s="8" t="s">
        <v>14</v>
      </c>
      <c r="H297" s="8" t="s">
        <v>15</v>
      </c>
      <c r="I297" s="7"/>
      <c r="J297" s="8" t="str">
        <f aca="false">VLOOKUP(B297,Table3[#All],2,0)</f>
        <v>Inventory</v>
      </c>
      <c r="K297" s="8" t="str">
        <f aca="false">TEXT(ROW(), "0000")</f>
        <v>0297</v>
      </c>
      <c r="L297" s="8"/>
    </row>
    <row r="298" customFormat="false" ht="15.75" hidden="false" customHeight="true" outlineLevel="0" collapsed="false">
      <c r="A298" s="7" t="n">
        <v>45697</v>
      </c>
      <c r="B298" s="8" t="s">
        <v>44</v>
      </c>
      <c r="C298" s="9" t="n">
        <v>1000</v>
      </c>
      <c r="D298" s="8" t="s">
        <v>45</v>
      </c>
      <c r="E298" s="8" t="s">
        <v>115</v>
      </c>
      <c r="F298" s="8" t="str">
        <f aca="false">TEXT(A298,"MM-YYYY")</f>
        <v>02-2025</v>
      </c>
      <c r="G298" s="8" t="s">
        <v>14</v>
      </c>
      <c r="H298" s="8" t="s">
        <v>15</v>
      </c>
      <c r="I298" s="7"/>
      <c r="J298" s="8" t="str">
        <f aca="false">VLOOKUP(B298,Table3[#All],2,0)</f>
        <v>Salary</v>
      </c>
      <c r="K298" s="8" t="str">
        <f aca="false">TEXT(ROW(), "0000")</f>
        <v>0298</v>
      </c>
      <c r="L298" s="8"/>
    </row>
    <row r="299" customFormat="false" ht="15.75" hidden="false" customHeight="true" outlineLevel="0" collapsed="false">
      <c r="A299" s="7" t="n">
        <v>45697</v>
      </c>
      <c r="B299" s="8" t="s">
        <v>16</v>
      </c>
      <c r="C299" s="9" t="n">
        <v>925</v>
      </c>
      <c r="D299" s="8" t="s">
        <v>33</v>
      </c>
      <c r="E299" s="8"/>
      <c r="F299" s="8" t="str">
        <f aca="false">TEXT(A299,"MM-YYYY")</f>
        <v>02-2025</v>
      </c>
      <c r="G299" s="8"/>
      <c r="H299" s="8"/>
      <c r="I299" s="7"/>
      <c r="J299" s="8" t="str">
        <f aca="false">VLOOKUP(B299,Table3[#All],2,0)</f>
        <v>Sales</v>
      </c>
      <c r="K299" s="8" t="str">
        <f aca="false">TEXT(ROW(), "0000")</f>
        <v>0299</v>
      </c>
      <c r="L299" s="8"/>
    </row>
    <row r="300" customFormat="false" ht="15.75" hidden="false" customHeight="true" outlineLevel="0" collapsed="false">
      <c r="A300" s="7" t="n">
        <v>45697</v>
      </c>
      <c r="B300" s="8" t="s">
        <v>32</v>
      </c>
      <c r="C300" s="9" t="n">
        <v>750</v>
      </c>
      <c r="D300" s="8" t="s">
        <v>45</v>
      </c>
      <c r="E300" s="8" t="s">
        <v>116</v>
      </c>
      <c r="F300" s="8" t="str">
        <f aca="false">TEXT(A300,"MM-YYYY")</f>
        <v>02-2025</v>
      </c>
      <c r="G300" s="8" t="s">
        <v>14</v>
      </c>
      <c r="H300" s="8" t="s">
        <v>15</v>
      </c>
      <c r="I300" s="7"/>
      <c r="J300" s="8" t="str">
        <f aca="false">VLOOKUP(B300,Table3[#All],2,0)</f>
        <v>Grocery</v>
      </c>
      <c r="K300" s="8" t="str">
        <f aca="false">TEXT(ROW(), "0000")</f>
        <v>0300</v>
      </c>
      <c r="L300" s="8"/>
    </row>
    <row r="301" customFormat="false" ht="15.75" hidden="false" customHeight="true" outlineLevel="0" collapsed="false">
      <c r="A301" s="7" t="n">
        <v>45697</v>
      </c>
      <c r="B301" s="8" t="s">
        <v>16</v>
      </c>
      <c r="C301" s="9" t="n">
        <v>715</v>
      </c>
      <c r="D301" s="8" t="s">
        <v>59</v>
      </c>
      <c r="E301" s="8" t="s">
        <v>101</v>
      </c>
      <c r="F301" s="8" t="str">
        <f aca="false">TEXT(A301,"MM-YYYY")</f>
        <v>02-2025</v>
      </c>
      <c r="G301" s="8"/>
      <c r="H301" s="8"/>
      <c r="I301" s="7"/>
      <c r="J301" s="8" t="str">
        <f aca="false">VLOOKUP(B301,Table3[#All],2,0)</f>
        <v>Sales</v>
      </c>
      <c r="K301" s="8" t="str">
        <f aca="false">TEXT(ROW(), "0000")</f>
        <v>0301</v>
      </c>
      <c r="L301" s="8"/>
    </row>
    <row r="302" customFormat="false" ht="15.75" hidden="false" customHeight="true" outlineLevel="0" collapsed="false">
      <c r="A302" s="7" t="n">
        <v>45697</v>
      </c>
      <c r="B302" s="8" t="s">
        <v>29</v>
      </c>
      <c r="C302" s="9" t="n">
        <v>606</v>
      </c>
      <c r="D302" s="8" t="s">
        <v>13</v>
      </c>
      <c r="E302" s="8" t="s">
        <v>117</v>
      </c>
      <c r="F302" s="8" t="str">
        <f aca="false">TEXT(A302,"MM-YYYY")</f>
        <v>02-2025</v>
      </c>
      <c r="G302" s="8" t="s">
        <v>14</v>
      </c>
      <c r="H302" s="8" t="s">
        <v>15</v>
      </c>
      <c r="I302" s="7"/>
      <c r="J302" s="8" t="str">
        <f aca="false">VLOOKUP(B302,Table3[#All],2,0)</f>
        <v>Inventory</v>
      </c>
      <c r="K302" s="8" t="str">
        <f aca="false">TEXT(ROW(), "0000")</f>
        <v>0302</v>
      </c>
      <c r="L302" s="8"/>
    </row>
    <row r="303" customFormat="false" ht="15.75" hidden="false" customHeight="true" outlineLevel="0" collapsed="false">
      <c r="A303" s="7" t="n">
        <v>45697</v>
      </c>
      <c r="B303" s="8" t="s">
        <v>16</v>
      </c>
      <c r="C303" s="9" t="n">
        <v>531</v>
      </c>
      <c r="D303" s="8" t="s">
        <v>27</v>
      </c>
      <c r="E303" s="8"/>
      <c r="F303" s="8" t="str">
        <f aca="false">TEXT(A303,"MM-YYYY")</f>
        <v>02-2025</v>
      </c>
      <c r="G303" s="8"/>
      <c r="H303" s="8"/>
      <c r="I303" s="7"/>
      <c r="J303" s="8" t="str">
        <f aca="false">VLOOKUP(B303,Table3[#All],2,0)</f>
        <v>Sales</v>
      </c>
      <c r="K303" s="8" t="str">
        <f aca="false">TEXT(ROW(), "0000")</f>
        <v>0303</v>
      </c>
      <c r="L303" s="8"/>
    </row>
    <row r="304" customFormat="false" ht="15.75" hidden="false" customHeight="true" outlineLevel="0" collapsed="false">
      <c r="A304" s="7" t="n">
        <v>45697</v>
      </c>
      <c r="B304" s="8" t="s">
        <v>118</v>
      </c>
      <c r="C304" s="9" t="n">
        <v>455</v>
      </c>
      <c r="D304" s="8" t="s">
        <v>21</v>
      </c>
      <c r="E304" s="8" t="s">
        <v>119</v>
      </c>
      <c r="F304" s="8" t="str">
        <f aca="false">TEXT(A304,"MM-YYYY")</f>
        <v>02-2025</v>
      </c>
      <c r="G304" s="8" t="s">
        <v>14</v>
      </c>
      <c r="H304" s="8" t="s">
        <v>15</v>
      </c>
      <c r="I304" s="7"/>
      <c r="J304" s="8" t="str">
        <f aca="false">VLOOKUP(B304,Table3[#All],2,0)</f>
        <v>Shortage</v>
      </c>
      <c r="K304" s="8" t="str">
        <f aca="false">TEXT(ROW(), "0000")</f>
        <v>0304</v>
      </c>
      <c r="L304" s="8"/>
    </row>
    <row r="305" customFormat="false" ht="15.75" hidden="false" customHeight="true" outlineLevel="0" collapsed="false">
      <c r="A305" s="7" t="n">
        <v>45697</v>
      </c>
      <c r="B305" s="8" t="s">
        <v>34</v>
      </c>
      <c r="C305" s="9" t="n">
        <v>125</v>
      </c>
      <c r="D305" s="8" t="s">
        <v>45</v>
      </c>
      <c r="E305" s="8" t="s">
        <v>104</v>
      </c>
      <c r="F305" s="8" t="str">
        <f aca="false">TEXT(A305,"MM-YYYY")</f>
        <v>02-2025</v>
      </c>
      <c r="G305" s="8" t="s">
        <v>14</v>
      </c>
      <c r="H305" s="8" t="s">
        <v>15</v>
      </c>
      <c r="I305" s="7"/>
      <c r="J305" s="8" t="str">
        <f aca="false">VLOOKUP(B305,Table3[#All],2,0)</f>
        <v>Staff Expenses</v>
      </c>
      <c r="K305" s="8" t="str">
        <f aca="false">TEXT(ROW(), "0000")</f>
        <v>0305</v>
      </c>
      <c r="L305" s="8"/>
    </row>
    <row r="306" customFormat="false" ht="15.75" hidden="false" customHeight="true" outlineLevel="0" collapsed="false">
      <c r="A306" s="7" t="n">
        <v>45697</v>
      </c>
      <c r="B306" s="8" t="s">
        <v>29</v>
      </c>
      <c r="C306" s="9" t="n">
        <v>120</v>
      </c>
      <c r="D306" s="8" t="s">
        <v>45</v>
      </c>
      <c r="E306" s="8" t="s">
        <v>120</v>
      </c>
      <c r="F306" s="8" t="str">
        <f aca="false">TEXT(A306,"MM-YYYY")</f>
        <v>02-2025</v>
      </c>
      <c r="G306" s="8" t="s">
        <v>14</v>
      </c>
      <c r="H306" s="8" t="s">
        <v>15</v>
      </c>
      <c r="I306" s="7"/>
      <c r="J306" s="8" t="str">
        <f aca="false">VLOOKUP(B306,Table3[#All],2,0)</f>
        <v>Inventory</v>
      </c>
      <c r="K306" s="8" t="str">
        <f aca="false">TEXT(ROW(), "0000")</f>
        <v>0306</v>
      </c>
      <c r="L306" s="8"/>
    </row>
    <row r="307" customFormat="false" ht="15.75" hidden="false" customHeight="true" outlineLevel="0" collapsed="false">
      <c r="A307" s="7" t="n">
        <v>45697</v>
      </c>
      <c r="B307" s="8" t="s">
        <v>44</v>
      </c>
      <c r="C307" s="9" t="n">
        <v>100</v>
      </c>
      <c r="D307" s="8" t="s">
        <v>45</v>
      </c>
      <c r="E307" s="8" t="s">
        <v>121</v>
      </c>
      <c r="F307" s="8" t="str">
        <f aca="false">TEXT(A307,"MM-YYYY")</f>
        <v>02-2025</v>
      </c>
      <c r="G307" s="8" t="s">
        <v>14</v>
      </c>
      <c r="H307" s="8" t="s">
        <v>15</v>
      </c>
      <c r="I307" s="7"/>
      <c r="J307" s="8" t="str">
        <f aca="false">VLOOKUP(B307,Table3[#All],2,0)</f>
        <v>Salary</v>
      </c>
      <c r="K307" s="8" t="str">
        <f aca="false">TEXT(ROW(), "0000")</f>
        <v>0307</v>
      </c>
      <c r="L307" s="8"/>
    </row>
    <row r="308" customFormat="false" ht="15.75" hidden="false" customHeight="true" outlineLevel="0" collapsed="false">
      <c r="A308" s="7" t="n">
        <v>45697</v>
      </c>
      <c r="B308" s="8" t="s">
        <v>37</v>
      </c>
      <c r="C308" s="9" t="n">
        <v>70</v>
      </c>
      <c r="D308" s="8" t="s">
        <v>21</v>
      </c>
      <c r="E308" s="8" t="s">
        <v>122</v>
      </c>
      <c r="F308" s="8" t="str">
        <f aca="false">TEXT(A308,"MM-YYYY")</f>
        <v>02-2025</v>
      </c>
      <c r="G308" s="8" t="s">
        <v>14</v>
      </c>
      <c r="H308" s="8" t="s">
        <v>15</v>
      </c>
      <c r="I308" s="7"/>
      <c r="J308" s="8" t="str">
        <f aca="false">VLOOKUP(B308,Table3[#All],2,0)</f>
        <v>Maintance</v>
      </c>
      <c r="K308" s="8" t="str">
        <f aca="false">TEXT(ROW(), "0000")</f>
        <v>0308</v>
      </c>
      <c r="L308" s="8"/>
    </row>
    <row r="309" customFormat="false" ht="15.75" hidden="false" customHeight="true" outlineLevel="0" collapsed="false">
      <c r="A309" s="7" t="n">
        <v>45698</v>
      </c>
      <c r="B309" s="8" t="s">
        <v>16</v>
      </c>
      <c r="C309" s="9" t="n">
        <v>10062</v>
      </c>
      <c r="D309" s="8" t="s">
        <v>17</v>
      </c>
      <c r="E309" s="8" t="s">
        <v>101</v>
      </c>
      <c r="F309" s="8" t="str">
        <f aca="false">TEXT(A309,"MM-YYYY")</f>
        <v>02-2025</v>
      </c>
      <c r="G309" s="8"/>
      <c r="H309" s="8"/>
      <c r="I309" s="7"/>
      <c r="J309" s="8" t="str">
        <f aca="false">VLOOKUP(B309,Table3[#All],2,0)</f>
        <v>Sales</v>
      </c>
      <c r="K309" s="8" t="str">
        <f aca="false">TEXT(ROW(), "0000")</f>
        <v>0309</v>
      </c>
      <c r="L309" s="8"/>
    </row>
    <row r="310" customFormat="false" ht="15.75" hidden="false" customHeight="true" outlineLevel="0" collapsed="false">
      <c r="A310" s="13" t="n">
        <v>45698</v>
      </c>
      <c r="B310" s="14" t="s">
        <v>13</v>
      </c>
      <c r="C310" s="9" t="n">
        <v>6000</v>
      </c>
      <c r="D310" s="8" t="s">
        <v>45</v>
      </c>
      <c r="E310" s="8" t="s">
        <v>123</v>
      </c>
      <c r="F310" s="8" t="str">
        <f aca="false">TEXT(A310,"MM-YYYY")</f>
        <v>02-2025</v>
      </c>
      <c r="G310" s="8" t="s">
        <v>14</v>
      </c>
      <c r="H310" s="8" t="s">
        <v>15</v>
      </c>
      <c r="I310" s="7"/>
      <c r="J310" s="8" t="str">
        <f aca="false">VLOOKUP(B310,Table3[#All],2,0)</f>
        <v>Cash Withdrawal</v>
      </c>
      <c r="K310" s="8" t="str">
        <f aca="false">TEXT(ROW(), "0000")</f>
        <v>0310</v>
      </c>
      <c r="L310" s="8"/>
    </row>
    <row r="311" customFormat="false" ht="15.75" hidden="false" customHeight="true" outlineLevel="0" collapsed="false">
      <c r="A311" s="7" t="n">
        <v>45698</v>
      </c>
      <c r="B311" s="8" t="s">
        <v>19</v>
      </c>
      <c r="C311" s="9" t="n">
        <v>4840</v>
      </c>
      <c r="D311" s="8" t="s">
        <v>13</v>
      </c>
      <c r="E311" s="8" t="s">
        <v>111</v>
      </c>
      <c r="F311" s="8" t="str">
        <f aca="false">TEXT(A311,"MM-YYYY")</f>
        <v>02-2025</v>
      </c>
      <c r="G311" s="8" t="s">
        <v>14</v>
      </c>
      <c r="H311" s="8" t="s">
        <v>15</v>
      </c>
      <c r="I311" s="7"/>
      <c r="J311" s="8" t="str">
        <f aca="false">VLOOKUP(B311,Table3[#All],2,0)</f>
        <v>Inventory</v>
      </c>
      <c r="K311" s="8" t="str">
        <f aca="false">TEXT(ROW(), "0000")</f>
        <v>0311</v>
      </c>
      <c r="L311" s="8"/>
    </row>
    <row r="312" customFormat="false" ht="15.75" hidden="false" customHeight="true" outlineLevel="0" collapsed="false">
      <c r="A312" s="7" t="n">
        <v>45698</v>
      </c>
      <c r="B312" s="8" t="s">
        <v>16</v>
      </c>
      <c r="C312" s="9" t="n">
        <v>3645</v>
      </c>
      <c r="D312" s="8" t="s">
        <v>21</v>
      </c>
      <c r="E312" s="8" t="s">
        <v>101</v>
      </c>
      <c r="F312" s="8" t="str">
        <f aca="false">TEXT(A312,"MM-YYYY")</f>
        <v>02-2025</v>
      </c>
      <c r="G312" s="8"/>
      <c r="H312" s="8"/>
      <c r="I312" s="7"/>
      <c r="J312" s="8" t="str">
        <f aca="false">VLOOKUP(B312,Table3[#All],2,0)</f>
        <v>Sales</v>
      </c>
      <c r="K312" s="8" t="str">
        <f aca="false">TEXT(ROW(), "0000")</f>
        <v>0312</v>
      </c>
      <c r="L312" s="8"/>
    </row>
    <row r="313" customFormat="false" ht="15.75" hidden="false" customHeight="true" outlineLevel="0" collapsed="false">
      <c r="A313" s="7" t="n">
        <v>45698</v>
      </c>
      <c r="B313" s="8" t="s">
        <v>22</v>
      </c>
      <c r="C313" s="9" t="n">
        <v>3083</v>
      </c>
      <c r="D313" s="8" t="s">
        <v>13</v>
      </c>
      <c r="E313" s="8" t="s">
        <v>110</v>
      </c>
      <c r="F313" s="8" t="str">
        <f aca="false">TEXT(A313,"MM-YYYY")</f>
        <v>02-2025</v>
      </c>
      <c r="G313" s="8" t="s">
        <v>14</v>
      </c>
      <c r="H313" s="8" t="s">
        <v>15</v>
      </c>
      <c r="I313" s="7"/>
      <c r="J313" s="8" t="str">
        <f aca="false">VLOOKUP(B313,Table3[#All],2,0)</f>
        <v>Inventory</v>
      </c>
      <c r="K313" s="8" t="str">
        <f aca="false">TEXT(ROW(), "0000")</f>
        <v>0313</v>
      </c>
      <c r="L313" s="8"/>
    </row>
    <row r="314" customFormat="false" ht="15.75" hidden="false" customHeight="true" outlineLevel="0" collapsed="false">
      <c r="A314" s="7" t="n">
        <v>45698</v>
      </c>
      <c r="B314" s="8" t="s">
        <v>16</v>
      </c>
      <c r="C314" s="9" t="n">
        <v>1862</v>
      </c>
      <c r="D314" s="8" t="s">
        <v>24</v>
      </c>
      <c r="E314" s="8" t="s">
        <v>90</v>
      </c>
      <c r="F314" s="8" t="str">
        <f aca="false">TEXT(A314,"MM-YYYY")</f>
        <v>02-2025</v>
      </c>
      <c r="G314" s="8"/>
      <c r="H314" s="8"/>
      <c r="I314" s="7"/>
      <c r="J314" s="8" t="str">
        <f aca="false">VLOOKUP(B314,Table3[#All],2,0)</f>
        <v>Sales</v>
      </c>
      <c r="K314" s="8" t="str">
        <f aca="false">TEXT(ROW(), "0000")</f>
        <v>0314</v>
      </c>
      <c r="L314" s="8"/>
    </row>
    <row r="315" customFormat="false" ht="15.75" hidden="false" customHeight="true" outlineLevel="0" collapsed="false">
      <c r="A315" s="7" t="n">
        <v>45698</v>
      </c>
      <c r="B315" s="8" t="s">
        <v>29</v>
      </c>
      <c r="C315" s="9" t="n">
        <v>1730</v>
      </c>
      <c r="D315" s="8" t="s">
        <v>45</v>
      </c>
      <c r="E315" s="8" t="s">
        <v>78</v>
      </c>
      <c r="F315" s="8" t="str">
        <f aca="false">TEXT(A315,"MM-YYYY")</f>
        <v>02-2025</v>
      </c>
      <c r="G315" s="8" t="s">
        <v>14</v>
      </c>
      <c r="H315" s="8" t="s">
        <v>15</v>
      </c>
      <c r="I315" s="7"/>
      <c r="J315" s="8" t="str">
        <f aca="false">VLOOKUP(B315,Table3[#All],2,0)</f>
        <v>Inventory</v>
      </c>
      <c r="K315" s="8" t="str">
        <f aca="false">TEXT(ROW(), "0000")</f>
        <v>0315</v>
      </c>
      <c r="L315" s="8"/>
    </row>
    <row r="316" customFormat="false" ht="15.75" hidden="false" customHeight="true" outlineLevel="0" collapsed="false">
      <c r="A316" s="7" t="n">
        <v>45698</v>
      </c>
      <c r="B316" s="8" t="s">
        <v>16</v>
      </c>
      <c r="C316" s="9" t="n">
        <v>1570</v>
      </c>
      <c r="D316" s="8" t="s">
        <v>33</v>
      </c>
      <c r="E316" s="8" t="s">
        <v>101</v>
      </c>
      <c r="F316" s="8" t="str">
        <f aca="false">TEXT(A316,"MM-YYYY")</f>
        <v>02-2025</v>
      </c>
      <c r="G316" s="8"/>
      <c r="H316" s="8"/>
      <c r="I316" s="7"/>
      <c r="J316" s="8" t="str">
        <f aca="false">VLOOKUP(B316,Table3[#All],2,0)</f>
        <v>Sales</v>
      </c>
      <c r="K316" s="8" t="str">
        <f aca="false">TEXT(ROW(), "0000")</f>
        <v>0316</v>
      </c>
      <c r="L316" s="8"/>
    </row>
    <row r="317" customFormat="false" ht="15.75" hidden="false" customHeight="true" outlineLevel="0" collapsed="false">
      <c r="A317" s="7" t="n">
        <v>45698</v>
      </c>
      <c r="B317" s="8" t="s">
        <v>25</v>
      </c>
      <c r="C317" s="9" t="n">
        <v>1270</v>
      </c>
      <c r="D317" s="8" t="s">
        <v>13</v>
      </c>
      <c r="E317" s="8" t="s">
        <v>113</v>
      </c>
      <c r="F317" s="8" t="str">
        <f aca="false">TEXT(A317,"MM-YYYY")</f>
        <v>02-2025</v>
      </c>
      <c r="G317" s="8" t="s">
        <v>14</v>
      </c>
      <c r="H317" s="8" t="s">
        <v>15</v>
      </c>
      <c r="I317" s="7"/>
      <c r="J317" s="8" t="str">
        <f aca="false">VLOOKUP(B317,Table3[#All],2,0)</f>
        <v>Inventory</v>
      </c>
      <c r="K317" s="8" t="str">
        <f aca="false">TEXT(ROW(), "0000")</f>
        <v>0317</v>
      </c>
      <c r="L317" s="8"/>
    </row>
    <row r="318" customFormat="false" ht="15.75" hidden="false" customHeight="true" outlineLevel="0" collapsed="false">
      <c r="A318" s="7" t="n">
        <v>45698</v>
      </c>
      <c r="B318" s="8" t="s">
        <v>47</v>
      </c>
      <c r="C318" s="9" t="n">
        <v>840</v>
      </c>
      <c r="D318" s="8" t="s">
        <v>13</v>
      </c>
      <c r="E318" s="8" t="s">
        <v>124</v>
      </c>
      <c r="F318" s="8" t="str">
        <f aca="false">TEXT(A318,"MM-YYYY")</f>
        <v>02-2025</v>
      </c>
      <c r="G318" s="8" t="s">
        <v>14</v>
      </c>
      <c r="H318" s="8" t="s">
        <v>15</v>
      </c>
      <c r="I318" s="7"/>
      <c r="J318" s="8" t="str">
        <f aca="false">VLOOKUP(B318,Table3[#All],2,0)</f>
        <v>Inventory</v>
      </c>
      <c r="K318" s="8" t="str">
        <f aca="false">TEXT(ROW(), "0000")</f>
        <v>0318</v>
      </c>
      <c r="L318" s="8"/>
    </row>
    <row r="319" customFormat="false" ht="15.75" hidden="false" customHeight="true" outlineLevel="0" collapsed="false">
      <c r="A319" s="7" t="n">
        <v>45698</v>
      </c>
      <c r="B319" s="8" t="s">
        <v>29</v>
      </c>
      <c r="C319" s="9" t="n">
        <v>428</v>
      </c>
      <c r="D319" s="8" t="s">
        <v>13</v>
      </c>
      <c r="E319" s="8" t="s">
        <v>117</v>
      </c>
      <c r="F319" s="8" t="str">
        <f aca="false">TEXT(A319,"MM-YYYY")</f>
        <v>02-2025</v>
      </c>
      <c r="G319" s="8" t="s">
        <v>14</v>
      </c>
      <c r="H319" s="8" t="s">
        <v>15</v>
      </c>
      <c r="I319" s="7"/>
      <c r="J319" s="8" t="str">
        <f aca="false">VLOOKUP(B319,Table3[#All],2,0)</f>
        <v>Inventory</v>
      </c>
      <c r="K319" s="8" t="str">
        <f aca="false">TEXT(ROW(), "0000")</f>
        <v>0319</v>
      </c>
      <c r="L319" s="8"/>
    </row>
    <row r="320" customFormat="false" ht="15.75" hidden="false" customHeight="true" outlineLevel="0" collapsed="false">
      <c r="A320" s="7" t="n">
        <v>45698</v>
      </c>
      <c r="B320" s="8" t="s">
        <v>34</v>
      </c>
      <c r="C320" s="9" t="n">
        <v>105</v>
      </c>
      <c r="D320" s="8" t="s">
        <v>45</v>
      </c>
      <c r="E320" s="8" t="s">
        <v>96</v>
      </c>
      <c r="F320" s="8" t="str">
        <f aca="false">TEXT(A320,"MM-YYYY")</f>
        <v>02-2025</v>
      </c>
      <c r="G320" s="8" t="s">
        <v>14</v>
      </c>
      <c r="H320" s="8" t="s">
        <v>15</v>
      </c>
      <c r="I320" s="7"/>
      <c r="J320" s="8" t="str">
        <f aca="false">VLOOKUP(B320,Table3[#All],2,0)</f>
        <v>Staff Expenses</v>
      </c>
      <c r="K320" s="8" t="str">
        <f aca="false">TEXT(ROW(), "0000")</f>
        <v>0320</v>
      </c>
      <c r="L320" s="8"/>
    </row>
    <row r="321" customFormat="false" ht="15.75" hidden="false" customHeight="true" outlineLevel="0" collapsed="false">
      <c r="A321" s="7" t="n">
        <v>45698</v>
      </c>
      <c r="B321" s="8" t="s">
        <v>37</v>
      </c>
      <c r="C321" s="9" t="n">
        <v>30</v>
      </c>
      <c r="D321" s="8" t="s">
        <v>21</v>
      </c>
      <c r="E321" s="8" t="s">
        <v>122</v>
      </c>
      <c r="F321" s="8" t="str">
        <f aca="false">TEXT(A321,"MM-YYYY")</f>
        <v>02-2025</v>
      </c>
      <c r="G321" s="8" t="s">
        <v>14</v>
      </c>
      <c r="H321" s="8" t="s">
        <v>15</v>
      </c>
      <c r="I321" s="7"/>
      <c r="J321" s="8" t="str">
        <f aca="false">VLOOKUP(B321,Table3[#All],2,0)</f>
        <v>Maintance</v>
      </c>
      <c r="K321" s="8" t="str">
        <f aca="false">TEXT(ROW(), "0000")</f>
        <v>0321</v>
      </c>
      <c r="L321" s="8"/>
    </row>
    <row r="322" customFormat="false" ht="15.75" hidden="false" customHeight="true" outlineLevel="0" collapsed="false">
      <c r="A322" s="7" t="n">
        <v>45699</v>
      </c>
      <c r="B322" s="8" t="s">
        <v>16</v>
      </c>
      <c r="C322" s="9" t="n">
        <v>14439</v>
      </c>
      <c r="D322" s="8" t="s">
        <v>17</v>
      </c>
      <c r="E322" s="8" t="s">
        <v>101</v>
      </c>
      <c r="F322" s="8" t="str">
        <f aca="false">TEXT(A322,"MM-YYYY")</f>
        <v>02-2025</v>
      </c>
      <c r="G322" s="8"/>
      <c r="H322" s="8"/>
      <c r="I322" s="7"/>
      <c r="J322" s="8" t="str">
        <f aca="false">VLOOKUP(B322,Table3[#All],2,0)</f>
        <v>Sales</v>
      </c>
      <c r="K322" s="8" t="str">
        <f aca="false">TEXT(ROW(), "0000")</f>
        <v>0322</v>
      </c>
      <c r="L322" s="8"/>
    </row>
    <row r="323" customFormat="false" ht="15.75" hidden="false" customHeight="true" outlineLevel="0" collapsed="false">
      <c r="A323" s="7" t="n">
        <v>45699</v>
      </c>
      <c r="B323" s="8" t="s">
        <v>16</v>
      </c>
      <c r="C323" s="9" t="n">
        <v>3210</v>
      </c>
      <c r="D323" s="8" t="s">
        <v>21</v>
      </c>
      <c r="E323" s="8" t="s">
        <v>101</v>
      </c>
      <c r="F323" s="8" t="str">
        <f aca="false">TEXT(A323,"MM-YYYY")</f>
        <v>02-2025</v>
      </c>
      <c r="G323" s="8"/>
      <c r="H323" s="8"/>
      <c r="I323" s="7"/>
      <c r="J323" s="8" t="str">
        <f aca="false">VLOOKUP(B323,Table3[#All],2,0)</f>
        <v>Sales</v>
      </c>
      <c r="K323" s="8" t="str">
        <f aca="false">TEXT(ROW(), "0000")</f>
        <v>0323</v>
      </c>
      <c r="L323" s="8"/>
    </row>
    <row r="324" customFormat="false" ht="15.75" hidden="false" customHeight="true" outlineLevel="0" collapsed="false">
      <c r="A324" s="7" t="n">
        <v>45699</v>
      </c>
      <c r="B324" s="8" t="s">
        <v>16</v>
      </c>
      <c r="C324" s="9" t="n">
        <v>2768</v>
      </c>
      <c r="D324" s="8" t="s">
        <v>24</v>
      </c>
      <c r="E324" s="8" t="s">
        <v>90</v>
      </c>
      <c r="F324" s="8" t="str">
        <f aca="false">TEXT(A324,"MM-YYYY")</f>
        <v>02-2025</v>
      </c>
      <c r="G324" s="8"/>
      <c r="H324" s="8"/>
      <c r="I324" s="7"/>
      <c r="J324" s="8" t="str">
        <f aca="false">VLOOKUP(B324,Table3[#All],2,0)</f>
        <v>Sales</v>
      </c>
      <c r="K324" s="8" t="str">
        <f aca="false">TEXT(ROW(), "0000")</f>
        <v>0324</v>
      </c>
      <c r="L324" s="8"/>
    </row>
    <row r="325" customFormat="false" ht="15.75" hidden="false" customHeight="true" outlineLevel="0" collapsed="false">
      <c r="A325" s="7" t="n">
        <v>45699</v>
      </c>
      <c r="B325" s="8" t="s">
        <v>22</v>
      </c>
      <c r="C325" s="9" t="n">
        <v>2714</v>
      </c>
      <c r="D325" s="8" t="s">
        <v>13</v>
      </c>
      <c r="E325" s="8" t="s">
        <v>125</v>
      </c>
      <c r="F325" s="8" t="str">
        <f aca="false">TEXT(A325,"MM-YYYY")</f>
        <v>02-2025</v>
      </c>
      <c r="G325" s="8" t="s">
        <v>14</v>
      </c>
      <c r="H325" s="8" t="s">
        <v>15</v>
      </c>
      <c r="I325" s="7"/>
      <c r="J325" s="8" t="str">
        <f aca="false">VLOOKUP(B325,Table3[#All],2,0)</f>
        <v>Inventory</v>
      </c>
      <c r="K325" s="8" t="str">
        <f aca="false">TEXT(ROW(), "0000")</f>
        <v>0325</v>
      </c>
      <c r="L325" s="8"/>
    </row>
    <row r="326" customFormat="false" ht="15.75" hidden="false" customHeight="true" outlineLevel="0" collapsed="false">
      <c r="A326" s="7" t="n">
        <v>45699</v>
      </c>
      <c r="B326" s="8" t="s">
        <v>19</v>
      </c>
      <c r="C326" s="9" t="n">
        <v>1830</v>
      </c>
      <c r="D326" s="8" t="s">
        <v>13</v>
      </c>
      <c r="E326" s="8" t="s">
        <v>111</v>
      </c>
      <c r="F326" s="8" t="str">
        <f aca="false">TEXT(A326,"MM-YYYY")</f>
        <v>02-2025</v>
      </c>
      <c r="G326" s="8" t="s">
        <v>14</v>
      </c>
      <c r="H326" s="8" t="s">
        <v>15</v>
      </c>
      <c r="I326" s="7"/>
      <c r="J326" s="8" t="str">
        <f aca="false">VLOOKUP(B326,Table3[#All],2,0)</f>
        <v>Inventory</v>
      </c>
      <c r="K326" s="8" t="str">
        <f aca="false">TEXT(ROW(), "0000")</f>
        <v>0326</v>
      </c>
      <c r="L326" s="8"/>
    </row>
    <row r="327" customFormat="false" ht="15.75" hidden="false" customHeight="true" outlineLevel="0" collapsed="false">
      <c r="A327" s="7" t="n">
        <v>45699</v>
      </c>
      <c r="B327" s="8" t="s">
        <v>25</v>
      </c>
      <c r="C327" s="9" t="n">
        <v>1308</v>
      </c>
      <c r="D327" s="8" t="s">
        <v>13</v>
      </c>
      <c r="E327" s="8" t="s">
        <v>126</v>
      </c>
      <c r="F327" s="8" t="str">
        <f aca="false">TEXT(A327,"MM-YYYY")</f>
        <v>02-2025</v>
      </c>
      <c r="G327" s="8" t="s">
        <v>14</v>
      </c>
      <c r="H327" s="8" t="s">
        <v>15</v>
      </c>
      <c r="I327" s="7"/>
      <c r="J327" s="8" t="str">
        <f aca="false">VLOOKUP(B327,Table3[#All],2,0)</f>
        <v>Inventory</v>
      </c>
      <c r="K327" s="8" t="str">
        <f aca="false">TEXT(ROW(), "0000")</f>
        <v>0327</v>
      </c>
      <c r="L327" s="8"/>
    </row>
    <row r="328" customFormat="false" ht="15.75" hidden="false" customHeight="true" outlineLevel="0" collapsed="false">
      <c r="A328" s="7" t="n">
        <v>45699</v>
      </c>
      <c r="B328" s="8" t="s">
        <v>28</v>
      </c>
      <c r="C328" s="9" t="n">
        <v>1040</v>
      </c>
      <c r="D328" s="8" t="s">
        <v>21</v>
      </c>
      <c r="E328" s="8" t="s">
        <v>127</v>
      </c>
      <c r="F328" s="8" t="str">
        <f aca="false">TEXT(A328,"MM-YYYY")</f>
        <v>02-2025</v>
      </c>
      <c r="G328" s="8" t="s">
        <v>14</v>
      </c>
      <c r="H328" s="8" t="s">
        <v>15</v>
      </c>
      <c r="I328" s="7"/>
      <c r="J328" s="8" t="str">
        <f aca="false">VLOOKUP(B328,Table3[#All],2,0)</f>
        <v>Grocery</v>
      </c>
      <c r="K328" s="8" t="str">
        <f aca="false">TEXT(ROW(), "0000")</f>
        <v>0328</v>
      </c>
      <c r="L328" s="8"/>
    </row>
    <row r="329" customFormat="false" ht="15.75" hidden="false" customHeight="true" outlineLevel="0" collapsed="false">
      <c r="A329" s="13" t="n">
        <v>45699</v>
      </c>
      <c r="B329" s="15" t="s">
        <v>22</v>
      </c>
      <c r="C329" s="9" t="n">
        <v>640</v>
      </c>
      <c r="D329" s="8" t="s">
        <v>45</v>
      </c>
      <c r="E329" s="8" t="s">
        <v>128</v>
      </c>
      <c r="F329" s="8" t="str">
        <f aca="false">TEXT(A329,"MM-YYYY")</f>
        <v>02-2025</v>
      </c>
      <c r="G329" s="8" t="s">
        <v>14</v>
      </c>
      <c r="H329" s="8" t="s">
        <v>15</v>
      </c>
      <c r="I329" s="7"/>
      <c r="J329" s="8" t="str">
        <f aca="false">VLOOKUP(B329,Table3[#All],2,0)</f>
        <v>Inventory</v>
      </c>
      <c r="K329" s="8" t="str">
        <f aca="false">TEXT(ROW(), "0000")</f>
        <v>0329</v>
      </c>
      <c r="L329" s="8"/>
    </row>
    <row r="330" customFormat="false" ht="15.75" hidden="false" customHeight="true" outlineLevel="0" collapsed="false">
      <c r="A330" s="7" t="n">
        <v>45699</v>
      </c>
      <c r="B330" s="8" t="s">
        <v>16</v>
      </c>
      <c r="C330" s="9" t="n">
        <v>629</v>
      </c>
      <c r="D330" s="8" t="s">
        <v>59</v>
      </c>
      <c r="E330" s="8" t="s">
        <v>101</v>
      </c>
      <c r="F330" s="8" t="str">
        <f aca="false">TEXT(A330,"MM-YYYY")</f>
        <v>02-2025</v>
      </c>
      <c r="G330" s="8"/>
      <c r="H330" s="8"/>
      <c r="I330" s="7"/>
      <c r="J330" s="8" t="str">
        <f aca="false">VLOOKUP(B330,Table3[#All],2,0)</f>
        <v>Sales</v>
      </c>
      <c r="K330" s="8" t="str">
        <f aca="false">TEXT(ROW(), "0000")</f>
        <v>0330</v>
      </c>
      <c r="L330" s="8"/>
    </row>
    <row r="331" customFormat="false" ht="15.75" hidden="false" customHeight="true" outlineLevel="0" collapsed="false">
      <c r="A331" s="7" t="n">
        <v>45699</v>
      </c>
      <c r="B331" s="8" t="s">
        <v>44</v>
      </c>
      <c r="C331" s="9" t="n">
        <v>500</v>
      </c>
      <c r="D331" s="8" t="s">
        <v>45</v>
      </c>
      <c r="E331" s="8" t="s">
        <v>129</v>
      </c>
      <c r="F331" s="8" t="str">
        <f aca="false">TEXT(A331,"MM-YYYY")</f>
        <v>02-2025</v>
      </c>
      <c r="G331" s="8" t="s">
        <v>14</v>
      </c>
      <c r="H331" s="8" t="s">
        <v>15</v>
      </c>
      <c r="I331" s="7"/>
      <c r="J331" s="8" t="str">
        <f aca="false">VLOOKUP(B331,Table3[#All],2,0)</f>
        <v>Salary</v>
      </c>
      <c r="K331" s="8" t="str">
        <f aca="false">TEXT(ROW(), "0000")</f>
        <v>0331</v>
      </c>
      <c r="L331" s="8"/>
    </row>
    <row r="332" customFormat="false" ht="15.75" hidden="false" customHeight="true" outlineLevel="0" collapsed="false">
      <c r="A332" s="7" t="n">
        <v>45699</v>
      </c>
      <c r="B332" s="8" t="s">
        <v>29</v>
      </c>
      <c r="C332" s="9" t="n">
        <v>494</v>
      </c>
      <c r="D332" s="8" t="s">
        <v>13</v>
      </c>
      <c r="E332" s="8" t="s">
        <v>117</v>
      </c>
      <c r="F332" s="8" t="str">
        <f aca="false">TEXT(A332,"MM-YYYY")</f>
        <v>02-2025</v>
      </c>
      <c r="G332" s="8" t="s">
        <v>14</v>
      </c>
      <c r="H332" s="8" t="s">
        <v>15</v>
      </c>
      <c r="I332" s="7"/>
      <c r="J332" s="8" t="str">
        <f aca="false">VLOOKUP(B332,Table3[#All],2,0)</f>
        <v>Inventory</v>
      </c>
      <c r="K332" s="8" t="str">
        <f aca="false">TEXT(ROW(), "0000")</f>
        <v>0332</v>
      </c>
      <c r="L332" s="8"/>
    </row>
    <row r="333" customFormat="false" ht="15.75" hidden="false" customHeight="true" outlineLevel="0" collapsed="false">
      <c r="A333" s="7" t="n">
        <v>45699</v>
      </c>
      <c r="B333" s="8" t="s">
        <v>16</v>
      </c>
      <c r="C333" s="9" t="n">
        <v>480</v>
      </c>
      <c r="D333" s="8" t="s">
        <v>27</v>
      </c>
      <c r="E333" s="8" t="s">
        <v>101</v>
      </c>
      <c r="F333" s="8" t="str">
        <f aca="false">TEXT(A333,"MM-YYYY")</f>
        <v>02-2025</v>
      </c>
      <c r="G333" s="8"/>
      <c r="H333" s="8"/>
      <c r="I333" s="7"/>
      <c r="J333" s="8" t="str">
        <f aca="false">VLOOKUP(B333,Table3[#All],2,0)</f>
        <v>Sales</v>
      </c>
      <c r="K333" s="8" t="str">
        <f aca="false">TEXT(ROW(), "0000")</f>
        <v>0333</v>
      </c>
      <c r="L333" s="8"/>
    </row>
    <row r="334" customFormat="false" ht="15.75" hidden="false" customHeight="true" outlineLevel="0" collapsed="false">
      <c r="A334" s="7" t="n">
        <v>45699</v>
      </c>
      <c r="B334" s="8" t="s">
        <v>34</v>
      </c>
      <c r="C334" s="9" t="n">
        <v>105</v>
      </c>
      <c r="D334" s="8" t="s">
        <v>45</v>
      </c>
      <c r="E334" s="8" t="s">
        <v>104</v>
      </c>
      <c r="F334" s="8" t="str">
        <f aca="false">TEXT(A334,"MM-YYYY")</f>
        <v>02-2025</v>
      </c>
      <c r="G334" s="8" t="s">
        <v>14</v>
      </c>
      <c r="H334" s="8" t="s">
        <v>15</v>
      </c>
      <c r="I334" s="7"/>
      <c r="J334" s="8" t="str">
        <f aca="false">VLOOKUP(B334,Table3[#All],2,0)</f>
        <v>Staff Expenses</v>
      </c>
      <c r="K334" s="8" t="str">
        <f aca="false">TEXT(ROW(), "0000")</f>
        <v>0334</v>
      </c>
      <c r="L334" s="8"/>
    </row>
    <row r="335" customFormat="false" ht="15.75" hidden="false" customHeight="true" outlineLevel="0" collapsed="false">
      <c r="A335" s="7" t="n">
        <v>45699</v>
      </c>
      <c r="B335" s="8" t="s">
        <v>16</v>
      </c>
      <c r="C335" s="9" t="n">
        <v>50</v>
      </c>
      <c r="D335" s="8" t="s">
        <v>33</v>
      </c>
      <c r="E335" s="8" t="s">
        <v>101</v>
      </c>
      <c r="F335" s="8" t="str">
        <f aca="false">TEXT(A335,"MM-YYYY")</f>
        <v>02-2025</v>
      </c>
      <c r="G335" s="8"/>
      <c r="H335" s="8"/>
      <c r="I335" s="7"/>
      <c r="J335" s="8" t="str">
        <f aca="false">VLOOKUP(B335,Table3[#All],2,0)</f>
        <v>Sales</v>
      </c>
      <c r="K335" s="8" t="str">
        <f aca="false">TEXT(ROW(), "0000")</f>
        <v>0335</v>
      </c>
      <c r="L335" s="8"/>
    </row>
    <row r="336" customFormat="false" ht="15.75" hidden="false" customHeight="true" outlineLevel="0" collapsed="false">
      <c r="A336" s="7" t="n">
        <v>45699</v>
      </c>
      <c r="B336" s="8" t="s">
        <v>37</v>
      </c>
      <c r="C336" s="9" t="n">
        <v>40</v>
      </c>
      <c r="D336" s="8" t="s">
        <v>21</v>
      </c>
      <c r="E336" s="8" t="s">
        <v>122</v>
      </c>
      <c r="F336" s="8" t="str">
        <f aca="false">TEXT(A336,"MM-YYYY")</f>
        <v>02-2025</v>
      </c>
      <c r="G336" s="8" t="s">
        <v>14</v>
      </c>
      <c r="H336" s="8" t="s">
        <v>15</v>
      </c>
      <c r="I336" s="7"/>
      <c r="J336" s="8" t="str">
        <f aca="false">VLOOKUP(B336,Table3[#All],2,0)</f>
        <v>Maintance</v>
      </c>
      <c r="K336" s="8" t="str">
        <f aca="false">TEXT(ROW(), "0000")</f>
        <v>0336</v>
      </c>
      <c r="L336" s="8"/>
    </row>
    <row r="337" customFormat="false" ht="15.75" hidden="false" customHeight="true" outlineLevel="0" collapsed="false">
      <c r="A337" s="16" t="n">
        <v>45699</v>
      </c>
      <c r="B337" s="17" t="s">
        <v>25</v>
      </c>
      <c r="C337" s="9" t="n">
        <v>38</v>
      </c>
      <c r="D337" s="8" t="s">
        <v>45</v>
      </c>
      <c r="E337" s="8" t="s">
        <v>105</v>
      </c>
      <c r="F337" s="8" t="str">
        <f aca="false">TEXT(A337,"MM-YYYY")</f>
        <v>02-2025</v>
      </c>
      <c r="G337" s="8" t="s">
        <v>14</v>
      </c>
      <c r="H337" s="8" t="s">
        <v>15</v>
      </c>
      <c r="I337" s="7"/>
      <c r="J337" s="8" t="str">
        <f aca="false">VLOOKUP(B337,Table3[#All],2,0)</f>
        <v>Inventory</v>
      </c>
      <c r="K337" s="8" t="str">
        <f aca="false">TEXT(ROW(), "0000")</f>
        <v>0337</v>
      </c>
      <c r="L337" s="8"/>
    </row>
    <row r="338" customFormat="false" ht="15.75" hidden="false" customHeight="true" outlineLevel="0" collapsed="false">
      <c r="A338" s="7" t="n">
        <v>45699</v>
      </c>
      <c r="B338" s="8" t="s">
        <v>29</v>
      </c>
      <c r="C338" s="9" t="n">
        <v>20</v>
      </c>
      <c r="D338" s="8" t="s">
        <v>21</v>
      </c>
      <c r="E338" s="8" t="s">
        <v>130</v>
      </c>
      <c r="F338" s="8" t="str">
        <f aca="false">TEXT(A338,"MM-YYYY")</f>
        <v>02-2025</v>
      </c>
      <c r="G338" s="8" t="s">
        <v>14</v>
      </c>
      <c r="H338" s="8" t="s">
        <v>15</v>
      </c>
      <c r="I338" s="7"/>
      <c r="J338" s="8" t="str">
        <f aca="false">VLOOKUP(B338,Table3[#All],2,0)</f>
        <v>Inventory</v>
      </c>
      <c r="K338" s="8" t="str">
        <f aca="false">TEXT(ROW(), "0000")</f>
        <v>0338</v>
      </c>
      <c r="L338" s="8"/>
    </row>
    <row r="339" customFormat="false" ht="15.75" hidden="false" customHeight="true" outlineLevel="0" collapsed="false">
      <c r="A339" s="13" t="n">
        <v>45700</v>
      </c>
      <c r="B339" s="8" t="s">
        <v>16</v>
      </c>
      <c r="C339" s="9" t="n">
        <v>14105</v>
      </c>
      <c r="D339" s="8" t="s">
        <v>17</v>
      </c>
      <c r="E339" s="8" t="s">
        <v>131</v>
      </c>
      <c r="F339" s="8" t="str">
        <f aca="false">TEXT(A339,"MM-YYYY")</f>
        <v>02-2025</v>
      </c>
      <c r="G339" s="8"/>
      <c r="H339" s="8"/>
      <c r="I339" s="7"/>
      <c r="J339" s="8" t="str">
        <f aca="false">VLOOKUP(B339,Table3[#All],2,0)</f>
        <v>Sales</v>
      </c>
      <c r="K339" s="8" t="str">
        <f aca="false">TEXT(ROW(), "0000")</f>
        <v>0339</v>
      </c>
      <c r="L339" s="8"/>
    </row>
    <row r="340" customFormat="false" ht="15.75" hidden="false" customHeight="true" outlineLevel="0" collapsed="false">
      <c r="A340" s="13" t="n">
        <v>45700</v>
      </c>
      <c r="B340" s="15" t="s">
        <v>19</v>
      </c>
      <c r="C340" s="9" t="n">
        <v>4559</v>
      </c>
      <c r="D340" s="8" t="s">
        <v>13</v>
      </c>
      <c r="E340" s="8" t="s">
        <v>111</v>
      </c>
      <c r="F340" s="8" t="str">
        <f aca="false">TEXT(A340,"MM-YYYY")</f>
        <v>02-2025</v>
      </c>
      <c r="G340" s="8" t="s">
        <v>14</v>
      </c>
      <c r="H340" s="8" t="s">
        <v>15</v>
      </c>
      <c r="I340" s="7"/>
      <c r="J340" s="8" t="str">
        <f aca="false">VLOOKUP(B340,Table3[#All],2,0)</f>
        <v>Inventory</v>
      </c>
      <c r="K340" s="8" t="str">
        <f aca="false">TEXT(ROW(), "0000")</f>
        <v>0340</v>
      </c>
      <c r="L340" s="8"/>
    </row>
    <row r="341" customFormat="false" ht="15.75" hidden="false" customHeight="true" outlineLevel="0" collapsed="false">
      <c r="A341" s="13" t="n">
        <v>45700</v>
      </c>
      <c r="B341" s="8" t="s">
        <v>16</v>
      </c>
      <c r="C341" s="9" t="n">
        <v>4148</v>
      </c>
      <c r="D341" s="8" t="s">
        <v>21</v>
      </c>
      <c r="E341" s="8" t="s">
        <v>131</v>
      </c>
      <c r="F341" s="8" t="str">
        <f aca="false">TEXT(A341,"MM-YYYY")</f>
        <v>02-2025</v>
      </c>
      <c r="G341" s="8"/>
      <c r="H341" s="8"/>
      <c r="I341" s="7"/>
      <c r="J341" s="8" t="str">
        <f aca="false">VLOOKUP(B341,Table3[#All],2,0)</f>
        <v>Sales</v>
      </c>
      <c r="K341" s="8" t="str">
        <f aca="false">TEXT(ROW(), "0000")</f>
        <v>0341</v>
      </c>
      <c r="L341" s="8"/>
    </row>
    <row r="342" customFormat="false" ht="15.75" hidden="false" customHeight="true" outlineLevel="0" collapsed="false">
      <c r="A342" s="13" t="n">
        <v>45700</v>
      </c>
      <c r="B342" s="8" t="s">
        <v>16</v>
      </c>
      <c r="C342" s="9" t="n">
        <v>2440</v>
      </c>
      <c r="D342" s="8" t="s">
        <v>59</v>
      </c>
      <c r="E342" s="8" t="s">
        <v>131</v>
      </c>
      <c r="F342" s="8" t="str">
        <f aca="false">TEXT(A342,"MM-YYYY")</f>
        <v>02-2025</v>
      </c>
      <c r="G342" s="8"/>
      <c r="H342" s="8"/>
      <c r="I342" s="7"/>
      <c r="J342" s="8" t="str">
        <f aca="false">VLOOKUP(B342,Table3[#All],2,0)</f>
        <v>Sales</v>
      </c>
      <c r="K342" s="8" t="str">
        <f aca="false">TEXT(ROW(), "0000")</f>
        <v>0342</v>
      </c>
      <c r="L342" s="8"/>
    </row>
    <row r="343" customFormat="false" ht="15.75" hidden="false" customHeight="true" outlineLevel="0" collapsed="false">
      <c r="A343" s="13" t="n">
        <v>45700</v>
      </c>
      <c r="B343" s="15" t="s">
        <v>118</v>
      </c>
      <c r="C343" s="9" t="n">
        <v>1940</v>
      </c>
      <c r="D343" s="8" t="s">
        <v>21</v>
      </c>
      <c r="E343" s="8" t="s">
        <v>132</v>
      </c>
      <c r="F343" s="8" t="str">
        <f aca="false">TEXT(A343,"MM-YYYY")</f>
        <v>02-2025</v>
      </c>
      <c r="G343" s="8" t="s">
        <v>14</v>
      </c>
      <c r="H343" s="8" t="s">
        <v>15</v>
      </c>
      <c r="I343" s="7"/>
      <c r="J343" s="8" t="str">
        <f aca="false">VLOOKUP(B343,Table3[#All],2,0)</f>
        <v>Shortage</v>
      </c>
      <c r="K343" s="8" t="str">
        <f aca="false">TEXT(ROW(), "0000")</f>
        <v>0343</v>
      </c>
      <c r="L343" s="8"/>
    </row>
    <row r="344" customFormat="false" ht="15.75" hidden="false" customHeight="true" outlineLevel="0" collapsed="false">
      <c r="A344" s="13" t="n">
        <v>45700</v>
      </c>
      <c r="B344" s="8" t="s">
        <v>16</v>
      </c>
      <c r="C344" s="9" t="n">
        <v>1310</v>
      </c>
      <c r="D344" s="8" t="s">
        <v>24</v>
      </c>
      <c r="E344" s="8" t="s">
        <v>90</v>
      </c>
      <c r="F344" s="8" t="str">
        <f aca="false">TEXT(A344,"MM-YYYY")</f>
        <v>02-2025</v>
      </c>
      <c r="G344" s="8"/>
      <c r="H344" s="8"/>
      <c r="I344" s="7"/>
      <c r="J344" s="8" t="str">
        <f aca="false">VLOOKUP(B344,Table3[#All],2,0)</f>
        <v>Sales</v>
      </c>
      <c r="K344" s="8" t="str">
        <f aca="false">TEXT(ROW(), "0000")</f>
        <v>0344</v>
      </c>
      <c r="L344" s="8"/>
    </row>
    <row r="345" customFormat="false" ht="15.75" hidden="false" customHeight="true" outlineLevel="0" collapsed="false">
      <c r="A345" s="13" t="n">
        <v>45700</v>
      </c>
      <c r="B345" s="15" t="s">
        <v>25</v>
      </c>
      <c r="C345" s="9" t="n">
        <v>970</v>
      </c>
      <c r="D345" s="8" t="s">
        <v>13</v>
      </c>
      <c r="E345" s="8" t="s">
        <v>113</v>
      </c>
      <c r="F345" s="8" t="str">
        <f aca="false">TEXT(A345,"MM-YYYY")</f>
        <v>02-2025</v>
      </c>
      <c r="G345" s="8" t="s">
        <v>14</v>
      </c>
      <c r="H345" s="8" t="s">
        <v>15</v>
      </c>
      <c r="I345" s="7"/>
      <c r="J345" s="8" t="str">
        <f aca="false">VLOOKUP(B345,Table3[#All],2,0)</f>
        <v>Inventory</v>
      </c>
      <c r="K345" s="8" t="str">
        <f aca="false">TEXT(ROW(), "0000")</f>
        <v>0345</v>
      </c>
      <c r="L345" s="8"/>
    </row>
    <row r="346" customFormat="false" ht="15.75" hidden="false" customHeight="true" outlineLevel="0" collapsed="false">
      <c r="A346" s="13" t="n">
        <v>45700</v>
      </c>
      <c r="B346" s="8" t="s">
        <v>16</v>
      </c>
      <c r="C346" s="9" t="n">
        <v>470</v>
      </c>
      <c r="D346" s="8" t="s">
        <v>33</v>
      </c>
      <c r="E346" s="8" t="s">
        <v>131</v>
      </c>
      <c r="F346" s="8" t="str">
        <f aca="false">TEXT(A346,"MM-YYYY")</f>
        <v>02-2025</v>
      </c>
      <c r="G346" s="8"/>
      <c r="H346" s="8"/>
      <c r="I346" s="7"/>
      <c r="J346" s="8" t="str">
        <f aca="false">VLOOKUP(B346,Table3[#All],2,0)</f>
        <v>Sales</v>
      </c>
      <c r="K346" s="8" t="str">
        <f aca="false">TEXT(ROW(), "0000")</f>
        <v>0346</v>
      </c>
      <c r="L346" s="8"/>
    </row>
    <row r="347" customFormat="false" ht="15.75" hidden="false" customHeight="true" outlineLevel="0" collapsed="false">
      <c r="A347" s="13" t="n">
        <v>45700</v>
      </c>
      <c r="B347" s="8" t="s">
        <v>16</v>
      </c>
      <c r="C347" s="9" t="n">
        <v>380</v>
      </c>
      <c r="D347" s="8" t="s">
        <v>27</v>
      </c>
      <c r="E347" s="8" t="s">
        <v>131</v>
      </c>
      <c r="F347" s="8" t="str">
        <f aca="false">TEXT(A347,"MM-YYYY")</f>
        <v>02-2025</v>
      </c>
      <c r="G347" s="8"/>
      <c r="H347" s="8"/>
      <c r="I347" s="7"/>
      <c r="J347" s="8" t="str">
        <f aca="false">VLOOKUP(B347,Table3[#All],2,0)</f>
        <v>Sales</v>
      </c>
      <c r="K347" s="8" t="str">
        <f aca="false">TEXT(ROW(), "0000")</f>
        <v>0347</v>
      </c>
      <c r="L347" s="8"/>
    </row>
    <row r="348" customFormat="false" ht="15.75" hidden="false" customHeight="true" outlineLevel="0" collapsed="false">
      <c r="A348" s="13" t="n">
        <v>45700</v>
      </c>
      <c r="B348" s="15" t="s">
        <v>29</v>
      </c>
      <c r="C348" s="9" t="n">
        <v>356</v>
      </c>
      <c r="D348" s="8" t="s">
        <v>13</v>
      </c>
      <c r="E348" s="8" t="s">
        <v>117</v>
      </c>
      <c r="F348" s="8" t="str">
        <f aca="false">TEXT(A348,"MM-YYYY")</f>
        <v>02-2025</v>
      </c>
      <c r="G348" s="8" t="s">
        <v>14</v>
      </c>
      <c r="H348" s="8" t="s">
        <v>15</v>
      </c>
      <c r="I348" s="7"/>
      <c r="J348" s="8" t="str">
        <f aca="false">VLOOKUP(B348,Table3[#All],2,0)</f>
        <v>Inventory</v>
      </c>
      <c r="K348" s="8" t="str">
        <f aca="false">TEXT(ROW(), "0000")</f>
        <v>0348</v>
      </c>
      <c r="L348" s="8"/>
    </row>
    <row r="349" customFormat="false" ht="15.75" hidden="false" customHeight="true" outlineLevel="0" collapsed="false">
      <c r="A349" s="13" t="n">
        <v>45700</v>
      </c>
      <c r="B349" s="15" t="s">
        <v>25</v>
      </c>
      <c r="C349" s="9" t="n">
        <v>300</v>
      </c>
      <c r="D349" s="8" t="s">
        <v>45</v>
      </c>
      <c r="E349" s="8" t="s">
        <v>133</v>
      </c>
      <c r="F349" s="8" t="str">
        <f aca="false">TEXT(A349,"MM-YYYY")</f>
        <v>02-2025</v>
      </c>
      <c r="G349" s="8" t="s">
        <v>14</v>
      </c>
      <c r="H349" s="8" t="s">
        <v>15</v>
      </c>
      <c r="I349" s="7"/>
      <c r="J349" s="8" t="str">
        <f aca="false">VLOOKUP(B349,Table3[#All],2,0)</f>
        <v>Inventory</v>
      </c>
      <c r="K349" s="8" t="str">
        <f aca="false">TEXT(ROW(), "0000")</f>
        <v>0349</v>
      </c>
      <c r="L349" s="8"/>
    </row>
    <row r="350" customFormat="false" ht="15.75" hidden="false" customHeight="true" outlineLevel="0" collapsed="false">
      <c r="A350" s="13" t="n">
        <v>45700</v>
      </c>
      <c r="B350" s="18" t="s">
        <v>34</v>
      </c>
      <c r="C350" s="9" t="n">
        <v>100</v>
      </c>
      <c r="D350" s="8" t="s">
        <v>45</v>
      </c>
      <c r="E350" s="8" t="s">
        <v>104</v>
      </c>
      <c r="F350" s="8" t="str">
        <f aca="false">TEXT(A350,"MM-YYYY")</f>
        <v>02-2025</v>
      </c>
      <c r="G350" s="8" t="s">
        <v>14</v>
      </c>
      <c r="H350" s="8" t="s">
        <v>15</v>
      </c>
      <c r="I350" s="7"/>
      <c r="J350" s="8" t="str">
        <f aca="false">VLOOKUP(B350,Table3[#All],2,0)</f>
        <v>Staff Expenses</v>
      </c>
      <c r="K350" s="8" t="str">
        <f aca="false">TEXT(ROW(), "0000")</f>
        <v>0350</v>
      </c>
      <c r="L350" s="8"/>
    </row>
    <row r="351" customFormat="false" ht="15.75" hidden="false" customHeight="true" outlineLevel="0" collapsed="false">
      <c r="A351" s="13" t="n">
        <v>45700</v>
      </c>
      <c r="B351" s="15" t="s">
        <v>29</v>
      </c>
      <c r="C351" s="9" t="n">
        <v>70</v>
      </c>
      <c r="D351" s="8" t="s">
        <v>45</v>
      </c>
      <c r="E351" s="8" t="s">
        <v>134</v>
      </c>
      <c r="F351" s="8" t="str">
        <f aca="false">TEXT(A351,"MM-YYYY")</f>
        <v>02-2025</v>
      </c>
      <c r="G351" s="8" t="s">
        <v>14</v>
      </c>
      <c r="H351" s="8" t="s">
        <v>15</v>
      </c>
      <c r="I351" s="7"/>
      <c r="J351" s="8" t="str">
        <f aca="false">VLOOKUP(B351,Table3[#All],2,0)</f>
        <v>Inventory</v>
      </c>
      <c r="K351" s="8" t="str">
        <f aca="false">TEXT(ROW(), "0000")</f>
        <v>0351</v>
      </c>
      <c r="L351" s="8"/>
    </row>
    <row r="352" customFormat="false" ht="15.75" hidden="false" customHeight="true" outlineLevel="0" collapsed="false">
      <c r="A352" s="13" t="n">
        <v>45700</v>
      </c>
      <c r="B352" s="15" t="s">
        <v>29</v>
      </c>
      <c r="C352" s="9" t="n">
        <v>10</v>
      </c>
      <c r="D352" s="8" t="s">
        <v>21</v>
      </c>
      <c r="E352" s="8" t="s">
        <v>130</v>
      </c>
      <c r="F352" s="8" t="str">
        <f aca="false">TEXT(A352,"MM-YYYY")</f>
        <v>02-2025</v>
      </c>
      <c r="G352" s="8" t="s">
        <v>14</v>
      </c>
      <c r="H352" s="8" t="s">
        <v>15</v>
      </c>
      <c r="I352" s="7"/>
      <c r="J352" s="8" t="str">
        <f aca="false">VLOOKUP(B352,Table3[#All],2,0)</f>
        <v>Inventory</v>
      </c>
      <c r="K352" s="8" t="str">
        <f aca="false">TEXT(ROW(), "0000")</f>
        <v>0352</v>
      </c>
      <c r="L352" s="8"/>
    </row>
    <row r="353" customFormat="false" ht="15.75" hidden="false" customHeight="true" outlineLevel="0" collapsed="false">
      <c r="A353" s="13" t="n">
        <v>45701</v>
      </c>
      <c r="B353" s="8" t="s">
        <v>16</v>
      </c>
      <c r="C353" s="9" t="n">
        <v>8789</v>
      </c>
      <c r="D353" s="8" t="s">
        <v>17</v>
      </c>
      <c r="E353" s="8" t="s">
        <v>101</v>
      </c>
      <c r="F353" s="8" t="str">
        <f aca="false">TEXT(A353,"MM-YYYY")</f>
        <v>02-2025</v>
      </c>
      <c r="G353" s="8"/>
      <c r="H353" s="8"/>
      <c r="I353" s="7"/>
      <c r="J353" s="8" t="str">
        <f aca="false">VLOOKUP(B353,Table3[#All],2,0)</f>
        <v>Sales</v>
      </c>
      <c r="K353" s="8" t="str">
        <f aca="false">TEXT(ROW(), "0000")</f>
        <v>0353</v>
      </c>
      <c r="L353" s="8"/>
    </row>
    <row r="354" customFormat="false" ht="15.75" hidden="false" customHeight="true" outlineLevel="0" collapsed="false">
      <c r="A354" s="13" t="n">
        <v>45701</v>
      </c>
      <c r="B354" s="15" t="s">
        <v>19</v>
      </c>
      <c r="C354" s="9" t="n">
        <v>3810</v>
      </c>
      <c r="D354" s="8" t="s">
        <v>13</v>
      </c>
      <c r="E354" s="8" t="s">
        <v>111</v>
      </c>
      <c r="F354" s="8" t="str">
        <f aca="false">TEXT(A354,"MM-YYYY")</f>
        <v>02-2025</v>
      </c>
      <c r="G354" s="8" t="s">
        <v>14</v>
      </c>
      <c r="H354" s="8" t="s">
        <v>15</v>
      </c>
      <c r="I354" s="7"/>
      <c r="J354" s="8" t="str">
        <f aca="false">VLOOKUP(B354,Table3[#All],2,0)</f>
        <v>Inventory</v>
      </c>
      <c r="K354" s="8" t="str">
        <f aca="false">TEXT(ROW(), "0000")</f>
        <v>0354</v>
      </c>
      <c r="L354" s="8"/>
    </row>
    <row r="355" customFormat="false" ht="15.75" hidden="false" customHeight="true" outlineLevel="0" collapsed="false">
      <c r="A355" s="13" t="n">
        <v>45701</v>
      </c>
      <c r="B355" s="15" t="s">
        <v>22</v>
      </c>
      <c r="C355" s="9" t="n">
        <v>3674</v>
      </c>
      <c r="D355" s="8" t="s">
        <v>13</v>
      </c>
      <c r="E355" s="8" t="s">
        <v>135</v>
      </c>
      <c r="F355" s="8" t="str">
        <f aca="false">TEXT(A355,"MM-YYYY")</f>
        <v>02-2025</v>
      </c>
      <c r="G355" s="8" t="s">
        <v>14</v>
      </c>
      <c r="H355" s="8" t="s">
        <v>15</v>
      </c>
      <c r="I355" s="7"/>
      <c r="J355" s="8" t="str">
        <f aca="false">VLOOKUP(B355,Table3[#All],2,0)</f>
        <v>Inventory</v>
      </c>
      <c r="K355" s="8" t="str">
        <f aca="false">TEXT(ROW(), "0000")</f>
        <v>0355</v>
      </c>
      <c r="L355" s="8"/>
    </row>
    <row r="356" customFormat="false" ht="15.75" hidden="false" customHeight="true" outlineLevel="0" collapsed="false">
      <c r="A356" s="13" t="n">
        <v>45701</v>
      </c>
      <c r="B356" s="8" t="s">
        <v>16</v>
      </c>
      <c r="C356" s="9" t="n">
        <v>2826</v>
      </c>
      <c r="D356" s="8" t="s">
        <v>24</v>
      </c>
      <c r="E356" s="8" t="s">
        <v>90</v>
      </c>
      <c r="F356" s="8" t="str">
        <f aca="false">TEXT(A356,"MM-YYYY")</f>
        <v>02-2025</v>
      </c>
      <c r="G356" s="8"/>
      <c r="H356" s="8"/>
      <c r="I356" s="7"/>
      <c r="J356" s="8" t="str">
        <f aca="false">VLOOKUP(B356,Table3[#All],2,0)</f>
        <v>Sales</v>
      </c>
      <c r="K356" s="8" t="str">
        <f aca="false">TEXT(ROW(), "0000")</f>
        <v>0356</v>
      </c>
      <c r="L356" s="8"/>
    </row>
    <row r="357" customFormat="false" ht="15.75" hidden="false" customHeight="true" outlineLevel="0" collapsed="false">
      <c r="A357" s="13" t="n">
        <v>45701</v>
      </c>
      <c r="B357" s="15" t="s">
        <v>22</v>
      </c>
      <c r="C357" s="9" t="n">
        <v>2394</v>
      </c>
      <c r="D357" s="8" t="s">
        <v>13</v>
      </c>
      <c r="E357" s="8" t="s">
        <v>135</v>
      </c>
      <c r="F357" s="8" t="str">
        <f aca="false">TEXT(A357,"MM-YYYY")</f>
        <v>02-2025</v>
      </c>
      <c r="G357" s="8" t="s">
        <v>14</v>
      </c>
      <c r="H357" s="8" t="s">
        <v>15</v>
      </c>
      <c r="I357" s="7"/>
      <c r="J357" s="8" t="str">
        <f aca="false">VLOOKUP(B357,Table3[#All],2,0)</f>
        <v>Inventory</v>
      </c>
      <c r="K357" s="8" t="str">
        <f aca="false">TEXT(ROW(), "0000")</f>
        <v>0357</v>
      </c>
      <c r="L357" s="8"/>
    </row>
    <row r="358" customFormat="false" ht="15.75" hidden="false" customHeight="true" outlineLevel="0" collapsed="false">
      <c r="A358" s="13" t="n">
        <v>45701</v>
      </c>
      <c r="B358" s="8" t="s">
        <v>16</v>
      </c>
      <c r="C358" s="9" t="n">
        <v>1800</v>
      </c>
      <c r="D358" s="8" t="s">
        <v>21</v>
      </c>
      <c r="E358" s="8" t="s">
        <v>101</v>
      </c>
      <c r="F358" s="8" t="str">
        <f aca="false">TEXT(A358,"MM-YYYY")</f>
        <v>02-2025</v>
      </c>
      <c r="G358" s="8"/>
      <c r="H358" s="8"/>
      <c r="I358" s="7"/>
      <c r="J358" s="8" t="str">
        <f aca="false">VLOOKUP(B358,Table3[#All],2,0)</f>
        <v>Sales</v>
      </c>
      <c r="K358" s="8" t="str">
        <f aca="false">TEXT(ROW(), "0000")</f>
        <v>0358</v>
      </c>
      <c r="L358" s="8"/>
    </row>
    <row r="359" customFormat="false" ht="15.75" hidden="false" customHeight="true" outlineLevel="0" collapsed="false">
      <c r="A359" s="13" t="n">
        <v>45701</v>
      </c>
      <c r="B359" s="8" t="s">
        <v>16</v>
      </c>
      <c r="C359" s="9" t="n">
        <v>580</v>
      </c>
      <c r="D359" s="8" t="s">
        <v>59</v>
      </c>
      <c r="E359" s="8" t="s">
        <v>101</v>
      </c>
      <c r="F359" s="8" t="str">
        <f aca="false">TEXT(A359,"MM-YYYY")</f>
        <v>02-2025</v>
      </c>
      <c r="G359" s="8"/>
      <c r="H359" s="8"/>
      <c r="I359" s="7"/>
      <c r="J359" s="8" t="str">
        <f aca="false">VLOOKUP(B359,Table3[#All],2,0)</f>
        <v>Sales</v>
      </c>
      <c r="K359" s="8" t="str">
        <f aca="false">TEXT(ROW(), "0000")</f>
        <v>0359</v>
      </c>
      <c r="L359" s="8"/>
    </row>
    <row r="360" customFormat="false" ht="15.75" hidden="false" customHeight="true" outlineLevel="0" collapsed="false">
      <c r="A360" s="13" t="n">
        <v>45701</v>
      </c>
      <c r="B360" s="15" t="s">
        <v>25</v>
      </c>
      <c r="C360" s="9" t="n">
        <v>536</v>
      </c>
      <c r="D360" s="8" t="s">
        <v>13</v>
      </c>
      <c r="E360" s="8" t="s">
        <v>113</v>
      </c>
      <c r="F360" s="8" t="str">
        <f aca="false">TEXT(A360,"MM-YYYY")</f>
        <v>02-2025</v>
      </c>
      <c r="G360" s="8" t="s">
        <v>14</v>
      </c>
      <c r="H360" s="8" t="s">
        <v>15</v>
      </c>
      <c r="I360" s="7"/>
      <c r="J360" s="8" t="str">
        <f aca="false">VLOOKUP(B360,Table3[#All],2,0)</f>
        <v>Inventory</v>
      </c>
      <c r="K360" s="8" t="str">
        <f aca="false">TEXT(ROW(), "0000")</f>
        <v>0360</v>
      </c>
      <c r="L360" s="8"/>
    </row>
    <row r="361" customFormat="false" ht="15.75" hidden="false" customHeight="true" outlineLevel="0" collapsed="false">
      <c r="A361" s="13" t="n">
        <v>45701</v>
      </c>
      <c r="B361" s="8" t="s">
        <v>16</v>
      </c>
      <c r="C361" s="9" t="n">
        <v>480</v>
      </c>
      <c r="D361" s="8" t="s">
        <v>33</v>
      </c>
      <c r="E361" s="8" t="s">
        <v>101</v>
      </c>
      <c r="F361" s="8" t="str">
        <f aca="false">TEXT(A361,"MM-YYYY")</f>
        <v>02-2025</v>
      </c>
      <c r="G361" s="8"/>
      <c r="H361" s="8"/>
      <c r="I361" s="7"/>
      <c r="J361" s="8" t="str">
        <f aca="false">VLOOKUP(B361,Table3[#All],2,0)</f>
        <v>Sales</v>
      </c>
      <c r="K361" s="8" t="str">
        <f aca="false">TEXT(ROW(), "0000")</f>
        <v>0361</v>
      </c>
      <c r="L361" s="8"/>
    </row>
    <row r="362" customFormat="false" ht="15.75" hidden="false" customHeight="true" outlineLevel="0" collapsed="false">
      <c r="A362" s="13" t="n">
        <v>45701</v>
      </c>
      <c r="B362" s="15" t="s">
        <v>60</v>
      </c>
      <c r="C362" s="9" t="n">
        <v>210</v>
      </c>
      <c r="D362" s="8" t="s">
        <v>45</v>
      </c>
      <c r="E362" s="8" t="s">
        <v>136</v>
      </c>
      <c r="F362" s="8" t="str">
        <f aca="false">TEXT(A362,"MM-YYYY")</f>
        <v>02-2025</v>
      </c>
      <c r="G362" s="8" t="s">
        <v>14</v>
      </c>
      <c r="H362" s="8" t="s">
        <v>15</v>
      </c>
      <c r="I362" s="7"/>
      <c r="J362" s="8" t="str">
        <f aca="false">VLOOKUP(B362,Table3[#All],2,0)</f>
        <v>Inventory</v>
      </c>
      <c r="K362" s="8" t="str">
        <f aca="false">TEXT(ROW(), "0000")</f>
        <v>0362</v>
      </c>
      <c r="L362" s="8"/>
    </row>
    <row r="363" customFormat="false" ht="15.75" hidden="false" customHeight="true" outlineLevel="0" collapsed="false">
      <c r="A363" s="13" t="n">
        <v>45701</v>
      </c>
      <c r="B363" s="8" t="s">
        <v>16</v>
      </c>
      <c r="C363" s="9" t="n">
        <v>180</v>
      </c>
      <c r="D363" s="8" t="s">
        <v>27</v>
      </c>
      <c r="E363" s="8" t="s">
        <v>101</v>
      </c>
      <c r="F363" s="8" t="str">
        <f aca="false">TEXT(A363,"MM-YYYY")</f>
        <v>02-2025</v>
      </c>
      <c r="G363" s="8"/>
      <c r="H363" s="8"/>
      <c r="I363" s="7"/>
      <c r="J363" s="8" t="str">
        <f aca="false">VLOOKUP(B363,Table3[#All],2,0)</f>
        <v>Sales</v>
      </c>
      <c r="K363" s="8" t="str">
        <f aca="false">TEXT(ROW(), "0000")</f>
        <v>0363</v>
      </c>
      <c r="L363" s="8"/>
    </row>
    <row r="364" customFormat="false" ht="15.75" hidden="false" customHeight="true" outlineLevel="0" collapsed="false">
      <c r="A364" s="13" t="n">
        <v>45701</v>
      </c>
      <c r="B364" s="15" t="s">
        <v>32</v>
      </c>
      <c r="C364" s="9" t="n">
        <v>162</v>
      </c>
      <c r="D364" s="8" t="s">
        <v>45</v>
      </c>
      <c r="E364" s="8" t="s">
        <v>116</v>
      </c>
      <c r="F364" s="8" t="str">
        <f aca="false">TEXT(A364,"MM-YYYY")</f>
        <v>02-2025</v>
      </c>
      <c r="G364" s="8" t="s">
        <v>14</v>
      </c>
      <c r="H364" s="8" t="s">
        <v>15</v>
      </c>
      <c r="I364" s="7"/>
      <c r="J364" s="8" t="str">
        <f aca="false">VLOOKUP(B364,Table3[#All],2,0)</f>
        <v>Grocery</v>
      </c>
      <c r="K364" s="8" t="str">
        <f aca="false">TEXT(ROW(), "0000")</f>
        <v>0364</v>
      </c>
      <c r="L364" s="8"/>
    </row>
    <row r="365" customFormat="false" ht="15.75" hidden="false" customHeight="true" outlineLevel="0" collapsed="false">
      <c r="A365" s="13" t="n">
        <v>45701</v>
      </c>
      <c r="B365" s="15" t="s">
        <v>22</v>
      </c>
      <c r="C365" s="9" t="n">
        <v>160</v>
      </c>
      <c r="D365" s="8" t="s">
        <v>13</v>
      </c>
      <c r="E365" s="8" t="s">
        <v>135</v>
      </c>
      <c r="F365" s="8" t="str">
        <f aca="false">TEXT(A365,"MM-YYYY")</f>
        <v>02-2025</v>
      </c>
      <c r="G365" s="8" t="s">
        <v>14</v>
      </c>
      <c r="H365" s="8" t="s">
        <v>15</v>
      </c>
      <c r="I365" s="7"/>
      <c r="J365" s="8" t="str">
        <f aca="false">VLOOKUP(B365,Table3[#All],2,0)</f>
        <v>Inventory</v>
      </c>
      <c r="K365" s="8" t="str">
        <f aca="false">TEXT(ROW(), "0000")</f>
        <v>0365</v>
      </c>
      <c r="L365" s="8"/>
    </row>
    <row r="366" customFormat="false" ht="15.75" hidden="false" customHeight="true" outlineLevel="0" collapsed="false">
      <c r="A366" s="13" t="n">
        <v>45701</v>
      </c>
      <c r="B366" s="15" t="s">
        <v>34</v>
      </c>
      <c r="C366" s="9" t="n">
        <v>130</v>
      </c>
      <c r="D366" s="8" t="s">
        <v>45</v>
      </c>
      <c r="E366" s="8" t="s">
        <v>104</v>
      </c>
      <c r="F366" s="8" t="str">
        <f aca="false">TEXT(A366,"MM-YYYY")</f>
        <v>02-2025</v>
      </c>
      <c r="G366" s="8" t="s">
        <v>14</v>
      </c>
      <c r="H366" s="8" t="s">
        <v>15</v>
      </c>
      <c r="I366" s="7"/>
      <c r="J366" s="8" t="str">
        <f aca="false">VLOOKUP(B366,Table3[#All],2,0)</f>
        <v>Staff Expenses</v>
      </c>
      <c r="K366" s="8" t="str">
        <f aca="false">TEXT(ROW(), "0000")</f>
        <v>0366</v>
      </c>
      <c r="L366" s="8"/>
    </row>
    <row r="367" customFormat="false" ht="15.75" hidden="false" customHeight="true" outlineLevel="0" collapsed="false">
      <c r="A367" s="13" t="n">
        <v>45701</v>
      </c>
      <c r="B367" s="15" t="s">
        <v>37</v>
      </c>
      <c r="C367" s="9" t="n">
        <v>10</v>
      </c>
      <c r="D367" s="8" t="s">
        <v>21</v>
      </c>
      <c r="E367" s="8" t="s">
        <v>122</v>
      </c>
      <c r="F367" s="8" t="str">
        <f aca="false">TEXT(A367,"MM-YYYY")</f>
        <v>02-2025</v>
      </c>
      <c r="G367" s="8" t="s">
        <v>14</v>
      </c>
      <c r="H367" s="8" t="s">
        <v>15</v>
      </c>
      <c r="I367" s="7"/>
      <c r="J367" s="8" t="str">
        <f aca="false">VLOOKUP(B367,Table3[#All],2,0)</f>
        <v>Maintance</v>
      </c>
      <c r="K367" s="8" t="str">
        <f aca="false">TEXT(ROW(), "0000")</f>
        <v>0367</v>
      </c>
      <c r="L367" s="8"/>
    </row>
    <row r="368" customFormat="false" ht="15.75" hidden="false" customHeight="true" outlineLevel="0" collapsed="false">
      <c r="A368" s="13" t="n">
        <v>45701</v>
      </c>
      <c r="B368" s="15" t="s">
        <v>29</v>
      </c>
      <c r="C368" s="9" t="n">
        <v>10</v>
      </c>
      <c r="D368" s="8" t="s">
        <v>21</v>
      </c>
      <c r="E368" s="8" t="s">
        <v>130</v>
      </c>
      <c r="F368" s="8" t="str">
        <f aca="false">TEXT(A368,"MM-YYYY")</f>
        <v>02-2025</v>
      </c>
      <c r="G368" s="8" t="s">
        <v>14</v>
      </c>
      <c r="H368" s="8" t="s">
        <v>15</v>
      </c>
      <c r="I368" s="7"/>
      <c r="J368" s="8" t="str">
        <f aca="false">VLOOKUP(B368,Table3[#All],2,0)</f>
        <v>Inventory</v>
      </c>
      <c r="K368" s="8" t="str">
        <f aca="false">TEXT(ROW(), "0000")</f>
        <v>0368</v>
      </c>
      <c r="L368" s="8"/>
    </row>
    <row r="369" customFormat="false" ht="15.75" hidden="false" customHeight="true" outlineLevel="0" collapsed="false">
      <c r="A369" s="13" t="n">
        <v>45702</v>
      </c>
      <c r="B369" s="8" t="s">
        <v>16</v>
      </c>
      <c r="C369" s="9" t="n">
        <v>28893</v>
      </c>
      <c r="D369" s="8" t="s">
        <v>17</v>
      </c>
      <c r="E369" s="8" t="s">
        <v>101</v>
      </c>
      <c r="F369" s="8" t="str">
        <f aca="false">TEXT(A369,"MM-YYYY")</f>
        <v>02-2025</v>
      </c>
      <c r="G369" s="8"/>
      <c r="H369" s="8"/>
      <c r="I369" s="7"/>
      <c r="J369" s="8" t="str">
        <f aca="false">VLOOKUP(B369,Table3[#All],2,0)</f>
        <v>Sales</v>
      </c>
      <c r="K369" s="8" t="str">
        <f aca="false">TEXT(ROW(), "0000")</f>
        <v>0369</v>
      </c>
      <c r="L369" s="8"/>
    </row>
    <row r="370" customFormat="false" ht="15.75" hidden="false" customHeight="true" outlineLevel="0" collapsed="false">
      <c r="A370" s="13" t="n">
        <v>45702</v>
      </c>
      <c r="B370" s="8" t="s">
        <v>16</v>
      </c>
      <c r="C370" s="9" t="n">
        <v>4916</v>
      </c>
      <c r="D370" s="8" t="s">
        <v>24</v>
      </c>
      <c r="E370" s="8" t="s">
        <v>90</v>
      </c>
      <c r="F370" s="8" t="str">
        <f aca="false">TEXT(A370,"MM-YYYY")</f>
        <v>02-2025</v>
      </c>
      <c r="G370" s="8"/>
      <c r="H370" s="8"/>
      <c r="I370" s="7"/>
      <c r="J370" s="8" t="str">
        <f aca="false">VLOOKUP(B370,Table3[#All],2,0)</f>
        <v>Sales</v>
      </c>
      <c r="K370" s="8" t="str">
        <f aca="false">TEXT(ROW(), "0000")</f>
        <v>0370</v>
      </c>
      <c r="L370" s="8"/>
    </row>
    <row r="371" customFormat="false" ht="15.75" hidden="false" customHeight="true" outlineLevel="0" collapsed="false">
      <c r="A371" s="13" t="n">
        <v>45702</v>
      </c>
      <c r="B371" s="15" t="s">
        <v>47</v>
      </c>
      <c r="C371" s="9" t="n">
        <v>2520</v>
      </c>
      <c r="D371" s="8" t="s">
        <v>13</v>
      </c>
      <c r="E371" s="8" t="s">
        <v>137</v>
      </c>
      <c r="F371" s="8" t="str">
        <f aca="false">TEXT(A371,"MM-YYYY")</f>
        <v>02-2025</v>
      </c>
      <c r="G371" s="8" t="s">
        <v>14</v>
      </c>
      <c r="H371" s="8" t="s">
        <v>15</v>
      </c>
      <c r="I371" s="7"/>
      <c r="J371" s="8" t="str">
        <f aca="false">VLOOKUP(B371,Table3[#All],2,0)</f>
        <v>Inventory</v>
      </c>
      <c r="K371" s="8" t="str">
        <f aca="false">TEXT(ROW(), "0000")</f>
        <v>0371</v>
      </c>
      <c r="L371" s="8"/>
    </row>
    <row r="372" customFormat="false" ht="15.75" hidden="false" customHeight="true" outlineLevel="0" collapsed="false">
      <c r="A372" s="13" t="n">
        <v>45702</v>
      </c>
      <c r="B372" s="8" t="s">
        <v>16</v>
      </c>
      <c r="C372" s="9" t="n">
        <v>1999</v>
      </c>
      <c r="D372" s="8" t="s">
        <v>21</v>
      </c>
      <c r="E372" s="8" t="s">
        <v>101</v>
      </c>
      <c r="F372" s="8" t="str">
        <f aca="false">TEXT(A372,"MM-YYYY")</f>
        <v>02-2025</v>
      </c>
      <c r="G372" s="8"/>
      <c r="H372" s="8"/>
      <c r="I372" s="7"/>
      <c r="J372" s="8" t="str">
        <f aca="false">VLOOKUP(B372,Table3[#All],2,0)</f>
        <v>Sales</v>
      </c>
      <c r="K372" s="8" t="str">
        <f aca="false">TEXT(ROW(), "0000")</f>
        <v>0372</v>
      </c>
      <c r="L372" s="8"/>
    </row>
    <row r="373" customFormat="false" ht="15.75" hidden="false" customHeight="true" outlineLevel="0" collapsed="false">
      <c r="A373" s="13" t="n">
        <v>45702</v>
      </c>
      <c r="B373" s="15" t="s">
        <v>19</v>
      </c>
      <c r="C373" s="9" t="n">
        <v>1392</v>
      </c>
      <c r="D373" s="8" t="s">
        <v>13</v>
      </c>
      <c r="E373" s="8" t="s">
        <v>111</v>
      </c>
      <c r="F373" s="8" t="str">
        <f aca="false">TEXT(A373,"MM-YYYY")</f>
        <v>02-2025</v>
      </c>
      <c r="G373" s="8" t="s">
        <v>14</v>
      </c>
      <c r="H373" s="8" t="s">
        <v>15</v>
      </c>
      <c r="I373" s="7"/>
      <c r="J373" s="8" t="str">
        <f aca="false">VLOOKUP(B373,Table3[#All],2,0)</f>
        <v>Inventory</v>
      </c>
      <c r="K373" s="8" t="str">
        <f aca="false">TEXT(ROW(), "0000")</f>
        <v>0373</v>
      </c>
      <c r="L373" s="8"/>
    </row>
    <row r="374" customFormat="false" ht="15.75" hidden="false" customHeight="true" outlineLevel="0" collapsed="false">
      <c r="A374" s="13" t="n">
        <v>45702</v>
      </c>
      <c r="B374" s="8" t="s">
        <v>16</v>
      </c>
      <c r="C374" s="9" t="n">
        <v>750</v>
      </c>
      <c r="D374" s="8" t="s">
        <v>27</v>
      </c>
      <c r="E374" s="8" t="s">
        <v>101</v>
      </c>
      <c r="F374" s="8" t="str">
        <f aca="false">TEXT(A374,"MM-YYYY")</f>
        <v>02-2025</v>
      </c>
      <c r="G374" s="8"/>
      <c r="H374" s="8"/>
      <c r="I374" s="7"/>
      <c r="J374" s="8" t="str">
        <f aca="false">VLOOKUP(B374,Table3[#All],2,0)</f>
        <v>Sales</v>
      </c>
      <c r="K374" s="8" t="str">
        <f aca="false">TEXT(ROW(), "0000")</f>
        <v>0374</v>
      </c>
      <c r="L374" s="8"/>
    </row>
    <row r="375" customFormat="false" ht="15.75" hidden="false" customHeight="true" outlineLevel="0" collapsed="false">
      <c r="A375" s="13" t="n">
        <v>45702</v>
      </c>
      <c r="B375" s="15" t="s">
        <v>66</v>
      </c>
      <c r="C375" s="9" t="n">
        <v>742</v>
      </c>
      <c r="D375" s="8" t="s">
        <v>21</v>
      </c>
      <c r="E375" s="8" t="s">
        <v>127</v>
      </c>
      <c r="F375" s="8" t="str">
        <f aca="false">TEXT(A375,"MM-YYYY")</f>
        <v>02-2025</v>
      </c>
      <c r="G375" s="8" t="s">
        <v>14</v>
      </c>
      <c r="H375" s="8" t="s">
        <v>15</v>
      </c>
      <c r="I375" s="7"/>
      <c r="J375" s="8" t="str">
        <f aca="false">VLOOKUP(B375,Table3[#All],2,0)</f>
        <v>Grocery</v>
      </c>
      <c r="K375" s="8" t="str">
        <f aca="false">TEXT(ROW(), "0000")</f>
        <v>0375</v>
      </c>
      <c r="L375" s="8"/>
    </row>
    <row r="376" customFormat="false" ht="15.75" hidden="false" customHeight="true" outlineLevel="0" collapsed="false">
      <c r="A376" s="13" t="n">
        <v>45702</v>
      </c>
      <c r="B376" s="15" t="s">
        <v>25</v>
      </c>
      <c r="C376" s="9" t="n">
        <v>700</v>
      </c>
      <c r="D376" s="8" t="s">
        <v>13</v>
      </c>
      <c r="E376" s="8" t="s">
        <v>126</v>
      </c>
      <c r="F376" s="8" t="str">
        <f aca="false">TEXT(A376,"MM-YYYY")</f>
        <v>02-2025</v>
      </c>
      <c r="G376" s="8" t="s">
        <v>14</v>
      </c>
      <c r="H376" s="8" t="s">
        <v>15</v>
      </c>
      <c r="I376" s="7"/>
      <c r="J376" s="8" t="str">
        <f aca="false">VLOOKUP(B376,Table3[#All],2,0)</f>
        <v>Inventory</v>
      </c>
      <c r="K376" s="8" t="str">
        <f aca="false">TEXT(ROW(), "0000")</f>
        <v>0376</v>
      </c>
      <c r="L376" s="8"/>
    </row>
    <row r="377" customFormat="false" ht="15.75" hidden="false" customHeight="true" outlineLevel="0" collapsed="false">
      <c r="A377" s="13" t="n">
        <v>45702</v>
      </c>
      <c r="B377" s="15" t="s">
        <v>29</v>
      </c>
      <c r="C377" s="9" t="n">
        <v>561</v>
      </c>
      <c r="D377" s="8" t="s">
        <v>13</v>
      </c>
      <c r="E377" s="8" t="s">
        <v>117</v>
      </c>
      <c r="F377" s="8" t="str">
        <f aca="false">TEXT(A377,"MM-YYYY")</f>
        <v>02-2025</v>
      </c>
      <c r="G377" s="8" t="s">
        <v>14</v>
      </c>
      <c r="H377" s="8" t="s">
        <v>15</v>
      </c>
      <c r="I377" s="7"/>
      <c r="J377" s="8" t="str">
        <f aca="false">VLOOKUP(B377,Table3[#All],2,0)</f>
        <v>Inventory</v>
      </c>
      <c r="K377" s="8" t="str">
        <f aca="false">TEXT(ROW(), "0000")</f>
        <v>0377</v>
      </c>
      <c r="L377" s="8"/>
    </row>
    <row r="378" customFormat="false" ht="15.75" hidden="false" customHeight="true" outlineLevel="0" collapsed="false">
      <c r="A378" s="13" t="n">
        <v>45702</v>
      </c>
      <c r="B378" s="8" t="s">
        <v>16</v>
      </c>
      <c r="C378" s="9" t="n">
        <v>430</v>
      </c>
      <c r="D378" s="8" t="s">
        <v>59</v>
      </c>
      <c r="E378" s="8" t="s">
        <v>101</v>
      </c>
      <c r="F378" s="8" t="str">
        <f aca="false">TEXT(A378,"MM-YYYY")</f>
        <v>02-2025</v>
      </c>
      <c r="G378" s="8"/>
      <c r="H378" s="8"/>
      <c r="I378" s="7"/>
      <c r="J378" s="8" t="str">
        <f aca="false">VLOOKUP(B378,Table3[#All],2,0)</f>
        <v>Sales</v>
      </c>
      <c r="K378" s="8" t="str">
        <f aca="false">TEXT(ROW(), "0000")</f>
        <v>0378</v>
      </c>
      <c r="L378" s="8"/>
    </row>
    <row r="379" customFormat="false" ht="15.75" hidden="false" customHeight="true" outlineLevel="0" collapsed="false">
      <c r="A379" s="13" t="n">
        <v>45702</v>
      </c>
      <c r="B379" s="8" t="s">
        <v>34</v>
      </c>
      <c r="C379" s="9" t="n">
        <v>90</v>
      </c>
      <c r="D379" s="8" t="s">
        <v>45</v>
      </c>
      <c r="E379" s="8" t="s">
        <v>104</v>
      </c>
      <c r="F379" s="8" t="str">
        <f aca="false">TEXT(A379,"MM-YYYY")</f>
        <v>02-2025</v>
      </c>
      <c r="G379" s="8" t="s">
        <v>14</v>
      </c>
      <c r="H379" s="8" t="s">
        <v>15</v>
      </c>
      <c r="I379" s="7"/>
      <c r="J379" s="8" t="str">
        <f aca="false">VLOOKUP(B379,Table3[#All],2,0)</f>
        <v>Staff Expenses</v>
      </c>
      <c r="K379" s="8" t="str">
        <f aca="false">TEXT(ROW(), "0000")</f>
        <v>0379</v>
      </c>
      <c r="L379" s="8"/>
    </row>
    <row r="380" customFormat="false" ht="15.75" hidden="false" customHeight="true" outlineLevel="0" collapsed="false">
      <c r="A380" s="13" t="n">
        <v>45702</v>
      </c>
      <c r="B380" s="15" t="s">
        <v>37</v>
      </c>
      <c r="C380" s="9" t="n">
        <v>40</v>
      </c>
      <c r="D380" s="8" t="s">
        <v>21</v>
      </c>
      <c r="E380" s="8" t="s">
        <v>122</v>
      </c>
      <c r="F380" s="8" t="str">
        <f aca="false">TEXT(A380,"MM-YYYY")</f>
        <v>02-2025</v>
      </c>
      <c r="G380" s="8" t="s">
        <v>14</v>
      </c>
      <c r="H380" s="8" t="s">
        <v>15</v>
      </c>
      <c r="I380" s="7"/>
      <c r="J380" s="8" t="str">
        <f aca="false">VLOOKUP(B380,Table3[#All],2,0)</f>
        <v>Maintance</v>
      </c>
      <c r="K380" s="8" t="str">
        <f aca="false">TEXT(ROW(), "0000")</f>
        <v>0380</v>
      </c>
      <c r="L380" s="8"/>
    </row>
    <row r="381" customFormat="false" ht="15.75" hidden="false" customHeight="true" outlineLevel="0" collapsed="false">
      <c r="A381" s="13" t="n">
        <v>45702</v>
      </c>
      <c r="B381" s="15" t="s">
        <v>29</v>
      </c>
      <c r="C381" s="9" t="n">
        <v>20</v>
      </c>
      <c r="D381" s="8" t="s">
        <v>21</v>
      </c>
      <c r="E381" s="8" t="s">
        <v>130</v>
      </c>
      <c r="F381" s="8" t="str">
        <f aca="false">TEXT(A381,"MM-YYYY")</f>
        <v>02-2025</v>
      </c>
      <c r="G381" s="8" t="s">
        <v>14</v>
      </c>
      <c r="H381" s="8" t="s">
        <v>15</v>
      </c>
      <c r="I381" s="7"/>
      <c r="J381" s="8" t="str">
        <f aca="false">VLOOKUP(B381,Table3[#All],2,0)</f>
        <v>Inventory</v>
      </c>
      <c r="K381" s="8" t="str">
        <f aca="false">TEXT(ROW(), "0000")</f>
        <v>0381</v>
      </c>
      <c r="L381" s="8"/>
    </row>
    <row r="382" customFormat="false" ht="15.75" hidden="false" customHeight="true" outlineLevel="0" collapsed="false">
      <c r="A382" s="13" t="n">
        <v>45703</v>
      </c>
      <c r="B382" s="8" t="s">
        <v>16</v>
      </c>
      <c r="C382" s="9" t="n">
        <v>14543</v>
      </c>
      <c r="D382" s="8" t="s">
        <v>17</v>
      </c>
      <c r="E382" s="8" t="s">
        <v>101</v>
      </c>
      <c r="F382" s="8" t="str">
        <f aca="false">TEXT(A382,"MM-YYYY")</f>
        <v>02-2025</v>
      </c>
      <c r="G382" s="8"/>
      <c r="H382" s="8"/>
      <c r="I382" s="7"/>
      <c r="J382" s="8" t="str">
        <f aca="false">VLOOKUP(B382,Table3[#All],2,0)</f>
        <v>Sales</v>
      </c>
      <c r="K382" s="8" t="str">
        <f aca="false">TEXT(ROW(), "0000")</f>
        <v>0382</v>
      </c>
      <c r="L382" s="8"/>
    </row>
    <row r="383" customFormat="false" ht="15.75" hidden="false" customHeight="true" outlineLevel="0" collapsed="false">
      <c r="A383" s="13" t="n">
        <v>45703</v>
      </c>
      <c r="B383" s="15" t="s">
        <v>19</v>
      </c>
      <c r="C383" s="9" t="n">
        <v>5540</v>
      </c>
      <c r="D383" s="8" t="s">
        <v>13</v>
      </c>
      <c r="E383" s="8" t="s">
        <v>111</v>
      </c>
      <c r="F383" s="8" t="str">
        <f aca="false">TEXT(A383,"MM-YYYY")</f>
        <v>02-2025</v>
      </c>
      <c r="G383" s="8" t="s">
        <v>14</v>
      </c>
      <c r="H383" s="8" t="s">
        <v>15</v>
      </c>
      <c r="I383" s="7"/>
      <c r="J383" s="8" t="str">
        <f aca="false">VLOOKUP(B383,Table3[#All],2,0)</f>
        <v>Inventory</v>
      </c>
      <c r="K383" s="8" t="str">
        <f aca="false">TEXT(ROW(), "0000")</f>
        <v>0383</v>
      </c>
      <c r="L383" s="8"/>
    </row>
    <row r="384" customFormat="false" ht="15.75" hidden="false" customHeight="true" outlineLevel="0" collapsed="false">
      <c r="A384" s="13" t="n">
        <v>45703</v>
      </c>
      <c r="B384" s="8" t="s">
        <v>16</v>
      </c>
      <c r="C384" s="9" t="n">
        <v>5244</v>
      </c>
      <c r="D384" s="8" t="s">
        <v>21</v>
      </c>
      <c r="E384" s="8" t="s">
        <v>101</v>
      </c>
      <c r="F384" s="8" t="str">
        <f aca="false">TEXT(A384,"MM-YYYY")</f>
        <v>02-2025</v>
      </c>
      <c r="G384" s="8"/>
      <c r="H384" s="8"/>
      <c r="I384" s="7"/>
      <c r="J384" s="8" t="str">
        <f aca="false">VLOOKUP(B384,Table3[#All],2,0)</f>
        <v>Sales</v>
      </c>
      <c r="K384" s="8" t="str">
        <f aca="false">TEXT(ROW(), "0000")</f>
        <v>0384</v>
      </c>
      <c r="L384" s="8"/>
    </row>
    <row r="385" customFormat="false" ht="15.75" hidden="false" customHeight="true" outlineLevel="0" collapsed="false">
      <c r="A385" s="13" t="n">
        <v>45703</v>
      </c>
      <c r="B385" s="8" t="s">
        <v>16</v>
      </c>
      <c r="C385" s="9" t="n">
        <v>2100</v>
      </c>
      <c r="D385" s="8" t="s">
        <v>59</v>
      </c>
      <c r="E385" s="8" t="s">
        <v>101</v>
      </c>
      <c r="F385" s="8" t="str">
        <f aca="false">TEXT(A385,"MM-YYYY")</f>
        <v>02-2025</v>
      </c>
      <c r="G385" s="8"/>
      <c r="H385" s="8"/>
      <c r="I385" s="7"/>
      <c r="J385" s="8" t="str">
        <f aca="false">VLOOKUP(B385,Table3[#All],2,0)</f>
        <v>Sales</v>
      </c>
      <c r="K385" s="8" t="str">
        <f aca="false">TEXT(ROW(), "0000")</f>
        <v>0385</v>
      </c>
      <c r="L385" s="8"/>
    </row>
    <row r="386" customFormat="false" ht="15.75" hidden="false" customHeight="true" outlineLevel="0" collapsed="false">
      <c r="A386" s="13" t="n">
        <v>45703</v>
      </c>
      <c r="B386" s="8" t="s">
        <v>40</v>
      </c>
      <c r="C386" s="9" t="n">
        <v>1880</v>
      </c>
      <c r="D386" s="8" t="s">
        <v>45</v>
      </c>
      <c r="E386" s="8" t="s">
        <v>138</v>
      </c>
      <c r="F386" s="8" t="str">
        <f aca="false">TEXT(A386,"MM-YYYY")</f>
        <v>02-2025</v>
      </c>
      <c r="G386" s="8" t="s">
        <v>14</v>
      </c>
      <c r="H386" s="8" t="s">
        <v>15</v>
      </c>
      <c r="I386" s="7"/>
      <c r="J386" s="8" t="str">
        <f aca="false">VLOOKUP(B386,Table3[#All],2,0)</f>
        <v>Inventory</v>
      </c>
      <c r="K386" s="8" t="str">
        <f aca="false">TEXT(ROW(), "0000")</f>
        <v>0386</v>
      </c>
      <c r="L386" s="8"/>
    </row>
    <row r="387" customFormat="false" ht="15.75" hidden="false" customHeight="true" outlineLevel="0" collapsed="false">
      <c r="A387" s="13" t="n">
        <v>45703</v>
      </c>
      <c r="B387" s="8" t="s">
        <v>16</v>
      </c>
      <c r="C387" s="9" t="n">
        <v>1685</v>
      </c>
      <c r="D387" s="8" t="s">
        <v>27</v>
      </c>
      <c r="E387" s="8" t="s">
        <v>101</v>
      </c>
      <c r="F387" s="8" t="str">
        <f aca="false">TEXT(A387,"MM-YYYY")</f>
        <v>02-2025</v>
      </c>
      <c r="G387" s="8"/>
      <c r="H387" s="8"/>
      <c r="I387" s="7"/>
      <c r="J387" s="8" t="str">
        <f aca="false">VLOOKUP(B387,Table3[#All],2,0)</f>
        <v>Sales</v>
      </c>
      <c r="K387" s="8" t="str">
        <f aca="false">TEXT(ROW(), "0000")</f>
        <v>0387</v>
      </c>
      <c r="L387" s="8"/>
    </row>
    <row r="388" customFormat="false" ht="15.75" hidden="false" customHeight="true" outlineLevel="0" collapsed="false">
      <c r="A388" s="13" t="n">
        <v>45703</v>
      </c>
      <c r="B388" s="15" t="s">
        <v>25</v>
      </c>
      <c r="C388" s="9" t="n">
        <v>1308</v>
      </c>
      <c r="D388" s="8" t="s">
        <v>13</v>
      </c>
      <c r="E388" s="8" t="s">
        <v>113</v>
      </c>
      <c r="F388" s="8" t="str">
        <f aca="false">TEXT(A388,"MM-YYYY")</f>
        <v>02-2025</v>
      </c>
      <c r="G388" s="8" t="s">
        <v>14</v>
      </c>
      <c r="H388" s="8" t="s">
        <v>15</v>
      </c>
      <c r="I388" s="7"/>
      <c r="J388" s="8" t="str">
        <f aca="false">VLOOKUP(B388,Table3[#All],2,0)</f>
        <v>Inventory</v>
      </c>
      <c r="K388" s="8" t="str">
        <f aca="false">TEXT(ROW(), "0000")</f>
        <v>0388</v>
      </c>
      <c r="L388" s="8"/>
    </row>
    <row r="389" customFormat="false" ht="15.75" hidden="false" customHeight="true" outlineLevel="0" collapsed="false">
      <c r="A389" s="13" t="n">
        <v>45703</v>
      </c>
      <c r="B389" s="8" t="s">
        <v>16</v>
      </c>
      <c r="C389" s="9" t="n">
        <v>1160</v>
      </c>
      <c r="D389" s="8" t="s">
        <v>33</v>
      </c>
      <c r="E389" s="8" t="s">
        <v>101</v>
      </c>
      <c r="F389" s="8" t="str">
        <f aca="false">TEXT(A389,"MM-YYYY")</f>
        <v>02-2025</v>
      </c>
      <c r="G389" s="8"/>
      <c r="H389" s="8"/>
      <c r="I389" s="7"/>
      <c r="J389" s="8" t="str">
        <f aca="false">VLOOKUP(B389,Table3[#All],2,0)</f>
        <v>Sales</v>
      </c>
      <c r="K389" s="8" t="str">
        <f aca="false">TEXT(ROW(), "0000")</f>
        <v>0389</v>
      </c>
      <c r="L389" s="8"/>
    </row>
    <row r="390" customFormat="false" ht="15.75" hidden="false" customHeight="true" outlineLevel="0" collapsed="false">
      <c r="A390" s="13" t="n">
        <v>45703</v>
      </c>
      <c r="B390" s="8" t="s">
        <v>16</v>
      </c>
      <c r="C390" s="9" t="n">
        <v>658</v>
      </c>
      <c r="D390" s="8" t="s">
        <v>24</v>
      </c>
      <c r="E390" s="8" t="s">
        <v>90</v>
      </c>
      <c r="F390" s="8" t="str">
        <f aca="false">TEXT(A390,"MM-YYYY")</f>
        <v>02-2025</v>
      </c>
      <c r="G390" s="8"/>
      <c r="H390" s="8"/>
      <c r="I390" s="7"/>
      <c r="J390" s="8" t="str">
        <f aca="false">VLOOKUP(B390,Table3[#All],2,0)</f>
        <v>Sales</v>
      </c>
      <c r="K390" s="8" t="str">
        <f aca="false">TEXT(ROW(), "0000")</f>
        <v>0390</v>
      </c>
      <c r="L390" s="8"/>
    </row>
    <row r="391" customFormat="false" ht="15.75" hidden="false" customHeight="true" outlineLevel="0" collapsed="false">
      <c r="A391" s="13" t="n">
        <v>45703</v>
      </c>
      <c r="B391" s="8" t="s">
        <v>32</v>
      </c>
      <c r="C391" s="9" t="n">
        <v>650</v>
      </c>
      <c r="D391" s="8" t="s">
        <v>45</v>
      </c>
      <c r="E391" s="8" t="s">
        <v>116</v>
      </c>
      <c r="F391" s="8" t="str">
        <f aca="false">TEXT(A391,"MM-YYYY")</f>
        <v>02-2025</v>
      </c>
      <c r="G391" s="8" t="s">
        <v>14</v>
      </c>
      <c r="H391" s="8" t="s">
        <v>15</v>
      </c>
      <c r="I391" s="7"/>
      <c r="J391" s="8" t="str">
        <f aca="false">VLOOKUP(B391,Table3[#All],2,0)</f>
        <v>Grocery</v>
      </c>
      <c r="K391" s="8" t="str">
        <f aca="false">TEXT(ROW(), "0000")</f>
        <v>0391</v>
      </c>
      <c r="L391" s="8"/>
    </row>
    <row r="392" customFormat="false" ht="15.75" hidden="false" customHeight="true" outlineLevel="0" collapsed="false">
      <c r="A392" s="13" t="n">
        <v>45703</v>
      </c>
      <c r="B392" s="15" t="s">
        <v>25</v>
      </c>
      <c r="C392" s="9" t="n">
        <v>550</v>
      </c>
      <c r="D392" s="8" t="s">
        <v>45</v>
      </c>
      <c r="E392" s="8" t="s">
        <v>139</v>
      </c>
      <c r="F392" s="8" t="str">
        <f aca="false">TEXT(A392,"MM-YYYY")</f>
        <v>02-2025</v>
      </c>
      <c r="G392" s="8" t="s">
        <v>14</v>
      </c>
      <c r="H392" s="8" t="s">
        <v>15</v>
      </c>
      <c r="I392" s="7"/>
      <c r="J392" s="8" t="str">
        <f aca="false">VLOOKUP(B392,Table3[#All],2,0)</f>
        <v>Inventory</v>
      </c>
      <c r="K392" s="8" t="str">
        <f aca="false">TEXT(ROW(), "0000")</f>
        <v>0392</v>
      </c>
      <c r="L392" s="8"/>
    </row>
    <row r="393" customFormat="false" ht="15.75" hidden="false" customHeight="true" outlineLevel="0" collapsed="false">
      <c r="A393" s="13" t="n">
        <v>45703</v>
      </c>
      <c r="B393" s="15" t="s">
        <v>22</v>
      </c>
      <c r="C393" s="9" t="n">
        <v>240</v>
      </c>
      <c r="D393" s="8" t="s">
        <v>45</v>
      </c>
      <c r="E393" s="8" t="s">
        <v>140</v>
      </c>
      <c r="F393" s="8" t="str">
        <f aca="false">TEXT(A393,"MM-YYYY")</f>
        <v>02-2025</v>
      </c>
      <c r="G393" s="8" t="s">
        <v>14</v>
      </c>
      <c r="H393" s="8" t="s">
        <v>15</v>
      </c>
      <c r="I393" s="7"/>
      <c r="J393" s="8" t="str">
        <f aca="false">VLOOKUP(B393,Table3[#All],2,0)</f>
        <v>Inventory</v>
      </c>
      <c r="K393" s="8" t="str">
        <f aca="false">TEXT(ROW(), "0000")</f>
        <v>0393</v>
      </c>
      <c r="L393" s="8"/>
    </row>
    <row r="394" customFormat="false" ht="15.75" hidden="false" customHeight="true" outlineLevel="0" collapsed="false">
      <c r="A394" s="13" t="n">
        <v>45703</v>
      </c>
      <c r="B394" s="15" t="s">
        <v>60</v>
      </c>
      <c r="C394" s="9" t="n">
        <v>210</v>
      </c>
      <c r="D394" s="8" t="s">
        <v>45</v>
      </c>
      <c r="E394" s="8" t="s">
        <v>136</v>
      </c>
      <c r="F394" s="8" t="str">
        <f aca="false">TEXT(A394,"MM-YYYY")</f>
        <v>02-2025</v>
      </c>
      <c r="G394" s="8" t="s">
        <v>14</v>
      </c>
      <c r="H394" s="8" t="s">
        <v>15</v>
      </c>
      <c r="I394" s="7"/>
      <c r="J394" s="8" t="str">
        <f aca="false">VLOOKUP(B394,Table3[#All],2,0)</f>
        <v>Inventory</v>
      </c>
      <c r="K394" s="8" t="str">
        <f aca="false">TEXT(ROW(), "0000")</f>
        <v>0394</v>
      </c>
      <c r="L394" s="8"/>
    </row>
    <row r="395" customFormat="false" ht="15.75" hidden="false" customHeight="true" outlineLevel="0" collapsed="false">
      <c r="A395" s="13" t="n">
        <v>45703</v>
      </c>
      <c r="B395" s="15" t="s">
        <v>34</v>
      </c>
      <c r="C395" s="9" t="n">
        <v>105</v>
      </c>
      <c r="D395" s="8" t="s">
        <v>45</v>
      </c>
      <c r="E395" s="8" t="s">
        <v>104</v>
      </c>
      <c r="F395" s="8" t="str">
        <f aca="false">TEXT(A395,"MM-YYYY")</f>
        <v>02-2025</v>
      </c>
      <c r="G395" s="8" t="s">
        <v>14</v>
      </c>
      <c r="H395" s="8" t="s">
        <v>15</v>
      </c>
      <c r="I395" s="7"/>
      <c r="J395" s="8" t="str">
        <f aca="false">VLOOKUP(B395,Table3[#All],2,0)</f>
        <v>Staff Expenses</v>
      </c>
      <c r="K395" s="8" t="str">
        <f aca="false">TEXT(ROW(), "0000")</f>
        <v>0395</v>
      </c>
      <c r="L395" s="8"/>
    </row>
    <row r="396" customFormat="false" ht="15.75" hidden="false" customHeight="true" outlineLevel="0" collapsed="false">
      <c r="A396" s="13" t="n">
        <v>45703</v>
      </c>
      <c r="B396" s="15" t="s">
        <v>25</v>
      </c>
      <c r="C396" s="9" t="n">
        <v>100</v>
      </c>
      <c r="D396" s="8" t="s">
        <v>45</v>
      </c>
      <c r="E396" s="8" t="s">
        <v>141</v>
      </c>
      <c r="F396" s="8" t="str">
        <f aca="false">TEXT(A396,"MM-YYYY")</f>
        <v>02-2025</v>
      </c>
      <c r="G396" s="8" t="s">
        <v>14</v>
      </c>
      <c r="H396" s="8" t="s">
        <v>15</v>
      </c>
      <c r="I396" s="7"/>
      <c r="J396" s="8" t="str">
        <f aca="false">VLOOKUP(B396,Table3[#All],2,0)</f>
        <v>Inventory</v>
      </c>
      <c r="K396" s="8" t="str">
        <f aca="false">TEXT(ROW(), "0000")</f>
        <v>0396</v>
      </c>
      <c r="L396" s="8"/>
    </row>
    <row r="397" customFormat="false" ht="15.75" hidden="false" customHeight="true" outlineLevel="0" collapsed="false">
      <c r="A397" s="13" t="n">
        <v>45703</v>
      </c>
      <c r="B397" s="15" t="s">
        <v>25</v>
      </c>
      <c r="C397" s="9" t="n">
        <v>56</v>
      </c>
      <c r="D397" s="8" t="s">
        <v>45</v>
      </c>
      <c r="E397" s="8" t="s">
        <v>105</v>
      </c>
      <c r="F397" s="8" t="str">
        <f aca="false">TEXT(A397,"MM-YYYY")</f>
        <v>02-2025</v>
      </c>
      <c r="G397" s="8" t="s">
        <v>14</v>
      </c>
      <c r="H397" s="8" t="s">
        <v>15</v>
      </c>
      <c r="I397" s="7"/>
      <c r="J397" s="8" t="str">
        <f aca="false">VLOOKUP(B397,Table3[#All],2,0)</f>
        <v>Inventory</v>
      </c>
      <c r="K397" s="8" t="str">
        <f aca="false">TEXT(ROW(), "0000")</f>
        <v>0397</v>
      </c>
      <c r="L397" s="8"/>
    </row>
    <row r="398" customFormat="false" ht="15.75" hidden="false" customHeight="true" outlineLevel="0" collapsed="false">
      <c r="A398" s="13" t="n">
        <v>45703</v>
      </c>
      <c r="B398" s="15" t="s">
        <v>37</v>
      </c>
      <c r="C398" s="9" t="n">
        <v>30</v>
      </c>
      <c r="D398" s="8" t="s">
        <v>21</v>
      </c>
      <c r="E398" s="8" t="s">
        <v>122</v>
      </c>
      <c r="F398" s="8" t="str">
        <f aca="false">TEXT(A398,"MM-YYYY")</f>
        <v>02-2025</v>
      </c>
      <c r="G398" s="8" t="s">
        <v>14</v>
      </c>
      <c r="H398" s="8" t="s">
        <v>15</v>
      </c>
      <c r="I398" s="7"/>
      <c r="J398" s="8" t="str">
        <f aca="false">VLOOKUP(B398,Table3[#All],2,0)</f>
        <v>Maintance</v>
      </c>
      <c r="K398" s="8" t="str">
        <f aca="false">TEXT(ROW(), "0000")</f>
        <v>0398</v>
      </c>
      <c r="L398" s="8"/>
    </row>
    <row r="399" customFormat="false" ht="15.75" hidden="false" customHeight="true" outlineLevel="0" collapsed="false">
      <c r="A399" s="13" t="n">
        <v>45704</v>
      </c>
      <c r="B399" s="8" t="s">
        <v>16</v>
      </c>
      <c r="C399" s="9" t="n">
        <v>17085</v>
      </c>
      <c r="D399" s="8" t="s">
        <v>17</v>
      </c>
      <c r="E399" s="8" t="s">
        <v>101</v>
      </c>
      <c r="F399" s="8" t="str">
        <f aca="false">TEXT(A399,"MM-YYYY")</f>
        <v>02-2025</v>
      </c>
      <c r="G399" s="8"/>
      <c r="H399" s="8"/>
      <c r="I399" s="7"/>
      <c r="J399" s="8" t="str">
        <f aca="false">VLOOKUP(B399,Table3[#All],2,0)</f>
        <v>Sales</v>
      </c>
      <c r="K399" s="8" t="str">
        <f aca="false">TEXT(ROW(), "0000")</f>
        <v>0399</v>
      </c>
      <c r="L399" s="8"/>
    </row>
    <row r="400" customFormat="false" ht="15.75" hidden="false" customHeight="true" outlineLevel="0" collapsed="false">
      <c r="A400" s="13" t="n">
        <v>45704</v>
      </c>
      <c r="B400" s="8" t="s">
        <v>19</v>
      </c>
      <c r="C400" s="9" t="n">
        <v>4239</v>
      </c>
      <c r="D400" s="8" t="s">
        <v>13</v>
      </c>
      <c r="E400" s="8" t="s">
        <v>111</v>
      </c>
      <c r="F400" s="8" t="str">
        <f aca="false">TEXT(A400,"MM-YYYY")</f>
        <v>02-2025</v>
      </c>
      <c r="G400" s="8" t="s">
        <v>14</v>
      </c>
      <c r="H400" s="8" t="s">
        <v>15</v>
      </c>
      <c r="I400" s="7"/>
      <c r="J400" s="8" t="str">
        <f aca="false">VLOOKUP(B400,Table3[#All],2,0)</f>
        <v>Inventory</v>
      </c>
      <c r="K400" s="8" t="str">
        <f aca="false">TEXT(ROW(), "0000")</f>
        <v>0400</v>
      </c>
      <c r="L400" s="8"/>
    </row>
    <row r="401" customFormat="false" ht="15.75" hidden="false" customHeight="true" outlineLevel="0" collapsed="false">
      <c r="A401" s="13" t="n">
        <v>45704</v>
      </c>
      <c r="B401" s="8" t="s">
        <v>22</v>
      </c>
      <c r="C401" s="9" t="n">
        <v>3592</v>
      </c>
      <c r="D401" s="8" t="s">
        <v>13</v>
      </c>
      <c r="E401" s="8" t="s">
        <v>135</v>
      </c>
      <c r="F401" s="8" t="str">
        <f aca="false">TEXT(A401,"MM-YYYY")</f>
        <v>02-2025</v>
      </c>
      <c r="G401" s="8" t="s">
        <v>14</v>
      </c>
      <c r="H401" s="8" t="s">
        <v>15</v>
      </c>
      <c r="I401" s="7"/>
      <c r="J401" s="8" t="str">
        <f aca="false">VLOOKUP(B401,Table3[#All],2,0)</f>
        <v>Inventory</v>
      </c>
      <c r="K401" s="8" t="str">
        <f aca="false">TEXT(ROW(), "0000")</f>
        <v>0401</v>
      </c>
      <c r="L401" s="8"/>
    </row>
    <row r="402" customFormat="false" ht="15.75" hidden="false" customHeight="true" outlineLevel="0" collapsed="false">
      <c r="A402" s="13" t="n">
        <v>45704</v>
      </c>
      <c r="B402" s="8" t="s">
        <v>51</v>
      </c>
      <c r="C402" s="9" t="n">
        <v>3415</v>
      </c>
      <c r="D402" s="8" t="s">
        <v>13</v>
      </c>
      <c r="E402" s="8" t="s">
        <v>114</v>
      </c>
      <c r="F402" s="8" t="str">
        <f aca="false">TEXT(A402,"MM-YYYY")</f>
        <v>02-2025</v>
      </c>
      <c r="G402" s="8" t="s">
        <v>14</v>
      </c>
      <c r="H402" s="8" t="s">
        <v>15</v>
      </c>
      <c r="I402" s="7"/>
      <c r="J402" s="8" t="str">
        <f aca="false">VLOOKUP(B402,Table3[#All],2,0)</f>
        <v>Inventory</v>
      </c>
      <c r="K402" s="8" t="str">
        <f aca="false">TEXT(ROW(), "0000")</f>
        <v>0402</v>
      </c>
      <c r="L402" s="8"/>
    </row>
    <row r="403" customFormat="false" ht="15.75" hidden="false" customHeight="true" outlineLevel="0" collapsed="false">
      <c r="A403" s="13" t="n">
        <v>45704</v>
      </c>
      <c r="B403" s="8" t="s">
        <v>22</v>
      </c>
      <c r="C403" s="9" t="n">
        <v>2585</v>
      </c>
      <c r="D403" s="8" t="s">
        <v>13</v>
      </c>
      <c r="E403" s="8" t="s">
        <v>135</v>
      </c>
      <c r="F403" s="8" t="str">
        <f aca="false">TEXT(A403,"MM-YYYY")</f>
        <v>02-2025</v>
      </c>
      <c r="G403" s="8" t="s">
        <v>14</v>
      </c>
      <c r="H403" s="8" t="s">
        <v>15</v>
      </c>
      <c r="I403" s="7"/>
      <c r="J403" s="8" t="str">
        <f aca="false">VLOOKUP(B403,Table3[#All],2,0)</f>
        <v>Inventory</v>
      </c>
      <c r="K403" s="8" t="str">
        <f aca="false">TEXT(ROW(), "0000")</f>
        <v>0403</v>
      </c>
      <c r="L403" s="8"/>
    </row>
    <row r="404" customFormat="false" ht="15.75" hidden="false" customHeight="true" outlineLevel="0" collapsed="false">
      <c r="A404" s="13" t="n">
        <v>45704</v>
      </c>
      <c r="B404" s="8" t="s">
        <v>16</v>
      </c>
      <c r="C404" s="9" t="n">
        <v>2335</v>
      </c>
      <c r="D404" s="8" t="s">
        <v>21</v>
      </c>
      <c r="E404" s="8" t="s">
        <v>101</v>
      </c>
      <c r="F404" s="8" t="str">
        <f aca="false">TEXT(A404,"MM-YYYY")</f>
        <v>02-2025</v>
      </c>
      <c r="G404" s="8"/>
      <c r="H404" s="8"/>
      <c r="I404" s="7"/>
      <c r="J404" s="8" t="str">
        <f aca="false">VLOOKUP(B404,Table3[#All],2,0)</f>
        <v>Sales</v>
      </c>
      <c r="K404" s="8" t="str">
        <f aca="false">TEXT(ROW(), "0000")</f>
        <v>0404</v>
      </c>
      <c r="L404" s="8"/>
    </row>
    <row r="405" customFormat="false" ht="15.75" hidden="false" customHeight="true" outlineLevel="0" collapsed="false">
      <c r="A405" s="13" t="n">
        <v>45704</v>
      </c>
      <c r="B405" s="8" t="s">
        <v>40</v>
      </c>
      <c r="C405" s="9" t="n">
        <v>2220</v>
      </c>
      <c r="D405" s="8" t="s">
        <v>45</v>
      </c>
      <c r="E405" s="8" t="s">
        <v>142</v>
      </c>
      <c r="F405" s="8" t="str">
        <f aca="false">TEXT(A405,"MM-YYYY")</f>
        <v>02-2025</v>
      </c>
      <c r="G405" s="8" t="s">
        <v>14</v>
      </c>
      <c r="H405" s="8" t="s">
        <v>15</v>
      </c>
      <c r="I405" s="7"/>
      <c r="J405" s="8" t="str">
        <f aca="false">VLOOKUP(B405,Table3[#All],2,0)</f>
        <v>Inventory</v>
      </c>
      <c r="K405" s="8" t="str">
        <f aca="false">TEXT(ROW(), "0000")</f>
        <v>0405</v>
      </c>
      <c r="L405" s="8"/>
    </row>
    <row r="406" customFormat="false" ht="15.75" hidden="false" customHeight="true" outlineLevel="0" collapsed="false">
      <c r="A406" s="13" t="n">
        <v>45704</v>
      </c>
      <c r="B406" s="8" t="s">
        <v>16</v>
      </c>
      <c r="C406" s="9" t="n">
        <v>1960</v>
      </c>
      <c r="D406" s="8" t="s">
        <v>24</v>
      </c>
      <c r="E406" s="8" t="s">
        <v>90</v>
      </c>
      <c r="F406" s="8" t="str">
        <f aca="false">TEXT(A406,"MM-YYYY")</f>
        <v>02-2025</v>
      </c>
      <c r="G406" s="8"/>
      <c r="H406" s="8"/>
      <c r="I406" s="7"/>
      <c r="J406" s="8" t="str">
        <f aca="false">VLOOKUP(B406,Table3[#All],2,0)</f>
        <v>Sales</v>
      </c>
      <c r="K406" s="8" t="str">
        <f aca="false">TEXT(ROW(), "0000")</f>
        <v>0406</v>
      </c>
      <c r="L406" s="8"/>
    </row>
    <row r="407" customFormat="false" ht="15.75" hidden="false" customHeight="true" outlineLevel="0" collapsed="false">
      <c r="A407" s="13" t="n">
        <v>45704</v>
      </c>
      <c r="B407" s="8" t="s">
        <v>25</v>
      </c>
      <c r="C407" s="9" t="n">
        <v>1336</v>
      </c>
      <c r="D407" s="8" t="s">
        <v>13</v>
      </c>
      <c r="E407" s="8" t="s">
        <v>113</v>
      </c>
      <c r="F407" s="8" t="str">
        <f aca="false">TEXT(A407,"MM-YYYY")</f>
        <v>02-2025</v>
      </c>
      <c r="G407" s="8" t="s">
        <v>14</v>
      </c>
      <c r="H407" s="8" t="s">
        <v>15</v>
      </c>
      <c r="I407" s="7"/>
      <c r="J407" s="8" t="str">
        <f aca="false">VLOOKUP(B407,Table3[#All],2,0)</f>
        <v>Inventory</v>
      </c>
      <c r="K407" s="8" t="str">
        <f aca="false">TEXT(ROW(), "0000")</f>
        <v>0407</v>
      </c>
      <c r="L407" s="8"/>
    </row>
    <row r="408" customFormat="false" ht="15.75" hidden="false" customHeight="true" outlineLevel="0" collapsed="false">
      <c r="A408" s="13" t="n">
        <v>45704</v>
      </c>
      <c r="B408" s="8" t="s">
        <v>16</v>
      </c>
      <c r="C408" s="9" t="n">
        <v>1055</v>
      </c>
      <c r="D408" s="8" t="s">
        <v>27</v>
      </c>
      <c r="E408" s="8" t="s">
        <v>101</v>
      </c>
      <c r="F408" s="8" t="str">
        <f aca="false">TEXT(A408,"MM-YYYY")</f>
        <v>02-2025</v>
      </c>
      <c r="G408" s="8"/>
      <c r="H408" s="8"/>
      <c r="I408" s="7"/>
      <c r="J408" s="8" t="str">
        <f aca="false">VLOOKUP(B408,Table3[#All],2,0)</f>
        <v>Sales</v>
      </c>
      <c r="K408" s="8" t="str">
        <f aca="false">TEXT(ROW(), "0000")</f>
        <v>0408</v>
      </c>
      <c r="L408" s="8"/>
    </row>
    <row r="409" customFormat="false" ht="15.75" hidden="false" customHeight="true" outlineLevel="0" collapsed="false">
      <c r="A409" s="13" t="n">
        <v>45704</v>
      </c>
      <c r="B409" s="8" t="s">
        <v>29</v>
      </c>
      <c r="C409" s="9" t="n">
        <v>629</v>
      </c>
      <c r="D409" s="8" t="s">
        <v>13</v>
      </c>
      <c r="E409" s="8" t="s">
        <v>117</v>
      </c>
      <c r="F409" s="8" t="str">
        <f aca="false">TEXT(A409,"MM-YYYY")</f>
        <v>02-2025</v>
      </c>
      <c r="G409" s="8" t="s">
        <v>14</v>
      </c>
      <c r="H409" s="8" t="s">
        <v>15</v>
      </c>
      <c r="I409" s="7"/>
      <c r="J409" s="8" t="str">
        <f aca="false">VLOOKUP(B409,Table3[#All],2,0)</f>
        <v>Inventory</v>
      </c>
      <c r="K409" s="8" t="str">
        <f aca="false">TEXT(ROW(), "0000")</f>
        <v>0409</v>
      </c>
      <c r="L409" s="8"/>
    </row>
    <row r="410" customFormat="false" ht="15.75" hidden="false" customHeight="true" outlineLevel="0" collapsed="false">
      <c r="A410" s="13" t="n">
        <v>45704</v>
      </c>
      <c r="B410" s="8" t="s">
        <v>29</v>
      </c>
      <c r="C410" s="9" t="n">
        <v>595</v>
      </c>
      <c r="D410" s="8" t="s">
        <v>13</v>
      </c>
      <c r="E410" s="8" t="s">
        <v>117</v>
      </c>
      <c r="F410" s="8" t="str">
        <f aca="false">TEXT(A410,"MM-YYYY")</f>
        <v>02-2025</v>
      </c>
      <c r="G410" s="8" t="s">
        <v>14</v>
      </c>
      <c r="H410" s="8" t="s">
        <v>15</v>
      </c>
      <c r="I410" s="7"/>
      <c r="J410" s="8" t="str">
        <f aca="false">VLOOKUP(B410,Table3[#All],2,0)</f>
        <v>Inventory</v>
      </c>
      <c r="K410" s="8" t="str">
        <f aca="false">TEXT(ROW(), "0000")</f>
        <v>0410</v>
      </c>
      <c r="L410" s="8"/>
    </row>
    <row r="411" customFormat="false" ht="15.75" hidden="false" customHeight="true" outlineLevel="0" collapsed="false">
      <c r="A411" s="13" t="n">
        <v>45704</v>
      </c>
      <c r="B411" s="8" t="s">
        <v>29</v>
      </c>
      <c r="C411" s="9" t="n">
        <v>515</v>
      </c>
      <c r="D411" s="8" t="s">
        <v>13</v>
      </c>
      <c r="E411" s="8" t="s">
        <v>117</v>
      </c>
      <c r="F411" s="8" t="str">
        <f aca="false">TEXT(A411,"MM-YYYY")</f>
        <v>02-2025</v>
      </c>
      <c r="G411" s="8" t="s">
        <v>14</v>
      </c>
      <c r="H411" s="8" t="s">
        <v>15</v>
      </c>
      <c r="I411" s="7"/>
      <c r="J411" s="8" t="str">
        <f aca="false">VLOOKUP(B411,Table3[#All],2,0)</f>
        <v>Inventory</v>
      </c>
      <c r="K411" s="8" t="str">
        <f aca="false">TEXT(ROW(), "0000")</f>
        <v>0411</v>
      </c>
      <c r="L411" s="8"/>
    </row>
    <row r="412" customFormat="false" ht="15.75" hidden="false" customHeight="true" outlineLevel="0" collapsed="false">
      <c r="A412" s="13" t="n">
        <v>45704</v>
      </c>
      <c r="B412" s="8" t="s">
        <v>31</v>
      </c>
      <c r="C412" s="9" t="n">
        <v>400</v>
      </c>
      <c r="D412" s="8" t="s">
        <v>45</v>
      </c>
      <c r="E412" s="8"/>
      <c r="F412" s="8" t="str">
        <f aca="false">TEXT(A412,"MM-YYYY")</f>
        <v>02-2025</v>
      </c>
      <c r="G412" s="8" t="s">
        <v>14</v>
      </c>
      <c r="H412" s="8" t="s">
        <v>15</v>
      </c>
      <c r="I412" s="7"/>
      <c r="J412" s="8" t="str">
        <f aca="false">VLOOKUP(B412,Table3[#All],2,0)</f>
        <v>Bike Maintance</v>
      </c>
      <c r="K412" s="8" t="str">
        <f aca="false">TEXT(ROW(), "0000")</f>
        <v>0412</v>
      </c>
      <c r="L412" s="8"/>
    </row>
    <row r="413" customFormat="false" ht="15.75" hidden="false" customHeight="true" outlineLevel="0" collapsed="false">
      <c r="A413" s="13" t="n">
        <v>45704</v>
      </c>
      <c r="B413" s="8" t="s">
        <v>34</v>
      </c>
      <c r="C413" s="9" t="n">
        <v>115</v>
      </c>
      <c r="D413" s="8" t="s">
        <v>45</v>
      </c>
      <c r="E413" s="8" t="s">
        <v>104</v>
      </c>
      <c r="F413" s="8" t="str">
        <f aca="false">TEXT(A413,"MM-YYYY")</f>
        <v>02-2025</v>
      </c>
      <c r="G413" s="8" t="s">
        <v>14</v>
      </c>
      <c r="H413" s="8" t="s">
        <v>15</v>
      </c>
      <c r="I413" s="7"/>
      <c r="J413" s="8" t="str">
        <f aca="false">VLOOKUP(B413,Table3[#All],2,0)</f>
        <v>Staff Expenses</v>
      </c>
      <c r="K413" s="8" t="str">
        <f aca="false">TEXT(ROW(), "0000")</f>
        <v>0413</v>
      </c>
      <c r="L413" s="8"/>
    </row>
    <row r="414" customFormat="false" ht="15.75" hidden="false" customHeight="true" outlineLevel="0" collapsed="false">
      <c r="A414" s="13" t="n">
        <v>45704</v>
      </c>
      <c r="B414" s="8" t="s">
        <v>43</v>
      </c>
      <c r="C414" s="9" t="n">
        <v>80</v>
      </c>
      <c r="D414" s="8" t="s">
        <v>45</v>
      </c>
      <c r="E414" s="8" t="s">
        <v>143</v>
      </c>
      <c r="F414" s="8" t="str">
        <f aca="false">TEXT(A414,"MM-YYYY")</f>
        <v>02-2025</v>
      </c>
      <c r="G414" s="8" t="s">
        <v>14</v>
      </c>
      <c r="H414" s="8" t="s">
        <v>15</v>
      </c>
      <c r="I414" s="7"/>
      <c r="J414" s="8" t="str">
        <f aca="false">VLOOKUP(B414,Table3[#All],2,0)</f>
        <v>Maintance</v>
      </c>
      <c r="K414" s="8" t="str">
        <f aca="false">TEXT(ROW(), "0000")</f>
        <v>0414</v>
      </c>
      <c r="L414" s="8"/>
    </row>
    <row r="415" customFormat="false" ht="15.75" hidden="false" customHeight="true" outlineLevel="0" collapsed="false">
      <c r="A415" s="13" t="n">
        <v>45704</v>
      </c>
      <c r="B415" s="8" t="s">
        <v>16</v>
      </c>
      <c r="C415" s="9" t="n">
        <v>69</v>
      </c>
      <c r="D415" s="8" t="s">
        <v>33</v>
      </c>
      <c r="E415" s="8" t="s">
        <v>101</v>
      </c>
      <c r="F415" s="8" t="str">
        <f aca="false">TEXT(A415,"MM-YYYY")</f>
        <v>02-2025</v>
      </c>
      <c r="G415" s="8"/>
      <c r="H415" s="8"/>
      <c r="I415" s="7"/>
      <c r="J415" s="8" t="str">
        <f aca="false">VLOOKUP(B415,Table3[#All],2,0)</f>
        <v>Sales</v>
      </c>
      <c r="K415" s="8" t="str">
        <f aca="false">TEXT(ROW(), "0000")</f>
        <v>0415</v>
      </c>
      <c r="L415" s="8"/>
    </row>
    <row r="416" customFormat="false" ht="15.75" hidden="false" customHeight="true" outlineLevel="0" collapsed="false">
      <c r="A416" s="13" t="n">
        <v>45704</v>
      </c>
      <c r="B416" s="8" t="s">
        <v>37</v>
      </c>
      <c r="C416" s="9" t="n">
        <v>30</v>
      </c>
      <c r="D416" s="8" t="s">
        <v>21</v>
      </c>
      <c r="E416" s="8" t="s">
        <v>122</v>
      </c>
      <c r="F416" s="8" t="str">
        <f aca="false">TEXT(A416,"MM-YYYY")</f>
        <v>02-2025</v>
      </c>
      <c r="G416" s="8" t="s">
        <v>14</v>
      </c>
      <c r="H416" s="8" t="s">
        <v>15</v>
      </c>
      <c r="I416" s="7"/>
      <c r="J416" s="8" t="str">
        <f aca="false">VLOOKUP(B416,Table3[#All],2,0)</f>
        <v>Maintance</v>
      </c>
      <c r="K416" s="8" t="str">
        <f aca="false">TEXT(ROW(), "0000")</f>
        <v>0416</v>
      </c>
      <c r="L416" s="8"/>
    </row>
    <row r="417" customFormat="false" ht="15.75" hidden="false" customHeight="true" outlineLevel="0" collapsed="false">
      <c r="A417" s="13" t="n">
        <v>45705</v>
      </c>
      <c r="B417" s="8" t="s">
        <v>16</v>
      </c>
      <c r="C417" s="9" t="n">
        <v>8353</v>
      </c>
      <c r="D417" s="8" t="s">
        <v>17</v>
      </c>
      <c r="E417" s="8" t="s">
        <v>101</v>
      </c>
      <c r="F417" s="8" t="str">
        <f aca="false">TEXT(A417,"MM-YYYY")</f>
        <v>02-2025</v>
      </c>
      <c r="G417" s="8"/>
      <c r="H417" s="8"/>
      <c r="I417" s="7"/>
      <c r="J417" s="8" t="str">
        <f aca="false">VLOOKUP(B417,Table3[#All],2,0)</f>
        <v>Sales</v>
      </c>
      <c r="K417" s="8" t="str">
        <f aca="false">TEXT(ROW(), "0000")</f>
        <v>0417</v>
      </c>
      <c r="L417" s="8"/>
    </row>
    <row r="418" customFormat="false" ht="15.75" hidden="false" customHeight="true" outlineLevel="0" collapsed="false">
      <c r="A418" s="13" t="n">
        <v>45705</v>
      </c>
      <c r="B418" s="8" t="s">
        <v>29</v>
      </c>
      <c r="C418" s="9" t="n">
        <v>3572</v>
      </c>
      <c r="D418" s="8" t="s">
        <v>45</v>
      </c>
      <c r="E418" s="8" t="s">
        <v>144</v>
      </c>
      <c r="F418" s="8" t="str">
        <f aca="false">TEXT(A418,"MM-YYYY")</f>
        <v>02-2025</v>
      </c>
      <c r="G418" s="8" t="s">
        <v>14</v>
      </c>
      <c r="H418" s="8" t="s">
        <v>15</v>
      </c>
      <c r="I418" s="7"/>
      <c r="J418" s="8" t="str">
        <f aca="false">VLOOKUP(B418,Table3[#All],2,0)</f>
        <v>Inventory</v>
      </c>
      <c r="K418" s="8" t="str">
        <f aca="false">TEXT(ROW(), "0000")</f>
        <v>0418</v>
      </c>
      <c r="L418" s="8"/>
    </row>
    <row r="419" customFormat="false" ht="15.75" hidden="false" customHeight="true" outlineLevel="0" collapsed="false">
      <c r="A419" s="13" t="n">
        <v>45705</v>
      </c>
      <c r="B419" s="8" t="s">
        <v>16</v>
      </c>
      <c r="C419" s="9" t="n">
        <v>2580</v>
      </c>
      <c r="D419" s="8" t="s">
        <v>24</v>
      </c>
      <c r="E419" s="8" t="s">
        <v>101</v>
      </c>
      <c r="F419" s="8" t="str">
        <f aca="false">TEXT(A419,"MM-YYYY")</f>
        <v>02-2025</v>
      </c>
      <c r="G419" s="8"/>
      <c r="H419" s="8"/>
      <c r="I419" s="7"/>
      <c r="J419" s="8" t="str">
        <f aca="false">VLOOKUP(B419,Table3[#All],2,0)</f>
        <v>Sales</v>
      </c>
      <c r="K419" s="8" t="str">
        <f aca="false">TEXT(ROW(), "0000")</f>
        <v>0419</v>
      </c>
      <c r="L419" s="8"/>
    </row>
    <row r="420" customFormat="false" ht="15.75" hidden="false" customHeight="true" outlineLevel="0" collapsed="false">
      <c r="A420" s="13" t="n">
        <v>45705</v>
      </c>
      <c r="B420" s="8" t="s">
        <v>16</v>
      </c>
      <c r="C420" s="9" t="n">
        <v>2465</v>
      </c>
      <c r="D420" s="8" t="s">
        <v>21</v>
      </c>
      <c r="E420" s="8" t="s">
        <v>101</v>
      </c>
      <c r="F420" s="8" t="str">
        <f aca="false">TEXT(A420,"MM-YYYY")</f>
        <v>02-2025</v>
      </c>
      <c r="G420" s="8"/>
      <c r="H420" s="8"/>
      <c r="I420" s="7"/>
      <c r="J420" s="8" t="str">
        <f aca="false">VLOOKUP(B420,Table3[#All],2,0)</f>
        <v>Sales</v>
      </c>
      <c r="K420" s="8" t="str">
        <f aca="false">TEXT(ROW(), "0000")</f>
        <v>0420</v>
      </c>
      <c r="L420" s="8"/>
    </row>
    <row r="421" customFormat="false" ht="15.75" hidden="false" customHeight="true" outlineLevel="0" collapsed="false">
      <c r="A421" s="13" t="n">
        <v>45705</v>
      </c>
      <c r="B421" s="8" t="s">
        <v>19</v>
      </c>
      <c r="C421" s="9" t="n">
        <v>2323</v>
      </c>
      <c r="D421" s="8" t="s">
        <v>13</v>
      </c>
      <c r="E421" s="8" t="s">
        <v>111</v>
      </c>
      <c r="F421" s="8" t="str">
        <f aca="false">TEXT(A421,"MM-YYYY")</f>
        <v>02-2025</v>
      </c>
      <c r="G421" s="8" t="s">
        <v>14</v>
      </c>
      <c r="H421" s="8" t="s">
        <v>15</v>
      </c>
      <c r="I421" s="7"/>
      <c r="J421" s="8" t="str">
        <f aca="false">VLOOKUP(B421,Table3[#All],2,0)</f>
        <v>Inventory</v>
      </c>
      <c r="K421" s="8" t="str">
        <f aca="false">TEXT(ROW(), "0000")</f>
        <v>0421</v>
      </c>
      <c r="L421" s="8"/>
    </row>
    <row r="422" customFormat="false" ht="15.75" hidden="false" customHeight="true" outlineLevel="0" collapsed="false">
      <c r="A422" s="13" t="n">
        <v>45705</v>
      </c>
      <c r="B422" s="8" t="s">
        <v>28</v>
      </c>
      <c r="C422" s="9" t="n">
        <v>727</v>
      </c>
      <c r="D422" s="8" t="s">
        <v>45</v>
      </c>
      <c r="E422" s="8" t="s">
        <v>127</v>
      </c>
      <c r="F422" s="8" t="str">
        <f aca="false">TEXT(A422,"MM-YYYY")</f>
        <v>02-2025</v>
      </c>
      <c r="G422" s="8" t="s">
        <v>14</v>
      </c>
      <c r="H422" s="8" t="s">
        <v>15</v>
      </c>
      <c r="I422" s="7"/>
      <c r="J422" s="8" t="str">
        <f aca="false">VLOOKUP(B422,Table3[#All],2,0)</f>
        <v>Grocery</v>
      </c>
      <c r="K422" s="8" t="str">
        <f aca="false">TEXT(ROW(), "0000")</f>
        <v>0422</v>
      </c>
      <c r="L422" s="8"/>
    </row>
    <row r="423" customFormat="false" ht="15.75" hidden="false" customHeight="true" outlineLevel="0" collapsed="false">
      <c r="A423" s="13" t="n">
        <v>45705</v>
      </c>
      <c r="B423" s="8" t="s">
        <v>25</v>
      </c>
      <c r="C423" s="9" t="n">
        <v>626</v>
      </c>
      <c r="D423" s="8" t="s">
        <v>13</v>
      </c>
      <c r="E423" s="8" t="s">
        <v>113</v>
      </c>
      <c r="F423" s="8" t="str">
        <f aca="false">TEXT(A423,"MM-YYYY")</f>
        <v>02-2025</v>
      </c>
      <c r="G423" s="8" t="s">
        <v>14</v>
      </c>
      <c r="H423" s="8" t="s">
        <v>15</v>
      </c>
      <c r="I423" s="7"/>
      <c r="J423" s="8" t="str">
        <f aca="false">VLOOKUP(B423,Table3[#All],2,0)</f>
        <v>Inventory</v>
      </c>
      <c r="K423" s="8" t="str">
        <f aca="false">TEXT(ROW(), "0000")</f>
        <v>0423</v>
      </c>
      <c r="L423" s="8"/>
    </row>
    <row r="424" customFormat="false" ht="15.75" hidden="false" customHeight="true" outlineLevel="0" collapsed="false">
      <c r="A424" s="13" t="n">
        <v>45705</v>
      </c>
      <c r="B424" s="8" t="s">
        <v>29</v>
      </c>
      <c r="C424" s="9" t="n">
        <v>466</v>
      </c>
      <c r="D424" s="8" t="s">
        <v>13</v>
      </c>
      <c r="E424" s="8" t="s">
        <v>117</v>
      </c>
      <c r="F424" s="8" t="str">
        <f aca="false">TEXT(A424,"MM-YYYY")</f>
        <v>02-2025</v>
      </c>
      <c r="G424" s="8" t="s">
        <v>14</v>
      </c>
      <c r="H424" s="8" t="s">
        <v>15</v>
      </c>
      <c r="I424" s="7"/>
      <c r="J424" s="8" t="str">
        <f aca="false">VLOOKUP(B424,Table3[#All],2,0)</f>
        <v>Inventory</v>
      </c>
      <c r="K424" s="8" t="str">
        <f aca="false">TEXT(ROW(), "0000")</f>
        <v>0424</v>
      </c>
      <c r="L424" s="8"/>
    </row>
    <row r="425" customFormat="false" ht="15.75" hidden="false" customHeight="true" outlineLevel="0" collapsed="false">
      <c r="A425" s="13" t="n">
        <v>45705</v>
      </c>
      <c r="B425" s="8" t="s">
        <v>16</v>
      </c>
      <c r="C425" s="9" t="n">
        <v>320</v>
      </c>
      <c r="D425" s="8" t="s">
        <v>33</v>
      </c>
      <c r="E425" s="8" t="s">
        <v>101</v>
      </c>
      <c r="F425" s="8" t="str">
        <f aca="false">TEXT(A425,"MM-YYYY")</f>
        <v>02-2025</v>
      </c>
      <c r="G425" s="8"/>
      <c r="H425" s="8"/>
      <c r="I425" s="7"/>
      <c r="J425" s="8" t="str">
        <f aca="false">VLOOKUP(B425,Table3[#All],2,0)</f>
        <v>Sales</v>
      </c>
      <c r="K425" s="8" t="str">
        <f aca="false">TEXT(ROW(), "0000")</f>
        <v>0425</v>
      </c>
      <c r="L425" s="8"/>
    </row>
    <row r="426" customFormat="false" ht="15.75" hidden="false" customHeight="true" outlineLevel="0" collapsed="false">
      <c r="A426" s="13" t="n">
        <v>45705</v>
      </c>
      <c r="B426" s="8" t="s">
        <v>25</v>
      </c>
      <c r="C426" s="9" t="n">
        <v>116</v>
      </c>
      <c r="D426" s="8" t="s">
        <v>45</v>
      </c>
      <c r="E426" s="8" t="s">
        <v>105</v>
      </c>
      <c r="F426" s="8" t="str">
        <f aca="false">TEXT(A426,"MM-YYYY")</f>
        <v>02-2025</v>
      </c>
      <c r="G426" s="8" t="s">
        <v>14</v>
      </c>
      <c r="H426" s="8" t="s">
        <v>15</v>
      </c>
      <c r="I426" s="7"/>
      <c r="J426" s="8" t="str">
        <f aca="false">VLOOKUP(B426,Table3[#All],2,0)</f>
        <v>Inventory</v>
      </c>
      <c r="K426" s="8" t="str">
        <f aca="false">TEXT(ROW(), "0000")</f>
        <v>0426</v>
      </c>
      <c r="L426" s="8"/>
    </row>
    <row r="427" customFormat="false" ht="15.75" hidden="false" customHeight="true" outlineLevel="0" collapsed="false">
      <c r="A427" s="13" t="n">
        <v>45705</v>
      </c>
      <c r="B427" s="8" t="s">
        <v>43</v>
      </c>
      <c r="C427" s="9" t="n">
        <v>100</v>
      </c>
      <c r="D427" s="8" t="s">
        <v>45</v>
      </c>
      <c r="E427" s="8" t="s">
        <v>145</v>
      </c>
      <c r="F427" s="8" t="str">
        <f aca="false">TEXT(A427,"MM-YYYY")</f>
        <v>02-2025</v>
      </c>
      <c r="G427" s="8" t="s">
        <v>14</v>
      </c>
      <c r="H427" s="8" t="s">
        <v>15</v>
      </c>
      <c r="I427" s="7"/>
      <c r="J427" s="8" t="str">
        <f aca="false">VLOOKUP(B427,Table3[#All],2,0)</f>
        <v>Maintance</v>
      </c>
      <c r="K427" s="8" t="str">
        <f aca="false">TEXT(ROW(), "0000")</f>
        <v>0427</v>
      </c>
      <c r="L427" s="8"/>
    </row>
    <row r="428" customFormat="false" ht="15.75" hidden="false" customHeight="true" outlineLevel="0" collapsed="false">
      <c r="A428" s="13" t="n">
        <v>45705</v>
      </c>
      <c r="B428" s="8" t="s">
        <v>44</v>
      </c>
      <c r="C428" s="9" t="n">
        <v>100</v>
      </c>
      <c r="D428" s="8" t="s">
        <v>45</v>
      </c>
      <c r="E428" s="8" t="s">
        <v>121</v>
      </c>
      <c r="F428" s="8" t="str">
        <f aca="false">TEXT(A428,"MM-YYYY")</f>
        <v>02-2025</v>
      </c>
      <c r="G428" s="8" t="s">
        <v>14</v>
      </c>
      <c r="H428" s="8" t="s">
        <v>15</v>
      </c>
      <c r="I428" s="7"/>
      <c r="J428" s="8" t="str">
        <f aca="false">VLOOKUP(B428,Table3[#All],2,0)</f>
        <v>Salary</v>
      </c>
      <c r="K428" s="8" t="str">
        <f aca="false">TEXT(ROW(), "0000")</f>
        <v>0428</v>
      </c>
      <c r="L428" s="8"/>
    </row>
    <row r="429" customFormat="false" ht="15.75" hidden="false" customHeight="true" outlineLevel="0" collapsed="false">
      <c r="A429" s="13" t="n">
        <v>45705</v>
      </c>
      <c r="B429" s="8" t="s">
        <v>34</v>
      </c>
      <c r="C429" s="9" t="n">
        <v>90</v>
      </c>
      <c r="D429" s="8" t="s">
        <v>45</v>
      </c>
      <c r="E429" s="8" t="s">
        <v>104</v>
      </c>
      <c r="F429" s="8" t="str">
        <f aca="false">TEXT(A429,"MM-YYYY")</f>
        <v>02-2025</v>
      </c>
      <c r="G429" s="8" t="s">
        <v>14</v>
      </c>
      <c r="H429" s="8" t="s">
        <v>15</v>
      </c>
      <c r="I429" s="7"/>
      <c r="J429" s="8" t="str">
        <f aca="false">VLOOKUP(B429,Table3[#All],2,0)</f>
        <v>Staff Expenses</v>
      </c>
      <c r="K429" s="8" t="str">
        <f aca="false">TEXT(ROW(), "0000")</f>
        <v>0429</v>
      </c>
      <c r="L429" s="8"/>
    </row>
    <row r="430" customFormat="false" ht="15.75" hidden="false" customHeight="true" outlineLevel="0" collapsed="false">
      <c r="A430" s="13" t="n">
        <v>45706</v>
      </c>
      <c r="B430" s="8" t="s">
        <v>16</v>
      </c>
      <c r="C430" s="9" t="n">
        <v>14788</v>
      </c>
      <c r="D430" s="8" t="s">
        <v>17</v>
      </c>
      <c r="E430" s="8" t="s">
        <v>101</v>
      </c>
      <c r="F430" s="8" t="str">
        <f aca="false">TEXT(A430,"MM-YYYY")</f>
        <v>02-2025</v>
      </c>
      <c r="G430" s="8"/>
      <c r="H430" s="8"/>
      <c r="I430" s="7"/>
      <c r="J430" s="8" t="str">
        <f aca="false">VLOOKUP(B430,Table3[#All],2,0)</f>
        <v>Sales</v>
      </c>
      <c r="K430" s="8" t="str">
        <f aca="false">TEXT(ROW(), "0000")</f>
        <v>0430</v>
      </c>
      <c r="L430" s="8"/>
    </row>
    <row r="431" customFormat="false" ht="15.75" hidden="false" customHeight="true" outlineLevel="0" collapsed="false">
      <c r="A431" s="13" t="n">
        <v>45706</v>
      </c>
      <c r="B431" s="8" t="s">
        <v>22</v>
      </c>
      <c r="C431" s="9" t="n">
        <v>2458</v>
      </c>
      <c r="D431" s="8" t="s">
        <v>13</v>
      </c>
      <c r="E431" s="8" t="s">
        <v>135</v>
      </c>
      <c r="F431" s="8" t="str">
        <f aca="false">TEXT(A431,"MM-YYYY")</f>
        <v>02-2025</v>
      </c>
      <c r="G431" s="8" t="s">
        <v>14</v>
      </c>
      <c r="H431" s="8" t="s">
        <v>15</v>
      </c>
      <c r="I431" s="7"/>
      <c r="J431" s="8" t="str">
        <f aca="false">VLOOKUP(B431,Table3[#All],2,0)</f>
        <v>Inventory</v>
      </c>
      <c r="K431" s="8" t="str">
        <f aca="false">TEXT(ROW(), "0000")</f>
        <v>0431</v>
      </c>
      <c r="L431" s="8"/>
    </row>
    <row r="432" customFormat="false" ht="15.75" hidden="false" customHeight="true" outlineLevel="0" collapsed="false">
      <c r="A432" s="13" t="n">
        <v>45706</v>
      </c>
      <c r="B432" s="8" t="s">
        <v>16</v>
      </c>
      <c r="C432" s="9" t="n">
        <v>1911</v>
      </c>
      <c r="D432" s="8" t="s">
        <v>24</v>
      </c>
      <c r="E432" s="8" t="s">
        <v>101</v>
      </c>
      <c r="F432" s="8" t="str">
        <f aca="false">TEXT(A432,"MM-YYYY")</f>
        <v>02-2025</v>
      </c>
      <c r="G432" s="8"/>
      <c r="H432" s="8"/>
      <c r="I432" s="7"/>
      <c r="J432" s="8" t="str">
        <f aca="false">VLOOKUP(B432,Table3[#All],2,0)</f>
        <v>Sales</v>
      </c>
      <c r="K432" s="8" t="str">
        <f aca="false">TEXT(ROW(), "0000")</f>
        <v>0432</v>
      </c>
      <c r="L432" s="8"/>
    </row>
    <row r="433" customFormat="false" ht="15.75" hidden="false" customHeight="true" outlineLevel="0" collapsed="false">
      <c r="A433" s="13" t="n">
        <v>45706</v>
      </c>
      <c r="B433" s="8" t="s">
        <v>16</v>
      </c>
      <c r="C433" s="9" t="n">
        <v>1835</v>
      </c>
      <c r="D433" s="8" t="s">
        <v>27</v>
      </c>
      <c r="E433" s="8" t="s">
        <v>101</v>
      </c>
      <c r="F433" s="8" t="str">
        <f aca="false">TEXT(A433,"MM-YYYY")</f>
        <v>02-2025</v>
      </c>
      <c r="G433" s="8"/>
      <c r="H433" s="8"/>
      <c r="I433" s="7"/>
      <c r="J433" s="8" t="str">
        <f aca="false">VLOOKUP(B433,Table3[#All],2,0)</f>
        <v>Sales</v>
      </c>
      <c r="K433" s="8" t="str">
        <f aca="false">TEXT(ROW(), "0000")</f>
        <v>0433</v>
      </c>
      <c r="L433" s="8"/>
    </row>
    <row r="434" customFormat="false" ht="15.75" hidden="false" customHeight="true" outlineLevel="0" collapsed="false">
      <c r="A434" s="13" t="n">
        <v>45706</v>
      </c>
      <c r="B434" s="8" t="s">
        <v>16</v>
      </c>
      <c r="C434" s="9" t="n">
        <v>1425</v>
      </c>
      <c r="D434" s="8" t="s">
        <v>33</v>
      </c>
      <c r="E434" s="8" t="s">
        <v>101</v>
      </c>
      <c r="F434" s="8" t="str">
        <f aca="false">TEXT(A434,"MM-YYYY")</f>
        <v>02-2025</v>
      </c>
      <c r="G434" s="8"/>
      <c r="H434" s="8"/>
      <c r="I434" s="7"/>
      <c r="J434" s="8" t="str">
        <f aca="false">VLOOKUP(B434,Table3[#All],2,0)</f>
        <v>Sales</v>
      </c>
      <c r="K434" s="8" t="str">
        <f aca="false">TEXT(ROW(), "0000")</f>
        <v>0434</v>
      </c>
      <c r="L434" s="8"/>
    </row>
    <row r="435" customFormat="false" ht="15.75" hidden="false" customHeight="true" outlineLevel="0" collapsed="false">
      <c r="A435" s="13" t="n">
        <v>45706</v>
      </c>
      <c r="B435" s="8" t="s">
        <v>19</v>
      </c>
      <c r="C435" s="9" t="n">
        <v>1343</v>
      </c>
      <c r="D435" s="8" t="s">
        <v>13</v>
      </c>
      <c r="E435" s="8" t="s">
        <v>111</v>
      </c>
      <c r="F435" s="8" t="str">
        <f aca="false">TEXT(A435,"MM-YYYY")</f>
        <v>02-2025</v>
      </c>
      <c r="G435" s="8" t="s">
        <v>14</v>
      </c>
      <c r="H435" s="8" t="s">
        <v>15</v>
      </c>
      <c r="I435" s="7"/>
      <c r="J435" s="8" t="str">
        <f aca="false">VLOOKUP(B435,Table3[#All],2,0)</f>
        <v>Inventory</v>
      </c>
      <c r="K435" s="8" t="str">
        <f aca="false">TEXT(ROW(), "0000")</f>
        <v>0435</v>
      </c>
      <c r="L435" s="8"/>
    </row>
    <row r="436" customFormat="false" ht="15.75" hidden="false" customHeight="true" outlineLevel="0" collapsed="false">
      <c r="A436" s="13" t="n">
        <v>45706</v>
      </c>
      <c r="B436" s="8" t="s">
        <v>16</v>
      </c>
      <c r="C436" s="9" t="n">
        <v>1215</v>
      </c>
      <c r="D436" s="8" t="s">
        <v>21</v>
      </c>
      <c r="E436" s="8" t="s">
        <v>101</v>
      </c>
      <c r="F436" s="8" t="str">
        <f aca="false">TEXT(A436,"MM-YYYY")</f>
        <v>02-2025</v>
      </c>
      <c r="G436" s="8"/>
      <c r="H436" s="8"/>
      <c r="I436" s="7"/>
      <c r="J436" s="8" t="str">
        <f aca="false">VLOOKUP(B436,Table3[#All],2,0)</f>
        <v>Sales</v>
      </c>
      <c r="K436" s="8" t="str">
        <f aca="false">TEXT(ROW(), "0000")</f>
        <v>0436</v>
      </c>
      <c r="L436" s="8"/>
    </row>
    <row r="437" customFormat="false" ht="15.75" hidden="false" customHeight="true" outlineLevel="0" collapsed="false">
      <c r="A437" s="13" t="n">
        <v>45706</v>
      </c>
      <c r="B437" s="8" t="s">
        <v>16</v>
      </c>
      <c r="C437" s="9" t="n">
        <v>690</v>
      </c>
      <c r="D437" s="8" t="s">
        <v>59</v>
      </c>
      <c r="E437" s="8" t="s">
        <v>101</v>
      </c>
      <c r="F437" s="8" t="str">
        <f aca="false">TEXT(A437,"MM-YYYY")</f>
        <v>02-2025</v>
      </c>
      <c r="G437" s="8"/>
      <c r="H437" s="8"/>
      <c r="I437" s="7"/>
      <c r="J437" s="8" t="str">
        <f aca="false">VLOOKUP(B437,Table3[#All],2,0)</f>
        <v>Sales</v>
      </c>
      <c r="K437" s="8" t="str">
        <f aca="false">TEXT(ROW(), "0000")</f>
        <v>0437</v>
      </c>
      <c r="L437" s="8"/>
    </row>
    <row r="438" customFormat="false" ht="15.75" hidden="false" customHeight="true" outlineLevel="0" collapsed="false">
      <c r="A438" s="13" t="n">
        <v>45706</v>
      </c>
      <c r="B438" s="8" t="s">
        <v>25</v>
      </c>
      <c r="C438" s="9" t="n">
        <v>646</v>
      </c>
      <c r="D438" s="8" t="s">
        <v>13</v>
      </c>
      <c r="E438" s="8" t="s">
        <v>113</v>
      </c>
      <c r="F438" s="8" t="str">
        <f aca="false">TEXT(A438,"MM-YYYY")</f>
        <v>02-2025</v>
      </c>
      <c r="G438" s="8" t="s">
        <v>14</v>
      </c>
      <c r="H438" s="8" t="s">
        <v>15</v>
      </c>
      <c r="I438" s="7"/>
      <c r="J438" s="8" t="str">
        <f aca="false">VLOOKUP(B438,Table3[#All],2,0)</f>
        <v>Inventory</v>
      </c>
      <c r="K438" s="8" t="str">
        <f aca="false">TEXT(ROW(), "0000")</f>
        <v>0438</v>
      </c>
      <c r="L438" s="8"/>
    </row>
    <row r="439" customFormat="false" ht="15.75" hidden="false" customHeight="true" outlineLevel="0" collapsed="false">
      <c r="A439" s="13" t="n">
        <v>45706</v>
      </c>
      <c r="B439" s="8" t="s">
        <v>34</v>
      </c>
      <c r="C439" s="9" t="n">
        <v>135</v>
      </c>
      <c r="D439" s="8" t="s">
        <v>45</v>
      </c>
      <c r="E439" s="8" t="s">
        <v>104</v>
      </c>
      <c r="F439" s="8" t="str">
        <f aca="false">TEXT(A439,"MM-YYYY")</f>
        <v>02-2025</v>
      </c>
      <c r="G439" s="8" t="s">
        <v>14</v>
      </c>
      <c r="H439" s="8" t="s">
        <v>15</v>
      </c>
      <c r="I439" s="7"/>
      <c r="J439" s="8" t="str">
        <f aca="false">VLOOKUP(B439,Table3[#All],2,0)</f>
        <v>Staff Expenses</v>
      </c>
      <c r="K439" s="8" t="str">
        <f aca="false">TEXT(ROW(), "0000")</f>
        <v>0439</v>
      </c>
      <c r="L439" s="8"/>
    </row>
    <row r="440" customFormat="false" ht="15.75" hidden="false" customHeight="true" outlineLevel="0" collapsed="false">
      <c r="A440" s="13" t="n">
        <v>45706</v>
      </c>
      <c r="B440" s="8" t="s">
        <v>29</v>
      </c>
      <c r="C440" s="9" t="n">
        <v>15</v>
      </c>
      <c r="D440" s="8" t="s">
        <v>21</v>
      </c>
      <c r="E440" s="8" t="s">
        <v>130</v>
      </c>
      <c r="F440" s="8" t="str">
        <f aca="false">TEXT(A440,"MM-YYYY")</f>
        <v>02-2025</v>
      </c>
      <c r="G440" s="8" t="s">
        <v>14</v>
      </c>
      <c r="H440" s="8" t="s">
        <v>15</v>
      </c>
      <c r="I440" s="7"/>
      <c r="J440" s="8" t="str">
        <f aca="false">VLOOKUP(B440,Table3[#All],2,0)</f>
        <v>Inventory</v>
      </c>
      <c r="K440" s="8" t="str">
        <f aca="false">TEXT(ROW(), "0000")</f>
        <v>0440</v>
      </c>
      <c r="L440" s="8"/>
    </row>
    <row r="441" customFormat="false" ht="15.75" hidden="false" customHeight="true" outlineLevel="0" collapsed="false">
      <c r="A441" s="13" t="n">
        <v>45707</v>
      </c>
      <c r="B441" s="8" t="s">
        <v>16</v>
      </c>
      <c r="C441" s="9" t="n">
        <v>11913</v>
      </c>
      <c r="D441" s="8" t="s">
        <v>17</v>
      </c>
      <c r="E441" s="8" t="s">
        <v>101</v>
      </c>
      <c r="F441" s="8" t="str">
        <f aca="false">TEXT(A441,"MM-YYYY")</f>
        <v>02-2025</v>
      </c>
      <c r="G441" s="8"/>
      <c r="H441" s="8"/>
      <c r="I441" s="7"/>
      <c r="J441" s="8" t="str">
        <f aca="false">VLOOKUP(B441,Table3[#All],2,0)</f>
        <v>Sales</v>
      </c>
      <c r="K441" s="8" t="str">
        <f aca="false">TEXT(ROW(), "0000")</f>
        <v>0441</v>
      </c>
      <c r="L441" s="8"/>
    </row>
    <row r="442" customFormat="false" ht="15.75" hidden="false" customHeight="true" outlineLevel="0" collapsed="false">
      <c r="A442" s="13" t="n">
        <v>45707</v>
      </c>
      <c r="B442" s="8" t="s">
        <v>22</v>
      </c>
      <c r="C442" s="9" t="n">
        <v>3620</v>
      </c>
      <c r="D442" s="8" t="s">
        <v>13</v>
      </c>
      <c r="E442" s="8" t="s">
        <v>135</v>
      </c>
      <c r="F442" s="8" t="str">
        <f aca="false">TEXT(A442,"MM-YYYY")</f>
        <v>02-2025</v>
      </c>
      <c r="G442" s="8" t="s">
        <v>14</v>
      </c>
      <c r="H442" s="8" t="s">
        <v>15</v>
      </c>
      <c r="I442" s="7"/>
      <c r="J442" s="8" t="str">
        <f aca="false">VLOOKUP(B442,Table3[#All],2,0)</f>
        <v>Inventory</v>
      </c>
      <c r="K442" s="8" t="str">
        <f aca="false">TEXT(ROW(), "0000")</f>
        <v>0442</v>
      </c>
      <c r="L442" s="8"/>
    </row>
    <row r="443" customFormat="false" ht="15.75" hidden="false" customHeight="true" outlineLevel="0" collapsed="false">
      <c r="A443" s="13" t="n">
        <v>45707</v>
      </c>
      <c r="B443" s="8" t="s">
        <v>19</v>
      </c>
      <c r="C443" s="9" t="n">
        <v>2717</v>
      </c>
      <c r="D443" s="8" t="s">
        <v>13</v>
      </c>
      <c r="E443" s="8" t="s">
        <v>111</v>
      </c>
      <c r="F443" s="8" t="str">
        <f aca="false">TEXT(A443,"MM-YYYY")</f>
        <v>02-2025</v>
      </c>
      <c r="G443" s="8" t="s">
        <v>14</v>
      </c>
      <c r="H443" s="8" t="s">
        <v>15</v>
      </c>
      <c r="I443" s="7"/>
      <c r="J443" s="8" t="str">
        <f aca="false">VLOOKUP(B443,Table3[#All],2,0)</f>
        <v>Inventory</v>
      </c>
      <c r="K443" s="8" t="str">
        <f aca="false">TEXT(ROW(), "0000")</f>
        <v>0443</v>
      </c>
      <c r="L443" s="8"/>
    </row>
    <row r="444" customFormat="false" ht="15.75" hidden="false" customHeight="true" outlineLevel="0" collapsed="false">
      <c r="A444" s="13" t="n">
        <v>45707</v>
      </c>
      <c r="B444" s="8" t="s">
        <v>16</v>
      </c>
      <c r="C444" s="9" t="n">
        <v>2677</v>
      </c>
      <c r="D444" s="8" t="s">
        <v>21</v>
      </c>
      <c r="E444" s="8" t="s">
        <v>101</v>
      </c>
      <c r="F444" s="8" t="str">
        <f aca="false">TEXT(A444,"MM-YYYY")</f>
        <v>02-2025</v>
      </c>
      <c r="G444" s="8"/>
      <c r="H444" s="8"/>
      <c r="I444" s="7"/>
      <c r="J444" s="8" t="str">
        <f aca="false">VLOOKUP(B444,Table3[#All],2,0)</f>
        <v>Sales</v>
      </c>
      <c r="K444" s="8" t="str">
        <f aca="false">TEXT(ROW(), "0000")</f>
        <v>0444</v>
      </c>
      <c r="L444" s="8"/>
    </row>
    <row r="445" customFormat="false" ht="15.75" hidden="false" customHeight="true" outlineLevel="0" collapsed="false">
      <c r="A445" s="13" t="n">
        <v>45707</v>
      </c>
      <c r="B445" s="8" t="s">
        <v>16</v>
      </c>
      <c r="C445" s="9" t="n">
        <v>2114</v>
      </c>
      <c r="D445" s="8" t="s">
        <v>24</v>
      </c>
      <c r="E445" s="8" t="s">
        <v>101</v>
      </c>
      <c r="F445" s="8" t="str">
        <f aca="false">TEXT(A445,"MM-YYYY")</f>
        <v>02-2025</v>
      </c>
      <c r="G445" s="8"/>
      <c r="H445" s="8"/>
      <c r="I445" s="7"/>
      <c r="J445" s="8" t="str">
        <f aca="false">VLOOKUP(B445,Table3[#All],2,0)</f>
        <v>Sales</v>
      </c>
      <c r="K445" s="8" t="str">
        <f aca="false">TEXT(ROW(), "0000")</f>
        <v>0445</v>
      </c>
      <c r="L445" s="8"/>
    </row>
    <row r="446" customFormat="false" ht="15.75" hidden="false" customHeight="true" outlineLevel="0" collapsed="false">
      <c r="A446" s="13" t="n">
        <v>45707</v>
      </c>
      <c r="B446" s="8" t="s">
        <v>53</v>
      </c>
      <c r="C446" s="9" t="n">
        <v>1920</v>
      </c>
      <c r="D446" s="8" t="s">
        <v>45</v>
      </c>
      <c r="E446" s="8" t="s">
        <v>146</v>
      </c>
      <c r="F446" s="8" t="str">
        <f aca="false">TEXT(A446,"MM-YYYY")</f>
        <v>02-2025</v>
      </c>
      <c r="G446" s="8" t="s">
        <v>14</v>
      </c>
      <c r="H446" s="8" t="s">
        <v>15</v>
      </c>
      <c r="I446" s="7"/>
      <c r="J446" s="8" t="str">
        <f aca="false">VLOOKUP(B446,Table3[#All],2,0)</f>
        <v>Grocery</v>
      </c>
      <c r="K446" s="8" t="str">
        <f aca="false">TEXT(ROW(), "0000")</f>
        <v>0446</v>
      </c>
      <c r="L446" s="8"/>
    </row>
    <row r="447" customFormat="false" ht="15.75" hidden="false" customHeight="true" outlineLevel="0" collapsed="false">
      <c r="A447" s="13" t="n">
        <v>45707</v>
      </c>
      <c r="B447" s="8" t="s">
        <v>16</v>
      </c>
      <c r="C447" s="9" t="n">
        <v>1610</v>
      </c>
      <c r="D447" s="8" t="s">
        <v>33</v>
      </c>
      <c r="E447" s="8" t="s">
        <v>101</v>
      </c>
      <c r="F447" s="8" t="str">
        <f aca="false">TEXT(A447,"MM-YYYY")</f>
        <v>02-2025</v>
      </c>
      <c r="G447" s="8"/>
      <c r="H447" s="8"/>
      <c r="I447" s="7"/>
      <c r="J447" s="8" t="str">
        <f aca="false">VLOOKUP(B447,Table3[#All],2,0)</f>
        <v>Sales</v>
      </c>
      <c r="K447" s="8" t="str">
        <f aca="false">TEXT(ROW(), "0000")</f>
        <v>0447</v>
      </c>
      <c r="L447" s="8"/>
    </row>
    <row r="448" customFormat="false" ht="15.75" hidden="false" customHeight="true" outlineLevel="0" collapsed="false">
      <c r="A448" s="13" t="n">
        <v>45707</v>
      </c>
      <c r="B448" s="8" t="s">
        <v>31</v>
      </c>
      <c r="C448" s="9" t="n">
        <v>1250</v>
      </c>
      <c r="D448" s="8" t="s">
        <v>45</v>
      </c>
      <c r="E448" s="8" t="s">
        <v>147</v>
      </c>
      <c r="F448" s="8" t="str">
        <f aca="false">TEXT(A448,"MM-YYYY")</f>
        <v>02-2025</v>
      </c>
      <c r="G448" s="8" t="s">
        <v>14</v>
      </c>
      <c r="H448" s="8" t="s">
        <v>15</v>
      </c>
      <c r="I448" s="7"/>
      <c r="J448" s="8" t="str">
        <f aca="false">VLOOKUP(B448,Table3[#All],2,0)</f>
        <v>Bike Maintance</v>
      </c>
      <c r="K448" s="8" t="str">
        <f aca="false">TEXT(ROW(), "0000")</f>
        <v>0448</v>
      </c>
      <c r="L448" s="8"/>
    </row>
    <row r="449" customFormat="false" ht="15.75" hidden="false" customHeight="true" outlineLevel="0" collapsed="false">
      <c r="A449" s="13" t="n">
        <v>45707</v>
      </c>
      <c r="B449" s="8" t="s">
        <v>53</v>
      </c>
      <c r="C449" s="9" t="n">
        <v>1200</v>
      </c>
      <c r="D449" s="8" t="s">
        <v>45</v>
      </c>
      <c r="E449" s="8" t="s">
        <v>148</v>
      </c>
      <c r="F449" s="8" t="str">
        <f aca="false">TEXT(A449,"MM-YYYY")</f>
        <v>02-2025</v>
      </c>
      <c r="G449" s="8" t="s">
        <v>14</v>
      </c>
      <c r="H449" s="8" t="s">
        <v>15</v>
      </c>
      <c r="I449" s="7"/>
      <c r="J449" s="8" t="str">
        <f aca="false">VLOOKUP(B449,Table3[#All],2,0)</f>
        <v>Grocery</v>
      </c>
      <c r="K449" s="8" t="str">
        <f aca="false">TEXT(ROW(), "0000")</f>
        <v>0449</v>
      </c>
      <c r="L449" s="8"/>
    </row>
    <row r="450" customFormat="false" ht="15.75" hidden="false" customHeight="true" outlineLevel="0" collapsed="false">
      <c r="A450" s="13" t="n">
        <v>45707</v>
      </c>
      <c r="B450" s="8" t="s">
        <v>25</v>
      </c>
      <c r="C450" s="9" t="n">
        <v>963</v>
      </c>
      <c r="D450" s="8" t="s">
        <v>13</v>
      </c>
      <c r="E450" s="8" t="s">
        <v>113</v>
      </c>
      <c r="F450" s="8" t="str">
        <f aca="false">TEXT(A450,"MM-YYYY")</f>
        <v>02-2025</v>
      </c>
      <c r="G450" s="8" t="s">
        <v>14</v>
      </c>
      <c r="H450" s="8" t="s">
        <v>15</v>
      </c>
      <c r="I450" s="7"/>
      <c r="J450" s="8" t="str">
        <f aca="false">VLOOKUP(B450,Table3[#All],2,0)</f>
        <v>Inventory</v>
      </c>
      <c r="K450" s="8" t="str">
        <f aca="false">TEXT(ROW(), "0000")</f>
        <v>0450</v>
      </c>
      <c r="L450" s="8"/>
    </row>
    <row r="451" customFormat="false" ht="15.75" hidden="false" customHeight="true" outlineLevel="0" collapsed="false">
      <c r="A451" s="13" t="n">
        <v>45707</v>
      </c>
      <c r="B451" s="8" t="s">
        <v>51</v>
      </c>
      <c r="C451" s="9" t="n">
        <v>500</v>
      </c>
      <c r="D451" s="8" t="s">
        <v>45</v>
      </c>
      <c r="E451" s="8" t="s">
        <v>149</v>
      </c>
      <c r="F451" s="8" t="str">
        <f aca="false">TEXT(A451,"MM-YYYY")</f>
        <v>02-2025</v>
      </c>
      <c r="G451" s="8" t="s">
        <v>14</v>
      </c>
      <c r="H451" s="8" t="s">
        <v>15</v>
      </c>
      <c r="I451" s="7"/>
      <c r="J451" s="8" t="str">
        <f aca="false">VLOOKUP(B451,Table3[#All],2,0)</f>
        <v>Inventory</v>
      </c>
      <c r="K451" s="8" t="str">
        <f aca="false">TEXT(ROW(), "0000")</f>
        <v>0451</v>
      </c>
      <c r="L451" s="8"/>
    </row>
    <row r="452" customFormat="false" ht="15.75" hidden="false" customHeight="true" outlineLevel="0" collapsed="false">
      <c r="A452" s="13" t="n">
        <v>45707</v>
      </c>
      <c r="B452" s="8" t="s">
        <v>43</v>
      </c>
      <c r="C452" s="9" t="n">
        <v>500</v>
      </c>
      <c r="D452" s="8" t="s">
        <v>45</v>
      </c>
      <c r="E452" s="8" t="s">
        <v>150</v>
      </c>
      <c r="F452" s="8" t="str">
        <f aca="false">TEXT(A452,"MM-YYYY")</f>
        <v>02-2025</v>
      </c>
      <c r="G452" s="8" t="s">
        <v>14</v>
      </c>
      <c r="H452" s="8" t="s">
        <v>15</v>
      </c>
      <c r="I452" s="7"/>
      <c r="J452" s="8" t="str">
        <f aca="false">VLOOKUP(B452,Table3[#All],2,0)</f>
        <v>Maintance</v>
      </c>
      <c r="K452" s="8" t="str">
        <f aca="false">TEXT(ROW(), "0000")</f>
        <v>0452</v>
      </c>
      <c r="L452" s="8"/>
    </row>
    <row r="453" customFormat="false" ht="15.75" hidden="false" customHeight="true" outlineLevel="0" collapsed="false">
      <c r="A453" s="13" t="n">
        <v>45707</v>
      </c>
      <c r="B453" s="8" t="s">
        <v>29</v>
      </c>
      <c r="C453" s="9" t="n">
        <v>455</v>
      </c>
      <c r="D453" s="8" t="s">
        <v>13</v>
      </c>
      <c r="E453" s="8" t="s">
        <v>117</v>
      </c>
      <c r="F453" s="8" t="str">
        <f aca="false">TEXT(A453,"MM-YYYY")</f>
        <v>02-2025</v>
      </c>
      <c r="G453" s="8" t="s">
        <v>14</v>
      </c>
      <c r="H453" s="8" t="s">
        <v>15</v>
      </c>
      <c r="I453" s="7"/>
      <c r="J453" s="8" t="str">
        <f aca="false">VLOOKUP(B453,Table3[#All],2,0)</f>
        <v>Inventory</v>
      </c>
      <c r="K453" s="8" t="str">
        <f aca="false">TEXT(ROW(), "0000")</f>
        <v>0453</v>
      </c>
      <c r="L453" s="8"/>
    </row>
    <row r="454" customFormat="false" ht="15.75" hidden="false" customHeight="true" outlineLevel="0" collapsed="false">
      <c r="A454" s="13" t="n">
        <v>45707</v>
      </c>
      <c r="B454" s="8" t="s">
        <v>29</v>
      </c>
      <c r="C454" s="9" t="n">
        <v>449</v>
      </c>
      <c r="D454" s="8" t="s">
        <v>13</v>
      </c>
      <c r="E454" s="8" t="s">
        <v>117</v>
      </c>
      <c r="F454" s="8" t="str">
        <f aca="false">TEXT(A454,"MM-YYYY")</f>
        <v>02-2025</v>
      </c>
      <c r="G454" s="8" t="s">
        <v>14</v>
      </c>
      <c r="H454" s="8" t="s">
        <v>15</v>
      </c>
      <c r="I454" s="7"/>
      <c r="J454" s="8" t="str">
        <f aca="false">VLOOKUP(B454,Table3[#All],2,0)</f>
        <v>Inventory</v>
      </c>
      <c r="K454" s="8" t="str">
        <f aca="false">TEXT(ROW(), "0000")</f>
        <v>0454</v>
      </c>
      <c r="L454" s="8"/>
    </row>
    <row r="455" customFormat="false" ht="15.75" hidden="false" customHeight="true" outlineLevel="0" collapsed="false">
      <c r="A455" s="13" t="n">
        <v>45707</v>
      </c>
      <c r="B455" s="8" t="s">
        <v>16</v>
      </c>
      <c r="C455" s="9" t="n">
        <v>410</v>
      </c>
      <c r="D455" s="8" t="s">
        <v>27</v>
      </c>
      <c r="E455" s="8" t="s">
        <v>101</v>
      </c>
      <c r="F455" s="8" t="str">
        <f aca="false">TEXT(A455,"MM-YYYY")</f>
        <v>02-2025</v>
      </c>
      <c r="G455" s="8"/>
      <c r="H455" s="8"/>
      <c r="I455" s="7"/>
      <c r="J455" s="8" t="str">
        <f aca="false">VLOOKUP(B455,Table3[#All],2,0)</f>
        <v>Sales</v>
      </c>
      <c r="K455" s="8" t="str">
        <f aca="false">TEXT(ROW(), "0000")</f>
        <v>0455</v>
      </c>
      <c r="L455" s="8"/>
    </row>
    <row r="456" customFormat="false" ht="15.75" hidden="false" customHeight="true" outlineLevel="0" collapsed="false">
      <c r="A456" s="13" t="n">
        <v>45707</v>
      </c>
      <c r="B456" s="8" t="s">
        <v>34</v>
      </c>
      <c r="C456" s="9" t="n">
        <v>135</v>
      </c>
      <c r="D456" s="8" t="s">
        <v>45</v>
      </c>
      <c r="E456" s="8" t="s">
        <v>104</v>
      </c>
      <c r="F456" s="8" t="str">
        <f aca="false">TEXT(A456,"MM-YYYY")</f>
        <v>02-2025</v>
      </c>
      <c r="G456" s="8" t="s">
        <v>14</v>
      </c>
      <c r="H456" s="8" t="s">
        <v>15</v>
      </c>
      <c r="I456" s="7"/>
      <c r="J456" s="8" t="str">
        <f aca="false">VLOOKUP(B456,Table3[#All],2,0)</f>
        <v>Staff Expenses</v>
      </c>
      <c r="K456" s="8" t="str">
        <f aca="false">TEXT(ROW(), "0000")</f>
        <v>0456</v>
      </c>
      <c r="L456" s="8"/>
    </row>
    <row r="457" customFormat="false" ht="15.75" hidden="false" customHeight="true" outlineLevel="0" collapsed="false">
      <c r="A457" s="13" t="n">
        <v>45707</v>
      </c>
      <c r="B457" s="8" t="s">
        <v>37</v>
      </c>
      <c r="C457" s="9" t="n">
        <v>30</v>
      </c>
      <c r="D457" s="8" t="s">
        <v>21</v>
      </c>
      <c r="E457" s="8" t="s">
        <v>122</v>
      </c>
      <c r="F457" s="8" t="str">
        <f aca="false">TEXT(A457,"MM-YYYY")</f>
        <v>02-2025</v>
      </c>
      <c r="G457" s="8" t="s">
        <v>14</v>
      </c>
      <c r="H457" s="8" t="s">
        <v>15</v>
      </c>
      <c r="I457" s="7"/>
      <c r="J457" s="8" t="str">
        <f aca="false">VLOOKUP(B457,Table3[#All],2,0)</f>
        <v>Maintance</v>
      </c>
      <c r="K457" s="8" t="str">
        <f aca="false">TEXT(ROW(), "0000")</f>
        <v>0457</v>
      </c>
      <c r="L457" s="8"/>
    </row>
    <row r="458" customFormat="false" ht="15.75" hidden="false" customHeight="true" outlineLevel="0" collapsed="false">
      <c r="A458" s="13" t="n">
        <v>45707</v>
      </c>
      <c r="B458" s="8" t="s">
        <v>29</v>
      </c>
      <c r="C458" s="9" t="n">
        <v>10</v>
      </c>
      <c r="D458" s="8" t="s">
        <v>21</v>
      </c>
      <c r="E458" s="8" t="s">
        <v>130</v>
      </c>
      <c r="F458" s="8" t="str">
        <f aca="false">TEXT(A458,"MM-YYYY")</f>
        <v>02-2025</v>
      </c>
      <c r="G458" s="8" t="s">
        <v>14</v>
      </c>
      <c r="H458" s="8" t="s">
        <v>15</v>
      </c>
      <c r="I458" s="7"/>
      <c r="J458" s="8" t="str">
        <f aca="false">VLOOKUP(B458,Table3[#All],2,0)</f>
        <v>Inventory</v>
      </c>
      <c r="K458" s="8" t="str">
        <f aca="false">TEXT(ROW(), "0000")</f>
        <v>0458</v>
      </c>
      <c r="L458" s="8"/>
    </row>
    <row r="459" customFormat="false" ht="15.75" hidden="false" customHeight="true" outlineLevel="0" collapsed="false">
      <c r="A459" s="13" t="n">
        <v>45708</v>
      </c>
      <c r="B459" s="8" t="s">
        <v>16</v>
      </c>
      <c r="C459" s="9" t="n">
        <v>14834</v>
      </c>
      <c r="D459" s="8" t="s">
        <v>17</v>
      </c>
      <c r="E459" s="8" t="s">
        <v>101</v>
      </c>
      <c r="F459" s="8" t="str">
        <f aca="false">TEXT(A459,"MM-YYYY")</f>
        <v>02-2025</v>
      </c>
      <c r="G459" s="8"/>
      <c r="H459" s="8"/>
      <c r="I459" s="7"/>
      <c r="J459" s="8" t="str">
        <f aca="false">VLOOKUP(B459,Table3[#All],2,0)</f>
        <v>Sales</v>
      </c>
      <c r="K459" s="8" t="str">
        <f aca="false">TEXT(ROW(), "0000")</f>
        <v>0459</v>
      </c>
      <c r="L459" s="8"/>
    </row>
    <row r="460" customFormat="false" ht="15.75" hidden="false" customHeight="true" outlineLevel="0" collapsed="false">
      <c r="A460" s="13" t="n">
        <v>45708</v>
      </c>
      <c r="B460" s="8" t="s">
        <v>16</v>
      </c>
      <c r="C460" s="9" t="n">
        <v>4700</v>
      </c>
      <c r="D460" s="8" t="s">
        <v>21</v>
      </c>
      <c r="E460" s="8" t="s">
        <v>101</v>
      </c>
      <c r="F460" s="8" t="str">
        <f aca="false">TEXT(A460,"MM-YYYY")</f>
        <v>02-2025</v>
      </c>
      <c r="G460" s="8"/>
      <c r="H460" s="8"/>
      <c r="I460" s="7"/>
      <c r="J460" s="8" t="str">
        <f aca="false">VLOOKUP(B460,Table3[#All],2,0)</f>
        <v>Sales</v>
      </c>
      <c r="K460" s="8" t="str">
        <f aca="false">TEXT(ROW(), "0000")</f>
        <v>0460</v>
      </c>
      <c r="L460" s="8"/>
    </row>
    <row r="461" customFormat="false" ht="15.75" hidden="false" customHeight="true" outlineLevel="0" collapsed="false">
      <c r="A461" s="13" t="n">
        <v>45708</v>
      </c>
      <c r="B461" s="8" t="s">
        <v>19</v>
      </c>
      <c r="C461" s="9" t="n">
        <v>3323</v>
      </c>
      <c r="D461" s="8" t="s">
        <v>13</v>
      </c>
      <c r="E461" s="8" t="s">
        <v>111</v>
      </c>
      <c r="F461" s="8" t="str">
        <f aca="false">TEXT(A461,"MM-YYYY")</f>
        <v>02-2025</v>
      </c>
      <c r="G461" s="8" t="s">
        <v>14</v>
      </c>
      <c r="H461" s="8" t="s">
        <v>15</v>
      </c>
      <c r="I461" s="7"/>
      <c r="J461" s="8" t="str">
        <f aca="false">VLOOKUP(B461,Table3[#All],2,0)</f>
        <v>Inventory</v>
      </c>
      <c r="K461" s="8" t="str">
        <f aca="false">TEXT(ROW(), "0000")</f>
        <v>0461</v>
      </c>
      <c r="L461" s="8"/>
    </row>
    <row r="462" customFormat="false" ht="15.75" hidden="false" customHeight="true" outlineLevel="0" collapsed="false">
      <c r="A462" s="13" t="n">
        <v>45708</v>
      </c>
      <c r="B462" s="8" t="s">
        <v>43</v>
      </c>
      <c r="C462" s="9" t="n">
        <v>1500</v>
      </c>
      <c r="D462" s="8" t="s">
        <v>45</v>
      </c>
      <c r="E462" s="8" t="s">
        <v>151</v>
      </c>
      <c r="F462" s="8" t="str">
        <f aca="false">TEXT(A462,"MM-YYYY")</f>
        <v>02-2025</v>
      </c>
      <c r="G462" s="8" t="s">
        <v>14</v>
      </c>
      <c r="H462" s="8" t="s">
        <v>15</v>
      </c>
      <c r="I462" s="7"/>
      <c r="J462" s="8" t="str">
        <f aca="false">VLOOKUP(B462,Table3[#All],2,0)</f>
        <v>Maintance</v>
      </c>
      <c r="K462" s="8" t="str">
        <f aca="false">TEXT(ROW(), "0000")</f>
        <v>0462</v>
      </c>
      <c r="L462" s="8"/>
    </row>
    <row r="463" customFormat="false" ht="15.75" hidden="false" customHeight="true" outlineLevel="0" collapsed="false">
      <c r="A463" s="13" t="n">
        <v>45708</v>
      </c>
      <c r="B463" s="8" t="s">
        <v>22</v>
      </c>
      <c r="C463" s="9" t="n">
        <v>1231</v>
      </c>
      <c r="D463" s="8" t="s">
        <v>13</v>
      </c>
      <c r="E463" s="8" t="s">
        <v>135</v>
      </c>
      <c r="F463" s="8" t="str">
        <f aca="false">TEXT(A463,"MM-YYYY")</f>
        <v>02-2025</v>
      </c>
      <c r="G463" s="8" t="s">
        <v>14</v>
      </c>
      <c r="H463" s="8" t="s">
        <v>15</v>
      </c>
      <c r="I463" s="7"/>
      <c r="J463" s="8" t="str">
        <f aca="false">VLOOKUP(B463,Table3[#All],2,0)</f>
        <v>Inventory</v>
      </c>
      <c r="K463" s="8" t="str">
        <f aca="false">TEXT(ROW(), "0000")</f>
        <v>0463</v>
      </c>
      <c r="L463" s="8"/>
    </row>
    <row r="464" customFormat="false" ht="15.75" hidden="false" customHeight="true" outlineLevel="0" collapsed="false">
      <c r="A464" s="13" t="n">
        <v>45708</v>
      </c>
      <c r="B464" s="8" t="s">
        <v>16</v>
      </c>
      <c r="C464" s="9" t="n">
        <v>1009</v>
      </c>
      <c r="D464" s="8" t="s">
        <v>59</v>
      </c>
      <c r="E464" s="8" t="s">
        <v>101</v>
      </c>
      <c r="F464" s="8" t="str">
        <f aca="false">TEXT(A464,"MM-YYYY")</f>
        <v>02-2025</v>
      </c>
      <c r="G464" s="8"/>
      <c r="H464" s="8"/>
      <c r="I464" s="7"/>
      <c r="J464" s="8" t="str">
        <f aca="false">VLOOKUP(B464,Table3[#All],2,0)</f>
        <v>Sales</v>
      </c>
      <c r="K464" s="8" t="str">
        <f aca="false">TEXT(ROW(), "0000")</f>
        <v>0464</v>
      </c>
      <c r="L464" s="8"/>
    </row>
    <row r="465" customFormat="false" ht="15.75" hidden="false" customHeight="true" outlineLevel="0" collapsed="false">
      <c r="A465" s="13" t="n">
        <v>45708</v>
      </c>
      <c r="B465" s="8" t="s">
        <v>16</v>
      </c>
      <c r="C465" s="9" t="n">
        <v>840</v>
      </c>
      <c r="D465" s="8" t="s">
        <v>24</v>
      </c>
      <c r="E465" s="8" t="s">
        <v>101</v>
      </c>
      <c r="F465" s="8" t="str">
        <f aca="false">TEXT(A465,"MM-YYYY")</f>
        <v>02-2025</v>
      </c>
      <c r="G465" s="8"/>
      <c r="H465" s="8"/>
      <c r="I465" s="7"/>
      <c r="J465" s="8" t="str">
        <f aca="false">VLOOKUP(B465,Table3[#All],2,0)</f>
        <v>Sales</v>
      </c>
      <c r="K465" s="8" t="str">
        <f aca="false">TEXT(ROW(), "0000")</f>
        <v>0465</v>
      </c>
      <c r="L465" s="8"/>
    </row>
    <row r="466" customFormat="false" ht="15.75" hidden="false" customHeight="true" outlineLevel="0" collapsed="false">
      <c r="A466" s="13" t="n">
        <v>45708</v>
      </c>
      <c r="B466" s="8" t="s">
        <v>69</v>
      </c>
      <c r="C466" s="9" t="n">
        <v>700</v>
      </c>
      <c r="D466" s="8" t="s">
        <v>45</v>
      </c>
      <c r="E466" s="8" t="s">
        <v>152</v>
      </c>
      <c r="F466" s="8" t="str">
        <f aca="false">TEXT(A466,"MM-YYYY")</f>
        <v>02-2025</v>
      </c>
      <c r="G466" s="8" t="s">
        <v>14</v>
      </c>
      <c r="H466" s="8" t="s">
        <v>15</v>
      </c>
      <c r="I466" s="7"/>
      <c r="J466" s="8" t="str">
        <f aca="false">VLOOKUP(B466,Table3[#All],2,0)</f>
        <v>Fixed Maintance</v>
      </c>
      <c r="K466" s="8" t="str">
        <f aca="false">TEXT(ROW(), "0000")</f>
        <v>0466</v>
      </c>
      <c r="L466" s="8"/>
    </row>
    <row r="467" customFormat="false" ht="15.75" hidden="false" customHeight="true" outlineLevel="0" collapsed="false">
      <c r="A467" s="13" t="n">
        <v>45708</v>
      </c>
      <c r="B467" s="8" t="s">
        <v>29</v>
      </c>
      <c r="C467" s="9" t="n">
        <v>471</v>
      </c>
      <c r="D467" s="8" t="s">
        <v>13</v>
      </c>
      <c r="E467" s="8" t="s">
        <v>117</v>
      </c>
      <c r="F467" s="8" t="str">
        <f aca="false">TEXT(A467,"MM-YYYY")</f>
        <v>02-2025</v>
      </c>
      <c r="G467" s="8" t="s">
        <v>14</v>
      </c>
      <c r="H467" s="8" t="s">
        <v>15</v>
      </c>
      <c r="I467" s="7"/>
      <c r="J467" s="8" t="str">
        <f aca="false">VLOOKUP(B467,Table3[#All],2,0)</f>
        <v>Inventory</v>
      </c>
      <c r="K467" s="8" t="str">
        <f aca="false">TEXT(ROW(), "0000")</f>
        <v>0467</v>
      </c>
      <c r="L467" s="8"/>
    </row>
    <row r="468" customFormat="false" ht="15.75" hidden="false" customHeight="true" outlineLevel="0" collapsed="false">
      <c r="A468" s="13" t="n">
        <v>45708</v>
      </c>
      <c r="B468" s="8" t="s">
        <v>43</v>
      </c>
      <c r="C468" s="9" t="n">
        <v>400</v>
      </c>
      <c r="D468" s="8" t="s">
        <v>45</v>
      </c>
      <c r="E468" s="8" t="s">
        <v>153</v>
      </c>
      <c r="F468" s="8" t="str">
        <f aca="false">TEXT(A468,"MM-YYYY")</f>
        <v>02-2025</v>
      </c>
      <c r="G468" s="8" t="s">
        <v>14</v>
      </c>
      <c r="H468" s="8" t="s">
        <v>15</v>
      </c>
      <c r="I468" s="7"/>
      <c r="J468" s="8" t="str">
        <f aca="false">VLOOKUP(B468,Table3[#All],2,0)</f>
        <v>Maintance</v>
      </c>
      <c r="K468" s="8" t="str">
        <f aca="false">TEXT(ROW(), "0000")</f>
        <v>0468</v>
      </c>
      <c r="L468" s="8"/>
    </row>
    <row r="469" customFormat="false" ht="15.75" hidden="false" customHeight="true" outlineLevel="0" collapsed="false">
      <c r="A469" s="13" t="n">
        <v>45708</v>
      </c>
      <c r="B469" s="8" t="s">
        <v>16</v>
      </c>
      <c r="C469" s="9" t="n">
        <v>185</v>
      </c>
      <c r="D469" s="8" t="s">
        <v>33</v>
      </c>
      <c r="E469" s="8" t="s">
        <v>101</v>
      </c>
      <c r="F469" s="8" t="str">
        <f aca="false">TEXT(A469,"MM-YYYY")</f>
        <v>02-2025</v>
      </c>
      <c r="G469" s="8"/>
      <c r="H469" s="8"/>
      <c r="I469" s="7"/>
      <c r="J469" s="8" t="str">
        <f aca="false">VLOOKUP(B469,Table3[#All],2,0)</f>
        <v>Sales</v>
      </c>
      <c r="K469" s="8" t="str">
        <f aca="false">TEXT(ROW(), "0000")</f>
        <v>0469</v>
      </c>
      <c r="L469" s="8"/>
    </row>
    <row r="470" customFormat="false" ht="15.75" hidden="false" customHeight="true" outlineLevel="0" collapsed="false">
      <c r="A470" s="13" t="n">
        <v>45708</v>
      </c>
      <c r="B470" s="8" t="s">
        <v>16</v>
      </c>
      <c r="C470" s="9" t="n">
        <v>180</v>
      </c>
      <c r="D470" s="8" t="s">
        <v>70</v>
      </c>
      <c r="E470" s="8" t="s">
        <v>101</v>
      </c>
      <c r="F470" s="8" t="str">
        <f aca="false">TEXT(A470,"MM-YYYY")</f>
        <v>02-2025</v>
      </c>
      <c r="G470" s="8"/>
      <c r="H470" s="8"/>
      <c r="I470" s="7"/>
      <c r="J470" s="8" t="str">
        <f aca="false">VLOOKUP(B470,Table3[#All],2,0)</f>
        <v>Sales</v>
      </c>
      <c r="K470" s="8" t="str">
        <f aca="false">TEXT(ROW(), "0000")</f>
        <v>0470</v>
      </c>
      <c r="L470" s="8"/>
    </row>
    <row r="471" customFormat="false" ht="15.75" hidden="false" customHeight="true" outlineLevel="0" collapsed="false">
      <c r="A471" s="13" t="n">
        <v>45708</v>
      </c>
      <c r="B471" s="8" t="s">
        <v>154</v>
      </c>
      <c r="C471" s="9" t="n">
        <v>135</v>
      </c>
      <c r="D471" s="8" t="s">
        <v>45</v>
      </c>
      <c r="E471" s="8" t="s">
        <v>104</v>
      </c>
      <c r="F471" s="8" t="str">
        <f aca="false">TEXT(A471,"MM-YYYY")</f>
        <v>02-2025</v>
      </c>
      <c r="G471" s="8" t="s">
        <v>14</v>
      </c>
      <c r="H471" s="8" t="s">
        <v>15</v>
      </c>
      <c r="I471" s="7"/>
      <c r="J471" s="8" t="str">
        <f aca="false">VLOOKUP(B471,Table3[#All],2,0)</f>
        <v>Staff Expenses</v>
      </c>
      <c r="K471" s="8" t="str">
        <f aca="false">TEXT(ROW(), "0000")</f>
        <v>0471</v>
      </c>
      <c r="L471" s="8"/>
    </row>
    <row r="472" customFormat="false" ht="15.75" hidden="false" customHeight="true" outlineLevel="0" collapsed="false">
      <c r="A472" s="13" t="n">
        <v>45708</v>
      </c>
      <c r="B472" s="8" t="s">
        <v>25</v>
      </c>
      <c r="C472" s="9" t="n">
        <v>76</v>
      </c>
      <c r="D472" s="8" t="s">
        <v>45</v>
      </c>
      <c r="E472" s="8" t="s">
        <v>105</v>
      </c>
      <c r="F472" s="8" t="str">
        <f aca="false">TEXT(A472,"MM-YYYY")</f>
        <v>02-2025</v>
      </c>
      <c r="G472" s="8" t="s">
        <v>14</v>
      </c>
      <c r="H472" s="8" t="s">
        <v>15</v>
      </c>
      <c r="I472" s="7"/>
      <c r="J472" s="8" t="str">
        <f aca="false">VLOOKUP(B472,Table3[#All],2,0)</f>
        <v>Inventory</v>
      </c>
      <c r="K472" s="8" t="str">
        <f aca="false">TEXT(ROW(), "0000")</f>
        <v>0472</v>
      </c>
      <c r="L472" s="8"/>
    </row>
    <row r="473" customFormat="false" ht="15.75" hidden="false" customHeight="true" outlineLevel="0" collapsed="false">
      <c r="A473" s="13" t="n">
        <v>45708</v>
      </c>
      <c r="B473" s="8" t="s">
        <v>29</v>
      </c>
      <c r="C473" s="9" t="n">
        <v>60</v>
      </c>
      <c r="D473" s="8" t="s">
        <v>45</v>
      </c>
      <c r="E473" s="8" t="s">
        <v>155</v>
      </c>
      <c r="F473" s="8" t="str">
        <f aca="false">TEXT(A473,"MM-YYYY")</f>
        <v>02-2025</v>
      </c>
      <c r="G473" s="8" t="s">
        <v>14</v>
      </c>
      <c r="H473" s="8" t="s">
        <v>15</v>
      </c>
      <c r="I473" s="7"/>
      <c r="J473" s="8" t="str">
        <f aca="false">VLOOKUP(B473,Table3[#All],2,0)</f>
        <v>Inventory</v>
      </c>
      <c r="K473" s="8" t="str">
        <f aca="false">TEXT(ROW(), "0000")</f>
        <v>0473</v>
      </c>
      <c r="L473" s="8"/>
    </row>
    <row r="474" customFormat="false" ht="15.75" hidden="false" customHeight="true" outlineLevel="0" collapsed="false">
      <c r="A474" s="13" t="n">
        <v>45708</v>
      </c>
      <c r="B474" s="8" t="s">
        <v>37</v>
      </c>
      <c r="C474" s="9" t="n">
        <v>20</v>
      </c>
      <c r="D474" s="8" t="s">
        <v>21</v>
      </c>
      <c r="E474" s="8" t="s">
        <v>122</v>
      </c>
      <c r="F474" s="8" t="str">
        <f aca="false">TEXT(A474,"MM-YYYY")</f>
        <v>02-2025</v>
      </c>
      <c r="G474" s="8" t="s">
        <v>14</v>
      </c>
      <c r="H474" s="8" t="s">
        <v>15</v>
      </c>
      <c r="I474" s="7"/>
      <c r="J474" s="8" t="str">
        <f aca="false">VLOOKUP(B474,Table3[#All],2,0)</f>
        <v>Maintance</v>
      </c>
      <c r="K474" s="8" t="str">
        <f aca="false">TEXT(ROW(), "0000")</f>
        <v>0474</v>
      </c>
      <c r="L474" s="8"/>
    </row>
    <row r="475" customFormat="false" ht="15.75" hidden="false" customHeight="true" outlineLevel="0" collapsed="false">
      <c r="A475" s="13" t="n">
        <v>45709</v>
      </c>
      <c r="B475" s="8" t="s">
        <v>16</v>
      </c>
      <c r="C475" s="9" t="n">
        <v>22146</v>
      </c>
      <c r="D475" s="8" t="s">
        <v>17</v>
      </c>
      <c r="E475" s="8" t="s">
        <v>101</v>
      </c>
      <c r="F475" s="8" t="str">
        <f aca="false">TEXT(A475,"MM-YYYY")</f>
        <v>02-2025</v>
      </c>
      <c r="G475" s="8"/>
      <c r="H475" s="8"/>
      <c r="I475" s="7"/>
      <c r="J475" s="8" t="str">
        <f aca="false">VLOOKUP(B475,Table3[#All],2,0)</f>
        <v>Sales</v>
      </c>
      <c r="K475" s="8" t="str">
        <f aca="false">TEXT(ROW(), "0000")</f>
        <v>0475</v>
      </c>
      <c r="L475" s="8"/>
    </row>
    <row r="476" customFormat="false" ht="15.75" hidden="false" customHeight="true" outlineLevel="0" collapsed="false">
      <c r="A476" s="13" t="n">
        <v>45709</v>
      </c>
      <c r="B476" s="8" t="s">
        <v>19</v>
      </c>
      <c r="C476" s="9" t="n">
        <v>3907</v>
      </c>
      <c r="D476" s="8" t="s">
        <v>13</v>
      </c>
      <c r="E476" s="8" t="s">
        <v>111</v>
      </c>
      <c r="F476" s="8" t="str">
        <f aca="false">TEXT(A476,"MM-YYYY")</f>
        <v>02-2025</v>
      </c>
      <c r="G476" s="8" t="s">
        <v>14</v>
      </c>
      <c r="H476" s="8" t="s">
        <v>15</v>
      </c>
      <c r="I476" s="7"/>
      <c r="J476" s="8" t="str">
        <f aca="false">VLOOKUP(B476,Table3[#All],2,0)</f>
        <v>Inventory</v>
      </c>
      <c r="K476" s="8" t="str">
        <f aca="false">TEXT(ROW(), "0000")</f>
        <v>0476</v>
      </c>
      <c r="L476" s="8"/>
    </row>
    <row r="477" customFormat="false" ht="15.75" hidden="false" customHeight="true" outlineLevel="0" collapsed="false">
      <c r="A477" s="13" t="n">
        <v>45709</v>
      </c>
      <c r="B477" s="8" t="s">
        <v>51</v>
      </c>
      <c r="C477" s="9" t="n">
        <v>2980</v>
      </c>
      <c r="D477" s="8" t="s">
        <v>13</v>
      </c>
      <c r="E477" s="8" t="s">
        <v>156</v>
      </c>
      <c r="F477" s="8" t="str">
        <f aca="false">TEXT(A477,"MM-YYYY")</f>
        <v>02-2025</v>
      </c>
      <c r="G477" s="8" t="s">
        <v>14</v>
      </c>
      <c r="H477" s="8" t="s">
        <v>15</v>
      </c>
      <c r="I477" s="7"/>
      <c r="J477" s="8" t="str">
        <f aca="false">VLOOKUP(B477,Table3[#All],2,0)</f>
        <v>Inventory</v>
      </c>
      <c r="K477" s="8" t="str">
        <f aca="false">TEXT(ROW(), "0000")</f>
        <v>0477</v>
      </c>
      <c r="L477" s="8"/>
    </row>
    <row r="478" customFormat="false" ht="15.75" hidden="false" customHeight="true" outlineLevel="0" collapsed="false">
      <c r="A478" s="13" t="n">
        <v>45709</v>
      </c>
      <c r="B478" s="8" t="s">
        <v>16</v>
      </c>
      <c r="C478" s="9" t="n">
        <v>1755</v>
      </c>
      <c r="D478" s="8" t="s">
        <v>27</v>
      </c>
      <c r="E478" s="8" t="s">
        <v>101</v>
      </c>
      <c r="F478" s="8" t="str">
        <f aca="false">TEXT(A478,"MM-YYYY")</f>
        <v>02-2025</v>
      </c>
      <c r="G478" s="8"/>
      <c r="H478" s="8"/>
      <c r="I478" s="7"/>
      <c r="J478" s="8" t="str">
        <f aca="false">VLOOKUP(B478,Table3[#All],2,0)</f>
        <v>Sales</v>
      </c>
      <c r="K478" s="8" t="str">
        <f aca="false">TEXT(ROW(), "0000")</f>
        <v>0478</v>
      </c>
      <c r="L478" s="8"/>
    </row>
    <row r="479" customFormat="false" ht="15.75" hidden="false" customHeight="true" outlineLevel="0" collapsed="false">
      <c r="A479" s="13" t="n">
        <v>45709</v>
      </c>
      <c r="B479" s="8" t="s">
        <v>47</v>
      </c>
      <c r="C479" s="9" t="n">
        <v>1680</v>
      </c>
      <c r="D479" s="8" t="s">
        <v>13</v>
      </c>
      <c r="E479" s="8" t="s">
        <v>137</v>
      </c>
      <c r="F479" s="8" t="str">
        <f aca="false">TEXT(A479,"MM-YYYY")</f>
        <v>02-2025</v>
      </c>
      <c r="G479" s="8" t="s">
        <v>14</v>
      </c>
      <c r="H479" s="8" t="s">
        <v>15</v>
      </c>
      <c r="I479" s="7"/>
      <c r="J479" s="8" t="str">
        <f aca="false">VLOOKUP(B479,Table3[#All],2,0)</f>
        <v>Inventory</v>
      </c>
      <c r="K479" s="8" t="str">
        <f aca="false">TEXT(ROW(), "0000")</f>
        <v>0479</v>
      </c>
      <c r="L479" s="8"/>
    </row>
    <row r="480" customFormat="false" ht="15.75" hidden="false" customHeight="true" outlineLevel="0" collapsed="false">
      <c r="A480" s="13" t="n">
        <v>45709</v>
      </c>
      <c r="B480" s="8" t="s">
        <v>16</v>
      </c>
      <c r="C480" s="9" t="n">
        <v>1488</v>
      </c>
      <c r="D480" s="8" t="s">
        <v>24</v>
      </c>
      <c r="E480" s="8" t="s">
        <v>101</v>
      </c>
      <c r="F480" s="8" t="str">
        <f aca="false">TEXT(A480,"MM-YYYY")</f>
        <v>02-2025</v>
      </c>
      <c r="G480" s="8"/>
      <c r="H480" s="8"/>
      <c r="I480" s="7"/>
      <c r="J480" s="8" t="str">
        <f aca="false">VLOOKUP(B480,Table3[#All],2,0)</f>
        <v>Sales</v>
      </c>
      <c r="K480" s="8" t="str">
        <f aca="false">TEXT(ROW(), "0000")</f>
        <v>0480</v>
      </c>
      <c r="L480" s="8"/>
    </row>
    <row r="481" customFormat="false" ht="15.75" hidden="false" customHeight="true" outlineLevel="0" collapsed="false">
      <c r="A481" s="13" t="n">
        <v>45709</v>
      </c>
      <c r="B481" s="8" t="s">
        <v>16</v>
      </c>
      <c r="C481" s="9" t="n">
        <v>1229</v>
      </c>
      <c r="D481" s="8" t="s">
        <v>21</v>
      </c>
      <c r="E481" s="8" t="s">
        <v>101</v>
      </c>
      <c r="F481" s="8" t="str">
        <f aca="false">TEXT(A481,"MM-YYYY")</f>
        <v>02-2025</v>
      </c>
      <c r="G481" s="8"/>
      <c r="H481" s="8"/>
      <c r="I481" s="7"/>
      <c r="J481" s="8" t="str">
        <f aca="false">VLOOKUP(B481,Table3[#All],2,0)</f>
        <v>Sales</v>
      </c>
      <c r="K481" s="8" t="str">
        <f aca="false">TEXT(ROW(), "0000")</f>
        <v>0481</v>
      </c>
      <c r="L481" s="8"/>
    </row>
    <row r="482" customFormat="false" ht="15.75" hidden="false" customHeight="true" outlineLevel="0" collapsed="false">
      <c r="A482" s="13" t="n">
        <v>45709</v>
      </c>
      <c r="B482" s="8" t="s">
        <v>53</v>
      </c>
      <c r="C482" s="9" t="n">
        <v>1200</v>
      </c>
      <c r="D482" s="8" t="s">
        <v>45</v>
      </c>
      <c r="E482" s="8" t="s">
        <v>148</v>
      </c>
      <c r="F482" s="8" t="str">
        <f aca="false">TEXT(A482,"MM-YYYY")</f>
        <v>02-2025</v>
      </c>
      <c r="G482" s="8" t="s">
        <v>14</v>
      </c>
      <c r="H482" s="8" t="s">
        <v>15</v>
      </c>
      <c r="I482" s="7"/>
      <c r="J482" s="8" t="str">
        <f aca="false">VLOOKUP(B482,Table3[#All],2,0)</f>
        <v>Grocery</v>
      </c>
      <c r="K482" s="8" t="str">
        <f aca="false">TEXT(ROW(), "0000")</f>
        <v>0482</v>
      </c>
      <c r="L482" s="8"/>
    </row>
    <row r="483" customFormat="false" ht="15.75" hidden="false" customHeight="true" outlineLevel="0" collapsed="false">
      <c r="A483" s="13" t="n">
        <v>45709</v>
      </c>
      <c r="B483" s="8" t="s">
        <v>22</v>
      </c>
      <c r="C483" s="9" t="n">
        <v>1068</v>
      </c>
      <c r="D483" s="8" t="s">
        <v>13</v>
      </c>
      <c r="E483" s="8" t="s">
        <v>135</v>
      </c>
      <c r="F483" s="8" t="str">
        <f aca="false">TEXT(A483,"MM-YYYY")</f>
        <v>02-2025</v>
      </c>
      <c r="G483" s="8" t="s">
        <v>14</v>
      </c>
      <c r="H483" s="8" t="s">
        <v>15</v>
      </c>
      <c r="I483" s="7"/>
      <c r="J483" s="8" t="str">
        <f aca="false">VLOOKUP(B483,Table3[#All],2,0)</f>
        <v>Inventory</v>
      </c>
      <c r="K483" s="8" t="str">
        <f aca="false">TEXT(ROW(), "0000")</f>
        <v>0483</v>
      </c>
      <c r="L483" s="8"/>
    </row>
    <row r="484" customFormat="false" ht="15.75" hidden="false" customHeight="true" outlineLevel="0" collapsed="false">
      <c r="A484" s="13" t="n">
        <v>45709</v>
      </c>
      <c r="B484" s="8" t="s">
        <v>25</v>
      </c>
      <c r="C484" s="9" t="n">
        <v>968</v>
      </c>
      <c r="D484" s="8" t="s">
        <v>13</v>
      </c>
      <c r="E484" s="8" t="s">
        <v>113</v>
      </c>
      <c r="F484" s="8" t="str">
        <f aca="false">TEXT(A484,"MM-YYYY")</f>
        <v>02-2025</v>
      </c>
      <c r="G484" s="8" t="s">
        <v>14</v>
      </c>
      <c r="H484" s="8" t="s">
        <v>15</v>
      </c>
      <c r="I484" s="7"/>
      <c r="J484" s="8" t="str">
        <f aca="false">VLOOKUP(B484,Table3[#All],2,0)</f>
        <v>Inventory</v>
      </c>
      <c r="K484" s="8" t="str">
        <f aca="false">TEXT(ROW(), "0000")</f>
        <v>0484</v>
      </c>
      <c r="L484" s="8"/>
    </row>
    <row r="485" customFormat="false" ht="15.75" hidden="false" customHeight="true" outlineLevel="0" collapsed="false">
      <c r="A485" s="13" t="n">
        <v>45709</v>
      </c>
      <c r="B485" s="8" t="s">
        <v>32</v>
      </c>
      <c r="C485" s="9" t="n">
        <v>650</v>
      </c>
      <c r="D485" s="8" t="s">
        <v>45</v>
      </c>
      <c r="E485" s="8" t="s">
        <v>116</v>
      </c>
      <c r="F485" s="8" t="str">
        <f aca="false">TEXT(A485,"MM-YYYY")</f>
        <v>02-2025</v>
      </c>
      <c r="G485" s="8" t="s">
        <v>14</v>
      </c>
      <c r="H485" s="8" t="s">
        <v>15</v>
      </c>
      <c r="I485" s="7"/>
      <c r="J485" s="8" t="str">
        <f aca="false">VLOOKUP(B485,Table3[#All],2,0)</f>
        <v>Grocery</v>
      </c>
      <c r="K485" s="8" t="str">
        <f aca="false">TEXT(ROW(), "0000")</f>
        <v>0485</v>
      </c>
      <c r="L485" s="8"/>
    </row>
    <row r="486" customFormat="false" ht="15.75" hidden="false" customHeight="true" outlineLevel="0" collapsed="false">
      <c r="A486" s="13" t="n">
        <v>45709</v>
      </c>
      <c r="B486" s="8" t="s">
        <v>16</v>
      </c>
      <c r="C486" s="9" t="n">
        <v>589</v>
      </c>
      <c r="D486" s="8" t="s">
        <v>33</v>
      </c>
      <c r="E486" s="8" t="s">
        <v>101</v>
      </c>
      <c r="F486" s="8" t="str">
        <f aca="false">TEXT(A486,"MM-YYYY")</f>
        <v>02-2025</v>
      </c>
      <c r="G486" s="8"/>
      <c r="H486" s="8"/>
      <c r="I486" s="7"/>
      <c r="J486" s="8" t="str">
        <f aca="false">VLOOKUP(B486,Table3[#All],2,0)</f>
        <v>Sales</v>
      </c>
      <c r="K486" s="8" t="str">
        <f aca="false">TEXT(ROW(), "0000")</f>
        <v>0486</v>
      </c>
      <c r="L486" s="8"/>
    </row>
    <row r="487" customFormat="false" ht="15.75" hidden="false" customHeight="true" outlineLevel="0" collapsed="false">
      <c r="A487" s="13" t="n">
        <v>45709</v>
      </c>
      <c r="B487" s="8" t="s">
        <v>29</v>
      </c>
      <c r="C487" s="9" t="n">
        <v>350</v>
      </c>
      <c r="D487" s="8" t="s">
        <v>13</v>
      </c>
      <c r="E487" s="8" t="s">
        <v>117</v>
      </c>
      <c r="F487" s="8" t="str">
        <f aca="false">TEXT(A487,"MM-YYYY")</f>
        <v>02-2025</v>
      </c>
      <c r="G487" s="8" t="s">
        <v>14</v>
      </c>
      <c r="H487" s="8" t="s">
        <v>15</v>
      </c>
      <c r="I487" s="7"/>
      <c r="J487" s="8" t="str">
        <f aca="false">VLOOKUP(B487,Table3[#All],2,0)</f>
        <v>Inventory</v>
      </c>
      <c r="K487" s="8" t="str">
        <f aca="false">TEXT(ROW(), "0000")</f>
        <v>0487</v>
      </c>
      <c r="L487" s="8"/>
    </row>
    <row r="488" customFormat="false" ht="15.75" hidden="false" customHeight="true" outlineLevel="0" collapsed="false">
      <c r="A488" s="13" t="n">
        <v>45709</v>
      </c>
      <c r="B488" s="8" t="s">
        <v>43</v>
      </c>
      <c r="C488" s="9" t="n">
        <v>350</v>
      </c>
      <c r="D488" s="8" t="s">
        <v>45</v>
      </c>
      <c r="E488" s="8" t="s">
        <v>157</v>
      </c>
      <c r="F488" s="8" t="str">
        <f aca="false">TEXT(A488,"MM-YYYY")</f>
        <v>02-2025</v>
      </c>
      <c r="G488" s="8" t="s">
        <v>14</v>
      </c>
      <c r="H488" s="8" t="s">
        <v>15</v>
      </c>
      <c r="I488" s="7"/>
      <c r="J488" s="8" t="str">
        <f aca="false">VLOOKUP(B488,Table3[#All],2,0)</f>
        <v>Maintance</v>
      </c>
      <c r="K488" s="8" t="str">
        <f aca="false">TEXT(ROW(), "0000")</f>
        <v>0488</v>
      </c>
      <c r="L488" s="8"/>
    </row>
    <row r="489" customFormat="false" ht="15.75" hidden="false" customHeight="true" outlineLevel="0" collapsed="false">
      <c r="A489" s="13" t="n">
        <v>45709</v>
      </c>
      <c r="B489" s="8" t="s">
        <v>16</v>
      </c>
      <c r="C489" s="9" t="n">
        <v>230</v>
      </c>
      <c r="D489" s="8" t="s">
        <v>70</v>
      </c>
      <c r="E489" s="8" t="s">
        <v>101</v>
      </c>
      <c r="F489" s="8" t="str">
        <f aca="false">TEXT(A489,"MM-YYYY")</f>
        <v>02-2025</v>
      </c>
      <c r="G489" s="8"/>
      <c r="H489" s="8"/>
      <c r="I489" s="7"/>
      <c r="J489" s="8" t="str">
        <f aca="false">VLOOKUP(B489,Table3[#All],2,0)</f>
        <v>Sales</v>
      </c>
      <c r="K489" s="8" t="str">
        <f aca="false">TEXT(ROW(), "0000")</f>
        <v>0489</v>
      </c>
      <c r="L489" s="8"/>
    </row>
    <row r="490" customFormat="false" ht="15.75" hidden="false" customHeight="true" outlineLevel="0" collapsed="false">
      <c r="A490" s="13" t="n">
        <v>45709</v>
      </c>
      <c r="B490" s="8" t="s">
        <v>16</v>
      </c>
      <c r="C490" s="9" t="n">
        <v>220</v>
      </c>
      <c r="D490" s="8" t="s">
        <v>59</v>
      </c>
      <c r="E490" s="8" t="s">
        <v>101</v>
      </c>
      <c r="F490" s="8" t="str">
        <f aca="false">TEXT(A490,"MM-YYYY")</f>
        <v>02-2025</v>
      </c>
      <c r="G490" s="8"/>
      <c r="H490" s="8"/>
      <c r="I490" s="7"/>
      <c r="J490" s="8" t="str">
        <f aca="false">VLOOKUP(B490,Table3[#All],2,0)</f>
        <v>Sales</v>
      </c>
      <c r="K490" s="8" t="str">
        <f aca="false">TEXT(ROW(), "0000")</f>
        <v>0490</v>
      </c>
      <c r="L490" s="8"/>
    </row>
    <row r="491" customFormat="false" ht="15.75" hidden="false" customHeight="true" outlineLevel="0" collapsed="false">
      <c r="A491" s="13" t="n">
        <v>45709</v>
      </c>
      <c r="B491" s="8" t="s">
        <v>43</v>
      </c>
      <c r="C491" s="9" t="n">
        <v>210</v>
      </c>
      <c r="D491" s="8" t="s">
        <v>45</v>
      </c>
      <c r="E491" s="8" t="s">
        <v>158</v>
      </c>
      <c r="F491" s="8" t="str">
        <f aca="false">TEXT(A491,"MM-YYYY")</f>
        <v>02-2025</v>
      </c>
      <c r="G491" s="8" t="s">
        <v>14</v>
      </c>
      <c r="H491" s="8" t="s">
        <v>15</v>
      </c>
      <c r="I491" s="7"/>
      <c r="J491" s="8" t="str">
        <f aca="false">VLOOKUP(B491,Table3[#All],2,0)</f>
        <v>Maintance</v>
      </c>
      <c r="K491" s="8" t="str">
        <f aca="false">TEXT(ROW(), "0000")</f>
        <v>0491</v>
      </c>
      <c r="L491" s="8"/>
    </row>
    <row r="492" customFormat="false" ht="15.75" hidden="false" customHeight="true" outlineLevel="0" collapsed="false">
      <c r="A492" s="13" t="n">
        <v>45709</v>
      </c>
      <c r="B492" s="8" t="s">
        <v>154</v>
      </c>
      <c r="C492" s="9" t="n">
        <v>120</v>
      </c>
      <c r="D492" s="8" t="s">
        <v>45</v>
      </c>
      <c r="E492" s="8" t="s">
        <v>104</v>
      </c>
      <c r="F492" s="8" t="str">
        <f aca="false">TEXT(A492,"MM-YYYY")</f>
        <v>02-2025</v>
      </c>
      <c r="G492" s="8" t="s">
        <v>14</v>
      </c>
      <c r="H492" s="8" t="s">
        <v>15</v>
      </c>
      <c r="I492" s="7"/>
      <c r="J492" s="8" t="str">
        <f aca="false">VLOOKUP(B492,Table3[#All],2,0)</f>
        <v>Staff Expenses</v>
      </c>
      <c r="K492" s="8" t="str">
        <f aca="false">TEXT(ROW(), "0000")</f>
        <v>0492</v>
      </c>
      <c r="L492" s="8"/>
    </row>
    <row r="493" customFormat="false" ht="15.75" hidden="false" customHeight="true" outlineLevel="0" collapsed="false">
      <c r="A493" s="13" t="n">
        <v>45709</v>
      </c>
      <c r="B493" s="8" t="s">
        <v>37</v>
      </c>
      <c r="C493" s="9" t="n">
        <v>30</v>
      </c>
      <c r="D493" s="8" t="s">
        <v>21</v>
      </c>
      <c r="E493" s="8" t="s">
        <v>122</v>
      </c>
      <c r="F493" s="8" t="str">
        <f aca="false">TEXT(A493,"MM-YYYY")</f>
        <v>02-2025</v>
      </c>
      <c r="G493" s="8" t="s">
        <v>14</v>
      </c>
      <c r="H493" s="8" t="s">
        <v>15</v>
      </c>
      <c r="I493" s="7"/>
      <c r="J493" s="8" t="str">
        <f aca="false">VLOOKUP(B493,Table3[#All],2,0)</f>
        <v>Maintance</v>
      </c>
      <c r="K493" s="8" t="str">
        <f aca="false">TEXT(ROW(), "0000")</f>
        <v>0493</v>
      </c>
      <c r="L493" s="8"/>
    </row>
    <row r="494" customFormat="false" ht="15.75" hidden="false" customHeight="true" outlineLevel="0" collapsed="false">
      <c r="A494" s="13" t="n">
        <v>45709</v>
      </c>
      <c r="B494" s="8" t="s">
        <v>35</v>
      </c>
      <c r="C494" s="9" t="n">
        <v>20</v>
      </c>
      <c r="D494" s="8" t="s">
        <v>21</v>
      </c>
      <c r="E494" s="8" t="s">
        <v>159</v>
      </c>
      <c r="F494" s="8" t="str">
        <f aca="false">TEXT(A494,"MM-YYYY")</f>
        <v>02-2025</v>
      </c>
      <c r="G494" s="8" t="s">
        <v>14</v>
      </c>
      <c r="H494" s="8" t="s">
        <v>15</v>
      </c>
      <c r="I494" s="7"/>
      <c r="J494" s="8" t="str">
        <f aca="false">VLOOKUP(B494,Table3[#All],2,0)</f>
        <v>Inventory</v>
      </c>
      <c r="K494" s="8" t="str">
        <f aca="false">TEXT(ROW(), "0000")</f>
        <v>0494</v>
      </c>
      <c r="L494" s="8"/>
    </row>
    <row r="495" customFormat="false" ht="15.75" hidden="false" customHeight="true" outlineLevel="0" collapsed="false">
      <c r="A495" s="13" t="n">
        <v>45710</v>
      </c>
      <c r="B495" s="8" t="s">
        <v>16</v>
      </c>
      <c r="C495" s="9" t="n">
        <v>15666</v>
      </c>
      <c r="D495" s="8" t="s">
        <v>17</v>
      </c>
      <c r="E495" s="8" t="s">
        <v>101</v>
      </c>
      <c r="F495" s="8" t="str">
        <f aca="false">TEXT(A495,"MM-YYYY")</f>
        <v>02-2025</v>
      </c>
      <c r="G495" s="8"/>
      <c r="H495" s="8"/>
      <c r="I495" s="7"/>
      <c r="J495" s="8" t="str">
        <f aca="false">VLOOKUP(B495,Table3[#All],2,0)</f>
        <v>Sales</v>
      </c>
      <c r="K495" s="8" t="str">
        <f aca="false">TEXT(ROW(), "0000")</f>
        <v>0495</v>
      </c>
      <c r="L495" s="8"/>
    </row>
    <row r="496" customFormat="false" ht="15.75" hidden="false" customHeight="true" outlineLevel="0" collapsed="false">
      <c r="A496" s="13" t="n">
        <v>45710</v>
      </c>
      <c r="B496" s="8" t="s">
        <v>22</v>
      </c>
      <c r="C496" s="9" t="n">
        <v>4278</v>
      </c>
      <c r="D496" s="8" t="s">
        <v>13</v>
      </c>
      <c r="E496" s="8" t="s">
        <v>125</v>
      </c>
      <c r="F496" s="8" t="str">
        <f aca="false">TEXT(A496,"MM-YYYY")</f>
        <v>02-2025</v>
      </c>
      <c r="G496" s="8" t="s">
        <v>14</v>
      </c>
      <c r="H496" s="8" t="s">
        <v>15</v>
      </c>
      <c r="I496" s="7"/>
      <c r="J496" s="8" t="str">
        <f aca="false">VLOOKUP(B496,Table3[#All],2,0)</f>
        <v>Inventory</v>
      </c>
      <c r="K496" s="8" t="str">
        <f aca="false">TEXT(ROW(), "0000")</f>
        <v>0496</v>
      </c>
      <c r="L496" s="8"/>
    </row>
    <row r="497" customFormat="false" ht="15.75" hidden="false" customHeight="true" outlineLevel="0" collapsed="false">
      <c r="A497" s="13" t="n">
        <v>45710</v>
      </c>
      <c r="B497" s="8" t="s">
        <v>16</v>
      </c>
      <c r="C497" s="9" t="n">
        <v>3937</v>
      </c>
      <c r="D497" s="8" t="s">
        <v>24</v>
      </c>
      <c r="E497" s="8" t="s">
        <v>90</v>
      </c>
      <c r="F497" s="8" t="str">
        <f aca="false">TEXT(A497,"MM-YYYY")</f>
        <v>02-2025</v>
      </c>
      <c r="G497" s="8"/>
      <c r="H497" s="8"/>
      <c r="I497" s="7"/>
      <c r="J497" s="8" t="str">
        <f aca="false">VLOOKUP(B497,Table3[#All],2,0)</f>
        <v>Sales</v>
      </c>
      <c r="K497" s="8" t="str">
        <f aca="false">TEXT(ROW(), "0000")</f>
        <v>0497</v>
      </c>
      <c r="L497" s="8"/>
    </row>
    <row r="498" customFormat="false" ht="15.75" hidden="false" customHeight="true" outlineLevel="0" collapsed="false">
      <c r="A498" s="13" t="n">
        <v>45710</v>
      </c>
      <c r="B498" s="8" t="s">
        <v>16</v>
      </c>
      <c r="C498" s="9" t="n">
        <v>3140</v>
      </c>
      <c r="D498" s="8" t="s">
        <v>21</v>
      </c>
      <c r="E498" s="8" t="s">
        <v>101</v>
      </c>
      <c r="F498" s="8" t="str">
        <f aca="false">TEXT(A498,"MM-YYYY")</f>
        <v>02-2025</v>
      </c>
      <c r="G498" s="8"/>
      <c r="H498" s="8"/>
      <c r="I498" s="7"/>
      <c r="J498" s="8" t="str">
        <f aca="false">VLOOKUP(B498,Table3[#All],2,0)</f>
        <v>Sales</v>
      </c>
      <c r="K498" s="8" t="str">
        <f aca="false">TEXT(ROW(), "0000")</f>
        <v>0498</v>
      </c>
      <c r="L498" s="8"/>
    </row>
    <row r="499" customFormat="false" ht="15.75" hidden="false" customHeight="true" outlineLevel="0" collapsed="false">
      <c r="A499" s="13" t="n">
        <v>45710</v>
      </c>
      <c r="B499" s="8" t="s">
        <v>22</v>
      </c>
      <c r="C499" s="9" t="n">
        <v>3075</v>
      </c>
      <c r="D499" s="8" t="s">
        <v>13</v>
      </c>
      <c r="E499" s="8" t="s">
        <v>125</v>
      </c>
      <c r="F499" s="8" t="str">
        <f aca="false">TEXT(A499,"MM-YYYY")</f>
        <v>02-2025</v>
      </c>
      <c r="G499" s="8" t="s">
        <v>14</v>
      </c>
      <c r="H499" s="8" t="s">
        <v>15</v>
      </c>
      <c r="I499" s="7"/>
      <c r="J499" s="8" t="str">
        <f aca="false">VLOOKUP(B499,Table3[#All],2,0)</f>
        <v>Inventory</v>
      </c>
      <c r="K499" s="8" t="str">
        <f aca="false">TEXT(ROW(), "0000")</f>
        <v>0499</v>
      </c>
      <c r="L499" s="8"/>
    </row>
    <row r="500" customFormat="false" ht="15.75" hidden="false" customHeight="true" outlineLevel="0" collapsed="false">
      <c r="A500" s="13" t="n">
        <v>45710</v>
      </c>
      <c r="B500" s="8" t="s">
        <v>19</v>
      </c>
      <c r="C500" s="9" t="n">
        <v>2076</v>
      </c>
      <c r="D500" s="8" t="s">
        <v>13</v>
      </c>
      <c r="E500" s="8" t="s">
        <v>111</v>
      </c>
      <c r="F500" s="8" t="str">
        <f aca="false">TEXT(A500,"MM-YYYY")</f>
        <v>02-2025</v>
      </c>
      <c r="G500" s="8" t="s">
        <v>14</v>
      </c>
      <c r="H500" s="8" t="s">
        <v>15</v>
      </c>
      <c r="I500" s="7"/>
      <c r="J500" s="8" t="str">
        <f aca="false">VLOOKUP(B500,Table3[#All],2,0)</f>
        <v>Inventory</v>
      </c>
      <c r="K500" s="8" t="str">
        <f aca="false">TEXT(ROW(), "0000")</f>
        <v>0500</v>
      </c>
      <c r="L500" s="8"/>
    </row>
    <row r="501" customFormat="false" ht="15.75" hidden="false" customHeight="true" outlineLevel="0" collapsed="false">
      <c r="A501" s="13" t="n">
        <v>45710</v>
      </c>
      <c r="B501" s="8" t="s">
        <v>29</v>
      </c>
      <c r="C501" s="9" t="n">
        <v>2000</v>
      </c>
      <c r="D501" s="8" t="s">
        <v>21</v>
      </c>
      <c r="E501" s="8" t="s">
        <v>78</v>
      </c>
      <c r="F501" s="8" t="str">
        <f aca="false">TEXT(A501,"MM-YYYY")</f>
        <v>02-2025</v>
      </c>
      <c r="G501" s="8" t="s">
        <v>14</v>
      </c>
      <c r="H501" s="8" t="s">
        <v>15</v>
      </c>
      <c r="I501" s="7"/>
      <c r="J501" s="8" t="str">
        <f aca="false">VLOOKUP(B501,Table3[#All],2,0)</f>
        <v>Inventory</v>
      </c>
      <c r="K501" s="8" t="str">
        <f aca="false">TEXT(ROW(), "0000")</f>
        <v>0501</v>
      </c>
      <c r="L501" s="8"/>
    </row>
    <row r="502" customFormat="false" ht="15.75" hidden="false" customHeight="true" outlineLevel="0" collapsed="false">
      <c r="A502" s="13" t="n">
        <v>45710</v>
      </c>
      <c r="B502" s="8" t="s">
        <v>29</v>
      </c>
      <c r="C502" s="9" t="n">
        <v>1650</v>
      </c>
      <c r="D502" s="8" t="s">
        <v>45</v>
      </c>
      <c r="E502" s="8" t="s">
        <v>78</v>
      </c>
      <c r="F502" s="8" t="str">
        <f aca="false">TEXT(A502,"MM-YYYY")</f>
        <v>02-2025</v>
      </c>
      <c r="G502" s="8" t="s">
        <v>14</v>
      </c>
      <c r="H502" s="8" t="s">
        <v>15</v>
      </c>
      <c r="I502" s="7"/>
      <c r="J502" s="8" t="str">
        <f aca="false">VLOOKUP(B502,Table3[#All],2,0)</f>
        <v>Inventory</v>
      </c>
      <c r="K502" s="8" t="str">
        <f aca="false">TEXT(ROW(), "0000")</f>
        <v>0502</v>
      </c>
      <c r="L502" s="8"/>
    </row>
    <row r="503" customFormat="false" ht="15.75" hidden="false" customHeight="true" outlineLevel="0" collapsed="false">
      <c r="A503" s="13" t="n">
        <v>45710</v>
      </c>
      <c r="B503" s="8" t="s">
        <v>16</v>
      </c>
      <c r="C503" s="9" t="n">
        <v>1570</v>
      </c>
      <c r="D503" s="8" t="s">
        <v>33</v>
      </c>
      <c r="E503" s="8" t="s">
        <v>101</v>
      </c>
      <c r="F503" s="8" t="str">
        <f aca="false">TEXT(A503,"MM-YYYY")</f>
        <v>02-2025</v>
      </c>
      <c r="G503" s="8"/>
      <c r="H503" s="8"/>
      <c r="I503" s="7"/>
      <c r="J503" s="8" t="str">
        <f aca="false">VLOOKUP(B503,Table3[#All],2,0)</f>
        <v>Sales</v>
      </c>
      <c r="K503" s="8" t="str">
        <f aca="false">TEXT(ROW(), "0000")</f>
        <v>0503</v>
      </c>
      <c r="L503" s="8"/>
    </row>
    <row r="504" customFormat="false" ht="15.75" hidden="false" customHeight="true" outlineLevel="0" collapsed="false">
      <c r="A504" s="13" t="n">
        <v>45710</v>
      </c>
      <c r="B504" s="8" t="s">
        <v>40</v>
      </c>
      <c r="C504" s="9" t="n">
        <v>1480</v>
      </c>
      <c r="D504" s="8" t="s">
        <v>45</v>
      </c>
      <c r="E504" s="8" t="s">
        <v>160</v>
      </c>
      <c r="F504" s="8" t="str">
        <f aca="false">TEXT(A504,"MM-YYYY")</f>
        <v>02-2025</v>
      </c>
      <c r="G504" s="8" t="s">
        <v>14</v>
      </c>
      <c r="H504" s="8" t="s">
        <v>15</v>
      </c>
      <c r="I504" s="7"/>
      <c r="J504" s="8" t="str">
        <f aca="false">VLOOKUP(B504,Table3[#All],2,0)</f>
        <v>Inventory</v>
      </c>
      <c r="K504" s="8" t="str">
        <f aca="false">TEXT(ROW(), "0000")</f>
        <v>0504</v>
      </c>
      <c r="L504" s="8"/>
    </row>
    <row r="505" customFormat="false" ht="15.75" hidden="false" customHeight="true" outlineLevel="0" collapsed="false">
      <c r="A505" s="13" t="n">
        <v>45710</v>
      </c>
      <c r="B505" s="8" t="s">
        <v>25</v>
      </c>
      <c r="C505" s="9" t="n">
        <v>1168</v>
      </c>
      <c r="D505" s="8" t="s">
        <v>13</v>
      </c>
      <c r="E505" s="8" t="s">
        <v>113</v>
      </c>
      <c r="F505" s="8" t="str">
        <f aca="false">TEXT(A505,"MM-YYYY")</f>
        <v>02-2025</v>
      </c>
      <c r="G505" s="8" t="s">
        <v>14</v>
      </c>
      <c r="H505" s="8" t="s">
        <v>15</v>
      </c>
      <c r="I505" s="7"/>
      <c r="J505" s="8" t="str">
        <f aca="false">VLOOKUP(B505,Table3[#All],2,0)</f>
        <v>Inventory</v>
      </c>
      <c r="K505" s="8" t="str">
        <f aca="false">TEXT(ROW(), "0000")</f>
        <v>0505</v>
      </c>
      <c r="L505" s="8"/>
    </row>
    <row r="506" customFormat="false" ht="15.75" hidden="false" customHeight="true" outlineLevel="0" collapsed="false">
      <c r="A506" s="13" t="n">
        <v>45710</v>
      </c>
      <c r="B506" s="8" t="s">
        <v>16</v>
      </c>
      <c r="C506" s="9" t="n">
        <v>675</v>
      </c>
      <c r="D506" s="8" t="s">
        <v>59</v>
      </c>
      <c r="E506" s="8" t="s">
        <v>101</v>
      </c>
      <c r="F506" s="8" t="str">
        <f aca="false">TEXT(A506,"MM-YYYY")</f>
        <v>02-2025</v>
      </c>
      <c r="G506" s="8"/>
      <c r="H506" s="8"/>
      <c r="I506" s="7"/>
      <c r="J506" s="8" t="str">
        <f aca="false">VLOOKUP(B506,Table3[#All],2,0)</f>
        <v>Sales</v>
      </c>
      <c r="K506" s="8" t="str">
        <f aca="false">TEXT(ROW(), "0000")</f>
        <v>0506</v>
      </c>
      <c r="L506" s="8"/>
    </row>
    <row r="507" customFormat="false" ht="15.75" hidden="false" customHeight="true" outlineLevel="0" collapsed="false">
      <c r="A507" s="13" t="n">
        <v>45710</v>
      </c>
      <c r="B507" s="8" t="s">
        <v>29</v>
      </c>
      <c r="C507" s="9" t="n">
        <v>484</v>
      </c>
      <c r="D507" s="8" t="s">
        <v>13</v>
      </c>
      <c r="E507" s="8" t="s">
        <v>117</v>
      </c>
      <c r="F507" s="8" t="str">
        <f aca="false">TEXT(A507,"MM-YYYY")</f>
        <v>02-2025</v>
      </c>
      <c r="G507" s="8" t="s">
        <v>14</v>
      </c>
      <c r="H507" s="8" t="s">
        <v>15</v>
      </c>
      <c r="I507" s="7"/>
      <c r="J507" s="8" t="str">
        <f aca="false">VLOOKUP(B507,Table3[#All],2,0)</f>
        <v>Inventory</v>
      </c>
      <c r="K507" s="8" t="str">
        <f aca="false">TEXT(ROW(), "0000")</f>
        <v>0507</v>
      </c>
      <c r="L507" s="8"/>
    </row>
    <row r="508" customFormat="false" ht="15.75" hidden="false" customHeight="true" outlineLevel="0" collapsed="false">
      <c r="A508" s="13" t="n">
        <v>45710</v>
      </c>
      <c r="B508" s="8" t="s">
        <v>43</v>
      </c>
      <c r="C508" s="9" t="n">
        <v>340</v>
      </c>
      <c r="D508" s="8" t="s">
        <v>45</v>
      </c>
      <c r="E508" s="8" t="s">
        <v>161</v>
      </c>
      <c r="F508" s="8" t="str">
        <f aca="false">TEXT(A508,"MM-YYYY")</f>
        <v>02-2025</v>
      </c>
      <c r="G508" s="8" t="s">
        <v>14</v>
      </c>
      <c r="H508" s="8" t="s">
        <v>15</v>
      </c>
      <c r="I508" s="7"/>
      <c r="J508" s="8" t="str">
        <f aca="false">VLOOKUP(B508,Table3[#All],2,0)</f>
        <v>Maintance</v>
      </c>
      <c r="K508" s="8" t="str">
        <f aca="false">TEXT(ROW(), "0000")</f>
        <v>0508</v>
      </c>
      <c r="L508" s="8"/>
    </row>
    <row r="509" customFormat="false" ht="15.75" hidden="false" customHeight="true" outlineLevel="0" collapsed="false">
      <c r="A509" s="13" t="n">
        <v>45710</v>
      </c>
      <c r="B509" s="8" t="s">
        <v>43</v>
      </c>
      <c r="C509" s="9" t="n">
        <v>135</v>
      </c>
      <c r="D509" s="8" t="s">
        <v>45</v>
      </c>
      <c r="E509" s="8" t="s">
        <v>162</v>
      </c>
      <c r="F509" s="8" t="str">
        <f aca="false">TEXT(A509,"MM-YYYY")</f>
        <v>02-2025</v>
      </c>
      <c r="G509" s="8" t="s">
        <v>14</v>
      </c>
      <c r="H509" s="8" t="s">
        <v>15</v>
      </c>
      <c r="I509" s="7"/>
      <c r="J509" s="8" t="str">
        <f aca="false">VLOOKUP(B509,Table3[#All],2,0)</f>
        <v>Maintance</v>
      </c>
      <c r="K509" s="8" t="str">
        <f aca="false">TEXT(ROW(), "0000")</f>
        <v>0509</v>
      </c>
      <c r="L509" s="8"/>
    </row>
    <row r="510" customFormat="false" ht="15.75" hidden="false" customHeight="true" outlineLevel="0" collapsed="false">
      <c r="A510" s="13" t="n">
        <v>45710</v>
      </c>
      <c r="B510" s="8" t="s">
        <v>154</v>
      </c>
      <c r="C510" s="9" t="n">
        <v>125</v>
      </c>
      <c r="D510" s="8" t="s">
        <v>45</v>
      </c>
      <c r="E510" s="8" t="s">
        <v>104</v>
      </c>
      <c r="F510" s="8" t="str">
        <f aca="false">TEXT(A510,"MM-YYYY")</f>
        <v>02-2025</v>
      </c>
      <c r="G510" s="8" t="s">
        <v>14</v>
      </c>
      <c r="H510" s="8" t="s">
        <v>15</v>
      </c>
      <c r="I510" s="7"/>
      <c r="J510" s="8" t="str">
        <f aca="false">VLOOKUP(B510,Table3[#All],2,0)</f>
        <v>Staff Expenses</v>
      </c>
      <c r="K510" s="8" t="str">
        <f aca="false">TEXT(ROW(), "0000")</f>
        <v>0510</v>
      </c>
      <c r="L510" s="8"/>
    </row>
    <row r="511" customFormat="false" ht="15.75" hidden="false" customHeight="true" outlineLevel="0" collapsed="false">
      <c r="A511" s="13" t="n">
        <v>45710</v>
      </c>
      <c r="B511" s="8" t="s">
        <v>29</v>
      </c>
      <c r="C511" s="9" t="n">
        <v>30</v>
      </c>
      <c r="D511" s="8" t="s">
        <v>21</v>
      </c>
      <c r="E511" s="8" t="s">
        <v>130</v>
      </c>
      <c r="F511" s="8" t="str">
        <f aca="false">TEXT(A511,"MM-YYYY")</f>
        <v>02-2025</v>
      </c>
      <c r="G511" s="8" t="s">
        <v>14</v>
      </c>
      <c r="H511" s="8" t="s">
        <v>15</v>
      </c>
      <c r="I511" s="7"/>
      <c r="J511" s="8" t="str">
        <f aca="false">VLOOKUP(B511,Table3[#All],2,0)</f>
        <v>Inventory</v>
      </c>
      <c r="K511" s="8" t="str">
        <f aca="false">TEXT(ROW(), "0000")</f>
        <v>0511</v>
      </c>
      <c r="L511" s="8"/>
    </row>
    <row r="512" customFormat="false" ht="15.75" hidden="false" customHeight="true" outlineLevel="0" collapsed="false">
      <c r="A512" s="13" t="n">
        <v>45710</v>
      </c>
      <c r="B512" s="8" t="s">
        <v>37</v>
      </c>
      <c r="C512" s="9" t="n">
        <v>10</v>
      </c>
      <c r="D512" s="8" t="s">
        <v>21</v>
      </c>
      <c r="E512" s="8" t="s">
        <v>122</v>
      </c>
      <c r="F512" s="8" t="str">
        <f aca="false">TEXT(A512,"MM-YYYY")</f>
        <v>02-2025</v>
      </c>
      <c r="G512" s="8" t="s">
        <v>14</v>
      </c>
      <c r="H512" s="8" t="s">
        <v>15</v>
      </c>
      <c r="I512" s="7"/>
      <c r="J512" s="8" t="str">
        <f aca="false">VLOOKUP(B512,Table3[#All],2,0)</f>
        <v>Maintance</v>
      </c>
      <c r="K512" s="8" t="str">
        <f aca="false">TEXT(ROW(), "0000")</f>
        <v>0512</v>
      </c>
      <c r="L512" s="8"/>
    </row>
    <row r="513" customFormat="false" ht="15.75" hidden="false" customHeight="true" outlineLevel="0" collapsed="false">
      <c r="A513" s="13" t="n">
        <v>45711</v>
      </c>
      <c r="B513" s="8" t="s">
        <v>16</v>
      </c>
      <c r="C513" s="9" t="n">
        <v>14098</v>
      </c>
      <c r="D513" s="8" t="s">
        <v>17</v>
      </c>
      <c r="E513" s="8" t="s">
        <v>101</v>
      </c>
      <c r="F513" s="8" t="str">
        <f aca="false">TEXT(A513,"MM-YYYY")</f>
        <v>02-2025</v>
      </c>
      <c r="G513" s="8"/>
      <c r="H513" s="8"/>
      <c r="I513" s="7"/>
      <c r="J513" s="8" t="str">
        <f aca="false">VLOOKUP(B513,Table3[#All],2,0)</f>
        <v>Sales</v>
      </c>
      <c r="K513" s="8" t="str">
        <f aca="false">TEXT(ROW(), "0000")</f>
        <v>0513</v>
      </c>
      <c r="L513" s="8"/>
    </row>
    <row r="514" customFormat="false" ht="15.75" hidden="false" customHeight="true" outlineLevel="0" collapsed="false">
      <c r="A514" s="13" t="n">
        <v>45711</v>
      </c>
      <c r="B514" s="8" t="s">
        <v>16</v>
      </c>
      <c r="C514" s="9" t="n">
        <v>6166</v>
      </c>
      <c r="D514" s="8" t="s">
        <v>24</v>
      </c>
      <c r="E514" s="8" t="s">
        <v>90</v>
      </c>
      <c r="F514" s="8" t="str">
        <f aca="false">TEXT(A514,"MM-YYYY")</f>
        <v>02-2025</v>
      </c>
      <c r="G514" s="8"/>
      <c r="H514" s="8"/>
      <c r="I514" s="7"/>
      <c r="J514" s="8" t="str">
        <f aca="false">VLOOKUP(B514,Table3[#All],2,0)</f>
        <v>Sales</v>
      </c>
      <c r="K514" s="8" t="str">
        <f aca="false">TEXT(ROW(), "0000")</f>
        <v>0514</v>
      </c>
      <c r="L514" s="8"/>
    </row>
    <row r="515" customFormat="false" ht="15.75" hidden="false" customHeight="true" outlineLevel="0" collapsed="false">
      <c r="A515" s="13" t="n">
        <v>45711</v>
      </c>
      <c r="B515" s="8" t="s">
        <v>19</v>
      </c>
      <c r="C515" s="9" t="n">
        <v>2926</v>
      </c>
      <c r="D515" s="8" t="s">
        <v>13</v>
      </c>
      <c r="E515" s="8" t="s">
        <v>111</v>
      </c>
      <c r="F515" s="8" t="str">
        <f aca="false">TEXT(A515,"MM-YYYY")</f>
        <v>02-2025</v>
      </c>
      <c r="G515" s="8" t="s">
        <v>14</v>
      </c>
      <c r="H515" s="8" t="s">
        <v>15</v>
      </c>
      <c r="I515" s="7"/>
      <c r="J515" s="8" t="str">
        <f aca="false">VLOOKUP(B515,Table3[#All],2,0)</f>
        <v>Inventory</v>
      </c>
      <c r="K515" s="8" t="str">
        <f aca="false">TEXT(ROW(), "0000")</f>
        <v>0515</v>
      </c>
      <c r="L515" s="8"/>
    </row>
    <row r="516" customFormat="false" ht="15.75" hidden="false" customHeight="true" outlineLevel="0" collapsed="false">
      <c r="A516" s="13" t="n">
        <v>45711</v>
      </c>
      <c r="B516" s="8" t="s">
        <v>16</v>
      </c>
      <c r="C516" s="9" t="n">
        <v>2270</v>
      </c>
      <c r="D516" s="8" t="s">
        <v>33</v>
      </c>
      <c r="E516" s="8" t="s">
        <v>101</v>
      </c>
      <c r="F516" s="8" t="str">
        <f aca="false">TEXT(A516,"MM-YYYY")</f>
        <v>02-2025</v>
      </c>
      <c r="G516" s="8"/>
      <c r="H516" s="8"/>
      <c r="I516" s="7"/>
      <c r="J516" s="8" t="str">
        <f aca="false">VLOOKUP(B516,Table3[#All],2,0)</f>
        <v>Sales</v>
      </c>
      <c r="K516" s="8" t="str">
        <f aca="false">TEXT(ROW(), "0000")</f>
        <v>0516</v>
      </c>
      <c r="L516" s="8"/>
    </row>
    <row r="517" customFormat="false" ht="15.75" hidden="false" customHeight="true" outlineLevel="0" collapsed="false">
      <c r="A517" s="13" t="n">
        <v>45711</v>
      </c>
      <c r="B517" s="8" t="s">
        <v>16</v>
      </c>
      <c r="C517" s="9" t="n">
        <v>1460</v>
      </c>
      <c r="D517" s="8" t="s">
        <v>21</v>
      </c>
      <c r="E517" s="8" t="s">
        <v>101</v>
      </c>
      <c r="F517" s="8" t="str">
        <f aca="false">TEXT(A517,"MM-YYYY")</f>
        <v>02-2025</v>
      </c>
      <c r="G517" s="8"/>
      <c r="H517" s="8"/>
      <c r="I517" s="7"/>
      <c r="J517" s="8" t="str">
        <f aca="false">VLOOKUP(B517,Table3[#All],2,0)</f>
        <v>Sales</v>
      </c>
      <c r="K517" s="8" t="str">
        <f aca="false">TEXT(ROW(), "0000")</f>
        <v>0517</v>
      </c>
      <c r="L517" s="8"/>
    </row>
    <row r="518" customFormat="false" ht="15.75" hidden="false" customHeight="true" outlineLevel="0" collapsed="false">
      <c r="A518" s="13" t="n">
        <v>45711</v>
      </c>
      <c r="B518" s="8" t="s">
        <v>16</v>
      </c>
      <c r="C518" s="9" t="n">
        <v>1350</v>
      </c>
      <c r="D518" s="8" t="s">
        <v>27</v>
      </c>
      <c r="E518" s="8" t="s">
        <v>101</v>
      </c>
      <c r="F518" s="8" t="str">
        <f aca="false">TEXT(A518,"MM-YYYY")</f>
        <v>02-2025</v>
      </c>
      <c r="G518" s="8"/>
      <c r="H518" s="8"/>
      <c r="I518" s="7"/>
      <c r="J518" s="8" t="str">
        <f aca="false">VLOOKUP(B518,Table3[#All],2,0)</f>
        <v>Sales</v>
      </c>
      <c r="K518" s="8" t="str">
        <f aca="false">TEXT(ROW(), "0000")</f>
        <v>0518</v>
      </c>
      <c r="L518" s="8"/>
    </row>
    <row r="519" customFormat="false" ht="15.75" hidden="false" customHeight="true" outlineLevel="0" collapsed="false">
      <c r="A519" s="13" t="n">
        <v>45711</v>
      </c>
      <c r="B519" s="8" t="s">
        <v>28</v>
      </c>
      <c r="C519" s="9" t="n">
        <v>1165</v>
      </c>
      <c r="D519" s="8" t="s">
        <v>45</v>
      </c>
      <c r="E519" s="8" t="s">
        <v>127</v>
      </c>
      <c r="F519" s="8" t="str">
        <f aca="false">TEXT(A519,"MM-YYYY")</f>
        <v>02-2025</v>
      </c>
      <c r="G519" s="8" t="s">
        <v>14</v>
      </c>
      <c r="H519" s="8" t="s">
        <v>15</v>
      </c>
      <c r="I519" s="7"/>
      <c r="J519" s="8" t="str">
        <f aca="false">VLOOKUP(B519,Table3[#All],2,0)</f>
        <v>Grocery</v>
      </c>
      <c r="K519" s="8" t="str">
        <f aca="false">TEXT(ROW(), "0000")</f>
        <v>0519</v>
      </c>
      <c r="L519" s="8"/>
    </row>
    <row r="520" customFormat="false" ht="15.75" hidden="false" customHeight="true" outlineLevel="0" collapsed="false">
      <c r="A520" s="13" t="n">
        <v>45711</v>
      </c>
      <c r="B520" s="8" t="s">
        <v>16</v>
      </c>
      <c r="C520" s="9" t="n">
        <v>1079</v>
      </c>
      <c r="D520" s="8" t="s">
        <v>59</v>
      </c>
      <c r="E520" s="8" t="s">
        <v>101</v>
      </c>
      <c r="F520" s="8" t="str">
        <f aca="false">TEXT(A520,"MM-YYYY")</f>
        <v>02-2025</v>
      </c>
      <c r="G520" s="8"/>
      <c r="H520" s="8"/>
      <c r="I520" s="7"/>
      <c r="J520" s="8" t="str">
        <f aca="false">VLOOKUP(B520,Table3[#All],2,0)</f>
        <v>Sales</v>
      </c>
      <c r="K520" s="8" t="str">
        <f aca="false">TEXT(ROW(), "0000")</f>
        <v>0520</v>
      </c>
      <c r="L520" s="8"/>
    </row>
    <row r="521" customFormat="false" ht="15.75" hidden="false" customHeight="true" outlineLevel="0" collapsed="false">
      <c r="A521" s="13" t="n">
        <v>45711</v>
      </c>
      <c r="B521" s="8" t="s">
        <v>25</v>
      </c>
      <c r="C521" s="9" t="n">
        <v>690</v>
      </c>
      <c r="D521" s="8" t="s">
        <v>13</v>
      </c>
      <c r="E521" s="8" t="s">
        <v>113</v>
      </c>
      <c r="F521" s="8" t="str">
        <f aca="false">TEXT(A521,"MM-YYYY")</f>
        <v>02-2025</v>
      </c>
      <c r="G521" s="8" t="s">
        <v>14</v>
      </c>
      <c r="H521" s="8" t="s">
        <v>15</v>
      </c>
      <c r="I521" s="7"/>
      <c r="J521" s="8" t="str">
        <f aca="false">VLOOKUP(B521,Table3[#All],2,0)</f>
        <v>Inventory</v>
      </c>
      <c r="K521" s="8" t="str">
        <f aca="false">TEXT(ROW(), "0000")</f>
        <v>0521</v>
      </c>
      <c r="L521" s="8"/>
    </row>
    <row r="522" customFormat="false" ht="15.75" hidden="false" customHeight="true" outlineLevel="0" collapsed="false">
      <c r="A522" s="13" t="n">
        <v>45711</v>
      </c>
      <c r="B522" s="8" t="s">
        <v>29</v>
      </c>
      <c r="C522" s="9" t="n">
        <v>670</v>
      </c>
      <c r="D522" s="8" t="s">
        <v>13</v>
      </c>
      <c r="E522" s="8" t="s">
        <v>117</v>
      </c>
      <c r="F522" s="8" t="str">
        <f aca="false">TEXT(A522,"MM-YYYY")</f>
        <v>02-2025</v>
      </c>
      <c r="G522" s="8" t="s">
        <v>14</v>
      </c>
      <c r="H522" s="8" t="s">
        <v>15</v>
      </c>
      <c r="I522" s="7"/>
      <c r="J522" s="8" t="str">
        <f aca="false">VLOOKUP(B522,Table3[#All],2,0)</f>
        <v>Inventory</v>
      </c>
      <c r="K522" s="8" t="str">
        <f aca="false">TEXT(ROW(), "0000")</f>
        <v>0522</v>
      </c>
      <c r="L522" s="8"/>
    </row>
    <row r="523" customFormat="false" ht="15.75" hidden="false" customHeight="true" outlineLevel="0" collapsed="false">
      <c r="A523" s="13" t="n">
        <v>45711</v>
      </c>
      <c r="B523" s="8" t="s">
        <v>25</v>
      </c>
      <c r="C523" s="9" t="n">
        <v>210</v>
      </c>
      <c r="D523" s="8" t="s">
        <v>45</v>
      </c>
      <c r="E523" s="8" t="s">
        <v>136</v>
      </c>
      <c r="F523" s="8" t="str">
        <f aca="false">TEXT(A523,"MM-YYYY")</f>
        <v>02-2025</v>
      </c>
      <c r="G523" s="8" t="s">
        <v>14</v>
      </c>
      <c r="H523" s="8" t="s">
        <v>15</v>
      </c>
      <c r="I523" s="7"/>
      <c r="J523" s="8" t="str">
        <f aca="false">VLOOKUP(B523,Table3[#All],2,0)</f>
        <v>Inventory</v>
      </c>
      <c r="K523" s="8" t="str">
        <f aca="false">TEXT(ROW(), "0000")</f>
        <v>0523</v>
      </c>
      <c r="L523" s="8"/>
    </row>
    <row r="524" customFormat="false" ht="15.75" hidden="false" customHeight="true" outlineLevel="0" collapsed="false">
      <c r="A524" s="13" t="n">
        <v>45711</v>
      </c>
      <c r="B524" s="8" t="s">
        <v>34</v>
      </c>
      <c r="C524" s="9" t="n">
        <v>100</v>
      </c>
      <c r="D524" s="8" t="s">
        <v>45</v>
      </c>
      <c r="E524" s="8" t="s">
        <v>104</v>
      </c>
      <c r="F524" s="8" t="str">
        <f aca="false">TEXT(A524,"MM-YYYY")</f>
        <v>02-2025</v>
      </c>
      <c r="G524" s="8" t="s">
        <v>14</v>
      </c>
      <c r="H524" s="8" t="s">
        <v>15</v>
      </c>
      <c r="I524" s="7"/>
      <c r="J524" s="8" t="str">
        <f aca="false">VLOOKUP(B524,Table3[#All],2,0)</f>
        <v>Staff Expenses</v>
      </c>
      <c r="K524" s="8" t="str">
        <f aca="false">TEXT(ROW(), "0000")</f>
        <v>0524</v>
      </c>
      <c r="L524" s="8"/>
    </row>
    <row r="525" customFormat="false" ht="15.75" hidden="false" customHeight="true" outlineLevel="0" collapsed="false">
      <c r="A525" s="13" t="n">
        <v>45711</v>
      </c>
      <c r="B525" s="8" t="s">
        <v>43</v>
      </c>
      <c r="C525" s="9" t="n">
        <v>40</v>
      </c>
      <c r="D525" s="8" t="s">
        <v>45</v>
      </c>
      <c r="E525" s="8" t="s">
        <v>163</v>
      </c>
      <c r="F525" s="8" t="str">
        <f aca="false">TEXT(A525,"MM-YYYY")</f>
        <v>02-2025</v>
      </c>
      <c r="G525" s="8" t="s">
        <v>14</v>
      </c>
      <c r="H525" s="8" t="s">
        <v>15</v>
      </c>
      <c r="I525" s="7"/>
      <c r="J525" s="8" t="str">
        <f aca="false">VLOOKUP(B525,Table3[#All],2,0)</f>
        <v>Maintance</v>
      </c>
      <c r="K525" s="8" t="str">
        <f aca="false">TEXT(ROW(), "0000")</f>
        <v>0525</v>
      </c>
      <c r="L525" s="8"/>
    </row>
    <row r="526" customFormat="false" ht="15.75" hidden="false" customHeight="true" outlineLevel="0" collapsed="false">
      <c r="A526" s="13" t="n">
        <v>45711</v>
      </c>
      <c r="B526" s="8" t="s">
        <v>37</v>
      </c>
      <c r="C526" s="9" t="n">
        <v>20</v>
      </c>
      <c r="D526" s="8" t="s">
        <v>21</v>
      </c>
      <c r="E526" s="8" t="s">
        <v>122</v>
      </c>
      <c r="F526" s="8" t="str">
        <f aca="false">TEXT(A526,"MM-YYYY")</f>
        <v>02-2025</v>
      </c>
      <c r="G526" s="8" t="s">
        <v>14</v>
      </c>
      <c r="H526" s="8" t="s">
        <v>15</v>
      </c>
      <c r="I526" s="7"/>
      <c r="J526" s="8" t="str">
        <f aca="false">VLOOKUP(B526,Table3[#All],2,0)</f>
        <v>Maintance</v>
      </c>
      <c r="K526" s="8" t="str">
        <f aca="false">TEXT(ROW(), "0000")</f>
        <v>0526</v>
      </c>
      <c r="L526" s="8"/>
    </row>
    <row r="527" customFormat="false" ht="15.75" hidden="false" customHeight="true" outlineLevel="0" collapsed="false">
      <c r="A527" s="13" t="n">
        <v>45711</v>
      </c>
      <c r="B527" s="8" t="s">
        <v>34</v>
      </c>
      <c r="C527" s="9" t="n">
        <v>20</v>
      </c>
      <c r="D527" s="8" t="s">
        <v>21</v>
      </c>
      <c r="E527" s="8" t="s">
        <v>104</v>
      </c>
      <c r="F527" s="8" t="str">
        <f aca="false">TEXT(A527,"MM-YYYY")</f>
        <v>02-2025</v>
      </c>
      <c r="G527" s="8" t="s">
        <v>14</v>
      </c>
      <c r="H527" s="8" t="s">
        <v>15</v>
      </c>
      <c r="I527" s="7"/>
      <c r="J527" s="8" t="str">
        <f aca="false">VLOOKUP(B527,Table3[#All],2,0)</f>
        <v>Staff Expenses</v>
      </c>
      <c r="K527" s="8" t="str">
        <f aca="false">TEXT(ROW(), "0000")</f>
        <v>0527</v>
      </c>
      <c r="L527" s="8"/>
    </row>
    <row r="528" customFormat="false" ht="15.75" hidden="false" customHeight="true" outlineLevel="0" collapsed="false">
      <c r="A528" s="13" t="n">
        <v>45712</v>
      </c>
      <c r="B528" s="8" t="s">
        <v>43</v>
      </c>
      <c r="C528" s="9" t="n">
        <v>100</v>
      </c>
      <c r="D528" s="8" t="s">
        <v>45</v>
      </c>
      <c r="E528" s="8" t="s">
        <v>164</v>
      </c>
      <c r="F528" s="8" t="str">
        <f aca="false">TEXT(A528,"MM-YYYY")</f>
        <v>02-2025</v>
      </c>
      <c r="G528" s="8" t="s">
        <v>14</v>
      </c>
      <c r="H528" s="8" t="s">
        <v>15</v>
      </c>
      <c r="I528" s="7"/>
      <c r="J528" s="8" t="str">
        <f aca="false">VLOOKUP(B528,Table3[#All],2,0)</f>
        <v>Maintance</v>
      </c>
      <c r="K528" s="8" t="str">
        <f aca="false">TEXT(ROW(), "0000")</f>
        <v>0528</v>
      </c>
      <c r="L528" s="8"/>
    </row>
    <row r="529" customFormat="false" ht="15.75" hidden="false" customHeight="true" outlineLevel="0" collapsed="false">
      <c r="A529" s="13" t="n">
        <v>45712</v>
      </c>
      <c r="B529" s="8" t="s">
        <v>29</v>
      </c>
      <c r="C529" s="9" t="n">
        <v>371</v>
      </c>
      <c r="D529" s="8" t="s">
        <v>13</v>
      </c>
      <c r="E529" s="8" t="s">
        <v>117</v>
      </c>
      <c r="F529" s="8" t="str">
        <f aca="false">TEXT(A529,"MM-YYYY")</f>
        <v>02-2025</v>
      </c>
      <c r="G529" s="8" t="s">
        <v>14</v>
      </c>
      <c r="H529" s="8" t="s">
        <v>15</v>
      </c>
      <c r="I529" s="7"/>
      <c r="J529" s="8" t="str">
        <f aca="false">VLOOKUP(B529,Table3[#All],2,0)</f>
        <v>Inventory</v>
      </c>
      <c r="K529" s="8" t="str">
        <f aca="false">TEXT(ROW(), "0000")</f>
        <v>0529</v>
      </c>
      <c r="L529" s="8"/>
    </row>
    <row r="530" customFormat="false" ht="15.75" hidden="false" customHeight="true" outlineLevel="0" collapsed="false">
      <c r="A530" s="13" t="n">
        <v>45712</v>
      </c>
      <c r="B530" s="8" t="s">
        <v>19</v>
      </c>
      <c r="C530" s="9" t="n">
        <v>3511</v>
      </c>
      <c r="D530" s="8" t="s">
        <v>13</v>
      </c>
      <c r="E530" s="8" t="s">
        <v>111</v>
      </c>
      <c r="F530" s="8" t="str">
        <f aca="false">TEXT(A530,"MM-YYYY")</f>
        <v>02-2025</v>
      </c>
      <c r="G530" s="8" t="s">
        <v>14</v>
      </c>
      <c r="H530" s="8" t="s">
        <v>15</v>
      </c>
      <c r="I530" s="7"/>
      <c r="J530" s="8" t="str">
        <f aca="false">VLOOKUP(B530,Table3[#All],2,0)</f>
        <v>Inventory</v>
      </c>
      <c r="K530" s="8" t="str">
        <f aca="false">TEXT(ROW(), "0000")</f>
        <v>0530</v>
      </c>
      <c r="L530" s="8"/>
    </row>
    <row r="531" customFormat="false" ht="15.75" hidden="false" customHeight="true" outlineLevel="0" collapsed="false">
      <c r="A531" s="13" t="n">
        <v>45712</v>
      </c>
      <c r="B531" s="8" t="s">
        <v>47</v>
      </c>
      <c r="C531" s="9" t="n">
        <v>1680</v>
      </c>
      <c r="D531" s="8" t="s">
        <v>13</v>
      </c>
      <c r="E531" s="8" t="s">
        <v>137</v>
      </c>
      <c r="F531" s="8" t="str">
        <f aca="false">TEXT(A531,"MM-YYYY")</f>
        <v>02-2025</v>
      </c>
      <c r="G531" s="8" t="s">
        <v>14</v>
      </c>
      <c r="H531" s="8" t="s">
        <v>15</v>
      </c>
      <c r="I531" s="7"/>
      <c r="J531" s="8" t="str">
        <f aca="false">VLOOKUP(B531,Table3[#All],2,0)</f>
        <v>Inventory</v>
      </c>
      <c r="K531" s="8" t="str">
        <f aca="false">TEXT(ROW(), "0000")</f>
        <v>0531</v>
      </c>
      <c r="L531" s="8"/>
    </row>
    <row r="532" customFormat="false" ht="15.75" hidden="false" customHeight="true" outlineLevel="0" collapsed="false">
      <c r="A532" s="13" t="n">
        <v>45712</v>
      </c>
      <c r="B532" s="8" t="s">
        <v>25</v>
      </c>
      <c r="C532" s="9" t="n">
        <v>976</v>
      </c>
      <c r="D532" s="8" t="s">
        <v>13</v>
      </c>
      <c r="E532" s="8" t="s">
        <v>113</v>
      </c>
      <c r="F532" s="8" t="str">
        <f aca="false">TEXT(A532,"MM-YYYY")</f>
        <v>02-2025</v>
      </c>
      <c r="G532" s="8" t="s">
        <v>14</v>
      </c>
      <c r="H532" s="8" t="s">
        <v>15</v>
      </c>
      <c r="I532" s="7"/>
      <c r="J532" s="8" t="str">
        <f aca="false">VLOOKUP(B532,Table3[#All],2,0)</f>
        <v>Inventory</v>
      </c>
      <c r="K532" s="8" t="str">
        <f aca="false">TEXT(ROW(), "0000")</f>
        <v>0532</v>
      </c>
      <c r="L532" s="8"/>
    </row>
    <row r="533" customFormat="false" ht="15.75" hidden="false" customHeight="true" outlineLevel="0" collapsed="false">
      <c r="A533" s="13" t="n">
        <v>45712</v>
      </c>
      <c r="B533" s="8" t="s">
        <v>37</v>
      </c>
      <c r="C533" s="9" t="n">
        <v>20</v>
      </c>
      <c r="D533" s="8" t="s">
        <v>21</v>
      </c>
      <c r="E533" s="8" t="s">
        <v>122</v>
      </c>
      <c r="F533" s="8" t="str">
        <f aca="false">TEXT(A533,"MM-YYYY")</f>
        <v>02-2025</v>
      </c>
      <c r="G533" s="8" t="s">
        <v>14</v>
      </c>
      <c r="H533" s="8" t="s">
        <v>15</v>
      </c>
      <c r="I533" s="7"/>
      <c r="J533" s="8" t="str">
        <f aca="false">VLOOKUP(B533,Table3[#All],2,0)</f>
        <v>Maintance</v>
      </c>
      <c r="K533" s="8" t="str">
        <f aca="false">TEXT(ROW(), "0000")</f>
        <v>0533</v>
      </c>
      <c r="L533" s="8"/>
    </row>
    <row r="534" customFormat="false" ht="15.75" hidden="false" customHeight="true" outlineLevel="0" collapsed="false">
      <c r="A534" s="13" t="n">
        <v>45712</v>
      </c>
      <c r="B534" s="8" t="s">
        <v>34</v>
      </c>
      <c r="C534" s="9" t="n">
        <v>125</v>
      </c>
      <c r="D534" s="8" t="s">
        <v>45</v>
      </c>
      <c r="E534" s="8" t="s">
        <v>104</v>
      </c>
      <c r="F534" s="8" t="str">
        <f aca="false">TEXT(A534,"MM-YYYY")</f>
        <v>02-2025</v>
      </c>
      <c r="G534" s="8" t="s">
        <v>14</v>
      </c>
      <c r="H534" s="8" t="s">
        <v>15</v>
      </c>
      <c r="I534" s="7"/>
      <c r="J534" s="8" t="str">
        <f aca="false">VLOOKUP(B534,Table3[#All],2,0)</f>
        <v>Staff Expenses</v>
      </c>
      <c r="K534" s="8" t="str">
        <f aca="false">TEXT(ROW(), "0000")</f>
        <v>0534</v>
      </c>
      <c r="L534" s="8"/>
    </row>
    <row r="535" customFormat="false" ht="15.75" hidden="false" customHeight="true" outlineLevel="0" collapsed="false">
      <c r="A535" s="13" t="n">
        <v>45712</v>
      </c>
      <c r="B535" s="8" t="s">
        <v>44</v>
      </c>
      <c r="C535" s="9" t="n">
        <v>500</v>
      </c>
      <c r="D535" s="8" t="s">
        <v>45</v>
      </c>
      <c r="E535" s="8" t="s">
        <v>165</v>
      </c>
      <c r="F535" s="8" t="str">
        <f aca="false">TEXT(A535,"MM-YYYY")</f>
        <v>02-2025</v>
      </c>
      <c r="G535" s="8" t="s">
        <v>14</v>
      </c>
      <c r="H535" s="8" t="s">
        <v>15</v>
      </c>
      <c r="I535" s="7"/>
      <c r="J535" s="8" t="str">
        <f aca="false">VLOOKUP(B535,Table3[#All],2,0)</f>
        <v>Salary</v>
      </c>
      <c r="K535" s="8" t="str">
        <f aca="false">TEXT(ROW(), "0000")</f>
        <v>0535</v>
      </c>
      <c r="L535" s="8"/>
    </row>
    <row r="536" customFormat="false" ht="15.75" hidden="false" customHeight="true" outlineLevel="0" collapsed="false">
      <c r="A536" s="13" t="n">
        <v>45712</v>
      </c>
      <c r="B536" s="8" t="s">
        <v>25</v>
      </c>
      <c r="C536" s="9" t="n">
        <v>60</v>
      </c>
      <c r="D536" s="8" t="s">
        <v>45</v>
      </c>
      <c r="E536" s="8" t="s">
        <v>105</v>
      </c>
      <c r="F536" s="8" t="str">
        <f aca="false">TEXT(A536,"MM-YYYY")</f>
        <v>02-2025</v>
      </c>
      <c r="G536" s="8" t="s">
        <v>14</v>
      </c>
      <c r="H536" s="8" t="s">
        <v>15</v>
      </c>
      <c r="I536" s="7"/>
      <c r="J536" s="8" t="str">
        <f aca="false">VLOOKUP(B536,Table3[#All],2,0)</f>
        <v>Inventory</v>
      </c>
      <c r="K536" s="8" t="str">
        <f aca="false">TEXT(ROW(), "0000")</f>
        <v>0536</v>
      </c>
      <c r="L536" s="8"/>
    </row>
    <row r="537" customFormat="false" ht="15.75" hidden="false" customHeight="true" outlineLevel="0" collapsed="false">
      <c r="A537" s="13" t="n">
        <v>45712</v>
      </c>
      <c r="B537" s="8" t="s">
        <v>44</v>
      </c>
      <c r="C537" s="9" t="n">
        <v>1000</v>
      </c>
      <c r="D537" s="8" t="s">
        <v>45</v>
      </c>
      <c r="E537" s="8" t="s">
        <v>166</v>
      </c>
      <c r="F537" s="8" t="str">
        <f aca="false">TEXT(A537,"MM-YYYY")</f>
        <v>02-2025</v>
      </c>
      <c r="G537" s="8" t="s">
        <v>14</v>
      </c>
      <c r="H537" s="8" t="s">
        <v>15</v>
      </c>
      <c r="I537" s="7"/>
      <c r="J537" s="8" t="str">
        <f aca="false">VLOOKUP(B537,Table3[#All],2,0)</f>
        <v>Salary</v>
      </c>
      <c r="K537" s="8" t="str">
        <f aca="false">TEXT(ROW(), "0000")</f>
        <v>0537</v>
      </c>
      <c r="L537" s="8"/>
    </row>
    <row r="538" customFormat="false" ht="15.75" hidden="false" customHeight="true" outlineLevel="0" collapsed="false">
      <c r="A538" s="13" t="n">
        <v>45712</v>
      </c>
      <c r="B538" s="8" t="s">
        <v>16</v>
      </c>
      <c r="C538" s="9" t="n">
        <v>2085</v>
      </c>
      <c r="D538" s="8" t="s">
        <v>21</v>
      </c>
      <c r="E538" s="8" t="s">
        <v>101</v>
      </c>
      <c r="F538" s="8" t="str">
        <f aca="false">TEXT(A538,"MM-YYYY")</f>
        <v>02-2025</v>
      </c>
      <c r="G538" s="8"/>
      <c r="H538" s="8"/>
      <c r="I538" s="7"/>
      <c r="J538" s="8" t="str">
        <f aca="false">VLOOKUP(B538,Table3[#All],2,0)</f>
        <v>Sales</v>
      </c>
      <c r="K538" s="8" t="str">
        <f aca="false">TEXT(ROW(), "0000")</f>
        <v>0538</v>
      </c>
      <c r="L538" s="8"/>
    </row>
    <row r="539" customFormat="false" ht="15.75" hidden="false" customHeight="true" outlineLevel="0" collapsed="false">
      <c r="A539" s="13" t="n">
        <v>45712</v>
      </c>
      <c r="B539" s="8" t="s">
        <v>16</v>
      </c>
      <c r="C539" s="9" t="n">
        <v>765</v>
      </c>
      <c r="D539" s="8" t="s">
        <v>27</v>
      </c>
      <c r="E539" s="8" t="s">
        <v>101</v>
      </c>
      <c r="F539" s="8" t="str">
        <f aca="false">TEXT(A539,"MM-YYYY")</f>
        <v>02-2025</v>
      </c>
      <c r="G539" s="8"/>
      <c r="H539" s="8"/>
      <c r="I539" s="7"/>
      <c r="J539" s="8" t="str">
        <f aca="false">VLOOKUP(B539,Table3[#All],2,0)</f>
        <v>Sales</v>
      </c>
      <c r="K539" s="8" t="str">
        <f aca="false">TEXT(ROW(), "0000")</f>
        <v>0539</v>
      </c>
      <c r="L539" s="8"/>
    </row>
    <row r="540" customFormat="false" ht="15.75" hidden="false" customHeight="true" outlineLevel="0" collapsed="false">
      <c r="A540" s="13" t="n">
        <v>45712</v>
      </c>
      <c r="B540" s="8" t="s">
        <v>16</v>
      </c>
      <c r="C540" s="9" t="n">
        <v>880</v>
      </c>
      <c r="D540" s="8" t="s">
        <v>33</v>
      </c>
      <c r="E540" s="8" t="s">
        <v>101</v>
      </c>
      <c r="F540" s="8" t="str">
        <f aca="false">TEXT(A540,"MM-YYYY")</f>
        <v>02-2025</v>
      </c>
      <c r="G540" s="8"/>
      <c r="H540" s="8"/>
      <c r="I540" s="7"/>
      <c r="J540" s="8" t="str">
        <f aca="false">VLOOKUP(B540,Table3[#All],2,0)</f>
        <v>Sales</v>
      </c>
      <c r="K540" s="8" t="str">
        <f aca="false">TEXT(ROW(), "0000")</f>
        <v>0540</v>
      </c>
      <c r="L540" s="8"/>
    </row>
    <row r="541" customFormat="false" ht="15.75" hidden="false" customHeight="true" outlineLevel="0" collapsed="false">
      <c r="A541" s="13" t="n">
        <v>45712</v>
      </c>
      <c r="B541" s="8" t="s">
        <v>16</v>
      </c>
      <c r="C541" s="9" t="n">
        <v>11543</v>
      </c>
      <c r="D541" s="8" t="s">
        <v>17</v>
      </c>
      <c r="E541" s="8" t="s">
        <v>101</v>
      </c>
      <c r="F541" s="8" t="str">
        <f aca="false">TEXT(A541,"MM-YYYY")</f>
        <v>02-2025</v>
      </c>
      <c r="G541" s="8"/>
      <c r="H541" s="8"/>
      <c r="I541" s="7"/>
      <c r="J541" s="8" t="str">
        <f aca="false">VLOOKUP(B541,Table3[#All],2,0)</f>
        <v>Sales</v>
      </c>
      <c r="K541" s="8" t="str">
        <f aca="false">TEXT(ROW(), "0000")</f>
        <v>0541</v>
      </c>
      <c r="L541" s="8"/>
    </row>
    <row r="542" customFormat="false" ht="15.75" hidden="false" customHeight="true" outlineLevel="0" collapsed="false">
      <c r="A542" s="13" t="n">
        <v>45712</v>
      </c>
      <c r="B542" s="8" t="s">
        <v>16</v>
      </c>
      <c r="C542" s="9" t="n">
        <v>2960</v>
      </c>
      <c r="D542" s="8" t="s">
        <v>59</v>
      </c>
      <c r="E542" s="8" t="s">
        <v>101</v>
      </c>
      <c r="F542" s="8" t="str">
        <f aca="false">TEXT(A542,"MM-YYYY")</f>
        <v>02-2025</v>
      </c>
      <c r="G542" s="8"/>
      <c r="H542" s="8"/>
      <c r="I542" s="7"/>
      <c r="J542" s="8" t="str">
        <f aca="false">VLOOKUP(B542,Table3[#All],2,0)</f>
        <v>Sales</v>
      </c>
      <c r="K542" s="8" t="str">
        <f aca="false">TEXT(ROW(), "0000")</f>
        <v>0542</v>
      </c>
      <c r="L542" s="8"/>
    </row>
    <row r="543" customFormat="false" ht="15.75" hidden="false" customHeight="true" outlineLevel="0" collapsed="false">
      <c r="A543" s="13" t="n">
        <v>45712</v>
      </c>
      <c r="B543" s="8" t="s">
        <v>16</v>
      </c>
      <c r="C543" s="9" t="n">
        <v>3586</v>
      </c>
      <c r="D543" s="8" t="s">
        <v>24</v>
      </c>
      <c r="E543" s="8" t="s">
        <v>90</v>
      </c>
      <c r="F543" s="8" t="str">
        <f aca="false">TEXT(A543,"MM-YYYY")</f>
        <v>02-2025</v>
      </c>
      <c r="G543" s="8"/>
      <c r="H543" s="8"/>
      <c r="I543" s="7"/>
      <c r="J543" s="8" t="str">
        <f aca="false">VLOOKUP(B543,Table3[#All],2,0)</f>
        <v>Sales</v>
      </c>
      <c r="K543" s="8" t="str">
        <f aca="false">TEXT(ROW(), "0000")</f>
        <v>0543</v>
      </c>
      <c r="L543" s="8"/>
    </row>
    <row r="544" customFormat="false" ht="15.75" hidden="false" customHeight="true" outlineLevel="0" collapsed="false">
      <c r="A544" s="13" t="n">
        <v>45713</v>
      </c>
      <c r="B544" s="8" t="s">
        <v>22</v>
      </c>
      <c r="C544" s="9" t="n">
        <v>2973</v>
      </c>
      <c r="D544" s="8" t="s">
        <v>13</v>
      </c>
      <c r="E544" s="8" t="s">
        <v>125</v>
      </c>
      <c r="F544" s="8" t="str">
        <f aca="false">TEXT(A544,"MM-YYYY")</f>
        <v>02-2025</v>
      </c>
      <c r="G544" s="8" t="s">
        <v>14</v>
      </c>
      <c r="H544" s="8" t="s">
        <v>15</v>
      </c>
      <c r="I544" s="7"/>
      <c r="J544" s="8" t="str">
        <f aca="false">VLOOKUP(B544,Table3[#All],2,0)</f>
        <v>Inventory</v>
      </c>
      <c r="K544" s="8" t="str">
        <f aca="false">TEXT(ROW(), "0000")</f>
        <v>0544</v>
      </c>
      <c r="L544" s="8"/>
    </row>
    <row r="545" customFormat="false" ht="15.75" hidden="false" customHeight="true" outlineLevel="0" collapsed="false">
      <c r="A545" s="13" t="n">
        <v>45713</v>
      </c>
      <c r="B545" s="8" t="s">
        <v>22</v>
      </c>
      <c r="C545" s="9" t="n">
        <v>1131</v>
      </c>
      <c r="D545" s="8" t="s">
        <v>13</v>
      </c>
      <c r="E545" s="8" t="s">
        <v>125</v>
      </c>
      <c r="F545" s="8" t="str">
        <f aca="false">TEXT(A545,"MM-YYYY")</f>
        <v>02-2025</v>
      </c>
      <c r="G545" s="8" t="s">
        <v>14</v>
      </c>
      <c r="H545" s="8" t="s">
        <v>15</v>
      </c>
      <c r="I545" s="7"/>
      <c r="J545" s="8" t="str">
        <f aca="false">VLOOKUP(B545,Table3[#All],2,0)</f>
        <v>Inventory</v>
      </c>
      <c r="K545" s="8" t="str">
        <f aca="false">TEXT(ROW(), "0000")</f>
        <v>0545</v>
      </c>
      <c r="L545" s="8"/>
    </row>
    <row r="546" customFormat="false" ht="15.75" hidden="false" customHeight="true" outlineLevel="0" collapsed="false">
      <c r="A546" s="13" t="n">
        <v>45713</v>
      </c>
      <c r="B546" s="8" t="s">
        <v>29</v>
      </c>
      <c r="C546" s="9" t="n">
        <v>282</v>
      </c>
      <c r="D546" s="8" t="s">
        <v>13</v>
      </c>
      <c r="E546" s="8" t="s">
        <v>117</v>
      </c>
      <c r="F546" s="8" t="str">
        <f aca="false">TEXT(A546,"MM-YYYY")</f>
        <v>02-2025</v>
      </c>
      <c r="G546" s="8" t="s">
        <v>14</v>
      </c>
      <c r="H546" s="8" t="s">
        <v>15</v>
      </c>
      <c r="I546" s="7"/>
      <c r="J546" s="8" t="str">
        <f aca="false">VLOOKUP(B546,Table3[#All],2,0)</f>
        <v>Inventory</v>
      </c>
      <c r="K546" s="8" t="str">
        <f aca="false">TEXT(ROW(), "0000")</f>
        <v>0546</v>
      </c>
      <c r="L546" s="8"/>
    </row>
    <row r="547" customFormat="false" ht="15.75" hidden="false" customHeight="true" outlineLevel="0" collapsed="false">
      <c r="A547" s="13" t="n">
        <v>45713</v>
      </c>
      <c r="B547" s="8" t="s">
        <v>19</v>
      </c>
      <c r="C547" s="9" t="n">
        <v>823</v>
      </c>
      <c r="D547" s="8" t="s">
        <v>13</v>
      </c>
      <c r="E547" s="8" t="s">
        <v>111</v>
      </c>
      <c r="F547" s="8" t="str">
        <f aca="false">TEXT(A547,"MM-YYYY")</f>
        <v>02-2025</v>
      </c>
      <c r="G547" s="8" t="s">
        <v>14</v>
      </c>
      <c r="H547" s="8" t="s">
        <v>15</v>
      </c>
      <c r="I547" s="7"/>
      <c r="J547" s="8" t="str">
        <f aca="false">VLOOKUP(B547,Table3[#All],2,0)</f>
        <v>Inventory</v>
      </c>
      <c r="K547" s="8" t="str">
        <f aca="false">TEXT(ROW(), "0000")</f>
        <v>0547</v>
      </c>
      <c r="L547" s="8"/>
    </row>
    <row r="548" customFormat="false" ht="15.75" hidden="false" customHeight="true" outlineLevel="0" collapsed="false">
      <c r="A548" s="13" t="n">
        <v>45713</v>
      </c>
      <c r="B548" s="8" t="s">
        <v>25</v>
      </c>
      <c r="C548" s="9" t="n">
        <v>496</v>
      </c>
      <c r="D548" s="8" t="s">
        <v>13</v>
      </c>
      <c r="E548" s="8" t="s">
        <v>113</v>
      </c>
      <c r="F548" s="8" t="str">
        <f aca="false">TEXT(A548,"MM-YYYY")</f>
        <v>02-2025</v>
      </c>
      <c r="G548" s="8" t="s">
        <v>14</v>
      </c>
      <c r="H548" s="8" t="s">
        <v>15</v>
      </c>
      <c r="I548" s="7"/>
      <c r="J548" s="8" t="str">
        <f aca="false">VLOOKUP(B548,Table3[#All],2,0)</f>
        <v>Inventory</v>
      </c>
      <c r="K548" s="8" t="str">
        <f aca="false">TEXT(ROW(), "0000")</f>
        <v>0548</v>
      </c>
      <c r="L548" s="8"/>
    </row>
    <row r="549" customFormat="false" ht="15.75" hidden="false" customHeight="true" outlineLevel="0" collapsed="false">
      <c r="A549" s="13" t="n">
        <v>45713</v>
      </c>
      <c r="B549" s="8" t="s">
        <v>37</v>
      </c>
      <c r="C549" s="9" t="n">
        <v>20</v>
      </c>
      <c r="D549" s="8" t="s">
        <v>21</v>
      </c>
      <c r="E549" s="8" t="s">
        <v>122</v>
      </c>
      <c r="F549" s="8" t="str">
        <f aca="false">TEXT(A549,"MM-YYYY")</f>
        <v>02-2025</v>
      </c>
      <c r="G549" s="8" t="s">
        <v>14</v>
      </c>
      <c r="H549" s="8" t="s">
        <v>15</v>
      </c>
      <c r="I549" s="7"/>
      <c r="J549" s="8" t="str">
        <f aca="false">VLOOKUP(B549,Table3[#All],2,0)</f>
        <v>Maintance</v>
      </c>
      <c r="K549" s="8" t="str">
        <f aca="false">TEXT(ROW(), "0000")</f>
        <v>0549</v>
      </c>
      <c r="L549" s="8"/>
    </row>
    <row r="550" customFormat="false" ht="15.75" hidden="false" customHeight="true" outlineLevel="0" collapsed="false">
      <c r="A550" s="13" t="n">
        <v>45713</v>
      </c>
      <c r="B550" s="8" t="s">
        <v>12</v>
      </c>
      <c r="C550" s="9" t="n">
        <v>17460</v>
      </c>
      <c r="D550" s="8" t="s">
        <v>13</v>
      </c>
      <c r="E550" s="8" t="s">
        <v>167</v>
      </c>
      <c r="F550" s="8" t="str">
        <f aca="false">TEXT(A550,"MM-YYYY")</f>
        <v>02-2025</v>
      </c>
      <c r="G550" s="8" t="s">
        <v>14</v>
      </c>
      <c r="H550" s="8" t="s">
        <v>15</v>
      </c>
      <c r="I550" s="7"/>
      <c r="J550" s="8" t="str">
        <f aca="false">VLOOKUP(B550,Table3[#All],2,0)</f>
        <v>Fixed Maintance</v>
      </c>
      <c r="K550" s="8" t="str">
        <f aca="false">TEXT(ROW(), "0000")</f>
        <v>0550</v>
      </c>
      <c r="L550" s="8"/>
    </row>
    <row r="551" customFormat="false" ht="15.75" hidden="false" customHeight="true" outlineLevel="0" collapsed="false">
      <c r="A551" s="13" t="n">
        <v>45713</v>
      </c>
      <c r="B551" s="8" t="s">
        <v>12</v>
      </c>
      <c r="C551" s="9" t="n">
        <v>3590</v>
      </c>
      <c r="D551" s="8" t="s">
        <v>13</v>
      </c>
      <c r="E551" s="8" t="s">
        <v>167</v>
      </c>
      <c r="F551" s="8" t="str">
        <f aca="false">TEXT(A551,"MM-YYYY")</f>
        <v>02-2025</v>
      </c>
      <c r="G551" s="8" t="s">
        <v>14</v>
      </c>
      <c r="H551" s="8" t="s">
        <v>15</v>
      </c>
      <c r="I551" s="7"/>
      <c r="J551" s="8" t="str">
        <f aca="false">VLOOKUP(B551,Table3[#All],2,0)</f>
        <v>Fixed Maintance</v>
      </c>
      <c r="K551" s="8" t="str">
        <f aca="false">TEXT(ROW(), "0000")</f>
        <v>0551</v>
      </c>
      <c r="L551" s="8"/>
    </row>
    <row r="552" customFormat="false" ht="15.75" hidden="false" customHeight="true" outlineLevel="0" collapsed="false">
      <c r="A552" s="13" t="n">
        <v>45713</v>
      </c>
      <c r="B552" s="8" t="s">
        <v>22</v>
      </c>
      <c r="C552" s="9" t="n">
        <v>198</v>
      </c>
      <c r="D552" s="8" t="s">
        <v>45</v>
      </c>
      <c r="E552" s="8" t="s">
        <v>135</v>
      </c>
      <c r="F552" s="8" t="str">
        <f aca="false">TEXT(A552,"MM-YYYY")</f>
        <v>02-2025</v>
      </c>
      <c r="G552" s="8" t="s">
        <v>14</v>
      </c>
      <c r="H552" s="8" t="s">
        <v>15</v>
      </c>
      <c r="I552" s="7"/>
      <c r="J552" s="8" t="str">
        <f aca="false">VLOOKUP(B552,Table3[#All],2,0)</f>
        <v>Inventory</v>
      </c>
      <c r="K552" s="8" t="str">
        <f aca="false">TEXT(ROW(), "0000")</f>
        <v>0552</v>
      </c>
      <c r="L552" s="8"/>
    </row>
    <row r="553" customFormat="false" ht="15.75" hidden="false" customHeight="true" outlineLevel="0" collapsed="false">
      <c r="A553" s="13" t="n">
        <v>45713</v>
      </c>
      <c r="B553" s="8" t="s">
        <v>34</v>
      </c>
      <c r="C553" s="9" t="n">
        <v>100</v>
      </c>
      <c r="D553" s="8" t="s">
        <v>45</v>
      </c>
      <c r="E553" s="8" t="s">
        <v>104</v>
      </c>
      <c r="F553" s="8" t="str">
        <f aca="false">TEXT(A553,"MM-YYYY")</f>
        <v>02-2025</v>
      </c>
      <c r="G553" s="8" t="s">
        <v>14</v>
      </c>
      <c r="H553" s="8" t="s">
        <v>15</v>
      </c>
      <c r="I553" s="7"/>
      <c r="J553" s="8" t="str">
        <f aca="false">VLOOKUP(B553,Table3[#All],2,0)</f>
        <v>Staff Expenses</v>
      </c>
      <c r="K553" s="8" t="str">
        <f aca="false">TEXT(ROW(), "0000")</f>
        <v>0553</v>
      </c>
      <c r="L553" s="8"/>
    </row>
    <row r="554" customFormat="false" ht="15.75" hidden="false" customHeight="true" outlineLevel="0" collapsed="false">
      <c r="A554" s="13" t="n">
        <v>45713</v>
      </c>
      <c r="B554" s="8" t="s">
        <v>43</v>
      </c>
      <c r="C554" s="9" t="n">
        <v>20</v>
      </c>
      <c r="D554" s="8" t="s">
        <v>21</v>
      </c>
      <c r="E554" s="8" t="s">
        <v>168</v>
      </c>
      <c r="F554" s="8" t="str">
        <f aca="false">TEXT(A554,"MM-YYYY")</f>
        <v>02-2025</v>
      </c>
      <c r="G554" s="8" t="s">
        <v>14</v>
      </c>
      <c r="H554" s="8" t="s">
        <v>15</v>
      </c>
      <c r="I554" s="7"/>
      <c r="J554" s="8" t="str">
        <f aca="false">VLOOKUP(B554,Table3[#All],2,0)</f>
        <v>Maintance</v>
      </c>
      <c r="K554" s="8" t="str">
        <f aca="false">TEXT(ROW(), "0000")</f>
        <v>0554</v>
      </c>
      <c r="L554" s="8"/>
    </row>
    <row r="555" customFormat="false" ht="15.75" hidden="false" customHeight="true" outlineLevel="0" collapsed="false">
      <c r="A555" s="13" t="n">
        <v>45713</v>
      </c>
      <c r="B555" s="8" t="s">
        <v>16</v>
      </c>
      <c r="C555" s="9" t="n">
        <v>1240</v>
      </c>
      <c r="D555" s="8" t="s">
        <v>21</v>
      </c>
      <c r="E555" s="8" t="s">
        <v>101</v>
      </c>
      <c r="F555" s="8" t="str">
        <f aca="false">TEXT(A555,"MM-YYYY")</f>
        <v>02-2025</v>
      </c>
      <c r="G555" s="8"/>
      <c r="H555" s="8"/>
      <c r="I555" s="7"/>
      <c r="J555" s="8" t="str">
        <f aca="false">VLOOKUP(B555,Table3[#All],2,0)</f>
        <v>Sales</v>
      </c>
      <c r="K555" s="8" t="str">
        <f aca="false">TEXT(ROW(), "0000")</f>
        <v>0555</v>
      </c>
      <c r="L555" s="8"/>
    </row>
    <row r="556" customFormat="false" ht="15.75" hidden="false" customHeight="true" outlineLevel="0" collapsed="false">
      <c r="A556" s="13" t="n">
        <v>45713</v>
      </c>
      <c r="B556" s="8" t="s">
        <v>16</v>
      </c>
      <c r="C556" s="9" t="n">
        <v>100</v>
      </c>
      <c r="D556" s="8" t="s">
        <v>70</v>
      </c>
      <c r="E556" s="8" t="s">
        <v>101</v>
      </c>
      <c r="F556" s="8" t="str">
        <f aca="false">TEXT(A556,"MM-YYYY")</f>
        <v>02-2025</v>
      </c>
      <c r="G556" s="8"/>
      <c r="H556" s="8"/>
      <c r="I556" s="7"/>
      <c r="J556" s="8" t="str">
        <f aca="false">VLOOKUP(B556,Table3[#All],2,0)</f>
        <v>Sales</v>
      </c>
      <c r="K556" s="8" t="str">
        <f aca="false">TEXT(ROW(), "0000")</f>
        <v>0556</v>
      </c>
      <c r="L556" s="8"/>
    </row>
    <row r="557" customFormat="false" ht="15.75" hidden="false" customHeight="true" outlineLevel="0" collapsed="false">
      <c r="A557" s="13" t="n">
        <v>45713</v>
      </c>
      <c r="B557" s="8" t="s">
        <v>16</v>
      </c>
      <c r="C557" s="9" t="n">
        <v>350</v>
      </c>
      <c r="D557" s="8" t="s">
        <v>33</v>
      </c>
      <c r="E557" s="8" t="s">
        <v>101</v>
      </c>
      <c r="F557" s="8" t="str">
        <f aca="false">TEXT(A557,"MM-YYYY")</f>
        <v>02-2025</v>
      </c>
      <c r="G557" s="8"/>
      <c r="H557" s="8"/>
      <c r="I557" s="7"/>
      <c r="J557" s="8" t="str">
        <f aca="false">VLOOKUP(B557,Table3[#All],2,0)</f>
        <v>Sales</v>
      </c>
      <c r="K557" s="8" t="str">
        <f aca="false">TEXT(ROW(), "0000")</f>
        <v>0557</v>
      </c>
      <c r="L557" s="8"/>
    </row>
    <row r="558" customFormat="false" ht="15.75" hidden="false" customHeight="true" outlineLevel="0" collapsed="false">
      <c r="A558" s="13" t="n">
        <v>45713</v>
      </c>
      <c r="B558" s="8" t="s">
        <v>16</v>
      </c>
      <c r="C558" s="9" t="n">
        <v>9793</v>
      </c>
      <c r="D558" s="8" t="s">
        <v>17</v>
      </c>
      <c r="E558" s="8" t="s">
        <v>101</v>
      </c>
      <c r="F558" s="8" t="str">
        <f aca="false">TEXT(A558,"MM-YYYY")</f>
        <v>02-2025</v>
      </c>
      <c r="G558" s="8"/>
      <c r="H558" s="8"/>
      <c r="I558" s="7"/>
      <c r="J558" s="8" t="str">
        <f aca="false">VLOOKUP(B558,Table3[#All],2,0)</f>
        <v>Sales</v>
      </c>
      <c r="K558" s="8" t="str">
        <f aca="false">TEXT(ROW(), "0000")</f>
        <v>0558</v>
      </c>
      <c r="L558" s="8"/>
    </row>
    <row r="559" customFormat="false" ht="15.75" hidden="false" customHeight="true" outlineLevel="0" collapsed="false">
      <c r="A559" s="13" t="n">
        <v>45713</v>
      </c>
      <c r="B559" s="8" t="s">
        <v>16</v>
      </c>
      <c r="C559" s="9" t="n">
        <v>1250</v>
      </c>
      <c r="D559" s="8" t="s">
        <v>59</v>
      </c>
      <c r="E559" s="8" t="s">
        <v>101</v>
      </c>
      <c r="F559" s="8" t="str">
        <f aca="false">TEXT(A559,"MM-YYYY")</f>
        <v>02-2025</v>
      </c>
      <c r="G559" s="8"/>
      <c r="H559" s="8"/>
      <c r="I559" s="7"/>
      <c r="J559" s="8" t="str">
        <f aca="false">VLOOKUP(B559,Table3[#All],2,0)</f>
        <v>Sales</v>
      </c>
      <c r="K559" s="8" t="str">
        <f aca="false">TEXT(ROW(), "0000")</f>
        <v>0559</v>
      </c>
      <c r="L559" s="8"/>
    </row>
    <row r="560" customFormat="false" ht="15.75" hidden="false" customHeight="true" outlineLevel="0" collapsed="false">
      <c r="A560" s="13" t="n">
        <v>45713</v>
      </c>
      <c r="B560" s="8" t="s">
        <v>16</v>
      </c>
      <c r="C560" s="9" t="n">
        <v>2744</v>
      </c>
      <c r="D560" s="8" t="s">
        <v>24</v>
      </c>
      <c r="E560" s="8" t="s">
        <v>90</v>
      </c>
      <c r="F560" s="8" t="str">
        <f aca="false">TEXT(A560,"MM-YYYY")</f>
        <v>02-2025</v>
      </c>
      <c r="G560" s="8"/>
      <c r="H560" s="8"/>
      <c r="I560" s="7"/>
      <c r="J560" s="8" t="str">
        <f aca="false">VLOOKUP(B560,Table3[#All],2,0)</f>
        <v>Sales</v>
      </c>
      <c r="K560" s="8" t="str">
        <f aca="false">TEXT(ROW(), "0000")</f>
        <v>0560</v>
      </c>
      <c r="L560" s="8"/>
    </row>
    <row r="561" customFormat="false" ht="15.75" hidden="false" customHeight="true" outlineLevel="0" collapsed="false">
      <c r="A561" s="13" t="n">
        <v>45713</v>
      </c>
      <c r="B561" s="8" t="s">
        <v>25</v>
      </c>
      <c r="C561" s="9" t="n">
        <v>37</v>
      </c>
      <c r="D561" s="8" t="s">
        <v>45</v>
      </c>
      <c r="E561" s="8" t="s">
        <v>105</v>
      </c>
      <c r="F561" s="8" t="str">
        <f aca="false">TEXT(A561,"MM-YYYY")</f>
        <v>02-2025</v>
      </c>
      <c r="G561" s="8" t="s">
        <v>14</v>
      </c>
      <c r="H561" s="8" t="s">
        <v>15</v>
      </c>
      <c r="I561" s="7"/>
      <c r="J561" s="8" t="str">
        <f aca="false">VLOOKUP(B561,Table3[#All],2,0)</f>
        <v>Inventory</v>
      </c>
      <c r="K561" s="8" t="str">
        <f aca="false">TEXT(ROW(), "0000")</f>
        <v>0561</v>
      </c>
      <c r="L561" s="8"/>
    </row>
    <row r="562" customFormat="false" ht="15.75" hidden="false" customHeight="true" outlineLevel="0" collapsed="false">
      <c r="A562" s="13" t="n">
        <v>45715</v>
      </c>
      <c r="B562" s="8" t="s">
        <v>22</v>
      </c>
      <c r="C562" s="9" t="n">
        <v>1258</v>
      </c>
      <c r="D562" s="8" t="s">
        <v>13</v>
      </c>
      <c r="E562" s="8" t="s">
        <v>23</v>
      </c>
      <c r="F562" s="8" t="str">
        <f aca="false">TEXT(A562,"MM-YYYY")</f>
        <v>02-2025</v>
      </c>
      <c r="G562" s="8" t="s">
        <v>14</v>
      </c>
      <c r="H562" s="8" t="s">
        <v>15</v>
      </c>
      <c r="I562" s="7"/>
      <c r="J562" s="8" t="str">
        <f aca="false">VLOOKUP(B562,Table3[#All],2,0)</f>
        <v>Inventory</v>
      </c>
      <c r="K562" s="8" t="str">
        <f aca="false">TEXT(ROW(), "0000")</f>
        <v>0562</v>
      </c>
      <c r="L562" s="8"/>
    </row>
    <row r="563" customFormat="false" ht="15.75" hidden="false" customHeight="true" outlineLevel="0" collapsed="false">
      <c r="A563" s="13" t="n">
        <v>45715</v>
      </c>
      <c r="B563" s="8" t="s">
        <v>25</v>
      </c>
      <c r="C563" s="9" t="n">
        <v>1710</v>
      </c>
      <c r="D563" s="8" t="s">
        <v>13</v>
      </c>
      <c r="E563" s="8" t="s">
        <v>113</v>
      </c>
      <c r="F563" s="8" t="str">
        <f aca="false">TEXT(A563,"MM-YYYY")</f>
        <v>02-2025</v>
      </c>
      <c r="G563" s="8" t="s">
        <v>14</v>
      </c>
      <c r="H563" s="8" t="s">
        <v>15</v>
      </c>
      <c r="I563" s="7"/>
      <c r="J563" s="8" t="str">
        <f aca="false">VLOOKUP(B563,Table3[#All],2,0)</f>
        <v>Inventory</v>
      </c>
      <c r="K563" s="8" t="str">
        <f aca="false">TEXT(ROW(), "0000")</f>
        <v>0563</v>
      </c>
      <c r="L563" s="8"/>
    </row>
    <row r="564" customFormat="false" ht="15.75" hidden="false" customHeight="true" outlineLevel="0" collapsed="false">
      <c r="A564" s="13" t="n">
        <v>45715</v>
      </c>
      <c r="B564" s="8" t="s">
        <v>32</v>
      </c>
      <c r="C564" s="9" t="n">
        <v>700</v>
      </c>
      <c r="D564" s="8" t="s">
        <v>45</v>
      </c>
      <c r="E564" s="8" t="s">
        <v>116</v>
      </c>
      <c r="F564" s="8" t="str">
        <f aca="false">TEXT(A564,"MM-YYYY")</f>
        <v>02-2025</v>
      </c>
      <c r="G564" s="8" t="s">
        <v>14</v>
      </c>
      <c r="H564" s="8" t="s">
        <v>15</v>
      </c>
      <c r="I564" s="7"/>
      <c r="J564" s="8" t="str">
        <f aca="false">VLOOKUP(B564,Table3[#All],2,0)</f>
        <v>Grocery</v>
      </c>
      <c r="K564" s="8" t="str">
        <f aca="false">TEXT(ROW(), "0000")</f>
        <v>0564</v>
      </c>
      <c r="L564" s="8"/>
    </row>
    <row r="565" customFormat="false" ht="15.75" hidden="false" customHeight="true" outlineLevel="0" collapsed="false">
      <c r="A565" s="13" t="n">
        <v>45715</v>
      </c>
      <c r="B565" s="8" t="s">
        <v>19</v>
      </c>
      <c r="C565" s="9" t="n">
        <v>6351</v>
      </c>
      <c r="D565" s="8" t="s">
        <v>13</v>
      </c>
      <c r="E565" s="8" t="s">
        <v>111</v>
      </c>
      <c r="F565" s="8" t="str">
        <f aca="false">TEXT(A565,"MM-YYYY")</f>
        <v>02-2025</v>
      </c>
      <c r="G565" s="8" t="s">
        <v>14</v>
      </c>
      <c r="H565" s="8" t="s">
        <v>15</v>
      </c>
      <c r="I565" s="7"/>
      <c r="J565" s="8" t="str">
        <f aca="false">VLOOKUP(B565,Table3[#All],2,0)</f>
        <v>Inventory</v>
      </c>
      <c r="K565" s="8" t="str">
        <f aca="false">TEXT(ROW(), "0000")</f>
        <v>0565</v>
      </c>
      <c r="L565" s="8"/>
    </row>
    <row r="566" customFormat="false" ht="15.75" hidden="false" customHeight="true" outlineLevel="0" collapsed="false">
      <c r="A566" s="13" t="n">
        <v>45715</v>
      </c>
      <c r="B566" s="8" t="s">
        <v>29</v>
      </c>
      <c r="C566" s="9" t="n">
        <v>845</v>
      </c>
      <c r="D566" s="19" t="s">
        <v>13</v>
      </c>
      <c r="E566" s="8" t="s">
        <v>117</v>
      </c>
      <c r="F566" s="8" t="str">
        <f aca="false">TEXT(A566,"MM-YYYY")</f>
        <v>02-2025</v>
      </c>
      <c r="G566" s="8" t="s">
        <v>14</v>
      </c>
      <c r="H566" s="8" t="s">
        <v>15</v>
      </c>
      <c r="I566" s="7"/>
      <c r="J566" s="8" t="str">
        <f aca="false">VLOOKUP(B566,Table3[#All],2,0)</f>
        <v>Inventory</v>
      </c>
      <c r="K566" s="8" t="str">
        <f aca="false">TEXT(ROW(), "0000")</f>
        <v>0566</v>
      </c>
      <c r="L566" s="8"/>
    </row>
    <row r="567" customFormat="false" ht="15.75" hidden="false" customHeight="true" outlineLevel="0" collapsed="false">
      <c r="A567" s="13" t="n">
        <v>45715</v>
      </c>
      <c r="B567" s="8" t="s">
        <v>25</v>
      </c>
      <c r="C567" s="9" t="n">
        <v>550</v>
      </c>
      <c r="D567" s="8" t="s">
        <v>45</v>
      </c>
      <c r="E567" s="8" t="s">
        <v>139</v>
      </c>
      <c r="F567" s="8" t="str">
        <f aca="false">TEXT(A567,"MM-YYYY")</f>
        <v>02-2025</v>
      </c>
      <c r="G567" s="8" t="s">
        <v>14</v>
      </c>
      <c r="H567" s="8" t="s">
        <v>15</v>
      </c>
      <c r="I567" s="7"/>
      <c r="J567" s="8" t="str">
        <f aca="false">VLOOKUP(B567,Table3[#All],2,0)</f>
        <v>Inventory</v>
      </c>
      <c r="K567" s="8" t="str">
        <f aca="false">TEXT(ROW(), "0000")</f>
        <v>0567</v>
      </c>
      <c r="L567" s="8"/>
    </row>
    <row r="568" customFormat="false" ht="15.75" hidden="false" customHeight="true" outlineLevel="0" collapsed="false">
      <c r="A568" s="13" t="n">
        <v>45715</v>
      </c>
      <c r="B568" s="8" t="s">
        <v>154</v>
      </c>
      <c r="C568" s="9" t="n">
        <v>225</v>
      </c>
      <c r="D568" s="8" t="s">
        <v>45</v>
      </c>
      <c r="E568" s="8" t="s">
        <v>104</v>
      </c>
      <c r="F568" s="8" t="str">
        <f aca="false">TEXT(A568,"MM-YYYY")</f>
        <v>02-2025</v>
      </c>
      <c r="G568" s="8" t="s">
        <v>14</v>
      </c>
      <c r="H568" s="8" t="s">
        <v>15</v>
      </c>
      <c r="I568" s="7"/>
      <c r="J568" s="8" t="str">
        <f aca="false">VLOOKUP(B568,Table3[#All],2,0)</f>
        <v>Staff Expenses</v>
      </c>
      <c r="K568" s="8" t="str">
        <f aca="false">TEXT(ROW(), "0000")</f>
        <v>0568</v>
      </c>
      <c r="L568" s="8"/>
    </row>
    <row r="569" customFormat="false" ht="15.75" hidden="false" customHeight="true" outlineLevel="0" collapsed="false">
      <c r="A569" s="13" t="n">
        <v>45715</v>
      </c>
      <c r="B569" s="8" t="s">
        <v>29</v>
      </c>
      <c r="C569" s="9" t="n">
        <v>120</v>
      </c>
      <c r="D569" s="8" t="s">
        <v>45</v>
      </c>
      <c r="E569" s="8" t="s">
        <v>155</v>
      </c>
      <c r="F569" s="8" t="str">
        <f aca="false">TEXT(A569,"MM-YYYY")</f>
        <v>02-2025</v>
      </c>
      <c r="G569" s="8" t="s">
        <v>14</v>
      </c>
      <c r="H569" s="8" t="s">
        <v>15</v>
      </c>
      <c r="I569" s="7"/>
      <c r="J569" s="8" t="str">
        <f aca="false">VLOOKUP(B569,Table3[#All],2,0)</f>
        <v>Inventory</v>
      </c>
      <c r="K569" s="8" t="str">
        <f aca="false">TEXT(ROW(), "0000")</f>
        <v>0569</v>
      </c>
      <c r="L569" s="8"/>
    </row>
    <row r="570" customFormat="false" ht="15.75" hidden="false" customHeight="true" outlineLevel="0" collapsed="false">
      <c r="A570" s="13" t="n">
        <v>45715</v>
      </c>
      <c r="B570" s="8" t="s">
        <v>25</v>
      </c>
      <c r="C570" s="9" t="n">
        <v>30</v>
      </c>
      <c r="D570" s="8" t="s">
        <v>45</v>
      </c>
      <c r="E570" s="8" t="s">
        <v>105</v>
      </c>
      <c r="F570" s="8" t="str">
        <f aca="false">TEXT(A570,"MM-YYYY")</f>
        <v>02-2025</v>
      </c>
      <c r="G570" s="8" t="s">
        <v>14</v>
      </c>
      <c r="H570" s="8" t="s">
        <v>15</v>
      </c>
      <c r="I570" s="7"/>
      <c r="J570" s="8" t="str">
        <f aca="false">VLOOKUP(B570,Table3[#All],2,0)</f>
        <v>Inventory</v>
      </c>
      <c r="K570" s="8" t="str">
        <f aca="false">TEXT(ROW(), "0000")</f>
        <v>0570</v>
      </c>
      <c r="L570" s="8"/>
    </row>
    <row r="571" customFormat="false" ht="15.75" hidden="false" customHeight="true" outlineLevel="0" collapsed="false">
      <c r="A571" s="13" t="n">
        <v>45715</v>
      </c>
      <c r="B571" s="8" t="s">
        <v>43</v>
      </c>
      <c r="C571" s="9" t="n">
        <v>60</v>
      </c>
      <c r="D571" s="8" t="s">
        <v>45</v>
      </c>
      <c r="E571" s="8" t="s">
        <v>169</v>
      </c>
      <c r="F571" s="8" t="str">
        <f aca="false">TEXT(A571,"MM-YYYY")</f>
        <v>02-2025</v>
      </c>
      <c r="G571" s="8" t="s">
        <v>14</v>
      </c>
      <c r="H571" s="8" t="s">
        <v>15</v>
      </c>
      <c r="I571" s="7"/>
      <c r="J571" s="8" t="str">
        <f aca="false">VLOOKUP(B571,Table3[#All],2,0)</f>
        <v>Maintance</v>
      </c>
      <c r="K571" s="8" t="str">
        <f aca="false">TEXT(ROW(), "0000")</f>
        <v>0571</v>
      </c>
      <c r="L571" s="8"/>
    </row>
    <row r="572" customFormat="false" ht="15.75" hidden="false" customHeight="true" outlineLevel="0" collapsed="false">
      <c r="A572" s="13" t="n">
        <v>45715</v>
      </c>
      <c r="B572" s="8" t="s">
        <v>154</v>
      </c>
      <c r="C572" s="9" t="n">
        <v>20</v>
      </c>
      <c r="D572" s="8" t="s">
        <v>21</v>
      </c>
      <c r="E572" s="8" t="s">
        <v>104</v>
      </c>
      <c r="F572" s="8" t="str">
        <f aca="false">TEXT(A572,"MM-YYYY")</f>
        <v>02-2025</v>
      </c>
      <c r="G572" s="8" t="s">
        <v>14</v>
      </c>
      <c r="H572" s="8" t="s">
        <v>15</v>
      </c>
      <c r="I572" s="7"/>
      <c r="J572" s="8" t="str">
        <f aca="false">VLOOKUP(B572,Table3[#All],2,0)</f>
        <v>Staff Expenses</v>
      </c>
      <c r="K572" s="8" t="str">
        <f aca="false">TEXT(ROW(), "0000")</f>
        <v>0572</v>
      </c>
      <c r="L572" s="8"/>
    </row>
    <row r="573" customFormat="false" ht="15.75" hidden="false" customHeight="true" outlineLevel="0" collapsed="false">
      <c r="A573" s="13" t="n">
        <v>45715</v>
      </c>
      <c r="B573" s="8" t="s">
        <v>37</v>
      </c>
      <c r="C573" s="9" t="n">
        <v>30</v>
      </c>
      <c r="D573" s="8" t="s">
        <v>21</v>
      </c>
      <c r="E573" s="8" t="s">
        <v>122</v>
      </c>
      <c r="F573" s="8" t="str">
        <f aca="false">TEXT(A573,"MM-YYYY")</f>
        <v>02-2025</v>
      </c>
      <c r="G573" s="8" t="s">
        <v>14</v>
      </c>
      <c r="H573" s="8" t="s">
        <v>15</v>
      </c>
      <c r="I573" s="7"/>
      <c r="J573" s="8" t="str">
        <f aca="false">VLOOKUP(B573,Table3[#All],2,0)</f>
        <v>Maintance</v>
      </c>
      <c r="K573" s="8" t="str">
        <f aca="false">TEXT(ROW(), "0000")</f>
        <v>0573</v>
      </c>
      <c r="L573" s="8"/>
    </row>
    <row r="574" customFormat="false" ht="15.75" hidden="false" customHeight="true" outlineLevel="0" collapsed="false">
      <c r="A574" s="13" t="n">
        <v>45715</v>
      </c>
      <c r="B574" s="8" t="s">
        <v>44</v>
      </c>
      <c r="C574" s="9" t="n">
        <v>200</v>
      </c>
      <c r="D574" s="8" t="s">
        <v>45</v>
      </c>
      <c r="E574" s="8" t="s">
        <v>170</v>
      </c>
      <c r="F574" s="8" t="str">
        <f aca="false">TEXT(A574,"MM-YYYY")</f>
        <v>02-2025</v>
      </c>
      <c r="G574" s="8" t="s">
        <v>14</v>
      </c>
      <c r="H574" s="8" t="s">
        <v>15</v>
      </c>
      <c r="I574" s="7"/>
      <c r="J574" s="8" t="str">
        <f aca="false">VLOOKUP(B574,Table3[#All],2,0)</f>
        <v>Salary</v>
      </c>
      <c r="K574" s="8" t="str">
        <f aca="false">TEXT(ROW(), "0000")</f>
        <v>0574</v>
      </c>
      <c r="L574" s="8"/>
    </row>
    <row r="575" customFormat="false" ht="15.75" hidden="false" customHeight="true" outlineLevel="0" collapsed="false">
      <c r="A575" s="13" t="n">
        <v>45715</v>
      </c>
      <c r="B575" s="8" t="s">
        <v>16</v>
      </c>
      <c r="C575" s="9" t="n">
        <v>4580</v>
      </c>
      <c r="D575" s="8" t="s">
        <v>21</v>
      </c>
      <c r="E575" s="8" t="s">
        <v>101</v>
      </c>
      <c r="F575" s="8" t="str">
        <f aca="false">TEXT(A575,"MM-YYYY")</f>
        <v>02-2025</v>
      </c>
      <c r="G575" s="8"/>
      <c r="H575" s="8"/>
      <c r="I575" s="7"/>
      <c r="J575" s="8" t="str">
        <f aca="false">VLOOKUP(B575,Table3[#All],2,0)</f>
        <v>Sales</v>
      </c>
      <c r="K575" s="8" t="str">
        <f aca="false">TEXT(ROW(), "0000")</f>
        <v>0575</v>
      </c>
      <c r="L575" s="8"/>
    </row>
    <row r="576" customFormat="false" ht="15.75" hidden="false" customHeight="true" outlineLevel="0" collapsed="false">
      <c r="A576" s="13" t="n">
        <v>45715</v>
      </c>
      <c r="B576" s="8" t="s">
        <v>16</v>
      </c>
      <c r="C576" s="9" t="n">
        <v>2130</v>
      </c>
      <c r="D576" s="8" t="s">
        <v>27</v>
      </c>
      <c r="E576" s="8" t="s">
        <v>101</v>
      </c>
      <c r="F576" s="8" t="str">
        <f aca="false">TEXT(A576,"MM-YYYY")</f>
        <v>02-2025</v>
      </c>
      <c r="G576" s="8"/>
      <c r="H576" s="8"/>
      <c r="I576" s="7"/>
      <c r="J576" s="8" t="str">
        <f aca="false">VLOOKUP(B576,Table3[#All],2,0)</f>
        <v>Sales</v>
      </c>
      <c r="K576" s="8" t="str">
        <f aca="false">TEXT(ROW(), "0000")</f>
        <v>0576</v>
      </c>
      <c r="L576" s="8"/>
    </row>
    <row r="577" customFormat="false" ht="15.75" hidden="false" customHeight="true" outlineLevel="0" collapsed="false">
      <c r="A577" s="13" t="n">
        <v>45715</v>
      </c>
      <c r="B577" s="8" t="s">
        <v>16</v>
      </c>
      <c r="C577" s="9" t="n">
        <v>449</v>
      </c>
      <c r="D577" s="8" t="s">
        <v>33</v>
      </c>
      <c r="E577" s="8" t="s">
        <v>101</v>
      </c>
      <c r="F577" s="8" t="str">
        <f aca="false">TEXT(A577,"MM-YYYY")</f>
        <v>02-2025</v>
      </c>
      <c r="G577" s="8"/>
      <c r="H577" s="8"/>
      <c r="I577" s="7"/>
      <c r="J577" s="8" t="str">
        <f aca="false">VLOOKUP(B577,Table3[#All],2,0)</f>
        <v>Sales</v>
      </c>
      <c r="K577" s="8" t="str">
        <f aca="false">TEXT(ROW(), "0000")</f>
        <v>0577</v>
      </c>
      <c r="L577" s="8"/>
    </row>
    <row r="578" customFormat="false" ht="15.75" hidden="false" customHeight="true" outlineLevel="0" collapsed="false">
      <c r="A578" s="13" t="n">
        <v>45715</v>
      </c>
      <c r="B578" s="8" t="s">
        <v>16</v>
      </c>
      <c r="C578" s="9" t="n">
        <v>16316</v>
      </c>
      <c r="D578" s="8" t="s">
        <v>17</v>
      </c>
      <c r="E578" s="8" t="s">
        <v>101</v>
      </c>
      <c r="F578" s="8" t="str">
        <f aca="false">TEXT(A578,"MM-YYYY")</f>
        <v>02-2025</v>
      </c>
      <c r="G578" s="8"/>
      <c r="H578" s="8"/>
      <c r="I578" s="7"/>
      <c r="J578" s="8" t="str">
        <f aca="false">VLOOKUP(B578,Table3[#All],2,0)</f>
        <v>Sales</v>
      </c>
      <c r="K578" s="8" t="str">
        <f aca="false">TEXT(ROW(), "0000")</f>
        <v>0578</v>
      </c>
      <c r="L578" s="8"/>
    </row>
    <row r="579" customFormat="false" ht="15.75" hidden="false" customHeight="true" outlineLevel="0" collapsed="false">
      <c r="A579" s="13" t="n">
        <v>45715</v>
      </c>
      <c r="B579" s="8" t="s">
        <v>16</v>
      </c>
      <c r="C579" s="9" t="n">
        <v>2090</v>
      </c>
      <c r="D579" s="8" t="s">
        <v>59</v>
      </c>
      <c r="E579" s="8" t="s">
        <v>101</v>
      </c>
      <c r="F579" s="8" t="str">
        <f aca="false">TEXT(A579,"MM-YYYY")</f>
        <v>02-2025</v>
      </c>
      <c r="G579" s="8"/>
      <c r="H579" s="8"/>
      <c r="I579" s="7"/>
      <c r="J579" s="8" t="str">
        <f aca="false">VLOOKUP(B579,Table3[#All],2,0)</f>
        <v>Sales</v>
      </c>
      <c r="K579" s="8" t="str">
        <f aca="false">TEXT(ROW(), "0000")</f>
        <v>0579</v>
      </c>
      <c r="L579" s="8"/>
    </row>
    <row r="580" customFormat="false" ht="15.75" hidden="false" customHeight="true" outlineLevel="0" collapsed="false">
      <c r="A580" s="13" t="n">
        <v>45715</v>
      </c>
      <c r="B580" s="8" t="s">
        <v>16</v>
      </c>
      <c r="C580" s="9" t="n">
        <v>3769</v>
      </c>
      <c r="D580" s="8" t="s">
        <v>24</v>
      </c>
      <c r="E580" s="8" t="s">
        <v>90</v>
      </c>
      <c r="F580" s="8" t="str">
        <f aca="false">TEXT(A580,"MM-YYYY")</f>
        <v>02-2025</v>
      </c>
      <c r="G580" s="8"/>
      <c r="H580" s="8"/>
      <c r="I580" s="7"/>
      <c r="J580" s="8" t="str">
        <f aca="false">VLOOKUP(B580,Table3[#All],2,0)</f>
        <v>Sales</v>
      </c>
      <c r="K580" s="8" t="str">
        <f aca="false">TEXT(ROW(), "0000")</f>
        <v>0580</v>
      </c>
      <c r="L580" s="8"/>
    </row>
    <row r="581" customFormat="false" ht="15.75" hidden="false" customHeight="true" outlineLevel="0" collapsed="false">
      <c r="A581" s="13" t="n">
        <v>45716</v>
      </c>
      <c r="B581" s="8" t="s">
        <v>22</v>
      </c>
      <c r="C581" s="9" t="n">
        <v>10</v>
      </c>
      <c r="D581" s="8" t="s">
        <v>21</v>
      </c>
      <c r="E581" s="8" t="s">
        <v>171</v>
      </c>
      <c r="F581" s="8" t="str">
        <f aca="false">TEXT(A581,"MM-YYYY")</f>
        <v>02-2025</v>
      </c>
      <c r="G581" s="8" t="s">
        <v>14</v>
      </c>
      <c r="H581" s="8" t="s">
        <v>15</v>
      </c>
      <c r="I581" s="7"/>
      <c r="J581" s="8" t="str">
        <f aca="false">VLOOKUP(B581,Table3[#All],2,0)</f>
        <v>Inventory</v>
      </c>
      <c r="K581" s="8" t="str">
        <f aca="false">TEXT(ROW(), "0000")</f>
        <v>0581</v>
      </c>
      <c r="L581" s="8"/>
    </row>
    <row r="582" customFormat="false" ht="15.75" hidden="false" customHeight="true" outlineLevel="0" collapsed="false">
      <c r="A582" s="13" t="n">
        <v>45716</v>
      </c>
      <c r="B582" s="8" t="s">
        <v>37</v>
      </c>
      <c r="C582" s="9" t="n">
        <v>6</v>
      </c>
      <c r="D582" s="8" t="s">
        <v>21</v>
      </c>
      <c r="E582" s="8" t="s">
        <v>122</v>
      </c>
      <c r="F582" s="8" t="str">
        <f aca="false">TEXT(A582,"MM-YYYY")</f>
        <v>02-2025</v>
      </c>
      <c r="G582" s="8" t="s">
        <v>14</v>
      </c>
      <c r="H582" s="8" t="s">
        <v>15</v>
      </c>
      <c r="I582" s="7"/>
      <c r="J582" s="8" t="str">
        <f aca="false">VLOOKUP(B582,Table3[#All],2,0)</f>
        <v>Maintance</v>
      </c>
      <c r="K582" s="8" t="str">
        <f aca="false">TEXT(ROW(), "0000")</f>
        <v>0582</v>
      </c>
      <c r="L582" s="8"/>
    </row>
    <row r="583" customFormat="false" ht="15.75" hidden="false" customHeight="true" outlineLevel="0" collapsed="false">
      <c r="A583" s="13" t="n">
        <v>45716</v>
      </c>
      <c r="B583" s="8" t="s">
        <v>25</v>
      </c>
      <c r="C583" s="9" t="n">
        <v>810</v>
      </c>
      <c r="D583" s="8" t="s">
        <v>13</v>
      </c>
      <c r="E583" s="8" t="s">
        <v>113</v>
      </c>
      <c r="F583" s="8" t="str">
        <f aca="false">TEXT(A583,"MM-YYYY")</f>
        <v>02-2025</v>
      </c>
      <c r="G583" s="8" t="s">
        <v>14</v>
      </c>
      <c r="H583" s="8" t="s">
        <v>15</v>
      </c>
      <c r="I583" s="7"/>
      <c r="J583" s="8" t="str">
        <f aca="false">VLOOKUP(B583,Table3[#All],2,0)</f>
        <v>Inventory</v>
      </c>
      <c r="K583" s="8" t="str">
        <f aca="false">TEXT(ROW(), "0000")</f>
        <v>0583</v>
      </c>
      <c r="L583" s="8"/>
    </row>
    <row r="584" customFormat="false" ht="15.75" hidden="false" customHeight="true" outlineLevel="0" collapsed="false">
      <c r="A584" s="13" t="n">
        <v>45716</v>
      </c>
      <c r="B584" s="8" t="s">
        <v>19</v>
      </c>
      <c r="C584" s="9" t="n">
        <v>7910</v>
      </c>
      <c r="D584" s="8" t="s">
        <v>13</v>
      </c>
      <c r="E584" s="8" t="s">
        <v>111</v>
      </c>
      <c r="F584" s="8" t="str">
        <f aca="false">TEXT(A584,"MM-YYYY")</f>
        <v>02-2025</v>
      </c>
      <c r="G584" s="8" t="s">
        <v>14</v>
      </c>
      <c r="H584" s="8" t="s">
        <v>15</v>
      </c>
      <c r="I584" s="7"/>
      <c r="J584" s="8" t="str">
        <f aca="false">VLOOKUP(B584,Table3[#All],2,0)</f>
        <v>Inventory</v>
      </c>
      <c r="K584" s="8" t="str">
        <f aca="false">TEXT(ROW(), "0000")</f>
        <v>0584</v>
      </c>
      <c r="L584" s="8"/>
    </row>
    <row r="585" customFormat="false" ht="15.75" hidden="false" customHeight="true" outlineLevel="0" collapsed="false">
      <c r="A585" s="13" t="n">
        <v>45716</v>
      </c>
      <c r="B585" s="8" t="s">
        <v>47</v>
      </c>
      <c r="C585" s="9" t="n">
        <v>1680</v>
      </c>
      <c r="D585" s="8" t="s">
        <v>13</v>
      </c>
      <c r="E585" s="8" t="s">
        <v>137</v>
      </c>
      <c r="F585" s="8" t="str">
        <f aca="false">TEXT(A585,"MM-YYYY")</f>
        <v>02-2025</v>
      </c>
      <c r="G585" s="8" t="s">
        <v>14</v>
      </c>
      <c r="H585" s="8" t="s">
        <v>15</v>
      </c>
      <c r="I585" s="7"/>
      <c r="J585" s="8" t="str">
        <f aca="false">VLOOKUP(B585,Table3[#All],2,0)</f>
        <v>Inventory</v>
      </c>
      <c r="K585" s="8" t="str">
        <f aca="false">TEXT(ROW(), "0000")</f>
        <v>0585</v>
      </c>
      <c r="L585" s="8"/>
    </row>
    <row r="586" customFormat="false" ht="15.75" hidden="false" customHeight="true" outlineLevel="0" collapsed="false">
      <c r="A586" s="13" t="n">
        <v>45716</v>
      </c>
      <c r="B586" s="8" t="s">
        <v>22</v>
      </c>
      <c r="C586" s="9" t="n">
        <v>4202</v>
      </c>
      <c r="D586" s="8" t="s">
        <v>13</v>
      </c>
      <c r="E586" s="8" t="s">
        <v>135</v>
      </c>
      <c r="F586" s="8" t="str">
        <f aca="false">TEXT(A586,"MM-YYYY")</f>
        <v>02-2025</v>
      </c>
      <c r="G586" s="8" t="s">
        <v>14</v>
      </c>
      <c r="H586" s="8" t="s">
        <v>15</v>
      </c>
      <c r="I586" s="7"/>
      <c r="J586" s="8" t="str">
        <f aca="false">VLOOKUP(B586,Table3[#All],2,0)</f>
        <v>Inventory</v>
      </c>
      <c r="K586" s="8" t="str">
        <f aca="false">TEXT(ROW(), "0000")</f>
        <v>0586</v>
      </c>
      <c r="L586" s="8"/>
    </row>
    <row r="587" customFormat="false" ht="15.75" hidden="false" customHeight="true" outlineLevel="0" collapsed="false">
      <c r="A587" s="13" t="n">
        <v>45716</v>
      </c>
      <c r="B587" s="8" t="s">
        <v>29</v>
      </c>
      <c r="C587" s="9" t="n">
        <v>727</v>
      </c>
      <c r="D587" s="8" t="s">
        <v>13</v>
      </c>
      <c r="E587" s="8" t="s">
        <v>117</v>
      </c>
      <c r="F587" s="8" t="str">
        <f aca="false">TEXT(A587,"MM-YYYY")</f>
        <v>02-2025</v>
      </c>
      <c r="G587" s="8" t="s">
        <v>14</v>
      </c>
      <c r="H587" s="8" t="s">
        <v>15</v>
      </c>
      <c r="I587" s="7"/>
      <c r="J587" s="8" t="str">
        <f aca="false">VLOOKUP(B587,Table3[#All],2,0)</f>
        <v>Inventory</v>
      </c>
      <c r="K587" s="8" t="str">
        <f aca="false">TEXT(ROW(), "0000")</f>
        <v>0587</v>
      </c>
      <c r="L587" s="8"/>
    </row>
    <row r="588" customFormat="false" ht="15.75" hidden="false" customHeight="true" outlineLevel="0" collapsed="false">
      <c r="A588" s="13" t="n">
        <v>45716</v>
      </c>
      <c r="B588" s="8" t="s">
        <v>28</v>
      </c>
      <c r="C588" s="9" t="n">
        <v>765</v>
      </c>
      <c r="D588" s="8" t="s">
        <v>21</v>
      </c>
      <c r="E588" s="8" t="s">
        <v>127</v>
      </c>
      <c r="F588" s="8" t="str">
        <f aca="false">TEXT(A588,"MM-YYYY")</f>
        <v>02-2025</v>
      </c>
      <c r="G588" s="8" t="s">
        <v>14</v>
      </c>
      <c r="H588" s="8" t="s">
        <v>15</v>
      </c>
      <c r="I588" s="7"/>
      <c r="J588" s="8" t="str">
        <f aca="false">VLOOKUP(B588,Table3[#All],2,0)</f>
        <v>Grocery</v>
      </c>
      <c r="K588" s="8" t="str">
        <f aca="false">TEXT(ROW(), "0000")</f>
        <v>0588</v>
      </c>
      <c r="L588" s="8"/>
    </row>
    <row r="589" customFormat="false" ht="15.75" hidden="false" customHeight="true" outlineLevel="0" collapsed="false">
      <c r="A589" s="13" t="n">
        <v>45716</v>
      </c>
      <c r="B589" s="8" t="s">
        <v>40</v>
      </c>
      <c r="C589" s="9" t="n">
        <v>2420</v>
      </c>
      <c r="D589" s="8" t="s">
        <v>45</v>
      </c>
      <c r="E589" s="8" t="s">
        <v>172</v>
      </c>
      <c r="F589" s="8" t="str">
        <f aca="false">TEXT(A589,"MM-YYYY")</f>
        <v>02-2025</v>
      </c>
      <c r="G589" s="8" t="s">
        <v>14</v>
      </c>
      <c r="H589" s="8" t="s">
        <v>15</v>
      </c>
      <c r="I589" s="7"/>
      <c r="J589" s="8" t="str">
        <f aca="false">VLOOKUP(B589,Table3[#All],2,0)</f>
        <v>Inventory</v>
      </c>
      <c r="K589" s="8" t="str">
        <f aca="false">TEXT(ROW(), "0000")</f>
        <v>0589</v>
      </c>
      <c r="L589" s="8"/>
    </row>
    <row r="590" customFormat="false" ht="15.75" hidden="false" customHeight="true" outlineLevel="0" collapsed="false">
      <c r="A590" s="13" t="n">
        <v>45716</v>
      </c>
      <c r="B590" s="8" t="s">
        <v>56</v>
      </c>
      <c r="C590" s="9" t="n">
        <v>450</v>
      </c>
      <c r="D590" s="8" t="s">
        <v>45</v>
      </c>
      <c r="E590" s="8" t="s">
        <v>173</v>
      </c>
      <c r="F590" s="8" t="str">
        <f aca="false">TEXT(A590,"MM-YYYY")</f>
        <v>02-2025</v>
      </c>
      <c r="G590" s="8" t="s">
        <v>14</v>
      </c>
      <c r="H590" s="8" t="s">
        <v>15</v>
      </c>
      <c r="I590" s="7"/>
      <c r="J590" s="8" t="str">
        <f aca="false">VLOOKUP(B590,Table3[#All],2,0)</f>
        <v>New Inventory</v>
      </c>
      <c r="K590" s="8" t="str">
        <f aca="false">TEXT(ROW(), "0000")</f>
        <v>0590</v>
      </c>
      <c r="L590" s="8"/>
    </row>
    <row r="591" customFormat="false" ht="15.75" hidden="false" customHeight="true" outlineLevel="0" collapsed="false">
      <c r="A591" s="13" t="n">
        <v>45716</v>
      </c>
      <c r="B591" s="8" t="s">
        <v>43</v>
      </c>
      <c r="C591" s="9" t="n">
        <v>100</v>
      </c>
      <c r="D591" s="8" t="s">
        <v>45</v>
      </c>
      <c r="E591" s="8" t="s">
        <v>174</v>
      </c>
      <c r="F591" s="8" t="str">
        <f aca="false">TEXT(A591,"MM-YYYY")</f>
        <v>02-2025</v>
      </c>
      <c r="G591" s="8" t="s">
        <v>14</v>
      </c>
      <c r="H591" s="8" t="s">
        <v>15</v>
      </c>
      <c r="I591" s="7"/>
      <c r="J591" s="8" t="str">
        <f aca="false">VLOOKUP(B591,Table3[#All],2,0)</f>
        <v>Maintance</v>
      </c>
      <c r="K591" s="8" t="str">
        <f aca="false">TEXT(ROW(), "0000")</f>
        <v>0591</v>
      </c>
      <c r="L591" s="8"/>
    </row>
    <row r="592" customFormat="false" ht="15.75" hidden="false" customHeight="true" outlineLevel="0" collapsed="false">
      <c r="A592" s="13" t="n">
        <v>45716</v>
      </c>
      <c r="B592" s="8" t="s">
        <v>29</v>
      </c>
      <c r="C592" s="9" t="n">
        <v>1200</v>
      </c>
      <c r="D592" s="8" t="s">
        <v>45</v>
      </c>
      <c r="E592" s="8" t="s">
        <v>120</v>
      </c>
      <c r="F592" s="8" t="str">
        <f aca="false">TEXT(A592,"MM-YYYY")</f>
        <v>02-2025</v>
      </c>
      <c r="G592" s="8" t="s">
        <v>14</v>
      </c>
      <c r="H592" s="8" t="s">
        <v>15</v>
      </c>
      <c r="I592" s="7"/>
      <c r="J592" s="8" t="str">
        <f aca="false">VLOOKUP(B592,Table3[#All],2,0)</f>
        <v>Inventory</v>
      </c>
      <c r="K592" s="8" t="str">
        <f aca="false">TEXT(ROW(), "0000")</f>
        <v>0592</v>
      </c>
      <c r="L592" s="8"/>
    </row>
    <row r="593" customFormat="false" ht="15.75" hidden="false" customHeight="true" outlineLevel="0" collapsed="false">
      <c r="A593" s="13" t="n">
        <v>45716</v>
      </c>
      <c r="B593" s="8" t="s">
        <v>43</v>
      </c>
      <c r="C593" s="9" t="n">
        <v>20</v>
      </c>
      <c r="D593" s="8" t="s">
        <v>45</v>
      </c>
      <c r="E593" s="8" t="s">
        <v>175</v>
      </c>
      <c r="F593" s="8" t="str">
        <f aca="false">TEXT(A593,"MM-YYYY")</f>
        <v>02-2025</v>
      </c>
      <c r="G593" s="8" t="s">
        <v>14</v>
      </c>
      <c r="H593" s="8" t="s">
        <v>15</v>
      </c>
      <c r="I593" s="7"/>
      <c r="J593" s="8" t="str">
        <f aca="false">VLOOKUP(B593,Table3[#All],2,0)</f>
        <v>Maintance</v>
      </c>
      <c r="K593" s="8" t="str">
        <f aca="false">TEXT(ROW(), "0000")</f>
        <v>0593</v>
      </c>
      <c r="L593" s="8"/>
    </row>
    <row r="594" customFormat="false" ht="15.75" hidden="false" customHeight="true" outlineLevel="0" collapsed="false">
      <c r="A594" s="13" t="n">
        <v>45716</v>
      </c>
      <c r="B594" s="8" t="s">
        <v>34</v>
      </c>
      <c r="C594" s="9" t="n">
        <v>130</v>
      </c>
      <c r="D594" s="8" t="s">
        <v>21</v>
      </c>
      <c r="E594" s="8" t="s">
        <v>104</v>
      </c>
      <c r="F594" s="8" t="str">
        <f aca="false">TEXT(A594,"MM-YYYY")</f>
        <v>02-2025</v>
      </c>
      <c r="G594" s="8" t="s">
        <v>14</v>
      </c>
      <c r="H594" s="8" t="s">
        <v>15</v>
      </c>
      <c r="I594" s="7"/>
      <c r="J594" s="8" t="str">
        <f aca="false">VLOOKUP(B594,Table3[#All],2,0)</f>
        <v>Staff Expenses</v>
      </c>
      <c r="K594" s="8" t="str">
        <f aca="false">TEXT(ROW(), "0000")</f>
        <v>0594</v>
      </c>
      <c r="L594" s="8"/>
    </row>
    <row r="595" customFormat="false" ht="15.75" hidden="false" customHeight="true" outlineLevel="0" collapsed="false">
      <c r="A595" s="13" t="n">
        <v>45716</v>
      </c>
      <c r="B595" s="8" t="s">
        <v>22</v>
      </c>
      <c r="C595" s="9" t="n">
        <v>100</v>
      </c>
      <c r="D595" s="8" t="s">
        <v>45</v>
      </c>
      <c r="E595" s="8" t="s">
        <v>176</v>
      </c>
      <c r="F595" s="8" t="str">
        <f aca="false">TEXT(A595,"MM-YYYY")</f>
        <v>02-2025</v>
      </c>
      <c r="G595" s="8" t="s">
        <v>14</v>
      </c>
      <c r="H595" s="8" t="s">
        <v>15</v>
      </c>
      <c r="I595" s="7"/>
      <c r="J595" s="8" t="str">
        <f aca="false">VLOOKUP(B595,Table3[#All],2,0)</f>
        <v>Inventory</v>
      </c>
      <c r="K595" s="8" t="str">
        <f aca="false">TEXT(ROW(), "0000")</f>
        <v>0595</v>
      </c>
      <c r="L595" s="8"/>
    </row>
    <row r="596" customFormat="false" ht="15.75" hidden="false" customHeight="true" outlineLevel="0" collapsed="false">
      <c r="A596" s="13" t="n">
        <v>45716</v>
      </c>
      <c r="B596" s="8" t="s">
        <v>31</v>
      </c>
      <c r="C596" s="9" t="n">
        <v>780</v>
      </c>
      <c r="D596" s="8" t="s">
        <v>21</v>
      </c>
      <c r="E596" s="8" t="s">
        <v>147</v>
      </c>
      <c r="F596" s="8" t="str">
        <f aca="false">TEXT(A596,"MM-YYYY")</f>
        <v>02-2025</v>
      </c>
      <c r="G596" s="8" t="s">
        <v>14</v>
      </c>
      <c r="H596" s="8" t="s">
        <v>15</v>
      </c>
      <c r="I596" s="7"/>
      <c r="J596" s="8" t="str">
        <f aca="false">VLOOKUP(B596,Table3[#All],2,0)</f>
        <v>Bike Maintance</v>
      </c>
      <c r="K596" s="8" t="str">
        <f aca="false">TEXT(ROW(), "0000")</f>
        <v>0596</v>
      </c>
      <c r="L596" s="8"/>
    </row>
    <row r="597" customFormat="false" ht="15.75" hidden="false" customHeight="true" outlineLevel="0" collapsed="false">
      <c r="A597" s="13" t="n">
        <v>45716</v>
      </c>
      <c r="B597" s="8" t="s">
        <v>53</v>
      </c>
      <c r="C597" s="9" t="n">
        <v>270</v>
      </c>
      <c r="D597" s="8" t="s">
        <v>45</v>
      </c>
      <c r="E597" s="8" t="s">
        <v>177</v>
      </c>
      <c r="F597" s="8" t="str">
        <f aca="false">TEXT(A597,"MM-YYYY")</f>
        <v>02-2025</v>
      </c>
      <c r="G597" s="8" t="s">
        <v>14</v>
      </c>
      <c r="H597" s="8" t="s">
        <v>15</v>
      </c>
      <c r="I597" s="7"/>
      <c r="J597" s="8" t="str">
        <f aca="false">VLOOKUP(B597,Table3[#All],2,0)</f>
        <v>Grocery</v>
      </c>
      <c r="K597" s="8" t="str">
        <f aca="false">TEXT(ROW(), "0000")</f>
        <v>0597</v>
      </c>
      <c r="L597" s="8"/>
    </row>
    <row r="598" customFormat="false" ht="15.75" hidden="false" customHeight="true" outlineLevel="0" collapsed="false">
      <c r="A598" s="13" t="n">
        <v>45716</v>
      </c>
      <c r="B598" s="8" t="s">
        <v>22</v>
      </c>
      <c r="C598" s="9" t="n">
        <v>210</v>
      </c>
      <c r="D598" s="8" t="s">
        <v>45</v>
      </c>
      <c r="E598" s="8" t="s">
        <v>178</v>
      </c>
      <c r="F598" s="8" t="str">
        <f aca="false">TEXT(A598,"MM-YYYY")</f>
        <v>02-2025</v>
      </c>
      <c r="G598" s="8" t="s">
        <v>14</v>
      </c>
      <c r="H598" s="8" t="s">
        <v>15</v>
      </c>
      <c r="I598" s="7"/>
      <c r="J598" s="8" t="str">
        <f aca="false">VLOOKUP(B598,Table3[#All],2,0)</f>
        <v>Inventory</v>
      </c>
      <c r="K598" s="8" t="str">
        <f aca="false">TEXT(ROW(), "0000")</f>
        <v>0598</v>
      </c>
      <c r="L598" s="8"/>
    </row>
    <row r="599" customFormat="false" ht="15.75" hidden="false" customHeight="true" outlineLevel="0" collapsed="false">
      <c r="A599" s="13" t="n">
        <v>45716</v>
      </c>
      <c r="B599" s="8" t="s">
        <v>31</v>
      </c>
      <c r="C599" s="9" t="n">
        <v>400</v>
      </c>
      <c r="D599" s="8" t="s">
        <v>45</v>
      </c>
      <c r="E599" s="8" t="s">
        <v>147</v>
      </c>
      <c r="F599" s="8" t="str">
        <f aca="false">TEXT(A599,"MM-YYYY")</f>
        <v>02-2025</v>
      </c>
      <c r="G599" s="8" t="s">
        <v>14</v>
      </c>
      <c r="H599" s="8" t="s">
        <v>15</v>
      </c>
      <c r="I599" s="7"/>
      <c r="J599" s="8" t="str">
        <f aca="false">VLOOKUP(B599,Table3[#All],2,0)</f>
        <v>Bike Maintance</v>
      </c>
      <c r="K599" s="8" t="str">
        <f aca="false">TEXT(ROW(), "0000")</f>
        <v>0599</v>
      </c>
      <c r="L599" s="8"/>
    </row>
    <row r="600" customFormat="false" ht="15.75" hidden="false" customHeight="true" outlineLevel="0" collapsed="false">
      <c r="A600" s="13" t="n">
        <v>45716</v>
      </c>
      <c r="B600" s="8" t="s">
        <v>44</v>
      </c>
      <c r="C600" s="9" t="n">
        <v>2100</v>
      </c>
      <c r="D600" s="8" t="s">
        <v>21</v>
      </c>
      <c r="E600" s="8" t="s">
        <v>121</v>
      </c>
      <c r="F600" s="8" t="str">
        <f aca="false">TEXT(A600,"MM-YYYY")</f>
        <v>02-2025</v>
      </c>
      <c r="G600" s="8" t="s">
        <v>14</v>
      </c>
      <c r="H600" s="8" t="s">
        <v>15</v>
      </c>
      <c r="I600" s="7"/>
      <c r="J600" s="8" t="str">
        <f aca="false">VLOOKUP(B600,Table3[#All],2,0)</f>
        <v>Salary</v>
      </c>
      <c r="K600" s="8" t="str">
        <f aca="false">TEXT(ROW(), "0000")</f>
        <v>0600</v>
      </c>
      <c r="L600" s="8"/>
    </row>
    <row r="601" customFormat="false" ht="15.75" hidden="false" customHeight="true" outlineLevel="0" collapsed="false">
      <c r="A601" s="13" t="n">
        <v>45716</v>
      </c>
      <c r="B601" s="8" t="s">
        <v>16</v>
      </c>
      <c r="C601" s="9" t="n">
        <v>5440</v>
      </c>
      <c r="D601" s="8" t="s">
        <v>21</v>
      </c>
      <c r="E601" s="8" t="s">
        <v>101</v>
      </c>
      <c r="F601" s="8" t="str">
        <f aca="false">TEXT(A601,"MM-YYYY")</f>
        <v>02-2025</v>
      </c>
      <c r="G601" s="8"/>
      <c r="H601" s="8"/>
      <c r="I601" s="7"/>
      <c r="J601" s="8" t="str">
        <f aca="false">VLOOKUP(B601,Table3[#All],2,0)</f>
        <v>Sales</v>
      </c>
      <c r="K601" s="8" t="str">
        <f aca="false">TEXT(ROW(), "0000")</f>
        <v>0601</v>
      </c>
      <c r="L601" s="8"/>
    </row>
    <row r="602" customFormat="false" ht="15.75" hidden="false" customHeight="true" outlineLevel="0" collapsed="false">
      <c r="A602" s="13" t="n">
        <v>45716</v>
      </c>
      <c r="B602" s="8" t="s">
        <v>16</v>
      </c>
      <c r="C602" s="9" t="n">
        <v>3690</v>
      </c>
      <c r="D602" s="8" t="s">
        <v>27</v>
      </c>
      <c r="E602" s="8" t="s">
        <v>101</v>
      </c>
      <c r="F602" s="8" t="str">
        <f aca="false">TEXT(A602,"MM-YYYY")</f>
        <v>02-2025</v>
      </c>
      <c r="G602" s="8"/>
      <c r="H602" s="8"/>
      <c r="I602" s="7"/>
      <c r="J602" s="8" t="str">
        <f aca="false">VLOOKUP(B602,Table3[#All],2,0)</f>
        <v>Sales</v>
      </c>
      <c r="K602" s="8" t="str">
        <f aca="false">TEXT(ROW(), "0000")</f>
        <v>0602</v>
      </c>
      <c r="L602" s="8"/>
    </row>
    <row r="603" customFormat="false" ht="15.75" hidden="false" customHeight="true" outlineLevel="0" collapsed="false">
      <c r="A603" s="13" t="n">
        <v>45716</v>
      </c>
      <c r="B603" s="8" t="s">
        <v>16</v>
      </c>
      <c r="C603" s="9" t="n">
        <v>260</v>
      </c>
      <c r="D603" s="8" t="s">
        <v>70</v>
      </c>
      <c r="E603" s="8" t="s">
        <v>101</v>
      </c>
      <c r="F603" s="8" t="str">
        <f aca="false">TEXT(A603,"MM-YYYY")</f>
        <v>02-2025</v>
      </c>
      <c r="G603" s="8"/>
      <c r="H603" s="8"/>
      <c r="I603" s="7"/>
      <c r="J603" s="8" t="str">
        <f aca="false">VLOOKUP(B603,Table3[#All],2,0)</f>
        <v>Sales</v>
      </c>
      <c r="K603" s="8" t="str">
        <f aca="false">TEXT(ROW(), "0000")</f>
        <v>0603</v>
      </c>
      <c r="L603" s="8"/>
    </row>
    <row r="604" customFormat="false" ht="15.75" hidden="false" customHeight="true" outlineLevel="0" collapsed="false">
      <c r="A604" s="13" t="n">
        <v>45716</v>
      </c>
      <c r="B604" s="8" t="s">
        <v>16</v>
      </c>
      <c r="C604" s="9" t="n">
        <v>810</v>
      </c>
      <c r="D604" s="8" t="s">
        <v>33</v>
      </c>
      <c r="E604" s="8" t="s">
        <v>101</v>
      </c>
      <c r="F604" s="8" t="str">
        <f aca="false">TEXT(A604,"MM-YYYY")</f>
        <v>02-2025</v>
      </c>
      <c r="G604" s="8"/>
      <c r="H604" s="8"/>
      <c r="I604" s="7"/>
      <c r="J604" s="8" t="str">
        <f aca="false">VLOOKUP(B604,Table3[#All],2,0)</f>
        <v>Sales</v>
      </c>
      <c r="K604" s="8" t="str">
        <f aca="false">TEXT(ROW(), "0000")</f>
        <v>0604</v>
      </c>
      <c r="L604" s="8"/>
    </row>
    <row r="605" customFormat="false" ht="15.75" hidden="false" customHeight="true" outlineLevel="0" collapsed="false">
      <c r="A605" s="13" t="n">
        <v>45716</v>
      </c>
      <c r="B605" s="8" t="s">
        <v>16</v>
      </c>
      <c r="C605" s="9" t="n">
        <v>26223</v>
      </c>
      <c r="D605" s="8" t="s">
        <v>17</v>
      </c>
      <c r="E605" s="8" t="s">
        <v>101</v>
      </c>
      <c r="F605" s="8" t="str">
        <f aca="false">TEXT(A605,"MM-YYYY")</f>
        <v>02-2025</v>
      </c>
      <c r="G605" s="8"/>
      <c r="H605" s="8"/>
      <c r="I605" s="7"/>
      <c r="J605" s="8" t="str">
        <f aca="false">VLOOKUP(B605,Table3[#All],2,0)</f>
        <v>Sales</v>
      </c>
      <c r="K605" s="8" t="str">
        <f aca="false">TEXT(ROW(), "0000")</f>
        <v>0605</v>
      </c>
      <c r="L605" s="8"/>
    </row>
    <row r="606" customFormat="false" ht="15.75" hidden="false" customHeight="true" outlineLevel="0" collapsed="false">
      <c r="A606" s="13" t="n">
        <v>45716</v>
      </c>
      <c r="B606" s="8" t="s">
        <v>16</v>
      </c>
      <c r="C606" s="9" t="n">
        <v>1848</v>
      </c>
      <c r="D606" s="8" t="s">
        <v>59</v>
      </c>
      <c r="E606" s="8" t="s">
        <v>101</v>
      </c>
      <c r="F606" s="8" t="str">
        <f aca="false">TEXT(A606,"MM-YYYY")</f>
        <v>02-2025</v>
      </c>
      <c r="G606" s="8"/>
      <c r="H606" s="8"/>
      <c r="I606" s="7"/>
      <c r="J606" s="8" t="str">
        <f aca="false">VLOOKUP(B606,Table3[#All],2,0)</f>
        <v>Sales</v>
      </c>
      <c r="K606" s="8" t="str">
        <f aca="false">TEXT(ROW(), "0000")</f>
        <v>0606</v>
      </c>
      <c r="L606" s="8"/>
    </row>
    <row r="607" customFormat="false" ht="15.75" hidden="false" customHeight="true" outlineLevel="0" collapsed="false">
      <c r="A607" s="13" t="n">
        <v>45716</v>
      </c>
      <c r="B607" s="8" t="s">
        <v>16</v>
      </c>
      <c r="C607" s="9" t="n">
        <v>6323</v>
      </c>
      <c r="D607" s="8" t="s">
        <v>24</v>
      </c>
      <c r="E607" s="8" t="s">
        <v>90</v>
      </c>
      <c r="F607" s="8" t="str">
        <f aca="false">TEXT(A607,"MM-YYYY")</f>
        <v>02-2025</v>
      </c>
      <c r="G607" s="8"/>
      <c r="H607" s="8"/>
      <c r="I607" s="7"/>
      <c r="J607" s="8" t="str">
        <f aca="false">VLOOKUP(B607,Table3[#All],2,0)</f>
        <v>Sales</v>
      </c>
      <c r="K607" s="8" t="str">
        <f aca="false">TEXT(ROW(), "0000")</f>
        <v>0607</v>
      </c>
      <c r="L607" s="8"/>
    </row>
    <row r="608" customFormat="false" ht="15.75" hidden="false" customHeight="true" outlineLevel="0" collapsed="false">
      <c r="A608" s="13" t="n">
        <v>45717</v>
      </c>
      <c r="B608" s="8" t="s">
        <v>37</v>
      </c>
      <c r="C608" s="9" t="n">
        <v>50</v>
      </c>
      <c r="D608" s="8" t="s">
        <v>21</v>
      </c>
      <c r="E608" s="8" t="s">
        <v>122</v>
      </c>
      <c r="F608" s="8" t="str">
        <f aca="false">TEXT(A608,"MM-YYYY")</f>
        <v>03-2025</v>
      </c>
      <c r="G608" s="8" t="s">
        <v>14</v>
      </c>
      <c r="H608" s="8" t="s">
        <v>15</v>
      </c>
      <c r="I608" s="7"/>
      <c r="J608" s="8" t="str">
        <f aca="false">VLOOKUP(B608,Table3[#All],2,0)</f>
        <v>Maintance</v>
      </c>
      <c r="K608" s="8" t="str">
        <f aca="false">TEXT(ROW(), "0000")</f>
        <v>0608</v>
      </c>
      <c r="L608" s="8"/>
    </row>
    <row r="609" customFormat="false" ht="15.75" hidden="false" customHeight="true" outlineLevel="0" collapsed="false">
      <c r="A609" s="13" t="n">
        <v>45717</v>
      </c>
      <c r="B609" s="8" t="s">
        <v>29</v>
      </c>
      <c r="C609" s="9" t="n">
        <v>25</v>
      </c>
      <c r="D609" s="8" t="s">
        <v>21</v>
      </c>
      <c r="E609" s="8" t="s">
        <v>130</v>
      </c>
      <c r="F609" s="8" t="str">
        <f aca="false">TEXT(A609,"MM-YYYY")</f>
        <v>03-2025</v>
      </c>
      <c r="G609" s="8" t="s">
        <v>14</v>
      </c>
      <c r="H609" s="8" t="s">
        <v>15</v>
      </c>
      <c r="I609" s="7"/>
      <c r="J609" s="8" t="str">
        <f aca="false">VLOOKUP(B609,Table3[#All],2,0)</f>
        <v>Inventory</v>
      </c>
      <c r="K609" s="8" t="str">
        <f aca="false">TEXT(ROW(), "0000")</f>
        <v>0609</v>
      </c>
      <c r="L609" s="8"/>
    </row>
    <row r="610" customFormat="false" ht="15.75" hidden="false" customHeight="true" outlineLevel="0" collapsed="false">
      <c r="A610" s="13" t="n">
        <v>45717</v>
      </c>
      <c r="B610" s="8" t="s">
        <v>22</v>
      </c>
      <c r="C610" s="9" t="n">
        <v>4645</v>
      </c>
      <c r="D610" s="8" t="s">
        <v>13</v>
      </c>
      <c r="E610" s="8" t="s">
        <v>135</v>
      </c>
      <c r="F610" s="8" t="str">
        <f aca="false">TEXT(A610,"MM-YYYY")</f>
        <v>03-2025</v>
      </c>
      <c r="G610" s="8" t="s">
        <v>14</v>
      </c>
      <c r="H610" s="8" t="s">
        <v>15</v>
      </c>
      <c r="I610" s="7"/>
      <c r="J610" s="8" t="str">
        <f aca="false">VLOOKUP(B610,Table3[#All],2,0)</f>
        <v>Inventory</v>
      </c>
      <c r="K610" s="8" t="str">
        <f aca="false">TEXT(ROW(), "0000")</f>
        <v>0610</v>
      </c>
      <c r="L610" s="8"/>
    </row>
    <row r="611" customFormat="false" ht="15.75" hidden="false" customHeight="true" outlineLevel="0" collapsed="false">
      <c r="A611" s="13" t="n">
        <v>45717</v>
      </c>
      <c r="B611" s="8" t="s">
        <v>47</v>
      </c>
      <c r="C611" s="9" t="n">
        <v>840</v>
      </c>
      <c r="D611" s="8" t="s">
        <v>13</v>
      </c>
      <c r="E611" s="8" t="s">
        <v>137</v>
      </c>
      <c r="F611" s="8" t="str">
        <f aca="false">TEXT(A611,"MM-YYYY")</f>
        <v>03-2025</v>
      </c>
      <c r="G611" s="8" t="s">
        <v>14</v>
      </c>
      <c r="H611" s="8" t="s">
        <v>15</v>
      </c>
      <c r="I611" s="7"/>
      <c r="J611" s="8" t="str">
        <f aca="false">VLOOKUP(B611,Table3[#All],2,0)</f>
        <v>Inventory</v>
      </c>
      <c r="K611" s="8" t="str">
        <f aca="false">TEXT(ROW(), "0000")</f>
        <v>0611</v>
      </c>
      <c r="L611" s="8"/>
    </row>
    <row r="612" customFormat="false" ht="15.75" hidden="false" customHeight="true" outlineLevel="0" collapsed="false">
      <c r="A612" s="13" t="n">
        <v>45717</v>
      </c>
      <c r="B612" s="8" t="s">
        <v>25</v>
      </c>
      <c r="C612" s="9" t="n">
        <v>2298</v>
      </c>
      <c r="D612" s="8" t="s">
        <v>13</v>
      </c>
      <c r="E612" s="8" t="s">
        <v>113</v>
      </c>
      <c r="F612" s="8" t="str">
        <f aca="false">TEXT(A612,"MM-YYYY")</f>
        <v>03-2025</v>
      </c>
      <c r="G612" s="8" t="s">
        <v>14</v>
      </c>
      <c r="H612" s="8" t="s">
        <v>15</v>
      </c>
      <c r="I612" s="7"/>
      <c r="J612" s="8" t="str">
        <f aca="false">VLOOKUP(B612,Table3[#All],2,0)</f>
        <v>Inventory</v>
      </c>
      <c r="K612" s="8" t="str">
        <f aca="false">TEXT(ROW(), "0000")</f>
        <v>0612</v>
      </c>
      <c r="L612" s="8"/>
    </row>
    <row r="613" customFormat="false" ht="15.75" hidden="false" customHeight="true" outlineLevel="0" collapsed="false">
      <c r="A613" s="13" t="n">
        <v>45717</v>
      </c>
      <c r="B613" s="8" t="s">
        <v>19</v>
      </c>
      <c r="C613" s="9" t="n">
        <v>8352</v>
      </c>
      <c r="D613" s="8" t="s">
        <v>13</v>
      </c>
      <c r="E613" s="8" t="s">
        <v>111</v>
      </c>
      <c r="F613" s="8" t="str">
        <f aca="false">TEXT(A613,"MM-YYYY")</f>
        <v>03-2025</v>
      </c>
      <c r="G613" s="8" t="s">
        <v>14</v>
      </c>
      <c r="H613" s="8" t="s">
        <v>15</v>
      </c>
      <c r="I613" s="7"/>
      <c r="J613" s="8" t="str">
        <f aca="false">VLOOKUP(B613,Table3[#All],2,0)</f>
        <v>Inventory</v>
      </c>
      <c r="K613" s="8" t="str">
        <f aca="false">TEXT(ROW(), "0000")</f>
        <v>0613</v>
      </c>
      <c r="L613" s="8"/>
    </row>
    <row r="614" customFormat="false" ht="15.75" hidden="false" customHeight="true" outlineLevel="0" collapsed="false">
      <c r="A614" s="13" t="n">
        <v>45717</v>
      </c>
      <c r="B614" s="8" t="s">
        <v>25</v>
      </c>
      <c r="C614" s="9" t="n">
        <v>700</v>
      </c>
      <c r="D614" s="8" t="s">
        <v>45</v>
      </c>
      <c r="E614" s="8" t="s">
        <v>116</v>
      </c>
      <c r="F614" s="8" t="str">
        <f aca="false">TEXT(A614,"MM-YYYY")</f>
        <v>03-2025</v>
      </c>
      <c r="G614" s="8" t="s">
        <v>14</v>
      </c>
      <c r="H614" s="8" t="s">
        <v>15</v>
      </c>
      <c r="I614" s="7"/>
      <c r="J614" s="8" t="str">
        <f aca="false">VLOOKUP(B614,Table3[#All],2,0)</f>
        <v>Inventory</v>
      </c>
      <c r="K614" s="8" t="str">
        <f aca="false">TEXT(ROW(), "0000")</f>
        <v>0614</v>
      </c>
      <c r="L614" s="8"/>
    </row>
    <row r="615" customFormat="false" ht="15.75" hidden="false" customHeight="true" outlineLevel="0" collapsed="false">
      <c r="A615" s="13" t="n">
        <v>45717</v>
      </c>
      <c r="B615" s="8" t="s">
        <v>53</v>
      </c>
      <c r="C615" s="9" t="n">
        <v>2160</v>
      </c>
      <c r="D615" s="8" t="s">
        <v>13</v>
      </c>
      <c r="E615" s="8" t="s">
        <v>146</v>
      </c>
      <c r="F615" s="8" t="str">
        <f aca="false">TEXT(A615,"MM-YYYY")</f>
        <v>03-2025</v>
      </c>
      <c r="G615" s="8" t="s">
        <v>14</v>
      </c>
      <c r="H615" s="8" t="s">
        <v>15</v>
      </c>
      <c r="I615" s="7"/>
      <c r="J615" s="8" t="str">
        <f aca="false">VLOOKUP(B615,Table3[#All],2,0)</f>
        <v>Grocery</v>
      </c>
      <c r="K615" s="8" t="str">
        <f aca="false">TEXT(ROW(), "0000")</f>
        <v>0615</v>
      </c>
      <c r="L615" s="8"/>
    </row>
    <row r="616" customFormat="false" ht="15.75" hidden="false" customHeight="true" outlineLevel="0" collapsed="false">
      <c r="A616" s="13" t="n">
        <v>45717</v>
      </c>
      <c r="B616" s="8" t="s">
        <v>43</v>
      </c>
      <c r="C616" s="9" t="n">
        <v>270</v>
      </c>
      <c r="D616" s="8" t="s">
        <v>45</v>
      </c>
      <c r="E616" s="8" t="s">
        <v>143</v>
      </c>
      <c r="F616" s="8" t="str">
        <f aca="false">TEXT(A616,"MM-YYYY")</f>
        <v>03-2025</v>
      </c>
      <c r="G616" s="8" t="s">
        <v>14</v>
      </c>
      <c r="H616" s="8" t="s">
        <v>15</v>
      </c>
      <c r="I616" s="7"/>
      <c r="J616" s="8" t="str">
        <f aca="false">VLOOKUP(B616,Table3[#All],2,0)</f>
        <v>Maintance</v>
      </c>
      <c r="K616" s="8" t="str">
        <f aca="false">TEXT(ROW(), "0000")</f>
        <v>0616</v>
      </c>
      <c r="L616" s="8"/>
    </row>
    <row r="617" customFormat="false" ht="15.75" hidden="false" customHeight="true" outlineLevel="0" collapsed="false">
      <c r="A617" s="13" t="n">
        <v>45717</v>
      </c>
      <c r="B617" s="8" t="s">
        <v>34</v>
      </c>
      <c r="C617" s="9" t="n">
        <v>120</v>
      </c>
      <c r="D617" s="8" t="s">
        <v>45</v>
      </c>
      <c r="E617" s="8" t="s">
        <v>104</v>
      </c>
      <c r="F617" s="8" t="str">
        <f aca="false">TEXT(A617,"MM-YYYY")</f>
        <v>03-2025</v>
      </c>
      <c r="G617" s="8" t="s">
        <v>14</v>
      </c>
      <c r="H617" s="8" t="s">
        <v>15</v>
      </c>
      <c r="I617" s="7"/>
      <c r="J617" s="8" t="str">
        <f aca="false">VLOOKUP(B617,Table3[#All],2,0)</f>
        <v>Staff Expenses</v>
      </c>
      <c r="K617" s="8" t="str">
        <f aca="false">TEXT(ROW(), "0000")</f>
        <v>0617</v>
      </c>
      <c r="L617" s="8"/>
    </row>
    <row r="618" customFormat="false" ht="15.75" hidden="false" customHeight="true" outlineLevel="0" collapsed="false">
      <c r="A618" s="13" t="n">
        <v>45717</v>
      </c>
      <c r="B618" s="8" t="s">
        <v>16</v>
      </c>
      <c r="C618" s="9" t="n">
        <v>4259</v>
      </c>
      <c r="D618" s="8" t="s">
        <v>21</v>
      </c>
      <c r="E618" s="8" t="s">
        <v>101</v>
      </c>
      <c r="F618" s="8" t="str">
        <f aca="false">TEXT(A618,"MM-YYYY")</f>
        <v>03-2025</v>
      </c>
      <c r="G618" s="8"/>
      <c r="H618" s="8"/>
      <c r="I618" s="7"/>
      <c r="J618" s="8" t="str">
        <f aca="false">VLOOKUP(B618,Table3[#All],2,0)</f>
        <v>Sales</v>
      </c>
      <c r="K618" s="8" t="str">
        <f aca="false">TEXT(ROW(), "0000")</f>
        <v>0618</v>
      </c>
      <c r="L618" s="8"/>
    </row>
    <row r="619" customFormat="false" ht="15.75" hidden="false" customHeight="true" outlineLevel="0" collapsed="false">
      <c r="A619" s="13" t="n">
        <v>45717</v>
      </c>
      <c r="B619" s="8" t="s">
        <v>16</v>
      </c>
      <c r="C619" s="9" t="n">
        <v>760</v>
      </c>
      <c r="D619" s="8" t="s">
        <v>27</v>
      </c>
      <c r="E619" s="8" t="s">
        <v>101</v>
      </c>
      <c r="F619" s="8" t="str">
        <f aca="false">TEXT(A619,"MM-YYYY")</f>
        <v>03-2025</v>
      </c>
      <c r="G619" s="8"/>
      <c r="H619" s="8"/>
      <c r="I619" s="7"/>
      <c r="J619" s="8" t="str">
        <f aca="false">VLOOKUP(B619,Table3[#All],2,0)</f>
        <v>Sales</v>
      </c>
      <c r="K619" s="8" t="str">
        <f aca="false">TEXT(ROW(), "0000")</f>
        <v>0619</v>
      </c>
      <c r="L619" s="8"/>
    </row>
    <row r="620" customFormat="false" ht="15.75" hidden="false" customHeight="true" outlineLevel="0" collapsed="false">
      <c r="A620" s="13" t="n">
        <v>45717</v>
      </c>
      <c r="B620" s="8" t="s">
        <v>16</v>
      </c>
      <c r="C620" s="9" t="n">
        <v>4640</v>
      </c>
      <c r="D620" s="8" t="s">
        <v>33</v>
      </c>
      <c r="E620" s="8" t="s">
        <v>101</v>
      </c>
      <c r="F620" s="8" t="str">
        <f aca="false">TEXT(A620,"MM-YYYY")</f>
        <v>03-2025</v>
      </c>
      <c r="G620" s="8"/>
      <c r="H620" s="8"/>
      <c r="I620" s="7"/>
      <c r="J620" s="8" t="str">
        <f aca="false">VLOOKUP(B620,Table3[#All],2,0)</f>
        <v>Sales</v>
      </c>
      <c r="K620" s="8" t="str">
        <f aca="false">TEXT(ROW(), "0000")</f>
        <v>0620</v>
      </c>
      <c r="L620" s="8"/>
    </row>
    <row r="621" customFormat="false" ht="15.75" hidden="false" customHeight="true" outlineLevel="0" collapsed="false">
      <c r="A621" s="13" t="n">
        <v>45717</v>
      </c>
      <c r="B621" s="8" t="s">
        <v>16</v>
      </c>
      <c r="C621" s="9" t="n">
        <v>32481</v>
      </c>
      <c r="D621" s="8" t="s">
        <v>17</v>
      </c>
      <c r="E621" s="8" t="s">
        <v>101</v>
      </c>
      <c r="F621" s="8" t="str">
        <f aca="false">TEXT(A621,"MM-YYYY")</f>
        <v>03-2025</v>
      </c>
      <c r="G621" s="8"/>
      <c r="H621" s="8"/>
      <c r="I621" s="7"/>
      <c r="J621" s="8" t="str">
        <f aca="false">VLOOKUP(B621,Table3[#All],2,0)</f>
        <v>Sales</v>
      </c>
      <c r="K621" s="8" t="str">
        <f aca="false">TEXT(ROW(), "0000")</f>
        <v>0621</v>
      </c>
      <c r="L621" s="8"/>
    </row>
    <row r="622" customFormat="false" ht="15.75" hidden="false" customHeight="true" outlineLevel="0" collapsed="false">
      <c r="A622" s="13" t="n">
        <v>45717</v>
      </c>
      <c r="B622" s="8" t="s">
        <v>16</v>
      </c>
      <c r="C622" s="9" t="n">
        <v>1079</v>
      </c>
      <c r="D622" s="8" t="s">
        <v>59</v>
      </c>
      <c r="E622" s="8" t="s">
        <v>101</v>
      </c>
      <c r="F622" s="8" t="str">
        <f aca="false">TEXT(A622,"MM-YYYY")</f>
        <v>03-2025</v>
      </c>
      <c r="G622" s="8"/>
      <c r="H622" s="8"/>
      <c r="I622" s="7"/>
      <c r="J622" s="8" t="str">
        <f aca="false">VLOOKUP(B622,Table3[#All],2,0)</f>
        <v>Sales</v>
      </c>
      <c r="K622" s="8" t="str">
        <f aca="false">TEXT(ROW(), "0000")</f>
        <v>0622</v>
      </c>
      <c r="L622" s="8"/>
    </row>
    <row r="623" customFormat="false" ht="15.75" hidden="false" customHeight="true" outlineLevel="0" collapsed="false">
      <c r="A623" s="13" t="n">
        <v>45717</v>
      </c>
      <c r="B623" s="8" t="s">
        <v>16</v>
      </c>
      <c r="C623" s="9" t="n">
        <v>8030</v>
      </c>
      <c r="D623" s="8" t="s">
        <v>24</v>
      </c>
      <c r="E623" s="8" t="s">
        <v>90</v>
      </c>
      <c r="F623" s="8" t="str">
        <f aca="false">TEXT(A623,"MM-YYYY")</f>
        <v>03-2025</v>
      </c>
      <c r="G623" s="8"/>
      <c r="H623" s="8"/>
      <c r="I623" s="7"/>
      <c r="J623" s="8" t="str">
        <f aca="false">VLOOKUP(B623,Table3[#All],2,0)</f>
        <v>Sales</v>
      </c>
      <c r="K623" s="8" t="str">
        <f aca="false">TEXT(ROW(), "0000")</f>
        <v>0623</v>
      </c>
      <c r="L623" s="8"/>
    </row>
    <row r="624" customFormat="false" ht="15.75" hidden="false" customHeight="true" outlineLevel="0" collapsed="false">
      <c r="A624" s="13" t="n">
        <v>45718</v>
      </c>
      <c r="B624" s="8" t="s">
        <v>53</v>
      </c>
      <c r="C624" s="9" t="n">
        <v>2400</v>
      </c>
      <c r="D624" s="8" t="s">
        <v>13</v>
      </c>
      <c r="E624" s="8" t="s">
        <v>148</v>
      </c>
      <c r="F624" s="8" t="str">
        <f aca="false">TEXT(A624,"MM-YYYY")</f>
        <v>03-2025</v>
      </c>
      <c r="G624" s="8" t="s">
        <v>14</v>
      </c>
      <c r="H624" s="8" t="s">
        <v>15</v>
      </c>
      <c r="I624" s="7"/>
      <c r="J624" s="8" t="str">
        <f aca="false">VLOOKUP(B624,Table3[#All],2,0)</f>
        <v>Grocery</v>
      </c>
      <c r="K624" s="8" t="str">
        <f aca="false">TEXT(ROW(), "0000")</f>
        <v>0624</v>
      </c>
      <c r="L624" s="8"/>
    </row>
    <row r="625" customFormat="false" ht="15.75" hidden="false" customHeight="true" outlineLevel="0" collapsed="false">
      <c r="A625" s="13" t="n">
        <v>45718</v>
      </c>
      <c r="B625" s="8" t="s">
        <v>22</v>
      </c>
      <c r="C625" s="9" t="n">
        <v>2925</v>
      </c>
      <c r="D625" s="8" t="s">
        <v>13</v>
      </c>
      <c r="E625" s="8" t="s">
        <v>135</v>
      </c>
      <c r="F625" s="8" t="str">
        <f aca="false">TEXT(A625,"MM-YYYY")</f>
        <v>03-2025</v>
      </c>
      <c r="G625" s="8" t="s">
        <v>14</v>
      </c>
      <c r="H625" s="8" t="s">
        <v>15</v>
      </c>
      <c r="I625" s="7"/>
      <c r="J625" s="8" t="str">
        <f aca="false">VLOOKUP(B625,Table3[#All],2,0)</f>
        <v>Inventory</v>
      </c>
      <c r="K625" s="8" t="str">
        <f aca="false">TEXT(ROW(), "0000")</f>
        <v>0625</v>
      </c>
      <c r="L625" s="8"/>
    </row>
    <row r="626" customFormat="false" ht="15.75" hidden="false" customHeight="true" outlineLevel="0" collapsed="false">
      <c r="A626" s="13" t="n">
        <v>45718</v>
      </c>
      <c r="B626" s="8" t="s">
        <v>28</v>
      </c>
      <c r="C626" s="9" t="n">
        <v>770</v>
      </c>
      <c r="D626" s="8" t="s">
        <v>45</v>
      </c>
      <c r="E626" s="8" t="s">
        <v>127</v>
      </c>
      <c r="F626" s="8" t="str">
        <f aca="false">TEXT(A626,"MM-YYYY")</f>
        <v>03-2025</v>
      </c>
      <c r="G626" s="8" t="s">
        <v>14</v>
      </c>
      <c r="H626" s="8" t="s">
        <v>15</v>
      </c>
      <c r="I626" s="7"/>
      <c r="J626" s="8" t="str">
        <f aca="false">VLOOKUP(B626,Table3[#All],2,0)</f>
        <v>Grocery</v>
      </c>
      <c r="K626" s="8" t="str">
        <f aca="false">TEXT(ROW(), "0000")</f>
        <v>0626</v>
      </c>
      <c r="L626" s="8"/>
    </row>
    <row r="627" customFormat="false" ht="15.75" hidden="false" customHeight="true" outlineLevel="0" collapsed="false">
      <c r="A627" s="13" t="n">
        <v>45718</v>
      </c>
      <c r="B627" s="8" t="s">
        <v>19</v>
      </c>
      <c r="C627" s="9" t="n">
        <v>9188</v>
      </c>
      <c r="D627" s="8" t="s">
        <v>13</v>
      </c>
      <c r="E627" s="8" t="s">
        <v>111</v>
      </c>
      <c r="F627" s="8" t="str">
        <f aca="false">TEXT(A627,"MM-YYYY")</f>
        <v>03-2025</v>
      </c>
      <c r="G627" s="8" t="s">
        <v>14</v>
      </c>
      <c r="H627" s="8" t="s">
        <v>15</v>
      </c>
      <c r="I627" s="7"/>
      <c r="J627" s="8" t="str">
        <f aca="false">VLOOKUP(B627,Table3[#All],2,0)</f>
        <v>Inventory</v>
      </c>
      <c r="K627" s="8" t="str">
        <f aca="false">TEXT(ROW(), "0000")</f>
        <v>0627</v>
      </c>
      <c r="L627" s="8"/>
    </row>
    <row r="628" customFormat="false" ht="15.75" hidden="false" customHeight="true" outlineLevel="0" collapsed="false">
      <c r="A628" s="13" t="n">
        <v>45718</v>
      </c>
      <c r="B628" s="8" t="s">
        <v>25</v>
      </c>
      <c r="C628" s="9" t="n">
        <v>2795</v>
      </c>
      <c r="D628" s="8" t="s">
        <v>13</v>
      </c>
      <c r="E628" s="8" t="s">
        <v>113</v>
      </c>
      <c r="F628" s="8" t="str">
        <f aca="false">TEXT(A628,"MM-YYYY")</f>
        <v>03-2025</v>
      </c>
      <c r="G628" s="8" t="s">
        <v>14</v>
      </c>
      <c r="H628" s="8" t="s">
        <v>15</v>
      </c>
      <c r="I628" s="7"/>
      <c r="J628" s="8" t="str">
        <f aca="false">VLOOKUP(B628,Table3[#All],2,0)</f>
        <v>Inventory</v>
      </c>
      <c r="K628" s="8" t="str">
        <f aca="false">TEXT(ROW(), "0000")</f>
        <v>0628</v>
      </c>
      <c r="L628" s="8"/>
    </row>
    <row r="629" customFormat="false" ht="15.75" hidden="false" customHeight="true" outlineLevel="0" collapsed="false">
      <c r="A629" s="13" t="n">
        <v>45718</v>
      </c>
      <c r="B629" s="8" t="s">
        <v>44</v>
      </c>
      <c r="C629" s="9" t="n">
        <v>5000</v>
      </c>
      <c r="D629" s="8" t="s">
        <v>13</v>
      </c>
      <c r="E629" s="8" t="s">
        <v>179</v>
      </c>
      <c r="F629" s="8" t="str">
        <f aca="false">TEXT(A629,"MM-YYYY")</f>
        <v>03-2025</v>
      </c>
      <c r="G629" s="8" t="s">
        <v>14</v>
      </c>
      <c r="H629" s="8" t="s">
        <v>15</v>
      </c>
      <c r="I629" s="7"/>
      <c r="J629" s="8" t="str">
        <f aca="false">VLOOKUP(B629,Table3[#All],2,0)</f>
        <v>Salary</v>
      </c>
      <c r="K629" s="8" t="str">
        <f aca="false">TEXT(ROW(), "0000")</f>
        <v>0629</v>
      </c>
      <c r="L629" s="8"/>
    </row>
    <row r="630" customFormat="false" ht="15.75" hidden="false" customHeight="true" outlineLevel="0" collapsed="false">
      <c r="A630" s="13" t="n">
        <v>45718</v>
      </c>
      <c r="B630" s="8" t="s">
        <v>34</v>
      </c>
      <c r="C630" s="9" t="n">
        <v>125</v>
      </c>
      <c r="D630" s="8" t="s">
        <v>45</v>
      </c>
      <c r="E630" s="8" t="s">
        <v>104</v>
      </c>
      <c r="F630" s="8" t="str">
        <f aca="false">TEXT(A630,"MM-YYYY")</f>
        <v>03-2025</v>
      </c>
      <c r="G630" s="8" t="s">
        <v>14</v>
      </c>
      <c r="H630" s="8" t="s">
        <v>15</v>
      </c>
      <c r="I630" s="7"/>
      <c r="J630" s="8" t="str">
        <f aca="false">VLOOKUP(B630,Table3[#All],2,0)</f>
        <v>Staff Expenses</v>
      </c>
      <c r="K630" s="8" t="str">
        <f aca="false">TEXT(ROW(), "0000")</f>
        <v>0630</v>
      </c>
      <c r="L630" s="8"/>
    </row>
    <row r="631" customFormat="false" ht="15.75" hidden="false" customHeight="true" outlineLevel="0" collapsed="false">
      <c r="A631" s="13" t="n">
        <v>45718</v>
      </c>
      <c r="B631" s="8" t="s">
        <v>43</v>
      </c>
      <c r="C631" s="9" t="n">
        <v>110</v>
      </c>
      <c r="D631" s="8" t="s">
        <v>45</v>
      </c>
      <c r="E631" s="8" t="s">
        <v>180</v>
      </c>
      <c r="F631" s="8" t="str">
        <f aca="false">TEXT(A631,"MM-YYYY")</f>
        <v>03-2025</v>
      </c>
      <c r="G631" s="8" t="s">
        <v>14</v>
      </c>
      <c r="H631" s="8" t="s">
        <v>15</v>
      </c>
      <c r="I631" s="7"/>
      <c r="J631" s="8" t="str">
        <f aca="false">VLOOKUP(B631,Table3[#All],2,0)</f>
        <v>Maintance</v>
      </c>
      <c r="K631" s="8" t="str">
        <f aca="false">TEXT(ROW(), "0000")</f>
        <v>0631</v>
      </c>
      <c r="L631" s="8"/>
    </row>
    <row r="632" customFormat="false" ht="15.75" hidden="false" customHeight="true" outlineLevel="0" collapsed="false">
      <c r="A632" s="13" t="n">
        <v>45718</v>
      </c>
      <c r="B632" s="8" t="s">
        <v>37</v>
      </c>
      <c r="C632" s="9" t="n">
        <v>50</v>
      </c>
      <c r="D632" s="8" t="s">
        <v>21</v>
      </c>
      <c r="E632" s="8" t="s">
        <v>122</v>
      </c>
      <c r="F632" s="8" t="str">
        <f aca="false">TEXT(A632,"MM-YYYY")</f>
        <v>03-2025</v>
      </c>
      <c r="G632" s="8" t="s">
        <v>14</v>
      </c>
      <c r="H632" s="8" t="s">
        <v>15</v>
      </c>
      <c r="I632" s="7"/>
      <c r="J632" s="8" t="str">
        <f aca="false">VLOOKUP(B632,Table3[#All],2,0)</f>
        <v>Maintance</v>
      </c>
      <c r="K632" s="8" t="str">
        <f aca="false">TEXT(ROW(), "0000")</f>
        <v>0632</v>
      </c>
      <c r="L632" s="8"/>
    </row>
    <row r="633" customFormat="false" ht="15.75" hidden="false" customHeight="true" outlineLevel="0" collapsed="false">
      <c r="A633" s="13" t="n">
        <v>45718</v>
      </c>
      <c r="B633" s="8" t="s">
        <v>16</v>
      </c>
      <c r="C633" s="9" t="n">
        <v>1870</v>
      </c>
      <c r="D633" s="8" t="s">
        <v>21</v>
      </c>
      <c r="E633" s="8" t="s">
        <v>101</v>
      </c>
      <c r="F633" s="8" t="str">
        <f aca="false">TEXT(A633,"MM-YYYY")</f>
        <v>03-2025</v>
      </c>
      <c r="G633" s="8"/>
      <c r="H633" s="8"/>
      <c r="I633" s="7"/>
      <c r="J633" s="8" t="str">
        <f aca="false">VLOOKUP(B633,Table3[#All],2,0)</f>
        <v>Sales</v>
      </c>
      <c r="K633" s="8" t="str">
        <f aca="false">TEXT(ROW(), "0000")</f>
        <v>0633</v>
      </c>
      <c r="L633" s="8"/>
    </row>
    <row r="634" customFormat="false" ht="15.75" hidden="false" customHeight="true" outlineLevel="0" collapsed="false">
      <c r="A634" s="13" t="n">
        <v>45718</v>
      </c>
      <c r="B634" s="8" t="s">
        <v>16</v>
      </c>
      <c r="C634" s="9" t="n">
        <v>820</v>
      </c>
      <c r="D634" s="8" t="s">
        <v>33</v>
      </c>
      <c r="E634" s="8" t="s">
        <v>101</v>
      </c>
      <c r="F634" s="8" t="str">
        <f aca="false">TEXT(A634,"MM-YYYY")</f>
        <v>03-2025</v>
      </c>
      <c r="G634" s="8"/>
      <c r="H634" s="8"/>
      <c r="I634" s="7"/>
      <c r="J634" s="8" t="str">
        <f aca="false">VLOOKUP(B634,Table3[#All],2,0)</f>
        <v>Sales</v>
      </c>
      <c r="K634" s="8" t="str">
        <f aca="false">TEXT(ROW(), "0000")</f>
        <v>0634</v>
      </c>
      <c r="L634" s="8"/>
    </row>
    <row r="635" customFormat="false" ht="15.75" hidden="false" customHeight="true" outlineLevel="0" collapsed="false">
      <c r="A635" s="13" t="n">
        <v>45718</v>
      </c>
      <c r="B635" s="8" t="s">
        <v>16</v>
      </c>
      <c r="C635" s="9" t="n">
        <v>21971</v>
      </c>
      <c r="D635" s="8" t="s">
        <v>17</v>
      </c>
      <c r="E635" s="8" t="s">
        <v>101</v>
      </c>
      <c r="F635" s="8" t="str">
        <f aca="false">TEXT(A635,"MM-YYYY")</f>
        <v>03-2025</v>
      </c>
      <c r="G635" s="8"/>
      <c r="H635" s="8"/>
      <c r="I635" s="7"/>
      <c r="J635" s="8" t="str">
        <f aca="false">VLOOKUP(B635,Table3[#All],2,0)</f>
        <v>Sales</v>
      </c>
      <c r="K635" s="8" t="str">
        <f aca="false">TEXT(ROW(), "0000")</f>
        <v>0635</v>
      </c>
      <c r="L635" s="8"/>
    </row>
    <row r="636" customFormat="false" ht="15.75" hidden="false" customHeight="true" outlineLevel="0" collapsed="false">
      <c r="A636" s="13" t="n">
        <v>45718</v>
      </c>
      <c r="B636" s="8" t="s">
        <v>16</v>
      </c>
      <c r="C636" s="9" t="n">
        <v>270</v>
      </c>
      <c r="D636" s="8" t="s">
        <v>59</v>
      </c>
      <c r="E636" s="8" t="s">
        <v>101</v>
      </c>
      <c r="F636" s="8" t="str">
        <f aca="false">TEXT(A636,"MM-YYYY")</f>
        <v>03-2025</v>
      </c>
      <c r="G636" s="8"/>
      <c r="H636" s="8"/>
      <c r="I636" s="7"/>
      <c r="J636" s="8" t="str">
        <f aca="false">VLOOKUP(B636,Table3[#All],2,0)</f>
        <v>Sales</v>
      </c>
      <c r="K636" s="8" t="str">
        <f aca="false">TEXT(ROW(), "0000")</f>
        <v>0636</v>
      </c>
      <c r="L636" s="8"/>
    </row>
    <row r="637" customFormat="false" ht="15.75" hidden="false" customHeight="true" outlineLevel="0" collapsed="false">
      <c r="A637" s="13" t="n">
        <v>45718</v>
      </c>
      <c r="B637" s="8" t="s">
        <v>16</v>
      </c>
      <c r="C637" s="9" t="n">
        <v>5284</v>
      </c>
      <c r="D637" s="8" t="s">
        <v>24</v>
      </c>
      <c r="E637" s="8" t="s">
        <v>90</v>
      </c>
      <c r="F637" s="8" t="str">
        <f aca="false">TEXT(A637,"MM-YYYY")</f>
        <v>03-2025</v>
      </c>
      <c r="G637" s="8"/>
      <c r="H637" s="8"/>
      <c r="I637" s="7"/>
      <c r="J637" s="8" t="str">
        <f aca="false">VLOOKUP(B637,Table3[#All],2,0)</f>
        <v>Sales</v>
      </c>
      <c r="K637" s="8" t="str">
        <f aca="false">TEXT(ROW(), "0000")</f>
        <v>0637</v>
      </c>
      <c r="L637" s="8"/>
    </row>
    <row r="638" customFormat="false" ht="15.75" hidden="false" customHeight="true" outlineLevel="0" collapsed="false">
      <c r="A638" s="13" t="n">
        <v>45719</v>
      </c>
      <c r="B638" s="8" t="s">
        <v>22</v>
      </c>
      <c r="C638" s="9" t="n">
        <v>4752</v>
      </c>
      <c r="D638" s="8" t="s">
        <v>13</v>
      </c>
      <c r="E638" s="8" t="s">
        <v>135</v>
      </c>
      <c r="F638" s="8" t="str">
        <f aca="false">TEXT(A638,"MM-YYYY")</f>
        <v>03-2025</v>
      </c>
      <c r="G638" s="8" t="s">
        <v>14</v>
      </c>
      <c r="H638" s="8" t="s">
        <v>15</v>
      </c>
      <c r="I638" s="7"/>
      <c r="J638" s="8" t="str">
        <f aca="false">VLOOKUP(B638,Table3[#All],2,0)</f>
        <v>Inventory</v>
      </c>
      <c r="K638" s="8" t="str">
        <f aca="false">TEXT(ROW(), "0000")</f>
        <v>0638</v>
      </c>
      <c r="L638" s="8"/>
    </row>
    <row r="639" customFormat="false" ht="15.75" hidden="false" customHeight="true" outlineLevel="0" collapsed="false">
      <c r="A639" s="13" t="n">
        <v>45719</v>
      </c>
      <c r="B639" s="8" t="s">
        <v>47</v>
      </c>
      <c r="C639" s="9" t="n">
        <v>1680</v>
      </c>
      <c r="D639" s="8" t="s">
        <v>13</v>
      </c>
      <c r="E639" s="8" t="s">
        <v>137</v>
      </c>
      <c r="F639" s="8" t="str">
        <f aca="false">TEXT(A639,"MM-YYYY")</f>
        <v>03-2025</v>
      </c>
      <c r="G639" s="8" t="s">
        <v>14</v>
      </c>
      <c r="H639" s="8" t="s">
        <v>15</v>
      </c>
      <c r="I639" s="7"/>
      <c r="J639" s="8" t="str">
        <f aca="false">VLOOKUP(B639,Table3[#All],2,0)</f>
        <v>Inventory</v>
      </c>
      <c r="K639" s="8" t="str">
        <f aca="false">TEXT(ROW(), "0000")</f>
        <v>0639</v>
      </c>
      <c r="L639" s="8"/>
    </row>
    <row r="640" customFormat="false" ht="15.75" hidden="false" customHeight="true" outlineLevel="0" collapsed="false">
      <c r="A640" s="13" t="n">
        <v>45719</v>
      </c>
      <c r="B640" s="8" t="s">
        <v>25</v>
      </c>
      <c r="C640" s="9" t="n">
        <v>1381</v>
      </c>
      <c r="D640" s="8" t="s">
        <v>13</v>
      </c>
      <c r="E640" s="8" t="s">
        <v>113</v>
      </c>
      <c r="F640" s="8" t="str">
        <f aca="false">TEXT(A640,"MM-YYYY")</f>
        <v>03-2025</v>
      </c>
      <c r="G640" s="8" t="s">
        <v>14</v>
      </c>
      <c r="H640" s="8" t="s">
        <v>15</v>
      </c>
      <c r="I640" s="7"/>
      <c r="J640" s="8" t="str">
        <f aca="false">VLOOKUP(B640,Table3[#All],2,0)</f>
        <v>Inventory</v>
      </c>
      <c r="K640" s="8" t="str">
        <f aca="false">TEXT(ROW(), "0000")</f>
        <v>0640</v>
      </c>
      <c r="L640" s="8"/>
    </row>
    <row r="641" customFormat="false" ht="15.75" hidden="false" customHeight="true" outlineLevel="0" collapsed="false">
      <c r="A641" s="13" t="n">
        <v>45719</v>
      </c>
      <c r="B641" s="8" t="s">
        <v>19</v>
      </c>
      <c r="C641" s="9" t="n">
        <v>7309</v>
      </c>
      <c r="D641" s="8" t="s">
        <v>13</v>
      </c>
      <c r="E641" s="8" t="s">
        <v>111</v>
      </c>
      <c r="F641" s="8" t="str">
        <f aca="false">TEXT(A641,"MM-YYYY")</f>
        <v>03-2025</v>
      </c>
      <c r="G641" s="8" t="s">
        <v>14</v>
      </c>
      <c r="H641" s="8" t="s">
        <v>15</v>
      </c>
      <c r="I641" s="7"/>
      <c r="J641" s="8" t="str">
        <f aca="false">VLOOKUP(B641,Table3[#All],2,0)</f>
        <v>Inventory</v>
      </c>
      <c r="K641" s="8" t="str">
        <f aca="false">TEXT(ROW(), "0000")</f>
        <v>0641</v>
      </c>
      <c r="L641" s="8"/>
    </row>
    <row r="642" customFormat="false" ht="15.75" hidden="false" customHeight="true" outlineLevel="0" collapsed="false">
      <c r="A642" s="13" t="n">
        <v>45719</v>
      </c>
      <c r="B642" s="8" t="s">
        <v>40</v>
      </c>
      <c r="C642" s="9" t="n">
        <v>2220</v>
      </c>
      <c r="D642" s="8" t="s">
        <v>45</v>
      </c>
      <c r="E642" s="8" t="s">
        <v>172</v>
      </c>
      <c r="F642" s="8" t="str">
        <f aca="false">TEXT(A642,"MM-YYYY")</f>
        <v>03-2025</v>
      </c>
      <c r="G642" s="8" t="s">
        <v>14</v>
      </c>
      <c r="H642" s="8" t="s">
        <v>15</v>
      </c>
      <c r="I642" s="7"/>
      <c r="J642" s="8" t="str">
        <f aca="false">VLOOKUP(B642,Table3[#All],2,0)</f>
        <v>Inventory</v>
      </c>
      <c r="K642" s="8" t="str">
        <f aca="false">TEXT(ROW(), "0000")</f>
        <v>0642</v>
      </c>
      <c r="L642" s="8"/>
    </row>
    <row r="643" customFormat="false" ht="15.75" hidden="false" customHeight="true" outlineLevel="0" collapsed="false">
      <c r="A643" s="13" t="n">
        <v>45719</v>
      </c>
      <c r="B643" s="8" t="s">
        <v>37</v>
      </c>
      <c r="C643" s="9" t="n">
        <v>100</v>
      </c>
      <c r="D643" s="8" t="s">
        <v>21</v>
      </c>
      <c r="E643" s="8" t="s">
        <v>122</v>
      </c>
      <c r="F643" s="8" t="str">
        <f aca="false">TEXT(A643,"MM-YYYY")</f>
        <v>03-2025</v>
      </c>
      <c r="G643" s="8" t="s">
        <v>14</v>
      </c>
      <c r="H643" s="8" t="s">
        <v>15</v>
      </c>
      <c r="I643" s="7"/>
      <c r="J643" s="8" t="str">
        <f aca="false">VLOOKUP(B643,Table3[#All],2,0)</f>
        <v>Maintance</v>
      </c>
      <c r="K643" s="8" t="str">
        <f aca="false">TEXT(ROW(), "0000")</f>
        <v>0643</v>
      </c>
      <c r="L643" s="8"/>
    </row>
    <row r="644" customFormat="false" ht="15.75" hidden="false" customHeight="true" outlineLevel="0" collapsed="false">
      <c r="A644" s="13" t="n">
        <v>45719</v>
      </c>
      <c r="B644" s="8" t="s">
        <v>25</v>
      </c>
      <c r="C644" s="9" t="n">
        <v>550</v>
      </c>
      <c r="D644" s="8" t="s">
        <v>45</v>
      </c>
      <c r="E644" s="8" t="s">
        <v>139</v>
      </c>
      <c r="F644" s="8" t="str">
        <f aca="false">TEXT(A644,"MM-YYYY")</f>
        <v>03-2025</v>
      </c>
      <c r="G644" s="8" t="s">
        <v>14</v>
      </c>
      <c r="H644" s="8" t="s">
        <v>15</v>
      </c>
      <c r="I644" s="7"/>
      <c r="J644" s="8" t="str">
        <f aca="false">VLOOKUP(B644,Table3[#All],2,0)</f>
        <v>Inventory</v>
      </c>
      <c r="K644" s="8" t="str">
        <f aca="false">TEXT(ROW(), "0000")</f>
        <v>0644</v>
      </c>
      <c r="L644" s="8"/>
    </row>
    <row r="645" customFormat="false" ht="15.75" hidden="false" customHeight="true" outlineLevel="0" collapsed="false">
      <c r="A645" s="13" t="n">
        <v>45719</v>
      </c>
      <c r="B645" s="8" t="s">
        <v>22</v>
      </c>
      <c r="C645" s="9" t="n">
        <v>272</v>
      </c>
      <c r="D645" s="8" t="s">
        <v>45</v>
      </c>
      <c r="E645" s="8" t="s">
        <v>125</v>
      </c>
      <c r="F645" s="8" t="str">
        <f aca="false">TEXT(A645,"MM-YYYY")</f>
        <v>03-2025</v>
      </c>
      <c r="G645" s="8" t="s">
        <v>14</v>
      </c>
      <c r="H645" s="8" t="s">
        <v>15</v>
      </c>
      <c r="I645" s="7"/>
      <c r="J645" s="8" t="str">
        <f aca="false">VLOOKUP(B645,Table3[#All],2,0)</f>
        <v>Inventory</v>
      </c>
      <c r="K645" s="8" t="str">
        <f aca="false">TEXT(ROW(), "0000")</f>
        <v>0645</v>
      </c>
      <c r="L645" s="8"/>
    </row>
    <row r="646" customFormat="false" ht="15.75" hidden="false" customHeight="true" outlineLevel="0" collapsed="false">
      <c r="A646" s="13" t="n">
        <v>45719</v>
      </c>
      <c r="B646" s="8" t="s">
        <v>66</v>
      </c>
      <c r="C646" s="9" t="n">
        <v>880</v>
      </c>
      <c r="D646" s="8" t="s">
        <v>21</v>
      </c>
      <c r="E646" s="8" t="s">
        <v>127</v>
      </c>
      <c r="F646" s="8" t="str">
        <f aca="false">TEXT(A646,"MM-YYYY")</f>
        <v>03-2025</v>
      </c>
      <c r="G646" s="8" t="s">
        <v>14</v>
      </c>
      <c r="H646" s="8" t="s">
        <v>15</v>
      </c>
      <c r="I646" s="7"/>
      <c r="J646" s="8" t="str">
        <f aca="false">VLOOKUP(B646,Table3[#All],2,0)</f>
        <v>Grocery</v>
      </c>
      <c r="K646" s="8" t="str">
        <f aca="false">TEXT(ROW(), "0000")</f>
        <v>0646</v>
      </c>
      <c r="L646" s="8"/>
    </row>
    <row r="647" customFormat="false" ht="15.75" hidden="false" customHeight="true" outlineLevel="0" collapsed="false">
      <c r="A647" s="13" t="n">
        <v>45719</v>
      </c>
      <c r="B647" s="8" t="s">
        <v>34</v>
      </c>
      <c r="C647" s="9" t="n">
        <v>100</v>
      </c>
      <c r="D647" s="8" t="s">
        <v>45</v>
      </c>
      <c r="E647" s="8" t="s">
        <v>104</v>
      </c>
      <c r="F647" s="8" t="str">
        <f aca="false">TEXT(A647,"MM-YYYY")</f>
        <v>03-2025</v>
      </c>
      <c r="G647" s="8" t="s">
        <v>14</v>
      </c>
      <c r="H647" s="8" t="s">
        <v>15</v>
      </c>
      <c r="I647" s="7"/>
      <c r="J647" s="8" t="str">
        <f aca="false">VLOOKUP(B647,Table3[#All],2,0)</f>
        <v>Staff Expenses</v>
      </c>
      <c r="K647" s="8" t="str">
        <f aca="false">TEXT(ROW(), "0000")</f>
        <v>0647</v>
      </c>
      <c r="L647" s="8"/>
    </row>
    <row r="648" customFormat="false" ht="15.75" hidden="false" customHeight="true" outlineLevel="0" collapsed="false">
      <c r="A648" s="13" t="n">
        <v>45719</v>
      </c>
      <c r="B648" s="8" t="s">
        <v>29</v>
      </c>
      <c r="C648" s="9" t="n">
        <v>35</v>
      </c>
      <c r="D648" s="8" t="s">
        <v>21</v>
      </c>
      <c r="E648" s="8" t="s">
        <v>130</v>
      </c>
      <c r="F648" s="8" t="str">
        <f aca="false">TEXT(A648,"MM-YYYY")</f>
        <v>03-2025</v>
      </c>
      <c r="G648" s="8" t="s">
        <v>14</v>
      </c>
      <c r="H648" s="8" t="s">
        <v>15</v>
      </c>
      <c r="I648" s="7"/>
      <c r="J648" s="8" t="str">
        <f aca="false">VLOOKUP(B648,Table3[#All],2,0)</f>
        <v>Inventory</v>
      </c>
      <c r="K648" s="8" t="str">
        <f aca="false">TEXT(ROW(), "0000")</f>
        <v>0648</v>
      </c>
      <c r="L648" s="8"/>
    </row>
    <row r="649" customFormat="false" ht="15.75" hidden="false" customHeight="true" outlineLevel="0" collapsed="false">
      <c r="A649" s="13" t="n">
        <v>45719</v>
      </c>
      <c r="B649" s="8" t="s">
        <v>16</v>
      </c>
      <c r="C649" s="9" t="n">
        <v>2014</v>
      </c>
      <c r="D649" s="8" t="s">
        <v>21</v>
      </c>
      <c r="E649" s="8" t="s">
        <v>101</v>
      </c>
      <c r="F649" s="8" t="str">
        <f aca="false">TEXT(A649,"MM-YYYY")</f>
        <v>03-2025</v>
      </c>
      <c r="G649" s="8"/>
      <c r="H649" s="8"/>
      <c r="I649" s="7"/>
      <c r="J649" s="8" t="str">
        <f aca="false">VLOOKUP(B649,Table3[#All],2,0)</f>
        <v>Sales</v>
      </c>
      <c r="K649" s="8" t="str">
        <f aca="false">TEXT(ROW(), "0000")</f>
        <v>0649</v>
      </c>
      <c r="L649" s="8"/>
    </row>
    <row r="650" customFormat="false" ht="15.75" hidden="false" customHeight="true" outlineLevel="0" collapsed="false">
      <c r="A650" s="13" t="n">
        <v>45719</v>
      </c>
      <c r="B650" s="8" t="s">
        <v>16</v>
      </c>
      <c r="C650" s="9" t="n">
        <v>654</v>
      </c>
      <c r="D650" s="8" t="s">
        <v>27</v>
      </c>
      <c r="E650" s="8" t="s">
        <v>101</v>
      </c>
      <c r="F650" s="8" t="str">
        <f aca="false">TEXT(A650,"MM-YYYY")</f>
        <v>03-2025</v>
      </c>
      <c r="G650" s="8"/>
      <c r="H650" s="8"/>
      <c r="I650" s="7"/>
      <c r="J650" s="8" t="str">
        <f aca="false">VLOOKUP(B650,Table3[#All],2,0)</f>
        <v>Sales</v>
      </c>
      <c r="K650" s="8" t="str">
        <f aca="false">TEXT(ROW(), "0000")</f>
        <v>0650</v>
      </c>
      <c r="L650" s="8"/>
    </row>
    <row r="651" customFormat="false" ht="15.75" hidden="false" customHeight="true" outlineLevel="0" collapsed="false">
      <c r="A651" s="13" t="n">
        <v>45719</v>
      </c>
      <c r="B651" s="8" t="s">
        <v>16</v>
      </c>
      <c r="C651" s="9" t="n">
        <v>320</v>
      </c>
      <c r="D651" s="8" t="s">
        <v>33</v>
      </c>
      <c r="E651" s="8" t="s">
        <v>101</v>
      </c>
      <c r="F651" s="8" t="str">
        <f aca="false">TEXT(A651,"MM-YYYY")</f>
        <v>03-2025</v>
      </c>
      <c r="G651" s="8"/>
      <c r="H651" s="8"/>
      <c r="I651" s="7"/>
      <c r="J651" s="8" t="str">
        <f aca="false">VLOOKUP(B651,Table3[#All],2,0)</f>
        <v>Sales</v>
      </c>
      <c r="K651" s="8" t="str">
        <f aca="false">TEXT(ROW(), "0000")</f>
        <v>0651</v>
      </c>
      <c r="L651" s="8"/>
    </row>
    <row r="652" customFormat="false" ht="15.75" hidden="false" customHeight="true" outlineLevel="0" collapsed="false">
      <c r="A652" s="13" t="n">
        <v>45719</v>
      </c>
      <c r="B652" s="8" t="s">
        <v>16</v>
      </c>
      <c r="C652" s="9" t="n">
        <v>15218</v>
      </c>
      <c r="D652" s="8" t="s">
        <v>17</v>
      </c>
      <c r="E652" s="8" t="s">
        <v>101</v>
      </c>
      <c r="F652" s="8" t="str">
        <f aca="false">TEXT(A652,"MM-YYYY")</f>
        <v>03-2025</v>
      </c>
      <c r="G652" s="8"/>
      <c r="H652" s="8"/>
      <c r="I652" s="7"/>
      <c r="J652" s="8" t="str">
        <f aca="false">VLOOKUP(B652,Table3[#All],2,0)</f>
        <v>Sales</v>
      </c>
      <c r="K652" s="8" t="str">
        <f aca="false">TEXT(ROW(), "0000")</f>
        <v>0652</v>
      </c>
      <c r="L652" s="8"/>
    </row>
    <row r="653" customFormat="false" ht="15.75" hidden="false" customHeight="true" outlineLevel="0" collapsed="false">
      <c r="A653" s="13" t="n">
        <v>45719</v>
      </c>
      <c r="B653" s="8" t="s">
        <v>16</v>
      </c>
      <c r="C653" s="9" t="n">
        <v>380</v>
      </c>
      <c r="D653" s="8" t="s">
        <v>59</v>
      </c>
      <c r="E653" s="8" t="s">
        <v>101</v>
      </c>
      <c r="F653" s="8" t="str">
        <f aca="false">TEXT(A653,"MM-YYYY")</f>
        <v>03-2025</v>
      </c>
      <c r="G653" s="8"/>
      <c r="H653" s="8"/>
      <c r="I653" s="7"/>
      <c r="J653" s="8" t="str">
        <f aca="false">VLOOKUP(B653,Table3[#All],2,0)</f>
        <v>Sales</v>
      </c>
      <c r="K653" s="8" t="str">
        <f aca="false">TEXT(ROW(), "0000")</f>
        <v>0653</v>
      </c>
      <c r="L653" s="8"/>
    </row>
    <row r="654" customFormat="false" ht="15.75" hidden="false" customHeight="true" outlineLevel="0" collapsed="false">
      <c r="A654" s="13" t="n">
        <v>45719</v>
      </c>
      <c r="B654" s="8" t="s">
        <v>16</v>
      </c>
      <c r="C654" s="9" t="n">
        <v>4221</v>
      </c>
      <c r="D654" s="8" t="s">
        <v>24</v>
      </c>
      <c r="E654" s="8" t="s">
        <v>90</v>
      </c>
      <c r="F654" s="8" t="str">
        <f aca="false">TEXT(A654,"MM-YYYY")</f>
        <v>03-2025</v>
      </c>
      <c r="G654" s="8"/>
      <c r="H654" s="8"/>
      <c r="I654" s="7"/>
      <c r="J654" s="8" t="str">
        <f aca="false">VLOOKUP(B654,Table3[#All],2,0)</f>
        <v>Sales</v>
      </c>
      <c r="K654" s="8" t="str">
        <f aca="false">TEXT(ROW(), "0000")</f>
        <v>0654</v>
      </c>
      <c r="L654" s="8"/>
    </row>
    <row r="655" customFormat="false" ht="15.75" hidden="false" customHeight="true" outlineLevel="0" collapsed="false">
      <c r="A655" s="13" t="n">
        <v>45719</v>
      </c>
      <c r="B655" s="8" t="s">
        <v>107</v>
      </c>
      <c r="C655" s="9" t="n">
        <v>700</v>
      </c>
      <c r="D655" s="8" t="s">
        <v>45</v>
      </c>
      <c r="E655" s="8" t="s">
        <v>170</v>
      </c>
      <c r="F655" s="8" t="str">
        <f aca="false">TEXT(A655,"MM-YYYY")</f>
        <v>03-2025</v>
      </c>
      <c r="G655" s="8" t="s">
        <v>14</v>
      </c>
      <c r="H655" s="8" t="s">
        <v>15</v>
      </c>
      <c r="I655" s="7"/>
      <c r="J655" s="8" t="str">
        <f aca="false">VLOOKUP(B655,Table3[#All],2,0)</f>
        <v>Staff Expenses</v>
      </c>
      <c r="K655" s="8" t="str">
        <f aca="false">TEXT(ROW(), "0000")</f>
        <v>0655</v>
      </c>
      <c r="L655" s="8"/>
    </row>
    <row r="656" customFormat="false" ht="15.75" hidden="false" customHeight="true" outlineLevel="0" collapsed="false">
      <c r="A656" s="13" t="n">
        <v>45719</v>
      </c>
      <c r="B656" s="8" t="s">
        <v>29</v>
      </c>
      <c r="C656" s="9" t="n">
        <v>120</v>
      </c>
      <c r="D656" s="8" t="s">
        <v>45</v>
      </c>
      <c r="E656" s="8" t="s">
        <v>155</v>
      </c>
      <c r="F656" s="8" t="str">
        <f aca="false">TEXT(A656,"MM-YYYY")</f>
        <v>03-2025</v>
      </c>
      <c r="G656" s="8" t="s">
        <v>14</v>
      </c>
      <c r="H656" s="8" t="s">
        <v>15</v>
      </c>
      <c r="I656" s="7"/>
      <c r="J656" s="8" t="str">
        <f aca="false">VLOOKUP(B656,Table3[#All],2,0)</f>
        <v>Inventory</v>
      </c>
      <c r="K656" s="8" t="str">
        <f aca="false">TEXT(ROW(), "0000")</f>
        <v>0656</v>
      </c>
      <c r="L656" s="8"/>
    </row>
    <row r="657" customFormat="false" ht="15.75" hidden="false" customHeight="true" outlineLevel="0" collapsed="false">
      <c r="A657" s="13" t="n">
        <v>45719</v>
      </c>
      <c r="B657" s="8" t="s">
        <v>25</v>
      </c>
      <c r="C657" s="9" t="n">
        <v>60</v>
      </c>
      <c r="D657" s="8" t="s">
        <v>45</v>
      </c>
      <c r="E657" s="8" t="s">
        <v>105</v>
      </c>
      <c r="F657" s="8" t="str">
        <f aca="false">TEXT(A657,"MM-YYYY")</f>
        <v>03-2025</v>
      </c>
      <c r="G657" s="8" t="s">
        <v>14</v>
      </c>
      <c r="H657" s="8" t="s">
        <v>15</v>
      </c>
      <c r="I657" s="7"/>
      <c r="J657" s="8" t="str">
        <f aca="false">VLOOKUP(B657,Table3[#All],2,0)</f>
        <v>Inventory</v>
      </c>
      <c r="K657" s="8" t="str">
        <f aca="false">TEXT(ROW(), "0000")</f>
        <v>0657</v>
      </c>
      <c r="L657" s="8"/>
    </row>
    <row r="658" customFormat="false" ht="15.75" hidden="false" customHeight="true" outlineLevel="0" collapsed="false">
      <c r="A658" s="13" t="n">
        <v>45720</v>
      </c>
      <c r="B658" s="8" t="s">
        <v>19</v>
      </c>
      <c r="C658" s="9" t="n">
        <v>2661</v>
      </c>
      <c r="D658" s="8" t="s">
        <v>13</v>
      </c>
      <c r="E658" s="8" t="s">
        <v>111</v>
      </c>
      <c r="F658" s="8" t="str">
        <f aca="false">TEXT(A658,"MM-YYYY")</f>
        <v>03-2025</v>
      </c>
      <c r="G658" s="8" t="s">
        <v>14</v>
      </c>
      <c r="H658" s="8" t="s">
        <v>15</v>
      </c>
      <c r="I658" s="7"/>
      <c r="J658" s="8" t="str">
        <f aca="false">VLOOKUP(B658,Table3[#All],2,0)</f>
        <v>Inventory</v>
      </c>
      <c r="K658" s="8" t="str">
        <f aca="false">TEXT(ROW(), "0000")</f>
        <v>0658</v>
      </c>
      <c r="L658" s="8"/>
    </row>
    <row r="659" customFormat="false" ht="15.75" hidden="false" customHeight="true" outlineLevel="0" collapsed="false">
      <c r="A659" s="13" t="n">
        <v>45720</v>
      </c>
      <c r="B659" s="8" t="s">
        <v>22</v>
      </c>
      <c r="C659" s="9" t="n">
        <v>2040</v>
      </c>
      <c r="D659" s="8" t="s">
        <v>13</v>
      </c>
      <c r="E659" s="8" t="s">
        <v>135</v>
      </c>
      <c r="F659" s="8" t="str">
        <f aca="false">TEXT(A659,"MM-YYYY")</f>
        <v>03-2025</v>
      </c>
      <c r="G659" s="8" t="s">
        <v>14</v>
      </c>
      <c r="H659" s="8" t="s">
        <v>15</v>
      </c>
      <c r="I659" s="7"/>
      <c r="J659" s="8" t="str">
        <f aca="false">VLOOKUP(B659,Table3[#All],2,0)</f>
        <v>Inventory</v>
      </c>
      <c r="K659" s="8" t="str">
        <f aca="false">TEXT(ROW(), "0000")</f>
        <v>0659</v>
      </c>
      <c r="L659" s="8"/>
    </row>
    <row r="660" customFormat="false" ht="15.75" hidden="false" customHeight="true" outlineLevel="0" collapsed="false">
      <c r="A660" s="13" t="n">
        <v>45720</v>
      </c>
      <c r="B660" s="8" t="s">
        <v>25</v>
      </c>
      <c r="C660" s="9" t="n">
        <v>371</v>
      </c>
      <c r="D660" s="8" t="s">
        <v>13</v>
      </c>
      <c r="E660" s="8" t="s">
        <v>113</v>
      </c>
      <c r="F660" s="8" t="str">
        <f aca="false">TEXT(A660,"MM-YYYY")</f>
        <v>03-2025</v>
      </c>
      <c r="G660" s="8" t="s">
        <v>14</v>
      </c>
      <c r="H660" s="8" t="s">
        <v>15</v>
      </c>
      <c r="I660" s="7"/>
      <c r="J660" s="8" t="str">
        <f aca="false">VLOOKUP(B660,Table3[#All],2,0)</f>
        <v>Inventory</v>
      </c>
      <c r="K660" s="8" t="str">
        <f aca="false">TEXT(ROW(), "0000")</f>
        <v>0660</v>
      </c>
      <c r="L660" s="8"/>
    </row>
    <row r="661" customFormat="false" ht="15.75" hidden="false" customHeight="true" outlineLevel="0" collapsed="false">
      <c r="A661" s="13" t="n">
        <v>45720</v>
      </c>
      <c r="B661" s="8" t="s">
        <v>29</v>
      </c>
      <c r="C661" s="9" t="n">
        <v>440</v>
      </c>
      <c r="D661" s="8" t="s">
        <v>13</v>
      </c>
      <c r="E661" s="8" t="s">
        <v>117</v>
      </c>
      <c r="F661" s="8" t="str">
        <f aca="false">TEXT(A661,"MM-YYYY")</f>
        <v>03-2025</v>
      </c>
      <c r="G661" s="8" t="s">
        <v>14</v>
      </c>
      <c r="H661" s="8" t="s">
        <v>15</v>
      </c>
      <c r="I661" s="7"/>
      <c r="J661" s="8" t="str">
        <f aca="false">VLOOKUP(B661,Table3[#All],2,0)</f>
        <v>Inventory</v>
      </c>
      <c r="K661" s="8" t="str">
        <f aca="false">TEXT(ROW(), "0000")</f>
        <v>0661</v>
      </c>
      <c r="L661" s="8"/>
    </row>
    <row r="662" customFormat="false" ht="15.75" hidden="false" customHeight="true" outlineLevel="0" collapsed="false">
      <c r="A662" s="13" t="n">
        <v>45720</v>
      </c>
      <c r="B662" s="8" t="s">
        <v>29</v>
      </c>
      <c r="C662" s="9" t="n">
        <v>415</v>
      </c>
      <c r="D662" s="8" t="s">
        <v>13</v>
      </c>
      <c r="E662" s="8" t="s">
        <v>117</v>
      </c>
      <c r="F662" s="8" t="str">
        <f aca="false">TEXT(A662,"MM-YYYY")</f>
        <v>03-2025</v>
      </c>
      <c r="G662" s="8" t="s">
        <v>14</v>
      </c>
      <c r="H662" s="8" t="s">
        <v>15</v>
      </c>
      <c r="I662" s="7"/>
      <c r="J662" s="8" t="str">
        <f aca="false">VLOOKUP(B662,Table3[#All],2,0)</f>
        <v>Inventory</v>
      </c>
      <c r="K662" s="8" t="str">
        <f aca="false">TEXT(ROW(), "0000")</f>
        <v>0662</v>
      </c>
      <c r="L662" s="8"/>
    </row>
    <row r="663" customFormat="false" ht="15.75" hidden="false" customHeight="true" outlineLevel="0" collapsed="false">
      <c r="A663" s="13" t="n">
        <v>45720</v>
      </c>
      <c r="B663" s="8" t="s">
        <v>53</v>
      </c>
      <c r="C663" s="9" t="n">
        <v>1300</v>
      </c>
      <c r="D663" s="8" t="s">
        <v>13</v>
      </c>
      <c r="E663" s="8" t="s">
        <v>181</v>
      </c>
      <c r="F663" s="8" t="str">
        <f aca="false">TEXT(A663,"MM-YYYY")</f>
        <v>03-2025</v>
      </c>
      <c r="G663" s="8" t="s">
        <v>14</v>
      </c>
      <c r="H663" s="8" t="s">
        <v>15</v>
      </c>
      <c r="I663" s="7"/>
      <c r="J663" s="8" t="str">
        <f aca="false">VLOOKUP(B663,Table3[#All],2,0)</f>
        <v>Grocery</v>
      </c>
      <c r="K663" s="8" t="str">
        <f aca="false">TEXT(ROW(), "0000")</f>
        <v>0663</v>
      </c>
      <c r="L663" s="8"/>
    </row>
    <row r="664" customFormat="false" ht="15.75" hidden="false" customHeight="true" outlineLevel="0" collapsed="false">
      <c r="A664" s="13" t="n">
        <v>45720</v>
      </c>
      <c r="B664" s="8" t="s">
        <v>37</v>
      </c>
      <c r="C664" s="9" t="n">
        <v>50</v>
      </c>
      <c r="D664" s="8" t="s">
        <v>21</v>
      </c>
      <c r="E664" s="8" t="s">
        <v>122</v>
      </c>
      <c r="F664" s="8" t="str">
        <f aca="false">TEXT(A664,"MM-YYYY")</f>
        <v>03-2025</v>
      </c>
      <c r="G664" s="8" t="s">
        <v>14</v>
      </c>
      <c r="H664" s="8" t="s">
        <v>15</v>
      </c>
      <c r="I664" s="7"/>
      <c r="J664" s="8" t="str">
        <f aca="false">VLOOKUP(B664,Table3[#All],2,0)</f>
        <v>Maintance</v>
      </c>
      <c r="K664" s="8" t="str">
        <f aca="false">TEXT(ROW(), "0000")</f>
        <v>0664</v>
      </c>
      <c r="L664" s="8"/>
    </row>
    <row r="665" customFormat="false" ht="15.75" hidden="false" customHeight="true" outlineLevel="0" collapsed="false">
      <c r="A665" s="13" t="n">
        <v>45720</v>
      </c>
      <c r="B665" s="8" t="s">
        <v>40</v>
      </c>
      <c r="C665" s="9" t="n">
        <v>4440</v>
      </c>
      <c r="D665" s="8" t="s">
        <v>13</v>
      </c>
      <c r="E665" s="8" t="s">
        <v>172</v>
      </c>
      <c r="F665" s="8" t="str">
        <f aca="false">TEXT(A665,"MM-YYYY")</f>
        <v>03-2025</v>
      </c>
      <c r="G665" s="8" t="s">
        <v>14</v>
      </c>
      <c r="H665" s="8" t="s">
        <v>15</v>
      </c>
      <c r="I665" s="7"/>
      <c r="J665" s="8" t="str">
        <f aca="false">VLOOKUP(B665,Table3[#All],2,0)</f>
        <v>Inventory</v>
      </c>
      <c r="K665" s="8" t="str">
        <f aca="false">TEXT(ROW(), "0000")</f>
        <v>0665</v>
      </c>
      <c r="L665" s="8"/>
    </row>
    <row r="666" customFormat="false" ht="15.75" hidden="false" customHeight="true" outlineLevel="0" collapsed="false">
      <c r="A666" s="13" t="n">
        <v>45720</v>
      </c>
      <c r="B666" s="8" t="s">
        <v>22</v>
      </c>
      <c r="C666" s="9" t="n">
        <v>300</v>
      </c>
      <c r="D666" s="8" t="s">
        <v>45</v>
      </c>
      <c r="E666" s="8" t="s">
        <v>182</v>
      </c>
      <c r="F666" s="8" t="str">
        <f aca="false">TEXT(A666,"MM-YYYY")</f>
        <v>03-2025</v>
      </c>
      <c r="G666" s="8" t="s">
        <v>14</v>
      </c>
      <c r="H666" s="8" t="s">
        <v>15</v>
      </c>
      <c r="I666" s="7"/>
      <c r="J666" s="8" t="str">
        <f aca="false">VLOOKUP(B666,Table3[#All],2,0)</f>
        <v>Inventory</v>
      </c>
      <c r="K666" s="8" t="str">
        <f aca="false">TEXT(ROW(), "0000")</f>
        <v>0666</v>
      </c>
      <c r="L666" s="8"/>
    </row>
    <row r="667" customFormat="false" ht="15.75" hidden="false" customHeight="true" outlineLevel="0" collapsed="false">
      <c r="A667" s="13" t="n">
        <v>45720</v>
      </c>
      <c r="B667" s="8" t="s">
        <v>154</v>
      </c>
      <c r="C667" s="9" t="n">
        <v>120</v>
      </c>
      <c r="D667" s="8" t="s">
        <v>45</v>
      </c>
      <c r="E667" s="8" t="s">
        <v>104</v>
      </c>
      <c r="F667" s="8" t="str">
        <f aca="false">TEXT(A667,"MM-YYYY")</f>
        <v>03-2025</v>
      </c>
      <c r="G667" s="8" t="s">
        <v>14</v>
      </c>
      <c r="H667" s="8" t="s">
        <v>15</v>
      </c>
      <c r="I667" s="7"/>
      <c r="J667" s="8" t="str">
        <f aca="false">VLOOKUP(B667,Table3[#All],2,0)</f>
        <v>Staff Expenses</v>
      </c>
      <c r="K667" s="8" t="str">
        <f aca="false">TEXT(ROW(), "0000")</f>
        <v>0667</v>
      </c>
      <c r="L667" s="8"/>
    </row>
    <row r="668" customFormat="false" ht="15.75" hidden="false" customHeight="true" outlineLevel="0" collapsed="false">
      <c r="A668" s="13" t="n">
        <v>45720</v>
      </c>
      <c r="B668" s="8" t="s">
        <v>29</v>
      </c>
      <c r="C668" s="9" t="n">
        <v>1350</v>
      </c>
      <c r="D668" s="8" t="s">
        <v>45</v>
      </c>
      <c r="E668" s="8" t="s">
        <v>120</v>
      </c>
      <c r="F668" s="8" t="str">
        <f aca="false">TEXT(A668,"MM-YYYY")</f>
        <v>03-2025</v>
      </c>
      <c r="G668" s="8" t="s">
        <v>14</v>
      </c>
      <c r="H668" s="8" t="s">
        <v>15</v>
      </c>
      <c r="I668" s="7"/>
      <c r="J668" s="8" t="str">
        <f aca="false">VLOOKUP(B668,Table3[#All],2,0)</f>
        <v>Inventory</v>
      </c>
      <c r="K668" s="8" t="str">
        <f aca="false">TEXT(ROW(), "0000")</f>
        <v>0668</v>
      </c>
      <c r="L668" s="8"/>
    </row>
    <row r="669" customFormat="false" ht="15.75" hidden="false" customHeight="true" outlineLevel="0" collapsed="false">
      <c r="A669" s="13" t="n">
        <v>45720</v>
      </c>
      <c r="B669" s="8" t="s">
        <v>67</v>
      </c>
      <c r="C669" s="9" t="n">
        <v>2000</v>
      </c>
      <c r="D669" s="8" t="s">
        <v>13</v>
      </c>
      <c r="E669" s="8" t="s">
        <v>183</v>
      </c>
      <c r="F669" s="8" t="str">
        <f aca="false">TEXT(A669,"MM-YYYY")</f>
        <v>03-2025</v>
      </c>
      <c r="G669" s="8" t="s">
        <v>14</v>
      </c>
      <c r="H669" s="8" t="s">
        <v>15</v>
      </c>
      <c r="I669" s="7"/>
      <c r="J669" s="8" t="str">
        <f aca="false">VLOOKUP(B669,Table3[#All],2,0)</f>
        <v>Fixed Maintance</v>
      </c>
      <c r="K669" s="8" t="str">
        <f aca="false">TEXT(ROW(), "0000")</f>
        <v>0669</v>
      </c>
      <c r="L669" s="8"/>
    </row>
    <row r="670" customFormat="false" ht="15.75" hidden="false" customHeight="true" outlineLevel="0" collapsed="false">
      <c r="A670" s="13" t="n">
        <v>45720</v>
      </c>
      <c r="B670" s="8" t="s">
        <v>67</v>
      </c>
      <c r="C670" s="9" t="n">
        <v>8500</v>
      </c>
      <c r="D670" s="8" t="s">
        <v>13</v>
      </c>
      <c r="E670" s="8" t="s">
        <v>184</v>
      </c>
      <c r="F670" s="8" t="str">
        <f aca="false">TEXT(A670,"MM-YYYY")</f>
        <v>03-2025</v>
      </c>
      <c r="G670" s="8" t="s">
        <v>14</v>
      </c>
      <c r="H670" s="8" t="s">
        <v>15</v>
      </c>
      <c r="I670" s="7"/>
      <c r="J670" s="8" t="str">
        <f aca="false">VLOOKUP(B670,Table3[#All],2,0)</f>
        <v>Fixed Maintance</v>
      </c>
      <c r="K670" s="8" t="str">
        <f aca="false">TEXT(ROW(), "0000")</f>
        <v>0670</v>
      </c>
      <c r="L670" s="8"/>
    </row>
    <row r="671" customFormat="false" ht="15.75" hidden="false" customHeight="true" outlineLevel="0" collapsed="false">
      <c r="A671" s="13" t="n">
        <v>45720</v>
      </c>
      <c r="B671" s="8" t="s">
        <v>44</v>
      </c>
      <c r="C671" s="9" t="n">
        <v>6000</v>
      </c>
      <c r="D671" s="8" t="s">
        <v>13</v>
      </c>
      <c r="E671" s="8" t="s">
        <v>185</v>
      </c>
      <c r="F671" s="8" t="str">
        <f aca="false">TEXT(A671,"MM-YYYY")</f>
        <v>03-2025</v>
      </c>
      <c r="G671" s="8" t="s">
        <v>14</v>
      </c>
      <c r="H671" s="8" t="s">
        <v>15</v>
      </c>
      <c r="I671" s="7"/>
      <c r="J671" s="8" t="str">
        <f aca="false">VLOOKUP(B671,Table3[#All],2,0)</f>
        <v>Salary</v>
      </c>
      <c r="K671" s="8" t="str">
        <f aca="false">TEXT(ROW(), "0000")</f>
        <v>0671</v>
      </c>
      <c r="L671" s="8"/>
    </row>
    <row r="672" customFormat="false" ht="15.75" hidden="false" customHeight="true" outlineLevel="0" collapsed="false">
      <c r="A672" s="13" t="n">
        <v>45720</v>
      </c>
      <c r="B672" s="8" t="s">
        <v>16</v>
      </c>
      <c r="C672" s="9" t="n">
        <v>3979</v>
      </c>
      <c r="D672" s="8" t="s">
        <v>21</v>
      </c>
      <c r="E672" s="8" t="s">
        <v>101</v>
      </c>
      <c r="F672" s="8" t="str">
        <f aca="false">TEXT(A672,"MM-YYYY")</f>
        <v>03-2025</v>
      </c>
      <c r="G672" s="8"/>
      <c r="H672" s="8"/>
      <c r="I672" s="7"/>
      <c r="J672" s="8" t="str">
        <f aca="false">VLOOKUP(B672,Table3[#All],2,0)</f>
        <v>Sales</v>
      </c>
      <c r="K672" s="8" t="str">
        <f aca="false">TEXT(ROW(), "0000")</f>
        <v>0672</v>
      </c>
      <c r="L672" s="8"/>
    </row>
    <row r="673" customFormat="false" ht="15.75" hidden="false" customHeight="true" outlineLevel="0" collapsed="false">
      <c r="A673" s="13" t="n">
        <v>45720</v>
      </c>
      <c r="B673" s="8" t="s">
        <v>16</v>
      </c>
      <c r="C673" s="9" t="n">
        <v>705</v>
      </c>
      <c r="D673" s="8" t="s">
        <v>27</v>
      </c>
      <c r="E673" s="8" t="s">
        <v>101</v>
      </c>
      <c r="F673" s="8" t="str">
        <f aca="false">TEXT(A673,"MM-YYYY")</f>
        <v>03-2025</v>
      </c>
      <c r="G673" s="8"/>
      <c r="H673" s="8"/>
      <c r="I673" s="7"/>
      <c r="J673" s="8" t="str">
        <f aca="false">VLOOKUP(B673,Table3[#All],2,0)</f>
        <v>Sales</v>
      </c>
      <c r="K673" s="8" t="str">
        <f aca="false">TEXT(ROW(), "0000")</f>
        <v>0673</v>
      </c>
      <c r="L673" s="8"/>
    </row>
    <row r="674" customFormat="false" ht="15.75" hidden="false" customHeight="true" outlineLevel="0" collapsed="false">
      <c r="A674" s="13" t="n">
        <v>45720</v>
      </c>
      <c r="B674" s="8" t="s">
        <v>16</v>
      </c>
      <c r="C674" s="9" t="n">
        <v>16472</v>
      </c>
      <c r="D674" s="8" t="s">
        <v>17</v>
      </c>
      <c r="E674" s="8" t="s">
        <v>101</v>
      </c>
      <c r="F674" s="8" t="str">
        <f aca="false">TEXT(A674,"MM-YYYY")</f>
        <v>03-2025</v>
      </c>
      <c r="G674" s="8"/>
      <c r="H674" s="8"/>
      <c r="I674" s="7"/>
      <c r="J674" s="8" t="str">
        <f aca="false">VLOOKUP(B674,Table3[#All],2,0)</f>
        <v>Sales</v>
      </c>
      <c r="K674" s="8" t="str">
        <f aca="false">TEXT(ROW(), "0000")</f>
        <v>0674</v>
      </c>
      <c r="L674" s="8"/>
    </row>
    <row r="675" customFormat="false" ht="15.75" hidden="false" customHeight="true" outlineLevel="0" collapsed="false">
      <c r="A675" s="13" t="n">
        <v>45720</v>
      </c>
      <c r="B675" s="8" t="s">
        <v>16</v>
      </c>
      <c r="C675" s="9" t="n">
        <v>6740</v>
      </c>
      <c r="D675" s="8" t="s">
        <v>24</v>
      </c>
      <c r="E675" s="8" t="s">
        <v>90</v>
      </c>
      <c r="F675" s="8" t="str">
        <f aca="false">TEXT(A675,"MM-YYYY")</f>
        <v>03-2025</v>
      </c>
      <c r="G675" s="8"/>
      <c r="H675" s="8"/>
      <c r="I675" s="7"/>
      <c r="J675" s="8" t="str">
        <f aca="false">VLOOKUP(B675,Table3[#All],2,0)</f>
        <v>Sales</v>
      </c>
      <c r="K675" s="8" t="str">
        <f aca="false">TEXT(ROW(), "0000")</f>
        <v>0675</v>
      </c>
      <c r="L675" s="8"/>
    </row>
    <row r="676" customFormat="false" ht="15.75" hidden="false" customHeight="true" outlineLevel="0" collapsed="false">
      <c r="A676" s="13" t="n">
        <v>45721</v>
      </c>
      <c r="B676" s="8" t="s">
        <v>29</v>
      </c>
      <c r="C676" s="9" t="n">
        <v>650</v>
      </c>
      <c r="D676" s="8" t="s">
        <v>13</v>
      </c>
      <c r="E676" s="8" t="s">
        <v>117</v>
      </c>
      <c r="F676" s="8" t="str">
        <f aca="false">TEXT(A676,"MM-YYYY")</f>
        <v>03-2025</v>
      </c>
      <c r="G676" s="8" t="s">
        <v>14</v>
      </c>
      <c r="H676" s="8" t="s">
        <v>15</v>
      </c>
      <c r="I676" s="7"/>
      <c r="J676" s="8" t="str">
        <f aca="false">VLOOKUP(B676,Table3[#All],2,0)</f>
        <v>Inventory</v>
      </c>
      <c r="K676" s="8" t="str">
        <f aca="false">TEXT(ROW(), "0000")</f>
        <v>0676</v>
      </c>
      <c r="L676" s="8"/>
    </row>
    <row r="677" customFormat="false" ht="15.75" hidden="false" customHeight="true" outlineLevel="0" collapsed="false">
      <c r="A677" s="13" t="n">
        <v>45721</v>
      </c>
      <c r="B677" s="8" t="s">
        <v>51</v>
      </c>
      <c r="C677" s="9" t="n">
        <v>4815</v>
      </c>
      <c r="D677" s="8" t="s">
        <v>13</v>
      </c>
      <c r="E677" s="8" t="s">
        <v>156</v>
      </c>
      <c r="F677" s="8" t="str">
        <f aca="false">TEXT(A677,"MM-YYYY")</f>
        <v>03-2025</v>
      </c>
      <c r="G677" s="8" t="s">
        <v>14</v>
      </c>
      <c r="H677" s="8" t="s">
        <v>15</v>
      </c>
      <c r="I677" s="7"/>
      <c r="J677" s="8" t="str">
        <f aca="false">VLOOKUP(B677,Table3[#All],2,0)</f>
        <v>Inventory</v>
      </c>
      <c r="K677" s="8" t="str">
        <f aca="false">TEXT(ROW(), "0000")</f>
        <v>0677</v>
      </c>
      <c r="L677" s="8"/>
    </row>
    <row r="678" customFormat="false" ht="15.75" hidden="false" customHeight="true" outlineLevel="0" collapsed="false">
      <c r="A678" s="13" t="n">
        <v>45721</v>
      </c>
      <c r="B678" s="8" t="s">
        <v>25</v>
      </c>
      <c r="C678" s="9" t="n">
        <v>1654</v>
      </c>
      <c r="D678" s="8" t="s">
        <v>13</v>
      </c>
      <c r="E678" s="8" t="s">
        <v>113</v>
      </c>
      <c r="F678" s="8" t="str">
        <f aca="false">TEXT(A678,"MM-YYYY")</f>
        <v>03-2025</v>
      </c>
      <c r="G678" s="8" t="s">
        <v>14</v>
      </c>
      <c r="H678" s="8" t="s">
        <v>15</v>
      </c>
      <c r="I678" s="7"/>
      <c r="J678" s="8" t="str">
        <f aca="false">VLOOKUP(B678,Table3[#All],2,0)</f>
        <v>Inventory</v>
      </c>
      <c r="K678" s="8" t="str">
        <f aca="false">TEXT(ROW(), "0000")</f>
        <v>0678</v>
      </c>
      <c r="L678" s="8"/>
    </row>
    <row r="679" customFormat="false" ht="15.75" hidden="false" customHeight="true" outlineLevel="0" collapsed="false">
      <c r="A679" s="13" t="n">
        <v>45721</v>
      </c>
      <c r="B679" s="8" t="s">
        <v>47</v>
      </c>
      <c r="C679" s="9" t="n">
        <v>840</v>
      </c>
      <c r="D679" s="8" t="s">
        <v>13</v>
      </c>
      <c r="E679" s="8" t="s">
        <v>137</v>
      </c>
      <c r="F679" s="8" t="str">
        <f aca="false">TEXT(A679,"MM-YYYY")</f>
        <v>03-2025</v>
      </c>
      <c r="G679" s="8" t="s">
        <v>14</v>
      </c>
      <c r="H679" s="8" t="s">
        <v>15</v>
      </c>
      <c r="I679" s="7"/>
      <c r="J679" s="8" t="str">
        <f aca="false">VLOOKUP(B679,Table3[#All],2,0)</f>
        <v>Inventory</v>
      </c>
      <c r="K679" s="8" t="str">
        <f aca="false">TEXT(ROW(), "0000")</f>
        <v>0679</v>
      </c>
      <c r="L679" s="8"/>
    </row>
    <row r="680" customFormat="false" ht="15.75" hidden="false" customHeight="true" outlineLevel="0" collapsed="false">
      <c r="A680" s="13" t="n">
        <v>45721</v>
      </c>
      <c r="B680" s="8" t="s">
        <v>19</v>
      </c>
      <c r="C680" s="9" t="n">
        <v>6406</v>
      </c>
      <c r="D680" s="8" t="s">
        <v>13</v>
      </c>
      <c r="E680" s="8" t="s">
        <v>111</v>
      </c>
      <c r="F680" s="8" t="str">
        <f aca="false">TEXT(A680,"MM-YYYY")</f>
        <v>03-2025</v>
      </c>
      <c r="G680" s="8" t="s">
        <v>14</v>
      </c>
      <c r="H680" s="8" t="s">
        <v>15</v>
      </c>
      <c r="I680" s="7"/>
      <c r="J680" s="8" t="str">
        <f aca="false">VLOOKUP(B680,Table3[#All],2,0)</f>
        <v>Inventory</v>
      </c>
      <c r="K680" s="8" t="str">
        <f aca="false">TEXT(ROW(), "0000")</f>
        <v>0680</v>
      </c>
      <c r="L680" s="8"/>
    </row>
    <row r="681" customFormat="false" ht="15.75" hidden="false" customHeight="true" outlineLevel="0" collapsed="false">
      <c r="A681" s="13" t="n">
        <v>45721</v>
      </c>
      <c r="B681" s="8" t="s">
        <v>22</v>
      </c>
      <c r="C681" s="9" t="n">
        <v>3101</v>
      </c>
      <c r="D681" s="8" t="s">
        <v>13</v>
      </c>
      <c r="E681" s="8" t="s">
        <v>135</v>
      </c>
      <c r="F681" s="8" t="str">
        <f aca="false">TEXT(A681,"MM-YYYY")</f>
        <v>03-2025</v>
      </c>
      <c r="G681" s="8" t="s">
        <v>14</v>
      </c>
      <c r="H681" s="8" t="s">
        <v>15</v>
      </c>
      <c r="I681" s="7"/>
      <c r="J681" s="8" t="str">
        <f aca="false">VLOOKUP(B681,Table3[#All],2,0)</f>
        <v>Inventory</v>
      </c>
      <c r="K681" s="8" t="str">
        <f aca="false">TEXT(ROW(), "0000")</f>
        <v>0681</v>
      </c>
      <c r="L681" s="8"/>
    </row>
    <row r="682" customFormat="false" ht="15.75" hidden="false" customHeight="true" outlineLevel="0" collapsed="false">
      <c r="A682" s="13" t="n">
        <v>45721</v>
      </c>
      <c r="B682" s="8" t="s">
        <v>16</v>
      </c>
      <c r="C682" s="9" t="n">
        <v>2234</v>
      </c>
      <c r="D682" s="8" t="s">
        <v>21</v>
      </c>
      <c r="E682" s="8" t="s">
        <v>101</v>
      </c>
      <c r="F682" s="8" t="str">
        <f aca="false">TEXT(A682,"MM-YYYY")</f>
        <v>03-2025</v>
      </c>
      <c r="G682" s="8"/>
      <c r="H682" s="8"/>
      <c r="I682" s="7"/>
      <c r="J682" s="8" t="str">
        <f aca="false">VLOOKUP(B682,Table3[#All],2,0)</f>
        <v>Sales</v>
      </c>
      <c r="K682" s="8" t="str">
        <f aca="false">TEXT(ROW(), "0000")</f>
        <v>0682</v>
      </c>
      <c r="L682" s="8"/>
    </row>
    <row r="683" customFormat="false" ht="15.75" hidden="false" customHeight="true" outlineLevel="0" collapsed="false">
      <c r="A683" s="13" t="n">
        <v>45721</v>
      </c>
      <c r="B683" s="8" t="s">
        <v>16</v>
      </c>
      <c r="C683" s="9" t="n">
        <v>120</v>
      </c>
      <c r="D683" s="8" t="s">
        <v>33</v>
      </c>
      <c r="E683" s="8" t="s">
        <v>101</v>
      </c>
      <c r="F683" s="8" t="str">
        <f aca="false">TEXT(A683,"MM-YYYY")</f>
        <v>03-2025</v>
      </c>
      <c r="G683" s="8"/>
      <c r="H683" s="8"/>
      <c r="I683" s="7"/>
      <c r="J683" s="8" t="str">
        <f aca="false">VLOOKUP(B683,Table3[#All],2,0)</f>
        <v>Sales</v>
      </c>
      <c r="K683" s="8" t="str">
        <f aca="false">TEXT(ROW(), "0000")</f>
        <v>0683</v>
      </c>
      <c r="L683" s="8"/>
    </row>
    <row r="684" customFormat="false" ht="15.75" hidden="false" customHeight="true" outlineLevel="0" collapsed="false">
      <c r="A684" s="13" t="n">
        <v>45721</v>
      </c>
      <c r="B684" s="8" t="s">
        <v>16</v>
      </c>
      <c r="C684" s="9" t="n">
        <v>19400</v>
      </c>
      <c r="D684" s="8" t="s">
        <v>17</v>
      </c>
      <c r="E684" s="8" t="s">
        <v>101</v>
      </c>
      <c r="F684" s="8" t="str">
        <f aca="false">TEXT(A684,"MM-YYYY")</f>
        <v>03-2025</v>
      </c>
      <c r="G684" s="8"/>
      <c r="H684" s="8"/>
      <c r="I684" s="7"/>
      <c r="J684" s="8" t="str">
        <f aca="false">VLOOKUP(B684,Table3[#All],2,0)</f>
        <v>Sales</v>
      </c>
      <c r="K684" s="8" t="str">
        <f aca="false">TEXT(ROW(), "0000")</f>
        <v>0684</v>
      </c>
      <c r="L684" s="8"/>
    </row>
    <row r="685" customFormat="false" ht="15.75" hidden="false" customHeight="true" outlineLevel="0" collapsed="false">
      <c r="A685" s="13" t="n">
        <v>45721</v>
      </c>
      <c r="B685" s="8" t="s">
        <v>16</v>
      </c>
      <c r="C685" s="9" t="n">
        <v>6039</v>
      </c>
      <c r="D685" s="8" t="s">
        <v>24</v>
      </c>
      <c r="E685" s="8" t="s">
        <v>90</v>
      </c>
      <c r="F685" s="8" t="str">
        <f aca="false">TEXT(A685,"MM-YYYY")</f>
        <v>03-2025</v>
      </c>
      <c r="G685" s="8"/>
      <c r="H685" s="8"/>
      <c r="I685" s="7"/>
      <c r="J685" s="8" t="str">
        <f aca="false">VLOOKUP(B685,Table3[#All],2,0)</f>
        <v>Sales</v>
      </c>
      <c r="K685" s="8" t="str">
        <f aca="false">TEXT(ROW(), "0000")</f>
        <v>0685</v>
      </c>
      <c r="L685" s="8"/>
    </row>
    <row r="686" customFormat="false" ht="15.75" hidden="false" customHeight="true" outlineLevel="0" collapsed="false">
      <c r="A686" s="13" t="n">
        <v>45721</v>
      </c>
      <c r="B686" s="8" t="s">
        <v>43</v>
      </c>
      <c r="C686" s="9" t="n">
        <v>800</v>
      </c>
      <c r="D686" s="8" t="s">
        <v>45</v>
      </c>
      <c r="E686" s="8" t="s">
        <v>186</v>
      </c>
      <c r="F686" s="8" t="str">
        <f aca="false">TEXT(A686,"MM-YYYY")</f>
        <v>03-2025</v>
      </c>
      <c r="G686" s="8" t="s">
        <v>14</v>
      </c>
      <c r="H686" s="8" t="s">
        <v>15</v>
      </c>
      <c r="I686" s="7"/>
      <c r="J686" s="8" t="str">
        <f aca="false">VLOOKUP(B686,Table3[#All],2,0)</f>
        <v>Maintance</v>
      </c>
      <c r="K686" s="8" t="str">
        <f aca="false">TEXT(ROW(), "0000")</f>
        <v>0686</v>
      </c>
      <c r="L686" s="8"/>
    </row>
    <row r="687" customFormat="false" ht="15.75" hidden="false" customHeight="true" outlineLevel="0" collapsed="false">
      <c r="A687" s="13" t="n">
        <v>45721</v>
      </c>
      <c r="B687" s="8" t="s">
        <v>34</v>
      </c>
      <c r="C687" s="9" t="n">
        <v>120</v>
      </c>
      <c r="D687" s="8" t="s">
        <v>45</v>
      </c>
      <c r="E687" s="8" t="s">
        <v>104</v>
      </c>
      <c r="F687" s="8" t="str">
        <f aca="false">TEXT(A687,"MM-YYYY")</f>
        <v>03-2025</v>
      </c>
      <c r="G687" s="8" t="s">
        <v>14</v>
      </c>
      <c r="H687" s="8" t="s">
        <v>15</v>
      </c>
      <c r="I687" s="7"/>
      <c r="J687" s="8" t="str">
        <f aca="false">VLOOKUP(B687,Table3[#All],2,0)</f>
        <v>Staff Expenses</v>
      </c>
      <c r="K687" s="8" t="str">
        <f aca="false">TEXT(ROW(), "0000")</f>
        <v>0687</v>
      </c>
      <c r="L687" s="8"/>
    </row>
    <row r="688" customFormat="false" ht="15.75" hidden="false" customHeight="true" outlineLevel="0" collapsed="false">
      <c r="A688" s="13" t="n">
        <v>45721</v>
      </c>
      <c r="B688" s="8" t="s">
        <v>37</v>
      </c>
      <c r="C688" s="9" t="n">
        <v>12</v>
      </c>
      <c r="D688" s="8" t="s">
        <v>21</v>
      </c>
      <c r="E688" s="8" t="s">
        <v>122</v>
      </c>
      <c r="F688" s="8" t="str">
        <f aca="false">TEXT(A688,"MM-YYYY")</f>
        <v>03-2025</v>
      </c>
      <c r="G688" s="8" t="s">
        <v>14</v>
      </c>
      <c r="H688" s="8" t="s">
        <v>15</v>
      </c>
      <c r="I688" s="7"/>
      <c r="J688" s="8" t="str">
        <f aca="false">VLOOKUP(B688,Table3[#All],2,0)</f>
        <v>Maintance</v>
      </c>
      <c r="K688" s="8" t="str">
        <f aca="false">TEXT(ROW(), "0000")</f>
        <v>0688</v>
      </c>
      <c r="L688" s="8"/>
    </row>
    <row r="689" customFormat="false" ht="15.75" hidden="false" customHeight="true" outlineLevel="0" collapsed="false">
      <c r="A689" s="13" t="n">
        <v>45721</v>
      </c>
      <c r="B689" s="8" t="s">
        <v>53</v>
      </c>
      <c r="C689" s="9" t="n">
        <v>3600</v>
      </c>
      <c r="D689" s="8" t="s">
        <v>45</v>
      </c>
      <c r="E689" s="8" t="s">
        <v>187</v>
      </c>
      <c r="F689" s="8" t="str">
        <f aca="false">TEXT(A689,"MM-YYYY")</f>
        <v>03-2025</v>
      </c>
      <c r="G689" s="8" t="s">
        <v>14</v>
      </c>
      <c r="H689" s="8" t="s">
        <v>15</v>
      </c>
      <c r="I689" s="7"/>
      <c r="J689" s="8" t="str">
        <f aca="false">VLOOKUP(B689,Table3[#All],2,0)</f>
        <v>Grocery</v>
      </c>
      <c r="K689" s="8" t="str">
        <f aca="false">TEXT(ROW(), "0000")</f>
        <v>0689</v>
      </c>
      <c r="L689" s="8"/>
    </row>
    <row r="690" customFormat="false" ht="15.75" hidden="false" customHeight="true" outlineLevel="0" collapsed="false">
      <c r="A690" s="13" t="n">
        <v>45721</v>
      </c>
      <c r="B690" s="8" t="s">
        <v>44</v>
      </c>
      <c r="C690" s="9" t="n">
        <v>350</v>
      </c>
      <c r="D690" s="8" t="s">
        <v>21</v>
      </c>
      <c r="E690" s="8" t="s">
        <v>188</v>
      </c>
      <c r="F690" s="8" t="str">
        <f aca="false">TEXT(A690,"MM-YYYY")</f>
        <v>03-2025</v>
      </c>
      <c r="G690" s="8" t="s">
        <v>14</v>
      </c>
      <c r="H690" s="8" t="s">
        <v>15</v>
      </c>
      <c r="I690" s="7"/>
      <c r="J690" s="8" t="str">
        <f aca="false">VLOOKUP(B690,Table3[#All],2,0)</f>
        <v>Salary</v>
      </c>
      <c r="K690" s="8" t="str">
        <f aca="false">TEXT(ROW(), "0000")</f>
        <v>0690</v>
      </c>
      <c r="L690" s="8"/>
    </row>
    <row r="691" customFormat="false" ht="15.75" hidden="false" customHeight="true" outlineLevel="0" collapsed="false">
      <c r="A691" s="13" t="n">
        <v>45721</v>
      </c>
      <c r="B691" s="8" t="s">
        <v>44</v>
      </c>
      <c r="C691" s="9" t="n">
        <v>6000</v>
      </c>
      <c r="D691" s="8" t="s">
        <v>13</v>
      </c>
      <c r="E691" s="8" t="s">
        <v>188</v>
      </c>
      <c r="F691" s="8" t="str">
        <f aca="false">TEXT(A691,"MM-YYYY")</f>
        <v>03-2025</v>
      </c>
      <c r="G691" s="8" t="s">
        <v>14</v>
      </c>
      <c r="H691" s="8" t="s">
        <v>15</v>
      </c>
      <c r="I691" s="7"/>
      <c r="J691" s="8" t="str">
        <f aca="false">VLOOKUP(B691,Table3[#All],2,0)</f>
        <v>Salary</v>
      </c>
      <c r="K691" s="8" t="str">
        <f aca="false">TEXT(ROW(), "0000")</f>
        <v>0691</v>
      </c>
      <c r="L691" s="8"/>
    </row>
    <row r="692" customFormat="false" ht="15.75" hidden="false" customHeight="true" outlineLevel="0" collapsed="false">
      <c r="A692" s="13" t="n">
        <v>45722</v>
      </c>
      <c r="B692" s="8" t="s">
        <v>40</v>
      </c>
      <c r="C692" s="9" t="n">
        <v>4100</v>
      </c>
      <c r="D692" s="8" t="s">
        <v>13</v>
      </c>
      <c r="E692" s="8" t="s">
        <v>160</v>
      </c>
      <c r="F692" s="8" t="str">
        <f aca="false">TEXT(A692,"MM-YYYY")</f>
        <v>03-2025</v>
      </c>
      <c r="G692" s="8" t="s">
        <v>14</v>
      </c>
      <c r="H692" s="8" t="s">
        <v>15</v>
      </c>
      <c r="I692" s="7"/>
      <c r="J692" s="8" t="str">
        <f aca="false">VLOOKUP(B692,Table3[#All],2,0)</f>
        <v>Inventory</v>
      </c>
      <c r="K692" s="8" t="str">
        <f aca="false">TEXT(ROW(), "0000")</f>
        <v>0692</v>
      </c>
      <c r="L692" s="8"/>
    </row>
    <row r="693" customFormat="false" ht="15.75" hidden="false" customHeight="true" outlineLevel="0" collapsed="false">
      <c r="A693" s="13" t="n">
        <v>45722</v>
      </c>
      <c r="B693" s="8" t="s">
        <v>29</v>
      </c>
      <c r="C693" s="9" t="n">
        <v>1006</v>
      </c>
      <c r="D693" s="8" t="s">
        <v>13</v>
      </c>
      <c r="E693" s="8" t="s">
        <v>117</v>
      </c>
      <c r="F693" s="8" t="str">
        <f aca="false">TEXT(A693,"MM-YYYY")</f>
        <v>03-2025</v>
      </c>
      <c r="G693" s="8" t="s">
        <v>14</v>
      </c>
      <c r="H693" s="8" t="s">
        <v>15</v>
      </c>
      <c r="I693" s="7"/>
      <c r="J693" s="8" t="str">
        <f aca="false">VLOOKUP(B693,Table3[#All],2,0)</f>
        <v>Inventory</v>
      </c>
      <c r="K693" s="8" t="str">
        <f aca="false">TEXT(ROW(), "0000")</f>
        <v>0693</v>
      </c>
      <c r="L693" s="8"/>
    </row>
    <row r="694" customFormat="false" ht="15.75" hidden="false" customHeight="true" outlineLevel="0" collapsed="false">
      <c r="A694" s="13" t="n">
        <v>45722</v>
      </c>
      <c r="B694" s="8" t="s">
        <v>19</v>
      </c>
      <c r="C694" s="9" t="n">
        <v>6431</v>
      </c>
      <c r="D694" s="8" t="s">
        <v>13</v>
      </c>
      <c r="E694" s="8" t="s">
        <v>111</v>
      </c>
      <c r="F694" s="8" t="str">
        <f aca="false">TEXT(A694,"MM-YYYY")</f>
        <v>03-2025</v>
      </c>
      <c r="G694" s="8" t="s">
        <v>14</v>
      </c>
      <c r="H694" s="8" t="s">
        <v>15</v>
      </c>
      <c r="I694" s="7"/>
      <c r="J694" s="8" t="str">
        <f aca="false">VLOOKUP(B694,Table3[#All],2,0)</f>
        <v>Inventory</v>
      </c>
      <c r="K694" s="8" t="str">
        <f aca="false">TEXT(ROW(), "0000")</f>
        <v>0694</v>
      </c>
      <c r="L694" s="8"/>
    </row>
    <row r="695" customFormat="false" ht="15.75" hidden="false" customHeight="true" outlineLevel="0" collapsed="false">
      <c r="A695" s="13" t="n">
        <v>45722</v>
      </c>
      <c r="B695" s="8" t="s">
        <v>25</v>
      </c>
      <c r="C695" s="9" t="n">
        <v>1029</v>
      </c>
      <c r="D695" s="8" t="s">
        <v>13</v>
      </c>
      <c r="E695" s="8" t="s">
        <v>113</v>
      </c>
      <c r="F695" s="8" t="str">
        <f aca="false">TEXT(A695,"MM-YYYY")</f>
        <v>03-2025</v>
      </c>
      <c r="G695" s="8" t="s">
        <v>14</v>
      </c>
      <c r="H695" s="8" t="s">
        <v>15</v>
      </c>
      <c r="I695" s="7"/>
      <c r="J695" s="8" t="str">
        <f aca="false">VLOOKUP(B695,Table3[#All],2,0)</f>
        <v>Inventory</v>
      </c>
      <c r="K695" s="8" t="str">
        <f aca="false">TEXT(ROW(), "0000")</f>
        <v>0695</v>
      </c>
      <c r="L695" s="8"/>
    </row>
    <row r="696" customFormat="false" ht="15.75" hidden="false" customHeight="true" outlineLevel="0" collapsed="false">
      <c r="A696" s="13" t="n">
        <v>45722</v>
      </c>
      <c r="B696" s="8" t="s">
        <v>22</v>
      </c>
      <c r="C696" s="9" t="n">
        <v>3682</v>
      </c>
      <c r="D696" s="8" t="s">
        <v>13</v>
      </c>
      <c r="E696" s="8" t="s">
        <v>135</v>
      </c>
      <c r="F696" s="8" t="str">
        <f aca="false">TEXT(A696,"MM-YYYY")</f>
        <v>03-2025</v>
      </c>
      <c r="G696" s="8" t="s">
        <v>14</v>
      </c>
      <c r="H696" s="8" t="s">
        <v>15</v>
      </c>
      <c r="I696" s="7"/>
      <c r="J696" s="8" t="str">
        <f aca="false">VLOOKUP(B696,Table3[#All],2,0)</f>
        <v>Inventory</v>
      </c>
      <c r="K696" s="8" t="str">
        <f aca="false">TEXT(ROW(), "0000")</f>
        <v>0696</v>
      </c>
      <c r="L696" s="8"/>
    </row>
    <row r="697" customFormat="false" ht="15.75" hidden="false" customHeight="true" outlineLevel="0" collapsed="false">
      <c r="A697" s="13" t="n">
        <v>45722</v>
      </c>
      <c r="B697" s="8" t="s">
        <v>37</v>
      </c>
      <c r="C697" s="9" t="n">
        <v>30</v>
      </c>
      <c r="D697" s="8" t="s">
        <v>21</v>
      </c>
      <c r="E697" s="8" t="s">
        <v>122</v>
      </c>
      <c r="F697" s="8" t="str">
        <f aca="false">TEXT(A697,"MM-YYYY")</f>
        <v>03-2025</v>
      </c>
      <c r="G697" s="8" t="s">
        <v>14</v>
      </c>
      <c r="H697" s="8" t="s">
        <v>15</v>
      </c>
      <c r="I697" s="7"/>
      <c r="J697" s="8" t="str">
        <f aca="false">VLOOKUP(B697,Table3[#All],2,0)</f>
        <v>Maintance</v>
      </c>
      <c r="K697" s="8" t="str">
        <f aca="false">TEXT(ROW(), "0000")</f>
        <v>0697</v>
      </c>
      <c r="L697" s="8"/>
    </row>
    <row r="698" customFormat="false" ht="15.75" hidden="false" customHeight="true" outlineLevel="0" collapsed="false">
      <c r="A698" s="13" t="n">
        <v>45722</v>
      </c>
      <c r="B698" s="8" t="s">
        <v>34</v>
      </c>
      <c r="C698" s="9" t="n">
        <v>100</v>
      </c>
      <c r="D698" s="8" t="s">
        <v>45</v>
      </c>
      <c r="E698" s="8" t="s">
        <v>104</v>
      </c>
      <c r="F698" s="8" t="str">
        <f aca="false">TEXT(A698,"MM-YYYY")</f>
        <v>03-2025</v>
      </c>
      <c r="G698" s="8" t="s">
        <v>14</v>
      </c>
      <c r="H698" s="8" t="s">
        <v>15</v>
      </c>
      <c r="I698" s="7"/>
      <c r="J698" s="8" t="str">
        <f aca="false">VLOOKUP(B698,Table3[#All],2,0)</f>
        <v>Staff Expenses</v>
      </c>
      <c r="K698" s="8" t="str">
        <f aca="false">TEXT(ROW(), "0000")</f>
        <v>0698</v>
      </c>
      <c r="L698" s="8"/>
    </row>
    <row r="699" customFormat="false" ht="15.75" hidden="false" customHeight="true" outlineLevel="0" collapsed="false">
      <c r="A699" s="13" t="n">
        <v>45722</v>
      </c>
      <c r="B699" s="8" t="s">
        <v>25</v>
      </c>
      <c r="C699" s="9" t="n">
        <v>60</v>
      </c>
      <c r="D699" s="8" t="s">
        <v>45</v>
      </c>
      <c r="E699" s="8" t="s">
        <v>105</v>
      </c>
      <c r="F699" s="8" t="str">
        <f aca="false">TEXT(A699,"MM-YYYY")</f>
        <v>03-2025</v>
      </c>
      <c r="G699" s="8" t="s">
        <v>14</v>
      </c>
      <c r="H699" s="8" t="s">
        <v>15</v>
      </c>
      <c r="I699" s="7"/>
      <c r="J699" s="8" t="str">
        <f aca="false">VLOOKUP(B699,Table3[#All],2,0)</f>
        <v>Inventory</v>
      </c>
      <c r="K699" s="8" t="str">
        <f aca="false">TEXT(ROW(), "0000")</f>
        <v>0699</v>
      </c>
      <c r="L699" s="8"/>
    </row>
    <row r="700" customFormat="false" ht="15.75" hidden="false" customHeight="true" outlineLevel="0" collapsed="false">
      <c r="A700" s="13" t="n">
        <v>45722</v>
      </c>
      <c r="B700" s="8" t="s">
        <v>16</v>
      </c>
      <c r="C700" s="9" t="n">
        <v>1385</v>
      </c>
      <c r="D700" s="8" t="s">
        <v>21</v>
      </c>
      <c r="E700" s="8" t="s">
        <v>101</v>
      </c>
      <c r="F700" s="8" t="str">
        <f aca="false">TEXT(A700,"MM-YYYY")</f>
        <v>03-2025</v>
      </c>
      <c r="G700" s="8"/>
      <c r="H700" s="8"/>
      <c r="I700" s="7"/>
      <c r="J700" s="8" t="str">
        <f aca="false">VLOOKUP(B700,Table3[#All],2,0)</f>
        <v>Sales</v>
      </c>
      <c r="K700" s="8" t="str">
        <f aca="false">TEXT(ROW(), "0000")</f>
        <v>0700</v>
      </c>
      <c r="L700" s="8"/>
    </row>
    <row r="701" customFormat="false" ht="15.75" hidden="false" customHeight="true" outlineLevel="0" collapsed="false">
      <c r="A701" s="13" t="n">
        <v>45722</v>
      </c>
      <c r="B701" s="8" t="s">
        <v>16</v>
      </c>
      <c r="C701" s="9" t="n">
        <v>180</v>
      </c>
      <c r="D701" s="8" t="s">
        <v>27</v>
      </c>
      <c r="E701" s="8" t="s">
        <v>101</v>
      </c>
      <c r="F701" s="8" t="str">
        <f aca="false">TEXT(A701,"MM-YYYY")</f>
        <v>03-2025</v>
      </c>
      <c r="G701" s="8"/>
      <c r="H701" s="8"/>
      <c r="I701" s="7"/>
      <c r="J701" s="8" t="str">
        <f aca="false">VLOOKUP(B701,Table3[#All],2,0)</f>
        <v>Sales</v>
      </c>
      <c r="K701" s="8" t="str">
        <f aca="false">TEXT(ROW(), "0000")</f>
        <v>0701</v>
      </c>
      <c r="L701" s="8"/>
    </row>
    <row r="702" customFormat="false" ht="15.75" hidden="false" customHeight="true" outlineLevel="0" collapsed="false">
      <c r="A702" s="13" t="n">
        <v>45722</v>
      </c>
      <c r="B702" s="8" t="s">
        <v>16</v>
      </c>
      <c r="C702" s="9" t="n">
        <v>320</v>
      </c>
      <c r="D702" s="8" t="s">
        <v>189</v>
      </c>
      <c r="E702" s="8" t="s">
        <v>101</v>
      </c>
      <c r="F702" s="8" t="str">
        <f aca="false">TEXT(A702,"MM-YYYY")</f>
        <v>03-2025</v>
      </c>
      <c r="G702" s="8"/>
      <c r="H702" s="8"/>
      <c r="I702" s="7"/>
      <c r="J702" s="8" t="str">
        <f aca="false">VLOOKUP(B702,Table3[#All],2,0)</f>
        <v>Sales</v>
      </c>
      <c r="K702" s="8" t="str">
        <f aca="false">TEXT(ROW(), "0000")</f>
        <v>0702</v>
      </c>
      <c r="L702" s="8"/>
    </row>
    <row r="703" customFormat="false" ht="15.75" hidden="false" customHeight="true" outlineLevel="0" collapsed="false">
      <c r="A703" s="13" t="n">
        <v>45722</v>
      </c>
      <c r="B703" s="8" t="s">
        <v>16</v>
      </c>
      <c r="C703" s="9" t="n">
        <v>17653</v>
      </c>
      <c r="D703" s="8" t="s">
        <v>17</v>
      </c>
      <c r="E703" s="8" t="s">
        <v>101</v>
      </c>
      <c r="F703" s="8" t="str">
        <f aca="false">TEXT(A703,"MM-YYYY")</f>
        <v>03-2025</v>
      </c>
      <c r="G703" s="8"/>
      <c r="H703" s="8"/>
      <c r="I703" s="7"/>
      <c r="J703" s="8" t="str">
        <f aca="false">VLOOKUP(B703,Table3[#All],2,0)</f>
        <v>Sales</v>
      </c>
      <c r="K703" s="8" t="str">
        <f aca="false">TEXT(ROW(), "0000")</f>
        <v>0703</v>
      </c>
      <c r="L703" s="8"/>
    </row>
    <row r="704" customFormat="false" ht="15.75" hidden="false" customHeight="true" outlineLevel="0" collapsed="false">
      <c r="A704" s="13" t="n">
        <v>45722</v>
      </c>
      <c r="B704" s="8" t="s">
        <v>16</v>
      </c>
      <c r="C704" s="9" t="n">
        <v>320</v>
      </c>
      <c r="D704" s="8" t="s">
        <v>59</v>
      </c>
      <c r="E704" s="8" t="s">
        <v>101</v>
      </c>
      <c r="F704" s="8" t="str">
        <f aca="false">TEXT(A704,"MM-YYYY")</f>
        <v>03-2025</v>
      </c>
      <c r="G704" s="8"/>
      <c r="H704" s="8"/>
      <c r="I704" s="7"/>
      <c r="J704" s="8" t="str">
        <f aca="false">VLOOKUP(B704,Table3[#All],2,0)</f>
        <v>Sales</v>
      </c>
      <c r="K704" s="8" t="str">
        <f aca="false">TEXT(ROW(), "0000")</f>
        <v>0704</v>
      </c>
      <c r="L704" s="8"/>
    </row>
    <row r="705" customFormat="false" ht="15.75" hidden="false" customHeight="true" outlineLevel="0" collapsed="false">
      <c r="A705" s="13" t="n">
        <v>45722</v>
      </c>
      <c r="B705" s="8" t="s">
        <v>16</v>
      </c>
      <c r="C705" s="9" t="n">
        <v>5104</v>
      </c>
      <c r="D705" s="8" t="s">
        <v>24</v>
      </c>
      <c r="E705" s="8" t="s">
        <v>90</v>
      </c>
      <c r="F705" s="8" t="str">
        <f aca="false">TEXT(A705,"MM-YYYY")</f>
        <v>03-2025</v>
      </c>
      <c r="G705" s="8"/>
      <c r="H705" s="8"/>
      <c r="I705" s="7"/>
      <c r="J705" s="8" t="str">
        <f aca="false">VLOOKUP(B705,Table3[#All],2,0)</f>
        <v>Sales</v>
      </c>
      <c r="K705" s="8" t="str">
        <f aca="false">TEXT(ROW(), "0000")</f>
        <v>0705</v>
      </c>
      <c r="L705" s="8"/>
    </row>
    <row r="706" customFormat="false" ht="15.75" hidden="false" customHeight="true" outlineLevel="0" collapsed="false">
      <c r="A706" s="13" t="n">
        <v>45723</v>
      </c>
      <c r="B706" s="8" t="s">
        <v>19</v>
      </c>
      <c r="C706" s="9" t="n">
        <v>794</v>
      </c>
      <c r="D706" s="8" t="s">
        <v>45</v>
      </c>
      <c r="E706" s="8" t="s">
        <v>190</v>
      </c>
      <c r="F706" s="8" t="str">
        <f aca="false">TEXT(A706,"MM-YYYY")</f>
        <v>03-2025</v>
      </c>
      <c r="G706" s="8" t="s">
        <v>14</v>
      </c>
      <c r="H706" s="8" t="s">
        <v>15</v>
      </c>
      <c r="I706" s="7"/>
      <c r="J706" s="8" t="str">
        <f aca="false">VLOOKUP(B706,Table3[#All],2,0)</f>
        <v>Inventory</v>
      </c>
      <c r="K706" s="8" t="str">
        <f aca="false">TEXT(ROW(), "0000")</f>
        <v>0706</v>
      </c>
      <c r="L706" s="8"/>
    </row>
    <row r="707" customFormat="false" ht="15.75" hidden="false" customHeight="true" outlineLevel="0" collapsed="false">
      <c r="A707" s="13" t="n">
        <v>45723</v>
      </c>
      <c r="B707" s="8" t="s">
        <v>40</v>
      </c>
      <c r="C707" s="9" t="n">
        <v>4440</v>
      </c>
      <c r="D707" s="8" t="s">
        <v>13</v>
      </c>
      <c r="E707" s="8" t="s">
        <v>172</v>
      </c>
      <c r="F707" s="8" t="str">
        <f aca="false">TEXT(A707,"MM-YYYY")</f>
        <v>03-2025</v>
      </c>
      <c r="G707" s="8" t="s">
        <v>14</v>
      </c>
      <c r="H707" s="8" t="s">
        <v>15</v>
      </c>
      <c r="I707" s="7"/>
      <c r="J707" s="8" t="str">
        <f aca="false">VLOOKUP(B707,Table3[#All],2,0)</f>
        <v>Inventory</v>
      </c>
      <c r="K707" s="8" t="str">
        <f aca="false">TEXT(ROW(), "0000")</f>
        <v>0707</v>
      </c>
      <c r="L707" s="8"/>
    </row>
    <row r="708" customFormat="false" ht="15.75" hidden="false" customHeight="true" outlineLevel="0" collapsed="false">
      <c r="A708" s="13" t="n">
        <v>45723</v>
      </c>
      <c r="B708" s="8" t="s">
        <v>19</v>
      </c>
      <c r="C708" s="9" t="n">
        <v>3662</v>
      </c>
      <c r="D708" s="8" t="s">
        <v>13</v>
      </c>
      <c r="E708" s="8" t="s">
        <v>111</v>
      </c>
      <c r="F708" s="8" t="str">
        <f aca="false">TEXT(A708,"MM-YYYY")</f>
        <v>03-2025</v>
      </c>
      <c r="G708" s="8" t="s">
        <v>14</v>
      </c>
      <c r="H708" s="8" t="s">
        <v>15</v>
      </c>
      <c r="I708" s="7"/>
      <c r="J708" s="8" t="str">
        <f aca="false">VLOOKUP(B708,Table3[#All],2,0)</f>
        <v>Inventory</v>
      </c>
      <c r="K708" s="8" t="str">
        <f aca="false">TEXT(ROW(), "0000")</f>
        <v>0708</v>
      </c>
      <c r="L708" s="8"/>
    </row>
    <row r="709" customFormat="false" ht="15.75" hidden="false" customHeight="true" outlineLevel="0" collapsed="false">
      <c r="A709" s="13" t="n">
        <v>45723</v>
      </c>
      <c r="B709" s="8" t="s">
        <v>25</v>
      </c>
      <c r="C709" s="9" t="n">
        <v>816</v>
      </c>
      <c r="D709" s="8" t="s">
        <v>13</v>
      </c>
      <c r="E709" s="8" t="s">
        <v>113</v>
      </c>
      <c r="F709" s="8" t="str">
        <f aca="false">TEXT(A709,"MM-YYYY")</f>
        <v>03-2025</v>
      </c>
      <c r="G709" s="8" t="s">
        <v>14</v>
      </c>
      <c r="H709" s="8" t="s">
        <v>15</v>
      </c>
      <c r="I709" s="7"/>
      <c r="J709" s="8" t="str">
        <f aca="false">VLOOKUP(B709,Table3[#All],2,0)</f>
        <v>Inventory</v>
      </c>
      <c r="K709" s="8" t="str">
        <f aca="false">TEXT(ROW(), "0000")</f>
        <v>0709</v>
      </c>
      <c r="L709" s="8"/>
    </row>
    <row r="710" customFormat="false" ht="15.75" hidden="false" customHeight="true" outlineLevel="0" collapsed="false">
      <c r="A710" s="13" t="n">
        <v>45723</v>
      </c>
      <c r="B710" s="8" t="s">
        <v>32</v>
      </c>
      <c r="C710" s="9" t="n">
        <v>770</v>
      </c>
      <c r="D710" s="8" t="s">
        <v>45</v>
      </c>
      <c r="E710" s="8" t="s">
        <v>116</v>
      </c>
      <c r="F710" s="8" t="str">
        <f aca="false">TEXT(A710,"MM-YYYY")</f>
        <v>03-2025</v>
      </c>
      <c r="G710" s="8" t="s">
        <v>14</v>
      </c>
      <c r="H710" s="8" t="s">
        <v>15</v>
      </c>
      <c r="I710" s="7"/>
      <c r="J710" s="8" t="str">
        <f aca="false">VLOOKUP(B710,Table3[#All],2,0)</f>
        <v>Grocery</v>
      </c>
      <c r="K710" s="8" t="str">
        <f aca="false">TEXT(ROW(), "0000")</f>
        <v>0710</v>
      </c>
      <c r="L710" s="8"/>
    </row>
    <row r="711" customFormat="false" ht="15.75" hidden="false" customHeight="true" outlineLevel="0" collapsed="false">
      <c r="A711" s="13" t="n">
        <v>45723</v>
      </c>
      <c r="B711" s="8" t="s">
        <v>29</v>
      </c>
      <c r="C711" s="9" t="n">
        <v>1150</v>
      </c>
      <c r="D711" s="8" t="s">
        <v>45</v>
      </c>
      <c r="E711" s="8" t="s">
        <v>120</v>
      </c>
      <c r="F711" s="8" t="str">
        <f aca="false">TEXT(A711,"MM-YYYY")</f>
        <v>03-2025</v>
      </c>
      <c r="G711" s="8" t="s">
        <v>14</v>
      </c>
      <c r="H711" s="8" t="s">
        <v>15</v>
      </c>
      <c r="I711" s="7"/>
      <c r="J711" s="8" t="str">
        <f aca="false">VLOOKUP(B711,Table3[#All],2,0)</f>
        <v>Inventory</v>
      </c>
      <c r="K711" s="8" t="str">
        <f aca="false">TEXT(ROW(), "0000")</f>
        <v>0711</v>
      </c>
      <c r="L711" s="8"/>
    </row>
    <row r="712" customFormat="false" ht="15.75" hidden="false" customHeight="true" outlineLevel="0" collapsed="false">
      <c r="A712" s="13" t="n">
        <v>45723</v>
      </c>
      <c r="B712" s="8" t="s">
        <v>34</v>
      </c>
      <c r="C712" s="9" t="n">
        <v>125</v>
      </c>
      <c r="D712" s="8" t="s">
        <v>45</v>
      </c>
      <c r="E712" s="8" t="s">
        <v>104</v>
      </c>
      <c r="F712" s="8" t="str">
        <f aca="false">TEXT(A712,"MM-YYYY")</f>
        <v>03-2025</v>
      </c>
      <c r="G712" s="8" t="s">
        <v>14</v>
      </c>
      <c r="H712" s="8" t="s">
        <v>15</v>
      </c>
      <c r="I712" s="7"/>
      <c r="J712" s="8" t="str">
        <f aca="false">VLOOKUP(B712,Table3[#All],2,0)</f>
        <v>Staff Expenses</v>
      </c>
      <c r="K712" s="8" t="str">
        <f aca="false">TEXT(ROW(), "0000")</f>
        <v>0712</v>
      </c>
      <c r="L712" s="8"/>
    </row>
    <row r="713" customFormat="false" ht="15.75" hidden="false" customHeight="true" outlineLevel="0" collapsed="false">
      <c r="A713" s="13" t="n">
        <v>45723</v>
      </c>
      <c r="B713" s="8" t="s">
        <v>31</v>
      </c>
      <c r="C713" s="9" t="n">
        <v>380</v>
      </c>
      <c r="D713" s="8" t="s">
        <v>45</v>
      </c>
      <c r="E713" s="8" t="s">
        <v>147</v>
      </c>
      <c r="F713" s="8" t="str">
        <f aca="false">TEXT(A713,"MM-YYYY")</f>
        <v>03-2025</v>
      </c>
      <c r="G713" s="8" t="s">
        <v>14</v>
      </c>
      <c r="H713" s="8" t="s">
        <v>15</v>
      </c>
      <c r="I713" s="7"/>
      <c r="J713" s="8" t="str">
        <f aca="false">VLOOKUP(B713,Table3[#All],2,0)</f>
        <v>Bike Maintance</v>
      </c>
      <c r="K713" s="8" t="str">
        <f aca="false">TEXT(ROW(), "0000")</f>
        <v>0713</v>
      </c>
      <c r="L713" s="8"/>
    </row>
    <row r="714" customFormat="false" ht="15.75" hidden="false" customHeight="true" outlineLevel="0" collapsed="false">
      <c r="A714" s="13" t="n">
        <v>45723</v>
      </c>
      <c r="B714" s="8" t="s">
        <v>51</v>
      </c>
      <c r="C714" s="9" t="n">
        <v>390</v>
      </c>
      <c r="D714" s="8" t="s">
        <v>21</v>
      </c>
      <c r="E714" s="8" t="s">
        <v>156</v>
      </c>
      <c r="F714" s="8" t="str">
        <f aca="false">TEXT(A714,"MM-YYYY")</f>
        <v>03-2025</v>
      </c>
      <c r="G714" s="8" t="s">
        <v>14</v>
      </c>
      <c r="H714" s="8" t="s">
        <v>15</v>
      </c>
      <c r="I714" s="7"/>
      <c r="J714" s="8" t="str">
        <f aca="false">VLOOKUP(B714,Table3[#All],2,0)</f>
        <v>Inventory</v>
      </c>
      <c r="K714" s="8" t="str">
        <f aca="false">TEXT(ROW(), "0000")</f>
        <v>0714</v>
      </c>
      <c r="L714" s="8"/>
    </row>
    <row r="715" customFormat="false" ht="15.75" hidden="false" customHeight="true" outlineLevel="0" collapsed="false">
      <c r="A715" s="13" t="n">
        <v>45723</v>
      </c>
      <c r="B715" s="8" t="s">
        <v>44</v>
      </c>
      <c r="C715" s="9" t="n">
        <v>500</v>
      </c>
      <c r="D715" s="8" t="s">
        <v>21</v>
      </c>
      <c r="E715" s="8" t="s">
        <v>191</v>
      </c>
      <c r="F715" s="8" t="str">
        <f aca="false">TEXT(A715,"MM-YYYY")</f>
        <v>03-2025</v>
      </c>
      <c r="G715" s="8" t="s">
        <v>14</v>
      </c>
      <c r="H715" s="8" t="s">
        <v>15</v>
      </c>
      <c r="I715" s="7"/>
      <c r="J715" s="8" t="str">
        <f aca="false">VLOOKUP(B715,Table3[#All],2,0)</f>
        <v>Salary</v>
      </c>
      <c r="K715" s="8" t="str">
        <f aca="false">TEXT(ROW(), "0000")</f>
        <v>0715</v>
      </c>
      <c r="L715" s="8"/>
    </row>
    <row r="716" customFormat="false" ht="15.75" hidden="false" customHeight="true" outlineLevel="0" collapsed="false">
      <c r="A716" s="13" t="n">
        <v>45723</v>
      </c>
      <c r="B716" s="8" t="s">
        <v>44</v>
      </c>
      <c r="C716" s="9" t="n">
        <v>500</v>
      </c>
      <c r="D716" s="8" t="s">
        <v>21</v>
      </c>
      <c r="E716" s="8" t="s">
        <v>192</v>
      </c>
      <c r="F716" s="8" t="str">
        <f aca="false">TEXT(A716,"MM-YYYY")</f>
        <v>03-2025</v>
      </c>
      <c r="G716" s="8" t="s">
        <v>14</v>
      </c>
      <c r="H716" s="8" t="s">
        <v>15</v>
      </c>
      <c r="I716" s="7"/>
      <c r="J716" s="8" t="str">
        <f aca="false">VLOOKUP(B716,Table3[#All],2,0)</f>
        <v>Salary</v>
      </c>
      <c r="K716" s="8" t="str">
        <f aca="false">TEXT(ROW(), "0000")</f>
        <v>0716</v>
      </c>
      <c r="L716" s="8"/>
    </row>
    <row r="717" customFormat="false" ht="15.75" hidden="false" customHeight="true" outlineLevel="0" collapsed="false">
      <c r="A717" s="13" t="n">
        <v>45723</v>
      </c>
      <c r="B717" s="8" t="s">
        <v>16</v>
      </c>
      <c r="C717" s="9" t="n">
        <v>2745</v>
      </c>
      <c r="D717" s="8" t="s">
        <v>21</v>
      </c>
      <c r="E717" s="8" t="s">
        <v>101</v>
      </c>
      <c r="F717" s="8" t="str">
        <f aca="false">TEXT(A717,"MM-YYYY")</f>
        <v>03-2025</v>
      </c>
      <c r="G717" s="8"/>
      <c r="H717" s="8"/>
      <c r="I717" s="7"/>
      <c r="J717" s="8" t="str">
        <f aca="false">VLOOKUP(B717,Table3[#All],2,0)</f>
        <v>Sales</v>
      </c>
      <c r="K717" s="8" t="str">
        <f aca="false">TEXT(ROW(), "0000")</f>
        <v>0717</v>
      </c>
      <c r="L717" s="8"/>
    </row>
    <row r="718" customFormat="false" ht="15.75" hidden="false" customHeight="true" outlineLevel="0" collapsed="false">
      <c r="A718" s="13" t="n">
        <v>45723</v>
      </c>
      <c r="B718" s="8" t="s">
        <v>16</v>
      </c>
      <c r="C718" s="9" t="n">
        <v>2755</v>
      </c>
      <c r="D718" s="8" t="s">
        <v>27</v>
      </c>
      <c r="E718" s="8" t="s">
        <v>101</v>
      </c>
      <c r="F718" s="8" t="str">
        <f aca="false">TEXT(A718,"MM-YYYY")</f>
        <v>03-2025</v>
      </c>
      <c r="G718" s="8"/>
      <c r="H718" s="8"/>
      <c r="I718" s="7"/>
      <c r="J718" s="8" t="str">
        <f aca="false">VLOOKUP(B718,Table3[#All],2,0)</f>
        <v>Sales</v>
      </c>
      <c r="K718" s="8" t="str">
        <f aca="false">TEXT(ROW(), "0000")</f>
        <v>0718</v>
      </c>
      <c r="L718" s="8"/>
    </row>
    <row r="719" customFormat="false" ht="15.75" hidden="false" customHeight="true" outlineLevel="0" collapsed="false">
      <c r="A719" s="13" t="n">
        <v>45723</v>
      </c>
      <c r="B719" s="8" t="s">
        <v>16</v>
      </c>
      <c r="C719" s="9" t="n">
        <v>1393</v>
      </c>
      <c r="D719" s="8" t="s">
        <v>33</v>
      </c>
      <c r="E719" s="8" t="s">
        <v>101</v>
      </c>
      <c r="F719" s="8" t="str">
        <f aca="false">TEXT(A719,"MM-YYYY")</f>
        <v>03-2025</v>
      </c>
      <c r="G719" s="8"/>
      <c r="H719" s="8"/>
      <c r="I719" s="7"/>
      <c r="J719" s="8" t="str">
        <f aca="false">VLOOKUP(B719,Table3[#All],2,0)</f>
        <v>Sales</v>
      </c>
      <c r="K719" s="8" t="str">
        <f aca="false">TEXT(ROW(), "0000")</f>
        <v>0719</v>
      </c>
      <c r="L719" s="8"/>
    </row>
    <row r="720" customFormat="false" ht="15.75" hidden="false" customHeight="true" outlineLevel="0" collapsed="false">
      <c r="A720" s="13" t="n">
        <v>45723</v>
      </c>
      <c r="B720" s="8" t="s">
        <v>16</v>
      </c>
      <c r="C720" s="9" t="n">
        <v>28766</v>
      </c>
      <c r="D720" s="8" t="s">
        <v>17</v>
      </c>
      <c r="E720" s="8" t="s">
        <v>101</v>
      </c>
      <c r="F720" s="8" t="str">
        <f aca="false">TEXT(A720,"MM-YYYY")</f>
        <v>03-2025</v>
      </c>
      <c r="G720" s="8"/>
      <c r="H720" s="8"/>
      <c r="I720" s="7"/>
      <c r="J720" s="8" t="str">
        <f aca="false">VLOOKUP(B720,Table3[#All],2,0)</f>
        <v>Sales</v>
      </c>
      <c r="K720" s="8" t="str">
        <f aca="false">TEXT(ROW(), "0000")</f>
        <v>0720</v>
      </c>
      <c r="L720" s="8"/>
    </row>
    <row r="721" customFormat="false" ht="15.75" hidden="false" customHeight="true" outlineLevel="0" collapsed="false">
      <c r="A721" s="13" t="n">
        <v>45723</v>
      </c>
      <c r="B721" s="8" t="s">
        <v>16</v>
      </c>
      <c r="C721" s="9" t="n">
        <v>6175</v>
      </c>
      <c r="D721" s="8" t="s">
        <v>24</v>
      </c>
      <c r="E721" s="8" t="s">
        <v>90</v>
      </c>
      <c r="F721" s="8" t="str">
        <f aca="false">TEXT(A721,"MM-YYYY")</f>
        <v>03-2025</v>
      </c>
      <c r="G721" s="8"/>
      <c r="H721" s="8"/>
      <c r="I721" s="7"/>
      <c r="J721" s="8" t="str">
        <f aca="false">VLOOKUP(B721,Table3[#All],2,0)</f>
        <v>Sales</v>
      </c>
      <c r="K721" s="8" t="str">
        <f aca="false">TEXT(ROW(), "0000")</f>
        <v>0721</v>
      </c>
      <c r="L721" s="8"/>
    </row>
    <row r="722" customFormat="false" ht="15.75" hidden="false" customHeight="true" outlineLevel="0" collapsed="false">
      <c r="A722" s="13" t="n">
        <v>45724</v>
      </c>
      <c r="B722" s="8" t="s">
        <v>47</v>
      </c>
      <c r="C722" s="9" t="n">
        <v>840</v>
      </c>
      <c r="D722" s="8" t="s">
        <v>13</v>
      </c>
      <c r="E722" s="8"/>
      <c r="F722" s="8" t="str">
        <f aca="false">TEXT(A722,"MM-YYYY")</f>
        <v>03-2025</v>
      </c>
      <c r="G722" s="8" t="s">
        <v>14</v>
      </c>
      <c r="H722" s="8" t="s">
        <v>15</v>
      </c>
      <c r="I722" s="7"/>
      <c r="J722" s="8" t="str">
        <f aca="false">VLOOKUP(B722,Table3[#All],2,0)</f>
        <v>Inventory</v>
      </c>
      <c r="K722" s="8" t="str">
        <f aca="false">TEXT(ROW(), "0000")</f>
        <v>0722</v>
      </c>
      <c r="L722" s="8"/>
    </row>
    <row r="723" customFormat="false" ht="15.75" hidden="false" customHeight="true" outlineLevel="0" collapsed="false">
      <c r="A723" s="13" t="n">
        <v>45724</v>
      </c>
      <c r="B723" s="8" t="s">
        <v>25</v>
      </c>
      <c r="C723" s="9" t="n">
        <v>2401</v>
      </c>
      <c r="D723" s="8" t="s">
        <v>13</v>
      </c>
      <c r="E723" s="8"/>
      <c r="F723" s="8" t="str">
        <f aca="false">TEXT(A723,"MM-YYYY")</f>
        <v>03-2025</v>
      </c>
      <c r="G723" s="8" t="s">
        <v>14</v>
      </c>
      <c r="H723" s="8" t="s">
        <v>15</v>
      </c>
      <c r="I723" s="7"/>
      <c r="J723" s="8" t="str">
        <f aca="false">VLOOKUP(B723,Table3[#All],2,0)</f>
        <v>Inventory</v>
      </c>
      <c r="K723" s="8" t="str">
        <f aca="false">TEXT(ROW(), "0000")</f>
        <v>0723</v>
      </c>
      <c r="L723" s="8"/>
    </row>
    <row r="724" customFormat="false" ht="15.75" hidden="false" customHeight="true" outlineLevel="0" collapsed="false">
      <c r="A724" s="13" t="n">
        <v>45724</v>
      </c>
      <c r="B724" s="8" t="s">
        <v>19</v>
      </c>
      <c r="C724" s="9" t="n">
        <v>5038</v>
      </c>
      <c r="D724" s="8" t="s">
        <v>13</v>
      </c>
      <c r="E724" s="8"/>
      <c r="F724" s="8" t="str">
        <f aca="false">TEXT(A724,"MM-YYYY")</f>
        <v>03-2025</v>
      </c>
      <c r="G724" s="8" t="s">
        <v>14</v>
      </c>
      <c r="H724" s="8" t="s">
        <v>15</v>
      </c>
      <c r="I724" s="7"/>
      <c r="J724" s="8" t="str">
        <f aca="false">VLOOKUP(B724,Table3[#All],2,0)</f>
        <v>Inventory</v>
      </c>
      <c r="K724" s="8" t="str">
        <f aca="false">TEXT(ROW(), "0000")</f>
        <v>0724</v>
      </c>
      <c r="L724" s="8"/>
    </row>
    <row r="725" customFormat="false" ht="15.75" hidden="false" customHeight="true" outlineLevel="0" collapsed="false">
      <c r="A725" s="13" t="n">
        <v>45724</v>
      </c>
      <c r="B725" s="8" t="s">
        <v>22</v>
      </c>
      <c r="C725" s="9" t="n">
        <v>5971</v>
      </c>
      <c r="D725" s="8" t="s">
        <v>13</v>
      </c>
      <c r="E725" s="8"/>
      <c r="F725" s="8" t="str">
        <f aca="false">TEXT(A725,"MM-YYYY")</f>
        <v>03-2025</v>
      </c>
      <c r="G725" s="8" t="s">
        <v>14</v>
      </c>
      <c r="H725" s="8" t="s">
        <v>15</v>
      </c>
      <c r="I725" s="7"/>
      <c r="J725" s="8" t="str">
        <f aca="false">VLOOKUP(B725,Table3[#All],2,0)</f>
        <v>Inventory</v>
      </c>
      <c r="K725" s="8" t="str">
        <f aca="false">TEXT(ROW(), "0000")</f>
        <v>0725</v>
      </c>
      <c r="L725" s="8"/>
    </row>
    <row r="726" customFormat="false" ht="15.75" hidden="false" customHeight="true" outlineLevel="0" collapsed="false">
      <c r="A726" s="13" t="n">
        <v>45724</v>
      </c>
      <c r="B726" s="8" t="s">
        <v>36</v>
      </c>
      <c r="C726" s="9" t="n">
        <v>350</v>
      </c>
      <c r="D726" s="8" t="s">
        <v>45</v>
      </c>
      <c r="E726" s="8" t="s">
        <v>193</v>
      </c>
      <c r="F726" s="8" t="str">
        <f aca="false">TEXT(A726,"MM-YYYY")</f>
        <v>03-2025</v>
      </c>
      <c r="G726" s="8" t="s">
        <v>14</v>
      </c>
      <c r="H726" s="8" t="s">
        <v>15</v>
      </c>
      <c r="I726" s="7"/>
      <c r="J726" s="8" t="str">
        <f aca="false">VLOOKUP(B726,Table3[#All],2,0)</f>
        <v>Maintance</v>
      </c>
      <c r="K726" s="8" t="str">
        <f aca="false">TEXT(ROW(), "0000")</f>
        <v>0726</v>
      </c>
      <c r="L726" s="8"/>
    </row>
    <row r="727" customFormat="false" ht="15.75" hidden="false" customHeight="true" outlineLevel="0" collapsed="false">
      <c r="A727" s="13" t="n">
        <v>45724</v>
      </c>
      <c r="B727" s="8" t="s">
        <v>40</v>
      </c>
      <c r="C727" s="9" t="n">
        <v>2220</v>
      </c>
      <c r="D727" s="8" t="s">
        <v>13</v>
      </c>
      <c r="E727" s="8"/>
      <c r="F727" s="8" t="str">
        <f aca="false">TEXT(A727,"MM-YYYY")</f>
        <v>03-2025</v>
      </c>
      <c r="G727" s="8" t="s">
        <v>14</v>
      </c>
      <c r="H727" s="8" t="s">
        <v>15</v>
      </c>
      <c r="I727" s="7"/>
      <c r="J727" s="8" t="str">
        <f aca="false">VLOOKUP(B727,Table3[#All],2,0)</f>
        <v>Inventory</v>
      </c>
      <c r="K727" s="8" t="str">
        <f aca="false">TEXT(ROW(), "0000")</f>
        <v>0727</v>
      </c>
      <c r="L727" s="8"/>
    </row>
    <row r="728" customFormat="false" ht="15.75" hidden="false" customHeight="true" outlineLevel="0" collapsed="false">
      <c r="A728" s="13" t="n">
        <v>45724</v>
      </c>
      <c r="B728" s="8" t="s">
        <v>31</v>
      </c>
      <c r="C728" s="9" t="n">
        <v>300</v>
      </c>
      <c r="D728" s="8" t="s">
        <v>45</v>
      </c>
      <c r="E728" s="8"/>
      <c r="F728" s="8" t="str">
        <f aca="false">TEXT(A728,"MM-YYYY")</f>
        <v>03-2025</v>
      </c>
      <c r="G728" s="8" t="s">
        <v>14</v>
      </c>
      <c r="H728" s="8" t="s">
        <v>15</v>
      </c>
      <c r="I728" s="7"/>
      <c r="J728" s="8" t="str">
        <f aca="false">VLOOKUP(B728,Table3[#All],2,0)</f>
        <v>Bike Maintance</v>
      </c>
      <c r="K728" s="8" t="str">
        <f aca="false">TEXT(ROW(), "0000")</f>
        <v>0728</v>
      </c>
      <c r="L728" s="8"/>
    </row>
    <row r="729" customFormat="false" ht="15.75" hidden="false" customHeight="true" outlineLevel="0" collapsed="false">
      <c r="A729" s="13" t="n">
        <v>45724</v>
      </c>
      <c r="B729" s="8" t="s">
        <v>37</v>
      </c>
      <c r="C729" s="9" t="n">
        <v>30</v>
      </c>
      <c r="D729" s="8" t="s">
        <v>21</v>
      </c>
      <c r="E729" s="8"/>
      <c r="F729" s="8" t="str">
        <f aca="false">TEXT(A729,"MM-YYYY")</f>
        <v>03-2025</v>
      </c>
      <c r="G729" s="8" t="s">
        <v>14</v>
      </c>
      <c r="H729" s="8" t="s">
        <v>15</v>
      </c>
      <c r="I729" s="7"/>
      <c r="J729" s="8" t="str">
        <f aca="false">VLOOKUP(B729,Table3[#All],2,0)</f>
        <v>Maintance</v>
      </c>
      <c r="K729" s="8" t="str">
        <f aca="false">TEXT(ROW(), "0000")</f>
        <v>0729</v>
      </c>
      <c r="L729" s="8"/>
    </row>
    <row r="730" customFormat="false" ht="15.75" hidden="false" customHeight="true" outlineLevel="0" collapsed="false">
      <c r="A730" s="13" t="n">
        <v>45724</v>
      </c>
      <c r="B730" s="8" t="s">
        <v>29</v>
      </c>
      <c r="C730" s="9" t="n">
        <v>40</v>
      </c>
      <c r="D730" s="8" t="s">
        <v>21</v>
      </c>
      <c r="E730" s="8" t="s">
        <v>194</v>
      </c>
      <c r="F730" s="8" t="str">
        <f aca="false">TEXT(A730,"MM-YYYY")</f>
        <v>03-2025</v>
      </c>
      <c r="G730" s="8" t="s">
        <v>14</v>
      </c>
      <c r="H730" s="8" t="s">
        <v>15</v>
      </c>
      <c r="I730" s="7"/>
      <c r="J730" s="8" t="str">
        <f aca="false">VLOOKUP(B730,Table3[#All],2,0)</f>
        <v>Inventory</v>
      </c>
      <c r="K730" s="8" t="str">
        <f aca="false">TEXT(ROW(), "0000")</f>
        <v>0730</v>
      </c>
      <c r="L730" s="8"/>
    </row>
    <row r="731" customFormat="false" ht="15.75" hidden="false" customHeight="true" outlineLevel="0" collapsed="false">
      <c r="A731" s="13" t="n">
        <v>45724</v>
      </c>
      <c r="B731" s="8" t="s">
        <v>29</v>
      </c>
      <c r="C731" s="9" t="n">
        <v>740</v>
      </c>
      <c r="D731" s="8" t="s">
        <v>13</v>
      </c>
      <c r="E731" s="8"/>
      <c r="F731" s="8" t="str">
        <f aca="false">TEXT(A731,"MM-YYYY")</f>
        <v>03-2025</v>
      </c>
      <c r="G731" s="8" t="s">
        <v>14</v>
      </c>
      <c r="H731" s="8" t="s">
        <v>15</v>
      </c>
      <c r="I731" s="7"/>
      <c r="J731" s="8" t="str">
        <f aca="false">VLOOKUP(B731,Table3[#All],2,0)</f>
        <v>Inventory</v>
      </c>
      <c r="K731" s="8" t="str">
        <f aca="false">TEXT(ROW(), "0000")</f>
        <v>0731</v>
      </c>
      <c r="L731" s="8"/>
    </row>
    <row r="732" customFormat="false" ht="15.75" hidden="false" customHeight="true" outlineLevel="0" collapsed="false">
      <c r="A732" s="13" t="n">
        <v>45724</v>
      </c>
      <c r="B732" s="8" t="s">
        <v>40</v>
      </c>
      <c r="C732" s="9" t="n">
        <v>2220</v>
      </c>
      <c r="D732" s="8" t="s">
        <v>13</v>
      </c>
      <c r="E732" s="8"/>
      <c r="F732" s="8" t="str">
        <f aca="false">TEXT(A732,"MM-YYYY")</f>
        <v>03-2025</v>
      </c>
      <c r="G732" s="8" t="s">
        <v>14</v>
      </c>
      <c r="H732" s="8" t="s">
        <v>15</v>
      </c>
      <c r="I732" s="7"/>
      <c r="J732" s="8" t="str">
        <f aca="false">VLOOKUP(B732,Table3[#All],2,0)</f>
        <v>Inventory</v>
      </c>
      <c r="K732" s="8" t="str">
        <f aca="false">TEXT(ROW(), "0000")</f>
        <v>0732</v>
      </c>
      <c r="L732" s="8"/>
    </row>
    <row r="733" customFormat="false" ht="15.75" hidden="false" customHeight="true" outlineLevel="0" collapsed="false">
      <c r="A733" s="13" t="n">
        <v>45724</v>
      </c>
      <c r="B733" s="8" t="s">
        <v>51</v>
      </c>
      <c r="C733" s="9" t="n">
        <v>3790</v>
      </c>
      <c r="D733" s="8" t="s">
        <v>13</v>
      </c>
      <c r="E733" s="8"/>
      <c r="F733" s="8" t="str">
        <f aca="false">TEXT(A733,"MM-YYYY")</f>
        <v>03-2025</v>
      </c>
      <c r="G733" s="8" t="s">
        <v>14</v>
      </c>
      <c r="H733" s="8" t="s">
        <v>15</v>
      </c>
      <c r="I733" s="7"/>
      <c r="J733" s="8" t="str">
        <f aca="false">VLOOKUP(B733,Table3[#All],2,0)</f>
        <v>Inventory</v>
      </c>
      <c r="K733" s="8" t="str">
        <f aca="false">TEXT(ROW(), "0000")</f>
        <v>0733</v>
      </c>
      <c r="L733" s="8"/>
    </row>
    <row r="734" customFormat="false" ht="15.75" hidden="false" customHeight="true" outlineLevel="0" collapsed="false">
      <c r="A734" s="13" t="n">
        <v>45724</v>
      </c>
      <c r="B734" s="8" t="s">
        <v>28</v>
      </c>
      <c r="C734" s="9" t="n">
        <v>1090</v>
      </c>
      <c r="D734" s="8" t="s">
        <v>21</v>
      </c>
      <c r="E734" s="8"/>
      <c r="F734" s="8" t="str">
        <f aca="false">TEXT(A734,"MM-YYYY")</f>
        <v>03-2025</v>
      </c>
      <c r="G734" s="8" t="s">
        <v>14</v>
      </c>
      <c r="H734" s="8" t="s">
        <v>15</v>
      </c>
      <c r="I734" s="7"/>
      <c r="J734" s="8" t="str">
        <f aca="false">VLOOKUP(B734,Table3[#All],2,0)</f>
        <v>Grocery</v>
      </c>
      <c r="K734" s="8" t="str">
        <f aca="false">TEXT(ROW(), "0000")</f>
        <v>0734</v>
      </c>
      <c r="L734" s="8"/>
    </row>
    <row r="735" customFormat="false" ht="15.75" hidden="false" customHeight="true" outlineLevel="0" collapsed="false">
      <c r="A735" s="13" t="n">
        <v>45724</v>
      </c>
      <c r="B735" s="8" t="s">
        <v>16</v>
      </c>
      <c r="C735" s="9" t="n">
        <v>4715</v>
      </c>
      <c r="D735" s="8" t="s">
        <v>21</v>
      </c>
      <c r="E735" s="8"/>
      <c r="F735" s="8" t="str">
        <f aca="false">TEXT(A735,"MM-YYYY")</f>
        <v>03-2025</v>
      </c>
      <c r="G735" s="8"/>
      <c r="H735" s="8"/>
      <c r="I735" s="7"/>
      <c r="J735" s="8" t="str">
        <f aca="false">VLOOKUP(B735,Table3[#All],2,0)</f>
        <v>Sales</v>
      </c>
      <c r="K735" s="8" t="str">
        <f aca="false">TEXT(ROW(), "0000")</f>
        <v>0735</v>
      </c>
      <c r="L735" s="8"/>
    </row>
    <row r="736" customFormat="false" ht="15.75" hidden="false" customHeight="true" outlineLevel="0" collapsed="false">
      <c r="A736" s="13" t="n">
        <v>45724</v>
      </c>
      <c r="B736" s="8" t="s">
        <v>16</v>
      </c>
      <c r="C736" s="9" t="n">
        <v>449</v>
      </c>
      <c r="D736" s="8" t="s">
        <v>27</v>
      </c>
      <c r="E736" s="8"/>
      <c r="F736" s="8" t="str">
        <f aca="false">TEXT(A736,"MM-YYYY")</f>
        <v>03-2025</v>
      </c>
      <c r="G736" s="8"/>
      <c r="H736" s="8"/>
      <c r="I736" s="7"/>
      <c r="J736" s="8" t="str">
        <f aca="false">VLOOKUP(B736,Table3[#All],2,0)</f>
        <v>Sales</v>
      </c>
      <c r="K736" s="8" t="str">
        <f aca="false">TEXT(ROW(), "0000")</f>
        <v>0736</v>
      </c>
      <c r="L736" s="8"/>
    </row>
    <row r="737" customFormat="false" ht="15.75" hidden="false" customHeight="true" outlineLevel="0" collapsed="false">
      <c r="A737" s="13" t="n">
        <v>45724</v>
      </c>
      <c r="B737" s="8" t="s">
        <v>16</v>
      </c>
      <c r="C737" s="9" t="n">
        <v>2011</v>
      </c>
      <c r="D737" s="8" t="s">
        <v>33</v>
      </c>
      <c r="E737" s="8"/>
      <c r="F737" s="8" t="str">
        <f aca="false">TEXT(A737,"MM-YYYY")</f>
        <v>03-2025</v>
      </c>
      <c r="G737" s="8"/>
      <c r="H737" s="8"/>
      <c r="I737" s="7"/>
      <c r="J737" s="8" t="str">
        <f aca="false">VLOOKUP(B737,Table3[#All],2,0)</f>
        <v>Sales</v>
      </c>
      <c r="K737" s="8" t="str">
        <f aca="false">TEXT(ROW(), "0000")</f>
        <v>0737</v>
      </c>
      <c r="L737" s="8"/>
    </row>
    <row r="738" customFormat="false" ht="15.75" hidden="false" customHeight="true" outlineLevel="0" collapsed="false">
      <c r="A738" s="13" t="n">
        <v>45724</v>
      </c>
      <c r="B738" s="8" t="s">
        <v>16</v>
      </c>
      <c r="C738" s="9" t="n">
        <v>23233</v>
      </c>
      <c r="D738" s="8" t="s">
        <v>17</v>
      </c>
      <c r="E738" s="8"/>
      <c r="F738" s="8" t="str">
        <f aca="false">TEXT(A738,"MM-YYYY")</f>
        <v>03-2025</v>
      </c>
      <c r="G738" s="8"/>
      <c r="H738" s="8"/>
      <c r="I738" s="7"/>
      <c r="J738" s="8" t="str">
        <f aca="false">VLOOKUP(B738,Table3[#All],2,0)</f>
        <v>Sales</v>
      </c>
      <c r="K738" s="8" t="str">
        <f aca="false">TEXT(ROW(), "0000")</f>
        <v>0738</v>
      </c>
      <c r="L738" s="8"/>
    </row>
    <row r="739" customFormat="false" ht="15.75" hidden="false" customHeight="true" outlineLevel="0" collapsed="false">
      <c r="A739" s="13" t="n">
        <v>45724</v>
      </c>
      <c r="B739" s="8" t="s">
        <v>16</v>
      </c>
      <c r="C739" s="9" t="n">
        <v>720</v>
      </c>
      <c r="D739" s="8" t="s">
        <v>59</v>
      </c>
      <c r="E739" s="8"/>
      <c r="F739" s="8" t="str">
        <f aca="false">TEXT(A739,"MM-YYYY")</f>
        <v>03-2025</v>
      </c>
      <c r="G739" s="8"/>
      <c r="H739" s="8"/>
      <c r="I739" s="7"/>
      <c r="J739" s="8" t="str">
        <f aca="false">VLOOKUP(B739,Table3[#All],2,0)</f>
        <v>Sales</v>
      </c>
      <c r="K739" s="8" t="str">
        <f aca="false">TEXT(ROW(), "0000")</f>
        <v>0739</v>
      </c>
      <c r="L739" s="8"/>
    </row>
    <row r="740" customFormat="false" ht="15.75" hidden="false" customHeight="true" outlineLevel="0" collapsed="false">
      <c r="A740" s="13" t="n">
        <v>45724</v>
      </c>
      <c r="B740" s="8" t="s">
        <v>16</v>
      </c>
      <c r="C740" s="9" t="n">
        <v>11213</v>
      </c>
      <c r="D740" s="8" t="s">
        <v>24</v>
      </c>
      <c r="E740" s="8"/>
      <c r="F740" s="8" t="str">
        <f aca="false">TEXT(A740,"MM-YYYY")</f>
        <v>03-2025</v>
      </c>
      <c r="G740" s="8"/>
      <c r="H740" s="8"/>
      <c r="I740" s="7"/>
      <c r="J740" s="8" t="str">
        <f aca="false">VLOOKUP(B740,Table3[#All],2,0)</f>
        <v>Sales</v>
      </c>
      <c r="K740" s="8" t="str">
        <f aca="false">TEXT(ROW(), "0000")</f>
        <v>0740</v>
      </c>
      <c r="L740" s="8"/>
    </row>
    <row r="741" customFormat="false" ht="15.75" hidden="false" customHeight="true" outlineLevel="0" collapsed="false">
      <c r="A741" s="13" t="n">
        <v>45724</v>
      </c>
      <c r="B741" s="8" t="s">
        <v>34</v>
      </c>
      <c r="C741" s="9" t="n">
        <v>135</v>
      </c>
      <c r="D741" s="8" t="s">
        <v>45</v>
      </c>
      <c r="E741" s="8"/>
      <c r="F741" s="8" t="str">
        <f aca="false">TEXT(A741,"MM-YYYY")</f>
        <v>03-2025</v>
      </c>
      <c r="G741" s="8" t="s">
        <v>14</v>
      </c>
      <c r="H741" s="8" t="s">
        <v>15</v>
      </c>
      <c r="I741" s="7"/>
      <c r="J741" s="8" t="str">
        <f aca="false">VLOOKUP(B741,Table3[#All],2,0)</f>
        <v>Staff Expenses</v>
      </c>
      <c r="K741" s="8" t="str">
        <f aca="false">TEXT(ROW(), "0000")</f>
        <v>0741</v>
      </c>
      <c r="L741" s="8"/>
    </row>
    <row r="742" customFormat="false" ht="15.75" hidden="false" customHeight="true" outlineLevel="0" collapsed="false">
      <c r="A742" s="13" t="n">
        <v>45724</v>
      </c>
      <c r="B742" s="8" t="s">
        <v>25</v>
      </c>
      <c r="C742" s="9" t="n">
        <v>60</v>
      </c>
      <c r="D742" s="8" t="s">
        <v>45</v>
      </c>
      <c r="E742" s="8" t="s">
        <v>42</v>
      </c>
      <c r="F742" s="8" t="str">
        <f aca="false">TEXT(A742,"MM-YYYY")</f>
        <v>03-2025</v>
      </c>
      <c r="G742" s="8" t="s">
        <v>14</v>
      </c>
      <c r="H742" s="8" t="s">
        <v>15</v>
      </c>
      <c r="I742" s="7"/>
      <c r="J742" s="8" t="str">
        <f aca="false">VLOOKUP(B742,Table3[#All],2,0)</f>
        <v>Inventory</v>
      </c>
      <c r="K742" s="8" t="str">
        <f aca="false">TEXT(ROW(), "0000")</f>
        <v>0742</v>
      </c>
      <c r="L742" s="8"/>
    </row>
    <row r="743" customFormat="false" ht="15.75" hidden="false" customHeight="true" outlineLevel="0" collapsed="false">
      <c r="A743" s="13" t="n">
        <v>45725</v>
      </c>
      <c r="B743" s="8" t="s">
        <v>19</v>
      </c>
      <c r="C743" s="9" t="n">
        <v>7849</v>
      </c>
      <c r="D743" s="8" t="s">
        <v>13</v>
      </c>
      <c r="E743" s="8"/>
      <c r="F743" s="8" t="str">
        <f aca="false">TEXT(A743,"MM-YYYY")</f>
        <v>03-2025</v>
      </c>
      <c r="G743" s="8" t="s">
        <v>14</v>
      </c>
      <c r="H743" s="8" t="s">
        <v>15</v>
      </c>
      <c r="I743" s="7"/>
      <c r="J743" s="8" t="str">
        <f aca="false">VLOOKUP(B743,Table3[#All],2,0)</f>
        <v>Inventory</v>
      </c>
      <c r="K743" s="8" t="str">
        <f aca="false">TEXT(ROW(), "0000")</f>
        <v>0743</v>
      </c>
      <c r="L743" s="8"/>
    </row>
    <row r="744" customFormat="false" ht="15.75" hidden="false" customHeight="true" outlineLevel="0" collapsed="false">
      <c r="A744" s="13" t="n">
        <v>45725</v>
      </c>
      <c r="B744" s="8" t="s">
        <v>22</v>
      </c>
      <c r="C744" s="9" t="n">
        <v>3920</v>
      </c>
      <c r="D744" s="8" t="s">
        <v>13</v>
      </c>
      <c r="E744" s="8"/>
      <c r="F744" s="8" t="str">
        <f aca="false">TEXT(A744,"MM-YYYY")</f>
        <v>03-2025</v>
      </c>
      <c r="G744" s="8" t="s">
        <v>14</v>
      </c>
      <c r="H744" s="8" t="s">
        <v>15</v>
      </c>
      <c r="I744" s="7"/>
      <c r="J744" s="8" t="str">
        <f aca="false">VLOOKUP(B744,Table3[#All],2,0)</f>
        <v>Inventory</v>
      </c>
      <c r="K744" s="8" t="str">
        <f aca="false">TEXT(ROW(), "0000")</f>
        <v>0744</v>
      </c>
      <c r="L744" s="8"/>
    </row>
    <row r="745" customFormat="false" ht="15.75" hidden="false" customHeight="true" outlineLevel="0" collapsed="false">
      <c r="A745" s="13" t="n">
        <v>45725</v>
      </c>
      <c r="B745" s="8" t="s">
        <v>25</v>
      </c>
      <c r="C745" s="9" t="n">
        <v>1339</v>
      </c>
      <c r="D745" s="8" t="s">
        <v>13</v>
      </c>
      <c r="E745" s="8"/>
      <c r="F745" s="8" t="str">
        <f aca="false">TEXT(A745,"MM-YYYY")</f>
        <v>03-2025</v>
      </c>
      <c r="G745" s="8" t="s">
        <v>14</v>
      </c>
      <c r="H745" s="8" t="s">
        <v>15</v>
      </c>
      <c r="I745" s="7"/>
      <c r="J745" s="8" t="str">
        <f aca="false">VLOOKUP(B745,Table3[#All],2,0)</f>
        <v>Inventory</v>
      </c>
      <c r="K745" s="8" t="str">
        <f aca="false">TEXT(ROW(), "0000")</f>
        <v>0745</v>
      </c>
      <c r="L745" s="8"/>
    </row>
    <row r="746" customFormat="false" ht="15.75" hidden="false" customHeight="true" outlineLevel="0" collapsed="false">
      <c r="A746" s="13" t="n">
        <v>45725</v>
      </c>
      <c r="B746" s="8" t="s">
        <v>53</v>
      </c>
      <c r="C746" s="9" t="n">
        <v>1200</v>
      </c>
      <c r="D746" s="8" t="s">
        <v>21</v>
      </c>
      <c r="E746" s="8"/>
      <c r="F746" s="8" t="str">
        <f aca="false">TEXT(A746,"MM-YYYY")</f>
        <v>03-2025</v>
      </c>
      <c r="G746" s="8" t="s">
        <v>14</v>
      </c>
      <c r="H746" s="8" t="s">
        <v>15</v>
      </c>
      <c r="I746" s="7"/>
      <c r="J746" s="8" t="str">
        <f aca="false">VLOOKUP(B746,Table3[#All],2,0)</f>
        <v>Grocery</v>
      </c>
      <c r="K746" s="8" t="str">
        <f aca="false">TEXT(ROW(), "0000")</f>
        <v>0746</v>
      </c>
      <c r="L746" s="8"/>
    </row>
    <row r="747" customFormat="false" ht="15.75" hidden="false" customHeight="true" outlineLevel="0" collapsed="false">
      <c r="A747" s="13" t="n">
        <v>45725</v>
      </c>
      <c r="B747" s="8" t="s">
        <v>16</v>
      </c>
      <c r="C747" s="9" t="n">
        <v>4743</v>
      </c>
      <c r="D747" s="8" t="s">
        <v>21</v>
      </c>
      <c r="E747" s="8"/>
      <c r="F747" s="8" t="str">
        <f aca="false">TEXT(A747,"MM-YYYY")</f>
        <v>03-2025</v>
      </c>
      <c r="G747" s="8"/>
      <c r="H747" s="8"/>
      <c r="I747" s="7"/>
      <c r="J747" s="8" t="str">
        <f aca="false">VLOOKUP(B747,Table3[#All],2,0)</f>
        <v>Sales</v>
      </c>
      <c r="K747" s="8" t="str">
        <f aca="false">TEXT(ROW(), "0000")</f>
        <v>0747</v>
      </c>
      <c r="L747" s="8"/>
    </row>
    <row r="748" customFormat="false" ht="15.75" hidden="false" customHeight="true" outlineLevel="0" collapsed="false">
      <c r="A748" s="13" t="n">
        <v>45725</v>
      </c>
      <c r="B748" s="8" t="s">
        <v>16</v>
      </c>
      <c r="C748" s="9" t="n">
        <v>2880</v>
      </c>
      <c r="D748" s="8" t="s">
        <v>27</v>
      </c>
      <c r="E748" s="8"/>
      <c r="F748" s="8" t="str">
        <f aca="false">TEXT(A748,"MM-YYYY")</f>
        <v>03-2025</v>
      </c>
      <c r="G748" s="8"/>
      <c r="H748" s="8"/>
      <c r="I748" s="7"/>
      <c r="J748" s="8" t="str">
        <f aca="false">VLOOKUP(B748,Table3[#All],2,0)</f>
        <v>Sales</v>
      </c>
      <c r="K748" s="8" t="str">
        <f aca="false">TEXT(ROW(), "0000")</f>
        <v>0748</v>
      </c>
      <c r="L748" s="8"/>
    </row>
    <row r="749" customFormat="false" ht="15.75" hidden="false" customHeight="true" outlineLevel="0" collapsed="false">
      <c r="A749" s="13" t="n">
        <v>45725</v>
      </c>
      <c r="B749" s="8" t="s">
        <v>16</v>
      </c>
      <c r="C749" s="9" t="n">
        <v>150</v>
      </c>
      <c r="D749" s="8" t="s">
        <v>33</v>
      </c>
      <c r="E749" s="8"/>
      <c r="F749" s="8" t="str">
        <f aca="false">TEXT(A749,"MM-YYYY")</f>
        <v>03-2025</v>
      </c>
      <c r="G749" s="8"/>
      <c r="H749" s="8"/>
      <c r="I749" s="7"/>
      <c r="J749" s="8" t="str">
        <f aca="false">VLOOKUP(B749,Table3[#All],2,0)</f>
        <v>Sales</v>
      </c>
      <c r="K749" s="8" t="str">
        <f aca="false">TEXT(ROW(), "0000")</f>
        <v>0749</v>
      </c>
      <c r="L749" s="8"/>
    </row>
    <row r="750" customFormat="false" ht="15.75" hidden="false" customHeight="true" outlineLevel="0" collapsed="false">
      <c r="A750" s="13" t="n">
        <v>45725</v>
      </c>
      <c r="B750" s="8" t="s">
        <v>16</v>
      </c>
      <c r="C750" s="9" t="n">
        <v>26853</v>
      </c>
      <c r="D750" s="8" t="s">
        <v>17</v>
      </c>
      <c r="E750" s="8"/>
      <c r="F750" s="8" t="str">
        <f aca="false">TEXT(A750,"MM-YYYY")</f>
        <v>03-2025</v>
      </c>
      <c r="G750" s="8"/>
      <c r="H750" s="8"/>
      <c r="I750" s="7"/>
      <c r="J750" s="8" t="str">
        <f aca="false">VLOOKUP(B750,Table3[#All],2,0)</f>
        <v>Sales</v>
      </c>
      <c r="K750" s="8" t="str">
        <f aca="false">TEXT(ROW(), "0000")</f>
        <v>0750</v>
      </c>
      <c r="L750" s="8"/>
    </row>
    <row r="751" customFormat="false" ht="15.75" hidden="false" customHeight="true" outlineLevel="0" collapsed="false">
      <c r="A751" s="13" t="n">
        <v>45725</v>
      </c>
      <c r="B751" s="8" t="s">
        <v>16</v>
      </c>
      <c r="C751" s="9" t="n">
        <v>10707</v>
      </c>
      <c r="D751" s="8" t="s">
        <v>24</v>
      </c>
      <c r="E751" s="8"/>
      <c r="F751" s="8" t="str">
        <f aca="false">TEXT(A751,"MM-YYYY")</f>
        <v>03-2025</v>
      </c>
      <c r="G751" s="8"/>
      <c r="H751" s="8"/>
      <c r="I751" s="7"/>
      <c r="J751" s="8" t="str">
        <f aca="false">VLOOKUP(B751,Table3[#All],2,0)</f>
        <v>Sales</v>
      </c>
      <c r="K751" s="8" t="str">
        <f aca="false">TEXT(ROW(), "0000")</f>
        <v>0751</v>
      </c>
      <c r="L751" s="8"/>
    </row>
    <row r="752" customFormat="false" ht="15.75" hidden="false" customHeight="true" outlineLevel="0" collapsed="false">
      <c r="A752" s="13" t="n">
        <v>45725</v>
      </c>
      <c r="B752" s="8" t="s">
        <v>40</v>
      </c>
      <c r="C752" s="9" t="n">
        <v>2500</v>
      </c>
      <c r="D752" s="8" t="s">
        <v>45</v>
      </c>
      <c r="E752" s="8"/>
      <c r="F752" s="8" t="str">
        <f aca="false">TEXT(A752,"MM-YYYY")</f>
        <v>03-2025</v>
      </c>
      <c r="G752" s="8" t="s">
        <v>14</v>
      </c>
      <c r="H752" s="8" t="s">
        <v>15</v>
      </c>
      <c r="I752" s="7"/>
      <c r="J752" s="8" t="str">
        <f aca="false">VLOOKUP(B752,Table3[#All],2,0)</f>
        <v>Inventory</v>
      </c>
      <c r="K752" s="8" t="str">
        <f aca="false">TEXT(ROW(), "0000")</f>
        <v>0752</v>
      </c>
      <c r="L752" s="8"/>
    </row>
    <row r="753" customFormat="false" ht="15.75" hidden="false" customHeight="true" outlineLevel="0" collapsed="false">
      <c r="A753" s="13" t="n">
        <v>45725</v>
      </c>
      <c r="B753" s="8" t="s">
        <v>40</v>
      </c>
      <c r="C753" s="9" t="n">
        <v>1200</v>
      </c>
      <c r="D753" s="8" t="s">
        <v>13</v>
      </c>
      <c r="E753" s="8"/>
      <c r="F753" s="8" t="str">
        <f aca="false">TEXT(A753,"MM-YYYY")</f>
        <v>03-2025</v>
      </c>
      <c r="G753" s="8" t="s">
        <v>14</v>
      </c>
      <c r="H753" s="8" t="s">
        <v>15</v>
      </c>
      <c r="I753" s="7"/>
      <c r="J753" s="8" t="str">
        <f aca="false">VLOOKUP(B753,Table3[#All],2,0)</f>
        <v>Inventory</v>
      </c>
      <c r="K753" s="8" t="str">
        <f aca="false">TEXT(ROW(), "0000")</f>
        <v>0753</v>
      </c>
      <c r="L753" s="8"/>
    </row>
    <row r="754" customFormat="false" ht="15.75" hidden="false" customHeight="true" outlineLevel="0" collapsed="false">
      <c r="A754" s="13" t="n">
        <v>45725</v>
      </c>
      <c r="B754" s="8" t="s">
        <v>51</v>
      </c>
      <c r="C754" s="9" t="n">
        <v>60</v>
      </c>
      <c r="D754" s="8" t="s">
        <v>21</v>
      </c>
      <c r="E754" s="8" t="s">
        <v>195</v>
      </c>
      <c r="F754" s="8" t="str">
        <f aca="false">TEXT(A754,"MM-YYYY")</f>
        <v>03-2025</v>
      </c>
      <c r="G754" s="8" t="s">
        <v>14</v>
      </c>
      <c r="H754" s="8" t="s">
        <v>15</v>
      </c>
      <c r="I754" s="7"/>
      <c r="J754" s="8" t="str">
        <f aca="false">VLOOKUP(B754,Table3[#All],2,0)</f>
        <v>Inventory</v>
      </c>
      <c r="K754" s="8" t="str">
        <f aca="false">TEXT(ROW(), "0000")</f>
        <v>0754</v>
      </c>
      <c r="L754" s="8"/>
    </row>
    <row r="755" customFormat="false" ht="15.75" hidden="false" customHeight="true" outlineLevel="0" collapsed="false">
      <c r="A755" s="13" t="n">
        <v>45725</v>
      </c>
      <c r="B755" s="8" t="s">
        <v>34</v>
      </c>
      <c r="C755" s="9" t="n">
        <v>125</v>
      </c>
      <c r="D755" s="8" t="s">
        <v>21</v>
      </c>
      <c r="E755" s="8"/>
      <c r="F755" s="8" t="str">
        <f aca="false">TEXT(A755,"MM-YYYY")</f>
        <v>03-2025</v>
      </c>
      <c r="G755" s="8" t="s">
        <v>14</v>
      </c>
      <c r="H755" s="8" t="s">
        <v>15</v>
      </c>
      <c r="I755" s="7"/>
      <c r="J755" s="8" t="str">
        <f aca="false">VLOOKUP(B755,Table3[#All],2,0)</f>
        <v>Staff Expenses</v>
      </c>
      <c r="K755" s="8" t="str">
        <f aca="false">TEXT(ROW(), "0000")</f>
        <v>0755</v>
      </c>
      <c r="L755" s="8"/>
    </row>
    <row r="756" customFormat="false" ht="15.75" hidden="false" customHeight="true" outlineLevel="0" collapsed="false">
      <c r="A756" s="13" t="n">
        <v>45725</v>
      </c>
      <c r="B756" s="8" t="s">
        <v>44</v>
      </c>
      <c r="C756" s="9" t="n">
        <v>2000</v>
      </c>
      <c r="D756" s="8" t="s">
        <v>21</v>
      </c>
      <c r="E756" s="8" t="s">
        <v>196</v>
      </c>
      <c r="F756" s="8" t="str">
        <f aca="false">TEXT(A756,"MM-YYYY")</f>
        <v>03-2025</v>
      </c>
      <c r="G756" s="8" t="s">
        <v>14</v>
      </c>
      <c r="H756" s="8" t="s">
        <v>15</v>
      </c>
      <c r="I756" s="7"/>
      <c r="J756" s="8" t="str">
        <f aca="false">VLOOKUP(B756,Table3[#All],2,0)</f>
        <v>Salary</v>
      </c>
      <c r="K756" s="8" t="str">
        <f aca="false">TEXT(ROW(), "0000")</f>
        <v>0756</v>
      </c>
      <c r="L756" s="8"/>
    </row>
    <row r="757" customFormat="false" ht="15.75" hidden="false" customHeight="true" outlineLevel="0" collapsed="false">
      <c r="A757" s="13" t="n">
        <v>45725</v>
      </c>
      <c r="B757" s="8" t="s">
        <v>37</v>
      </c>
      <c r="C757" s="9" t="n">
        <v>8</v>
      </c>
      <c r="D757" s="8" t="s">
        <v>21</v>
      </c>
      <c r="E757" s="8"/>
      <c r="F757" s="8" t="str">
        <f aca="false">TEXT(A757,"MM-YYYY")</f>
        <v>03-2025</v>
      </c>
      <c r="G757" s="8" t="s">
        <v>14</v>
      </c>
      <c r="H757" s="8" t="s">
        <v>15</v>
      </c>
      <c r="I757" s="7"/>
      <c r="J757" s="8" t="str">
        <f aca="false">VLOOKUP(B757,Table3[#All],2,0)</f>
        <v>Maintance</v>
      </c>
      <c r="K757" s="8" t="str">
        <f aca="false">TEXT(ROW(), "0000")</f>
        <v>0757</v>
      </c>
      <c r="L757" s="8"/>
    </row>
    <row r="758" customFormat="false" ht="15.75" hidden="false" customHeight="true" outlineLevel="0" collapsed="false">
      <c r="A758" s="13" t="n">
        <v>45725</v>
      </c>
      <c r="B758" s="8" t="s">
        <v>29</v>
      </c>
      <c r="C758" s="9" t="n">
        <v>1125</v>
      </c>
      <c r="D758" s="8" t="s">
        <v>13</v>
      </c>
      <c r="E758" s="10"/>
      <c r="F758" s="8" t="str">
        <f aca="false">TEXT(A758,"MM-YYYY")</f>
        <v>03-2025</v>
      </c>
      <c r="G758" s="8" t="s">
        <v>14</v>
      </c>
      <c r="H758" s="8" t="s">
        <v>15</v>
      </c>
      <c r="I758" s="7"/>
      <c r="J758" s="8" t="str">
        <f aca="false">VLOOKUP(B758,Table3[#All],2,0)</f>
        <v>Inventory</v>
      </c>
      <c r="K758" s="8" t="str">
        <f aca="false">TEXT(ROW(), "0000")</f>
        <v>0758</v>
      </c>
      <c r="L758" s="8"/>
    </row>
    <row r="759" customFormat="false" ht="15.75" hidden="false" customHeight="true" outlineLevel="0" collapsed="false">
      <c r="A759" s="13" t="n">
        <v>45726</v>
      </c>
      <c r="B759" s="8" t="s">
        <v>47</v>
      </c>
      <c r="C759" s="9" t="n">
        <v>840</v>
      </c>
      <c r="D759" s="8" t="s">
        <v>13</v>
      </c>
      <c r="E759" s="10"/>
      <c r="F759" s="8" t="str">
        <f aca="false">TEXT(A759,"MM-YYYY")</f>
        <v>03-2025</v>
      </c>
      <c r="G759" s="8" t="s">
        <v>14</v>
      </c>
      <c r="H759" s="8" t="s">
        <v>15</v>
      </c>
      <c r="I759" s="7"/>
      <c r="J759" s="8" t="str">
        <f aca="false">VLOOKUP(B759,Table3[#All],2,0)</f>
        <v>Inventory</v>
      </c>
      <c r="K759" s="8" t="str">
        <f aca="false">TEXT(ROW(), "0000")</f>
        <v>0759</v>
      </c>
      <c r="L759" s="8"/>
    </row>
    <row r="760" customFormat="false" ht="15.75" hidden="false" customHeight="true" outlineLevel="0" collapsed="false">
      <c r="A760" s="13" t="n">
        <v>45726</v>
      </c>
      <c r="B760" s="8" t="s">
        <v>19</v>
      </c>
      <c r="C760" s="9" t="n">
        <v>5465</v>
      </c>
      <c r="D760" s="8" t="s">
        <v>13</v>
      </c>
      <c r="E760" s="10"/>
      <c r="F760" s="8" t="str">
        <f aca="false">TEXT(A760,"MM-YYYY")</f>
        <v>03-2025</v>
      </c>
      <c r="G760" s="8" t="s">
        <v>14</v>
      </c>
      <c r="H760" s="8" t="s">
        <v>15</v>
      </c>
      <c r="I760" s="7"/>
      <c r="J760" s="8" t="str">
        <f aca="false">VLOOKUP(B760,Table3[#All],2,0)</f>
        <v>Inventory</v>
      </c>
      <c r="K760" s="8" t="str">
        <f aca="false">TEXT(ROW(), "0000")</f>
        <v>0760</v>
      </c>
      <c r="L760" s="8"/>
    </row>
    <row r="761" customFormat="false" ht="15.75" hidden="false" customHeight="true" outlineLevel="0" collapsed="false">
      <c r="A761" s="13" t="n">
        <v>45726</v>
      </c>
      <c r="B761" s="8" t="s">
        <v>22</v>
      </c>
      <c r="C761" s="9" t="n">
        <v>3662</v>
      </c>
      <c r="D761" s="8" t="s">
        <v>13</v>
      </c>
      <c r="E761" s="10"/>
      <c r="F761" s="8" t="str">
        <f aca="false">TEXT(A761,"MM-YYYY")</f>
        <v>03-2025</v>
      </c>
      <c r="G761" s="8" t="s">
        <v>14</v>
      </c>
      <c r="H761" s="8" t="s">
        <v>15</v>
      </c>
      <c r="I761" s="7"/>
      <c r="J761" s="8" t="str">
        <f aca="false">VLOOKUP(B761,Table3[#All],2,0)</f>
        <v>Inventory</v>
      </c>
      <c r="K761" s="8" t="str">
        <f aca="false">TEXT(ROW(), "0000")</f>
        <v>0761</v>
      </c>
      <c r="L761" s="8"/>
    </row>
    <row r="762" customFormat="false" ht="15.75" hidden="false" customHeight="true" outlineLevel="0" collapsed="false">
      <c r="A762" s="13" t="n">
        <v>45726</v>
      </c>
      <c r="B762" s="8" t="s">
        <v>25</v>
      </c>
      <c r="C762" s="9" t="n">
        <v>1879</v>
      </c>
      <c r="D762" s="8" t="s">
        <v>13</v>
      </c>
      <c r="E762" s="10"/>
      <c r="F762" s="8" t="str">
        <f aca="false">TEXT(A762,"MM-YYYY")</f>
        <v>03-2025</v>
      </c>
      <c r="G762" s="8" t="s">
        <v>14</v>
      </c>
      <c r="H762" s="8" t="s">
        <v>15</v>
      </c>
      <c r="I762" s="7"/>
      <c r="J762" s="8" t="str">
        <f aca="false">VLOOKUP(B762,Table3[#All],2,0)</f>
        <v>Inventory</v>
      </c>
      <c r="K762" s="8" t="str">
        <f aca="false">TEXT(ROW(), "0000")</f>
        <v>0762</v>
      </c>
      <c r="L762" s="8"/>
    </row>
    <row r="763" customFormat="false" ht="15.75" hidden="false" customHeight="true" outlineLevel="0" collapsed="false">
      <c r="A763" s="13" t="n">
        <v>45726</v>
      </c>
      <c r="B763" s="8" t="s">
        <v>197</v>
      </c>
      <c r="C763" s="9" t="n">
        <v>1200</v>
      </c>
      <c r="D763" s="8" t="s">
        <v>45</v>
      </c>
      <c r="E763" s="10"/>
      <c r="F763" s="8" t="str">
        <f aca="false">TEXT(A763,"MM-YYYY")</f>
        <v>03-2025</v>
      </c>
      <c r="G763" s="8" t="s">
        <v>14</v>
      </c>
      <c r="H763" s="8" t="s">
        <v>15</v>
      </c>
      <c r="I763" s="7"/>
      <c r="J763" s="8" t="str">
        <f aca="false">VLOOKUP(B763,Table3[#All],2,0)</f>
        <v>Maintenance</v>
      </c>
      <c r="K763" s="8" t="str">
        <f aca="false">TEXT(ROW(), "0000")</f>
        <v>0763</v>
      </c>
      <c r="L763" s="8"/>
    </row>
    <row r="764" customFormat="false" ht="15.75" hidden="false" customHeight="true" outlineLevel="0" collapsed="false">
      <c r="A764" s="13" t="n">
        <v>45726</v>
      </c>
      <c r="B764" s="8" t="s">
        <v>32</v>
      </c>
      <c r="C764" s="9" t="n">
        <v>875</v>
      </c>
      <c r="D764" s="8" t="s">
        <v>21</v>
      </c>
      <c r="E764" s="8" t="s">
        <v>198</v>
      </c>
      <c r="F764" s="8" t="str">
        <f aca="false">TEXT(A764,"MM-YYYY")</f>
        <v>03-2025</v>
      </c>
      <c r="G764" s="8" t="s">
        <v>14</v>
      </c>
      <c r="H764" s="8" t="s">
        <v>15</v>
      </c>
      <c r="I764" s="7"/>
      <c r="J764" s="8" t="str">
        <f aca="false">VLOOKUP(B764,Table3[#All],2,0)</f>
        <v>Grocery</v>
      </c>
      <c r="K764" s="8" t="str">
        <f aca="false">TEXT(ROW(), "0000")</f>
        <v>0764</v>
      </c>
      <c r="L764" s="8"/>
    </row>
    <row r="765" customFormat="false" ht="15.75" hidden="false" customHeight="true" outlineLevel="0" collapsed="false">
      <c r="A765" s="13" t="n">
        <v>45726</v>
      </c>
      <c r="B765" s="8" t="s">
        <v>29</v>
      </c>
      <c r="C765" s="9" t="n">
        <v>624</v>
      </c>
      <c r="D765" s="8" t="s">
        <v>13</v>
      </c>
      <c r="E765" s="10"/>
      <c r="F765" s="8" t="str">
        <f aca="false">TEXT(A765,"MM-YYYY")</f>
        <v>03-2025</v>
      </c>
      <c r="G765" s="8" t="s">
        <v>14</v>
      </c>
      <c r="H765" s="8" t="s">
        <v>15</v>
      </c>
      <c r="I765" s="7"/>
      <c r="J765" s="8" t="str">
        <f aca="false">VLOOKUP(B765,Table3[#All],2,0)</f>
        <v>Inventory</v>
      </c>
      <c r="K765" s="8" t="str">
        <f aca="false">TEXT(ROW(), "0000")</f>
        <v>0765</v>
      </c>
      <c r="L765" s="8"/>
    </row>
    <row r="766" customFormat="false" ht="15.75" hidden="false" customHeight="true" outlineLevel="0" collapsed="false">
      <c r="A766" s="13" t="n">
        <v>45726</v>
      </c>
      <c r="B766" s="8" t="s">
        <v>25</v>
      </c>
      <c r="C766" s="9" t="n">
        <v>550</v>
      </c>
      <c r="D766" s="8" t="s">
        <v>45</v>
      </c>
      <c r="E766" s="8" t="s">
        <v>84</v>
      </c>
      <c r="F766" s="8" t="str">
        <f aca="false">TEXT(A766,"MM-YYYY")</f>
        <v>03-2025</v>
      </c>
      <c r="G766" s="8" t="s">
        <v>14</v>
      </c>
      <c r="H766" s="8" t="s">
        <v>15</v>
      </c>
      <c r="I766" s="7"/>
      <c r="J766" s="8" t="str">
        <f aca="false">VLOOKUP(B766,Table3[#All],2,0)</f>
        <v>Inventory</v>
      </c>
      <c r="K766" s="8" t="str">
        <f aca="false">TEXT(ROW(), "0000")</f>
        <v>0766</v>
      </c>
      <c r="L766" s="8"/>
    </row>
    <row r="767" customFormat="false" ht="15.75" hidden="false" customHeight="true" outlineLevel="0" collapsed="false">
      <c r="A767" s="13" t="n">
        <v>45726</v>
      </c>
      <c r="B767" s="8" t="s">
        <v>199</v>
      </c>
      <c r="C767" s="9" t="n">
        <v>330</v>
      </c>
      <c r="D767" s="8" t="s">
        <v>21</v>
      </c>
      <c r="E767" s="10" t="s">
        <v>200</v>
      </c>
      <c r="F767" s="8" t="str">
        <f aca="false">TEXT(A767,"MM-YYYY")</f>
        <v>03-2025</v>
      </c>
      <c r="G767" s="8" t="s">
        <v>14</v>
      </c>
      <c r="H767" s="8" t="s">
        <v>15</v>
      </c>
      <c r="I767" s="7"/>
      <c r="J767" s="8" t="str">
        <f aca="false">VLOOKUP(B767,Table3[#All],2,0)</f>
        <v>Fixed Maintance</v>
      </c>
      <c r="K767" s="8" t="str">
        <f aca="false">TEXT(ROW(), "0000")</f>
        <v>0767</v>
      </c>
      <c r="L767" s="8"/>
    </row>
    <row r="768" customFormat="false" ht="15.75" hidden="false" customHeight="true" outlineLevel="0" collapsed="false">
      <c r="A768" s="13" t="n">
        <v>45726</v>
      </c>
      <c r="B768" s="8" t="s">
        <v>16</v>
      </c>
      <c r="C768" s="9" t="n">
        <v>1210</v>
      </c>
      <c r="D768" s="8" t="s">
        <v>21</v>
      </c>
      <c r="E768" s="10"/>
      <c r="F768" s="8" t="str">
        <f aca="false">TEXT(A768,"MM-YYYY")</f>
        <v>03-2025</v>
      </c>
      <c r="G768" s="8"/>
      <c r="H768" s="8"/>
      <c r="I768" s="7"/>
      <c r="J768" s="8" t="str">
        <f aca="false">VLOOKUP(B768,Table3[#All],2,0)</f>
        <v>Sales</v>
      </c>
      <c r="K768" s="8" t="str">
        <f aca="false">TEXT(ROW(), "0000")</f>
        <v>0768</v>
      </c>
      <c r="L768" s="8"/>
    </row>
    <row r="769" customFormat="false" ht="15.75" hidden="false" customHeight="true" outlineLevel="0" collapsed="false">
      <c r="A769" s="13" t="n">
        <v>45726</v>
      </c>
      <c r="B769" s="8" t="s">
        <v>16</v>
      </c>
      <c r="C769" s="9" t="n">
        <v>14425</v>
      </c>
      <c r="D769" s="8" t="s">
        <v>17</v>
      </c>
      <c r="E769" s="10"/>
      <c r="F769" s="8" t="str">
        <f aca="false">TEXT(A769,"MM-YYYY")</f>
        <v>03-2025</v>
      </c>
      <c r="G769" s="8"/>
      <c r="H769" s="8"/>
      <c r="I769" s="7"/>
      <c r="J769" s="8" t="str">
        <f aca="false">VLOOKUP(B769,Table3[#All],2,0)</f>
        <v>Sales</v>
      </c>
      <c r="K769" s="8" t="str">
        <f aca="false">TEXT(ROW(), "0000")</f>
        <v>0769</v>
      </c>
      <c r="L769" s="8"/>
    </row>
    <row r="770" customFormat="false" ht="15.75" hidden="false" customHeight="true" outlineLevel="0" collapsed="false">
      <c r="A770" s="13" t="n">
        <v>45726</v>
      </c>
      <c r="B770" s="8" t="s">
        <v>16</v>
      </c>
      <c r="C770" s="9" t="n">
        <v>4676</v>
      </c>
      <c r="D770" s="8" t="s">
        <v>24</v>
      </c>
      <c r="E770" s="10"/>
      <c r="F770" s="8" t="str">
        <f aca="false">TEXT(A770,"MM-YYYY")</f>
        <v>03-2025</v>
      </c>
      <c r="G770" s="8"/>
      <c r="H770" s="8"/>
      <c r="I770" s="7"/>
      <c r="J770" s="8" t="str">
        <f aca="false">VLOOKUP(B770,Table3[#All],2,0)</f>
        <v>Sales</v>
      </c>
      <c r="K770" s="8" t="str">
        <f aca="false">TEXT(ROW(), "0000")</f>
        <v>0770</v>
      </c>
      <c r="L770" s="8"/>
    </row>
    <row r="771" customFormat="false" ht="15.75" hidden="false" customHeight="true" outlineLevel="0" collapsed="false">
      <c r="A771" s="13" t="n">
        <v>45726</v>
      </c>
      <c r="B771" s="8" t="s">
        <v>34</v>
      </c>
      <c r="C771" s="9" t="n">
        <v>120</v>
      </c>
      <c r="D771" s="8" t="s">
        <v>45</v>
      </c>
      <c r="E771" s="10"/>
      <c r="F771" s="8" t="str">
        <f aca="false">TEXT(A771,"MM-YYYY")</f>
        <v>03-2025</v>
      </c>
      <c r="G771" s="8" t="s">
        <v>14</v>
      </c>
      <c r="H771" s="8" t="s">
        <v>15</v>
      </c>
      <c r="I771" s="7"/>
      <c r="J771" s="8" t="str">
        <f aca="false">VLOOKUP(B771,Table3[#All],2,0)</f>
        <v>Staff Expenses</v>
      </c>
      <c r="K771" s="8" t="str">
        <f aca="false">TEXT(ROW(), "0000")</f>
        <v>0771</v>
      </c>
      <c r="L771" s="8"/>
    </row>
    <row r="772" customFormat="false" ht="15.75" hidden="false" customHeight="true" outlineLevel="0" collapsed="false">
      <c r="A772" s="13" t="n">
        <v>45726</v>
      </c>
      <c r="B772" s="8" t="s">
        <v>37</v>
      </c>
      <c r="C772" s="9" t="n">
        <v>5</v>
      </c>
      <c r="D772" s="8" t="s">
        <v>21</v>
      </c>
      <c r="E772" s="10"/>
      <c r="F772" s="8" t="str">
        <f aca="false">TEXT(A772,"MM-YYYY")</f>
        <v>03-2025</v>
      </c>
      <c r="G772" s="8" t="s">
        <v>14</v>
      </c>
      <c r="H772" s="8" t="s">
        <v>15</v>
      </c>
      <c r="I772" s="7"/>
      <c r="J772" s="8" t="str">
        <f aca="false">VLOOKUP(B772,Table3[#All],2,0)</f>
        <v>Maintance</v>
      </c>
      <c r="K772" s="8" t="str">
        <f aca="false">TEXT(ROW(), "0000")</f>
        <v>0772</v>
      </c>
      <c r="L772" s="8"/>
    </row>
    <row r="773" customFormat="false" ht="15.75" hidden="false" customHeight="true" outlineLevel="0" collapsed="false">
      <c r="A773" s="13" t="n">
        <v>45727</v>
      </c>
      <c r="B773" s="8" t="s">
        <v>19</v>
      </c>
      <c r="C773" s="9" t="n">
        <v>3871</v>
      </c>
      <c r="D773" s="8" t="s">
        <v>13</v>
      </c>
      <c r="E773" s="10"/>
      <c r="F773" s="8" t="str">
        <f aca="false">TEXT(A773,"MM-YYYY")</f>
        <v>03-2025</v>
      </c>
      <c r="G773" s="8" t="s">
        <v>14</v>
      </c>
      <c r="H773" s="8" t="s">
        <v>15</v>
      </c>
      <c r="I773" s="7"/>
      <c r="J773" s="8" t="str">
        <f aca="false">VLOOKUP(B773,Table3[#All],2,0)</f>
        <v>Inventory</v>
      </c>
      <c r="K773" s="8" t="str">
        <f aca="false">TEXT(ROW(), "0000")</f>
        <v>0773</v>
      </c>
      <c r="L773" s="8"/>
    </row>
    <row r="774" customFormat="false" ht="15.75" hidden="false" customHeight="true" outlineLevel="0" collapsed="false">
      <c r="A774" s="13" t="n">
        <v>45727</v>
      </c>
      <c r="B774" s="8" t="s">
        <v>25</v>
      </c>
      <c r="C774" s="9" t="n">
        <v>930</v>
      </c>
      <c r="D774" s="8" t="s">
        <v>13</v>
      </c>
      <c r="E774" s="10"/>
      <c r="F774" s="8" t="str">
        <f aca="false">TEXT(A774,"MM-YYYY")</f>
        <v>03-2025</v>
      </c>
      <c r="G774" s="8" t="s">
        <v>14</v>
      </c>
      <c r="H774" s="8" t="s">
        <v>15</v>
      </c>
      <c r="I774" s="7"/>
      <c r="J774" s="8" t="str">
        <f aca="false">VLOOKUP(B774,Table3[#All],2,0)</f>
        <v>Inventory</v>
      </c>
      <c r="K774" s="8" t="str">
        <f aca="false">TEXT(ROW(), "0000")</f>
        <v>0774</v>
      </c>
      <c r="L774" s="8"/>
    </row>
    <row r="775" customFormat="false" ht="15.75" hidden="false" customHeight="true" outlineLevel="0" collapsed="false">
      <c r="A775" s="13" t="n">
        <v>45727</v>
      </c>
      <c r="B775" s="8" t="s">
        <v>22</v>
      </c>
      <c r="C775" s="9" t="n">
        <v>883</v>
      </c>
      <c r="D775" s="8" t="s">
        <v>13</v>
      </c>
      <c r="E775" s="10"/>
      <c r="F775" s="8" t="str">
        <f aca="false">TEXT(A775,"MM-YYYY")</f>
        <v>03-2025</v>
      </c>
      <c r="G775" s="8" t="s">
        <v>14</v>
      </c>
      <c r="H775" s="8" t="s">
        <v>15</v>
      </c>
      <c r="I775" s="7"/>
      <c r="J775" s="8" t="str">
        <f aca="false">VLOOKUP(B775,Table3[#All],2,0)</f>
        <v>Inventory</v>
      </c>
      <c r="K775" s="8" t="str">
        <f aca="false">TEXT(ROW(), "0000")</f>
        <v>0775</v>
      </c>
      <c r="L775" s="8"/>
    </row>
    <row r="776" customFormat="false" ht="15.75" hidden="false" customHeight="true" outlineLevel="0" collapsed="false">
      <c r="A776" s="13" t="n">
        <v>45727</v>
      </c>
      <c r="B776" s="8" t="s">
        <v>40</v>
      </c>
      <c r="C776" s="9" t="n">
        <v>7677</v>
      </c>
      <c r="D776" s="8" t="s">
        <v>13</v>
      </c>
      <c r="E776" s="10"/>
      <c r="F776" s="8" t="str">
        <f aca="false">TEXT(A776,"MM-YYYY")</f>
        <v>03-2025</v>
      </c>
      <c r="G776" s="8" t="s">
        <v>14</v>
      </c>
      <c r="H776" s="8" t="s">
        <v>15</v>
      </c>
      <c r="I776" s="7"/>
      <c r="J776" s="8" t="str">
        <f aca="false">VLOOKUP(B776,Table3[#All],2,0)</f>
        <v>Inventory</v>
      </c>
      <c r="K776" s="8" t="str">
        <f aca="false">TEXT(ROW(), "0000")</f>
        <v>0776</v>
      </c>
      <c r="L776" s="8"/>
    </row>
    <row r="777" customFormat="false" ht="15.75" hidden="false" customHeight="true" outlineLevel="0" collapsed="false">
      <c r="A777" s="13" t="n">
        <v>45727</v>
      </c>
      <c r="B777" s="8" t="s">
        <v>201</v>
      </c>
      <c r="C777" s="9" t="n">
        <v>2040</v>
      </c>
      <c r="D777" s="8" t="s">
        <v>13</v>
      </c>
      <c r="E777" s="10"/>
      <c r="F777" s="8" t="str">
        <f aca="false">TEXT(A777,"MM-YYYY")</f>
        <v>03-2025</v>
      </c>
      <c r="G777" s="8" t="s">
        <v>14</v>
      </c>
      <c r="H777" s="8" t="s">
        <v>15</v>
      </c>
      <c r="I777" s="7"/>
      <c r="J777" s="8" t="str">
        <f aca="false">VLOOKUP(B777,Table3[#All],2,0)</f>
        <v>Inventory</v>
      </c>
      <c r="K777" s="8" t="str">
        <f aca="false">TEXT(ROW(), "0000")</f>
        <v>0777</v>
      </c>
      <c r="L777" s="8"/>
    </row>
    <row r="778" customFormat="false" ht="15.75" hidden="false" customHeight="true" outlineLevel="0" collapsed="false">
      <c r="A778" s="13" t="n">
        <v>45727</v>
      </c>
      <c r="B778" s="8" t="s">
        <v>202</v>
      </c>
      <c r="C778" s="9" t="n">
        <v>110</v>
      </c>
      <c r="D778" s="8" t="s">
        <v>45</v>
      </c>
      <c r="E778" s="10"/>
      <c r="F778" s="8" t="str">
        <f aca="false">TEXT(A778,"MM-YYYY")</f>
        <v>03-2025</v>
      </c>
      <c r="G778" s="8" t="s">
        <v>14</v>
      </c>
      <c r="H778" s="8" t="s">
        <v>15</v>
      </c>
      <c r="I778" s="7"/>
      <c r="J778" s="8" t="str">
        <f aca="false">VLOOKUP(B778,Table3[#All],2,0)</f>
        <v>Maintance</v>
      </c>
      <c r="K778" s="8" t="str">
        <f aca="false">TEXT(ROW(), "0000")</f>
        <v>0778</v>
      </c>
      <c r="L778" s="8"/>
    </row>
    <row r="779" customFormat="false" ht="15.75" hidden="false" customHeight="true" outlineLevel="0" collapsed="false">
      <c r="A779" s="13" t="n">
        <v>45727</v>
      </c>
      <c r="B779" s="8" t="s">
        <v>102</v>
      </c>
      <c r="C779" s="9" t="n">
        <v>600</v>
      </c>
      <c r="D779" s="8" t="s">
        <v>13</v>
      </c>
      <c r="E779" s="10"/>
      <c r="F779" s="8" t="str">
        <f aca="false">TEXT(A779,"MM-YYYY")</f>
        <v>03-2025</v>
      </c>
      <c r="G779" s="8" t="s">
        <v>14</v>
      </c>
      <c r="H779" s="8" t="s">
        <v>15</v>
      </c>
      <c r="I779" s="7"/>
      <c r="J779" s="8" t="str">
        <f aca="false">VLOOKUP(B779,Table3[#All],2,0)</f>
        <v>Fixed Maintance</v>
      </c>
      <c r="K779" s="8" t="str">
        <f aca="false">TEXT(ROW(), "0000")</f>
        <v>0779</v>
      </c>
      <c r="L779" s="8"/>
    </row>
    <row r="780" customFormat="false" ht="15.75" hidden="false" customHeight="true" outlineLevel="0" collapsed="false">
      <c r="A780" s="13" t="n">
        <v>45727</v>
      </c>
      <c r="B780" s="8" t="s">
        <v>29</v>
      </c>
      <c r="C780" s="9" t="n">
        <v>766</v>
      </c>
      <c r="D780" s="8" t="s">
        <v>13</v>
      </c>
      <c r="E780" s="10"/>
      <c r="F780" s="8" t="str">
        <f aca="false">TEXT(A780,"MM-YYYY")</f>
        <v>03-2025</v>
      </c>
      <c r="G780" s="8" t="s">
        <v>14</v>
      </c>
      <c r="H780" s="8" t="s">
        <v>15</v>
      </c>
      <c r="I780" s="7"/>
      <c r="J780" s="8" t="str">
        <f aca="false">VLOOKUP(B780,Table3[#All],2,0)</f>
        <v>Inventory</v>
      </c>
      <c r="K780" s="8" t="str">
        <f aca="false">TEXT(ROW(), "0000")</f>
        <v>0780</v>
      </c>
      <c r="L780" s="8"/>
    </row>
    <row r="781" customFormat="false" ht="15.75" hidden="false" customHeight="true" outlineLevel="0" collapsed="false">
      <c r="A781" s="13" t="n">
        <v>45727</v>
      </c>
      <c r="B781" s="8" t="s">
        <v>28</v>
      </c>
      <c r="C781" s="9" t="n">
        <v>820</v>
      </c>
      <c r="D781" s="8" t="s">
        <v>21</v>
      </c>
      <c r="E781" s="10"/>
      <c r="F781" s="8" t="str">
        <f aca="false">TEXT(A781,"MM-YYYY")</f>
        <v>03-2025</v>
      </c>
      <c r="G781" s="8" t="s">
        <v>14</v>
      </c>
      <c r="H781" s="8" t="s">
        <v>15</v>
      </c>
      <c r="I781" s="7"/>
      <c r="J781" s="8" t="str">
        <f aca="false">VLOOKUP(B781,Table3[#All],2,0)</f>
        <v>Grocery</v>
      </c>
      <c r="K781" s="8" t="str">
        <f aca="false">TEXT(ROW(), "0000")</f>
        <v>0781</v>
      </c>
      <c r="L781" s="8"/>
    </row>
    <row r="782" customFormat="false" ht="15.75" hidden="false" customHeight="true" outlineLevel="0" collapsed="false">
      <c r="A782" s="13" t="n">
        <v>45727</v>
      </c>
      <c r="B782" s="8" t="s">
        <v>81</v>
      </c>
      <c r="C782" s="9" t="n">
        <v>280</v>
      </c>
      <c r="D782" s="8" t="s">
        <v>21</v>
      </c>
      <c r="E782" s="10" t="s">
        <v>203</v>
      </c>
      <c r="F782" s="8" t="str">
        <f aca="false">TEXT(A782,"MM-YYYY")</f>
        <v>03-2025</v>
      </c>
      <c r="G782" s="8" t="s">
        <v>14</v>
      </c>
      <c r="H782" s="8" t="s">
        <v>15</v>
      </c>
      <c r="I782" s="7"/>
      <c r="J782" s="8" t="str">
        <f aca="false">VLOOKUP(B782,Table3[#All],2,0)</f>
        <v>Excess Amount Return</v>
      </c>
      <c r="K782" s="8" t="str">
        <f aca="false">TEXT(ROW(), "0000")</f>
        <v>0782</v>
      </c>
      <c r="L782" s="8"/>
    </row>
    <row r="783" customFormat="false" ht="15.75" hidden="false" customHeight="true" outlineLevel="0" collapsed="false">
      <c r="A783" s="13" t="n">
        <v>45727</v>
      </c>
      <c r="B783" s="8" t="s">
        <v>16</v>
      </c>
      <c r="C783" s="9" t="n">
        <v>2620</v>
      </c>
      <c r="D783" s="8" t="s">
        <v>21</v>
      </c>
      <c r="E783" s="10"/>
      <c r="F783" s="8" t="str">
        <f aca="false">TEXT(A783,"MM-YYYY")</f>
        <v>03-2025</v>
      </c>
      <c r="G783" s="8"/>
      <c r="H783" s="8"/>
      <c r="I783" s="7"/>
      <c r="J783" s="8" t="str">
        <f aca="false">VLOOKUP(B783,Table3[#All],2,0)</f>
        <v>Sales</v>
      </c>
      <c r="K783" s="8" t="str">
        <f aca="false">TEXT(ROW(), "0000")</f>
        <v>0783</v>
      </c>
      <c r="L783" s="8"/>
    </row>
    <row r="784" customFormat="false" ht="15.75" hidden="false" customHeight="true" outlineLevel="0" collapsed="false">
      <c r="A784" s="13" t="n">
        <v>45727</v>
      </c>
      <c r="B784" s="8" t="s">
        <v>16</v>
      </c>
      <c r="C784" s="9" t="n">
        <v>370</v>
      </c>
      <c r="D784" s="8" t="s">
        <v>27</v>
      </c>
      <c r="E784" s="10"/>
      <c r="F784" s="8" t="str">
        <f aca="false">TEXT(A784,"MM-YYYY")</f>
        <v>03-2025</v>
      </c>
      <c r="G784" s="8"/>
      <c r="H784" s="8"/>
      <c r="I784" s="7"/>
      <c r="J784" s="8" t="str">
        <f aca="false">VLOOKUP(B784,Table3[#All],2,0)</f>
        <v>Sales</v>
      </c>
      <c r="K784" s="8" t="str">
        <f aca="false">TEXT(ROW(), "0000")</f>
        <v>0784</v>
      </c>
      <c r="L784" s="8"/>
    </row>
    <row r="785" customFormat="false" ht="15.75" hidden="false" customHeight="true" outlineLevel="0" collapsed="false">
      <c r="A785" s="13" t="n">
        <v>45727</v>
      </c>
      <c r="B785" s="8" t="s">
        <v>16</v>
      </c>
      <c r="C785" s="9" t="n">
        <v>320</v>
      </c>
      <c r="D785" s="8" t="s">
        <v>33</v>
      </c>
      <c r="E785" s="10"/>
      <c r="F785" s="8" t="str">
        <f aca="false">TEXT(A785,"MM-YYYY")</f>
        <v>03-2025</v>
      </c>
      <c r="G785" s="8"/>
      <c r="H785" s="8"/>
      <c r="I785" s="7"/>
      <c r="J785" s="8" t="str">
        <f aca="false">VLOOKUP(B785,Table3[#All],2,0)</f>
        <v>Sales</v>
      </c>
      <c r="K785" s="8" t="str">
        <f aca="false">TEXT(ROW(), "0000")</f>
        <v>0785</v>
      </c>
      <c r="L785" s="8"/>
    </row>
    <row r="786" customFormat="false" ht="15.75" hidden="false" customHeight="true" outlineLevel="0" collapsed="false">
      <c r="A786" s="13" t="n">
        <v>45727</v>
      </c>
      <c r="B786" s="8" t="s">
        <v>16</v>
      </c>
      <c r="C786" s="9" t="n">
        <v>13289</v>
      </c>
      <c r="D786" s="8" t="s">
        <v>17</v>
      </c>
      <c r="E786" s="10"/>
      <c r="F786" s="8" t="str">
        <f aca="false">TEXT(A786,"MM-YYYY")</f>
        <v>03-2025</v>
      </c>
      <c r="G786" s="8"/>
      <c r="H786" s="8"/>
      <c r="I786" s="7"/>
      <c r="J786" s="8" t="str">
        <f aca="false">VLOOKUP(B786,Table3[#All],2,0)</f>
        <v>Sales</v>
      </c>
      <c r="K786" s="8" t="str">
        <f aca="false">TEXT(ROW(), "0000")</f>
        <v>0786</v>
      </c>
      <c r="L786" s="8"/>
    </row>
    <row r="787" customFormat="false" ht="15.75" hidden="false" customHeight="true" outlineLevel="0" collapsed="false">
      <c r="A787" s="13" t="n">
        <v>45727</v>
      </c>
      <c r="B787" s="8" t="s">
        <v>16</v>
      </c>
      <c r="C787" s="9" t="n">
        <v>6204</v>
      </c>
      <c r="D787" s="8" t="s">
        <v>24</v>
      </c>
      <c r="E787" s="10"/>
      <c r="F787" s="8" t="str">
        <f aca="false">TEXT(A787,"MM-YYYY")</f>
        <v>03-2025</v>
      </c>
      <c r="G787" s="8"/>
      <c r="H787" s="8"/>
      <c r="I787" s="7"/>
      <c r="J787" s="8" t="str">
        <f aca="false">VLOOKUP(B787,Table3[#All],2,0)</f>
        <v>Sales</v>
      </c>
      <c r="K787" s="8" t="str">
        <f aca="false">TEXT(ROW(), "0000")</f>
        <v>0787</v>
      </c>
      <c r="L787" s="8"/>
    </row>
    <row r="788" customFormat="false" ht="15.75" hidden="false" customHeight="true" outlineLevel="0" collapsed="false">
      <c r="A788" s="13" t="n">
        <v>45727</v>
      </c>
      <c r="B788" s="8" t="s">
        <v>29</v>
      </c>
      <c r="C788" s="9" t="n">
        <v>20</v>
      </c>
      <c r="D788" s="8" t="s">
        <v>21</v>
      </c>
      <c r="E788" s="10" t="s">
        <v>194</v>
      </c>
      <c r="F788" s="8" t="str">
        <f aca="false">TEXT(A788,"MM-YYYY")</f>
        <v>03-2025</v>
      </c>
      <c r="G788" s="8" t="s">
        <v>14</v>
      </c>
      <c r="H788" s="8" t="s">
        <v>15</v>
      </c>
      <c r="I788" s="7"/>
      <c r="J788" s="8" t="str">
        <f aca="false">VLOOKUP(B788,Table3[#All],2,0)</f>
        <v>Inventory</v>
      </c>
      <c r="K788" s="8" t="str">
        <f aca="false">TEXT(ROW(), "0000")</f>
        <v>0788</v>
      </c>
      <c r="L788" s="8"/>
    </row>
    <row r="789" customFormat="false" ht="15.75" hidden="false" customHeight="true" outlineLevel="0" collapsed="false">
      <c r="A789" s="13" t="n">
        <v>45727</v>
      </c>
      <c r="B789" s="8" t="s">
        <v>44</v>
      </c>
      <c r="C789" s="9" t="n">
        <v>2000</v>
      </c>
      <c r="D789" s="8" t="s">
        <v>13</v>
      </c>
      <c r="E789" s="10" t="s">
        <v>196</v>
      </c>
      <c r="F789" s="8" t="str">
        <f aca="false">TEXT(A789,"MM-YYYY")</f>
        <v>03-2025</v>
      </c>
      <c r="G789" s="8" t="s">
        <v>14</v>
      </c>
      <c r="H789" s="8" t="s">
        <v>15</v>
      </c>
      <c r="I789" s="7"/>
      <c r="J789" s="8" t="str">
        <f aca="false">VLOOKUP(B789,Table3[#All],2,0)</f>
        <v>Salary</v>
      </c>
      <c r="K789" s="8" t="str">
        <f aca="false">TEXT(ROW(), "0000")</f>
        <v>0789</v>
      </c>
      <c r="L789" s="8"/>
    </row>
    <row r="790" customFormat="false" ht="15.75" hidden="false" customHeight="true" outlineLevel="0" collapsed="false">
      <c r="A790" s="13" t="n">
        <v>45727</v>
      </c>
      <c r="B790" s="8" t="s">
        <v>34</v>
      </c>
      <c r="C790" s="9" t="n">
        <v>103</v>
      </c>
      <c r="D790" s="8" t="s">
        <v>45</v>
      </c>
      <c r="E790" s="10"/>
      <c r="F790" s="8" t="str">
        <f aca="false">TEXT(A790,"MM-YYYY")</f>
        <v>03-2025</v>
      </c>
      <c r="G790" s="8" t="s">
        <v>14</v>
      </c>
      <c r="H790" s="8" t="s">
        <v>15</v>
      </c>
      <c r="I790" s="7"/>
      <c r="J790" s="8" t="str">
        <f aca="false">VLOOKUP(B790,Table3[#All],2,0)</f>
        <v>Staff Expenses</v>
      </c>
      <c r="K790" s="8" t="str">
        <f aca="false">TEXT(ROW(), "0000")</f>
        <v>0790</v>
      </c>
      <c r="L790" s="8"/>
    </row>
    <row r="791" customFormat="false" ht="15.75" hidden="false" customHeight="true" outlineLevel="0" collapsed="false">
      <c r="A791" s="13" t="n">
        <v>45727</v>
      </c>
      <c r="B791" s="8" t="s">
        <v>44</v>
      </c>
      <c r="C791" s="9" t="n">
        <v>200</v>
      </c>
      <c r="D791" s="8" t="s">
        <v>45</v>
      </c>
      <c r="E791" s="10" t="s">
        <v>204</v>
      </c>
      <c r="F791" s="8" t="str">
        <f aca="false">TEXT(A791,"MM-YYYY")</f>
        <v>03-2025</v>
      </c>
      <c r="G791" s="8" t="s">
        <v>14</v>
      </c>
      <c r="H791" s="8" t="s">
        <v>15</v>
      </c>
      <c r="I791" s="7"/>
      <c r="J791" s="8" t="str">
        <f aca="false">VLOOKUP(B791,Table3[#All],2,0)</f>
        <v>Salary</v>
      </c>
      <c r="K791" s="8" t="str">
        <f aca="false">TEXT(ROW(), "0000")</f>
        <v>0791</v>
      </c>
      <c r="L791" s="8"/>
    </row>
    <row r="792" customFormat="false" ht="15.75" hidden="false" customHeight="true" outlineLevel="0" collapsed="false">
      <c r="A792" s="13" t="n">
        <v>45727</v>
      </c>
      <c r="B792" s="8" t="s">
        <v>44</v>
      </c>
      <c r="C792" s="9" t="n">
        <v>5000</v>
      </c>
      <c r="D792" s="8" t="s">
        <v>13</v>
      </c>
      <c r="E792" s="10" t="s">
        <v>205</v>
      </c>
      <c r="F792" s="8" t="str">
        <f aca="false">TEXT(A792,"MM-YYYY")</f>
        <v>03-2025</v>
      </c>
      <c r="G792" s="8" t="s">
        <v>14</v>
      </c>
      <c r="H792" s="8" t="s">
        <v>15</v>
      </c>
      <c r="I792" s="7"/>
      <c r="J792" s="8" t="str">
        <f aca="false">VLOOKUP(B792,Table3[#All],2,0)</f>
        <v>Salary</v>
      </c>
      <c r="K792" s="8" t="str">
        <f aca="false">TEXT(ROW(), "0000")</f>
        <v>0792</v>
      </c>
      <c r="L792" s="8"/>
    </row>
    <row r="793" customFormat="false" ht="15.75" hidden="false" customHeight="true" outlineLevel="0" collapsed="false">
      <c r="A793" s="13" t="n">
        <v>45727</v>
      </c>
      <c r="B793" s="8" t="s">
        <v>35</v>
      </c>
      <c r="C793" s="9" t="n">
        <v>100</v>
      </c>
      <c r="D793" s="8" t="s">
        <v>45</v>
      </c>
      <c r="E793" s="10" t="s">
        <v>206</v>
      </c>
      <c r="F793" s="8" t="str">
        <f aca="false">TEXT(A793,"MM-YYYY")</f>
        <v>03-2025</v>
      </c>
      <c r="G793" s="8" t="s">
        <v>14</v>
      </c>
      <c r="H793" s="8" t="s">
        <v>15</v>
      </c>
      <c r="I793" s="7"/>
      <c r="J793" s="8" t="str">
        <f aca="false">VLOOKUP(B793,Table3[#All],2,0)</f>
        <v>Inventory</v>
      </c>
      <c r="K793" s="8" t="str">
        <f aca="false">TEXT(ROW(), "0000")</f>
        <v>0793</v>
      </c>
      <c r="L793" s="8"/>
    </row>
    <row r="794" customFormat="false" ht="15.75" hidden="false" customHeight="true" outlineLevel="0" collapsed="false">
      <c r="A794" s="13" t="n">
        <v>45727</v>
      </c>
      <c r="B794" s="8" t="s">
        <v>202</v>
      </c>
      <c r="C794" s="9" t="n">
        <v>40</v>
      </c>
      <c r="D794" s="8" t="s">
        <v>45</v>
      </c>
      <c r="E794" s="10" t="s">
        <v>207</v>
      </c>
      <c r="F794" s="8" t="str">
        <f aca="false">TEXT(A794,"MM-YYYY")</f>
        <v>03-2025</v>
      </c>
      <c r="G794" s="8" t="s">
        <v>14</v>
      </c>
      <c r="H794" s="8" t="s">
        <v>15</v>
      </c>
      <c r="I794" s="7"/>
      <c r="J794" s="8" t="str">
        <f aca="false">VLOOKUP(B794,Table3[#All],2,0)</f>
        <v>Maintance</v>
      </c>
      <c r="K794" s="8" t="str">
        <f aca="false">TEXT(ROW(), "0000")</f>
        <v>0794</v>
      </c>
      <c r="L794" s="8"/>
    </row>
    <row r="795" customFormat="false" ht="15.75" hidden="false" customHeight="true" outlineLevel="0" collapsed="false">
      <c r="A795" s="13" t="n">
        <v>45728</v>
      </c>
      <c r="B795" s="8" t="s">
        <v>19</v>
      </c>
      <c r="C795" s="9" t="n">
        <v>3643</v>
      </c>
      <c r="D795" s="8" t="s">
        <v>13</v>
      </c>
      <c r="E795" s="10"/>
      <c r="F795" s="8" t="str">
        <f aca="false">TEXT(A795,"MM-YYYY")</f>
        <v>03-2025</v>
      </c>
      <c r="G795" s="8" t="s">
        <v>14</v>
      </c>
      <c r="H795" s="8" t="s">
        <v>15</v>
      </c>
      <c r="I795" s="7"/>
      <c r="J795" s="8" t="str">
        <f aca="false">VLOOKUP(B795,Table3[#All],2,0)</f>
        <v>Inventory</v>
      </c>
      <c r="K795" s="8" t="str">
        <f aca="false">TEXT(ROW(), "0000")</f>
        <v>0795</v>
      </c>
      <c r="L795" s="8"/>
    </row>
    <row r="796" customFormat="false" ht="15.75" hidden="false" customHeight="true" outlineLevel="0" collapsed="false">
      <c r="A796" s="13" t="n">
        <v>45728</v>
      </c>
      <c r="B796" s="8" t="s">
        <v>25</v>
      </c>
      <c r="C796" s="9" t="n">
        <v>1286</v>
      </c>
      <c r="D796" s="8" t="s">
        <v>13</v>
      </c>
      <c r="E796" s="10"/>
      <c r="F796" s="8" t="str">
        <f aca="false">TEXT(A796,"MM-YYYY")</f>
        <v>03-2025</v>
      </c>
      <c r="G796" s="8" t="s">
        <v>14</v>
      </c>
      <c r="H796" s="8" t="s">
        <v>15</v>
      </c>
      <c r="I796" s="7"/>
      <c r="J796" s="8" t="str">
        <f aca="false">VLOOKUP(B796,Table3[#All],2,0)</f>
        <v>Inventory</v>
      </c>
      <c r="K796" s="8" t="str">
        <f aca="false">TEXT(ROW(), "0000")</f>
        <v>0796</v>
      </c>
      <c r="L796" s="8"/>
    </row>
    <row r="797" customFormat="false" ht="15.75" hidden="false" customHeight="true" outlineLevel="0" collapsed="false">
      <c r="A797" s="13" t="n">
        <v>45728</v>
      </c>
      <c r="B797" s="8" t="s">
        <v>22</v>
      </c>
      <c r="C797" s="9" t="n">
        <v>6180</v>
      </c>
      <c r="D797" s="8" t="s">
        <v>13</v>
      </c>
      <c r="E797" s="10"/>
      <c r="F797" s="8" t="str">
        <f aca="false">TEXT(A797,"MM-YYYY")</f>
        <v>03-2025</v>
      </c>
      <c r="G797" s="8" t="s">
        <v>14</v>
      </c>
      <c r="H797" s="8" t="s">
        <v>15</v>
      </c>
      <c r="I797" s="7"/>
      <c r="J797" s="8" t="str">
        <f aca="false">VLOOKUP(B797,Table3[#All],2,0)</f>
        <v>Inventory</v>
      </c>
      <c r="K797" s="8" t="str">
        <f aca="false">TEXT(ROW(), "0000")</f>
        <v>0797</v>
      </c>
      <c r="L797" s="8"/>
    </row>
    <row r="798" customFormat="false" ht="15.75" hidden="false" customHeight="true" outlineLevel="0" collapsed="false">
      <c r="A798" s="13" t="n">
        <v>45728</v>
      </c>
      <c r="B798" s="8" t="s">
        <v>47</v>
      </c>
      <c r="C798" s="9" t="n">
        <v>1680</v>
      </c>
      <c r="D798" s="8" t="s">
        <v>13</v>
      </c>
      <c r="E798" s="10"/>
      <c r="F798" s="8" t="str">
        <f aca="false">TEXT(A798,"MM-YYYY")</f>
        <v>03-2025</v>
      </c>
      <c r="G798" s="8" t="s">
        <v>14</v>
      </c>
      <c r="H798" s="8" t="s">
        <v>15</v>
      </c>
      <c r="I798" s="7"/>
      <c r="J798" s="8" t="str">
        <f aca="false">VLOOKUP(B798,Table3[#All],2,0)</f>
        <v>Inventory</v>
      </c>
      <c r="K798" s="8" t="str">
        <f aca="false">TEXT(ROW(), "0000")</f>
        <v>0798</v>
      </c>
      <c r="L798" s="8"/>
    </row>
    <row r="799" customFormat="false" ht="15.75" hidden="false" customHeight="true" outlineLevel="0" collapsed="false">
      <c r="A799" s="13" t="n">
        <v>45728</v>
      </c>
      <c r="B799" s="8" t="s">
        <v>40</v>
      </c>
      <c r="C799" s="9" t="n">
        <v>4440</v>
      </c>
      <c r="D799" s="8" t="s">
        <v>13</v>
      </c>
      <c r="E799" s="10"/>
      <c r="F799" s="8" t="str">
        <f aca="false">TEXT(A799,"MM-YYYY")</f>
        <v>03-2025</v>
      </c>
      <c r="G799" s="8" t="s">
        <v>14</v>
      </c>
      <c r="H799" s="8" t="s">
        <v>15</v>
      </c>
      <c r="I799" s="7"/>
      <c r="J799" s="8" t="str">
        <f aca="false">VLOOKUP(B799,Table3[#All],2,0)</f>
        <v>Inventory</v>
      </c>
      <c r="K799" s="8" t="str">
        <f aca="false">TEXT(ROW(), "0000")</f>
        <v>0799</v>
      </c>
      <c r="L799" s="8"/>
    </row>
    <row r="800" customFormat="false" ht="15.75" hidden="false" customHeight="true" outlineLevel="0" collapsed="false">
      <c r="A800" s="13" t="n">
        <v>45728</v>
      </c>
      <c r="B800" s="8" t="s">
        <v>44</v>
      </c>
      <c r="C800" s="9" t="n">
        <v>1000</v>
      </c>
      <c r="D800" s="8" t="s">
        <v>13</v>
      </c>
      <c r="E800" s="10" t="s">
        <v>87</v>
      </c>
      <c r="F800" s="8" t="str">
        <f aca="false">TEXT(A800,"MM-YYYY")</f>
        <v>03-2025</v>
      </c>
      <c r="G800" s="8" t="s">
        <v>14</v>
      </c>
      <c r="H800" s="8" t="s">
        <v>15</v>
      </c>
      <c r="I800" s="7"/>
      <c r="J800" s="8" t="str">
        <f aca="false">VLOOKUP(B800,Table3[#All],2,0)</f>
        <v>Salary</v>
      </c>
      <c r="K800" s="8" t="str">
        <f aca="false">TEXT(ROW(), "0000")</f>
        <v>0800</v>
      </c>
      <c r="L800" s="8"/>
    </row>
    <row r="801" customFormat="false" ht="15.75" hidden="false" customHeight="true" outlineLevel="0" collapsed="false">
      <c r="A801" s="13" t="n">
        <v>45728</v>
      </c>
      <c r="B801" s="8" t="s">
        <v>51</v>
      </c>
      <c r="C801" s="9" t="n">
        <v>3940</v>
      </c>
      <c r="D801" s="8" t="s">
        <v>13</v>
      </c>
      <c r="E801" s="10"/>
      <c r="F801" s="8" t="str">
        <f aca="false">TEXT(A801,"MM-YYYY")</f>
        <v>03-2025</v>
      </c>
      <c r="G801" s="8" t="s">
        <v>14</v>
      </c>
      <c r="H801" s="8" t="s">
        <v>15</v>
      </c>
      <c r="I801" s="7"/>
      <c r="J801" s="8" t="str">
        <f aca="false">VLOOKUP(B801,Table3[#All],2,0)</f>
        <v>Inventory</v>
      </c>
      <c r="K801" s="8" t="str">
        <f aca="false">TEXT(ROW(), "0000")</f>
        <v>0801</v>
      </c>
      <c r="L801" s="8"/>
    </row>
    <row r="802" customFormat="false" ht="15.75" hidden="false" customHeight="true" outlineLevel="0" collapsed="false">
      <c r="A802" s="13" t="n">
        <v>45728</v>
      </c>
      <c r="B802" s="8" t="s">
        <v>53</v>
      </c>
      <c r="C802" s="9" t="n">
        <v>2703</v>
      </c>
      <c r="D802" s="8" t="s">
        <v>13</v>
      </c>
      <c r="E802" s="10"/>
      <c r="F802" s="8" t="str">
        <f aca="false">TEXT(A802,"MM-YYYY")</f>
        <v>03-2025</v>
      </c>
      <c r="G802" s="8" t="s">
        <v>14</v>
      </c>
      <c r="H802" s="8" t="s">
        <v>15</v>
      </c>
      <c r="I802" s="7"/>
      <c r="J802" s="8" t="str">
        <f aca="false">VLOOKUP(B802,Table3[#All],2,0)</f>
        <v>Grocery</v>
      </c>
      <c r="K802" s="8" t="str">
        <f aca="false">TEXT(ROW(), "0000")</f>
        <v>0802</v>
      </c>
      <c r="L802" s="8"/>
    </row>
    <row r="803" customFormat="false" ht="15.75" hidden="false" customHeight="true" outlineLevel="0" collapsed="false">
      <c r="A803" s="13" t="n">
        <v>45728</v>
      </c>
      <c r="B803" s="8" t="s">
        <v>16</v>
      </c>
      <c r="C803" s="9" t="n">
        <v>4984</v>
      </c>
      <c r="D803" s="8" t="s">
        <v>21</v>
      </c>
      <c r="E803" s="10"/>
      <c r="F803" s="8" t="str">
        <f aca="false">TEXT(A803,"MM-YYYY")</f>
        <v>03-2025</v>
      </c>
      <c r="G803" s="8"/>
      <c r="H803" s="8"/>
      <c r="I803" s="7"/>
      <c r="J803" s="8" t="str">
        <f aca="false">VLOOKUP(B803,Table3[#All],2,0)</f>
        <v>Sales</v>
      </c>
      <c r="K803" s="8" t="str">
        <f aca="false">TEXT(ROW(), "0000")</f>
        <v>0803</v>
      </c>
      <c r="L803" s="8"/>
    </row>
    <row r="804" customFormat="false" ht="15.75" hidden="false" customHeight="true" outlineLevel="0" collapsed="false">
      <c r="A804" s="13" t="n">
        <v>45728</v>
      </c>
      <c r="B804" s="8" t="s">
        <v>16</v>
      </c>
      <c r="C804" s="9" t="n">
        <v>2475</v>
      </c>
      <c r="D804" s="8" t="s">
        <v>27</v>
      </c>
      <c r="E804" s="10"/>
      <c r="F804" s="8" t="str">
        <f aca="false">TEXT(A804,"MM-YYYY")</f>
        <v>03-2025</v>
      </c>
      <c r="G804" s="8"/>
      <c r="H804" s="8"/>
      <c r="I804" s="7"/>
      <c r="J804" s="8" t="str">
        <f aca="false">VLOOKUP(B804,Table3[#All],2,0)</f>
        <v>Sales</v>
      </c>
      <c r="K804" s="8" t="str">
        <f aca="false">TEXT(ROW(), "0000")</f>
        <v>0804</v>
      </c>
      <c r="L804" s="8"/>
    </row>
    <row r="805" customFormat="false" ht="15.75" hidden="false" customHeight="true" outlineLevel="0" collapsed="false">
      <c r="A805" s="13" t="n">
        <v>45728</v>
      </c>
      <c r="B805" s="8" t="s">
        <v>16</v>
      </c>
      <c r="C805" s="9" t="n">
        <v>2650</v>
      </c>
      <c r="D805" s="8" t="s">
        <v>33</v>
      </c>
      <c r="E805" s="10"/>
      <c r="F805" s="8" t="str">
        <f aca="false">TEXT(A805,"MM-YYYY")</f>
        <v>03-2025</v>
      </c>
      <c r="G805" s="8"/>
      <c r="H805" s="8"/>
      <c r="I805" s="7"/>
      <c r="J805" s="8" t="str">
        <f aca="false">VLOOKUP(B805,Table3[#All],2,0)</f>
        <v>Sales</v>
      </c>
      <c r="K805" s="8" t="str">
        <f aca="false">TEXT(ROW(), "0000")</f>
        <v>0805</v>
      </c>
      <c r="L805" s="8"/>
    </row>
    <row r="806" customFormat="false" ht="15.75" hidden="false" customHeight="true" outlineLevel="0" collapsed="false">
      <c r="A806" s="13" t="n">
        <v>45728</v>
      </c>
      <c r="B806" s="8" t="s">
        <v>16</v>
      </c>
      <c r="C806" s="9" t="n">
        <v>20190</v>
      </c>
      <c r="D806" s="8" t="s">
        <v>17</v>
      </c>
      <c r="E806" s="10"/>
      <c r="F806" s="8" t="str">
        <f aca="false">TEXT(A806,"MM-YYYY")</f>
        <v>03-2025</v>
      </c>
      <c r="G806" s="8"/>
      <c r="H806" s="8"/>
      <c r="I806" s="7"/>
      <c r="J806" s="8" t="str">
        <f aca="false">VLOOKUP(B806,Table3[#All],2,0)</f>
        <v>Sales</v>
      </c>
      <c r="K806" s="8" t="str">
        <f aca="false">TEXT(ROW(), "0000")</f>
        <v>0806</v>
      </c>
      <c r="L806" s="8"/>
    </row>
    <row r="807" customFormat="false" ht="15.75" hidden="false" customHeight="true" outlineLevel="0" collapsed="false">
      <c r="A807" s="13" t="n">
        <v>45728</v>
      </c>
      <c r="B807" s="8" t="s">
        <v>16</v>
      </c>
      <c r="C807" s="9" t="n">
        <v>9992</v>
      </c>
      <c r="D807" s="8" t="s">
        <v>24</v>
      </c>
      <c r="E807" s="10"/>
      <c r="F807" s="8" t="str">
        <f aca="false">TEXT(A807,"MM-YYYY")</f>
        <v>03-2025</v>
      </c>
      <c r="G807" s="8"/>
      <c r="H807" s="8"/>
      <c r="I807" s="7"/>
      <c r="J807" s="8" t="str">
        <f aca="false">VLOOKUP(B807,Table3[#All],2,0)</f>
        <v>Sales</v>
      </c>
      <c r="K807" s="8" t="str">
        <f aca="false">TEXT(ROW(), "0000")</f>
        <v>0807</v>
      </c>
      <c r="L807" s="8"/>
    </row>
    <row r="808" customFormat="false" ht="15.75" hidden="false" customHeight="true" outlineLevel="0" collapsed="false">
      <c r="A808" s="13" t="n">
        <v>45728</v>
      </c>
      <c r="B808" s="8" t="s">
        <v>34</v>
      </c>
      <c r="C808" s="9" t="n">
        <v>100</v>
      </c>
      <c r="D808" s="8" t="s">
        <v>45</v>
      </c>
      <c r="E808" s="10"/>
      <c r="F808" s="8" t="str">
        <f aca="false">TEXT(A808,"MM-YYYY")</f>
        <v>03-2025</v>
      </c>
      <c r="G808" s="8" t="s">
        <v>14</v>
      </c>
      <c r="H808" s="8" t="s">
        <v>15</v>
      </c>
      <c r="I808" s="7"/>
      <c r="J808" s="8" t="str">
        <f aca="false">VLOOKUP(B808,Table3[#All],2,0)</f>
        <v>Staff Expenses</v>
      </c>
      <c r="K808" s="8" t="str">
        <f aca="false">TEXT(ROW(), "0000")</f>
        <v>0808</v>
      </c>
      <c r="L808" s="8"/>
    </row>
    <row r="809" customFormat="false" ht="15.75" hidden="false" customHeight="true" outlineLevel="0" collapsed="false">
      <c r="A809" s="13" t="n">
        <v>45728</v>
      </c>
      <c r="B809" s="8" t="s">
        <v>44</v>
      </c>
      <c r="C809" s="9" t="n">
        <v>1500</v>
      </c>
      <c r="D809" s="8" t="s">
        <v>45</v>
      </c>
      <c r="E809" s="10" t="s">
        <v>208</v>
      </c>
      <c r="F809" s="8" t="str">
        <f aca="false">TEXT(A809,"MM-YYYY")</f>
        <v>03-2025</v>
      </c>
      <c r="G809" s="8" t="s">
        <v>14</v>
      </c>
      <c r="H809" s="8" t="s">
        <v>15</v>
      </c>
      <c r="I809" s="7"/>
      <c r="J809" s="8" t="str">
        <f aca="false">VLOOKUP(B809,Table3[#All],2,0)</f>
        <v>Salary</v>
      </c>
      <c r="K809" s="8" t="str">
        <f aca="false">TEXT(ROW(), "0000")</f>
        <v>0809</v>
      </c>
      <c r="L809" s="8"/>
    </row>
    <row r="810" customFormat="false" ht="15.75" hidden="false" customHeight="true" outlineLevel="0" collapsed="false">
      <c r="A810" s="13" t="n">
        <v>45728</v>
      </c>
      <c r="B810" s="8" t="s">
        <v>25</v>
      </c>
      <c r="C810" s="9" t="n">
        <v>60</v>
      </c>
      <c r="D810" s="8" t="s">
        <v>21</v>
      </c>
      <c r="E810" s="10"/>
      <c r="F810" s="8" t="str">
        <f aca="false">TEXT(A810,"MM-YYYY")</f>
        <v>03-2025</v>
      </c>
      <c r="G810" s="8" t="s">
        <v>14</v>
      </c>
      <c r="H810" s="8" t="s">
        <v>15</v>
      </c>
      <c r="I810" s="7"/>
      <c r="J810" s="8" t="str">
        <f aca="false">VLOOKUP(B810,Table3[#All],2,0)</f>
        <v>Inventory</v>
      </c>
      <c r="K810" s="8" t="str">
        <f aca="false">TEXT(ROW(), "0000")</f>
        <v>0810</v>
      </c>
      <c r="L810" s="8"/>
    </row>
    <row r="811" customFormat="false" ht="15.75" hidden="false" customHeight="true" outlineLevel="0" collapsed="false">
      <c r="A811" s="13" t="n">
        <v>45728</v>
      </c>
      <c r="B811" s="8" t="s">
        <v>37</v>
      </c>
      <c r="C811" s="9" t="n">
        <v>14</v>
      </c>
      <c r="D811" s="8" t="s">
        <v>21</v>
      </c>
      <c r="E811" s="10"/>
      <c r="F811" s="8" t="str">
        <f aca="false">TEXT(A811,"MM-YYYY")</f>
        <v>03-2025</v>
      </c>
      <c r="G811" s="8" t="s">
        <v>14</v>
      </c>
      <c r="H811" s="8" t="s">
        <v>15</v>
      </c>
      <c r="I811" s="7"/>
      <c r="J811" s="8" t="str">
        <f aca="false">VLOOKUP(B811,Table3[#All],2,0)</f>
        <v>Maintance</v>
      </c>
      <c r="K811" s="8" t="str">
        <f aca="false">TEXT(ROW(), "0000")</f>
        <v>0811</v>
      </c>
      <c r="L811" s="8"/>
    </row>
    <row r="812" customFormat="false" ht="15.75" hidden="false" customHeight="true" outlineLevel="0" collapsed="false">
      <c r="A812" s="13" t="n">
        <v>45728</v>
      </c>
      <c r="B812" s="8" t="s">
        <v>60</v>
      </c>
      <c r="C812" s="9" t="n">
        <v>210</v>
      </c>
      <c r="D812" s="8" t="s">
        <v>21</v>
      </c>
      <c r="E812" s="10"/>
      <c r="F812" s="8" t="str">
        <f aca="false">TEXT(A812,"MM-YYYY")</f>
        <v>03-2025</v>
      </c>
      <c r="G812" s="8" t="s">
        <v>14</v>
      </c>
      <c r="H812" s="8" t="s">
        <v>15</v>
      </c>
      <c r="I812" s="7"/>
      <c r="J812" s="8" t="str">
        <f aca="false">VLOOKUP(B812,Table3[#All],2,0)</f>
        <v>Inventory</v>
      </c>
      <c r="K812" s="8" t="str">
        <f aca="false">TEXT(ROW(), "0000")</f>
        <v>0812</v>
      </c>
      <c r="L812" s="8"/>
    </row>
    <row r="813" customFormat="false" ht="15.75" hidden="false" customHeight="true" outlineLevel="0" collapsed="false">
      <c r="A813" s="13" t="n">
        <v>45728</v>
      </c>
      <c r="B813" s="8" t="s">
        <v>29</v>
      </c>
      <c r="C813" s="9" t="n">
        <v>783</v>
      </c>
      <c r="D813" s="8" t="s">
        <v>13</v>
      </c>
      <c r="E813" s="10"/>
      <c r="F813" s="8" t="str">
        <f aca="false">TEXT(A813,"MM-YYYY")</f>
        <v>03-2025</v>
      </c>
      <c r="G813" s="8" t="s">
        <v>14</v>
      </c>
      <c r="H813" s="8" t="s">
        <v>15</v>
      </c>
      <c r="I813" s="7"/>
      <c r="J813" s="8" t="str">
        <f aca="false">VLOOKUP(B813,Table3[#All],2,0)</f>
        <v>Inventory</v>
      </c>
      <c r="K813" s="8" t="str">
        <f aca="false">TEXT(ROW(), "0000")</f>
        <v>0813</v>
      </c>
      <c r="L813" s="8"/>
    </row>
    <row r="814" customFormat="false" ht="15.75" hidden="false" customHeight="true" outlineLevel="0" collapsed="false">
      <c r="A814" s="13" t="n">
        <v>45729</v>
      </c>
      <c r="B814" s="8" t="s">
        <v>25</v>
      </c>
      <c r="C814" s="9" t="n">
        <v>1568</v>
      </c>
      <c r="D814" s="8" t="s">
        <v>13</v>
      </c>
      <c r="E814" s="10"/>
      <c r="F814" s="8" t="str">
        <f aca="false">TEXT(A814,"MM-YYYY")</f>
        <v>03-2025</v>
      </c>
      <c r="G814" s="8" t="s">
        <v>14</v>
      </c>
      <c r="H814" s="8" t="s">
        <v>15</v>
      </c>
      <c r="I814" s="7"/>
      <c r="J814" s="8" t="str">
        <f aca="false">VLOOKUP(B814,Table3[#All],2,0)</f>
        <v>Inventory</v>
      </c>
      <c r="K814" s="8" t="str">
        <f aca="false">TEXT(ROW(), "0000")</f>
        <v>0814</v>
      </c>
      <c r="L814" s="8"/>
    </row>
    <row r="815" customFormat="false" ht="15.75" hidden="false" customHeight="true" outlineLevel="0" collapsed="false">
      <c r="A815" s="13" t="n">
        <v>45729</v>
      </c>
      <c r="B815" s="8" t="s">
        <v>19</v>
      </c>
      <c r="C815" s="9" t="n">
        <v>10672</v>
      </c>
      <c r="D815" s="8" t="s">
        <v>13</v>
      </c>
      <c r="E815" s="10"/>
      <c r="F815" s="8" t="str">
        <f aca="false">TEXT(A815,"MM-YYYY")</f>
        <v>03-2025</v>
      </c>
      <c r="G815" s="8" t="s">
        <v>14</v>
      </c>
      <c r="H815" s="8" t="s">
        <v>15</v>
      </c>
      <c r="I815" s="7"/>
      <c r="J815" s="8" t="str">
        <f aca="false">VLOOKUP(B815,Table3[#All],2,0)</f>
        <v>Inventory</v>
      </c>
      <c r="K815" s="8" t="str">
        <f aca="false">TEXT(ROW(), "0000")</f>
        <v>0815</v>
      </c>
      <c r="L815" s="8"/>
    </row>
    <row r="816" customFormat="false" ht="15.75" hidden="false" customHeight="true" outlineLevel="0" collapsed="false">
      <c r="A816" s="13" t="n">
        <v>45729</v>
      </c>
      <c r="B816" s="8" t="s">
        <v>22</v>
      </c>
      <c r="C816" s="9" t="n">
        <v>2063</v>
      </c>
      <c r="D816" s="8" t="s">
        <v>13</v>
      </c>
      <c r="E816" s="10"/>
      <c r="F816" s="8" t="str">
        <f aca="false">TEXT(A816,"MM-YYYY")</f>
        <v>03-2025</v>
      </c>
      <c r="G816" s="8" t="s">
        <v>14</v>
      </c>
      <c r="H816" s="8" t="s">
        <v>15</v>
      </c>
      <c r="I816" s="7"/>
      <c r="J816" s="8" t="str">
        <f aca="false">VLOOKUP(B816,Table3[#All],2,0)</f>
        <v>Inventory</v>
      </c>
      <c r="K816" s="8" t="str">
        <f aca="false">TEXT(ROW(), "0000")</f>
        <v>0816</v>
      </c>
      <c r="L816" s="8"/>
    </row>
    <row r="817" customFormat="false" ht="15.75" hidden="false" customHeight="true" outlineLevel="0" collapsed="false">
      <c r="A817" s="13" t="n">
        <v>45729</v>
      </c>
      <c r="B817" s="8" t="s">
        <v>50</v>
      </c>
      <c r="C817" s="9" t="n">
        <v>12740</v>
      </c>
      <c r="D817" s="8" t="s">
        <v>13</v>
      </c>
      <c r="E817" s="10"/>
      <c r="F817" s="8" t="str">
        <f aca="false">TEXT(A817,"MM-YYYY")</f>
        <v>03-2025</v>
      </c>
      <c r="G817" s="8" t="s">
        <v>14</v>
      </c>
      <c r="H817" s="8" t="s">
        <v>15</v>
      </c>
      <c r="I817" s="7"/>
      <c r="J817" s="8" t="str">
        <f aca="false">VLOOKUP(B817,Table3[#All],2,0)</f>
        <v>Fixed Maintance</v>
      </c>
      <c r="K817" s="8" t="str">
        <f aca="false">TEXT(ROW(), "0000")</f>
        <v>0817</v>
      </c>
      <c r="L817" s="8"/>
    </row>
    <row r="818" customFormat="false" ht="15.75" hidden="false" customHeight="true" outlineLevel="0" collapsed="false">
      <c r="A818" s="13" t="n">
        <v>45729</v>
      </c>
      <c r="B818" s="8" t="s">
        <v>40</v>
      </c>
      <c r="C818" s="9" t="n">
        <v>3000</v>
      </c>
      <c r="D818" s="8" t="s">
        <v>45</v>
      </c>
      <c r="E818" s="10"/>
      <c r="F818" s="8" t="str">
        <f aca="false">TEXT(A818,"MM-YYYY")</f>
        <v>03-2025</v>
      </c>
      <c r="G818" s="8" t="s">
        <v>14</v>
      </c>
      <c r="H818" s="8" t="s">
        <v>15</v>
      </c>
      <c r="I818" s="7"/>
      <c r="J818" s="8" t="str">
        <f aca="false">VLOOKUP(B818,Table3[#All],2,0)</f>
        <v>Inventory</v>
      </c>
      <c r="K818" s="8" t="str">
        <f aca="false">TEXT(ROW(), "0000")</f>
        <v>0818</v>
      </c>
      <c r="L818" s="8"/>
    </row>
    <row r="819" customFormat="false" ht="15.75" hidden="false" customHeight="true" outlineLevel="0" collapsed="false">
      <c r="A819" s="13" t="n">
        <v>45729</v>
      </c>
      <c r="B819" s="8" t="s">
        <v>40</v>
      </c>
      <c r="C819" s="9" t="n">
        <v>2180</v>
      </c>
      <c r="D819" s="8" t="s">
        <v>13</v>
      </c>
      <c r="E819" s="10"/>
      <c r="F819" s="8" t="str">
        <f aca="false">TEXT(A819,"MM-YYYY")</f>
        <v>03-2025</v>
      </c>
      <c r="G819" s="8" t="s">
        <v>14</v>
      </c>
      <c r="H819" s="8" t="s">
        <v>15</v>
      </c>
      <c r="I819" s="7"/>
      <c r="J819" s="8" t="str">
        <f aca="false">VLOOKUP(B819,Table3[#All],2,0)</f>
        <v>Inventory</v>
      </c>
      <c r="K819" s="8" t="str">
        <f aca="false">TEXT(ROW(), "0000")</f>
        <v>0819</v>
      </c>
      <c r="L819" s="8"/>
    </row>
    <row r="820" customFormat="false" ht="15.75" hidden="false" customHeight="true" outlineLevel="0" collapsed="false">
      <c r="A820" s="13" t="n">
        <v>45729</v>
      </c>
      <c r="B820" s="8" t="s">
        <v>29</v>
      </c>
      <c r="C820" s="9" t="n">
        <v>970</v>
      </c>
      <c r="D820" s="8" t="s">
        <v>45</v>
      </c>
      <c r="E820" s="10" t="s">
        <v>78</v>
      </c>
      <c r="F820" s="8" t="str">
        <f aca="false">TEXT(A820,"MM-YYYY")</f>
        <v>03-2025</v>
      </c>
      <c r="G820" s="8" t="s">
        <v>14</v>
      </c>
      <c r="H820" s="8" t="s">
        <v>15</v>
      </c>
      <c r="I820" s="7"/>
      <c r="J820" s="8" t="str">
        <f aca="false">VLOOKUP(B820,Table3[#All],2,0)</f>
        <v>Inventory</v>
      </c>
      <c r="K820" s="8" t="str">
        <f aca="false">TEXT(ROW(), "0000")</f>
        <v>0820</v>
      </c>
      <c r="L820" s="8"/>
    </row>
    <row r="821" customFormat="false" ht="15.75" hidden="false" customHeight="true" outlineLevel="0" collapsed="false">
      <c r="A821" s="13" t="n">
        <v>45729</v>
      </c>
      <c r="B821" s="8" t="s">
        <v>29</v>
      </c>
      <c r="C821" s="9" t="n">
        <v>200</v>
      </c>
      <c r="D821" s="8" t="s">
        <v>45</v>
      </c>
      <c r="E821" s="10" t="s">
        <v>209</v>
      </c>
      <c r="F821" s="8" t="str">
        <f aca="false">TEXT(A821,"MM-YYYY")</f>
        <v>03-2025</v>
      </c>
      <c r="G821" s="8" t="s">
        <v>14</v>
      </c>
      <c r="H821" s="8" t="s">
        <v>15</v>
      </c>
      <c r="I821" s="7"/>
      <c r="J821" s="8" t="str">
        <f aca="false">VLOOKUP(B821,Table3[#All],2,0)</f>
        <v>Inventory</v>
      </c>
      <c r="K821" s="8" t="str">
        <f aca="false">TEXT(ROW(), "0000")</f>
        <v>0821</v>
      </c>
      <c r="L821" s="8"/>
    </row>
    <row r="822" customFormat="false" ht="15.75" hidden="false" customHeight="true" outlineLevel="0" collapsed="false">
      <c r="A822" s="13" t="n">
        <v>45729</v>
      </c>
      <c r="B822" s="8" t="s">
        <v>16</v>
      </c>
      <c r="C822" s="9" t="n">
        <v>1340</v>
      </c>
      <c r="D822" s="8" t="s">
        <v>21</v>
      </c>
      <c r="E822" s="10"/>
      <c r="F822" s="8" t="str">
        <f aca="false">TEXT(A822,"MM-YYYY")</f>
        <v>03-2025</v>
      </c>
      <c r="G822" s="8"/>
      <c r="H822" s="8"/>
      <c r="I822" s="7"/>
      <c r="J822" s="8" t="str">
        <f aca="false">VLOOKUP(B822,Table3[#All],2,0)</f>
        <v>Sales</v>
      </c>
      <c r="K822" s="8" t="str">
        <f aca="false">TEXT(ROW(), "0000")</f>
        <v>0822</v>
      </c>
      <c r="L822" s="8"/>
    </row>
    <row r="823" customFormat="false" ht="15.75" hidden="false" customHeight="true" outlineLevel="0" collapsed="false">
      <c r="A823" s="13" t="n">
        <v>45729</v>
      </c>
      <c r="B823" s="8" t="s">
        <v>16</v>
      </c>
      <c r="C823" s="9" t="n">
        <v>475</v>
      </c>
      <c r="D823" s="8" t="s">
        <v>27</v>
      </c>
      <c r="E823" s="10"/>
      <c r="F823" s="8" t="str">
        <f aca="false">TEXT(A823,"MM-YYYY")</f>
        <v>03-2025</v>
      </c>
      <c r="G823" s="8"/>
      <c r="H823" s="8"/>
      <c r="I823" s="7"/>
      <c r="J823" s="8" t="str">
        <f aca="false">VLOOKUP(B823,Table3[#All],2,0)</f>
        <v>Sales</v>
      </c>
      <c r="K823" s="8" t="str">
        <f aca="false">TEXT(ROW(), "0000")</f>
        <v>0823</v>
      </c>
      <c r="L823" s="8"/>
    </row>
    <row r="824" customFormat="false" ht="15.75" hidden="false" customHeight="true" outlineLevel="0" collapsed="false">
      <c r="A824" s="13" t="n">
        <v>45729</v>
      </c>
      <c r="B824" s="8" t="s">
        <v>16</v>
      </c>
      <c r="C824" s="9" t="n">
        <v>12539</v>
      </c>
      <c r="D824" s="8" t="s">
        <v>17</v>
      </c>
      <c r="E824" s="10"/>
      <c r="F824" s="8" t="str">
        <f aca="false">TEXT(A824,"MM-YYYY")</f>
        <v>03-2025</v>
      </c>
      <c r="G824" s="8"/>
      <c r="H824" s="8"/>
      <c r="I824" s="7"/>
      <c r="J824" s="8" t="str">
        <f aca="false">VLOOKUP(B824,Table3[#All],2,0)</f>
        <v>Sales</v>
      </c>
      <c r="K824" s="8" t="str">
        <f aca="false">TEXT(ROW(), "0000")</f>
        <v>0824</v>
      </c>
      <c r="L824" s="8"/>
    </row>
    <row r="825" customFormat="false" ht="15.75" hidden="false" customHeight="true" outlineLevel="0" collapsed="false">
      <c r="A825" s="13" t="n">
        <v>45729</v>
      </c>
      <c r="B825" s="8" t="s">
        <v>16</v>
      </c>
      <c r="C825" s="9" t="n">
        <v>285</v>
      </c>
      <c r="D825" s="8" t="s">
        <v>59</v>
      </c>
      <c r="E825" s="10"/>
      <c r="F825" s="8" t="str">
        <f aca="false">TEXT(A825,"MM-YYYY")</f>
        <v>03-2025</v>
      </c>
      <c r="G825" s="8"/>
      <c r="H825" s="8"/>
      <c r="I825" s="7"/>
      <c r="J825" s="8" t="str">
        <f aca="false">VLOOKUP(B825,Table3[#All],2,0)</f>
        <v>Sales</v>
      </c>
      <c r="K825" s="8" t="str">
        <f aca="false">TEXT(ROW(), "0000")</f>
        <v>0825</v>
      </c>
      <c r="L825" s="8"/>
    </row>
    <row r="826" customFormat="false" ht="15.75" hidden="false" customHeight="true" outlineLevel="0" collapsed="false">
      <c r="A826" s="13" t="n">
        <v>45729</v>
      </c>
      <c r="B826" s="8" t="s">
        <v>16</v>
      </c>
      <c r="C826" s="9" t="n">
        <v>5898</v>
      </c>
      <c r="D826" s="8" t="s">
        <v>24</v>
      </c>
      <c r="E826" s="10"/>
      <c r="F826" s="8" t="str">
        <f aca="false">TEXT(A826,"MM-YYYY")</f>
        <v>03-2025</v>
      </c>
      <c r="G826" s="8"/>
      <c r="H826" s="8"/>
      <c r="I826" s="7"/>
      <c r="J826" s="8" t="str">
        <f aca="false">VLOOKUP(B826,Table3[#All],2,0)</f>
        <v>Sales</v>
      </c>
      <c r="K826" s="8" t="str">
        <f aca="false">TEXT(ROW(), "0000")</f>
        <v>0826</v>
      </c>
      <c r="L826" s="8"/>
    </row>
    <row r="827" customFormat="false" ht="15.75" hidden="false" customHeight="true" outlineLevel="0" collapsed="false">
      <c r="A827" s="13" t="n">
        <v>45729</v>
      </c>
      <c r="B827" s="8" t="s">
        <v>37</v>
      </c>
      <c r="C827" s="9" t="n">
        <v>60</v>
      </c>
      <c r="D827" s="8" t="s">
        <v>21</v>
      </c>
      <c r="E827" s="10"/>
      <c r="F827" s="8" t="str">
        <f aca="false">TEXT(A827,"MM-YYYY")</f>
        <v>03-2025</v>
      </c>
      <c r="G827" s="8" t="s">
        <v>14</v>
      </c>
      <c r="H827" s="8" t="s">
        <v>15</v>
      </c>
      <c r="I827" s="7"/>
      <c r="J827" s="8" t="str">
        <f aca="false">VLOOKUP(B827,Table3[#All],2,0)</f>
        <v>Maintance</v>
      </c>
      <c r="K827" s="8" t="str">
        <f aca="false">TEXT(ROW(), "0000")</f>
        <v>0827</v>
      </c>
      <c r="L827" s="8"/>
    </row>
    <row r="828" customFormat="false" ht="15.75" hidden="false" customHeight="true" outlineLevel="0" collapsed="false">
      <c r="A828" s="13" t="n">
        <v>45729</v>
      </c>
      <c r="B828" s="8" t="s">
        <v>34</v>
      </c>
      <c r="C828" s="9" t="n">
        <v>195</v>
      </c>
      <c r="D828" s="8" t="s">
        <v>45</v>
      </c>
      <c r="E828" s="10"/>
      <c r="F828" s="8" t="str">
        <f aca="false">TEXT(A828,"MM-YYYY")</f>
        <v>03-2025</v>
      </c>
      <c r="G828" s="8" t="s">
        <v>14</v>
      </c>
      <c r="H828" s="8" t="s">
        <v>15</v>
      </c>
      <c r="I828" s="7"/>
      <c r="J828" s="8" t="str">
        <f aca="false">VLOOKUP(B828,Table3[#All],2,0)</f>
        <v>Staff Expenses</v>
      </c>
      <c r="K828" s="8" t="str">
        <f aca="false">TEXT(ROW(), "0000")</f>
        <v>0828</v>
      </c>
      <c r="L828" s="8"/>
    </row>
    <row r="829" customFormat="false" ht="15.75" hidden="false" customHeight="true" outlineLevel="0" collapsed="false">
      <c r="A829" s="13" t="n">
        <v>45729</v>
      </c>
      <c r="B829" s="8" t="s">
        <v>31</v>
      </c>
      <c r="C829" s="9" t="n">
        <v>585</v>
      </c>
      <c r="D829" s="8" t="s">
        <v>45</v>
      </c>
      <c r="E829" s="10"/>
      <c r="F829" s="8" t="str">
        <f aca="false">TEXT(A829,"MM-YYYY")</f>
        <v>03-2025</v>
      </c>
      <c r="G829" s="8" t="s">
        <v>14</v>
      </c>
      <c r="H829" s="8" t="s">
        <v>15</v>
      </c>
      <c r="I829" s="7"/>
      <c r="J829" s="8" t="str">
        <f aca="false">VLOOKUP(B829,Table3[#All],2,0)</f>
        <v>Bike Maintance</v>
      </c>
      <c r="K829" s="8" t="str">
        <f aca="false">TEXT(ROW(), "0000")</f>
        <v>0829</v>
      </c>
      <c r="L829" s="8"/>
    </row>
    <row r="830" customFormat="false" ht="15.75" hidden="false" customHeight="true" outlineLevel="0" collapsed="false">
      <c r="A830" s="13" t="n">
        <v>45729</v>
      </c>
      <c r="B830" s="8" t="s">
        <v>16</v>
      </c>
      <c r="C830" s="9" t="n">
        <v>20</v>
      </c>
      <c r="D830" s="8" t="s">
        <v>21</v>
      </c>
      <c r="E830" s="10" t="s">
        <v>210</v>
      </c>
      <c r="F830" s="8" t="str">
        <f aca="false">TEXT(A830,"MM-YYYY")</f>
        <v>03-2025</v>
      </c>
      <c r="G830" s="8"/>
      <c r="H830" s="8"/>
      <c r="I830" s="7"/>
      <c r="J830" s="8" t="str">
        <f aca="false">VLOOKUP(B830,Table3[#All],2,0)</f>
        <v>Sales</v>
      </c>
      <c r="K830" s="8" t="str">
        <f aca="false">TEXT(ROW(), "0000")</f>
        <v>0830</v>
      </c>
      <c r="L830" s="8"/>
    </row>
    <row r="831" customFormat="false" ht="15.75" hidden="false" customHeight="true" outlineLevel="0" collapsed="false">
      <c r="A831" s="13" t="n">
        <v>45729</v>
      </c>
      <c r="B831" s="8" t="s">
        <v>29</v>
      </c>
      <c r="C831" s="9" t="n">
        <v>819</v>
      </c>
      <c r="D831" s="8" t="s">
        <v>13</v>
      </c>
      <c r="E831" s="10"/>
      <c r="F831" s="8" t="str">
        <f aca="false">TEXT(A831,"MM-YYYY")</f>
        <v>03-2025</v>
      </c>
      <c r="G831" s="8" t="s">
        <v>14</v>
      </c>
      <c r="H831" s="8" t="s">
        <v>15</v>
      </c>
      <c r="I831" s="7"/>
      <c r="J831" s="8" t="str">
        <f aca="false">VLOOKUP(B831,Table3[#All],2,0)</f>
        <v>Inventory</v>
      </c>
      <c r="K831" s="8" t="str">
        <f aca="false">TEXT(ROW(), "0000")</f>
        <v>0831</v>
      </c>
      <c r="L831" s="8"/>
    </row>
    <row r="832" customFormat="false" ht="15.75" hidden="false" customHeight="true" outlineLevel="0" collapsed="false">
      <c r="A832" s="13" t="n">
        <v>45730</v>
      </c>
      <c r="B832" s="8" t="s">
        <v>19</v>
      </c>
      <c r="C832" s="9" t="n">
        <v>1455</v>
      </c>
      <c r="D832" s="8" t="s">
        <v>13</v>
      </c>
      <c r="E832" s="10"/>
      <c r="F832" s="8" t="str">
        <f aca="false">TEXT(A832,"MM-YYYY")</f>
        <v>03-2025</v>
      </c>
      <c r="G832" s="8" t="s">
        <v>14</v>
      </c>
      <c r="H832" s="8" t="s">
        <v>15</v>
      </c>
      <c r="I832" s="7"/>
      <c r="J832" s="8" t="str">
        <f aca="false">VLOOKUP(B832,Table3[#All],2,0)</f>
        <v>Inventory</v>
      </c>
      <c r="K832" s="8" t="str">
        <f aca="false">TEXT(ROW(), "0000")</f>
        <v>0832</v>
      </c>
      <c r="L832" s="8"/>
    </row>
    <row r="833" customFormat="false" ht="15.75" hidden="false" customHeight="true" outlineLevel="0" collapsed="false">
      <c r="A833" s="13" t="n">
        <v>45730</v>
      </c>
      <c r="B833" s="8" t="s">
        <v>47</v>
      </c>
      <c r="C833" s="9" t="n">
        <v>840</v>
      </c>
      <c r="D833" s="8" t="s">
        <v>13</v>
      </c>
      <c r="E833" s="10"/>
      <c r="F833" s="8" t="str">
        <f aca="false">TEXT(A833,"MM-YYYY")</f>
        <v>03-2025</v>
      </c>
      <c r="G833" s="8" t="s">
        <v>14</v>
      </c>
      <c r="H833" s="8" t="s">
        <v>15</v>
      </c>
      <c r="I833" s="7"/>
      <c r="J833" s="8" t="str">
        <f aca="false">VLOOKUP(B833,Table3[#All],2,0)</f>
        <v>Inventory</v>
      </c>
      <c r="K833" s="8" t="str">
        <f aca="false">TEXT(ROW(), "0000")</f>
        <v>0833</v>
      </c>
      <c r="L833" s="8"/>
    </row>
    <row r="834" customFormat="false" ht="15.75" hidden="false" customHeight="true" outlineLevel="0" collapsed="false">
      <c r="A834" s="13" t="n">
        <v>45730</v>
      </c>
      <c r="B834" s="8" t="s">
        <v>22</v>
      </c>
      <c r="C834" s="9" t="n">
        <v>4363</v>
      </c>
      <c r="D834" s="8" t="s">
        <v>13</v>
      </c>
      <c r="E834" s="10"/>
      <c r="F834" s="8" t="str">
        <f aca="false">TEXT(A834,"MM-YYYY")</f>
        <v>03-2025</v>
      </c>
      <c r="G834" s="8" t="s">
        <v>14</v>
      </c>
      <c r="H834" s="8" t="s">
        <v>15</v>
      </c>
      <c r="I834" s="7"/>
      <c r="J834" s="8" t="str">
        <f aca="false">VLOOKUP(B834,Table3[#All],2,0)</f>
        <v>Inventory</v>
      </c>
      <c r="K834" s="8" t="str">
        <f aca="false">TEXT(ROW(), "0000")</f>
        <v>0834</v>
      </c>
      <c r="L834" s="8"/>
    </row>
    <row r="835" customFormat="false" ht="15.75" hidden="false" customHeight="true" outlineLevel="0" collapsed="false">
      <c r="A835" s="13" t="n">
        <v>45730</v>
      </c>
      <c r="B835" s="8" t="s">
        <v>28</v>
      </c>
      <c r="C835" s="9" t="n">
        <v>1068</v>
      </c>
      <c r="D835" s="8" t="s">
        <v>21</v>
      </c>
      <c r="E835" s="10"/>
      <c r="F835" s="8" t="str">
        <f aca="false">TEXT(A835,"MM-YYYY")</f>
        <v>03-2025</v>
      </c>
      <c r="G835" s="8" t="s">
        <v>14</v>
      </c>
      <c r="H835" s="8" t="s">
        <v>15</v>
      </c>
      <c r="I835" s="7"/>
      <c r="J835" s="8" t="str">
        <f aca="false">VLOOKUP(B835,Table3[#All],2,0)</f>
        <v>Grocery</v>
      </c>
      <c r="K835" s="8" t="str">
        <f aca="false">TEXT(ROW(), "0000")</f>
        <v>0835</v>
      </c>
      <c r="L835" s="8"/>
    </row>
    <row r="836" customFormat="false" ht="15.75" hidden="false" customHeight="true" outlineLevel="0" collapsed="false">
      <c r="A836" s="13" t="n">
        <v>45730</v>
      </c>
      <c r="B836" s="8" t="s">
        <v>53</v>
      </c>
      <c r="C836" s="9" t="n">
        <v>1200</v>
      </c>
      <c r="D836" s="8" t="s">
        <v>21</v>
      </c>
      <c r="E836" s="10"/>
      <c r="F836" s="8" t="str">
        <f aca="false">TEXT(A836,"MM-YYYY")</f>
        <v>03-2025</v>
      </c>
      <c r="G836" s="8" t="s">
        <v>14</v>
      </c>
      <c r="H836" s="8" t="s">
        <v>15</v>
      </c>
      <c r="I836" s="7"/>
      <c r="J836" s="8" t="str">
        <f aca="false">VLOOKUP(B836,Table3[#All],2,0)</f>
        <v>Grocery</v>
      </c>
      <c r="K836" s="8" t="str">
        <f aca="false">TEXT(ROW(), "0000")</f>
        <v>0836</v>
      </c>
      <c r="L836" s="8"/>
    </row>
    <row r="837" customFormat="false" ht="15.75" hidden="false" customHeight="true" outlineLevel="0" collapsed="false">
      <c r="A837" s="13" t="n">
        <v>45730</v>
      </c>
      <c r="B837" s="8" t="s">
        <v>25</v>
      </c>
      <c r="C837" s="9" t="n">
        <v>1498</v>
      </c>
      <c r="D837" s="8" t="s">
        <v>13</v>
      </c>
      <c r="E837" s="10"/>
      <c r="F837" s="8" t="str">
        <f aca="false">TEXT(A837,"MM-YYYY")</f>
        <v>03-2025</v>
      </c>
      <c r="G837" s="8" t="s">
        <v>14</v>
      </c>
      <c r="H837" s="8" t="s">
        <v>15</v>
      </c>
      <c r="I837" s="7"/>
      <c r="J837" s="8" t="str">
        <f aca="false">VLOOKUP(B837,Table3[#All],2,0)</f>
        <v>Inventory</v>
      </c>
      <c r="K837" s="8" t="str">
        <f aca="false">TEXT(ROW(), "0000")</f>
        <v>0837</v>
      </c>
      <c r="L837" s="8"/>
    </row>
    <row r="838" customFormat="false" ht="15.75" hidden="false" customHeight="true" outlineLevel="0" collapsed="false">
      <c r="A838" s="13" t="n">
        <v>45730</v>
      </c>
      <c r="B838" s="8" t="s">
        <v>44</v>
      </c>
      <c r="C838" s="9" t="n">
        <v>500</v>
      </c>
      <c r="D838" s="8" t="s">
        <v>45</v>
      </c>
      <c r="E838" s="10" t="s">
        <v>204</v>
      </c>
      <c r="F838" s="8" t="str">
        <f aca="false">TEXT(A838,"MM-YYYY")</f>
        <v>03-2025</v>
      </c>
      <c r="G838" s="8" t="s">
        <v>14</v>
      </c>
      <c r="H838" s="8" t="s">
        <v>15</v>
      </c>
      <c r="I838" s="7"/>
      <c r="J838" s="8" t="str">
        <f aca="false">VLOOKUP(B838,Table3[#All],2,0)</f>
        <v>Salary</v>
      </c>
      <c r="K838" s="8" t="str">
        <f aca="false">TEXT(ROW(), "0000")</f>
        <v>0838</v>
      </c>
      <c r="L838" s="8"/>
    </row>
    <row r="839" customFormat="false" ht="15.75" hidden="false" customHeight="true" outlineLevel="0" collapsed="false">
      <c r="A839" s="13" t="n">
        <v>45730</v>
      </c>
      <c r="B839" s="8" t="s">
        <v>40</v>
      </c>
      <c r="C839" s="9" t="n">
        <v>4840</v>
      </c>
      <c r="D839" s="8" t="s">
        <v>13</v>
      </c>
      <c r="E839" s="10"/>
      <c r="F839" s="8" t="str">
        <f aca="false">TEXT(A839,"MM-YYYY")</f>
        <v>03-2025</v>
      </c>
      <c r="G839" s="8" t="s">
        <v>14</v>
      </c>
      <c r="H839" s="8" t="s">
        <v>15</v>
      </c>
      <c r="I839" s="7"/>
      <c r="J839" s="8" t="str">
        <f aca="false">VLOOKUP(B839,Table3[#All],2,0)</f>
        <v>Inventory</v>
      </c>
      <c r="K839" s="8" t="str">
        <f aca="false">TEXT(ROW(), "0000")</f>
        <v>0839</v>
      </c>
      <c r="L839" s="8"/>
    </row>
    <row r="840" customFormat="false" ht="15.75" hidden="false" customHeight="true" outlineLevel="0" collapsed="false">
      <c r="A840" s="13" t="n">
        <v>45730</v>
      </c>
      <c r="B840" s="8" t="s">
        <v>31</v>
      </c>
      <c r="C840" s="9" t="n">
        <v>400</v>
      </c>
      <c r="D840" s="8" t="s">
        <v>45</v>
      </c>
      <c r="E840" s="10"/>
      <c r="F840" s="8" t="str">
        <f aca="false">TEXT(A840,"MM-YYYY")</f>
        <v>03-2025</v>
      </c>
      <c r="G840" s="8" t="s">
        <v>14</v>
      </c>
      <c r="H840" s="8" t="s">
        <v>15</v>
      </c>
      <c r="I840" s="7"/>
      <c r="J840" s="8" t="str">
        <f aca="false">VLOOKUP(B840,Table3[#All],2,0)</f>
        <v>Bike Maintance</v>
      </c>
      <c r="K840" s="8" t="str">
        <f aca="false">TEXT(ROW(), "0000")</f>
        <v>0840</v>
      </c>
      <c r="L840" s="8"/>
    </row>
    <row r="841" customFormat="false" ht="15.75" hidden="false" customHeight="true" outlineLevel="0" collapsed="false">
      <c r="A841" s="13" t="n">
        <v>45730</v>
      </c>
      <c r="B841" s="8" t="s">
        <v>29</v>
      </c>
      <c r="C841" s="9" t="n">
        <v>331</v>
      </c>
      <c r="D841" s="8" t="s">
        <v>13</v>
      </c>
      <c r="E841" s="10"/>
      <c r="F841" s="8" t="str">
        <f aca="false">TEXT(A841,"MM-YYYY")</f>
        <v>03-2025</v>
      </c>
      <c r="G841" s="8" t="s">
        <v>14</v>
      </c>
      <c r="H841" s="8" t="s">
        <v>15</v>
      </c>
      <c r="I841" s="7"/>
      <c r="J841" s="8" t="str">
        <f aca="false">VLOOKUP(B841,Table3[#All],2,0)</f>
        <v>Inventory</v>
      </c>
      <c r="K841" s="8" t="str">
        <f aca="false">TEXT(ROW(), "0000")</f>
        <v>0841</v>
      </c>
      <c r="L841" s="8"/>
    </row>
    <row r="842" customFormat="false" ht="15.75" hidden="false" customHeight="true" outlineLevel="0" collapsed="false">
      <c r="A842" s="13" t="n">
        <v>45730</v>
      </c>
      <c r="B842" s="8" t="s">
        <v>16</v>
      </c>
      <c r="C842" s="9" t="n">
        <v>5235</v>
      </c>
      <c r="D842" s="8" t="s">
        <v>21</v>
      </c>
      <c r="E842" s="10"/>
      <c r="F842" s="8" t="str">
        <f aca="false">TEXT(A842,"MM-YYYY")</f>
        <v>03-2025</v>
      </c>
      <c r="G842" s="8"/>
      <c r="H842" s="8"/>
      <c r="I842" s="7"/>
      <c r="J842" s="8" t="str">
        <f aca="false">VLOOKUP(B842,Table3[#All],2,0)</f>
        <v>Sales</v>
      </c>
      <c r="K842" s="8" t="str">
        <f aca="false">TEXT(ROW(), "0000")</f>
        <v>0842</v>
      </c>
      <c r="L842" s="8"/>
    </row>
    <row r="843" customFormat="false" ht="15.75" hidden="false" customHeight="true" outlineLevel="0" collapsed="false">
      <c r="A843" s="13" t="n">
        <v>45730</v>
      </c>
      <c r="B843" s="8" t="s">
        <v>16</v>
      </c>
      <c r="C843" s="9" t="n">
        <v>1088</v>
      </c>
      <c r="D843" s="8" t="s">
        <v>27</v>
      </c>
      <c r="E843" s="10"/>
      <c r="F843" s="8" t="str">
        <f aca="false">TEXT(A843,"MM-YYYY")</f>
        <v>03-2025</v>
      </c>
      <c r="G843" s="8"/>
      <c r="H843" s="8"/>
      <c r="I843" s="7"/>
      <c r="J843" s="8" t="str">
        <f aca="false">VLOOKUP(B843,Table3[#All],2,0)</f>
        <v>Sales</v>
      </c>
      <c r="K843" s="8" t="str">
        <f aca="false">TEXT(ROW(), "0000")</f>
        <v>0843</v>
      </c>
      <c r="L843" s="8"/>
    </row>
    <row r="844" customFormat="false" ht="15.75" hidden="false" customHeight="true" outlineLevel="0" collapsed="false">
      <c r="A844" s="13" t="n">
        <v>45730</v>
      </c>
      <c r="B844" s="8" t="s">
        <v>16</v>
      </c>
      <c r="C844" s="9" t="n">
        <v>775</v>
      </c>
      <c r="D844" s="8" t="s">
        <v>33</v>
      </c>
      <c r="E844" s="10"/>
      <c r="F844" s="8" t="str">
        <f aca="false">TEXT(A844,"MM-YYYY")</f>
        <v>03-2025</v>
      </c>
      <c r="G844" s="8"/>
      <c r="H844" s="8"/>
      <c r="I844" s="7"/>
      <c r="J844" s="8" t="str">
        <f aca="false">VLOOKUP(B844,Table3[#All],2,0)</f>
        <v>Sales</v>
      </c>
      <c r="K844" s="8" t="str">
        <f aca="false">TEXT(ROW(), "0000")</f>
        <v>0844</v>
      </c>
      <c r="L844" s="8"/>
    </row>
    <row r="845" customFormat="false" ht="15.75" hidden="false" customHeight="true" outlineLevel="0" collapsed="false">
      <c r="A845" s="13" t="n">
        <v>45730</v>
      </c>
      <c r="B845" s="8" t="s">
        <v>16</v>
      </c>
      <c r="C845" s="9" t="n">
        <v>34924</v>
      </c>
      <c r="D845" s="8" t="s">
        <v>17</v>
      </c>
      <c r="E845" s="10"/>
      <c r="F845" s="8" t="str">
        <f aca="false">TEXT(A845,"MM-YYYY")</f>
        <v>03-2025</v>
      </c>
      <c r="G845" s="8"/>
      <c r="H845" s="8"/>
      <c r="I845" s="7"/>
      <c r="J845" s="8" t="str">
        <f aca="false">VLOOKUP(B845,Table3[#All],2,0)</f>
        <v>Sales</v>
      </c>
      <c r="K845" s="8" t="str">
        <f aca="false">TEXT(ROW(), "0000")</f>
        <v>0845</v>
      </c>
      <c r="L845" s="8"/>
    </row>
    <row r="846" customFormat="false" ht="15.75" hidden="false" customHeight="true" outlineLevel="0" collapsed="false">
      <c r="A846" s="13" t="n">
        <v>45730</v>
      </c>
      <c r="B846" s="8" t="s">
        <v>16</v>
      </c>
      <c r="C846" s="9" t="n">
        <v>130</v>
      </c>
      <c r="D846" s="8" t="s">
        <v>59</v>
      </c>
      <c r="E846" s="10"/>
      <c r="F846" s="8" t="str">
        <f aca="false">TEXT(A846,"MM-YYYY")</f>
        <v>03-2025</v>
      </c>
      <c r="G846" s="8"/>
      <c r="H846" s="8"/>
      <c r="I846" s="7"/>
      <c r="J846" s="8" t="str">
        <f aca="false">VLOOKUP(B846,Table3[#All],2,0)</f>
        <v>Sales</v>
      </c>
      <c r="K846" s="8" t="str">
        <f aca="false">TEXT(ROW(), "0000")</f>
        <v>0846</v>
      </c>
      <c r="L846" s="8"/>
    </row>
    <row r="847" customFormat="false" ht="15.75" hidden="false" customHeight="true" outlineLevel="0" collapsed="false">
      <c r="A847" s="13" t="n">
        <v>45730</v>
      </c>
      <c r="B847" s="8" t="s">
        <v>16</v>
      </c>
      <c r="C847" s="9" t="n">
        <v>4039</v>
      </c>
      <c r="D847" s="8" t="s">
        <v>24</v>
      </c>
      <c r="E847" s="10"/>
      <c r="F847" s="8" t="str">
        <f aca="false">TEXT(A847,"MM-YYYY")</f>
        <v>03-2025</v>
      </c>
      <c r="G847" s="8"/>
      <c r="H847" s="8"/>
      <c r="I847" s="7"/>
      <c r="J847" s="8" t="str">
        <f aca="false">VLOOKUP(B847,Table3[#All],2,0)</f>
        <v>Sales</v>
      </c>
      <c r="K847" s="8" t="str">
        <f aca="false">TEXT(ROW(), "0000")</f>
        <v>0847</v>
      </c>
      <c r="L847" s="8"/>
    </row>
    <row r="848" customFormat="false" ht="15.75" hidden="false" customHeight="true" outlineLevel="0" collapsed="false">
      <c r="A848" s="13" t="n">
        <v>45730</v>
      </c>
      <c r="B848" s="8" t="s">
        <v>44</v>
      </c>
      <c r="C848" s="9" t="n">
        <v>1000</v>
      </c>
      <c r="D848" s="8" t="s">
        <v>21</v>
      </c>
      <c r="E848" s="10" t="s">
        <v>211</v>
      </c>
      <c r="F848" s="8" t="str">
        <f aca="false">TEXT(A848,"MM-YYYY")</f>
        <v>03-2025</v>
      </c>
      <c r="G848" s="8" t="s">
        <v>14</v>
      </c>
      <c r="H848" s="8" t="s">
        <v>15</v>
      </c>
      <c r="I848" s="7"/>
      <c r="J848" s="8" t="str">
        <f aca="false">VLOOKUP(B848,Table3[#All],2,0)</f>
        <v>Salary</v>
      </c>
      <c r="K848" s="8" t="str">
        <f aca="false">TEXT(ROW(), "0000")</f>
        <v>0848</v>
      </c>
      <c r="L848" s="8"/>
    </row>
    <row r="849" customFormat="false" ht="15.75" hidden="false" customHeight="true" outlineLevel="0" collapsed="false">
      <c r="A849" s="13" t="n">
        <v>45730</v>
      </c>
      <c r="B849" s="8" t="s">
        <v>44</v>
      </c>
      <c r="C849" s="9" t="n">
        <v>500</v>
      </c>
      <c r="D849" s="8" t="s">
        <v>21</v>
      </c>
      <c r="E849" s="10" t="s">
        <v>212</v>
      </c>
      <c r="F849" s="8" t="str">
        <f aca="false">TEXT(A849,"MM-YYYY")</f>
        <v>03-2025</v>
      </c>
      <c r="G849" s="8" t="s">
        <v>14</v>
      </c>
      <c r="H849" s="8" t="s">
        <v>15</v>
      </c>
      <c r="I849" s="7"/>
      <c r="J849" s="8" t="str">
        <f aca="false">VLOOKUP(B849,Table3[#All],2,0)</f>
        <v>Salary</v>
      </c>
      <c r="K849" s="8" t="str">
        <f aca="false">TEXT(ROW(), "0000")</f>
        <v>0849</v>
      </c>
      <c r="L849" s="8"/>
    </row>
    <row r="850" customFormat="false" ht="15.75" hidden="false" customHeight="true" outlineLevel="0" collapsed="false">
      <c r="A850" s="13" t="n">
        <v>45730</v>
      </c>
      <c r="B850" s="8" t="s">
        <v>34</v>
      </c>
      <c r="C850" s="9" t="n">
        <v>150</v>
      </c>
      <c r="D850" s="8" t="s">
        <v>45</v>
      </c>
      <c r="E850" s="10"/>
      <c r="F850" s="8" t="str">
        <f aca="false">TEXT(A850,"MM-YYYY")</f>
        <v>03-2025</v>
      </c>
      <c r="G850" s="8" t="s">
        <v>14</v>
      </c>
      <c r="H850" s="8" t="s">
        <v>15</v>
      </c>
      <c r="I850" s="7"/>
      <c r="J850" s="8" t="str">
        <f aca="false">VLOOKUP(B850,Table3[#All],2,0)</f>
        <v>Staff Expenses</v>
      </c>
      <c r="K850" s="8" t="str">
        <f aca="false">TEXT(ROW(), "0000")</f>
        <v>0850</v>
      </c>
      <c r="L850" s="8"/>
    </row>
    <row r="851" customFormat="false" ht="15.75" hidden="false" customHeight="true" outlineLevel="0" collapsed="false">
      <c r="A851" s="13" t="n">
        <v>45730</v>
      </c>
      <c r="B851" s="8" t="s">
        <v>37</v>
      </c>
      <c r="C851" s="9" t="n">
        <v>17</v>
      </c>
      <c r="D851" s="8" t="s">
        <v>21</v>
      </c>
      <c r="E851" s="10"/>
      <c r="F851" s="8" t="str">
        <f aca="false">TEXT(A851,"MM-YYYY")</f>
        <v>03-2025</v>
      </c>
      <c r="G851" s="8" t="s">
        <v>14</v>
      </c>
      <c r="H851" s="8" t="s">
        <v>15</v>
      </c>
      <c r="I851" s="7"/>
      <c r="J851" s="8" t="str">
        <f aca="false">VLOOKUP(B851,Table3[#All],2,0)</f>
        <v>Maintance</v>
      </c>
      <c r="K851" s="8" t="str">
        <f aca="false">TEXT(ROW(), "0000")</f>
        <v>0851</v>
      </c>
      <c r="L851" s="8"/>
    </row>
    <row r="852" customFormat="false" ht="15.75" hidden="false" customHeight="true" outlineLevel="0" collapsed="false">
      <c r="A852" s="13" t="n">
        <v>45731</v>
      </c>
      <c r="B852" s="8" t="s">
        <v>22</v>
      </c>
      <c r="C852" s="9" t="n">
        <v>4571</v>
      </c>
      <c r="D852" s="8" t="s">
        <v>13</v>
      </c>
      <c r="E852" s="10"/>
      <c r="F852" s="8" t="str">
        <f aca="false">TEXT(A852,"MM-YYYY")</f>
        <v>03-2025</v>
      </c>
      <c r="G852" s="8" t="s">
        <v>14</v>
      </c>
      <c r="H852" s="8" t="s">
        <v>15</v>
      </c>
      <c r="I852" s="7"/>
      <c r="J852" s="8" t="str">
        <f aca="false">VLOOKUP(B852,Table3[#All],2,0)</f>
        <v>Inventory</v>
      </c>
      <c r="K852" s="8" t="str">
        <f aca="false">TEXT(ROW(), "0000")</f>
        <v>0852</v>
      </c>
      <c r="L852" s="8"/>
    </row>
    <row r="853" customFormat="false" ht="15.75" hidden="false" customHeight="true" outlineLevel="0" collapsed="false">
      <c r="A853" s="13" t="n">
        <v>45731</v>
      </c>
      <c r="B853" s="8" t="s">
        <v>47</v>
      </c>
      <c r="C853" s="9" t="n">
        <v>840</v>
      </c>
      <c r="D853" s="8" t="s">
        <v>13</v>
      </c>
      <c r="E853" s="10"/>
      <c r="F853" s="8" t="str">
        <f aca="false">TEXT(A853,"MM-YYYY")</f>
        <v>03-2025</v>
      </c>
      <c r="G853" s="8" t="s">
        <v>14</v>
      </c>
      <c r="H853" s="8" t="s">
        <v>15</v>
      </c>
      <c r="I853" s="7"/>
      <c r="J853" s="8" t="str">
        <f aca="false">VLOOKUP(B853,Table3[#All],2,0)</f>
        <v>Inventory</v>
      </c>
      <c r="K853" s="8" t="str">
        <f aca="false">TEXT(ROW(), "0000")</f>
        <v>0853</v>
      </c>
      <c r="L853" s="8"/>
    </row>
    <row r="854" customFormat="false" ht="15.75" hidden="false" customHeight="true" outlineLevel="0" collapsed="false">
      <c r="A854" s="13" t="n">
        <v>45731</v>
      </c>
      <c r="B854" s="8" t="s">
        <v>19</v>
      </c>
      <c r="C854" s="9" t="n">
        <v>6654</v>
      </c>
      <c r="D854" s="8" t="s">
        <v>13</v>
      </c>
      <c r="E854" s="10"/>
      <c r="F854" s="8" t="str">
        <f aca="false">TEXT(A854,"MM-YYYY")</f>
        <v>03-2025</v>
      </c>
      <c r="G854" s="8" t="s">
        <v>14</v>
      </c>
      <c r="H854" s="8" t="s">
        <v>15</v>
      </c>
      <c r="I854" s="7"/>
      <c r="J854" s="8" t="str">
        <f aca="false">VLOOKUP(B854,Table3[#All],2,0)</f>
        <v>Inventory</v>
      </c>
      <c r="K854" s="8" t="str">
        <f aca="false">TEXT(ROW(), "0000")</f>
        <v>0854</v>
      </c>
      <c r="L854" s="8"/>
    </row>
    <row r="855" customFormat="false" ht="15.75" hidden="false" customHeight="true" outlineLevel="0" collapsed="false">
      <c r="A855" s="13" t="n">
        <v>45731</v>
      </c>
      <c r="B855" s="8" t="s">
        <v>40</v>
      </c>
      <c r="C855" s="9" t="n">
        <v>5180</v>
      </c>
      <c r="D855" s="8" t="s">
        <v>13</v>
      </c>
      <c r="E855" s="10"/>
      <c r="F855" s="8" t="str">
        <f aca="false">TEXT(A855,"MM-YYYY")</f>
        <v>03-2025</v>
      </c>
      <c r="G855" s="8" t="s">
        <v>14</v>
      </c>
      <c r="H855" s="8" t="s">
        <v>15</v>
      </c>
      <c r="I855" s="7"/>
      <c r="J855" s="8" t="str">
        <f aca="false">VLOOKUP(B855,Table3[#All],2,0)</f>
        <v>Inventory</v>
      </c>
      <c r="K855" s="8" t="str">
        <f aca="false">TEXT(ROW(), "0000")</f>
        <v>0855</v>
      </c>
      <c r="L855" s="8"/>
    </row>
    <row r="856" customFormat="false" ht="15.75" hidden="false" customHeight="true" outlineLevel="0" collapsed="false">
      <c r="A856" s="13" t="n">
        <v>45731</v>
      </c>
      <c r="B856" s="8" t="s">
        <v>53</v>
      </c>
      <c r="C856" s="9" t="n">
        <v>1230</v>
      </c>
      <c r="D856" s="8" t="s">
        <v>13</v>
      </c>
      <c r="E856" s="10" t="s">
        <v>54</v>
      </c>
      <c r="F856" s="8" t="str">
        <f aca="false">TEXT(A856,"MM-YYYY")</f>
        <v>03-2025</v>
      </c>
      <c r="G856" s="8" t="s">
        <v>14</v>
      </c>
      <c r="H856" s="8" t="s">
        <v>15</v>
      </c>
      <c r="I856" s="7"/>
      <c r="J856" s="8" t="str">
        <f aca="false">VLOOKUP(B856,Table3[#All],2,0)</f>
        <v>Grocery</v>
      </c>
      <c r="K856" s="8" t="str">
        <f aca="false">TEXT(ROW(), "0000")</f>
        <v>0856</v>
      </c>
      <c r="L856" s="8"/>
    </row>
    <row r="857" customFormat="false" ht="15.75" hidden="false" customHeight="true" outlineLevel="0" collapsed="false">
      <c r="A857" s="13" t="n">
        <v>45731</v>
      </c>
      <c r="B857" s="8" t="s">
        <v>29</v>
      </c>
      <c r="C857" s="9" t="n">
        <v>920</v>
      </c>
      <c r="D857" s="8" t="s">
        <v>45</v>
      </c>
      <c r="E857" s="10" t="s">
        <v>78</v>
      </c>
      <c r="F857" s="8" t="str">
        <f aca="false">TEXT(A857,"MM-YYYY")</f>
        <v>03-2025</v>
      </c>
      <c r="G857" s="8" t="s">
        <v>14</v>
      </c>
      <c r="H857" s="8" t="s">
        <v>15</v>
      </c>
      <c r="I857" s="7"/>
      <c r="J857" s="8" t="str">
        <f aca="false">VLOOKUP(B857,Table3[#All],2,0)</f>
        <v>Inventory</v>
      </c>
      <c r="K857" s="8" t="str">
        <f aca="false">TEXT(ROW(), "0000")</f>
        <v>0857</v>
      </c>
      <c r="L857" s="8"/>
    </row>
    <row r="858" customFormat="false" ht="15.75" hidden="false" customHeight="true" outlineLevel="0" collapsed="false">
      <c r="A858" s="13" t="n">
        <v>45731</v>
      </c>
      <c r="B858" s="8" t="s">
        <v>29</v>
      </c>
      <c r="C858" s="9" t="n">
        <v>669</v>
      </c>
      <c r="D858" s="8" t="s">
        <v>13</v>
      </c>
      <c r="E858" s="10"/>
      <c r="F858" s="8" t="str">
        <f aca="false">TEXT(A858,"MM-YYYY")</f>
        <v>03-2025</v>
      </c>
      <c r="G858" s="8" t="s">
        <v>14</v>
      </c>
      <c r="H858" s="8" t="s">
        <v>15</v>
      </c>
      <c r="I858" s="7"/>
      <c r="J858" s="8" t="str">
        <f aca="false">VLOOKUP(B858,Table3[#All],2,0)</f>
        <v>Inventory</v>
      </c>
      <c r="K858" s="8" t="str">
        <f aca="false">TEXT(ROW(), "0000")</f>
        <v>0858</v>
      </c>
      <c r="L858" s="8"/>
    </row>
    <row r="859" customFormat="false" ht="15.75" hidden="false" customHeight="true" outlineLevel="0" collapsed="false">
      <c r="A859" s="13" t="n">
        <v>45731</v>
      </c>
      <c r="B859" s="8" t="s">
        <v>53</v>
      </c>
      <c r="C859" s="9" t="n">
        <v>1300</v>
      </c>
      <c r="D859" s="8" t="s">
        <v>13</v>
      </c>
      <c r="E859" s="10" t="s">
        <v>55</v>
      </c>
      <c r="F859" s="8" t="str">
        <f aca="false">TEXT(A859,"MM-YYYY")</f>
        <v>03-2025</v>
      </c>
      <c r="G859" s="8" t="s">
        <v>14</v>
      </c>
      <c r="H859" s="8" t="s">
        <v>15</v>
      </c>
      <c r="I859" s="7"/>
      <c r="J859" s="8" t="str">
        <f aca="false">VLOOKUP(B859,Table3[#All],2,0)</f>
        <v>Grocery</v>
      </c>
      <c r="K859" s="8" t="str">
        <f aca="false">TEXT(ROW(), "0000")</f>
        <v>0859</v>
      </c>
      <c r="L859" s="8"/>
    </row>
    <row r="860" customFormat="false" ht="15.75" hidden="false" customHeight="true" outlineLevel="0" collapsed="false">
      <c r="A860" s="13" t="n">
        <v>45731</v>
      </c>
      <c r="B860" s="8" t="s">
        <v>16</v>
      </c>
      <c r="C860" s="9" t="n">
        <v>2905</v>
      </c>
      <c r="D860" s="8" t="s">
        <v>21</v>
      </c>
      <c r="E860" s="10"/>
      <c r="F860" s="8" t="str">
        <f aca="false">TEXT(A860,"MM-YYYY")</f>
        <v>03-2025</v>
      </c>
      <c r="G860" s="8"/>
      <c r="H860" s="8"/>
      <c r="I860" s="7"/>
      <c r="J860" s="8" t="str">
        <f aca="false">VLOOKUP(B860,Table3[#All],2,0)</f>
        <v>Sales</v>
      </c>
      <c r="K860" s="8" t="str">
        <f aca="false">TEXT(ROW(), "0000")</f>
        <v>0860</v>
      </c>
      <c r="L860" s="8"/>
    </row>
    <row r="861" customFormat="false" ht="15.75" hidden="false" customHeight="true" outlineLevel="0" collapsed="false">
      <c r="A861" s="13" t="n">
        <v>45731</v>
      </c>
      <c r="B861" s="8" t="s">
        <v>16</v>
      </c>
      <c r="C861" s="9" t="n">
        <v>739</v>
      </c>
      <c r="D861" s="8" t="s">
        <v>33</v>
      </c>
      <c r="E861" s="10"/>
      <c r="F861" s="8" t="str">
        <f aca="false">TEXT(A861,"MM-YYYY")</f>
        <v>03-2025</v>
      </c>
      <c r="G861" s="8"/>
      <c r="H861" s="8"/>
      <c r="I861" s="7"/>
      <c r="J861" s="8" t="str">
        <f aca="false">VLOOKUP(B861,Table3[#All],2,0)</f>
        <v>Sales</v>
      </c>
      <c r="K861" s="8" t="str">
        <f aca="false">TEXT(ROW(), "0000")</f>
        <v>0861</v>
      </c>
      <c r="L861" s="8"/>
    </row>
    <row r="862" customFormat="false" ht="15.75" hidden="false" customHeight="true" outlineLevel="0" collapsed="false">
      <c r="A862" s="13" t="n">
        <v>45731</v>
      </c>
      <c r="B862" s="8" t="s">
        <v>16</v>
      </c>
      <c r="C862" s="9" t="n">
        <v>20270</v>
      </c>
      <c r="D862" s="8" t="s">
        <v>17</v>
      </c>
      <c r="E862" s="10"/>
      <c r="F862" s="8" t="str">
        <f aca="false">TEXT(A862,"MM-YYYY")</f>
        <v>03-2025</v>
      </c>
      <c r="G862" s="8"/>
      <c r="H862" s="8"/>
      <c r="I862" s="7"/>
      <c r="J862" s="8" t="str">
        <f aca="false">VLOOKUP(B862,Table3[#All],2,0)</f>
        <v>Sales</v>
      </c>
      <c r="K862" s="8" t="str">
        <f aca="false">TEXT(ROW(), "0000")</f>
        <v>0862</v>
      </c>
      <c r="L862" s="8"/>
    </row>
    <row r="863" customFormat="false" ht="15.75" hidden="false" customHeight="true" outlineLevel="0" collapsed="false">
      <c r="A863" s="13" t="n">
        <v>45731</v>
      </c>
      <c r="B863" s="8" t="s">
        <v>16</v>
      </c>
      <c r="C863" s="9" t="n">
        <v>503</v>
      </c>
      <c r="D863" s="8" t="s">
        <v>24</v>
      </c>
      <c r="E863" s="10"/>
      <c r="F863" s="8" t="str">
        <f aca="false">TEXT(A863,"MM-YYYY")</f>
        <v>03-2025</v>
      </c>
      <c r="G863" s="8"/>
      <c r="H863" s="8"/>
      <c r="I863" s="7"/>
      <c r="J863" s="8" t="str">
        <f aca="false">VLOOKUP(B863,Table3[#All],2,0)</f>
        <v>Sales</v>
      </c>
      <c r="K863" s="8" t="str">
        <f aca="false">TEXT(ROW(), "0000")</f>
        <v>0863</v>
      </c>
      <c r="L863" s="8"/>
    </row>
    <row r="864" customFormat="false" ht="15.75" hidden="false" customHeight="true" outlineLevel="0" collapsed="false">
      <c r="A864" s="13" t="n">
        <v>45731</v>
      </c>
      <c r="B864" s="8" t="s">
        <v>34</v>
      </c>
      <c r="C864" s="9" t="n">
        <v>120</v>
      </c>
      <c r="D864" s="8" t="s">
        <v>45</v>
      </c>
      <c r="E864" s="10"/>
      <c r="F864" s="8" t="str">
        <f aca="false">TEXT(A864,"MM-YYYY")</f>
        <v>03-2025</v>
      </c>
      <c r="G864" s="8" t="s">
        <v>14</v>
      </c>
      <c r="H864" s="8" t="s">
        <v>15</v>
      </c>
      <c r="I864" s="7"/>
      <c r="J864" s="8" t="str">
        <f aca="false">VLOOKUP(B864,Table3[#All],2,0)</f>
        <v>Staff Expenses</v>
      </c>
      <c r="K864" s="8" t="str">
        <f aca="false">TEXT(ROW(), "0000")</f>
        <v>0864</v>
      </c>
      <c r="L864" s="8"/>
    </row>
    <row r="865" customFormat="false" ht="15.75" hidden="false" customHeight="true" outlineLevel="0" collapsed="false">
      <c r="A865" s="13" t="n">
        <v>45731</v>
      </c>
      <c r="B865" s="8" t="s">
        <v>63</v>
      </c>
      <c r="C865" s="9" t="n">
        <v>70</v>
      </c>
      <c r="D865" s="8" t="s">
        <v>45</v>
      </c>
      <c r="E865" s="10"/>
      <c r="F865" s="8" t="str">
        <f aca="false">TEXT(A865,"MM-YYYY")</f>
        <v>03-2025</v>
      </c>
      <c r="G865" s="8" t="s">
        <v>14</v>
      </c>
      <c r="H865" s="8" t="s">
        <v>15</v>
      </c>
      <c r="I865" s="7"/>
      <c r="J865" s="8" t="str">
        <f aca="false">VLOOKUP(B865,Table3[#All],2,0)</f>
        <v>Maintance</v>
      </c>
      <c r="K865" s="8" t="str">
        <f aca="false">TEXT(ROW(), "0000")</f>
        <v>0865</v>
      </c>
      <c r="L865" s="8"/>
    </row>
    <row r="866" customFormat="false" ht="15.75" hidden="false" customHeight="true" outlineLevel="0" collapsed="false">
      <c r="A866" s="13" t="n">
        <v>45731</v>
      </c>
      <c r="B866" s="8" t="s">
        <v>29</v>
      </c>
      <c r="C866" s="9" t="n">
        <v>60</v>
      </c>
      <c r="D866" s="8" t="s">
        <v>45</v>
      </c>
      <c r="E866" s="10" t="s">
        <v>41</v>
      </c>
      <c r="F866" s="8" t="str">
        <f aca="false">TEXT(A866,"MM-YYYY")</f>
        <v>03-2025</v>
      </c>
      <c r="G866" s="8" t="s">
        <v>14</v>
      </c>
      <c r="H866" s="8" t="s">
        <v>15</v>
      </c>
      <c r="I866" s="7"/>
      <c r="J866" s="8" t="str">
        <f aca="false">VLOOKUP(B866,Table3[#All],2,0)</f>
        <v>Inventory</v>
      </c>
      <c r="K866" s="8" t="str">
        <f aca="false">TEXT(ROW(), "0000")</f>
        <v>0866</v>
      </c>
      <c r="L866" s="8"/>
    </row>
    <row r="867" customFormat="false" ht="15.75" hidden="false" customHeight="true" outlineLevel="0" collapsed="false">
      <c r="A867" s="13" t="n">
        <v>45731</v>
      </c>
      <c r="B867" s="8" t="s">
        <v>37</v>
      </c>
      <c r="C867" s="9" t="n">
        <v>5</v>
      </c>
      <c r="D867" s="8" t="s">
        <v>21</v>
      </c>
      <c r="E867" s="10"/>
      <c r="F867" s="8" t="str">
        <f aca="false">TEXT(A867,"MM-YYYY")</f>
        <v>03-2025</v>
      </c>
      <c r="G867" s="8" t="s">
        <v>14</v>
      </c>
      <c r="H867" s="8" t="s">
        <v>15</v>
      </c>
      <c r="I867" s="7"/>
      <c r="J867" s="8" t="str">
        <f aca="false">VLOOKUP(B867,Table3[#All],2,0)</f>
        <v>Maintance</v>
      </c>
      <c r="K867" s="8" t="str">
        <f aca="false">TEXT(ROW(), "0000")</f>
        <v>0867</v>
      </c>
      <c r="L867" s="8"/>
    </row>
    <row r="868" customFormat="false" ht="15.75" hidden="false" customHeight="true" outlineLevel="0" collapsed="false">
      <c r="A868" s="13" t="n">
        <v>45731</v>
      </c>
      <c r="B868" s="8" t="s">
        <v>25</v>
      </c>
      <c r="C868" s="9" t="n">
        <v>1508</v>
      </c>
      <c r="D868" s="8" t="s">
        <v>13</v>
      </c>
      <c r="E868" s="10"/>
      <c r="F868" s="8" t="str">
        <f aca="false">TEXT(A868,"MM-YYYY")</f>
        <v>03-2025</v>
      </c>
      <c r="G868" s="8" t="s">
        <v>14</v>
      </c>
      <c r="H868" s="8" t="s">
        <v>15</v>
      </c>
      <c r="I868" s="7"/>
      <c r="J868" s="8" t="str">
        <f aca="false">VLOOKUP(B868,Table3[#All],2,0)</f>
        <v>Inventory</v>
      </c>
      <c r="K868" s="8" t="str">
        <f aca="false">TEXT(ROW(), "0000")</f>
        <v>0868</v>
      </c>
      <c r="L868" s="8"/>
    </row>
    <row r="869" customFormat="false" ht="15.75" hidden="false" customHeight="true" outlineLevel="0" collapsed="false">
      <c r="A869" s="13" t="n">
        <v>45732</v>
      </c>
      <c r="B869" s="8" t="s">
        <v>25</v>
      </c>
      <c r="C869" s="9" t="n">
        <v>1088</v>
      </c>
      <c r="D869" s="8" t="s">
        <v>13</v>
      </c>
      <c r="E869" s="10" t="s">
        <v>26</v>
      </c>
      <c r="F869" s="8" t="str">
        <f aca="false">TEXT(A869,"MM-YYYY")</f>
        <v>03-2025</v>
      </c>
      <c r="G869" s="8" t="s">
        <v>14</v>
      </c>
      <c r="H869" s="8" t="s">
        <v>15</v>
      </c>
      <c r="I869" s="7"/>
      <c r="J869" s="8" t="str">
        <f aca="false">VLOOKUP(B869,Table3[#All],2,0)</f>
        <v>Inventory</v>
      </c>
      <c r="K869" s="8" t="str">
        <f aca="false">TEXT(ROW(), "0000")</f>
        <v>0869</v>
      </c>
      <c r="L869" s="8"/>
    </row>
    <row r="870" customFormat="false" ht="15.75" hidden="false" customHeight="true" outlineLevel="0" collapsed="false">
      <c r="A870" s="13" t="n">
        <v>45732</v>
      </c>
      <c r="B870" s="8" t="s">
        <v>19</v>
      </c>
      <c r="C870" s="9" t="n">
        <v>4644</v>
      </c>
      <c r="D870" s="8" t="s">
        <v>13</v>
      </c>
      <c r="E870" s="10" t="s">
        <v>20</v>
      </c>
      <c r="F870" s="8" t="str">
        <f aca="false">TEXT(A870,"MM-YYYY")</f>
        <v>03-2025</v>
      </c>
      <c r="G870" s="8" t="s">
        <v>14</v>
      </c>
      <c r="H870" s="8" t="s">
        <v>15</v>
      </c>
      <c r="I870" s="7"/>
      <c r="J870" s="8" t="str">
        <f aca="false">VLOOKUP(B870,Table3[#All],2,0)</f>
        <v>Inventory</v>
      </c>
      <c r="K870" s="8" t="str">
        <f aca="false">TEXT(ROW(), "0000")</f>
        <v>0870</v>
      </c>
      <c r="L870" s="8"/>
    </row>
    <row r="871" customFormat="false" ht="15.75" hidden="false" customHeight="true" outlineLevel="0" collapsed="false">
      <c r="A871" s="13" t="n">
        <v>45732</v>
      </c>
      <c r="B871" s="8" t="s">
        <v>53</v>
      </c>
      <c r="C871" s="9" t="n">
        <v>1200</v>
      </c>
      <c r="D871" s="8" t="s">
        <v>21</v>
      </c>
      <c r="E871" s="10" t="s">
        <v>187</v>
      </c>
      <c r="F871" s="8" t="str">
        <f aca="false">TEXT(A871,"MM-YYYY")</f>
        <v>03-2025</v>
      </c>
      <c r="G871" s="8" t="s">
        <v>14</v>
      </c>
      <c r="H871" s="8" t="s">
        <v>15</v>
      </c>
      <c r="I871" s="7"/>
      <c r="J871" s="8" t="str">
        <f aca="false">VLOOKUP(B871,Table3[#All],2,0)</f>
        <v>Grocery</v>
      </c>
      <c r="K871" s="8" t="str">
        <f aca="false">TEXT(ROW(), "0000")</f>
        <v>0871</v>
      </c>
      <c r="L871" s="8"/>
    </row>
    <row r="872" customFormat="false" ht="15.75" hidden="false" customHeight="true" outlineLevel="0" collapsed="false">
      <c r="A872" s="13" t="n">
        <v>45732</v>
      </c>
      <c r="B872" s="8" t="s">
        <v>22</v>
      </c>
      <c r="C872" s="9" t="n">
        <v>55</v>
      </c>
      <c r="D872" s="8" t="s">
        <v>21</v>
      </c>
      <c r="E872" s="10" t="s">
        <v>213</v>
      </c>
      <c r="F872" s="8" t="str">
        <f aca="false">TEXT(A872,"MM-YYYY")</f>
        <v>03-2025</v>
      </c>
      <c r="G872" s="8" t="s">
        <v>14</v>
      </c>
      <c r="H872" s="8" t="s">
        <v>15</v>
      </c>
      <c r="I872" s="7"/>
      <c r="J872" s="8" t="str">
        <f aca="false">VLOOKUP(B872,Table3[#All],2,0)</f>
        <v>Inventory</v>
      </c>
      <c r="K872" s="8" t="str">
        <f aca="false">TEXT(ROW(), "0000")</f>
        <v>0872</v>
      </c>
      <c r="L872" s="8"/>
    </row>
    <row r="873" customFormat="false" ht="15.75" hidden="false" customHeight="true" outlineLevel="0" collapsed="false">
      <c r="A873" s="13" t="n">
        <v>45732</v>
      </c>
      <c r="B873" s="8" t="s">
        <v>214</v>
      </c>
      <c r="C873" s="9" t="n">
        <v>1500</v>
      </c>
      <c r="D873" s="8" t="s">
        <v>45</v>
      </c>
      <c r="E873" s="10" t="s">
        <v>215</v>
      </c>
      <c r="F873" s="8" t="str">
        <f aca="false">TEXT(A873,"MM-YYYY")</f>
        <v>03-2025</v>
      </c>
      <c r="G873" s="8" t="s">
        <v>14</v>
      </c>
      <c r="H873" s="8" t="s">
        <v>15</v>
      </c>
      <c r="I873" s="7"/>
      <c r="J873" s="8" t="str">
        <f aca="false">VLOOKUP(B873,Table3[#All],2,0)</f>
        <v>Maintenance</v>
      </c>
      <c r="K873" s="8" t="str">
        <f aca="false">TEXT(ROW(), "0000")</f>
        <v>0873</v>
      </c>
      <c r="L873" s="8"/>
    </row>
    <row r="874" customFormat="false" ht="15.75" hidden="false" customHeight="true" outlineLevel="0" collapsed="false">
      <c r="A874" s="13" t="n">
        <v>45732</v>
      </c>
      <c r="B874" s="8" t="s">
        <v>22</v>
      </c>
      <c r="C874" s="9" t="n">
        <v>6677</v>
      </c>
      <c r="D874" s="8" t="s">
        <v>13</v>
      </c>
      <c r="E874" s="10" t="s">
        <v>76</v>
      </c>
      <c r="F874" s="8" t="str">
        <f aca="false">TEXT(A874,"MM-YYYY")</f>
        <v>03-2025</v>
      </c>
      <c r="G874" s="8" t="s">
        <v>14</v>
      </c>
      <c r="H874" s="8" t="s">
        <v>15</v>
      </c>
      <c r="I874" s="7"/>
      <c r="J874" s="8" t="str">
        <f aca="false">VLOOKUP(B874,Table3[#All],2,0)</f>
        <v>Inventory</v>
      </c>
      <c r="K874" s="8" t="str">
        <f aca="false">TEXT(ROW(), "0000")</f>
        <v>0874</v>
      </c>
      <c r="L874" s="8"/>
    </row>
    <row r="875" customFormat="false" ht="15.75" hidden="false" customHeight="true" outlineLevel="0" collapsed="false">
      <c r="A875" s="13" t="n">
        <v>45732</v>
      </c>
      <c r="B875" s="8" t="s">
        <v>40</v>
      </c>
      <c r="C875" s="9" t="n">
        <v>2960</v>
      </c>
      <c r="D875" s="8" t="s">
        <v>13</v>
      </c>
      <c r="E875" s="10" t="s">
        <v>216</v>
      </c>
      <c r="F875" s="8" t="str">
        <f aca="false">TEXT(A875,"MM-YYYY")</f>
        <v>03-2025</v>
      </c>
      <c r="G875" s="8" t="s">
        <v>14</v>
      </c>
      <c r="H875" s="8" t="s">
        <v>15</v>
      </c>
      <c r="I875" s="7"/>
      <c r="J875" s="8" t="str">
        <f aca="false">VLOOKUP(B875,Table3[#All],2,0)</f>
        <v>Inventory</v>
      </c>
      <c r="K875" s="8" t="str">
        <f aca="false">TEXT(ROW(), "0000")</f>
        <v>0875</v>
      </c>
      <c r="L875" s="8"/>
    </row>
    <row r="876" customFormat="false" ht="15.75" hidden="false" customHeight="true" outlineLevel="0" collapsed="false">
      <c r="A876" s="13" t="n">
        <v>45732</v>
      </c>
      <c r="B876" s="8" t="s">
        <v>16</v>
      </c>
      <c r="C876" s="9" t="n">
        <v>3548</v>
      </c>
      <c r="D876" s="8" t="s">
        <v>21</v>
      </c>
      <c r="E876" s="10" t="s">
        <v>88</v>
      </c>
      <c r="F876" s="8" t="str">
        <f aca="false">TEXT(A876,"MM-YYYY")</f>
        <v>03-2025</v>
      </c>
      <c r="G876" s="8"/>
      <c r="H876" s="8"/>
      <c r="I876" s="7"/>
      <c r="J876" s="8" t="str">
        <f aca="false">VLOOKUP(B876,Table3[#All],2,0)</f>
        <v>Sales</v>
      </c>
      <c r="K876" s="8" t="str">
        <f aca="false">TEXT(ROW(), "0000")</f>
        <v>0876</v>
      </c>
      <c r="L876" s="8"/>
    </row>
    <row r="877" customFormat="false" ht="15.75" hidden="false" customHeight="true" outlineLevel="0" collapsed="false">
      <c r="A877" s="13" t="n">
        <v>45732</v>
      </c>
      <c r="B877" s="8" t="s">
        <v>16</v>
      </c>
      <c r="C877" s="9" t="n">
        <v>1200</v>
      </c>
      <c r="D877" s="8" t="s">
        <v>27</v>
      </c>
      <c r="E877" s="10" t="s">
        <v>88</v>
      </c>
      <c r="F877" s="8" t="str">
        <f aca="false">TEXT(A877,"MM-YYYY")</f>
        <v>03-2025</v>
      </c>
      <c r="G877" s="8"/>
      <c r="H877" s="8"/>
      <c r="I877" s="7"/>
      <c r="J877" s="8" t="str">
        <f aca="false">VLOOKUP(B877,Table3[#All],2,0)</f>
        <v>Sales</v>
      </c>
      <c r="K877" s="8" t="str">
        <f aca="false">TEXT(ROW(), "0000")</f>
        <v>0877</v>
      </c>
      <c r="L877" s="8"/>
    </row>
    <row r="878" customFormat="false" ht="15.75" hidden="false" customHeight="true" outlineLevel="0" collapsed="false">
      <c r="A878" s="13" t="n">
        <v>45732</v>
      </c>
      <c r="B878" s="8" t="s">
        <v>16</v>
      </c>
      <c r="C878" s="9" t="n">
        <v>430</v>
      </c>
      <c r="D878" s="8" t="s">
        <v>33</v>
      </c>
      <c r="E878" s="10" t="s">
        <v>88</v>
      </c>
      <c r="F878" s="8" t="str">
        <f aca="false">TEXT(A878,"MM-YYYY")</f>
        <v>03-2025</v>
      </c>
      <c r="G878" s="8"/>
      <c r="H878" s="8"/>
      <c r="I878" s="7"/>
      <c r="J878" s="8" t="str">
        <f aca="false">VLOOKUP(B878,Table3[#All],2,0)</f>
        <v>Sales</v>
      </c>
      <c r="K878" s="8" t="str">
        <f aca="false">TEXT(ROW(), "0000")</f>
        <v>0878</v>
      </c>
      <c r="L878" s="8"/>
    </row>
    <row r="879" customFormat="false" ht="15.75" hidden="false" customHeight="true" outlineLevel="0" collapsed="false">
      <c r="A879" s="13" t="n">
        <v>45732</v>
      </c>
      <c r="B879" s="8" t="s">
        <v>16</v>
      </c>
      <c r="C879" s="9" t="n">
        <v>21202</v>
      </c>
      <c r="D879" s="8" t="s">
        <v>17</v>
      </c>
      <c r="E879" s="10" t="s">
        <v>88</v>
      </c>
      <c r="F879" s="8" t="str">
        <f aca="false">TEXT(A879,"MM-YYYY")</f>
        <v>03-2025</v>
      </c>
      <c r="G879" s="8"/>
      <c r="H879" s="8"/>
      <c r="I879" s="7"/>
      <c r="J879" s="8" t="str">
        <f aca="false">VLOOKUP(B879,Table3[#All],2,0)</f>
        <v>Sales</v>
      </c>
      <c r="K879" s="8" t="str">
        <f aca="false">TEXT(ROW(), "0000")</f>
        <v>0879</v>
      </c>
      <c r="L879" s="8"/>
    </row>
    <row r="880" customFormat="false" ht="15.75" hidden="false" customHeight="true" outlineLevel="0" collapsed="false">
      <c r="A880" s="13" t="n">
        <v>45732</v>
      </c>
      <c r="B880" s="8" t="s">
        <v>16</v>
      </c>
      <c r="C880" s="9" t="n">
        <v>3167</v>
      </c>
      <c r="D880" s="8" t="s">
        <v>24</v>
      </c>
      <c r="E880" s="10" t="s">
        <v>217</v>
      </c>
      <c r="F880" s="8" t="str">
        <f aca="false">TEXT(A880,"MM-YYYY")</f>
        <v>03-2025</v>
      </c>
      <c r="G880" s="8"/>
      <c r="H880" s="8"/>
      <c r="I880" s="7"/>
      <c r="J880" s="8" t="str">
        <f aca="false">VLOOKUP(B880,Table3[#All],2,0)</f>
        <v>Sales</v>
      </c>
      <c r="K880" s="8" t="str">
        <f aca="false">TEXT(ROW(), "0000")</f>
        <v>0880</v>
      </c>
      <c r="L880" s="8"/>
    </row>
    <row r="881" customFormat="false" ht="15.75" hidden="false" customHeight="true" outlineLevel="0" collapsed="false">
      <c r="A881" s="13" t="n">
        <v>45732</v>
      </c>
      <c r="B881" s="8" t="s">
        <v>34</v>
      </c>
      <c r="C881" s="9" t="n">
        <v>120</v>
      </c>
      <c r="D881" s="8" t="s">
        <v>45</v>
      </c>
      <c r="E881" s="10"/>
      <c r="F881" s="8" t="str">
        <f aca="false">TEXT(A881,"MM-YYYY")</f>
        <v>03-2025</v>
      </c>
      <c r="G881" s="8" t="s">
        <v>14</v>
      </c>
      <c r="H881" s="8" t="s">
        <v>15</v>
      </c>
      <c r="I881" s="7"/>
      <c r="J881" s="8" t="str">
        <f aca="false">VLOOKUP(B881,Table3[#All],2,0)</f>
        <v>Staff Expenses</v>
      </c>
      <c r="K881" s="8" t="str">
        <f aca="false">TEXT(ROW(), "0000")</f>
        <v>0881</v>
      </c>
      <c r="L881" s="8"/>
    </row>
    <row r="882" customFormat="false" ht="15.75" hidden="false" customHeight="true" outlineLevel="0" collapsed="false">
      <c r="A882" s="13" t="n">
        <v>45732</v>
      </c>
      <c r="B882" s="8" t="s">
        <v>37</v>
      </c>
      <c r="C882" s="9" t="n">
        <v>23</v>
      </c>
      <c r="D882" s="8" t="s">
        <v>21</v>
      </c>
      <c r="E882" s="10"/>
      <c r="F882" s="8" t="str">
        <f aca="false">TEXT(A882,"MM-YYYY")</f>
        <v>03-2025</v>
      </c>
      <c r="G882" s="8" t="s">
        <v>14</v>
      </c>
      <c r="H882" s="8" t="s">
        <v>15</v>
      </c>
      <c r="I882" s="7"/>
      <c r="J882" s="8" t="str">
        <f aca="false">VLOOKUP(B882,Table3[#All],2,0)</f>
        <v>Maintance</v>
      </c>
      <c r="K882" s="8" t="str">
        <f aca="false">TEXT(ROW(), "0000")</f>
        <v>0882</v>
      </c>
      <c r="L882" s="8"/>
    </row>
    <row r="883" customFormat="false" ht="15.75" hidden="false" customHeight="true" outlineLevel="0" collapsed="false">
      <c r="A883" s="13" t="n">
        <v>45733</v>
      </c>
      <c r="B883" s="8" t="s">
        <v>22</v>
      </c>
      <c r="C883" s="9" t="n">
        <v>6793</v>
      </c>
      <c r="D883" s="8" t="s">
        <v>13</v>
      </c>
      <c r="E883" s="10" t="s">
        <v>23</v>
      </c>
      <c r="F883" s="8" t="str">
        <f aca="false">TEXT(A883,"MM-YYYY")</f>
        <v>03-2025</v>
      </c>
      <c r="G883" s="8" t="s">
        <v>14</v>
      </c>
      <c r="H883" s="8" t="s">
        <v>15</v>
      </c>
      <c r="I883" s="7"/>
      <c r="J883" s="8" t="str">
        <f aca="false">VLOOKUP(B883,Table3[#All],2,0)</f>
        <v>Inventory</v>
      </c>
      <c r="K883" s="8" t="str">
        <f aca="false">TEXT(ROW(), "0000")</f>
        <v>0883</v>
      </c>
      <c r="L883" s="8"/>
    </row>
    <row r="884" customFormat="false" ht="15.75" hidden="false" customHeight="true" outlineLevel="0" collapsed="false">
      <c r="A884" s="13" t="n">
        <v>45733</v>
      </c>
      <c r="B884" s="8" t="s">
        <v>25</v>
      </c>
      <c r="C884" s="9" t="n">
        <v>613</v>
      </c>
      <c r="D884" s="8" t="s">
        <v>13</v>
      </c>
      <c r="E884" s="10" t="s">
        <v>26</v>
      </c>
      <c r="F884" s="8" t="str">
        <f aca="false">TEXT(A884,"MM-YYYY")</f>
        <v>03-2025</v>
      </c>
      <c r="G884" s="8" t="s">
        <v>14</v>
      </c>
      <c r="H884" s="8" t="s">
        <v>15</v>
      </c>
      <c r="I884" s="7"/>
      <c r="J884" s="8" t="str">
        <f aca="false">VLOOKUP(B884,Table3[#All],2,0)</f>
        <v>Inventory</v>
      </c>
      <c r="K884" s="8" t="str">
        <f aca="false">TEXT(ROW(), "0000")</f>
        <v>0884</v>
      </c>
      <c r="L884" s="8"/>
    </row>
    <row r="885" customFormat="false" ht="15.75" hidden="false" customHeight="true" outlineLevel="0" collapsed="false">
      <c r="A885" s="13" t="n">
        <v>45733</v>
      </c>
      <c r="B885" s="8" t="s">
        <v>47</v>
      </c>
      <c r="C885" s="9" t="n">
        <v>840</v>
      </c>
      <c r="D885" s="8" t="s">
        <v>13</v>
      </c>
      <c r="E885" s="10" t="s">
        <v>218</v>
      </c>
      <c r="F885" s="8" t="str">
        <f aca="false">TEXT(A885,"MM-YYYY")</f>
        <v>03-2025</v>
      </c>
      <c r="G885" s="8" t="s">
        <v>14</v>
      </c>
      <c r="H885" s="8" t="s">
        <v>15</v>
      </c>
      <c r="I885" s="7"/>
      <c r="J885" s="8" t="str">
        <f aca="false">VLOOKUP(B885,Table3[#All],2,0)</f>
        <v>Inventory</v>
      </c>
      <c r="K885" s="8" t="str">
        <f aca="false">TEXT(ROW(), "0000")</f>
        <v>0885</v>
      </c>
      <c r="L885" s="8"/>
    </row>
    <row r="886" customFormat="false" ht="15.75" hidden="false" customHeight="true" outlineLevel="0" collapsed="false">
      <c r="A886" s="13" t="n">
        <v>45733</v>
      </c>
      <c r="B886" s="8" t="s">
        <v>19</v>
      </c>
      <c r="C886" s="9" t="n">
        <v>3245</v>
      </c>
      <c r="D886" s="8" t="s">
        <v>13</v>
      </c>
      <c r="E886" s="10" t="s">
        <v>20</v>
      </c>
      <c r="F886" s="8" t="str">
        <f aca="false">TEXT(A886,"MM-YYYY")</f>
        <v>03-2025</v>
      </c>
      <c r="G886" s="8" t="s">
        <v>14</v>
      </c>
      <c r="H886" s="8" t="s">
        <v>15</v>
      </c>
      <c r="I886" s="7"/>
      <c r="J886" s="8" t="str">
        <f aca="false">VLOOKUP(B886,Table3[#All],2,0)</f>
        <v>Inventory</v>
      </c>
      <c r="K886" s="8" t="str">
        <f aca="false">TEXT(ROW(), "0000")</f>
        <v>0886</v>
      </c>
      <c r="L886" s="8"/>
    </row>
    <row r="887" customFormat="false" ht="15.75" hidden="false" customHeight="true" outlineLevel="0" collapsed="false">
      <c r="A887" s="13" t="n">
        <v>45733</v>
      </c>
      <c r="B887" s="8" t="s">
        <v>32</v>
      </c>
      <c r="C887" s="9" t="n">
        <v>1960</v>
      </c>
      <c r="D887" s="8" t="s">
        <v>45</v>
      </c>
      <c r="E887" s="10" t="s">
        <v>38</v>
      </c>
      <c r="F887" s="8" t="str">
        <f aca="false">TEXT(A887,"MM-YYYY")</f>
        <v>03-2025</v>
      </c>
      <c r="G887" s="8" t="s">
        <v>14</v>
      </c>
      <c r="H887" s="8" t="s">
        <v>15</v>
      </c>
      <c r="I887" s="7"/>
      <c r="J887" s="8" t="str">
        <f aca="false">VLOOKUP(B887,Table3[#All],2,0)</f>
        <v>Grocery</v>
      </c>
      <c r="K887" s="8" t="str">
        <f aca="false">TEXT(ROW(), "0000")</f>
        <v>0887</v>
      </c>
      <c r="L887" s="8"/>
    </row>
    <row r="888" customFormat="false" ht="15.75" hidden="false" customHeight="true" outlineLevel="0" collapsed="false">
      <c r="A888" s="13" t="n">
        <v>45733</v>
      </c>
      <c r="B888" s="8" t="s">
        <v>69</v>
      </c>
      <c r="C888" s="9" t="n">
        <v>1500</v>
      </c>
      <c r="D888" s="8" t="s">
        <v>45</v>
      </c>
      <c r="E888" s="10"/>
      <c r="F888" s="8" t="str">
        <f aca="false">TEXT(A888,"MM-YYYY")</f>
        <v>03-2025</v>
      </c>
      <c r="G888" s="8" t="s">
        <v>14</v>
      </c>
      <c r="H888" s="8" t="s">
        <v>15</v>
      </c>
      <c r="I888" s="7"/>
      <c r="J888" s="8" t="str">
        <f aca="false">VLOOKUP(B888,Table3[#All],2,0)</f>
        <v>Fixed Maintance</v>
      </c>
      <c r="K888" s="8" t="str">
        <f aca="false">TEXT(ROW(), "0000")</f>
        <v>0888</v>
      </c>
      <c r="L888" s="8"/>
    </row>
    <row r="889" customFormat="false" ht="15.75" hidden="false" customHeight="true" outlineLevel="0" collapsed="false">
      <c r="A889" s="13" t="n">
        <v>45733</v>
      </c>
      <c r="B889" s="8" t="s">
        <v>40</v>
      </c>
      <c r="C889" s="9" t="n">
        <v>1700</v>
      </c>
      <c r="D889" s="8" t="s">
        <v>13</v>
      </c>
      <c r="E889" s="10" t="s">
        <v>46</v>
      </c>
      <c r="F889" s="8" t="str">
        <f aca="false">TEXT(A889,"MM-YYYY")</f>
        <v>03-2025</v>
      </c>
      <c r="G889" s="8" t="s">
        <v>14</v>
      </c>
      <c r="H889" s="8" t="s">
        <v>15</v>
      </c>
      <c r="I889" s="7"/>
      <c r="J889" s="8" t="str">
        <f aca="false">VLOOKUP(B889,Table3[#All],2,0)</f>
        <v>Inventory</v>
      </c>
      <c r="K889" s="8" t="str">
        <f aca="false">TEXT(ROW(), "0000")</f>
        <v>0889</v>
      </c>
      <c r="L889" s="8"/>
    </row>
    <row r="890" customFormat="false" ht="15.75" hidden="false" customHeight="true" outlineLevel="0" collapsed="false">
      <c r="A890" s="13" t="n">
        <v>45733</v>
      </c>
      <c r="B890" s="8" t="s">
        <v>40</v>
      </c>
      <c r="C890" s="9" t="n">
        <v>890</v>
      </c>
      <c r="D890" s="8" t="s">
        <v>45</v>
      </c>
      <c r="E890" s="10" t="s">
        <v>46</v>
      </c>
      <c r="F890" s="8" t="str">
        <f aca="false">TEXT(A890,"MM-YYYY")</f>
        <v>03-2025</v>
      </c>
      <c r="G890" s="8" t="s">
        <v>14</v>
      </c>
      <c r="H890" s="8" t="s">
        <v>15</v>
      </c>
      <c r="I890" s="7"/>
      <c r="J890" s="8" t="str">
        <f aca="false">VLOOKUP(B890,Table3[#All],2,0)</f>
        <v>Inventory</v>
      </c>
      <c r="K890" s="8" t="str">
        <f aca="false">TEXT(ROW(), "0000")</f>
        <v>0890</v>
      </c>
      <c r="L890" s="8"/>
    </row>
    <row r="891" customFormat="false" ht="15.75" hidden="false" customHeight="true" outlineLevel="0" collapsed="false">
      <c r="A891" s="13" t="n">
        <v>45733</v>
      </c>
      <c r="B891" s="8" t="s">
        <v>25</v>
      </c>
      <c r="C891" s="9" t="n">
        <v>550</v>
      </c>
      <c r="D891" s="8" t="s">
        <v>45</v>
      </c>
      <c r="E891" s="10" t="s">
        <v>84</v>
      </c>
      <c r="F891" s="8" t="str">
        <f aca="false">TEXT(A891,"MM-YYYY")</f>
        <v>03-2025</v>
      </c>
      <c r="G891" s="8" t="s">
        <v>14</v>
      </c>
      <c r="H891" s="8" t="s">
        <v>15</v>
      </c>
      <c r="I891" s="7"/>
      <c r="J891" s="8" t="str">
        <f aca="false">VLOOKUP(B891,Table3[#All],2,0)</f>
        <v>Inventory</v>
      </c>
      <c r="K891" s="8" t="str">
        <f aca="false">TEXT(ROW(), "0000")</f>
        <v>0891</v>
      </c>
      <c r="L891" s="8"/>
    </row>
    <row r="892" customFormat="false" ht="15.75" hidden="false" customHeight="true" outlineLevel="0" collapsed="false">
      <c r="A892" s="13" t="n">
        <v>45733</v>
      </c>
      <c r="B892" s="8" t="s">
        <v>29</v>
      </c>
      <c r="C892" s="9" t="n">
        <v>537</v>
      </c>
      <c r="D892" s="8" t="s">
        <v>13</v>
      </c>
      <c r="E892" s="10" t="s">
        <v>30</v>
      </c>
      <c r="F892" s="8" t="str">
        <f aca="false">TEXT(A892,"MM-YYYY")</f>
        <v>03-2025</v>
      </c>
      <c r="G892" s="8" t="s">
        <v>14</v>
      </c>
      <c r="H892" s="8" t="s">
        <v>15</v>
      </c>
      <c r="I892" s="7"/>
      <c r="J892" s="8" t="str">
        <f aca="false">VLOOKUP(B892,Table3[#All],2,0)</f>
        <v>Inventory</v>
      </c>
      <c r="K892" s="8" t="str">
        <f aca="false">TEXT(ROW(), "0000")</f>
        <v>0892</v>
      </c>
      <c r="L892" s="8"/>
    </row>
    <row r="893" customFormat="false" ht="15.75" hidden="false" customHeight="true" outlineLevel="0" collapsed="false">
      <c r="A893" s="13" t="n">
        <v>45733</v>
      </c>
      <c r="B893" s="8" t="s">
        <v>28</v>
      </c>
      <c r="C893" s="9" t="n">
        <v>935</v>
      </c>
      <c r="D893" s="8" t="s">
        <v>21</v>
      </c>
      <c r="E893" s="10" t="s">
        <v>219</v>
      </c>
      <c r="F893" s="8" t="str">
        <f aca="false">TEXT(A893,"MM-YYYY")</f>
        <v>03-2025</v>
      </c>
      <c r="G893" s="8" t="s">
        <v>14</v>
      </c>
      <c r="H893" s="8" t="s">
        <v>15</v>
      </c>
      <c r="I893" s="7"/>
      <c r="J893" s="8" t="str">
        <f aca="false">VLOOKUP(B893,Table3[#All],2,0)</f>
        <v>Grocery</v>
      </c>
      <c r="K893" s="8" t="str">
        <f aca="false">TEXT(ROW(), "0000")</f>
        <v>0893</v>
      </c>
      <c r="L893" s="8"/>
    </row>
    <row r="894" customFormat="false" ht="15.75" hidden="false" customHeight="true" outlineLevel="0" collapsed="false">
      <c r="A894" s="13" t="n">
        <v>45733</v>
      </c>
      <c r="B894" s="8" t="s">
        <v>16</v>
      </c>
      <c r="C894" s="9" t="n">
        <v>1050</v>
      </c>
      <c r="D894" s="8" t="s">
        <v>21</v>
      </c>
      <c r="E894" s="10" t="s">
        <v>88</v>
      </c>
      <c r="F894" s="8" t="str">
        <f aca="false">TEXT(A894,"MM-YYYY")</f>
        <v>03-2025</v>
      </c>
      <c r="G894" s="8"/>
      <c r="H894" s="8"/>
      <c r="I894" s="7"/>
      <c r="J894" s="8" t="str">
        <f aca="false">VLOOKUP(B894,Table3[#All],2,0)</f>
        <v>Sales</v>
      </c>
      <c r="K894" s="8" t="str">
        <f aca="false">TEXT(ROW(), "0000")</f>
        <v>0894</v>
      </c>
      <c r="L894" s="8"/>
    </row>
    <row r="895" customFormat="false" ht="15.75" hidden="false" customHeight="true" outlineLevel="0" collapsed="false">
      <c r="A895" s="13" t="n">
        <v>45733</v>
      </c>
      <c r="B895" s="8" t="s">
        <v>16</v>
      </c>
      <c r="C895" s="9" t="n">
        <v>12564</v>
      </c>
      <c r="D895" s="8" t="s">
        <v>17</v>
      </c>
      <c r="E895" s="10" t="s">
        <v>88</v>
      </c>
      <c r="F895" s="8" t="str">
        <f aca="false">TEXT(A895,"MM-YYYY")</f>
        <v>03-2025</v>
      </c>
      <c r="G895" s="8"/>
      <c r="H895" s="8"/>
      <c r="I895" s="7"/>
      <c r="J895" s="8" t="str">
        <f aca="false">VLOOKUP(B895,Table3[#All],2,0)</f>
        <v>Sales</v>
      </c>
      <c r="K895" s="8" t="str">
        <f aca="false">TEXT(ROW(), "0000")</f>
        <v>0895</v>
      </c>
      <c r="L895" s="8"/>
    </row>
    <row r="896" customFormat="false" ht="15.75" hidden="false" customHeight="true" outlineLevel="0" collapsed="false">
      <c r="A896" s="13" t="n">
        <v>45733</v>
      </c>
      <c r="B896" s="8" t="s">
        <v>16</v>
      </c>
      <c r="C896" s="9" t="n">
        <v>150</v>
      </c>
      <c r="D896" s="8" t="s">
        <v>59</v>
      </c>
      <c r="E896" s="10" t="s">
        <v>88</v>
      </c>
      <c r="F896" s="8" t="str">
        <f aca="false">TEXT(A896,"MM-YYYY")</f>
        <v>03-2025</v>
      </c>
      <c r="G896" s="8"/>
      <c r="H896" s="8"/>
      <c r="I896" s="7"/>
      <c r="J896" s="8" t="str">
        <f aca="false">VLOOKUP(B896,Table3[#All],2,0)</f>
        <v>Sales</v>
      </c>
      <c r="K896" s="8" t="str">
        <f aca="false">TEXT(ROW(), "0000")</f>
        <v>0896</v>
      </c>
      <c r="L896" s="8"/>
    </row>
    <row r="897" customFormat="false" ht="15.75" hidden="false" customHeight="true" outlineLevel="0" collapsed="false">
      <c r="A897" s="13" t="n">
        <v>45733</v>
      </c>
      <c r="B897" s="8" t="s">
        <v>16</v>
      </c>
      <c r="C897" s="9" t="n">
        <v>2598</v>
      </c>
      <c r="D897" s="8" t="s">
        <v>24</v>
      </c>
      <c r="E897" s="10" t="s">
        <v>217</v>
      </c>
      <c r="F897" s="8" t="str">
        <f aca="false">TEXT(A897,"MM-YYYY")</f>
        <v>03-2025</v>
      </c>
      <c r="G897" s="8"/>
      <c r="H897" s="8"/>
      <c r="I897" s="7"/>
      <c r="J897" s="8" t="str">
        <f aca="false">VLOOKUP(B897,Table3[#All],2,0)</f>
        <v>Sales</v>
      </c>
      <c r="K897" s="8" t="str">
        <f aca="false">TEXT(ROW(), "0000")</f>
        <v>0897</v>
      </c>
      <c r="L897" s="8"/>
    </row>
    <row r="898" customFormat="false" ht="15.75" hidden="false" customHeight="true" outlineLevel="0" collapsed="false">
      <c r="A898" s="13" t="n">
        <v>45733</v>
      </c>
      <c r="B898" s="8" t="s">
        <v>34</v>
      </c>
      <c r="C898" s="9" t="n">
        <v>265</v>
      </c>
      <c r="D898" s="8" t="s">
        <v>45</v>
      </c>
      <c r="E898" s="10"/>
      <c r="F898" s="8" t="str">
        <f aca="false">TEXT(A898,"MM-YYYY")</f>
        <v>03-2025</v>
      </c>
      <c r="G898" s="8" t="s">
        <v>14</v>
      </c>
      <c r="H898" s="8" t="s">
        <v>15</v>
      </c>
      <c r="I898" s="7"/>
      <c r="J898" s="8" t="str">
        <f aca="false">VLOOKUP(B898,Table3[#All],2,0)</f>
        <v>Staff Expenses</v>
      </c>
      <c r="K898" s="8" t="str">
        <f aca="false">TEXT(ROW(), "0000")</f>
        <v>0898</v>
      </c>
      <c r="L898" s="8"/>
    </row>
    <row r="899" customFormat="false" ht="15.75" hidden="false" customHeight="true" outlineLevel="0" collapsed="false">
      <c r="A899" s="13" t="n">
        <v>45733</v>
      </c>
      <c r="B899" s="8" t="s">
        <v>37</v>
      </c>
      <c r="C899" s="9" t="n">
        <v>15</v>
      </c>
      <c r="D899" s="8" t="s">
        <v>21</v>
      </c>
      <c r="E899" s="10"/>
      <c r="F899" s="8" t="str">
        <f aca="false">TEXT(A899,"MM-YYYY")</f>
        <v>03-2025</v>
      </c>
      <c r="G899" s="8" t="s">
        <v>14</v>
      </c>
      <c r="H899" s="8" t="s">
        <v>15</v>
      </c>
      <c r="I899" s="7"/>
      <c r="J899" s="8" t="str">
        <f aca="false">VLOOKUP(B899,Table3[#All],2,0)</f>
        <v>Maintance</v>
      </c>
      <c r="K899" s="8" t="str">
        <f aca="false">TEXT(ROW(), "0000")</f>
        <v>0899</v>
      </c>
      <c r="L899" s="8"/>
    </row>
    <row r="900" customFormat="false" ht="15.75" hidden="false" customHeight="true" outlineLevel="0" collapsed="false">
      <c r="A900" s="13" t="n">
        <v>45734</v>
      </c>
      <c r="B900" s="8" t="s">
        <v>25</v>
      </c>
      <c r="C900" s="9" t="n">
        <v>809</v>
      </c>
      <c r="D900" s="8" t="s">
        <v>13</v>
      </c>
      <c r="E900" s="10" t="s">
        <v>26</v>
      </c>
      <c r="F900" s="8" t="str">
        <f aca="false">TEXT(A900,"MM-YYYY")</f>
        <v>03-2025</v>
      </c>
      <c r="G900" s="8" t="s">
        <v>14</v>
      </c>
      <c r="H900" s="8" t="s">
        <v>15</v>
      </c>
      <c r="I900" s="7"/>
      <c r="J900" s="8" t="str">
        <f aca="false">VLOOKUP(B900,Table3[#All],2,0)</f>
        <v>Inventory</v>
      </c>
      <c r="K900" s="8" t="str">
        <f aca="false">TEXT(ROW(), "0000")</f>
        <v>0900</v>
      </c>
      <c r="L900" s="8"/>
    </row>
    <row r="901" customFormat="false" ht="15.75" hidden="false" customHeight="true" outlineLevel="0" collapsed="false">
      <c r="A901" s="13" t="n">
        <v>45734</v>
      </c>
      <c r="B901" s="8" t="s">
        <v>19</v>
      </c>
      <c r="C901" s="9" t="n">
        <v>2236</v>
      </c>
      <c r="D901" s="8" t="s">
        <v>13</v>
      </c>
      <c r="E901" s="10" t="s">
        <v>20</v>
      </c>
      <c r="F901" s="8" t="str">
        <f aca="false">TEXT(A901,"MM-YYYY")</f>
        <v>03-2025</v>
      </c>
      <c r="G901" s="8" t="s">
        <v>14</v>
      </c>
      <c r="H901" s="8" t="s">
        <v>15</v>
      </c>
      <c r="I901" s="7"/>
      <c r="J901" s="8" t="str">
        <f aca="false">VLOOKUP(B901,Table3[#All],2,0)</f>
        <v>Inventory</v>
      </c>
      <c r="K901" s="8" t="str">
        <f aca="false">TEXT(ROW(), "0000")</f>
        <v>0901</v>
      </c>
      <c r="L901" s="8"/>
    </row>
    <row r="902" customFormat="false" ht="15.75" hidden="false" customHeight="true" outlineLevel="0" collapsed="false">
      <c r="A902" s="13" t="n">
        <v>45734</v>
      </c>
      <c r="B902" s="8" t="s">
        <v>32</v>
      </c>
      <c r="C902" s="9" t="n">
        <v>175</v>
      </c>
      <c r="D902" s="8" t="s">
        <v>21</v>
      </c>
      <c r="E902" s="10" t="s">
        <v>220</v>
      </c>
      <c r="F902" s="8" t="str">
        <f aca="false">TEXT(A902,"MM-YYYY")</f>
        <v>03-2025</v>
      </c>
      <c r="G902" s="8" t="s">
        <v>14</v>
      </c>
      <c r="H902" s="8" t="s">
        <v>15</v>
      </c>
      <c r="I902" s="7"/>
      <c r="J902" s="8" t="str">
        <f aca="false">VLOOKUP(B902,Table3[#All],2,0)</f>
        <v>Grocery</v>
      </c>
      <c r="K902" s="8" t="str">
        <f aca="false">TEXT(ROW(), "0000")</f>
        <v>0902</v>
      </c>
      <c r="L902" s="8"/>
    </row>
    <row r="903" customFormat="false" ht="15.75" hidden="false" customHeight="true" outlineLevel="0" collapsed="false">
      <c r="A903" s="13" t="n">
        <v>45734</v>
      </c>
      <c r="B903" s="8" t="s">
        <v>22</v>
      </c>
      <c r="C903" s="9" t="n">
        <v>3750</v>
      </c>
      <c r="D903" s="8" t="s">
        <v>13</v>
      </c>
      <c r="E903" s="10" t="s">
        <v>221</v>
      </c>
      <c r="F903" s="8" t="str">
        <f aca="false">TEXT(A903,"MM-YYYY")</f>
        <v>03-2025</v>
      </c>
      <c r="G903" s="8" t="s">
        <v>14</v>
      </c>
      <c r="H903" s="8" t="s">
        <v>15</v>
      </c>
      <c r="I903" s="7"/>
      <c r="J903" s="8" t="str">
        <f aca="false">VLOOKUP(B903,Table3[#All],2,0)</f>
        <v>Inventory</v>
      </c>
      <c r="K903" s="8" t="str">
        <f aca="false">TEXT(ROW(), "0000")</f>
        <v>0903</v>
      </c>
      <c r="L903" s="8"/>
    </row>
    <row r="904" customFormat="false" ht="15.75" hidden="false" customHeight="true" outlineLevel="0" collapsed="false">
      <c r="A904" s="13" t="n">
        <v>45734</v>
      </c>
      <c r="B904" s="8" t="s">
        <v>43</v>
      </c>
      <c r="C904" s="9" t="n">
        <v>600</v>
      </c>
      <c r="D904" s="8" t="s">
        <v>13</v>
      </c>
      <c r="E904" s="10" t="s">
        <v>222</v>
      </c>
      <c r="F904" s="8" t="str">
        <f aca="false">TEXT(A904,"MM-YYYY")</f>
        <v>03-2025</v>
      </c>
      <c r="G904" s="8" t="s">
        <v>14</v>
      </c>
      <c r="H904" s="8" t="s">
        <v>15</v>
      </c>
      <c r="I904" s="7"/>
      <c r="J904" s="8" t="str">
        <f aca="false">VLOOKUP(B904,Table3[#All],2,0)</f>
        <v>Maintance</v>
      </c>
      <c r="K904" s="8" t="str">
        <f aca="false">TEXT(ROW(), "0000")</f>
        <v>0904</v>
      </c>
      <c r="L904" s="8"/>
    </row>
    <row r="905" customFormat="false" ht="15.75" hidden="false" customHeight="true" outlineLevel="0" collapsed="false">
      <c r="A905" s="13" t="n">
        <v>45734</v>
      </c>
      <c r="B905" s="8" t="s">
        <v>16</v>
      </c>
      <c r="C905" s="9" t="n">
        <v>1805</v>
      </c>
      <c r="D905" s="8" t="s">
        <v>21</v>
      </c>
      <c r="E905" s="10" t="s">
        <v>88</v>
      </c>
      <c r="F905" s="8" t="str">
        <f aca="false">TEXT(A905,"MM-YYYY")</f>
        <v>03-2025</v>
      </c>
      <c r="G905" s="8"/>
      <c r="H905" s="8"/>
      <c r="I905" s="7"/>
      <c r="J905" s="8" t="str">
        <f aca="false">VLOOKUP(B905,Table3[#All],2,0)</f>
        <v>Sales</v>
      </c>
      <c r="K905" s="8" t="str">
        <f aca="false">TEXT(ROW(), "0000")</f>
        <v>0905</v>
      </c>
      <c r="L905" s="8"/>
    </row>
    <row r="906" customFormat="false" ht="15.75" hidden="false" customHeight="true" outlineLevel="0" collapsed="false">
      <c r="A906" s="13" t="n">
        <v>45734</v>
      </c>
      <c r="B906" s="8" t="s">
        <v>16</v>
      </c>
      <c r="C906" s="9" t="n">
        <v>14284</v>
      </c>
      <c r="D906" s="8" t="s">
        <v>17</v>
      </c>
      <c r="E906" s="10" t="s">
        <v>88</v>
      </c>
      <c r="F906" s="8" t="str">
        <f aca="false">TEXT(A906,"MM-YYYY")</f>
        <v>03-2025</v>
      </c>
      <c r="G906" s="8"/>
      <c r="H906" s="8"/>
      <c r="I906" s="7"/>
      <c r="J906" s="8" t="str">
        <f aca="false">VLOOKUP(B906,Table3[#All],2,0)</f>
        <v>Sales</v>
      </c>
      <c r="K906" s="8" t="str">
        <f aca="false">TEXT(ROW(), "0000")</f>
        <v>0906</v>
      </c>
      <c r="L906" s="8"/>
    </row>
    <row r="907" customFormat="false" ht="15.75" hidden="false" customHeight="true" outlineLevel="0" collapsed="false">
      <c r="A907" s="13" t="n">
        <v>45734</v>
      </c>
      <c r="B907" s="8" t="s">
        <v>16</v>
      </c>
      <c r="C907" s="9" t="n">
        <v>1363</v>
      </c>
      <c r="D907" s="8" t="s">
        <v>24</v>
      </c>
      <c r="E907" s="10" t="s">
        <v>217</v>
      </c>
      <c r="F907" s="8" t="str">
        <f aca="false">TEXT(A907,"MM-YYYY")</f>
        <v>03-2025</v>
      </c>
      <c r="G907" s="8"/>
      <c r="H907" s="8"/>
      <c r="I907" s="7"/>
      <c r="J907" s="8" t="str">
        <f aca="false">VLOOKUP(B907,Table3[#All],2,0)</f>
        <v>Sales</v>
      </c>
      <c r="K907" s="8" t="str">
        <f aca="false">TEXT(ROW(), "0000")</f>
        <v>0907</v>
      </c>
      <c r="L907" s="8"/>
    </row>
    <row r="908" customFormat="false" ht="15.75" hidden="false" customHeight="true" outlineLevel="0" collapsed="false">
      <c r="A908" s="13" t="n">
        <v>45734</v>
      </c>
      <c r="B908" s="8" t="s">
        <v>29</v>
      </c>
      <c r="C908" s="9" t="n">
        <v>498</v>
      </c>
      <c r="D908" s="8" t="s">
        <v>13</v>
      </c>
      <c r="E908" s="10" t="s">
        <v>30</v>
      </c>
      <c r="F908" s="8" t="str">
        <f aca="false">TEXT(A908,"MM-YYYY")</f>
        <v>03-2025</v>
      </c>
      <c r="G908" s="8" t="s">
        <v>14</v>
      </c>
      <c r="H908" s="8" t="s">
        <v>15</v>
      </c>
      <c r="I908" s="7"/>
      <c r="J908" s="8" t="str">
        <f aca="false">VLOOKUP(B908,Table3[#All],2,0)</f>
        <v>Inventory</v>
      </c>
      <c r="K908" s="8" t="str">
        <f aca="false">TEXT(ROW(), "0000")</f>
        <v>0908</v>
      </c>
      <c r="L908" s="8"/>
    </row>
    <row r="909" customFormat="false" ht="15.75" hidden="false" customHeight="true" outlineLevel="0" collapsed="false">
      <c r="A909" s="13" t="n">
        <v>45734</v>
      </c>
      <c r="B909" s="8" t="s">
        <v>34</v>
      </c>
      <c r="C909" s="9" t="n">
        <v>125</v>
      </c>
      <c r="D909" s="8" t="s">
        <v>45</v>
      </c>
      <c r="E909" s="10"/>
      <c r="F909" s="8" t="str">
        <f aca="false">TEXT(A909,"MM-YYYY")</f>
        <v>03-2025</v>
      </c>
      <c r="G909" s="8" t="s">
        <v>14</v>
      </c>
      <c r="H909" s="8" t="s">
        <v>15</v>
      </c>
      <c r="I909" s="7"/>
      <c r="J909" s="8" t="str">
        <f aca="false">VLOOKUP(B909,Table3[#All],2,0)</f>
        <v>Staff Expenses</v>
      </c>
      <c r="K909" s="8" t="str">
        <f aca="false">TEXT(ROW(), "0000")</f>
        <v>0909</v>
      </c>
      <c r="L909" s="8"/>
    </row>
    <row r="910" customFormat="false" ht="15.75" hidden="false" customHeight="true" outlineLevel="0" collapsed="false">
      <c r="A910" s="13" t="n">
        <v>45734</v>
      </c>
      <c r="B910" s="8" t="s">
        <v>37</v>
      </c>
      <c r="C910" s="9" t="n">
        <v>30</v>
      </c>
      <c r="D910" s="8" t="s">
        <v>21</v>
      </c>
      <c r="E910" s="10"/>
      <c r="F910" s="8" t="str">
        <f aca="false">TEXT(A910,"MM-YYYY")</f>
        <v>03-2025</v>
      </c>
      <c r="G910" s="8" t="s">
        <v>14</v>
      </c>
      <c r="H910" s="8" t="s">
        <v>15</v>
      </c>
      <c r="I910" s="7"/>
      <c r="J910" s="8" t="str">
        <f aca="false">VLOOKUP(B910,Table3[#All],2,0)</f>
        <v>Maintance</v>
      </c>
      <c r="K910" s="8" t="str">
        <f aca="false">TEXT(ROW(), "0000")</f>
        <v>0910</v>
      </c>
      <c r="L910" s="8"/>
    </row>
    <row r="911" customFormat="false" ht="15.75" hidden="false" customHeight="true" outlineLevel="0" collapsed="false">
      <c r="A911" s="13" t="n">
        <v>45735</v>
      </c>
      <c r="B911" s="8" t="s">
        <v>25</v>
      </c>
      <c r="C911" s="9" t="n">
        <v>1084</v>
      </c>
      <c r="D911" s="8" t="s">
        <v>13</v>
      </c>
      <c r="E911" s="10" t="s">
        <v>26</v>
      </c>
      <c r="F911" s="8" t="str">
        <f aca="false">TEXT(A911,"MM-YYYY")</f>
        <v>03-2025</v>
      </c>
      <c r="G911" s="8" t="s">
        <v>14</v>
      </c>
      <c r="H911" s="8" t="s">
        <v>15</v>
      </c>
      <c r="I911" s="7"/>
      <c r="J911" s="8" t="str">
        <f aca="false">VLOOKUP(B911,Table3[#All],2,0)</f>
        <v>Inventory</v>
      </c>
      <c r="K911" s="8" t="str">
        <f aca="false">TEXT(ROW(), "0000")</f>
        <v>0911</v>
      </c>
      <c r="L911" s="8"/>
    </row>
    <row r="912" customFormat="false" ht="15.75" hidden="false" customHeight="true" outlineLevel="0" collapsed="false">
      <c r="A912" s="13" t="n">
        <v>45735</v>
      </c>
      <c r="B912" s="8" t="s">
        <v>19</v>
      </c>
      <c r="C912" s="9" t="n">
        <v>3352</v>
      </c>
      <c r="D912" s="8" t="s">
        <v>13</v>
      </c>
      <c r="E912" s="10" t="s">
        <v>20</v>
      </c>
      <c r="F912" s="8" t="str">
        <f aca="false">TEXT(A912,"MM-YYYY")</f>
        <v>03-2025</v>
      </c>
      <c r="G912" s="8" t="s">
        <v>14</v>
      </c>
      <c r="H912" s="8" t="s">
        <v>15</v>
      </c>
      <c r="I912" s="7"/>
      <c r="J912" s="8" t="str">
        <f aca="false">VLOOKUP(B912,Table3[#All],2,0)</f>
        <v>Inventory</v>
      </c>
      <c r="K912" s="8" t="str">
        <f aca="false">TEXT(ROW(), "0000")</f>
        <v>0912</v>
      </c>
      <c r="L912" s="8"/>
    </row>
    <row r="913" customFormat="false" ht="15.75" hidden="false" customHeight="true" outlineLevel="0" collapsed="false">
      <c r="A913" s="13" t="n">
        <v>45735</v>
      </c>
      <c r="B913" s="8" t="s">
        <v>47</v>
      </c>
      <c r="C913" s="9" t="n">
        <v>1680</v>
      </c>
      <c r="D913" s="8" t="s">
        <v>13</v>
      </c>
      <c r="E913" s="10" t="s">
        <v>223</v>
      </c>
      <c r="F913" s="8" t="str">
        <f aca="false">TEXT(A913,"MM-YYYY")</f>
        <v>03-2025</v>
      </c>
      <c r="G913" s="8" t="s">
        <v>14</v>
      </c>
      <c r="H913" s="8" t="s">
        <v>15</v>
      </c>
      <c r="I913" s="7"/>
      <c r="J913" s="8" t="str">
        <f aca="false">VLOOKUP(B913,Table3[#All],2,0)</f>
        <v>Inventory</v>
      </c>
      <c r="K913" s="8" t="str">
        <f aca="false">TEXT(ROW(), "0000")</f>
        <v>0913</v>
      </c>
      <c r="L913" s="8"/>
    </row>
    <row r="914" customFormat="false" ht="15.75" hidden="false" customHeight="true" outlineLevel="0" collapsed="false">
      <c r="A914" s="13" t="n">
        <v>45735</v>
      </c>
      <c r="B914" s="8" t="s">
        <v>32</v>
      </c>
      <c r="C914" s="9" t="n">
        <v>210</v>
      </c>
      <c r="D914" s="8" t="s">
        <v>45</v>
      </c>
      <c r="E914" s="10" t="s">
        <v>224</v>
      </c>
      <c r="F914" s="8" t="str">
        <f aca="false">TEXT(A914,"MM-YYYY")</f>
        <v>03-2025</v>
      </c>
      <c r="G914" s="8" t="s">
        <v>14</v>
      </c>
      <c r="H914" s="8" t="s">
        <v>15</v>
      </c>
      <c r="I914" s="7"/>
      <c r="J914" s="8" t="str">
        <f aca="false">VLOOKUP(B914,Table3[#All],2,0)</f>
        <v>Grocery</v>
      </c>
      <c r="K914" s="8" t="str">
        <f aca="false">TEXT(ROW(), "0000")</f>
        <v>0914</v>
      </c>
      <c r="L914" s="8"/>
    </row>
    <row r="915" customFormat="false" ht="15.75" hidden="false" customHeight="true" outlineLevel="0" collapsed="false">
      <c r="A915" s="13" t="n">
        <v>45735</v>
      </c>
      <c r="B915" s="8" t="s">
        <v>22</v>
      </c>
      <c r="C915" s="9" t="n">
        <v>110</v>
      </c>
      <c r="D915" s="8" t="s">
        <v>21</v>
      </c>
      <c r="E915" s="10" t="s">
        <v>213</v>
      </c>
      <c r="F915" s="8" t="str">
        <f aca="false">TEXT(A915,"MM-YYYY")</f>
        <v>03-2025</v>
      </c>
      <c r="G915" s="8" t="s">
        <v>14</v>
      </c>
      <c r="H915" s="8" t="s">
        <v>15</v>
      </c>
      <c r="I915" s="7"/>
      <c r="J915" s="8" t="str">
        <f aca="false">VLOOKUP(B915,Table3[#All],2,0)</f>
        <v>Inventory</v>
      </c>
      <c r="K915" s="8" t="str">
        <f aca="false">TEXT(ROW(), "0000")</f>
        <v>0915</v>
      </c>
      <c r="L915" s="8"/>
    </row>
    <row r="916" customFormat="false" ht="15.75" hidden="false" customHeight="true" outlineLevel="0" collapsed="false">
      <c r="A916" s="13" t="n">
        <v>45735</v>
      </c>
      <c r="B916" s="8" t="s">
        <v>22</v>
      </c>
      <c r="C916" s="9" t="n">
        <v>2908</v>
      </c>
      <c r="D916" s="8" t="s">
        <v>13</v>
      </c>
      <c r="E916" s="10" t="s">
        <v>23</v>
      </c>
      <c r="F916" s="8" t="str">
        <f aca="false">TEXT(A916,"MM-YYYY")</f>
        <v>03-2025</v>
      </c>
      <c r="G916" s="8" t="s">
        <v>14</v>
      </c>
      <c r="H916" s="8" t="s">
        <v>15</v>
      </c>
      <c r="I916" s="7"/>
      <c r="J916" s="8" t="str">
        <f aca="false">VLOOKUP(B916,Table3[#All],2,0)</f>
        <v>Inventory</v>
      </c>
      <c r="K916" s="8" t="str">
        <f aca="false">TEXT(ROW(), "0000")</f>
        <v>0916</v>
      </c>
      <c r="L916" s="8"/>
    </row>
    <row r="917" customFormat="false" ht="15.75" hidden="false" customHeight="true" outlineLevel="0" collapsed="false">
      <c r="A917" s="13" t="n">
        <v>45735</v>
      </c>
      <c r="B917" s="8" t="s">
        <v>53</v>
      </c>
      <c r="C917" s="9" t="n">
        <v>975</v>
      </c>
      <c r="D917" s="8" t="s">
        <v>45</v>
      </c>
      <c r="E917" s="10" t="s">
        <v>54</v>
      </c>
      <c r="F917" s="8" t="str">
        <f aca="false">TEXT(A917,"MM-YYYY")</f>
        <v>03-2025</v>
      </c>
      <c r="G917" s="8" t="s">
        <v>14</v>
      </c>
      <c r="H917" s="8" t="s">
        <v>15</v>
      </c>
      <c r="I917" s="7"/>
      <c r="J917" s="8" t="str">
        <f aca="false">VLOOKUP(B917,Table3[#All],2,0)</f>
        <v>Grocery</v>
      </c>
      <c r="K917" s="8" t="str">
        <f aca="false">TEXT(ROW(), "0000")</f>
        <v>0917</v>
      </c>
      <c r="L917" s="8"/>
    </row>
    <row r="918" customFormat="false" ht="15.75" hidden="false" customHeight="true" outlineLevel="0" collapsed="false">
      <c r="A918" s="13" t="n">
        <v>45735</v>
      </c>
      <c r="B918" s="8" t="s">
        <v>43</v>
      </c>
      <c r="C918" s="9" t="n">
        <v>180</v>
      </c>
      <c r="D918" s="8" t="s">
        <v>45</v>
      </c>
      <c r="E918" s="10" t="s">
        <v>225</v>
      </c>
      <c r="F918" s="8" t="str">
        <f aca="false">TEXT(A918,"MM-YYYY")</f>
        <v>03-2025</v>
      </c>
      <c r="G918" s="8" t="s">
        <v>14</v>
      </c>
      <c r="H918" s="8" t="s">
        <v>15</v>
      </c>
      <c r="I918" s="7"/>
      <c r="J918" s="8" t="str">
        <f aca="false">VLOOKUP(B918,Table3[#All],2,0)</f>
        <v>Maintance</v>
      </c>
      <c r="K918" s="8" t="str">
        <f aca="false">TEXT(ROW(), "0000")</f>
        <v>0918</v>
      </c>
      <c r="L918" s="8"/>
    </row>
    <row r="919" customFormat="false" ht="15.75" hidden="false" customHeight="true" outlineLevel="0" collapsed="false">
      <c r="A919" s="13" t="n">
        <v>45735</v>
      </c>
      <c r="B919" s="8" t="s">
        <v>51</v>
      </c>
      <c r="C919" s="9" t="n">
        <v>4710</v>
      </c>
      <c r="D919" s="8" t="s">
        <v>13</v>
      </c>
      <c r="E919" s="10" t="s">
        <v>226</v>
      </c>
      <c r="F919" s="8" t="str">
        <f aca="false">TEXT(A919,"MM-YYYY")</f>
        <v>03-2025</v>
      </c>
      <c r="G919" s="8" t="s">
        <v>14</v>
      </c>
      <c r="H919" s="8" t="s">
        <v>15</v>
      </c>
      <c r="I919" s="7"/>
      <c r="J919" s="8" t="str">
        <f aca="false">VLOOKUP(B919,Table3[#All],2,0)</f>
        <v>Inventory</v>
      </c>
      <c r="K919" s="8" t="str">
        <f aca="false">TEXT(ROW(), "0000")</f>
        <v>0919</v>
      </c>
      <c r="L919" s="8"/>
    </row>
    <row r="920" customFormat="false" ht="15.75" hidden="false" customHeight="true" outlineLevel="0" collapsed="false">
      <c r="A920" s="13" t="n">
        <v>45735</v>
      </c>
      <c r="B920" s="8" t="s">
        <v>227</v>
      </c>
      <c r="C920" s="9" t="n">
        <v>4000</v>
      </c>
      <c r="D920" s="8" t="s">
        <v>13</v>
      </c>
      <c r="E920" s="10" t="s">
        <v>228</v>
      </c>
      <c r="F920" s="8" t="str">
        <f aca="false">TEXT(A920,"MM-YYYY")</f>
        <v>03-2025</v>
      </c>
      <c r="G920" s="8" t="s">
        <v>14</v>
      </c>
      <c r="H920" s="8" t="s">
        <v>15</v>
      </c>
      <c r="I920" s="7"/>
      <c r="J920" s="8" t="str">
        <f aca="false">VLOOKUP(B920,Table3[#All],2,0)</f>
        <v>Maintance</v>
      </c>
      <c r="K920" s="8" t="str">
        <f aca="false">TEXT(ROW(), "0000")</f>
        <v>0920</v>
      </c>
      <c r="L920" s="8"/>
    </row>
    <row r="921" customFormat="false" ht="15.75" hidden="false" customHeight="true" outlineLevel="0" collapsed="false">
      <c r="A921" s="13" t="n">
        <v>45735</v>
      </c>
      <c r="B921" s="8" t="s">
        <v>40</v>
      </c>
      <c r="C921" s="9" t="n">
        <v>2960</v>
      </c>
      <c r="D921" s="8" t="s">
        <v>13</v>
      </c>
      <c r="E921" s="10" t="s">
        <v>229</v>
      </c>
      <c r="F921" s="8" t="str">
        <f aca="false">TEXT(A921,"MM-YYYY")</f>
        <v>03-2025</v>
      </c>
      <c r="G921" s="8" t="s">
        <v>14</v>
      </c>
      <c r="H921" s="8" t="s">
        <v>15</v>
      </c>
      <c r="I921" s="7"/>
      <c r="J921" s="8" t="str">
        <f aca="false">VLOOKUP(B921,Table3[#All],2,0)</f>
        <v>Inventory</v>
      </c>
      <c r="K921" s="8" t="str">
        <f aca="false">TEXT(ROW(), "0000")</f>
        <v>0921</v>
      </c>
      <c r="L921" s="8"/>
    </row>
    <row r="922" customFormat="false" ht="15.75" hidden="false" customHeight="true" outlineLevel="0" collapsed="false">
      <c r="A922" s="13" t="n">
        <v>45735</v>
      </c>
      <c r="B922" s="8" t="s">
        <v>69</v>
      </c>
      <c r="C922" s="9" t="n">
        <v>700</v>
      </c>
      <c r="D922" s="8" t="s">
        <v>13</v>
      </c>
      <c r="E922" s="10" t="s">
        <v>230</v>
      </c>
      <c r="F922" s="8" t="str">
        <f aca="false">TEXT(A922,"MM-YYYY")</f>
        <v>03-2025</v>
      </c>
      <c r="G922" s="8" t="s">
        <v>14</v>
      </c>
      <c r="H922" s="8" t="s">
        <v>15</v>
      </c>
      <c r="I922" s="7"/>
      <c r="J922" s="8" t="str">
        <f aca="false">VLOOKUP(B922,Table3[#All],2,0)</f>
        <v>Fixed Maintance</v>
      </c>
      <c r="K922" s="8" t="str">
        <f aca="false">TEXT(ROW(), "0000")</f>
        <v>0922</v>
      </c>
      <c r="L922" s="8"/>
    </row>
    <row r="923" customFormat="false" ht="15.75" hidden="false" customHeight="true" outlineLevel="0" collapsed="false">
      <c r="A923" s="13" t="n">
        <v>45735</v>
      </c>
      <c r="B923" s="8" t="s">
        <v>29</v>
      </c>
      <c r="C923" s="9" t="n">
        <v>1043</v>
      </c>
      <c r="D923" s="8" t="s">
        <v>45</v>
      </c>
      <c r="E923" s="10" t="s">
        <v>231</v>
      </c>
      <c r="F923" s="8" t="str">
        <f aca="false">TEXT(A923,"MM-YYYY")</f>
        <v>03-2025</v>
      </c>
      <c r="G923" s="8" t="s">
        <v>14</v>
      </c>
      <c r="H923" s="8" t="s">
        <v>232</v>
      </c>
      <c r="I923" s="7" t="n">
        <v>45758</v>
      </c>
      <c r="J923" s="8" t="str">
        <f aca="false">VLOOKUP(B923,Table3[#All],2,0)</f>
        <v>Inventory</v>
      </c>
      <c r="K923" s="8" t="str">
        <f aca="false">TEXT(ROW(), "0000")</f>
        <v>0923</v>
      </c>
      <c r="L923" s="8"/>
    </row>
    <row r="924" customFormat="false" ht="15.75" hidden="false" customHeight="true" outlineLevel="0" collapsed="false">
      <c r="A924" s="13" t="n">
        <v>45735</v>
      </c>
      <c r="B924" s="8" t="s">
        <v>56</v>
      </c>
      <c r="C924" s="9" t="n">
        <v>1560</v>
      </c>
      <c r="D924" s="8" t="s">
        <v>13</v>
      </c>
      <c r="E924" s="10" t="s">
        <v>233</v>
      </c>
      <c r="F924" s="8" t="str">
        <f aca="false">TEXT(A924,"MM-YYYY")</f>
        <v>03-2025</v>
      </c>
      <c r="G924" s="8" t="s">
        <v>14</v>
      </c>
      <c r="H924" s="8" t="s">
        <v>15</v>
      </c>
      <c r="I924" s="7"/>
      <c r="J924" s="8" t="str">
        <f aca="false">VLOOKUP(B924,Table3[#All],2,0)</f>
        <v>New Inventory</v>
      </c>
      <c r="K924" s="8" t="str">
        <f aca="false">TEXT(ROW(), "0000")</f>
        <v>0924</v>
      </c>
      <c r="L924" s="8"/>
    </row>
    <row r="925" customFormat="false" ht="15.75" hidden="false" customHeight="true" outlineLevel="0" collapsed="false">
      <c r="A925" s="13" t="n">
        <v>45735</v>
      </c>
      <c r="B925" s="8" t="s">
        <v>31</v>
      </c>
      <c r="C925" s="9" t="n">
        <v>100</v>
      </c>
      <c r="D925" s="8" t="s">
        <v>45</v>
      </c>
      <c r="E925" s="10" t="s">
        <v>234</v>
      </c>
      <c r="F925" s="8" t="str">
        <f aca="false">TEXT(A925,"MM-YYYY")</f>
        <v>03-2025</v>
      </c>
      <c r="G925" s="8" t="s">
        <v>14</v>
      </c>
      <c r="H925" s="8" t="s">
        <v>15</v>
      </c>
      <c r="I925" s="7"/>
      <c r="J925" s="8" t="str">
        <f aca="false">VLOOKUP(B925,Table3[#All],2,0)</f>
        <v>Bike Maintance</v>
      </c>
      <c r="K925" s="8" t="str">
        <f aca="false">TEXT(ROW(), "0000")</f>
        <v>0925</v>
      </c>
      <c r="L925" s="8"/>
    </row>
    <row r="926" customFormat="false" ht="15.75" hidden="false" customHeight="true" outlineLevel="0" collapsed="false">
      <c r="A926" s="13" t="n">
        <v>45735</v>
      </c>
      <c r="B926" s="8" t="s">
        <v>16</v>
      </c>
      <c r="C926" s="9" t="n">
        <v>1510</v>
      </c>
      <c r="D926" s="8" t="s">
        <v>21</v>
      </c>
      <c r="E926" s="10" t="s">
        <v>235</v>
      </c>
      <c r="F926" s="8" t="str">
        <f aca="false">TEXT(A926,"MM-YYYY")</f>
        <v>03-2025</v>
      </c>
      <c r="G926" s="8"/>
      <c r="H926" s="8"/>
      <c r="I926" s="7"/>
      <c r="J926" s="8" t="str">
        <f aca="false">VLOOKUP(B926,Table3[#All],2,0)</f>
        <v>Sales</v>
      </c>
      <c r="K926" s="8" t="str">
        <f aca="false">TEXT(ROW(), "0000")</f>
        <v>0926</v>
      </c>
      <c r="L926" s="8"/>
    </row>
    <row r="927" customFormat="false" ht="15.75" hidden="false" customHeight="true" outlineLevel="0" collapsed="false">
      <c r="A927" s="13" t="n">
        <v>45735</v>
      </c>
      <c r="B927" s="8" t="s">
        <v>16</v>
      </c>
      <c r="C927" s="9" t="n">
        <v>11780</v>
      </c>
      <c r="D927" s="8" t="s">
        <v>17</v>
      </c>
      <c r="E927" s="10" t="s">
        <v>235</v>
      </c>
      <c r="F927" s="8" t="str">
        <f aca="false">TEXT(A927,"MM-YYYY")</f>
        <v>03-2025</v>
      </c>
      <c r="G927" s="8"/>
      <c r="H927" s="8"/>
      <c r="I927" s="7"/>
      <c r="J927" s="8" t="str">
        <f aca="false">VLOOKUP(B927,Table3[#All],2,0)</f>
        <v>Sales</v>
      </c>
      <c r="K927" s="8" t="str">
        <f aca="false">TEXT(ROW(), "0000")</f>
        <v>0927</v>
      </c>
      <c r="L927" s="8"/>
    </row>
    <row r="928" customFormat="false" ht="15.75" hidden="false" customHeight="true" outlineLevel="0" collapsed="false">
      <c r="A928" s="13" t="n">
        <v>45735</v>
      </c>
      <c r="B928" s="8" t="s">
        <v>16</v>
      </c>
      <c r="C928" s="9" t="n">
        <v>3235</v>
      </c>
      <c r="D928" s="8" t="s">
        <v>24</v>
      </c>
      <c r="E928" s="10" t="s">
        <v>217</v>
      </c>
      <c r="F928" s="8" t="str">
        <f aca="false">TEXT(A928,"MM-YYYY")</f>
        <v>03-2025</v>
      </c>
      <c r="G928" s="8"/>
      <c r="H928" s="8"/>
      <c r="I928" s="7"/>
      <c r="J928" s="8" t="str">
        <f aca="false">VLOOKUP(B928,Table3[#All],2,0)</f>
        <v>Sales</v>
      </c>
      <c r="K928" s="8" t="str">
        <f aca="false">TEXT(ROW(), "0000")</f>
        <v>0928</v>
      </c>
      <c r="L928" s="8"/>
    </row>
    <row r="929" customFormat="false" ht="15.75" hidden="false" customHeight="true" outlineLevel="0" collapsed="false">
      <c r="A929" s="13" t="n">
        <v>45735</v>
      </c>
      <c r="B929" s="8" t="s">
        <v>34</v>
      </c>
      <c r="C929" s="9" t="n">
        <v>185</v>
      </c>
      <c r="D929" s="8" t="s">
        <v>45</v>
      </c>
      <c r="E929" s="10"/>
      <c r="F929" s="8" t="str">
        <f aca="false">TEXT(A929,"MM-YYYY")</f>
        <v>03-2025</v>
      </c>
      <c r="G929" s="8" t="s">
        <v>14</v>
      </c>
      <c r="H929" s="8" t="s">
        <v>15</v>
      </c>
      <c r="I929" s="7"/>
      <c r="J929" s="8" t="str">
        <f aca="false">VLOOKUP(B929,Table3[#All],2,0)</f>
        <v>Staff Expenses</v>
      </c>
      <c r="K929" s="8" t="str">
        <f aca="false">TEXT(ROW(), "0000")</f>
        <v>0929</v>
      </c>
      <c r="L929" s="8"/>
    </row>
    <row r="930" customFormat="false" ht="15.75" hidden="false" customHeight="true" outlineLevel="0" collapsed="false">
      <c r="A930" s="13" t="n">
        <v>45735</v>
      </c>
      <c r="B930" s="8" t="s">
        <v>25</v>
      </c>
      <c r="C930" s="9" t="n">
        <v>60</v>
      </c>
      <c r="D930" s="8" t="s">
        <v>45</v>
      </c>
      <c r="E930" s="10" t="s">
        <v>42</v>
      </c>
      <c r="F930" s="8" t="str">
        <f aca="false">TEXT(A930,"MM-YYYY")</f>
        <v>03-2025</v>
      </c>
      <c r="G930" s="8" t="s">
        <v>14</v>
      </c>
      <c r="H930" s="8" t="s">
        <v>15</v>
      </c>
      <c r="I930" s="7"/>
      <c r="J930" s="8" t="str">
        <f aca="false">VLOOKUP(B930,Table3[#All],2,0)</f>
        <v>Inventory</v>
      </c>
      <c r="K930" s="8" t="str">
        <f aca="false">TEXT(ROW(), "0000")</f>
        <v>0930</v>
      </c>
      <c r="L930" s="8"/>
    </row>
    <row r="931" customFormat="false" ht="15.75" hidden="false" customHeight="true" outlineLevel="0" collapsed="false">
      <c r="A931" s="13" t="n">
        <v>45735</v>
      </c>
      <c r="B931" s="8" t="s">
        <v>44</v>
      </c>
      <c r="C931" s="9" t="n">
        <v>600</v>
      </c>
      <c r="D931" s="8" t="s">
        <v>21</v>
      </c>
      <c r="E931" s="10" t="s">
        <v>236</v>
      </c>
      <c r="F931" s="8" t="str">
        <f aca="false">TEXT(A931,"MM-YYYY")</f>
        <v>03-2025</v>
      </c>
      <c r="G931" s="8" t="s">
        <v>14</v>
      </c>
      <c r="H931" s="8" t="s">
        <v>15</v>
      </c>
      <c r="I931" s="7"/>
      <c r="J931" s="8" t="str">
        <f aca="false">VLOOKUP(B931,Table3[#All],2,0)</f>
        <v>Salary</v>
      </c>
      <c r="K931" s="8" t="str">
        <f aca="false">TEXT(ROW(), "0000")</f>
        <v>0931</v>
      </c>
      <c r="L931" s="8"/>
    </row>
    <row r="932" customFormat="false" ht="15.75" hidden="false" customHeight="true" outlineLevel="0" collapsed="false">
      <c r="A932" s="13" t="n">
        <v>45736</v>
      </c>
      <c r="B932" s="8" t="s">
        <v>19</v>
      </c>
      <c r="C932" s="9" t="n">
        <v>3293</v>
      </c>
      <c r="D932" s="8" t="s">
        <v>13</v>
      </c>
      <c r="E932" s="10" t="s">
        <v>20</v>
      </c>
      <c r="F932" s="8" t="str">
        <f aca="false">TEXT(A932,"MM-YYYY")</f>
        <v>03-2025</v>
      </c>
      <c r="G932" s="8" t="s">
        <v>14</v>
      </c>
      <c r="H932" s="8" t="s">
        <v>15</v>
      </c>
      <c r="I932" s="7"/>
      <c r="J932" s="8" t="str">
        <f aca="false">VLOOKUP(B932,Table3[#All],2,0)</f>
        <v>Inventory</v>
      </c>
      <c r="K932" s="8" t="str">
        <f aca="false">TEXT(ROW(), "0000")</f>
        <v>0932</v>
      </c>
      <c r="L932" s="8"/>
    </row>
    <row r="933" customFormat="false" ht="15.75" hidden="false" customHeight="true" outlineLevel="0" collapsed="false">
      <c r="A933" s="13" t="n">
        <v>45736</v>
      </c>
      <c r="B933" s="8" t="s">
        <v>22</v>
      </c>
      <c r="C933" s="9" t="n">
        <v>3498</v>
      </c>
      <c r="D933" s="8" t="s">
        <v>13</v>
      </c>
      <c r="E933" s="10" t="s">
        <v>23</v>
      </c>
      <c r="F933" s="8" t="str">
        <f aca="false">TEXT(A933,"MM-YYYY")</f>
        <v>03-2025</v>
      </c>
      <c r="G933" s="8" t="s">
        <v>14</v>
      </c>
      <c r="H933" s="8" t="s">
        <v>15</v>
      </c>
      <c r="I933" s="7"/>
      <c r="J933" s="8" t="str">
        <f aca="false">VLOOKUP(B933,Table3[#All],2,0)</f>
        <v>Inventory</v>
      </c>
      <c r="K933" s="8" t="str">
        <f aca="false">TEXT(ROW(), "0000")</f>
        <v>0933</v>
      </c>
      <c r="L933" s="8"/>
    </row>
    <row r="934" customFormat="false" ht="15.75" hidden="false" customHeight="true" outlineLevel="0" collapsed="false">
      <c r="A934" s="13" t="n">
        <v>45736</v>
      </c>
      <c r="B934" s="8" t="s">
        <v>40</v>
      </c>
      <c r="C934" s="9" t="n">
        <v>4440</v>
      </c>
      <c r="D934" s="8" t="s">
        <v>13</v>
      </c>
      <c r="E934" s="10" t="s">
        <v>46</v>
      </c>
      <c r="F934" s="8" t="str">
        <f aca="false">TEXT(A934,"MM-YYYY")</f>
        <v>03-2025</v>
      </c>
      <c r="G934" s="8" t="s">
        <v>14</v>
      </c>
      <c r="H934" s="8" t="s">
        <v>15</v>
      </c>
      <c r="I934" s="7"/>
      <c r="J934" s="8" t="str">
        <f aca="false">VLOOKUP(B934,Table3[#All],2,0)</f>
        <v>Inventory</v>
      </c>
      <c r="K934" s="8" t="str">
        <f aca="false">TEXT(ROW(), "0000")</f>
        <v>0934</v>
      </c>
      <c r="L934" s="8"/>
    </row>
    <row r="935" customFormat="false" ht="15.75" hidden="false" customHeight="true" outlineLevel="0" collapsed="false">
      <c r="A935" s="13" t="n">
        <v>45736</v>
      </c>
      <c r="B935" s="8" t="s">
        <v>56</v>
      </c>
      <c r="C935" s="9" t="n">
        <v>1500</v>
      </c>
      <c r="D935" s="8" t="s">
        <v>13</v>
      </c>
      <c r="E935" s="10" t="s">
        <v>237</v>
      </c>
      <c r="F935" s="8" t="str">
        <f aca="false">TEXT(A935,"MM-YYYY")</f>
        <v>03-2025</v>
      </c>
      <c r="G935" s="8" t="s">
        <v>14</v>
      </c>
      <c r="H935" s="8" t="s">
        <v>15</v>
      </c>
      <c r="I935" s="7"/>
      <c r="J935" s="8" t="str">
        <f aca="false">VLOOKUP(B935,Table3[#All],2,0)</f>
        <v>New Inventory</v>
      </c>
      <c r="K935" s="8" t="str">
        <f aca="false">TEXT(ROW(), "0000")</f>
        <v>0935</v>
      </c>
      <c r="L935" s="8"/>
    </row>
    <row r="936" customFormat="false" ht="15.75" hidden="false" customHeight="true" outlineLevel="0" collapsed="false">
      <c r="A936" s="13" t="n">
        <v>45736</v>
      </c>
      <c r="B936" s="8" t="s">
        <v>25</v>
      </c>
      <c r="C936" s="9" t="n">
        <v>925</v>
      </c>
      <c r="D936" s="8" t="s">
        <v>13</v>
      </c>
      <c r="E936" s="10" t="s">
        <v>26</v>
      </c>
      <c r="F936" s="8" t="str">
        <f aca="false">TEXT(A936,"MM-YYYY")</f>
        <v>03-2025</v>
      </c>
      <c r="G936" s="8" t="s">
        <v>14</v>
      </c>
      <c r="H936" s="8" t="s">
        <v>15</v>
      </c>
      <c r="I936" s="7"/>
      <c r="J936" s="8" t="str">
        <f aca="false">VLOOKUP(B936,Table3[#All],2,0)</f>
        <v>Inventory</v>
      </c>
      <c r="K936" s="8" t="str">
        <f aca="false">TEXT(ROW(), "0000")</f>
        <v>0936</v>
      </c>
      <c r="L936" s="8"/>
    </row>
    <row r="937" customFormat="false" ht="15.75" hidden="false" customHeight="true" outlineLevel="0" collapsed="false">
      <c r="A937" s="13" t="n">
        <v>45736</v>
      </c>
      <c r="B937" s="8" t="s">
        <v>32</v>
      </c>
      <c r="C937" s="9" t="n">
        <v>210</v>
      </c>
      <c r="D937" s="8" t="s">
        <v>21</v>
      </c>
      <c r="E937" s="10" t="s">
        <v>224</v>
      </c>
      <c r="F937" s="8" t="str">
        <f aca="false">TEXT(A937,"MM-YYYY")</f>
        <v>03-2025</v>
      </c>
      <c r="G937" s="8" t="s">
        <v>14</v>
      </c>
      <c r="H937" s="8" t="s">
        <v>15</v>
      </c>
      <c r="I937" s="7"/>
      <c r="J937" s="8" t="str">
        <f aca="false">VLOOKUP(B937,Table3[#All],2,0)</f>
        <v>Grocery</v>
      </c>
      <c r="K937" s="8" t="str">
        <f aca="false">TEXT(ROW(), "0000")</f>
        <v>0937</v>
      </c>
      <c r="L937" s="8"/>
    </row>
    <row r="938" customFormat="false" ht="15.75" hidden="false" customHeight="true" outlineLevel="0" collapsed="false">
      <c r="A938" s="13" t="n">
        <v>45736</v>
      </c>
      <c r="B938" s="8" t="s">
        <v>28</v>
      </c>
      <c r="C938" s="9" t="n">
        <v>420</v>
      </c>
      <c r="D938" s="8" t="s">
        <v>21</v>
      </c>
      <c r="E938" s="10" t="s">
        <v>93</v>
      </c>
      <c r="F938" s="8" t="str">
        <f aca="false">TEXT(A938,"MM-YYYY")</f>
        <v>03-2025</v>
      </c>
      <c r="G938" s="8" t="s">
        <v>14</v>
      </c>
      <c r="H938" s="8" t="s">
        <v>15</v>
      </c>
      <c r="I938" s="7"/>
      <c r="J938" s="8" t="str">
        <f aca="false">VLOOKUP(B938,Table3[#All],2,0)</f>
        <v>Grocery</v>
      </c>
      <c r="K938" s="8" t="str">
        <f aca="false">TEXT(ROW(), "0000")</f>
        <v>0938</v>
      </c>
      <c r="L938" s="8"/>
    </row>
    <row r="939" customFormat="false" ht="15.75" hidden="false" customHeight="true" outlineLevel="0" collapsed="false">
      <c r="A939" s="13" t="n">
        <v>45736</v>
      </c>
      <c r="B939" s="8" t="s">
        <v>16</v>
      </c>
      <c r="C939" s="9" t="n">
        <v>2080</v>
      </c>
      <c r="D939" s="8" t="s">
        <v>21</v>
      </c>
      <c r="E939" s="10" t="s">
        <v>235</v>
      </c>
      <c r="F939" s="8" t="str">
        <f aca="false">TEXT(A939,"MM-YYYY")</f>
        <v>03-2025</v>
      </c>
      <c r="G939" s="8"/>
      <c r="H939" s="8"/>
      <c r="I939" s="7"/>
      <c r="J939" s="8" t="str">
        <f aca="false">VLOOKUP(B939,Table3[#All],2,0)</f>
        <v>Sales</v>
      </c>
      <c r="K939" s="8" t="str">
        <f aca="false">TEXT(ROW(), "0000")</f>
        <v>0939</v>
      </c>
      <c r="L939" s="8"/>
    </row>
    <row r="940" customFormat="false" ht="15.75" hidden="false" customHeight="true" outlineLevel="0" collapsed="false">
      <c r="A940" s="13" t="n">
        <v>45736</v>
      </c>
      <c r="B940" s="8" t="s">
        <v>16</v>
      </c>
      <c r="C940" s="9" t="n">
        <v>790</v>
      </c>
      <c r="D940" s="8" t="s">
        <v>27</v>
      </c>
      <c r="E940" s="10" t="s">
        <v>235</v>
      </c>
      <c r="F940" s="8" t="str">
        <f aca="false">TEXT(A940,"MM-YYYY")</f>
        <v>03-2025</v>
      </c>
      <c r="G940" s="8"/>
      <c r="H940" s="8"/>
      <c r="I940" s="7"/>
      <c r="J940" s="8" t="str">
        <f aca="false">VLOOKUP(B940,Table3[#All],2,0)</f>
        <v>Sales</v>
      </c>
      <c r="K940" s="8" t="str">
        <f aca="false">TEXT(ROW(), "0000")</f>
        <v>0940</v>
      </c>
      <c r="L940" s="8"/>
    </row>
    <row r="941" customFormat="false" ht="15.75" hidden="false" customHeight="true" outlineLevel="0" collapsed="false">
      <c r="A941" s="13" t="n">
        <v>45736</v>
      </c>
      <c r="B941" s="8" t="s">
        <v>16</v>
      </c>
      <c r="C941" s="9" t="n">
        <v>14847</v>
      </c>
      <c r="D941" s="8" t="s">
        <v>17</v>
      </c>
      <c r="E941" s="10" t="s">
        <v>235</v>
      </c>
      <c r="F941" s="8" t="str">
        <f aca="false">TEXT(A941,"MM-YYYY")</f>
        <v>03-2025</v>
      </c>
      <c r="G941" s="8"/>
      <c r="H941" s="8"/>
      <c r="I941" s="7"/>
      <c r="J941" s="8" t="str">
        <f aca="false">VLOOKUP(B941,Table3[#All],2,0)</f>
        <v>Sales</v>
      </c>
      <c r="K941" s="8" t="str">
        <f aca="false">TEXT(ROW(), "0000")</f>
        <v>0941</v>
      </c>
      <c r="L941" s="8"/>
    </row>
    <row r="942" customFormat="false" ht="15.75" hidden="false" customHeight="true" outlineLevel="0" collapsed="false">
      <c r="A942" s="13" t="n">
        <v>45736</v>
      </c>
      <c r="B942" s="8" t="s">
        <v>16</v>
      </c>
      <c r="C942" s="9" t="n">
        <v>1289</v>
      </c>
      <c r="D942" s="8" t="s">
        <v>24</v>
      </c>
      <c r="E942" s="10" t="s">
        <v>217</v>
      </c>
      <c r="F942" s="8" t="str">
        <f aca="false">TEXT(A942,"MM-YYYY")</f>
        <v>03-2025</v>
      </c>
      <c r="G942" s="8"/>
      <c r="H942" s="8"/>
      <c r="I942" s="7"/>
      <c r="J942" s="8" t="str">
        <f aca="false">VLOOKUP(B942,Table3[#All],2,0)</f>
        <v>Sales</v>
      </c>
      <c r="K942" s="8" t="str">
        <f aca="false">TEXT(ROW(), "0000")</f>
        <v>0942</v>
      </c>
      <c r="L942" s="8"/>
    </row>
    <row r="943" customFormat="false" ht="15.75" hidden="false" customHeight="true" outlineLevel="0" collapsed="false">
      <c r="A943" s="13" t="n">
        <v>45736</v>
      </c>
      <c r="B943" s="8" t="s">
        <v>34</v>
      </c>
      <c r="C943" s="9" t="n">
        <v>150</v>
      </c>
      <c r="D943" s="8" t="s">
        <v>45</v>
      </c>
      <c r="E943" s="10"/>
      <c r="F943" s="8" t="str">
        <f aca="false">TEXT(A943,"MM-YYYY")</f>
        <v>03-2025</v>
      </c>
      <c r="G943" s="8" t="s">
        <v>14</v>
      </c>
      <c r="H943" s="8" t="s">
        <v>15</v>
      </c>
      <c r="I943" s="7"/>
      <c r="J943" s="8" t="str">
        <f aca="false">VLOOKUP(B943,Table3[#All],2,0)</f>
        <v>Staff Expenses</v>
      </c>
      <c r="K943" s="8" t="str">
        <f aca="false">TEXT(ROW(), "0000")</f>
        <v>0943</v>
      </c>
      <c r="L943" s="8"/>
    </row>
    <row r="944" customFormat="false" ht="15.75" hidden="false" customHeight="true" outlineLevel="0" collapsed="false">
      <c r="A944" s="13" t="n">
        <v>45736</v>
      </c>
      <c r="B944" s="8" t="s">
        <v>25</v>
      </c>
      <c r="C944" s="9" t="n">
        <v>60</v>
      </c>
      <c r="D944" s="8" t="s">
        <v>45</v>
      </c>
      <c r="E944" s="10" t="s">
        <v>42</v>
      </c>
      <c r="F944" s="8" t="str">
        <f aca="false">TEXT(A944,"MM-YYYY")</f>
        <v>03-2025</v>
      </c>
      <c r="G944" s="8" t="s">
        <v>14</v>
      </c>
      <c r="H944" s="8" t="s">
        <v>15</v>
      </c>
      <c r="I944" s="7"/>
      <c r="J944" s="8" t="str">
        <f aca="false">VLOOKUP(B944,Table3[#All],2,0)</f>
        <v>Inventory</v>
      </c>
      <c r="K944" s="8" t="str">
        <f aca="false">TEXT(ROW(), "0000")</f>
        <v>0944</v>
      </c>
      <c r="L944" s="8"/>
    </row>
    <row r="945" customFormat="false" ht="15.75" hidden="false" customHeight="true" outlineLevel="0" collapsed="false">
      <c r="A945" s="13" t="n">
        <v>45736</v>
      </c>
      <c r="B945" s="8" t="s">
        <v>29</v>
      </c>
      <c r="C945" s="9" t="n">
        <v>315</v>
      </c>
      <c r="D945" s="8" t="s">
        <v>13</v>
      </c>
      <c r="E945" s="10" t="s">
        <v>30</v>
      </c>
      <c r="F945" s="8" t="str">
        <f aca="false">TEXT(A945,"MM-YYYY")</f>
        <v>03-2025</v>
      </c>
      <c r="G945" s="8" t="s">
        <v>14</v>
      </c>
      <c r="H945" s="8" t="s">
        <v>15</v>
      </c>
      <c r="I945" s="7"/>
      <c r="J945" s="8" t="str">
        <f aca="false">VLOOKUP(B945,Table3[#All],2,0)</f>
        <v>Inventory</v>
      </c>
      <c r="K945" s="8" t="str">
        <f aca="false">TEXT(ROW(), "0000")</f>
        <v>0945</v>
      </c>
      <c r="L945" s="8"/>
    </row>
    <row r="946" customFormat="false" ht="15.75" hidden="false" customHeight="true" outlineLevel="0" collapsed="false">
      <c r="A946" s="13" t="n">
        <v>45737</v>
      </c>
      <c r="B946" s="8" t="s">
        <v>47</v>
      </c>
      <c r="C946" s="9" t="n">
        <v>840</v>
      </c>
      <c r="D946" s="8" t="s">
        <v>13</v>
      </c>
      <c r="E946" s="10" t="s">
        <v>238</v>
      </c>
      <c r="F946" s="8" t="str">
        <f aca="false">TEXT(A946,"MM-YYYY")</f>
        <v>03-2025</v>
      </c>
      <c r="G946" s="8" t="s">
        <v>14</v>
      </c>
      <c r="H946" s="8" t="s">
        <v>15</v>
      </c>
      <c r="I946" s="7"/>
      <c r="J946" s="8" t="str">
        <f aca="false">VLOOKUP(B946,Table3[#All],2,0)</f>
        <v>Inventory</v>
      </c>
      <c r="K946" s="8" t="str">
        <f aca="false">TEXT(ROW(), "0000")</f>
        <v>0946</v>
      </c>
      <c r="L946" s="8"/>
    </row>
    <row r="947" customFormat="false" ht="15.75" hidden="false" customHeight="true" outlineLevel="0" collapsed="false">
      <c r="A947" s="13" t="n">
        <v>45737</v>
      </c>
      <c r="B947" s="8" t="s">
        <v>53</v>
      </c>
      <c r="C947" s="9" t="n">
        <v>1200</v>
      </c>
      <c r="D947" s="8" t="s">
        <v>21</v>
      </c>
      <c r="E947" s="10" t="s">
        <v>239</v>
      </c>
      <c r="F947" s="8" t="str">
        <f aca="false">TEXT(A947,"MM-YYYY")</f>
        <v>03-2025</v>
      </c>
      <c r="G947" s="8" t="s">
        <v>14</v>
      </c>
      <c r="H947" s="8" t="s">
        <v>15</v>
      </c>
      <c r="I947" s="7"/>
      <c r="J947" s="8" t="str">
        <f aca="false">VLOOKUP(B947,Table3[#All],2,0)</f>
        <v>Grocery</v>
      </c>
      <c r="K947" s="8" t="str">
        <f aca="false">TEXT(ROW(), "0000")</f>
        <v>0947</v>
      </c>
      <c r="L947" s="8"/>
    </row>
    <row r="948" customFormat="false" ht="15.75" hidden="false" customHeight="true" outlineLevel="0" collapsed="false">
      <c r="A948" s="13" t="n">
        <v>45737</v>
      </c>
      <c r="B948" s="8" t="s">
        <v>25</v>
      </c>
      <c r="C948" s="9" t="n">
        <v>1318</v>
      </c>
      <c r="D948" s="8" t="s">
        <v>13</v>
      </c>
      <c r="E948" s="10" t="s">
        <v>26</v>
      </c>
      <c r="F948" s="8" t="str">
        <f aca="false">TEXT(A948,"MM-YYYY")</f>
        <v>03-2025</v>
      </c>
      <c r="G948" s="8" t="s">
        <v>14</v>
      </c>
      <c r="H948" s="8" t="s">
        <v>15</v>
      </c>
      <c r="I948" s="7"/>
      <c r="J948" s="8" t="str">
        <f aca="false">VLOOKUP(B948,Table3[#All],2,0)</f>
        <v>Inventory</v>
      </c>
      <c r="K948" s="8" t="str">
        <f aca="false">TEXT(ROW(), "0000")</f>
        <v>0948</v>
      </c>
      <c r="L948" s="8"/>
    </row>
    <row r="949" customFormat="false" ht="15.75" hidden="false" customHeight="true" outlineLevel="0" collapsed="false">
      <c r="A949" s="13" t="n">
        <v>45737</v>
      </c>
      <c r="B949" s="8" t="s">
        <v>32</v>
      </c>
      <c r="C949" s="9" t="n">
        <v>280</v>
      </c>
      <c r="D949" s="8" t="s">
        <v>21</v>
      </c>
      <c r="E949" s="10" t="s">
        <v>240</v>
      </c>
      <c r="F949" s="8" t="str">
        <f aca="false">TEXT(A949,"MM-YYYY")</f>
        <v>03-2025</v>
      </c>
      <c r="G949" s="8" t="s">
        <v>14</v>
      </c>
      <c r="H949" s="8" t="s">
        <v>15</v>
      </c>
      <c r="I949" s="7"/>
      <c r="J949" s="8" t="str">
        <f aca="false">VLOOKUP(B949,Table3[#All],2,0)</f>
        <v>Grocery</v>
      </c>
      <c r="K949" s="8" t="str">
        <f aca="false">TEXT(ROW(), "0000")</f>
        <v>0949</v>
      </c>
      <c r="L949" s="8"/>
    </row>
    <row r="950" customFormat="false" ht="15.75" hidden="false" customHeight="true" outlineLevel="0" collapsed="false">
      <c r="A950" s="13" t="n">
        <v>45737</v>
      </c>
      <c r="B950" s="8" t="s">
        <v>29</v>
      </c>
      <c r="C950" s="9" t="n">
        <v>640</v>
      </c>
      <c r="D950" s="8" t="s">
        <v>45</v>
      </c>
      <c r="E950" s="10" t="s">
        <v>231</v>
      </c>
      <c r="F950" s="8" t="str">
        <f aca="false">TEXT(A950,"MM-YYYY")</f>
        <v>03-2025</v>
      </c>
      <c r="G950" s="8" t="s">
        <v>14</v>
      </c>
      <c r="H950" s="8" t="s">
        <v>232</v>
      </c>
      <c r="I950" s="7" t="n">
        <v>45758</v>
      </c>
      <c r="J950" s="8" t="str">
        <f aca="false">VLOOKUP(B950,Table3[#All],2,0)</f>
        <v>Inventory</v>
      </c>
      <c r="K950" s="8" t="str">
        <f aca="false">TEXT(ROW(), "0000")</f>
        <v>0950</v>
      </c>
      <c r="L950" s="8"/>
    </row>
    <row r="951" customFormat="false" ht="15.75" hidden="false" customHeight="true" outlineLevel="0" collapsed="false">
      <c r="A951" s="13" t="n">
        <v>45737</v>
      </c>
      <c r="B951" s="8" t="s">
        <v>51</v>
      </c>
      <c r="C951" s="9" t="n">
        <v>1335</v>
      </c>
      <c r="D951" s="8" t="s">
        <v>13</v>
      </c>
      <c r="E951" s="10" t="s">
        <v>226</v>
      </c>
      <c r="F951" s="8" t="str">
        <f aca="false">TEXT(A951,"MM-YYYY")</f>
        <v>03-2025</v>
      </c>
      <c r="G951" s="8" t="s">
        <v>14</v>
      </c>
      <c r="H951" s="8" t="s">
        <v>15</v>
      </c>
      <c r="I951" s="7"/>
      <c r="J951" s="8" t="str">
        <f aca="false">VLOOKUP(B951,Table3[#All],2,0)</f>
        <v>Inventory</v>
      </c>
      <c r="K951" s="8" t="str">
        <f aca="false">TEXT(ROW(), "0000")</f>
        <v>0951</v>
      </c>
      <c r="L951" s="8"/>
    </row>
    <row r="952" customFormat="false" ht="15.75" hidden="false" customHeight="true" outlineLevel="0" collapsed="false">
      <c r="A952" s="13" t="n">
        <v>45737</v>
      </c>
      <c r="B952" s="8" t="s">
        <v>16</v>
      </c>
      <c r="C952" s="9" t="n">
        <v>7710</v>
      </c>
      <c r="D952" s="8" t="s">
        <v>21</v>
      </c>
      <c r="E952" s="10" t="s">
        <v>235</v>
      </c>
      <c r="F952" s="8" t="str">
        <f aca="false">TEXT(A952,"MM-YYYY")</f>
        <v>03-2025</v>
      </c>
      <c r="G952" s="8"/>
      <c r="H952" s="8"/>
      <c r="I952" s="7"/>
      <c r="J952" s="8" t="str">
        <f aca="false">VLOOKUP(B952,Table3[#All],2,0)</f>
        <v>Sales</v>
      </c>
      <c r="K952" s="8" t="str">
        <f aca="false">TEXT(ROW(), "0000")</f>
        <v>0952</v>
      </c>
      <c r="L952" s="8"/>
    </row>
    <row r="953" customFormat="false" ht="15.75" hidden="false" customHeight="true" outlineLevel="0" collapsed="false">
      <c r="A953" s="13" t="n">
        <v>45737</v>
      </c>
      <c r="B953" s="8" t="s">
        <v>16</v>
      </c>
      <c r="C953" s="9" t="n">
        <v>1615</v>
      </c>
      <c r="D953" s="8" t="s">
        <v>27</v>
      </c>
      <c r="E953" s="10" t="s">
        <v>235</v>
      </c>
      <c r="F953" s="8" t="str">
        <f aca="false">TEXT(A953,"MM-YYYY")</f>
        <v>03-2025</v>
      </c>
      <c r="G953" s="8"/>
      <c r="H953" s="8"/>
      <c r="I953" s="7"/>
      <c r="J953" s="8" t="str">
        <f aca="false">VLOOKUP(B953,Table3[#All],2,0)</f>
        <v>Sales</v>
      </c>
      <c r="K953" s="8" t="str">
        <f aca="false">TEXT(ROW(), "0000")</f>
        <v>0953</v>
      </c>
      <c r="L953" s="8"/>
    </row>
    <row r="954" customFormat="false" ht="15.75" hidden="false" customHeight="true" outlineLevel="0" collapsed="false">
      <c r="A954" s="13" t="n">
        <v>45737</v>
      </c>
      <c r="B954" s="8" t="s">
        <v>16</v>
      </c>
      <c r="C954" s="9" t="n">
        <v>1740</v>
      </c>
      <c r="D954" s="8" t="s">
        <v>33</v>
      </c>
      <c r="E954" s="10" t="s">
        <v>235</v>
      </c>
      <c r="F954" s="8" t="str">
        <f aca="false">TEXT(A954,"MM-YYYY")</f>
        <v>03-2025</v>
      </c>
      <c r="G954" s="8"/>
      <c r="H954" s="8"/>
      <c r="I954" s="7"/>
      <c r="J954" s="8" t="str">
        <f aca="false">VLOOKUP(B954,Table3[#All],2,0)</f>
        <v>Sales</v>
      </c>
      <c r="K954" s="8" t="str">
        <f aca="false">TEXT(ROW(), "0000")</f>
        <v>0954</v>
      </c>
      <c r="L954" s="8"/>
    </row>
    <row r="955" customFormat="false" ht="15.75" hidden="false" customHeight="true" outlineLevel="0" collapsed="false">
      <c r="A955" s="13" t="n">
        <v>45737</v>
      </c>
      <c r="B955" s="8" t="s">
        <v>16</v>
      </c>
      <c r="C955" s="9" t="n">
        <v>25241</v>
      </c>
      <c r="D955" s="8" t="s">
        <v>17</v>
      </c>
      <c r="E955" s="10" t="s">
        <v>235</v>
      </c>
      <c r="F955" s="8" t="str">
        <f aca="false">TEXT(A955,"MM-YYYY")</f>
        <v>03-2025</v>
      </c>
      <c r="G955" s="8"/>
      <c r="H955" s="8"/>
      <c r="I955" s="7"/>
      <c r="J955" s="8" t="str">
        <f aca="false">VLOOKUP(B955,Table3[#All],2,0)</f>
        <v>Sales</v>
      </c>
      <c r="K955" s="8" t="str">
        <f aca="false">TEXT(ROW(), "0000")</f>
        <v>0955</v>
      </c>
      <c r="L955" s="8"/>
    </row>
    <row r="956" customFormat="false" ht="15.75" hidden="false" customHeight="true" outlineLevel="0" collapsed="false">
      <c r="A956" s="13" t="n">
        <v>45737</v>
      </c>
      <c r="B956" s="8" t="s">
        <v>16</v>
      </c>
      <c r="C956" s="9" t="n">
        <v>3633</v>
      </c>
      <c r="D956" s="8" t="s">
        <v>24</v>
      </c>
      <c r="E956" s="10" t="s">
        <v>217</v>
      </c>
      <c r="F956" s="8" t="str">
        <f aca="false">TEXT(A956,"MM-YYYY")</f>
        <v>03-2025</v>
      </c>
      <c r="G956" s="8"/>
      <c r="H956" s="8"/>
      <c r="I956" s="7"/>
      <c r="J956" s="8" t="str">
        <f aca="false">VLOOKUP(B956,Table3[#All],2,0)</f>
        <v>Sales</v>
      </c>
      <c r="K956" s="8" t="str">
        <f aca="false">TEXT(ROW(), "0000")</f>
        <v>0956</v>
      </c>
      <c r="L956" s="8"/>
    </row>
    <row r="957" customFormat="false" ht="15.75" hidden="false" customHeight="true" outlineLevel="0" collapsed="false">
      <c r="A957" s="13" t="n">
        <v>45737</v>
      </c>
      <c r="B957" s="8" t="s">
        <v>19</v>
      </c>
      <c r="C957" s="9" t="n">
        <v>4024</v>
      </c>
      <c r="D957" s="8" t="s">
        <v>13</v>
      </c>
      <c r="E957" s="10" t="s">
        <v>20</v>
      </c>
      <c r="F957" s="8" t="str">
        <f aca="false">TEXT(A957,"MM-YYYY")</f>
        <v>03-2025</v>
      </c>
      <c r="G957" s="8" t="s">
        <v>14</v>
      </c>
      <c r="H957" s="8" t="s">
        <v>15</v>
      </c>
      <c r="I957" s="7"/>
      <c r="J957" s="8" t="str">
        <f aca="false">VLOOKUP(B957,Table3[#All],2,0)</f>
        <v>Inventory</v>
      </c>
      <c r="K957" s="8" t="str">
        <f aca="false">TEXT(ROW(), "0000")</f>
        <v>0957</v>
      </c>
      <c r="L957" s="8"/>
    </row>
    <row r="958" customFormat="false" ht="15.75" hidden="false" customHeight="true" outlineLevel="0" collapsed="false">
      <c r="A958" s="13" t="n">
        <v>45737</v>
      </c>
      <c r="B958" s="8" t="s">
        <v>40</v>
      </c>
      <c r="C958" s="9" t="n">
        <v>3700</v>
      </c>
      <c r="D958" s="8" t="s">
        <v>13</v>
      </c>
      <c r="E958" s="10" t="s">
        <v>46</v>
      </c>
      <c r="F958" s="8" t="str">
        <f aca="false">TEXT(A958,"MM-YYYY")</f>
        <v>03-2025</v>
      </c>
      <c r="G958" s="8" t="s">
        <v>14</v>
      </c>
      <c r="H958" s="8" t="s">
        <v>15</v>
      </c>
      <c r="I958" s="7"/>
      <c r="J958" s="8" t="str">
        <f aca="false">VLOOKUP(B958,Table3[#All],2,0)</f>
        <v>Inventory</v>
      </c>
      <c r="K958" s="8" t="str">
        <f aca="false">TEXT(ROW(), "0000")</f>
        <v>0958</v>
      </c>
      <c r="L958" s="8"/>
    </row>
    <row r="959" customFormat="false" ht="15.75" hidden="false" customHeight="true" outlineLevel="0" collapsed="false">
      <c r="A959" s="13" t="n">
        <v>45737</v>
      </c>
      <c r="B959" s="8" t="s">
        <v>34</v>
      </c>
      <c r="C959" s="9" t="n">
        <v>120</v>
      </c>
      <c r="D959" s="8" t="s">
        <v>45</v>
      </c>
      <c r="E959" s="10"/>
      <c r="F959" s="8" t="str">
        <f aca="false">TEXT(A959,"MM-YYYY")</f>
        <v>03-2025</v>
      </c>
      <c r="G959" s="8" t="s">
        <v>14</v>
      </c>
      <c r="H959" s="8" t="s">
        <v>15</v>
      </c>
      <c r="I959" s="7"/>
      <c r="J959" s="8" t="str">
        <f aca="false">VLOOKUP(B959,Table3[#All],2,0)</f>
        <v>Staff Expenses</v>
      </c>
      <c r="K959" s="8" t="str">
        <f aca="false">TEXT(ROW(), "0000")</f>
        <v>0959</v>
      </c>
      <c r="L959" s="8"/>
    </row>
    <row r="960" customFormat="false" ht="15.75" hidden="false" customHeight="true" outlineLevel="0" collapsed="false">
      <c r="A960" s="13" t="n">
        <v>45737</v>
      </c>
      <c r="B960" s="8" t="s">
        <v>63</v>
      </c>
      <c r="C960" s="9" t="n">
        <v>600</v>
      </c>
      <c r="D960" s="8" t="s">
        <v>45</v>
      </c>
      <c r="E960" s="10" t="s">
        <v>241</v>
      </c>
      <c r="F960" s="8" t="str">
        <f aca="false">TEXT(A960,"MM-YYYY")</f>
        <v>03-2025</v>
      </c>
      <c r="G960" s="8" t="s">
        <v>14</v>
      </c>
      <c r="H960" s="8" t="s">
        <v>15</v>
      </c>
      <c r="I960" s="7"/>
      <c r="J960" s="8" t="str">
        <f aca="false">VLOOKUP(B960,Table3[#All],2,0)</f>
        <v>Maintance</v>
      </c>
      <c r="K960" s="8" t="str">
        <f aca="false">TEXT(ROW(), "0000")</f>
        <v>0960</v>
      </c>
      <c r="L960" s="8"/>
    </row>
    <row r="961" customFormat="false" ht="15.75" hidden="false" customHeight="true" outlineLevel="0" collapsed="false">
      <c r="A961" s="13" t="n">
        <v>45737</v>
      </c>
      <c r="B961" s="8" t="s">
        <v>37</v>
      </c>
      <c r="C961" s="9" t="n">
        <v>30</v>
      </c>
      <c r="D961" s="8" t="s">
        <v>21</v>
      </c>
      <c r="E961" s="10"/>
      <c r="F961" s="8" t="str">
        <f aca="false">TEXT(A961,"MM-YYYY")</f>
        <v>03-2025</v>
      </c>
      <c r="G961" s="8" t="s">
        <v>14</v>
      </c>
      <c r="H961" s="8" t="s">
        <v>15</v>
      </c>
      <c r="I961" s="7"/>
      <c r="J961" s="8" t="str">
        <f aca="false">VLOOKUP(B961,Table3[#All],2,0)</f>
        <v>Maintance</v>
      </c>
      <c r="K961" s="8" t="str">
        <f aca="false">TEXT(ROW(), "0000")</f>
        <v>0961</v>
      </c>
      <c r="L961" s="8"/>
    </row>
    <row r="962" customFormat="false" ht="15.75" hidden="false" customHeight="true" outlineLevel="0" collapsed="false">
      <c r="A962" s="13" t="n">
        <v>45738</v>
      </c>
      <c r="B962" s="8" t="s">
        <v>29</v>
      </c>
      <c r="C962" s="9" t="n">
        <v>794</v>
      </c>
      <c r="D962" s="8" t="s">
        <v>45</v>
      </c>
      <c r="E962" s="10" t="s">
        <v>231</v>
      </c>
      <c r="F962" s="8" t="str">
        <f aca="false">TEXT(A962,"MM-YYYY")</f>
        <v>03-2025</v>
      </c>
      <c r="G962" s="8" t="s">
        <v>14</v>
      </c>
      <c r="H962" s="8" t="s">
        <v>232</v>
      </c>
      <c r="I962" s="7" t="n">
        <v>45758</v>
      </c>
      <c r="J962" s="8" t="str">
        <f aca="false">VLOOKUP(B962,Table3[#All],2,0)</f>
        <v>Inventory</v>
      </c>
      <c r="K962" s="8" t="str">
        <f aca="false">TEXT(ROW(), "0000")</f>
        <v>0962</v>
      </c>
      <c r="L962" s="8"/>
    </row>
    <row r="963" customFormat="false" ht="15.75" hidden="false" customHeight="true" outlineLevel="0" collapsed="false">
      <c r="A963" s="13" t="n">
        <v>45738</v>
      </c>
      <c r="B963" s="8" t="s">
        <v>19</v>
      </c>
      <c r="C963" s="9" t="n">
        <v>9466</v>
      </c>
      <c r="D963" s="8" t="s">
        <v>13</v>
      </c>
      <c r="E963" s="10" t="s">
        <v>20</v>
      </c>
      <c r="F963" s="8" t="str">
        <f aca="false">TEXT(A963,"MM-YYYY")</f>
        <v>03-2025</v>
      </c>
      <c r="G963" s="8" t="s">
        <v>14</v>
      </c>
      <c r="H963" s="8" t="s">
        <v>15</v>
      </c>
      <c r="I963" s="7"/>
      <c r="J963" s="8" t="str">
        <f aca="false">VLOOKUP(B963,Table3[#All],2,0)</f>
        <v>Inventory</v>
      </c>
      <c r="K963" s="8" t="str">
        <f aca="false">TEXT(ROW(), "0000")</f>
        <v>0963</v>
      </c>
      <c r="L963" s="8"/>
    </row>
    <row r="964" customFormat="false" ht="15.75" hidden="false" customHeight="true" outlineLevel="0" collapsed="false">
      <c r="A964" s="13" t="n">
        <v>45738</v>
      </c>
      <c r="B964" s="8" t="s">
        <v>25</v>
      </c>
      <c r="C964" s="9" t="n">
        <v>2010</v>
      </c>
      <c r="D964" s="8" t="s">
        <v>13</v>
      </c>
      <c r="E964" s="10" t="s">
        <v>26</v>
      </c>
      <c r="F964" s="8" t="str">
        <f aca="false">TEXT(A964,"MM-YYYY")</f>
        <v>03-2025</v>
      </c>
      <c r="G964" s="8" t="s">
        <v>14</v>
      </c>
      <c r="H964" s="8" t="s">
        <v>15</v>
      </c>
      <c r="I964" s="7"/>
      <c r="J964" s="8" t="str">
        <f aca="false">VLOOKUP(B964,Table3[#All],2,0)</f>
        <v>Inventory</v>
      </c>
      <c r="K964" s="8" t="str">
        <f aca="false">TEXT(ROW(), "0000")</f>
        <v>0964</v>
      </c>
      <c r="L964" s="8"/>
    </row>
    <row r="965" customFormat="false" ht="15.75" hidden="false" customHeight="true" outlineLevel="0" collapsed="false">
      <c r="A965" s="13" t="n">
        <v>45738</v>
      </c>
      <c r="B965" s="8" t="s">
        <v>31</v>
      </c>
      <c r="C965" s="9" t="n">
        <v>400</v>
      </c>
      <c r="D965" s="8" t="s">
        <v>45</v>
      </c>
      <c r="E965" s="10" t="s">
        <v>234</v>
      </c>
      <c r="F965" s="8" t="str">
        <f aca="false">TEXT(A965,"MM-YYYY")</f>
        <v>03-2025</v>
      </c>
      <c r="G965" s="8" t="s">
        <v>14</v>
      </c>
      <c r="H965" s="8" t="s">
        <v>15</v>
      </c>
      <c r="I965" s="7"/>
      <c r="J965" s="8" t="str">
        <f aca="false">VLOOKUP(B965,Table3[#All],2,0)</f>
        <v>Bike Maintance</v>
      </c>
      <c r="K965" s="8" t="str">
        <f aca="false">TEXT(ROW(), "0000")</f>
        <v>0965</v>
      </c>
      <c r="L965" s="8"/>
    </row>
    <row r="966" customFormat="false" ht="15.75" hidden="false" customHeight="true" outlineLevel="0" collapsed="false">
      <c r="A966" s="13" t="n">
        <v>45738</v>
      </c>
      <c r="B966" s="8" t="s">
        <v>43</v>
      </c>
      <c r="C966" s="9" t="n">
        <v>80</v>
      </c>
      <c r="D966" s="8" t="s">
        <v>45</v>
      </c>
      <c r="E966" s="10" t="s">
        <v>242</v>
      </c>
      <c r="F966" s="8" t="str">
        <f aca="false">TEXT(A966,"MM-YYYY")</f>
        <v>03-2025</v>
      </c>
      <c r="G966" s="8" t="s">
        <v>14</v>
      </c>
      <c r="H966" s="8" t="s">
        <v>15</v>
      </c>
      <c r="I966" s="7"/>
      <c r="J966" s="8" t="str">
        <f aca="false">VLOOKUP(B966,Table3[#All],2,0)</f>
        <v>Maintance</v>
      </c>
      <c r="K966" s="8" t="str">
        <f aca="false">TEXT(ROW(), "0000")</f>
        <v>0966</v>
      </c>
      <c r="L966" s="8"/>
    </row>
    <row r="967" customFormat="false" ht="15.75" hidden="false" customHeight="true" outlineLevel="0" collapsed="false">
      <c r="A967" s="13" t="n">
        <v>45738</v>
      </c>
      <c r="B967" s="8" t="s">
        <v>22</v>
      </c>
      <c r="C967" s="9" t="n">
        <v>4039</v>
      </c>
      <c r="D967" s="8" t="s">
        <v>13</v>
      </c>
      <c r="E967" s="10" t="s">
        <v>23</v>
      </c>
      <c r="F967" s="8" t="str">
        <f aca="false">TEXT(A967,"MM-YYYY")</f>
        <v>03-2025</v>
      </c>
      <c r="G967" s="8" t="s">
        <v>14</v>
      </c>
      <c r="H967" s="8" t="s">
        <v>15</v>
      </c>
      <c r="I967" s="7"/>
      <c r="J967" s="8" t="str">
        <f aca="false">VLOOKUP(B967,Table3[#All],2,0)</f>
        <v>Inventory</v>
      </c>
      <c r="K967" s="8" t="str">
        <f aca="false">TEXT(ROW(), "0000")</f>
        <v>0967</v>
      </c>
      <c r="L967" s="8"/>
    </row>
    <row r="968" customFormat="false" ht="15.75" hidden="false" customHeight="true" outlineLevel="0" collapsed="false">
      <c r="A968" s="13" t="n">
        <v>45738</v>
      </c>
      <c r="B968" s="8" t="s">
        <v>44</v>
      </c>
      <c r="C968" s="9" t="n">
        <v>150</v>
      </c>
      <c r="D968" s="8" t="s">
        <v>45</v>
      </c>
      <c r="E968" s="10" t="s">
        <v>243</v>
      </c>
      <c r="F968" s="8" t="str">
        <f aca="false">TEXT(A968,"MM-YYYY")</f>
        <v>03-2025</v>
      </c>
      <c r="G968" s="8" t="s">
        <v>14</v>
      </c>
      <c r="H968" s="8" t="s">
        <v>15</v>
      </c>
      <c r="I968" s="7"/>
      <c r="J968" s="8" t="str">
        <f aca="false">VLOOKUP(B968,Table3[#All],2,0)</f>
        <v>Salary</v>
      </c>
      <c r="K968" s="8" t="str">
        <f aca="false">TEXT(ROW(), "0000")</f>
        <v>0968</v>
      </c>
      <c r="L968" s="8"/>
    </row>
    <row r="969" customFormat="false" ht="15.75" hidden="false" customHeight="true" outlineLevel="0" collapsed="false">
      <c r="A969" s="13" t="n">
        <v>45738</v>
      </c>
      <c r="B969" s="8" t="s">
        <v>32</v>
      </c>
      <c r="C969" s="9" t="n">
        <v>350</v>
      </c>
      <c r="D969" s="8" t="s">
        <v>21</v>
      </c>
      <c r="E969" s="10" t="s">
        <v>38</v>
      </c>
      <c r="F969" s="8" t="str">
        <f aca="false">TEXT(A969,"MM-YYYY")</f>
        <v>03-2025</v>
      </c>
      <c r="G969" s="8" t="s">
        <v>14</v>
      </c>
      <c r="H969" s="8" t="s">
        <v>15</v>
      </c>
      <c r="I969" s="7"/>
      <c r="J969" s="8" t="str">
        <f aca="false">VLOOKUP(B969,Table3[#All],2,0)</f>
        <v>Grocery</v>
      </c>
      <c r="K969" s="8" t="str">
        <f aca="false">TEXT(ROW(), "0000")</f>
        <v>0969</v>
      </c>
      <c r="L969" s="8"/>
    </row>
    <row r="970" customFormat="false" ht="15.75" hidden="false" customHeight="true" outlineLevel="0" collapsed="false">
      <c r="A970" s="13" t="n">
        <v>45738</v>
      </c>
      <c r="B970" s="8" t="s">
        <v>29</v>
      </c>
      <c r="C970" s="9" t="n">
        <v>1620</v>
      </c>
      <c r="D970" s="8" t="s">
        <v>45</v>
      </c>
      <c r="E970" s="10" t="s">
        <v>78</v>
      </c>
      <c r="F970" s="8" t="str">
        <f aca="false">TEXT(A970,"MM-YYYY")</f>
        <v>03-2025</v>
      </c>
      <c r="G970" s="8" t="s">
        <v>14</v>
      </c>
      <c r="H970" s="8" t="s">
        <v>15</v>
      </c>
      <c r="I970" s="7"/>
      <c r="J970" s="8" t="str">
        <f aca="false">VLOOKUP(B970,Table3[#All],2,0)</f>
        <v>Inventory</v>
      </c>
      <c r="K970" s="8" t="str">
        <f aca="false">TEXT(ROW(), "0000")</f>
        <v>0970</v>
      </c>
      <c r="L970" s="8"/>
    </row>
    <row r="971" customFormat="false" ht="15.75" hidden="false" customHeight="true" outlineLevel="0" collapsed="false">
      <c r="A971" s="13" t="n">
        <v>45738</v>
      </c>
      <c r="B971" s="8" t="s">
        <v>50</v>
      </c>
      <c r="C971" s="9" t="n">
        <v>10920</v>
      </c>
      <c r="D971" s="8" t="s">
        <v>13</v>
      </c>
      <c r="E971" s="10" t="s">
        <v>244</v>
      </c>
      <c r="F971" s="8" t="str">
        <f aca="false">TEXT(A971,"MM-YYYY")</f>
        <v>03-2025</v>
      </c>
      <c r="G971" s="8" t="s">
        <v>14</v>
      </c>
      <c r="H971" s="8" t="s">
        <v>15</v>
      </c>
      <c r="I971" s="7"/>
      <c r="J971" s="8" t="str">
        <f aca="false">VLOOKUP(B971,Table3[#All],2,0)</f>
        <v>Fixed Maintance</v>
      </c>
      <c r="K971" s="8" t="str">
        <f aca="false">TEXT(ROW(), "0000")</f>
        <v>0971</v>
      </c>
      <c r="L971" s="8"/>
    </row>
    <row r="972" customFormat="false" ht="15.75" hidden="false" customHeight="true" outlineLevel="0" collapsed="false">
      <c r="A972" s="13" t="n">
        <v>45738</v>
      </c>
      <c r="B972" s="8" t="s">
        <v>12</v>
      </c>
      <c r="C972" s="9" t="n">
        <v>21320</v>
      </c>
      <c r="D972" s="8" t="s">
        <v>13</v>
      </c>
      <c r="E972" s="10" t="s">
        <v>12</v>
      </c>
      <c r="F972" s="8" t="str">
        <f aca="false">TEXT(A972,"MM-YYYY")</f>
        <v>03-2025</v>
      </c>
      <c r="G972" s="8" t="s">
        <v>14</v>
      </c>
      <c r="H972" s="8" t="s">
        <v>15</v>
      </c>
      <c r="I972" s="7"/>
      <c r="J972" s="8" t="str">
        <f aca="false">VLOOKUP(B972,Table3[#All],2,0)</f>
        <v>Fixed Maintance</v>
      </c>
      <c r="K972" s="8" t="str">
        <f aca="false">TEXT(ROW(), "0000")</f>
        <v>0972</v>
      </c>
      <c r="L972" s="8"/>
    </row>
    <row r="973" customFormat="false" ht="15.75" hidden="false" customHeight="true" outlineLevel="0" collapsed="false">
      <c r="A973" s="13" t="n">
        <v>45738</v>
      </c>
      <c r="B973" s="8" t="s">
        <v>28</v>
      </c>
      <c r="C973" s="9" t="n">
        <v>836</v>
      </c>
      <c r="D973" s="8" t="s">
        <v>21</v>
      </c>
      <c r="E973" s="10" t="s">
        <v>93</v>
      </c>
      <c r="F973" s="8" t="str">
        <f aca="false">TEXT(A973,"MM-YYYY")</f>
        <v>03-2025</v>
      </c>
      <c r="G973" s="8" t="s">
        <v>14</v>
      </c>
      <c r="H973" s="8" t="s">
        <v>15</v>
      </c>
      <c r="I973" s="7"/>
      <c r="J973" s="8" t="str">
        <f aca="false">VLOOKUP(B973,Table3[#All],2,0)</f>
        <v>Grocery</v>
      </c>
      <c r="K973" s="8" t="str">
        <f aca="false">TEXT(ROW(), "0000")</f>
        <v>0973</v>
      </c>
      <c r="L973" s="8"/>
    </row>
    <row r="974" customFormat="false" ht="15.75" hidden="false" customHeight="true" outlineLevel="0" collapsed="false">
      <c r="A974" s="13" t="n">
        <v>45738</v>
      </c>
      <c r="B974" s="8" t="s">
        <v>16</v>
      </c>
      <c r="C974" s="9" t="n">
        <v>7456</v>
      </c>
      <c r="D974" s="8" t="s">
        <v>21</v>
      </c>
      <c r="E974" s="10" t="s">
        <v>235</v>
      </c>
      <c r="F974" s="8" t="str">
        <f aca="false">TEXT(A974,"MM-YYYY")</f>
        <v>03-2025</v>
      </c>
      <c r="G974" s="8"/>
      <c r="H974" s="8"/>
      <c r="I974" s="7"/>
      <c r="J974" s="8" t="str">
        <f aca="false">VLOOKUP(B974,Table3[#All],2,0)</f>
        <v>Sales</v>
      </c>
      <c r="K974" s="8" t="str">
        <f aca="false">TEXT(ROW(), "0000")</f>
        <v>0974</v>
      </c>
      <c r="L974" s="8"/>
    </row>
    <row r="975" customFormat="false" ht="15.75" hidden="false" customHeight="true" outlineLevel="0" collapsed="false">
      <c r="A975" s="13" t="n">
        <v>45738</v>
      </c>
      <c r="B975" s="8" t="s">
        <v>16</v>
      </c>
      <c r="C975" s="9" t="n">
        <v>3315</v>
      </c>
      <c r="D975" s="8" t="s">
        <v>27</v>
      </c>
      <c r="E975" s="10" t="s">
        <v>235</v>
      </c>
      <c r="F975" s="8" t="str">
        <f aca="false">TEXT(A975,"MM-YYYY")</f>
        <v>03-2025</v>
      </c>
      <c r="G975" s="8"/>
      <c r="H975" s="8"/>
      <c r="I975" s="7"/>
      <c r="J975" s="8" t="str">
        <f aca="false">VLOOKUP(B975,Table3[#All],2,0)</f>
        <v>Sales</v>
      </c>
      <c r="K975" s="8" t="str">
        <f aca="false">TEXT(ROW(), "0000")</f>
        <v>0975</v>
      </c>
      <c r="L975" s="8"/>
    </row>
    <row r="976" customFormat="false" ht="15.75" hidden="false" customHeight="true" outlineLevel="0" collapsed="false">
      <c r="A976" s="13" t="n">
        <v>45738</v>
      </c>
      <c r="B976" s="8" t="s">
        <v>16</v>
      </c>
      <c r="C976" s="9" t="n">
        <v>190</v>
      </c>
      <c r="D976" s="8" t="s">
        <v>33</v>
      </c>
      <c r="E976" s="10" t="s">
        <v>235</v>
      </c>
      <c r="F976" s="8" t="str">
        <f aca="false">TEXT(A976,"MM-YYYY")</f>
        <v>03-2025</v>
      </c>
      <c r="G976" s="8"/>
      <c r="H976" s="8"/>
      <c r="I976" s="7"/>
      <c r="J976" s="8" t="str">
        <f aca="false">VLOOKUP(B976,Table3[#All],2,0)</f>
        <v>Sales</v>
      </c>
      <c r="K976" s="8" t="str">
        <f aca="false">TEXT(ROW(), "0000")</f>
        <v>0976</v>
      </c>
      <c r="L976" s="8"/>
    </row>
    <row r="977" customFormat="false" ht="15.75" hidden="false" customHeight="true" outlineLevel="0" collapsed="false">
      <c r="A977" s="13" t="n">
        <v>45738</v>
      </c>
      <c r="B977" s="8" t="s">
        <v>16</v>
      </c>
      <c r="C977" s="9" t="n">
        <v>21399</v>
      </c>
      <c r="D977" s="8" t="s">
        <v>17</v>
      </c>
      <c r="E977" s="10" t="s">
        <v>235</v>
      </c>
      <c r="F977" s="8" t="str">
        <f aca="false">TEXT(A977,"MM-YYYY")</f>
        <v>03-2025</v>
      </c>
      <c r="G977" s="8"/>
      <c r="H977" s="8"/>
      <c r="I977" s="7"/>
      <c r="J977" s="8" t="str">
        <f aca="false">VLOOKUP(B977,Table3[#All],2,0)</f>
        <v>Sales</v>
      </c>
      <c r="K977" s="8" t="str">
        <f aca="false">TEXT(ROW(), "0000")</f>
        <v>0977</v>
      </c>
      <c r="L977" s="8"/>
    </row>
    <row r="978" customFormat="false" ht="15.75" hidden="false" customHeight="true" outlineLevel="0" collapsed="false">
      <c r="A978" s="13" t="n">
        <v>45738</v>
      </c>
      <c r="B978" s="8" t="s">
        <v>16</v>
      </c>
      <c r="C978" s="9" t="n">
        <v>3118</v>
      </c>
      <c r="D978" s="8" t="s">
        <v>24</v>
      </c>
      <c r="E978" s="10" t="s">
        <v>217</v>
      </c>
      <c r="F978" s="8" t="str">
        <f aca="false">TEXT(A978,"MM-YYYY")</f>
        <v>03-2025</v>
      </c>
      <c r="G978" s="8"/>
      <c r="H978" s="8"/>
      <c r="I978" s="7"/>
      <c r="J978" s="8" t="str">
        <f aca="false">VLOOKUP(B978,Table3[#All],2,0)</f>
        <v>Sales</v>
      </c>
      <c r="K978" s="8" t="str">
        <f aca="false">TEXT(ROW(), "0000")</f>
        <v>0978</v>
      </c>
      <c r="L978" s="8"/>
    </row>
    <row r="979" customFormat="false" ht="15.75" hidden="false" customHeight="true" outlineLevel="0" collapsed="false">
      <c r="A979" s="13" t="n">
        <v>45738</v>
      </c>
      <c r="B979" s="8" t="s">
        <v>60</v>
      </c>
      <c r="C979" s="9" t="n">
        <v>210</v>
      </c>
      <c r="D979" s="8" t="s">
        <v>45</v>
      </c>
      <c r="E979" s="10" t="s">
        <v>245</v>
      </c>
      <c r="F979" s="8" t="str">
        <f aca="false">TEXT(A979,"MM-YYYY")</f>
        <v>03-2025</v>
      </c>
      <c r="G979" s="8" t="s">
        <v>14</v>
      </c>
      <c r="H979" s="8" t="s">
        <v>15</v>
      </c>
      <c r="I979" s="7"/>
      <c r="J979" s="8" t="str">
        <f aca="false">VLOOKUP(B979,Table3[#All],2,0)</f>
        <v>Inventory</v>
      </c>
      <c r="K979" s="8" t="str">
        <f aca="false">TEXT(ROW(), "0000")</f>
        <v>0979</v>
      </c>
      <c r="L979" s="8"/>
    </row>
    <row r="980" customFormat="false" ht="15.75" hidden="false" customHeight="true" outlineLevel="0" collapsed="false">
      <c r="A980" s="13" t="n">
        <v>45738</v>
      </c>
      <c r="B980" s="8" t="s">
        <v>34</v>
      </c>
      <c r="C980" s="9" t="n">
        <v>130</v>
      </c>
      <c r="D980" s="8" t="s">
        <v>45</v>
      </c>
      <c r="E980" s="10"/>
      <c r="F980" s="8" t="str">
        <f aca="false">TEXT(A980,"MM-YYYY")</f>
        <v>03-2025</v>
      </c>
      <c r="G980" s="8" t="s">
        <v>14</v>
      </c>
      <c r="H980" s="8" t="s">
        <v>15</v>
      </c>
      <c r="I980" s="7"/>
      <c r="J980" s="8" t="str">
        <f aca="false">VLOOKUP(B980,Table3[#All],2,0)</f>
        <v>Staff Expenses</v>
      </c>
      <c r="K980" s="8" t="str">
        <f aca="false">TEXT(ROW(), "0000")</f>
        <v>0980</v>
      </c>
      <c r="L980" s="8"/>
    </row>
    <row r="981" customFormat="false" ht="15.75" hidden="false" customHeight="true" outlineLevel="0" collapsed="false">
      <c r="A981" s="13" t="n">
        <v>45738</v>
      </c>
      <c r="B981" s="8" t="s">
        <v>40</v>
      </c>
      <c r="C981" s="9" t="n">
        <v>2960</v>
      </c>
      <c r="D981" s="8" t="s">
        <v>45</v>
      </c>
      <c r="E981" s="10" t="s">
        <v>46</v>
      </c>
      <c r="F981" s="8" t="str">
        <f aca="false">TEXT(A981,"MM-YYYY")</f>
        <v>03-2025</v>
      </c>
      <c r="G981" s="8" t="s">
        <v>14</v>
      </c>
      <c r="H981" s="8" t="s">
        <v>15</v>
      </c>
      <c r="I981" s="7"/>
      <c r="J981" s="8" t="str">
        <f aca="false">VLOOKUP(B981,Table3[#All],2,0)</f>
        <v>Inventory</v>
      </c>
      <c r="K981" s="8" t="str">
        <f aca="false">TEXT(ROW(), "0000")</f>
        <v>0981</v>
      </c>
      <c r="L981" s="8"/>
    </row>
    <row r="982" customFormat="false" ht="15.75" hidden="false" customHeight="true" outlineLevel="0" collapsed="false">
      <c r="A982" s="13" t="n">
        <v>45738</v>
      </c>
      <c r="B982" s="8" t="s">
        <v>29</v>
      </c>
      <c r="C982" s="9" t="n">
        <v>20</v>
      </c>
      <c r="D982" s="8" t="s">
        <v>21</v>
      </c>
      <c r="E982" s="10" t="s">
        <v>194</v>
      </c>
      <c r="F982" s="8" t="str">
        <f aca="false">TEXT(A982,"MM-YYYY")</f>
        <v>03-2025</v>
      </c>
      <c r="G982" s="8" t="s">
        <v>14</v>
      </c>
      <c r="H982" s="8" t="s">
        <v>15</v>
      </c>
      <c r="I982" s="7"/>
      <c r="J982" s="8" t="str">
        <f aca="false">VLOOKUP(B982,Table3[#All],2,0)</f>
        <v>Inventory</v>
      </c>
      <c r="K982" s="8" t="str">
        <f aca="false">TEXT(ROW(), "0000")</f>
        <v>0982</v>
      </c>
      <c r="L982" s="8"/>
    </row>
    <row r="983" customFormat="false" ht="15.75" hidden="false" customHeight="true" outlineLevel="0" collapsed="false">
      <c r="A983" s="13" t="n">
        <v>45739</v>
      </c>
      <c r="B983" s="8" t="s">
        <v>25</v>
      </c>
      <c r="C983" s="9" t="n">
        <v>1439</v>
      </c>
      <c r="D983" s="8" t="s">
        <v>13</v>
      </c>
      <c r="E983" s="10" t="s">
        <v>26</v>
      </c>
      <c r="F983" s="8" t="str">
        <f aca="false">TEXT(A983,"MM-YYYY")</f>
        <v>03-2025</v>
      </c>
      <c r="G983" s="8" t="s">
        <v>14</v>
      </c>
      <c r="H983" s="8" t="s">
        <v>15</v>
      </c>
      <c r="I983" s="7"/>
      <c r="J983" s="8" t="str">
        <f aca="false">VLOOKUP(B983,Table3[#All],2,0)</f>
        <v>Inventory</v>
      </c>
      <c r="K983" s="8" t="str">
        <f aca="false">TEXT(ROW(), "0000")</f>
        <v>0983</v>
      </c>
      <c r="L983" s="8"/>
    </row>
    <row r="984" customFormat="false" ht="15.75" hidden="false" customHeight="true" outlineLevel="0" collapsed="false">
      <c r="A984" s="13" t="n">
        <v>45739</v>
      </c>
      <c r="B984" s="8" t="s">
        <v>19</v>
      </c>
      <c r="C984" s="9" t="n">
        <v>6019</v>
      </c>
      <c r="D984" s="8" t="s">
        <v>13</v>
      </c>
      <c r="E984" s="10" t="s">
        <v>20</v>
      </c>
      <c r="F984" s="8" t="str">
        <f aca="false">TEXT(A984,"MM-YYYY")</f>
        <v>03-2025</v>
      </c>
      <c r="G984" s="8" t="s">
        <v>14</v>
      </c>
      <c r="H984" s="8" t="s">
        <v>15</v>
      </c>
      <c r="I984" s="7"/>
      <c r="J984" s="8" t="str">
        <f aca="false">VLOOKUP(B984,Table3[#All],2,0)</f>
        <v>Inventory</v>
      </c>
      <c r="K984" s="8" t="str">
        <f aca="false">TEXT(ROW(), "0000")</f>
        <v>0984</v>
      </c>
      <c r="L984" s="8"/>
    </row>
    <row r="985" customFormat="false" ht="15.75" hidden="false" customHeight="true" outlineLevel="0" collapsed="false">
      <c r="A985" s="13" t="n">
        <v>45739</v>
      </c>
      <c r="B985" s="8" t="s">
        <v>22</v>
      </c>
      <c r="C985" s="9" t="n">
        <v>5525</v>
      </c>
      <c r="D985" s="8" t="s">
        <v>13</v>
      </c>
      <c r="E985" s="10" t="s">
        <v>23</v>
      </c>
      <c r="F985" s="8" t="str">
        <f aca="false">TEXT(A985,"MM-YYYY")</f>
        <v>03-2025</v>
      </c>
      <c r="G985" s="8" t="s">
        <v>14</v>
      </c>
      <c r="H985" s="8" t="s">
        <v>15</v>
      </c>
      <c r="I985" s="7"/>
      <c r="J985" s="8" t="str">
        <f aca="false">VLOOKUP(B985,Table3[#All],2,0)</f>
        <v>Inventory</v>
      </c>
      <c r="K985" s="8" t="str">
        <f aca="false">TEXT(ROW(), "0000")</f>
        <v>0985</v>
      </c>
      <c r="L985" s="8"/>
    </row>
    <row r="986" customFormat="false" ht="15.75" hidden="false" customHeight="true" outlineLevel="0" collapsed="false">
      <c r="A986" s="13" t="n">
        <v>45739</v>
      </c>
      <c r="B986" s="8" t="s">
        <v>29</v>
      </c>
      <c r="C986" s="9" t="n">
        <v>700</v>
      </c>
      <c r="D986" s="8" t="s">
        <v>45</v>
      </c>
      <c r="E986" s="10" t="s">
        <v>231</v>
      </c>
      <c r="F986" s="8" t="str">
        <f aca="false">TEXT(A986,"MM-YYYY")</f>
        <v>03-2025</v>
      </c>
      <c r="G986" s="8" t="s">
        <v>14</v>
      </c>
      <c r="H986" s="8" t="s">
        <v>232</v>
      </c>
      <c r="I986" s="7" t="n">
        <v>45758</v>
      </c>
      <c r="J986" s="8" t="str">
        <f aca="false">VLOOKUP(B986,Table3[#All],2,0)</f>
        <v>Inventory</v>
      </c>
      <c r="K986" s="8" t="str">
        <f aca="false">TEXT(ROW(), "0000")</f>
        <v>0986</v>
      </c>
      <c r="L986" s="8"/>
    </row>
    <row r="987" customFormat="false" ht="15.75" hidden="false" customHeight="true" outlineLevel="0" collapsed="false">
      <c r="A987" s="13" t="n">
        <v>45739</v>
      </c>
      <c r="B987" s="8" t="s">
        <v>32</v>
      </c>
      <c r="C987" s="9" t="n">
        <v>350</v>
      </c>
      <c r="D987" s="8" t="s">
        <v>21</v>
      </c>
      <c r="E987" s="10" t="s">
        <v>38</v>
      </c>
      <c r="F987" s="8" t="str">
        <f aca="false">TEXT(A987,"MM-YYYY")</f>
        <v>03-2025</v>
      </c>
      <c r="G987" s="8" t="s">
        <v>14</v>
      </c>
      <c r="H987" s="8" t="s">
        <v>15</v>
      </c>
      <c r="I987" s="7"/>
      <c r="J987" s="8" t="str">
        <f aca="false">VLOOKUP(B987,Table3[#All],2,0)</f>
        <v>Grocery</v>
      </c>
      <c r="K987" s="8" t="str">
        <f aca="false">TEXT(ROW(), "0000")</f>
        <v>0987</v>
      </c>
      <c r="L987" s="8"/>
    </row>
    <row r="988" customFormat="false" ht="15.75" hidden="false" customHeight="true" outlineLevel="0" collapsed="false">
      <c r="A988" s="13" t="n">
        <v>45739</v>
      </c>
      <c r="B988" s="8" t="s">
        <v>22</v>
      </c>
      <c r="C988" s="9" t="n">
        <v>110</v>
      </c>
      <c r="D988" s="8" t="s">
        <v>21</v>
      </c>
      <c r="E988" s="10" t="s">
        <v>213</v>
      </c>
      <c r="F988" s="8" t="str">
        <f aca="false">TEXT(A988,"MM-YYYY")</f>
        <v>03-2025</v>
      </c>
      <c r="G988" s="8" t="s">
        <v>14</v>
      </c>
      <c r="H988" s="8" t="s">
        <v>15</v>
      </c>
      <c r="I988" s="7"/>
      <c r="J988" s="8" t="str">
        <f aca="false">VLOOKUP(B988,Table3[#All],2,0)</f>
        <v>Inventory</v>
      </c>
      <c r="K988" s="8" t="str">
        <f aca="false">TEXT(ROW(), "0000")</f>
        <v>0988</v>
      </c>
      <c r="L988" s="8"/>
    </row>
    <row r="989" customFormat="false" ht="15.75" hidden="false" customHeight="true" outlineLevel="0" collapsed="false">
      <c r="A989" s="13" t="n">
        <v>45739</v>
      </c>
      <c r="B989" s="8" t="s">
        <v>40</v>
      </c>
      <c r="C989" s="9" t="n">
        <v>2960</v>
      </c>
      <c r="D989" s="8" t="s">
        <v>45</v>
      </c>
      <c r="E989" s="10" t="s">
        <v>46</v>
      </c>
      <c r="F989" s="8" t="str">
        <f aca="false">TEXT(A989,"MM-YYYY")</f>
        <v>03-2025</v>
      </c>
      <c r="G989" s="8" t="s">
        <v>14</v>
      </c>
      <c r="H989" s="8" t="s">
        <v>15</v>
      </c>
      <c r="I989" s="7"/>
      <c r="J989" s="8" t="str">
        <f aca="false">VLOOKUP(B989,Table3[#All],2,0)</f>
        <v>Inventory</v>
      </c>
      <c r="K989" s="8" t="str">
        <f aca="false">TEXT(ROW(), "0000")</f>
        <v>0989</v>
      </c>
      <c r="L989" s="8"/>
    </row>
    <row r="990" customFormat="false" ht="15.75" hidden="false" customHeight="true" outlineLevel="0" collapsed="false">
      <c r="A990" s="13" t="n">
        <v>45739</v>
      </c>
      <c r="B990" s="8" t="s">
        <v>25</v>
      </c>
      <c r="C990" s="9" t="n">
        <v>550</v>
      </c>
      <c r="D990" s="8" t="s">
        <v>45</v>
      </c>
      <c r="E990" s="10" t="s">
        <v>84</v>
      </c>
      <c r="F990" s="8" t="str">
        <f aca="false">TEXT(A990,"MM-YYYY")</f>
        <v>03-2025</v>
      </c>
      <c r="G990" s="8" t="s">
        <v>14</v>
      </c>
      <c r="H990" s="8" t="s">
        <v>15</v>
      </c>
      <c r="I990" s="7"/>
      <c r="J990" s="8" t="str">
        <f aca="false">VLOOKUP(B990,Table3[#All],2,0)</f>
        <v>Inventory</v>
      </c>
      <c r="K990" s="8" t="str">
        <f aca="false">TEXT(ROW(), "0000")</f>
        <v>0990</v>
      </c>
      <c r="L990" s="8"/>
    </row>
    <row r="991" customFormat="false" ht="15.75" hidden="false" customHeight="true" outlineLevel="0" collapsed="false">
      <c r="A991" s="13" t="n">
        <v>45739</v>
      </c>
      <c r="B991" s="8" t="s">
        <v>16</v>
      </c>
      <c r="C991" s="9" t="n">
        <v>9034</v>
      </c>
      <c r="D991" s="8" t="s">
        <v>21</v>
      </c>
      <c r="E991" s="10" t="s">
        <v>235</v>
      </c>
      <c r="F991" s="8" t="str">
        <f aca="false">TEXT(A991,"MM-YYYY")</f>
        <v>03-2025</v>
      </c>
      <c r="G991" s="8"/>
      <c r="H991" s="8"/>
      <c r="I991" s="7"/>
      <c r="J991" s="8" t="str">
        <f aca="false">VLOOKUP(B991,Table3[#All],2,0)</f>
        <v>Sales</v>
      </c>
      <c r="K991" s="8" t="str">
        <f aca="false">TEXT(ROW(), "0000")</f>
        <v>0991</v>
      </c>
      <c r="L991" s="8"/>
    </row>
    <row r="992" customFormat="false" ht="15.75" hidden="false" customHeight="true" outlineLevel="0" collapsed="false">
      <c r="A992" s="13" t="n">
        <v>45739</v>
      </c>
      <c r="B992" s="8" t="s">
        <v>16</v>
      </c>
      <c r="C992" s="9" t="n">
        <v>1160</v>
      </c>
      <c r="D992" s="8" t="s">
        <v>27</v>
      </c>
      <c r="E992" s="10" t="s">
        <v>235</v>
      </c>
      <c r="F992" s="8" t="str">
        <f aca="false">TEXT(A992,"MM-YYYY")</f>
        <v>03-2025</v>
      </c>
      <c r="G992" s="8"/>
      <c r="H992" s="8"/>
      <c r="I992" s="7"/>
      <c r="J992" s="8" t="str">
        <f aca="false">VLOOKUP(B992,Table3[#All],2,0)</f>
        <v>Sales</v>
      </c>
      <c r="K992" s="8" t="str">
        <f aca="false">TEXT(ROW(), "0000")</f>
        <v>0992</v>
      </c>
      <c r="L992" s="8"/>
    </row>
    <row r="993" customFormat="false" ht="15.75" hidden="false" customHeight="true" outlineLevel="0" collapsed="false">
      <c r="A993" s="13" t="n">
        <v>45739</v>
      </c>
      <c r="B993" s="8" t="s">
        <v>16</v>
      </c>
      <c r="C993" s="9" t="n">
        <v>530</v>
      </c>
      <c r="D993" s="8" t="s">
        <v>70</v>
      </c>
      <c r="E993" s="10" t="s">
        <v>246</v>
      </c>
      <c r="F993" s="8" t="str">
        <f aca="false">TEXT(A993,"MM-YYYY")</f>
        <v>03-2025</v>
      </c>
      <c r="G993" s="8"/>
      <c r="H993" s="8"/>
      <c r="I993" s="7"/>
      <c r="J993" s="8" t="str">
        <f aca="false">VLOOKUP(B993,Table3[#All],2,0)</f>
        <v>Sales</v>
      </c>
      <c r="K993" s="8" t="str">
        <f aca="false">TEXT(ROW(), "0000")</f>
        <v>0993</v>
      </c>
      <c r="L993" s="8"/>
    </row>
    <row r="994" customFormat="false" ht="15.75" hidden="false" customHeight="true" outlineLevel="0" collapsed="false">
      <c r="A994" s="13" t="n">
        <v>45739</v>
      </c>
      <c r="B994" s="8" t="s">
        <v>16</v>
      </c>
      <c r="C994" s="9" t="n">
        <v>1580</v>
      </c>
      <c r="D994" s="8" t="s">
        <v>33</v>
      </c>
      <c r="E994" s="10" t="s">
        <v>235</v>
      </c>
      <c r="F994" s="8" t="str">
        <f aca="false">TEXT(A994,"MM-YYYY")</f>
        <v>03-2025</v>
      </c>
      <c r="G994" s="8"/>
      <c r="H994" s="8"/>
      <c r="I994" s="7"/>
      <c r="J994" s="8" t="str">
        <f aca="false">VLOOKUP(B994,Table3[#All],2,0)</f>
        <v>Sales</v>
      </c>
      <c r="K994" s="8" t="str">
        <f aca="false">TEXT(ROW(), "0000")</f>
        <v>0994</v>
      </c>
      <c r="L994" s="8"/>
    </row>
    <row r="995" customFormat="false" ht="15.75" hidden="false" customHeight="true" outlineLevel="0" collapsed="false">
      <c r="A995" s="13" t="n">
        <v>45739</v>
      </c>
      <c r="B995" s="8" t="s">
        <v>16</v>
      </c>
      <c r="C995" s="9" t="n">
        <v>20324</v>
      </c>
      <c r="D995" s="8" t="s">
        <v>17</v>
      </c>
      <c r="E995" s="10" t="s">
        <v>235</v>
      </c>
      <c r="F995" s="8" t="str">
        <f aca="false">TEXT(A995,"MM-YYYY")</f>
        <v>03-2025</v>
      </c>
      <c r="G995" s="8"/>
      <c r="H995" s="8"/>
      <c r="I995" s="7"/>
      <c r="J995" s="8" t="str">
        <f aca="false">VLOOKUP(B995,Table3[#All],2,0)</f>
        <v>Sales</v>
      </c>
      <c r="K995" s="8" t="str">
        <f aca="false">TEXT(ROW(), "0000")</f>
        <v>0995</v>
      </c>
      <c r="L995" s="8"/>
    </row>
    <row r="996" customFormat="false" ht="15.75" hidden="false" customHeight="true" outlineLevel="0" collapsed="false">
      <c r="A996" s="13" t="n">
        <v>45739</v>
      </c>
      <c r="B996" s="8" t="s">
        <v>16</v>
      </c>
      <c r="C996" s="9" t="n">
        <v>216</v>
      </c>
      <c r="D996" s="8" t="s">
        <v>24</v>
      </c>
      <c r="E996" s="10" t="s">
        <v>217</v>
      </c>
      <c r="F996" s="8" t="str">
        <f aca="false">TEXT(A996,"MM-YYYY")</f>
        <v>03-2025</v>
      </c>
      <c r="G996" s="8"/>
      <c r="H996" s="8"/>
      <c r="I996" s="7"/>
      <c r="J996" s="8" t="str">
        <f aca="false">VLOOKUP(B996,Table3[#All],2,0)</f>
        <v>Sales</v>
      </c>
      <c r="K996" s="8" t="str">
        <f aca="false">TEXT(ROW(), "0000")</f>
        <v>0996</v>
      </c>
      <c r="L996" s="8"/>
    </row>
    <row r="997" customFormat="false" ht="15.75" hidden="false" customHeight="true" outlineLevel="0" collapsed="false">
      <c r="A997" s="13" t="n">
        <v>45739</v>
      </c>
      <c r="B997" s="8" t="s">
        <v>16</v>
      </c>
      <c r="C997" s="9" t="n">
        <v>844</v>
      </c>
      <c r="D997" s="8" t="s">
        <v>59</v>
      </c>
      <c r="E997" s="10" t="s">
        <v>235</v>
      </c>
      <c r="F997" s="8" t="str">
        <f aca="false">TEXT(A997,"MM-YYYY")</f>
        <v>03-2025</v>
      </c>
      <c r="G997" s="8"/>
      <c r="H997" s="8"/>
      <c r="I997" s="7"/>
      <c r="J997" s="8" t="str">
        <f aca="false">VLOOKUP(B997,Table3[#All],2,0)</f>
        <v>Sales</v>
      </c>
      <c r="K997" s="8" t="str">
        <f aca="false">TEXT(ROW(), "0000")</f>
        <v>0997</v>
      </c>
      <c r="L997" s="8"/>
    </row>
    <row r="998" customFormat="false" ht="15.75" hidden="false" customHeight="true" outlineLevel="0" collapsed="false">
      <c r="A998" s="13" t="n">
        <v>45739</v>
      </c>
      <c r="B998" s="8" t="s">
        <v>34</v>
      </c>
      <c r="C998" s="9" t="n">
        <v>120</v>
      </c>
      <c r="D998" s="8" t="s">
        <v>45</v>
      </c>
      <c r="E998" s="10"/>
      <c r="F998" s="8" t="str">
        <f aca="false">TEXT(A998,"MM-YYYY")</f>
        <v>03-2025</v>
      </c>
      <c r="G998" s="8" t="s">
        <v>14</v>
      </c>
      <c r="H998" s="8" t="s">
        <v>15</v>
      </c>
      <c r="I998" s="7"/>
      <c r="J998" s="8" t="str">
        <f aca="false">VLOOKUP(B998,Table3[#All],2,0)</f>
        <v>Staff Expenses</v>
      </c>
      <c r="K998" s="8" t="str">
        <f aca="false">TEXT(ROW(), "0000")</f>
        <v>0998</v>
      </c>
      <c r="L998" s="8"/>
    </row>
    <row r="999" customFormat="false" ht="15.75" hidden="false" customHeight="true" outlineLevel="0" collapsed="false">
      <c r="A999" s="13" t="n">
        <v>45739</v>
      </c>
      <c r="B999" s="8" t="s">
        <v>37</v>
      </c>
      <c r="C999" s="9" t="n">
        <v>24</v>
      </c>
      <c r="D999" s="8" t="s">
        <v>21</v>
      </c>
      <c r="E999" s="10"/>
      <c r="F999" s="8" t="str">
        <f aca="false">TEXT(A999,"MM-YYYY")</f>
        <v>03-2025</v>
      </c>
      <c r="G999" s="8" t="s">
        <v>14</v>
      </c>
      <c r="H999" s="8" t="s">
        <v>15</v>
      </c>
      <c r="I999" s="7"/>
      <c r="J999" s="8" t="str">
        <f aca="false">VLOOKUP(B999,Table3[#All],2,0)</f>
        <v>Maintance</v>
      </c>
      <c r="K999" s="8" t="str">
        <f aca="false">TEXT(ROW(), "0000")</f>
        <v>0999</v>
      </c>
      <c r="L999" s="8"/>
    </row>
    <row r="1000" customFormat="false" ht="15.75" hidden="false" customHeight="true" outlineLevel="0" collapsed="false">
      <c r="A1000" s="13" t="n">
        <v>45740</v>
      </c>
      <c r="B1000" s="8" t="s">
        <v>22</v>
      </c>
      <c r="C1000" s="9" t="n">
        <v>1368</v>
      </c>
      <c r="D1000" s="8" t="s">
        <v>13</v>
      </c>
      <c r="E1000" s="10" t="s">
        <v>23</v>
      </c>
      <c r="F1000" s="8" t="str">
        <f aca="false">TEXT(A1000,"MM-YYYY")</f>
        <v>03-2025</v>
      </c>
      <c r="G1000" s="8" t="s">
        <v>14</v>
      </c>
      <c r="H1000" s="8" t="s">
        <v>15</v>
      </c>
      <c r="I1000" s="7"/>
      <c r="J1000" s="8" t="str">
        <f aca="false">VLOOKUP(B1000,Table3[#All],2,0)</f>
        <v>Inventory</v>
      </c>
      <c r="K1000" s="8" t="str">
        <f aca="false">TEXT(ROW(), "0000")</f>
        <v>1000</v>
      </c>
      <c r="L1000" s="8"/>
    </row>
    <row r="1001" customFormat="false" ht="15.75" hidden="false" customHeight="true" outlineLevel="0" collapsed="false">
      <c r="A1001" s="13" t="n">
        <v>45740</v>
      </c>
      <c r="B1001" s="8" t="s">
        <v>47</v>
      </c>
      <c r="C1001" s="9" t="n">
        <v>1680</v>
      </c>
      <c r="D1001" s="8" t="s">
        <v>13</v>
      </c>
      <c r="E1001" s="10" t="s">
        <v>223</v>
      </c>
      <c r="F1001" s="8" t="str">
        <f aca="false">TEXT(A1001,"MM-YYYY")</f>
        <v>03-2025</v>
      </c>
      <c r="G1001" s="8" t="s">
        <v>14</v>
      </c>
      <c r="H1001" s="8" t="s">
        <v>15</v>
      </c>
      <c r="I1001" s="7"/>
      <c r="J1001" s="8" t="str">
        <f aca="false">VLOOKUP(B1001,Table3[#All],2,0)</f>
        <v>Inventory</v>
      </c>
      <c r="K1001" s="8" t="str">
        <f aca="false">TEXT(ROW(), "0000")</f>
        <v>1001</v>
      </c>
      <c r="L1001" s="8"/>
    </row>
    <row r="1002" customFormat="false" ht="15.75" hidden="false" customHeight="true" outlineLevel="0" collapsed="false">
      <c r="A1002" s="13" t="n">
        <v>45740</v>
      </c>
      <c r="B1002" s="8" t="s">
        <v>25</v>
      </c>
      <c r="C1002" s="9" t="n">
        <v>2225</v>
      </c>
      <c r="D1002" s="8" t="s">
        <v>13</v>
      </c>
      <c r="E1002" s="10" t="s">
        <v>26</v>
      </c>
      <c r="F1002" s="8" t="str">
        <f aca="false">TEXT(A1002,"MM-YYYY")</f>
        <v>03-2025</v>
      </c>
      <c r="G1002" s="8" t="s">
        <v>14</v>
      </c>
      <c r="H1002" s="8" t="s">
        <v>15</v>
      </c>
      <c r="I1002" s="7"/>
      <c r="J1002" s="8" t="str">
        <f aca="false">VLOOKUP(B1002,Table3[#All],2,0)</f>
        <v>Inventory</v>
      </c>
      <c r="K1002" s="8" t="str">
        <f aca="false">TEXT(ROW(), "0000")</f>
        <v>1002</v>
      </c>
      <c r="L1002" s="8"/>
    </row>
    <row r="1003" customFormat="false" ht="15.75" hidden="false" customHeight="true" outlineLevel="0" collapsed="false">
      <c r="A1003" s="13" t="n">
        <v>45740</v>
      </c>
      <c r="B1003" s="8" t="s">
        <v>29</v>
      </c>
      <c r="C1003" s="9" t="n">
        <v>692</v>
      </c>
      <c r="D1003" s="8" t="s">
        <v>45</v>
      </c>
      <c r="E1003" s="10" t="s">
        <v>231</v>
      </c>
      <c r="F1003" s="8" t="str">
        <f aca="false">TEXT(A1003,"MM-YYYY")</f>
        <v>03-2025</v>
      </c>
      <c r="G1003" s="8" t="s">
        <v>14</v>
      </c>
      <c r="H1003" s="8" t="s">
        <v>232</v>
      </c>
      <c r="I1003" s="7" t="n">
        <v>45758</v>
      </c>
      <c r="J1003" s="8" t="str">
        <f aca="false">VLOOKUP(B1003,Table3[#All],2,0)</f>
        <v>Inventory</v>
      </c>
      <c r="K1003" s="8" t="str">
        <f aca="false">TEXT(ROW(), "0000")</f>
        <v>1003</v>
      </c>
      <c r="L1003" s="8"/>
    </row>
    <row r="1004" customFormat="false" ht="15.75" hidden="false" customHeight="true" outlineLevel="0" collapsed="false">
      <c r="A1004" s="13" t="n">
        <v>45740</v>
      </c>
      <c r="B1004" s="8" t="s">
        <v>32</v>
      </c>
      <c r="C1004" s="9" t="n">
        <v>280</v>
      </c>
      <c r="D1004" s="8" t="s">
        <v>21</v>
      </c>
      <c r="E1004" s="10" t="s">
        <v>247</v>
      </c>
      <c r="F1004" s="8" t="str">
        <f aca="false">TEXT(A1004,"MM-YYYY")</f>
        <v>03-2025</v>
      </c>
      <c r="G1004" s="8" t="s">
        <v>14</v>
      </c>
      <c r="H1004" s="8" t="s">
        <v>15</v>
      </c>
      <c r="I1004" s="7"/>
      <c r="J1004" s="8" t="str">
        <f aca="false">VLOOKUP(B1004,Table3[#All],2,0)</f>
        <v>Grocery</v>
      </c>
      <c r="K1004" s="8" t="str">
        <f aca="false">TEXT(ROW(), "0000")</f>
        <v>1004</v>
      </c>
      <c r="L1004" s="8"/>
    </row>
    <row r="1005" customFormat="false" ht="15.75" hidden="false" customHeight="true" outlineLevel="0" collapsed="false">
      <c r="A1005" s="13" t="n">
        <v>45740</v>
      </c>
      <c r="B1005" s="8" t="s">
        <v>53</v>
      </c>
      <c r="C1005" s="9" t="n">
        <v>1200</v>
      </c>
      <c r="D1005" s="8" t="s">
        <v>45</v>
      </c>
      <c r="E1005" s="10" t="s">
        <v>55</v>
      </c>
      <c r="F1005" s="8" t="str">
        <f aca="false">TEXT(A1005,"MM-YYYY")</f>
        <v>03-2025</v>
      </c>
      <c r="G1005" s="8" t="s">
        <v>14</v>
      </c>
      <c r="H1005" s="8" t="s">
        <v>15</v>
      </c>
      <c r="I1005" s="7"/>
      <c r="J1005" s="8" t="str">
        <f aca="false">VLOOKUP(B1005,Table3[#All],2,0)</f>
        <v>Grocery</v>
      </c>
      <c r="K1005" s="8" t="str">
        <f aca="false">TEXT(ROW(), "0000")</f>
        <v>1005</v>
      </c>
      <c r="L1005" s="8"/>
    </row>
    <row r="1006" customFormat="false" ht="15.75" hidden="false" customHeight="true" outlineLevel="0" collapsed="false">
      <c r="A1006" s="13" t="n">
        <v>45740</v>
      </c>
      <c r="B1006" s="8" t="s">
        <v>19</v>
      </c>
      <c r="C1006" s="9" t="n">
        <v>2854</v>
      </c>
      <c r="D1006" s="8" t="s">
        <v>13</v>
      </c>
      <c r="E1006" s="10" t="s">
        <v>20</v>
      </c>
      <c r="F1006" s="8" t="str">
        <f aca="false">TEXT(A1006,"MM-YYYY")</f>
        <v>03-2025</v>
      </c>
      <c r="G1006" s="8" t="s">
        <v>14</v>
      </c>
      <c r="H1006" s="8" t="s">
        <v>15</v>
      </c>
      <c r="I1006" s="7"/>
      <c r="J1006" s="8" t="str">
        <f aca="false">VLOOKUP(B1006,Table3[#All],2,0)</f>
        <v>Inventory</v>
      </c>
      <c r="K1006" s="8" t="str">
        <f aca="false">TEXT(ROW(), "0000")</f>
        <v>1006</v>
      </c>
      <c r="L1006" s="8"/>
    </row>
    <row r="1007" customFormat="false" ht="15.75" hidden="false" customHeight="true" outlineLevel="0" collapsed="false">
      <c r="A1007" s="13" t="n">
        <v>45740</v>
      </c>
      <c r="B1007" s="8" t="s">
        <v>22</v>
      </c>
      <c r="C1007" s="9" t="n">
        <v>6500</v>
      </c>
      <c r="D1007" s="8" t="s">
        <v>13</v>
      </c>
      <c r="E1007" s="10" t="s">
        <v>248</v>
      </c>
      <c r="F1007" s="8" t="str">
        <f aca="false">TEXT(A1007,"MM-YYYY")</f>
        <v>03-2025</v>
      </c>
      <c r="G1007" s="8" t="s">
        <v>14</v>
      </c>
      <c r="H1007" s="8" t="s">
        <v>15</v>
      </c>
      <c r="I1007" s="7"/>
      <c r="J1007" s="8" t="str">
        <f aca="false">VLOOKUP(B1007,Table3[#All],2,0)</f>
        <v>Inventory</v>
      </c>
      <c r="K1007" s="8" t="str">
        <f aca="false">TEXT(ROW(), "0000")</f>
        <v>1007</v>
      </c>
      <c r="L1007" s="8"/>
    </row>
    <row r="1008" customFormat="false" ht="15.75" hidden="false" customHeight="true" outlineLevel="0" collapsed="false">
      <c r="A1008" s="13" t="n">
        <v>45740</v>
      </c>
      <c r="B1008" s="8" t="s">
        <v>40</v>
      </c>
      <c r="C1008" s="9" t="n">
        <v>4000</v>
      </c>
      <c r="D1008" s="8" t="s">
        <v>13</v>
      </c>
      <c r="E1008" s="10" t="s">
        <v>249</v>
      </c>
      <c r="F1008" s="8" t="str">
        <f aca="false">TEXT(A1008,"MM-YYYY")</f>
        <v>03-2025</v>
      </c>
      <c r="G1008" s="8" t="s">
        <v>14</v>
      </c>
      <c r="H1008" s="8" t="s">
        <v>15</v>
      </c>
      <c r="I1008" s="7"/>
      <c r="J1008" s="8" t="str">
        <f aca="false">VLOOKUP(B1008,Table3[#All],2,0)</f>
        <v>Inventory</v>
      </c>
      <c r="K1008" s="8" t="str">
        <f aca="false">TEXT(ROW(), "0000")</f>
        <v>1008</v>
      </c>
      <c r="L1008" s="8"/>
    </row>
    <row r="1009" customFormat="false" ht="15.75" hidden="false" customHeight="true" outlineLevel="0" collapsed="false">
      <c r="A1009" s="13" t="n">
        <v>45740</v>
      </c>
      <c r="B1009" s="8" t="s">
        <v>40</v>
      </c>
      <c r="C1009" s="9" t="n">
        <v>440</v>
      </c>
      <c r="D1009" s="8" t="s">
        <v>45</v>
      </c>
      <c r="E1009" s="10" t="s">
        <v>249</v>
      </c>
      <c r="F1009" s="8" t="str">
        <f aca="false">TEXT(A1009,"MM-YYYY")</f>
        <v>03-2025</v>
      </c>
      <c r="G1009" s="8" t="s">
        <v>14</v>
      </c>
      <c r="H1009" s="8" t="s">
        <v>15</v>
      </c>
      <c r="I1009" s="7"/>
      <c r="J1009" s="8" t="str">
        <f aca="false">VLOOKUP(B1009,Table3[#All],2,0)</f>
        <v>Inventory</v>
      </c>
      <c r="K1009" s="8" t="str">
        <f aca="false">TEXT(ROW(), "0000")</f>
        <v>1009</v>
      </c>
      <c r="L1009" s="8"/>
    </row>
    <row r="1010" customFormat="false" ht="15.75" hidden="false" customHeight="true" outlineLevel="0" collapsed="false">
      <c r="A1010" s="13" t="n">
        <v>45740</v>
      </c>
      <c r="B1010" s="8" t="s">
        <v>16</v>
      </c>
      <c r="C1010" s="9" t="n">
        <v>4295</v>
      </c>
      <c r="D1010" s="8" t="s">
        <v>21</v>
      </c>
      <c r="E1010" s="10" t="s">
        <v>88</v>
      </c>
      <c r="F1010" s="8" t="str">
        <f aca="false">TEXT(A1010,"MM-YYYY")</f>
        <v>03-2025</v>
      </c>
      <c r="G1010" s="8"/>
      <c r="H1010" s="8"/>
      <c r="I1010" s="7"/>
      <c r="J1010" s="8" t="str">
        <f aca="false">VLOOKUP(B1010,Table3[#All],2,0)</f>
        <v>Sales</v>
      </c>
      <c r="K1010" s="8" t="str">
        <f aca="false">TEXT(ROW(), "0000")</f>
        <v>1010</v>
      </c>
      <c r="L1010" s="8"/>
    </row>
    <row r="1011" customFormat="false" ht="15.75" hidden="false" customHeight="true" outlineLevel="0" collapsed="false">
      <c r="A1011" s="13" t="n">
        <v>45740</v>
      </c>
      <c r="B1011" s="8" t="s">
        <v>16</v>
      </c>
      <c r="C1011" s="9" t="n">
        <v>440</v>
      </c>
      <c r="D1011" s="8" t="s">
        <v>27</v>
      </c>
      <c r="E1011" s="10" t="s">
        <v>88</v>
      </c>
      <c r="F1011" s="8" t="str">
        <f aca="false">TEXT(A1011,"MM-YYYY")</f>
        <v>03-2025</v>
      </c>
      <c r="G1011" s="8"/>
      <c r="H1011" s="8"/>
      <c r="I1011" s="7"/>
      <c r="J1011" s="8" t="str">
        <f aca="false">VLOOKUP(B1011,Table3[#All],2,0)</f>
        <v>Sales</v>
      </c>
      <c r="K1011" s="8" t="str">
        <f aca="false">TEXT(ROW(), "0000")</f>
        <v>1011</v>
      </c>
      <c r="L1011" s="8"/>
    </row>
    <row r="1012" customFormat="false" ht="15.75" hidden="false" customHeight="true" outlineLevel="0" collapsed="false">
      <c r="A1012" s="13" t="n">
        <v>45740</v>
      </c>
      <c r="B1012" s="8" t="s">
        <v>16</v>
      </c>
      <c r="C1012" s="9" t="n">
        <v>500</v>
      </c>
      <c r="D1012" s="8" t="s">
        <v>33</v>
      </c>
      <c r="E1012" s="10" t="s">
        <v>88</v>
      </c>
      <c r="F1012" s="8" t="str">
        <f aca="false">TEXT(A1012,"MM-YYYY")</f>
        <v>03-2025</v>
      </c>
      <c r="G1012" s="8"/>
      <c r="H1012" s="8"/>
      <c r="I1012" s="7"/>
      <c r="J1012" s="8" t="str">
        <f aca="false">VLOOKUP(B1012,Table3[#All],2,0)</f>
        <v>Sales</v>
      </c>
      <c r="K1012" s="8" t="str">
        <f aca="false">TEXT(ROW(), "0000")</f>
        <v>1012</v>
      </c>
      <c r="L1012" s="8"/>
    </row>
    <row r="1013" customFormat="false" ht="15.75" hidden="false" customHeight="true" outlineLevel="0" collapsed="false">
      <c r="A1013" s="13" t="n">
        <v>45740</v>
      </c>
      <c r="B1013" s="8" t="s">
        <v>16</v>
      </c>
      <c r="C1013" s="9" t="n">
        <v>9978</v>
      </c>
      <c r="D1013" s="8" t="s">
        <v>17</v>
      </c>
      <c r="E1013" s="10" t="s">
        <v>88</v>
      </c>
      <c r="F1013" s="8" t="str">
        <f aca="false">TEXT(A1013,"MM-YYYY")</f>
        <v>03-2025</v>
      </c>
      <c r="G1013" s="8"/>
      <c r="H1013" s="8"/>
      <c r="I1013" s="7"/>
      <c r="J1013" s="8" t="str">
        <f aca="false">VLOOKUP(B1013,Table3[#All],2,0)</f>
        <v>Sales</v>
      </c>
      <c r="K1013" s="8" t="str">
        <f aca="false">TEXT(ROW(), "0000")</f>
        <v>1013</v>
      </c>
      <c r="L1013" s="8"/>
    </row>
    <row r="1014" customFormat="false" ht="15.75" hidden="false" customHeight="true" outlineLevel="0" collapsed="false">
      <c r="A1014" s="13" t="n">
        <v>45740</v>
      </c>
      <c r="B1014" s="8" t="s">
        <v>16</v>
      </c>
      <c r="C1014" s="9" t="n">
        <v>1725</v>
      </c>
      <c r="D1014" s="8" t="s">
        <v>24</v>
      </c>
      <c r="E1014" s="10" t="s">
        <v>217</v>
      </c>
      <c r="F1014" s="8" t="str">
        <f aca="false">TEXT(A1014,"MM-YYYY")</f>
        <v>03-2025</v>
      </c>
      <c r="G1014" s="8"/>
      <c r="H1014" s="8"/>
      <c r="I1014" s="7"/>
      <c r="J1014" s="8" t="str">
        <f aca="false">VLOOKUP(B1014,Table3[#All],2,0)</f>
        <v>Sales</v>
      </c>
      <c r="K1014" s="8" t="str">
        <f aca="false">TEXT(ROW(), "0000")</f>
        <v>1014</v>
      </c>
      <c r="L1014" s="8"/>
    </row>
    <row r="1015" customFormat="false" ht="15.75" hidden="false" customHeight="true" outlineLevel="0" collapsed="false">
      <c r="A1015" s="13" t="n">
        <v>45740</v>
      </c>
      <c r="B1015" s="8" t="s">
        <v>25</v>
      </c>
      <c r="C1015" s="9" t="n">
        <v>130</v>
      </c>
      <c r="D1015" s="8" t="s">
        <v>45</v>
      </c>
      <c r="E1015" s="10" t="s">
        <v>250</v>
      </c>
      <c r="F1015" s="8" t="str">
        <f aca="false">TEXT(A1015,"MM-YYYY")</f>
        <v>03-2025</v>
      </c>
      <c r="G1015" s="8" t="s">
        <v>14</v>
      </c>
      <c r="H1015" s="8" t="s">
        <v>15</v>
      </c>
      <c r="I1015" s="7"/>
      <c r="J1015" s="8" t="str">
        <f aca="false">VLOOKUP(B1015,Table3[#All],2,0)</f>
        <v>Inventory</v>
      </c>
      <c r="K1015" s="8" t="str">
        <f aca="false">TEXT(ROW(), "0000")</f>
        <v>1015</v>
      </c>
      <c r="L1015" s="8"/>
    </row>
    <row r="1016" customFormat="false" ht="15.75" hidden="false" customHeight="true" outlineLevel="0" collapsed="false">
      <c r="A1016" s="13" t="n">
        <v>45740</v>
      </c>
      <c r="B1016" s="8" t="s">
        <v>202</v>
      </c>
      <c r="C1016" s="9" t="n">
        <v>65</v>
      </c>
      <c r="D1016" s="8" t="s">
        <v>45</v>
      </c>
      <c r="E1016" s="10" t="s">
        <v>242</v>
      </c>
      <c r="F1016" s="8" t="str">
        <f aca="false">TEXT(A1016,"MM-YYYY")</f>
        <v>03-2025</v>
      </c>
      <c r="G1016" s="8" t="s">
        <v>14</v>
      </c>
      <c r="H1016" s="8" t="s">
        <v>15</v>
      </c>
      <c r="I1016" s="7"/>
      <c r="J1016" s="8" t="str">
        <f aca="false">VLOOKUP(B1016,Table3[#All],2,0)</f>
        <v>Maintance</v>
      </c>
      <c r="K1016" s="8" t="str">
        <f aca="false">TEXT(ROW(), "0000")</f>
        <v>1016</v>
      </c>
      <c r="L1016" s="8"/>
    </row>
    <row r="1017" customFormat="false" ht="15.75" hidden="false" customHeight="true" outlineLevel="0" collapsed="false">
      <c r="A1017" s="13" t="n">
        <v>45740</v>
      </c>
      <c r="B1017" s="8" t="s">
        <v>25</v>
      </c>
      <c r="C1017" s="9" t="n">
        <v>120</v>
      </c>
      <c r="D1017" s="8" t="s">
        <v>45</v>
      </c>
      <c r="E1017" s="10" t="s">
        <v>42</v>
      </c>
      <c r="F1017" s="8" t="str">
        <f aca="false">TEXT(A1017,"MM-YYYY")</f>
        <v>03-2025</v>
      </c>
      <c r="G1017" s="8" t="s">
        <v>14</v>
      </c>
      <c r="H1017" s="8" t="s">
        <v>15</v>
      </c>
      <c r="I1017" s="7"/>
      <c r="J1017" s="8" t="str">
        <f aca="false">VLOOKUP(B1017,Table3[#All],2,0)</f>
        <v>Inventory</v>
      </c>
      <c r="K1017" s="8" t="str">
        <f aca="false">TEXT(ROW(), "0000")</f>
        <v>1017</v>
      </c>
      <c r="L1017" s="8"/>
    </row>
    <row r="1018" customFormat="false" ht="15.75" hidden="false" customHeight="true" outlineLevel="0" collapsed="false">
      <c r="A1018" s="13" t="n">
        <v>45740</v>
      </c>
      <c r="B1018" s="8" t="s">
        <v>34</v>
      </c>
      <c r="C1018" s="9" t="n">
        <v>115</v>
      </c>
      <c r="D1018" s="8" t="s">
        <v>45</v>
      </c>
      <c r="E1018" s="10"/>
      <c r="F1018" s="8" t="str">
        <f aca="false">TEXT(A1018,"MM-YYYY")</f>
        <v>03-2025</v>
      </c>
      <c r="G1018" s="8" t="s">
        <v>14</v>
      </c>
      <c r="H1018" s="8" t="s">
        <v>15</v>
      </c>
      <c r="I1018" s="7"/>
      <c r="J1018" s="8" t="str">
        <f aca="false">VLOOKUP(B1018,Table3[#All],2,0)</f>
        <v>Staff Expenses</v>
      </c>
      <c r="K1018" s="8" t="str">
        <f aca="false">TEXT(ROW(), "0000")</f>
        <v>1018</v>
      </c>
      <c r="L1018" s="8"/>
    </row>
    <row r="1019" customFormat="false" ht="15.75" hidden="false" customHeight="true" outlineLevel="0" collapsed="false">
      <c r="A1019" s="13" t="n">
        <v>45740</v>
      </c>
      <c r="B1019" s="8" t="s">
        <v>37</v>
      </c>
      <c r="C1019" s="9" t="n">
        <v>15</v>
      </c>
      <c r="D1019" s="8" t="s">
        <v>21</v>
      </c>
      <c r="E1019" s="10"/>
      <c r="F1019" s="8" t="str">
        <f aca="false">TEXT(A1019,"MM-YYYY")</f>
        <v>03-2025</v>
      </c>
      <c r="G1019" s="8" t="s">
        <v>14</v>
      </c>
      <c r="H1019" s="8" t="s">
        <v>15</v>
      </c>
      <c r="I1019" s="7"/>
      <c r="J1019" s="8" t="str">
        <f aca="false">VLOOKUP(B1019,Table3[#All],2,0)</f>
        <v>Maintance</v>
      </c>
      <c r="K1019" s="8" t="str">
        <f aca="false">TEXT(ROW(), "0000")</f>
        <v>1019</v>
      </c>
      <c r="L1019" s="8"/>
    </row>
    <row r="1020" customFormat="false" ht="15.75" hidden="false" customHeight="true" outlineLevel="0" collapsed="false">
      <c r="A1020" s="13" t="n">
        <v>45741</v>
      </c>
      <c r="B1020" s="8" t="s">
        <v>19</v>
      </c>
      <c r="C1020" s="9" t="n">
        <v>3674</v>
      </c>
      <c r="D1020" s="8" t="s">
        <v>13</v>
      </c>
      <c r="E1020" s="10" t="s">
        <v>20</v>
      </c>
      <c r="F1020" s="8" t="str">
        <f aca="false">TEXT(A1020,"MM-YYYY")</f>
        <v>03-2025</v>
      </c>
      <c r="G1020" s="8" t="s">
        <v>14</v>
      </c>
      <c r="H1020" s="8" t="s">
        <v>15</v>
      </c>
      <c r="I1020" s="7"/>
      <c r="J1020" s="8" t="str">
        <f aca="false">VLOOKUP(B1020,Table3[#All],2,0)</f>
        <v>Inventory</v>
      </c>
      <c r="K1020" s="8" t="str">
        <f aca="false">TEXT(ROW(), "0000")</f>
        <v>1020</v>
      </c>
      <c r="L1020" s="8"/>
    </row>
    <row r="1021" customFormat="false" ht="15.75" hidden="false" customHeight="true" outlineLevel="0" collapsed="false">
      <c r="A1021" s="13" t="n">
        <v>45741</v>
      </c>
      <c r="B1021" s="8" t="s">
        <v>22</v>
      </c>
      <c r="C1021" s="9" t="n">
        <v>2754</v>
      </c>
      <c r="D1021" s="8" t="s">
        <v>13</v>
      </c>
      <c r="E1021" s="10" t="s">
        <v>23</v>
      </c>
      <c r="F1021" s="8" t="str">
        <f aca="false">TEXT(A1021,"MM-YYYY")</f>
        <v>03-2025</v>
      </c>
      <c r="G1021" s="8" t="s">
        <v>14</v>
      </c>
      <c r="H1021" s="8" t="s">
        <v>15</v>
      </c>
      <c r="I1021" s="7"/>
      <c r="J1021" s="8" t="str">
        <f aca="false">VLOOKUP(B1021,Table3[#All],2,0)</f>
        <v>Inventory</v>
      </c>
      <c r="K1021" s="8" t="str">
        <f aca="false">TEXT(ROW(), "0000")</f>
        <v>1021</v>
      </c>
      <c r="L1021" s="8"/>
    </row>
    <row r="1022" customFormat="false" ht="15.75" hidden="false" customHeight="true" outlineLevel="0" collapsed="false">
      <c r="A1022" s="13" t="n">
        <v>45741</v>
      </c>
      <c r="B1022" s="8" t="s">
        <v>25</v>
      </c>
      <c r="C1022" s="9" t="n">
        <v>660</v>
      </c>
      <c r="D1022" s="8" t="s">
        <v>13</v>
      </c>
      <c r="E1022" s="10" t="s">
        <v>26</v>
      </c>
      <c r="F1022" s="8" t="str">
        <f aca="false">TEXT(A1022,"MM-YYYY")</f>
        <v>03-2025</v>
      </c>
      <c r="G1022" s="8" t="s">
        <v>14</v>
      </c>
      <c r="H1022" s="8" t="s">
        <v>15</v>
      </c>
      <c r="I1022" s="7"/>
      <c r="J1022" s="8" t="str">
        <f aca="false">VLOOKUP(B1022,Table3[#All],2,0)</f>
        <v>Inventory</v>
      </c>
      <c r="K1022" s="8" t="str">
        <f aca="false">TEXT(ROW(), "0000")</f>
        <v>1022</v>
      </c>
      <c r="L1022" s="8"/>
    </row>
    <row r="1023" customFormat="false" ht="15.75" hidden="false" customHeight="true" outlineLevel="0" collapsed="false">
      <c r="A1023" s="13" t="n">
        <v>45741</v>
      </c>
      <c r="B1023" s="8" t="s">
        <v>25</v>
      </c>
      <c r="C1023" s="12" t="n">
        <v>370</v>
      </c>
      <c r="D1023" s="8" t="s">
        <v>45</v>
      </c>
      <c r="E1023" s="10" t="s">
        <v>251</v>
      </c>
      <c r="F1023" s="8" t="str">
        <f aca="false">TEXT(A1023,"MM-YYYY")</f>
        <v>03-2025</v>
      </c>
      <c r="G1023" s="8" t="s">
        <v>14</v>
      </c>
      <c r="H1023" s="8" t="s">
        <v>15</v>
      </c>
      <c r="I1023" s="7"/>
      <c r="J1023" s="8" t="str">
        <f aca="false">VLOOKUP(B1023,Table3[#All],2,0)</f>
        <v>Inventory</v>
      </c>
      <c r="K1023" s="8" t="str">
        <f aca="false">TEXT(ROW(), "0000")</f>
        <v>1023</v>
      </c>
      <c r="L1023" s="8"/>
    </row>
    <row r="1024" customFormat="false" ht="15.75" hidden="false" customHeight="true" outlineLevel="0" collapsed="false">
      <c r="A1024" s="13" t="n">
        <v>45741</v>
      </c>
      <c r="B1024" s="8" t="s">
        <v>40</v>
      </c>
      <c r="C1024" s="9" t="n">
        <v>2960</v>
      </c>
      <c r="D1024" s="8" t="s">
        <v>13</v>
      </c>
      <c r="E1024" s="10" t="s">
        <v>46</v>
      </c>
      <c r="F1024" s="8" t="str">
        <f aca="false">TEXT(A1024,"MM-YYYY")</f>
        <v>03-2025</v>
      </c>
      <c r="G1024" s="8" t="s">
        <v>14</v>
      </c>
      <c r="H1024" s="8" t="s">
        <v>15</v>
      </c>
      <c r="I1024" s="7"/>
      <c r="J1024" s="8" t="str">
        <f aca="false">VLOOKUP(B1024,Table3[#All],2,0)</f>
        <v>Inventory</v>
      </c>
      <c r="K1024" s="8" t="str">
        <f aca="false">TEXT(ROW(), "0000")</f>
        <v>1024</v>
      </c>
      <c r="L1024" s="8"/>
    </row>
    <row r="1025" customFormat="false" ht="15.75" hidden="false" customHeight="true" outlineLevel="0" collapsed="false">
      <c r="A1025" s="13" t="n">
        <v>45741</v>
      </c>
      <c r="B1025" s="8" t="s">
        <v>60</v>
      </c>
      <c r="C1025" s="9" t="n">
        <v>210</v>
      </c>
      <c r="D1025" s="8" t="s">
        <v>21</v>
      </c>
      <c r="E1025" s="10" t="s">
        <v>252</v>
      </c>
      <c r="F1025" s="8" t="str">
        <f aca="false">TEXT(A1025,"MM-YYYY")</f>
        <v>03-2025</v>
      </c>
      <c r="G1025" s="8" t="s">
        <v>14</v>
      </c>
      <c r="H1025" s="8" t="s">
        <v>15</v>
      </c>
      <c r="I1025" s="7"/>
      <c r="J1025" s="8" t="str">
        <f aca="false">VLOOKUP(B1025,Table3[#All],2,0)</f>
        <v>Inventory</v>
      </c>
      <c r="K1025" s="8" t="str">
        <f aca="false">TEXT(ROW(), "0000")</f>
        <v>1025</v>
      </c>
      <c r="L1025" s="8"/>
    </row>
    <row r="1026" customFormat="false" ht="15.75" hidden="false" customHeight="true" outlineLevel="0" collapsed="false">
      <c r="A1026" s="13" t="n">
        <v>45741</v>
      </c>
      <c r="B1026" s="8" t="s">
        <v>29</v>
      </c>
      <c r="C1026" s="9" t="n">
        <v>464</v>
      </c>
      <c r="D1026" s="8" t="s">
        <v>45</v>
      </c>
      <c r="E1026" s="10" t="s">
        <v>231</v>
      </c>
      <c r="F1026" s="8" t="str">
        <f aca="false">TEXT(A1026,"MM-YYYY")</f>
        <v>03-2025</v>
      </c>
      <c r="G1026" s="8" t="s">
        <v>14</v>
      </c>
      <c r="H1026" s="8" t="s">
        <v>232</v>
      </c>
      <c r="I1026" s="7" t="n">
        <v>45758</v>
      </c>
      <c r="J1026" s="8" t="str">
        <f aca="false">VLOOKUP(B1026,Table3[#All],2,0)</f>
        <v>Inventory</v>
      </c>
      <c r="K1026" s="8" t="str">
        <f aca="false">TEXT(ROW(), "0000")</f>
        <v>1026</v>
      </c>
      <c r="L1026" s="8"/>
    </row>
    <row r="1027" customFormat="false" ht="15.75" hidden="false" customHeight="true" outlineLevel="0" collapsed="false">
      <c r="A1027" s="13" t="n">
        <v>45741</v>
      </c>
      <c r="B1027" s="8" t="s">
        <v>16</v>
      </c>
      <c r="C1027" s="9" t="n">
        <v>1500</v>
      </c>
      <c r="D1027" s="8" t="s">
        <v>21</v>
      </c>
      <c r="E1027" s="10" t="s">
        <v>88</v>
      </c>
      <c r="F1027" s="8" t="str">
        <f aca="false">TEXT(A1027,"MM-YYYY")</f>
        <v>03-2025</v>
      </c>
      <c r="G1027" s="8"/>
      <c r="H1027" s="8"/>
      <c r="I1027" s="7"/>
      <c r="J1027" s="8" t="str">
        <f aca="false">VLOOKUP(B1027,Table3[#All],2,0)</f>
        <v>Sales</v>
      </c>
      <c r="K1027" s="8" t="str">
        <f aca="false">TEXT(ROW(), "0000")</f>
        <v>1027</v>
      </c>
      <c r="L1027" s="8"/>
    </row>
    <row r="1028" customFormat="false" ht="15.75" hidden="false" customHeight="true" outlineLevel="0" collapsed="false">
      <c r="A1028" s="13" t="n">
        <v>45741</v>
      </c>
      <c r="B1028" s="8" t="s">
        <v>16</v>
      </c>
      <c r="C1028" s="9" t="n">
        <v>2870</v>
      </c>
      <c r="D1028" s="8" t="s">
        <v>27</v>
      </c>
      <c r="E1028" s="10" t="s">
        <v>88</v>
      </c>
      <c r="F1028" s="8" t="str">
        <f aca="false">TEXT(A1028,"MM-YYYY")</f>
        <v>03-2025</v>
      </c>
      <c r="G1028" s="8"/>
      <c r="H1028" s="8"/>
      <c r="I1028" s="7"/>
      <c r="J1028" s="8" t="str">
        <f aca="false">VLOOKUP(B1028,Table3[#All],2,0)</f>
        <v>Sales</v>
      </c>
      <c r="K1028" s="8" t="str">
        <f aca="false">TEXT(ROW(), "0000")</f>
        <v>1028</v>
      </c>
      <c r="L1028" s="8"/>
    </row>
    <row r="1029" customFormat="false" ht="15.75" hidden="false" customHeight="true" outlineLevel="0" collapsed="false">
      <c r="A1029" s="13" t="n">
        <v>45741</v>
      </c>
      <c r="B1029" s="8" t="s">
        <v>16</v>
      </c>
      <c r="C1029" s="9" t="n">
        <v>420</v>
      </c>
      <c r="D1029" s="8" t="s">
        <v>33</v>
      </c>
      <c r="E1029" s="10" t="s">
        <v>88</v>
      </c>
      <c r="F1029" s="8" t="str">
        <f aca="false">TEXT(A1029,"MM-YYYY")</f>
        <v>03-2025</v>
      </c>
      <c r="G1029" s="8"/>
      <c r="H1029" s="8"/>
      <c r="I1029" s="7"/>
      <c r="J1029" s="8" t="str">
        <f aca="false">VLOOKUP(B1029,Table3[#All],2,0)</f>
        <v>Sales</v>
      </c>
      <c r="K1029" s="8" t="str">
        <f aca="false">TEXT(ROW(), "0000")</f>
        <v>1029</v>
      </c>
      <c r="L1029" s="8"/>
    </row>
    <row r="1030" customFormat="false" ht="15.75" hidden="false" customHeight="true" outlineLevel="0" collapsed="false">
      <c r="A1030" s="13" t="n">
        <v>45741</v>
      </c>
      <c r="B1030" s="8" t="s">
        <v>16</v>
      </c>
      <c r="C1030" s="9" t="n">
        <v>18648</v>
      </c>
      <c r="D1030" s="8" t="s">
        <v>17</v>
      </c>
      <c r="E1030" s="10" t="s">
        <v>88</v>
      </c>
      <c r="F1030" s="8" t="str">
        <f aca="false">TEXT(A1030,"MM-YYYY")</f>
        <v>03-2025</v>
      </c>
      <c r="G1030" s="8"/>
      <c r="H1030" s="8"/>
      <c r="I1030" s="7"/>
      <c r="J1030" s="8" t="str">
        <f aca="false">VLOOKUP(B1030,Table3[#All],2,0)</f>
        <v>Sales</v>
      </c>
      <c r="K1030" s="8" t="str">
        <f aca="false">TEXT(ROW(), "0000")</f>
        <v>1030</v>
      </c>
      <c r="L1030" s="8"/>
    </row>
    <row r="1031" customFormat="false" ht="15.75" hidden="false" customHeight="true" outlineLevel="0" collapsed="false">
      <c r="A1031" s="13" t="n">
        <v>45741</v>
      </c>
      <c r="B1031" s="8" t="s">
        <v>16</v>
      </c>
      <c r="C1031" s="9" t="n">
        <v>1241</v>
      </c>
      <c r="D1031" s="8" t="s">
        <v>24</v>
      </c>
      <c r="E1031" s="10" t="s">
        <v>217</v>
      </c>
      <c r="F1031" s="8" t="str">
        <f aca="false">TEXT(A1031,"MM-YYYY")</f>
        <v>03-2025</v>
      </c>
      <c r="G1031" s="8"/>
      <c r="H1031" s="8"/>
      <c r="I1031" s="7"/>
      <c r="J1031" s="8" t="str">
        <f aca="false">VLOOKUP(B1031,Table3[#All],2,0)</f>
        <v>Sales</v>
      </c>
      <c r="K1031" s="8" t="str">
        <f aca="false">TEXT(ROW(), "0000")</f>
        <v>1031</v>
      </c>
      <c r="L1031" s="8"/>
    </row>
    <row r="1032" customFormat="false" ht="15.75" hidden="false" customHeight="true" outlineLevel="0" collapsed="false">
      <c r="A1032" s="13" t="n">
        <v>45741</v>
      </c>
      <c r="B1032" s="8" t="s">
        <v>34</v>
      </c>
      <c r="C1032" s="9" t="n">
        <v>130</v>
      </c>
      <c r="D1032" s="8" t="s">
        <v>45</v>
      </c>
      <c r="E1032" s="10"/>
      <c r="F1032" s="8" t="str">
        <f aca="false">TEXT(A1032,"MM-YYYY")</f>
        <v>03-2025</v>
      </c>
      <c r="G1032" s="8" t="s">
        <v>14</v>
      </c>
      <c r="H1032" s="8" t="s">
        <v>15</v>
      </c>
      <c r="I1032" s="7"/>
      <c r="J1032" s="8" t="str">
        <f aca="false">VLOOKUP(B1032,Table3[#All],2,0)</f>
        <v>Staff Expenses</v>
      </c>
      <c r="K1032" s="8" t="str">
        <f aca="false">TEXT(ROW(), "0000")</f>
        <v>1032</v>
      </c>
      <c r="L1032" s="8"/>
    </row>
    <row r="1033" customFormat="false" ht="15.75" hidden="false" customHeight="true" outlineLevel="0" collapsed="false">
      <c r="A1033" s="13" t="n">
        <v>45741</v>
      </c>
      <c r="B1033" s="8" t="s">
        <v>44</v>
      </c>
      <c r="C1033" s="9" t="n">
        <v>1000</v>
      </c>
      <c r="D1033" s="8" t="s">
        <v>45</v>
      </c>
      <c r="E1033" s="10" t="s">
        <v>253</v>
      </c>
      <c r="F1033" s="8" t="str">
        <f aca="false">TEXT(A1033,"MM-YYYY")</f>
        <v>03-2025</v>
      </c>
      <c r="G1033" s="8" t="s">
        <v>14</v>
      </c>
      <c r="H1033" s="8" t="s">
        <v>15</v>
      </c>
      <c r="I1033" s="7"/>
      <c r="J1033" s="8" t="str">
        <f aca="false">VLOOKUP(B1033,Table3[#All],2,0)</f>
        <v>Salary</v>
      </c>
      <c r="K1033" s="8" t="str">
        <f aca="false">TEXT(ROW(), "0000")</f>
        <v>1033</v>
      </c>
      <c r="L1033" s="8"/>
    </row>
    <row r="1034" customFormat="false" ht="15.75" hidden="false" customHeight="true" outlineLevel="0" collapsed="false">
      <c r="A1034" s="13" t="n">
        <v>45741</v>
      </c>
      <c r="B1034" s="8" t="s">
        <v>37</v>
      </c>
      <c r="C1034" s="9" t="n">
        <v>40</v>
      </c>
      <c r="D1034" s="8" t="s">
        <v>21</v>
      </c>
      <c r="E1034" s="10"/>
      <c r="F1034" s="8" t="str">
        <f aca="false">TEXT(A1034,"MM-YYYY")</f>
        <v>03-2025</v>
      </c>
      <c r="G1034" s="8" t="s">
        <v>14</v>
      </c>
      <c r="H1034" s="8" t="s">
        <v>15</v>
      </c>
      <c r="I1034" s="7"/>
      <c r="J1034" s="8" t="str">
        <f aca="false">VLOOKUP(B1034,Table3[#All],2,0)</f>
        <v>Maintance</v>
      </c>
      <c r="K1034" s="8" t="str">
        <f aca="false">TEXT(ROW(), "0000")</f>
        <v>1034</v>
      </c>
      <c r="L1034" s="8"/>
    </row>
    <row r="1035" customFormat="false" ht="15.75" hidden="false" customHeight="true" outlineLevel="0" collapsed="false">
      <c r="A1035" s="13" t="n">
        <v>45742</v>
      </c>
      <c r="B1035" s="8" t="s">
        <v>25</v>
      </c>
      <c r="C1035" s="9" t="n">
        <v>1495</v>
      </c>
      <c r="D1035" s="8" t="s">
        <v>13</v>
      </c>
      <c r="E1035" s="10" t="s">
        <v>26</v>
      </c>
      <c r="F1035" s="8" t="str">
        <f aca="false">TEXT(A1035,"MM-YYYY")</f>
        <v>03-2025</v>
      </c>
      <c r="G1035" s="8" t="s">
        <v>14</v>
      </c>
      <c r="H1035" s="8" t="s">
        <v>15</v>
      </c>
      <c r="I1035" s="7"/>
      <c r="J1035" s="8" t="str">
        <f aca="false">VLOOKUP(B1035,Table3[#All],2,0)</f>
        <v>Inventory</v>
      </c>
      <c r="K1035" s="8" t="str">
        <f aca="false">TEXT(ROW(), "0000")</f>
        <v>1035</v>
      </c>
      <c r="L1035" s="8"/>
    </row>
    <row r="1036" customFormat="false" ht="15.75" hidden="false" customHeight="true" outlineLevel="0" collapsed="false">
      <c r="A1036" s="13" t="n">
        <v>45742</v>
      </c>
      <c r="B1036" s="8" t="s">
        <v>47</v>
      </c>
      <c r="C1036" s="9" t="n">
        <v>840</v>
      </c>
      <c r="D1036" s="8" t="s">
        <v>13</v>
      </c>
      <c r="E1036" s="10" t="s">
        <v>223</v>
      </c>
      <c r="F1036" s="8" t="str">
        <f aca="false">TEXT(A1036,"MM-YYYY")</f>
        <v>03-2025</v>
      </c>
      <c r="G1036" s="8" t="s">
        <v>14</v>
      </c>
      <c r="H1036" s="8" t="s">
        <v>15</v>
      </c>
      <c r="I1036" s="7"/>
      <c r="J1036" s="8" t="str">
        <f aca="false">VLOOKUP(B1036,Table3[#All],2,0)</f>
        <v>Inventory</v>
      </c>
      <c r="K1036" s="8" t="str">
        <f aca="false">TEXT(ROW(), "0000")</f>
        <v>1036</v>
      </c>
      <c r="L1036" s="8"/>
    </row>
    <row r="1037" customFormat="false" ht="15.75" hidden="false" customHeight="true" outlineLevel="0" collapsed="false">
      <c r="A1037" s="13" t="n">
        <v>45742</v>
      </c>
      <c r="B1037" s="8" t="s">
        <v>19</v>
      </c>
      <c r="C1037" s="9" t="n">
        <v>4456</v>
      </c>
      <c r="D1037" s="8" t="s">
        <v>13</v>
      </c>
      <c r="E1037" s="10" t="s">
        <v>20</v>
      </c>
      <c r="F1037" s="8" t="str">
        <f aca="false">TEXT(A1037,"MM-YYYY")</f>
        <v>03-2025</v>
      </c>
      <c r="G1037" s="8" t="s">
        <v>14</v>
      </c>
      <c r="H1037" s="8" t="s">
        <v>15</v>
      </c>
      <c r="I1037" s="7"/>
      <c r="J1037" s="8" t="str">
        <f aca="false">VLOOKUP(B1037,Table3[#All],2,0)</f>
        <v>Inventory</v>
      </c>
      <c r="K1037" s="8" t="str">
        <f aca="false">TEXT(ROW(), "0000")</f>
        <v>1037</v>
      </c>
      <c r="L1037" s="8"/>
    </row>
    <row r="1038" customFormat="false" ht="15.75" hidden="false" customHeight="true" outlineLevel="0" collapsed="false">
      <c r="A1038" s="13" t="n">
        <v>45742</v>
      </c>
      <c r="B1038" s="8" t="s">
        <v>32</v>
      </c>
      <c r="C1038" s="9" t="n">
        <v>350</v>
      </c>
      <c r="D1038" s="8" t="s">
        <v>21</v>
      </c>
      <c r="E1038" s="10" t="s">
        <v>38</v>
      </c>
      <c r="F1038" s="8" t="str">
        <f aca="false">TEXT(A1038,"MM-YYYY")</f>
        <v>03-2025</v>
      </c>
      <c r="G1038" s="8" t="s">
        <v>14</v>
      </c>
      <c r="H1038" s="8" t="s">
        <v>15</v>
      </c>
      <c r="I1038" s="7"/>
      <c r="J1038" s="8" t="str">
        <f aca="false">VLOOKUP(B1038,Table3[#All],2,0)</f>
        <v>Grocery</v>
      </c>
      <c r="K1038" s="8" t="str">
        <f aca="false">TEXT(ROW(), "0000")</f>
        <v>1038</v>
      </c>
      <c r="L1038" s="8"/>
    </row>
    <row r="1039" customFormat="false" ht="15.75" hidden="false" customHeight="true" outlineLevel="0" collapsed="false">
      <c r="A1039" s="13" t="n">
        <v>45742</v>
      </c>
      <c r="B1039" s="8" t="s">
        <v>32</v>
      </c>
      <c r="C1039" s="9" t="n">
        <v>180</v>
      </c>
      <c r="D1039" s="8" t="s">
        <v>45</v>
      </c>
      <c r="E1039" s="10" t="s">
        <v>254</v>
      </c>
      <c r="F1039" s="8" t="str">
        <f aca="false">TEXT(A1039,"MM-YYYY")</f>
        <v>03-2025</v>
      </c>
      <c r="G1039" s="8" t="s">
        <v>14</v>
      </c>
      <c r="H1039" s="8" t="s">
        <v>15</v>
      </c>
      <c r="I1039" s="7"/>
      <c r="J1039" s="8" t="str">
        <f aca="false">VLOOKUP(B1039,Table3[#All],2,0)</f>
        <v>Grocery</v>
      </c>
      <c r="K1039" s="8" t="str">
        <f aca="false">TEXT(ROW(), "0000")</f>
        <v>1039</v>
      </c>
      <c r="L1039" s="8"/>
    </row>
    <row r="1040" customFormat="false" ht="15.75" hidden="false" customHeight="true" outlineLevel="0" collapsed="false">
      <c r="A1040" s="13" t="n">
        <v>45742</v>
      </c>
      <c r="B1040" s="8" t="s">
        <v>53</v>
      </c>
      <c r="C1040" s="9" t="n">
        <v>1040</v>
      </c>
      <c r="D1040" s="8" t="s">
        <v>45</v>
      </c>
      <c r="E1040" s="10" t="s">
        <v>54</v>
      </c>
      <c r="F1040" s="8" t="str">
        <f aca="false">TEXT(A1040,"MM-YYYY")</f>
        <v>03-2025</v>
      </c>
      <c r="G1040" s="8" t="s">
        <v>14</v>
      </c>
      <c r="H1040" s="8" t="s">
        <v>15</v>
      </c>
      <c r="I1040" s="7"/>
      <c r="J1040" s="8" t="str">
        <f aca="false">VLOOKUP(B1040,Table3[#All],2,0)</f>
        <v>Grocery</v>
      </c>
      <c r="K1040" s="8" t="str">
        <f aca="false">TEXT(ROW(), "0000")</f>
        <v>1040</v>
      </c>
      <c r="L1040" s="8"/>
    </row>
    <row r="1041" customFormat="false" ht="15.75" hidden="false" customHeight="true" outlineLevel="0" collapsed="false">
      <c r="A1041" s="13" t="n">
        <v>45742</v>
      </c>
      <c r="B1041" s="8" t="s">
        <v>28</v>
      </c>
      <c r="C1041" s="9" t="n">
        <v>955</v>
      </c>
      <c r="D1041" s="8" t="s">
        <v>21</v>
      </c>
      <c r="E1041" s="10" t="s">
        <v>93</v>
      </c>
      <c r="F1041" s="8" t="str">
        <f aca="false">TEXT(A1041,"MM-YYYY")</f>
        <v>03-2025</v>
      </c>
      <c r="G1041" s="8" t="s">
        <v>14</v>
      </c>
      <c r="H1041" s="8" t="s">
        <v>15</v>
      </c>
      <c r="I1041" s="7"/>
      <c r="J1041" s="8" t="str">
        <f aca="false">VLOOKUP(B1041,Table3[#All],2,0)</f>
        <v>Grocery</v>
      </c>
      <c r="K1041" s="8" t="str">
        <f aca="false">TEXT(ROW(), "0000")</f>
        <v>1041</v>
      </c>
      <c r="L1041" s="8"/>
    </row>
    <row r="1042" customFormat="false" ht="15.75" hidden="false" customHeight="true" outlineLevel="0" collapsed="false">
      <c r="A1042" s="13" t="n">
        <v>45742</v>
      </c>
      <c r="B1042" s="8" t="s">
        <v>29</v>
      </c>
      <c r="C1042" s="9" t="n">
        <v>507</v>
      </c>
      <c r="D1042" s="8" t="s">
        <v>45</v>
      </c>
      <c r="E1042" s="10" t="s">
        <v>231</v>
      </c>
      <c r="F1042" s="8" t="str">
        <f aca="false">TEXT(A1042,"MM-YYYY")</f>
        <v>03-2025</v>
      </c>
      <c r="G1042" s="8" t="s">
        <v>14</v>
      </c>
      <c r="H1042" s="8" t="s">
        <v>232</v>
      </c>
      <c r="I1042" s="7" t="n">
        <v>45758</v>
      </c>
      <c r="J1042" s="8" t="str">
        <f aca="false">VLOOKUP(B1042,Table3[#All],2,0)</f>
        <v>Inventory</v>
      </c>
      <c r="K1042" s="8" t="str">
        <f aca="false">TEXT(ROW(), "0000")</f>
        <v>1042</v>
      </c>
      <c r="L1042" s="8"/>
    </row>
    <row r="1043" customFormat="false" ht="15.75" hidden="false" customHeight="true" outlineLevel="0" collapsed="false">
      <c r="A1043" s="13" t="n">
        <v>45742</v>
      </c>
      <c r="B1043" s="8" t="s">
        <v>16</v>
      </c>
      <c r="C1043" s="9" t="n">
        <v>4760</v>
      </c>
      <c r="D1043" s="8" t="s">
        <v>21</v>
      </c>
      <c r="E1043" s="10" t="s">
        <v>88</v>
      </c>
      <c r="F1043" s="8" t="str">
        <f aca="false">TEXT(A1043,"MM-YYYY")</f>
        <v>03-2025</v>
      </c>
      <c r="G1043" s="8"/>
      <c r="H1043" s="8"/>
      <c r="I1043" s="7"/>
      <c r="J1043" s="8" t="str">
        <f aca="false">VLOOKUP(B1043,Table3[#All],2,0)</f>
        <v>Sales</v>
      </c>
      <c r="K1043" s="8" t="str">
        <f aca="false">TEXT(ROW(), "0000")</f>
        <v>1043</v>
      </c>
      <c r="L1043" s="8"/>
    </row>
    <row r="1044" customFormat="false" ht="15.75" hidden="false" customHeight="true" outlineLevel="0" collapsed="false">
      <c r="A1044" s="13" t="n">
        <v>45742</v>
      </c>
      <c r="B1044" s="8" t="s">
        <v>16</v>
      </c>
      <c r="C1044" s="9" t="n">
        <v>155</v>
      </c>
      <c r="D1044" s="8" t="s">
        <v>27</v>
      </c>
      <c r="E1044" s="10" t="s">
        <v>88</v>
      </c>
      <c r="F1044" s="8" t="str">
        <f aca="false">TEXT(A1044,"MM-YYYY")</f>
        <v>03-2025</v>
      </c>
      <c r="G1044" s="8"/>
      <c r="H1044" s="8"/>
      <c r="I1044" s="7"/>
      <c r="J1044" s="8" t="str">
        <f aca="false">VLOOKUP(B1044,Table3[#All],2,0)</f>
        <v>Sales</v>
      </c>
      <c r="K1044" s="8" t="str">
        <f aca="false">TEXT(ROW(), "0000")</f>
        <v>1044</v>
      </c>
      <c r="L1044" s="8"/>
    </row>
    <row r="1045" customFormat="false" ht="15.75" hidden="false" customHeight="true" outlineLevel="0" collapsed="false">
      <c r="A1045" s="13" t="n">
        <v>45742</v>
      </c>
      <c r="B1045" s="8" t="s">
        <v>16</v>
      </c>
      <c r="C1045" s="9" t="n">
        <v>14350</v>
      </c>
      <c r="D1045" s="8" t="s">
        <v>17</v>
      </c>
      <c r="E1045" s="10" t="s">
        <v>88</v>
      </c>
      <c r="F1045" s="8" t="str">
        <f aca="false">TEXT(A1045,"MM-YYYY")</f>
        <v>03-2025</v>
      </c>
      <c r="G1045" s="8"/>
      <c r="H1045" s="8"/>
      <c r="I1045" s="7"/>
      <c r="J1045" s="8" t="str">
        <f aca="false">VLOOKUP(B1045,Table3[#All],2,0)</f>
        <v>Sales</v>
      </c>
      <c r="K1045" s="8" t="str">
        <f aca="false">TEXT(ROW(), "0000")</f>
        <v>1045</v>
      </c>
      <c r="L1045" s="8"/>
    </row>
    <row r="1046" customFormat="false" ht="15.75" hidden="false" customHeight="true" outlineLevel="0" collapsed="false">
      <c r="A1046" s="13" t="n">
        <v>45742</v>
      </c>
      <c r="B1046" s="8" t="s">
        <v>16</v>
      </c>
      <c r="C1046" s="9" t="n">
        <v>4601</v>
      </c>
      <c r="D1046" s="8" t="s">
        <v>24</v>
      </c>
      <c r="E1046" s="10" t="s">
        <v>217</v>
      </c>
      <c r="F1046" s="8" t="str">
        <f aca="false">TEXT(A1046,"MM-YYYY")</f>
        <v>03-2025</v>
      </c>
      <c r="G1046" s="8"/>
      <c r="H1046" s="8"/>
      <c r="I1046" s="7"/>
      <c r="J1046" s="8" t="str">
        <f aca="false">VLOOKUP(B1046,Table3[#All],2,0)</f>
        <v>Sales</v>
      </c>
      <c r="K1046" s="8" t="str">
        <f aca="false">TEXT(ROW(), "0000")</f>
        <v>1046</v>
      </c>
      <c r="L1046" s="8"/>
    </row>
    <row r="1047" customFormat="false" ht="15.75" hidden="false" customHeight="true" outlineLevel="0" collapsed="false">
      <c r="A1047" s="13" t="n">
        <v>45742</v>
      </c>
      <c r="B1047" s="8" t="s">
        <v>34</v>
      </c>
      <c r="C1047" s="9" t="n">
        <v>100</v>
      </c>
      <c r="D1047" s="8" t="s">
        <v>45</v>
      </c>
      <c r="E1047" s="10"/>
      <c r="F1047" s="8" t="str">
        <f aca="false">TEXT(A1047,"MM-YYYY")</f>
        <v>03-2025</v>
      </c>
      <c r="G1047" s="8" t="s">
        <v>14</v>
      </c>
      <c r="H1047" s="8" t="s">
        <v>15</v>
      </c>
      <c r="I1047" s="7"/>
      <c r="J1047" s="8" t="str">
        <f aca="false">VLOOKUP(B1047,Table3[#All],2,0)</f>
        <v>Staff Expenses</v>
      </c>
      <c r="K1047" s="8" t="str">
        <f aca="false">TEXT(ROW(), "0000")</f>
        <v>1047</v>
      </c>
      <c r="L1047" s="8"/>
    </row>
    <row r="1048" customFormat="false" ht="15.75" hidden="false" customHeight="true" outlineLevel="0" collapsed="false">
      <c r="A1048" s="13" t="n">
        <v>45742</v>
      </c>
      <c r="B1048" s="8" t="s">
        <v>29</v>
      </c>
      <c r="C1048" s="9" t="n">
        <v>40</v>
      </c>
      <c r="D1048" s="8" t="s">
        <v>21</v>
      </c>
      <c r="E1048" s="10" t="s">
        <v>194</v>
      </c>
      <c r="F1048" s="8" t="str">
        <f aca="false">TEXT(A1048,"MM-YYYY")</f>
        <v>03-2025</v>
      </c>
      <c r="G1048" s="8" t="s">
        <v>14</v>
      </c>
      <c r="H1048" s="8" t="s">
        <v>15</v>
      </c>
      <c r="I1048" s="7"/>
      <c r="J1048" s="8" t="str">
        <f aca="false">VLOOKUP(B1048,Table3[#All],2,0)</f>
        <v>Inventory</v>
      </c>
      <c r="K1048" s="8" t="str">
        <f aca="false">TEXT(ROW(), "0000")</f>
        <v>1048</v>
      </c>
      <c r="L1048" s="8"/>
    </row>
    <row r="1049" customFormat="false" ht="15.75" hidden="false" customHeight="true" outlineLevel="0" collapsed="false">
      <c r="A1049" s="13" t="n">
        <v>45742</v>
      </c>
      <c r="B1049" s="8" t="s">
        <v>37</v>
      </c>
      <c r="C1049" s="9" t="n">
        <v>15</v>
      </c>
      <c r="D1049" s="8" t="s">
        <v>21</v>
      </c>
      <c r="E1049" s="10"/>
      <c r="F1049" s="8" t="str">
        <f aca="false">TEXT(A1049,"MM-YYYY")</f>
        <v>03-2025</v>
      </c>
      <c r="G1049" s="8" t="s">
        <v>14</v>
      </c>
      <c r="H1049" s="8" t="s">
        <v>15</v>
      </c>
      <c r="I1049" s="7"/>
      <c r="J1049" s="8" t="str">
        <f aca="false">VLOOKUP(B1049,Table3[#All],2,0)</f>
        <v>Maintance</v>
      </c>
      <c r="K1049" s="8" t="str">
        <f aca="false">TEXT(ROW(), "0000")</f>
        <v>1049</v>
      </c>
      <c r="L1049" s="8"/>
    </row>
    <row r="1050" customFormat="false" ht="15.75" hidden="false" customHeight="true" outlineLevel="0" collapsed="false">
      <c r="A1050" s="13" t="n">
        <v>45743</v>
      </c>
      <c r="B1050" s="8" t="s">
        <v>19</v>
      </c>
      <c r="C1050" s="9" t="n">
        <v>6665</v>
      </c>
      <c r="D1050" s="8" t="s">
        <v>13</v>
      </c>
      <c r="E1050" s="10" t="s">
        <v>20</v>
      </c>
      <c r="F1050" s="8" t="str">
        <f aca="false">TEXT(A1050,"MM-YYYY")</f>
        <v>03-2025</v>
      </c>
      <c r="G1050" s="8" t="s">
        <v>14</v>
      </c>
      <c r="H1050" s="8" t="s">
        <v>15</v>
      </c>
      <c r="I1050" s="7"/>
      <c r="J1050" s="8" t="str">
        <f aca="false">VLOOKUP(B1050,Table3[#All],2,0)</f>
        <v>Inventory</v>
      </c>
      <c r="K1050" s="8" t="str">
        <f aca="false">TEXT(ROW(), "0000")</f>
        <v>1050</v>
      </c>
      <c r="L1050" s="8"/>
    </row>
    <row r="1051" customFormat="false" ht="15.75" hidden="false" customHeight="true" outlineLevel="0" collapsed="false">
      <c r="A1051" s="13" t="n">
        <v>45743</v>
      </c>
      <c r="B1051" s="8" t="s">
        <v>29</v>
      </c>
      <c r="C1051" s="9" t="n">
        <v>355</v>
      </c>
      <c r="D1051" s="8" t="s">
        <v>45</v>
      </c>
      <c r="E1051" s="10" t="s">
        <v>231</v>
      </c>
      <c r="F1051" s="8" t="str">
        <f aca="false">TEXT(A1051,"MM-YYYY")</f>
        <v>03-2025</v>
      </c>
      <c r="G1051" s="8" t="s">
        <v>14</v>
      </c>
      <c r="H1051" s="8" t="s">
        <v>232</v>
      </c>
      <c r="I1051" s="7" t="n">
        <v>45758</v>
      </c>
      <c r="J1051" s="8" t="str">
        <f aca="false">VLOOKUP(B1051,Table3[#All],2,0)</f>
        <v>Inventory</v>
      </c>
      <c r="K1051" s="8" t="str">
        <f aca="false">TEXT(ROW(), "0000")</f>
        <v>1051</v>
      </c>
      <c r="L1051" s="8"/>
    </row>
    <row r="1052" customFormat="false" ht="15.75" hidden="false" customHeight="true" outlineLevel="0" collapsed="false">
      <c r="A1052" s="13" t="n">
        <v>45743</v>
      </c>
      <c r="B1052" s="8" t="s">
        <v>22</v>
      </c>
      <c r="C1052" s="9" t="n">
        <v>2865</v>
      </c>
      <c r="D1052" s="8" t="s">
        <v>13</v>
      </c>
      <c r="E1052" s="10" t="s">
        <v>23</v>
      </c>
      <c r="F1052" s="8" t="str">
        <f aca="false">TEXT(A1052,"MM-YYYY")</f>
        <v>03-2025</v>
      </c>
      <c r="G1052" s="8" t="s">
        <v>14</v>
      </c>
      <c r="H1052" s="8" t="s">
        <v>15</v>
      </c>
      <c r="I1052" s="7"/>
      <c r="J1052" s="8" t="str">
        <f aca="false">VLOOKUP(B1052,Table3[#All],2,0)</f>
        <v>Inventory</v>
      </c>
      <c r="K1052" s="8" t="str">
        <f aca="false">TEXT(ROW(), "0000")</f>
        <v>1052</v>
      </c>
      <c r="L1052" s="8"/>
    </row>
    <row r="1053" customFormat="false" ht="15.75" hidden="false" customHeight="true" outlineLevel="0" collapsed="false">
      <c r="A1053" s="13" t="n">
        <v>45743</v>
      </c>
      <c r="B1053" s="8" t="s">
        <v>25</v>
      </c>
      <c r="C1053" s="9" t="n">
        <v>943</v>
      </c>
      <c r="D1053" s="8" t="s">
        <v>13</v>
      </c>
      <c r="E1053" s="10" t="s">
        <v>26</v>
      </c>
      <c r="F1053" s="8" t="str">
        <f aca="false">TEXT(A1053,"MM-YYYY")</f>
        <v>03-2025</v>
      </c>
      <c r="G1053" s="8" t="s">
        <v>14</v>
      </c>
      <c r="H1053" s="8" t="s">
        <v>15</v>
      </c>
      <c r="I1053" s="7"/>
      <c r="J1053" s="8" t="str">
        <f aca="false">VLOOKUP(B1053,Table3[#All],2,0)</f>
        <v>Inventory</v>
      </c>
      <c r="K1053" s="8" t="str">
        <f aca="false">TEXT(ROW(), "0000")</f>
        <v>1053</v>
      </c>
      <c r="L1053" s="8"/>
    </row>
    <row r="1054" customFormat="false" ht="15.75" hidden="false" customHeight="true" outlineLevel="0" collapsed="false">
      <c r="A1054" s="13" t="n">
        <v>45743</v>
      </c>
      <c r="B1054" s="8" t="s">
        <v>255</v>
      </c>
      <c r="C1054" s="9" t="n">
        <v>18980</v>
      </c>
      <c r="D1054" s="8" t="s">
        <v>13</v>
      </c>
      <c r="E1054" s="10"/>
      <c r="F1054" s="8" t="str">
        <f aca="false">TEXT(A1054,"MM-YYYY")</f>
        <v>03-2025</v>
      </c>
      <c r="G1054" s="8" t="s">
        <v>14</v>
      </c>
      <c r="H1054" s="8" t="s">
        <v>15</v>
      </c>
      <c r="I1054" s="7"/>
      <c r="J1054" s="8" t="str">
        <f aca="false">VLOOKUP(B1054,Table3[#All],2,0)</f>
        <v>Grocery</v>
      </c>
      <c r="K1054" s="8" t="str">
        <f aca="false">TEXT(ROW(), "0000")</f>
        <v>1054</v>
      </c>
      <c r="L1054" s="8"/>
    </row>
    <row r="1055" customFormat="false" ht="15.75" hidden="false" customHeight="true" outlineLevel="0" collapsed="false">
      <c r="A1055" s="13" t="n">
        <v>45743</v>
      </c>
      <c r="B1055" s="8" t="s">
        <v>32</v>
      </c>
      <c r="C1055" s="9" t="n">
        <v>175</v>
      </c>
      <c r="D1055" s="8" t="s">
        <v>21</v>
      </c>
      <c r="E1055" s="10" t="s">
        <v>38</v>
      </c>
      <c r="F1055" s="8" t="str">
        <f aca="false">TEXT(A1055,"MM-YYYY")</f>
        <v>03-2025</v>
      </c>
      <c r="G1055" s="8" t="s">
        <v>14</v>
      </c>
      <c r="H1055" s="8" t="s">
        <v>15</v>
      </c>
      <c r="I1055" s="7"/>
      <c r="J1055" s="8" t="str">
        <f aca="false">VLOOKUP(B1055,Table3[#All],2,0)</f>
        <v>Grocery</v>
      </c>
      <c r="K1055" s="8" t="str">
        <f aca="false">TEXT(ROW(), "0000")</f>
        <v>1055</v>
      </c>
      <c r="L1055" s="8"/>
    </row>
    <row r="1056" customFormat="false" ht="15.75" hidden="false" customHeight="true" outlineLevel="0" collapsed="false">
      <c r="A1056" s="13" t="n">
        <v>45743</v>
      </c>
      <c r="B1056" s="8" t="s">
        <v>29</v>
      </c>
      <c r="C1056" s="9" t="n">
        <v>1020</v>
      </c>
      <c r="D1056" s="8" t="s">
        <v>45</v>
      </c>
      <c r="E1056" s="10" t="s">
        <v>78</v>
      </c>
      <c r="F1056" s="8" t="str">
        <f aca="false">TEXT(A1056,"MM-YYYY")</f>
        <v>03-2025</v>
      </c>
      <c r="G1056" s="8" t="s">
        <v>14</v>
      </c>
      <c r="H1056" s="8" t="s">
        <v>15</v>
      </c>
      <c r="I1056" s="7"/>
      <c r="J1056" s="8" t="str">
        <f aca="false">VLOOKUP(B1056,Table3[#All],2,0)</f>
        <v>Inventory</v>
      </c>
      <c r="K1056" s="8" t="str">
        <f aca="false">TEXT(ROW(), "0000")</f>
        <v>1056</v>
      </c>
      <c r="L1056" s="8"/>
    </row>
    <row r="1057" customFormat="false" ht="15.75" hidden="false" customHeight="true" outlineLevel="0" collapsed="false">
      <c r="A1057" s="13" t="n">
        <v>45743</v>
      </c>
      <c r="B1057" s="8" t="s">
        <v>40</v>
      </c>
      <c r="C1057" s="9" t="n">
        <v>2220</v>
      </c>
      <c r="D1057" s="8" t="s">
        <v>45</v>
      </c>
      <c r="E1057" s="10" t="s">
        <v>46</v>
      </c>
      <c r="F1057" s="8" t="str">
        <f aca="false">TEXT(A1057,"MM-YYYY")</f>
        <v>03-2025</v>
      </c>
      <c r="G1057" s="8" t="s">
        <v>14</v>
      </c>
      <c r="H1057" s="8" t="s">
        <v>15</v>
      </c>
      <c r="I1057" s="7"/>
      <c r="J1057" s="8" t="str">
        <f aca="false">VLOOKUP(B1057,Table3[#All],2,0)</f>
        <v>Inventory</v>
      </c>
      <c r="K1057" s="8" t="str">
        <f aca="false">TEXT(ROW(), "0000")</f>
        <v>1057</v>
      </c>
      <c r="L1057" s="8"/>
    </row>
    <row r="1058" customFormat="false" ht="15.75" hidden="false" customHeight="true" outlineLevel="0" collapsed="false">
      <c r="A1058" s="13" t="n">
        <v>45743</v>
      </c>
      <c r="B1058" s="8" t="s">
        <v>51</v>
      </c>
      <c r="C1058" s="9" t="n">
        <v>3310</v>
      </c>
      <c r="D1058" s="8" t="s">
        <v>13</v>
      </c>
      <c r="E1058" s="10" t="s">
        <v>226</v>
      </c>
      <c r="F1058" s="8" t="str">
        <f aca="false">TEXT(A1058,"MM-YYYY")</f>
        <v>03-2025</v>
      </c>
      <c r="G1058" s="8" t="s">
        <v>14</v>
      </c>
      <c r="H1058" s="8" t="s">
        <v>15</v>
      </c>
      <c r="I1058" s="7"/>
      <c r="J1058" s="8" t="str">
        <f aca="false">VLOOKUP(B1058,Table3[#All],2,0)</f>
        <v>Inventory</v>
      </c>
      <c r="K1058" s="8" t="str">
        <f aca="false">TEXT(ROW(), "0000")</f>
        <v>1058</v>
      </c>
      <c r="L1058" s="8"/>
    </row>
    <row r="1059" customFormat="false" ht="15.75" hidden="false" customHeight="true" outlineLevel="0" collapsed="false">
      <c r="A1059" s="13" t="n">
        <v>45743</v>
      </c>
      <c r="B1059" s="8" t="s">
        <v>16</v>
      </c>
      <c r="C1059" s="9" t="n">
        <v>2640</v>
      </c>
      <c r="D1059" s="8" t="s">
        <v>21</v>
      </c>
      <c r="E1059" s="10" t="s">
        <v>88</v>
      </c>
      <c r="F1059" s="8" t="str">
        <f aca="false">TEXT(A1059,"MM-YYYY")</f>
        <v>03-2025</v>
      </c>
      <c r="G1059" s="8"/>
      <c r="H1059" s="8"/>
      <c r="I1059" s="7"/>
      <c r="J1059" s="8" t="str">
        <f aca="false">VLOOKUP(B1059,Table3[#All],2,0)</f>
        <v>Sales</v>
      </c>
      <c r="K1059" s="8" t="str">
        <f aca="false">TEXT(ROW(), "0000")</f>
        <v>1059</v>
      </c>
      <c r="L1059" s="8"/>
    </row>
    <row r="1060" customFormat="false" ht="15.75" hidden="false" customHeight="true" outlineLevel="0" collapsed="false">
      <c r="A1060" s="13" t="n">
        <v>45743</v>
      </c>
      <c r="B1060" s="8" t="s">
        <v>16</v>
      </c>
      <c r="C1060" s="9" t="n">
        <v>860</v>
      </c>
      <c r="D1060" s="8" t="s">
        <v>27</v>
      </c>
      <c r="E1060" s="10" t="s">
        <v>88</v>
      </c>
      <c r="F1060" s="8" t="str">
        <f aca="false">TEXT(A1060,"MM-YYYY")</f>
        <v>03-2025</v>
      </c>
      <c r="G1060" s="8"/>
      <c r="H1060" s="8"/>
      <c r="I1060" s="7"/>
      <c r="J1060" s="8" t="str">
        <f aca="false">VLOOKUP(B1060,Table3[#All],2,0)</f>
        <v>Sales</v>
      </c>
      <c r="K1060" s="8" t="str">
        <f aca="false">TEXT(ROW(), "0000")</f>
        <v>1060</v>
      </c>
      <c r="L1060" s="8"/>
    </row>
    <row r="1061" customFormat="false" ht="15.75" hidden="false" customHeight="true" outlineLevel="0" collapsed="false">
      <c r="A1061" s="13" t="n">
        <v>45743</v>
      </c>
      <c r="B1061" s="8" t="s">
        <v>16</v>
      </c>
      <c r="C1061" s="9" t="n">
        <v>789</v>
      </c>
      <c r="D1061" s="8" t="s">
        <v>33</v>
      </c>
      <c r="E1061" s="10" t="s">
        <v>88</v>
      </c>
      <c r="F1061" s="8" t="str">
        <f aca="false">TEXT(A1061,"MM-YYYY")</f>
        <v>03-2025</v>
      </c>
      <c r="G1061" s="8"/>
      <c r="H1061" s="8"/>
      <c r="I1061" s="7"/>
      <c r="J1061" s="8" t="str">
        <f aca="false">VLOOKUP(B1061,Table3[#All],2,0)</f>
        <v>Sales</v>
      </c>
      <c r="K1061" s="8" t="str">
        <f aca="false">TEXT(ROW(), "0000")</f>
        <v>1061</v>
      </c>
      <c r="L1061" s="8"/>
    </row>
    <row r="1062" customFormat="false" ht="15.75" hidden="false" customHeight="true" outlineLevel="0" collapsed="false">
      <c r="A1062" s="13" t="n">
        <v>45743</v>
      </c>
      <c r="B1062" s="8" t="s">
        <v>16</v>
      </c>
      <c r="C1062" s="9" t="n">
        <v>11730</v>
      </c>
      <c r="D1062" s="8" t="s">
        <v>17</v>
      </c>
      <c r="E1062" s="10" t="s">
        <v>88</v>
      </c>
      <c r="F1062" s="8" t="str">
        <f aca="false">TEXT(A1062,"MM-YYYY")</f>
        <v>03-2025</v>
      </c>
      <c r="G1062" s="8"/>
      <c r="H1062" s="8"/>
      <c r="I1062" s="7"/>
      <c r="J1062" s="8" t="str">
        <f aca="false">VLOOKUP(B1062,Table3[#All],2,0)</f>
        <v>Sales</v>
      </c>
      <c r="K1062" s="8" t="str">
        <f aca="false">TEXT(ROW(), "0000")</f>
        <v>1062</v>
      </c>
      <c r="L1062" s="8"/>
    </row>
    <row r="1063" customFormat="false" ht="15.75" hidden="false" customHeight="true" outlineLevel="0" collapsed="false">
      <c r="A1063" s="13" t="n">
        <v>45743</v>
      </c>
      <c r="B1063" s="8" t="s">
        <v>16</v>
      </c>
      <c r="C1063" s="9" t="n">
        <v>150</v>
      </c>
      <c r="D1063" s="8" t="s">
        <v>59</v>
      </c>
      <c r="E1063" s="10" t="s">
        <v>88</v>
      </c>
      <c r="F1063" s="8" t="str">
        <f aca="false">TEXT(A1063,"MM-YYYY")</f>
        <v>03-2025</v>
      </c>
      <c r="G1063" s="8"/>
      <c r="H1063" s="8"/>
      <c r="I1063" s="7"/>
      <c r="J1063" s="8" t="str">
        <f aca="false">VLOOKUP(B1063,Table3[#All],2,0)</f>
        <v>Sales</v>
      </c>
      <c r="K1063" s="8" t="str">
        <f aca="false">TEXT(ROW(), "0000")</f>
        <v>1063</v>
      </c>
      <c r="L1063" s="8"/>
    </row>
    <row r="1064" customFormat="false" ht="15.75" hidden="false" customHeight="true" outlineLevel="0" collapsed="false">
      <c r="A1064" s="13" t="n">
        <v>45743</v>
      </c>
      <c r="B1064" s="8" t="s">
        <v>16</v>
      </c>
      <c r="C1064" s="12" t="n">
        <v>785</v>
      </c>
      <c r="D1064" s="8" t="s">
        <v>24</v>
      </c>
      <c r="E1064" s="10" t="s">
        <v>217</v>
      </c>
      <c r="F1064" s="8" t="str">
        <f aca="false">TEXT(A1064,"MM-YYYY")</f>
        <v>03-2025</v>
      </c>
      <c r="G1064" s="8"/>
      <c r="H1064" s="8"/>
      <c r="I1064" s="7"/>
      <c r="J1064" s="8" t="str">
        <f aca="false">VLOOKUP(B1064,Table3[#All],2,0)</f>
        <v>Sales</v>
      </c>
      <c r="K1064" s="8" t="str">
        <f aca="false">TEXT(ROW(), "0000")</f>
        <v>1064</v>
      </c>
      <c r="L1064" s="8"/>
    </row>
    <row r="1065" customFormat="false" ht="15.75" hidden="false" customHeight="true" outlineLevel="0" collapsed="false">
      <c r="A1065" s="13" t="n">
        <v>45743</v>
      </c>
      <c r="B1065" s="8" t="s">
        <v>34</v>
      </c>
      <c r="C1065" s="9" t="n">
        <v>140</v>
      </c>
      <c r="D1065" s="8" t="s">
        <v>45</v>
      </c>
      <c r="E1065" s="10"/>
      <c r="F1065" s="8" t="str">
        <f aca="false">TEXT(A1065,"MM-YYYY")</f>
        <v>03-2025</v>
      </c>
      <c r="G1065" s="8" t="s">
        <v>14</v>
      </c>
      <c r="H1065" s="8" t="s">
        <v>15</v>
      </c>
      <c r="I1065" s="7"/>
      <c r="J1065" s="8" t="str">
        <f aca="false">VLOOKUP(B1065,Table3[#All],2,0)</f>
        <v>Staff Expenses</v>
      </c>
      <c r="K1065" s="8" t="str">
        <f aca="false">TEXT(ROW(), "0000")</f>
        <v>1065</v>
      </c>
      <c r="L1065" s="8"/>
    </row>
    <row r="1066" customFormat="false" ht="15.75" hidden="false" customHeight="true" outlineLevel="0" collapsed="false">
      <c r="A1066" s="13" t="n">
        <v>45743</v>
      </c>
      <c r="B1066" s="8" t="s">
        <v>37</v>
      </c>
      <c r="C1066" s="9" t="n">
        <v>15</v>
      </c>
      <c r="D1066" s="8" t="s">
        <v>21</v>
      </c>
      <c r="E1066" s="10"/>
      <c r="F1066" s="8" t="str">
        <f aca="false">TEXT(A1066,"MM-YYYY")</f>
        <v>03-2025</v>
      </c>
      <c r="G1066" s="8" t="s">
        <v>14</v>
      </c>
      <c r="H1066" s="8" t="s">
        <v>15</v>
      </c>
      <c r="I1066" s="7"/>
      <c r="J1066" s="8" t="str">
        <f aca="false">VLOOKUP(B1066,Table3[#All],2,0)</f>
        <v>Maintance</v>
      </c>
      <c r="K1066" s="8" t="str">
        <f aca="false">TEXT(ROW(), "0000")</f>
        <v>1066</v>
      </c>
      <c r="L1066" s="8"/>
    </row>
    <row r="1067" customFormat="false" ht="15.75" hidden="false" customHeight="true" outlineLevel="0" collapsed="false">
      <c r="A1067" s="13" t="n">
        <v>45744</v>
      </c>
      <c r="B1067" s="8" t="s">
        <v>32</v>
      </c>
      <c r="C1067" s="9" t="n">
        <v>175</v>
      </c>
      <c r="D1067" s="8" t="s">
        <v>21</v>
      </c>
      <c r="E1067" s="10" t="s">
        <v>240</v>
      </c>
      <c r="F1067" s="8" t="str">
        <f aca="false">TEXT(A1067,"MM-YYYY")</f>
        <v>03-2025</v>
      </c>
      <c r="G1067" s="8" t="s">
        <v>14</v>
      </c>
      <c r="H1067" s="8" t="s">
        <v>15</v>
      </c>
      <c r="I1067" s="7"/>
      <c r="J1067" s="8" t="str">
        <f aca="false">VLOOKUP(B1067,Table3[#All],2,0)</f>
        <v>Grocery</v>
      </c>
      <c r="K1067" s="8" t="str">
        <f aca="false">TEXT(ROW(), "0000")</f>
        <v>1067</v>
      </c>
      <c r="L1067" s="8"/>
    </row>
    <row r="1068" customFormat="false" ht="15.75" hidden="false" customHeight="true" outlineLevel="0" collapsed="false">
      <c r="A1068" s="13" t="n">
        <v>45744</v>
      </c>
      <c r="B1068" s="8" t="s">
        <v>53</v>
      </c>
      <c r="C1068" s="9" t="n">
        <v>1200</v>
      </c>
      <c r="D1068" s="8" t="s">
        <v>45</v>
      </c>
      <c r="E1068" s="10" t="s">
        <v>55</v>
      </c>
      <c r="F1068" s="8" t="str">
        <f aca="false">TEXT(A1068,"MM-YYYY")</f>
        <v>03-2025</v>
      </c>
      <c r="G1068" s="8" t="s">
        <v>14</v>
      </c>
      <c r="H1068" s="8" t="s">
        <v>15</v>
      </c>
      <c r="I1068" s="7"/>
      <c r="J1068" s="8" t="str">
        <f aca="false">VLOOKUP(B1068,Table3[#All],2,0)</f>
        <v>Grocery</v>
      </c>
      <c r="K1068" s="8" t="str">
        <f aca="false">TEXT(ROW(), "0000")</f>
        <v>1068</v>
      </c>
      <c r="L1068" s="8"/>
    </row>
    <row r="1069" customFormat="false" ht="15.75" hidden="false" customHeight="true" outlineLevel="0" collapsed="false">
      <c r="A1069" s="13" t="n">
        <v>45744</v>
      </c>
      <c r="B1069" s="8" t="s">
        <v>47</v>
      </c>
      <c r="C1069" s="9" t="n">
        <v>1680</v>
      </c>
      <c r="D1069" s="8" t="s">
        <v>13</v>
      </c>
      <c r="E1069" s="10" t="s">
        <v>223</v>
      </c>
      <c r="F1069" s="8" t="str">
        <f aca="false">TEXT(A1069,"MM-YYYY")</f>
        <v>03-2025</v>
      </c>
      <c r="G1069" s="8" t="s">
        <v>14</v>
      </c>
      <c r="H1069" s="8" t="s">
        <v>15</v>
      </c>
      <c r="I1069" s="7"/>
      <c r="J1069" s="8" t="str">
        <f aca="false">VLOOKUP(B1069,Table3[#All],2,0)</f>
        <v>Inventory</v>
      </c>
      <c r="K1069" s="8" t="str">
        <f aca="false">TEXT(ROW(), "0000")</f>
        <v>1069</v>
      </c>
      <c r="L1069" s="8"/>
    </row>
    <row r="1070" customFormat="false" ht="15.75" hidden="false" customHeight="true" outlineLevel="0" collapsed="false">
      <c r="A1070" s="13" t="n">
        <v>45744</v>
      </c>
      <c r="B1070" s="8" t="s">
        <v>29</v>
      </c>
      <c r="C1070" s="9" t="n">
        <v>579</v>
      </c>
      <c r="D1070" s="8" t="s">
        <v>45</v>
      </c>
      <c r="E1070" s="10" t="s">
        <v>231</v>
      </c>
      <c r="F1070" s="8" t="str">
        <f aca="false">TEXT(A1070,"MM-YYYY")</f>
        <v>03-2025</v>
      </c>
      <c r="G1070" s="8" t="s">
        <v>14</v>
      </c>
      <c r="H1070" s="8" t="s">
        <v>232</v>
      </c>
      <c r="I1070" s="7" t="n">
        <v>45758</v>
      </c>
      <c r="J1070" s="8" t="str">
        <f aca="false">VLOOKUP(B1070,Table3[#All],2,0)</f>
        <v>Inventory</v>
      </c>
      <c r="K1070" s="8" t="str">
        <f aca="false">TEXT(ROW(), "0000")</f>
        <v>1070</v>
      </c>
      <c r="L1070" s="8"/>
    </row>
    <row r="1071" customFormat="false" ht="15.75" hidden="false" customHeight="true" outlineLevel="0" collapsed="false">
      <c r="A1071" s="13" t="n">
        <v>45744</v>
      </c>
      <c r="B1071" s="8" t="s">
        <v>25</v>
      </c>
      <c r="C1071" s="9" t="n">
        <v>846</v>
      </c>
      <c r="D1071" s="8" t="s">
        <v>13</v>
      </c>
      <c r="E1071" s="10" t="s">
        <v>26</v>
      </c>
      <c r="F1071" s="8" t="str">
        <f aca="false">TEXT(A1071,"MM-YYYY")</f>
        <v>03-2025</v>
      </c>
      <c r="G1071" s="8" t="s">
        <v>14</v>
      </c>
      <c r="H1071" s="8" t="s">
        <v>15</v>
      </c>
      <c r="I1071" s="7"/>
      <c r="J1071" s="8" t="str">
        <f aca="false">VLOOKUP(B1071,Table3[#All],2,0)</f>
        <v>Inventory</v>
      </c>
      <c r="K1071" s="8" t="str">
        <f aca="false">TEXT(ROW(), "0000")</f>
        <v>1071</v>
      </c>
      <c r="L1071" s="8"/>
    </row>
    <row r="1072" customFormat="false" ht="15.75" hidden="false" customHeight="true" outlineLevel="0" collapsed="false">
      <c r="A1072" s="13" t="n">
        <v>45744</v>
      </c>
      <c r="B1072" s="8" t="s">
        <v>22</v>
      </c>
      <c r="C1072" s="9" t="n">
        <v>1767</v>
      </c>
      <c r="D1072" s="8" t="s">
        <v>13</v>
      </c>
      <c r="E1072" s="10" t="s">
        <v>23</v>
      </c>
      <c r="F1072" s="8" t="str">
        <f aca="false">TEXT(A1072,"MM-YYYY")</f>
        <v>03-2025</v>
      </c>
      <c r="G1072" s="8" t="s">
        <v>14</v>
      </c>
      <c r="H1072" s="8" t="s">
        <v>15</v>
      </c>
      <c r="I1072" s="7"/>
      <c r="J1072" s="8" t="str">
        <f aca="false">VLOOKUP(B1072,Table3[#All],2,0)</f>
        <v>Inventory</v>
      </c>
      <c r="K1072" s="8" t="str">
        <f aca="false">TEXT(ROW(), "0000")</f>
        <v>1072</v>
      </c>
      <c r="L1072" s="8"/>
    </row>
    <row r="1073" customFormat="false" ht="15.75" hidden="false" customHeight="true" outlineLevel="0" collapsed="false">
      <c r="A1073" s="13" t="n">
        <v>45744</v>
      </c>
      <c r="B1073" s="8" t="s">
        <v>19</v>
      </c>
      <c r="C1073" s="9" t="n">
        <v>1947</v>
      </c>
      <c r="D1073" s="8" t="s">
        <v>13</v>
      </c>
      <c r="E1073" s="10" t="s">
        <v>20</v>
      </c>
      <c r="F1073" s="8" t="str">
        <f aca="false">TEXT(A1073,"MM-YYYY")</f>
        <v>03-2025</v>
      </c>
      <c r="G1073" s="8" t="s">
        <v>14</v>
      </c>
      <c r="H1073" s="8" t="s">
        <v>15</v>
      </c>
      <c r="I1073" s="7"/>
      <c r="J1073" s="8" t="str">
        <f aca="false">VLOOKUP(B1073,Table3[#All],2,0)</f>
        <v>Inventory</v>
      </c>
      <c r="K1073" s="8" t="str">
        <f aca="false">TEXT(ROW(), "0000")</f>
        <v>1073</v>
      </c>
      <c r="L1073" s="8"/>
    </row>
    <row r="1074" customFormat="false" ht="15.75" hidden="false" customHeight="true" outlineLevel="0" collapsed="false">
      <c r="A1074" s="13" t="n">
        <v>45744</v>
      </c>
      <c r="B1074" s="8" t="s">
        <v>22</v>
      </c>
      <c r="C1074" s="9" t="n">
        <v>110</v>
      </c>
      <c r="D1074" s="8" t="s">
        <v>21</v>
      </c>
      <c r="E1074" s="10" t="s">
        <v>256</v>
      </c>
      <c r="F1074" s="8" t="str">
        <f aca="false">TEXT(A1074,"MM-YYYY")</f>
        <v>03-2025</v>
      </c>
      <c r="G1074" s="8" t="s">
        <v>14</v>
      </c>
      <c r="H1074" s="8" t="s">
        <v>15</v>
      </c>
      <c r="I1074" s="7"/>
      <c r="J1074" s="8" t="str">
        <f aca="false">VLOOKUP(B1074,Table3[#All],2,0)</f>
        <v>Inventory</v>
      </c>
      <c r="K1074" s="8" t="str">
        <f aca="false">TEXT(ROW(), "0000")</f>
        <v>1074</v>
      </c>
      <c r="L1074" s="8"/>
    </row>
    <row r="1075" customFormat="false" ht="15.75" hidden="false" customHeight="true" outlineLevel="0" collapsed="false">
      <c r="A1075" s="13" t="n">
        <v>45744</v>
      </c>
      <c r="B1075" s="8" t="s">
        <v>16</v>
      </c>
      <c r="C1075" s="9" t="n">
        <v>1370</v>
      </c>
      <c r="D1075" s="8" t="s">
        <v>21</v>
      </c>
      <c r="E1075" s="10" t="s">
        <v>88</v>
      </c>
      <c r="F1075" s="8" t="str">
        <f aca="false">TEXT(A1075,"MM-YYYY")</f>
        <v>03-2025</v>
      </c>
      <c r="G1075" s="8"/>
      <c r="H1075" s="8"/>
      <c r="I1075" s="7"/>
      <c r="J1075" s="8" t="str">
        <f aca="false">VLOOKUP(B1075,Table3[#All],2,0)</f>
        <v>Sales</v>
      </c>
      <c r="K1075" s="8" t="str">
        <f aca="false">TEXT(ROW(), "0000")</f>
        <v>1075</v>
      </c>
      <c r="L1075" s="8"/>
    </row>
    <row r="1076" customFormat="false" ht="15.75" hidden="false" customHeight="true" outlineLevel="0" collapsed="false">
      <c r="A1076" s="13" t="n">
        <v>45744</v>
      </c>
      <c r="B1076" s="8" t="s">
        <v>16</v>
      </c>
      <c r="C1076" s="9" t="n">
        <v>1075</v>
      </c>
      <c r="D1076" s="8" t="s">
        <v>27</v>
      </c>
      <c r="E1076" s="10" t="s">
        <v>88</v>
      </c>
      <c r="F1076" s="8" t="str">
        <f aca="false">TEXT(A1076,"MM-YYYY")</f>
        <v>03-2025</v>
      </c>
      <c r="G1076" s="8"/>
      <c r="H1076" s="8"/>
      <c r="I1076" s="7"/>
      <c r="J1076" s="8" t="str">
        <f aca="false">VLOOKUP(B1076,Table3[#All],2,0)</f>
        <v>Sales</v>
      </c>
      <c r="K1076" s="8" t="str">
        <f aca="false">TEXT(ROW(), "0000")</f>
        <v>1076</v>
      </c>
      <c r="L1076" s="8"/>
    </row>
    <row r="1077" customFormat="false" ht="15.75" hidden="false" customHeight="true" outlineLevel="0" collapsed="false">
      <c r="A1077" s="13" t="n">
        <v>45744</v>
      </c>
      <c r="B1077" s="8" t="s">
        <v>16</v>
      </c>
      <c r="C1077" s="9" t="n">
        <v>40</v>
      </c>
      <c r="D1077" s="8" t="s">
        <v>33</v>
      </c>
      <c r="E1077" s="10" t="s">
        <v>88</v>
      </c>
      <c r="F1077" s="8" t="str">
        <f aca="false">TEXT(A1077,"MM-YYYY")</f>
        <v>03-2025</v>
      </c>
      <c r="G1077" s="8"/>
      <c r="H1077" s="8"/>
      <c r="I1077" s="7"/>
      <c r="J1077" s="8" t="str">
        <f aca="false">VLOOKUP(B1077,Table3[#All],2,0)</f>
        <v>Sales</v>
      </c>
      <c r="K1077" s="8" t="str">
        <f aca="false">TEXT(ROW(), "0000")</f>
        <v>1077</v>
      </c>
      <c r="L1077" s="8"/>
    </row>
    <row r="1078" customFormat="false" ht="15.75" hidden="false" customHeight="true" outlineLevel="0" collapsed="false">
      <c r="A1078" s="13" t="n">
        <v>45744</v>
      </c>
      <c r="B1078" s="8" t="s">
        <v>16</v>
      </c>
      <c r="C1078" s="9" t="n">
        <v>17578</v>
      </c>
      <c r="D1078" s="8" t="s">
        <v>17</v>
      </c>
      <c r="E1078" s="10" t="s">
        <v>88</v>
      </c>
      <c r="F1078" s="8" t="str">
        <f aca="false">TEXT(A1078,"MM-YYYY")</f>
        <v>03-2025</v>
      </c>
      <c r="G1078" s="8"/>
      <c r="H1078" s="8"/>
      <c r="I1078" s="7"/>
      <c r="J1078" s="8" t="str">
        <f aca="false">VLOOKUP(B1078,Table3[#All],2,0)</f>
        <v>Sales</v>
      </c>
      <c r="K1078" s="8" t="str">
        <f aca="false">TEXT(ROW(), "0000")</f>
        <v>1078</v>
      </c>
      <c r="L1078" s="8"/>
    </row>
    <row r="1079" customFormat="false" ht="15.75" hidden="false" customHeight="true" outlineLevel="0" collapsed="false">
      <c r="A1079" s="13" t="n">
        <v>45744</v>
      </c>
      <c r="B1079" s="8" t="s">
        <v>16</v>
      </c>
      <c r="C1079" s="9" t="n">
        <v>1992</v>
      </c>
      <c r="D1079" s="8" t="s">
        <v>24</v>
      </c>
      <c r="E1079" s="10" t="s">
        <v>217</v>
      </c>
      <c r="F1079" s="8" t="str">
        <f aca="false">TEXT(A1079,"MM-YYYY")</f>
        <v>03-2025</v>
      </c>
      <c r="G1079" s="8"/>
      <c r="H1079" s="8"/>
      <c r="I1079" s="7"/>
      <c r="J1079" s="8" t="str">
        <f aca="false">VLOOKUP(B1079,Table3[#All],2,0)</f>
        <v>Sales</v>
      </c>
      <c r="K1079" s="8" t="str">
        <f aca="false">TEXT(ROW(), "0000")</f>
        <v>1079</v>
      </c>
      <c r="L1079" s="8"/>
    </row>
    <row r="1080" customFormat="false" ht="15.75" hidden="false" customHeight="true" outlineLevel="0" collapsed="false">
      <c r="A1080" s="13" t="n">
        <v>45744</v>
      </c>
      <c r="B1080" s="8" t="s">
        <v>34</v>
      </c>
      <c r="C1080" s="9" t="n">
        <v>85</v>
      </c>
      <c r="D1080" s="8" t="s">
        <v>21</v>
      </c>
      <c r="E1080" s="10"/>
      <c r="F1080" s="8" t="str">
        <f aca="false">TEXT(A1080,"MM-YYYY")</f>
        <v>03-2025</v>
      </c>
      <c r="G1080" s="8" t="s">
        <v>14</v>
      </c>
      <c r="H1080" s="8" t="s">
        <v>15</v>
      </c>
      <c r="I1080" s="7"/>
      <c r="J1080" s="8" t="str">
        <f aca="false">VLOOKUP(B1080,Table3[#All],2,0)</f>
        <v>Staff Expenses</v>
      </c>
      <c r="K1080" s="8" t="str">
        <f aca="false">TEXT(ROW(), "0000")</f>
        <v>1080</v>
      </c>
      <c r="L1080" s="8"/>
    </row>
    <row r="1081" customFormat="false" ht="15.75" hidden="false" customHeight="true" outlineLevel="0" collapsed="false">
      <c r="A1081" s="13" t="n">
        <v>45744</v>
      </c>
      <c r="B1081" s="8" t="s">
        <v>31</v>
      </c>
      <c r="C1081" s="9" t="n">
        <v>1300</v>
      </c>
      <c r="D1081" s="8" t="s">
        <v>45</v>
      </c>
      <c r="E1081" s="10"/>
      <c r="F1081" s="8" t="str">
        <f aca="false">TEXT(A1081,"MM-YYYY")</f>
        <v>03-2025</v>
      </c>
      <c r="G1081" s="8" t="s">
        <v>14</v>
      </c>
      <c r="H1081" s="8" t="s">
        <v>15</v>
      </c>
      <c r="I1081" s="7"/>
      <c r="J1081" s="8" t="str">
        <f aca="false">VLOOKUP(B1081,Table3[#All],2,0)</f>
        <v>Bike Maintance</v>
      </c>
      <c r="K1081" s="8" t="str">
        <f aca="false">TEXT(ROW(), "0000")</f>
        <v>1081</v>
      </c>
      <c r="L1081" s="8"/>
    </row>
    <row r="1082" customFormat="false" ht="15.75" hidden="false" customHeight="true" outlineLevel="0" collapsed="false">
      <c r="A1082" s="13" t="n">
        <v>45745</v>
      </c>
      <c r="B1082" s="8" t="s">
        <v>19</v>
      </c>
      <c r="C1082" s="9" t="n">
        <v>4591</v>
      </c>
      <c r="D1082" s="8" t="s">
        <v>13</v>
      </c>
      <c r="E1082" s="10" t="s">
        <v>20</v>
      </c>
      <c r="F1082" s="8" t="str">
        <f aca="false">TEXT(A1082,"MM-YYYY")</f>
        <v>03-2025</v>
      </c>
      <c r="G1082" s="8" t="s">
        <v>14</v>
      </c>
      <c r="H1082" s="8" t="s">
        <v>15</v>
      </c>
      <c r="I1082" s="7"/>
      <c r="J1082" s="8" t="str">
        <f aca="false">VLOOKUP(B1082,Table3[#All],2,0)</f>
        <v>Inventory</v>
      </c>
      <c r="K1082" s="8" t="str">
        <f aca="false">TEXT(ROW(), "0000")</f>
        <v>1082</v>
      </c>
      <c r="L1082" s="8"/>
    </row>
    <row r="1083" customFormat="false" ht="15.75" hidden="false" customHeight="true" outlineLevel="0" collapsed="false">
      <c r="A1083" s="13" t="n">
        <v>45745</v>
      </c>
      <c r="B1083" s="8" t="s">
        <v>47</v>
      </c>
      <c r="C1083" s="9" t="n">
        <v>840</v>
      </c>
      <c r="D1083" s="8" t="s">
        <v>13</v>
      </c>
      <c r="E1083" s="10" t="s">
        <v>223</v>
      </c>
      <c r="F1083" s="8" t="str">
        <f aca="false">TEXT(A1083,"MM-YYYY")</f>
        <v>03-2025</v>
      </c>
      <c r="G1083" s="8" t="s">
        <v>14</v>
      </c>
      <c r="H1083" s="8" t="s">
        <v>15</v>
      </c>
      <c r="I1083" s="7"/>
      <c r="J1083" s="8" t="str">
        <f aca="false">VLOOKUP(B1083,Table3[#All],2,0)</f>
        <v>Inventory</v>
      </c>
      <c r="K1083" s="8" t="str">
        <f aca="false">TEXT(ROW(), "0000")</f>
        <v>1083</v>
      </c>
      <c r="L1083" s="8"/>
    </row>
    <row r="1084" customFormat="false" ht="15.75" hidden="false" customHeight="true" outlineLevel="0" collapsed="false">
      <c r="A1084" s="13" t="n">
        <v>45745</v>
      </c>
      <c r="B1084" s="8" t="s">
        <v>29</v>
      </c>
      <c r="C1084" s="9" t="n">
        <v>666</v>
      </c>
      <c r="D1084" s="8" t="s">
        <v>45</v>
      </c>
      <c r="E1084" s="10" t="s">
        <v>231</v>
      </c>
      <c r="F1084" s="8" t="str">
        <f aca="false">TEXT(A1084,"MM-YYYY")</f>
        <v>03-2025</v>
      </c>
      <c r="G1084" s="8" t="s">
        <v>14</v>
      </c>
      <c r="H1084" s="8" t="s">
        <v>232</v>
      </c>
      <c r="I1084" s="7" t="n">
        <v>45758</v>
      </c>
      <c r="J1084" s="8" t="str">
        <f aca="false">VLOOKUP(B1084,Table3[#All],2,0)</f>
        <v>Inventory</v>
      </c>
      <c r="K1084" s="8" t="str">
        <f aca="false">TEXT(ROW(), "0000")</f>
        <v>1084</v>
      </c>
      <c r="L1084" s="8"/>
    </row>
    <row r="1085" customFormat="false" ht="15.75" hidden="false" customHeight="true" outlineLevel="0" collapsed="false">
      <c r="A1085" s="13" t="n">
        <v>45745</v>
      </c>
      <c r="B1085" s="8" t="s">
        <v>25</v>
      </c>
      <c r="C1085" s="9" t="n">
        <v>1031</v>
      </c>
      <c r="D1085" s="8" t="s">
        <v>13</v>
      </c>
      <c r="E1085" s="10" t="s">
        <v>26</v>
      </c>
      <c r="F1085" s="8" t="str">
        <f aca="false">TEXT(A1085,"MM-YYYY")</f>
        <v>03-2025</v>
      </c>
      <c r="G1085" s="8" t="s">
        <v>14</v>
      </c>
      <c r="H1085" s="8" t="s">
        <v>15</v>
      </c>
      <c r="I1085" s="7"/>
      <c r="J1085" s="8" t="str">
        <f aca="false">VLOOKUP(B1085,Table3[#All],2,0)</f>
        <v>Inventory</v>
      </c>
      <c r="K1085" s="8" t="str">
        <f aca="false">TEXT(ROW(), "0000")</f>
        <v>1085</v>
      </c>
      <c r="L1085" s="8"/>
    </row>
    <row r="1086" customFormat="false" ht="15.75" hidden="false" customHeight="true" outlineLevel="0" collapsed="false">
      <c r="A1086" s="13" t="n">
        <v>45745</v>
      </c>
      <c r="B1086" s="8" t="s">
        <v>22</v>
      </c>
      <c r="C1086" s="9" t="n">
        <v>3255</v>
      </c>
      <c r="D1086" s="8" t="s">
        <v>13</v>
      </c>
      <c r="E1086" s="10" t="s">
        <v>23</v>
      </c>
      <c r="F1086" s="8" t="str">
        <f aca="false">TEXT(A1086,"MM-YYYY")</f>
        <v>03-2025</v>
      </c>
      <c r="G1086" s="8" t="s">
        <v>14</v>
      </c>
      <c r="H1086" s="8" t="s">
        <v>15</v>
      </c>
      <c r="I1086" s="7"/>
      <c r="J1086" s="8" t="str">
        <f aca="false">VLOOKUP(B1086,Table3[#All],2,0)</f>
        <v>Inventory</v>
      </c>
      <c r="K1086" s="8" t="str">
        <f aca="false">TEXT(ROW(), "0000")</f>
        <v>1086</v>
      </c>
      <c r="L1086" s="8"/>
    </row>
    <row r="1087" customFormat="false" ht="15.75" hidden="false" customHeight="true" outlineLevel="0" collapsed="false">
      <c r="A1087" s="13" t="n">
        <v>45745</v>
      </c>
      <c r="B1087" s="8" t="s">
        <v>25</v>
      </c>
      <c r="C1087" s="9" t="n">
        <v>550</v>
      </c>
      <c r="D1087" s="8" t="s">
        <v>45</v>
      </c>
      <c r="E1087" s="10" t="s">
        <v>84</v>
      </c>
      <c r="F1087" s="8" t="str">
        <f aca="false">TEXT(A1087,"MM-YYYY")</f>
        <v>03-2025</v>
      </c>
      <c r="G1087" s="8" t="s">
        <v>14</v>
      </c>
      <c r="H1087" s="8" t="s">
        <v>15</v>
      </c>
      <c r="I1087" s="7"/>
      <c r="J1087" s="8" t="str">
        <f aca="false">VLOOKUP(B1087,Table3[#All],2,0)</f>
        <v>Inventory</v>
      </c>
      <c r="K1087" s="8" t="str">
        <f aca="false">TEXT(ROW(), "0000")</f>
        <v>1087</v>
      </c>
      <c r="L1087" s="8"/>
    </row>
    <row r="1088" customFormat="false" ht="15.75" hidden="false" customHeight="true" outlineLevel="0" collapsed="false">
      <c r="A1088" s="13" t="n">
        <v>45745</v>
      </c>
      <c r="B1088" s="8" t="s">
        <v>43</v>
      </c>
      <c r="C1088" s="9" t="n">
        <v>350</v>
      </c>
      <c r="D1088" s="8" t="s">
        <v>45</v>
      </c>
      <c r="E1088" s="10" t="s">
        <v>257</v>
      </c>
      <c r="F1088" s="8" t="str">
        <f aca="false">TEXT(A1088,"MM-YYYY")</f>
        <v>03-2025</v>
      </c>
      <c r="G1088" s="8" t="s">
        <v>14</v>
      </c>
      <c r="H1088" s="8" t="s">
        <v>15</v>
      </c>
      <c r="I1088" s="7"/>
      <c r="J1088" s="8" t="str">
        <f aca="false">VLOOKUP(B1088,Table3[#All],2,0)</f>
        <v>Maintance</v>
      </c>
      <c r="K1088" s="8" t="str">
        <f aca="false">TEXT(ROW(), "0000")</f>
        <v>1088</v>
      </c>
      <c r="L1088" s="8"/>
    </row>
    <row r="1089" customFormat="false" ht="15.75" hidden="false" customHeight="true" outlineLevel="0" collapsed="false">
      <c r="A1089" s="13" t="n">
        <v>45745</v>
      </c>
      <c r="B1089" s="8" t="s">
        <v>28</v>
      </c>
      <c r="C1089" s="9" t="n">
        <v>735</v>
      </c>
      <c r="D1089" s="8" t="s">
        <v>45</v>
      </c>
      <c r="E1089" s="10" t="s">
        <v>93</v>
      </c>
      <c r="F1089" s="8" t="str">
        <f aca="false">TEXT(A1089,"MM-YYYY")</f>
        <v>03-2025</v>
      </c>
      <c r="G1089" s="8" t="s">
        <v>14</v>
      </c>
      <c r="H1089" s="8" t="s">
        <v>15</v>
      </c>
      <c r="I1089" s="7"/>
      <c r="J1089" s="8" t="str">
        <f aca="false">VLOOKUP(B1089,Table3[#All],2,0)</f>
        <v>Grocery</v>
      </c>
      <c r="K1089" s="8" t="str">
        <f aca="false">TEXT(ROW(), "0000")</f>
        <v>1089</v>
      </c>
      <c r="L1089" s="8"/>
    </row>
    <row r="1090" customFormat="false" ht="15.75" hidden="false" customHeight="true" outlineLevel="0" collapsed="false">
      <c r="A1090" s="13" t="n">
        <v>45745</v>
      </c>
      <c r="B1090" s="8" t="s">
        <v>67</v>
      </c>
      <c r="C1090" s="9" t="n">
        <v>8500</v>
      </c>
      <c r="D1090" s="8" t="s">
        <v>45</v>
      </c>
      <c r="E1090" s="10"/>
      <c r="F1090" s="8" t="str">
        <f aca="false">TEXT(A1090,"MM-YYYY")</f>
        <v>03-2025</v>
      </c>
      <c r="G1090" s="8" t="s">
        <v>14</v>
      </c>
      <c r="H1090" s="8" t="s">
        <v>15</v>
      </c>
      <c r="I1090" s="7"/>
      <c r="J1090" s="8" t="str">
        <f aca="false">VLOOKUP(B1090,Table3[#All],2,0)</f>
        <v>Fixed Maintance</v>
      </c>
      <c r="K1090" s="8" t="str">
        <f aca="false">TEXT(ROW(), "0000")</f>
        <v>1090</v>
      </c>
      <c r="L1090" s="8"/>
    </row>
    <row r="1091" customFormat="false" ht="15.75" hidden="false" customHeight="true" outlineLevel="0" collapsed="false">
      <c r="A1091" s="13" t="n">
        <v>45745</v>
      </c>
      <c r="B1091" s="8" t="s">
        <v>258</v>
      </c>
      <c r="C1091" s="9" t="n">
        <v>6500</v>
      </c>
      <c r="D1091" s="8" t="s">
        <v>13</v>
      </c>
      <c r="E1091" s="10"/>
      <c r="F1091" s="8" t="str">
        <f aca="false">TEXT(A1091,"MM-YYYY")</f>
        <v>03-2025</v>
      </c>
      <c r="G1091" s="8" t="s">
        <v>14</v>
      </c>
      <c r="H1091" s="8" t="s">
        <v>15</v>
      </c>
      <c r="I1091" s="7"/>
      <c r="J1091" s="8" t="e">
        <f aca="false">VLOOKUP(B1091,Table3[#All],2,0)</f>
        <v>#N/A</v>
      </c>
      <c r="K1091" s="8" t="str">
        <f aca="false">TEXT(ROW(), "0000")</f>
        <v>1091</v>
      </c>
      <c r="L1091" s="8"/>
    </row>
    <row r="1092" customFormat="false" ht="15.75" hidden="false" customHeight="true" outlineLevel="0" collapsed="false">
      <c r="A1092" s="13" t="n">
        <v>45745</v>
      </c>
      <c r="B1092" s="8" t="s">
        <v>34</v>
      </c>
      <c r="C1092" s="9" t="n">
        <v>115</v>
      </c>
      <c r="D1092" s="8" t="s">
        <v>45</v>
      </c>
      <c r="E1092" s="10"/>
      <c r="F1092" s="8" t="str">
        <f aca="false">TEXT(A1092,"MM-YYYY")</f>
        <v>03-2025</v>
      </c>
      <c r="G1092" s="8" t="s">
        <v>14</v>
      </c>
      <c r="H1092" s="8" t="s">
        <v>15</v>
      </c>
      <c r="I1092" s="7"/>
      <c r="J1092" s="8" t="str">
        <f aca="false">VLOOKUP(B1092,Table3[#All],2,0)</f>
        <v>Staff Expenses</v>
      </c>
      <c r="K1092" s="8" t="str">
        <f aca="false">TEXT(ROW(), "0000")</f>
        <v>1092</v>
      </c>
      <c r="L1092" s="8"/>
    </row>
    <row r="1093" customFormat="false" ht="15.75" hidden="false" customHeight="true" outlineLevel="0" collapsed="false">
      <c r="A1093" s="13" t="n">
        <v>45745</v>
      </c>
      <c r="B1093" s="8" t="s">
        <v>37</v>
      </c>
      <c r="C1093" s="9" t="n">
        <v>40</v>
      </c>
      <c r="D1093" s="8" t="s">
        <v>21</v>
      </c>
      <c r="E1093" s="10" t="s">
        <v>88</v>
      </c>
      <c r="F1093" s="8" t="str">
        <f aca="false">TEXT(A1093,"MM-YYYY")</f>
        <v>03-2025</v>
      </c>
      <c r="G1093" s="8" t="s">
        <v>14</v>
      </c>
      <c r="H1093" s="8" t="s">
        <v>15</v>
      </c>
      <c r="I1093" s="7"/>
      <c r="J1093" s="8" t="str">
        <f aca="false">VLOOKUP(B1093,Table3[#All],2,0)</f>
        <v>Maintance</v>
      </c>
      <c r="K1093" s="8" t="str">
        <f aca="false">TEXT(ROW(), "0000")</f>
        <v>1093</v>
      </c>
      <c r="L1093" s="8"/>
    </row>
    <row r="1094" customFormat="false" ht="15.75" hidden="false" customHeight="true" outlineLevel="0" collapsed="false">
      <c r="A1094" s="13" t="n">
        <v>45745</v>
      </c>
      <c r="B1094" s="8" t="s">
        <v>16</v>
      </c>
      <c r="C1094" s="9" t="n">
        <v>2695</v>
      </c>
      <c r="D1094" s="8" t="s">
        <v>21</v>
      </c>
      <c r="E1094" s="10" t="s">
        <v>88</v>
      </c>
      <c r="F1094" s="8" t="str">
        <f aca="false">TEXT(A1094,"MM-YYYY")</f>
        <v>03-2025</v>
      </c>
      <c r="G1094" s="8"/>
      <c r="H1094" s="8"/>
      <c r="I1094" s="7"/>
      <c r="J1094" s="8" t="str">
        <f aca="false">VLOOKUP(B1094,Table3[#All],2,0)</f>
        <v>Sales</v>
      </c>
      <c r="K1094" s="8" t="str">
        <f aca="false">TEXT(ROW(), "0000")</f>
        <v>1094</v>
      </c>
      <c r="L1094" s="8"/>
    </row>
    <row r="1095" customFormat="false" ht="15.75" hidden="false" customHeight="true" outlineLevel="0" collapsed="false">
      <c r="A1095" s="13" t="n">
        <v>45745</v>
      </c>
      <c r="B1095" s="8" t="s">
        <v>16</v>
      </c>
      <c r="C1095" s="9" t="n">
        <v>1220</v>
      </c>
      <c r="D1095" s="8" t="s">
        <v>33</v>
      </c>
      <c r="E1095" s="10" t="s">
        <v>88</v>
      </c>
      <c r="F1095" s="8" t="str">
        <f aca="false">TEXT(A1095,"MM-YYYY")</f>
        <v>03-2025</v>
      </c>
      <c r="G1095" s="8"/>
      <c r="H1095" s="8"/>
      <c r="I1095" s="7"/>
      <c r="J1095" s="8" t="str">
        <f aca="false">VLOOKUP(B1095,Table3[#All],2,0)</f>
        <v>Sales</v>
      </c>
      <c r="K1095" s="8" t="str">
        <f aca="false">TEXT(ROW(), "0000")</f>
        <v>1095</v>
      </c>
      <c r="L1095" s="8"/>
    </row>
    <row r="1096" customFormat="false" ht="15.75" hidden="false" customHeight="true" outlineLevel="0" collapsed="false">
      <c r="A1096" s="13" t="n">
        <v>45745</v>
      </c>
      <c r="B1096" s="8" t="s">
        <v>16</v>
      </c>
      <c r="C1096" s="9" t="n">
        <v>11875</v>
      </c>
      <c r="D1096" s="8" t="s">
        <v>17</v>
      </c>
      <c r="E1096" s="10" t="s">
        <v>88</v>
      </c>
      <c r="F1096" s="8" t="str">
        <f aca="false">TEXT(A1096,"MM-YYYY")</f>
        <v>03-2025</v>
      </c>
      <c r="G1096" s="8"/>
      <c r="H1096" s="8"/>
      <c r="I1096" s="7"/>
      <c r="J1096" s="8" t="str">
        <f aca="false">VLOOKUP(B1096,Table3[#All],2,0)</f>
        <v>Sales</v>
      </c>
      <c r="K1096" s="8" t="str">
        <f aca="false">TEXT(ROW(), "0000")</f>
        <v>1096</v>
      </c>
      <c r="L1096" s="8"/>
    </row>
    <row r="1097" customFormat="false" ht="15.75" hidden="false" customHeight="true" outlineLevel="0" collapsed="false">
      <c r="A1097" s="13" t="n">
        <v>45745</v>
      </c>
      <c r="B1097" s="8" t="s">
        <v>16</v>
      </c>
      <c r="C1097" s="9" t="n">
        <v>1190</v>
      </c>
      <c r="D1097" s="8" t="s">
        <v>24</v>
      </c>
      <c r="E1097" s="10" t="s">
        <v>217</v>
      </c>
      <c r="F1097" s="8" t="str">
        <f aca="false">TEXT(A1097,"MM-YYYY")</f>
        <v>03-2025</v>
      </c>
      <c r="G1097" s="8"/>
      <c r="H1097" s="8"/>
      <c r="I1097" s="7"/>
      <c r="J1097" s="8" t="str">
        <f aca="false">VLOOKUP(B1097,Table3[#All],2,0)</f>
        <v>Sales</v>
      </c>
      <c r="K1097" s="8" t="str">
        <f aca="false">TEXT(ROW(), "0000")</f>
        <v>1097</v>
      </c>
      <c r="L1097" s="8"/>
    </row>
    <row r="1098" customFormat="false" ht="15.75" hidden="false" customHeight="true" outlineLevel="0" collapsed="false">
      <c r="A1098" s="13" t="n">
        <v>45745</v>
      </c>
      <c r="B1098" s="8" t="s">
        <v>32</v>
      </c>
      <c r="C1098" s="9" t="n">
        <v>105</v>
      </c>
      <c r="D1098" s="8" t="s">
        <v>21</v>
      </c>
      <c r="E1098" s="10" t="s">
        <v>240</v>
      </c>
      <c r="F1098" s="8" t="str">
        <f aca="false">TEXT(A1098,"MM-YYYY")</f>
        <v>03-2025</v>
      </c>
      <c r="G1098" s="8" t="s">
        <v>14</v>
      </c>
      <c r="H1098" s="8" t="s">
        <v>15</v>
      </c>
      <c r="I1098" s="7"/>
      <c r="J1098" s="8" t="str">
        <f aca="false">VLOOKUP(B1098,Table3[#All],2,0)</f>
        <v>Grocery</v>
      </c>
      <c r="K1098" s="8" t="str">
        <f aca="false">TEXT(ROW(), "0000")</f>
        <v>1098</v>
      </c>
      <c r="L1098" s="8"/>
    </row>
    <row r="1099" customFormat="false" ht="15.75" hidden="false" customHeight="true" outlineLevel="0" collapsed="false">
      <c r="A1099" s="13" t="n">
        <v>45746</v>
      </c>
      <c r="B1099" s="8" t="s">
        <v>44</v>
      </c>
      <c r="C1099" s="9" t="n">
        <v>2500</v>
      </c>
      <c r="D1099" s="8" t="s">
        <v>45</v>
      </c>
      <c r="E1099" s="10" t="s">
        <v>204</v>
      </c>
      <c r="F1099" s="8" t="str">
        <f aca="false">TEXT(A1099,"MM-YYYY")</f>
        <v>03-2025</v>
      </c>
      <c r="G1099" s="8" t="s">
        <v>14</v>
      </c>
      <c r="H1099" s="8" t="s">
        <v>15</v>
      </c>
      <c r="I1099" s="7"/>
      <c r="J1099" s="8" t="str">
        <f aca="false">VLOOKUP(B1099,Table3[#All],2,0)</f>
        <v>Salary</v>
      </c>
      <c r="K1099" s="8" t="str">
        <f aca="false">TEXT(ROW(), "0000")</f>
        <v>1099</v>
      </c>
      <c r="L1099" s="8"/>
    </row>
    <row r="1100" customFormat="false" ht="15.75" hidden="false" customHeight="true" outlineLevel="0" collapsed="false">
      <c r="A1100" s="13" t="n">
        <v>45746</v>
      </c>
      <c r="B1100" s="8" t="s">
        <v>44</v>
      </c>
      <c r="C1100" s="9" t="n">
        <v>1000</v>
      </c>
      <c r="D1100" s="8" t="s">
        <v>45</v>
      </c>
      <c r="E1100" s="10" t="s">
        <v>212</v>
      </c>
      <c r="F1100" s="8" t="str">
        <f aca="false">TEXT(A1100,"MM-YYYY")</f>
        <v>03-2025</v>
      </c>
      <c r="G1100" s="8" t="s">
        <v>14</v>
      </c>
      <c r="H1100" s="8" t="s">
        <v>15</v>
      </c>
      <c r="I1100" s="7"/>
      <c r="J1100" s="8" t="str">
        <f aca="false">VLOOKUP(B1100,Table3[#All],2,0)</f>
        <v>Salary</v>
      </c>
      <c r="K1100" s="8" t="str">
        <f aca="false">TEXT(ROW(), "0000")</f>
        <v>1100</v>
      </c>
      <c r="L1100" s="8"/>
    </row>
    <row r="1101" customFormat="false" ht="15.75" hidden="false" customHeight="true" outlineLevel="0" collapsed="false">
      <c r="A1101" s="13" t="n">
        <v>45746</v>
      </c>
      <c r="B1101" s="8" t="s">
        <v>29</v>
      </c>
      <c r="C1101" s="9" t="n">
        <v>552</v>
      </c>
      <c r="D1101" s="8" t="s">
        <v>45</v>
      </c>
      <c r="E1101" s="10" t="s">
        <v>231</v>
      </c>
      <c r="F1101" s="8" t="str">
        <f aca="false">TEXT(A1101,"MM-YYYY")</f>
        <v>03-2025</v>
      </c>
      <c r="G1101" s="8" t="s">
        <v>14</v>
      </c>
      <c r="H1101" s="8" t="s">
        <v>232</v>
      </c>
      <c r="I1101" s="7" t="n">
        <v>45758</v>
      </c>
      <c r="J1101" s="8" t="str">
        <f aca="false">VLOOKUP(B1101,Table3[#All],2,0)</f>
        <v>Inventory</v>
      </c>
      <c r="K1101" s="8" t="str">
        <f aca="false">TEXT(ROW(), "0000")</f>
        <v>1101</v>
      </c>
      <c r="L1101" s="8"/>
    </row>
    <row r="1102" customFormat="false" ht="15.75" hidden="false" customHeight="true" outlineLevel="0" collapsed="false">
      <c r="A1102" s="13" t="n">
        <v>45746</v>
      </c>
      <c r="B1102" s="8" t="s">
        <v>25</v>
      </c>
      <c r="C1102" s="9" t="n">
        <v>393</v>
      </c>
      <c r="D1102" s="8" t="s">
        <v>13</v>
      </c>
      <c r="E1102" s="10" t="s">
        <v>26</v>
      </c>
      <c r="F1102" s="8" t="str">
        <f aca="false">TEXT(A1102,"MM-YYYY")</f>
        <v>03-2025</v>
      </c>
      <c r="G1102" s="8" t="s">
        <v>14</v>
      </c>
      <c r="H1102" s="8" t="s">
        <v>15</v>
      </c>
      <c r="I1102" s="7"/>
      <c r="J1102" s="8" t="str">
        <f aca="false">VLOOKUP(B1102,Table3[#All],2,0)</f>
        <v>Inventory</v>
      </c>
      <c r="K1102" s="8" t="str">
        <f aca="false">TEXT(ROW(), "0000")</f>
        <v>1102</v>
      </c>
      <c r="L1102" s="8"/>
    </row>
    <row r="1103" customFormat="false" ht="15.75" hidden="false" customHeight="true" outlineLevel="0" collapsed="false">
      <c r="A1103" s="13" t="n">
        <v>45746</v>
      </c>
      <c r="B1103" s="8" t="s">
        <v>19</v>
      </c>
      <c r="C1103" s="9" t="n">
        <v>2324</v>
      </c>
      <c r="D1103" s="8" t="s">
        <v>13</v>
      </c>
      <c r="E1103" s="10" t="s">
        <v>20</v>
      </c>
      <c r="F1103" s="8" t="str">
        <f aca="false">TEXT(A1103,"MM-YYYY")</f>
        <v>03-2025</v>
      </c>
      <c r="G1103" s="8" t="s">
        <v>14</v>
      </c>
      <c r="H1103" s="8" t="s">
        <v>15</v>
      </c>
      <c r="I1103" s="7"/>
      <c r="J1103" s="8" t="str">
        <f aca="false">VLOOKUP(B1103,Table3[#All],2,0)</f>
        <v>Inventory</v>
      </c>
      <c r="K1103" s="8" t="str">
        <f aca="false">TEXT(ROW(), "0000")</f>
        <v>1103</v>
      </c>
      <c r="L1103" s="8"/>
    </row>
    <row r="1104" customFormat="false" ht="15.75" hidden="false" customHeight="true" outlineLevel="0" collapsed="false">
      <c r="A1104" s="13" t="n">
        <v>45746</v>
      </c>
      <c r="B1104" s="8" t="s">
        <v>22</v>
      </c>
      <c r="C1104" s="9" t="n">
        <v>3833</v>
      </c>
      <c r="D1104" s="8" t="s">
        <v>13</v>
      </c>
      <c r="E1104" s="10" t="s">
        <v>23</v>
      </c>
      <c r="F1104" s="8" t="str">
        <f aca="false">TEXT(A1104,"MM-YYYY")</f>
        <v>03-2025</v>
      </c>
      <c r="G1104" s="8" t="s">
        <v>14</v>
      </c>
      <c r="H1104" s="8" t="s">
        <v>15</v>
      </c>
      <c r="I1104" s="7"/>
      <c r="J1104" s="8" t="str">
        <f aca="false">VLOOKUP(B1104,Table3[#All],2,0)</f>
        <v>Inventory</v>
      </c>
      <c r="K1104" s="8" t="str">
        <f aca="false">TEXT(ROW(), "0000")</f>
        <v>1104</v>
      </c>
      <c r="L1104" s="8"/>
    </row>
    <row r="1105" customFormat="false" ht="15.75" hidden="false" customHeight="true" outlineLevel="0" collapsed="false">
      <c r="A1105" s="13" t="n">
        <v>45746</v>
      </c>
      <c r="B1105" s="8" t="s">
        <v>36</v>
      </c>
      <c r="C1105" s="9" t="n">
        <v>300</v>
      </c>
      <c r="D1105" s="8" t="s">
        <v>45</v>
      </c>
      <c r="E1105" s="10" t="s">
        <v>259</v>
      </c>
      <c r="F1105" s="8" t="str">
        <f aca="false">TEXT(A1105,"MM-YYYY")</f>
        <v>03-2025</v>
      </c>
      <c r="G1105" s="8" t="s">
        <v>14</v>
      </c>
      <c r="H1105" s="8" t="s">
        <v>15</v>
      </c>
      <c r="I1105" s="7"/>
      <c r="J1105" s="8" t="str">
        <f aca="false">VLOOKUP(B1105,Table3[#All],2,0)</f>
        <v>Maintance</v>
      </c>
      <c r="K1105" s="8" t="str">
        <f aca="false">TEXT(ROW(), "0000")</f>
        <v>1105</v>
      </c>
      <c r="L1105" s="8"/>
    </row>
    <row r="1106" customFormat="false" ht="15.75" hidden="false" customHeight="true" outlineLevel="0" collapsed="false">
      <c r="A1106" s="13" t="n">
        <v>45746</v>
      </c>
      <c r="B1106" s="8" t="s">
        <v>81</v>
      </c>
      <c r="C1106" s="9" t="n">
        <v>250</v>
      </c>
      <c r="D1106" s="8" t="s">
        <v>21</v>
      </c>
      <c r="E1106" s="10" t="s">
        <v>260</v>
      </c>
      <c r="F1106" s="8" t="str">
        <f aca="false">TEXT(A1106,"MM-YYYY")</f>
        <v>03-2025</v>
      </c>
      <c r="G1106" s="8" t="s">
        <v>14</v>
      </c>
      <c r="H1106" s="8" t="s">
        <v>15</v>
      </c>
      <c r="I1106" s="7"/>
      <c r="J1106" s="8" t="str">
        <f aca="false">VLOOKUP(B1106,Table3[#All],2,0)</f>
        <v>Excess Amount Return</v>
      </c>
      <c r="K1106" s="8" t="str">
        <f aca="false">TEXT(ROW(), "0000")</f>
        <v>1106</v>
      </c>
      <c r="L1106" s="8"/>
    </row>
    <row r="1107" customFormat="false" ht="15.75" hidden="false" customHeight="true" outlineLevel="0" collapsed="false">
      <c r="A1107" s="13" t="n">
        <v>45746</v>
      </c>
      <c r="B1107" s="8" t="s">
        <v>16</v>
      </c>
      <c r="C1107" s="9" t="n">
        <v>3074</v>
      </c>
      <c r="D1107" s="8" t="s">
        <v>21</v>
      </c>
      <c r="E1107" s="10" t="s">
        <v>88</v>
      </c>
      <c r="F1107" s="8" t="str">
        <f aca="false">TEXT(A1107,"MM-YYYY")</f>
        <v>03-2025</v>
      </c>
      <c r="G1107" s="8"/>
      <c r="H1107" s="8"/>
      <c r="I1107" s="7"/>
      <c r="J1107" s="8" t="str">
        <f aca="false">VLOOKUP(B1107,Table3[#All],2,0)</f>
        <v>Sales</v>
      </c>
      <c r="K1107" s="8" t="str">
        <f aca="false">TEXT(ROW(), "0000")</f>
        <v>1107</v>
      </c>
      <c r="L1107" s="8"/>
    </row>
    <row r="1108" customFormat="false" ht="15.75" hidden="false" customHeight="true" outlineLevel="0" collapsed="false">
      <c r="A1108" s="13" t="n">
        <v>45746</v>
      </c>
      <c r="B1108" s="8" t="s">
        <v>16</v>
      </c>
      <c r="C1108" s="9" t="n">
        <v>420</v>
      </c>
      <c r="D1108" s="8" t="s">
        <v>33</v>
      </c>
      <c r="E1108" s="10" t="s">
        <v>88</v>
      </c>
      <c r="F1108" s="8" t="str">
        <f aca="false">TEXT(A1108,"MM-YYYY")</f>
        <v>03-2025</v>
      </c>
      <c r="G1108" s="8"/>
      <c r="H1108" s="8"/>
      <c r="I1108" s="7"/>
      <c r="J1108" s="8" t="str">
        <f aca="false">VLOOKUP(B1108,Table3[#All],2,0)</f>
        <v>Sales</v>
      </c>
      <c r="K1108" s="8" t="str">
        <f aca="false">TEXT(ROW(), "0000")</f>
        <v>1108</v>
      </c>
      <c r="L1108" s="8"/>
    </row>
    <row r="1109" customFormat="false" ht="15.75" hidden="false" customHeight="true" outlineLevel="0" collapsed="false">
      <c r="A1109" s="13" t="n">
        <v>45746</v>
      </c>
      <c r="B1109" s="8" t="s">
        <v>16</v>
      </c>
      <c r="C1109" s="9" t="n">
        <v>11538</v>
      </c>
      <c r="D1109" s="8" t="s">
        <v>17</v>
      </c>
      <c r="E1109" s="10" t="s">
        <v>88</v>
      </c>
      <c r="F1109" s="8" t="str">
        <f aca="false">TEXT(A1109,"MM-YYYY")</f>
        <v>03-2025</v>
      </c>
      <c r="G1109" s="8"/>
      <c r="H1109" s="8"/>
      <c r="I1109" s="7"/>
      <c r="J1109" s="8" t="str">
        <f aca="false">VLOOKUP(B1109,Table3[#All],2,0)</f>
        <v>Sales</v>
      </c>
      <c r="K1109" s="8" t="str">
        <f aca="false">TEXT(ROW(), "0000")</f>
        <v>1109</v>
      </c>
      <c r="L1109" s="8"/>
    </row>
    <row r="1110" customFormat="false" ht="15.75" hidden="false" customHeight="true" outlineLevel="0" collapsed="false">
      <c r="A1110" s="13" t="n">
        <v>45746</v>
      </c>
      <c r="B1110" s="8" t="s">
        <v>16</v>
      </c>
      <c r="C1110" s="9" t="n">
        <v>1409</v>
      </c>
      <c r="D1110" s="8" t="s">
        <v>24</v>
      </c>
      <c r="E1110" s="10" t="s">
        <v>217</v>
      </c>
      <c r="F1110" s="8" t="str">
        <f aca="false">TEXT(A1110,"MM-YYYY")</f>
        <v>03-2025</v>
      </c>
      <c r="G1110" s="8"/>
      <c r="H1110" s="8"/>
      <c r="I1110" s="7"/>
      <c r="J1110" s="8" t="str">
        <f aca="false">VLOOKUP(B1110,Table3[#All],2,0)</f>
        <v>Sales</v>
      </c>
      <c r="K1110" s="8" t="str">
        <f aca="false">TEXT(ROW(), "0000")</f>
        <v>1110</v>
      </c>
      <c r="L1110" s="8"/>
    </row>
    <row r="1111" customFormat="false" ht="15.75" hidden="false" customHeight="true" outlineLevel="0" collapsed="false">
      <c r="A1111" s="13" t="n">
        <v>45746</v>
      </c>
      <c r="B1111" s="8" t="s">
        <v>258</v>
      </c>
      <c r="C1111" s="9" t="n">
        <v>1000</v>
      </c>
      <c r="D1111" s="8" t="s">
        <v>45</v>
      </c>
      <c r="E1111" s="10"/>
      <c r="F1111" s="8" t="str">
        <f aca="false">TEXT(A1111,"MM-YYYY")</f>
        <v>03-2025</v>
      </c>
      <c r="G1111" s="8" t="s">
        <v>14</v>
      </c>
      <c r="H1111" s="8" t="s">
        <v>15</v>
      </c>
      <c r="I1111" s="7"/>
      <c r="J1111" s="8" t="e">
        <f aca="false">VLOOKUP(B1111,Table3[#All],2,0)</f>
        <v>#N/A</v>
      </c>
      <c r="K1111" s="8" t="str">
        <f aca="false">TEXT(ROW(), "0000")</f>
        <v>1111</v>
      </c>
      <c r="L1111" s="8"/>
    </row>
    <row r="1112" customFormat="false" ht="15.75" hidden="false" customHeight="true" outlineLevel="0" collapsed="false">
      <c r="A1112" s="13" t="n">
        <v>45746</v>
      </c>
      <c r="B1112" s="8" t="s">
        <v>37</v>
      </c>
      <c r="C1112" s="9" t="n">
        <v>24</v>
      </c>
      <c r="D1112" s="8" t="s">
        <v>21</v>
      </c>
      <c r="E1112" s="10"/>
      <c r="F1112" s="8" t="str">
        <f aca="false">TEXT(A1112,"MM-YYYY")</f>
        <v>03-2025</v>
      </c>
      <c r="G1112" s="8" t="s">
        <v>14</v>
      </c>
      <c r="H1112" s="8" t="s">
        <v>15</v>
      </c>
      <c r="I1112" s="7"/>
      <c r="J1112" s="8" t="str">
        <f aca="false">VLOOKUP(B1112,Table3[#All],2,0)</f>
        <v>Maintance</v>
      </c>
      <c r="K1112" s="8" t="str">
        <f aca="false">TEXT(ROW(), "0000")</f>
        <v>1112</v>
      </c>
      <c r="L1112" s="8"/>
    </row>
    <row r="1113" customFormat="false" ht="15.75" hidden="false" customHeight="true" outlineLevel="0" collapsed="false">
      <c r="A1113" s="13" t="n">
        <v>45746</v>
      </c>
      <c r="B1113" s="8" t="s">
        <v>34</v>
      </c>
      <c r="C1113" s="9" t="n">
        <v>100</v>
      </c>
      <c r="D1113" s="8" t="s">
        <v>45</v>
      </c>
      <c r="E1113" s="10"/>
      <c r="F1113" s="8" t="str">
        <f aca="false">TEXT(A1113,"MM-YYYY")</f>
        <v>03-2025</v>
      </c>
      <c r="G1113" s="8" t="s">
        <v>14</v>
      </c>
      <c r="H1113" s="8" t="s">
        <v>15</v>
      </c>
      <c r="I1113" s="7"/>
      <c r="J1113" s="8" t="str">
        <f aca="false">VLOOKUP(B1113,Table3[#All],2,0)</f>
        <v>Staff Expenses</v>
      </c>
      <c r="K1113" s="8" t="str">
        <f aca="false">TEXT(ROW(), "0000")</f>
        <v>1113</v>
      </c>
      <c r="L1113" s="8"/>
    </row>
    <row r="1114" customFormat="false" ht="15.75" hidden="false" customHeight="true" outlineLevel="0" collapsed="false">
      <c r="A1114" s="13" t="n">
        <v>45747</v>
      </c>
      <c r="B1114" s="8" t="s">
        <v>32</v>
      </c>
      <c r="C1114" s="9" t="n">
        <v>320</v>
      </c>
      <c r="D1114" s="8" t="s">
        <v>45</v>
      </c>
      <c r="E1114" s="10" t="s">
        <v>38</v>
      </c>
      <c r="F1114" s="8" t="str">
        <f aca="false">TEXT(A1114,"MM-YYYY")</f>
        <v>03-2025</v>
      </c>
      <c r="G1114" s="8" t="s">
        <v>14</v>
      </c>
      <c r="H1114" s="8" t="s">
        <v>15</v>
      </c>
      <c r="I1114" s="7"/>
      <c r="J1114" s="8" t="str">
        <f aca="false">VLOOKUP(B1114,Table3[#All],2,0)</f>
        <v>Grocery</v>
      </c>
      <c r="K1114" s="8" t="str">
        <f aca="false">TEXT(ROW(), "0000")</f>
        <v>1114</v>
      </c>
      <c r="L1114" s="8"/>
    </row>
    <row r="1115" customFormat="false" ht="15.75" hidden="false" customHeight="true" outlineLevel="0" collapsed="false">
      <c r="A1115" s="13" t="n">
        <v>45747</v>
      </c>
      <c r="B1115" s="8" t="s">
        <v>47</v>
      </c>
      <c r="C1115" s="9" t="n">
        <v>840</v>
      </c>
      <c r="D1115" s="8" t="s">
        <v>13</v>
      </c>
      <c r="E1115" s="10" t="s">
        <v>223</v>
      </c>
      <c r="F1115" s="8" t="str">
        <f aca="false">TEXT(A1115,"MM-YYYY")</f>
        <v>03-2025</v>
      </c>
      <c r="G1115" s="8" t="s">
        <v>14</v>
      </c>
      <c r="H1115" s="8" t="s">
        <v>15</v>
      </c>
      <c r="I1115" s="7"/>
      <c r="J1115" s="8" t="str">
        <f aca="false">VLOOKUP(B1115,Table3[#All],2,0)</f>
        <v>Inventory</v>
      </c>
      <c r="K1115" s="8" t="str">
        <f aca="false">TEXT(ROW(), "0000")</f>
        <v>1115</v>
      </c>
      <c r="L1115" s="8"/>
    </row>
    <row r="1116" customFormat="false" ht="15.75" hidden="false" customHeight="true" outlineLevel="0" collapsed="false">
      <c r="A1116" s="13" t="n">
        <v>45747</v>
      </c>
      <c r="B1116" s="8" t="s">
        <v>19</v>
      </c>
      <c r="C1116" s="9" t="n">
        <v>2087</v>
      </c>
      <c r="D1116" s="8" t="s">
        <v>13</v>
      </c>
      <c r="E1116" s="10" t="s">
        <v>20</v>
      </c>
      <c r="F1116" s="8" t="str">
        <f aca="false">TEXT(A1116,"MM-YYYY")</f>
        <v>03-2025</v>
      </c>
      <c r="G1116" s="8" t="s">
        <v>14</v>
      </c>
      <c r="H1116" s="8" t="s">
        <v>15</v>
      </c>
      <c r="I1116" s="7"/>
      <c r="J1116" s="8" t="str">
        <f aca="false">VLOOKUP(B1116,Table3[#All],2,0)</f>
        <v>Inventory</v>
      </c>
      <c r="K1116" s="8" t="str">
        <f aca="false">TEXT(ROW(), "0000")</f>
        <v>1116</v>
      </c>
      <c r="L1116" s="8"/>
    </row>
    <row r="1117" customFormat="false" ht="15.75" hidden="false" customHeight="true" outlineLevel="0" collapsed="false">
      <c r="A1117" s="13" t="n">
        <v>45747</v>
      </c>
      <c r="B1117" s="8" t="s">
        <v>29</v>
      </c>
      <c r="C1117" s="9" t="n">
        <v>249</v>
      </c>
      <c r="D1117" s="8" t="s">
        <v>45</v>
      </c>
      <c r="E1117" s="10" t="s">
        <v>231</v>
      </c>
      <c r="F1117" s="8" t="str">
        <f aca="false">TEXT(A1117,"MM-YYYY")</f>
        <v>03-2025</v>
      </c>
      <c r="G1117" s="8" t="s">
        <v>14</v>
      </c>
      <c r="H1117" s="8" t="s">
        <v>232</v>
      </c>
      <c r="I1117" s="7" t="n">
        <v>45758</v>
      </c>
      <c r="J1117" s="8" t="str">
        <f aca="false">VLOOKUP(B1117,Table3[#All],2,0)</f>
        <v>Inventory</v>
      </c>
      <c r="K1117" s="8" t="str">
        <f aca="false">TEXT(ROW(), "0000")</f>
        <v>1117</v>
      </c>
      <c r="L1117" s="8"/>
    </row>
    <row r="1118" customFormat="false" ht="15.75" hidden="false" customHeight="true" outlineLevel="0" collapsed="false">
      <c r="A1118" s="13" t="n">
        <v>45747</v>
      </c>
      <c r="B1118" s="8" t="s">
        <v>25</v>
      </c>
      <c r="C1118" s="9" t="n">
        <v>1168</v>
      </c>
      <c r="D1118" s="8" t="s">
        <v>13</v>
      </c>
      <c r="E1118" s="10" t="s">
        <v>26</v>
      </c>
      <c r="F1118" s="8" t="str">
        <f aca="false">TEXT(A1118,"MM-YYYY")</f>
        <v>03-2025</v>
      </c>
      <c r="G1118" s="8" t="s">
        <v>14</v>
      </c>
      <c r="H1118" s="8" t="s">
        <v>15</v>
      </c>
      <c r="I1118" s="7"/>
      <c r="J1118" s="8" t="str">
        <f aca="false">VLOOKUP(B1118,Table3[#All],2,0)</f>
        <v>Inventory</v>
      </c>
      <c r="K1118" s="8" t="str">
        <f aca="false">TEXT(ROW(), "0000")</f>
        <v>1118</v>
      </c>
      <c r="L1118" s="8"/>
    </row>
    <row r="1119" customFormat="false" ht="15.75" hidden="false" customHeight="true" outlineLevel="0" collapsed="false">
      <c r="A1119" s="13" t="n">
        <v>45747</v>
      </c>
      <c r="B1119" s="8" t="s">
        <v>31</v>
      </c>
      <c r="C1119" s="9" t="n">
        <v>300</v>
      </c>
      <c r="D1119" s="8" t="s">
        <v>45</v>
      </c>
      <c r="E1119" s="10"/>
      <c r="F1119" s="8" t="str">
        <f aca="false">TEXT(A1119,"MM-YYYY")</f>
        <v>03-2025</v>
      </c>
      <c r="G1119" s="8" t="s">
        <v>14</v>
      </c>
      <c r="H1119" s="8" t="s">
        <v>15</v>
      </c>
      <c r="I1119" s="7"/>
      <c r="J1119" s="8" t="str">
        <f aca="false">VLOOKUP(B1119,Table3[#All],2,0)</f>
        <v>Bike Maintance</v>
      </c>
      <c r="K1119" s="8" t="str">
        <f aca="false">TEXT(ROW(), "0000")</f>
        <v>1119</v>
      </c>
      <c r="L1119" s="8"/>
    </row>
    <row r="1120" customFormat="false" ht="15.75" hidden="false" customHeight="true" outlineLevel="0" collapsed="false">
      <c r="A1120" s="13" t="n">
        <v>45747</v>
      </c>
      <c r="B1120" s="8" t="s">
        <v>25</v>
      </c>
      <c r="C1120" s="9" t="n">
        <v>550</v>
      </c>
      <c r="D1120" s="8" t="s">
        <v>45</v>
      </c>
      <c r="E1120" s="10" t="s">
        <v>84</v>
      </c>
      <c r="F1120" s="8" t="str">
        <f aca="false">TEXT(A1120,"MM-YYYY")</f>
        <v>03-2025</v>
      </c>
      <c r="G1120" s="8" t="s">
        <v>14</v>
      </c>
      <c r="H1120" s="8" t="s">
        <v>15</v>
      </c>
      <c r="I1120" s="7"/>
      <c r="J1120" s="8" t="str">
        <f aca="false">VLOOKUP(B1120,Table3[#All],2,0)</f>
        <v>Inventory</v>
      </c>
      <c r="K1120" s="8" t="str">
        <f aca="false">TEXT(ROW(), "0000")</f>
        <v>1120</v>
      </c>
      <c r="L1120" s="8"/>
    </row>
    <row r="1121" customFormat="false" ht="15.75" hidden="false" customHeight="true" outlineLevel="0" collapsed="false">
      <c r="A1121" s="13" t="n">
        <v>45747</v>
      </c>
      <c r="B1121" s="8" t="s">
        <v>16</v>
      </c>
      <c r="C1121" s="9" t="n">
        <v>3010</v>
      </c>
      <c r="D1121" s="8" t="s">
        <v>21</v>
      </c>
      <c r="E1121" s="10" t="s">
        <v>88</v>
      </c>
      <c r="F1121" s="8" t="str">
        <f aca="false">TEXT(A1121,"MM-YYYY")</f>
        <v>03-2025</v>
      </c>
      <c r="G1121" s="8"/>
      <c r="H1121" s="8"/>
      <c r="I1121" s="7"/>
      <c r="J1121" s="8" t="str">
        <f aca="false">VLOOKUP(B1121,Table3[#All],2,0)</f>
        <v>Sales</v>
      </c>
      <c r="K1121" s="8" t="str">
        <f aca="false">TEXT(ROW(), "0000")</f>
        <v>1121</v>
      </c>
      <c r="L1121" s="8"/>
    </row>
    <row r="1122" customFormat="false" ht="15.75" hidden="false" customHeight="true" outlineLevel="0" collapsed="false">
      <c r="A1122" s="13" t="n">
        <v>45747</v>
      </c>
      <c r="B1122" s="8" t="s">
        <v>16</v>
      </c>
      <c r="C1122" s="9" t="n">
        <v>2090</v>
      </c>
      <c r="D1122" s="8" t="s">
        <v>27</v>
      </c>
      <c r="E1122" s="10" t="s">
        <v>88</v>
      </c>
      <c r="F1122" s="8" t="str">
        <f aca="false">TEXT(A1122,"MM-YYYY")</f>
        <v>03-2025</v>
      </c>
      <c r="G1122" s="8"/>
      <c r="H1122" s="8"/>
      <c r="I1122" s="7"/>
      <c r="J1122" s="8" t="str">
        <f aca="false">VLOOKUP(B1122,Table3[#All],2,0)</f>
        <v>Sales</v>
      </c>
      <c r="K1122" s="8" t="str">
        <f aca="false">TEXT(ROW(), "0000")</f>
        <v>1122</v>
      </c>
      <c r="L1122" s="8"/>
    </row>
    <row r="1123" customFormat="false" ht="15.75" hidden="false" customHeight="true" outlineLevel="0" collapsed="false">
      <c r="A1123" s="13" t="n">
        <v>45747</v>
      </c>
      <c r="B1123" s="8" t="s">
        <v>16</v>
      </c>
      <c r="C1123" s="9" t="n">
        <v>1760</v>
      </c>
      <c r="D1123" s="8" t="s">
        <v>33</v>
      </c>
      <c r="E1123" s="10" t="s">
        <v>88</v>
      </c>
      <c r="F1123" s="8" t="str">
        <f aca="false">TEXT(A1123,"MM-YYYY")</f>
        <v>03-2025</v>
      </c>
      <c r="G1123" s="8"/>
      <c r="H1123" s="8"/>
      <c r="I1123" s="7"/>
      <c r="J1123" s="8" t="str">
        <f aca="false">VLOOKUP(B1123,Table3[#All],2,0)</f>
        <v>Sales</v>
      </c>
      <c r="K1123" s="8" t="str">
        <f aca="false">TEXT(ROW(), "0000")</f>
        <v>1123</v>
      </c>
      <c r="L1123" s="8"/>
    </row>
    <row r="1124" customFormat="false" ht="15.75" hidden="false" customHeight="true" outlineLevel="0" collapsed="false">
      <c r="A1124" s="13" t="n">
        <v>45747</v>
      </c>
      <c r="B1124" s="8" t="s">
        <v>16</v>
      </c>
      <c r="C1124" s="9" t="n">
        <v>19284</v>
      </c>
      <c r="D1124" s="8" t="s">
        <v>17</v>
      </c>
      <c r="E1124" s="10" t="s">
        <v>88</v>
      </c>
      <c r="F1124" s="8" t="str">
        <f aca="false">TEXT(A1124,"MM-YYYY")</f>
        <v>03-2025</v>
      </c>
      <c r="G1124" s="8"/>
      <c r="H1124" s="8"/>
      <c r="I1124" s="7"/>
      <c r="J1124" s="8" t="str">
        <f aca="false">VLOOKUP(B1124,Table3[#All],2,0)</f>
        <v>Sales</v>
      </c>
      <c r="K1124" s="8" t="str">
        <f aca="false">TEXT(ROW(), "0000")</f>
        <v>1124</v>
      </c>
      <c r="L1124" s="8"/>
    </row>
    <row r="1125" customFormat="false" ht="15.75" hidden="false" customHeight="true" outlineLevel="0" collapsed="false">
      <c r="A1125" s="13" t="n">
        <v>45747</v>
      </c>
      <c r="B1125" s="8" t="s">
        <v>16</v>
      </c>
      <c r="C1125" s="9" t="n">
        <v>1992</v>
      </c>
      <c r="D1125" s="8" t="s">
        <v>24</v>
      </c>
      <c r="E1125" s="10" t="s">
        <v>217</v>
      </c>
      <c r="F1125" s="8" t="str">
        <f aca="false">TEXT(A1125,"MM-YYYY")</f>
        <v>03-2025</v>
      </c>
      <c r="G1125" s="8"/>
      <c r="H1125" s="8"/>
      <c r="I1125" s="7"/>
      <c r="J1125" s="8" t="str">
        <f aca="false">VLOOKUP(B1125,Table3[#All],2,0)</f>
        <v>Sales</v>
      </c>
      <c r="K1125" s="8" t="str">
        <f aca="false">TEXT(ROW(), "0000")</f>
        <v>1125</v>
      </c>
      <c r="L1125" s="8"/>
    </row>
    <row r="1126" customFormat="false" ht="15.75" hidden="false" customHeight="true" outlineLevel="0" collapsed="false">
      <c r="A1126" s="13" t="n">
        <v>45747</v>
      </c>
      <c r="B1126" s="8" t="s">
        <v>25</v>
      </c>
      <c r="C1126" s="9" t="n">
        <v>90</v>
      </c>
      <c r="D1126" s="8" t="s">
        <v>45</v>
      </c>
      <c r="E1126" s="10"/>
      <c r="F1126" s="8" t="str">
        <f aca="false">TEXT(A1126,"MM-YYYY")</f>
        <v>03-2025</v>
      </c>
      <c r="G1126" s="8" t="s">
        <v>14</v>
      </c>
      <c r="H1126" s="8" t="s">
        <v>15</v>
      </c>
      <c r="I1126" s="7"/>
      <c r="J1126" s="8" t="str">
        <f aca="false">VLOOKUP(B1126,Table3[#All],2,0)</f>
        <v>Inventory</v>
      </c>
      <c r="K1126" s="8" t="str">
        <f aca="false">TEXT(ROW(), "0000")</f>
        <v>1126</v>
      </c>
      <c r="L1126" s="8"/>
    </row>
    <row r="1127" customFormat="false" ht="15.75" hidden="false" customHeight="true" outlineLevel="0" collapsed="false">
      <c r="A1127" s="13" t="n">
        <v>45747</v>
      </c>
      <c r="B1127" s="8" t="s">
        <v>34</v>
      </c>
      <c r="C1127" s="9" t="n">
        <v>110</v>
      </c>
      <c r="D1127" s="8" t="s">
        <v>21</v>
      </c>
      <c r="E1127" s="10"/>
      <c r="F1127" s="8" t="str">
        <f aca="false">TEXT(A1127,"MM-YYYY")</f>
        <v>03-2025</v>
      </c>
      <c r="G1127" s="8" t="s">
        <v>14</v>
      </c>
      <c r="H1127" s="8" t="s">
        <v>15</v>
      </c>
      <c r="I1127" s="7"/>
      <c r="J1127" s="8" t="str">
        <f aca="false">VLOOKUP(B1127,Table3[#All],2,0)</f>
        <v>Staff Expenses</v>
      </c>
      <c r="K1127" s="8" t="str">
        <f aca="false">TEXT(ROW(), "0000")</f>
        <v>1127</v>
      </c>
      <c r="L1127" s="8"/>
    </row>
    <row r="1128" customFormat="false" ht="15.75" hidden="false" customHeight="true" outlineLevel="0" collapsed="false">
      <c r="A1128" s="13" t="n">
        <v>45748</v>
      </c>
      <c r="B1128" s="8" t="s">
        <v>19</v>
      </c>
      <c r="C1128" s="9" t="n">
        <v>6295</v>
      </c>
      <c r="D1128" s="8" t="s">
        <v>13</v>
      </c>
      <c r="E1128" s="10" t="s">
        <v>20</v>
      </c>
      <c r="F1128" s="8" t="str">
        <f aca="false">TEXT(A1128,"MM-YYYY")</f>
        <v>04-2025</v>
      </c>
      <c r="G1128" s="8" t="s">
        <v>14</v>
      </c>
      <c r="H1128" s="8" t="s">
        <v>13</v>
      </c>
      <c r="I1128" s="7" t="n">
        <v>45754</v>
      </c>
      <c r="J1128" s="8" t="str">
        <f aca="false">VLOOKUP(B1128,Table3[#All],2,0)</f>
        <v>Inventory</v>
      </c>
      <c r="K1128" s="8" t="str">
        <f aca="false">TEXT(ROW(), "0000")</f>
        <v>1128</v>
      </c>
      <c r="L1128" s="8"/>
    </row>
    <row r="1129" customFormat="false" ht="15.75" hidden="false" customHeight="true" outlineLevel="0" collapsed="false">
      <c r="A1129" s="13" t="n">
        <v>45748</v>
      </c>
      <c r="B1129" s="8" t="s">
        <v>29</v>
      </c>
      <c r="C1129" s="9" t="n">
        <v>510</v>
      </c>
      <c r="D1129" s="8" t="s">
        <v>45</v>
      </c>
      <c r="E1129" s="10" t="s">
        <v>231</v>
      </c>
      <c r="F1129" s="8" t="str">
        <f aca="false">TEXT(A1129,"MM-YYYY")</f>
        <v>04-2025</v>
      </c>
      <c r="G1129" s="8" t="s">
        <v>14</v>
      </c>
      <c r="H1129" s="8" t="s">
        <v>232</v>
      </c>
      <c r="I1129" s="7" t="n">
        <v>45758</v>
      </c>
      <c r="J1129" s="8" t="str">
        <f aca="false">VLOOKUP(B1129,Table3[#All],2,0)</f>
        <v>Inventory</v>
      </c>
      <c r="K1129" s="8" t="str">
        <f aca="false">TEXT(ROW(), "0000")</f>
        <v>1129</v>
      </c>
      <c r="L1129" s="8"/>
    </row>
    <row r="1130" customFormat="false" ht="15.75" hidden="false" customHeight="true" outlineLevel="0" collapsed="false">
      <c r="A1130" s="13" t="n">
        <v>45748</v>
      </c>
      <c r="B1130" s="8" t="s">
        <v>25</v>
      </c>
      <c r="C1130" s="9" t="n">
        <v>1675</v>
      </c>
      <c r="D1130" s="8" t="s">
        <v>13</v>
      </c>
      <c r="E1130" s="10" t="s">
        <v>26</v>
      </c>
      <c r="F1130" s="8" t="str">
        <f aca="false">TEXT(A1130,"MM-YYYY")</f>
        <v>04-2025</v>
      </c>
      <c r="G1130" s="8" t="s">
        <v>14</v>
      </c>
      <c r="H1130" s="8" t="s">
        <v>13</v>
      </c>
      <c r="I1130" s="7" t="n">
        <v>45766</v>
      </c>
      <c r="J1130" s="8" t="str">
        <f aca="false">VLOOKUP(B1130,Table3[#All],2,0)</f>
        <v>Inventory</v>
      </c>
      <c r="K1130" s="8" t="str">
        <f aca="false">TEXT(ROW(), "0000")</f>
        <v>1130</v>
      </c>
      <c r="L1130" s="8"/>
    </row>
    <row r="1131" customFormat="false" ht="15.75" hidden="false" customHeight="true" outlineLevel="0" collapsed="false">
      <c r="A1131" s="13" t="n">
        <v>45748</v>
      </c>
      <c r="B1131" s="8" t="s">
        <v>22</v>
      </c>
      <c r="C1131" s="9" t="n">
        <v>3051</v>
      </c>
      <c r="D1131" s="8" t="s">
        <v>13</v>
      </c>
      <c r="E1131" s="10" t="s">
        <v>23</v>
      </c>
      <c r="F1131" s="8" t="str">
        <f aca="false">TEXT(A1131,"MM-YYYY")</f>
        <v>04-2025</v>
      </c>
      <c r="G1131" s="8" t="s">
        <v>14</v>
      </c>
      <c r="H1131" s="8" t="s">
        <v>13</v>
      </c>
      <c r="I1131" s="7" t="n">
        <v>45754</v>
      </c>
      <c r="J1131" s="8" t="str">
        <f aca="false">VLOOKUP(B1131,Table3[#All],2,0)</f>
        <v>Inventory</v>
      </c>
      <c r="K1131" s="8" t="str">
        <f aca="false">TEXT(ROW(), "0000")</f>
        <v>1131</v>
      </c>
      <c r="L1131" s="8"/>
    </row>
    <row r="1132" customFormat="false" ht="15.75" hidden="false" customHeight="true" outlineLevel="0" collapsed="false">
      <c r="A1132" s="13" t="n">
        <v>45748</v>
      </c>
      <c r="B1132" s="8" t="s">
        <v>44</v>
      </c>
      <c r="C1132" s="9" t="n">
        <v>2000</v>
      </c>
      <c r="D1132" s="8" t="s">
        <v>45</v>
      </c>
      <c r="E1132" s="10" t="s">
        <v>261</v>
      </c>
      <c r="F1132" s="8" t="str">
        <f aca="false">TEXT(A1132,"MM-YYYY")</f>
        <v>04-2025</v>
      </c>
      <c r="G1132" s="8" t="s">
        <v>14</v>
      </c>
      <c r="H1132" s="8" t="s">
        <v>232</v>
      </c>
      <c r="I1132" s="7" t="n">
        <v>45748</v>
      </c>
      <c r="J1132" s="8" t="str">
        <f aca="false">VLOOKUP(B1132,Table3[#All],2,0)</f>
        <v>Salary</v>
      </c>
      <c r="K1132" s="8" t="str">
        <f aca="false">TEXT(ROW(), "0000")</f>
        <v>1132</v>
      </c>
      <c r="L1132" s="8"/>
    </row>
    <row r="1133" customFormat="false" ht="15.75" hidden="false" customHeight="true" outlineLevel="0" collapsed="false">
      <c r="A1133" s="13" t="n">
        <v>45748</v>
      </c>
      <c r="B1133" s="8" t="s">
        <v>35</v>
      </c>
      <c r="C1133" s="9" t="n">
        <v>100</v>
      </c>
      <c r="D1133" s="8" t="s">
        <v>45</v>
      </c>
      <c r="E1133" s="10" t="s">
        <v>39</v>
      </c>
      <c r="F1133" s="8" t="str">
        <f aca="false">TEXT(A1133,"MM-YYYY")</f>
        <v>04-2025</v>
      </c>
      <c r="G1133" s="8" t="s">
        <v>14</v>
      </c>
      <c r="H1133" s="8" t="s">
        <v>232</v>
      </c>
      <c r="I1133" s="7" t="n">
        <v>45748</v>
      </c>
      <c r="J1133" s="8" t="str">
        <f aca="false">VLOOKUP(B1133,Table3[#All],2,0)</f>
        <v>Inventory</v>
      </c>
      <c r="K1133" s="8" t="str">
        <f aca="false">TEXT(ROW(), "0000")</f>
        <v>1133</v>
      </c>
      <c r="L1133" s="8"/>
    </row>
    <row r="1134" customFormat="false" ht="15.75" hidden="false" customHeight="true" outlineLevel="0" collapsed="false">
      <c r="A1134" s="13" t="n">
        <v>45748</v>
      </c>
      <c r="B1134" s="8" t="s">
        <v>16</v>
      </c>
      <c r="C1134" s="9" t="n">
        <v>2684</v>
      </c>
      <c r="D1134" s="8" t="s">
        <v>21</v>
      </c>
      <c r="E1134" s="10" t="s">
        <v>88</v>
      </c>
      <c r="F1134" s="8" t="str">
        <f aca="false">TEXT(A1134,"MM-YYYY")</f>
        <v>04-2025</v>
      </c>
      <c r="G1134" s="8"/>
      <c r="H1134" s="8"/>
      <c r="I1134" s="7"/>
      <c r="J1134" s="8" t="str">
        <f aca="false">VLOOKUP(B1134,Table3[#All],2,0)</f>
        <v>Sales</v>
      </c>
      <c r="K1134" s="8" t="str">
        <f aca="false">TEXT(ROW(), "0000")</f>
        <v>1134</v>
      </c>
      <c r="L1134" s="8"/>
    </row>
    <row r="1135" customFormat="false" ht="15.75" hidden="false" customHeight="true" outlineLevel="0" collapsed="false">
      <c r="A1135" s="13" t="n">
        <v>45748</v>
      </c>
      <c r="B1135" s="8" t="s">
        <v>16</v>
      </c>
      <c r="C1135" s="9" t="n">
        <v>400</v>
      </c>
      <c r="D1135" s="8" t="s">
        <v>27</v>
      </c>
      <c r="E1135" s="10" t="s">
        <v>88</v>
      </c>
      <c r="F1135" s="8" t="str">
        <f aca="false">TEXT(A1135,"MM-YYYY")</f>
        <v>04-2025</v>
      </c>
      <c r="G1135" s="8"/>
      <c r="H1135" s="8"/>
      <c r="I1135" s="7"/>
      <c r="J1135" s="8" t="str">
        <f aca="false">VLOOKUP(B1135,Table3[#All],2,0)</f>
        <v>Sales</v>
      </c>
      <c r="K1135" s="8" t="str">
        <f aca="false">TEXT(ROW(), "0000")</f>
        <v>1135</v>
      </c>
      <c r="L1135" s="8"/>
    </row>
    <row r="1136" customFormat="false" ht="15.75" hidden="false" customHeight="true" outlineLevel="0" collapsed="false">
      <c r="A1136" s="13" t="n">
        <v>45748</v>
      </c>
      <c r="B1136" s="8" t="s">
        <v>16</v>
      </c>
      <c r="C1136" s="9" t="n">
        <v>450</v>
      </c>
      <c r="D1136" s="8" t="s">
        <v>33</v>
      </c>
      <c r="E1136" s="10" t="s">
        <v>88</v>
      </c>
      <c r="F1136" s="8" t="str">
        <f aca="false">TEXT(A1136,"MM-YYYY")</f>
        <v>04-2025</v>
      </c>
      <c r="G1136" s="8"/>
      <c r="H1136" s="8"/>
      <c r="I1136" s="7"/>
      <c r="J1136" s="8" t="str">
        <f aca="false">VLOOKUP(B1136,Table3[#All],2,0)</f>
        <v>Sales</v>
      </c>
      <c r="K1136" s="8" t="str">
        <f aca="false">TEXT(ROW(), "0000")</f>
        <v>1136</v>
      </c>
      <c r="L1136" s="8"/>
    </row>
    <row r="1137" customFormat="false" ht="15.75" hidden="false" customHeight="true" outlineLevel="0" collapsed="false">
      <c r="A1137" s="13" t="n">
        <v>45748</v>
      </c>
      <c r="B1137" s="8" t="s">
        <v>16</v>
      </c>
      <c r="C1137" s="9" t="n">
        <v>6869</v>
      </c>
      <c r="D1137" s="8" t="s">
        <v>17</v>
      </c>
      <c r="E1137" s="10" t="s">
        <v>88</v>
      </c>
      <c r="F1137" s="8" t="str">
        <f aca="false">TEXT(A1137,"MM-YYYY")</f>
        <v>04-2025</v>
      </c>
      <c r="G1137" s="8"/>
      <c r="H1137" s="8"/>
      <c r="I1137" s="7"/>
      <c r="J1137" s="8" t="str">
        <f aca="false">VLOOKUP(B1137,Table3[#All],2,0)</f>
        <v>Sales</v>
      </c>
      <c r="K1137" s="8" t="str">
        <f aca="false">TEXT(ROW(), "0000")</f>
        <v>1137</v>
      </c>
      <c r="L1137" s="8"/>
    </row>
    <row r="1138" customFormat="false" ht="15.75" hidden="false" customHeight="true" outlineLevel="0" collapsed="false">
      <c r="A1138" s="13" t="n">
        <v>45748</v>
      </c>
      <c r="B1138" s="8" t="s">
        <v>16</v>
      </c>
      <c r="C1138" s="9" t="n">
        <v>4194</v>
      </c>
      <c r="D1138" s="8" t="s">
        <v>24</v>
      </c>
      <c r="E1138" s="10" t="s">
        <v>217</v>
      </c>
      <c r="F1138" s="8" t="str">
        <f aca="false">TEXT(A1138,"MM-YYYY")</f>
        <v>04-2025</v>
      </c>
      <c r="G1138" s="8"/>
      <c r="H1138" s="8"/>
      <c r="I1138" s="7"/>
      <c r="J1138" s="8" t="str">
        <f aca="false">VLOOKUP(B1138,Table3[#All],2,0)</f>
        <v>Sales</v>
      </c>
      <c r="K1138" s="8" t="str">
        <f aca="false">TEXT(ROW(), "0000")</f>
        <v>1138</v>
      </c>
      <c r="L1138" s="8"/>
    </row>
    <row r="1139" customFormat="false" ht="15.75" hidden="false" customHeight="true" outlineLevel="0" collapsed="false">
      <c r="A1139" s="13" t="n">
        <v>45748</v>
      </c>
      <c r="B1139" s="8" t="s">
        <v>44</v>
      </c>
      <c r="C1139" s="9" t="n">
        <v>5000</v>
      </c>
      <c r="D1139" s="8" t="s">
        <v>45</v>
      </c>
      <c r="E1139" s="10" t="s">
        <v>211</v>
      </c>
      <c r="F1139" s="8" t="str">
        <f aca="false">TEXT(A1139,"MM-YYYY")</f>
        <v>04-2025</v>
      </c>
      <c r="G1139" s="8" t="s">
        <v>14</v>
      </c>
      <c r="H1139" s="8" t="s">
        <v>232</v>
      </c>
      <c r="I1139" s="7" t="n">
        <v>45748</v>
      </c>
      <c r="J1139" s="8" t="str">
        <f aca="false">VLOOKUP(B1139,Table3[#All],2,0)</f>
        <v>Salary</v>
      </c>
      <c r="K1139" s="8" t="str">
        <f aca="false">TEXT(ROW(), "0000")</f>
        <v>1139</v>
      </c>
      <c r="L1139" s="8"/>
    </row>
    <row r="1140" customFormat="false" ht="15.75" hidden="false" customHeight="true" outlineLevel="0" collapsed="false">
      <c r="A1140" s="13" t="n">
        <v>45748</v>
      </c>
      <c r="B1140" s="8" t="s">
        <v>34</v>
      </c>
      <c r="C1140" s="9" t="n">
        <v>120</v>
      </c>
      <c r="D1140" s="8" t="s">
        <v>45</v>
      </c>
      <c r="E1140" s="10"/>
      <c r="F1140" s="8" t="str">
        <f aca="false">TEXT(A1140,"MM-YYYY")</f>
        <v>04-2025</v>
      </c>
      <c r="G1140" s="8" t="s">
        <v>14</v>
      </c>
      <c r="H1140" s="8" t="s">
        <v>232</v>
      </c>
      <c r="I1140" s="7" t="n">
        <v>45748</v>
      </c>
      <c r="J1140" s="8" t="str">
        <f aca="false">VLOOKUP(B1140,Table3[#All],2,0)</f>
        <v>Staff Expenses</v>
      </c>
      <c r="K1140" s="8" t="str">
        <f aca="false">TEXT(ROW(), "0000")</f>
        <v>1140</v>
      </c>
      <c r="L1140" s="8"/>
    </row>
    <row r="1141" customFormat="false" ht="15.75" hidden="false" customHeight="true" outlineLevel="0" collapsed="false">
      <c r="A1141" s="13" t="n">
        <v>45748</v>
      </c>
      <c r="B1141" s="8" t="s">
        <v>37</v>
      </c>
      <c r="C1141" s="9" t="n">
        <v>34</v>
      </c>
      <c r="D1141" s="8" t="s">
        <v>21</v>
      </c>
      <c r="E1141" s="10"/>
      <c r="F1141" s="8" t="str">
        <f aca="false">TEXT(A1141,"MM-YYYY")</f>
        <v>04-2025</v>
      </c>
      <c r="G1141" s="8" t="s">
        <v>14</v>
      </c>
      <c r="H1141" s="8" t="s">
        <v>15</v>
      </c>
      <c r="I1141" s="7" t="n">
        <v>45748</v>
      </c>
      <c r="J1141" s="8" t="str">
        <f aca="false">VLOOKUP(B1141,Table3[#All],2,0)</f>
        <v>Maintance</v>
      </c>
      <c r="K1141" s="8" t="str">
        <f aca="false">TEXT(ROW(), "0000")</f>
        <v>1141</v>
      </c>
      <c r="L1141" s="8"/>
    </row>
    <row r="1142" customFormat="false" ht="15.75" hidden="false" customHeight="true" outlineLevel="0" collapsed="false">
      <c r="A1142" s="13" t="n">
        <v>45749</v>
      </c>
      <c r="B1142" s="8" t="s">
        <v>22</v>
      </c>
      <c r="C1142" s="12" t="n">
        <v>2173</v>
      </c>
      <c r="D1142" s="8" t="s">
        <v>13</v>
      </c>
      <c r="E1142" s="10" t="s">
        <v>23</v>
      </c>
      <c r="F1142" s="8" t="str">
        <f aca="false">TEXT(A1142,"MM-YYYY")</f>
        <v>04-2025</v>
      </c>
      <c r="G1142" s="8" t="s">
        <v>14</v>
      </c>
      <c r="H1142" s="8" t="s">
        <v>13</v>
      </c>
      <c r="I1142" s="7" t="n">
        <v>45754</v>
      </c>
      <c r="J1142" s="8" t="str">
        <f aca="false">VLOOKUP(B1142,Table3[#All],2,0)</f>
        <v>Inventory</v>
      </c>
      <c r="K1142" s="8" t="str">
        <f aca="false">TEXT(ROW(), "0000")</f>
        <v>1142</v>
      </c>
      <c r="L1142" s="8"/>
    </row>
    <row r="1143" customFormat="false" ht="15.75" hidden="false" customHeight="true" outlineLevel="0" collapsed="false">
      <c r="A1143" s="20" t="n">
        <v>45749</v>
      </c>
      <c r="B1143" s="8" t="s">
        <v>19</v>
      </c>
      <c r="C1143" s="12" t="n">
        <v>982</v>
      </c>
      <c r="D1143" s="8" t="s">
        <v>13</v>
      </c>
      <c r="E1143" s="10" t="s">
        <v>20</v>
      </c>
      <c r="F1143" s="8" t="str">
        <f aca="false">TEXT(A1143,"MM-YYYY")</f>
        <v>04-2025</v>
      </c>
      <c r="G1143" s="8" t="s">
        <v>14</v>
      </c>
      <c r="H1143" s="8" t="s">
        <v>13</v>
      </c>
      <c r="I1143" s="7" t="n">
        <v>45754</v>
      </c>
      <c r="J1143" s="8" t="str">
        <f aca="false">VLOOKUP(B1143,Table3[#All],2,0)</f>
        <v>Inventory</v>
      </c>
      <c r="K1143" s="8" t="str">
        <f aca="false">TEXT(ROW(), "0000")</f>
        <v>1143</v>
      </c>
      <c r="L1143" s="8"/>
    </row>
    <row r="1144" customFormat="false" ht="15.75" hidden="false" customHeight="true" outlineLevel="0" collapsed="false">
      <c r="A1144" s="13" t="n">
        <v>45749</v>
      </c>
      <c r="B1144" s="8" t="s">
        <v>28</v>
      </c>
      <c r="C1144" s="12" t="n">
        <v>580</v>
      </c>
      <c r="D1144" s="8" t="s">
        <v>21</v>
      </c>
      <c r="E1144" s="10" t="s">
        <v>93</v>
      </c>
      <c r="F1144" s="8" t="str">
        <f aca="false">TEXT(A1144,"MM-YYYY")</f>
        <v>04-2025</v>
      </c>
      <c r="G1144" s="8" t="s">
        <v>14</v>
      </c>
      <c r="H1144" s="8" t="s">
        <v>15</v>
      </c>
      <c r="I1144" s="7" t="n">
        <v>45749</v>
      </c>
      <c r="J1144" s="8" t="str">
        <f aca="false">VLOOKUP(B1144,Table3[#All],2,0)</f>
        <v>Grocery</v>
      </c>
      <c r="K1144" s="8" t="str">
        <f aca="false">TEXT(ROW(), "0000")</f>
        <v>1144</v>
      </c>
      <c r="L1144" s="8"/>
    </row>
    <row r="1145" customFormat="false" ht="15.75" hidden="false" customHeight="true" outlineLevel="0" collapsed="false">
      <c r="A1145" s="20" t="n">
        <v>45749</v>
      </c>
      <c r="B1145" s="8" t="s">
        <v>53</v>
      </c>
      <c r="C1145" s="12" t="n">
        <v>2208</v>
      </c>
      <c r="D1145" s="8" t="s">
        <v>13</v>
      </c>
      <c r="E1145" s="10" t="s">
        <v>54</v>
      </c>
      <c r="F1145" s="8" t="str">
        <f aca="false">TEXT(A1145,"MM-YYYY")</f>
        <v>04-2025</v>
      </c>
      <c r="G1145" s="8" t="s">
        <v>14</v>
      </c>
      <c r="H1145" s="8" t="s">
        <v>262</v>
      </c>
      <c r="I1145" s="7" t="n">
        <v>45749</v>
      </c>
      <c r="J1145" s="8" t="str">
        <f aca="false">VLOOKUP(B1145,Table3[#All],2,0)</f>
        <v>Grocery</v>
      </c>
      <c r="K1145" s="8" t="str">
        <f aca="false">TEXT(ROW(), "0000")</f>
        <v>1145</v>
      </c>
      <c r="L1145" s="8"/>
    </row>
    <row r="1146" customFormat="false" ht="15.75" hidden="false" customHeight="true" outlineLevel="0" collapsed="false">
      <c r="A1146" s="13" t="n">
        <v>45749</v>
      </c>
      <c r="B1146" s="8" t="s">
        <v>40</v>
      </c>
      <c r="C1146" s="12" t="n">
        <v>400</v>
      </c>
      <c r="D1146" s="8" t="s">
        <v>45</v>
      </c>
      <c r="E1146" s="10" t="s">
        <v>46</v>
      </c>
      <c r="F1146" s="8" t="str">
        <f aca="false">TEXT(A1146,"MM-YYYY")</f>
        <v>04-2025</v>
      </c>
      <c r="G1146" s="8" t="s">
        <v>14</v>
      </c>
      <c r="H1146" s="8" t="s">
        <v>262</v>
      </c>
      <c r="I1146" s="7" t="n">
        <v>45749</v>
      </c>
      <c r="J1146" s="8" t="str">
        <f aca="false">VLOOKUP(B1146,Table3[#All],2,0)</f>
        <v>Inventory</v>
      </c>
      <c r="K1146" s="8" t="str">
        <f aca="false">TEXT(ROW(), "0000")</f>
        <v>1146</v>
      </c>
      <c r="L1146" s="8"/>
    </row>
    <row r="1147" customFormat="false" ht="15.75" hidden="false" customHeight="true" outlineLevel="0" collapsed="false">
      <c r="A1147" s="20" t="n">
        <v>45749</v>
      </c>
      <c r="B1147" s="8" t="s">
        <v>29</v>
      </c>
      <c r="C1147" s="12" t="n">
        <v>353</v>
      </c>
      <c r="D1147" s="8" t="s">
        <v>45</v>
      </c>
      <c r="E1147" s="10" t="s">
        <v>231</v>
      </c>
      <c r="F1147" s="8" t="str">
        <f aca="false">TEXT(A1147,"MM-YYYY")</f>
        <v>04-2025</v>
      </c>
      <c r="G1147" s="8" t="s">
        <v>14</v>
      </c>
      <c r="H1147" s="8" t="s">
        <v>232</v>
      </c>
      <c r="I1147" s="7" t="n">
        <v>45758</v>
      </c>
      <c r="J1147" s="8" t="str">
        <f aca="false">VLOOKUP(B1147,Table3[#All],2,0)</f>
        <v>Inventory</v>
      </c>
      <c r="K1147" s="8" t="str">
        <f aca="false">TEXT(ROW(), "0000")</f>
        <v>1147</v>
      </c>
      <c r="L1147" s="8"/>
    </row>
    <row r="1148" customFormat="false" ht="15.75" hidden="false" customHeight="true" outlineLevel="0" collapsed="false">
      <c r="A1148" s="13" t="n">
        <v>45749</v>
      </c>
      <c r="B1148" s="8" t="s">
        <v>29</v>
      </c>
      <c r="C1148" s="12" t="n">
        <v>920</v>
      </c>
      <c r="D1148" s="8" t="s">
        <v>45</v>
      </c>
      <c r="E1148" s="10" t="s">
        <v>78</v>
      </c>
      <c r="F1148" s="8" t="str">
        <f aca="false">TEXT(A1148,"MM-YYYY")</f>
        <v>04-2025</v>
      </c>
      <c r="G1148" s="8" t="s">
        <v>14</v>
      </c>
      <c r="H1148" s="8" t="s">
        <v>232</v>
      </c>
      <c r="I1148" s="7" t="n">
        <v>45749</v>
      </c>
      <c r="J1148" s="8" t="str">
        <f aca="false">VLOOKUP(B1148,Table3[#All],2,0)</f>
        <v>Inventory</v>
      </c>
      <c r="K1148" s="8" t="str">
        <f aca="false">TEXT(ROW(), "0000")</f>
        <v>1148</v>
      </c>
      <c r="L1148" s="8"/>
    </row>
    <row r="1149" customFormat="false" ht="15.75" hidden="false" customHeight="true" outlineLevel="0" collapsed="false">
      <c r="A1149" s="20" t="n">
        <v>45749</v>
      </c>
      <c r="B1149" s="8" t="s">
        <v>47</v>
      </c>
      <c r="C1149" s="12" t="n">
        <v>1680</v>
      </c>
      <c r="D1149" s="8" t="s">
        <v>13</v>
      </c>
      <c r="E1149" s="10" t="s">
        <v>223</v>
      </c>
      <c r="F1149" s="8" t="str">
        <f aca="false">TEXT(A1149,"MM-YYYY")</f>
        <v>04-2025</v>
      </c>
      <c r="G1149" s="8" t="s">
        <v>14</v>
      </c>
      <c r="H1149" s="8" t="s">
        <v>13</v>
      </c>
      <c r="I1149" s="7" t="n">
        <v>45752</v>
      </c>
      <c r="J1149" s="8" t="str">
        <f aca="false">VLOOKUP(B1149,Table3[#All],2,0)</f>
        <v>Inventory</v>
      </c>
      <c r="K1149" s="8" t="str">
        <f aca="false">TEXT(ROW(), "0000")</f>
        <v>1149</v>
      </c>
      <c r="L1149" s="8"/>
    </row>
    <row r="1150" customFormat="false" ht="15.75" hidden="false" customHeight="true" outlineLevel="0" collapsed="false">
      <c r="A1150" s="13" t="n">
        <v>45749</v>
      </c>
      <c r="B1150" s="8" t="s">
        <v>34</v>
      </c>
      <c r="C1150" s="9" t="n">
        <v>130</v>
      </c>
      <c r="D1150" s="8" t="s">
        <v>45</v>
      </c>
      <c r="E1150" s="10"/>
      <c r="F1150" s="8" t="str">
        <f aca="false">TEXT(A1150,"MM-YYYY")</f>
        <v>04-2025</v>
      </c>
      <c r="G1150" s="8" t="s">
        <v>14</v>
      </c>
      <c r="H1150" s="8" t="s">
        <v>232</v>
      </c>
      <c r="I1150" s="7" t="n">
        <v>45749</v>
      </c>
      <c r="J1150" s="8" t="str">
        <f aca="false">VLOOKUP(B1150,Table3[#All],2,0)</f>
        <v>Staff Expenses</v>
      </c>
      <c r="K1150" s="8" t="str">
        <f aca="false">TEXT(ROW(), "0000")</f>
        <v>1150</v>
      </c>
      <c r="L1150" s="8"/>
    </row>
    <row r="1151" customFormat="false" ht="15.75" hidden="false" customHeight="true" outlineLevel="0" collapsed="false">
      <c r="A1151" s="20" t="n">
        <v>45749</v>
      </c>
      <c r="B1151" s="8" t="s">
        <v>43</v>
      </c>
      <c r="C1151" s="9" t="n">
        <v>280</v>
      </c>
      <c r="D1151" s="8" t="s">
        <v>45</v>
      </c>
      <c r="E1151" s="10"/>
      <c r="F1151" s="8" t="str">
        <f aca="false">TEXT(A1151,"MM-YYYY")</f>
        <v>04-2025</v>
      </c>
      <c r="G1151" s="8" t="s">
        <v>14</v>
      </c>
      <c r="H1151" s="8" t="s">
        <v>232</v>
      </c>
      <c r="I1151" s="7" t="n">
        <v>45749</v>
      </c>
      <c r="J1151" s="8" t="str">
        <f aca="false">VLOOKUP(B1151,Table3[#All],2,0)</f>
        <v>Maintance</v>
      </c>
      <c r="K1151" s="8" t="str">
        <f aca="false">TEXT(ROW(), "0000")</f>
        <v>1151</v>
      </c>
      <c r="L1151" s="8"/>
    </row>
    <row r="1152" customFormat="false" ht="15.75" hidden="false" customHeight="true" outlineLevel="0" collapsed="false">
      <c r="A1152" s="13" t="n">
        <v>45749</v>
      </c>
      <c r="B1152" s="8" t="s">
        <v>25</v>
      </c>
      <c r="C1152" s="9" t="n">
        <v>60</v>
      </c>
      <c r="D1152" s="8" t="s">
        <v>45</v>
      </c>
      <c r="E1152" s="10" t="s">
        <v>42</v>
      </c>
      <c r="F1152" s="8" t="str">
        <f aca="false">TEXT(A1152,"MM-YYYY")</f>
        <v>04-2025</v>
      </c>
      <c r="G1152" s="8" t="s">
        <v>14</v>
      </c>
      <c r="H1152" s="8" t="s">
        <v>232</v>
      </c>
      <c r="I1152" s="7" t="n">
        <v>45749</v>
      </c>
      <c r="J1152" s="8" t="str">
        <f aca="false">VLOOKUP(B1152,Table3[#All],2,0)</f>
        <v>Inventory</v>
      </c>
      <c r="K1152" s="8" t="str">
        <f aca="false">TEXT(ROW(), "0000")</f>
        <v>1152</v>
      </c>
      <c r="L1152" s="8"/>
    </row>
    <row r="1153" customFormat="false" ht="15.75" hidden="false" customHeight="true" outlineLevel="0" collapsed="false">
      <c r="A1153" s="20" t="n">
        <v>45749</v>
      </c>
      <c r="B1153" s="8" t="s">
        <v>16</v>
      </c>
      <c r="C1153" s="9" t="n">
        <v>2145</v>
      </c>
      <c r="D1153" s="8" t="s">
        <v>21</v>
      </c>
      <c r="E1153" s="10" t="s">
        <v>88</v>
      </c>
      <c r="F1153" s="8" t="str">
        <f aca="false">TEXT(A1153,"MM-YYYY")</f>
        <v>04-2025</v>
      </c>
      <c r="G1153" s="8"/>
      <c r="H1153" s="8"/>
      <c r="I1153" s="7"/>
      <c r="J1153" s="8" t="str">
        <f aca="false">VLOOKUP(B1153,Table3[#All],2,0)</f>
        <v>Sales</v>
      </c>
      <c r="K1153" s="8" t="str">
        <f aca="false">TEXT(ROW(), "0000")</f>
        <v>1153</v>
      </c>
      <c r="L1153" s="8"/>
    </row>
    <row r="1154" customFormat="false" ht="15.75" hidden="false" customHeight="true" outlineLevel="0" collapsed="false">
      <c r="A1154" s="13" t="n">
        <v>45749</v>
      </c>
      <c r="B1154" s="8" t="s">
        <v>16</v>
      </c>
      <c r="C1154" s="9" t="n">
        <v>320</v>
      </c>
      <c r="D1154" s="8" t="s">
        <v>33</v>
      </c>
      <c r="E1154" s="10" t="s">
        <v>88</v>
      </c>
      <c r="F1154" s="8" t="str">
        <f aca="false">TEXT(A1154,"MM-YYYY")</f>
        <v>04-2025</v>
      </c>
      <c r="G1154" s="8"/>
      <c r="H1154" s="8"/>
      <c r="I1154" s="7"/>
      <c r="J1154" s="8" t="str">
        <f aca="false">VLOOKUP(B1154,Table3[#All],2,0)</f>
        <v>Sales</v>
      </c>
      <c r="K1154" s="8" t="str">
        <f aca="false">TEXT(ROW(), "0000")</f>
        <v>1154</v>
      </c>
      <c r="L1154" s="8"/>
    </row>
    <row r="1155" customFormat="false" ht="15.75" hidden="false" customHeight="true" outlineLevel="0" collapsed="false">
      <c r="A1155" s="20" t="n">
        <v>45749</v>
      </c>
      <c r="B1155" s="8" t="s">
        <v>16</v>
      </c>
      <c r="C1155" s="9" t="n">
        <v>11687</v>
      </c>
      <c r="D1155" s="8" t="s">
        <v>17</v>
      </c>
      <c r="E1155" s="10" t="s">
        <v>88</v>
      </c>
      <c r="F1155" s="8" t="str">
        <f aca="false">TEXT(A1155,"MM-YYYY")</f>
        <v>04-2025</v>
      </c>
      <c r="G1155" s="8"/>
      <c r="H1155" s="8"/>
      <c r="I1155" s="7"/>
      <c r="J1155" s="8" t="str">
        <f aca="false">VLOOKUP(B1155,Table3[#All],2,0)</f>
        <v>Sales</v>
      </c>
      <c r="K1155" s="8" t="str">
        <f aca="false">TEXT(ROW(), "0000")</f>
        <v>1155</v>
      </c>
      <c r="L1155" s="8"/>
    </row>
    <row r="1156" customFormat="false" ht="15.75" hidden="false" customHeight="true" outlineLevel="0" collapsed="false">
      <c r="A1156" s="13" t="n">
        <v>45749</v>
      </c>
      <c r="B1156" s="8" t="s">
        <v>16</v>
      </c>
      <c r="C1156" s="9" t="n">
        <v>430</v>
      </c>
      <c r="D1156" s="8" t="s">
        <v>59</v>
      </c>
      <c r="E1156" s="10" t="s">
        <v>88</v>
      </c>
      <c r="F1156" s="8" t="str">
        <f aca="false">TEXT(A1156,"MM-YYYY")</f>
        <v>04-2025</v>
      </c>
      <c r="G1156" s="8"/>
      <c r="H1156" s="8"/>
      <c r="I1156" s="7"/>
      <c r="J1156" s="8" t="str">
        <f aca="false">VLOOKUP(B1156,Table3[#All],2,0)</f>
        <v>Sales</v>
      </c>
      <c r="K1156" s="8" t="str">
        <f aca="false">TEXT(ROW(), "0000")</f>
        <v>1156</v>
      </c>
      <c r="L1156" s="8"/>
    </row>
    <row r="1157" customFormat="false" ht="15.75" hidden="false" customHeight="true" outlineLevel="0" collapsed="false">
      <c r="A1157" s="20" t="n">
        <v>45749</v>
      </c>
      <c r="B1157" s="8" t="s">
        <v>16</v>
      </c>
      <c r="C1157" s="9" t="n">
        <v>2832</v>
      </c>
      <c r="D1157" s="8" t="s">
        <v>24</v>
      </c>
      <c r="E1157" s="10" t="s">
        <v>217</v>
      </c>
      <c r="F1157" s="8" t="str">
        <f aca="false">TEXT(A1157,"MM-YYYY")</f>
        <v>04-2025</v>
      </c>
      <c r="G1157" s="8"/>
      <c r="H1157" s="8"/>
      <c r="I1157" s="7"/>
      <c r="J1157" s="8" t="str">
        <f aca="false">VLOOKUP(B1157,Table3[#All],2,0)</f>
        <v>Sales</v>
      </c>
      <c r="K1157" s="8" t="str">
        <f aca="false">TEXT(ROW(), "0000")</f>
        <v>1157</v>
      </c>
      <c r="L1157" s="8"/>
    </row>
    <row r="1158" customFormat="false" ht="15.75" hidden="false" customHeight="true" outlineLevel="0" collapsed="false">
      <c r="A1158" s="13" t="n">
        <v>45749</v>
      </c>
      <c r="B1158" s="8" t="s">
        <v>32</v>
      </c>
      <c r="C1158" s="9" t="n">
        <v>315</v>
      </c>
      <c r="D1158" s="8" t="s">
        <v>21</v>
      </c>
      <c r="E1158" s="10" t="s">
        <v>38</v>
      </c>
      <c r="F1158" s="8" t="str">
        <f aca="false">TEXT(A1158,"MM-YYYY")</f>
        <v>04-2025</v>
      </c>
      <c r="G1158" s="8" t="s">
        <v>14</v>
      </c>
      <c r="H1158" s="8" t="s">
        <v>15</v>
      </c>
      <c r="I1158" s="7" t="n">
        <v>45749</v>
      </c>
      <c r="J1158" s="8" t="str">
        <f aca="false">VLOOKUP(B1158,Table3[#All],2,0)</f>
        <v>Grocery</v>
      </c>
      <c r="K1158" s="8" t="str">
        <f aca="false">TEXT(ROW(), "0000")</f>
        <v>1158</v>
      </c>
      <c r="L1158" s="8"/>
    </row>
    <row r="1159" customFormat="false" ht="15.75" hidden="false" customHeight="true" outlineLevel="0" collapsed="false">
      <c r="A1159" s="20" t="n">
        <v>45749</v>
      </c>
      <c r="B1159" s="8" t="s">
        <v>29</v>
      </c>
      <c r="C1159" s="9" t="n">
        <v>30</v>
      </c>
      <c r="D1159" s="8" t="s">
        <v>21</v>
      </c>
      <c r="E1159" s="10" t="s">
        <v>194</v>
      </c>
      <c r="F1159" s="8" t="str">
        <f aca="false">TEXT(A1159,"MM-YYYY")</f>
        <v>04-2025</v>
      </c>
      <c r="G1159" s="8" t="s">
        <v>14</v>
      </c>
      <c r="H1159" s="8" t="s">
        <v>15</v>
      </c>
      <c r="I1159" s="7" t="n">
        <v>45749</v>
      </c>
      <c r="J1159" s="8" t="str">
        <f aca="false">VLOOKUP(B1159,Table3[#All],2,0)</f>
        <v>Inventory</v>
      </c>
      <c r="K1159" s="8" t="str">
        <f aca="false">TEXT(ROW(), "0000")</f>
        <v>1159</v>
      </c>
      <c r="L1159" s="8"/>
    </row>
    <row r="1160" customFormat="false" ht="15.75" hidden="false" customHeight="true" outlineLevel="0" collapsed="false">
      <c r="A1160" s="20" t="n">
        <v>45749</v>
      </c>
      <c r="B1160" s="8" t="s">
        <v>25</v>
      </c>
      <c r="C1160" s="9" t="n">
        <v>270</v>
      </c>
      <c r="D1160" s="8" t="s">
        <v>13</v>
      </c>
      <c r="E1160" s="10" t="s">
        <v>26</v>
      </c>
      <c r="F1160" s="8" t="str">
        <f aca="false">TEXT(A1160,"MM-YYYY")</f>
        <v>04-2025</v>
      </c>
      <c r="G1160" s="8" t="s">
        <v>14</v>
      </c>
      <c r="H1160" s="8" t="s">
        <v>13</v>
      </c>
      <c r="I1160" s="7" t="n">
        <v>45766</v>
      </c>
      <c r="J1160" s="8" t="str">
        <f aca="false">VLOOKUP(B1160,Table3[#All],2,0)</f>
        <v>Inventory</v>
      </c>
      <c r="K1160" s="8" t="str">
        <f aca="false">TEXT(ROW(), "0000")</f>
        <v>1160</v>
      </c>
      <c r="L1160" s="8"/>
    </row>
    <row r="1161" customFormat="false" ht="15.75" hidden="false" customHeight="true" outlineLevel="0" collapsed="false">
      <c r="A1161" s="20" t="n">
        <v>45749</v>
      </c>
      <c r="B1161" s="8" t="s">
        <v>50</v>
      </c>
      <c r="C1161" s="9" t="n">
        <v>1770</v>
      </c>
      <c r="D1161" s="8" t="s">
        <v>13</v>
      </c>
      <c r="E1161" s="10" t="s">
        <v>263</v>
      </c>
      <c r="F1161" s="8" t="str">
        <f aca="false">TEXT(A1161,"MM-YYYY")</f>
        <v>04-2025</v>
      </c>
      <c r="G1161" s="8" t="s">
        <v>14</v>
      </c>
      <c r="H1161" s="8" t="s">
        <v>13</v>
      </c>
      <c r="I1161" s="7" t="n">
        <v>45759</v>
      </c>
      <c r="J1161" s="8" t="str">
        <f aca="false">VLOOKUP(B1161,Table3[#All],2,0)</f>
        <v>Fixed Maintance</v>
      </c>
      <c r="K1161" s="8" t="str">
        <f aca="false">TEXT(ROW(), "0000")</f>
        <v>1161</v>
      </c>
      <c r="L1161" s="8"/>
    </row>
    <row r="1162" customFormat="false" ht="15.75" hidden="false" customHeight="true" outlineLevel="0" collapsed="false">
      <c r="A1162" s="13" t="n">
        <v>45750</v>
      </c>
      <c r="B1162" s="8" t="s">
        <v>22</v>
      </c>
      <c r="C1162" s="9" t="n">
        <v>110</v>
      </c>
      <c r="D1162" s="8" t="s">
        <v>21</v>
      </c>
      <c r="E1162" s="10" t="s">
        <v>213</v>
      </c>
      <c r="F1162" s="8" t="str">
        <f aca="false">TEXT(A1162,"MM-YYYY")</f>
        <v>04-2025</v>
      </c>
      <c r="G1162" s="8" t="s">
        <v>14</v>
      </c>
      <c r="H1162" s="8" t="s">
        <v>15</v>
      </c>
      <c r="I1162" s="7" t="n">
        <v>45750</v>
      </c>
      <c r="J1162" s="8" t="str">
        <f aca="false">VLOOKUP(B1162,Table3[#All],2,0)</f>
        <v>Inventory</v>
      </c>
      <c r="K1162" s="8"/>
      <c r="L1162" s="8"/>
    </row>
    <row r="1163" customFormat="false" ht="15.75" hidden="false" customHeight="true" outlineLevel="0" collapsed="false">
      <c r="A1163" s="13" t="n">
        <v>45750</v>
      </c>
      <c r="B1163" s="8" t="s">
        <v>50</v>
      </c>
      <c r="C1163" s="9" t="n">
        <v>1770</v>
      </c>
      <c r="D1163" s="8" t="s">
        <v>13</v>
      </c>
      <c r="E1163" s="10" t="s">
        <v>263</v>
      </c>
      <c r="F1163" s="8" t="str">
        <f aca="false">TEXT(A1163,"MM-YYYY")</f>
        <v>04-2025</v>
      </c>
      <c r="G1163" s="8" t="s">
        <v>14</v>
      </c>
      <c r="H1163" s="8" t="s">
        <v>13</v>
      </c>
      <c r="I1163" s="7" t="n">
        <v>45759</v>
      </c>
      <c r="J1163" s="8" t="str">
        <f aca="false">VLOOKUP(B1163,Table3[#All],2,0)</f>
        <v>Fixed Maintance</v>
      </c>
      <c r="K1163" s="8" t="str">
        <f aca="false">TEXT(ROW(), "0000")</f>
        <v>1163</v>
      </c>
      <c r="L1163" s="8"/>
    </row>
    <row r="1164" customFormat="false" ht="15.75" hidden="false" customHeight="true" outlineLevel="0" collapsed="false">
      <c r="A1164" s="13" t="n">
        <v>45750</v>
      </c>
      <c r="B1164" s="8" t="s">
        <v>25</v>
      </c>
      <c r="C1164" s="9" t="n">
        <v>696</v>
      </c>
      <c r="D1164" s="8" t="s">
        <v>13</v>
      </c>
      <c r="E1164" s="10" t="s">
        <v>26</v>
      </c>
      <c r="F1164" s="8" t="str">
        <f aca="false">TEXT(A1164,"MM-YYYY")</f>
        <v>04-2025</v>
      </c>
      <c r="G1164" s="8" t="s">
        <v>14</v>
      </c>
      <c r="H1164" s="8" t="s">
        <v>13</v>
      </c>
      <c r="I1164" s="7" t="n">
        <v>45766</v>
      </c>
      <c r="J1164" s="8" t="str">
        <f aca="false">VLOOKUP(B1164,Table3[#All],2,0)</f>
        <v>Inventory</v>
      </c>
      <c r="K1164" s="8" t="str">
        <f aca="false">TEXT(ROW(), "0000")</f>
        <v>1164</v>
      </c>
      <c r="L1164" s="8"/>
    </row>
    <row r="1165" customFormat="false" ht="15.75" hidden="false" customHeight="true" outlineLevel="0" collapsed="false">
      <c r="A1165" s="13" t="n">
        <v>45750</v>
      </c>
      <c r="B1165" s="8" t="s">
        <v>29</v>
      </c>
      <c r="C1165" s="9" t="n">
        <v>496</v>
      </c>
      <c r="D1165" s="8" t="s">
        <v>45</v>
      </c>
      <c r="E1165" s="10" t="s">
        <v>231</v>
      </c>
      <c r="F1165" s="8" t="str">
        <f aca="false">TEXT(A1165,"MM-YYYY")</f>
        <v>04-2025</v>
      </c>
      <c r="G1165" s="8" t="s">
        <v>14</v>
      </c>
      <c r="H1165" s="8" t="s">
        <v>232</v>
      </c>
      <c r="I1165" s="7" t="n">
        <v>45758</v>
      </c>
      <c r="J1165" s="8" t="str">
        <f aca="false">VLOOKUP(B1165,Table3[#All],2,0)</f>
        <v>Inventory</v>
      </c>
      <c r="K1165" s="8" t="str">
        <f aca="false">TEXT(ROW(), "0000")</f>
        <v>1165</v>
      </c>
      <c r="L1165" s="8"/>
    </row>
    <row r="1166" customFormat="false" ht="15.75" hidden="false" customHeight="true" outlineLevel="0" collapsed="false">
      <c r="A1166" s="13" t="n">
        <v>45750</v>
      </c>
      <c r="B1166" s="8" t="s">
        <v>19</v>
      </c>
      <c r="C1166" s="9" t="n">
        <v>3103</v>
      </c>
      <c r="D1166" s="8" t="s">
        <v>13</v>
      </c>
      <c r="E1166" s="10" t="s">
        <v>20</v>
      </c>
      <c r="F1166" s="8" t="str">
        <f aca="false">TEXT(A1166,"MM-YYYY")</f>
        <v>04-2025</v>
      </c>
      <c r="G1166" s="8" t="s">
        <v>14</v>
      </c>
      <c r="H1166" s="8" t="s">
        <v>13</v>
      </c>
      <c r="I1166" s="7" t="n">
        <v>45754</v>
      </c>
      <c r="J1166" s="8" t="str">
        <f aca="false">VLOOKUP(B1166,Table3[#All],2,0)</f>
        <v>Inventory</v>
      </c>
      <c r="K1166" s="8" t="str">
        <f aca="false">TEXT(ROW(), "0000")</f>
        <v>1166</v>
      </c>
      <c r="L1166" s="8"/>
    </row>
    <row r="1167" customFormat="false" ht="15.75" hidden="false" customHeight="true" outlineLevel="0" collapsed="false">
      <c r="A1167" s="13" t="n">
        <v>45750</v>
      </c>
      <c r="B1167" s="8" t="s">
        <v>22</v>
      </c>
      <c r="C1167" s="9" t="n">
        <v>2523</v>
      </c>
      <c r="D1167" s="8" t="s">
        <v>13</v>
      </c>
      <c r="E1167" s="10" t="s">
        <v>23</v>
      </c>
      <c r="F1167" s="8" t="str">
        <f aca="false">TEXT(A1167,"MM-YYYY")</f>
        <v>04-2025</v>
      </c>
      <c r="G1167" s="8" t="s">
        <v>14</v>
      </c>
      <c r="H1167" s="8" t="s">
        <v>13</v>
      </c>
      <c r="I1167" s="7" t="n">
        <v>45756</v>
      </c>
      <c r="J1167" s="8" t="str">
        <f aca="false">VLOOKUP(B1167,Table3[#All],2,0)</f>
        <v>Inventory</v>
      </c>
      <c r="K1167" s="8" t="str">
        <f aca="false">TEXT(ROW(), "0000")</f>
        <v>1167</v>
      </c>
      <c r="L1167" s="8"/>
    </row>
    <row r="1168" customFormat="false" ht="15.75" hidden="false" customHeight="true" outlineLevel="0" collapsed="false">
      <c r="A1168" s="13" t="n">
        <v>45750</v>
      </c>
      <c r="B1168" s="8" t="s">
        <v>32</v>
      </c>
      <c r="C1168" s="9" t="n">
        <v>70</v>
      </c>
      <c r="D1168" s="8" t="s">
        <v>45</v>
      </c>
      <c r="E1168" s="10" t="s">
        <v>264</v>
      </c>
      <c r="F1168" s="8" t="str">
        <f aca="false">TEXT(A1168,"MM-YYYY")</f>
        <v>04-2025</v>
      </c>
      <c r="G1168" s="8" t="s">
        <v>14</v>
      </c>
      <c r="H1168" s="8" t="s">
        <v>232</v>
      </c>
      <c r="I1168" s="7" t="n">
        <v>45750</v>
      </c>
      <c r="J1168" s="8" t="str">
        <f aca="false">VLOOKUP(B1168,Table3[#All],2,0)</f>
        <v>Grocery</v>
      </c>
      <c r="K1168" s="8"/>
      <c r="L1168" s="8"/>
    </row>
    <row r="1169" customFormat="false" ht="15.75" hidden="false" customHeight="true" outlineLevel="0" collapsed="false">
      <c r="A1169" s="13" t="n">
        <v>45750</v>
      </c>
      <c r="B1169" s="8" t="s">
        <v>53</v>
      </c>
      <c r="C1169" s="9" t="n">
        <v>1200</v>
      </c>
      <c r="D1169" s="8" t="s">
        <v>21</v>
      </c>
      <c r="E1169" s="10" t="s">
        <v>55</v>
      </c>
      <c r="F1169" s="8" t="str">
        <f aca="false">TEXT(A1169,"MM-YYYY")</f>
        <v>04-2025</v>
      </c>
      <c r="G1169" s="8" t="s">
        <v>14</v>
      </c>
      <c r="H1169" s="8" t="s">
        <v>15</v>
      </c>
      <c r="I1169" s="7" t="n">
        <v>45750</v>
      </c>
      <c r="J1169" s="8" t="str">
        <f aca="false">VLOOKUP(B1169,Table3[#All],2,0)</f>
        <v>Grocery</v>
      </c>
      <c r="K1169" s="8"/>
      <c r="L1169" s="8"/>
    </row>
    <row r="1170" customFormat="false" ht="15.75" hidden="false" customHeight="true" outlineLevel="0" collapsed="false">
      <c r="A1170" s="13" t="n">
        <v>45750</v>
      </c>
      <c r="B1170" s="8" t="s">
        <v>32</v>
      </c>
      <c r="C1170" s="9" t="n">
        <v>175</v>
      </c>
      <c r="D1170" s="8" t="s">
        <v>21</v>
      </c>
      <c r="E1170" s="10" t="s">
        <v>38</v>
      </c>
      <c r="F1170" s="8" t="str">
        <f aca="false">TEXT(A1170,"MM-YYYY")</f>
        <v>04-2025</v>
      </c>
      <c r="G1170" s="8" t="s">
        <v>14</v>
      </c>
      <c r="H1170" s="8" t="s">
        <v>15</v>
      </c>
      <c r="I1170" s="7" t="n">
        <v>45750</v>
      </c>
      <c r="J1170" s="8" t="str">
        <f aca="false">VLOOKUP(B1170,Table3[#All],2,0)</f>
        <v>Grocery</v>
      </c>
      <c r="K1170" s="8"/>
      <c r="L1170" s="8"/>
    </row>
    <row r="1171" customFormat="false" ht="15.75" hidden="false" customHeight="true" outlineLevel="0" collapsed="false">
      <c r="A1171" s="13" t="n">
        <v>45750</v>
      </c>
      <c r="B1171" s="8" t="s">
        <v>37</v>
      </c>
      <c r="C1171" s="9" t="n">
        <v>15</v>
      </c>
      <c r="D1171" s="8" t="s">
        <v>21</v>
      </c>
      <c r="E1171" s="10" t="s">
        <v>37</v>
      </c>
      <c r="F1171" s="8" t="str">
        <f aca="false">TEXT(A1171,"MM-YYYY")</f>
        <v>04-2025</v>
      </c>
      <c r="G1171" s="8" t="s">
        <v>14</v>
      </c>
      <c r="H1171" s="8" t="s">
        <v>15</v>
      </c>
      <c r="I1171" s="7" t="n">
        <v>45750</v>
      </c>
      <c r="J1171" s="8" t="str">
        <f aca="false">VLOOKUP(B1171,Table3[#All],2,0)</f>
        <v>Maintance</v>
      </c>
      <c r="K1171" s="8"/>
      <c r="L1171" s="8"/>
    </row>
    <row r="1172" customFormat="false" ht="15.75" hidden="false" customHeight="true" outlineLevel="0" collapsed="false">
      <c r="A1172" s="13" t="n">
        <v>45750</v>
      </c>
      <c r="B1172" s="8" t="s">
        <v>69</v>
      </c>
      <c r="C1172" s="9" t="n">
        <v>1500</v>
      </c>
      <c r="D1172" s="8" t="s">
        <v>13</v>
      </c>
      <c r="E1172" s="10"/>
      <c r="F1172" s="8" t="str">
        <f aca="false">TEXT(A1172,"MM-YYYY")</f>
        <v>04-2025</v>
      </c>
      <c r="G1172" s="8" t="s">
        <v>14</v>
      </c>
      <c r="H1172" s="8" t="s">
        <v>262</v>
      </c>
      <c r="I1172" s="7" t="n">
        <v>45750</v>
      </c>
      <c r="J1172" s="8" t="str">
        <f aca="false">VLOOKUP(B1172,Table3[#All],2,0)</f>
        <v>Fixed Maintance</v>
      </c>
      <c r="K1172" s="8"/>
      <c r="L1172" s="8"/>
    </row>
    <row r="1173" customFormat="false" ht="15.75" hidden="false" customHeight="true" outlineLevel="0" collapsed="false">
      <c r="A1173" s="13" t="n">
        <v>45750</v>
      </c>
      <c r="B1173" s="8" t="s">
        <v>34</v>
      </c>
      <c r="C1173" s="9" t="n">
        <v>130</v>
      </c>
      <c r="D1173" s="8" t="s">
        <v>45</v>
      </c>
      <c r="E1173" s="10"/>
      <c r="F1173" s="8" t="str">
        <f aca="false">TEXT(A1173,"MM-YYYY")</f>
        <v>04-2025</v>
      </c>
      <c r="G1173" s="8" t="s">
        <v>14</v>
      </c>
      <c r="H1173" s="8" t="s">
        <v>232</v>
      </c>
      <c r="I1173" s="7" t="n">
        <v>45750</v>
      </c>
      <c r="J1173" s="8" t="str">
        <f aca="false">VLOOKUP(B1173,Table3[#All],2,0)</f>
        <v>Staff Expenses</v>
      </c>
      <c r="K1173" s="8"/>
      <c r="L1173" s="8"/>
    </row>
    <row r="1174" customFormat="false" ht="15.75" hidden="false" customHeight="true" outlineLevel="0" collapsed="false">
      <c r="A1174" s="13" t="n">
        <v>45750</v>
      </c>
      <c r="B1174" s="8" t="s">
        <v>16</v>
      </c>
      <c r="C1174" s="9" t="n">
        <v>2320</v>
      </c>
      <c r="D1174" s="8" t="s">
        <v>21</v>
      </c>
      <c r="E1174" s="10" t="s">
        <v>88</v>
      </c>
      <c r="F1174" s="8" t="str">
        <f aca="false">TEXT(A1174,"MM-YYYY")</f>
        <v>04-2025</v>
      </c>
      <c r="G1174" s="8"/>
      <c r="H1174" s="8"/>
      <c r="I1174" s="7"/>
      <c r="J1174" s="8" t="str">
        <f aca="false">VLOOKUP(B1174,Table3[#All],2,0)</f>
        <v>Sales</v>
      </c>
      <c r="K1174" s="8" t="str">
        <f aca="false">TEXT(ROW(), "0000")</f>
        <v>1174</v>
      </c>
      <c r="L1174" s="8"/>
    </row>
    <row r="1175" customFormat="false" ht="15.75" hidden="false" customHeight="true" outlineLevel="0" collapsed="false">
      <c r="A1175" s="13" t="n">
        <v>45750</v>
      </c>
      <c r="B1175" s="8" t="s">
        <v>16</v>
      </c>
      <c r="C1175" s="9" t="n">
        <v>2220</v>
      </c>
      <c r="D1175" s="8" t="s">
        <v>33</v>
      </c>
      <c r="E1175" s="10" t="s">
        <v>88</v>
      </c>
      <c r="F1175" s="8" t="str">
        <f aca="false">TEXT(A1175,"MM-YYYY")</f>
        <v>04-2025</v>
      </c>
      <c r="G1175" s="8"/>
      <c r="H1175" s="8"/>
      <c r="I1175" s="7"/>
      <c r="J1175" s="8" t="str">
        <f aca="false">VLOOKUP(B1175,Table3[#All],2,0)</f>
        <v>Sales</v>
      </c>
      <c r="K1175" s="8" t="str">
        <f aca="false">TEXT(ROW(), "0000")</f>
        <v>1175</v>
      </c>
      <c r="L1175" s="8"/>
    </row>
    <row r="1176" customFormat="false" ht="15.75" hidden="false" customHeight="true" outlineLevel="0" collapsed="false">
      <c r="A1176" s="13" t="n">
        <v>45750</v>
      </c>
      <c r="B1176" s="8" t="s">
        <v>16</v>
      </c>
      <c r="C1176" s="9" t="n">
        <v>10313</v>
      </c>
      <c r="D1176" s="8" t="s">
        <v>17</v>
      </c>
      <c r="E1176" s="10" t="s">
        <v>88</v>
      </c>
      <c r="F1176" s="8" t="str">
        <f aca="false">TEXT(A1176,"MM-YYYY")</f>
        <v>04-2025</v>
      </c>
      <c r="G1176" s="8"/>
      <c r="H1176" s="8"/>
      <c r="I1176" s="7"/>
      <c r="J1176" s="8" t="str">
        <f aca="false">VLOOKUP(B1176,Table3[#All],2,0)</f>
        <v>Sales</v>
      </c>
      <c r="K1176" s="8" t="str">
        <f aca="false">TEXT(ROW(), "0000")</f>
        <v>1176</v>
      </c>
      <c r="L1176" s="8"/>
    </row>
    <row r="1177" customFormat="false" ht="15.75" hidden="false" customHeight="true" outlineLevel="0" collapsed="false">
      <c r="A1177" s="13" t="n">
        <v>45750</v>
      </c>
      <c r="B1177" s="8" t="s">
        <v>16</v>
      </c>
      <c r="C1177" s="9" t="n">
        <v>2869</v>
      </c>
      <c r="D1177" s="8" t="s">
        <v>24</v>
      </c>
      <c r="E1177" s="10" t="s">
        <v>217</v>
      </c>
      <c r="F1177" s="8" t="str">
        <f aca="false">TEXT(A1177,"MM-YYYY")</f>
        <v>04-2025</v>
      </c>
      <c r="G1177" s="8"/>
      <c r="H1177" s="8"/>
      <c r="I1177" s="7"/>
      <c r="J1177" s="8" t="str">
        <f aca="false">VLOOKUP(B1177,Table3[#All],2,0)</f>
        <v>Sales</v>
      </c>
      <c r="K1177" s="8" t="str">
        <f aca="false">TEXT(ROW(), "0000")</f>
        <v>1177</v>
      </c>
      <c r="L1177" s="8"/>
    </row>
    <row r="1178" customFormat="false" ht="15.75" hidden="false" customHeight="true" outlineLevel="0" collapsed="false">
      <c r="A1178" s="13" t="n">
        <v>45750</v>
      </c>
      <c r="B1178" s="8" t="s">
        <v>25</v>
      </c>
      <c r="C1178" s="9" t="n">
        <v>220</v>
      </c>
      <c r="D1178" s="8" t="s">
        <v>45</v>
      </c>
      <c r="E1178" s="10" t="s">
        <v>265</v>
      </c>
      <c r="F1178" s="8" t="str">
        <f aca="false">TEXT(A1178,"MM-YYYY")</f>
        <v>04-2025</v>
      </c>
      <c r="G1178" s="8" t="s">
        <v>14</v>
      </c>
      <c r="H1178" s="8" t="s">
        <v>232</v>
      </c>
      <c r="I1178" s="7" t="n">
        <v>45750</v>
      </c>
      <c r="J1178" s="8" t="str">
        <f aca="false">VLOOKUP(B1178,Table3[#All],2,0)</f>
        <v>Inventory</v>
      </c>
      <c r="K1178" s="8"/>
      <c r="L1178" s="8"/>
    </row>
    <row r="1179" customFormat="false" ht="15.75" hidden="false" customHeight="true" outlineLevel="0" collapsed="false">
      <c r="A1179" s="13" t="n">
        <v>45751</v>
      </c>
      <c r="B1179" s="8" t="s">
        <v>29</v>
      </c>
      <c r="C1179" s="9" t="n">
        <v>361</v>
      </c>
      <c r="D1179" s="8" t="s">
        <v>13</v>
      </c>
      <c r="E1179" s="10" t="s">
        <v>30</v>
      </c>
      <c r="F1179" s="8" t="str">
        <f aca="false">TEXT(A1179,"MM-YYYY")</f>
        <v>04-2025</v>
      </c>
      <c r="G1179" s="8" t="s">
        <v>14</v>
      </c>
      <c r="H1179" s="8" t="s">
        <v>262</v>
      </c>
      <c r="I1179" s="7" t="n">
        <v>45780</v>
      </c>
      <c r="J1179" s="8" t="str">
        <f aca="false">VLOOKUP(B1179,Table3[#All],2,0)</f>
        <v>Inventory</v>
      </c>
      <c r="K1179" s="8" t="str">
        <f aca="false">TEXT(ROW(), "0000")</f>
        <v>1179</v>
      </c>
      <c r="L1179" s="8"/>
    </row>
    <row r="1180" customFormat="false" ht="15.75" hidden="false" customHeight="true" outlineLevel="0" collapsed="false">
      <c r="A1180" s="13" t="n">
        <v>45751</v>
      </c>
      <c r="B1180" s="8" t="s">
        <v>19</v>
      </c>
      <c r="C1180" s="9" t="n">
        <v>4305</v>
      </c>
      <c r="D1180" s="8" t="s">
        <v>13</v>
      </c>
      <c r="E1180" s="10" t="s">
        <v>20</v>
      </c>
      <c r="F1180" s="8" t="str">
        <f aca="false">TEXT(A1180,"MM-YYYY")</f>
        <v>04-2025</v>
      </c>
      <c r="G1180" s="8" t="s">
        <v>14</v>
      </c>
      <c r="H1180" s="8" t="s">
        <v>13</v>
      </c>
      <c r="I1180" s="7" t="n">
        <v>45756</v>
      </c>
      <c r="J1180" s="8" t="str">
        <f aca="false">VLOOKUP(B1180,Table3[#All],2,0)</f>
        <v>Inventory</v>
      </c>
      <c r="K1180" s="8" t="str">
        <f aca="false">TEXT(ROW(), "0000")</f>
        <v>1180</v>
      </c>
      <c r="L1180" s="8"/>
    </row>
    <row r="1181" customFormat="false" ht="15.75" hidden="false" customHeight="true" outlineLevel="0" collapsed="false">
      <c r="A1181" s="13" t="n">
        <v>45751</v>
      </c>
      <c r="B1181" s="8" t="s">
        <v>22</v>
      </c>
      <c r="C1181" s="9" t="n">
        <v>646</v>
      </c>
      <c r="D1181" s="8" t="s">
        <v>13</v>
      </c>
      <c r="E1181" s="10" t="s">
        <v>23</v>
      </c>
      <c r="F1181" s="8" t="str">
        <f aca="false">TEXT(A1181,"MM-YYYY")</f>
        <v>04-2025</v>
      </c>
      <c r="G1181" s="8" t="s">
        <v>14</v>
      </c>
      <c r="H1181" s="8" t="s">
        <v>13</v>
      </c>
      <c r="I1181" s="7" t="n">
        <v>45756</v>
      </c>
      <c r="J1181" s="8" t="str">
        <f aca="false">VLOOKUP(B1181,Table3[#All],2,0)</f>
        <v>Inventory</v>
      </c>
      <c r="K1181" s="8" t="str">
        <f aca="false">TEXT(ROW(), "0000")</f>
        <v>1181</v>
      </c>
      <c r="L1181" s="8"/>
    </row>
    <row r="1182" customFormat="false" ht="15.75" hidden="false" customHeight="true" outlineLevel="0" collapsed="false">
      <c r="A1182" s="13" t="n">
        <v>45751</v>
      </c>
      <c r="B1182" s="8" t="s">
        <v>40</v>
      </c>
      <c r="C1182" s="9" t="n">
        <v>1480</v>
      </c>
      <c r="D1182" s="8" t="s">
        <v>13</v>
      </c>
      <c r="E1182" s="10" t="s">
        <v>46</v>
      </c>
      <c r="F1182" s="8" t="str">
        <f aca="false">TEXT(A1182,"MM-YYYY")</f>
        <v>04-2025</v>
      </c>
      <c r="G1182" s="8" t="s">
        <v>14</v>
      </c>
      <c r="H1182" s="8" t="s">
        <v>262</v>
      </c>
      <c r="I1182" s="7" t="n">
        <v>45751</v>
      </c>
      <c r="J1182" s="8" t="str">
        <f aca="false">VLOOKUP(B1182,Table3[#All],2,0)</f>
        <v>Inventory</v>
      </c>
      <c r="K1182" s="8" t="str">
        <f aca="false">TEXT(ROW(), "0000")</f>
        <v>1182</v>
      </c>
      <c r="L1182" s="8"/>
    </row>
    <row r="1183" customFormat="false" ht="15.75" hidden="false" customHeight="true" outlineLevel="0" collapsed="false">
      <c r="A1183" s="13" t="n">
        <v>45751</v>
      </c>
      <c r="B1183" s="8" t="s">
        <v>25</v>
      </c>
      <c r="C1183" s="9" t="n">
        <v>645</v>
      </c>
      <c r="D1183" s="8" t="s">
        <v>13</v>
      </c>
      <c r="E1183" s="10" t="s">
        <v>26</v>
      </c>
      <c r="F1183" s="8" t="str">
        <f aca="false">TEXT(A1183,"MM-YYYY")</f>
        <v>04-2025</v>
      </c>
      <c r="G1183" s="8" t="s">
        <v>14</v>
      </c>
      <c r="H1183" s="8" t="s">
        <v>13</v>
      </c>
      <c r="I1183" s="7" t="n">
        <v>45766</v>
      </c>
      <c r="J1183" s="8" t="str">
        <f aca="false">VLOOKUP(B1183,Table3[#All],2,0)</f>
        <v>Inventory</v>
      </c>
      <c r="K1183" s="8" t="str">
        <f aca="false">TEXT(ROW(), "0000")</f>
        <v>1183</v>
      </c>
      <c r="L1183" s="8"/>
    </row>
    <row r="1184" customFormat="false" ht="15.75" hidden="false" customHeight="true" outlineLevel="0" collapsed="false">
      <c r="A1184" s="13" t="n">
        <v>45751</v>
      </c>
      <c r="B1184" s="8" t="s">
        <v>12</v>
      </c>
      <c r="C1184" s="9" t="n">
        <v>19710</v>
      </c>
      <c r="D1184" s="8" t="s">
        <v>13</v>
      </c>
      <c r="E1184" s="8" t="s">
        <v>12</v>
      </c>
      <c r="F1184" s="8" t="str">
        <f aca="false">TEXT(A1184,"MM-YYYY")</f>
        <v>04-2025</v>
      </c>
      <c r="G1184" s="8" t="s">
        <v>14</v>
      </c>
      <c r="H1184" s="8" t="s">
        <v>13</v>
      </c>
      <c r="I1184" s="7"/>
      <c r="J1184" s="8" t="str">
        <f aca="false">VLOOKUP(B1184,Table3[#All],2,0)</f>
        <v>Fixed Maintance</v>
      </c>
      <c r="K1184" s="8" t="str">
        <f aca="false">TEXT(ROW(), "0000")</f>
        <v>1184</v>
      </c>
      <c r="L1184" s="8"/>
    </row>
    <row r="1185" customFormat="false" ht="15.75" hidden="false" customHeight="true" outlineLevel="0" collapsed="false">
      <c r="A1185" s="13" t="n">
        <v>45751</v>
      </c>
      <c r="B1185" s="8" t="s">
        <v>36</v>
      </c>
      <c r="C1185" s="9" t="n">
        <v>60</v>
      </c>
      <c r="D1185" s="8" t="s">
        <v>21</v>
      </c>
      <c r="E1185" s="10" t="s">
        <v>266</v>
      </c>
      <c r="F1185" s="8" t="str">
        <f aca="false">TEXT(A1185,"MM-YYYY")</f>
        <v>04-2025</v>
      </c>
      <c r="G1185" s="8" t="s">
        <v>14</v>
      </c>
      <c r="H1185" s="8" t="s">
        <v>15</v>
      </c>
      <c r="I1185" s="7" t="n">
        <v>45751</v>
      </c>
      <c r="J1185" s="8" t="str">
        <f aca="false">VLOOKUP(B1185,Table3[#All],2,0)</f>
        <v>Maintance</v>
      </c>
      <c r="K1185" s="8" t="str">
        <f aca="false">TEXT(ROW(), "0000")</f>
        <v>1185</v>
      </c>
      <c r="L1185" s="8"/>
    </row>
    <row r="1186" customFormat="false" ht="15.75" hidden="false" customHeight="true" outlineLevel="0" collapsed="false">
      <c r="A1186" s="13" t="n">
        <v>45751</v>
      </c>
      <c r="B1186" s="8" t="s">
        <v>227</v>
      </c>
      <c r="C1186" s="9" t="n">
        <v>1000</v>
      </c>
      <c r="D1186" s="8" t="s">
        <v>13</v>
      </c>
      <c r="E1186" s="8" t="s">
        <v>227</v>
      </c>
      <c r="F1186" s="8" t="str">
        <f aca="false">TEXT(A1186,"MM-YYYY")</f>
        <v>04-2025</v>
      </c>
      <c r="G1186" s="8" t="s">
        <v>14</v>
      </c>
      <c r="H1186" s="8" t="s">
        <v>262</v>
      </c>
      <c r="I1186" s="7" t="n">
        <v>45751</v>
      </c>
      <c r="J1186" s="8" t="str">
        <f aca="false">VLOOKUP(B1186,Table3[#All],2,0)</f>
        <v>Maintance</v>
      </c>
      <c r="K1186" s="8" t="str">
        <f aca="false">TEXT(ROW(), "0000")</f>
        <v>1186</v>
      </c>
      <c r="L1186" s="8"/>
    </row>
    <row r="1187" customFormat="false" ht="15.75" hidden="false" customHeight="true" outlineLevel="0" collapsed="false">
      <c r="A1187" s="13" t="n">
        <v>45751</v>
      </c>
      <c r="B1187" s="8" t="s">
        <v>16</v>
      </c>
      <c r="C1187" s="9" t="n">
        <v>2970</v>
      </c>
      <c r="D1187" s="8" t="s">
        <v>21</v>
      </c>
      <c r="E1187" s="10" t="s">
        <v>88</v>
      </c>
      <c r="F1187" s="8" t="str">
        <f aca="false">TEXT(A1187,"MM-YYYY")</f>
        <v>04-2025</v>
      </c>
      <c r="G1187" s="8"/>
      <c r="H1187" s="8"/>
      <c r="I1187" s="7"/>
      <c r="J1187" s="8" t="str">
        <f aca="false">VLOOKUP(B1187,Table3[#All],2,0)</f>
        <v>Sales</v>
      </c>
      <c r="K1187" s="8" t="str">
        <f aca="false">TEXT(ROW(), "0000")</f>
        <v>1187</v>
      </c>
      <c r="L1187" s="8"/>
    </row>
    <row r="1188" customFormat="false" ht="15.75" hidden="false" customHeight="true" outlineLevel="0" collapsed="false">
      <c r="A1188" s="13" t="n">
        <v>45751</v>
      </c>
      <c r="B1188" s="8" t="s">
        <v>16</v>
      </c>
      <c r="C1188" s="9" t="n">
        <v>790</v>
      </c>
      <c r="D1188" s="8" t="s">
        <v>27</v>
      </c>
      <c r="E1188" s="10" t="s">
        <v>88</v>
      </c>
      <c r="F1188" s="8" t="str">
        <f aca="false">TEXT(A1188,"MM-YYYY")</f>
        <v>04-2025</v>
      </c>
      <c r="G1188" s="8"/>
      <c r="H1188" s="8"/>
      <c r="I1188" s="7"/>
      <c r="J1188" s="8" t="str">
        <f aca="false">VLOOKUP(B1188,Table3[#All],2,0)</f>
        <v>Sales</v>
      </c>
      <c r="K1188" s="8" t="str">
        <f aca="false">TEXT(ROW(), "0000")</f>
        <v>1188</v>
      </c>
      <c r="L1188" s="8"/>
    </row>
    <row r="1189" customFormat="false" ht="15.75" hidden="false" customHeight="true" outlineLevel="0" collapsed="false">
      <c r="A1189" s="13" t="n">
        <v>45751</v>
      </c>
      <c r="B1189" s="8" t="s">
        <v>16</v>
      </c>
      <c r="C1189" s="9" t="n">
        <v>290</v>
      </c>
      <c r="D1189" s="8" t="s">
        <v>33</v>
      </c>
      <c r="E1189" s="10" t="s">
        <v>88</v>
      </c>
      <c r="F1189" s="8" t="str">
        <f aca="false">TEXT(A1189,"MM-YYYY")</f>
        <v>04-2025</v>
      </c>
      <c r="G1189" s="8"/>
      <c r="H1189" s="8"/>
      <c r="I1189" s="7"/>
      <c r="J1189" s="8" t="str">
        <f aca="false">VLOOKUP(B1189,Table3[#All],2,0)</f>
        <v>Sales</v>
      </c>
      <c r="K1189" s="8" t="str">
        <f aca="false">TEXT(ROW(), "0000")</f>
        <v>1189</v>
      </c>
      <c r="L1189" s="8"/>
    </row>
    <row r="1190" customFormat="false" ht="15.75" hidden="false" customHeight="true" outlineLevel="0" collapsed="false">
      <c r="A1190" s="13" t="n">
        <v>45751</v>
      </c>
      <c r="B1190" s="8" t="s">
        <v>16</v>
      </c>
      <c r="C1190" s="9" t="n">
        <v>17036</v>
      </c>
      <c r="D1190" s="8" t="s">
        <v>17</v>
      </c>
      <c r="E1190" s="10" t="s">
        <v>88</v>
      </c>
      <c r="F1190" s="8" t="str">
        <f aca="false">TEXT(A1190,"MM-YYYY")</f>
        <v>04-2025</v>
      </c>
      <c r="G1190" s="8"/>
      <c r="H1190" s="8"/>
      <c r="I1190" s="7"/>
      <c r="J1190" s="8" t="str">
        <f aca="false">VLOOKUP(B1190,Table3[#All],2,0)</f>
        <v>Sales</v>
      </c>
      <c r="K1190" s="8" t="str">
        <f aca="false">TEXT(ROW(), "0000")</f>
        <v>1190</v>
      </c>
      <c r="L1190" s="8"/>
    </row>
    <row r="1191" customFormat="false" ht="15.75" hidden="false" customHeight="true" outlineLevel="0" collapsed="false">
      <c r="A1191" s="13" t="n">
        <v>45751</v>
      </c>
      <c r="B1191" s="8" t="s">
        <v>16</v>
      </c>
      <c r="C1191" s="9" t="n">
        <v>360</v>
      </c>
      <c r="D1191" s="8" t="s">
        <v>59</v>
      </c>
      <c r="E1191" s="10" t="s">
        <v>88</v>
      </c>
      <c r="F1191" s="8" t="str">
        <f aca="false">TEXT(A1191,"MM-YYYY")</f>
        <v>04-2025</v>
      </c>
      <c r="G1191" s="8"/>
      <c r="H1191" s="8"/>
      <c r="I1191" s="7"/>
      <c r="J1191" s="8" t="str">
        <f aca="false">VLOOKUP(B1191,Table3[#All],2,0)</f>
        <v>Sales</v>
      </c>
      <c r="K1191" s="8" t="str">
        <f aca="false">TEXT(ROW(), "0000")</f>
        <v>1191</v>
      </c>
      <c r="L1191" s="8"/>
    </row>
    <row r="1192" customFormat="false" ht="15.75" hidden="false" customHeight="true" outlineLevel="0" collapsed="false">
      <c r="A1192" s="13" t="n">
        <v>45751</v>
      </c>
      <c r="B1192" s="8" t="s">
        <v>16</v>
      </c>
      <c r="C1192" s="9" t="n">
        <v>2785</v>
      </c>
      <c r="D1192" s="8" t="s">
        <v>24</v>
      </c>
      <c r="E1192" s="10" t="s">
        <v>217</v>
      </c>
      <c r="F1192" s="8" t="str">
        <f aca="false">TEXT(A1192,"MM-YYYY")</f>
        <v>04-2025</v>
      </c>
      <c r="G1192" s="8"/>
      <c r="H1192" s="8"/>
      <c r="I1192" s="7"/>
      <c r="J1192" s="8" t="str">
        <f aca="false">VLOOKUP(B1192,Table3[#All],2,0)</f>
        <v>Sales</v>
      </c>
      <c r="K1192" s="8" t="str">
        <f aca="false">TEXT(ROW(), "0000")</f>
        <v>1192</v>
      </c>
      <c r="L1192" s="8"/>
    </row>
    <row r="1193" customFormat="false" ht="15.75" hidden="false" customHeight="true" outlineLevel="0" collapsed="false">
      <c r="A1193" s="13" t="n">
        <v>45751</v>
      </c>
      <c r="B1193" s="8" t="s">
        <v>81</v>
      </c>
      <c r="C1193" s="9" t="n">
        <v>60</v>
      </c>
      <c r="D1193" s="8" t="s">
        <v>21</v>
      </c>
      <c r="E1193" s="10" t="s">
        <v>203</v>
      </c>
      <c r="F1193" s="8" t="str">
        <f aca="false">TEXT(A1193,"MM-YYYY")</f>
        <v>04-2025</v>
      </c>
      <c r="G1193" s="8" t="s">
        <v>14</v>
      </c>
      <c r="H1193" s="8" t="s">
        <v>15</v>
      </c>
      <c r="I1193" s="7" t="n">
        <v>45751</v>
      </c>
      <c r="J1193" s="8" t="str">
        <f aca="false">VLOOKUP(B1193,Table3[#All],2,0)</f>
        <v>Excess Amount Return</v>
      </c>
      <c r="K1193" s="8" t="str">
        <f aca="false">TEXT(ROW(), "0000")</f>
        <v>1193</v>
      </c>
      <c r="L1193" s="8"/>
    </row>
    <row r="1194" customFormat="false" ht="15.75" hidden="false" customHeight="true" outlineLevel="0" collapsed="false">
      <c r="A1194" s="13" t="n">
        <v>45751</v>
      </c>
      <c r="B1194" s="8" t="s">
        <v>34</v>
      </c>
      <c r="C1194" s="9" t="n">
        <v>100</v>
      </c>
      <c r="D1194" s="8" t="s">
        <v>45</v>
      </c>
      <c r="E1194" s="10" t="s">
        <v>267</v>
      </c>
      <c r="F1194" s="8" t="str">
        <f aca="false">TEXT(A1194,"MM-YYYY")</f>
        <v>04-2025</v>
      </c>
      <c r="G1194" s="8" t="s">
        <v>14</v>
      </c>
      <c r="H1194" s="8" t="s">
        <v>232</v>
      </c>
      <c r="I1194" s="7" t="n">
        <v>45751</v>
      </c>
      <c r="J1194" s="8" t="str">
        <f aca="false">VLOOKUP(B1194,Table3[#All],2,0)</f>
        <v>Staff Expenses</v>
      </c>
      <c r="K1194" s="8" t="str">
        <f aca="false">TEXT(ROW(), "0000")</f>
        <v>1194</v>
      </c>
      <c r="L1194" s="8"/>
    </row>
    <row r="1195" customFormat="false" ht="15.75" hidden="false" customHeight="true" outlineLevel="0" collapsed="false">
      <c r="A1195" s="13" t="n">
        <v>45751</v>
      </c>
      <c r="B1195" s="8" t="s">
        <v>50</v>
      </c>
      <c r="C1195" s="9" t="n">
        <v>1770</v>
      </c>
      <c r="D1195" s="8" t="s">
        <v>13</v>
      </c>
      <c r="E1195" s="10" t="s">
        <v>263</v>
      </c>
      <c r="F1195" s="8" t="str">
        <f aca="false">TEXT(A1195,"MM-YYYY")</f>
        <v>04-2025</v>
      </c>
      <c r="G1195" s="8" t="s">
        <v>14</v>
      </c>
      <c r="H1195" s="8" t="s">
        <v>13</v>
      </c>
      <c r="I1195" s="7" t="n">
        <v>45759</v>
      </c>
      <c r="J1195" s="8" t="str">
        <f aca="false">VLOOKUP(B1195,Table3[#All],2,0)</f>
        <v>Fixed Maintance</v>
      </c>
      <c r="K1195" s="8" t="str">
        <f aca="false">TEXT(ROW(), "0000")</f>
        <v>1195</v>
      </c>
      <c r="L1195" s="8"/>
    </row>
    <row r="1196" customFormat="false" ht="15.75" hidden="false" customHeight="true" outlineLevel="0" collapsed="false">
      <c r="A1196" s="13" t="n">
        <v>45751</v>
      </c>
      <c r="B1196" s="8" t="s">
        <v>37</v>
      </c>
      <c r="C1196" s="9" t="n">
        <v>30</v>
      </c>
      <c r="D1196" s="8" t="s">
        <v>21</v>
      </c>
      <c r="E1196" s="8" t="s">
        <v>37</v>
      </c>
      <c r="F1196" s="8" t="str">
        <f aca="false">TEXT(A1196,"MM-YYYY")</f>
        <v>04-2025</v>
      </c>
      <c r="G1196" s="8" t="s">
        <v>14</v>
      </c>
      <c r="H1196" s="8" t="s">
        <v>15</v>
      </c>
      <c r="I1196" s="7" t="n">
        <v>45751</v>
      </c>
      <c r="J1196" s="8" t="str">
        <f aca="false">VLOOKUP(B1196,Table3[#All],2,0)</f>
        <v>Maintance</v>
      </c>
      <c r="K1196" s="8" t="str">
        <f aca="false">TEXT(ROW(), "0000")</f>
        <v>1196</v>
      </c>
      <c r="L1196" s="8"/>
    </row>
    <row r="1197" customFormat="false" ht="15.75" hidden="false" customHeight="true" outlineLevel="0" collapsed="false">
      <c r="A1197" s="13" t="n">
        <v>45751</v>
      </c>
      <c r="B1197" s="8" t="s">
        <v>29</v>
      </c>
      <c r="C1197" s="9" t="n">
        <v>20</v>
      </c>
      <c r="D1197" s="8" t="s">
        <v>21</v>
      </c>
      <c r="E1197" s="10" t="s">
        <v>194</v>
      </c>
      <c r="F1197" s="8" t="str">
        <f aca="false">TEXT(A1197,"MM-YYYY")</f>
        <v>04-2025</v>
      </c>
      <c r="G1197" s="8" t="s">
        <v>14</v>
      </c>
      <c r="H1197" s="8" t="s">
        <v>15</v>
      </c>
      <c r="I1197" s="7" t="n">
        <v>45751</v>
      </c>
      <c r="J1197" s="8" t="str">
        <f aca="false">VLOOKUP(B1197,Table3[#All],2,0)</f>
        <v>Inventory</v>
      </c>
      <c r="K1197" s="8" t="str">
        <f aca="false">TEXT(ROW(), "0000")</f>
        <v>1197</v>
      </c>
      <c r="L1197" s="8"/>
    </row>
    <row r="1198" customFormat="false" ht="15.75" hidden="false" customHeight="true" outlineLevel="0" collapsed="false">
      <c r="A1198" s="7" t="n">
        <v>45751</v>
      </c>
      <c r="B1198" s="8" t="s">
        <v>44</v>
      </c>
      <c r="C1198" s="9" t="n">
        <v>10000</v>
      </c>
      <c r="D1198" s="8" t="s">
        <v>13</v>
      </c>
      <c r="E1198" s="10" t="s">
        <v>86</v>
      </c>
      <c r="F1198" s="8" t="str">
        <f aca="false">TEXT(A1198,"MM-YYYY")</f>
        <v>04-2025</v>
      </c>
      <c r="G1198" s="8" t="s">
        <v>14</v>
      </c>
      <c r="H1198" s="8" t="s">
        <v>13</v>
      </c>
      <c r="I1198" s="7" t="n">
        <v>45751</v>
      </c>
      <c r="J1198" s="8" t="str">
        <f aca="false">VLOOKUP(B1198, Table3[#All], 2, FALSE())</f>
        <v>Salary</v>
      </c>
      <c r="K1198" s="8" t="str">
        <f aca="false">TEXT(ROW(), "0000")</f>
        <v>1198</v>
      </c>
      <c r="L1198" s="8"/>
    </row>
    <row r="1199" customFormat="false" ht="15.75" hidden="false" customHeight="true" outlineLevel="0" collapsed="false">
      <c r="A1199" s="13" t="n">
        <v>45752</v>
      </c>
      <c r="B1199" s="8" t="s">
        <v>19</v>
      </c>
      <c r="C1199" s="9" t="n">
        <v>2775</v>
      </c>
      <c r="D1199" s="8" t="s">
        <v>13</v>
      </c>
      <c r="E1199" s="10" t="s">
        <v>20</v>
      </c>
      <c r="F1199" s="8" t="str">
        <f aca="false">TEXT(A1199,"MM-YYYY")</f>
        <v>04-2025</v>
      </c>
      <c r="G1199" s="8" t="s">
        <v>14</v>
      </c>
      <c r="H1199" s="8" t="s">
        <v>13</v>
      </c>
      <c r="I1199" s="7" t="n">
        <v>45756</v>
      </c>
      <c r="J1199" s="8" t="str">
        <f aca="false">VLOOKUP(B1199,Table3[#All],2,0)</f>
        <v>Inventory</v>
      </c>
      <c r="K1199" s="8" t="str">
        <f aca="false">TEXT(ROW(), "0000")</f>
        <v>1199</v>
      </c>
      <c r="L1199" s="8"/>
    </row>
    <row r="1200" customFormat="false" ht="15.75" hidden="false" customHeight="true" outlineLevel="0" collapsed="false">
      <c r="A1200" s="13" t="n">
        <v>45752</v>
      </c>
      <c r="B1200" s="8" t="s">
        <v>47</v>
      </c>
      <c r="C1200" s="9" t="n">
        <v>840</v>
      </c>
      <c r="D1200" s="8" t="s">
        <v>13</v>
      </c>
      <c r="E1200" s="10" t="s">
        <v>223</v>
      </c>
      <c r="F1200" s="8" t="str">
        <f aca="false">TEXT(A1200,"MM-YYYY")</f>
        <v>04-2025</v>
      </c>
      <c r="G1200" s="8" t="s">
        <v>14</v>
      </c>
      <c r="H1200" s="8" t="s">
        <v>13</v>
      </c>
      <c r="I1200" s="7" t="n">
        <v>45769</v>
      </c>
      <c r="J1200" s="8" t="str">
        <f aca="false">VLOOKUP(B1200,Table3[#All],2,0)</f>
        <v>Inventory</v>
      </c>
      <c r="K1200" s="8" t="str">
        <f aca="false">TEXT(ROW(), "0000")</f>
        <v>1200</v>
      </c>
      <c r="L1200" s="8"/>
    </row>
    <row r="1201" customFormat="false" ht="15.75" hidden="false" customHeight="true" outlineLevel="0" collapsed="false">
      <c r="A1201" s="13" t="n">
        <v>45752</v>
      </c>
      <c r="B1201" s="8" t="s">
        <v>25</v>
      </c>
      <c r="C1201" s="9" t="n">
        <v>1617</v>
      </c>
      <c r="D1201" s="8" t="s">
        <v>13</v>
      </c>
      <c r="E1201" s="10" t="s">
        <v>26</v>
      </c>
      <c r="F1201" s="8" t="str">
        <f aca="false">TEXT(A1201,"MM-YYYY")</f>
        <v>04-2025</v>
      </c>
      <c r="G1201" s="8" t="s">
        <v>14</v>
      </c>
      <c r="H1201" s="8" t="s">
        <v>13</v>
      </c>
      <c r="I1201" s="7" t="n">
        <v>45766</v>
      </c>
      <c r="J1201" s="8" t="str">
        <f aca="false">VLOOKUP(B1201,Table3[#All],2,0)</f>
        <v>Inventory</v>
      </c>
      <c r="K1201" s="8" t="str">
        <f aca="false">TEXT(ROW(), "0000")</f>
        <v>1201</v>
      </c>
      <c r="L1201" s="8"/>
    </row>
    <row r="1202" customFormat="false" ht="15.75" hidden="false" customHeight="true" outlineLevel="0" collapsed="false">
      <c r="A1202" s="13" t="n">
        <v>45752</v>
      </c>
      <c r="B1202" s="8" t="s">
        <v>32</v>
      </c>
      <c r="C1202" s="9" t="n">
        <v>350</v>
      </c>
      <c r="D1202" s="8" t="s">
        <v>21</v>
      </c>
      <c r="E1202" s="10" t="s">
        <v>38</v>
      </c>
      <c r="F1202" s="8" t="str">
        <f aca="false">TEXT(A1202,"MM-YYYY")</f>
        <v>04-2025</v>
      </c>
      <c r="G1202" s="8" t="s">
        <v>14</v>
      </c>
      <c r="H1202" s="8" t="s">
        <v>15</v>
      </c>
      <c r="I1202" s="7" t="n">
        <v>45752</v>
      </c>
      <c r="J1202" s="8" t="str">
        <f aca="false">VLOOKUP(B1202,Table3[#All],2,0)</f>
        <v>Grocery</v>
      </c>
      <c r="K1202" s="8" t="str">
        <f aca="false">TEXT(ROW(), "0000")</f>
        <v>1202</v>
      </c>
      <c r="L1202" s="8"/>
    </row>
    <row r="1203" customFormat="false" ht="15.75" hidden="false" customHeight="true" outlineLevel="0" collapsed="false">
      <c r="A1203" s="13" t="n">
        <v>45752</v>
      </c>
      <c r="B1203" s="8" t="s">
        <v>22</v>
      </c>
      <c r="C1203" s="9" t="n">
        <v>110</v>
      </c>
      <c r="D1203" s="8" t="s">
        <v>21</v>
      </c>
      <c r="E1203" s="10" t="s">
        <v>213</v>
      </c>
      <c r="F1203" s="8" t="str">
        <f aca="false">TEXT(A1203,"MM-YYYY")</f>
        <v>04-2025</v>
      </c>
      <c r="G1203" s="8" t="s">
        <v>14</v>
      </c>
      <c r="H1203" s="8" t="s">
        <v>15</v>
      </c>
      <c r="I1203" s="7" t="n">
        <v>45752</v>
      </c>
      <c r="J1203" s="8" t="str">
        <f aca="false">VLOOKUP(B1203,Table3[#All],2,0)</f>
        <v>Inventory</v>
      </c>
      <c r="K1203" s="8" t="str">
        <f aca="false">TEXT(ROW(), "0000")</f>
        <v>1203</v>
      </c>
      <c r="L1203" s="8"/>
    </row>
    <row r="1204" customFormat="false" ht="15.75" hidden="false" customHeight="true" outlineLevel="0" collapsed="false">
      <c r="A1204" s="13" t="n">
        <v>45752</v>
      </c>
      <c r="B1204" s="8" t="s">
        <v>22</v>
      </c>
      <c r="C1204" s="9" t="n">
        <v>2381</v>
      </c>
      <c r="D1204" s="8" t="s">
        <v>13</v>
      </c>
      <c r="E1204" s="10" t="s">
        <v>23</v>
      </c>
      <c r="F1204" s="8" t="str">
        <f aca="false">TEXT(A1204,"MM-YYYY")</f>
        <v>04-2025</v>
      </c>
      <c r="G1204" s="8" t="s">
        <v>14</v>
      </c>
      <c r="H1204" s="8" t="s">
        <v>13</v>
      </c>
      <c r="I1204" s="7" t="n">
        <v>45756</v>
      </c>
      <c r="J1204" s="8" t="str">
        <f aca="false">VLOOKUP(B1204,Table3[#All],2,0)</f>
        <v>Inventory</v>
      </c>
      <c r="K1204" s="8" t="str">
        <f aca="false">TEXT(ROW(), "0000")</f>
        <v>1204</v>
      </c>
      <c r="L1204" s="8"/>
    </row>
    <row r="1205" customFormat="false" ht="15.75" hidden="false" customHeight="true" outlineLevel="0" collapsed="false">
      <c r="A1205" s="13" t="n">
        <v>45752</v>
      </c>
      <c r="B1205" s="8" t="s">
        <v>25</v>
      </c>
      <c r="C1205" s="9" t="n">
        <v>900</v>
      </c>
      <c r="D1205" s="8" t="s">
        <v>21</v>
      </c>
      <c r="E1205" s="10" t="s">
        <v>268</v>
      </c>
      <c r="F1205" s="8" t="str">
        <f aca="false">TEXT(A1205,"MM-YYYY")</f>
        <v>04-2025</v>
      </c>
      <c r="G1205" s="8" t="s">
        <v>14</v>
      </c>
      <c r="H1205" s="8" t="s">
        <v>15</v>
      </c>
      <c r="I1205" s="7" t="n">
        <v>45752</v>
      </c>
      <c r="J1205" s="8" t="str">
        <f aca="false">VLOOKUP(B1205,Table3[#All],2,0)</f>
        <v>Inventory</v>
      </c>
      <c r="K1205" s="8" t="str">
        <f aca="false">TEXT(ROW(), "0000")</f>
        <v>1205</v>
      </c>
      <c r="L1205" s="8"/>
    </row>
    <row r="1206" customFormat="false" ht="15.75" hidden="false" customHeight="true" outlineLevel="0" collapsed="false">
      <c r="A1206" s="13" t="n">
        <v>45752</v>
      </c>
      <c r="B1206" s="8" t="s">
        <v>51</v>
      </c>
      <c r="C1206" s="9" t="n">
        <v>1185</v>
      </c>
      <c r="D1206" s="8" t="s">
        <v>13</v>
      </c>
      <c r="E1206" s="10" t="s">
        <v>226</v>
      </c>
      <c r="F1206" s="8" t="str">
        <f aca="false">TEXT(A1206,"MM-YYYY")</f>
        <v>04-2025</v>
      </c>
      <c r="G1206" s="8" t="s">
        <v>14</v>
      </c>
      <c r="H1206" s="8" t="s">
        <v>13</v>
      </c>
      <c r="I1206" s="7" t="n">
        <v>45771</v>
      </c>
      <c r="J1206" s="8" t="str">
        <f aca="false">VLOOKUP(B1206,Table3[#All],2,0)</f>
        <v>Inventory</v>
      </c>
      <c r="K1206" s="8" t="str">
        <f aca="false">TEXT(ROW(), "0000")</f>
        <v>1206</v>
      </c>
      <c r="L1206" s="8"/>
    </row>
    <row r="1207" customFormat="false" ht="15.75" hidden="false" customHeight="true" outlineLevel="0" collapsed="false">
      <c r="A1207" s="13" t="n">
        <v>45752</v>
      </c>
      <c r="B1207" s="8" t="s">
        <v>202</v>
      </c>
      <c r="C1207" s="9" t="n">
        <v>240</v>
      </c>
      <c r="D1207" s="8" t="s">
        <v>45</v>
      </c>
      <c r="E1207" s="10" t="s">
        <v>242</v>
      </c>
      <c r="F1207" s="8" t="str">
        <f aca="false">TEXT(A1207,"MM-YYYY")</f>
        <v>04-2025</v>
      </c>
      <c r="G1207" s="8" t="s">
        <v>14</v>
      </c>
      <c r="H1207" s="8" t="s">
        <v>232</v>
      </c>
      <c r="I1207" s="7" t="n">
        <v>45752</v>
      </c>
      <c r="J1207" s="8" t="str">
        <f aca="false">VLOOKUP(B1207,Table3[#All],2,0)</f>
        <v>Maintance</v>
      </c>
      <c r="K1207" s="8" t="str">
        <f aca="false">TEXT(ROW(), "0000")</f>
        <v>1207</v>
      </c>
      <c r="L1207" s="8"/>
    </row>
    <row r="1208" customFormat="false" ht="15.75" hidden="false" customHeight="true" outlineLevel="0" collapsed="false">
      <c r="A1208" s="13" t="n">
        <v>45752</v>
      </c>
      <c r="B1208" s="8" t="s">
        <v>29</v>
      </c>
      <c r="C1208" s="9" t="n">
        <v>254</v>
      </c>
      <c r="D1208" s="8" t="s">
        <v>13</v>
      </c>
      <c r="E1208" s="10" t="s">
        <v>30</v>
      </c>
      <c r="F1208" s="8" t="str">
        <f aca="false">TEXT(A1208,"MM-YYYY")</f>
        <v>04-2025</v>
      </c>
      <c r="G1208" s="8" t="s">
        <v>14</v>
      </c>
      <c r="H1208" s="8" t="s">
        <v>262</v>
      </c>
      <c r="I1208" s="7" t="n">
        <v>45780</v>
      </c>
      <c r="J1208" s="8" t="str">
        <f aca="false">VLOOKUP(B1208,Table3[#All],2,0)</f>
        <v>Inventory</v>
      </c>
      <c r="K1208" s="8" t="str">
        <f aca="false">TEXT(ROW(), "0000")</f>
        <v>1208</v>
      </c>
      <c r="L1208" s="8"/>
    </row>
    <row r="1209" customFormat="false" ht="15.75" hidden="false" customHeight="true" outlineLevel="0" collapsed="false">
      <c r="A1209" s="13" t="n">
        <v>45752</v>
      </c>
      <c r="B1209" s="8" t="s">
        <v>44</v>
      </c>
      <c r="C1209" s="9" t="n">
        <v>5000</v>
      </c>
      <c r="D1209" s="8" t="s">
        <v>45</v>
      </c>
      <c r="E1209" s="10" t="s">
        <v>85</v>
      </c>
      <c r="F1209" s="8" t="str">
        <f aca="false">TEXT(A1209,"MM-YYYY")</f>
        <v>04-2025</v>
      </c>
      <c r="G1209" s="8" t="s">
        <v>14</v>
      </c>
      <c r="H1209" s="8" t="s">
        <v>232</v>
      </c>
      <c r="I1209" s="7" t="n">
        <v>45752</v>
      </c>
      <c r="J1209" s="8" t="str">
        <f aca="false">VLOOKUP(B1209,Table3[#All],2,0)</f>
        <v>Salary</v>
      </c>
      <c r="K1209" s="8" t="str">
        <f aca="false">TEXT(ROW(), "0000")</f>
        <v>1209</v>
      </c>
      <c r="L1209" s="8"/>
    </row>
    <row r="1210" customFormat="false" ht="15.75" hidden="false" customHeight="true" outlineLevel="0" collapsed="false">
      <c r="A1210" s="13" t="n">
        <v>45752</v>
      </c>
      <c r="B1210" s="8" t="s">
        <v>16</v>
      </c>
      <c r="C1210" s="9" t="n">
        <v>3444</v>
      </c>
      <c r="D1210" s="8" t="s">
        <v>21</v>
      </c>
      <c r="E1210" s="10" t="s">
        <v>88</v>
      </c>
      <c r="F1210" s="8" t="str">
        <f aca="false">TEXT(A1210,"MM-YYYY")</f>
        <v>04-2025</v>
      </c>
      <c r="G1210" s="8"/>
      <c r="H1210" s="8"/>
      <c r="I1210" s="7"/>
      <c r="J1210" s="8" t="str">
        <f aca="false">VLOOKUP(B1210,Table3[#All],2,0)</f>
        <v>Sales</v>
      </c>
      <c r="K1210" s="8" t="str">
        <f aca="false">TEXT(ROW(), "0000")</f>
        <v>1210</v>
      </c>
      <c r="L1210" s="8"/>
    </row>
    <row r="1211" customFormat="false" ht="15.75" hidden="false" customHeight="true" outlineLevel="0" collapsed="false">
      <c r="A1211" s="13" t="n">
        <v>45752</v>
      </c>
      <c r="B1211" s="8" t="s">
        <v>16</v>
      </c>
      <c r="C1211" s="9" t="n">
        <v>1425</v>
      </c>
      <c r="D1211" s="8" t="s">
        <v>27</v>
      </c>
      <c r="E1211" s="10" t="s">
        <v>88</v>
      </c>
      <c r="F1211" s="8" t="str">
        <f aca="false">TEXT(A1211,"MM-YYYY")</f>
        <v>04-2025</v>
      </c>
      <c r="G1211" s="8"/>
      <c r="H1211" s="8"/>
      <c r="I1211" s="7"/>
      <c r="J1211" s="8" t="str">
        <f aca="false">VLOOKUP(B1211,Table3[#All],2,0)</f>
        <v>Sales</v>
      </c>
      <c r="K1211" s="8" t="str">
        <f aca="false">TEXT(ROW(), "0000")</f>
        <v>1211</v>
      </c>
      <c r="L1211" s="8"/>
    </row>
    <row r="1212" customFormat="false" ht="15.75" hidden="false" customHeight="true" outlineLevel="0" collapsed="false">
      <c r="A1212" s="13" t="n">
        <v>45752</v>
      </c>
      <c r="B1212" s="8" t="s">
        <v>16</v>
      </c>
      <c r="C1212" s="9" t="n">
        <v>18895</v>
      </c>
      <c r="D1212" s="8" t="s">
        <v>17</v>
      </c>
      <c r="E1212" s="10" t="s">
        <v>88</v>
      </c>
      <c r="F1212" s="8" t="str">
        <f aca="false">TEXT(A1212,"MM-YYYY")</f>
        <v>04-2025</v>
      </c>
      <c r="G1212" s="8"/>
      <c r="H1212" s="8"/>
      <c r="I1212" s="7"/>
      <c r="J1212" s="8" t="str">
        <f aca="false">VLOOKUP(B1212,Table3[#All],2,0)</f>
        <v>Sales</v>
      </c>
      <c r="K1212" s="8" t="str">
        <f aca="false">TEXT(ROW(), "0000")</f>
        <v>1212</v>
      </c>
      <c r="L1212" s="8"/>
    </row>
    <row r="1213" customFormat="false" ht="15.75" hidden="false" customHeight="true" outlineLevel="0" collapsed="false">
      <c r="A1213" s="13" t="n">
        <v>45752</v>
      </c>
      <c r="B1213" s="8" t="s">
        <v>16</v>
      </c>
      <c r="C1213" s="9" t="n">
        <v>3771</v>
      </c>
      <c r="D1213" s="8" t="s">
        <v>24</v>
      </c>
      <c r="E1213" s="10" t="s">
        <v>217</v>
      </c>
      <c r="F1213" s="8" t="str">
        <f aca="false">TEXT(A1213,"MM-YYYY")</f>
        <v>04-2025</v>
      </c>
      <c r="G1213" s="8"/>
      <c r="H1213" s="8"/>
      <c r="I1213" s="7"/>
      <c r="J1213" s="8" t="str">
        <f aca="false">VLOOKUP(B1213,Table3[#All],2,0)</f>
        <v>Sales</v>
      </c>
      <c r="K1213" s="8" t="str">
        <f aca="false">TEXT(ROW(), "0000")</f>
        <v>1213</v>
      </c>
      <c r="L1213" s="8"/>
    </row>
    <row r="1214" customFormat="false" ht="15.75" hidden="false" customHeight="true" outlineLevel="0" collapsed="false">
      <c r="A1214" s="13" t="n">
        <v>45752</v>
      </c>
      <c r="B1214" s="8" t="s">
        <v>16</v>
      </c>
      <c r="C1214" s="9" t="n">
        <v>480</v>
      </c>
      <c r="D1214" s="8" t="s">
        <v>33</v>
      </c>
      <c r="E1214" s="10" t="s">
        <v>88</v>
      </c>
      <c r="F1214" s="8" t="str">
        <f aca="false">TEXT(A1214,"MM-YYYY")</f>
        <v>04-2025</v>
      </c>
      <c r="G1214" s="8"/>
      <c r="H1214" s="8"/>
      <c r="I1214" s="7"/>
      <c r="J1214" s="8" t="str">
        <f aca="false">VLOOKUP(B1214,Table3[#All],2,0)</f>
        <v>Sales</v>
      </c>
      <c r="K1214" s="8" t="str">
        <f aca="false">TEXT(ROW(), "0000")</f>
        <v>1214</v>
      </c>
      <c r="L1214" s="8"/>
    </row>
    <row r="1215" customFormat="false" ht="15.75" hidden="false" customHeight="true" outlineLevel="0" collapsed="false">
      <c r="A1215" s="13" t="n">
        <v>45752</v>
      </c>
      <c r="B1215" s="8" t="s">
        <v>34</v>
      </c>
      <c r="C1215" s="9" t="n">
        <v>140</v>
      </c>
      <c r="D1215" s="8" t="s">
        <v>45</v>
      </c>
      <c r="E1215" s="10" t="s">
        <v>267</v>
      </c>
      <c r="F1215" s="8" t="str">
        <f aca="false">TEXT(A1215,"MM-YYYY")</f>
        <v>04-2025</v>
      </c>
      <c r="G1215" s="8" t="s">
        <v>14</v>
      </c>
      <c r="H1215" s="8" t="s">
        <v>232</v>
      </c>
      <c r="I1215" s="7" t="n">
        <v>45752</v>
      </c>
      <c r="J1215" s="8" t="str">
        <f aca="false">VLOOKUP(B1215,Table3[#All],2,0)</f>
        <v>Staff Expenses</v>
      </c>
      <c r="K1215" s="8" t="str">
        <f aca="false">TEXT(ROW(), "0000")</f>
        <v>1215</v>
      </c>
      <c r="L1215" s="8"/>
    </row>
    <row r="1216" customFormat="false" ht="15.75" hidden="false" customHeight="true" outlineLevel="0" collapsed="false">
      <c r="A1216" s="13" t="n">
        <v>45752</v>
      </c>
      <c r="B1216" s="8" t="s">
        <v>37</v>
      </c>
      <c r="C1216" s="9" t="n">
        <v>34</v>
      </c>
      <c r="D1216" s="8" t="s">
        <v>21</v>
      </c>
      <c r="E1216" s="8" t="s">
        <v>37</v>
      </c>
      <c r="F1216" s="8" t="str">
        <f aca="false">TEXT(A1216,"MM-YYYY")</f>
        <v>04-2025</v>
      </c>
      <c r="G1216" s="8" t="s">
        <v>14</v>
      </c>
      <c r="H1216" s="8" t="s">
        <v>15</v>
      </c>
      <c r="I1216" s="7" t="n">
        <v>45752</v>
      </c>
      <c r="J1216" s="8" t="str">
        <f aca="false">VLOOKUP(B1216,Table3[#All],2,0)</f>
        <v>Maintance</v>
      </c>
      <c r="K1216" s="8" t="str">
        <f aca="false">TEXT(ROW(), "0000")</f>
        <v>1216</v>
      </c>
      <c r="L1216" s="8"/>
    </row>
    <row r="1217" customFormat="false" ht="15.75" hidden="false" customHeight="true" outlineLevel="0" collapsed="false">
      <c r="A1217" s="13" t="n">
        <v>45752</v>
      </c>
      <c r="B1217" s="8" t="s">
        <v>67</v>
      </c>
      <c r="C1217" s="9" t="n">
        <v>2000</v>
      </c>
      <c r="D1217" s="8" t="s">
        <v>13</v>
      </c>
      <c r="E1217" s="8" t="s">
        <v>67</v>
      </c>
      <c r="F1217" s="8" t="str">
        <f aca="false">TEXT(A1217,"MM-YYYY")</f>
        <v>04-2025</v>
      </c>
      <c r="G1217" s="8" t="s">
        <v>14</v>
      </c>
      <c r="H1217" s="8" t="s">
        <v>262</v>
      </c>
      <c r="I1217" s="7" t="n">
        <v>45752</v>
      </c>
      <c r="J1217" s="8" t="str">
        <f aca="false">VLOOKUP(B1217,Table3[#All],2,0)</f>
        <v>Fixed Maintance</v>
      </c>
      <c r="K1217" s="8" t="str">
        <f aca="false">TEXT(ROW(), "0000")</f>
        <v>1217</v>
      </c>
      <c r="L1217" s="8"/>
    </row>
    <row r="1218" customFormat="false" ht="15.75" hidden="false" customHeight="true" outlineLevel="0" collapsed="false">
      <c r="A1218" s="7" t="n">
        <v>45752</v>
      </c>
      <c r="B1218" s="8" t="s">
        <v>44</v>
      </c>
      <c r="C1218" s="9" t="n">
        <v>374</v>
      </c>
      <c r="D1218" s="8" t="s">
        <v>13</v>
      </c>
      <c r="E1218" s="10" t="s">
        <v>86</v>
      </c>
      <c r="F1218" s="8" t="str">
        <f aca="false">TEXT(A1218,"MM-YYYY")</f>
        <v>04-2025</v>
      </c>
      <c r="G1218" s="8" t="s">
        <v>14</v>
      </c>
      <c r="H1218" s="8" t="s">
        <v>13</v>
      </c>
      <c r="I1218" s="7" t="n">
        <v>45752</v>
      </c>
      <c r="J1218" s="8" t="str">
        <f aca="false">VLOOKUP(B1218, Table3[#All], 2, FALSE())</f>
        <v>Salary</v>
      </c>
      <c r="K1218" s="8" t="str">
        <f aca="false">TEXT(ROW(), "0000")</f>
        <v>1218</v>
      </c>
      <c r="L1218" s="8"/>
    </row>
    <row r="1219" customFormat="false" ht="15.75" hidden="false" customHeight="true" outlineLevel="0" collapsed="false">
      <c r="A1219" s="13" t="n">
        <v>45753</v>
      </c>
      <c r="B1219" s="8" t="s">
        <v>22</v>
      </c>
      <c r="C1219" s="9" t="n">
        <v>555</v>
      </c>
      <c r="D1219" s="8" t="s">
        <v>13</v>
      </c>
      <c r="E1219" s="10" t="s">
        <v>23</v>
      </c>
      <c r="F1219" s="8" t="str">
        <f aca="false">TEXT(A1219,"MM-YYYY")</f>
        <v>04-2025</v>
      </c>
      <c r="G1219" s="8" t="s">
        <v>14</v>
      </c>
      <c r="H1219" s="8" t="s">
        <v>13</v>
      </c>
      <c r="I1219" s="7" t="n">
        <v>45760</v>
      </c>
      <c r="J1219" s="8" t="str">
        <f aca="false">VLOOKUP(B1219,Table3[#All],2,0)</f>
        <v>Inventory</v>
      </c>
      <c r="K1219" s="8" t="str">
        <f aca="false">TEXT(ROW(), "0000")</f>
        <v>1219</v>
      </c>
      <c r="L1219" s="8"/>
    </row>
    <row r="1220" customFormat="false" ht="15.75" hidden="false" customHeight="true" outlineLevel="0" collapsed="false">
      <c r="A1220" s="13" t="n">
        <v>45753</v>
      </c>
      <c r="B1220" s="8" t="s">
        <v>29</v>
      </c>
      <c r="C1220" s="9" t="n">
        <v>592</v>
      </c>
      <c r="D1220" s="8" t="s">
        <v>13</v>
      </c>
      <c r="E1220" s="10" t="s">
        <v>30</v>
      </c>
      <c r="F1220" s="8" t="str">
        <f aca="false">TEXT(A1220,"MM-YYYY")</f>
        <v>04-2025</v>
      </c>
      <c r="G1220" s="8" t="s">
        <v>14</v>
      </c>
      <c r="H1220" s="8" t="s">
        <v>262</v>
      </c>
      <c r="I1220" s="7" t="n">
        <v>45780</v>
      </c>
      <c r="J1220" s="8" t="str">
        <f aca="false">VLOOKUP(B1220,Table3[#All],2,0)</f>
        <v>Inventory</v>
      </c>
      <c r="K1220" s="8" t="str">
        <f aca="false">TEXT(ROW(), "0000")</f>
        <v>1220</v>
      </c>
      <c r="L1220" s="8"/>
    </row>
    <row r="1221" customFormat="false" ht="15.75" hidden="false" customHeight="true" outlineLevel="0" collapsed="false">
      <c r="A1221" s="13" t="n">
        <v>45753</v>
      </c>
      <c r="B1221" s="8" t="s">
        <v>19</v>
      </c>
      <c r="C1221" s="9" t="n">
        <v>2693</v>
      </c>
      <c r="D1221" s="8" t="s">
        <v>13</v>
      </c>
      <c r="E1221" s="10" t="s">
        <v>20</v>
      </c>
      <c r="F1221" s="8" t="str">
        <f aca="false">TEXT(A1221,"MM-YYYY")</f>
        <v>04-2025</v>
      </c>
      <c r="G1221" s="8" t="s">
        <v>14</v>
      </c>
      <c r="H1221" s="8" t="s">
        <v>13</v>
      </c>
      <c r="I1221" s="7" t="n">
        <v>45760</v>
      </c>
      <c r="J1221" s="8" t="str">
        <f aca="false">VLOOKUP(B1221,Table3[#All],2,0)</f>
        <v>Inventory</v>
      </c>
      <c r="K1221" s="8" t="str">
        <f aca="false">TEXT(ROW(), "0000")</f>
        <v>1221</v>
      </c>
      <c r="L1221" s="8"/>
    </row>
    <row r="1222" customFormat="false" ht="15.75" hidden="false" customHeight="true" outlineLevel="0" collapsed="false">
      <c r="A1222" s="13" t="n">
        <v>45753</v>
      </c>
      <c r="B1222" s="8" t="s">
        <v>25</v>
      </c>
      <c r="C1222" s="9" t="n">
        <v>1216</v>
      </c>
      <c r="D1222" s="8" t="s">
        <v>13</v>
      </c>
      <c r="E1222" s="10" t="s">
        <v>26</v>
      </c>
      <c r="F1222" s="8" t="str">
        <f aca="false">TEXT(A1222,"MM-YYYY")</f>
        <v>04-2025</v>
      </c>
      <c r="G1222" s="8" t="s">
        <v>14</v>
      </c>
      <c r="H1222" s="8" t="s">
        <v>13</v>
      </c>
      <c r="I1222" s="7" t="n">
        <v>45766</v>
      </c>
      <c r="J1222" s="8" t="str">
        <f aca="false">VLOOKUP(B1222,Table3[#All],2,0)</f>
        <v>Inventory</v>
      </c>
      <c r="K1222" s="8" t="str">
        <f aca="false">TEXT(ROW(), "0000")</f>
        <v>1222</v>
      </c>
      <c r="L1222" s="8"/>
    </row>
    <row r="1223" customFormat="false" ht="15.75" hidden="false" customHeight="true" outlineLevel="0" collapsed="false">
      <c r="A1223" s="13" t="n">
        <v>45753</v>
      </c>
      <c r="B1223" s="8" t="s">
        <v>29</v>
      </c>
      <c r="C1223" s="9" t="n">
        <v>870</v>
      </c>
      <c r="D1223" s="8" t="s">
        <v>45</v>
      </c>
      <c r="E1223" s="10" t="s">
        <v>78</v>
      </c>
      <c r="F1223" s="8" t="str">
        <f aca="false">TEXT(A1223,"MM-YYYY")</f>
        <v>04-2025</v>
      </c>
      <c r="G1223" s="8" t="s">
        <v>14</v>
      </c>
      <c r="H1223" s="8" t="s">
        <v>232</v>
      </c>
      <c r="I1223" s="7" t="n">
        <v>45753</v>
      </c>
      <c r="J1223" s="8" t="str">
        <f aca="false">VLOOKUP(B1223,Table3[#All],2,0)</f>
        <v>Inventory</v>
      </c>
      <c r="K1223" s="8" t="str">
        <f aca="false">TEXT(ROW(), "0000")</f>
        <v>1223</v>
      </c>
      <c r="L1223" s="8"/>
    </row>
    <row r="1224" customFormat="false" ht="15.75" hidden="false" customHeight="true" outlineLevel="0" collapsed="false">
      <c r="A1224" s="13" t="n">
        <v>45753</v>
      </c>
      <c r="B1224" s="8" t="s">
        <v>53</v>
      </c>
      <c r="C1224" s="9" t="n">
        <v>1200</v>
      </c>
      <c r="D1224" s="8" t="s">
        <v>21</v>
      </c>
      <c r="E1224" s="10" t="s">
        <v>55</v>
      </c>
      <c r="F1224" s="8" t="str">
        <f aca="false">TEXT(A1224,"MM-YYYY")</f>
        <v>04-2025</v>
      </c>
      <c r="G1224" s="8" t="s">
        <v>14</v>
      </c>
      <c r="H1224" s="8" t="s">
        <v>15</v>
      </c>
      <c r="I1224" s="7" t="n">
        <v>45753</v>
      </c>
      <c r="J1224" s="8" t="str">
        <f aca="false">VLOOKUP(B1224,Table3[#All],2,0)</f>
        <v>Grocery</v>
      </c>
      <c r="K1224" s="8" t="str">
        <f aca="false">TEXT(ROW(), "0000")</f>
        <v>1224</v>
      </c>
      <c r="L1224" s="8"/>
    </row>
    <row r="1225" customFormat="false" ht="15.75" hidden="false" customHeight="true" outlineLevel="0" collapsed="false">
      <c r="A1225" s="13" t="n">
        <v>45753</v>
      </c>
      <c r="B1225" s="8" t="s">
        <v>28</v>
      </c>
      <c r="C1225" s="9" t="n">
        <v>320</v>
      </c>
      <c r="D1225" s="8" t="s">
        <v>21</v>
      </c>
      <c r="E1225" s="10" t="s">
        <v>269</v>
      </c>
      <c r="F1225" s="8" t="str">
        <f aca="false">TEXT(A1225,"MM-YYYY")</f>
        <v>04-2025</v>
      </c>
      <c r="G1225" s="8" t="s">
        <v>14</v>
      </c>
      <c r="H1225" s="8" t="s">
        <v>15</v>
      </c>
      <c r="I1225" s="7" t="n">
        <v>45753</v>
      </c>
      <c r="J1225" s="8" t="str">
        <f aca="false">VLOOKUP(B1225,Table3[#All],2,0)</f>
        <v>Grocery</v>
      </c>
      <c r="K1225" s="8" t="str">
        <f aca="false">TEXT(ROW(), "0000")</f>
        <v>1225</v>
      </c>
      <c r="L1225" s="8"/>
    </row>
    <row r="1226" customFormat="false" ht="15.75" hidden="false" customHeight="true" outlineLevel="0" collapsed="false">
      <c r="A1226" s="13" t="n">
        <v>45753</v>
      </c>
      <c r="B1226" s="8" t="s">
        <v>16</v>
      </c>
      <c r="C1226" s="9" t="n">
        <v>2725</v>
      </c>
      <c r="D1226" s="8" t="s">
        <v>21</v>
      </c>
      <c r="E1226" s="10" t="s">
        <v>88</v>
      </c>
      <c r="F1226" s="8" t="str">
        <f aca="false">TEXT(A1226,"MM-YYYY")</f>
        <v>04-2025</v>
      </c>
      <c r="G1226" s="8"/>
      <c r="H1226" s="8"/>
      <c r="I1226" s="7"/>
      <c r="J1226" s="8" t="str">
        <f aca="false">VLOOKUP(B1226,Table3[#All],2,0)</f>
        <v>Sales</v>
      </c>
      <c r="K1226" s="8" t="str">
        <f aca="false">TEXT(ROW(), "0000")</f>
        <v>1226</v>
      </c>
      <c r="L1226" s="8"/>
    </row>
    <row r="1227" customFormat="false" ht="15.75" hidden="false" customHeight="true" outlineLevel="0" collapsed="false">
      <c r="A1227" s="13" t="n">
        <v>45753</v>
      </c>
      <c r="B1227" s="8" t="s">
        <v>16</v>
      </c>
      <c r="C1227" s="9" t="n">
        <v>280</v>
      </c>
      <c r="D1227" s="8" t="s">
        <v>27</v>
      </c>
      <c r="E1227" s="10" t="s">
        <v>88</v>
      </c>
      <c r="F1227" s="8" t="str">
        <f aca="false">TEXT(A1227,"MM-YYYY")</f>
        <v>04-2025</v>
      </c>
      <c r="G1227" s="8"/>
      <c r="H1227" s="8"/>
      <c r="I1227" s="7"/>
      <c r="J1227" s="8" t="str">
        <f aca="false">VLOOKUP(B1227,Table3[#All],2,0)</f>
        <v>Sales</v>
      </c>
      <c r="K1227" s="8" t="str">
        <f aca="false">TEXT(ROW(), "0000")</f>
        <v>1227</v>
      </c>
      <c r="L1227" s="8"/>
    </row>
    <row r="1228" customFormat="false" ht="15.75" hidden="false" customHeight="true" outlineLevel="0" collapsed="false">
      <c r="A1228" s="13" t="n">
        <v>45753</v>
      </c>
      <c r="B1228" s="8" t="s">
        <v>16</v>
      </c>
      <c r="C1228" s="9" t="n">
        <v>1214</v>
      </c>
      <c r="D1228" s="8" t="s">
        <v>33</v>
      </c>
      <c r="E1228" s="10" t="s">
        <v>88</v>
      </c>
      <c r="F1228" s="8" t="str">
        <f aca="false">TEXT(A1228,"MM-YYYY")</f>
        <v>04-2025</v>
      </c>
      <c r="G1228" s="8"/>
      <c r="H1228" s="8"/>
      <c r="I1228" s="7"/>
      <c r="J1228" s="8" t="str">
        <f aca="false">VLOOKUP(B1228,Table3[#All],2,0)</f>
        <v>Sales</v>
      </c>
      <c r="K1228" s="8" t="str">
        <f aca="false">TEXT(ROW(), "0000")</f>
        <v>1228</v>
      </c>
      <c r="L1228" s="8"/>
    </row>
    <row r="1229" customFormat="false" ht="15.75" hidden="false" customHeight="true" outlineLevel="0" collapsed="false">
      <c r="A1229" s="13" t="n">
        <v>45753</v>
      </c>
      <c r="B1229" s="8" t="s">
        <v>16</v>
      </c>
      <c r="C1229" s="9" t="n">
        <v>19500</v>
      </c>
      <c r="D1229" s="8" t="s">
        <v>17</v>
      </c>
      <c r="E1229" s="10" t="s">
        <v>88</v>
      </c>
      <c r="F1229" s="8" t="str">
        <f aca="false">TEXT(A1229,"MM-YYYY")</f>
        <v>04-2025</v>
      </c>
      <c r="G1229" s="8"/>
      <c r="H1229" s="8"/>
      <c r="I1229" s="7"/>
      <c r="J1229" s="8" t="str">
        <f aca="false">VLOOKUP(B1229,Table3[#All],2,0)</f>
        <v>Sales</v>
      </c>
      <c r="K1229" s="8" t="str">
        <f aca="false">TEXT(ROW(), "0000")</f>
        <v>1229</v>
      </c>
      <c r="L1229" s="8"/>
    </row>
    <row r="1230" customFormat="false" ht="15.75" hidden="false" customHeight="true" outlineLevel="0" collapsed="false">
      <c r="A1230" s="13" t="n">
        <v>45753</v>
      </c>
      <c r="B1230" s="8" t="s">
        <v>16</v>
      </c>
      <c r="C1230" s="9" t="n">
        <v>1407</v>
      </c>
      <c r="D1230" s="8" t="s">
        <v>24</v>
      </c>
      <c r="E1230" s="10" t="s">
        <v>217</v>
      </c>
      <c r="F1230" s="8" t="str">
        <f aca="false">TEXT(A1230,"MM-YYYY")</f>
        <v>04-2025</v>
      </c>
      <c r="G1230" s="8"/>
      <c r="H1230" s="8"/>
      <c r="I1230" s="7"/>
      <c r="J1230" s="8" t="str">
        <f aca="false">VLOOKUP(B1230,Table3[#All],2,0)</f>
        <v>Sales</v>
      </c>
      <c r="K1230" s="8" t="str">
        <f aca="false">TEXT(ROW(), "0000")</f>
        <v>1230</v>
      </c>
      <c r="L1230" s="8"/>
    </row>
    <row r="1231" customFormat="false" ht="15.75" hidden="false" customHeight="true" outlineLevel="0" collapsed="false">
      <c r="A1231" s="13" t="n">
        <v>45753</v>
      </c>
      <c r="B1231" s="8" t="s">
        <v>34</v>
      </c>
      <c r="C1231" s="9" t="n">
        <v>105</v>
      </c>
      <c r="D1231" s="8" t="s">
        <v>21</v>
      </c>
      <c r="E1231" s="10" t="s">
        <v>267</v>
      </c>
      <c r="F1231" s="8" t="str">
        <f aca="false">TEXT(A1231,"MM-YYYY")</f>
        <v>04-2025</v>
      </c>
      <c r="G1231" s="8" t="s">
        <v>14</v>
      </c>
      <c r="H1231" s="8" t="s">
        <v>15</v>
      </c>
      <c r="I1231" s="7" t="n">
        <v>45753</v>
      </c>
      <c r="J1231" s="8" t="str">
        <f aca="false">VLOOKUP(B1231,Table3[#All],2,0)</f>
        <v>Staff Expenses</v>
      </c>
      <c r="K1231" s="8" t="str">
        <f aca="false">TEXT(ROW(), "0000")</f>
        <v>1231</v>
      </c>
      <c r="L1231" s="8"/>
    </row>
    <row r="1232" customFormat="false" ht="15.75" hidden="false" customHeight="true" outlineLevel="0" collapsed="false">
      <c r="A1232" s="13" t="n">
        <v>45754</v>
      </c>
      <c r="B1232" s="8" t="s">
        <v>47</v>
      </c>
      <c r="C1232" s="9" t="n">
        <v>840</v>
      </c>
      <c r="D1232" s="8" t="s">
        <v>13</v>
      </c>
      <c r="E1232" s="10" t="s">
        <v>223</v>
      </c>
      <c r="F1232" s="8" t="str">
        <f aca="false">TEXT(A1232,"MM-YYYY")</f>
        <v>04-2025</v>
      </c>
      <c r="G1232" s="8" t="s">
        <v>14</v>
      </c>
      <c r="H1232" s="8" t="s">
        <v>13</v>
      </c>
      <c r="I1232" s="7" t="n">
        <v>45769</v>
      </c>
      <c r="J1232" s="8" t="str">
        <f aca="false">VLOOKUP(B1232,Table3[#All],2,0)</f>
        <v>Inventory</v>
      </c>
      <c r="K1232" s="8" t="str">
        <f aca="false">TEXT(ROW(), "0000")</f>
        <v>1232</v>
      </c>
      <c r="L1232" s="8"/>
    </row>
    <row r="1233" customFormat="false" ht="15.75" hidden="false" customHeight="true" outlineLevel="0" collapsed="false">
      <c r="A1233" s="13" t="n">
        <v>45754</v>
      </c>
      <c r="B1233" s="8" t="s">
        <v>25</v>
      </c>
      <c r="C1233" s="9" t="n">
        <v>1653</v>
      </c>
      <c r="D1233" s="8" t="s">
        <v>13</v>
      </c>
      <c r="E1233" s="10" t="s">
        <v>26</v>
      </c>
      <c r="F1233" s="8" t="str">
        <f aca="false">TEXT(A1233,"MM-YYYY")</f>
        <v>04-2025</v>
      </c>
      <c r="G1233" s="8" t="s">
        <v>14</v>
      </c>
      <c r="H1233" s="8" t="s">
        <v>13</v>
      </c>
      <c r="I1233" s="7" t="n">
        <v>45766</v>
      </c>
      <c r="J1233" s="8" t="str">
        <f aca="false">VLOOKUP(B1233,Table3[#All],2,0)</f>
        <v>Inventory</v>
      </c>
      <c r="K1233" s="8" t="str">
        <f aca="false">TEXT(ROW(), "0000")</f>
        <v>1233</v>
      </c>
      <c r="L1233" s="8"/>
    </row>
    <row r="1234" customFormat="false" ht="15.75" hidden="false" customHeight="true" outlineLevel="0" collapsed="false">
      <c r="A1234" s="13" t="n">
        <v>45754</v>
      </c>
      <c r="B1234" s="8" t="s">
        <v>19</v>
      </c>
      <c r="C1234" s="9" t="n">
        <v>4603</v>
      </c>
      <c r="D1234" s="8" t="s">
        <v>13</v>
      </c>
      <c r="E1234" s="10" t="s">
        <v>20</v>
      </c>
      <c r="F1234" s="8" t="str">
        <f aca="false">TEXT(A1234,"MM-YYYY")</f>
        <v>04-2025</v>
      </c>
      <c r="G1234" s="8" t="s">
        <v>14</v>
      </c>
      <c r="H1234" s="8" t="s">
        <v>13</v>
      </c>
      <c r="I1234" s="7" t="n">
        <v>45760</v>
      </c>
      <c r="J1234" s="8" t="str">
        <f aca="false">VLOOKUP(B1234,Table3[#All],2,0)</f>
        <v>Inventory</v>
      </c>
      <c r="K1234" s="8" t="str">
        <f aca="false">TEXT(ROW(), "0000")</f>
        <v>1234</v>
      </c>
      <c r="L1234" s="8"/>
    </row>
    <row r="1235" customFormat="false" ht="15.75" hidden="false" customHeight="true" outlineLevel="0" collapsed="false">
      <c r="A1235" s="13" t="n">
        <v>45754</v>
      </c>
      <c r="B1235" s="8" t="s">
        <v>22</v>
      </c>
      <c r="C1235" s="9" t="n">
        <v>1256</v>
      </c>
      <c r="D1235" s="8" t="s">
        <v>13</v>
      </c>
      <c r="E1235" s="10" t="s">
        <v>23</v>
      </c>
      <c r="F1235" s="8" t="str">
        <f aca="false">TEXT(A1235,"MM-YYYY")</f>
        <v>04-2025</v>
      </c>
      <c r="G1235" s="8" t="s">
        <v>14</v>
      </c>
      <c r="H1235" s="8" t="s">
        <v>13</v>
      </c>
      <c r="I1235" s="7" t="n">
        <v>45760</v>
      </c>
      <c r="J1235" s="8" t="str">
        <f aca="false">VLOOKUP(B1235,Table3[#All],2,0)</f>
        <v>Inventory</v>
      </c>
      <c r="K1235" s="8" t="str">
        <f aca="false">TEXT(ROW(), "0000")</f>
        <v>1235</v>
      </c>
      <c r="L1235" s="8"/>
    </row>
    <row r="1236" customFormat="false" ht="15.75" hidden="false" customHeight="true" outlineLevel="0" collapsed="false">
      <c r="A1236" s="13" t="n">
        <v>45754</v>
      </c>
      <c r="B1236" s="8" t="s">
        <v>32</v>
      </c>
      <c r="C1236" s="9" t="n">
        <v>455</v>
      </c>
      <c r="D1236" s="8" t="s">
        <v>21</v>
      </c>
      <c r="E1236" s="10" t="s">
        <v>38</v>
      </c>
      <c r="F1236" s="8" t="str">
        <f aca="false">TEXT(A1236,"MM-YYYY")</f>
        <v>04-2025</v>
      </c>
      <c r="G1236" s="8" t="s">
        <v>14</v>
      </c>
      <c r="H1236" s="8" t="s">
        <v>15</v>
      </c>
      <c r="I1236" s="7" t="n">
        <v>45754</v>
      </c>
      <c r="J1236" s="8" t="str">
        <f aca="false">VLOOKUP(B1236,Table3[#All],2,0)</f>
        <v>Grocery</v>
      </c>
      <c r="K1236" s="8" t="str">
        <f aca="false">TEXT(ROW(), "0000")</f>
        <v>1236</v>
      </c>
      <c r="L1236" s="8"/>
    </row>
    <row r="1237" customFormat="false" ht="15.75" hidden="false" customHeight="true" outlineLevel="0" collapsed="false">
      <c r="A1237" s="13" t="n">
        <v>45754</v>
      </c>
      <c r="B1237" s="8" t="s">
        <v>28</v>
      </c>
      <c r="C1237" s="9" t="n">
        <v>705</v>
      </c>
      <c r="D1237" s="8" t="s">
        <v>21</v>
      </c>
      <c r="E1237" s="10" t="s">
        <v>93</v>
      </c>
      <c r="F1237" s="8" t="str">
        <f aca="false">TEXT(A1237,"MM-YYYY")</f>
        <v>04-2025</v>
      </c>
      <c r="G1237" s="8" t="s">
        <v>14</v>
      </c>
      <c r="H1237" s="8" t="s">
        <v>15</v>
      </c>
      <c r="I1237" s="7" t="n">
        <v>45754</v>
      </c>
      <c r="J1237" s="8" t="str">
        <f aca="false">VLOOKUP(B1237,Table3[#All],2,0)</f>
        <v>Grocery</v>
      </c>
      <c r="K1237" s="8" t="str">
        <f aca="false">TEXT(ROW(), "0000")</f>
        <v>1237</v>
      </c>
      <c r="L1237" s="8"/>
    </row>
    <row r="1238" customFormat="false" ht="15.75" hidden="false" customHeight="true" outlineLevel="0" collapsed="false">
      <c r="A1238" s="13" t="n">
        <v>45754</v>
      </c>
      <c r="B1238" s="8" t="s">
        <v>29</v>
      </c>
      <c r="C1238" s="9" t="n">
        <v>386</v>
      </c>
      <c r="D1238" s="8" t="s">
        <v>13</v>
      </c>
      <c r="E1238" s="10" t="s">
        <v>30</v>
      </c>
      <c r="F1238" s="8" t="str">
        <f aca="false">TEXT(A1238,"MM-YYYY")</f>
        <v>04-2025</v>
      </c>
      <c r="G1238" s="8" t="s">
        <v>14</v>
      </c>
      <c r="H1238" s="8" t="s">
        <v>262</v>
      </c>
      <c r="I1238" s="7" t="n">
        <v>45780</v>
      </c>
      <c r="J1238" s="8" t="str">
        <f aca="false">VLOOKUP(B1238,Table3[#All],2,0)</f>
        <v>Inventory</v>
      </c>
      <c r="K1238" s="8" t="str">
        <f aca="false">TEXT(ROW(), "0000")</f>
        <v>1238</v>
      </c>
      <c r="L1238" s="8"/>
    </row>
    <row r="1239" customFormat="false" ht="15.75" hidden="false" customHeight="true" outlineLevel="0" collapsed="false">
      <c r="A1239" s="13" t="n">
        <v>45754</v>
      </c>
      <c r="B1239" s="8" t="s">
        <v>16</v>
      </c>
      <c r="C1239" s="9" t="n">
        <v>6595</v>
      </c>
      <c r="D1239" s="8" t="s">
        <v>21</v>
      </c>
      <c r="E1239" s="10" t="s">
        <v>88</v>
      </c>
      <c r="F1239" s="8" t="str">
        <f aca="false">TEXT(A1239,"MM-YYYY")</f>
        <v>04-2025</v>
      </c>
      <c r="G1239" s="8"/>
      <c r="H1239" s="8"/>
      <c r="I1239" s="7"/>
      <c r="J1239" s="8" t="str">
        <f aca="false">VLOOKUP(B1239,Table3[#All],2,0)</f>
        <v>Sales</v>
      </c>
      <c r="K1239" s="8" t="str">
        <f aca="false">TEXT(ROW(), "0000")</f>
        <v>1239</v>
      </c>
      <c r="L1239" s="8"/>
    </row>
    <row r="1240" customFormat="false" ht="15.75" hidden="false" customHeight="true" outlineLevel="0" collapsed="false">
      <c r="A1240" s="13" t="n">
        <v>45754</v>
      </c>
      <c r="B1240" s="8" t="s">
        <v>16</v>
      </c>
      <c r="C1240" s="9" t="n">
        <v>1970</v>
      </c>
      <c r="D1240" s="8" t="s">
        <v>27</v>
      </c>
      <c r="E1240" s="10" t="s">
        <v>88</v>
      </c>
      <c r="F1240" s="8" t="str">
        <f aca="false">TEXT(A1240,"MM-YYYY")</f>
        <v>04-2025</v>
      </c>
      <c r="G1240" s="8"/>
      <c r="H1240" s="8"/>
      <c r="I1240" s="7"/>
      <c r="J1240" s="8" t="str">
        <f aca="false">VLOOKUP(B1240,Table3[#All],2,0)</f>
        <v>Sales</v>
      </c>
      <c r="K1240" s="8" t="str">
        <f aca="false">TEXT(ROW(), "0000")</f>
        <v>1240</v>
      </c>
      <c r="L1240" s="8"/>
    </row>
    <row r="1241" customFormat="false" ht="15.75" hidden="false" customHeight="true" outlineLevel="0" collapsed="false">
      <c r="A1241" s="13" t="n">
        <v>45754</v>
      </c>
      <c r="B1241" s="8" t="s">
        <v>16</v>
      </c>
      <c r="C1241" s="9" t="n">
        <v>3595</v>
      </c>
      <c r="D1241" s="8" t="s">
        <v>33</v>
      </c>
      <c r="E1241" s="10" t="s">
        <v>88</v>
      </c>
      <c r="F1241" s="8" t="str">
        <f aca="false">TEXT(A1241,"MM-YYYY")</f>
        <v>04-2025</v>
      </c>
      <c r="G1241" s="8"/>
      <c r="H1241" s="8"/>
      <c r="I1241" s="7"/>
      <c r="J1241" s="8" t="str">
        <f aca="false">VLOOKUP(B1241,Table3[#All],2,0)</f>
        <v>Sales</v>
      </c>
      <c r="K1241" s="8" t="str">
        <f aca="false">TEXT(ROW(), "0000")</f>
        <v>1241</v>
      </c>
      <c r="L1241" s="8"/>
    </row>
    <row r="1242" customFormat="false" ht="15.75" hidden="false" customHeight="true" outlineLevel="0" collapsed="false">
      <c r="A1242" s="13" t="n">
        <v>45754</v>
      </c>
      <c r="B1242" s="8" t="s">
        <v>16</v>
      </c>
      <c r="C1242" s="9" t="n">
        <v>11194</v>
      </c>
      <c r="D1242" s="8" t="s">
        <v>17</v>
      </c>
      <c r="E1242" s="10" t="s">
        <v>88</v>
      </c>
      <c r="F1242" s="8" t="str">
        <f aca="false">TEXT(A1242,"MM-YYYY")</f>
        <v>04-2025</v>
      </c>
      <c r="G1242" s="8"/>
      <c r="H1242" s="8"/>
      <c r="I1242" s="7"/>
      <c r="J1242" s="8" t="str">
        <f aca="false">VLOOKUP(B1242,Table3[#All],2,0)</f>
        <v>Sales</v>
      </c>
      <c r="K1242" s="8" t="str">
        <f aca="false">TEXT(ROW(), "0000")</f>
        <v>1242</v>
      </c>
      <c r="L1242" s="8"/>
    </row>
    <row r="1243" customFormat="false" ht="15.75" hidden="false" customHeight="true" outlineLevel="0" collapsed="false">
      <c r="A1243" s="13" t="n">
        <v>45754</v>
      </c>
      <c r="B1243" s="8" t="s">
        <v>16</v>
      </c>
      <c r="C1243" s="9" t="n">
        <v>690</v>
      </c>
      <c r="D1243" s="8" t="s">
        <v>59</v>
      </c>
      <c r="E1243" s="10" t="s">
        <v>88</v>
      </c>
      <c r="F1243" s="8" t="str">
        <f aca="false">TEXT(A1243,"MM-YYYY")</f>
        <v>04-2025</v>
      </c>
      <c r="G1243" s="8"/>
      <c r="H1243" s="8"/>
      <c r="I1243" s="7"/>
      <c r="J1243" s="8" t="str">
        <f aca="false">VLOOKUP(B1243,Table3[#All],2,0)</f>
        <v>Sales</v>
      </c>
      <c r="K1243" s="8" t="str">
        <f aca="false">TEXT(ROW(), "0000")</f>
        <v>1243</v>
      </c>
      <c r="L1243" s="8"/>
    </row>
    <row r="1244" customFormat="false" ht="15.75" hidden="false" customHeight="true" outlineLevel="0" collapsed="false">
      <c r="A1244" s="13" t="n">
        <v>45754</v>
      </c>
      <c r="B1244" s="8" t="s">
        <v>16</v>
      </c>
      <c r="C1244" s="9" t="n">
        <v>2728</v>
      </c>
      <c r="D1244" s="8" t="s">
        <v>24</v>
      </c>
      <c r="E1244" s="10" t="s">
        <v>217</v>
      </c>
      <c r="F1244" s="8" t="str">
        <f aca="false">TEXT(A1244,"MM-YYYY")</f>
        <v>04-2025</v>
      </c>
      <c r="G1244" s="8"/>
      <c r="H1244" s="8"/>
      <c r="I1244" s="7"/>
      <c r="J1244" s="8" t="str">
        <f aca="false">VLOOKUP(B1244,Table3[#All],2,0)</f>
        <v>Sales</v>
      </c>
      <c r="K1244" s="8" t="str">
        <f aca="false">TEXT(ROW(), "0000")</f>
        <v>1244</v>
      </c>
      <c r="L1244" s="8"/>
    </row>
    <row r="1245" customFormat="false" ht="15.75" hidden="false" customHeight="true" outlineLevel="0" collapsed="false">
      <c r="A1245" s="13" t="n">
        <v>45754</v>
      </c>
      <c r="B1245" s="8" t="s">
        <v>34</v>
      </c>
      <c r="C1245" s="9" t="n">
        <v>100</v>
      </c>
      <c r="D1245" s="8" t="s">
        <v>45</v>
      </c>
      <c r="E1245" s="10" t="s">
        <v>267</v>
      </c>
      <c r="F1245" s="8" t="str">
        <f aca="false">TEXT(A1245,"MM-YYYY")</f>
        <v>04-2025</v>
      </c>
      <c r="G1245" s="8" t="s">
        <v>14</v>
      </c>
      <c r="H1245" s="8" t="s">
        <v>232</v>
      </c>
      <c r="I1245" s="7" t="n">
        <v>45754</v>
      </c>
      <c r="J1245" s="8" t="str">
        <f aca="false">VLOOKUP(B1245,Table3[#All],2,0)</f>
        <v>Staff Expenses</v>
      </c>
      <c r="K1245" s="8" t="str">
        <f aca="false">TEXT(ROW(), "0000")</f>
        <v>1245</v>
      </c>
      <c r="L1245" s="8"/>
    </row>
    <row r="1246" customFormat="false" ht="15.75" hidden="false" customHeight="true" outlineLevel="0" collapsed="false">
      <c r="A1246" s="13" t="n">
        <v>45754</v>
      </c>
      <c r="B1246" s="8" t="s">
        <v>29</v>
      </c>
      <c r="C1246" s="9" t="n">
        <v>40</v>
      </c>
      <c r="D1246" s="8" t="s">
        <v>45</v>
      </c>
      <c r="E1246" s="10" t="s">
        <v>270</v>
      </c>
      <c r="F1246" s="8" t="str">
        <f aca="false">TEXT(A1246,"MM-YYYY")</f>
        <v>04-2025</v>
      </c>
      <c r="G1246" s="8" t="s">
        <v>14</v>
      </c>
      <c r="H1246" s="8" t="s">
        <v>232</v>
      </c>
      <c r="I1246" s="7" t="n">
        <v>45754</v>
      </c>
      <c r="J1246" s="8" t="str">
        <f aca="false">VLOOKUP(B1246,Table3[#All],2,0)</f>
        <v>Inventory</v>
      </c>
      <c r="K1246" s="8" t="str">
        <f aca="false">TEXT(ROW(), "0000")</f>
        <v>1246</v>
      </c>
      <c r="L1246" s="8"/>
    </row>
    <row r="1247" customFormat="false" ht="15.75" hidden="false" customHeight="true" outlineLevel="0" collapsed="false">
      <c r="A1247" s="13" t="n">
        <v>45754</v>
      </c>
      <c r="B1247" s="8" t="s">
        <v>50</v>
      </c>
      <c r="C1247" s="9" t="n">
        <v>1770</v>
      </c>
      <c r="D1247" s="8" t="s">
        <v>13</v>
      </c>
      <c r="E1247" s="10" t="s">
        <v>263</v>
      </c>
      <c r="F1247" s="8" t="str">
        <f aca="false">TEXT(A1247,"MM-YYYY")</f>
        <v>04-2025</v>
      </c>
      <c r="G1247" s="8" t="s">
        <v>14</v>
      </c>
      <c r="H1247" s="8" t="s">
        <v>13</v>
      </c>
      <c r="I1247" s="7" t="n">
        <v>45759</v>
      </c>
      <c r="J1247" s="8" t="str">
        <f aca="false">VLOOKUP(B1247,Table3[#All],2,0)</f>
        <v>Fixed Maintance</v>
      </c>
      <c r="K1247" s="8" t="str">
        <f aca="false">TEXT(ROW(), "0000")</f>
        <v>1247</v>
      </c>
      <c r="L1247" s="8"/>
    </row>
    <row r="1248" customFormat="false" ht="15.75" hidden="false" customHeight="true" outlineLevel="0" collapsed="false">
      <c r="A1248" s="13" t="n">
        <v>45754</v>
      </c>
      <c r="B1248" s="8" t="s">
        <v>25</v>
      </c>
      <c r="C1248" s="9" t="n">
        <v>60</v>
      </c>
      <c r="D1248" s="8" t="s">
        <v>45</v>
      </c>
      <c r="E1248" s="10" t="s">
        <v>42</v>
      </c>
      <c r="F1248" s="8" t="str">
        <f aca="false">TEXT(A1248,"MM-YYYY")</f>
        <v>04-2025</v>
      </c>
      <c r="G1248" s="8" t="s">
        <v>14</v>
      </c>
      <c r="H1248" s="8" t="s">
        <v>232</v>
      </c>
      <c r="I1248" s="7" t="n">
        <v>45754</v>
      </c>
      <c r="J1248" s="8" t="str">
        <f aca="false">VLOOKUP(B1248,Table3[#All],2,0)</f>
        <v>Inventory</v>
      </c>
      <c r="K1248" s="8" t="str">
        <f aca="false">TEXT(ROW(), "0000")</f>
        <v>1248</v>
      </c>
      <c r="L1248" s="8"/>
    </row>
    <row r="1249" customFormat="false" ht="15.75" hidden="false" customHeight="true" outlineLevel="0" collapsed="false">
      <c r="A1249" s="13" t="n">
        <v>45754</v>
      </c>
      <c r="B1249" s="8" t="s">
        <v>37</v>
      </c>
      <c r="C1249" s="9" t="n">
        <v>35</v>
      </c>
      <c r="D1249" s="8" t="s">
        <v>21</v>
      </c>
      <c r="E1249" s="8" t="s">
        <v>37</v>
      </c>
      <c r="F1249" s="8" t="str">
        <f aca="false">TEXT(A1249,"MM-YYYY")</f>
        <v>04-2025</v>
      </c>
      <c r="G1249" s="8" t="s">
        <v>14</v>
      </c>
      <c r="H1249" s="8" t="s">
        <v>15</v>
      </c>
      <c r="I1249" s="7" t="n">
        <v>45754</v>
      </c>
      <c r="J1249" s="8" t="str">
        <f aca="false">VLOOKUP(B1249,Table3[#All],2,0)</f>
        <v>Maintance</v>
      </c>
      <c r="K1249" s="8" t="str">
        <f aca="false">TEXT(ROW(), "0000")</f>
        <v>1249</v>
      </c>
      <c r="L1249" s="8"/>
    </row>
    <row r="1250" customFormat="false" ht="15.75" hidden="false" customHeight="true" outlineLevel="0" collapsed="false">
      <c r="A1250" s="13" t="n">
        <v>45755</v>
      </c>
      <c r="B1250" s="8" t="s">
        <v>25</v>
      </c>
      <c r="C1250" s="9" t="n">
        <v>955</v>
      </c>
      <c r="D1250" s="8" t="s">
        <v>13</v>
      </c>
      <c r="E1250" s="10" t="s">
        <v>26</v>
      </c>
      <c r="F1250" s="8" t="str">
        <f aca="false">TEXT(A1250,"MM-YYYY")</f>
        <v>04-2025</v>
      </c>
      <c r="G1250" s="8" t="s">
        <v>14</v>
      </c>
      <c r="H1250" s="8" t="s">
        <v>13</v>
      </c>
      <c r="I1250" s="7" t="n">
        <v>45766</v>
      </c>
      <c r="J1250" s="8" t="str">
        <f aca="false">VLOOKUP(B1250,Table3[#All],2,0)</f>
        <v>Inventory</v>
      </c>
      <c r="K1250" s="8" t="str">
        <f aca="false">TEXT(ROW(), "0000")</f>
        <v>1250</v>
      </c>
      <c r="L1250" s="8"/>
    </row>
    <row r="1251" customFormat="false" ht="15.75" hidden="false" customHeight="true" outlineLevel="0" collapsed="false">
      <c r="A1251" s="13" t="n">
        <v>45755</v>
      </c>
      <c r="B1251" s="8" t="s">
        <v>22</v>
      </c>
      <c r="C1251" s="9" t="n">
        <v>2998</v>
      </c>
      <c r="D1251" s="8" t="s">
        <v>13</v>
      </c>
      <c r="E1251" s="10" t="s">
        <v>23</v>
      </c>
      <c r="F1251" s="8" t="str">
        <f aca="false">TEXT(A1251,"MM-YYYY")</f>
        <v>04-2025</v>
      </c>
      <c r="G1251" s="8" t="s">
        <v>14</v>
      </c>
      <c r="H1251" s="8" t="s">
        <v>13</v>
      </c>
      <c r="I1251" s="7" t="n">
        <v>45762</v>
      </c>
      <c r="J1251" s="8" t="str">
        <f aca="false">VLOOKUP(B1251,Table3[#All],2,0)</f>
        <v>Inventory</v>
      </c>
      <c r="K1251" s="8" t="str">
        <f aca="false">TEXT(ROW(), "0000")</f>
        <v>1251</v>
      </c>
      <c r="L1251" s="8"/>
    </row>
    <row r="1252" customFormat="false" ht="15.75" hidden="false" customHeight="true" outlineLevel="0" collapsed="false">
      <c r="A1252" s="13" t="n">
        <v>45755</v>
      </c>
      <c r="B1252" s="8" t="s">
        <v>19</v>
      </c>
      <c r="C1252" s="9" t="n">
        <v>3238</v>
      </c>
      <c r="D1252" s="8" t="s">
        <v>13</v>
      </c>
      <c r="E1252" s="10" t="s">
        <v>20</v>
      </c>
      <c r="F1252" s="8" t="str">
        <f aca="false">TEXT(A1252,"MM-YYYY")</f>
        <v>04-2025</v>
      </c>
      <c r="G1252" s="8" t="s">
        <v>14</v>
      </c>
      <c r="H1252" s="8" t="s">
        <v>13</v>
      </c>
      <c r="I1252" s="7" t="n">
        <v>45762</v>
      </c>
      <c r="J1252" s="8" t="str">
        <f aca="false">VLOOKUP(B1252,Table3[#All],2,0)</f>
        <v>Inventory</v>
      </c>
      <c r="K1252" s="8" t="str">
        <f aca="false">TEXT(ROW(), "0000")</f>
        <v>1252</v>
      </c>
      <c r="L1252" s="8"/>
    </row>
    <row r="1253" customFormat="false" ht="15.75" hidden="false" customHeight="true" outlineLevel="0" collapsed="false">
      <c r="A1253" s="13" t="n">
        <v>45755</v>
      </c>
      <c r="B1253" s="8" t="s">
        <v>32</v>
      </c>
      <c r="C1253" s="9" t="n">
        <v>350</v>
      </c>
      <c r="D1253" s="8" t="s">
        <v>21</v>
      </c>
      <c r="E1253" s="10" t="s">
        <v>38</v>
      </c>
      <c r="F1253" s="8" t="str">
        <f aca="false">TEXT(A1253,"MM-YYYY")</f>
        <v>04-2025</v>
      </c>
      <c r="G1253" s="8" t="s">
        <v>14</v>
      </c>
      <c r="H1253" s="8" t="s">
        <v>15</v>
      </c>
      <c r="I1253" s="7" t="n">
        <v>45755</v>
      </c>
      <c r="J1253" s="8" t="str">
        <f aca="false">VLOOKUP(B1253,Table3[#All],2,0)</f>
        <v>Grocery</v>
      </c>
      <c r="K1253" s="8" t="str">
        <f aca="false">TEXT(ROW(), "0000")</f>
        <v>1253</v>
      </c>
      <c r="L1253" s="8"/>
    </row>
    <row r="1254" customFormat="false" ht="15.75" hidden="false" customHeight="true" outlineLevel="0" collapsed="false">
      <c r="A1254" s="13" t="n">
        <v>45755</v>
      </c>
      <c r="B1254" s="8" t="s">
        <v>40</v>
      </c>
      <c r="C1254" s="9" t="n">
        <v>750</v>
      </c>
      <c r="D1254" s="8" t="s">
        <v>45</v>
      </c>
      <c r="E1254" s="10" t="s">
        <v>46</v>
      </c>
      <c r="F1254" s="8" t="str">
        <f aca="false">TEXT(A1254,"MM-YYYY")</f>
        <v>04-2025</v>
      </c>
      <c r="G1254" s="8" t="s">
        <v>14</v>
      </c>
      <c r="H1254" s="8" t="s">
        <v>232</v>
      </c>
      <c r="I1254" s="7" t="n">
        <v>45755</v>
      </c>
      <c r="J1254" s="8" t="str">
        <f aca="false">VLOOKUP(B1254,Table3[#All],2,0)</f>
        <v>Inventory</v>
      </c>
      <c r="K1254" s="8" t="str">
        <f aca="false">TEXT(ROW(), "0000")</f>
        <v>1254</v>
      </c>
      <c r="L1254" s="8"/>
    </row>
    <row r="1255" customFormat="false" ht="15.75" hidden="false" customHeight="true" outlineLevel="0" collapsed="false">
      <c r="A1255" s="13" t="n">
        <v>45755</v>
      </c>
      <c r="B1255" s="8" t="s">
        <v>50</v>
      </c>
      <c r="C1255" s="9" t="n">
        <v>1740</v>
      </c>
      <c r="D1255" s="8" t="s">
        <v>13</v>
      </c>
      <c r="E1255" s="10" t="s">
        <v>263</v>
      </c>
      <c r="F1255" s="8" t="str">
        <f aca="false">TEXT(A1255,"MM-YYYY")</f>
        <v>04-2025</v>
      </c>
      <c r="G1255" s="8" t="s">
        <v>14</v>
      </c>
      <c r="H1255" s="8" t="s">
        <v>13</v>
      </c>
      <c r="I1255" s="7" t="n">
        <v>45759</v>
      </c>
      <c r="J1255" s="8" t="str">
        <f aca="false">VLOOKUP(B1255,Table3[#All],2,0)</f>
        <v>Fixed Maintance</v>
      </c>
      <c r="K1255" s="8" t="str">
        <f aca="false">TEXT(ROW(), "0000")</f>
        <v>1255</v>
      </c>
      <c r="L1255" s="8"/>
    </row>
    <row r="1256" customFormat="false" ht="15.75" hidden="false" customHeight="true" outlineLevel="0" collapsed="false">
      <c r="A1256" s="13" t="n">
        <v>45755</v>
      </c>
      <c r="B1256" s="8" t="s">
        <v>31</v>
      </c>
      <c r="C1256" s="9" t="n">
        <v>300</v>
      </c>
      <c r="D1256" s="8" t="s">
        <v>45</v>
      </c>
      <c r="E1256" s="10" t="s">
        <v>234</v>
      </c>
      <c r="F1256" s="8" t="str">
        <f aca="false">TEXT(A1256,"MM-YYYY")</f>
        <v>04-2025</v>
      </c>
      <c r="G1256" s="8" t="s">
        <v>14</v>
      </c>
      <c r="H1256" s="8" t="s">
        <v>232</v>
      </c>
      <c r="I1256" s="7" t="n">
        <v>45755</v>
      </c>
      <c r="J1256" s="8" t="str">
        <f aca="false">VLOOKUP(B1256,Table3[#All],2,0)</f>
        <v>Bike Maintance</v>
      </c>
      <c r="K1256" s="8" t="str">
        <f aca="false">TEXT(ROW(), "0000")</f>
        <v>1256</v>
      </c>
      <c r="L1256" s="8"/>
    </row>
    <row r="1257" customFormat="false" ht="15.75" hidden="false" customHeight="true" outlineLevel="0" collapsed="false">
      <c r="A1257" s="13" t="n">
        <v>45755</v>
      </c>
      <c r="B1257" s="8" t="s">
        <v>34</v>
      </c>
      <c r="C1257" s="9" t="n">
        <v>200</v>
      </c>
      <c r="D1257" s="8" t="s">
        <v>45</v>
      </c>
      <c r="E1257" s="10" t="s">
        <v>267</v>
      </c>
      <c r="F1257" s="8" t="str">
        <f aca="false">TEXT(A1257,"MM-YYYY")</f>
        <v>04-2025</v>
      </c>
      <c r="G1257" s="8" t="s">
        <v>14</v>
      </c>
      <c r="H1257" s="8" t="s">
        <v>232</v>
      </c>
      <c r="I1257" s="7" t="n">
        <v>45755</v>
      </c>
      <c r="J1257" s="8" t="str">
        <f aca="false">VLOOKUP(B1257,Table3[#All],2,0)</f>
        <v>Staff Expenses</v>
      </c>
      <c r="K1257" s="8" t="str">
        <f aca="false">TEXT(ROW(), "0000")</f>
        <v>1257</v>
      </c>
      <c r="L1257" s="8"/>
    </row>
    <row r="1258" customFormat="false" ht="15.75" hidden="false" customHeight="true" outlineLevel="0" collapsed="false">
      <c r="A1258" s="13" t="n">
        <v>45755</v>
      </c>
      <c r="B1258" s="8" t="s">
        <v>16</v>
      </c>
      <c r="C1258" s="9" t="n">
        <v>1810</v>
      </c>
      <c r="D1258" s="8" t="s">
        <v>21</v>
      </c>
      <c r="E1258" s="10" t="s">
        <v>88</v>
      </c>
      <c r="F1258" s="8" t="str">
        <f aca="false">TEXT(A1258,"MM-YYYY")</f>
        <v>04-2025</v>
      </c>
      <c r="G1258" s="8"/>
      <c r="H1258" s="8"/>
      <c r="I1258" s="7"/>
      <c r="J1258" s="8" t="str">
        <f aca="false">VLOOKUP(B1258,Table3[#All],2,0)</f>
        <v>Sales</v>
      </c>
      <c r="K1258" s="8" t="str">
        <f aca="false">TEXT(ROW(), "0000")</f>
        <v>1258</v>
      </c>
      <c r="L1258" s="8"/>
    </row>
    <row r="1259" customFormat="false" ht="15.75" hidden="false" customHeight="true" outlineLevel="0" collapsed="false">
      <c r="A1259" s="13" t="n">
        <v>45755</v>
      </c>
      <c r="B1259" s="8" t="s">
        <v>16</v>
      </c>
      <c r="C1259" s="9" t="n">
        <v>11739</v>
      </c>
      <c r="D1259" s="8" t="s">
        <v>17</v>
      </c>
      <c r="E1259" s="10" t="s">
        <v>88</v>
      </c>
      <c r="F1259" s="8" t="str">
        <f aca="false">TEXT(A1259,"MM-YYYY")</f>
        <v>04-2025</v>
      </c>
      <c r="G1259" s="8"/>
      <c r="H1259" s="8"/>
      <c r="I1259" s="7"/>
      <c r="J1259" s="8" t="str">
        <f aca="false">VLOOKUP(B1259,Table3[#All],2,0)</f>
        <v>Sales</v>
      </c>
      <c r="K1259" s="8" t="str">
        <f aca="false">TEXT(ROW(), "0000")</f>
        <v>1259</v>
      </c>
      <c r="L1259" s="8"/>
    </row>
    <row r="1260" customFormat="false" ht="15.75" hidden="false" customHeight="true" outlineLevel="0" collapsed="false">
      <c r="A1260" s="13" t="n">
        <v>45755</v>
      </c>
      <c r="B1260" s="8" t="s">
        <v>16</v>
      </c>
      <c r="C1260" s="9" t="n">
        <v>550</v>
      </c>
      <c r="D1260" s="8" t="s">
        <v>59</v>
      </c>
      <c r="E1260" s="10" t="s">
        <v>88</v>
      </c>
      <c r="F1260" s="8" t="str">
        <f aca="false">TEXT(A1260,"MM-YYYY")</f>
        <v>04-2025</v>
      </c>
      <c r="G1260" s="8"/>
      <c r="H1260" s="8"/>
      <c r="I1260" s="7"/>
      <c r="J1260" s="8" t="str">
        <f aca="false">VLOOKUP(B1260,Table3[#All],2,0)</f>
        <v>Sales</v>
      </c>
      <c r="K1260" s="8" t="str">
        <f aca="false">TEXT(ROW(), "0000")</f>
        <v>1260</v>
      </c>
      <c r="L1260" s="8"/>
    </row>
    <row r="1261" customFormat="false" ht="15.75" hidden="false" customHeight="true" outlineLevel="0" collapsed="false">
      <c r="A1261" s="13" t="n">
        <v>45755</v>
      </c>
      <c r="B1261" s="8" t="s">
        <v>16</v>
      </c>
      <c r="C1261" s="9" t="n">
        <v>2358</v>
      </c>
      <c r="D1261" s="8" t="s">
        <v>24</v>
      </c>
      <c r="E1261" s="10" t="s">
        <v>217</v>
      </c>
      <c r="F1261" s="8" t="str">
        <f aca="false">TEXT(A1261,"MM-YYYY")</f>
        <v>04-2025</v>
      </c>
      <c r="G1261" s="8"/>
      <c r="H1261" s="8"/>
      <c r="I1261" s="7"/>
      <c r="J1261" s="8" t="str">
        <f aca="false">VLOOKUP(B1261,Table3[#All],2,0)</f>
        <v>Sales</v>
      </c>
      <c r="K1261" s="8" t="str">
        <f aca="false">TEXT(ROW(), "0000")</f>
        <v>1261</v>
      </c>
      <c r="L1261" s="8"/>
    </row>
    <row r="1262" customFormat="false" ht="15.75" hidden="false" customHeight="true" outlineLevel="0" collapsed="false">
      <c r="A1262" s="13" t="n">
        <v>45755</v>
      </c>
      <c r="B1262" s="8" t="s">
        <v>37</v>
      </c>
      <c r="C1262" s="9" t="n">
        <v>10</v>
      </c>
      <c r="D1262" s="8" t="s">
        <v>21</v>
      </c>
      <c r="E1262" s="8" t="s">
        <v>37</v>
      </c>
      <c r="F1262" s="8" t="str">
        <f aca="false">TEXT(A1262,"MM-YYYY")</f>
        <v>04-2025</v>
      </c>
      <c r="G1262" s="8" t="s">
        <v>14</v>
      </c>
      <c r="H1262" s="8" t="s">
        <v>15</v>
      </c>
      <c r="I1262" s="7" t="n">
        <v>45755</v>
      </c>
      <c r="J1262" s="8" t="str">
        <f aca="false">VLOOKUP(B1262,Table3[#All],2,0)</f>
        <v>Maintance</v>
      </c>
      <c r="K1262" s="8" t="str">
        <f aca="false">TEXT(ROW(), "0000")</f>
        <v>1262</v>
      </c>
      <c r="L1262" s="8"/>
    </row>
    <row r="1263" customFormat="false" ht="15.75" hidden="false" customHeight="true" outlineLevel="0" collapsed="false">
      <c r="A1263" s="13" t="n">
        <v>45755</v>
      </c>
      <c r="B1263" s="8" t="s">
        <v>29</v>
      </c>
      <c r="C1263" s="9" t="n">
        <v>362</v>
      </c>
      <c r="D1263" s="8" t="s">
        <v>13</v>
      </c>
      <c r="E1263" s="10" t="s">
        <v>30</v>
      </c>
      <c r="F1263" s="8" t="str">
        <f aca="false">TEXT(A1263,"MM-YYYY")</f>
        <v>04-2025</v>
      </c>
      <c r="G1263" s="8" t="s">
        <v>14</v>
      </c>
      <c r="H1263" s="8" t="s">
        <v>262</v>
      </c>
      <c r="I1263" s="7" t="n">
        <v>45780</v>
      </c>
      <c r="J1263" s="8" t="str">
        <f aca="false">VLOOKUP(B1263,Table3[#All],2,0)</f>
        <v>Inventory</v>
      </c>
      <c r="K1263" s="8" t="str">
        <f aca="false">TEXT(ROW(), "0000")</f>
        <v>1263</v>
      </c>
      <c r="L1263" s="8"/>
    </row>
    <row r="1264" customFormat="false" ht="15.75" hidden="false" customHeight="true" outlineLevel="0" collapsed="false">
      <c r="A1264" s="13" t="n">
        <v>45756</v>
      </c>
      <c r="B1264" s="8" t="s">
        <v>22</v>
      </c>
      <c r="C1264" s="9" t="n">
        <v>3533</v>
      </c>
      <c r="D1264" s="8" t="s">
        <v>13</v>
      </c>
      <c r="E1264" s="10" t="s">
        <v>23</v>
      </c>
      <c r="F1264" s="8" t="str">
        <f aca="false">TEXT(A1264,"MM-YYYY")</f>
        <v>04-2025</v>
      </c>
      <c r="G1264" s="8" t="s">
        <v>14</v>
      </c>
      <c r="H1264" s="8" t="s">
        <v>13</v>
      </c>
      <c r="I1264" s="7" t="n">
        <v>45763</v>
      </c>
      <c r="J1264" s="8" t="str">
        <f aca="false">VLOOKUP(B1264,Table3[#All],2,0)</f>
        <v>Inventory</v>
      </c>
      <c r="K1264" s="8" t="str">
        <f aca="false">TEXT(ROW(), "0000")</f>
        <v>1264</v>
      </c>
      <c r="L1264" s="8"/>
    </row>
    <row r="1265" customFormat="false" ht="15.75" hidden="false" customHeight="true" outlineLevel="0" collapsed="false">
      <c r="A1265" s="13" t="n">
        <v>45756</v>
      </c>
      <c r="B1265" s="8" t="s">
        <v>25</v>
      </c>
      <c r="C1265" s="9" t="n">
        <v>375</v>
      </c>
      <c r="D1265" s="8" t="s">
        <v>13</v>
      </c>
      <c r="E1265" s="10" t="s">
        <v>26</v>
      </c>
      <c r="F1265" s="8" t="str">
        <f aca="false">TEXT(A1265,"MM-YYYY")</f>
        <v>04-2025</v>
      </c>
      <c r="G1265" s="8" t="s">
        <v>14</v>
      </c>
      <c r="H1265" s="8" t="s">
        <v>13</v>
      </c>
      <c r="I1265" s="7" t="n">
        <v>45766</v>
      </c>
      <c r="J1265" s="8" t="str">
        <f aca="false">VLOOKUP(B1265,Table3[#All],2,0)</f>
        <v>Inventory</v>
      </c>
      <c r="K1265" s="8" t="str">
        <f aca="false">TEXT(ROW(), "0000")</f>
        <v>1265</v>
      </c>
      <c r="L1265" s="8"/>
    </row>
    <row r="1266" customFormat="false" ht="15.75" hidden="false" customHeight="true" outlineLevel="0" collapsed="false">
      <c r="A1266" s="13" t="n">
        <v>45756</v>
      </c>
      <c r="B1266" s="8" t="s">
        <v>19</v>
      </c>
      <c r="C1266" s="9" t="n">
        <v>3607</v>
      </c>
      <c r="D1266" s="8" t="s">
        <v>13</v>
      </c>
      <c r="E1266" s="10" t="s">
        <v>20</v>
      </c>
      <c r="F1266" s="8" t="str">
        <f aca="false">TEXT(A1266,"MM-YYYY")</f>
        <v>04-2025</v>
      </c>
      <c r="G1266" s="8" t="s">
        <v>14</v>
      </c>
      <c r="H1266" s="8" t="s">
        <v>13</v>
      </c>
      <c r="I1266" s="7" t="n">
        <v>45766</v>
      </c>
      <c r="J1266" s="8" t="str">
        <f aca="false">VLOOKUP(B1266,Table3[#All],2,0)</f>
        <v>Inventory</v>
      </c>
      <c r="K1266" s="8" t="str">
        <f aca="false">TEXT(ROW(), "0000")</f>
        <v>1266</v>
      </c>
      <c r="L1266" s="8"/>
    </row>
    <row r="1267" customFormat="false" ht="15.75" hidden="false" customHeight="true" outlineLevel="0" collapsed="false">
      <c r="A1267" s="13" t="n">
        <v>45756</v>
      </c>
      <c r="B1267" s="8" t="s">
        <v>28</v>
      </c>
      <c r="C1267" s="9" t="n">
        <v>690</v>
      </c>
      <c r="D1267" s="8" t="s">
        <v>21</v>
      </c>
      <c r="E1267" s="10" t="s">
        <v>93</v>
      </c>
      <c r="F1267" s="8" t="str">
        <f aca="false">TEXT(A1267,"MM-YYYY")</f>
        <v>04-2025</v>
      </c>
      <c r="G1267" s="8" t="s">
        <v>14</v>
      </c>
      <c r="H1267" s="8" t="s">
        <v>15</v>
      </c>
      <c r="I1267" s="7" t="n">
        <v>45756</v>
      </c>
      <c r="J1267" s="8" t="str">
        <f aca="false">VLOOKUP(B1267,Table3[#All],2,0)</f>
        <v>Grocery</v>
      </c>
      <c r="K1267" s="8" t="str">
        <f aca="false">TEXT(ROW(), "0000")</f>
        <v>1267</v>
      </c>
      <c r="L1267" s="8"/>
    </row>
    <row r="1268" customFormat="false" ht="15.75" hidden="false" customHeight="true" outlineLevel="0" collapsed="false">
      <c r="A1268" s="13" t="n">
        <v>45756</v>
      </c>
      <c r="B1268" s="8" t="s">
        <v>16</v>
      </c>
      <c r="C1268" s="9" t="n">
        <v>5600</v>
      </c>
      <c r="D1268" s="8" t="s">
        <v>21</v>
      </c>
      <c r="E1268" s="10" t="s">
        <v>88</v>
      </c>
      <c r="F1268" s="8" t="str">
        <f aca="false">TEXT(A1268,"MM-YYYY")</f>
        <v>04-2025</v>
      </c>
      <c r="G1268" s="8"/>
      <c r="H1268" s="8"/>
      <c r="I1268" s="7"/>
      <c r="J1268" s="8" t="str">
        <f aca="false">VLOOKUP(B1268,Table3[#All],2,0)</f>
        <v>Sales</v>
      </c>
      <c r="K1268" s="8" t="str">
        <f aca="false">TEXT(ROW(), "0000")</f>
        <v>1268</v>
      </c>
      <c r="L1268" s="8"/>
    </row>
    <row r="1269" customFormat="false" ht="15.75" hidden="false" customHeight="true" outlineLevel="0" collapsed="false">
      <c r="A1269" s="13" t="n">
        <v>45756</v>
      </c>
      <c r="B1269" s="8" t="s">
        <v>16</v>
      </c>
      <c r="C1269" s="9" t="n">
        <v>1370</v>
      </c>
      <c r="D1269" s="8" t="s">
        <v>27</v>
      </c>
      <c r="E1269" s="10" t="s">
        <v>88</v>
      </c>
      <c r="F1269" s="8" t="str">
        <f aca="false">TEXT(A1269,"MM-YYYY")</f>
        <v>04-2025</v>
      </c>
      <c r="G1269" s="8"/>
      <c r="H1269" s="8"/>
      <c r="I1269" s="7"/>
      <c r="J1269" s="8" t="str">
        <f aca="false">VLOOKUP(B1269,Table3[#All],2,0)</f>
        <v>Sales</v>
      </c>
      <c r="K1269" s="8" t="str">
        <f aca="false">TEXT(ROW(), "0000")</f>
        <v>1269</v>
      </c>
      <c r="L1269" s="8"/>
    </row>
    <row r="1270" customFormat="false" ht="15.75" hidden="false" customHeight="true" outlineLevel="0" collapsed="false">
      <c r="A1270" s="13" t="n">
        <v>45756</v>
      </c>
      <c r="B1270" s="8" t="s">
        <v>16</v>
      </c>
      <c r="C1270" s="9" t="n">
        <v>1260</v>
      </c>
      <c r="D1270" s="8" t="s">
        <v>33</v>
      </c>
      <c r="E1270" s="10" t="s">
        <v>88</v>
      </c>
      <c r="F1270" s="8" t="str">
        <f aca="false">TEXT(A1270,"MM-YYYY")</f>
        <v>04-2025</v>
      </c>
      <c r="G1270" s="8"/>
      <c r="H1270" s="8"/>
      <c r="I1270" s="7"/>
      <c r="J1270" s="8" t="str">
        <f aca="false">VLOOKUP(B1270,Table3[#All],2,0)</f>
        <v>Sales</v>
      </c>
      <c r="K1270" s="8" t="str">
        <f aca="false">TEXT(ROW(), "0000")</f>
        <v>1270</v>
      </c>
      <c r="L1270" s="8"/>
    </row>
    <row r="1271" customFormat="false" ht="15.75" hidden="false" customHeight="true" outlineLevel="0" collapsed="false">
      <c r="A1271" s="13" t="n">
        <v>45756</v>
      </c>
      <c r="B1271" s="8" t="s">
        <v>16</v>
      </c>
      <c r="C1271" s="9" t="n">
        <v>13055</v>
      </c>
      <c r="D1271" s="8" t="s">
        <v>17</v>
      </c>
      <c r="E1271" s="10" t="s">
        <v>88</v>
      </c>
      <c r="F1271" s="8" t="str">
        <f aca="false">TEXT(A1271,"MM-YYYY")</f>
        <v>04-2025</v>
      </c>
      <c r="G1271" s="8"/>
      <c r="H1271" s="8"/>
      <c r="I1271" s="7"/>
      <c r="J1271" s="8" t="str">
        <f aca="false">VLOOKUP(B1271,Table3[#All],2,0)</f>
        <v>Sales</v>
      </c>
      <c r="K1271" s="8" t="str">
        <f aca="false">TEXT(ROW(), "0000")</f>
        <v>1271</v>
      </c>
      <c r="L1271" s="8"/>
    </row>
    <row r="1272" customFormat="false" ht="15.75" hidden="false" customHeight="true" outlineLevel="0" collapsed="false">
      <c r="A1272" s="13" t="n">
        <v>45756</v>
      </c>
      <c r="B1272" s="8" t="s">
        <v>16</v>
      </c>
      <c r="C1272" s="9" t="n">
        <v>860</v>
      </c>
      <c r="D1272" s="8" t="s">
        <v>59</v>
      </c>
      <c r="E1272" s="10" t="s">
        <v>88</v>
      </c>
      <c r="F1272" s="8" t="str">
        <f aca="false">TEXT(A1272,"MM-YYYY")</f>
        <v>04-2025</v>
      </c>
      <c r="G1272" s="8"/>
      <c r="H1272" s="8"/>
      <c r="I1272" s="7"/>
      <c r="J1272" s="8" t="str">
        <f aca="false">VLOOKUP(B1272,Table3[#All],2,0)</f>
        <v>Sales</v>
      </c>
      <c r="K1272" s="8" t="str">
        <f aca="false">TEXT(ROW(), "0000")</f>
        <v>1272</v>
      </c>
      <c r="L1272" s="8"/>
    </row>
    <row r="1273" customFormat="false" ht="15.75" hidden="false" customHeight="true" outlineLevel="0" collapsed="false">
      <c r="A1273" s="13" t="n">
        <v>45756</v>
      </c>
      <c r="B1273" s="8" t="s">
        <v>16</v>
      </c>
      <c r="C1273" s="9" t="n">
        <v>2057</v>
      </c>
      <c r="D1273" s="8" t="s">
        <v>24</v>
      </c>
      <c r="E1273" s="10" t="s">
        <v>217</v>
      </c>
      <c r="F1273" s="8" t="str">
        <f aca="false">TEXT(A1273,"MM-YYYY")</f>
        <v>04-2025</v>
      </c>
      <c r="G1273" s="8"/>
      <c r="H1273" s="8"/>
      <c r="I1273" s="7"/>
      <c r="J1273" s="8" t="str">
        <f aca="false">VLOOKUP(B1273,Table3[#All],2,0)</f>
        <v>Sales</v>
      </c>
      <c r="K1273" s="8" t="str">
        <f aca="false">TEXT(ROW(), "0000")</f>
        <v>1273</v>
      </c>
      <c r="L1273" s="8"/>
    </row>
    <row r="1274" customFormat="false" ht="15.75" hidden="false" customHeight="true" outlineLevel="0" collapsed="false">
      <c r="A1274" s="13" t="n">
        <v>45756</v>
      </c>
      <c r="B1274" s="8" t="s">
        <v>34</v>
      </c>
      <c r="C1274" s="9" t="n">
        <v>100</v>
      </c>
      <c r="D1274" s="8" t="s">
        <v>45</v>
      </c>
      <c r="E1274" s="10" t="s">
        <v>267</v>
      </c>
      <c r="F1274" s="8" t="str">
        <f aca="false">TEXT(A1274,"MM-YYYY")</f>
        <v>04-2025</v>
      </c>
      <c r="G1274" s="8" t="s">
        <v>14</v>
      </c>
      <c r="H1274" s="8" t="s">
        <v>232</v>
      </c>
      <c r="I1274" s="7" t="n">
        <v>45756</v>
      </c>
      <c r="J1274" s="8" t="str">
        <f aca="false">VLOOKUP(B1274,Table3[#All],2,0)</f>
        <v>Staff Expenses</v>
      </c>
      <c r="K1274" s="8" t="str">
        <f aca="false">TEXT(ROW(), "0000")</f>
        <v>1274</v>
      </c>
      <c r="L1274" s="8"/>
    </row>
    <row r="1275" customFormat="false" ht="15.75" hidden="false" customHeight="true" outlineLevel="0" collapsed="false">
      <c r="A1275" s="13" t="n">
        <v>45756</v>
      </c>
      <c r="B1275" s="8" t="s">
        <v>43</v>
      </c>
      <c r="C1275" s="9" t="n">
        <v>250</v>
      </c>
      <c r="D1275" s="8" t="s">
        <v>45</v>
      </c>
      <c r="E1275" s="10" t="s">
        <v>271</v>
      </c>
      <c r="F1275" s="8" t="str">
        <f aca="false">TEXT(A1275,"MM-YYYY")</f>
        <v>04-2025</v>
      </c>
      <c r="G1275" s="8" t="s">
        <v>14</v>
      </c>
      <c r="H1275" s="8" t="s">
        <v>232</v>
      </c>
      <c r="I1275" s="7" t="n">
        <v>45756</v>
      </c>
      <c r="J1275" s="8" t="str">
        <f aca="false">VLOOKUP(B1275,Table3[#All],2,0)</f>
        <v>Maintance</v>
      </c>
      <c r="K1275" s="8" t="str">
        <f aca="false">TEXT(ROW(), "0000")</f>
        <v>1275</v>
      </c>
      <c r="L1275" s="8"/>
    </row>
    <row r="1276" customFormat="false" ht="15.75" hidden="false" customHeight="true" outlineLevel="0" collapsed="false">
      <c r="A1276" s="13" t="n">
        <v>45756</v>
      </c>
      <c r="B1276" s="8" t="s">
        <v>44</v>
      </c>
      <c r="C1276" s="9" t="n">
        <v>1000</v>
      </c>
      <c r="D1276" s="8" t="s">
        <v>45</v>
      </c>
      <c r="E1276" s="10" t="s">
        <v>211</v>
      </c>
      <c r="F1276" s="8" t="str">
        <f aca="false">TEXT(A1276,"MM-YYYY")</f>
        <v>04-2025</v>
      </c>
      <c r="G1276" s="8" t="s">
        <v>14</v>
      </c>
      <c r="H1276" s="8" t="s">
        <v>232</v>
      </c>
      <c r="I1276" s="7" t="n">
        <v>45756</v>
      </c>
      <c r="J1276" s="8" t="str">
        <f aca="false">VLOOKUP(B1276,Table3[#All],2,0)</f>
        <v>Salary</v>
      </c>
      <c r="K1276" s="8" t="str">
        <f aca="false">TEXT(ROW(), "0000")</f>
        <v>1276</v>
      </c>
      <c r="L1276" s="8"/>
    </row>
    <row r="1277" customFormat="false" ht="15.75" hidden="false" customHeight="true" outlineLevel="0" collapsed="false">
      <c r="A1277" s="13" t="n">
        <v>45756</v>
      </c>
      <c r="B1277" s="8" t="s">
        <v>37</v>
      </c>
      <c r="C1277" s="9" t="n">
        <v>10</v>
      </c>
      <c r="D1277" s="8" t="s">
        <v>21</v>
      </c>
      <c r="E1277" s="8" t="s">
        <v>37</v>
      </c>
      <c r="F1277" s="8" t="str">
        <f aca="false">TEXT(A1277,"MM-YYYY")</f>
        <v>04-2025</v>
      </c>
      <c r="G1277" s="8" t="s">
        <v>14</v>
      </c>
      <c r="H1277" s="8" t="s">
        <v>232</v>
      </c>
      <c r="I1277" s="7" t="n">
        <v>45756</v>
      </c>
      <c r="J1277" s="8" t="str">
        <f aca="false">VLOOKUP(B1277,Table3[#All],2,0)</f>
        <v>Maintance</v>
      </c>
      <c r="K1277" s="8" t="str">
        <f aca="false">TEXT(ROW(), "0000")</f>
        <v>1277</v>
      </c>
      <c r="L1277" s="8"/>
    </row>
    <row r="1278" customFormat="false" ht="15.75" hidden="false" customHeight="true" outlineLevel="0" collapsed="false">
      <c r="A1278" s="13" t="n">
        <v>45756</v>
      </c>
      <c r="B1278" s="8" t="s">
        <v>29</v>
      </c>
      <c r="C1278" s="9" t="n">
        <v>344</v>
      </c>
      <c r="D1278" s="8" t="s">
        <v>13</v>
      </c>
      <c r="E1278" s="10" t="s">
        <v>30</v>
      </c>
      <c r="F1278" s="8" t="str">
        <f aca="false">TEXT(A1278,"MM-YYYY")</f>
        <v>04-2025</v>
      </c>
      <c r="G1278" s="8" t="s">
        <v>14</v>
      </c>
      <c r="H1278" s="8" t="s">
        <v>262</v>
      </c>
      <c r="I1278" s="7" t="n">
        <v>45780</v>
      </c>
      <c r="J1278" s="8" t="str">
        <f aca="false">VLOOKUP(B1278,Table3[#All],2,0)</f>
        <v>Inventory</v>
      </c>
      <c r="K1278" s="8" t="str">
        <f aca="false">TEXT(ROW(), "0000")</f>
        <v>1278</v>
      </c>
      <c r="L1278" s="8"/>
    </row>
    <row r="1279" customFormat="false" ht="15.75" hidden="false" customHeight="true" outlineLevel="0" collapsed="false">
      <c r="A1279" s="13" t="n">
        <v>45757</v>
      </c>
      <c r="B1279" s="8" t="s">
        <v>29</v>
      </c>
      <c r="C1279" s="9" t="n">
        <v>568</v>
      </c>
      <c r="D1279" s="8" t="s">
        <v>13</v>
      </c>
      <c r="E1279" s="10" t="s">
        <v>30</v>
      </c>
      <c r="F1279" s="8" t="str">
        <f aca="false">TEXT(A1279,"MM-YYYY")</f>
        <v>04-2025</v>
      </c>
      <c r="G1279" s="8" t="s">
        <v>14</v>
      </c>
      <c r="H1279" s="8" t="s">
        <v>262</v>
      </c>
      <c r="I1279" s="7" t="n">
        <v>45780</v>
      </c>
      <c r="J1279" s="8" t="str">
        <f aca="false">VLOOKUP(B1279,Table3[#All],2,0)</f>
        <v>Inventory</v>
      </c>
      <c r="K1279" s="8" t="str">
        <f aca="false">TEXT(ROW(), "0000")</f>
        <v>1279</v>
      </c>
      <c r="L1279" s="8"/>
    </row>
    <row r="1280" customFormat="false" ht="15.75" hidden="false" customHeight="true" outlineLevel="0" collapsed="false">
      <c r="A1280" s="13" t="n">
        <v>45757</v>
      </c>
      <c r="B1280" s="8" t="s">
        <v>19</v>
      </c>
      <c r="C1280" s="9" t="n">
        <v>4333</v>
      </c>
      <c r="D1280" s="8" t="s">
        <v>13</v>
      </c>
      <c r="E1280" s="10" t="s">
        <v>20</v>
      </c>
      <c r="F1280" s="8" t="str">
        <f aca="false">TEXT(A1280,"MM-YYYY")</f>
        <v>04-2025</v>
      </c>
      <c r="G1280" s="8" t="s">
        <v>14</v>
      </c>
      <c r="H1280" s="8" t="s">
        <v>13</v>
      </c>
      <c r="I1280" s="7" t="n">
        <v>45762</v>
      </c>
      <c r="J1280" s="8" t="str">
        <f aca="false">VLOOKUP(B1280,Table3[#All],2,0)</f>
        <v>Inventory</v>
      </c>
      <c r="K1280" s="8" t="str">
        <f aca="false">TEXT(ROW(), "0000")</f>
        <v>1280</v>
      </c>
      <c r="L1280" s="8"/>
    </row>
    <row r="1281" customFormat="false" ht="15.75" hidden="false" customHeight="true" outlineLevel="0" collapsed="false">
      <c r="A1281" s="13" t="n">
        <v>45757</v>
      </c>
      <c r="B1281" s="8" t="s">
        <v>53</v>
      </c>
      <c r="C1281" s="9" t="n">
        <v>1200</v>
      </c>
      <c r="D1281" s="8" t="s">
        <v>21</v>
      </c>
      <c r="E1281" s="10" t="s">
        <v>55</v>
      </c>
      <c r="F1281" s="8" t="str">
        <f aca="false">TEXT(A1281,"MM-YYYY")</f>
        <v>04-2025</v>
      </c>
      <c r="G1281" s="8" t="s">
        <v>14</v>
      </c>
      <c r="H1281" s="8" t="s">
        <v>15</v>
      </c>
      <c r="I1281" s="7" t="n">
        <v>45757</v>
      </c>
      <c r="J1281" s="8" t="str">
        <f aca="false">VLOOKUP(B1281,Table3[#All],2,0)</f>
        <v>Grocery</v>
      </c>
      <c r="K1281" s="8" t="str">
        <f aca="false">TEXT(ROW(), "0000")</f>
        <v>1281</v>
      </c>
      <c r="L1281" s="8"/>
    </row>
    <row r="1282" customFormat="false" ht="15.75" hidden="false" customHeight="true" outlineLevel="0" collapsed="false">
      <c r="A1282" s="13" t="n">
        <v>45757</v>
      </c>
      <c r="B1282" s="8" t="s">
        <v>22</v>
      </c>
      <c r="C1282" s="9" t="n">
        <v>2906</v>
      </c>
      <c r="D1282" s="8" t="s">
        <v>13</v>
      </c>
      <c r="E1282" s="10" t="s">
        <v>23</v>
      </c>
      <c r="F1282" s="8" t="str">
        <f aca="false">TEXT(A1282,"MM-YYYY")</f>
        <v>04-2025</v>
      </c>
      <c r="G1282" s="8" t="s">
        <v>14</v>
      </c>
      <c r="H1282" s="8" t="s">
        <v>13</v>
      </c>
      <c r="I1282" s="7" t="n">
        <v>45763</v>
      </c>
      <c r="J1282" s="8" t="str">
        <f aca="false">VLOOKUP(B1282,Table3[#All],2,0)</f>
        <v>Inventory</v>
      </c>
      <c r="K1282" s="8" t="str">
        <f aca="false">TEXT(ROW(), "0000")</f>
        <v>1282</v>
      </c>
      <c r="L1282" s="8"/>
    </row>
    <row r="1283" customFormat="false" ht="15.75" hidden="false" customHeight="true" outlineLevel="0" collapsed="false">
      <c r="A1283" s="13" t="n">
        <v>45757</v>
      </c>
      <c r="B1283" s="8" t="s">
        <v>32</v>
      </c>
      <c r="C1283" s="9" t="n">
        <v>525</v>
      </c>
      <c r="D1283" s="8" t="s">
        <v>21</v>
      </c>
      <c r="E1283" s="10" t="s">
        <v>38</v>
      </c>
      <c r="F1283" s="8" t="str">
        <f aca="false">TEXT(A1283,"MM-YYYY")</f>
        <v>04-2025</v>
      </c>
      <c r="G1283" s="8" t="s">
        <v>14</v>
      </c>
      <c r="H1283" s="8" t="s">
        <v>15</v>
      </c>
      <c r="I1283" s="7" t="n">
        <v>45757</v>
      </c>
      <c r="J1283" s="8" t="str">
        <f aca="false">VLOOKUP(B1283,Table3[#All],2,0)</f>
        <v>Grocery</v>
      </c>
      <c r="K1283" s="8" t="str">
        <f aca="false">TEXT(ROW(), "0000")</f>
        <v>1283</v>
      </c>
      <c r="L1283" s="8"/>
    </row>
    <row r="1284" customFormat="false" ht="15.75" hidden="false" customHeight="true" outlineLevel="0" collapsed="false">
      <c r="A1284" s="13" t="n">
        <v>45757</v>
      </c>
      <c r="B1284" s="8" t="s">
        <v>51</v>
      </c>
      <c r="C1284" s="9" t="n">
        <v>5140</v>
      </c>
      <c r="D1284" s="8" t="s">
        <v>13</v>
      </c>
      <c r="E1284" s="10" t="s">
        <v>226</v>
      </c>
      <c r="F1284" s="8" t="str">
        <f aca="false">TEXT(A1284,"MM-YYYY")</f>
        <v>04-2025</v>
      </c>
      <c r="G1284" s="8" t="s">
        <v>14</v>
      </c>
      <c r="H1284" s="8" t="s">
        <v>13</v>
      </c>
      <c r="I1284" s="7" t="n">
        <v>45771</v>
      </c>
      <c r="J1284" s="8" t="str">
        <f aca="false">VLOOKUP(B1284,Table3[#All],2,0)</f>
        <v>Inventory</v>
      </c>
      <c r="K1284" s="8" t="str">
        <f aca="false">TEXT(ROW(), "0000")</f>
        <v>1284</v>
      </c>
      <c r="L1284" s="8"/>
    </row>
    <row r="1285" customFormat="false" ht="15.75" hidden="false" customHeight="true" outlineLevel="0" collapsed="false">
      <c r="A1285" s="13" t="n">
        <v>45757</v>
      </c>
      <c r="B1285" s="8" t="s">
        <v>16</v>
      </c>
      <c r="C1285" s="9" t="n">
        <v>4635</v>
      </c>
      <c r="D1285" s="8" t="s">
        <v>21</v>
      </c>
      <c r="E1285" s="10" t="s">
        <v>88</v>
      </c>
      <c r="F1285" s="8" t="str">
        <f aca="false">TEXT(A1285,"MM-YYYY")</f>
        <v>04-2025</v>
      </c>
      <c r="G1285" s="8"/>
      <c r="H1285" s="8"/>
      <c r="I1285" s="7"/>
      <c r="J1285" s="8" t="str">
        <f aca="false">VLOOKUP(B1285,Table3[#All],2,0)</f>
        <v>Sales</v>
      </c>
      <c r="K1285" s="8" t="str">
        <f aca="false">TEXT(ROW(), "0000")</f>
        <v>1285</v>
      </c>
      <c r="L1285" s="8"/>
    </row>
    <row r="1286" customFormat="false" ht="15.75" hidden="false" customHeight="true" outlineLevel="0" collapsed="false">
      <c r="A1286" s="13" t="n">
        <v>45757</v>
      </c>
      <c r="B1286" s="8" t="s">
        <v>16</v>
      </c>
      <c r="C1286" s="9" t="n">
        <v>1155</v>
      </c>
      <c r="D1286" s="8" t="s">
        <v>27</v>
      </c>
      <c r="E1286" s="10" t="s">
        <v>88</v>
      </c>
      <c r="F1286" s="8" t="str">
        <f aca="false">TEXT(A1286,"MM-YYYY")</f>
        <v>04-2025</v>
      </c>
      <c r="G1286" s="8"/>
      <c r="H1286" s="8"/>
      <c r="I1286" s="7"/>
      <c r="J1286" s="8" t="str">
        <f aca="false">VLOOKUP(B1286,Table3[#All],2,0)</f>
        <v>Sales</v>
      </c>
      <c r="K1286" s="8" t="str">
        <f aca="false">TEXT(ROW(), "0000")</f>
        <v>1286</v>
      </c>
      <c r="L1286" s="8"/>
    </row>
    <row r="1287" customFormat="false" ht="15.75" hidden="false" customHeight="true" outlineLevel="0" collapsed="false">
      <c r="A1287" s="13" t="n">
        <v>45757</v>
      </c>
      <c r="B1287" s="8" t="s">
        <v>16</v>
      </c>
      <c r="C1287" s="9" t="n">
        <v>500</v>
      </c>
      <c r="D1287" s="8" t="s">
        <v>33</v>
      </c>
      <c r="E1287" s="10" t="s">
        <v>88</v>
      </c>
      <c r="F1287" s="8" t="str">
        <f aca="false">TEXT(A1287,"MM-YYYY")</f>
        <v>04-2025</v>
      </c>
      <c r="G1287" s="8"/>
      <c r="H1287" s="8"/>
      <c r="I1287" s="7"/>
      <c r="J1287" s="8" t="str">
        <f aca="false">VLOOKUP(B1287,Table3[#All],2,0)</f>
        <v>Sales</v>
      </c>
      <c r="K1287" s="8" t="str">
        <f aca="false">TEXT(ROW(), "0000")</f>
        <v>1287</v>
      </c>
      <c r="L1287" s="8"/>
    </row>
    <row r="1288" customFormat="false" ht="15.75" hidden="false" customHeight="true" outlineLevel="0" collapsed="false">
      <c r="A1288" s="13" t="n">
        <v>45757</v>
      </c>
      <c r="B1288" s="8" t="s">
        <v>16</v>
      </c>
      <c r="C1288" s="9" t="n">
        <v>9400</v>
      </c>
      <c r="D1288" s="8" t="s">
        <v>17</v>
      </c>
      <c r="E1288" s="10" t="s">
        <v>88</v>
      </c>
      <c r="F1288" s="8" t="str">
        <f aca="false">TEXT(A1288,"MM-YYYY")</f>
        <v>04-2025</v>
      </c>
      <c r="G1288" s="8"/>
      <c r="H1288" s="8"/>
      <c r="I1288" s="7"/>
      <c r="J1288" s="8" t="str">
        <f aca="false">VLOOKUP(B1288,Table3[#All],2,0)</f>
        <v>Sales</v>
      </c>
      <c r="K1288" s="8" t="str">
        <f aca="false">TEXT(ROW(), "0000")</f>
        <v>1288</v>
      </c>
      <c r="L1288" s="8"/>
    </row>
    <row r="1289" customFormat="false" ht="15.75" hidden="false" customHeight="true" outlineLevel="0" collapsed="false">
      <c r="A1289" s="13" t="n">
        <v>45757</v>
      </c>
      <c r="B1289" s="8" t="s">
        <v>16</v>
      </c>
      <c r="C1289" s="9" t="n">
        <v>1048</v>
      </c>
      <c r="D1289" s="8" t="s">
        <v>59</v>
      </c>
      <c r="E1289" s="10" t="s">
        <v>88</v>
      </c>
      <c r="F1289" s="8" t="str">
        <f aca="false">TEXT(A1289,"MM-YYYY")</f>
        <v>04-2025</v>
      </c>
      <c r="G1289" s="8"/>
      <c r="H1289" s="8"/>
      <c r="I1289" s="7"/>
      <c r="J1289" s="8" t="str">
        <f aca="false">VLOOKUP(B1289,Table3[#All],2,0)</f>
        <v>Sales</v>
      </c>
      <c r="K1289" s="8" t="str">
        <f aca="false">TEXT(ROW(), "0000")</f>
        <v>1289</v>
      </c>
      <c r="L1289" s="8"/>
    </row>
    <row r="1290" customFormat="false" ht="15.75" hidden="false" customHeight="true" outlineLevel="0" collapsed="false">
      <c r="A1290" s="13" t="n">
        <v>45757</v>
      </c>
      <c r="B1290" s="8" t="s">
        <v>16</v>
      </c>
      <c r="C1290" s="9" t="n">
        <v>4223</v>
      </c>
      <c r="D1290" s="8" t="s">
        <v>24</v>
      </c>
      <c r="E1290" s="10" t="s">
        <v>217</v>
      </c>
      <c r="F1290" s="8" t="str">
        <f aca="false">TEXT(A1290,"MM-YYYY")</f>
        <v>04-2025</v>
      </c>
      <c r="G1290" s="8"/>
      <c r="H1290" s="8"/>
      <c r="I1290" s="7"/>
      <c r="J1290" s="8" t="str">
        <f aca="false">VLOOKUP(B1290,Table3[#All],2,0)</f>
        <v>Sales</v>
      </c>
      <c r="K1290" s="8" t="str">
        <f aca="false">TEXT(ROW(), "0000")</f>
        <v>1290</v>
      </c>
      <c r="L1290" s="8"/>
    </row>
    <row r="1291" customFormat="false" ht="15.75" hidden="false" customHeight="true" outlineLevel="0" collapsed="false">
      <c r="A1291" s="13" t="n">
        <v>45757</v>
      </c>
      <c r="B1291" s="8" t="s">
        <v>40</v>
      </c>
      <c r="C1291" s="9" t="n">
        <v>1480</v>
      </c>
      <c r="D1291" s="8" t="s">
        <v>45</v>
      </c>
      <c r="E1291" s="10" t="s">
        <v>46</v>
      </c>
      <c r="F1291" s="8" t="str">
        <f aca="false">TEXT(A1291,"MM-YYYY")</f>
        <v>04-2025</v>
      </c>
      <c r="G1291" s="8" t="s">
        <v>14</v>
      </c>
      <c r="H1291" s="8" t="s">
        <v>232</v>
      </c>
      <c r="I1291" s="7" t="n">
        <v>45757</v>
      </c>
      <c r="J1291" s="8" t="str">
        <f aca="false">VLOOKUP(B1291,Table3[#All],2,0)</f>
        <v>Inventory</v>
      </c>
      <c r="K1291" s="8" t="str">
        <f aca="false">TEXT(ROW(), "0000")</f>
        <v>1291</v>
      </c>
      <c r="L1291" s="8"/>
    </row>
    <row r="1292" customFormat="false" ht="15.75" hidden="false" customHeight="true" outlineLevel="0" collapsed="false">
      <c r="A1292" s="13" t="n">
        <v>45757</v>
      </c>
      <c r="B1292" s="8" t="s">
        <v>25</v>
      </c>
      <c r="C1292" s="9" t="n">
        <v>420</v>
      </c>
      <c r="D1292" s="8" t="s">
        <v>45</v>
      </c>
      <c r="E1292" s="10" t="s">
        <v>272</v>
      </c>
      <c r="F1292" s="8" t="str">
        <f aca="false">TEXT(A1292,"MM-YYYY")</f>
        <v>04-2025</v>
      </c>
      <c r="G1292" s="8" t="s">
        <v>14</v>
      </c>
      <c r="H1292" s="8" t="s">
        <v>232</v>
      </c>
      <c r="I1292" s="7" t="n">
        <v>45757</v>
      </c>
      <c r="J1292" s="8" t="str">
        <f aca="false">VLOOKUP(B1292,Table3[#All],2,0)</f>
        <v>Inventory</v>
      </c>
      <c r="K1292" s="8" t="str">
        <f aca="false">TEXT(ROW(), "0000")</f>
        <v>1292</v>
      </c>
      <c r="L1292" s="8"/>
    </row>
    <row r="1293" customFormat="false" ht="15.75" hidden="false" customHeight="true" outlineLevel="0" collapsed="false">
      <c r="A1293" s="13" t="n">
        <v>45757</v>
      </c>
      <c r="B1293" s="8" t="s">
        <v>34</v>
      </c>
      <c r="C1293" s="9" t="n">
        <v>200</v>
      </c>
      <c r="D1293" s="8" t="s">
        <v>45</v>
      </c>
      <c r="E1293" s="10" t="s">
        <v>267</v>
      </c>
      <c r="F1293" s="8" t="str">
        <f aca="false">TEXT(A1293,"MM-YYYY")</f>
        <v>04-2025</v>
      </c>
      <c r="G1293" s="8" t="s">
        <v>14</v>
      </c>
      <c r="H1293" s="8" t="s">
        <v>232</v>
      </c>
      <c r="I1293" s="7" t="n">
        <v>45757</v>
      </c>
      <c r="J1293" s="8" t="str">
        <f aca="false">VLOOKUP(B1293,Table3[#All],2,0)</f>
        <v>Staff Expenses</v>
      </c>
      <c r="K1293" s="8" t="str">
        <f aca="false">TEXT(ROW(), "0000")</f>
        <v>1293</v>
      </c>
      <c r="L1293" s="8"/>
    </row>
    <row r="1294" customFormat="false" ht="15.75" hidden="false" customHeight="true" outlineLevel="0" collapsed="false">
      <c r="A1294" s="13" t="n">
        <v>45757</v>
      </c>
      <c r="B1294" s="8" t="s">
        <v>37</v>
      </c>
      <c r="C1294" s="9" t="n">
        <v>10</v>
      </c>
      <c r="D1294" s="8" t="s">
        <v>21</v>
      </c>
      <c r="E1294" s="8" t="s">
        <v>37</v>
      </c>
      <c r="F1294" s="8" t="str">
        <f aca="false">TEXT(A1294,"MM-YYYY")</f>
        <v>04-2025</v>
      </c>
      <c r="G1294" s="8" t="s">
        <v>14</v>
      </c>
      <c r="H1294" s="8" t="s">
        <v>15</v>
      </c>
      <c r="I1294" s="7" t="n">
        <v>45757</v>
      </c>
      <c r="J1294" s="8" t="str">
        <f aca="false">VLOOKUP(B1294,Table3[#All],2,0)</f>
        <v>Maintance</v>
      </c>
      <c r="K1294" s="8" t="str">
        <f aca="false">TEXT(ROW(), "0000")</f>
        <v>1294</v>
      </c>
      <c r="L1294" s="8"/>
    </row>
    <row r="1295" customFormat="false" ht="15.75" hidden="false" customHeight="true" outlineLevel="0" collapsed="false">
      <c r="A1295" s="13" t="n">
        <v>45757</v>
      </c>
      <c r="B1295" s="8" t="s">
        <v>25</v>
      </c>
      <c r="C1295" s="9" t="n">
        <v>1126</v>
      </c>
      <c r="D1295" s="8" t="s">
        <v>13</v>
      </c>
      <c r="E1295" s="10" t="s">
        <v>26</v>
      </c>
      <c r="F1295" s="8" t="str">
        <f aca="false">TEXT(A1295,"MM-YYYY")</f>
        <v>04-2025</v>
      </c>
      <c r="G1295" s="8" t="s">
        <v>14</v>
      </c>
      <c r="H1295" s="8" t="s">
        <v>13</v>
      </c>
      <c r="I1295" s="7" t="n">
        <v>45766</v>
      </c>
      <c r="J1295" s="8" t="str">
        <f aca="false">VLOOKUP(B1295,Table3[#All],2,0)</f>
        <v>Inventory</v>
      </c>
      <c r="K1295" s="8" t="str">
        <f aca="false">TEXT(ROW(), "0000")</f>
        <v>1295</v>
      </c>
      <c r="L1295" s="8"/>
    </row>
    <row r="1296" customFormat="false" ht="15.75" hidden="false" customHeight="true" outlineLevel="0" collapsed="false">
      <c r="A1296" s="13" t="n">
        <v>45758</v>
      </c>
      <c r="B1296" s="8" t="s">
        <v>32</v>
      </c>
      <c r="C1296" s="9" t="n">
        <v>175</v>
      </c>
      <c r="D1296" s="8" t="s">
        <v>21</v>
      </c>
      <c r="E1296" s="10" t="s">
        <v>38</v>
      </c>
      <c r="F1296" s="8" t="str">
        <f aca="false">TEXT(A1296,"MM-YYYY")</f>
        <v>04-2025</v>
      </c>
      <c r="G1296" s="8" t="s">
        <v>14</v>
      </c>
      <c r="H1296" s="8" t="s">
        <v>15</v>
      </c>
      <c r="I1296" s="7" t="n">
        <v>45758</v>
      </c>
      <c r="J1296" s="8" t="str">
        <f aca="false">VLOOKUP(B1296,Table3[#All],2,0)</f>
        <v>Grocery</v>
      </c>
      <c r="K1296" s="8" t="str">
        <f aca="false">TEXT(ROW(), "0000")</f>
        <v>1296</v>
      </c>
      <c r="L1296" s="8"/>
    </row>
    <row r="1297" customFormat="false" ht="15.75" hidden="false" customHeight="true" outlineLevel="0" collapsed="false">
      <c r="A1297" s="13" t="n">
        <v>45758</v>
      </c>
      <c r="B1297" s="8" t="s">
        <v>22</v>
      </c>
      <c r="C1297" s="9" t="n">
        <v>110</v>
      </c>
      <c r="D1297" s="8" t="s">
        <v>21</v>
      </c>
      <c r="E1297" s="10" t="s">
        <v>213</v>
      </c>
      <c r="F1297" s="8" t="str">
        <f aca="false">TEXT(A1297,"MM-YYYY")</f>
        <v>04-2025</v>
      </c>
      <c r="G1297" s="8" t="s">
        <v>14</v>
      </c>
      <c r="H1297" s="8" t="s">
        <v>15</v>
      </c>
      <c r="I1297" s="7" t="n">
        <v>45758</v>
      </c>
      <c r="J1297" s="8" t="str">
        <f aca="false">VLOOKUP(B1297,Table3[#All],2,0)</f>
        <v>Inventory</v>
      </c>
      <c r="K1297" s="8" t="str">
        <f aca="false">TEXT(ROW(), "0000")</f>
        <v>1297</v>
      </c>
      <c r="L1297" s="8"/>
    </row>
    <row r="1298" customFormat="false" ht="15.75" hidden="false" customHeight="true" outlineLevel="0" collapsed="false">
      <c r="A1298" s="13" t="n">
        <v>45758</v>
      </c>
      <c r="B1298" s="8" t="s">
        <v>25</v>
      </c>
      <c r="C1298" s="9" t="n">
        <v>1331</v>
      </c>
      <c r="D1298" s="8" t="s">
        <v>13</v>
      </c>
      <c r="E1298" s="10" t="s">
        <v>26</v>
      </c>
      <c r="F1298" s="8" t="str">
        <f aca="false">TEXT(A1298,"MM-YYYY")</f>
        <v>04-2025</v>
      </c>
      <c r="G1298" s="8" t="s">
        <v>14</v>
      </c>
      <c r="H1298" s="8" t="s">
        <v>13</v>
      </c>
      <c r="I1298" s="7" t="n">
        <v>45780</v>
      </c>
      <c r="J1298" s="8" t="str">
        <f aca="false">VLOOKUP(B1298,Table3[#All],2,0)</f>
        <v>Inventory</v>
      </c>
      <c r="K1298" s="8" t="str">
        <f aca="false">TEXT(ROW(), "0000")</f>
        <v>1298</v>
      </c>
      <c r="L1298" s="8"/>
    </row>
    <row r="1299" customFormat="false" ht="15.75" hidden="false" customHeight="true" outlineLevel="0" collapsed="false">
      <c r="A1299" s="13" t="n">
        <v>45758</v>
      </c>
      <c r="B1299" s="8" t="s">
        <v>19</v>
      </c>
      <c r="C1299" s="9" t="n">
        <v>3806</v>
      </c>
      <c r="D1299" s="8" t="s">
        <v>13</v>
      </c>
      <c r="E1299" s="10" t="s">
        <v>20</v>
      </c>
      <c r="F1299" s="8" t="str">
        <f aca="false">TEXT(A1299,"MM-YYYY")</f>
        <v>04-2025</v>
      </c>
      <c r="G1299" s="8" t="s">
        <v>14</v>
      </c>
      <c r="H1299" s="8" t="s">
        <v>13</v>
      </c>
      <c r="I1299" s="7" t="n">
        <v>45763</v>
      </c>
      <c r="J1299" s="8" t="str">
        <f aca="false">VLOOKUP(B1299,Table3[#All],2,0)</f>
        <v>Inventory</v>
      </c>
      <c r="K1299" s="8" t="str">
        <f aca="false">TEXT(ROW(), "0000")</f>
        <v>1299</v>
      </c>
      <c r="L1299" s="8"/>
    </row>
    <row r="1300" customFormat="false" ht="15.75" hidden="false" customHeight="true" outlineLevel="0" collapsed="false">
      <c r="A1300" s="13" t="n">
        <v>45758</v>
      </c>
      <c r="B1300" s="8" t="s">
        <v>22</v>
      </c>
      <c r="C1300" s="9" t="n">
        <v>1081</v>
      </c>
      <c r="D1300" s="8" t="s">
        <v>13</v>
      </c>
      <c r="E1300" s="10" t="s">
        <v>23</v>
      </c>
      <c r="F1300" s="8" t="str">
        <f aca="false">TEXT(A1300,"MM-YYYY")</f>
        <v>04-2025</v>
      </c>
      <c r="G1300" s="8" t="s">
        <v>14</v>
      </c>
      <c r="H1300" s="8" t="s">
        <v>13</v>
      </c>
      <c r="I1300" s="7" t="n">
        <v>45766</v>
      </c>
      <c r="J1300" s="8" t="str">
        <f aca="false">VLOOKUP(B1300,Table3[#All],2,0)</f>
        <v>Inventory</v>
      </c>
      <c r="K1300" s="8" t="str">
        <f aca="false">TEXT(ROW(), "0000")</f>
        <v>1300</v>
      </c>
      <c r="L1300" s="8"/>
    </row>
    <row r="1301" customFormat="false" ht="15.75" hidden="false" customHeight="true" outlineLevel="0" collapsed="false">
      <c r="A1301" s="13" t="n">
        <v>45758</v>
      </c>
      <c r="B1301" s="8" t="s">
        <v>47</v>
      </c>
      <c r="C1301" s="9" t="n">
        <v>1680</v>
      </c>
      <c r="D1301" s="8" t="s">
        <v>13</v>
      </c>
      <c r="E1301" s="10" t="s">
        <v>223</v>
      </c>
      <c r="F1301" s="8" t="str">
        <f aca="false">TEXT(A1301,"MM-YYYY")</f>
        <v>04-2025</v>
      </c>
      <c r="G1301" s="8" t="s">
        <v>14</v>
      </c>
      <c r="H1301" s="8" t="s">
        <v>13</v>
      </c>
      <c r="I1301" s="7" t="n">
        <v>45769</v>
      </c>
      <c r="J1301" s="8" t="str">
        <f aca="false">VLOOKUP(B1301,Table3[#All],2,0)</f>
        <v>Inventory</v>
      </c>
      <c r="K1301" s="8" t="str">
        <f aca="false">TEXT(ROW(), "0000")</f>
        <v>1301</v>
      </c>
      <c r="L1301" s="8"/>
    </row>
    <row r="1302" customFormat="false" ht="15.75" hidden="false" customHeight="true" outlineLevel="0" collapsed="false">
      <c r="A1302" s="13" t="n">
        <v>45758</v>
      </c>
      <c r="B1302" s="8" t="s">
        <v>25</v>
      </c>
      <c r="C1302" s="9" t="n">
        <v>650</v>
      </c>
      <c r="D1302" s="8" t="s">
        <v>45</v>
      </c>
      <c r="E1302" s="10" t="s">
        <v>273</v>
      </c>
      <c r="F1302" s="8" t="str">
        <f aca="false">TEXT(A1302,"MM-YYYY")</f>
        <v>04-2025</v>
      </c>
      <c r="G1302" s="8" t="s">
        <v>14</v>
      </c>
      <c r="H1302" s="8" t="s">
        <v>232</v>
      </c>
      <c r="I1302" s="7" t="n">
        <v>45758</v>
      </c>
      <c r="J1302" s="8" t="str">
        <f aca="false">VLOOKUP(B1302,Table3[#All],2,0)</f>
        <v>Inventory</v>
      </c>
      <c r="K1302" s="8" t="str">
        <f aca="false">TEXT(ROW(), "0000")</f>
        <v>1302</v>
      </c>
      <c r="L1302" s="8"/>
    </row>
    <row r="1303" customFormat="false" ht="15.75" hidden="false" customHeight="true" outlineLevel="0" collapsed="false">
      <c r="A1303" s="13" t="n">
        <v>45758</v>
      </c>
      <c r="B1303" s="8" t="s">
        <v>29</v>
      </c>
      <c r="C1303" s="9" t="n">
        <v>470</v>
      </c>
      <c r="D1303" s="8" t="s">
        <v>13</v>
      </c>
      <c r="E1303" s="10" t="s">
        <v>30</v>
      </c>
      <c r="F1303" s="8" t="str">
        <f aca="false">TEXT(A1303,"MM-YYYY")</f>
        <v>04-2025</v>
      </c>
      <c r="G1303" s="8" t="s">
        <v>14</v>
      </c>
      <c r="H1303" s="8" t="s">
        <v>262</v>
      </c>
      <c r="I1303" s="7" t="n">
        <v>45780</v>
      </c>
      <c r="J1303" s="8" t="str">
        <f aca="false">VLOOKUP(B1303,Table3[#All],2,0)</f>
        <v>Inventory</v>
      </c>
      <c r="K1303" s="8" t="str">
        <f aca="false">TEXT(ROW(), "0000")</f>
        <v>1303</v>
      </c>
      <c r="L1303" s="8"/>
    </row>
    <row r="1304" customFormat="false" ht="15.75" hidden="false" customHeight="true" outlineLevel="0" collapsed="false">
      <c r="A1304" s="13" t="n">
        <v>45758</v>
      </c>
      <c r="B1304" s="8" t="s">
        <v>16</v>
      </c>
      <c r="C1304" s="9" t="n">
        <v>1815</v>
      </c>
      <c r="D1304" s="8" t="s">
        <v>21</v>
      </c>
      <c r="E1304" s="10" t="s">
        <v>88</v>
      </c>
      <c r="F1304" s="8" t="str">
        <f aca="false">TEXT(A1304,"MM-YYYY")</f>
        <v>04-2025</v>
      </c>
      <c r="G1304" s="8"/>
      <c r="H1304" s="8"/>
      <c r="I1304" s="7"/>
      <c r="J1304" s="8" t="str">
        <f aca="false">VLOOKUP(B1304,Table3[#All],2,0)</f>
        <v>Sales</v>
      </c>
      <c r="K1304" s="8" t="str">
        <f aca="false">TEXT(ROW(), "0000")</f>
        <v>1304</v>
      </c>
      <c r="L1304" s="8"/>
    </row>
    <row r="1305" customFormat="false" ht="15.75" hidden="false" customHeight="true" outlineLevel="0" collapsed="false">
      <c r="A1305" s="13" t="n">
        <v>45758</v>
      </c>
      <c r="B1305" s="8" t="s">
        <v>16</v>
      </c>
      <c r="C1305" s="9" t="n">
        <v>650</v>
      </c>
      <c r="D1305" s="8" t="s">
        <v>27</v>
      </c>
      <c r="E1305" s="10" t="s">
        <v>88</v>
      </c>
      <c r="F1305" s="8" t="str">
        <f aca="false">TEXT(A1305,"MM-YYYY")</f>
        <v>04-2025</v>
      </c>
      <c r="G1305" s="8"/>
      <c r="H1305" s="8"/>
      <c r="I1305" s="7"/>
      <c r="J1305" s="8" t="str">
        <f aca="false">VLOOKUP(B1305,Table3[#All],2,0)</f>
        <v>Sales</v>
      </c>
      <c r="K1305" s="8" t="str">
        <f aca="false">TEXT(ROW(), "0000")</f>
        <v>1305</v>
      </c>
      <c r="L1305" s="8"/>
    </row>
    <row r="1306" customFormat="false" ht="15.75" hidden="false" customHeight="true" outlineLevel="0" collapsed="false">
      <c r="A1306" s="13" t="n">
        <v>45758</v>
      </c>
      <c r="B1306" s="8" t="s">
        <v>16</v>
      </c>
      <c r="C1306" s="9" t="n">
        <v>420</v>
      </c>
      <c r="D1306" s="8" t="s">
        <v>33</v>
      </c>
      <c r="E1306" s="10" t="s">
        <v>88</v>
      </c>
      <c r="F1306" s="8" t="str">
        <f aca="false">TEXT(A1306,"MM-YYYY")</f>
        <v>04-2025</v>
      </c>
      <c r="G1306" s="8"/>
      <c r="H1306" s="8"/>
      <c r="I1306" s="7"/>
      <c r="J1306" s="8" t="str">
        <f aca="false">VLOOKUP(B1306,Table3[#All],2,0)</f>
        <v>Sales</v>
      </c>
      <c r="K1306" s="8" t="str">
        <f aca="false">TEXT(ROW(), "0000")</f>
        <v>1306</v>
      </c>
      <c r="L1306" s="8"/>
    </row>
    <row r="1307" customFormat="false" ht="15.75" hidden="false" customHeight="true" outlineLevel="0" collapsed="false">
      <c r="A1307" s="13" t="n">
        <v>45758</v>
      </c>
      <c r="B1307" s="8" t="s">
        <v>16</v>
      </c>
      <c r="C1307" s="9" t="n">
        <v>18114</v>
      </c>
      <c r="D1307" s="8" t="s">
        <v>17</v>
      </c>
      <c r="E1307" s="10" t="s">
        <v>88</v>
      </c>
      <c r="F1307" s="8" t="str">
        <f aca="false">TEXT(A1307,"MM-YYYY")</f>
        <v>04-2025</v>
      </c>
      <c r="G1307" s="8"/>
      <c r="H1307" s="8"/>
      <c r="I1307" s="7"/>
      <c r="J1307" s="8" t="str">
        <f aca="false">VLOOKUP(B1307,Table3[#All],2,0)</f>
        <v>Sales</v>
      </c>
      <c r="K1307" s="8" t="str">
        <f aca="false">TEXT(ROW(), "0000")</f>
        <v>1307</v>
      </c>
      <c r="L1307" s="8"/>
    </row>
    <row r="1308" customFormat="false" ht="15.75" hidden="false" customHeight="true" outlineLevel="0" collapsed="false">
      <c r="A1308" s="13" t="n">
        <v>45758</v>
      </c>
      <c r="B1308" s="8" t="s">
        <v>16</v>
      </c>
      <c r="C1308" s="9" t="n">
        <v>2949</v>
      </c>
      <c r="D1308" s="8" t="s">
        <v>24</v>
      </c>
      <c r="E1308" s="10" t="s">
        <v>217</v>
      </c>
      <c r="F1308" s="8" t="str">
        <f aca="false">TEXT(A1308,"MM-YYYY")</f>
        <v>04-2025</v>
      </c>
      <c r="G1308" s="8"/>
      <c r="H1308" s="8"/>
      <c r="I1308" s="7"/>
      <c r="J1308" s="8" t="str">
        <f aca="false">VLOOKUP(B1308,Table3[#All],2,0)</f>
        <v>Sales</v>
      </c>
      <c r="K1308" s="8" t="str">
        <f aca="false">TEXT(ROW(), "0000")</f>
        <v>1308</v>
      </c>
      <c r="L1308" s="8"/>
    </row>
    <row r="1309" customFormat="false" ht="15.75" hidden="false" customHeight="true" outlineLevel="0" collapsed="false">
      <c r="A1309" s="13" t="n">
        <v>45758</v>
      </c>
      <c r="B1309" s="8" t="s">
        <v>37</v>
      </c>
      <c r="C1309" s="9" t="n">
        <v>10</v>
      </c>
      <c r="D1309" s="8" t="s">
        <v>21</v>
      </c>
      <c r="E1309" s="8" t="s">
        <v>37</v>
      </c>
      <c r="F1309" s="8" t="str">
        <f aca="false">TEXT(A1309,"MM-YYYY")</f>
        <v>04-2025</v>
      </c>
      <c r="G1309" s="8" t="s">
        <v>14</v>
      </c>
      <c r="H1309" s="8" t="s">
        <v>15</v>
      </c>
      <c r="I1309" s="7" t="n">
        <v>45758</v>
      </c>
      <c r="J1309" s="8" t="str">
        <f aca="false">VLOOKUP(B1309,Table3[#All],2,0)</f>
        <v>Maintance</v>
      </c>
      <c r="K1309" s="8" t="str">
        <f aca="false">TEXT(ROW(), "0000")</f>
        <v>1309</v>
      </c>
      <c r="L1309" s="8"/>
    </row>
    <row r="1310" customFormat="false" ht="15.75" hidden="false" customHeight="true" outlineLevel="0" collapsed="false">
      <c r="A1310" s="13" t="n">
        <v>45758</v>
      </c>
      <c r="B1310" s="8" t="s">
        <v>43</v>
      </c>
      <c r="C1310" s="9" t="n">
        <v>90</v>
      </c>
      <c r="D1310" s="8" t="s">
        <v>45</v>
      </c>
      <c r="E1310" s="10" t="s">
        <v>271</v>
      </c>
      <c r="F1310" s="8" t="str">
        <f aca="false">TEXT(A1310,"MM-YYYY")</f>
        <v>04-2025</v>
      </c>
      <c r="G1310" s="8" t="s">
        <v>14</v>
      </c>
      <c r="H1310" s="8" t="s">
        <v>232</v>
      </c>
      <c r="I1310" s="7" t="n">
        <v>45758</v>
      </c>
      <c r="J1310" s="8" t="str">
        <f aca="false">VLOOKUP(B1310,Table3[#All],2,0)</f>
        <v>Maintance</v>
      </c>
      <c r="K1310" s="8" t="str">
        <f aca="false">TEXT(ROW(), "0000")</f>
        <v>1310</v>
      </c>
      <c r="L1310" s="8"/>
    </row>
    <row r="1311" customFormat="false" ht="15.75" hidden="false" customHeight="true" outlineLevel="0" collapsed="false">
      <c r="A1311" s="13" t="n">
        <v>45758</v>
      </c>
      <c r="B1311" s="8" t="s">
        <v>34</v>
      </c>
      <c r="C1311" s="9" t="n">
        <v>130</v>
      </c>
      <c r="D1311" s="8" t="s">
        <v>45</v>
      </c>
      <c r="E1311" s="10" t="s">
        <v>267</v>
      </c>
      <c r="F1311" s="8" t="str">
        <f aca="false">TEXT(A1311,"MM-YYYY")</f>
        <v>04-2025</v>
      </c>
      <c r="G1311" s="8" t="s">
        <v>14</v>
      </c>
      <c r="H1311" s="8" t="s">
        <v>232</v>
      </c>
      <c r="I1311" s="7" t="n">
        <v>45758</v>
      </c>
      <c r="J1311" s="8" t="str">
        <f aca="false">VLOOKUP(B1311,Table3[#All],2,0)</f>
        <v>Staff Expenses</v>
      </c>
      <c r="K1311" s="8" t="str">
        <f aca="false">TEXT(ROW(), "0000")</f>
        <v>1311</v>
      </c>
      <c r="L1311" s="8"/>
    </row>
    <row r="1312" customFormat="false" ht="15.75" hidden="false" customHeight="true" outlineLevel="0" collapsed="false">
      <c r="A1312" s="13" t="n">
        <v>45759</v>
      </c>
      <c r="B1312" s="8" t="s">
        <v>47</v>
      </c>
      <c r="C1312" s="9" t="n">
        <v>840</v>
      </c>
      <c r="D1312" s="8" t="s">
        <v>13</v>
      </c>
      <c r="E1312" s="10" t="s">
        <v>223</v>
      </c>
      <c r="F1312" s="8" t="str">
        <f aca="false">TEXT(A1312,"MM-YYYY")</f>
        <v>04-2025</v>
      </c>
      <c r="G1312" s="8" t="s">
        <v>14</v>
      </c>
      <c r="H1312" s="8" t="s">
        <v>13</v>
      </c>
      <c r="I1312" s="7" t="n">
        <v>45769</v>
      </c>
      <c r="J1312" s="8" t="str">
        <f aca="false">VLOOKUP(B1312,Table3[#All],2,0)</f>
        <v>Inventory</v>
      </c>
      <c r="K1312" s="8" t="str">
        <f aca="false">TEXT(ROW(), "0000")</f>
        <v>1312</v>
      </c>
      <c r="L1312" s="8"/>
    </row>
    <row r="1313" customFormat="false" ht="15.75" hidden="false" customHeight="true" outlineLevel="0" collapsed="false">
      <c r="A1313" s="13" t="n">
        <v>45759</v>
      </c>
      <c r="B1313" s="8" t="s">
        <v>19</v>
      </c>
      <c r="C1313" s="9" t="n">
        <v>2969</v>
      </c>
      <c r="D1313" s="8" t="s">
        <v>13</v>
      </c>
      <c r="E1313" s="10" t="s">
        <v>20</v>
      </c>
      <c r="F1313" s="8" t="str">
        <f aca="false">TEXT(A1313,"MM-YYYY")</f>
        <v>04-2025</v>
      </c>
      <c r="G1313" s="8" t="s">
        <v>14</v>
      </c>
      <c r="H1313" s="8" t="s">
        <v>13</v>
      </c>
      <c r="I1313" s="7" t="n">
        <v>45763</v>
      </c>
      <c r="J1313" s="8" t="str">
        <f aca="false">VLOOKUP(B1313,Table3[#All],2,0)</f>
        <v>Inventory</v>
      </c>
      <c r="K1313" s="8" t="str">
        <f aca="false">TEXT(ROW(), "0000")</f>
        <v>1313</v>
      </c>
      <c r="L1313" s="8"/>
    </row>
    <row r="1314" customFormat="false" ht="15.75" hidden="false" customHeight="true" outlineLevel="0" collapsed="false">
      <c r="A1314" s="13" t="n">
        <v>45759</v>
      </c>
      <c r="B1314" s="8" t="s">
        <v>25</v>
      </c>
      <c r="C1314" s="9" t="n">
        <v>595</v>
      </c>
      <c r="D1314" s="8" t="s">
        <v>13</v>
      </c>
      <c r="E1314" s="10" t="s">
        <v>26</v>
      </c>
      <c r="F1314" s="8" t="str">
        <f aca="false">TEXT(A1314,"MM-YYYY")</f>
        <v>04-2025</v>
      </c>
      <c r="G1314" s="8" t="s">
        <v>14</v>
      </c>
      <c r="H1314" s="8" t="s">
        <v>13</v>
      </c>
      <c r="I1314" s="7" t="n">
        <v>45780</v>
      </c>
      <c r="J1314" s="8" t="str">
        <f aca="false">VLOOKUP(B1314,Table3[#All],2,0)</f>
        <v>Inventory</v>
      </c>
      <c r="K1314" s="8" t="str">
        <f aca="false">TEXT(ROW(), "0000")</f>
        <v>1314</v>
      </c>
      <c r="L1314" s="8"/>
    </row>
    <row r="1315" customFormat="false" ht="15.75" hidden="false" customHeight="true" outlineLevel="0" collapsed="false">
      <c r="A1315" s="13" t="n">
        <v>45759</v>
      </c>
      <c r="B1315" s="8" t="s">
        <v>102</v>
      </c>
      <c r="C1315" s="9" t="n">
        <v>600</v>
      </c>
      <c r="D1315" s="8" t="s">
        <v>21</v>
      </c>
      <c r="E1315" s="10" t="s">
        <v>102</v>
      </c>
      <c r="F1315" s="8" t="str">
        <f aca="false">TEXT(A1315,"MM-YYYY")</f>
        <v>04-2025</v>
      </c>
      <c r="G1315" s="8" t="s">
        <v>14</v>
      </c>
      <c r="H1315" s="8" t="s">
        <v>15</v>
      </c>
      <c r="I1315" s="7" t="n">
        <v>45759</v>
      </c>
      <c r="J1315" s="8" t="str">
        <f aca="false">VLOOKUP(B1315,Table3[#All],2,0)</f>
        <v>Fixed Maintance</v>
      </c>
      <c r="K1315" s="8" t="str">
        <f aca="false">TEXT(ROW(), "0000")</f>
        <v>1315</v>
      </c>
      <c r="L1315" s="8"/>
    </row>
    <row r="1316" customFormat="false" ht="15.75" hidden="false" customHeight="true" outlineLevel="0" collapsed="false">
      <c r="A1316" s="13" t="n">
        <v>45759</v>
      </c>
      <c r="B1316" s="8" t="s">
        <v>202</v>
      </c>
      <c r="C1316" s="9" t="n">
        <v>545</v>
      </c>
      <c r="D1316" s="8" t="s">
        <v>45</v>
      </c>
      <c r="E1316" s="8" t="s">
        <v>202</v>
      </c>
      <c r="F1316" s="8" t="str">
        <f aca="false">TEXT(A1316,"MM-YYYY")</f>
        <v>04-2025</v>
      </c>
      <c r="G1316" s="8" t="s">
        <v>14</v>
      </c>
      <c r="H1316" s="8" t="s">
        <v>232</v>
      </c>
      <c r="I1316" s="7" t="n">
        <v>45759</v>
      </c>
      <c r="J1316" s="8" t="str">
        <f aca="false">VLOOKUP(B1316,Table3[#All],2,0)</f>
        <v>Maintance</v>
      </c>
      <c r="K1316" s="8" t="str">
        <f aca="false">TEXT(ROW(), "0000")</f>
        <v>1316</v>
      </c>
      <c r="L1316" s="8"/>
    </row>
    <row r="1317" customFormat="false" ht="15.75" hidden="false" customHeight="true" outlineLevel="0" collapsed="false">
      <c r="A1317" s="13" t="n">
        <v>45759</v>
      </c>
      <c r="B1317" s="8" t="s">
        <v>50</v>
      </c>
      <c r="C1317" s="9" t="n">
        <v>1780</v>
      </c>
      <c r="D1317" s="8" t="s">
        <v>13</v>
      </c>
      <c r="E1317" s="10" t="s">
        <v>263</v>
      </c>
      <c r="F1317" s="8" t="str">
        <f aca="false">TEXT(A1317,"MM-YYYY")</f>
        <v>04-2025</v>
      </c>
      <c r="G1317" s="8" t="s">
        <v>14</v>
      </c>
      <c r="H1317" s="8" t="s">
        <v>13</v>
      </c>
      <c r="I1317" s="7" t="n">
        <v>45770</v>
      </c>
      <c r="J1317" s="8" t="str">
        <f aca="false">VLOOKUP(B1317,Table3[#All],2,0)</f>
        <v>Fixed Maintance</v>
      </c>
      <c r="K1317" s="8" t="str">
        <f aca="false">TEXT(ROW(), "0000")</f>
        <v>1317</v>
      </c>
      <c r="L1317" s="8"/>
    </row>
    <row r="1318" customFormat="false" ht="15.75" hidden="false" customHeight="true" outlineLevel="0" collapsed="false">
      <c r="A1318" s="13" t="n">
        <v>45759</v>
      </c>
      <c r="B1318" s="8" t="s">
        <v>16</v>
      </c>
      <c r="C1318" s="9" t="n">
        <v>3210</v>
      </c>
      <c r="D1318" s="8" t="s">
        <v>21</v>
      </c>
      <c r="E1318" s="10" t="s">
        <v>88</v>
      </c>
      <c r="F1318" s="8" t="str">
        <f aca="false">TEXT(A1318,"MM-YYYY")</f>
        <v>04-2025</v>
      </c>
      <c r="G1318" s="8"/>
      <c r="H1318" s="8"/>
      <c r="I1318" s="7"/>
      <c r="J1318" s="8" t="str">
        <f aca="false">VLOOKUP(B1318,Table3[#All],2,0)</f>
        <v>Sales</v>
      </c>
      <c r="K1318" s="8" t="str">
        <f aca="false">TEXT(ROW(), "0000")</f>
        <v>1318</v>
      </c>
      <c r="L1318" s="8"/>
    </row>
    <row r="1319" customFormat="false" ht="15.75" hidden="false" customHeight="true" outlineLevel="0" collapsed="false">
      <c r="A1319" s="13" t="n">
        <v>45759</v>
      </c>
      <c r="B1319" s="8" t="s">
        <v>16</v>
      </c>
      <c r="C1319" s="9" t="n">
        <v>705</v>
      </c>
      <c r="D1319" s="8" t="s">
        <v>27</v>
      </c>
      <c r="E1319" s="10" t="s">
        <v>88</v>
      </c>
      <c r="F1319" s="8" t="str">
        <f aca="false">TEXT(A1319,"MM-YYYY")</f>
        <v>04-2025</v>
      </c>
      <c r="G1319" s="8"/>
      <c r="H1319" s="8"/>
      <c r="I1319" s="7"/>
      <c r="J1319" s="8" t="str">
        <f aca="false">VLOOKUP(B1319,Table3[#All],2,0)</f>
        <v>Sales</v>
      </c>
      <c r="K1319" s="8" t="str">
        <f aca="false">TEXT(ROW(), "0000")</f>
        <v>1319</v>
      </c>
      <c r="L1319" s="8"/>
    </row>
    <row r="1320" customFormat="false" ht="15.75" hidden="false" customHeight="true" outlineLevel="0" collapsed="false">
      <c r="A1320" s="13" t="n">
        <v>45759</v>
      </c>
      <c r="B1320" s="8" t="s">
        <v>16</v>
      </c>
      <c r="C1320" s="9" t="n">
        <v>689</v>
      </c>
      <c r="D1320" s="8" t="s">
        <v>33</v>
      </c>
      <c r="E1320" s="10" t="s">
        <v>88</v>
      </c>
      <c r="F1320" s="8" t="str">
        <f aca="false">TEXT(A1320,"MM-YYYY")</f>
        <v>04-2025</v>
      </c>
      <c r="G1320" s="8"/>
      <c r="H1320" s="8"/>
      <c r="I1320" s="7"/>
      <c r="J1320" s="8" t="str">
        <f aca="false">VLOOKUP(B1320,Table3[#All],2,0)</f>
        <v>Sales</v>
      </c>
      <c r="K1320" s="8" t="str">
        <f aca="false">TEXT(ROW(), "0000")</f>
        <v>1320</v>
      </c>
      <c r="L1320" s="8"/>
    </row>
    <row r="1321" customFormat="false" ht="15.75" hidden="false" customHeight="true" outlineLevel="0" collapsed="false">
      <c r="A1321" s="13" t="n">
        <v>45759</v>
      </c>
      <c r="B1321" s="8" t="s">
        <v>16</v>
      </c>
      <c r="C1321" s="9" t="n">
        <v>10788</v>
      </c>
      <c r="D1321" s="8" t="s">
        <v>17</v>
      </c>
      <c r="E1321" s="10" t="s">
        <v>88</v>
      </c>
      <c r="F1321" s="8" t="str">
        <f aca="false">TEXT(A1321,"MM-YYYY")</f>
        <v>04-2025</v>
      </c>
      <c r="G1321" s="8"/>
      <c r="H1321" s="8"/>
      <c r="I1321" s="7"/>
      <c r="J1321" s="8" t="str">
        <f aca="false">VLOOKUP(B1321,Table3[#All],2,0)</f>
        <v>Sales</v>
      </c>
      <c r="K1321" s="8" t="str">
        <f aca="false">TEXT(ROW(), "0000")</f>
        <v>1321</v>
      </c>
      <c r="L1321" s="8"/>
    </row>
    <row r="1322" customFormat="false" ht="15.75" hidden="false" customHeight="true" outlineLevel="0" collapsed="false">
      <c r="A1322" s="13" t="n">
        <v>45759</v>
      </c>
      <c r="B1322" s="8" t="s">
        <v>16</v>
      </c>
      <c r="C1322" s="9" t="n">
        <v>3982</v>
      </c>
      <c r="D1322" s="8" t="s">
        <v>24</v>
      </c>
      <c r="E1322" s="10" t="s">
        <v>217</v>
      </c>
      <c r="F1322" s="8" t="str">
        <f aca="false">TEXT(A1322,"MM-YYYY")</f>
        <v>04-2025</v>
      </c>
      <c r="G1322" s="8"/>
      <c r="H1322" s="8"/>
      <c r="I1322" s="7"/>
      <c r="J1322" s="8" t="str">
        <f aca="false">VLOOKUP(B1322,Table3[#All],2,0)</f>
        <v>Sales</v>
      </c>
      <c r="K1322" s="8" t="str">
        <f aca="false">TEXT(ROW(), "0000")</f>
        <v>1322</v>
      </c>
      <c r="L1322" s="8"/>
    </row>
    <row r="1323" customFormat="false" ht="15.75" hidden="false" customHeight="true" outlineLevel="0" collapsed="false">
      <c r="A1323" s="13" t="n">
        <v>45759</v>
      </c>
      <c r="B1323" s="8" t="s">
        <v>34</v>
      </c>
      <c r="C1323" s="9" t="n">
        <v>155</v>
      </c>
      <c r="D1323" s="8" t="s">
        <v>45</v>
      </c>
      <c r="E1323" s="10" t="s">
        <v>267</v>
      </c>
      <c r="F1323" s="8" t="str">
        <f aca="false">TEXT(A1323,"MM-YYYY")</f>
        <v>04-2025</v>
      </c>
      <c r="G1323" s="8" t="s">
        <v>14</v>
      </c>
      <c r="H1323" s="8" t="s">
        <v>232</v>
      </c>
      <c r="I1323" s="7" t="n">
        <v>45759</v>
      </c>
      <c r="J1323" s="8" t="str">
        <f aca="false">VLOOKUP(B1323,Table3[#All],2,0)</f>
        <v>Staff Expenses</v>
      </c>
      <c r="K1323" s="8" t="str">
        <f aca="false">TEXT(ROW(), "0000")</f>
        <v>1323</v>
      </c>
      <c r="L1323" s="8"/>
    </row>
    <row r="1324" customFormat="false" ht="15.75" hidden="false" customHeight="true" outlineLevel="0" collapsed="false">
      <c r="A1324" s="13" t="n">
        <v>45759</v>
      </c>
      <c r="B1324" s="8" t="s">
        <v>29</v>
      </c>
      <c r="C1324" s="9" t="n">
        <v>366</v>
      </c>
      <c r="D1324" s="8" t="s">
        <v>13</v>
      </c>
      <c r="E1324" s="10" t="s">
        <v>30</v>
      </c>
      <c r="F1324" s="8" t="str">
        <f aca="false">TEXT(A1324,"MM-YYYY")</f>
        <v>04-2025</v>
      </c>
      <c r="G1324" s="8" t="s">
        <v>14</v>
      </c>
      <c r="H1324" s="8" t="s">
        <v>262</v>
      </c>
      <c r="I1324" s="7" t="n">
        <v>45780</v>
      </c>
      <c r="J1324" s="8" t="str">
        <f aca="false">VLOOKUP(B1324,Table3[#All],2,0)</f>
        <v>Inventory</v>
      </c>
      <c r="K1324" s="8" t="str">
        <f aca="false">TEXT(ROW(), "0000")</f>
        <v>1324</v>
      </c>
      <c r="L1324" s="8"/>
    </row>
    <row r="1325" customFormat="false" ht="15.75" hidden="false" customHeight="true" outlineLevel="0" collapsed="false">
      <c r="A1325" s="13" t="n">
        <v>45759</v>
      </c>
      <c r="B1325" s="8" t="s">
        <v>37</v>
      </c>
      <c r="C1325" s="9" t="n">
        <v>10</v>
      </c>
      <c r="D1325" s="8" t="s">
        <v>21</v>
      </c>
      <c r="E1325" s="8" t="s">
        <v>37</v>
      </c>
      <c r="F1325" s="8" t="str">
        <f aca="false">TEXT(A1325,"MM-YYYY")</f>
        <v>04-2025</v>
      </c>
      <c r="G1325" s="8" t="s">
        <v>14</v>
      </c>
      <c r="H1325" s="8" t="s">
        <v>232</v>
      </c>
      <c r="I1325" s="7" t="n">
        <v>45759</v>
      </c>
      <c r="J1325" s="8" t="str">
        <f aca="false">VLOOKUP(B1325,Table3[#All],2,0)</f>
        <v>Maintance</v>
      </c>
      <c r="K1325" s="8" t="str">
        <f aca="false">TEXT(ROW(), "0000")</f>
        <v>1325</v>
      </c>
      <c r="L1325" s="8"/>
    </row>
    <row r="1326" customFormat="false" ht="15.75" hidden="false" customHeight="true" outlineLevel="0" collapsed="false">
      <c r="A1326" s="13" t="n">
        <v>45760</v>
      </c>
      <c r="B1326" s="8" t="s">
        <v>22</v>
      </c>
      <c r="C1326" s="9" t="n">
        <v>3060</v>
      </c>
      <c r="D1326" s="8" t="s">
        <v>13</v>
      </c>
      <c r="E1326" s="10" t="s">
        <v>23</v>
      </c>
      <c r="F1326" s="8" t="str">
        <f aca="false">TEXT(A1326,"MM-YYYY")</f>
        <v>04-2025</v>
      </c>
      <c r="G1326" s="8" t="s">
        <v>14</v>
      </c>
      <c r="H1326" s="8" t="s">
        <v>13</v>
      </c>
      <c r="I1326" s="7" t="n">
        <v>45766</v>
      </c>
      <c r="J1326" s="8" t="str">
        <f aca="false">VLOOKUP(B1326,Table3[#All],2,0)</f>
        <v>Inventory</v>
      </c>
      <c r="K1326" s="8" t="str">
        <f aca="false">TEXT(ROW(), "0000")</f>
        <v>1326</v>
      </c>
      <c r="L1326" s="8"/>
    </row>
    <row r="1327" customFormat="false" ht="15.75" hidden="false" customHeight="true" outlineLevel="0" collapsed="false">
      <c r="A1327" s="13" t="n">
        <v>45760</v>
      </c>
      <c r="B1327" s="8" t="s">
        <v>25</v>
      </c>
      <c r="C1327" s="9" t="n">
        <v>1163</v>
      </c>
      <c r="D1327" s="8" t="s">
        <v>13</v>
      </c>
      <c r="E1327" s="10" t="s">
        <v>26</v>
      </c>
      <c r="F1327" s="8" t="str">
        <f aca="false">TEXT(A1327,"MM-YYYY")</f>
        <v>04-2025</v>
      </c>
      <c r="G1327" s="8" t="s">
        <v>14</v>
      </c>
      <c r="H1327" s="8" t="s">
        <v>13</v>
      </c>
      <c r="I1327" s="7" t="n">
        <v>45780</v>
      </c>
      <c r="J1327" s="8" t="str">
        <f aca="false">VLOOKUP(B1327,Table3[#All],2,0)</f>
        <v>Inventory</v>
      </c>
      <c r="K1327" s="8" t="str">
        <f aca="false">TEXT(ROW(), "0000")</f>
        <v>1327</v>
      </c>
      <c r="L1327" s="8"/>
    </row>
    <row r="1328" customFormat="false" ht="15.75" hidden="false" customHeight="true" outlineLevel="0" collapsed="false">
      <c r="A1328" s="13" t="n">
        <v>45760</v>
      </c>
      <c r="B1328" s="8" t="s">
        <v>19</v>
      </c>
      <c r="C1328" s="9" t="n">
        <v>3550</v>
      </c>
      <c r="D1328" s="8" t="s">
        <v>13</v>
      </c>
      <c r="E1328" s="10" t="s">
        <v>20</v>
      </c>
      <c r="F1328" s="8" t="str">
        <f aca="false">TEXT(A1328,"MM-YYYY")</f>
        <v>04-2025</v>
      </c>
      <c r="G1328" s="8" t="s">
        <v>14</v>
      </c>
      <c r="H1328" s="8" t="s">
        <v>13</v>
      </c>
      <c r="I1328" s="7" t="n">
        <v>45766</v>
      </c>
      <c r="J1328" s="8" t="str">
        <f aca="false">VLOOKUP(B1328,Table3[#All],2,0)</f>
        <v>Inventory</v>
      </c>
      <c r="K1328" s="8" t="str">
        <f aca="false">TEXT(ROW(), "0000")</f>
        <v>1328</v>
      </c>
      <c r="L1328" s="8"/>
    </row>
    <row r="1329" customFormat="false" ht="15.75" hidden="false" customHeight="true" outlineLevel="0" collapsed="false">
      <c r="A1329" s="13" t="n">
        <v>45760</v>
      </c>
      <c r="B1329" s="8" t="s">
        <v>40</v>
      </c>
      <c r="C1329" s="9" t="n">
        <v>1880</v>
      </c>
      <c r="D1329" s="8" t="s">
        <v>45</v>
      </c>
      <c r="E1329" s="10" t="s">
        <v>46</v>
      </c>
      <c r="F1329" s="8" t="str">
        <f aca="false">TEXT(A1329,"MM-YYYY")</f>
        <v>04-2025</v>
      </c>
      <c r="G1329" s="8" t="s">
        <v>14</v>
      </c>
      <c r="H1329" s="8" t="s">
        <v>232</v>
      </c>
      <c r="I1329" s="7" t="n">
        <v>45760</v>
      </c>
      <c r="J1329" s="8" t="str">
        <f aca="false">VLOOKUP(B1329,Table3[#All],2,0)</f>
        <v>Inventory</v>
      </c>
      <c r="K1329" s="8" t="str">
        <f aca="false">TEXT(ROW(), "0000")</f>
        <v>1329</v>
      </c>
      <c r="L1329" s="8"/>
    </row>
    <row r="1330" customFormat="false" ht="15.75" hidden="false" customHeight="true" outlineLevel="0" collapsed="false">
      <c r="A1330" s="13" t="n">
        <v>45760</v>
      </c>
      <c r="B1330" s="8" t="s">
        <v>25</v>
      </c>
      <c r="C1330" s="9" t="n">
        <v>445</v>
      </c>
      <c r="D1330" s="8" t="s">
        <v>45</v>
      </c>
      <c r="E1330" s="10" t="s">
        <v>265</v>
      </c>
      <c r="F1330" s="8" t="str">
        <f aca="false">TEXT(A1330,"MM-YYYY")</f>
        <v>04-2025</v>
      </c>
      <c r="G1330" s="8" t="s">
        <v>14</v>
      </c>
      <c r="H1330" s="8" t="s">
        <v>232</v>
      </c>
      <c r="I1330" s="7" t="n">
        <v>45760</v>
      </c>
      <c r="J1330" s="8" t="str">
        <f aca="false">VLOOKUP(B1330,Table3[#All],2,0)</f>
        <v>Inventory</v>
      </c>
      <c r="K1330" s="8" t="str">
        <f aca="false">TEXT(ROW(), "0000")</f>
        <v>1330</v>
      </c>
      <c r="L1330" s="8"/>
    </row>
    <row r="1331" customFormat="false" ht="15.75" hidden="false" customHeight="true" outlineLevel="0" collapsed="false">
      <c r="A1331" s="13" t="n">
        <v>45760</v>
      </c>
      <c r="B1331" s="8" t="s">
        <v>202</v>
      </c>
      <c r="C1331" s="9" t="n">
        <v>765</v>
      </c>
      <c r="D1331" s="8" t="s">
        <v>45</v>
      </c>
      <c r="E1331" s="8" t="s">
        <v>202</v>
      </c>
      <c r="F1331" s="8" t="str">
        <f aca="false">TEXT(A1331,"MM-YYYY")</f>
        <v>04-2025</v>
      </c>
      <c r="G1331" s="8" t="s">
        <v>14</v>
      </c>
      <c r="H1331" s="8" t="s">
        <v>232</v>
      </c>
      <c r="I1331" s="7" t="n">
        <v>45760</v>
      </c>
      <c r="J1331" s="8" t="str">
        <f aca="false">VLOOKUP(B1331,Table3[#All],2,0)</f>
        <v>Maintance</v>
      </c>
      <c r="K1331" s="8" t="str">
        <f aca="false">TEXT(ROW(), "0000")</f>
        <v>1331</v>
      </c>
      <c r="L1331" s="8"/>
    </row>
    <row r="1332" customFormat="false" ht="15.75" hidden="false" customHeight="true" outlineLevel="0" collapsed="false">
      <c r="A1332" s="13" t="n">
        <v>45760</v>
      </c>
      <c r="B1332" s="8" t="s">
        <v>53</v>
      </c>
      <c r="C1332" s="9" t="n">
        <v>1950</v>
      </c>
      <c r="D1332" s="8" t="s">
        <v>45</v>
      </c>
      <c r="E1332" s="10" t="s">
        <v>54</v>
      </c>
      <c r="F1332" s="8" t="str">
        <f aca="false">TEXT(A1332,"MM-YYYY")</f>
        <v>04-2025</v>
      </c>
      <c r="G1332" s="8" t="s">
        <v>14</v>
      </c>
      <c r="H1332" s="8" t="s">
        <v>232</v>
      </c>
      <c r="I1332" s="7" t="n">
        <v>45760</v>
      </c>
      <c r="J1332" s="8" t="str">
        <f aca="false">VLOOKUP(B1332,Table3[#All],2,0)</f>
        <v>Grocery</v>
      </c>
      <c r="K1332" s="8" t="str">
        <f aca="false">TEXT(ROW(), "0000")</f>
        <v>1332</v>
      </c>
      <c r="L1332" s="8"/>
    </row>
    <row r="1333" customFormat="false" ht="15.75" hidden="false" customHeight="true" outlineLevel="0" collapsed="false">
      <c r="A1333" s="13" t="n">
        <v>45760</v>
      </c>
      <c r="B1333" s="8" t="s">
        <v>29</v>
      </c>
      <c r="C1333" s="9" t="n">
        <v>332</v>
      </c>
      <c r="D1333" s="8" t="s">
        <v>13</v>
      </c>
      <c r="E1333" s="10" t="s">
        <v>231</v>
      </c>
      <c r="F1333" s="8" t="str">
        <f aca="false">TEXT(A1333,"MM-YYYY")</f>
        <v>04-2025</v>
      </c>
      <c r="G1333" s="8" t="s">
        <v>14</v>
      </c>
      <c r="H1333" s="8" t="s">
        <v>13</v>
      </c>
      <c r="I1333" s="7" t="n">
        <v>45790</v>
      </c>
      <c r="J1333" s="8" t="str">
        <f aca="false">VLOOKUP(B1333,Table3[#All],2,0)</f>
        <v>Inventory</v>
      </c>
      <c r="K1333" s="8" t="str">
        <f aca="false">TEXT(ROW(), "0000")</f>
        <v>1333</v>
      </c>
      <c r="L1333" s="8"/>
    </row>
    <row r="1334" customFormat="false" ht="15.75" hidden="false" customHeight="true" outlineLevel="0" collapsed="false">
      <c r="A1334" s="13" t="n">
        <v>45760</v>
      </c>
      <c r="B1334" s="8" t="s">
        <v>50</v>
      </c>
      <c r="C1334" s="9" t="n">
        <v>1780</v>
      </c>
      <c r="D1334" s="8" t="s">
        <v>13</v>
      </c>
      <c r="E1334" s="10" t="s">
        <v>263</v>
      </c>
      <c r="F1334" s="8" t="str">
        <f aca="false">TEXT(A1334,"MM-YYYY")</f>
        <v>04-2025</v>
      </c>
      <c r="G1334" s="8" t="s">
        <v>14</v>
      </c>
      <c r="H1334" s="8" t="s">
        <v>13</v>
      </c>
      <c r="I1334" s="7" t="n">
        <v>45770</v>
      </c>
      <c r="J1334" s="8" t="str">
        <f aca="false">VLOOKUP(B1334,Table3[#All],2,0)</f>
        <v>Fixed Maintance</v>
      </c>
      <c r="K1334" s="8" t="str">
        <f aca="false">TEXT(ROW(), "0000")</f>
        <v>1334</v>
      </c>
      <c r="L1334" s="8"/>
    </row>
    <row r="1335" customFormat="false" ht="15.75" hidden="false" customHeight="true" outlineLevel="0" collapsed="false">
      <c r="A1335" s="13" t="n">
        <v>45760</v>
      </c>
      <c r="B1335" s="8" t="s">
        <v>16</v>
      </c>
      <c r="C1335" s="9" t="n">
        <v>3355</v>
      </c>
      <c r="D1335" s="8" t="s">
        <v>21</v>
      </c>
      <c r="E1335" s="10" t="s">
        <v>88</v>
      </c>
      <c r="F1335" s="8" t="str">
        <f aca="false">TEXT(A1335,"MM-YYYY")</f>
        <v>04-2025</v>
      </c>
      <c r="G1335" s="8"/>
      <c r="H1335" s="8"/>
      <c r="I1335" s="7"/>
      <c r="J1335" s="8" t="str">
        <f aca="false">VLOOKUP(B1335,Table3[#All],2,0)</f>
        <v>Sales</v>
      </c>
      <c r="K1335" s="8" t="str">
        <f aca="false">TEXT(ROW(), "0000")</f>
        <v>1335</v>
      </c>
      <c r="L1335" s="8"/>
    </row>
    <row r="1336" customFormat="false" ht="15.75" hidden="false" customHeight="true" outlineLevel="0" collapsed="false">
      <c r="A1336" s="13" t="n">
        <v>45760</v>
      </c>
      <c r="B1336" s="8" t="s">
        <v>16</v>
      </c>
      <c r="C1336" s="9" t="n">
        <v>935</v>
      </c>
      <c r="D1336" s="8" t="s">
        <v>27</v>
      </c>
      <c r="E1336" s="10" t="s">
        <v>88</v>
      </c>
      <c r="F1336" s="8" t="str">
        <f aca="false">TEXT(A1336,"MM-YYYY")</f>
        <v>04-2025</v>
      </c>
      <c r="G1336" s="8"/>
      <c r="H1336" s="8"/>
      <c r="I1336" s="7"/>
      <c r="J1336" s="8" t="str">
        <f aca="false">VLOOKUP(B1336,Table3[#All],2,0)</f>
        <v>Sales</v>
      </c>
      <c r="K1336" s="8" t="str">
        <f aca="false">TEXT(ROW(), "0000")</f>
        <v>1336</v>
      </c>
      <c r="L1336" s="8"/>
    </row>
    <row r="1337" customFormat="false" ht="15.75" hidden="false" customHeight="true" outlineLevel="0" collapsed="false">
      <c r="A1337" s="13" t="n">
        <v>45760</v>
      </c>
      <c r="B1337" s="8" t="s">
        <v>16</v>
      </c>
      <c r="C1337" s="9" t="n">
        <v>80</v>
      </c>
      <c r="D1337" s="8" t="s">
        <v>33</v>
      </c>
      <c r="E1337" s="10" t="s">
        <v>88</v>
      </c>
      <c r="F1337" s="8" t="str">
        <f aca="false">TEXT(A1337,"MM-YYYY")</f>
        <v>04-2025</v>
      </c>
      <c r="G1337" s="8"/>
      <c r="H1337" s="8"/>
      <c r="I1337" s="7"/>
      <c r="J1337" s="8" t="str">
        <f aca="false">VLOOKUP(B1337,Table3[#All],2,0)</f>
        <v>Sales</v>
      </c>
      <c r="K1337" s="8" t="str">
        <f aca="false">TEXT(ROW(), "0000")</f>
        <v>1337</v>
      </c>
      <c r="L1337" s="8"/>
    </row>
    <row r="1338" customFormat="false" ht="15.75" hidden="false" customHeight="true" outlineLevel="0" collapsed="false">
      <c r="A1338" s="13" t="n">
        <v>45760</v>
      </c>
      <c r="B1338" s="8" t="s">
        <v>16</v>
      </c>
      <c r="C1338" s="9" t="n">
        <v>20748</v>
      </c>
      <c r="D1338" s="8" t="s">
        <v>17</v>
      </c>
      <c r="E1338" s="10" t="s">
        <v>88</v>
      </c>
      <c r="F1338" s="8" t="str">
        <f aca="false">TEXT(A1338,"MM-YYYY")</f>
        <v>04-2025</v>
      </c>
      <c r="G1338" s="8"/>
      <c r="H1338" s="8"/>
      <c r="I1338" s="7"/>
      <c r="J1338" s="8" t="str">
        <f aca="false">VLOOKUP(B1338,Table3[#All],2,0)</f>
        <v>Sales</v>
      </c>
      <c r="K1338" s="8" t="str">
        <f aca="false">TEXT(ROW(), "0000")</f>
        <v>1338</v>
      </c>
      <c r="L1338" s="8"/>
    </row>
    <row r="1339" customFormat="false" ht="15.75" hidden="false" customHeight="true" outlineLevel="0" collapsed="false">
      <c r="A1339" s="13" t="n">
        <v>45760</v>
      </c>
      <c r="B1339" s="8" t="s">
        <v>16</v>
      </c>
      <c r="C1339" s="9" t="n">
        <v>800</v>
      </c>
      <c r="D1339" s="8" t="s">
        <v>59</v>
      </c>
      <c r="E1339" s="10" t="s">
        <v>88</v>
      </c>
      <c r="F1339" s="8" t="str">
        <f aca="false">TEXT(A1339,"MM-YYYY")</f>
        <v>04-2025</v>
      </c>
      <c r="G1339" s="8"/>
      <c r="H1339" s="8"/>
      <c r="I1339" s="7"/>
      <c r="J1339" s="8" t="str">
        <f aca="false">VLOOKUP(B1339,Table3[#All],2,0)</f>
        <v>Sales</v>
      </c>
      <c r="K1339" s="8" t="str">
        <f aca="false">TEXT(ROW(), "0000")</f>
        <v>1339</v>
      </c>
      <c r="L1339" s="8"/>
    </row>
    <row r="1340" customFormat="false" ht="15.75" hidden="false" customHeight="true" outlineLevel="0" collapsed="false">
      <c r="A1340" s="13" t="n">
        <v>45760</v>
      </c>
      <c r="B1340" s="8" t="s">
        <v>16</v>
      </c>
      <c r="C1340" s="9" t="n">
        <v>3352</v>
      </c>
      <c r="D1340" s="8" t="s">
        <v>24</v>
      </c>
      <c r="E1340" s="10" t="s">
        <v>217</v>
      </c>
      <c r="F1340" s="8" t="str">
        <f aca="false">TEXT(A1340,"MM-YYYY")</f>
        <v>04-2025</v>
      </c>
      <c r="G1340" s="8"/>
      <c r="H1340" s="8"/>
      <c r="I1340" s="7"/>
      <c r="J1340" s="8" t="str">
        <f aca="false">VLOOKUP(B1340,Table3[#All],2,0)</f>
        <v>Sales</v>
      </c>
      <c r="K1340" s="8" t="str">
        <f aca="false">TEXT(ROW(), "0000")</f>
        <v>1340</v>
      </c>
      <c r="L1340" s="8"/>
    </row>
    <row r="1341" customFormat="false" ht="15.75" hidden="false" customHeight="true" outlineLevel="0" collapsed="false">
      <c r="A1341" s="13" t="n">
        <v>45760</v>
      </c>
      <c r="B1341" s="8" t="s">
        <v>34</v>
      </c>
      <c r="C1341" s="9" t="n">
        <v>160</v>
      </c>
      <c r="D1341" s="8" t="s">
        <v>45</v>
      </c>
      <c r="E1341" s="10" t="s">
        <v>274</v>
      </c>
      <c r="F1341" s="8" t="str">
        <f aca="false">TEXT(A1341,"MM-YYYY")</f>
        <v>04-2025</v>
      </c>
      <c r="G1341" s="8" t="s">
        <v>14</v>
      </c>
      <c r="H1341" s="8" t="s">
        <v>232</v>
      </c>
      <c r="I1341" s="7" t="n">
        <v>45760</v>
      </c>
      <c r="J1341" s="8" t="str">
        <f aca="false">VLOOKUP(B1341,Table3[#All],2,0)</f>
        <v>Staff Expenses</v>
      </c>
      <c r="K1341" s="8" t="str">
        <f aca="false">TEXT(ROW(), "0000")</f>
        <v>1341</v>
      </c>
      <c r="L1341" s="8"/>
    </row>
    <row r="1342" customFormat="false" ht="15.75" hidden="false" customHeight="true" outlineLevel="0" collapsed="false">
      <c r="A1342" s="13" t="n">
        <v>45760</v>
      </c>
      <c r="B1342" s="8" t="s">
        <v>37</v>
      </c>
      <c r="C1342" s="9" t="n">
        <v>5</v>
      </c>
      <c r="D1342" s="8" t="s">
        <v>21</v>
      </c>
      <c r="E1342" s="8" t="s">
        <v>37</v>
      </c>
      <c r="F1342" s="8" t="str">
        <f aca="false">TEXT(A1342,"MM-YYYY")</f>
        <v>04-2025</v>
      </c>
      <c r="G1342" s="8" t="s">
        <v>14</v>
      </c>
      <c r="H1342" s="8" t="s">
        <v>15</v>
      </c>
      <c r="I1342" s="7" t="n">
        <v>45760</v>
      </c>
      <c r="J1342" s="8" t="str">
        <f aca="false">VLOOKUP(B1342,Table3[#All],2,0)</f>
        <v>Maintance</v>
      </c>
      <c r="K1342" s="8" t="str">
        <f aca="false">TEXT(ROW(), "0000")</f>
        <v>1342</v>
      </c>
      <c r="L1342" s="8"/>
    </row>
    <row r="1343" customFormat="false" ht="15.75" hidden="false" customHeight="true" outlineLevel="0" collapsed="false">
      <c r="A1343" s="7" t="n">
        <v>45760</v>
      </c>
      <c r="B1343" s="8" t="s">
        <v>31</v>
      </c>
      <c r="C1343" s="9" t="n">
        <v>1650</v>
      </c>
      <c r="D1343" s="8" t="s">
        <v>21</v>
      </c>
      <c r="E1343" s="10" t="s">
        <v>234</v>
      </c>
      <c r="F1343" s="8" t="str">
        <f aca="false">TEXT(A1343,"MM-YYYY")</f>
        <v>04-2025</v>
      </c>
      <c r="G1343" s="8" t="s">
        <v>14</v>
      </c>
      <c r="H1343" s="8" t="s">
        <v>15</v>
      </c>
      <c r="I1343" s="7" t="n">
        <v>45760</v>
      </c>
      <c r="J1343" s="8" t="str">
        <f aca="false">VLOOKUP(B1343,Table3[#All],2,0)</f>
        <v>Bike Maintance</v>
      </c>
      <c r="K1343" s="8" t="str">
        <f aca="false">TEXT(ROW(), "0000")</f>
        <v>1343</v>
      </c>
      <c r="L1343" s="8"/>
    </row>
    <row r="1344" customFormat="false" ht="15.75" hidden="false" customHeight="true" outlineLevel="0" collapsed="false">
      <c r="A1344" s="7" t="n">
        <v>45761</v>
      </c>
      <c r="B1344" s="8" t="s">
        <v>32</v>
      </c>
      <c r="C1344" s="9" t="n">
        <v>455</v>
      </c>
      <c r="D1344" s="8" t="s">
        <v>21</v>
      </c>
      <c r="E1344" s="10" t="s">
        <v>38</v>
      </c>
      <c r="F1344" s="8" t="str">
        <f aca="false">TEXT(A1344,"MM-YYYY")</f>
        <v>04-2025</v>
      </c>
      <c r="G1344" s="8" t="s">
        <v>14</v>
      </c>
      <c r="H1344" s="8" t="s">
        <v>15</v>
      </c>
      <c r="I1344" s="7" t="n">
        <v>45761</v>
      </c>
      <c r="J1344" s="8" t="str">
        <f aca="false">VLOOKUP(B1344,Table3[#All],2,0)</f>
        <v>Grocery</v>
      </c>
      <c r="K1344" s="8" t="str">
        <f aca="false">TEXT(ROW(), "0000")</f>
        <v>1344</v>
      </c>
      <c r="L1344" s="8"/>
    </row>
    <row r="1345" customFormat="false" ht="15.75" hidden="false" customHeight="true" outlineLevel="0" collapsed="false">
      <c r="A1345" s="7" t="n">
        <v>45761</v>
      </c>
      <c r="B1345" s="8" t="s">
        <v>19</v>
      </c>
      <c r="C1345" s="9" t="n">
        <v>3086</v>
      </c>
      <c r="D1345" s="8" t="s">
        <v>13</v>
      </c>
      <c r="E1345" s="10" t="s">
        <v>20</v>
      </c>
      <c r="F1345" s="8" t="str">
        <f aca="false">TEXT(A1345,"MM-YYYY")</f>
        <v>04-2025</v>
      </c>
      <c r="G1345" s="8" t="s">
        <v>14</v>
      </c>
      <c r="H1345" s="8" t="s">
        <v>13</v>
      </c>
      <c r="I1345" s="7" t="n">
        <v>45766</v>
      </c>
      <c r="J1345" s="8" t="str">
        <f aca="false">VLOOKUP(B1345,Table3[#All],2,0)</f>
        <v>Inventory</v>
      </c>
      <c r="K1345" s="8" t="str">
        <f aca="false">TEXT(ROW(), "0000")</f>
        <v>1345</v>
      </c>
      <c r="L1345" s="8"/>
    </row>
    <row r="1346" customFormat="false" ht="15.75" hidden="false" customHeight="true" outlineLevel="0" collapsed="false">
      <c r="A1346" s="7" t="n">
        <v>45761</v>
      </c>
      <c r="B1346" s="8" t="s">
        <v>47</v>
      </c>
      <c r="C1346" s="9" t="n">
        <v>1680</v>
      </c>
      <c r="D1346" s="8" t="s">
        <v>13</v>
      </c>
      <c r="E1346" s="10" t="s">
        <v>223</v>
      </c>
      <c r="F1346" s="8" t="str">
        <f aca="false">TEXT(A1346,"MM-YYYY")</f>
        <v>04-2025</v>
      </c>
      <c r="G1346" s="8" t="s">
        <v>14</v>
      </c>
      <c r="H1346" s="8" t="s">
        <v>13</v>
      </c>
      <c r="I1346" s="7" t="n">
        <v>45769</v>
      </c>
      <c r="J1346" s="8" t="str">
        <f aca="false">VLOOKUP(B1346,Table3[#All],2,0)</f>
        <v>Inventory</v>
      </c>
      <c r="K1346" s="8" t="str">
        <f aca="false">TEXT(ROW(), "0000")</f>
        <v>1346</v>
      </c>
      <c r="L1346" s="8"/>
    </row>
    <row r="1347" customFormat="false" ht="15.75" hidden="false" customHeight="true" outlineLevel="0" collapsed="false">
      <c r="A1347" s="7" t="n">
        <v>45761</v>
      </c>
      <c r="B1347" s="8" t="s">
        <v>25</v>
      </c>
      <c r="C1347" s="9" t="n">
        <v>710</v>
      </c>
      <c r="D1347" s="8" t="s">
        <v>13</v>
      </c>
      <c r="E1347" s="10" t="s">
        <v>26</v>
      </c>
      <c r="F1347" s="8" t="str">
        <f aca="false">TEXT(A1347,"MM-YYYY")</f>
        <v>04-2025</v>
      </c>
      <c r="G1347" s="8" t="s">
        <v>14</v>
      </c>
      <c r="H1347" s="8" t="s">
        <v>13</v>
      </c>
      <c r="I1347" s="7" t="n">
        <v>45780</v>
      </c>
      <c r="J1347" s="8" t="str">
        <f aca="false">VLOOKUP(B1347,Table3[#All],2,0)</f>
        <v>Inventory</v>
      </c>
      <c r="K1347" s="8" t="str">
        <f aca="false">TEXT(ROW(), "0000")</f>
        <v>1347</v>
      </c>
      <c r="L1347" s="8"/>
    </row>
    <row r="1348" customFormat="false" ht="15.75" hidden="false" customHeight="true" outlineLevel="0" collapsed="false">
      <c r="A1348" s="7" t="n">
        <v>45761</v>
      </c>
      <c r="B1348" s="8" t="s">
        <v>22</v>
      </c>
      <c r="C1348" s="9" t="n">
        <v>2780</v>
      </c>
      <c r="D1348" s="8" t="s">
        <v>13</v>
      </c>
      <c r="E1348" s="10" t="s">
        <v>23</v>
      </c>
      <c r="F1348" s="8" t="str">
        <f aca="false">TEXT(A1348,"MM-YYYY")</f>
        <v>04-2025</v>
      </c>
      <c r="G1348" s="8" t="s">
        <v>14</v>
      </c>
      <c r="H1348" s="8" t="s">
        <v>13</v>
      </c>
      <c r="I1348" s="7" t="n">
        <v>45770</v>
      </c>
      <c r="J1348" s="8" t="str">
        <f aca="false">VLOOKUP(B1348,Table3[#All],2,0)</f>
        <v>Inventory</v>
      </c>
      <c r="K1348" s="8" t="str">
        <f aca="false">TEXT(ROW(), "0000")</f>
        <v>1348</v>
      </c>
      <c r="L1348" s="8"/>
    </row>
    <row r="1349" customFormat="false" ht="15.75" hidden="false" customHeight="true" outlineLevel="0" collapsed="false">
      <c r="A1349" s="7" t="n">
        <v>45761</v>
      </c>
      <c r="B1349" s="8" t="s">
        <v>22</v>
      </c>
      <c r="C1349" s="9" t="n">
        <v>110</v>
      </c>
      <c r="D1349" s="8" t="s">
        <v>21</v>
      </c>
      <c r="E1349" s="10" t="s">
        <v>213</v>
      </c>
      <c r="F1349" s="8" t="str">
        <f aca="false">TEXT(A1349,"MM-YYYY")</f>
        <v>04-2025</v>
      </c>
      <c r="G1349" s="8" t="s">
        <v>14</v>
      </c>
      <c r="H1349" s="8" t="s">
        <v>15</v>
      </c>
      <c r="I1349" s="7" t="n">
        <v>45761</v>
      </c>
      <c r="J1349" s="8" t="str">
        <f aca="false">VLOOKUP(B1349,Table3[#All],2,0)</f>
        <v>Inventory</v>
      </c>
      <c r="K1349" s="8" t="str">
        <f aca="false">TEXT(ROW(), "0000")</f>
        <v>1349</v>
      </c>
      <c r="L1349" s="8"/>
    </row>
    <row r="1350" customFormat="false" ht="15.75" hidden="false" customHeight="true" outlineLevel="0" collapsed="false">
      <c r="A1350" s="7" t="n">
        <v>45761</v>
      </c>
      <c r="B1350" s="8" t="s">
        <v>29</v>
      </c>
      <c r="C1350" s="9" t="n">
        <v>344</v>
      </c>
      <c r="D1350" s="8" t="s">
        <v>13</v>
      </c>
      <c r="E1350" s="10" t="s">
        <v>231</v>
      </c>
      <c r="F1350" s="8" t="str">
        <f aca="false">TEXT(A1350,"MM-YYYY")</f>
        <v>04-2025</v>
      </c>
      <c r="G1350" s="8" t="s">
        <v>14</v>
      </c>
      <c r="H1350" s="8" t="s">
        <v>13</v>
      </c>
      <c r="I1350" s="7" t="n">
        <v>45790</v>
      </c>
      <c r="J1350" s="8" t="str">
        <f aca="false">VLOOKUP(B1350,Table3[#All],2,0)</f>
        <v>Inventory</v>
      </c>
      <c r="K1350" s="8" t="str">
        <f aca="false">TEXT(ROW(), "0000")</f>
        <v>1350</v>
      </c>
      <c r="L1350" s="8"/>
    </row>
    <row r="1351" customFormat="false" ht="15.75" hidden="false" customHeight="true" outlineLevel="0" collapsed="false">
      <c r="A1351" s="7" t="n">
        <v>45761</v>
      </c>
      <c r="B1351" s="8" t="s">
        <v>28</v>
      </c>
      <c r="C1351" s="9" t="n">
        <v>800</v>
      </c>
      <c r="D1351" s="8" t="s">
        <v>21</v>
      </c>
      <c r="E1351" s="10" t="s">
        <v>93</v>
      </c>
      <c r="F1351" s="8" t="str">
        <f aca="false">TEXT(A1351,"MM-YYYY")</f>
        <v>04-2025</v>
      </c>
      <c r="G1351" s="8" t="s">
        <v>14</v>
      </c>
      <c r="H1351" s="8" t="s">
        <v>15</v>
      </c>
      <c r="I1351" s="7" t="n">
        <v>45761</v>
      </c>
      <c r="J1351" s="8" t="str">
        <f aca="false">VLOOKUP(B1351,Table3[#All],2,0)</f>
        <v>Grocery</v>
      </c>
      <c r="K1351" s="8" t="str">
        <f aca="false">TEXT(ROW(), "0000")</f>
        <v>1351</v>
      </c>
      <c r="L1351" s="8"/>
    </row>
    <row r="1352" customFormat="false" ht="15.75" hidden="false" customHeight="true" outlineLevel="0" collapsed="false">
      <c r="A1352" s="7" t="n">
        <v>45761</v>
      </c>
      <c r="B1352" s="8" t="s">
        <v>31</v>
      </c>
      <c r="C1352" s="9" t="n">
        <v>500</v>
      </c>
      <c r="D1352" s="8" t="s">
        <v>45</v>
      </c>
      <c r="E1352" s="10" t="s">
        <v>234</v>
      </c>
      <c r="F1352" s="8" t="str">
        <f aca="false">TEXT(A1352,"MM-YYYY")</f>
        <v>04-2025</v>
      </c>
      <c r="G1352" s="8" t="s">
        <v>14</v>
      </c>
      <c r="H1352" s="8" t="s">
        <v>232</v>
      </c>
      <c r="I1352" s="7" t="n">
        <v>45761</v>
      </c>
      <c r="J1352" s="8" t="str">
        <f aca="false">VLOOKUP(B1352,Table3[#All],2,0)</f>
        <v>Bike Maintance</v>
      </c>
      <c r="K1352" s="8" t="str">
        <f aca="false">TEXT(ROW(), "0000")</f>
        <v>1352</v>
      </c>
      <c r="L1352" s="8"/>
    </row>
    <row r="1353" customFormat="false" ht="15.75" hidden="false" customHeight="true" outlineLevel="0" collapsed="false">
      <c r="A1353" s="7" t="n">
        <v>45761</v>
      </c>
      <c r="B1353" s="8" t="s">
        <v>60</v>
      </c>
      <c r="C1353" s="9" t="n">
        <v>210</v>
      </c>
      <c r="D1353" s="8" t="s">
        <v>45</v>
      </c>
      <c r="E1353" s="10" t="s">
        <v>245</v>
      </c>
      <c r="F1353" s="8" t="str">
        <f aca="false">TEXT(A1353,"MM-YYYY")</f>
        <v>04-2025</v>
      </c>
      <c r="G1353" s="8" t="s">
        <v>14</v>
      </c>
      <c r="H1353" s="8" t="s">
        <v>232</v>
      </c>
      <c r="I1353" s="7" t="n">
        <v>45761</v>
      </c>
      <c r="J1353" s="8" t="str">
        <f aca="false">VLOOKUP(B1353,Table3[#All],2,0)</f>
        <v>Inventory</v>
      </c>
      <c r="K1353" s="8" t="str">
        <f aca="false">TEXT(ROW(), "0000")</f>
        <v>1353</v>
      </c>
      <c r="L1353" s="8"/>
    </row>
    <row r="1354" customFormat="false" ht="15.75" hidden="false" customHeight="true" outlineLevel="0" collapsed="false">
      <c r="A1354" s="7" t="n">
        <v>45761</v>
      </c>
      <c r="B1354" s="8" t="s">
        <v>25</v>
      </c>
      <c r="C1354" s="9" t="n">
        <v>60</v>
      </c>
      <c r="D1354" s="8" t="s">
        <v>45</v>
      </c>
      <c r="E1354" s="10" t="s">
        <v>42</v>
      </c>
      <c r="F1354" s="8" t="str">
        <f aca="false">TEXT(A1354,"MM-YYYY")</f>
        <v>04-2025</v>
      </c>
      <c r="G1354" s="8" t="s">
        <v>14</v>
      </c>
      <c r="H1354" s="8" t="s">
        <v>232</v>
      </c>
      <c r="I1354" s="7" t="n">
        <v>45761</v>
      </c>
      <c r="J1354" s="8" t="str">
        <f aca="false">VLOOKUP(B1354,Table3[#All],2,0)</f>
        <v>Inventory</v>
      </c>
      <c r="K1354" s="8" t="str">
        <f aca="false">TEXT(ROW(), "0000")</f>
        <v>1354</v>
      </c>
      <c r="L1354" s="8"/>
    </row>
    <row r="1355" customFormat="false" ht="15.75" hidden="false" customHeight="true" outlineLevel="0" collapsed="false">
      <c r="A1355" s="7" t="n">
        <v>45761</v>
      </c>
      <c r="B1355" s="8" t="s">
        <v>16</v>
      </c>
      <c r="C1355" s="9" t="n">
        <v>3600</v>
      </c>
      <c r="D1355" s="8" t="s">
        <v>21</v>
      </c>
      <c r="E1355" s="10" t="s">
        <v>88</v>
      </c>
      <c r="F1355" s="8" t="str">
        <f aca="false">TEXT(A1355,"MM-YYYY")</f>
        <v>04-2025</v>
      </c>
      <c r="G1355" s="8"/>
      <c r="H1355" s="8"/>
      <c r="I1355" s="7"/>
      <c r="J1355" s="8" t="str">
        <f aca="false">VLOOKUP(B1355,Table3[#All],2,0)</f>
        <v>Sales</v>
      </c>
      <c r="K1355" s="8" t="str">
        <f aca="false">TEXT(ROW(), "0000")</f>
        <v>1355</v>
      </c>
      <c r="L1355" s="8"/>
    </row>
    <row r="1356" customFormat="false" ht="15.75" hidden="false" customHeight="true" outlineLevel="0" collapsed="false">
      <c r="A1356" s="7" t="n">
        <v>45761</v>
      </c>
      <c r="B1356" s="8" t="s">
        <v>16</v>
      </c>
      <c r="C1356" s="9" t="n">
        <v>1379</v>
      </c>
      <c r="D1356" s="8" t="s">
        <v>33</v>
      </c>
      <c r="E1356" s="10" t="s">
        <v>88</v>
      </c>
      <c r="F1356" s="8" t="str">
        <f aca="false">TEXT(A1356,"MM-YYYY")</f>
        <v>04-2025</v>
      </c>
      <c r="G1356" s="8"/>
      <c r="H1356" s="8"/>
      <c r="I1356" s="7"/>
      <c r="J1356" s="8" t="str">
        <f aca="false">VLOOKUP(B1356,Table3[#All],2,0)</f>
        <v>Sales</v>
      </c>
      <c r="K1356" s="8" t="str">
        <f aca="false">TEXT(ROW(), "0000")</f>
        <v>1356</v>
      </c>
      <c r="L1356" s="8"/>
    </row>
    <row r="1357" customFormat="false" ht="15.75" hidden="false" customHeight="true" outlineLevel="0" collapsed="false">
      <c r="A1357" s="7" t="n">
        <v>45761</v>
      </c>
      <c r="B1357" s="8" t="s">
        <v>16</v>
      </c>
      <c r="C1357" s="9" t="n">
        <v>8364</v>
      </c>
      <c r="D1357" s="8" t="s">
        <v>17</v>
      </c>
      <c r="E1357" s="10" t="s">
        <v>88</v>
      </c>
      <c r="F1357" s="8" t="str">
        <f aca="false">TEXT(A1357,"MM-YYYY")</f>
        <v>04-2025</v>
      </c>
      <c r="G1357" s="8"/>
      <c r="H1357" s="8"/>
      <c r="I1357" s="7"/>
      <c r="J1357" s="8" t="str">
        <f aca="false">VLOOKUP(B1357,Table3[#All],2,0)</f>
        <v>Sales</v>
      </c>
      <c r="K1357" s="8" t="str">
        <f aca="false">TEXT(ROW(), "0000")</f>
        <v>1357</v>
      </c>
      <c r="L1357" s="8"/>
    </row>
    <row r="1358" customFormat="false" ht="15.75" hidden="false" customHeight="true" outlineLevel="0" collapsed="false">
      <c r="A1358" s="7" t="n">
        <v>45761</v>
      </c>
      <c r="B1358" s="8" t="s">
        <v>16</v>
      </c>
      <c r="C1358" s="9" t="n">
        <v>2630</v>
      </c>
      <c r="D1358" s="8" t="s">
        <v>24</v>
      </c>
      <c r="E1358" s="10" t="s">
        <v>217</v>
      </c>
      <c r="F1358" s="8" t="str">
        <f aca="false">TEXT(A1358,"MM-YYYY")</f>
        <v>04-2025</v>
      </c>
      <c r="G1358" s="8"/>
      <c r="H1358" s="8"/>
      <c r="I1358" s="7"/>
      <c r="J1358" s="8" t="str">
        <f aca="false">VLOOKUP(B1358,Table3[#All],2,0)</f>
        <v>Sales</v>
      </c>
      <c r="K1358" s="8" t="str">
        <f aca="false">TEXT(ROW(), "0000")</f>
        <v>1358</v>
      </c>
      <c r="L1358" s="8"/>
    </row>
    <row r="1359" customFormat="false" ht="15.75" hidden="false" customHeight="true" outlineLevel="0" collapsed="false">
      <c r="A1359" s="7" t="n">
        <v>45761</v>
      </c>
      <c r="B1359" s="8" t="s">
        <v>37</v>
      </c>
      <c r="C1359" s="9" t="n">
        <v>15</v>
      </c>
      <c r="D1359" s="8" t="s">
        <v>21</v>
      </c>
      <c r="E1359" s="8" t="s">
        <v>37</v>
      </c>
      <c r="F1359" s="8" t="str">
        <f aca="false">TEXT(A1359,"MM-YYYY")</f>
        <v>04-2025</v>
      </c>
      <c r="G1359" s="8" t="s">
        <v>14</v>
      </c>
      <c r="H1359" s="8" t="s">
        <v>15</v>
      </c>
      <c r="I1359" s="7" t="n">
        <v>45761</v>
      </c>
      <c r="J1359" s="8" t="str">
        <f aca="false">VLOOKUP(B1359,Table3[#All],2,0)</f>
        <v>Maintance</v>
      </c>
      <c r="K1359" s="8" t="str">
        <f aca="false">TEXT(ROW(), "0000")</f>
        <v>1359</v>
      </c>
      <c r="L1359" s="8"/>
    </row>
    <row r="1360" customFormat="false" ht="15.75" hidden="false" customHeight="true" outlineLevel="0" collapsed="false">
      <c r="A1360" s="7" t="n">
        <v>45761</v>
      </c>
      <c r="B1360" s="8" t="s">
        <v>34</v>
      </c>
      <c r="C1360" s="9" t="n">
        <v>130</v>
      </c>
      <c r="D1360" s="8" t="s">
        <v>45</v>
      </c>
      <c r="E1360" s="10" t="s">
        <v>274</v>
      </c>
      <c r="F1360" s="8" t="str">
        <f aca="false">TEXT(A1360,"MM-YYYY")</f>
        <v>04-2025</v>
      </c>
      <c r="G1360" s="8" t="s">
        <v>14</v>
      </c>
      <c r="H1360" s="8" t="s">
        <v>232</v>
      </c>
      <c r="I1360" s="7" t="n">
        <v>45761</v>
      </c>
      <c r="J1360" s="8" t="str">
        <f aca="false">VLOOKUP(B1360,Table3[#All],2,0)</f>
        <v>Staff Expenses</v>
      </c>
      <c r="K1360" s="8" t="str">
        <f aca="false">TEXT(ROW(), "0000")</f>
        <v>1360</v>
      </c>
      <c r="L1360" s="8"/>
    </row>
    <row r="1361" customFormat="false" ht="15.75" hidden="false" customHeight="true" outlineLevel="0" collapsed="false">
      <c r="A1361" s="7" t="n">
        <v>45761</v>
      </c>
      <c r="B1361" s="8" t="s">
        <v>29</v>
      </c>
      <c r="C1361" s="9" t="n">
        <v>20</v>
      </c>
      <c r="D1361" s="8" t="s">
        <v>21</v>
      </c>
      <c r="E1361" s="10" t="s">
        <v>194</v>
      </c>
      <c r="F1361" s="8" t="str">
        <f aca="false">TEXT(A1361,"MM-YYYY")</f>
        <v>04-2025</v>
      </c>
      <c r="G1361" s="8" t="s">
        <v>14</v>
      </c>
      <c r="H1361" s="8" t="s">
        <v>15</v>
      </c>
      <c r="I1361" s="7" t="n">
        <v>45761</v>
      </c>
      <c r="J1361" s="8" t="str">
        <f aca="false">VLOOKUP(B1361,Table3[#All],2,0)</f>
        <v>Inventory</v>
      </c>
      <c r="K1361" s="8" t="str">
        <f aca="false">TEXT(ROW(), "0000")</f>
        <v>1361</v>
      </c>
      <c r="L1361" s="8"/>
    </row>
    <row r="1362" customFormat="false" ht="15.75" hidden="false" customHeight="true" outlineLevel="0" collapsed="false">
      <c r="A1362" s="7" t="n">
        <v>45762</v>
      </c>
      <c r="B1362" s="8" t="s">
        <v>25</v>
      </c>
      <c r="C1362" s="9" t="n">
        <v>353</v>
      </c>
      <c r="D1362" s="8" t="s">
        <v>13</v>
      </c>
      <c r="E1362" s="10" t="s">
        <v>26</v>
      </c>
      <c r="F1362" s="8" t="str">
        <f aca="false">TEXT(A1362,"MM-YYYY")</f>
        <v>04-2025</v>
      </c>
      <c r="G1362" s="8" t="s">
        <v>14</v>
      </c>
      <c r="H1362" s="8" t="s">
        <v>13</v>
      </c>
      <c r="I1362" s="7" t="n">
        <v>45780</v>
      </c>
      <c r="J1362" s="8" t="str">
        <f aca="false">VLOOKUP(B1362,Table3[#All],2,0)</f>
        <v>Inventory</v>
      </c>
      <c r="K1362" s="8" t="str">
        <f aca="false">TEXT(ROW(), "0000")</f>
        <v>1362</v>
      </c>
      <c r="L1362" s="8"/>
    </row>
    <row r="1363" customFormat="false" ht="15.75" hidden="false" customHeight="true" outlineLevel="0" collapsed="false">
      <c r="A1363" s="7" t="n">
        <v>45762</v>
      </c>
      <c r="B1363" s="8" t="s">
        <v>22</v>
      </c>
      <c r="C1363" s="9" t="n">
        <v>5788</v>
      </c>
      <c r="D1363" s="8" t="s">
        <v>13</v>
      </c>
      <c r="E1363" s="10" t="s">
        <v>76</v>
      </c>
      <c r="F1363" s="8" t="str">
        <f aca="false">TEXT(A1363,"MM-YYYY")</f>
        <v>04-2025</v>
      </c>
      <c r="G1363" s="8" t="s">
        <v>14</v>
      </c>
      <c r="H1363" s="8" t="s">
        <v>262</v>
      </c>
      <c r="I1363" s="7" t="n">
        <v>45762</v>
      </c>
      <c r="J1363" s="8" t="str">
        <f aca="false">VLOOKUP(B1363,Table3[#All],2,0)</f>
        <v>Inventory</v>
      </c>
      <c r="K1363" s="8" t="str">
        <f aca="false">TEXT(ROW(), "0000")</f>
        <v>1363</v>
      </c>
      <c r="L1363" s="8"/>
    </row>
    <row r="1364" customFormat="false" ht="15.75" hidden="false" customHeight="true" outlineLevel="0" collapsed="false">
      <c r="A1364" s="7" t="n">
        <v>45762</v>
      </c>
      <c r="B1364" s="8" t="s">
        <v>19</v>
      </c>
      <c r="C1364" s="9" t="n">
        <v>2044</v>
      </c>
      <c r="D1364" s="8" t="s">
        <v>13</v>
      </c>
      <c r="E1364" s="10" t="s">
        <v>20</v>
      </c>
      <c r="F1364" s="8" t="str">
        <f aca="false">TEXT(A1364,"MM-YYYY")</f>
        <v>04-2025</v>
      </c>
      <c r="G1364" s="8" t="s">
        <v>14</v>
      </c>
      <c r="H1364" s="8" t="s">
        <v>13</v>
      </c>
      <c r="I1364" s="7" t="n">
        <v>45766</v>
      </c>
      <c r="J1364" s="8" t="str">
        <f aca="false">VLOOKUP(B1364,Table3[#All],2,0)</f>
        <v>Inventory</v>
      </c>
      <c r="K1364" s="8" t="str">
        <f aca="false">TEXT(ROW(), "0000")</f>
        <v>1364</v>
      </c>
      <c r="L1364" s="8"/>
    </row>
    <row r="1365" customFormat="false" ht="15.75" hidden="false" customHeight="true" outlineLevel="0" collapsed="false">
      <c r="A1365" s="7" t="n">
        <v>45762</v>
      </c>
      <c r="B1365" s="8" t="s">
        <v>22</v>
      </c>
      <c r="C1365" s="9" t="n">
        <v>3765</v>
      </c>
      <c r="D1365" s="8" t="s">
        <v>13</v>
      </c>
      <c r="E1365" s="10" t="s">
        <v>23</v>
      </c>
      <c r="F1365" s="8" t="str">
        <f aca="false">TEXT(A1365,"MM-YYYY")</f>
        <v>04-2025</v>
      </c>
      <c r="G1365" s="8" t="s">
        <v>14</v>
      </c>
      <c r="H1365" s="8" t="s">
        <v>13</v>
      </c>
      <c r="I1365" s="7" t="n">
        <v>45770</v>
      </c>
      <c r="J1365" s="8" t="str">
        <f aca="false">VLOOKUP(B1365,Table3[#All],2,0)</f>
        <v>Inventory</v>
      </c>
      <c r="K1365" s="8" t="str">
        <f aca="false">TEXT(ROW(), "0000")</f>
        <v>1365</v>
      </c>
      <c r="L1365" s="8"/>
    </row>
    <row r="1366" customFormat="false" ht="15.75" hidden="false" customHeight="true" outlineLevel="0" collapsed="false">
      <c r="A1366" s="7" t="n">
        <v>45762</v>
      </c>
      <c r="B1366" s="8" t="s">
        <v>34</v>
      </c>
      <c r="C1366" s="9" t="n">
        <v>125</v>
      </c>
      <c r="D1366" s="8" t="s">
        <v>21</v>
      </c>
      <c r="E1366" s="10" t="s">
        <v>274</v>
      </c>
      <c r="F1366" s="8" t="str">
        <f aca="false">TEXT(A1366,"MM-YYYY")</f>
        <v>04-2025</v>
      </c>
      <c r="G1366" s="8" t="s">
        <v>14</v>
      </c>
      <c r="H1366" s="8" t="s">
        <v>15</v>
      </c>
      <c r="I1366" s="7" t="n">
        <v>45762</v>
      </c>
      <c r="J1366" s="8" t="str">
        <f aca="false">VLOOKUP(B1366,Table3[#All],2,0)</f>
        <v>Staff Expenses</v>
      </c>
      <c r="K1366" s="8" t="str">
        <f aca="false">TEXT(ROW(), "0000")</f>
        <v>1366</v>
      </c>
      <c r="L1366" s="8"/>
    </row>
    <row r="1367" customFormat="false" ht="15.75" hidden="false" customHeight="true" outlineLevel="0" collapsed="false">
      <c r="A1367" s="7" t="n">
        <v>45762</v>
      </c>
      <c r="B1367" s="8" t="s">
        <v>44</v>
      </c>
      <c r="C1367" s="9" t="n">
        <v>500</v>
      </c>
      <c r="D1367" s="8" t="s">
        <v>21</v>
      </c>
      <c r="E1367" s="10" t="s">
        <v>275</v>
      </c>
      <c r="F1367" s="8" t="str">
        <f aca="false">TEXT(A1367,"MM-YYYY")</f>
        <v>04-2025</v>
      </c>
      <c r="G1367" s="8" t="s">
        <v>14</v>
      </c>
      <c r="H1367" s="8" t="s">
        <v>15</v>
      </c>
      <c r="I1367" s="7" t="n">
        <v>45762</v>
      </c>
      <c r="J1367" s="8" t="str">
        <f aca="false">VLOOKUP(B1367,Table3[#All],2,0)</f>
        <v>Salary</v>
      </c>
      <c r="K1367" s="8" t="str">
        <f aca="false">TEXT(ROW(), "0000")</f>
        <v>1367</v>
      </c>
      <c r="L1367" s="8"/>
    </row>
    <row r="1368" customFormat="false" ht="15.75" hidden="false" customHeight="true" outlineLevel="0" collapsed="false">
      <c r="A1368" s="7" t="n">
        <v>45762</v>
      </c>
      <c r="B1368" s="8" t="s">
        <v>29</v>
      </c>
      <c r="C1368" s="9" t="n">
        <v>30</v>
      </c>
      <c r="D1368" s="8" t="s">
        <v>21</v>
      </c>
      <c r="E1368" s="10" t="s">
        <v>194</v>
      </c>
      <c r="F1368" s="8" t="str">
        <f aca="false">TEXT(A1368,"MM-YYYY")</f>
        <v>04-2025</v>
      </c>
      <c r="G1368" s="8" t="s">
        <v>14</v>
      </c>
      <c r="H1368" s="8" t="s">
        <v>15</v>
      </c>
      <c r="I1368" s="7" t="n">
        <v>45762</v>
      </c>
      <c r="J1368" s="8" t="str">
        <f aca="false">VLOOKUP(B1368,Table3[#All],2,0)</f>
        <v>Inventory</v>
      </c>
      <c r="K1368" s="8" t="str">
        <f aca="false">TEXT(ROW(), "0000")</f>
        <v>1368</v>
      </c>
      <c r="L1368" s="8"/>
    </row>
    <row r="1369" customFormat="false" ht="15.75" hidden="false" customHeight="true" outlineLevel="0" collapsed="false">
      <c r="A1369" s="7" t="n">
        <v>45762</v>
      </c>
      <c r="B1369" s="8" t="s">
        <v>50</v>
      </c>
      <c r="C1369" s="9" t="n">
        <v>1780</v>
      </c>
      <c r="D1369" s="8" t="s">
        <v>13</v>
      </c>
      <c r="E1369" s="10" t="s">
        <v>263</v>
      </c>
      <c r="F1369" s="8" t="str">
        <f aca="false">TEXT(A1369,"MM-YYYY")</f>
        <v>04-2025</v>
      </c>
      <c r="G1369" s="8" t="s">
        <v>14</v>
      </c>
      <c r="H1369" s="8" t="s">
        <v>13</v>
      </c>
      <c r="I1369" s="7" t="n">
        <v>45770</v>
      </c>
      <c r="J1369" s="8" t="str">
        <f aca="false">VLOOKUP(B1369,Table3[#All],2,0)</f>
        <v>Fixed Maintance</v>
      </c>
      <c r="K1369" s="8" t="str">
        <f aca="false">TEXT(ROW(), "0000")</f>
        <v>1369</v>
      </c>
      <c r="L1369" s="8"/>
    </row>
    <row r="1370" customFormat="false" ht="15.75" hidden="false" customHeight="true" outlineLevel="0" collapsed="false">
      <c r="A1370" s="7" t="n">
        <v>45762</v>
      </c>
      <c r="B1370" s="8" t="s">
        <v>29</v>
      </c>
      <c r="C1370" s="9" t="n">
        <v>260</v>
      </c>
      <c r="D1370" s="8" t="s">
        <v>13</v>
      </c>
      <c r="E1370" s="10" t="s">
        <v>231</v>
      </c>
      <c r="F1370" s="8" t="str">
        <f aca="false">TEXT(A1370,"MM-YYYY")</f>
        <v>04-2025</v>
      </c>
      <c r="G1370" s="8" t="s">
        <v>14</v>
      </c>
      <c r="H1370" s="8" t="s">
        <v>13</v>
      </c>
      <c r="I1370" s="7" t="n">
        <v>45790</v>
      </c>
      <c r="J1370" s="8" t="str">
        <f aca="false">VLOOKUP(B1370,Table3[#All],2,0)</f>
        <v>Inventory</v>
      </c>
      <c r="K1370" s="8" t="str">
        <f aca="false">TEXT(ROW(), "0000")</f>
        <v>1370</v>
      </c>
      <c r="L1370" s="8"/>
    </row>
    <row r="1371" customFormat="false" ht="15.75" hidden="false" customHeight="true" outlineLevel="0" collapsed="false">
      <c r="A1371" s="7" t="n">
        <v>45762</v>
      </c>
      <c r="B1371" s="8" t="s">
        <v>43</v>
      </c>
      <c r="C1371" s="9" t="n">
        <v>20</v>
      </c>
      <c r="D1371" s="8" t="s">
        <v>21</v>
      </c>
      <c r="E1371" s="10" t="s">
        <v>242</v>
      </c>
      <c r="F1371" s="8" t="str">
        <f aca="false">TEXT(A1371,"MM-YYYY")</f>
        <v>04-2025</v>
      </c>
      <c r="G1371" s="8" t="s">
        <v>14</v>
      </c>
      <c r="H1371" s="8" t="s">
        <v>15</v>
      </c>
      <c r="I1371" s="7" t="n">
        <v>45762</v>
      </c>
      <c r="J1371" s="8" t="str">
        <f aca="false">VLOOKUP(B1371,Table3[#All],2,0)</f>
        <v>Maintance</v>
      </c>
      <c r="K1371" s="8" t="str">
        <f aca="false">TEXT(ROW(), "0000")</f>
        <v>1371</v>
      </c>
      <c r="L1371" s="8"/>
    </row>
    <row r="1372" customFormat="false" ht="15.75" hidden="false" customHeight="true" outlineLevel="0" collapsed="false">
      <c r="A1372" s="7" t="n">
        <v>45762</v>
      </c>
      <c r="B1372" s="8" t="s">
        <v>16</v>
      </c>
      <c r="C1372" s="9" t="n">
        <v>2875</v>
      </c>
      <c r="D1372" s="8" t="s">
        <v>21</v>
      </c>
      <c r="E1372" s="10" t="s">
        <v>88</v>
      </c>
      <c r="F1372" s="8" t="str">
        <f aca="false">TEXT(A1372,"MM-YYYY")</f>
        <v>04-2025</v>
      </c>
      <c r="G1372" s="8"/>
      <c r="H1372" s="8"/>
      <c r="I1372" s="7"/>
      <c r="J1372" s="8" t="str">
        <f aca="false">VLOOKUP(B1372,Table3[#All],2,0)</f>
        <v>Sales</v>
      </c>
      <c r="K1372" s="8" t="str">
        <f aca="false">TEXT(ROW(), "0000")</f>
        <v>1372</v>
      </c>
      <c r="L1372" s="8"/>
    </row>
    <row r="1373" customFormat="false" ht="15.75" hidden="false" customHeight="true" outlineLevel="0" collapsed="false">
      <c r="A1373" s="7" t="n">
        <v>45762</v>
      </c>
      <c r="B1373" s="8" t="s">
        <v>16</v>
      </c>
      <c r="C1373" s="9" t="n">
        <v>1080</v>
      </c>
      <c r="D1373" s="8" t="s">
        <v>27</v>
      </c>
      <c r="E1373" s="10" t="s">
        <v>88</v>
      </c>
      <c r="F1373" s="8" t="str">
        <f aca="false">TEXT(A1373,"MM-YYYY")</f>
        <v>04-2025</v>
      </c>
      <c r="G1373" s="8"/>
      <c r="H1373" s="8"/>
      <c r="I1373" s="7"/>
      <c r="J1373" s="8" t="str">
        <f aca="false">VLOOKUP(B1373,Table3[#All],2,0)</f>
        <v>Sales</v>
      </c>
      <c r="K1373" s="8" t="str">
        <f aca="false">TEXT(ROW(), "0000")</f>
        <v>1373</v>
      </c>
      <c r="L1373" s="8"/>
    </row>
    <row r="1374" customFormat="false" ht="15.75" hidden="false" customHeight="true" outlineLevel="0" collapsed="false">
      <c r="A1374" s="7" t="n">
        <v>45762</v>
      </c>
      <c r="B1374" s="8" t="s">
        <v>16</v>
      </c>
      <c r="C1374" s="9" t="n">
        <v>870</v>
      </c>
      <c r="D1374" s="8" t="s">
        <v>33</v>
      </c>
      <c r="E1374" s="10" t="s">
        <v>88</v>
      </c>
      <c r="F1374" s="8" t="str">
        <f aca="false">TEXT(A1374,"MM-YYYY")</f>
        <v>04-2025</v>
      </c>
      <c r="G1374" s="8"/>
      <c r="H1374" s="8"/>
      <c r="I1374" s="7"/>
      <c r="J1374" s="8" t="str">
        <f aca="false">VLOOKUP(B1374,Table3[#All],2,0)</f>
        <v>Sales</v>
      </c>
      <c r="K1374" s="8" t="str">
        <f aca="false">TEXT(ROW(), "0000")</f>
        <v>1374</v>
      </c>
      <c r="L1374" s="8"/>
    </row>
    <row r="1375" customFormat="false" ht="15.75" hidden="false" customHeight="true" outlineLevel="0" collapsed="false">
      <c r="A1375" s="7" t="n">
        <v>45762</v>
      </c>
      <c r="B1375" s="8" t="s">
        <v>16</v>
      </c>
      <c r="C1375" s="9" t="n">
        <v>12030</v>
      </c>
      <c r="D1375" s="8" t="s">
        <v>17</v>
      </c>
      <c r="E1375" s="10" t="s">
        <v>88</v>
      </c>
      <c r="F1375" s="8" t="str">
        <f aca="false">TEXT(A1375,"MM-YYYY")</f>
        <v>04-2025</v>
      </c>
      <c r="G1375" s="8"/>
      <c r="H1375" s="8"/>
      <c r="I1375" s="7"/>
      <c r="J1375" s="8" t="str">
        <f aca="false">VLOOKUP(B1375,Table3[#All],2,0)</f>
        <v>Sales</v>
      </c>
      <c r="K1375" s="8" t="str">
        <f aca="false">TEXT(ROW(), "0000")</f>
        <v>1375</v>
      </c>
      <c r="L1375" s="8"/>
    </row>
    <row r="1376" customFormat="false" ht="15.75" hidden="false" customHeight="true" outlineLevel="0" collapsed="false">
      <c r="A1376" s="7" t="n">
        <v>45762</v>
      </c>
      <c r="B1376" s="8" t="s">
        <v>16</v>
      </c>
      <c r="C1376" s="9" t="n">
        <v>2142</v>
      </c>
      <c r="D1376" s="8" t="s">
        <v>24</v>
      </c>
      <c r="E1376" s="10" t="s">
        <v>217</v>
      </c>
      <c r="F1376" s="8" t="str">
        <f aca="false">TEXT(A1376,"MM-YYYY")</f>
        <v>04-2025</v>
      </c>
      <c r="G1376" s="8"/>
      <c r="H1376" s="8"/>
      <c r="I1376" s="7"/>
      <c r="J1376" s="8" t="str">
        <f aca="false">VLOOKUP(B1376,Table3[#All],2,0)</f>
        <v>Sales</v>
      </c>
      <c r="K1376" s="8" t="str">
        <f aca="false">TEXT(ROW(), "0000")</f>
        <v>1376</v>
      </c>
      <c r="L1376" s="8"/>
    </row>
    <row r="1377" customFormat="false" ht="15.75" hidden="false" customHeight="true" outlineLevel="0" collapsed="false">
      <c r="A1377" s="7" t="n">
        <v>45763</v>
      </c>
      <c r="B1377" s="8" t="s">
        <v>19</v>
      </c>
      <c r="C1377" s="9" t="n">
        <v>4801</v>
      </c>
      <c r="D1377" s="8" t="s">
        <v>13</v>
      </c>
      <c r="E1377" s="10" t="s">
        <v>20</v>
      </c>
      <c r="F1377" s="8" t="str">
        <f aca="false">TEXT(A1377,"MM-YYYY")</f>
        <v>04-2025</v>
      </c>
      <c r="G1377" s="8" t="s">
        <v>14</v>
      </c>
      <c r="H1377" s="8" t="s">
        <v>13</v>
      </c>
      <c r="I1377" s="7" t="n">
        <v>45771</v>
      </c>
      <c r="J1377" s="8" t="str">
        <f aca="false">VLOOKUP(B1377,Table3[#All],2,0)</f>
        <v>Inventory</v>
      </c>
      <c r="K1377" s="8" t="str">
        <f aca="false">TEXT(ROW(), "0000")</f>
        <v>1377</v>
      </c>
      <c r="L1377" s="8"/>
    </row>
    <row r="1378" customFormat="false" ht="15.75" hidden="false" customHeight="true" outlineLevel="0" collapsed="false">
      <c r="A1378" s="7" t="n">
        <v>45763</v>
      </c>
      <c r="B1378" s="8" t="s">
        <v>25</v>
      </c>
      <c r="C1378" s="9" t="n">
        <v>870</v>
      </c>
      <c r="D1378" s="8" t="s">
        <v>13</v>
      </c>
      <c r="E1378" s="10" t="s">
        <v>26</v>
      </c>
      <c r="F1378" s="8" t="str">
        <f aca="false">TEXT(A1378,"MM-YYYY")</f>
        <v>04-2025</v>
      </c>
      <c r="G1378" s="8" t="s">
        <v>14</v>
      </c>
      <c r="H1378" s="8" t="s">
        <v>13</v>
      </c>
      <c r="I1378" s="7" t="n">
        <v>45780</v>
      </c>
      <c r="J1378" s="8" t="str">
        <f aca="false">VLOOKUP(B1378,Table3[#All],2,0)</f>
        <v>Inventory</v>
      </c>
      <c r="K1378" s="8" t="str">
        <f aca="false">TEXT(ROW(), "0000")</f>
        <v>1378</v>
      </c>
      <c r="L1378" s="8"/>
    </row>
    <row r="1379" customFormat="false" ht="15.75" hidden="false" customHeight="true" outlineLevel="0" collapsed="false">
      <c r="A1379" s="7" t="n">
        <v>45763</v>
      </c>
      <c r="B1379" s="8" t="s">
        <v>47</v>
      </c>
      <c r="C1379" s="9" t="n">
        <v>840</v>
      </c>
      <c r="D1379" s="8" t="s">
        <v>13</v>
      </c>
      <c r="E1379" s="10" t="s">
        <v>223</v>
      </c>
      <c r="F1379" s="8" t="str">
        <f aca="false">TEXT(A1379,"MM-YYYY")</f>
        <v>04-2025</v>
      </c>
      <c r="G1379" s="8" t="s">
        <v>14</v>
      </c>
      <c r="H1379" s="8" t="s">
        <v>13</v>
      </c>
      <c r="I1379" s="7" t="n">
        <v>45769</v>
      </c>
      <c r="J1379" s="8" t="str">
        <f aca="false">VLOOKUP(B1379,Table3[#All],2,0)</f>
        <v>Inventory</v>
      </c>
      <c r="K1379" s="8" t="str">
        <f aca="false">TEXT(ROW(), "0000")</f>
        <v>1379</v>
      </c>
      <c r="L1379" s="8"/>
    </row>
    <row r="1380" customFormat="false" ht="15.75" hidden="false" customHeight="true" outlineLevel="0" collapsed="false">
      <c r="A1380" s="7" t="n">
        <v>45763</v>
      </c>
      <c r="B1380" s="8" t="s">
        <v>22</v>
      </c>
      <c r="C1380" s="9" t="n">
        <v>2414</v>
      </c>
      <c r="D1380" s="8" t="s">
        <v>13</v>
      </c>
      <c r="E1380" s="10" t="s">
        <v>23</v>
      </c>
      <c r="F1380" s="8" t="str">
        <f aca="false">TEXT(A1380,"MM-YYYY")</f>
        <v>04-2025</v>
      </c>
      <c r="G1380" s="8" t="s">
        <v>14</v>
      </c>
      <c r="H1380" s="8" t="s">
        <v>13</v>
      </c>
      <c r="I1380" s="7" t="n">
        <v>45770</v>
      </c>
      <c r="J1380" s="8" t="str">
        <f aca="false">VLOOKUP(B1380,Table3[#All],2,0)</f>
        <v>Inventory</v>
      </c>
      <c r="K1380" s="8" t="str">
        <f aca="false">TEXT(ROW(), "0000")</f>
        <v>1380</v>
      </c>
      <c r="L1380" s="8"/>
    </row>
    <row r="1381" customFormat="false" ht="15.75" hidden="false" customHeight="true" outlineLevel="0" collapsed="false">
      <c r="A1381" s="7" t="n">
        <v>45763</v>
      </c>
      <c r="B1381" s="8" t="s">
        <v>32</v>
      </c>
      <c r="C1381" s="9" t="n">
        <v>280</v>
      </c>
      <c r="D1381" s="8" t="s">
        <v>21</v>
      </c>
      <c r="E1381" s="10" t="s">
        <v>38</v>
      </c>
      <c r="F1381" s="8" t="str">
        <f aca="false">TEXT(A1381,"MM-YYYY")</f>
        <v>04-2025</v>
      </c>
      <c r="G1381" s="8" t="s">
        <v>14</v>
      </c>
      <c r="H1381" s="8" t="s">
        <v>15</v>
      </c>
      <c r="I1381" s="7" t="n">
        <v>45763</v>
      </c>
      <c r="J1381" s="8" t="str">
        <f aca="false">VLOOKUP(B1381,Table3[#All],2,0)</f>
        <v>Grocery</v>
      </c>
      <c r="K1381" s="8" t="str">
        <f aca="false">TEXT(ROW(), "0000")</f>
        <v>1381</v>
      </c>
      <c r="L1381" s="8"/>
    </row>
    <row r="1382" customFormat="false" ht="15.75" hidden="false" customHeight="true" outlineLevel="0" collapsed="false">
      <c r="A1382" s="7" t="n">
        <v>45763</v>
      </c>
      <c r="B1382" s="8" t="s">
        <v>201</v>
      </c>
      <c r="C1382" s="9" t="n">
        <v>2610</v>
      </c>
      <c r="D1382" s="8" t="s">
        <v>13</v>
      </c>
      <c r="E1382" s="10" t="s">
        <v>276</v>
      </c>
      <c r="F1382" s="8" t="str">
        <f aca="false">TEXT(A1382,"MM-YYYY")</f>
        <v>04-2025</v>
      </c>
      <c r="G1382" s="8" t="s">
        <v>14</v>
      </c>
      <c r="H1382" s="8" t="s">
        <v>13</v>
      </c>
      <c r="I1382" s="7" t="n">
        <v>45763</v>
      </c>
      <c r="J1382" s="8" t="str">
        <f aca="false">VLOOKUP(B1382,Table3[#All],2,0)</f>
        <v>Inventory</v>
      </c>
      <c r="K1382" s="8" t="str">
        <f aca="false">TEXT(ROW(), "0000")</f>
        <v>1382</v>
      </c>
      <c r="L1382" s="8"/>
    </row>
    <row r="1383" customFormat="false" ht="15.75" hidden="false" customHeight="true" outlineLevel="0" collapsed="false">
      <c r="A1383" s="7" t="n">
        <v>45763</v>
      </c>
      <c r="B1383" s="8" t="s">
        <v>53</v>
      </c>
      <c r="C1383" s="9" t="n">
        <v>1200</v>
      </c>
      <c r="D1383" s="8" t="s">
        <v>21</v>
      </c>
      <c r="E1383" s="10" t="s">
        <v>55</v>
      </c>
      <c r="F1383" s="8" t="str">
        <f aca="false">TEXT(A1383,"MM-YYYY")</f>
        <v>04-2025</v>
      </c>
      <c r="G1383" s="8" t="s">
        <v>14</v>
      </c>
      <c r="H1383" s="8" t="s">
        <v>15</v>
      </c>
      <c r="I1383" s="7" t="n">
        <v>45763</v>
      </c>
      <c r="J1383" s="8" t="str">
        <f aca="false">VLOOKUP(B1383,Table3[#All],2,0)</f>
        <v>Grocery</v>
      </c>
      <c r="K1383" s="8" t="str">
        <f aca="false">TEXT(ROW(), "0000")</f>
        <v>1383</v>
      </c>
      <c r="L1383" s="8"/>
    </row>
    <row r="1384" customFormat="false" ht="15.75" hidden="false" customHeight="true" outlineLevel="0" collapsed="false">
      <c r="A1384" s="7" t="n">
        <v>45763</v>
      </c>
      <c r="B1384" s="8" t="s">
        <v>29</v>
      </c>
      <c r="C1384" s="9" t="n">
        <v>574</v>
      </c>
      <c r="D1384" s="8" t="s">
        <v>13</v>
      </c>
      <c r="E1384" s="10" t="s">
        <v>231</v>
      </c>
      <c r="F1384" s="8" t="str">
        <f aca="false">TEXT(A1384,"MM-YYYY")</f>
        <v>04-2025</v>
      </c>
      <c r="G1384" s="8" t="s">
        <v>14</v>
      </c>
      <c r="H1384" s="8" t="s">
        <v>13</v>
      </c>
      <c r="I1384" s="7" t="n">
        <v>45790</v>
      </c>
      <c r="J1384" s="8" t="str">
        <f aca="false">VLOOKUP(B1384,Table3[#All],2,0)</f>
        <v>Inventory</v>
      </c>
      <c r="K1384" s="8" t="str">
        <f aca="false">TEXT(ROW(), "0000")</f>
        <v>1384</v>
      </c>
      <c r="L1384" s="8"/>
    </row>
    <row r="1385" customFormat="false" ht="15.75" hidden="false" customHeight="true" outlineLevel="0" collapsed="false">
      <c r="A1385" s="7" t="n">
        <v>45763</v>
      </c>
      <c r="B1385" s="8" t="s">
        <v>16</v>
      </c>
      <c r="C1385" s="9" t="n">
        <v>2760</v>
      </c>
      <c r="D1385" s="8" t="s">
        <v>21</v>
      </c>
      <c r="E1385" s="10" t="s">
        <v>88</v>
      </c>
      <c r="F1385" s="8" t="str">
        <f aca="false">TEXT(A1385,"MM-YYYY")</f>
        <v>04-2025</v>
      </c>
      <c r="G1385" s="8"/>
      <c r="H1385" s="8"/>
      <c r="I1385" s="7"/>
      <c r="J1385" s="8" t="str">
        <f aca="false">VLOOKUP(B1385,Table3[#All],2,0)</f>
        <v>Sales</v>
      </c>
      <c r="K1385" s="8" t="str">
        <f aca="false">TEXT(ROW(), "0000")</f>
        <v>1385</v>
      </c>
      <c r="L1385" s="8"/>
    </row>
    <row r="1386" customFormat="false" ht="15.75" hidden="false" customHeight="true" outlineLevel="0" collapsed="false">
      <c r="A1386" s="7" t="n">
        <v>45763</v>
      </c>
      <c r="B1386" s="8" t="s">
        <v>16</v>
      </c>
      <c r="C1386" s="9" t="n">
        <v>1270</v>
      </c>
      <c r="D1386" s="8" t="s">
        <v>27</v>
      </c>
      <c r="E1386" s="10" t="s">
        <v>88</v>
      </c>
      <c r="F1386" s="8" t="str">
        <f aca="false">TEXT(A1386,"MM-YYYY")</f>
        <v>04-2025</v>
      </c>
      <c r="G1386" s="8"/>
      <c r="H1386" s="8"/>
      <c r="I1386" s="7"/>
      <c r="J1386" s="8" t="str">
        <f aca="false">VLOOKUP(B1386,Table3[#All],2,0)</f>
        <v>Sales</v>
      </c>
      <c r="K1386" s="8" t="str">
        <f aca="false">TEXT(ROW(), "0000")</f>
        <v>1386</v>
      </c>
      <c r="L1386" s="8"/>
    </row>
    <row r="1387" customFormat="false" ht="15.75" hidden="false" customHeight="true" outlineLevel="0" collapsed="false">
      <c r="A1387" s="7" t="n">
        <v>45763</v>
      </c>
      <c r="B1387" s="8" t="s">
        <v>16</v>
      </c>
      <c r="C1387" s="9" t="n">
        <v>2600</v>
      </c>
      <c r="D1387" s="8" t="s">
        <v>33</v>
      </c>
      <c r="E1387" s="10" t="s">
        <v>88</v>
      </c>
      <c r="F1387" s="8" t="str">
        <f aca="false">TEXT(A1387,"MM-YYYY")</f>
        <v>04-2025</v>
      </c>
      <c r="G1387" s="8"/>
      <c r="H1387" s="8"/>
      <c r="I1387" s="7"/>
      <c r="J1387" s="8" t="str">
        <f aca="false">VLOOKUP(B1387,Table3[#All],2,0)</f>
        <v>Sales</v>
      </c>
      <c r="K1387" s="8" t="str">
        <f aca="false">TEXT(ROW(), "0000")</f>
        <v>1387</v>
      </c>
      <c r="L1387" s="8"/>
    </row>
    <row r="1388" customFormat="false" ht="15.75" hidden="false" customHeight="true" outlineLevel="0" collapsed="false">
      <c r="A1388" s="7" t="n">
        <v>45763</v>
      </c>
      <c r="B1388" s="8" t="s">
        <v>16</v>
      </c>
      <c r="C1388" s="9" t="n">
        <v>9818</v>
      </c>
      <c r="D1388" s="8" t="s">
        <v>17</v>
      </c>
      <c r="E1388" s="10" t="s">
        <v>88</v>
      </c>
      <c r="F1388" s="8" t="str">
        <f aca="false">TEXT(A1388,"MM-YYYY")</f>
        <v>04-2025</v>
      </c>
      <c r="G1388" s="8"/>
      <c r="H1388" s="8"/>
      <c r="I1388" s="7"/>
      <c r="J1388" s="8" t="str">
        <f aca="false">VLOOKUP(B1388,Table3[#All],2,0)</f>
        <v>Sales</v>
      </c>
      <c r="K1388" s="8" t="str">
        <f aca="false">TEXT(ROW(), "0000")</f>
        <v>1388</v>
      </c>
      <c r="L1388" s="8"/>
    </row>
    <row r="1389" customFormat="false" ht="15.75" hidden="false" customHeight="true" outlineLevel="0" collapsed="false">
      <c r="A1389" s="7" t="n">
        <v>45763</v>
      </c>
      <c r="B1389" s="8" t="s">
        <v>16</v>
      </c>
      <c r="C1389" s="9" t="n">
        <v>1457</v>
      </c>
      <c r="D1389" s="8" t="s">
        <v>24</v>
      </c>
      <c r="E1389" s="10" t="s">
        <v>217</v>
      </c>
      <c r="F1389" s="8" t="str">
        <f aca="false">TEXT(A1389,"MM-YYYY")</f>
        <v>04-2025</v>
      </c>
      <c r="G1389" s="8"/>
      <c r="H1389" s="8"/>
      <c r="I1389" s="7"/>
      <c r="J1389" s="8" t="str">
        <f aca="false">VLOOKUP(B1389,Table3[#All],2,0)</f>
        <v>Sales</v>
      </c>
      <c r="K1389" s="8" t="str">
        <f aca="false">TEXT(ROW(), "0000")</f>
        <v>1389</v>
      </c>
      <c r="L1389" s="8"/>
    </row>
    <row r="1390" customFormat="false" ht="15.75" hidden="false" customHeight="true" outlineLevel="0" collapsed="false">
      <c r="A1390" s="7" t="n">
        <v>45763</v>
      </c>
      <c r="B1390" s="8" t="s">
        <v>34</v>
      </c>
      <c r="C1390" s="9" t="n">
        <v>160</v>
      </c>
      <c r="D1390" s="8" t="s">
        <v>45</v>
      </c>
      <c r="E1390" s="10" t="s">
        <v>274</v>
      </c>
      <c r="F1390" s="8" t="str">
        <f aca="false">TEXT(A1390,"MM-YYYY")</f>
        <v>04-2025</v>
      </c>
      <c r="G1390" s="8" t="s">
        <v>14</v>
      </c>
      <c r="H1390" s="8" t="s">
        <v>232</v>
      </c>
      <c r="I1390" s="7" t="n">
        <v>45763</v>
      </c>
      <c r="J1390" s="8" t="str">
        <f aca="false">VLOOKUP(B1390,Table3[#All],2,0)</f>
        <v>Staff Expenses</v>
      </c>
      <c r="K1390" s="8" t="str">
        <f aca="false">TEXT(ROW(), "0000")</f>
        <v>1390</v>
      </c>
      <c r="L1390" s="8"/>
    </row>
    <row r="1391" customFormat="false" ht="15.75" hidden="false" customHeight="true" outlineLevel="0" collapsed="false">
      <c r="A1391" s="7" t="n">
        <v>45763</v>
      </c>
      <c r="B1391" s="8" t="s">
        <v>56</v>
      </c>
      <c r="C1391" s="9" t="n">
        <v>540</v>
      </c>
      <c r="D1391" s="8" t="s">
        <v>45</v>
      </c>
      <c r="E1391" s="10" t="s">
        <v>277</v>
      </c>
      <c r="F1391" s="8" t="str">
        <f aca="false">TEXT(A1391,"MM-YYYY")</f>
        <v>04-2025</v>
      </c>
      <c r="G1391" s="8" t="s">
        <v>14</v>
      </c>
      <c r="H1391" s="8" t="s">
        <v>232</v>
      </c>
      <c r="I1391" s="7" t="n">
        <v>45763</v>
      </c>
      <c r="J1391" s="8" t="str">
        <f aca="false">VLOOKUP(B1391,Table3[#All],2,0)</f>
        <v>New Inventory</v>
      </c>
      <c r="K1391" s="8" t="str">
        <f aca="false">TEXT(ROW(), "0000")</f>
        <v>1391</v>
      </c>
      <c r="L1391" s="8"/>
    </row>
    <row r="1392" customFormat="false" ht="15.75" hidden="false" customHeight="true" outlineLevel="0" collapsed="false">
      <c r="A1392" s="7" t="n">
        <v>45763</v>
      </c>
      <c r="B1392" s="8" t="s">
        <v>81</v>
      </c>
      <c r="C1392" s="9" t="n">
        <v>40</v>
      </c>
      <c r="D1392" s="8" t="s">
        <v>21</v>
      </c>
      <c r="E1392" s="10" t="s">
        <v>203</v>
      </c>
      <c r="F1392" s="8" t="str">
        <f aca="false">TEXT(A1392,"MM-YYYY")</f>
        <v>04-2025</v>
      </c>
      <c r="G1392" s="8" t="s">
        <v>14</v>
      </c>
      <c r="H1392" s="8" t="s">
        <v>15</v>
      </c>
      <c r="I1392" s="7" t="n">
        <v>45763</v>
      </c>
      <c r="J1392" s="8" t="str">
        <f aca="false">VLOOKUP(B1392,Table3[#All],2,0)</f>
        <v>Excess Amount Return</v>
      </c>
      <c r="K1392" s="8" t="str">
        <f aca="false">TEXT(ROW(), "0000")</f>
        <v>1392</v>
      </c>
      <c r="L1392" s="8"/>
    </row>
    <row r="1393" customFormat="false" ht="15.75" hidden="false" customHeight="true" outlineLevel="0" collapsed="false">
      <c r="A1393" s="7" t="n">
        <v>45763</v>
      </c>
      <c r="B1393" s="8" t="s">
        <v>43</v>
      </c>
      <c r="C1393" s="9" t="n">
        <v>40</v>
      </c>
      <c r="D1393" s="8" t="s">
        <v>21</v>
      </c>
      <c r="E1393" s="8" t="s">
        <v>278</v>
      </c>
      <c r="F1393" s="8" t="str">
        <f aca="false">TEXT(A1393,"MM-YYYY")</f>
        <v>04-2025</v>
      </c>
      <c r="G1393" s="8" t="s">
        <v>14</v>
      </c>
      <c r="H1393" s="8" t="s">
        <v>15</v>
      </c>
      <c r="I1393" s="7" t="n">
        <v>45763</v>
      </c>
      <c r="J1393" s="8" t="str">
        <f aca="false">VLOOKUP(B1393,Table3[#All],2,0)</f>
        <v>Maintance</v>
      </c>
      <c r="K1393" s="8" t="str">
        <f aca="false">TEXT(ROW(), "0000")</f>
        <v>1393</v>
      </c>
      <c r="L1393" s="8"/>
    </row>
    <row r="1394" customFormat="false" ht="15.75" hidden="false" customHeight="true" outlineLevel="0" collapsed="false">
      <c r="A1394" s="7" t="n">
        <v>45763</v>
      </c>
      <c r="B1394" s="8" t="s">
        <v>44</v>
      </c>
      <c r="C1394" s="9" t="n">
        <v>1000</v>
      </c>
      <c r="D1394" s="8" t="s">
        <v>13</v>
      </c>
      <c r="E1394" s="10" t="s">
        <v>86</v>
      </c>
      <c r="F1394" s="8" t="str">
        <f aca="false">TEXT(A1394,"MM-YYYY")</f>
        <v>04-2025</v>
      </c>
      <c r="G1394" s="8" t="s">
        <v>14</v>
      </c>
      <c r="H1394" s="8" t="s">
        <v>13</v>
      </c>
      <c r="I1394" s="7" t="n">
        <v>45763</v>
      </c>
      <c r="J1394" s="8" t="str">
        <f aca="false">VLOOKUP(B1394, Table3[#All], 2, FALSE())</f>
        <v>Salary</v>
      </c>
      <c r="K1394" s="8" t="str">
        <f aca="false">TEXT(ROW(), "0000")</f>
        <v>1394</v>
      </c>
      <c r="L1394" s="8"/>
    </row>
    <row r="1395" customFormat="false" ht="15.75" hidden="false" customHeight="true" outlineLevel="0" collapsed="false">
      <c r="A1395" s="7" t="n">
        <v>45764</v>
      </c>
      <c r="B1395" s="8" t="s">
        <v>25</v>
      </c>
      <c r="C1395" s="9" t="n">
        <v>1233</v>
      </c>
      <c r="D1395" s="8" t="s">
        <v>13</v>
      </c>
      <c r="E1395" s="10" t="s">
        <v>26</v>
      </c>
      <c r="F1395" s="8" t="str">
        <f aca="false">TEXT(A1395,"MM-YYYY")</f>
        <v>04-2025</v>
      </c>
      <c r="G1395" s="8" t="s">
        <v>14</v>
      </c>
      <c r="H1395" s="8" t="s">
        <v>13</v>
      </c>
      <c r="I1395" s="7" t="n">
        <v>45780</v>
      </c>
      <c r="J1395" s="8" t="str">
        <f aca="false">VLOOKUP(B1395,Table3[#All],2,0)</f>
        <v>Inventory</v>
      </c>
      <c r="K1395" s="8" t="str">
        <f aca="false">TEXT(ROW(), "0000")</f>
        <v>1395</v>
      </c>
      <c r="L1395" s="8"/>
    </row>
    <row r="1396" customFormat="false" ht="15.75" hidden="false" customHeight="true" outlineLevel="0" collapsed="false">
      <c r="A1396" s="7" t="n">
        <v>45764</v>
      </c>
      <c r="B1396" s="8" t="s">
        <v>19</v>
      </c>
      <c r="C1396" s="9" t="n">
        <v>3338</v>
      </c>
      <c r="D1396" s="8" t="s">
        <v>13</v>
      </c>
      <c r="E1396" s="10" t="s">
        <v>20</v>
      </c>
      <c r="F1396" s="8" t="str">
        <f aca="false">TEXT(A1396,"MM-YYYY")</f>
        <v>04-2025</v>
      </c>
      <c r="G1396" s="8" t="s">
        <v>14</v>
      </c>
      <c r="H1396" s="8" t="s">
        <v>13</v>
      </c>
      <c r="I1396" s="7" t="n">
        <v>45771</v>
      </c>
      <c r="J1396" s="8" t="str">
        <f aca="false">VLOOKUP(B1396,Table3[#All],2,0)</f>
        <v>Inventory</v>
      </c>
      <c r="K1396" s="8" t="str">
        <f aca="false">TEXT(ROW(), "0000")</f>
        <v>1396</v>
      </c>
      <c r="L1396" s="8"/>
    </row>
    <row r="1397" customFormat="false" ht="15.75" hidden="false" customHeight="true" outlineLevel="0" collapsed="false">
      <c r="A1397" s="7" t="n">
        <v>45764</v>
      </c>
      <c r="B1397" s="8" t="s">
        <v>22</v>
      </c>
      <c r="C1397" s="9" t="n">
        <v>505</v>
      </c>
      <c r="D1397" s="8" t="s">
        <v>13</v>
      </c>
      <c r="E1397" s="10" t="s">
        <v>23</v>
      </c>
      <c r="F1397" s="8" t="str">
        <f aca="false">TEXT(A1397,"MM-YYYY")</f>
        <v>04-2025</v>
      </c>
      <c r="G1397" s="8" t="s">
        <v>14</v>
      </c>
      <c r="H1397" s="8" t="s">
        <v>13</v>
      </c>
      <c r="I1397" s="7" t="n">
        <v>45770</v>
      </c>
      <c r="J1397" s="8" t="str">
        <f aca="false">VLOOKUP(B1397,Table3[#All],2,0)</f>
        <v>Inventory</v>
      </c>
      <c r="K1397" s="8" t="str">
        <f aca="false">TEXT(ROW(), "0000")</f>
        <v>1397</v>
      </c>
      <c r="L1397" s="8"/>
    </row>
    <row r="1398" customFormat="false" ht="15.75" hidden="false" customHeight="true" outlineLevel="0" collapsed="false">
      <c r="A1398" s="7" t="n">
        <v>45764</v>
      </c>
      <c r="B1398" s="8" t="s">
        <v>32</v>
      </c>
      <c r="C1398" s="9" t="n">
        <v>280</v>
      </c>
      <c r="D1398" s="8" t="s">
        <v>21</v>
      </c>
      <c r="E1398" s="10" t="s">
        <v>38</v>
      </c>
      <c r="F1398" s="8" t="str">
        <f aca="false">TEXT(A1398,"MM-YYYY")</f>
        <v>04-2025</v>
      </c>
      <c r="G1398" s="8" t="s">
        <v>14</v>
      </c>
      <c r="H1398" s="8" t="s">
        <v>15</v>
      </c>
      <c r="I1398" s="7" t="n">
        <v>45764</v>
      </c>
      <c r="J1398" s="8" t="str">
        <f aca="false">VLOOKUP(B1398,Table3[#All],2,0)</f>
        <v>Grocery</v>
      </c>
      <c r="K1398" s="8" t="str">
        <f aca="false">TEXT(ROW(), "0000")</f>
        <v>1398</v>
      </c>
      <c r="L1398" s="8"/>
    </row>
    <row r="1399" customFormat="false" ht="15.75" hidden="false" customHeight="true" outlineLevel="0" collapsed="false">
      <c r="A1399" s="7" t="n">
        <v>45764</v>
      </c>
      <c r="B1399" s="8" t="s">
        <v>51</v>
      </c>
      <c r="C1399" s="9" t="n">
        <v>2275</v>
      </c>
      <c r="D1399" s="8" t="s">
        <v>13</v>
      </c>
      <c r="E1399" s="10" t="s">
        <v>226</v>
      </c>
      <c r="F1399" s="8" t="str">
        <f aca="false">TEXT(A1399,"MM-YYYY")</f>
        <v>04-2025</v>
      </c>
      <c r="G1399" s="8" t="s">
        <v>14</v>
      </c>
      <c r="H1399" s="8" t="s">
        <v>13</v>
      </c>
      <c r="I1399" s="7" t="n">
        <v>45780</v>
      </c>
      <c r="J1399" s="8" t="str">
        <f aca="false">VLOOKUP(B1399,Table3[#All],2,0)</f>
        <v>Inventory</v>
      </c>
      <c r="K1399" s="8" t="str">
        <f aca="false">TEXT(ROW(), "0000")</f>
        <v>1399</v>
      </c>
      <c r="L1399" s="8"/>
    </row>
    <row r="1400" customFormat="false" ht="15.75" hidden="false" customHeight="true" outlineLevel="0" collapsed="false">
      <c r="A1400" s="7" t="n">
        <v>45764</v>
      </c>
      <c r="B1400" s="8" t="s">
        <v>29</v>
      </c>
      <c r="C1400" s="9" t="n">
        <v>970</v>
      </c>
      <c r="D1400" s="8" t="s">
        <v>45</v>
      </c>
      <c r="E1400" s="10" t="s">
        <v>78</v>
      </c>
      <c r="F1400" s="8" t="str">
        <f aca="false">TEXT(A1400,"MM-YYYY")</f>
        <v>04-2025</v>
      </c>
      <c r="G1400" s="8" t="s">
        <v>14</v>
      </c>
      <c r="H1400" s="8" t="s">
        <v>15</v>
      </c>
      <c r="I1400" s="7" t="n">
        <v>45764</v>
      </c>
      <c r="J1400" s="8" t="str">
        <f aca="false">VLOOKUP(B1400,Table3[#All],2,0)</f>
        <v>Inventory</v>
      </c>
      <c r="K1400" s="8" t="str">
        <f aca="false">TEXT(ROW(), "0000")</f>
        <v>1400</v>
      </c>
      <c r="L1400" s="8"/>
    </row>
    <row r="1401" customFormat="false" ht="15.75" hidden="false" customHeight="true" outlineLevel="0" collapsed="false">
      <c r="A1401" s="7" t="n">
        <v>45764</v>
      </c>
      <c r="B1401" s="8" t="s">
        <v>29</v>
      </c>
      <c r="C1401" s="9" t="n">
        <v>468</v>
      </c>
      <c r="D1401" s="8" t="s">
        <v>13</v>
      </c>
      <c r="E1401" s="10" t="s">
        <v>231</v>
      </c>
      <c r="F1401" s="8" t="str">
        <f aca="false">TEXT(A1401,"MM-YYYY")</f>
        <v>04-2025</v>
      </c>
      <c r="G1401" s="8" t="s">
        <v>14</v>
      </c>
      <c r="H1401" s="8" t="s">
        <v>13</v>
      </c>
      <c r="I1401" s="7" t="n">
        <v>45790</v>
      </c>
      <c r="J1401" s="8" t="str">
        <f aca="false">VLOOKUP(B1401,Table3[#All],2,0)</f>
        <v>Inventory</v>
      </c>
      <c r="K1401" s="8" t="str">
        <f aca="false">TEXT(ROW(), "0000")</f>
        <v>1401</v>
      </c>
      <c r="L1401" s="8"/>
    </row>
    <row r="1402" customFormat="false" ht="15.75" hidden="false" customHeight="true" outlineLevel="0" collapsed="false">
      <c r="A1402" s="7" t="n">
        <v>45764</v>
      </c>
      <c r="B1402" s="8" t="s">
        <v>50</v>
      </c>
      <c r="C1402" s="9" t="n">
        <v>1780</v>
      </c>
      <c r="D1402" s="8" t="s">
        <v>13</v>
      </c>
      <c r="E1402" s="10" t="s">
        <v>263</v>
      </c>
      <c r="F1402" s="8" t="str">
        <f aca="false">TEXT(A1402,"MM-YYYY")</f>
        <v>04-2025</v>
      </c>
      <c r="G1402" s="8" t="s">
        <v>14</v>
      </c>
      <c r="H1402" s="8" t="s">
        <v>13</v>
      </c>
      <c r="I1402" s="7" t="n">
        <v>45770</v>
      </c>
      <c r="J1402" s="8" t="str">
        <f aca="false">VLOOKUP(B1402,Table3[#All],2,0)</f>
        <v>Fixed Maintance</v>
      </c>
      <c r="K1402" s="8" t="str">
        <f aca="false">TEXT(ROW(), "0000")</f>
        <v>1402</v>
      </c>
      <c r="L1402" s="8"/>
    </row>
    <row r="1403" customFormat="false" ht="15.75" hidden="false" customHeight="true" outlineLevel="0" collapsed="false">
      <c r="A1403" s="7" t="n">
        <v>45764</v>
      </c>
      <c r="B1403" s="8" t="s">
        <v>16</v>
      </c>
      <c r="C1403" s="9" t="n">
        <v>2440</v>
      </c>
      <c r="D1403" s="8" t="s">
        <v>21</v>
      </c>
      <c r="E1403" s="10" t="s">
        <v>88</v>
      </c>
      <c r="F1403" s="8" t="str">
        <f aca="false">TEXT(A1403,"MM-YYYY")</f>
        <v>04-2025</v>
      </c>
      <c r="G1403" s="8"/>
      <c r="H1403" s="8"/>
      <c r="I1403" s="7"/>
      <c r="J1403" s="8" t="str">
        <f aca="false">VLOOKUP(B1403,Table3[#All],2,0)</f>
        <v>Sales</v>
      </c>
      <c r="K1403" s="8" t="str">
        <f aca="false">TEXT(ROW(), "0000")</f>
        <v>1403</v>
      </c>
      <c r="L1403" s="8"/>
    </row>
    <row r="1404" customFormat="false" ht="15.75" hidden="false" customHeight="true" outlineLevel="0" collapsed="false">
      <c r="A1404" s="7" t="n">
        <v>45764</v>
      </c>
      <c r="B1404" s="8" t="s">
        <v>16</v>
      </c>
      <c r="C1404" s="9" t="n">
        <v>12833</v>
      </c>
      <c r="D1404" s="8" t="s">
        <v>17</v>
      </c>
      <c r="E1404" s="10" t="s">
        <v>88</v>
      </c>
      <c r="F1404" s="8" t="str">
        <f aca="false">TEXT(A1404,"MM-YYYY")</f>
        <v>04-2025</v>
      </c>
      <c r="G1404" s="8"/>
      <c r="H1404" s="8"/>
      <c r="I1404" s="7"/>
      <c r="J1404" s="8" t="str">
        <f aca="false">VLOOKUP(B1404,Table3[#All],2,0)</f>
        <v>Sales</v>
      </c>
      <c r="K1404" s="8" t="str">
        <f aca="false">TEXT(ROW(), "0000")</f>
        <v>1404</v>
      </c>
      <c r="L1404" s="8"/>
    </row>
    <row r="1405" customFormat="false" ht="15.75" hidden="false" customHeight="true" outlineLevel="0" collapsed="false">
      <c r="A1405" s="7" t="n">
        <v>45764</v>
      </c>
      <c r="B1405" s="8" t="s">
        <v>16</v>
      </c>
      <c r="C1405" s="9" t="n">
        <v>990</v>
      </c>
      <c r="D1405" s="8" t="s">
        <v>59</v>
      </c>
      <c r="E1405" s="10" t="s">
        <v>88</v>
      </c>
      <c r="F1405" s="8" t="str">
        <f aca="false">TEXT(A1405,"MM-YYYY")</f>
        <v>04-2025</v>
      </c>
      <c r="G1405" s="8"/>
      <c r="H1405" s="8"/>
      <c r="I1405" s="7"/>
      <c r="J1405" s="8" t="str">
        <f aca="false">VLOOKUP(B1405,Table3[#All],2,0)</f>
        <v>Sales</v>
      </c>
      <c r="K1405" s="8" t="str">
        <f aca="false">TEXT(ROW(), "0000")</f>
        <v>1405</v>
      </c>
      <c r="L1405" s="8"/>
    </row>
    <row r="1406" customFormat="false" ht="15.75" hidden="false" customHeight="true" outlineLevel="0" collapsed="false">
      <c r="A1406" s="7" t="n">
        <v>45764</v>
      </c>
      <c r="B1406" s="8" t="s">
        <v>16</v>
      </c>
      <c r="C1406" s="9" t="n">
        <v>1100</v>
      </c>
      <c r="D1406" s="8" t="s">
        <v>24</v>
      </c>
      <c r="E1406" s="10" t="s">
        <v>217</v>
      </c>
      <c r="F1406" s="8" t="str">
        <f aca="false">TEXT(A1406,"MM-YYYY")</f>
        <v>04-2025</v>
      </c>
      <c r="G1406" s="8"/>
      <c r="H1406" s="8"/>
      <c r="I1406" s="7"/>
      <c r="J1406" s="8" t="str">
        <f aca="false">VLOOKUP(B1406,Table3[#All],2,0)</f>
        <v>Sales</v>
      </c>
      <c r="K1406" s="8" t="str">
        <f aca="false">TEXT(ROW(), "0000")</f>
        <v>1406</v>
      </c>
      <c r="L1406" s="8"/>
    </row>
    <row r="1407" customFormat="false" ht="15.75" hidden="false" customHeight="true" outlineLevel="0" collapsed="false">
      <c r="A1407" s="7" t="n">
        <v>45764</v>
      </c>
      <c r="B1407" s="8" t="s">
        <v>37</v>
      </c>
      <c r="C1407" s="9" t="n">
        <v>10</v>
      </c>
      <c r="D1407" s="8" t="s">
        <v>21</v>
      </c>
      <c r="E1407" s="8" t="s">
        <v>37</v>
      </c>
      <c r="F1407" s="8" t="str">
        <f aca="false">TEXT(A1407,"MM-YYYY")</f>
        <v>04-2025</v>
      </c>
      <c r="G1407" s="8" t="s">
        <v>14</v>
      </c>
      <c r="H1407" s="8" t="s">
        <v>15</v>
      </c>
      <c r="I1407" s="7" t="n">
        <v>45764</v>
      </c>
      <c r="J1407" s="8" t="str">
        <f aca="false">VLOOKUP(B1407,Table3[#All],2,0)</f>
        <v>Maintance</v>
      </c>
      <c r="K1407" s="8" t="str">
        <f aca="false">TEXT(ROW(), "0000")</f>
        <v>1407</v>
      </c>
      <c r="L1407" s="8"/>
    </row>
    <row r="1408" customFormat="false" ht="15.75" hidden="false" customHeight="true" outlineLevel="0" collapsed="false">
      <c r="A1408" s="7" t="n">
        <v>45764</v>
      </c>
      <c r="B1408" s="8" t="s">
        <v>34</v>
      </c>
      <c r="C1408" s="9" t="n">
        <v>120</v>
      </c>
      <c r="D1408" s="8" t="s">
        <v>45</v>
      </c>
      <c r="E1408" s="10" t="s">
        <v>274</v>
      </c>
      <c r="F1408" s="8" t="str">
        <f aca="false">TEXT(A1408,"MM-YYYY")</f>
        <v>04-2025</v>
      </c>
      <c r="G1408" s="8" t="s">
        <v>14</v>
      </c>
      <c r="H1408" s="8" t="s">
        <v>232</v>
      </c>
      <c r="I1408" s="7" t="n">
        <v>45764</v>
      </c>
      <c r="J1408" s="8" t="str">
        <f aca="false">VLOOKUP(B1408,Table3[#All],2,0)</f>
        <v>Staff Expenses</v>
      </c>
      <c r="K1408" s="8" t="str">
        <f aca="false">TEXT(ROW(), "0000")</f>
        <v>1408</v>
      </c>
      <c r="L1408" s="8"/>
    </row>
    <row r="1409" customFormat="false" ht="15.75" hidden="false" customHeight="true" outlineLevel="0" collapsed="false">
      <c r="A1409" s="7" t="n">
        <v>45764</v>
      </c>
      <c r="B1409" s="8" t="s">
        <v>43</v>
      </c>
      <c r="C1409" s="9" t="n">
        <v>60</v>
      </c>
      <c r="D1409" s="8" t="s">
        <v>45</v>
      </c>
      <c r="E1409" s="10" t="s">
        <v>279</v>
      </c>
      <c r="F1409" s="8" t="str">
        <f aca="false">TEXT(A1409,"MM-YYYY")</f>
        <v>04-2025</v>
      </c>
      <c r="G1409" s="8" t="s">
        <v>14</v>
      </c>
      <c r="H1409" s="8" t="s">
        <v>232</v>
      </c>
      <c r="I1409" s="7" t="n">
        <v>45764</v>
      </c>
      <c r="J1409" s="8" t="str">
        <f aca="false">VLOOKUP(B1409,Table3[#All],2,0)</f>
        <v>Maintance</v>
      </c>
      <c r="K1409" s="8" t="str">
        <f aca="false">TEXT(ROW(), "0000")</f>
        <v>1409</v>
      </c>
      <c r="L1409" s="8"/>
    </row>
    <row r="1410" customFormat="false" ht="15.75" hidden="false" customHeight="true" outlineLevel="0" collapsed="false">
      <c r="A1410" s="7" t="n">
        <v>45764</v>
      </c>
      <c r="B1410" s="8" t="s">
        <v>44</v>
      </c>
      <c r="C1410" s="9" t="n">
        <v>4000</v>
      </c>
      <c r="D1410" s="8" t="s">
        <v>13</v>
      </c>
      <c r="E1410" s="10" t="s">
        <v>86</v>
      </c>
      <c r="F1410" s="8" t="str">
        <f aca="false">TEXT(A1410,"MM-YYYY")</f>
        <v>04-2025</v>
      </c>
      <c r="G1410" s="8" t="s">
        <v>14</v>
      </c>
      <c r="H1410" s="8" t="s">
        <v>13</v>
      </c>
      <c r="I1410" s="7" t="n">
        <v>45764</v>
      </c>
      <c r="J1410" s="8" t="str">
        <f aca="false">VLOOKUP(B1410, Table3[#All], 2, FALSE())</f>
        <v>Salary</v>
      </c>
      <c r="K1410" s="8" t="str">
        <f aca="false">TEXT(ROW(), "0000")</f>
        <v>1410</v>
      </c>
      <c r="L1410" s="8"/>
    </row>
    <row r="1411" customFormat="false" ht="15.75" hidden="false" customHeight="true" outlineLevel="0" collapsed="false">
      <c r="A1411" s="7" t="n">
        <v>45765</v>
      </c>
      <c r="B1411" s="8" t="s">
        <v>47</v>
      </c>
      <c r="C1411" s="9" t="n">
        <v>1680</v>
      </c>
      <c r="D1411" s="8" t="s">
        <v>13</v>
      </c>
      <c r="E1411" s="10" t="s">
        <v>223</v>
      </c>
      <c r="F1411" s="8" t="str">
        <f aca="false">TEXT(A1411,"MM-YYYY")</f>
        <v>04-2025</v>
      </c>
      <c r="G1411" s="8" t="s">
        <v>14</v>
      </c>
      <c r="H1411" s="8" t="s">
        <v>13</v>
      </c>
      <c r="I1411" s="7" t="n">
        <v>45769</v>
      </c>
      <c r="J1411" s="8" t="str">
        <f aca="false">VLOOKUP(B1411,Table3[#All],2,0)</f>
        <v>Inventory</v>
      </c>
      <c r="K1411" s="8" t="str">
        <f aca="false">TEXT(ROW(), "0000")</f>
        <v>1411</v>
      </c>
      <c r="L1411" s="8"/>
    </row>
    <row r="1412" customFormat="false" ht="15.75" hidden="false" customHeight="true" outlineLevel="0" collapsed="false">
      <c r="A1412" s="7" t="n">
        <v>45765</v>
      </c>
      <c r="B1412" s="8" t="s">
        <v>19</v>
      </c>
      <c r="C1412" s="9" t="n">
        <v>2080</v>
      </c>
      <c r="D1412" s="8" t="s">
        <v>13</v>
      </c>
      <c r="E1412" s="10" t="s">
        <v>20</v>
      </c>
      <c r="F1412" s="8" t="str">
        <f aca="false">TEXT(A1412,"MM-YYYY")</f>
        <v>04-2025</v>
      </c>
      <c r="G1412" s="8" t="s">
        <v>14</v>
      </c>
      <c r="H1412" s="8" t="s">
        <v>13</v>
      </c>
      <c r="I1412" s="7" t="n">
        <v>45771</v>
      </c>
      <c r="J1412" s="8" t="str">
        <f aca="false">VLOOKUP(B1412,Table3[#All],2,0)</f>
        <v>Inventory</v>
      </c>
      <c r="K1412" s="8" t="str">
        <f aca="false">TEXT(ROW(), "0000")</f>
        <v>1412</v>
      </c>
      <c r="L1412" s="8"/>
    </row>
    <row r="1413" customFormat="false" ht="15.75" hidden="false" customHeight="true" outlineLevel="0" collapsed="false">
      <c r="A1413" s="7" t="n">
        <v>45765</v>
      </c>
      <c r="B1413" s="8" t="s">
        <v>22</v>
      </c>
      <c r="C1413" s="9" t="n">
        <v>744</v>
      </c>
      <c r="D1413" s="8" t="s">
        <v>13</v>
      </c>
      <c r="E1413" s="10" t="s">
        <v>23</v>
      </c>
      <c r="F1413" s="8" t="str">
        <f aca="false">TEXT(A1413,"MM-YYYY")</f>
        <v>04-2025</v>
      </c>
      <c r="G1413" s="8" t="s">
        <v>14</v>
      </c>
      <c r="H1413" s="8" t="s">
        <v>13</v>
      </c>
      <c r="I1413" s="7" t="n">
        <v>45775</v>
      </c>
      <c r="J1413" s="8" t="str">
        <f aca="false">VLOOKUP(B1413,Table3[#All],2,0)</f>
        <v>Inventory</v>
      </c>
      <c r="K1413" s="8" t="str">
        <f aca="false">TEXT(ROW(), "0000")</f>
        <v>1413</v>
      </c>
      <c r="L1413" s="8"/>
    </row>
    <row r="1414" customFormat="false" ht="15.75" hidden="false" customHeight="true" outlineLevel="0" collapsed="false">
      <c r="A1414" s="7" t="n">
        <v>45765</v>
      </c>
      <c r="B1414" s="8" t="s">
        <v>25</v>
      </c>
      <c r="C1414" s="9" t="n">
        <v>438</v>
      </c>
      <c r="D1414" s="8" t="s">
        <v>13</v>
      </c>
      <c r="E1414" s="10" t="s">
        <v>26</v>
      </c>
      <c r="F1414" s="8" t="str">
        <f aca="false">TEXT(A1414,"MM-YYYY")</f>
        <v>04-2025</v>
      </c>
      <c r="G1414" s="8" t="s">
        <v>14</v>
      </c>
      <c r="H1414" s="8" t="s">
        <v>13</v>
      </c>
      <c r="I1414" s="7" t="n">
        <v>45780</v>
      </c>
      <c r="J1414" s="8" t="str">
        <f aca="false">VLOOKUP(B1414,Table3[#All],2,0)</f>
        <v>Inventory</v>
      </c>
      <c r="K1414" s="8" t="str">
        <f aca="false">TEXT(ROW(), "0000")</f>
        <v>1414</v>
      </c>
      <c r="L1414" s="8"/>
    </row>
    <row r="1415" customFormat="false" ht="15.75" hidden="false" customHeight="true" outlineLevel="0" collapsed="false">
      <c r="A1415" s="7" t="n">
        <v>45765</v>
      </c>
      <c r="B1415" s="8" t="s">
        <v>22</v>
      </c>
      <c r="C1415" s="9" t="n">
        <v>110</v>
      </c>
      <c r="D1415" s="8" t="s">
        <v>21</v>
      </c>
      <c r="E1415" s="10" t="s">
        <v>213</v>
      </c>
      <c r="F1415" s="8" t="str">
        <f aca="false">TEXT(A1415,"MM-YYYY")</f>
        <v>04-2025</v>
      </c>
      <c r="G1415" s="8" t="s">
        <v>14</v>
      </c>
      <c r="H1415" s="8" t="s">
        <v>15</v>
      </c>
      <c r="I1415" s="7" t="n">
        <v>45765</v>
      </c>
      <c r="J1415" s="8" t="str">
        <f aca="false">VLOOKUP(B1415,Table3[#All],2,0)</f>
        <v>Inventory</v>
      </c>
      <c r="K1415" s="8" t="str">
        <f aca="false">TEXT(ROW(), "0000")</f>
        <v>1415</v>
      </c>
      <c r="L1415" s="8"/>
    </row>
    <row r="1416" customFormat="false" ht="15.75" hidden="false" customHeight="true" outlineLevel="0" collapsed="false">
      <c r="A1416" s="7" t="n">
        <v>45765</v>
      </c>
      <c r="B1416" s="8" t="s">
        <v>32</v>
      </c>
      <c r="C1416" s="9" t="n">
        <v>140</v>
      </c>
      <c r="D1416" s="8" t="s">
        <v>21</v>
      </c>
      <c r="E1416" s="10" t="s">
        <v>38</v>
      </c>
      <c r="F1416" s="8" t="str">
        <f aca="false">TEXT(A1416,"MM-YYYY")</f>
        <v>04-2025</v>
      </c>
      <c r="G1416" s="8" t="s">
        <v>14</v>
      </c>
      <c r="H1416" s="8" t="s">
        <v>15</v>
      </c>
      <c r="I1416" s="7" t="n">
        <v>45765</v>
      </c>
      <c r="J1416" s="8" t="str">
        <f aca="false">VLOOKUP(B1416,Table3[#All],2,0)</f>
        <v>Grocery</v>
      </c>
      <c r="K1416" s="8" t="str">
        <f aca="false">TEXT(ROW(), "0000")</f>
        <v>1416</v>
      </c>
      <c r="L1416" s="8"/>
    </row>
    <row r="1417" customFormat="false" ht="15.75" hidden="false" customHeight="true" outlineLevel="0" collapsed="false">
      <c r="A1417" s="7" t="n">
        <v>45765</v>
      </c>
      <c r="B1417" s="8" t="s">
        <v>29</v>
      </c>
      <c r="C1417" s="9" t="n">
        <v>242</v>
      </c>
      <c r="D1417" s="8" t="s">
        <v>13</v>
      </c>
      <c r="E1417" s="10" t="s">
        <v>231</v>
      </c>
      <c r="F1417" s="8" t="str">
        <f aca="false">TEXT(A1417,"MM-YYYY")</f>
        <v>04-2025</v>
      </c>
      <c r="G1417" s="8" t="s">
        <v>14</v>
      </c>
      <c r="H1417" s="8" t="s">
        <v>13</v>
      </c>
      <c r="I1417" s="7" t="n">
        <v>45790</v>
      </c>
      <c r="J1417" s="8" t="str">
        <f aca="false">VLOOKUP(B1417,Table3[#All],2,0)</f>
        <v>Inventory</v>
      </c>
      <c r="K1417" s="8" t="str">
        <f aca="false">TEXT(ROW(), "0000")</f>
        <v>1417</v>
      </c>
      <c r="L1417" s="8"/>
    </row>
    <row r="1418" customFormat="false" ht="15.75" hidden="false" customHeight="true" outlineLevel="0" collapsed="false">
      <c r="A1418" s="7" t="n">
        <v>45765</v>
      </c>
      <c r="B1418" s="8" t="s">
        <v>16</v>
      </c>
      <c r="C1418" s="9" t="n">
        <v>2575</v>
      </c>
      <c r="D1418" s="8" t="s">
        <v>21</v>
      </c>
      <c r="E1418" s="10" t="s">
        <v>88</v>
      </c>
      <c r="F1418" s="8" t="str">
        <f aca="false">TEXT(A1418,"MM-YYYY")</f>
        <v>04-2025</v>
      </c>
      <c r="G1418" s="8"/>
      <c r="H1418" s="8"/>
      <c r="I1418" s="7"/>
      <c r="J1418" s="8" t="str">
        <f aca="false">VLOOKUP(B1418,Table3[#All],2,0)</f>
        <v>Sales</v>
      </c>
      <c r="K1418" s="8" t="str">
        <f aca="false">TEXT(ROW(), "0000")</f>
        <v>1418</v>
      </c>
      <c r="L1418" s="8"/>
    </row>
    <row r="1419" customFormat="false" ht="15.75" hidden="false" customHeight="true" outlineLevel="0" collapsed="false">
      <c r="A1419" s="7" t="n">
        <v>45765</v>
      </c>
      <c r="B1419" s="8" t="s">
        <v>16</v>
      </c>
      <c r="C1419" s="9" t="n">
        <v>260</v>
      </c>
      <c r="D1419" s="8" t="s">
        <v>33</v>
      </c>
      <c r="E1419" s="10" t="s">
        <v>88</v>
      </c>
      <c r="F1419" s="8" t="str">
        <f aca="false">TEXT(A1419,"MM-YYYY")</f>
        <v>04-2025</v>
      </c>
      <c r="G1419" s="8"/>
      <c r="H1419" s="8"/>
      <c r="I1419" s="7"/>
      <c r="J1419" s="8" t="str">
        <f aca="false">VLOOKUP(B1419,Table3[#All],2,0)</f>
        <v>Sales</v>
      </c>
      <c r="K1419" s="8" t="str">
        <f aca="false">TEXT(ROW(), "0000")</f>
        <v>1419</v>
      </c>
      <c r="L1419" s="8"/>
    </row>
    <row r="1420" customFormat="false" ht="15.75" hidden="false" customHeight="true" outlineLevel="0" collapsed="false">
      <c r="A1420" s="7" t="n">
        <v>45765</v>
      </c>
      <c r="B1420" s="8" t="s">
        <v>16</v>
      </c>
      <c r="C1420" s="9" t="n">
        <v>15888</v>
      </c>
      <c r="D1420" s="8" t="s">
        <v>17</v>
      </c>
      <c r="E1420" s="10" t="s">
        <v>88</v>
      </c>
      <c r="F1420" s="8" t="str">
        <f aca="false">TEXT(A1420,"MM-YYYY")</f>
        <v>04-2025</v>
      </c>
      <c r="G1420" s="8"/>
      <c r="H1420" s="8"/>
      <c r="I1420" s="7"/>
      <c r="J1420" s="8" t="str">
        <f aca="false">VLOOKUP(B1420,Table3[#All],2,0)</f>
        <v>Sales</v>
      </c>
      <c r="K1420" s="8" t="str">
        <f aca="false">TEXT(ROW(), "0000")</f>
        <v>1420</v>
      </c>
      <c r="L1420" s="8"/>
    </row>
    <row r="1421" customFormat="false" ht="15.75" hidden="false" customHeight="true" outlineLevel="0" collapsed="false">
      <c r="A1421" s="7" t="n">
        <v>45765</v>
      </c>
      <c r="B1421" s="8" t="s">
        <v>16</v>
      </c>
      <c r="C1421" s="9" t="n">
        <v>310</v>
      </c>
      <c r="D1421" s="8" t="s">
        <v>59</v>
      </c>
      <c r="E1421" s="10" t="s">
        <v>88</v>
      </c>
      <c r="F1421" s="8" t="str">
        <f aca="false">TEXT(A1421,"MM-YYYY")</f>
        <v>04-2025</v>
      </c>
      <c r="G1421" s="8"/>
      <c r="H1421" s="8"/>
      <c r="I1421" s="7"/>
      <c r="J1421" s="8" t="str">
        <f aca="false">VLOOKUP(B1421,Table3[#All],2,0)</f>
        <v>Sales</v>
      </c>
      <c r="K1421" s="8" t="str">
        <f aca="false">TEXT(ROW(), "0000")</f>
        <v>1421</v>
      </c>
      <c r="L1421" s="8"/>
    </row>
    <row r="1422" customFormat="false" ht="15.75" hidden="false" customHeight="true" outlineLevel="0" collapsed="false">
      <c r="A1422" s="7" t="n">
        <v>45765</v>
      </c>
      <c r="B1422" s="8" t="s">
        <v>16</v>
      </c>
      <c r="C1422" s="9" t="n">
        <v>1973</v>
      </c>
      <c r="D1422" s="8" t="s">
        <v>24</v>
      </c>
      <c r="E1422" s="10" t="s">
        <v>217</v>
      </c>
      <c r="F1422" s="8" t="str">
        <f aca="false">TEXT(A1422,"MM-YYYY")</f>
        <v>04-2025</v>
      </c>
      <c r="G1422" s="8"/>
      <c r="H1422" s="8"/>
      <c r="I1422" s="7"/>
      <c r="J1422" s="8" t="str">
        <f aca="false">VLOOKUP(B1422,Table3[#All],2,0)</f>
        <v>Sales</v>
      </c>
      <c r="K1422" s="8" t="str">
        <f aca="false">TEXT(ROW(), "0000")</f>
        <v>1422</v>
      </c>
      <c r="L1422" s="8"/>
    </row>
    <row r="1423" customFormat="false" ht="15.75" hidden="false" customHeight="true" outlineLevel="0" collapsed="false">
      <c r="A1423" s="7" t="n">
        <v>45765</v>
      </c>
      <c r="B1423" s="8" t="s">
        <v>34</v>
      </c>
      <c r="C1423" s="9" t="n">
        <v>150</v>
      </c>
      <c r="D1423" s="8" t="s">
        <v>45</v>
      </c>
      <c r="E1423" s="10" t="s">
        <v>274</v>
      </c>
      <c r="F1423" s="8" t="str">
        <f aca="false">TEXT(A1423,"MM-YYYY")</f>
        <v>04-2025</v>
      </c>
      <c r="G1423" s="8" t="s">
        <v>14</v>
      </c>
      <c r="H1423" s="8" t="s">
        <v>232</v>
      </c>
      <c r="I1423" s="7" t="n">
        <v>45765</v>
      </c>
      <c r="J1423" s="8" t="str">
        <f aca="false">VLOOKUP(B1423,Table3[#All],2,0)</f>
        <v>Staff Expenses</v>
      </c>
      <c r="K1423" s="8" t="str">
        <f aca="false">TEXT(ROW(), "0000")</f>
        <v>1423</v>
      </c>
      <c r="L1423" s="8"/>
    </row>
    <row r="1424" customFormat="false" ht="15.75" hidden="false" customHeight="true" outlineLevel="0" collapsed="false">
      <c r="A1424" s="7" t="n">
        <v>45765</v>
      </c>
      <c r="B1424" s="8" t="s">
        <v>50</v>
      </c>
      <c r="C1424" s="9" t="n">
        <v>1780</v>
      </c>
      <c r="D1424" s="8" t="s">
        <v>13</v>
      </c>
      <c r="E1424" s="10" t="s">
        <v>263</v>
      </c>
      <c r="F1424" s="8" t="str">
        <f aca="false">TEXT(A1424,"MM-YYYY")</f>
        <v>04-2025</v>
      </c>
      <c r="G1424" s="8" t="s">
        <v>14</v>
      </c>
      <c r="H1424" s="8" t="s">
        <v>13</v>
      </c>
      <c r="I1424" s="7" t="n">
        <v>45770</v>
      </c>
      <c r="J1424" s="8" t="str">
        <f aca="false">VLOOKUP(B1424,Table3[#All],2,0)</f>
        <v>Fixed Maintance</v>
      </c>
      <c r="K1424" s="8" t="str">
        <f aca="false">TEXT(ROW(), "0000")</f>
        <v>1424</v>
      </c>
      <c r="L1424" s="8"/>
    </row>
    <row r="1425" customFormat="false" ht="15.75" hidden="false" customHeight="true" outlineLevel="0" collapsed="false">
      <c r="A1425" s="7" t="n">
        <v>45765</v>
      </c>
      <c r="B1425" s="8" t="s">
        <v>37</v>
      </c>
      <c r="C1425" s="9" t="n">
        <v>25</v>
      </c>
      <c r="D1425" s="8" t="s">
        <v>21</v>
      </c>
      <c r="E1425" s="8" t="s">
        <v>37</v>
      </c>
      <c r="F1425" s="8" t="str">
        <f aca="false">TEXT(A1425,"MM-YYYY")</f>
        <v>04-2025</v>
      </c>
      <c r="G1425" s="8" t="s">
        <v>14</v>
      </c>
      <c r="H1425" s="8" t="s">
        <v>15</v>
      </c>
      <c r="I1425" s="7" t="n">
        <v>45765</v>
      </c>
      <c r="J1425" s="8" t="str">
        <f aca="false">VLOOKUP(B1425,Table3[#All],2,0)</f>
        <v>Maintance</v>
      </c>
      <c r="K1425" s="8" t="str">
        <f aca="false">TEXT(ROW(), "0000")</f>
        <v>1425</v>
      </c>
      <c r="L1425" s="8"/>
    </row>
    <row r="1426" customFormat="false" ht="15.75" hidden="false" customHeight="true" outlineLevel="0" collapsed="false">
      <c r="A1426" s="7" t="n">
        <v>45765</v>
      </c>
      <c r="B1426" s="8" t="s">
        <v>43</v>
      </c>
      <c r="C1426" s="9" t="n">
        <v>950</v>
      </c>
      <c r="D1426" s="8" t="s">
        <v>45</v>
      </c>
      <c r="E1426" s="10" t="s">
        <v>280</v>
      </c>
      <c r="F1426" s="8" t="str">
        <f aca="false">TEXT(A1426,"MM-YYYY")</f>
        <v>04-2025</v>
      </c>
      <c r="G1426" s="8" t="s">
        <v>14</v>
      </c>
      <c r="H1426" s="8" t="s">
        <v>232</v>
      </c>
      <c r="I1426" s="7" t="n">
        <v>45765</v>
      </c>
      <c r="J1426" s="8" t="str">
        <f aca="false">VLOOKUP(B1426,Table3[#All],2,0)</f>
        <v>Maintance</v>
      </c>
      <c r="K1426" s="8" t="str">
        <f aca="false">TEXT(ROW(), "0000")</f>
        <v>1426</v>
      </c>
      <c r="L1426" s="8"/>
    </row>
    <row r="1427" customFormat="false" ht="15.75" hidden="false" customHeight="true" outlineLevel="0" collapsed="false">
      <c r="A1427" s="7" t="n">
        <v>45766</v>
      </c>
      <c r="B1427" s="8" t="s">
        <v>32</v>
      </c>
      <c r="C1427" s="9" t="n">
        <v>175</v>
      </c>
      <c r="D1427" s="8" t="s">
        <v>21</v>
      </c>
      <c r="E1427" s="10" t="s">
        <v>38</v>
      </c>
      <c r="F1427" s="8" t="str">
        <f aca="false">TEXT(A1427,"MM-YYYY")</f>
        <v>04-2025</v>
      </c>
      <c r="G1427" s="8" t="s">
        <v>14</v>
      </c>
      <c r="H1427" s="8" t="s">
        <v>15</v>
      </c>
      <c r="I1427" s="7" t="n">
        <v>45766</v>
      </c>
      <c r="J1427" s="8" t="str">
        <f aca="false">VLOOKUP(B1427,Table3[#All],2,0)</f>
        <v>Grocery</v>
      </c>
      <c r="K1427" s="8" t="str">
        <f aca="false">TEXT(ROW(), "0000")</f>
        <v>1427</v>
      </c>
      <c r="L1427" s="8"/>
    </row>
    <row r="1428" customFormat="false" ht="15.75" hidden="false" customHeight="true" outlineLevel="0" collapsed="false">
      <c r="A1428" s="7" t="n">
        <v>45766</v>
      </c>
      <c r="B1428" s="8" t="s">
        <v>25</v>
      </c>
      <c r="C1428" s="9" t="n">
        <v>496</v>
      </c>
      <c r="D1428" s="8" t="s">
        <v>13</v>
      </c>
      <c r="E1428" s="10" t="s">
        <v>26</v>
      </c>
      <c r="F1428" s="8" t="str">
        <f aca="false">TEXT(A1428,"MM-YYYY")</f>
        <v>04-2025</v>
      </c>
      <c r="G1428" s="8" t="s">
        <v>14</v>
      </c>
      <c r="H1428" s="8" t="s">
        <v>13</v>
      </c>
      <c r="I1428" s="7" t="n">
        <v>45780</v>
      </c>
      <c r="J1428" s="8" t="str">
        <f aca="false">VLOOKUP(B1428,Table3[#All],2,0)</f>
        <v>Inventory</v>
      </c>
      <c r="K1428" s="8" t="str">
        <f aca="false">TEXT(ROW(), "0000")</f>
        <v>1428</v>
      </c>
      <c r="L1428" s="8"/>
    </row>
    <row r="1429" customFormat="false" ht="15.75" hidden="false" customHeight="true" outlineLevel="0" collapsed="false">
      <c r="A1429" s="7" t="n">
        <v>45766</v>
      </c>
      <c r="B1429" s="8" t="s">
        <v>19</v>
      </c>
      <c r="C1429" s="9" t="n">
        <v>1813</v>
      </c>
      <c r="D1429" s="8" t="s">
        <v>13</v>
      </c>
      <c r="E1429" s="10" t="s">
        <v>20</v>
      </c>
      <c r="F1429" s="8" t="str">
        <f aca="false">TEXT(A1429,"MM-YYYY")</f>
        <v>04-2025</v>
      </c>
      <c r="G1429" s="8" t="s">
        <v>14</v>
      </c>
      <c r="H1429" s="8" t="s">
        <v>13</v>
      </c>
      <c r="I1429" s="7" t="n">
        <v>45771</v>
      </c>
      <c r="J1429" s="8" t="str">
        <f aca="false">VLOOKUP(B1429,Table3[#All],2,0)</f>
        <v>Inventory</v>
      </c>
      <c r="K1429" s="8" t="str">
        <f aca="false">TEXT(ROW(), "0000")</f>
        <v>1429</v>
      </c>
      <c r="L1429" s="8"/>
    </row>
    <row r="1430" customFormat="false" ht="15.75" hidden="false" customHeight="true" outlineLevel="0" collapsed="false">
      <c r="A1430" s="7" t="n">
        <v>45766</v>
      </c>
      <c r="B1430" s="8" t="s">
        <v>29</v>
      </c>
      <c r="C1430" s="9" t="n">
        <v>307</v>
      </c>
      <c r="D1430" s="8" t="s">
        <v>13</v>
      </c>
      <c r="E1430" s="10" t="s">
        <v>231</v>
      </c>
      <c r="F1430" s="8" t="str">
        <f aca="false">TEXT(A1430,"MM-YYYY")</f>
        <v>04-2025</v>
      </c>
      <c r="G1430" s="8" t="s">
        <v>14</v>
      </c>
      <c r="H1430" s="8" t="s">
        <v>13</v>
      </c>
      <c r="I1430" s="7" t="n">
        <v>45790</v>
      </c>
      <c r="J1430" s="8" t="str">
        <f aca="false">VLOOKUP(B1430,Table3[#All],2,0)</f>
        <v>Inventory</v>
      </c>
      <c r="K1430" s="8" t="str">
        <f aca="false">TEXT(ROW(), "0000")</f>
        <v>1430</v>
      </c>
      <c r="L1430" s="8"/>
    </row>
    <row r="1431" customFormat="false" ht="15.75" hidden="false" customHeight="true" outlineLevel="0" collapsed="false">
      <c r="A1431" s="7" t="n">
        <v>45766</v>
      </c>
      <c r="B1431" s="8" t="s">
        <v>43</v>
      </c>
      <c r="C1431" s="9" t="n">
        <v>1500</v>
      </c>
      <c r="D1431" s="8" t="s">
        <v>45</v>
      </c>
      <c r="E1431" s="10" t="s">
        <v>281</v>
      </c>
      <c r="F1431" s="8" t="str">
        <f aca="false">TEXT(A1431,"MM-YYYY")</f>
        <v>04-2025</v>
      </c>
      <c r="G1431" s="8" t="s">
        <v>14</v>
      </c>
      <c r="H1431" s="8" t="s">
        <v>232</v>
      </c>
      <c r="I1431" s="7" t="n">
        <v>45766</v>
      </c>
      <c r="J1431" s="8" t="str">
        <f aca="false">VLOOKUP(B1431,Table3[#All],2,0)</f>
        <v>Maintance</v>
      </c>
      <c r="K1431" s="8" t="str">
        <f aca="false">TEXT(ROW(), "0000")</f>
        <v>1431</v>
      </c>
      <c r="L1431" s="8"/>
    </row>
    <row r="1432" customFormat="false" ht="15.75" hidden="false" customHeight="true" outlineLevel="0" collapsed="false">
      <c r="A1432" s="7" t="n">
        <v>45766</v>
      </c>
      <c r="B1432" s="8" t="s">
        <v>69</v>
      </c>
      <c r="C1432" s="9" t="n">
        <v>700</v>
      </c>
      <c r="D1432" s="8" t="s">
        <v>45</v>
      </c>
      <c r="E1432" s="10" t="s">
        <v>282</v>
      </c>
      <c r="F1432" s="8" t="str">
        <f aca="false">TEXT(A1432,"MM-YYYY")</f>
        <v>04-2025</v>
      </c>
      <c r="G1432" s="8" t="s">
        <v>14</v>
      </c>
      <c r="H1432" s="8" t="s">
        <v>232</v>
      </c>
      <c r="I1432" s="7" t="n">
        <v>45766</v>
      </c>
      <c r="J1432" s="8" t="str">
        <f aca="false">VLOOKUP(B1432,Table3[#All],2,0)</f>
        <v>Fixed Maintance</v>
      </c>
      <c r="K1432" s="8" t="str">
        <f aca="false">TEXT(ROW(), "0000")</f>
        <v>1432</v>
      </c>
      <c r="L1432" s="8"/>
    </row>
    <row r="1433" customFormat="false" ht="15.75" hidden="false" customHeight="true" outlineLevel="0" collapsed="false">
      <c r="A1433" s="7" t="n">
        <v>45766</v>
      </c>
      <c r="B1433" s="8" t="s">
        <v>28</v>
      </c>
      <c r="C1433" s="9" t="n">
        <v>680</v>
      </c>
      <c r="D1433" s="8" t="s">
        <v>21</v>
      </c>
      <c r="E1433" s="10" t="s">
        <v>93</v>
      </c>
      <c r="F1433" s="8" t="str">
        <f aca="false">TEXT(A1433,"MM-YYYY")</f>
        <v>04-2025</v>
      </c>
      <c r="G1433" s="8" t="s">
        <v>14</v>
      </c>
      <c r="H1433" s="8" t="s">
        <v>15</v>
      </c>
      <c r="I1433" s="7" t="n">
        <v>45766</v>
      </c>
      <c r="J1433" s="8" t="str">
        <f aca="false">VLOOKUP(B1433,Table3[#All],2,0)</f>
        <v>Grocery</v>
      </c>
      <c r="K1433" s="8" t="str">
        <f aca="false">TEXT(ROW(), "0000")</f>
        <v>1433</v>
      </c>
      <c r="L1433" s="8"/>
    </row>
    <row r="1434" customFormat="false" ht="15.75" hidden="false" customHeight="true" outlineLevel="0" collapsed="false">
      <c r="A1434" s="7" t="n">
        <v>45766</v>
      </c>
      <c r="B1434" s="8" t="s">
        <v>43</v>
      </c>
      <c r="C1434" s="9" t="n">
        <v>495</v>
      </c>
      <c r="D1434" s="8" t="s">
        <v>45</v>
      </c>
      <c r="E1434" s="10" t="s">
        <v>279</v>
      </c>
      <c r="F1434" s="8" t="str">
        <f aca="false">TEXT(A1434,"MM-YYYY")</f>
        <v>04-2025</v>
      </c>
      <c r="G1434" s="8" t="s">
        <v>14</v>
      </c>
      <c r="H1434" s="8" t="s">
        <v>232</v>
      </c>
      <c r="I1434" s="7" t="n">
        <v>45766</v>
      </c>
      <c r="J1434" s="8" t="str">
        <f aca="false">VLOOKUP(B1434,Table3[#All],2,0)</f>
        <v>Maintance</v>
      </c>
      <c r="K1434" s="8" t="str">
        <f aca="false">TEXT(ROW(), "0000")</f>
        <v>1434</v>
      </c>
      <c r="L1434" s="8"/>
    </row>
    <row r="1435" customFormat="false" ht="15.75" hidden="false" customHeight="true" outlineLevel="0" collapsed="false">
      <c r="A1435" s="7" t="n">
        <v>45766</v>
      </c>
      <c r="B1435" s="8" t="s">
        <v>16</v>
      </c>
      <c r="C1435" s="9" t="n">
        <v>3970</v>
      </c>
      <c r="D1435" s="8" t="s">
        <v>21</v>
      </c>
      <c r="E1435" s="10" t="s">
        <v>88</v>
      </c>
      <c r="F1435" s="8" t="str">
        <f aca="false">TEXT(A1435,"MM-YYYY")</f>
        <v>04-2025</v>
      </c>
      <c r="G1435" s="8"/>
      <c r="H1435" s="8"/>
      <c r="I1435" s="7"/>
      <c r="J1435" s="8" t="str">
        <f aca="false">VLOOKUP(B1435,Table3[#All],2,0)</f>
        <v>Sales</v>
      </c>
      <c r="K1435" s="8" t="str">
        <f aca="false">TEXT(ROW(), "0000")</f>
        <v>1435</v>
      </c>
      <c r="L1435" s="8"/>
    </row>
    <row r="1436" customFormat="false" ht="15.75" hidden="false" customHeight="true" outlineLevel="0" collapsed="false">
      <c r="A1436" s="7" t="n">
        <v>45766</v>
      </c>
      <c r="B1436" s="8" t="s">
        <v>16</v>
      </c>
      <c r="C1436" s="9" t="n">
        <v>1035</v>
      </c>
      <c r="D1436" s="8" t="s">
        <v>27</v>
      </c>
      <c r="E1436" s="10" t="s">
        <v>88</v>
      </c>
      <c r="F1436" s="8" t="str">
        <f aca="false">TEXT(A1436,"MM-YYYY")</f>
        <v>04-2025</v>
      </c>
      <c r="G1436" s="8"/>
      <c r="H1436" s="8"/>
      <c r="I1436" s="7"/>
      <c r="J1436" s="8" t="str">
        <f aca="false">VLOOKUP(B1436,Table3[#All],2,0)</f>
        <v>Sales</v>
      </c>
      <c r="K1436" s="8" t="str">
        <f aca="false">TEXT(ROW(), "0000")</f>
        <v>1436</v>
      </c>
      <c r="L1436" s="8"/>
    </row>
    <row r="1437" customFormat="false" ht="15.75" hidden="false" customHeight="true" outlineLevel="0" collapsed="false">
      <c r="A1437" s="7" t="n">
        <v>45766</v>
      </c>
      <c r="B1437" s="8" t="s">
        <v>16</v>
      </c>
      <c r="C1437" s="9" t="n">
        <v>300</v>
      </c>
      <c r="D1437" s="8" t="s">
        <v>33</v>
      </c>
      <c r="E1437" s="10" t="s">
        <v>88</v>
      </c>
      <c r="F1437" s="8" t="str">
        <f aca="false">TEXT(A1437,"MM-YYYY")</f>
        <v>04-2025</v>
      </c>
      <c r="G1437" s="8"/>
      <c r="H1437" s="8"/>
      <c r="I1437" s="7"/>
      <c r="J1437" s="8" t="str">
        <f aca="false">VLOOKUP(B1437,Table3[#All],2,0)</f>
        <v>Sales</v>
      </c>
      <c r="K1437" s="8" t="str">
        <f aca="false">TEXT(ROW(), "0000")</f>
        <v>1437</v>
      </c>
      <c r="L1437" s="8"/>
    </row>
    <row r="1438" customFormat="false" ht="15.75" hidden="false" customHeight="true" outlineLevel="0" collapsed="false">
      <c r="A1438" s="7" t="n">
        <v>45766</v>
      </c>
      <c r="B1438" s="8" t="s">
        <v>16</v>
      </c>
      <c r="C1438" s="9" t="n">
        <v>15463</v>
      </c>
      <c r="D1438" s="8" t="s">
        <v>17</v>
      </c>
      <c r="E1438" s="10" t="s">
        <v>88</v>
      </c>
      <c r="F1438" s="8" t="str">
        <f aca="false">TEXT(A1438,"MM-YYYY")</f>
        <v>04-2025</v>
      </c>
      <c r="G1438" s="8"/>
      <c r="H1438" s="8"/>
      <c r="I1438" s="7"/>
      <c r="J1438" s="8" t="str">
        <f aca="false">VLOOKUP(B1438,Table3[#All],2,0)</f>
        <v>Sales</v>
      </c>
      <c r="K1438" s="8" t="str">
        <f aca="false">TEXT(ROW(), "0000")</f>
        <v>1438</v>
      </c>
      <c r="L1438" s="8"/>
    </row>
    <row r="1439" customFormat="false" ht="15.75" hidden="false" customHeight="true" outlineLevel="0" collapsed="false">
      <c r="A1439" s="7" t="n">
        <v>45766</v>
      </c>
      <c r="B1439" s="8" t="s">
        <v>16</v>
      </c>
      <c r="C1439" s="9" t="n">
        <v>4119</v>
      </c>
      <c r="D1439" s="8" t="s">
        <v>24</v>
      </c>
      <c r="E1439" s="10" t="s">
        <v>88</v>
      </c>
      <c r="F1439" s="8" t="str">
        <f aca="false">TEXT(A1439,"MM-YYYY")</f>
        <v>04-2025</v>
      </c>
      <c r="G1439" s="8"/>
      <c r="H1439" s="8"/>
      <c r="I1439" s="7"/>
      <c r="J1439" s="8" t="str">
        <f aca="false">VLOOKUP(B1439,Table3[#All],2,0)</f>
        <v>Sales</v>
      </c>
      <c r="K1439" s="8" t="str">
        <f aca="false">TEXT(ROW(), "0000")</f>
        <v>1439</v>
      </c>
      <c r="L1439" s="8"/>
    </row>
    <row r="1440" customFormat="false" ht="15.75" hidden="false" customHeight="true" outlineLevel="0" collapsed="false">
      <c r="A1440" s="7" t="n">
        <v>45766</v>
      </c>
      <c r="B1440" s="8" t="s">
        <v>50</v>
      </c>
      <c r="C1440" s="9" t="n">
        <v>1780</v>
      </c>
      <c r="D1440" s="8" t="s">
        <v>13</v>
      </c>
      <c r="E1440" s="10" t="s">
        <v>263</v>
      </c>
      <c r="F1440" s="8" t="str">
        <f aca="false">TEXT(A1440,"MM-YYYY")</f>
        <v>04-2025</v>
      </c>
      <c r="G1440" s="8" t="s">
        <v>14</v>
      </c>
      <c r="H1440" s="8" t="s">
        <v>13</v>
      </c>
      <c r="I1440" s="7" t="n">
        <v>45770</v>
      </c>
      <c r="J1440" s="8" t="str">
        <f aca="false">VLOOKUP(B1440,Table3[#All],2,0)</f>
        <v>Fixed Maintance</v>
      </c>
      <c r="K1440" s="8" t="str">
        <f aca="false">TEXT(ROW(), "0000")</f>
        <v>1440</v>
      </c>
      <c r="L1440" s="8"/>
    </row>
    <row r="1441" customFormat="false" ht="15.75" hidden="false" customHeight="true" outlineLevel="0" collapsed="false">
      <c r="A1441" s="7" t="n">
        <v>45766</v>
      </c>
      <c r="B1441" s="8" t="s">
        <v>34</v>
      </c>
      <c r="C1441" s="9" t="n">
        <v>155</v>
      </c>
      <c r="D1441" s="8" t="s">
        <v>45</v>
      </c>
      <c r="E1441" s="10" t="s">
        <v>274</v>
      </c>
      <c r="F1441" s="8" t="str">
        <f aca="false">TEXT(A1441,"MM-YYYY")</f>
        <v>04-2025</v>
      </c>
      <c r="G1441" s="8" t="s">
        <v>14</v>
      </c>
      <c r="H1441" s="8"/>
      <c r="I1441" s="7"/>
      <c r="J1441" s="8" t="str">
        <f aca="false">VLOOKUP(B1441,Table3[#All],2,0)</f>
        <v>Staff Expenses</v>
      </c>
      <c r="K1441" s="8" t="str">
        <f aca="false">TEXT(ROW(), "0000")</f>
        <v>1441</v>
      </c>
      <c r="L1441" s="8"/>
    </row>
    <row r="1442" customFormat="false" ht="15.75" hidden="false" customHeight="true" outlineLevel="0" collapsed="false">
      <c r="A1442" s="7" t="n">
        <v>45766</v>
      </c>
      <c r="B1442" s="8" t="s">
        <v>37</v>
      </c>
      <c r="C1442" s="9" t="n">
        <v>15</v>
      </c>
      <c r="D1442" s="8" t="s">
        <v>21</v>
      </c>
      <c r="E1442" s="8" t="s">
        <v>37</v>
      </c>
      <c r="F1442" s="8" t="str">
        <f aca="false">TEXT(A1442,"MM-YYYY")</f>
        <v>04-2025</v>
      </c>
      <c r="G1442" s="8" t="s">
        <v>14</v>
      </c>
      <c r="H1442" s="8"/>
      <c r="I1442" s="7"/>
      <c r="J1442" s="8" t="str">
        <f aca="false">VLOOKUP(B1442,Table3[#All],2,0)</f>
        <v>Maintance</v>
      </c>
      <c r="K1442" s="8" t="str">
        <f aca="false">TEXT(ROW(), "0000")</f>
        <v>1442</v>
      </c>
      <c r="L1442" s="8"/>
    </row>
    <row r="1443" customFormat="false" ht="15.75" hidden="false" customHeight="true" outlineLevel="0" collapsed="false">
      <c r="A1443" s="7" t="n">
        <v>45767</v>
      </c>
      <c r="B1443" s="8" t="s">
        <v>25</v>
      </c>
      <c r="C1443" s="9" t="n">
        <v>899</v>
      </c>
      <c r="D1443" s="8" t="s">
        <v>13</v>
      </c>
      <c r="E1443" s="10" t="s">
        <v>26</v>
      </c>
      <c r="F1443" s="8" t="str">
        <f aca="false">TEXT(A1443,"MM-YYYY")</f>
        <v>04-2025</v>
      </c>
      <c r="G1443" s="8" t="s">
        <v>14</v>
      </c>
      <c r="H1443" s="8" t="s">
        <v>13</v>
      </c>
      <c r="I1443" s="7" t="n">
        <v>45780</v>
      </c>
      <c r="J1443" s="8" t="str">
        <f aca="false">VLOOKUP(B1443,Table3[#All],2,0)</f>
        <v>Inventory</v>
      </c>
      <c r="K1443" s="8" t="str">
        <f aca="false">TEXT(ROW(), "0000")</f>
        <v>1443</v>
      </c>
      <c r="L1443" s="8"/>
    </row>
    <row r="1444" customFormat="false" ht="15.75" hidden="false" customHeight="true" outlineLevel="0" collapsed="false">
      <c r="A1444" s="7" t="n">
        <v>45767</v>
      </c>
      <c r="B1444" s="8" t="s">
        <v>32</v>
      </c>
      <c r="C1444" s="9" t="n">
        <v>175</v>
      </c>
      <c r="D1444" s="8" t="s">
        <v>21</v>
      </c>
      <c r="E1444" s="10" t="s">
        <v>38</v>
      </c>
      <c r="F1444" s="8" t="str">
        <f aca="false">TEXT(A1444,"MM-YYYY")</f>
        <v>04-2025</v>
      </c>
      <c r="G1444" s="8" t="s">
        <v>14</v>
      </c>
      <c r="H1444" s="8" t="s">
        <v>15</v>
      </c>
      <c r="I1444" s="7" t="n">
        <v>45767</v>
      </c>
      <c r="J1444" s="8" t="str">
        <f aca="false">VLOOKUP(B1444,Table3[#All],2,0)</f>
        <v>Grocery</v>
      </c>
      <c r="K1444" s="8" t="str">
        <f aca="false">TEXT(ROW(), "0000")</f>
        <v>1444</v>
      </c>
      <c r="L1444" s="8"/>
    </row>
    <row r="1445" customFormat="false" ht="15.75" hidden="false" customHeight="true" outlineLevel="0" collapsed="false">
      <c r="A1445" s="7" t="n">
        <v>45767</v>
      </c>
      <c r="B1445" s="8" t="s">
        <v>22</v>
      </c>
      <c r="C1445" s="9" t="n">
        <v>3092</v>
      </c>
      <c r="D1445" s="8" t="s">
        <v>13</v>
      </c>
      <c r="E1445" s="10" t="s">
        <v>23</v>
      </c>
      <c r="F1445" s="8" t="str">
        <f aca="false">TEXT(A1445,"MM-YYYY")</f>
        <v>04-2025</v>
      </c>
      <c r="G1445" s="8" t="s">
        <v>14</v>
      </c>
      <c r="H1445" s="8" t="s">
        <v>13</v>
      </c>
      <c r="I1445" s="7" t="n">
        <v>45775</v>
      </c>
      <c r="J1445" s="8" t="str">
        <f aca="false">VLOOKUP(B1445,Table3[#All],2,0)</f>
        <v>Inventory</v>
      </c>
      <c r="K1445" s="8" t="str">
        <f aca="false">TEXT(ROW(), "0000")</f>
        <v>1445</v>
      </c>
      <c r="L1445" s="8"/>
    </row>
    <row r="1446" customFormat="false" ht="15.75" hidden="false" customHeight="true" outlineLevel="0" collapsed="false">
      <c r="A1446" s="7" t="n">
        <v>45767</v>
      </c>
      <c r="B1446" s="8" t="s">
        <v>29</v>
      </c>
      <c r="C1446" s="9" t="n">
        <v>870</v>
      </c>
      <c r="D1446" s="8" t="s">
        <v>45</v>
      </c>
      <c r="E1446" s="10" t="s">
        <v>78</v>
      </c>
      <c r="F1446" s="8" t="str">
        <f aca="false">TEXT(A1446,"MM-YYYY")</f>
        <v>04-2025</v>
      </c>
      <c r="G1446" s="8" t="s">
        <v>14</v>
      </c>
      <c r="H1446" s="8" t="s">
        <v>232</v>
      </c>
      <c r="I1446" s="7" t="n">
        <v>45767</v>
      </c>
      <c r="J1446" s="8" t="str">
        <f aca="false">VLOOKUP(B1446,Table3[#All],2,0)</f>
        <v>Inventory</v>
      </c>
      <c r="K1446" s="8" t="str">
        <f aca="false">TEXT(ROW(), "0000")</f>
        <v>1446</v>
      </c>
      <c r="L1446" s="8"/>
    </row>
    <row r="1447" customFormat="false" ht="15.75" hidden="false" customHeight="true" outlineLevel="0" collapsed="false">
      <c r="A1447" s="7" t="n">
        <v>45767</v>
      </c>
      <c r="B1447" s="8" t="s">
        <v>25</v>
      </c>
      <c r="C1447" s="9" t="n">
        <v>760</v>
      </c>
      <c r="D1447" s="8" t="s">
        <v>45</v>
      </c>
      <c r="E1447" s="10" t="s">
        <v>283</v>
      </c>
      <c r="F1447" s="8" t="str">
        <f aca="false">TEXT(A1447,"MM-YYYY")</f>
        <v>04-2025</v>
      </c>
      <c r="G1447" s="8" t="s">
        <v>14</v>
      </c>
      <c r="H1447" s="8" t="s">
        <v>232</v>
      </c>
      <c r="I1447" s="7" t="n">
        <v>45767</v>
      </c>
      <c r="J1447" s="8" t="str">
        <f aca="false">VLOOKUP(B1447,Table3[#All],2,0)</f>
        <v>Inventory</v>
      </c>
      <c r="K1447" s="8" t="str">
        <f aca="false">TEXT(ROW(), "0000")</f>
        <v>1447</v>
      </c>
      <c r="L1447" s="8"/>
    </row>
    <row r="1448" customFormat="false" ht="15.75" hidden="false" customHeight="true" outlineLevel="0" collapsed="false">
      <c r="A1448" s="7" t="n">
        <v>45767</v>
      </c>
      <c r="B1448" s="8" t="s">
        <v>40</v>
      </c>
      <c r="C1448" s="9" t="n">
        <v>1480</v>
      </c>
      <c r="D1448" s="8" t="s">
        <v>45</v>
      </c>
      <c r="E1448" s="10" t="s">
        <v>46</v>
      </c>
      <c r="F1448" s="8" t="str">
        <f aca="false">TEXT(A1448,"MM-YYYY")</f>
        <v>04-2025</v>
      </c>
      <c r="G1448" s="8" t="s">
        <v>14</v>
      </c>
      <c r="H1448" s="8" t="s">
        <v>232</v>
      </c>
      <c r="I1448" s="7" t="n">
        <v>45767</v>
      </c>
      <c r="J1448" s="8" t="str">
        <f aca="false">VLOOKUP(B1448,Table3[#All],2,0)</f>
        <v>Inventory</v>
      </c>
      <c r="K1448" s="8" t="str">
        <f aca="false">TEXT(ROW(), "0000")</f>
        <v>1448</v>
      </c>
      <c r="L1448" s="8"/>
    </row>
    <row r="1449" customFormat="false" ht="15.75" hidden="false" customHeight="true" outlineLevel="0" collapsed="false">
      <c r="A1449" s="7" t="n">
        <v>45767</v>
      </c>
      <c r="B1449" s="8" t="s">
        <v>19</v>
      </c>
      <c r="C1449" s="9" t="n">
        <v>3301</v>
      </c>
      <c r="D1449" s="8" t="s">
        <v>13</v>
      </c>
      <c r="E1449" s="10" t="s">
        <v>20</v>
      </c>
      <c r="F1449" s="8" t="str">
        <f aca="false">TEXT(A1449,"MM-YYYY")</f>
        <v>04-2025</v>
      </c>
      <c r="G1449" s="8" t="s">
        <v>14</v>
      </c>
      <c r="H1449" s="8" t="s">
        <v>13</v>
      </c>
      <c r="I1449" s="7" t="n">
        <v>45774</v>
      </c>
      <c r="J1449" s="8" t="str">
        <f aca="false">VLOOKUP(B1449,Table3[#All],2,0)</f>
        <v>Inventory</v>
      </c>
      <c r="K1449" s="8" t="str">
        <f aca="false">TEXT(ROW(), "0000")</f>
        <v>1449</v>
      </c>
      <c r="L1449" s="8"/>
    </row>
    <row r="1450" customFormat="false" ht="15.75" hidden="false" customHeight="true" outlineLevel="0" collapsed="false">
      <c r="A1450" s="7" t="n">
        <v>45767</v>
      </c>
      <c r="B1450" s="8" t="s">
        <v>50</v>
      </c>
      <c r="C1450" s="9" t="n">
        <v>1780</v>
      </c>
      <c r="D1450" s="8" t="s">
        <v>13</v>
      </c>
      <c r="E1450" s="10" t="s">
        <v>263</v>
      </c>
      <c r="F1450" s="8" t="str">
        <f aca="false">TEXT(A1450,"MM-YYYY")</f>
        <v>04-2025</v>
      </c>
      <c r="G1450" s="8" t="s">
        <v>14</v>
      </c>
      <c r="H1450" s="8" t="s">
        <v>13</v>
      </c>
      <c r="I1450" s="7" t="n">
        <v>45770</v>
      </c>
      <c r="J1450" s="8" t="str">
        <f aca="false">VLOOKUP(B1450,Table3[#All],2,0)</f>
        <v>Fixed Maintance</v>
      </c>
      <c r="K1450" s="8" t="str">
        <f aca="false">TEXT(ROW(), "0000")</f>
        <v>1450</v>
      </c>
      <c r="L1450" s="8"/>
    </row>
    <row r="1451" customFormat="false" ht="15.75" hidden="false" customHeight="true" outlineLevel="0" collapsed="false">
      <c r="A1451" s="7" t="n">
        <v>45767</v>
      </c>
      <c r="B1451" s="8" t="s">
        <v>29</v>
      </c>
      <c r="C1451" s="9" t="n">
        <v>434</v>
      </c>
      <c r="D1451" s="8" t="s">
        <v>13</v>
      </c>
      <c r="E1451" s="10" t="s">
        <v>231</v>
      </c>
      <c r="F1451" s="8" t="str">
        <f aca="false">TEXT(A1451,"MM-YYYY")</f>
        <v>04-2025</v>
      </c>
      <c r="G1451" s="8" t="s">
        <v>14</v>
      </c>
      <c r="H1451" s="8" t="s">
        <v>13</v>
      </c>
      <c r="I1451" s="7" t="n">
        <v>45790</v>
      </c>
      <c r="J1451" s="8" t="str">
        <f aca="false">VLOOKUP(B1451,Table3[#All],2,0)</f>
        <v>Inventory</v>
      </c>
      <c r="K1451" s="8" t="str">
        <f aca="false">TEXT(ROW(), "0000")</f>
        <v>1451</v>
      </c>
      <c r="L1451" s="8"/>
    </row>
    <row r="1452" customFormat="false" ht="15.75" hidden="false" customHeight="true" outlineLevel="0" collapsed="false">
      <c r="A1452" s="7" t="n">
        <v>45767</v>
      </c>
      <c r="B1452" s="8" t="s">
        <v>16</v>
      </c>
      <c r="C1452" s="9" t="n">
        <v>6045</v>
      </c>
      <c r="D1452" s="8" t="s">
        <v>21</v>
      </c>
      <c r="E1452" s="10" t="s">
        <v>88</v>
      </c>
      <c r="F1452" s="8" t="str">
        <f aca="false">TEXT(A1452,"MM-YYYY")</f>
        <v>04-2025</v>
      </c>
      <c r="G1452" s="8"/>
      <c r="H1452" s="8"/>
      <c r="I1452" s="7"/>
      <c r="J1452" s="8" t="str">
        <f aca="false">VLOOKUP(B1452,Table3[#All],2,0)</f>
        <v>Sales</v>
      </c>
      <c r="K1452" s="8" t="str">
        <f aca="false">TEXT(ROW(), "0000")</f>
        <v>1452</v>
      </c>
      <c r="L1452" s="8"/>
    </row>
    <row r="1453" customFormat="false" ht="15.75" hidden="false" customHeight="true" outlineLevel="0" collapsed="false">
      <c r="A1453" s="7" t="n">
        <v>45767</v>
      </c>
      <c r="B1453" s="8" t="s">
        <v>16</v>
      </c>
      <c r="C1453" s="9" t="n">
        <v>1330</v>
      </c>
      <c r="D1453" s="8" t="s">
        <v>27</v>
      </c>
      <c r="E1453" s="10" t="s">
        <v>88</v>
      </c>
      <c r="F1453" s="8" t="str">
        <f aca="false">TEXT(A1453,"MM-YYYY")</f>
        <v>04-2025</v>
      </c>
      <c r="G1453" s="8"/>
      <c r="H1453" s="8"/>
      <c r="I1453" s="7"/>
      <c r="J1453" s="8" t="str">
        <f aca="false">VLOOKUP(B1453,Table3[#All],2,0)</f>
        <v>Sales</v>
      </c>
      <c r="K1453" s="8" t="str">
        <f aca="false">TEXT(ROW(), "0000")</f>
        <v>1453</v>
      </c>
      <c r="L1453" s="8"/>
    </row>
    <row r="1454" customFormat="false" ht="15.75" hidden="false" customHeight="true" outlineLevel="0" collapsed="false">
      <c r="A1454" s="7" t="n">
        <v>45767</v>
      </c>
      <c r="B1454" s="8" t="s">
        <v>16</v>
      </c>
      <c r="C1454" s="9" t="n">
        <v>1684</v>
      </c>
      <c r="D1454" s="8" t="s">
        <v>33</v>
      </c>
      <c r="E1454" s="10" t="s">
        <v>88</v>
      </c>
      <c r="F1454" s="8" t="str">
        <f aca="false">TEXT(A1454,"MM-YYYY")</f>
        <v>04-2025</v>
      </c>
      <c r="G1454" s="8"/>
      <c r="H1454" s="8"/>
      <c r="I1454" s="7"/>
      <c r="J1454" s="8" t="str">
        <f aca="false">VLOOKUP(B1454,Table3[#All],2,0)</f>
        <v>Sales</v>
      </c>
      <c r="K1454" s="8" t="str">
        <f aca="false">TEXT(ROW(), "0000")</f>
        <v>1454</v>
      </c>
      <c r="L1454" s="8"/>
    </row>
    <row r="1455" customFormat="false" ht="15.75" hidden="false" customHeight="true" outlineLevel="0" collapsed="false">
      <c r="A1455" s="7" t="n">
        <v>45767</v>
      </c>
      <c r="B1455" s="8" t="s">
        <v>16</v>
      </c>
      <c r="C1455" s="9" t="n">
        <v>23339</v>
      </c>
      <c r="D1455" s="8" t="s">
        <v>17</v>
      </c>
      <c r="E1455" s="10" t="s">
        <v>88</v>
      </c>
      <c r="F1455" s="8" t="str">
        <f aca="false">TEXT(A1455,"MM-YYYY")</f>
        <v>04-2025</v>
      </c>
      <c r="G1455" s="8"/>
      <c r="H1455" s="8"/>
      <c r="I1455" s="7"/>
      <c r="J1455" s="8" t="str">
        <f aca="false">VLOOKUP(B1455,Table3[#All],2,0)</f>
        <v>Sales</v>
      </c>
      <c r="K1455" s="8" t="str">
        <f aca="false">TEXT(ROW(), "0000")</f>
        <v>1455</v>
      </c>
      <c r="L1455" s="8"/>
    </row>
    <row r="1456" customFormat="false" ht="15.75" hidden="false" customHeight="true" outlineLevel="0" collapsed="false">
      <c r="A1456" s="7" t="n">
        <v>45767</v>
      </c>
      <c r="B1456" s="8" t="s">
        <v>16</v>
      </c>
      <c r="C1456" s="9" t="n">
        <v>830</v>
      </c>
      <c r="D1456" s="8" t="s">
        <v>59</v>
      </c>
      <c r="E1456" s="10" t="s">
        <v>88</v>
      </c>
      <c r="F1456" s="8" t="str">
        <f aca="false">TEXT(A1456,"MM-YYYY")</f>
        <v>04-2025</v>
      </c>
      <c r="G1456" s="8"/>
      <c r="H1456" s="8"/>
      <c r="I1456" s="7"/>
      <c r="J1456" s="8" t="str">
        <f aca="false">VLOOKUP(B1456,Table3[#All],2,0)</f>
        <v>Sales</v>
      </c>
      <c r="K1456" s="8" t="str">
        <f aca="false">TEXT(ROW(), "0000")</f>
        <v>1456</v>
      </c>
      <c r="L1456" s="8"/>
    </row>
    <row r="1457" customFormat="false" ht="15.75" hidden="false" customHeight="true" outlineLevel="0" collapsed="false">
      <c r="A1457" s="7" t="n">
        <v>45767</v>
      </c>
      <c r="B1457" s="8" t="s">
        <v>16</v>
      </c>
      <c r="C1457" s="9" t="n">
        <v>1437</v>
      </c>
      <c r="D1457" s="8" t="s">
        <v>24</v>
      </c>
      <c r="E1457" s="10" t="s">
        <v>217</v>
      </c>
      <c r="F1457" s="8" t="str">
        <f aca="false">TEXT(A1457,"MM-YYYY")</f>
        <v>04-2025</v>
      </c>
      <c r="G1457" s="8"/>
      <c r="H1457" s="8"/>
      <c r="I1457" s="7"/>
      <c r="J1457" s="8" t="str">
        <f aca="false">VLOOKUP(B1457,Table3[#All],2,0)</f>
        <v>Sales</v>
      </c>
      <c r="K1457" s="8" t="str">
        <f aca="false">TEXT(ROW(), "0000")</f>
        <v>1457</v>
      </c>
      <c r="L1457" s="8"/>
    </row>
    <row r="1458" customFormat="false" ht="15.75" hidden="false" customHeight="true" outlineLevel="0" collapsed="false">
      <c r="A1458" s="7" t="n">
        <v>45767</v>
      </c>
      <c r="B1458" s="8" t="s">
        <v>34</v>
      </c>
      <c r="C1458" s="9" t="n">
        <v>140</v>
      </c>
      <c r="D1458" s="8" t="s">
        <v>45</v>
      </c>
      <c r="E1458" s="10" t="s">
        <v>274</v>
      </c>
      <c r="F1458" s="8" t="str">
        <f aca="false">TEXT(A1458,"MM-YYYY")</f>
        <v>04-2025</v>
      </c>
      <c r="G1458" s="8" t="s">
        <v>14</v>
      </c>
      <c r="H1458" s="8" t="s">
        <v>232</v>
      </c>
      <c r="I1458" s="7" t="n">
        <v>45767</v>
      </c>
      <c r="J1458" s="8" t="str">
        <f aca="false">VLOOKUP(B1458,Table3[#All],2,0)</f>
        <v>Staff Expenses</v>
      </c>
      <c r="K1458" s="8" t="str">
        <f aca="false">TEXT(ROW(), "0000")</f>
        <v>1458</v>
      </c>
      <c r="L1458" s="8"/>
    </row>
    <row r="1459" customFormat="false" ht="15.75" hidden="false" customHeight="true" outlineLevel="0" collapsed="false">
      <c r="A1459" s="7" t="n">
        <v>45767</v>
      </c>
      <c r="B1459" s="8" t="s">
        <v>35</v>
      </c>
      <c r="C1459" s="9" t="n">
        <v>100</v>
      </c>
      <c r="D1459" s="8" t="s">
        <v>45</v>
      </c>
      <c r="E1459" s="10" t="s">
        <v>206</v>
      </c>
      <c r="F1459" s="8" t="str">
        <f aca="false">TEXT(A1459,"MM-YYYY")</f>
        <v>04-2025</v>
      </c>
      <c r="G1459" s="8" t="s">
        <v>14</v>
      </c>
      <c r="H1459" s="8" t="s">
        <v>232</v>
      </c>
      <c r="I1459" s="7" t="n">
        <v>45767</v>
      </c>
      <c r="J1459" s="8" t="str">
        <f aca="false">VLOOKUP(B1459,Table3[#All],2,0)</f>
        <v>Inventory</v>
      </c>
      <c r="K1459" s="8" t="str">
        <f aca="false">TEXT(ROW(), "0000")</f>
        <v>1459</v>
      </c>
      <c r="L1459" s="8"/>
    </row>
    <row r="1460" customFormat="false" ht="15.75" hidden="false" customHeight="true" outlineLevel="0" collapsed="false">
      <c r="A1460" s="7" t="n">
        <v>45767</v>
      </c>
      <c r="B1460" s="8" t="s">
        <v>37</v>
      </c>
      <c r="C1460" s="9" t="n">
        <v>20</v>
      </c>
      <c r="D1460" s="8" t="s">
        <v>21</v>
      </c>
      <c r="E1460" s="8" t="s">
        <v>37</v>
      </c>
      <c r="F1460" s="8" t="str">
        <f aca="false">TEXT(A1460,"MM-YYYY")</f>
        <v>04-2025</v>
      </c>
      <c r="G1460" s="8" t="s">
        <v>14</v>
      </c>
      <c r="H1460" s="8" t="s">
        <v>15</v>
      </c>
      <c r="I1460" s="7" t="n">
        <v>45767</v>
      </c>
      <c r="J1460" s="8" t="str">
        <f aca="false">VLOOKUP(B1460,Table3[#All],2,0)</f>
        <v>Maintance</v>
      </c>
      <c r="K1460" s="8" t="str">
        <f aca="false">TEXT(ROW(), "0000")</f>
        <v>1460</v>
      </c>
      <c r="L1460" s="8"/>
    </row>
    <row r="1461" customFormat="false" ht="15.75" hidden="false" customHeight="true" outlineLevel="0" collapsed="false">
      <c r="A1461" s="7" t="n">
        <v>45768</v>
      </c>
      <c r="B1461" s="8" t="s">
        <v>53</v>
      </c>
      <c r="C1461" s="9" t="n">
        <v>1200</v>
      </c>
      <c r="D1461" s="8" t="s">
        <v>21</v>
      </c>
      <c r="E1461" s="10" t="s">
        <v>55</v>
      </c>
      <c r="F1461" s="8" t="str">
        <f aca="false">TEXT(A1461,"MM-YYYY")</f>
        <v>04-2025</v>
      </c>
      <c r="G1461" s="8" t="s">
        <v>14</v>
      </c>
      <c r="H1461" s="8" t="s">
        <v>15</v>
      </c>
      <c r="I1461" s="7" t="n">
        <v>45768</v>
      </c>
      <c r="J1461" s="8" t="str">
        <f aca="false">VLOOKUP(B1461,Table3[#All],2,0)</f>
        <v>Grocery</v>
      </c>
      <c r="K1461" s="8" t="str">
        <f aca="false">TEXT(ROW(), "0000")</f>
        <v>1461</v>
      </c>
      <c r="L1461" s="8"/>
    </row>
    <row r="1462" customFormat="false" ht="15.75" hidden="false" customHeight="true" outlineLevel="0" collapsed="false">
      <c r="A1462" s="7" t="n">
        <v>45768</v>
      </c>
      <c r="B1462" s="8" t="s">
        <v>32</v>
      </c>
      <c r="C1462" s="9" t="n">
        <v>245</v>
      </c>
      <c r="D1462" s="8" t="s">
        <v>21</v>
      </c>
      <c r="E1462" s="10" t="s">
        <v>38</v>
      </c>
      <c r="F1462" s="8" t="str">
        <f aca="false">TEXT(A1462,"MM-YYYY")</f>
        <v>04-2025</v>
      </c>
      <c r="G1462" s="8" t="s">
        <v>14</v>
      </c>
      <c r="H1462" s="8" t="s">
        <v>15</v>
      </c>
      <c r="I1462" s="7" t="n">
        <v>45768</v>
      </c>
      <c r="J1462" s="8" t="str">
        <f aca="false">VLOOKUP(B1462,Table3[#All],2,0)</f>
        <v>Grocery</v>
      </c>
      <c r="K1462" s="8" t="str">
        <f aca="false">TEXT(ROW(), "0000")</f>
        <v>1462</v>
      </c>
      <c r="L1462" s="8"/>
    </row>
    <row r="1463" customFormat="false" ht="15.75" hidden="false" customHeight="true" outlineLevel="0" collapsed="false">
      <c r="A1463" s="7" t="n">
        <v>45768</v>
      </c>
      <c r="B1463" s="8" t="s">
        <v>22</v>
      </c>
      <c r="C1463" s="9" t="n">
        <v>5205</v>
      </c>
      <c r="D1463" s="8" t="s">
        <v>13</v>
      </c>
      <c r="E1463" s="10" t="s">
        <v>23</v>
      </c>
      <c r="F1463" s="8" t="str">
        <f aca="false">TEXT(A1463,"MM-YYYY")</f>
        <v>04-2025</v>
      </c>
      <c r="G1463" s="8" t="s">
        <v>14</v>
      </c>
      <c r="H1463" s="8" t="s">
        <v>13</v>
      </c>
      <c r="I1463" s="7" t="n">
        <v>45775</v>
      </c>
      <c r="J1463" s="8" t="str">
        <f aca="false">VLOOKUP(B1463,Table3[#All],2,0)</f>
        <v>Inventory</v>
      </c>
      <c r="K1463" s="8" t="str">
        <f aca="false">TEXT(ROW(), "0000")</f>
        <v>1463</v>
      </c>
      <c r="L1463" s="8"/>
    </row>
    <row r="1464" customFormat="false" ht="15.75" hidden="false" customHeight="true" outlineLevel="0" collapsed="false">
      <c r="A1464" s="7" t="n">
        <v>45768</v>
      </c>
      <c r="B1464" s="8" t="s">
        <v>19</v>
      </c>
      <c r="C1464" s="9" t="n">
        <v>5365</v>
      </c>
      <c r="D1464" s="8" t="s">
        <v>13</v>
      </c>
      <c r="E1464" s="10" t="s">
        <v>20</v>
      </c>
      <c r="F1464" s="8" t="str">
        <f aca="false">TEXT(A1464,"MM-YYYY")</f>
        <v>04-2025</v>
      </c>
      <c r="G1464" s="8" t="s">
        <v>14</v>
      </c>
      <c r="H1464" s="8" t="s">
        <v>13</v>
      </c>
      <c r="I1464" s="7" t="n">
        <v>45774</v>
      </c>
      <c r="J1464" s="8" t="str">
        <f aca="false">VLOOKUP(B1464,Table3[#All],2,0)</f>
        <v>Inventory</v>
      </c>
      <c r="K1464" s="8" t="str">
        <f aca="false">TEXT(ROW(), "0000")</f>
        <v>1464</v>
      </c>
      <c r="L1464" s="8"/>
    </row>
    <row r="1465" customFormat="false" ht="15.75" hidden="false" customHeight="true" outlineLevel="0" collapsed="false">
      <c r="A1465" s="7" t="n">
        <v>45768</v>
      </c>
      <c r="B1465" s="8" t="s">
        <v>25</v>
      </c>
      <c r="C1465" s="9" t="n">
        <v>1369</v>
      </c>
      <c r="D1465" s="8" t="s">
        <v>13</v>
      </c>
      <c r="E1465" s="10" t="s">
        <v>26</v>
      </c>
      <c r="F1465" s="8" t="str">
        <f aca="false">TEXT(A1465,"MM-YYYY")</f>
        <v>04-2025</v>
      </c>
      <c r="G1465" s="8" t="s">
        <v>14</v>
      </c>
      <c r="H1465" s="8" t="s">
        <v>13</v>
      </c>
      <c r="I1465" s="7" t="n">
        <v>45790</v>
      </c>
      <c r="J1465" s="8" t="str">
        <f aca="false">VLOOKUP(B1465,Table3[#All],2,0)</f>
        <v>Inventory</v>
      </c>
      <c r="K1465" s="8" t="str">
        <f aca="false">TEXT(ROW(), "0000")</f>
        <v>1465</v>
      </c>
      <c r="L1465" s="8"/>
    </row>
    <row r="1466" customFormat="false" ht="15.75" hidden="false" customHeight="true" outlineLevel="0" collapsed="false">
      <c r="A1466" s="7" t="n">
        <v>45768</v>
      </c>
      <c r="B1466" s="8" t="s">
        <v>29</v>
      </c>
      <c r="C1466" s="9" t="n">
        <v>444</v>
      </c>
      <c r="D1466" s="8" t="s">
        <v>13</v>
      </c>
      <c r="E1466" s="10" t="s">
        <v>231</v>
      </c>
      <c r="F1466" s="8" t="str">
        <f aca="false">TEXT(A1466,"MM-YYYY")</f>
        <v>04-2025</v>
      </c>
      <c r="G1466" s="8" t="s">
        <v>14</v>
      </c>
      <c r="H1466" s="8" t="s">
        <v>13</v>
      </c>
      <c r="I1466" s="7" t="n">
        <v>45790</v>
      </c>
      <c r="J1466" s="8" t="str">
        <f aca="false">VLOOKUP(B1466,Table3[#All],2,0)</f>
        <v>Inventory</v>
      </c>
      <c r="K1466" s="8" t="str">
        <f aca="false">TEXT(ROW(), "0000")</f>
        <v>1466</v>
      </c>
      <c r="L1466" s="8"/>
    </row>
    <row r="1467" customFormat="false" ht="15.75" hidden="false" customHeight="true" outlineLevel="0" collapsed="false">
      <c r="A1467" s="7" t="n">
        <v>45768</v>
      </c>
      <c r="B1467" s="8" t="s">
        <v>16</v>
      </c>
      <c r="C1467" s="9" t="n">
        <v>3440</v>
      </c>
      <c r="D1467" s="8" t="s">
        <v>21</v>
      </c>
      <c r="E1467" s="10" t="s">
        <v>88</v>
      </c>
      <c r="F1467" s="8" t="str">
        <f aca="false">TEXT(A1467,"MM-YYYY")</f>
        <v>04-2025</v>
      </c>
      <c r="G1467" s="8"/>
      <c r="H1467" s="8"/>
      <c r="I1467" s="7"/>
      <c r="J1467" s="8" t="str">
        <f aca="false">VLOOKUP(B1467,Table3[#All],2,0)</f>
        <v>Sales</v>
      </c>
      <c r="K1467" s="8" t="str">
        <f aca="false">TEXT(ROW(), "0000")</f>
        <v>1467</v>
      </c>
      <c r="L1467" s="8"/>
    </row>
    <row r="1468" customFormat="false" ht="15.75" hidden="false" customHeight="true" outlineLevel="0" collapsed="false">
      <c r="A1468" s="7" t="n">
        <v>45768</v>
      </c>
      <c r="B1468" s="8" t="s">
        <v>16</v>
      </c>
      <c r="C1468" s="9" t="n">
        <v>380</v>
      </c>
      <c r="D1468" s="8" t="s">
        <v>27</v>
      </c>
      <c r="E1468" s="10" t="s">
        <v>88</v>
      </c>
      <c r="F1468" s="8" t="str">
        <f aca="false">TEXT(A1468,"MM-YYYY")</f>
        <v>04-2025</v>
      </c>
      <c r="G1468" s="8"/>
      <c r="H1468" s="8"/>
      <c r="I1468" s="7"/>
      <c r="J1468" s="8" t="str">
        <f aca="false">VLOOKUP(B1468,Table3[#All],2,0)</f>
        <v>Sales</v>
      </c>
      <c r="K1468" s="8" t="str">
        <f aca="false">TEXT(ROW(), "0000")</f>
        <v>1468</v>
      </c>
      <c r="L1468" s="8"/>
    </row>
    <row r="1469" customFormat="false" ht="15.75" hidden="false" customHeight="true" outlineLevel="0" collapsed="false">
      <c r="A1469" s="7" t="n">
        <v>45768</v>
      </c>
      <c r="B1469" s="8" t="s">
        <v>16</v>
      </c>
      <c r="C1469" s="9" t="n">
        <v>980</v>
      </c>
      <c r="D1469" s="8" t="s">
        <v>33</v>
      </c>
      <c r="E1469" s="10" t="s">
        <v>88</v>
      </c>
      <c r="F1469" s="8" t="str">
        <f aca="false">TEXT(A1469,"MM-YYYY")</f>
        <v>04-2025</v>
      </c>
      <c r="G1469" s="8"/>
      <c r="H1469" s="8"/>
      <c r="I1469" s="7"/>
      <c r="J1469" s="8" t="str">
        <f aca="false">VLOOKUP(B1469,Table3[#All],2,0)</f>
        <v>Sales</v>
      </c>
      <c r="K1469" s="8" t="str">
        <f aca="false">TEXT(ROW(), "0000")</f>
        <v>1469</v>
      </c>
      <c r="L1469" s="8"/>
    </row>
    <row r="1470" customFormat="false" ht="15.75" hidden="false" customHeight="true" outlineLevel="0" collapsed="false">
      <c r="A1470" s="7" t="n">
        <v>45768</v>
      </c>
      <c r="B1470" s="8" t="s">
        <v>16</v>
      </c>
      <c r="C1470" s="9" t="n">
        <v>10210</v>
      </c>
      <c r="D1470" s="8" t="s">
        <v>17</v>
      </c>
      <c r="E1470" s="10" t="s">
        <v>88</v>
      </c>
      <c r="F1470" s="8" t="str">
        <f aca="false">TEXT(A1470,"MM-YYYY")</f>
        <v>04-2025</v>
      </c>
      <c r="G1470" s="8"/>
      <c r="H1470" s="8"/>
      <c r="I1470" s="7"/>
      <c r="J1470" s="8" t="str">
        <f aca="false">VLOOKUP(B1470,Table3[#All],2,0)</f>
        <v>Sales</v>
      </c>
      <c r="K1470" s="8" t="str">
        <f aca="false">TEXT(ROW(), "0000")</f>
        <v>1470</v>
      </c>
      <c r="L1470" s="8"/>
    </row>
    <row r="1471" customFormat="false" ht="15.75" hidden="false" customHeight="true" outlineLevel="0" collapsed="false">
      <c r="A1471" s="7" t="n">
        <v>45768</v>
      </c>
      <c r="B1471" s="8" t="s">
        <v>16</v>
      </c>
      <c r="C1471" s="9" t="n">
        <v>1047</v>
      </c>
      <c r="D1471" s="8" t="s">
        <v>24</v>
      </c>
      <c r="E1471" s="10" t="s">
        <v>217</v>
      </c>
      <c r="F1471" s="8" t="str">
        <f aca="false">TEXT(A1471,"MM-YYYY")</f>
        <v>04-2025</v>
      </c>
      <c r="G1471" s="8"/>
      <c r="H1471" s="8"/>
      <c r="I1471" s="7"/>
      <c r="J1471" s="8" t="str">
        <f aca="false">VLOOKUP(B1471,Table3[#All],2,0)</f>
        <v>Sales</v>
      </c>
      <c r="K1471" s="8" t="str">
        <f aca="false">TEXT(ROW(), "0000")</f>
        <v>1471</v>
      </c>
      <c r="L1471" s="8"/>
    </row>
    <row r="1472" customFormat="false" ht="15.75" hidden="false" customHeight="true" outlineLevel="0" collapsed="false">
      <c r="A1472" s="7" t="n">
        <v>45768</v>
      </c>
      <c r="B1472" s="8" t="s">
        <v>44</v>
      </c>
      <c r="C1472" s="9" t="n">
        <v>9728</v>
      </c>
      <c r="D1472" s="8" t="s">
        <v>45</v>
      </c>
      <c r="E1472" s="10" t="s">
        <v>284</v>
      </c>
      <c r="F1472" s="8" t="str">
        <f aca="false">TEXT(A1472,"MM-YYYY")</f>
        <v>04-2025</v>
      </c>
      <c r="G1472" s="8" t="s">
        <v>14</v>
      </c>
      <c r="H1472" s="8" t="s">
        <v>232</v>
      </c>
      <c r="I1472" s="7" t="n">
        <v>45768</v>
      </c>
      <c r="J1472" s="8" t="str">
        <f aca="false">VLOOKUP(B1472,Table3[#All],2,0)</f>
        <v>Salary</v>
      </c>
      <c r="K1472" s="8" t="str">
        <f aca="false">TEXT(ROW(), "0000")</f>
        <v>1472</v>
      </c>
      <c r="L1472" s="8"/>
    </row>
    <row r="1473" customFormat="false" ht="15.75" hidden="false" customHeight="true" outlineLevel="0" collapsed="false">
      <c r="A1473" s="7" t="n">
        <v>45768</v>
      </c>
      <c r="B1473" s="8" t="s">
        <v>34</v>
      </c>
      <c r="C1473" s="9" t="n">
        <v>147</v>
      </c>
      <c r="D1473" s="8" t="s">
        <v>45</v>
      </c>
      <c r="E1473" s="10" t="s">
        <v>267</v>
      </c>
      <c r="F1473" s="8" t="str">
        <f aca="false">TEXT(A1473,"MM-YYYY")</f>
        <v>04-2025</v>
      </c>
      <c r="G1473" s="8" t="s">
        <v>14</v>
      </c>
      <c r="H1473" s="8" t="s">
        <v>232</v>
      </c>
      <c r="I1473" s="7" t="n">
        <v>45768</v>
      </c>
      <c r="J1473" s="8" t="str">
        <f aca="false">VLOOKUP(B1473,Table3[#All],2,0)</f>
        <v>Staff Expenses</v>
      </c>
      <c r="K1473" s="8" t="str">
        <f aca="false">TEXT(ROW(), "0000")</f>
        <v>1473</v>
      </c>
      <c r="L1473" s="8"/>
    </row>
    <row r="1474" customFormat="false" ht="15.75" hidden="false" customHeight="true" outlineLevel="0" collapsed="false">
      <c r="A1474" s="7" t="n">
        <v>45769</v>
      </c>
      <c r="B1474" s="8" t="s">
        <v>22</v>
      </c>
      <c r="C1474" s="9" t="n">
        <v>2200</v>
      </c>
      <c r="D1474" s="8" t="s">
        <v>13</v>
      </c>
      <c r="E1474" s="10" t="s">
        <v>23</v>
      </c>
      <c r="F1474" s="8" t="str">
        <f aca="false">TEXT(A1474,"MM-YYYY")</f>
        <v>04-2025</v>
      </c>
      <c r="G1474" s="8" t="s">
        <v>14</v>
      </c>
      <c r="H1474" s="8" t="s">
        <v>13</v>
      </c>
      <c r="I1474" s="7" t="n">
        <v>45775</v>
      </c>
      <c r="J1474" s="8" t="str">
        <f aca="false">VLOOKUP(B1474,Table3[#All],2,0)</f>
        <v>Inventory</v>
      </c>
      <c r="K1474" s="8" t="str">
        <f aca="false">TEXT(ROW(), "0000")</f>
        <v>1474</v>
      </c>
      <c r="L1474" s="8"/>
    </row>
    <row r="1475" customFormat="false" ht="15.75" hidden="false" customHeight="true" outlineLevel="0" collapsed="false">
      <c r="A1475" s="7" t="n">
        <v>45769</v>
      </c>
      <c r="B1475" s="8" t="s">
        <v>19</v>
      </c>
      <c r="C1475" s="9" t="n">
        <v>3096</v>
      </c>
      <c r="D1475" s="8" t="s">
        <v>13</v>
      </c>
      <c r="E1475" s="10" t="s">
        <v>20</v>
      </c>
      <c r="F1475" s="8" t="str">
        <f aca="false">TEXT(A1475,"MM-YYYY")</f>
        <v>04-2025</v>
      </c>
      <c r="G1475" s="8" t="s">
        <v>14</v>
      </c>
      <c r="H1475" s="8" t="s">
        <v>13</v>
      </c>
      <c r="I1475" s="7" t="n">
        <v>45774</v>
      </c>
      <c r="J1475" s="8" t="str">
        <f aca="false">VLOOKUP(B1475,Table3[#All],2,0)</f>
        <v>Inventory</v>
      </c>
      <c r="K1475" s="8" t="str">
        <f aca="false">TEXT(ROW(), "0000")</f>
        <v>1475</v>
      </c>
      <c r="L1475" s="8"/>
    </row>
    <row r="1476" customFormat="false" ht="15.75" hidden="false" customHeight="true" outlineLevel="0" collapsed="false">
      <c r="A1476" s="7" t="n">
        <v>45769</v>
      </c>
      <c r="B1476" s="8" t="s">
        <v>32</v>
      </c>
      <c r="C1476" s="9" t="n">
        <v>175</v>
      </c>
      <c r="D1476" s="8" t="s">
        <v>21</v>
      </c>
      <c r="E1476" s="10" t="s">
        <v>38</v>
      </c>
      <c r="F1476" s="8" t="str">
        <f aca="false">TEXT(A1476,"MM-YYYY")</f>
        <v>04-2025</v>
      </c>
      <c r="G1476" s="8" t="s">
        <v>14</v>
      </c>
      <c r="H1476" s="8" t="s">
        <v>15</v>
      </c>
      <c r="I1476" s="7" t="n">
        <v>45769</v>
      </c>
      <c r="J1476" s="8" t="str">
        <f aca="false">VLOOKUP(B1476,Table3[#All],2,0)</f>
        <v>Grocery</v>
      </c>
      <c r="K1476" s="8" t="str">
        <f aca="false">TEXT(ROW(), "0000")</f>
        <v>1476</v>
      </c>
      <c r="L1476" s="8"/>
    </row>
    <row r="1477" customFormat="false" ht="15.75" hidden="false" customHeight="true" outlineLevel="0" collapsed="false">
      <c r="A1477" s="7" t="n">
        <v>45769</v>
      </c>
      <c r="B1477" s="8" t="s">
        <v>25</v>
      </c>
      <c r="C1477" s="9" t="n">
        <v>835</v>
      </c>
      <c r="D1477" s="8" t="s">
        <v>13</v>
      </c>
      <c r="E1477" s="10" t="s">
        <v>26</v>
      </c>
      <c r="F1477" s="8" t="str">
        <f aca="false">TEXT(A1477,"MM-YYYY")</f>
        <v>04-2025</v>
      </c>
      <c r="G1477" s="8" t="s">
        <v>14</v>
      </c>
      <c r="H1477" s="8" t="s">
        <v>13</v>
      </c>
      <c r="I1477" s="7" t="n">
        <v>45790</v>
      </c>
      <c r="J1477" s="8" t="str">
        <f aca="false">VLOOKUP(B1477,Table3[#All],2,0)</f>
        <v>Inventory</v>
      </c>
      <c r="K1477" s="8" t="str">
        <f aca="false">TEXT(ROW(), "0000")</f>
        <v>1477</v>
      </c>
      <c r="L1477" s="8"/>
    </row>
    <row r="1478" customFormat="false" ht="15.75" hidden="false" customHeight="true" outlineLevel="0" collapsed="false">
      <c r="A1478" s="7" t="n">
        <v>45769</v>
      </c>
      <c r="B1478" s="8" t="s">
        <v>50</v>
      </c>
      <c r="C1478" s="9" t="n">
        <v>1780</v>
      </c>
      <c r="D1478" s="8" t="s">
        <v>13</v>
      </c>
      <c r="E1478" s="10" t="s">
        <v>263</v>
      </c>
      <c r="F1478" s="8" t="str">
        <f aca="false">TEXT(A1478,"MM-YYYY")</f>
        <v>04-2025</v>
      </c>
      <c r="G1478" s="8" t="s">
        <v>14</v>
      </c>
      <c r="H1478" s="8" t="s">
        <v>13</v>
      </c>
      <c r="I1478" s="7" t="n">
        <v>45779</v>
      </c>
      <c r="J1478" s="8" t="str">
        <f aca="false">VLOOKUP(B1478,Table3[#All],2,0)</f>
        <v>Fixed Maintance</v>
      </c>
      <c r="K1478" s="8" t="str">
        <f aca="false">TEXT(ROW(), "0000")</f>
        <v>1478</v>
      </c>
      <c r="L1478" s="8"/>
    </row>
    <row r="1479" customFormat="false" ht="15.75" hidden="false" customHeight="true" outlineLevel="0" collapsed="false">
      <c r="A1479" s="7" t="n">
        <v>45769</v>
      </c>
      <c r="B1479" s="8" t="s">
        <v>16</v>
      </c>
      <c r="C1479" s="9" t="n">
        <v>2650</v>
      </c>
      <c r="D1479" s="8" t="s">
        <v>21</v>
      </c>
      <c r="E1479" s="10" t="s">
        <v>88</v>
      </c>
      <c r="F1479" s="8" t="str">
        <f aca="false">TEXT(A1479,"MM-YYYY")</f>
        <v>04-2025</v>
      </c>
      <c r="G1479" s="8"/>
      <c r="H1479" s="8"/>
      <c r="I1479" s="7"/>
      <c r="J1479" s="8" t="str">
        <f aca="false">VLOOKUP(B1479,Table3[#All],2,0)</f>
        <v>Sales</v>
      </c>
      <c r="K1479" s="8" t="str">
        <f aca="false">TEXT(ROW(), "0000")</f>
        <v>1479</v>
      </c>
      <c r="L1479" s="8"/>
    </row>
    <row r="1480" customFormat="false" ht="15.75" hidden="false" customHeight="true" outlineLevel="0" collapsed="false">
      <c r="A1480" s="7" t="n">
        <v>45769</v>
      </c>
      <c r="B1480" s="8" t="s">
        <v>16</v>
      </c>
      <c r="C1480" s="9" t="n">
        <v>1079</v>
      </c>
      <c r="D1480" s="8" t="s">
        <v>27</v>
      </c>
      <c r="E1480" s="10" t="s">
        <v>88</v>
      </c>
      <c r="F1480" s="8" t="str">
        <f aca="false">TEXT(A1480,"MM-YYYY")</f>
        <v>04-2025</v>
      </c>
      <c r="G1480" s="8"/>
      <c r="H1480" s="8"/>
      <c r="I1480" s="7"/>
      <c r="J1480" s="8" t="str">
        <f aca="false">VLOOKUP(B1480,Table3[#All],2,0)</f>
        <v>Sales</v>
      </c>
      <c r="K1480" s="8" t="str">
        <f aca="false">TEXT(ROW(), "0000")</f>
        <v>1480</v>
      </c>
      <c r="L1480" s="8"/>
    </row>
    <row r="1481" customFormat="false" ht="15.75" hidden="false" customHeight="true" outlineLevel="0" collapsed="false">
      <c r="A1481" s="7" t="n">
        <v>45769</v>
      </c>
      <c r="B1481" s="8" t="s">
        <v>16</v>
      </c>
      <c r="C1481" s="9" t="n">
        <v>990</v>
      </c>
      <c r="D1481" s="8" t="s">
        <v>33</v>
      </c>
      <c r="E1481" s="10" t="s">
        <v>88</v>
      </c>
      <c r="F1481" s="8" t="str">
        <f aca="false">TEXT(A1481,"MM-YYYY")</f>
        <v>04-2025</v>
      </c>
      <c r="G1481" s="8"/>
      <c r="H1481" s="8"/>
      <c r="I1481" s="7"/>
      <c r="J1481" s="8" t="str">
        <f aca="false">VLOOKUP(B1481,Table3[#All],2,0)</f>
        <v>Sales</v>
      </c>
      <c r="K1481" s="8" t="str">
        <f aca="false">TEXT(ROW(), "0000")</f>
        <v>1481</v>
      </c>
      <c r="L1481" s="8"/>
    </row>
    <row r="1482" customFormat="false" ht="15.75" hidden="false" customHeight="true" outlineLevel="0" collapsed="false">
      <c r="A1482" s="7" t="n">
        <v>45769</v>
      </c>
      <c r="B1482" s="8" t="s">
        <v>16</v>
      </c>
      <c r="C1482" s="9" t="n">
        <v>6657</v>
      </c>
      <c r="D1482" s="8" t="s">
        <v>17</v>
      </c>
      <c r="E1482" s="10" t="s">
        <v>88</v>
      </c>
      <c r="F1482" s="8" t="str">
        <f aca="false">TEXT(A1482,"MM-YYYY")</f>
        <v>04-2025</v>
      </c>
      <c r="G1482" s="8"/>
      <c r="H1482" s="8"/>
      <c r="I1482" s="7"/>
      <c r="J1482" s="8" t="str">
        <f aca="false">VLOOKUP(B1482,Table3[#All],2,0)</f>
        <v>Sales</v>
      </c>
      <c r="K1482" s="8" t="str">
        <f aca="false">TEXT(ROW(), "0000")</f>
        <v>1482</v>
      </c>
      <c r="L1482" s="8"/>
    </row>
    <row r="1483" customFormat="false" ht="15.75" hidden="false" customHeight="true" outlineLevel="0" collapsed="false">
      <c r="A1483" s="7" t="n">
        <v>45769</v>
      </c>
      <c r="B1483" s="8" t="s">
        <v>16</v>
      </c>
      <c r="C1483" s="9" t="n">
        <v>4056</v>
      </c>
      <c r="D1483" s="8" t="s">
        <v>24</v>
      </c>
      <c r="E1483" s="10" t="s">
        <v>217</v>
      </c>
      <c r="F1483" s="8" t="str">
        <f aca="false">TEXT(A1483,"MM-YYYY")</f>
        <v>04-2025</v>
      </c>
      <c r="G1483" s="8"/>
      <c r="H1483" s="8"/>
      <c r="I1483" s="7"/>
      <c r="J1483" s="8" t="str">
        <f aca="false">VLOOKUP(B1483,Table3[#All],2,0)</f>
        <v>Sales</v>
      </c>
      <c r="K1483" s="8" t="str">
        <f aca="false">TEXT(ROW(), "0000")</f>
        <v>1483</v>
      </c>
      <c r="L1483" s="8"/>
    </row>
    <row r="1484" customFormat="false" ht="15.75" hidden="false" customHeight="true" outlineLevel="0" collapsed="false">
      <c r="A1484" s="7" t="n">
        <v>45769</v>
      </c>
      <c r="B1484" s="8" t="s">
        <v>37</v>
      </c>
      <c r="C1484" s="9" t="n">
        <v>45</v>
      </c>
      <c r="D1484" s="8" t="s">
        <v>21</v>
      </c>
      <c r="E1484" s="8" t="s">
        <v>37</v>
      </c>
      <c r="F1484" s="8" t="str">
        <f aca="false">TEXT(A1484,"MM-YYYY")</f>
        <v>04-2025</v>
      </c>
      <c r="G1484" s="8" t="s">
        <v>14</v>
      </c>
      <c r="H1484" s="8" t="s">
        <v>15</v>
      </c>
      <c r="I1484" s="7" t="n">
        <v>45769</v>
      </c>
      <c r="J1484" s="8" t="str">
        <f aca="false">VLOOKUP(B1484,Table3[#All],2,0)</f>
        <v>Maintance</v>
      </c>
      <c r="K1484" s="8" t="str">
        <f aca="false">TEXT(ROW(), "0000")</f>
        <v>1484</v>
      </c>
      <c r="L1484" s="8"/>
    </row>
    <row r="1485" customFormat="false" ht="15.75" hidden="false" customHeight="true" outlineLevel="0" collapsed="false">
      <c r="A1485" s="7" t="n">
        <v>45769</v>
      </c>
      <c r="B1485" s="8" t="s">
        <v>34</v>
      </c>
      <c r="C1485" s="9" t="n">
        <v>150</v>
      </c>
      <c r="D1485" s="8" t="s">
        <v>45</v>
      </c>
      <c r="E1485" s="10" t="s">
        <v>285</v>
      </c>
      <c r="F1485" s="8" t="str">
        <f aca="false">TEXT(A1485,"MM-YYYY")</f>
        <v>04-2025</v>
      </c>
      <c r="G1485" s="8" t="s">
        <v>14</v>
      </c>
      <c r="H1485" s="8" t="s">
        <v>232</v>
      </c>
      <c r="I1485" s="7" t="n">
        <v>45769</v>
      </c>
      <c r="J1485" s="8" t="str">
        <f aca="false">VLOOKUP(B1485,Table3[#All],2,0)</f>
        <v>Staff Expenses</v>
      </c>
      <c r="K1485" s="8" t="str">
        <f aca="false">TEXT(ROW(), "0000")</f>
        <v>1485</v>
      </c>
      <c r="L1485" s="8"/>
    </row>
    <row r="1486" customFormat="false" ht="15.75" hidden="false" customHeight="true" outlineLevel="0" collapsed="false">
      <c r="A1486" s="7" t="n">
        <v>45769</v>
      </c>
      <c r="B1486" s="8" t="s">
        <v>29</v>
      </c>
      <c r="C1486" s="9" t="n">
        <v>30</v>
      </c>
      <c r="D1486" s="8" t="s">
        <v>21</v>
      </c>
      <c r="E1486" s="10" t="s">
        <v>194</v>
      </c>
      <c r="F1486" s="8" t="str">
        <f aca="false">TEXT(A1486,"MM-YYYY")</f>
        <v>04-2025</v>
      </c>
      <c r="G1486" s="8" t="s">
        <v>14</v>
      </c>
      <c r="H1486" s="8" t="s">
        <v>232</v>
      </c>
      <c r="I1486" s="7" t="n">
        <v>45769</v>
      </c>
      <c r="J1486" s="8" t="str">
        <f aca="false">VLOOKUP(B1486,Table3[#All],2,0)</f>
        <v>Inventory</v>
      </c>
      <c r="K1486" s="8" t="str">
        <f aca="false">TEXT(ROW(), "0000")</f>
        <v>1486</v>
      </c>
      <c r="L1486" s="8"/>
    </row>
    <row r="1487" customFormat="false" ht="15.75" hidden="false" customHeight="true" outlineLevel="0" collapsed="false">
      <c r="A1487" s="7" t="n">
        <v>45769</v>
      </c>
      <c r="B1487" s="8" t="s">
        <v>29</v>
      </c>
      <c r="C1487" s="9" t="n">
        <v>439</v>
      </c>
      <c r="D1487" s="8" t="s">
        <v>13</v>
      </c>
      <c r="E1487" s="10" t="s">
        <v>231</v>
      </c>
      <c r="F1487" s="8" t="str">
        <f aca="false">TEXT(A1487,"MM-YYYY")</f>
        <v>04-2025</v>
      </c>
      <c r="G1487" s="8" t="s">
        <v>14</v>
      </c>
      <c r="H1487" s="8" t="s">
        <v>13</v>
      </c>
      <c r="I1487" s="7" t="n">
        <v>45790</v>
      </c>
      <c r="J1487" s="8" t="str">
        <f aca="false">VLOOKUP(B1487,Table3[#All],2,0)</f>
        <v>Inventory</v>
      </c>
      <c r="K1487" s="8" t="str">
        <f aca="false">TEXT(ROW(), "0000")</f>
        <v>1487</v>
      </c>
      <c r="L1487" s="8"/>
    </row>
    <row r="1488" customFormat="false" ht="15.75" hidden="false" customHeight="true" outlineLevel="0" collapsed="false">
      <c r="A1488" s="7" t="n">
        <v>45770</v>
      </c>
      <c r="B1488" s="8" t="s">
        <v>29</v>
      </c>
      <c r="C1488" s="9" t="n">
        <v>183</v>
      </c>
      <c r="D1488" s="8" t="s">
        <v>13</v>
      </c>
      <c r="E1488" s="10" t="s">
        <v>231</v>
      </c>
      <c r="F1488" s="8" t="str">
        <f aca="false">TEXT(A1488,"MM-YYYY")</f>
        <v>04-2025</v>
      </c>
      <c r="G1488" s="8" t="s">
        <v>14</v>
      </c>
      <c r="H1488" s="8" t="s">
        <v>13</v>
      </c>
      <c r="I1488" s="7" t="n">
        <v>45790</v>
      </c>
      <c r="J1488" s="8" t="str">
        <f aca="false">VLOOKUP(B1488,Table3[#All],2,0)</f>
        <v>Inventory</v>
      </c>
      <c r="K1488" s="8" t="str">
        <f aca="false">TEXT(ROW(), "0000")</f>
        <v>1488</v>
      </c>
      <c r="L1488" s="8"/>
    </row>
    <row r="1489" customFormat="false" ht="15.75" hidden="false" customHeight="true" outlineLevel="0" collapsed="false">
      <c r="A1489" s="7" t="n">
        <v>45770</v>
      </c>
      <c r="B1489" s="8" t="s">
        <v>25</v>
      </c>
      <c r="C1489" s="9" t="n">
        <v>621</v>
      </c>
      <c r="D1489" s="8" t="s">
        <v>13</v>
      </c>
      <c r="E1489" s="10" t="s">
        <v>26</v>
      </c>
      <c r="F1489" s="8" t="str">
        <f aca="false">TEXT(A1489,"MM-YYYY")</f>
        <v>04-2025</v>
      </c>
      <c r="G1489" s="8" t="s">
        <v>14</v>
      </c>
      <c r="H1489" s="8" t="s">
        <v>13</v>
      </c>
      <c r="I1489" s="7" t="n">
        <v>45790</v>
      </c>
      <c r="J1489" s="8" t="str">
        <f aca="false">VLOOKUP(B1489,Table3[#All],2,0)</f>
        <v>Inventory</v>
      </c>
      <c r="K1489" s="8" t="str">
        <f aca="false">TEXT(ROW(), "0000")</f>
        <v>1489</v>
      </c>
      <c r="L1489" s="8"/>
    </row>
    <row r="1490" customFormat="false" ht="15.75" hidden="false" customHeight="true" outlineLevel="0" collapsed="false">
      <c r="A1490" s="7" t="n">
        <v>45770</v>
      </c>
      <c r="B1490" s="8" t="s">
        <v>19</v>
      </c>
      <c r="C1490" s="9" t="n">
        <v>1140</v>
      </c>
      <c r="D1490" s="8" t="s">
        <v>13</v>
      </c>
      <c r="E1490" s="10" t="s">
        <v>20</v>
      </c>
      <c r="F1490" s="8" t="str">
        <f aca="false">TEXT(A1490,"MM-YYYY")</f>
        <v>04-2025</v>
      </c>
      <c r="G1490" s="8" t="s">
        <v>14</v>
      </c>
      <c r="H1490" s="8" t="s">
        <v>13</v>
      </c>
      <c r="I1490" s="7" t="n">
        <v>45774</v>
      </c>
      <c r="J1490" s="8" t="str">
        <f aca="false">VLOOKUP(B1490,Table3[#All],2,0)</f>
        <v>Inventory</v>
      </c>
      <c r="K1490" s="8" t="str">
        <f aca="false">TEXT(ROW(), "0000")</f>
        <v>1490</v>
      </c>
      <c r="L1490" s="8"/>
    </row>
    <row r="1491" customFormat="false" ht="15.75" hidden="false" customHeight="true" outlineLevel="0" collapsed="false">
      <c r="A1491" s="7" t="n">
        <v>45770</v>
      </c>
      <c r="B1491" s="8" t="s">
        <v>47</v>
      </c>
      <c r="C1491" s="9" t="n">
        <v>840</v>
      </c>
      <c r="D1491" s="8" t="s">
        <v>13</v>
      </c>
      <c r="E1491" s="10" t="s">
        <v>223</v>
      </c>
      <c r="F1491" s="8" t="str">
        <f aca="false">TEXT(A1491,"MM-YYYY")</f>
        <v>04-2025</v>
      </c>
      <c r="G1491" s="8" t="s">
        <v>14</v>
      </c>
      <c r="H1491" s="8" t="s">
        <v>13</v>
      </c>
      <c r="I1491" s="7" t="n">
        <v>45787</v>
      </c>
      <c r="J1491" s="8" t="str">
        <f aca="false">VLOOKUP(B1491,Table3[#All],2,0)</f>
        <v>Inventory</v>
      </c>
      <c r="K1491" s="8" t="str">
        <f aca="false">TEXT(ROW(), "0000")</f>
        <v>1491</v>
      </c>
      <c r="L1491" s="8"/>
    </row>
    <row r="1492" customFormat="false" ht="15.75" hidden="false" customHeight="true" outlineLevel="0" collapsed="false">
      <c r="A1492" s="7" t="n">
        <v>45770</v>
      </c>
      <c r="B1492" s="8" t="s">
        <v>22</v>
      </c>
      <c r="C1492" s="9" t="n">
        <v>334</v>
      </c>
      <c r="D1492" s="8" t="s">
        <v>13</v>
      </c>
      <c r="E1492" s="10" t="s">
        <v>23</v>
      </c>
      <c r="F1492" s="8" t="str">
        <f aca="false">TEXT(A1492,"MM-YYYY")</f>
        <v>04-2025</v>
      </c>
      <c r="G1492" s="8" t="s">
        <v>14</v>
      </c>
      <c r="H1492" s="8" t="s">
        <v>13</v>
      </c>
      <c r="I1492" s="7" t="n">
        <v>45775</v>
      </c>
      <c r="J1492" s="8" t="str">
        <f aca="false">VLOOKUP(B1492,Table3[#All],2,0)</f>
        <v>Inventory</v>
      </c>
      <c r="K1492" s="8" t="str">
        <f aca="false">TEXT(ROW(), "0000")</f>
        <v>1492</v>
      </c>
      <c r="L1492" s="8"/>
    </row>
    <row r="1493" customFormat="false" ht="15.75" hidden="false" customHeight="true" outlineLevel="0" collapsed="false">
      <c r="A1493" s="7" t="n">
        <v>45770</v>
      </c>
      <c r="B1493" s="8" t="s">
        <v>32</v>
      </c>
      <c r="C1493" s="9" t="n">
        <v>350</v>
      </c>
      <c r="D1493" s="8" t="s">
        <v>21</v>
      </c>
      <c r="E1493" s="10" t="s">
        <v>38</v>
      </c>
      <c r="F1493" s="8" t="str">
        <f aca="false">TEXT(A1493,"MM-YYYY")</f>
        <v>04-2025</v>
      </c>
      <c r="G1493" s="8" t="s">
        <v>14</v>
      </c>
      <c r="H1493" s="8" t="s">
        <v>15</v>
      </c>
      <c r="I1493" s="7" t="n">
        <v>45770</v>
      </c>
      <c r="J1493" s="8" t="str">
        <f aca="false">VLOOKUP(B1493,Table3[#All],2,0)</f>
        <v>Grocery</v>
      </c>
      <c r="K1493" s="8" t="str">
        <f aca="false">TEXT(ROW(), "0000")</f>
        <v>1493</v>
      </c>
      <c r="L1493" s="8"/>
    </row>
    <row r="1494" customFormat="false" ht="15.75" hidden="false" customHeight="true" outlineLevel="0" collapsed="false">
      <c r="A1494" s="7" t="n">
        <v>45770</v>
      </c>
      <c r="B1494" s="8" t="s">
        <v>44</v>
      </c>
      <c r="C1494" s="9" t="n">
        <v>1000</v>
      </c>
      <c r="D1494" s="8" t="s">
        <v>45</v>
      </c>
      <c r="E1494" s="10" t="s">
        <v>204</v>
      </c>
      <c r="F1494" s="8" t="str">
        <f aca="false">TEXT(A1494,"MM-YYYY")</f>
        <v>04-2025</v>
      </c>
      <c r="G1494" s="8" t="s">
        <v>14</v>
      </c>
      <c r="H1494" s="8" t="s">
        <v>232</v>
      </c>
      <c r="I1494" s="7" t="n">
        <v>45770</v>
      </c>
      <c r="J1494" s="8" t="str">
        <f aca="false">VLOOKUP(B1494,Table3[#All],2,0)</f>
        <v>Salary</v>
      </c>
      <c r="K1494" s="8" t="str">
        <f aca="false">TEXT(ROW(), "0000")</f>
        <v>1494</v>
      </c>
      <c r="L1494" s="8"/>
    </row>
    <row r="1495" customFormat="false" ht="15.75" hidden="false" customHeight="true" outlineLevel="0" collapsed="false">
      <c r="A1495" s="7" t="n">
        <v>45770</v>
      </c>
      <c r="B1495" s="8" t="s">
        <v>53</v>
      </c>
      <c r="C1495" s="9" t="n">
        <v>1950</v>
      </c>
      <c r="D1495" s="8" t="s">
        <v>45</v>
      </c>
      <c r="E1495" s="10" t="s">
        <v>54</v>
      </c>
      <c r="F1495" s="8" t="str">
        <f aca="false">TEXT(A1495,"MM-YYYY")</f>
        <v>04-2025</v>
      </c>
      <c r="G1495" s="8" t="s">
        <v>14</v>
      </c>
      <c r="H1495" s="8" t="s">
        <v>232</v>
      </c>
      <c r="I1495" s="7" t="n">
        <v>45770</v>
      </c>
      <c r="J1495" s="8" t="str">
        <f aca="false">VLOOKUP(B1495,Table3[#All],2,0)</f>
        <v>Grocery</v>
      </c>
      <c r="K1495" s="8" t="str">
        <f aca="false">TEXT(ROW(), "0000")</f>
        <v>1495</v>
      </c>
      <c r="L1495" s="8"/>
    </row>
    <row r="1496" customFormat="false" ht="15.75" hidden="false" customHeight="true" outlineLevel="0" collapsed="false">
      <c r="A1496" s="7" t="n">
        <v>45770</v>
      </c>
      <c r="B1496" s="8" t="s">
        <v>29</v>
      </c>
      <c r="C1496" s="9" t="n">
        <v>30</v>
      </c>
      <c r="D1496" s="8" t="s">
        <v>21</v>
      </c>
      <c r="E1496" s="10" t="s">
        <v>194</v>
      </c>
      <c r="F1496" s="8" t="str">
        <f aca="false">TEXT(A1496,"MM-YYYY")</f>
        <v>04-2025</v>
      </c>
      <c r="G1496" s="8" t="s">
        <v>14</v>
      </c>
      <c r="H1496" s="8" t="s">
        <v>15</v>
      </c>
      <c r="I1496" s="7" t="n">
        <v>45770</v>
      </c>
      <c r="J1496" s="8" t="str">
        <f aca="false">VLOOKUP(B1496,Table3[#All],2,0)</f>
        <v>Inventory</v>
      </c>
      <c r="K1496" s="8" t="str">
        <f aca="false">TEXT(ROW(), "0000")</f>
        <v>1496</v>
      </c>
      <c r="L1496" s="8"/>
    </row>
    <row r="1497" customFormat="false" ht="15.75" hidden="false" customHeight="true" outlineLevel="0" collapsed="false">
      <c r="A1497" s="7" t="n">
        <v>45770</v>
      </c>
      <c r="B1497" s="8" t="s">
        <v>44</v>
      </c>
      <c r="C1497" s="9" t="n">
        <v>516</v>
      </c>
      <c r="D1497" s="8" t="s">
        <v>13</v>
      </c>
      <c r="E1497" s="10" t="s">
        <v>286</v>
      </c>
      <c r="F1497" s="8" t="str">
        <f aca="false">TEXT(A1497,"MM-YYYY")</f>
        <v>04-2025</v>
      </c>
      <c r="G1497" s="8" t="s">
        <v>14</v>
      </c>
      <c r="H1497" s="8" t="s">
        <v>13</v>
      </c>
      <c r="I1497" s="7" t="n">
        <v>45770</v>
      </c>
      <c r="J1497" s="8" t="str">
        <f aca="false">VLOOKUP(B1497,Table3[#All],2,0)</f>
        <v>Salary</v>
      </c>
      <c r="K1497" s="8" t="str">
        <f aca="false">TEXT(ROW(), "0000")</f>
        <v>1497</v>
      </c>
      <c r="L1497" s="8"/>
    </row>
    <row r="1498" customFormat="false" ht="15.75" hidden="false" customHeight="true" outlineLevel="0" collapsed="false">
      <c r="A1498" s="7" t="n">
        <v>45770</v>
      </c>
      <c r="B1498" s="8" t="s">
        <v>31</v>
      </c>
      <c r="C1498" s="9" t="n">
        <v>415</v>
      </c>
      <c r="D1498" s="8" t="s">
        <v>45</v>
      </c>
      <c r="E1498" s="10" t="s">
        <v>234</v>
      </c>
      <c r="F1498" s="8" t="str">
        <f aca="false">TEXT(A1498,"MM-YYYY")</f>
        <v>04-2025</v>
      </c>
      <c r="G1498" s="8" t="s">
        <v>14</v>
      </c>
      <c r="H1498" s="8" t="s">
        <v>232</v>
      </c>
      <c r="I1498" s="7" t="n">
        <v>45770</v>
      </c>
      <c r="J1498" s="8" t="str">
        <f aca="false">VLOOKUP(B1498,Table3[#All],2,0)</f>
        <v>Bike Maintance</v>
      </c>
      <c r="K1498" s="8" t="str">
        <f aca="false">TEXT(ROW(), "0000")</f>
        <v>1498</v>
      </c>
      <c r="L1498" s="8"/>
    </row>
    <row r="1499" customFormat="false" ht="15.75" hidden="false" customHeight="true" outlineLevel="0" collapsed="false">
      <c r="A1499" s="7" t="n">
        <v>45770</v>
      </c>
      <c r="B1499" s="8" t="s">
        <v>56</v>
      </c>
      <c r="C1499" s="9" t="n">
        <v>790</v>
      </c>
      <c r="D1499" s="8" t="s">
        <v>45</v>
      </c>
      <c r="E1499" s="10" t="s">
        <v>287</v>
      </c>
      <c r="F1499" s="8" t="str">
        <f aca="false">TEXT(A1499,"MM-YYYY")</f>
        <v>04-2025</v>
      </c>
      <c r="G1499" s="8" t="s">
        <v>14</v>
      </c>
      <c r="H1499" s="8" t="s">
        <v>232</v>
      </c>
      <c r="I1499" s="7" t="n">
        <v>45770</v>
      </c>
      <c r="J1499" s="8" t="str">
        <f aca="false">VLOOKUP(B1499,Table3[#All],2,0)</f>
        <v>New Inventory</v>
      </c>
      <c r="K1499" s="8" t="str">
        <f aca="false">TEXT(ROW(), "0000")</f>
        <v>1499</v>
      </c>
      <c r="L1499" s="8"/>
    </row>
    <row r="1500" customFormat="false" ht="15.75" hidden="false" customHeight="true" outlineLevel="0" collapsed="false">
      <c r="A1500" s="7" t="n">
        <v>45770</v>
      </c>
      <c r="B1500" s="8" t="s">
        <v>34</v>
      </c>
      <c r="C1500" s="9" t="n">
        <v>185</v>
      </c>
      <c r="D1500" s="8" t="s">
        <v>45</v>
      </c>
      <c r="E1500" s="10" t="s">
        <v>267</v>
      </c>
      <c r="F1500" s="8" t="str">
        <f aca="false">TEXT(A1500,"MM-YYYY")</f>
        <v>04-2025</v>
      </c>
      <c r="G1500" s="8" t="s">
        <v>14</v>
      </c>
      <c r="H1500" s="8" t="s">
        <v>232</v>
      </c>
      <c r="I1500" s="7" t="n">
        <v>45770</v>
      </c>
      <c r="J1500" s="8" t="str">
        <f aca="false">VLOOKUP(B1500,Table3[#All],2,0)</f>
        <v>Staff Expenses</v>
      </c>
      <c r="K1500" s="8" t="str">
        <f aca="false">TEXT(ROW(), "0000")</f>
        <v>1500</v>
      </c>
      <c r="L1500" s="8"/>
    </row>
    <row r="1501" customFormat="false" ht="15.75" hidden="false" customHeight="true" outlineLevel="0" collapsed="false">
      <c r="A1501" s="7" t="n">
        <v>45770</v>
      </c>
      <c r="B1501" s="8" t="s">
        <v>16</v>
      </c>
      <c r="C1501" s="9" t="n">
        <v>2610</v>
      </c>
      <c r="D1501" s="8" t="s">
        <v>21</v>
      </c>
      <c r="E1501" s="10" t="s">
        <v>88</v>
      </c>
      <c r="F1501" s="8" t="str">
        <f aca="false">TEXT(A1501,"MM-YYYY")</f>
        <v>04-2025</v>
      </c>
      <c r="G1501" s="8"/>
      <c r="H1501" s="8"/>
      <c r="I1501" s="7"/>
      <c r="J1501" s="8" t="str">
        <f aca="false">VLOOKUP(B1501,Table3[#All],2,0)</f>
        <v>Sales</v>
      </c>
      <c r="K1501" s="8" t="str">
        <f aca="false">TEXT(ROW(), "0000")</f>
        <v>1501</v>
      </c>
      <c r="L1501" s="8"/>
    </row>
    <row r="1502" customFormat="false" ht="15.75" hidden="false" customHeight="true" outlineLevel="0" collapsed="false">
      <c r="A1502" s="7" t="n">
        <v>45770</v>
      </c>
      <c r="B1502" s="8" t="s">
        <v>16</v>
      </c>
      <c r="C1502" s="9" t="n">
        <v>935</v>
      </c>
      <c r="D1502" s="8" t="s">
        <v>27</v>
      </c>
      <c r="E1502" s="10" t="s">
        <v>88</v>
      </c>
      <c r="F1502" s="8" t="str">
        <f aca="false">TEXT(A1502,"MM-YYYY")</f>
        <v>04-2025</v>
      </c>
      <c r="G1502" s="8"/>
      <c r="H1502" s="8"/>
      <c r="I1502" s="7"/>
      <c r="J1502" s="8" t="str">
        <f aca="false">VLOOKUP(B1502,Table3[#All],2,0)</f>
        <v>Sales</v>
      </c>
      <c r="K1502" s="8" t="str">
        <f aca="false">TEXT(ROW(), "0000")</f>
        <v>1502</v>
      </c>
      <c r="L1502" s="8"/>
    </row>
    <row r="1503" customFormat="false" ht="15.75" hidden="false" customHeight="true" outlineLevel="0" collapsed="false">
      <c r="A1503" s="7" t="n">
        <v>45770</v>
      </c>
      <c r="B1503" s="8" t="s">
        <v>16</v>
      </c>
      <c r="C1503" s="9" t="n">
        <v>520</v>
      </c>
      <c r="D1503" s="8" t="s">
        <v>33</v>
      </c>
      <c r="E1503" s="10" t="s">
        <v>88</v>
      </c>
      <c r="F1503" s="8" t="str">
        <f aca="false">TEXT(A1503,"MM-YYYY")</f>
        <v>04-2025</v>
      </c>
      <c r="G1503" s="8"/>
      <c r="H1503" s="8"/>
      <c r="I1503" s="7"/>
      <c r="J1503" s="8" t="str">
        <f aca="false">VLOOKUP(B1503,Table3[#All],2,0)</f>
        <v>Sales</v>
      </c>
      <c r="K1503" s="8" t="str">
        <f aca="false">TEXT(ROW(), "0000")</f>
        <v>1503</v>
      </c>
      <c r="L1503" s="8"/>
    </row>
    <row r="1504" customFormat="false" ht="15.75" hidden="false" customHeight="true" outlineLevel="0" collapsed="false">
      <c r="A1504" s="7" t="n">
        <v>45770</v>
      </c>
      <c r="B1504" s="8" t="s">
        <v>16</v>
      </c>
      <c r="C1504" s="9" t="n">
        <v>10840</v>
      </c>
      <c r="D1504" s="8" t="s">
        <v>17</v>
      </c>
      <c r="E1504" s="10" t="s">
        <v>88</v>
      </c>
      <c r="F1504" s="8" t="str">
        <f aca="false">TEXT(A1504,"MM-YYYY")</f>
        <v>04-2025</v>
      </c>
      <c r="G1504" s="8"/>
      <c r="H1504" s="8"/>
      <c r="I1504" s="7"/>
      <c r="J1504" s="8" t="str">
        <f aca="false">VLOOKUP(B1504,Table3[#All],2,0)</f>
        <v>Sales</v>
      </c>
      <c r="K1504" s="8" t="str">
        <f aca="false">TEXT(ROW(), "0000")</f>
        <v>1504</v>
      </c>
      <c r="L1504" s="8"/>
    </row>
    <row r="1505" customFormat="false" ht="15.75" hidden="false" customHeight="true" outlineLevel="0" collapsed="false">
      <c r="A1505" s="7" t="n">
        <v>45770</v>
      </c>
      <c r="B1505" s="8" t="s">
        <v>16</v>
      </c>
      <c r="C1505" s="9" t="n">
        <v>1192</v>
      </c>
      <c r="D1505" s="8" t="s">
        <v>24</v>
      </c>
      <c r="E1505" s="10" t="s">
        <v>217</v>
      </c>
      <c r="F1505" s="8" t="str">
        <f aca="false">TEXT(A1505,"MM-YYYY")</f>
        <v>04-2025</v>
      </c>
      <c r="G1505" s="8"/>
      <c r="H1505" s="8"/>
      <c r="I1505" s="7"/>
      <c r="J1505" s="8" t="str">
        <f aca="false">VLOOKUP(B1505,Table3[#All],2,0)</f>
        <v>Sales</v>
      </c>
      <c r="K1505" s="8" t="str">
        <f aca="false">TEXT(ROW(), "0000")</f>
        <v>1505</v>
      </c>
      <c r="L1505" s="8"/>
    </row>
    <row r="1506" customFormat="false" ht="15.75" hidden="false" customHeight="true" outlineLevel="0" collapsed="false">
      <c r="A1506" s="7" t="n">
        <v>45770</v>
      </c>
      <c r="B1506" s="8" t="s">
        <v>37</v>
      </c>
      <c r="C1506" s="9" t="n">
        <v>10</v>
      </c>
      <c r="D1506" s="8" t="s">
        <v>21</v>
      </c>
      <c r="E1506" s="10" t="s">
        <v>37</v>
      </c>
      <c r="F1506" s="8" t="str">
        <f aca="false">TEXT(A1506,"MM-YYYY")</f>
        <v>04-2025</v>
      </c>
      <c r="G1506" s="8" t="s">
        <v>14</v>
      </c>
      <c r="H1506" s="8" t="s">
        <v>15</v>
      </c>
      <c r="I1506" s="7" t="n">
        <v>45770</v>
      </c>
      <c r="J1506" s="8" t="str">
        <f aca="false">VLOOKUP(B1506,Table3[#All],2,0)</f>
        <v>Maintance</v>
      </c>
      <c r="K1506" s="8" t="str">
        <f aca="false">TEXT(ROW(), "0000")</f>
        <v>1506</v>
      </c>
      <c r="L1506" s="8"/>
    </row>
    <row r="1507" customFormat="false" ht="15.75" hidden="false" customHeight="true" outlineLevel="0" collapsed="false">
      <c r="A1507" s="7" t="n">
        <v>45771</v>
      </c>
      <c r="B1507" s="8" t="s">
        <v>25</v>
      </c>
      <c r="C1507" s="9" t="n">
        <v>446</v>
      </c>
      <c r="D1507" s="8" t="s">
        <v>13</v>
      </c>
      <c r="E1507" s="10" t="s">
        <v>26</v>
      </c>
      <c r="F1507" s="8" t="str">
        <f aca="false">TEXT(A1507,"MM-YYYY")</f>
        <v>04-2025</v>
      </c>
      <c r="G1507" s="8" t="s">
        <v>14</v>
      </c>
      <c r="H1507" s="8" t="s">
        <v>13</v>
      </c>
      <c r="I1507" s="7" t="n">
        <v>45790</v>
      </c>
      <c r="J1507" s="8" t="str">
        <f aca="false">VLOOKUP(B1507,Table3[#All],2,0)</f>
        <v>Inventory</v>
      </c>
      <c r="K1507" s="8" t="str">
        <f aca="false">TEXT(ROW(), "0000")</f>
        <v>1507</v>
      </c>
      <c r="L1507" s="8"/>
    </row>
    <row r="1508" customFormat="false" ht="15.75" hidden="false" customHeight="true" outlineLevel="0" collapsed="false">
      <c r="A1508" s="7" t="n">
        <v>45771</v>
      </c>
      <c r="B1508" s="8" t="s">
        <v>19</v>
      </c>
      <c r="C1508" s="9" t="n">
        <v>2232</v>
      </c>
      <c r="D1508" s="8" t="s">
        <v>13</v>
      </c>
      <c r="E1508" s="10" t="s">
        <v>20</v>
      </c>
      <c r="F1508" s="8" t="str">
        <f aca="false">TEXT(A1508,"MM-YYYY")</f>
        <v>04-2025</v>
      </c>
      <c r="G1508" s="8" t="s">
        <v>14</v>
      </c>
      <c r="H1508" s="8" t="s">
        <v>13</v>
      </c>
      <c r="I1508" s="7" t="n">
        <v>45774</v>
      </c>
      <c r="J1508" s="8" t="str">
        <f aca="false">VLOOKUP(B1508,Table3[#All],2,0)</f>
        <v>Inventory</v>
      </c>
      <c r="K1508" s="8" t="str">
        <f aca="false">TEXT(ROW(), "0000")</f>
        <v>1508</v>
      </c>
      <c r="L1508" s="8"/>
    </row>
    <row r="1509" customFormat="false" ht="15.75" hidden="false" customHeight="true" outlineLevel="0" collapsed="false">
      <c r="A1509" s="7" t="n">
        <v>45771</v>
      </c>
      <c r="B1509" s="8" t="s">
        <v>22</v>
      </c>
      <c r="C1509" s="9" t="n">
        <v>905</v>
      </c>
      <c r="D1509" s="8" t="s">
        <v>13</v>
      </c>
      <c r="E1509" s="10" t="s">
        <v>23</v>
      </c>
      <c r="F1509" s="8" t="str">
        <f aca="false">TEXT(A1509,"MM-YYYY")</f>
        <v>04-2025</v>
      </c>
      <c r="G1509" s="8" t="s">
        <v>14</v>
      </c>
      <c r="H1509" s="8" t="s">
        <v>13</v>
      </c>
      <c r="I1509" s="7" t="n">
        <v>45775</v>
      </c>
      <c r="J1509" s="8" t="str">
        <f aca="false">VLOOKUP(B1509,Table3[#All],2,0)</f>
        <v>Inventory</v>
      </c>
      <c r="K1509" s="8" t="str">
        <f aca="false">TEXT(ROW(), "0000")</f>
        <v>1509</v>
      </c>
      <c r="L1509" s="8"/>
    </row>
    <row r="1510" customFormat="false" ht="15.75" hidden="false" customHeight="true" outlineLevel="0" collapsed="false">
      <c r="A1510" s="7" t="n">
        <v>45771</v>
      </c>
      <c r="B1510" s="8" t="s">
        <v>40</v>
      </c>
      <c r="C1510" s="9" t="n">
        <v>1480</v>
      </c>
      <c r="D1510" s="8" t="s">
        <v>45</v>
      </c>
      <c r="E1510" s="10" t="s">
        <v>46</v>
      </c>
      <c r="F1510" s="8" t="str">
        <f aca="false">TEXT(A1510,"MM-YYYY")</f>
        <v>04-2025</v>
      </c>
      <c r="G1510" s="8" t="s">
        <v>14</v>
      </c>
      <c r="H1510" s="8" t="s">
        <v>232</v>
      </c>
      <c r="I1510" s="7" t="n">
        <v>45771</v>
      </c>
      <c r="J1510" s="8" t="str">
        <f aca="false">VLOOKUP(B1510,Table3[#All],2,0)</f>
        <v>Inventory</v>
      </c>
      <c r="K1510" s="8" t="str">
        <f aca="false">TEXT(ROW(), "0000")</f>
        <v>1510</v>
      </c>
      <c r="L1510" s="8"/>
    </row>
    <row r="1511" customFormat="false" ht="15.75" hidden="false" customHeight="true" outlineLevel="0" collapsed="false">
      <c r="A1511" s="7" t="n">
        <v>45771</v>
      </c>
      <c r="B1511" s="8" t="s">
        <v>32</v>
      </c>
      <c r="C1511" s="9" t="n">
        <v>105</v>
      </c>
      <c r="D1511" s="8" t="s">
        <v>21</v>
      </c>
      <c r="E1511" s="10" t="s">
        <v>38</v>
      </c>
      <c r="F1511" s="8" t="str">
        <f aca="false">TEXT(A1511,"MM-YYYY")</f>
        <v>04-2025</v>
      </c>
      <c r="G1511" s="8" t="s">
        <v>14</v>
      </c>
      <c r="H1511" s="8" t="s">
        <v>15</v>
      </c>
      <c r="I1511" s="7" t="n">
        <v>45771</v>
      </c>
      <c r="J1511" s="8" t="str">
        <f aca="false">VLOOKUP(B1511,Table3[#All],2,0)</f>
        <v>Grocery</v>
      </c>
      <c r="K1511" s="8" t="str">
        <f aca="false">TEXT(ROW(), "0000")</f>
        <v>1511</v>
      </c>
      <c r="L1511" s="8"/>
    </row>
    <row r="1512" customFormat="false" ht="15.75" hidden="false" customHeight="true" outlineLevel="0" collapsed="false">
      <c r="A1512" s="7" t="n">
        <v>45771</v>
      </c>
      <c r="B1512" s="8" t="s">
        <v>29</v>
      </c>
      <c r="C1512" s="9" t="n">
        <v>222</v>
      </c>
      <c r="D1512" s="8" t="s">
        <v>13</v>
      </c>
      <c r="E1512" s="10" t="s">
        <v>231</v>
      </c>
      <c r="F1512" s="8" t="str">
        <f aca="false">TEXT(A1512,"MM-YYYY")</f>
        <v>04-2025</v>
      </c>
      <c r="G1512" s="8" t="s">
        <v>14</v>
      </c>
      <c r="H1512" s="8" t="s">
        <v>13</v>
      </c>
      <c r="I1512" s="7" t="n">
        <v>45790</v>
      </c>
      <c r="J1512" s="8" t="str">
        <f aca="false">VLOOKUP(B1512,Table3[#All],2,0)</f>
        <v>Inventory</v>
      </c>
      <c r="K1512" s="8" t="str">
        <f aca="false">TEXT(ROW(), "0000")</f>
        <v>1512</v>
      </c>
      <c r="L1512" s="8"/>
    </row>
    <row r="1513" customFormat="false" ht="15.75" hidden="false" customHeight="true" outlineLevel="0" collapsed="false">
      <c r="A1513" s="7" t="n">
        <v>45771</v>
      </c>
      <c r="B1513" s="8" t="s">
        <v>16</v>
      </c>
      <c r="C1513" s="9" t="n">
        <v>1415</v>
      </c>
      <c r="D1513" s="8" t="s">
        <v>21</v>
      </c>
      <c r="E1513" s="10" t="s">
        <v>88</v>
      </c>
      <c r="F1513" s="8" t="str">
        <f aca="false">TEXT(A1513,"MM-YYYY")</f>
        <v>04-2025</v>
      </c>
      <c r="G1513" s="8"/>
      <c r="H1513" s="8"/>
      <c r="I1513" s="7"/>
      <c r="J1513" s="8" t="str">
        <f aca="false">VLOOKUP(B1513,Table3[#All],2,0)</f>
        <v>Sales</v>
      </c>
      <c r="K1513" s="8" t="str">
        <f aca="false">TEXT(ROW(), "0000")</f>
        <v>1513</v>
      </c>
      <c r="L1513" s="8"/>
    </row>
    <row r="1514" customFormat="false" ht="15.75" hidden="false" customHeight="true" outlineLevel="0" collapsed="false">
      <c r="A1514" s="7" t="n">
        <v>45771</v>
      </c>
      <c r="B1514" s="8" t="s">
        <v>16</v>
      </c>
      <c r="C1514" s="9" t="n">
        <v>210</v>
      </c>
      <c r="D1514" s="8" t="s">
        <v>27</v>
      </c>
      <c r="E1514" s="10" t="s">
        <v>88</v>
      </c>
      <c r="F1514" s="8" t="str">
        <f aca="false">TEXT(A1514,"MM-YYYY")</f>
        <v>04-2025</v>
      </c>
      <c r="G1514" s="8"/>
      <c r="H1514" s="8"/>
      <c r="I1514" s="7"/>
      <c r="J1514" s="8" t="str">
        <f aca="false">VLOOKUP(B1514,Table3[#All],2,0)</f>
        <v>Sales</v>
      </c>
      <c r="K1514" s="8" t="str">
        <f aca="false">TEXT(ROW(), "0000")</f>
        <v>1514</v>
      </c>
      <c r="L1514" s="8"/>
    </row>
    <row r="1515" customFormat="false" ht="15.75" hidden="false" customHeight="true" outlineLevel="0" collapsed="false">
      <c r="A1515" s="7" t="n">
        <v>45771</v>
      </c>
      <c r="B1515" s="8" t="s">
        <v>16</v>
      </c>
      <c r="C1515" s="9" t="n">
        <v>9193</v>
      </c>
      <c r="D1515" s="8" t="s">
        <v>17</v>
      </c>
      <c r="E1515" s="10" t="s">
        <v>88</v>
      </c>
      <c r="F1515" s="8" t="str">
        <f aca="false">TEXT(A1515,"MM-YYYY")</f>
        <v>04-2025</v>
      </c>
      <c r="G1515" s="8"/>
      <c r="H1515" s="8"/>
      <c r="I1515" s="7"/>
      <c r="J1515" s="8" t="str">
        <f aca="false">VLOOKUP(B1515,Table3[#All],2,0)</f>
        <v>Sales</v>
      </c>
      <c r="K1515" s="8" t="str">
        <f aca="false">TEXT(ROW(), "0000")</f>
        <v>1515</v>
      </c>
      <c r="L1515" s="8"/>
    </row>
    <row r="1516" customFormat="false" ht="15.75" hidden="false" customHeight="true" outlineLevel="0" collapsed="false">
      <c r="A1516" s="7" t="n">
        <v>45771</v>
      </c>
      <c r="B1516" s="8" t="s">
        <v>16</v>
      </c>
      <c r="C1516" s="9" t="n">
        <v>730</v>
      </c>
      <c r="D1516" s="8" t="s">
        <v>24</v>
      </c>
      <c r="E1516" s="10" t="s">
        <v>217</v>
      </c>
      <c r="F1516" s="8" t="str">
        <f aca="false">TEXT(A1516,"MM-YYYY")</f>
        <v>04-2025</v>
      </c>
      <c r="G1516" s="8"/>
      <c r="H1516" s="8"/>
      <c r="I1516" s="7"/>
      <c r="J1516" s="8" t="str">
        <f aca="false">VLOOKUP(B1516,Table3[#All],2,0)</f>
        <v>Sales</v>
      </c>
      <c r="K1516" s="8" t="str">
        <f aca="false">TEXT(ROW(), "0000")</f>
        <v>1516</v>
      </c>
      <c r="L1516" s="8"/>
    </row>
    <row r="1517" customFormat="false" ht="15.75" hidden="false" customHeight="true" outlineLevel="0" collapsed="false">
      <c r="A1517" s="7" t="n">
        <v>45771</v>
      </c>
      <c r="B1517" s="8" t="s">
        <v>34</v>
      </c>
      <c r="C1517" s="9" t="n">
        <v>150</v>
      </c>
      <c r="D1517" s="8" t="s">
        <v>45</v>
      </c>
      <c r="E1517" s="10" t="s">
        <v>267</v>
      </c>
      <c r="F1517" s="8" t="str">
        <f aca="false">TEXT(A1517,"MM-YYYY")</f>
        <v>04-2025</v>
      </c>
      <c r="G1517" s="8" t="s">
        <v>14</v>
      </c>
      <c r="H1517" s="8" t="s">
        <v>232</v>
      </c>
      <c r="I1517" s="7" t="n">
        <v>45771</v>
      </c>
      <c r="J1517" s="8" t="str">
        <f aca="false">VLOOKUP(B1517,Table3[#All],2,0)</f>
        <v>Staff Expenses</v>
      </c>
      <c r="K1517" s="8" t="str">
        <f aca="false">TEXT(ROW(), "0000")</f>
        <v>1517</v>
      </c>
      <c r="L1517" s="8"/>
    </row>
    <row r="1518" customFormat="false" ht="15.75" hidden="false" customHeight="true" outlineLevel="0" collapsed="false">
      <c r="A1518" s="7" t="n">
        <v>45771</v>
      </c>
      <c r="B1518" s="8" t="s">
        <v>37</v>
      </c>
      <c r="C1518" s="9" t="n">
        <v>10</v>
      </c>
      <c r="D1518" s="8" t="s">
        <v>21</v>
      </c>
      <c r="E1518" s="10" t="s">
        <v>37</v>
      </c>
      <c r="F1518" s="8" t="str">
        <f aca="false">TEXT(A1518,"MM-YYYY")</f>
        <v>04-2025</v>
      </c>
      <c r="G1518" s="8" t="s">
        <v>14</v>
      </c>
      <c r="H1518" s="8" t="s">
        <v>15</v>
      </c>
      <c r="I1518" s="7" t="n">
        <v>45771</v>
      </c>
      <c r="J1518" s="8" t="str">
        <f aca="false">VLOOKUP(B1518,Table3[#All],2,0)</f>
        <v>Maintance</v>
      </c>
      <c r="K1518" s="8" t="str">
        <f aca="false">TEXT(ROW(), "0000")</f>
        <v>1518</v>
      </c>
      <c r="L1518" s="8"/>
    </row>
    <row r="1519" customFormat="false" ht="15.75" hidden="false" customHeight="true" outlineLevel="0" collapsed="false">
      <c r="A1519" s="7" t="n">
        <v>45771</v>
      </c>
      <c r="B1519" s="8" t="s">
        <v>31</v>
      </c>
      <c r="C1519" s="9" t="n">
        <v>400</v>
      </c>
      <c r="D1519" s="8" t="s">
        <v>45</v>
      </c>
      <c r="E1519" s="10" t="s">
        <v>234</v>
      </c>
      <c r="F1519" s="8" t="str">
        <f aca="false">TEXT(A1519,"MM-YYYY")</f>
        <v>04-2025</v>
      </c>
      <c r="G1519" s="8" t="s">
        <v>14</v>
      </c>
      <c r="H1519" s="8" t="s">
        <v>232</v>
      </c>
      <c r="I1519" s="7" t="n">
        <v>45771</v>
      </c>
      <c r="J1519" s="8" t="str">
        <f aca="false">VLOOKUP(B1519,Table3[#All],2,0)</f>
        <v>Bike Maintance</v>
      </c>
      <c r="K1519" s="8" t="str">
        <f aca="false">TEXT(ROW(), "0000")</f>
        <v>1519</v>
      </c>
      <c r="L1519" s="8"/>
    </row>
    <row r="1520" customFormat="false" ht="15.75" hidden="false" customHeight="true" outlineLevel="0" collapsed="false">
      <c r="A1520" s="7" t="n">
        <v>45772</v>
      </c>
      <c r="B1520" s="8" t="s">
        <v>19</v>
      </c>
      <c r="C1520" s="9" t="n">
        <v>1712</v>
      </c>
      <c r="D1520" s="8" t="s">
        <v>13</v>
      </c>
      <c r="E1520" s="10" t="s">
        <v>20</v>
      </c>
      <c r="F1520" s="8" t="str">
        <f aca="false">TEXT(A1520,"MM-YYYY")</f>
        <v>04-2025</v>
      </c>
      <c r="G1520" s="8" t="s">
        <v>14</v>
      </c>
      <c r="H1520" s="8" t="s">
        <v>13</v>
      </c>
      <c r="I1520" s="7" t="n">
        <v>45779</v>
      </c>
      <c r="J1520" s="8" t="str">
        <f aca="false">VLOOKUP(B1520,Table3[#All],2,0)</f>
        <v>Inventory</v>
      </c>
      <c r="K1520" s="8" t="str">
        <f aca="false">TEXT(ROW(), "0000")</f>
        <v>1520</v>
      </c>
      <c r="L1520" s="8"/>
    </row>
    <row r="1521" customFormat="false" ht="15.75" hidden="false" customHeight="true" outlineLevel="0" collapsed="false">
      <c r="A1521" s="7" t="n">
        <v>45772</v>
      </c>
      <c r="B1521" s="8" t="s">
        <v>32</v>
      </c>
      <c r="C1521" s="9" t="n">
        <v>175</v>
      </c>
      <c r="D1521" s="8" t="s">
        <v>21</v>
      </c>
      <c r="E1521" s="10" t="s">
        <v>38</v>
      </c>
      <c r="F1521" s="8" t="str">
        <f aca="false">TEXT(A1521,"MM-YYYY")</f>
        <v>04-2025</v>
      </c>
      <c r="G1521" s="8" t="s">
        <v>14</v>
      </c>
      <c r="H1521" s="8" t="s">
        <v>15</v>
      </c>
      <c r="I1521" s="7" t="n">
        <v>45772</v>
      </c>
      <c r="J1521" s="8" t="str">
        <f aca="false">VLOOKUP(B1521,Table3[#All],2,0)</f>
        <v>Grocery</v>
      </c>
      <c r="K1521" s="8" t="str">
        <f aca="false">TEXT(ROW(), "0000")</f>
        <v>1521</v>
      </c>
      <c r="L1521" s="8"/>
    </row>
    <row r="1522" customFormat="false" ht="15.75" hidden="false" customHeight="true" outlineLevel="0" collapsed="false">
      <c r="A1522" s="7" t="n">
        <v>45772</v>
      </c>
      <c r="B1522" s="8" t="s">
        <v>47</v>
      </c>
      <c r="C1522" s="9" t="n">
        <v>1680</v>
      </c>
      <c r="D1522" s="8" t="s">
        <v>13</v>
      </c>
      <c r="E1522" s="10" t="s">
        <v>223</v>
      </c>
      <c r="F1522" s="8" t="str">
        <f aca="false">TEXT(A1522,"MM-YYYY")</f>
        <v>04-2025</v>
      </c>
      <c r="G1522" s="8" t="s">
        <v>14</v>
      </c>
      <c r="H1522" s="8" t="s">
        <v>13</v>
      </c>
      <c r="I1522" s="7" t="n">
        <v>45787</v>
      </c>
      <c r="J1522" s="8" t="str">
        <f aca="false">VLOOKUP(B1522,Table3[#All],2,0)</f>
        <v>Inventory</v>
      </c>
      <c r="K1522" s="8" t="str">
        <f aca="false">TEXT(ROW(), "0000")</f>
        <v>1522</v>
      </c>
      <c r="L1522" s="8"/>
    </row>
    <row r="1523" customFormat="false" ht="15.75" hidden="false" customHeight="true" outlineLevel="0" collapsed="false">
      <c r="A1523" s="7" t="n">
        <v>45772</v>
      </c>
      <c r="B1523" s="8" t="s">
        <v>25</v>
      </c>
      <c r="C1523" s="9" t="n">
        <v>335</v>
      </c>
      <c r="D1523" s="8" t="s">
        <v>13</v>
      </c>
      <c r="E1523" s="10" t="s">
        <v>26</v>
      </c>
      <c r="F1523" s="8" t="str">
        <f aca="false">TEXT(A1523,"MM-YYYY")</f>
        <v>04-2025</v>
      </c>
      <c r="G1523" s="8" t="s">
        <v>14</v>
      </c>
      <c r="H1523" s="8" t="s">
        <v>13</v>
      </c>
      <c r="I1523" s="7" t="n">
        <v>45790</v>
      </c>
      <c r="J1523" s="8" t="str">
        <f aca="false">VLOOKUP(B1523,Table3[#All],2,0)</f>
        <v>Inventory</v>
      </c>
      <c r="K1523" s="8" t="str">
        <f aca="false">TEXT(ROW(), "0000")</f>
        <v>1523</v>
      </c>
      <c r="L1523" s="8"/>
    </row>
    <row r="1524" customFormat="false" ht="15.75" hidden="false" customHeight="true" outlineLevel="0" collapsed="false">
      <c r="A1524" s="7" t="n">
        <v>45772</v>
      </c>
      <c r="B1524" s="8" t="s">
        <v>22</v>
      </c>
      <c r="C1524" s="9" t="n">
        <v>276</v>
      </c>
      <c r="D1524" s="8" t="s">
        <v>13</v>
      </c>
      <c r="E1524" s="10" t="s">
        <v>23</v>
      </c>
      <c r="F1524" s="8" t="str">
        <f aca="false">TEXT(A1524,"MM-YYYY")</f>
        <v>04-2025</v>
      </c>
      <c r="G1524" s="8" t="s">
        <v>14</v>
      </c>
      <c r="H1524" s="8" t="s">
        <v>13</v>
      </c>
      <c r="I1524" s="7" t="n">
        <v>45775</v>
      </c>
      <c r="J1524" s="8" t="str">
        <f aca="false">VLOOKUP(B1524,Table3[#All],2,0)</f>
        <v>Inventory</v>
      </c>
      <c r="K1524" s="8" t="str">
        <f aca="false">TEXT(ROW(), "0000")</f>
        <v>1524</v>
      </c>
      <c r="L1524" s="8"/>
    </row>
    <row r="1525" customFormat="false" ht="15.75" hidden="false" customHeight="true" outlineLevel="0" collapsed="false">
      <c r="A1525" s="7" t="n">
        <v>45772</v>
      </c>
      <c r="B1525" s="8" t="s">
        <v>22</v>
      </c>
      <c r="C1525" s="9" t="n">
        <v>4500</v>
      </c>
      <c r="D1525" s="8" t="s">
        <v>13</v>
      </c>
      <c r="E1525" s="10" t="s">
        <v>288</v>
      </c>
      <c r="F1525" s="8" t="str">
        <f aca="false">TEXT(A1525,"MM-YYYY")</f>
        <v>04-2025</v>
      </c>
      <c r="G1525" s="8" t="s">
        <v>14</v>
      </c>
      <c r="H1525" s="8" t="s">
        <v>13</v>
      </c>
      <c r="I1525" s="7" t="n">
        <v>45772</v>
      </c>
      <c r="J1525" s="8" t="str">
        <f aca="false">VLOOKUP(B1525,Table3[#All],2,0)</f>
        <v>Inventory</v>
      </c>
      <c r="K1525" s="8" t="str">
        <f aca="false">TEXT(ROW(), "0000")</f>
        <v>1525</v>
      </c>
      <c r="L1525" s="8"/>
    </row>
    <row r="1526" customFormat="false" ht="15.75" hidden="false" customHeight="true" outlineLevel="0" collapsed="false">
      <c r="A1526" s="7" t="n">
        <v>45772</v>
      </c>
      <c r="B1526" s="8" t="s">
        <v>25</v>
      </c>
      <c r="C1526" s="9" t="n">
        <v>620</v>
      </c>
      <c r="D1526" s="8" t="s">
        <v>45</v>
      </c>
      <c r="E1526" s="10" t="s">
        <v>289</v>
      </c>
      <c r="F1526" s="8" t="str">
        <f aca="false">TEXT(A1526,"MM-YYYY")</f>
        <v>04-2025</v>
      </c>
      <c r="G1526" s="8" t="s">
        <v>14</v>
      </c>
      <c r="H1526" s="8" t="s">
        <v>232</v>
      </c>
      <c r="I1526" s="7" t="n">
        <v>45772</v>
      </c>
      <c r="J1526" s="8" t="str">
        <f aca="false">VLOOKUP(B1526,Table3[#All],2,0)</f>
        <v>Inventory</v>
      </c>
      <c r="K1526" s="8" t="str">
        <f aca="false">TEXT(ROW(), "0000")</f>
        <v>1526</v>
      </c>
      <c r="L1526" s="8"/>
    </row>
    <row r="1527" customFormat="false" ht="15.75" hidden="false" customHeight="true" outlineLevel="0" collapsed="false">
      <c r="A1527" s="7" t="n">
        <v>45772</v>
      </c>
      <c r="B1527" s="8" t="s">
        <v>29</v>
      </c>
      <c r="C1527" s="9" t="n">
        <v>390</v>
      </c>
      <c r="D1527" s="8" t="s">
        <v>13</v>
      </c>
      <c r="E1527" s="10" t="s">
        <v>231</v>
      </c>
      <c r="F1527" s="8" t="str">
        <f aca="false">TEXT(A1527,"MM-YYYY")</f>
        <v>04-2025</v>
      </c>
      <c r="G1527" s="8" t="s">
        <v>14</v>
      </c>
      <c r="H1527" s="8" t="s">
        <v>13</v>
      </c>
      <c r="I1527" s="7" t="n">
        <v>45790</v>
      </c>
      <c r="J1527" s="8" t="str">
        <f aca="false">VLOOKUP(B1527,Table3[#All],2,0)</f>
        <v>Inventory</v>
      </c>
      <c r="K1527" s="8" t="str">
        <f aca="false">TEXT(ROW(), "0000")</f>
        <v>1527</v>
      </c>
      <c r="L1527" s="8"/>
    </row>
    <row r="1528" customFormat="false" ht="15.75" hidden="false" customHeight="true" outlineLevel="0" collapsed="false">
      <c r="A1528" s="7" t="n">
        <v>45772</v>
      </c>
      <c r="B1528" s="8" t="s">
        <v>28</v>
      </c>
      <c r="C1528" s="9" t="n">
        <v>675</v>
      </c>
      <c r="D1528" s="8" t="s">
        <v>21</v>
      </c>
      <c r="E1528" s="10" t="s">
        <v>93</v>
      </c>
      <c r="F1528" s="8" t="str">
        <f aca="false">TEXT(A1528,"MM-YYYY")</f>
        <v>04-2025</v>
      </c>
      <c r="G1528" s="8" t="s">
        <v>14</v>
      </c>
      <c r="H1528" s="8" t="s">
        <v>15</v>
      </c>
      <c r="I1528" s="7" t="n">
        <v>45772</v>
      </c>
      <c r="J1528" s="8" t="str">
        <f aca="false">VLOOKUP(B1528,Table3[#All],2,0)</f>
        <v>Grocery</v>
      </c>
      <c r="K1528" s="8" t="str">
        <f aca="false">TEXT(ROW(), "0000")</f>
        <v>1528</v>
      </c>
      <c r="L1528" s="8"/>
    </row>
    <row r="1529" customFormat="false" ht="15.75" hidden="false" customHeight="true" outlineLevel="0" collapsed="false">
      <c r="A1529" s="7" t="n">
        <v>45772</v>
      </c>
      <c r="B1529" s="8" t="s">
        <v>16</v>
      </c>
      <c r="C1529" s="9" t="n">
        <v>3210</v>
      </c>
      <c r="D1529" s="8" t="s">
        <v>21</v>
      </c>
      <c r="E1529" s="10" t="s">
        <v>88</v>
      </c>
      <c r="F1529" s="8" t="str">
        <f aca="false">TEXT(A1529,"MM-YYYY")</f>
        <v>04-2025</v>
      </c>
      <c r="G1529" s="8"/>
      <c r="H1529" s="8"/>
      <c r="I1529" s="7"/>
      <c r="J1529" s="8" t="str">
        <f aca="false">VLOOKUP(B1529,Table3[#All],2,0)</f>
        <v>Sales</v>
      </c>
      <c r="K1529" s="8" t="str">
        <f aca="false">TEXT(ROW(), "0000")</f>
        <v>1529</v>
      </c>
      <c r="L1529" s="8"/>
    </row>
    <row r="1530" customFormat="false" ht="15.75" hidden="false" customHeight="true" outlineLevel="0" collapsed="false">
      <c r="A1530" s="7" t="n">
        <v>45772</v>
      </c>
      <c r="B1530" s="8" t="s">
        <v>16</v>
      </c>
      <c r="C1530" s="9" t="n">
        <v>1105</v>
      </c>
      <c r="D1530" s="8" t="s">
        <v>27</v>
      </c>
      <c r="E1530" s="10" t="s">
        <v>88</v>
      </c>
      <c r="F1530" s="8" t="str">
        <f aca="false">TEXT(A1530,"MM-YYYY")</f>
        <v>04-2025</v>
      </c>
      <c r="G1530" s="8"/>
      <c r="H1530" s="8"/>
      <c r="I1530" s="7"/>
      <c r="J1530" s="8" t="str">
        <f aca="false">VLOOKUP(B1530,Table3[#All],2,0)</f>
        <v>Sales</v>
      </c>
      <c r="K1530" s="8" t="str">
        <f aca="false">TEXT(ROW(), "0000")</f>
        <v>1530</v>
      </c>
      <c r="L1530" s="8"/>
    </row>
    <row r="1531" customFormat="false" ht="15.75" hidden="false" customHeight="true" outlineLevel="0" collapsed="false">
      <c r="A1531" s="7" t="n">
        <v>45772</v>
      </c>
      <c r="B1531" s="8" t="s">
        <v>16</v>
      </c>
      <c r="C1531" s="9" t="n">
        <v>2310</v>
      </c>
      <c r="D1531" s="8" t="s">
        <v>33</v>
      </c>
      <c r="E1531" s="10" t="s">
        <v>88</v>
      </c>
      <c r="F1531" s="8" t="str">
        <f aca="false">TEXT(A1531,"MM-YYYY")</f>
        <v>04-2025</v>
      </c>
      <c r="G1531" s="8"/>
      <c r="H1531" s="8"/>
      <c r="I1531" s="7"/>
      <c r="J1531" s="8" t="str">
        <f aca="false">VLOOKUP(B1531,Table3[#All],2,0)</f>
        <v>Sales</v>
      </c>
      <c r="K1531" s="8" t="str">
        <f aca="false">TEXT(ROW(), "0000")</f>
        <v>1531</v>
      </c>
      <c r="L1531" s="8"/>
    </row>
    <row r="1532" customFormat="false" ht="15.75" hidden="false" customHeight="true" outlineLevel="0" collapsed="false">
      <c r="A1532" s="7" t="n">
        <v>45772</v>
      </c>
      <c r="B1532" s="8" t="s">
        <v>16</v>
      </c>
      <c r="C1532" s="9" t="n">
        <v>20503</v>
      </c>
      <c r="D1532" s="8" t="s">
        <v>17</v>
      </c>
      <c r="E1532" s="10" t="s">
        <v>88</v>
      </c>
      <c r="F1532" s="8" t="str">
        <f aca="false">TEXT(A1532,"MM-YYYY")</f>
        <v>04-2025</v>
      </c>
      <c r="G1532" s="8"/>
      <c r="H1532" s="8"/>
      <c r="I1532" s="7"/>
      <c r="J1532" s="8" t="str">
        <f aca="false">VLOOKUP(B1532,Table3[#All],2,0)</f>
        <v>Sales</v>
      </c>
      <c r="K1532" s="8" t="str">
        <f aca="false">TEXT(ROW(), "0000")</f>
        <v>1532</v>
      </c>
      <c r="L1532" s="8"/>
    </row>
    <row r="1533" customFormat="false" ht="15.75" hidden="false" customHeight="true" outlineLevel="0" collapsed="false">
      <c r="A1533" s="7" t="n">
        <v>45772</v>
      </c>
      <c r="B1533" s="8" t="s">
        <v>16</v>
      </c>
      <c r="C1533" s="9" t="n">
        <v>5009</v>
      </c>
      <c r="D1533" s="8" t="s">
        <v>24</v>
      </c>
      <c r="E1533" s="10" t="s">
        <v>217</v>
      </c>
      <c r="F1533" s="8" t="str">
        <f aca="false">TEXT(A1533,"MM-YYYY")</f>
        <v>04-2025</v>
      </c>
      <c r="G1533" s="8"/>
      <c r="H1533" s="8"/>
      <c r="I1533" s="7"/>
      <c r="J1533" s="8" t="str">
        <f aca="false">VLOOKUP(B1533,Table3[#All],2,0)</f>
        <v>Sales</v>
      </c>
      <c r="K1533" s="8" t="str">
        <f aca="false">TEXT(ROW(), "0000")</f>
        <v>1533</v>
      </c>
      <c r="L1533" s="8"/>
    </row>
    <row r="1534" customFormat="false" ht="15.75" hidden="false" customHeight="true" outlineLevel="0" collapsed="false">
      <c r="A1534" s="7" t="n">
        <v>45772</v>
      </c>
      <c r="B1534" s="8" t="s">
        <v>34</v>
      </c>
      <c r="C1534" s="9" t="n">
        <v>140</v>
      </c>
      <c r="D1534" s="8" t="s">
        <v>45</v>
      </c>
      <c r="E1534" s="10" t="s">
        <v>267</v>
      </c>
      <c r="F1534" s="8" t="str">
        <f aca="false">TEXT(A1534,"MM-YYYY")</f>
        <v>04-2025</v>
      </c>
      <c r="G1534" s="8" t="s">
        <v>14</v>
      </c>
      <c r="H1534" s="8" t="s">
        <v>232</v>
      </c>
      <c r="I1534" s="7" t="n">
        <v>45772</v>
      </c>
      <c r="J1534" s="8" t="str">
        <f aca="false">VLOOKUP(B1534,Table3[#All],2,0)</f>
        <v>Staff Expenses</v>
      </c>
      <c r="K1534" s="8" t="str">
        <f aca="false">TEXT(ROW(), "0000")</f>
        <v>1534</v>
      </c>
      <c r="L1534" s="8"/>
    </row>
    <row r="1535" customFormat="false" ht="15.75" hidden="false" customHeight="true" outlineLevel="0" collapsed="false">
      <c r="A1535" s="7" t="n">
        <v>45772</v>
      </c>
      <c r="B1535" s="8" t="s">
        <v>37</v>
      </c>
      <c r="C1535" s="9" t="n">
        <v>10</v>
      </c>
      <c r="D1535" s="8" t="s">
        <v>21</v>
      </c>
      <c r="E1535" s="10" t="s">
        <v>37</v>
      </c>
      <c r="F1535" s="8" t="str">
        <f aca="false">TEXT(A1535,"MM-YYYY")</f>
        <v>04-2025</v>
      </c>
      <c r="G1535" s="8" t="s">
        <v>14</v>
      </c>
      <c r="H1535" s="8" t="s">
        <v>15</v>
      </c>
      <c r="I1535" s="7" t="n">
        <v>45772</v>
      </c>
      <c r="J1535" s="8" t="str">
        <f aca="false">VLOOKUP(B1535,Table3[#All],2,0)</f>
        <v>Maintance</v>
      </c>
      <c r="K1535" s="8" t="str">
        <f aca="false">TEXT(ROW(), "0000")</f>
        <v>1535</v>
      </c>
      <c r="L1535" s="8"/>
    </row>
    <row r="1536" customFormat="false" ht="15.75" hidden="false" customHeight="true" outlineLevel="0" collapsed="false">
      <c r="A1536" s="7" t="n">
        <v>45772</v>
      </c>
      <c r="B1536" s="8" t="s">
        <v>60</v>
      </c>
      <c r="C1536" s="9" t="n">
        <v>210</v>
      </c>
      <c r="D1536" s="8" t="s">
        <v>45</v>
      </c>
      <c r="E1536" s="10" t="s">
        <v>290</v>
      </c>
      <c r="F1536" s="8" t="str">
        <f aca="false">TEXT(A1536,"MM-YYYY")</f>
        <v>04-2025</v>
      </c>
      <c r="G1536" s="8" t="s">
        <v>14</v>
      </c>
      <c r="H1536" s="8" t="s">
        <v>232</v>
      </c>
      <c r="I1536" s="7" t="n">
        <v>45772</v>
      </c>
      <c r="J1536" s="8" t="str">
        <f aca="false">VLOOKUP(B1536,Table3[#All],2,0)</f>
        <v>Inventory</v>
      </c>
      <c r="K1536" s="8" t="str">
        <f aca="false">TEXT(ROW(), "0000")</f>
        <v>1536</v>
      </c>
      <c r="L1536" s="8"/>
    </row>
    <row r="1537" customFormat="false" ht="15.75" hidden="false" customHeight="true" outlineLevel="0" collapsed="false">
      <c r="A1537" s="7" t="n">
        <v>45773</v>
      </c>
      <c r="B1537" s="8" t="s">
        <v>32</v>
      </c>
      <c r="C1537" s="9" t="n">
        <v>210</v>
      </c>
      <c r="D1537" s="8" t="s">
        <v>21</v>
      </c>
      <c r="E1537" s="10" t="s">
        <v>38</v>
      </c>
      <c r="F1537" s="8" t="str">
        <f aca="false">TEXT(A1537,"MM-YYYY")</f>
        <v>04-2025</v>
      </c>
      <c r="G1537" s="8" t="s">
        <v>14</v>
      </c>
      <c r="H1537" s="8" t="s">
        <v>15</v>
      </c>
      <c r="I1537" s="7" t="n">
        <v>45773</v>
      </c>
      <c r="J1537" s="8" t="str">
        <f aca="false">VLOOKUP(B1537,Table3[#All],2,0)</f>
        <v>Grocery</v>
      </c>
      <c r="K1537" s="8" t="str">
        <f aca="false">TEXT(ROW(), "0000")</f>
        <v>1537</v>
      </c>
      <c r="L1537" s="8"/>
    </row>
    <row r="1538" customFormat="false" ht="15.75" hidden="false" customHeight="true" outlineLevel="0" collapsed="false">
      <c r="A1538" s="7" t="n">
        <v>45773</v>
      </c>
      <c r="B1538" s="8" t="s">
        <v>19</v>
      </c>
      <c r="C1538" s="9" t="n">
        <v>6034</v>
      </c>
      <c r="D1538" s="8" t="s">
        <v>13</v>
      </c>
      <c r="E1538" s="10" t="s">
        <v>20</v>
      </c>
      <c r="F1538" s="8" t="str">
        <f aca="false">TEXT(A1538,"MM-YYYY")</f>
        <v>04-2025</v>
      </c>
      <c r="G1538" s="8" t="s">
        <v>14</v>
      </c>
      <c r="H1538" s="8" t="s">
        <v>13</v>
      </c>
      <c r="I1538" s="7" t="n">
        <v>45779</v>
      </c>
      <c r="J1538" s="8" t="str">
        <f aca="false">VLOOKUP(B1538,Table3[#All],2,0)</f>
        <v>Inventory</v>
      </c>
      <c r="K1538" s="8" t="str">
        <f aca="false">TEXT(ROW(), "0000")</f>
        <v>1538</v>
      </c>
      <c r="L1538" s="8"/>
    </row>
    <row r="1539" customFormat="false" ht="15.75" hidden="false" customHeight="true" outlineLevel="0" collapsed="false">
      <c r="A1539" s="7" t="n">
        <v>45773</v>
      </c>
      <c r="B1539" s="8" t="s">
        <v>22</v>
      </c>
      <c r="C1539" s="9" t="n">
        <v>4692</v>
      </c>
      <c r="D1539" s="8" t="s">
        <v>13</v>
      </c>
      <c r="E1539" s="10" t="s">
        <v>23</v>
      </c>
      <c r="F1539" s="8" t="str">
        <f aca="false">TEXT(A1539,"MM-YYYY")</f>
        <v>04-2025</v>
      </c>
      <c r="G1539" s="8" t="s">
        <v>14</v>
      </c>
      <c r="H1539" s="8" t="s">
        <v>13</v>
      </c>
      <c r="I1539" s="7" t="n">
        <v>45779</v>
      </c>
      <c r="J1539" s="8" t="str">
        <f aca="false">VLOOKUP(B1539,Table3[#All],2,0)</f>
        <v>Inventory</v>
      </c>
      <c r="K1539" s="8" t="str">
        <f aca="false">TEXT(ROW(), "0000")</f>
        <v>1539</v>
      </c>
      <c r="L1539" s="8"/>
    </row>
    <row r="1540" customFormat="false" ht="15.75" hidden="false" customHeight="true" outlineLevel="0" collapsed="false">
      <c r="A1540" s="7" t="n">
        <v>45773</v>
      </c>
      <c r="B1540" s="8" t="s">
        <v>53</v>
      </c>
      <c r="C1540" s="9" t="n">
        <v>2000</v>
      </c>
      <c r="D1540" s="8" t="s">
        <v>45</v>
      </c>
      <c r="E1540" s="10" t="s">
        <v>55</v>
      </c>
      <c r="F1540" s="8" t="str">
        <f aca="false">TEXT(A1540,"MM-YYYY")</f>
        <v>04-2025</v>
      </c>
      <c r="G1540" s="8" t="s">
        <v>14</v>
      </c>
      <c r="H1540" s="8" t="s">
        <v>232</v>
      </c>
      <c r="I1540" s="7" t="n">
        <v>45773</v>
      </c>
      <c r="J1540" s="8" t="str">
        <f aca="false">VLOOKUP(B1540,Table3[#All],2,0)</f>
        <v>Grocery</v>
      </c>
      <c r="K1540" s="8" t="str">
        <f aca="false">TEXT(ROW(), "0000")</f>
        <v>1540</v>
      </c>
      <c r="L1540" s="8"/>
    </row>
    <row r="1541" customFormat="false" ht="15.75" hidden="false" customHeight="true" outlineLevel="0" collapsed="false">
      <c r="A1541" s="7" t="n">
        <v>45773</v>
      </c>
      <c r="B1541" s="8" t="s">
        <v>51</v>
      </c>
      <c r="C1541" s="9" t="n">
        <v>4055</v>
      </c>
      <c r="D1541" s="8" t="s">
        <v>13</v>
      </c>
      <c r="E1541" s="10" t="s">
        <v>226</v>
      </c>
      <c r="F1541" s="8" t="str">
        <f aca="false">TEXT(A1541,"MM-YYYY")</f>
        <v>04-2025</v>
      </c>
      <c r="G1541" s="8" t="s">
        <v>14</v>
      </c>
      <c r="H1541" s="8" t="s">
        <v>13</v>
      </c>
      <c r="I1541" s="7" t="n">
        <v>45794</v>
      </c>
      <c r="J1541" s="8" t="str">
        <f aca="false">VLOOKUP(B1541,Table3[#All],2,0)</f>
        <v>Inventory</v>
      </c>
      <c r="K1541" s="8" t="str">
        <f aca="false">TEXT(ROW(), "0000")</f>
        <v>1541</v>
      </c>
      <c r="L1541" s="8"/>
    </row>
    <row r="1542" customFormat="false" ht="15.75" hidden="false" customHeight="true" outlineLevel="0" collapsed="false">
      <c r="A1542" s="7" t="n">
        <v>45773</v>
      </c>
      <c r="B1542" s="8" t="s">
        <v>50</v>
      </c>
      <c r="C1542" s="9" t="n">
        <v>1780</v>
      </c>
      <c r="D1542" s="8" t="s">
        <v>13</v>
      </c>
      <c r="E1542" s="10" t="s">
        <v>263</v>
      </c>
      <c r="F1542" s="8" t="str">
        <f aca="false">TEXT(A1542,"MM-YYYY")</f>
        <v>04-2025</v>
      </c>
      <c r="G1542" s="8" t="s">
        <v>14</v>
      </c>
      <c r="H1542" s="8" t="s">
        <v>13</v>
      </c>
      <c r="I1542" s="7" t="n">
        <v>45779</v>
      </c>
      <c r="J1542" s="8" t="str">
        <f aca="false">VLOOKUP(B1542,Table3[#All],2,0)</f>
        <v>Fixed Maintance</v>
      </c>
      <c r="K1542" s="8" t="str">
        <f aca="false">TEXT(ROW(), "0000")</f>
        <v>1542</v>
      </c>
      <c r="L1542" s="8"/>
    </row>
    <row r="1543" customFormat="false" ht="15.75" hidden="false" customHeight="true" outlineLevel="0" collapsed="false">
      <c r="A1543" s="7" t="n">
        <v>45773</v>
      </c>
      <c r="B1543" s="8" t="s">
        <v>29</v>
      </c>
      <c r="C1543" s="9" t="n">
        <v>573</v>
      </c>
      <c r="D1543" s="8" t="s">
        <v>13</v>
      </c>
      <c r="E1543" s="10" t="s">
        <v>231</v>
      </c>
      <c r="F1543" s="8" t="str">
        <f aca="false">TEXT(A1543,"MM-YYYY")</f>
        <v>04-2025</v>
      </c>
      <c r="G1543" s="8" t="s">
        <v>14</v>
      </c>
      <c r="H1543" s="8" t="s">
        <v>13</v>
      </c>
      <c r="I1543" s="7" t="n">
        <v>45790</v>
      </c>
      <c r="J1543" s="8" t="str">
        <f aca="false">VLOOKUP(B1543,Table3[#All],2,0)</f>
        <v>Inventory</v>
      </c>
      <c r="K1543" s="8" t="str">
        <f aca="false">TEXT(ROW(), "0000")</f>
        <v>1543</v>
      </c>
      <c r="L1543" s="8"/>
    </row>
    <row r="1544" customFormat="false" ht="15.75" hidden="false" customHeight="true" outlineLevel="0" collapsed="false">
      <c r="A1544" s="7" t="n">
        <v>45773</v>
      </c>
      <c r="B1544" s="8" t="s">
        <v>25</v>
      </c>
      <c r="C1544" s="9" t="n">
        <v>1830</v>
      </c>
      <c r="D1544" s="8" t="s">
        <v>13</v>
      </c>
      <c r="E1544" s="10" t="s">
        <v>26</v>
      </c>
      <c r="F1544" s="8" t="str">
        <f aca="false">TEXT(A1544,"MM-YYYY")</f>
        <v>04-2025</v>
      </c>
      <c r="G1544" s="8" t="s">
        <v>14</v>
      </c>
      <c r="H1544" s="8" t="s">
        <v>13</v>
      </c>
      <c r="I1544" s="7" t="n">
        <v>45790</v>
      </c>
      <c r="J1544" s="8" t="str">
        <f aca="false">VLOOKUP(B1544,Table3[#All],2,0)</f>
        <v>Inventory</v>
      </c>
      <c r="K1544" s="8" t="str">
        <f aca="false">TEXT(ROW(), "0000")</f>
        <v>1544</v>
      </c>
      <c r="L1544" s="8"/>
    </row>
    <row r="1545" customFormat="false" ht="15.75" hidden="false" customHeight="true" outlineLevel="0" collapsed="false">
      <c r="A1545" s="7" t="n">
        <v>45773</v>
      </c>
      <c r="B1545" s="8" t="s">
        <v>25</v>
      </c>
      <c r="C1545" s="9" t="n">
        <v>85</v>
      </c>
      <c r="D1545" s="8" t="s">
        <v>45</v>
      </c>
      <c r="E1545" s="10" t="s">
        <v>291</v>
      </c>
      <c r="F1545" s="8" t="str">
        <f aca="false">TEXT(A1545,"MM-YYYY")</f>
        <v>04-2025</v>
      </c>
      <c r="G1545" s="8" t="s">
        <v>14</v>
      </c>
      <c r="H1545" s="8" t="s">
        <v>232</v>
      </c>
      <c r="I1545" s="7" t="n">
        <v>45773</v>
      </c>
      <c r="J1545" s="8" t="str">
        <f aca="false">VLOOKUP(B1545,Table3[#All],2,0)</f>
        <v>Inventory</v>
      </c>
      <c r="K1545" s="8" t="str">
        <f aca="false">TEXT(ROW(), "0000")</f>
        <v>1545</v>
      </c>
      <c r="L1545" s="8"/>
    </row>
    <row r="1546" customFormat="false" ht="15.75" hidden="false" customHeight="true" outlineLevel="0" collapsed="false">
      <c r="A1546" s="7" t="n">
        <v>45773</v>
      </c>
      <c r="B1546" s="8" t="s">
        <v>16</v>
      </c>
      <c r="C1546" s="9" t="n">
        <v>3760</v>
      </c>
      <c r="D1546" s="8" t="s">
        <v>21</v>
      </c>
      <c r="E1546" s="10" t="s">
        <v>88</v>
      </c>
      <c r="F1546" s="8" t="str">
        <f aca="false">TEXT(A1546,"MM-YYYY")</f>
        <v>04-2025</v>
      </c>
      <c r="G1546" s="8"/>
      <c r="H1546" s="8"/>
      <c r="I1546" s="7"/>
      <c r="J1546" s="8" t="str">
        <f aca="false">VLOOKUP(B1546,Table3[#All],2,0)</f>
        <v>Sales</v>
      </c>
      <c r="K1546" s="8" t="str">
        <f aca="false">TEXT(ROW(), "0000")</f>
        <v>1546</v>
      </c>
      <c r="L1546" s="8"/>
    </row>
    <row r="1547" customFormat="false" ht="15.75" hidden="false" customHeight="true" outlineLevel="0" collapsed="false">
      <c r="A1547" s="7" t="n">
        <v>45773</v>
      </c>
      <c r="B1547" s="8" t="s">
        <v>16</v>
      </c>
      <c r="C1547" s="9" t="n">
        <v>2320</v>
      </c>
      <c r="D1547" s="8" t="s">
        <v>27</v>
      </c>
      <c r="E1547" s="10" t="s">
        <v>88</v>
      </c>
      <c r="F1547" s="8" t="str">
        <f aca="false">TEXT(A1547,"MM-YYYY")</f>
        <v>04-2025</v>
      </c>
      <c r="G1547" s="8"/>
      <c r="H1547" s="8"/>
      <c r="I1547" s="7"/>
      <c r="J1547" s="8" t="str">
        <f aca="false">VLOOKUP(B1547,Table3[#All],2,0)</f>
        <v>Sales</v>
      </c>
      <c r="K1547" s="8" t="str">
        <f aca="false">TEXT(ROW(), "0000")</f>
        <v>1547</v>
      </c>
      <c r="L1547" s="8"/>
    </row>
    <row r="1548" customFormat="false" ht="15.75" hidden="false" customHeight="true" outlineLevel="0" collapsed="false">
      <c r="A1548" s="7" t="n">
        <v>45773</v>
      </c>
      <c r="B1548" s="8" t="s">
        <v>16</v>
      </c>
      <c r="C1548" s="9" t="n">
        <v>230</v>
      </c>
      <c r="D1548" s="8" t="s">
        <v>33</v>
      </c>
      <c r="E1548" s="10" t="s">
        <v>88</v>
      </c>
      <c r="F1548" s="8" t="str">
        <f aca="false">TEXT(A1548,"MM-YYYY")</f>
        <v>04-2025</v>
      </c>
      <c r="G1548" s="8"/>
      <c r="H1548" s="8"/>
      <c r="I1548" s="7"/>
      <c r="J1548" s="8" t="str">
        <f aca="false">VLOOKUP(B1548,Table3[#All],2,0)</f>
        <v>Sales</v>
      </c>
      <c r="K1548" s="8" t="str">
        <f aca="false">TEXT(ROW(), "0000")</f>
        <v>1548</v>
      </c>
      <c r="L1548" s="8"/>
    </row>
    <row r="1549" customFormat="false" ht="15.75" hidden="false" customHeight="true" outlineLevel="0" collapsed="false">
      <c r="A1549" s="7" t="n">
        <v>45773</v>
      </c>
      <c r="B1549" s="8" t="s">
        <v>16</v>
      </c>
      <c r="C1549" s="9" t="n">
        <v>17575</v>
      </c>
      <c r="D1549" s="8" t="s">
        <v>17</v>
      </c>
      <c r="E1549" s="10" t="s">
        <v>88</v>
      </c>
      <c r="F1549" s="8" t="str">
        <f aca="false">TEXT(A1549,"MM-YYYY")</f>
        <v>04-2025</v>
      </c>
      <c r="G1549" s="8"/>
      <c r="H1549" s="8"/>
      <c r="I1549" s="7"/>
      <c r="J1549" s="8" t="str">
        <f aca="false">VLOOKUP(B1549,Table3[#All],2,0)</f>
        <v>Sales</v>
      </c>
      <c r="K1549" s="8" t="str">
        <f aca="false">TEXT(ROW(), "0000")</f>
        <v>1549</v>
      </c>
      <c r="L1549" s="8"/>
    </row>
    <row r="1550" customFormat="false" ht="15.75" hidden="false" customHeight="true" outlineLevel="0" collapsed="false">
      <c r="A1550" s="7" t="n">
        <v>45773</v>
      </c>
      <c r="B1550" s="8" t="s">
        <v>16</v>
      </c>
      <c r="C1550" s="9" t="n">
        <v>989</v>
      </c>
      <c r="D1550" s="8" t="s">
        <v>24</v>
      </c>
      <c r="E1550" s="10" t="s">
        <v>217</v>
      </c>
      <c r="F1550" s="8" t="str">
        <f aca="false">TEXT(A1550,"MM-YYYY")</f>
        <v>04-2025</v>
      </c>
      <c r="G1550" s="8"/>
      <c r="H1550" s="8"/>
      <c r="I1550" s="7"/>
      <c r="J1550" s="8" t="str">
        <f aca="false">VLOOKUP(B1550,Table3[#All],2,0)</f>
        <v>Sales</v>
      </c>
      <c r="K1550" s="8" t="str">
        <f aca="false">TEXT(ROW(), "0000")</f>
        <v>1550</v>
      </c>
      <c r="L1550" s="8"/>
    </row>
    <row r="1551" customFormat="false" ht="15.75" hidden="false" customHeight="true" outlineLevel="0" collapsed="false">
      <c r="A1551" s="7" t="n">
        <v>45773</v>
      </c>
      <c r="B1551" s="8" t="s">
        <v>34</v>
      </c>
      <c r="C1551" s="9" t="n">
        <v>165</v>
      </c>
      <c r="D1551" s="8" t="s">
        <v>45</v>
      </c>
      <c r="E1551" s="10" t="s">
        <v>267</v>
      </c>
      <c r="F1551" s="8" t="str">
        <f aca="false">TEXT(A1551,"MM-YYYY")</f>
        <v>04-2025</v>
      </c>
      <c r="G1551" s="8" t="s">
        <v>14</v>
      </c>
      <c r="H1551" s="8" t="s">
        <v>232</v>
      </c>
      <c r="I1551" s="7" t="n">
        <v>45773</v>
      </c>
      <c r="J1551" s="8" t="str">
        <f aca="false">VLOOKUP(B1551,Table3[#All],2,0)</f>
        <v>Staff Expenses</v>
      </c>
      <c r="K1551" s="8" t="str">
        <f aca="false">TEXT(ROW(), "0000")</f>
        <v>1551</v>
      </c>
      <c r="L1551" s="8"/>
    </row>
    <row r="1552" customFormat="false" ht="15.75" hidden="false" customHeight="true" outlineLevel="0" collapsed="false">
      <c r="A1552" s="7" t="n">
        <v>45773</v>
      </c>
      <c r="B1552" s="8" t="s">
        <v>56</v>
      </c>
      <c r="C1552" s="9" t="n">
        <v>600</v>
      </c>
      <c r="D1552" s="8" t="s">
        <v>45</v>
      </c>
      <c r="E1552" s="10" t="s">
        <v>292</v>
      </c>
      <c r="F1552" s="8" t="str">
        <f aca="false">TEXT(A1552,"MM-YYYY")</f>
        <v>04-2025</v>
      </c>
      <c r="G1552" s="8" t="s">
        <v>14</v>
      </c>
      <c r="H1552" s="8" t="s">
        <v>232</v>
      </c>
      <c r="I1552" s="7" t="n">
        <v>45773</v>
      </c>
      <c r="J1552" s="8" t="str">
        <f aca="false">VLOOKUP(B1552,Table3[#All],2,0)</f>
        <v>New Inventory</v>
      </c>
      <c r="K1552" s="8" t="str">
        <f aca="false">TEXT(ROW(), "0000")</f>
        <v>1552</v>
      </c>
      <c r="L1552" s="8"/>
    </row>
    <row r="1553" customFormat="false" ht="15.75" hidden="false" customHeight="true" outlineLevel="0" collapsed="false">
      <c r="A1553" s="7" t="n">
        <v>45774</v>
      </c>
      <c r="B1553" s="8" t="s">
        <v>19</v>
      </c>
      <c r="C1553" s="9" t="n">
        <v>4506</v>
      </c>
      <c r="D1553" s="8" t="s">
        <v>13</v>
      </c>
      <c r="E1553" s="10" t="s">
        <v>20</v>
      </c>
      <c r="F1553" s="8" t="str">
        <f aca="false">TEXT(A1553,"MM-YYYY")</f>
        <v>04-2025</v>
      </c>
      <c r="G1553" s="8" t="s">
        <v>14</v>
      </c>
      <c r="H1553" s="8" t="s">
        <v>13</v>
      </c>
      <c r="I1553" s="7" t="n">
        <v>45779</v>
      </c>
      <c r="J1553" s="8" t="str">
        <f aca="false">VLOOKUP(B1553,Table3[#All],2,0)</f>
        <v>Inventory</v>
      </c>
      <c r="K1553" s="8" t="str">
        <f aca="false">TEXT(ROW(), "0000")</f>
        <v>1553</v>
      </c>
      <c r="L1553" s="8"/>
    </row>
    <row r="1554" customFormat="false" ht="15.75" hidden="false" customHeight="true" outlineLevel="0" collapsed="false">
      <c r="A1554" s="7" t="n">
        <v>45774</v>
      </c>
      <c r="B1554" s="8" t="s">
        <v>25</v>
      </c>
      <c r="C1554" s="9" t="n">
        <v>1189</v>
      </c>
      <c r="D1554" s="8" t="s">
        <v>13</v>
      </c>
      <c r="E1554" s="10" t="s">
        <v>26</v>
      </c>
      <c r="F1554" s="8" t="str">
        <f aca="false">TEXT(A1554,"MM-YYYY")</f>
        <v>04-2025</v>
      </c>
      <c r="G1554" s="8" t="s">
        <v>14</v>
      </c>
      <c r="H1554" s="8" t="s">
        <v>13</v>
      </c>
      <c r="I1554" s="7" t="n">
        <v>45790</v>
      </c>
      <c r="J1554" s="8" t="str">
        <f aca="false">VLOOKUP(B1554,Table3[#All],2,0)</f>
        <v>Inventory</v>
      </c>
      <c r="K1554" s="8" t="str">
        <f aca="false">TEXT(ROW(), "0000")</f>
        <v>1554</v>
      </c>
      <c r="L1554" s="8"/>
    </row>
    <row r="1555" customFormat="false" ht="15.75" hidden="false" customHeight="true" outlineLevel="0" collapsed="false">
      <c r="A1555" s="7" t="n">
        <v>45774</v>
      </c>
      <c r="B1555" s="8" t="s">
        <v>22</v>
      </c>
      <c r="C1555" s="9" t="n">
        <v>1802</v>
      </c>
      <c r="D1555" s="8" t="s">
        <v>13</v>
      </c>
      <c r="E1555" s="10" t="s">
        <v>23</v>
      </c>
      <c r="F1555" s="8" t="str">
        <f aca="false">TEXT(A1555,"MM-YYYY")</f>
        <v>04-2025</v>
      </c>
      <c r="G1555" s="8" t="s">
        <v>14</v>
      </c>
      <c r="H1555" s="8" t="s">
        <v>13</v>
      </c>
      <c r="I1555" s="7" t="n">
        <v>45779</v>
      </c>
      <c r="J1555" s="8" t="str">
        <f aca="false">VLOOKUP(B1555,Table3[#All],2,0)</f>
        <v>Inventory</v>
      </c>
      <c r="K1555" s="8" t="str">
        <f aca="false">TEXT(ROW(), "0000")</f>
        <v>1555</v>
      </c>
      <c r="L1555" s="8"/>
    </row>
    <row r="1556" customFormat="false" ht="15.75" hidden="false" customHeight="true" outlineLevel="0" collapsed="false">
      <c r="A1556" s="7" t="n">
        <v>45774</v>
      </c>
      <c r="B1556" s="8" t="s">
        <v>22</v>
      </c>
      <c r="C1556" s="9" t="n">
        <v>110</v>
      </c>
      <c r="D1556" s="8" t="s">
        <v>21</v>
      </c>
      <c r="E1556" s="10" t="s">
        <v>213</v>
      </c>
      <c r="F1556" s="8" t="str">
        <f aca="false">TEXT(A1556,"MM-YYYY")</f>
        <v>04-2025</v>
      </c>
      <c r="G1556" s="8" t="s">
        <v>14</v>
      </c>
      <c r="H1556" s="8" t="s">
        <v>15</v>
      </c>
      <c r="I1556" s="7" t="n">
        <v>45774</v>
      </c>
      <c r="J1556" s="8" t="str">
        <f aca="false">VLOOKUP(B1556,Table3[#All],2,0)</f>
        <v>Inventory</v>
      </c>
      <c r="K1556" s="8" t="str">
        <f aca="false">TEXT(ROW(), "0000")</f>
        <v>1556</v>
      </c>
      <c r="L1556" s="8"/>
    </row>
    <row r="1557" customFormat="false" ht="15.75" hidden="false" customHeight="true" outlineLevel="0" collapsed="false">
      <c r="A1557" s="7" t="n">
        <v>45774</v>
      </c>
      <c r="B1557" s="8" t="s">
        <v>32</v>
      </c>
      <c r="C1557" s="9" t="n">
        <v>175</v>
      </c>
      <c r="D1557" s="8" t="s">
        <v>21</v>
      </c>
      <c r="E1557" s="10" t="s">
        <v>38</v>
      </c>
      <c r="F1557" s="8" t="str">
        <f aca="false">TEXT(A1557,"MM-YYYY")</f>
        <v>04-2025</v>
      </c>
      <c r="G1557" s="8" t="s">
        <v>14</v>
      </c>
      <c r="H1557" s="8" t="s">
        <v>15</v>
      </c>
      <c r="I1557" s="7" t="n">
        <v>45774</v>
      </c>
      <c r="J1557" s="8" t="str">
        <f aca="false">VLOOKUP(B1557,Table3[#All],2,0)</f>
        <v>Grocery</v>
      </c>
      <c r="K1557" s="8" t="str">
        <f aca="false">TEXT(ROW(), "0000")</f>
        <v>1557</v>
      </c>
      <c r="L1557" s="8"/>
    </row>
    <row r="1558" customFormat="false" ht="15.75" hidden="false" customHeight="true" outlineLevel="0" collapsed="false">
      <c r="A1558" s="7" t="n">
        <v>45774</v>
      </c>
      <c r="B1558" s="8" t="s">
        <v>29</v>
      </c>
      <c r="C1558" s="9" t="n">
        <v>20</v>
      </c>
      <c r="D1558" s="8" t="s">
        <v>21</v>
      </c>
      <c r="E1558" s="10" t="s">
        <v>194</v>
      </c>
      <c r="F1558" s="8" t="str">
        <f aca="false">TEXT(A1558,"MM-YYYY")</f>
        <v>04-2025</v>
      </c>
      <c r="G1558" s="8" t="s">
        <v>14</v>
      </c>
      <c r="H1558" s="8" t="s">
        <v>15</v>
      </c>
      <c r="I1558" s="7"/>
      <c r="J1558" s="8" t="str">
        <f aca="false">VLOOKUP(B1558,Table3[#All],2,0)</f>
        <v>Inventory</v>
      </c>
      <c r="K1558" s="8" t="str">
        <f aca="false">TEXT(ROW(), "0000")</f>
        <v>1558</v>
      </c>
      <c r="L1558" s="8"/>
    </row>
    <row r="1559" customFormat="false" ht="15.75" hidden="false" customHeight="true" outlineLevel="0" collapsed="false">
      <c r="A1559" s="7" t="n">
        <v>45774</v>
      </c>
      <c r="B1559" s="8" t="s">
        <v>29</v>
      </c>
      <c r="C1559" s="9" t="n">
        <v>669</v>
      </c>
      <c r="D1559" s="8" t="s">
        <v>13</v>
      </c>
      <c r="E1559" s="10" t="s">
        <v>231</v>
      </c>
      <c r="F1559" s="8" t="str">
        <f aca="false">TEXT(A1559,"MM-YYYY")</f>
        <v>04-2025</v>
      </c>
      <c r="G1559" s="8" t="s">
        <v>14</v>
      </c>
      <c r="H1559" s="8" t="s">
        <v>13</v>
      </c>
      <c r="I1559" s="7" t="n">
        <v>45790</v>
      </c>
      <c r="J1559" s="8" t="str">
        <f aca="false">VLOOKUP(B1559,Table3[#All],2,0)</f>
        <v>Inventory</v>
      </c>
      <c r="K1559" s="8" t="str">
        <f aca="false">TEXT(ROW(), "0000")</f>
        <v>1559</v>
      </c>
      <c r="L1559" s="8"/>
    </row>
    <row r="1560" customFormat="false" ht="15.75" hidden="false" customHeight="true" outlineLevel="0" collapsed="false">
      <c r="A1560" s="7" t="n">
        <v>45774</v>
      </c>
      <c r="B1560" s="8" t="s">
        <v>16</v>
      </c>
      <c r="C1560" s="9" t="n">
        <v>3455</v>
      </c>
      <c r="D1560" s="8" t="s">
        <v>21</v>
      </c>
      <c r="E1560" s="10" t="s">
        <v>88</v>
      </c>
      <c r="F1560" s="8" t="str">
        <f aca="false">TEXT(A1560,"MM-YYYY")</f>
        <v>04-2025</v>
      </c>
      <c r="G1560" s="8"/>
      <c r="H1560" s="8"/>
      <c r="I1560" s="7"/>
      <c r="J1560" s="8" t="str">
        <f aca="false">VLOOKUP(B1560,Table3[#All],2,0)</f>
        <v>Sales</v>
      </c>
      <c r="K1560" s="8" t="str">
        <f aca="false">TEXT(ROW(), "0000")</f>
        <v>1560</v>
      </c>
      <c r="L1560" s="8"/>
    </row>
    <row r="1561" customFormat="false" ht="15.75" hidden="false" customHeight="true" outlineLevel="0" collapsed="false">
      <c r="A1561" s="7" t="n">
        <v>45774</v>
      </c>
      <c r="B1561" s="8" t="s">
        <v>16</v>
      </c>
      <c r="C1561" s="9" t="n">
        <v>1590</v>
      </c>
      <c r="D1561" s="8" t="s">
        <v>27</v>
      </c>
      <c r="E1561" s="10" t="s">
        <v>88</v>
      </c>
      <c r="F1561" s="8" t="str">
        <f aca="false">TEXT(A1561,"MM-YYYY")</f>
        <v>04-2025</v>
      </c>
      <c r="G1561" s="8"/>
      <c r="H1561" s="8"/>
      <c r="I1561" s="7"/>
      <c r="J1561" s="8" t="str">
        <f aca="false">VLOOKUP(B1561,Table3[#All],2,0)</f>
        <v>Sales</v>
      </c>
      <c r="K1561" s="8" t="str">
        <f aca="false">TEXT(ROW(), "0000")</f>
        <v>1561</v>
      </c>
      <c r="L1561" s="8"/>
    </row>
    <row r="1562" customFormat="false" ht="15.75" hidden="false" customHeight="true" outlineLevel="0" collapsed="false">
      <c r="A1562" s="7" t="n">
        <v>45774</v>
      </c>
      <c r="B1562" s="8" t="s">
        <v>16</v>
      </c>
      <c r="C1562" s="9" t="n">
        <v>540</v>
      </c>
      <c r="D1562" s="8" t="s">
        <v>33</v>
      </c>
      <c r="E1562" s="10" t="s">
        <v>88</v>
      </c>
      <c r="F1562" s="8" t="str">
        <f aca="false">TEXT(A1562,"MM-YYYY")</f>
        <v>04-2025</v>
      </c>
      <c r="G1562" s="8"/>
      <c r="H1562" s="8"/>
      <c r="I1562" s="7"/>
      <c r="J1562" s="8" t="str">
        <f aca="false">VLOOKUP(B1562,Table3[#All],2,0)</f>
        <v>Sales</v>
      </c>
      <c r="K1562" s="8" t="str">
        <f aca="false">TEXT(ROW(), "0000")</f>
        <v>1562</v>
      </c>
      <c r="L1562" s="8"/>
    </row>
    <row r="1563" customFormat="false" ht="15.75" hidden="false" customHeight="true" outlineLevel="0" collapsed="false">
      <c r="A1563" s="7" t="n">
        <v>45774</v>
      </c>
      <c r="B1563" s="8" t="s">
        <v>16</v>
      </c>
      <c r="C1563" s="9" t="n">
        <v>14092</v>
      </c>
      <c r="D1563" s="8" t="s">
        <v>17</v>
      </c>
      <c r="E1563" s="10" t="s">
        <v>88</v>
      </c>
      <c r="F1563" s="8" t="str">
        <f aca="false">TEXT(A1563,"MM-YYYY")</f>
        <v>04-2025</v>
      </c>
      <c r="G1563" s="8"/>
      <c r="H1563" s="8"/>
      <c r="I1563" s="7"/>
      <c r="J1563" s="8" t="str">
        <f aca="false">VLOOKUP(B1563,Table3[#All],2,0)</f>
        <v>Sales</v>
      </c>
      <c r="K1563" s="8" t="str">
        <f aca="false">TEXT(ROW(), "0000")</f>
        <v>1563</v>
      </c>
      <c r="L1563" s="8"/>
    </row>
    <row r="1564" customFormat="false" ht="15.75" hidden="false" customHeight="true" outlineLevel="0" collapsed="false">
      <c r="A1564" s="7" t="n">
        <v>45774</v>
      </c>
      <c r="B1564" s="8" t="s">
        <v>16</v>
      </c>
      <c r="C1564" s="9" t="n">
        <v>5317</v>
      </c>
      <c r="D1564" s="8" t="s">
        <v>24</v>
      </c>
      <c r="E1564" s="10" t="s">
        <v>217</v>
      </c>
      <c r="F1564" s="8" t="str">
        <f aca="false">TEXT(A1564,"MM-YYYY")</f>
        <v>04-2025</v>
      </c>
      <c r="G1564" s="8"/>
      <c r="H1564" s="8"/>
      <c r="I1564" s="7"/>
      <c r="J1564" s="8" t="str">
        <f aca="false">VLOOKUP(B1564,Table3[#All],2,0)</f>
        <v>Sales</v>
      </c>
      <c r="K1564" s="8" t="str">
        <f aca="false">TEXT(ROW(), "0000")</f>
        <v>1564</v>
      </c>
      <c r="L1564" s="8"/>
    </row>
    <row r="1565" customFormat="false" ht="15.75" hidden="false" customHeight="true" outlineLevel="0" collapsed="false">
      <c r="A1565" s="7" t="n">
        <v>45774</v>
      </c>
      <c r="B1565" s="8" t="s">
        <v>50</v>
      </c>
      <c r="C1565" s="9" t="n">
        <v>1780</v>
      </c>
      <c r="D1565" s="8" t="s">
        <v>13</v>
      </c>
      <c r="E1565" s="10" t="s">
        <v>263</v>
      </c>
      <c r="F1565" s="8" t="str">
        <f aca="false">TEXT(A1565,"MM-YYYY")</f>
        <v>04-2025</v>
      </c>
      <c r="G1565" s="8" t="s">
        <v>14</v>
      </c>
      <c r="H1565" s="8" t="s">
        <v>13</v>
      </c>
      <c r="I1565" s="7" t="n">
        <v>45779</v>
      </c>
      <c r="J1565" s="8" t="str">
        <f aca="false">VLOOKUP(B1565,Table3[#All],2,0)</f>
        <v>Fixed Maintance</v>
      </c>
      <c r="K1565" s="8" t="str">
        <f aca="false">TEXT(ROW(), "0000")</f>
        <v>1565</v>
      </c>
      <c r="L1565" s="8"/>
    </row>
    <row r="1566" customFormat="false" ht="15.75" hidden="false" customHeight="true" outlineLevel="0" collapsed="false">
      <c r="A1566" s="7" t="n">
        <v>45774</v>
      </c>
      <c r="B1566" s="8" t="s">
        <v>25</v>
      </c>
      <c r="C1566" s="9" t="n">
        <v>550</v>
      </c>
      <c r="D1566" s="8" t="s">
        <v>45</v>
      </c>
      <c r="E1566" s="10" t="s">
        <v>62</v>
      </c>
      <c r="F1566" s="8" t="str">
        <f aca="false">TEXT(A1566,"MM-YYYY")</f>
        <v>04-2025</v>
      </c>
      <c r="G1566" s="8" t="s">
        <v>14</v>
      </c>
      <c r="H1566" s="8" t="s">
        <v>232</v>
      </c>
      <c r="I1566" s="7" t="n">
        <v>45774</v>
      </c>
      <c r="J1566" s="8" t="str">
        <f aca="false">VLOOKUP(B1566,Table3[#All],2,0)</f>
        <v>Inventory</v>
      </c>
      <c r="K1566" s="8" t="str">
        <f aca="false">TEXT(ROW(), "0000")</f>
        <v>1566</v>
      </c>
      <c r="L1566" s="8"/>
    </row>
    <row r="1567" customFormat="false" ht="15.75" hidden="false" customHeight="true" outlineLevel="0" collapsed="false">
      <c r="A1567" s="7" t="n">
        <v>45774</v>
      </c>
      <c r="B1567" s="8" t="s">
        <v>34</v>
      </c>
      <c r="C1567" s="9" t="n">
        <v>150</v>
      </c>
      <c r="D1567" s="8" t="s">
        <v>45</v>
      </c>
      <c r="E1567" s="10" t="s">
        <v>267</v>
      </c>
      <c r="F1567" s="8" t="str">
        <f aca="false">TEXT(A1567,"MM-YYYY")</f>
        <v>04-2025</v>
      </c>
      <c r="G1567" s="8" t="s">
        <v>14</v>
      </c>
      <c r="H1567" s="8" t="s">
        <v>232</v>
      </c>
      <c r="I1567" s="7" t="n">
        <v>45774</v>
      </c>
      <c r="J1567" s="8" t="str">
        <f aca="false">VLOOKUP(B1567,Table3[#All],2,0)</f>
        <v>Staff Expenses</v>
      </c>
      <c r="K1567" s="8" t="str">
        <f aca="false">TEXT(ROW(), "0000")</f>
        <v>1567</v>
      </c>
      <c r="L1567" s="8"/>
    </row>
    <row r="1568" customFormat="false" ht="15.75" hidden="false" customHeight="true" outlineLevel="0" collapsed="false">
      <c r="A1568" s="7" t="n">
        <v>45775</v>
      </c>
      <c r="B1568" s="8" t="s">
        <v>19</v>
      </c>
      <c r="C1568" s="9" t="n">
        <v>2739</v>
      </c>
      <c r="D1568" s="8" t="s">
        <v>13</v>
      </c>
      <c r="E1568" s="10" t="s">
        <v>20</v>
      </c>
      <c r="F1568" s="8" t="str">
        <f aca="false">TEXT(A1568,"MM-YYYY")</f>
        <v>04-2025</v>
      </c>
      <c r="G1568" s="8" t="s">
        <v>14</v>
      </c>
      <c r="H1568" s="8" t="s">
        <v>13</v>
      </c>
      <c r="I1568" s="7" t="n">
        <v>45779</v>
      </c>
      <c r="J1568" s="8" t="str">
        <f aca="false">VLOOKUP(B1568,Table3[#All],2,0)</f>
        <v>Inventory</v>
      </c>
      <c r="K1568" s="8" t="str">
        <f aca="false">TEXT(ROW(), "0000")</f>
        <v>1568</v>
      </c>
      <c r="L1568" s="8"/>
    </row>
    <row r="1569" customFormat="false" ht="15.75" hidden="false" customHeight="true" outlineLevel="0" collapsed="false">
      <c r="A1569" s="7" t="n">
        <v>45775</v>
      </c>
      <c r="B1569" s="8" t="s">
        <v>25</v>
      </c>
      <c r="C1569" s="9" t="n">
        <v>1365</v>
      </c>
      <c r="D1569" s="8" t="s">
        <v>13</v>
      </c>
      <c r="E1569" s="10" t="s">
        <v>26</v>
      </c>
      <c r="F1569" s="8" t="str">
        <f aca="false">TEXT(A1569,"MM-YYYY")</f>
        <v>04-2025</v>
      </c>
      <c r="G1569" s="8" t="s">
        <v>14</v>
      </c>
      <c r="H1569" s="8" t="s">
        <v>13</v>
      </c>
      <c r="I1569" s="7" t="n">
        <v>45790</v>
      </c>
      <c r="J1569" s="8" t="str">
        <f aca="false">VLOOKUP(B1569,Table3[#All],2,0)</f>
        <v>Inventory</v>
      </c>
      <c r="K1569" s="8" t="str">
        <f aca="false">TEXT(ROW(), "0000")</f>
        <v>1569</v>
      </c>
      <c r="L1569" s="8"/>
    </row>
    <row r="1570" customFormat="false" ht="15.75" hidden="false" customHeight="true" outlineLevel="0" collapsed="false">
      <c r="A1570" s="7" t="n">
        <v>45775</v>
      </c>
      <c r="B1570" s="8" t="s">
        <v>47</v>
      </c>
      <c r="C1570" s="9" t="n">
        <v>1680</v>
      </c>
      <c r="D1570" s="8" t="s">
        <v>13</v>
      </c>
      <c r="E1570" s="10" t="s">
        <v>223</v>
      </c>
      <c r="F1570" s="8" t="str">
        <f aca="false">TEXT(A1570,"MM-YYYY")</f>
        <v>04-2025</v>
      </c>
      <c r="G1570" s="8" t="s">
        <v>14</v>
      </c>
      <c r="H1570" s="8" t="s">
        <v>13</v>
      </c>
      <c r="I1570" s="7" t="n">
        <v>45787</v>
      </c>
      <c r="J1570" s="8" t="str">
        <f aca="false">VLOOKUP(B1570,Table3[#All],2,0)</f>
        <v>Inventory</v>
      </c>
      <c r="K1570" s="8" t="str">
        <f aca="false">TEXT(ROW(), "0000")</f>
        <v>1570</v>
      </c>
      <c r="L1570" s="8"/>
    </row>
    <row r="1571" customFormat="false" ht="15.75" hidden="false" customHeight="true" outlineLevel="0" collapsed="false">
      <c r="A1571" s="7" t="n">
        <v>45775</v>
      </c>
      <c r="B1571" s="8" t="s">
        <v>29</v>
      </c>
      <c r="C1571" s="9" t="n">
        <v>442</v>
      </c>
      <c r="D1571" s="8" t="s">
        <v>13</v>
      </c>
      <c r="E1571" s="10" t="s">
        <v>231</v>
      </c>
      <c r="F1571" s="8" t="str">
        <f aca="false">TEXT(A1571,"MM-YYYY")</f>
        <v>04-2025</v>
      </c>
      <c r="G1571" s="8" t="s">
        <v>14</v>
      </c>
      <c r="H1571" s="8" t="s">
        <v>13</v>
      </c>
      <c r="I1571" s="7" t="n">
        <v>45790</v>
      </c>
      <c r="J1571" s="8" t="str">
        <f aca="false">VLOOKUP(B1571,Table3[#All],2,0)</f>
        <v>Inventory</v>
      </c>
      <c r="K1571" s="8" t="str">
        <f aca="false">TEXT(ROW(), "0000")</f>
        <v>1571</v>
      </c>
      <c r="L1571" s="8"/>
    </row>
    <row r="1572" customFormat="false" ht="15.75" hidden="false" customHeight="true" outlineLevel="0" collapsed="false">
      <c r="A1572" s="7" t="n">
        <v>45775</v>
      </c>
      <c r="B1572" s="8" t="s">
        <v>22</v>
      </c>
      <c r="C1572" s="9" t="n">
        <v>5239</v>
      </c>
      <c r="D1572" s="8" t="s">
        <v>13</v>
      </c>
      <c r="E1572" s="10" t="s">
        <v>23</v>
      </c>
      <c r="F1572" s="8" t="str">
        <f aca="false">TEXT(A1572,"MM-YYYY")</f>
        <v>04-2025</v>
      </c>
      <c r="G1572" s="8" t="s">
        <v>14</v>
      </c>
      <c r="H1572" s="8" t="s">
        <v>13</v>
      </c>
      <c r="I1572" s="7" t="n">
        <v>45779</v>
      </c>
      <c r="J1572" s="8" t="str">
        <f aca="false">VLOOKUP(B1572,Table3[#All],2,0)</f>
        <v>Inventory</v>
      </c>
      <c r="K1572" s="8" t="str">
        <f aca="false">TEXT(ROW(), "0000")</f>
        <v>1572</v>
      </c>
      <c r="L1572" s="8"/>
    </row>
    <row r="1573" customFormat="false" ht="15.75" hidden="false" customHeight="true" outlineLevel="0" collapsed="false">
      <c r="A1573" s="7" t="n">
        <v>45775</v>
      </c>
      <c r="B1573" s="8" t="s">
        <v>32</v>
      </c>
      <c r="C1573" s="9" t="n">
        <v>105</v>
      </c>
      <c r="D1573" s="8" t="s">
        <v>21</v>
      </c>
      <c r="E1573" s="10" t="s">
        <v>38</v>
      </c>
      <c r="F1573" s="8" t="str">
        <f aca="false">TEXT(A1573,"MM-YYYY")</f>
        <v>04-2025</v>
      </c>
      <c r="G1573" s="8" t="s">
        <v>14</v>
      </c>
      <c r="H1573" s="8" t="s">
        <v>15</v>
      </c>
      <c r="I1573" s="7" t="n">
        <v>45775</v>
      </c>
      <c r="J1573" s="8" t="str">
        <f aca="false">VLOOKUP(B1573,Table3[#All],2,0)</f>
        <v>Grocery</v>
      </c>
      <c r="K1573" s="8" t="str">
        <f aca="false">TEXT(ROW(), "0000")</f>
        <v>1573</v>
      </c>
      <c r="L1573" s="8"/>
    </row>
    <row r="1574" customFormat="false" ht="15.75" hidden="false" customHeight="true" outlineLevel="0" collapsed="false">
      <c r="A1574" s="7" t="n">
        <v>45775</v>
      </c>
      <c r="B1574" s="8" t="s">
        <v>29</v>
      </c>
      <c r="C1574" s="9" t="n">
        <v>830</v>
      </c>
      <c r="D1574" s="8" t="s">
        <v>45</v>
      </c>
      <c r="E1574" s="10" t="s">
        <v>293</v>
      </c>
      <c r="F1574" s="8" t="str">
        <f aca="false">TEXT(A1574,"MM-YYYY")</f>
        <v>04-2025</v>
      </c>
      <c r="G1574" s="8" t="s">
        <v>14</v>
      </c>
      <c r="H1574" s="8" t="s">
        <v>232</v>
      </c>
      <c r="I1574" s="7" t="n">
        <v>45775</v>
      </c>
      <c r="J1574" s="8" t="str">
        <f aca="false">VLOOKUP(B1574,Table3[#All],2,0)</f>
        <v>Inventory</v>
      </c>
      <c r="K1574" s="8" t="str">
        <f aca="false">TEXT(ROW(), "0000")</f>
        <v>1574</v>
      </c>
      <c r="L1574" s="8"/>
    </row>
    <row r="1575" customFormat="false" ht="15.75" hidden="false" customHeight="true" outlineLevel="0" collapsed="false">
      <c r="A1575" s="7" t="n">
        <v>45775</v>
      </c>
      <c r="B1575" s="8" t="s">
        <v>50</v>
      </c>
      <c r="C1575" s="9" t="n">
        <v>1780</v>
      </c>
      <c r="D1575" s="8" t="s">
        <v>13</v>
      </c>
      <c r="E1575" s="10" t="s">
        <v>263</v>
      </c>
      <c r="F1575" s="8" t="str">
        <f aca="false">TEXT(A1575,"MM-YYYY")</f>
        <v>04-2025</v>
      </c>
      <c r="G1575" s="8" t="s">
        <v>14</v>
      </c>
      <c r="H1575" s="8" t="s">
        <v>13</v>
      </c>
      <c r="I1575" s="7" t="n">
        <v>45779</v>
      </c>
      <c r="J1575" s="8" t="str">
        <f aca="false">VLOOKUP(B1575,Table3[#All],2,0)</f>
        <v>Fixed Maintance</v>
      </c>
      <c r="K1575" s="8" t="str">
        <f aca="false">TEXT(ROW(), "0000")</f>
        <v>1575</v>
      </c>
      <c r="L1575" s="8"/>
    </row>
    <row r="1576" customFormat="false" ht="15.75" hidden="false" customHeight="true" outlineLevel="0" collapsed="false">
      <c r="A1576" s="7" t="n">
        <v>45775</v>
      </c>
      <c r="B1576" s="8" t="s">
        <v>16</v>
      </c>
      <c r="C1576" s="9" t="n">
        <v>5320</v>
      </c>
      <c r="D1576" s="8" t="s">
        <v>21</v>
      </c>
      <c r="E1576" s="10" t="s">
        <v>88</v>
      </c>
      <c r="F1576" s="8" t="str">
        <f aca="false">TEXT(A1576,"MM-YYYY")</f>
        <v>04-2025</v>
      </c>
      <c r="G1576" s="8"/>
      <c r="H1576" s="8"/>
      <c r="I1576" s="7"/>
      <c r="J1576" s="8" t="str">
        <f aca="false">VLOOKUP(B1576,Table3[#All],2,0)</f>
        <v>Sales</v>
      </c>
      <c r="K1576" s="8" t="str">
        <f aca="false">TEXT(ROW(), "0000")</f>
        <v>1576</v>
      </c>
      <c r="L1576" s="8"/>
    </row>
    <row r="1577" customFormat="false" ht="15.75" hidden="false" customHeight="true" outlineLevel="0" collapsed="false">
      <c r="A1577" s="7" t="n">
        <v>45775</v>
      </c>
      <c r="B1577" s="8" t="s">
        <v>16</v>
      </c>
      <c r="C1577" s="9" t="n">
        <v>350</v>
      </c>
      <c r="D1577" s="8" t="s">
        <v>33</v>
      </c>
      <c r="E1577" s="10" t="s">
        <v>88</v>
      </c>
      <c r="F1577" s="8" t="str">
        <f aca="false">TEXT(A1577,"MM-YYYY")</f>
        <v>04-2025</v>
      </c>
      <c r="G1577" s="8"/>
      <c r="H1577" s="8"/>
      <c r="I1577" s="7"/>
      <c r="J1577" s="8" t="str">
        <f aca="false">VLOOKUP(B1577,Table3[#All],2,0)</f>
        <v>Sales</v>
      </c>
      <c r="K1577" s="8" t="str">
        <f aca="false">TEXT(ROW(), "0000")</f>
        <v>1577</v>
      </c>
      <c r="L1577" s="8"/>
    </row>
    <row r="1578" customFormat="false" ht="15.75" hidden="false" customHeight="true" outlineLevel="0" collapsed="false">
      <c r="A1578" s="7" t="n">
        <v>45775</v>
      </c>
      <c r="B1578" s="8" t="s">
        <v>16</v>
      </c>
      <c r="C1578" s="9" t="n">
        <v>12895</v>
      </c>
      <c r="D1578" s="8" t="s">
        <v>17</v>
      </c>
      <c r="E1578" s="10" t="s">
        <v>88</v>
      </c>
      <c r="F1578" s="8" t="str">
        <f aca="false">TEXT(A1578,"MM-YYYY")</f>
        <v>04-2025</v>
      </c>
      <c r="G1578" s="8"/>
      <c r="H1578" s="8"/>
      <c r="I1578" s="7"/>
      <c r="J1578" s="8" t="str">
        <f aca="false">VLOOKUP(B1578,Table3[#All],2,0)</f>
        <v>Sales</v>
      </c>
      <c r="K1578" s="8" t="str">
        <f aca="false">TEXT(ROW(), "0000")</f>
        <v>1578</v>
      </c>
      <c r="L1578" s="8"/>
    </row>
    <row r="1579" customFormat="false" ht="15.75" hidden="false" customHeight="true" outlineLevel="0" collapsed="false">
      <c r="A1579" s="7" t="n">
        <v>45775</v>
      </c>
      <c r="B1579" s="8" t="s">
        <v>16</v>
      </c>
      <c r="C1579" s="9" t="n">
        <v>1487</v>
      </c>
      <c r="D1579" s="8" t="s">
        <v>24</v>
      </c>
      <c r="E1579" s="10" t="s">
        <v>217</v>
      </c>
      <c r="F1579" s="8" t="str">
        <f aca="false">TEXT(A1579,"MM-YYYY")</f>
        <v>04-2025</v>
      </c>
      <c r="G1579" s="8"/>
      <c r="H1579" s="8"/>
      <c r="I1579" s="7"/>
      <c r="J1579" s="8" t="str">
        <f aca="false">VLOOKUP(B1579,Table3[#All],2,0)</f>
        <v>Sales</v>
      </c>
      <c r="K1579" s="8" t="str">
        <f aca="false">TEXT(ROW(), "0000")</f>
        <v>1579</v>
      </c>
      <c r="L1579" s="8"/>
    </row>
    <row r="1580" customFormat="false" ht="15.75" hidden="false" customHeight="true" outlineLevel="0" collapsed="false">
      <c r="A1580" s="7" t="n">
        <v>45775</v>
      </c>
      <c r="B1580" s="8" t="s">
        <v>37</v>
      </c>
      <c r="C1580" s="9" t="n">
        <v>15</v>
      </c>
      <c r="D1580" s="8" t="s">
        <v>21</v>
      </c>
      <c r="E1580" s="8" t="s">
        <v>37</v>
      </c>
      <c r="F1580" s="8" t="str">
        <f aca="false">TEXT(A1580,"MM-YYYY")</f>
        <v>04-2025</v>
      </c>
      <c r="G1580" s="8" t="s">
        <v>14</v>
      </c>
      <c r="H1580" s="8" t="s">
        <v>15</v>
      </c>
      <c r="I1580" s="7" t="n">
        <v>45775</v>
      </c>
      <c r="J1580" s="8" t="str">
        <f aca="false">VLOOKUP(B1580,Table3[#All],2,0)</f>
        <v>Maintance</v>
      </c>
      <c r="K1580" s="8" t="str">
        <f aca="false">TEXT(ROW(), "0000")</f>
        <v>1580</v>
      </c>
      <c r="L1580" s="8"/>
    </row>
    <row r="1581" customFormat="false" ht="15.75" hidden="false" customHeight="true" outlineLevel="0" collapsed="false">
      <c r="A1581" s="7" t="n">
        <v>45775</v>
      </c>
      <c r="B1581" s="8" t="s">
        <v>34</v>
      </c>
      <c r="C1581" s="9" t="n">
        <v>120</v>
      </c>
      <c r="D1581" s="8" t="s">
        <v>45</v>
      </c>
      <c r="E1581" s="10" t="s">
        <v>267</v>
      </c>
      <c r="F1581" s="8" t="str">
        <f aca="false">TEXT(A1581,"MM-YYYY")</f>
        <v>04-2025</v>
      </c>
      <c r="G1581" s="8" t="s">
        <v>14</v>
      </c>
      <c r="H1581" s="8" t="s">
        <v>232</v>
      </c>
      <c r="I1581" s="7" t="n">
        <v>45775</v>
      </c>
      <c r="J1581" s="8" t="str">
        <f aca="false">VLOOKUP(B1581,Table3[#All],2,0)</f>
        <v>Staff Expenses</v>
      </c>
      <c r="K1581" s="8" t="str">
        <f aca="false">TEXT(ROW(), "0000")</f>
        <v>1581</v>
      </c>
      <c r="L1581" s="8"/>
    </row>
    <row r="1582" customFormat="false" ht="15.75" hidden="false" customHeight="true" outlineLevel="0" collapsed="false">
      <c r="A1582" s="7" t="n">
        <v>45776</v>
      </c>
      <c r="B1582" s="8" t="s">
        <v>25</v>
      </c>
      <c r="C1582" s="9" t="n">
        <v>783</v>
      </c>
      <c r="D1582" s="8" t="s">
        <v>13</v>
      </c>
      <c r="E1582" s="10" t="s">
        <v>26</v>
      </c>
      <c r="F1582" s="8" t="str">
        <f aca="false">TEXT(A1582,"MM-YYYY")</f>
        <v>04-2025</v>
      </c>
      <c r="G1582" s="8" t="s">
        <v>14</v>
      </c>
      <c r="H1582" s="8" t="s">
        <v>13</v>
      </c>
      <c r="I1582" s="7" t="n">
        <v>45790</v>
      </c>
      <c r="J1582" s="8" t="str">
        <f aca="false">VLOOKUP(B1582,Table3[#All],2,0)</f>
        <v>Inventory</v>
      </c>
      <c r="K1582" s="8" t="str">
        <f aca="false">TEXT(ROW(), "0000")</f>
        <v>1582</v>
      </c>
      <c r="L1582" s="8"/>
    </row>
    <row r="1583" customFormat="false" ht="15.75" hidden="false" customHeight="true" outlineLevel="0" collapsed="false">
      <c r="A1583" s="7" t="n">
        <v>45776</v>
      </c>
      <c r="B1583" s="8" t="s">
        <v>22</v>
      </c>
      <c r="C1583" s="9" t="n">
        <v>1502</v>
      </c>
      <c r="D1583" s="8" t="s">
        <v>13</v>
      </c>
      <c r="E1583" s="10" t="s">
        <v>110</v>
      </c>
      <c r="F1583" s="8" t="str">
        <f aca="false">TEXT(A1583,"MM-YYYY")</f>
        <v>04-2025</v>
      </c>
      <c r="G1583" s="8" t="s">
        <v>14</v>
      </c>
      <c r="H1583" s="8" t="s">
        <v>13</v>
      </c>
      <c r="I1583" s="7" t="n">
        <v>45779</v>
      </c>
      <c r="J1583" s="8" t="str">
        <f aca="false">VLOOKUP(B1583,Table3[#All],2,0)</f>
        <v>Inventory</v>
      </c>
      <c r="K1583" s="8" t="str">
        <f aca="false">TEXT(ROW(), "0000")</f>
        <v>1583</v>
      </c>
      <c r="L1583" s="8"/>
    </row>
    <row r="1584" customFormat="false" ht="15.75" hidden="false" customHeight="true" outlineLevel="0" collapsed="false">
      <c r="A1584" s="7" t="n">
        <v>45776</v>
      </c>
      <c r="B1584" s="8" t="s">
        <v>22</v>
      </c>
      <c r="C1584" s="9" t="n">
        <v>520</v>
      </c>
      <c r="D1584" s="8" t="s">
        <v>45</v>
      </c>
      <c r="E1584" s="10" t="s">
        <v>294</v>
      </c>
      <c r="F1584" s="8" t="str">
        <f aca="false">TEXT(A1584,"MM-YYYY")</f>
        <v>04-2025</v>
      </c>
      <c r="G1584" s="8" t="s">
        <v>14</v>
      </c>
      <c r="H1584" s="8" t="s">
        <v>232</v>
      </c>
      <c r="I1584" s="7" t="n">
        <v>45776</v>
      </c>
      <c r="J1584" s="8" t="str">
        <f aca="false">VLOOKUP(B1584,Table3[#All],2,0)</f>
        <v>Inventory</v>
      </c>
      <c r="K1584" s="8" t="str">
        <f aca="false">TEXT(ROW(), "0000")</f>
        <v>1584</v>
      </c>
      <c r="L1584" s="8"/>
    </row>
    <row r="1585" customFormat="false" ht="15.75" hidden="false" customHeight="true" outlineLevel="0" collapsed="false">
      <c r="A1585" s="7" t="n">
        <v>45776</v>
      </c>
      <c r="B1585" s="8" t="s">
        <v>29</v>
      </c>
      <c r="C1585" s="9" t="n">
        <v>324</v>
      </c>
      <c r="D1585" s="8" t="s">
        <v>13</v>
      </c>
      <c r="E1585" s="10" t="s">
        <v>231</v>
      </c>
      <c r="F1585" s="8" t="str">
        <f aca="false">TEXT(A1585,"MM-YYYY")</f>
        <v>04-2025</v>
      </c>
      <c r="G1585" s="8" t="s">
        <v>14</v>
      </c>
      <c r="H1585" s="8" t="s">
        <v>13</v>
      </c>
      <c r="I1585" s="7" t="n">
        <v>45790</v>
      </c>
      <c r="J1585" s="8" t="str">
        <f aca="false">VLOOKUP(B1585,Table3[#All],2,0)</f>
        <v>Inventory</v>
      </c>
      <c r="K1585" s="8" t="str">
        <f aca="false">TEXT(ROW(), "0000")</f>
        <v>1585</v>
      </c>
      <c r="L1585" s="8"/>
    </row>
    <row r="1586" customFormat="false" ht="15.75" hidden="false" customHeight="true" outlineLevel="0" collapsed="false">
      <c r="A1586" s="7" t="n">
        <v>45776</v>
      </c>
      <c r="B1586" s="8" t="s">
        <v>19</v>
      </c>
      <c r="C1586" s="9" t="n">
        <v>3188</v>
      </c>
      <c r="D1586" s="8" t="s">
        <v>13</v>
      </c>
      <c r="E1586" s="10" t="s">
        <v>20</v>
      </c>
      <c r="F1586" s="8" t="str">
        <f aca="false">TEXT(A1586,"MM-YYYY")</f>
        <v>04-2025</v>
      </c>
      <c r="G1586" s="8" t="s">
        <v>14</v>
      </c>
      <c r="H1586" s="8" t="s">
        <v>13</v>
      </c>
      <c r="I1586" s="7" t="n">
        <v>45779</v>
      </c>
      <c r="J1586" s="8" t="str">
        <f aca="false">VLOOKUP(B1586,Table3[#All],2,0)</f>
        <v>Inventory</v>
      </c>
      <c r="K1586" s="8" t="str">
        <f aca="false">TEXT(ROW(), "0000")</f>
        <v>1586</v>
      </c>
      <c r="L1586" s="8"/>
    </row>
    <row r="1587" customFormat="false" ht="15.75" hidden="false" customHeight="true" outlineLevel="0" collapsed="false">
      <c r="A1587" s="7" t="n">
        <v>45776</v>
      </c>
      <c r="B1587" s="8" t="s">
        <v>32</v>
      </c>
      <c r="C1587" s="9" t="n">
        <v>140</v>
      </c>
      <c r="D1587" s="8" t="s">
        <v>21</v>
      </c>
      <c r="E1587" s="10" t="s">
        <v>38</v>
      </c>
      <c r="F1587" s="8" t="str">
        <f aca="false">TEXT(A1587,"MM-YYYY")</f>
        <v>04-2025</v>
      </c>
      <c r="G1587" s="8" t="s">
        <v>14</v>
      </c>
      <c r="H1587" s="8" t="s">
        <v>15</v>
      </c>
      <c r="I1587" s="7" t="n">
        <v>45776</v>
      </c>
      <c r="J1587" s="8" t="str">
        <f aca="false">VLOOKUP(B1587,Table3[#All],2,0)</f>
        <v>Grocery</v>
      </c>
      <c r="K1587" s="8" t="str">
        <f aca="false">TEXT(ROW(), "0000")</f>
        <v>1587</v>
      </c>
      <c r="L1587" s="8"/>
    </row>
    <row r="1588" customFormat="false" ht="15.75" hidden="false" customHeight="true" outlineLevel="0" collapsed="false">
      <c r="A1588" s="7" t="n">
        <v>45776</v>
      </c>
      <c r="B1588" s="8" t="s">
        <v>25</v>
      </c>
      <c r="C1588" s="9" t="n">
        <v>350</v>
      </c>
      <c r="D1588" s="8" t="s">
        <v>45</v>
      </c>
      <c r="E1588" s="10" t="s">
        <v>272</v>
      </c>
      <c r="F1588" s="8" t="str">
        <f aca="false">TEXT(A1588,"MM-YYYY")</f>
        <v>04-2025</v>
      </c>
      <c r="G1588" s="8" t="s">
        <v>14</v>
      </c>
      <c r="H1588" s="8" t="s">
        <v>232</v>
      </c>
      <c r="I1588" s="7" t="n">
        <v>45776</v>
      </c>
      <c r="J1588" s="8" t="str">
        <f aca="false">VLOOKUP(B1588,Table3[#All],2,0)</f>
        <v>Inventory</v>
      </c>
      <c r="K1588" s="8" t="str">
        <f aca="false">TEXT(ROW(), "0000")</f>
        <v>1588</v>
      </c>
      <c r="L1588" s="8"/>
    </row>
    <row r="1589" customFormat="false" ht="15.75" hidden="false" customHeight="true" outlineLevel="0" collapsed="false">
      <c r="A1589" s="7" t="n">
        <v>45776</v>
      </c>
      <c r="B1589" s="8" t="s">
        <v>16</v>
      </c>
      <c r="C1589" s="9" t="n">
        <v>4929</v>
      </c>
      <c r="D1589" s="8" t="s">
        <v>21</v>
      </c>
      <c r="E1589" s="10" t="s">
        <v>88</v>
      </c>
      <c r="F1589" s="8" t="str">
        <f aca="false">TEXT(A1589,"MM-YYYY")</f>
        <v>04-2025</v>
      </c>
      <c r="G1589" s="8"/>
      <c r="H1589" s="8"/>
      <c r="I1589" s="7"/>
      <c r="J1589" s="8" t="str">
        <f aca="false">VLOOKUP(B1589,Table3[#All],2,0)</f>
        <v>Sales</v>
      </c>
      <c r="K1589" s="8" t="str">
        <f aca="false">TEXT(ROW(), "0000")</f>
        <v>1589</v>
      </c>
      <c r="L1589" s="8"/>
    </row>
    <row r="1590" customFormat="false" ht="15.75" hidden="false" customHeight="true" outlineLevel="0" collapsed="false">
      <c r="A1590" s="7" t="n">
        <v>45776</v>
      </c>
      <c r="B1590" s="8" t="s">
        <v>16</v>
      </c>
      <c r="C1590" s="9" t="n">
        <v>155</v>
      </c>
      <c r="D1590" s="8" t="s">
        <v>27</v>
      </c>
      <c r="E1590" s="10" t="s">
        <v>88</v>
      </c>
      <c r="F1590" s="8" t="str">
        <f aca="false">TEXT(A1590,"MM-YYYY")</f>
        <v>04-2025</v>
      </c>
      <c r="G1590" s="8"/>
      <c r="H1590" s="8"/>
      <c r="I1590" s="7"/>
      <c r="J1590" s="8" t="str">
        <f aca="false">VLOOKUP(B1590,Table3[#All],2,0)</f>
        <v>Sales</v>
      </c>
      <c r="K1590" s="8" t="str">
        <f aca="false">TEXT(ROW(), "0000")</f>
        <v>1590</v>
      </c>
      <c r="L1590" s="8"/>
    </row>
    <row r="1591" customFormat="false" ht="15.75" hidden="false" customHeight="true" outlineLevel="0" collapsed="false">
      <c r="A1591" s="7" t="n">
        <v>45776</v>
      </c>
      <c r="B1591" s="8" t="s">
        <v>16</v>
      </c>
      <c r="C1591" s="9" t="n">
        <v>150</v>
      </c>
      <c r="D1591" s="8" t="s">
        <v>33</v>
      </c>
      <c r="E1591" s="10" t="s">
        <v>88</v>
      </c>
      <c r="F1591" s="8" t="str">
        <f aca="false">TEXT(A1591,"MM-YYYY")</f>
        <v>04-2025</v>
      </c>
      <c r="G1591" s="8"/>
      <c r="H1591" s="8"/>
      <c r="I1591" s="7"/>
      <c r="J1591" s="8" t="str">
        <f aca="false">VLOOKUP(B1591,Table3[#All],2,0)</f>
        <v>Sales</v>
      </c>
      <c r="K1591" s="8" t="str">
        <f aca="false">TEXT(ROW(), "0000")</f>
        <v>1591</v>
      </c>
      <c r="L1591" s="8"/>
    </row>
    <row r="1592" customFormat="false" ht="15.75" hidden="false" customHeight="true" outlineLevel="0" collapsed="false">
      <c r="A1592" s="7" t="n">
        <v>45776</v>
      </c>
      <c r="B1592" s="8" t="s">
        <v>16</v>
      </c>
      <c r="C1592" s="9" t="n">
        <v>11364</v>
      </c>
      <c r="D1592" s="8" t="s">
        <v>17</v>
      </c>
      <c r="E1592" s="10" t="s">
        <v>88</v>
      </c>
      <c r="F1592" s="8" t="str">
        <f aca="false">TEXT(A1592,"MM-YYYY")</f>
        <v>04-2025</v>
      </c>
      <c r="G1592" s="8"/>
      <c r="H1592" s="8"/>
      <c r="I1592" s="7"/>
      <c r="J1592" s="8" t="str">
        <f aca="false">VLOOKUP(B1592,Table3[#All],2,0)</f>
        <v>Sales</v>
      </c>
      <c r="K1592" s="8" t="str">
        <f aca="false">TEXT(ROW(), "0000")</f>
        <v>1592</v>
      </c>
      <c r="L1592" s="8"/>
    </row>
    <row r="1593" customFormat="false" ht="15.75" hidden="false" customHeight="true" outlineLevel="0" collapsed="false">
      <c r="A1593" s="7" t="n">
        <v>45776</v>
      </c>
      <c r="B1593" s="8" t="s">
        <v>16</v>
      </c>
      <c r="C1593" s="9" t="n">
        <v>1255</v>
      </c>
      <c r="D1593" s="8" t="s">
        <v>59</v>
      </c>
      <c r="E1593" s="10" t="s">
        <v>88</v>
      </c>
      <c r="F1593" s="8" t="str">
        <f aca="false">TEXT(A1593,"MM-YYYY")</f>
        <v>04-2025</v>
      </c>
      <c r="G1593" s="8"/>
      <c r="H1593" s="8"/>
      <c r="I1593" s="7"/>
      <c r="J1593" s="8" t="str">
        <f aca="false">VLOOKUP(B1593,Table3[#All],2,0)</f>
        <v>Sales</v>
      </c>
      <c r="K1593" s="8" t="str">
        <f aca="false">TEXT(ROW(), "0000")</f>
        <v>1593</v>
      </c>
      <c r="L1593" s="8"/>
    </row>
    <row r="1594" customFormat="false" ht="15.75" hidden="false" customHeight="true" outlineLevel="0" collapsed="false">
      <c r="A1594" s="7" t="n">
        <v>45776</v>
      </c>
      <c r="B1594" s="8" t="s">
        <v>16</v>
      </c>
      <c r="C1594" s="9" t="n">
        <v>1358</v>
      </c>
      <c r="D1594" s="8" t="s">
        <v>24</v>
      </c>
      <c r="E1594" s="10" t="s">
        <v>217</v>
      </c>
      <c r="F1594" s="8" t="str">
        <f aca="false">TEXT(A1594,"MM-YYYY")</f>
        <v>04-2025</v>
      </c>
      <c r="G1594" s="8"/>
      <c r="H1594" s="8"/>
      <c r="I1594" s="7"/>
      <c r="J1594" s="8" t="str">
        <f aca="false">VLOOKUP(B1594,Table3[#All],2,0)</f>
        <v>Sales</v>
      </c>
      <c r="K1594" s="8" t="str">
        <f aca="false">TEXT(ROW(), "0000")</f>
        <v>1594</v>
      </c>
      <c r="L1594" s="8"/>
    </row>
    <row r="1595" customFormat="false" ht="15.75" hidden="false" customHeight="true" outlineLevel="0" collapsed="false">
      <c r="A1595" s="7" t="n">
        <v>45776</v>
      </c>
      <c r="B1595" s="8" t="s">
        <v>37</v>
      </c>
      <c r="C1595" s="9" t="n">
        <v>29</v>
      </c>
      <c r="D1595" s="8" t="s">
        <v>21</v>
      </c>
      <c r="E1595" s="8" t="s">
        <v>37</v>
      </c>
      <c r="F1595" s="8" t="str">
        <f aca="false">TEXT(A1595,"MM-YYYY")</f>
        <v>04-2025</v>
      </c>
      <c r="G1595" s="8" t="s">
        <v>14</v>
      </c>
      <c r="H1595" s="8" t="s">
        <v>15</v>
      </c>
      <c r="I1595" s="7" t="n">
        <v>45776</v>
      </c>
      <c r="J1595" s="8" t="str">
        <f aca="false">VLOOKUP(B1595,Table3[#All],2,0)</f>
        <v>Maintance</v>
      </c>
      <c r="K1595" s="8" t="str">
        <f aca="false">TEXT(ROW(), "0000")</f>
        <v>1595</v>
      </c>
      <c r="L1595" s="8"/>
    </row>
    <row r="1596" customFormat="false" ht="15.75" hidden="false" customHeight="true" outlineLevel="0" collapsed="false">
      <c r="A1596" s="7" t="n">
        <v>45776</v>
      </c>
      <c r="B1596" s="8" t="s">
        <v>34</v>
      </c>
      <c r="C1596" s="9" t="n">
        <v>130</v>
      </c>
      <c r="D1596" s="8" t="s">
        <v>45</v>
      </c>
      <c r="E1596" s="10" t="s">
        <v>267</v>
      </c>
      <c r="F1596" s="8" t="str">
        <f aca="false">TEXT(A1596,"MM-YYYY")</f>
        <v>04-2025</v>
      </c>
      <c r="G1596" s="8" t="s">
        <v>14</v>
      </c>
      <c r="H1596" s="8" t="s">
        <v>15</v>
      </c>
      <c r="I1596" s="7" t="n">
        <v>45776</v>
      </c>
      <c r="J1596" s="8" t="str">
        <f aca="false">VLOOKUP(B1596,Table3[#All],2,0)</f>
        <v>Staff Expenses</v>
      </c>
      <c r="K1596" s="8" t="str">
        <f aca="false">TEXT(ROW(), "0000")</f>
        <v>1596</v>
      </c>
      <c r="L1596" s="8"/>
    </row>
    <row r="1597" customFormat="false" ht="15.75" hidden="false" customHeight="true" outlineLevel="0" collapsed="false">
      <c r="A1597" s="7" t="n">
        <v>45776</v>
      </c>
      <c r="B1597" s="8" t="s">
        <v>29</v>
      </c>
      <c r="C1597" s="9" t="n">
        <v>10</v>
      </c>
      <c r="D1597" s="8" t="s">
        <v>21</v>
      </c>
      <c r="E1597" s="10" t="s">
        <v>194</v>
      </c>
      <c r="F1597" s="8" t="str">
        <f aca="false">TEXT(A1597,"MM-YYYY")</f>
        <v>04-2025</v>
      </c>
      <c r="G1597" s="8" t="s">
        <v>14</v>
      </c>
      <c r="H1597" s="8" t="s">
        <v>15</v>
      </c>
      <c r="I1597" s="7" t="n">
        <v>45776</v>
      </c>
      <c r="J1597" s="8" t="str">
        <f aca="false">VLOOKUP(B1597,Table3[#All],2,0)</f>
        <v>Inventory</v>
      </c>
      <c r="K1597" s="8" t="str">
        <f aca="false">TEXT(ROW(), "0000")</f>
        <v>1597</v>
      </c>
      <c r="L1597" s="8"/>
    </row>
    <row r="1598" customFormat="false" ht="15.75" hidden="false" customHeight="true" outlineLevel="0" collapsed="false">
      <c r="A1598" s="7" t="n">
        <v>45777</v>
      </c>
      <c r="B1598" s="8" t="s">
        <v>22</v>
      </c>
      <c r="C1598" s="9" t="n">
        <v>720</v>
      </c>
      <c r="D1598" s="8" t="s">
        <v>13</v>
      </c>
      <c r="E1598" s="10" t="s">
        <v>110</v>
      </c>
      <c r="F1598" s="8" t="str">
        <f aca="false">TEXT(A1598,"MM-YYYY")</f>
        <v>04-2025</v>
      </c>
      <c r="G1598" s="8" t="s">
        <v>14</v>
      </c>
      <c r="H1598" s="8" t="s">
        <v>13</v>
      </c>
      <c r="I1598" s="7" t="n">
        <v>45782</v>
      </c>
      <c r="J1598" s="8" t="str">
        <f aca="false">VLOOKUP(B1598,Table3[#All],2,0)</f>
        <v>Inventory</v>
      </c>
      <c r="K1598" s="8" t="str">
        <f aca="false">TEXT(ROW(), "0000")</f>
        <v>1598</v>
      </c>
      <c r="L1598" s="8"/>
    </row>
    <row r="1599" customFormat="false" ht="15.75" hidden="false" customHeight="true" outlineLevel="0" collapsed="false">
      <c r="A1599" s="7" t="n">
        <v>45777</v>
      </c>
      <c r="B1599" s="8" t="s">
        <v>47</v>
      </c>
      <c r="C1599" s="9" t="n">
        <v>840</v>
      </c>
      <c r="D1599" s="8" t="s">
        <v>13</v>
      </c>
      <c r="E1599" s="10" t="s">
        <v>223</v>
      </c>
      <c r="F1599" s="8" t="str">
        <f aca="false">TEXT(A1599,"MM-YYYY")</f>
        <v>04-2025</v>
      </c>
      <c r="G1599" s="8" t="s">
        <v>14</v>
      </c>
      <c r="H1599" s="8" t="s">
        <v>13</v>
      </c>
      <c r="I1599" s="7" t="n">
        <v>45787</v>
      </c>
      <c r="J1599" s="8" t="str">
        <f aca="false">VLOOKUP(B1599,Table3[#All],2,0)</f>
        <v>Inventory</v>
      </c>
      <c r="K1599" s="8" t="str">
        <f aca="false">TEXT(ROW(), "0000")</f>
        <v>1599</v>
      </c>
      <c r="L1599" s="8"/>
    </row>
    <row r="1600" customFormat="false" ht="15.75" hidden="false" customHeight="true" outlineLevel="0" collapsed="false">
      <c r="A1600" s="7" t="n">
        <v>45777</v>
      </c>
      <c r="B1600" s="8" t="s">
        <v>19</v>
      </c>
      <c r="C1600" s="9" t="n">
        <v>3465</v>
      </c>
      <c r="D1600" s="8" t="s">
        <v>13</v>
      </c>
      <c r="E1600" s="10" t="s">
        <v>20</v>
      </c>
      <c r="F1600" s="8" t="str">
        <f aca="false">TEXT(A1600,"MM-YYYY")</f>
        <v>04-2025</v>
      </c>
      <c r="G1600" s="8" t="s">
        <v>14</v>
      </c>
      <c r="H1600" s="8" t="s">
        <v>13</v>
      </c>
      <c r="I1600" s="7" t="n">
        <v>45782</v>
      </c>
      <c r="J1600" s="8" t="str">
        <f aca="false">VLOOKUP(B1600,Table3[#All],2,0)</f>
        <v>Inventory</v>
      </c>
      <c r="K1600" s="8" t="str">
        <f aca="false">TEXT(ROW(), "0000")</f>
        <v>1600</v>
      </c>
      <c r="L1600" s="8"/>
    </row>
    <row r="1601" customFormat="false" ht="15.75" hidden="false" customHeight="true" outlineLevel="0" collapsed="false">
      <c r="A1601" s="7" t="n">
        <v>45777</v>
      </c>
      <c r="B1601" s="8" t="s">
        <v>53</v>
      </c>
      <c r="C1601" s="9" t="n">
        <v>975</v>
      </c>
      <c r="D1601" s="8" t="s">
        <v>45</v>
      </c>
      <c r="E1601" s="10" t="s">
        <v>54</v>
      </c>
      <c r="F1601" s="8" t="str">
        <f aca="false">TEXT(A1601,"MM-YYYY")</f>
        <v>04-2025</v>
      </c>
      <c r="G1601" s="8" t="s">
        <v>14</v>
      </c>
      <c r="H1601" s="8" t="s">
        <v>232</v>
      </c>
      <c r="I1601" s="7" t="n">
        <v>45777</v>
      </c>
      <c r="J1601" s="8" t="str">
        <f aca="false">VLOOKUP(B1601,Table3[#All],2,0)</f>
        <v>Grocery</v>
      </c>
      <c r="K1601" s="8" t="str">
        <f aca="false">TEXT(ROW(), "0000")</f>
        <v>1601</v>
      </c>
      <c r="L1601" s="8"/>
    </row>
    <row r="1602" customFormat="false" ht="15.75" hidden="false" customHeight="true" outlineLevel="0" collapsed="false">
      <c r="A1602" s="7" t="n">
        <v>45777</v>
      </c>
      <c r="B1602" s="8" t="s">
        <v>32</v>
      </c>
      <c r="C1602" s="9" t="n">
        <v>315</v>
      </c>
      <c r="D1602" s="8" t="s">
        <v>21</v>
      </c>
      <c r="E1602" s="10" t="s">
        <v>38</v>
      </c>
      <c r="F1602" s="8" t="str">
        <f aca="false">TEXT(A1602,"MM-YYYY")</f>
        <v>04-2025</v>
      </c>
      <c r="G1602" s="8" t="s">
        <v>14</v>
      </c>
      <c r="H1602" s="8" t="s">
        <v>15</v>
      </c>
      <c r="I1602" s="7" t="n">
        <v>45777</v>
      </c>
      <c r="J1602" s="8" t="str">
        <f aca="false">VLOOKUP(B1602,Table3[#All],2,0)</f>
        <v>Grocery</v>
      </c>
      <c r="K1602" s="8" t="str">
        <f aca="false">TEXT(ROW(), "0000")</f>
        <v>1602</v>
      </c>
      <c r="L1602" s="8"/>
    </row>
    <row r="1603" customFormat="false" ht="15.75" hidden="false" customHeight="true" outlineLevel="0" collapsed="false">
      <c r="A1603" s="7" t="n">
        <v>45777</v>
      </c>
      <c r="B1603" s="8" t="s">
        <v>29</v>
      </c>
      <c r="C1603" s="9" t="n">
        <v>420</v>
      </c>
      <c r="D1603" s="8" t="s">
        <v>13</v>
      </c>
      <c r="E1603" s="10" t="s">
        <v>231</v>
      </c>
      <c r="F1603" s="8" t="str">
        <f aca="false">TEXT(A1603,"MM-YYYY")</f>
        <v>04-2025</v>
      </c>
      <c r="G1603" s="8" t="s">
        <v>14</v>
      </c>
      <c r="H1603" s="8" t="s">
        <v>13</v>
      </c>
      <c r="I1603" s="7" t="n">
        <v>45790</v>
      </c>
      <c r="J1603" s="8" t="str">
        <f aca="false">VLOOKUP(B1603,Table3[#All],2,0)</f>
        <v>Inventory</v>
      </c>
      <c r="K1603" s="8" t="str">
        <f aca="false">TEXT(ROW(), "0000")</f>
        <v>1603</v>
      </c>
      <c r="L1603" s="8"/>
    </row>
    <row r="1604" customFormat="false" ht="15.75" hidden="false" customHeight="true" outlineLevel="0" collapsed="false">
      <c r="A1604" s="7" t="n">
        <v>45777</v>
      </c>
      <c r="B1604" s="8" t="s">
        <v>50</v>
      </c>
      <c r="C1604" s="9" t="n">
        <v>1780</v>
      </c>
      <c r="D1604" s="8" t="s">
        <v>13</v>
      </c>
      <c r="E1604" s="10" t="s">
        <v>263</v>
      </c>
      <c r="F1604" s="8" t="str">
        <f aca="false">TEXT(A1604,"MM-YYYY")</f>
        <v>04-2025</v>
      </c>
      <c r="G1604" s="8" t="s">
        <v>14</v>
      </c>
      <c r="H1604" s="8" t="s">
        <v>13</v>
      </c>
      <c r="I1604" s="7" t="n">
        <v>45779</v>
      </c>
      <c r="J1604" s="8" t="str">
        <f aca="false">VLOOKUP(B1604,Table3[#All],2,0)</f>
        <v>Fixed Maintance</v>
      </c>
      <c r="K1604" s="8" t="str">
        <f aca="false">TEXT(ROW(), "0000")</f>
        <v>1604</v>
      </c>
      <c r="L1604" s="8"/>
    </row>
    <row r="1605" customFormat="false" ht="15.75" hidden="false" customHeight="true" outlineLevel="0" collapsed="false">
      <c r="A1605" s="7" t="n">
        <v>45777</v>
      </c>
      <c r="B1605" s="8" t="s">
        <v>16</v>
      </c>
      <c r="C1605" s="9" t="n">
        <v>3140</v>
      </c>
      <c r="D1605" s="8" t="s">
        <v>21</v>
      </c>
      <c r="E1605" s="10" t="s">
        <v>88</v>
      </c>
      <c r="F1605" s="8" t="str">
        <f aca="false">TEXT(A1605,"MM-YYYY")</f>
        <v>04-2025</v>
      </c>
      <c r="G1605" s="8"/>
      <c r="H1605" s="8"/>
      <c r="I1605" s="7"/>
      <c r="J1605" s="8" t="str">
        <f aca="false">VLOOKUP(B1605,Table3[#All],2,0)</f>
        <v>Sales</v>
      </c>
      <c r="K1605" s="8" t="str">
        <f aca="false">TEXT(ROW(), "0000")</f>
        <v>1605</v>
      </c>
      <c r="L1605" s="8"/>
    </row>
    <row r="1606" customFormat="false" ht="15.75" hidden="false" customHeight="true" outlineLevel="0" collapsed="false">
      <c r="A1606" s="7" t="n">
        <v>45777</v>
      </c>
      <c r="B1606" s="8" t="s">
        <v>16</v>
      </c>
      <c r="C1606" s="9" t="n">
        <v>15392</v>
      </c>
      <c r="D1606" s="8" t="s">
        <v>17</v>
      </c>
      <c r="E1606" s="10" t="s">
        <v>88</v>
      </c>
      <c r="F1606" s="8" t="str">
        <f aca="false">TEXT(A1606,"MM-YYYY")</f>
        <v>04-2025</v>
      </c>
      <c r="G1606" s="8"/>
      <c r="H1606" s="8"/>
      <c r="I1606" s="7"/>
      <c r="J1606" s="8" t="str">
        <f aca="false">VLOOKUP(B1606,Table3[#All],2,0)</f>
        <v>Sales</v>
      </c>
      <c r="K1606" s="8" t="str">
        <f aca="false">TEXT(ROW(), "0000")</f>
        <v>1606</v>
      </c>
      <c r="L1606" s="8"/>
    </row>
    <row r="1607" customFormat="false" ht="15.75" hidden="false" customHeight="true" outlineLevel="0" collapsed="false">
      <c r="A1607" s="7" t="n">
        <v>45777</v>
      </c>
      <c r="B1607" s="8" t="s">
        <v>16</v>
      </c>
      <c r="C1607" s="9" t="n">
        <v>810</v>
      </c>
      <c r="D1607" s="8" t="s">
        <v>59</v>
      </c>
      <c r="E1607" s="10" t="s">
        <v>88</v>
      </c>
      <c r="F1607" s="8" t="str">
        <f aca="false">TEXT(A1607,"MM-YYYY")</f>
        <v>04-2025</v>
      </c>
      <c r="G1607" s="8"/>
      <c r="H1607" s="8"/>
      <c r="I1607" s="7"/>
      <c r="J1607" s="8" t="str">
        <f aca="false">VLOOKUP(B1607,Table3[#All],2,0)</f>
        <v>Sales</v>
      </c>
      <c r="K1607" s="8" t="str">
        <f aca="false">TEXT(ROW(), "0000")</f>
        <v>1607</v>
      </c>
      <c r="L1607" s="8"/>
    </row>
    <row r="1608" customFormat="false" ht="15.75" hidden="false" customHeight="true" outlineLevel="0" collapsed="false">
      <c r="A1608" s="7" t="n">
        <v>45777</v>
      </c>
      <c r="B1608" s="8" t="s">
        <v>16</v>
      </c>
      <c r="C1608" s="9" t="n">
        <v>4336</v>
      </c>
      <c r="D1608" s="8" t="s">
        <v>24</v>
      </c>
      <c r="E1608" s="10" t="s">
        <v>217</v>
      </c>
      <c r="F1608" s="8" t="str">
        <f aca="false">TEXT(A1608,"MM-YYYY")</f>
        <v>04-2025</v>
      </c>
      <c r="G1608" s="8"/>
      <c r="H1608" s="8"/>
      <c r="I1608" s="7"/>
      <c r="J1608" s="8" t="str">
        <f aca="false">VLOOKUP(B1608,Table3[#All],2,0)</f>
        <v>Sales</v>
      </c>
      <c r="K1608" s="8" t="str">
        <f aca="false">TEXT(ROW(), "0000")</f>
        <v>1608</v>
      </c>
      <c r="L1608" s="8"/>
    </row>
    <row r="1609" customFormat="false" ht="15.75" hidden="false" customHeight="true" outlineLevel="0" collapsed="false">
      <c r="A1609" s="7" t="n">
        <v>45777</v>
      </c>
      <c r="B1609" s="8" t="s">
        <v>25</v>
      </c>
      <c r="C1609" s="9" t="n">
        <v>783</v>
      </c>
      <c r="D1609" s="8" t="s">
        <v>13</v>
      </c>
      <c r="E1609" s="10" t="s">
        <v>26</v>
      </c>
      <c r="F1609" s="8" t="str">
        <f aca="false">TEXT(A1609,"MM-YYYY")</f>
        <v>04-2025</v>
      </c>
      <c r="G1609" s="8" t="s">
        <v>14</v>
      </c>
      <c r="H1609" s="8" t="s">
        <v>13</v>
      </c>
      <c r="I1609" s="7" t="n">
        <v>45790</v>
      </c>
      <c r="J1609" s="8" t="str">
        <f aca="false">VLOOKUP(B1609,Table3[#All],2,0)</f>
        <v>Inventory</v>
      </c>
      <c r="K1609" s="8" t="str">
        <f aca="false">TEXT(ROW(), "0000")</f>
        <v>1609</v>
      </c>
      <c r="L1609" s="8"/>
    </row>
    <row r="1610" customFormat="false" ht="15.75" hidden="false" customHeight="true" outlineLevel="0" collapsed="false">
      <c r="A1610" s="7" t="n">
        <v>45777</v>
      </c>
      <c r="B1610" s="8" t="s">
        <v>28</v>
      </c>
      <c r="C1610" s="9" t="n">
        <v>710</v>
      </c>
      <c r="D1610" s="8" t="s">
        <v>21</v>
      </c>
      <c r="E1610" s="10" t="s">
        <v>93</v>
      </c>
      <c r="F1610" s="8" t="str">
        <f aca="false">TEXT(A1610,"MM-YYYY")</f>
        <v>04-2025</v>
      </c>
      <c r="G1610" s="8" t="s">
        <v>14</v>
      </c>
      <c r="H1610" s="8" t="s">
        <v>15</v>
      </c>
      <c r="I1610" s="7" t="n">
        <v>45777</v>
      </c>
      <c r="J1610" s="8" t="str">
        <f aca="false">VLOOKUP(B1610,Table3[#All],2,0)</f>
        <v>Grocery</v>
      </c>
      <c r="K1610" s="8" t="str">
        <f aca="false">TEXT(ROW(), "0000")</f>
        <v>1610</v>
      </c>
      <c r="L1610" s="8"/>
    </row>
    <row r="1611" customFormat="false" ht="15.75" hidden="false" customHeight="true" outlineLevel="0" collapsed="false">
      <c r="A1611" s="7" t="n">
        <v>45777</v>
      </c>
      <c r="B1611" s="8" t="s">
        <v>37</v>
      </c>
      <c r="C1611" s="9" t="n">
        <v>15</v>
      </c>
      <c r="D1611" s="8" t="s">
        <v>21</v>
      </c>
      <c r="E1611" s="10" t="s">
        <v>37</v>
      </c>
      <c r="F1611" s="8" t="str">
        <f aca="false">TEXT(A1611,"MM-YYYY")</f>
        <v>04-2025</v>
      </c>
      <c r="G1611" s="8" t="s">
        <v>14</v>
      </c>
      <c r="H1611" s="8" t="s">
        <v>15</v>
      </c>
      <c r="I1611" s="7" t="n">
        <v>45777</v>
      </c>
      <c r="J1611" s="8" t="str">
        <f aca="false">VLOOKUP(B1611,Table3[#All],2,0)</f>
        <v>Maintance</v>
      </c>
      <c r="K1611" s="8" t="str">
        <f aca="false">TEXT(ROW(), "0000")</f>
        <v>1611</v>
      </c>
      <c r="L1611" s="8"/>
    </row>
    <row r="1612" customFormat="false" ht="15.75" hidden="false" customHeight="true" outlineLevel="0" collapsed="false">
      <c r="A1612" s="7" t="n">
        <v>45777</v>
      </c>
      <c r="B1612" s="8" t="s">
        <v>34</v>
      </c>
      <c r="C1612" s="9" t="n">
        <v>125</v>
      </c>
      <c r="D1612" s="8" t="s">
        <v>45</v>
      </c>
      <c r="E1612" s="10" t="s">
        <v>267</v>
      </c>
      <c r="F1612" s="8" t="str">
        <f aca="false">TEXT(A1612,"MM-YYYY")</f>
        <v>04-2025</v>
      </c>
      <c r="G1612" s="8" t="s">
        <v>14</v>
      </c>
      <c r="H1612" s="8" t="s">
        <v>232</v>
      </c>
      <c r="I1612" s="7" t="n">
        <v>45777</v>
      </c>
      <c r="J1612" s="8" t="str">
        <f aca="false">VLOOKUP(B1612,Table3[#All],2,0)</f>
        <v>Staff Expenses</v>
      </c>
      <c r="K1612" s="8" t="str">
        <f aca="false">TEXT(ROW(), "0000")</f>
        <v>1612</v>
      </c>
      <c r="L1612" s="8"/>
    </row>
    <row r="1613" customFormat="false" ht="15.75" hidden="false" customHeight="true" outlineLevel="0" collapsed="false">
      <c r="A1613" s="7" t="n">
        <v>45778</v>
      </c>
      <c r="B1613" s="21" t="s">
        <v>25</v>
      </c>
      <c r="C1613" s="9" t="n">
        <v>616</v>
      </c>
      <c r="D1613" s="8" t="s">
        <v>13</v>
      </c>
      <c r="E1613" s="10" t="s">
        <v>26</v>
      </c>
      <c r="F1613" s="8" t="str">
        <f aca="false">TEXT(A1613,"MM-YYYY")</f>
        <v>05-2025</v>
      </c>
      <c r="G1613" s="21" t="s">
        <v>14</v>
      </c>
      <c r="H1613" s="8" t="s">
        <v>13</v>
      </c>
      <c r="I1613" s="22" t="n">
        <v>45796</v>
      </c>
      <c r="J1613" s="8" t="str">
        <f aca="false">VLOOKUP(B1613,Table3[#All],2,0)</f>
        <v>Inventory</v>
      </c>
      <c r="K1613" s="8" t="str">
        <f aca="false">TEXT(ROW(), "0000")</f>
        <v>1613</v>
      </c>
      <c r="L1613" s="8"/>
    </row>
    <row r="1614" customFormat="false" ht="15.75" hidden="false" customHeight="true" outlineLevel="0" collapsed="false">
      <c r="A1614" s="7" t="n">
        <v>45778</v>
      </c>
      <c r="B1614" s="8" t="s">
        <v>29</v>
      </c>
      <c r="C1614" s="9" t="n">
        <v>453</v>
      </c>
      <c r="D1614" s="8" t="s">
        <v>13</v>
      </c>
      <c r="E1614" s="10" t="s">
        <v>231</v>
      </c>
      <c r="F1614" s="8" t="str">
        <f aca="false">TEXT(A1614,"MM-YYYY")</f>
        <v>05-2025</v>
      </c>
      <c r="G1614" s="8" t="s">
        <v>14</v>
      </c>
      <c r="H1614" s="8" t="s">
        <v>13</v>
      </c>
      <c r="I1614" s="7" t="n">
        <v>45790</v>
      </c>
      <c r="J1614" s="8" t="str">
        <f aca="false">VLOOKUP(B1614,Table3[#All],2,0)</f>
        <v>Inventory</v>
      </c>
      <c r="K1614" s="8" t="str">
        <f aca="false">TEXT(ROW(), "0000")</f>
        <v>1614</v>
      </c>
      <c r="L1614" s="8"/>
    </row>
    <row r="1615" customFormat="false" ht="15.75" hidden="false" customHeight="true" outlineLevel="0" collapsed="false">
      <c r="A1615" s="7" t="n">
        <v>45778</v>
      </c>
      <c r="B1615" s="8" t="s">
        <v>19</v>
      </c>
      <c r="C1615" s="9" t="n">
        <v>3259</v>
      </c>
      <c r="D1615" s="8" t="s">
        <v>13</v>
      </c>
      <c r="E1615" s="10" t="s">
        <v>20</v>
      </c>
      <c r="F1615" s="8" t="str">
        <f aca="false">TEXT(A1615,"MM-YYYY")</f>
        <v>05-2025</v>
      </c>
      <c r="G1615" s="8" t="s">
        <v>14</v>
      </c>
      <c r="H1615" s="8" t="s">
        <v>13</v>
      </c>
      <c r="I1615" s="7" t="n">
        <v>45782</v>
      </c>
      <c r="J1615" s="8" t="str">
        <f aca="false">VLOOKUP(B1615,Table3[#All],2,0)</f>
        <v>Inventory</v>
      </c>
      <c r="K1615" s="8" t="str">
        <f aca="false">TEXT(ROW(), "0000")</f>
        <v>1615</v>
      </c>
      <c r="L1615" s="8"/>
    </row>
    <row r="1616" customFormat="false" ht="15.75" hidden="false" customHeight="true" outlineLevel="0" collapsed="false">
      <c r="A1616" s="7" t="n">
        <v>45778</v>
      </c>
      <c r="B1616" s="8" t="s">
        <v>22</v>
      </c>
      <c r="C1616" s="9" t="n">
        <v>3105</v>
      </c>
      <c r="D1616" s="8" t="s">
        <v>13</v>
      </c>
      <c r="E1616" s="10" t="s">
        <v>110</v>
      </c>
      <c r="F1616" s="8" t="str">
        <f aca="false">TEXT(A1616,"MM-YYYY")</f>
        <v>05-2025</v>
      </c>
      <c r="G1616" s="8" t="s">
        <v>14</v>
      </c>
      <c r="H1616" s="8" t="s">
        <v>13</v>
      </c>
      <c r="I1616" s="7" t="n">
        <v>45782</v>
      </c>
      <c r="J1616" s="8" t="str">
        <f aca="false">VLOOKUP(B1616,Table3[#All],2,0)</f>
        <v>Inventory</v>
      </c>
      <c r="K1616" s="8" t="str">
        <f aca="false">TEXT(ROW(), "0000")</f>
        <v>1616</v>
      </c>
      <c r="L1616" s="8"/>
    </row>
    <row r="1617" customFormat="false" ht="15.75" hidden="false" customHeight="true" outlineLevel="0" collapsed="false">
      <c r="A1617" s="7" t="n">
        <v>45778</v>
      </c>
      <c r="B1617" s="8" t="s">
        <v>22</v>
      </c>
      <c r="C1617" s="9" t="n">
        <v>110</v>
      </c>
      <c r="D1617" s="8" t="s">
        <v>21</v>
      </c>
      <c r="E1617" s="10" t="s">
        <v>213</v>
      </c>
      <c r="F1617" s="8" t="str">
        <f aca="false">TEXT(A1617,"MM-YYYY")</f>
        <v>05-2025</v>
      </c>
      <c r="G1617" s="8" t="s">
        <v>14</v>
      </c>
      <c r="H1617" s="8" t="s">
        <v>15</v>
      </c>
      <c r="I1617" s="7" t="n">
        <v>45778</v>
      </c>
      <c r="J1617" s="8" t="str">
        <f aca="false">VLOOKUP(B1617,Table3[#All],2,0)</f>
        <v>Inventory</v>
      </c>
      <c r="K1617" s="8" t="str">
        <f aca="false">TEXT(ROW(), "0000")</f>
        <v>1617</v>
      </c>
      <c r="L1617" s="8"/>
    </row>
    <row r="1618" customFormat="false" ht="15.75" hidden="false" customHeight="true" outlineLevel="0" collapsed="false">
      <c r="A1618" s="7" t="n">
        <v>45778</v>
      </c>
      <c r="B1618" s="8" t="s">
        <v>67</v>
      </c>
      <c r="C1618" s="9" t="n">
        <v>8500</v>
      </c>
      <c r="D1618" s="8" t="s">
        <v>45</v>
      </c>
      <c r="E1618" s="8" t="s">
        <v>67</v>
      </c>
      <c r="F1618" s="8" t="str">
        <f aca="false">TEXT(A1618,"MM-YYYY")</f>
        <v>05-2025</v>
      </c>
      <c r="G1618" s="8" t="s">
        <v>14</v>
      </c>
      <c r="H1618" s="8" t="s">
        <v>232</v>
      </c>
      <c r="I1618" s="7" t="n">
        <v>45778</v>
      </c>
      <c r="J1618" s="8" t="str">
        <f aca="false">VLOOKUP(B1618,Table3[#All],2,0)</f>
        <v>Fixed Maintance</v>
      </c>
      <c r="K1618" s="8" t="str">
        <f aca="false">TEXT(ROW(), "0000")</f>
        <v>1618</v>
      </c>
      <c r="L1618" s="8"/>
    </row>
    <row r="1619" customFormat="false" ht="15.75" hidden="false" customHeight="true" outlineLevel="0" collapsed="false">
      <c r="A1619" s="7" t="n">
        <v>45778</v>
      </c>
      <c r="B1619" s="8" t="s">
        <v>25</v>
      </c>
      <c r="C1619" s="9" t="n">
        <v>30</v>
      </c>
      <c r="D1619" s="8" t="s">
        <v>45</v>
      </c>
      <c r="E1619" s="10" t="s">
        <v>42</v>
      </c>
      <c r="F1619" s="8" t="str">
        <f aca="false">TEXT(A1619,"MM-YYYY")</f>
        <v>05-2025</v>
      </c>
      <c r="G1619" s="8" t="s">
        <v>14</v>
      </c>
      <c r="H1619" s="8" t="s">
        <v>232</v>
      </c>
      <c r="I1619" s="7" t="n">
        <v>45778</v>
      </c>
      <c r="J1619" s="8" t="str">
        <f aca="false">VLOOKUP(B1619,Table3[#All],2,0)</f>
        <v>Inventory</v>
      </c>
      <c r="K1619" s="8" t="str">
        <f aca="false">TEXT(ROW(), "0000")</f>
        <v>1619</v>
      </c>
      <c r="L1619" s="8"/>
    </row>
    <row r="1620" customFormat="false" ht="15.75" hidden="false" customHeight="true" outlineLevel="0" collapsed="false">
      <c r="A1620" s="7" t="n">
        <v>45778</v>
      </c>
      <c r="B1620" s="8" t="s">
        <v>69</v>
      </c>
      <c r="C1620" s="9" t="n">
        <v>1500</v>
      </c>
      <c r="D1620" s="8" t="s">
        <v>45</v>
      </c>
      <c r="E1620" s="10" t="s">
        <v>282</v>
      </c>
      <c r="F1620" s="8" t="str">
        <f aca="false">TEXT(A1620,"MM-YYYY")</f>
        <v>05-2025</v>
      </c>
      <c r="G1620" s="8" t="s">
        <v>14</v>
      </c>
      <c r="H1620" s="8" t="s">
        <v>232</v>
      </c>
      <c r="I1620" s="7" t="n">
        <v>45778</v>
      </c>
      <c r="J1620" s="8" t="str">
        <f aca="false">VLOOKUP(B1620,Table3[#All],2,0)</f>
        <v>Fixed Maintance</v>
      </c>
      <c r="K1620" s="8" t="str">
        <f aca="false">TEXT(ROW(), "0000")</f>
        <v>1620</v>
      </c>
      <c r="L1620" s="8"/>
    </row>
    <row r="1621" customFormat="false" ht="15.75" hidden="false" customHeight="true" outlineLevel="0" collapsed="false">
      <c r="A1621" s="7" t="n">
        <v>45778</v>
      </c>
      <c r="B1621" s="8" t="s">
        <v>31</v>
      </c>
      <c r="C1621" s="9" t="n">
        <v>310</v>
      </c>
      <c r="D1621" s="8" t="s">
        <v>45</v>
      </c>
      <c r="E1621" s="10" t="s">
        <v>236</v>
      </c>
      <c r="F1621" s="8" t="str">
        <f aca="false">TEXT(A1621,"MM-YYYY")</f>
        <v>05-2025</v>
      </c>
      <c r="G1621" s="8" t="s">
        <v>14</v>
      </c>
      <c r="H1621" s="8" t="s">
        <v>232</v>
      </c>
      <c r="I1621" s="7" t="n">
        <v>45778</v>
      </c>
      <c r="J1621" s="8" t="str">
        <f aca="false">VLOOKUP(B1621,Table3[#All],2,0)</f>
        <v>Bike Maintance</v>
      </c>
      <c r="K1621" s="8" t="str">
        <f aca="false">TEXT(ROW(), "0000")</f>
        <v>1621</v>
      </c>
      <c r="L1621" s="8"/>
    </row>
    <row r="1622" customFormat="false" ht="15.75" hidden="false" customHeight="true" outlineLevel="0" collapsed="false">
      <c r="A1622" s="7" t="n">
        <v>45778</v>
      </c>
      <c r="B1622" s="8" t="s">
        <v>31</v>
      </c>
      <c r="C1622" s="9" t="n">
        <v>1075</v>
      </c>
      <c r="D1622" s="8" t="s">
        <v>45</v>
      </c>
      <c r="E1622" s="10" t="s">
        <v>295</v>
      </c>
      <c r="F1622" s="8" t="str">
        <f aca="false">TEXT(A1622,"MM-YYYY")</f>
        <v>05-2025</v>
      </c>
      <c r="G1622" s="8" t="s">
        <v>14</v>
      </c>
      <c r="H1622" s="8" t="s">
        <v>232</v>
      </c>
      <c r="I1622" s="7" t="n">
        <v>45778</v>
      </c>
      <c r="J1622" s="8" t="str">
        <f aca="false">VLOOKUP(B1622,Table3[#All],2,0)</f>
        <v>Bike Maintance</v>
      </c>
      <c r="K1622" s="8" t="str">
        <f aca="false">TEXT(ROW(), "0000")</f>
        <v>1622</v>
      </c>
      <c r="L1622" s="8"/>
    </row>
    <row r="1623" customFormat="false" ht="15.75" hidden="false" customHeight="true" outlineLevel="0" collapsed="false">
      <c r="A1623" s="7" t="n">
        <v>45778</v>
      </c>
      <c r="B1623" s="8" t="s">
        <v>16</v>
      </c>
      <c r="C1623" s="9" t="n">
        <v>2744</v>
      </c>
      <c r="D1623" s="8" t="s">
        <v>21</v>
      </c>
      <c r="E1623" s="10" t="s">
        <v>88</v>
      </c>
      <c r="F1623" s="8" t="str">
        <f aca="false">TEXT(A1623,"MM-YYYY")</f>
        <v>05-2025</v>
      </c>
      <c r="G1623" s="8"/>
      <c r="H1623" s="8"/>
      <c r="I1623" s="7"/>
      <c r="J1623" s="8" t="str">
        <f aca="false">VLOOKUP(B1623,Table3[#All],2,0)</f>
        <v>Sales</v>
      </c>
      <c r="K1623" s="8" t="str">
        <f aca="false">TEXT(ROW(), "0000")</f>
        <v>1623</v>
      </c>
      <c r="L1623" s="8"/>
    </row>
    <row r="1624" customFormat="false" ht="15.75" hidden="false" customHeight="true" outlineLevel="0" collapsed="false">
      <c r="A1624" s="7" t="n">
        <v>45778</v>
      </c>
      <c r="B1624" s="8" t="s">
        <v>16</v>
      </c>
      <c r="C1624" s="9" t="n">
        <v>210</v>
      </c>
      <c r="D1624" s="8" t="s">
        <v>27</v>
      </c>
      <c r="E1624" s="10" t="s">
        <v>88</v>
      </c>
      <c r="F1624" s="8" t="str">
        <f aca="false">TEXT(A1624,"MM-YYYY")</f>
        <v>05-2025</v>
      </c>
      <c r="G1624" s="8"/>
      <c r="H1624" s="8"/>
      <c r="I1624" s="7"/>
      <c r="J1624" s="8" t="str">
        <f aca="false">VLOOKUP(B1624,Table3[#All],2,0)</f>
        <v>Sales</v>
      </c>
      <c r="K1624" s="8" t="str">
        <f aca="false">TEXT(ROW(), "0000")</f>
        <v>1624</v>
      </c>
      <c r="L1624" s="8"/>
    </row>
    <row r="1625" customFormat="false" ht="15.75" hidden="false" customHeight="true" outlineLevel="0" collapsed="false">
      <c r="A1625" s="7" t="n">
        <v>45778</v>
      </c>
      <c r="B1625" s="8" t="s">
        <v>16</v>
      </c>
      <c r="C1625" s="9" t="n">
        <v>100</v>
      </c>
      <c r="D1625" s="8" t="s">
        <v>33</v>
      </c>
      <c r="E1625" s="10" t="s">
        <v>88</v>
      </c>
      <c r="F1625" s="8" t="str">
        <f aca="false">TEXT(A1625,"MM-YYYY")</f>
        <v>05-2025</v>
      </c>
      <c r="G1625" s="8"/>
      <c r="H1625" s="8"/>
      <c r="I1625" s="7"/>
      <c r="J1625" s="8" t="str">
        <f aca="false">VLOOKUP(B1625,Table3[#All],2,0)</f>
        <v>Sales</v>
      </c>
      <c r="K1625" s="8" t="str">
        <f aca="false">TEXT(ROW(), "0000")</f>
        <v>1625</v>
      </c>
      <c r="L1625" s="8"/>
    </row>
    <row r="1626" customFormat="false" ht="15.75" hidden="false" customHeight="true" outlineLevel="0" collapsed="false">
      <c r="A1626" s="7" t="n">
        <v>45778</v>
      </c>
      <c r="B1626" s="8" t="s">
        <v>16</v>
      </c>
      <c r="C1626" s="9" t="n">
        <v>21405</v>
      </c>
      <c r="D1626" s="8" t="s">
        <v>17</v>
      </c>
      <c r="E1626" s="10" t="s">
        <v>88</v>
      </c>
      <c r="F1626" s="8" t="str">
        <f aca="false">TEXT(A1626,"MM-YYYY")</f>
        <v>05-2025</v>
      </c>
      <c r="G1626" s="8"/>
      <c r="H1626" s="8"/>
      <c r="I1626" s="7"/>
      <c r="J1626" s="8" t="str">
        <f aca="false">VLOOKUP(B1626,Table3[#All],2,0)</f>
        <v>Sales</v>
      </c>
      <c r="K1626" s="8" t="str">
        <f aca="false">TEXT(ROW(), "0000")</f>
        <v>1626</v>
      </c>
      <c r="L1626" s="8"/>
    </row>
    <row r="1627" customFormat="false" ht="15.75" hidden="false" customHeight="true" outlineLevel="0" collapsed="false">
      <c r="A1627" s="7" t="n">
        <v>45778</v>
      </c>
      <c r="B1627" s="8" t="s">
        <v>16</v>
      </c>
      <c r="C1627" s="9" t="n">
        <v>3655</v>
      </c>
      <c r="D1627" s="8" t="s">
        <v>24</v>
      </c>
      <c r="E1627" s="10" t="s">
        <v>217</v>
      </c>
      <c r="F1627" s="8" t="str">
        <f aca="false">TEXT(A1627,"MM-YYYY")</f>
        <v>05-2025</v>
      </c>
      <c r="G1627" s="8"/>
      <c r="H1627" s="8"/>
      <c r="I1627" s="7"/>
      <c r="J1627" s="8" t="str">
        <f aca="false">VLOOKUP(B1627,Table3[#All],2,0)</f>
        <v>Sales</v>
      </c>
      <c r="K1627" s="8" t="str">
        <f aca="false">TEXT(ROW(), "0000")</f>
        <v>1627</v>
      </c>
      <c r="L1627" s="8"/>
    </row>
    <row r="1628" customFormat="false" ht="15.75" hidden="false" customHeight="true" outlineLevel="0" collapsed="false">
      <c r="A1628" s="7" t="n">
        <v>45778</v>
      </c>
      <c r="B1628" s="8" t="s">
        <v>37</v>
      </c>
      <c r="C1628" s="9" t="n">
        <v>34</v>
      </c>
      <c r="D1628" s="8" t="s">
        <v>21</v>
      </c>
      <c r="E1628" s="10" t="s">
        <v>37</v>
      </c>
      <c r="F1628" s="8" t="str">
        <f aca="false">TEXT(A1628,"MM-YYYY")</f>
        <v>05-2025</v>
      </c>
      <c r="G1628" s="8" t="s">
        <v>14</v>
      </c>
      <c r="H1628" s="8" t="s">
        <v>15</v>
      </c>
      <c r="I1628" s="7" t="n">
        <v>45778</v>
      </c>
      <c r="J1628" s="8" t="str">
        <f aca="false">VLOOKUP(B1628,Table3[#All],2,0)</f>
        <v>Maintance</v>
      </c>
      <c r="K1628" s="8" t="str">
        <f aca="false">TEXT(ROW(), "0000")</f>
        <v>1628</v>
      </c>
      <c r="L1628" s="8"/>
    </row>
    <row r="1629" customFormat="false" ht="15.75" hidden="false" customHeight="true" outlineLevel="0" collapsed="false">
      <c r="A1629" s="7" t="n">
        <v>45778</v>
      </c>
      <c r="B1629" s="8" t="s">
        <v>34</v>
      </c>
      <c r="C1629" s="9" t="n">
        <v>135</v>
      </c>
      <c r="D1629" s="8" t="s">
        <v>45</v>
      </c>
      <c r="E1629" s="10" t="s">
        <v>267</v>
      </c>
      <c r="F1629" s="8" t="str">
        <f aca="false">TEXT(A1629,"MM-YYYY")</f>
        <v>05-2025</v>
      </c>
      <c r="G1629" s="8" t="s">
        <v>14</v>
      </c>
      <c r="H1629" s="8" t="s">
        <v>232</v>
      </c>
      <c r="I1629" s="7" t="n">
        <v>45778</v>
      </c>
      <c r="J1629" s="8" t="str">
        <f aca="false">VLOOKUP(B1629,Table3[#All],2,0)</f>
        <v>Staff Expenses</v>
      </c>
      <c r="K1629" s="8" t="str">
        <f aca="false">TEXT(ROW(), "0000")</f>
        <v>1629</v>
      </c>
      <c r="L1629" s="8"/>
    </row>
    <row r="1630" customFormat="false" ht="15.75" hidden="false" customHeight="true" outlineLevel="0" collapsed="false">
      <c r="A1630" s="7" t="n">
        <v>45779</v>
      </c>
      <c r="B1630" s="8" t="s">
        <v>25</v>
      </c>
      <c r="C1630" s="9" t="n">
        <v>1310</v>
      </c>
      <c r="D1630" s="8" t="s">
        <v>13</v>
      </c>
      <c r="E1630" s="10" t="s">
        <v>26</v>
      </c>
      <c r="F1630" s="8" t="str">
        <f aca="false">TEXT(A1630,"MM-YYYY")</f>
        <v>05-2025</v>
      </c>
      <c r="G1630" s="21" t="s">
        <v>14</v>
      </c>
      <c r="H1630" s="8" t="s">
        <v>13</v>
      </c>
      <c r="I1630" s="22" t="n">
        <v>45796</v>
      </c>
      <c r="J1630" s="8" t="str">
        <f aca="false">VLOOKUP(B1630,Table3[#All],2,0)</f>
        <v>Inventory</v>
      </c>
      <c r="K1630" s="8" t="str">
        <f aca="false">TEXT(ROW(), "0000")</f>
        <v>1630</v>
      </c>
      <c r="L1630" s="8"/>
    </row>
    <row r="1631" customFormat="false" ht="15.75" hidden="false" customHeight="true" outlineLevel="0" collapsed="false">
      <c r="A1631" s="7" t="n">
        <v>45779</v>
      </c>
      <c r="B1631" s="8" t="s">
        <v>47</v>
      </c>
      <c r="C1631" s="9" t="n">
        <v>840</v>
      </c>
      <c r="D1631" s="8" t="s">
        <v>13</v>
      </c>
      <c r="E1631" s="10" t="s">
        <v>223</v>
      </c>
      <c r="F1631" s="8" t="str">
        <f aca="false">TEXT(A1631,"MM-YYYY")</f>
        <v>05-2025</v>
      </c>
      <c r="G1631" s="8" t="s">
        <v>14</v>
      </c>
      <c r="H1631" s="8" t="s">
        <v>13</v>
      </c>
      <c r="I1631" s="7" t="n">
        <v>45787</v>
      </c>
      <c r="J1631" s="8" t="str">
        <f aca="false">VLOOKUP(B1631,Table3[#All],2,0)</f>
        <v>Inventory</v>
      </c>
      <c r="K1631" s="8" t="str">
        <f aca="false">TEXT(ROW(), "0000")</f>
        <v>1631</v>
      </c>
      <c r="L1631" s="8"/>
    </row>
    <row r="1632" customFormat="false" ht="15.75" hidden="false" customHeight="true" outlineLevel="0" collapsed="false">
      <c r="A1632" s="7" t="n">
        <v>45779</v>
      </c>
      <c r="B1632" s="8" t="s">
        <v>32</v>
      </c>
      <c r="C1632" s="9" t="n">
        <v>420</v>
      </c>
      <c r="D1632" s="8" t="s">
        <v>45</v>
      </c>
      <c r="E1632" s="10" t="s">
        <v>38</v>
      </c>
      <c r="F1632" s="8" t="str">
        <f aca="false">TEXT(A1632,"MM-YYYY")</f>
        <v>05-2025</v>
      </c>
      <c r="G1632" s="8" t="s">
        <v>14</v>
      </c>
      <c r="H1632" s="8" t="s">
        <v>232</v>
      </c>
      <c r="I1632" s="7" t="n">
        <v>45779</v>
      </c>
      <c r="J1632" s="8" t="str">
        <f aca="false">VLOOKUP(B1632,Table3[#All],2,0)</f>
        <v>Grocery</v>
      </c>
      <c r="K1632" s="8" t="str">
        <f aca="false">TEXT(ROW(), "0000")</f>
        <v>1632</v>
      </c>
      <c r="L1632" s="8"/>
    </row>
    <row r="1633" customFormat="false" ht="15.75" hidden="false" customHeight="true" outlineLevel="0" collapsed="false">
      <c r="A1633" s="7" t="n">
        <v>45779</v>
      </c>
      <c r="B1633" s="8" t="s">
        <v>40</v>
      </c>
      <c r="C1633" s="9" t="n">
        <v>2420</v>
      </c>
      <c r="D1633" s="8" t="s">
        <v>45</v>
      </c>
      <c r="E1633" s="10" t="s">
        <v>46</v>
      </c>
      <c r="F1633" s="8" t="str">
        <f aca="false">TEXT(A1633,"MM-YYYY")</f>
        <v>05-2025</v>
      </c>
      <c r="G1633" s="8" t="s">
        <v>14</v>
      </c>
      <c r="H1633" s="8" t="s">
        <v>232</v>
      </c>
      <c r="I1633" s="7" t="n">
        <v>45779</v>
      </c>
      <c r="J1633" s="8" t="str">
        <f aca="false">VLOOKUP(B1633,Table3[#All],2,0)</f>
        <v>Inventory</v>
      </c>
      <c r="K1633" s="8" t="str">
        <f aca="false">TEXT(ROW(), "0000")</f>
        <v>1633</v>
      </c>
      <c r="L1633" s="8"/>
    </row>
    <row r="1634" customFormat="false" ht="15.75" hidden="false" customHeight="true" outlineLevel="0" collapsed="false">
      <c r="A1634" s="7" t="n">
        <v>45779</v>
      </c>
      <c r="B1634" s="8" t="s">
        <v>19</v>
      </c>
      <c r="C1634" s="9" t="n">
        <v>5087</v>
      </c>
      <c r="D1634" s="8" t="s">
        <v>13</v>
      </c>
      <c r="E1634" s="10" t="s">
        <v>20</v>
      </c>
      <c r="F1634" s="8" t="str">
        <f aca="false">TEXT(A1634,"MM-YYYY")</f>
        <v>05-2025</v>
      </c>
      <c r="G1634" s="8" t="s">
        <v>14</v>
      </c>
      <c r="H1634" s="8" t="s">
        <v>13</v>
      </c>
      <c r="I1634" s="7" t="n">
        <v>45782</v>
      </c>
      <c r="J1634" s="8" t="str">
        <f aca="false">VLOOKUP(B1634,Table3[#All],2,0)</f>
        <v>Inventory</v>
      </c>
      <c r="K1634" s="8" t="str">
        <f aca="false">TEXT(ROW(), "0000")</f>
        <v>1634</v>
      </c>
      <c r="L1634" s="8"/>
    </row>
    <row r="1635" customFormat="false" ht="15.75" hidden="false" customHeight="true" outlineLevel="0" collapsed="false">
      <c r="A1635" s="7" t="n">
        <v>45779</v>
      </c>
      <c r="B1635" s="8" t="s">
        <v>53</v>
      </c>
      <c r="C1635" s="9" t="n">
        <v>1200</v>
      </c>
      <c r="D1635" s="8" t="s">
        <v>45</v>
      </c>
      <c r="E1635" s="10" t="s">
        <v>55</v>
      </c>
      <c r="F1635" s="8" t="str">
        <f aca="false">TEXT(A1635,"MM-YYYY")</f>
        <v>05-2025</v>
      </c>
      <c r="G1635" s="8" t="s">
        <v>14</v>
      </c>
      <c r="H1635" s="8" t="s">
        <v>232</v>
      </c>
      <c r="I1635" s="7" t="n">
        <v>45778</v>
      </c>
      <c r="J1635" s="8" t="str">
        <f aca="false">VLOOKUP(B1635,Table3[#All],2,0)</f>
        <v>Grocery</v>
      </c>
      <c r="K1635" s="8" t="str">
        <f aca="false">TEXT(ROW(), "0000")</f>
        <v>1635</v>
      </c>
      <c r="L1635" s="8"/>
    </row>
    <row r="1636" customFormat="false" ht="15.75" hidden="false" customHeight="true" outlineLevel="0" collapsed="false">
      <c r="A1636" s="7" t="n">
        <v>45779</v>
      </c>
      <c r="B1636" s="8" t="s">
        <v>199</v>
      </c>
      <c r="C1636" s="9" t="n">
        <v>1034</v>
      </c>
      <c r="D1636" s="8" t="s">
        <v>13</v>
      </c>
      <c r="E1636" s="10" t="s">
        <v>296</v>
      </c>
      <c r="F1636" s="8" t="str">
        <f aca="false">TEXT(A1636,"MM-YYYY")</f>
        <v>05-2025</v>
      </c>
      <c r="G1636" s="8" t="s">
        <v>14</v>
      </c>
      <c r="H1636" s="8" t="s">
        <v>13</v>
      </c>
      <c r="I1636" s="7" t="n">
        <v>45779</v>
      </c>
      <c r="J1636" s="8" t="str">
        <f aca="false">VLOOKUP(B1636,Table3[#All],2,0)</f>
        <v>Fixed Maintance</v>
      </c>
      <c r="K1636" s="8" t="str">
        <f aca="false">TEXT(ROW(), "0000")</f>
        <v>1636</v>
      </c>
      <c r="L1636" s="8"/>
    </row>
    <row r="1637" customFormat="false" ht="15.75" hidden="false" customHeight="true" outlineLevel="0" collapsed="false">
      <c r="A1637" s="7" t="n">
        <v>45779</v>
      </c>
      <c r="B1637" s="8" t="s">
        <v>44</v>
      </c>
      <c r="C1637" s="9" t="n">
        <v>10000</v>
      </c>
      <c r="D1637" s="8" t="s">
        <v>13</v>
      </c>
      <c r="E1637" s="10" t="s">
        <v>211</v>
      </c>
      <c r="F1637" s="8" t="str">
        <f aca="false">TEXT(A1637,"MM-YYYY")</f>
        <v>05-2025</v>
      </c>
      <c r="G1637" s="8" t="s">
        <v>14</v>
      </c>
      <c r="H1637" s="8" t="s">
        <v>13</v>
      </c>
      <c r="I1637" s="7" t="n">
        <v>45779</v>
      </c>
      <c r="J1637" s="8" t="str">
        <f aca="false">VLOOKUP(B1637,Table3[#All],2,0)</f>
        <v>Salary</v>
      </c>
      <c r="K1637" s="8" t="str">
        <f aca="false">TEXT(ROW(), "0000")</f>
        <v>1637</v>
      </c>
      <c r="L1637" s="8"/>
    </row>
    <row r="1638" customFormat="false" ht="15.75" hidden="false" customHeight="true" outlineLevel="0" collapsed="false">
      <c r="A1638" s="7" t="n">
        <v>45779</v>
      </c>
      <c r="B1638" s="8" t="s">
        <v>28</v>
      </c>
      <c r="C1638" s="9" t="n">
        <v>740</v>
      </c>
      <c r="D1638" s="8" t="s">
        <v>21</v>
      </c>
      <c r="E1638" s="10" t="s">
        <v>93</v>
      </c>
      <c r="F1638" s="8" t="str">
        <f aca="false">TEXT(A1638,"MM-YYYY")</f>
        <v>05-2025</v>
      </c>
      <c r="G1638" s="8" t="s">
        <v>14</v>
      </c>
      <c r="H1638" s="8" t="s">
        <v>15</v>
      </c>
      <c r="I1638" s="7" t="n">
        <v>45779</v>
      </c>
      <c r="J1638" s="8" t="str">
        <f aca="false">VLOOKUP(B1638,Table3[#All],2,0)</f>
        <v>Grocery</v>
      </c>
      <c r="K1638" s="8" t="str">
        <f aca="false">TEXT(ROW(), "0000")</f>
        <v>1638</v>
      </c>
      <c r="L1638" s="8"/>
    </row>
    <row r="1639" customFormat="false" ht="15.75" hidden="false" customHeight="true" outlineLevel="0" collapsed="false">
      <c r="A1639" s="7" t="n">
        <v>45779</v>
      </c>
      <c r="B1639" s="8" t="s">
        <v>29</v>
      </c>
      <c r="C1639" s="9" t="n">
        <v>530</v>
      </c>
      <c r="D1639" s="8" t="s">
        <v>13</v>
      </c>
      <c r="E1639" s="10" t="s">
        <v>231</v>
      </c>
      <c r="F1639" s="8" t="str">
        <f aca="false">TEXT(A1639,"MM-YYYY")</f>
        <v>05-2025</v>
      </c>
      <c r="G1639" s="8" t="s">
        <v>14</v>
      </c>
      <c r="H1639" s="8" t="s">
        <v>13</v>
      </c>
      <c r="I1639" s="7" t="n">
        <v>45790</v>
      </c>
      <c r="J1639" s="8" t="str">
        <f aca="false">VLOOKUP(B1639,Table3[#All],2,0)</f>
        <v>Inventory</v>
      </c>
      <c r="K1639" s="8" t="str">
        <f aca="false">TEXT(ROW(), "0000")</f>
        <v>1639</v>
      </c>
      <c r="L1639" s="8"/>
    </row>
    <row r="1640" customFormat="false" ht="15.75" hidden="false" customHeight="true" outlineLevel="0" collapsed="false">
      <c r="A1640" s="7" t="n">
        <v>45779</v>
      </c>
      <c r="B1640" s="8" t="s">
        <v>16</v>
      </c>
      <c r="C1640" s="9" t="n">
        <v>3895</v>
      </c>
      <c r="D1640" s="8" t="s">
        <v>21</v>
      </c>
      <c r="E1640" s="10" t="s">
        <v>88</v>
      </c>
      <c r="F1640" s="8" t="str">
        <f aca="false">TEXT(A1640,"MM-YYYY")</f>
        <v>05-2025</v>
      </c>
      <c r="G1640" s="8"/>
      <c r="H1640" s="8"/>
      <c r="I1640" s="7"/>
      <c r="J1640" s="8" t="str">
        <f aca="false">VLOOKUP(B1640,Table3[#All],2,0)</f>
        <v>Sales</v>
      </c>
      <c r="K1640" s="8" t="str">
        <f aca="false">TEXT(ROW(), "0000")</f>
        <v>1640</v>
      </c>
      <c r="L1640" s="8"/>
    </row>
    <row r="1641" customFormat="false" ht="15.75" hidden="false" customHeight="true" outlineLevel="0" collapsed="false">
      <c r="A1641" s="7" t="n">
        <v>45779</v>
      </c>
      <c r="B1641" s="8" t="s">
        <v>16</v>
      </c>
      <c r="C1641" s="9" t="n">
        <v>685</v>
      </c>
      <c r="D1641" s="8" t="s">
        <v>27</v>
      </c>
      <c r="E1641" s="10" t="s">
        <v>88</v>
      </c>
      <c r="F1641" s="8" t="str">
        <f aca="false">TEXT(A1641,"MM-YYYY")</f>
        <v>05-2025</v>
      </c>
      <c r="G1641" s="8"/>
      <c r="H1641" s="8"/>
      <c r="I1641" s="7"/>
      <c r="J1641" s="8" t="str">
        <f aca="false">VLOOKUP(B1641,Table3[#All],2,0)</f>
        <v>Sales</v>
      </c>
      <c r="K1641" s="8" t="str">
        <f aca="false">TEXT(ROW(), "0000")</f>
        <v>1641</v>
      </c>
      <c r="L1641" s="8"/>
    </row>
    <row r="1642" customFormat="false" ht="15.75" hidden="false" customHeight="true" outlineLevel="0" collapsed="false">
      <c r="A1642" s="7" t="n">
        <v>45779</v>
      </c>
      <c r="B1642" s="8" t="s">
        <v>16</v>
      </c>
      <c r="C1642" s="9" t="n">
        <v>18194</v>
      </c>
      <c r="D1642" s="8" t="s">
        <v>17</v>
      </c>
      <c r="E1642" s="10" t="s">
        <v>88</v>
      </c>
      <c r="F1642" s="8" t="str">
        <f aca="false">TEXT(A1642,"MM-YYYY")</f>
        <v>05-2025</v>
      </c>
      <c r="G1642" s="8"/>
      <c r="H1642" s="8"/>
      <c r="I1642" s="7"/>
      <c r="J1642" s="8" t="str">
        <f aca="false">VLOOKUP(B1642,Table3[#All],2,0)</f>
        <v>Sales</v>
      </c>
      <c r="K1642" s="8" t="str">
        <f aca="false">TEXT(ROW(), "0000")</f>
        <v>1642</v>
      </c>
      <c r="L1642" s="8"/>
    </row>
    <row r="1643" customFormat="false" ht="15.75" hidden="false" customHeight="true" outlineLevel="0" collapsed="false">
      <c r="A1643" s="7" t="n">
        <v>45779</v>
      </c>
      <c r="B1643" s="8" t="s">
        <v>16</v>
      </c>
      <c r="C1643" s="9" t="n">
        <v>1480</v>
      </c>
      <c r="D1643" s="8" t="s">
        <v>24</v>
      </c>
      <c r="E1643" s="10" t="s">
        <v>217</v>
      </c>
      <c r="F1643" s="8" t="str">
        <f aca="false">TEXT(A1643,"MM-YYYY")</f>
        <v>05-2025</v>
      </c>
      <c r="G1643" s="8"/>
      <c r="H1643" s="8"/>
      <c r="I1643" s="7"/>
      <c r="J1643" s="8" t="str">
        <f aca="false">VLOOKUP(B1643,Table3[#All],2,0)</f>
        <v>Sales</v>
      </c>
      <c r="K1643" s="8" t="str">
        <f aca="false">TEXT(ROW(), "0000")</f>
        <v>1643</v>
      </c>
      <c r="L1643" s="8"/>
    </row>
    <row r="1644" customFormat="false" ht="15.75" hidden="false" customHeight="true" outlineLevel="0" collapsed="false">
      <c r="A1644" s="7" t="n">
        <v>45779</v>
      </c>
      <c r="B1644" s="8" t="s">
        <v>34</v>
      </c>
      <c r="C1644" s="9" t="n">
        <v>155</v>
      </c>
      <c r="D1644" s="8" t="s">
        <v>45</v>
      </c>
      <c r="E1644" s="10" t="s">
        <v>34</v>
      </c>
      <c r="F1644" s="8" t="str">
        <f aca="false">TEXT(A1644,"MM-YYYY")</f>
        <v>05-2025</v>
      </c>
      <c r="G1644" s="8" t="s">
        <v>14</v>
      </c>
      <c r="H1644" s="8" t="s">
        <v>232</v>
      </c>
      <c r="I1644" s="7" t="n">
        <v>45779</v>
      </c>
      <c r="J1644" s="8" t="str">
        <f aca="false">VLOOKUP(B1644,Table3[#All],2,0)</f>
        <v>Staff Expenses</v>
      </c>
      <c r="K1644" s="8" t="str">
        <f aca="false">TEXT(ROW(), "0000")</f>
        <v>1644</v>
      </c>
      <c r="L1644" s="8"/>
    </row>
    <row r="1645" customFormat="false" ht="15.75" hidden="false" customHeight="true" outlineLevel="0" collapsed="false">
      <c r="A1645" s="7" t="n">
        <v>45779</v>
      </c>
      <c r="B1645" s="8" t="s">
        <v>37</v>
      </c>
      <c r="C1645" s="9" t="n">
        <v>10</v>
      </c>
      <c r="D1645" s="8" t="s">
        <v>21</v>
      </c>
      <c r="E1645" s="10" t="s">
        <v>37</v>
      </c>
      <c r="F1645" s="8" t="str">
        <f aca="false">TEXT(A1645,"MM-YYYY")</f>
        <v>05-2025</v>
      </c>
      <c r="G1645" s="8" t="s">
        <v>14</v>
      </c>
      <c r="H1645" s="8" t="s">
        <v>15</v>
      </c>
      <c r="I1645" s="7" t="n">
        <v>45779</v>
      </c>
      <c r="J1645" s="8" t="str">
        <f aca="false">VLOOKUP(B1645,Table3[#All],2,0)</f>
        <v>Maintance</v>
      </c>
      <c r="K1645" s="8" t="str">
        <f aca="false">TEXT(ROW(), "0000")</f>
        <v>1645</v>
      </c>
      <c r="L1645" s="8"/>
    </row>
    <row r="1646" customFormat="false" ht="15.75" hidden="false" customHeight="true" outlineLevel="0" collapsed="false">
      <c r="A1646" s="7" t="n">
        <v>45780</v>
      </c>
      <c r="B1646" s="8" t="s">
        <v>19</v>
      </c>
      <c r="C1646" s="9" t="n">
        <v>3816</v>
      </c>
      <c r="D1646" s="8" t="s">
        <v>13</v>
      </c>
      <c r="E1646" s="10" t="s">
        <v>20</v>
      </c>
      <c r="F1646" s="8" t="str">
        <f aca="false">TEXT(A1646,"MM-YYYY")</f>
        <v>05-2025</v>
      </c>
      <c r="G1646" s="8" t="s">
        <v>14</v>
      </c>
      <c r="H1646" s="8" t="s">
        <v>13</v>
      </c>
      <c r="I1646" s="7" t="n">
        <v>45787</v>
      </c>
      <c r="J1646" s="8" t="str">
        <f aca="false">VLOOKUP(B1646,Table3[#All],2,0)</f>
        <v>Inventory</v>
      </c>
      <c r="K1646" s="8" t="str">
        <f aca="false">TEXT(ROW(), "0000")</f>
        <v>1646</v>
      </c>
      <c r="L1646" s="8"/>
    </row>
    <row r="1647" customFormat="false" ht="15.75" hidden="false" customHeight="true" outlineLevel="0" collapsed="false">
      <c r="A1647" s="7" t="n">
        <v>45780</v>
      </c>
      <c r="B1647" s="8" t="s">
        <v>29</v>
      </c>
      <c r="C1647" s="9" t="n">
        <v>447</v>
      </c>
      <c r="D1647" s="8" t="s">
        <v>13</v>
      </c>
      <c r="E1647" s="10" t="s">
        <v>231</v>
      </c>
      <c r="F1647" s="8" t="str">
        <f aca="false">TEXT(A1647,"MM-YYYY")</f>
        <v>05-2025</v>
      </c>
      <c r="G1647" s="8" t="s">
        <v>14</v>
      </c>
      <c r="H1647" s="8" t="s">
        <v>13</v>
      </c>
      <c r="I1647" s="7" t="n">
        <v>45790</v>
      </c>
      <c r="J1647" s="8" t="str">
        <f aca="false">VLOOKUP(B1647,Table3[#All],2,0)</f>
        <v>Inventory</v>
      </c>
      <c r="K1647" s="8" t="str">
        <f aca="false">TEXT(ROW(), "0000")</f>
        <v>1647</v>
      </c>
      <c r="L1647" s="8"/>
    </row>
    <row r="1648" customFormat="false" ht="15.75" hidden="false" customHeight="true" outlineLevel="0" collapsed="false">
      <c r="A1648" s="7" t="n">
        <v>45780</v>
      </c>
      <c r="B1648" s="8" t="s">
        <v>25</v>
      </c>
      <c r="C1648" s="9" t="n">
        <v>810</v>
      </c>
      <c r="D1648" s="8" t="s">
        <v>13</v>
      </c>
      <c r="E1648" s="10" t="s">
        <v>26</v>
      </c>
      <c r="F1648" s="8" t="str">
        <f aca="false">TEXT(A1648,"MM-YYYY")</f>
        <v>05-2025</v>
      </c>
      <c r="G1648" s="21" t="s">
        <v>14</v>
      </c>
      <c r="H1648" s="8" t="s">
        <v>13</v>
      </c>
      <c r="I1648" s="22" t="n">
        <v>45796</v>
      </c>
      <c r="J1648" s="8" t="str">
        <f aca="false">VLOOKUP(B1648,Table3[#All],2,0)</f>
        <v>Inventory</v>
      </c>
      <c r="K1648" s="8" t="str">
        <f aca="false">TEXT(ROW(), "0000")</f>
        <v>1648</v>
      </c>
      <c r="L1648" s="8"/>
    </row>
    <row r="1649" customFormat="false" ht="15.75" hidden="false" customHeight="true" outlineLevel="0" collapsed="false">
      <c r="A1649" s="7" t="n">
        <v>45780</v>
      </c>
      <c r="B1649" s="8" t="s">
        <v>22</v>
      </c>
      <c r="C1649" s="9" t="n">
        <v>2477</v>
      </c>
      <c r="D1649" s="8" t="s">
        <v>13</v>
      </c>
      <c r="E1649" s="10" t="s">
        <v>110</v>
      </c>
      <c r="F1649" s="8" t="str">
        <f aca="false">TEXT(A1649,"MM-YYYY")</f>
        <v>05-2025</v>
      </c>
      <c r="G1649" s="8" t="s">
        <v>14</v>
      </c>
      <c r="H1649" s="8" t="s">
        <v>13</v>
      </c>
      <c r="I1649" s="7" t="n">
        <v>45782</v>
      </c>
      <c r="J1649" s="8" t="str">
        <f aca="false">VLOOKUP(B1649,Table3[#All],2,0)</f>
        <v>Inventory</v>
      </c>
      <c r="K1649" s="8" t="str">
        <f aca="false">TEXT(ROW(), "0000")</f>
        <v>1649</v>
      </c>
      <c r="L1649" s="8"/>
    </row>
    <row r="1650" customFormat="false" ht="15.75" hidden="false" customHeight="true" outlineLevel="0" collapsed="false">
      <c r="A1650" s="7" t="n">
        <v>45780</v>
      </c>
      <c r="B1650" s="8" t="s">
        <v>32</v>
      </c>
      <c r="C1650" s="9" t="n">
        <v>210</v>
      </c>
      <c r="D1650" s="8" t="s">
        <v>21</v>
      </c>
      <c r="E1650" s="10" t="s">
        <v>38</v>
      </c>
      <c r="F1650" s="8" t="str">
        <f aca="false">TEXT(A1650,"MM-YYYY")</f>
        <v>05-2025</v>
      </c>
      <c r="G1650" s="8" t="s">
        <v>14</v>
      </c>
      <c r="H1650" s="8" t="s">
        <v>15</v>
      </c>
      <c r="I1650" s="7" t="n">
        <v>45780</v>
      </c>
      <c r="J1650" s="8" t="str">
        <f aca="false">VLOOKUP(B1650,Table3[#All],2,0)</f>
        <v>Grocery</v>
      </c>
      <c r="K1650" s="8" t="str">
        <f aca="false">TEXT(ROW(), "0000")</f>
        <v>1650</v>
      </c>
      <c r="L1650" s="8"/>
    </row>
    <row r="1651" customFormat="false" ht="15.75" hidden="false" customHeight="true" outlineLevel="0" collapsed="false">
      <c r="A1651" s="7" t="n">
        <v>45780</v>
      </c>
      <c r="B1651" s="8" t="s">
        <v>53</v>
      </c>
      <c r="C1651" s="9" t="n">
        <v>2340</v>
      </c>
      <c r="D1651" s="8" t="s">
        <v>45</v>
      </c>
      <c r="E1651" s="10" t="s">
        <v>54</v>
      </c>
      <c r="F1651" s="8" t="str">
        <f aca="false">TEXT(A1651,"MM-YYYY")</f>
        <v>05-2025</v>
      </c>
      <c r="G1651" s="8" t="s">
        <v>14</v>
      </c>
      <c r="H1651" s="8" t="s">
        <v>232</v>
      </c>
      <c r="I1651" s="7" t="n">
        <v>45780</v>
      </c>
      <c r="J1651" s="8" t="str">
        <f aca="false">VLOOKUP(B1651,Table3[#All],2,0)</f>
        <v>Grocery</v>
      </c>
      <c r="K1651" s="8" t="str">
        <f aca="false">TEXT(ROW(), "0000")</f>
        <v>1651</v>
      </c>
      <c r="L1651" s="8"/>
    </row>
    <row r="1652" customFormat="false" ht="15.75" hidden="false" customHeight="true" outlineLevel="0" collapsed="false">
      <c r="A1652" s="7" t="n">
        <v>45780</v>
      </c>
      <c r="B1652" s="8" t="s">
        <v>29</v>
      </c>
      <c r="C1652" s="9" t="n">
        <v>40</v>
      </c>
      <c r="D1652" s="8" t="s">
        <v>45</v>
      </c>
      <c r="E1652" s="10" t="s">
        <v>297</v>
      </c>
      <c r="F1652" s="8" t="str">
        <f aca="false">TEXT(A1652,"MM-YYYY")</f>
        <v>05-2025</v>
      </c>
      <c r="G1652" s="8" t="s">
        <v>14</v>
      </c>
      <c r="H1652" s="8" t="s">
        <v>232</v>
      </c>
      <c r="I1652" s="7" t="n">
        <v>45780</v>
      </c>
      <c r="J1652" s="8" t="str">
        <f aca="false">VLOOKUP(B1652,Table3[#All],2,0)</f>
        <v>Inventory</v>
      </c>
      <c r="K1652" s="8" t="str">
        <f aca="false">TEXT(ROW(), "0000")</f>
        <v>1652</v>
      </c>
      <c r="L1652" s="8"/>
    </row>
    <row r="1653" customFormat="false" ht="15.75" hidden="false" customHeight="true" outlineLevel="0" collapsed="false">
      <c r="A1653" s="7" t="n">
        <v>45780</v>
      </c>
      <c r="B1653" s="8" t="s">
        <v>16</v>
      </c>
      <c r="C1653" s="9" t="n">
        <v>2390</v>
      </c>
      <c r="D1653" s="8" t="s">
        <v>21</v>
      </c>
      <c r="E1653" s="10" t="s">
        <v>88</v>
      </c>
      <c r="F1653" s="8" t="str">
        <f aca="false">TEXT(A1653,"MM-YYYY")</f>
        <v>05-2025</v>
      </c>
      <c r="G1653" s="8"/>
      <c r="H1653" s="8"/>
      <c r="I1653" s="7"/>
      <c r="J1653" s="8" t="str">
        <f aca="false">VLOOKUP(B1653,Table3[#All],2,0)</f>
        <v>Sales</v>
      </c>
      <c r="K1653" s="8" t="str">
        <f aca="false">TEXT(ROW(), "0000")</f>
        <v>1653</v>
      </c>
      <c r="L1653" s="8"/>
    </row>
    <row r="1654" customFormat="false" ht="15.75" hidden="false" customHeight="true" outlineLevel="0" collapsed="false">
      <c r="A1654" s="7" t="n">
        <v>45780</v>
      </c>
      <c r="B1654" s="8" t="s">
        <v>16</v>
      </c>
      <c r="C1654" s="9" t="n">
        <v>1460</v>
      </c>
      <c r="D1654" s="8" t="s">
        <v>27</v>
      </c>
      <c r="E1654" s="10" t="s">
        <v>88</v>
      </c>
      <c r="F1654" s="8" t="str">
        <f aca="false">TEXT(A1654,"MM-YYYY")</f>
        <v>05-2025</v>
      </c>
      <c r="G1654" s="8"/>
      <c r="H1654" s="8"/>
      <c r="I1654" s="7"/>
      <c r="J1654" s="8" t="str">
        <f aca="false">VLOOKUP(B1654,Table3[#All],2,0)</f>
        <v>Sales</v>
      </c>
      <c r="K1654" s="8" t="str">
        <f aca="false">TEXT(ROW(), "0000")</f>
        <v>1654</v>
      </c>
      <c r="L1654" s="8"/>
    </row>
    <row r="1655" customFormat="false" ht="15.75" hidden="false" customHeight="true" outlineLevel="0" collapsed="false">
      <c r="A1655" s="7" t="n">
        <v>45780</v>
      </c>
      <c r="B1655" s="8" t="s">
        <v>16</v>
      </c>
      <c r="C1655" s="9" t="n">
        <v>1310</v>
      </c>
      <c r="D1655" s="8" t="s">
        <v>33</v>
      </c>
      <c r="E1655" s="10" t="s">
        <v>88</v>
      </c>
      <c r="F1655" s="8" t="str">
        <f aca="false">TEXT(A1655,"MM-YYYY")</f>
        <v>05-2025</v>
      </c>
      <c r="G1655" s="8"/>
      <c r="H1655" s="8"/>
      <c r="I1655" s="7"/>
      <c r="J1655" s="8" t="str">
        <f aca="false">VLOOKUP(B1655,Table3[#All],2,0)</f>
        <v>Sales</v>
      </c>
      <c r="K1655" s="8" t="str">
        <f aca="false">TEXT(ROW(), "0000")</f>
        <v>1655</v>
      </c>
      <c r="L1655" s="8"/>
    </row>
    <row r="1656" customFormat="false" ht="15.75" hidden="false" customHeight="true" outlineLevel="0" collapsed="false">
      <c r="A1656" s="7" t="n">
        <v>45780</v>
      </c>
      <c r="B1656" s="8" t="s">
        <v>16</v>
      </c>
      <c r="C1656" s="9" t="n">
        <v>25259</v>
      </c>
      <c r="D1656" s="8" t="s">
        <v>17</v>
      </c>
      <c r="E1656" s="10" t="s">
        <v>88</v>
      </c>
      <c r="F1656" s="8" t="str">
        <f aca="false">TEXT(A1656,"MM-YYYY")</f>
        <v>05-2025</v>
      </c>
      <c r="G1656" s="8"/>
      <c r="H1656" s="8"/>
      <c r="I1656" s="7"/>
      <c r="J1656" s="8" t="str">
        <f aca="false">VLOOKUP(B1656,Table3[#All],2,0)</f>
        <v>Sales</v>
      </c>
      <c r="K1656" s="8" t="str">
        <f aca="false">TEXT(ROW(), "0000")</f>
        <v>1656</v>
      </c>
      <c r="L1656" s="8"/>
    </row>
    <row r="1657" customFormat="false" ht="15.75" hidden="false" customHeight="true" outlineLevel="0" collapsed="false">
      <c r="A1657" s="7" t="n">
        <v>45780</v>
      </c>
      <c r="B1657" s="8" t="s">
        <v>16</v>
      </c>
      <c r="C1657" s="9" t="n">
        <v>2810</v>
      </c>
      <c r="D1657" s="8" t="s">
        <v>24</v>
      </c>
      <c r="E1657" s="10" t="s">
        <v>217</v>
      </c>
      <c r="F1657" s="8" t="str">
        <f aca="false">TEXT(A1657,"MM-YYYY")</f>
        <v>05-2025</v>
      </c>
      <c r="G1657" s="8"/>
      <c r="H1657" s="8"/>
      <c r="I1657" s="7"/>
      <c r="J1657" s="8" t="str">
        <f aca="false">VLOOKUP(B1657,Table3[#All],2,0)</f>
        <v>Sales</v>
      </c>
      <c r="K1657" s="8" t="str">
        <f aca="false">TEXT(ROW(), "0000")</f>
        <v>1657</v>
      </c>
      <c r="L1657" s="8"/>
    </row>
    <row r="1658" customFormat="false" ht="15.75" hidden="false" customHeight="true" outlineLevel="0" collapsed="false">
      <c r="A1658" s="7" t="n">
        <v>45780</v>
      </c>
      <c r="B1658" s="8" t="s">
        <v>34</v>
      </c>
      <c r="C1658" s="9" t="n">
        <v>160</v>
      </c>
      <c r="D1658" s="8" t="s">
        <v>45</v>
      </c>
      <c r="E1658" s="10" t="s">
        <v>267</v>
      </c>
      <c r="F1658" s="8" t="str">
        <f aca="false">TEXT(A1658,"MM-YYYY")</f>
        <v>05-2025</v>
      </c>
      <c r="G1658" s="8" t="s">
        <v>14</v>
      </c>
      <c r="H1658" s="8" t="s">
        <v>232</v>
      </c>
      <c r="I1658" s="7" t="n">
        <v>45780</v>
      </c>
      <c r="J1658" s="8" t="str">
        <f aca="false">VLOOKUP(B1658,Table3[#All],2,0)</f>
        <v>Staff Expenses</v>
      </c>
      <c r="K1658" s="8" t="str">
        <f aca="false">TEXT(ROW(), "0000")</f>
        <v>1658</v>
      </c>
      <c r="L1658" s="8"/>
    </row>
    <row r="1659" customFormat="false" ht="15.75" hidden="false" customHeight="true" outlineLevel="0" collapsed="false">
      <c r="A1659" s="7" t="n">
        <v>45780</v>
      </c>
      <c r="B1659" s="8" t="s">
        <v>43</v>
      </c>
      <c r="C1659" s="9" t="n">
        <v>40</v>
      </c>
      <c r="D1659" s="8" t="s">
        <v>45</v>
      </c>
      <c r="E1659" s="10" t="s">
        <v>279</v>
      </c>
      <c r="F1659" s="8" t="str">
        <f aca="false">TEXT(A1659,"MM-YYYY")</f>
        <v>05-2025</v>
      </c>
      <c r="G1659" s="8" t="s">
        <v>14</v>
      </c>
      <c r="H1659" s="8" t="s">
        <v>232</v>
      </c>
      <c r="I1659" s="7" t="n">
        <v>45780</v>
      </c>
      <c r="J1659" s="8" t="str">
        <f aca="false">VLOOKUP(B1659,Table3[#All],2,0)</f>
        <v>Maintance</v>
      </c>
      <c r="K1659" s="8" t="str">
        <f aca="false">TEXT(ROW(), "0000")</f>
        <v>1659</v>
      </c>
      <c r="L1659" s="8"/>
    </row>
    <row r="1660" customFormat="false" ht="15.75" hidden="false" customHeight="true" outlineLevel="0" collapsed="false">
      <c r="A1660" s="7" t="n">
        <v>45780</v>
      </c>
      <c r="B1660" s="8" t="s">
        <v>50</v>
      </c>
      <c r="C1660" s="9" t="n">
        <v>3520</v>
      </c>
      <c r="D1660" s="8" t="s">
        <v>13</v>
      </c>
      <c r="E1660" s="10" t="s">
        <v>263</v>
      </c>
      <c r="F1660" s="8" t="str">
        <f aca="false">TEXT(A1660,"MM-YYYY")</f>
        <v>05-2025</v>
      </c>
      <c r="G1660" s="8" t="s">
        <v>14</v>
      </c>
      <c r="H1660" s="8" t="s">
        <v>13</v>
      </c>
      <c r="I1660" s="7" t="n">
        <v>45799</v>
      </c>
      <c r="J1660" s="8" t="str">
        <f aca="false">VLOOKUP(B1660,Table3[#All],2,0)</f>
        <v>Fixed Maintance</v>
      </c>
      <c r="K1660" s="8" t="str">
        <f aca="false">TEXT(ROW(), "0000")</f>
        <v>1660</v>
      </c>
      <c r="L1660" s="8"/>
    </row>
    <row r="1661" customFormat="false" ht="15.75" hidden="false" customHeight="true" outlineLevel="0" collapsed="false">
      <c r="A1661" s="7" t="n">
        <v>45781</v>
      </c>
      <c r="B1661" s="8" t="s">
        <v>32</v>
      </c>
      <c r="C1661" s="9" t="n">
        <v>245</v>
      </c>
      <c r="D1661" s="8" t="s">
        <v>21</v>
      </c>
      <c r="E1661" s="10" t="s">
        <v>38</v>
      </c>
      <c r="F1661" s="8" t="str">
        <f aca="false">TEXT(A1661,"MM-YYYY")</f>
        <v>05-2025</v>
      </c>
      <c r="G1661" s="8" t="s">
        <v>14</v>
      </c>
      <c r="H1661" s="8" t="s">
        <v>15</v>
      </c>
      <c r="I1661" s="7" t="n">
        <v>45781</v>
      </c>
      <c r="J1661" s="8" t="str">
        <f aca="false">VLOOKUP(B1661,Table3[#All],2,0)</f>
        <v>Grocery</v>
      </c>
      <c r="K1661" s="8" t="str">
        <f aca="false">TEXT(ROW(), "0000")</f>
        <v>1661</v>
      </c>
      <c r="L1661" s="8"/>
    </row>
    <row r="1662" customFormat="false" ht="15.75" hidden="false" customHeight="true" outlineLevel="0" collapsed="false">
      <c r="A1662" s="7" t="n">
        <v>45781</v>
      </c>
      <c r="B1662" s="8" t="s">
        <v>25</v>
      </c>
      <c r="C1662" s="9" t="n">
        <v>1571</v>
      </c>
      <c r="D1662" s="8" t="s">
        <v>13</v>
      </c>
      <c r="E1662" s="10" t="s">
        <v>26</v>
      </c>
      <c r="F1662" s="8" t="str">
        <f aca="false">TEXT(A1662,"MM-YYYY")</f>
        <v>05-2025</v>
      </c>
      <c r="G1662" s="21" t="s">
        <v>14</v>
      </c>
      <c r="H1662" s="8" t="s">
        <v>13</v>
      </c>
      <c r="I1662" s="22" t="n">
        <v>45796</v>
      </c>
      <c r="J1662" s="8" t="str">
        <f aca="false">VLOOKUP(B1662,Table3[#All],2,0)</f>
        <v>Inventory</v>
      </c>
      <c r="K1662" s="8" t="str">
        <f aca="false">TEXT(ROW(), "0000")</f>
        <v>1662</v>
      </c>
      <c r="L1662" s="8"/>
    </row>
    <row r="1663" customFormat="false" ht="15.75" hidden="false" customHeight="true" outlineLevel="0" collapsed="false">
      <c r="A1663" s="7" t="n">
        <v>45781</v>
      </c>
      <c r="B1663" s="8" t="s">
        <v>19</v>
      </c>
      <c r="C1663" s="9" t="n">
        <v>6811</v>
      </c>
      <c r="D1663" s="8" t="s">
        <v>13</v>
      </c>
      <c r="E1663" s="10" t="s">
        <v>20</v>
      </c>
      <c r="F1663" s="8" t="str">
        <f aca="false">TEXT(A1663,"MM-YYYY")</f>
        <v>05-2025</v>
      </c>
      <c r="G1663" s="8" t="s">
        <v>14</v>
      </c>
      <c r="H1663" s="8" t="s">
        <v>13</v>
      </c>
      <c r="I1663" s="7" t="n">
        <v>45787</v>
      </c>
      <c r="J1663" s="8" t="str">
        <f aca="false">VLOOKUP(B1663,Table3[#All],2,0)</f>
        <v>Inventory</v>
      </c>
      <c r="K1663" s="8" t="str">
        <f aca="false">TEXT(ROW(), "0000")</f>
        <v>1663</v>
      </c>
      <c r="L1663" s="8"/>
    </row>
    <row r="1664" customFormat="false" ht="15.75" hidden="false" customHeight="true" outlineLevel="0" collapsed="false">
      <c r="A1664" s="7" t="n">
        <v>45781</v>
      </c>
      <c r="B1664" s="8" t="s">
        <v>22</v>
      </c>
      <c r="C1664" s="9" t="n">
        <v>110</v>
      </c>
      <c r="D1664" s="8" t="s">
        <v>21</v>
      </c>
      <c r="E1664" s="10" t="s">
        <v>213</v>
      </c>
      <c r="F1664" s="8" t="str">
        <f aca="false">TEXT(A1664,"MM-YYYY")</f>
        <v>05-2025</v>
      </c>
      <c r="G1664" s="8" t="s">
        <v>14</v>
      </c>
      <c r="H1664" s="8" t="s">
        <v>15</v>
      </c>
      <c r="I1664" s="7" t="n">
        <v>45781</v>
      </c>
      <c r="J1664" s="8" t="str">
        <f aca="false">VLOOKUP(B1664,Table3[#All],2,0)</f>
        <v>Inventory</v>
      </c>
      <c r="K1664" s="8" t="str">
        <f aca="false">TEXT(ROW(), "0000")</f>
        <v>1664</v>
      </c>
      <c r="L1664" s="8"/>
    </row>
    <row r="1665" customFormat="false" ht="15.75" hidden="false" customHeight="true" outlineLevel="0" collapsed="false">
      <c r="A1665" s="7" t="n">
        <v>45781</v>
      </c>
      <c r="B1665" s="8" t="s">
        <v>25</v>
      </c>
      <c r="C1665" s="9" t="n">
        <v>550</v>
      </c>
      <c r="D1665" s="8" t="s">
        <v>45</v>
      </c>
      <c r="E1665" s="10" t="s">
        <v>62</v>
      </c>
      <c r="F1665" s="8" t="str">
        <f aca="false">TEXT(A1665,"MM-YYYY")</f>
        <v>05-2025</v>
      </c>
      <c r="G1665" s="8" t="s">
        <v>14</v>
      </c>
      <c r="H1665" s="8" t="s">
        <v>232</v>
      </c>
      <c r="I1665" s="7" t="n">
        <v>45781</v>
      </c>
      <c r="J1665" s="8" t="str">
        <f aca="false">VLOOKUP(B1665,Table3[#All],2,0)</f>
        <v>Inventory</v>
      </c>
      <c r="K1665" s="8" t="str">
        <f aca="false">TEXT(ROW(), "0000")</f>
        <v>1665</v>
      </c>
      <c r="L1665" s="8"/>
    </row>
    <row r="1666" customFormat="false" ht="15.75" hidden="false" customHeight="true" outlineLevel="0" collapsed="false">
      <c r="A1666" s="7" t="n">
        <v>45781</v>
      </c>
      <c r="B1666" s="8" t="s">
        <v>29</v>
      </c>
      <c r="C1666" s="9" t="n">
        <v>570</v>
      </c>
      <c r="D1666" s="8" t="s">
        <v>45</v>
      </c>
      <c r="E1666" s="10" t="s">
        <v>78</v>
      </c>
      <c r="F1666" s="8" t="str">
        <f aca="false">TEXT(A1666,"MM-YYYY")</f>
        <v>05-2025</v>
      </c>
      <c r="G1666" s="8" t="s">
        <v>14</v>
      </c>
      <c r="H1666" s="8" t="s">
        <v>232</v>
      </c>
      <c r="I1666" s="7" t="n">
        <v>45781</v>
      </c>
      <c r="J1666" s="8" t="str">
        <f aca="false">VLOOKUP(B1666,Table3[#All],2,0)</f>
        <v>Inventory</v>
      </c>
      <c r="K1666" s="8" t="str">
        <f aca="false">TEXT(ROW(), "0000")</f>
        <v>1666</v>
      </c>
      <c r="L1666" s="8"/>
    </row>
    <row r="1667" customFormat="false" ht="15.75" hidden="false" customHeight="true" outlineLevel="0" collapsed="false">
      <c r="A1667" s="7" t="n">
        <v>45781</v>
      </c>
      <c r="B1667" s="8" t="s">
        <v>22</v>
      </c>
      <c r="C1667" s="9" t="n">
        <v>128</v>
      </c>
      <c r="D1667" s="8" t="s">
        <v>13</v>
      </c>
      <c r="E1667" s="10" t="s">
        <v>110</v>
      </c>
      <c r="F1667" s="8" t="str">
        <f aca="false">TEXT(A1667,"MM-YYYY")</f>
        <v>05-2025</v>
      </c>
      <c r="G1667" s="8" t="s">
        <v>14</v>
      </c>
      <c r="H1667" s="8" t="s">
        <v>13</v>
      </c>
      <c r="I1667" s="7" t="n">
        <v>45789</v>
      </c>
      <c r="J1667" s="8" t="str">
        <f aca="false">VLOOKUP(B1667,Table3[#All],2,0)</f>
        <v>Inventory</v>
      </c>
      <c r="K1667" s="8" t="str">
        <f aca="false">TEXT(ROW(), "0000")</f>
        <v>1667</v>
      </c>
      <c r="L1667" s="8"/>
    </row>
    <row r="1668" customFormat="false" ht="15.75" hidden="false" customHeight="true" outlineLevel="0" collapsed="false">
      <c r="A1668" s="7" t="n">
        <v>45781</v>
      </c>
      <c r="B1668" s="8" t="s">
        <v>67</v>
      </c>
      <c r="C1668" s="9" t="n">
        <v>2000</v>
      </c>
      <c r="D1668" s="8" t="s">
        <v>45</v>
      </c>
      <c r="E1668" s="8" t="s">
        <v>67</v>
      </c>
      <c r="F1668" s="8" t="str">
        <f aca="false">TEXT(A1668,"MM-YYYY")</f>
        <v>05-2025</v>
      </c>
      <c r="G1668" s="8" t="s">
        <v>14</v>
      </c>
      <c r="H1668" s="8" t="s">
        <v>232</v>
      </c>
      <c r="I1668" s="7" t="n">
        <v>45781</v>
      </c>
      <c r="J1668" s="8" t="str">
        <f aca="false">VLOOKUP(B1668,Table3[#All],2,0)</f>
        <v>Fixed Maintance</v>
      </c>
      <c r="K1668" s="8" t="str">
        <f aca="false">TEXT(ROW(), "0000")</f>
        <v>1668</v>
      </c>
      <c r="L1668" s="8"/>
    </row>
    <row r="1669" customFormat="false" ht="15.75" hidden="false" customHeight="true" outlineLevel="0" collapsed="false">
      <c r="A1669" s="7" t="n">
        <v>45781</v>
      </c>
      <c r="B1669" s="8" t="s">
        <v>29</v>
      </c>
      <c r="C1669" s="9" t="n">
        <v>706</v>
      </c>
      <c r="D1669" s="8" t="s">
        <v>13</v>
      </c>
      <c r="E1669" s="10" t="s">
        <v>231</v>
      </c>
      <c r="F1669" s="8" t="str">
        <f aca="false">TEXT(A1669,"MM-YYYY")</f>
        <v>05-2025</v>
      </c>
      <c r="G1669" s="8" t="s">
        <v>14</v>
      </c>
      <c r="H1669" s="8" t="s">
        <v>13</v>
      </c>
      <c r="I1669" s="7" t="n">
        <v>45790</v>
      </c>
      <c r="J1669" s="8" t="str">
        <f aca="false">VLOOKUP(B1669,Table3[#All],2,0)</f>
        <v>Inventory</v>
      </c>
      <c r="K1669" s="8" t="str">
        <f aca="false">TEXT(ROW(), "0000")</f>
        <v>1669</v>
      </c>
      <c r="L1669" s="8"/>
    </row>
    <row r="1670" customFormat="false" ht="15.75" hidden="false" customHeight="true" outlineLevel="0" collapsed="false">
      <c r="A1670" s="7" t="n">
        <v>45781</v>
      </c>
      <c r="B1670" s="8" t="s">
        <v>28</v>
      </c>
      <c r="C1670" s="9" t="n">
        <v>465</v>
      </c>
      <c r="D1670" s="8" t="s">
        <v>21</v>
      </c>
      <c r="E1670" s="10" t="s">
        <v>93</v>
      </c>
      <c r="F1670" s="8" t="str">
        <f aca="false">TEXT(A1670,"MM-YYYY")</f>
        <v>05-2025</v>
      </c>
      <c r="G1670" s="8" t="s">
        <v>14</v>
      </c>
      <c r="H1670" s="8" t="s">
        <v>15</v>
      </c>
      <c r="I1670" s="7" t="n">
        <v>45781</v>
      </c>
      <c r="J1670" s="8" t="str">
        <f aca="false">VLOOKUP(B1670,Table3[#All],2,0)</f>
        <v>Grocery</v>
      </c>
      <c r="K1670" s="8" t="str">
        <f aca="false">TEXT(ROW(), "0000")</f>
        <v>1670</v>
      </c>
      <c r="L1670" s="8"/>
    </row>
    <row r="1671" customFormat="false" ht="15.75" hidden="false" customHeight="true" outlineLevel="0" collapsed="false">
      <c r="A1671" s="7" t="n">
        <v>45781</v>
      </c>
      <c r="B1671" s="8" t="s">
        <v>16</v>
      </c>
      <c r="C1671" s="9" t="n">
        <v>4645</v>
      </c>
      <c r="D1671" s="8" t="s">
        <v>21</v>
      </c>
      <c r="E1671" s="10" t="s">
        <v>88</v>
      </c>
      <c r="F1671" s="8" t="str">
        <f aca="false">TEXT(A1671,"MM-YYYY")</f>
        <v>05-2025</v>
      </c>
      <c r="G1671" s="8"/>
      <c r="H1671" s="8"/>
      <c r="I1671" s="7"/>
      <c r="J1671" s="8" t="str">
        <f aca="false">VLOOKUP(B1671,Table3[#All],2,0)</f>
        <v>Sales</v>
      </c>
      <c r="K1671" s="8" t="str">
        <f aca="false">TEXT(ROW(), "0000")</f>
        <v>1671</v>
      </c>
      <c r="L1671" s="8"/>
    </row>
    <row r="1672" customFormat="false" ht="15.75" hidden="false" customHeight="true" outlineLevel="0" collapsed="false">
      <c r="A1672" s="7" t="n">
        <v>45781</v>
      </c>
      <c r="B1672" s="8" t="s">
        <v>16</v>
      </c>
      <c r="C1672" s="9" t="n">
        <v>2525</v>
      </c>
      <c r="D1672" s="8" t="s">
        <v>33</v>
      </c>
      <c r="E1672" s="10" t="s">
        <v>88</v>
      </c>
      <c r="F1672" s="8" t="str">
        <f aca="false">TEXT(A1672,"MM-YYYY")</f>
        <v>05-2025</v>
      </c>
      <c r="G1672" s="8"/>
      <c r="H1672" s="8"/>
      <c r="I1672" s="7"/>
      <c r="J1672" s="8" t="str">
        <f aca="false">VLOOKUP(B1672,Table3[#All],2,0)</f>
        <v>Sales</v>
      </c>
      <c r="K1672" s="8" t="str">
        <f aca="false">TEXT(ROW(), "0000")</f>
        <v>1672</v>
      </c>
      <c r="L1672" s="8"/>
    </row>
    <row r="1673" customFormat="false" ht="15.75" hidden="false" customHeight="true" outlineLevel="0" collapsed="false">
      <c r="A1673" s="7" t="n">
        <v>45781</v>
      </c>
      <c r="B1673" s="8" t="s">
        <v>16</v>
      </c>
      <c r="C1673" s="9" t="n">
        <v>20117</v>
      </c>
      <c r="D1673" s="8" t="s">
        <v>17</v>
      </c>
      <c r="E1673" s="10" t="s">
        <v>88</v>
      </c>
      <c r="F1673" s="8" t="str">
        <f aca="false">TEXT(A1673,"MM-YYYY")</f>
        <v>05-2025</v>
      </c>
      <c r="G1673" s="8"/>
      <c r="H1673" s="8"/>
      <c r="I1673" s="7"/>
      <c r="J1673" s="8" t="str">
        <f aca="false">VLOOKUP(B1673,Table3[#All],2,0)</f>
        <v>Sales</v>
      </c>
      <c r="K1673" s="8" t="str">
        <f aca="false">TEXT(ROW(), "0000")</f>
        <v>1673</v>
      </c>
      <c r="L1673" s="8"/>
    </row>
    <row r="1674" customFormat="false" ht="15.75" hidden="false" customHeight="true" outlineLevel="0" collapsed="false">
      <c r="A1674" s="7" t="n">
        <v>45781</v>
      </c>
      <c r="B1674" s="8" t="s">
        <v>16</v>
      </c>
      <c r="C1674" s="9" t="n">
        <v>4239</v>
      </c>
      <c r="D1674" s="8" t="s">
        <v>24</v>
      </c>
      <c r="E1674" s="10" t="s">
        <v>217</v>
      </c>
      <c r="F1674" s="8" t="str">
        <f aca="false">TEXT(A1674,"MM-YYYY")</f>
        <v>05-2025</v>
      </c>
      <c r="G1674" s="8"/>
      <c r="H1674" s="8"/>
      <c r="I1674" s="7"/>
      <c r="J1674" s="8" t="str">
        <f aca="false">VLOOKUP(B1674,Table3[#All],2,0)</f>
        <v>Sales</v>
      </c>
      <c r="K1674" s="8" t="str">
        <f aca="false">TEXT(ROW(), "0000")</f>
        <v>1674</v>
      </c>
      <c r="L1674" s="8"/>
    </row>
    <row r="1675" customFormat="false" ht="15.75" hidden="false" customHeight="true" outlineLevel="0" collapsed="false">
      <c r="A1675" s="7" t="n">
        <v>45781</v>
      </c>
      <c r="B1675" s="8" t="s">
        <v>34</v>
      </c>
      <c r="C1675" s="9" t="n">
        <v>130</v>
      </c>
      <c r="D1675" s="8" t="s">
        <v>45</v>
      </c>
      <c r="E1675" s="10" t="s">
        <v>267</v>
      </c>
      <c r="F1675" s="8" t="str">
        <f aca="false">TEXT(A1675,"MM-YYYY")</f>
        <v>05-2025</v>
      </c>
      <c r="G1675" s="8" t="s">
        <v>14</v>
      </c>
      <c r="H1675" s="8" t="s">
        <v>232</v>
      </c>
      <c r="I1675" s="7" t="n">
        <v>45781</v>
      </c>
      <c r="J1675" s="8" t="str">
        <f aca="false">VLOOKUP(B1675,Table3[#All],2,0)</f>
        <v>Staff Expenses</v>
      </c>
      <c r="K1675" s="8" t="str">
        <f aca="false">TEXT(ROW(), "0000")</f>
        <v>1675</v>
      </c>
      <c r="L1675" s="8"/>
    </row>
    <row r="1676" customFormat="false" ht="15.75" hidden="false" customHeight="true" outlineLevel="0" collapsed="false">
      <c r="A1676" s="7" t="n">
        <v>45781</v>
      </c>
      <c r="B1676" s="8" t="s">
        <v>37</v>
      </c>
      <c r="C1676" s="9" t="n">
        <v>25</v>
      </c>
      <c r="D1676" s="8" t="s">
        <v>21</v>
      </c>
      <c r="E1676" s="8" t="s">
        <v>37</v>
      </c>
      <c r="F1676" s="8" t="str">
        <f aca="false">TEXT(A1676,"MM-YYYY")</f>
        <v>05-2025</v>
      </c>
      <c r="G1676" s="8" t="s">
        <v>14</v>
      </c>
      <c r="H1676" s="8" t="s">
        <v>15</v>
      </c>
      <c r="I1676" s="7" t="n">
        <v>45781</v>
      </c>
      <c r="J1676" s="8" t="str">
        <f aca="false">VLOOKUP(B1676,Table3[#All],2,0)</f>
        <v>Maintance</v>
      </c>
      <c r="K1676" s="8" t="str">
        <f aca="false">TEXT(ROW(), "0000")</f>
        <v>1676</v>
      </c>
      <c r="L1676" s="8"/>
    </row>
    <row r="1677" customFormat="false" ht="15.75" hidden="false" customHeight="true" outlineLevel="0" collapsed="false">
      <c r="A1677" s="7" t="n">
        <v>45781</v>
      </c>
      <c r="B1677" s="8" t="s">
        <v>44</v>
      </c>
      <c r="C1677" s="9" t="n">
        <v>5000</v>
      </c>
      <c r="D1677" s="8" t="s">
        <v>13</v>
      </c>
      <c r="E1677" s="10" t="s">
        <v>261</v>
      </c>
      <c r="F1677" s="8" t="str">
        <f aca="false">TEXT(A1677,"MM-YYYY")</f>
        <v>05-2025</v>
      </c>
      <c r="G1677" s="8" t="s">
        <v>14</v>
      </c>
      <c r="H1677" s="8" t="s">
        <v>262</v>
      </c>
      <c r="I1677" s="7" t="n">
        <v>45781</v>
      </c>
      <c r="J1677" s="8" t="str">
        <f aca="false">VLOOKUP(B1677,Table3[#All],2,0)</f>
        <v>Salary</v>
      </c>
      <c r="K1677" s="8" t="str">
        <f aca="false">TEXT(ROW(), "0000")</f>
        <v>1677</v>
      </c>
      <c r="L1677" s="8"/>
    </row>
    <row r="1678" customFormat="false" ht="15.75" hidden="false" customHeight="true" outlineLevel="0" collapsed="false">
      <c r="A1678" s="7" t="n">
        <v>45781</v>
      </c>
      <c r="B1678" s="8" t="s">
        <v>44</v>
      </c>
      <c r="C1678" s="9" t="n">
        <v>1000</v>
      </c>
      <c r="D1678" s="8" t="s">
        <v>45</v>
      </c>
      <c r="E1678" s="10" t="s">
        <v>261</v>
      </c>
      <c r="F1678" s="8" t="str">
        <f aca="false">TEXT(A1678,"MM-YYYY")</f>
        <v>05-2025</v>
      </c>
      <c r="G1678" s="8" t="s">
        <v>14</v>
      </c>
      <c r="H1678" s="8" t="s">
        <v>232</v>
      </c>
      <c r="I1678" s="7" t="n">
        <v>45781</v>
      </c>
      <c r="J1678" s="8" t="str">
        <f aca="false">VLOOKUP(B1678,Table3[#All],2,0)</f>
        <v>Salary</v>
      </c>
      <c r="K1678" s="8" t="str">
        <f aca="false">TEXT(ROW(), "0000")</f>
        <v>1678</v>
      </c>
      <c r="L1678" s="8"/>
    </row>
    <row r="1679" customFormat="false" ht="15.75" hidden="false" customHeight="true" outlineLevel="0" collapsed="false">
      <c r="A1679" s="7" t="n">
        <v>45782</v>
      </c>
      <c r="B1679" s="8" t="s">
        <v>19</v>
      </c>
      <c r="C1679" s="9" t="n">
        <v>3744</v>
      </c>
      <c r="D1679" s="8" t="s">
        <v>13</v>
      </c>
      <c r="E1679" s="10" t="s">
        <v>20</v>
      </c>
      <c r="F1679" s="8" t="str">
        <f aca="false">TEXT(A1679,"MM-YYYY")</f>
        <v>05-2025</v>
      </c>
      <c r="G1679" s="8" t="s">
        <v>14</v>
      </c>
      <c r="H1679" s="8" t="s">
        <v>13</v>
      </c>
      <c r="I1679" s="7" t="n">
        <v>45787</v>
      </c>
      <c r="J1679" s="8" t="str">
        <f aca="false">VLOOKUP(B1679,Table3[#All],2,0)</f>
        <v>Inventory</v>
      </c>
      <c r="K1679" s="8" t="str">
        <f aca="false">TEXT(ROW(), "0000")</f>
        <v>1679</v>
      </c>
      <c r="L1679" s="8"/>
    </row>
    <row r="1680" customFormat="false" ht="15.75" hidden="false" customHeight="true" outlineLevel="0" collapsed="false">
      <c r="A1680" s="7" t="n">
        <v>45782</v>
      </c>
      <c r="B1680" s="8" t="s">
        <v>29</v>
      </c>
      <c r="C1680" s="9" t="n">
        <v>506</v>
      </c>
      <c r="D1680" s="8" t="s">
        <v>13</v>
      </c>
      <c r="E1680" s="10" t="s">
        <v>231</v>
      </c>
      <c r="F1680" s="8" t="str">
        <f aca="false">TEXT(A1680,"MM-YYYY")</f>
        <v>05-2025</v>
      </c>
      <c r="G1680" s="8" t="s">
        <v>14</v>
      </c>
      <c r="H1680" s="8" t="s">
        <v>13</v>
      </c>
      <c r="I1680" s="7" t="n">
        <v>45790</v>
      </c>
      <c r="J1680" s="8" t="str">
        <f aca="false">VLOOKUP(B1680,Table3[#All],2,0)</f>
        <v>Inventory</v>
      </c>
      <c r="K1680" s="8" t="str">
        <f aca="false">TEXT(ROW(), "0000")</f>
        <v>1680</v>
      </c>
      <c r="L1680" s="8"/>
    </row>
    <row r="1681" customFormat="false" ht="15.75" hidden="false" customHeight="true" outlineLevel="0" collapsed="false">
      <c r="A1681" s="7" t="n">
        <v>45782</v>
      </c>
      <c r="B1681" s="8" t="s">
        <v>22</v>
      </c>
      <c r="C1681" s="9" t="n">
        <v>6989</v>
      </c>
      <c r="D1681" s="8" t="s">
        <v>13</v>
      </c>
      <c r="E1681" s="10" t="s">
        <v>110</v>
      </c>
      <c r="F1681" s="8" t="str">
        <f aca="false">TEXT(A1681,"MM-YYYY")</f>
        <v>05-2025</v>
      </c>
      <c r="G1681" s="8" t="s">
        <v>14</v>
      </c>
      <c r="H1681" s="8" t="s">
        <v>13</v>
      </c>
      <c r="I1681" s="7" t="n">
        <v>45789</v>
      </c>
      <c r="J1681" s="8" t="str">
        <f aca="false">VLOOKUP(B1681,Table3[#All],2,0)</f>
        <v>Inventory</v>
      </c>
      <c r="K1681" s="8" t="str">
        <f aca="false">TEXT(ROW(), "0000")</f>
        <v>1681</v>
      </c>
      <c r="L1681" s="8"/>
    </row>
    <row r="1682" customFormat="false" ht="15.75" hidden="false" customHeight="true" outlineLevel="0" collapsed="false">
      <c r="A1682" s="7" t="n">
        <v>45782</v>
      </c>
      <c r="B1682" s="8" t="s">
        <v>25</v>
      </c>
      <c r="C1682" s="9" t="n">
        <v>980</v>
      </c>
      <c r="D1682" s="8" t="s">
        <v>13</v>
      </c>
      <c r="E1682" s="10" t="s">
        <v>26</v>
      </c>
      <c r="F1682" s="8" t="str">
        <f aca="false">TEXT(A1682,"MM-YYYY")</f>
        <v>05-2025</v>
      </c>
      <c r="G1682" s="21" t="s">
        <v>14</v>
      </c>
      <c r="H1682" s="8" t="s">
        <v>13</v>
      </c>
      <c r="I1682" s="22" t="n">
        <v>45796</v>
      </c>
      <c r="J1682" s="8" t="str">
        <f aca="false">VLOOKUP(B1682,Table3[#All],2,0)</f>
        <v>Inventory</v>
      </c>
      <c r="K1682" s="8" t="str">
        <f aca="false">TEXT(ROW(), "0000")</f>
        <v>1682</v>
      </c>
      <c r="L1682" s="8"/>
    </row>
    <row r="1683" customFormat="false" ht="15.75" hidden="false" customHeight="true" outlineLevel="0" collapsed="false">
      <c r="A1683" s="7" t="n">
        <v>45782</v>
      </c>
      <c r="B1683" s="8" t="s">
        <v>47</v>
      </c>
      <c r="C1683" s="9" t="n">
        <v>1680</v>
      </c>
      <c r="D1683" s="8" t="s">
        <v>13</v>
      </c>
      <c r="E1683" s="10" t="s">
        <v>223</v>
      </c>
      <c r="F1683" s="8" t="str">
        <f aca="false">TEXT(A1683,"MM-YYYY")</f>
        <v>05-2025</v>
      </c>
      <c r="G1683" s="8" t="s">
        <v>14</v>
      </c>
      <c r="H1683" s="8" t="s">
        <v>13</v>
      </c>
      <c r="I1683" s="7" t="n">
        <v>45787</v>
      </c>
      <c r="J1683" s="8" t="str">
        <f aca="false">VLOOKUP(B1683,Table3[#All],2,0)</f>
        <v>Inventory</v>
      </c>
      <c r="K1683" s="8" t="str">
        <f aca="false">TEXT(ROW(), "0000")</f>
        <v>1683</v>
      </c>
      <c r="L1683" s="8"/>
    </row>
    <row r="1684" customFormat="false" ht="15.75" hidden="false" customHeight="true" outlineLevel="0" collapsed="false">
      <c r="A1684" s="7" t="n">
        <v>45782</v>
      </c>
      <c r="B1684" s="8" t="s">
        <v>32</v>
      </c>
      <c r="C1684" s="9" t="n">
        <v>245</v>
      </c>
      <c r="D1684" s="8" t="s">
        <v>21</v>
      </c>
      <c r="E1684" s="10" t="s">
        <v>38</v>
      </c>
      <c r="F1684" s="8" t="str">
        <f aca="false">TEXT(A1684,"MM-YYYY")</f>
        <v>05-2025</v>
      </c>
      <c r="G1684" s="8" t="s">
        <v>14</v>
      </c>
      <c r="H1684" s="8" t="s">
        <v>15</v>
      </c>
      <c r="I1684" s="7" t="n">
        <v>45782</v>
      </c>
      <c r="J1684" s="8" t="str">
        <f aca="false">VLOOKUP(B1684,Table3[#All],2,0)</f>
        <v>Grocery</v>
      </c>
      <c r="K1684" s="8" t="str">
        <f aca="false">TEXT(ROW(), "0000")</f>
        <v>1684</v>
      </c>
      <c r="L1684" s="8"/>
    </row>
    <row r="1685" customFormat="false" ht="15.75" hidden="false" customHeight="true" outlineLevel="0" collapsed="false">
      <c r="A1685" s="7" t="n">
        <v>45782</v>
      </c>
      <c r="B1685" s="8" t="s">
        <v>201</v>
      </c>
      <c r="C1685" s="9" t="n">
        <v>2220</v>
      </c>
      <c r="D1685" s="8" t="s">
        <v>13</v>
      </c>
      <c r="E1685" s="8" t="s">
        <v>201</v>
      </c>
      <c r="F1685" s="8" t="str">
        <f aca="false">TEXT(A1685,"MM-YYYY")</f>
        <v>05-2025</v>
      </c>
      <c r="G1685" s="8" t="s">
        <v>14</v>
      </c>
      <c r="H1685" s="8" t="s">
        <v>13</v>
      </c>
      <c r="I1685" s="7" t="n">
        <v>45782</v>
      </c>
      <c r="J1685" s="8" t="str">
        <f aca="false">VLOOKUP(B1685,Table3[#All],2,0)</f>
        <v>Inventory</v>
      </c>
      <c r="K1685" s="8" t="str">
        <f aca="false">TEXT(ROW(), "0000")</f>
        <v>1685</v>
      </c>
      <c r="L1685" s="8"/>
    </row>
    <row r="1686" customFormat="false" ht="15.75" hidden="false" customHeight="true" outlineLevel="0" collapsed="false">
      <c r="A1686" s="7" t="n">
        <v>45782</v>
      </c>
      <c r="B1686" s="8" t="s">
        <v>12</v>
      </c>
      <c r="C1686" s="9" t="n">
        <v>23960</v>
      </c>
      <c r="D1686" s="8" t="s">
        <v>13</v>
      </c>
      <c r="E1686" s="8" t="s">
        <v>12</v>
      </c>
      <c r="F1686" s="8" t="str">
        <f aca="false">TEXT(A1686,"MM-YYYY")</f>
        <v>05-2025</v>
      </c>
      <c r="G1686" s="8" t="s">
        <v>18</v>
      </c>
      <c r="H1686" s="8"/>
      <c r="I1686" s="7"/>
      <c r="J1686" s="8" t="str">
        <f aca="false">VLOOKUP(B1686,Table3[#All],2,0)</f>
        <v>Fixed Maintance</v>
      </c>
      <c r="K1686" s="8" t="str">
        <f aca="false">TEXT(ROW(), "0000")</f>
        <v>1686</v>
      </c>
      <c r="L1686" s="8"/>
    </row>
    <row r="1687" customFormat="false" ht="15.75" hidden="false" customHeight="true" outlineLevel="0" collapsed="false">
      <c r="A1687" s="7" t="n">
        <v>45782</v>
      </c>
      <c r="B1687" s="8" t="s">
        <v>53</v>
      </c>
      <c r="C1687" s="9" t="n">
        <v>700</v>
      </c>
      <c r="D1687" s="8" t="s">
        <v>13</v>
      </c>
      <c r="E1687" s="10" t="s">
        <v>55</v>
      </c>
      <c r="F1687" s="8" t="str">
        <f aca="false">TEXT(A1687,"MM-YYYY")</f>
        <v>05-2025</v>
      </c>
      <c r="G1687" s="8" t="s">
        <v>14</v>
      </c>
      <c r="H1687" s="8" t="s">
        <v>262</v>
      </c>
      <c r="I1687" s="7" t="n">
        <v>45782</v>
      </c>
      <c r="J1687" s="8" t="str">
        <f aca="false">VLOOKUP(B1687,Table3[#All],2,0)</f>
        <v>Grocery</v>
      </c>
      <c r="K1687" s="8" t="str">
        <f aca="false">TEXT(ROW(), "0000")</f>
        <v>1687</v>
      </c>
      <c r="L1687" s="8"/>
    </row>
    <row r="1688" customFormat="false" ht="15.75" hidden="false" customHeight="true" outlineLevel="0" collapsed="false">
      <c r="A1688" s="7" t="n">
        <v>45782</v>
      </c>
      <c r="B1688" s="8" t="s">
        <v>53</v>
      </c>
      <c r="C1688" s="9" t="n">
        <v>20</v>
      </c>
      <c r="D1688" s="8" t="s">
        <v>21</v>
      </c>
      <c r="E1688" s="10" t="s">
        <v>55</v>
      </c>
      <c r="F1688" s="8" t="str">
        <f aca="false">TEXT(A1688,"MM-YYYY")</f>
        <v>05-2025</v>
      </c>
      <c r="G1688" s="8" t="s">
        <v>14</v>
      </c>
      <c r="H1688" s="8" t="s">
        <v>15</v>
      </c>
      <c r="I1688" s="7" t="n">
        <v>45782</v>
      </c>
      <c r="J1688" s="8" t="str">
        <f aca="false">VLOOKUP(B1688,Table3[#All],2,0)</f>
        <v>Grocery</v>
      </c>
      <c r="K1688" s="8" t="str">
        <f aca="false">TEXT(ROW(), "0000")</f>
        <v>1688</v>
      </c>
      <c r="L1688" s="8"/>
    </row>
    <row r="1689" customFormat="false" ht="15.75" hidden="false" customHeight="true" outlineLevel="0" collapsed="false">
      <c r="A1689" s="7" t="n">
        <v>45782</v>
      </c>
      <c r="B1689" s="8" t="s">
        <v>25</v>
      </c>
      <c r="C1689" s="9" t="n">
        <v>445</v>
      </c>
      <c r="D1689" s="8" t="s">
        <v>45</v>
      </c>
      <c r="E1689" s="10" t="s">
        <v>298</v>
      </c>
      <c r="F1689" s="8" t="str">
        <f aca="false">TEXT(A1689,"MM-YYYY")</f>
        <v>05-2025</v>
      </c>
      <c r="G1689" s="8" t="s">
        <v>14</v>
      </c>
      <c r="H1689" s="8" t="s">
        <v>232</v>
      </c>
      <c r="I1689" s="7" t="n">
        <v>45782</v>
      </c>
      <c r="J1689" s="8" t="str">
        <f aca="false">VLOOKUP(B1689,Table3[#All],2,0)</f>
        <v>Inventory</v>
      </c>
      <c r="K1689" s="8" t="str">
        <f aca="false">TEXT(ROW(), "0000")</f>
        <v>1689</v>
      </c>
      <c r="L1689" s="8"/>
    </row>
    <row r="1690" customFormat="false" ht="15.75" hidden="false" customHeight="true" outlineLevel="0" collapsed="false">
      <c r="A1690" s="7" t="n">
        <v>45782</v>
      </c>
      <c r="B1690" s="8" t="s">
        <v>31</v>
      </c>
      <c r="C1690" s="9" t="n">
        <v>300</v>
      </c>
      <c r="D1690" s="8" t="s">
        <v>45</v>
      </c>
      <c r="E1690" s="10" t="s">
        <v>236</v>
      </c>
      <c r="F1690" s="8" t="str">
        <f aca="false">TEXT(A1690,"MM-YYYY")</f>
        <v>05-2025</v>
      </c>
      <c r="G1690" s="8" t="s">
        <v>14</v>
      </c>
      <c r="H1690" s="8" t="s">
        <v>232</v>
      </c>
      <c r="I1690" s="7" t="n">
        <v>45782</v>
      </c>
      <c r="J1690" s="8" t="str">
        <f aca="false">VLOOKUP(B1690,Table3[#All],2,0)</f>
        <v>Bike Maintance</v>
      </c>
      <c r="K1690" s="8" t="str">
        <f aca="false">TEXT(ROW(), "0000")</f>
        <v>1690</v>
      </c>
      <c r="L1690" s="8"/>
    </row>
    <row r="1691" customFormat="false" ht="15.75" hidden="false" customHeight="true" outlineLevel="0" collapsed="false">
      <c r="A1691" s="7" t="n">
        <v>45782</v>
      </c>
      <c r="B1691" s="8" t="s">
        <v>16</v>
      </c>
      <c r="C1691" s="9" t="n">
        <v>2934</v>
      </c>
      <c r="D1691" s="8" t="s">
        <v>21</v>
      </c>
      <c r="E1691" s="10" t="s">
        <v>88</v>
      </c>
      <c r="F1691" s="8" t="str">
        <f aca="false">TEXT(A1691,"MM-YYYY")</f>
        <v>05-2025</v>
      </c>
      <c r="G1691" s="8"/>
      <c r="H1691" s="8"/>
      <c r="I1691" s="7"/>
      <c r="J1691" s="8" t="str">
        <f aca="false">VLOOKUP(B1691,Table3[#All],2,0)</f>
        <v>Sales</v>
      </c>
      <c r="K1691" s="8" t="str">
        <f aca="false">TEXT(ROW(), "0000")</f>
        <v>1691</v>
      </c>
      <c r="L1691" s="8"/>
    </row>
    <row r="1692" customFormat="false" ht="15.75" hidden="false" customHeight="true" outlineLevel="0" collapsed="false">
      <c r="A1692" s="7" t="n">
        <v>45782</v>
      </c>
      <c r="B1692" s="8" t="s">
        <v>16</v>
      </c>
      <c r="C1692" s="9" t="n">
        <v>825</v>
      </c>
      <c r="D1692" s="8" t="s">
        <v>27</v>
      </c>
      <c r="E1692" s="10" t="s">
        <v>88</v>
      </c>
      <c r="F1692" s="8" t="str">
        <f aca="false">TEXT(A1692,"MM-YYYY")</f>
        <v>05-2025</v>
      </c>
      <c r="G1692" s="8"/>
      <c r="H1692" s="8"/>
      <c r="I1692" s="7"/>
      <c r="J1692" s="8" t="str">
        <f aca="false">VLOOKUP(B1692,Table3[#All],2,0)</f>
        <v>Sales</v>
      </c>
      <c r="K1692" s="8" t="str">
        <f aca="false">TEXT(ROW(), "0000")</f>
        <v>1692</v>
      </c>
      <c r="L1692" s="8"/>
    </row>
    <row r="1693" customFormat="false" ht="15.75" hidden="false" customHeight="true" outlineLevel="0" collapsed="false">
      <c r="A1693" s="7" t="n">
        <v>45782</v>
      </c>
      <c r="B1693" s="8" t="s">
        <v>16</v>
      </c>
      <c r="C1693" s="9" t="n">
        <v>850</v>
      </c>
      <c r="D1693" s="8" t="s">
        <v>33</v>
      </c>
      <c r="E1693" s="10" t="s">
        <v>88</v>
      </c>
      <c r="F1693" s="8" t="str">
        <f aca="false">TEXT(A1693,"MM-YYYY")</f>
        <v>05-2025</v>
      </c>
      <c r="G1693" s="8"/>
      <c r="H1693" s="8"/>
      <c r="I1693" s="7"/>
      <c r="J1693" s="8" t="str">
        <f aca="false">VLOOKUP(B1693,Table3[#All],2,0)</f>
        <v>Sales</v>
      </c>
      <c r="K1693" s="8" t="str">
        <f aca="false">TEXT(ROW(), "0000")</f>
        <v>1693</v>
      </c>
      <c r="L1693" s="8"/>
    </row>
    <row r="1694" customFormat="false" ht="15.75" hidden="false" customHeight="true" outlineLevel="0" collapsed="false">
      <c r="A1694" s="7" t="n">
        <v>45782</v>
      </c>
      <c r="B1694" s="8" t="s">
        <v>16</v>
      </c>
      <c r="C1694" s="9" t="n">
        <v>7842</v>
      </c>
      <c r="D1694" s="8" t="s">
        <v>17</v>
      </c>
      <c r="E1694" s="10" t="s">
        <v>88</v>
      </c>
      <c r="F1694" s="8" t="str">
        <f aca="false">TEXT(A1694,"MM-YYYY")</f>
        <v>05-2025</v>
      </c>
      <c r="G1694" s="8"/>
      <c r="H1694" s="8"/>
      <c r="I1694" s="7"/>
      <c r="J1694" s="8" t="str">
        <f aca="false">VLOOKUP(B1694,Table3[#All],2,0)</f>
        <v>Sales</v>
      </c>
      <c r="K1694" s="8" t="str">
        <f aca="false">TEXT(ROW(), "0000")</f>
        <v>1694</v>
      </c>
      <c r="L1694" s="8"/>
    </row>
    <row r="1695" customFormat="false" ht="15.75" hidden="false" customHeight="true" outlineLevel="0" collapsed="false">
      <c r="A1695" s="7" t="n">
        <v>45782</v>
      </c>
      <c r="B1695" s="8" t="s">
        <v>16</v>
      </c>
      <c r="C1695" s="9" t="n">
        <v>400</v>
      </c>
      <c r="D1695" s="8" t="s">
        <v>59</v>
      </c>
      <c r="E1695" s="10" t="s">
        <v>88</v>
      </c>
      <c r="F1695" s="8" t="str">
        <f aca="false">TEXT(A1695,"MM-YYYY")</f>
        <v>05-2025</v>
      </c>
      <c r="G1695" s="8"/>
      <c r="H1695" s="8"/>
      <c r="I1695" s="7"/>
      <c r="J1695" s="8" t="str">
        <f aca="false">VLOOKUP(B1695,Table3[#All],2,0)</f>
        <v>Sales</v>
      </c>
      <c r="K1695" s="8" t="str">
        <f aca="false">TEXT(ROW(), "0000")</f>
        <v>1695</v>
      </c>
      <c r="L1695" s="8"/>
    </row>
    <row r="1696" customFormat="false" ht="15.75" hidden="false" customHeight="true" outlineLevel="0" collapsed="false">
      <c r="A1696" s="7" t="n">
        <v>45782</v>
      </c>
      <c r="B1696" s="8" t="s">
        <v>16</v>
      </c>
      <c r="C1696" s="9" t="n">
        <v>566</v>
      </c>
      <c r="D1696" s="8" t="s">
        <v>24</v>
      </c>
      <c r="E1696" s="10" t="s">
        <v>217</v>
      </c>
      <c r="F1696" s="8" t="str">
        <f aca="false">TEXT(A1696,"MM-YYYY")</f>
        <v>05-2025</v>
      </c>
      <c r="G1696" s="8"/>
      <c r="H1696" s="8"/>
      <c r="I1696" s="7"/>
      <c r="J1696" s="8" t="str">
        <f aca="false">VLOOKUP(B1696,Table3[#All],2,0)</f>
        <v>Sales</v>
      </c>
      <c r="K1696" s="8" t="str">
        <f aca="false">TEXT(ROW(), "0000")</f>
        <v>1696</v>
      </c>
      <c r="L1696" s="8"/>
    </row>
    <row r="1697" customFormat="false" ht="15.75" hidden="false" customHeight="true" outlineLevel="0" collapsed="false">
      <c r="A1697" s="7" t="n">
        <v>45782</v>
      </c>
      <c r="B1697" s="8" t="s">
        <v>37</v>
      </c>
      <c r="C1697" s="9" t="n">
        <v>19</v>
      </c>
      <c r="D1697" s="8" t="s">
        <v>21</v>
      </c>
      <c r="E1697" s="10" t="s">
        <v>37</v>
      </c>
      <c r="F1697" s="8" t="str">
        <f aca="false">TEXT(A1697,"MM-YYYY")</f>
        <v>05-2025</v>
      </c>
      <c r="G1697" s="8" t="s">
        <v>14</v>
      </c>
      <c r="H1697" s="8" t="s">
        <v>15</v>
      </c>
      <c r="I1697" s="7" t="n">
        <v>45782</v>
      </c>
      <c r="J1697" s="8" t="str">
        <f aca="false">VLOOKUP(B1697,Table3[#All],2,0)</f>
        <v>Maintance</v>
      </c>
      <c r="K1697" s="8" t="str">
        <f aca="false">TEXT(ROW(), "0000")</f>
        <v>1697</v>
      </c>
      <c r="L1697" s="8"/>
    </row>
    <row r="1698" customFormat="false" ht="15.75" hidden="false" customHeight="true" outlineLevel="0" collapsed="false">
      <c r="A1698" s="7" t="n">
        <v>45782</v>
      </c>
      <c r="B1698" s="8" t="s">
        <v>34</v>
      </c>
      <c r="C1698" s="9" t="n">
        <v>105</v>
      </c>
      <c r="D1698" s="8" t="s">
        <v>45</v>
      </c>
      <c r="E1698" s="10" t="s">
        <v>299</v>
      </c>
      <c r="F1698" s="8" t="str">
        <f aca="false">TEXT(A1698,"MM-YYYY")</f>
        <v>05-2025</v>
      </c>
      <c r="G1698" s="8" t="s">
        <v>14</v>
      </c>
      <c r="H1698" s="8" t="s">
        <v>232</v>
      </c>
      <c r="I1698" s="7" t="n">
        <v>45782</v>
      </c>
      <c r="J1698" s="8" t="str">
        <f aca="false">VLOOKUP(B1698,Table3[#All],2,0)</f>
        <v>Staff Expenses</v>
      </c>
      <c r="K1698" s="8" t="str">
        <f aca="false">TEXT(ROW(), "0000")</f>
        <v>1698</v>
      </c>
      <c r="L1698" s="8"/>
    </row>
    <row r="1699" customFormat="false" ht="15.75" hidden="false" customHeight="true" outlineLevel="0" collapsed="false">
      <c r="A1699" s="7" t="n">
        <v>45783</v>
      </c>
      <c r="B1699" s="8" t="s">
        <v>25</v>
      </c>
      <c r="C1699" s="9" t="n">
        <v>791</v>
      </c>
      <c r="D1699" s="8" t="s">
        <v>13</v>
      </c>
      <c r="E1699" s="10" t="s">
        <v>26</v>
      </c>
      <c r="F1699" s="8" t="str">
        <f aca="false">TEXT(A1699,"MM-YYYY")</f>
        <v>05-2025</v>
      </c>
      <c r="G1699" s="21" t="s">
        <v>14</v>
      </c>
      <c r="H1699" s="8" t="s">
        <v>13</v>
      </c>
      <c r="I1699" s="22" t="n">
        <v>45796</v>
      </c>
      <c r="J1699" s="8" t="str">
        <f aca="false">VLOOKUP(B1699,Table3[#All],2,0)</f>
        <v>Inventory</v>
      </c>
      <c r="K1699" s="8" t="str">
        <f aca="false">TEXT(ROW(), "0000")</f>
        <v>1699</v>
      </c>
      <c r="L1699" s="8"/>
    </row>
    <row r="1700" customFormat="false" ht="15.75" hidden="false" customHeight="true" outlineLevel="0" collapsed="false">
      <c r="A1700" s="7" t="n">
        <v>45783</v>
      </c>
      <c r="B1700" s="8" t="s">
        <v>19</v>
      </c>
      <c r="C1700" s="9" t="n">
        <v>2775</v>
      </c>
      <c r="D1700" s="8" t="s">
        <v>13</v>
      </c>
      <c r="E1700" s="10" t="s">
        <v>20</v>
      </c>
      <c r="F1700" s="8" t="str">
        <f aca="false">TEXT(A1700,"MM-YYYY")</f>
        <v>05-2025</v>
      </c>
      <c r="G1700" s="8" t="s">
        <v>14</v>
      </c>
      <c r="H1700" s="8" t="s">
        <v>13</v>
      </c>
      <c r="I1700" s="7" t="n">
        <v>45790</v>
      </c>
      <c r="J1700" s="8" t="str">
        <f aca="false">VLOOKUP(B1700,Table3[#All],2,0)</f>
        <v>Inventory</v>
      </c>
      <c r="K1700" s="8" t="str">
        <f aca="false">TEXT(ROW(), "0000")</f>
        <v>1700</v>
      </c>
      <c r="L1700" s="8"/>
    </row>
    <row r="1701" customFormat="false" ht="15.75" hidden="false" customHeight="true" outlineLevel="0" collapsed="false">
      <c r="A1701" s="7" t="n">
        <v>45783</v>
      </c>
      <c r="B1701" s="8" t="s">
        <v>29</v>
      </c>
      <c r="C1701" s="9" t="n">
        <v>288</v>
      </c>
      <c r="D1701" s="8" t="s">
        <v>13</v>
      </c>
      <c r="E1701" s="10" t="s">
        <v>231</v>
      </c>
      <c r="F1701" s="8" t="str">
        <f aca="false">TEXT(A1701,"MM-YYYY")</f>
        <v>05-2025</v>
      </c>
      <c r="G1701" s="8" t="s">
        <v>14</v>
      </c>
      <c r="H1701" s="8" t="s">
        <v>13</v>
      </c>
      <c r="I1701" s="7" t="n">
        <v>45790</v>
      </c>
      <c r="J1701" s="8" t="str">
        <f aca="false">VLOOKUP(B1701,Table3[#All],2,0)</f>
        <v>Inventory</v>
      </c>
      <c r="K1701" s="8" t="str">
        <f aca="false">TEXT(ROW(), "0000")</f>
        <v>1701</v>
      </c>
      <c r="L1701" s="8"/>
    </row>
    <row r="1702" customFormat="false" ht="15.75" hidden="false" customHeight="true" outlineLevel="0" collapsed="false">
      <c r="A1702" s="7" t="n">
        <v>45783</v>
      </c>
      <c r="B1702" s="8" t="s">
        <v>32</v>
      </c>
      <c r="C1702" s="9" t="n">
        <v>140</v>
      </c>
      <c r="D1702" s="8" t="s">
        <v>21</v>
      </c>
      <c r="E1702" s="10" t="s">
        <v>38</v>
      </c>
      <c r="F1702" s="8" t="str">
        <f aca="false">TEXT(A1702,"MM-YYYY")</f>
        <v>05-2025</v>
      </c>
      <c r="G1702" s="8" t="s">
        <v>14</v>
      </c>
      <c r="H1702" s="8" t="s">
        <v>15</v>
      </c>
      <c r="I1702" s="7" t="n">
        <v>45783</v>
      </c>
      <c r="J1702" s="8" t="str">
        <f aca="false">VLOOKUP(B1702,Table3[#All],2,0)</f>
        <v>Grocery</v>
      </c>
      <c r="K1702" s="8" t="str">
        <f aca="false">TEXT(ROW(), "0000")</f>
        <v>1702</v>
      </c>
      <c r="L1702" s="8"/>
    </row>
    <row r="1703" customFormat="false" ht="15.75" hidden="false" customHeight="true" outlineLevel="0" collapsed="false">
      <c r="A1703" s="7" t="n">
        <v>45783</v>
      </c>
      <c r="B1703" s="8" t="s">
        <v>44</v>
      </c>
      <c r="C1703" s="9" t="n">
        <v>5000</v>
      </c>
      <c r="D1703" s="8" t="s">
        <v>13</v>
      </c>
      <c r="E1703" s="10" t="s">
        <v>211</v>
      </c>
      <c r="F1703" s="8" t="str">
        <f aca="false">TEXT(A1703,"MM-YYYY")</f>
        <v>05-2025</v>
      </c>
      <c r="G1703" s="8" t="s">
        <v>14</v>
      </c>
      <c r="H1703" s="8" t="s">
        <v>262</v>
      </c>
      <c r="I1703" s="7" t="n">
        <v>45783</v>
      </c>
      <c r="J1703" s="8" t="str">
        <f aca="false">VLOOKUP(B1703,Table3[#All],2,0)</f>
        <v>Salary</v>
      </c>
      <c r="K1703" s="8" t="str">
        <f aca="false">TEXT(ROW(), "0000")</f>
        <v>1703</v>
      </c>
      <c r="L1703" s="8"/>
    </row>
    <row r="1704" customFormat="false" ht="15.75" hidden="false" customHeight="true" outlineLevel="0" collapsed="false">
      <c r="A1704" s="7" t="n">
        <v>45783</v>
      </c>
      <c r="B1704" s="8" t="s">
        <v>28</v>
      </c>
      <c r="C1704" s="9" t="n">
        <v>480</v>
      </c>
      <c r="D1704" s="8" t="s">
        <v>21</v>
      </c>
      <c r="E1704" s="10" t="s">
        <v>93</v>
      </c>
      <c r="F1704" s="8" t="str">
        <f aca="false">TEXT(A1704,"MM-YYYY")</f>
        <v>05-2025</v>
      </c>
      <c r="G1704" s="8" t="s">
        <v>14</v>
      </c>
      <c r="H1704" s="8" t="s">
        <v>15</v>
      </c>
      <c r="I1704" s="7" t="n">
        <v>45783</v>
      </c>
      <c r="J1704" s="8" t="str">
        <f aca="false">VLOOKUP(B1704,Table3[#All],2,0)</f>
        <v>Grocery</v>
      </c>
      <c r="K1704" s="8" t="str">
        <f aca="false">TEXT(ROW(), "0000")</f>
        <v>1704</v>
      </c>
      <c r="L1704" s="8"/>
    </row>
    <row r="1705" customFormat="false" ht="15.75" hidden="false" customHeight="true" outlineLevel="0" collapsed="false">
      <c r="A1705" s="7" t="n">
        <v>45783</v>
      </c>
      <c r="B1705" s="8" t="s">
        <v>16</v>
      </c>
      <c r="C1705" s="9" t="n">
        <v>1225</v>
      </c>
      <c r="D1705" s="8" t="s">
        <v>21</v>
      </c>
      <c r="E1705" s="10" t="s">
        <v>88</v>
      </c>
      <c r="F1705" s="8" t="str">
        <f aca="false">TEXT(A1705,"MM-YYYY")</f>
        <v>05-2025</v>
      </c>
      <c r="G1705" s="8"/>
      <c r="H1705" s="8"/>
      <c r="I1705" s="7"/>
      <c r="J1705" s="8" t="str">
        <f aca="false">VLOOKUP(B1705,Table3[#All],2,0)</f>
        <v>Sales</v>
      </c>
      <c r="K1705" s="8" t="str">
        <f aca="false">TEXT(ROW(), "0000")</f>
        <v>1705</v>
      </c>
      <c r="L1705" s="8"/>
    </row>
    <row r="1706" customFormat="false" ht="15.75" hidden="false" customHeight="true" outlineLevel="0" collapsed="false">
      <c r="A1706" s="7" t="n">
        <v>45783</v>
      </c>
      <c r="B1706" s="8" t="s">
        <v>16</v>
      </c>
      <c r="C1706" s="9" t="n">
        <v>480</v>
      </c>
      <c r="D1706" s="8" t="s">
        <v>27</v>
      </c>
      <c r="E1706" s="10" t="s">
        <v>88</v>
      </c>
      <c r="F1706" s="8" t="str">
        <f aca="false">TEXT(A1706,"MM-YYYY")</f>
        <v>05-2025</v>
      </c>
      <c r="G1706" s="8"/>
      <c r="H1706" s="8"/>
      <c r="I1706" s="7"/>
      <c r="J1706" s="8" t="str">
        <f aca="false">VLOOKUP(B1706,Table3[#All],2,0)</f>
        <v>Sales</v>
      </c>
      <c r="K1706" s="8" t="str">
        <f aca="false">TEXT(ROW(), "0000")</f>
        <v>1706</v>
      </c>
      <c r="L1706" s="8"/>
    </row>
    <row r="1707" customFormat="false" ht="15.75" hidden="false" customHeight="true" outlineLevel="0" collapsed="false">
      <c r="A1707" s="7" t="n">
        <v>45783</v>
      </c>
      <c r="B1707" s="8" t="s">
        <v>16</v>
      </c>
      <c r="C1707" s="9" t="n">
        <v>1810</v>
      </c>
      <c r="D1707" s="8" t="s">
        <v>33</v>
      </c>
      <c r="E1707" s="10" t="s">
        <v>88</v>
      </c>
      <c r="F1707" s="8" t="str">
        <f aca="false">TEXT(A1707,"MM-YYYY")</f>
        <v>05-2025</v>
      </c>
      <c r="G1707" s="8"/>
      <c r="H1707" s="8"/>
      <c r="I1707" s="7"/>
      <c r="J1707" s="8" t="str">
        <f aca="false">VLOOKUP(B1707,Table3[#All],2,0)</f>
        <v>Sales</v>
      </c>
      <c r="K1707" s="8" t="str">
        <f aca="false">TEXT(ROW(), "0000")</f>
        <v>1707</v>
      </c>
      <c r="L1707" s="8"/>
    </row>
    <row r="1708" customFormat="false" ht="15.75" hidden="false" customHeight="true" outlineLevel="0" collapsed="false">
      <c r="A1708" s="7" t="n">
        <v>45783</v>
      </c>
      <c r="B1708" s="8" t="s">
        <v>16</v>
      </c>
      <c r="C1708" s="9" t="n">
        <v>12675</v>
      </c>
      <c r="D1708" s="8" t="s">
        <v>17</v>
      </c>
      <c r="E1708" s="10" t="s">
        <v>88</v>
      </c>
      <c r="F1708" s="8" t="str">
        <f aca="false">TEXT(A1708,"MM-YYYY")</f>
        <v>05-2025</v>
      </c>
      <c r="G1708" s="8"/>
      <c r="H1708" s="8"/>
      <c r="I1708" s="7"/>
      <c r="J1708" s="8" t="str">
        <f aca="false">VLOOKUP(B1708,Table3[#All],2,0)</f>
        <v>Sales</v>
      </c>
      <c r="K1708" s="8" t="str">
        <f aca="false">TEXT(ROW(), "0000")</f>
        <v>1708</v>
      </c>
      <c r="L1708" s="8"/>
    </row>
    <row r="1709" customFormat="false" ht="15.75" hidden="false" customHeight="true" outlineLevel="0" collapsed="false">
      <c r="A1709" s="7" t="n">
        <v>45783</v>
      </c>
      <c r="B1709" s="8" t="s">
        <v>16</v>
      </c>
      <c r="C1709" s="9" t="n">
        <v>535</v>
      </c>
      <c r="D1709" s="8" t="s">
        <v>59</v>
      </c>
      <c r="E1709" s="10" t="s">
        <v>88</v>
      </c>
      <c r="F1709" s="8" t="str">
        <f aca="false">TEXT(A1709,"MM-YYYY")</f>
        <v>05-2025</v>
      </c>
      <c r="G1709" s="8"/>
      <c r="H1709" s="8"/>
      <c r="I1709" s="7"/>
      <c r="J1709" s="8" t="str">
        <f aca="false">VLOOKUP(B1709,Table3[#All],2,0)</f>
        <v>Sales</v>
      </c>
      <c r="K1709" s="8" t="str">
        <f aca="false">TEXT(ROW(), "0000")</f>
        <v>1709</v>
      </c>
      <c r="L1709" s="8"/>
    </row>
    <row r="1710" customFormat="false" ht="15.75" hidden="false" customHeight="true" outlineLevel="0" collapsed="false">
      <c r="A1710" s="7" t="n">
        <v>45783</v>
      </c>
      <c r="B1710" s="8" t="s">
        <v>16</v>
      </c>
      <c r="C1710" s="9" t="n">
        <v>2336</v>
      </c>
      <c r="D1710" s="8" t="s">
        <v>24</v>
      </c>
      <c r="E1710" s="10" t="s">
        <v>217</v>
      </c>
      <c r="F1710" s="8" t="str">
        <f aca="false">TEXT(A1710,"MM-YYYY")</f>
        <v>05-2025</v>
      </c>
      <c r="G1710" s="8"/>
      <c r="H1710" s="8"/>
      <c r="I1710" s="7"/>
      <c r="J1710" s="8" t="str">
        <f aca="false">VLOOKUP(B1710,Table3[#All],2,0)</f>
        <v>Sales</v>
      </c>
      <c r="K1710" s="8" t="str">
        <f aca="false">TEXT(ROW(), "0000")</f>
        <v>1710</v>
      </c>
      <c r="L1710" s="8"/>
    </row>
    <row r="1711" customFormat="false" ht="15.75" hidden="false" customHeight="true" outlineLevel="0" collapsed="false">
      <c r="A1711" s="7" t="n">
        <v>45783</v>
      </c>
      <c r="B1711" s="8" t="s">
        <v>34</v>
      </c>
      <c r="C1711" s="9" t="n">
        <v>150</v>
      </c>
      <c r="D1711" s="8" t="s">
        <v>45</v>
      </c>
      <c r="E1711" s="10" t="s">
        <v>267</v>
      </c>
      <c r="F1711" s="8" t="str">
        <f aca="false">TEXT(A1711,"MM-YYYY")</f>
        <v>05-2025</v>
      </c>
      <c r="G1711" s="8" t="s">
        <v>14</v>
      </c>
      <c r="H1711" s="8" t="s">
        <v>232</v>
      </c>
      <c r="I1711" s="7" t="n">
        <v>45783</v>
      </c>
      <c r="J1711" s="8" t="str">
        <f aca="false">VLOOKUP(B1711,Table3[#All],2,0)</f>
        <v>Staff Expenses</v>
      </c>
      <c r="K1711" s="8" t="str">
        <f aca="false">TEXT(ROW(), "0000")</f>
        <v>1711</v>
      </c>
      <c r="L1711" s="8"/>
    </row>
    <row r="1712" customFormat="false" ht="15.75" hidden="false" customHeight="true" outlineLevel="0" collapsed="false">
      <c r="A1712" s="7" t="n">
        <v>45783</v>
      </c>
      <c r="B1712" s="8" t="s">
        <v>43</v>
      </c>
      <c r="C1712" s="9" t="n">
        <v>900</v>
      </c>
      <c r="D1712" s="8" t="s">
        <v>45</v>
      </c>
      <c r="E1712" s="10" t="s">
        <v>300</v>
      </c>
      <c r="F1712" s="8" t="str">
        <f aca="false">TEXT(A1712,"MM-YYYY")</f>
        <v>05-2025</v>
      </c>
      <c r="G1712" s="8" t="s">
        <v>14</v>
      </c>
      <c r="H1712" s="8" t="s">
        <v>232</v>
      </c>
      <c r="I1712" s="7" t="n">
        <v>45783</v>
      </c>
      <c r="J1712" s="8" t="str">
        <f aca="false">VLOOKUP(B1712,Table3[#All],2,0)</f>
        <v>Maintance</v>
      </c>
      <c r="K1712" s="8" t="str">
        <f aca="false">TEXT(ROW(), "0000")</f>
        <v>1712</v>
      </c>
      <c r="L1712" s="8"/>
    </row>
    <row r="1713" customFormat="false" ht="15.75" hidden="false" customHeight="true" outlineLevel="0" collapsed="false">
      <c r="A1713" s="7" t="n">
        <v>45783</v>
      </c>
      <c r="B1713" s="8" t="s">
        <v>37</v>
      </c>
      <c r="C1713" s="9" t="n">
        <v>5</v>
      </c>
      <c r="D1713" s="8" t="s">
        <v>21</v>
      </c>
      <c r="E1713" s="8" t="s">
        <v>37</v>
      </c>
      <c r="F1713" s="8" t="str">
        <f aca="false">TEXT(A1713,"MM-YYYY")</f>
        <v>05-2025</v>
      </c>
      <c r="G1713" s="8" t="s">
        <v>14</v>
      </c>
      <c r="H1713" s="8" t="s">
        <v>15</v>
      </c>
      <c r="I1713" s="7" t="n">
        <v>45783</v>
      </c>
      <c r="J1713" s="8" t="str">
        <f aca="false">VLOOKUP(B1713,Table3[#All],2,0)</f>
        <v>Maintance</v>
      </c>
      <c r="K1713" s="8" t="str">
        <f aca="false">TEXT(ROW(), "0000")</f>
        <v>1713</v>
      </c>
      <c r="L1713" s="8"/>
    </row>
    <row r="1714" customFormat="false" ht="15.75" hidden="false" customHeight="true" outlineLevel="0" collapsed="false">
      <c r="A1714" s="7" t="n">
        <v>45783</v>
      </c>
      <c r="B1714" s="8" t="s">
        <v>44</v>
      </c>
      <c r="C1714" s="9" t="n">
        <v>5000</v>
      </c>
      <c r="D1714" s="8" t="s">
        <v>45</v>
      </c>
      <c r="E1714" s="10" t="s">
        <v>85</v>
      </c>
      <c r="F1714" s="8" t="str">
        <f aca="false">TEXT(A1714,"MM-YYYY")</f>
        <v>05-2025</v>
      </c>
      <c r="G1714" s="8" t="s">
        <v>14</v>
      </c>
      <c r="H1714" s="8" t="s">
        <v>232</v>
      </c>
      <c r="I1714" s="7" t="n">
        <v>45783</v>
      </c>
      <c r="J1714" s="8" t="str">
        <f aca="false">VLOOKUP(B1714,Table3[#All],2,0)</f>
        <v>Salary</v>
      </c>
      <c r="K1714" s="8" t="str">
        <f aca="false">TEXT(ROW(), "0000")</f>
        <v>1714</v>
      </c>
      <c r="L1714" s="8"/>
    </row>
    <row r="1715" customFormat="false" ht="15.75" hidden="false" customHeight="true" outlineLevel="0" collapsed="false">
      <c r="A1715" s="7" t="n">
        <v>45784</v>
      </c>
      <c r="B1715" s="8" t="s">
        <v>29</v>
      </c>
      <c r="C1715" s="9" t="n">
        <v>597</v>
      </c>
      <c r="D1715" s="8" t="s">
        <v>13</v>
      </c>
      <c r="E1715" s="10" t="s">
        <v>231</v>
      </c>
      <c r="F1715" s="8" t="str">
        <f aca="false">TEXT(A1715,"MM-YYYY")</f>
        <v>05-2025</v>
      </c>
      <c r="G1715" s="8" t="s">
        <v>14</v>
      </c>
      <c r="H1715" s="8" t="s">
        <v>13</v>
      </c>
      <c r="I1715" s="7" t="n">
        <v>45790</v>
      </c>
      <c r="J1715" s="8" t="str">
        <f aca="false">VLOOKUP(B1715,Table3[#All],2,0)</f>
        <v>Inventory</v>
      </c>
      <c r="K1715" s="8" t="str">
        <f aca="false">TEXT(ROW(), "0000")</f>
        <v>1715</v>
      </c>
      <c r="L1715" s="8"/>
    </row>
    <row r="1716" customFormat="false" ht="15.75" hidden="false" customHeight="true" outlineLevel="0" collapsed="false">
      <c r="A1716" s="7" t="n">
        <v>45784</v>
      </c>
      <c r="B1716" s="8" t="s">
        <v>25</v>
      </c>
      <c r="C1716" s="9" t="n">
        <v>776</v>
      </c>
      <c r="D1716" s="8" t="s">
        <v>13</v>
      </c>
      <c r="E1716" s="10" t="s">
        <v>26</v>
      </c>
      <c r="F1716" s="8" t="str">
        <f aca="false">TEXT(A1716,"MM-YYYY")</f>
        <v>05-2025</v>
      </c>
      <c r="G1716" s="21" t="s">
        <v>14</v>
      </c>
      <c r="H1716" s="8" t="s">
        <v>13</v>
      </c>
      <c r="I1716" s="22" t="n">
        <v>45796</v>
      </c>
      <c r="J1716" s="8" t="str">
        <f aca="false">VLOOKUP(B1716,Table3[#All],2,0)</f>
        <v>Inventory</v>
      </c>
      <c r="K1716" s="8" t="str">
        <f aca="false">TEXT(ROW(), "0000")</f>
        <v>1716</v>
      </c>
      <c r="L1716" s="8"/>
    </row>
    <row r="1717" customFormat="false" ht="15.75" hidden="false" customHeight="true" outlineLevel="0" collapsed="false">
      <c r="A1717" s="7" t="n">
        <v>45784</v>
      </c>
      <c r="B1717" s="8" t="s">
        <v>53</v>
      </c>
      <c r="C1717" s="9" t="n">
        <v>210</v>
      </c>
      <c r="D1717" s="8" t="s">
        <v>21</v>
      </c>
      <c r="E1717" s="10" t="s">
        <v>38</v>
      </c>
      <c r="F1717" s="8" t="str">
        <f aca="false">TEXT(A1717,"MM-YYYY")</f>
        <v>05-2025</v>
      </c>
      <c r="G1717" s="8" t="s">
        <v>14</v>
      </c>
      <c r="H1717" s="8"/>
      <c r="I1717" s="7"/>
      <c r="J1717" s="8" t="str">
        <f aca="false">VLOOKUP(B1717,Table3[#All],2,0)</f>
        <v>Grocery</v>
      </c>
      <c r="K1717" s="8" t="str">
        <f aca="false">TEXT(ROW(), "0000")</f>
        <v>1717</v>
      </c>
      <c r="L1717" s="8"/>
    </row>
    <row r="1718" customFormat="false" ht="15.75" hidden="false" customHeight="true" outlineLevel="0" collapsed="false">
      <c r="A1718" s="7" t="n">
        <v>45784</v>
      </c>
      <c r="B1718" s="8" t="s">
        <v>51</v>
      </c>
      <c r="C1718" s="9" t="n">
        <v>4815</v>
      </c>
      <c r="D1718" s="8" t="s">
        <v>13</v>
      </c>
      <c r="E1718" s="10" t="s">
        <v>226</v>
      </c>
      <c r="F1718" s="8" t="str">
        <f aca="false">TEXT(A1718,"MM-YYYY")</f>
        <v>05-2025</v>
      </c>
      <c r="G1718" s="8" t="s">
        <v>14</v>
      </c>
      <c r="H1718" s="8" t="s">
        <v>13</v>
      </c>
      <c r="I1718" s="7" t="n">
        <v>45804</v>
      </c>
      <c r="J1718" s="8" t="str">
        <f aca="false">VLOOKUP(B1718,Table3[#All],2,0)</f>
        <v>Inventory</v>
      </c>
      <c r="K1718" s="8" t="str">
        <f aca="false">TEXT(ROW(), "0000")</f>
        <v>1718</v>
      </c>
      <c r="L1718" s="8"/>
    </row>
    <row r="1719" customFormat="false" ht="15.75" hidden="false" customHeight="true" outlineLevel="0" collapsed="false">
      <c r="A1719" s="7" t="n">
        <v>45784</v>
      </c>
      <c r="B1719" s="8" t="s">
        <v>47</v>
      </c>
      <c r="C1719" s="9" t="n">
        <v>1680</v>
      </c>
      <c r="D1719" s="8" t="s">
        <v>13</v>
      </c>
      <c r="E1719" s="10" t="s">
        <v>223</v>
      </c>
      <c r="F1719" s="8" t="str">
        <f aca="false">TEXT(A1719,"MM-YYYY")</f>
        <v>05-2025</v>
      </c>
      <c r="G1719" s="8" t="s">
        <v>14</v>
      </c>
      <c r="H1719" s="8" t="s">
        <v>13</v>
      </c>
      <c r="I1719" s="7" t="n">
        <v>45787</v>
      </c>
      <c r="J1719" s="8" t="str">
        <f aca="false">VLOOKUP(B1719,Table3[#All],2,0)</f>
        <v>Inventory</v>
      </c>
      <c r="K1719" s="8" t="str">
        <f aca="false">TEXT(ROW(), "0000")</f>
        <v>1719</v>
      </c>
      <c r="L1719" s="8"/>
    </row>
    <row r="1720" customFormat="false" ht="15.75" hidden="false" customHeight="true" outlineLevel="0" collapsed="false">
      <c r="A1720" s="7" t="n">
        <v>45784</v>
      </c>
      <c r="B1720" s="8" t="s">
        <v>22</v>
      </c>
      <c r="C1720" s="9" t="n">
        <v>2947</v>
      </c>
      <c r="D1720" s="8" t="s">
        <v>13</v>
      </c>
      <c r="E1720" s="10" t="s">
        <v>23</v>
      </c>
      <c r="F1720" s="8" t="str">
        <f aca="false">TEXT(A1720,"MM-YYYY")</f>
        <v>05-2025</v>
      </c>
      <c r="G1720" s="8" t="s">
        <v>14</v>
      </c>
      <c r="H1720" s="8" t="s">
        <v>13</v>
      </c>
      <c r="I1720" s="7" t="n">
        <v>45789</v>
      </c>
      <c r="J1720" s="8" t="str">
        <f aca="false">VLOOKUP(B1720,Table3[#All],2,0)</f>
        <v>Inventory</v>
      </c>
      <c r="K1720" s="8" t="str">
        <f aca="false">TEXT(ROW(), "0000")</f>
        <v>1720</v>
      </c>
      <c r="L1720" s="8"/>
    </row>
    <row r="1721" customFormat="false" ht="15.75" hidden="false" customHeight="true" outlineLevel="0" collapsed="false">
      <c r="A1721" s="7" t="n">
        <v>45784</v>
      </c>
      <c r="B1721" s="8" t="s">
        <v>19</v>
      </c>
      <c r="C1721" s="9" t="n">
        <v>2949</v>
      </c>
      <c r="D1721" s="8" t="s">
        <v>13</v>
      </c>
      <c r="E1721" s="10" t="s">
        <v>20</v>
      </c>
      <c r="F1721" s="8" t="str">
        <f aca="false">TEXT(A1721,"MM-YYYY")</f>
        <v>05-2025</v>
      </c>
      <c r="G1721" s="8" t="s">
        <v>14</v>
      </c>
      <c r="H1721" s="8" t="s">
        <v>13</v>
      </c>
      <c r="I1721" s="7" t="n">
        <v>45790</v>
      </c>
      <c r="J1721" s="8" t="str">
        <f aca="false">VLOOKUP(B1721,Table3[#All],2,0)</f>
        <v>Inventory</v>
      </c>
      <c r="K1721" s="8" t="str">
        <f aca="false">TEXT(ROW(), "0000")</f>
        <v>1721</v>
      </c>
      <c r="L1721" s="8"/>
    </row>
    <row r="1722" customFormat="false" ht="15.75" hidden="false" customHeight="true" outlineLevel="0" collapsed="false">
      <c r="A1722" s="7" t="n">
        <v>45784</v>
      </c>
      <c r="B1722" s="8" t="s">
        <v>50</v>
      </c>
      <c r="C1722" s="9" t="n">
        <v>1760</v>
      </c>
      <c r="D1722" s="8" t="s">
        <v>13</v>
      </c>
      <c r="E1722" s="10" t="s">
        <v>263</v>
      </c>
      <c r="F1722" s="8" t="str">
        <f aca="false">TEXT(A1722,"MM-YYYY")</f>
        <v>05-2025</v>
      </c>
      <c r="G1722" s="8" t="s">
        <v>14</v>
      </c>
      <c r="H1722" s="8" t="s">
        <v>13</v>
      </c>
      <c r="I1722" s="7" t="n">
        <v>45799</v>
      </c>
      <c r="J1722" s="8" t="str">
        <f aca="false">VLOOKUP(B1722,Table3[#All],2,0)</f>
        <v>Fixed Maintance</v>
      </c>
      <c r="K1722" s="8" t="str">
        <f aca="false">TEXT(ROW(), "0000")</f>
        <v>1722</v>
      </c>
      <c r="L1722" s="8"/>
    </row>
    <row r="1723" customFormat="false" ht="15.75" hidden="false" customHeight="true" outlineLevel="0" collapsed="false">
      <c r="A1723" s="7" t="n">
        <v>45784</v>
      </c>
      <c r="B1723" s="8" t="s">
        <v>16</v>
      </c>
      <c r="C1723" s="9" t="n">
        <v>5790</v>
      </c>
      <c r="D1723" s="8" t="s">
        <v>21</v>
      </c>
      <c r="E1723" s="10" t="s">
        <v>101</v>
      </c>
      <c r="F1723" s="8" t="str">
        <f aca="false">TEXT(A1723,"MM-YYYY")</f>
        <v>05-2025</v>
      </c>
      <c r="G1723" s="8"/>
      <c r="H1723" s="8"/>
      <c r="I1723" s="7"/>
      <c r="J1723" s="8" t="str">
        <f aca="false">VLOOKUP(B1723,Table3[#All],2,0)</f>
        <v>Sales</v>
      </c>
      <c r="K1723" s="8" t="str">
        <f aca="false">TEXT(ROW(), "0000")</f>
        <v>1723</v>
      </c>
      <c r="L1723" s="8"/>
    </row>
    <row r="1724" customFormat="false" ht="15.75" hidden="false" customHeight="true" outlineLevel="0" collapsed="false">
      <c r="A1724" s="7" t="n">
        <v>45784</v>
      </c>
      <c r="B1724" s="8" t="s">
        <v>16</v>
      </c>
      <c r="C1724" s="9" t="n">
        <v>60</v>
      </c>
      <c r="D1724" s="8" t="s">
        <v>33</v>
      </c>
      <c r="E1724" s="10" t="s">
        <v>101</v>
      </c>
      <c r="F1724" s="8" t="str">
        <f aca="false">TEXT(A1724,"MM-YYYY")</f>
        <v>05-2025</v>
      </c>
      <c r="G1724" s="8"/>
      <c r="H1724" s="8"/>
      <c r="I1724" s="7"/>
      <c r="J1724" s="8" t="str">
        <f aca="false">VLOOKUP(B1724,Table3[#All],2,0)</f>
        <v>Sales</v>
      </c>
      <c r="K1724" s="8" t="str">
        <f aca="false">TEXT(ROW(), "0000")</f>
        <v>1724</v>
      </c>
      <c r="L1724" s="8"/>
    </row>
    <row r="1725" customFormat="false" ht="15.75" hidden="false" customHeight="true" outlineLevel="0" collapsed="false">
      <c r="A1725" s="7" t="n">
        <v>45784</v>
      </c>
      <c r="B1725" s="8" t="s">
        <v>16</v>
      </c>
      <c r="C1725" s="9" t="n">
        <v>15728</v>
      </c>
      <c r="D1725" s="8" t="s">
        <v>17</v>
      </c>
      <c r="E1725" s="10" t="s">
        <v>101</v>
      </c>
      <c r="F1725" s="8" t="str">
        <f aca="false">TEXT(A1725,"MM-YYYY")</f>
        <v>05-2025</v>
      </c>
      <c r="G1725" s="8"/>
      <c r="H1725" s="8"/>
      <c r="I1725" s="7"/>
      <c r="J1725" s="8" t="str">
        <f aca="false">VLOOKUP(B1725,Table3[#All],2,0)</f>
        <v>Sales</v>
      </c>
      <c r="K1725" s="8" t="str">
        <f aca="false">TEXT(ROW(), "0000")</f>
        <v>1725</v>
      </c>
      <c r="L1725" s="8"/>
    </row>
    <row r="1726" customFormat="false" ht="15.75" hidden="false" customHeight="true" outlineLevel="0" collapsed="false">
      <c r="A1726" s="7" t="n">
        <v>45784</v>
      </c>
      <c r="B1726" s="8" t="s">
        <v>16</v>
      </c>
      <c r="C1726" s="9" t="n">
        <v>450</v>
      </c>
      <c r="D1726" s="8" t="s">
        <v>59</v>
      </c>
      <c r="E1726" s="10" t="s">
        <v>101</v>
      </c>
      <c r="F1726" s="8" t="str">
        <f aca="false">TEXT(A1726,"MM-YYYY")</f>
        <v>05-2025</v>
      </c>
      <c r="G1726" s="8"/>
      <c r="H1726" s="8"/>
      <c r="I1726" s="7"/>
      <c r="J1726" s="8" t="str">
        <f aca="false">VLOOKUP(B1726,Table3[#All],2,0)</f>
        <v>Sales</v>
      </c>
      <c r="K1726" s="8" t="str">
        <f aca="false">TEXT(ROW(), "0000")</f>
        <v>1726</v>
      </c>
      <c r="L1726" s="8"/>
    </row>
    <row r="1727" customFormat="false" ht="15.75" hidden="false" customHeight="true" outlineLevel="0" collapsed="false">
      <c r="A1727" s="7" t="n">
        <v>45784</v>
      </c>
      <c r="B1727" s="8" t="s">
        <v>16</v>
      </c>
      <c r="C1727" s="9" t="n">
        <v>1799</v>
      </c>
      <c r="D1727" s="8" t="s">
        <v>24</v>
      </c>
      <c r="E1727" s="10" t="s">
        <v>217</v>
      </c>
      <c r="F1727" s="8" t="str">
        <f aca="false">TEXT(A1727,"MM-YYYY")</f>
        <v>05-2025</v>
      </c>
      <c r="G1727" s="8"/>
      <c r="H1727" s="8"/>
      <c r="I1727" s="7"/>
      <c r="J1727" s="8" t="str">
        <f aca="false">VLOOKUP(B1727,Table3[#All],2,0)</f>
        <v>Sales</v>
      </c>
      <c r="K1727" s="8" t="str">
        <f aca="false">TEXT(ROW(), "0000")</f>
        <v>1727</v>
      </c>
      <c r="L1727" s="8"/>
    </row>
    <row r="1728" customFormat="false" ht="15.75" hidden="false" customHeight="true" outlineLevel="0" collapsed="false">
      <c r="A1728" s="7" t="n">
        <v>45784</v>
      </c>
      <c r="B1728" s="8" t="s">
        <v>44</v>
      </c>
      <c r="C1728" s="9" t="n">
        <v>1000</v>
      </c>
      <c r="D1728" s="8" t="s">
        <v>45</v>
      </c>
      <c r="E1728" s="10" t="s">
        <v>85</v>
      </c>
      <c r="F1728" s="8" t="str">
        <f aca="false">TEXT(A1728,"MM-YYYY")</f>
        <v>05-2025</v>
      </c>
      <c r="G1728" s="8" t="s">
        <v>14</v>
      </c>
      <c r="H1728" s="8" t="s">
        <v>232</v>
      </c>
      <c r="I1728" s="7" t="n">
        <v>45784</v>
      </c>
      <c r="J1728" s="8" t="str">
        <f aca="false">VLOOKUP(B1728,Table3[#All],2,0)</f>
        <v>Salary</v>
      </c>
      <c r="K1728" s="8" t="str">
        <f aca="false">TEXT(ROW(), "0000")</f>
        <v>1728</v>
      </c>
      <c r="L1728" s="8"/>
    </row>
    <row r="1729" customFormat="false" ht="15.75" hidden="false" customHeight="true" outlineLevel="0" collapsed="false">
      <c r="A1729" s="7" t="n">
        <v>45784</v>
      </c>
      <c r="B1729" s="8" t="s">
        <v>29</v>
      </c>
      <c r="C1729" s="9" t="n">
        <v>20</v>
      </c>
      <c r="D1729" s="8" t="s">
        <v>21</v>
      </c>
      <c r="E1729" s="10" t="s">
        <v>194</v>
      </c>
      <c r="F1729" s="8" t="str">
        <f aca="false">TEXT(A1729,"MM-YYYY")</f>
        <v>05-2025</v>
      </c>
      <c r="G1729" s="8" t="s">
        <v>14</v>
      </c>
      <c r="H1729" s="8" t="s">
        <v>15</v>
      </c>
      <c r="I1729" s="7" t="n">
        <v>45784</v>
      </c>
      <c r="J1729" s="8" t="str">
        <f aca="false">VLOOKUP(B1729,Table3[#All],2,0)</f>
        <v>Inventory</v>
      </c>
      <c r="K1729" s="8" t="str">
        <f aca="false">TEXT(ROW(), "0000")</f>
        <v>1729</v>
      </c>
      <c r="L1729" s="8"/>
    </row>
    <row r="1730" customFormat="false" ht="15.75" hidden="false" customHeight="true" outlineLevel="0" collapsed="false">
      <c r="A1730" s="7" t="n">
        <v>45784</v>
      </c>
      <c r="B1730" s="8" t="s">
        <v>34</v>
      </c>
      <c r="C1730" s="9" t="n">
        <v>145</v>
      </c>
      <c r="D1730" s="8" t="s">
        <v>21</v>
      </c>
      <c r="E1730" s="10" t="s">
        <v>267</v>
      </c>
      <c r="F1730" s="8" t="str">
        <f aca="false">TEXT(A1730,"MM-YYYY")</f>
        <v>05-2025</v>
      </c>
      <c r="G1730" s="8" t="s">
        <v>14</v>
      </c>
      <c r="H1730" s="8" t="s">
        <v>15</v>
      </c>
      <c r="I1730" s="7" t="n">
        <v>45784</v>
      </c>
      <c r="J1730" s="8" t="str">
        <f aca="false">VLOOKUP(B1730,Table3[#All],2,0)</f>
        <v>Staff Expenses</v>
      </c>
      <c r="K1730" s="8" t="str">
        <f aca="false">TEXT(ROW(), "0000")</f>
        <v>1730</v>
      </c>
      <c r="L1730" s="8"/>
    </row>
    <row r="1731" customFormat="false" ht="15.75" hidden="false" customHeight="true" outlineLevel="0" collapsed="false">
      <c r="A1731" s="7" t="n">
        <v>45784</v>
      </c>
      <c r="B1731" s="8" t="s">
        <v>44</v>
      </c>
      <c r="C1731" s="9" t="n">
        <v>5000</v>
      </c>
      <c r="D1731" s="8" t="s">
        <v>13</v>
      </c>
      <c r="E1731" s="10" t="s">
        <v>86</v>
      </c>
      <c r="F1731" s="8" t="str">
        <f aca="false">TEXT(A1731,"MM-YYYY")</f>
        <v>05-2025</v>
      </c>
      <c r="G1731" s="8" t="s">
        <v>14</v>
      </c>
      <c r="H1731" s="8" t="s">
        <v>13</v>
      </c>
      <c r="I1731" s="7" t="n">
        <v>45784</v>
      </c>
      <c r="J1731" s="8" t="str">
        <f aca="false">VLOOKUP(B1731, Table3[#All], 2, FALSE())</f>
        <v>Salary</v>
      </c>
      <c r="K1731" s="8" t="str">
        <f aca="false">TEXT(ROW(), "0000")</f>
        <v>1731</v>
      </c>
      <c r="L1731" s="8"/>
    </row>
    <row r="1732" customFormat="false" ht="15.75" hidden="false" customHeight="true" outlineLevel="0" collapsed="false">
      <c r="A1732" s="7" t="n">
        <v>45785</v>
      </c>
      <c r="B1732" s="8" t="s">
        <v>19</v>
      </c>
      <c r="C1732" s="9" t="n">
        <v>4325</v>
      </c>
      <c r="D1732" s="8" t="s">
        <v>13</v>
      </c>
      <c r="E1732" s="10" t="s">
        <v>20</v>
      </c>
      <c r="F1732" s="8" t="str">
        <f aca="false">TEXT(A1732,"MM-YYYY")</f>
        <v>05-2025</v>
      </c>
      <c r="G1732" s="8" t="s">
        <v>14</v>
      </c>
      <c r="H1732" s="8" t="s">
        <v>13</v>
      </c>
      <c r="I1732" s="7" t="n">
        <v>45793</v>
      </c>
      <c r="J1732" s="8" t="str">
        <f aca="false">VLOOKUP(B1732,Table3[#All],2,0)</f>
        <v>Inventory</v>
      </c>
      <c r="K1732" s="8" t="str">
        <f aca="false">TEXT(ROW(), "0000")</f>
        <v>1732</v>
      </c>
      <c r="L1732" s="8"/>
    </row>
    <row r="1733" customFormat="false" ht="15.75" hidden="false" customHeight="true" outlineLevel="0" collapsed="false">
      <c r="A1733" s="7" t="n">
        <v>45785</v>
      </c>
      <c r="B1733" s="8" t="s">
        <v>25</v>
      </c>
      <c r="C1733" s="9" t="n">
        <v>518</v>
      </c>
      <c r="D1733" s="8" t="s">
        <v>13</v>
      </c>
      <c r="E1733" s="10" t="s">
        <v>26</v>
      </c>
      <c r="F1733" s="8" t="str">
        <f aca="false">TEXT(A1733,"MM-YYYY")</f>
        <v>05-2025</v>
      </c>
      <c r="G1733" s="21" t="s">
        <v>14</v>
      </c>
      <c r="H1733" s="8" t="s">
        <v>13</v>
      </c>
      <c r="I1733" s="22" t="n">
        <v>45796</v>
      </c>
      <c r="J1733" s="8" t="str">
        <f aca="false">VLOOKUP(B1733,Table3[#All],2,0)</f>
        <v>Inventory</v>
      </c>
      <c r="K1733" s="8" t="str">
        <f aca="false">TEXT(ROW(), "0000")</f>
        <v>1733</v>
      </c>
      <c r="L1733" s="8"/>
    </row>
    <row r="1734" customFormat="false" ht="15.75" hidden="false" customHeight="true" outlineLevel="0" collapsed="false">
      <c r="A1734" s="7" t="n">
        <v>45785</v>
      </c>
      <c r="B1734" s="8" t="s">
        <v>22</v>
      </c>
      <c r="C1734" s="9" t="n">
        <v>2638</v>
      </c>
      <c r="D1734" s="8" t="s">
        <v>13</v>
      </c>
      <c r="E1734" s="10" t="s">
        <v>23</v>
      </c>
      <c r="F1734" s="8" t="str">
        <f aca="false">TEXT(A1734,"MM-YYYY")</f>
        <v>05-2025</v>
      </c>
      <c r="G1734" s="8" t="s">
        <v>14</v>
      </c>
      <c r="H1734" s="8" t="s">
        <v>13</v>
      </c>
      <c r="I1734" s="7" t="n">
        <v>45789</v>
      </c>
      <c r="J1734" s="8" t="str">
        <f aca="false">VLOOKUP(B1734,Table3[#All],2,0)</f>
        <v>Inventory</v>
      </c>
      <c r="K1734" s="8" t="str">
        <f aca="false">TEXT(ROW(), "0000")</f>
        <v>1734</v>
      </c>
      <c r="L1734" s="8"/>
    </row>
    <row r="1735" customFormat="false" ht="15.75" hidden="false" customHeight="true" outlineLevel="0" collapsed="false">
      <c r="A1735" s="7" t="n">
        <v>45785</v>
      </c>
      <c r="B1735" s="8" t="s">
        <v>40</v>
      </c>
      <c r="C1735" s="9" t="n">
        <v>2220</v>
      </c>
      <c r="D1735" s="8" t="s">
        <v>45</v>
      </c>
      <c r="E1735" s="10" t="s">
        <v>46</v>
      </c>
      <c r="F1735" s="8" t="str">
        <f aca="false">TEXT(A1735,"MM-YYYY")</f>
        <v>05-2025</v>
      </c>
      <c r="G1735" s="8" t="s">
        <v>14</v>
      </c>
      <c r="H1735" s="8" t="s">
        <v>232</v>
      </c>
      <c r="I1735" s="7" t="n">
        <v>45785</v>
      </c>
      <c r="J1735" s="8" t="str">
        <f aca="false">VLOOKUP(B1735,Table3[#All],2,0)</f>
        <v>Inventory</v>
      </c>
      <c r="K1735" s="8" t="str">
        <f aca="false">TEXT(ROW(), "0000")</f>
        <v>1735</v>
      </c>
      <c r="L1735" s="8"/>
    </row>
    <row r="1736" customFormat="false" ht="15.75" hidden="false" customHeight="true" outlineLevel="0" collapsed="false">
      <c r="A1736" s="7" t="n">
        <v>45785</v>
      </c>
      <c r="B1736" s="8" t="s">
        <v>29</v>
      </c>
      <c r="C1736" s="9" t="n">
        <v>415</v>
      </c>
      <c r="D1736" s="8" t="s">
        <v>13</v>
      </c>
      <c r="E1736" s="10" t="s">
        <v>231</v>
      </c>
      <c r="F1736" s="8" t="str">
        <f aca="false">TEXT(A1736,"MM-YYYY")</f>
        <v>05-2025</v>
      </c>
      <c r="G1736" s="8" t="s">
        <v>14</v>
      </c>
      <c r="H1736" s="8" t="s">
        <v>13</v>
      </c>
      <c r="I1736" s="7" t="n">
        <v>45790</v>
      </c>
      <c r="J1736" s="8" t="str">
        <f aca="false">VLOOKUP(B1736,Table3[#All],2,0)</f>
        <v>Inventory</v>
      </c>
      <c r="K1736" s="8" t="str">
        <f aca="false">TEXT(ROW(), "0000")</f>
        <v>1736</v>
      </c>
      <c r="L1736" s="8"/>
    </row>
    <row r="1737" customFormat="false" ht="15.75" hidden="false" customHeight="true" outlineLevel="0" collapsed="false">
      <c r="A1737" s="7" t="n">
        <v>45785</v>
      </c>
      <c r="B1737" s="8" t="s">
        <v>50</v>
      </c>
      <c r="C1737" s="9" t="n">
        <v>1760</v>
      </c>
      <c r="D1737" s="8" t="s">
        <v>13</v>
      </c>
      <c r="E1737" s="10" t="s">
        <v>263</v>
      </c>
      <c r="F1737" s="8" t="str">
        <f aca="false">TEXT(A1737,"MM-YYYY")</f>
        <v>05-2025</v>
      </c>
      <c r="G1737" s="8" t="s">
        <v>14</v>
      </c>
      <c r="H1737" s="8" t="s">
        <v>13</v>
      </c>
      <c r="I1737" s="7" t="n">
        <v>45799</v>
      </c>
      <c r="J1737" s="8" t="str">
        <f aca="false">VLOOKUP(B1737,Table3[#All],2,0)</f>
        <v>Fixed Maintance</v>
      </c>
      <c r="K1737" s="8" t="str">
        <f aca="false">TEXT(ROW(), "0000")</f>
        <v>1737</v>
      </c>
      <c r="L1737" s="8"/>
    </row>
    <row r="1738" customFormat="false" ht="15.75" hidden="false" customHeight="true" outlineLevel="0" collapsed="false">
      <c r="A1738" s="7" t="n">
        <v>45785</v>
      </c>
      <c r="B1738" s="8" t="s">
        <v>34</v>
      </c>
      <c r="C1738" s="9" t="n">
        <v>145</v>
      </c>
      <c r="D1738" s="8" t="s">
        <v>45</v>
      </c>
      <c r="E1738" s="10" t="s">
        <v>267</v>
      </c>
      <c r="F1738" s="8" t="str">
        <f aca="false">TEXT(A1738,"MM-YYYY")</f>
        <v>05-2025</v>
      </c>
      <c r="G1738" s="8" t="s">
        <v>14</v>
      </c>
      <c r="H1738" s="8" t="s">
        <v>232</v>
      </c>
      <c r="I1738" s="7" t="n">
        <v>45785</v>
      </c>
      <c r="J1738" s="8" t="str">
        <f aca="false">VLOOKUP(B1738,Table3[#All],2,0)</f>
        <v>Staff Expenses</v>
      </c>
      <c r="K1738" s="8" t="str">
        <f aca="false">TEXT(ROW(), "0000")</f>
        <v>1738</v>
      </c>
      <c r="L1738" s="8"/>
    </row>
    <row r="1739" customFormat="false" ht="15.75" hidden="false" customHeight="true" outlineLevel="0" collapsed="false">
      <c r="A1739" s="7" t="n">
        <v>45785</v>
      </c>
      <c r="B1739" s="8" t="s">
        <v>16</v>
      </c>
      <c r="C1739" s="9" t="n">
        <v>800</v>
      </c>
      <c r="D1739" s="8" t="s">
        <v>21</v>
      </c>
      <c r="E1739" s="10" t="s">
        <v>101</v>
      </c>
      <c r="F1739" s="8" t="str">
        <f aca="false">TEXT(A1739,"MM-YYYY")</f>
        <v>05-2025</v>
      </c>
      <c r="G1739" s="8"/>
      <c r="H1739" s="8"/>
      <c r="I1739" s="7"/>
      <c r="J1739" s="8" t="str">
        <f aca="false">VLOOKUP(B1739,Table3[#All],2,0)</f>
        <v>Sales</v>
      </c>
      <c r="K1739" s="8" t="str">
        <f aca="false">TEXT(ROW(), "0000")</f>
        <v>1739</v>
      </c>
      <c r="L1739" s="8"/>
    </row>
    <row r="1740" customFormat="false" ht="15.75" hidden="false" customHeight="true" outlineLevel="0" collapsed="false">
      <c r="A1740" s="7" t="n">
        <v>45785</v>
      </c>
      <c r="B1740" s="8" t="s">
        <v>16</v>
      </c>
      <c r="C1740" s="9" t="n">
        <v>11090</v>
      </c>
      <c r="D1740" s="8" t="s">
        <v>17</v>
      </c>
      <c r="E1740" s="10" t="s">
        <v>101</v>
      </c>
      <c r="F1740" s="8" t="str">
        <f aca="false">TEXT(A1740,"MM-YYYY")</f>
        <v>05-2025</v>
      </c>
      <c r="G1740" s="8"/>
      <c r="H1740" s="8"/>
      <c r="I1740" s="7"/>
      <c r="J1740" s="8" t="str">
        <f aca="false">VLOOKUP(B1740,Table3[#All],2,0)</f>
        <v>Sales</v>
      </c>
      <c r="K1740" s="8" t="str">
        <f aca="false">TEXT(ROW(), "0000")</f>
        <v>1740</v>
      </c>
      <c r="L1740" s="8"/>
    </row>
    <row r="1741" customFormat="false" ht="15.75" hidden="false" customHeight="true" outlineLevel="0" collapsed="false">
      <c r="A1741" s="7" t="n">
        <v>45785</v>
      </c>
      <c r="B1741" s="8" t="s">
        <v>16</v>
      </c>
      <c r="C1741" s="9" t="n">
        <v>460</v>
      </c>
      <c r="D1741" s="8" t="s">
        <v>59</v>
      </c>
      <c r="E1741" s="10" t="s">
        <v>101</v>
      </c>
      <c r="F1741" s="8" t="str">
        <f aca="false">TEXT(A1741,"MM-YYYY")</f>
        <v>05-2025</v>
      </c>
      <c r="G1741" s="8"/>
      <c r="H1741" s="8"/>
      <c r="I1741" s="7"/>
      <c r="J1741" s="8" t="str">
        <f aca="false">VLOOKUP(B1741,Table3[#All],2,0)</f>
        <v>Sales</v>
      </c>
      <c r="K1741" s="8" t="str">
        <f aca="false">TEXT(ROW(), "0000")</f>
        <v>1741</v>
      </c>
      <c r="L1741" s="8"/>
    </row>
    <row r="1742" customFormat="false" ht="15.75" hidden="false" customHeight="true" outlineLevel="0" collapsed="false">
      <c r="A1742" s="7" t="n">
        <v>45785</v>
      </c>
      <c r="B1742" s="8" t="s">
        <v>16</v>
      </c>
      <c r="C1742" s="9" t="n">
        <v>1305</v>
      </c>
      <c r="D1742" s="8" t="s">
        <v>24</v>
      </c>
      <c r="E1742" s="10" t="s">
        <v>217</v>
      </c>
      <c r="F1742" s="8" t="str">
        <f aca="false">TEXT(A1742,"MM-YYYY")</f>
        <v>05-2025</v>
      </c>
      <c r="G1742" s="8"/>
      <c r="H1742" s="8"/>
      <c r="I1742" s="7"/>
      <c r="J1742" s="8" t="str">
        <f aca="false">VLOOKUP(B1742,Table3[#All],2,0)</f>
        <v>Sales</v>
      </c>
      <c r="K1742" s="8" t="str">
        <f aca="false">TEXT(ROW(), "0000")</f>
        <v>1742</v>
      </c>
      <c r="L1742" s="8"/>
    </row>
    <row r="1743" customFormat="false" ht="15.75" hidden="false" customHeight="true" outlineLevel="0" collapsed="false">
      <c r="A1743" s="7" t="n">
        <v>45786</v>
      </c>
      <c r="B1743" s="8" t="s">
        <v>25</v>
      </c>
      <c r="C1743" s="9" t="n">
        <v>1180</v>
      </c>
      <c r="D1743" s="8" t="s">
        <v>13</v>
      </c>
      <c r="E1743" s="10" t="s">
        <v>26</v>
      </c>
      <c r="F1743" s="8" t="str">
        <f aca="false">TEXT(A1743,"MM-YYYY")</f>
        <v>05-2025</v>
      </c>
      <c r="G1743" s="21" t="s">
        <v>14</v>
      </c>
      <c r="H1743" s="8" t="s">
        <v>13</v>
      </c>
      <c r="I1743" s="22" t="n">
        <v>45796</v>
      </c>
      <c r="J1743" s="8" t="str">
        <f aca="false">VLOOKUP(B1743,Table3[#All],2,0)</f>
        <v>Inventory</v>
      </c>
      <c r="K1743" s="8" t="str">
        <f aca="false">TEXT(ROW(), "0000")</f>
        <v>1743</v>
      </c>
      <c r="L1743" s="8"/>
    </row>
    <row r="1744" customFormat="false" ht="15.75" hidden="false" customHeight="true" outlineLevel="0" collapsed="false">
      <c r="A1744" s="7" t="n">
        <v>45786</v>
      </c>
      <c r="B1744" s="8" t="s">
        <v>29</v>
      </c>
      <c r="C1744" s="9" t="n">
        <v>248</v>
      </c>
      <c r="D1744" s="8" t="s">
        <v>13</v>
      </c>
      <c r="E1744" s="10" t="s">
        <v>231</v>
      </c>
      <c r="F1744" s="8" t="str">
        <f aca="false">TEXT(A1744,"MM-YYYY")</f>
        <v>05-2025</v>
      </c>
      <c r="G1744" s="8" t="s">
        <v>14</v>
      </c>
      <c r="H1744" s="8" t="s">
        <v>13</v>
      </c>
      <c r="I1744" s="7" t="n">
        <v>45790</v>
      </c>
      <c r="J1744" s="8" t="str">
        <f aca="false">VLOOKUP(B1744,Table3[#All],2,0)</f>
        <v>Inventory</v>
      </c>
      <c r="K1744" s="8" t="str">
        <f aca="false">TEXT(ROW(), "0000")</f>
        <v>1744</v>
      </c>
      <c r="L1744" s="8"/>
    </row>
    <row r="1745" customFormat="false" ht="15.75" hidden="false" customHeight="true" outlineLevel="0" collapsed="false">
      <c r="A1745" s="7" t="n">
        <v>45786</v>
      </c>
      <c r="B1745" s="8" t="s">
        <v>47</v>
      </c>
      <c r="C1745" s="9" t="n">
        <v>1680</v>
      </c>
      <c r="D1745" s="8" t="s">
        <v>13</v>
      </c>
      <c r="E1745" s="10" t="s">
        <v>223</v>
      </c>
      <c r="F1745" s="8" t="str">
        <f aca="false">TEXT(A1745,"MM-YYYY")</f>
        <v>05-2025</v>
      </c>
      <c r="G1745" s="8" t="s">
        <v>14</v>
      </c>
      <c r="H1745" s="8" t="s">
        <v>13</v>
      </c>
      <c r="I1745" s="7" t="n">
        <v>45801</v>
      </c>
      <c r="J1745" s="8" t="str">
        <f aca="false">VLOOKUP(B1745,Table3[#All],2,0)</f>
        <v>Inventory</v>
      </c>
      <c r="K1745" s="8" t="str">
        <f aca="false">TEXT(ROW(), "0000")</f>
        <v>1745</v>
      </c>
      <c r="L1745" s="8"/>
    </row>
    <row r="1746" customFormat="false" ht="15.75" hidden="false" customHeight="true" outlineLevel="0" collapsed="false">
      <c r="A1746" s="7" t="n">
        <v>45786</v>
      </c>
      <c r="B1746" s="8" t="s">
        <v>19</v>
      </c>
      <c r="C1746" s="9" t="n">
        <v>2694</v>
      </c>
      <c r="D1746" s="8" t="s">
        <v>13</v>
      </c>
      <c r="E1746" s="10" t="s">
        <v>20</v>
      </c>
      <c r="F1746" s="8" t="str">
        <f aca="false">TEXT(A1746,"MM-YYYY")</f>
        <v>05-2025</v>
      </c>
      <c r="G1746" s="8" t="s">
        <v>14</v>
      </c>
      <c r="H1746" s="8" t="s">
        <v>13</v>
      </c>
      <c r="I1746" s="7" t="n">
        <v>45793</v>
      </c>
      <c r="J1746" s="8" t="str">
        <f aca="false">VLOOKUP(B1746,Table3[#All],2,0)</f>
        <v>Inventory</v>
      </c>
      <c r="K1746" s="8" t="str">
        <f aca="false">TEXT(ROW(), "0000")</f>
        <v>1746</v>
      </c>
      <c r="L1746" s="8"/>
    </row>
    <row r="1747" customFormat="false" ht="15.75" hidden="false" customHeight="true" outlineLevel="0" collapsed="false">
      <c r="A1747" s="7" t="n">
        <v>45786</v>
      </c>
      <c r="B1747" s="8" t="s">
        <v>43</v>
      </c>
      <c r="C1747" s="9" t="n">
        <v>120</v>
      </c>
      <c r="D1747" s="8" t="s">
        <v>45</v>
      </c>
      <c r="E1747" s="10" t="s">
        <v>301</v>
      </c>
      <c r="F1747" s="8" t="str">
        <f aca="false">TEXT(A1747,"MM-YYYY")</f>
        <v>05-2025</v>
      </c>
      <c r="G1747" s="8" t="s">
        <v>14</v>
      </c>
      <c r="H1747" s="8" t="s">
        <v>232</v>
      </c>
      <c r="I1747" s="7" t="n">
        <v>45786</v>
      </c>
      <c r="J1747" s="8" t="str">
        <f aca="false">VLOOKUP(B1747,Table3[#All],2,0)</f>
        <v>Maintance</v>
      </c>
      <c r="K1747" s="8" t="str">
        <f aca="false">TEXT(ROW(), "0000")</f>
        <v>1747</v>
      </c>
      <c r="L1747" s="8"/>
    </row>
    <row r="1748" customFormat="false" ht="15.75" hidden="false" customHeight="true" outlineLevel="0" collapsed="false">
      <c r="A1748" s="7" t="n">
        <v>45786</v>
      </c>
      <c r="B1748" s="8" t="s">
        <v>16</v>
      </c>
      <c r="C1748" s="9" t="n">
        <v>2500</v>
      </c>
      <c r="D1748" s="8" t="s">
        <v>21</v>
      </c>
      <c r="E1748" s="10" t="s">
        <v>101</v>
      </c>
      <c r="F1748" s="8" t="str">
        <f aca="false">TEXT(A1748,"MM-YYYY")</f>
        <v>05-2025</v>
      </c>
      <c r="G1748" s="8"/>
      <c r="H1748" s="8"/>
      <c r="I1748" s="7"/>
      <c r="J1748" s="8" t="str">
        <f aca="false">VLOOKUP(B1748,Table3[#All],2,0)</f>
        <v>Sales</v>
      </c>
      <c r="K1748" s="8" t="str">
        <f aca="false">TEXT(ROW(), "0000")</f>
        <v>1748</v>
      </c>
      <c r="L1748" s="8"/>
    </row>
    <row r="1749" customFormat="false" ht="15.75" hidden="false" customHeight="true" outlineLevel="0" collapsed="false">
      <c r="A1749" s="7" t="n">
        <v>45786</v>
      </c>
      <c r="B1749" s="8" t="s">
        <v>16</v>
      </c>
      <c r="C1749" s="9" t="n">
        <v>894</v>
      </c>
      <c r="D1749" s="8" t="s">
        <v>27</v>
      </c>
      <c r="E1749" s="10" t="s">
        <v>101</v>
      </c>
      <c r="F1749" s="8" t="str">
        <f aca="false">TEXT(A1749,"MM-YYYY")</f>
        <v>05-2025</v>
      </c>
      <c r="G1749" s="8"/>
      <c r="H1749" s="8"/>
      <c r="I1749" s="7"/>
      <c r="J1749" s="8" t="str">
        <f aca="false">VLOOKUP(B1749,Table3[#All],2,0)</f>
        <v>Sales</v>
      </c>
      <c r="K1749" s="8" t="str">
        <f aca="false">TEXT(ROW(), "0000")</f>
        <v>1749</v>
      </c>
      <c r="L1749" s="8"/>
    </row>
    <row r="1750" customFormat="false" ht="15.75" hidden="false" customHeight="true" outlineLevel="0" collapsed="false">
      <c r="A1750" s="7" t="n">
        <v>45786</v>
      </c>
      <c r="B1750" s="8" t="s">
        <v>16</v>
      </c>
      <c r="C1750" s="9" t="n">
        <v>750</v>
      </c>
      <c r="D1750" s="8" t="s">
        <v>33</v>
      </c>
      <c r="E1750" s="10" t="s">
        <v>101</v>
      </c>
      <c r="F1750" s="8" t="str">
        <f aca="false">TEXT(A1750,"MM-YYYY")</f>
        <v>05-2025</v>
      </c>
      <c r="G1750" s="8"/>
      <c r="H1750" s="8"/>
      <c r="I1750" s="7"/>
      <c r="J1750" s="8" t="str">
        <f aca="false">VLOOKUP(B1750,Table3[#All],2,0)</f>
        <v>Sales</v>
      </c>
      <c r="K1750" s="8" t="str">
        <f aca="false">TEXT(ROW(), "0000")</f>
        <v>1750</v>
      </c>
      <c r="L1750" s="8"/>
    </row>
    <row r="1751" customFormat="false" ht="15.75" hidden="false" customHeight="true" outlineLevel="0" collapsed="false">
      <c r="A1751" s="7" t="n">
        <v>45786</v>
      </c>
      <c r="B1751" s="8" t="s">
        <v>16</v>
      </c>
      <c r="C1751" s="9" t="n">
        <v>13726</v>
      </c>
      <c r="D1751" s="8" t="s">
        <v>17</v>
      </c>
      <c r="E1751" s="10" t="s">
        <v>101</v>
      </c>
      <c r="F1751" s="8" t="str">
        <f aca="false">TEXT(A1751,"MM-YYYY")</f>
        <v>05-2025</v>
      </c>
      <c r="G1751" s="8"/>
      <c r="H1751" s="8"/>
      <c r="I1751" s="7"/>
      <c r="J1751" s="8" t="str">
        <f aca="false">VLOOKUP(B1751,Table3[#All],2,0)</f>
        <v>Sales</v>
      </c>
      <c r="K1751" s="8" t="str">
        <f aca="false">TEXT(ROW(), "0000")</f>
        <v>1751</v>
      </c>
      <c r="L1751" s="8"/>
    </row>
    <row r="1752" customFormat="false" ht="15.75" hidden="false" customHeight="true" outlineLevel="0" collapsed="false">
      <c r="A1752" s="7" t="n">
        <v>45786</v>
      </c>
      <c r="B1752" s="8" t="s">
        <v>16</v>
      </c>
      <c r="C1752" s="9" t="n">
        <v>5379</v>
      </c>
      <c r="D1752" s="8" t="s">
        <v>24</v>
      </c>
      <c r="E1752" s="10" t="s">
        <v>217</v>
      </c>
      <c r="F1752" s="8" t="str">
        <f aca="false">TEXT(A1752,"MM-YYYY")</f>
        <v>05-2025</v>
      </c>
      <c r="G1752" s="8"/>
      <c r="H1752" s="8"/>
      <c r="I1752" s="7"/>
      <c r="J1752" s="8" t="str">
        <f aca="false">VLOOKUP(B1752,Table3[#All],2,0)</f>
        <v>Sales</v>
      </c>
      <c r="K1752" s="8" t="str">
        <f aca="false">TEXT(ROW(), "0000")</f>
        <v>1752</v>
      </c>
      <c r="L1752" s="8"/>
    </row>
    <row r="1753" customFormat="false" ht="15.75" hidden="false" customHeight="true" outlineLevel="0" collapsed="false">
      <c r="A1753" s="7" t="n">
        <v>45786</v>
      </c>
      <c r="B1753" s="8" t="s">
        <v>34</v>
      </c>
      <c r="C1753" s="9" t="n">
        <v>130</v>
      </c>
      <c r="D1753" s="8" t="s">
        <v>45</v>
      </c>
      <c r="E1753" s="10" t="s">
        <v>267</v>
      </c>
      <c r="F1753" s="8" t="str">
        <f aca="false">TEXT(A1753,"MM-YYYY")</f>
        <v>05-2025</v>
      </c>
      <c r="G1753" s="8" t="s">
        <v>14</v>
      </c>
      <c r="H1753" s="8" t="s">
        <v>232</v>
      </c>
      <c r="I1753" s="7" t="n">
        <v>45786</v>
      </c>
      <c r="J1753" s="8" t="str">
        <f aca="false">VLOOKUP(B1753,Table3[#All],2,0)</f>
        <v>Staff Expenses</v>
      </c>
      <c r="K1753" s="8" t="str">
        <f aca="false">TEXT(ROW(), "0000")</f>
        <v>1753</v>
      </c>
      <c r="L1753" s="8"/>
    </row>
    <row r="1754" customFormat="false" ht="15.75" hidden="false" customHeight="true" outlineLevel="0" collapsed="false">
      <c r="A1754" s="7" t="n">
        <v>45787</v>
      </c>
      <c r="B1754" s="8" t="s">
        <v>25</v>
      </c>
      <c r="C1754" s="9" t="n">
        <v>683</v>
      </c>
      <c r="D1754" s="8" t="s">
        <v>13</v>
      </c>
      <c r="E1754" s="10" t="s">
        <v>26</v>
      </c>
      <c r="F1754" s="8" t="str">
        <f aca="false">TEXT(A1754,"MM-YYYY")</f>
        <v>05-2025</v>
      </c>
      <c r="G1754" s="21" t="s">
        <v>14</v>
      </c>
      <c r="H1754" s="8" t="s">
        <v>13</v>
      </c>
      <c r="I1754" s="22" t="n">
        <v>45796</v>
      </c>
      <c r="J1754" s="8" t="str">
        <f aca="false">VLOOKUP(B1754,Table3[#All],2,0)</f>
        <v>Inventory</v>
      </c>
      <c r="K1754" s="8" t="str">
        <f aca="false">TEXT(ROW(), "0000")</f>
        <v>1754</v>
      </c>
      <c r="L1754" s="8"/>
    </row>
    <row r="1755" customFormat="false" ht="15.75" hidden="false" customHeight="true" outlineLevel="0" collapsed="false">
      <c r="A1755" s="7" t="n">
        <v>45787</v>
      </c>
      <c r="B1755" s="8" t="s">
        <v>29</v>
      </c>
      <c r="C1755" s="9" t="n">
        <v>344</v>
      </c>
      <c r="D1755" s="8" t="s">
        <v>13</v>
      </c>
      <c r="E1755" s="10" t="s">
        <v>231</v>
      </c>
      <c r="F1755" s="8" t="str">
        <f aca="false">TEXT(A1755,"MM-YYYY")</f>
        <v>05-2025</v>
      </c>
      <c r="G1755" s="8" t="s">
        <v>14</v>
      </c>
      <c r="H1755" s="8" t="s">
        <v>13</v>
      </c>
      <c r="I1755" s="7" t="n">
        <v>45790</v>
      </c>
      <c r="J1755" s="8" t="str">
        <f aca="false">VLOOKUP(B1755,Table3[#All],2,0)</f>
        <v>Inventory</v>
      </c>
      <c r="K1755" s="8" t="str">
        <f aca="false">TEXT(ROW(), "0000")</f>
        <v>1755</v>
      </c>
      <c r="L1755" s="8"/>
    </row>
    <row r="1756" customFormat="false" ht="15.75" hidden="false" customHeight="true" outlineLevel="0" collapsed="false">
      <c r="A1756" s="7" t="n">
        <v>45787</v>
      </c>
      <c r="B1756" s="8" t="s">
        <v>19</v>
      </c>
      <c r="C1756" s="9" t="n">
        <v>2576</v>
      </c>
      <c r="D1756" s="8" t="s">
        <v>13</v>
      </c>
      <c r="E1756" s="10" t="s">
        <v>20</v>
      </c>
      <c r="F1756" s="8" t="str">
        <f aca="false">TEXT(A1756,"MM-YYYY")</f>
        <v>05-2025</v>
      </c>
      <c r="G1756" s="8" t="s">
        <v>14</v>
      </c>
      <c r="H1756" s="8" t="s">
        <v>13</v>
      </c>
      <c r="I1756" s="7" t="n">
        <v>45793</v>
      </c>
      <c r="J1756" s="8" t="str">
        <f aca="false">VLOOKUP(B1756,Table3[#All],2,0)</f>
        <v>Inventory</v>
      </c>
      <c r="K1756" s="8" t="str">
        <f aca="false">TEXT(ROW(), "0000")</f>
        <v>1756</v>
      </c>
      <c r="L1756" s="8"/>
    </row>
    <row r="1757" customFormat="false" ht="15.75" hidden="false" customHeight="true" outlineLevel="0" collapsed="false">
      <c r="A1757" s="7" t="n">
        <v>45787</v>
      </c>
      <c r="B1757" s="8" t="s">
        <v>22</v>
      </c>
      <c r="C1757" s="9" t="n">
        <v>110</v>
      </c>
      <c r="D1757" s="8" t="s">
        <v>21</v>
      </c>
      <c r="E1757" s="10" t="s">
        <v>213</v>
      </c>
      <c r="F1757" s="8" t="str">
        <f aca="false">TEXT(A1757,"MM-YYYY")</f>
        <v>05-2025</v>
      </c>
      <c r="G1757" s="8" t="s">
        <v>14</v>
      </c>
      <c r="H1757" s="8" t="s">
        <v>15</v>
      </c>
      <c r="I1757" s="7" t="n">
        <v>45787</v>
      </c>
      <c r="J1757" s="8" t="str">
        <f aca="false">VLOOKUP(B1757,Table3[#All],2,0)</f>
        <v>Inventory</v>
      </c>
      <c r="K1757" s="8" t="str">
        <f aca="false">TEXT(ROW(), "0000")</f>
        <v>1757</v>
      </c>
      <c r="L1757" s="8"/>
    </row>
    <row r="1758" customFormat="false" ht="15.75" hidden="false" customHeight="true" outlineLevel="0" collapsed="false">
      <c r="A1758" s="7" t="n">
        <v>45787</v>
      </c>
      <c r="B1758" s="8" t="s">
        <v>53</v>
      </c>
      <c r="C1758" s="9" t="n">
        <v>585</v>
      </c>
      <c r="D1758" s="8" t="s">
        <v>21</v>
      </c>
      <c r="E1758" s="10" t="s">
        <v>54</v>
      </c>
      <c r="F1758" s="8" t="str">
        <f aca="false">TEXT(A1758,"MM-YYYY")</f>
        <v>05-2025</v>
      </c>
      <c r="G1758" s="8" t="s">
        <v>14</v>
      </c>
      <c r="H1758" s="8" t="s">
        <v>15</v>
      </c>
      <c r="I1758" s="7" t="n">
        <v>45787</v>
      </c>
      <c r="J1758" s="8" t="str">
        <f aca="false">VLOOKUP(B1758,Table3[#All],2,0)</f>
        <v>Grocery</v>
      </c>
      <c r="K1758" s="8" t="str">
        <f aca="false">TEXT(ROW(), "0000")</f>
        <v>1758</v>
      </c>
      <c r="L1758" s="8"/>
    </row>
    <row r="1759" customFormat="false" ht="15.75" hidden="false" customHeight="true" outlineLevel="0" collapsed="false">
      <c r="A1759" s="7" t="n">
        <v>45787</v>
      </c>
      <c r="B1759" s="8" t="s">
        <v>50</v>
      </c>
      <c r="C1759" s="9" t="n">
        <v>1760</v>
      </c>
      <c r="D1759" s="8" t="s">
        <v>13</v>
      </c>
      <c r="E1759" s="10" t="s">
        <v>263</v>
      </c>
      <c r="F1759" s="8" t="str">
        <f aca="false">TEXT(A1759,"MM-YYYY")</f>
        <v>05-2025</v>
      </c>
      <c r="G1759" s="8" t="s">
        <v>14</v>
      </c>
      <c r="H1759" s="8" t="s">
        <v>13</v>
      </c>
      <c r="I1759" s="7" t="n">
        <v>45799</v>
      </c>
      <c r="J1759" s="8" t="str">
        <f aca="false">VLOOKUP(B1759,Table3[#All],2,0)</f>
        <v>Fixed Maintance</v>
      </c>
      <c r="K1759" s="8" t="str">
        <f aca="false">TEXT(ROW(), "0000")</f>
        <v>1759</v>
      </c>
      <c r="L1759" s="8"/>
    </row>
    <row r="1760" customFormat="false" ht="15.75" hidden="false" customHeight="true" outlineLevel="0" collapsed="false">
      <c r="A1760" s="7" t="n">
        <v>45787</v>
      </c>
      <c r="B1760" s="8" t="s">
        <v>53</v>
      </c>
      <c r="C1760" s="9" t="n">
        <v>810</v>
      </c>
      <c r="D1760" s="8" t="s">
        <v>21</v>
      </c>
      <c r="E1760" s="10" t="s">
        <v>55</v>
      </c>
      <c r="F1760" s="8" t="str">
        <f aca="false">TEXT(A1760,"MM-YYYY")</f>
        <v>05-2025</v>
      </c>
      <c r="G1760" s="8" t="s">
        <v>14</v>
      </c>
      <c r="H1760" s="8" t="s">
        <v>232</v>
      </c>
      <c r="I1760" s="7" t="n">
        <v>45787</v>
      </c>
      <c r="J1760" s="8" t="str">
        <f aca="false">VLOOKUP(B1760,Table3[#All],2,0)</f>
        <v>Grocery</v>
      </c>
      <c r="K1760" s="8" t="str">
        <f aca="false">TEXT(ROW(), "0000")</f>
        <v>1760</v>
      </c>
      <c r="L1760" s="8"/>
    </row>
    <row r="1761" customFormat="false" ht="15.75" hidden="false" customHeight="true" outlineLevel="0" collapsed="false">
      <c r="A1761" s="7" t="n">
        <v>45787</v>
      </c>
      <c r="B1761" s="8" t="s">
        <v>29</v>
      </c>
      <c r="C1761" s="9" t="n">
        <v>60</v>
      </c>
      <c r="D1761" s="8" t="s">
        <v>45</v>
      </c>
      <c r="E1761" s="10" t="s">
        <v>41</v>
      </c>
      <c r="F1761" s="8" t="str">
        <f aca="false">TEXT(A1761,"MM-YYYY")</f>
        <v>05-2025</v>
      </c>
      <c r="G1761" s="8" t="s">
        <v>14</v>
      </c>
      <c r="H1761" s="8" t="s">
        <v>232</v>
      </c>
      <c r="I1761" s="7" t="n">
        <v>45787</v>
      </c>
      <c r="J1761" s="8" t="str">
        <f aca="false">VLOOKUP(B1761,Table3[#All],2,0)</f>
        <v>Inventory</v>
      </c>
      <c r="K1761" s="8" t="str">
        <f aca="false">TEXT(ROW(), "0000")</f>
        <v>1761</v>
      </c>
      <c r="L1761" s="8"/>
    </row>
    <row r="1762" customFormat="false" ht="15.75" hidden="false" customHeight="true" outlineLevel="0" collapsed="false">
      <c r="A1762" s="7" t="n">
        <v>45787</v>
      </c>
      <c r="B1762" s="8" t="s">
        <v>40</v>
      </c>
      <c r="C1762" s="9" t="n">
        <v>1140</v>
      </c>
      <c r="D1762" s="8" t="s">
        <v>45</v>
      </c>
      <c r="E1762" s="10" t="s">
        <v>46</v>
      </c>
      <c r="F1762" s="8" t="str">
        <f aca="false">TEXT(A1762,"MM-YYYY")</f>
        <v>05-2025</v>
      </c>
      <c r="G1762" s="8" t="s">
        <v>14</v>
      </c>
      <c r="H1762" s="8" t="s">
        <v>232</v>
      </c>
      <c r="I1762" s="7" t="n">
        <v>45787</v>
      </c>
      <c r="J1762" s="8" t="str">
        <f aca="false">VLOOKUP(B1762,Table3[#All],2,0)</f>
        <v>Inventory</v>
      </c>
      <c r="K1762" s="8" t="str">
        <f aca="false">TEXT(ROW(), "0000")</f>
        <v>1762</v>
      </c>
      <c r="L1762" s="8"/>
    </row>
    <row r="1763" customFormat="false" ht="15.75" hidden="false" customHeight="true" outlineLevel="0" collapsed="false">
      <c r="A1763" s="7" t="n">
        <v>45787</v>
      </c>
      <c r="B1763" s="8" t="s">
        <v>60</v>
      </c>
      <c r="C1763" s="9" t="n">
        <v>210</v>
      </c>
      <c r="D1763" s="8" t="s">
        <v>45</v>
      </c>
      <c r="E1763" s="10" t="s">
        <v>245</v>
      </c>
      <c r="F1763" s="8" t="str">
        <f aca="false">TEXT(A1763,"MM-YYYY")</f>
        <v>05-2025</v>
      </c>
      <c r="G1763" s="8" t="s">
        <v>14</v>
      </c>
      <c r="H1763" s="8" t="s">
        <v>232</v>
      </c>
      <c r="I1763" s="7" t="n">
        <v>45787</v>
      </c>
      <c r="J1763" s="8" t="str">
        <f aca="false">VLOOKUP(B1763,Table3[#All],2,0)</f>
        <v>Inventory</v>
      </c>
      <c r="K1763" s="8" t="str">
        <f aca="false">TEXT(ROW(), "0000")</f>
        <v>1763</v>
      </c>
      <c r="L1763" s="8"/>
    </row>
    <row r="1764" customFormat="false" ht="15.75" hidden="false" customHeight="true" outlineLevel="0" collapsed="false">
      <c r="A1764" s="7" t="n">
        <v>45787</v>
      </c>
      <c r="B1764" s="8" t="s">
        <v>16</v>
      </c>
      <c r="C1764" s="9" t="n">
        <v>6055</v>
      </c>
      <c r="D1764" s="8" t="s">
        <v>21</v>
      </c>
      <c r="E1764" s="10" t="s">
        <v>101</v>
      </c>
      <c r="F1764" s="8" t="str">
        <f aca="false">TEXT(A1764,"MM-YYYY")</f>
        <v>05-2025</v>
      </c>
      <c r="G1764" s="8"/>
      <c r="H1764" s="8"/>
      <c r="I1764" s="7"/>
      <c r="J1764" s="8" t="str">
        <f aca="false">VLOOKUP(B1764,Table3[#All],2,0)</f>
        <v>Sales</v>
      </c>
      <c r="K1764" s="8" t="str">
        <f aca="false">TEXT(ROW(), "0000")</f>
        <v>1764</v>
      </c>
      <c r="L1764" s="8"/>
    </row>
    <row r="1765" customFormat="false" ht="15.75" hidden="false" customHeight="true" outlineLevel="0" collapsed="false">
      <c r="A1765" s="7" t="n">
        <v>45787</v>
      </c>
      <c r="B1765" s="8" t="s">
        <v>16</v>
      </c>
      <c r="C1765" s="9" t="n">
        <v>980</v>
      </c>
      <c r="D1765" s="8" t="s">
        <v>27</v>
      </c>
      <c r="E1765" s="10" t="s">
        <v>101</v>
      </c>
      <c r="F1765" s="8" t="str">
        <f aca="false">TEXT(A1765,"MM-YYYY")</f>
        <v>05-2025</v>
      </c>
      <c r="G1765" s="8"/>
      <c r="H1765" s="8"/>
      <c r="I1765" s="7"/>
      <c r="J1765" s="8" t="str">
        <f aca="false">VLOOKUP(B1765,Table3[#All],2,0)</f>
        <v>Sales</v>
      </c>
      <c r="K1765" s="8" t="str">
        <f aca="false">TEXT(ROW(), "0000")</f>
        <v>1765</v>
      </c>
      <c r="L1765" s="8"/>
    </row>
    <row r="1766" customFormat="false" ht="15.75" hidden="false" customHeight="true" outlineLevel="0" collapsed="false">
      <c r="A1766" s="7" t="n">
        <v>45787</v>
      </c>
      <c r="B1766" s="8" t="s">
        <v>16</v>
      </c>
      <c r="C1766" s="9" t="n">
        <v>3650</v>
      </c>
      <c r="D1766" s="8" t="s">
        <v>33</v>
      </c>
      <c r="E1766" s="10" t="s">
        <v>101</v>
      </c>
      <c r="F1766" s="8" t="str">
        <f aca="false">TEXT(A1766,"MM-YYYY")</f>
        <v>05-2025</v>
      </c>
      <c r="G1766" s="8"/>
      <c r="H1766" s="8"/>
      <c r="I1766" s="7"/>
      <c r="J1766" s="8" t="str">
        <f aca="false">VLOOKUP(B1766,Table3[#All],2,0)</f>
        <v>Sales</v>
      </c>
      <c r="K1766" s="8" t="str">
        <f aca="false">TEXT(ROW(), "0000")</f>
        <v>1766</v>
      </c>
      <c r="L1766" s="8"/>
    </row>
    <row r="1767" customFormat="false" ht="15.75" hidden="false" customHeight="true" outlineLevel="0" collapsed="false">
      <c r="A1767" s="7" t="n">
        <v>45787</v>
      </c>
      <c r="B1767" s="8" t="s">
        <v>16</v>
      </c>
      <c r="C1767" s="9" t="n">
        <v>13508</v>
      </c>
      <c r="D1767" s="8" t="s">
        <v>17</v>
      </c>
      <c r="E1767" s="10" t="s">
        <v>101</v>
      </c>
      <c r="F1767" s="8" t="str">
        <f aca="false">TEXT(A1767,"MM-YYYY")</f>
        <v>05-2025</v>
      </c>
      <c r="G1767" s="8"/>
      <c r="H1767" s="8"/>
      <c r="I1767" s="7"/>
      <c r="J1767" s="8" t="str">
        <f aca="false">VLOOKUP(B1767,Table3[#All],2,0)</f>
        <v>Sales</v>
      </c>
      <c r="K1767" s="8" t="str">
        <f aca="false">TEXT(ROW(), "0000")</f>
        <v>1767</v>
      </c>
      <c r="L1767" s="8"/>
    </row>
    <row r="1768" customFormat="false" ht="15.75" hidden="false" customHeight="true" outlineLevel="0" collapsed="false">
      <c r="A1768" s="7" t="n">
        <v>45787</v>
      </c>
      <c r="B1768" s="8" t="s">
        <v>16</v>
      </c>
      <c r="C1768" s="9" t="n">
        <v>1494</v>
      </c>
      <c r="D1768" s="8" t="s">
        <v>24</v>
      </c>
      <c r="E1768" s="10" t="s">
        <v>217</v>
      </c>
      <c r="F1768" s="8" t="str">
        <f aca="false">TEXT(A1768,"MM-YYYY")</f>
        <v>05-2025</v>
      </c>
      <c r="G1768" s="8"/>
      <c r="H1768" s="8"/>
      <c r="I1768" s="7"/>
      <c r="J1768" s="8" t="str">
        <f aca="false">VLOOKUP(B1768,Table3[#All],2,0)</f>
        <v>Sales</v>
      </c>
      <c r="K1768" s="8" t="str">
        <f aca="false">TEXT(ROW(), "0000")</f>
        <v>1768</v>
      </c>
      <c r="L1768" s="8"/>
    </row>
    <row r="1769" customFormat="false" ht="15.75" hidden="false" customHeight="true" outlineLevel="0" collapsed="false">
      <c r="A1769" s="7" t="n">
        <v>45787</v>
      </c>
      <c r="B1769" s="8" t="s">
        <v>16</v>
      </c>
      <c r="C1769" s="9" t="n">
        <v>1520</v>
      </c>
      <c r="D1769" s="8" t="s">
        <v>70</v>
      </c>
      <c r="E1769" s="10" t="s">
        <v>246</v>
      </c>
      <c r="F1769" s="8" t="str">
        <f aca="false">TEXT(A1769,"MM-YYYY")</f>
        <v>05-2025</v>
      </c>
      <c r="G1769" s="8"/>
      <c r="H1769" s="8"/>
      <c r="I1769" s="7"/>
      <c r="J1769" s="8" t="str">
        <f aca="false">VLOOKUP(B1769,Table3[#All],2,0)</f>
        <v>Sales</v>
      </c>
      <c r="K1769" s="8" t="str">
        <f aca="false">TEXT(ROW(), "0000")</f>
        <v>1769</v>
      </c>
      <c r="L1769" s="8"/>
    </row>
    <row r="1770" customFormat="false" ht="15.75" hidden="false" customHeight="true" outlineLevel="0" collapsed="false">
      <c r="A1770" s="7" t="n">
        <v>45787</v>
      </c>
      <c r="B1770" s="8" t="s">
        <v>34</v>
      </c>
      <c r="C1770" s="9" t="n">
        <v>125</v>
      </c>
      <c r="D1770" s="8" t="s">
        <v>45</v>
      </c>
      <c r="E1770" s="10" t="s">
        <v>267</v>
      </c>
      <c r="F1770" s="8" t="str">
        <f aca="false">TEXT(A1770,"MM-YYYY")</f>
        <v>05-2025</v>
      </c>
      <c r="G1770" s="8" t="s">
        <v>14</v>
      </c>
      <c r="H1770" s="8" t="s">
        <v>232</v>
      </c>
      <c r="I1770" s="7" t="n">
        <v>45787</v>
      </c>
      <c r="J1770" s="8" t="str">
        <f aca="false">VLOOKUP(B1770,Table3[#All],2,0)</f>
        <v>Staff Expenses</v>
      </c>
      <c r="K1770" s="8" t="str">
        <f aca="false">TEXT(ROW(), "0000")</f>
        <v>1770</v>
      </c>
      <c r="L1770" s="8"/>
    </row>
    <row r="1771" customFormat="false" ht="15.75" hidden="false" customHeight="true" outlineLevel="0" collapsed="false">
      <c r="A1771" s="7" t="n">
        <v>45787</v>
      </c>
      <c r="B1771" s="8" t="s">
        <v>37</v>
      </c>
      <c r="C1771" s="9" t="n">
        <v>15</v>
      </c>
      <c r="D1771" s="8" t="s">
        <v>21</v>
      </c>
      <c r="E1771" s="10" t="s">
        <v>37</v>
      </c>
      <c r="F1771" s="8" t="str">
        <f aca="false">TEXT(A1771,"MM-YYYY")</f>
        <v>05-2025</v>
      </c>
      <c r="G1771" s="8" t="s">
        <v>14</v>
      </c>
      <c r="H1771" s="8" t="s">
        <v>15</v>
      </c>
      <c r="I1771" s="7" t="n">
        <v>45787</v>
      </c>
      <c r="J1771" s="8" t="str">
        <f aca="false">VLOOKUP(B1771,Table3[#All],2,0)</f>
        <v>Maintance</v>
      </c>
      <c r="K1771" s="8" t="str">
        <f aca="false">TEXT(ROW(), "0000")</f>
        <v>1771</v>
      </c>
      <c r="L1771" s="8"/>
    </row>
    <row r="1772" customFormat="false" ht="15.75" hidden="false" customHeight="true" outlineLevel="0" collapsed="false">
      <c r="A1772" s="7" t="n">
        <v>45788</v>
      </c>
      <c r="B1772" s="8" t="s">
        <v>25</v>
      </c>
      <c r="C1772" s="9" t="n">
        <v>853</v>
      </c>
      <c r="D1772" s="8" t="s">
        <v>13</v>
      </c>
      <c r="E1772" s="10" t="s">
        <v>26</v>
      </c>
      <c r="F1772" s="8" t="str">
        <f aca="false">TEXT(A1772,"MM-YYYY")</f>
        <v>05-2025</v>
      </c>
      <c r="G1772" s="21" t="s">
        <v>14</v>
      </c>
      <c r="H1772" s="8" t="s">
        <v>13</v>
      </c>
      <c r="I1772" s="7" t="n">
        <v>45812</v>
      </c>
      <c r="J1772" s="8" t="str">
        <f aca="false">VLOOKUP(B1772,Table3[#All],2,0)</f>
        <v>Inventory</v>
      </c>
      <c r="K1772" s="8" t="str">
        <f aca="false">TEXT(ROW(), "0000")</f>
        <v>1772</v>
      </c>
      <c r="L1772" s="8"/>
    </row>
    <row r="1773" customFormat="false" ht="15.75" hidden="false" customHeight="true" outlineLevel="0" collapsed="false">
      <c r="A1773" s="7" t="n">
        <v>45788</v>
      </c>
      <c r="B1773" s="8" t="s">
        <v>22</v>
      </c>
      <c r="C1773" s="9" t="n">
        <v>5426</v>
      </c>
      <c r="D1773" s="8" t="s">
        <v>13</v>
      </c>
      <c r="E1773" s="10" t="s">
        <v>23</v>
      </c>
      <c r="F1773" s="8" t="str">
        <f aca="false">TEXT(A1773,"MM-YYYY")</f>
        <v>05-2025</v>
      </c>
      <c r="G1773" s="8" t="s">
        <v>14</v>
      </c>
      <c r="H1773" s="8" t="s">
        <v>13</v>
      </c>
      <c r="I1773" s="7" t="n">
        <v>45794</v>
      </c>
      <c r="J1773" s="8" t="str">
        <f aca="false">VLOOKUP(B1773,Table3[#All],2,0)</f>
        <v>Inventory</v>
      </c>
      <c r="K1773" s="8" t="str">
        <f aca="false">TEXT(ROW(), "0000")</f>
        <v>1773</v>
      </c>
      <c r="L1773" s="8"/>
    </row>
    <row r="1774" customFormat="false" ht="15.75" hidden="false" customHeight="true" outlineLevel="0" collapsed="false">
      <c r="A1774" s="7" t="n">
        <v>45788</v>
      </c>
      <c r="B1774" s="8" t="s">
        <v>29</v>
      </c>
      <c r="C1774" s="9" t="n">
        <v>484</v>
      </c>
      <c r="D1774" s="8" t="s">
        <v>13</v>
      </c>
      <c r="E1774" s="10" t="s">
        <v>302</v>
      </c>
      <c r="F1774" s="8" t="str">
        <f aca="false">TEXT(A1774,"MM-YYYY")</f>
        <v>05-2025</v>
      </c>
      <c r="G1774" s="8" t="s">
        <v>14</v>
      </c>
      <c r="H1774" s="8" t="s">
        <v>13</v>
      </c>
      <c r="I1774" s="7" t="n">
        <v>45790</v>
      </c>
      <c r="J1774" s="8" t="str">
        <f aca="false">VLOOKUP(B1774,Table3[#All],2,0)</f>
        <v>Inventory</v>
      </c>
      <c r="K1774" s="8" t="str">
        <f aca="false">TEXT(ROW(), "0000")</f>
        <v>1774</v>
      </c>
      <c r="L1774" s="8"/>
    </row>
    <row r="1775" customFormat="false" ht="15.75" hidden="false" customHeight="true" outlineLevel="0" collapsed="false">
      <c r="A1775" s="7" t="n">
        <v>45788</v>
      </c>
      <c r="B1775" s="8" t="s">
        <v>19</v>
      </c>
      <c r="C1775" s="9" t="n">
        <v>3059</v>
      </c>
      <c r="D1775" s="8" t="s">
        <v>13</v>
      </c>
      <c r="E1775" s="10" t="s">
        <v>20</v>
      </c>
      <c r="F1775" s="8" t="str">
        <f aca="false">TEXT(A1775,"MM-YYYY")</f>
        <v>05-2025</v>
      </c>
      <c r="G1775" s="8" t="s">
        <v>14</v>
      </c>
      <c r="H1775" s="8" t="s">
        <v>13</v>
      </c>
      <c r="I1775" s="7" t="n">
        <v>45793</v>
      </c>
      <c r="J1775" s="8" t="str">
        <f aca="false">VLOOKUP(B1775,Table3[#All],2,0)</f>
        <v>Inventory</v>
      </c>
      <c r="K1775" s="8" t="str">
        <f aca="false">TEXT(ROW(), "0000")</f>
        <v>1775</v>
      </c>
      <c r="L1775" s="8"/>
    </row>
    <row r="1776" customFormat="false" ht="15.75" hidden="false" customHeight="true" outlineLevel="0" collapsed="false">
      <c r="A1776" s="7" t="n">
        <v>45788</v>
      </c>
      <c r="B1776" s="8" t="s">
        <v>29</v>
      </c>
      <c r="C1776" s="9" t="n">
        <v>670</v>
      </c>
      <c r="D1776" s="8" t="s">
        <v>45</v>
      </c>
      <c r="E1776" s="10" t="s">
        <v>78</v>
      </c>
      <c r="F1776" s="8" t="str">
        <f aca="false">TEXT(A1776,"MM-YYYY")</f>
        <v>05-2025</v>
      </c>
      <c r="G1776" s="8" t="s">
        <v>14</v>
      </c>
      <c r="H1776" s="8" t="s">
        <v>232</v>
      </c>
      <c r="I1776" s="7" t="n">
        <v>45788</v>
      </c>
      <c r="J1776" s="8" t="str">
        <f aca="false">VLOOKUP(B1776,Table3[#All],2,0)</f>
        <v>Inventory</v>
      </c>
      <c r="K1776" s="8" t="str">
        <f aca="false">TEXT(ROW(), "0000")</f>
        <v>1776</v>
      </c>
      <c r="L1776" s="8"/>
    </row>
    <row r="1777" customFormat="false" ht="15.75" hidden="false" customHeight="true" outlineLevel="0" collapsed="false">
      <c r="A1777" s="7" t="n">
        <v>45788</v>
      </c>
      <c r="B1777" s="8" t="s">
        <v>25</v>
      </c>
      <c r="C1777" s="9" t="n">
        <v>680</v>
      </c>
      <c r="D1777" s="8" t="s">
        <v>45</v>
      </c>
      <c r="E1777" s="10" t="s">
        <v>268</v>
      </c>
      <c r="F1777" s="8" t="str">
        <f aca="false">TEXT(A1777,"MM-YYYY")</f>
        <v>05-2025</v>
      </c>
      <c r="G1777" s="8" t="s">
        <v>14</v>
      </c>
      <c r="H1777" s="8" t="s">
        <v>232</v>
      </c>
      <c r="I1777" s="7" t="n">
        <v>45788</v>
      </c>
      <c r="J1777" s="8" t="str">
        <f aca="false">VLOOKUP(B1777,Table3[#All],2,0)</f>
        <v>Inventory</v>
      </c>
      <c r="K1777" s="8" t="str">
        <f aca="false">TEXT(ROW(), "0000")</f>
        <v>1777</v>
      </c>
      <c r="L1777" s="8"/>
    </row>
    <row r="1778" customFormat="false" ht="15.75" hidden="false" customHeight="true" outlineLevel="0" collapsed="false">
      <c r="A1778" s="7" t="n">
        <v>45788</v>
      </c>
      <c r="B1778" s="8" t="s">
        <v>50</v>
      </c>
      <c r="C1778" s="9" t="n">
        <v>1760</v>
      </c>
      <c r="D1778" s="8" t="s">
        <v>13</v>
      </c>
      <c r="E1778" s="10" t="s">
        <v>263</v>
      </c>
      <c r="F1778" s="8" t="str">
        <f aca="false">TEXT(A1778,"MM-YYYY")</f>
        <v>05-2025</v>
      </c>
      <c r="G1778" s="8" t="s">
        <v>14</v>
      </c>
      <c r="H1778" s="8" t="s">
        <v>13</v>
      </c>
      <c r="I1778" s="7" t="n">
        <v>45799</v>
      </c>
      <c r="J1778" s="8" t="str">
        <f aca="false">VLOOKUP(B1778,Table3[#All],2,0)</f>
        <v>Fixed Maintance</v>
      </c>
      <c r="K1778" s="8" t="str">
        <f aca="false">TEXT(ROW(), "0000")</f>
        <v>1778</v>
      </c>
      <c r="L1778" s="8"/>
    </row>
    <row r="1779" customFormat="false" ht="15.75" hidden="false" customHeight="true" outlineLevel="0" collapsed="false">
      <c r="A1779" s="7" t="n">
        <v>45788</v>
      </c>
      <c r="B1779" s="8" t="s">
        <v>28</v>
      </c>
      <c r="C1779" s="9" t="n">
        <v>825</v>
      </c>
      <c r="D1779" s="8" t="s">
        <v>21</v>
      </c>
      <c r="E1779" s="10" t="s">
        <v>93</v>
      </c>
      <c r="F1779" s="8" t="str">
        <f aca="false">TEXT(A1779,"MM-YYYY")</f>
        <v>05-2025</v>
      </c>
      <c r="G1779" s="8" t="s">
        <v>14</v>
      </c>
      <c r="H1779" s="8" t="s">
        <v>15</v>
      </c>
      <c r="I1779" s="7" t="n">
        <v>45788</v>
      </c>
      <c r="J1779" s="8" t="str">
        <f aca="false">VLOOKUP(B1779,Table3[#All],2,0)</f>
        <v>Grocery</v>
      </c>
      <c r="K1779" s="8" t="str">
        <f aca="false">TEXT(ROW(), "0000")</f>
        <v>1779</v>
      </c>
      <c r="L1779" s="8"/>
    </row>
    <row r="1780" customFormat="false" ht="15.75" hidden="false" customHeight="true" outlineLevel="0" collapsed="false">
      <c r="A1780" s="7" t="n">
        <v>45788</v>
      </c>
      <c r="B1780" s="8" t="s">
        <v>16</v>
      </c>
      <c r="C1780" s="9" t="n">
        <v>1950</v>
      </c>
      <c r="D1780" s="8" t="s">
        <v>21</v>
      </c>
      <c r="E1780" s="10" t="s">
        <v>88</v>
      </c>
      <c r="F1780" s="8" t="str">
        <f aca="false">TEXT(A1780,"MM-YYYY")</f>
        <v>05-2025</v>
      </c>
      <c r="G1780" s="8"/>
      <c r="H1780" s="8"/>
      <c r="I1780" s="7"/>
      <c r="J1780" s="8" t="str">
        <f aca="false">VLOOKUP(B1780,Table3[#All],2,0)</f>
        <v>Sales</v>
      </c>
      <c r="K1780" s="8" t="str">
        <f aca="false">TEXT(ROW(), "0000")</f>
        <v>1780</v>
      </c>
      <c r="L1780" s="8"/>
    </row>
    <row r="1781" customFormat="false" ht="15.75" hidden="false" customHeight="true" outlineLevel="0" collapsed="false">
      <c r="A1781" s="7" t="n">
        <v>45788</v>
      </c>
      <c r="B1781" s="8" t="s">
        <v>16</v>
      </c>
      <c r="C1781" s="9" t="n">
        <v>1445</v>
      </c>
      <c r="D1781" s="8" t="s">
        <v>27</v>
      </c>
      <c r="E1781" s="10" t="s">
        <v>88</v>
      </c>
      <c r="F1781" s="8" t="str">
        <f aca="false">TEXT(A1781,"MM-YYYY")</f>
        <v>05-2025</v>
      </c>
      <c r="G1781" s="8"/>
      <c r="H1781" s="8"/>
      <c r="I1781" s="7"/>
      <c r="J1781" s="8" t="str">
        <f aca="false">VLOOKUP(B1781,Table3[#All],2,0)</f>
        <v>Sales</v>
      </c>
      <c r="K1781" s="8" t="str">
        <f aca="false">TEXT(ROW(), "0000")</f>
        <v>1781</v>
      </c>
      <c r="L1781" s="8"/>
    </row>
    <row r="1782" customFormat="false" ht="15.75" hidden="false" customHeight="true" outlineLevel="0" collapsed="false">
      <c r="A1782" s="7" t="n">
        <v>45788</v>
      </c>
      <c r="B1782" s="8" t="s">
        <v>16</v>
      </c>
      <c r="C1782" s="9" t="n">
        <v>280</v>
      </c>
      <c r="D1782" s="8" t="s">
        <v>33</v>
      </c>
      <c r="E1782" s="10" t="s">
        <v>88</v>
      </c>
      <c r="F1782" s="8" t="str">
        <f aca="false">TEXT(A1782,"MM-YYYY")</f>
        <v>05-2025</v>
      </c>
      <c r="G1782" s="8"/>
      <c r="H1782" s="8"/>
      <c r="I1782" s="7"/>
      <c r="J1782" s="8" t="str">
        <f aca="false">VLOOKUP(B1782,Table3[#All],2,0)</f>
        <v>Sales</v>
      </c>
      <c r="K1782" s="8" t="str">
        <f aca="false">TEXT(ROW(), "0000")</f>
        <v>1782</v>
      </c>
      <c r="L1782" s="8"/>
    </row>
    <row r="1783" customFormat="false" ht="15.75" hidden="false" customHeight="true" outlineLevel="0" collapsed="false">
      <c r="A1783" s="7" t="n">
        <v>45788</v>
      </c>
      <c r="B1783" s="8" t="s">
        <v>16</v>
      </c>
      <c r="C1783" s="9" t="n">
        <v>18547</v>
      </c>
      <c r="D1783" s="8" t="s">
        <v>17</v>
      </c>
      <c r="E1783" s="10" t="s">
        <v>88</v>
      </c>
      <c r="F1783" s="8" t="str">
        <f aca="false">TEXT(A1783,"MM-YYYY")</f>
        <v>05-2025</v>
      </c>
      <c r="G1783" s="8"/>
      <c r="H1783" s="8"/>
      <c r="I1783" s="7"/>
      <c r="J1783" s="8" t="str">
        <f aca="false">VLOOKUP(B1783,Table3[#All],2,0)</f>
        <v>Sales</v>
      </c>
      <c r="K1783" s="8" t="str">
        <f aca="false">TEXT(ROW(), "0000")</f>
        <v>1783</v>
      </c>
      <c r="L1783" s="8"/>
    </row>
    <row r="1784" customFormat="false" ht="15.75" hidden="false" customHeight="true" outlineLevel="0" collapsed="false">
      <c r="A1784" s="7" t="n">
        <v>45788</v>
      </c>
      <c r="B1784" s="8" t="s">
        <v>16</v>
      </c>
      <c r="C1784" s="9" t="n">
        <v>2198</v>
      </c>
      <c r="D1784" s="8" t="s">
        <v>24</v>
      </c>
      <c r="E1784" s="10" t="s">
        <v>217</v>
      </c>
      <c r="F1784" s="8" t="str">
        <f aca="false">TEXT(A1784,"MM-YYYY")</f>
        <v>05-2025</v>
      </c>
      <c r="G1784" s="8"/>
      <c r="H1784" s="8"/>
      <c r="I1784" s="7"/>
      <c r="J1784" s="8" t="str">
        <f aca="false">VLOOKUP(B1784,Table3[#All],2,0)</f>
        <v>Sales</v>
      </c>
      <c r="K1784" s="8" t="str">
        <f aca="false">TEXT(ROW(), "0000")</f>
        <v>1784</v>
      </c>
      <c r="L1784" s="8"/>
    </row>
    <row r="1785" customFormat="false" ht="15.75" hidden="false" customHeight="true" outlineLevel="0" collapsed="false">
      <c r="A1785" s="7" t="n">
        <v>45788</v>
      </c>
      <c r="B1785" s="8" t="s">
        <v>34</v>
      </c>
      <c r="C1785" s="9" t="n">
        <v>150</v>
      </c>
      <c r="D1785" s="8" t="s">
        <v>45</v>
      </c>
      <c r="E1785" s="10" t="s">
        <v>267</v>
      </c>
      <c r="F1785" s="8" t="str">
        <f aca="false">TEXT(A1785,"MM-YYYY")</f>
        <v>05-2025</v>
      </c>
      <c r="G1785" s="8" t="s">
        <v>14</v>
      </c>
      <c r="H1785" s="8" t="s">
        <v>232</v>
      </c>
      <c r="I1785" s="7" t="n">
        <v>45788</v>
      </c>
      <c r="J1785" s="8" t="str">
        <f aca="false">VLOOKUP(B1785,Table3[#All],2,0)</f>
        <v>Staff Expenses</v>
      </c>
      <c r="K1785" s="8" t="str">
        <f aca="false">TEXT(ROW(), "0000")</f>
        <v>1785</v>
      </c>
      <c r="L1785" s="8"/>
    </row>
    <row r="1786" customFormat="false" ht="15.75" hidden="false" customHeight="true" outlineLevel="0" collapsed="false">
      <c r="A1786" s="7" t="n">
        <v>45788</v>
      </c>
      <c r="B1786" s="8" t="s">
        <v>37</v>
      </c>
      <c r="C1786" s="9" t="n">
        <v>25</v>
      </c>
      <c r="D1786" s="8" t="s">
        <v>21</v>
      </c>
      <c r="E1786" s="8" t="s">
        <v>37</v>
      </c>
      <c r="F1786" s="8" t="str">
        <f aca="false">TEXT(A1786,"MM-YYYY")</f>
        <v>05-2025</v>
      </c>
      <c r="G1786" s="8" t="s">
        <v>14</v>
      </c>
      <c r="H1786" s="8" t="s">
        <v>232</v>
      </c>
      <c r="I1786" s="7" t="n">
        <v>45788</v>
      </c>
      <c r="J1786" s="8" t="str">
        <f aca="false">VLOOKUP(B1786,Table3[#All],2,0)</f>
        <v>Maintance</v>
      </c>
      <c r="K1786" s="8" t="str">
        <f aca="false">TEXT(ROW(), "0000")</f>
        <v>1786</v>
      </c>
      <c r="L1786" s="8"/>
    </row>
    <row r="1787" customFormat="false" ht="15.75" hidden="false" customHeight="true" outlineLevel="0" collapsed="false">
      <c r="A1787" s="7" t="n">
        <v>45789</v>
      </c>
      <c r="B1787" s="8" t="s">
        <v>25</v>
      </c>
      <c r="C1787" s="9" t="n">
        <v>790</v>
      </c>
      <c r="D1787" s="8" t="s">
        <v>13</v>
      </c>
      <c r="E1787" s="10" t="s">
        <v>26</v>
      </c>
      <c r="F1787" s="8" t="str">
        <f aca="false">TEXT(A1787,"MM-YYYY")</f>
        <v>05-2025</v>
      </c>
      <c r="G1787" s="21" t="s">
        <v>14</v>
      </c>
      <c r="H1787" s="8" t="s">
        <v>13</v>
      </c>
      <c r="I1787" s="7" t="n">
        <v>45812</v>
      </c>
      <c r="J1787" s="8" t="str">
        <f aca="false">VLOOKUP(B1787,Table3[#All],2,0)</f>
        <v>Inventory</v>
      </c>
      <c r="K1787" s="8" t="str">
        <f aca="false">TEXT(ROW(), "0000")</f>
        <v>1787</v>
      </c>
      <c r="L1787" s="8"/>
    </row>
    <row r="1788" customFormat="false" ht="15.75" hidden="false" customHeight="true" outlineLevel="0" collapsed="false">
      <c r="A1788" s="7" t="n">
        <v>45789</v>
      </c>
      <c r="B1788" s="8" t="s">
        <v>47</v>
      </c>
      <c r="C1788" s="9" t="n">
        <v>1680</v>
      </c>
      <c r="D1788" s="8" t="s">
        <v>13</v>
      </c>
      <c r="E1788" s="10" t="s">
        <v>223</v>
      </c>
      <c r="F1788" s="8" t="str">
        <f aca="false">TEXT(A1788,"MM-YYYY")</f>
        <v>05-2025</v>
      </c>
      <c r="G1788" s="8" t="s">
        <v>14</v>
      </c>
      <c r="H1788" s="8" t="s">
        <v>13</v>
      </c>
      <c r="I1788" s="7" t="n">
        <v>45801</v>
      </c>
      <c r="J1788" s="8" t="str">
        <f aca="false">VLOOKUP(B1788,Table3[#All],2,0)</f>
        <v>Inventory</v>
      </c>
      <c r="K1788" s="8" t="str">
        <f aca="false">TEXT(ROW(), "0000")</f>
        <v>1788</v>
      </c>
      <c r="L1788" s="8"/>
    </row>
    <row r="1789" customFormat="false" ht="15.75" hidden="false" customHeight="true" outlineLevel="0" collapsed="false">
      <c r="A1789" s="7" t="n">
        <v>45789</v>
      </c>
      <c r="B1789" s="8" t="s">
        <v>22</v>
      </c>
      <c r="C1789" s="9" t="n">
        <v>4547</v>
      </c>
      <c r="D1789" s="8" t="s">
        <v>13</v>
      </c>
      <c r="E1789" s="10" t="s">
        <v>23</v>
      </c>
      <c r="F1789" s="8" t="str">
        <f aca="false">TEXT(A1789,"MM-YYYY")</f>
        <v>05-2025</v>
      </c>
      <c r="G1789" s="8" t="s">
        <v>14</v>
      </c>
      <c r="H1789" s="8" t="s">
        <v>13</v>
      </c>
      <c r="I1789" s="7" t="n">
        <v>45794</v>
      </c>
      <c r="J1789" s="8" t="str">
        <f aca="false">VLOOKUP(B1789,Table3[#All],2,0)</f>
        <v>Inventory</v>
      </c>
      <c r="K1789" s="8" t="str">
        <f aca="false">TEXT(ROW(), "0000")</f>
        <v>1789</v>
      </c>
      <c r="L1789" s="8"/>
    </row>
    <row r="1790" customFormat="false" ht="15.75" hidden="false" customHeight="true" outlineLevel="0" collapsed="false">
      <c r="A1790" s="7" t="n">
        <v>45789</v>
      </c>
      <c r="B1790" s="8" t="s">
        <v>19</v>
      </c>
      <c r="C1790" s="9" t="n">
        <v>3613</v>
      </c>
      <c r="D1790" s="8" t="s">
        <v>13</v>
      </c>
      <c r="E1790" s="10" t="s">
        <v>20</v>
      </c>
      <c r="F1790" s="8" t="str">
        <f aca="false">TEXT(A1790,"MM-YYYY")</f>
        <v>05-2025</v>
      </c>
      <c r="G1790" s="8" t="s">
        <v>14</v>
      </c>
      <c r="H1790" s="8" t="s">
        <v>13</v>
      </c>
      <c r="I1790" s="7" t="n">
        <v>45794</v>
      </c>
      <c r="J1790" s="8" t="str">
        <f aca="false">VLOOKUP(B1790,Table3[#All],2,0)</f>
        <v>Inventory</v>
      </c>
      <c r="K1790" s="8" t="str">
        <f aca="false">TEXT(ROW(), "0000")</f>
        <v>1790</v>
      </c>
      <c r="L1790" s="8"/>
    </row>
    <row r="1791" customFormat="false" ht="15.75" hidden="false" customHeight="true" outlineLevel="0" collapsed="false">
      <c r="A1791" s="7" t="n">
        <v>45789</v>
      </c>
      <c r="B1791" s="8" t="s">
        <v>22</v>
      </c>
      <c r="C1791" s="9" t="n">
        <v>150</v>
      </c>
      <c r="D1791" s="8" t="s">
        <v>45</v>
      </c>
      <c r="E1791" s="10" t="s">
        <v>303</v>
      </c>
      <c r="F1791" s="8" t="str">
        <f aca="false">TEXT(A1791,"MM-YYYY")</f>
        <v>05-2025</v>
      </c>
      <c r="G1791" s="8" t="s">
        <v>14</v>
      </c>
      <c r="H1791" s="8" t="s">
        <v>232</v>
      </c>
      <c r="I1791" s="7" t="n">
        <v>45789</v>
      </c>
      <c r="J1791" s="8" t="str">
        <f aca="false">VLOOKUP(B1791,Table3[#All],2,0)</f>
        <v>Inventory</v>
      </c>
      <c r="K1791" s="8" t="str">
        <f aca="false">TEXT(ROW(), "0000")</f>
        <v>1791</v>
      </c>
      <c r="L1791" s="8"/>
    </row>
    <row r="1792" customFormat="false" ht="15.75" hidden="false" customHeight="true" outlineLevel="0" collapsed="false">
      <c r="A1792" s="7" t="n">
        <v>45789</v>
      </c>
      <c r="B1792" s="8" t="s">
        <v>40</v>
      </c>
      <c r="C1792" s="9" t="n">
        <v>2220</v>
      </c>
      <c r="D1792" s="8" t="s">
        <v>45</v>
      </c>
      <c r="E1792" s="10" t="s">
        <v>46</v>
      </c>
      <c r="F1792" s="8" t="str">
        <f aca="false">TEXT(A1792,"MM-YYYY")</f>
        <v>05-2025</v>
      </c>
      <c r="G1792" s="8" t="s">
        <v>14</v>
      </c>
      <c r="H1792" s="8" t="s">
        <v>232</v>
      </c>
      <c r="I1792" s="7" t="n">
        <v>45789</v>
      </c>
      <c r="J1792" s="8" t="str">
        <f aca="false">VLOOKUP(B1792,Table3[#All],2,0)</f>
        <v>Inventory</v>
      </c>
      <c r="K1792" s="8" t="str">
        <f aca="false">TEXT(ROW(), "0000")</f>
        <v>1792</v>
      </c>
      <c r="L1792" s="8"/>
    </row>
    <row r="1793" customFormat="false" ht="15.75" hidden="false" customHeight="true" outlineLevel="0" collapsed="false">
      <c r="A1793" s="7" t="n">
        <v>45789</v>
      </c>
      <c r="B1793" s="8" t="s">
        <v>35</v>
      </c>
      <c r="C1793" s="9" t="n">
        <v>130</v>
      </c>
      <c r="D1793" s="8" t="s">
        <v>45</v>
      </c>
      <c r="E1793" s="10" t="s">
        <v>206</v>
      </c>
      <c r="F1793" s="8" t="str">
        <f aca="false">TEXT(A1793,"MM-YYYY")</f>
        <v>05-2025</v>
      </c>
      <c r="G1793" s="8" t="s">
        <v>14</v>
      </c>
      <c r="H1793" s="8" t="s">
        <v>232</v>
      </c>
      <c r="I1793" s="7" t="n">
        <v>45789</v>
      </c>
      <c r="J1793" s="8" t="str">
        <f aca="false">VLOOKUP(B1793,Table3[#All],2,0)</f>
        <v>Inventory</v>
      </c>
      <c r="K1793" s="8" t="str">
        <f aca="false">TEXT(ROW(), "0000")</f>
        <v>1793</v>
      </c>
      <c r="L1793" s="8"/>
    </row>
    <row r="1794" customFormat="false" ht="15.75" hidden="false" customHeight="true" outlineLevel="0" collapsed="false">
      <c r="A1794" s="7" t="n">
        <v>45789</v>
      </c>
      <c r="B1794" s="8" t="s">
        <v>29</v>
      </c>
      <c r="C1794" s="9" t="n">
        <v>648</v>
      </c>
      <c r="D1794" s="8" t="s">
        <v>13</v>
      </c>
      <c r="E1794" s="10" t="s">
        <v>302</v>
      </c>
      <c r="F1794" s="8" t="str">
        <f aca="false">TEXT(A1794,"MM-YYYY")</f>
        <v>05-2025</v>
      </c>
      <c r="G1794" s="8" t="s">
        <v>14</v>
      </c>
      <c r="H1794" s="8" t="s">
        <v>13</v>
      </c>
      <c r="I1794" s="7" t="n">
        <v>45809</v>
      </c>
      <c r="J1794" s="8" t="str">
        <f aca="false">VLOOKUP(B1794,Table3[#All],2,0)</f>
        <v>Inventory</v>
      </c>
      <c r="K1794" s="8" t="str">
        <f aca="false">TEXT(ROW(), "0000")</f>
        <v>1794</v>
      </c>
      <c r="L1794" s="8"/>
    </row>
    <row r="1795" customFormat="false" ht="15.75" hidden="false" customHeight="true" outlineLevel="0" collapsed="false">
      <c r="A1795" s="7" t="n">
        <v>45789</v>
      </c>
      <c r="B1795" s="8" t="s">
        <v>16</v>
      </c>
      <c r="C1795" s="9" t="n">
        <v>3370</v>
      </c>
      <c r="D1795" s="8" t="s">
        <v>21</v>
      </c>
      <c r="E1795" s="10" t="s">
        <v>88</v>
      </c>
      <c r="F1795" s="8" t="str">
        <f aca="false">TEXT(A1795,"MM-YYYY")</f>
        <v>05-2025</v>
      </c>
      <c r="G1795" s="8"/>
      <c r="H1795" s="8"/>
      <c r="I1795" s="7"/>
      <c r="J1795" s="8" t="str">
        <f aca="false">VLOOKUP(B1795,Table3[#All],2,0)</f>
        <v>Sales</v>
      </c>
      <c r="K1795" s="8" t="str">
        <f aca="false">TEXT(ROW(), "0000")</f>
        <v>1795</v>
      </c>
      <c r="L1795" s="8"/>
    </row>
    <row r="1796" customFormat="false" ht="15.75" hidden="false" customHeight="true" outlineLevel="0" collapsed="false">
      <c r="A1796" s="7" t="n">
        <v>45789</v>
      </c>
      <c r="B1796" s="8" t="s">
        <v>16</v>
      </c>
      <c r="C1796" s="9" t="n">
        <v>420</v>
      </c>
      <c r="D1796" s="8" t="s">
        <v>33</v>
      </c>
      <c r="E1796" s="10" t="s">
        <v>88</v>
      </c>
      <c r="F1796" s="8" t="str">
        <f aca="false">TEXT(A1796,"MM-YYYY")</f>
        <v>05-2025</v>
      </c>
      <c r="G1796" s="8"/>
      <c r="H1796" s="8"/>
      <c r="I1796" s="7"/>
      <c r="J1796" s="8" t="str">
        <f aca="false">VLOOKUP(B1796,Table3[#All],2,0)</f>
        <v>Sales</v>
      </c>
      <c r="K1796" s="8" t="str">
        <f aca="false">TEXT(ROW(), "0000")</f>
        <v>1796</v>
      </c>
      <c r="L1796" s="8"/>
    </row>
    <row r="1797" customFormat="false" ht="15.75" hidden="false" customHeight="true" outlineLevel="0" collapsed="false">
      <c r="A1797" s="7" t="n">
        <v>45789</v>
      </c>
      <c r="B1797" s="8" t="s">
        <v>16</v>
      </c>
      <c r="C1797" s="9" t="n">
        <v>9270</v>
      </c>
      <c r="D1797" s="8" t="s">
        <v>17</v>
      </c>
      <c r="E1797" s="10" t="s">
        <v>88</v>
      </c>
      <c r="F1797" s="8" t="str">
        <f aca="false">TEXT(A1797,"MM-YYYY")</f>
        <v>05-2025</v>
      </c>
      <c r="G1797" s="8"/>
      <c r="H1797" s="8"/>
      <c r="I1797" s="7"/>
      <c r="J1797" s="8" t="str">
        <f aca="false">VLOOKUP(B1797,Table3[#All],2,0)</f>
        <v>Sales</v>
      </c>
      <c r="K1797" s="8" t="str">
        <f aca="false">TEXT(ROW(), "0000")</f>
        <v>1797</v>
      </c>
      <c r="L1797" s="8"/>
    </row>
    <row r="1798" customFormat="false" ht="15.75" hidden="false" customHeight="true" outlineLevel="0" collapsed="false">
      <c r="A1798" s="7" t="n">
        <v>45789</v>
      </c>
      <c r="B1798" s="8" t="s">
        <v>16</v>
      </c>
      <c r="C1798" s="9" t="n">
        <v>1165</v>
      </c>
      <c r="D1798" s="8" t="s">
        <v>59</v>
      </c>
      <c r="E1798" s="10" t="s">
        <v>88</v>
      </c>
      <c r="F1798" s="8" t="str">
        <f aca="false">TEXT(A1798,"MM-YYYY")</f>
        <v>05-2025</v>
      </c>
      <c r="G1798" s="8"/>
      <c r="H1798" s="8"/>
      <c r="I1798" s="7"/>
      <c r="J1798" s="8" t="str">
        <f aca="false">VLOOKUP(B1798,Table3[#All],2,0)</f>
        <v>Sales</v>
      </c>
      <c r="K1798" s="8" t="str">
        <f aca="false">TEXT(ROW(), "0000")</f>
        <v>1798</v>
      </c>
      <c r="L1798" s="8"/>
    </row>
    <row r="1799" customFormat="false" ht="15.75" hidden="false" customHeight="true" outlineLevel="0" collapsed="false">
      <c r="A1799" s="7" t="n">
        <v>45789</v>
      </c>
      <c r="B1799" s="8" t="s">
        <v>16</v>
      </c>
      <c r="C1799" s="9" t="n">
        <v>913</v>
      </c>
      <c r="D1799" s="8" t="s">
        <v>24</v>
      </c>
      <c r="E1799" s="10" t="s">
        <v>217</v>
      </c>
      <c r="F1799" s="8" t="str">
        <f aca="false">TEXT(A1799,"MM-YYYY")</f>
        <v>05-2025</v>
      </c>
      <c r="G1799" s="8"/>
      <c r="H1799" s="8"/>
      <c r="I1799" s="7"/>
      <c r="J1799" s="8" t="str">
        <f aca="false">VLOOKUP(B1799,Table3[#All],2,0)</f>
        <v>Sales</v>
      </c>
      <c r="K1799" s="8" t="str">
        <f aca="false">TEXT(ROW(), "0000")</f>
        <v>1799</v>
      </c>
      <c r="L1799" s="8"/>
    </row>
    <row r="1800" customFormat="false" ht="15.75" hidden="false" customHeight="true" outlineLevel="0" collapsed="false">
      <c r="A1800" s="7" t="n">
        <v>45789</v>
      </c>
      <c r="B1800" s="8" t="s">
        <v>37</v>
      </c>
      <c r="C1800" s="9" t="n">
        <v>20</v>
      </c>
      <c r="D1800" s="8" t="s">
        <v>21</v>
      </c>
      <c r="E1800" s="10" t="s">
        <v>37</v>
      </c>
      <c r="F1800" s="8" t="str">
        <f aca="false">TEXT(A1800,"MM-YYYY")</f>
        <v>05-2025</v>
      </c>
      <c r="G1800" s="8" t="s">
        <v>14</v>
      </c>
      <c r="H1800" s="8" t="s">
        <v>15</v>
      </c>
      <c r="I1800" s="7" t="n">
        <v>45789</v>
      </c>
      <c r="J1800" s="8" t="str">
        <f aca="false">VLOOKUP(B1800,Table3[#All],2,0)</f>
        <v>Maintance</v>
      </c>
      <c r="K1800" s="8" t="str">
        <f aca="false">TEXT(ROW(), "0000")</f>
        <v>1800</v>
      </c>
      <c r="L1800" s="8"/>
    </row>
    <row r="1801" customFormat="false" ht="15.75" hidden="false" customHeight="true" outlineLevel="0" collapsed="false">
      <c r="A1801" s="7" t="n">
        <v>45789</v>
      </c>
      <c r="B1801" s="8" t="s">
        <v>34</v>
      </c>
      <c r="C1801" s="9" t="n">
        <v>150</v>
      </c>
      <c r="D1801" s="8" t="s">
        <v>45</v>
      </c>
      <c r="E1801" s="10" t="s">
        <v>267</v>
      </c>
      <c r="F1801" s="8" t="str">
        <f aca="false">TEXT(A1801,"MM-YYYY")</f>
        <v>05-2025</v>
      </c>
      <c r="G1801" s="8" t="s">
        <v>14</v>
      </c>
      <c r="H1801" s="8" t="s">
        <v>232</v>
      </c>
      <c r="I1801" s="7" t="n">
        <v>45789</v>
      </c>
      <c r="J1801" s="8" t="str">
        <f aca="false">VLOOKUP(B1801,Table3[#All],2,0)</f>
        <v>Staff Expenses</v>
      </c>
      <c r="K1801" s="8" t="str">
        <f aca="false">TEXT(ROW(), "0000")</f>
        <v>1801</v>
      </c>
      <c r="L1801" s="8"/>
    </row>
    <row r="1802" customFormat="false" ht="15.75" hidden="false" customHeight="true" outlineLevel="0" collapsed="false">
      <c r="A1802" s="7" t="n">
        <v>45789</v>
      </c>
      <c r="B1802" s="8" t="s">
        <v>31</v>
      </c>
      <c r="C1802" s="9" t="n">
        <v>300</v>
      </c>
      <c r="D1802" s="8" t="s">
        <v>45</v>
      </c>
      <c r="E1802" s="10" t="s">
        <v>236</v>
      </c>
      <c r="F1802" s="8" t="str">
        <f aca="false">TEXT(A1802,"MM-YYYY")</f>
        <v>05-2025</v>
      </c>
      <c r="G1802" s="8" t="s">
        <v>14</v>
      </c>
      <c r="H1802" s="8" t="s">
        <v>232</v>
      </c>
      <c r="I1802" s="7" t="n">
        <v>45789</v>
      </c>
      <c r="J1802" s="8" t="str">
        <f aca="false">VLOOKUP(B1802,Table3[#All],2,0)</f>
        <v>Bike Maintance</v>
      </c>
      <c r="K1802" s="8" t="str">
        <f aca="false">TEXT(ROW(), "0000")</f>
        <v>1802</v>
      </c>
      <c r="L1802" s="8"/>
    </row>
    <row r="1803" customFormat="false" ht="15.75" hidden="false" customHeight="true" outlineLevel="0" collapsed="false">
      <c r="A1803" s="7" t="n">
        <v>45790</v>
      </c>
      <c r="B1803" s="8" t="s">
        <v>19</v>
      </c>
      <c r="C1803" s="9" t="n">
        <v>795</v>
      </c>
      <c r="D1803" s="8" t="s">
        <v>13</v>
      </c>
      <c r="E1803" s="10" t="s">
        <v>20</v>
      </c>
      <c r="F1803" s="8" t="str">
        <f aca="false">TEXT(A1803,"MM-YYYY")</f>
        <v>05-2025</v>
      </c>
      <c r="G1803" s="8" t="s">
        <v>14</v>
      </c>
      <c r="H1803" s="8" t="s">
        <v>13</v>
      </c>
      <c r="I1803" s="7" t="n">
        <v>45794</v>
      </c>
      <c r="J1803" s="8" t="str">
        <f aca="false">VLOOKUP(B1803,Table3[#All],2,0)</f>
        <v>Inventory</v>
      </c>
      <c r="K1803" s="8" t="str">
        <f aca="false">TEXT(ROW(), "0000")</f>
        <v>1803</v>
      </c>
      <c r="L1803" s="8"/>
    </row>
    <row r="1804" customFormat="false" ht="15.75" hidden="false" customHeight="true" outlineLevel="0" collapsed="false">
      <c r="A1804" s="7" t="n">
        <v>45790</v>
      </c>
      <c r="B1804" s="8" t="s">
        <v>22</v>
      </c>
      <c r="C1804" s="9" t="n">
        <v>2443</v>
      </c>
      <c r="D1804" s="8" t="s">
        <v>13</v>
      </c>
      <c r="E1804" s="10" t="s">
        <v>23</v>
      </c>
      <c r="F1804" s="8" t="str">
        <f aca="false">TEXT(A1804,"MM-YYYY")</f>
        <v>05-2025</v>
      </c>
      <c r="G1804" s="8" t="s">
        <v>14</v>
      </c>
      <c r="H1804" s="8" t="s">
        <v>13</v>
      </c>
      <c r="I1804" s="7" t="n">
        <v>45794</v>
      </c>
      <c r="J1804" s="8" t="str">
        <f aca="false">VLOOKUP(B1804,Table3[#All],2,0)</f>
        <v>Inventory</v>
      </c>
      <c r="K1804" s="8" t="str">
        <f aca="false">TEXT(ROW(), "0000")</f>
        <v>1804</v>
      </c>
      <c r="L1804" s="8"/>
    </row>
    <row r="1805" customFormat="false" ht="15.75" hidden="false" customHeight="true" outlineLevel="0" collapsed="false">
      <c r="A1805" s="7" t="n">
        <v>45790</v>
      </c>
      <c r="B1805" s="8" t="s">
        <v>25</v>
      </c>
      <c r="C1805" s="9" t="n">
        <v>939</v>
      </c>
      <c r="D1805" s="8" t="s">
        <v>13</v>
      </c>
      <c r="E1805" s="10" t="s">
        <v>26</v>
      </c>
      <c r="F1805" s="8" t="str">
        <f aca="false">TEXT(A1805,"MM-YYYY")</f>
        <v>05-2025</v>
      </c>
      <c r="G1805" s="21" t="s">
        <v>14</v>
      </c>
      <c r="H1805" s="8" t="s">
        <v>13</v>
      </c>
      <c r="I1805" s="7" t="n">
        <v>45812</v>
      </c>
      <c r="J1805" s="8" t="str">
        <f aca="false">VLOOKUP(B1805,Table3[#All],2,0)</f>
        <v>Inventory</v>
      </c>
      <c r="K1805" s="8" t="str">
        <f aca="false">TEXT(ROW(), "0000")</f>
        <v>1805</v>
      </c>
      <c r="L1805" s="8"/>
    </row>
    <row r="1806" customFormat="false" ht="15.75" hidden="false" customHeight="true" outlineLevel="0" collapsed="false">
      <c r="A1806" s="7" t="n">
        <v>45790</v>
      </c>
      <c r="B1806" s="8" t="s">
        <v>29</v>
      </c>
      <c r="C1806" s="9" t="n">
        <v>325</v>
      </c>
      <c r="D1806" s="8" t="s">
        <v>13</v>
      </c>
      <c r="E1806" s="10" t="s">
        <v>302</v>
      </c>
      <c r="F1806" s="8" t="str">
        <f aca="false">TEXT(A1806,"MM-YYYY")</f>
        <v>05-2025</v>
      </c>
      <c r="G1806" s="8" t="s">
        <v>14</v>
      </c>
      <c r="H1806" s="8" t="s">
        <v>13</v>
      </c>
      <c r="I1806" s="7" t="n">
        <v>45809</v>
      </c>
      <c r="J1806" s="8" t="str">
        <f aca="false">VLOOKUP(B1806,Table3[#All],2,0)</f>
        <v>Inventory</v>
      </c>
      <c r="K1806" s="8" t="str">
        <f aca="false">TEXT(ROW(), "0000")</f>
        <v>1806</v>
      </c>
      <c r="L1806" s="8"/>
    </row>
    <row r="1807" customFormat="false" ht="15.75" hidden="false" customHeight="true" outlineLevel="0" collapsed="false">
      <c r="A1807" s="7" t="n">
        <v>45790</v>
      </c>
      <c r="B1807" s="8" t="s">
        <v>16</v>
      </c>
      <c r="C1807" s="9" t="n">
        <v>4000</v>
      </c>
      <c r="D1807" s="8" t="s">
        <v>21</v>
      </c>
      <c r="E1807" s="10" t="s">
        <v>88</v>
      </c>
      <c r="F1807" s="8" t="str">
        <f aca="false">TEXT(A1807,"MM-YYYY")</f>
        <v>05-2025</v>
      </c>
      <c r="G1807" s="8"/>
      <c r="H1807" s="8"/>
      <c r="I1807" s="7"/>
      <c r="J1807" s="8" t="str">
        <f aca="false">VLOOKUP(B1807,Table3[#All],2,0)</f>
        <v>Sales</v>
      </c>
      <c r="K1807" s="8" t="str">
        <f aca="false">TEXT(ROW(), "0000")</f>
        <v>1807</v>
      </c>
      <c r="L1807" s="8"/>
    </row>
    <row r="1808" customFormat="false" ht="15.75" hidden="false" customHeight="true" outlineLevel="0" collapsed="false">
      <c r="A1808" s="7" t="n">
        <v>45790</v>
      </c>
      <c r="B1808" s="8" t="s">
        <v>16</v>
      </c>
      <c r="C1808" s="9" t="n">
        <v>435</v>
      </c>
      <c r="D1808" s="8" t="s">
        <v>27</v>
      </c>
      <c r="E1808" s="10" t="s">
        <v>88</v>
      </c>
      <c r="F1808" s="8" t="str">
        <f aca="false">TEXT(A1808,"MM-YYYY")</f>
        <v>05-2025</v>
      </c>
      <c r="G1808" s="8"/>
      <c r="H1808" s="8"/>
      <c r="I1808" s="7"/>
      <c r="J1808" s="8" t="str">
        <f aca="false">VLOOKUP(B1808,Table3[#All],2,0)</f>
        <v>Sales</v>
      </c>
      <c r="K1808" s="8" t="str">
        <f aca="false">TEXT(ROW(), "0000")</f>
        <v>1808</v>
      </c>
      <c r="L1808" s="8"/>
    </row>
    <row r="1809" customFormat="false" ht="15.75" hidden="false" customHeight="true" outlineLevel="0" collapsed="false">
      <c r="A1809" s="7" t="n">
        <v>45790</v>
      </c>
      <c r="B1809" s="8" t="s">
        <v>16</v>
      </c>
      <c r="C1809" s="9" t="n">
        <v>290</v>
      </c>
      <c r="D1809" s="8" t="s">
        <v>33</v>
      </c>
      <c r="E1809" s="10" t="s">
        <v>88</v>
      </c>
      <c r="F1809" s="8" t="str">
        <f aca="false">TEXT(A1809,"MM-YYYY")</f>
        <v>05-2025</v>
      </c>
      <c r="G1809" s="8"/>
      <c r="H1809" s="8"/>
      <c r="I1809" s="7"/>
      <c r="J1809" s="8" t="str">
        <f aca="false">VLOOKUP(B1809,Table3[#All],2,0)</f>
        <v>Sales</v>
      </c>
      <c r="K1809" s="8" t="str">
        <f aca="false">TEXT(ROW(), "0000")</f>
        <v>1809</v>
      </c>
      <c r="L1809" s="8"/>
    </row>
    <row r="1810" customFormat="false" ht="15.75" hidden="false" customHeight="true" outlineLevel="0" collapsed="false">
      <c r="A1810" s="7" t="n">
        <v>45790</v>
      </c>
      <c r="B1810" s="8" t="s">
        <v>16</v>
      </c>
      <c r="C1810" s="9" t="n">
        <v>9214</v>
      </c>
      <c r="D1810" s="8" t="s">
        <v>17</v>
      </c>
      <c r="E1810" s="10" t="s">
        <v>88</v>
      </c>
      <c r="F1810" s="8" t="str">
        <f aca="false">TEXT(A1810,"MM-YYYY")</f>
        <v>05-2025</v>
      </c>
      <c r="G1810" s="8"/>
      <c r="H1810" s="8"/>
      <c r="I1810" s="7"/>
      <c r="J1810" s="8" t="str">
        <f aca="false">VLOOKUP(B1810,Table3[#All],2,0)</f>
        <v>Sales</v>
      </c>
      <c r="K1810" s="8" t="str">
        <f aca="false">TEXT(ROW(), "0000")</f>
        <v>1810</v>
      </c>
      <c r="L1810" s="8"/>
    </row>
    <row r="1811" customFormat="false" ht="15.75" hidden="false" customHeight="true" outlineLevel="0" collapsed="false">
      <c r="A1811" s="7" t="n">
        <v>45790</v>
      </c>
      <c r="B1811" s="8" t="s">
        <v>16</v>
      </c>
      <c r="C1811" s="9" t="n">
        <v>3658</v>
      </c>
      <c r="D1811" s="8" t="s">
        <v>24</v>
      </c>
      <c r="E1811" s="10" t="s">
        <v>217</v>
      </c>
      <c r="F1811" s="8" t="str">
        <f aca="false">TEXT(A1811,"MM-YYYY")</f>
        <v>05-2025</v>
      </c>
      <c r="G1811" s="8"/>
      <c r="H1811" s="8"/>
      <c r="I1811" s="7"/>
      <c r="J1811" s="8" t="str">
        <f aca="false">VLOOKUP(B1811,Table3[#All],2,0)</f>
        <v>Sales</v>
      </c>
      <c r="K1811" s="8" t="str">
        <f aca="false">TEXT(ROW(), "0000")</f>
        <v>1811</v>
      </c>
      <c r="L1811" s="8"/>
    </row>
    <row r="1812" customFormat="false" ht="15.75" hidden="false" customHeight="true" outlineLevel="0" collapsed="false">
      <c r="A1812" s="7" t="n">
        <v>45790</v>
      </c>
      <c r="B1812" s="8" t="s">
        <v>31</v>
      </c>
      <c r="C1812" s="9" t="n">
        <v>200</v>
      </c>
      <c r="D1812" s="8" t="s">
        <v>45</v>
      </c>
      <c r="E1812" s="10" t="s">
        <v>304</v>
      </c>
      <c r="F1812" s="8" t="str">
        <f aca="false">TEXT(A1812,"MM-YYYY")</f>
        <v>05-2025</v>
      </c>
      <c r="G1812" s="8" t="s">
        <v>14</v>
      </c>
      <c r="H1812" s="8" t="s">
        <v>232</v>
      </c>
      <c r="I1812" s="7" t="n">
        <v>45790</v>
      </c>
      <c r="J1812" s="8" t="str">
        <f aca="false">VLOOKUP(B1812,Table3[#All],2,0)</f>
        <v>Bike Maintance</v>
      </c>
      <c r="K1812" s="8" t="str">
        <f aca="false">TEXT(ROW(), "0000")</f>
        <v>1812</v>
      </c>
      <c r="L1812" s="8"/>
    </row>
    <row r="1813" customFormat="false" ht="15.75" hidden="false" customHeight="true" outlineLevel="0" collapsed="false">
      <c r="A1813" s="7" t="n">
        <v>45790</v>
      </c>
      <c r="B1813" s="8" t="s">
        <v>34</v>
      </c>
      <c r="C1813" s="9" t="n">
        <v>150</v>
      </c>
      <c r="D1813" s="8" t="s">
        <v>45</v>
      </c>
      <c r="E1813" s="10" t="s">
        <v>267</v>
      </c>
      <c r="F1813" s="8" t="str">
        <f aca="false">TEXT(A1813,"MM-YYYY")</f>
        <v>05-2025</v>
      </c>
      <c r="G1813" s="8" t="s">
        <v>14</v>
      </c>
      <c r="H1813" s="8" t="s">
        <v>232</v>
      </c>
      <c r="I1813" s="7" t="n">
        <v>45790</v>
      </c>
      <c r="J1813" s="8" t="str">
        <f aca="false">VLOOKUP(B1813,Table3[#All],2,0)</f>
        <v>Staff Expenses</v>
      </c>
      <c r="K1813" s="8" t="str">
        <f aca="false">TEXT(ROW(), "0000")</f>
        <v>1813</v>
      </c>
      <c r="L1813" s="8"/>
    </row>
    <row r="1814" customFormat="false" ht="15.75" hidden="false" customHeight="true" outlineLevel="0" collapsed="false">
      <c r="A1814" s="7" t="n">
        <v>45791</v>
      </c>
      <c r="B1814" s="8" t="s">
        <v>47</v>
      </c>
      <c r="C1814" s="9" t="n">
        <v>840</v>
      </c>
      <c r="D1814" s="8" t="s">
        <v>13</v>
      </c>
      <c r="E1814" s="10" t="s">
        <v>223</v>
      </c>
      <c r="F1814" s="8" t="str">
        <f aca="false">TEXT(A1814,"MM-YYYY")</f>
        <v>05-2025</v>
      </c>
      <c r="G1814" s="8" t="s">
        <v>14</v>
      </c>
      <c r="H1814" s="8" t="s">
        <v>13</v>
      </c>
      <c r="I1814" s="7" t="n">
        <v>45801</v>
      </c>
      <c r="J1814" s="8" t="str">
        <f aca="false">VLOOKUP(B1814,Table3[#All],2,0)</f>
        <v>Inventory</v>
      </c>
      <c r="K1814" s="8" t="str">
        <f aca="false">TEXT(ROW(), "0000")</f>
        <v>1814</v>
      </c>
      <c r="L1814" s="8"/>
    </row>
    <row r="1815" customFormat="false" ht="15.75" hidden="false" customHeight="true" outlineLevel="0" collapsed="false">
      <c r="A1815" s="7" t="n">
        <v>45791</v>
      </c>
      <c r="B1815" s="8" t="s">
        <v>22</v>
      </c>
      <c r="C1815" s="9" t="n">
        <v>1950</v>
      </c>
      <c r="D1815" s="8" t="s">
        <v>13</v>
      </c>
      <c r="E1815" s="10" t="s">
        <v>23</v>
      </c>
      <c r="F1815" s="8" t="str">
        <f aca="false">TEXT(A1815,"MM-YYYY")</f>
        <v>05-2025</v>
      </c>
      <c r="G1815" s="8" t="s">
        <v>14</v>
      </c>
      <c r="H1815" s="8" t="s">
        <v>13</v>
      </c>
      <c r="I1815" s="7" t="n">
        <v>45797</v>
      </c>
      <c r="J1815" s="8" t="str">
        <f aca="false">VLOOKUP(B1815,Table3[#All],2,0)</f>
        <v>Inventory</v>
      </c>
      <c r="K1815" s="8" t="str">
        <f aca="false">TEXT(ROW(), "0000")</f>
        <v>1815</v>
      </c>
      <c r="L1815" s="8"/>
    </row>
    <row r="1816" customFormat="false" ht="15.75" hidden="false" customHeight="true" outlineLevel="0" collapsed="false">
      <c r="A1816" s="7" t="n">
        <v>45791</v>
      </c>
      <c r="B1816" s="8" t="s">
        <v>25</v>
      </c>
      <c r="C1816" s="9" t="n">
        <v>925</v>
      </c>
      <c r="D1816" s="8" t="s">
        <v>13</v>
      </c>
      <c r="E1816" s="10" t="s">
        <v>26</v>
      </c>
      <c r="F1816" s="8" t="str">
        <f aca="false">TEXT(A1816,"MM-YYYY")</f>
        <v>05-2025</v>
      </c>
      <c r="G1816" s="21" t="s">
        <v>14</v>
      </c>
      <c r="H1816" s="8" t="s">
        <v>13</v>
      </c>
      <c r="I1816" s="7" t="n">
        <v>45812</v>
      </c>
      <c r="J1816" s="8" t="str">
        <f aca="false">VLOOKUP(B1816,Table3[#All],2,0)</f>
        <v>Inventory</v>
      </c>
      <c r="K1816" s="8" t="str">
        <f aca="false">TEXT(ROW(), "0000")</f>
        <v>1816</v>
      </c>
      <c r="L1816" s="8"/>
    </row>
    <row r="1817" customFormat="false" ht="15.75" hidden="false" customHeight="true" outlineLevel="0" collapsed="false">
      <c r="A1817" s="7" t="n">
        <v>45791</v>
      </c>
      <c r="B1817" s="8" t="s">
        <v>19</v>
      </c>
      <c r="C1817" s="9" t="n">
        <v>4004</v>
      </c>
      <c r="D1817" s="8" t="s">
        <v>13</v>
      </c>
      <c r="E1817" s="10" t="s">
        <v>20</v>
      </c>
      <c r="F1817" s="8" t="str">
        <f aca="false">TEXT(A1817,"MM-YYYY")</f>
        <v>05-2025</v>
      </c>
      <c r="G1817" s="8" t="s">
        <v>14</v>
      </c>
      <c r="H1817" s="8" t="s">
        <v>13</v>
      </c>
      <c r="I1817" s="7" t="n">
        <v>45797</v>
      </c>
      <c r="J1817" s="8" t="str">
        <f aca="false">VLOOKUP(B1817,Table3[#All],2,0)</f>
        <v>Inventory</v>
      </c>
      <c r="K1817" s="8" t="str">
        <f aca="false">TEXT(ROW(), "0000")</f>
        <v>1817</v>
      </c>
      <c r="L1817" s="8"/>
    </row>
    <row r="1818" customFormat="false" ht="15.75" hidden="false" customHeight="true" outlineLevel="0" collapsed="false">
      <c r="A1818" s="7" t="n">
        <v>45791</v>
      </c>
      <c r="B1818" s="8" t="s">
        <v>255</v>
      </c>
      <c r="C1818" s="9" t="n">
        <v>6000</v>
      </c>
      <c r="D1818" s="8" t="s">
        <v>45</v>
      </c>
      <c r="E1818" s="8" t="s">
        <v>255</v>
      </c>
      <c r="F1818" s="8" t="str">
        <f aca="false">TEXT(A1818,"MM-YYYY")</f>
        <v>05-2025</v>
      </c>
      <c r="G1818" s="8" t="s">
        <v>14</v>
      </c>
      <c r="H1818" s="8" t="s">
        <v>232</v>
      </c>
      <c r="I1818" s="7" t="n">
        <v>45791</v>
      </c>
      <c r="J1818" s="8" t="str">
        <f aca="false">VLOOKUP(B1818,Table3[#All],2,0)</f>
        <v>Grocery</v>
      </c>
      <c r="K1818" s="8" t="str">
        <f aca="false">TEXT(ROW(), "0000")</f>
        <v>1818</v>
      </c>
      <c r="L1818" s="8"/>
    </row>
    <row r="1819" customFormat="false" ht="15.75" hidden="false" customHeight="true" outlineLevel="0" collapsed="false">
      <c r="A1819" s="7" t="n">
        <v>45791</v>
      </c>
      <c r="B1819" s="8" t="s">
        <v>53</v>
      </c>
      <c r="C1819" s="9" t="n">
        <v>585</v>
      </c>
      <c r="D1819" s="8" t="s">
        <v>21</v>
      </c>
      <c r="E1819" s="10" t="s">
        <v>54</v>
      </c>
      <c r="F1819" s="8" t="str">
        <f aca="false">TEXT(A1819,"MM-YYYY")</f>
        <v>05-2025</v>
      </c>
      <c r="G1819" s="8" t="s">
        <v>14</v>
      </c>
      <c r="H1819" s="8" t="s">
        <v>15</v>
      </c>
      <c r="I1819" s="7" t="n">
        <v>45791</v>
      </c>
      <c r="J1819" s="8" t="str">
        <f aca="false">VLOOKUP(B1819,Table3[#All],2,0)</f>
        <v>Grocery</v>
      </c>
      <c r="K1819" s="8" t="str">
        <f aca="false">TEXT(ROW(), "0000")</f>
        <v>1819</v>
      </c>
      <c r="L1819" s="8"/>
    </row>
    <row r="1820" customFormat="false" ht="15.75" hidden="false" customHeight="true" outlineLevel="0" collapsed="false">
      <c r="A1820" s="7" t="n">
        <v>45791</v>
      </c>
      <c r="B1820" s="8" t="s">
        <v>53</v>
      </c>
      <c r="C1820" s="9" t="n">
        <v>900</v>
      </c>
      <c r="D1820" s="8" t="s">
        <v>45</v>
      </c>
      <c r="E1820" s="10" t="s">
        <v>55</v>
      </c>
      <c r="F1820" s="8" t="str">
        <f aca="false">TEXT(A1820,"MM-YYYY")</f>
        <v>05-2025</v>
      </c>
      <c r="G1820" s="8" t="s">
        <v>14</v>
      </c>
      <c r="H1820" s="8" t="s">
        <v>232</v>
      </c>
      <c r="I1820" s="7" t="n">
        <v>45791</v>
      </c>
      <c r="J1820" s="8" t="str">
        <f aca="false">VLOOKUP(B1820,Table3[#All],2,0)</f>
        <v>Grocery</v>
      </c>
      <c r="K1820" s="8" t="str">
        <f aca="false">TEXT(ROW(), "0000")</f>
        <v>1820</v>
      </c>
      <c r="L1820" s="8"/>
    </row>
    <row r="1821" customFormat="false" ht="15.75" hidden="false" customHeight="true" outlineLevel="0" collapsed="false">
      <c r="A1821" s="7" t="n">
        <v>45791</v>
      </c>
      <c r="B1821" s="8" t="s">
        <v>29</v>
      </c>
      <c r="C1821" s="9" t="n">
        <v>193</v>
      </c>
      <c r="D1821" s="8" t="s">
        <v>13</v>
      </c>
      <c r="E1821" s="10" t="s">
        <v>302</v>
      </c>
      <c r="F1821" s="8" t="str">
        <f aca="false">TEXT(A1821,"MM-YYYY")</f>
        <v>05-2025</v>
      </c>
      <c r="G1821" s="8" t="s">
        <v>14</v>
      </c>
      <c r="H1821" s="8" t="s">
        <v>13</v>
      </c>
      <c r="I1821" s="7" t="n">
        <v>45809</v>
      </c>
      <c r="J1821" s="8" t="str">
        <f aca="false">VLOOKUP(B1821,Table3[#All],2,0)</f>
        <v>Inventory</v>
      </c>
      <c r="K1821" s="8" t="str">
        <f aca="false">TEXT(ROW(), "0000")</f>
        <v>1821</v>
      </c>
      <c r="L1821" s="8"/>
    </row>
    <row r="1822" customFormat="false" ht="15.75" hidden="false" customHeight="true" outlineLevel="0" collapsed="false">
      <c r="A1822" s="7" t="n">
        <v>45791</v>
      </c>
      <c r="B1822" s="8" t="s">
        <v>51</v>
      </c>
      <c r="C1822" s="9" t="n">
        <v>2340</v>
      </c>
      <c r="D1822" s="8" t="s">
        <v>13</v>
      </c>
      <c r="E1822" s="10" t="s">
        <v>226</v>
      </c>
      <c r="F1822" s="8" t="str">
        <f aca="false">TEXT(A1822,"MM-YYYY")</f>
        <v>05-2025</v>
      </c>
      <c r="G1822" s="8" t="s">
        <v>14</v>
      </c>
      <c r="H1822" s="8" t="s">
        <v>13</v>
      </c>
      <c r="I1822" s="7" t="n">
        <v>45812</v>
      </c>
      <c r="J1822" s="8" t="str">
        <f aca="false">VLOOKUP(B1822,Table3[#All],2,0)</f>
        <v>Inventory</v>
      </c>
      <c r="K1822" s="8" t="str">
        <f aca="false">TEXT(ROW(), "0000")</f>
        <v>1822</v>
      </c>
      <c r="L1822" s="8"/>
    </row>
    <row r="1823" customFormat="false" ht="15.75" hidden="false" customHeight="true" outlineLevel="0" collapsed="false">
      <c r="A1823" s="7" t="n">
        <v>45791</v>
      </c>
      <c r="B1823" s="8" t="s">
        <v>16</v>
      </c>
      <c r="C1823" s="9" t="n">
        <v>3225</v>
      </c>
      <c r="D1823" s="8" t="s">
        <v>21</v>
      </c>
      <c r="E1823" s="10" t="s">
        <v>88</v>
      </c>
      <c r="F1823" s="8" t="str">
        <f aca="false">TEXT(A1823,"MM-YYYY")</f>
        <v>05-2025</v>
      </c>
      <c r="G1823" s="8"/>
      <c r="H1823" s="8"/>
      <c r="I1823" s="7"/>
      <c r="J1823" s="8" t="str">
        <f aca="false">VLOOKUP(B1823,Table3[#All],2,0)</f>
        <v>Sales</v>
      </c>
      <c r="K1823" s="8" t="str">
        <f aca="false">TEXT(ROW(), "0000")</f>
        <v>1823</v>
      </c>
      <c r="L1823" s="8"/>
    </row>
    <row r="1824" customFormat="false" ht="15.75" hidden="false" customHeight="true" outlineLevel="0" collapsed="false">
      <c r="A1824" s="7" t="n">
        <v>45791</v>
      </c>
      <c r="B1824" s="8" t="s">
        <v>16</v>
      </c>
      <c r="C1824" s="9" t="n">
        <v>1120</v>
      </c>
      <c r="D1824" s="8" t="s">
        <v>27</v>
      </c>
      <c r="E1824" s="10" t="s">
        <v>88</v>
      </c>
      <c r="F1824" s="8" t="str">
        <f aca="false">TEXT(A1824,"MM-YYYY")</f>
        <v>05-2025</v>
      </c>
      <c r="G1824" s="8"/>
      <c r="H1824" s="8"/>
      <c r="I1824" s="7"/>
      <c r="J1824" s="8" t="str">
        <f aca="false">VLOOKUP(B1824,Table3[#All],2,0)</f>
        <v>Sales</v>
      </c>
      <c r="K1824" s="8" t="str">
        <f aca="false">TEXT(ROW(), "0000")</f>
        <v>1824</v>
      </c>
      <c r="L1824" s="8"/>
    </row>
    <row r="1825" customFormat="false" ht="15.75" hidden="false" customHeight="true" outlineLevel="0" collapsed="false">
      <c r="A1825" s="7" t="n">
        <v>45791</v>
      </c>
      <c r="B1825" s="8" t="s">
        <v>16</v>
      </c>
      <c r="C1825" s="9" t="n">
        <v>170</v>
      </c>
      <c r="D1825" s="8" t="s">
        <v>70</v>
      </c>
      <c r="E1825" s="10" t="s">
        <v>204</v>
      </c>
      <c r="F1825" s="8" t="str">
        <f aca="false">TEXT(A1825,"MM-YYYY")</f>
        <v>05-2025</v>
      </c>
      <c r="G1825" s="8"/>
      <c r="H1825" s="8"/>
      <c r="I1825" s="7"/>
      <c r="J1825" s="8" t="str">
        <f aca="false">VLOOKUP(B1825,Table3[#All],2,0)</f>
        <v>Sales</v>
      </c>
      <c r="K1825" s="8" t="str">
        <f aca="false">TEXT(ROW(), "0000")</f>
        <v>1825</v>
      </c>
      <c r="L1825" s="8"/>
    </row>
    <row r="1826" customFormat="false" ht="15.75" hidden="false" customHeight="true" outlineLevel="0" collapsed="false">
      <c r="A1826" s="7" t="n">
        <v>45791</v>
      </c>
      <c r="B1826" s="8" t="s">
        <v>16</v>
      </c>
      <c r="C1826" s="9" t="n">
        <v>5050</v>
      </c>
      <c r="D1826" s="8" t="s">
        <v>33</v>
      </c>
      <c r="E1826" s="10" t="s">
        <v>88</v>
      </c>
      <c r="F1826" s="8" t="str">
        <f aca="false">TEXT(A1826,"MM-YYYY")</f>
        <v>05-2025</v>
      </c>
      <c r="G1826" s="8"/>
      <c r="H1826" s="8"/>
      <c r="I1826" s="7"/>
      <c r="J1826" s="8" t="str">
        <f aca="false">VLOOKUP(B1826,Table3[#All],2,0)</f>
        <v>Sales</v>
      </c>
      <c r="K1826" s="8" t="str">
        <f aca="false">TEXT(ROW(), "0000")</f>
        <v>1826</v>
      </c>
      <c r="L1826" s="8"/>
    </row>
    <row r="1827" customFormat="false" ht="15.75" hidden="false" customHeight="true" outlineLevel="0" collapsed="false">
      <c r="A1827" s="7" t="n">
        <v>45791</v>
      </c>
      <c r="B1827" s="8" t="s">
        <v>16</v>
      </c>
      <c r="C1827" s="9" t="n">
        <v>10134</v>
      </c>
      <c r="D1827" s="8" t="s">
        <v>17</v>
      </c>
      <c r="E1827" s="10" t="s">
        <v>88</v>
      </c>
      <c r="F1827" s="8" t="str">
        <f aca="false">TEXT(A1827,"MM-YYYY")</f>
        <v>05-2025</v>
      </c>
      <c r="G1827" s="8"/>
      <c r="H1827" s="8"/>
      <c r="I1827" s="7"/>
      <c r="J1827" s="8" t="str">
        <f aca="false">VLOOKUP(B1827,Table3[#All],2,0)</f>
        <v>Sales</v>
      </c>
      <c r="K1827" s="8" t="str">
        <f aca="false">TEXT(ROW(), "0000")</f>
        <v>1827</v>
      </c>
      <c r="L1827" s="8"/>
    </row>
    <row r="1828" customFormat="false" ht="15.75" hidden="false" customHeight="true" outlineLevel="0" collapsed="false">
      <c r="A1828" s="7" t="n">
        <v>45791</v>
      </c>
      <c r="B1828" s="8" t="s">
        <v>16</v>
      </c>
      <c r="C1828" s="9" t="n">
        <v>989</v>
      </c>
      <c r="D1828" s="8" t="s">
        <v>24</v>
      </c>
      <c r="E1828" s="10" t="s">
        <v>217</v>
      </c>
      <c r="F1828" s="8" t="str">
        <f aca="false">TEXT(A1828,"MM-YYYY")</f>
        <v>05-2025</v>
      </c>
      <c r="G1828" s="8"/>
      <c r="H1828" s="8"/>
      <c r="I1828" s="7"/>
      <c r="J1828" s="8" t="str">
        <f aca="false">VLOOKUP(B1828,Table3[#All],2,0)</f>
        <v>Sales</v>
      </c>
      <c r="K1828" s="8" t="str">
        <f aca="false">TEXT(ROW(), "0000")</f>
        <v>1828</v>
      </c>
      <c r="L1828" s="8"/>
    </row>
    <row r="1829" customFormat="false" ht="15.75" hidden="false" customHeight="true" outlineLevel="0" collapsed="false">
      <c r="A1829" s="7" t="n">
        <v>45791</v>
      </c>
      <c r="B1829" s="8" t="s">
        <v>34</v>
      </c>
      <c r="C1829" s="9" t="n">
        <v>140</v>
      </c>
      <c r="D1829" s="8" t="s">
        <v>45</v>
      </c>
      <c r="E1829" s="10" t="s">
        <v>267</v>
      </c>
      <c r="F1829" s="8" t="str">
        <f aca="false">TEXT(A1829,"MM-YYYY")</f>
        <v>05-2025</v>
      </c>
      <c r="G1829" s="8" t="s">
        <v>14</v>
      </c>
      <c r="H1829" s="8" t="s">
        <v>232</v>
      </c>
      <c r="I1829" s="7" t="n">
        <v>45791</v>
      </c>
      <c r="J1829" s="8" t="str">
        <f aca="false">VLOOKUP(B1829,Table3[#All],2,0)</f>
        <v>Staff Expenses</v>
      </c>
      <c r="K1829" s="8" t="str">
        <f aca="false">TEXT(ROW(), "0000")</f>
        <v>1829</v>
      </c>
      <c r="L1829" s="8"/>
    </row>
    <row r="1830" customFormat="false" ht="15.75" hidden="false" customHeight="true" outlineLevel="0" collapsed="false">
      <c r="A1830" s="7" t="n">
        <v>45791</v>
      </c>
      <c r="B1830" s="8" t="s">
        <v>44</v>
      </c>
      <c r="C1830" s="9" t="n">
        <v>5000</v>
      </c>
      <c r="D1830" s="8" t="s">
        <v>13</v>
      </c>
      <c r="E1830" s="10" t="s">
        <v>86</v>
      </c>
      <c r="F1830" s="8" t="str">
        <f aca="false">TEXT(A1830,"MM-YYYY")</f>
        <v>05-2025</v>
      </c>
      <c r="G1830" s="8" t="s">
        <v>14</v>
      </c>
      <c r="H1830" s="8" t="s">
        <v>13</v>
      </c>
      <c r="I1830" s="7" t="n">
        <v>45791</v>
      </c>
      <c r="J1830" s="8" t="str">
        <f aca="false">VLOOKUP(B1830, Table3[#All], 2, FALSE())</f>
        <v>Salary</v>
      </c>
      <c r="K1830" s="8" t="str">
        <f aca="false">TEXT(ROW(), "0000")</f>
        <v>1830</v>
      </c>
      <c r="L1830" s="8"/>
    </row>
    <row r="1831" customFormat="false" ht="15.75" hidden="false" customHeight="true" outlineLevel="0" collapsed="false">
      <c r="A1831" s="7" t="n">
        <v>45792</v>
      </c>
      <c r="B1831" s="8" t="s">
        <v>25</v>
      </c>
      <c r="C1831" s="9" t="n">
        <v>1186</v>
      </c>
      <c r="D1831" s="8" t="s">
        <v>13</v>
      </c>
      <c r="E1831" s="10" t="s">
        <v>26</v>
      </c>
      <c r="F1831" s="8" t="str">
        <f aca="false">TEXT(A1831,"MM-YYYY")</f>
        <v>05-2025</v>
      </c>
      <c r="G1831" s="21" t="s">
        <v>14</v>
      </c>
      <c r="H1831" s="8" t="s">
        <v>13</v>
      </c>
      <c r="I1831" s="7" t="n">
        <v>45812</v>
      </c>
      <c r="J1831" s="8" t="str">
        <f aca="false">VLOOKUP(B1831,Table3[#All],2,0)</f>
        <v>Inventory</v>
      </c>
      <c r="K1831" s="8" t="str">
        <f aca="false">TEXT(ROW(), "0000")</f>
        <v>1831</v>
      </c>
      <c r="L1831" s="8"/>
    </row>
    <row r="1832" customFormat="false" ht="15.75" hidden="false" customHeight="true" outlineLevel="0" collapsed="false">
      <c r="A1832" s="7" t="n">
        <v>45792</v>
      </c>
      <c r="B1832" s="8" t="s">
        <v>29</v>
      </c>
      <c r="C1832" s="9" t="n">
        <v>380</v>
      </c>
      <c r="D1832" s="8" t="s">
        <v>13</v>
      </c>
      <c r="E1832" s="10" t="s">
        <v>302</v>
      </c>
      <c r="F1832" s="8" t="str">
        <f aca="false">TEXT(A1832,"MM-YYYY")</f>
        <v>05-2025</v>
      </c>
      <c r="G1832" s="8" t="s">
        <v>14</v>
      </c>
      <c r="H1832" s="8" t="s">
        <v>13</v>
      </c>
      <c r="I1832" s="7" t="n">
        <v>45809</v>
      </c>
      <c r="J1832" s="8" t="str">
        <f aca="false">VLOOKUP(B1832,Table3[#All],2,0)</f>
        <v>Inventory</v>
      </c>
      <c r="K1832" s="8" t="str">
        <f aca="false">TEXT(ROW(), "0000")</f>
        <v>1832</v>
      </c>
      <c r="L1832" s="8"/>
    </row>
    <row r="1833" customFormat="false" ht="15.75" hidden="false" customHeight="true" outlineLevel="0" collapsed="false">
      <c r="A1833" s="7" t="n">
        <v>45792</v>
      </c>
      <c r="B1833" s="8" t="s">
        <v>19</v>
      </c>
      <c r="C1833" s="9" t="n">
        <v>3547</v>
      </c>
      <c r="D1833" s="8" t="s">
        <v>13</v>
      </c>
      <c r="E1833" s="10" t="s">
        <v>20</v>
      </c>
      <c r="F1833" s="8" t="str">
        <f aca="false">TEXT(A1833,"MM-YYYY")</f>
        <v>05-2025</v>
      </c>
      <c r="G1833" s="8" t="s">
        <v>14</v>
      </c>
      <c r="H1833" s="8" t="s">
        <v>13</v>
      </c>
      <c r="I1833" s="7" t="n">
        <v>45797</v>
      </c>
      <c r="J1833" s="8" t="str">
        <f aca="false">VLOOKUP(B1833,Table3[#All],2,0)</f>
        <v>Inventory</v>
      </c>
      <c r="K1833" s="8" t="str">
        <f aca="false">TEXT(ROW(), "0000")</f>
        <v>1833</v>
      </c>
      <c r="L1833" s="8"/>
    </row>
    <row r="1834" customFormat="false" ht="15.75" hidden="false" customHeight="true" outlineLevel="0" collapsed="false">
      <c r="A1834" s="7" t="n">
        <v>45792</v>
      </c>
      <c r="B1834" s="8" t="s">
        <v>22</v>
      </c>
      <c r="C1834" s="9" t="n">
        <v>1650</v>
      </c>
      <c r="D1834" s="8" t="s">
        <v>13</v>
      </c>
      <c r="E1834" s="10" t="s">
        <v>23</v>
      </c>
      <c r="F1834" s="8" t="str">
        <f aca="false">TEXT(A1834,"MM-YYYY")</f>
        <v>05-2025</v>
      </c>
      <c r="G1834" s="8" t="s">
        <v>14</v>
      </c>
      <c r="H1834" s="8" t="s">
        <v>13</v>
      </c>
      <c r="I1834" s="7" t="n">
        <v>45797</v>
      </c>
      <c r="J1834" s="8" t="str">
        <f aca="false">VLOOKUP(B1834,Table3[#All],2,0)</f>
        <v>Inventory</v>
      </c>
      <c r="K1834" s="8" t="str">
        <f aca="false">TEXT(ROW(), "0000")</f>
        <v>1834</v>
      </c>
      <c r="L1834" s="8"/>
    </row>
    <row r="1835" customFormat="false" ht="15.75" hidden="false" customHeight="true" outlineLevel="0" collapsed="false">
      <c r="A1835" s="7" t="n">
        <v>45792</v>
      </c>
      <c r="B1835" s="8" t="s">
        <v>28</v>
      </c>
      <c r="C1835" s="9" t="n">
        <v>840</v>
      </c>
      <c r="D1835" s="8" t="s">
        <v>21</v>
      </c>
      <c r="E1835" s="10" t="s">
        <v>93</v>
      </c>
      <c r="F1835" s="8" t="str">
        <f aca="false">TEXT(A1835,"MM-YYYY")</f>
        <v>05-2025</v>
      </c>
      <c r="G1835" s="8" t="s">
        <v>14</v>
      </c>
      <c r="H1835" s="8" t="s">
        <v>15</v>
      </c>
      <c r="I1835" s="7" t="n">
        <v>45792</v>
      </c>
      <c r="J1835" s="8" t="str">
        <f aca="false">VLOOKUP(B1835,Table3[#All],2,0)</f>
        <v>Grocery</v>
      </c>
      <c r="K1835" s="8" t="str">
        <f aca="false">TEXT(ROW(), "0000")</f>
        <v>1835</v>
      </c>
      <c r="L1835" s="8"/>
    </row>
    <row r="1836" customFormat="false" ht="15.75" hidden="false" customHeight="true" outlineLevel="0" collapsed="false">
      <c r="A1836" s="7" t="n">
        <v>45792</v>
      </c>
      <c r="B1836" s="8" t="s">
        <v>22</v>
      </c>
      <c r="C1836" s="9" t="n">
        <v>130</v>
      </c>
      <c r="D1836" s="8" t="s">
        <v>45</v>
      </c>
      <c r="E1836" s="10" t="s">
        <v>305</v>
      </c>
      <c r="F1836" s="8" t="str">
        <f aca="false">TEXT(A1836,"MM-YYYY")</f>
        <v>05-2025</v>
      </c>
      <c r="G1836" s="8" t="s">
        <v>14</v>
      </c>
      <c r="H1836" s="8" t="s">
        <v>232</v>
      </c>
      <c r="I1836" s="7" t="n">
        <v>45792</v>
      </c>
      <c r="J1836" s="8" t="str">
        <f aca="false">VLOOKUP(B1836,Table3[#All],2,0)</f>
        <v>Inventory</v>
      </c>
      <c r="K1836" s="8" t="str">
        <f aca="false">TEXT(ROW(), "0000")</f>
        <v>1836</v>
      </c>
      <c r="L1836" s="8"/>
    </row>
    <row r="1837" customFormat="false" ht="15.75" hidden="false" customHeight="true" outlineLevel="0" collapsed="false">
      <c r="A1837" s="7" t="n">
        <v>45792</v>
      </c>
      <c r="B1837" s="8" t="s">
        <v>16</v>
      </c>
      <c r="C1837" s="9" t="n">
        <v>1060</v>
      </c>
      <c r="D1837" s="8" t="s">
        <v>21</v>
      </c>
      <c r="E1837" s="10" t="s">
        <v>88</v>
      </c>
      <c r="F1837" s="8" t="str">
        <f aca="false">TEXT(A1837,"MM-YYYY")</f>
        <v>05-2025</v>
      </c>
      <c r="G1837" s="8"/>
      <c r="H1837" s="8"/>
      <c r="I1837" s="7"/>
      <c r="J1837" s="8" t="str">
        <f aca="false">VLOOKUP(B1837,Table3[#All],2,0)</f>
        <v>Sales</v>
      </c>
      <c r="K1837" s="8" t="str">
        <f aca="false">TEXT(ROW(), "0000")</f>
        <v>1837</v>
      </c>
      <c r="L1837" s="8"/>
    </row>
    <row r="1838" customFormat="false" ht="15.75" hidden="false" customHeight="true" outlineLevel="0" collapsed="false">
      <c r="A1838" s="7" t="n">
        <v>45792</v>
      </c>
      <c r="B1838" s="8" t="s">
        <v>16</v>
      </c>
      <c r="C1838" s="9" t="n">
        <v>12093</v>
      </c>
      <c r="D1838" s="8" t="s">
        <v>17</v>
      </c>
      <c r="E1838" s="10" t="s">
        <v>88</v>
      </c>
      <c r="F1838" s="8" t="str">
        <f aca="false">TEXT(A1838,"MM-YYYY")</f>
        <v>05-2025</v>
      </c>
      <c r="G1838" s="8"/>
      <c r="H1838" s="8"/>
      <c r="I1838" s="7"/>
      <c r="J1838" s="8" t="str">
        <f aca="false">VLOOKUP(B1838,Table3[#All],2,0)</f>
        <v>Sales</v>
      </c>
      <c r="K1838" s="8" t="str">
        <f aca="false">TEXT(ROW(), "0000")</f>
        <v>1838</v>
      </c>
      <c r="L1838" s="8"/>
    </row>
    <row r="1839" customFormat="false" ht="15.75" hidden="false" customHeight="true" outlineLevel="0" collapsed="false">
      <c r="A1839" s="7" t="n">
        <v>45792</v>
      </c>
      <c r="B1839" s="8" t="s">
        <v>16</v>
      </c>
      <c r="C1839" s="9" t="n">
        <v>2371</v>
      </c>
      <c r="D1839" s="8" t="s">
        <v>24</v>
      </c>
      <c r="E1839" s="10" t="s">
        <v>217</v>
      </c>
      <c r="F1839" s="8" t="str">
        <f aca="false">TEXT(A1839,"MM-YYYY")</f>
        <v>05-2025</v>
      </c>
      <c r="G1839" s="8"/>
      <c r="H1839" s="8"/>
      <c r="I1839" s="7"/>
      <c r="J1839" s="8" t="str">
        <f aca="false">VLOOKUP(B1839,Table3[#All],2,0)</f>
        <v>Sales</v>
      </c>
      <c r="K1839" s="8" t="str">
        <f aca="false">TEXT(ROW(), "0000")</f>
        <v>1839</v>
      </c>
      <c r="L1839" s="8"/>
    </row>
    <row r="1840" customFormat="false" ht="15.75" hidden="false" customHeight="true" outlineLevel="0" collapsed="false">
      <c r="A1840" s="7" t="n">
        <v>45792</v>
      </c>
      <c r="B1840" s="8" t="s">
        <v>34</v>
      </c>
      <c r="C1840" s="9" t="n">
        <v>140</v>
      </c>
      <c r="D1840" s="8" t="s">
        <v>45</v>
      </c>
      <c r="E1840" s="10" t="s">
        <v>267</v>
      </c>
      <c r="F1840" s="8" t="str">
        <f aca="false">TEXT(A1840,"MM-YYYY")</f>
        <v>05-2025</v>
      </c>
      <c r="G1840" s="8" t="s">
        <v>14</v>
      </c>
      <c r="H1840" s="8" t="s">
        <v>232</v>
      </c>
      <c r="I1840" s="7" t="n">
        <v>45792</v>
      </c>
      <c r="J1840" s="8" t="str">
        <f aca="false">VLOOKUP(B1840,Table3[#All],2,0)</f>
        <v>Staff Expenses</v>
      </c>
      <c r="K1840" s="8" t="str">
        <f aca="false">TEXT(ROW(), "0000")</f>
        <v>1840</v>
      </c>
      <c r="L1840" s="8"/>
    </row>
    <row r="1841" customFormat="false" ht="15.75" hidden="false" customHeight="true" outlineLevel="0" collapsed="false">
      <c r="A1841" s="7" t="n">
        <v>45792</v>
      </c>
      <c r="B1841" s="8" t="s">
        <v>43</v>
      </c>
      <c r="C1841" s="9" t="n">
        <v>100</v>
      </c>
      <c r="D1841" s="8" t="s">
        <v>45</v>
      </c>
      <c r="E1841" s="10" t="s">
        <v>279</v>
      </c>
      <c r="F1841" s="8" t="str">
        <f aca="false">TEXT(A1841,"MM-YYYY")</f>
        <v>05-2025</v>
      </c>
      <c r="G1841" s="8" t="s">
        <v>14</v>
      </c>
      <c r="H1841" s="8" t="s">
        <v>232</v>
      </c>
      <c r="I1841" s="7" t="n">
        <v>45792</v>
      </c>
      <c r="J1841" s="8" t="str">
        <f aca="false">VLOOKUP(B1841,Table3[#All],2,0)</f>
        <v>Maintance</v>
      </c>
      <c r="K1841" s="8" t="str">
        <f aca="false">TEXT(ROW(), "0000")</f>
        <v>1841</v>
      </c>
      <c r="L1841" s="8"/>
    </row>
    <row r="1842" customFormat="false" ht="15.75" hidden="false" customHeight="true" outlineLevel="0" collapsed="false">
      <c r="A1842" s="7" t="n">
        <v>45792</v>
      </c>
      <c r="B1842" s="8" t="s">
        <v>25</v>
      </c>
      <c r="C1842" s="9" t="n">
        <v>1000</v>
      </c>
      <c r="D1842" s="8" t="s">
        <v>45</v>
      </c>
      <c r="E1842" s="10" t="s">
        <v>306</v>
      </c>
      <c r="F1842" s="8" t="str">
        <f aca="false">TEXT(A1842,"MM-YYYY")</f>
        <v>05-2025</v>
      </c>
      <c r="G1842" s="8" t="s">
        <v>14</v>
      </c>
      <c r="H1842" s="8" t="s">
        <v>232</v>
      </c>
      <c r="I1842" s="7" t="n">
        <v>45792</v>
      </c>
      <c r="J1842" s="8" t="str">
        <f aca="false">VLOOKUP(B1842,Table3[#All],2,0)</f>
        <v>Inventory</v>
      </c>
      <c r="K1842" s="8" t="str">
        <f aca="false">TEXT(ROW(), "0000")</f>
        <v>1842</v>
      </c>
      <c r="L1842" s="8"/>
    </row>
    <row r="1843" customFormat="false" ht="15.75" hidden="false" customHeight="true" outlineLevel="0" collapsed="false">
      <c r="A1843" s="7" t="n">
        <v>45793</v>
      </c>
      <c r="B1843" s="8" t="s">
        <v>47</v>
      </c>
      <c r="C1843" s="9" t="n">
        <v>1680</v>
      </c>
      <c r="D1843" s="8" t="s">
        <v>13</v>
      </c>
      <c r="E1843" s="10" t="s">
        <v>223</v>
      </c>
      <c r="F1843" s="8" t="str">
        <f aca="false">TEXT(A1843,"MM-YYYY")</f>
        <v>05-2025</v>
      </c>
      <c r="G1843" s="8" t="s">
        <v>14</v>
      </c>
      <c r="H1843" s="8" t="s">
        <v>13</v>
      </c>
      <c r="I1843" s="7" t="n">
        <v>45801</v>
      </c>
      <c r="J1843" s="8" t="str">
        <f aca="false">VLOOKUP(B1843,Table3[#All],2,0)</f>
        <v>Inventory</v>
      </c>
      <c r="K1843" s="8" t="str">
        <f aca="false">TEXT(ROW(), "0000")</f>
        <v>1843</v>
      </c>
      <c r="L1843" s="8"/>
    </row>
    <row r="1844" customFormat="false" ht="15.75" hidden="false" customHeight="true" outlineLevel="0" collapsed="false">
      <c r="A1844" s="7" t="n">
        <v>45793</v>
      </c>
      <c r="B1844" s="8" t="s">
        <v>25</v>
      </c>
      <c r="C1844" s="9" t="n">
        <v>491</v>
      </c>
      <c r="D1844" s="8" t="s">
        <v>13</v>
      </c>
      <c r="E1844" s="10" t="s">
        <v>26</v>
      </c>
      <c r="F1844" s="8" t="str">
        <f aca="false">TEXT(A1844,"MM-YYYY")</f>
        <v>05-2025</v>
      </c>
      <c r="G1844" s="21" t="s">
        <v>14</v>
      </c>
      <c r="H1844" s="8" t="s">
        <v>13</v>
      </c>
      <c r="I1844" s="7" t="n">
        <v>45812</v>
      </c>
      <c r="J1844" s="8" t="str">
        <f aca="false">VLOOKUP(B1844,Table3[#All],2,0)</f>
        <v>Inventory</v>
      </c>
      <c r="K1844" s="8" t="str">
        <f aca="false">TEXT(ROW(), "0000")</f>
        <v>1844</v>
      </c>
      <c r="L1844" s="8"/>
    </row>
    <row r="1845" customFormat="false" ht="15.75" hidden="false" customHeight="true" outlineLevel="0" collapsed="false">
      <c r="A1845" s="7" t="n">
        <v>45793</v>
      </c>
      <c r="B1845" s="8" t="s">
        <v>19</v>
      </c>
      <c r="C1845" s="9" t="n">
        <v>2178</v>
      </c>
      <c r="D1845" s="8" t="s">
        <v>13</v>
      </c>
      <c r="E1845" s="10" t="s">
        <v>20</v>
      </c>
      <c r="F1845" s="8" t="str">
        <f aca="false">TEXT(A1845,"MM-YYYY")</f>
        <v>05-2025</v>
      </c>
      <c r="G1845" s="8" t="s">
        <v>14</v>
      </c>
      <c r="H1845" s="8" t="s">
        <v>13</v>
      </c>
      <c r="I1845" s="7" t="n">
        <v>45797</v>
      </c>
      <c r="J1845" s="8" t="str">
        <f aca="false">VLOOKUP(B1845,Table3[#All],2,0)</f>
        <v>Inventory</v>
      </c>
      <c r="K1845" s="8" t="str">
        <f aca="false">TEXT(ROW(), "0000")</f>
        <v>1845</v>
      </c>
      <c r="L1845" s="8"/>
    </row>
    <row r="1846" customFormat="false" ht="15.75" hidden="false" customHeight="true" outlineLevel="0" collapsed="false">
      <c r="A1846" s="7" t="n">
        <v>45793</v>
      </c>
      <c r="B1846" s="8" t="s">
        <v>50</v>
      </c>
      <c r="C1846" s="9" t="n">
        <v>1760</v>
      </c>
      <c r="D1846" s="8" t="s">
        <v>13</v>
      </c>
      <c r="E1846" s="10" t="s">
        <v>263</v>
      </c>
      <c r="F1846" s="8" t="str">
        <f aca="false">TEXT(A1846,"MM-YYYY")</f>
        <v>05-2025</v>
      </c>
      <c r="G1846" s="8" t="s">
        <v>14</v>
      </c>
      <c r="H1846" s="8" t="s">
        <v>13</v>
      </c>
      <c r="I1846" s="7" t="n">
        <v>45799</v>
      </c>
      <c r="J1846" s="8" t="str">
        <f aca="false">VLOOKUP(B1846,Table3[#All],2,0)</f>
        <v>Fixed Maintance</v>
      </c>
      <c r="K1846" s="8" t="str">
        <f aca="false">TEXT(ROW(), "0000")</f>
        <v>1846</v>
      </c>
      <c r="L1846" s="8"/>
    </row>
    <row r="1847" customFormat="false" ht="15.75" hidden="false" customHeight="true" outlineLevel="0" collapsed="false">
      <c r="A1847" s="7" t="n">
        <v>45793</v>
      </c>
      <c r="B1847" s="8" t="s">
        <v>29</v>
      </c>
      <c r="C1847" s="9" t="n">
        <v>318</v>
      </c>
      <c r="D1847" s="8" t="s">
        <v>13</v>
      </c>
      <c r="E1847" s="10" t="s">
        <v>302</v>
      </c>
      <c r="F1847" s="8" t="str">
        <f aca="false">TEXT(A1847,"MM-YYYY")</f>
        <v>05-2025</v>
      </c>
      <c r="G1847" s="8" t="s">
        <v>14</v>
      </c>
      <c r="H1847" s="8" t="s">
        <v>13</v>
      </c>
      <c r="I1847" s="7" t="n">
        <v>45809</v>
      </c>
      <c r="J1847" s="8" t="str">
        <f aca="false">VLOOKUP(B1847,Table3[#All],2,0)</f>
        <v>Inventory</v>
      </c>
      <c r="K1847" s="8" t="str">
        <f aca="false">TEXT(ROW(), "0000")</f>
        <v>1847</v>
      </c>
      <c r="L1847" s="8"/>
    </row>
    <row r="1848" customFormat="false" ht="15.75" hidden="false" customHeight="true" outlineLevel="0" collapsed="false">
      <c r="A1848" s="7" t="n">
        <v>45793</v>
      </c>
      <c r="B1848" s="8" t="s">
        <v>43</v>
      </c>
      <c r="C1848" s="9" t="n">
        <v>5350</v>
      </c>
      <c r="D1848" s="8" t="s">
        <v>45</v>
      </c>
      <c r="E1848" s="10" t="s">
        <v>307</v>
      </c>
      <c r="F1848" s="8" t="str">
        <f aca="false">TEXT(A1848,"MM-YYYY")</f>
        <v>05-2025</v>
      </c>
      <c r="G1848" s="8" t="s">
        <v>14</v>
      </c>
      <c r="H1848" s="8" t="s">
        <v>232</v>
      </c>
      <c r="I1848" s="7" t="n">
        <v>45793</v>
      </c>
      <c r="J1848" s="8" t="str">
        <f aca="false">VLOOKUP(B1848,Table3[#All],2,0)</f>
        <v>Maintance</v>
      </c>
      <c r="K1848" s="8" t="str">
        <f aca="false">TEXT(ROW(), "0000")</f>
        <v>1848</v>
      </c>
      <c r="L1848" s="8"/>
    </row>
    <row r="1849" customFormat="false" ht="15.75" hidden="false" customHeight="true" outlineLevel="0" collapsed="false">
      <c r="A1849" s="7" t="n">
        <v>45793</v>
      </c>
      <c r="B1849" s="8" t="s">
        <v>31</v>
      </c>
      <c r="C1849" s="9" t="n">
        <v>1300</v>
      </c>
      <c r="D1849" s="8" t="s">
        <v>45</v>
      </c>
      <c r="E1849" s="10" t="s">
        <v>308</v>
      </c>
      <c r="F1849" s="8" t="str">
        <f aca="false">TEXT(A1849,"MM-YYYY")</f>
        <v>05-2025</v>
      </c>
      <c r="G1849" s="8" t="s">
        <v>14</v>
      </c>
      <c r="H1849" s="8" t="s">
        <v>232</v>
      </c>
      <c r="I1849" s="7" t="n">
        <v>45793</v>
      </c>
      <c r="J1849" s="8" t="str">
        <f aca="false">VLOOKUP(B1849,Table3[#All],2,0)</f>
        <v>Bike Maintance</v>
      </c>
      <c r="K1849" s="8" t="str">
        <f aca="false">TEXT(ROW(), "0000")</f>
        <v>1849</v>
      </c>
      <c r="L1849" s="8"/>
    </row>
    <row r="1850" customFormat="false" ht="15.75" hidden="false" customHeight="true" outlineLevel="0" collapsed="false">
      <c r="A1850" s="7" t="n">
        <v>45793</v>
      </c>
      <c r="B1850" s="8" t="s">
        <v>16</v>
      </c>
      <c r="C1850" s="9" t="n">
        <v>580</v>
      </c>
      <c r="D1850" s="8" t="s">
        <v>21</v>
      </c>
      <c r="E1850" s="10" t="s">
        <v>88</v>
      </c>
      <c r="F1850" s="8" t="str">
        <f aca="false">TEXT(A1850,"MM-YYYY")</f>
        <v>05-2025</v>
      </c>
      <c r="G1850" s="8"/>
      <c r="H1850" s="8"/>
      <c r="I1850" s="7"/>
      <c r="J1850" s="8" t="str">
        <f aca="false">VLOOKUP(B1850,Table3[#All],2,0)</f>
        <v>Sales</v>
      </c>
      <c r="K1850" s="8" t="str">
        <f aca="false">TEXT(ROW(), "0000")</f>
        <v>1850</v>
      </c>
      <c r="L1850" s="8"/>
    </row>
    <row r="1851" customFormat="false" ht="15.75" hidden="false" customHeight="true" outlineLevel="0" collapsed="false">
      <c r="A1851" s="7" t="n">
        <v>45793</v>
      </c>
      <c r="B1851" s="8" t="s">
        <v>16</v>
      </c>
      <c r="C1851" s="9" t="n">
        <v>3920</v>
      </c>
      <c r="D1851" s="8" t="s">
        <v>27</v>
      </c>
      <c r="E1851" s="10" t="s">
        <v>88</v>
      </c>
      <c r="F1851" s="8" t="str">
        <f aca="false">TEXT(A1851,"MM-YYYY")</f>
        <v>05-2025</v>
      </c>
      <c r="G1851" s="8"/>
      <c r="H1851" s="8"/>
      <c r="I1851" s="7"/>
      <c r="J1851" s="8" t="str">
        <f aca="false">VLOOKUP(B1851,Table3[#All],2,0)</f>
        <v>Sales</v>
      </c>
      <c r="K1851" s="8" t="str">
        <f aca="false">TEXT(ROW(), "0000")</f>
        <v>1851</v>
      </c>
      <c r="L1851" s="8"/>
    </row>
    <row r="1852" customFormat="false" ht="15.75" hidden="false" customHeight="true" outlineLevel="0" collapsed="false">
      <c r="A1852" s="7" t="n">
        <v>45793</v>
      </c>
      <c r="B1852" s="8" t="s">
        <v>16</v>
      </c>
      <c r="C1852" s="9" t="n">
        <v>200</v>
      </c>
      <c r="D1852" s="8" t="s">
        <v>33</v>
      </c>
      <c r="E1852" s="10" t="s">
        <v>88</v>
      </c>
      <c r="F1852" s="8" t="str">
        <f aca="false">TEXT(A1852,"MM-YYYY")</f>
        <v>05-2025</v>
      </c>
      <c r="G1852" s="8"/>
      <c r="H1852" s="8"/>
      <c r="I1852" s="7"/>
      <c r="J1852" s="8" t="str">
        <f aca="false">VLOOKUP(B1852,Table3[#All],2,0)</f>
        <v>Sales</v>
      </c>
      <c r="K1852" s="8" t="str">
        <f aca="false">TEXT(ROW(), "0000")</f>
        <v>1852</v>
      </c>
      <c r="L1852" s="8"/>
    </row>
    <row r="1853" customFormat="false" ht="15.75" hidden="false" customHeight="true" outlineLevel="0" collapsed="false">
      <c r="A1853" s="7" t="n">
        <v>45793</v>
      </c>
      <c r="B1853" s="8" t="s">
        <v>16</v>
      </c>
      <c r="C1853" s="9" t="n">
        <v>11024</v>
      </c>
      <c r="D1853" s="8" t="s">
        <v>17</v>
      </c>
      <c r="E1853" s="10" t="s">
        <v>88</v>
      </c>
      <c r="F1853" s="8" t="str">
        <f aca="false">TEXT(A1853,"MM-YYYY")</f>
        <v>05-2025</v>
      </c>
      <c r="G1853" s="8"/>
      <c r="H1853" s="8"/>
      <c r="I1853" s="7"/>
      <c r="J1853" s="8" t="str">
        <f aca="false">VLOOKUP(B1853,Table3[#All],2,0)</f>
        <v>Sales</v>
      </c>
      <c r="K1853" s="8" t="str">
        <f aca="false">TEXT(ROW(), "0000")</f>
        <v>1853</v>
      </c>
      <c r="L1853" s="8"/>
    </row>
    <row r="1854" customFormat="false" ht="15.75" hidden="false" customHeight="true" outlineLevel="0" collapsed="false">
      <c r="A1854" s="7" t="n">
        <v>45793</v>
      </c>
      <c r="B1854" s="8" t="s">
        <v>16</v>
      </c>
      <c r="C1854" s="9" t="n">
        <v>4511</v>
      </c>
      <c r="D1854" s="8" t="s">
        <v>24</v>
      </c>
      <c r="E1854" s="10" t="s">
        <v>217</v>
      </c>
      <c r="F1854" s="8" t="str">
        <f aca="false">TEXT(A1854,"MM-YYYY")</f>
        <v>05-2025</v>
      </c>
      <c r="G1854" s="8"/>
      <c r="H1854" s="8"/>
      <c r="I1854" s="7"/>
      <c r="J1854" s="8" t="str">
        <f aca="false">VLOOKUP(B1854,Table3[#All],2,0)</f>
        <v>Sales</v>
      </c>
      <c r="K1854" s="8" t="str">
        <f aca="false">TEXT(ROW(), "0000")</f>
        <v>1854</v>
      </c>
      <c r="L1854" s="8"/>
    </row>
    <row r="1855" customFormat="false" ht="15.75" hidden="false" customHeight="true" outlineLevel="0" collapsed="false">
      <c r="A1855" s="7" t="n">
        <v>45793</v>
      </c>
      <c r="B1855" s="8" t="s">
        <v>29</v>
      </c>
      <c r="C1855" s="9" t="n">
        <v>30</v>
      </c>
      <c r="D1855" s="8" t="s">
        <v>21</v>
      </c>
      <c r="E1855" s="10" t="s">
        <v>194</v>
      </c>
      <c r="F1855" s="8" t="str">
        <f aca="false">TEXT(A1855,"MM-YYYY")</f>
        <v>05-2025</v>
      </c>
      <c r="G1855" s="8" t="s">
        <v>14</v>
      </c>
      <c r="H1855" s="8" t="s">
        <v>15</v>
      </c>
      <c r="I1855" s="7" t="n">
        <v>45793</v>
      </c>
      <c r="J1855" s="8" t="str">
        <f aca="false">VLOOKUP(B1855,Table3[#All],2,0)</f>
        <v>Inventory</v>
      </c>
      <c r="K1855" s="8" t="str">
        <f aca="false">TEXT(ROW(), "0000")</f>
        <v>1855</v>
      </c>
      <c r="L1855" s="8"/>
    </row>
    <row r="1856" customFormat="false" ht="15.75" hidden="false" customHeight="true" outlineLevel="0" collapsed="false">
      <c r="A1856" s="7" t="n">
        <v>45793</v>
      </c>
      <c r="B1856" s="8" t="s">
        <v>34</v>
      </c>
      <c r="C1856" s="9" t="n">
        <v>150</v>
      </c>
      <c r="D1856" s="8" t="s">
        <v>45</v>
      </c>
      <c r="E1856" s="10" t="s">
        <v>267</v>
      </c>
      <c r="F1856" s="8" t="str">
        <f aca="false">TEXT(A1856,"MM-YYYY")</f>
        <v>05-2025</v>
      </c>
      <c r="G1856" s="8" t="s">
        <v>14</v>
      </c>
      <c r="H1856" s="8" t="s">
        <v>232</v>
      </c>
      <c r="I1856" s="7" t="n">
        <v>45793</v>
      </c>
      <c r="J1856" s="8" t="str">
        <f aca="false">VLOOKUP(B1856,Table3[#All],2,0)</f>
        <v>Staff Expenses</v>
      </c>
      <c r="K1856" s="8" t="str">
        <f aca="false">TEXT(ROW(), "0000")</f>
        <v>1856</v>
      </c>
      <c r="L1856" s="8"/>
    </row>
    <row r="1857" customFormat="false" ht="15.75" hidden="false" customHeight="true" outlineLevel="0" collapsed="false">
      <c r="A1857" s="7" t="n">
        <v>45794</v>
      </c>
      <c r="B1857" s="8" t="s">
        <v>19</v>
      </c>
      <c r="C1857" s="9" t="n">
        <v>5502</v>
      </c>
      <c r="D1857" s="8" t="s">
        <v>13</v>
      </c>
      <c r="E1857" s="10" t="s">
        <v>20</v>
      </c>
      <c r="F1857" s="8" t="str">
        <f aca="false">TEXT(A1857,"MM-YYYY")</f>
        <v>05-2025</v>
      </c>
      <c r="G1857" s="8" t="s">
        <v>14</v>
      </c>
      <c r="H1857" s="8" t="s">
        <v>13</v>
      </c>
      <c r="I1857" s="7" t="n">
        <v>45803</v>
      </c>
      <c r="J1857" s="8" t="str">
        <f aca="false">VLOOKUP(B1857,Table3[#All],2,0)</f>
        <v>Inventory</v>
      </c>
      <c r="K1857" s="8" t="str">
        <f aca="false">TEXT(ROW(), "0000")</f>
        <v>1857</v>
      </c>
      <c r="L1857" s="8"/>
    </row>
    <row r="1858" customFormat="false" ht="15.75" hidden="false" customHeight="true" outlineLevel="0" collapsed="false">
      <c r="A1858" s="7" t="n">
        <v>45794</v>
      </c>
      <c r="B1858" s="8" t="s">
        <v>25</v>
      </c>
      <c r="C1858" s="9" t="n">
        <v>955</v>
      </c>
      <c r="D1858" s="8" t="s">
        <v>13</v>
      </c>
      <c r="E1858" s="10" t="s">
        <v>26</v>
      </c>
      <c r="F1858" s="8" t="str">
        <f aca="false">TEXT(A1858,"MM-YYYY")</f>
        <v>05-2025</v>
      </c>
      <c r="G1858" s="21" t="s">
        <v>14</v>
      </c>
      <c r="H1858" s="8" t="s">
        <v>13</v>
      </c>
      <c r="I1858" s="7" t="n">
        <v>45812</v>
      </c>
      <c r="J1858" s="8" t="str">
        <f aca="false">VLOOKUP(B1858,Table3[#All],2,0)</f>
        <v>Inventory</v>
      </c>
      <c r="K1858" s="8" t="str">
        <f aca="false">TEXT(ROW(), "0000")</f>
        <v>1858</v>
      </c>
      <c r="L1858" s="8"/>
    </row>
    <row r="1859" customFormat="false" ht="15.75" hidden="false" customHeight="true" outlineLevel="0" collapsed="false">
      <c r="A1859" s="7" t="n">
        <v>45794</v>
      </c>
      <c r="B1859" s="8" t="s">
        <v>29</v>
      </c>
      <c r="C1859" s="9" t="n">
        <v>451</v>
      </c>
      <c r="D1859" s="8" t="s">
        <v>13</v>
      </c>
      <c r="E1859" s="10" t="s">
        <v>302</v>
      </c>
      <c r="F1859" s="8" t="str">
        <f aca="false">TEXT(A1859,"MM-YYYY")</f>
        <v>05-2025</v>
      </c>
      <c r="G1859" s="8" t="s">
        <v>14</v>
      </c>
      <c r="H1859" s="8" t="s">
        <v>13</v>
      </c>
      <c r="I1859" s="7" t="n">
        <v>45809</v>
      </c>
      <c r="J1859" s="8" t="str">
        <f aca="false">VLOOKUP(B1859,Table3[#All],2,0)</f>
        <v>Inventory</v>
      </c>
      <c r="K1859" s="8" t="str">
        <f aca="false">TEXT(ROW(), "0000")</f>
        <v>1859</v>
      </c>
      <c r="L1859" s="8"/>
    </row>
    <row r="1860" customFormat="false" ht="15.75" hidden="false" customHeight="true" outlineLevel="0" collapsed="false">
      <c r="A1860" s="7" t="n">
        <v>45794</v>
      </c>
      <c r="B1860" s="8" t="s">
        <v>47</v>
      </c>
      <c r="C1860" s="9" t="n">
        <v>840</v>
      </c>
      <c r="D1860" s="8" t="s">
        <v>13</v>
      </c>
      <c r="E1860" s="10" t="s">
        <v>223</v>
      </c>
      <c r="F1860" s="8" t="str">
        <f aca="false">TEXT(A1860,"MM-YYYY")</f>
        <v>05-2025</v>
      </c>
      <c r="G1860" s="8" t="s">
        <v>14</v>
      </c>
      <c r="H1860" s="8" t="s">
        <v>13</v>
      </c>
      <c r="I1860" s="7" t="n">
        <v>45801</v>
      </c>
      <c r="J1860" s="8" t="str">
        <f aca="false">VLOOKUP(B1860,Table3[#All],2,0)</f>
        <v>Inventory</v>
      </c>
      <c r="K1860" s="8" t="str">
        <f aca="false">TEXT(ROW(), "0000")</f>
        <v>1860</v>
      </c>
      <c r="L1860" s="8"/>
    </row>
    <row r="1861" customFormat="false" ht="15.75" hidden="false" customHeight="true" outlineLevel="0" collapsed="false">
      <c r="A1861" s="7" t="n">
        <v>45794</v>
      </c>
      <c r="B1861" s="8" t="s">
        <v>22</v>
      </c>
      <c r="C1861" s="9" t="n">
        <v>2329</v>
      </c>
      <c r="D1861" s="8" t="s">
        <v>13</v>
      </c>
      <c r="E1861" s="10" t="s">
        <v>23</v>
      </c>
      <c r="F1861" s="8" t="str">
        <f aca="false">TEXT(A1861,"MM-YYYY")</f>
        <v>05-2025</v>
      </c>
      <c r="G1861" s="8" t="s">
        <v>14</v>
      </c>
      <c r="H1861" s="8" t="s">
        <v>13</v>
      </c>
      <c r="I1861" s="7" t="n">
        <v>45802</v>
      </c>
      <c r="J1861" s="8" t="str">
        <f aca="false">VLOOKUP(B1861, Table3[#All], 2, FALSE())</f>
        <v>Inventory</v>
      </c>
      <c r="K1861" s="8" t="str">
        <f aca="false">TEXT(ROW(), "0000")</f>
        <v>1861</v>
      </c>
      <c r="L1861" s="8"/>
    </row>
    <row r="1862" customFormat="false" ht="15.75" hidden="false" customHeight="true" outlineLevel="0" collapsed="false">
      <c r="A1862" s="7" t="n">
        <v>45794</v>
      </c>
      <c r="B1862" s="8" t="s">
        <v>32</v>
      </c>
      <c r="C1862" s="9" t="n">
        <v>280</v>
      </c>
      <c r="D1862" s="8" t="s">
        <v>21</v>
      </c>
      <c r="E1862" s="10" t="s">
        <v>38</v>
      </c>
      <c r="F1862" s="8" t="str">
        <f aca="false">TEXT(A1862,"MM-YYYY")</f>
        <v>05-2025</v>
      </c>
      <c r="G1862" s="8" t="s">
        <v>14</v>
      </c>
      <c r="H1862" s="8" t="s">
        <v>15</v>
      </c>
      <c r="I1862" s="7" t="n">
        <v>45794</v>
      </c>
      <c r="J1862" s="8" t="str">
        <f aca="false">VLOOKUP(B1862, Table3[#All], 2, FALSE())</f>
        <v>Grocery</v>
      </c>
      <c r="K1862" s="8" t="str">
        <f aca="false">TEXT(ROW(), "0000")</f>
        <v>1862</v>
      </c>
      <c r="L1862" s="8"/>
    </row>
    <row r="1863" customFormat="false" ht="15.75" hidden="false" customHeight="true" outlineLevel="0" collapsed="false">
      <c r="A1863" s="7" t="n">
        <v>45794</v>
      </c>
      <c r="B1863" s="8" t="s">
        <v>53</v>
      </c>
      <c r="C1863" s="9" t="n">
        <v>585</v>
      </c>
      <c r="D1863" s="8" t="s">
        <v>21</v>
      </c>
      <c r="E1863" s="10" t="s">
        <v>54</v>
      </c>
      <c r="F1863" s="8" t="str">
        <f aca="false">TEXT(A1863,"MM-YYYY")</f>
        <v>05-2025</v>
      </c>
      <c r="G1863" s="8" t="s">
        <v>14</v>
      </c>
      <c r="H1863" s="8" t="s">
        <v>15</v>
      </c>
      <c r="I1863" s="7" t="n">
        <v>45794</v>
      </c>
      <c r="J1863" s="8" t="str">
        <f aca="false">VLOOKUP(B1863, Table3[#All], 2, FALSE())</f>
        <v>Grocery</v>
      </c>
      <c r="K1863" s="8" t="str">
        <f aca="false">TEXT(ROW(), "0000")</f>
        <v>1863</v>
      </c>
      <c r="L1863" s="8"/>
    </row>
    <row r="1864" customFormat="false" ht="15.75" hidden="false" customHeight="true" outlineLevel="0" collapsed="false">
      <c r="A1864" s="7" t="n">
        <v>45794</v>
      </c>
      <c r="B1864" s="8" t="s">
        <v>29</v>
      </c>
      <c r="C1864" s="9" t="n">
        <v>670</v>
      </c>
      <c r="D1864" s="8" t="s">
        <v>45</v>
      </c>
      <c r="E1864" s="10" t="s">
        <v>78</v>
      </c>
      <c r="F1864" s="8" t="str">
        <f aca="false">TEXT(A1864,"MM-YYYY")</f>
        <v>05-2025</v>
      </c>
      <c r="G1864" s="8" t="s">
        <v>14</v>
      </c>
      <c r="H1864" s="8" t="s">
        <v>232</v>
      </c>
      <c r="I1864" s="7" t="n">
        <v>45794</v>
      </c>
      <c r="J1864" s="8" t="str">
        <f aca="false">VLOOKUP(B1864, Table3[#All], 2, FALSE())</f>
        <v>Inventory</v>
      </c>
      <c r="K1864" s="8" t="str">
        <f aca="false">TEXT(ROW(), "0000")</f>
        <v>1864</v>
      </c>
      <c r="L1864" s="8"/>
    </row>
    <row r="1865" customFormat="false" ht="15.75" hidden="false" customHeight="true" outlineLevel="0" collapsed="false">
      <c r="A1865" s="7" t="n">
        <v>45794</v>
      </c>
      <c r="B1865" s="8" t="s">
        <v>43</v>
      </c>
      <c r="C1865" s="9" t="n">
        <v>300</v>
      </c>
      <c r="D1865" s="8" t="s">
        <v>45</v>
      </c>
      <c r="E1865" s="10" t="s">
        <v>309</v>
      </c>
      <c r="F1865" s="8" t="str">
        <f aca="false">TEXT(A1865,"MM-YYYY")</f>
        <v>05-2025</v>
      </c>
      <c r="G1865" s="8" t="s">
        <v>14</v>
      </c>
      <c r="H1865" s="8" t="s">
        <v>232</v>
      </c>
      <c r="I1865" s="7" t="n">
        <v>45794</v>
      </c>
      <c r="J1865" s="8" t="str">
        <f aca="false">VLOOKUP(B1865, Table3[#All], 2, FALSE())</f>
        <v>Maintance</v>
      </c>
      <c r="K1865" s="8" t="str">
        <f aca="false">TEXT(ROW(), "0000")</f>
        <v>1865</v>
      </c>
      <c r="L1865" s="8"/>
    </row>
    <row r="1866" customFormat="false" ht="15.75" hidden="false" customHeight="true" outlineLevel="0" collapsed="false">
      <c r="A1866" s="7" t="n">
        <v>45794</v>
      </c>
      <c r="B1866" s="8" t="s">
        <v>16</v>
      </c>
      <c r="C1866" s="9" t="n">
        <v>5435</v>
      </c>
      <c r="D1866" s="8" t="s">
        <v>21</v>
      </c>
      <c r="E1866" s="10" t="s">
        <v>88</v>
      </c>
      <c r="F1866" s="8" t="str">
        <f aca="false">TEXT(A1866,"MM-YYYY")</f>
        <v>05-2025</v>
      </c>
      <c r="G1866" s="8"/>
      <c r="H1866" s="8"/>
      <c r="I1866" s="7"/>
      <c r="J1866" s="8" t="str">
        <f aca="false">VLOOKUP(B1866, Table3[#All], 2, FALSE())</f>
        <v>Sales</v>
      </c>
      <c r="K1866" s="8" t="str">
        <f aca="false">TEXT(ROW(), "0000")</f>
        <v>1866</v>
      </c>
      <c r="L1866" s="8"/>
    </row>
    <row r="1867" customFormat="false" ht="15.75" hidden="false" customHeight="true" outlineLevel="0" collapsed="false">
      <c r="A1867" s="7" t="n">
        <v>45794</v>
      </c>
      <c r="B1867" s="8" t="s">
        <v>16</v>
      </c>
      <c r="C1867" s="9" t="n">
        <v>400</v>
      </c>
      <c r="D1867" s="8" t="s">
        <v>33</v>
      </c>
      <c r="E1867" s="10" t="s">
        <v>88</v>
      </c>
      <c r="F1867" s="8" t="str">
        <f aca="false">TEXT(A1867,"MM-YYYY")</f>
        <v>05-2025</v>
      </c>
      <c r="G1867" s="8"/>
      <c r="H1867" s="8"/>
      <c r="I1867" s="7"/>
      <c r="J1867" s="8" t="str">
        <f aca="false">VLOOKUP(B1867, Table3[#All], 2, FALSE())</f>
        <v>Sales</v>
      </c>
      <c r="K1867" s="8" t="str">
        <f aca="false">TEXT(ROW(), "0000")</f>
        <v>1867</v>
      </c>
      <c r="L1867" s="8"/>
    </row>
    <row r="1868" customFormat="false" ht="15.75" hidden="false" customHeight="true" outlineLevel="0" collapsed="false">
      <c r="A1868" s="7" t="n">
        <v>45794</v>
      </c>
      <c r="B1868" s="8" t="s">
        <v>16</v>
      </c>
      <c r="C1868" s="9" t="n">
        <v>10959</v>
      </c>
      <c r="D1868" s="8" t="s">
        <v>17</v>
      </c>
      <c r="E1868" s="10" t="s">
        <v>88</v>
      </c>
      <c r="F1868" s="8" t="str">
        <f aca="false">TEXT(A1868,"MM-YYYY")</f>
        <v>05-2025</v>
      </c>
      <c r="G1868" s="8"/>
      <c r="H1868" s="8"/>
      <c r="I1868" s="7"/>
      <c r="J1868" s="8" t="str">
        <f aca="false">VLOOKUP(B1868, Table3[#All], 2, FALSE())</f>
        <v>Sales</v>
      </c>
      <c r="K1868" s="8" t="str">
        <f aca="false">TEXT(ROW(), "0000")</f>
        <v>1868</v>
      </c>
      <c r="L1868" s="8"/>
    </row>
    <row r="1869" customFormat="false" ht="15.75" hidden="false" customHeight="true" outlineLevel="0" collapsed="false">
      <c r="A1869" s="7" t="n">
        <v>45794</v>
      </c>
      <c r="B1869" s="8" t="s">
        <v>16</v>
      </c>
      <c r="C1869" s="9" t="n">
        <v>500</v>
      </c>
      <c r="D1869" s="8" t="s">
        <v>59</v>
      </c>
      <c r="E1869" s="10" t="s">
        <v>88</v>
      </c>
      <c r="F1869" s="8" t="str">
        <f aca="false">TEXT(A1869,"MM-YYYY")</f>
        <v>05-2025</v>
      </c>
      <c r="G1869" s="8"/>
      <c r="H1869" s="8"/>
      <c r="I1869" s="7"/>
      <c r="J1869" s="8" t="str">
        <f aca="false">VLOOKUP(B1869, Table3[#All], 2, FALSE())</f>
        <v>Sales</v>
      </c>
      <c r="K1869" s="8" t="str">
        <f aca="false">TEXT(ROW(), "0000")</f>
        <v>1869</v>
      </c>
      <c r="L1869" s="8"/>
    </row>
    <row r="1870" customFormat="false" ht="15.75" hidden="false" customHeight="true" outlineLevel="0" collapsed="false">
      <c r="A1870" s="7" t="n">
        <v>45794</v>
      </c>
      <c r="B1870" s="8" t="s">
        <v>16</v>
      </c>
      <c r="C1870" s="9" t="n">
        <v>2583</v>
      </c>
      <c r="D1870" s="8" t="s">
        <v>24</v>
      </c>
      <c r="E1870" s="10" t="s">
        <v>217</v>
      </c>
      <c r="F1870" s="8" t="str">
        <f aca="false">TEXT(A1870,"MM-YYYY")</f>
        <v>05-2025</v>
      </c>
      <c r="G1870" s="8"/>
      <c r="H1870" s="8"/>
      <c r="I1870" s="7"/>
      <c r="J1870" s="8" t="str">
        <f aca="false">VLOOKUP(B1870, Table3[#All], 2, FALSE())</f>
        <v>Sales</v>
      </c>
      <c r="K1870" s="8" t="str">
        <f aca="false">TEXT(ROW(), "0000")</f>
        <v>1870</v>
      </c>
      <c r="L1870" s="8"/>
    </row>
    <row r="1871" customFormat="false" ht="15.75" hidden="false" customHeight="true" outlineLevel="0" collapsed="false">
      <c r="A1871" s="7" t="n">
        <v>45794</v>
      </c>
      <c r="B1871" s="8" t="s">
        <v>34</v>
      </c>
      <c r="C1871" s="9" t="n">
        <v>150</v>
      </c>
      <c r="D1871" s="8" t="s">
        <v>45</v>
      </c>
      <c r="E1871" s="10" t="s">
        <v>267</v>
      </c>
      <c r="F1871" s="8" t="str">
        <f aca="false">TEXT(A1871,"MM-YYYY")</f>
        <v>05-2025</v>
      </c>
      <c r="G1871" s="8" t="s">
        <v>14</v>
      </c>
      <c r="H1871" s="8" t="s">
        <v>232</v>
      </c>
      <c r="I1871" s="7" t="n">
        <v>45794</v>
      </c>
      <c r="J1871" s="8" t="str">
        <f aca="false">VLOOKUP(B1871, Table3[#All], 2, FALSE())</f>
        <v>Staff Expenses</v>
      </c>
      <c r="K1871" s="8" t="str">
        <f aca="false">TEXT(ROW(), "0000")</f>
        <v>1871</v>
      </c>
      <c r="L1871" s="8"/>
    </row>
    <row r="1872" customFormat="false" ht="15.75" hidden="false" customHeight="true" outlineLevel="0" collapsed="false">
      <c r="A1872" s="7" t="n">
        <v>45794</v>
      </c>
      <c r="B1872" s="8" t="s">
        <v>50</v>
      </c>
      <c r="C1872" s="9" t="n">
        <v>1760</v>
      </c>
      <c r="D1872" s="8" t="s">
        <v>13</v>
      </c>
      <c r="E1872" s="10" t="s">
        <v>263</v>
      </c>
      <c r="F1872" s="8" t="str">
        <f aca="false">TEXT(A1872,"MM-YYYY")</f>
        <v>05-2025</v>
      </c>
      <c r="G1872" s="8" t="s">
        <v>14</v>
      </c>
      <c r="H1872" s="8" t="s">
        <v>13</v>
      </c>
      <c r="I1872" s="7" t="n">
        <v>45799</v>
      </c>
      <c r="J1872" s="8" t="str">
        <f aca="false">VLOOKUP(B1872, Table3[#All], 2, FALSE())</f>
        <v>Fixed Maintance</v>
      </c>
      <c r="K1872" s="8" t="str">
        <f aca="false">TEXT(ROW(), "0000")</f>
        <v>1872</v>
      </c>
      <c r="L1872" s="8"/>
    </row>
    <row r="1873" customFormat="false" ht="15.75" hidden="false" customHeight="true" outlineLevel="0" collapsed="false">
      <c r="A1873" s="7" t="n">
        <v>45795</v>
      </c>
      <c r="B1873" s="8" t="s">
        <v>19</v>
      </c>
      <c r="C1873" s="9" t="n">
        <v>1420</v>
      </c>
      <c r="D1873" s="8" t="s">
        <v>13</v>
      </c>
      <c r="E1873" s="10" t="s">
        <v>20</v>
      </c>
      <c r="F1873" s="8" t="str">
        <f aca="false">TEXT(A1873,"MM-YYYY")</f>
        <v>05-2025</v>
      </c>
      <c r="G1873" s="8" t="s">
        <v>14</v>
      </c>
      <c r="H1873" s="8" t="s">
        <v>13</v>
      </c>
      <c r="I1873" s="7" t="n">
        <v>45803</v>
      </c>
      <c r="J1873" s="8" t="str">
        <f aca="false">VLOOKUP(B1873, Table3[#All], 2, FALSE())</f>
        <v>Inventory</v>
      </c>
      <c r="K1873" s="8" t="str">
        <f aca="false">TEXT(ROW(), "0000")</f>
        <v>1873</v>
      </c>
      <c r="L1873" s="8"/>
    </row>
    <row r="1874" customFormat="false" ht="15.75" hidden="false" customHeight="true" outlineLevel="0" collapsed="false">
      <c r="A1874" s="7" t="n">
        <v>45795</v>
      </c>
      <c r="B1874" s="8" t="s">
        <v>25</v>
      </c>
      <c r="C1874" s="9" t="n">
        <v>620</v>
      </c>
      <c r="D1874" s="8" t="s">
        <v>13</v>
      </c>
      <c r="E1874" s="10" t="s">
        <v>26</v>
      </c>
      <c r="F1874" s="8" t="str">
        <f aca="false">TEXT(A1874,"MM-YYYY")</f>
        <v>05-2025</v>
      </c>
      <c r="G1874" s="21" t="s">
        <v>14</v>
      </c>
      <c r="H1874" s="8" t="s">
        <v>13</v>
      </c>
      <c r="I1874" s="7" t="n">
        <v>45812</v>
      </c>
      <c r="J1874" s="8" t="str">
        <f aca="false">VLOOKUP(B1874, Table3[#All], 2, FALSE())</f>
        <v>Inventory</v>
      </c>
      <c r="K1874" s="8" t="str">
        <f aca="false">TEXT(ROW(), "0000")</f>
        <v>1874</v>
      </c>
      <c r="L1874" s="8"/>
    </row>
    <row r="1875" customFormat="false" ht="15.75" hidden="false" customHeight="true" outlineLevel="0" collapsed="false">
      <c r="A1875" s="7" t="n">
        <v>45795</v>
      </c>
      <c r="B1875" s="8" t="s">
        <v>22</v>
      </c>
      <c r="C1875" s="9" t="n">
        <v>3160</v>
      </c>
      <c r="D1875" s="8" t="s">
        <v>13</v>
      </c>
      <c r="E1875" s="10" t="s">
        <v>23</v>
      </c>
      <c r="F1875" s="8" t="str">
        <f aca="false">TEXT(A1875,"MM-YYYY")</f>
        <v>05-2025</v>
      </c>
      <c r="G1875" s="8" t="s">
        <v>14</v>
      </c>
      <c r="H1875" s="8" t="s">
        <v>13</v>
      </c>
      <c r="I1875" s="7" t="n">
        <v>45803</v>
      </c>
      <c r="J1875" s="8" t="str">
        <f aca="false">VLOOKUP(B1875, Table3[#All], 2, FALSE())</f>
        <v>Inventory</v>
      </c>
      <c r="K1875" s="8" t="str">
        <f aca="false">TEXT(ROW(), "0000")</f>
        <v>1875</v>
      </c>
      <c r="L1875" s="8"/>
    </row>
    <row r="1876" customFormat="false" ht="15.75" hidden="false" customHeight="true" outlineLevel="0" collapsed="false">
      <c r="A1876" s="7" t="n">
        <v>45795</v>
      </c>
      <c r="B1876" s="8" t="s">
        <v>22</v>
      </c>
      <c r="C1876" s="9" t="n">
        <v>110</v>
      </c>
      <c r="D1876" s="8" t="s">
        <v>45</v>
      </c>
      <c r="E1876" s="10" t="s">
        <v>213</v>
      </c>
      <c r="F1876" s="8" t="str">
        <f aca="false">TEXT(A1876,"MM-YYYY")</f>
        <v>05-2025</v>
      </c>
      <c r="G1876" s="8" t="s">
        <v>14</v>
      </c>
      <c r="H1876" s="8" t="s">
        <v>232</v>
      </c>
      <c r="I1876" s="7" t="n">
        <v>45795</v>
      </c>
      <c r="J1876" s="8" t="str">
        <f aca="false">VLOOKUP(B1876, Table3[#All], 2, FALSE())</f>
        <v>Inventory</v>
      </c>
      <c r="K1876" s="8" t="str">
        <f aca="false">TEXT(ROW(), "0000")</f>
        <v>1876</v>
      </c>
      <c r="L1876" s="8"/>
    </row>
    <row r="1877" customFormat="false" ht="15.75" hidden="false" customHeight="true" outlineLevel="0" collapsed="false">
      <c r="A1877" s="7" t="n">
        <v>45795</v>
      </c>
      <c r="B1877" s="8" t="s">
        <v>32</v>
      </c>
      <c r="C1877" s="9" t="n">
        <v>280</v>
      </c>
      <c r="D1877" s="8" t="s">
        <v>45</v>
      </c>
      <c r="E1877" s="10" t="s">
        <v>38</v>
      </c>
      <c r="F1877" s="8" t="str">
        <f aca="false">TEXT(A1877,"MM-YYYY")</f>
        <v>05-2025</v>
      </c>
      <c r="G1877" s="8" t="s">
        <v>14</v>
      </c>
      <c r="H1877" s="8" t="s">
        <v>232</v>
      </c>
      <c r="I1877" s="7" t="n">
        <v>45795</v>
      </c>
      <c r="J1877" s="8" t="str">
        <f aca="false">VLOOKUP(B1877, Table3[#All], 2, FALSE())</f>
        <v>Grocery</v>
      </c>
      <c r="K1877" s="8" t="str">
        <f aca="false">TEXT(ROW(), "0000")</f>
        <v>1877</v>
      </c>
      <c r="L1877" s="8"/>
    </row>
    <row r="1878" customFormat="false" ht="15.75" hidden="false" customHeight="true" outlineLevel="0" collapsed="false">
      <c r="A1878" s="7" t="n">
        <v>45795</v>
      </c>
      <c r="B1878" s="8" t="s">
        <v>40</v>
      </c>
      <c r="C1878" s="9" t="n">
        <v>2220</v>
      </c>
      <c r="D1878" s="8" t="s">
        <v>45</v>
      </c>
      <c r="E1878" s="10" t="s">
        <v>46</v>
      </c>
      <c r="F1878" s="8" t="str">
        <f aca="false">TEXT(A1878,"MM-YYYY")</f>
        <v>05-2025</v>
      </c>
      <c r="G1878" s="8" t="s">
        <v>14</v>
      </c>
      <c r="H1878" s="8" t="s">
        <v>232</v>
      </c>
      <c r="I1878" s="7" t="n">
        <v>45795</v>
      </c>
      <c r="J1878" s="8" t="str">
        <f aca="false">VLOOKUP(B1878, Table3[#All], 2, FALSE())</f>
        <v>Inventory</v>
      </c>
      <c r="K1878" s="8" t="str">
        <f aca="false">TEXT(ROW(), "0000")</f>
        <v>1878</v>
      </c>
      <c r="L1878" s="8"/>
    </row>
    <row r="1879" customFormat="false" ht="15.75" hidden="false" customHeight="true" outlineLevel="0" collapsed="false">
      <c r="A1879" s="7" t="n">
        <v>45795</v>
      </c>
      <c r="B1879" s="8" t="s">
        <v>25</v>
      </c>
      <c r="C1879" s="9" t="n">
        <v>350</v>
      </c>
      <c r="D1879" s="8" t="s">
        <v>45</v>
      </c>
      <c r="E1879" s="10" t="s">
        <v>272</v>
      </c>
      <c r="F1879" s="8" t="str">
        <f aca="false">TEXT(A1879,"MM-YYYY")</f>
        <v>05-2025</v>
      </c>
      <c r="G1879" s="8" t="s">
        <v>14</v>
      </c>
      <c r="H1879" s="8" t="s">
        <v>232</v>
      </c>
      <c r="I1879" s="7" t="n">
        <v>45795</v>
      </c>
      <c r="J1879" s="8" t="str">
        <f aca="false">VLOOKUP(B1879, Table3[#All], 2, FALSE())</f>
        <v>Inventory</v>
      </c>
      <c r="K1879" s="8" t="str">
        <f aca="false">TEXT(ROW(), "0000")</f>
        <v>1879</v>
      </c>
      <c r="L1879" s="8"/>
    </row>
    <row r="1880" customFormat="false" ht="15.75" hidden="false" customHeight="true" outlineLevel="0" collapsed="false">
      <c r="A1880" s="7" t="n">
        <v>45795</v>
      </c>
      <c r="B1880" s="8" t="s">
        <v>29</v>
      </c>
      <c r="C1880" s="9" t="n">
        <v>355</v>
      </c>
      <c r="D1880" s="8" t="s">
        <v>13</v>
      </c>
      <c r="E1880" s="10" t="s">
        <v>302</v>
      </c>
      <c r="F1880" s="8" t="str">
        <f aca="false">TEXT(A1880,"MM-YYYY")</f>
        <v>05-2025</v>
      </c>
      <c r="G1880" s="8" t="s">
        <v>14</v>
      </c>
      <c r="H1880" s="8" t="s">
        <v>13</v>
      </c>
      <c r="I1880" s="7" t="n">
        <v>45809</v>
      </c>
      <c r="J1880" s="8" t="str">
        <f aca="false">VLOOKUP(B1880, Table3[#All], 2, FALSE())</f>
        <v>Inventory</v>
      </c>
      <c r="K1880" s="8" t="str">
        <f aca="false">TEXT(ROW(), "0000")</f>
        <v>1880</v>
      </c>
      <c r="L1880" s="8"/>
    </row>
    <row r="1881" customFormat="false" ht="15.75" hidden="false" customHeight="true" outlineLevel="0" collapsed="false">
      <c r="A1881" s="7" t="n">
        <v>45795</v>
      </c>
      <c r="B1881" s="8" t="s">
        <v>22</v>
      </c>
      <c r="C1881" s="9" t="n">
        <v>210</v>
      </c>
      <c r="D1881" s="8" t="s">
        <v>45</v>
      </c>
      <c r="E1881" s="10" t="s">
        <v>310</v>
      </c>
      <c r="F1881" s="8" t="str">
        <f aca="false">TEXT(A1881,"MM-YYYY")</f>
        <v>05-2025</v>
      </c>
      <c r="G1881" s="8" t="s">
        <v>14</v>
      </c>
      <c r="H1881" s="8" t="s">
        <v>232</v>
      </c>
      <c r="I1881" s="7" t="n">
        <v>45795</v>
      </c>
      <c r="J1881" s="8" t="str">
        <f aca="false">VLOOKUP(B1881, Table3[#All], 2, FALSE())</f>
        <v>Inventory</v>
      </c>
      <c r="K1881" s="8" t="str">
        <f aca="false">TEXT(ROW(), "0000")</f>
        <v>1881</v>
      </c>
      <c r="L1881" s="8"/>
    </row>
    <row r="1882" customFormat="false" ht="15.75" hidden="false" customHeight="true" outlineLevel="0" collapsed="false">
      <c r="A1882" s="7" t="n">
        <v>45795</v>
      </c>
      <c r="B1882" s="8" t="s">
        <v>50</v>
      </c>
      <c r="C1882" s="9" t="n">
        <v>1760</v>
      </c>
      <c r="D1882" s="8" t="s">
        <v>13</v>
      </c>
      <c r="E1882" s="10" t="s">
        <v>263</v>
      </c>
      <c r="F1882" s="8" t="str">
        <f aca="false">TEXT(A1882,"MM-YYYY")</f>
        <v>05-2025</v>
      </c>
      <c r="G1882" s="8" t="s">
        <v>14</v>
      </c>
      <c r="H1882" s="8" t="s">
        <v>13</v>
      </c>
      <c r="I1882" s="7" t="n">
        <v>45810</v>
      </c>
      <c r="J1882" s="8" t="str">
        <f aca="false">VLOOKUP(B1882, Table3[#All], 2, FALSE())</f>
        <v>Fixed Maintance</v>
      </c>
      <c r="K1882" s="8" t="str">
        <f aca="false">TEXT(ROW(), "0000")</f>
        <v>1882</v>
      </c>
      <c r="L1882" s="8"/>
    </row>
    <row r="1883" customFormat="false" ht="15.75" hidden="false" customHeight="true" outlineLevel="0" collapsed="false">
      <c r="A1883" s="7" t="n">
        <v>45795</v>
      </c>
      <c r="B1883" s="8" t="s">
        <v>102</v>
      </c>
      <c r="C1883" s="9" t="n">
        <v>600</v>
      </c>
      <c r="D1883" s="8" t="s">
        <v>21</v>
      </c>
      <c r="E1883" s="8" t="s">
        <v>102</v>
      </c>
      <c r="F1883" s="8" t="str">
        <f aca="false">TEXT(A1883,"MM-YYYY")</f>
        <v>05-2025</v>
      </c>
      <c r="G1883" s="8" t="s">
        <v>14</v>
      </c>
      <c r="H1883" s="8" t="s">
        <v>15</v>
      </c>
      <c r="I1883" s="7" t="n">
        <v>45795</v>
      </c>
      <c r="J1883" s="8" t="str">
        <f aca="false">VLOOKUP(B1883, Table3[#All], 2, FALSE())</f>
        <v>Fixed Maintance</v>
      </c>
      <c r="K1883" s="8" t="str">
        <f aca="false">TEXT(ROW(), "0000")</f>
        <v>1883</v>
      </c>
      <c r="L1883" s="8"/>
    </row>
    <row r="1884" customFormat="false" ht="15.75" hidden="false" customHeight="true" outlineLevel="0" collapsed="false">
      <c r="A1884" s="7" t="n">
        <v>45795</v>
      </c>
      <c r="B1884" s="8" t="s">
        <v>16</v>
      </c>
      <c r="C1884" s="9" t="n">
        <v>5350</v>
      </c>
      <c r="D1884" s="8" t="s">
        <v>21</v>
      </c>
      <c r="E1884" s="10" t="s">
        <v>88</v>
      </c>
      <c r="F1884" s="8" t="str">
        <f aca="false">TEXT(A1884,"MM-YYYY")</f>
        <v>05-2025</v>
      </c>
      <c r="G1884" s="8"/>
      <c r="H1884" s="8"/>
      <c r="I1884" s="7"/>
      <c r="J1884" s="8" t="str">
        <f aca="false">VLOOKUP(B1884, Table3[#All], 2, FALSE())</f>
        <v>Sales</v>
      </c>
      <c r="K1884" s="8" t="str">
        <f aca="false">TEXT(ROW(), "0000")</f>
        <v>1884</v>
      </c>
      <c r="L1884" s="8"/>
    </row>
    <row r="1885" customFormat="false" ht="15.75" hidden="false" customHeight="true" outlineLevel="0" collapsed="false">
      <c r="A1885" s="7" t="n">
        <v>45795</v>
      </c>
      <c r="B1885" s="8" t="s">
        <v>16</v>
      </c>
      <c r="C1885" s="9" t="n">
        <v>1750</v>
      </c>
      <c r="D1885" s="8" t="s">
        <v>27</v>
      </c>
      <c r="E1885" s="10" t="s">
        <v>88</v>
      </c>
      <c r="F1885" s="8" t="str">
        <f aca="false">TEXT(A1885,"MM-YYYY")</f>
        <v>05-2025</v>
      </c>
      <c r="G1885" s="8"/>
      <c r="H1885" s="8"/>
      <c r="I1885" s="7"/>
      <c r="J1885" s="8" t="str">
        <f aca="false">VLOOKUP(B1885, Table3[#All], 2, FALSE())</f>
        <v>Sales</v>
      </c>
      <c r="K1885" s="8" t="str">
        <f aca="false">TEXT(ROW(), "0000")</f>
        <v>1885</v>
      </c>
      <c r="L1885" s="8"/>
    </row>
    <row r="1886" customFormat="false" ht="15.75" hidden="false" customHeight="true" outlineLevel="0" collapsed="false">
      <c r="A1886" s="7" t="n">
        <v>45795</v>
      </c>
      <c r="B1886" s="8" t="s">
        <v>16</v>
      </c>
      <c r="C1886" s="9" t="n">
        <v>18583</v>
      </c>
      <c r="D1886" s="8" t="s">
        <v>17</v>
      </c>
      <c r="E1886" s="10" t="s">
        <v>88</v>
      </c>
      <c r="F1886" s="8" t="str">
        <f aca="false">TEXT(A1886,"MM-YYYY")</f>
        <v>05-2025</v>
      </c>
      <c r="G1886" s="8"/>
      <c r="H1886" s="8"/>
      <c r="I1886" s="7"/>
      <c r="J1886" s="8" t="str">
        <f aca="false">VLOOKUP(B1886, Table3[#All], 2, FALSE())</f>
        <v>Sales</v>
      </c>
      <c r="K1886" s="8" t="str">
        <f aca="false">TEXT(ROW(), "0000")</f>
        <v>1886</v>
      </c>
      <c r="L1886" s="8"/>
    </row>
    <row r="1887" customFormat="false" ht="15.75" hidden="false" customHeight="true" outlineLevel="0" collapsed="false">
      <c r="A1887" s="7" t="n">
        <v>45795</v>
      </c>
      <c r="B1887" s="8" t="s">
        <v>16</v>
      </c>
      <c r="C1887" s="9" t="n">
        <v>3005</v>
      </c>
      <c r="D1887" s="8" t="s">
        <v>24</v>
      </c>
      <c r="E1887" s="10" t="s">
        <v>217</v>
      </c>
      <c r="F1887" s="8" t="str">
        <f aca="false">TEXT(A1887,"MM-YYYY")</f>
        <v>05-2025</v>
      </c>
      <c r="G1887" s="8"/>
      <c r="H1887" s="8"/>
      <c r="I1887" s="7"/>
      <c r="J1887" s="8" t="str">
        <f aca="false">VLOOKUP(B1887, Table3[#All], 2, FALSE())</f>
        <v>Sales</v>
      </c>
      <c r="K1887" s="8" t="str">
        <f aca="false">TEXT(ROW(), "0000")</f>
        <v>1887</v>
      </c>
      <c r="L1887" s="8"/>
    </row>
    <row r="1888" customFormat="false" ht="15.75" hidden="false" customHeight="true" outlineLevel="0" collapsed="false">
      <c r="A1888" s="7" t="n">
        <v>45795</v>
      </c>
      <c r="B1888" s="8" t="s">
        <v>16</v>
      </c>
      <c r="C1888" s="9" t="n">
        <v>25</v>
      </c>
      <c r="D1888" s="8" t="s">
        <v>33</v>
      </c>
      <c r="E1888" s="10" t="s">
        <v>88</v>
      </c>
      <c r="F1888" s="8" t="str">
        <f aca="false">TEXT(A1888,"MM-YYYY")</f>
        <v>05-2025</v>
      </c>
      <c r="G1888" s="8" t="s">
        <v>14</v>
      </c>
      <c r="H1888" s="8" t="s">
        <v>15</v>
      </c>
      <c r="I1888" s="7" t="n">
        <v>45795</v>
      </c>
      <c r="J1888" s="8" t="str">
        <f aca="false">VLOOKUP(B1888, Table3[#All], 2, FALSE())</f>
        <v>Sales</v>
      </c>
      <c r="K1888" s="8" t="str">
        <f aca="false">TEXT(ROW(), "0000")</f>
        <v>1888</v>
      </c>
      <c r="L1888" s="8"/>
    </row>
    <row r="1889" customFormat="false" ht="15.75" hidden="false" customHeight="true" outlineLevel="0" collapsed="false">
      <c r="A1889" s="7" t="n">
        <v>45795</v>
      </c>
      <c r="B1889" s="8" t="s">
        <v>34</v>
      </c>
      <c r="C1889" s="9" t="n">
        <v>130</v>
      </c>
      <c r="D1889" s="8" t="s">
        <v>45</v>
      </c>
      <c r="E1889" s="10" t="s">
        <v>267</v>
      </c>
      <c r="F1889" s="8" t="str">
        <f aca="false">TEXT(A1889,"MM-YYYY")</f>
        <v>05-2025</v>
      </c>
      <c r="G1889" s="8" t="s">
        <v>14</v>
      </c>
      <c r="H1889" s="8" t="s">
        <v>232</v>
      </c>
      <c r="I1889" s="7" t="n">
        <v>45795</v>
      </c>
      <c r="J1889" s="8" t="str">
        <f aca="false">VLOOKUP(B1889, Table3[#All], 2, FALSE())</f>
        <v>Staff Expenses</v>
      </c>
      <c r="K1889" s="8" t="str">
        <f aca="false">TEXT(ROW(), "0000")</f>
        <v>1889</v>
      </c>
      <c r="L1889" s="8"/>
    </row>
    <row r="1890" customFormat="false" ht="15.75" hidden="false" customHeight="true" outlineLevel="0" collapsed="false">
      <c r="A1890" s="22" t="n">
        <v>45796</v>
      </c>
      <c r="B1890" s="21" t="s">
        <v>25</v>
      </c>
      <c r="C1890" s="12" t="n">
        <v>1357</v>
      </c>
      <c r="D1890" s="21" t="s">
        <v>13</v>
      </c>
      <c r="E1890" s="23" t="s">
        <v>26</v>
      </c>
      <c r="F1890" s="8" t="str">
        <f aca="false">TEXT(A1890,"MM-YYYY")</f>
        <v>05-2025</v>
      </c>
      <c r="G1890" s="21" t="s">
        <v>14</v>
      </c>
      <c r="H1890" s="8" t="s">
        <v>13</v>
      </c>
      <c r="I1890" s="7" t="n">
        <v>45812</v>
      </c>
      <c r="J1890" s="8" t="str">
        <f aca="false">VLOOKUP(B1890, Table3[#All], 2, FALSE())</f>
        <v>Inventory</v>
      </c>
      <c r="K1890" s="8" t="str">
        <f aca="false">TEXT(ROW(), "0000")</f>
        <v>1890</v>
      </c>
      <c r="L1890" s="8"/>
    </row>
    <row r="1891" customFormat="false" ht="15.75" hidden="false" customHeight="true" outlineLevel="0" collapsed="false">
      <c r="A1891" s="22" t="n">
        <v>45796</v>
      </c>
      <c r="B1891" s="21" t="s">
        <v>19</v>
      </c>
      <c r="C1891" s="12" t="n">
        <v>5293</v>
      </c>
      <c r="D1891" s="21" t="s">
        <v>13</v>
      </c>
      <c r="E1891" s="23" t="s">
        <v>20</v>
      </c>
      <c r="F1891" s="8" t="str">
        <f aca="false">TEXT(A1891,"MM-YYYY")</f>
        <v>05-2025</v>
      </c>
      <c r="G1891" s="8" t="s">
        <v>14</v>
      </c>
      <c r="H1891" s="8" t="s">
        <v>13</v>
      </c>
      <c r="I1891" s="7" t="n">
        <v>45803</v>
      </c>
      <c r="J1891" s="8" t="str">
        <f aca="false">VLOOKUP(B1891, Table3[#All], 2, FALSE())</f>
        <v>Inventory</v>
      </c>
      <c r="K1891" s="8" t="str">
        <f aca="false">TEXT(ROW(), "0000")</f>
        <v>1891</v>
      </c>
      <c r="L1891" s="8"/>
    </row>
    <row r="1892" customFormat="false" ht="15.75" hidden="false" customHeight="true" outlineLevel="0" collapsed="false">
      <c r="A1892" s="22" t="n">
        <v>45796</v>
      </c>
      <c r="B1892" s="21" t="s">
        <v>47</v>
      </c>
      <c r="C1892" s="12" t="n">
        <v>840</v>
      </c>
      <c r="D1892" s="21" t="s">
        <v>13</v>
      </c>
      <c r="E1892" s="23" t="s">
        <v>223</v>
      </c>
      <c r="F1892" s="8" t="str">
        <f aca="false">TEXT(A1892,"MM-YYYY")</f>
        <v>05-2025</v>
      </c>
      <c r="G1892" s="21" t="s">
        <v>14</v>
      </c>
      <c r="H1892" s="8" t="s">
        <v>13</v>
      </c>
      <c r="I1892" s="7" t="n">
        <v>45801</v>
      </c>
      <c r="J1892" s="8" t="str">
        <f aca="false">VLOOKUP(B1892, Table3[#All], 2, FALSE())</f>
        <v>Inventory</v>
      </c>
      <c r="K1892" s="8" t="str">
        <f aca="false">TEXT(ROW(), "0000")</f>
        <v>1892</v>
      </c>
      <c r="L1892" s="8"/>
    </row>
    <row r="1893" customFormat="false" ht="15.75" hidden="false" customHeight="true" outlineLevel="0" collapsed="false">
      <c r="A1893" s="22" t="n">
        <v>45796</v>
      </c>
      <c r="B1893" s="21" t="s">
        <v>43</v>
      </c>
      <c r="C1893" s="12" t="n">
        <v>1020</v>
      </c>
      <c r="D1893" s="21" t="s">
        <v>45</v>
      </c>
      <c r="E1893" s="23" t="s">
        <v>311</v>
      </c>
      <c r="F1893" s="8" t="str">
        <f aca="false">TEXT(A1893,"MM-YYYY")</f>
        <v>05-2025</v>
      </c>
      <c r="G1893" s="21" t="s">
        <v>14</v>
      </c>
      <c r="H1893" s="21" t="s">
        <v>232</v>
      </c>
      <c r="I1893" s="22" t="n">
        <v>45796</v>
      </c>
      <c r="J1893" s="8" t="str">
        <f aca="false">VLOOKUP(B1893, Table3[#All], 2, FALSE())</f>
        <v>Maintance</v>
      </c>
      <c r="K1893" s="8" t="str">
        <f aca="false">TEXT(ROW(), "0000")</f>
        <v>1893</v>
      </c>
      <c r="L1893" s="8"/>
    </row>
    <row r="1894" customFormat="false" ht="15.75" hidden="false" customHeight="true" outlineLevel="0" collapsed="false">
      <c r="A1894" s="22" t="n">
        <v>45796</v>
      </c>
      <c r="B1894" s="21" t="s">
        <v>31</v>
      </c>
      <c r="C1894" s="12" t="n">
        <v>310</v>
      </c>
      <c r="D1894" s="21" t="s">
        <v>45</v>
      </c>
      <c r="E1894" s="23" t="s">
        <v>236</v>
      </c>
      <c r="F1894" s="8" t="str">
        <f aca="false">TEXT(A1894,"MM-YYYY")</f>
        <v>05-2025</v>
      </c>
      <c r="G1894" s="21" t="s">
        <v>14</v>
      </c>
      <c r="H1894" s="21" t="s">
        <v>232</v>
      </c>
      <c r="I1894" s="22" t="n">
        <v>45796</v>
      </c>
      <c r="J1894" s="8" t="str">
        <f aca="false">VLOOKUP(B1894, Table3[#All], 2, FALSE())</f>
        <v>Bike Maintance</v>
      </c>
      <c r="K1894" s="8" t="str">
        <f aca="false">TEXT(ROW(), "0000")</f>
        <v>1894</v>
      </c>
      <c r="L1894" s="8"/>
    </row>
    <row r="1895" customFormat="false" ht="15.75" hidden="false" customHeight="true" outlineLevel="0" collapsed="false">
      <c r="A1895" s="22" t="n">
        <v>45796</v>
      </c>
      <c r="B1895" s="21" t="s">
        <v>53</v>
      </c>
      <c r="C1895" s="12" t="n">
        <v>900</v>
      </c>
      <c r="D1895" s="21" t="s">
        <v>21</v>
      </c>
      <c r="E1895" s="23" t="s">
        <v>55</v>
      </c>
      <c r="F1895" s="8" t="str">
        <f aca="false">TEXT(A1895,"MM-YYYY")</f>
        <v>05-2025</v>
      </c>
      <c r="G1895" s="21" t="s">
        <v>14</v>
      </c>
      <c r="H1895" s="21" t="s">
        <v>15</v>
      </c>
      <c r="I1895" s="22" t="n">
        <v>45796</v>
      </c>
      <c r="J1895" s="8" t="str">
        <f aca="false">VLOOKUP(B1895, Table3[#All], 2, FALSE())</f>
        <v>Grocery</v>
      </c>
      <c r="K1895" s="8" t="str">
        <f aca="false">TEXT(ROW(), "0000")</f>
        <v>1895</v>
      </c>
      <c r="L1895" s="8"/>
    </row>
    <row r="1896" customFormat="false" ht="15.75" hidden="false" customHeight="true" outlineLevel="0" collapsed="false">
      <c r="A1896" s="22" t="n">
        <v>45796</v>
      </c>
      <c r="B1896" s="21" t="s">
        <v>28</v>
      </c>
      <c r="C1896" s="12" t="n">
        <v>900</v>
      </c>
      <c r="D1896" s="21" t="s">
        <v>45</v>
      </c>
      <c r="E1896" s="23" t="s">
        <v>93</v>
      </c>
      <c r="F1896" s="8" t="str">
        <f aca="false">TEXT(A1896,"MM-YYYY")</f>
        <v>05-2025</v>
      </c>
      <c r="G1896" s="21" t="s">
        <v>14</v>
      </c>
      <c r="H1896" s="21" t="s">
        <v>232</v>
      </c>
      <c r="I1896" s="22" t="n">
        <v>45796</v>
      </c>
      <c r="J1896" s="8" t="str">
        <f aca="false">VLOOKUP(B1896, Table3[#All], 2, FALSE())</f>
        <v>Grocery</v>
      </c>
      <c r="K1896" s="8" t="str">
        <f aca="false">TEXT(ROW(), "0000")</f>
        <v>1896</v>
      </c>
      <c r="L1896" s="8"/>
    </row>
    <row r="1897" customFormat="false" ht="15.75" hidden="false" customHeight="true" outlineLevel="0" collapsed="false">
      <c r="A1897" s="22" t="n">
        <v>45796</v>
      </c>
      <c r="B1897" s="21" t="s">
        <v>44</v>
      </c>
      <c r="C1897" s="12" t="n">
        <v>600</v>
      </c>
      <c r="D1897" s="21" t="s">
        <v>45</v>
      </c>
      <c r="E1897" s="23" t="s">
        <v>236</v>
      </c>
      <c r="F1897" s="8" t="str">
        <f aca="false">TEXT(A1897,"MM-YYYY")</f>
        <v>05-2025</v>
      </c>
      <c r="G1897" s="21" t="s">
        <v>14</v>
      </c>
      <c r="H1897" s="21" t="s">
        <v>232</v>
      </c>
      <c r="I1897" s="22" t="n">
        <v>45796</v>
      </c>
      <c r="J1897" s="8" t="str">
        <f aca="false">VLOOKUP(B1897, Table3[#All], 2, FALSE())</f>
        <v>Salary</v>
      </c>
      <c r="K1897" s="8" t="str">
        <f aca="false">TEXT(ROW(), "0000")</f>
        <v>1897</v>
      </c>
      <c r="L1897" s="8"/>
    </row>
    <row r="1898" customFormat="false" ht="15.75" hidden="false" customHeight="true" outlineLevel="0" collapsed="false">
      <c r="A1898" s="22" t="n">
        <v>45796</v>
      </c>
      <c r="B1898" s="21" t="s">
        <v>69</v>
      </c>
      <c r="C1898" s="12" t="n">
        <v>700</v>
      </c>
      <c r="D1898" s="21" t="s">
        <v>21</v>
      </c>
      <c r="E1898" s="23" t="s">
        <v>312</v>
      </c>
      <c r="F1898" s="8" t="str">
        <f aca="false">TEXT(A1898,"MM-YYYY")</f>
        <v>05-2025</v>
      </c>
      <c r="G1898" s="21" t="s">
        <v>14</v>
      </c>
      <c r="H1898" s="21" t="s">
        <v>15</v>
      </c>
      <c r="I1898" s="22" t="n">
        <v>45796</v>
      </c>
      <c r="J1898" s="8" t="str">
        <f aca="false">VLOOKUP(B1898, Table3[#All], 2, FALSE())</f>
        <v>Fixed Maintance</v>
      </c>
      <c r="K1898" s="8" t="str">
        <f aca="false">TEXT(ROW(), "0000")</f>
        <v>1898</v>
      </c>
      <c r="L1898" s="8"/>
    </row>
    <row r="1899" customFormat="false" ht="15.75" hidden="false" customHeight="true" outlineLevel="0" collapsed="false">
      <c r="A1899" s="22" t="n">
        <v>45796</v>
      </c>
      <c r="B1899" s="21" t="s">
        <v>29</v>
      </c>
      <c r="C1899" s="12" t="n">
        <v>454</v>
      </c>
      <c r="D1899" s="21" t="s">
        <v>13</v>
      </c>
      <c r="E1899" s="23" t="s">
        <v>302</v>
      </c>
      <c r="F1899" s="8" t="str">
        <f aca="false">TEXT(A1899,"MM-YYYY")</f>
        <v>05-2025</v>
      </c>
      <c r="G1899" s="8" t="s">
        <v>14</v>
      </c>
      <c r="H1899" s="8" t="s">
        <v>13</v>
      </c>
      <c r="I1899" s="7" t="n">
        <v>45809</v>
      </c>
      <c r="J1899" s="8" t="str">
        <f aca="false">VLOOKUP(B1899, Table3[#All], 2, FALSE())</f>
        <v>Inventory</v>
      </c>
      <c r="K1899" s="8" t="str">
        <f aca="false">TEXT(ROW(), "0000")</f>
        <v>1899</v>
      </c>
      <c r="L1899" s="8"/>
    </row>
    <row r="1900" customFormat="false" ht="15.75" hidden="false" customHeight="true" outlineLevel="0" collapsed="false">
      <c r="A1900" s="22" t="n">
        <v>45796</v>
      </c>
      <c r="B1900" s="21" t="s">
        <v>16</v>
      </c>
      <c r="C1900" s="12" t="n">
        <v>230</v>
      </c>
      <c r="D1900" s="21" t="s">
        <v>33</v>
      </c>
      <c r="E1900" s="23" t="s">
        <v>88</v>
      </c>
      <c r="F1900" s="8" t="str">
        <f aca="false">TEXT(A1900,"MM-YYYY")</f>
        <v>05-2025</v>
      </c>
      <c r="G1900" s="8"/>
      <c r="H1900" s="8"/>
      <c r="I1900" s="7"/>
      <c r="J1900" s="8" t="str">
        <f aca="false">VLOOKUP(B1900, Table3[#All], 2, FALSE())</f>
        <v>Sales</v>
      </c>
      <c r="K1900" s="8" t="str">
        <f aca="false">TEXT(ROW(), "0000")</f>
        <v>1900</v>
      </c>
      <c r="L1900" s="8"/>
    </row>
    <row r="1901" customFormat="false" ht="15.75" hidden="false" customHeight="true" outlineLevel="0" collapsed="false">
      <c r="A1901" s="22" t="n">
        <v>45796</v>
      </c>
      <c r="B1901" s="21" t="s">
        <v>16</v>
      </c>
      <c r="C1901" s="12" t="n">
        <v>5505</v>
      </c>
      <c r="D1901" s="21" t="s">
        <v>17</v>
      </c>
      <c r="E1901" s="23" t="s">
        <v>88</v>
      </c>
      <c r="F1901" s="8" t="str">
        <f aca="false">TEXT(A1901,"MM-YYYY")</f>
        <v>05-2025</v>
      </c>
      <c r="G1901" s="8"/>
      <c r="H1901" s="8"/>
      <c r="I1901" s="7"/>
      <c r="J1901" s="8" t="str">
        <f aca="false">VLOOKUP(B1901, Table3[#All], 2, FALSE())</f>
        <v>Sales</v>
      </c>
      <c r="K1901" s="8" t="str">
        <f aca="false">TEXT(ROW(), "0000")</f>
        <v>1901</v>
      </c>
      <c r="L1901" s="8"/>
    </row>
    <row r="1902" customFormat="false" ht="15.75" hidden="false" customHeight="true" outlineLevel="0" collapsed="false">
      <c r="A1902" s="22" t="n">
        <v>45796</v>
      </c>
      <c r="B1902" s="21" t="s">
        <v>16</v>
      </c>
      <c r="C1902" s="12" t="n">
        <v>2927</v>
      </c>
      <c r="D1902" s="21" t="s">
        <v>24</v>
      </c>
      <c r="E1902" s="23" t="s">
        <v>217</v>
      </c>
      <c r="F1902" s="8" t="str">
        <f aca="false">TEXT(A1902,"MM-YYYY")</f>
        <v>05-2025</v>
      </c>
      <c r="G1902" s="8"/>
      <c r="H1902" s="8"/>
      <c r="I1902" s="7"/>
      <c r="J1902" s="8" t="str">
        <f aca="false">VLOOKUP(B1902, Table3[#All], 2, FALSE())</f>
        <v>Sales</v>
      </c>
      <c r="K1902" s="8" t="str">
        <f aca="false">TEXT(ROW(), "0000")</f>
        <v>1902</v>
      </c>
      <c r="L1902" s="8"/>
    </row>
    <row r="1903" customFormat="false" ht="15.75" hidden="false" customHeight="true" outlineLevel="0" collapsed="false">
      <c r="A1903" s="22" t="n">
        <v>45796</v>
      </c>
      <c r="B1903" s="21" t="s">
        <v>16</v>
      </c>
      <c r="C1903" s="12" t="n">
        <v>4265</v>
      </c>
      <c r="D1903" s="21" t="s">
        <v>21</v>
      </c>
      <c r="E1903" s="23" t="s">
        <v>88</v>
      </c>
      <c r="F1903" s="8" t="str">
        <f aca="false">TEXT(A1903,"MM-YYYY")</f>
        <v>05-2025</v>
      </c>
      <c r="G1903" s="8"/>
      <c r="H1903" s="8"/>
      <c r="I1903" s="7"/>
      <c r="J1903" s="8" t="str">
        <f aca="false">VLOOKUP(B1903, Table3[#All], 2, FALSE())</f>
        <v>Sales</v>
      </c>
      <c r="K1903" s="8" t="str">
        <f aca="false">TEXT(ROW(), "0000")</f>
        <v>1903</v>
      </c>
      <c r="L1903" s="8"/>
    </row>
    <row r="1904" customFormat="false" ht="15.75" hidden="false" customHeight="true" outlineLevel="0" collapsed="false">
      <c r="A1904" s="22" t="n">
        <v>45796</v>
      </c>
      <c r="B1904" s="21" t="s">
        <v>34</v>
      </c>
      <c r="C1904" s="12" t="n">
        <v>100</v>
      </c>
      <c r="D1904" s="21" t="s">
        <v>45</v>
      </c>
      <c r="E1904" s="23" t="s">
        <v>267</v>
      </c>
      <c r="F1904" s="8" t="str">
        <f aca="false">TEXT(A1904,"MM-YYYY")</f>
        <v>05-2025</v>
      </c>
      <c r="G1904" s="21" t="s">
        <v>14</v>
      </c>
      <c r="H1904" s="21" t="s">
        <v>232</v>
      </c>
      <c r="I1904" s="22" t="n">
        <v>45796</v>
      </c>
      <c r="J1904" s="8" t="str">
        <f aca="false">VLOOKUP(B1904, Table3[#All], 2, FALSE())</f>
        <v>Staff Expenses</v>
      </c>
      <c r="K1904" s="8" t="str">
        <f aca="false">TEXT(ROW(), "0000")</f>
        <v>1904</v>
      </c>
      <c r="L1904" s="8"/>
    </row>
    <row r="1905" customFormat="false" ht="15.75" hidden="false" customHeight="true" outlineLevel="0" collapsed="false">
      <c r="A1905" s="22" t="n">
        <v>45796</v>
      </c>
      <c r="B1905" s="21" t="s">
        <v>37</v>
      </c>
      <c r="C1905" s="12" t="n">
        <v>35</v>
      </c>
      <c r="D1905" s="21" t="s">
        <v>21</v>
      </c>
      <c r="E1905" s="23" t="s">
        <v>37</v>
      </c>
      <c r="F1905" s="8" t="str">
        <f aca="false">TEXT(A1905,"MM-YYYY")</f>
        <v>05-2025</v>
      </c>
      <c r="G1905" s="21" t="s">
        <v>14</v>
      </c>
      <c r="H1905" s="21" t="s">
        <v>15</v>
      </c>
      <c r="I1905" s="22" t="n">
        <v>45796</v>
      </c>
      <c r="J1905" s="8" t="str">
        <f aca="false">VLOOKUP(B1905, Table3[#All], 2, FALSE())</f>
        <v>Maintance</v>
      </c>
      <c r="K1905" s="8" t="str">
        <f aca="false">TEXT(ROW(), "0000")</f>
        <v>1905</v>
      </c>
      <c r="L1905" s="8"/>
    </row>
    <row r="1906" customFormat="false" ht="15.75" hidden="false" customHeight="true" outlineLevel="0" collapsed="false">
      <c r="A1906" s="22" t="n">
        <v>45797</v>
      </c>
      <c r="B1906" s="8" t="s">
        <v>19</v>
      </c>
      <c r="C1906" s="9" t="n">
        <v>2265</v>
      </c>
      <c r="D1906" s="8" t="s">
        <v>13</v>
      </c>
      <c r="E1906" s="10" t="s">
        <v>20</v>
      </c>
      <c r="F1906" s="8" t="str">
        <f aca="false">TEXT(A1906,"MM-YYYY")</f>
        <v>05-2025</v>
      </c>
      <c r="G1906" s="8" t="s">
        <v>14</v>
      </c>
      <c r="H1906" s="8" t="s">
        <v>13</v>
      </c>
      <c r="I1906" s="7" t="n">
        <v>45804</v>
      </c>
      <c r="J1906" s="8" t="str">
        <f aca="false">VLOOKUP(B1906, Table3[#All], 2, FALSE())</f>
        <v>Inventory</v>
      </c>
      <c r="K1906" s="8" t="str">
        <f aca="false">TEXT(ROW(), "0000")</f>
        <v>1906</v>
      </c>
      <c r="L1906" s="8"/>
    </row>
    <row r="1907" customFormat="false" ht="15.75" hidden="false" customHeight="true" outlineLevel="0" collapsed="false">
      <c r="A1907" s="7" t="n">
        <v>45797</v>
      </c>
      <c r="B1907" s="8" t="s">
        <v>25</v>
      </c>
      <c r="C1907" s="9" t="n">
        <v>743</v>
      </c>
      <c r="D1907" s="8" t="s">
        <v>13</v>
      </c>
      <c r="E1907" s="10" t="s">
        <v>26</v>
      </c>
      <c r="F1907" s="8" t="str">
        <f aca="false">TEXT(A1907,"MM-YYYY")</f>
        <v>05-2025</v>
      </c>
      <c r="G1907" s="21" t="s">
        <v>14</v>
      </c>
      <c r="H1907" s="8" t="s">
        <v>13</v>
      </c>
      <c r="I1907" s="7" t="n">
        <v>45812</v>
      </c>
      <c r="J1907" s="8" t="str">
        <f aca="false">VLOOKUP(B1907, Table3[#All], 2, FALSE())</f>
        <v>Inventory</v>
      </c>
      <c r="K1907" s="8" t="str">
        <f aca="false">TEXT(ROW(), "0000")</f>
        <v>1907</v>
      </c>
      <c r="L1907" s="8"/>
    </row>
    <row r="1908" customFormat="false" ht="15.75" hidden="false" customHeight="true" outlineLevel="0" collapsed="false">
      <c r="A1908" s="22" t="n">
        <v>45797</v>
      </c>
      <c r="B1908" s="8" t="s">
        <v>22</v>
      </c>
      <c r="C1908" s="9" t="n">
        <v>2345</v>
      </c>
      <c r="D1908" s="8" t="s">
        <v>13</v>
      </c>
      <c r="E1908" s="10" t="s">
        <v>23</v>
      </c>
      <c r="F1908" s="8" t="str">
        <f aca="false">TEXT(A1908,"MM-YYYY")</f>
        <v>05-2025</v>
      </c>
      <c r="G1908" s="8" t="s">
        <v>14</v>
      </c>
      <c r="H1908" s="8" t="s">
        <v>13</v>
      </c>
      <c r="I1908" s="7" t="n">
        <v>45803</v>
      </c>
      <c r="J1908" s="8" t="str">
        <f aca="false">VLOOKUP(B1908, Table3[#All], 2, FALSE())</f>
        <v>Inventory</v>
      </c>
      <c r="K1908" s="8" t="str">
        <f aca="false">TEXT(ROW(), "0000")</f>
        <v>1908</v>
      </c>
      <c r="L1908" s="8"/>
    </row>
    <row r="1909" customFormat="false" ht="15.75" hidden="false" customHeight="true" outlineLevel="0" collapsed="false">
      <c r="A1909" s="7" t="n">
        <v>45797</v>
      </c>
      <c r="B1909" s="8" t="s">
        <v>29</v>
      </c>
      <c r="C1909" s="9" t="n">
        <v>215</v>
      </c>
      <c r="D1909" s="8" t="s">
        <v>13</v>
      </c>
      <c r="E1909" s="10" t="s">
        <v>302</v>
      </c>
      <c r="F1909" s="8" t="str">
        <f aca="false">TEXT(A1909,"MM-YYYY")</f>
        <v>05-2025</v>
      </c>
      <c r="G1909" s="8" t="s">
        <v>14</v>
      </c>
      <c r="H1909" s="8" t="s">
        <v>13</v>
      </c>
      <c r="I1909" s="7" t="n">
        <v>45809</v>
      </c>
      <c r="J1909" s="8" t="str">
        <f aca="false">VLOOKUP(B1909, Table3[#All], 2, FALSE())</f>
        <v>Inventory</v>
      </c>
      <c r="K1909" s="8" t="str">
        <f aca="false">TEXT(ROW(), "0000")</f>
        <v>1909</v>
      </c>
      <c r="L1909" s="8"/>
    </row>
    <row r="1910" customFormat="false" ht="15.75" hidden="false" customHeight="true" outlineLevel="0" collapsed="false">
      <c r="A1910" s="22" t="n">
        <v>45797</v>
      </c>
      <c r="B1910" s="8" t="s">
        <v>32</v>
      </c>
      <c r="C1910" s="9" t="n">
        <v>105</v>
      </c>
      <c r="D1910" s="8" t="s">
        <v>45</v>
      </c>
      <c r="E1910" s="10" t="s">
        <v>38</v>
      </c>
      <c r="F1910" s="8" t="str">
        <f aca="false">TEXT(A1910,"MM-YYYY")</f>
        <v>05-2025</v>
      </c>
      <c r="G1910" s="8" t="s">
        <v>14</v>
      </c>
      <c r="H1910" s="8" t="s">
        <v>232</v>
      </c>
      <c r="I1910" s="7" t="n">
        <v>45797</v>
      </c>
      <c r="J1910" s="8" t="str">
        <f aca="false">VLOOKUP(B1910, Table3[#All], 2, FALSE())</f>
        <v>Grocery</v>
      </c>
      <c r="K1910" s="8" t="str">
        <f aca="false">TEXT(ROW(), "0000")</f>
        <v>1910</v>
      </c>
      <c r="L1910" s="8"/>
    </row>
    <row r="1911" customFormat="false" ht="15.75" hidden="false" customHeight="true" outlineLevel="0" collapsed="false">
      <c r="A1911" s="7" t="n">
        <v>45797</v>
      </c>
      <c r="B1911" s="8" t="s">
        <v>34</v>
      </c>
      <c r="C1911" s="9" t="n">
        <v>145</v>
      </c>
      <c r="D1911" s="8" t="s">
        <v>45</v>
      </c>
      <c r="E1911" s="10" t="s">
        <v>267</v>
      </c>
      <c r="F1911" s="8" t="str">
        <f aca="false">TEXT(A1911,"MM-YYYY")</f>
        <v>05-2025</v>
      </c>
      <c r="G1911" s="8" t="s">
        <v>14</v>
      </c>
      <c r="H1911" s="8" t="s">
        <v>232</v>
      </c>
      <c r="I1911" s="7" t="n">
        <v>45797</v>
      </c>
      <c r="J1911" s="8" t="str">
        <f aca="false">VLOOKUP(B1911, Table3[#All], 2, FALSE())</f>
        <v>Staff Expenses</v>
      </c>
      <c r="K1911" s="8" t="str">
        <f aca="false">TEXT(ROW(), "0000")</f>
        <v>1911</v>
      </c>
      <c r="L1911" s="8"/>
    </row>
    <row r="1912" customFormat="false" ht="15.75" hidden="false" customHeight="true" outlineLevel="0" collapsed="false">
      <c r="A1912" s="22" t="n">
        <v>45797</v>
      </c>
      <c r="B1912" s="8" t="s">
        <v>37</v>
      </c>
      <c r="C1912" s="9" t="n">
        <v>10</v>
      </c>
      <c r="D1912" s="8" t="s">
        <v>21</v>
      </c>
      <c r="E1912" s="10" t="s">
        <v>37</v>
      </c>
      <c r="F1912" s="8" t="str">
        <f aca="false">TEXT(A1912,"MM-YYYY")</f>
        <v>05-2025</v>
      </c>
      <c r="G1912" s="8" t="s">
        <v>14</v>
      </c>
      <c r="H1912" s="8" t="s">
        <v>15</v>
      </c>
      <c r="I1912" s="7" t="n">
        <v>45797</v>
      </c>
      <c r="J1912" s="8" t="str">
        <f aca="false">VLOOKUP(B1912, Table3[#All], 2, FALSE())</f>
        <v>Maintance</v>
      </c>
      <c r="K1912" s="8" t="str">
        <f aca="false">TEXT(ROW(), "0000")</f>
        <v>1912</v>
      </c>
      <c r="L1912" s="8"/>
    </row>
    <row r="1913" customFormat="false" ht="15.75" hidden="false" customHeight="true" outlineLevel="0" collapsed="false">
      <c r="A1913" s="7" t="n">
        <v>45797</v>
      </c>
      <c r="B1913" s="8" t="s">
        <v>16</v>
      </c>
      <c r="C1913" s="9" t="n">
        <v>2110</v>
      </c>
      <c r="D1913" s="8" t="s">
        <v>21</v>
      </c>
      <c r="E1913" s="10" t="s">
        <v>88</v>
      </c>
      <c r="F1913" s="8" t="str">
        <f aca="false">TEXT(A1913,"MM-YYYY")</f>
        <v>05-2025</v>
      </c>
      <c r="G1913" s="8"/>
      <c r="H1913" s="8"/>
      <c r="I1913" s="7"/>
      <c r="J1913" s="8" t="str">
        <f aca="false">VLOOKUP(B1913, Table3[#All], 2, FALSE())</f>
        <v>Sales</v>
      </c>
      <c r="K1913" s="8" t="str">
        <f aca="false">TEXT(ROW(), "0000")</f>
        <v>1913</v>
      </c>
      <c r="L1913" s="8"/>
    </row>
    <row r="1914" customFormat="false" ht="15.75" hidden="false" customHeight="true" outlineLevel="0" collapsed="false">
      <c r="A1914" s="22" t="n">
        <v>45797</v>
      </c>
      <c r="B1914" s="8" t="s">
        <v>16</v>
      </c>
      <c r="C1914" s="9" t="n">
        <v>170</v>
      </c>
      <c r="D1914" s="8" t="s">
        <v>27</v>
      </c>
      <c r="E1914" s="10" t="s">
        <v>88</v>
      </c>
      <c r="F1914" s="8" t="str">
        <f aca="false">TEXT(A1914,"MM-YYYY")</f>
        <v>05-2025</v>
      </c>
      <c r="G1914" s="8"/>
      <c r="H1914" s="8"/>
      <c r="I1914" s="7"/>
      <c r="J1914" s="8" t="str">
        <f aca="false">VLOOKUP(B1914, Table3[#All], 2, FALSE())</f>
        <v>Sales</v>
      </c>
      <c r="K1914" s="8" t="str">
        <f aca="false">TEXT(ROW(), "0000")</f>
        <v>1914</v>
      </c>
      <c r="L1914" s="8"/>
    </row>
    <row r="1915" customFormat="false" ht="15.75" hidden="false" customHeight="true" outlineLevel="0" collapsed="false">
      <c r="A1915" s="7" t="n">
        <v>45797</v>
      </c>
      <c r="B1915" s="8" t="s">
        <v>16</v>
      </c>
      <c r="C1915" s="9" t="n">
        <v>1519</v>
      </c>
      <c r="D1915" s="8" t="s">
        <v>33</v>
      </c>
      <c r="E1915" s="10" t="s">
        <v>88</v>
      </c>
      <c r="F1915" s="8" t="str">
        <f aca="false">TEXT(A1915,"MM-YYYY")</f>
        <v>05-2025</v>
      </c>
      <c r="G1915" s="8"/>
      <c r="H1915" s="8"/>
      <c r="I1915" s="7"/>
      <c r="J1915" s="8" t="str">
        <f aca="false">VLOOKUP(B1915, Table3[#All], 2, FALSE())</f>
        <v>Sales</v>
      </c>
      <c r="K1915" s="8" t="str">
        <f aca="false">TEXT(ROW(), "0000")</f>
        <v>1915</v>
      </c>
      <c r="L1915" s="8"/>
    </row>
    <row r="1916" customFormat="false" ht="15.75" hidden="false" customHeight="true" outlineLevel="0" collapsed="false">
      <c r="A1916" s="22" t="n">
        <v>45797</v>
      </c>
      <c r="B1916" s="8" t="s">
        <v>16</v>
      </c>
      <c r="C1916" s="9" t="n">
        <v>5944</v>
      </c>
      <c r="D1916" s="8" t="s">
        <v>17</v>
      </c>
      <c r="E1916" s="10" t="s">
        <v>88</v>
      </c>
      <c r="F1916" s="8" t="str">
        <f aca="false">TEXT(A1916,"MM-YYYY")</f>
        <v>05-2025</v>
      </c>
      <c r="G1916" s="8"/>
      <c r="H1916" s="8"/>
      <c r="I1916" s="7"/>
      <c r="J1916" s="8" t="str">
        <f aca="false">VLOOKUP(B1916, Table3[#All], 2, FALSE())</f>
        <v>Sales</v>
      </c>
      <c r="K1916" s="8" t="str">
        <f aca="false">TEXT(ROW(), "0000")</f>
        <v>1916</v>
      </c>
      <c r="L1916" s="8"/>
    </row>
    <row r="1917" customFormat="false" ht="15.75" hidden="false" customHeight="true" outlineLevel="0" collapsed="false">
      <c r="A1917" s="7" t="n">
        <v>45797</v>
      </c>
      <c r="B1917" s="8" t="s">
        <v>16</v>
      </c>
      <c r="C1917" s="9" t="n">
        <v>2372</v>
      </c>
      <c r="D1917" s="8" t="s">
        <v>24</v>
      </c>
      <c r="E1917" s="10" t="s">
        <v>217</v>
      </c>
      <c r="F1917" s="8" t="str">
        <f aca="false">TEXT(A1917,"MM-YYYY")</f>
        <v>05-2025</v>
      </c>
      <c r="G1917" s="8"/>
      <c r="H1917" s="8"/>
      <c r="I1917" s="7"/>
      <c r="J1917" s="8" t="str">
        <f aca="false">VLOOKUP(B1917, Table3[#All], 2, FALSE())</f>
        <v>Sales</v>
      </c>
      <c r="K1917" s="8" t="str">
        <f aca="false">TEXT(ROW(), "0000")</f>
        <v>1917</v>
      </c>
      <c r="L1917" s="8"/>
    </row>
    <row r="1918" customFormat="false" ht="15.75" hidden="false" customHeight="true" outlineLevel="0" collapsed="false">
      <c r="A1918" s="7" t="n">
        <v>45798</v>
      </c>
      <c r="B1918" s="8" t="s">
        <v>25</v>
      </c>
      <c r="C1918" s="9" t="n">
        <v>390</v>
      </c>
      <c r="D1918" s="8" t="s">
        <v>13</v>
      </c>
      <c r="E1918" s="10" t="s">
        <v>26</v>
      </c>
      <c r="F1918" s="8" t="str">
        <f aca="false">TEXT(A1918,"MM-YYYY")</f>
        <v>05-2025</v>
      </c>
      <c r="G1918" s="21" t="s">
        <v>14</v>
      </c>
      <c r="H1918" s="8" t="s">
        <v>13</v>
      </c>
      <c r="I1918" s="7" t="n">
        <v>45825</v>
      </c>
      <c r="J1918" s="8" t="str">
        <f aca="false">VLOOKUP(B1918, Table3[#All], 2, FALSE())</f>
        <v>Inventory</v>
      </c>
      <c r="K1918" s="8" t="str">
        <f aca="false">TEXT(ROW(), "0000")</f>
        <v>1918</v>
      </c>
      <c r="L1918" s="8"/>
    </row>
    <row r="1919" customFormat="false" ht="15.75" hidden="false" customHeight="true" outlineLevel="0" collapsed="false">
      <c r="A1919" s="7" t="n">
        <v>45798</v>
      </c>
      <c r="B1919" s="8" t="s">
        <v>47</v>
      </c>
      <c r="C1919" s="9" t="n">
        <v>1680</v>
      </c>
      <c r="D1919" s="8" t="s">
        <v>13</v>
      </c>
      <c r="E1919" s="10" t="s">
        <v>223</v>
      </c>
      <c r="F1919" s="8" t="str">
        <f aca="false">TEXT(A1919,"MM-YYYY")</f>
        <v>05-2025</v>
      </c>
      <c r="G1919" s="8" t="s">
        <v>14</v>
      </c>
      <c r="H1919" s="8" t="s">
        <v>13</v>
      </c>
      <c r="I1919" s="7" t="n">
        <v>45801</v>
      </c>
      <c r="J1919" s="8" t="str">
        <f aca="false">VLOOKUP(B1919, Table3[#All], 2, FALSE())</f>
        <v>Inventory</v>
      </c>
      <c r="K1919" s="8" t="str">
        <f aca="false">TEXT(ROW(), "0000")</f>
        <v>1919</v>
      </c>
      <c r="L1919" s="8"/>
    </row>
    <row r="1920" customFormat="false" ht="15.75" hidden="false" customHeight="true" outlineLevel="0" collapsed="false">
      <c r="A1920" s="7" t="n">
        <v>45798</v>
      </c>
      <c r="B1920" s="8" t="s">
        <v>22</v>
      </c>
      <c r="C1920" s="9" t="n">
        <v>2015</v>
      </c>
      <c r="D1920" s="8" t="s">
        <v>13</v>
      </c>
      <c r="E1920" s="10" t="s">
        <v>23</v>
      </c>
      <c r="F1920" s="8" t="str">
        <f aca="false">TEXT(A1920,"MM-YYYY")</f>
        <v>05-2025</v>
      </c>
      <c r="G1920" s="8" t="s">
        <v>14</v>
      </c>
      <c r="H1920" s="8" t="s">
        <v>13</v>
      </c>
      <c r="I1920" s="7" t="n">
        <v>45804</v>
      </c>
      <c r="J1920" s="8" t="str">
        <f aca="false">VLOOKUP(B1920, Table3[#All], 2, FALSE())</f>
        <v>Inventory</v>
      </c>
      <c r="K1920" s="8" t="str">
        <f aca="false">TEXT(ROW(), "0000")</f>
        <v>1920</v>
      </c>
      <c r="L1920" s="8"/>
    </row>
    <row r="1921" customFormat="false" ht="15.75" hidden="false" customHeight="true" outlineLevel="0" collapsed="false">
      <c r="A1921" s="7" t="n">
        <v>45813</v>
      </c>
      <c r="B1921" s="8" t="s">
        <v>44</v>
      </c>
      <c r="C1921" s="9" t="n">
        <v>10000</v>
      </c>
      <c r="D1921" s="8" t="s">
        <v>13</v>
      </c>
      <c r="E1921" s="10" t="s">
        <v>86</v>
      </c>
      <c r="F1921" s="8" t="str">
        <f aca="false">TEXT(A1921,"MM-YYYY")</f>
        <v>06-2025</v>
      </c>
      <c r="G1921" s="8" t="s">
        <v>14</v>
      </c>
      <c r="H1921" s="8" t="s">
        <v>13</v>
      </c>
      <c r="I1921" s="7"/>
      <c r="J1921" s="8" t="str">
        <f aca="false">VLOOKUP(B1921, Table3[#All], 2, FALSE())</f>
        <v>Salary</v>
      </c>
      <c r="K1921" s="8" t="str">
        <f aca="false">TEXT(ROW(), "0000")</f>
        <v>1921</v>
      </c>
      <c r="L1921" s="8"/>
    </row>
    <row r="1922" customFormat="false" ht="15.75" hidden="false" customHeight="true" outlineLevel="0" collapsed="false">
      <c r="A1922" s="7" t="n">
        <v>45838</v>
      </c>
      <c r="B1922" s="8" t="s">
        <v>44</v>
      </c>
      <c r="C1922" s="9" t="n">
        <v>5000</v>
      </c>
      <c r="D1922" s="8" t="s">
        <v>13</v>
      </c>
      <c r="E1922" s="10" t="s">
        <v>86</v>
      </c>
      <c r="F1922" s="8" t="str">
        <f aca="false">TEXT(A1922,"MM-YYYY")</f>
        <v>06-2025</v>
      </c>
      <c r="G1922" s="8" t="s">
        <v>14</v>
      </c>
      <c r="H1922" s="8" t="s">
        <v>13</v>
      </c>
      <c r="I1922" s="7"/>
      <c r="J1922" s="8" t="str">
        <f aca="false">VLOOKUP(B1922, Table3[#All], 2, FALSE())</f>
        <v>Salary</v>
      </c>
      <c r="K1922" s="8" t="str">
        <f aca="false">TEXT(ROW(), "0000")</f>
        <v>1922</v>
      </c>
      <c r="L1922" s="8"/>
      <c r="P1922" s="11" t="n">
        <v>40374</v>
      </c>
    </row>
    <row r="1923" customFormat="false" ht="15.75" hidden="false" customHeight="true" outlineLevel="0" collapsed="false">
      <c r="A1923" s="7" t="n">
        <v>45798</v>
      </c>
      <c r="B1923" s="8" t="s">
        <v>44</v>
      </c>
      <c r="C1923" s="9" t="n">
        <v>1000</v>
      </c>
      <c r="D1923" s="8" t="s">
        <v>13</v>
      </c>
      <c r="E1923" s="10" t="s">
        <v>86</v>
      </c>
      <c r="F1923" s="8" t="str">
        <f aca="false">TEXT(A1923,"MM-YYYY")</f>
        <v>05-2025</v>
      </c>
      <c r="G1923" s="8" t="s">
        <v>14</v>
      </c>
      <c r="H1923" s="8" t="s">
        <v>262</v>
      </c>
      <c r="I1923" s="7" t="n">
        <v>45797</v>
      </c>
      <c r="J1923" s="8" t="str">
        <f aca="false">VLOOKUP(B1923, Table3[#All], 2, FALSE())</f>
        <v>Salary</v>
      </c>
      <c r="K1923" s="8" t="str">
        <f aca="false">TEXT(ROW(), "0000")</f>
        <v>1923</v>
      </c>
      <c r="L1923" s="8" t="n">
        <v>1</v>
      </c>
      <c r="P1923" s="11" t="n">
        <v>17120</v>
      </c>
    </row>
    <row r="1924" customFormat="false" ht="15.75" hidden="false" customHeight="true" outlineLevel="0" collapsed="false">
      <c r="A1924" s="7" t="n">
        <v>45798</v>
      </c>
      <c r="B1924" s="8" t="s">
        <v>32</v>
      </c>
      <c r="C1924" s="9" t="n">
        <v>70</v>
      </c>
      <c r="D1924" s="8" t="s">
        <v>21</v>
      </c>
      <c r="E1924" s="10" t="s">
        <v>38</v>
      </c>
      <c r="F1924" s="8" t="str">
        <f aca="false">TEXT(A1924,"MM-YYYY")</f>
        <v>05-2025</v>
      </c>
      <c r="G1924" s="8" t="s">
        <v>14</v>
      </c>
      <c r="H1924" s="8" t="s">
        <v>15</v>
      </c>
      <c r="I1924" s="7" t="n">
        <v>45798</v>
      </c>
      <c r="J1924" s="8" t="str">
        <f aca="false">VLOOKUP(B1924, Table3[#All], 2, FALSE())</f>
        <v>Grocery</v>
      </c>
      <c r="K1924" s="8" t="str">
        <f aca="false">TEXT(ROW(), "0000")</f>
        <v>1924</v>
      </c>
      <c r="L1924" s="8"/>
    </row>
    <row r="1925" customFormat="false" ht="15.75" hidden="false" customHeight="true" outlineLevel="0" collapsed="false">
      <c r="A1925" s="7" t="n">
        <v>45798</v>
      </c>
      <c r="B1925" s="8" t="s">
        <v>51</v>
      </c>
      <c r="C1925" s="9" t="n">
        <v>3345</v>
      </c>
      <c r="D1925" s="8" t="s">
        <v>13</v>
      </c>
      <c r="E1925" s="10" t="s">
        <v>226</v>
      </c>
      <c r="F1925" s="8" t="str">
        <f aca="false">TEXT(A1925,"MM-YYYY")</f>
        <v>05-2025</v>
      </c>
      <c r="G1925" s="8" t="s">
        <v>14</v>
      </c>
      <c r="H1925" s="8" t="s">
        <v>13</v>
      </c>
      <c r="I1925" s="7" t="n">
        <v>45823</v>
      </c>
      <c r="J1925" s="8" t="str">
        <f aca="false">VLOOKUP(B1925, Table3[#All], 2, FALSE())</f>
        <v>Inventory</v>
      </c>
      <c r="K1925" s="8" t="str">
        <f aca="false">TEXT(ROW(), "0000")</f>
        <v>1925</v>
      </c>
      <c r="L1925" s="8"/>
    </row>
    <row r="1926" customFormat="false" ht="15.75" hidden="false" customHeight="true" outlineLevel="0" collapsed="false">
      <c r="A1926" s="7" t="n">
        <v>45798</v>
      </c>
      <c r="B1926" s="8" t="s">
        <v>60</v>
      </c>
      <c r="C1926" s="9" t="n">
        <v>210</v>
      </c>
      <c r="D1926" s="8" t="s">
        <v>45</v>
      </c>
      <c r="E1926" s="10" t="s">
        <v>245</v>
      </c>
      <c r="F1926" s="8" t="str">
        <f aca="false">TEXT(A1926,"MM-YYYY")</f>
        <v>05-2025</v>
      </c>
      <c r="G1926" s="8" t="s">
        <v>14</v>
      </c>
      <c r="H1926" s="8" t="s">
        <v>232</v>
      </c>
      <c r="I1926" s="7" t="n">
        <v>45798</v>
      </c>
      <c r="J1926" s="8" t="str">
        <f aca="false">VLOOKUP(B1926, Table3[#All], 2, FALSE())</f>
        <v>Inventory</v>
      </c>
      <c r="K1926" s="8" t="str">
        <f aca="false">TEXT(ROW(), "0000")</f>
        <v>1926</v>
      </c>
      <c r="L1926" s="8"/>
    </row>
    <row r="1927" customFormat="false" ht="15.75" hidden="false" customHeight="true" outlineLevel="0" collapsed="false">
      <c r="A1927" s="7" t="n">
        <v>45798</v>
      </c>
      <c r="B1927" s="8" t="s">
        <v>50</v>
      </c>
      <c r="C1927" s="9" t="n">
        <v>1760</v>
      </c>
      <c r="D1927" s="8" t="s">
        <v>13</v>
      </c>
      <c r="E1927" s="10" t="s">
        <v>263</v>
      </c>
      <c r="F1927" s="8" t="str">
        <f aca="false">TEXT(A1927,"MM-YYYY")</f>
        <v>05-2025</v>
      </c>
      <c r="G1927" s="8" t="s">
        <v>14</v>
      </c>
      <c r="H1927" s="8" t="s">
        <v>13</v>
      </c>
      <c r="I1927" s="7" t="n">
        <v>45810</v>
      </c>
      <c r="J1927" s="8" t="str">
        <f aca="false">VLOOKUP(B1927, Table3[#All], 2, FALSE())</f>
        <v>Fixed Maintance</v>
      </c>
      <c r="K1927" s="8" t="str">
        <f aca="false">TEXT(ROW(), "0000")</f>
        <v>1927</v>
      </c>
      <c r="L1927" s="8"/>
    </row>
    <row r="1928" customFormat="false" ht="15.75" hidden="false" customHeight="true" outlineLevel="0" collapsed="false">
      <c r="A1928" s="7" t="n">
        <v>45798</v>
      </c>
      <c r="B1928" s="8" t="s">
        <v>29</v>
      </c>
      <c r="C1928" s="9" t="n">
        <v>401</v>
      </c>
      <c r="D1928" s="8" t="s">
        <v>13</v>
      </c>
      <c r="E1928" s="10" t="s">
        <v>302</v>
      </c>
      <c r="F1928" s="8" t="str">
        <f aca="false">TEXT(A1928,"MM-YYYY")</f>
        <v>05-2025</v>
      </c>
      <c r="G1928" s="8" t="s">
        <v>14</v>
      </c>
      <c r="H1928" s="8" t="s">
        <v>13</v>
      </c>
      <c r="I1928" s="7" t="n">
        <v>45809</v>
      </c>
      <c r="J1928" s="8" t="str">
        <f aca="false">VLOOKUP(B1928, Table3[#All], 2, FALSE())</f>
        <v>Inventory</v>
      </c>
      <c r="K1928" s="8" t="str">
        <f aca="false">TEXT(ROW(), "0000")</f>
        <v>1928</v>
      </c>
      <c r="L1928" s="8"/>
    </row>
    <row r="1929" customFormat="false" ht="15.75" hidden="false" customHeight="true" outlineLevel="0" collapsed="false">
      <c r="A1929" s="7" t="n">
        <v>45798</v>
      </c>
      <c r="B1929" s="8" t="s">
        <v>43</v>
      </c>
      <c r="C1929" s="9" t="n">
        <v>4200</v>
      </c>
      <c r="D1929" s="8" t="s">
        <v>45</v>
      </c>
      <c r="E1929" s="10" t="s">
        <v>313</v>
      </c>
      <c r="F1929" s="8" t="str">
        <f aca="false">TEXT(A1929,"MM-YYYY")</f>
        <v>05-2025</v>
      </c>
      <c r="G1929" s="8" t="s">
        <v>14</v>
      </c>
      <c r="H1929" s="8" t="s">
        <v>232</v>
      </c>
      <c r="I1929" s="7" t="n">
        <v>45798</v>
      </c>
      <c r="J1929" s="8" t="str">
        <f aca="false">VLOOKUP(B1929, Table3[#All], 2, FALSE())</f>
        <v>Maintance</v>
      </c>
      <c r="K1929" s="8" t="str">
        <f aca="false">TEXT(ROW(), "0000")</f>
        <v>1929</v>
      </c>
      <c r="L1929" s="8"/>
    </row>
    <row r="1930" customFormat="false" ht="15.75" hidden="false" customHeight="true" outlineLevel="0" collapsed="false">
      <c r="A1930" s="7" t="n">
        <v>45798</v>
      </c>
      <c r="B1930" s="8" t="s">
        <v>16</v>
      </c>
      <c r="C1930" s="9" t="n">
        <v>6335</v>
      </c>
      <c r="D1930" s="8" t="s">
        <v>21</v>
      </c>
      <c r="E1930" s="10" t="s">
        <v>88</v>
      </c>
      <c r="F1930" s="8" t="str">
        <f aca="false">TEXT(A1930,"MM-YYYY")</f>
        <v>05-2025</v>
      </c>
      <c r="G1930" s="8"/>
      <c r="H1930" s="8"/>
      <c r="I1930" s="7"/>
      <c r="J1930" s="8" t="str">
        <f aca="false">VLOOKUP(B1930, Table3[#All], 2, FALSE())</f>
        <v>Sales</v>
      </c>
      <c r="K1930" s="8" t="str">
        <f aca="false">TEXT(ROW(), "0000")</f>
        <v>1930</v>
      </c>
      <c r="L1930" s="8"/>
    </row>
    <row r="1931" customFormat="false" ht="15.75" hidden="false" customHeight="true" outlineLevel="0" collapsed="false">
      <c r="A1931" s="7" t="n">
        <v>45798</v>
      </c>
      <c r="B1931" s="8" t="s">
        <v>16</v>
      </c>
      <c r="C1931" s="9" t="n">
        <v>1360</v>
      </c>
      <c r="D1931" s="8" t="s">
        <v>27</v>
      </c>
      <c r="E1931" s="10" t="s">
        <v>88</v>
      </c>
      <c r="F1931" s="8" t="str">
        <f aca="false">TEXT(A1931,"MM-YYYY")</f>
        <v>05-2025</v>
      </c>
      <c r="G1931" s="8"/>
      <c r="H1931" s="8"/>
      <c r="I1931" s="7"/>
      <c r="J1931" s="8" t="str">
        <f aca="false">VLOOKUP(B1931, Table3[#All], 2, FALSE())</f>
        <v>Sales</v>
      </c>
      <c r="K1931" s="8" t="str">
        <f aca="false">TEXT(ROW(), "0000")</f>
        <v>1931</v>
      </c>
      <c r="L1931" s="8"/>
    </row>
    <row r="1932" customFormat="false" ht="15.75" hidden="false" customHeight="true" outlineLevel="0" collapsed="false">
      <c r="A1932" s="7" t="n">
        <v>45798</v>
      </c>
      <c r="B1932" s="8" t="s">
        <v>16</v>
      </c>
      <c r="C1932" s="9" t="n">
        <v>310</v>
      </c>
      <c r="D1932" s="8" t="s">
        <v>33</v>
      </c>
      <c r="E1932" s="10" t="s">
        <v>88</v>
      </c>
      <c r="F1932" s="8" t="str">
        <f aca="false">TEXT(A1932,"MM-YYYY")</f>
        <v>05-2025</v>
      </c>
      <c r="G1932" s="8"/>
      <c r="H1932" s="8"/>
      <c r="I1932" s="7"/>
      <c r="J1932" s="8" t="str">
        <f aca="false">VLOOKUP(B1932, Table3[#All], 2, FALSE())</f>
        <v>Sales</v>
      </c>
      <c r="K1932" s="8" t="str">
        <f aca="false">TEXT(ROW(), "0000")</f>
        <v>1932</v>
      </c>
      <c r="L1932" s="8"/>
    </row>
    <row r="1933" customFormat="false" ht="15.75" hidden="false" customHeight="true" outlineLevel="0" collapsed="false">
      <c r="A1933" s="7" t="n">
        <v>45798</v>
      </c>
      <c r="B1933" s="8" t="s">
        <v>16</v>
      </c>
      <c r="C1933" s="9" t="n">
        <v>9834</v>
      </c>
      <c r="D1933" s="8" t="s">
        <v>17</v>
      </c>
      <c r="E1933" s="10" t="s">
        <v>88</v>
      </c>
      <c r="F1933" s="8" t="str">
        <f aca="false">TEXT(A1933,"MM-YYYY")</f>
        <v>05-2025</v>
      </c>
      <c r="G1933" s="8"/>
      <c r="H1933" s="8"/>
      <c r="I1933" s="7"/>
      <c r="J1933" s="8" t="str">
        <f aca="false">VLOOKUP(B1933, Table3[#All], 2, FALSE())</f>
        <v>Sales</v>
      </c>
      <c r="K1933" s="8" t="str">
        <f aca="false">TEXT(ROW(), "0000")</f>
        <v>1933</v>
      </c>
      <c r="L1933" s="8"/>
    </row>
    <row r="1934" customFormat="false" ht="15.75" hidden="false" customHeight="true" outlineLevel="0" collapsed="false">
      <c r="A1934" s="7" t="n">
        <v>45798</v>
      </c>
      <c r="B1934" s="8" t="s">
        <v>16</v>
      </c>
      <c r="C1934" s="9" t="n">
        <v>2989</v>
      </c>
      <c r="D1934" s="8" t="s">
        <v>24</v>
      </c>
      <c r="E1934" s="10" t="s">
        <v>217</v>
      </c>
      <c r="F1934" s="8" t="str">
        <f aca="false">TEXT(A1934,"MM-YYYY")</f>
        <v>05-2025</v>
      </c>
      <c r="G1934" s="8"/>
      <c r="H1934" s="8"/>
      <c r="I1934" s="7"/>
      <c r="J1934" s="8" t="str">
        <f aca="false">VLOOKUP(B1934, Table3[#All], 2, FALSE())</f>
        <v>Sales</v>
      </c>
      <c r="K1934" s="8" t="str">
        <f aca="false">TEXT(ROW(), "0000")</f>
        <v>1934</v>
      </c>
      <c r="L1934" s="8"/>
    </row>
    <row r="1935" customFormat="false" ht="15.75" hidden="false" customHeight="true" outlineLevel="0" collapsed="false">
      <c r="A1935" s="7" t="n">
        <v>45798</v>
      </c>
      <c r="B1935" s="8" t="s">
        <v>37</v>
      </c>
      <c r="C1935" s="9" t="n">
        <v>15</v>
      </c>
      <c r="D1935" s="8" t="s">
        <v>21</v>
      </c>
      <c r="E1935" s="10" t="s">
        <v>37</v>
      </c>
      <c r="F1935" s="8" t="str">
        <f aca="false">TEXT(A1935,"MM-YYYY")</f>
        <v>05-2025</v>
      </c>
      <c r="G1935" s="8" t="s">
        <v>14</v>
      </c>
      <c r="H1935" s="8" t="s">
        <v>15</v>
      </c>
      <c r="I1935" s="7" t="n">
        <v>45798</v>
      </c>
      <c r="J1935" s="8" t="str">
        <f aca="false">VLOOKUP(B1935, Table3[#All], 2, FALSE())</f>
        <v>Maintance</v>
      </c>
      <c r="K1935" s="8" t="str">
        <f aca="false">TEXT(ROW(), "0000")</f>
        <v>1935</v>
      </c>
      <c r="L1935" s="8"/>
    </row>
    <row r="1936" customFormat="false" ht="15.75" hidden="false" customHeight="true" outlineLevel="0" collapsed="false">
      <c r="A1936" s="7" t="n">
        <v>45798</v>
      </c>
      <c r="B1936" s="8" t="s">
        <v>34</v>
      </c>
      <c r="C1936" s="9" t="n">
        <v>140</v>
      </c>
      <c r="D1936" s="8" t="s">
        <v>45</v>
      </c>
      <c r="E1936" s="10" t="s">
        <v>267</v>
      </c>
      <c r="F1936" s="8" t="str">
        <f aca="false">TEXT(A1936,"MM-YYYY")</f>
        <v>05-2025</v>
      </c>
      <c r="G1936" s="8" t="s">
        <v>14</v>
      </c>
      <c r="H1936" s="8" t="s">
        <v>232</v>
      </c>
      <c r="I1936" s="7" t="n">
        <v>45798</v>
      </c>
      <c r="J1936" s="8" t="str">
        <f aca="false">VLOOKUP(B1936, Table3[#All], 2, FALSE())</f>
        <v>Staff Expenses</v>
      </c>
      <c r="K1936" s="8" t="str">
        <f aca="false">TEXT(ROW(), "0000")</f>
        <v>1936</v>
      </c>
      <c r="L1936" s="8"/>
    </row>
    <row r="1937" customFormat="false" ht="15.75" hidden="false" customHeight="true" outlineLevel="0" collapsed="false">
      <c r="A1937" s="7" t="n">
        <v>45799</v>
      </c>
      <c r="B1937" s="8" t="s">
        <v>19</v>
      </c>
      <c r="C1937" s="9" t="n">
        <v>5106</v>
      </c>
      <c r="D1937" s="8" t="s">
        <v>13</v>
      </c>
      <c r="E1937" s="10" t="s">
        <v>20</v>
      </c>
      <c r="F1937" s="8" t="str">
        <f aca="false">TEXT(A1937,"MM-YYYY")</f>
        <v>05-2025</v>
      </c>
      <c r="G1937" s="8" t="s">
        <v>14</v>
      </c>
      <c r="H1937" s="8" t="s">
        <v>13</v>
      </c>
      <c r="I1937" s="7" t="n">
        <v>45806</v>
      </c>
      <c r="J1937" s="8" t="str">
        <f aca="false">VLOOKUP(B1937, Table3[#All], 2, FALSE())</f>
        <v>Inventory</v>
      </c>
      <c r="K1937" s="8" t="str">
        <f aca="false">TEXT(ROW(), "0000")</f>
        <v>1937</v>
      </c>
      <c r="L1937" s="8"/>
    </row>
    <row r="1938" customFormat="false" ht="15.75" hidden="false" customHeight="true" outlineLevel="0" collapsed="false">
      <c r="A1938" s="7" t="n">
        <v>45799</v>
      </c>
      <c r="B1938" s="8" t="s">
        <v>25</v>
      </c>
      <c r="C1938" s="9" t="n">
        <v>827</v>
      </c>
      <c r="D1938" s="8" t="s">
        <v>13</v>
      </c>
      <c r="E1938" s="10" t="s">
        <v>26</v>
      </c>
      <c r="F1938" s="8" t="str">
        <f aca="false">TEXT(A1938,"MM-YYYY")</f>
        <v>05-2025</v>
      </c>
      <c r="G1938" s="21" t="s">
        <v>14</v>
      </c>
      <c r="H1938" s="8" t="s">
        <v>13</v>
      </c>
      <c r="I1938" s="7" t="n">
        <v>45825</v>
      </c>
      <c r="J1938" s="8" t="str">
        <f aca="false">VLOOKUP(B1938, Table3[#All], 2, FALSE())</f>
        <v>Inventory</v>
      </c>
      <c r="K1938" s="8" t="str">
        <f aca="false">TEXT(ROW(), "0000")</f>
        <v>1938</v>
      </c>
      <c r="L1938" s="8"/>
    </row>
    <row r="1939" customFormat="false" ht="15.75" hidden="false" customHeight="true" outlineLevel="0" collapsed="false">
      <c r="A1939" s="7" t="n">
        <v>45799</v>
      </c>
      <c r="B1939" s="8" t="s">
        <v>22</v>
      </c>
      <c r="C1939" s="9" t="n">
        <v>456</v>
      </c>
      <c r="D1939" s="8" t="s">
        <v>13</v>
      </c>
      <c r="E1939" s="10" t="s">
        <v>23</v>
      </c>
      <c r="F1939" s="8" t="str">
        <f aca="false">TEXT(A1939,"MM-YYYY")</f>
        <v>05-2025</v>
      </c>
      <c r="G1939" s="8" t="s">
        <v>14</v>
      </c>
      <c r="H1939" s="8" t="s">
        <v>13</v>
      </c>
      <c r="I1939" s="7" t="n">
        <v>45806</v>
      </c>
      <c r="J1939" s="8" t="str">
        <f aca="false">VLOOKUP(B1939, Table3[#All], 2, FALSE())</f>
        <v>Inventory</v>
      </c>
      <c r="K1939" s="8" t="str">
        <f aca="false">TEXT(ROW(), "0000")</f>
        <v>1939</v>
      </c>
      <c r="L1939" s="8"/>
    </row>
    <row r="1940" customFormat="false" ht="15.75" hidden="false" customHeight="true" outlineLevel="0" collapsed="false">
      <c r="A1940" s="7" t="n">
        <v>45799</v>
      </c>
      <c r="B1940" s="8" t="s">
        <v>32</v>
      </c>
      <c r="C1940" s="9" t="n">
        <v>140</v>
      </c>
      <c r="D1940" s="8" t="s">
        <v>45</v>
      </c>
      <c r="E1940" s="10" t="s">
        <v>38</v>
      </c>
      <c r="F1940" s="8" t="str">
        <f aca="false">TEXT(A1940,"MM-YYYY")</f>
        <v>05-2025</v>
      </c>
      <c r="G1940" s="8" t="s">
        <v>14</v>
      </c>
      <c r="H1940" s="8" t="s">
        <v>232</v>
      </c>
      <c r="I1940" s="7" t="n">
        <v>45799</v>
      </c>
      <c r="J1940" s="8" t="str">
        <f aca="false">VLOOKUP(B1940, Table3[#All], 2, FALSE())</f>
        <v>Grocery</v>
      </c>
      <c r="K1940" s="8" t="str">
        <f aca="false">TEXT(ROW(), "0000")</f>
        <v>1940</v>
      </c>
      <c r="L1940" s="8"/>
    </row>
    <row r="1941" customFormat="false" ht="15.75" hidden="false" customHeight="true" outlineLevel="0" collapsed="false">
      <c r="A1941" s="7" t="n">
        <v>45799</v>
      </c>
      <c r="B1941" s="8" t="s">
        <v>29</v>
      </c>
      <c r="C1941" s="9" t="n">
        <v>100</v>
      </c>
      <c r="D1941" s="8" t="s">
        <v>45</v>
      </c>
      <c r="E1941" s="10" t="s">
        <v>41</v>
      </c>
      <c r="F1941" s="8" t="str">
        <f aca="false">TEXT(A1941,"MM-YYYY")</f>
        <v>05-2025</v>
      </c>
      <c r="G1941" s="8" t="s">
        <v>14</v>
      </c>
      <c r="H1941" s="8" t="s">
        <v>232</v>
      </c>
      <c r="I1941" s="7" t="n">
        <v>45799</v>
      </c>
      <c r="J1941" s="8" t="str">
        <f aca="false">VLOOKUP(B1941, Table3[#All], 2, FALSE())</f>
        <v>Inventory</v>
      </c>
      <c r="K1941" s="8" t="str">
        <f aca="false">TEXT(ROW(), "0000")</f>
        <v>1941</v>
      </c>
      <c r="L1941" s="8"/>
    </row>
    <row r="1942" customFormat="false" ht="15.75" hidden="false" customHeight="true" outlineLevel="0" collapsed="false">
      <c r="A1942" s="7" t="n">
        <v>45799</v>
      </c>
      <c r="B1942" s="8" t="s">
        <v>40</v>
      </c>
      <c r="C1942" s="9" t="n">
        <v>2960</v>
      </c>
      <c r="D1942" s="8" t="s">
        <v>45</v>
      </c>
      <c r="E1942" s="10" t="s">
        <v>46</v>
      </c>
      <c r="F1942" s="8" t="str">
        <f aca="false">TEXT(A1942,"MM-YYYY")</f>
        <v>05-2025</v>
      </c>
      <c r="G1942" s="8" t="s">
        <v>14</v>
      </c>
      <c r="H1942" s="8" t="s">
        <v>232</v>
      </c>
      <c r="I1942" s="7" t="n">
        <v>45799</v>
      </c>
      <c r="J1942" s="8" t="str">
        <f aca="false">VLOOKUP(B1942, Table3[#All], 2, FALSE())</f>
        <v>Inventory</v>
      </c>
      <c r="K1942" s="8" t="str">
        <f aca="false">TEXT(ROW(), "0000")</f>
        <v>1942</v>
      </c>
      <c r="L1942" s="8"/>
    </row>
    <row r="1943" customFormat="false" ht="15.75" hidden="false" customHeight="true" outlineLevel="0" collapsed="false">
      <c r="A1943" s="7" t="n">
        <v>45799</v>
      </c>
      <c r="B1943" s="8" t="s">
        <v>29</v>
      </c>
      <c r="C1943" s="9" t="n">
        <v>412</v>
      </c>
      <c r="D1943" s="8" t="s">
        <v>13</v>
      </c>
      <c r="E1943" s="10" t="s">
        <v>302</v>
      </c>
      <c r="F1943" s="8" t="str">
        <f aca="false">TEXT(A1943,"MM-YYYY")</f>
        <v>05-2025</v>
      </c>
      <c r="G1943" s="8" t="s">
        <v>14</v>
      </c>
      <c r="H1943" s="8" t="s">
        <v>13</v>
      </c>
      <c r="I1943" s="7" t="n">
        <v>45809</v>
      </c>
      <c r="J1943" s="8" t="str">
        <f aca="false">VLOOKUP(B1943, Table3[#All], 2, FALSE())</f>
        <v>Inventory</v>
      </c>
      <c r="K1943" s="8" t="str">
        <f aca="false">TEXT(ROW(), "0000")</f>
        <v>1943</v>
      </c>
      <c r="L1943" s="8"/>
    </row>
    <row r="1944" customFormat="false" ht="15.75" hidden="false" customHeight="true" outlineLevel="0" collapsed="false">
      <c r="A1944" s="7" t="n">
        <v>45799</v>
      </c>
      <c r="B1944" s="8" t="s">
        <v>28</v>
      </c>
      <c r="C1944" s="9" t="n">
        <v>885</v>
      </c>
      <c r="D1944" s="8" t="s">
        <v>21</v>
      </c>
      <c r="E1944" s="10" t="s">
        <v>93</v>
      </c>
      <c r="F1944" s="8" t="str">
        <f aca="false">TEXT(A1944,"MM-YYYY")</f>
        <v>05-2025</v>
      </c>
      <c r="G1944" s="8" t="s">
        <v>14</v>
      </c>
      <c r="H1944" s="8" t="s">
        <v>15</v>
      </c>
      <c r="I1944" s="7" t="n">
        <v>45799</v>
      </c>
      <c r="J1944" s="8" t="str">
        <f aca="false">VLOOKUP(B1944, Table3[#All], 2, FALSE())</f>
        <v>Grocery</v>
      </c>
      <c r="K1944" s="8" t="str">
        <f aca="false">TEXT(ROW(), "0000")</f>
        <v>1944</v>
      </c>
      <c r="L1944" s="8"/>
    </row>
    <row r="1945" customFormat="false" ht="15.75" hidden="false" customHeight="true" outlineLevel="0" collapsed="false">
      <c r="A1945" s="7" t="n">
        <v>45799</v>
      </c>
      <c r="B1945" s="8" t="s">
        <v>199</v>
      </c>
      <c r="C1945" s="9" t="n">
        <v>980</v>
      </c>
      <c r="D1945" s="8" t="s">
        <v>21</v>
      </c>
      <c r="E1945" s="10" t="s">
        <v>200</v>
      </c>
      <c r="F1945" s="8" t="str">
        <f aca="false">TEXT(A1945,"MM-YYYY")</f>
        <v>05-2025</v>
      </c>
      <c r="G1945" s="8" t="s">
        <v>14</v>
      </c>
      <c r="H1945" s="8" t="s">
        <v>15</v>
      </c>
      <c r="I1945" s="7" t="n">
        <v>45799</v>
      </c>
      <c r="J1945" s="8" t="str">
        <f aca="false">VLOOKUP(B1945, Table3[#All], 2, FALSE())</f>
        <v>Fixed Maintance</v>
      </c>
      <c r="K1945" s="8" t="str">
        <f aca="false">TEXT(ROW(), "0000")</f>
        <v>1945</v>
      </c>
      <c r="L1945" s="8"/>
    </row>
    <row r="1946" customFormat="false" ht="15.75" hidden="false" customHeight="true" outlineLevel="0" collapsed="false">
      <c r="A1946" s="7" t="n">
        <v>45799</v>
      </c>
      <c r="B1946" s="8" t="s">
        <v>50</v>
      </c>
      <c r="C1946" s="9" t="n">
        <v>1760</v>
      </c>
      <c r="D1946" s="8" t="s">
        <v>13</v>
      </c>
      <c r="E1946" s="10" t="s">
        <v>263</v>
      </c>
      <c r="F1946" s="8" t="str">
        <f aca="false">TEXT(A1946,"MM-YYYY")</f>
        <v>05-2025</v>
      </c>
      <c r="G1946" s="8" t="s">
        <v>14</v>
      </c>
      <c r="H1946" s="8" t="s">
        <v>13</v>
      </c>
      <c r="I1946" s="7" t="n">
        <v>45810</v>
      </c>
      <c r="J1946" s="8" t="str">
        <f aca="false">VLOOKUP(B1946, Table3[#All], 2, FALSE())</f>
        <v>Fixed Maintance</v>
      </c>
      <c r="K1946" s="8" t="str">
        <f aca="false">TEXT(ROW(), "0000")</f>
        <v>1946</v>
      </c>
      <c r="L1946" s="8"/>
    </row>
    <row r="1947" customFormat="false" ht="15.75" hidden="false" customHeight="true" outlineLevel="0" collapsed="false">
      <c r="A1947" s="7" t="n">
        <v>45799</v>
      </c>
      <c r="B1947" s="8" t="s">
        <v>51</v>
      </c>
      <c r="C1947" s="9" t="n">
        <v>160</v>
      </c>
      <c r="D1947" s="8" t="s">
        <v>45</v>
      </c>
      <c r="E1947" s="10" t="s">
        <v>314</v>
      </c>
      <c r="F1947" s="8" t="str">
        <f aca="false">TEXT(A1947,"MM-YYYY")</f>
        <v>05-2025</v>
      </c>
      <c r="G1947" s="8" t="s">
        <v>14</v>
      </c>
      <c r="H1947" s="8" t="s">
        <v>232</v>
      </c>
      <c r="I1947" s="7" t="n">
        <v>45799</v>
      </c>
      <c r="J1947" s="8" t="str">
        <f aca="false">VLOOKUP(B1947, Table3[#All], 2, FALSE())</f>
        <v>Inventory</v>
      </c>
      <c r="K1947" s="8" t="str">
        <f aca="false">TEXT(ROW(), "0000")</f>
        <v>1947</v>
      </c>
      <c r="L1947" s="8"/>
    </row>
    <row r="1948" customFormat="false" ht="15.75" hidden="false" customHeight="true" outlineLevel="0" collapsed="false">
      <c r="A1948" s="7" t="n">
        <v>45799</v>
      </c>
      <c r="B1948" s="8" t="s">
        <v>25</v>
      </c>
      <c r="C1948" s="9" t="n">
        <v>420</v>
      </c>
      <c r="D1948" s="8" t="s">
        <v>45</v>
      </c>
      <c r="E1948" s="10" t="s">
        <v>315</v>
      </c>
      <c r="F1948" s="8" t="str">
        <f aca="false">TEXT(A1948,"MM-YYYY")</f>
        <v>05-2025</v>
      </c>
      <c r="G1948" s="8" t="s">
        <v>14</v>
      </c>
      <c r="H1948" s="8" t="s">
        <v>232</v>
      </c>
      <c r="I1948" s="7" t="n">
        <v>45799</v>
      </c>
      <c r="J1948" s="8" t="str">
        <f aca="false">VLOOKUP(B1948, Table3[#All], 2, FALSE())</f>
        <v>Inventory</v>
      </c>
      <c r="K1948" s="8" t="str">
        <f aca="false">TEXT(ROW(), "0000")</f>
        <v>1948</v>
      </c>
      <c r="L1948" s="8"/>
    </row>
    <row r="1949" customFormat="false" ht="15.75" hidden="false" customHeight="true" outlineLevel="0" collapsed="false">
      <c r="A1949" s="7" t="n">
        <v>45799</v>
      </c>
      <c r="B1949" s="8" t="s">
        <v>16</v>
      </c>
      <c r="C1949" s="9" t="n">
        <v>1954</v>
      </c>
      <c r="D1949" s="8" t="s">
        <v>21</v>
      </c>
      <c r="E1949" s="10" t="s">
        <v>88</v>
      </c>
      <c r="F1949" s="8" t="str">
        <f aca="false">TEXT(A1949,"MM-YYYY")</f>
        <v>05-2025</v>
      </c>
      <c r="G1949" s="8"/>
      <c r="H1949" s="8"/>
      <c r="I1949" s="7"/>
      <c r="J1949" s="8" t="str">
        <f aca="false">VLOOKUP(B1949, Table3[#All], 2, FALSE())</f>
        <v>Sales</v>
      </c>
      <c r="K1949" s="8" t="str">
        <f aca="false">TEXT(ROW(), "0000")</f>
        <v>1949</v>
      </c>
      <c r="L1949" s="8"/>
    </row>
    <row r="1950" customFormat="false" ht="15.75" hidden="false" customHeight="true" outlineLevel="0" collapsed="false">
      <c r="A1950" s="7" t="n">
        <v>45799</v>
      </c>
      <c r="B1950" s="8" t="s">
        <v>16</v>
      </c>
      <c r="C1950" s="9" t="n">
        <v>1055</v>
      </c>
      <c r="D1950" s="8" t="s">
        <v>27</v>
      </c>
      <c r="E1950" s="10" t="s">
        <v>88</v>
      </c>
      <c r="F1950" s="8" t="str">
        <f aca="false">TEXT(A1950,"MM-YYYY")</f>
        <v>05-2025</v>
      </c>
      <c r="G1950" s="8"/>
      <c r="H1950" s="8"/>
      <c r="I1950" s="7"/>
      <c r="J1950" s="8" t="str">
        <f aca="false">VLOOKUP(B1950, Table3[#All], 2, FALSE())</f>
        <v>Sales</v>
      </c>
      <c r="K1950" s="8" t="str">
        <f aca="false">TEXT(ROW(), "0000")</f>
        <v>1950</v>
      </c>
      <c r="L1950" s="8"/>
    </row>
    <row r="1951" customFormat="false" ht="15.75" hidden="false" customHeight="true" outlineLevel="0" collapsed="false">
      <c r="A1951" s="7" t="n">
        <v>45799</v>
      </c>
      <c r="B1951" s="8" t="s">
        <v>16</v>
      </c>
      <c r="C1951" s="9" t="n">
        <v>1000</v>
      </c>
      <c r="D1951" s="8" t="s">
        <v>33</v>
      </c>
      <c r="E1951" s="10" t="s">
        <v>88</v>
      </c>
      <c r="F1951" s="8" t="str">
        <f aca="false">TEXT(A1951,"MM-YYYY")</f>
        <v>05-2025</v>
      </c>
      <c r="G1951" s="8"/>
      <c r="H1951" s="8"/>
      <c r="I1951" s="7"/>
      <c r="J1951" s="8" t="str">
        <f aca="false">VLOOKUP(B1951, Table3[#All], 2, FALSE())</f>
        <v>Sales</v>
      </c>
      <c r="K1951" s="8" t="str">
        <f aca="false">TEXT(ROW(), "0000")</f>
        <v>1951</v>
      </c>
      <c r="L1951" s="8"/>
    </row>
    <row r="1952" customFormat="false" ht="15.75" hidden="false" customHeight="true" outlineLevel="0" collapsed="false">
      <c r="A1952" s="7" t="n">
        <v>45799</v>
      </c>
      <c r="B1952" s="8" t="s">
        <v>16</v>
      </c>
      <c r="C1952" s="9" t="n">
        <v>14730</v>
      </c>
      <c r="D1952" s="8" t="s">
        <v>17</v>
      </c>
      <c r="E1952" s="10" t="s">
        <v>88</v>
      </c>
      <c r="F1952" s="8" t="str">
        <f aca="false">TEXT(A1952,"MM-YYYY")</f>
        <v>05-2025</v>
      </c>
      <c r="G1952" s="8"/>
      <c r="H1952" s="8"/>
      <c r="I1952" s="7"/>
      <c r="J1952" s="8" t="str">
        <f aca="false">VLOOKUP(B1952, Table3[#All], 2, FALSE())</f>
        <v>Sales</v>
      </c>
      <c r="K1952" s="8" t="str">
        <f aca="false">TEXT(ROW(), "0000")</f>
        <v>1952</v>
      </c>
      <c r="L1952" s="8"/>
    </row>
    <row r="1953" customFormat="false" ht="15.75" hidden="false" customHeight="true" outlineLevel="0" collapsed="false">
      <c r="A1953" s="7" t="n">
        <v>45799</v>
      </c>
      <c r="B1953" s="8" t="s">
        <v>16</v>
      </c>
      <c r="C1953" s="9" t="n">
        <v>1835</v>
      </c>
      <c r="D1953" s="8" t="s">
        <v>24</v>
      </c>
      <c r="E1953" s="10" t="s">
        <v>217</v>
      </c>
      <c r="F1953" s="8" t="str">
        <f aca="false">TEXT(A1953,"MM-YYYY")</f>
        <v>05-2025</v>
      </c>
      <c r="G1953" s="8"/>
      <c r="H1953" s="8"/>
      <c r="I1953" s="7"/>
      <c r="J1953" s="8" t="str">
        <f aca="false">VLOOKUP(B1953, Table3[#All], 2, FALSE())</f>
        <v>Sales</v>
      </c>
      <c r="K1953" s="8" t="str">
        <f aca="false">TEXT(ROW(), "0000")</f>
        <v>1953</v>
      </c>
      <c r="L1953" s="8"/>
    </row>
    <row r="1954" customFormat="false" ht="15.75" hidden="false" customHeight="true" outlineLevel="0" collapsed="false">
      <c r="A1954" s="7" t="n">
        <v>45799</v>
      </c>
      <c r="B1954" s="8" t="s">
        <v>29</v>
      </c>
      <c r="C1954" s="9" t="n">
        <v>25</v>
      </c>
      <c r="D1954" s="8" t="s">
        <v>21</v>
      </c>
      <c r="E1954" s="10" t="s">
        <v>194</v>
      </c>
      <c r="F1954" s="8" t="str">
        <f aca="false">TEXT(A1954,"MM-YYYY")</f>
        <v>05-2025</v>
      </c>
      <c r="G1954" s="8" t="s">
        <v>14</v>
      </c>
      <c r="H1954" s="8" t="s">
        <v>15</v>
      </c>
      <c r="I1954" s="7" t="n">
        <v>45799</v>
      </c>
      <c r="J1954" s="8" t="str">
        <f aca="false">VLOOKUP(B1954, Table3[#All], 2, FALSE())</f>
        <v>Inventory</v>
      </c>
      <c r="K1954" s="8" t="str">
        <f aca="false">TEXT(ROW(), "0000")</f>
        <v>1954</v>
      </c>
      <c r="L1954" s="8"/>
    </row>
    <row r="1955" customFormat="false" ht="15.75" hidden="false" customHeight="true" outlineLevel="0" collapsed="false">
      <c r="A1955" s="7" t="n">
        <v>45799</v>
      </c>
      <c r="B1955" s="8" t="s">
        <v>37</v>
      </c>
      <c r="C1955" s="9" t="n">
        <v>14</v>
      </c>
      <c r="D1955" s="8" t="s">
        <v>21</v>
      </c>
      <c r="E1955" s="10" t="s">
        <v>37</v>
      </c>
      <c r="F1955" s="8" t="str">
        <f aca="false">TEXT(A1955,"MM-YYYY")</f>
        <v>05-2025</v>
      </c>
      <c r="G1955" s="8" t="s">
        <v>14</v>
      </c>
      <c r="H1955" s="8" t="s">
        <v>15</v>
      </c>
      <c r="I1955" s="7" t="n">
        <v>45799</v>
      </c>
      <c r="J1955" s="8" t="str">
        <f aca="false">VLOOKUP(B1955, Table3[#All], 2, FALSE())</f>
        <v>Maintance</v>
      </c>
      <c r="K1955" s="8" t="str">
        <f aca="false">TEXT(ROW(), "0000")</f>
        <v>1955</v>
      </c>
      <c r="L1955" s="8"/>
    </row>
    <row r="1956" customFormat="false" ht="15.75" hidden="false" customHeight="true" outlineLevel="0" collapsed="false">
      <c r="A1956" s="7" t="n">
        <v>45799</v>
      </c>
      <c r="B1956" s="8" t="s">
        <v>34</v>
      </c>
      <c r="C1956" s="9" t="n">
        <v>170</v>
      </c>
      <c r="D1956" s="8" t="s">
        <v>45</v>
      </c>
      <c r="E1956" s="10" t="s">
        <v>267</v>
      </c>
      <c r="F1956" s="8" t="str">
        <f aca="false">TEXT(A1956,"MM-YYYY")</f>
        <v>05-2025</v>
      </c>
      <c r="G1956" s="8" t="s">
        <v>14</v>
      </c>
      <c r="H1956" s="8" t="s">
        <v>232</v>
      </c>
      <c r="I1956" s="7" t="n">
        <v>45799</v>
      </c>
      <c r="J1956" s="8" t="str">
        <f aca="false">VLOOKUP(B1956, Table3[#All], 2, FALSE())</f>
        <v>Staff Expenses</v>
      </c>
      <c r="K1956" s="8" t="str">
        <f aca="false">TEXT(ROW(), "0000")</f>
        <v>1956</v>
      </c>
      <c r="L1956" s="8"/>
    </row>
    <row r="1957" customFormat="false" ht="15.75" hidden="false" customHeight="true" outlineLevel="0" collapsed="false">
      <c r="A1957" s="7" t="n">
        <v>45799</v>
      </c>
      <c r="B1957" s="8" t="s">
        <v>44</v>
      </c>
      <c r="C1957" s="9" t="n">
        <v>200</v>
      </c>
      <c r="D1957" s="8" t="s">
        <v>45</v>
      </c>
      <c r="E1957" s="10" t="s">
        <v>316</v>
      </c>
      <c r="F1957" s="8" t="str">
        <f aca="false">TEXT(A1957,"MM-YYYY")</f>
        <v>05-2025</v>
      </c>
      <c r="G1957" s="8" t="s">
        <v>14</v>
      </c>
      <c r="H1957" s="8" t="s">
        <v>232</v>
      </c>
      <c r="I1957" s="7" t="n">
        <v>45799</v>
      </c>
      <c r="J1957" s="8" t="str">
        <f aca="false">VLOOKUP(B1957, Table3[#All], 2, FALSE())</f>
        <v>Salary</v>
      </c>
      <c r="K1957" s="8" t="str">
        <f aca="false">TEXT(ROW(), "0000")</f>
        <v>1957</v>
      </c>
      <c r="L1957" s="8"/>
    </row>
    <row r="1958" customFormat="false" ht="15.75" hidden="false" customHeight="true" outlineLevel="0" collapsed="false">
      <c r="A1958" s="7" t="n">
        <v>45799</v>
      </c>
      <c r="B1958" s="8" t="s">
        <v>44</v>
      </c>
      <c r="C1958" s="9" t="n">
        <v>100</v>
      </c>
      <c r="D1958" s="8" t="s">
        <v>45</v>
      </c>
      <c r="E1958" s="10" t="s">
        <v>317</v>
      </c>
      <c r="F1958" s="8" t="str">
        <f aca="false">TEXT(A1958,"MM-YYYY")</f>
        <v>05-2025</v>
      </c>
      <c r="G1958" s="8" t="s">
        <v>14</v>
      </c>
      <c r="H1958" s="8" t="s">
        <v>232</v>
      </c>
      <c r="I1958" s="7" t="n">
        <v>45799</v>
      </c>
      <c r="J1958" s="8" t="str">
        <f aca="false">VLOOKUP(B1958, Table3[#All], 2, FALSE())</f>
        <v>Salary</v>
      </c>
      <c r="K1958" s="8" t="str">
        <f aca="false">TEXT(ROW(), "0000")</f>
        <v>1958</v>
      </c>
      <c r="L1958" s="8"/>
    </row>
    <row r="1959" customFormat="false" ht="15.75" hidden="false" customHeight="true" outlineLevel="0" collapsed="false">
      <c r="A1959" s="7" t="n">
        <v>45800</v>
      </c>
      <c r="B1959" s="8" t="s">
        <v>22</v>
      </c>
      <c r="C1959" s="9" t="n">
        <v>3700</v>
      </c>
      <c r="D1959" s="8" t="s">
        <v>13</v>
      </c>
      <c r="E1959" s="10" t="s">
        <v>23</v>
      </c>
      <c r="F1959" s="8" t="str">
        <f aca="false">TEXT(A1959,"MM-YYYY")</f>
        <v>05-2025</v>
      </c>
      <c r="G1959" s="8" t="s">
        <v>14</v>
      </c>
      <c r="H1959" s="8" t="s">
        <v>13</v>
      </c>
      <c r="I1959" s="7" t="n">
        <v>45806</v>
      </c>
      <c r="J1959" s="8" t="str">
        <f aca="false">VLOOKUP(B1959, Table3[#All], 2, FALSE())</f>
        <v>Inventory</v>
      </c>
      <c r="K1959" s="8" t="str">
        <f aca="false">TEXT(ROW(), "0000")</f>
        <v>1959</v>
      </c>
      <c r="L1959" s="8"/>
    </row>
    <row r="1960" customFormat="false" ht="15.75" hidden="false" customHeight="true" outlineLevel="0" collapsed="false">
      <c r="A1960" s="7" t="n">
        <v>45800</v>
      </c>
      <c r="B1960" s="8" t="s">
        <v>47</v>
      </c>
      <c r="C1960" s="9" t="n">
        <v>1680</v>
      </c>
      <c r="D1960" s="8" t="s">
        <v>13</v>
      </c>
      <c r="E1960" s="10" t="s">
        <v>223</v>
      </c>
      <c r="F1960" s="8" t="str">
        <f aca="false">TEXT(A1960,"MM-YYYY")</f>
        <v>05-2025</v>
      </c>
      <c r="G1960" s="8" t="s">
        <v>14</v>
      </c>
      <c r="H1960" s="8" t="s">
        <v>13</v>
      </c>
      <c r="I1960" s="7" t="n">
        <v>45810</v>
      </c>
      <c r="J1960" s="8" t="str">
        <f aca="false">VLOOKUP(B1960, Table3[#All], 2, FALSE())</f>
        <v>Inventory</v>
      </c>
      <c r="K1960" s="8" t="str">
        <f aca="false">TEXT(ROW(), "0000")</f>
        <v>1960</v>
      </c>
      <c r="L1960" s="8"/>
    </row>
    <row r="1961" customFormat="false" ht="15.75" hidden="false" customHeight="true" outlineLevel="0" collapsed="false">
      <c r="A1961" s="7" t="n">
        <v>45800</v>
      </c>
      <c r="B1961" s="8" t="s">
        <v>19</v>
      </c>
      <c r="C1961" s="9" t="n">
        <v>4850</v>
      </c>
      <c r="D1961" s="8" t="s">
        <v>13</v>
      </c>
      <c r="E1961" s="10" t="s">
        <v>20</v>
      </c>
      <c r="F1961" s="8" t="str">
        <f aca="false">TEXT(A1961,"MM-YYYY")</f>
        <v>05-2025</v>
      </c>
      <c r="G1961" s="8" t="s">
        <v>14</v>
      </c>
      <c r="H1961" s="8" t="s">
        <v>13</v>
      </c>
      <c r="I1961" s="7" t="n">
        <v>45806</v>
      </c>
      <c r="J1961" s="8" t="str">
        <f aca="false">VLOOKUP(B1961, Table3[#All], 2, FALSE())</f>
        <v>Inventory</v>
      </c>
      <c r="K1961" s="8" t="str">
        <f aca="false">TEXT(ROW(), "0000")</f>
        <v>1961</v>
      </c>
      <c r="L1961" s="8"/>
    </row>
    <row r="1962" customFormat="false" ht="15.75" hidden="false" customHeight="true" outlineLevel="0" collapsed="false">
      <c r="A1962" s="7" t="n">
        <v>45800</v>
      </c>
      <c r="B1962" s="8" t="s">
        <v>22</v>
      </c>
      <c r="C1962" s="9" t="n">
        <v>3039</v>
      </c>
      <c r="D1962" s="8" t="s">
        <v>13</v>
      </c>
      <c r="E1962" s="10" t="s">
        <v>318</v>
      </c>
      <c r="F1962" s="8" t="str">
        <f aca="false">TEXT(A1962,"MM-YYYY")</f>
        <v>05-2025</v>
      </c>
      <c r="G1962" s="8" t="s">
        <v>14</v>
      </c>
      <c r="H1962" s="8" t="s">
        <v>262</v>
      </c>
      <c r="I1962" s="7" t="n">
        <v>45799</v>
      </c>
      <c r="J1962" s="8" t="str">
        <f aca="false">VLOOKUP(B1962, Table3[#All], 2, FALSE())</f>
        <v>Inventory</v>
      </c>
      <c r="K1962" s="8" t="str">
        <f aca="false">TEXT(ROW(), "0000")</f>
        <v>1962</v>
      </c>
      <c r="L1962" s="8"/>
    </row>
    <row r="1963" customFormat="false" ht="15.75" hidden="false" customHeight="true" outlineLevel="0" collapsed="false">
      <c r="A1963" s="7" t="n">
        <v>45800</v>
      </c>
      <c r="B1963" s="8" t="s">
        <v>25</v>
      </c>
      <c r="C1963" s="9" t="n">
        <v>787</v>
      </c>
      <c r="D1963" s="8" t="s">
        <v>13</v>
      </c>
      <c r="E1963" s="10" t="s">
        <v>26</v>
      </c>
      <c r="F1963" s="8" t="str">
        <f aca="false">TEXT(A1963,"MM-YYYY")</f>
        <v>05-2025</v>
      </c>
      <c r="G1963" s="21" t="s">
        <v>14</v>
      </c>
      <c r="H1963" s="8" t="s">
        <v>13</v>
      </c>
      <c r="I1963" s="7" t="n">
        <v>45825</v>
      </c>
      <c r="J1963" s="8" t="str">
        <f aca="false">VLOOKUP(B1963, Table3[#All], 2, FALSE())</f>
        <v>Inventory</v>
      </c>
      <c r="K1963" s="8" t="str">
        <f aca="false">TEXT(ROW(), "0000")</f>
        <v>1963</v>
      </c>
      <c r="L1963" s="8"/>
    </row>
    <row r="1964" customFormat="false" ht="15.75" hidden="false" customHeight="true" outlineLevel="0" collapsed="false">
      <c r="A1964" s="7" t="n">
        <v>45800</v>
      </c>
      <c r="B1964" s="8" t="s">
        <v>32</v>
      </c>
      <c r="C1964" s="9" t="n">
        <v>175</v>
      </c>
      <c r="D1964" s="8" t="s">
        <v>21</v>
      </c>
      <c r="E1964" s="10" t="s">
        <v>38</v>
      </c>
      <c r="F1964" s="8" t="str">
        <f aca="false">TEXT(A1964,"MM-YYYY")</f>
        <v>05-2025</v>
      </c>
      <c r="G1964" s="8" t="s">
        <v>14</v>
      </c>
      <c r="H1964" s="8" t="s">
        <v>15</v>
      </c>
      <c r="I1964" s="7" t="n">
        <v>45800</v>
      </c>
      <c r="J1964" s="8" t="str">
        <f aca="false">VLOOKUP(B1964, Table3[#All], 2, FALSE())</f>
        <v>Grocery</v>
      </c>
      <c r="K1964" s="8" t="str">
        <f aca="false">TEXT(ROW(), "0000")</f>
        <v>1964</v>
      </c>
      <c r="L1964" s="8"/>
    </row>
    <row r="1965" customFormat="false" ht="15.75" hidden="false" customHeight="true" outlineLevel="0" collapsed="false">
      <c r="A1965" s="7" t="n">
        <v>45800</v>
      </c>
      <c r="B1965" s="8" t="s">
        <v>50</v>
      </c>
      <c r="C1965" s="9" t="n">
        <v>1760</v>
      </c>
      <c r="D1965" s="8" t="s">
        <v>13</v>
      </c>
      <c r="E1965" s="10" t="s">
        <v>263</v>
      </c>
      <c r="F1965" s="8" t="str">
        <f aca="false">TEXT(A1965,"MM-YYYY")</f>
        <v>05-2025</v>
      </c>
      <c r="G1965" s="8" t="s">
        <v>14</v>
      </c>
      <c r="H1965" s="8" t="s">
        <v>13</v>
      </c>
      <c r="I1965" s="7" t="n">
        <v>45810</v>
      </c>
      <c r="J1965" s="8" t="str">
        <f aca="false">VLOOKUP(B1965, Table3[#All], 2, FALSE())</f>
        <v>Fixed Maintance</v>
      </c>
      <c r="K1965" s="8" t="str">
        <f aca="false">TEXT(ROW(), "0000")</f>
        <v>1965</v>
      </c>
      <c r="L1965" s="8"/>
    </row>
    <row r="1966" customFormat="false" ht="15.75" hidden="false" customHeight="true" outlineLevel="0" collapsed="false">
      <c r="A1966" s="7" t="n">
        <v>45800</v>
      </c>
      <c r="B1966" s="8" t="s">
        <v>29</v>
      </c>
      <c r="C1966" s="9" t="n">
        <v>663</v>
      </c>
      <c r="D1966" s="8" t="s">
        <v>13</v>
      </c>
      <c r="E1966" s="10" t="s">
        <v>302</v>
      </c>
      <c r="F1966" s="8" t="str">
        <f aca="false">TEXT(A1966,"MM-YYYY")</f>
        <v>05-2025</v>
      </c>
      <c r="G1966" s="8" t="s">
        <v>14</v>
      </c>
      <c r="H1966" s="8" t="s">
        <v>13</v>
      </c>
      <c r="I1966" s="7" t="n">
        <v>45809</v>
      </c>
      <c r="J1966" s="8" t="str">
        <f aca="false">VLOOKUP(B1966, Table3[#All], 2, FALSE())</f>
        <v>Inventory</v>
      </c>
      <c r="K1966" s="8" t="str">
        <f aca="false">TEXT(ROW(), "0000")</f>
        <v>1966</v>
      </c>
      <c r="L1966" s="8"/>
    </row>
    <row r="1967" customFormat="false" ht="15.75" hidden="false" customHeight="true" outlineLevel="0" collapsed="false">
      <c r="A1967" s="7" t="n">
        <v>45800</v>
      </c>
      <c r="B1967" s="8" t="s">
        <v>25</v>
      </c>
      <c r="C1967" s="9" t="n">
        <v>350</v>
      </c>
      <c r="D1967" s="8" t="s">
        <v>45</v>
      </c>
      <c r="E1967" s="10" t="s">
        <v>319</v>
      </c>
      <c r="F1967" s="8" t="str">
        <f aca="false">TEXT(A1967,"MM-YYYY")</f>
        <v>05-2025</v>
      </c>
      <c r="G1967" s="8" t="s">
        <v>14</v>
      </c>
      <c r="H1967" s="8" t="s">
        <v>232</v>
      </c>
      <c r="I1967" s="7" t="n">
        <v>45800</v>
      </c>
      <c r="J1967" s="8" t="str">
        <f aca="false">VLOOKUP(B1967, Table3[#All], 2, FALSE())</f>
        <v>Inventory</v>
      </c>
      <c r="K1967" s="8" t="str">
        <f aca="false">TEXT(ROW(), "0000")</f>
        <v>1967</v>
      </c>
      <c r="L1967" s="8"/>
    </row>
    <row r="1968" customFormat="false" ht="15.75" hidden="false" customHeight="true" outlineLevel="0" collapsed="false">
      <c r="A1968" s="7" t="n">
        <v>45800</v>
      </c>
      <c r="B1968" s="8" t="s">
        <v>16</v>
      </c>
      <c r="C1968" s="9" t="n">
        <v>3139</v>
      </c>
      <c r="D1968" s="8" t="s">
        <v>21</v>
      </c>
      <c r="E1968" s="10" t="s">
        <v>88</v>
      </c>
      <c r="F1968" s="8" t="str">
        <f aca="false">TEXT(A1968,"MM-YYYY")</f>
        <v>05-2025</v>
      </c>
      <c r="G1968" s="8"/>
      <c r="H1968" s="8"/>
      <c r="I1968" s="7"/>
      <c r="J1968" s="8" t="str">
        <f aca="false">VLOOKUP(B1968, Table3[#All], 2, FALSE())</f>
        <v>Sales</v>
      </c>
      <c r="K1968" s="8" t="str">
        <f aca="false">TEXT(ROW(), "0000")</f>
        <v>1968</v>
      </c>
      <c r="L1968" s="8"/>
    </row>
    <row r="1969" customFormat="false" ht="15.75" hidden="false" customHeight="true" outlineLevel="0" collapsed="false">
      <c r="A1969" s="7" t="n">
        <v>45800</v>
      </c>
      <c r="B1969" s="8" t="s">
        <v>16</v>
      </c>
      <c r="C1969" s="9" t="n">
        <v>225</v>
      </c>
      <c r="D1969" s="8" t="s">
        <v>27</v>
      </c>
      <c r="E1969" s="10" t="s">
        <v>88</v>
      </c>
      <c r="F1969" s="8" t="str">
        <f aca="false">TEXT(A1969,"MM-YYYY")</f>
        <v>05-2025</v>
      </c>
      <c r="G1969" s="8"/>
      <c r="H1969" s="8"/>
      <c r="I1969" s="7"/>
      <c r="J1969" s="8" t="str">
        <f aca="false">VLOOKUP(B1969, Table3[#All], 2, FALSE())</f>
        <v>Sales</v>
      </c>
      <c r="K1969" s="8" t="str">
        <f aca="false">TEXT(ROW(), "0000")</f>
        <v>1969</v>
      </c>
      <c r="L1969" s="8"/>
    </row>
    <row r="1970" customFormat="false" ht="15.75" hidden="false" customHeight="true" outlineLevel="0" collapsed="false">
      <c r="A1970" s="7" t="n">
        <v>45800</v>
      </c>
      <c r="B1970" s="8" t="s">
        <v>16</v>
      </c>
      <c r="C1970" s="9" t="n">
        <v>16944</v>
      </c>
      <c r="D1970" s="8" t="s">
        <v>17</v>
      </c>
      <c r="E1970" s="10" t="s">
        <v>88</v>
      </c>
      <c r="F1970" s="8" t="str">
        <f aca="false">TEXT(A1970,"MM-YYYY")</f>
        <v>05-2025</v>
      </c>
      <c r="G1970" s="8"/>
      <c r="H1970" s="8"/>
      <c r="I1970" s="7"/>
      <c r="J1970" s="8" t="str">
        <f aca="false">VLOOKUP(B1970, Table3[#All], 2, FALSE())</f>
        <v>Sales</v>
      </c>
      <c r="K1970" s="8" t="str">
        <f aca="false">TEXT(ROW(), "0000")</f>
        <v>1970</v>
      </c>
      <c r="L1970" s="8"/>
    </row>
    <row r="1971" customFormat="false" ht="15.75" hidden="false" customHeight="true" outlineLevel="0" collapsed="false">
      <c r="A1971" s="7" t="n">
        <v>45800</v>
      </c>
      <c r="B1971" s="8" t="s">
        <v>16</v>
      </c>
      <c r="C1971" s="9" t="n">
        <v>2632</v>
      </c>
      <c r="D1971" s="8" t="s">
        <v>24</v>
      </c>
      <c r="E1971" s="10" t="s">
        <v>217</v>
      </c>
      <c r="F1971" s="8" t="str">
        <f aca="false">TEXT(A1971,"MM-YYYY")</f>
        <v>05-2025</v>
      </c>
      <c r="G1971" s="8"/>
      <c r="H1971" s="8"/>
      <c r="I1971" s="7"/>
      <c r="J1971" s="8" t="str">
        <f aca="false">VLOOKUP(B1971, Table3[#All], 2, FALSE())</f>
        <v>Sales</v>
      </c>
      <c r="K1971" s="8" t="str">
        <f aca="false">TEXT(ROW(), "0000")</f>
        <v>1971</v>
      </c>
      <c r="L1971" s="8"/>
    </row>
    <row r="1972" customFormat="false" ht="15.75" hidden="false" customHeight="true" outlineLevel="0" collapsed="false">
      <c r="A1972" s="7" t="n">
        <v>45800</v>
      </c>
      <c r="B1972" s="8" t="s">
        <v>37</v>
      </c>
      <c r="C1972" s="9" t="n">
        <v>24</v>
      </c>
      <c r="D1972" s="8" t="s">
        <v>21</v>
      </c>
      <c r="E1972" s="10" t="s">
        <v>37</v>
      </c>
      <c r="F1972" s="8" t="str">
        <f aca="false">TEXT(A1972,"MM-YYYY")</f>
        <v>05-2025</v>
      </c>
      <c r="G1972" s="8" t="s">
        <v>14</v>
      </c>
      <c r="H1972" s="8" t="s">
        <v>15</v>
      </c>
      <c r="I1972" s="7" t="n">
        <v>45800</v>
      </c>
      <c r="J1972" s="8" t="str">
        <f aca="false">VLOOKUP(B1972, Table3[#All], 2, FALSE())</f>
        <v>Maintance</v>
      </c>
      <c r="K1972" s="8" t="str">
        <f aca="false">TEXT(ROW(), "0000")</f>
        <v>1972</v>
      </c>
      <c r="L1972" s="8"/>
    </row>
    <row r="1973" customFormat="false" ht="15.75" hidden="false" customHeight="true" outlineLevel="0" collapsed="false">
      <c r="A1973" s="7" t="n">
        <v>45800</v>
      </c>
      <c r="B1973" s="8" t="s">
        <v>34</v>
      </c>
      <c r="C1973" s="9" t="n">
        <v>140</v>
      </c>
      <c r="D1973" s="8" t="s">
        <v>45</v>
      </c>
      <c r="E1973" s="10" t="s">
        <v>267</v>
      </c>
      <c r="F1973" s="8" t="str">
        <f aca="false">TEXT(A1973,"MM-YYYY")</f>
        <v>05-2025</v>
      </c>
      <c r="G1973" s="8" t="s">
        <v>14</v>
      </c>
      <c r="H1973" s="8" t="s">
        <v>232</v>
      </c>
      <c r="I1973" s="7" t="n">
        <v>45800</v>
      </c>
      <c r="J1973" s="8" t="str">
        <f aca="false">VLOOKUP(B1973, Table3[#All], 2, FALSE())</f>
        <v>Staff Expenses</v>
      </c>
      <c r="K1973" s="8" t="str">
        <f aca="false">TEXT(ROW(), "0000")</f>
        <v>1973</v>
      </c>
      <c r="L1973" s="8"/>
    </row>
    <row r="1974" customFormat="false" ht="15.75" hidden="false" customHeight="true" outlineLevel="0" collapsed="false">
      <c r="A1974" s="7" t="n">
        <v>45800</v>
      </c>
      <c r="B1974" s="8" t="s">
        <v>16</v>
      </c>
      <c r="C1974" s="9" t="n">
        <v>300</v>
      </c>
      <c r="D1974" s="8" t="s">
        <v>70</v>
      </c>
      <c r="E1974" s="10" t="s">
        <v>320</v>
      </c>
      <c r="F1974" s="8" t="str">
        <f aca="false">TEXT(A1974,"MM-YYYY")</f>
        <v>05-2025</v>
      </c>
      <c r="G1974" s="8"/>
      <c r="H1974" s="8"/>
      <c r="I1974" s="7"/>
      <c r="J1974" s="8" t="str">
        <f aca="false">VLOOKUP(B1974, Table3[#All], 2, FALSE())</f>
        <v>Sales</v>
      </c>
      <c r="K1974" s="8" t="str">
        <f aca="false">TEXT(ROW(), "0000")</f>
        <v>1974</v>
      </c>
      <c r="L1974" s="8"/>
    </row>
    <row r="1975" customFormat="false" ht="15.75" hidden="false" customHeight="true" outlineLevel="0" collapsed="false">
      <c r="A1975" s="7" t="n">
        <v>45801</v>
      </c>
      <c r="B1975" s="8" t="s">
        <v>25</v>
      </c>
      <c r="C1975" s="9" t="n">
        <v>1431</v>
      </c>
      <c r="D1975" s="8" t="s">
        <v>13</v>
      </c>
      <c r="E1975" s="10" t="s">
        <v>26</v>
      </c>
      <c r="F1975" s="8" t="str">
        <f aca="false">TEXT(A1975,"MM-YYYY")</f>
        <v>05-2025</v>
      </c>
      <c r="G1975" s="21" t="s">
        <v>14</v>
      </c>
      <c r="H1975" s="8" t="s">
        <v>13</v>
      </c>
      <c r="I1975" s="7" t="n">
        <v>45825</v>
      </c>
      <c r="J1975" s="8" t="str">
        <f aca="false">VLOOKUP(B1975, Table3[#All], 2, FALSE())</f>
        <v>Inventory</v>
      </c>
      <c r="K1975" s="8" t="str">
        <f aca="false">TEXT(ROW(), "0000")</f>
        <v>1975</v>
      </c>
      <c r="L1975" s="8"/>
    </row>
    <row r="1976" customFormat="false" ht="15.75" hidden="false" customHeight="true" outlineLevel="0" collapsed="false">
      <c r="A1976" s="7" t="n">
        <v>45801</v>
      </c>
      <c r="B1976" s="8" t="s">
        <v>19</v>
      </c>
      <c r="C1976" s="9" t="n">
        <v>3855</v>
      </c>
      <c r="D1976" s="8" t="s">
        <v>13</v>
      </c>
      <c r="E1976" s="10" t="s">
        <v>20</v>
      </c>
      <c r="F1976" s="8" t="str">
        <f aca="false">TEXT(A1976,"MM-YYYY")</f>
        <v>05-2025</v>
      </c>
      <c r="G1976" s="8" t="s">
        <v>14</v>
      </c>
      <c r="H1976" s="8" t="s">
        <v>13</v>
      </c>
      <c r="I1976" s="7" t="n">
        <v>45808</v>
      </c>
      <c r="J1976" s="8" t="str">
        <f aca="false">VLOOKUP(B1976, Table3[#All], 2, FALSE())</f>
        <v>Inventory</v>
      </c>
      <c r="K1976" s="8" t="str">
        <f aca="false">TEXT(ROW(), "0000")</f>
        <v>1976</v>
      </c>
      <c r="L1976" s="8"/>
    </row>
    <row r="1977" customFormat="false" ht="15.75" hidden="false" customHeight="true" outlineLevel="0" collapsed="false">
      <c r="A1977" s="7" t="n">
        <v>45801</v>
      </c>
      <c r="B1977" s="8" t="s">
        <v>22</v>
      </c>
      <c r="C1977" s="9" t="n">
        <v>3394</v>
      </c>
      <c r="D1977" s="8" t="s">
        <v>13</v>
      </c>
      <c r="E1977" s="10" t="s">
        <v>23</v>
      </c>
      <c r="F1977" s="8" t="str">
        <f aca="false">TEXT(A1977,"MM-YYYY")</f>
        <v>05-2025</v>
      </c>
      <c r="G1977" s="8" t="s">
        <v>14</v>
      </c>
      <c r="H1977" s="8" t="s">
        <v>13</v>
      </c>
      <c r="I1977" s="7" t="n">
        <v>45808</v>
      </c>
      <c r="J1977" s="8" t="str">
        <f aca="false">VLOOKUP(B1977, Table3[#All], 2, FALSE())</f>
        <v>Inventory</v>
      </c>
      <c r="K1977" s="8" t="str">
        <f aca="false">TEXT(ROW(), "0000")</f>
        <v>1977</v>
      </c>
      <c r="L1977" s="8"/>
    </row>
    <row r="1978" customFormat="false" ht="15.75" hidden="false" customHeight="true" outlineLevel="0" collapsed="false">
      <c r="A1978" s="7" t="n">
        <v>45801</v>
      </c>
      <c r="B1978" s="8" t="s">
        <v>22</v>
      </c>
      <c r="C1978" s="9" t="n">
        <v>110</v>
      </c>
      <c r="D1978" s="8" t="s">
        <v>45</v>
      </c>
      <c r="E1978" s="10" t="s">
        <v>213</v>
      </c>
      <c r="F1978" s="8" t="str">
        <f aca="false">TEXT(A1978,"MM-YYYY")</f>
        <v>05-2025</v>
      </c>
      <c r="G1978" s="8" t="s">
        <v>14</v>
      </c>
      <c r="H1978" s="8" t="s">
        <v>232</v>
      </c>
      <c r="I1978" s="7" t="n">
        <v>45801</v>
      </c>
      <c r="J1978" s="8" t="str">
        <f aca="false">VLOOKUP(B1978, Table3[#All], 2, FALSE())</f>
        <v>Inventory</v>
      </c>
      <c r="K1978" s="8" t="str">
        <f aca="false">TEXT(ROW(), "0000")</f>
        <v>1978</v>
      </c>
      <c r="L1978" s="8"/>
    </row>
    <row r="1979" customFormat="false" ht="15.75" hidden="false" customHeight="true" outlineLevel="0" collapsed="false">
      <c r="A1979" s="7" t="n">
        <v>45801</v>
      </c>
      <c r="B1979" s="8" t="s">
        <v>29</v>
      </c>
      <c r="C1979" s="9" t="n">
        <v>620</v>
      </c>
      <c r="D1979" s="8" t="s">
        <v>45</v>
      </c>
      <c r="E1979" s="10" t="s">
        <v>78</v>
      </c>
      <c r="F1979" s="8" t="str">
        <f aca="false">TEXT(A1979,"MM-YYYY")</f>
        <v>05-2025</v>
      </c>
      <c r="G1979" s="8" t="s">
        <v>14</v>
      </c>
      <c r="H1979" s="8" t="s">
        <v>232</v>
      </c>
      <c r="I1979" s="7" t="n">
        <v>45801</v>
      </c>
      <c r="J1979" s="8" t="str">
        <f aca="false">VLOOKUP(B1979, Table3[#All], 2, FALSE())</f>
        <v>Inventory</v>
      </c>
      <c r="K1979" s="8" t="str">
        <f aca="false">TEXT(ROW(), "0000")</f>
        <v>1979</v>
      </c>
      <c r="L1979" s="8"/>
    </row>
    <row r="1980" customFormat="false" ht="15.75" hidden="false" customHeight="true" outlineLevel="0" collapsed="false">
      <c r="A1980" s="7" t="n">
        <v>45801</v>
      </c>
      <c r="B1980" s="8" t="s">
        <v>53</v>
      </c>
      <c r="C1980" s="9" t="n">
        <v>585</v>
      </c>
      <c r="D1980" s="8" t="s">
        <v>45</v>
      </c>
      <c r="E1980" s="10" t="s">
        <v>54</v>
      </c>
      <c r="F1980" s="8" t="str">
        <f aca="false">TEXT(A1980,"MM-YYYY")</f>
        <v>05-2025</v>
      </c>
      <c r="G1980" s="8" t="s">
        <v>14</v>
      </c>
      <c r="H1980" s="8" t="s">
        <v>232</v>
      </c>
      <c r="I1980" s="7" t="n">
        <v>45801</v>
      </c>
      <c r="J1980" s="8" t="str">
        <f aca="false">VLOOKUP(B1980, Table3[#All], 2, FALSE())</f>
        <v>Grocery</v>
      </c>
      <c r="K1980" s="8" t="str">
        <f aca="false">TEXT(ROW(), "0000")</f>
        <v>1980</v>
      </c>
      <c r="L1980" s="8"/>
    </row>
    <row r="1981" customFormat="false" ht="15.75" hidden="false" customHeight="true" outlineLevel="0" collapsed="false">
      <c r="A1981" s="7" t="n">
        <v>45801</v>
      </c>
      <c r="B1981" s="8" t="s">
        <v>32</v>
      </c>
      <c r="C1981" s="9" t="n">
        <v>140</v>
      </c>
      <c r="D1981" s="8" t="s">
        <v>45</v>
      </c>
      <c r="E1981" s="10" t="s">
        <v>38</v>
      </c>
      <c r="F1981" s="8" t="str">
        <f aca="false">TEXT(A1981,"MM-YYYY")</f>
        <v>05-2025</v>
      </c>
      <c r="G1981" s="8" t="s">
        <v>14</v>
      </c>
      <c r="H1981" s="8" t="s">
        <v>232</v>
      </c>
      <c r="I1981" s="7" t="n">
        <v>45801</v>
      </c>
      <c r="J1981" s="8" t="str">
        <f aca="false">VLOOKUP(B1981, Table3[#All], 2, FALSE())</f>
        <v>Grocery</v>
      </c>
      <c r="K1981" s="8" t="str">
        <f aca="false">TEXT(ROW(), "0000")</f>
        <v>1981</v>
      </c>
      <c r="L1981" s="8"/>
    </row>
    <row r="1982" customFormat="false" ht="15.75" hidden="false" customHeight="true" outlineLevel="0" collapsed="false">
      <c r="A1982" s="7" t="n">
        <v>45801</v>
      </c>
      <c r="B1982" s="8" t="s">
        <v>29</v>
      </c>
      <c r="C1982" s="9" t="n">
        <v>789</v>
      </c>
      <c r="D1982" s="8" t="s">
        <v>13</v>
      </c>
      <c r="E1982" s="10" t="s">
        <v>302</v>
      </c>
      <c r="F1982" s="8" t="str">
        <f aca="false">TEXT(A1982,"MM-YYYY")</f>
        <v>05-2025</v>
      </c>
      <c r="G1982" s="8" t="s">
        <v>14</v>
      </c>
      <c r="H1982" s="8" t="s">
        <v>13</v>
      </c>
      <c r="I1982" s="7" t="n">
        <v>45809</v>
      </c>
      <c r="J1982" s="8" t="str">
        <f aca="false">VLOOKUP(B1982, Table3[#All], 2, FALSE())</f>
        <v>Inventory</v>
      </c>
      <c r="K1982" s="8" t="str">
        <f aca="false">TEXT(ROW(), "0000")</f>
        <v>1982</v>
      </c>
      <c r="L1982" s="8"/>
    </row>
    <row r="1983" customFormat="false" ht="15.75" hidden="false" customHeight="true" outlineLevel="0" collapsed="false">
      <c r="A1983" s="7" t="n">
        <v>45801</v>
      </c>
      <c r="B1983" s="8" t="s">
        <v>56</v>
      </c>
      <c r="C1983" s="9" t="n">
        <v>150</v>
      </c>
      <c r="D1983" s="8" t="s">
        <v>45</v>
      </c>
      <c r="E1983" s="10" t="s">
        <v>321</v>
      </c>
      <c r="F1983" s="8" t="str">
        <f aca="false">TEXT(A1983,"MM-YYYY")</f>
        <v>05-2025</v>
      </c>
      <c r="G1983" s="8" t="s">
        <v>14</v>
      </c>
      <c r="H1983" s="8" t="s">
        <v>232</v>
      </c>
      <c r="I1983" s="7" t="n">
        <v>45801</v>
      </c>
      <c r="J1983" s="8" t="str">
        <f aca="false">VLOOKUP(B1983, Table3[#All], 2, FALSE())</f>
        <v>New Inventory</v>
      </c>
      <c r="K1983" s="8" t="str">
        <f aca="false">TEXT(ROW(), "0000")</f>
        <v>1983</v>
      </c>
      <c r="L1983" s="8"/>
    </row>
    <row r="1984" customFormat="false" ht="15.75" hidden="false" customHeight="true" outlineLevel="0" collapsed="false">
      <c r="A1984" s="7" t="n">
        <v>45801</v>
      </c>
      <c r="B1984" s="8" t="s">
        <v>31</v>
      </c>
      <c r="C1984" s="9" t="n">
        <v>700</v>
      </c>
      <c r="D1984" s="8" t="s">
        <v>45</v>
      </c>
      <c r="E1984" s="10" t="s">
        <v>308</v>
      </c>
      <c r="F1984" s="8" t="str">
        <f aca="false">TEXT(A1984,"MM-YYYY")</f>
        <v>05-2025</v>
      </c>
      <c r="G1984" s="8" t="s">
        <v>14</v>
      </c>
      <c r="H1984" s="8" t="s">
        <v>232</v>
      </c>
      <c r="I1984" s="7" t="n">
        <v>45801</v>
      </c>
      <c r="J1984" s="8" t="str">
        <f aca="false">VLOOKUP(B1984, Table3[#All], 2, FALSE())</f>
        <v>Bike Maintance</v>
      </c>
      <c r="K1984" s="8" t="str">
        <f aca="false">TEXT(ROW(), "0000")</f>
        <v>1984</v>
      </c>
      <c r="L1984" s="8"/>
    </row>
    <row r="1985" customFormat="false" ht="15.75" hidden="false" customHeight="true" outlineLevel="0" collapsed="false">
      <c r="A1985" s="7" t="n">
        <v>45801</v>
      </c>
      <c r="B1985" s="8" t="s">
        <v>16</v>
      </c>
      <c r="C1985" s="9" t="n">
        <v>2400</v>
      </c>
      <c r="D1985" s="8" t="s">
        <v>21</v>
      </c>
      <c r="E1985" s="10" t="s">
        <v>88</v>
      </c>
      <c r="F1985" s="8" t="str">
        <f aca="false">TEXT(A1985,"MM-YYYY")</f>
        <v>05-2025</v>
      </c>
      <c r="G1985" s="8"/>
      <c r="H1985" s="8"/>
      <c r="I1985" s="7"/>
      <c r="J1985" s="8" t="str">
        <f aca="false">VLOOKUP(B1985, Table3[#All], 2, FALSE())</f>
        <v>Sales</v>
      </c>
      <c r="K1985" s="8" t="str">
        <f aca="false">TEXT(ROW(), "0000")</f>
        <v>1985</v>
      </c>
      <c r="L1985" s="8"/>
    </row>
    <row r="1986" customFormat="false" ht="15.75" hidden="false" customHeight="true" outlineLevel="0" collapsed="false">
      <c r="A1986" s="7" t="n">
        <v>45801</v>
      </c>
      <c r="B1986" s="8" t="s">
        <v>16</v>
      </c>
      <c r="C1986" s="9" t="n">
        <v>170</v>
      </c>
      <c r="D1986" s="8" t="s">
        <v>33</v>
      </c>
      <c r="E1986" s="10" t="s">
        <v>88</v>
      </c>
      <c r="F1986" s="8" t="str">
        <f aca="false">TEXT(A1986,"MM-YYYY")</f>
        <v>05-2025</v>
      </c>
      <c r="G1986" s="8"/>
      <c r="H1986" s="8"/>
      <c r="I1986" s="7"/>
      <c r="J1986" s="8" t="str">
        <f aca="false">VLOOKUP(B1986, Table3[#All], 2, FALSE())</f>
        <v>Sales</v>
      </c>
      <c r="K1986" s="8" t="str">
        <f aca="false">TEXT(ROW(), "0000")</f>
        <v>1986</v>
      </c>
      <c r="L1986" s="8"/>
    </row>
    <row r="1987" customFormat="false" ht="15.75" hidden="false" customHeight="true" outlineLevel="0" collapsed="false">
      <c r="A1987" s="7" t="n">
        <v>45801</v>
      </c>
      <c r="B1987" s="8" t="s">
        <v>16</v>
      </c>
      <c r="C1987" s="9" t="n">
        <v>17867</v>
      </c>
      <c r="D1987" s="8" t="s">
        <v>17</v>
      </c>
      <c r="E1987" s="10" t="s">
        <v>88</v>
      </c>
      <c r="F1987" s="8" t="str">
        <f aca="false">TEXT(A1987,"MM-YYYY")</f>
        <v>05-2025</v>
      </c>
      <c r="G1987" s="8"/>
      <c r="H1987" s="8"/>
      <c r="I1987" s="7"/>
      <c r="J1987" s="8" t="str">
        <f aca="false">VLOOKUP(B1987, Table3[#All], 2, FALSE())</f>
        <v>Sales</v>
      </c>
      <c r="K1987" s="8" t="str">
        <f aca="false">TEXT(ROW(), "0000")</f>
        <v>1987</v>
      </c>
      <c r="L1987" s="8"/>
    </row>
    <row r="1988" customFormat="false" ht="15.75" hidden="false" customHeight="true" outlineLevel="0" collapsed="false">
      <c r="A1988" s="7" t="n">
        <v>45801</v>
      </c>
      <c r="B1988" s="8" t="s">
        <v>16</v>
      </c>
      <c r="C1988" s="9" t="n">
        <v>1745</v>
      </c>
      <c r="D1988" s="8" t="s">
        <v>24</v>
      </c>
      <c r="E1988" s="10" t="s">
        <v>217</v>
      </c>
      <c r="F1988" s="8" t="str">
        <f aca="false">TEXT(A1988,"MM-YYYY")</f>
        <v>05-2025</v>
      </c>
      <c r="G1988" s="8"/>
      <c r="H1988" s="8"/>
      <c r="I1988" s="7"/>
      <c r="J1988" s="8" t="str">
        <f aca="false">VLOOKUP(B1988, Table3[#All], 2, FALSE())</f>
        <v>Sales</v>
      </c>
      <c r="K1988" s="8" t="str">
        <f aca="false">TEXT(ROW(), "0000")</f>
        <v>1988</v>
      </c>
      <c r="L1988" s="8"/>
    </row>
    <row r="1989" customFormat="false" ht="15.75" hidden="false" customHeight="true" outlineLevel="0" collapsed="false">
      <c r="A1989" s="7" t="n">
        <v>45801</v>
      </c>
      <c r="B1989" s="8" t="s">
        <v>34</v>
      </c>
      <c r="C1989" s="9" t="n">
        <v>145</v>
      </c>
      <c r="D1989" s="8" t="s">
        <v>45</v>
      </c>
      <c r="E1989" s="10" t="s">
        <v>267</v>
      </c>
      <c r="F1989" s="8" t="str">
        <f aca="false">TEXT(A1989,"MM-YYYY")</f>
        <v>05-2025</v>
      </c>
      <c r="G1989" s="8" t="s">
        <v>14</v>
      </c>
      <c r="H1989" s="8" t="s">
        <v>232</v>
      </c>
      <c r="I1989" s="7" t="n">
        <v>45801</v>
      </c>
      <c r="J1989" s="8" t="str">
        <f aca="false">VLOOKUP(B1989, Table3[#All], 2, FALSE())</f>
        <v>Staff Expenses</v>
      </c>
      <c r="K1989" s="8" t="str">
        <f aca="false">TEXT(ROW(), "0000")</f>
        <v>1989</v>
      </c>
      <c r="L1989" s="8"/>
    </row>
    <row r="1990" customFormat="false" ht="15.75" hidden="false" customHeight="true" outlineLevel="0" collapsed="false">
      <c r="A1990" s="7" t="n">
        <v>45801</v>
      </c>
      <c r="B1990" s="8" t="s">
        <v>29</v>
      </c>
      <c r="C1990" s="9" t="n">
        <v>25</v>
      </c>
      <c r="D1990" s="8" t="s">
        <v>21</v>
      </c>
      <c r="E1990" s="10" t="s">
        <v>194</v>
      </c>
      <c r="F1990" s="8" t="str">
        <f aca="false">TEXT(A1990,"MM-YYYY")</f>
        <v>05-2025</v>
      </c>
      <c r="G1990" s="8" t="s">
        <v>14</v>
      </c>
      <c r="H1990" s="8" t="s">
        <v>15</v>
      </c>
      <c r="I1990" s="7" t="n">
        <v>45801</v>
      </c>
      <c r="J1990" s="8" t="str">
        <f aca="false">VLOOKUP(B1990, Table3[#All], 2, FALSE())</f>
        <v>Inventory</v>
      </c>
      <c r="K1990" s="8" t="str">
        <f aca="false">TEXT(ROW(), "0000")</f>
        <v>1990</v>
      </c>
      <c r="L1990" s="8"/>
    </row>
    <row r="1991" customFormat="false" ht="15.75" hidden="false" customHeight="true" outlineLevel="0" collapsed="false">
      <c r="A1991" s="7" t="n">
        <v>45801</v>
      </c>
      <c r="B1991" s="8" t="s">
        <v>37</v>
      </c>
      <c r="C1991" s="9" t="n">
        <v>25</v>
      </c>
      <c r="D1991" s="8" t="s">
        <v>21</v>
      </c>
      <c r="E1991" s="10" t="s">
        <v>37</v>
      </c>
      <c r="F1991" s="8" t="str">
        <f aca="false">TEXT(A1991,"MM-YYYY")</f>
        <v>05-2025</v>
      </c>
      <c r="G1991" s="8" t="s">
        <v>14</v>
      </c>
      <c r="H1991" s="8" t="s">
        <v>15</v>
      </c>
      <c r="I1991" s="7" t="n">
        <v>45801</v>
      </c>
      <c r="J1991" s="8" t="str">
        <f aca="false">VLOOKUP(B1991, Table3[#All], 2, FALSE())</f>
        <v>Maintance</v>
      </c>
      <c r="K1991" s="8" t="str">
        <f aca="false">TEXT(ROW(), "0000")</f>
        <v>1991</v>
      </c>
      <c r="L1991" s="8"/>
    </row>
    <row r="1992" customFormat="false" ht="15.75" hidden="false" customHeight="true" outlineLevel="0" collapsed="false">
      <c r="A1992" s="7" t="n">
        <v>45802</v>
      </c>
      <c r="B1992" s="8" t="s">
        <v>19</v>
      </c>
      <c r="C1992" s="9" t="n">
        <v>1330</v>
      </c>
      <c r="D1992" s="8" t="s">
        <v>13</v>
      </c>
      <c r="E1992" s="10" t="s">
        <v>20</v>
      </c>
      <c r="F1992" s="8" t="str">
        <f aca="false">TEXT(A1992,"MM-YYYY")</f>
        <v>05-2025</v>
      </c>
      <c r="G1992" s="8" t="s">
        <v>14</v>
      </c>
      <c r="H1992" s="8" t="s">
        <v>13</v>
      </c>
      <c r="I1992" s="7" t="n">
        <v>45808</v>
      </c>
      <c r="J1992" s="8" t="str">
        <f aca="false">VLOOKUP(B1992, Table3[#All], 2, FALSE())</f>
        <v>Inventory</v>
      </c>
      <c r="K1992" s="8" t="str">
        <f aca="false">TEXT(ROW(), "0000")</f>
        <v>1992</v>
      </c>
      <c r="L1992" s="8"/>
    </row>
    <row r="1993" customFormat="false" ht="15.75" hidden="false" customHeight="true" outlineLevel="0" collapsed="false">
      <c r="A1993" s="7" t="n">
        <v>45802</v>
      </c>
      <c r="B1993" s="8" t="s">
        <v>25</v>
      </c>
      <c r="C1993" s="9" t="n">
        <v>850</v>
      </c>
      <c r="D1993" s="8" t="s">
        <v>13</v>
      </c>
      <c r="E1993" s="10" t="s">
        <v>26</v>
      </c>
      <c r="F1993" s="8" t="str">
        <f aca="false">TEXT(A1993,"MM-YYYY")</f>
        <v>05-2025</v>
      </c>
      <c r="G1993" s="21" t="s">
        <v>14</v>
      </c>
      <c r="H1993" s="8" t="s">
        <v>13</v>
      </c>
      <c r="I1993" s="7" t="n">
        <v>45825</v>
      </c>
      <c r="J1993" s="8" t="str">
        <f aca="false">VLOOKUP(B1993, Table3[#All], 2, FALSE())</f>
        <v>Inventory</v>
      </c>
      <c r="K1993" s="8" t="str">
        <f aca="false">TEXT(ROW(), "0000")</f>
        <v>1993</v>
      </c>
      <c r="L1993" s="8"/>
    </row>
    <row r="1994" customFormat="false" ht="15.75" hidden="false" customHeight="true" outlineLevel="0" collapsed="false">
      <c r="A1994" s="7" t="n">
        <v>45802</v>
      </c>
      <c r="B1994" s="8" t="s">
        <v>22</v>
      </c>
      <c r="C1994" s="9" t="n">
        <v>2824</v>
      </c>
      <c r="D1994" s="8" t="s">
        <v>13</v>
      </c>
      <c r="E1994" s="10" t="s">
        <v>23</v>
      </c>
      <c r="F1994" s="8" t="str">
        <f aca="false">TEXT(A1994,"MM-YYYY")</f>
        <v>05-2025</v>
      </c>
      <c r="G1994" s="8" t="s">
        <v>14</v>
      </c>
      <c r="H1994" s="8" t="s">
        <v>13</v>
      </c>
      <c r="I1994" s="7" t="n">
        <v>45808</v>
      </c>
      <c r="J1994" s="8" t="str">
        <f aca="false">VLOOKUP(B1994, Table3[#All], 2, FALSE())</f>
        <v>Inventory</v>
      </c>
      <c r="K1994" s="8" t="str">
        <f aca="false">TEXT(ROW(), "0000")</f>
        <v>1994</v>
      </c>
      <c r="L1994" s="8"/>
    </row>
    <row r="1995" customFormat="false" ht="15.75" hidden="false" customHeight="true" outlineLevel="0" collapsed="false">
      <c r="A1995" s="7" t="n">
        <v>45802</v>
      </c>
      <c r="B1995" s="8" t="s">
        <v>25</v>
      </c>
      <c r="C1995" s="9" t="n">
        <v>680</v>
      </c>
      <c r="D1995" s="8" t="s">
        <v>45</v>
      </c>
      <c r="E1995" s="10" t="s">
        <v>306</v>
      </c>
      <c r="F1995" s="8" t="str">
        <f aca="false">TEXT(A1995,"MM-YYYY")</f>
        <v>05-2025</v>
      </c>
      <c r="G1995" s="8" t="s">
        <v>14</v>
      </c>
      <c r="H1995" s="8" t="s">
        <v>232</v>
      </c>
      <c r="I1995" s="7" t="n">
        <v>45802</v>
      </c>
      <c r="J1995" s="8" t="str">
        <f aca="false">VLOOKUP(B1995, Table3[#All], 2, FALSE())</f>
        <v>Inventory</v>
      </c>
      <c r="K1995" s="8" t="str">
        <f aca="false">TEXT(ROW(), "0000")</f>
        <v>1995</v>
      </c>
      <c r="L1995" s="8"/>
    </row>
    <row r="1996" customFormat="false" ht="15.75" hidden="false" customHeight="true" outlineLevel="0" collapsed="false">
      <c r="A1996" s="7" t="n">
        <v>45802</v>
      </c>
      <c r="B1996" s="8" t="s">
        <v>29</v>
      </c>
      <c r="C1996" s="9" t="n">
        <v>120</v>
      </c>
      <c r="D1996" s="8" t="s">
        <v>45</v>
      </c>
      <c r="E1996" s="10" t="s">
        <v>134</v>
      </c>
      <c r="F1996" s="8" t="str">
        <f aca="false">TEXT(A1996,"MM-YYYY")</f>
        <v>05-2025</v>
      </c>
      <c r="G1996" s="8" t="s">
        <v>14</v>
      </c>
      <c r="H1996" s="8" t="s">
        <v>232</v>
      </c>
      <c r="I1996" s="7" t="n">
        <v>45802</v>
      </c>
      <c r="J1996" s="8" t="str">
        <f aca="false">VLOOKUP(B1996, Table3[#All], 2, FALSE())</f>
        <v>Inventory</v>
      </c>
      <c r="K1996" s="8" t="str">
        <f aca="false">TEXT(ROW(), "0000")</f>
        <v>1996</v>
      </c>
      <c r="L1996" s="8"/>
    </row>
    <row r="1997" customFormat="false" ht="15.75" hidden="false" customHeight="true" outlineLevel="0" collapsed="false">
      <c r="A1997" s="7" t="n">
        <v>45802</v>
      </c>
      <c r="B1997" s="8" t="s">
        <v>32</v>
      </c>
      <c r="C1997" s="9" t="n">
        <v>105</v>
      </c>
      <c r="D1997" s="8" t="s">
        <v>21</v>
      </c>
      <c r="E1997" s="10" t="s">
        <v>38</v>
      </c>
      <c r="F1997" s="8" t="str">
        <f aca="false">TEXT(A1997,"MM-YYYY")</f>
        <v>05-2025</v>
      </c>
      <c r="G1997" s="8" t="s">
        <v>14</v>
      </c>
      <c r="H1997" s="8" t="s">
        <v>15</v>
      </c>
      <c r="I1997" s="7" t="n">
        <v>45802</v>
      </c>
      <c r="J1997" s="8" t="str">
        <f aca="false">VLOOKUP(B1997, Table3[#All], 2, FALSE())</f>
        <v>Grocery</v>
      </c>
      <c r="K1997" s="8" t="str">
        <f aca="false">TEXT(ROW(), "0000")</f>
        <v>1997</v>
      </c>
      <c r="L1997" s="8"/>
    </row>
    <row r="1998" customFormat="false" ht="15.75" hidden="false" customHeight="true" outlineLevel="0" collapsed="false">
      <c r="A1998" s="7" t="n">
        <v>45802</v>
      </c>
      <c r="B1998" s="8" t="s">
        <v>44</v>
      </c>
      <c r="C1998" s="9" t="n">
        <v>100</v>
      </c>
      <c r="D1998" s="8" t="s">
        <v>45</v>
      </c>
      <c r="E1998" s="10" t="s">
        <v>317</v>
      </c>
      <c r="F1998" s="8" t="str">
        <f aca="false">TEXT(A1998,"MM-YYYY")</f>
        <v>05-2025</v>
      </c>
      <c r="G1998" s="8" t="s">
        <v>14</v>
      </c>
      <c r="H1998" s="8" t="s">
        <v>232</v>
      </c>
      <c r="I1998" s="7" t="n">
        <v>45802</v>
      </c>
      <c r="J1998" s="8" t="str">
        <f aca="false">VLOOKUP(B1998, Table3[#All], 2, FALSE())</f>
        <v>Salary</v>
      </c>
      <c r="K1998" s="8" t="str">
        <f aca="false">TEXT(ROW(), "0000")</f>
        <v>1998</v>
      </c>
      <c r="L1998" s="8"/>
    </row>
    <row r="1999" customFormat="false" ht="15.75" hidden="false" customHeight="true" outlineLevel="0" collapsed="false">
      <c r="A1999" s="7" t="n">
        <v>45802</v>
      </c>
      <c r="B1999" s="8" t="s">
        <v>29</v>
      </c>
      <c r="C1999" s="9" t="n">
        <v>365</v>
      </c>
      <c r="D1999" s="8" t="s">
        <v>13</v>
      </c>
      <c r="E1999" s="10" t="s">
        <v>302</v>
      </c>
      <c r="F1999" s="8" t="str">
        <f aca="false">TEXT(A1999,"MM-YYYY")</f>
        <v>05-2025</v>
      </c>
      <c r="G1999" s="8" t="s">
        <v>14</v>
      </c>
      <c r="H1999" s="8" t="s">
        <v>13</v>
      </c>
      <c r="I1999" s="7" t="n">
        <v>45809</v>
      </c>
      <c r="J1999" s="8" t="str">
        <f aca="false">VLOOKUP(B1999, Table3[#All], 2, FALSE())</f>
        <v>Inventory</v>
      </c>
      <c r="K1999" s="8" t="str">
        <f aca="false">TEXT(ROW(), "0000")</f>
        <v>1999</v>
      </c>
      <c r="L1999" s="8"/>
    </row>
    <row r="2000" customFormat="false" ht="15.75" hidden="false" customHeight="true" outlineLevel="0" collapsed="false">
      <c r="A2000" s="7" t="n">
        <v>45802</v>
      </c>
      <c r="B2000" s="8" t="s">
        <v>50</v>
      </c>
      <c r="C2000" s="9" t="n">
        <v>1760</v>
      </c>
      <c r="D2000" s="8" t="s">
        <v>13</v>
      </c>
      <c r="E2000" s="10" t="s">
        <v>263</v>
      </c>
      <c r="F2000" s="8" t="str">
        <f aca="false">TEXT(A2000,"MM-YYYY")</f>
        <v>05-2025</v>
      </c>
      <c r="G2000" s="8" t="s">
        <v>14</v>
      </c>
      <c r="H2000" s="8" t="s">
        <v>13</v>
      </c>
      <c r="I2000" s="7" t="n">
        <v>45810</v>
      </c>
      <c r="J2000" s="8" t="str">
        <f aca="false">VLOOKUP(B2000, Table3[#All], 2, FALSE())</f>
        <v>Fixed Maintance</v>
      </c>
      <c r="K2000" s="8" t="str">
        <f aca="false">TEXT(ROW(), "0000")</f>
        <v>2000</v>
      </c>
      <c r="L2000" s="8"/>
    </row>
    <row r="2001" customFormat="false" ht="15.75" hidden="false" customHeight="true" outlineLevel="0" collapsed="false">
      <c r="A2001" s="7" t="n">
        <v>45802</v>
      </c>
      <c r="B2001" s="8" t="s">
        <v>16</v>
      </c>
      <c r="C2001" s="9" t="n">
        <v>3565</v>
      </c>
      <c r="D2001" s="8" t="s">
        <v>21</v>
      </c>
      <c r="E2001" s="10" t="s">
        <v>88</v>
      </c>
      <c r="F2001" s="8" t="str">
        <f aca="false">TEXT(A2001,"MM-YYYY")</f>
        <v>05-2025</v>
      </c>
      <c r="G2001" s="8"/>
      <c r="H2001" s="8"/>
      <c r="I2001" s="7"/>
      <c r="J2001" s="8" t="str">
        <f aca="false">VLOOKUP(B2001, Table3[#All], 2, FALSE())</f>
        <v>Sales</v>
      </c>
      <c r="K2001" s="8" t="str">
        <f aca="false">TEXT(ROW(), "0000")</f>
        <v>2001</v>
      </c>
      <c r="L2001" s="8"/>
    </row>
    <row r="2002" customFormat="false" ht="15.75" hidden="false" customHeight="true" outlineLevel="0" collapsed="false">
      <c r="A2002" s="7" t="n">
        <v>45802</v>
      </c>
      <c r="B2002" s="8" t="s">
        <v>16</v>
      </c>
      <c r="C2002" s="9" t="n">
        <v>260</v>
      </c>
      <c r="D2002" s="8" t="s">
        <v>27</v>
      </c>
      <c r="E2002" s="10" t="s">
        <v>88</v>
      </c>
      <c r="F2002" s="8" t="str">
        <f aca="false">TEXT(A2002,"MM-YYYY")</f>
        <v>05-2025</v>
      </c>
      <c r="G2002" s="8"/>
      <c r="H2002" s="8"/>
      <c r="I2002" s="7"/>
      <c r="J2002" s="8" t="str">
        <f aca="false">VLOOKUP(B2002, Table3[#All], 2, FALSE())</f>
        <v>Sales</v>
      </c>
      <c r="K2002" s="8" t="str">
        <f aca="false">TEXT(ROW(), "0000")</f>
        <v>2002</v>
      </c>
      <c r="L2002" s="8"/>
    </row>
    <row r="2003" customFormat="false" ht="15.75" hidden="false" customHeight="true" outlineLevel="0" collapsed="false">
      <c r="A2003" s="7" t="n">
        <v>45802</v>
      </c>
      <c r="B2003" s="8" t="s">
        <v>16</v>
      </c>
      <c r="C2003" s="9" t="n">
        <v>30</v>
      </c>
      <c r="D2003" s="8" t="s">
        <v>70</v>
      </c>
      <c r="E2003" s="10" t="s">
        <v>322</v>
      </c>
      <c r="F2003" s="8" t="str">
        <f aca="false">TEXT(A2003,"MM-YYYY")</f>
        <v>05-2025</v>
      </c>
      <c r="G2003" s="8"/>
      <c r="H2003" s="8"/>
      <c r="I2003" s="7"/>
      <c r="J2003" s="8" t="str">
        <f aca="false">VLOOKUP(B2003, Table3[#All], 2, FALSE())</f>
        <v>Sales</v>
      </c>
      <c r="K2003" s="8" t="str">
        <f aca="false">TEXT(ROW(), "0000")</f>
        <v>2003</v>
      </c>
      <c r="L2003" s="8"/>
    </row>
    <row r="2004" customFormat="false" ht="15.75" hidden="false" customHeight="true" outlineLevel="0" collapsed="false">
      <c r="A2004" s="7" t="n">
        <v>45802</v>
      </c>
      <c r="B2004" s="8" t="s">
        <v>16</v>
      </c>
      <c r="C2004" s="9" t="n">
        <v>70</v>
      </c>
      <c r="D2004" s="8" t="s">
        <v>33</v>
      </c>
      <c r="E2004" s="10" t="s">
        <v>88</v>
      </c>
      <c r="F2004" s="8" t="str">
        <f aca="false">TEXT(A2004,"MM-YYYY")</f>
        <v>05-2025</v>
      </c>
      <c r="G2004" s="8"/>
      <c r="H2004" s="8"/>
      <c r="I2004" s="7"/>
      <c r="J2004" s="8" t="str">
        <f aca="false">VLOOKUP(B2004, Table3[#All], 2, FALSE())</f>
        <v>Sales</v>
      </c>
      <c r="K2004" s="8" t="str">
        <f aca="false">TEXT(ROW(), "0000")</f>
        <v>2004</v>
      </c>
      <c r="L2004" s="8"/>
    </row>
    <row r="2005" customFormat="false" ht="15.75" hidden="false" customHeight="true" outlineLevel="0" collapsed="false">
      <c r="A2005" s="7" t="n">
        <v>45802</v>
      </c>
      <c r="B2005" s="8" t="s">
        <v>16</v>
      </c>
      <c r="C2005" s="9" t="n">
        <v>17353</v>
      </c>
      <c r="D2005" s="8" t="s">
        <v>17</v>
      </c>
      <c r="E2005" s="10" t="s">
        <v>88</v>
      </c>
      <c r="F2005" s="8" t="str">
        <f aca="false">TEXT(A2005,"MM-YYYY")</f>
        <v>05-2025</v>
      </c>
      <c r="G2005" s="8"/>
      <c r="H2005" s="8"/>
      <c r="I2005" s="7"/>
      <c r="J2005" s="8" t="str">
        <f aca="false">VLOOKUP(B2005, Table3[#All], 2, FALSE())</f>
        <v>Sales</v>
      </c>
      <c r="K2005" s="8" t="str">
        <f aca="false">TEXT(ROW(), "0000")</f>
        <v>2005</v>
      </c>
      <c r="L2005" s="8"/>
    </row>
    <row r="2006" customFormat="false" ht="15.75" hidden="false" customHeight="true" outlineLevel="0" collapsed="false">
      <c r="A2006" s="7" t="n">
        <v>45802</v>
      </c>
      <c r="B2006" s="8" t="s">
        <v>16</v>
      </c>
      <c r="C2006" s="9" t="n">
        <v>3544</v>
      </c>
      <c r="D2006" s="8" t="s">
        <v>24</v>
      </c>
      <c r="E2006" s="10" t="s">
        <v>217</v>
      </c>
      <c r="F2006" s="8" t="str">
        <f aca="false">TEXT(A2006,"MM-YYYY")</f>
        <v>05-2025</v>
      </c>
      <c r="G2006" s="8"/>
      <c r="H2006" s="8"/>
      <c r="I2006" s="7"/>
      <c r="J2006" s="8" t="str">
        <f aca="false">VLOOKUP(B2006, Table3[#All], 2, FALSE())</f>
        <v>Sales</v>
      </c>
      <c r="K2006" s="8" t="str">
        <f aca="false">TEXT(ROW(), "0000")</f>
        <v>2006</v>
      </c>
      <c r="L2006" s="8"/>
    </row>
    <row r="2007" customFormat="false" ht="15.75" hidden="false" customHeight="true" outlineLevel="0" collapsed="false">
      <c r="A2007" s="7" t="n">
        <v>45802</v>
      </c>
      <c r="B2007" s="8" t="s">
        <v>51</v>
      </c>
      <c r="C2007" s="9" t="n">
        <v>70</v>
      </c>
      <c r="D2007" s="8" t="s">
        <v>45</v>
      </c>
      <c r="E2007" s="10" t="s">
        <v>323</v>
      </c>
      <c r="F2007" s="8" t="str">
        <f aca="false">TEXT(A2007,"MM-YYYY")</f>
        <v>05-2025</v>
      </c>
      <c r="G2007" s="8" t="s">
        <v>14</v>
      </c>
      <c r="H2007" s="8" t="s">
        <v>232</v>
      </c>
      <c r="I2007" s="7" t="n">
        <v>45802</v>
      </c>
      <c r="J2007" s="8" t="str">
        <f aca="false">VLOOKUP(B2007, Table3[#All], 2, FALSE())</f>
        <v>Inventory</v>
      </c>
      <c r="K2007" s="8" t="str">
        <f aca="false">TEXT(ROW(), "0000")</f>
        <v>2007</v>
      </c>
      <c r="L2007" s="8"/>
    </row>
    <row r="2008" customFormat="false" ht="15.75" hidden="false" customHeight="true" outlineLevel="0" collapsed="false">
      <c r="A2008" s="7" t="n">
        <v>45802</v>
      </c>
      <c r="B2008" s="8" t="s">
        <v>34</v>
      </c>
      <c r="C2008" s="9" t="n">
        <v>130</v>
      </c>
      <c r="D2008" s="8" t="s">
        <v>45</v>
      </c>
      <c r="E2008" s="10" t="s">
        <v>267</v>
      </c>
      <c r="F2008" s="8" t="str">
        <f aca="false">TEXT(A2008,"MM-YYYY")</f>
        <v>05-2025</v>
      </c>
      <c r="G2008" s="8" t="s">
        <v>14</v>
      </c>
      <c r="H2008" s="8" t="s">
        <v>232</v>
      </c>
      <c r="I2008" s="7" t="n">
        <v>45802</v>
      </c>
      <c r="J2008" s="8" t="str">
        <f aca="false">VLOOKUP(B2008, Table3[#All], 2, FALSE())</f>
        <v>Staff Expenses</v>
      </c>
      <c r="K2008" s="8" t="str">
        <f aca="false">TEXT(ROW(), "0000")</f>
        <v>2008</v>
      </c>
      <c r="L2008" s="8"/>
    </row>
    <row r="2009" customFormat="false" ht="15.75" hidden="false" customHeight="true" outlineLevel="0" collapsed="false">
      <c r="A2009" s="7" t="n">
        <v>45802</v>
      </c>
      <c r="B2009" s="8" t="s">
        <v>37</v>
      </c>
      <c r="C2009" s="9" t="n">
        <v>10</v>
      </c>
      <c r="D2009" s="8" t="s">
        <v>21</v>
      </c>
      <c r="E2009" s="10" t="s">
        <v>37</v>
      </c>
      <c r="F2009" s="8" t="str">
        <f aca="false">TEXT(A2009,"MM-YYYY")</f>
        <v>05-2025</v>
      </c>
      <c r="G2009" s="8" t="s">
        <v>14</v>
      </c>
      <c r="H2009" s="8" t="s">
        <v>15</v>
      </c>
      <c r="I2009" s="7" t="n">
        <v>45802</v>
      </c>
      <c r="J2009" s="8" t="str">
        <f aca="false">VLOOKUP(B2009, Table3[#All], 2, FALSE())</f>
        <v>Maintance</v>
      </c>
      <c r="K2009" s="8" t="str">
        <f aca="false">TEXT(ROW(), "0000")</f>
        <v>2009</v>
      </c>
      <c r="L2009" s="8"/>
    </row>
    <row r="2010" customFormat="false" ht="15.75" hidden="false" customHeight="true" outlineLevel="0" collapsed="false">
      <c r="A2010" s="7" t="n">
        <v>45803</v>
      </c>
      <c r="B2010" s="8" t="s">
        <v>25</v>
      </c>
      <c r="C2010" s="9" t="n">
        <v>720</v>
      </c>
      <c r="D2010" s="8" t="s">
        <v>13</v>
      </c>
      <c r="E2010" s="10" t="s">
        <v>26</v>
      </c>
      <c r="F2010" s="8" t="str">
        <f aca="false">TEXT(A2010,"MM-YYYY")</f>
        <v>05-2025</v>
      </c>
      <c r="G2010" s="21" t="s">
        <v>14</v>
      </c>
      <c r="H2010" s="8" t="s">
        <v>13</v>
      </c>
      <c r="I2010" s="7" t="n">
        <v>45825</v>
      </c>
      <c r="J2010" s="8" t="str">
        <f aca="false">VLOOKUP(B2010, Table3[#All], 2, FALSE())</f>
        <v>Inventory</v>
      </c>
      <c r="K2010" s="8" t="str">
        <f aca="false">TEXT(ROW(), "0000")</f>
        <v>2010</v>
      </c>
      <c r="L2010" s="8"/>
    </row>
    <row r="2011" customFormat="false" ht="15.75" hidden="false" customHeight="true" outlineLevel="0" collapsed="false">
      <c r="A2011" s="7" t="n">
        <v>45803</v>
      </c>
      <c r="B2011" s="8" t="s">
        <v>47</v>
      </c>
      <c r="C2011" s="9" t="n">
        <v>1680</v>
      </c>
      <c r="D2011" s="8" t="s">
        <v>13</v>
      </c>
      <c r="E2011" s="10" t="s">
        <v>223</v>
      </c>
      <c r="F2011" s="8" t="str">
        <f aca="false">TEXT(A2011,"MM-YYYY")</f>
        <v>05-2025</v>
      </c>
      <c r="G2011" s="8" t="s">
        <v>14</v>
      </c>
      <c r="H2011" s="8" t="s">
        <v>13</v>
      </c>
      <c r="I2011" s="7" t="n">
        <v>45810</v>
      </c>
      <c r="J2011" s="8" t="str">
        <f aca="false">VLOOKUP(B2011, Table3[#All], 2, FALSE())</f>
        <v>Inventory</v>
      </c>
      <c r="K2011" s="8" t="str">
        <f aca="false">TEXT(ROW(), "0000")</f>
        <v>2011</v>
      </c>
      <c r="L2011" s="8"/>
    </row>
    <row r="2012" customFormat="false" ht="15.75" hidden="false" customHeight="true" outlineLevel="0" collapsed="false">
      <c r="A2012" s="7" t="n">
        <v>45803</v>
      </c>
      <c r="B2012" s="8" t="s">
        <v>19</v>
      </c>
      <c r="C2012" s="9" t="n">
        <v>3668</v>
      </c>
      <c r="D2012" s="8" t="s">
        <v>13</v>
      </c>
      <c r="E2012" s="10" t="s">
        <v>20</v>
      </c>
      <c r="F2012" s="8" t="str">
        <f aca="false">TEXT(A2012,"MM-YYYY")</f>
        <v>05-2025</v>
      </c>
      <c r="G2012" s="8" t="s">
        <v>14</v>
      </c>
      <c r="H2012" s="8" t="s">
        <v>13</v>
      </c>
      <c r="I2012" s="7" t="n">
        <v>45808</v>
      </c>
      <c r="J2012" s="8" t="str">
        <f aca="false">VLOOKUP(B2012, Table3[#All], 2, FALSE())</f>
        <v>Inventory</v>
      </c>
      <c r="K2012" s="8" t="str">
        <f aca="false">TEXT(ROW(), "0000")</f>
        <v>2012</v>
      </c>
      <c r="L2012" s="8"/>
    </row>
    <row r="2013" customFormat="false" ht="15.75" hidden="false" customHeight="true" outlineLevel="0" collapsed="false">
      <c r="A2013" s="7" t="n">
        <v>45803</v>
      </c>
      <c r="B2013" s="8" t="s">
        <v>22</v>
      </c>
      <c r="C2013" s="9" t="n">
        <v>835</v>
      </c>
      <c r="D2013" s="8" t="s">
        <v>13</v>
      </c>
      <c r="E2013" s="10" t="s">
        <v>23</v>
      </c>
      <c r="F2013" s="8" t="str">
        <f aca="false">TEXT(A2013,"MM-YYYY")</f>
        <v>05-2025</v>
      </c>
      <c r="G2013" s="8" t="s">
        <v>14</v>
      </c>
      <c r="H2013" s="8" t="s">
        <v>13</v>
      </c>
      <c r="I2013" s="7" t="n">
        <v>45808</v>
      </c>
      <c r="J2013" s="8" t="str">
        <f aca="false">VLOOKUP(B2013, Table3[#All], 2, FALSE())</f>
        <v>Inventory</v>
      </c>
      <c r="K2013" s="8" t="str">
        <f aca="false">TEXT(ROW(), "0000")</f>
        <v>2013</v>
      </c>
      <c r="L2013" s="8"/>
    </row>
    <row r="2014" customFormat="false" ht="15.75" hidden="false" customHeight="true" outlineLevel="0" collapsed="false">
      <c r="A2014" s="7" t="n">
        <v>45803</v>
      </c>
      <c r="B2014" s="8" t="s">
        <v>51</v>
      </c>
      <c r="C2014" s="9" t="n">
        <v>6900</v>
      </c>
      <c r="D2014" s="8" t="s">
        <v>13</v>
      </c>
      <c r="E2014" s="10" t="s">
        <v>226</v>
      </c>
      <c r="F2014" s="8" t="str">
        <f aca="false">TEXT(A2014,"MM-YYYY")</f>
        <v>05-2025</v>
      </c>
      <c r="G2014" s="8" t="s">
        <v>14</v>
      </c>
      <c r="H2014" s="8" t="s">
        <v>13</v>
      </c>
      <c r="I2014" s="7" t="n">
        <v>45829</v>
      </c>
      <c r="J2014" s="8" t="str">
        <f aca="false">VLOOKUP(B2014, Table3[#All], 2, FALSE())</f>
        <v>Inventory</v>
      </c>
      <c r="K2014" s="8" t="str">
        <f aca="false">TEXT(ROW(), "0000")</f>
        <v>2014</v>
      </c>
      <c r="L2014" s="8"/>
    </row>
    <row r="2015" customFormat="false" ht="15.75" hidden="false" customHeight="true" outlineLevel="0" collapsed="false">
      <c r="A2015" s="7" t="n">
        <v>45803</v>
      </c>
      <c r="B2015" s="8" t="s">
        <v>53</v>
      </c>
      <c r="C2015" s="9" t="n">
        <v>1080</v>
      </c>
      <c r="D2015" s="8" t="s">
        <v>21</v>
      </c>
      <c r="E2015" s="10" t="s">
        <v>55</v>
      </c>
      <c r="F2015" s="8" t="str">
        <f aca="false">TEXT(A2015,"MM-YYYY")</f>
        <v>05-2025</v>
      </c>
      <c r="G2015" s="8" t="s">
        <v>14</v>
      </c>
      <c r="H2015" s="8" t="s">
        <v>15</v>
      </c>
      <c r="I2015" s="7" t="n">
        <v>45803</v>
      </c>
      <c r="J2015" s="8" t="str">
        <f aca="false">VLOOKUP(B2015, Table3[#All], 2, FALSE())</f>
        <v>Grocery</v>
      </c>
      <c r="K2015" s="8" t="str">
        <f aca="false">TEXT(ROW(), "0000")</f>
        <v>2015</v>
      </c>
      <c r="L2015" s="8"/>
    </row>
    <row r="2016" customFormat="false" ht="15.75" hidden="false" customHeight="true" outlineLevel="0" collapsed="false">
      <c r="A2016" s="7" t="n">
        <v>45803</v>
      </c>
      <c r="B2016" s="8" t="s">
        <v>56</v>
      </c>
      <c r="C2016" s="9" t="n">
        <v>1400</v>
      </c>
      <c r="D2016" s="8" t="s">
        <v>45</v>
      </c>
      <c r="E2016" s="10" t="s">
        <v>324</v>
      </c>
      <c r="F2016" s="8" t="str">
        <f aca="false">TEXT(A2016,"MM-YYYY")</f>
        <v>05-2025</v>
      </c>
      <c r="G2016" s="8" t="s">
        <v>14</v>
      </c>
      <c r="H2016" s="8" t="s">
        <v>232</v>
      </c>
      <c r="I2016" s="7" t="n">
        <v>45803</v>
      </c>
      <c r="J2016" s="8" t="str">
        <f aca="false">VLOOKUP(B2016, Table3[#All], 2, FALSE())</f>
        <v>New Inventory</v>
      </c>
      <c r="K2016" s="8" t="str">
        <f aca="false">TEXT(ROW(), "0000")</f>
        <v>2016</v>
      </c>
      <c r="L2016" s="8"/>
    </row>
    <row r="2017" customFormat="false" ht="15.75" hidden="false" customHeight="true" outlineLevel="0" collapsed="false">
      <c r="A2017" s="7" t="n">
        <v>45803</v>
      </c>
      <c r="B2017" s="8" t="s">
        <v>50</v>
      </c>
      <c r="C2017" s="9" t="n">
        <v>1760</v>
      </c>
      <c r="D2017" s="8" t="s">
        <v>13</v>
      </c>
      <c r="E2017" s="10" t="s">
        <v>263</v>
      </c>
      <c r="F2017" s="8" t="str">
        <f aca="false">TEXT(A2017,"MM-YYYY")</f>
        <v>05-2025</v>
      </c>
      <c r="G2017" s="8" t="s">
        <v>14</v>
      </c>
      <c r="H2017" s="8" t="s">
        <v>13</v>
      </c>
      <c r="I2017" s="7" t="n">
        <v>45810</v>
      </c>
      <c r="J2017" s="8" t="str">
        <f aca="false">VLOOKUP(B2017, Table3[#All], 2, FALSE())</f>
        <v>Fixed Maintance</v>
      </c>
      <c r="K2017" s="8" t="str">
        <f aca="false">TEXT(ROW(), "0000")</f>
        <v>2017</v>
      </c>
      <c r="L2017" s="8"/>
    </row>
    <row r="2018" customFormat="false" ht="15.75" hidden="false" customHeight="true" outlineLevel="0" collapsed="false">
      <c r="A2018" s="7" t="n">
        <v>45803</v>
      </c>
      <c r="B2018" s="8" t="s">
        <v>29</v>
      </c>
      <c r="C2018" s="9" t="n">
        <v>355</v>
      </c>
      <c r="D2018" s="8" t="s">
        <v>13</v>
      </c>
      <c r="E2018" s="10" t="s">
        <v>302</v>
      </c>
      <c r="F2018" s="8" t="str">
        <f aca="false">TEXT(A2018,"MM-YYYY")</f>
        <v>05-2025</v>
      </c>
      <c r="G2018" s="8" t="s">
        <v>14</v>
      </c>
      <c r="H2018" s="8" t="s">
        <v>13</v>
      </c>
      <c r="I2018" s="7" t="n">
        <v>45809</v>
      </c>
      <c r="J2018" s="8" t="str">
        <f aca="false">VLOOKUP(B2018, Table3[#All], 2, FALSE())</f>
        <v>Inventory</v>
      </c>
      <c r="K2018" s="8" t="str">
        <f aca="false">TEXT(ROW(), "0000")</f>
        <v>2018</v>
      </c>
      <c r="L2018" s="8"/>
    </row>
    <row r="2019" customFormat="false" ht="15.75" hidden="false" customHeight="true" outlineLevel="0" collapsed="false">
      <c r="A2019" s="7" t="n">
        <v>45803</v>
      </c>
      <c r="B2019" s="8" t="s">
        <v>28</v>
      </c>
      <c r="C2019" s="9" t="n">
        <v>870</v>
      </c>
      <c r="D2019" s="8" t="s">
        <v>45</v>
      </c>
      <c r="E2019" s="10" t="s">
        <v>93</v>
      </c>
      <c r="F2019" s="8" t="str">
        <f aca="false">TEXT(A2019,"MM-YYYY")</f>
        <v>05-2025</v>
      </c>
      <c r="G2019" s="8" t="s">
        <v>14</v>
      </c>
      <c r="H2019" s="8" t="s">
        <v>232</v>
      </c>
      <c r="I2019" s="7" t="n">
        <v>45803</v>
      </c>
      <c r="J2019" s="8" t="str">
        <f aca="false">VLOOKUP(B2019, Table3[#All], 2, FALSE())</f>
        <v>Grocery</v>
      </c>
      <c r="K2019" s="8" t="str">
        <f aca="false">TEXT(ROW(), "0000")</f>
        <v>2019</v>
      </c>
      <c r="L2019" s="8"/>
    </row>
    <row r="2020" customFormat="false" ht="15.75" hidden="false" customHeight="true" outlineLevel="0" collapsed="false">
      <c r="A2020" s="7" t="n">
        <v>45803</v>
      </c>
      <c r="B2020" s="8" t="s">
        <v>16</v>
      </c>
      <c r="C2020" s="9" t="n">
        <v>1200</v>
      </c>
      <c r="D2020" s="8" t="s">
        <v>21</v>
      </c>
      <c r="E2020" s="10" t="s">
        <v>88</v>
      </c>
      <c r="F2020" s="8" t="str">
        <f aca="false">TEXT(A2020,"MM-YYYY")</f>
        <v>05-2025</v>
      </c>
      <c r="G2020" s="8"/>
      <c r="H2020" s="8"/>
      <c r="I2020" s="7"/>
      <c r="J2020" s="8" t="str">
        <f aca="false">VLOOKUP(B2020, Table3[#All], 2, FALSE())</f>
        <v>Sales</v>
      </c>
      <c r="K2020" s="8" t="str">
        <f aca="false">TEXT(ROW(), "0000")</f>
        <v>2020</v>
      </c>
      <c r="L2020" s="8"/>
    </row>
    <row r="2021" customFormat="false" ht="15.75" hidden="false" customHeight="true" outlineLevel="0" collapsed="false">
      <c r="A2021" s="7" t="n">
        <v>45803</v>
      </c>
      <c r="B2021" s="8" t="s">
        <v>16</v>
      </c>
      <c r="C2021" s="9" t="n">
        <v>80</v>
      </c>
      <c r="D2021" s="8" t="s">
        <v>27</v>
      </c>
      <c r="E2021" s="10" t="s">
        <v>88</v>
      </c>
      <c r="F2021" s="8" t="str">
        <f aca="false">TEXT(A2021,"MM-YYYY")</f>
        <v>05-2025</v>
      </c>
      <c r="G2021" s="8"/>
      <c r="H2021" s="8"/>
      <c r="I2021" s="7"/>
      <c r="J2021" s="8" t="str">
        <f aca="false">VLOOKUP(B2021, Table3[#All], 2, FALSE())</f>
        <v>Sales</v>
      </c>
      <c r="K2021" s="8" t="str">
        <f aca="false">TEXT(ROW(), "0000")</f>
        <v>2021</v>
      </c>
      <c r="L2021" s="8"/>
    </row>
    <row r="2022" customFormat="false" ht="15.75" hidden="false" customHeight="true" outlineLevel="0" collapsed="false">
      <c r="A2022" s="7" t="n">
        <v>45803</v>
      </c>
      <c r="B2022" s="8" t="s">
        <v>16</v>
      </c>
      <c r="C2022" s="9" t="n">
        <v>10737</v>
      </c>
      <c r="D2022" s="8" t="s">
        <v>17</v>
      </c>
      <c r="E2022" s="10" t="s">
        <v>88</v>
      </c>
      <c r="F2022" s="8" t="str">
        <f aca="false">TEXT(A2022,"MM-YYYY")</f>
        <v>05-2025</v>
      </c>
      <c r="G2022" s="8"/>
      <c r="H2022" s="8"/>
      <c r="I2022" s="7"/>
      <c r="J2022" s="8" t="str">
        <f aca="false">VLOOKUP(B2022, Table3[#All], 2, FALSE())</f>
        <v>Sales</v>
      </c>
      <c r="K2022" s="8" t="str">
        <f aca="false">TEXT(ROW(), "0000")</f>
        <v>2022</v>
      </c>
      <c r="L2022" s="8"/>
    </row>
    <row r="2023" customFormat="false" ht="15.75" hidden="false" customHeight="true" outlineLevel="0" collapsed="false">
      <c r="A2023" s="7" t="n">
        <v>45803</v>
      </c>
      <c r="B2023" s="8" t="s">
        <v>16</v>
      </c>
      <c r="C2023" s="9" t="n">
        <v>529</v>
      </c>
      <c r="D2023" s="8" t="s">
        <v>59</v>
      </c>
      <c r="E2023" s="10" t="s">
        <v>88</v>
      </c>
      <c r="F2023" s="8" t="str">
        <f aca="false">TEXT(A2023,"MM-YYYY")</f>
        <v>05-2025</v>
      </c>
      <c r="G2023" s="8"/>
      <c r="H2023" s="8"/>
      <c r="I2023" s="7"/>
      <c r="J2023" s="8" t="str">
        <f aca="false">VLOOKUP(B2023, Table3[#All], 2, FALSE())</f>
        <v>Sales</v>
      </c>
      <c r="K2023" s="8" t="str">
        <f aca="false">TEXT(ROW(), "0000")</f>
        <v>2023</v>
      </c>
      <c r="L2023" s="8"/>
    </row>
    <row r="2024" customFormat="false" ht="15.75" hidden="false" customHeight="true" outlineLevel="0" collapsed="false">
      <c r="A2024" s="7" t="n">
        <v>45803</v>
      </c>
      <c r="B2024" s="8" t="s">
        <v>16</v>
      </c>
      <c r="C2024" s="9" t="n">
        <v>1658</v>
      </c>
      <c r="D2024" s="8" t="s">
        <v>24</v>
      </c>
      <c r="E2024" s="10" t="s">
        <v>217</v>
      </c>
      <c r="F2024" s="8" t="str">
        <f aca="false">TEXT(A2024,"MM-YYYY")</f>
        <v>05-2025</v>
      </c>
      <c r="G2024" s="8"/>
      <c r="H2024" s="8"/>
      <c r="I2024" s="7"/>
      <c r="J2024" s="8" t="str">
        <f aca="false">VLOOKUP(B2024, Table3[#All], 2, FALSE())</f>
        <v>Sales</v>
      </c>
      <c r="K2024" s="8" t="str">
        <f aca="false">TEXT(ROW(), "0000")</f>
        <v>2024</v>
      </c>
      <c r="L2024" s="8"/>
    </row>
    <row r="2025" customFormat="false" ht="15.75" hidden="false" customHeight="true" outlineLevel="0" collapsed="false">
      <c r="A2025" s="7" t="n">
        <v>45803</v>
      </c>
      <c r="B2025" s="8" t="s">
        <v>16</v>
      </c>
      <c r="C2025" s="9" t="n">
        <v>430</v>
      </c>
      <c r="D2025" s="8" t="s">
        <v>33</v>
      </c>
      <c r="E2025" s="10" t="s">
        <v>88</v>
      </c>
      <c r="F2025" s="8" t="str">
        <f aca="false">TEXT(A2025,"MM-YYYY")</f>
        <v>05-2025</v>
      </c>
      <c r="G2025" s="8"/>
      <c r="H2025" s="8"/>
      <c r="I2025" s="7"/>
      <c r="J2025" s="8" t="str">
        <f aca="false">VLOOKUP(B2025, Table3[#All], 2, FALSE())</f>
        <v>Sales</v>
      </c>
      <c r="K2025" s="8" t="str">
        <f aca="false">TEXT(ROW(), "0000")</f>
        <v>2025</v>
      </c>
      <c r="L2025" s="8"/>
    </row>
    <row r="2026" customFormat="false" ht="15.75" hidden="false" customHeight="true" outlineLevel="0" collapsed="false">
      <c r="A2026" s="7" t="n">
        <v>45803</v>
      </c>
      <c r="B2026" s="8" t="s">
        <v>34</v>
      </c>
      <c r="C2026" s="9" t="n">
        <v>130</v>
      </c>
      <c r="D2026" s="8" t="s">
        <v>45</v>
      </c>
      <c r="E2026" s="10" t="s">
        <v>267</v>
      </c>
      <c r="F2026" s="8" t="str">
        <f aca="false">TEXT(A2026,"MM-YYYY")</f>
        <v>05-2025</v>
      </c>
      <c r="G2026" s="8" t="s">
        <v>14</v>
      </c>
      <c r="H2026" s="8" t="s">
        <v>232</v>
      </c>
      <c r="I2026" s="7" t="n">
        <v>45803</v>
      </c>
      <c r="J2026" s="8" t="str">
        <f aca="false">VLOOKUP(B2026, Table3[#All], 2, FALSE())</f>
        <v>Staff Expenses</v>
      </c>
      <c r="K2026" s="8" t="str">
        <f aca="false">TEXT(ROW(), "0000")</f>
        <v>2026</v>
      </c>
      <c r="L2026" s="8"/>
    </row>
    <row r="2027" customFormat="false" ht="15.75" hidden="false" customHeight="true" outlineLevel="0" collapsed="false">
      <c r="A2027" s="7" t="n">
        <v>45803</v>
      </c>
      <c r="B2027" s="8" t="s">
        <v>37</v>
      </c>
      <c r="C2027" s="9" t="n">
        <v>20</v>
      </c>
      <c r="D2027" s="8" t="s">
        <v>21</v>
      </c>
      <c r="E2027" s="10" t="s">
        <v>37</v>
      </c>
      <c r="F2027" s="8" t="str">
        <f aca="false">TEXT(A2027,"MM-YYYY")</f>
        <v>05-2025</v>
      </c>
      <c r="G2027" s="8" t="s">
        <v>14</v>
      </c>
      <c r="H2027" s="8" t="s">
        <v>15</v>
      </c>
      <c r="I2027" s="7" t="n">
        <v>45803</v>
      </c>
      <c r="J2027" s="8" t="str">
        <f aca="false">VLOOKUP(B2027, Table3[#All], 2, FALSE())</f>
        <v>Maintance</v>
      </c>
      <c r="K2027" s="8" t="str">
        <f aca="false">TEXT(ROW(), "0000")</f>
        <v>2027</v>
      </c>
      <c r="L2027" s="8"/>
    </row>
    <row r="2028" customFormat="false" ht="15.75" hidden="false" customHeight="true" outlineLevel="0" collapsed="false">
      <c r="A2028" s="7" t="n">
        <v>45804</v>
      </c>
      <c r="B2028" s="8" t="s">
        <v>40</v>
      </c>
      <c r="C2028" s="9" t="n">
        <v>2620</v>
      </c>
      <c r="D2028" s="8" t="s">
        <v>45</v>
      </c>
      <c r="E2028" s="10" t="s">
        <v>46</v>
      </c>
      <c r="F2028" s="8" t="str">
        <f aca="false">TEXT(A2028,"MM-YYYY")</f>
        <v>05-2025</v>
      </c>
      <c r="G2028" s="8" t="s">
        <v>14</v>
      </c>
      <c r="H2028" s="8" t="s">
        <v>232</v>
      </c>
      <c r="I2028" s="7" t="n">
        <v>45804</v>
      </c>
      <c r="J2028" s="8" t="str">
        <f aca="false">VLOOKUP(B2028, Table3[#All], 2, FALSE())</f>
        <v>Inventory</v>
      </c>
      <c r="K2028" s="8" t="str">
        <f aca="false">TEXT(ROW(), "0000")</f>
        <v>2028</v>
      </c>
      <c r="L2028" s="8"/>
    </row>
    <row r="2029" customFormat="false" ht="15.75" hidden="false" customHeight="true" outlineLevel="0" collapsed="false">
      <c r="A2029" s="7" t="n">
        <v>45804</v>
      </c>
      <c r="B2029" s="8" t="s">
        <v>25</v>
      </c>
      <c r="C2029" s="9" t="n">
        <v>416</v>
      </c>
      <c r="D2029" s="8" t="s">
        <v>13</v>
      </c>
      <c r="E2029" s="10" t="s">
        <v>26</v>
      </c>
      <c r="F2029" s="8" t="str">
        <f aca="false">TEXT(A2029,"MM-YYYY")</f>
        <v>05-2025</v>
      </c>
      <c r="G2029" s="21" t="s">
        <v>14</v>
      </c>
      <c r="H2029" s="8" t="s">
        <v>13</v>
      </c>
      <c r="I2029" s="7" t="n">
        <v>45825</v>
      </c>
      <c r="J2029" s="8" t="str">
        <f aca="false">VLOOKUP(B2029, Table3[#All], 2, FALSE())</f>
        <v>Inventory</v>
      </c>
      <c r="K2029" s="8" t="str">
        <f aca="false">TEXT(ROW(), "0000")</f>
        <v>2029</v>
      </c>
      <c r="L2029" s="8"/>
    </row>
    <row r="2030" customFormat="false" ht="15.75" hidden="false" customHeight="true" outlineLevel="0" collapsed="false">
      <c r="A2030" s="7" t="n">
        <v>45804</v>
      </c>
      <c r="B2030" s="8" t="s">
        <v>31</v>
      </c>
      <c r="C2030" s="9" t="n">
        <v>310</v>
      </c>
      <c r="D2030" s="8" t="s">
        <v>45</v>
      </c>
      <c r="E2030" s="10" t="s">
        <v>236</v>
      </c>
      <c r="F2030" s="8" t="str">
        <f aca="false">TEXT(A2030,"MM-YYYY")</f>
        <v>05-2025</v>
      </c>
      <c r="G2030" s="8" t="s">
        <v>14</v>
      </c>
      <c r="H2030" s="8" t="s">
        <v>232</v>
      </c>
      <c r="I2030" s="7" t="n">
        <v>45804</v>
      </c>
      <c r="J2030" s="8" t="str">
        <f aca="false">VLOOKUP(B2030, Table3[#All], 2, FALSE())</f>
        <v>Bike Maintance</v>
      </c>
      <c r="K2030" s="8" t="str">
        <f aca="false">TEXT(ROW(), "0000")</f>
        <v>2030</v>
      </c>
      <c r="L2030" s="8"/>
    </row>
    <row r="2031" customFormat="false" ht="15.75" hidden="false" customHeight="true" outlineLevel="0" collapsed="false">
      <c r="A2031" s="7" t="n">
        <v>45804</v>
      </c>
      <c r="B2031" s="8" t="s">
        <v>22</v>
      </c>
      <c r="C2031" s="9" t="n">
        <v>6300</v>
      </c>
      <c r="D2031" s="8" t="s">
        <v>13</v>
      </c>
      <c r="E2031" s="10" t="s">
        <v>248</v>
      </c>
      <c r="F2031" s="8" t="str">
        <f aca="false">TEXT(A2031,"MM-YYYY")</f>
        <v>05-2025</v>
      </c>
      <c r="G2031" s="8" t="s">
        <v>14</v>
      </c>
      <c r="H2031" s="8" t="s">
        <v>13</v>
      </c>
      <c r="I2031" s="7" t="n">
        <v>45804</v>
      </c>
      <c r="J2031" s="8" t="str">
        <f aca="false">VLOOKUP(B2031, Table3[#All], 2, FALSE())</f>
        <v>Inventory</v>
      </c>
      <c r="K2031" s="8" t="str">
        <f aca="false">TEXT(ROW(), "0000")</f>
        <v>2031</v>
      </c>
      <c r="L2031" s="8"/>
    </row>
    <row r="2032" customFormat="false" ht="15.75" hidden="false" customHeight="true" outlineLevel="0" collapsed="false">
      <c r="A2032" s="7" t="n">
        <v>45804</v>
      </c>
      <c r="B2032" s="8" t="s">
        <v>29</v>
      </c>
      <c r="C2032" s="9" t="n">
        <v>451</v>
      </c>
      <c r="D2032" s="8" t="s">
        <v>13</v>
      </c>
      <c r="E2032" s="10" t="s">
        <v>302</v>
      </c>
      <c r="F2032" s="8" t="str">
        <f aca="false">TEXT(A2032,"MM-YYYY")</f>
        <v>05-2025</v>
      </c>
      <c r="G2032" s="8" t="s">
        <v>14</v>
      </c>
      <c r="H2032" s="8" t="s">
        <v>13</v>
      </c>
      <c r="I2032" s="7" t="n">
        <v>45809</v>
      </c>
      <c r="J2032" s="8" t="str">
        <f aca="false">VLOOKUP(B2032, Table3[#All], 2, FALSE())</f>
        <v>Inventory</v>
      </c>
      <c r="K2032" s="8" t="str">
        <f aca="false">TEXT(ROW(), "0000")</f>
        <v>2032</v>
      </c>
      <c r="L2032" s="8"/>
    </row>
    <row r="2033" customFormat="false" ht="15.75" hidden="false" customHeight="true" outlineLevel="0" collapsed="false">
      <c r="A2033" s="7" t="n">
        <v>45804</v>
      </c>
      <c r="B2033" s="8" t="s">
        <v>22</v>
      </c>
      <c r="C2033" s="9" t="n">
        <v>700</v>
      </c>
      <c r="D2033" s="8" t="s">
        <v>45</v>
      </c>
      <c r="E2033" s="10" t="s">
        <v>325</v>
      </c>
      <c r="F2033" s="8" t="str">
        <f aca="false">TEXT(A2033,"MM-YYYY")</f>
        <v>05-2025</v>
      </c>
      <c r="G2033" s="8" t="s">
        <v>14</v>
      </c>
      <c r="H2033" s="8" t="s">
        <v>232</v>
      </c>
      <c r="I2033" s="7" t="n">
        <v>45804</v>
      </c>
      <c r="J2033" s="8" t="str">
        <f aca="false">VLOOKUP(B2033, Table3[#All], 2, FALSE())</f>
        <v>Inventory</v>
      </c>
      <c r="K2033" s="8" t="str">
        <f aca="false">TEXT(ROW(), "0000")</f>
        <v>2033</v>
      </c>
      <c r="L2033" s="8"/>
    </row>
    <row r="2034" customFormat="false" ht="15.75" hidden="false" customHeight="true" outlineLevel="0" collapsed="false">
      <c r="A2034" s="7" t="n">
        <v>45804</v>
      </c>
      <c r="B2034" s="8" t="s">
        <v>16</v>
      </c>
      <c r="C2034" s="9" t="n">
        <v>4119</v>
      </c>
      <c r="D2034" s="8" t="s">
        <v>21</v>
      </c>
      <c r="E2034" s="10" t="s">
        <v>88</v>
      </c>
      <c r="F2034" s="8" t="str">
        <f aca="false">TEXT(A2034,"MM-YYYY")</f>
        <v>05-2025</v>
      </c>
      <c r="G2034" s="8"/>
      <c r="H2034" s="8"/>
      <c r="I2034" s="7"/>
      <c r="J2034" s="8" t="str">
        <f aca="false">VLOOKUP(B2034, Table3[#All], 2, FALSE())</f>
        <v>Sales</v>
      </c>
      <c r="K2034" s="8" t="str">
        <f aca="false">TEXT(ROW(), "0000")</f>
        <v>2034</v>
      </c>
      <c r="L2034" s="8"/>
    </row>
    <row r="2035" customFormat="false" ht="15.75" hidden="false" customHeight="true" outlineLevel="0" collapsed="false">
      <c r="A2035" s="7" t="n">
        <v>45804</v>
      </c>
      <c r="B2035" s="8" t="s">
        <v>16</v>
      </c>
      <c r="C2035" s="9" t="n">
        <v>525</v>
      </c>
      <c r="D2035" s="8" t="s">
        <v>33</v>
      </c>
      <c r="E2035" s="10" t="s">
        <v>88</v>
      </c>
      <c r="F2035" s="8" t="str">
        <f aca="false">TEXT(A2035,"MM-YYYY")</f>
        <v>05-2025</v>
      </c>
      <c r="G2035" s="8"/>
      <c r="H2035" s="8"/>
      <c r="I2035" s="7"/>
      <c r="J2035" s="8" t="str">
        <f aca="false">VLOOKUP(B2035, Table3[#All], 2, FALSE())</f>
        <v>Sales</v>
      </c>
      <c r="K2035" s="8" t="str">
        <f aca="false">TEXT(ROW(), "0000")</f>
        <v>2035</v>
      </c>
      <c r="L2035" s="8"/>
    </row>
    <row r="2036" customFormat="false" ht="15.75" hidden="false" customHeight="true" outlineLevel="0" collapsed="false">
      <c r="A2036" s="7" t="n">
        <v>45804</v>
      </c>
      <c r="B2036" s="8" t="s">
        <v>16</v>
      </c>
      <c r="C2036" s="9" t="n">
        <v>9552</v>
      </c>
      <c r="D2036" s="8" t="s">
        <v>17</v>
      </c>
      <c r="E2036" s="10" t="s">
        <v>88</v>
      </c>
      <c r="F2036" s="8" t="str">
        <f aca="false">TEXT(A2036,"MM-YYYY")</f>
        <v>05-2025</v>
      </c>
      <c r="G2036" s="8"/>
      <c r="H2036" s="8"/>
      <c r="I2036" s="7"/>
      <c r="J2036" s="8" t="str">
        <f aca="false">VLOOKUP(B2036, Table3[#All], 2, FALSE())</f>
        <v>Sales</v>
      </c>
      <c r="K2036" s="8" t="str">
        <f aca="false">TEXT(ROW(), "0000")</f>
        <v>2036</v>
      </c>
      <c r="L2036" s="8"/>
    </row>
    <row r="2037" customFormat="false" ht="15.75" hidden="false" customHeight="true" outlineLevel="0" collapsed="false">
      <c r="A2037" s="7" t="n">
        <v>45804</v>
      </c>
      <c r="B2037" s="8" t="s">
        <v>16</v>
      </c>
      <c r="C2037" s="9" t="n">
        <v>2003</v>
      </c>
      <c r="D2037" s="8" t="s">
        <v>24</v>
      </c>
      <c r="E2037" s="10" t="s">
        <v>217</v>
      </c>
      <c r="F2037" s="8" t="str">
        <f aca="false">TEXT(A2037,"MM-YYYY")</f>
        <v>05-2025</v>
      </c>
      <c r="G2037" s="8"/>
      <c r="H2037" s="8"/>
      <c r="I2037" s="7"/>
      <c r="J2037" s="8" t="str">
        <f aca="false">VLOOKUP(B2037, Table3[#All], 2, FALSE())</f>
        <v>Sales</v>
      </c>
      <c r="K2037" s="8" t="str">
        <f aca="false">TEXT(ROW(), "0000")</f>
        <v>2037</v>
      </c>
      <c r="L2037" s="8"/>
    </row>
    <row r="2038" customFormat="false" ht="15.75" hidden="false" customHeight="true" outlineLevel="0" collapsed="false">
      <c r="A2038" s="7" t="n">
        <v>45804</v>
      </c>
      <c r="B2038" s="8" t="s">
        <v>34</v>
      </c>
      <c r="C2038" s="9" t="n">
        <v>120</v>
      </c>
      <c r="D2038" s="8" t="s">
        <v>45</v>
      </c>
      <c r="E2038" s="10" t="s">
        <v>267</v>
      </c>
      <c r="F2038" s="8" t="str">
        <f aca="false">TEXT(A2038,"MM-YYYY")</f>
        <v>05-2025</v>
      </c>
      <c r="G2038" s="8" t="s">
        <v>14</v>
      </c>
      <c r="H2038" s="8" t="s">
        <v>232</v>
      </c>
      <c r="I2038" s="7" t="n">
        <v>45804</v>
      </c>
      <c r="J2038" s="8" t="str">
        <f aca="false">VLOOKUP(B2038, Table3[#All], 2, FALSE())</f>
        <v>Staff Expenses</v>
      </c>
      <c r="K2038" s="8" t="str">
        <f aca="false">TEXT(ROW(), "0000")</f>
        <v>2038</v>
      </c>
      <c r="L2038" s="8"/>
    </row>
    <row r="2039" customFormat="false" ht="15.75" hidden="false" customHeight="true" outlineLevel="0" collapsed="false">
      <c r="A2039" s="7" t="n">
        <v>45804</v>
      </c>
      <c r="B2039" s="8" t="s">
        <v>37</v>
      </c>
      <c r="C2039" s="9" t="n">
        <v>19</v>
      </c>
      <c r="D2039" s="8" t="s">
        <v>21</v>
      </c>
      <c r="E2039" s="10" t="s">
        <v>37</v>
      </c>
      <c r="F2039" s="8" t="str">
        <f aca="false">TEXT(A2039,"MM-YYYY")</f>
        <v>05-2025</v>
      </c>
      <c r="G2039" s="8" t="s">
        <v>14</v>
      </c>
      <c r="H2039" s="8" t="s">
        <v>15</v>
      </c>
      <c r="I2039" s="7" t="n">
        <v>45804</v>
      </c>
      <c r="J2039" s="8" t="str">
        <f aca="false">VLOOKUP(B2039, Table3[#All], 2, FALSE())</f>
        <v>Maintance</v>
      </c>
      <c r="K2039" s="8" t="str">
        <f aca="false">TEXT(ROW(), "0000")</f>
        <v>2039</v>
      </c>
      <c r="L2039" s="8"/>
    </row>
    <row r="2040" customFormat="false" ht="15.75" hidden="false" customHeight="true" outlineLevel="0" collapsed="false">
      <c r="A2040" s="7" t="n">
        <v>45805</v>
      </c>
      <c r="B2040" s="8" t="s">
        <v>19</v>
      </c>
      <c r="C2040" s="9" t="n">
        <v>3535</v>
      </c>
      <c r="D2040" s="8" t="s">
        <v>13</v>
      </c>
      <c r="E2040" s="10" t="s">
        <v>20</v>
      </c>
      <c r="F2040" s="8" t="str">
        <f aca="false">TEXT(A2040,"MM-YYYY")</f>
        <v>05-2025</v>
      </c>
      <c r="G2040" s="8" t="s">
        <v>14</v>
      </c>
      <c r="H2040" s="8" t="s">
        <v>13</v>
      </c>
      <c r="I2040" s="7" t="n">
        <v>45808</v>
      </c>
      <c r="J2040" s="8" t="str">
        <f aca="false">VLOOKUP(B2040, Table3[#All], 2, FALSE())</f>
        <v>Inventory</v>
      </c>
      <c r="K2040" s="8" t="str">
        <f aca="false">TEXT(ROW(), "0000")</f>
        <v>2040</v>
      </c>
      <c r="L2040" s="8"/>
    </row>
    <row r="2041" customFormat="false" ht="15.75" hidden="false" customHeight="true" outlineLevel="0" collapsed="false">
      <c r="A2041" s="7" t="n">
        <v>45805</v>
      </c>
      <c r="B2041" s="8" t="s">
        <v>25</v>
      </c>
      <c r="C2041" s="9" t="n">
        <v>559</v>
      </c>
      <c r="D2041" s="8" t="s">
        <v>13</v>
      </c>
      <c r="E2041" s="10" t="s">
        <v>26</v>
      </c>
      <c r="F2041" s="8" t="str">
        <f aca="false">TEXT(A2041,"MM-YYYY")</f>
        <v>05-2025</v>
      </c>
      <c r="G2041" s="21" t="s">
        <v>14</v>
      </c>
      <c r="H2041" s="8" t="s">
        <v>13</v>
      </c>
      <c r="I2041" s="7" t="n">
        <v>45825</v>
      </c>
      <c r="J2041" s="8" t="str">
        <f aca="false">VLOOKUP(B2041, Table3[#All], 2, FALSE())</f>
        <v>Inventory</v>
      </c>
      <c r="K2041" s="8" t="str">
        <f aca="false">TEXT(ROW(), "0000")</f>
        <v>2041</v>
      </c>
      <c r="L2041" s="8"/>
    </row>
    <row r="2042" customFormat="false" ht="15.75" hidden="false" customHeight="true" outlineLevel="0" collapsed="false">
      <c r="A2042" s="7" t="n">
        <v>45805</v>
      </c>
      <c r="B2042" s="8" t="s">
        <v>47</v>
      </c>
      <c r="C2042" s="9" t="n">
        <v>840</v>
      </c>
      <c r="D2042" s="8" t="s">
        <v>13</v>
      </c>
      <c r="E2042" s="10" t="s">
        <v>223</v>
      </c>
      <c r="F2042" s="8" t="str">
        <f aca="false">TEXT(A2042,"MM-YYYY")</f>
        <v>05-2025</v>
      </c>
      <c r="G2042" s="8" t="s">
        <v>14</v>
      </c>
      <c r="H2042" s="8" t="s">
        <v>13</v>
      </c>
      <c r="I2042" s="7" t="n">
        <v>45810</v>
      </c>
      <c r="J2042" s="8" t="str">
        <f aca="false">VLOOKUP(B2042, Table3[#All], 2, FALSE())</f>
        <v>Inventory</v>
      </c>
      <c r="K2042" s="8" t="str">
        <f aca="false">TEXT(ROW(), "0000")</f>
        <v>2042</v>
      </c>
      <c r="L2042" s="8"/>
    </row>
    <row r="2043" customFormat="false" ht="15.75" hidden="false" customHeight="true" outlineLevel="0" collapsed="false">
      <c r="A2043" s="7" t="n">
        <v>45805</v>
      </c>
      <c r="B2043" s="8" t="s">
        <v>22</v>
      </c>
      <c r="C2043" s="9" t="n">
        <v>3061</v>
      </c>
      <c r="D2043" s="8" t="s">
        <v>13</v>
      </c>
      <c r="E2043" s="10" t="s">
        <v>23</v>
      </c>
      <c r="F2043" s="8" t="str">
        <f aca="false">TEXT(A2043,"MM-YYYY")</f>
        <v>05-2025</v>
      </c>
      <c r="G2043" s="8" t="s">
        <v>14</v>
      </c>
      <c r="H2043" s="8" t="s">
        <v>13</v>
      </c>
      <c r="I2043" s="7" t="n">
        <v>45808</v>
      </c>
      <c r="J2043" s="8" t="str">
        <f aca="false">VLOOKUP(B2043, Table3[#All], 2, FALSE())</f>
        <v>Inventory</v>
      </c>
      <c r="K2043" s="8" t="str">
        <f aca="false">TEXT(ROW(), "0000")</f>
        <v>2043</v>
      </c>
      <c r="L2043" s="8"/>
    </row>
    <row r="2044" customFormat="false" ht="15.75" hidden="false" customHeight="true" outlineLevel="0" collapsed="false">
      <c r="A2044" s="7" t="n">
        <v>45805</v>
      </c>
      <c r="B2044" s="8" t="s">
        <v>32</v>
      </c>
      <c r="C2044" s="9" t="n">
        <v>350</v>
      </c>
      <c r="D2044" s="8" t="s">
        <v>45</v>
      </c>
      <c r="E2044" s="10" t="s">
        <v>38</v>
      </c>
      <c r="F2044" s="8" t="str">
        <f aca="false">TEXT(A2044,"MM-YYYY")</f>
        <v>05-2025</v>
      </c>
      <c r="G2044" s="8" t="s">
        <v>14</v>
      </c>
      <c r="H2044" s="8" t="s">
        <v>232</v>
      </c>
      <c r="I2044" s="7" t="n">
        <v>45805</v>
      </c>
      <c r="J2044" s="8" t="str">
        <f aca="false">VLOOKUP(B2044, Table3[#All], 2, FALSE())</f>
        <v>Grocery</v>
      </c>
      <c r="K2044" s="8" t="str">
        <f aca="false">TEXT(ROW(), "0000")</f>
        <v>2044</v>
      </c>
      <c r="L2044" s="8"/>
    </row>
    <row r="2045" customFormat="false" ht="15.75" hidden="false" customHeight="true" outlineLevel="0" collapsed="false">
      <c r="A2045" s="7" t="n">
        <v>45805</v>
      </c>
      <c r="B2045" s="8" t="s">
        <v>43</v>
      </c>
      <c r="C2045" s="9" t="n">
        <v>300</v>
      </c>
      <c r="D2045" s="8" t="s">
        <v>21</v>
      </c>
      <c r="E2045" s="10" t="s">
        <v>326</v>
      </c>
      <c r="F2045" s="8" t="str">
        <f aca="false">TEXT(A2045,"MM-YYYY")</f>
        <v>05-2025</v>
      </c>
      <c r="G2045" s="8" t="s">
        <v>14</v>
      </c>
      <c r="H2045" s="8" t="s">
        <v>15</v>
      </c>
      <c r="I2045" s="7" t="n">
        <v>45805</v>
      </c>
      <c r="J2045" s="8" t="str">
        <f aca="false">VLOOKUP(B2045, Table3[#All], 2, FALSE())</f>
        <v>Maintance</v>
      </c>
      <c r="K2045" s="8" t="str">
        <f aca="false">TEXT(ROW(), "0000")</f>
        <v>2045</v>
      </c>
      <c r="L2045" s="8"/>
    </row>
    <row r="2046" customFormat="false" ht="15.75" hidden="false" customHeight="true" outlineLevel="0" collapsed="false">
      <c r="A2046" s="7" t="n">
        <v>45805</v>
      </c>
      <c r="B2046" s="8" t="s">
        <v>50</v>
      </c>
      <c r="C2046" s="9" t="n">
        <v>1760</v>
      </c>
      <c r="D2046" s="8" t="s">
        <v>13</v>
      </c>
      <c r="E2046" s="10" t="s">
        <v>263</v>
      </c>
      <c r="F2046" s="8" t="str">
        <f aca="false">TEXT(A2046,"MM-YYYY")</f>
        <v>05-2025</v>
      </c>
      <c r="G2046" s="8" t="s">
        <v>14</v>
      </c>
      <c r="H2046" s="8" t="s">
        <v>13</v>
      </c>
      <c r="I2046" s="7" t="n">
        <v>45810</v>
      </c>
      <c r="J2046" s="8" t="str">
        <f aca="false">VLOOKUP(B2046, Table3[#All], 2, FALSE())</f>
        <v>Fixed Maintance</v>
      </c>
      <c r="K2046" s="8" t="str">
        <f aca="false">TEXT(ROW(), "0000")</f>
        <v>2046</v>
      </c>
      <c r="L2046" s="8"/>
    </row>
    <row r="2047" customFormat="false" ht="15.75" hidden="false" customHeight="true" outlineLevel="0" collapsed="false">
      <c r="A2047" s="7" t="n">
        <v>45805</v>
      </c>
      <c r="B2047" s="8" t="s">
        <v>29</v>
      </c>
      <c r="C2047" s="9" t="n">
        <v>485</v>
      </c>
      <c r="D2047" s="8" t="s">
        <v>13</v>
      </c>
      <c r="E2047" s="10" t="s">
        <v>302</v>
      </c>
      <c r="F2047" s="8" t="str">
        <f aca="false">TEXT(A2047,"MM-YYYY")</f>
        <v>05-2025</v>
      </c>
      <c r="G2047" s="8" t="s">
        <v>14</v>
      </c>
      <c r="H2047" s="8" t="s">
        <v>13</v>
      </c>
      <c r="I2047" s="7" t="n">
        <v>45809</v>
      </c>
      <c r="J2047" s="8" t="str">
        <f aca="false">VLOOKUP(B2047, Table3[#All], 2, FALSE())</f>
        <v>Inventory</v>
      </c>
      <c r="K2047" s="8" t="str">
        <f aca="false">TEXT(ROW(), "0000")</f>
        <v>2047</v>
      </c>
      <c r="L2047" s="8"/>
    </row>
    <row r="2048" customFormat="false" ht="15.75" hidden="false" customHeight="true" outlineLevel="0" collapsed="false">
      <c r="A2048" s="7" t="n">
        <v>45805</v>
      </c>
      <c r="B2048" s="8" t="s">
        <v>16</v>
      </c>
      <c r="C2048" s="9" t="n">
        <v>2770</v>
      </c>
      <c r="D2048" s="8" t="s">
        <v>21</v>
      </c>
      <c r="E2048" s="10" t="s">
        <v>88</v>
      </c>
      <c r="F2048" s="8" t="str">
        <f aca="false">TEXT(A2048,"MM-YYYY")</f>
        <v>05-2025</v>
      </c>
      <c r="G2048" s="8"/>
      <c r="H2048" s="8"/>
      <c r="I2048" s="7"/>
      <c r="J2048" s="8" t="str">
        <f aca="false">VLOOKUP(B2048, Table3[#All], 2, FALSE())</f>
        <v>Sales</v>
      </c>
      <c r="K2048" s="8" t="str">
        <f aca="false">TEXT(ROW(), "0000")</f>
        <v>2048</v>
      </c>
      <c r="L2048" s="8"/>
    </row>
    <row r="2049" customFormat="false" ht="15.75" hidden="false" customHeight="true" outlineLevel="0" collapsed="false">
      <c r="A2049" s="7" t="n">
        <v>45805</v>
      </c>
      <c r="B2049" s="8" t="s">
        <v>16</v>
      </c>
      <c r="C2049" s="9" t="n">
        <v>230</v>
      </c>
      <c r="D2049" s="8" t="s">
        <v>27</v>
      </c>
      <c r="E2049" s="10" t="s">
        <v>88</v>
      </c>
      <c r="F2049" s="8" t="str">
        <f aca="false">TEXT(A2049,"MM-YYYY")</f>
        <v>05-2025</v>
      </c>
      <c r="G2049" s="8"/>
      <c r="H2049" s="8"/>
      <c r="I2049" s="7"/>
      <c r="J2049" s="8" t="str">
        <f aca="false">VLOOKUP(B2049, Table3[#All], 2, FALSE())</f>
        <v>Sales</v>
      </c>
      <c r="K2049" s="8" t="str">
        <f aca="false">TEXT(ROW(), "0000")</f>
        <v>2049</v>
      </c>
      <c r="L2049" s="8"/>
    </row>
    <row r="2050" customFormat="false" ht="15.75" hidden="false" customHeight="true" outlineLevel="0" collapsed="false">
      <c r="A2050" s="7" t="n">
        <v>45805</v>
      </c>
      <c r="B2050" s="8" t="s">
        <v>16</v>
      </c>
      <c r="C2050" s="9" t="n">
        <v>2520</v>
      </c>
      <c r="D2050" s="8" t="s">
        <v>33</v>
      </c>
      <c r="E2050" s="10" t="s">
        <v>88</v>
      </c>
      <c r="F2050" s="8" t="str">
        <f aca="false">TEXT(A2050,"MM-YYYY")</f>
        <v>05-2025</v>
      </c>
      <c r="G2050" s="8"/>
      <c r="H2050" s="8"/>
      <c r="I2050" s="7"/>
      <c r="J2050" s="8" t="str">
        <f aca="false">VLOOKUP(B2050, Table3[#All], 2, FALSE())</f>
        <v>Sales</v>
      </c>
      <c r="K2050" s="8" t="str">
        <f aca="false">TEXT(ROW(), "0000")</f>
        <v>2050</v>
      </c>
      <c r="L2050" s="8"/>
    </row>
    <row r="2051" customFormat="false" ht="15.75" hidden="false" customHeight="true" outlineLevel="0" collapsed="false">
      <c r="A2051" s="7" t="n">
        <v>45805</v>
      </c>
      <c r="B2051" s="8" t="s">
        <v>16</v>
      </c>
      <c r="C2051" s="9" t="n">
        <v>12614</v>
      </c>
      <c r="D2051" s="8" t="s">
        <v>17</v>
      </c>
      <c r="E2051" s="10" t="s">
        <v>88</v>
      </c>
      <c r="F2051" s="8" t="str">
        <f aca="false">TEXT(A2051,"MM-YYYY")</f>
        <v>05-2025</v>
      </c>
      <c r="G2051" s="8"/>
      <c r="H2051" s="8"/>
      <c r="I2051" s="7"/>
      <c r="J2051" s="8" t="str">
        <f aca="false">VLOOKUP(B2051, Table3[#All], 2, FALSE())</f>
        <v>Sales</v>
      </c>
      <c r="K2051" s="8" t="str">
        <f aca="false">TEXT(ROW(), "0000")</f>
        <v>2051</v>
      </c>
      <c r="L2051" s="8"/>
    </row>
    <row r="2052" customFormat="false" ht="15.75" hidden="false" customHeight="true" outlineLevel="0" collapsed="false">
      <c r="A2052" s="7" t="n">
        <v>45805</v>
      </c>
      <c r="B2052" s="8" t="s">
        <v>16</v>
      </c>
      <c r="C2052" s="9" t="n">
        <v>1619</v>
      </c>
      <c r="D2052" s="8" t="s">
        <v>24</v>
      </c>
      <c r="E2052" s="10" t="s">
        <v>217</v>
      </c>
      <c r="F2052" s="8" t="str">
        <f aca="false">TEXT(A2052,"MM-YYYY")</f>
        <v>05-2025</v>
      </c>
      <c r="G2052" s="8"/>
      <c r="H2052" s="8"/>
      <c r="I2052" s="7"/>
      <c r="J2052" s="8" t="str">
        <f aca="false">VLOOKUP(B2052, Table3[#All], 2, FALSE())</f>
        <v>Sales</v>
      </c>
      <c r="K2052" s="8" t="str">
        <f aca="false">TEXT(ROW(), "0000")</f>
        <v>2052</v>
      </c>
      <c r="L2052" s="8"/>
    </row>
    <row r="2053" customFormat="false" ht="15.75" hidden="false" customHeight="true" outlineLevel="0" collapsed="false">
      <c r="A2053" s="7" t="n">
        <v>45805</v>
      </c>
      <c r="B2053" s="8" t="s">
        <v>37</v>
      </c>
      <c r="C2053" s="9" t="n">
        <v>20</v>
      </c>
      <c r="D2053" s="8" t="s">
        <v>21</v>
      </c>
      <c r="E2053" s="10" t="s">
        <v>37</v>
      </c>
      <c r="F2053" s="8" t="str">
        <f aca="false">TEXT(A2053,"MM-YYYY")</f>
        <v>05-2025</v>
      </c>
      <c r="G2053" s="8" t="s">
        <v>14</v>
      </c>
      <c r="H2053" s="8" t="s">
        <v>15</v>
      </c>
      <c r="I2053" s="7" t="n">
        <v>45805</v>
      </c>
      <c r="J2053" s="8" t="str">
        <f aca="false">VLOOKUP(B2053, Table3[#All], 2, FALSE())</f>
        <v>Maintance</v>
      </c>
      <c r="K2053" s="8" t="str">
        <f aca="false">TEXT(ROW(), "0000")</f>
        <v>2053</v>
      </c>
      <c r="L2053" s="8"/>
    </row>
    <row r="2054" customFormat="false" ht="15.75" hidden="false" customHeight="true" outlineLevel="0" collapsed="false">
      <c r="A2054" s="7" t="n">
        <v>45805</v>
      </c>
      <c r="B2054" s="8" t="s">
        <v>34</v>
      </c>
      <c r="C2054" s="9" t="n">
        <v>120</v>
      </c>
      <c r="D2054" s="8" t="s">
        <v>45</v>
      </c>
      <c r="E2054" s="10" t="s">
        <v>267</v>
      </c>
      <c r="F2054" s="8" t="str">
        <f aca="false">TEXT(A2054,"MM-YYYY")</f>
        <v>05-2025</v>
      </c>
      <c r="G2054" s="8" t="s">
        <v>14</v>
      </c>
      <c r="H2054" s="8" t="s">
        <v>232</v>
      </c>
      <c r="I2054" s="7" t="n">
        <v>45805</v>
      </c>
      <c r="J2054" s="8" t="str">
        <f aca="false">VLOOKUP(B2054, Table3[#All], 2, FALSE())</f>
        <v>Staff Expenses</v>
      </c>
      <c r="K2054" s="8" t="str">
        <f aca="false">TEXT(ROW(), "0000")</f>
        <v>2054</v>
      </c>
      <c r="L2054" s="8"/>
    </row>
    <row r="2055" customFormat="false" ht="15.75" hidden="false" customHeight="true" outlineLevel="0" collapsed="false">
      <c r="A2055" s="7" t="n">
        <v>45805</v>
      </c>
      <c r="B2055" s="8" t="s">
        <v>43</v>
      </c>
      <c r="C2055" s="9" t="n">
        <v>230</v>
      </c>
      <c r="D2055" s="8" t="s">
        <v>45</v>
      </c>
      <c r="E2055" s="10" t="s">
        <v>327</v>
      </c>
      <c r="F2055" s="8" t="str">
        <f aca="false">TEXT(A2055,"MM-YYYY")</f>
        <v>05-2025</v>
      </c>
      <c r="G2055" s="8" t="s">
        <v>14</v>
      </c>
      <c r="H2055" s="8" t="s">
        <v>232</v>
      </c>
      <c r="I2055" s="7" t="n">
        <v>45805</v>
      </c>
      <c r="J2055" s="8" t="str">
        <f aca="false">VLOOKUP(B2055, Table3[#All], 2, FALSE())</f>
        <v>Maintance</v>
      </c>
      <c r="K2055" s="8" t="str">
        <f aca="false">TEXT(ROW(), "0000")</f>
        <v>2055</v>
      </c>
      <c r="L2055" s="8"/>
    </row>
    <row r="2056" customFormat="false" ht="15.75" hidden="false" customHeight="true" outlineLevel="0" collapsed="false">
      <c r="A2056" s="7" t="n">
        <v>45806</v>
      </c>
      <c r="B2056" s="8" t="s">
        <v>19</v>
      </c>
      <c r="C2056" s="9" t="n">
        <v>3855</v>
      </c>
      <c r="D2056" s="8" t="s">
        <v>13</v>
      </c>
      <c r="E2056" s="10" t="s">
        <v>20</v>
      </c>
      <c r="F2056" s="8" t="str">
        <f aca="false">TEXT(A2056,"MM-YYYY")</f>
        <v>05-2025</v>
      </c>
      <c r="G2056" s="8" t="s">
        <v>14</v>
      </c>
      <c r="H2056" s="8" t="s">
        <v>13</v>
      </c>
      <c r="I2056" s="7" t="n">
        <v>45812</v>
      </c>
      <c r="J2056" s="8" t="str">
        <f aca="false">VLOOKUP(B2056, Table3[#All], 2, FALSE())</f>
        <v>Inventory</v>
      </c>
      <c r="K2056" s="8" t="str">
        <f aca="false">TEXT(ROW(), "0000")</f>
        <v>2056</v>
      </c>
      <c r="L2056" s="8"/>
    </row>
    <row r="2057" customFormat="false" ht="15.75" hidden="false" customHeight="true" outlineLevel="0" collapsed="false">
      <c r="A2057" s="7" t="n">
        <v>45806</v>
      </c>
      <c r="B2057" s="8" t="s">
        <v>22</v>
      </c>
      <c r="C2057" s="9" t="n">
        <v>1990</v>
      </c>
      <c r="D2057" s="8" t="s">
        <v>13</v>
      </c>
      <c r="E2057" s="10" t="s">
        <v>23</v>
      </c>
      <c r="F2057" s="8" t="str">
        <f aca="false">TEXT(A2057,"MM-YYYY")</f>
        <v>05-2025</v>
      </c>
      <c r="G2057" s="8" t="s">
        <v>14</v>
      </c>
      <c r="H2057" s="8" t="s">
        <v>13</v>
      </c>
      <c r="I2057" s="7" t="n">
        <v>45812</v>
      </c>
      <c r="J2057" s="8" t="str">
        <f aca="false">VLOOKUP(B2057, Table3[#All], 2, FALSE())</f>
        <v>Inventory</v>
      </c>
      <c r="K2057" s="8" t="str">
        <f aca="false">TEXT(ROW(), "0000")</f>
        <v>2057</v>
      </c>
      <c r="L2057" s="8"/>
    </row>
    <row r="2058" customFormat="false" ht="15.75" hidden="false" customHeight="true" outlineLevel="0" collapsed="false">
      <c r="A2058" s="7" t="n">
        <v>45806</v>
      </c>
      <c r="B2058" s="8" t="s">
        <v>25</v>
      </c>
      <c r="C2058" s="9" t="n">
        <v>1204</v>
      </c>
      <c r="D2058" s="8" t="s">
        <v>13</v>
      </c>
      <c r="E2058" s="10" t="s">
        <v>26</v>
      </c>
      <c r="F2058" s="8" t="str">
        <f aca="false">TEXT(A2058,"MM-YYYY")</f>
        <v>05-2025</v>
      </c>
      <c r="G2058" s="21" t="s">
        <v>14</v>
      </c>
      <c r="H2058" s="8" t="s">
        <v>13</v>
      </c>
      <c r="I2058" s="7" t="n">
        <v>45825</v>
      </c>
      <c r="J2058" s="8" t="str">
        <f aca="false">VLOOKUP(B2058, Table3[#All], 2, FALSE())</f>
        <v>Inventory</v>
      </c>
      <c r="K2058" s="8" t="str">
        <f aca="false">TEXT(ROW(), "0000")</f>
        <v>2058</v>
      </c>
      <c r="L2058" s="8"/>
    </row>
    <row r="2059" customFormat="false" ht="15.75" hidden="false" customHeight="true" outlineLevel="0" collapsed="false">
      <c r="A2059" s="7" t="n">
        <v>45806</v>
      </c>
      <c r="B2059" s="8" t="s">
        <v>32</v>
      </c>
      <c r="C2059" s="9" t="n">
        <v>210</v>
      </c>
      <c r="D2059" s="8" t="s">
        <v>21</v>
      </c>
      <c r="E2059" s="10" t="s">
        <v>38</v>
      </c>
      <c r="F2059" s="8" t="str">
        <f aca="false">TEXT(A2059,"MM-YYYY")</f>
        <v>05-2025</v>
      </c>
      <c r="G2059" s="8" t="s">
        <v>14</v>
      </c>
      <c r="H2059" s="8" t="s">
        <v>15</v>
      </c>
      <c r="I2059" s="7" t="n">
        <v>45806</v>
      </c>
      <c r="J2059" s="8" t="str">
        <f aca="false">VLOOKUP(B2059, Table3[#All], 2, FALSE())</f>
        <v>Grocery</v>
      </c>
      <c r="K2059" s="8" t="str">
        <f aca="false">TEXT(ROW(), "0000")</f>
        <v>2059</v>
      </c>
      <c r="L2059" s="8"/>
    </row>
    <row r="2060" customFormat="false" ht="15.75" hidden="false" customHeight="true" outlineLevel="0" collapsed="false">
      <c r="A2060" s="7" t="n">
        <v>45806</v>
      </c>
      <c r="B2060" s="8" t="s">
        <v>29</v>
      </c>
      <c r="C2060" s="9" t="n">
        <v>235</v>
      </c>
      <c r="D2060" s="8" t="s">
        <v>13</v>
      </c>
      <c r="E2060" s="10" t="s">
        <v>302</v>
      </c>
      <c r="F2060" s="8" t="str">
        <f aca="false">TEXT(A2060,"MM-YYYY")</f>
        <v>05-2025</v>
      </c>
      <c r="G2060" s="8" t="s">
        <v>14</v>
      </c>
      <c r="H2060" s="8" t="s">
        <v>13</v>
      </c>
      <c r="I2060" s="7" t="n">
        <v>45809</v>
      </c>
      <c r="J2060" s="8" t="str">
        <f aca="false">VLOOKUP(B2060, Table3[#All], 2, FALSE())</f>
        <v>Inventory</v>
      </c>
      <c r="K2060" s="8" t="str">
        <f aca="false">TEXT(ROW(), "0000")</f>
        <v>2060</v>
      </c>
      <c r="L2060" s="8"/>
    </row>
    <row r="2061" customFormat="false" ht="15.75" hidden="false" customHeight="true" outlineLevel="0" collapsed="false">
      <c r="A2061" s="7" t="n">
        <v>45806</v>
      </c>
      <c r="B2061" s="8" t="s">
        <v>43</v>
      </c>
      <c r="C2061" s="9" t="n">
        <v>300</v>
      </c>
      <c r="D2061" s="8" t="s">
        <v>45</v>
      </c>
      <c r="E2061" s="10" t="s">
        <v>279</v>
      </c>
      <c r="F2061" s="8" t="str">
        <f aca="false">TEXT(A2061,"MM-YYYY")</f>
        <v>05-2025</v>
      </c>
      <c r="G2061" s="8" t="s">
        <v>14</v>
      </c>
      <c r="H2061" s="8" t="s">
        <v>232</v>
      </c>
      <c r="I2061" s="7" t="n">
        <v>45806</v>
      </c>
      <c r="J2061" s="8" t="str">
        <f aca="false">VLOOKUP(B2061, Table3[#All], 2, FALSE())</f>
        <v>Maintance</v>
      </c>
      <c r="K2061" s="8" t="str">
        <f aca="false">TEXT(ROW(), "0000")</f>
        <v>2061</v>
      </c>
      <c r="L2061" s="8"/>
    </row>
    <row r="2062" customFormat="false" ht="15.75" hidden="false" customHeight="true" outlineLevel="0" collapsed="false">
      <c r="A2062" s="7" t="n">
        <v>45806</v>
      </c>
      <c r="B2062" s="8" t="s">
        <v>16</v>
      </c>
      <c r="C2062" s="9" t="n">
        <v>3295</v>
      </c>
      <c r="D2062" s="8" t="s">
        <v>21</v>
      </c>
      <c r="E2062" s="10" t="s">
        <v>88</v>
      </c>
      <c r="F2062" s="8" t="str">
        <f aca="false">TEXT(A2062,"MM-YYYY")</f>
        <v>05-2025</v>
      </c>
      <c r="G2062" s="8"/>
      <c r="H2062" s="8"/>
      <c r="I2062" s="7"/>
      <c r="J2062" s="8" t="str">
        <f aca="false">VLOOKUP(B2062, Table3[#All], 2, FALSE())</f>
        <v>Sales</v>
      </c>
      <c r="K2062" s="8" t="str">
        <f aca="false">TEXT(ROW(), "0000")</f>
        <v>2062</v>
      </c>
      <c r="L2062" s="8"/>
    </row>
    <row r="2063" customFormat="false" ht="15.75" hidden="false" customHeight="true" outlineLevel="0" collapsed="false">
      <c r="A2063" s="7" t="n">
        <v>45806</v>
      </c>
      <c r="B2063" s="8" t="s">
        <v>16</v>
      </c>
      <c r="C2063" s="9" t="n">
        <v>1565</v>
      </c>
      <c r="D2063" s="8" t="s">
        <v>27</v>
      </c>
      <c r="E2063" s="10" t="s">
        <v>88</v>
      </c>
      <c r="F2063" s="8" t="str">
        <f aca="false">TEXT(A2063,"MM-YYYY")</f>
        <v>05-2025</v>
      </c>
      <c r="G2063" s="8"/>
      <c r="H2063" s="8"/>
      <c r="I2063" s="7"/>
      <c r="J2063" s="8" t="str">
        <f aca="false">VLOOKUP(B2063, Table3[#All], 2, FALSE())</f>
        <v>Sales</v>
      </c>
      <c r="K2063" s="8" t="str">
        <f aca="false">TEXT(ROW(), "0000")</f>
        <v>2063</v>
      </c>
      <c r="L2063" s="8"/>
    </row>
    <row r="2064" customFormat="false" ht="15.75" hidden="false" customHeight="true" outlineLevel="0" collapsed="false">
      <c r="A2064" s="7" t="n">
        <v>45806</v>
      </c>
      <c r="B2064" s="8" t="s">
        <v>16</v>
      </c>
      <c r="C2064" s="9" t="n">
        <v>1720</v>
      </c>
      <c r="D2064" s="8" t="s">
        <v>33</v>
      </c>
      <c r="E2064" s="10" t="s">
        <v>88</v>
      </c>
      <c r="F2064" s="8" t="str">
        <f aca="false">TEXT(A2064,"MM-YYYY")</f>
        <v>05-2025</v>
      </c>
      <c r="G2064" s="8"/>
      <c r="H2064" s="8"/>
      <c r="I2064" s="7"/>
      <c r="J2064" s="8" t="str">
        <f aca="false">VLOOKUP(B2064, Table3[#All], 2, FALSE())</f>
        <v>Sales</v>
      </c>
      <c r="K2064" s="8" t="str">
        <f aca="false">TEXT(ROW(), "0000")</f>
        <v>2064</v>
      </c>
      <c r="L2064" s="8"/>
    </row>
    <row r="2065" customFormat="false" ht="15.75" hidden="false" customHeight="true" outlineLevel="0" collapsed="false">
      <c r="A2065" s="7" t="n">
        <v>45806</v>
      </c>
      <c r="B2065" s="8" t="s">
        <v>16</v>
      </c>
      <c r="C2065" s="9" t="n">
        <v>13478</v>
      </c>
      <c r="D2065" s="8" t="s">
        <v>17</v>
      </c>
      <c r="E2065" s="10" t="s">
        <v>88</v>
      </c>
      <c r="F2065" s="8" t="str">
        <f aca="false">TEXT(A2065,"MM-YYYY")</f>
        <v>05-2025</v>
      </c>
      <c r="G2065" s="8"/>
      <c r="H2065" s="8"/>
      <c r="I2065" s="7"/>
      <c r="J2065" s="8" t="str">
        <f aca="false">VLOOKUP(B2065, Table3[#All], 2, FALSE())</f>
        <v>Sales</v>
      </c>
      <c r="K2065" s="8" t="str">
        <f aca="false">TEXT(ROW(), "0000")</f>
        <v>2065</v>
      </c>
      <c r="L2065" s="8"/>
    </row>
    <row r="2066" customFormat="false" ht="15.75" hidden="false" customHeight="true" outlineLevel="0" collapsed="false">
      <c r="A2066" s="7" t="n">
        <v>45806</v>
      </c>
      <c r="B2066" s="8" t="s">
        <v>16</v>
      </c>
      <c r="C2066" s="9" t="n">
        <v>2498</v>
      </c>
      <c r="D2066" s="8" t="s">
        <v>24</v>
      </c>
      <c r="E2066" s="10" t="s">
        <v>217</v>
      </c>
      <c r="F2066" s="8" t="str">
        <f aca="false">TEXT(A2066,"MM-YYYY")</f>
        <v>05-2025</v>
      </c>
      <c r="G2066" s="8"/>
      <c r="H2066" s="8"/>
      <c r="I2066" s="7"/>
      <c r="J2066" s="8" t="str">
        <f aca="false">VLOOKUP(B2066, Table3[#All], 2, FALSE())</f>
        <v>Sales</v>
      </c>
      <c r="K2066" s="8" t="str">
        <f aca="false">TEXT(ROW(), "0000")</f>
        <v>2066</v>
      </c>
      <c r="L2066" s="8"/>
    </row>
    <row r="2067" customFormat="false" ht="15.75" hidden="false" customHeight="true" outlineLevel="0" collapsed="false">
      <c r="A2067" s="7" t="n">
        <v>45806</v>
      </c>
      <c r="B2067" s="8" t="s">
        <v>29</v>
      </c>
      <c r="C2067" s="9" t="n">
        <v>35</v>
      </c>
      <c r="D2067" s="8" t="s">
        <v>21</v>
      </c>
      <c r="E2067" s="10" t="s">
        <v>194</v>
      </c>
      <c r="F2067" s="8" t="str">
        <f aca="false">TEXT(A2067,"MM-YYYY")</f>
        <v>05-2025</v>
      </c>
      <c r="G2067" s="8" t="s">
        <v>14</v>
      </c>
      <c r="H2067" s="8" t="s">
        <v>15</v>
      </c>
      <c r="I2067" s="7" t="n">
        <v>45806</v>
      </c>
      <c r="J2067" s="8" t="str">
        <f aca="false">VLOOKUP(B2067, Table3[#All], 2, FALSE())</f>
        <v>Inventory</v>
      </c>
      <c r="K2067" s="8" t="str">
        <f aca="false">TEXT(ROW(), "0000")</f>
        <v>2067</v>
      </c>
      <c r="L2067" s="8"/>
    </row>
    <row r="2068" customFormat="false" ht="15.75" hidden="false" customHeight="true" outlineLevel="0" collapsed="false">
      <c r="A2068" s="7" t="n">
        <v>45806</v>
      </c>
      <c r="B2068" s="8" t="s">
        <v>34</v>
      </c>
      <c r="C2068" s="9" t="n">
        <v>150</v>
      </c>
      <c r="D2068" s="8" t="s">
        <v>45</v>
      </c>
      <c r="E2068" s="10" t="s">
        <v>267</v>
      </c>
      <c r="F2068" s="8" t="str">
        <f aca="false">TEXT(A2068,"MM-YYYY")</f>
        <v>05-2025</v>
      </c>
      <c r="G2068" s="8" t="s">
        <v>14</v>
      </c>
      <c r="H2068" s="8" t="s">
        <v>232</v>
      </c>
      <c r="I2068" s="7" t="n">
        <v>45806</v>
      </c>
      <c r="J2068" s="8" t="str">
        <f aca="false">VLOOKUP(B2068, Table3[#All], 2, FALSE())</f>
        <v>Staff Expenses</v>
      </c>
      <c r="K2068" s="8" t="str">
        <f aca="false">TEXT(ROW(), "0000")</f>
        <v>2068</v>
      </c>
      <c r="L2068" s="8"/>
    </row>
    <row r="2069" customFormat="false" ht="15.75" hidden="false" customHeight="true" outlineLevel="0" collapsed="false">
      <c r="A2069" s="7" t="n">
        <v>45806</v>
      </c>
      <c r="B2069" s="8" t="s">
        <v>44</v>
      </c>
      <c r="C2069" s="9" t="n">
        <v>100</v>
      </c>
      <c r="D2069" s="8" t="s">
        <v>45</v>
      </c>
      <c r="E2069" s="10" t="s">
        <v>316</v>
      </c>
      <c r="F2069" s="8" t="str">
        <f aca="false">TEXT(A2069,"MM-YYYY")</f>
        <v>05-2025</v>
      </c>
      <c r="G2069" s="8" t="s">
        <v>14</v>
      </c>
      <c r="H2069" s="8" t="s">
        <v>232</v>
      </c>
      <c r="I2069" s="7" t="n">
        <v>45806</v>
      </c>
      <c r="J2069" s="8" t="str">
        <f aca="false">VLOOKUP(B2069, Table3[#All], 2, FALSE())</f>
        <v>Salary</v>
      </c>
      <c r="K2069" s="8" t="str">
        <f aca="false">TEXT(ROW(), "0000")</f>
        <v>2069</v>
      </c>
      <c r="L2069" s="8"/>
    </row>
    <row r="2070" customFormat="false" ht="15.75" hidden="false" customHeight="true" outlineLevel="0" collapsed="false">
      <c r="A2070" s="7" t="n">
        <v>45807</v>
      </c>
      <c r="B2070" s="8" t="s">
        <v>19</v>
      </c>
      <c r="C2070" s="9" t="n">
        <v>3890</v>
      </c>
      <c r="D2070" s="8" t="s">
        <v>13</v>
      </c>
      <c r="E2070" s="10" t="s">
        <v>20</v>
      </c>
      <c r="F2070" s="8" t="str">
        <f aca="false">TEXT(A2070,"MM-YYYY")</f>
        <v>05-2025</v>
      </c>
      <c r="G2070" s="8" t="s">
        <v>14</v>
      </c>
      <c r="H2070" s="8" t="s">
        <v>13</v>
      </c>
      <c r="I2070" s="7" t="n">
        <v>45812</v>
      </c>
      <c r="J2070" s="8" t="str">
        <f aca="false">VLOOKUP(B2070, Table3[#All], 2, FALSE())</f>
        <v>Inventory</v>
      </c>
      <c r="K2070" s="8" t="str">
        <f aca="false">TEXT(ROW(), "0000")</f>
        <v>2070</v>
      </c>
      <c r="L2070" s="8"/>
    </row>
    <row r="2071" customFormat="false" ht="15.75" hidden="false" customHeight="true" outlineLevel="0" collapsed="false">
      <c r="A2071" s="7" t="n">
        <v>45807</v>
      </c>
      <c r="B2071" s="8" t="s">
        <v>47</v>
      </c>
      <c r="C2071" s="9" t="n">
        <v>1680</v>
      </c>
      <c r="D2071" s="8" t="s">
        <v>13</v>
      </c>
      <c r="E2071" s="10" t="s">
        <v>223</v>
      </c>
      <c r="F2071" s="8" t="str">
        <f aca="false">TEXT(A2071,"MM-YYYY")</f>
        <v>05-2025</v>
      </c>
      <c r="G2071" s="8" t="s">
        <v>14</v>
      </c>
      <c r="H2071" s="8" t="s">
        <v>13</v>
      </c>
      <c r="I2071" s="7" t="n">
        <v>45810</v>
      </c>
      <c r="J2071" s="8" t="str">
        <f aca="false">VLOOKUP(B2071, Table3[#All], 2, FALSE())</f>
        <v>Inventory</v>
      </c>
      <c r="K2071" s="8" t="str">
        <f aca="false">TEXT(ROW(), "0000")</f>
        <v>2071</v>
      </c>
      <c r="L2071" s="8"/>
    </row>
    <row r="2072" customFormat="false" ht="15.75" hidden="false" customHeight="true" outlineLevel="0" collapsed="false">
      <c r="A2072" s="7" t="n">
        <v>45807</v>
      </c>
      <c r="B2072" s="8" t="s">
        <v>22</v>
      </c>
      <c r="C2072" s="9" t="n">
        <v>640</v>
      </c>
      <c r="D2072" s="8" t="s">
        <v>13</v>
      </c>
      <c r="E2072" s="10" t="s">
        <v>23</v>
      </c>
      <c r="F2072" s="8" t="str">
        <f aca="false">TEXT(A2072,"MM-YYYY")</f>
        <v>05-2025</v>
      </c>
      <c r="G2072" s="8" t="s">
        <v>14</v>
      </c>
      <c r="H2072" s="8" t="s">
        <v>13</v>
      </c>
      <c r="I2072" s="7" t="n">
        <v>45812</v>
      </c>
      <c r="J2072" s="8" t="str">
        <f aca="false">VLOOKUP(B2072, Table3[#All], 2, FALSE())</f>
        <v>Inventory</v>
      </c>
      <c r="K2072" s="8" t="str">
        <f aca="false">TEXT(ROW(), "0000")</f>
        <v>2072</v>
      </c>
      <c r="L2072" s="8"/>
    </row>
    <row r="2073" customFormat="false" ht="15.75" hidden="false" customHeight="true" outlineLevel="0" collapsed="false">
      <c r="A2073" s="7" t="n">
        <v>45807</v>
      </c>
      <c r="B2073" s="8" t="s">
        <v>25</v>
      </c>
      <c r="C2073" s="9" t="n">
        <v>783</v>
      </c>
      <c r="D2073" s="8" t="s">
        <v>13</v>
      </c>
      <c r="E2073" s="10" t="s">
        <v>26</v>
      </c>
      <c r="F2073" s="8" t="str">
        <f aca="false">TEXT(A2073,"MM-YYYY")</f>
        <v>05-2025</v>
      </c>
      <c r="G2073" s="21" t="s">
        <v>14</v>
      </c>
      <c r="H2073" s="8" t="s">
        <v>13</v>
      </c>
      <c r="I2073" s="7" t="n">
        <v>45825</v>
      </c>
      <c r="J2073" s="8" t="str">
        <f aca="false">VLOOKUP(B2073, Table3[#All], 2, FALSE())</f>
        <v>Inventory</v>
      </c>
      <c r="K2073" s="8" t="str">
        <f aca="false">TEXT(ROW(), "0000")</f>
        <v>2073</v>
      </c>
      <c r="L2073" s="8"/>
    </row>
    <row r="2074" customFormat="false" ht="15.75" hidden="false" customHeight="true" outlineLevel="0" collapsed="false">
      <c r="A2074" s="7" t="n">
        <v>45807</v>
      </c>
      <c r="B2074" s="8" t="s">
        <v>32</v>
      </c>
      <c r="C2074" s="9" t="n">
        <v>210</v>
      </c>
      <c r="D2074" s="8" t="s">
        <v>21</v>
      </c>
      <c r="E2074" s="10" t="s">
        <v>38</v>
      </c>
      <c r="F2074" s="8" t="str">
        <f aca="false">TEXT(A2074,"MM-YYYY")</f>
        <v>05-2025</v>
      </c>
      <c r="G2074" s="8" t="s">
        <v>14</v>
      </c>
      <c r="H2074" s="8" t="s">
        <v>15</v>
      </c>
      <c r="I2074" s="7" t="n">
        <v>45807</v>
      </c>
      <c r="J2074" s="8" t="str">
        <f aca="false">VLOOKUP(B2074, Table3[#All], 2, FALSE())</f>
        <v>Grocery</v>
      </c>
      <c r="K2074" s="8" t="str">
        <f aca="false">TEXT(ROW(), "0000")</f>
        <v>2074</v>
      </c>
      <c r="L2074" s="8"/>
    </row>
    <row r="2075" customFormat="false" ht="15.75" hidden="false" customHeight="true" outlineLevel="0" collapsed="false">
      <c r="A2075" s="7" t="n">
        <v>45807</v>
      </c>
      <c r="B2075" s="8" t="s">
        <v>28</v>
      </c>
      <c r="C2075" s="9" t="n">
        <v>890</v>
      </c>
      <c r="D2075" s="8" t="s">
        <v>21</v>
      </c>
      <c r="E2075" s="10" t="s">
        <v>93</v>
      </c>
      <c r="F2075" s="8" t="str">
        <f aca="false">TEXT(A2075,"MM-YYYY")</f>
        <v>05-2025</v>
      </c>
      <c r="G2075" s="8" t="s">
        <v>14</v>
      </c>
      <c r="H2075" s="8" t="s">
        <v>15</v>
      </c>
      <c r="I2075" s="7" t="n">
        <v>45807</v>
      </c>
      <c r="J2075" s="8" t="str">
        <f aca="false">VLOOKUP(B2075, Table3[#All], 2, FALSE())</f>
        <v>Grocery</v>
      </c>
      <c r="K2075" s="8" t="str">
        <f aca="false">TEXT(ROW(), "0000")</f>
        <v>2075</v>
      </c>
      <c r="L2075" s="8"/>
    </row>
    <row r="2076" customFormat="false" ht="15.75" hidden="false" customHeight="true" outlineLevel="0" collapsed="false">
      <c r="A2076" s="7" t="n">
        <v>45807</v>
      </c>
      <c r="B2076" s="8" t="s">
        <v>29</v>
      </c>
      <c r="C2076" s="9" t="n">
        <v>495</v>
      </c>
      <c r="D2076" s="8" t="s">
        <v>13</v>
      </c>
      <c r="E2076" s="10" t="s">
        <v>302</v>
      </c>
      <c r="F2076" s="8" t="str">
        <f aca="false">TEXT(A2076,"MM-YYYY")</f>
        <v>05-2025</v>
      </c>
      <c r="G2076" s="8" t="s">
        <v>14</v>
      </c>
      <c r="H2076" s="8" t="s">
        <v>13</v>
      </c>
      <c r="I2076" s="7" t="n">
        <v>45809</v>
      </c>
      <c r="J2076" s="8" t="str">
        <f aca="false">VLOOKUP(B2076, Table3[#All], 2, FALSE())</f>
        <v>Inventory</v>
      </c>
      <c r="K2076" s="8" t="str">
        <f aca="false">TEXT(ROW(), "0000")</f>
        <v>2076</v>
      </c>
      <c r="L2076" s="8"/>
    </row>
    <row r="2077" customFormat="false" ht="15.75" hidden="false" customHeight="true" outlineLevel="0" collapsed="false">
      <c r="A2077" s="7" t="n">
        <v>45807</v>
      </c>
      <c r="B2077" s="8" t="s">
        <v>50</v>
      </c>
      <c r="C2077" s="9" t="n">
        <v>1760</v>
      </c>
      <c r="D2077" s="8" t="s">
        <v>13</v>
      </c>
      <c r="E2077" s="10" t="s">
        <v>263</v>
      </c>
      <c r="F2077" s="8" t="str">
        <f aca="false">TEXT(A2077,"MM-YYYY")</f>
        <v>05-2025</v>
      </c>
      <c r="G2077" s="8" t="s">
        <v>14</v>
      </c>
      <c r="H2077" s="8" t="s">
        <v>13</v>
      </c>
      <c r="I2077" s="7" t="n">
        <v>45810</v>
      </c>
      <c r="J2077" s="8" t="str">
        <f aca="false">VLOOKUP(B2077, Table3[#All], 2, FALSE())</f>
        <v>Fixed Maintance</v>
      </c>
      <c r="K2077" s="8" t="str">
        <f aca="false">TEXT(ROW(), "0000")</f>
        <v>2077</v>
      </c>
      <c r="L2077" s="8"/>
    </row>
    <row r="2078" customFormat="false" ht="15.75" hidden="false" customHeight="true" outlineLevel="0" collapsed="false">
      <c r="A2078" s="7" t="n">
        <v>45807</v>
      </c>
      <c r="B2078" s="8" t="s">
        <v>16</v>
      </c>
      <c r="C2078" s="9" t="n">
        <v>1710</v>
      </c>
      <c r="D2078" s="8" t="s">
        <v>21</v>
      </c>
      <c r="E2078" s="10" t="s">
        <v>88</v>
      </c>
      <c r="F2078" s="8" t="str">
        <f aca="false">TEXT(A2078,"MM-YYYY")</f>
        <v>05-2025</v>
      </c>
      <c r="G2078" s="8"/>
      <c r="H2078" s="8"/>
      <c r="I2078" s="7"/>
      <c r="J2078" s="8" t="str">
        <f aca="false">VLOOKUP(B2078, Table3[#All], 2, FALSE())</f>
        <v>Sales</v>
      </c>
      <c r="K2078" s="8" t="str">
        <f aca="false">TEXT(ROW(), "0000")</f>
        <v>2078</v>
      </c>
      <c r="L2078" s="8"/>
    </row>
    <row r="2079" customFormat="false" ht="15.75" hidden="false" customHeight="true" outlineLevel="0" collapsed="false">
      <c r="A2079" s="7" t="n">
        <v>45807</v>
      </c>
      <c r="B2079" s="8" t="s">
        <v>16</v>
      </c>
      <c r="C2079" s="9" t="n">
        <v>454</v>
      </c>
      <c r="D2079" s="8" t="s">
        <v>27</v>
      </c>
      <c r="E2079" s="10" t="s">
        <v>88</v>
      </c>
      <c r="F2079" s="8" t="str">
        <f aca="false">TEXT(A2079,"MM-YYYY")</f>
        <v>05-2025</v>
      </c>
      <c r="G2079" s="8"/>
      <c r="H2079" s="8"/>
      <c r="I2079" s="7"/>
      <c r="J2079" s="8" t="str">
        <f aca="false">VLOOKUP(B2079, Table3[#All], 2, FALSE())</f>
        <v>Sales</v>
      </c>
      <c r="K2079" s="8" t="str">
        <f aca="false">TEXT(ROW(), "0000")</f>
        <v>2079</v>
      </c>
      <c r="L2079" s="8"/>
    </row>
    <row r="2080" customFormat="false" ht="15.75" hidden="false" customHeight="true" outlineLevel="0" collapsed="false">
      <c r="A2080" s="7" t="n">
        <v>45807</v>
      </c>
      <c r="B2080" s="8" t="s">
        <v>16</v>
      </c>
      <c r="C2080" s="9" t="n">
        <v>2030</v>
      </c>
      <c r="D2080" s="8" t="s">
        <v>33</v>
      </c>
      <c r="E2080" s="10" t="s">
        <v>88</v>
      </c>
      <c r="F2080" s="8" t="str">
        <f aca="false">TEXT(A2080,"MM-YYYY")</f>
        <v>05-2025</v>
      </c>
      <c r="G2080" s="8"/>
      <c r="H2080" s="8"/>
      <c r="I2080" s="7"/>
      <c r="J2080" s="8" t="str">
        <f aca="false">VLOOKUP(B2080, Table3[#All], 2, FALSE())</f>
        <v>Sales</v>
      </c>
      <c r="K2080" s="8" t="str">
        <f aca="false">TEXT(ROW(), "0000")</f>
        <v>2080</v>
      </c>
      <c r="L2080" s="8"/>
    </row>
    <row r="2081" customFormat="false" ht="15.75" hidden="false" customHeight="true" outlineLevel="0" collapsed="false">
      <c r="A2081" s="7" t="n">
        <v>45807</v>
      </c>
      <c r="B2081" s="8" t="s">
        <v>16</v>
      </c>
      <c r="C2081" s="9" t="n">
        <v>18246</v>
      </c>
      <c r="D2081" s="8" t="s">
        <v>17</v>
      </c>
      <c r="E2081" s="10" t="s">
        <v>88</v>
      </c>
      <c r="F2081" s="8" t="str">
        <f aca="false">TEXT(A2081,"MM-YYYY")</f>
        <v>05-2025</v>
      </c>
      <c r="G2081" s="8"/>
      <c r="H2081" s="8"/>
      <c r="I2081" s="7"/>
      <c r="J2081" s="8" t="str">
        <f aca="false">VLOOKUP(B2081, Table3[#All], 2, FALSE())</f>
        <v>Sales</v>
      </c>
      <c r="K2081" s="8" t="str">
        <f aca="false">TEXT(ROW(), "0000")</f>
        <v>2081</v>
      </c>
      <c r="L2081" s="8"/>
    </row>
    <row r="2082" customFormat="false" ht="15.75" hidden="false" customHeight="true" outlineLevel="0" collapsed="false">
      <c r="A2082" s="7" t="n">
        <v>45807</v>
      </c>
      <c r="B2082" s="8" t="s">
        <v>16</v>
      </c>
      <c r="C2082" s="9" t="n">
        <v>950</v>
      </c>
      <c r="D2082" s="8" t="s">
        <v>59</v>
      </c>
      <c r="E2082" s="10" t="s">
        <v>88</v>
      </c>
      <c r="F2082" s="8" t="str">
        <f aca="false">TEXT(A2082,"MM-YYYY")</f>
        <v>05-2025</v>
      </c>
      <c r="G2082" s="8"/>
      <c r="H2082" s="8"/>
      <c r="I2082" s="7"/>
      <c r="J2082" s="8" t="str">
        <f aca="false">VLOOKUP(B2082, Table3[#All], 2, FALSE())</f>
        <v>Sales</v>
      </c>
      <c r="K2082" s="8" t="str">
        <f aca="false">TEXT(ROW(), "0000")</f>
        <v>2082</v>
      </c>
      <c r="L2082" s="8"/>
    </row>
    <row r="2083" customFormat="false" ht="15.75" hidden="false" customHeight="true" outlineLevel="0" collapsed="false">
      <c r="A2083" s="7" t="n">
        <v>45807</v>
      </c>
      <c r="B2083" s="8" t="s">
        <v>16</v>
      </c>
      <c r="C2083" s="9" t="n">
        <v>948</v>
      </c>
      <c r="D2083" s="8" t="s">
        <v>24</v>
      </c>
      <c r="E2083" s="10" t="s">
        <v>217</v>
      </c>
      <c r="F2083" s="8" t="str">
        <f aca="false">TEXT(A2083,"MM-YYYY")</f>
        <v>05-2025</v>
      </c>
      <c r="G2083" s="8"/>
      <c r="H2083" s="8"/>
      <c r="I2083" s="7"/>
      <c r="J2083" s="8" t="str">
        <f aca="false">VLOOKUP(B2083, Table3[#All], 2, FALSE())</f>
        <v>Sales</v>
      </c>
      <c r="K2083" s="8" t="str">
        <f aca="false">TEXT(ROW(), "0000")</f>
        <v>2083</v>
      </c>
      <c r="L2083" s="8"/>
    </row>
    <row r="2084" customFormat="false" ht="15.75" hidden="false" customHeight="true" outlineLevel="0" collapsed="false">
      <c r="A2084" s="7" t="n">
        <v>45807</v>
      </c>
      <c r="B2084" s="8" t="s">
        <v>37</v>
      </c>
      <c r="C2084" s="9" t="n">
        <v>10</v>
      </c>
      <c r="D2084" s="8" t="s">
        <v>21</v>
      </c>
      <c r="E2084" s="10" t="s">
        <v>37</v>
      </c>
      <c r="F2084" s="8" t="str">
        <f aca="false">TEXT(A2084,"MM-YYYY")</f>
        <v>05-2025</v>
      </c>
      <c r="G2084" s="8" t="s">
        <v>14</v>
      </c>
      <c r="H2084" s="8" t="s">
        <v>15</v>
      </c>
      <c r="I2084" s="7" t="n">
        <v>45807</v>
      </c>
      <c r="J2084" s="8" t="str">
        <f aca="false">VLOOKUP(B2084, Table3[#All], 2, FALSE())</f>
        <v>Maintance</v>
      </c>
      <c r="K2084" s="8" t="str">
        <f aca="false">TEXT(ROW(), "0000")</f>
        <v>2084</v>
      </c>
      <c r="L2084" s="8"/>
    </row>
    <row r="2085" customFormat="false" ht="15.75" hidden="false" customHeight="true" outlineLevel="0" collapsed="false">
      <c r="A2085" s="7" t="n">
        <v>45807</v>
      </c>
      <c r="B2085" s="8" t="s">
        <v>34</v>
      </c>
      <c r="C2085" s="9" t="n">
        <v>150</v>
      </c>
      <c r="D2085" s="8" t="s">
        <v>45</v>
      </c>
      <c r="E2085" s="10" t="s">
        <v>267</v>
      </c>
      <c r="F2085" s="8" t="str">
        <f aca="false">TEXT(A2085,"MM-YYYY")</f>
        <v>05-2025</v>
      </c>
      <c r="G2085" s="8" t="s">
        <v>14</v>
      </c>
      <c r="H2085" s="8" t="s">
        <v>232</v>
      </c>
      <c r="I2085" s="7" t="n">
        <v>45807</v>
      </c>
      <c r="J2085" s="8" t="str">
        <f aca="false">VLOOKUP(B2085, Table3[#All], 2, FALSE())</f>
        <v>Staff Expenses</v>
      </c>
      <c r="K2085" s="8" t="str">
        <f aca="false">TEXT(ROW(), "0000")</f>
        <v>2085</v>
      </c>
      <c r="L2085" s="8"/>
    </row>
    <row r="2086" customFormat="false" ht="15.75" hidden="false" customHeight="true" outlineLevel="0" collapsed="false">
      <c r="A2086" s="7" t="n">
        <v>45807</v>
      </c>
      <c r="B2086" s="8" t="s">
        <v>43</v>
      </c>
      <c r="C2086" s="9" t="n">
        <v>250</v>
      </c>
      <c r="D2086" s="8" t="s">
        <v>45</v>
      </c>
      <c r="E2086" s="10" t="s">
        <v>328</v>
      </c>
      <c r="F2086" s="8" t="str">
        <f aca="false">TEXT(A2086,"MM-YYYY")</f>
        <v>05-2025</v>
      </c>
      <c r="G2086" s="8" t="s">
        <v>14</v>
      </c>
      <c r="H2086" s="8" t="s">
        <v>232</v>
      </c>
      <c r="I2086" s="7" t="n">
        <v>45807</v>
      </c>
      <c r="J2086" s="8" t="str">
        <f aca="false">VLOOKUP(B2086, Table3[#All], 2, FALSE())</f>
        <v>Maintance</v>
      </c>
      <c r="K2086" s="8" t="str">
        <f aca="false">TEXT(ROW(), "0000")</f>
        <v>2086</v>
      </c>
      <c r="L2086" s="8"/>
    </row>
    <row r="2087" customFormat="false" ht="15.75" hidden="false" customHeight="true" outlineLevel="0" collapsed="false">
      <c r="A2087" s="7" t="n">
        <v>45807</v>
      </c>
      <c r="B2087" s="8" t="s">
        <v>43</v>
      </c>
      <c r="C2087" s="9" t="n">
        <v>600</v>
      </c>
      <c r="D2087" s="8" t="s">
        <v>45</v>
      </c>
      <c r="E2087" s="10" t="s">
        <v>329</v>
      </c>
      <c r="F2087" s="8" t="str">
        <f aca="false">TEXT(A2087,"MM-YYYY")</f>
        <v>05-2025</v>
      </c>
      <c r="G2087" s="8" t="s">
        <v>14</v>
      </c>
      <c r="H2087" s="8" t="s">
        <v>232</v>
      </c>
      <c r="I2087" s="7" t="n">
        <v>45807</v>
      </c>
      <c r="J2087" s="8" t="str">
        <f aca="false">VLOOKUP(B2087, Table3[#All], 2, FALSE())</f>
        <v>Maintance</v>
      </c>
      <c r="K2087" s="8" t="str">
        <f aca="false">TEXT(ROW(), "0000")</f>
        <v>2087</v>
      </c>
      <c r="L2087" s="8"/>
    </row>
    <row r="2088" customFormat="false" ht="15.75" hidden="false" customHeight="true" outlineLevel="0" collapsed="false">
      <c r="A2088" s="7" t="n">
        <v>45808</v>
      </c>
      <c r="B2088" s="8" t="s">
        <v>25</v>
      </c>
      <c r="C2088" s="9" t="n">
        <v>1178</v>
      </c>
      <c r="D2088" s="8" t="s">
        <v>13</v>
      </c>
      <c r="E2088" s="10" t="s">
        <v>26</v>
      </c>
      <c r="F2088" s="8" t="str">
        <f aca="false">TEXT(A2088,"MM-YYYY")</f>
        <v>05-2025</v>
      </c>
      <c r="G2088" s="8" t="s">
        <v>14</v>
      </c>
      <c r="H2088" s="8" t="s">
        <v>13</v>
      </c>
      <c r="I2088" s="7" t="n">
        <v>45825</v>
      </c>
      <c r="J2088" s="8" t="str">
        <f aca="false">VLOOKUP(B2088, Table3[#All], 2, FALSE())</f>
        <v>Inventory</v>
      </c>
      <c r="K2088" s="8" t="str">
        <f aca="false">TEXT(ROW(), "0000")</f>
        <v>2088</v>
      </c>
      <c r="L2088" s="8"/>
    </row>
    <row r="2089" customFormat="false" ht="15.75" hidden="false" customHeight="true" outlineLevel="0" collapsed="false">
      <c r="A2089" s="7" t="n">
        <v>45808</v>
      </c>
      <c r="B2089" s="8" t="s">
        <v>22</v>
      </c>
      <c r="C2089" s="9" t="n">
        <v>2478</v>
      </c>
      <c r="D2089" s="8" t="s">
        <v>13</v>
      </c>
      <c r="E2089" s="10" t="s">
        <v>23</v>
      </c>
      <c r="F2089" s="8" t="str">
        <f aca="false">TEXT(A2089,"MM-YYYY")</f>
        <v>05-2025</v>
      </c>
      <c r="G2089" s="8" t="s">
        <v>14</v>
      </c>
      <c r="H2089" s="8" t="s">
        <v>13</v>
      </c>
      <c r="I2089" s="7" t="n">
        <v>45812</v>
      </c>
      <c r="J2089" s="8" t="str">
        <f aca="false">VLOOKUP(B2089, Table3[#All], 2, FALSE())</f>
        <v>Inventory</v>
      </c>
      <c r="K2089" s="8" t="str">
        <f aca="false">TEXT(ROW(), "0000")</f>
        <v>2089</v>
      </c>
      <c r="L2089" s="8"/>
    </row>
    <row r="2090" customFormat="false" ht="15.75" hidden="false" customHeight="true" outlineLevel="0" collapsed="false">
      <c r="A2090" s="7" t="n">
        <v>45808</v>
      </c>
      <c r="B2090" s="8" t="s">
        <v>47</v>
      </c>
      <c r="C2090" s="9" t="n">
        <v>840</v>
      </c>
      <c r="D2090" s="8" t="s">
        <v>13</v>
      </c>
      <c r="E2090" s="10" t="s">
        <v>223</v>
      </c>
      <c r="F2090" s="8" t="str">
        <f aca="false">TEXT(A2090,"MM-YYYY")</f>
        <v>05-2025</v>
      </c>
      <c r="G2090" s="8" t="s">
        <v>14</v>
      </c>
      <c r="H2090" s="8" t="s">
        <v>13</v>
      </c>
      <c r="I2090" s="7" t="n">
        <v>45810</v>
      </c>
      <c r="J2090" s="8" t="str">
        <f aca="false">VLOOKUP(B2090, Table3[#All], 2, FALSE())</f>
        <v>Inventory</v>
      </c>
      <c r="K2090" s="8" t="str">
        <f aca="false">TEXT(ROW(), "0000")</f>
        <v>2090</v>
      </c>
      <c r="L2090" s="8"/>
    </row>
    <row r="2091" customFormat="false" ht="15.75" hidden="false" customHeight="true" outlineLevel="0" collapsed="false">
      <c r="A2091" s="7" t="n">
        <v>45808</v>
      </c>
      <c r="B2091" s="8" t="s">
        <v>19</v>
      </c>
      <c r="C2091" s="9" t="n">
        <v>4630</v>
      </c>
      <c r="D2091" s="8" t="s">
        <v>13</v>
      </c>
      <c r="E2091" s="10" t="s">
        <v>20</v>
      </c>
      <c r="F2091" s="8" t="str">
        <f aca="false">TEXT(A2091,"MM-YYYY")</f>
        <v>05-2025</v>
      </c>
      <c r="G2091" s="8" t="s">
        <v>14</v>
      </c>
      <c r="H2091" s="8" t="s">
        <v>13</v>
      </c>
      <c r="I2091" s="7" t="n">
        <v>45812</v>
      </c>
      <c r="J2091" s="8" t="str">
        <f aca="false">VLOOKUP(B2091, Table3[#All], 2, FALSE())</f>
        <v>Inventory</v>
      </c>
      <c r="K2091" s="8" t="str">
        <f aca="false">TEXT(ROW(), "0000")</f>
        <v>2091</v>
      </c>
      <c r="L2091" s="8"/>
    </row>
    <row r="2092" customFormat="false" ht="15.75" hidden="false" customHeight="true" outlineLevel="0" collapsed="false">
      <c r="A2092" s="7" t="n">
        <v>45808</v>
      </c>
      <c r="B2092" s="8" t="s">
        <v>32</v>
      </c>
      <c r="C2092" s="9" t="n">
        <v>140</v>
      </c>
      <c r="D2092" s="8" t="s">
        <v>21</v>
      </c>
      <c r="E2092" s="10" t="s">
        <v>38</v>
      </c>
      <c r="F2092" s="8" t="str">
        <f aca="false">TEXT(A2092,"MM-YYYY")</f>
        <v>05-2025</v>
      </c>
      <c r="G2092" s="8" t="s">
        <v>14</v>
      </c>
      <c r="H2092" s="8" t="s">
        <v>15</v>
      </c>
      <c r="I2092" s="7" t="n">
        <v>45808</v>
      </c>
      <c r="J2092" s="8" t="str">
        <f aca="false">VLOOKUP(B2092, Table3[#All], 2, FALSE())</f>
        <v>Grocery</v>
      </c>
      <c r="K2092" s="8" t="str">
        <f aca="false">TEXT(ROW(), "0000")</f>
        <v>2092</v>
      </c>
      <c r="L2092" s="8"/>
    </row>
    <row r="2093" customFormat="false" ht="15.75" hidden="false" customHeight="true" outlineLevel="0" collapsed="false">
      <c r="A2093" s="7" t="n">
        <v>45808</v>
      </c>
      <c r="B2093" s="8" t="s">
        <v>22</v>
      </c>
      <c r="C2093" s="9" t="n">
        <v>110</v>
      </c>
      <c r="D2093" s="8" t="s">
        <v>21</v>
      </c>
      <c r="E2093" s="10" t="s">
        <v>213</v>
      </c>
      <c r="F2093" s="8" t="str">
        <f aca="false">TEXT(A2093,"MM-YYYY")</f>
        <v>05-2025</v>
      </c>
      <c r="G2093" s="8" t="s">
        <v>14</v>
      </c>
      <c r="H2093" s="8" t="s">
        <v>15</v>
      </c>
      <c r="I2093" s="7" t="n">
        <v>45808</v>
      </c>
      <c r="J2093" s="8" t="str">
        <f aca="false">VLOOKUP(B2093, Table3[#All], 2, FALSE())</f>
        <v>Inventory</v>
      </c>
      <c r="K2093" s="8" t="str">
        <f aca="false">TEXT(ROW(), "0000")</f>
        <v>2093</v>
      </c>
      <c r="L2093" s="8"/>
    </row>
    <row r="2094" customFormat="false" ht="15.75" hidden="false" customHeight="true" outlineLevel="0" collapsed="false">
      <c r="A2094" s="7" t="n">
        <v>45808</v>
      </c>
      <c r="B2094" s="8" t="s">
        <v>53</v>
      </c>
      <c r="C2094" s="9" t="n">
        <v>1080</v>
      </c>
      <c r="D2094" s="8" t="s">
        <v>45</v>
      </c>
      <c r="E2094" s="10" t="s">
        <v>55</v>
      </c>
      <c r="F2094" s="8" t="str">
        <f aca="false">TEXT(A2094,"MM-YYYY")</f>
        <v>05-2025</v>
      </c>
      <c r="G2094" s="8" t="s">
        <v>14</v>
      </c>
      <c r="H2094" s="8" t="s">
        <v>232</v>
      </c>
      <c r="I2094" s="7" t="n">
        <v>45808</v>
      </c>
      <c r="J2094" s="8" t="str">
        <f aca="false">VLOOKUP(B2094, Table3[#All], 2, FALSE())</f>
        <v>Grocery</v>
      </c>
      <c r="K2094" s="8" t="str">
        <f aca="false">TEXT(ROW(), "0000")</f>
        <v>2094</v>
      </c>
      <c r="L2094" s="8"/>
    </row>
    <row r="2095" customFormat="false" ht="15.75" hidden="false" customHeight="true" outlineLevel="0" collapsed="false">
      <c r="A2095" s="7" t="n">
        <v>45808</v>
      </c>
      <c r="B2095" s="8" t="s">
        <v>51</v>
      </c>
      <c r="C2095" s="9" t="n">
        <v>200</v>
      </c>
      <c r="D2095" s="8" t="s">
        <v>21</v>
      </c>
      <c r="E2095" s="10" t="s">
        <v>330</v>
      </c>
      <c r="F2095" s="8" t="str">
        <f aca="false">TEXT(A2095,"MM-YYYY")</f>
        <v>05-2025</v>
      </c>
      <c r="G2095" s="8" t="s">
        <v>14</v>
      </c>
      <c r="H2095" s="8" t="s">
        <v>15</v>
      </c>
      <c r="I2095" s="7" t="n">
        <v>45808</v>
      </c>
      <c r="J2095" s="8" t="str">
        <f aca="false">VLOOKUP(B2095, Table3[#All], 2, FALSE())</f>
        <v>Inventory</v>
      </c>
      <c r="K2095" s="8" t="str">
        <f aca="false">TEXT(ROW(), "0000")</f>
        <v>2095</v>
      </c>
      <c r="L2095" s="8"/>
    </row>
    <row r="2096" customFormat="false" ht="15.75" hidden="false" customHeight="true" outlineLevel="0" collapsed="false">
      <c r="A2096" s="7" t="n">
        <v>45808</v>
      </c>
      <c r="B2096" s="8" t="s">
        <v>60</v>
      </c>
      <c r="C2096" s="9" t="n">
        <v>210</v>
      </c>
      <c r="D2096" s="8" t="s">
        <v>45</v>
      </c>
      <c r="E2096" s="10" t="s">
        <v>245</v>
      </c>
      <c r="F2096" s="8" t="str">
        <f aca="false">TEXT(A2096,"MM-YYYY")</f>
        <v>05-2025</v>
      </c>
      <c r="G2096" s="8" t="s">
        <v>14</v>
      </c>
      <c r="H2096" s="8" t="s">
        <v>232</v>
      </c>
      <c r="I2096" s="7" t="n">
        <v>45808</v>
      </c>
      <c r="J2096" s="8" t="str">
        <f aca="false">VLOOKUP(B2096, Table3[#All], 2, FALSE())</f>
        <v>Inventory</v>
      </c>
      <c r="K2096" s="8" t="str">
        <f aca="false">TEXT(ROW(), "0000")</f>
        <v>2096</v>
      </c>
      <c r="L2096" s="8"/>
    </row>
    <row r="2097" customFormat="false" ht="15.75" hidden="false" customHeight="true" outlineLevel="0" collapsed="false">
      <c r="A2097" s="7" t="n">
        <v>45808</v>
      </c>
      <c r="B2097" s="8" t="s">
        <v>67</v>
      </c>
      <c r="C2097" s="9" t="n">
        <v>8500</v>
      </c>
      <c r="D2097" s="8" t="s">
        <v>45</v>
      </c>
      <c r="E2097" s="8" t="s">
        <v>67</v>
      </c>
      <c r="F2097" s="8" t="str">
        <f aca="false">TEXT(A2097,"MM-YYYY")</f>
        <v>05-2025</v>
      </c>
      <c r="G2097" s="8" t="s">
        <v>14</v>
      </c>
      <c r="H2097" s="8" t="s">
        <v>232</v>
      </c>
      <c r="I2097" s="7" t="n">
        <v>45808</v>
      </c>
      <c r="J2097" s="8" t="str">
        <f aca="false">VLOOKUP(B2097, Table3[#All], 2, FALSE())</f>
        <v>Fixed Maintance</v>
      </c>
      <c r="K2097" s="8" t="str">
        <f aca="false">TEXT(ROW(), "0000")</f>
        <v>2097</v>
      </c>
      <c r="L2097" s="8"/>
    </row>
    <row r="2098" customFormat="false" ht="15.75" hidden="false" customHeight="true" outlineLevel="0" collapsed="false">
      <c r="A2098" s="7" t="n">
        <v>45808</v>
      </c>
      <c r="B2098" s="8" t="s">
        <v>29</v>
      </c>
      <c r="C2098" s="9" t="n">
        <v>338</v>
      </c>
      <c r="D2098" s="8" t="s">
        <v>13</v>
      </c>
      <c r="E2098" s="10" t="s">
        <v>302</v>
      </c>
      <c r="F2098" s="8" t="str">
        <f aca="false">TEXT(A2098,"MM-YYYY")</f>
        <v>05-2025</v>
      </c>
      <c r="G2098" s="8" t="s">
        <v>14</v>
      </c>
      <c r="H2098" s="8" t="s">
        <v>13</v>
      </c>
      <c r="I2098" s="7" t="n">
        <v>45809</v>
      </c>
      <c r="J2098" s="8" t="str">
        <f aca="false">VLOOKUP(B2098, Table3[#All], 2, FALSE())</f>
        <v>Inventory</v>
      </c>
      <c r="K2098" s="8" t="str">
        <f aca="false">TEXT(ROW(), "0000")</f>
        <v>2098</v>
      </c>
      <c r="L2098" s="8"/>
    </row>
    <row r="2099" customFormat="false" ht="15.75" hidden="false" customHeight="true" outlineLevel="0" collapsed="false">
      <c r="A2099" s="7" t="n">
        <v>45808</v>
      </c>
      <c r="B2099" s="8" t="s">
        <v>16</v>
      </c>
      <c r="C2099" s="9" t="n">
        <v>2580</v>
      </c>
      <c r="D2099" s="8" t="s">
        <v>21</v>
      </c>
      <c r="E2099" s="10" t="s">
        <v>88</v>
      </c>
      <c r="F2099" s="8" t="str">
        <f aca="false">TEXT(A2099,"MM-YYYY")</f>
        <v>05-2025</v>
      </c>
      <c r="G2099" s="8"/>
      <c r="H2099" s="8"/>
      <c r="I2099" s="7"/>
      <c r="J2099" s="8" t="str">
        <f aca="false">VLOOKUP(B2099, Table3[#All], 2, FALSE())</f>
        <v>Sales</v>
      </c>
      <c r="K2099" s="8" t="str">
        <f aca="false">TEXT(ROW(), "0000")</f>
        <v>2099</v>
      </c>
      <c r="L2099" s="8"/>
    </row>
    <row r="2100" customFormat="false" ht="15.75" hidden="false" customHeight="true" outlineLevel="0" collapsed="false">
      <c r="A2100" s="7" t="n">
        <v>45808</v>
      </c>
      <c r="B2100" s="8" t="s">
        <v>16</v>
      </c>
      <c r="C2100" s="9" t="n">
        <v>389</v>
      </c>
      <c r="D2100" s="8" t="s">
        <v>70</v>
      </c>
      <c r="E2100" s="10" t="s">
        <v>331</v>
      </c>
      <c r="F2100" s="8" t="str">
        <f aca="false">TEXT(A2100,"MM-YYYY")</f>
        <v>05-2025</v>
      </c>
      <c r="G2100" s="8"/>
      <c r="H2100" s="8"/>
      <c r="I2100" s="7"/>
      <c r="J2100" s="8" t="str">
        <f aca="false">VLOOKUP(B2100, Table3[#All], 2, FALSE())</f>
        <v>Sales</v>
      </c>
      <c r="K2100" s="8" t="str">
        <f aca="false">TEXT(ROW(), "0000")</f>
        <v>2100</v>
      </c>
      <c r="L2100" s="8"/>
    </row>
    <row r="2101" customFormat="false" ht="15.75" hidden="false" customHeight="true" outlineLevel="0" collapsed="false">
      <c r="A2101" s="7" t="n">
        <v>45808</v>
      </c>
      <c r="B2101" s="8" t="s">
        <v>16</v>
      </c>
      <c r="C2101" s="9" t="n">
        <v>580</v>
      </c>
      <c r="D2101" s="8" t="s">
        <v>33</v>
      </c>
      <c r="E2101" s="10" t="s">
        <v>88</v>
      </c>
      <c r="F2101" s="8" t="str">
        <f aca="false">TEXT(A2101,"MM-YYYY")</f>
        <v>05-2025</v>
      </c>
      <c r="G2101" s="8"/>
      <c r="H2101" s="8"/>
      <c r="I2101" s="7"/>
      <c r="J2101" s="8" t="str">
        <f aca="false">VLOOKUP(B2101, Table3[#All], 2, FALSE())</f>
        <v>Sales</v>
      </c>
      <c r="K2101" s="8" t="str">
        <f aca="false">TEXT(ROW(), "0000")</f>
        <v>2101</v>
      </c>
      <c r="L2101" s="8"/>
    </row>
    <row r="2102" customFormat="false" ht="15.75" hidden="false" customHeight="true" outlineLevel="0" collapsed="false">
      <c r="A2102" s="7" t="n">
        <v>45808</v>
      </c>
      <c r="B2102" s="8" t="s">
        <v>16</v>
      </c>
      <c r="C2102" s="9" t="n">
        <v>24856</v>
      </c>
      <c r="D2102" s="8" t="s">
        <v>17</v>
      </c>
      <c r="E2102" s="10" t="s">
        <v>88</v>
      </c>
      <c r="F2102" s="8" t="str">
        <f aca="false">TEXT(A2102,"MM-YYYY")</f>
        <v>05-2025</v>
      </c>
      <c r="G2102" s="8"/>
      <c r="H2102" s="8"/>
      <c r="I2102" s="7"/>
      <c r="J2102" s="8" t="str">
        <f aca="false">VLOOKUP(B2102, Table3[#All], 2, FALSE())</f>
        <v>Sales</v>
      </c>
      <c r="K2102" s="8" t="str">
        <f aca="false">TEXT(ROW(), "0000")</f>
        <v>2102</v>
      </c>
      <c r="L2102" s="8"/>
    </row>
    <row r="2103" customFormat="false" ht="15.75" hidden="false" customHeight="true" outlineLevel="0" collapsed="false">
      <c r="A2103" s="7" t="n">
        <v>45808</v>
      </c>
      <c r="B2103" s="8" t="s">
        <v>16</v>
      </c>
      <c r="C2103" s="9" t="n">
        <v>4005</v>
      </c>
      <c r="D2103" s="8" t="s">
        <v>24</v>
      </c>
      <c r="E2103" s="10" t="s">
        <v>217</v>
      </c>
      <c r="F2103" s="8" t="str">
        <f aca="false">TEXT(A2103,"MM-YYYY")</f>
        <v>05-2025</v>
      </c>
      <c r="G2103" s="8"/>
      <c r="H2103" s="8"/>
      <c r="I2103" s="7"/>
      <c r="J2103" s="8" t="str">
        <f aca="false">VLOOKUP(B2103, Table3[#All], 2, FALSE())</f>
        <v>Sales</v>
      </c>
      <c r="K2103" s="8" t="str">
        <f aca="false">TEXT(ROW(), "0000")</f>
        <v>2103</v>
      </c>
      <c r="L2103" s="8"/>
    </row>
    <row r="2104" customFormat="false" ht="15.75" hidden="false" customHeight="true" outlineLevel="0" collapsed="false">
      <c r="A2104" s="7" t="n">
        <v>45808</v>
      </c>
      <c r="B2104" s="8" t="s">
        <v>34</v>
      </c>
      <c r="C2104" s="9" t="n">
        <v>140</v>
      </c>
      <c r="D2104" s="8" t="s">
        <v>45</v>
      </c>
      <c r="E2104" s="10" t="s">
        <v>267</v>
      </c>
      <c r="F2104" s="8" t="str">
        <f aca="false">TEXT(A2104,"MM-YYYY")</f>
        <v>05-2025</v>
      </c>
      <c r="G2104" s="8" t="s">
        <v>14</v>
      </c>
      <c r="H2104" s="8" t="s">
        <v>232</v>
      </c>
      <c r="I2104" s="7" t="n">
        <v>45808</v>
      </c>
      <c r="J2104" s="8" t="str">
        <f aca="false">VLOOKUP(B2104, Table3[#All], 2, FALSE())</f>
        <v>Staff Expenses</v>
      </c>
      <c r="K2104" s="8" t="str">
        <f aca="false">TEXT(ROW(), "0000")</f>
        <v>2104</v>
      </c>
      <c r="L2104" s="8"/>
    </row>
    <row r="2105" customFormat="false" ht="15.75" hidden="false" customHeight="true" outlineLevel="0" collapsed="false">
      <c r="A2105" s="7" t="n">
        <v>45808</v>
      </c>
      <c r="B2105" s="8" t="s">
        <v>50</v>
      </c>
      <c r="C2105" s="9" t="n">
        <v>1760</v>
      </c>
      <c r="D2105" s="8" t="s">
        <v>13</v>
      </c>
      <c r="E2105" s="10" t="s">
        <v>263</v>
      </c>
      <c r="F2105" s="8" t="str">
        <f aca="false">TEXT(A2105,"MM-YYYY")</f>
        <v>05-2025</v>
      </c>
      <c r="G2105" s="8" t="s">
        <v>14</v>
      </c>
      <c r="H2105" s="8" t="s">
        <v>13</v>
      </c>
      <c r="I2105" s="7" t="n">
        <v>45810</v>
      </c>
      <c r="J2105" s="8" t="str">
        <f aca="false">VLOOKUP(B2105, Table3[#All], 2, FALSE())</f>
        <v>Fixed Maintance</v>
      </c>
      <c r="K2105" s="8" t="str">
        <f aca="false">TEXT(ROW(), "0000")</f>
        <v>2105</v>
      </c>
      <c r="L2105" s="8"/>
    </row>
    <row r="2106" customFormat="false" ht="15.75" hidden="false" customHeight="true" outlineLevel="0" collapsed="false">
      <c r="A2106" s="7" t="n">
        <v>45809</v>
      </c>
      <c r="B2106" s="8" t="s">
        <v>25</v>
      </c>
      <c r="C2106" s="9" t="n">
        <v>1264</v>
      </c>
      <c r="D2106" s="8" t="s">
        <v>13</v>
      </c>
      <c r="E2106" s="10" t="s">
        <v>26</v>
      </c>
      <c r="F2106" s="8" t="str">
        <f aca="false">TEXT(A2106,"MM-YYYY")</f>
        <v>06-2025</v>
      </c>
      <c r="G2106" s="21" t="s">
        <v>14</v>
      </c>
      <c r="H2106" s="8" t="s">
        <v>13</v>
      </c>
      <c r="I2106" s="7" t="n">
        <v>45854</v>
      </c>
      <c r="J2106" s="8" t="str">
        <f aca="false">VLOOKUP(B2106, Table3[#All], 2, FALSE())</f>
        <v>Inventory</v>
      </c>
      <c r="K2106" s="8" t="str">
        <f aca="false">TEXT(ROW(), "0000")</f>
        <v>2106</v>
      </c>
      <c r="L2106" s="8"/>
    </row>
    <row r="2107" customFormat="false" ht="15.75" hidden="false" customHeight="true" outlineLevel="0" collapsed="false">
      <c r="A2107" s="7" t="n">
        <v>45809</v>
      </c>
      <c r="B2107" s="8" t="s">
        <v>22</v>
      </c>
      <c r="C2107" s="9" t="n">
        <v>3415</v>
      </c>
      <c r="D2107" s="8" t="s">
        <v>13</v>
      </c>
      <c r="E2107" s="10" t="s">
        <v>23</v>
      </c>
      <c r="F2107" s="8" t="str">
        <f aca="false">TEXT(A2107,"MM-YYYY")</f>
        <v>06-2025</v>
      </c>
      <c r="G2107" s="8" t="s">
        <v>14</v>
      </c>
      <c r="H2107" s="8" t="s">
        <v>13</v>
      </c>
      <c r="I2107" s="7" t="n">
        <v>45812</v>
      </c>
      <c r="J2107" s="8" t="str">
        <f aca="false">VLOOKUP(B2107, Table3[#All], 2, FALSE())</f>
        <v>Inventory</v>
      </c>
      <c r="K2107" s="8" t="str">
        <f aca="false">TEXT(ROW(), "0000")</f>
        <v>2107</v>
      </c>
      <c r="L2107" s="8"/>
    </row>
    <row r="2108" customFormat="false" ht="15.75" hidden="false" customHeight="true" outlineLevel="0" collapsed="false">
      <c r="A2108" s="7" t="n">
        <v>45809</v>
      </c>
      <c r="B2108" s="8" t="s">
        <v>19</v>
      </c>
      <c r="C2108" s="9" t="n">
        <v>6575</v>
      </c>
      <c r="D2108" s="8" t="s">
        <v>13</v>
      </c>
      <c r="E2108" s="10" t="s">
        <v>20</v>
      </c>
      <c r="F2108" s="8" t="str">
        <f aca="false">TEXT(A2108,"MM-YYYY")</f>
        <v>06-2025</v>
      </c>
      <c r="G2108" s="8" t="s">
        <v>14</v>
      </c>
      <c r="H2108" s="8" t="s">
        <v>13</v>
      </c>
      <c r="I2108" s="7" t="n">
        <v>45812</v>
      </c>
      <c r="J2108" s="8" t="str">
        <f aca="false">VLOOKUP(B2108, Table3[#All], 2, FALSE())</f>
        <v>Inventory</v>
      </c>
      <c r="K2108" s="8" t="str">
        <f aca="false">TEXT(ROW(), "0000")</f>
        <v>2108</v>
      </c>
      <c r="L2108" s="8"/>
    </row>
    <row r="2109" customFormat="false" ht="15.75" hidden="false" customHeight="true" outlineLevel="0" collapsed="false">
      <c r="A2109" s="7" t="n">
        <v>45809</v>
      </c>
      <c r="B2109" s="8" t="s">
        <v>29</v>
      </c>
      <c r="C2109" s="9" t="n">
        <v>670</v>
      </c>
      <c r="D2109" s="8" t="s">
        <v>45</v>
      </c>
      <c r="E2109" s="10" t="s">
        <v>78</v>
      </c>
      <c r="F2109" s="8" t="str">
        <f aca="false">TEXT(A2109,"MM-YYYY")</f>
        <v>06-2025</v>
      </c>
      <c r="G2109" s="8" t="s">
        <v>14</v>
      </c>
      <c r="H2109" s="8" t="s">
        <v>232</v>
      </c>
      <c r="I2109" s="7" t="n">
        <v>45809</v>
      </c>
      <c r="J2109" s="8" t="str">
        <f aca="false">VLOOKUP(B2109, Table3[#All], 2, FALSE())</f>
        <v>Inventory</v>
      </c>
      <c r="K2109" s="8" t="str">
        <f aca="false">TEXT(ROW(), "0000")</f>
        <v>2109</v>
      </c>
      <c r="L2109" s="8"/>
    </row>
    <row r="2110" customFormat="false" ht="15.75" hidden="false" customHeight="true" outlineLevel="0" collapsed="false">
      <c r="A2110" s="7" t="n">
        <v>45809</v>
      </c>
      <c r="B2110" s="8" t="s">
        <v>35</v>
      </c>
      <c r="C2110" s="9" t="n">
        <v>100</v>
      </c>
      <c r="D2110" s="8" t="s">
        <v>45</v>
      </c>
      <c r="E2110" s="10" t="s">
        <v>206</v>
      </c>
      <c r="F2110" s="8" t="str">
        <f aca="false">TEXT(A2110,"MM-YYYY")</f>
        <v>06-2025</v>
      </c>
      <c r="G2110" s="8" t="s">
        <v>14</v>
      </c>
      <c r="H2110" s="8" t="s">
        <v>232</v>
      </c>
      <c r="I2110" s="7" t="n">
        <v>45809</v>
      </c>
      <c r="J2110" s="8" t="str">
        <f aca="false">VLOOKUP(B2110, Table3[#All], 2, FALSE())</f>
        <v>Inventory</v>
      </c>
      <c r="K2110" s="8" t="str">
        <f aca="false">TEXT(ROW(), "0000")</f>
        <v>2110</v>
      </c>
      <c r="L2110" s="8"/>
    </row>
    <row r="2111" customFormat="false" ht="15.75" hidden="false" customHeight="true" outlineLevel="0" collapsed="false">
      <c r="A2111" s="7" t="n">
        <v>45809</v>
      </c>
      <c r="B2111" s="8" t="s">
        <v>32</v>
      </c>
      <c r="C2111" s="9" t="n">
        <v>350</v>
      </c>
      <c r="D2111" s="8" t="s">
        <v>21</v>
      </c>
      <c r="E2111" s="10" t="s">
        <v>38</v>
      </c>
      <c r="F2111" s="8" t="str">
        <f aca="false">TEXT(A2111,"MM-YYYY")</f>
        <v>06-2025</v>
      </c>
      <c r="G2111" s="8" t="s">
        <v>14</v>
      </c>
      <c r="H2111" s="8" t="s">
        <v>15</v>
      </c>
      <c r="I2111" s="7" t="n">
        <v>45809</v>
      </c>
      <c r="J2111" s="8" t="str">
        <f aca="false">VLOOKUP(B2111, Table3[#All], 2, FALSE())</f>
        <v>Grocery</v>
      </c>
      <c r="K2111" s="8" t="str">
        <f aca="false">TEXT(ROW(), "0000")</f>
        <v>2111</v>
      </c>
      <c r="L2111" s="8"/>
    </row>
    <row r="2112" customFormat="false" ht="15.75" hidden="false" customHeight="true" outlineLevel="0" collapsed="false">
      <c r="A2112" s="7" t="n">
        <v>45809</v>
      </c>
      <c r="B2112" s="8" t="s">
        <v>12</v>
      </c>
      <c r="C2112" s="9" t="n">
        <v>20760</v>
      </c>
      <c r="D2112" s="8" t="s">
        <v>13</v>
      </c>
      <c r="E2112" s="8" t="s">
        <v>12</v>
      </c>
      <c r="F2112" s="8" t="str">
        <f aca="false">TEXT(A2112,"MM-YYYY")</f>
        <v>06-2025</v>
      </c>
      <c r="G2112" s="8" t="s">
        <v>18</v>
      </c>
      <c r="H2112" s="8"/>
      <c r="I2112" s="7"/>
      <c r="J2112" s="8" t="str">
        <f aca="false">VLOOKUP(B2112, Table3[#All], 2, FALSE())</f>
        <v>Fixed Maintance</v>
      </c>
      <c r="K2112" s="8" t="str">
        <f aca="false">TEXT(ROW(), "0000")</f>
        <v>2112</v>
      </c>
      <c r="L2112" s="8"/>
    </row>
    <row r="2113" customFormat="false" ht="15.75" hidden="false" customHeight="true" outlineLevel="0" collapsed="false">
      <c r="A2113" s="7" t="n">
        <v>45809</v>
      </c>
      <c r="B2113" s="8" t="s">
        <v>29</v>
      </c>
      <c r="C2113" s="9" t="n">
        <v>782</v>
      </c>
      <c r="D2113" s="8" t="s">
        <v>45</v>
      </c>
      <c r="E2113" s="10" t="s">
        <v>302</v>
      </c>
      <c r="F2113" s="8" t="str">
        <f aca="false">TEXT(A2113,"MM-YYYY")</f>
        <v>06-2025</v>
      </c>
      <c r="G2113" s="8" t="s">
        <v>14</v>
      </c>
      <c r="H2113" s="8" t="s">
        <v>232</v>
      </c>
      <c r="I2113" s="7" t="n">
        <v>45826</v>
      </c>
      <c r="J2113" s="8" t="str">
        <f aca="false">VLOOKUP(B2113, Table3[#All], 2, FALSE())</f>
        <v>Inventory</v>
      </c>
      <c r="K2113" s="8" t="str">
        <f aca="false">TEXT(ROW(), "0000")</f>
        <v>2113</v>
      </c>
      <c r="L2113" s="8"/>
    </row>
    <row r="2114" customFormat="false" ht="15.75" hidden="false" customHeight="true" outlineLevel="0" collapsed="false">
      <c r="A2114" s="7" t="n">
        <v>45809</v>
      </c>
      <c r="B2114" s="8" t="s">
        <v>28</v>
      </c>
      <c r="C2114" s="9" t="n">
        <v>535</v>
      </c>
      <c r="D2114" s="8" t="s">
        <v>21</v>
      </c>
      <c r="E2114" s="10" t="s">
        <v>93</v>
      </c>
      <c r="F2114" s="8" t="str">
        <f aca="false">TEXT(A2114,"MM-YYYY")</f>
        <v>06-2025</v>
      </c>
      <c r="G2114" s="8" t="s">
        <v>14</v>
      </c>
      <c r="H2114" s="8"/>
      <c r="I2114" s="7"/>
      <c r="J2114" s="8" t="str">
        <f aca="false">VLOOKUP(B2114, Table3[#All], 2, FALSE())</f>
        <v>Grocery</v>
      </c>
      <c r="K2114" s="8" t="str">
        <f aca="false">TEXT(ROW(), "0000")</f>
        <v>2114</v>
      </c>
      <c r="L2114" s="8"/>
    </row>
    <row r="2115" customFormat="false" ht="15.75" hidden="false" customHeight="true" outlineLevel="0" collapsed="false">
      <c r="A2115" s="7" t="n">
        <v>45809</v>
      </c>
      <c r="B2115" s="8" t="s">
        <v>56</v>
      </c>
      <c r="C2115" s="9" t="n">
        <v>1655</v>
      </c>
      <c r="D2115" s="8" t="s">
        <v>13</v>
      </c>
      <c r="E2115" s="8" t="s">
        <v>56</v>
      </c>
      <c r="F2115" s="8" t="str">
        <f aca="false">TEXT(A2115,"MM-YYYY")</f>
        <v>06-2025</v>
      </c>
      <c r="G2115" s="8" t="s">
        <v>14</v>
      </c>
      <c r="H2115" s="8" t="s">
        <v>13</v>
      </c>
      <c r="I2115" s="7" t="n">
        <v>45809</v>
      </c>
      <c r="J2115" s="8" t="str">
        <f aca="false">VLOOKUP(B2115, Table3[#All], 2, FALSE())</f>
        <v>New Inventory</v>
      </c>
      <c r="K2115" s="8" t="str">
        <f aca="false">TEXT(ROW(), "0000")</f>
        <v>2115</v>
      </c>
      <c r="L2115" s="8"/>
    </row>
    <row r="2116" customFormat="false" ht="15.75" hidden="false" customHeight="true" outlineLevel="0" collapsed="false">
      <c r="A2116" s="7" t="n">
        <v>45809</v>
      </c>
      <c r="B2116" s="8" t="s">
        <v>31</v>
      </c>
      <c r="C2116" s="9" t="n">
        <v>310</v>
      </c>
      <c r="D2116" s="8" t="s">
        <v>45</v>
      </c>
      <c r="E2116" s="10" t="s">
        <v>236</v>
      </c>
      <c r="F2116" s="8" t="str">
        <f aca="false">TEXT(A2116,"MM-YYYY")</f>
        <v>06-2025</v>
      </c>
      <c r="G2116" s="8" t="s">
        <v>14</v>
      </c>
      <c r="H2116" s="8" t="s">
        <v>232</v>
      </c>
      <c r="I2116" s="7" t="n">
        <v>45809</v>
      </c>
      <c r="J2116" s="8" t="str">
        <f aca="false">VLOOKUP(B2116, Table3[#All], 2, FALSE())</f>
        <v>Bike Maintance</v>
      </c>
      <c r="K2116" s="8" t="str">
        <f aca="false">TEXT(ROW(), "0000")</f>
        <v>2116</v>
      </c>
      <c r="L2116" s="8"/>
    </row>
    <row r="2117" customFormat="false" ht="15.75" hidden="false" customHeight="true" outlineLevel="0" collapsed="false">
      <c r="A2117" s="7" t="n">
        <v>45809</v>
      </c>
      <c r="B2117" s="8" t="s">
        <v>63</v>
      </c>
      <c r="C2117" s="9" t="n">
        <v>340</v>
      </c>
      <c r="D2117" s="8" t="s">
        <v>45</v>
      </c>
      <c r="E2117" s="10" t="s">
        <v>279</v>
      </c>
      <c r="F2117" s="8" t="str">
        <f aca="false">TEXT(A2117,"MM-YYYY")</f>
        <v>06-2025</v>
      </c>
      <c r="G2117" s="8" t="s">
        <v>14</v>
      </c>
      <c r="H2117" s="8" t="s">
        <v>232</v>
      </c>
      <c r="I2117" s="7" t="n">
        <v>45809</v>
      </c>
      <c r="J2117" s="8" t="str">
        <f aca="false">VLOOKUP(B2117, Table3[#All], 2, FALSE())</f>
        <v>Maintance</v>
      </c>
      <c r="K2117" s="8" t="str">
        <f aca="false">TEXT(ROW(), "0000")</f>
        <v>2117</v>
      </c>
      <c r="L2117" s="8"/>
    </row>
    <row r="2118" customFormat="false" ht="15.75" hidden="false" customHeight="true" outlineLevel="0" collapsed="false">
      <c r="A2118" s="7" t="n">
        <v>45809</v>
      </c>
      <c r="B2118" s="8" t="s">
        <v>16</v>
      </c>
      <c r="C2118" s="9" t="n">
        <v>2169</v>
      </c>
      <c r="D2118" s="8" t="s">
        <v>21</v>
      </c>
      <c r="E2118" s="10" t="s">
        <v>88</v>
      </c>
      <c r="F2118" s="8" t="str">
        <f aca="false">TEXT(A2118,"MM-YYYY")</f>
        <v>06-2025</v>
      </c>
      <c r="G2118" s="8"/>
      <c r="H2118" s="8"/>
      <c r="I2118" s="7"/>
      <c r="J2118" s="8" t="str">
        <f aca="false">VLOOKUP(B2118, Table3[#All], 2, FALSE())</f>
        <v>Sales</v>
      </c>
      <c r="K2118" s="8" t="str">
        <f aca="false">TEXT(ROW(), "0000")</f>
        <v>2118</v>
      </c>
      <c r="L2118" s="8"/>
    </row>
    <row r="2119" customFormat="false" ht="15.75" hidden="false" customHeight="true" outlineLevel="0" collapsed="false">
      <c r="A2119" s="7" t="n">
        <v>45809</v>
      </c>
      <c r="B2119" s="8" t="s">
        <v>16</v>
      </c>
      <c r="C2119" s="9" t="n">
        <v>1650</v>
      </c>
      <c r="D2119" s="8" t="s">
        <v>27</v>
      </c>
      <c r="E2119" s="10" t="s">
        <v>88</v>
      </c>
      <c r="F2119" s="8" t="str">
        <f aca="false">TEXT(A2119,"MM-YYYY")</f>
        <v>06-2025</v>
      </c>
      <c r="G2119" s="8"/>
      <c r="H2119" s="8"/>
      <c r="I2119" s="7"/>
      <c r="J2119" s="8" t="str">
        <f aca="false">VLOOKUP(B2119, Table3[#All], 2, FALSE())</f>
        <v>Sales</v>
      </c>
      <c r="K2119" s="8" t="str">
        <f aca="false">TEXT(ROW(), "0000")</f>
        <v>2119</v>
      </c>
      <c r="L2119" s="8"/>
    </row>
    <row r="2120" customFormat="false" ht="15.75" hidden="false" customHeight="true" outlineLevel="0" collapsed="false">
      <c r="A2120" s="7" t="n">
        <v>45809</v>
      </c>
      <c r="B2120" s="8" t="s">
        <v>16</v>
      </c>
      <c r="C2120" s="9" t="n">
        <v>1710</v>
      </c>
      <c r="D2120" s="8" t="s">
        <v>33</v>
      </c>
      <c r="E2120" s="10" t="s">
        <v>88</v>
      </c>
      <c r="F2120" s="8" t="str">
        <f aca="false">TEXT(A2120,"MM-YYYY")</f>
        <v>06-2025</v>
      </c>
      <c r="G2120" s="8"/>
      <c r="H2120" s="8"/>
      <c r="I2120" s="7"/>
      <c r="J2120" s="8" t="str">
        <f aca="false">VLOOKUP(B2120, Table3[#All], 2, FALSE())</f>
        <v>Sales</v>
      </c>
      <c r="K2120" s="8" t="str">
        <f aca="false">TEXT(ROW(), "0000")</f>
        <v>2120</v>
      </c>
      <c r="L2120" s="8"/>
    </row>
    <row r="2121" customFormat="false" ht="15.75" hidden="false" customHeight="true" outlineLevel="0" collapsed="false">
      <c r="A2121" s="7" t="n">
        <v>45809</v>
      </c>
      <c r="B2121" s="8" t="s">
        <v>16</v>
      </c>
      <c r="C2121" s="9" t="n">
        <v>26482</v>
      </c>
      <c r="D2121" s="8" t="s">
        <v>17</v>
      </c>
      <c r="E2121" s="10" t="s">
        <v>88</v>
      </c>
      <c r="F2121" s="8" t="str">
        <f aca="false">TEXT(A2121,"MM-YYYY")</f>
        <v>06-2025</v>
      </c>
      <c r="G2121" s="8"/>
      <c r="H2121" s="8"/>
      <c r="I2121" s="7"/>
      <c r="J2121" s="8" t="str">
        <f aca="false">VLOOKUP(B2121, Table3[#All], 2, FALSE())</f>
        <v>Sales</v>
      </c>
      <c r="K2121" s="8" t="str">
        <f aca="false">TEXT(ROW(), "0000")</f>
        <v>2121</v>
      </c>
      <c r="L2121" s="8"/>
    </row>
    <row r="2122" customFormat="false" ht="15.75" hidden="false" customHeight="true" outlineLevel="0" collapsed="false">
      <c r="A2122" s="7" t="n">
        <v>45809</v>
      </c>
      <c r="B2122" s="8" t="s">
        <v>16</v>
      </c>
      <c r="C2122" s="9" t="n">
        <v>2732</v>
      </c>
      <c r="D2122" s="8" t="s">
        <v>24</v>
      </c>
      <c r="E2122" s="10" t="s">
        <v>217</v>
      </c>
      <c r="F2122" s="8" t="str">
        <f aca="false">TEXT(A2122,"MM-YYYY")</f>
        <v>06-2025</v>
      </c>
      <c r="G2122" s="8"/>
      <c r="H2122" s="8"/>
      <c r="I2122" s="7"/>
      <c r="J2122" s="8" t="str">
        <f aca="false">VLOOKUP(B2122, Table3[#All], 2, FALSE())</f>
        <v>Sales</v>
      </c>
      <c r="K2122" s="8" t="str">
        <f aca="false">TEXT(ROW(), "0000")</f>
        <v>2122</v>
      </c>
      <c r="L2122" s="8"/>
    </row>
    <row r="2123" customFormat="false" ht="15.75" hidden="false" customHeight="true" outlineLevel="0" collapsed="false">
      <c r="A2123" s="7" t="n">
        <v>45809</v>
      </c>
      <c r="B2123" s="8" t="s">
        <v>29</v>
      </c>
      <c r="C2123" s="9" t="n">
        <v>24</v>
      </c>
      <c r="D2123" s="8" t="s">
        <v>21</v>
      </c>
      <c r="E2123" s="10" t="s">
        <v>194</v>
      </c>
      <c r="F2123" s="8" t="str">
        <f aca="false">TEXT(A2123,"MM-YYYY")</f>
        <v>06-2025</v>
      </c>
      <c r="G2123" s="8" t="s">
        <v>14</v>
      </c>
      <c r="H2123" s="8" t="s">
        <v>15</v>
      </c>
      <c r="I2123" s="7" t="n">
        <v>45809</v>
      </c>
      <c r="J2123" s="8" t="str">
        <f aca="false">VLOOKUP(B2123, Table3[#All], 2, FALSE())</f>
        <v>Inventory</v>
      </c>
      <c r="K2123" s="8" t="str">
        <f aca="false">TEXT(ROW(), "0000")</f>
        <v>2123</v>
      </c>
      <c r="L2123" s="8"/>
    </row>
    <row r="2124" customFormat="false" ht="15.75" hidden="false" customHeight="true" outlineLevel="0" collapsed="false">
      <c r="A2124" s="7" t="n">
        <v>45809</v>
      </c>
      <c r="B2124" s="8" t="s">
        <v>50</v>
      </c>
      <c r="C2124" s="9" t="n">
        <v>1740</v>
      </c>
      <c r="D2124" s="8" t="s">
        <v>13</v>
      </c>
      <c r="E2124" s="10" t="s">
        <v>263</v>
      </c>
      <c r="F2124" s="8" t="str">
        <f aca="false">TEXT(A2124,"MM-YYYY")</f>
        <v>06-2025</v>
      </c>
      <c r="G2124" s="8" t="s">
        <v>14</v>
      </c>
      <c r="H2124" s="8" t="s">
        <v>13</v>
      </c>
      <c r="I2124" s="7" t="n">
        <v>45821</v>
      </c>
      <c r="J2124" s="8" t="str">
        <f aca="false">VLOOKUP(B2124, Table3[#All], 2, FALSE())</f>
        <v>Fixed Maintance</v>
      </c>
      <c r="K2124" s="8" t="str">
        <f aca="false">TEXT(ROW(), "0000")</f>
        <v>2124</v>
      </c>
      <c r="L2124" s="8"/>
    </row>
    <row r="2125" customFormat="false" ht="15.75" hidden="false" customHeight="true" outlineLevel="0" collapsed="false">
      <c r="A2125" s="7" t="n">
        <v>45809</v>
      </c>
      <c r="B2125" s="8" t="s">
        <v>34</v>
      </c>
      <c r="C2125" s="9" t="n">
        <v>290</v>
      </c>
      <c r="D2125" s="8" t="s">
        <v>45</v>
      </c>
      <c r="E2125" s="10" t="s">
        <v>267</v>
      </c>
      <c r="F2125" s="8" t="str">
        <f aca="false">TEXT(A2125,"MM-YYYY")</f>
        <v>06-2025</v>
      </c>
      <c r="G2125" s="8" t="s">
        <v>14</v>
      </c>
      <c r="H2125" s="8" t="s">
        <v>232</v>
      </c>
      <c r="I2125" s="7" t="n">
        <v>45809</v>
      </c>
      <c r="J2125" s="8" t="str">
        <f aca="false">VLOOKUP(B2125, Table3[#All], 2, FALSE())</f>
        <v>Staff Expenses</v>
      </c>
      <c r="K2125" s="8" t="str">
        <f aca="false">TEXT(ROW(), "0000")</f>
        <v>2125</v>
      </c>
      <c r="L2125" s="8"/>
    </row>
    <row r="2126" customFormat="false" ht="15.75" hidden="false" customHeight="true" outlineLevel="0" collapsed="false">
      <c r="A2126" s="7" t="n">
        <v>45809</v>
      </c>
      <c r="B2126" s="8" t="s">
        <v>44</v>
      </c>
      <c r="C2126" s="9" t="n">
        <v>100</v>
      </c>
      <c r="D2126" s="8" t="s">
        <v>45</v>
      </c>
      <c r="E2126" s="10" t="s">
        <v>332</v>
      </c>
      <c r="F2126" s="8" t="str">
        <f aca="false">TEXT(A2126,"MM-YYYY")</f>
        <v>06-2025</v>
      </c>
      <c r="G2126" s="8" t="s">
        <v>14</v>
      </c>
      <c r="H2126" s="8" t="s">
        <v>232</v>
      </c>
      <c r="I2126" s="7" t="n">
        <v>45809</v>
      </c>
      <c r="J2126" s="8" t="str">
        <f aca="false">VLOOKUP(B2126, Table3[#All], 2, FALSE())</f>
        <v>Salary</v>
      </c>
      <c r="K2126" s="8" t="str">
        <f aca="false">TEXT(ROW(), "0000")</f>
        <v>2126</v>
      </c>
      <c r="L2126" s="8"/>
    </row>
    <row r="2127" customFormat="false" ht="15.75" hidden="false" customHeight="true" outlineLevel="0" collapsed="false">
      <c r="A2127" s="7" t="n">
        <v>45810</v>
      </c>
      <c r="B2127" s="8" t="s">
        <v>19</v>
      </c>
      <c r="C2127" s="9" t="n">
        <v>2401</v>
      </c>
      <c r="D2127" s="8" t="s">
        <v>13</v>
      </c>
      <c r="E2127" s="10" t="s">
        <v>20</v>
      </c>
      <c r="F2127" s="8" t="str">
        <f aca="false">TEXT(A2127,"MM-YYYY")</f>
        <v>06-2025</v>
      </c>
      <c r="G2127" s="8" t="s">
        <v>14</v>
      </c>
      <c r="H2127" s="8" t="s">
        <v>13</v>
      </c>
      <c r="I2127" s="7" t="n">
        <v>45818</v>
      </c>
      <c r="J2127" s="8" t="str">
        <f aca="false">VLOOKUP(B2127, Table3[#All], 2, FALSE())</f>
        <v>Inventory</v>
      </c>
      <c r="K2127" s="8" t="str">
        <f aca="false">TEXT(ROW(), "0000")</f>
        <v>2127</v>
      </c>
      <c r="L2127" s="8"/>
    </row>
    <row r="2128" customFormat="false" ht="15.75" hidden="false" customHeight="true" outlineLevel="0" collapsed="false">
      <c r="A2128" s="7" t="n">
        <v>45810</v>
      </c>
      <c r="B2128" s="8" t="s">
        <v>47</v>
      </c>
      <c r="C2128" s="9" t="n">
        <v>1680</v>
      </c>
      <c r="D2128" s="8" t="s">
        <v>13</v>
      </c>
      <c r="E2128" s="10" t="s">
        <v>223</v>
      </c>
      <c r="F2128" s="8" t="str">
        <f aca="false">TEXT(A2128,"MM-YYYY")</f>
        <v>06-2025</v>
      </c>
      <c r="G2128" s="8" t="s">
        <v>14</v>
      </c>
      <c r="H2128" s="8" t="s">
        <v>13</v>
      </c>
      <c r="I2128" s="7" t="n">
        <v>45810</v>
      </c>
      <c r="J2128" s="8" t="str">
        <f aca="false">VLOOKUP(B2128, Table3[#All], 2, FALSE())</f>
        <v>Inventory</v>
      </c>
      <c r="K2128" s="8" t="str">
        <f aca="false">TEXT(ROW(), "0000")</f>
        <v>2128</v>
      </c>
      <c r="L2128" s="8"/>
    </row>
    <row r="2129" customFormat="false" ht="15.75" hidden="false" customHeight="true" outlineLevel="0" collapsed="false">
      <c r="A2129" s="7" t="n">
        <v>45810</v>
      </c>
      <c r="B2129" s="8" t="s">
        <v>22</v>
      </c>
      <c r="C2129" s="9" t="n">
        <v>3384</v>
      </c>
      <c r="D2129" s="8" t="s">
        <v>13</v>
      </c>
      <c r="E2129" s="10" t="s">
        <v>23</v>
      </c>
      <c r="F2129" s="8" t="str">
        <f aca="false">TEXT(A2129,"MM-YYYY")</f>
        <v>06-2025</v>
      </c>
      <c r="G2129" s="8" t="s">
        <v>14</v>
      </c>
      <c r="H2129" s="8" t="s">
        <v>13</v>
      </c>
      <c r="I2129" s="7" t="n">
        <v>45818</v>
      </c>
      <c r="J2129" s="8" t="str">
        <f aca="false">VLOOKUP(B2129, Table3[#All], 2, FALSE())</f>
        <v>Inventory</v>
      </c>
      <c r="K2129" s="8" t="str">
        <f aca="false">TEXT(ROW(), "0000")</f>
        <v>2129</v>
      </c>
      <c r="L2129" s="8"/>
    </row>
    <row r="2130" customFormat="false" ht="15.75" hidden="false" customHeight="true" outlineLevel="0" collapsed="false">
      <c r="A2130" s="7" t="n">
        <v>45810</v>
      </c>
      <c r="B2130" s="8" t="s">
        <v>25</v>
      </c>
      <c r="C2130" s="9" t="n">
        <v>1477</v>
      </c>
      <c r="D2130" s="8" t="s">
        <v>13</v>
      </c>
      <c r="E2130" s="10" t="s">
        <v>26</v>
      </c>
      <c r="F2130" s="8" t="str">
        <f aca="false">TEXT(A2130,"MM-YYYY")</f>
        <v>06-2025</v>
      </c>
      <c r="G2130" s="8" t="s">
        <v>14</v>
      </c>
      <c r="H2130" s="8" t="s">
        <v>13</v>
      </c>
      <c r="I2130" s="7" t="n">
        <v>45854</v>
      </c>
      <c r="J2130" s="8" t="str">
        <f aca="false">VLOOKUP(B2130, Table3[#All], 2, FALSE())</f>
        <v>Inventory</v>
      </c>
      <c r="K2130" s="8" t="str">
        <f aca="false">TEXT(ROW(), "0000")</f>
        <v>2130</v>
      </c>
      <c r="L2130" s="8"/>
    </row>
    <row r="2131" customFormat="false" ht="15.75" hidden="false" customHeight="true" outlineLevel="0" collapsed="false">
      <c r="A2131" s="7" t="n">
        <v>45810</v>
      </c>
      <c r="B2131" s="8" t="s">
        <v>32</v>
      </c>
      <c r="C2131" s="9" t="n">
        <v>105</v>
      </c>
      <c r="D2131" s="8" t="s">
        <v>21</v>
      </c>
      <c r="E2131" s="10" t="s">
        <v>38</v>
      </c>
      <c r="F2131" s="8" t="str">
        <f aca="false">TEXT(A2131,"MM-YYYY")</f>
        <v>06-2025</v>
      </c>
      <c r="G2131" s="8" t="s">
        <v>14</v>
      </c>
      <c r="H2131" s="8" t="s">
        <v>15</v>
      </c>
      <c r="I2131" s="7" t="n">
        <v>45810</v>
      </c>
      <c r="J2131" s="8" t="str">
        <f aca="false">VLOOKUP(B2131, Table3[#All], 2, FALSE())</f>
        <v>Grocery</v>
      </c>
      <c r="K2131" s="8" t="str">
        <f aca="false">TEXT(ROW(), "0000")</f>
        <v>2131</v>
      </c>
      <c r="L2131" s="8"/>
    </row>
    <row r="2132" customFormat="false" ht="15.75" hidden="false" customHeight="true" outlineLevel="0" collapsed="false">
      <c r="A2132" s="7" t="n">
        <v>45810</v>
      </c>
      <c r="B2132" s="8" t="s">
        <v>25</v>
      </c>
      <c r="C2132" s="9" t="n">
        <v>800</v>
      </c>
      <c r="D2132" s="8" t="s">
        <v>45</v>
      </c>
      <c r="E2132" s="10" t="s">
        <v>306</v>
      </c>
      <c r="F2132" s="8" t="str">
        <f aca="false">TEXT(A2132,"MM-YYYY")</f>
        <v>06-2025</v>
      </c>
      <c r="G2132" s="8" t="s">
        <v>14</v>
      </c>
      <c r="H2132" s="8" t="s">
        <v>232</v>
      </c>
      <c r="I2132" s="7" t="n">
        <v>45810</v>
      </c>
      <c r="J2132" s="8" t="str">
        <f aca="false">VLOOKUP(B2132, Table3[#All], 2, FALSE())</f>
        <v>Inventory</v>
      </c>
      <c r="K2132" s="8" t="str">
        <f aca="false">TEXT(ROW(), "0000")</f>
        <v>2132</v>
      </c>
      <c r="L2132" s="8"/>
    </row>
    <row r="2133" customFormat="false" ht="15.75" hidden="false" customHeight="true" outlineLevel="0" collapsed="false">
      <c r="A2133" s="7" t="n">
        <v>45810</v>
      </c>
      <c r="B2133" s="8" t="s">
        <v>43</v>
      </c>
      <c r="C2133" s="9" t="n">
        <v>250</v>
      </c>
      <c r="D2133" s="8" t="s">
        <v>45</v>
      </c>
      <c r="E2133" s="10" t="s">
        <v>279</v>
      </c>
      <c r="F2133" s="8" t="str">
        <f aca="false">TEXT(A2133,"MM-YYYY")</f>
        <v>06-2025</v>
      </c>
      <c r="G2133" s="8" t="s">
        <v>14</v>
      </c>
      <c r="H2133" s="8" t="s">
        <v>232</v>
      </c>
      <c r="I2133" s="7" t="n">
        <v>45810</v>
      </c>
      <c r="J2133" s="8" t="str">
        <f aca="false">VLOOKUP(B2133, Table3[#All], 2, FALSE())</f>
        <v>Maintance</v>
      </c>
      <c r="K2133" s="8" t="str">
        <f aca="false">TEXT(ROW(), "0000")</f>
        <v>2133</v>
      </c>
      <c r="L2133" s="8"/>
    </row>
    <row r="2134" customFormat="false" ht="15.75" hidden="false" customHeight="true" outlineLevel="0" collapsed="false">
      <c r="A2134" s="7" t="n">
        <v>45810</v>
      </c>
      <c r="B2134" s="8" t="s">
        <v>29</v>
      </c>
      <c r="C2134" s="9" t="n">
        <v>310</v>
      </c>
      <c r="D2134" s="8" t="s">
        <v>45</v>
      </c>
      <c r="E2134" s="10" t="s">
        <v>302</v>
      </c>
      <c r="F2134" s="8" t="str">
        <f aca="false">TEXT(A2134,"MM-YYYY")</f>
        <v>06-2025</v>
      </c>
      <c r="G2134" s="8" t="s">
        <v>14</v>
      </c>
      <c r="H2134" s="8" t="s">
        <v>232</v>
      </c>
      <c r="I2134" s="7" t="n">
        <v>45826</v>
      </c>
      <c r="J2134" s="8" t="str">
        <f aca="false">VLOOKUP(B2134, Table3[#All], 2, FALSE())</f>
        <v>Inventory</v>
      </c>
      <c r="K2134" s="8" t="str">
        <f aca="false">TEXT(ROW(), "0000")</f>
        <v>2134</v>
      </c>
      <c r="L2134" s="8"/>
    </row>
    <row r="2135" customFormat="false" ht="15.75" hidden="false" customHeight="true" outlineLevel="0" collapsed="false">
      <c r="A2135" s="7" t="n">
        <v>45810</v>
      </c>
      <c r="B2135" s="8" t="s">
        <v>201</v>
      </c>
      <c r="C2135" s="9" t="n">
        <v>2100</v>
      </c>
      <c r="D2135" s="8" t="s">
        <v>13</v>
      </c>
      <c r="E2135" s="8" t="s">
        <v>201</v>
      </c>
      <c r="F2135" s="8" t="str">
        <f aca="false">TEXT(A2135,"MM-YYYY")</f>
        <v>06-2025</v>
      </c>
      <c r="G2135" s="8" t="s">
        <v>14</v>
      </c>
      <c r="H2135" s="8" t="s">
        <v>13</v>
      </c>
      <c r="I2135" s="7" t="n">
        <v>45810</v>
      </c>
      <c r="J2135" s="8" t="str">
        <f aca="false">VLOOKUP(B2135, Table3[#All], 2, FALSE())</f>
        <v>Inventory</v>
      </c>
      <c r="K2135" s="8" t="str">
        <f aca="false">TEXT(ROW(), "0000")</f>
        <v>2135</v>
      </c>
      <c r="L2135" s="8"/>
    </row>
    <row r="2136" customFormat="false" ht="15.75" hidden="false" customHeight="true" outlineLevel="0" collapsed="false">
      <c r="A2136" s="7" t="n">
        <v>45810</v>
      </c>
      <c r="B2136" s="8" t="s">
        <v>63</v>
      </c>
      <c r="C2136" s="9" t="n">
        <v>3500</v>
      </c>
      <c r="D2136" s="8" t="s">
        <v>13</v>
      </c>
      <c r="E2136" s="8" t="s">
        <v>63</v>
      </c>
      <c r="F2136" s="8" t="str">
        <f aca="false">TEXT(A2136,"MM-YYYY")</f>
        <v>06-2025</v>
      </c>
      <c r="G2136" s="8" t="s">
        <v>14</v>
      </c>
      <c r="H2136" s="8" t="s">
        <v>262</v>
      </c>
      <c r="I2136" s="7" t="n">
        <v>45810</v>
      </c>
      <c r="J2136" s="8" t="str">
        <f aca="false">VLOOKUP(B2136, Table3[#All], 2, FALSE())</f>
        <v>Maintance</v>
      </c>
      <c r="K2136" s="8" t="str">
        <f aca="false">TEXT(ROW(), "0000")</f>
        <v>2136</v>
      </c>
      <c r="L2136" s="8"/>
    </row>
    <row r="2137" customFormat="false" ht="15.75" hidden="false" customHeight="true" outlineLevel="0" collapsed="false">
      <c r="A2137" s="7" t="n">
        <v>45810</v>
      </c>
      <c r="B2137" s="8" t="s">
        <v>16</v>
      </c>
      <c r="C2137" s="9" t="n">
        <v>2319</v>
      </c>
      <c r="D2137" s="8" t="s">
        <v>21</v>
      </c>
      <c r="E2137" s="10" t="s">
        <v>88</v>
      </c>
      <c r="F2137" s="8" t="str">
        <f aca="false">TEXT(A2137,"MM-YYYY")</f>
        <v>06-2025</v>
      </c>
      <c r="G2137" s="8"/>
      <c r="H2137" s="8"/>
      <c r="I2137" s="7"/>
      <c r="J2137" s="8" t="str">
        <f aca="false">VLOOKUP(B2137, Table3[#All], 2, FALSE())</f>
        <v>Sales</v>
      </c>
      <c r="K2137" s="8" t="str">
        <f aca="false">TEXT(ROW(), "0000")</f>
        <v>2137</v>
      </c>
      <c r="L2137" s="8"/>
    </row>
    <row r="2138" customFormat="false" ht="15.75" hidden="false" customHeight="true" outlineLevel="0" collapsed="false">
      <c r="A2138" s="7" t="n">
        <v>45810</v>
      </c>
      <c r="B2138" s="8" t="s">
        <v>16</v>
      </c>
      <c r="C2138" s="9" t="n">
        <v>915</v>
      </c>
      <c r="D2138" s="8" t="s">
        <v>27</v>
      </c>
      <c r="E2138" s="10" t="s">
        <v>88</v>
      </c>
      <c r="F2138" s="8" t="str">
        <f aca="false">TEXT(A2138,"MM-YYYY")</f>
        <v>06-2025</v>
      </c>
      <c r="G2138" s="8"/>
      <c r="H2138" s="8"/>
      <c r="I2138" s="7"/>
      <c r="J2138" s="8" t="str">
        <f aca="false">VLOOKUP(B2138, Table3[#All], 2, FALSE())</f>
        <v>Sales</v>
      </c>
      <c r="K2138" s="8" t="str">
        <f aca="false">TEXT(ROW(), "0000")</f>
        <v>2138</v>
      </c>
      <c r="L2138" s="8"/>
    </row>
    <row r="2139" customFormat="false" ht="15.75" hidden="false" customHeight="true" outlineLevel="0" collapsed="false">
      <c r="A2139" s="7" t="n">
        <v>45810</v>
      </c>
      <c r="B2139" s="8" t="s">
        <v>16</v>
      </c>
      <c r="C2139" s="9" t="n">
        <v>150</v>
      </c>
      <c r="D2139" s="8" t="s">
        <v>33</v>
      </c>
      <c r="E2139" s="10" t="s">
        <v>88</v>
      </c>
      <c r="F2139" s="8" t="str">
        <f aca="false">TEXT(A2139,"MM-YYYY")</f>
        <v>06-2025</v>
      </c>
      <c r="G2139" s="8"/>
      <c r="H2139" s="8"/>
      <c r="I2139" s="7"/>
      <c r="J2139" s="8" t="str">
        <f aca="false">VLOOKUP(B2139, Table3[#All], 2, FALSE())</f>
        <v>Sales</v>
      </c>
      <c r="K2139" s="8" t="str">
        <f aca="false">TEXT(ROW(), "0000")</f>
        <v>2139</v>
      </c>
      <c r="L2139" s="8"/>
    </row>
    <row r="2140" customFormat="false" ht="15.75" hidden="false" customHeight="true" outlineLevel="0" collapsed="false">
      <c r="A2140" s="7" t="n">
        <v>45810</v>
      </c>
      <c r="B2140" s="8" t="s">
        <v>16</v>
      </c>
      <c r="C2140" s="9" t="n">
        <v>10305</v>
      </c>
      <c r="D2140" s="8" t="s">
        <v>17</v>
      </c>
      <c r="E2140" s="10" t="s">
        <v>88</v>
      </c>
      <c r="F2140" s="8" t="str">
        <f aca="false">TEXT(A2140,"MM-YYYY")</f>
        <v>06-2025</v>
      </c>
      <c r="G2140" s="8"/>
      <c r="H2140" s="8"/>
      <c r="I2140" s="7"/>
      <c r="J2140" s="8" t="str">
        <f aca="false">VLOOKUP(B2140, Table3[#All], 2, FALSE())</f>
        <v>Sales</v>
      </c>
      <c r="K2140" s="8" t="str">
        <f aca="false">TEXT(ROW(), "0000")</f>
        <v>2140</v>
      </c>
      <c r="L2140" s="8"/>
    </row>
    <row r="2141" customFormat="false" ht="15.75" hidden="false" customHeight="true" outlineLevel="0" collapsed="false">
      <c r="A2141" s="7" t="n">
        <v>45810</v>
      </c>
      <c r="B2141" s="8" t="s">
        <v>16</v>
      </c>
      <c r="C2141" s="9" t="n">
        <v>820</v>
      </c>
      <c r="D2141" s="8" t="s">
        <v>59</v>
      </c>
      <c r="E2141" s="10" t="s">
        <v>88</v>
      </c>
      <c r="F2141" s="8" t="str">
        <f aca="false">TEXT(A2141,"MM-YYYY")</f>
        <v>06-2025</v>
      </c>
      <c r="G2141" s="8"/>
      <c r="H2141" s="8"/>
      <c r="I2141" s="7"/>
      <c r="J2141" s="8" t="str">
        <f aca="false">VLOOKUP(B2141, Table3[#All], 2, FALSE())</f>
        <v>Sales</v>
      </c>
      <c r="K2141" s="8" t="str">
        <f aca="false">TEXT(ROW(), "0000")</f>
        <v>2141</v>
      </c>
      <c r="L2141" s="8"/>
    </row>
    <row r="2142" customFormat="false" ht="15.75" hidden="false" customHeight="true" outlineLevel="0" collapsed="false">
      <c r="A2142" s="7" t="n">
        <v>45810</v>
      </c>
      <c r="B2142" s="8" t="s">
        <v>16</v>
      </c>
      <c r="C2142" s="9" t="n">
        <v>2777</v>
      </c>
      <c r="D2142" s="8" t="s">
        <v>24</v>
      </c>
      <c r="E2142" s="10" t="s">
        <v>217</v>
      </c>
      <c r="F2142" s="8" t="str">
        <f aca="false">TEXT(A2142,"MM-YYYY")</f>
        <v>06-2025</v>
      </c>
      <c r="G2142" s="8"/>
      <c r="H2142" s="8"/>
      <c r="I2142" s="7"/>
      <c r="J2142" s="8" t="str">
        <f aca="false">VLOOKUP(B2142, Table3[#All], 2, FALSE())</f>
        <v>Sales</v>
      </c>
      <c r="K2142" s="8" t="str">
        <f aca="false">TEXT(ROW(), "0000")</f>
        <v>2142</v>
      </c>
      <c r="L2142" s="8"/>
    </row>
    <row r="2143" customFormat="false" ht="15.75" hidden="false" customHeight="true" outlineLevel="0" collapsed="false">
      <c r="A2143" s="7" t="n">
        <v>45810</v>
      </c>
      <c r="B2143" s="8" t="s">
        <v>67</v>
      </c>
      <c r="C2143" s="9" t="n">
        <v>2000</v>
      </c>
      <c r="D2143" s="8" t="s">
        <v>45</v>
      </c>
      <c r="E2143" s="8" t="s">
        <v>67</v>
      </c>
      <c r="F2143" s="8" t="str">
        <f aca="false">TEXT(A2143,"MM-YYYY")</f>
        <v>06-2025</v>
      </c>
      <c r="G2143" s="8" t="s">
        <v>14</v>
      </c>
      <c r="H2143" s="8" t="s">
        <v>232</v>
      </c>
      <c r="I2143" s="7" t="n">
        <v>45810</v>
      </c>
      <c r="J2143" s="8" t="str">
        <f aca="false">VLOOKUP(B2143, Table3[#All], 2, FALSE())</f>
        <v>Fixed Maintance</v>
      </c>
      <c r="K2143" s="8" t="str">
        <f aca="false">TEXT(ROW(), "0000")</f>
        <v>2143</v>
      </c>
      <c r="L2143" s="8"/>
    </row>
    <row r="2144" customFormat="false" ht="15.75" hidden="false" customHeight="true" outlineLevel="0" collapsed="false">
      <c r="A2144" s="7" t="n">
        <v>45810</v>
      </c>
      <c r="B2144" s="8" t="s">
        <v>37</v>
      </c>
      <c r="C2144" s="9" t="n">
        <v>14</v>
      </c>
      <c r="D2144" s="8" t="s">
        <v>21</v>
      </c>
      <c r="E2144" s="8" t="s">
        <v>37</v>
      </c>
      <c r="F2144" s="8" t="str">
        <f aca="false">TEXT(A2144,"MM-YYYY")</f>
        <v>06-2025</v>
      </c>
      <c r="G2144" s="8" t="s">
        <v>14</v>
      </c>
      <c r="H2144" s="8" t="s">
        <v>15</v>
      </c>
      <c r="I2144" s="7" t="n">
        <v>45810</v>
      </c>
      <c r="J2144" s="8" t="str">
        <f aca="false">VLOOKUP(B2144, Table3[#All], 2, FALSE())</f>
        <v>Maintance</v>
      </c>
      <c r="K2144" s="8" t="str">
        <f aca="false">TEXT(ROW(), "0000")</f>
        <v>2144</v>
      </c>
      <c r="L2144" s="8"/>
    </row>
    <row r="2145" customFormat="false" ht="15.75" hidden="false" customHeight="true" outlineLevel="0" collapsed="false">
      <c r="A2145" s="7" t="n">
        <v>45810</v>
      </c>
      <c r="B2145" s="8" t="s">
        <v>34</v>
      </c>
      <c r="C2145" s="9" t="n">
        <v>150</v>
      </c>
      <c r="D2145" s="8" t="s">
        <v>45</v>
      </c>
      <c r="E2145" s="10" t="s">
        <v>267</v>
      </c>
      <c r="F2145" s="8" t="str">
        <f aca="false">TEXT(A2145,"MM-YYYY")</f>
        <v>06-2025</v>
      </c>
      <c r="G2145" s="8" t="s">
        <v>14</v>
      </c>
      <c r="H2145" s="8" t="s">
        <v>232</v>
      </c>
      <c r="I2145" s="7" t="n">
        <v>45810</v>
      </c>
      <c r="J2145" s="8" t="str">
        <f aca="false">VLOOKUP(B2145, Table3[#All], 2, FALSE())</f>
        <v>Staff Expenses</v>
      </c>
      <c r="K2145" s="8" t="str">
        <f aca="false">TEXT(ROW(), "0000")</f>
        <v>2145</v>
      </c>
      <c r="L2145" s="8"/>
    </row>
    <row r="2146" customFormat="false" ht="15.75" hidden="false" customHeight="true" outlineLevel="0" collapsed="false">
      <c r="A2146" s="7" t="n">
        <v>45811</v>
      </c>
      <c r="B2146" s="8" t="s">
        <v>22</v>
      </c>
      <c r="C2146" s="9" t="n">
        <v>655</v>
      </c>
      <c r="D2146" s="8" t="s">
        <v>13</v>
      </c>
      <c r="E2146" s="10" t="s">
        <v>23</v>
      </c>
      <c r="F2146" s="8" t="str">
        <f aca="false">TEXT(A2146,"MM-YYYY")</f>
        <v>06-2025</v>
      </c>
      <c r="G2146" s="8" t="s">
        <v>14</v>
      </c>
      <c r="H2146" s="8" t="s">
        <v>13</v>
      </c>
      <c r="I2146" s="7" t="n">
        <v>45818</v>
      </c>
      <c r="J2146" s="8" t="str">
        <f aca="false">VLOOKUP(B2146, Table3[#All], 2, FALSE())</f>
        <v>Inventory</v>
      </c>
      <c r="K2146" s="8" t="str">
        <f aca="false">TEXT(ROW(), "0000")</f>
        <v>2146</v>
      </c>
      <c r="L2146" s="8"/>
    </row>
    <row r="2147" customFormat="false" ht="15.75" hidden="false" customHeight="true" outlineLevel="0" collapsed="false">
      <c r="A2147" s="7" t="n">
        <v>45811</v>
      </c>
      <c r="B2147" s="8" t="s">
        <v>25</v>
      </c>
      <c r="C2147" s="9" t="n">
        <v>551</v>
      </c>
      <c r="D2147" s="8" t="s">
        <v>13</v>
      </c>
      <c r="E2147" s="10" t="s">
        <v>26</v>
      </c>
      <c r="F2147" s="8" t="str">
        <f aca="false">TEXT(A2147,"MM-YYYY")</f>
        <v>06-2025</v>
      </c>
      <c r="G2147" s="21" t="s">
        <v>14</v>
      </c>
      <c r="H2147" s="8" t="s">
        <v>13</v>
      </c>
      <c r="I2147" s="7" t="n">
        <v>45854</v>
      </c>
      <c r="J2147" s="8" t="str">
        <f aca="false">VLOOKUP(B2147, Table3[#All], 2, FALSE())</f>
        <v>Inventory</v>
      </c>
      <c r="K2147" s="8" t="str">
        <f aca="false">TEXT(ROW(), "0000")</f>
        <v>2147</v>
      </c>
      <c r="L2147" s="8"/>
    </row>
    <row r="2148" customFormat="false" ht="15.75" hidden="false" customHeight="true" outlineLevel="0" collapsed="false">
      <c r="A2148" s="7" t="n">
        <v>45811</v>
      </c>
      <c r="B2148" s="8" t="s">
        <v>19</v>
      </c>
      <c r="C2148" s="9" t="n">
        <v>4818</v>
      </c>
      <c r="D2148" s="8" t="s">
        <v>13</v>
      </c>
      <c r="E2148" s="10" t="s">
        <v>20</v>
      </c>
      <c r="F2148" s="8" t="str">
        <f aca="false">TEXT(A2148,"MM-YYYY")</f>
        <v>06-2025</v>
      </c>
      <c r="G2148" s="8" t="s">
        <v>14</v>
      </c>
      <c r="H2148" s="8" t="s">
        <v>13</v>
      </c>
      <c r="I2148" s="7" t="n">
        <v>45818</v>
      </c>
      <c r="J2148" s="8" t="str">
        <f aca="false">VLOOKUP(B2148, Table3[#All], 2, FALSE())</f>
        <v>Inventory</v>
      </c>
      <c r="K2148" s="8" t="str">
        <f aca="false">TEXT(ROW(), "0000")</f>
        <v>2148</v>
      </c>
      <c r="L2148" s="8"/>
    </row>
    <row r="2149" customFormat="false" ht="15.75" hidden="false" customHeight="true" outlineLevel="0" collapsed="false">
      <c r="A2149" s="7" t="n">
        <v>45811</v>
      </c>
      <c r="B2149" s="8" t="s">
        <v>32</v>
      </c>
      <c r="C2149" s="9" t="n">
        <v>210</v>
      </c>
      <c r="D2149" s="8" t="s">
        <v>21</v>
      </c>
      <c r="E2149" s="10" t="s">
        <v>38</v>
      </c>
      <c r="F2149" s="8" t="str">
        <f aca="false">TEXT(A2149,"MM-YYYY")</f>
        <v>06-2025</v>
      </c>
      <c r="G2149" s="8" t="s">
        <v>14</v>
      </c>
      <c r="H2149" s="8" t="s">
        <v>15</v>
      </c>
      <c r="I2149" s="7" t="n">
        <v>45811</v>
      </c>
      <c r="J2149" s="8" t="str">
        <f aca="false">VLOOKUP(B2149, Table3[#All], 2, FALSE())</f>
        <v>Grocery</v>
      </c>
      <c r="K2149" s="8" t="str">
        <f aca="false">TEXT(ROW(), "0000")</f>
        <v>2149</v>
      </c>
      <c r="L2149" s="8"/>
    </row>
    <row r="2150" customFormat="false" ht="15.75" hidden="false" customHeight="true" outlineLevel="0" collapsed="false">
      <c r="A2150" s="7" t="n">
        <v>45811</v>
      </c>
      <c r="B2150" s="8" t="s">
        <v>44</v>
      </c>
      <c r="C2150" s="9" t="n">
        <v>1200</v>
      </c>
      <c r="D2150" s="8" t="s">
        <v>45</v>
      </c>
      <c r="E2150" s="10" t="s">
        <v>15</v>
      </c>
      <c r="F2150" s="8" t="str">
        <f aca="false">TEXT(A2150,"MM-YYYY")</f>
        <v>06-2025</v>
      </c>
      <c r="G2150" s="8" t="s">
        <v>14</v>
      </c>
      <c r="H2150" s="8" t="s">
        <v>232</v>
      </c>
      <c r="I2150" s="7" t="n">
        <v>45811</v>
      </c>
      <c r="J2150" s="8" t="str">
        <f aca="false">VLOOKUP(B2150, Table3[#All], 2, FALSE())</f>
        <v>Salary</v>
      </c>
      <c r="K2150" s="8" t="str">
        <f aca="false">TEXT(ROW(), "0000")</f>
        <v>2150</v>
      </c>
      <c r="L2150" s="8"/>
    </row>
    <row r="2151" customFormat="false" ht="15.75" hidden="false" customHeight="true" outlineLevel="0" collapsed="false">
      <c r="A2151" s="7" t="n">
        <v>45811</v>
      </c>
      <c r="B2151" s="8" t="s">
        <v>29</v>
      </c>
      <c r="C2151" s="9" t="n">
        <v>580</v>
      </c>
      <c r="D2151" s="8" t="s">
        <v>45</v>
      </c>
      <c r="E2151" s="10" t="s">
        <v>302</v>
      </c>
      <c r="F2151" s="8" t="str">
        <f aca="false">TEXT(A2151,"MM-YYYY")</f>
        <v>06-2025</v>
      </c>
      <c r="G2151" s="8" t="s">
        <v>14</v>
      </c>
      <c r="H2151" s="8" t="s">
        <v>232</v>
      </c>
      <c r="I2151" s="7" t="n">
        <v>45826</v>
      </c>
      <c r="J2151" s="8" t="str">
        <f aca="false">VLOOKUP(B2151, Table3[#All], 2, FALSE())</f>
        <v>Inventory</v>
      </c>
      <c r="K2151" s="8" t="str">
        <f aca="false">TEXT(ROW(), "0000")</f>
        <v>2151</v>
      </c>
      <c r="L2151" s="8"/>
    </row>
    <row r="2152" customFormat="false" ht="15.75" hidden="false" customHeight="true" outlineLevel="0" collapsed="false">
      <c r="A2152" s="7" t="n">
        <v>45811</v>
      </c>
      <c r="B2152" s="8" t="s">
        <v>60</v>
      </c>
      <c r="C2152" s="9" t="n">
        <v>210</v>
      </c>
      <c r="D2152" s="8" t="s">
        <v>45</v>
      </c>
      <c r="E2152" s="10" t="s">
        <v>245</v>
      </c>
      <c r="F2152" s="8" t="str">
        <f aca="false">TEXT(A2152,"MM-YYYY")</f>
        <v>06-2025</v>
      </c>
      <c r="G2152" s="8" t="s">
        <v>14</v>
      </c>
      <c r="H2152" s="8" t="s">
        <v>232</v>
      </c>
      <c r="I2152" s="7" t="n">
        <v>45811</v>
      </c>
      <c r="J2152" s="8" t="str">
        <f aca="false">VLOOKUP(B2152, Table3[#All], 2, FALSE())</f>
        <v>Inventory</v>
      </c>
      <c r="K2152" s="8" t="str">
        <f aca="false">TEXT(ROW(), "0000")</f>
        <v>2152</v>
      </c>
      <c r="L2152" s="8"/>
    </row>
    <row r="2153" customFormat="false" ht="15.75" hidden="false" customHeight="true" outlineLevel="0" collapsed="false">
      <c r="A2153" s="7" t="n">
        <v>45811</v>
      </c>
      <c r="B2153" s="8" t="s">
        <v>16</v>
      </c>
      <c r="C2153" s="9" t="n">
        <v>1140</v>
      </c>
      <c r="D2153" s="8" t="s">
        <v>21</v>
      </c>
      <c r="E2153" s="10" t="s">
        <v>88</v>
      </c>
      <c r="F2153" s="8" t="str">
        <f aca="false">TEXT(A2153,"MM-YYYY")</f>
        <v>06-2025</v>
      </c>
      <c r="G2153" s="8"/>
      <c r="H2153" s="8"/>
      <c r="I2153" s="7"/>
      <c r="J2153" s="8" t="str">
        <f aca="false">VLOOKUP(B2153, Table3[#All], 2, FALSE())</f>
        <v>Sales</v>
      </c>
      <c r="K2153" s="8" t="str">
        <f aca="false">TEXT(ROW(), "0000")</f>
        <v>2153</v>
      </c>
      <c r="L2153" s="8"/>
    </row>
    <row r="2154" customFormat="false" ht="15.75" hidden="false" customHeight="true" outlineLevel="0" collapsed="false">
      <c r="A2154" s="7" t="n">
        <v>45811</v>
      </c>
      <c r="B2154" s="8" t="s">
        <v>16</v>
      </c>
      <c r="C2154" s="9" t="n">
        <v>320</v>
      </c>
      <c r="D2154" s="8" t="s">
        <v>27</v>
      </c>
      <c r="E2154" s="10" t="s">
        <v>88</v>
      </c>
      <c r="F2154" s="8" t="str">
        <f aca="false">TEXT(A2154,"MM-YYYY")</f>
        <v>06-2025</v>
      </c>
      <c r="G2154" s="8"/>
      <c r="H2154" s="8"/>
      <c r="I2154" s="7"/>
      <c r="J2154" s="8" t="str">
        <f aca="false">VLOOKUP(B2154, Table3[#All], 2, FALSE())</f>
        <v>Sales</v>
      </c>
      <c r="K2154" s="8" t="str">
        <f aca="false">TEXT(ROW(), "0000")</f>
        <v>2154</v>
      </c>
      <c r="L2154" s="8"/>
    </row>
    <row r="2155" customFormat="false" ht="15.75" hidden="false" customHeight="true" outlineLevel="0" collapsed="false">
      <c r="A2155" s="7" t="n">
        <v>45811</v>
      </c>
      <c r="B2155" s="8" t="s">
        <v>16</v>
      </c>
      <c r="C2155" s="9" t="n">
        <v>245</v>
      </c>
      <c r="D2155" s="8" t="s">
        <v>33</v>
      </c>
      <c r="E2155" s="10" t="s">
        <v>88</v>
      </c>
      <c r="F2155" s="8" t="str">
        <f aca="false">TEXT(A2155,"MM-YYYY")</f>
        <v>06-2025</v>
      </c>
      <c r="G2155" s="8"/>
      <c r="H2155" s="8"/>
      <c r="I2155" s="7"/>
      <c r="J2155" s="8" t="str">
        <f aca="false">VLOOKUP(B2155, Table3[#All], 2, FALSE())</f>
        <v>Sales</v>
      </c>
      <c r="K2155" s="8" t="str">
        <f aca="false">TEXT(ROW(), "0000")</f>
        <v>2155</v>
      </c>
      <c r="L2155" s="8"/>
    </row>
    <row r="2156" customFormat="false" ht="15.75" hidden="false" customHeight="true" outlineLevel="0" collapsed="false">
      <c r="A2156" s="7" t="n">
        <v>45811</v>
      </c>
      <c r="B2156" s="8" t="s">
        <v>16</v>
      </c>
      <c r="C2156" s="9" t="n">
        <v>13548</v>
      </c>
      <c r="D2156" s="8" t="s">
        <v>17</v>
      </c>
      <c r="E2156" s="10" t="s">
        <v>88</v>
      </c>
      <c r="F2156" s="8" t="str">
        <f aca="false">TEXT(A2156,"MM-YYYY")</f>
        <v>06-2025</v>
      </c>
      <c r="G2156" s="8"/>
      <c r="H2156" s="8"/>
      <c r="I2156" s="7"/>
      <c r="J2156" s="8" t="str">
        <f aca="false">VLOOKUP(B2156, Table3[#All], 2, FALSE())</f>
        <v>Sales</v>
      </c>
      <c r="K2156" s="8" t="str">
        <f aca="false">TEXT(ROW(), "0000")</f>
        <v>2156</v>
      </c>
      <c r="L2156" s="8"/>
    </row>
    <row r="2157" customFormat="false" ht="15.75" hidden="false" customHeight="true" outlineLevel="0" collapsed="false">
      <c r="A2157" s="7" t="n">
        <v>45811</v>
      </c>
      <c r="B2157" s="8" t="s">
        <v>16</v>
      </c>
      <c r="C2157" s="9" t="n">
        <v>2255</v>
      </c>
      <c r="D2157" s="8" t="s">
        <v>24</v>
      </c>
      <c r="E2157" s="10" t="s">
        <v>217</v>
      </c>
      <c r="F2157" s="8" t="str">
        <f aca="false">TEXT(A2157,"MM-YYYY")</f>
        <v>06-2025</v>
      </c>
      <c r="G2157" s="8"/>
      <c r="H2157" s="8"/>
      <c r="I2157" s="7"/>
      <c r="J2157" s="8" t="str">
        <f aca="false">VLOOKUP(B2157, Table3[#All], 2, FALSE())</f>
        <v>Sales</v>
      </c>
      <c r="K2157" s="8" t="str">
        <f aca="false">TEXT(ROW(), "0000")</f>
        <v>2157</v>
      </c>
      <c r="L2157" s="8"/>
    </row>
    <row r="2158" customFormat="false" ht="15.75" hidden="false" customHeight="true" outlineLevel="0" collapsed="false">
      <c r="A2158" s="7" t="n">
        <v>45811</v>
      </c>
      <c r="B2158" s="8" t="s">
        <v>63</v>
      </c>
      <c r="C2158" s="9" t="n">
        <v>150</v>
      </c>
      <c r="D2158" s="8" t="s">
        <v>45</v>
      </c>
      <c r="E2158" s="8" t="s">
        <v>63</v>
      </c>
      <c r="F2158" s="8" t="str">
        <f aca="false">TEXT(A2158,"MM-YYYY")</f>
        <v>06-2025</v>
      </c>
      <c r="G2158" s="8" t="s">
        <v>14</v>
      </c>
      <c r="H2158" s="8" t="s">
        <v>232</v>
      </c>
      <c r="I2158" s="7" t="n">
        <v>45811</v>
      </c>
      <c r="J2158" s="8" t="str">
        <f aca="false">VLOOKUP(B2158, Table3[#All], 2, FALSE())</f>
        <v>Maintance</v>
      </c>
      <c r="K2158" s="8" t="str">
        <f aca="false">TEXT(ROW(), "0000")</f>
        <v>2158</v>
      </c>
      <c r="L2158" s="8"/>
    </row>
    <row r="2159" customFormat="false" ht="15.75" hidden="false" customHeight="true" outlineLevel="0" collapsed="false">
      <c r="A2159" s="7" t="n">
        <v>45811</v>
      </c>
      <c r="B2159" s="8" t="s">
        <v>56</v>
      </c>
      <c r="C2159" s="9" t="n">
        <v>60</v>
      </c>
      <c r="D2159" s="8" t="s">
        <v>45</v>
      </c>
      <c r="E2159" s="10" t="s">
        <v>333</v>
      </c>
      <c r="F2159" s="8" t="str">
        <f aca="false">TEXT(A2159,"MM-YYYY")</f>
        <v>06-2025</v>
      </c>
      <c r="G2159" s="8" t="s">
        <v>14</v>
      </c>
      <c r="H2159" s="8" t="s">
        <v>232</v>
      </c>
      <c r="I2159" s="7" t="n">
        <v>45811</v>
      </c>
      <c r="J2159" s="8" t="str">
        <f aca="false">VLOOKUP(B2159, Table3[#All], 2, FALSE())</f>
        <v>New Inventory</v>
      </c>
      <c r="K2159" s="8" t="str">
        <f aca="false">TEXT(ROW(), "0000")</f>
        <v>2159</v>
      </c>
      <c r="L2159" s="8"/>
    </row>
    <row r="2160" customFormat="false" ht="15.75" hidden="false" customHeight="true" outlineLevel="0" collapsed="false">
      <c r="A2160" s="7" t="n">
        <v>45811</v>
      </c>
      <c r="B2160" s="8" t="s">
        <v>34</v>
      </c>
      <c r="C2160" s="9" t="n">
        <v>150</v>
      </c>
      <c r="D2160" s="8" t="s">
        <v>45</v>
      </c>
      <c r="E2160" s="10" t="s">
        <v>274</v>
      </c>
      <c r="F2160" s="8" t="str">
        <f aca="false">TEXT(A2160,"MM-YYYY")</f>
        <v>06-2025</v>
      </c>
      <c r="G2160" s="8" t="s">
        <v>14</v>
      </c>
      <c r="H2160" s="8" t="s">
        <v>232</v>
      </c>
      <c r="I2160" s="7" t="n">
        <v>45811</v>
      </c>
      <c r="J2160" s="8" t="str">
        <f aca="false">VLOOKUP(B2160, Table3[#All], 2, FALSE())</f>
        <v>Staff Expenses</v>
      </c>
      <c r="K2160" s="8" t="str">
        <f aca="false">TEXT(ROW(), "0000")</f>
        <v>2160</v>
      </c>
      <c r="L2160" s="8"/>
    </row>
    <row r="2161" customFormat="false" ht="15.75" hidden="false" customHeight="true" outlineLevel="0" collapsed="false">
      <c r="A2161" s="7" t="n">
        <v>45811</v>
      </c>
      <c r="B2161" s="8" t="s">
        <v>37</v>
      </c>
      <c r="C2161" s="9" t="n">
        <v>10</v>
      </c>
      <c r="D2161" s="8" t="s">
        <v>21</v>
      </c>
      <c r="E2161" s="10" t="s">
        <v>37</v>
      </c>
      <c r="F2161" s="8" t="str">
        <f aca="false">TEXT(A2161,"MM-YYYY")</f>
        <v>06-2025</v>
      </c>
      <c r="G2161" s="8" t="s">
        <v>14</v>
      </c>
      <c r="H2161" s="8" t="s">
        <v>15</v>
      </c>
      <c r="I2161" s="7" t="n">
        <v>45811</v>
      </c>
      <c r="J2161" s="8" t="str">
        <f aca="false">VLOOKUP(B2161, Table3[#All], 2, FALSE())</f>
        <v>Maintance</v>
      </c>
      <c r="K2161" s="8" t="str">
        <f aca="false">TEXT(ROW(), "0000")</f>
        <v>2161</v>
      </c>
      <c r="L2161" s="8"/>
    </row>
    <row r="2162" customFormat="false" ht="15.75" hidden="false" customHeight="true" outlineLevel="0" collapsed="false">
      <c r="A2162" s="7" t="n">
        <v>45812</v>
      </c>
      <c r="B2162" s="8" t="s">
        <v>19</v>
      </c>
      <c r="C2162" s="9" t="n">
        <v>1546</v>
      </c>
      <c r="D2162" s="8" t="s">
        <v>13</v>
      </c>
      <c r="E2162" s="10" t="s">
        <v>20</v>
      </c>
      <c r="F2162" s="8" t="str">
        <f aca="false">TEXT(A2162,"MM-YYYY")</f>
        <v>06-2025</v>
      </c>
      <c r="G2162" s="8" t="s">
        <v>14</v>
      </c>
      <c r="H2162" s="8" t="s">
        <v>13</v>
      </c>
      <c r="I2162" s="7" t="n">
        <v>45818</v>
      </c>
      <c r="J2162" s="8" t="str">
        <f aca="false">VLOOKUP(B2162, Table3[#All], 2, FALSE())</f>
        <v>Inventory</v>
      </c>
      <c r="K2162" s="8" t="str">
        <f aca="false">TEXT(ROW(), "0000")</f>
        <v>2162</v>
      </c>
      <c r="L2162" s="8"/>
    </row>
    <row r="2163" customFormat="false" ht="15.75" hidden="false" customHeight="true" outlineLevel="0" collapsed="false">
      <c r="A2163" s="7" t="n">
        <v>45812</v>
      </c>
      <c r="B2163" s="8" t="s">
        <v>47</v>
      </c>
      <c r="C2163" s="9" t="n">
        <v>840</v>
      </c>
      <c r="D2163" s="8" t="s">
        <v>13</v>
      </c>
      <c r="E2163" s="10" t="s">
        <v>223</v>
      </c>
      <c r="F2163" s="8" t="str">
        <f aca="false">TEXT(A2163,"MM-YYYY")</f>
        <v>06-2025</v>
      </c>
      <c r="G2163" s="8" t="s">
        <v>14</v>
      </c>
      <c r="H2163" s="8" t="s">
        <v>13</v>
      </c>
      <c r="I2163" s="7" t="n">
        <v>45825</v>
      </c>
      <c r="J2163" s="8" t="str">
        <f aca="false">VLOOKUP(B2163, Table3[#All], 2, FALSE())</f>
        <v>Inventory</v>
      </c>
      <c r="K2163" s="8" t="str">
        <f aca="false">TEXT(ROW(), "0000")</f>
        <v>2163</v>
      </c>
      <c r="L2163" s="8"/>
    </row>
    <row r="2164" customFormat="false" ht="15.75" hidden="false" customHeight="true" outlineLevel="0" collapsed="false">
      <c r="A2164" s="7" t="n">
        <v>45812</v>
      </c>
      <c r="B2164" s="8" t="s">
        <v>22</v>
      </c>
      <c r="C2164" s="9" t="n">
        <v>2811</v>
      </c>
      <c r="D2164" s="8" t="s">
        <v>13</v>
      </c>
      <c r="E2164" s="10" t="s">
        <v>23</v>
      </c>
      <c r="F2164" s="8" t="str">
        <f aca="false">TEXT(A2164,"MM-YYYY")</f>
        <v>06-2025</v>
      </c>
      <c r="G2164" s="8" t="s">
        <v>14</v>
      </c>
      <c r="H2164" s="8" t="s">
        <v>13</v>
      </c>
      <c r="I2164" s="7" t="n">
        <v>45818</v>
      </c>
      <c r="J2164" s="8" t="str">
        <f aca="false">VLOOKUP(B2164, Table3[#All], 2, FALSE())</f>
        <v>Inventory</v>
      </c>
      <c r="K2164" s="8" t="str">
        <f aca="false">TEXT(ROW(), "0000")</f>
        <v>2164</v>
      </c>
      <c r="L2164" s="8"/>
    </row>
    <row r="2165" customFormat="false" ht="15.75" hidden="false" customHeight="true" outlineLevel="0" collapsed="false">
      <c r="A2165" s="7" t="n">
        <v>45812</v>
      </c>
      <c r="B2165" s="8" t="s">
        <v>22</v>
      </c>
      <c r="C2165" s="9" t="n">
        <v>110</v>
      </c>
      <c r="D2165" s="8" t="s">
        <v>45</v>
      </c>
      <c r="E2165" s="10" t="s">
        <v>213</v>
      </c>
      <c r="F2165" s="8" t="str">
        <f aca="false">TEXT(A2165,"MM-YYYY")</f>
        <v>06-2025</v>
      </c>
      <c r="G2165" s="8" t="s">
        <v>14</v>
      </c>
      <c r="H2165" s="8" t="s">
        <v>232</v>
      </c>
      <c r="I2165" s="7" t="n">
        <v>45812</v>
      </c>
      <c r="J2165" s="8" t="str">
        <f aca="false">VLOOKUP(B2165, Table3[#All], 2, FALSE())</f>
        <v>Inventory</v>
      </c>
      <c r="K2165" s="8" t="str">
        <f aca="false">TEXT(ROW(), "0000")</f>
        <v>2165</v>
      </c>
      <c r="L2165" s="8"/>
    </row>
    <row r="2166" customFormat="false" ht="15.75" hidden="false" customHeight="true" outlineLevel="0" collapsed="false">
      <c r="A2166" s="7" t="n">
        <v>45812</v>
      </c>
      <c r="B2166" s="8" t="s">
        <v>44</v>
      </c>
      <c r="C2166" s="9" t="n">
        <v>2000</v>
      </c>
      <c r="D2166" s="8" t="s">
        <v>13</v>
      </c>
      <c r="E2166" s="10" t="s">
        <v>204</v>
      </c>
      <c r="F2166" s="8" t="str">
        <f aca="false">TEXT(A2166,"MM-YYYY")</f>
        <v>06-2025</v>
      </c>
      <c r="G2166" s="8" t="s">
        <v>14</v>
      </c>
      <c r="H2166" s="8" t="s">
        <v>262</v>
      </c>
      <c r="I2166" s="7" t="n">
        <v>45812</v>
      </c>
      <c r="J2166" s="8" t="str">
        <f aca="false">VLOOKUP(B2166, Table3[#All], 2, FALSE())</f>
        <v>Salary</v>
      </c>
      <c r="K2166" s="8" t="str">
        <f aca="false">TEXT(ROW(), "0000")</f>
        <v>2166</v>
      </c>
      <c r="L2166" s="8"/>
    </row>
    <row r="2167" customFormat="false" ht="15.75" hidden="false" customHeight="true" outlineLevel="0" collapsed="false">
      <c r="A2167" s="7" t="n">
        <v>45812</v>
      </c>
      <c r="B2167" s="8" t="s">
        <v>44</v>
      </c>
      <c r="C2167" s="9" t="n">
        <v>4000</v>
      </c>
      <c r="D2167" s="8" t="s">
        <v>13</v>
      </c>
      <c r="E2167" s="10" t="s">
        <v>316</v>
      </c>
      <c r="F2167" s="8" t="str">
        <f aca="false">TEXT(A2167,"MM-YYYY")</f>
        <v>06-2025</v>
      </c>
      <c r="G2167" s="8" t="s">
        <v>14</v>
      </c>
      <c r="H2167" s="8" t="s">
        <v>262</v>
      </c>
      <c r="I2167" s="7" t="n">
        <v>45812</v>
      </c>
      <c r="J2167" s="8" t="str">
        <f aca="false">VLOOKUP(B2167, Table3[#All], 2, FALSE())</f>
        <v>Salary</v>
      </c>
      <c r="K2167" s="8" t="str">
        <f aca="false">TEXT(ROW(), "0000")</f>
        <v>2167</v>
      </c>
      <c r="L2167" s="8"/>
    </row>
    <row r="2168" customFormat="false" ht="15.75" hidden="false" customHeight="true" outlineLevel="0" collapsed="false">
      <c r="A2168" s="7" t="n">
        <v>45812</v>
      </c>
      <c r="B2168" s="8" t="s">
        <v>44</v>
      </c>
      <c r="C2168" s="9" t="n">
        <v>3000</v>
      </c>
      <c r="D2168" s="8" t="s">
        <v>13</v>
      </c>
      <c r="E2168" s="10" t="s">
        <v>317</v>
      </c>
      <c r="F2168" s="8" t="str">
        <f aca="false">TEXT(A2168,"MM-YYYY")</f>
        <v>06-2025</v>
      </c>
      <c r="G2168" s="8" t="s">
        <v>14</v>
      </c>
      <c r="H2168" s="8" t="s">
        <v>262</v>
      </c>
      <c r="I2168" s="7" t="n">
        <v>45812</v>
      </c>
      <c r="J2168" s="8" t="str">
        <f aca="false">VLOOKUP(B2168, Table3[#All], 2, FALSE())</f>
        <v>Salary</v>
      </c>
      <c r="K2168" s="8" t="str">
        <f aca="false">TEXT(ROW(), "0000")</f>
        <v>2168</v>
      </c>
      <c r="L2168" s="8"/>
    </row>
    <row r="2169" customFormat="false" ht="15.75" hidden="false" customHeight="true" outlineLevel="0" collapsed="false">
      <c r="A2169" s="7" t="n">
        <v>45812</v>
      </c>
      <c r="B2169" s="8" t="s">
        <v>44</v>
      </c>
      <c r="C2169" s="9" t="n">
        <v>500</v>
      </c>
      <c r="D2169" s="8" t="s">
        <v>45</v>
      </c>
      <c r="E2169" s="10" t="s">
        <v>86</v>
      </c>
      <c r="F2169" s="8" t="str">
        <f aca="false">TEXT(A2169,"MM-YYYY")</f>
        <v>06-2025</v>
      </c>
      <c r="G2169" s="8" t="s">
        <v>14</v>
      </c>
      <c r="H2169" s="8" t="s">
        <v>232</v>
      </c>
      <c r="I2169" s="7" t="n">
        <v>45812</v>
      </c>
      <c r="J2169" s="8" t="str">
        <f aca="false">VLOOKUP(B2169, Table3[#All], 2, FALSE())</f>
        <v>Salary</v>
      </c>
      <c r="K2169" s="8" t="str">
        <f aca="false">TEXT(ROW(), "0000")</f>
        <v>2169</v>
      </c>
      <c r="L2169" s="8"/>
      <c r="P2169" s="24" t="n">
        <f aca="false">SUM(P1922:P1923)</f>
        <v>57494</v>
      </c>
    </row>
    <row r="2170" customFormat="false" ht="15.75" hidden="false" customHeight="true" outlineLevel="0" collapsed="false">
      <c r="A2170" s="7" t="n">
        <v>45812</v>
      </c>
      <c r="B2170" s="8" t="s">
        <v>44</v>
      </c>
      <c r="C2170" s="9" t="n">
        <v>100</v>
      </c>
      <c r="D2170" s="8" t="s">
        <v>21</v>
      </c>
      <c r="E2170" s="10" t="s">
        <v>334</v>
      </c>
      <c r="F2170" s="8" t="str">
        <f aca="false">TEXT(A2170,"MM-YYYY")</f>
        <v>06-2025</v>
      </c>
      <c r="G2170" s="8" t="s">
        <v>14</v>
      </c>
      <c r="H2170" s="8" t="s">
        <v>15</v>
      </c>
      <c r="I2170" s="7" t="n">
        <v>45812</v>
      </c>
      <c r="J2170" s="8" t="str">
        <f aca="false">VLOOKUP(B2170, Table3[#All], 2, FALSE())</f>
        <v>Salary</v>
      </c>
      <c r="K2170" s="8" t="str">
        <f aca="false">TEXT(ROW(), "0000")</f>
        <v>2170</v>
      </c>
      <c r="L2170" s="8"/>
    </row>
    <row r="2171" customFormat="false" ht="15.75" hidden="false" customHeight="true" outlineLevel="0" collapsed="false">
      <c r="A2171" s="7" t="n">
        <v>45812</v>
      </c>
      <c r="B2171" s="8" t="s">
        <v>29</v>
      </c>
      <c r="C2171" s="9" t="n">
        <v>30</v>
      </c>
      <c r="D2171" s="8" t="s">
        <v>21</v>
      </c>
      <c r="E2171" s="10" t="s">
        <v>194</v>
      </c>
      <c r="F2171" s="8" t="str">
        <f aca="false">TEXT(A2171,"MM-YYYY")</f>
        <v>06-2025</v>
      </c>
      <c r="G2171" s="8" t="s">
        <v>14</v>
      </c>
      <c r="H2171" s="8" t="s">
        <v>15</v>
      </c>
      <c r="I2171" s="7" t="n">
        <v>45812</v>
      </c>
      <c r="J2171" s="8" t="str">
        <f aca="false">VLOOKUP(B2171, Table3[#All], 2, FALSE())</f>
        <v>Inventory</v>
      </c>
      <c r="K2171" s="8" t="str">
        <f aca="false">TEXT(ROW(), "0000")</f>
        <v>2171</v>
      </c>
      <c r="L2171" s="8"/>
    </row>
    <row r="2172" customFormat="false" ht="15.75" hidden="false" customHeight="true" outlineLevel="0" collapsed="false">
      <c r="A2172" s="7" t="n">
        <v>45812</v>
      </c>
      <c r="B2172" s="8" t="s">
        <v>34</v>
      </c>
      <c r="C2172" s="9" t="n">
        <v>145</v>
      </c>
      <c r="D2172" s="8" t="s">
        <v>45</v>
      </c>
      <c r="E2172" s="10" t="s">
        <v>274</v>
      </c>
      <c r="F2172" s="8" t="str">
        <f aca="false">TEXT(A2172,"MM-YYYY")</f>
        <v>06-2025</v>
      </c>
      <c r="G2172" s="8" t="s">
        <v>14</v>
      </c>
      <c r="H2172" s="8" t="s">
        <v>232</v>
      </c>
      <c r="I2172" s="7" t="n">
        <v>45812</v>
      </c>
      <c r="J2172" s="8" t="str">
        <f aca="false">VLOOKUP(B2172, Table3[#All], 2, FALSE())</f>
        <v>Staff Expenses</v>
      </c>
      <c r="K2172" s="8" t="str">
        <f aca="false">TEXT(ROW(), "0000")</f>
        <v>2172</v>
      </c>
      <c r="L2172" s="8"/>
    </row>
    <row r="2173" customFormat="false" ht="15.75" hidden="false" customHeight="true" outlineLevel="0" collapsed="false">
      <c r="A2173" s="7" t="n">
        <v>45812</v>
      </c>
      <c r="B2173" s="8" t="s">
        <v>107</v>
      </c>
      <c r="C2173" s="9" t="n">
        <v>115</v>
      </c>
      <c r="D2173" s="8" t="s">
        <v>45</v>
      </c>
      <c r="E2173" s="10" t="s">
        <v>335</v>
      </c>
      <c r="F2173" s="8" t="str">
        <f aca="false">TEXT(A2173,"MM-YYYY")</f>
        <v>06-2025</v>
      </c>
      <c r="G2173" s="8" t="s">
        <v>14</v>
      </c>
      <c r="H2173" s="8" t="s">
        <v>232</v>
      </c>
      <c r="I2173" s="7" t="n">
        <v>45812</v>
      </c>
      <c r="J2173" s="8" t="str">
        <f aca="false">VLOOKUP(B2173, Table3[#All], 2, FALSE())</f>
        <v>Staff Expenses</v>
      </c>
      <c r="K2173" s="8" t="str">
        <f aca="false">TEXT(ROW(), "0000")</f>
        <v>2173</v>
      </c>
      <c r="L2173" s="8"/>
    </row>
    <row r="2174" customFormat="false" ht="15.75" hidden="false" customHeight="true" outlineLevel="0" collapsed="false">
      <c r="A2174" s="7" t="n">
        <v>45812</v>
      </c>
      <c r="B2174" s="8" t="s">
        <v>25</v>
      </c>
      <c r="C2174" s="9" t="n">
        <v>1014</v>
      </c>
      <c r="D2174" s="8" t="s">
        <v>13</v>
      </c>
      <c r="E2174" s="10" t="s">
        <v>26</v>
      </c>
      <c r="F2174" s="8" t="str">
        <f aca="false">TEXT(A2174,"MM-YYYY")</f>
        <v>06-2025</v>
      </c>
      <c r="G2174" s="8" t="s">
        <v>14</v>
      </c>
      <c r="H2174" s="8" t="s">
        <v>13</v>
      </c>
      <c r="I2174" s="7" t="n">
        <v>45854</v>
      </c>
      <c r="J2174" s="8" t="str">
        <f aca="false">VLOOKUP(B2174, Table3[#All], 2, FALSE())</f>
        <v>Inventory</v>
      </c>
      <c r="K2174" s="8" t="str">
        <f aca="false">TEXT(ROW(), "0000")</f>
        <v>2174</v>
      </c>
      <c r="L2174" s="8"/>
    </row>
    <row r="2175" customFormat="false" ht="15.75" hidden="false" customHeight="true" outlineLevel="0" collapsed="false">
      <c r="A2175" s="7" t="n">
        <v>45812</v>
      </c>
      <c r="B2175" s="8" t="s">
        <v>29</v>
      </c>
      <c r="C2175" s="9" t="n">
        <v>420</v>
      </c>
      <c r="D2175" s="8" t="s">
        <v>45</v>
      </c>
      <c r="E2175" s="10" t="s">
        <v>302</v>
      </c>
      <c r="F2175" s="8" t="str">
        <f aca="false">TEXT(A2175,"MM-YYYY")</f>
        <v>06-2025</v>
      </c>
      <c r="G2175" s="8" t="s">
        <v>14</v>
      </c>
      <c r="H2175" s="8" t="s">
        <v>232</v>
      </c>
      <c r="I2175" s="7" t="n">
        <v>45826</v>
      </c>
      <c r="J2175" s="8" t="str">
        <f aca="false">VLOOKUP(B2175, Table3[#All], 2, FALSE())</f>
        <v>Inventory</v>
      </c>
      <c r="K2175" s="8" t="str">
        <f aca="false">TEXT(ROW(), "0000")</f>
        <v>2175</v>
      </c>
      <c r="L2175" s="8"/>
    </row>
    <row r="2176" customFormat="false" ht="15.75" hidden="false" customHeight="true" outlineLevel="0" collapsed="false">
      <c r="A2176" s="7" t="n">
        <v>45812</v>
      </c>
      <c r="B2176" s="8" t="s">
        <v>29</v>
      </c>
      <c r="C2176" s="9" t="n">
        <v>670</v>
      </c>
      <c r="D2176" s="8" t="s">
        <v>45</v>
      </c>
      <c r="E2176" s="10" t="s">
        <v>78</v>
      </c>
      <c r="F2176" s="8" t="str">
        <f aca="false">TEXT(A2176,"MM-YYYY")</f>
        <v>06-2025</v>
      </c>
      <c r="G2176" s="8" t="s">
        <v>14</v>
      </c>
      <c r="H2176" s="8" t="s">
        <v>232</v>
      </c>
      <c r="I2176" s="7" t="n">
        <v>45812</v>
      </c>
      <c r="J2176" s="8" t="str">
        <f aca="false">VLOOKUP(B2176, Table3[#All], 2, FALSE())</f>
        <v>Inventory</v>
      </c>
      <c r="K2176" s="8" t="str">
        <f aca="false">TEXT(ROW(), "0000")</f>
        <v>2176</v>
      </c>
      <c r="L2176" s="8"/>
    </row>
    <row r="2177" customFormat="false" ht="15.75" hidden="false" customHeight="true" outlineLevel="0" collapsed="false">
      <c r="A2177" s="7" t="n">
        <v>45812</v>
      </c>
      <c r="B2177" s="8" t="s">
        <v>16</v>
      </c>
      <c r="C2177" s="9" t="n">
        <v>3900</v>
      </c>
      <c r="D2177" s="8" t="s">
        <v>21</v>
      </c>
      <c r="E2177" s="10" t="s">
        <v>88</v>
      </c>
      <c r="F2177" s="8" t="str">
        <f aca="false">TEXT(A2177,"MM-YYYY")</f>
        <v>06-2025</v>
      </c>
      <c r="G2177" s="8"/>
      <c r="H2177" s="8"/>
      <c r="I2177" s="7"/>
      <c r="J2177" s="8" t="str">
        <f aca="false">VLOOKUP(B2177, Table3[#All], 2, FALSE())</f>
        <v>Sales</v>
      </c>
      <c r="K2177" s="8" t="str">
        <f aca="false">TEXT(ROW(), "0000")</f>
        <v>2177</v>
      </c>
      <c r="L2177" s="8"/>
    </row>
    <row r="2178" customFormat="false" ht="15.75" hidden="false" customHeight="true" outlineLevel="0" collapsed="false">
      <c r="A2178" s="7" t="n">
        <v>45812</v>
      </c>
      <c r="B2178" s="8" t="s">
        <v>16</v>
      </c>
      <c r="C2178" s="9" t="n">
        <v>230</v>
      </c>
      <c r="D2178" s="8" t="s">
        <v>27</v>
      </c>
      <c r="E2178" s="10" t="s">
        <v>88</v>
      </c>
      <c r="F2178" s="8" t="str">
        <f aca="false">TEXT(A2178,"MM-YYYY")</f>
        <v>06-2025</v>
      </c>
      <c r="G2178" s="8"/>
      <c r="H2178" s="8"/>
      <c r="I2178" s="7"/>
      <c r="J2178" s="8" t="str">
        <f aca="false">VLOOKUP(B2178, Table3[#All], 2, FALSE())</f>
        <v>Sales</v>
      </c>
      <c r="K2178" s="8" t="str">
        <f aca="false">TEXT(ROW(), "0000")</f>
        <v>2178</v>
      </c>
      <c r="L2178" s="8"/>
    </row>
    <row r="2179" customFormat="false" ht="15.75" hidden="false" customHeight="true" outlineLevel="0" collapsed="false">
      <c r="A2179" s="7" t="n">
        <v>45812</v>
      </c>
      <c r="B2179" s="8" t="s">
        <v>16</v>
      </c>
      <c r="C2179" s="9" t="n">
        <v>1534</v>
      </c>
      <c r="D2179" s="8" t="s">
        <v>33</v>
      </c>
      <c r="E2179" s="10" t="s">
        <v>88</v>
      </c>
      <c r="F2179" s="8" t="str">
        <f aca="false">TEXT(A2179,"MM-YYYY")</f>
        <v>06-2025</v>
      </c>
      <c r="G2179" s="8"/>
      <c r="H2179" s="8"/>
      <c r="I2179" s="7"/>
      <c r="J2179" s="8" t="str">
        <f aca="false">VLOOKUP(B2179, Table3[#All], 2, FALSE())</f>
        <v>Sales</v>
      </c>
      <c r="K2179" s="8" t="str">
        <f aca="false">TEXT(ROW(), "0000")</f>
        <v>2179</v>
      </c>
      <c r="L2179" s="8"/>
    </row>
    <row r="2180" customFormat="false" ht="15.75" hidden="false" customHeight="true" outlineLevel="0" collapsed="false">
      <c r="A2180" s="7" t="n">
        <v>45812</v>
      </c>
      <c r="B2180" s="8" t="s">
        <v>16</v>
      </c>
      <c r="C2180" s="9" t="n">
        <v>12782</v>
      </c>
      <c r="D2180" s="8" t="s">
        <v>17</v>
      </c>
      <c r="E2180" s="10" t="s">
        <v>88</v>
      </c>
      <c r="F2180" s="8" t="str">
        <f aca="false">TEXT(A2180,"MM-YYYY")</f>
        <v>06-2025</v>
      </c>
      <c r="G2180" s="8"/>
      <c r="H2180" s="8"/>
      <c r="I2180" s="7"/>
      <c r="J2180" s="8" t="str">
        <f aca="false">VLOOKUP(B2180, Table3[#All], 2, FALSE())</f>
        <v>Sales</v>
      </c>
      <c r="K2180" s="8" t="str">
        <f aca="false">TEXT(ROW(), "0000")</f>
        <v>2180</v>
      </c>
      <c r="L2180" s="8"/>
    </row>
    <row r="2181" customFormat="false" ht="15.75" hidden="false" customHeight="true" outlineLevel="0" collapsed="false">
      <c r="A2181" s="7" t="n">
        <v>45812</v>
      </c>
      <c r="B2181" s="8" t="s">
        <v>16</v>
      </c>
      <c r="C2181" s="9" t="n">
        <v>2773</v>
      </c>
      <c r="D2181" s="8" t="s">
        <v>24</v>
      </c>
      <c r="E2181" s="10" t="s">
        <v>217</v>
      </c>
      <c r="F2181" s="8" t="str">
        <f aca="false">TEXT(A2181,"MM-YYYY")</f>
        <v>06-2025</v>
      </c>
      <c r="G2181" s="8"/>
      <c r="H2181" s="8"/>
      <c r="I2181" s="7"/>
      <c r="J2181" s="8" t="str">
        <f aca="false">VLOOKUP(B2181, Table3[#All], 2, FALSE())</f>
        <v>Sales</v>
      </c>
      <c r="K2181" s="8" t="str">
        <f aca="false">TEXT(ROW(), "0000")</f>
        <v>2181</v>
      </c>
      <c r="L2181" s="8"/>
    </row>
    <row r="2182" customFormat="false" ht="15.75" hidden="false" customHeight="true" outlineLevel="0" collapsed="false">
      <c r="A2182" s="7" t="n">
        <v>45813</v>
      </c>
      <c r="B2182" s="8" t="s">
        <v>29</v>
      </c>
      <c r="C2182" s="9" t="n">
        <v>418</v>
      </c>
      <c r="D2182" s="8" t="s">
        <v>45</v>
      </c>
      <c r="E2182" s="10" t="s">
        <v>302</v>
      </c>
      <c r="F2182" s="8" t="str">
        <f aca="false">TEXT(A2182,"MM-YYYY")</f>
        <v>06-2025</v>
      </c>
      <c r="G2182" s="8" t="s">
        <v>14</v>
      </c>
      <c r="H2182" s="8" t="s">
        <v>232</v>
      </c>
      <c r="I2182" s="7" t="n">
        <v>45826</v>
      </c>
      <c r="J2182" s="8" t="str">
        <f aca="false">VLOOKUP(B2182, Table3[#All], 2, FALSE())</f>
        <v>Inventory</v>
      </c>
      <c r="K2182" s="8" t="str">
        <f aca="false">TEXT(ROW(), "0000")</f>
        <v>2182</v>
      </c>
      <c r="L2182" s="8"/>
    </row>
    <row r="2183" customFormat="false" ht="15.75" hidden="false" customHeight="true" outlineLevel="0" collapsed="false">
      <c r="A2183" s="7" t="n">
        <v>45813</v>
      </c>
      <c r="B2183" s="8" t="s">
        <v>40</v>
      </c>
      <c r="C2183" s="9" t="n">
        <v>2220</v>
      </c>
      <c r="D2183" s="8" t="s">
        <v>45</v>
      </c>
      <c r="E2183" s="10" t="s">
        <v>46</v>
      </c>
      <c r="F2183" s="8" t="str">
        <f aca="false">TEXT(A2183,"MM-YYYY")</f>
        <v>06-2025</v>
      </c>
      <c r="G2183" s="8" t="s">
        <v>14</v>
      </c>
      <c r="H2183" s="8" t="s">
        <v>232</v>
      </c>
      <c r="I2183" s="7" t="n">
        <v>45813</v>
      </c>
      <c r="J2183" s="8" t="str">
        <f aca="false">VLOOKUP(B2183, Table3[#All], 2, FALSE())</f>
        <v>Inventory</v>
      </c>
      <c r="K2183" s="8" t="str">
        <f aca="false">TEXT(ROW(), "0000")</f>
        <v>2183</v>
      </c>
      <c r="L2183" s="8"/>
    </row>
    <row r="2184" customFormat="false" ht="15.75" hidden="false" customHeight="true" outlineLevel="0" collapsed="false">
      <c r="A2184" s="7" t="n">
        <v>45813</v>
      </c>
      <c r="B2184" s="8" t="s">
        <v>31</v>
      </c>
      <c r="C2184" s="9" t="n">
        <v>310</v>
      </c>
      <c r="D2184" s="8" t="s">
        <v>45</v>
      </c>
      <c r="E2184" s="10" t="s">
        <v>236</v>
      </c>
      <c r="F2184" s="8" t="str">
        <f aca="false">TEXT(A2184,"MM-YYYY")</f>
        <v>06-2025</v>
      </c>
      <c r="G2184" s="8" t="s">
        <v>14</v>
      </c>
      <c r="H2184" s="8" t="s">
        <v>232</v>
      </c>
      <c r="I2184" s="7" t="n">
        <v>45813</v>
      </c>
      <c r="J2184" s="8" t="str">
        <f aca="false">VLOOKUP(B2184, Table3[#All], 2, FALSE())</f>
        <v>Bike Maintance</v>
      </c>
      <c r="K2184" s="8" t="str">
        <f aca="false">TEXT(ROW(), "0000")</f>
        <v>2184</v>
      </c>
      <c r="L2184" s="8"/>
    </row>
    <row r="2185" customFormat="false" ht="15.75" hidden="false" customHeight="true" outlineLevel="0" collapsed="false">
      <c r="A2185" s="7" t="n">
        <v>45813</v>
      </c>
      <c r="B2185" s="8" t="s">
        <v>25</v>
      </c>
      <c r="C2185" s="9" t="n">
        <v>888</v>
      </c>
      <c r="D2185" s="8" t="s">
        <v>13</v>
      </c>
      <c r="E2185" s="10" t="s">
        <v>26</v>
      </c>
      <c r="F2185" s="8" t="str">
        <f aca="false">TEXT(A2185,"MM-YYYY")</f>
        <v>06-2025</v>
      </c>
      <c r="G2185" s="21" t="s">
        <v>14</v>
      </c>
      <c r="H2185" s="8" t="s">
        <v>13</v>
      </c>
      <c r="I2185" s="7" t="n">
        <v>45854</v>
      </c>
      <c r="J2185" s="8" t="str">
        <f aca="false">VLOOKUP(B2185, Table3[#All], 2, FALSE())</f>
        <v>Inventory</v>
      </c>
      <c r="K2185" s="8" t="str">
        <f aca="false">TEXT(ROW(), "0000")</f>
        <v>2185</v>
      </c>
      <c r="L2185" s="8"/>
    </row>
    <row r="2186" customFormat="false" ht="15.75" hidden="false" customHeight="true" outlineLevel="0" collapsed="false">
      <c r="A2186" s="7" t="n">
        <v>45813</v>
      </c>
      <c r="B2186" s="8" t="s">
        <v>19</v>
      </c>
      <c r="C2186" s="9" t="n">
        <v>5777</v>
      </c>
      <c r="D2186" s="8" t="s">
        <v>13</v>
      </c>
      <c r="E2186" s="10" t="s">
        <v>20</v>
      </c>
      <c r="F2186" s="8" t="str">
        <f aca="false">TEXT(A2186,"MM-YYYY")</f>
        <v>06-2025</v>
      </c>
      <c r="G2186" s="8" t="s">
        <v>14</v>
      </c>
      <c r="H2186" s="8" t="s">
        <v>13</v>
      </c>
      <c r="I2186" s="7" t="n">
        <v>45818</v>
      </c>
      <c r="J2186" s="8" t="str">
        <f aca="false">VLOOKUP(B2186, Table3[#All], 2, FALSE())</f>
        <v>Inventory</v>
      </c>
      <c r="K2186" s="8" t="str">
        <f aca="false">TEXT(ROW(), "0000")</f>
        <v>2186</v>
      </c>
      <c r="L2186" s="8"/>
    </row>
    <row r="2187" customFormat="false" ht="15.75" hidden="false" customHeight="true" outlineLevel="0" collapsed="false">
      <c r="A2187" s="7" t="n">
        <v>45813</v>
      </c>
      <c r="B2187" s="8" t="s">
        <v>199</v>
      </c>
      <c r="C2187" s="9" t="n">
        <v>1370</v>
      </c>
      <c r="D2187" s="8" t="s">
        <v>13</v>
      </c>
      <c r="E2187" s="10" t="s">
        <v>296</v>
      </c>
      <c r="F2187" s="8" t="str">
        <f aca="false">TEXT(A2187,"MM-YYYY")</f>
        <v>06-2025</v>
      </c>
      <c r="G2187" s="8" t="s">
        <v>14</v>
      </c>
      <c r="H2187" s="8" t="s">
        <v>13</v>
      </c>
      <c r="I2187" s="7" t="n">
        <v>45812</v>
      </c>
      <c r="J2187" s="8" t="str">
        <f aca="false">VLOOKUP(B2187, Table3[#All], 2, FALSE())</f>
        <v>Fixed Maintance</v>
      </c>
      <c r="K2187" s="8" t="str">
        <f aca="false">TEXT(ROW(), "0000")</f>
        <v>2187</v>
      </c>
      <c r="L2187" s="8"/>
    </row>
    <row r="2188" customFormat="false" ht="15.75" hidden="false" customHeight="true" outlineLevel="0" collapsed="false">
      <c r="A2188" s="7" t="n">
        <v>45813</v>
      </c>
      <c r="B2188" s="8" t="s">
        <v>22</v>
      </c>
      <c r="C2188" s="9" t="n">
        <v>2200</v>
      </c>
      <c r="D2188" s="8" t="s">
        <v>13</v>
      </c>
      <c r="E2188" s="10" t="s">
        <v>23</v>
      </c>
      <c r="F2188" s="8" t="str">
        <f aca="false">TEXT(A2188,"MM-YYYY")</f>
        <v>06-2025</v>
      </c>
      <c r="G2188" s="8" t="s">
        <v>14</v>
      </c>
      <c r="H2188" s="8" t="s">
        <v>13</v>
      </c>
      <c r="I2188" s="7" t="n">
        <v>45818</v>
      </c>
      <c r="J2188" s="8" t="str">
        <f aca="false">VLOOKUP(B2188, Table3[#All], 2, FALSE())</f>
        <v>Inventory</v>
      </c>
      <c r="K2188" s="8" t="str">
        <f aca="false">TEXT(ROW(), "0000")</f>
        <v>2188</v>
      </c>
      <c r="L2188" s="8"/>
    </row>
    <row r="2189" customFormat="false" ht="15.75" hidden="false" customHeight="true" outlineLevel="0" collapsed="false">
      <c r="A2189" s="7" t="n">
        <v>45813</v>
      </c>
      <c r="B2189" s="8" t="s">
        <v>32</v>
      </c>
      <c r="C2189" s="9" t="n">
        <v>350</v>
      </c>
      <c r="D2189" s="8" t="s">
        <v>21</v>
      </c>
      <c r="E2189" s="10" t="s">
        <v>38</v>
      </c>
      <c r="F2189" s="8" t="str">
        <f aca="false">TEXT(A2189,"MM-YYYY")</f>
        <v>06-2025</v>
      </c>
      <c r="G2189" s="8" t="s">
        <v>14</v>
      </c>
      <c r="H2189" s="8" t="s">
        <v>232</v>
      </c>
      <c r="I2189" s="7" t="n">
        <v>45813</v>
      </c>
      <c r="J2189" s="8" t="str">
        <f aca="false">VLOOKUP(B2189, Table3[#All], 2, FALSE())</f>
        <v>Grocery</v>
      </c>
      <c r="K2189" s="8" t="str">
        <f aca="false">TEXT(ROW(), "0000")</f>
        <v>2189</v>
      </c>
      <c r="L2189" s="8"/>
    </row>
    <row r="2190" customFormat="false" ht="15.75" hidden="false" customHeight="true" outlineLevel="0" collapsed="false">
      <c r="A2190" s="7" t="n">
        <v>45813</v>
      </c>
      <c r="B2190" s="8" t="s">
        <v>53</v>
      </c>
      <c r="C2190" s="9" t="n">
        <v>1200</v>
      </c>
      <c r="D2190" s="8" t="s">
        <v>21</v>
      </c>
      <c r="E2190" s="10" t="s">
        <v>55</v>
      </c>
      <c r="F2190" s="8" t="str">
        <f aca="false">TEXT(A2190,"MM-YYYY")</f>
        <v>06-2025</v>
      </c>
      <c r="G2190" s="8" t="s">
        <v>14</v>
      </c>
      <c r="H2190" s="8" t="s">
        <v>15</v>
      </c>
      <c r="I2190" s="7" t="n">
        <v>45813</v>
      </c>
      <c r="J2190" s="8" t="str">
        <f aca="false">VLOOKUP(B2190, Table3[#All], 2, FALSE())</f>
        <v>Grocery</v>
      </c>
      <c r="K2190" s="8" t="str">
        <f aca="false">TEXT(ROW(), "0000")</f>
        <v>2190</v>
      </c>
      <c r="L2190" s="8"/>
    </row>
    <row r="2191" customFormat="false" ht="15.75" hidden="false" customHeight="true" outlineLevel="0" collapsed="false">
      <c r="A2191" s="7" t="n">
        <v>45813</v>
      </c>
      <c r="B2191" s="8" t="s">
        <v>50</v>
      </c>
      <c r="C2191" s="9" t="n">
        <v>1740</v>
      </c>
      <c r="D2191" s="8" t="s">
        <v>13</v>
      </c>
      <c r="E2191" s="10" t="s">
        <v>263</v>
      </c>
      <c r="F2191" s="8" t="str">
        <f aca="false">TEXT(A2191,"MM-YYYY")</f>
        <v>06-2025</v>
      </c>
      <c r="G2191" s="8" t="s">
        <v>14</v>
      </c>
      <c r="H2191" s="8" t="s">
        <v>13</v>
      </c>
      <c r="I2191" s="7" t="n">
        <v>45821</v>
      </c>
      <c r="J2191" s="8" t="str">
        <f aca="false">VLOOKUP(B2191, Table3[#All], 2, FALSE())</f>
        <v>Fixed Maintance</v>
      </c>
      <c r="K2191" s="8" t="str">
        <f aca="false">TEXT(ROW(), "0000")</f>
        <v>2191</v>
      </c>
      <c r="L2191" s="8"/>
    </row>
    <row r="2192" customFormat="false" ht="15.75" hidden="false" customHeight="true" outlineLevel="0" collapsed="false">
      <c r="A2192" s="7" t="n">
        <v>45813</v>
      </c>
      <c r="B2192" s="8" t="s">
        <v>69</v>
      </c>
      <c r="C2192" s="9" t="n">
        <v>1400</v>
      </c>
      <c r="D2192" s="8" t="s">
        <v>13</v>
      </c>
      <c r="E2192" s="8" t="s">
        <v>69</v>
      </c>
      <c r="F2192" s="8" t="str">
        <f aca="false">TEXT(A2192,"MM-YYYY")</f>
        <v>06-2025</v>
      </c>
      <c r="G2192" s="8" t="s">
        <v>14</v>
      </c>
      <c r="H2192" s="8" t="s">
        <v>262</v>
      </c>
      <c r="I2192" s="7" t="n">
        <v>45810</v>
      </c>
      <c r="J2192" s="8" t="str">
        <f aca="false">VLOOKUP(B2192, Table3[#All], 2, FALSE())</f>
        <v>Fixed Maintance</v>
      </c>
      <c r="K2192" s="8" t="str">
        <f aca="false">TEXT(ROW(), "0000")</f>
        <v>2192</v>
      </c>
      <c r="L2192" s="8"/>
    </row>
    <row r="2193" customFormat="false" ht="15.75" hidden="false" customHeight="true" outlineLevel="0" collapsed="false">
      <c r="A2193" s="7" t="n">
        <v>45813</v>
      </c>
      <c r="B2193" s="8" t="s">
        <v>43</v>
      </c>
      <c r="C2193" s="9" t="n">
        <v>2000</v>
      </c>
      <c r="D2193" s="8" t="s">
        <v>13</v>
      </c>
      <c r="E2193" s="8" t="s">
        <v>214</v>
      </c>
      <c r="F2193" s="8" t="str">
        <f aca="false">TEXT(A2193,"MM-YYYY")</f>
        <v>06-2025</v>
      </c>
      <c r="G2193" s="8" t="s">
        <v>14</v>
      </c>
      <c r="H2193" s="8" t="s">
        <v>262</v>
      </c>
      <c r="I2193" s="7" t="n">
        <v>45813</v>
      </c>
      <c r="J2193" s="8" t="str">
        <f aca="false">VLOOKUP(B2193, Table3[#All], 2, FALSE())</f>
        <v>Maintance</v>
      </c>
      <c r="K2193" s="8" t="str">
        <f aca="false">TEXT(ROW(), "0000")</f>
        <v>2193</v>
      </c>
      <c r="L2193" s="8"/>
    </row>
    <row r="2194" customFormat="false" ht="15.75" hidden="false" customHeight="true" outlineLevel="0" collapsed="false">
      <c r="A2194" s="7" t="n">
        <v>45813</v>
      </c>
      <c r="B2194" s="8" t="s">
        <v>16</v>
      </c>
      <c r="C2194" s="9" t="n">
        <v>3230</v>
      </c>
      <c r="D2194" s="8" t="s">
        <v>21</v>
      </c>
      <c r="E2194" s="10" t="s">
        <v>88</v>
      </c>
      <c r="F2194" s="8" t="str">
        <f aca="false">TEXT(A2194,"MM-YYYY")</f>
        <v>06-2025</v>
      </c>
      <c r="G2194" s="8"/>
      <c r="H2194" s="8"/>
      <c r="I2194" s="7"/>
      <c r="J2194" s="8" t="str">
        <f aca="false">VLOOKUP(B2194, Table3[#All], 2, FALSE())</f>
        <v>Sales</v>
      </c>
      <c r="K2194" s="8" t="str">
        <f aca="false">TEXT(ROW(), "0000")</f>
        <v>2194</v>
      </c>
      <c r="L2194" s="8"/>
    </row>
    <row r="2195" customFormat="false" ht="15.75" hidden="false" customHeight="true" outlineLevel="0" collapsed="false">
      <c r="A2195" s="7" t="n">
        <v>45813</v>
      </c>
      <c r="B2195" s="8" t="s">
        <v>16</v>
      </c>
      <c r="C2195" s="9" t="n">
        <v>430</v>
      </c>
      <c r="D2195" s="8" t="s">
        <v>27</v>
      </c>
      <c r="E2195" s="10" t="s">
        <v>88</v>
      </c>
      <c r="F2195" s="8" t="str">
        <f aca="false">TEXT(A2195,"MM-YYYY")</f>
        <v>06-2025</v>
      </c>
      <c r="G2195" s="8"/>
      <c r="H2195" s="8"/>
      <c r="I2195" s="7"/>
      <c r="J2195" s="8" t="str">
        <f aca="false">VLOOKUP(B2195, Table3[#All], 2, FALSE())</f>
        <v>Sales</v>
      </c>
      <c r="K2195" s="8" t="str">
        <f aca="false">TEXT(ROW(), "0000")</f>
        <v>2195</v>
      </c>
      <c r="L2195" s="8"/>
    </row>
    <row r="2196" customFormat="false" ht="15.75" hidden="false" customHeight="true" outlineLevel="0" collapsed="false">
      <c r="A2196" s="7" t="n">
        <v>45813</v>
      </c>
      <c r="B2196" s="8" t="s">
        <v>16</v>
      </c>
      <c r="C2196" s="9" t="n">
        <v>1540</v>
      </c>
      <c r="D2196" s="8" t="s">
        <v>33</v>
      </c>
      <c r="E2196" s="10" t="s">
        <v>88</v>
      </c>
      <c r="F2196" s="8" t="str">
        <f aca="false">TEXT(A2196,"MM-YYYY")</f>
        <v>06-2025</v>
      </c>
      <c r="G2196" s="8"/>
      <c r="H2196" s="8"/>
      <c r="I2196" s="7"/>
      <c r="J2196" s="8" t="str">
        <f aca="false">VLOOKUP(B2196, Table3[#All], 2, FALSE())</f>
        <v>Sales</v>
      </c>
      <c r="K2196" s="8" t="str">
        <f aca="false">TEXT(ROW(), "0000")</f>
        <v>2196</v>
      </c>
      <c r="L2196" s="8"/>
    </row>
    <row r="2197" customFormat="false" ht="15.75" hidden="false" customHeight="true" outlineLevel="0" collapsed="false">
      <c r="A2197" s="7" t="n">
        <v>45813</v>
      </c>
      <c r="B2197" s="8" t="s">
        <v>16</v>
      </c>
      <c r="C2197" s="9" t="n">
        <v>22272</v>
      </c>
      <c r="D2197" s="8" t="s">
        <v>17</v>
      </c>
      <c r="E2197" s="10" t="s">
        <v>88</v>
      </c>
      <c r="F2197" s="8" t="str">
        <f aca="false">TEXT(A2197,"MM-YYYY")</f>
        <v>06-2025</v>
      </c>
      <c r="G2197" s="8"/>
      <c r="H2197" s="8"/>
      <c r="I2197" s="7"/>
      <c r="J2197" s="8" t="str">
        <f aca="false">VLOOKUP(B2197, Table3[#All], 2, FALSE())</f>
        <v>Sales</v>
      </c>
      <c r="K2197" s="8" t="str">
        <f aca="false">TEXT(ROW(), "0000")</f>
        <v>2197</v>
      </c>
      <c r="L2197" s="8"/>
    </row>
    <row r="2198" customFormat="false" ht="15.75" hidden="false" customHeight="true" outlineLevel="0" collapsed="false">
      <c r="A2198" s="7" t="n">
        <v>45813</v>
      </c>
      <c r="B2198" s="8" t="s">
        <v>16</v>
      </c>
      <c r="C2198" s="9" t="n">
        <v>1570</v>
      </c>
      <c r="D2198" s="8" t="s">
        <v>24</v>
      </c>
      <c r="E2198" s="10" t="s">
        <v>217</v>
      </c>
      <c r="F2198" s="8" t="str">
        <f aca="false">TEXT(A2198,"MM-YYYY")</f>
        <v>06-2025</v>
      </c>
      <c r="G2198" s="8"/>
      <c r="H2198" s="8"/>
      <c r="I2198" s="7"/>
      <c r="J2198" s="8" t="str">
        <f aca="false">VLOOKUP(B2198, Table3[#All], 2, FALSE())</f>
        <v>Sales</v>
      </c>
      <c r="K2198" s="8" t="str">
        <f aca="false">TEXT(ROW(), "0000")</f>
        <v>2198</v>
      </c>
      <c r="L2198" s="8"/>
    </row>
    <row r="2199" customFormat="false" ht="15.75" hidden="false" customHeight="true" outlineLevel="0" collapsed="false">
      <c r="A2199" s="7" t="n">
        <v>45813</v>
      </c>
      <c r="B2199" s="8" t="s">
        <v>34</v>
      </c>
      <c r="C2199" s="9" t="n">
        <v>150</v>
      </c>
      <c r="D2199" s="8" t="s">
        <v>45</v>
      </c>
      <c r="E2199" s="10" t="s">
        <v>274</v>
      </c>
      <c r="F2199" s="8" t="str">
        <f aca="false">TEXT(A2199,"MM-YYYY")</f>
        <v>06-2025</v>
      </c>
      <c r="G2199" s="8" t="s">
        <v>14</v>
      </c>
      <c r="H2199" s="8" t="s">
        <v>232</v>
      </c>
      <c r="I2199" s="7" t="n">
        <v>45813</v>
      </c>
      <c r="J2199" s="8" t="str">
        <f aca="false">VLOOKUP(B2199, Table3[#All], 2, FALSE())</f>
        <v>Staff Expenses</v>
      </c>
      <c r="K2199" s="8" t="str">
        <f aca="false">TEXT(ROW(), "0000")</f>
        <v>2199</v>
      </c>
      <c r="L2199" s="8"/>
    </row>
    <row r="2200" customFormat="false" ht="15.75" hidden="false" customHeight="true" outlineLevel="0" collapsed="false">
      <c r="A2200" s="7" t="n">
        <v>45813</v>
      </c>
      <c r="B2200" s="8" t="s">
        <v>29</v>
      </c>
      <c r="C2200" s="9" t="n">
        <v>60</v>
      </c>
      <c r="D2200" s="8" t="s">
        <v>45</v>
      </c>
      <c r="E2200" s="10" t="s">
        <v>41</v>
      </c>
      <c r="F2200" s="8" t="str">
        <f aca="false">TEXT(A2200,"MM-YYYY")</f>
        <v>06-2025</v>
      </c>
      <c r="G2200" s="8" t="s">
        <v>14</v>
      </c>
      <c r="H2200" s="8" t="s">
        <v>232</v>
      </c>
      <c r="I2200" s="7" t="n">
        <v>45813</v>
      </c>
      <c r="J2200" s="8" t="str">
        <f aca="false">VLOOKUP(B2200, Table3[#All], 2, FALSE())</f>
        <v>Inventory</v>
      </c>
      <c r="K2200" s="8" t="str">
        <f aca="false">TEXT(ROW(), "0000")</f>
        <v>2200</v>
      </c>
      <c r="L2200" s="8"/>
    </row>
    <row r="2201" customFormat="false" ht="15.75" hidden="false" customHeight="true" outlineLevel="0" collapsed="false">
      <c r="A2201" s="7" t="n">
        <v>45813</v>
      </c>
      <c r="B2201" s="8" t="s">
        <v>16</v>
      </c>
      <c r="C2201" s="9" t="n">
        <v>260</v>
      </c>
      <c r="D2201" s="8" t="s">
        <v>70</v>
      </c>
      <c r="E2201" s="10" t="s">
        <v>336</v>
      </c>
      <c r="F2201" s="8" t="str">
        <f aca="false">TEXT(A2201,"MM-YYYY")</f>
        <v>06-2025</v>
      </c>
      <c r="G2201" s="8"/>
      <c r="H2201" s="8"/>
      <c r="I2201" s="7"/>
      <c r="J2201" s="8" t="str">
        <f aca="false">VLOOKUP(B2201, Table3[#All], 2, FALSE())</f>
        <v>Sales</v>
      </c>
      <c r="K2201" s="8" t="str">
        <f aca="false">TEXT(ROW(), "0000")</f>
        <v>2201</v>
      </c>
      <c r="L2201" s="8"/>
    </row>
    <row r="2202" customFormat="false" ht="15.75" hidden="false" customHeight="true" outlineLevel="0" collapsed="false">
      <c r="A2202" s="7" t="n">
        <v>45813</v>
      </c>
      <c r="B2202" s="8" t="s">
        <v>37</v>
      </c>
      <c r="C2202" s="9" t="n">
        <v>20</v>
      </c>
      <c r="D2202" s="8" t="s">
        <v>21</v>
      </c>
      <c r="E2202" s="10" t="s">
        <v>37</v>
      </c>
      <c r="F2202" s="8" t="str">
        <f aca="false">TEXT(A2202,"MM-YYYY")</f>
        <v>06-2025</v>
      </c>
      <c r="G2202" s="8" t="s">
        <v>14</v>
      </c>
      <c r="H2202" s="8" t="s">
        <v>15</v>
      </c>
      <c r="I2202" s="7" t="n">
        <v>45813</v>
      </c>
      <c r="J2202" s="8" t="str">
        <f aca="false">VLOOKUP(B2202, Table3[#All], 2, FALSE())</f>
        <v>Maintance</v>
      </c>
      <c r="K2202" s="8" t="str">
        <f aca="false">TEXT(ROW(), "0000")</f>
        <v>2202</v>
      </c>
      <c r="L2202" s="8"/>
    </row>
    <row r="2203" customFormat="false" ht="15.75" hidden="false" customHeight="true" outlineLevel="0" collapsed="false">
      <c r="A2203" s="7" t="n">
        <v>45814</v>
      </c>
      <c r="B2203" s="8" t="s">
        <v>47</v>
      </c>
      <c r="C2203" s="9" t="n">
        <v>840</v>
      </c>
      <c r="D2203" s="8" t="s">
        <v>13</v>
      </c>
      <c r="E2203" s="10" t="s">
        <v>223</v>
      </c>
      <c r="F2203" s="8" t="str">
        <f aca="false">TEXT(A2203,"MM-YYYY")</f>
        <v>06-2025</v>
      </c>
      <c r="G2203" s="8" t="s">
        <v>14</v>
      </c>
      <c r="H2203" s="8" t="s">
        <v>13</v>
      </c>
      <c r="I2203" s="7" t="n">
        <v>45825</v>
      </c>
      <c r="J2203" s="8" t="str">
        <f aca="false">VLOOKUP(B2203, Table3[#All], 2, FALSE())</f>
        <v>Inventory</v>
      </c>
      <c r="K2203" s="8" t="str">
        <f aca="false">TEXT(ROW(), "0000")</f>
        <v>2203</v>
      </c>
      <c r="L2203" s="8"/>
    </row>
    <row r="2204" customFormat="false" ht="15.75" hidden="false" customHeight="true" outlineLevel="0" collapsed="false">
      <c r="A2204" s="7" t="n">
        <v>45814</v>
      </c>
      <c r="B2204" s="8" t="s">
        <v>22</v>
      </c>
      <c r="C2204" s="9" t="n">
        <v>5790</v>
      </c>
      <c r="D2204" s="8" t="s">
        <v>13</v>
      </c>
      <c r="E2204" s="10" t="s">
        <v>23</v>
      </c>
      <c r="F2204" s="8" t="str">
        <f aca="false">TEXT(A2204,"MM-YYYY")</f>
        <v>06-2025</v>
      </c>
      <c r="G2204" s="8" t="s">
        <v>14</v>
      </c>
      <c r="H2204" s="8" t="s">
        <v>13</v>
      </c>
      <c r="I2204" s="7" t="n">
        <v>45821</v>
      </c>
      <c r="J2204" s="8" t="str">
        <f aca="false">VLOOKUP(B2204, Table3[#All], 2, FALSE())</f>
        <v>Inventory</v>
      </c>
      <c r="K2204" s="8" t="str">
        <f aca="false">TEXT(ROW(), "0000")</f>
        <v>2204</v>
      </c>
      <c r="L2204" s="8"/>
    </row>
    <row r="2205" customFormat="false" ht="15.75" hidden="false" customHeight="true" outlineLevel="0" collapsed="false">
      <c r="A2205" s="7" t="n">
        <v>45814</v>
      </c>
      <c r="B2205" s="8" t="s">
        <v>19</v>
      </c>
      <c r="C2205" s="9" t="n">
        <v>7183</v>
      </c>
      <c r="D2205" s="8" t="s">
        <v>13</v>
      </c>
      <c r="E2205" s="10" t="s">
        <v>20</v>
      </c>
      <c r="F2205" s="8" t="str">
        <f aca="false">TEXT(A2205,"MM-YYYY")</f>
        <v>06-2025</v>
      </c>
      <c r="G2205" s="8" t="s">
        <v>14</v>
      </c>
      <c r="H2205" s="8" t="s">
        <v>13</v>
      </c>
      <c r="I2205" s="7" t="n">
        <v>45818</v>
      </c>
      <c r="J2205" s="8" t="str">
        <f aca="false">VLOOKUP(B2205, Table3[#All], 2, FALSE())</f>
        <v>Inventory</v>
      </c>
      <c r="K2205" s="8" t="str">
        <f aca="false">TEXT(ROW(), "0000")</f>
        <v>2205</v>
      </c>
      <c r="L2205" s="8"/>
    </row>
    <row r="2206" customFormat="false" ht="15.75" hidden="false" customHeight="true" outlineLevel="0" collapsed="false">
      <c r="A2206" s="7" t="n">
        <v>45814</v>
      </c>
      <c r="B2206" s="8" t="s">
        <v>29</v>
      </c>
      <c r="C2206" s="9" t="n">
        <v>120</v>
      </c>
      <c r="D2206" s="8" t="s">
        <v>45</v>
      </c>
      <c r="E2206" s="10" t="s">
        <v>337</v>
      </c>
      <c r="F2206" s="8" t="str">
        <f aca="false">TEXT(A2206,"MM-YYYY")</f>
        <v>06-2025</v>
      </c>
      <c r="G2206" s="8" t="s">
        <v>14</v>
      </c>
      <c r="H2206" s="8" t="s">
        <v>232</v>
      </c>
      <c r="I2206" s="7" t="n">
        <v>45813</v>
      </c>
      <c r="J2206" s="8" t="str">
        <f aca="false">VLOOKUP(B2206, Table3[#All], 2, FALSE())</f>
        <v>Inventory</v>
      </c>
      <c r="K2206" s="8" t="str">
        <f aca="false">TEXT(ROW(), "0000")</f>
        <v>2206</v>
      </c>
      <c r="L2206" s="8"/>
    </row>
    <row r="2207" customFormat="false" ht="15.75" hidden="false" customHeight="true" outlineLevel="0" collapsed="false">
      <c r="A2207" s="7" t="n">
        <v>45814</v>
      </c>
      <c r="B2207" s="8" t="s">
        <v>22</v>
      </c>
      <c r="C2207" s="9" t="n">
        <v>700</v>
      </c>
      <c r="D2207" s="8" t="s">
        <v>45</v>
      </c>
      <c r="E2207" s="10" t="s">
        <v>325</v>
      </c>
      <c r="F2207" s="8" t="str">
        <f aca="false">TEXT(A2207,"MM-YYYY")</f>
        <v>06-2025</v>
      </c>
      <c r="G2207" s="8" t="s">
        <v>14</v>
      </c>
      <c r="H2207" s="8" t="s">
        <v>232</v>
      </c>
      <c r="I2207" s="7" t="n">
        <v>45813</v>
      </c>
      <c r="J2207" s="8" t="str">
        <f aca="false">VLOOKUP(B2207, Table3[#All], 2, FALSE())</f>
        <v>Inventory</v>
      </c>
      <c r="K2207" s="8" t="str">
        <f aca="false">TEXT(ROW(), "0000")</f>
        <v>2207</v>
      </c>
      <c r="L2207" s="8"/>
    </row>
    <row r="2208" customFormat="false" ht="15.75" hidden="false" customHeight="true" outlineLevel="0" collapsed="false">
      <c r="A2208" s="7" t="n">
        <v>45814</v>
      </c>
      <c r="B2208" s="8" t="s">
        <v>51</v>
      </c>
      <c r="C2208" s="9" t="n">
        <v>3340</v>
      </c>
      <c r="D2208" s="8" t="s">
        <v>13</v>
      </c>
      <c r="E2208" s="10" t="s">
        <v>226</v>
      </c>
      <c r="F2208" s="8" t="str">
        <f aca="false">TEXT(A2208,"MM-YYYY")</f>
        <v>06-2025</v>
      </c>
      <c r="G2208" s="8" t="s">
        <v>14</v>
      </c>
      <c r="H2208" s="8" t="s">
        <v>13</v>
      </c>
      <c r="I2208" s="7" t="n">
        <v>45837</v>
      </c>
      <c r="J2208" s="8" t="str">
        <f aca="false">VLOOKUP(B2208, Table3[#All], 2, FALSE())</f>
        <v>Inventory</v>
      </c>
      <c r="K2208" s="8" t="str">
        <f aca="false">TEXT(ROW(), "0000")</f>
        <v>2208</v>
      </c>
      <c r="L2208" s="8"/>
    </row>
    <row r="2209" customFormat="false" ht="15.75" hidden="false" customHeight="true" outlineLevel="0" collapsed="false">
      <c r="A2209" s="7" t="n">
        <v>45814</v>
      </c>
      <c r="B2209" s="8" t="s">
        <v>25</v>
      </c>
      <c r="C2209" s="9" t="n">
        <v>1002</v>
      </c>
      <c r="D2209" s="8" t="s">
        <v>13</v>
      </c>
      <c r="E2209" s="10" t="s">
        <v>26</v>
      </c>
      <c r="F2209" s="8" t="str">
        <f aca="false">TEXT(A2209,"MM-YYYY")</f>
        <v>06-2025</v>
      </c>
      <c r="G2209" s="8" t="s">
        <v>14</v>
      </c>
      <c r="H2209" s="8" t="s">
        <v>13</v>
      </c>
      <c r="I2209" s="7" t="n">
        <v>45854</v>
      </c>
      <c r="J2209" s="8" t="str">
        <f aca="false">VLOOKUP(B2209, Table3[#All], 2, FALSE())</f>
        <v>Inventory</v>
      </c>
      <c r="K2209" s="8" t="str">
        <f aca="false">TEXT(ROW(), "0000")</f>
        <v>2209</v>
      </c>
      <c r="L2209" s="8"/>
    </row>
    <row r="2210" customFormat="false" ht="15.75" hidden="false" customHeight="true" outlineLevel="0" collapsed="false">
      <c r="A2210" s="7" t="n">
        <v>45814</v>
      </c>
      <c r="B2210" s="8" t="s">
        <v>32</v>
      </c>
      <c r="C2210" s="9" t="n">
        <v>350</v>
      </c>
      <c r="D2210" s="8" t="s">
        <v>21</v>
      </c>
      <c r="E2210" s="10" t="s">
        <v>38</v>
      </c>
      <c r="F2210" s="8" t="str">
        <f aca="false">TEXT(A2210,"MM-YYYY")</f>
        <v>06-2025</v>
      </c>
      <c r="G2210" s="8" t="s">
        <v>14</v>
      </c>
      <c r="H2210" s="8" t="s">
        <v>15</v>
      </c>
      <c r="I2210" s="7" t="n">
        <v>45814</v>
      </c>
      <c r="J2210" s="8" t="str">
        <f aca="false">VLOOKUP(B2210, Table3[#All], 2, FALSE())</f>
        <v>Grocery</v>
      </c>
      <c r="K2210" s="8" t="str">
        <f aca="false">TEXT(ROW(), "0000")</f>
        <v>2210</v>
      </c>
      <c r="L2210" s="8"/>
    </row>
    <row r="2211" customFormat="false" ht="15.75" hidden="false" customHeight="true" outlineLevel="0" collapsed="false">
      <c r="A2211" s="7" t="n">
        <v>45814</v>
      </c>
      <c r="B2211" s="8" t="s">
        <v>29</v>
      </c>
      <c r="C2211" s="9" t="n">
        <v>792</v>
      </c>
      <c r="D2211" s="8" t="s">
        <v>45</v>
      </c>
      <c r="E2211" s="10" t="s">
        <v>302</v>
      </c>
      <c r="F2211" s="8" t="str">
        <f aca="false">TEXT(A2211,"MM-YYYY")</f>
        <v>06-2025</v>
      </c>
      <c r="G2211" s="8" t="s">
        <v>14</v>
      </c>
      <c r="H2211" s="8" t="s">
        <v>232</v>
      </c>
      <c r="I2211" s="7" t="n">
        <v>45826</v>
      </c>
      <c r="J2211" s="8" t="str">
        <f aca="false">VLOOKUP(B2211, Table3[#All], 2, FALSE())</f>
        <v>Inventory</v>
      </c>
      <c r="K2211" s="8" t="str">
        <f aca="false">TEXT(ROW(), "0000")</f>
        <v>2211</v>
      </c>
      <c r="L2211" s="8"/>
    </row>
    <row r="2212" customFormat="false" ht="15.75" hidden="false" customHeight="true" outlineLevel="0" collapsed="false">
      <c r="A2212" s="7" t="n">
        <v>45814</v>
      </c>
      <c r="B2212" s="8" t="s">
        <v>44</v>
      </c>
      <c r="C2212" s="9" t="n">
        <v>1200</v>
      </c>
      <c r="D2212" s="8" t="s">
        <v>21</v>
      </c>
      <c r="E2212" s="10" t="s">
        <v>338</v>
      </c>
      <c r="F2212" s="8" t="str">
        <f aca="false">TEXT(A2212,"MM-YYYY")</f>
        <v>06-2025</v>
      </c>
      <c r="G2212" s="8" t="s">
        <v>14</v>
      </c>
      <c r="H2212" s="8" t="s">
        <v>15</v>
      </c>
      <c r="I2212" s="7" t="n">
        <v>45814</v>
      </c>
      <c r="J2212" s="8" t="str">
        <f aca="false">VLOOKUP(B2212, Table3[#All], 2, FALSE())</f>
        <v>Salary</v>
      </c>
      <c r="K2212" s="8" t="str">
        <f aca="false">TEXT(ROW(), "0000")</f>
        <v>2212</v>
      </c>
      <c r="L2212" s="8"/>
    </row>
    <row r="2213" customFormat="false" ht="15.75" hidden="false" customHeight="true" outlineLevel="0" collapsed="false">
      <c r="A2213" s="7" t="n">
        <v>45814</v>
      </c>
      <c r="B2213" s="8" t="s">
        <v>28</v>
      </c>
      <c r="C2213" s="9" t="n">
        <v>1070</v>
      </c>
      <c r="D2213" s="8" t="s">
        <v>21</v>
      </c>
      <c r="E2213" s="10" t="s">
        <v>93</v>
      </c>
      <c r="F2213" s="8" t="str">
        <f aca="false">TEXT(A2213,"MM-YYYY")</f>
        <v>06-2025</v>
      </c>
      <c r="G2213" s="8" t="s">
        <v>14</v>
      </c>
      <c r="H2213" s="8" t="s">
        <v>15</v>
      </c>
      <c r="I2213" s="7" t="n">
        <v>45814</v>
      </c>
      <c r="J2213" s="8" t="str">
        <f aca="false">VLOOKUP(B2213, Table3[#All], 2, FALSE())</f>
        <v>Grocery</v>
      </c>
      <c r="K2213" s="8" t="str">
        <f aca="false">TEXT(ROW(), "0000")</f>
        <v>2213</v>
      </c>
      <c r="L2213" s="8"/>
    </row>
    <row r="2214" customFormat="false" ht="15.75" hidden="false" customHeight="true" outlineLevel="0" collapsed="false">
      <c r="A2214" s="7" t="n">
        <v>45814</v>
      </c>
      <c r="B2214" s="8" t="s">
        <v>44</v>
      </c>
      <c r="C2214" s="9" t="n">
        <v>6000</v>
      </c>
      <c r="D2214" s="8" t="s">
        <v>13</v>
      </c>
      <c r="E2214" s="10" t="s">
        <v>85</v>
      </c>
      <c r="F2214" s="8" t="str">
        <f aca="false">TEXT(A2214,"MM-YYYY")</f>
        <v>06-2025</v>
      </c>
      <c r="G2214" s="8" t="s">
        <v>14</v>
      </c>
      <c r="H2214" s="8" t="s">
        <v>232</v>
      </c>
      <c r="I2214" s="7" t="n">
        <v>45814</v>
      </c>
      <c r="J2214" s="8" t="str">
        <f aca="false">VLOOKUP(B2214, Table3[#All], 2, FALSE())</f>
        <v>Salary</v>
      </c>
      <c r="K2214" s="8" t="str">
        <f aca="false">TEXT(ROW(), "0000")</f>
        <v>2214</v>
      </c>
      <c r="L2214" s="8"/>
    </row>
    <row r="2215" customFormat="false" ht="15.75" hidden="false" customHeight="true" outlineLevel="0" collapsed="false">
      <c r="A2215" s="7" t="n">
        <v>45814</v>
      </c>
      <c r="B2215" s="8" t="s">
        <v>16</v>
      </c>
      <c r="C2215" s="9" t="n">
        <v>2865</v>
      </c>
      <c r="D2215" s="8" t="s">
        <v>21</v>
      </c>
      <c r="E2215" s="10" t="s">
        <v>88</v>
      </c>
      <c r="F2215" s="8" t="str">
        <f aca="false">TEXT(A2215,"MM-YYYY")</f>
        <v>06-2025</v>
      </c>
      <c r="G2215" s="8"/>
      <c r="H2215" s="8"/>
      <c r="I2215" s="7"/>
      <c r="J2215" s="8" t="str">
        <f aca="false">VLOOKUP(B2215, Table3[#All], 2, FALSE())</f>
        <v>Sales</v>
      </c>
      <c r="K2215" s="8" t="str">
        <f aca="false">TEXT(ROW(), "0000")</f>
        <v>2215</v>
      </c>
      <c r="L2215" s="8"/>
    </row>
    <row r="2216" customFormat="false" ht="15.75" hidden="false" customHeight="true" outlineLevel="0" collapsed="false">
      <c r="A2216" s="7" t="n">
        <v>45814</v>
      </c>
      <c r="B2216" s="8" t="s">
        <v>16</v>
      </c>
      <c r="C2216" s="9" t="n">
        <v>1565</v>
      </c>
      <c r="D2216" s="8" t="s">
        <v>27</v>
      </c>
      <c r="E2216" s="10" t="s">
        <v>88</v>
      </c>
      <c r="F2216" s="8" t="str">
        <f aca="false">TEXT(A2216,"MM-YYYY")</f>
        <v>06-2025</v>
      </c>
      <c r="G2216" s="8"/>
      <c r="H2216" s="8"/>
      <c r="I2216" s="7"/>
      <c r="J2216" s="8" t="str">
        <f aca="false">VLOOKUP(B2216, Table3[#All], 2, FALSE())</f>
        <v>Sales</v>
      </c>
      <c r="K2216" s="8" t="str">
        <f aca="false">TEXT(ROW(), "0000")</f>
        <v>2216</v>
      </c>
      <c r="L2216" s="8"/>
    </row>
    <row r="2217" customFormat="false" ht="15.75" hidden="false" customHeight="true" outlineLevel="0" collapsed="false">
      <c r="A2217" s="7" t="n">
        <v>45814</v>
      </c>
      <c r="B2217" s="8" t="s">
        <v>16</v>
      </c>
      <c r="C2217" s="9" t="n">
        <v>1740</v>
      </c>
      <c r="D2217" s="8" t="s">
        <v>33</v>
      </c>
      <c r="E2217" s="10" t="s">
        <v>88</v>
      </c>
      <c r="F2217" s="8" t="str">
        <f aca="false">TEXT(A2217,"MM-YYYY")</f>
        <v>06-2025</v>
      </c>
      <c r="G2217" s="8"/>
      <c r="H2217" s="8"/>
      <c r="I2217" s="7"/>
      <c r="J2217" s="8" t="str">
        <f aca="false">VLOOKUP(B2217, Table3[#All], 2, FALSE())</f>
        <v>Sales</v>
      </c>
      <c r="K2217" s="8" t="str">
        <f aca="false">TEXT(ROW(), "0000")</f>
        <v>2217</v>
      </c>
      <c r="L2217" s="8"/>
    </row>
    <row r="2218" customFormat="false" ht="15.75" hidden="false" customHeight="true" outlineLevel="0" collapsed="false">
      <c r="A2218" s="7" t="n">
        <v>45814</v>
      </c>
      <c r="B2218" s="8" t="s">
        <v>16</v>
      </c>
      <c r="C2218" s="9" t="n">
        <v>15048</v>
      </c>
      <c r="D2218" s="8" t="s">
        <v>17</v>
      </c>
      <c r="E2218" s="10" t="s">
        <v>88</v>
      </c>
      <c r="F2218" s="8" t="str">
        <f aca="false">TEXT(A2218,"MM-YYYY")</f>
        <v>06-2025</v>
      </c>
      <c r="G2218" s="8"/>
      <c r="H2218" s="8"/>
      <c r="I2218" s="7"/>
      <c r="J2218" s="8" t="str">
        <f aca="false">VLOOKUP(B2218, Table3[#All], 2, FALSE())</f>
        <v>Sales</v>
      </c>
      <c r="K2218" s="8" t="str">
        <f aca="false">TEXT(ROW(), "0000")</f>
        <v>2218</v>
      </c>
      <c r="L2218" s="8"/>
    </row>
    <row r="2219" customFormat="false" ht="15.75" hidden="false" customHeight="true" outlineLevel="0" collapsed="false">
      <c r="A2219" s="7" t="n">
        <v>45814</v>
      </c>
      <c r="B2219" s="8" t="s">
        <v>16</v>
      </c>
      <c r="C2219" s="9" t="n">
        <v>6497</v>
      </c>
      <c r="D2219" s="8" t="s">
        <v>24</v>
      </c>
      <c r="E2219" s="10" t="s">
        <v>217</v>
      </c>
      <c r="F2219" s="8" t="str">
        <f aca="false">TEXT(A2219,"MM-YYYY")</f>
        <v>06-2025</v>
      </c>
      <c r="G2219" s="8"/>
      <c r="H2219" s="8"/>
      <c r="I2219" s="7"/>
      <c r="J2219" s="8" t="str">
        <f aca="false">VLOOKUP(B2219, Table3[#All], 2, FALSE())</f>
        <v>Sales</v>
      </c>
      <c r="K2219" s="8" t="str">
        <f aca="false">TEXT(ROW(), "0000")</f>
        <v>2219</v>
      </c>
      <c r="L2219" s="8"/>
    </row>
    <row r="2220" customFormat="false" ht="15.75" hidden="false" customHeight="true" outlineLevel="0" collapsed="false">
      <c r="A2220" s="7" t="n">
        <v>45814</v>
      </c>
      <c r="B2220" s="8" t="s">
        <v>34</v>
      </c>
      <c r="C2220" s="9" t="n">
        <v>125</v>
      </c>
      <c r="D2220" s="8" t="s">
        <v>45</v>
      </c>
      <c r="E2220" s="10" t="s">
        <v>274</v>
      </c>
      <c r="F2220" s="8" t="str">
        <f aca="false">TEXT(A2220,"MM-YYYY")</f>
        <v>06-2025</v>
      </c>
      <c r="G2220" s="8" t="s">
        <v>14</v>
      </c>
      <c r="H2220" s="8" t="s">
        <v>232</v>
      </c>
      <c r="I2220" s="7" t="n">
        <v>45814</v>
      </c>
      <c r="J2220" s="8" t="str">
        <f aca="false">VLOOKUP(B2220, Table3[#All], 2, FALSE())</f>
        <v>Staff Expenses</v>
      </c>
      <c r="K2220" s="8" t="str">
        <f aca="false">TEXT(ROW(), "0000")</f>
        <v>2220</v>
      </c>
      <c r="L2220" s="8"/>
    </row>
    <row r="2221" customFormat="false" ht="15.75" hidden="false" customHeight="true" outlineLevel="0" collapsed="false">
      <c r="A2221" s="7" t="n">
        <v>45814</v>
      </c>
      <c r="B2221" s="8" t="s">
        <v>29</v>
      </c>
      <c r="C2221" s="9" t="n">
        <v>100</v>
      </c>
      <c r="D2221" s="8" t="s">
        <v>45</v>
      </c>
      <c r="E2221" s="10" t="s">
        <v>41</v>
      </c>
      <c r="F2221" s="8" t="str">
        <f aca="false">TEXT(A2221,"MM-YYYY")</f>
        <v>06-2025</v>
      </c>
      <c r="G2221" s="8" t="s">
        <v>14</v>
      </c>
      <c r="H2221" s="8" t="s">
        <v>232</v>
      </c>
      <c r="I2221" s="7" t="n">
        <v>45814</v>
      </c>
      <c r="J2221" s="8" t="str">
        <f aca="false">VLOOKUP(B2221, Table3[#All], 2, FALSE())</f>
        <v>Inventory</v>
      </c>
      <c r="K2221" s="8" t="str">
        <f aca="false">TEXT(ROW(), "0000")</f>
        <v>2221</v>
      </c>
      <c r="L2221" s="8"/>
    </row>
    <row r="2222" customFormat="false" ht="15.75" hidden="false" customHeight="true" outlineLevel="0" collapsed="false">
      <c r="A2222" s="7" t="n">
        <v>45815</v>
      </c>
      <c r="B2222" s="8" t="s">
        <v>53</v>
      </c>
      <c r="C2222" s="9" t="n">
        <v>4095</v>
      </c>
      <c r="D2222" s="8" t="s">
        <v>13</v>
      </c>
      <c r="E2222" s="10" t="s">
        <v>54</v>
      </c>
      <c r="F2222" s="8" t="str">
        <f aca="false">TEXT(A2222,"MM-YYYY")</f>
        <v>06-2025</v>
      </c>
      <c r="G2222" s="8" t="s">
        <v>14</v>
      </c>
      <c r="H2222" s="8" t="s">
        <v>262</v>
      </c>
      <c r="I2222" s="7" t="n">
        <v>45815</v>
      </c>
      <c r="J2222" s="8" t="str">
        <f aca="false">VLOOKUP(B2222, Table3[#All], 2, FALSE())</f>
        <v>Grocery</v>
      </c>
      <c r="K2222" s="8" t="str">
        <f aca="false">TEXT(ROW(), "0000")</f>
        <v>2222</v>
      </c>
      <c r="L2222" s="8"/>
    </row>
    <row r="2223" customFormat="false" ht="15.75" hidden="false" customHeight="true" outlineLevel="0" collapsed="false">
      <c r="A2223" s="7" t="n">
        <v>45815</v>
      </c>
      <c r="B2223" s="8" t="s">
        <v>22</v>
      </c>
      <c r="C2223" s="9" t="n">
        <v>4985</v>
      </c>
      <c r="D2223" s="8" t="s">
        <v>13</v>
      </c>
      <c r="E2223" s="10" t="s">
        <v>23</v>
      </c>
      <c r="F2223" s="8" t="str">
        <f aca="false">TEXT(A2223,"MM-YYYY")</f>
        <v>06-2025</v>
      </c>
      <c r="G2223" s="8" t="s">
        <v>14</v>
      </c>
      <c r="H2223" s="8" t="s">
        <v>13</v>
      </c>
      <c r="I2223" s="7" t="n">
        <v>45821</v>
      </c>
      <c r="J2223" s="8" t="str">
        <f aca="false">VLOOKUP(B2223, Table3[#All], 2, FALSE())</f>
        <v>Inventory</v>
      </c>
      <c r="K2223" s="8" t="str">
        <f aca="false">TEXT(ROW(), "0000")</f>
        <v>2223</v>
      </c>
      <c r="L2223" s="8"/>
    </row>
    <row r="2224" customFormat="false" ht="15.75" hidden="false" customHeight="true" outlineLevel="0" collapsed="false">
      <c r="A2224" s="7" t="n">
        <v>45815</v>
      </c>
      <c r="B2224" s="8" t="s">
        <v>47</v>
      </c>
      <c r="C2224" s="9" t="n">
        <v>1680</v>
      </c>
      <c r="D2224" s="8" t="s">
        <v>13</v>
      </c>
      <c r="E2224" s="10" t="s">
        <v>339</v>
      </c>
      <c r="F2224" s="8" t="str">
        <f aca="false">TEXT(A2224,"MM-YYYY")</f>
        <v>06-2025</v>
      </c>
      <c r="G2224" s="8" t="s">
        <v>14</v>
      </c>
      <c r="H2224" s="8" t="s">
        <v>13</v>
      </c>
      <c r="I2224" s="7" t="n">
        <v>45825</v>
      </c>
      <c r="J2224" s="8" t="str">
        <f aca="false">VLOOKUP(B2224, Table3[#All], 2, FALSE())</f>
        <v>Inventory</v>
      </c>
      <c r="K2224" s="8" t="str">
        <f aca="false">TEXT(ROW(), "0000")</f>
        <v>2224</v>
      </c>
      <c r="L2224" s="8"/>
    </row>
    <row r="2225" customFormat="false" ht="15.75" hidden="false" customHeight="true" outlineLevel="0" collapsed="false">
      <c r="A2225" s="7" t="n">
        <v>45815</v>
      </c>
      <c r="B2225" s="8" t="s">
        <v>25</v>
      </c>
      <c r="C2225" s="9" t="n">
        <v>828</v>
      </c>
      <c r="D2225" s="8" t="s">
        <v>13</v>
      </c>
      <c r="E2225" s="10" t="s">
        <v>26</v>
      </c>
      <c r="F2225" s="8" t="str">
        <f aca="false">TEXT(A2225,"MM-YYYY")</f>
        <v>06-2025</v>
      </c>
      <c r="G2225" s="21" t="s">
        <v>14</v>
      </c>
      <c r="H2225" s="8" t="s">
        <v>13</v>
      </c>
      <c r="I2225" s="7" t="n">
        <v>45854</v>
      </c>
      <c r="J2225" s="8" t="str">
        <f aca="false">VLOOKUP(B2225, Table3[#All], 2, FALSE())</f>
        <v>Inventory</v>
      </c>
      <c r="K2225" s="8" t="str">
        <f aca="false">TEXT(ROW(), "0000")</f>
        <v>2225</v>
      </c>
      <c r="L2225" s="8"/>
    </row>
    <row r="2226" customFormat="false" ht="15.75" hidden="false" customHeight="true" outlineLevel="0" collapsed="false">
      <c r="A2226" s="7" t="n">
        <v>45815</v>
      </c>
      <c r="B2226" s="8" t="s">
        <v>19</v>
      </c>
      <c r="C2226" s="9" t="n">
        <v>2393</v>
      </c>
      <c r="D2226" s="8" t="s">
        <v>13</v>
      </c>
      <c r="E2226" s="10" t="s">
        <v>20</v>
      </c>
      <c r="F2226" s="8" t="str">
        <f aca="false">TEXT(A2226,"MM-YYYY")</f>
        <v>06-2025</v>
      </c>
      <c r="G2226" s="8" t="s">
        <v>14</v>
      </c>
      <c r="H2226" s="8" t="s">
        <v>13</v>
      </c>
      <c r="I2226" s="7" t="n">
        <v>45826</v>
      </c>
      <c r="J2226" s="8" t="str">
        <f aca="false">VLOOKUP(B2226, Table3[#All], 2, FALSE())</f>
        <v>Inventory</v>
      </c>
      <c r="K2226" s="8" t="str">
        <f aca="false">TEXT(ROW(), "0000")</f>
        <v>2226</v>
      </c>
      <c r="L2226" s="8"/>
    </row>
    <row r="2227" customFormat="false" ht="15.75" hidden="false" customHeight="true" outlineLevel="0" collapsed="false">
      <c r="A2227" s="7" t="n">
        <v>45815</v>
      </c>
      <c r="B2227" s="8" t="s">
        <v>50</v>
      </c>
      <c r="C2227" s="9" t="n">
        <v>1740</v>
      </c>
      <c r="D2227" s="8" t="s">
        <v>13</v>
      </c>
      <c r="E2227" s="10" t="s">
        <v>263</v>
      </c>
      <c r="F2227" s="8" t="str">
        <f aca="false">TEXT(A2227,"MM-YYYY")</f>
        <v>06-2025</v>
      </c>
      <c r="G2227" s="8" t="s">
        <v>14</v>
      </c>
      <c r="H2227" s="8" t="s">
        <v>13</v>
      </c>
      <c r="I2227" s="7" t="n">
        <v>45821</v>
      </c>
      <c r="J2227" s="8" t="str">
        <f aca="false">VLOOKUP(B2227, Table3[#All], 2, FALSE())</f>
        <v>Fixed Maintance</v>
      </c>
      <c r="K2227" s="8" t="str">
        <f aca="false">TEXT(ROW(), "0000")</f>
        <v>2227</v>
      </c>
      <c r="L2227" s="8"/>
    </row>
    <row r="2228" customFormat="false" ht="15.75" hidden="false" customHeight="true" outlineLevel="0" collapsed="false">
      <c r="A2228" s="7" t="n">
        <v>45815</v>
      </c>
      <c r="B2228" s="8" t="s">
        <v>29</v>
      </c>
      <c r="C2228" s="9" t="n">
        <v>420</v>
      </c>
      <c r="D2228" s="8" t="s">
        <v>45</v>
      </c>
      <c r="E2228" s="10" t="s">
        <v>302</v>
      </c>
      <c r="F2228" s="8" t="str">
        <f aca="false">TEXT(A2228,"MM-YYYY")</f>
        <v>06-2025</v>
      </c>
      <c r="G2228" s="8" t="s">
        <v>14</v>
      </c>
      <c r="H2228" s="8" t="s">
        <v>232</v>
      </c>
      <c r="I2228" s="7" t="n">
        <v>45826</v>
      </c>
      <c r="J2228" s="8" t="str">
        <f aca="false">VLOOKUP(B2228, Table3[#All], 2, FALSE())</f>
        <v>Inventory</v>
      </c>
      <c r="K2228" s="8" t="str">
        <f aca="false">TEXT(ROW(), "0000")</f>
        <v>2228</v>
      </c>
      <c r="L2228" s="8"/>
    </row>
    <row r="2229" customFormat="false" ht="15.75" hidden="false" customHeight="true" outlineLevel="0" collapsed="false">
      <c r="A2229" s="7" t="n">
        <v>45815</v>
      </c>
      <c r="B2229" s="8" t="s">
        <v>31</v>
      </c>
      <c r="C2229" s="9" t="n">
        <v>310</v>
      </c>
      <c r="D2229" s="8" t="s">
        <v>45</v>
      </c>
      <c r="E2229" s="10" t="s">
        <v>236</v>
      </c>
      <c r="F2229" s="8" t="str">
        <f aca="false">TEXT(A2229,"MM-YYYY")</f>
        <v>06-2025</v>
      </c>
      <c r="G2229" s="8" t="s">
        <v>14</v>
      </c>
      <c r="H2229" s="8" t="s">
        <v>232</v>
      </c>
      <c r="I2229" s="7" t="n">
        <v>45815</v>
      </c>
      <c r="J2229" s="8" t="str">
        <f aca="false">VLOOKUP(B2229, Table3[#All], 2, FALSE())</f>
        <v>Bike Maintance</v>
      </c>
      <c r="K2229" s="8" t="str">
        <f aca="false">TEXT(ROW(), "0000")</f>
        <v>2229</v>
      </c>
      <c r="L2229" s="8"/>
    </row>
    <row r="2230" customFormat="false" ht="15.75" hidden="false" customHeight="true" outlineLevel="0" collapsed="false">
      <c r="A2230" s="7" t="n">
        <v>45815</v>
      </c>
      <c r="B2230" s="8" t="s">
        <v>16</v>
      </c>
      <c r="C2230" s="9" t="n">
        <v>1610</v>
      </c>
      <c r="D2230" s="8" t="s">
        <v>21</v>
      </c>
      <c r="E2230" s="10" t="s">
        <v>88</v>
      </c>
      <c r="F2230" s="8" t="str">
        <f aca="false">TEXT(A2230,"MM-YYYY")</f>
        <v>06-2025</v>
      </c>
      <c r="G2230" s="8"/>
      <c r="H2230" s="8"/>
      <c r="I2230" s="7"/>
      <c r="J2230" s="8" t="str">
        <f aca="false">VLOOKUP(B2230, Table3[#All], 2, FALSE())</f>
        <v>Sales</v>
      </c>
      <c r="K2230" s="8" t="str">
        <f aca="false">TEXT(ROW(), "0000")</f>
        <v>2230</v>
      </c>
      <c r="L2230" s="8"/>
    </row>
    <row r="2231" customFormat="false" ht="15.75" hidden="false" customHeight="true" outlineLevel="0" collapsed="false">
      <c r="A2231" s="7" t="n">
        <v>45815</v>
      </c>
      <c r="B2231" s="8" t="s">
        <v>16</v>
      </c>
      <c r="C2231" s="9" t="n">
        <v>520</v>
      </c>
      <c r="D2231" s="8" t="s">
        <v>27</v>
      </c>
      <c r="E2231" s="10" t="s">
        <v>88</v>
      </c>
      <c r="F2231" s="8" t="str">
        <f aca="false">TEXT(A2231,"MM-YYYY")</f>
        <v>06-2025</v>
      </c>
      <c r="G2231" s="8"/>
      <c r="H2231" s="8"/>
      <c r="I2231" s="7"/>
      <c r="J2231" s="8" t="str">
        <f aca="false">VLOOKUP(B2231, Table3[#All], 2, FALSE())</f>
        <v>Sales</v>
      </c>
      <c r="K2231" s="8" t="str">
        <f aca="false">TEXT(ROW(), "0000")</f>
        <v>2231</v>
      </c>
      <c r="L2231" s="8"/>
    </row>
    <row r="2232" customFormat="false" ht="15.75" hidden="false" customHeight="true" outlineLevel="0" collapsed="false">
      <c r="A2232" s="7" t="n">
        <v>45815</v>
      </c>
      <c r="B2232" s="8" t="s">
        <v>16</v>
      </c>
      <c r="C2232" s="9" t="n">
        <v>770</v>
      </c>
      <c r="D2232" s="8" t="s">
        <v>33</v>
      </c>
      <c r="E2232" s="10" t="s">
        <v>88</v>
      </c>
      <c r="F2232" s="8" t="str">
        <f aca="false">TEXT(A2232,"MM-YYYY")</f>
        <v>06-2025</v>
      </c>
      <c r="G2232" s="8"/>
      <c r="H2232" s="8"/>
      <c r="I2232" s="7"/>
      <c r="J2232" s="8" t="str">
        <f aca="false">VLOOKUP(B2232, Table3[#All], 2, FALSE())</f>
        <v>Sales</v>
      </c>
      <c r="K2232" s="8" t="str">
        <f aca="false">TEXT(ROW(), "0000")</f>
        <v>2232</v>
      </c>
      <c r="L2232" s="8"/>
    </row>
    <row r="2233" customFormat="false" ht="15.75" hidden="false" customHeight="true" outlineLevel="0" collapsed="false">
      <c r="A2233" s="7" t="n">
        <v>45815</v>
      </c>
      <c r="B2233" s="8" t="s">
        <v>16</v>
      </c>
      <c r="C2233" s="9" t="n">
        <v>16528</v>
      </c>
      <c r="D2233" s="8" t="s">
        <v>17</v>
      </c>
      <c r="E2233" s="10" t="s">
        <v>88</v>
      </c>
      <c r="F2233" s="8" t="str">
        <f aca="false">TEXT(A2233,"MM-YYYY")</f>
        <v>06-2025</v>
      </c>
      <c r="G2233" s="8"/>
      <c r="H2233" s="8"/>
      <c r="I2233" s="7"/>
      <c r="J2233" s="8" t="str">
        <f aca="false">VLOOKUP(B2233, Table3[#All], 2, FALSE())</f>
        <v>Sales</v>
      </c>
      <c r="K2233" s="8" t="str">
        <f aca="false">TEXT(ROW(), "0000")</f>
        <v>2233</v>
      </c>
      <c r="L2233" s="8"/>
    </row>
    <row r="2234" customFormat="false" ht="15.75" hidden="false" customHeight="true" outlineLevel="0" collapsed="false">
      <c r="A2234" s="7" t="n">
        <v>45815</v>
      </c>
      <c r="B2234" s="8" t="s">
        <v>16</v>
      </c>
      <c r="C2234" s="9" t="n">
        <v>1660</v>
      </c>
      <c r="D2234" s="8" t="s">
        <v>59</v>
      </c>
      <c r="E2234" s="10" t="s">
        <v>88</v>
      </c>
      <c r="F2234" s="8" t="str">
        <f aca="false">TEXT(A2234,"MM-YYYY")</f>
        <v>06-2025</v>
      </c>
      <c r="G2234" s="8"/>
      <c r="H2234" s="8"/>
      <c r="I2234" s="7"/>
      <c r="J2234" s="8" t="str">
        <f aca="false">VLOOKUP(B2234, Table3[#All], 2, FALSE())</f>
        <v>Sales</v>
      </c>
      <c r="K2234" s="8" t="str">
        <f aca="false">TEXT(ROW(), "0000")</f>
        <v>2234</v>
      </c>
      <c r="L2234" s="8"/>
    </row>
    <row r="2235" customFormat="false" ht="15.75" hidden="false" customHeight="true" outlineLevel="0" collapsed="false">
      <c r="A2235" s="7" t="n">
        <v>45815</v>
      </c>
      <c r="B2235" s="8" t="s">
        <v>16</v>
      </c>
      <c r="C2235" s="9" t="n">
        <v>3497</v>
      </c>
      <c r="D2235" s="8" t="s">
        <v>24</v>
      </c>
      <c r="E2235" s="10" t="s">
        <v>217</v>
      </c>
      <c r="F2235" s="8" t="str">
        <f aca="false">TEXT(A2235,"MM-YYYY")</f>
        <v>06-2025</v>
      </c>
      <c r="G2235" s="8"/>
      <c r="H2235" s="8"/>
      <c r="I2235" s="7"/>
      <c r="J2235" s="8" t="str">
        <f aca="false">VLOOKUP(B2235, Table3[#All], 2, FALSE())</f>
        <v>Sales</v>
      </c>
      <c r="K2235" s="8" t="str">
        <f aca="false">TEXT(ROW(), "0000")</f>
        <v>2235</v>
      </c>
      <c r="L2235" s="8"/>
    </row>
    <row r="2236" customFormat="false" ht="15.75" hidden="false" customHeight="true" outlineLevel="0" collapsed="false">
      <c r="A2236" s="7" t="n">
        <v>45815</v>
      </c>
      <c r="B2236" s="8" t="s">
        <v>34</v>
      </c>
      <c r="C2236" s="9" t="n">
        <v>100</v>
      </c>
      <c r="D2236" s="8" t="s">
        <v>21</v>
      </c>
      <c r="E2236" s="10" t="s">
        <v>274</v>
      </c>
      <c r="F2236" s="8" t="str">
        <f aca="false">TEXT(A2236,"MM-YYYY")</f>
        <v>06-2025</v>
      </c>
      <c r="G2236" s="8" t="s">
        <v>14</v>
      </c>
      <c r="H2236" s="8" t="s">
        <v>232</v>
      </c>
      <c r="I2236" s="7" t="n">
        <v>45815</v>
      </c>
      <c r="J2236" s="8" t="str">
        <f aca="false">VLOOKUP(B2236, Table3[#All], 2, FALSE())</f>
        <v>Staff Expenses</v>
      </c>
      <c r="K2236" s="8" t="str">
        <f aca="false">TEXT(ROW(), "0000")</f>
        <v>2236</v>
      </c>
      <c r="L2236" s="8"/>
    </row>
    <row r="2237" customFormat="false" ht="15.75" hidden="false" customHeight="true" outlineLevel="0" collapsed="false">
      <c r="A2237" s="7" t="n">
        <v>45816</v>
      </c>
      <c r="B2237" s="8" t="s">
        <v>25</v>
      </c>
      <c r="C2237" s="9" t="n">
        <v>1036</v>
      </c>
      <c r="D2237" s="8" t="s">
        <v>13</v>
      </c>
      <c r="E2237" s="10" t="s">
        <v>26</v>
      </c>
      <c r="F2237" s="8" t="str">
        <f aca="false">TEXT(A2237,"MM-YYYY")</f>
        <v>06-2025</v>
      </c>
      <c r="G2237" s="8" t="s">
        <v>14</v>
      </c>
      <c r="H2237" s="8" t="s">
        <v>13</v>
      </c>
      <c r="I2237" s="7" t="n">
        <v>45854</v>
      </c>
      <c r="J2237" s="8" t="str">
        <f aca="false">VLOOKUP(B2237, Table3[#All], 2, FALSE())</f>
        <v>Inventory</v>
      </c>
      <c r="K2237" s="8" t="str">
        <f aca="false">TEXT(ROW(), "0000")</f>
        <v>2237</v>
      </c>
      <c r="L2237" s="8"/>
    </row>
    <row r="2238" customFormat="false" ht="15.75" hidden="false" customHeight="true" outlineLevel="0" collapsed="false">
      <c r="A2238" s="7" t="n">
        <v>45816</v>
      </c>
      <c r="B2238" s="8" t="s">
        <v>19</v>
      </c>
      <c r="C2238" s="9" t="n">
        <v>4726</v>
      </c>
      <c r="D2238" s="8" t="s">
        <v>13</v>
      </c>
      <c r="E2238" s="10" t="s">
        <v>20</v>
      </c>
      <c r="F2238" s="8" t="str">
        <f aca="false">TEXT(A2238,"MM-YYYY")</f>
        <v>06-2025</v>
      </c>
      <c r="G2238" s="8" t="s">
        <v>14</v>
      </c>
      <c r="H2238" s="8" t="s">
        <v>13</v>
      </c>
      <c r="I2238" s="7" t="n">
        <v>45821</v>
      </c>
      <c r="J2238" s="8" t="str">
        <f aca="false">VLOOKUP(B2238, Table3[#All], 2, FALSE())</f>
        <v>Inventory</v>
      </c>
      <c r="K2238" s="8" t="str">
        <f aca="false">TEXT(ROW(), "0000")</f>
        <v>2238</v>
      </c>
      <c r="L2238" s="8"/>
    </row>
    <row r="2239" customFormat="false" ht="15.75" hidden="false" customHeight="true" outlineLevel="0" collapsed="false">
      <c r="A2239" s="7" t="n">
        <v>45816</v>
      </c>
      <c r="B2239" s="8" t="s">
        <v>22</v>
      </c>
      <c r="C2239" s="9" t="n">
        <v>2971</v>
      </c>
      <c r="D2239" s="8" t="s">
        <v>13</v>
      </c>
      <c r="E2239" s="10" t="s">
        <v>23</v>
      </c>
      <c r="F2239" s="8" t="str">
        <f aca="false">TEXT(A2239,"MM-YYYY")</f>
        <v>06-2025</v>
      </c>
      <c r="G2239" s="8" t="s">
        <v>14</v>
      </c>
      <c r="H2239" s="8" t="s">
        <v>13</v>
      </c>
      <c r="I2239" s="7" t="n">
        <v>45826</v>
      </c>
      <c r="J2239" s="8" t="str">
        <f aca="false">VLOOKUP(B2239, Table3[#All], 2, FALSE())</f>
        <v>Inventory</v>
      </c>
      <c r="K2239" s="8" t="str">
        <f aca="false">TEXT(ROW(), "0000")</f>
        <v>2239</v>
      </c>
      <c r="L2239" s="8"/>
    </row>
    <row r="2240" customFormat="false" ht="15.75" hidden="false" customHeight="true" outlineLevel="0" collapsed="false">
      <c r="A2240" s="7" t="n">
        <v>45816</v>
      </c>
      <c r="B2240" s="8" t="s">
        <v>56</v>
      </c>
      <c r="C2240" s="9" t="n">
        <v>650</v>
      </c>
      <c r="D2240" s="8" t="s">
        <v>45</v>
      </c>
      <c r="E2240" s="10" t="s">
        <v>340</v>
      </c>
      <c r="F2240" s="8" t="str">
        <f aca="false">TEXT(A2240,"MM-YYYY")</f>
        <v>06-2025</v>
      </c>
      <c r="G2240" s="8" t="s">
        <v>14</v>
      </c>
      <c r="H2240" s="8" t="s">
        <v>232</v>
      </c>
      <c r="I2240" s="7" t="n">
        <v>45816</v>
      </c>
      <c r="J2240" s="8" t="str">
        <f aca="false">VLOOKUP(B2240, Table3[#All], 2, FALSE())</f>
        <v>New Inventory</v>
      </c>
      <c r="K2240" s="8" t="str">
        <f aca="false">TEXT(ROW(), "0000")</f>
        <v>2240</v>
      </c>
      <c r="L2240" s="8"/>
    </row>
    <row r="2241" customFormat="false" ht="15.75" hidden="false" customHeight="true" outlineLevel="0" collapsed="false">
      <c r="A2241" s="7" t="n">
        <v>45816</v>
      </c>
      <c r="B2241" s="8" t="s">
        <v>25</v>
      </c>
      <c r="C2241" s="9" t="n">
        <v>540</v>
      </c>
      <c r="D2241" s="8" t="s">
        <v>45</v>
      </c>
      <c r="E2241" s="10" t="s">
        <v>306</v>
      </c>
      <c r="F2241" s="8" t="str">
        <f aca="false">TEXT(A2241,"MM-YYYY")</f>
        <v>06-2025</v>
      </c>
      <c r="G2241" s="8" t="s">
        <v>14</v>
      </c>
      <c r="H2241" s="8" t="s">
        <v>232</v>
      </c>
      <c r="I2241" s="7" t="n">
        <v>45816</v>
      </c>
      <c r="J2241" s="8" t="str">
        <f aca="false">VLOOKUP(B2241, Table3[#All], 2, FALSE())</f>
        <v>Inventory</v>
      </c>
      <c r="K2241" s="8" t="str">
        <f aca="false">TEXT(ROW(), "0000")</f>
        <v>2241</v>
      </c>
      <c r="L2241" s="8"/>
    </row>
    <row r="2242" customFormat="false" ht="15.75" hidden="false" customHeight="true" outlineLevel="0" collapsed="false">
      <c r="A2242" s="7" t="n">
        <v>45816</v>
      </c>
      <c r="B2242" s="8" t="s">
        <v>44</v>
      </c>
      <c r="C2242" s="9" t="n">
        <v>170</v>
      </c>
      <c r="D2242" s="8" t="s">
        <v>21</v>
      </c>
      <c r="E2242" s="10" t="s">
        <v>341</v>
      </c>
      <c r="F2242" s="8" t="str">
        <f aca="false">TEXT(A2242,"MM-YYYY")</f>
        <v>06-2025</v>
      </c>
      <c r="G2242" s="8" t="s">
        <v>14</v>
      </c>
      <c r="H2242" s="8" t="s">
        <v>15</v>
      </c>
      <c r="I2242" s="7" t="n">
        <v>45816</v>
      </c>
      <c r="J2242" s="8" t="str">
        <f aca="false">VLOOKUP(B2242, Table3[#All], 2, FALSE())</f>
        <v>Salary</v>
      </c>
      <c r="K2242" s="8" t="str">
        <f aca="false">TEXT(ROW(), "0000")</f>
        <v>2242</v>
      </c>
      <c r="L2242" s="8"/>
    </row>
    <row r="2243" customFormat="false" ht="15.75" hidden="false" customHeight="true" outlineLevel="0" collapsed="false">
      <c r="A2243" s="7" t="n">
        <v>45816</v>
      </c>
      <c r="B2243" s="8" t="s">
        <v>32</v>
      </c>
      <c r="C2243" s="9" t="n">
        <v>350</v>
      </c>
      <c r="D2243" s="8" t="s">
        <v>21</v>
      </c>
      <c r="E2243" s="10" t="s">
        <v>38</v>
      </c>
      <c r="F2243" s="8" t="str">
        <f aca="false">TEXT(A2243,"MM-YYYY")</f>
        <v>06-2025</v>
      </c>
      <c r="G2243" s="8" t="s">
        <v>14</v>
      </c>
      <c r="H2243" s="8" t="s">
        <v>15</v>
      </c>
      <c r="I2243" s="7" t="n">
        <v>45816</v>
      </c>
      <c r="J2243" s="8" t="str">
        <f aca="false">VLOOKUP(B2243, Table3[#All], 2, FALSE())</f>
        <v>Grocery</v>
      </c>
      <c r="K2243" s="8" t="str">
        <f aca="false">TEXT(ROW(), "0000")</f>
        <v>2243</v>
      </c>
      <c r="L2243" s="8"/>
    </row>
    <row r="2244" customFormat="false" ht="15.75" hidden="false" customHeight="true" outlineLevel="0" collapsed="false">
      <c r="A2244" s="7" t="n">
        <v>45816</v>
      </c>
      <c r="B2244" s="8" t="s">
        <v>60</v>
      </c>
      <c r="C2244" s="9" t="n">
        <v>210</v>
      </c>
      <c r="D2244" s="8" t="s">
        <v>45</v>
      </c>
      <c r="E2244" s="10" t="s">
        <v>245</v>
      </c>
      <c r="F2244" s="8" t="str">
        <f aca="false">TEXT(A2244,"MM-YYYY")</f>
        <v>06-2025</v>
      </c>
      <c r="G2244" s="8" t="s">
        <v>14</v>
      </c>
      <c r="H2244" s="8" t="s">
        <v>232</v>
      </c>
      <c r="I2244" s="7" t="n">
        <v>45816</v>
      </c>
      <c r="J2244" s="8" t="str">
        <f aca="false">VLOOKUP(B2244, Table3[#All], 2, FALSE())</f>
        <v>Inventory</v>
      </c>
      <c r="K2244" s="8" t="str">
        <f aca="false">TEXT(ROW(), "0000")</f>
        <v>2244</v>
      </c>
      <c r="L2244" s="8"/>
    </row>
    <row r="2245" customFormat="false" ht="15.75" hidden="false" customHeight="true" outlineLevel="0" collapsed="false">
      <c r="A2245" s="7" t="n">
        <v>45816</v>
      </c>
      <c r="B2245" s="8" t="s">
        <v>43</v>
      </c>
      <c r="C2245" s="9" t="n">
        <v>50</v>
      </c>
      <c r="D2245" s="8" t="s">
        <v>45</v>
      </c>
      <c r="E2245" s="10" t="s">
        <v>279</v>
      </c>
      <c r="F2245" s="8" t="str">
        <f aca="false">TEXT(A2245,"MM-YYYY")</f>
        <v>06-2025</v>
      </c>
      <c r="G2245" s="8" t="s">
        <v>14</v>
      </c>
      <c r="H2245" s="8" t="s">
        <v>232</v>
      </c>
      <c r="I2245" s="7" t="n">
        <v>45816</v>
      </c>
      <c r="J2245" s="8" t="str">
        <f aca="false">VLOOKUP(B2245, Table3[#All], 2, FALSE())</f>
        <v>Maintance</v>
      </c>
      <c r="K2245" s="8" t="str">
        <f aca="false">TEXT(ROW(), "0000")</f>
        <v>2245</v>
      </c>
      <c r="L2245" s="8"/>
    </row>
    <row r="2246" customFormat="false" ht="15.75" hidden="false" customHeight="true" outlineLevel="0" collapsed="false">
      <c r="A2246" s="7" t="n">
        <v>45816</v>
      </c>
      <c r="B2246" s="8" t="s">
        <v>29</v>
      </c>
      <c r="C2246" s="9" t="n">
        <v>373</v>
      </c>
      <c r="D2246" s="8" t="s">
        <v>45</v>
      </c>
      <c r="E2246" s="10" t="s">
        <v>302</v>
      </c>
      <c r="F2246" s="8" t="str">
        <f aca="false">TEXT(A2246,"MM-YYYY")</f>
        <v>06-2025</v>
      </c>
      <c r="G2246" s="8" t="s">
        <v>14</v>
      </c>
      <c r="H2246" s="8" t="s">
        <v>232</v>
      </c>
      <c r="I2246" s="7" t="n">
        <v>45826</v>
      </c>
      <c r="J2246" s="8" t="str">
        <f aca="false">VLOOKUP(B2246, Table3[#All], 2, FALSE())</f>
        <v>Inventory</v>
      </c>
      <c r="K2246" s="8" t="str">
        <f aca="false">TEXT(ROW(), "0000")</f>
        <v>2246</v>
      </c>
      <c r="L2246" s="8"/>
    </row>
    <row r="2247" customFormat="false" ht="15.75" hidden="false" customHeight="true" outlineLevel="0" collapsed="false">
      <c r="A2247" s="7" t="n">
        <v>45816</v>
      </c>
      <c r="B2247" s="8" t="s">
        <v>50</v>
      </c>
      <c r="C2247" s="9" t="n">
        <v>3480</v>
      </c>
      <c r="D2247" s="8" t="s">
        <v>13</v>
      </c>
      <c r="E2247" s="10" t="s">
        <v>263</v>
      </c>
      <c r="F2247" s="8" t="str">
        <f aca="false">TEXT(A2247,"MM-YYYY")</f>
        <v>06-2025</v>
      </c>
      <c r="G2247" s="8" t="s">
        <v>14</v>
      </c>
      <c r="H2247" s="8" t="s">
        <v>13</v>
      </c>
      <c r="I2247" s="7" t="n">
        <v>45821</v>
      </c>
      <c r="J2247" s="8" t="str">
        <f aca="false">VLOOKUP(B2247, Table3[#All], 2, FALSE())</f>
        <v>Fixed Maintance</v>
      </c>
      <c r="K2247" s="8" t="str">
        <f aca="false">TEXT(ROW(), "0000")</f>
        <v>2247</v>
      </c>
      <c r="L2247" s="8"/>
    </row>
    <row r="2248" customFormat="false" ht="15.75" hidden="false" customHeight="true" outlineLevel="0" collapsed="false">
      <c r="A2248" s="7" t="n">
        <v>45816</v>
      </c>
      <c r="B2248" s="8" t="s">
        <v>16</v>
      </c>
      <c r="C2248" s="9" t="n">
        <v>2381</v>
      </c>
      <c r="D2248" s="8" t="s">
        <v>21</v>
      </c>
      <c r="E2248" s="10" t="s">
        <v>88</v>
      </c>
      <c r="F2248" s="8" t="str">
        <f aca="false">TEXT(A2248,"MM-YYYY")</f>
        <v>06-2025</v>
      </c>
      <c r="G2248" s="8"/>
      <c r="H2248" s="8"/>
      <c r="I2248" s="7"/>
      <c r="J2248" s="8" t="str">
        <f aca="false">VLOOKUP(B2248, Table3[#All], 2, FALSE())</f>
        <v>Sales</v>
      </c>
      <c r="K2248" s="8" t="str">
        <f aca="false">TEXT(ROW(), "0000")</f>
        <v>2248</v>
      </c>
      <c r="L2248" s="8"/>
    </row>
    <row r="2249" customFormat="false" ht="15.75" hidden="false" customHeight="true" outlineLevel="0" collapsed="false">
      <c r="A2249" s="7" t="n">
        <v>45816</v>
      </c>
      <c r="B2249" s="8" t="s">
        <v>16</v>
      </c>
      <c r="C2249" s="9" t="n">
        <v>410</v>
      </c>
      <c r="D2249" s="8" t="s">
        <v>27</v>
      </c>
      <c r="E2249" s="10" t="s">
        <v>88</v>
      </c>
      <c r="F2249" s="8" t="str">
        <f aca="false">TEXT(A2249,"MM-YYYY")</f>
        <v>06-2025</v>
      </c>
      <c r="G2249" s="8"/>
      <c r="H2249" s="8"/>
      <c r="I2249" s="7"/>
      <c r="J2249" s="8" t="str">
        <f aca="false">VLOOKUP(B2249, Table3[#All], 2, FALSE())</f>
        <v>Sales</v>
      </c>
      <c r="K2249" s="8" t="str">
        <f aca="false">TEXT(ROW(), "0000")</f>
        <v>2249</v>
      </c>
      <c r="L2249" s="8"/>
    </row>
    <row r="2250" customFormat="false" ht="15.75" hidden="false" customHeight="true" outlineLevel="0" collapsed="false">
      <c r="A2250" s="7" t="n">
        <v>45816</v>
      </c>
      <c r="B2250" s="8" t="s">
        <v>16</v>
      </c>
      <c r="C2250" s="9" t="n">
        <v>750</v>
      </c>
      <c r="D2250" s="8" t="s">
        <v>33</v>
      </c>
      <c r="E2250" s="10" t="s">
        <v>88</v>
      </c>
      <c r="F2250" s="8" t="str">
        <f aca="false">TEXT(A2250,"MM-YYYY")</f>
        <v>06-2025</v>
      </c>
      <c r="G2250" s="8"/>
      <c r="H2250" s="8"/>
      <c r="I2250" s="7"/>
      <c r="J2250" s="8" t="str">
        <f aca="false">VLOOKUP(B2250, Table3[#All], 2, FALSE())</f>
        <v>Sales</v>
      </c>
      <c r="K2250" s="8" t="str">
        <f aca="false">TEXT(ROW(), "0000")</f>
        <v>2250</v>
      </c>
      <c r="L2250" s="8"/>
    </row>
    <row r="2251" customFormat="false" ht="15.75" hidden="false" customHeight="true" outlineLevel="0" collapsed="false">
      <c r="A2251" s="7" t="n">
        <v>45816</v>
      </c>
      <c r="B2251" s="8" t="s">
        <v>16</v>
      </c>
      <c r="C2251" s="9" t="n">
        <v>19753</v>
      </c>
      <c r="D2251" s="8" t="s">
        <v>17</v>
      </c>
      <c r="E2251" s="10" t="s">
        <v>88</v>
      </c>
      <c r="F2251" s="8" t="str">
        <f aca="false">TEXT(A2251,"MM-YYYY")</f>
        <v>06-2025</v>
      </c>
      <c r="G2251" s="8"/>
      <c r="H2251" s="8"/>
      <c r="I2251" s="7"/>
      <c r="J2251" s="8" t="str">
        <f aca="false">VLOOKUP(B2251, Table3[#All], 2, FALSE())</f>
        <v>Sales</v>
      </c>
      <c r="K2251" s="8" t="str">
        <f aca="false">TEXT(ROW(), "0000")</f>
        <v>2251</v>
      </c>
      <c r="L2251" s="8"/>
    </row>
    <row r="2252" customFormat="false" ht="15.75" hidden="false" customHeight="true" outlineLevel="0" collapsed="false">
      <c r="A2252" s="7" t="n">
        <v>45816</v>
      </c>
      <c r="B2252" s="8" t="s">
        <v>16</v>
      </c>
      <c r="C2252" s="9" t="n">
        <v>3775</v>
      </c>
      <c r="D2252" s="8" t="s">
        <v>24</v>
      </c>
      <c r="E2252" s="10" t="s">
        <v>217</v>
      </c>
      <c r="F2252" s="8" t="str">
        <f aca="false">TEXT(A2252,"MM-YYYY")</f>
        <v>06-2025</v>
      </c>
      <c r="G2252" s="8"/>
      <c r="H2252" s="8"/>
      <c r="I2252" s="7"/>
      <c r="J2252" s="8" t="str">
        <f aca="false">VLOOKUP(B2252, Table3[#All], 2, FALSE())</f>
        <v>Sales</v>
      </c>
      <c r="K2252" s="8" t="str">
        <f aca="false">TEXT(ROW(), "0000")</f>
        <v>2252</v>
      </c>
      <c r="L2252" s="8"/>
    </row>
    <row r="2253" customFormat="false" ht="15.75" hidden="false" customHeight="true" outlineLevel="0" collapsed="false">
      <c r="A2253" s="7" t="n">
        <v>45816</v>
      </c>
      <c r="B2253" s="8" t="s">
        <v>31</v>
      </c>
      <c r="C2253" s="9" t="n">
        <v>1090</v>
      </c>
      <c r="D2253" s="8" t="s">
        <v>45</v>
      </c>
      <c r="E2253" s="10" t="s">
        <v>308</v>
      </c>
      <c r="F2253" s="8" t="str">
        <f aca="false">TEXT(A2253,"MM-YYYY")</f>
        <v>06-2025</v>
      </c>
      <c r="G2253" s="8" t="s">
        <v>14</v>
      </c>
      <c r="H2253" s="8" t="s">
        <v>232</v>
      </c>
      <c r="I2253" s="7" t="n">
        <v>45816</v>
      </c>
      <c r="J2253" s="8" t="str">
        <f aca="false">VLOOKUP(B2253, Table3[#All], 2, FALSE())</f>
        <v>Bike Maintance</v>
      </c>
      <c r="K2253" s="8" t="str">
        <f aca="false">TEXT(ROW(), "0000")</f>
        <v>2253</v>
      </c>
      <c r="L2253" s="8"/>
    </row>
    <row r="2254" customFormat="false" ht="15.75" hidden="false" customHeight="true" outlineLevel="0" collapsed="false">
      <c r="A2254" s="7" t="n">
        <v>45816</v>
      </c>
      <c r="B2254" s="8" t="s">
        <v>34</v>
      </c>
      <c r="C2254" s="9" t="n">
        <v>160</v>
      </c>
      <c r="D2254" s="8" t="s">
        <v>45</v>
      </c>
      <c r="E2254" s="10" t="s">
        <v>274</v>
      </c>
      <c r="F2254" s="8" t="str">
        <f aca="false">TEXT(A2254,"MM-YYYY")</f>
        <v>06-2025</v>
      </c>
      <c r="G2254" s="8" t="s">
        <v>14</v>
      </c>
      <c r="H2254" s="8" t="s">
        <v>232</v>
      </c>
      <c r="I2254" s="7" t="n">
        <v>45816</v>
      </c>
      <c r="J2254" s="8" t="str">
        <f aca="false">VLOOKUP(B2254, Table3[#All], 2, FALSE())</f>
        <v>Staff Expenses</v>
      </c>
      <c r="K2254" s="8" t="str">
        <f aca="false">TEXT(ROW(), "0000")</f>
        <v>2254</v>
      </c>
      <c r="L2254" s="8"/>
    </row>
    <row r="2255" customFormat="false" ht="15.75" hidden="false" customHeight="true" outlineLevel="0" collapsed="false">
      <c r="A2255" s="7" t="n">
        <v>45816</v>
      </c>
      <c r="B2255" s="8" t="s">
        <v>37</v>
      </c>
      <c r="C2255" s="9" t="n">
        <v>11</v>
      </c>
      <c r="D2255" s="8" t="s">
        <v>21</v>
      </c>
      <c r="E2255" s="10" t="s">
        <v>37</v>
      </c>
      <c r="F2255" s="8" t="str">
        <f aca="false">TEXT(A2255,"MM-YYYY")</f>
        <v>06-2025</v>
      </c>
      <c r="G2255" s="8" t="s">
        <v>14</v>
      </c>
      <c r="H2255" s="8" t="s">
        <v>15</v>
      </c>
      <c r="I2255" s="7" t="n">
        <v>45816</v>
      </c>
      <c r="J2255" s="8" t="str">
        <f aca="false">VLOOKUP(B2255, Table3[#All], 2, FALSE())</f>
        <v>Maintance</v>
      </c>
      <c r="K2255" s="8" t="str">
        <f aca="false">TEXT(ROW(), "0000")</f>
        <v>2255</v>
      </c>
      <c r="L2255" s="8"/>
    </row>
    <row r="2256" customFormat="false" ht="15.75" hidden="false" customHeight="true" outlineLevel="0" collapsed="false">
      <c r="A2256" s="7" t="n">
        <v>45817</v>
      </c>
      <c r="B2256" s="8" t="s">
        <v>22</v>
      </c>
      <c r="C2256" s="9" t="n">
        <v>110</v>
      </c>
      <c r="D2256" s="8" t="s">
        <v>21</v>
      </c>
      <c r="E2256" s="10" t="s">
        <v>213</v>
      </c>
      <c r="F2256" s="8" t="str">
        <f aca="false">TEXT(A2256,"MM-YYYY")</f>
        <v>06-2025</v>
      </c>
      <c r="G2256" s="8" t="s">
        <v>14</v>
      </c>
      <c r="H2256" s="8" t="s">
        <v>15</v>
      </c>
      <c r="I2256" s="7" t="n">
        <v>45817</v>
      </c>
      <c r="J2256" s="8" t="str">
        <f aca="false">VLOOKUP(B2256, Table3[#All], 2, FALSE())</f>
        <v>Inventory</v>
      </c>
      <c r="K2256" s="8" t="str">
        <f aca="false">TEXT(ROW(), "0000")</f>
        <v>2256</v>
      </c>
      <c r="L2256" s="8"/>
    </row>
    <row r="2257" customFormat="false" ht="15.75" hidden="false" customHeight="true" outlineLevel="0" collapsed="false">
      <c r="A2257" s="7" t="n">
        <v>45817</v>
      </c>
      <c r="B2257" s="8" t="s">
        <v>19</v>
      </c>
      <c r="C2257" s="9" t="n">
        <v>4463</v>
      </c>
      <c r="D2257" s="8" t="s">
        <v>13</v>
      </c>
      <c r="E2257" s="10" t="s">
        <v>20</v>
      </c>
      <c r="F2257" s="8" t="str">
        <f aca="false">TEXT(A2257,"MM-YYYY")</f>
        <v>06-2025</v>
      </c>
      <c r="G2257" s="8" t="s">
        <v>14</v>
      </c>
      <c r="H2257" s="8" t="s">
        <v>13</v>
      </c>
      <c r="I2257" s="7" t="n">
        <v>45821</v>
      </c>
      <c r="J2257" s="8" t="str">
        <f aca="false">VLOOKUP(B2257, Table3[#All], 2, FALSE())</f>
        <v>Inventory</v>
      </c>
      <c r="K2257" s="8" t="str">
        <f aca="false">TEXT(ROW(), "0000")</f>
        <v>2257</v>
      </c>
      <c r="L2257" s="8"/>
    </row>
    <row r="2258" customFormat="false" ht="15.75" hidden="false" customHeight="true" outlineLevel="0" collapsed="false">
      <c r="A2258" s="7" t="n">
        <v>45817</v>
      </c>
      <c r="B2258" s="8" t="s">
        <v>47</v>
      </c>
      <c r="C2258" s="9" t="n">
        <v>840</v>
      </c>
      <c r="D2258" s="8" t="s">
        <v>13</v>
      </c>
      <c r="E2258" s="10" t="s">
        <v>339</v>
      </c>
      <c r="F2258" s="8" t="str">
        <f aca="false">TEXT(A2258,"MM-YYYY")</f>
        <v>06-2025</v>
      </c>
      <c r="G2258" s="8" t="s">
        <v>14</v>
      </c>
      <c r="H2258" s="8" t="s">
        <v>13</v>
      </c>
      <c r="I2258" s="7" t="n">
        <v>45825</v>
      </c>
      <c r="J2258" s="8" t="str">
        <f aca="false">VLOOKUP(B2258, Table3[#All], 2, FALSE())</f>
        <v>Inventory</v>
      </c>
      <c r="K2258" s="8" t="str">
        <f aca="false">TEXT(ROW(), "0000")</f>
        <v>2258</v>
      </c>
      <c r="L2258" s="8"/>
    </row>
    <row r="2259" customFormat="false" ht="15.75" hidden="false" customHeight="true" outlineLevel="0" collapsed="false">
      <c r="A2259" s="7" t="n">
        <v>45817</v>
      </c>
      <c r="B2259" s="8" t="s">
        <v>25</v>
      </c>
      <c r="C2259" s="9" t="n">
        <v>652</v>
      </c>
      <c r="D2259" s="8" t="s">
        <v>13</v>
      </c>
      <c r="E2259" s="10" t="s">
        <v>26</v>
      </c>
      <c r="F2259" s="8" t="str">
        <f aca="false">TEXT(A2259,"MM-YYYY")</f>
        <v>06-2025</v>
      </c>
      <c r="G2259" s="21" t="s">
        <v>14</v>
      </c>
      <c r="H2259" s="8" t="s">
        <v>13</v>
      </c>
      <c r="I2259" s="7" t="n">
        <v>45854</v>
      </c>
      <c r="J2259" s="8" t="str">
        <f aca="false">VLOOKUP(B2259, Table3[#All], 2, FALSE())</f>
        <v>Inventory</v>
      </c>
      <c r="K2259" s="8" t="str">
        <f aca="false">TEXT(ROW(), "0000")</f>
        <v>2259</v>
      </c>
      <c r="L2259" s="8"/>
    </row>
    <row r="2260" customFormat="false" ht="15.75" hidden="false" customHeight="true" outlineLevel="0" collapsed="false">
      <c r="A2260" s="7" t="n">
        <v>45817</v>
      </c>
      <c r="B2260" s="8" t="s">
        <v>22</v>
      </c>
      <c r="C2260" s="9" t="n">
        <v>217</v>
      </c>
      <c r="D2260" s="8" t="s">
        <v>13</v>
      </c>
      <c r="E2260" s="10" t="s">
        <v>23</v>
      </c>
      <c r="F2260" s="8" t="str">
        <f aca="false">TEXT(A2260,"MM-YYYY")</f>
        <v>06-2025</v>
      </c>
      <c r="G2260" s="8" t="s">
        <v>14</v>
      </c>
      <c r="H2260" s="8" t="s">
        <v>13</v>
      </c>
      <c r="I2260" s="7" t="n">
        <v>45826</v>
      </c>
      <c r="J2260" s="8" t="str">
        <f aca="false">VLOOKUP(B2260, Table3[#All], 2, FALSE())</f>
        <v>Inventory</v>
      </c>
      <c r="K2260" s="8" t="str">
        <f aca="false">TEXT(ROW(), "0000")</f>
        <v>2260</v>
      </c>
      <c r="L2260" s="8"/>
    </row>
    <row r="2261" customFormat="false" ht="15.75" hidden="false" customHeight="true" outlineLevel="0" collapsed="false">
      <c r="A2261" s="7" t="n">
        <v>45817</v>
      </c>
      <c r="B2261" s="8" t="s">
        <v>32</v>
      </c>
      <c r="C2261" s="9" t="n">
        <v>210</v>
      </c>
      <c r="D2261" s="8" t="s">
        <v>21</v>
      </c>
      <c r="E2261" s="10" t="s">
        <v>38</v>
      </c>
      <c r="F2261" s="8" t="str">
        <f aca="false">TEXT(A2261,"MM-YYYY")</f>
        <v>06-2025</v>
      </c>
      <c r="G2261" s="8" t="s">
        <v>14</v>
      </c>
      <c r="H2261" s="8"/>
      <c r="I2261" s="7" t="n">
        <v>45817</v>
      </c>
      <c r="J2261" s="8" t="str">
        <f aca="false">VLOOKUP(B2261, Table3[#All], 2, FALSE())</f>
        <v>Grocery</v>
      </c>
      <c r="K2261" s="8" t="str">
        <f aca="false">TEXT(ROW(), "0000")</f>
        <v>2261</v>
      </c>
      <c r="L2261" s="8"/>
    </row>
    <row r="2262" customFormat="false" ht="15.75" hidden="false" customHeight="true" outlineLevel="0" collapsed="false">
      <c r="A2262" s="7" t="n">
        <v>45817</v>
      </c>
      <c r="B2262" s="8" t="s">
        <v>29</v>
      </c>
      <c r="C2262" s="9" t="n">
        <v>840</v>
      </c>
      <c r="D2262" s="8" t="s">
        <v>45</v>
      </c>
      <c r="E2262" s="10" t="s">
        <v>302</v>
      </c>
      <c r="F2262" s="8" t="str">
        <f aca="false">TEXT(A2262,"MM-YYYY")</f>
        <v>06-2025</v>
      </c>
      <c r="G2262" s="8" t="s">
        <v>14</v>
      </c>
      <c r="H2262" s="8" t="s">
        <v>232</v>
      </c>
      <c r="I2262" s="7" t="n">
        <v>45826</v>
      </c>
      <c r="J2262" s="8" t="str">
        <f aca="false">VLOOKUP(B2262, Table3[#All], 2, FALSE())</f>
        <v>Inventory</v>
      </c>
      <c r="K2262" s="8" t="str">
        <f aca="false">TEXT(ROW(), "0000")</f>
        <v>2262</v>
      </c>
      <c r="L2262" s="8"/>
    </row>
    <row r="2263" customFormat="false" ht="15.75" hidden="false" customHeight="true" outlineLevel="0" collapsed="false">
      <c r="A2263" s="7" t="n">
        <v>45817</v>
      </c>
      <c r="B2263" s="8" t="s">
        <v>16</v>
      </c>
      <c r="C2263" s="9" t="n">
        <v>1795</v>
      </c>
      <c r="D2263" s="8" t="s">
        <v>21</v>
      </c>
      <c r="E2263" s="10" t="s">
        <v>88</v>
      </c>
      <c r="F2263" s="8" t="str">
        <f aca="false">TEXT(A2263,"MM-YYYY")</f>
        <v>06-2025</v>
      </c>
      <c r="G2263" s="8"/>
      <c r="H2263" s="8"/>
      <c r="I2263" s="7"/>
      <c r="J2263" s="8" t="str">
        <f aca="false">VLOOKUP(B2263, Table3[#All], 2, FALSE())</f>
        <v>Sales</v>
      </c>
      <c r="K2263" s="8" t="str">
        <f aca="false">TEXT(ROW(), "0000")</f>
        <v>2263</v>
      </c>
      <c r="L2263" s="8"/>
    </row>
    <row r="2264" customFormat="false" ht="15.75" hidden="false" customHeight="true" outlineLevel="0" collapsed="false">
      <c r="A2264" s="7" t="n">
        <v>45817</v>
      </c>
      <c r="B2264" s="8" t="s">
        <v>16</v>
      </c>
      <c r="C2264" s="9" t="n">
        <v>799</v>
      </c>
      <c r="D2264" s="8" t="s">
        <v>27</v>
      </c>
      <c r="E2264" s="10" t="s">
        <v>88</v>
      </c>
      <c r="F2264" s="8" t="str">
        <f aca="false">TEXT(A2264,"MM-YYYY")</f>
        <v>06-2025</v>
      </c>
      <c r="G2264" s="8"/>
      <c r="H2264" s="8"/>
      <c r="I2264" s="7"/>
      <c r="J2264" s="8" t="str">
        <f aca="false">VLOOKUP(B2264, Table3[#All], 2, FALSE())</f>
        <v>Sales</v>
      </c>
      <c r="K2264" s="8" t="str">
        <f aca="false">TEXT(ROW(), "0000")</f>
        <v>2264</v>
      </c>
      <c r="L2264" s="8"/>
    </row>
    <row r="2265" customFormat="false" ht="15.75" hidden="false" customHeight="true" outlineLevel="0" collapsed="false">
      <c r="A2265" s="7" t="n">
        <v>45817</v>
      </c>
      <c r="B2265" s="8" t="s">
        <v>16</v>
      </c>
      <c r="C2265" s="9" t="n">
        <v>320</v>
      </c>
      <c r="D2265" s="8" t="s">
        <v>33</v>
      </c>
      <c r="E2265" s="10" t="s">
        <v>88</v>
      </c>
      <c r="F2265" s="8" t="str">
        <f aca="false">TEXT(A2265,"MM-YYYY")</f>
        <v>06-2025</v>
      </c>
      <c r="G2265" s="8"/>
      <c r="H2265" s="8"/>
      <c r="I2265" s="7"/>
      <c r="J2265" s="8" t="str">
        <f aca="false">VLOOKUP(B2265, Table3[#All], 2, FALSE())</f>
        <v>Sales</v>
      </c>
      <c r="K2265" s="8" t="str">
        <f aca="false">TEXT(ROW(), "0000")</f>
        <v>2265</v>
      </c>
      <c r="L2265" s="8"/>
    </row>
    <row r="2266" customFormat="false" ht="15.75" hidden="false" customHeight="true" outlineLevel="0" collapsed="false">
      <c r="A2266" s="7" t="n">
        <v>45817</v>
      </c>
      <c r="B2266" s="8" t="s">
        <v>16</v>
      </c>
      <c r="C2266" s="9" t="n">
        <v>11325</v>
      </c>
      <c r="D2266" s="8" t="s">
        <v>17</v>
      </c>
      <c r="E2266" s="10" t="s">
        <v>88</v>
      </c>
      <c r="F2266" s="8" t="str">
        <f aca="false">TEXT(A2266,"MM-YYYY")</f>
        <v>06-2025</v>
      </c>
      <c r="G2266" s="8"/>
      <c r="H2266" s="8"/>
      <c r="I2266" s="7"/>
      <c r="J2266" s="8" t="str">
        <f aca="false">VLOOKUP(B2266, Table3[#All], 2, FALSE())</f>
        <v>Sales</v>
      </c>
      <c r="K2266" s="8" t="str">
        <f aca="false">TEXT(ROW(), "0000")</f>
        <v>2266</v>
      </c>
      <c r="L2266" s="8"/>
    </row>
    <row r="2267" customFormat="false" ht="15.75" hidden="false" customHeight="true" outlineLevel="0" collapsed="false">
      <c r="A2267" s="7" t="n">
        <v>45817</v>
      </c>
      <c r="B2267" s="8" t="s">
        <v>16</v>
      </c>
      <c r="C2267" s="9" t="n">
        <v>554</v>
      </c>
      <c r="D2267" s="8" t="s">
        <v>24</v>
      </c>
      <c r="E2267" s="10" t="s">
        <v>217</v>
      </c>
      <c r="F2267" s="8" t="str">
        <f aca="false">TEXT(A2267,"MM-YYYY")</f>
        <v>06-2025</v>
      </c>
      <c r="G2267" s="8"/>
      <c r="H2267" s="8"/>
      <c r="I2267" s="7"/>
      <c r="J2267" s="8" t="str">
        <f aca="false">VLOOKUP(B2267, Table3[#All], 2, FALSE())</f>
        <v>Sales</v>
      </c>
      <c r="K2267" s="8" t="str">
        <f aca="false">TEXT(ROW(), "0000")</f>
        <v>2267</v>
      </c>
      <c r="L2267" s="8"/>
    </row>
    <row r="2268" customFormat="false" ht="15.75" hidden="false" customHeight="true" outlineLevel="0" collapsed="false">
      <c r="A2268" s="7" t="n">
        <v>45817</v>
      </c>
      <c r="B2268" s="8" t="s">
        <v>43</v>
      </c>
      <c r="C2268" s="9" t="n">
        <v>60</v>
      </c>
      <c r="D2268" s="8" t="s">
        <v>21</v>
      </c>
      <c r="E2268" s="10" t="s">
        <v>333</v>
      </c>
      <c r="F2268" s="8" t="str">
        <f aca="false">TEXT(A2268,"MM-YYYY")</f>
        <v>06-2025</v>
      </c>
      <c r="G2268" s="8" t="s">
        <v>14</v>
      </c>
      <c r="H2268" s="8" t="s">
        <v>15</v>
      </c>
      <c r="I2268" s="7" t="n">
        <v>45817</v>
      </c>
      <c r="J2268" s="8" t="str">
        <f aca="false">VLOOKUP(B2268, Table3[#All], 2, FALSE())</f>
        <v>Maintance</v>
      </c>
      <c r="K2268" s="8" t="str">
        <f aca="false">TEXT(ROW(), "0000")</f>
        <v>2268</v>
      </c>
      <c r="L2268" s="8"/>
    </row>
    <row r="2269" customFormat="false" ht="15.75" hidden="false" customHeight="true" outlineLevel="0" collapsed="false">
      <c r="A2269" s="7" t="n">
        <v>45817</v>
      </c>
      <c r="B2269" s="8" t="s">
        <v>34</v>
      </c>
      <c r="C2269" s="9" t="n">
        <v>115</v>
      </c>
      <c r="D2269" s="8" t="s">
        <v>21</v>
      </c>
      <c r="E2269" s="10" t="s">
        <v>274</v>
      </c>
      <c r="F2269" s="8" t="str">
        <f aca="false">TEXT(A2269,"MM-YYYY")</f>
        <v>06-2025</v>
      </c>
      <c r="G2269" s="8" t="s">
        <v>14</v>
      </c>
      <c r="H2269" s="8" t="s">
        <v>15</v>
      </c>
      <c r="I2269" s="7" t="n">
        <v>45817</v>
      </c>
      <c r="J2269" s="8" t="str">
        <f aca="false">VLOOKUP(B2269, Table3[#All], 2, FALSE())</f>
        <v>Staff Expenses</v>
      </c>
      <c r="K2269" s="8" t="str">
        <f aca="false">TEXT(ROW(), "0000")</f>
        <v>2269</v>
      </c>
      <c r="L2269" s="8"/>
    </row>
    <row r="2270" customFormat="false" ht="15.75" hidden="false" customHeight="true" outlineLevel="0" collapsed="false">
      <c r="A2270" s="7" t="n">
        <v>45818</v>
      </c>
      <c r="B2270" s="8" t="s">
        <v>25</v>
      </c>
      <c r="C2270" s="9" t="n">
        <v>1215</v>
      </c>
      <c r="D2270" s="8" t="s">
        <v>13</v>
      </c>
      <c r="E2270" s="10" t="s">
        <v>26</v>
      </c>
      <c r="F2270" s="8" t="str">
        <f aca="false">TEXT(A2270,"MM-YYYY")</f>
        <v>06-2025</v>
      </c>
      <c r="G2270" s="8" t="s">
        <v>14</v>
      </c>
      <c r="H2270" s="8" t="s">
        <v>13</v>
      </c>
      <c r="I2270" s="7" t="n">
        <v>45854</v>
      </c>
      <c r="J2270" s="8" t="str">
        <f aca="false">VLOOKUP(B2270, Table3[#All], 2, FALSE())</f>
        <v>Inventory</v>
      </c>
      <c r="K2270" s="8" t="str">
        <f aca="false">TEXT(ROW(), "0000")</f>
        <v>2270</v>
      </c>
      <c r="L2270" s="8"/>
    </row>
    <row r="2271" customFormat="false" ht="15.75" hidden="false" customHeight="true" outlineLevel="0" collapsed="false">
      <c r="A2271" s="7" t="n">
        <v>45818</v>
      </c>
      <c r="B2271" s="8" t="s">
        <v>19</v>
      </c>
      <c r="C2271" s="9" t="n">
        <v>2370</v>
      </c>
      <c r="D2271" s="8" t="s">
        <v>13</v>
      </c>
      <c r="E2271" s="10" t="s">
        <v>20</v>
      </c>
      <c r="F2271" s="8" t="str">
        <f aca="false">TEXT(A2271,"MM-YYYY")</f>
        <v>06-2025</v>
      </c>
      <c r="G2271" s="8" t="s">
        <v>14</v>
      </c>
      <c r="H2271" s="8" t="s">
        <v>13</v>
      </c>
      <c r="I2271" s="7" t="n">
        <v>45821</v>
      </c>
      <c r="J2271" s="8" t="str">
        <f aca="false">VLOOKUP(B2271, Table3[#All], 2, FALSE())</f>
        <v>Inventory</v>
      </c>
      <c r="K2271" s="8" t="str">
        <f aca="false">TEXT(ROW(), "0000")</f>
        <v>2271</v>
      </c>
      <c r="L2271" s="8"/>
    </row>
    <row r="2272" customFormat="false" ht="15.75" hidden="false" customHeight="true" outlineLevel="0" collapsed="false">
      <c r="A2272" s="7" t="n">
        <v>45818</v>
      </c>
      <c r="B2272" s="8" t="s">
        <v>22</v>
      </c>
      <c r="C2272" s="9" t="n">
        <v>2061</v>
      </c>
      <c r="D2272" s="8" t="s">
        <v>13</v>
      </c>
      <c r="E2272" s="10" t="s">
        <v>23</v>
      </c>
      <c r="F2272" s="8" t="str">
        <f aca="false">TEXT(A2272,"MM-YYYY")</f>
        <v>06-2025</v>
      </c>
      <c r="G2272" s="8" t="s">
        <v>14</v>
      </c>
      <c r="H2272" s="8" t="s">
        <v>13</v>
      </c>
      <c r="I2272" s="7" t="n">
        <v>45826</v>
      </c>
      <c r="J2272" s="8" t="str">
        <f aca="false">VLOOKUP(B2272, Table3[#All], 2, FALSE())</f>
        <v>Inventory</v>
      </c>
      <c r="K2272" s="8" t="str">
        <f aca="false">TEXT(ROW(), "0000")</f>
        <v>2272</v>
      </c>
      <c r="L2272" s="8"/>
    </row>
    <row r="2273" customFormat="false" ht="15.75" hidden="false" customHeight="true" outlineLevel="0" collapsed="false">
      <c r="A2273" s="7" t="n">
        <v>45818</v>
      </c>
      <c r="B2273" s="8" t="s">
        <v>22</v>
      </c>
      <c r="C2273" s="9" t="n">
        <v>650</v>
      </c>
      <c r="D2273" s="8" t="s">
        <v>45</v>
      </c>
      <c r="E2273" s="10" t="s">
        <v>305</v>
      </c>
      <c r="F2273" s="8" t="str">
        <f aca="false">TEXT(A2273,"MM-YYYY")</f>
        <v>06-2025</v>
      </c>
      <c r="G2273" s="8" t="s">
        <v>14</v>
      </c>
      <c r="H2273" s="8" t="s">
        <v>232</v>
      </c>
      <c r="I2273" s="7" t="n">
        <v>45818</v>
      </c>
      <c r="J2273" s="8" t="str">
        <f aca="false">VLOOKUP(B2273, Table3[#All], 2, FALSE())</f>
        <v>Inventory</v>
      </c>
      <c r="K2273" s="8" t="str">
        <f aca="false">TEXT(ROW(), "0000")</f>
        <v>2273</v>
      </c>
      <c r="L2273" s="8"/>
    </row>
    <row r="2274" customFormat="false" ht="15.75" hidden="false" customHeight="true" outlineLevel="0" collapsed="false">
      <c r="A2274" s="7" t="n">
        <v>45818</v>
      </c>
      <c r="B2274" s="8" t="s">
        <v>53</v>
      </c>
      <c r="C2274" s="9" t="n">
        <v>1200</v>
      </c>
      <c r="D2274" s="8" t="s">
        <v>13</v>
      </c>
      <c r="E2274" s="10" t="s">
        <v>55</v>
      </c>
      <c r="F2274" s="8" t="str">
        <f aca="false">TEXT(A2274,"MM-YYYY")</f>
        <v>06-2025</v>
      </c>
      <c r="G2274" s="8" t="s">
        <v>14</v>
      </c>
      <c r="H2274" s="8" t="s">
        <v>262</v>
      </c>
      <c r="I2274" s="7" t="n">
        <v>45818</v>
      </c>
      <c r="J2274" s="8" t="str">
        <f aca="false">VLOOKUP(B2274, Table3[#All], 2, FALSE())</f>
        <v>Grocery</v>
      </c>
      <c r="K2274" s="8" t="str">
        <f aca="false">TEXT(ROW(), "0000")</f>
        <v>2274</v>
      </c>
      <c r="L2274" s="8"/>
    </row>
    <row r="2275" customFormat="false" ht="15.75" hidden="false" customHeight="true" outlineLevel="0" collapsed="false">
      <c r="A2275" s="7" t="n">
        <v>45818</v>
      </c>
      <c r="B2275" s="8" t="s">
        <v>63</v>
      </c>
      <c r="C2275" s="9" t="n">
        <v>700</v>
      </c>
      <c r="D2275" s="8" t="s">
        <v>45</v>
      </c>
      <c r="E2275" s="8" t="s">
        <v>63</v>
      </c>
      <c r="F2275" s="8" t="str">
        <f aca="false">TEXT(A2275,"MM-YYYY")</f>
        <v>06-2025</v>
      </c>
      <c r="G2275" s="8" t="s">
        <v>14</v>
      </c>
      <c r="H2275" s="8" t="s">
        <v>232</v>
      </c>
      <c r="I2275" s="7" t="n">
        <v>45818</v>
      </c>
      <c r="J2275" s="8" t="str">
        <f aca="false">VLOOKUP(B2275, Table3[#All], 2, FALSE())</f>
        <v>Maintance</v>
      </c>
      <c r="K2275" s="8" t="str">
        <f aca="false">TEXT(ROW(), "0000")</f>
        <v>2275</v>
      </c>
      <c r="L2275" s="8"/>
    </row>
    <row r="2276" customFormat="false" ht="15.75" hidden="false" customHeight="true" outlineLevel="0" collapsed="false">
      <c r="A2276" s="7" t="n">
        <v>45818</v>
      </c>
      <c r="B2276" s="8" t="s">
        <v>29</v>
      </c>
      <c r="C2276" s="9" t="n">
        <v>620</v>
      </c>
      <c r="D2276" s="8" t="s">
        <v>45</v>
      </c>
      <c r="E2276" s="10" t="s">
        <v>78</v>
      </c>
      <c r="F2276" s="8" t="str">
        <f aca="false">TEXT(A2276,"MM-YYYY")</f>
        <v>06-2025</v>
      </c>
      <c r="G2276" s="8" t="s">
        <v>14</v>
      </c>
      <c r="H2276" s="8" t="s">
        <v>232</v>
      </c>
      <c r="I2276" s="7" t="n">
        <v>45818</v>
      </c>
      <c r="J2276" s="8" t="str">
        <f aca="false">VLOOKUP(B2276, Table3[#All], 2, FALSE())</f>
        <v>Inventory</v>
      </c>
      <c r="K2276" s="8" t="str">
        <f aca="false">TEXT(ROW(), "0000")</f>
        <v>2276</v>
      </c>
      <c r="L2276" s="8"/>
    </row>
    <row r="2277" customFormat="false" ht="15.75" hidden="false" customHeight="true" outlineLevel="0" collapsed="false">
      <c r="A2277" s="7" t="n">
        <v>45818</v>
      </c>
      <c r="B2277" s="8" t="s">
        <v>43</v>
      </c>
      <c r="C2277" s="9" t="n">
        <v>350</v>
      </c>
      <c r="D2277" s="8" t="s">
        <v>45</v>
      </c>
      <c r="E2277" s="10" t="s">
        <v>279</v>
      </c>
      <c r="F2277" s="8" t="str">
        <f aca="false">TEXT(A2277,"MM-YYYY")</f>
        <v>06-2025</v>
      </c>
      <c r="G2277" s="8" t="s">
        <v>14</v>
      </c>
      <c r="H2277" s="8" t="s">
        <v>232</v>
      </c>
      <c r="I2277" s="7" t="n">
        <v>45818</v>
      </c>
      <c r="J2277" s="8" t="str">
        <f aca="false">VLOOKUP(B2277, Table3[#All], 2, FALSE())</f>
        <v>Maintance</v>
      </c>
      <c r="K2277" s="8" t="str">
        <f aca="false">TEXT(ROW(), "0000")</f>
        <v>2277</v>
      </c>
      <c r="L2277" s="8"/>
    </row>
    <row r="2278" customFormat="false" ht="15.75" hidden="false" customHeight="true" outlineLevel="0" collapsed="false">
      <c r="A2278" s="7" t="n">
        <v>45818</v>
      </c>
      <c r="B2278" s="8" t="s">
        <v>29</v>
      </c>
      <c r="C2278" s="9" t="n">
        <v>344</v>
      </c>
      <c r="D2278" s="8" t="s">
        <v>45</v>
      </c>
      <c r="E2278" s="10" t="s">
        <v>302</v>
      </c>
      <c r="F2278" s="8" t="str">
        <f aca="false">TEXT(A2278,"MM-YYYY")</f>
        <v>06-2025</v>
      </c>
      <c r="G2278" s="8" t="s">
        <v>14</v>
      </c>
      <c r="H2278" s="8" t="s">
        <v>232</v>
      </c>
      <c r="I2278" s="7" t="n">
        <v>45826</v>
      </c>
      <c r="J2278" s="8" t="str">
        <f aca="false">VLOOKUP(B2278, Table3[#All], 2, FALSE())</f>
        <v>Inventory</v>
      </c>
      <c r="K2278" s="8" t="str">
        <f aca="false">TEXT(ROW(), "0000")</f>
        <v>2278</v>
      </c>
      <c r="L2278" s="8"/>
    </row>
    <row r="2279" customFormat="false" ht="15.75" hidden="false" customHeight="true" outlineLevel="0" collapsed="false">
      <c r="A2279" s="7" t="n">
        <v>45818</v>
      </c>
      <c r="B2279" s="8" t="s">
        <v>16</v>
      </c>
      <c r="C2279" s="9" t="n">
        <v>3179</v>
      </c>
      <c r="D2279" s="8" t="s">
        <v>21</v>
      </c>
      <c r="E2279" s="10" t="s">
        <v>88</v>
      </c>
      <c r="F2279" s="8" t="str">
        <f aca="false">TEXT(A2279,"MM-YYYY")</f>
        <v>06-2025</v>
      </c>
      <c r="G2279" s="8"/>
      <c r="H2279" s="8"/>
      <c r="I2279" s="7"/>
      <c r="J2279" s="8" t="str">
        <f aca="false">VLOOKUP(B2279, Table3[#All], 2, FALSE())</f>
        <v>Sales</v>
      </c>
      <c r="K2279" s="8" t="str">
        <f aca="false">TEXT(ROW(), "0000")</f>
        <v>2279</v>
      </c>
      <c r="L2279" s="8"/>
    </row>
    <row r="2280" customFormat="false" ht="15.75" hidden="false" customHeight="true" outlineLevel="0" collapsed="false">
      <c r="A2280" s="7" t="n">
        <v>45818</v>
      </c>
      <c r="B2280" s="8" t="s">
        <v>16</v>
      </c>
      <c r="C2280" s="9" t="n">
        <v>13949</v>
      </c>
      <c r="D2280" s="8" t="s">
        <v>13</v>
      </c>
      <c r="E2280" s="10" t="s">
        <v>88</v>
      </c>
      <c r="F2280" s="8" t="str">
        <f aca="false">TEXT(A2280,"MM-YYYY")</f>
        <v>06-2025</v>
      </c>
      <c r="G2280" s="8"/>
      <c r="H2280" s="8"/>
      <c r="I2280" s="7"/>
      <c r="J2280" s="8" t="str">
        <f aca="false">VLOOKUP(B2280, Table3[#All], 2, FALSE())</f>
        <v>Sales</v>
      </c>
      <c r="K2280" s="8" t="str">
        <f aca="false">TEXT(ROW(), "0000")</f>
        <v>2280</v>
      </c>
      <c r="L2280" s="8"/>
    </row>
    <row r="2281" customFormat="false" ht="15.75" hidden="false" customHeight="true" outlineLevel="0" collapsed="false">
      <c r="A2281" s="7" t="n">
        <v>45818</v>
      </c>
      <c r="B2281" s="8" t="s">
        <v>16</v>
      </c>
      <c r="C2281" s="9" t="n">
        <v>830</v>
      </c>
      <c r="D2281" s="8" t="s">
        <v>59</v>
      </c>
      <c r="E2281" s="10" t="s">
        <v>88</v>
      </c>
      <c r="F2281" s="8" t="str">
        <f aca="false">TEXT(A2281,"MM-YYYY")</f>
        <v>06-2025</v>
      </c>
      <c r="G2281" s="8"/>
      <c r="H2281" s="8"/>
      <c r="I2281" s="7"/>
      <c r="J2281" s="8" t="str">
        <f aca="false">VLOOKUP(B2281, Table3[#All], 2, FALSE())</f>
        <v>Sales</v>
      </c>
      <c r="K2281" s="8" t="str">
        <f aca="false">TEXT(ROW(), "0000")</f>
        <v>2281</v>
      </c>
      <c r="L2281" s="8"/>
    </row>
    <row r="2282" customFormat="false" ht="15.75" hidden="false" customHeight="true" outlineLevel="0" collapsed="false">
      <c r="A2282" s="7" t="n">
        <v>45818</v>
      </c>
      <c r="B2282" s="8" t="s">
        <v>16</v>
      </c>
      <c r="C2282" s="9" t="n">
        <v>1362</v>
      </c>
      <c r="D2282" s="8" t="s">
        <v>24</v>
      </c>
      <c r="E2282" s="10" t="s">
        <v>217</v>
      </c>
      <c r="F2282" s="8" t="str">
        <f aca="false">TEXT(A2282,"MM-YYYY")</f>
        <v>06-2025</v>
      </c>
      <c r="G2282" s="8"/>
      <c r="H2282" s="8"/>
      <c r="I2282" s="7"/>
      <c r="J2282" s="8" t="str">
        <f aca="false">VLOOKUP(B2282, Table3[#All], 2, FALSE())</f>
        <v>Sales</v>
      </c>
      <c r="K2282" s="8" t="str">
        <f aca="false">TEXT(ROW(), "0000")</f>
        <v>2282</v>
      </c>
      <c r="L2282" s="8"/>
    </row>
    <row r="2283" customFormat="false" ht="15.75" hidden="false" customHeight="true" outlineLevel="0" collapsed="false">
      <c r="A2283" s="7" t="n">
        <v>45818</v>
      </c>
      <c r="B2283" s="8" t="s">
        <v>34</v>
      </c>
      <c r="C2283" s="9" t="n">
        <v>140</v>
      </c>
      <c r="D2283" s="8" t="s">
        <v>45</v>
      </c>
      <c r="E2283" s="10" t="s">
        <v>274</v>
      </c>
      <c r="F2283" s="8" t="str">
        <f aca="false">TEXT(A2283,"MM-YYYY")</f>
        <v>06-2025</v>
      </c>
      <c r="G2283" s="8" t="s">
        <v>14</v>
      </c>
      <c r="H2283" s="8" t="s">
        <v>232</v>
      </c>
      <c r="I2283" s="7" t="n">
        <v>45818</v>
      </c>
      <c r="J2283" s="8" t="str">
        <f aca="false">VLOOKUP(B2283, Table3[#All], 2, FALSE())</f>
        <v>Staff Expenses</v>
      </c>
      <c r="K2283" s="8" t="str">
        <f aca="false">TEXT(ROW(), "0000")</f>
        <v>2283</v>
      </c>
      <c r="L2283" s="8"/>
    </row>
    <row r="2284" customFormat="false" ht="15.75" hidden="false" customHeight="true" outlineLevel="0" collapsed="false">
      <c r="A2284" s="7" t="n">
        <v>45818</v>
      </c>
      <c r="B2284" s="8" t="s">
        <v>16</v>
      </c>
      <c r="C2284" s="9" t="n">
        <v>260</v>
      </c>
      <c r="D2284" s="8" t="s">
        <v>33</v>
      </c>
      <c r="E2284" s="10" t="s">
        <v>342</v>
      </c>
      <c r="F2284" s="8" t="str">
        <f aca="false">TEXT(A2284,"MM-YYYY")</f>
        <v>06-2025</v>
      </c>
      <c r="G2284" s="8"/>
      <c r="H2284" s="8"/>
      <c r="I2284" s="7"/>
      <c r="J2284" s="8" t="str">
        <f aca="false">VLOOKUP(B2284, Table3[#All], 2, FALSE())</f>
        <v>Sales</v>
      </c>
      <c r="K2284" s="8" t="str">
        <f aca="false">TEXT(ROW(), "0000")</f>
        <v>2284</v>
      </c>
      <c r="L2284" s="8"/>
    </row>
    <row r="2285" customFormat="false" ht="15.75" hidden="false" customHeight="true" outlineLevel="0" collapsed="false">
      <c r="A2285" s="7" t="n">
        <v>45818</v>
      </c>
      <c r="B2285" s="8" t="s">
        <v>37</v>
      </c>
      <c r="C2285" s="9" t="n">
        <v>19</v>
      </c>
      <c r="D2285" s="8" t="s">
        <v>21</v>
      </c>
      <c r="E2285" s="10" t="s">
        <v>37</v>
      </c>
      <c r="F2285" s="8" t="str">
        <f aca="false">TEXT(A2285,"MM-YYYY")</f>
        <v>06-2025</v>
      </c>
      <c r="G2285" s="8" t="s">
        <v>14</v>
      </c>
      <c r="H2285" s="8" t="s">
        <v>15</v>
      </c>
      <c r="I2285" s="7" t="n">
        <v>45818</v>
      </c>
      <c r="J2285" s="8" t="str">
        <f aca="false">VLOOKUP(B2285, Table3[#All], 2, FALSE())</f>
        <v>Maintance</v>
      </c>
      <c r="K2285" s="8" t="str">
        <f aca="false">TEXT(ROW(), "0000")</f>
        <v>2285</v>
      </c>
      <c r="L2285" s="8"/>
    </row>
    <row r="2286" customFormat="false" ht="15.75" hidden="false" customHeight="true" outlineLevel="0" collapsed="false">
      <c r="A2286" s="7" t="n">
        <v>45819</v>
      </c>
      <c r="B2286" s="8" t="s">
        <v>25</v>
      </c>
      <c r="C2286" s="9" t="n">
        <v>902</v>
      </c>
      <c r="D2286" s="8" t="s">
        <v>13</v>
      </c>
      <c r="E2286" s="10" t="s">
        <v>26</v>
      </c>
      <c r="F2286" s="8" t="str">
        <f aca="false">TEXT(A2286,"MM-YYYY")</f>
        <v>06-2025</v>
      </c>
      <c r="G2286" s="21" t="s">
        <v>14</v>
      </c>
      <c r="H2286" s="8" t="s">
        <v>13</v>
      </c>
      <c r="I2286" s="7" t="n">
        <v>45860</v>
      </c>
      <c r="J2286" s="8" t="str">
        <f aca="false">VLOOKUP(B2286, Table3[#All], 2, FALSE())</f>
        <v>Inventory</v>
      </c>
      <c r="K2286" s="8" t="str">
        <f aca="false">TEXT(ROW(), "0000")</f>
        <v>2286</v>
      </c>
      <c r="L2286" s="8"/>
    </row>
    <row r="2287" customFormat="false" ht="15.75" hidden="false" customHeight="true" outlineLevel="0" collapsed="false">
      <c r="A2287" s="7" t="n">
        <v>45819</v>
      </c>
      <c r="B2287" s="8" t="s">
        <v>19</v>
      </c>
      <c r="C2287" s="9" t="n">
        <v>4769</v>
      </c>
      <c r="D2287" s="8" t="s">
        <v>13</v>
      </c>
      <c r="E2287" s="10" t="s">
        <v>20</v>
      </c>
      <c r="F2287" s="8" t="str">
        <f aca="false">TEXT(A2287,"MM-YYYY")</f>
        <v>06-2025</v>
      </c>
      <c r="G2287" s="8" t="s">
        <v>14</v>
      </c>
      <c r="H2287" s="8" t="s">
        <v>13</v>
      </c>
      <c r="I2287" s="7" t="n">
        <v>45826</v>
      </c>
      <c r="J2287" s="8" t="str">
        <f aca="false">VLOOKUP(B2287, Table3[#All], 2, FALSE())</f>
        <v>Inventory</v>
      </c>
      <c r="K2287" s="8" t="str">
        <f aca="false">TEXT(ROW(), "0000")</f>
        <v>2287</v>
      </c>
      <c r="L2287" s="8"/>
    </row>
    <row r="2288" customFormat="false" ht="15.75" hidden="false" customHeight="true" outlineLevel="0" collapsed="false">
      <c r="A2288" s="7" t="n">
        <v>45819</v>
      </c>
      <c r="B2288" s="8" t="s">
        <v>47</v>
      </c>
      <c r="C2288" s="9" t="n">
        <v>1680</v>
      </c>
      <c r="D2288" s="8" t="s">
        <v>13</v>
      </c>
      <c r="E2288" s="10" t="s">
        <v>339</v>
      </c>
      <c r="F2288" s="8" t="str">
        <f aca="false">TEXT(A2288,"MM-YYYY")</f>
        <v>06-2025</v>
      </c>
      <c r="G2288" s="8" t="s">
        <v>14</v>
      </c>
      <c r="H2288" s="8" t="s">
        <v>13</v>
      </c>
      <c r="I2288" s="7" t="n">
        <v>45825</v>
      </c>
      <c r="J2288" s="8" t="str">
        <f aca="false">VLOOKUP(B2288, Table3[#All], 2, FALSE())</f>
        <v>Inventory</v>
      </c>
      <c r="K2288" s="8" t="str">
        <f aca="false">TEXT(ROW(), "0000")</f>
        <v>2288</v>
      </c>
      <c r="L2288" s="8"/>
    </row>
    <row r="2289" customFormat="false" ht="15.75" hidden="false" customHeight="true" outlineLevel="0" collapsed="false">
      <c r="A2289" s="7" t="n">
        <v>45819</v>
      </c>
      <c r="B2289" s="8" t="s">
        <v>22</v>
      </c>
      <c r="C2289" s="9" t="n">
        <v>1029</v>
      </c>
      <c r="D2289" s="8" t="s">
        <v>13</v>
      </c>
      <c r="E2289" s="10" t="s">
        <v>23</v>
      </c>
      <c r="F2289" s="8" t="str">
        <f aca="false">TEXT(A2289,"MM-YYYY")</f>
        <v>06-2025</v>
      </c>
      <c r="G2289" s="8" t="s">
        <v>14</v>
      </c>
      <c r="H2289" s="8" t="s">
        <v>13</v>
      </c>
      <c r="I2289" s="7" t="n">
        <v>45826</v>
      </c>
      <c r="J2289" s="8" t="str">
        <f aca="false">VLOOKUP(B2289, Table3[#All], 2, FALSE())</f>
        <v>Inventory</v>
      </c>
      <c r="K2289" s="8" t="str">
        <f aca="false">TEXT(ROW(), "0000")</f>
        <v>2289</v>
      </c>
      <c r="L2289" s="8"/>
    </row>
    <row r="2290" customFormat="false" ht="15.75" hidden="false" customHeight="true" outlineLevel="0" collapsed="false">
      <c r="A2290" s="7" t="n">
        <v>45819</v>
      </c>
      <c r="B2290" s="8" t="s">
        <v>40</v>
      </c>
      <c r="C2290" s="9" t="n">
        <v>2220</v>
      </c>
      <c r="D2290" s="8" t="s">
        <v>45</v>
      </c>
      <c r="E2290" s="10" t="s">
        <v>46</v>
      </c>
      <c r="F2290" s="8" t="str">
        <f aca="false">TEXT(A2290,"MM-YYYY")</f>
        <v>06-2025</v>
      </c>
      <c r="G2290" s="8" t="s">
        <v>14</v>
      </c>
      <c r="H2290" s="8" t="s">
        <v>232</v>
      </c>
      <c r="I2290" s="7" t="n">
        <v>45819</v>
      </c>
      <c r="J2290" s="8" t="str">
        <f aca="false">VLOOKUP(B2290, Table3[#All], 2, FALSE())</f>
        <v>Inventory</v>
      </c>
      <c r="K2290" s="8" t="str">
        <f aca="false">TEXT(ROW(), "0000")</f>
        <v>2290</v>
      </c>
      <c r="L2290" s="8"/>
    </row>
    <row r="2291" customFormat="false" ht="15.75" hidden="false" customHeight="true" outlineLevel="0" collapsed="false">
      <c r="A2291" s="7" t="n">
        <v>45819</v>
      </c>
      <c r="B2291" s="8" t="s">
        <v>32</v>
      </c>
      <c r="C2291" s="9" t="n">
        <v>210</v>
      </c>
      <c r="D2291" s="8" t="s">
        <v>21</v>
      </c>
      <c r="E2291" s="10" t="s">
        <v>38</v>
      </c>
      <c r="F2291" s="8" t="str">
        <f aca="false">TEXT(A2291,"MM-YYYY")</f>
        <v>06-2025</v>
      </c>
      <c r="G2291" s="8" t="s">
        <v>14</v>
      </c>
      <c r="H2291" s="8" t="s">
        <v>15</v>
      </c>
      <c r="I2291" s="7"/>
      <c r="J2291" s="8" t="str">
        <f aca="false">VLOOKUP(B2291, Table3[#All], 2, FALSE())</f>
        <v>Grocery</v>
      </c>
      <c r="K2291" s="8" t="str">
        <f aca="false">TEXT(ROW(), "0000")</f>
        <v>2291</v>
      </c>
      <c r="L2291" s="8"/>
    </row>
    <row r="2292" customFormat="false" ht="15.75" hidden="false" customHeight="true" outlineLevel="0" collapsed="false">
      <c r="A2292" s="7" t="n">
        <v>45819</v>
      </c>
      <c r="B2292" s="8" t="s">
        <v>29</v>
      </c>
      <c r="C2292" s="9" t="n">
        <v>80</v>
      </c>
      <c r="D2292" s="8" t="s">
        <v>45</v>
      </c>
      <c r="E2292" s="10" t="s">
        <v>134</v>
      </c>
      <c r="F2292" s="8" t="str">
        <f aca="false">TEXT(A2292,"MM-YYYY")</f>
        <v>06-2025</v>
      </c>
      <c r="G2292" s="8" t="s">
        <v>14</v>
      </c>
      <c r="H2292" s="8" t="s">
        <v>232</v>
      </c>
      <c r="I2292" s="7" t="n">
        <v>45819</v>
      </c>
      <c r="J2292" s="8" t="str">
        <f aca="false">VLOOKUP(B2292, Table3[#All], 2, FALSE())</f>
        <v>Inventory</v>
      </c>
      <c r="K2292" s="8" t="str">
        <f aca="false">TEXT(ROW(), "0000")</f>
        <v>2292</v>
      </c>
      <c r="L2292" s="8"/>
    </row>
    <row r="2293" customFormat="false" ht="15.75" hidden="false" customHeight="true" outlineLevel="0" collapsed="false">
      <c r="A2293" s="7" t="n">
        <v>45819</v>
      </c>
      <c r="B2293" s="8" t="s">
        <v>36</v>
      </c>
      <c r="C2293" s="9" t="n">
        <v>3850</v>
      </c>
      <c r="D2293" s="8" t="s">
        <v>13</v>
      </c>
      <c r="E2293" s="8" t="s">
        <v>36</v>
      </c>
      <c r="F2293" s="8" t="str">
        <f aca="false">TEXT(A2293,"MM-YYYY")</f>
        <v>06-2025</v>
      </c>
      <c r="G2293" s="8" t="s">
        <v>14</v>
      </c>
      <c r="H2293" s="8" t="s">
        <v>13</v>
      </c>
      <c r="I2293" s="7" t="n">
        <v>45819</v>
      </c>
      <c r="J2293" s="8" t="str">
        <f aca="false">VLOOKUP(B2293, Table3[#All], 2, FALSE())</f>
        <v>Maintance</v>
      </c>
      <c r="K2293" s="8" t="str">
        <f aca="false">TEXT(ROW(), "0000")</f>
        <v>2293</v>
      </c>
      <c r="L2293" s="8"/>
    </row>
    <row r="2294" customFormat="false" ht="15.75" hidden="false" customHeight="true" outlineLevel="0" collapsed="false">
      <c r="A2294" s="7" t="n">
        <v>45819</v>
      </c>
      <c r="B2294" s="8" t="s">
        <v>16</v>
      </c>
      <c r="C2294" s="9" t="n">
        <v>1992</v>
      </c>
      <c r="D2294" s="8" t="s">
        <v>21</v>
      </c>
      <c r="E2294" s="10" t="s">
        <v>88</v>
      </c>
      <c r="F2294" s="8" t="str">
        <f aca="false">TEXT(A2294,"MM-YYYY")</f>
        <v>06-2025</v>
      </c>
      <c r="G2294" s="8"/>
      <c r="H2294" s="8"/>
      <c r="I2294" s="7"/>
      <c r="J2294" s="8" t="str">
        <f aca="false">VLOOKUP(B2294, Table3[#All], 2, FALSE())</f>
        <v>Sales</v>
      </c>
      <c r="K2294" s="8" t="str">
        <f aca="false">TEXT(ROW(), "0000")</f>
        <v>2294</v>
      </c>
      <c r="L2294" s="8"/>
    </row>
    <row r="2295" customFormat="false" ht="15.75" hidden="false" customHeight="true" outlineLevel="0" collapsed="false">
      <c r="A2295" s="7" t="n">
        <v>45819</v>
      </c>
      <c r="B2295" s="8" t="s">
        <v>16</v>
      </c>
      <c r="C2295" s="9" t="n">
        <v>2360</v>
      </c>
      <c r="D2295" s="8" t="s">
        <v>27</v>
      </c>
      <c r="E2295" s="10" t="s">
        <v>88</v>
      </c>
      <c r="F2295" s="8" t="str">
        <f aca="false">TEXT(A2295,"MM-YYYY")</f>
        <v>06-2025</v>
      </c>
      <c r="G2295" s="8"/>
      <c r="H2295" s="8"/>
      <c r="I2295" s="7"/>
      <c r="J2295" s="8" t="str">
        <f aca="false">VLOOKUP(B2295, Table3[#All], 2, FALSE())</f>
        <v>Sales</v>
      </c>
      <c r="K2295" s="8" t="str">
        <f aca="false">TEXT(ROW(), "0000")</f>
        <v>2295</v>
      </c>
      <c r="L2295" s="8"/>
    </row>
    <row r="2296" customFormat="false" ht="15.75" hidden="false" customHeight="true" outlineLevel="0" collapsed="false">
      <c r="A2296" s="7" t="n">
        <v>45819</v>
      </c>
      <c r="B2296" s="8" t="s">
        <v>16</v>
      </c>
      <c r="C2296" s="9" t="n">
        <v>460</v>
      </c>
      <c r="D2296" s="8" t="s">
        <v>33</v>
      </c>
      <c r="E2296" s="10" t="s">
        <v>88</v>
      </c>
      <c r="F2296" s="8" t="str">
        <f aca="false">TEXT(A2296,"MM-YYYY")</f>
        <v>06-2025</v>
      </c>
      <c r="G2296" s="8"/>
      <c r="H2296" s="8"/>
      <c r="I2296" s="7"/>
      <c r="J2296" s="8" t="str">
        <f aca="false">VLOOKUP(B2296, Table3[#All], 2, FALSE())</f>
        <v>Sales</v>
      </c>
      <c r="K2296" s="8" t="str">
        <f aca="false">TEXT(ROW(), "0000")</f>
        <v>2296</v>
      </c>
      <c r="L2296" s="8"/>
    </row>
    <row r="2297" customFormat="false" ht="15.75" hidden="false" customHeight="true" outlineLevel="0" collapsed="false">
      <c r="A2297" s="7" t="n">
        <v>45819</v>
      </c>
      <c r="B2297" s="8" t="s">
        <v>16</v>
      </c>
      <c r="C2297" s="9" t="n">
        <v>12040</v>
      </c>
      <c r="D2297" s="8" t="s">
        <v>17</v>
      </c>
      <c r="E2297" s="10" t="s">
        <v>88</v>
      </c>
      <c r="F2297" s="8" t="str">
        <f aca="false">TEXT(A2297,"MM-YYYY")</f>
        <v>06-2025</v>
      </c>
      <c r="G2297" s="8"/>
      <c r="H2297" s="8"/>
      <c r="I2297" s="7"/>
      <c r="J2297" s="8" t="str">
        <f aca="false">VLOOKUP(B2297, Table3[#All], 2, FALSE())</f>
        <v>Sales</v>
      </c>
      <c r="K2297" s="8" t="str">
        <f aca="false">TEXT(ROW(), "0000")</f>
        <v>2297</v>
      </c>
      <c r="L2297" s="8"/>
    </row>
    <row r="2298" customFormat="false" ht="15.75" hidden="false" customHeight="true" outlineLevel="0" collapsed="false">
      <c r="A2298" s="7" t="n">
        <v>45819</v>
      </c>
      <c r="B2298" s="8" t="s">
        <v>16</v>
      </c>
      <c r="C2298" s="9" t="n">
        <v>1230</v>
      </c>
      <c r="D2298" s="8" t="s">
        <v>59</v>
      </c>
      <c r="E2298" s="10" t="s">
        <v>88</v>
      </c>
      <c r="F2298" s="8" t="str">
        <f aca="false">TEXT(A2298,"MM-YYYY")</f>
        <v>06-2025</v>
      </c>
      <c r="G2298" s="8"/>
      <c r="H2298" s="8"/>
      <c r="I2298" s="7"/>
      <c r="J2298" s="8" t="str">
        <f aca="false">VLOOKUP(B2298, Table3[#All], 2, FALSE())</f>
        <v>Sales</v>
      </c>
      <c r="K2298" s="8" t="str">
        <f aca="false">TEXT(ROW(), "0000")</f>
        <v>2298</v>
      </c>
      <c r="L2298" s="8"/>
    </row>
    <row r="2299" customFormat="false" ht="15.75" hidden="false" customHeight="true" outlineLevel="0" collapsed="false">
      <c r="A2299" s="7" t="n">
        <v>45819</v>
      </c>
      <c r="B2299" s="8" t="s">
        <v>16</v>
      </c>
      <c r="C2299" s="9" t="n">
        <v>4154</v>
      </c>
      <c r="D2299" s="8" t="s">
        <v>24</v>
      </c>
      <c r="E2299" s="10" t="s">
        <v>217</v>
      </c>
      <c r="F2299" s="8" t="str">
        <f aca="false">TEXT(A2299,"MM-YYYY")</f>
        <v>06-2025</v>
      </c>
      <c r="G2299" s="8"/>
      <c r="H2299" s="8"/>
      <c r="I2299" s="7"/>
      <c r="J2299" s="8" t="str">
        <f aca="false">VLOOKUP(B2299, Table3[#All], 2, FALSE())</f>
        <v>Sales</v>
      </c>
      <c r="K2299" s="8" t="str">
        <f aca="false">TEXT(ROW(), "0000")</f>
        <v>2299</v>
      </c>
      <c r="L2299" s="8"/>
    </row>
    <row r="2300" customFormat="false" ht="15.75" hidden="false" customHeight="true" outlineLevel="0" collapsed="false">
      <c r="A2300" s="7" t="n">
        <v>45819</v>
      </c>
      <c r="B2300" s="8" t="s">
        <v>34</v>
      </c>
      <c r="C2300" s="9" t="n">
        <v>232</v>
      </c>
      <c r="D2300" s="8" t="s">
        <v>45</v>
      </c>
      <c r="E2300" s="10" t="s">
        <v>274</v>
      </c>
      <c r="F2300" s="8" t="str">
        <f aca="false">TEXT(A2300,"MM-YYYY")</f>
        <v>06-2025</v>
      </c>
      <c r="G2300" s="8" t="s">
        <v>14</v>
      </c>
      <c r="H2300" s="8" t="s">
        <v>232</v>
      </c>
      <c r="I2300" s="7" t="n">
        <v>45819</v>
      </c>
      <c r="J2300" s="8" t="str">
        <f aca="false">VLOOKUP(B2300, Table3[#All], 2, FALSE())</f>
        <v>Staff Expenses</v>
      </c>
      <c r="K2300" s="8" t="str">
        <f aca="false">TEXT(ROW(), "0000")</f>
        <v>2300</v>
      </c>
      <c r="L2300" s="8"/>
    </row>
    <row r="2301" customFormat="false" ht="15.75" hidden="false" customHeight="true" outlineLevel="0" collapsed="false">
      <c r="A2301" s="7" t="n">
        <v>45819</v>
      </c>
      <c r="B2301" s="8" t="s">
        <v>29</v>
      </c>
      <c r="C2301" s="9" t="n">
        <v>493</v>
      </c>
      <c r="D2301" s="8" t="s">
        <v>13</v>
      </c>
      <c r="E2301" s="10" t="s">
        <v>302</v>
      </c>
      <c r="F2301" s="8" t="str">
        <f aca="false">TEXT(A2301,"MM-YYYY")</f>
        <v>06-2025</v>
      </c>
      <c r="G2301" s="8" t="s">
        <v>14</v>
      </c>
      <c r="H2301" s="8" t="s">
        <v>13</v>
      </c>
      <c r="I2301" s="7" t="n">
        <v>45839</v>
      </c>
      <c r="J2301" s="8" t="str">
        <f aca="false">VLOOKUP(B2301, Table3[#All], 2, FALSE())</f>
        <v>Inventory</v>
      </c>
      <c r="K2301" s="8" t="str">
        <f aca="false">TEXT(ROW(), "0000")</f>
        <v>2301</v>
      </c>
      <c r="L2301" s="8"/>
    </row>
    <row r="2302" customFormat="false" ht="15.75" hidden="false" customHeight="true" outlineLevel="0" collapsed="false">
      <c r="A2302" s="7" t="n">
        <v>45820</v>
      </c>
      <c r="B2302" s="8" t="s">
        <v>25</v>
      </c>
      <c r="C2302" s="9" t="n">
        <v>1212</v>
      </c>
      <c r="D2302" s="8" t="s">
        <v>13</v>
      </c>
      <c r="E2302" s="10" t="s">
        <v>26</v>
      </c>
      <c r="F2302" s="8" t="str">
        <f aca="false">TEXT(A2302,"MM-YYYY")</f>
        <v>06-2025</v>
      </c>
      <c r="G2302" s="8" t="s">
        <v>14</v>
      </c>
      <c r="H2302" s="8" t="s">
        <v>13</v>
      </c>
      <c r="I2302" s="7" t="n">
        <v>45860</v>
      </c>
      <c r="J2302" s="8" t="str">
        <f aca="false">VLOOKUP(B2302, Table3[#All], 2, FALSE())</f>
        <v>Inventory</v>
      </c>
      <c r="K2302" s="8" t="str">
        <f aca="false">TEXT(ROW(), "0000")</f>
        <v>2302</v>
      </c>
      <c r="L2302" s="8"/>
    </row>
    <row r="2303" customFormat="false" ht="15.75" hidden="false" customHeight="true" outlineLevel="0" collapsed="false">
      <c r="A2303" s="7" t="n">
        <v>45820</v>
      </c>
      <c r="B2303" s="8" t="s">
        <v>19</v>
      </c>
      <c r="C2303" s="9" t="n">
        <v>2656</v>
      </c>
      <c r="D2303" s="8" t="s">
        <v>13</v>
      </c>
      <c r="E2303" s="10" t="s">
        <v>20</v>
      </c>
      <c r="F2303" s="8" t="str">
        <f aca="false">TEXT(A2303,"MM-YYYY")</f>
        <v>06-2025</v>
      </c>
      <c r="G2303" s="8" t="s">
        <v>14</v>
      </c>
      <c r="H2303" s="8" t="s">
        <v>13</v>
      </c>
      <c r="I2303" s="7" t="n">
        <v>45826</v>
      </c>
      <c r="J2303" s="8" t="str">
        <f aca="false">VLOOKUP(B2303, Table3[#All], 2, FALSE())</f>
        <v>Inventory</v>
      </c>
      <c r="K2303" s="8" t="str">
        <f aca="false">TEXT(ROW(), "0000")</f>
        <v>2303</v>
      </c>
      <c r="L2303" s="8"/>
    </row>
    <row r="2304" customFormat="false" ht="15.75" hidden="false" customHeight="true" outlineLevel="0" collapsed="false">
      <c r="A2304" s="7" t="n">
        <v>45820</v>
      </c>
      <c r="B2304" s="8" t="s">
        <v>22</v>
      </c>
      <c r="C2304" s="9" t="n">
        <v>5624</v>
      </c>
      <c r="D2304" s="8" t="s">
        <v>13</v>
      </c>
      <c r="E2304" s="10" t="s">
        <v>23</v>
      </c>
      <c r="F2304" s="8" t="str">
        <f aca="false">TEXT(A2304,"MM-YYYY")</f>
        <v>06-2025</v>
      </c>
      <c r="G2304" s="8" t="s">
        <v>14</v>
      </c>
      <c r="H2304" s="8" t="s">
        <v>13</v>
      </c>
      <c r="I2304" s="7" t="n">
        <v>45826</v>
      </c>
      <c r="J2304" s="8" t="str">
        <f aca="false">VLOOKUP(B2304, Table3[#All], 2, FALSE())</f>
        <v>Inventory</v>
      </c>
      <c r="K2304" s="8" t="str">
        <f aca="false">TEXT(ROW(), "0000")</f>
        <v>2304</v>
      </c>
      <c r="L2304" s="8"/>
    </row>
    <row r="2305" customFormat="false" ht="15.75" hidden="false" customHeight="true" outlineLevel="0" collapsed="false">
      <c r="A2305" s="7" t="n">
        <v>45820</v>
      </c>
      <c r="B2305" s="8" t="s">
        <v>51</v>
      </c>
      <c r="C2305" s="9" t="n">
        <v>8000</v>
      </c>
      <c r="D2305" s="8" t="s">
        <v>13</v>
      </c>
      <c r="E2305" s="10" t="s">
        <v>226</v>
      </c>
      <c r="F2305" s="8" t="str">
        <f aca="false">TEXT(A2305,"MM-YYYY")</f>
        <v>06-2025</v>
      </c>
      <c r="G2305" s="8" t="s">
        <v>14</v>
      </c>
      <c r="H2305" s="8" t="s">
        <v>13</v>
      </c>
      <c r="I2305" s="7" t="n">
        <v>45845</v>
      </c>
      <c r="J2305" s="8" t="str">
        <f aca="false">VLOOKUP(B2305, Table3[#All], 2, FALSE())</f>
        <v>Inventory</v>
      </c>
      <c r="K2305" s="8" t="str">
        <f aca="false">TEXT(ROW(), "0000")</f>
        <v>2305</v>
      </c>
      <c r="L2305" s="8"/>
    </row>
    <row r="2306" customFormat="false" ht="15.75" hidden="false" customHeight="true" outlineLevel="0" collapsed="false">
      <c r="A2306" s="7" t="n">
        <v>45820</v>
      </c>
      <c r="B2306" s="8" t="s">
        <v>28</v>
      </c>
      <c r="C2306" s="9" t="n">
        <v>915</v>
      </c>
      <c r="D2306" s="8" t="s">
        <v>21</v>
      </c>
      <c r="E2306" s="10" t="s">
        <v>93</v>
      </c>
      <c r="F2306" s="8" t="str">
        <f aca="false">TEXT(A2306,"MM-YYYY")</f>
        <v>06-2025</v>
      </c>
      <c r="G2306" s="8" t="s">
        <v>14</v>
      </c>
      <c r="H2306" s="8" t="s">
        <v>15</v>
      </c>
      <c r="I2306" s="7" t="n">
        <v>45820</v>
      </c>
      <c r="J2306" s="8" t="str">
        <f aca="false">VLOOKUP(B2306, Table3[#All], 2, FALSE())</f>
        <v>Grocery</v>
      </c>
      <c r="K2306" s="8" t="str">
        <f aca="false">TEXT(ROW(), "0000")</f>
        <v>2306</v>
      </c>
      <c r="L2306" s="8"/>
    </row>
    <row r="2307" customFormat="false" ht="15.75" hidden="false" customHeight="true" outlineLevel="0" collapsed="false">
      <c r="A2307" s="7" t="n">
        <v>45820</v>
      </c>
      <c r="B2307" s="8" t="s">
        <v>16</v>
      </c>
      <c r="C2307" s="9" t="n">
        <v>4055</v>
      </c>
      <c r="D2307" s="8" t="s">
        <v>21</v>
      </c>
      <c r="E2307" s="10" t="s">
        <v>88</v>
      </c>
      <c r="F2307" s="8" t="str">
        <f aca="false">TEXT(A2307,"MM-YYYY")</f>
        <v>06-2025</v>
      </c>
      <c r="G2307" s="8"/>
      <c r="H2307" s="8"/>
      <c r="I2307" s="7"/>
      <c r="J2307" s="8" t="str">
        <f aca="false">VLOOKUP(B2307, Table3[#All], 2, FALSE())</f>
        <v>Sales</v>
      </c>
      <c r="K2307" s="8" t="str">
        <f aca="false">TEXT(ROW(), "0000")</f>
        <v>2307</v>
      </c>
      <c r="L2307" s="8"/>
    </row>
    <row r="2308" customFormat="false" ht="15.75" hidden="false" customHeight="true" outlineLevel="0" collapsed="false">
      <c r="A2308" s="7" t="n">
        <v>45820</v>
      </c>
      <c r="B2308" s="8" t="s">
        <v>16</v>
      </c>
      <c r="C2308" s="9" t="n">
        <v>1165</v>
      </c>
      <c r="D2308" s="8" t="s">
        <v>27</v>
      </c>
      <c r="E2308" s="10" t="s">
        <v>88</v>
      </c>
      <c r="F2308" s="8" t="str">
        <f aca="false">TEXT(A2308,"MM-YYYY")</f>
        <v>06-2025</v>
      </c>
      <c r="G2308" s="8"/>
      <c r="H2308" s="8"/>
      <c r="I2308" s="7"/>
      <c r="J2308" s="8" t="str">
        <f aca="false">VLOOKUP(B2308, Table3[#All], 2, FALSE())</f>
        <v>Sales</v>
      </c>
      <c r="K2308" s="8" t="str">
        <f aca="false">TEXT(ROW(), "0000")</f>
        <v>2308</v>
      </c>
      <c r="L2308" s="8"/>
    </row>
    <row r="2309" customFormat="false" ht="15.75" hidden="false" customHeight="true" outlineLevel="0" collapsed="false">
      <c r="A2309" s="7" t="n">
        <v>45820</v>
      </c>
      <c r="B2309" s="8" t="s">
        <v>16</v>
      </c>
      <c r="C2309" s="9" t="n">
        <v>420</v>
      </c>
      <c r="D2309" s="8" t="s">
        <v>33</v>
      </c>
      <c r="E2309" s="10" t="s">
        <v>88</v>
      </c>
      <c r="F2309" s="8" t="str">
        <f aca="false">TEXT(A2309,"MM-YYYY")</f>
        <v>06-2025</v>
      </c>
      <c r="G2309" s="8"/>
      <c r="H2309" s="8"/>
      <c r="I2309" s="7"/>
      <c r="J2309" s="8" t="str">
        <f aca="false">VLOOKUP(B2309, Table3[#All], 2, FALSE())</f>
        <v>Sales</v>
      </c>
      <c r="K2309" s="8" t="str">
        <f aca="false">TEXT(ROW(), "0000")</f>
        <v>2309</v>
      </c>
      <c r="L2309" s="8"/>
    </row>
    <row r="2310" customFormat="false" ht="15.75" hidden="false" customHeight="true" outlineLevel="0" collapsed="false">
      <c r="A2310" s="7" t="n">
        <v>45820</v>
      </c>
      <c r="B2310" s="8" t="s">
        <v>16</v>
      </c>
      <c r="C2310" s="9" t="n">
        <v>8805</v>
      </c>
      <c r="D2310" s="8" t="s">
        <v>17</v>
      </c>
      <c r="E2310" s="10" t="s">
        <v>88</v>
      </c>
      <c r="F2310" s="8" t="str">
        <f aca="false">TEXT(A2310,"MM-YYYY")</f>
        <v>06-2025</v>
      </c>
      <c r="G2310" s="8"/>
      <c r="H2310" s="8"/>
      <c r="I2310" s="7"/>
      <c r="J2310" s="8" t="str">
        <f aca="false">VLOOKUP(B2310, Table3[#All], 2, FALSE())</f>
        <v>Sales</v>
      </c>
      <c r="K2310" s="8" t="str">
        <f aca="false">TEXT(ROW(), "0000")</f>
        <v>2310</v>
      </c>
      <c r="L2310" s="8"/>
    </row>
    <row r="2311" customFormat="false" ht="15.75" hidden="false" customHeight="true" outlineLevel="0" collapsed="false">
      <c r="A2311" s="7" t="n">
        <v>45820</v>
      </c>
      <c r="B2311" s="8" t="s">
        <v>16</v>
      </c>
      <c r="C2311" s="9" t="n">
        <v>2820</v>
      </c>
      <c r="D2311" s="8" t="s">
        <v>24</v>
      </c>
      <c r="E2311" s="10" t="s">
        <v>217</v>
      </c>
      <c r="F2311" s="8" t="str">
        <f aca="false">TEXT(A2311,"MM-YYYY")</f>
        <v>06-2025</v>
      </c>
      <c r="G2311" s="8"/>
      <c r="H2311" s="8"/>
      <c r="I2311" s="7"/>
      <c r="J2311" s="8" t="str">
        <f aca="false">VLOOKUP(B2311, Table3[#All], 2, FALSE())</f>
        <v>Sales</v>
      </c>
      <c r="K2311" s="8" t="str">
        <f aca="false">TEXT(ROW(), "0000")</f>
        <v>2311</v>
      </c>
      <c r="L2311" s="8"/>
    </row>
    <row r="2312" customFormat="false" ht="15.75" hidden="false" customHeight="true" outlineLevel="0" collapsed="false">
      <c r="A2312" s="7" t="n">
        <v>45820</v>
      </c>
      <c r="B2312" s="8" t="s">
        <v>34</v>
      </c>
      <c r="C2312" s="9" t="n">
        <v>160</v>
      </c>
      <c r="D2312" s="8" t="s">
        <v>45</v>
      </c>
      <c r="E2312" s="10" t="s">
        <v>274</v>
      </c>
      <c r="F2312" s="8" t="str">
        <f aca="false">TEXT(A2312,"MM-YYYY")</f>
        <v>06-2025</v>
      </c>
      <c r="G2312" s="8" t="s">
        <v>14</v>
      </c>
      <c r="H2312" s="8" t="s">
        <v>232</v>
      </c>
      <c r="I2312" s="7" t="n">
        <v>45820</v>
      </c>
      <c r="J2312" s="8" t="str">
        <f aca="false">VLOOKUP(B2312, Table3[#All], 2, FALSE())</f>
        <v>Staff Expenses</v>
      </c>
      <c r="K2312" s="8" t="str">
        <f aca="false">TEXT(ROW(), "0000")</f>
        <v>2312</v>
      </c>
      <c r="L2312" s="8"/>
    </row>
    <row r="2313" customFormat="false" ht="15.75" hidden="false" customHeight="true" outlineLevel="0" collapsed="false">
      <c r="A2313" s="7" t="n">
        <v>45820</v>
      </c>
      <c r="B2313" s="8" t="s">
        <v>43</v>
      </c>
      <c r="C2313" s="9" t="n">
        <v>330</v>
      </c>
      <c r="D2313" s="8" t="s">
        <v>45</v>
      </c>
      <c r="E2313" s="10" t="s">
        <v>279</v>
      </c>
      <c r="F2313" s="8" t="str">
        <f aca="false">TEXT(A2313,"MM-YYYY")</f>
        <v>06-2025</v>
      </c>
      <c r="G2313" s="8" t="s">
        <v>14</v>
      </c>
      <c r="H2313" s="8" t="s">
        <v>232</v>
      </c>
      <c r="I2313" s="7" t="n">
        <v>45820</v>
      </c>
      <c r="J2313" s="8" t="str">
        <f aca="false">VLOOKUP(B2313, Table3[#All], 2, FALSE())</f>
        <v>Maintance</v>
      </c>
      <c r="K2313" s="8" t="str">
        <f aca="false">TEXT(ROW(), "0000")</f>
        <v>2313</v>
      </c>
      <c r="L2313" s="8"/>
    </row>
    <row r="2314" customFormat="false" ht="15.75" hidden="false" customHeight="true" outlineLevel="0" collapsed="false">
      <c r="A2314" s="7" t="n">
        <v>45820</v>
      </c>
      <c r="B2314" s="8" t="s">
        <v>29</v>
      </c>
      <c r="C2314" s="9" t="n">
        <v>366</v>
      </c>
      <c r="D2314" s="8" t="s">
        <v>13</v>
      </c>
      <c r="E2314" s="10" t="s">
        <v>302</v>
      </c>
      <c r="F2314" s="8" t="str">
        <f aca="false">TEXT(A2314,"MM-YYYY")</f>
        <v>06-2025</v>
      </c>
      <c r="G2314" s="8" t="s">
        <v>14</v>
      </c>
      <c r="H2314" s="8" t="s">
        <v>13</v>
      </c>
      <c r="I2314" s="7" t="n">
        <v>45839</v>
      </c>
      <c r="J2314" s="8" t="str">
        <f aca="false">VLOOKUP(B2314, Table3[#All], 2, FALSE())</f>
        <v>Inventory</v>
      </c>
      <c r="K2314" s="8" t="str">
        <f aca="false">TEXT(ROW(), "0000")</f>
        <v>2314</v>
      </c>
      <c r="L2314" s="8"/>
    </row>
    <row r="2315" customFormat="false" ht="15.75" hidden="false" customHeight="true" outlineLevel="0" collapsed="false">
      <c r="A2315" s="7" t="n">
        <v>45820</v>
      </c>
      <c r="B2315" s="8" t="s">
        <v>44</v>
      </c>
      <c r="C2315" s="9" t="n">
        <v>300</v>
      </c>
      <c r="D2315" s="8" t="s">
        <v>45</v>
      </c>
      <c r="E2315" s="10" t="s">
        <v>86</v>
      </c>
      <c r="F2315" s="8" t="str">
        <f aca="false">TEXT(A2315,"MM-YYYY")</f>
        <v>06-2025</v>
      </c>
      <c r="G2315" s="8" t="s">
        <v>14</v>
      </c>
      <c r="H2315" s="8" t="s">
        <v>232</v>
      </c>
      <c r="I2315" s="7" t="n">
        <v>45820</v>
      </c>
      <c r="J2315" s="8" t="str">
        <f aca="false">VLOOKUP(B2315, Table3[#All], 2, FALSE())</f>
        <v>Salary</v>
      </c>
      <c r="K2315" s="8" t="str">
        <f aca="false">TEXT(ROW(), "0000")</f>
        <v>2315</v>
      </c>
      <c r="L2315" s="8"/>
    </row>
    <row r="2316" customFormat="false" ht="15.75" hidden="false" customHeight="true" outlineLevel="0" collapsed="false">
      <c r="A2316" s="7" t="n">
        <v>45821</v>
      </c>
      <c r="B2316" s="8" t="s">
        <v>19</v>
      </c>
      <c r="C2316" s="9" t="n">
        <v>3392</v>
      </c>
      <c r="D2316" s="8" t="s">
        <v>13</v>
      </c>
      <c r="E2316" s="10" t="s">
        <v>20</v>
      </c>
      <c r="F2316" s="8" t="str">
        <f aca="false">TEXT(A2316,"MM-YYYY")</f>
        <v>06-2025</v>
      </c>
      <c r="G2316" s="8" t="s">
        <v>14</v>
      </c>
      <c r="H2316" s="8" t="s">
        <v>13</v>
      </c>
      <c r="I2316" s="7" t="n">
        <v>45826</v>
      </c>
      <c r="J2316" s="8" t="str">
        <f aca="false">VLOOKUP(B2316, Table3[#All], 2, FALSE())</f>
        <v>Inventory</v>
      </c>
      <c r="K2316" s="8" t="str">
        <f aca="false">TEXT(ROW(), "0000")</f>
        <v>2316</v>
      </c>
      <c r="L2316" s="8"/>
    </row>
    <row r="2317" customFormat="false" ht="15.75" hidden="false" customHeight="true" outlineLevel="0" collapsed="false">
      <c r="A2317" s="7" t="n">
        <v>45821</v>
      </c>
      <c r="B2317" s="8" t="s">
        <v>47</v>
      </c>
      <c r="C2317" s="9" t="n">
        <v>1680</v>
      </c>
      <c r="D2317" s="8" t="s">
        <v>13</v>
      </c>
      <c r="E2317" s="10" t="s">
        <v>339</v>
      </c>
      <c r="F2317" s="8" t="str">
        <f aca="false">TEXT(A2317,"MM-YYYY")</f>
        <v>06-2025</v>
      </c>
      <c r="G2317" s="8" t="s">
        <v>14</v>
      </c>
      <c r="H2317" s="8" t="s">
        <v>13</v>
      </c>
      <c r="I2317" s="7" t="n">
        <v>45825</v>
      </c>
      <c r="J2317" s="8" t="str">
        <f aca="false">VLOOKUP(B2317, Table3[#All], 2, FALSE())</f>
        <v>Inventory</v>
      </c>
      <c r="K2317" s="8" t="str">
        <f aca="false">TEXT(ROW(), "0000")</f>
        <v>2317</v>
      </c>
      <c r="L2317" s="8"/>
    </row>
    <row r="2318" customFormat="false" ht="15.75" hidden="false" customHeight="true" outlineLevel="0" collapsed="false">
      <c r="A2318" s="7" t="n">
        <v>45821</v>
      </c>
      <c r="B2318" s="8" t="s">
        <v>25</v>
      </c>
      <c r="C2318" s="9" t="n">
        <v>725</v>
      </c>
      <c r="D2318" s="8" t="s">
        <v>13</v>
      </c>
      <c r="E2318" s="10" t="s">
        <v>26</v>
      </c>
      <c r="F2318" s="8" t="str">
        <f aca="false">TEXT(A2318,"MM-YYYY")</f>
        <v>06-2025</v>
      </c>
      <c r="G2318" s="21" t="s">
        <v>14</v>
      </c>
      <c r="H2318" s="8" t="s">
        <v>13</v>
      </c>
      <c r="I2318" s="7" t="n">
        <v>45860</v>
      </c>
      <c r="J2318" s="8" t="str">
        <f aca="false">VLOOKUP(B2318, Table3[#All], 2, FALSE())</f>
        <v>Inventory</v>
      </c>
      <c r="K2318" s="8" t="str">
        <f aca="false">TEXT(ROW(), "0000")</f>
        <v>2318</v>
      </c>
      <c r="L2318" s="8"/>
    </row>
    <row r="2319" customFormat="false" ht="15.75" hidden="false" customHeight="true" outlineLevel="0" collapsed="false">
      <c r="A2319" s="7" t="n">
        <v>45821</v>
      </c>
      <c r="B2319" s="8" t="s">
        <v>22</v>
      </c>
      <c r="C2319" s="9" t="n">
        <v>1941</v>
      </c>
      <c r="D2319" s="8" t="s">
        <v>13</v>
      </c>
      <c r="E2319" s="10" t="s">
        <v>23</v>
      </c>
      <c r="F2319" s="8" t="str">
        <f aca="false">TEXT(A2319,"MM-YYYY")</f>
        <v>06-2025</v>
      </c>
      <c r="G2319" s="8" t="s">
        <v>14</v>
      </c>
      <c r="H2319" s="8" t="s">
        <v>13</v>
      </c>
      <c r="I2319" s="7" t="n">
        <v>45833</v>
      </c>
      <c r="J2319" s="8" t="str">
        <f aca="false">VLOOKUP(B2319, Table3[#All], 2, FALSE())</f>
        <v>Inventory</v>
      </c>
      <c r="K2319" s="8" t="str">
        <f aca="false">TEXT(ROW(), "0000")</f>
        <v>2319</v>
      </c>
      <c r="L2319" s="8"/>
    </row>
    <row r="2320" customFormat="false" ht="15.75" hidden="false" customHeight="true" outlineLevel="0" collapsed="false">
      <c r="A2320" s="7" t="n">
        <v>45821</v>
      </c>
      <c r="B2320" s="8" t="s">
        <v>22</v>
      </c>
      <c r="C2320" s="9" t="n">
        <v>110</v>
      </c>
      <c r="D2320" s="8" t="s">
        <v>21</v>
      </c>
      <c r="E2320" s="10" t="s">
        <v>213</v>
      </c>
      <c r="F2320" s="8" t="str">
        <f aca="false">TEXT(A2320,"MM-YYYY")</f>
        <v>06-2025</v>
      </c>
      <c r="G2320" s="8" t="s">
        <v>14</v>
      </c>
      <c r="H2320" s="8" t="s">
        <v>15</v>
      </c>
      <c r="I2320" s="7" t="n">
        <v>45821</v>
      </c>
      <c r="J2320" s="8" t="str">
        <f aca="false">VLOOKUP(B2320, Table3[#All], 2, FALSE())</f>
        <v>Inventory</v>
      </c>
      <c r="K2320" s="8" t="str">
        <f aca="false">TEXT(ROW(), "0000")</f>
        <v>2320</v>
      </c>
      <c r="L2320" s="8"/>
    </row>
    <row r="2321" customFormat="false" ht="15.75" hidden="false" customHeight="true" outlineLevel="0" collapsed="false">
      <c r="A2321" s="7" t="n">
        <v>45821</v>
      </c>
      <c r="B2321" s="8" t="s">
        <v>32</v>
      </c>
      <c r="C2321" s="9" t="n">
        <v>210</v>
      </c>
      <c r="D2321" s="8" t="s">
        <v>21</v>
      </c>
      <c r="E2321" s="10" t="s">
        <v>38</v>
      </c>
      <c r="F2321" s="8" t="str">
        <f aca="false">TEXT(A2321,"MM-YYYY")</f>
        <v>06-2025</v>
      </c>
      <c r="G2321" s="8" t="s">
        <v>14</v>
      </c>
      <c r="H2321" s="8" t="s">
        <v>15</v>
      </c>
      <c r="I2321" s="7" t="n">
        <v>45821</v>
      </c>
      <c r="J2321" s="8" t="str">
        <f aca="false">VLOOKUP(B2321, Table3[#All], 2, FALSE())</f>
        <v>Grocery</v>
      </c>
      <c r="K2321" s="8" t="str">
        <f aca="false">TEXT(ROW(), "0000")</f>
        <v>2321</v>
      </c>
      <c r="L2321" s="8"/>
    </row>
    <row r="2322" customFormat="false" ht="15.75" hidden="false" customHeight="true" outlineLevel="0" collapsed="false">
      <c r="A2322" s="7" t="n">
        <v>45821</v>
      </c>
      <c r="B2322" s="8" t="s">
        <v>53</v>
      </c>
      <c r="C2322" s="9" t="n">
        <v>1200</v>
      </c>
      <c r="D2322" s="8" t="s">
        <v>45</v>
      </c>
      <c r="E2322" s="10" t="s">
        <v>55</v>
      </c>
      <c r="F2322" s="8" t="str">
        <f aca="false">TEXT(A2322,"MM-YYYY")</f>
        <v>06-2025</v>
      </c>
      <c r="G2322" s="8" t="s">
        <v>14</v>
      </c>
      <c r="H2322" s="8" t="s">
        <v>232</v>
      </c>
      <c r="I2322" s="7" t="n">
        <v>45821</v>
      </c>
      <c r="J2322" s="8" t="str">
        <f aca="false">VLOOKUP(B2322, Table3[#All], 2, FALSE())</f>
        <v>Grocery</v>
      </c>
      <c r="K2322" s="8" t="str">
        <f aca="false">TEXT(ROW(), "0000")</f>
        <v>2322</v>
      </c>
      <c r="L2322" s="8"/>
    </row>
    <row r="2323" customFormat="false" ht="15.75" hidden="false" customHeight="true" outlineLevel="0" collapsed="false">
      <c r="A2323" s="7" t="n">
        <v>45821</v>
      </c>
      <c r="B2323" s="8" t="s">
        <v>29</v>
      </c>
      <c r="C2323" s="9" t="n">
        <v>273</v>
      </c>
      <c r="D2323" s="8" t="s">
        <v>13</v>
      </c>
      <c r="E2323" s="10" t="s">
        <v>302</v>
      </c>
      <c r="F2323" s="8" t="str">
        <f aca="false">TEXT(A2323,"MM-YYYY")</f>
        <v>06-2025</v>
      </c>
      <c r="G2323" s="8" t="s">
        <v>14</v>
      </c>
      <c r="H2323" s="8" t="s">
        <v>13</v>
      </c>
      <c r="I2323" s="7" t="n">
        <v>45839</v>
      </c>
      <c r="J2323" s="8" t="str">
        <f aca="false">VLOOKUP(B2323, Table3[#All], 2, FALSE())</f>
        <v>Inventory</v>
      </c>
      <c r="K2323" s="8" t="str">
        <f aca="false">TEXT(ROW(), "0000")</f>
        <v>2323</v>
      </c>
      <c r="L2323" s="8"/>
    </row>
    <row r="2324" customFormat="false" ht="15.75" hidden="false" customHeight="true" outlineLevel="0" collapsed="false">
      <c r="A2324" s="7" t="n">
        <v>45821</v>
      </c>
      <c r="B2324" s="8" t="s">
        <v>31</v>
      </c>
      <c r="C2324" s="9" t="n">
        <v>310</v>
      </c>
      <c r="D2324" s="8" t="s">
        <v>45</v>
      </c>
      <c r="E2324" s="10" t="s">
        <v>236</v>
      </c>
      <c r="F2324" s="8" t="str">
        <f aca="false">TEXT(A2324,"MM-YYYY")</f>
        <v>06-2025</v>
      </c>
      <c r="G2324" s="8" t="s">
        <v>14</v>
      </c>
      <c r="H2324" s="8" t="s">
        <v>232</v>
      </c>
      <c r="I2324" s="7" t="n">
        <v>45821</v>
      </c>
      <c r="J2324" s="8" t="str">
        <f aca="false">VLOOKUP(B2324, Table3[#All], 2, FALSE())</f>
        <v>Bike Maintance</v>
      </c>
      <c r="K2324" s="8" t="str">
        <f aca="false">TEXT(ROW(), "0000")</f>
        <v>2324</v>
      </c>
      <c r="L2324" s="8"/>
    </row>
    <row r="2325" customFormat="false" ht="15.75" hidden="false" customHeight="true" outlineLevel="0" collapsed="false">
      <c r="A2325" s="7" t="n">
        <v>45821</v>
      </c>
      <c r="B2325" s="8" t="s">
        <v>40</v>
      </c>
      <c r="C2325" s="9" t="n">
        <v>400</v>
      </c>
      <c r="D2325" s="8" t="s">
        <v>45</v>
      </c>
      <c r="E2325" s="10" t="s">
        <v>46</v>
      </c>
      <c r="F2325" s="8" t="str">
        <f aca="false">TEXT(A2325,"MM-YYYY")</f>
        <v>06-2025</v>
      </c>
      <c r="G2325" s="8" t="s">
        <v>14</v>
      </c>
      <c r="H2325" s="8" t="s">
        <v>232</v>
      </c>
      <c r="I2325" s="7" t="n">
        <v>45821</v>
      </c>
      <c r="J2325" s="8" t="str">
        <f aca="false">VLOOKUP(B2325, Table3[#All], 2, FALSE())</f>
        <v>Inventory</v>
      </c>
      <c r="K2325" s="8" t="str">
        <f aca="false">TEXT(ROW(), "0000")</f>
        <v>2325</v>
      </c>
      <c r="L2325" s="8"/>
    </row>
    <row r="2326" customFormat="false" ht="15.75" hidden="false" customHeight="true" outlineLevel="0" collapsed="false">
      <c r="A2326" s="7" t="n">
        <v>45821</v>
      </c>
      <c r="B2326" s="8" t="s">
        <v>31</v>
      </c>
      <c r="C2326" s="9" t="n">
        <v>400</v>
      </c>
      <c r="D2326" s="8" t="s">
        <v>45</v>
      </c>
      <c r="E2326" s="10" t="s">
        <v>308</v>
      </c>
      <c r="F2326" s="8" t="str">
        <f aca="false">TEXT(A2326,"MM-YYYY")</f>
        <v>06-2025</v>
      </c>
      <c r="G2326" s="8" t="s">
        <v>14</v>
      </c>
      <c r="H2326" s="8" t="s">
        <v>232</v>
      </c>
      <c r="I2326" s="7" t="n">
        <v>45821</v>
      </c>
      <c r="J2326" s="8" t="str">
        <f aca="false">VLOOKUP(B2326, Table3[#All], 2, FALSE())</f>
        <v>Bike Maintance</v>
      </c>
      <c r="K2326" s="8" t="str">
        <f aca="false">TEXT(ROW(), "0000")</f>
        <v>2326</v>
      </c>
      <c r="L2326" s="8"/>
    </row>
    <row r="2327" customFormat="false" ht="15.75" hidden="false" customHeight="true" outlineLevel="0" collapsed="false">
      <c r="A2327" s="7" t="n">
        <v>45821</v>
      </c>
      <c r="B2327" s="8" t="s">
        <v>16</v>
      </c>
      <c r="C2327" s="9" t="n">
        <v>1420</v>
      </c>
      <c r="D2327" s="8" t="s">
        <v>21</v>
      </c>
      <c r="E2327" s="10" t="s">
        <v>88</v>
      </c>
      <c r="F2327" s="8" t="str">
        <f aca="false">TEXT(A2327,"MM-YYYY")</f>
        <v>06-2025</v>
      </c>
      <c r="G2327" s="8"/>
      <c r="H2327" s="8"/>
      <c r="I2327" s="7"/>
      <c r="J2327" s="8" t="str">
        <f aca="false">VLOOKUP(B2327, Table3[#All], 2, FALSE())</f>
        <v>Sales</v>
      </c>
      <c r="K2327" s="8" t="str">
        <f aca="false">TEXT(ROW(), "0000")</f>
        <v>2327</v>
      </c>
      <c r="L2327" s="8"/>
    </row>
    <row r="2328" customFormat="false" ht="15.75" hidden="false" customHeight="true" outlineLevel="0" collapsed="false">
      <c r="A2328" s="7" t="n">
        <v>45821</v>
      </c>
      <c r="B2328" s="8" t="s">
        <v>16</v>
      </c>
      <c r="C2328" s="9" t="n">
        <v>1790</v>
      </c>
      <c r="D2328" s="8" t="s">
        <v>33</v>
      </c>
      <c r="E2328" s="10" t="s">
        <v>88</v>
      </c>
      <c r="F2328" s="8" t="str">
        <f aca="false">TEXT(A2328,"MM-YYYY")</f>
        <v>06-2025</v>
      </c>
      <c r="G2328" s="8"/>
      <c r="H2328" s="8"/>
      <c r="I2328" s="7"/>
      <c r="J2328" s="8" t="str">
        <f aca="false">VLOOKUP(B2328, Table3[#All], 2, FALSE())</f>
        <v>Sales</v>
      </c>
      <c r="K2328" s="8" t="str">
        <f aca="false">TEXT(ROW(), "0000")</f>
        <v>2328</v>
      </c>
      <c r="L2328" s="8"/>
    </row>
    <row r="2329" customFormat="false" ht="15.75" hidden="false" customHeight="true" outlineLevel="0" collapsed="false">
      <c r="A2329" s="7" t="n">
        <v>45821</v>
      </c>
      <c r="B2329" s="8" t="s">
        <v>16</v>
      </c>
      <c r="C2329" s="9" t="n">
        <v>14970</v>
      </c>
      <c r="D2329" s="8" t="s">
        <v>17</v>
      </c>
      <c r="E2329" s="10" t="s">
        <v>88</v>
      </c>
      <c r="F2329" s="8" t="str">
        <f aca="false">TEXT(A2329,"MM-YYYY")</f>
        <v>06-2025</v>
      </c>
      <c r="G2329" s="8"/>
      <c r="H2329" s="8"/>
      <c r="I2329" s="7"/>
      <c r="J2329" s="8" t="str">
        <f aca="false">VLOOKUP(B2329, Table3[#All], 2, FALSE())</f>
        <v>Sales</v>
      </c>
      <c r="K2329" s="8" t="str">
        <f aca="false">TEXT(ROW(), "0000")</f>
        <v>2329</v>
      </c>
      <c r="L2329" s="8"/>
    </row>
    <row r="2330" customFormat="false" ht="15.75" hidden="false" customHeight="true" outlineLevel="0" collapsed="false">
      <c r="A2330" s="7" t="n">
        <v>45821</v>
      </c>
      <c r="B2330" s="8" t="s">
        <v>16</v>
      </c>
      <c r="C2330" s="9" t="n">
        <v>1256</v>
      </c>
      <c r="D2330" s="8" t="s">
        <v>24</v>
      </c>
      <c r="E2330" s="10" t="s">
        <v>217</v>
      </c>
      <c r="F2330" s="8" t="str">
        <f aca="false">TEXT(A2330,"MM-YYYY")</f>
        <v>06-2025</v>
      </c>
      <c r="G2330" s="8"/>
      <c r="H2330" s="8"/>
      <c r="I2330" s="7"/>
      <c r="J2330" s="8" t="str">
        <f aca="false">VLOOKUP(B2330, Table3[#All], 2, FALSE())</f>
        <v>Sales</v>
      </c>
      <c r="K2330" s="8" t="str">
        <f aca="false">TEXT(ROW(), "0000")</f>
        <v>2330</v>
      </c>
      <c r="L2330" s="8"/>
    </row>
    <row r="2331" customFormat="false" ht="15.75" hidden="false" customHeight="true" outlineLevel="0" collapsed="false">
      <c r="A2331" s="7" t="n">
        <v>45821</v>
      </c>
      <c r="B2331" s="8" t="s">
        <v>34</v>
      </c>
      <c r="C2331" s="9" t="n">
        <v>140</v>
      </c>
      <c r="D2331" s="8" t="s">
        <v>45</v>
      </c>
      <c r="E2331" s="10" t="s">
        <v>274</v>
      </c>
      <c r="F2331" s="8" t="str">
        <f aca="false">TEXT(A2331,"MM-YYYY")</f>
        <v>06-2025</v>
      </c>
      <c r="G2331" s="8" t="s">
        <v>14</v>
      </c>
      <c r="H2331" s="8" t="s">
        <v>232</v>
      </c>
      <c r="I2331" s="7" t="n">
        <v>45821</v>
      </c>
      <c r="J2331" s="8" t="str">
        <f aca="false">VLOOKUP(B2331, Table3[#All], 2, FALSE())</f>
        <v>Staff Expenses</v>
      </c>
      <c r="K2331" s="8" t="str">
        <f aca="false">TEXT(ROW(), "0000")</f>
        <v>2331</v>
      </c>
      <c r="L2331" s="8"/>
    </row>
    <row r="2332" customFormat="false" ht="15.75" hidden="false" customHeight="true" outlineLevel="0" collapsed="false">
      <c r="A2332" s="7" t="n">
        <v>45822</v>
      </c>
      <c r="B2332" s="8" t="s">
        <v>25</v>
      </c>
      <c r="C2332" s="9" t="n">
        <v>615</v>
      </c>
      <c r="D2332" s="8" t="s">
        <v>13</v>
      </c>
      <c r="E2332" s="10" t="s">
        <v>26</v>
      </c>
      <c r="F2332" s="8" t="str">
        <f aca="false">TEXT(A2332,"MM-YYYY")</f>
        <v>06-2025</v>
      </c>
      <c r="G2332" s="8" t="s">
        <v>14</v>
      </c>
      <c r="H2332" s="8" t="s">
        <v>13</v>
      </c>
      <c r="I2332" s="7" t="n">
        <v>45860</v>
      </c>
      <c r="J2332" s="8" t="str">
        <f aca="false">VLOOKUP(B2332, Table3[#All], 2, FALSE())</f>
        <v>Inventory</v>
      </c>
      <c r="K2332" s="8" t="str">
        <f aca="false">TEXT(ROW(), "0000")</f>
        <v>2332</v>
      </c>
      <c r="L2332" s="8"/>
    </row>
    <row r="2333" customFormat="false" ht="15.75" hidden="false" customHeight="true" outlineLevel="0" collapsed="false">
      <c r="A2333" s="7" t="n">
        <v>45822</v>
      </c>
      <c r="B2333" s="8" t="s">
        <v>19</v>
      </c>
      <c r="C2333" s="9" t="n">
        <v>3141</v>
      </c>
      <c r="D2333" s="8" t="s">
        <v>13</v>
      </c>
      <c r="E2333" s="10" t="s">
        <v>20</v>
      </c>
      <c r="F2333" s="8" t="str">
        <f aca="false">TEXT(A2333,"MM-YYYY")</f>
        <v>06-2025</v>
      </c>
      <c r="G2333" s="8" t="s">
        <v>14</v>
      </c>
      <c r="H2333" s="8" t="s">
        <v>13</v>
      </c>
      <c r="I2333" s="7" t="n">
        <v>45826</v>
      </c>
      <c r="J2333" s="8" t="str">
        <f aca="false">VLOOKUP(B2333, Table3[#All], 2, FALSE())</f>
        <v>Inventory</v>
      </c>
      <c r="K2333" s="8" t="str">
        <f aca="false">TEXT(ROW(), "0000")</f>
        <v>2333</v>
      </c>
      <c r="L2333" s="8"/>
    </row>
    <row r="2334" customFormat="false" ht="15.75" hidden="false" customHeight="true" outlineLevel="0" collapsed="false">
      <c r="A2334" s="7" t="n">
        <v>45822</v>
      </c>
      <c r="B2334" s="8" t="s">
        <v>32</v>
      </c>
      <c r="C2334" s="9" t="n">
        <v>210</v>
      </c>
      <c r="D2334" s="8" t="s">
        <v>45</v>
      </c>
      <c r="E2334" s="10" t="s">
        <v>38</v>
      </c>
      <c r="F2334" s="8" t="str">
        <f aca="false">TEXT(A2334,"MM-YYYY")</f>
        <v>06-2025</v>
      </c>
      <c r="G2334" s="8" t="s">
        <v>14</v>
      </c>
      <c r="H2334" s="8" t="s">
        <v>15</v>
      </c>
      <c r="I2334" s="7" t="n">
        <v>45822</v>
      </c>
      <c r="J2334" s="8" t="str">
        <f aca="false">VLOOKUP(B2334, Table3[#All], 2, FALSE())</f>
        <v>Grocery</v>
      </c>
      <c r="K2334" s="8" t="str">
        <f aca="false">TEXT(ROW(), "0000")</f>
        <v>2334</v>
      </c>
      <c r="L2334" s="8"/>
    </row>
    <row r="2335" customFormat="false" ht="15.75" hidden="false" customHeight="true" outlineLevel="0" collapsed="false">
      <c r="A2335" s="7" t="n">
        <v>45822</v>
      </c>
      <c r="B2335" s="8" t="s">
        <v>29</v>
      </c>
      <c r="C2335" s="9" t="n">
        <v>430</v>
      </c>
      <c r="D2335" s="8" t="s">
        <v>13</v>
      </c>
      <c r="E2335" s="10" t="s">
        <v>302</v>
      </c>
      <c r="F2335" s="8" t="str">
        <f aca="false">TEXT(A2335,"MM-YYYY")</f>
        <v>06-2025</v>
      </c>
      <c r="G2335" s="8" t="s">
        <v>14</v>
      </c>
      <c r="H2335" s="8" t="s">
        <v>13</v>
      </c>
      <c r="I2335" s="7" t="n">
        <v>45839</v>
      </c>
      <c r="J2335" s="8" t="str">
        <f aca="false">VLOOKUP(B2335, Table3[#All], 2, FALSE())</f>
        <v>Inventory</v>
      </c>
      <c r="K2335" s="8" t="str">
        <f aca="false">TEXT(ROW(), "0000")</f>
        <v>2335</v>
      </c>
      <c r="L2335" s="8"/>
    </row>
    <row r="2336" customFormat="false" ht="15.75" hidden="false" customHeight="true" outlineLevel="0" collapsed="false">
      <c r="A2336" s="7" t="n">
        <v>45822</v>
      </c>
      <c r="B2336" s="8" t="s">
        <v>50</v>
      </c>
      <c r="C2336" s="9" t="n">
        <v>3480</v>
      </c>
      <c r="D2336" s="8" t="s">
        <v>13</v>
      </c>
      <c r="E2336" s="10" t="s">
        <v>263</v>
      </c>
      <c r="F2336" s="8" t="str">
        <f aca="false">TEXT(A2336,"MM-YYYY")</f>
        <v>06-2025</v>
      </c>
      <c r="G2336" s="8" t="s">
        <v>14</v>
      </c>
      <c r="H2336" s="8" t="s">
        <v>13</v>
      </c>
      <c r="I2336" s="7" t="n">
        <v>45831</v>
      </c>
      <c r="J2336" s="8" t="str">
        <f aca="false">VLOOKUP(B2336, Table3[#All], 2, FALSE())</f>
        <v>Fixed Maintance</v>
      </c>
      <c r="K2336" s="8" t="str">
        <f aca="false">TEXT(ROW(), "0000")</f>
        <v>2336</v>
      </c>
      <c r="L2336" s="8"/>
    </row>
    <row r="2337" customFormat="false" ht="15.75" hidden="false" customHeight="true" outlineLevel="0" collapsed="false">
      <c r="A2337" s="7" t="n">
        <v>45822</v>
      </c>
      <c r="B2337" s="8" t="s">
        <v>16</v>
      </c>
      <c r="C2337" s="9" t="n">
        <v>3725</v>
      </c>
      <c r="D2337" s="8" t="s">
        <v>21</v>
      </c>
      <c r="E2337" s="10" t="s">
        <v>88</v>
      </c>
      <c r="F2337" s="8" t="str">
        <f aca="false">TEXT(A2337,"MM-YYYY")</f>
        <v>06-2025</v>
      </c>
      <c r="G2337" s="8"/>
      <c r="H2337" s="8"/>
      <c r="I2337" s="7"/>
      <c r="J2337" s="8" t="str">
        <f aca="false">VLOOKUP(B2337, Table3[#All], 2, FALSE())</f>
        <v>Sales</v>
      </c>
      <c r="K2337" s="8" t="str">
        <f aca="false">TEXT(ROW(), "0000")</f>
        <v>2337</v>
      </c>
      <c r="L2337" s="8"/>
    </row>
    <row r="2338" customFormat="false" ht="15.75" hidden="false" customHeight="true" outlineLevel="0" collapsed="false">
      <c r="A2338" s="7" t="n">
        <v>45822</v>
      </c>
      <c r="B2338" s="8" t="s">
        <v>16</v>
      </c>
      <c r="C2338" s="9" t="n">
        <v>1060</v>
      </c>
      <c r="D2338" s="8" t="s">
        <v>27</v>
      </c>
      <c r="E2338" s="10" t="s">
        <v>88</v>
      </c>
      <c r="F2338" s="8" t="str">
        <f aca="false">TEXT(A2338,"MM-YYYY")</f>
        <v>06-2025</v>
      </c>
      <c r="G2338" s="8"/>
      <c r="H2338" s="8"/>
      <c r="I2338" s="7"/>
      <c r="J2338" s="8" t="str">
        <f aca="false">VLOOKUP(B2338, Table3[#All], 2, FALSE())</f>
        <v>Sales</v>
      </c>
      <c r="K2338" s="8" t="str">
        <f aca="false">TEXT(ROW(), "0000")</f>
        <v>2338</v>
      </c>
      <c r="L2338" s="8"/>
    </row>
    <row r="2339" customFormat="false" ht="15.75" hidden="false" customHeight="true" outlineLevel="0" collapsed="false">
      <c r="A2339" s="7" t="n">
        <v>45822</v>
      </c>
      <c r="B2339" s="8" t="s">
        <v>16</v>
      </c>
      <c r="C2339" s="9" t="n">
        <v>910</v>
      </c>
      <c r="D2339" s="8" t="s">
        <v>33</v>
      </c>
      <c r="E2339" s="10" t="s">
        <v>88</v>
      </c>
      <c r="F2339" s="8" t="str">
        <f aca="false">TEXT(A2339,"MM-YYYY")</f>
        <v>06-2025</v>
      </c>
      <c r="G2339" s="8"/>
      <c r="H2339" s="8"/>
      <c r="I2339" s="7"/>
      <c r="J2339" s="8" t="str">
        <f aca="false">VLOOKUP(B2339, Table3[#All], 2, FALSE())</f>
        <v>Sales</v>
      </c>
      <c r="K2339" s="8" t="str">
        <f aca="false">TEXT(ROW(), "0000")</f>
        <v>2339</v>
      </c>
      <c r="L2339" s="8"/>
    </row>
    <row r="2340" customFormat="false" ht="15.75" hidden="false" customHeight="true" outlineLevel="0" collapsed="false">
      <c r="A2340" s="7" t="n">
        <v>45822</v>
      </c>
      <c r="B2340" s="8" t="s">
        <v>16</v>
      </c>
      <c r="C2340" s="9" t="n">
        <v>15891</v>
      </c>
      <c r="D2340" s="8" t="s">
        <v>17</v>
      </c>
      <c r="E2340" s="10" t="s">
        <v>88</v>
      </c>
      <c r="F2340" s="8" t="str">
        <f aca="false">TEXT(A2340,"MM-YYYY")</f>
        <v>06-2025</v>
      </c>
      <c r="G2340" s="8"/>
      <c r="H2340" s="8"/>
      <c r="I2340" s="7"/>
      <c r="J2340" s="8" t="str">
        <f aca="false">VLOOKUP(B2340, Table3[#All], 2, FALSE())</f>
        <v>Sales</v>
      </c>
      <c r="K2340" s="8" t="str">
        <f aca="false">TEXT(ROW(), "0000")</f>
        <v>2340</v>
      </c>
      <c r="L2340" s="8"/>
    </row>
    <row r="2341" customFormat="false" ht="15.75" hidden="false" customHeight="true" outlineLevel="0" collapsed="false">
      <c r="A2341" s="7" t="n">
        <v>45822</v>
      </c>
      <c r="B2341" s="8" t="s">
        <v>16</v>
      </c>
      <c r="C2341" s="9" t="n">
        <v>1945</v>
      </c>
      <c r="D2341" s="8" t="s">
        <v>59</v>
      </c>
      <c r="E2341" s="10" t="s">
        <v>88</v>
      </c>
      <c r="F2341" s="8" t="str">
        <f aca="false">TEXT(A2341,"MM-YYYY")</f>
        <v>06-2025</v>
      </c>
      <c r="G2341" s="8"/>
      <c r="H2341" s="8"/>
      <c r="I2341" s="7"/>
      <c r="J2341" s="8" t="str">
        <f aca="false">VLOOKUP(B2341, Table3[#All], 2, FALSE())</f>
        <v>Sales</v>
      </c>
      <c r="K2341" s="8" t="str">
        <f aca="false">TEXT(ROW(), "0000")</f>
        <v>2341</v>
      </c>
      <c r="L2341" s="8"/>
    </row>
    <row r="2342" customFormat="false" ht="15.75" hidden="false" customHeight="true" outlineLevel="0" collapsed="false">
      <c r="A2342" s="7" t="n">
        <v>45822</v>
      </c>
      <c r="B2342" s="8" t="s">
        <v>16</v>
      </c>
      <c r="C2342" s="9" t="n">
        <v>2258</v>
      </c>
      <c r="D2342" s="8" t="s">
        <v>24</v>
      </c>
      <c r="E2342" s="10" t="s">
        <v>217</v>
      </c>
      <c r="F2342" s="8" t="str">
        <f aca="false">TEXT(A2342,"MM-YYYY")</f>
        <v>06-2025</v>
      </c>
      <c r="G2342" s="8"/>
      <c r="H2342" s="8"/>
      <c r="I2342" s="7"/>
      <c r="J2342" s="8" t="str">
        <f aca="false">VLOOKUP(B2342, Table3[#All], 2, FALSE())</f>
        <v>Sales</v>
      </c>
      <c r="K2342" s="8" t="str">
        <f aca="false">TEXT(ROW(), "0000")</f>
        <v>2342</v>
      </c>
      <c r="L2342" s="8"/>
    </row>
    <row r="2343" customFormat="false" ht="15.75" hidden="false" customHeight="true" outlineLevel="0" collapsed="false">
      <c r="A2343" s="7" t="n">
        <v>45822</v>
      </c>
      <c r="B2343" s="8" t="s">
        <v>37</v>
      </c>
      <c r="C2343" s="9" t="n">
        <v>25</v>
      </c>
      <c r="D2343" s="8" t="s">
        <v>21</v>
      </c>
      <c r="E2343" s="10" t="s">
        <v>37</v>
      </c>
      <c r="F2343" s="8" t="str">
        <f aca="false">TEXT(A2343,"MM-YYYY")</f>
        <v>06-2025</v>
      </c>
      <c r="G2343" s="8" t="s">
        <v>14</v>
      </c>
      <c r="H2343" s="8" t="s">
        <v>15</v>
      </c>
      <c r="I2343" s="7" t="n">
        <v>45822</v>
      </c>
      <c r="J2343" s="8" t="str">
        <f aca="false">VLOOKUP(B2343, Table3[#All], 2, FALSE())</f>
        <v>Maintance</v>
      </c>
      <c r="K2343" s="8" t="str">
        <f aca="false">TEXT(ROW(), "0000")</f>
        <v>2343</v>
      </c>
      <c r="L2343" s="8"/>
    </row>
    <row r="2344" customFormat="false" ht="15.75" hidden="false" customHeight="true" outlineLevel="0" collapsed="false">
      <c r="A2344" s="7" t="n">
        <v>45822</v>
      </c>
      <c r="B2344" s="8" t="s">
        <v>34</v>
      </c>
      <c r="C2344" s="9" t="n">
        <v>190</v>
      </c>
      <c r="D2344" s="8" t="s">
        <v>45</v>
      </c>
      <c r="E2344" s="10" t="s">
        <v>274</v>
      </c>
      <c r="F2344" s="8" t="str">
        <f aca="false">TEXT(A2344,"MM-YYYY")</f>
        <v>06-2025</v>
      </c>
      <c r="G2344" s="8" t="s">
        <v>14</v>
      </c>
      <c r="H2344" s="8" t="s">
        <v>232</v>
      </c>
      <c r="I2344" s="7" t="n">
        <v>45822</v>
      </c>
      <c r="J2344" s="8" t="str">
        <f aca="false">VLOOKUP(B2344, Table3[#All], 2, FALSE())</f>
        <v>Staff Expenses</v>
      </c>
      <c r="K2344" s="8" t="str">
        <f aca="false">TEXT(ROW(), "0000")</f>
        <v>2344</v>
      </c>
      <c r="L2344" s="8"/>
    </row>
    <row r="2345" customFormat="false" ht="15.75" hidden="false" customHeight="true" outlineLevel="0" collapsed="false">
      <c r="A2345" s="7" t="n">
        <v>45823</v>
      </c>
      <c r="B2345" s="8" t="s">
        <v>19</v>
      </c>
      <c r="C2345" s="9" t="n">
        <v>4515</v>
      </c>
      <c r="D2345" s="8" t="s">
        <v>13</v>
      </c>
      <c r="E2345" s="10" t="s">
        <v>20</v>
      </c>
      <c r="F2345" s="8" t="str">
        <f aca="false">TEXT(A2345,"MM-YYYY")</f>
        <v>06-2025</v>
      </c>
      <c r="G2345" s="8" t="s">
        <v>14</v>
      </c>
      <c r="H2345" s="8" t="s">
        <v>13</v>
      </c>
      <c r="I2345" s="7" t="n">
        <v>45833</v>
      </c>
      <c r="J2345" s="8" t="str">
        <f aca="false">VLOOKUP(B2345, Table3[#All], 2, FALSE())</f>
        <v>Inventory</v>
      </c>
      <c r="K2345" s="8" t="str">
        <f aca="false">TEXT(ROW(), "0000")</f>
        <v>2345</v>
      </c>
      <c r="L2345" s="8"/>
    </row>
    <row r="2346" customFormat="false" ht="15.75" hidden="false" customHeight="true" outlineLevel="0" collapsed="false">
      <c r="A2346" s="7" t="n">
        <v>45823</v>
      </c>
      <c r="B2346" s="8" t="s">
        <v>22</v>
      </c>
      <c r="C2346" s="9" t="n">
        <v>1165</v>
      </c>
      <c r="D2346" s="8" t="s">
        <v>13</v>
      </c>
      <c r="E2346" s="10" t="s">
        <v>23</v>
      </c>
      <c r="F2346" s="8" t="str">
        <f aca="false">TEXT(A2346,"MM-YYYY")</f>
        <v>06-2025</v>
      </c>
      <c r="G2346" s="8" t="s">
        <v>14</v>
      </c>
      <c r="H2346" s="8" t="s">
        <v>13</v>
      </c>
      <c r="I2346" s="7" t="n">
        <v>45833</v>
      </c>
      <c r="J2346" s="8" t="str">
        <f aca="false">VLOOKUP(B2346, Table3[#All], 2, FALSE())</f>
        <v>Inventory</v>
      </c>
      <c r="K2346" s="8" t="str">
        <f aca="false">TEXT(ROW(), "0000")</f>
        <v>2346</v>
      </c>
      <c r="L2346" s="8"/>
    </row>
    <row r="2347" customFormat="false" ht="15.75" hidden="false" customHeight="true" outlineLevel="0" collapsed="false">
      <c r="A2347" s="7" t="n">
        <v>45823</v>
      </c>
      <c r="B2347" s="8" t="s">
        <v>25</v>
      </c>
      <c r="C2347" s="9" t="n">
        <v>783</v>
      </c>
      <c r="D2347" s="8" t="s">
        <v>13</v>
      </c>
      <c r="E2347" s="10" t="s">
        <v>26</v>
      </c>
      <c r="F2347" s="8" t="str">
        <f aca="false">TEXT(A2347,"MM-YYYY")</f>
        <v>06-2025</v>
      </c>
      <c r="G2347" s="21" t="s">
        <v>14</v>
      </c>
      <c r="H2347" s="8" t="s">
        <v>13</v>
      </c>
      <c r="I2347" s="7" t="n">
        <v>45860</v>
      </c>
      <c r="J2347" s="8" t="str">
        <f aca="false">VLOOKUP(B2347, Table3[#All], 2, FALSE())</f>
        <v>Inventory</v>
      </c>
      <c r="K2347" s="8" t="str">
        <f aca="false">TEXT(ROW(), "0000")</f>
        <v>2347</v>
      </c>
      <c r="L2347" s="8"/>
    </row>
    <row r="2348" customFormat="false" ht="15.75" hidden="false" customHeight="true" outlineLevel="0" collapsed="false">
      <c r="A2348" s="7" t="n">
        <v>45823</v>
      </c>
      <c r="B2348" s="8" t="s">
        <v>29</v>
      </c>
      <c r="C2348" s="9" t="n">
        <v>670</v>
      </c>
      <c r="D2348" s="8" t="s">
        <v>45</v>
      </c>
      <c r="E2348" s="10" t="s">
        <v>78</v>
      </c>
      <c r="F2348" s="8" t="str">
        <f aca="false">TEXT(A2348,"MM-YYYY")</f>
        <v>06-2025</v>
      </c>
      <c r="G2348" s="8" t="s">
        <v>14</v>
      </c>
      <c r="H2348" s="8"/>
      <c r="I2348" s="7" t="n">
        <v>45823</v>
      </c>
      <c r="J2348" s="8" t="str">
        <f aca="false">VLOOKUP(B2348, Table3[#All], 2, FALSE())</f>
        <v>Inventory</v>
      </c>
      <c r="K2348" s="8" t="str">
        <f aca="false">TEXT(ROW(), "0000")</f>
        <v>2348</v>
      </c>
      <c r="L2348" s="8"/>
    </row>
    <row r="2349" customFormat="false" ht="15.75" hidden="false" customHeight="true" outlineLevel="0" collapsed="false">
      <c r="A2349" s="7" t="n">
        <v>45823</v>
      </c>
      <c r="B2349" s="8" t="s">
        <v>25</v>
      </c>
      <c r="C2349" s="9" t="n">
        <v>680</v>
      </c>
      <c r="D2349" s="8" t="s">
        <v>45</v>
      </c>
      <c r="E2349" s="10" t="s">
        <v>306</v>
      </c>
      <c r="F2349" s="8" t="str">
        <f aca="false">TEXT(A2349,"MM-YYYY")</f>
        <v>06-2025</v>
      </c>
      <c r="G2349" s="8" t="s">
        <v>14</v>
      </c>
      <c r="H2349" s="8"/>
      <c r="I2349" s="7" t="n">
        <v>45823</v>
      </c>
      <c r="J2349" s="8" t="str">
        <f aca="false">VLOOKUP(B2349, Table3[#All], 2, FALSE())</f>
        <v>Inventory</v>
      </c>
      <c r="K2349" s="8" t="str">
        <f aca="false">TEXT(ROW(), "0000")</f>
        <v>2349</v>
      </c>
      <c r="L2349" s="8"/>
    </row>
    <row r="2350" customFormat="false" ht="15.75" hidden="false" customHeight="true" outlineLevel="0" collapsed="false">
      <c r="A2350" s="7" t="n">
        <v>45823</v>
      </c>
      <c r="B2350" s="8" t="s">
        <v>22</v>
      </c>
      <c r="C2350" s="9" t="n">
        <v>700</v>
      </c>
      <c r="D2350" s="8" t="s">
        <v>45</v>
      </c>
      <c r="E2350" s="10" t="s">
        <v>325</v>
      </c>
      <c r="F2350" s="8" t="str">
        <f aca="false">TEXT(A2350,"MM-YYYY")</f>
        <v>06-2025</v>
      </c>
      <c r="G2350" s="8" t="s">
        <v>14</v>
      </c>
      <c r="H2350" s="8"/>
      <c r="I2350" s="7" t="n">
        <v>45823</v>
      </c>
      <c r="J2350" s="8" t="str">
        <f aca="false">VLOOKUP(B2350, Table3[#All], 2, FALSE())</f>
        <v>Inventory</v>
      </c>
      <c r="K2350" s="8" t="str">
        <f aca="false">TEXT(ROW(), "0000")</f>
        <v>2350</v>
      </c>
      <c r="L2350" s="8"/>
    </row>
    <row r="2351" customFormat="false" ht="15.75" hidden="false" customHeight="true" outlineLevel="0" collapsed="false">
      <c r="A2351" s="7" t="n">
        <v>45823</v>
      </c>
      <c r="B2351" s="8" t="s">
        <v>29</v>
      </c>
      <c r="C2351" s="9" t="n">
        <v>492</v>
      </c>
      <c r="D2351" s="8" t="s">
        <v>13</v>
      </c>
      <c r="E2351" s="10" t="s">
        <v>302</v>
      </c>
      <c r="F2351" s="8" t="str">
        <f aca="false">TEXT(A2351,"MM-YYYY")</f>
        <v>06-2025</v>
      </c>
      <c r="G2351" s="8" t="s">
        <v>14</v>
      </c>
      <c r="H2351" s="8" t="s">
        <v>13</v>
      </c>
      <c r="I2351" s="7" t="n">
        <v>45839</v>
      </c>
      <c r="J2351" s="8" t="str">
        <f aca="false">VLOOKUP(B2351, Table3[#All], 2, FALSE())</f>
        <v>Inventory</v>
      </c>
      <c r="K2351" s="8" t="str">
        <f aca="false">TEXT(ROW(), "0000")</f>
        <v>2351</v>
      </c>
      <c r="L2351" s="8"/>
    </row>
    <row r="2352" customFormat="false" ht="15.75" hidden="false" customHeight="true" outlineLevel="0" collapsed="false">
      <c r="A2352" s="7" t="n">
        <v>45823</v>
      </c>
      <c r="B2352" s="8" t="s">
        <v>60</v>
      </c>
      <c r="C2352" s="9" t="n">
        <v>210</v>
      </c>
      <c r="D2352" s="8" t="s">
        <v>45</v>
      </c>
      <c r="E2352" s="10" t="s">
        <v>245</v>
      </c>
      <c r="F2352" s="8" t="str">
        <f aca="false">TEXT(A2352,"MM-YYYY")</f>
        <v>06-2025</v>
      </c>
      <c r="G2352" s="8" t="s">
        <v>14</v>
      </c>
      <c r="H2352" s="8" t="s">
        <v>232</v>
      </c>
      <c r="I2352" s="7" t="n">
        <v>45823</v>
      </c>
      <c r="J2352" s="8" t="str">
        <f aca="false">VLOOKUP(B2352, Table3[#All], 2, FALSE())</f>
        <v>Inventory</v>
      </c>
      <c r="K2352" s="8" t="str">
        <f aca="false">TEXT(ROW(), "0000")</f>
        <v>2352</v>
      </c>
      <c r="L2352" s="8"/>
    </row>
    <row r="2353" customFormat="false" ht="15.75" hidden="false" customHeight="true" outlineLevel="0" collapsed="false">
      <c r="A2353" s="7" t="n">
        <v>45823</v>
      </c>
      <c r="B2353" s="8" t="s">
        <v>28</v>
      </c>
      <c r="C2353" s="9" t="n">
        <v>870</v>
      </c>
      <c r="D2353" s="8" t="s">
        <v>21</v>
      </c>
      <c r="E2353" s="10" t="s">
        <v>93</v>
      </c>
      <c r="F2353" s="8" t="str">
        <f aca="false">TEXT(A2353,"MM-YYYY")</f>
        <v>06-2025</v>
      </c>
      <c r="G2353" s="8" t="s">
        <v>14</v>
      </c>
      <c r="H2353" s="8" t="s">
        <v>15</v>
      </c>
      <c r="I2353" s="7" t="n">
        <v>45823</v>
      </c>
      <c r="J2353" s="8" t="str">
        <f aca="false">VLOOKUP(B2353, Table3[#All], 2, FALSE())</f>
        <v>Grocery</v>
      </c>
      <c r="K2353" s="8" t="str">
        <f aca="false">TEXT(ROW(), "0000")</f>
        <v>2353</v>
      </c>
      <c r="L2353" s="8"/>
    </row>
    <row r="2354" customFormat="false" ht="15.75" hidden="false" customHeight="true" outlineLevel="0" collapsed="false">
      <c r="A2354" s="7" t="n">
        <v>45823</v>
      </c>
      <c r="B2354" s="8" t="s">
        <v>16</v>
      </c>
      <c r="C2354" s="9" t="n">
        <v>6130</v>
      </c>
      <c r="D2354" s="8" t="s">
        <v>21</v>
      </c>
      <c r="E2354" s="10" t="s">
        <v>88</v>
      </c>
      <c r="F2354" s="8" t="str">
        <f aca="false">TEXT(A2354,"MM-YYYY")</f>
        <v>06-2025</v>
      </c>
      <c r="G2354" s="8"/>
      <c r="H2354" s="8"/>
      <c r="I2354" s="7"/>
      <c r="J2354" s="8" t="str">
        <f aca="false">VLOOKUP(B2354, Table3[#All], 2, FALSE())</f>
        <v>Sales</v>
      </c>
      <c r="K2354" s="8" t="str">
        <f aca="false">TEXT(ROW(), "0000")</f>
        <v>2354</v>
      </c>
      <c r="L2354" s="8"/>
    </row>
    <row r="2355" customFormat="false" ht="15.75" hidden="false" customHeight="true" outlineLevel="0" collapsed="false">
      <c r="A2355" s="7" t="n">
        <v>45823</v>
      </c>
      <c r="B2355" s="8" t="s">
        <v>16</v>
      </c>
      <c r="C2355" s="9" t="n">
        <v>20</v>
      </c>
      <c r="D2355" s="8" t="s">
        <v>33</v>
      </c>
      <c r="E2355" s="10" t="s">
        <v>88</v>
      </c>
      <c r="F2355" s="8" t="str">
        <f aca="false">TEXT(A2355,"MM-YYYY")</f>
        <v>06-2025</v>
      </c>
      <c r="G2355" s="8"/>
      <c r="H2355" s="8"/>
      <c r="I2355" s="7"/>
      <c r="J2355" s="8" t="str">
        <f aca="false">VLOOKUP(B2355, Table3[#All], 2, FALSE())</f>
        <v>Sales</v>
      </c>
      <c r="K2355" s="8" t="str">
        <f aca="false">TEXT(ROW(), "0000")</f>
        <v>2355</v>
      </c>
      <c r="L2355" s="8"/>
    </row>
    <row r="2356" customFormat="false" ht="15.75" hidden="false" customHeight="true" outlineLevel="0" collapsed="false">
      <c r="A2356" s="7" t="n">
        <v>45823</v>
      </c>
      <c r="B2356" s="8" t="s">
        <v>16</v>
      </c>
      <c r="C2356" s="9" t="n">
        <v>25162</v>
      </c>
      <c r="D2356" s="8" t="s">
        <v>17</v>
      </c>
      <c r="E2356" s="10" t="s">
        <v>88</v>
      </c>
      <c r="F2356" s="8" t="str">
        <f aca="false">TEXT(A2356,"MM-YYYY")</f>
        <v>06-2025</v>
      </c>
      <c r="G2356" s="8"/>
      <c r="H2356" s="8"/>
      <c r="I2356" s="7"/>
      <c r="J2356" s="8" t="str">
        <f aca="false">VLOOKUP(B2356, Table3[#All], 2, FALSE())</f>
        <v>Sales</v>
      </c>
      <c r="K2356" s="8" t="str">
        <f aca="false">TEXT(ROW(), "0000")</f>
        <v>2356</v>
      </c>
      <c r="L2356" s="8"/>
    </row>
    <row r="2357" customFormat="false" ht="15.75" hidden="false" customHeight="true" outlineLevel="0" collapsed="false">
      <c r="A2357" s="7" t="n">
        <v>45823</v>
      </c>
      <c r="B2357" s="8" t="s">
        <v>16</v>
      </c>
      <c r="C2357" s="9" t="n">
        <v>1035</v>
      </c>
      <c r="D2357" s="8" t="s">
        <v>59</v>
      </c>
      <c r="E2357" s="10" t="s">
        <v>88</v>
      </c>
      <c r="F2357" s="8" t="str">
        <f aca="false">TEXT(A2357,"MM-YYYY")</f>
        <v>06-2025</v>
      </c>
      <c r="G2357" s="8"/>
      <c r="H2357" s="8"/>
      <c r="I2357" s="7"/>
      <c r="J2357" s="8" t="str">
        <f aca="false">VLOOKUP(B2357, Table3[#All], 2, FALSE())</f>
        <v>Sales</v>
      </c>
      <c r="K2357" s="8" t="str">
        <f aca="false">TEXT(ROW(), "0000")</f>
        <v>2357</v>
      </c>
      <c r="L2357" s="8"/>
    </row>
    <row r="2358" customFormat="false" ht="15.75" hidden="false" customHeight="true" outlineLevel="0" collapsed="false">
      <c r="A2358" s="7" t="n">
        <v>45823</v>
      </c>
      <c r="B2358" s="8" t="s">
        <v>16</v>
      </c>
      <c r="C2358" s="9" t="n">
        <v>2024</v>
      </c>
      <c r="D2358" s="8" t="s">
        <v>24</v>
      </c>
      <c r="E2358" s="10" t="s">
        <v>217</v>
      </c>
      <c r="F2358" s="8" t="str">
        <f aca="false">TEXT(A2358,"MM-YYYY")</f>
        <v>06-2025</v>
      </c>
      <c r="G2358" s="8"/>
      <c r="H2358" s="8"/>
      <c r="I2358" s="7"/>
      <c r="J2358" s="8" t="str">
        <f aca="false">VLOOKUP(B2358, Table3[#All], 2, FALSE())</f>
        <v>Sales</v>
      </c>
      <c r="K2358" s="8" t="str">
        <f aca="false">TEXT(ROW(), "0000")</f>
        <v>2358</v>
      </c>
      <c r="L2358" s="8"/>
    </row>
    <row r="2359" customFormat="false" ht="15.75" hidden="false" customHeight="true" outlineLevel="0" collapsed="false">
      <c r="A2359" s="7" t="n">
        <v>45823</v>
      </c>
      <c r="B2359" s="8" t="s">
        <v>34</v>
      </c>
      <c r="C2359" s="9" t="n">
        <v>350</v>
      </c>
      <c r="D2359" s="8" t="s">
        <v>45</v>
      </c>
      <c r="E2359" s="10" t="s">
        <v>274</v>
      </c>
      <c r="F2359" s="8" t="str">
        <f aca="false">TEXT(A2359,"MM-YYYY")</f>
        <v>06-2025</v>
      </c>
      <c r="G2359" s="8" t="s">
        <v>14</v>
      </c>
      <c r="H2359" s="8" t="s">
        <v>232</v>
      </c>
      <c r="I2359" s="7" t="n">
        <v>45823</v>
      </c>
      <c r="J2359" s="8" t="str">
        <f aca="false">VLOOKUP(B2359, Table3[#All], 2, FALSE())</f>
        <v>Staff Expenses</v>
      </c>
      <c r="K2359" s="8" t="str">
        <f aca="false">TEXT(ROW(), "0000")</f>
        <v>2359</v>
      </c>
      <c r="L2359" s="8"/>
    </row>
    <row r="2360" customFormat="false" ht="15.75" hidden="false" customHeight="true" outlineLevel="0" collapsed="false">
      <c r="A2360" s="7" t="n">
        <v>45824</v>
      </c>
      <c r="B2360" s="8" t="s">
        <v>44</v>
      </c>
      <c r="C2360" s="9" t="n">
        <v>500</v>
      </c>
      <c r="D2360" s="8" t="s">
        <v>45</v>
      </c>
      <c r="E2360" s="10" t="s">
        <v>316</v>
      </c>
      <c r="F2360" s="8" t="str">
        <f aca="false">TEXT(A2360,"MM-YYYY")</f>
        <v>06-2025</v>
      </c>
      <c r="G2360" s="8" t="s">
        <v>14</v>
      </c>
      <c r="H2360" s="8" t="s">
        <v>232</v>
      </c>
      <c r="I2360" s="7" t="n">
        <v>45825</v>
      </c>
      <c r="J2360" s="8" t="str">
        <f aca="false">VLOOKUP(B2360, Table3[#All], 2, FALSE())</f>
        <v>Salary</v>
      </c>
      <c r="K2360" s="8" t="str">
        <f aca="false">TEXT(ROW(), "0000")</f>
        <v>2360</v>
      </c>
      <c r="L2360" s="8"/>
    </row>
    <row r="2361" customFormat="false" ht="15.75" hidden="false" customHeight="true" outlineLevel="0" collapsed="false">
      <c r="A2361" s="7" t="n">
        <v>45824</v>
      </c>
      <c r="B2361" s="8" t="s">
        <v>44</v>
      </c>
      <c r="C2361" s="9" t="n">
        <v>200</v>
      </c>
      <c r="D2361" s="8" t="s">
        <v>45</v>
      </c>
      <c r="E2361" s="10" t="s">
        <v>86</v>
      </c>
      <c r="F2361" s="8" t="str">
        <f aca="false">TEXT(A2361,"MM-YYYY")</f>
        <v>06-2025</v>
      </c>
      <c r="G2361" s="8" t="s">
        <v>14</v>
      </c>
      <c r="H2361" s="8" t="s">
        <v>232</v>
      </c>
      <c r="I2361" s="7" t="n">
        <v>45825</v>
      </c>
      <c r="J2361" s="8" t="str">
        <f aca="false">VLOOKUP(B2361, Table3[#All], 2, FALSE())</f>
        <v>Salary</v>
      </c>
      <c r="K2361" s="8" t="str">
        <f aca="false">TEXT(ROW(), "0000")</f>
        <v>2361</v>
      </c>
      <c r="L2361" s="8"/>
    </row>
    <row r="2362" customFormat="false" ht="15.75" hidden="false" customHeight="true" outlineLevel="0" collapsed="false">
      <c r="A2362" s="7" t="n">
        <v>45824</v>
      </c>
      <c r="B2362" s="8" t="s">
        <v>44</v>
      </c>
      <c r="C2362" s="9" t="n">
        <v>200</v>
      </c>
      <c r="D2362" s="8" t="s">
        <v>45</v>
      </c>
      <c r="E2362" s="10" t="s">
        <v>204</v>
      </c>
      <c r="F2362" s="8" t="str">
        <f aca="false">TEXT(A2362,"MM-YYYY")</f>
        <v>06-2025</v>
      </c>
      <c r="G2362" s="8" t="s">
        <v>14</v>
      </c>
      <c r="H2362" s="8" t="s">
        <v>232</v>
      </c>
      <c r="I2362" s="7" t="n">
        <v>45825</v>
      </c>
      <c r="J2362" s="8" t="str">
        <f aca="false">VLOOKUP(B2362, Table3[#All], 2, FALSE())</f>
        <v>Salary</v>
      </c>
      <c r="K2362" s="8" t="str">
        <f aca="false">TEXT(ROW(), "0000")</f>
        <v>2362</v>
      </c>
      <c r="L2362" s="8"/>
    </row>
    <row r="2363" customFormat="false" ht="15.75" hidden="false" customHeight="true" outlineLevel="0" collapsed="false">
      <c r="A2363" s="7" t="n">
        <v>45824</v>
      </c>
      <c r="B2363" s="8" t="s">
        <v>44</v>
      </c>
      <c r="C2363" s="9" t="n">
        <v>200</v>
      </c>
      <c r="D2363" s="8" t="s">
        <v>45</v>
      </c>
      <c r="E2363" s="10" t="s">
        <v>334</v>
      </c>
      <c r="F2363" s="8" t="str">
        <f aca="false">TEXT(A2363,"MM-YYYY")</f>
        <v>06-2025</v>
      </c>
      <c r="G2363" s="8" t="s">
        <v>14</v>
      </c>
      <c r="H2363" s="8" t="s">
        <v>232</v>
      </c>
      <c r="I2363" s="7" t="n">
        <v>45825</v>
      </c>
      <c r="J2363" s="8" t="str">
        <f aca="false">VLOOKUP(B2363, Table3[#All], 2, FALSE())</f>
        <v>Salary</v>
      </c>
      <c r="K2363" s="8" t="str">
        <f aca="false">TEXT(ROW(), "0000")</f>
        <v>2363</v>
      </c>
      <c r="L2363" s="8"/>
    </row>
    <row r="2364" customFormat="false" ht="15.75" hidden="false" customHeight="true" outlineLevel="0" collapsed="false">
      <c r="A2364" s="7" t="n">
        <v>45825</v>
      </c>
      <c r="B2364" s="8" t="s">
        <v>25</v>
      </c>
      <c r="C2364" s="9" t="n">
        <v>950</v>
      </c>
      <c r="D2364" s="8" t="s">
        <v>13</v>
      </c>
      <c r="E2364" s="10" t="s">
        <v>26</v>
      </c>
      <c r="F2364" s="8" t="str">
        <f aca="false">TEXT(A2364,"MM-YYYY")</f>
        <v>06-2025</v>
      </c>
      <c r="G2364" s="8" t="s">
        <v>14</v>
      </c>
      <c r="H2364" s="8" t="s">
        <v>13</v>
      </c>
      <c r="I2364" s="7" t="n">
        <v>45860</v>
      </c>
      <c r="J2364" s="8" t="str">
        <f aca="false">VLOOKUP(B2364, Table3[#All], 2, FALSE())</f>
        <v>Inventory</v>
      </c>
      <c r="K2364" s="8" t="str">
        <f aca="false">TEXT(ROW(), "0000")</f>
        <v>2364</v>
      </c>
      <c r="L2364" s="8"/>
    </row>
    <row r="2365" customFormat="false" ht="15.75" hidden="false" customHeight="true" outlineLevel="0" collapsed="false">
      <c r="A2365" s="7" t="n">
        <v>45825</v>
      </c>
      <c r="B2365" s="8" t="s">
        <v>19</v>
      </c>
      <c r="C2365" s="9" t="n">
        <v>3406</v>
      </c>
      <c r="D2365" s="8" t="s">
        <v>13</v>
      </c>
      <c r="E2365" s="10" t="s">
        <v>20</v>
      </c>
      <c r="F2365" s="8" t="str">
        <f aca="false">TEXT(A2365,"MM-YYYY")</f>
        <v>06-2025</v>
      </c>
      <c r="G2365" s="8" t="s">
        <v>14</v>
      </c>
      <c r="H2365" s="8" t="s">
        <v>13</v>
      </c>
      <c r="I2365" s="7" t="n">
        <v>45833</v>
      </c>
      <c r="J2365" s="8" t="str">
        <f aca="false">VLOOKUP(B2365, Table3[#All], 2, FALSE())</f>
        <v>Inventory</v>
      </c>
      <c r="K2365" s="8" t="str">
        <f aca="false">TEXT(ROW(), "0000")</f>
        <v>2365</v>
      </c>
      <c r="L2365" s="8"/>
    </row>
    <row r="2366" customFormat="false" ht="15.75" hidden="false" customHeight="true" outlineLevel="0" collapsed="false">
      <c r="A2366" s="7" t="n">
        <v>45825</v>
      </c>
      <c r="B2366" s="8" t="s">
        <v>47</v>
      </c>
      <c r="C2366" s="9" t="n">
        <v>840</v>
      </c>
      <c r="D2366" s="8" t="s">
        <v>13</v>
      </c>
      <c r="E2366" s="10" t="s">
        <v>339</v>
      </c>
      <c r="F2366" s="8" t="str">
        <f aca="false">TEXT(A2366,"MM-YYYY")</f>
        <v>06-2025</v>
      </c>
      <c r="G2366" s="8" t="s">
        <v>14</v>
      </c>
      <c r="H2366" s="8" t="s">
        <v>13</v>
      </c>
      <c r="I2366" s="7" t="n">
        <v>45825</v>
      </c>
      <c r="J2366" s="8" t="str">
        <f aca="false">VLOOKUP(B2366, Table3[#All], 2, FALSE())</f>
        <v>Inventory</v>
      </c>
      <c r="K2366" s="8" t="str">
        <f aca="false">TEXT(ROW(), "0000")</f>
        <v>2366</v>
      </c>
      <c r="L2366" s="8"/>
    </row>
    <row r="2367" customFormat="false" ht="15.75" hidden="false" customHeight="true" outlineLevel="0" collapsed="false">
      <c r="A2367" s="7" t="n">
        <v>45825</v>
      </c>
      <c r="B2367" s="8" t="s">
        <v>22</v>
      </c>
      <c r="C2367" s="9" t="n">
        <v>2700</v>
      </c>
      <c r="D2367" s="8" t="s">
        <v>13</v>
      </c>
      <c r="E2367" s="10" t="s">
        <v>23</v>
      </c>
      <c r="F2367" s="8" t="str">
        <f aca="false">TEXT(A2367,"MM-YYYY")</f>
        <v>06-2025</v>
      </c>
      <c r="G2367" s="8" t="s">
        <v>14</v>
      </c>
      <c r="H2367" s="8" t="s">
        <v>13</v>
      </c>
      <c r="I2367" s="7" t="n">
        <v>45833</v>
      </c>
      <c r="J2367" s="8" t="str">
        <f aca="false">VLOOKUP(B2367, Table3[#All], 2, FALSE())</f>
        <v>Inventory</v>
      </c>
      <c r="K2367" s="8" t="str">
        <f aca="false">TEXT(ROW(), "0000")</f>
        <v>2367</v>
      </c>
      <c r="L2367" s="8"/>
    </row>
    <row r="2368" customFormat="false" ht="15.75" hidden="false" customHeight="true" outlineLevel="0" collapsed="false">
      <c r="A2368" s="7" t="n">
        <v>45825</v>
      </c>
      <c r="B2368" s="8" t="s">
        <v>32</v>
      </c>
      <c r="C2368" s="9" t="n">
        <v>280</v>
      </c>
      <c r="D2368" s="8" t="s">
        <v>21</v>
      </c>
      <c r="E2368" s="10" t="s">
        <v>38</v>
      </c>
      <c r="F2368" s="8" t="str">
        <f aca="false">TEXT(A2368,"MM-YYYY")</f>
        <v>06-2025</v>
      </c>
      <c r="G2368" s="8" t="s">
        <v>14</v>
      </c>
      <c r="H2368" s="8" t="s">
        <v>15</v>
      </c>
      <c r="I2368" s="7" t="n">
        <v>45825</v>
      </c>
      <c r="J2368" s="8" t="str">
        <f aca="false">VLOOKUP(B2368, Table3[#All], 2, FALSE())</f>
        <v>Grocery</v>
      </c>
      <c r="K2368" s="8" t="str">
        <f aca="false">TEXT(ROW(), "0000")</f>
        <v>2368</v>
      </c>
      <c r="L2368" s="8"/>
    </row>
    <row r="2369" customFormat="false" ht="15.75" hidden="false" customHeight="true" outlineLevel="0" collapsed="false">
      <c r="A2369" s="7" t="n">
        <v>45825</v>
      </c>
      <c r="B2369" s="8" t="s">
        <v>43</v>
      </c>
      <c r="C2369" s="9" t="n">
        <v>150</v>
      </c>
      <c r="D2369" s="8" t="s">
        <v>45</v>
      </c>
      <c r="E2369" s="10" t="s">
        <v>279</v>
      </c>
      <c r="F2369" s="8" t="str">
        <f aca="false">TEXT(A2369,"MM-YYYY")</f>
        <v>06-2025</v>
      </c>
      <c r="G2369" s="8" t="s">
        <v>14</v>
      </c>
      <c r="H2369" s="8" t="s">
        <v>232</v>
      </c>
      <c r="I2369" s="7" t="n">
        <v>45825</v>
      </c>
      <c r="J2369" s="8" t="str">
        <f aca="false">VLOOKUP(B2369, Table3[#All], 2, FALSE())</f>
        <v>Maintance</v>
      </c>
      <c r="K2369" s="8" t="str">
        <f aca="false">TEXT(ROW(), "0000")</f>
        <v>2369</v>
      </c>
      <c r="L2369" s="8"/>
    </row>
    <row r="2370" customFormat="false" ht="15.75" hidden="false" customHeight="true" outlineLevel="0" collapsed="false">
      <c r="A2370" s="7" t="n">
        <v>45825</v>
      </c>
      <c r="B2370" s="8" t="s">
        <v>44</v>
      </c>
      <c r="C2370" s="9" t="n">
        <v>2000</v>
      </c>
      <c r="D2370" s="8" t="s">
        <v>45</v>
      </c>
      <c r="E2370" s="10" t="s">
        <v>317</v>
      </c>
      <c r="F2370" s="8" t="str">
        <f aca="false">TEXT(A2370,"MM-YYYY")</f>
        <v>06-2025</v>
      </c>
      <c r="G2370" s="8" t="s">
        <v>14</v>
      </c>
      <c r="H2370" s="8" t="s">
        <v>232</v>
      </c>
      <c r="I2370" s="7" t="n">
        <v>45825</v>
      </c>
      <c r="J2370" s="8" t="str">
        <f aca="false">VLOOKUP(B2370, Table3[#All], 2, FALSE())</f>
        <v>Salary</v>
      </c>
      <c r="K2370" s="8" t="str">
        <f aca="false">TEXT(ROW(), "0000")</f>
        <v>2370</v>
      </c>
      <c r="L2370" s="8"/>
    </row>
    <row r="2371" customFormat="false" ht="15.75" hidden="false" customHeight="true" outlineLevel="0" collapsed="false">
      <c r="A2371" s="7" t="n">
        <v>45825</v>
      </c>
      <c r="B2371" s="8" t="s">
        <v>29</v>
      </c>
      <c r="C2371" s="9" t="n">
        <v>562</v>
      </c>
      <c r="D2371" s="8" t="s">
        <v>13</v>
      </c>
      <c r="E2371" s="10" t="s">
        <v>302</v>
      </c>
      <c r="F2371" s="8" t="str">
        <f aca="false">TEXT(A2371,"MM-YYYY")</f>
        <v>06-2025</v>
      </c>
      <c r="G2371" s="8" t="s">
        <v>14</v>
      </c>
      <c r="H2371" s="8" t="s">
        <v>13</v>
      </c>
      <c r="I2371" s="7" t="n">
        <v>45839</v>
      </c>
      <c r="J2371" s="8" t="str">
        <f aca="false">VLOOKUP(B2371, Table3[#All], 2, FALSE())</f>
        <v>Inventory</v>
      </c>
      <c r="K2371" s="8" t="str">
        <f aca="false">TEXT(ROW(), "0000")</f>
        <v>2371</v>
      </c>
      <c r="L2371" s="8"/>
    </row>
    <row r="2372" customFormat="false" ht="15.75" hidden="false" customHeight="true" outlineLevel="0" collapsed="false">
      <c r="A2372" s="7" t="n">
        <v>45825</v>
      </c>
      <c r="B2372" s="8" t="s">
        <v>16</v>
      </c>
      <c r="C2372" s="9" t="n">
        <v>3145</v>
      </c>
      <c r="D2372" s="8" t="s">
        <v>21</v>
      </c>
      <c r="E2372" s="10" t="s">
        <v>88</v>
      </c>
      <c r="F2372" s="8" t="str">
        <f aca="false">TEXT(A2372,"MM-YYYY")</f>
        <v>06-2025</v>
      </c>
      <c r="G2372" s="8"/>
      <c r="H2372" s="8"/>
      <c r="I2372" s="7"/>
      <c r="J2372" s="8" t="str">
        <f aca="false">VLOOKUP(B2372, Table3[#All], 2, FALSE())</f>
        <v>Sales</v>
      </c>
      <c r="K2372" s="8" t="str">
        <f aca="false">TEXT(ROW(), "0000")</f>
        <v>2372</v>
      </c>
      <c r="L2372" s="8"/>
    </row>
    <row r="2373" customFormat="false" ht="15.75" hidden="false" customHeight="true" outlineLevel="0" collapsed="false">
      <c r="A2373" s="7" t="n">
        <v>45825</v>
      </c>
      <c r="B2373" s="8" t="s">
        <v>16</v>
      </c>
      <c r="C2373" s="9" t="n">
        <v>170</v>
      </c>
      <c r="D2373" s="8" t="s">
        <v>33</v>
      </c>
      <c r="E2373" s="10" t="s">
        <v>88</v>
      </c>
      <c r="F2373" s="8" t="str">
        <f aca="false">TEXT(A2373,"MM-YYYY")</f>
        <v>06-2025</v>
      </c>
      <c r="G2373" s="8"/>
      <c r="H2373" s="8"/>
      <c r="I2373" s="7"/>
      <c r="J2373" s="8" t="str">
        <f aca="false">VLOOKUP(B2373, Table3[#All], 2, FALSE())</f>
        <v>Sales</v>
      </c>
      <c r="K2373" s="8" t="str">
        <f aca="false">TEXT(ROW(), "0000")</f>
        <v>2373</v>
      </c>
      <c r="L2373" s="8"/>
    </row>
    <row r="2374" customFormat="false" ht="15.75" hidden="false" customHeight="true" outlineLevel="0" collapsed="false">
      <c r="A2374" s="7" t="n">
        <v>45825</v>
      </c>
      <c r="B2374" s="8" t="s">
        <v>16</v>
      </c>
      <c r="C2374" s="9" t="n">
        <v>8659</v>
      </c>
      <c r="D2374" s="8" t="s">
        <v>17</v>
      </c>
      <c r="E2374" s="10" t="s">
        <v>88</v>
      </c>
      <c r="F2374" s="8" t="str">
        <f aca="false">TEXT(A2374,"MM-YYYY")</f>
        <v>06-2025</v>
      </c>
      <c r="G2374" s="8"/>
      <c r="H2374" s="8"/>
      <c r="I2374" s="7"/>
      <c r="J2374" s="8" t="str">
        <f aca="false">VLOOKUP(B2374, Table3[#All], 2, FALSE())</f>
        <v>Sales</v>
      </c>
      <c r="K2374" s="8" t="str">
        <f aca="false">TEXT(ROW(), "0000")</f>
        <v>2374</v>
      </c>
      <c r="L2374" s="8"/>
    </row>
    <row r="2375" customFormat="false" ht="15.75" hidden="false" customHeight="true" outlineLevel="0" collapsed="false">
      <c r="A2375" s="7" t="n">
        <v>45825</v>
      </c>
      <c r="B2375" s="8" t="s">
        <v>16</v>
      </c>
      <c r="C2375" s="9" t="n">
        <v>555</v>
      </c>
      <c r="D2375" s="8" t="s">
        <v>59</v>
      </c>
      <c r="E2375" s="10" t="s">
        <v>88</v>
      </c>
      <c r="F2375" s="8" t="str">
        <f aca="false">TEXT(A2375,"MM-YYYY")</f>
        <v>06-2025</v>
      </c>
      <c r="G2375" s="8"/>
      <c r="H2375" s="8"/>
      <c r="I2375" s="7"/>
      <c r="J2375" s="8" t="str">
        <f aca="false">VLOOKUP(B2375, Table3[#All], 2, FALSE())</f>
        <v>Sales</v>
      </c>
      <c r="K2375" s="8" t="str">
        <f aca="false">TEXT(ROW(), "0000")</f>
        <v>2375</v>
      </c>
      <c r="L2375" s="8"/>
    </row>
    <row r="2376" customFormat="false" ht="15.75" hidden="false" customHeight="true" outlineLevel="0" collapsed="false">
      <c r="A2376" s="7" t="n">
        <v>45825</v>
      </c>
      <c r="B2376" s="8" t="s">
        <v>16</v>
      </c>
      <c r="C2376" s="9" t="n">
        <v>2255</v>
      </c>
      <c r="D2376" s="8" t="s">
        <v>24</v>
      </c>
      <c r="E2376" s="10" t="s">
        <v>217</v>
      </c>
      <c r="F2376" s="8" t="str">
        <f aca="false">TEXT(A2376,"MM-YYYY")</f>
        <v>06-2025</v>
      </c>
      <c r="G2376" s="8"/>
      <c r="H2376" s="8"/>
      <c r="I2376" s="7"/>
      <c r="J2376" s="8" t="str">
        <f aca="false">VLOOKUP(B2376, Table3[#All], 2, FALSE())</f>
        <v>Sales</v>
      </c>
      <c r="K2376" s="8" t="str">
        <f aca="false">TEXT(ROW(), "0000")</f>
        <v>2376</v>
      </c>
      <c r="L2376" s="8"/>
    </row>
    <row r="2377" customFormat="false" ht="15.75" hidden="false" customHeight="true" outlineLevel="0" collapsed="false">
      <c r="A2377" s="7" t="n">
        <v>45825</v>
      </c>
      <c r="B2377" s="8" t="s">
        <v>34</v>
      </c>
      <c r="C2377" s="9" t="n">
        <v>115</v>
      </c>
      <c r="D2377" s="8" t="s">
        <v>21</v>
      </c>
      <c r="E2377" s="10" t="s">
        <v>274</v>
      </c>
      <c r="F2377" s="8" t="str">
        <f aca="false">TEXT(A2377,"MM-YYYY")</f>
        <v>06-2025</v>
      </c>
      <c r="G2377" s="8" t="s">
        <v>14</v>
      </c>
      <c r="H2377" s="8" t="s">
        <v>232</v>
      </c>
      <c r="I2377" s="7" t="n">
        <v>45825</v>
      </c>
      <c r="J2377" s="8" t="str">
        <f aca="false">VLOOKUP(B2377, Table3[#All], 2, FALSE())</f>
        <v>Staff Expenses</v>
      </c>
      <c r="K2377" s="8" t="str">
        <f aca="false">TEXT(ROW(), "0000")</f>
        <v>2377</v>
      </c>
      <c r="L2377" s="8"/>
    </row>
    <row r="2378" customFormat="false" ht="15.75" hidden="false" customHeight="true" outlineLevel="0" collapsed="false">
      <c r="A2378" s="7" t="n">
        <v>45826</v>
      </c>
      <c r="B2378" s="8" t="s">
        <v>19</v>
      </c>
      <c r="C2378" s="9" t="n">
        <v>2476</v>
      </c>
      <c r="D2378" s="8" t="s">
        <v>13</v>
      </c>
      <c r="E2378" s="10" t="s">
        <v>20</v>
      </c>
      <c r="F2378" s="8" t="str">
        <f aca="false">TEXT(A2378,"MM-YYYY")</f>
        <v>06-2025</v>
      </c>
      <c r="G2378" s="8" t="s">
        <v>14</v>
      </c>
      <c r="H2378" s="8" t="s">
        <v>13</v>
      </c>
      <c r="I2378" s="7" t="n">
        <v>45833</v>
      </c>
      <c r="J2378" s="8" t="str">
        <f aca="false">VLOOKUP(B2378, Table3[#All], 2, FALSE())</f>
        <v>Inventory</v>
      </c>
      <c r="K2378" s="8" t="str">
        <f aca="false">TEXT(ROW(), "0000")</f>
        <v>2378</v>
      </c>
      <c r="L2378" s="8"/>
    </row>
    <row r="2379" customFormat="false" ht="15.75" hidden="false" customHeight="true" outlineLevel="0" collapsed="false">
      <c r="A2379" s="7" t="n">
        <v>45826</v>
      </c>
      <c r="B2379" s="8" t="s">
        <v>47</v>
      </c>
      <c r="C2379" s="9" t="n">
        <v>1680</v>
      </c>
      <c r="D2379" s="8" t="s">
        <v>13</v>
      </c>
      <c r="E2379" s="10" t="s">
        <v>339</v>
      </c>
      <c r="F2379" s="8" t="str">
        <f aca="false">TEXT(A2379,"MM-YYYY")</f>
        <v>06-2025</v>
      </c>
      <c r="G2379" s="8" t="s">
        <v>14</v>
      </c>
      <c r="H2379" s="8" t="s">
        <v>13</v>
      </c>
      <c r="I2379" s="7" t="n">
        <v>45843</v>
      </c>
      <c r="J2379" s="8" t="str">
        <f aca="false">VLOOKUP(B2379, Table3[#All], 2, FALSE())</f>
        <v>Inventory</v>
      </c>
      <c r="K2379" s="8" t="str">
        <f aca="false">TEXT(ROW(), "0000")</f>
        <v>2379</v>
      </c>
      <c r="L2379" s="8"/>
    </row>
    <row r="2380" customFormat="false" ht="15.75" hidden="false" customHeight="true" outlineLevel="0" collapsed="false">
      <c r="A2380" s="7" t="n">
        <v>45826</v>
      </c>
      <c r="B2380" s="8" t="s">
        <v>22</v>
      </c>
      <c r="C2380" s="9" t="n">
        <v>726</v>
      </c>
      <c r="D2380" s="8" t="s">
        <v>13</v>
      </c>
      <c r="E2380" s="10" t="s">
        <v>23</v>
      </c>
      <c r="F2380" s="8" t="str">
        <f aca="false">TEXT(A2380,"MM-YYYY")</f>
        <v>06-2025</v>
      </c>
      <c r="G2380" s="8" t="s">
        <v>14</v>
      </c>
      <c r="H2380" s="8" t="s">
        <v>13</v>
      </c>
      <c r="I2380" s="7" t="n">
        <v>45833</v>
      </c>
      <c r="J2380" s="8" t="str">
        <f aca="false">VLOOKUP(B2380, Table3[#All], 2, FALSE())</f>
        <v>Inventory</v>
      </c>
      <c r="K2380" s="8" t="str">
        <f aca="false">TEXT(ROW(), "0000")</f>
        <v>2380</v>
      </c>
      <c r="L2380" s="8"/>
    </row>
    <row r="2381" customFormat="false" ht="15.75" hidden="false" customHeight="true" outlineLevel="0" collapsed="false">
      <c r="A2381" s="7" t="n">
        <v>45826</v>
      </c>
      <c r="B2381" s="8" t="s">
        <v>25</v>
      </c>
      <c r="C2381" s="9" t="n">
        <v>702</v>
      </c>
      <c r="D2381" s="8" t="s">
        <v>13</v>
      </c>
      <c r="E2381" s="10" t="s">
        <v>26</v>
      </c>
      <c r="F2381" s="8" t="str">
        <f aca="false">TEXT(A2381,"MM-YYYY")</f>
        <v>06-2025</v>
      </c>
      <c r="G2381" s="21" t="s">
        <v>14</v>
      </c>
      <c r="H2381" s="8" t="s">
        <v>13</v>
      </c>
      <c r="I2381" s="7" t="n">
        <v>45860</v>
      </c>
      <c r="J2381" s="8" t="str">
        <f aca="false">VLOOKUP(B2381, Table3[#All], 2, FALSE())</f>
        <v>Inventory</v>
      </c>
      <c r="K2381" s="8" t="str">
        <f aca="false">TEXT(ROW(), "0000")</f>
        <v>2381</v>
      </c>
      <c r="L2381" s="8"/>
    </row>
    <row r="2382" customFormat="false" ht="15.75" hidden="false" customHeight="true" outlineLevel="0" collapsed="false">
      <c r="A2382" s="7" t="n">
        <v>45826</v>
      </c>
      <c r="B2382" s="8" t="s">
        <v>32</v>
      </c>
      <c r="C2382" s="9" t="n">
        <v>280</v>
      </c>
      <c r="D2382" s="8" t="s">
        <v>21</v>
      </c>
      <c r="E2382" s="10" t="s">
        <v>38</v>
      </c>
      <c r="F2382" s="8" t="str">
        <f aca="false">TEXT(A2382,"MM-YYYY")</f>
        <v>06-2025</v>
      </c>
      <c r="G2382" s="8" t="s">
        <v>14</v>
      </c>
      <c r="H2382" s="8" t="s">
        <v>15</v>
      </c>
      <c r="I2382" s="7" t="n">
        <v>45826</v>
      </c>
      <c r="J2382" s="8" t="str">
        <f aca="false">VLOOKUP(B2382, Table3[#All], 2, FALSE())</f>
        <v>Grocery</v>
      </c>
      <c r="K2382" s="8" t="str">
        <f aca="false">TEXT(ROW(), "0000")</f>
        <v>2382</v>
      </c>
      <c r="L2382" s="8"/>
    </row>
    <row r="2383" customFormat="false" ht="15.75" hidden="false" customHeight="true" outlineLevel="0" collapsed="false">
      <c r="A2383" s="7" t="n">
        <v>45826</v>
      </c>
      <c r="B2383" s="8" t="s">
        <v>50</v>
      </c>
      <c r="C2383" s="9" t="n">
        <v>3480</v>
      </c>
      <c r="D2383" s="8" t="s">
        <v>13</v>
      </c>
      <c r="E2383" s="10" t="s">
        <v>263</v>
      </c>
      <c r="F2383" s="8" t="str">
        <f aca="false">TEXT(A2383,"MM-YYYY")</f>
        <v>06-2025</v>
      </c>
      <c r="G2383" s="8" t="s">
        <v>14</v>
      </c>
      <c r="H2383" s="8" t="s">
        <v>13</v>
      </c>
      <c r="I2383" s="7" t="n">
        <v>45831</v>
      </c>
      <c r="J2383" s="8" t="str">
        <f aca="false">VLOOKUP(B2383, Table3[#All], 2, FALSE())</f>
        <v>Fixed Maintance</v>
      </c>
      <c r="K2383" s="8" t="str">
        <f aca="false">TEXT(ROW(), "0000")</f>
        <v>2383</v>
      </c>
      <c r="L2383" s="8"/>
    </row>
    <row r="2384" customFormat="false" ht="15.75" hidden="false" customHeight="true" outlineLevel="0" collapsed="false">
      <c r="A2384" s="7" t="n">
        <v>45826</v>
      </c>
      <c r="B2384" s="8" t="s">
        <v>29</v>
      </c>
      <c r="C2384" s="9" t="n">
        <v>459</v>
      </c>
      <c r="D2384" s="8" t="s">
        <v>13</v>
      </c>
      <c r="E2384" s="10" t="s">
        <v>302</v>
      </c>
      <c r="F2384" s="8" t="str">
        <f aca="false">TEXT(A2384,"MM-YYYY")</f>
        <v>06-2025</v>
      </c>
      <c r="G2384" s="8" t="s">
        <v>14</v>
      </c>
      <c r="H2384" s="8" t="s">
        <v>13</v>
      </c>
      <c r="I2384" s="7" t="n">
        <v>45839</v>
      </c>
      <c r="J2384" s="8" t="str">
        <f aca="false">VLOOKUP(B2384, Table3[#All], 2, FALSE())</f>
        <v>Inventory</v>
      </c>
      <c r="K2384" s="8" t="str">
        <f aca="false">TEXT(ROW(), "0000")</f>
        <v>2384</v>
      </c>
      <c r="L2384" s="8"/>
    </row>
    <row r="2385" customFormat="false" ht="15.75" hidden="false" customHeight="true" outlineLevel="0" collapsed="false">
      <c r="A2385" s="7" t="n">
        <v>45826</v>
      </c>
      <c r="B2385" s="8" t="s">
        <v>16</v>
      </c>
      <c r="C2385" s="9" t="n">
        <v>2362</v>
      </c>
      <c r="D2385" s="8" t="s">
        <v>21</v>
      </c>
      <c r="E2385" s="10" t="s">
        <v>88</v>
      </c>
      <c r="F2385" s="8" t="str">
        <f aca="false">TEXT(A2385,"MM-YYYY")</f>
        <v>06-2025</v>
      </c>
      <c r="G2385" s="8"/>
      <c r="H2385" s="8"/>
      <c r="I2385" s="7"/>
      <c r="J2385" s="8" t="str">
        <f aca="false">VLOOKUP(B2385, Table3[#All], 2, FALSE())</f>
        <v>Sales</v>
      </c>
      <c r="K2385" s="8" t="str">
        <f aca="false">TEXT(ROW(), "0000")</f>
        <v>2385</v>
      </c>
      <c r="L2385" s="8"/>
    </row>
    <row r="2386" customFormat="false" ht="15.75" hidden="false" customHeight="true" outlineLevel="0" collapsed="false">
      <c r="A2386" s="7" t="n">
        <v>45826</v>
      </c>
      <c r="B2386" s="8" t="s">
        <v>16</v>
      </c>
      <c r="C2386" s="9" t="n">
        <v>3010</v>
      </c>
      <c r="D2386" s="8" t="s">
        <v>27</v>
      </c>
      <c r="E2386" s="10" t="s">
        <v>88</v>
      </c>
      <c r="F2386" s="8" t="str">
        <f aca="false">TEXT(A2386,"MM-YYYY")</f>
        <v>06-2025</v>
      </c>
      <c r="G2386" s="8"/>
      <c r="H2386" s="8"/>
      <c r="I2386" s="7"/>
      <c r="J2386" s="8" t="str">
        <f aca="false">VLOOKUP(B2386, Table3[#All], 2, FALSE())</f>
        <v>Sales</v>
      </c>
      <c r="K2386" s="8" t="str">
        <f aca="false">TEXT(ROW(), "0000")</f>
        <v>2386</v>
      </c>
      <c r="L2386" s="8"/>
    </row>
    <row r="2387" customFormat="false" ht="15.75" hidden="false" customHeight="true" outlineLevel="0" collapsed="false">
      <c r="A2387" s="7" t="n">
        <v>45826</v>
      </c>
      <c r="B2387" s="8" t="s">
        <v>16</v>
      </c>
      <c r="C2387" s="9" t="n">
        <v>933</v>
      </c>
      <c r="D2387" s="8" t="s">
        <v>33</v>
      </c>
      <c r="E2387" s="10" t="s">
        <v>88</v>
      </c>
      <c r="F2387" s="8" t="str">
        <f aca="false">TEXT(A2387,"MM-YYYY")</f>
        <v>06-2025</v>
      </c>
      <c r="G2387" s="8"/>
      <c r="H2387" s="8"/>
      <c r="I2387" s="7"/>
      <c r="J2387" s="8" t="str">
        <f aca="false">VLOOKUP(B2387, Table3[#All], 2, FALSE())</f>
        <v>Sales</v>
      </c>
      <c r="K2387" s="8" t="str">
        <f aca="false">TEXT(ROW(), "0000")</f>
        <v>2387</v>
      </c>
      <c r="L2387" s="8"/>
    </row>
    <row r="2388" customFormat="false" ht="15.75" hidden="false" customHeight="true" outlineLevel="0" collapsed="false">
      <c r="A2388" s="7" t="n">
        <v>45826</v>
      </c>
      <c r="B2388" s="8" t="s">
        <v>16</v>
      </c>
      <c r="C2388" s="9" t="n">
        <v>10555</v>
      </c>
      <c r="D2388" s="8" t="s">
        <v>17</v>
      </c>
      <c r="E2388" s="10" t="s">
        <v>88</v>
      </c>
      <c r="F2388" s="8" t="str">
        <f aca="false">TEXT(A2388,"MM-YYYY")</f>
        <v>06-2025</v>
      </c>
      <c r="G2388" s="8"/>
      <c r="H2388" s="8"/>
      <c r="I2388" s="7"/>
      <c r="J2388" s="8" t="str">
        <f aca="false">VLOOKUP(B2388, Table3[#All], 2, FALSE())</f>
        <v>Sales</v>
      </c>
      <c r="K2388" s="8" t="str">
        <f aca="false">TEXT(ROW(), "0000")</f>
        <v>2388</v>
      </c>
      <c r="L2388" s="8"/>
    </row>
    <row r="2389" customFormat="false" ht="15.75" hidden="false" customHeight="true" outlineLevel="0" collapsed="false">
      <c r="A2389" s="7" t="n">
        <v>45826</v>
      </c>
      <c r="B2389" s="8" t="s">
        <v>16</v>
      </c>
      <c r="C2389" s="9" t="n">
        <v>2635</v>
      </c>
      <c r="D2389" s="8" t="s">
        <v>24</v>
      </c>
      <c r="E2389" s="10" t="s">
        <v>217</v>
      </c>
      <c r="F2389" s="8" t="str">
        <f aca="false">TEXT(A2389,"MM-YYYY")</f>
        <v>06-2025</v>
      </c>
      <c r="G2389" s="8"/>
      <c r="H2389" s="8"/>
      <c r="I2389" s="7"/>
      <c r="J2389" s="8" t="str">
        <f aca="false">VLOOKUP(B2389, Table3[#All], 2, FALSE())</f>
        <v>Sales</v>
      </c>
      <c r="K2389" s="8" t="str">
        <f aca="false">TEXT(ROW(), "0000")</f>
        <v>2389</v>
      </c>
      <c r="L2389" s="8"/>
    </row>
    <row r="2390" customFormat="false" ht="15.75" hidden="false" customHeight="true" outlineLevel="0" collapsed="false">
      <c r="A2390" s="7" t="n">
        <v>45826</v>
      </c>
      <c r="B2390" s="8" t="s">
        <v>34</v>
      </c>
      <c r="C2390" s="9" t="n">
        <v>153</v>
      </c>
      <c r="D2390" s="8" t="s">
        <v>45</v>
      </c>
      <c r="E2390" s="10" t="s">
        <v>274</v>
      </c>
      <c r="F2390" s="8" t="str">
        <f aca="false">TEXT(A2390,"MM-YYYY")</f>
        <v>06-2025</v>
      </c>
      <c r="G2390" s="8" t="s">
        <v>14</v>
      </c>
      <c r="H2390" s="8" t="s">
        <v>232</v>
      </c>
      <c r="I2390" s="7" t="n">
        <v>45826</v>
      </c>
      <c r="J2390" s="8" t="str">
        <f aca="false">VLOOKUP(B2390, Table3[#All], 2, FALSE())</f>
        <v>Staff Expenses</v>
      </c>
      <c r="K2390" s="8" t="str">
        <f aca="false">TEXT(ROW(), "0000")</f>
        <v>2390</v>
      </c>
      <c r="L2390" s="8"/>
    </row>
    <row r="2391" customFormat="false" ht="15.75" hidden="false" customHeight="true" outlineLevel="0" collapsed="false">
      <c r="A2391" s="7" t="n">
        <v>45827</v>
      </c>
      <c r="B2391" s="8" t="s">
        <v>25</v>
      </c>
      <c r="C2391" s="9" t="n">
        <v>810</v>
      </c>
      <c r="D2391" s="8" t="s">
        <v>13</v>
      </c>
      <c r="E2391" s="10" t="s">
        <v>26</v>
      </c>
      <c r="F2391" s="8" t="str">
        <f aca="false">TEXT(A2391,"MM-YYYY")</f>
        <v>06-2025</v>
      </c>
      <c r="G2391" s="8" t="s">
        <v>14</v>
      </c>
      <c r="H2391" s="8" t="s">
        <v>13</v>
      </c>
      <c r="I2391" s="7" t="n">
        <v>45860</v>
      </c>
      <c r="J2391" s="8" t="str">
        <f aca="false">VLOOKUP(B2391, Table3[#All], 2, FALSE())</f>
        <v>Inventory</v>
      </c>
      <c r="K2391" s="8" t="str">
        <f aca="false">TEXT(ROW(), "0000")</f>
        <v>2391</v>
      </c>
      <c r="L2391" s="8"/>
    </row>
    <row r="2392" customFormat="false" ht="15.75" hidden="false" customHeight="true" outlineLevel="0" collapsed="false">
      <c r="A2392" s="7" t="n">
        <v>45827</v>
      </c>
      <c r="B2392" s="8" t="s">
        <v>22</v>
      </c>
      <c r="C2392" s="9" t="n">
        <v>5060</v>
      </c>
      <c r="D2392" s="8" t="s">
        <v>13</v>
      </c>
      <c r="E2392" s="10" t="s">
        <v>23</v>
      </c>
      <c r="F2392" s="8" t="str">
        <f aca="false">TEXT(A2392,"MM-YYYY")</f>
        <v>06-2025</v>
      </c>
      <c r="G2392" s="8" t="s">
        <v>14</v>
      </c>
      <c r="H2392" s="8" t="s">
        <v>13</v>
      </c>
      <c r="I2392" s="7" t="n">
        <v>45833</v>
      </c>
      <c r="J2392" s="8" t="str">
        <f aca="false">VLOOKUP(B2392, Table3[#All], 2, FALSE())</f>
        <v>Inventory</v>
      </c>
      <c r="K2392" s="8" t="str">
        <f aca="false">TEXT(ROW(), "0000")</f>
        <v>2392</v>
      </c>
      <c r="L2392" s="8"/>
    </row>
    <row r="2393" customFormat="false" ht="15.75" hidden="false" customHeight="true" outlineLevel="0" collapsed="false">
      <c r="A2393" s="7" t="n">
        <v>45827</v>
      </c>
      <c r="B2393" s="8" t="s">
        <v>19</v>
      </c>
      <c r="C2393" s="9" t="n">
        <v>4559</v>
      </c>
      <c r="D2393" s="8" t="s">
        <v>13</v>
      </c>
      <c r="E2393" s="10" t="s">
        <v>20</v>
      </c>
      <c r="F2393" s="8" t="str">
        <f aca="false">TEXT(A2393,"MM-YYYY")</f>
        <v>06-2025</v>
      </c>
      <c r="G2393" s="8" t="s">
        <v>14</v>
      </c>
      <c r="H2393" s="8" t="s">
        <v>13</v>
      </c>
      <c r="I2393" s="7" t="n">
        <v>45835</v>
      </c>
      <c r="J2393" s="8" t="str">
        <f aca="false">VLOOKUP(B2393, Table3[#All], 2, FALSE())</f>
        <v>Inventory</v>
      </c>
      <c r="K2393" s="8" t="str">
        <f aca="false">TEXT(ROW(), "0000")</f>
        <v>2393</v>
      </c>
      <c r="L2393" s="8"/>
    </row>
    <row r="2394" customFormat="false" ht="15.75" hidden="false" customHeight="true" outlineLevel="0" collapsed="false">
      <c r="A2394" s="7" t="n">
        <v>45827</v>
      </c>
      <c r="B2394" s="8" t="s">
        <v>31</v>
      </c>
      <c r="C2394" s="9" t="n">
        <v>310</v>
      </c>
      <c r="D2394" s="8" t="s">
        <v>45</v>
      </c>
      <c r="E2394" s="10" t="s">
        <v>236</v>
      </c>
      <c r="F2394" s="8" t="str">
        <f aca="false">TEXT(A2394,"MM-YYYY")</f>
        <v>06-2025</v>
      </c>
      <c r="G2394" s="8" t="s">
        <v>14</v>
      </c>
      <c r="H2394" s="8" t="s">
        <v>232</v>
      </c>
      <c r="I2394" s="7" t="n">
        <v>45827</v>
      </c>
      <c r="J2394" s="8" t="str">
        <f aca="false">VLOOKUP(B2394, Table3[#All], 2, FALSE())</f>
        <v>Bike Maintance</v>
      </c>
      <c r="K2394" s="8" t="str">
        <f aca="false">TEXT(ROW(), "0000")</f>
        <v>2394</v>
      </c>
      <c r="L2394" s="8"/>
    </row>
    <row r="2395" customFormat="false" ht="15.75" hidden="false" customHeight="true" outlineLevel="0" collapsed="false">
      <c r="A2395" s="7" t="n">
        <v>45827</v>
      </c>
      <c r="B2395" s="8" t="s">
        <v>25</v>
      </c>
      <c r="C2395" s="9" t="n">
        <v>680</v>
      </c>
      <c r="D2395" s="8" t="s">
        <v>45</v>
      </c>
      <c r="E2395" s="10" t="s">
        <v>306</v>
      </c>
      <c r="F2395" s="8" t="str">
        <f aca="false">TEXT(A2395,"MM-YYYY")</f>
        <v>06-2025</v>
      </c>
      <c r="G2395" s="8" t="s">
        <v>14</v>
      </c>
      <c r="H2395" s="8" t="s">
        <v>232</v>
      </c>
      <c r="I2395" s="7" t="n">
        <v>45827</v>
      </c>
      <c r="J2395" s="8" t="str">
        <f aca="false">VLOOKUP(B2395, Table3[#All], 2, FALSE())</f>
        <v>Inventory</v>
      </c>
      <c r="K2395" s="8" t="str">
        <f aca="false">TEXT(ROW(), "0000")</f>
        <v>2395</v>
      </c>
      <c r="L2395" s="8"/>
    </row>
    <row r="2396" customFormat="false" ht="15.75" hidden="false" customHeight="true" outlineLevel="0" collapsed="false">
      <c r="A2396" s="7" t="n">
        <v>45827</v>
      </c>
      <c r="B2396" s="8" t="s">
        <v>35</v>
      </c>
      <c r="C2396" s="9" t="n">
        <v>100</v>
      </c>
      <c r="D2396" s="8" t="s">
        <v>45</v>
      </c>
      <c r="E2396" s="10" t="s">
        <v>145</v>
      </c>
      <c r="F2396" s="8" t="str">
        <f aca="false">TEXT(A2396,"MM-YYYY")</f>
        <v>06-2025</v>
      </c>
      <c r="G2396" s="8" t="s">
        <v>14</v>
      </c>
      <c r="H2396" s="8" t="s">
        <v>232</v>
      </c>
      <c r="I2396" s="7" t="n">
        <v>45827</v>
      </c>
      <c r="J2396" s="8" t="str">
        <f aca="false">VLOOKUP(B2396, Table3[#All], 2, FALSE())</f>
        <v>Inventory</v>
      </c>
      <c r="K2396" s="8" t="str">
        <f aca="false">TEXT(ROW(), "0000")</f>
        <v>2396</v>
      </c>
      <c r="L2396" s="8"/>
    </row>
    <row r="2397" customFormat="false" ht="15.75" hidden="false" customHeight="true" outlineLevel="0" collapsed="false">
      <c r="A2397" s="7" t="n">
        <v>45827</v>
      </c>
      <c r="B2397" s="8" t="s">
        <v>29</v>
      </c>
      <c r="C2397" s="9" t="n">
        <v>100</v>
      </c>
      <c r="D2397" s="8" t="s">
        <v>45</v>
      </c>
      <c r="E2397" s="10" t="s">
        <v>134</v>
      </c>
      <c r="F2397" s="8" t="str">
        <f aca="false">TEXT(A2397,"MM-YYYY")</f>
        <v>06-2025</v>
      </c>
      <c r="G2397" s="8" t="s">
        <v>14</v>
      </c>
      <c r="H2397" s="8" t="s">
        <v>232</v>
      </c>
      <c r="I2397" s="7" t="n">
        <v>45827</v>
      </c>
      <c r="J2397" s="8" t="str">
        <f aca="false">VLOOKUP(B2397, Table3[#All], 2, FALSE())</f>
        <v>Inventory</v>
      </c>
      <c r="K2397" s="8" t="str">
        <f aca="false">TEXT(ROW(), "0000")</f>
        <v>2397</v>
      </c>
      <c r="L2397" s="8"/>
    </row>
    <row r="2398" customFormat="false" ht="15.75" hidden="false" customHeight="true" outlineLevel="0" collapsed="false">
      <c r="A2398" s="7" t="n">
        <v>45827</v>
      </c>
      <c r="B2398" s="8" t="s">
        <v>32</v>
      </c>
      <c r="C2398" s="9" t="n">
        <v>210</v>
      </c>
      <c r="D2398" s="8" t="s">
        <v>21</v>
      </c>
      <c r="E2398" s="10" t="s">
        <v>38</v>
      </c>
      <c r="F2398" s="8" t="str">
        <f aca="false">TEXT(A2398,"MM-YYYY")</f>
        <v>06-2025</v>
      </c>
      <c r="G2398" s="8" t="s">
        <v>14</v>
      </c>
      <c r="H2398" s="8" t="s">
        <v>15</v>
      </c>
      <c r="I2398" s="7" t="n">
        <v>45827</v>
      </c>
      <c r="J2398" s="8" t="str">
        <f aca="false">VLOOKUP(B2398, Table3[#All], 2, FALSE())</f>
        <v>Grocery</v>
      </c>
      <c r="K2398" s="8" t="str">
        <f aca="false">TEXT(ROW(), "0000")</f>
        <v>2398</v>
      </c>
      <c r="L2398" s="8"/>
    </row>
    <row r="2399" customFormat="false" ht="15.75" hidden="false" customHeight="true" outlineLevel="0" collapsed="false">
      <c r="A2399" s="7" t="n">
        <v>45827</v>
      </c>
      <c r="B2399" s="8" t="s">
        <v>214</v>
      </c>
      <c r="C2399" s="9" t="n">
        <v>1000</v>
      </c>
      <c r="D2399" s="8" t="s">
        <v>45</v>
      </c>
      <c r="E2399" s="8" t="s">
        <v>214</v>
      </c>
      <c r="F2399" s="8" t="str">
        <f aca="false">TEXT(A2399,"MM-YYYY")</f>
        <v>06-2025</v>
      </c>
      <c r="G2399" s="8" t="s">
        <v>14</v>
      </c>
      <c r="H2399" s="8" t="s">
        <v>232</v>
      </c>
      <c r="I2399" s="7" t="n">
        <v>45827</v>
      </c>
      <c r="J2399" s="8" t="str">
        <f aca="false">VLOOKUP(B2399, Table3[#All], 2, FALSE())</f>
        <v>Maintenance</v>
      </c>
      <c r="K2399" s="8" t="str">
        <f aca="false">TEXT(ROW(), "0000")</f>
        <v>2399</v>
      </c>
      <c r="L2399" s="8"/>
    </row>
    <row r="2400" customFormat="false" ht="15.75" hidden="false" customHeight="true" outlineLevel="0" collapsed="false">
      <c r="A2400" s="7" t="n">
        <v>45827</v>
      </c>
      <c r="B2400" s="8" t="s">
        <v>69</v>
      </c>
      <c r="C2400" s="9" t="n">
        <v>700</v>
      </c>
      <c r="D2400" s="8" t="s">
        <v>45</v>
      </c>
      <c r="E2400" s="10" t="s">
        <v>19</v>
      </c>
      <c r="F2400" s="8" t="str">
        <f aca="false">TEXT(A2400,"MM-YYYY")</f>
        <v>06-2025</v>
      </c>
      <c r="G2400" s="8" t="s">
        <v>14</v>
      </c>
      <c r="H2400" s="8" t="s">
        <v>232</v>
      </c>
      <c r="I2400" s="7" t="n">
        <v>45827</v>
      </c>
      <c r="J2400" s="8" t="str">
        <f aca="false">VLOOKUP(B2400, Table3[#All], 2, FALSE())</f>
        <v>Fixed Maintance</v>
      </c>
      <c r="K2400" s="8" t="str">
        <f aca="false">TEXT(ROW(), "0000")</f>
        <v>2400</v>
      </c>
      <c r="L2400" s="8"/>
    </row>
    <row r="2401" customFormat="false" ht="15.75" hidden="false" customHeight="true" outlineLevel="0" collapsed="false">
      <c r="A2401" s="7" t="n">
        <v>45827</v>
      </c>
      <c r="B2401" s="8" t="s">
        <v>29</v>
      </c>
      <c r="C2401" s="9" t="n">
        <v>269</v>
      </c>
      <c r="D2401" s="8" t="s">
        <v>13</v>
      </c>
      <c r="E2401" s="10" t="s">
        <v>302</v>
      </c>
      <c r="F2401" s="8" t="str">
        <f aca="false">TEXT(A2401,"MM-YYYY")</f>
        <v>06-2025</v>
      </c>
      <c r="G2401" s="8" t="s">
        <v>14</v>
      </c>
      <c r="H2401" s="8" t="s">
        <v>13</v>
      </c>
      <c r="I2401" s="7" t="n">
        <v>45839</v>
      </c>
      <c r="J2401" s="8" t="str">
        <f aca="false">VLOOKUP(B2401, Table3[#All], 2, FALSE())</f>
        <v>Inventory</v>
      </c>
      <c r="K2401" s="8" t="str">
        <f aca="false">TEXT(ROW(), "0000")</f>
        <v>2401</v>
      </c>
      <c r="L2401" s="8"/>
    </row>
    <row r="2402" customFormat="false" ht="15.75" hidden="false" customHeight="true" outlineLevel="0" collapsed="false">
      <c r="A2402" s="7" t="n">
        <v>45827</v>
      </c>
      <c r="B2402" s="8" t="s">
        <v>16</v>
      </c>
      <c r="C2402" s="9" t="n">
        <v>5944</v>
      </c>
      <c r="D2402" s="8" t="s">
        <v>21</v>
      </c>
      <c r="E2402" s="10" t="s">
        <v>88</v>
      </c>
      <c r="F2402" s="8" t="str">
        <f aca="false">TEXT(A2402,"MM-YYYY")</f>
        <v>06-2025</v>
      </c>
      <c r="G2402" s="8"/>
      <c r="H2402" s="8"/>
      <c r="I2402" s="7"/>
      <c r="J2402" s="8" t="str">
        <f aca="false">VLOOKUP(B2402, Table3[#All], 2, FALSE())</f>
        <v>Sales</v>
      </c>
      <c r="K2402" s="8" t="str">
        <f aca="false">TEXT(ROW(), "0000")</f>
        <v>2402</v>
      </c>
      <c r="L2402" s="8"/>
    </row>
    <row r="2403" customFormat="false" ht="15.75" hidden="false" customHeight="true" outlineLevel="0" collapsed="false">
      <c r="A2403" s="7" t="n">
        <v>45827</v>
      </c>
      <c r="B2403" s="8" t="s">
        <v>16</v>
      </c>
      <c r="C2403" s="9" t="n">
        <v>1089</v>
      </c>
      <c r="D2403" s="8" t="s">
        <v>27</v>
      </c>
      <c r="E2403" s="10" t="s">
        <v>88</v>
      </c>
      <c r="F2403" s="8" t="str">
        <f aca="false">TEXT(A2403,"MM-YYYY")</f>
        <v>06-2025</v>
      </c>
      <c r="G2403" s="8"/>
      <c r="H2403" s="8"/>
      <c r="I2403" s="7"/>
      <c r="J2403" s="8" t="str">
        <f aca="false">VLOOKUP(B2403, Table3[#All], 2, FALSE())</f>
        <v>Sales</v>
      </c>
      <c r="K2403" s="8" t="str">
        <f aca="false">TEXT(ROW(), "0000")</f>
        <v>2403</v>
      </c>
      <c r="L2403" s="8"/>
    </row>
    <row r="2404" customFormat="false" ht="15.75" hidden="false" customHeight="true" outlineLevel="0" collapsed="false">
      <c r="A2404" s="7" t="n">
        <v>45827</v>
      </c>
      <c r="B2404" s="8" t="s">
        <v>16</v>
      </c>
      <c r="C2404" s="9" t="n">
        <v>530</v>
      </c>
      <c r="D2404" s="8" t="s">
        <v>33</v>
      </c>
      <c r="E2404" s="10" t="s">
        <v>88</v>
      </c>
      <c r="F2404" s="8" t="str">
        <f aca="false">TEXT(A2404,"MM-YYYY")</f>
        <v>06-2025</v>
      </c>
      <c r="G2404" s="8"/>
      <c r="H2404" s="8"/>
      <c r="I2404" s="7"/>
      <c r="J2404" s="8" t="str">
        <f aca="false">VLOOKUP(B2404, Table3[#All], 2, FALSE())</f>
        <v>Sales</v>
      </c>
      <c r="K2404" s="8" t="str">
        <f aca="false">TEXT(ROW(), "0000")</f>
        <v>2404</v>
      </c>
      <c r="L2404" s="8"/>
    </row>
    <row r="2405" customFormat="false" ht="15.75" hidden="false" customHeight="true" outlineLevel="0" collapsed="false">
      <c r="A2405" s="7" t="n">
        <v>45827</v>
      </c>
      <c r="B2405" s="8" t="s">
        <v>16</v>
      </c>
      <c r="C2405" s="9" t="n">
        <v>9953</v>
      </c>
      <c r="D2405" s="8" t="s">
        <v>17</v>
      </c>
      <c r="E2405" s="10" t="s">
        <v>88</v>
      </c>
      <c r="F2405" s="8" t="str">
        <f aca="false">TEXT(A2405,"MM-YYYY")</f>
        <v>06-2025</v>
      </c>
      <c r="G2405" s="8"/>
      <c r="H2405" s="8"/>
      <c r="I2405" s="7"/>
      <c r="J2405" s="8" t="str">
        <f aca="false">VLOOKUP(B2405, Table3[#All], 2, FALSE())</f>
        <v>Sales</v>
      </c>
      <c r="K2405" s="8" t="str">
        <f aca="false">TEXT(ROW(), "0000")</f>
        <v>2405</v>
      </c>
      <c r="L2405" s="8"/>
    </row>
    <row r="2406" customFormat="false" ht="15.75" hidden="false" customHeight="true" outlineLevel="0" collapsed="false">
      <c r="A2406" s="7" t="n">
        <v>45827</v>
      </c>
      <c r="B2406" s="8" t="s">
        <v>16</v>
      </c>
      <c r="C2406" s="9" t="n">
        <v>570</v>
      </c>
      <c r="D2406" s="8" t="s">
        <v>59</v>
      </c>
      <c r="E2406" s="10" t="s">
        <v>88</v>
      </c>
      <c r="F2406" s="8" t="str">
        <f aca="false">TEXT(A2406,"MM-YYYY")</f>
        <v>06-2025</v>
      </c>
      <c r="G2406" s="8"/>
      <c r="H2406" s="8"/>
      <c r="I2406" s="7"/>
      <c r="J2406" s="8" t="str">
        <f aca="false">VLOOKUP(B2406, Table3[#All], 2, FALSE())</f>
        <v>Sales</v>
      </c>
      <c r="K2406" s="8" t="str">
        <f aca="false">TEXT(ROW(), "0000")</f>
        <v>2406</v>
      </c>
      <c r="L2406" s="8"/>
    </row>
    <row r="2407" customFormat="false" ht="15.75" hidden="false" customHeight="true" outlineLevel="0" collapsed="false">
      <c r="A2407" s="7" t="n">
        <v>45827</v>
      </c>
      <c r="B2407" s="8" t="s">
        <v>16</v>
      </c>
      <c r="C2407" s="9" t="n">
        <v>1487</v>
      </c>
      <c r="D2407" s="8" t="s">
        <v>24</v>
      </c>
      <c r="E2407" s="10" t="s">
        <v>217</v>
      </c>
      <c r="F2407" s="8" t="str">
        <f aca="false">TEXT(A2407,"MM-YYYY")</f>
        <v>06-2025</v>
      </c>
      <c r="G2407" s="8"/>
      <c r="H2407" s="8"/>
      <c r="I2407" s="7"/>
      <c r="J2407" s="8" t="str">
        <f aca="false">VLOOKUP(B2407, Table3[#All], 2, FALSE())</f>
        <v>Sales</v>
      </c>
      <c r="K2407" s="8" t="str">
        <f aca="false">TEXT(ROW(), "0000")</f>
        <v>2407</v>
      </c>
      <c r="L2407" s="8"/>
    </row>
    <row r="2408" customFormat="false" ht="15.75" hidden="false" customHeight="true" outlineLevel="0" collapsed="false">
      <c r="A2408" s="7" t="n">
        <v>45827</v>
      </c>
      <c r="B2408" s="8" t="s">
        <v>34</v>
      </c>
      <c r="C2408" s="9" t="n">
        <v>144</v>
      </c>
      <c r="D2408" s="8" t="s">
        <v>45</v>
      </c>
      <c r="E2408" s="10" t="s">
        <v>274</v>
      </c>
      <c r="F2408" s="8" t="str">
        <f aca="false">TEXT(A2408,"MM-YYYY")</f>
        <v>06-2025</v>
      </c>
      <c r="G2408" s="8" t="s">
        <v>14</v>
      </c>
      <c r="H2408" s="8" t="s">
        <v>232</v>
      </c>
      <c r="I2408" s="7" t="n">
        <v>45827</v>
      </c>
      <c r="J2408" s="8" t="str">
        <f aca="false">VLOOKUP(B2408, Table3[#All], 2, FALSE())</f>
        <v>Staff Expenses</v>
      </c>
      <c r="K2408" s="8" t="str">
        <f aca="false">TEXT(ROW(), "0000")</f>
        <v>2408</v>
      </c>
      <c r="L2408" s="8"/>
    </row>
    <row r="2409" customFormat="false" ht="15.75" hidden="false" customHeight="true" outlineLevel="0" collapsed="false">
      <c r="A2409" s="7" t="n">
        <v>45828</v>
      </c>
      <c r="B2409" s="8" t="s">
        <v>19</v>
      </c>
      <c r="C2409" s="9" t="n">
        <v>3094</v>
      </c>
      <c r="D2409" s="8" t="s">
        <v>13</v>
      </c>
      <c r="E2409" s="10" t="s">
        <v>20</v>
      </c>
      <c r="F2409" s="8" t="str">
        <f aca="false">TEXT(A2409,"MM-YYYY")</f>
        <v>06-2025</v>
      </c>
      <c r="G2409" s="8" t="s">
        <v>14</v>
      </c>
      <c r="H2409" s="8" t="s">
        <v>13</v>
      </c>
      <c r="I2409" s="7" t="n">
        <v>45835</v>
      </c>
      <c r="J2409" s="8" t="str">
        <f aca="false">VLOOKUP(B2409, Table3[#All], 2, FALSE())</f>
        <v>Inventory</v>
      </c>
      <c r="K2409" s="8" t="str">
        <f aca="false">TEXT(ROW(), "0000")</f>
        <v>2409</v>
      </c>
      <c r="L2409" s="8"/>
    </row>
    <row r="2410" customFormat="false" ht="15.75" hidden="false" customHeight="true" outlineLevel="0" collapsed="false">
      <c r="A2410" s="7" t="n">
        <v>45828</v>
      </c>
      <c r="B2410" s="8" t="s">
        <v>22</v>
      </c>
      <c r="C2410" s="9" t="n">
        <v>241</v>
      </c>
      <c r="D2410" s="8" t="s">
        <v>13</v>
      </c>
      <c r="E2410" s="10" t="s">
        <v>23</v>
      </c>
      <c r="F2410" s="8" t="str">
        <f aca="false">TEXT(A2410,"MM-YYYY")</f>
        <v>06-2025</v>
      </c>
      <c r="G2410" s="8" t="s">
        <v>14</v>
      </c>
      <c r="H2410" s="8" t="s">
        <v>13</v>
      </c>
      <c r="I2410" s="7" t="n">
        <v>45836</v>
      </c>
      <c r="J2410" s="8" t="str">
        <f aca="false">VLOOKUP(B2410, Table3[#All], 2, FALSE())</f>
        <v>Inventory</v>
      </c>
      <c r="K2410" s="8" t="str">
        <f aca="false">TEXT(ROW(), "0000")</f>
        <v>2410</v>
      </c>
      <c r="L2410" s="8"/>
    </row>
    <row r="2411" customFormat="false" ht="15.75" hidden="false" customHeight="true" outlineLevel="0" collapsed="false">
      <c r="A2411" s="7" t="n">
        <v>45828</v>
      </c>
      <c r="B2411" s="8" t="s">
        <v>22</v>
      </c>
      <c r="C2411" s="9" t="n">
        <v>220</v>
      </c>
      <c r="D2411" s="8" t="s">
        <v>21</v>
      </c>
      <c r="E2411" s="10" t="s">
        <v>213</v>
      </c>
      <c r="F2411" s="8" t="str">
        <f aca="false">TEXT(A2411,"MM-YYYY")</f>
        <v>06-2025</v>
      </c>
      <c r="G2411" s="8" t="s">
        <v>14</v>
      </c>
      <c r="H2411" s="8" t="s">
        <v>15</v>
      </c>
      <c r="I2411" s="7" t="n">
        <v>45828</v>
      </c>
      <c r="J2411" s="8" t="str">
        <f aca="false">VLOOKUP(B2411, Table3[#All], 2, FALSE())</f>
        <v>Inventory</v>
      </c>
      <c r="K2411" s="8" t="str">
        <f aca="false">TEXT(ROW(), "0000")</f>
        <v>2411</v>
      </c>
      <c r="L2411" s="8"/>
    </row>
    <row r="2412" customFormat="false" ht="15.75" hidden="false" customHeight="true" outlineLevel="0" collapsed="false">
      <c r="A2412" s="7" t="n">
        <v>45828</v>
      </c>
      <c r="B2412" s="8" t="s">
        <v>25</v>
      </c>
      <c r="C2412" s="9" t="n">
        <v>725</v>
      </c>
      <c r="D2412" s="8" t="s">
        <v>13</v>
      </c>
      <c r="E2412" s="10" t="s">
        <v>26</v>
      </c>
      <c r="F2412" s="8" t="str">
        <f aca="false">TEXT(A2412,"MM-YYYY")</f>
        <v>06-2025</v>
      </c>
      <c r="G2412" s="21" t="s">
        <v>14</v>
      </c>
      <c r="H2412" s="8" t="s">
        <v>13</v>
      </c>
      <c r="I2412" s="7" t="n">
        <v>45860</v>
      </c>
      <c r="J2412" s="8" t="str">
        <f aca="false">VLOOKUP(B2412, Table3[#All], 2, FALSE())</f>
        <v>Inventory</v>
      </c>
      <c r="K2412" s="8" t="str">
        <f aca="false">TEXT(ROW(), "0000")</f>
        <v>2412</v>
      </c>
      <c r="L2412" s="8"/>
    </row>
    <row r="2413" customFormat="false" ht="15.75" hidden="false" customHeight="true" outlineLevel="0" collapsed="false">
      <c r="A2413" s="7" t="n">
        <v>45828</v>
      </c>
      <c r="B2413" s="8" t="s">
        <v>53</v>
      </c>
      <c r="C2413" s="9" t="n">
        <v>1200</v>
      </c>
      <c r="D2413" s="8" t="s">
        <v>21</v>
      </c>
      <c r="E2413" s="10" t="s">
        <v>55</v>
      </c>
      <c r="F2413" s="8" t="str">
        <f aca="false">TEXT(A2413,"MM-YYYY")</f>
        <v>06-2025</v>
      </c>
      <c r="G2413" s="8" t="s">
        <v>14</v>
      </c>
      <c r="H2413" s="8" t="s">
        <v>15</v>
      </c>
      <c r="I2413" s="7" t="n">
        <v>45828</v>
      </c>
      <c r="J2413" s="8" t="str">
        <f aca="false">VLOOKUP(B2413, Table3[#All], 2, FALSE())</f>
        <v>Grocery</v>
      </c>
      <c r="K2413" s="8" t="str">
        <f aca="false">TEXT(ROW(), "0000")</f>
        <v>2413</v>
      </c>
      <c r="L2413" s="8"/>
    </row>
    <row r="2414" customFormat="false" ht="15.75" hidden="false" customHeight="true" outlineLevel="0" collapsed="false">
      <c r="A2414" s="7" t="n">
        <v>45828</v>
      </c>
      <c r="B2414" s="8" t="s">
        <v>40</v>
      </c>
      <c r="C2414" s="9" t="n">
        <v>2220</v>
      </c>
      <c r="D2414" s="8" t="s">
        <v>13</v>
      </c>
      <c r="E2414" s="10" t="s">
        <v>46</v>
      </c>
      <c r="F2414" s="8" t="str">
        <f aca="false">TEXT(A2414,"MM-YYYY")</f>
        <v>06-2025</v>
      </c>
      <c r="G2414" s="8" t="s">
        <v>14</v>
      </c>
      <c r="H2414" s="8" t="s">
        <v>262</v>
      </c>
      <c r="I2414" s="7" t="n">
        <v>45828</v>
      </c>
      <c r="J2414" s="8" t="str">
        <f aca="false">VLOOKUP(B2414, Table3[#All], 2, FALSE())</f>
        <v>Inventory</v>
      </c>
      <c r="K2414" s="8" t="str">
        <f aca="false">TEXT(ROW(), "0000")</f>
        <v>2414</v>
      </c>
      <c r="L2414" s="8"/>
    </row>
    <row r="2415" customFormat="false" ht="15.75" hidden="false" customHeight="true" outlineLevel="0" collapsed="false">
      <c r="A2415" s="7" t="n">
        <v>45828</v>
      </c>
      <c r="B2415" s="8" t="s">
        <v>102</v>
      </c>
      <c r="C2415" s="9" t="n">
        <v>600</v>
      </c>
      <c r="D2415" s="8" t="s">
        <v>21</v>
      </c>
      <c r="E2415" s="8" t="s">
        <v>102</v>
      </c>
      <c r="F2415" s="8" t="str">
        <f aca="false">TEXT(A2415,"MM-YYYY")</f>
        <v>06-2025</v>
      </c>
      <c r="G2415" s="8" t="s">
        <v>14</v>
      </c>
      <c r="H2415" s="8" t="s">
        <v>15</v>
      </c>
      <c r="I2415" s="7" t="n">
        <v>45828</v>
      </c>
      <c r="J2415" s="8" t="str">
        <f aca="false">VLOOKUP(B2415, Table3[#All], 2, FALSE())</f>
        <v>Fixed Maintance</v>
      </c>
      <c r="K2415" s="8" t="str">
        <f aca="false">TEXT(ROW(), "0000")</f>
        <v>2415</v>
      </c>
      <c r="L2415" s="8"/>
    </row>
    <row r="2416" customFormat="false" ht="15.75" hidden="false" customHeight="true" outlineLevel="0" collapsed="false">
      <c r="A2416" s="7" t="n">
        <v>45828</v>
      </c>
      <c r="B2416" s="8" t="s">
        <v>29</v>
      </c>
      <c r="C2416" s="9" t="n">
        <v>530</v>
      </c>
      <c r="D2416" s="8" t="s">
        <v>13</v>
      </c>
      <c r="E2416" s="10" t="s">
        <v>302</v>
      </c>
      <c r="F2416" s="8" t="str">
        <f aca="false">TEXT(A2416,"MM-YYYY")</f>
        <v>06-2025</v>
      </c>
      <c r="G2416" s="8" t="s">
        <v>14</v>
      </c>
      <c r="H2416" s="8" t="s">
        <v>13</v>
      </c>
      <c r="I2416" s="7" t="n">
        <v>45839</v>
      </c>
      <c r="J2416" s="8" t="str">
        <f aca="false">VLOOKUP(B2416, Table3[#All], 2, FALSE())</f>
        <v>Inventory</v>
      </c>
      <c r="K2416" s="8" t="str">
        <f aca="false">TEXT(ROW(), "0000")</f>
        <v>2416</v>
      </c>
      <c r="L2416" s="8"/>
    </row>
    <row r="2417" customFormat="false" ht="15.75" hidden="false" customHeight="true" outlineLevel="0" collapsed="false">
      <c r="A2417" s="7" t="n">
        <v>45828</v>
      </c>
      <c r="B2417" s="8" t="s">
        <v>32</v>
      </c>
      <c r="C2417" s="9" t="n">
        <v>140</v>
      </c>
      <c r="D2417" s="8" t="s">
        <v>21</v>
      </c>
      <c r="E2417" s="10" t="s">
        <v>38</v>
      </c>
      <c r="F2417" s="8" t="str">
        <f aca="false">TEXT(A2417,"MM-YYYY")</f>
        <v>06-2025</v>
      </c>
      <c r="G2417" s="8" t="s">
        <v>14</v>
      </c>
      <c r="H2417" s="8" t="s">
        <v>15</v>
      </c>
      <c r="I2417" s="7" t="n">
        <v>45828</v>
      </c>
      <c r="J2417" s="8" t="str">
        <f aca="false">VLOOKUP(B2417, Table3[#All], 2, FALSE())</f>
        <v>Grocery</v>
      </c>
      <c r="K2417" s="8" t="str">
        <f aca="false">TEXT(ROW(), "0000")</f>
        <v>2417</v>
      </c>
      <c r="L2417" s="8"/>
    </row>
    <row r="2418" customFormat="false" ht="15.75" hidden="false" customHeight="true" outlineLevel="0" collapsed="false">
      <c r="A2418" s="7" t="n">
        <v>45828</v>
      </c>
      <c r="B2418" s="8" t="s">
        <v>16</v>
      </c>
      <c r="C2418" s="9" t="n">
        <v>4245</v>
      </c>
      <c r="D2418" s="8" t="s">
        <v>21</v>
      </c>
      <c r="E2418" s="10" t="s">
        <v>88</v>
      </c>
      <c r="F2418" s="8" t="str">
        <f aca="false">TEXT(A2418,"MM-YYYY")</f>
        <v>06-2025</v>
      </c>
      <c r="G2418" s="8"/>
      <c r="H2418" s="8"/>
      <c r="I2418" s="7"/>
      <c r="J2418" s="8" t="str">
        <f aca="false">VLOOKUP(B2418, Table3[#All], 2, FALSE())</f>
        <v>Sales</v>
      </c>
      <c r="K2418" s="8" t="str">
        <f aca="false">TEXT(ROW(), "0000")</f>
        <v>2418</v>
      </c>
      <c r="L2418" s="8"/>
    </row>
    <row r="2419" customFormat="false" ht="15.75" hidden="false" customHeight="true" outlineLevel="0" collapsed="false">
      <c r="A2419" s="7" t="n">
        <v>45828</v>
      </c>
      <c r="B2419" s="8" t="s">
        <v>16</v>
      </c>
      <c r="C2419" s="9" t="n">
        <v>345</v>
      </c>
      <c r="D2419" s="8" t="s">
        <v>33</v>
      </c>
      <c r="E2419" s="10" t="s">
        <v>88</v>
      </c>
      <c r="F2419" s="8" t="str">
        <f aca="false">TEXT(A2419,"MM-YYYY")</f>
        <v>06-2025</v>
      </c>
      <c r="G2419" s="8"/>
      <c r="H2419" s="8"/>
      <c r="I2419" s="7"/>
      <c r="J2419" s="8" t="str">
        <f aca="false">VLOOKUP(B2419, Table3[#All], 2, FALSE())</f>
        <v>Sales</v>
      </c>
      <c r="K2419" s="8" t="str">
        <f aca="false">TEXT(ROW(), "0000")</f>
        <v>2419</v>
      </c>
      <c r="L2419" s="8"/>
    </row>
    <row r="2420" customFormat="false" ht="15.75" hidden="false" customHeight="true" outlineLevel="0" collapsed="false">
      <c r="A2420" s="7" t="n">
        <v>45828</v>
      </c>
      <c r="B2420" s="8" t="s">
        <v>16</v>
      </c>
      <c r="C2420" s="9" t="n">
        <v>17160</v>
      </c>
      <c r="D2420" s="8" t="s">
        <v>17</v>
      </c>
      <c r="E2420" s="10" t="s">
        <v>88</v>
      </c>
      <c r="F2420" s="8" t="str">
        <f aca="false">TEXT(A2420,"MM-YYYY")</f>
        <v>06-2025</v>
      </c>
      <c r="G2420" s="8"/>
      <c r="H2420" s="8"/>
      <c r="I2420" s="7"/>
      <c r="J2420" s="8" t="str">
        <f aca="false">VLOOKUP(B2420, Table3[#All], 2, FALSE())</f>
        <v>Sales</v>
      </c>
      <c r="K2420" s="8" t="str">
        <f aca="false">TEXT(ROW(), "0000")</f>
        <v>2420</v>
      </c>
      <c r="L2420" s="8"/>
    </row>
    <row r="2421" customFormat="false" ht="15.75" hidden="false" customHeight="true" outlineLevel="0" collapsed="false">
      <c r="A2421" s="7" t="n">
        <v>45828</v>
      </c>
      <c r="B2421" s="8" t="s">
        <v>16</v>
      </c>
      <c r="C2421" s="9" t="n">
        <v>5065</v>
      </c>
      <c r="D2421" s="8" t="s">
        <v>24</v>
      </c>
      <c r="E2421" s="10" t="s">
        <v>217</v>
      </c>
      <c r="F2421" s="8" t="str">
        <f aca="false">TEXT(A2421,"MM-YYYY")</f>
        <v>06-2025</v>
      </c>
      <c r="G2421" s="8"/>
      <c r="H2421" s="8"/>
      <c r="I2421" s="7"/>
      <c r="J2421" s="8" t="str">
        <f aca="false">VLOOKUP(B2421, Table3[#All], 2, FALSE())</f>
        <v>Sales</v>
      </c>
      <c r="K2421" s="8" t="str">
        <f aca="false">TEXT(ROW(), "0000")</f>
        <v>2421</v>
      </c>
      <c r="L2421" s="8"/>
    </row>
    <row r="2422" customFormat="false" ht="15.75" hidden="false" customHeight="true" outlineLevel="0" collapsed="false">
      <c r="A2422" s="7" t="n">
        <v>45828</v>
      </c>
      <c r="B2422" s="8" t="s">
        <v>16</v>
      </c>
      <c r="C2422" s="9" t="n">
        <v>1680</v>
      </c>
      <c r="D2422" s="8" t="s">
        <v>59</v>
      </c>
      <c r="E2422" s="10" t="s">
        <v>88</v>
      </c>
      <c r="F2422" s="8" t="str">
        <f aca="false">TEXT(A2422,"MM-YYYY")</f>
        <v>06-2025</v>
      </c>
      <c r="G2422" s="8"/>
      <c r="H2422" s="8"/>
      <c r="I2422" s="7"/>
      <c r="J2422" s="8" t="str">
        <f aca="false">VLOOKUP(B2422, Table3[#All], 2, FALSE())</f>
        <v>Sales</v>
      </c>
      <c r="K2422" s="8" t="str">
        <f aca="false">TEXT(ROW(), "0000")</f>
        <v>2422</v>
      </c>
      <c r="L2422" s="8"/>
    </row>
    <row r="2423" customFormat="false" ht="15.75" hidden="false" customHeight="true" outlineLevel="0" collapsed="false">
      <c r="A2423" s="7" t="n">
        <v>45828</v>
      </c>
      <c r="B2423" s="8" t="s">
        <v>34</v>
      </c>
      <c r="C2423" s="9" t="n">
        <v>135</v>
      </c>
      <c r="D2423" s="8" t="s">
        <v>21</v>
      </c>
      <c r="E2423" s="10" t="s">
        <v>274</v>
      </c>
      <c r="F2423" s="8" t="str">
        <f aca="false">TEXT(A2423,"MM-YYYY")</f>
        <v>06-2025</v>
      </c>
      <c r="G2423" s="8" t="s">
        <v>14</v>
      </c>
      <c r="H2423" s="8" t="s">
        <v>15</v>
      </c>
      <c r="I2423" s="7" t="n">
        <v>45828</v>
      </c>
      <c r="J2423" s="8" t="str">
        <f aca="false">VLOOKUP(B2423, Table3[#All], 2, FALSE())</f>
        <v>Staff Expenses</v>
      </c>
      <c r="K2423" s="8" t="str">
        <f aca="false">TEXT(ROW(), "0000")</f>
        <v>2423</v>
      </c>
      <c r="L2423" s="8"/>
    </row>
    <row r="2424" customFormat="false" ht="15.75" hidden="false" customHeight="true" outlineLevel="0" collapsed="false">
      <c r="A2424" s="7" t="n">
        <v>45829</v>
      </c>
      <c r="B2424" s="8" t="s">
        <v>19</v>
      </c>
      <c r="C2424" s="9" t="n">
        <v>4600</v>
      </c>
      <c r="D2424" s="8" t="s">
        <v>13</v>
      </c>
      <c r="E2424" s="10" t="s">
        <v>20</v>
      </c>
      <c r="F2424" s="8" t="str">
        <f aca="false">TEXT(A2424,"MM-YYYY")</f>
        <v>06-2025</v>
      </c>
      <c r="G2424" s="8" t="s">
        <v>14</v>
      </c>
      <c r="H2424" s="8" t="s">
        <v>13</v>
      </c>
      <c r="I2424" s="7" t="n">
        <v>45835</v>
      </c>
      <c r="J2424" s="8" t="str">
        <f aca="false">VLOOKUP(B2424, Table3[#All], 2, FALSE())</f>
        <v>Inventory</v>
      </c>
      <c r="K2424" s="8" t="str">
        <f aca="false">TEXT(ROW(), "0000")</f>
        <v>2424</v>
      </c>
      <c r="L2424" s="8"/>
    </row>
    <row r="2425" customFormat="false" ht="15.75" hidden="false" customHeight="true" outlineLevel="0" collapsed="false">
      <c r="A2425" s="7" t="n">
        <v>45829</v>
      </c>
      <c r="B2425" s="8" t="s">
        <v>47</v>
      </c>
      <c r="C2425" s="9" t="n">
        <v>1680</v>
      </c>
      <c r="D2425" s="8" t="s">
        <v>13</v>
      </c>
      <c r="E2425" s="10" t="s">
        <v>339</v>
      </c>
      <c r="F2425" s="8" t="str">
        <f aca="false">TEXT(A2425,"MM-YYYY")</f>
        <v>06-2025</v>
      </c>
      <c r="G2425" s="8" t="s">
        <v>14</v>
      </c>
      <c r="H2425" s="8" t="s">
        <v>13</v>
      </c>
      <c r="I2425" s="7" t="n">
        <v>45843</v>
      </c>
      <c r="J2425" s="8" t="str">
        <f aca="false">VLOOKUP(B2425, Table3[#All], 2, FALSE())</f>
        <v>Inventory</v>
      </c>
      <c r="K2425" s="8" t="str">
        <f aca="false">TEXT(ROW(), "0000")</f>
        <v>2425</v>
      </c>
      <c r="L2425" s="8"/>
    </row>
    <row r="2426" customFormat="false" ht="15.75" hidden="false" customHeight="true" outlineLevel="0" collapsed="false">
      <c r="A2426" s="7" t="n">
        <v>45829</v>
      </c>
      <c r="B2426" s="8" t="s">
        <v>25</v>
      </c>
      <c r="C2426" s="9" t="n">
        <v>950</v>
      </c>
      <c r="D2426" s="8" t="s">
        <v>13</v>
      </c>
      <c r="E2426" s="10" t="s">
        <v>26</v>
      </c>
      <c r="F2426" s="8" t="str">
        <f aca="false">TEXT(A2426,"MM-YYYY")</f>
        <v>06-2025</v>
      </c>
      <c r="G2426" s="21" t="s">
        <v>14</v>
      </c>
      <c r="H2426" s="8" t="s">
        <v>13</v>
      </c>
      <c r="I2426" s="7" t="n">
        <v>45871</v>
      </c>
      <c r="J2426" s="8" t="str">
        <f aca="false">VLOOKUP(B2426, Table3[#All], 2, FALSE())</f>
        <v>Inventory</v>
      </c>
      <c r="K2426" s="8" t="str">
        <f aca="false">TEXT(ROW(), "0000")</f>
        <v>2426</v>
      </c>
      <c r="L2426" s="8"/>
    </row>
    <row r="2427" customFormat="false" ht="15.75" hidden="false" customHeight="true" outlineLevel="0" collapsed="false">
      <c r="A2427" s="7" t="n">
        <v>45829</v>
      </c>
      <c r="B2427" s="8" t="s">
        <v>22</v>
      </c>
      <c r="C2427" s="9" t="n">
        <v>2442</v>
      </c>
      <c r="D2427" s="8" t="s">
        <v>13</v>
      </c>
      <c r="E2427" s="10" t="s">
        <v>23</v>
      </c>
      <c r="F2427" s="8" t="str">
        <f aca="false">TEXT(A2427,"MM-YYYY")</f>
        <v>06-2025</v>
      </c>
      <c r="G2427" s="8" t="s">
        <v>14</v>
      </c>
      <c r="H2427" s="8" t="s">
        <v>13</v>
      </c>
      <c r="I2427" s="7" t="n">
        <v>45836</v>
      </c>
      <c r="J2427" s="8" t="str">
        <f aca="false">VLOOKUP(B2427, Table3[#All], 2, FALSE())</f>
        <v>Inventory</v>
      </c>
      <c r="K2427" s="8" t="str">
        <f aca="false">TEXT(ROW(), "0000")</f>
        <v>2427</v>
      </c>
      <c r="L2427" s="8"/>
    </row>
    <row r="2428" customFormat="false" ht="15.75" hidden="false" customHeight="true" outlineLevel="0" collapsed="false">
      <c r="A2428" s="7" t="n">
        <v>45829</v>
      </c>
      <c r="B2428" s="8" t="s">
        <v>29</v>
      </c>
      <c r="C2428" s="9" t="n">
        <v>620</v>
      </c>
      <c r="D2428" s="8" t="s">
        <v>45</v>
      </c>
      <c r="E2428" s="10" t="s">
        <v>78</v>
      </c>
      <c r="F2428" s="8" t="str">
        <f aca="false">TEXT(A2428,"MM-YYYY")</f>
        <v>06-2025</v>
      </c>
      <c r="G2428" s="8" t="s">
        <v>14</v>
      </c>
      <c r="H2428" s="8" t="s">
        <v>232</v>
      </c>
      <c r="I2428" s="7" t="n">
        <v>45829</v>
      </c>
      <c r="J2428" s="8" t="str">
        <f aca="false">VLOOKUP(B2428, Table3[#All], 2, FALSE())</f>
        <v>Inventory</v>
      </c>
      <c r="K2428" s="8" t="str">
        <f aca="false">TEXT(ROW(), "0000")</f>
        <v>2428</v>
      </c>
      <c r="L2428" s="8"/>
    </row>
    <row r="2429" customFormat="false" ht="15.75" hidden="false" customHeight="true" outlineLevel="0" collapsed="false">
      <c r="A2429" s="7" t="n">
        <v>45829</v>
      </c>
      <c r="B2429" s="8" t="s">
        <v>44</v>
      </c>
      <c r="C2429" s="9" t="n">
        <v>700</v>
      </c>
      <c r="D2429" s="8" t="s">
        <v>45</v>
      </c>
      <c r="E2429" s="10" t="s">
        <v>343</v>
      </c>
      <c r="F2429" s="8" t="str">
        <f aca="false">TEXT(A2429,"MM-YYYY")</f>
        <v>06-2025</v>
      </c>
      <c r="G2429" s="8" t="s">
        <v>14</v>
      </c>
      <c r="H2429" s="8" t="s">
        <v>232</v>
      </c>
      <c r="I2429" s="7" t="n">
        <v>45829</v>
      </c>
      <c r="J2429" s="8" t="str">
        <f aca="false">VLOOKUP(B2429, Table3[#All], 2, FALSE())</f>
        <v>Salary</v>
      </c>
      <c r="K2429" s="8" t="str">
        <f aca="false">TEXT(ROW(), "0000")</f>
        <v>2429</v>
      </c>
      <c r="L2429" s="8"/>
    </row>
    <row r="2430" customFormat="false" ht="15.75" hidden="false" customHeight="true" outlineLevel="0" collapsed="false">
      <c r="A2430" s="7" t="n">
        <v>45829</v>
      </c>
      <c r="B2430" s="8" t="s">
        <v>32</v>
      </c>
      <c r="C2430" s="9" t="n">
        <v>210</v>
      </c>
      <c r="D2430" s="8" t="s">
        <v>21</v>
      </c>
      <c r="E2430" s="10" t="s">
        <v>38</v>
      </c>
      <c r="F2430" s="8" t="str">
        <f aca="false">TEXT(A2430,"MM-YYYY")</f>
        <v>06-2025</v>
      </c>
      <c r="G2430" s="8" t="s">
        <v>14</v>
      </c>
      <c r="H2430" s="8" t="s">
        <v>15</v>
      </c>
      <c r="I2430" s="7" t="n">
        <v>45829</v>
      </c>
      <c r="J2430" s="8" t="str">
        <f aca="false">VLOOKUP(B2430, Table3[#All], 2, FALSE())</f>
        <v>Grocery</v>
      </c>
      <c r="K2430" s="8" t="str">
        <f aca="false">TEXT(ROW(), "0000")</f>
        <v>2430</v>
      </c>
      <c r="L2430" s="8"/>
    </row>
    <row r="2431" customFormat="false" ht="15.75" hidden="false" customHeight="true" outlineLevel="0" collapsed="false">
      <c r="A2431" s="7" t="n">
        <v>45829</v>
      </c>
      <c r="B2431" s="8" t="s">
        <v>50</v>
      </c>
      <c r="C2431" s="9" t="n">
        <v>1740</v>
      </c>
      <c r="D2431" s="8" t="s">
        <v>13</v>
      </c>
      <c r="E2431" s="10" t="s">
        <v>263</v>
      </c>
      <c r="F2431" s="8" t="str">
        <f aca="false">TEXT(A2431,"MM-YYYY")</f>
        <v>06-2025</v>
      </c>
      <c r="G2431" s="8" t="s">
        <v>14</v>
      </c>
      <c r="H2431" s="8" t="s">
        <v>13</v>
      </c>
      <c r="I2431" s="7" t="n">
        <v>45831</v>
      </c>
      <c r="J2431" s="8" t="str">
        <f aca="false">VLOOKUP(B2431, Table3[#All], 2, FALSE())</f>
        <v>Fixed Maintance</v>
      </c>
      <c r="K2431" s="8" t="str">
        <f aca="false">TEXT(ROW(), "0000")</f>
        <v>2431</v>
      </c>
      <c r="L2431" s="8"/>
    </row>
    <row r="2432" customFormat="false" ht="15.75" hidden="false" customHeight="true" outlineLevel="0" collapsed="false">
      <c r="A2432" s="7" t="n">
        <v>45829</v>
      </c>
      <c r="B2432" s="8" t="s">
        <v>28</v>
      </c>
      <c r="C2432" s="9" t="n">
        <v>1043</v>
      </c>
      <c r="D2432" s="8" t="s">
        <v>21</v>
      </c>
      <c r="E2432" s="10" t="s">
        <v>93</v>
      </c>
      <c r="F2432" s="8" t="str">
        <f aca="false">TEXT(A2432,"MM-YYYY")</f>
        <v>06-2025</v>
      </c>
      <c r="G2432" s="8" t="s">
        <v>14</v>
      </c>
      <c r="H2432" s="8" t="s">
        <v>15</v>
      </c>
      <c r="I2432" s="7" t="n">
        <v>45829</v>
      </c>
      <c r="J2432" s="8" t="str">
        <f aca="false">VLOOKUP(B2432, Table3[#All], 2, FALSE())</f>
        <v>Grocery</v>
      </c>
      <c r="K2432" s="8" t="str">
        <f aca="false">TEXT(ROW(), "0000")</f>
        <v>2432</v>
      </c>
      <c r="L2432" s="8"/>
    </row>
    <row r="2433" customFormat="false" ht="15.75" hidden="false" customHeight="true" outlineLevel="0" collapsed="false">
      <c r="A2433" s="7" t="n">
        <v>45829</v>
      </c>
      <c r="B2433" s="8" t="s">
        <v>29</v>
      </c>
      <c r="C2433" s="9" t="n">
        <v>567</v>
      </c>
      <c r="D2433" s="8" t="s">
        <v>13</v>
      </c>
      <c r="E2433" s="10" t="s">
        <v>302</v>
      </c>
      <c r="F2433" s="8" t="str">
        <f aca="false">TEXT(A2433,"MM-YYYY")</f>
        <v>06-2025</v>
      </c>
      <c r="G2433" s="8" t="s">
        <v>14</v>
      </c>
      <c r="H2433" s="8" t="s">
        <v>13</v>
      </c>
      <c r="I2433" s="7" t="n">
        <v>45839</v>
      </c>
      <c r="J2433" s="8" t="str">
        <f aca="false">VLOOKUP(B2433, Table3[#All], 2, FALSE())</f>
        <v>Inventory</v>
      </c>
      <c r="K2433" s="8" t="str">
        <f aca="false">TEXT(ROW(), "0000")</f>
        <v>2433</v>
      </c>
      <c r="L2433" s="8"/>
    </row>
    <row r="2434" customFormat="false" ht="15.75" hidden="false" customHeight="true" outlineLevel="0" collapsed="false">
      <c r="A2434" s="7" t="n">
        <v>45829</v>
      </c>
      <c r="B2434" s="8" t="s">
        <v>16</v>
      </c>
      <c r="C2434" s="9" t="n">
        <v>5233</v>
      </c>
      <c r="D2434" s="8" t="s">
        <v>21</v>
      </c>
      <c r="E2434" s="10" t="s">
        <v>88</v>
      </c>
      <c r="F2434" s="8" t="str">
        <f aca="false">TEXT(A2434,"MM-YYYY")</f>
        <v>06-2025</v>
      </c>
      <c r="G2434" s="8"/>
      <c r="H2434" s="8"/>
      <c r="I2434" s="7"/>
      <c r="J2434" s="8" t="str">
        <f aca="false">VLOOKUP(B2434, Table3[#All], 2, FALSE())</f>
        <v>Sales</v>
      </c>
      <c r="K2434" s="8" t="str">
        <f aca="false">TEXT(ROW(), "0000")</f>
        <v>2434</v>
      </c>
      <c r="L2434" s="8"/>
    </row>
    <row r="2435" customFormat="false" ht="15.75" hidden="false" customHeight="true" outlineLevel="0" collapsed="false">
      <c r="A2435" s="7" t="n">
        <v>45829</v>
      </c>
      <c r="B2435" s="8" t="s">
        <v>16</v>
      </c>
      <c r="C2435" s="9" t="n">
        <v>270</v>
      </c>
      <c r="D2435" s="8" t="s">
        <v>27</v>
      </c>
      <c r="E2435" s="10" t="s">
        <v>88</v>
      </c>
      <c r="F2435" s="8" t="str">
        <f aca="false">TEXT(A2435,"MM-YYYY")</f>
        <v>06-2025</v>
      </c>
      <c r="G2435" s="8"/>
      <c r="H2435" s="8"/>
      <c r="I2435" s="7"/>
      <c r="J2435" s="8" t="str">
        <f aca="false">VLOOKUP(B2435, Table3[#All], 2, FALSE())</f>
        <v>Sales</v>
      </c>
      <c r="K2435" s="8" t="str">
        <f aca="false">TEXT(ROW(), "0000")</f>
        <v>2435</v>
      </c>
      <c r="L2435" s="8"/>
    </row>
    <row r="2436" customFormat="false" ht="15.75" hidden="false" customHeight="true" outlineLevel="0" collapsed="false">
      <c r="A2436" s="7" t="n">
        <v>45829</v>
      </c>
      <c r="B2436" s="8" t="s">
        <v>16</v>
      </c>
      <c r="C2436" s="9" t="n">
        <v>15189</v>
      </c>
      <c r="D2436" s="8" t="s">
        <v>17</v>
      </c>
      <c r="E2436" s="10" t="s">
        <v>88</v>
      </c>
      <c r="F2436" s="8" t="str">
        <f aca="false">TEXT(A2436,"MM-YYYY")</f>
        <v>06-2025</v>
      </c>
      <c r="G2436" s="8"/>
      <c r="H2436" s="8"/>
      <c r="I2436" s="7"/>
      <c r="J2436" s="8" t="str">
        <f aca="false">VLOOKUP(B2436, Table3[#All], 2, FALSE())</f>
        <v>Sales</v>
      </c>
      <c r="K2436" s="8" t="str">
        <f aca="false">TEXT(ROW(), "0000")</f>
        <v>2436</v>
      </c>
      <c r="L2436" s="8"/>
    </row>
    <row r="2437" customFormat="false" ht="15.75" hidden="false" customHeight="true" outlineLevel="0" collapsed="false">
      <c r="A2437" s="7" t="n">
        <v>45829</v>
      </c>
      <c r="B2437" s="8" t="s">
        <v>16</v>
      </c>
      <c r="C2437" s="9" t="n">
        <v>1200</v>
      </c>
      <c r="D2437" s="8" t="s">
        <v>59</v>
      </c>
      <c r="E2437" s="10" t="s">
        <v>88</v>
      </c>
      <c r="F2437" s="8" t="str">
        <f aca="false">TEXT(A2437,"MM-YYYY")</f>
        <v>06-2025</v>
      </c>
      <c r="G2437" s="8"/>
      <c r="H2437" s="8"/>
      <c r="I2437" s="7"/>
      <c r="J2437" s="8" t="str">
        <f aca="false">VLOOKUP(B2437, Table3[#All], 2, FALSE())</f>
        <v>Sales</v>
      </c>
      <c r="K2437" s="8" t="str">
        <f aca="false">TEXT(ROW(), "0000")</f>
        <v>2437</v>
      </c>
      <c r="L2437" s="8"/>
    </row>
    <row r="2438" customFormat="false" ht="15.75" hidden="false" customHeight="true" outlineLevel="0" collapsed="false">
      <c r="A2438" s="7" t="n">
        <v>45829</v>
      </c>
      <c r="B2438" s="8" t="s">
        <v>16</v>
      </c>
      <c r="C2438" s="9" t="n">
        <v>2885</v>
      </c>
      <c r="D2438" s="8" t="s">
        <v>24</v>
      </c>
      <c r="E2438" s="10" t="s">
        <v>217</v>
      </c>
      <c r="F2438" s="8" t="str">
        <f aca="false">TEXT(A2438,"MM-YYYY")</f>
        <v>06-2025</v>
      </c>
      <c r="G2438" s="8"/>
      <c r="H2438" s="8"/>
      <c r="I2438" s="7"/>
      <c r="J2438" s="8" t="str">
        <f aca="false">VLOOKUP(B2438, Table3[#All], 2, FALSE())</f>
        <v>Sales</v>
      </c>
      <c r="K2438" s="8" t="str">
        <f aca="false">TEXT(ROW(), "0000")</f>
        <v>2438</v>
      </c>
      <c r="L2438" s="8"/>
    </row>
    <row r="2439" customFormat="false" ht="15.75" hidden="false" customHeight="true" outlineLevel="0" collapsed="false">
      <c r="A2439" s="7" t="n">
        <v>45829</v>
      </c>
      <c r="B2439" s="8" t="s">
        <v>34</v>
      </c>
      <c r="C2439" s="9" t="n">
        <v>160</v>
      </c>
      <c r="D2439" s="8" t="s">
        <v>45</v>
      </c>
      <c r="E2439" s="10" t="s">
        <v>274</v>
      </c>
      <c r="F2439" s="8" t="str">
        <f aca="false">TEXT(A2439,"MM-YYYY")</f>
        <v>06-2025</v>
      </c>
      <c r="G2439" s="8" t="s">
        <v>14</v>
      </c>
      <c r="H2439" s="8" t="s">
        <v>232</v>
      </c>
      <c r="I2439" s="7" t="n">
        <v>45829</v>
      </c>
      <c r="J2439" s="8" t="str">
        <f aca="false">VLOOKUP(B2439, Table3[#All], 2, FALSE())</f>
        <v>Staff Expenses</v>
      </c>
      <c r="K2439" s="8" t="str">
        <f aca="false">TEXT(ROW(), "0000")</f>
        <v>2439</v>
      </c>
      <c r="L2439" s="8"/>
    </row>
    <row r="2440" customFormat="false" ht="15.75" hidden="false" customHeight="true" outlineLevel="0" collapsed="false">
      <c r="A2440" s="7" t="n">
        <v>45829</v>
      </c>
      <c r="B2440" s="8" t="s">
        <v>31</v>
      </c>
      <c r="C2440" s="9" t="n">
        <v>1750</v>
      </c>
      <c r="D2440" s="8" t="s">
        <v>45</v>
      </c>
      <c r="E2440" s="10" t="s">
        <v>308</v>
      </c>
      <c r="F2440" s="8" t="str">
        <f aca="false">TEXT(A2440,"MM-YYYY")</f>
        <v>06-2025</v>
      </c>
      <c r="G2440" s="8" t="s">
        <v>14</v>
      </c>
      <c r="H2440" s="8" t="s">
        <v>232</v>
      </c>
      <c r="I2440" s="7" t="n">
        <v>45830</v>
      </c>
      <c r="J2440" s="8" t="str">
        <f aca="false">VLOOKUP(B2440, Table3[#All], 2, FALSE())</f>
        <v>Bike Maintance</v>
      </c>
      <c r="K2440" s="8" t="str">
        <f aca="false">TEXT(ROW(), "0000")</f>
        <v>2440</v>
      </c>
      <c r="L2440" s="8"/>
    </row>
    <row r="2441" customFormat="false" ht="15.75" hidden="false" customHeight="true" outlineLevel="0" collapsed="false">
      <c r="A2441" s="7" t="n">
        <v>45830</v>
      </c>
      <c r="B2441" s="8" t="s">
        <v>25</v>
      </c>
      <c r="C2441" s="9" t="n">
        <v>1245</v>
      </c>
      <c r="D2441" s="8" t="s">
        <v>13</v>
      </c>
      <c r="E2441" s="10" t="s">
        <v>26</v>
      </c>
      <c r="F2441" s="8" t="str">
        <f aca="false">TEXT(A2441,"MM-YYYY")</f>
        <v>06-2025</v>
      </c>
      <c r="G2441" s="21" t="s">
        <v>14</v>
      </c>
      <c r="H2441" s="8" t="s">
        <v>13</v>
      </c>
      <c r="I2441" s="7" t="n">
        <v>45871</v>
      </c>
      <c r="J2441" s="8" t="str">
        <f aca="false">VLOOKUP(B2441, Table3[#All], 2, FALSE())</f>
        <v>Inventory</v>
      </c>
      <c r="K2441" s="8" t="str">
        <f aca="false">TEXT(ROW(), "0000")</f>
        <v>2441</v>
      </c>
      <c r="L2441" s="8"/>
    </row>
    <row r="2442" customFormat="false" ht="15.75" hidden="false" customHeight="true" outlineLevel="0" collapsed="false">
      <c r="A2442" s="7" t="n">
        <v>45830</v>
      </c>
      <c r="B2442" s="8" t="s">
        <v>40</v>
      </c>
      <c r="C2442" s="9" t="n">
        <v>400</v>
      </c>
      <c r="D2442" s="8" t="s">
        <v>45</v>
      </c>
      <c r="E2442" s="10" t="s">
        <v>46</v>
      </c>
      <c r="F2442" s="8" t="str">
        <f aca="false">TEXT(A2442,"MM-YYYY")</f>
        <v>06-2025</v>
      </c>
      <c r="G2442" s="8" t="s">
        <v>14</v>
      </c>
      <c r="H2442" s="8" t="s">
        <v>232</v>
      </c>
      <c r="I2442" s="7" t="n">
        <v>45830</v>
      </c>
      <c r="J2442" s="8" t="str">
        <f aca="false">VLOOKUP(B2442, Table3[#All], 2, FALSE())</f>
        <v>Inventory</v>
      </c>
      <c r="K2442" s="8" t="str">
        <f aca="false">TEXT(ROW(), "0000")</f>
        <v>2442</v>
      </c>
      <c r="L2442" s="8"/>
    </row>
    <row r="2443" customFormat="false" ht="15.75" hidden="false" customHeight="true" outlineLevel="0" collapsed="false">
      <c r="A2443" s="7" t="n">
        <v>45830</v>
      </c>
      <c r="B2443" s="8" t="s">
        <v>32</v>
      </c>
      <c r="C2443" s="9" t="n">
        <v>140</v>
      </c>
      <c r="D2443" s="8" t="s">
        <v>45</v>
      </c>
      <c r="E2443" s="10" t="s">
        <v>38</v>
      </c>
      <c r="F2443" s="8" t="str">
        <f aca="false">TEXT(A2443,"MM-YYYY")</f>
        <v>06-2025</v>
      </c>
      <c r="G2443" s="8" t="s">
        <v>14</v>
      </c>
      <c r="H2443" s="8" t="s">
        <v>232</v>
      </c>
      <c r="I2443" s="7" t="n">
        <v>45830</v>
      </c>
      <c r="J2443" s="8" t="str">
        <f aca="false">VLOOKUP(B2443, Table3[#All], 2, FALSE())</f>
        <v>Grocery</v>
      </c>
      <c r="K2443" s="8" t="str">
        <f aca="false">TEXT(ROW(), "0000")</f>
        <v>2443</v>
      </c>
      <c r="L2443" s="8"/>
    </row>
    <row r="2444" customFormat="false" ht="15.75" hidden="false" customHeight="true" outlineLevel="0" collapsed="false">
      <c r="A2444" s="7" t="n">
        <v>45830</v>
      </c>
      <c r="B2444" s="8" t="s">
        <v>50</v>
      </c>
      <c r="C2444" s="9" t="n">
        <v>1740</v>
      </c>
      <c r="D2444" s="8" t="s">
        <v>13</v>
      </c>
      <c r="E2444" s="10" t="s">
        <v>263</v>
      </c>
      <c r="F2444" s="8" t="str">
        <f aca="false">TEXT(A2444,"MM-YYYY")</f>
        <v>06-2025</v>
      </c>
      <c r="G2444" s="8" t="s">
        <v>14</v>
      </c>
      <c r="H2444" s="8" t="s">
        <v>13</v>
      </c>
      <c r="I2444" s="7" t="n">
        <v>45831</v>
      </c>
      <c r="J2444" s="8" t="str">
        <f aca="false">VLOOKUP(B2444, Table3[#All], 2, FALSE())</f>
        <v>Fixed Maintance</v>
      </c>
      <c r="K2444" s="8" t="str">
        <f aca="false">TEXT(ROW(), "0000")</f>
        <v>2444</v>
      </c>
      <c r="L2444" s="8"/>
    </row>
    <row r="2445" customFormat="false" ht="15.75" hidden="false" customHeight="true" outlineLevel="0" collapsed="false">
      <c r="A2445" s="7" t="n">
        <v>45830</v>
      </c>
      <c r="B2445" s="8" t="s">
        <v>29</v>
      </c>
      <c r="C2445" s="9" t="n">
        <v>536</v>
      </c>
      <c r="D2445" s="8" t="s">
        <v>13</v>
      </c>
      <c r="E2445" s="10" t="s">
        <v>302</v>
      </c>
      <c r="F2445" s="8" t="str">
        <f aca="false">TEXT(A2445,"MM-YYYY")</f>
        <v>06-2025</v>
      </c>
      <c r="G2445" s="8" t="s">
        <v>14</v>
      </c>
      <c r="H2445" s="8" t="s">
        <v>13</v>
      </c>
      <c r="I2445" s="7" t="n">
        <v>45839</v>
      </c>
      <c r="J2445" s="8" t="str">
        <f aca="false">VLOOKUP(B2445, Table3[#All], 2, FALSE())</f>
        <v>Inventory</v>
      </c>
      <c r="K2445" s="8" t="str">
        <f aca="false">TEXT(ROW(), "0000")</f>
        <v>2445</v>
      </c>
      <c r="L2445" s="8"/>
    </row>
    <row r="2446" customFormat="false" ht="15.75" hidden="false" customHeight="true" outlineLevel="0" collapsed="false">
      <c r="A2446" s="7" t="n">
        <v>45830</v>
      </c>
      <c r="B2446" s="8" t="s">
        <v>16</v>
      </c>
      <c r="C2446" s="9" t="n">
        <v>6085</v>
      </c>
      <c r="D2446" s="8" t="s">
        <v>21</v>
      </c>
      <c r="E2446" s="10" t="s">
        <v>88</v>
      </c>
      <c r="F2446" s="8" t="str">
        <f aca="false">TEXT(A2446,"MM-YYYY")</f>
        <v>06-2025</v>
      </c>
      <c r="G2446" s="8"/>
      <c r="H2446" s="8"/>
      <c r="I2446" s="7"/>
      <c r="J2446" s="8" t="str">
        <f aca="false">VLOOKUP(B2446, Table3[#All], 2, FALSE())</f>
        <v>Sales</v>
      </c>
      <c r="K2446" s="8" t="str">
        <f aca="false">TEXT(ROW(), "0000")</f>
        <v>2446</v>
      </c>
      <c r="L2446" s="8"/>
    </row>
    <row r="2447" customFormat="false" ht="15.75" hidden="false" customHeight="true" outlineLevel="0" collapsed="false">
      <c r="A2447" s="7" t="n">
        <v>45830</v>
      </c>
      <c r="B2447" s="8" t="s">
        <v>16</v>
      </c>
      <c r="C2447" s="9" t="n">
        <v>3200</v>
      </c>
      <c r="D2447" s="8" t="s">
        <v>13</v>
      </c>
      <c r="E2447" s="10" t="s">
        <v>88</v>
      </c>
      <c r="F2447" s="8" t="str">
        <f aca="false">TEXT(A2447,"MM-YYYY")</f>
        <v>06-2025</v>
      </c>
      <c r="G2447" s="8"/>
      <c r="H2447" s="8"/>
      <c r="I2447" s="7"/>
      <c r="J2447" s="8" t="str">
        <f aca="false">VLOOKUP(B2447, Table3[#All], 2, FALSE())</f>
        <v>Sales</v>
      </c>
      <c r="K2447" s="8" t="str">
        <f aca="false">TEXT(ROW(), "0000")</f>
        <v>2447</v>
      </c>
      <c r="L2447" s="8"/>
    </row>
    <row r="2448" customFormat="false" ht="15.75" hidden="false" customHeight="true" outlineLevel="0" collapsed="false">
      <c r="A2448" s="7" t="n">
        <v>45830</v>
      </c>
      <c r="B2448" s="8" t="s">
        <v>16</v>
      </c>
      <c r="C2448" s="9" t="n">
        <v>1571</v>
      </c>
      <c r="D2448" s="8" t="s">
        <v>33</v>
      </c>
      <c r="E2448" s="10" t="s">
        <v>88</v>
      </c>
      <c r="F2448" s="8" t="str">
        <f aca="false">TEXT(A2448,"MM-YYYY")</f>
        <v>06-2025</v>
      </c>
      <c r="G2448" s="8"/>
      <c r="H2448" s="8"/>
      <c r="I2448" s="7"/>
      <c r="J2448" s="8" t="str">
        <f aca="false">VLOOKUP(B2448, Table3[#All], 2, FALSE())</f>
        <v>Sales</v>
      </c>
      <c r="K2448" s="8" t="str">
        <f aca="false">TEXT(ROW(), "0000")</f>
        <v>2448</v>
      </c>
      <c r="L2448" s="8"/>
    </row>
    <row r="2449" customFormat="false" ht="15.75" hidden="false" customHeight="true" outlineLevel="0" collapsed="false">
      <c r="A2449" s="7" t="n">
        <v>45830</v>
      </c>
      <c r="B2449" s="8" t="s">
        <v>16</v>
      </c>
      <c r="C2449" s="9" t="n">
        <v>19113</v>
      </c>
      <c r="D2449" s="8" t="s">
        <v>17</v>
      </c>
      <c r="E2449" s="10" t="s">
        <v>88</v>
      </c>
      <c r="F2449" s="8" t="str">
        <f aca="false">TEXT(A2449,"MM-YYYY")</f>
        <v>06-2025</v>
      </c>
      <c r="G2449" s="8"/>
      <c r="H2449" s="8"/>
      <c r="I2449" s="7"/>
      <c r="J2449" s="8" t="str">
        <f aca="false">VLOOKUP(B2449, Table3[#All], 2, FALSE())</f>
        <v>Sales</v>
      </c>
      <c r="K2449" s="8" t="str">
        <f aca="false">TEXT(ROW(), "0000")</f>
        <v>2449</v>
      </c>
      <c r="L2449" s="8"/>
    </row>
    <row r="2450" customFormat="false" ht="15.75" hidden="false" customHeight="true" outlineLevel="0" collapsed="false">
      <c r="A2450" s="7" t="n">
        <v>45830</v>
      </c>
      <c r="B2450" s="8" t="s">
        <v>16</v>
      </c>
      <c r="C2450" s="9" t="n">
        <v>1050</v>
      </c>
      <c r="D2450" s="8" t="s">
        <v>59</v>
      </c>
      <c r="E2450" s="10" t="s">
        <v>88</v>
      </c>
      <c r="F2450" s="8" t="str">
        <f aca="false">TEXT(A2450,"MM-YYYY")</f>
        <v>06-2025</v>
      </c>
      <c r="G2450" s="8"/>
      <c r="H2450" s="8"/>
      <c r="I2450" s="7"/>
      <c r="J2450" s="8" t="str">
        <f aca="false">VLOOKUP(B2450, Table3[#All], 2, FALSE())</f>
        <v>Sales</v>
      </c>
      <c r="K2450" s="8" t="str">
        <f aca="false">TEXT(ROW(), "0000")</f>
        <v>2450</v>
      </c>
      <c r="L2450" s="8"/>
    </row>
    <row r="2451" customFormat="false" ht="15.75" hidden="false" customHeight="true" outlineLevel="0" collapsed="false">
      <c r="A2451" s="7" t="n">
        <v>45830</v>
      </c>
      <c r="B2451" s="8" t="s">
        <v>16</v>
      </c>
      <c r="C2451" s="9" t="n">
        <v>4126</v>
      </c>
      <c r="D2451" s="8" t="s">
        <v>24</v>
      </c>
      <c r="E2451" s="10" t="s">
        <v>217</v>
      </c>
      <c r="F2451" s="8" t="str">
        <f aca="false">TEXT(A2451,"MM-YYYY")</f>
        <v>06-2025</v>
      </c>
      <c r="G2451" s="8"/>
      <c r="H2451" s="8"/>
      <c r="I2451" s="7"/>
      <c r="J2451" s="8" t="str">
        <f aca="false">VLOOKUP(B2451, Table3[#All], 2, FALSE())</f>
        <v>Sales</v>
      </c>
      <c r="K2451" s="8" t="str">
        <f aca="false">TEXT(ROW(), "0000")</f>
        <v>2451</v>
      </c>
      <c r="L2451" s="8"/>
    </row>
    <row r="2452" customFormat="false" ht="15.75" hidden="false" customHeight="true" outlineLevel="0" collapsed="false">
      <c r="A2452" s="7" t="n">
        <v>45830</v>
      </c>
      <c r="B2452" s="8" t="s">
        <v>43</v>
      </c>
      <c r="C2452" s="9" t="n">
        <v>50</v>
      </c>
      <c r="D2452" s="8" t="s">
        <v>45</v>
      </c>
      <c r="E2452" s="10" t="s">
        <v>279</v>
      </c>
      <c r="F2452" s="8" t="str">
        <f aca="false">TEXT(A2452,"MM-YYYY")</f>
        <v>06-2025</v>
      </c>
      <c r="G2452" s="8" t="s">
        <v>14</v>
      </c>
      <c r="H2452" s="8" t="s">
        <v>232</v>
      </c>
      <c r="I2452" s="7" t="n">
        <v>45830</v>
      </c>
      <c r="J2452" s="8" t="str">
        <f aca="false">VLOOKUP(B2452, Table3[#All], 2, FALSE())</f>
        <v>Maintance</v>
      </c>
      <c r="K2452" s="8" t="str">
        <f aca="false">TEXT(ROW(), "0000")</f>
        <v>2452</v>
      </c>
      <c r="L2452" s="8"/>
    </row>
    <row r="2453" customFormat="false" ht="15.75" hidden="false" customHeight="true" outlineLevel="0" collapsed="false">
      <c r="A2453" s="7" t="n">
        <v>45830</v>
      </c>
      <c r="B2453" s="8" t="s">
        <v>34</v>
      </c>
      <c r="C2453" s="9" t="n">
        <v>145</v>
      </c>
      <c r="D2453" s="8" t="s">
        <v>45</v>
      </c>
      <c r="E2453" s="10" t="s">
        <v>274</v>
      </c>
      <c r="F2453" s="8" t="str">
        <f aca="false">TEXT(A2453,"MM-YYYY")</f>
        <v>06-2025</v>
      </c>
      <c r="G2453" s="8" t="s">
        <v>14</v>
      </c>
      <c r="H2453" s="8" t="s">
        <v>232</v>
      </c>
      <c r="I2453" s="7" t="n">
        <v>45830</v>
      </c>
      <c r="J2453" s="8" t="str">
        <f aca="false">VLOOKUP(B2453, Table3[#All], 2, FALSE())</f>
        <v>Staff Expenses</v>
      </c>
      <c r="K2453" s="8" t="str">
        <f aca="false">TEXT(ROW(), "0000")</f>
        <v>2453</v>
      </c>
      <c r="L2453" s="8"/>
    </row>
    <row r="2454" customFormat="false" ht="15.75" hidden="false" customHeight="true" outlineLevel="0" collapsed="false">
      <c r="A2454" s="7" t="n">
        <v>45831</v>
      </c>
      <c r="B2454" s="8" t="s">
        <v>19</v>
      </c>
      <c r="C2454" s="9" t="n">
        <v>4875</v>
      </c>
      <c r="D2454" s="8" t="s">
        <v>13</v>
      </c>
      <c r="E2454" s="10" t="s">
        <v>20</v>
      </c>
      <c r="F2454" s="8" t="str">
        <f aca="false">TEXT(A2454,"MM-YYYY")</f>
        <v>06-2025</v>
      </c>
      <c r="G2454" s="8" t="s">
        <v>14</v>
      </c>
      <c r="H2454" s="8" t="s">
        <v>13</v>
      </c>
      <c r="I2454" s="7" t="n">
        <v>45835</v>
      </c>
      <c r="J2454" s="8" t="str">
        <f aca="false">VLOOKUP(B2454, Table3[#All], 2, FALSE())</f>
        <v>Inventory</v>
      </c>
      <c r="K2454" s="8" t="str">
        <f aca="false">TEXT(ROW(), "0000")</f>
        <v>2454</v>
      </c>
      <c r="L2454" s="8"/>
    </row>
    <row r="2455" customFormat="false" ht="15.75" hidden="false" customHeight="true" outlineLevel="0" collapsed="false">
      <c r="A2455" s="7" t="n">
        <v>45831</v>
      </c>
      <c r="B2455" s="8" t="s">
        <v>25</v>
      </c>
      <c r="C2455" s="9" t="n">
        <v>1160</v>
      </c>
      <c r="D2455" s="8" t="s">
        <v>13</v>
      </c>
      <c r="E2455" s="10" t="s">
        <v>26</v>
      </c>
      <c r="F2455" s="8" t="str">
        <f aca="false">TEXT(A2455,"MM-YYYY")</f>
        <v>06-2025</v>
      </c>
      <c r="G2455" s="21" t="s">
        <v>14</v>
      </c>
      <c r="H2455" s="8" t="s">
        <v>13</v>
      </c>
      <c r="I2455" s="7" t="n">
        <v>45871</v>
      </c>
      <c r="J2455" s="8" t="str">
        <f aca="false">VLOOKUP(B2455, Table3[#All], 2, FALSE())</f>
        <v>Inventory</v>
      </c>
      <c r="K2455" s="8" t="str">
        <f aca="false">TEXT(ROW(), "0000")</f>
        <v>2455</v>
      </c>
      <c r="L2455" s="8"/>
    </row>
    <row r="2456" customFormat="false" ht="15.75" hidden="false" customHeight="true" outlineLevel="0" collapsed="false">
      <c r="A2456" s="7" t="n">
        <v>45831</v>
      </c>
      <c r="B2456" s="8" t="s">
        <v>40</v>
      </c>
      <c r="C2456" s="9" t="n">
        <v>2960</v>
      </c>
      <c r="D2456" s="8" t="s">
        <v>45</v>
      </c>
      <c r="E2456" s="10" t="s">
        <v>46</v>
      </c>
      <c r="F2456" s="8" t="str">
        <f aca="false">TEXT(A2456,"MM-YYYY")</f>
        <v>06-2025</v>
      </c>
      <c r="G2456" s="8" t="s">
        <v>14</v>
      </c>
      <c r="H2456" s="8" t="s">
        <v>232</v>
      </c>
      <c r="I2456" s="7" t="n">
        <v>45831</v>
      </c>
      <c r="J2456" s="8" t="str">
        <f aca="false">VLOOKUP(B2456, Table3[#All], 2, FALSE())</f>
        <v>Inventory</v>
      </c>
      <c r="K2456" s="8" t="str">
        <f aca="false">TEXT(ROW(), "0000")</f>
        <v>2456</v>
      </c>
      <c r="L2456" s="8"/>
    </row>
    <row r="2457" customFormat="false" ht="15.75" hidden="false" customHeight="true" outlineLevel="0" collapsed="false">
      <c r="A2457" s="7" t="n">
        <v>45831</v>
      </c>
      <c r="B2457" s="8" t="s">
        <v>31</v>
      </c>
      <c r="C2457" s="9" t="n">
        <v>310</v>
      </c>
      <c r="D2457" s="8" t="s">
        <v>45</v>
      </c>
      <c r="E2457" s="10" t="s">
        <v>236</v>
      </c>
      <c r="F2457" s="8" t="str">
        <f aca="false">TEXT(A2457,"MM-YYYY")</f>
        <v>06-2025</v>
      </c>
      <c r="G2457" s="8" t="s">
        <v>14</v>
      </c>
      <c r="H2457" s="8" t="s">
        <v>232</v>
      </c>
      <c r="I2457" s="7" t="n">
        <v>45831</v>
      </c>
      <c r="J2457" s="8" t="str">
        <f aca="false">VLOOKUP(B2457, Table3[#All], 2, FALSE())</f>
        <v>Bike Maintance</v>
      </c>
      <c r="K2457" s="8" t="str">
        <f aca="false">TEXT(ROW(), "0000")</f>
        <v>2457</v>
      </c>
      <c r="L2457" s="8"/>
    </row>
    <row r="2458" customFormat="false" ht="15.75" hidden="false" customHeight="true" outlineLevel="0" collapsed="false">
      <c r="A2458" s="7" t="n">
        <v>45831</v>
      </c>
      <c r="B2458" s="8" t="s">
        <v>43</v>
      </c>
      <c r="C2458" s="9" t="n">
        <v>410</v>
      </c>
      <c r="D2458" s="8" t="s">
        <v>45</v>
      </c>
      <c r="E2458" s="10" t="s">
        <v>300</v>
      </c>
      <c r="F2458" s="8" t="str">
        <f aca="false">TEXT(A2458,"MM-YYYY")</f>
        <v>06-2025</v>
      </c>
      <c r="G2458" s="8" t="s">
        <v>14</v>
      </c>
      <c r="H2458" s="8" t="s">
        <v>232</v>
      </c>
      <c r="I2458" s="7" t="n">
        <v>45831</v>
      </c>
      <c r="J2458" s="8" t="str">
        <f aca="false">VLOOKUP(B2458, Table3[#All], 2, FALSE())</f>
        <v>Maintance</v>
      </c>
      <c r="K2458" s="8" t="str">
        <f aca="false">TEXT(ROW(), "0000")</f>
        <v>2458</v>
      </c>
      <c r="L2458" s="8"/>
    </row>
    <row r="2459" customFormat="false" ht="15.75" hidden="false" customHeight="true" outlineLevel="0" collapsed="false">
      <c r="A2459" s="7" t="n">
        <v>45831</v>
      </c>
      <c r="B2459" s="8" t="s">
        <v>47</v>
      </c>
      <c r="C2459" s="9" t="n">
        <v>840</v>
      </c>
      <c r="D2459" s="8" t="s">
        <v>13</v>
      </c>
      <c r="E2459" s="10" t="s">
        <v>339</v>
      </c>
      <c r="F2459" s="8" t="str">
        <f aca="false">TEXT(A2459,"MM-YYYY")</f>
        <v>06-2025</v>
      </c>
      <c r="G2459" s="8" t="s">
        <v>14</v>
      </c>
      <c r="H2459" s="8" t="s">
        <v>13</v>
      </c>
      <c r="I2459" s="7" t="n">
        <v>45843</v>
      </c>
      <c r="J2459" s="8" t="str">
        <f aca="false">VLOOKUP(B2459, Table3[#All], 2, FALSE())</f>
        <v>Inventory</v>
      </c>
      <c r="K2459" s="8" t="str">
        <f aca="false">TEXT(ROW(), "0000")</f>
        <v>2459</v>
      </c>
      <c r="L2459" s="8"/>
    </row>
    <row r="2460" customFormat="false" ht="15.75" hidden="false" customHeight="true" outlineLevel="0" collapsed="false">
      <c r="A2460" s="7" t="n">
        <v>45831</v>
      </c>
      <c r="B2460" s="8" t="s">
        <v>22</v>
      </c>
      <c r="C2460" s="9" t="n">
        <v>1106</v>
      </c>
      <c r="D2460" s="8" t="s">
        <v>13</v>
      </c>
      <c r="E2460" s="10" t="s">
        <v>23</v>
      </c>
      <c r="F2460" s="8" t="str">
        <f aca="false">TEXT(A2460,"MM-YYYY")</f>
        <v>06-2025</v>
      </c>
      <c r="G2460" s="8" t="s">
        <v>14</v>
      </c>
      <c r="H2460" s="8" t="s">
        <v>13</v>
      </c>
      <c r="I2460" s="7" t="n">
        <v>45836</v>
      </c>
      <c r="J2460" s="8" t="str">
        <f aca="false">VLOOKUP(B2460, Table3[#All], 2, FALSE())</f>
        <v>Inventory</v>
      </c>
      <c r="K2460" s="8" t="str">
        <f aca="false">TEXT(ROW(), "0000")</f>
        <v>2460</v>
      </c>
      <c r="L2460" s="8"/>
    </row>
    <row r="2461" customFormat="false" ht="15.75" hidden="false" customHeight="true" outlineLevel="0" collapsed="false">
      <c r="A2461" s="7" t="n">
        <v>45831</v>
      </c>
      <c r="B2461" s="8" t="s">
        <v>32</v>
      </c>
      <c r="C2461" s="9" t="n">
        <v>175</v>
      </c>
      <c r="D2461" s="8" t="s">
        <v>21</v>
      </c>
      <c r="E2461" s="10" t="s">
        <v>38</v>
      </c>
      <c r="F2461" s="8" t="str">
        <f aca="false">TEXT(A2461,"MM-YYYY")</f>
        <v>06-2025</v>
      </c>
      <c r="G2461" s="8" t="s">
        <v>14</v>
      </c>
      <c r="H2461" s="8" t="s">
        <v>15</v>
      </c>
      <c r="I2461" s="7" t="n">
        <v>45831</v>
      </c>
      <c r="J2461" s="8" t="str">
        <f aca="false">VLOOKUP(B2461, Table3[#All], 2, FALSE())</f>
        <v>Grocery</v>
      </c>
      <c r="K2461" s="8" t="str">
        <f aca="false">TEXT(ROW(), "0000")</f>
        <v>2461</v>
      </c>
      <c r="L2461" s="8"/>
    </row>
    <row r="2462" customFormat="false" ht="15.75" hidden="false" customHeight="true" outlineLevel="0" collapsed="false">
      <c r="A2462" s="7" t="n">
        <v>45831</v>
      </c>
      <c r="B2462" s="8" t="s">
        <v>29</v>
      </c>
      <c r="C2462" s="9" t="n">
        <v>388</v>
      </c>
      <c r="D2462" s="8" t="s">
        <v>13</v>
      </c>
      <c r="E2462" s="10" t="s">
        <v>302</v>
      </c>
      <c r="F2462" s="8" t="str">
        <f aca="false">TEXT(A2462,"MM-YYYY")</f>
        <v>06-2025</v>
      </c>
      <c r="G2462" s="8" t="s">
        <v>14</v>
      </c>
      <c r="H2462" s="8" t="s">
        <v>13</v>
      </c>
      <c r="I2462" s="7" t="n">
        <v>45839</v>
      </c>
      <c r="J2462" s="8" t="str">
        <f aca="false">VLOOKUP(B2462, Table3[#All], 2, FALSE())</f>
        <v>Inventory</v>
      </c>
      <c r="K2462" s="8" t="str">
        <f aca="false">TEXT(ROW(), "0000")</f>
        <v>2462</v>
      </c>
      <c r="L2462" s="8"/>
    </row>
    <row r="2463" customFormat="false" ht="15.75" hidden="false" customHeight="true" outlineLevel="0" collapsed="false">
      <c r="A2463" s="7" t="n">
        <v>45831</v>
      </c>
      <c r="B2463" s="8" t="s">
        <v>63</v>
      </c>
      <c r="C2463" s="9" t="n">
        <v>1200</v>
      </c>
      <c r="D2463" s="8" t="s">
        <v>45</v>
      </c>
      <c r="E2463" s="8" t="s">
        <v>63</v>
      </c>
      <c r="F2463" s="8" t="str">
        <f aca="false">TEXT(A2463,"MM-YYYY")</f>
        <v>06-2025</v>
      </c>
      <c r="G2463" s="8" t="s">
        <v>14</v>
      </c>
      <c r="H2463" s="8" t="s">
        <v>232</v>
      </c>
      <c r="I2463" s="7" t="n">
        <v>45831</v>
      </c>
      <c r="J2463" s="8" t="str">
        <f aca="false">VLOOKUP(B2463, Table3[#All], 2, FALSE())</f>
        <v>Maintance</v>
      </c>
      <c r="K2463" s="8" t="str">
        <f aca="false">TEXT(ROW(), "0000")</f>
        <v>2463</v>
      </c>
      <c r="L2463" s="8"/>
    </row>
    <row r="2464" customFormat="false" ht="15.75" hidden="false" customHeight="true" outlineLevel="0" collapsed="false">
      <c r="A2464" s="7" t="n">
        <v>45831</v>
      </c>
      <c r="B2464" s="8" t="s">
        <v>16</v>
      </c>
      <c r="C2464" s="9" t="n">
        <v>3307</v>
      </c>
      <c r="D2464" s="8" t="s">
        <v>21</v>
      </c>
      <c r="E2464" s="10" t="s">
        <v>88</v>
      </c>
      <c r="F2464" s="8" t="str">
        <f aca="false">TEXT(A2464,"MM-YYYY")</f>
        <v>06-2025</v>
      </c>
      <c r="G2464" s="8"/>
      <c r="H2464" s="8"/>
      <c r="I2464" s="7"/>
      <c r="J2464" s="8" t="str">
        <f aca="false">VLOOKUP(B2464, Table3[#All], 2, FALSE())</f>
        <v>Sales</v>
      </c>
      <c r="K2464" s="8" t="str">
        <f aca="false">TEXT(ROW(), "0000")</f>
        <v>2464</v>
      </c>
      <c r="L2464" s="8"/>
    </row>
    <row r="2465" customFormat="false" ht="15.75" hidden="false" customHeight="true" outlineLevel="0" collapsed="false">
      <c r="A2465" s="7" t="n">
        <v>45831</v>
      </c>
      <c r="B2465" s="8" t="s">
        <v>16</v>
      </c>
      <c r="C2465" s="9" t="n">
        <v>210</v>
      </c>
      <c r="D2465" s="8" t="s">
        <v>27</v>
      </c>
      <c r="E2465" s="10" t="s">
        <v>88</v>
      </c>
      <c r="F2465" s="8" t="str">
        <f aca="false">TEXT(A2465,"MM-YYYY")</f>
        <v>06-2025</v>
      </c>
      <c r="G2465" s="8"/>
      <c r="H2465" s="8"/>
      <c r="I2465" s="7"/>
      <c r="J2465" s="8" t="str">
        <f aca="false">VLOOKUP(B2465, Table3[#All], 2, FALSE())</f>
        <v>Sales</v>
      </c>
      <c r="K2465" s="8" t="str">
        <f aca="false">TEXT(ROW(), "0000")</f>
        <v>2465</v>
      </c>
      <c r="L2465" s="8"/>
    </row>
    <row r="2466" customFormat="false" ht="15.75" hidden="false" customHeight="true" outlineLevel="0" collapsed="false">
      <c r="A2466" s="7" t="n">
        <v>45831</v>
      </c>
      <c r="B2466" s="8" t="s">
        <v>16</v>
      </c>
      <c r="C2466" s="9" t="n">
        <v>1007</v>
      </c>
      <c r="D2466" s="8" t="s">
        <v>33</v>
      </c>
      <c r="E2466" s="10" t="s">
        <v>88</v>
      </c>
      <c r="F2466" s="8" t="str">
        <f aca="false">TEXT(A2466,"MM-YYYY")</f>
        <v>06-2025</v>
      </c>
      <c r="G2466" s="8"/>
      <c r="H2466" s="8"/>
      <c r="I2466" s="7"/>
      <c r="J2466" s="8" t="str">
        <f aca="false">VLOOKUP(B2466, Table3[#All], 2, FALSE())</f>
        <v>Sales</v>
      </c>
      <c r="K2466" s="8" t="str">
        <f aca="false">TEXT(ROW(), "0000")</f>
        <v>2466</v>
      </c>
      <c r="L2466" s="8"/>
    </row>
    <row r="2467" customFormat="false" ht="15.75" hidden="false" customHeight="true" outlineLevel="0" collapsed="false">
      <c r="A2467" s="7" t="n">
        <v>45831</v>
      </c>
      <c r="B2467" s="8" t="s">
        <v>16</v>
      </c>
      <c r="C2467" s="9" t="n">
        <v>7155</v>
      </c>
      <c r="D2467" s="8" t="s">
        <v>17</v>
      </c>
      <c r="E2467" s="10" t="s">
        <v>88</v>
      </c>
      <c r="F2467" s="8" t="str">
        <f aca="false">TEXT(A2467,"MM-YYYY")</f>
        <v>06-2025</v>
      </c>
      <c r="G2467" s="8"/>
      <c r="H2467" s="8"/>
      <c r="I2467" s="7"/>
      <c r="J2467" s="8" t="str">
        <f aca="false">VLOOKUP(B2467, Table3[#All], 2, FALSE())</f>
        <v>Sales</v>
      </c>
      <c r="K2467" s="8" t="str">
        <f aca="false">TEXT(ROW(), "0000")</f>
        <v>2467</v>
      </c>
      <c r="L2467" s="8"/>
    </row>
    <row r="2468" customFormat="false" ht="15.75" hidden="false" customHeight="true" outlineLevel="0" collapsed="false">
      <c r="A2468" s="7" t="n">
        <v>45831</v>
      </c>
      <c r="B2468" s="8" t="s">
        <v>16</v>
      </c>
      <c r="C2468" s="9" t="n">
        <v>780</v>
      </c>
      <c r="D2468" s="8" t="s">
        <v>59</v>
      </c>
      <c r="E2468" s="10" t="s">
        <v>88</v>
      </c>
      <c r="F2468" s="8" t="str">
        <f aca="false">TEXT(A2468,"MM-YYYY")</f>
        <v>06-2025</v>
      </c>
      <c r="G2468" s="8"/>
      <c r="H2468" s="8"/>
      <c r="I2468" s="7"/>
      <c r="J2468" s="8" t="str">
        <f aca="false">VLOOKUP(B2468, Table3[#All], 2, FALSE())</f>
        <v>Sales</v>
      </c>
      <c r="K2468" s="8" t="str">
        <f aca="false">TEXT(ROW(), "0000")</f>
        <v>2468</v>
      </c>
      <c r="L2468" s="8"/>
    </row>
    <row r="2469" customFormat="false" ht="15.75" hidden="false" customHeight="true" outlineLevel="0" collapsed="false">
      <c r="A2469" s="7" t="n">
        <v>45831</v>
      </c>
      <c r="B2469" s="8" t="s">
        <v>16</v>
      </c>
      <c r="C2469" s="9" t="n">
        <v>2251</v>
      </c>
      <c r="D2469" s="8" t="s">
        <v>24</v>
      </c>
      <c r="E2469" s="10" t="s">
        <v>217</v>
      </c>
      <c r="F2469" s="8" t="str">
        <f aca="false">TEXT(A2469,"MM-YYYY")</f>
        <v>06-2025</v>
      </c>
      <c r="G2469" s="8"/>
      <c r="H2469" s="8"/>
      <c r="I2469" s="7"/>
      <c r="J2469" s="8" t="str">
        <f aca="false">VLOOKUP(B2469, Table3[#All], 2, FALSE())</f>
        <v>Sales</v>
      </c>
      <c r="K2469" s="8" t="str">
        <f aca="false">TEXT(ROW(), "0000")</f>
        <v>2469</v>
      </c>
      <c r="L2469" s="8"/>
    </row>
    <row r="2470" customFormat="false" ht="15.75" hidden="false" customHeight="true" outlineLevel="0" collapsed="false">
      <c r="A2470" s="7" t="n">
        <v>45831</v>
      </c>
      <c r="B2470" s="8" t="s">
        <v>34</v>
      </c>
      <c r="C2470" s="9" t="n">
        <v>152</v>
      </c>
      <c r="D2470" s="8" t="s">
        <v>45</v>
      </c>
      <c r="E2470" s="10" t="s">
        <v>274</v>
      </c>
      <c r="F2470" s="8" t="str">
        <f aca="false">TEXT(A2470,"MM-YYYY")</f>
        <v>06-2025</v>
      </c>
      <c r="G2470" s="8" t="s">
        <v>14</v>
      </c>
      <c r="H2470" s="8" t="s">
        <v>232</v>
      </c>
      <c r="I2470" s="7" t="n">
        <v>45831</v>
      </c>
      <c r="J2470" s="8" t="str">
        <f aca="false">VLOOKUP(B2470, Table3[#All], 2, FALSE())</f>
        <v>Staff Expenses</v>
      </c>
      <c r="K2470" s="8" t="str">
        <f aca="false">TEXT(ROW(), "0000")</f>
        <v>2470</v>
      </c>
      <c r="L2470" s="8"/>
    </row>
    <row r="2471" customFormat="false" ht="15.75" hidden="false" customHeight="true" outlineLevel="0" collapsed="false">
      <c r="A2471" s="7" t="n">
        <v>45831</v>
      </c>
      <c r="B2471" s="8" t="s">
        <v>44</v>
      </c>
      <c r="C2471" s="9" t="n">
        <v>5000</v>
      </c>
      <c r="D2471" s="8" t="s">
        <v>45</v>
      </c>
      <c r="E2471" s="10" t="s">
        <v>204</v>
      </c>
      <c r="F2471" s="8" t="str">
        <f aca="false">TEXT(A2471,"MM-YYYY")</f>
        <v>06-2025</v>
      </c>
      <c r="G2471" s="8" t="s">
        <v>14</v>
      </c>
      <c r="H2471" s="8" t="s">
        <v>232</v>
      </c>
      <c r="I2471" s="7" t="n">
        <v>45831</v>
      </c>
      <c r="J2471" s="8" t="str">
        <f aca="false">VLOOKUP(B2471, Table3[#All], 2, FALSE())</f>
        <v>Salary</v>
      </c>
      <c r="K2471" s="8" t="str">
        <f aca="false">TEXT(ROW(), "0000")</f>
        <v>2471</v>
      </c>
      <c r="L2471" s="8"/>
    </row>
    <row r="2472" customFormat="false" ht="15.75" hidden="false" customHeight="true" outlineLevel="0" collapsed="false">
      <c r="A2472" s="7" t="n">
        <v>45832</v>
      </c>
      <c r="B2472" s="8" t="s">
        <v>25</v>
      </c>
      <c r="C2472" s="9" t="n">
        <v>353</v>
      </c>
      <c r="D2472" s="8" t="s">
        <v>13</v>
      </c>
      <c r="E2472" s="10" t="s">
        <v>26</v>
      </c>
      <c r="F2472" s="8" t="str">
        <f aca="false">TEXT(A2472,"MM-YYYY")</f>
        <v>06-2025</v>
      </c>
      <c r="G2472" s="21" t="s">
        <v>14</v>
      </c>
      <c r="H2472" s="8" t="s">
        <v>13</v>
      </c>
      <c r="I2472" s="7" t="n">
        <v>45871</v>
      </c>
      <c r="J2472" s="8" t="str">
        <f aca="false">VLOOKUP(B2472, Table3[#All], 2, FALSE())</f>
        <v>Inventory</v>
      </c>
      <c r="K2472" s="8" t="str">
        <f aca="false">TEXT(ROW(), "0000")</f>
        <v>2472</v>
      </c>
      <c r="L2472" s="8"/>
    </row>
    <row r="2473" customFormat="false" ht="15.75" hidden="false" customHeight="true" outlineLevel="0" collapsed="false">
      <c r="A2473" s="7" t="n">
        <v>45832</v>
      </c>
      <c r="B2473" s="8" t="s">
        <v>19</v>
      </c>
      <c r="C2473" s="9" t="n">
        <v>4583</v>
      </c>
      <c r="D2473" s="8" t="s">
        <v>13</v>
      </c>
      <c r="E2473" s="10" t="s">
        <v>20</v>
      </c>
      <c r="F2473" s="8" t="str">
        <f aca="false">TEXT(A2473,"MM-YYYY")</f>
        <v>06-2025</v>
      </c>
      <c r="G2473" s="8" t="s">
        <v>14</v>
      </c>
      <c r="H2473" s="8" t="s">
        <v>13</v>
      </c>
      <c r="I2473" s="7" t="n">
        <v>45835</v>
      </c>
      <c r="J2473" s="8" t="str">
        <f aca="false">VLOOKUP(B2473, Table3[#All], 2, FALSE())</f>
        <v>Inventory</v>
      </c>
      <c r="K2473" s="8" t="str">
        <f aca="false">TEXT(ROW(), "0000")</f>
        <v>2473</v>
      </c>
      <c r="L2473" s="8"/>
    </row>
    <row r="2474" customFormat="false" ht="15.75" hidden="false" customHeight="true" outlineLevel="0" collapsed="false">
      <c r="A2474" s="7" t="n">
        <v>45832</v>
      </c>
      <c r="B2474" s="8" t="s">
        <v>22</v>
      </c>
      <c r="C2474" s="9" t="n">
        <v>1000</v>
      </c>
      <c r="D2474" s="8" t="s">
        <v>45</v>
      </c>
      <c r="E2474" s="10" t="s">
        <v>344</v>
      </c>
      <c r="F2474" s="8" t="str">
        <f aca="false">TEXT(A2474,"MM-YYYY")</f>
        <v>06-2025</v>
      </c>
      <c r="G2474" s="8" t="s">
        <v>14</v>
      </c>
      <c r="H2474" s="8" t="s">
        <v>232</v>
      </c>
      <c r="I2474" s="7" t="n">
        <v>45832</v>
      </c>
      <c r="J2474" s="8" t="str">
        <f aca="false">VLOOKUP(B2474, Table3[#All], 2, FALSE())</f>
        <v>Inventory</v>
      </c>
      <c r="K2474" s="8" t="str">
        <f aca="false">TEXT(ROW(), "0000")</f>
        <v>2474</v>
      </c>
      <c r="L2474" s="8"/>
    </row>
    <row r="2475" customFormat="false" ht="15.75" hidden="false" customHeight="true" outlineLevel="0" collapsed="false">
      <c r="A2475" s="7" t="n">
        <v>45832</v>
      </c>
      <c r="B2475" s="8" t="s">
        <v>43</v>
      </c>
      <c r="C2475" s="9" t="n">
        <v>120</v>
      </c>
      <c r="D2475" s="8" t="s">
        <v>45</v>
      </c>
      <c r="E2475" s="10" t="s">
        <v>279</v>
      </c>
      <c r="F2475" s="8" t="str">
        <f aca="false">TEXT(A2475,"MM-YYYY")</f>
        <v>06-2025</v>
      </c>
      <c r="G2475" s="8" t="s">
        <v>14</v>
      </c>
      <c r="H2475" s="8" t="s">
        <v>232</v>
      </c>
      <c r="I2475" s="7" t="n">
        <v>45832</v>
      </c>
      <c r="J2475" s="8" t="str">
        <f aca="false">VLOOKUP(B2475, Table3[#All], 2, FALSE())</f>
        <v>Maintance</v>
      </c>
      <c r="K2475" s="8" t="str">
        <f aca="false">TEXT(ROW(), "0000")</f>
        <v>2475</v>
      </c>
      <c r="L2475" s="8"/>
    </row>
    <row r="2476" customFormat="false" ht="15.75" hidden="false" customHeight="true" outlineLevel="0" collapsed="false">
      <c r="A2476" s="7" t="n">
        <v>45832</v>
      </c>
      <c r="B2476" s="8" t="s">
        <v>22</v>
      </c>
      <c r="C2476" s="9" t="n">
        <v>4812</v>
      </c>
      <c r="D2476" s="8" t="s">
        <v>13</v>
      </c>
      <c r="E2476" s="10" t="s">
        <v>23</v>
      </c>
      <c r="F2476" s="8" t="str">
        <f aca="false">TEXT(A2476,"MM-YYYY")</f>
        <v>06-2025</v>
      </c>
      <c r="G2476" s="8" t="s">
        <v>14</v>
      </c>
      <c r="H2476" s="8" t="s">
        <v>13</v>
      </c>
      <c r="I2476" s="7" t="n">
        <v>45836</v>
      </c>
      <c r="J2476" s="8" t="str">
        <f aca="false">VLOOKUP(B2476, Table3[#All], 2, FALSE())</f>
        <v>Inventory</v>
      </c>
      <c r="K2476" s="8" t="str">
        <f aca="false">TEXT(ROW(), "0000")</f>
        <v>2476</v>
      </c>
      <c r="L2476" s="8"/>
    </row>
    <row r="2477" customFormat="false" ht="15.75" hidden="false" customHeight="true" outlineLevel="0" collapsed="false">
      <c r="A2477" s="7" t="n">
        <v>45832</v>
      </c>
      <c r="B2477" s="8" t="s">
        <v>32</v>
      </c>
      <c r="C2477" s="9" t="n">
        <v>350</v>
      </c>
      <c r="D2477" s="8" t="s">
        <v>21</v>
      </c>
      <c r="E2477" s="10" t="s">
        <v>38</v>
      </c>
      <c r="F2477" s="8" t="str">
        <f aca="false">TEXT(A2477,"MM-YYYY")</f>
        <v>06-2025</v>
      </c>
      <c r="G2477" s="8" t="s">
        <v>14</v>
      </c>
      <c r="H2477" s="8" t="s">
        <v>15</v>
      </c>
      <c r="I2477" s="7" t="n">
        <v>45832</v>
      </c>
      <c r="J2477" s="8" t="str">
        <f aca="false">VLOOKUP(B2477, Table3[#All], 2, FALSE())</f>
        <v>Grocery</v>
      </c>
      <c r="K2477" s="8" t="str">
        <f aca="false">TEXT(ROW(), "0000")</f>
        <v>2477</v>
      </c>
      <c r="L2477" s="8"/>
    </row>
    <row r="2478" customFormat="false" ht="15.75" hidden="false" customHeight="true" outlineLevel="0" collapsed="false">
      <c r="A2478" s="7" t="n">
        <v>45832</v>
      </c>
      <c r="B2478" s="8" t="s">
        <v>29</v>
      </c>
      <c r="C2478" s="9" t="n">
        <v>250</v>
      </c>
      <c r="D2478" s="8" t="s">
        <v>13</v>
      </c>
      <c r="E2478" s="10" t="s">
        <v>302</v>
      </c>
      <c r="F2478" s="8" t="str">
        <f aca="false">TEXT(A2478,"MM-YYYY")</f>
        <v>06-2025</v>
      </c>
      <c r="G2478" s="8" t="s">
        <v>14</v>
      </c>
      <c r="H2478" s="8" t="s">
        <v>13</v>
      </c>
      <c r="I2478" s="7" t="n">
        <v>45839</v>
      </c>
      <c r="J2478" s="8" t="str">
        <f aca="false">VLOOKUP(B2478, Table3[#All], 2, FALSE())</f>
        <v>Inventory</v>
      </c>
      <c r="K2478" s="8" t="str">
        <f aca="false">TEXT(ROW(), "0000")</f>
        <v>2478</v>
      </c>
      <c r="L2478" s="8"/>
    </row>
    <row r="2479" customFormat="false" ht="15.75" hidden="false" customHeight="true" outlineLevel="0" collapsed="false">
      <c r="A2479" s="7" t="n">
        <v>45832</v>
      </c>
      <c r="B2479" s="8" t="s">
        <v>16</v>
      </c>
      <c r="C2479" s="9" t="n">
        <v>2760</v>
      </c>
      <c r="D2479" s="8" t="s">
        <v>21</v>
      </c>
      <c r="E2479" s="10" t="s">
        <v>88</v>
      </c>
      <c r="F2479" s="8" t="str">
        <f aca="false">TEXT(A2479,"MM-YYYY")</f>
        <v>06-2025</v>
      </c>
      <c r="G2479" s="8"/>
      <c r="H2479" s="8"/>
      <c r="I2479" s="7"/>
      <c r="J2479" s="8" t="str">
        <f aca="false">VLOOKUP(B2479, Table3[#All], 2, FALSE())</f>
        <v>Sales</v>
      </c>
      <c r="K2479" s="8" t="str">
        <f aca="false">TEXT(ROW(), "0000")</f>
        <v>2479</v>
      </c>
      <c r="L2479" s="8"/>
    </row>
    <row r="2480" customFormat="false" ht="15.75" hidden="false" customHeight="true" outlineLevel="0" collapsed="false">
      <c r="A2480" s="7" t="n">
        <v>45832</v>
      </c>
      <c r="B2480" s="8" t="s">
        <v>16</v>
      </c>
      <c r="C2480" s="9" t="n">
        <v>850</v>
      </c>
      <c r="D2480" s="8" t="s">
        <v>27</v>
      </c>
      <c r="E2480" s="10" t="s">
        <v>88</v>
      </c>
      <c r="F2480" s="8" t="str">
        <f aca="false">TEXT(A2480,"MM-YYYY")</f>
        <v>06-2025</v>
      </c>
      <c r="G2480" s="8"/>
      <c r="H2480" s="8"/>
      <c r="I2480" s="7"/>
      <c r="J2480" s="8" t="str">
        <f aca="false">VLOOKUP(B2480, Table3[#All], 2, FALSE())</f>
        <v>Sales</v>
      </c>
      <c r="K2480" s="8" t="str">
        <f aca="false">TEXT(ROW(), "0000")</f>
        <v>2480</v>
      </c>
      <c r="L2480" s="8"/>
    </row>
    <row r="2481" customFormat="false" ht="15.75" hidden="false" customHeight="true" outlineLevel="0" collapsed="false">
      <c r="A2481" s="7" t="n">
        <v>45832</v>
      </c>
      <c r="B2481" s="8" t="s">
        <v>16</v>
      </c>
      <c r="C2481" s="9" t="n">
        <v>160</v>
      </c>
      <c r="D2481" s="8" t="s">
        <v>33</v>
      </c>
      <c r="E2481" s="10" t="s">
        <v>88</v>
      </c>
      <c r="F2481" s="8" t="str">
        <f aca="false">TEXT(A2481,"MM-YYYY")</f>
        <v>06-2025</v>
      </c>
      <c r="G2481" s="8"/>
      <c r="H2481" s="8"/>
      <c r="I2481" s="7"/>
      <c r="J2481" s="8" t="str">
        <f aca="false">VLOOKUP(B2481, Table3[#All], 2, FALSE())</f>
        <v>Sales</v>
      </c>
      <c r="K2481" s="8" t="str">
        <f aca="false">TEXT(ROW(), "0000")</f>
        <v>2481</v>
      </c>
      <c r="L2481" s="8"/>
    </row>
    <row r="2482" customFormat="false" ht="15.75" hidden="false" customHeight="true" outlineLevel="0" collapsed="false">
      <c r="A2482" s="7" t="n">
        <v>45832</v>
      </c>
      <c r="B2482" s="8" t="s">
        <v>16</v>
      </c>
      <c r="C2482" s="9" t="n">
        <v>19643</v>
      </c>
      <c r="D2482" s="8" t="s">
        <v>17</v>
      </c>
      <c r="E2482" s="10" t="s">
        <v>88</v>
      </c>
      <c r="F2482" s="8" t="str">
        <f aca="false">TEXT(A2482,"MM-YYYY")</f>
        <v>06-2025</v>
      </c>
      <c r="G2482" s="8"/>
      <c r="H2482" s="8"/>
      <c r="I2482" s="7"/>
      <c r="J2482" s="8" t="str">
        <f aca="false">VLOOKUP(B2482, Table3[#All], 2, FALSE())</f>
        <v>Sales</v>
      </c>
      <c r="K2482" s="8" t="str">
        <f aca="false">TEXT(ROW(), "0000")</f>
        <v>2482</v>
      </c>
      <c r="L2482" s="8"/>
    </row>
    <row r="2483" customFormat="false" ht="15.75" hidden="false" customHeight="true" outlineLevel="0" collapsed="false">
      <c r="A2483" s="7" t="n">
        <v>45832</v>
      </c>
      <c r="B2483" s="8" t="s">
        <v>16</v>
      </c>
      <c r="C2483" s="9" t="n">
        <v>690</v>
      </c>
      <c r="D2483" s="8" t="s">
        <v>59</v>
      </c>
      <c r="E2483" s="10" t="s">
        <v>88</v>
      </c>
      <c r="F2483" s="8" t="str">
        <f aca="false">TEXT(A2483,"MM-YYYY")</f>
        <v>06-2025</v>
      </c>
      <c r="G2483" s="8"/>
      <c r="H2483" s="8"/>
      <c r="I2483" s="7"/>
      <c r="J2483" s="8" t="str">
        <f aca="false">VLOOKUP(B2483, Table3[#All], 2, FALSE())</f>
        <v>Sales</v>
      </c>
      <c r="K2483" s="8" t="str">
        <f aca="false">TEXT(ROW(), "0000")</f>
        <v>2483</v>
      </c>
      <c r="L2483" s="8"/>
    </row>
    <row r="2484" customFormat="false" ht="15.75" hidden="false" customHeight="true" outlineLevel="0" collapsed="false">
      <c r="A2484" s="7" t="n">
        <v>45832</v>
      </c>
      <c r="B2484" s="8" t="s">
        <v>16</v>
      </c>
      <c r="C2484" s="9" t="n">
        <v>2154</v>
      </c>
      <c r="D2484" s="8" t="s">
        <v>24</v>
      </c>
      <c r="E2484" s="10" t="s">
        <v>217</v>
      </c>
      <c r="F2484" s="8" t="str">
        <f aca="false">TEXT(A2484,"MM-YYYY")</f>
        <v>06-2025</v>
      </c>
      <c r="G2484" s="8"/>
      <c r="H2484" s="8"/>
      <c r="I2484" s="7"/>
      <c r="J2484" s="8" t="str">
        <f aca="false">VLOOKUP(B2484, Table3[#All], 2, FALSE())</f>
        <v>Sales</v>
      </c>
      <c r="K2484" s="8" t="str">
        <f aca="false">TEXT(ROW(), "0000")</f>
        <v>2484</v>
      </c>
      <c r="L2484" s="8"/>
    </row>
    <row r="2485" customFormat="false" ht="15.75" hidden="false" customHeight="true" outlineLevel="0" collapsed="false">
      <c r="A2485" s="7" t="n">
        <v>45832</v>
      </c>
      <c r="B2485" s="8" t="s">
        <v>34</v>
      </c>
      <c r="C2485" s="9" t="n">
        <v>120</v>
      </c>
      <c r="D2485" s="8" t="s">
        <v>45</v>
      </c>
      <c r="E2485" s="10" t="s">
        <v>274</v>
      </c>
      <c r="F2485" s="8" t="str">
        <f aca="false">TEXT(A2485,"MM-YYYY")</f>
        <v>06-2025</v>
      </c>
      <c r="G2485" s="8" t="s">
        <v>14</v>
      </c>
      <c r="H2485" s="8" t="s">
        <v>232</v>
      </c>
      <c r="I2485" s="7" t="n">
        <v>45832</v>
      </c>
      <c r="J2485" s="8" t="str">
        <f aca="false">VLOOKUP(B2485, Table3[#All], 2, FALSE())</f>
        <v>Staff Expenses</v>
      </c>
      <c r="K2485" s="8" t="str">
        <f aca="false">TEXT(ROW(), "0000")</f>
        <v>2485</v>
      </c>
      <c r="L2485" s="8"/>
    </row>
    <row r="2486" customFormat="false" ht="15.75" hidden="false" customHeight="true" outlineLevel="0" collapsed="false">
      <c r="A2486" s="7" t="n">
        <v>45832</v>
      </c>
      <c r="B2486" s="8" t="s">
        <v>43</v>
      </c>
      <c r="C2486" s="9" t="n">
        <v>120</v>
      </c>
      <c r="D2486" s="8" t="s">
        <v>45</v>
      </c>
      <c r="E2486" s="10" t="s">
        <v>279</v>
      </c>
      <c r="F2486" s="8" t="str">
        <f aca="false">TEXT(A2486,"MM-YYYY")</f>
        <v>06-2025</v>
      </c>
      <c r="G2486" s="8" t="s">
        <v>14</v>
      </c>
      <c r="H2486" s="8" t="s">
        <v>232</v>
      </c>
      <c r="I2486" s="7" t="n">
        <v>45832</v>
      </c>
      <c r="J2486" s="8" t="str">
        <f aca="false">VLOOKUP(B2486, Table3[#All], 2, FALSE())</f>
        <v>Maintance</v>
      </c>
      <c r="K2486" s="8" t="str">
        <f aca="false">TEXT(ROW(), "0000")</f>
        <v>2486</v>
      </c>
      <c r="L2486" s="8"/>
    </row>
    <row r="2487" customFormat="false" ht="15.75" hidden="false" customHeight="true" outlineLevel="0" collapsed="false">
      <c r="A2487" s="7" t="n">
        <v>45833</v>
      </c>
      <c r="B2487" s="8" t="s">
        <v>19</v>
      </c>
      <c r="C2487" s="9" t="n">
        <v>6005</v>
      </c>
      <c r="D2487" s="8" t="s">
        <v>13</v>
      </c>
      <c r="E2487" s="10" t="s">
        <v>20</v>
      </c>
      <c r="F2487" s="8" t="str">
        <f aca="false">TEXT(A2487,"MM-YYYY")</f>
        <v>06-2025</v>
      </c>
      <c r="G2487" s="8" t="s">
        <v>14</v>
      </c>
      <c r="H2487" s="8" t="s">
        <v>13</v>
      </c>
      <c r="I2487" s="7" t="n">
        <v>45837</v>
      </c>
      <c r="J2487" s="8" t="str">
        <f aca="false">VLOOKUP(B2487, Table3[#All], 2, FALSE())</f>
        <v>Inventory</v>
      </c>
      <c r="K2487" s="8" t="str">
        <f aca="false">TEXT(ROW(), "0000")</f>
        <v>2487</v>
      </c>
      <c r="L2487" s="8"/>
    </row>
    <row r="2488" customFormat="false" ht="15.75" hidden="false" customHeight="true" outlineLevel="0" collapsed="false">
      <c r="A2488" s="7" t="n">
        <v>45833</v>
      </c>
      <c r="B2488" s="8" t="s">
        <v>47</v>
      </c>
      <c r="C2488" s="9" t="n">
        <v>1680</v>
      </c>
      <c r="D2488" s="8" t="s">
        <v>13</v>
      </c>
      <c r="E2488" s="10" t="s">
        <v>339</v>
      </c>
      <c r="F2488" s="8" t="str">
        <f aca="false">TEXT(A2488,"MM-YYYY")</f>
        <v>06-2025</v>
      </c>
      <c r="G2488" s="8" t="s">
        <v>14</v>
      </c>
      <c r="H2488" s="8" t="s">
        <v>13</v>
      </c>
      <c r="I2488" s="7" t="n">
        <v>45843</v>
      </c>
      <c r="J2488" s="8" t="str">
        <f aca="false">VLOOKUP(B2488, Table3[#All], 2, FALSE())</f>
        <v>Inventory</v>
      </c>
      <c r="K2488" s="8" t="str">
        <f aca="false">TEXT(ROW(), "0000")</f>
        <v>2488</v>
      </c>
      <c r="L2488" s="8"/>
    </row>
    <row r="2489" customFormat="false" ht="15.75" hidden="false" customHeight="true" outlineLevel="0" collapsed="false">
      <c r="A2489" s="7" t="n">
        <v>45833</v>
      </c>
      <c r="B2489" s="8" t="s">
        <v>25</v>
      </c>
      <c r="C2489" s="9" t="n">
        <v>1227</v>
      </c>
      <c r="D2489" s="8" t="s">
        <v>13</v>
      </c>
      <c r="E2489" s="10" t="s">
        <v>26</v>
      </c>
      <c r="F2489" s="8" t="str">
        <f aca="false">TEXT(A2489,"MM-YYYY")</f>
        <v>06-2025</v>
      </c>
      <c r="G2489" s="21" t="s">
        <v>14</v>
      </c>
      <c r="H2489" s="8" t="s">
        <v>13</v>
      </c>
      <c r="I2489" s="7" t="n">
        <v>45871</v>
      </c>
      <c r="J2489" s="8" t="str">
        <f aca="false">VLOOKUP(B2489, Table3[#All], 2, FALSE())</f>
        <v>Inventory</v>
      </c>
      <c r="K2489" s="8" t="str">
        <f aca="false">TEXT(ROW(), "0000")</f>
        <v>2489</v>
      </c>
      <c r="L2489" s="8"/>
    </row>
    <row r="2490" customFormat="false" ht="15.75" hidden="false" customHeight="true" outlineLevel="0" collapsed="false">
      <c r="A2490" s="7" t="n">
        <v>45833</v>
      </c>
      <c r="B2490" s="8" t="s">
        <v>22</v>
      </c>
      <c r="C2490" s="9" t="n">
        <v>3828</v>
      </c>
      <c r="D2490" s="8" t="s">
        <v>13</v>
      </c>
      <c r="E2490" s="10" t="s">
        <v>23</v>
      </c>
      <c r="F2490" s="8" t="str">
        <f aca="false">TEXT(A2490,"MM-YYYY")</f>
        <v>06-2025</v>
      </c>
      <c r="G2490" s="8" t="s">
        <v>14</v>
      </c>
      <c r="H2490" s="8" t="s">
        <v>13</v>
      </c>
      <c r="I2490" s="7" t="n">
        <v>45836</v>
      </c>
      <c r="J2490" s="8" t="str">
        <f aca="false">VLOOKUP(B2490, Table3[#All], 2, FALSE())</f>
        <v>Inventory</v>
      </c>
      <c r="K2490" s="8" t="str">
        <f aca="false">TEXT(ROW(), "0000")</f>
        <v>2490</v>
      </c>
      <c r="L2490" s="8"/>
    </row>
    <row r="2491" customFormat="false" ht="15.75" hidden="false" customHeight="true" outlineLevel="0" collapsed="false">
      <c r="A2491" s="7" t="n">
        <v>45833</v>
      </c>
      <c r="B2491" s="8" t="s">
        <v>22</v>
      </c>
      <c r="C2491" s="9" t="n">
        <v>110</v>
      </c>
      <c r="D2491" s="8" t="s">
        <v>45</v>
      </c>
      <c r="E2491" s="10" t="s">
        <v>213</v>
      </c>
      <c r="F2491" s="8" t="str">
        <f aca="false">TEXT(A2491,"MM-YYYY")</f>
        <v>06-2025</v>
      </c>
      <c r="G2491" s="8" t="s">
        <v>14</v>
      </c>
      <c r="H2491" s="8" t="s">
        <v>232</v>
      </c>
      <c r="I2491" s="7" t="n">
        <v>45833</v>
      </c>
      <c r="J2491" s="8" t="str">
        <f aca="false">VLOOKUP(B2491, Table3[#All], 2, FALSE())</f>
        <v>Inventory</v>
      </c>
      <c r="K2491" s="8" t="str">
        <f aca="false">TEXT(ROW(), "0000")</f>
        <v>2491</v>
      </c>
      <c r="L2491" s="8"/>
    </row>
    <row r="2492" customFormat="false" ht="15.75" hidden="false" customHeight="true" outlineLevel="0" collapsed="false">
      <c r="A2492" s="7" t="n">
        <v>45833</v>
      </c>
      <c r="B2492" s="8" t="s">
        <v>32</v>
      </c>
      <c r="C2492" s="9" t="n">
        <v>210</v>
      </c>
      <c r="D2492" s="8" t="s">
        <v>21</v>
      </c>
      <c r="E2492" s="10" t="s">
        <v>38</v>
      </c>
      <c r="F2492" s="8" t="str">
        <f aca="false">TEXT(A2492,"MM-YYYY")</f>
        <v>06-2025</v>
      </c>
      <c r="G2492" s="8" t="s">
        <v>14</v>
      </c>
      <c r="H2492" s="8" t="s">
        <v>15</v>
      </c>
      <c r="I2492" s="7" t="n">
        <v>45833</v>
      </c>
      <c r="J2492" s="8" t="str">
        <f aca="false">VLOOKUP(B2492, Table3[#All], 2, FALSE())</f>
        <v>Grocery</v>
      </c>
      <c r="K2492" s="8" t="str">
        <f aca="false">TEXT(ROW(), "0000")</f>
        <v>2492</v>
      </c>
      <c r="L2492" s="8"/>
    </row>
    <row r="2493" customFormat="false" ht="15.75" hidden="false" customHeight="true" outlineLevel="0" collapsed="false">
      <c r="A2493" s="7" t="n">
        <v>45833</v>
      </c>
      <c r="B2493" s="8" t="s">
        <v>50</v>
      </c>
      <c r="C2493" s="9" t="n">
        <v>1740</v>
      </c>
      <c r="D2493" s="8" t="s">
        <v>13</v>
      </c>
      <c r="E2493" s="10" t="s">
        <v>263</v>
      </c>
      <c r="F2493" s="8" t="str">
        <f aca="false">TEXT(A2493,"MM-YYYY")</f>
        <v>06-2025</v>
      </c>
      <c r="G2493" s="8" t="s">
        <v>14</v>
      </c>
      <c r="H2493" s="8" t="s">
        <v>13</v>
      </c>
      <c r="I2493" s="7" t="n">
        <v>45842</v>
      </c>
      <c r="J2493" s="8" t="str">
        <f aca="false">VLOOKUP(B2493, Table3[#All], 2, FALSE())</f>
        <v>Fixed Maintance</v>
      </c>
      <c r="K2493" s="8" t="str">
        <f aca="false">TEXT(ROW(), "0000")</f>
        <v>2493</v>
      </c>
      <c r="L2493" s="8"/>
    </row>
    <row r="2494" customFormat="false" ht="15.75" hidden="false" customHeight="true" outlineLevel="0" collapsed="false">
      <c r="A2494" s="7" t="n">
        <v>45833</v>
      </c>
      <c r="B2494" s="8" t="s">
        <v>60</v>
      </c>
      <c r="C2494" s="9" t="n">
        <v>70</v>
      </c>
      <c r="D2494" s="8" t="s">
        <v>45</v>
      </c>
      <c r="E2494" s="10" t="s">
        <v>245</v>
      </c>
      <c r="F2494" s="8" t="str">
        <f aca="false">TEXT(A2494,"MM-YYYY")</f>
        <v>06-2025</v>
      </c>
      <c r="G2494" s="8" t="s">
        <v>14</v>
      </c>
      <c r="H2494" s="8" t="s">
        <v>232</v>
      </c>
      <c r="I2494" s="7" t="n">
        <v>45833</v>
      </c>
      <c r="J2494" s="8" t="str">
        <f aca="false">VLOOKUP(B2494, Table3[#All], 2, FALSE())</f>
        <v>Inventory</v>
      </c>
      <c r="K2494" s="8" t="str">
        <f aca="false">TEXT(ROW(), "0000")</f>
        <v>2494</v>
      </c>
      <c r="L2494" s="8"/>
    </row>
    <row r="2495" customFormat="false" ht="15.75" hidden="false" customHeight="true" outlineLevel="0" collapsed="false">
      <c r="A2495" s="7" t="n">
        <v>45833</v>
      </c>
      <c r="B2495" s="8" t="s">
        <v>29</v>
      </c>
      <c r="C2495" s="9" t="n">
        <v>710</v>
      </c>
      <c r="D2495" s="8" t="s">
        <v>13</v>
      </c>
      <c r="E2495" s="10" t="s">
        <v>302</v>
      </c>
      <c r="F2495" s="8" t="str">
        <f aca="false">TEXT(A2495,"MM-YYYY")</f>
        <v>06-2025</v>
      </c>
      <c r="G2495" s="8" t="s">
        <v>14</v>
      </c>
      <c r="H2495" s="8" t="s">
        <v>13</v>
      </c>
      <c r="I2495" s="7" t="n">
        <v>45839</v>
      </c>
      <c r="J2495" s="8" t="str">
        <f aca="false">VLOOKUP(B2495, Table3[#All], 2, FALSE())</f>
        <v>Inventory</v>
      </c>
      <c r="K2495" s="8" t="str">
        <f aca="false">TEXT(ROW(), "0000")</f>
        <v>2495</v>
      </c>
      <c r="L2495" s="8"/>
    </row>
    <row r="2496" customFormat="false" ht="15.75" hidden="false" customHeight="true" outlineLevel="0" collapsed="false">
      <c r="A2496" s="7" t="n">
        <v>45833</v>
      </c>
      <c r="B2496" s="8" t="s">
        <v>16</v>
      </c>
      <c r="C2496" s="9" t="n">
        <v>3117</v>
      </c>
      <c r="D2496" s="8" t="s">
        <v>21</v>
      </c>
      <c r="E2496" s="10" t="s">
        <v>88</v>
      </c>
      <c r="F2496" s="8" t="str">
        <f aca="false">TEXT(A2496,"MM-YYYY")</f>
        <v>06-2025</v>
      </c>
      <c r="G2496" s="8"/>
      <c r="H2496" s="8"/>
      <c r="I2496" s="7"/>
      <c r="J2496" s="8" t="str">
        <f aca="false">VLOOKUP(B2496, Table3[#All], 2, FALSE())</f>
        <v>Sales</v>
      </c>
      <c r="K2496" s="8" t="str">
        <f aca="false">TEXT(ROW(), "0000")</f>
        <v>2496</v>
      </c>
      <c r="L2496" s="8"/>
    </row>
    <row r="2497" customFormat="false" ht="15.75" hidden="false" customHeight="true" outlineLevel="0" collapsed="false">
      <c r="A2497" s="7" t="n">
        <v>45833</v>
      </c>
      <c r="B2497" s="8" t="s">
        <v>16</v>
      </c>
      <c r="C2497" s="9" t="n">
        <v>1143</v>
      </c>
      <c r="D2497" s="8" t="s">
        <v>33</v>
      </c>
      <c r="E2497" s="10" t="s">
        <v>88</v>
      </c>
      <c r="F2497" s="8" t="str">
        <f aca="false">TEXT(A2497,"MM-YYYY")</f>
        <v>06-2025</v>
      </c>
      <c r="G2497" s="8"/>
      <c r="H2497" s="8"/>
      <c r="I2497" s="7"/>
      <c r="J2497" s="8" t="str">
        <f aca="false">VLOOKUP(B2497, Table3[#All], 2, FALSE())</f>
        <v>Sales</v>
      </c>
      <c r="K2497" s="8" t="str">
        <f aca="false">TEXT(ROW(), "0000")</f>
        <v>2497</v>
      </c>
      <c r="L2497" s="8"/>
    </row>
    <row r="2498" customFormat="false" ht="15.75" hidden="false" customHeight="true" outlineLevel="0" collapsed="false">
      <c r="A2498" s="7" t="n">
        <v>45833</v>
      </c>
      <c r="B2498" s="8" t="s">
        <v>16</v>
      </c>
      <c r="C2498" s="9" t="n">
        <v>9159</v>
      </c>
      <c r="D2498" s="8" t="s">
        <v>17</v>
      </c>
      <c r="E2498" s="10" t="s">
        <v>88</v>
      </c>
      <c r="F2498" s="8" t="str">
        <f aca="false">TEXT(A2498,"MM-YYYY")</f>
        <v>06-2025</v>
      </c>
      <c r="G2498" s="8"/>
      <c r="H2498" s="8"/>
      <c r="I2498" s="7"/>
      <c r="J2498" s="8" t="str">
        <f aca="false">VLOOKUP(B2498, Table3[#All], 2, FALSE())</f>
        <v>Sales</v>
      </c>
      <c r="K2498" s="8" t="str">
        <f aca="false">TEXT(ROW(), "0000")</f>
        <v>2498</v>
      </c>
      <c r="L2498" s="8"/>
    </row>
    <row r="2499" customFormat="false" ht="15.75" hidden="false" customHeight="true" outlineLevel="0" collapsed="false">
      <c r="A2499" s="7" t="n">
        <v>45833</v>
      </c>
      <c r="B2499" s="8" t="s">
        <v>16</v>
      </c>
      <c r="C2499" s="9" t="n">
        <v>888</v>
      </c>
      <c r="D2499" s="8" t="s">
        <v>59</v>
      </c>
      <c r="E2499" s="10" t="s">
        <v>88</v>
      </c>
      <c r="F2499" s="8" t="str">
        <f aca="false">TEXT(A2499,"MM-YYYY")</f>
        <v>06-2025</v>
      </c>
      <c r="G2499" s="8"/>
      <c r="H2499" s="8"/>
      <c r="I2499" s="7"/>
      <c r="J2499" s="8" t="str">
        <f aca="false">VLOOKUP(B2499, Table3[#All], 2, FALSE())</f>
        <v>Sales</v>
      </c>
      <c r="K2499" s="8" t="str">
        <f aca="false">TEXT(ROW(), "0000")</f>
        <v>2499</v>
      </c>
      <c r="L2499" s="8"/>
    </row>
    <row r="2500" customFormat="false" ht="15.75" hidden="false" customHeight="true" outlineLevel="0" collapsed="false">
      <c r="A2500" s="7" t="n">
        <v>45833</v>
      </c>
      <c r="B2500" s="8" t="s">
        <v>16</v>
      </c>
      <c r="C2500" s="9" t="n">
        <v>2760</v>
      </c>
      <c r="D2500" s="8" t="s">
        <v>24</v>
      </c>
      <c r="E2500" s="10" t="s">
        <v>217</v>
      </c>
      <c r="F2500" s="8" t="str">
        <f aca="false">TEXT(A2500,"MM-YYYY")</f>
        <v>06-2025</v>
      </c>
      <c r="G2500" s="8"/>
      <c r="H2500" s="8"/>
      <c r="I2500" s="7"/>
      <c r="J2500" s="8" t="str">
        <f aca="false">VLOOKUP(B2500, Table3[#All], 2, FALSE())</f>
        <v>Sales</v>
      </c>
      <c r="K2500" s="8" t="str">
        <f aca="false">TEXT(ROW(), "0000")</f>
        <v>2500</v>
      </c>
      <c r="L2500" s="8"/>
    </row>
    <row r="2501" customFormat="false" ht="15.75" hidden="false" customHeight="true" outlineLevel="0" collapsed="false">
      <c r="A2501" s="7" t="n">
        <v>45833</v>
      </c>
      <c r="B2501" s="8" t="s">
        <v>37</v>
      </c>
      <c r="C2501" s="9" t="n">
        <v>7</v>
      </c>
      <c r="D2501" s="8" t="s">
        <v>21</v>
      </c>
      <c r="E2501" s="10" t="s">
        <v>37</v>
      </c>
      <c r="F2501" s="8" t="str">
        <f aca="false">TEXT(A2501,"MM-YYYY")</f>
        <v>06-2025</v>
      </c>
      <c r="G2501" s="8" t="s">
        <v>14</v>
      </c>
      <c r="H2501" s="8" t="s">
        <v>15</v>
      </c>
      <c r="I2501" s="7" t="n">
        <v>45833</v>
      </c>
      <c r="J2501" s="8" t="str">
        <f aca="false">VLOOKUP(B2501, Table3[#All], 2, FALSE())</f>
        <v>Maintance</v>
      </c>
      <c r="K2501" s="8" t="str">
        <f aca="false">TEXT(ROW(), "0000")</f>
        <v>2501</v>
      </c>
      <c r="L2501" s="8"/>
    </row>
    <row r="2502" customFormat="false" ht="15.75" hidden="false" customHeight="true" outlineLevel="0" collapsed="false">
      <c r="A2502" s="7" t="n">
        <v>45833</v>
      </c>
      <c r="B2502" s="8" t="s">
        <v>34</v>
      </c>
      <c r="C2502" s="9" t="n">
        <v>120</v>
      </c>
      <c r="D2502" s="8" t="s">
        <v>45</v>
      </c>
      <c r="E2502" s="10" t="s">
        <v>274</v>
      </c>
      <c r="F2502" s="8" t="str">
        <f aca="false">TEXT(A2502,"MM-YYYY")</f>
        <v>06-2025</v>
      </c>
      <c r="G2502" s="8" t="s">
        <v>14</v>
      </c>
      <c r="H2502" s="8" t="s">
        <v>232</v>
      </c>
      <c r="I2502" s="7" t="n">
        <v>45833</v>
      </c>
      <c r="J2502" s="8" t="str">
        <f aca="false">VLOOKUP(B2502, Table3[#All], 2, FALSE())</f>
        <v>Staff Expenses</v>
      </c>
      <c r="K2502" s="8" t="str">
        <f aca="false">TEXT(ROW(), "0000")</f>
        <v>2502</v>
      </c>
      <c r="L2502" s="8"/>
    </row>
    <row r="2503" customFormat="false" ht="15.75" hidden="false" customHeight="true" outlineLevel="0" collapsed="false">
      <c r="A2503" s="7" t="n">
        <v>45833</v>
      </c>
      <c r="B2503" s="8" t="s">
        <v>43</v>
      </c>
      <c r="C2503" s="9" t="n">
        <v>4000</v>
      </c>
      <c r="D2503" s="8" t="s">
        <v>45</v>
      </c>
      <c r="E2503" s="10" t="s">
        <v>345</v>
      </c>
      <c r="F2503" s="8" t="str">
        <f aca="false">TEXT(A2503,"MM-YYYY")</f>
        <v>06-2025</v>
      </c>
      <c r="G2503" s="8" t="s">
        <v>14</v>
      </c>
      <c r="H2503" s="8" t="s">
        <v>232</v>
      </c>
      <c r="I2503" s="7" t="n">
        <v>45833</v>
      </c>
      <c r="J2503" s="8" t="str">
        <f aca="false">VLOOKUP(B2503, Table3[#All], 2, FALSE())</f>
        <v>Maintance</v>
      </c>
      <c r="K2503" s="8" t="str">
        <f aca="false">TEXT(ROW(), "0000")</f>
        <v>2503</v>
      </c>
      <c r="L2503" s="8"/>
    </row>
    <row r="2504" customFormat="false" ht="15.75" hidden="false" customHeight="true" outlineLevel="0" collapsed="false">
      <c r="A2504" s="7" t="n">
        <v>45834</v>
      </c>
      <c r="B2504" s="8" t="s">
        <v>25</v>
      </c>
      <c r="C2504" s="9" t="n">
        <v>1119</v>
      </c>
      <c r="D2504" s="8" t="s">
        <v>13</v>
      </c>
      <c r="E2504" s="10" t="s">
        <v>26</v>
      </c>
      <c r="F2504" s="8" t="str">
        <f aca="false">TEXT(A2504,"MM-YYYY")</f>
        <v>06-2025</v>
      </c>
      <c r="G2504" s="21" t="s">
        <v>14</v>
      </c>
      <c r="H2504" s="8" t="s">
        <v>13</v>
      </c>
      <c r="I2504" s="7" t="n">
        <v>45871</v>
      </c>
      <c r="J2504" s="8" t="str">
        <f aca="false">VLOOKUP(B2504, Table3[#All], 2, FALSE())</f>
        <v>Inventory</v>
      </c>
      <c r="K2504" s="8" t="str">
        <f aca="false">TEXT(ROW(), "0000")</f>
        <v>2504</v>
      </c>
      <c r="L2504" s="8"/>
    </row>
    <row r="2505" customFormat="false" ht="15.75" hidden="false" customHeight="true" outlineLevel="0" collapsed="false">
      <c r="A2505" s="7" t="n">
        <v>45834</v>
      </c>
      <c r="B2505" s="8" t="s">
        <v>22</v>
      </c>
      <c r="C2505" s="9" t="n">
        <v>2505</v>
      </c>
      <c r="D2505" s="8" t="s">
        <v>13</v>
      </c>
      <c r="E2505" s="10" t="s">
        <v>23</v>
      </c>
      <c r="F2505" s="8" t="str">
        <f aca="false">TEXT(A2505,"MM-YYYY")</f>
        <v>06-2025</v>
      </c>
      <c r="G2505" s="8" t="s">
        <v>14</v>
      </c>
      <c r="H2505" s="8" t="s">
        <v>13</v>
      </c>
      <c r="I2505" s="7" t="n">
        <v>45837</v>
      </c>
      <c r="J2505" s="8" t="str">
        <f aca="false">VLOOKUP(B2505, Table3[#All], 2, FALSE())</f>
        <v>Inventory</v>
      </c>
      <c r="K2505" s="8" t="str">
        <f aca="false">TEXT(ROW(), "0000")</f>
        <v>2505</v>
      </c>
      <c r="L2505" s="8"/>
    </row>
    <row r="2506" customFormat="false" ht="15.75" hidden="false" customHeight="true" outlineLevel="0" collapsed="false">
      <c r="A2506" s="7" t="n">
        <v>45834</v>
      </c>
      <c r="B2506" s="8" t="s">
        <v>19</v>
      </c>
      <c r="C2506" s="9" t="n">
        <v>2814</v>
      </c>
      <c r="D2506" s="8" t="s">
        <v>13</v>
      </c>
      <c r="E2506" s="10" t="s">
        <v>20</v>
      </c>
      <c r="F2506" s="8" t="str">
        <f aca="false">TEXT(A2506,"MM-YYYY")</f>
        <v>06-2025</v>
      </c>
      <c r="G2506" s="8" t="s">
        <v>14</v>
      </c>
      <c r="H2506" s="8" t="s">
        <v>13</v>
      </c>
      <c r="I2506" s="7" t="n">
        <v>45837</v>
      </c>
      <c r="J2506" s="8" t="str">
        <f aca="false">VLOOKUP(B2506, Table3[#All], 2, FALSE())</f>
        <v>Inventory</v>
      </c>
      <c r="K2506" s="8" t="str">
        <f aca="false">TEXT(ROW(), "0000")</f>
        <v>2506</v>
      </c>
      <c r="L2506" s="8"/>
    </row>
    <row r="2507" customFormat="false" ht="15.75" hidden="false" customHeight="true" outlineLevel="0" collapsed="false">
      <c r="A2507" s="7" t="n">
        <v>45834</v>
      </c>
      <c r="B2507" s="8" t="s">
        <v>28</v>
      </c>
      <c r="C2507" s="9" t="n">
        <v>1090</v>
      </c>
      <c r="D2507" s="8" t="s">
        <v>45</v>
      </c>
      <c r="E2507" s="10" t="s">
        <v>93</v>
      </c>
      <c r="F2507" s="8" t="str">
        <f aca="false">TEXT(A2507,"MM-YYYY")</f>
        <v>06-2025</v>
      </c>
      <c r="G2507" s="8" t="s">
        <v>14</v>
      </c>
      <c r="H2507" s="8" t="s">
        <v>232</v>
      </c>
      <c r="I2507" s="7" t="n">
        <v>45834</v>
      </c>
      <c r="J2507" s="8" t="str">
        <f aca="false">VLOOKUP(B2507, Table3[#All], 2, FALSE())</f>
        <v>Grocery</v>
      </c>
      <c r="K2507" s="8" t="str">
        <f aca="false">TEXT(ROW(), "0000")</f>
        <v>2507</v>
      </c>
      <c r="L2507" s="8"/>
    </row>
    <row r="2508" customFormat="false" ht="15.75" hidden="false" customHeight="true" outlineLevel="0" collapsed="false">
      <c r="A2508" s="7" t="n">
        <v>45834</v>
      </c>
      <c r="B2508" s="8" t="s">
        <v>43</v>
      </c>
      <c r="C2508" s="9" t="n">
        <v>1190</v>
      </c>
      <c r="D2508" s="8" t="s">
        <v>45</v>
      </c>
      <c r="E2508" s="10" t="s">
        <v>346</v>
      </c>
      <c r="F2508" s="8" t="str">
        <f aca="false">TEXT(A2508,"MM-YYYY")</f>
        <v>06-2025</v>
      </c>
      <c r="G2508" s="8" t="s">
        <v>14</v>
      </c>
      <c r="H2508" s="8" t="s">
        <v>232</v>
      </c>
      <c r="I2508" s="7" t="n">
        <v>45834</v>
      </c>
      <c r="J2508" s="8" t="str">
        <f aca="false">VLOOKUP(B2508, Table3[#All], 2, FALSE())</f>
        <v>Maintance</v>
      </c>
      <c r="K2508" s="8" t="str">
        <f aca="false">TEXT(ROW(), "0000")</f>
        <v>2508</v>
      </c>
      <c r="L2508" s="8"/>
    </row>
    <row r="2509" customFormat="false" ht="15.75" hidden="false" customHeight="true" outlineLevel="0" collapsed="false">
      <c r="A2509" s="7" t="n">
        <v>45834</v>
      </c>
      <c r="B2509" s="8" t="s">
        <v>44</v>
      </c>
      <c r="C2509" s="9" t="n">
        <v>250</v>
      </c>
      <c r="D2509" s="8" t="s">
        <v>45</v>
      </c>
      <c r="E2509" s="10" t="s">
        <v>316</v>
      </c>
      <c r="F2509" s="8" t="str">
        <f aca="false">TEXT(A2509,"MM-YYYY")</f>
        <v>06-2025</v>
      </c>
      <c r="G2509" s="8" t="s">
        <v>14</v>
      </c>
      <c r="H2509" s="8" t="s">
        <v>232</v>
      </c>
      <c r="I2509" s="7" t="n">
        <v>45834</v>
      </c>
      <c r="J2509" s="8" t="str">
        <f aca="false">VLOOKUP(B2509, Table3[#All], 2, FALSE())</f>
        <v>Salary</v>
      </c>
      <c r="K2509" s="8" t="str">
        <f aca="false">TEXT(ROW(), "0000")</f>
        <v>2509</v>
      </c>
      <c r="L2509" s="8"/>
    </row>
    <row r="2510" customFormat="false" ht="15.75" hidden="false" customHeight="true" outlineLevel="0" collapsed="false">
      <c r="A2510" s="7" t="n">
        <v>45834</v>
      </c>
      <c r="B2510" s="8" t="s">
        <v>56</v>
      </c>
      <c r="C2510" s="9" t="n">
        <v>5749</v>
      </c>
      <c r="D2510" s="8" t="s">
        <v>13</v>
      </c>
      <c r="E2510" s="8" t="s">
        <v>347</v>
      </c>
      <c r="F2510" s="8" t="str">
        <f aca="false">TEXT(A2510,"MM-YYYY")</f>
        <v>06-2025</v>
      </c>
      <c r="G2510" s="8" t="s">
        <v>14</v>
      </c>
      <c r="H2510" s="8" t="s">
        <v>262</v>
      </c>
      <c r="I2510" s="7" t="n">
        <v>45832</v>
      </c>
      <c r="J2510" s="8" t="str">
        <f aca="false">VLOOKUP(B2510, Table3[#All], 2, FALSE())</f>
        <v>New Inventory</v>
      </c>
      <c r="K2510" s="8" t="str">
        <f aca="false">TEXT(ROW(), "0000")</f>
        <v>2510</v>
      </c>
      <c r="L2510" s="8"/>
    </row>
    <row r="2511" customFormat="false" ht="15.75" hidden="false" customHeight="true" outlineLevel="0" collapsed="false">
      <c r="A2511" s="7" t="n">
        <v>45834</v>
      </c>
      <c r="B2511" s="8" t="s">
        <v>50</v>
      </c>
      <c r="C2511" s="9" t="n">
        <v>1740</v>
      </c>
      <c r="D2511" s="8" t="s">
        <v>13</v>
      </c>
      <c r="E2511" s="10" t="s">
        <v>263</v>
      </c>
      <c r="F2511" s="8" t="str">
        <f aca="false">TEXT(A2511,"MM-YYYY")</f>
        <v>06-2025</v>
      </c>
      <c r="G2511" s="8" t="s">
        <v>14</v>
      </c>
      <c r="H2511" s="8" t="s">
        <v>13</v>
      </c>
      <c r="I2511" s="7" t="n">
        <v>45842</v>
      </c>
      <c r="J2511" s="8" t="str">
        <f aca="false">VLOOKUP(B2511, Table3[#All], 2, FALSE())</f>
        <v>Fixed Maintance</v>
      </c>
      <c r="K2511" s="8" t="str">
        <f aca="false">TEXT(ROW(), "0000")</f>
        <v>2511</v>
      </c>
      <c r="L2511" s="8"/>
    </row>
    <row r="2512" customFormat="false" ht="15.75" hidden="false" customHeight="true" outlineLevel="0" collapsed="false">
      <c r="A2512" s="7" t="n">
        <v>45834</v>
      </c>
      <c r="B2512" s="8" t="s">
        <v>32</v>
      </c>
      <c r="C2512" s="9" t="n">
        <v>140</v>
      </c>
      <c r="D2512" s="8" t="s">
        <v>21</v>
      </c>
      <c r="E2512" s="10" t="s">
        <v>38</v>
      </c>
      <c r="F2512" s="8" t="str">
        <f aca="false">TEXT(A2512,"MM-YYYY")</f>
        <v>06-2025</v>
      </c>
      <c r="G2512" s="8" t="s">
        <v>14</v>
      </c>
      <c r="H2512" s="8" t="s">
        <v>15</v>
      </c>
      <c r="I2512" s="7" t="n">
        <v>45834</v>
      </c>
      <c r="J2512" s="8" t="str">
        <f aca="false">VLOOKUP(B2512, Table3[#All], 2, FALSE())</f>
        <v>Grocery</v>
      </c>
      <c r="K2512" s="8" t="str">
        <f aca="false">TEXT(ROW(), "0000")</f>
        <v>2512</v>
      </c>
      <c r="L2512" s="8"/>
    </row>
    <row r="2513" customFormat="false" ht="15.75" hidden="false" customHeight="true" outlineLevel="0" collapsed="false">
      <c r="A2513" s="7" t="n">
        <v>45834</v>
      </c>
      <c r="B2513" s="8" t="s">
        <v>29</v>
      </c>
      <c r="C2513" s="9" t="n">
        <v>371</v>
      </c>
      <c r="D2513" s="8" t="s">
        <v>13</v>
      </c>
      <c r="E2513" s="10" t="s">
        <v>302</v>
      </c>
      <c r="F2513" s="8" t="str">
        <f aca="false">TEXT(A2513,"MM-YYYY")</f>
        <v>06-2025</v>
      </c>
      <c r="G2513" s="8" t="s">
        <v>14</v>
      </c>
      <c r="H2513" s="8" t="s">
        <v>13</v>
      </c>
      <c r="I2513" s="7" t="n">
        <v>45839</v>
      </c>
      <c r="J2513" s="8" t="str">
        <f aca="false">VLOOKUP(B2513, Table3[#All], 2, FALSE())</f>
        <v>Inventory</v>
      </c>
      <c r="K2513" s="8" t="str">
        <f aca="false">TEXT(ROW(), "0000")</f>
        <v>2513</v>
      </c>
      <c r="L2513" s="8"/>
    </row>
    <row r="2514" customFormat="false" ht="15.75" hidden="false" customHeight="true" outlineLevel="0" collapsed="false">
      <c r="A2514" s="7" t="n">
        <v>45834</v>
      </c>
      <c r="B2514" s="8" t="s">
        <v>56</v>
      </c>
      <c r="C2514" s="9" t="n">
        <v>2500</v>
      </c>
      <c r="D2514" s="8" t="s">
        <v>45</v>
      </c>
      <c r="E2514" s="8" t="s">
        <v>348</v>
      </c>
      <c r="F2514" s="8" t="str">
        <f aca="false">TEXT(A2514,"MM-YYYY")</f>
        <v>06-2025</v>
      </c>
      <c r="G2514" s="8" t="s">
        <v>14</v>
      </c>
      <c r="H2514" s="8" t="s">
        <v>232</v>
      </c>
      <c r="I2514" s="7" t="n">
        <v>45834</v>
      </c>
      <c r="J2514" s="8" t="str">
        <f aca="false">VLOOKUP(B2514, Table3[#All], 2, FALSE())</f>
        <v>New Inventory</v>
      </c>
      <c r="K2514" s="8" t="str">
        <f aca="false">TEXT(ROW(), "0000")</f>
        <v>2514</v>
      </c>
      <c r="L2514" s="8"/>
    </row>
    <row r="2515" customFormat="false" ht="15.75" hidden="false" customHeight="true" outlineLevel="0" collapsed="false">
      <c r="A2515" s="7" t="n">
        <v>45834</v>
      </c>
      <c r="B2515" s="8" t="s">
        <v>31</v>
      </c>
      <c r="C2515" s="9" t="n">
        <v>200</v>
      </c>
      <c r="D2515" s="8" t="s">
        <v>45</v>
      </c>
      <c r="E2515" s="10" t="s">
        <v>236</v>
      </c>
      <c r="F2515" s="8" t="str">
        <f aca="false">TEXT(A2515,"MM-YYYY")</f>
        <v>06-2025</v>
      </c>
      <c r="G2515" s="8" t="s">
        <v>14</v>
      </c>
      <c r="H2515" s="8" t="s">
        <v>232</v>
      </c>
      <c r="I2515" s="7" t="n">
        <v>45834</v>
      </c>
      <c r="J2515" s="8" t="str">
        <f aca="false">VLOOKUP(B2515, Table3[#All], 2, FALSE())</f>
        <v>Bike Maintance</v>
      </c>
      <c r="K2515" s="8" t="str">
        <f aca="false">TEXT(ROW(), "0000")</f>
        <v>2515</v>
      </c>
      <c r="L2515" s="8"/>
    </row>
    <row r="2516" customFormat="false" ht="15.75" hidden="false" customHeight="true" outlineLevel="0" collapsed="false">
      <c r="A2516" s="7" t="n">
        <v>45834</v>
      </c>
      <c r="B2516" s="8" t="s">
        <v>16</v>
      </c>
      <c r="C2516" s="9" t="n">
        <v>4255</v>
      </c>
      <c r="D2516" s="8" t="s">
        <v>21</v>
      </c>
      <c r="E2516" s="10" t="s">
        <v>88</v>
      </c>
      <c r="F2516" s="8" t="str">
        <f aca="false">TEXT(A2516,"MM-YYYY")</f>
        <v>06-2025</v>
      </c>
      <c r="G2516" s="8"/>
      <c r="H2516" s="8"/>
      <c r="I2516" s="7"/>
      <c r="J2516" s="8" t="str">
        <f aca="false">VLOOKUP(B2516, Table3[#All], 2, FALSE())</f>
        <v>Sales</v>
      </c>
      <c r="K2516" s="8" t="str">
        <f aca="false">TEXT(ROW(), "0000")</f>
        <v>2516</v>
      </c>
      <c r="L2516" s="8"/>
    </row>
    <row r="2517" customFormat="false" ht="15.75" hidden="false" customHeight="true" outlineLevel="0" collapsed="false">
      <c r="A2517" s="7" t="n">
        <v>45834</v>
      </c>
      <c r="B2517" s="8" t="s">
        <v>16</v>
      </c>
      <c r="C2517" s="9" t="n">
        <v>595</v>
      </c>
      <c r="D2517" s="8" t="s">
        <v>33</v>
      </c>
      <c r="E2517" s="10" t="s">
        <v>88</v>
      </c>
      <c r="F2517" s="8" t="str">
        <f aca="false">TEXT(A2517,"MM-YYYY")</f>
        <v>06-2025</v>
      </c>
      <c r="G2517" s="8"/>
      <c r="H2517" s="8"/>
      <c r="I2517" s="7"/>
      <c r="J2517" s="8" t="str">
        <f aca="false">VLOOKUP(B2517, Table3[#All], 2, FALSE())</f>
        <v>Sales</v>
      </c>
      <c r="K2517" s="8" t="str">
        <f aca="false">TEXT(ROW(), "0000")</f>
        <v>2517</v>
      </c>
      <c r="L2517" s="8"/>
    </row>
    <row r="2518" customFormat="false" ht="15.75" hidden="false" customHeight="true" outlineLevel="0" collapsed="false">
      <c r="A2518" s="7" t="n">
        <v>45834</v>
      </c>
      <c r="B2518" s="8" t="s">
        <v>16</v>
      </c>
      <c r="C2518" s="9" t="n">
        <v>11714</v>
      </c>
      <c r="D2518" s="8" t="s">
        <v>17</v>
      </c>
      <c r="E2518" s="10" t="s">
        <v>88</v>
      </c>
      <c r="F2518" s="8" t="str">
        <f aca="false">TEXT(A2518,"MM-YYYY")</f>
        <v>06-2025</v>
      </c>
      <c r="G2518" s="8"/>
      <c r="H2518" s="8"/>
      <c r="I2518" s="7"/>
      <c r="J2518" s="8" t="str">
        <f aca="false">VLOOKUP(B2518, Table3[#All], 2, FALSE())</f>
        <v>Sales</v>
      </c>
      <c r="K2518" s="8" t="str">
        <f aca="false">TEXT(ROW(), "0000")</f>
        <v>2518</v>
      </c>
      <c r="L2518" s="8"/>
    </row>
    <row r="2519" customFormat="false" ht="15.75" hidden="false" customHeight="true" outlineLevel="0" collapsed="false">
      <c r="A2519" s="7" t="n">
        <v>45834</v>
      </c>
      <c r="B2519" s="8" t="s">
        <v>16</v>
      </c>
      <c r="C2519" s="9" t="n">
        <v>1099</v>
      </c>
      <c r="D2519" s="8" t="s">
        <v>59</v>
      </c>
      <c r="E2519" s="10" t="s">
        <v>88</v>
      </c>
      <c r="F2519" s="8" t="str">
        <f aca="false">TEXT(A2519,"MM-YYYY")</f>
        <v>06-2025</v>
      </c>
      <c r="G2519" s="8"/>
      <c r="H2519" s="8"/>
      <c r="I2519" s="7"/>
      <c r="J2519" s="8" t="str">
        <f aca="false">VLOOKUP(B2519, Table3[#All], 2, FALSE())</f>
        <v>Sales</v>
      </c>
      <c r="K2519" s="8" t="str">
        <f aca="false">TEXT(ROW(), "0000")</f>
        <v>2519</v>
      </c>
      <c r="L2519" s="8"/>
    </row>
    <row r="2520" customFormat="false" ht="15.75" hidden="false" customHeight="true" outlineLevel="0" collapsed="false">
      <c r="A2520" s="7" t="n">
        <v>45834</v>
      </c>
      <c r="B2520" s="8" t="s">
        <v>16</v>
      </c>
      <c r="C2520" s="9" t="n">
        <v>2663</v>
      </c>
      <c r="D2520" s="8" t="s">
        <v>24</v>
      </c>
      <c r="E2520" s="10" t="s">
        <v>217</v>
      </c>
      <c r="F2520" s="8" t="str">
        <f aca="false">TEXT(A2520,"MM-YYYY")</f>
        <v>06-2025</v>
      </c>
      <c r="G2520" s="8"/>
      <c r="H2520" s="8"/>
      <c r="I2520" s="7"/>
      <c r="J2520" s="8" t="str">
        <f aca="false">VLOOKUP(B2520, Table3[#All], 2, FALSE())</f>
        <v>Sales</v>
      </c>
      <c r="K2520" s="8" t="str">
        <f aca="false">TEXT(ROW(), "0000")</f>
        <v>2520</v>
      </c>
      <c r="L2520" s="8"/>
    </row>
    <row r="2521" customFormat="false" ht="15.75" hidden="false" customHeight="true" outlineLevel="0" collapsed="false">
      <c r="A2521" s="7" t="n">
        <v>45834</v>
      </c>
      <c r="B2521" s="8" t="s">
        <v>16</v>
      </c>
      <c r="C2521" s="9" t="n">
        <v>250</v>
      </c>
      <c r="D2521" s="8" t="s">
        <v>27</v>
      </c>
      <c r="E2521" s="10" t="s">
        <v>88</v>
      </c>
      <c r="F2521" s="8" t="str">
        <f aca="false">TEXT(A2521,"MM-YYYY")</f>
        <v>06-2025</v>
      </c>
      <c r="G2521" s="8"/>
      <c r="H2521" s="8"/>
      <c r="I2521" s="7"/>
      <c r="J2521" s="8" t="str">
        <f aca="false">VLOOKUP(B2521, Table3[#All], 2, FALSE())</f>
        <v>Sales</v>
      </c>
      <c r="K2521" s="8" t="str">
        <f aca="false">TEXT(ROW(), "0000")</f>
        <v>2521</v>
      </c>
      <c r="L2521" s="8"/>
    </row>
    <row r="2522" customFormat="false" ht="15.75" hidden="false" customHeight="true" outlineLevel="0" collapsed="false">
      <c r="A2522" s="7" t="n">
        <v>45834</v>
      </c>
      <c r="B2522" s="8" t="s">
        <v>37</v>
      </c>
      <c r="C2522" s="9" t="n">
        <v>15</v>
      </c>
      <c r="D2522" s="8" t="s">
        <v>21</v>
      </c>
      <c r="E2522" s="10" t="s">
        <v>37</v>
      </c>
      <c r="F2522" s="8" t="str">
        <f aca="false">TEXT(A2522,"MM-YYYY")</f>
        <v>06-2025</v>
      </c>
      <c r="G2522" s="8" t="s">
        <v>14</v>
      </c>
      <c r="H2522" s="8" t="s">
        <v>232</v>
      </c>
      <c r="I2522" s="7" t="n">
        <v>45834</v>
      </c>
      <c r="J2522" s="8" t="str">
        <f aca="false">VLOOKUP(B2522, Table3[#All], 2, FALSE())</f>
        <v>Maintance</v>
      </c>
      <c r="K2522" s="8" t="str">
        <f aca="false">TEXT(ROW(), "0000")</f>
        <v>2522</v>
      </c>
      <c r="L2522" s="8"/>
    </row>
    <row r="2523" customFormat="false" ht="15.75" hidden="false" customHeight="true" outlineLevel="0" collapsed="false">
      <c r="A2523" s="7" t="n">
        <v>45834</v>
      </c>
      <c r="B2523" s="8" t="s">
        <v>34</v>
      </c>
      <c r="C2523" s="9" t="n">
        <v>170</v>
      </c>
      <c r="D2523" s="8" t="s">
        <v>45</v>
      </c>
      <c r="E2523" s="10" t="s">
        <v>274</v>
      </c>
      <c r="F2523" s="8" t="str">
        <f aca="false">TEXT(A2523,"MM-YYYY")</f>
        <v>06-2025</v>
      </c>
      <c r="G2523" s="8" t="s">
        <v>14</v>
      </c>
      <c r="H2523" s="8" t="s">
        <v>232</v>
      </c>
      <c r="I2523" s="7" t="n">
        <v>45834</v>
      </c>
      <c r="J2523" s="8" t="str">
        <f aca="false">VLOOKUP(B2523, Table3[#All], 2, FALSE())</f>
        <v>Staff Expenses</v>
      </c>
      <c r="K2523" s="8" t="str">
        <f aca="false">TEXT(ROW(), "0000")</f>
        <v>2523</v>
      </c>
      <c r="L2523" s="8"/>
    </row>
    <row r="2524" customFormat="false" ht="15.75" hidden="false" customHeight="true" outlineLevel="0" collapsed="false">
      <c r="A2524" s="7" t="n">
        <v>45835</v>
      </c>
      <c r="B2524" s="8" t="s">
        <v>25</v>
      </c>
      <c r="C2524" s="9" t="n">
        <v>755</v>
      </c>
      <c r="D2524" s="8" t="s">
        <v>13</v>
      </c>
      <c r="E2524" s="10" t="s">
        <v>26</v>
      </c>
      <c r="F2524" s="8" t="str">
        <f aca="false">TEXT(A2524,"MM-YYYY")</f>
        <v>06-2025</v>
      </c>
      <c r="G2524" s="21" t="s">
        <v>14</v>
      </c>
      <c r="H2524" s="8" t="s">
        <v>13</v>
      </c>
      <c r="I2524" s="7" t="n">
        <v>45871</v>
      </c>
      <c r="J2524" s="8" t="str">
        <f aca="false">VLOOKUP(B2524, Table3[#All], 2, FALSE())</f>
        <v>Inventory</v>
      </c>
      <c r="K2524" s="8" t="str">
        <f aca="false">TEXT(ROW(), "0000")</f>
        <v>2524</v>
      </c>
      <c r="L2524" s="8"/>
    </row>
    <row r="2525" customFormat="false" ht="15.75" hidden="false" customHeight="true" outlineLevel="0" collapsed="false">
      <c r="A2525" s="7" t="n">
        <v>45835</v>
      </c>
      <c r="B2525" s="8" t="s">
        <v>47</v>
      </c>
      <c r="C2525" s="9" t="n">
        <v>1680</v>
      </c>
      <c r="D2525" s="8" t="s">
        <v>13</v>
      </c>
      <c r="E2525" s="10" t="s">
        <v>339</v>
      </c>
      <c r="F2525" s="8" t="str">
        <f aca="false">TEXT(A2525,"MM-YYYY")</f>
        <v>06-2025</v>
      </c>
      <c r="G2525" s="8" t="s">
        <v>14</v>
      </c>
      <c r="H2525" s="8" t="s">
        <v>13</v>
      </c>
      <c r="I2525" s="7" t="n">
        <v>45843</v>
      </c>
      <c r="J2525" s="8" t="str">
        <f aca="false">VLOOKUP(B2525, Table3[#All], 2, FALSE())</f>
        <v>Inventory</v>
      </c>
      <c r="K2525" s="8" t="str">
        <f aca="false">TEXT(ROW(), "0000")</f>
        <v>2525</v>
      </c>
      <c r="L2525" s="8"/>
    </row>
    <row r="2526" customFormat="false" ht="15.75" hidden="false" customHeight="true" outlineLevel="0" collapsed="false">
      <c r="A2526" s="7" t="n">
        <v>45835</v>
      </c>
      <c r="B2526" s="8" t="s">
        <v>32</v>
      </c>
      <c r="C2526" s="9" t="n">
        <v>210</v>
      </c>
      <c r="D2526" s="8" t="s">
        <v>21</v>
      </c>
      <c r="E2526" s="10" t="s">
        <v>38</v>
      </c>
      <c r="F2526" s="8" t="str">
        <f aca="false">TEXT(A2526,"MM-YYYY")</f>
        <v>06-2025</v>
      </c>
      <c r="G2526" s="8" t="s">
        <v>14</v>
      </c>
      <c r="H2526" s="8" t="s">
        <v>15</v>
      </c>
      <c r="I2526" s="7" t="n">
        <v>45835</v>
      </c>
      <c r="J2526" s="8" t="str">
        <f aca="false">VLOOKUP(B2526, Table3[#All], 2, FALSE())</f>
        <v>Grocery</v>
      </c>
      <c r="K2526" s="8" t="str">
        <f aca="false">TEXT(ROW(), "0000")</f>
        <v>2526</v>
      </c>
      <c r="L2526" s="8"/>
    </row>
    <row r="2527" customFormat="false" ht="15.75" hidden="false" customHeight="true" outlineLevel="0" collapsed="false">
      <c r="A2527" s="7" t="n">
        <v>45835</v>
      </c>
      <c r="B2527" s="8" t="s">
        <v>43</v>
      </c>
      <c r="C2527" s="9" t="n">
        <v>510</v>
      </c>
      <c r="D2527" s="8" t="s">
        <v>45</v>
      </c>
      <c r="E2527" s="10" t="s">
        <v>349</v>
      </c>
      <c r="F2527" s="8" t="str">
        <f aca="false">TEXT(A2527,"MM-YYYY")</f>
        <v>06-2025</v>
      </c>
      <c r="G2527" s="8" t="s">
        <v>14</v>
      </c>
      <c r="H2527" s="8" t="s">
        <v>232</v>
      </c>
      <c r="I2527" s="7" t="n">
        <v>45835</v>
      </c>
      <c r="J2527" s="8" t="str">
        <f aca="false">VLOOKUP(B2527, Table3[#All], 2, FALSE())</f>
        <v>Maintance</v>
      </c>
      <c r="K2527" s="8" t="str">
        <f aca="false">TEXT(ROW(), "0000")</f>
        <v>2527</v>
      </c>
      <c r="L2527" s="8"/>
    </row>
    <row r="2528" customFormat="false" ht="15.75" hidden="false" customHeight="true" outlineLevel="0" collapsed="false">
      <c r="A2528" s="7" t="n">
        <v>45835</v>
      </c>
      <c r="B2528" s="8" t="s">
        <v>22</v>
      </c>
      <c r="C2528" s="9" t="n">
        <v>1006</v>
      </c>
      <c r="D2528" s="8" t="s">
        <v>13</v>
      </c>
      <c r="E2528" s="10" t="s">
        <v>23</v>
      </c>
      <c r="F2528" s="8" t="str">
        <f aca="false">TEXT(A2528,"MM-YYYY")</f>
        <v>06-2025</v>
      </c>
      <c r="G2528" s="8" t="s">
        <v>14</v>
      </c>
      <c r="H2528" s="8" t="s">
        <v>13</v>
      </c>
      <c r="I2528" s="7" t="n">
        <v>45837</v>
      </c>
      <c r="J2528" s="8" t="str">
        <f aca="false">VLOOKUP(B2528, Table3[#All], 2, FALSE())</f>
        <v>Inventory</v>
      </c>
      <c r="K2528" s="8" t="str">
        <f aca="false">TEXT(ROW(), "0000")</f>
        <v>2528</v>
      </c>
      <c r="L2528" s="8"/>
    </row>
    <row r="2529" customFormat="false" ht="15.75" hidden="false" customHeight="true" outlineLevel="0" collapsed="false">
      <c r="A2529" s="7" t="n">
        <v>45835</v>
      </c>
      <c r="B2529" s="8" t="s">
        <v>53</v>
      </c>
      <c r="C2529" s="9" t="n">
        <v>2400</v>
      </c>
      <c r="D2529" s="8" t="s">
        <v>45</v>
      </c>
      <c r="E2529" s="10" t="s">
        <v>55</v>
      </c>
      <c r="F2529" s="8" t="str">
        <f aca="false">TEXT(A2529,"MM-YYYY")</f>
        <v>06-2025</v>
      </c>
      <c r="G2529" s="8" t="s">
        <v>14</v>
      </c>
      <c r="H2529" s="8" t="s">
        <v>232</v>
      </c>
      <c r="I2529" s="7" t="n">
        <v>45835</v>
      </c>
      <c r="J2529" s="8" t="str">
        <f aca="false">VLOOKUP(B2529, Table3[#All], 2, FALSE())</f>
        <v>Grocery</v>
      </c>
      <c r="K2529" s="8" t="str">
        <f aca="false">TEXT(ROW(), "0000")</f>
        <v>2529</v>
      </c>
      <c r="L2529" s="8"/>
    </row>
    <row r="2530" customFormat="false" ht="15.75" hidden="false" customHeight="true" outlineLevel="0" collapsed="false">
      <c r="A2530" s="7" t="n">
        <v>45835</v>
      </c>
      <c r="B2530" s="8" t="s">
        <v>29</v>
      </c>
      <c r="C2530" s="9" t="n">
        <v>640</v>
      </c>
      <c r="D2530" s="8" t="s">
        <v>45</v>
      </c>
      <c r="E2530" s="10" t="s">
        <v>350</v>
      </c>
      <c r="F2530" s="8" t="str">
        <f aca="false">TEXT(A2530,"MM-YYYY")</f>
        <v>06-2025</v>
      </c>
      <c r="G2530" s="8" t="s">
        <v>14</v>
      </c>
      <c r="H2530" s="8" t="s">
        <v>232</v>
      </c>
      <c r="I2530" s="7" t="n">
        <v>45835</v>
      </c>
      <c r="J2530" s="8" t="str">
        <f aca="false">VLOOKUP(B2530, Table3[#All], 2, FALSE())</f>
        <v>Inventory</v>
      </c>
      <c r="K2530" s="8" t="str">
        <f aca="false">TEXT(ROW(), "0000")</f>
        <v>2530</v>
      </c>
      <c r="L2530" s="8"/>
    </row>
    <row r="2531" customFormat="false" ht="15.75" hidden="false" customHeight="true" outlineLevel="0" collapsed="false">
      <c r="A2531" s="7" t="n">
        <v>45835</v>
      </c>
      <c r="B2531" s="8" t="s">
        <v>25</v>
      </c>
      <c r="C2531" s="9" t="n">
        <v>350</v>
      </c>
      <c r="D2531" s="8" t="s">
        <v>45</v>
      </c>
      <c r="E2531" s="10" t="s">
        <v>306</v>
      </c>
      <c r="F2531" s="8" t="str">
        <f aca="false">TEXT(A2531,"MM-YYYY")</f>
        <v>06-2025</v>
      </c>
      <c r="G2531" s="8" t="s">
        <v>14</v>
      </c>
      <c r="H2531" s="8" t="s">
        <v>232</v>
      </c>
      <c r="I2531" s="7" t="n">
        <v>45835</v>
      </c>
      <c r="J2531" s="8" t="str">
        <f aca="false">VLOOKUP(B2531, Table3[#All], 2, FALSE())</f>
        <v>Inventory</v>
      </c>
      <c r="K2531" s="8" t="str">
        <f aca="false">TEXT(ROW(), "0000")</f>
        <v>2531</v>
      </c>
      <c r="L2531" s="8"/>
    </row>
    <row r="2532" customFormat="false" ht="15.75" hidden="false" customHeight="true" outlineLevel="0" collapsed="false">
      <c r="A2532" s="7" t="n">
        <v>45835</v>
      </c>
      <c r="B2532" s="8" t="s">
        <v>19</v>
      </c>
      <c r="C2532" s="9" t="n">
        <v>4680</v>
      </c>
      <c r="D2532" s="8" t="s">
        <v>13</v>
      </c>
      <c r="E2532" s="10" t="s">
        <v>20</v>
      </c>
      <c r="F2532" s="8" t="str">
        <f aca="false">TEXT(A2532,"MM-YYYY")</f>
        <v>06-2025</v>
      </c>
      <c r="G2532" s="8" t="s">
        <v>14</v>
      </c>
      <c r="H2532" s="8" t="s">
        <v>13</v>
      </c>
      <c r="I2532" s="7" t="n">
        <v>45841</v>
      </c>
      <c r="J2532" s="8" t="str">
        <f aca="false">VLOOKUP(B2532, Table3[#All], 2, FALSE())</f>
        <v>Inventory</v>
      </c>
      <c r="K2532" s="8" t="str">
        <f aca="false">TEXT(ROW(), "0000")</f>
        <v>2532</v>
      </c>
      <c r="L2532" s="8"/>
    </row>
    <row r="2533" customFormat="false" ht="15.75" hidden="false" customHeight="true" outlineLevel="0" collapsed="false">
      <c r="A2533" s="7" t="n">
        <v>45835</v>
      </c>
      <c r="B2533" s="8" t="s">
        <v>50</v>
      </c>
      <c r="C2533" s="9" t="n">
        <v>1740</v>
      </c>
      <c r="D2533" s="8" t="s">
        <v>13</v>
      </c>
      <c r="E2533" s="10" t="s">
        <v>263</v>
      </c>
      <c r="F2533" s="8" t="str">
        <f aca="false">TEXT(A2533,"MM-YYYY")</f>
        <v>06-2025</v>
      </c>
      <c r="G2533" s="8" t="s">
        <v>14</v>
      </c>
      <c r="H2533" s="8" t="s">
        <v>13</v>
      </c>
      <c r="I2533" s="7" t="n">
        <v>45842</v>
      </c>
      <c r="J2533" s="8" t="str">
        <f aca="false">VLOOKUP(B2533, Table3[#All], 2, FALSE())</f>
        <v>Fixed Maintance</v>
      </c>
      <c r="K2533" s="8" t="str">
        <f aca="false">TEXT(ROW(), "0000")</f>
        <v>2533</v>
      </c>
      <c r="L2533" s="8"/>
    </row>
    <row r="2534" customFormat="false" ht="15.75" hidden="false" customHeight="true" outlineLevel="0" collapsed="false">
      <c r="A2534" s="7" t="n">
        <v>45835</v>
      </c>
      <c r="B2534" s="8" t="s">
        <v>29</v>
      </c>
      <c r="C2534" s="9" t="n">
        <v>362</v>
      </c>
      <c r="D2534" s="8" t="s">
        <v>13</v>
      </c>
      <c r="E2534" s="10" t="s">
        <v>302</v>
      </c>
      <c r="F2534" s="8" t="str">
        <f aca="false">TEXT(A2534,"MM-YYYY")</f>
        <v>06-2025</v>
      </c>
      <c r="G2534" s="8" t="s">
        <v>14</v>
      </c>
      <c r="H2534" s="8" t="s">
        <v>13</v>
      </c>
      <c r="I2534" s="7" t="n">
        <v>45839</v>
      </c>
      <c r="J2534" s="8" t="str">
        <f aca="false">VLOOKUP(B2534, Table3[#All], 2, FALSE())</f>
        <v>Inventory</v>
      </c>
      <c r="K2534" s="8" t="str">
        <f aca="false">TEXT(ROW(), "0000")</f>
        <v>2534</v>
      </c>
      <c r="L2534" s="8"/>
    </row>
    <row r="2535" customFormat="false" ht="15.75" hidden="false" customHeight="true" outlineLevel="0" collapsed="false">
      <c r="A2535" s="7" t="n">
        <v>45835</v>
      </c>
      <c r="B2535" s="8" t="s">
        <v>51</v>
      </c>
      <c r="C2535" s="9" t="n">
        <v>3435</v>
      </c>
      <c r="D2535" s="8" t="s">
        <v>13</v>
      </c>
      <c r="E2535" s="10" t="s">
        <v>226</v>
      </c>
      <c r="F2535" s="8" t="str">
        <f aca="false">TEXT(A2535,"MM-YYYY")</f>
        <v>06-2025</v>
      </c>
      <c r="G2535" s="8" t="s">
        <v>14</v>
      </c>
      <c r="H2535" s="8" t="s">
        <v>13</v>
      </c>
      <c r="I2535" s="7" t="n">
        <v>45852</v>
      </c>
      <c r="J2535" s="8" t="str">
        <f aca="false">VLOOKUP(B2535, Table3[#All], 2, FALSE())</f>
        <v>Inventory</v>
      </c>
      <c r="K2535" s="8" t="str">
        <f aca="false">TEXT(ROW(), "0000")</f>
        <v>2535</v>
      </c>
      <c r="L2535" s="8"/>
    </row>
    <row r="2536" customFormat="false" ht="15.75" hidden="false" customHeight="true" outlineLevel="0" collapsed="false">
      <c r="A2536" s="7" t="n">
        <v>45835</v>
      </c>
      <c r="B2536" s="8" t="s">
        <v>31</v>
      </c>
      <c r="C2536" s="9" t="n">
        <v>1020</v>
      </c>
      <c r="D2536" s="8" t="s">
        <v>45</v>
      </c>
      <c r="E2536" s="10" t="s">
        <v>308</v>
      </c>
      <c r="F2536" s="8" t="str">
        <f aca="false">TEXT(A2536,"MM-YYYY")</f>
        <v>06-2025</v>
      </c>
      <c r="G2536" s="8" t="s">
        <v>14</v>
      </c>
      <c r="H2536" s="8" t="s">
        <v>232</v>
      </c>
      <c r="I2536" s="7" t="n">
        <v>45835</v>
      </c>
      <c r="J2536" s="8" t="str">
        <f aca="false">VLOOKUP(B2536, Table3[#All], 2, FALSE())</f>
        <v>Bike Maintance</v>
      </c>
      <c r="K2536" s="8" t="str">
        <f aca="false">TEXT(ROW(), "0000")</f>
        <v>2536</v>
      </c>
      <c r="L2536" s="8"/>
    </row>
    <row r="2537" customFormat="false" ht="15.75" hidden="false" customHeight="true" outlineLevel="0" collapsed="false">
      <c r="A2537" s="7" t="n">
        <v>45835</v>
      </c>
      <c r="B2537" s="8" t="s">
        <v>16</v>
      </c>
      <c r="C2537" s="9" t="n">
        <v>3435</v>
      </c>
      <c r="D2537" s="8" t="s">
        <v>21</v>
      </c>
      <c r="E2537" s="10" t="s">
        <v>88</v>
      </c>
      <c r="F2537" s="8" t="str">
        <f aca="false">TEXT(A2537,"MM-YYYY")</f>
        <v>06-2025</v>
      </c>
      <c r="G2537" s="8"/>
      <c r="H2537" s="8"/>
      <c r="I2537" s="7"/>
      <c r="J2537" s="8" t="str">
        <f aca="false">VLOOKUP(B2537, Table3[#All], 2, FALSE())</f>
        <v>Sales</v>
      </c>
      <c r="K2537" s="8" t="str">
        <f aca="false">TEXT(ROW(), "0000")</f>
        <v>2537</v>
      </c>
      <c r="L2537" s="8"/>
    </row>
    <row r="2538" customFormat="false" ht="15.75" hidden="false" customHeight="true" outlineLevel="0" collapsed="false">
      <c r="A2538" s="7" t="n">
        <v>45835</v>
      </c>
      <c r="B2538" s="8" t="s">
        <v>16</v>
      </c>
      <c r="C2538" s="9" t="n">
        <v>1840</v>
      </c>
      <c r="D2538" s="8" t="s">
        <v>27</v>
      </c>
      <c r="E2538" s="10" t="s">
        <v>88</v>
      </c>
      <c r="F2538" s="8" t="str">
        <f aca="false">TEXT(A2538,"MM-YYYY")</f>
        <v>06-2025</v>
      </c>
      <c r="G2538" s="8"/>
      <c r="H2538" s="8"/>
      <c r="I2538" s="7"/>
      <c r="J2538" s="8" t="str">
        <f aca="false">VLOOKUP(B2538, Table3[#All], 2, FALSE())</f>
        <v>Sales</v>
      </c>
      <c r="K2538" s="8" t="str">
        <f aca="false">TEXT(ROW(), "0000")</f>
        <v>2538</v>
      </c>
      <c r="L2538" s="8"/>
    </row>
    <row r="2539" customFormat="false" ht="15.75" hidden="false" customHeight="true" outlineLevel="0" collapsed="false">
      <c r="A2539" s="7" t="n">
        <v>45835</v>
      </c>
      <c r="B2539" s="8" t="s">
        <v>16</v>
      </c>
      <c r="C2539" s="9" t="n">
        <v>580</v>
      </c>
      <c r="D2539" s="8" t="s">
        <v>33</v>
      </c>
      <c r="E2539" s="10" t="s">
        <v>88</v>
      </c>
      <c r="F2539" s="8" t="str">
        <f aca="false">TEXT(A2539,"MM-YYYY")</f>
        <v>06-2025</v>
      </c>
      <c r="G2539" s="8"/>
      <c r="H2539" s="8"/>
      <c r="I2539" s="7"/>
      <c r="J2539" s="8" t="str">
        <f aca="false">VLOOKUP(B2539, Table3[#All], 2, FALSE())</f>
        <v>Sales</v>
      </c>
      <c r="K2539" s="8" t="str">
        <f aca="false">TEXT(ROW(), "0000")</f>
        <v>2539</v>
      </c>
      <c r="L2539" s="8"/>
    </row>
    <row r="2540" customFormat="false" ht="15.75" hidden="false" customHeight="true" outlineLevel="0" collapsed="false">
      <c r="A2540" s="7" t="n">
        <v>45835</v>
      </c>
      <c r="B2540" s="8" t="s">
        <v>16</v>
      </c>
      <c r="C2540" s="9" t="n">
        <v>13984</v>
      </c>
      <c r="D2540" s="8" t="s">
        <v>17</v>
      </c>
      <c r="E2540" s="10" t="s">
        <v>88</v>
      </c>
      <c r="F2540" s="8" t="str">
        <f aca="false">TEXT(A2540,"MM-YYYY")</f>
        <v>06-2025</v>
      </c>
      <c r="G2540" s="8"/>
      <c r="H2540" s="8"/>
      <c r="I2540" s="7"/>
      <c r="J2540" s="8" t="str">
        <f aca="false">VLOOKUP(B2540, Table3[#All], 2, FALSE())</f>
        <v>Sales</v>
      </c>
      <c r="K2540" s="8" t="str">
        <f aca="false">TEXT(ROW(), "0000")</f>
        <v>2540</v>
      </c>
      <c r="L2540" s="8"/>
    </row>
    <row r="2541" customFormat="false" ht="15.75" hidden="false" customHeight="true" outlineLevel="0" collapsed="false">
      <c r="A2541" s="7" t="n">
        <v>45835</v>
      </c>
      <c r="B2541" s="8" t="s">
        <v>16</v>
      </c>
      <c r="C2541" s="9" t="n">
        <v>2940</v>
      </c>
      <c r="D2541" s="8" t="s">
        <v>24</v>
      </c>
      <c r="E2541" s="10" t="s">
        <v>217</v>
      </c>
      <c r="F2541" s="8" t="str">
        <f aca="false">TEXT(A2541,"MM-YYYY")</f>
        <v>06-2025</v>
      </c>
      <c r="G2541" s="8"/>
      <c r="H2541" s="8"/>
      <c r="I2541" s="7"/>
      <c r="J2541" s="8" t="str">
        <f aca="false">VLOOKUP(B2541, Table3[#All], 2, FALSE())</f>
        <v>Sales</v>
      </c>
      <c r="K2541" s="8" t="str">
        <f aca="false">TEXT(ROW(), "0000")</f>
        <v>2541</v>
      </c>
      <c r="L2541" s="8"/>
    </row>
    <row r="2542" customFormat="false" ht="15.75" hidden="false" customHeight="true" outlineLevel="0" collapsed="false">
      <c r="A2542" s="7" t="n">
        <v>45835</v>
      </c>
      <c r="B2542" s="8" t="s">
        <v>44</v>
      </c>
      <c r="C2542" s="9" t="n">
        <v>100</v>
      </c>
      <c r="D2542" s="8" t="s">
        <v>45</v>
      </c>
      <c r="E2542" s="10" t="s">
        <v>317</v>
      </c>
      <c r="F2542" s="8" t="str">
        <f aca="false">TEXT(A2542,"MM-YYYY")</f>
        <v>06-2025</v>
      </c>
      <c r="G2542" s="8" t="s">
        <v>14</v>
      </c>
      <c r="H2542" s="8" t="s">
        <v>232</v>
      </c>
      <c r="I2542" s="7" t="n">
        <v>45835</v>
      </c>
      <c r="J2542" s="8" t="str">
        <f aca="false">VLOOKUP(B2542, Table3[#All], 2, FALSE())</f>
        <v>Salary</v>
      </c>
      <c r="K2542" s="8" t="str">
        <f aca="false">TEXT(ROW(), "0000")</f>
        <v>2542</v>
      </c>
      <c r="L2542" s="8"/>
    </row>
    <row r="2543" customFormat="false" ht="15.75" hidden="false" customHeight="true" outlineLevel="0" collapsed="false">
      <c r="A2543" s="7" t="n">
        <v>45835</v>
      </c>
      <c r="B2543" s="8" t="s">
        <v>34</v>
      </c>
      <c r="C2543" s="9" t="n">
        <v>155</v>
      </c>
      <c r="D2543" s="8" t="s">
        <v>45</v>
      </c>
      <c r="E2543" s="10" t="s">
        <v>274</v>
      </c>
      <c r="F2543" s="8" t="str">
        <f aca="false">TEXT(A2543,"MM-YYYY")</f>
        <v>06-2025</v>
      </c>
      <c r="G2543" s="8" t="s">
        <v>14</v>
      </c>
      <c r="H2543" s="8" t="s">
        <v>232</v>
      </c>
      <c r="I2543" s="7" t="n">
        <v>45835</v>
      </c>
      <c r="J2543" s="8" t="str">
        <f aca="false">VLOOKUP(B2543, Table3[#All], 2, FALSE())</f>
        <v>Staff Expenses</v>
      </c>
      <c r="K2543" s="8" t="str">
        <f aca="false">TEXT(ROW(), "0000")</f>
        <v>2543</v>
      </c>
      <c r="L2543" s="8"/>
    </row>
    <row r="2544" customFormat="false" ht="15.75" hidden="false" customHeight="true" outlineLevel="0" collapsed="false">
      <c r="A2544" s="7" t="n">
        <v>45836</v>
      </c>
      <c r="B2544" s="8" t="s">
        <v>25</v>
      </c>
      <c r="C2544" s="9" t="n">
        <v>702</v>
      </c>
      <c r="D2544" s="8" t="s">
        <v>13</v>
      </c>
      <c r="E2544" s="10" t="s">
        <v>26</v>
      </c>
      <c r="F2544" s="8" t="str">
        <f aca="false">TEXT(A2544,"MM-YYYY")</f>
        <v>06-2025</v>
      </c>
      <c r="G2544" s="21" t="s">
        <v>14</v>
      </c>
      <c r="H2544" s="8" t="s">
        <v>13</v>
      </c>
      <c r="I2544" s="7" t="n">
        <v>45871</v>
      </c>
      <c r="J2544" s="8" t="str">
        <f aca="false">VLOOKUP(B2544, Table3[#All], 2, FALSE())</f>
        <v>Inventory</v>
      </c>
      <c r="K2544" s="8" t="str">
        <f aca="false">TEXT(ROW(), "0000")</f>
        <v>2544</v>
      </c>
      <c r="L2544" s="8"/>
    </row>
    <row r="2545" customFormat="false" ht="15.75" hidden="false" customHeight="true" outlineLevel="0" collapsed="false">
      <c r="A2545" s="7" t="n">
        <v>45836</v>
      </c>
      <c r="B2545" s="8" t="s">
        <v>22</v>
      </c>
      <c r="C2545" s="9" t="n">
        <v>2455</v>
      </c>
      <c r="D2545" s="8" t="s">
        <v>13</v>
      </c>
      <c r="E2545" s="10" t="s">
        <v>23</v>
      </c>
      <c r="F2545" s="8" t="str">
        <f aca="false">TEXT(A2545,"MM-YYYY")</f>
        <v>06-2025</v>
      </c>
      <c r="G2545" s="8" t="s">
        <v>14</v>
      </c>
      <c r="H2545" s="8" t="s">
        <v>13</v>
      </c>
      <c r="I2545" s="7" t="n">
        <v>45845</v>
      </c>
      <c r="J2545" s="8" t="str">
        <f aca="false">VLOOKUP(B2545, Table3[#All], 2, FALSE())</f>
        <v>Inventory</v>
      </c>
      <c r="K2545" s="8" t="str">
        <f aca="false">TEXT(ROW(), "0000")</f>
        <v>2545</v>
      </c>
      <c r="L2545" s="8"/>
    </row>
    <row r="2546" customFormat="false" ht="15.75" hidden="false" customHeight="true" outlineLevel="0" collapsed="false">
      <c r="A2546" s="7" t="n">
        <v>45836</v>
      </c>
      <c r="B2546" s="8" t="s">
        <v>19</v>
      </c>
      <c r="C2546" s="9" t="n">
        <v>3995</v>
      </c>
      <c r="D2546" s="8" t="s">
        <v>13</v>
      </c>
      <c r="E2546" s="10" t="s">
        <v>20</v>
      </c>
      <c r="F2546" s="8" t="str">
        <f aca="false">TEXT(A2546,"MM-YYYY")</f>
        <v>06-2025</v>
      </c>
      <c r="G2546" s="8" t="s">
        <v>14</v>
      </c>
      <c r="H2546" s="8" t="s">
        <v>13</v>
      </c>
      <c r="I2546" s="7" t="n">
        <v>45841</v>
      </c>
      <c r="J2546" s="8" t="str">
        <f aca="false">VLOOKUP(B2546, Table3[#All], 2, FALSE())</f>
        <v>Inventory</v>
      </c>
      <c r="K2546" s="8" t="str">
        <f aca="false">TEXT(ROW(), "0000")</f>
        <v>2546</v>
      </c>
      <c r="L2546" s="8"/>
    </row>
    <row r="2547" customFormat="false" ht="15.75" hidden="false" customHeight="true" outlineLevel="0" collapsed="false">
      <c r="A2547" s="7" t="n">
        <v>45836</v>
      </c>
      <c r="B2547" s="8" t="s">
        <v>32</v>
      </c>
      <c r="C2547" s="9" t="n">
        <v>210</v>
      </c>
      <c r="D2547" s="8" t="s">
        <v>21</v>
      </c>
      <c r="E2547" s="10" t="s">
        <v>38</v>
      </c>
      <c r="F2547" s="8" t="str">
        <f aca="false">TEXT(A2547,"MM-YYYY")</f>
        <v>06-2025</v>
      </c>
      <c r="G2547" s="8" t="s">
        <v>14</v>
      </c>
      <c r="H2547" s="8" t="s">
        <v>15</v>
      </c>
      <c r="I2547" s="7" t="n">
        <v>45836</v>
      </c>
      <c r="J2547" s="8" t="str">
        <f aca="false">VLOOKUP(B2547, Table3[#All], 2, FALSE())</f>
        <v>Grocery</v>
      </c>
      <c r="K2547" s="8" t="str">
        <f aca="false">TEXT(ROW(), "0000")</f>
        <v>2547</v>
      </c>
      <c r="L2547" s="8"/>
    </row>
    <row r="2548" customFormat="false" ht="15.75" hidden="false" customHeight="true" outlineLevel="0" collapsed="false">
      <c r="A2548" s="7" t="n">
        <v>45836</v>
      </c>
      <c r="B2548" s="8" t="s">
        <v>43</v>
      </c>
      <c r="C2548" s="9" t="n">
        <v>1000</v>
      </c>
      <c r="D2548" s="8" t="s">
        <v>45</v>
      </c>
      <c r="E2548" s="10" t="s">
        <v>279</v>
      </c>
      <c r="F2548" s="8" t="str">
        <f aca="false">TEXT(A2548,"MM-YYYY")</f>
        <v>06-2025</v>
      </c>
      <c r="G2548" s="8" t="s">
        <v>14</v>
      </c>
      <c r="H2548" s="8" t="s">
        <v>232</v>
      </c>
      <c r="I2548" s="7" t="n">
        <v>45836</v>
      </c>
      <c r="J2548" s="8" t="str">
        <f aca="false">VLOOKUP(B2548, Table3[#All], 2, FALSE())</f>
        <v>Maintance</v>
      </c>
      <c r="K2548" s="8" t="str">
        <f aca="false">TEXT(ROW(), "0000")</f>
        <v>2548</v>
      </c>
      <c r="L2548" s="8"/>
    </row>
    <row r="2549" customFormat="false" ht="15.75" hidden="false" customHeight="true" outlineLevel="0" collapsed="false">
      <c r="A2549" s="7" t="n">
        <v>45836</v>
      </c>
      <c r="B2549" s="8" t="s">
        <v>29</v>
      </c>
      <c r="C2549" s="9" t="n">
        <v>369</v>
      </c>
      <c r="D2549" s="8" t="s">
        <v>13</v>
      </c>
      <c r="E2549" s="10" t="s">
        <v>302</v>
      </c>
      <c r="F2549" s="8" t="str">
        <f aca="false">TEXT(A2549,"MM-YYYY")</f>
        <v>06-2025</v>
      </c>
      <c r="G2549" s="8" t="s">
        <v>14</v>
      </c>
      <c r="H2549" s="8" t="s">
        <v>13</v>
      </c>
      <c r="I2549" s="7" t="n">
        <v>45839</v>
      </c>
      <c r="J2549" s="8" t="str">
        <f aca="false">VLOOKUP(B2549, Table3[#All], 2, FALSE())</f>
        <v>Inventory</v>
      </c>
      <c r="K2549" s="8" t="str">
        <f aca="false">TEXT(ROW(), "0000")</f>
        <v>2549</v>
      </c>
      <c r="L2549" s="8"/>
    </row>
    <row r="2550" customFormat="false" ht="15.75" hidden="false" customHeight="true" outlineLevel="0" collapsed="false">
      <c r="A2550" s="7" t="n">
        <v>45836</v>
      </c>
      <c r="B2550" s="8" t="s">
        <v>50</v>
      </c>
      <c r="C2550" s="9" t="n">
        <v>1740</v>
      </c>
      <c r="D2550" s="8" t="s">
        <v>13</v>
      </c>
      <c r="E2550" s="10" t="s">
        <v>263</v>
      </c>
      <c r="F2550" s="8" t="str">
        <f aca="false">TEXT(A2550,"MM-YYYY")</f>
        <v>06-2025</v>
      </c>
      <c r="G2550" s="8" t="s">
        <v>14</v>
      </c>
      <c r="H2550" s="8" t="s">
        <v>13</v>
      </c>
      <c r="I2550" s="7" t="n">
        <v>45842</v>
      </c>
      <c r="J2550" s="8" t="str">
        <f aca="false">VLOOKUP(B2550, Table3[#All], 2, FALSE())</f>
        <v>Fixed Maintance</v>
      </c>
      <c r="K2550" s="8" t="str">
        <f aca="false">TEXT(ROW(), "0000")</f>
        <v>2550</v>
      </c>
      <c r="L2550" s="8"/>
    </row>
    <row r="2551" customFormat="false" ht="15.75" hidden="false" customHeight="true" outlineLevel="0" collapsed="false">
      <c r="A2551" s="7" t="n">
        <v>45836</v>
      </c>
      <c r="B2551" s="8" t="s">
        <v>199</v>
      </c>
      <c r="C2551" s="9" t="n">
        <v>1380</v>
      </c>
      <c r="D2551" s="8" t="s">
        <v>21</v>
      </c>
      <c r="E2551" s="10" t="s">
        <v>200</v>
      </c>
      <c r="F2551" s="8" t="str">
        <f aca="false">TEXT(A2551,"MM-YYYY")</f>
        <v>06-2025</v>
      </c>
      <c r="G2551" s="8" t="s">
        <v>14</v>
      </c>
      <c r="H2551" s="8" t="s">
        <v>15</v>
      </c>
      <c r="I2551" s="7" t="n">
        <v>45836</v>
      </c>
      <c r="J2551" s="8" t="str">
        <f aca="false">VLOOKUP(B2551, Table3[#All], 2, FALSE())</f>
        <v>Fixed Maintance</v>
      </c>
      <c r="K2551" s="8" t="str">
        <f aca="false">TEXT(ROW(), "0000")</f>
        <v>2551</v>
      </c>
      <c r="L2551" s="8"/>
    </row>
    <row r="2552" customFormat="false" ht="15.75" hidden="false" customHeight="true" outlineLevel="0" collapsed="false">
      <c r="A2552" s="7" t="n">
        <v>45836</v>
      </c>
      <c r="B2552" s="8" t="s">
        <v>16</v>
      </c>
      <c r="C2552" s="9" t="n">
        <v>3325</v>
      </c>
      <c r="D2552" s="8" t="s">
        <v>21</v>
      </c>
      <c r="E2552" s="10" t="s">
        <v>88</v>
      </c>
      <c r="F2552" s="8" t="str">
        <f aca="false">TEXT(A2552,"MM-YYYY")</f>
        <v>06-2025</v>
      </c>
      <c r="G2552" s="8"/>
      <c r="H2552" s="8"/>
      <c r="I2552" s="7"/>
      <c r="J2552" s="8" t="str">
        <f aca="false">VLOOKUP(B2552, Table3[#All], 2, FALSE())</f>
        <v>Sales</v>
      </c>
      <c r="K2552" s="8" t="str">
        <f aca="false">TEXT(ROW(), "0000")</f>
        <v>2552</v>
      </c>
      <c r="L2552" s="8"/>
    </row>
    <row r="2553" customFormat="false" ht="15.75" hidden="false" customHeight="true" outlineLevel="0" collapsed="false">
      <c r="A2553" s="7" t="n">
        <v>45836</v>
      </c>
      <c r="B2553" s="8" t="s">
        <v>16</v>
      </c>
      <c r="C2553" s="9" t="n">
        <v>3263</v>
      </c>
      <c r="D2553" s="8" t="s">
        <v>27</v>
      </c>
      <c r="E2553" s="10" t="s">
        <v>88</v>
      </c>
      <c r="F2553" s="8" t="str">
        <f aca="false">TEXT(A2553,"MM-YYYY")</f>
        <v>06-2025</v>
      </c>
      <c r="G2553" s="8"/>
      <c r="H2553" s="8"/>
      <c r="I2553" s="7"/>
      <c r="J2553" s="8" t="str">
        <f aca="false">VLOOKUP(B2553, Table3[#All], 2, FALSE())</f>
        <v>Sales</v>
      </c>
      <c r="K2553" s="8" t="str">
        <f aca="false">TEXT(ROW(), "0000")</f>
        <v>2553</v>
      </c>
      <c r="L2553" s="8"/>
    </row>
    <row r="2554" customFormat="false" ht="15.75" hidden="false" customHeight="true" outlineLevel="0" collapsed="false">
      <c r="A2554" s="7" t="n">
        <v>45836</v>
      </c>
      <c r="B2554" s="8" t="s">
        <v>16</v>
      </c>
      <c r="C2554" s="9" t="n">
        <v>230</v>
      </c>
      <c r="D2554" s="8" t="s">
        <v>33</v>
      </c>
      <c r="E2554" s="10" t="s">
        <v>88</v>
      </c>
      <c r="F2554" s="8" t="str">
        <f aca="false">TEXT(A2554,"MM-YYYY")</f>
        <v>06-2025</v>
      </c>
      <c r="G2554" s="8"/>
      <c r="H2554" s="8"/>
      <c r="I2554" s="7"/>
      <c r="J2554" s="8" t="str">
        <f aca="false">VLOOKUP(B2554, Table3[#All], 2, FALSE())</f>
        <v>Sales</v>
      </c>
      <c r="K2554" s="8" t="str">
        <f aca="false">TEXT(ROW(), "0000")</f>
        <v>2554</v>
      </c>
      <c r="L2554" s="8"/>
    </row>
    <row r="2555" customFormat="false" ht="15.75" hidden="false" customHeight="true" outlineLevel="0" collapsed="false">
      <c r="A2555" s="7" t="n">
        <v>45836</v>
      </c>
      <c r="B2555" s="8" t="s">
        <v>16</v>
      </c>
      <c r="C2555" s="9" t="n">
        <v>25036</v>
      </c>
      <c r="D2555" s="8" t="s">
        <v>17</v>
      </c>
      <c r="E2555" s="10" t="s">
        <v>88</v>
      </c>
      <c r="F2555" s="8" t="str">
        <f aca="false">TEXT(A2555,"MM-YYYY")</f>
        <v>06-2025</v>
      </c>
      <c r="G2555" s="8"/>
      <c r="H2555" s="8"/>
      <c r="I2555" s="7"/>
      <c r="J2555" s="8" t="str">
        <f aca="false">VLOOKUP(B2555, Table3[#All], 2, FALSE())</f>
        <v>Sales</v>
      </c>
      <c r="K2555" s="8" t="str">
        <f aca="false">TEXT(ROW(), "0000")</f>
        <v>2555</v>
      </c>
      <c r="L2555" s="8"/>
    </row>
    <row r="2556" customFormat="false" ht="15.75" hidden="false" customHeight="true" outlineLevel="0" collapsed="false">
      <c r="A2556" s="7" t="n">
        <v>45836</v>
      </c>
      <c r="B2556" s="8" t="s">
        <v>16</v>
      </c>
      <c r="C2556" s="9" t="n">
        <v>3676</v>
      </c>
      <c r="D2556" s="8" t="s">
        <v>24</v>
      </c>
      <c r="E2556" s="10" t="s">
        <v>217</v>
      </c>
      <c r="F2556" s="8" t="str">
        <f aca="false">TEXT(A2556,"MM-YYYY")</f>
        <v>06-2025</v>
      </c>
      <c r="G2556" s="8"/>
      <c r="H2556" s="8"/>
      <c r="I2556" s="7"/>
      <c r="J2556" s="8" t="str">
        <f aca="false">VLOOKUP(B2556, Table3[#All], 2, FALSE())</f>
        <v>Sales</v>
      </c>
      <c r="K2556" s="8" t="str">
        <f aca="false">TEXT(ROW(), "0000")</f>
        <v>2556</v>
      </c>
      <c r="L2556" s="8"/>
    </row>
    <row r="2557" customFormat="false" ht="15.75" hidden="false" customHeight="true" outlineLevel="0" collapsed="false">
      <c r="A2557" s="7" t="n">
        <v>45836</v>
      </c>
      <c r="B2557" s="8" t="s">
        <v>37</v>
      </c>
      <c r="C2557" s="9" t="n">
        <v>35</v>
      </c>
      <c r="D2557" s="8" t="s">
        <v>21</v>
      </c>
      <c r="E2557" s="10" t="s">
        <v>37</v>
      </c>
      <c r="F2557" s="8" t="str">
        <f aca="false">TEXT(A2557,"MM-YYYY")</f>
        <v>06-2025</v>
      </c>
      <c r="G2557" s="8" t="s">
        <v>14</v>
      </c>
      <c r="H2557" s="8" t="s">
        <v>232</v>
      </c>
      <c r="I2557" s="7" t="n">
        <v>45836</v>
      </c>
      <c r="J2557" s="8" t="str">
        <f aca="false">VLOOKUP(B2557, Table3[#All], 2, FALSE())</f>
        <v>Maintance</v>
      </c>
      <c r="K2557" s="8" t="str">
        <f aca="false">TEXT(ROW(), "0000")</f>
        <v>2557</v>
      </c>
      <c r="L2557" s="8"/>
    </row>
    <row r="2558" customFormat="false" ht="15.75" hidden="false" customHeight="true" outlineLevel="0" collapsed="false">
      <c r="A2558" s="7" t="n">
        <v>45836</v>
      </c>
      <c r="B2558" s="8" t="s">
        <v>34</v>
      </c>
      <c r="C2558" s="9" t="n">
        <v>150</v>
      </c>
      <c r="D2558" s="8" t="s">
        <v>45</v>
      </c>
      <c r="E2558" s="10" t="s">
        <v>274</v>
      </c>
      <c r="F2558" s="8" t="str">
        <f aca="false">TEXT(A2558,"MM-YYYY")</f>
        <v>06-2025</v>
      </c>
      <c r="G2558" s="8" t="s">
        <v>14</v>
      </c>
      <c r="H2558" s="8" t="s">
        <v>232</v>
      </c>
      <c r="I2558" s="7" t="n">
        <v>45836</v>
      </c>
      <c r="J2558" s="8" t="str">
        <f aca="false">VLOOKUP(B2558, Table3[#All], 2, FALSE())</f>
        <v>Staff Expenses</v>
      </c>
      <c r="K2558" s="8" t="str">
        <f aca="false">TEXT(ROW(), "0000")</f>
        <v>2558</v>
      </c>
      <c r="L2558" s="8"/>
    </row>
    <row r="2559" customFormat="false" ht="15.75" hidden="false" customHeight="true" outlineLevel="0" collapsed="false">
      <c r="A2559" s="7" t="n">
        <v>45837</v>
      </c>
      <c r="B2559" s="8" t="s">
        <v>25</v>
      </c>
      <c r="C2559" s="9" t="n">
        <v>1509</v>
      </c>
      <c r="D2559" s="8" t="s">
        <v>13</v>
      </c>
      <c r="E2559" s="10" t="s">
        <v>26</v>
      </c>
      <c r="F2559" s="8" t="str">
        <f aca="false">TEXT(A2559,"MM-YYYY")</f>
        <v>06-2025</v>
      </c>
      <c r="G2559" s="21" t="s">
        <v>14</v>
      </c>
      <c r="H2559" s="8" t="s">
        <v>13</v>
      </c>
      <c r="I2559" s="7" t="n">
        <v>45871</v>
      </c>
      <c r="J2559" s="8" t="str">
        <f aca="false">VLOOKUP(B2559, Table3[#All], 2, FALSE())</f>
        <v>Inventory</v>
      </c>
      <c r="K2559" s="8" t="str">
        <f aca="false">TEXT(ROW(), "0000")</f>
        <v>2559</v>
      </c>
      <c r="L2559" s="8"/>
    </row>
    <row r="2560" customFormat="false" ht="15.75" hidden="false" customHeight="true" outlineLevel="0" collapsed="false">
      <c r="A2560" s="7" t="n">
        <v>45837</v>
      </c>
      <c r="B2560" s="8" t="s">
        <v>22</v>
      </c>
      <c r="C2560" s="9" t="n">
        <v>455</v>
      </c>
      <c r="D2560" s="8" t="s">
        <v>13</v>
      </c>
      <c r="E2560" s="10" t="s">
        <v>23</v>
      </c>
      <c r="F2560" s="8" t="str">
        <f aca="false">TEXT(A2560,"MM-YYYY")</f>
        <v>06-2025</v>
      </c>
      <c r="G2560" s="8" t="s">
        <v>14</v>
      </c>
      <c r="H2560" s="8" t="s">
        <v>13</v>
      </c>
      <c r="I2560" s="7" t="n">
        <v>45845</v>
      </c>
      <c r="J2560" s="8" t="str">
        <f aca="false">VLOOKUP(B2560, Table3[#All], 2, FALSE())</f>
        <v>Inventory</v>
      </c>
      <c r="K2560" s="8" t="str">
        <f aca="false">TEXT(ROW(), "0000")</f>
        <v>2560</v>
      </c>
      <c r="L2560" s="8"/>
    </row>
    <row r="2561" customFormat="false" ht="15.75" hidden="false" customHeight="true" outlineLevel="0" collapsed="false">
      <c r="A2561" s="7" t="n">
        <v>45837</v>
      </c>
      <c r="B2561" s="8" t="s">
        <v>32</v>
      </c>
      <c r="C2561" s="9" t="n">
        <v>280</v>
      </c>
      <c r="D2561" s="8" t="s">
        <v>21</v>
      </c>
      <c r="E2561" s="10" t="s">
        <v>38</v>
      </c>
      <c r="F2561" s="8" t="str">
        <f aca="false">TEXT(A2561,"MM-YYYY")</f>
        <v>06-2025</v>
      </c>
      <c r="G2561" s="8" t="s">
        <v>14</v>
      </c>
      <c r="H2561" s="8" t="s">
        <v>15</v>
      </c>
      <c r="I2561" s="7" t="n">
        <v>45837</v>
      </c>
      <c r="J2561" s="8" t="str">
        <f aca="false">VLOOKUP(B2561, Table3[#All], 2, FALSE())</f>
        <v>Grocery</v>
      </c>
      <c r="K2561" s="8" t="str">
        <f aca="false">TEXT(ROW(), "0000")</f>
        <v>2561</v>
      </c>
      <c r="L2561" s="8"/>
    </row>
    <row r="2562" customFormat="false" ht="15.75" hidden="false" customHeight="true" outlineLevel="0" collapsed="false">
      <c r="A2562" s="7" t="n">
        <v>45837</v>
      </c>
      <c r="B2562" s="8" t="s">
        <v>22</v>
      </c>
      <c r="C2562" s="9" t="n">
        <v>110</v>
      </c>
      <c r="D2562" s="8" t="s">
        <v>21</v>
      </c>
      <c r="E2562" s="10" t="s">
        <v>213</v>
      </c>
      <c r="F2562" s="8" t="str">
        <f aca="false">TEXT(A2562,"MM-YYYY")</f>
        <v>06-2025</v>
      </c>
      <c r="G2562" s="8" t="s">
        <v>14</v>
      </c>
      <c r="H2562" s="8" t="s">
        <v>15</v>
      </c>
      <c r="I2562" s="7" t="n">
        <v>45837</v>
      </c>
      <c r="J2562" s="8" t="str">
        <f aca="false">VLOOKUP(B2562, Table3[#All], 2, FALSE())</f>
        <v>Inventory</v>
      </c>
      <c r="K2562" s="8" t="str">
        <f aca="false">TEXT(ROW(), "0000")</f>
        <v>2562</v>
      </c>
      <c r="L2562" s="8"/>
    </row>
    <row r="2563" customFormat="false" ht="15.75" hidden="false" customHeight="true" outlineLevel="0" collapsed="false">
      <c r="A2563" s="7" t="n">
        <v>45837</v>
      </c>
      <c r="B2563" s="8" t="s">
        <v>19</v>
      </c>
      <c r="C2563" s="9" t="n">
        <v>5455</v>
      </c>
      <c r="D2563" s="8" t="s">
        <v>13</v>
      </c>
      <c r="E2563" s="10" t="s">
        <v>20</v>
      </c>
      <c r="F2563" s="8" t="str">
        <f aca="false">TEXT(A2563,"MM-YYYY")</f>
        <v>06-2025</v>
      </c>
      <c r="G2563" s="8" t="s">
        <v>14</v>
      </c>
      <c r="H2563" s="8" t="s">
        <v>13</v>
      </c>
      <c r="I2563" s="7" t="n">
        <v>45841</v>
      </c>
      <c r="J2563" s="8" t="str">
        <f aca="false">VLOOKUP(B2563, Table3[#All], 2, FALSE())</f>
        <v>Inventory</v>
      </c>
      <c r="K2563" s="8" t="str">
        <f aca="false">TEXT(ROW(), "0000")</f>
        <v>2563</v>
      </c>
      <c r="L2563" s="8"/>
    </row>
    <row r="2564" customFormat="false" ht="15.75" hidden="false" customHeight="true" outlineLevel="0" collapsed="false">
      <c r="A2564" s="7" t="n">
        <v>45837</v>
      </c>
      <c r="B2564" s="8" t="s">
        <v>50</v>
      </c>
      <c r="C2564" s="9" t="n">
        <v>1740</v>
      </c>
      <c r="D2564" s="8" t="s">
        <v>13</v>
      </c>
      <c r="E2564" s="10" t="s">
        <v>263</v>
      </c>
      <c r="F2564" s="8" t="str">
        <f aca="false">TEXT(A2564,"MM-YYYY")</f>
        <v>06-2025</v>
      </c>
      <c r="G2564" s="8" t="s">
        <v>14</v>
      </c>
      <c r="H2564" s="8" t="s">
        <v>13</v>
      </c>
      <c r="I2564" s="7" t="n">
        <v>45842</v>
      </c>
      <c r="J2564" s="8" t="str">
        <f aca="false">VLOOKUP(B2564, Table3[#All], 2, FALSE())</f>
        <v>Fixed Maintance</v>
      </c>
      <c r="K2564" s="8" t="str">
        <f aca="false">TEXT(ROW(), "0000")</f>
        <v>2564</v>
      </c>
      <c r="L2564" s="8"/>
    </row>
    <row r="2565" customFormat="false" ht="15.75" hidden="false" customHeight="true" outlineLevel="0" collapsed="false">
      <c r="A2565" s="7" t="n">
        <v>45837</v>
      </c>
      <c r="B2565" s="8" t="s">
        <v>29</v>
      </c>
      <c r="C2565" s="9" t="n">
        <v>587</v>
      </c>
      <c r="D2565" s="8" t="s">
        <v>13</v>
      </c>
      <c r="E2565" s="10" t="s">
        <v>302</v>
      </c>
      <c r="F2565" s="8" t="str">
        <f aca="false">TEXT(A2565,"MM-YYYY")</f>
        <v>06-2025</v>
      </c>
      <c r="G2565" s="8" t="s">
        <v>14</v>
      </c>
      <c r="H2565" s="8" t="s">
        <v>13</v>
      </c>
      <c r="I2565" s="7" t="n">
        <v>45839</v>
      </c>
      <c r="J2565" s="8" t="str">
        <f aca="false">VLOOKUP(B2565, Table3[#All], 2, FALSE())</f>
        <v>Inventory</v>
      </c>
      <c r="K2565" s="8" t="str">
        <f aca="false">TEXT(ROW(), "0000")</f>
        <v>2565</v>
      </c>
      <c r="L2565" s="8"/>
    </row>
    <row r="2566" customFormat="false" ht="15.75" hidden="false" customHeight="true" outlineLevel="0" collapsed="false">
      <c r="A2566" s="7" t="n">
        <v>45837</v>
      </c>
      <c r="B2566" s="8" t="s">
        <v>60</v>
      </c>
      <c r="C2566" s="9" t="n">
        <v>210</v>
      </c>
      <c r="D2566" s="8" t="s">
        <v>45</v>
      </c>
      <c r="E2566" s="10" t="s">
        <v>245</v>
      </c>
      <c r="F2566" s="8" t="str">
        <f aca="false">TEXT(A2566,"MM-YYYY")</f>
        <v>06-2025</v>
      </c>
      <c r="G2566" s="8" t="s">
        <v>14</v>
      </c>
      <c r="H2566" s="8" t="s">
        <v>232</v>
      </c>
      <c r="I2566" s="7" t="n">
        <v>45837</v>
      </c>
      <c r="J2566" s="8" t="str">
        <f aca="false">VLOOKUP(B2566, Table3[#All], 2, FALSE())</f>
        <v>Inventory</v>
      </c>
      <c r="K2566" s="8" t="str">
        <f aca="false">TEXT(ROW(), "0000")</f>
        <v>2566</v>
      </c>
      <c r="L2566" s="8"/>
    </row>
    <row r="2567" customFormat="false" ht="15.75" hidden="false" customHeight="true" outlineLevel="0" collapsed="false">
      <c r="A2567" s="7" t="n">
        <v>45837</v>
      </c>
      <c r="B2567" s="8" t="s">
        <v>16</v>
      </c>
      <c r="C2567" s="9" t="n">
        <v>4070</v>
      </c>
      <c r="D2567" s="8" t="s">
        <v>21</v>
      </c>
      <c r="E2567" s="10" t="s">
        <v>88</v>
      </c>
      <c r="F2567" s="8" t="str">
        <f aca="false">TEXT(A2567,"MM-YYYY")</f>
        <v>06-2025</v>
      </c>
      <c r="G2567" s="8"/>
      <c r="H2567" s="8"/>
      <c r="I2567" s="7"/>
      <c r="J2567" s="8" t="str">
        <f aca="false">VLOOKUP(B2567, Table3[#All], 2, FALSE())</f>
        <v>Sales</v>
      </c>
      <c r="K2567" s="8" t="str">
        <f aca="false">TEXT(ROW(), "0000")</f>
        <v>2567</v>
      </c>
      <c r="L2567" s="8"/>
    </row>
    <row r="2568" customFormat="false" ht="15.75" hidden="false" customHeight="true" outlineLevel="0" collapsed="false">
      <c r="A2568" s="7" t="n">
        <v>45837</v>
      </c>
      <c r="B2568" s="8" t="s">
        <v>16</v>
      </c>
      <c r="C2568" s="9" t="n">
        <v>45</v>
      </c>
      <c r="D2568" s="8" t="s">
        <v>33</v>
      </c>
      <c r="E2568" s="10" t="s">
        <v>88</v>
      </c>
      <c r="F2568" s="8" t="str">
        <f aca="false">TEXT(A2568,"MM-YYYY")</f>
        <v>06-2025</v>
      </c>
      <c r="G2568" s="8"/>
      <c r="H2568" s="8"/>
      <c r="I2568" s="7"/>
      <c r="J2568" s="8" t="str">
        <f aca="false">VLOOKUP(B2568, Table3[#All], 2, FALSE())</f>
        <v>Sales</v>
      </c>
      <c r="K2568" s="8" t="str">
        <f aca="false">TEXT(ROW(), "0000")</f>
        <v>2568</v>
      </c>
      <c r="L2568" s="8"/>
    </row>
    <row r="2569" customFormat="false" ht="15.75" hidden="false" customHeight="true" outlineLevel="0" collapsed="false">
      <c r="A2569" s="7" t="n">
        <v>45837</v>
      </c>
      <c r="B2569" s="8" t="s">
        <v>16</v>
      </c>
      <c r="C2569" s="9" t="n">
        <v>20297</v>
      </c>
      <c r="D2569" s="8" t="s">
        <v>17</v>
      </c>
      <c r="E2569" s="10" t="s">
        <v>88</v>
      </c>
      <c r="F2569" s="8" t="str">
        <f aca="false">TEXT(A2569,"MM-YYYY")</f>
        <v>06-2025</v>
      </c>
      <c r="G2569" s="8"/>
      <c r="H2569" s="8"/>
      <c r="I2569" s="7"/>
      <c r="J2569" s="8" t="str">
        <f aca="false">VLOOKUP(B2569, Table3[#All], 2, FALSE())</f>
        <v>Sales</v>
      </c>
      <c r="K2569" s="8" t="str">
        <f aca="false">TEXT(ROW(), "0000")</f>
        <v>2569</v>
      </c>
      <c r="L2569" s="8"/>
    </row>
    <row r="2570" customFormat="false" ht="15.75" hidden="false" customHeight="true" outlineLevel="0" collapsed="false">
      <c r="A2570" s="7" t="n">
        <v>45837</v>
      </c>
      <c r="B2570" s="8" t="s">
        <v>16</v>
      </c>
      <c r="C2570" s="9" t="n">
        <v>1735</v>
      </c>
      <c r="D2570" s="8" t="s">
        <v>24</v>
      </c>
      <c r="E2570" s="10" t="s">
        <v>217</v>
      </c>
      <c r="F2570" s="8" t="str">
        <f aca="false">TEXT(A2570,"MM-YYYY")</f>
        <v>06-2025</v>
      </c>
      <c r="G2570" s="8"/>
      <c r="H2570" s="8"/>
      <c r="I2570" s="7"/>
      <c r="J2570" s="8" t="str">
        <f aca="false">VLOOKUP(B2570, Table3[#All], 2, FALSE())</f>
        <v>Sales</v>
      </c>
      <c r="K2570" s="8" t="str">
        <f aca="false">TEXT(ROW(), "0000")</f>
        <v>2570</v>
      </c>
      <c r="L2570" s="8"/>
    </row>
    <row r="2571" customFormat="false" ht="15.75" hidden="false" customHeight="true" outlineLevel="0" collapsed="false">
      <c r="A2571" s="7" t="n">
        <v>45837</v>
      </c>
      <c r="B2571" s="8" t="s">
        <v>31</v>
      </c>
      <c r="C2571" s="9" t="n">
        <v>400</v>
      </c>
      <c r="D2571" s="8" t="s">
        <v>45</v>
      </c>
      <c r="E2571" s="10" t="s">
        <v>236</v>
      </c>
      <c r="F2571" s="8" t="str">
        <f aca="false">TEXT(A2571,"MM-YYYY")</f>
        <v>06-2025</v>
      </c>
      <c r="G2571" s="8" t="s">
        <v>14</v>
      </c>
      <c r="H2571" s="8" t="s">
        <v>232</v>
      </c>
      <c r="I2571" s="7" t="n">
        <v>45837</v>
      </c>
      <c r="J2571" s="8" t="str">
        <f aca="false">VLOOKUP(B2571, Table3[#All], 2, FALSE())</f>
        <v>Bike Maintance</v>
      </c>
      <c r="K2571" s="8" t="str">
        <f aca="false">TEXT(ROW(), "0000")</f>
        <v>2571</v>
      </c>
      <c r="L2571" s="8"/>
    </row>
    <row r="2572" customFormat="false" ht="15.75" hidden="false" customHeight="true" outlineLevel="0" collapsed="false">
      <c r="A2572" s="7" t="n">
        <v>45837</v>
      </c>
      <c r="B2572" s="8" t="s">
        <v>29</v>
      </c>
      <c r="C2572" s="9" t="n">
        <v>620</v>
      </c>
      <c r="D2572" s="8" t="s">
        <v>45</v>
      </c>
      <c r="E2572" s="10" t="s">
        <v>78</v>
      </c>
      <c r="F2572" s="8" t="str">
        <f aca="false">TEXT(A2572,"MM-YYYY")</f>
        <v>06-2025</v>
      </c>
      <c r="G2572" s="8" t="s">
        <v>14</v>
      </c>
      <c r="H2572" s="8" t="s">
        <v>232</v>
      </c>
      <c r="I2572" s="7" t="n">
        <v>45837</v>
      </c>
      <c r="J2572" s="8" t="str">
        <f aca="false">VLOOKUP(B2572, Table3[#All], 2, FALSE())</f>
        <v>Inventory</v>
      </c>
      <c r="K2572" s="8" t="str">
        <f aca="false">TEXT(ROW(), "0000")</f>
        <v>2572</v>
      </c>
      <c r="L2572" s="8"/>
    </row>
    <row r="2573" customFormat="false" ht="15.75" hidden="false" customHeight="true" outlineLevel="0" collapsed="false">
      <c r="A2573" s="7" t="n">
        <v>45837</v>
      </c>
      <c r="B2573" s="8" t="s">
        <v>34</v>
      </c>
      <c r="C2573" s="9" t="n">
        <v>150</v>
      </c>
      <c r="D2573" s="8" t="s">
        <v>45</v>
      </c>
      <c r="E2573" s="10" t="s">
        <v>274</v>
      </c>
      <c r="F2573" s="8" t="str">
        <f aca="false">TEXT(A2573,"MM-YYYY")</f>
        <v>06-2025</v>
      </c>
      <c r="G2573" s="8" t="s">
        <v>14</v>
      </c>
      <c r="H2573" s="8" t="s">
        <v>232</v>
      </c>
      <c r="I2573" s="7" t="n">
        <v>45837</v>
      </c>
      <c r="J2573" s="8" t="str">
        <f aca="false">VLOOKUP(B2573, Table3[#All], 2, FALSE())</f>
        <v>Staff Expenses</v>
      </c>
      <c r="K2573" s="8" t="str">
        <f aca="false">TEXT(ROW(), "0000")</f>
        <v>2573</v>
      </c>
      <c r="L2573" s="8"/>
    </row>
    <row r="2574" customFormat="false" ht="15.75" hidden="false" customHeight="true" outlineLevel="0" collapsed="false">
      <c r="A2574" s="7" t="n">
        <v>45838</v>
      </c>
      <c r="B2574" s="8" t="s">
        <v>25</v>
      </c>
      <c r="C2574" s="9" t="n">
        <v>1719</v>
      </c>
      <c r="D2574" s="8" t="s">
        <v>13</v>
      </c>
      <c r="E2574" s="10" t="s">
        <v>26</v>
      </c>
      <c r="F2574" s="8" t="str">
        <f aca="false">TEXT(A2574,"MM-YYYY")</f>
        <v>06-2025</v>
      </c>
      <c r="G2574" s="21" t="s">
        <v>14</v>
      </c>
      <c r="H2574" s="8" t="s">
        <v>13</v>
      </c>
      <c r="I2574" s="7" t="n">
        <v>45871</v>
      </c>
      <c r="J2574" s="8" t="str">
        <f aca="false">VLOOKUP(B2574, Table3[#All], 2, FALSE())</f>
        <v>Inventory</v>
      </c>
      <c r="K2574" s="8" t="str">
        <f aca="false">TEXT(ROW(), "0000")</f>
        <v>2574</v>
      </c>
      <c r="L2574" s="8"/>
    </row>
    <row r="2575" customFormat="false" ht="15.75" hidden="false" customHeight="true" outlineLevel="0" collapsed="false">
      <c r="A2575" s="7" t="n">
        <v>45838</v>
      </c>
      <c r="B2575" s="8" t="s">
        <v>47</v>
      </c>
      <c r="C2575" s="9" t="n">
        <v>840</v>
      </c>
      <c r="D2575" s="8" t="s">
        <v>13</v>
      </c>
      <c r="E2575" s="10" t="s">
        <v>339</v>
      </c>
      <c r="F2575" s="8" t="str">
        <f aca="false">TEXT(A2575,"MM-YYYY")</f>
        <v>06-2025</v>
      </c>
      <c r="G2575" s="8" t="s">
        <v>14</v>
      </c>
      <c r="H2575" s="8" t="s">
        <v>13</v>
      </c>
      <c r="I2575" s="7" t="n">
        <v>45843</v>
      </c>
      <c r="J2575" s="8" t="str">
        <f aca="false">VLOOKUP(B2575, Table3[#All], 2, FALSE())</f>
        <v>Inventory</v>
      </c>
      <c r="K2575" s="8" t="str">
        <f aca="false">TEXT(ROW(), "0000")</f>
        <v>2575</v>
      </c>
      <c r="L2575" s="8"/>
    </row>
    <row r="2576" customFormat="false" ht="15.75" hidden="false" customHeight="true" outlineLevel="0" collapsed="false">
      <c r="A2576" s="7" t="n">
        <v>45838</v>
      </c>
      <c r="B2576" s="8" t="s">
        <v>22</v>
      </c>
      <c r="C2576" s="9" t="n">
        <v>551</v>
      </c>
      <c r="D2576" s="8" t="s">
        <v>13</v>
      </c>
      <c r="E2576" s="10" t="s">
        <v>23</v>
      </c>
      <c r="F2576" s="8" t="str">
        <f aca="false">TEXT(A2576,"MM-YYYY")</f>
        <v>06-2025</v>
      </c>
      <c r="G2576" s="8" t="s">
        <v>14</v>
      </c>
      <c r="H2576" s="8" t="s">
        <v>13</v>
      </c>
      <c r="I2576" s="7" t="n">
        <v>45845</v>
      </c>
      <c r="J2576" s="8" t="str">
        <f aca="false">VLOOKUP(B2576, Table3[#All], 2, FALSE())</f>
        <v>Inventory</v>
      </c>
      <c r="K2576" s="8" t="str">
        <f aca="false">TEXT(ROW(), "0000")</f>
        <v>2576</v>
      </c>
      <c r="L2576" s="8"/>
    </row>
    <row r="2577" customFormat="false" ht="15.75" hidden="false" customHeight="true" outlineLevel="0" collapsed="false">
      <c r="A2577" s="7" t="n">
        <v>45838</v>
      </c>
      <c r="B2577" s="8" t="s">
        <v>32</v>
      </c>
      <c r="C2577" s="9" t="n">
        <v>140</v>
      </c>
      <c r="D2577" s="8" t="s">
        <v>21</v>
      </c>
      <c r="E2577" s="10" t="s">
        <v>38</v>
      </c>
      <c r="F2577" s="8" t="str">
        <f aca="false">TEXT(A2577,"MM-YYYY")</f>
        <v>06-2025</v>
      </c>
      <c r="G2577" s="8" t="s">
        <v>14</v>
      </c>
      <c r="H2577" s="8"/>
      <c r="I2577" s="7"/>
      <c r="J2577" s="8" t="str">
        <f aca="false">VLOOKUP(B2577, Table3[#All], 2, FALSE())</f>
        <v>Grocery</v>
      </c>
      <c r="K2577" s="8" t="str">
        <f aca="false">TEXT(ROW(), "0000")</f>
        <v>2577</v>
      </c>
      <c r="L2577" s="8"/>
    </row>
    <row r="2578" customFormat="false" ht="15.75" hidden="false" customHeight="true" outlineLevel="0" collapsed="false">
      <c r="A2578" s="7" t="n">
        <v>45838</v>
      </c>
      <c r="B2578" s="8" t="s">
        <v>19</v>
      </c>
      <c r="C2578" s="9" t="n">
        <v>3929</v>
      </c>
      <c r="D2578" s="8" t="s">
        <v>13</v>
      </c>
      <c r="E2578" s="10" t="s">
        <v>20</v>
      </c>
      <c r="F2578" s="8" t="str">
        <f aca="false">TEXT(A2578,"MM-YYYY")</f>
        <v>06-2025</v>
      </c>
      <c r="G2578" s="8" t="s">
        <v>14</v>
      </c>
      <c r="H2578" s="8" t="s">
        <v>13</v>
      </c>
      <c r="I2578" s="7" t="n">
        <v>45845</v>
      </c>
      <c r="J2578" s="8" t="str">
        <f aca="false">VLOOKUP(B2578, Table3[#All], 2, FALSE())</f>
        <v>Inventory</v>
      </c>
      <c r="K2578" s="8" t="str">
        <f aca="false">TEXT(ROW(), "0000")</f>
        <v>2578</v>
      </c>
      <c r="L2578" s="8"/>
    </row>
    <row r="2579" customFormat="false" ht="15.75" hidden="false" customHeight="true" outlineLevel="0" collapsed="false">
      <c r="A2579" s="7" t="n">
        <v>45838</v>
      </c>
      <c r="B2579" s="8" t="s">
        <v>29</v>
      </c>
      <c r="C2579" s="9" t="n">
        <v>302</v>
      </c>
      <c r="D2579" s="8" t="s">
        <v>13</v>
      </c>
      <c r="E2579" s="10" t="s">
        <v>302</v>
      </c>
      <c r="F2579" s="8" t="str">
        <f aca="false">TEXT(A2579,"MM-YYYY")</f>
        <v>06-2025</v>
      </c>
      <c r="G2579" s="8" t="s">
        <v>14</v>
      </c>
      <c r="H2579" s="8" t="s">
        <v>13</v>
      </c>
      <c r="I2579" s="7" t="n">
        <v>45839</v>
      </c>
      <c r="J2579" s="8" t="str">
        <f aca="false">VLOOKUP(B2579, Table3[#All], 2, FALSE())</f>
        <v>Inventory</v>
      </c>
      <c r="K2579" s="8" t="str">
        <f aca="false">TEXT(ROW(), "0000")</f>
        <v>2579</v>
      </c>
      <c r="L2579" s="8"/>
    </row>
    <row r="2580" customFormat="false" ht="15.75" hidden="false" customHeight="true" outlineLevel="0" collapsed="false">
      <c r="A2580" s="7" t="n">
        <v>45838</v>
      </c>
      <c r="B2580" s="8" t="s">
        <v>50</v>
      </c>
      <c r="C2580" s="9" t="n">
        <v>1740</v>
      </c>
      <c r="D2580" s="8" t="s">
        <v>13</v>
      </c>
      <c r="E2580" s="10" t="s">
        <v>263</v>
      </c>
      <c r="F2580" s="8" t="str">
        <f aca="false">TEXT(A2580,"MM-YYYY")</f>
        <v>06-2025</v>
      </c>
      <c r="G2580" s="8" t="s">
        <v>14</v>
      </c>
      <c r="H2580" s="8" t="s">
        <v>13</v>
      </c>
      <c r="I2580" s="7" t="n">
        <v>45842</v>
      </c>
      <c r="J2580" s="8" t="str">
        <f aca="false">VLOOKUP(B2580, Table3[#All], 2, FALSE())</f>
        <v>Fixed Maintance</v>
      </c>
      <c r="K2580" s="8" t="str">
        <f aca="false">TEXT(ROW(), "0000")</f>
        <v>2580</v>
      </c>
      <c r="L2580" s="8"/>
    </row>
    <row r="2581" customFormat="false" ht="15.75" hidden="false" customHeight="true" outlineLevel="0" collapsed="false">
      <c r="A2581" s="7" t="n">
        <v>45838</v>
      </c>
      <c r="B2581" s="8" t="s">
        <v>28</v>
      </c>
      <c r="C2581" s="9" t="n">
        <v>940</v>
      </c>
      <c r="D2581" s="8" t="s">
        <v>45</v>
      </c>
      <c r="E2581" s="10" t="s">
        <v>93</v>
      </c>
      <c r="F2581" s="8" t="str">
        <f aca="false">TEXT(A2581,"MM-YYYY")</f>
        <v>06-2025</v>
      </c>
      <c r="G2581" s="8" t="s">
        <v>14</v>
      </c>
      <c r="H2581" s="8" t="s">
        <v>15</v>
      </c>
      <c r="I2581" s="7" t="n">
        <v>45838</v>
      </c>
      <c r="J2581" s="8" t="str">
        <f aca="false">VLOOKUP(B2581, Table3[#All], 2, FALSE())</f>
        <v>Grocery</v>
      </c>
      <c r="K2581" s="8" t="str">
        <f aca="false">TEXT(ROW(), "0000")</f>
        <v>2581</v>
      </c>
      <c r="L2581" s="8"/>
    </row>
    <row r="2582" customFormat="false" ht="15.75" hidden="false" customHeight="true" outlineLevel="0" collapsed="false">
      <c r="A2582" s="7" t="n">
        <v>45838</v>
      </c>
      <c r="B2582" s="8" t="s">
        <v>16</v>
      </c>
      <c r="C2582" s="9" t="n">
        <v>390</v>
      </c>
      <c r="D2582" s="8" t="s">
        <v>21</v>
      </c>
      <c r="E2582" s="10" t="s">
        <v>88</v>
      </c>
      <c r="F2582" s="8" t="str">
        <f aca="false">TEXT(A2582,"MM-YYYY")</f>
        <v>06-2025</v>
      </c>
      <c r="G2582" s="8"/>
      <c r="H2582" s="8"/>
      <c r="I2582" s="7"/>
      <c r="J2582" s="8" t="str">
        <f aca="false">VLOOKUP(B2582, Table3[#All], 2, FALSE())</f>
        <v>Sales</v>
      </c>
      <c r="K2582" s="8" t="str">
        <f aca="false">TEXT(ROW(), "0000")</f>
        <v>2582</v>
      </c>
      <c r="L2582" s="8"/>
    </row>
    <row r="2583" customFormat="false" ht="15.75" hidden="false" customHeight="true" outlineLevel="0" collapsed="false">
      <c r="A2583" s="7" t="n">
        <v>45838</v>
      </c>
      <c r="B2583" s="8" t="s">
        <v>16</v>
      </c>
      <c r="C2583" s="9" t="n">
        <v>1380</v>
      </c>
      <c r="D2583" s="8" t="s">
        <v>27</v>
      </c>
      <c r="E2583" s="10" t="s">
        <v>88</v>
      </c>
      <c r="F2583" s="8" t="str">
        <f aca="false">TEXT(A2583,"MM-YYYY")</f>
        <v>06-2025</v>
      </c>
      <c r="G2583" s="8"/>
      <c r="H2583" s="8"/>
      <c r="I2583" s="7"/>
      <c r="J2583" s="8" t="str">
        <f aca="false">VLOOKUP(B2583, Table3[#All], 2, FALSE())</f>
        <v>Sales</v>
      </c>
      <c r="K2583" s="8" t="str">
        <f aca="false">TEXT(ROW(), "0000")</f>
        <v>2583</v>
      </c>
      <c r="L2583" s="8"/>
    </row>
    <row r="2584" customFormat="false" ht="15.75" hidden="false" customHeight="true" outlineLevel="0" collapsed="false">
      <c r="A2584" s="7" t="n">
        <v>45838</v>
      </c>
      <c r="B2584" s="8" t="s">
        <v>16</v>
      </c>
      <c r="C2584" s="9" t="n">
        <v>20</v>
      </c>
      <c r="D2584" s="8" t="s">
        <v>33</v>
      </c>
      <c r="E2584" s="10" t="s">
        <v>88</v>
      </c>
      <c r="F2584" s="8" t="str">
        <f aca="false">TEXT(A2584,"MM-YYYY")</f>
        <v>06-2025</v>
      </c>
      <c r="G2584" s="8"/>
      <c r="H2584" s="8"/>
      <c r="I2584" s="7"/>
      <c r="J2584" s="8" t="str">
        <f aca="false">VLOOKUP(B2584, Table3[#All], 2, FALSE())</f>
        <v>Sales</v>
      </c>
      <c r="K2584" s="8" t="str">
        <f aca="false">TEXT(ROW(), "0000")</f>
        <v>2584</v>
      </c>
      <c r="L2584" s="8"/>
    </row>
    <row r="2585" customFormat="false" ht="15.75" hidden="false" customHeight="true" outlineLevel="0" collapsed="false">
      <c r="A2585" s="7" t="n">
        <v>45838</v>
      </c>
      <c r="B2585" s="8" t="s">
        <v>16</v>
      </c>
      <c r="C2585" s="9" t="n">
        <v>7783</v>
      </c>
      <c r="D2585" s="8" t="s">
        <v>17</v>
      </c>
      <c r="E2585" s="10" t="s">
        <v>88</v>
      </c>
      <c r="F2585" s="8" t="str">
        <f aca="false">TEXT(A2585,"MM-YYYY")</f>
        <v>06-2025</v>
      </c>
      <c r="G2585" s="8"/>
      <c r="H2585" s="8"/>
      <c r="I2585" s="7"/>
      <c r="J2585" s="8" t="str">
        <f aca="false">VLOOKUP(B2585, Table3[#All], 2, FALSE())</f>
        <v>Sales</v>
      </c>
      <c r="K2585" s="8" t="str">
        <f aca="false">TEXT(ROW(), "0000")</f>
        <v>2585</v>
      </c>
      <c r="L2585" s="8"/>
    </row>
    <row r="2586" customFormat="false" ht="15.75" hidden="false" customHeight="true" outlineLevel="0" collapsed="false">
      <c r="A2586" s="7" t="n">
        <v>45838</v>
      </c>
      <c r="B2586" s="8" t="s">
        <v>16</v>
      </c>
      <c r="C2586" s="9" t="n">
        <v>390</v>
      </c>
      <c r="D2586" s="8" t="s">
        <v>59</v>
      </c>
      <c r="E2586" s="10" t="s">
        <v>88</v>
      </c>
      <c r="F2586" s="8" t="str">
        <f aca="false">TEXT(A2586,"MM-YYYY")</f>
        <v>06-2025</v>
      </c>
      <c r="G2586" s="8"/>
      <c r="H2586" s="8"/>
      <c r="I2586" s="7"/>
      <c r="J2586" s="8" t="str">
        <f aca="false">VLOOKUP(B2586, Table3[#All], 2, FALSE())</f>
        <v>Sales</v>
      </c>
      <c r="K2586" s="8" t="str">
        <f aca="false">TEXT(ROW(), "0000")</f>
        <v>2586</v>
      </c>
      <c r="L2586" s="8"/>
    </row>
    <row r="2587" customFormat="false" ht="15.75" hidden="false" customHeight="true" outlineLevel="0" collapsed="false">
      <c r="A2587" s="7" t="n">
        <v>45838</v>
      </c>
      <c r="B2587" s="8" t="s">
        <v>16</v>
      </c>
      <c r="C2587" s="9" t="n">
        <v>2184</v>
      </c>
      <c r="D2587" s="8" t="s">
        <v>24</v>
      </c>
      <c r="E2587" s="10" t="s">
        <v>217</v>
      </c>
      <c r="F2587" s="8" t="str">
        <f aca="false">TEXT(A2587,"MM-YYYY")</f>
        <v>06-2025</v>
      </c>
      <c r="G2587" s="8"/>
      <c r="H2587" s="8"/>
      <c r="I2587" s="7"/>
      <c r="J2587" s="8" t="str">
        <f aca="false">VLOOKUP(B2587, Table3[#All], 2, FALSE())</f>
        <v>Sales</v>
      </c>
      <c r="K2587" s="8" t="str">
        <f aca="false">TEXT(ROW(), "0000")</f>
        <v>2587</v>
      </c>
      <c r="L2587" s="8"/>
    </row>
    <row r="2588" customFormat="false" ht="15.75" hidden="false" customHeight="true" outlineLevel="0" collapsed="false">
      <c r="A2588" s="7" t="n">
        <v>45838</v>
      </c>
      <c r="B2588" s="8" t="s">
        <v>34</v>
      </c>
      <c r="C2588" s="9" t="n">
        <v>110</v>
      </c>
      <c r="D2588" s="8" t="s">
        <v>21</v>
      </c>
      <c r="E2588" s="10" t="s">
        <v>274</v>
      </c>
      <c r="F2588" s="8" t="str">
        <f aca="false">TEXT(A2588,"MM-YYYY")</f>
        <v>06-2025</v>
      </c>
      <c r="G2588" s="8" t="s">
        <v>14</v>
      </c>
      <c r="H2588" s="8" t="s">
        <v>15</v>
      </c>
      <c r="I2588" s="7" t="n">
        <v>45838</v>
      </c>
      <c r="J2588" s="8" t="str">
        <f aca="false">VLOOKUP(B2588, Table3[#All], 2, FALSE())</f>
        <v>Staff Expenses</v>
      </c>
      <c r="K2588" s="8" t="str">
        <f aca="false">TEXT(ROW(), "0000")</f>
        <v>2588</v>
      </c>
      <c r="L2588" s="8"/>
    </row>
    <row r="2589" customFormat="false" ht="15.75" hidden="false" customHeight="true" outlineLevel="0" collapsed="false">
      <c r="A2589" s="7" t="n">
        <v>45839</v>
      </c>
      <c r="B2589" s="8" t="s">
        <v>19</v>
      </c>
      <c r="C2589" s="9" t="n">
        <v>788</v>
      </c>
      <c r="D2589" s="8" t="s">
        <v>13</v>
      </c>
      <c r="E2589" s="10" t="s">
        <v>20</v>
      </c>
      <c r="F2589" s="8" t="str">
        <f aca="false">TEXT(A2589,"MM-YYYY")</f>
        <v>07-2025</v>
      </c>
      <c r="G2589" s="8" t="s">
        <v>14</v>
      </c>
      <c r="H2589" s="8" t="s">
        <v>13</v>
      </c>
      <c r="I2589" s="7" t="n">
        <v>45845</v>
      </c>
      <c r="J2589" s="8" t="str">
        <f aca="false">VLOOKUP(B2589, Table3[#All], 2, FALSE())</f>
        <v>Inventory</v>
      </c>
      <c r="K2589" s="8" t="str">
        <f aca="false">TEXT(ROW(), "0000")</f>
        <v>2589</v>
      </c>
      <c r="L2589" s="8"/>
    </row>
    <row r="2590" customFormat="false" ht="15.75" hidden="false" customHeight="true" outlineLevel="0" collapsed="false">
      <c r="A2590" s="7" t="n">
        <v>45839</v>
      </c>
      <c r="B2590" s="8" t="s">
        <v>25</v>
      </c>
      <c r="C2590" s="9" t="n">
        <v>286</v>
      </c>
      <c r="D2590" s="8" t="s">
        <v>13</v>
      </c>
      <c r="E2590" s="10" t="s">
        <v>26</v>
      </c>
      <c r="F2590" s="8" t="str">
        <f aca="false">TEXT(A2590,"MM-YYYY")</f>
        <v>07-2025</v>
      </c>
      <c r="G2590" s="8" t="s">
        <v>18</v>
      </c>
      <c r="H2590" s="8"/>
      <c r="I2590" s="7"/>
      <c r="J2590" s="8" t="str">
        <f aca="false">VLOOKUP(B2590, Table3[#All], 2, FALSE())</f>
        <v>Inventory</v>
      </c>
      <c r="K2590" s="8" t="str">
        <f aca="false">TEXT(ROW(), "0000")</f>
        <v>2590</v>
      </c>
      <c r="L2590" s="8"/>
    </row>
    <row r="2591" customFormat="false" ht="15.75" hidden="false" customHeight="true" outlineLevel="0" collapsed="false">
      <c r="A2591" s="7" t="n">
        <v>45839</v>
      </c>
      <c r="B2591" s="8" t="s">
        <v>199</v>
      </c>
      <c r="C2591" s="9" t="n">
        <v>2830</v>
      </c>
      <c r="D2591" s="8" t="s">
        <v>45</v>
      </c>
      <c r="E2591" s="10" t="s">
        <v>351</v>
      </c>
      <c r="F2591" s="8" t="str">
        <f aca="false">TEXT(A2591,"MM-YYYY")</f>
        <v>07-2025</v>
      </c>
      <c r="G2591" s="8" t="s">
        <v>14</v>
      </c>
      <c r="H2591" s="8" t="s">
        <v>232</v>
      </c>
      <c r="I2591" s="7" t="n">
        <v>45839</v>
      </c>
      <c r="J2591" s="8" t="str">
        <f aca="false">VLOOKUP(B2591, Table3[#All], 2, FALSE())</f>
        <v>Fixed Maintance</v>
      </c>
      <c r="K2591" s="8" t="str">
        <f aca="false">TEXT(ROW(), "0000")</f>
        <v>2591</v>
      </c>
      <c r="L2591" s="8"/>
    </row>
    <row r="2592" customFormat="false" ht="15.75" hidden="false" customHeight="true" outlineLevel="0" collapsed="false">
      <c r="A2592" s="7" t="n">
        <v>45839</v>
      </c>
      <c r="B2592" s="8" t="s">
        <v>199</v>
      </c>
      <c r="C2592" s="9" t="n">
        <v>970</v>
      </c>
      <c r="D2592" s="8" t="s">
        <v>45</v>
      </c>
      <c r="E2592" s="10" t="s">
        <v>352</v>
      </c>
      <c r="F2592" s="8" t="str">
        <f aca="false">TEXT(A2592,"MM-YYYY")</f>
        <v>07-2025</v>
      </c>
      <c r="G2592" s="8" t="s">
        <v>14</v>
      </c>
      <c r="H2592" s="8" t="s">
        <v>232</v>
      </c>
      <c r="I2592" s="7" t="n">
        <v>45839</v>
      </c>
      <c r="J2592" s="8" t="str">
        <f aca="false">VLOOKUP(B2592, Table3[#All], 2, FALSE())</f>
        <v>Fixed Maintance</v>
      </c>
      <c r="K2592" s="8" t="str">
        <f aca="false">TEXT(ROW(), "0000")</f>
        <v>2592</v>
      </c>
      <c r="L2592" s="8"/>
    </row>
    <row r="2593" customFormat="false" ht="15.75" hidden="false" customHeight="true" outlineLevel="0" collapsed="false">
      <c r="A2593" s="7" t="n">
        <v>45839</v>
      </c>
      <c r="B2593" s="8" t="s">
        <v>43</v>
      </c>
      <c r="C2593" s="9" t="n">
        <v>1160</v>
      </c>
      <c r="D2593" s="8" t="s">
        <v>45</v>
      </c>
      <c r="E2593" s="10" t="s">
        <v>279</v>
      </c>
      <c r="F2593" s="8" t="str">
        <f aca="false">TEXT(A2593,"MM-YYYY")</f>
        <v>07-2025</v>
      </c>
      <c r="G2593" s="8" t="s">
        <v>14</v>
      </c>
      <c r="H2593" s="8" t="s">
        <v>232</v>
      </c>
      <c r="I2593" s="7" t="n">
        <v>45839</v>
      </c>
      <c r="J2593" s="8" t="str">
        <f aca="false">VLOOKUP(B2593, Table3[#All], 2, FALSE())</f>
        <v>Maintance</v>
      </c>
      <c r="K2593" s="8" t="str">
        <f aca="false">TEXT(ROW(), "0000")</f>
        <v>2593</v>
      </c>
      <c r="L2593" s="8"/>
    </row>
    <row r="2594" customFormat="false" ht="15.75" hidden="false" customHeight="true" outlineLevel="0" collapsed="false">
      <c r="A2594" s="7" t="n">
        <v>45839</v>
      </c>
      <c r="B2594" s="8" t="s">
        <v>44</v>
      </c>
      <c r="C2594" s="9" t="n">
        <v>100</v>
      </c>
      <c r="D2594" s="8" t="s">
        <v>45</v>
      </c>
      <c r="E2594" s="10" t="s">
        <v>317</v>
      </c>
      <c r="F2594" s="8" t="str">
        <f aca="false">TEXT(A2594,"MM-YYYY")</f>
        <v>07-2025</v>
      </c>
      <c r="G2594" s="8" t="s">
        <v>14</v>
      </c>
      <c r="H2594" s="8" t="s">
        <v>232</v>
      </c>
      <c r="I2594" s="7" t="n">
        <v>45839</v>
      </c>
      <c r="J2594" s="8" t="str">
        <f aca="false">VLOOKUP(B2594, Table3[#All], 2, FALSE())</f>
        <v>Salary</v>
      </c>
      <c r="K2594" s="8" t="str">
        <f aca="false">TEXT(ROW(), "0000")</f>
        <v>2594</v>
      </c>
      <c r="L2594" s="8"/>
    </row>
    <row r="2595" customFormat="false" ht="15.75" hidden="false" customHeight="true" outlineLevel="0" collapsed="false">
      <c r="A2595" s="7" t="n">
        <v>45839</v>
      </c>
      <c r="B2595" s="8" t="s">
        <v>35</v>
      </c>
      <c r="C2595" s="9" t="n">
        <v>1500</v>
      </c>
      <c r="D2595" s="8" t="s">
        <v>45</v>
      </c>
      <c r="E2595" s="10" t="s">
        <v>353</v>
      </c>
      <c r="F2595" s="8" t="str">
        <f aca="false">TEXT(A2595,"MM-YYYY")</f>
        <v>07-2025</v>
      </c>
      <c r="G2595" s="8" t="s">
        <v>14</v>
      </c>
      <c r="H2595" s="8" t="s">
        <v>232</v>
      </c>
      <c r="I2595" s="7" t="n">
        <v>45839</v>
      </c>
      <c r="J2595" s="8" t="str">
        <f aca="false">VLOOKUP(B2595, Table3[#All], 2, FALSE())</f>
        <v>Inventory</v>
      </c>
      <c r="K2595" s="8" t="str">
        <f aca="false">TEXT(ROW(), "0000")</f>
        <v>2595</v>
      </c>
      <c r="L2595" s="8"/>
    </row>
    <row r="2596" customFormat="false" ht="15.75" hidden="false" customHeight="true" outlineLevel="0" collapsed="false">
      <c r="A2596" s="7" t="n">
        <v>45839</v>
      </c>
      <c r="B2596" s="8" t="s">
        <v>50</v>
      </c>
      <c r="C2596" s="9" t="n">
        <v>1678</v>
      </c>
      <c r="D2596" s="8" t="s">
        <v>13</v>
      </c>
      <c r="E2596" s="10" t="s">
        <v>263</v>
      </c>
      <c r="F2596" s="8" t="str">
        <f aca="false">TEXT(A2596,"MM-YYYY")</f>
        <v>07-2025</v>
      </c>
      <c r="G2596" s="8" t="s">
        <v>14</v>
      </c>
      <c r="H2596" s="8" t="s">
        <v>13</v>
      </c>
      <c r="I2596" s="7" t="n">
        <v>45864</v>
      </c>
      <c r="J2596" s="8" t="str">
        <f aca="false">VLOOKUP(B2596, Table3[#All], 2, FALSE())</f>
        <v>Fixed Maintance</v>
      </c>
      <c r="K2596" s="8" t="str">
        <f aca="false">TEXT(ROW(), "0000")</f>
        <v>2596</v>
      </c>
      <c r="L2596" s="8"/>
    </row>
    <row r="2597" customFormat="false" ht="15.75" hidden="false" customHeight="true" outlineLevel="0" collapsed="false">
      <c r="A2597" s="7" t="n">
        <v>45839</v>
      </c>
      <c r="B2597" s="8" t="s">
        <v>29</v>
      </c>
      <c r="C2597" s="9" t="n">
        <v>245</v>
      </c>
      <c r="D2597" s="8" t="s">
        <v>13</v>
      </c>
      <c r="E2597" s="10" t="s">
        <v>302</v>
      </c>
      <c r="F2597" s="8" t="str">
        <f aca="false">TEXT(A2597,"MM-YYYY")</f>
        <v>07-2025</v>
      </c>
      <c r="G2597" s="8" t="s">
        <v>18</v>
      </c>
      <c r="H2597" s="8"/>
      <c r="I2597" s="7"/>
      <c r="J2597" s="8" t="str">
        <f aca="false">VLOOKUP(B2597, Table3[#All], 2, FALSE())</f>
        <v>Inventory</v>
      </c>
      <c r="K2597" s="8" t="str">
        <f aca="false">TEXT(ROW(), "0000")</f>
        <v>2597</v>
      </c>
      <c r="L2597" s="8"/>
    </row>
    <row r="2598" customFormat="false" ht="15.75" hidden="false" customHeight="true" outlineLevel="0" collapsed="false">
      <c r="A2598" s="7" t="n">
        <v>45839</v>
      </c>
      <c r="B2598" s="8" t="s">
        <v>16</v>
      </c>
      <c r="C2598" s="9" t="n">
        <v>3120</v>
      </c>
      <c r="D2598" s="8" t="s">
        <v>21</v>
      </c>
      <c r="E2598" s="10" t="s">
        <v>88</v>
      </c>
      <c r="F2598" s="8" t="str">
        <f aca="false">TEXT(A2598,"MM-YYYY")</f>
        <v>07-2025</v>
      </c>
      <c r="G2598" s="8"/>
      <c r="H2598" s="8"/>
      <c r="I2598" s="7"/>
      <c r="J2598" s="8" t="str">
        <f aca="false">VLOOKUP(B2598, Table3[#All], 2, FALSE())</f>
        <v>Sales</v>
      </c>
      <c r="K2598" s="8" t="str">
        <f aca="false">TEXT(ROW(), "0000")</f>
        <v>2598</v>
      </c>
      <c r="L2598" s="8"/>
    </row>
    <row r="2599" customFormat="false" ht="15.75" hidden="false" customHeight="true" outlineLevel="0" collapsed="false">
      <c r="A2599" s="7" t="n">
        <v>45839</v>
      </c>
      <c r="B2599" s="8" t="s">
        <v>16</v>
      </c>
      <c r="C2599" s="9" t="n">
        <v>448</v>
      </c>
      <c r="D2599" s="8" t="s">
        <v>27</v>
      </c>
      <c r="E2599" s="10" t="s">
        <v>88</v>
      </c>
      <c r="F2599" s="8" t="str">
        <f aca="false">TEXT(A2599,"MM-YYYY")</f>
        <v>07-2025</v>
      </c>
      <c r="G2599" s="8"/>
      <c r="H2599" s="8"/>
      <c r="I2599" s="7"/>
      <c r="J2599" s="8" t="str">
        <f aca="false">VLOOKUP(B2599, Table3[#All], 2, FALSE())</f>
        <v>Sales</v>
      </c>
      <c r="K2599" s="8" t="str">
        <f aca="false">TEXT(ROW(), "0000")</f>
        <v>2599</v>
      </c>
      <c r="L2599" s="8"/>
    </row>
    <row r="2600" customFormat="false" ht="15.75" hidden="false" customHeight="true" outlineLevel="0" collapsed="false">
      <c r="A2600" s="7" t="n">
        <v>45839</v>
      </c>
      <c r="B2600" s="8" t="s">
        <v>16</v>
      </c>
      <c r="C2600" s="9" t="n">
        <v>560</v>
      </c>
      <c r="D2600" s="8" t="s">
        <v>33</v>
      </c>
      <c r="E2600" s="10" t="s">
        <v>88</v>
      </c>
      <c r="F2600" s="8" t="str">
        <f aca="false">TEXT(A2600,"MM-YYYY")</f>
        <v>07-2025</v>
      </c>
      <c r="G2600" s="8"/>
      <c r="H2600" s="8"/>
      <c r="I2600" s="7"/>
      <c r="J2600" s="8" t="str">
        <f aca="false">VLOOKUP(B2600, Table3[#All], 2, FALSE())</f>
        <v>Sales</v>
      </c>
      <c r="K2600" s="8" t="str">
        <f aca="false">TEXT(ROW(), "0000")</f>
        <v>2600</v>
      </c>
      <c r="L2600" s="8"/>
    </row>
    <row r="2601" customFormat="false" ht="15.75" hidden="false" customHeight="true" outlineLevel="0" collapsed="false">
      <c r="A2601" s="7" t="n">
        <v>45839</v>
      </c>
      <c r="B2601" s="8" t="s">
        <v>16</v>
      </c>
      <c r="C2601" s="9" t="n">
        <v>16880</v>
      </c>
      <c r="D2601" s="8" t="s">
        <v>17</v>
      </c>
      <c r="E2601" s="10" t="s">
        <v>88</v>
      </c>
      <c r="F2601" s="8" t="str">
        <f aca="false">TEXT(A2601,"MM-YYYY")</f>
        <v>07-2025</v>
      </c>
      <c r="G2601" s="8"/>
      <c r="H2601" s="8"/>
      <c r="I2601" s="7"/>
      <c r="J2601" s="8" t="str">
        <f aca="false">VLOOKUP(B2601, Table3[#All], 2, FALSE())</f>
        <v>Sales</v>
      </c>
      <c r="K2601" s="8" t="str">
        <f aca="false">TEXT(ROW(), "0000")</f>
        <v>2601</v>
      </c>
      <c r="L2601" s="8"/>
    </row>
    <row r="2602" customFormat="false" ht="15.75" hidden="false" customHeight="true" outlineLevel="0" collapsed="false">
      <c r="A2602" s="7" t="n">
        <v>45839</v>
      </c>
      <c r="B2602" s="8" t="s">
        <v>16</v>
      </c>
      <c r="C2602" s="9" t="n">
        <v>2635</v>
      </c>
      <c r="D2602" s="8" t="s">
        <v>24</v>
      </c>
      <c r="E2602" s="10" t="s">
        <v>217</v>
      </c>
      <c r="F2602" s="8" t="str">
        <f aca="false">TEXT(A2602,"MM-YYYY")</f>
        <v>07-2025</v>
      </c>
      <c r="G2602" s="8"/>
      <c r="H2602" s="8"/>
      <c r="I2602" s="7"/>
      <c r="J2602" s="8" t="str">
        <f aca="false">VLOOKUP(B2602, Table3[#All], 2, FALSE())</f>
        <v>Sales</v>
      </c>
      <c r="K2602" s="8" t="str">
        <f aca="false">TEXT(ROW(), "0000")</f>
        <v>2602</v>
      </c>
      <c r="L2602" s="8"/>
    </row>
    <row r="2603" customFormat="false" ht="15.75" hidden="false" customHeight="true" outlineLevel="0" collapsed="false">
      <c r="A2603" s="7" t="n">
        <v>45839</v>
      </c>
      <c r="B2603" s="8" t="s">
        <v>34</v>
      </c>
      <c r="C2603" s="9" t="n">
        <v>140</v>
      </c>
      <c r="D2603" s="8" t="s">
        <v>45</v>
      </c>
      <c r="E2603" s="10" t="s">
        <v>274</v>
      </c>
      <c r="F2603" s="8" t="str">
        <f aca="false">TEXT(A2603,"MM-YYYY")</f>
        <v>07-2025</v>
      </c>
      <c r="G2603" s="8" t="s">
        <v>14</v>
      </c>
      <c r="H2603" s="8" t="s">
        <v>232</v>
      </c>
      <c r="I2603" s="7" t="n">
        <v>45839</v>
      </c>
      <c r="J2603" s="8" t="str">
        <f aca="false">VLOOKUP(B2603, Table3[#All], 2, FALSE())</f>
        <v>Staff Expenses</v>
      </c>
      <c r="K2603" s="8" t="str">
        <f aca="false">TEXT(ROW(), "0000")</f>
        <v>2603</v>
      </c>
      <c r="L2603" s="8"/>
    </row>
    <row r="2604" customFormat="false" ht="15.75" hidden="false" customHeight="true" outlineLevel="0" collapsed="false">
      <c r="A2604" s="7" t="n">
        <v>45839</v>
      </c>
      <c r="B2604" s="8" t="s">
        <v>37</v>
      </c>
      <c r="C2604" s="9" t="n">
        <v>20</v>
      </c>
      <c r="D2604" s="8" t="s">
        <v>21</v>
      </c>
      <c r="E2604" s="10" t="s">
        <v>37</v>
      </c>
      <c r="F2604" s="8" t="str">
        <f aca="false">TEXT(A2604,"MM-YYYY")</f>
        <v>07-2025</v>
      </c>
      <c r="G2604" s="8" t="s">
        <v>14</v>
      </c>
      <c r="H2604" s="8" t="s">
        <v>15</v>
      </c>
      <c r="I2604" s="7" t="n">
        <v>45839</v>
      </c>
      <c r="J2604" s="8" t="str">
        <f aca="false">VLOOKUP(B2604, Table3[#All], 2, FALSE())</f>
        <v>Maintance</v>
      </c>
      <c r="K2604" s="8" t="str">
        <f aca="false">TEXT(ROW(), "0000")</f>
        <v>2604</v>
      </c>
      <c r="L2604" s="8"/>
    </row>
    <row r="2605" customFormat="false" ht="15.75" hidden="false" customHeight="true" outlineLevel="0" collapsed="false">
      <c r="A2605" s="7" t="n">
        <v>45839</v>
      </c>
      <c r="B2605" s="8" t="s">
        <v>44</v>
      </c>
      <c r="C2605" s="9" t="n">
        <v>500</v>
      </c>
      <c r="D2605" s="8" t="s">
        <v>21</v>
      </c>
      <c r="E2605" s="10" t="s">
        <v>354</v>
      </c>
      <c r="F2605" s="8" t="str">
        <f aca="false">TEXT(A2605,"MM-YYYY")</f>
        <v>07-2025</v>
      </c>
      <c r="G2605" s="8" t="s">
        <v>14</v>
      </c>
      <c r="H2605" s="8" t="s">
        <v>15</v>
      </c>
      <c r="I2605" s="7" t="n">
        <v>45839</v>
      </c>
      <c r="J2605" s="8" t="str">
        <f aca="false">VLOOKUP(B2605, Table3[#All], 2, FALSE())</f>
        <v>Salary</v>
      </c>
      <c r="K2605" s="8" t="str">
        <f aca="false">TEXT(ROW(), "0000")</f>
        <v>2605</v>
      </c>
      <c r="L2605" s="8"/>
    </row>
    <row r="2606" customFormat="false" ht="15.75" hidden="false" customHeight="true" outlineLevel="0" collapsed="false">
      <c r="A2606" s="7" t="n">
        <v>45840</v>
      </c>
      <c r="B2606" s="8" t="s">
        <v>47</v>
      </c>
      <c r="C2606" s="9" t="n">
        <v>1680</v>
      </c>
      <c r="D2606" s="8" t="s">
        <v>13</v>
      </c>
      <c r="E2606" s="10" t="s">
        <v>339</v>
      </c>
      <c r="F2606" s="8" t="str">
        <f aca="false">TEXT(A2606,"MM-YYYY")</f>
        <v>07-2025</v>
      </c>
      <c r="G2606" s="8" t="s">
        <v>14</v>
      </c>
      <c r="H2606" s="8" t="s">
        <v>13</v>
      </c>
      <c r="I2606" s="7" t="n">
        <v>45843</v>
      </c>
      <c r="J2606" s="8" t="str">
        <f aca="false">VLOOKUP(B2606, Table3[#All], 2, FALSE())</f>
        <v>Inventory</v>
      </c>
      <c r="K2606" s="8" t="str">
        <f aca="false">TEXT(ROW(), "0000")</f>
        <v>2606</v>
      </c>
      <c r="L2606" s="8"/>
    </row>
    <row r="2607" customFormat="false" ht="15.75" hidden="false" customHeight="true" outlineLevel="0" collapsed="false">
      <c r="A2607" s="7" t="n">
        <v>45840</v>
      </c>
      <c r="B2607" s="8" t="s">
        <v>25</v>
      </c>
      <c r="C2607" s="9" t="n">
        <v>586</v>
      </c>
      <c r="D2607" s="8" t="s">
        <v>13</v>
      </c>
      <c r="E2607" s="10" t="s">
        <v>26</v>
      </c>
      <c r="F2607" s="8" t="str">
        <f aca="false">TEXT(A2607,"MM-YYYY")</f>
        <v>07-2025</v>
      </c>
      <c r="G2607" s="8" t="s">
        <v>18</v>
      </c>
      <c r="H2607" s="8"/>
      <c r="I2607" s="7"/>
      <c r="J2607" s="8" t="str">
        <f aca="false">VLOOKUP(B2607, Table3[#All], 2, FALSE())</f>
        <v>Inventory</v>
      </c>
      <c r="K2607" s="8" t="str">
        <f aca="false">TEXT(ROW(), "0000")</f>
        <v>2607</v>
      </c>
      <c r="L2607" s="8"/>
    </row>
    <row r="2608" customFormat="false" ht="15.75" hidden="false" customHeight="true" outlineLevel="0" collapsed="false">
      <c r="A2608" s="7" t="n">
        <v>45840</v>
      </c>
      <c r="B2608" s="8" t="s">
        <v>29</v>
      </c>
      <c r="C2608" s="9" t="n">
        <v>169</v>
      </c>
      <c r="D2608" s="8" t="s">
        <v>13</v>
      </c>
      <c r="E2608" s="10" t="s">
        <v>302</v>
      </c>
      <c r="F2608" s="8" t="str">
        <f aca="false">TEXT(A2608,"MM-YYYY")</f>
        <v>07-2025</v>
      </c>
      <c r="G2608" s="8" t="s">
        <v>18</v>
      </c>
      <c r="H2608" s="8"/>
      <c r="I2608" s="7"/>
      <c r="J2608" s="8" t="str">
        <f aca="false">VLOOKUP(B2608, Table3[#All], 2, FALSE())</f>
        <v>Inventory</v>
      </c>
      <c r="K2608" s="8" t="str">
        <f aca="false">TEXT(ROW(), "0000")</f>
        <v>2608</v>
      </c>
      <c r="L2608" s="8"/>
    </row>
    <row r="2609" customFormat="false" ht="15.75" hidden="false" customHeight="true" outlineLevel="0" collapsed="false">
      <c r="A2609" s="7" t="n">
        <v>45840</v>
      </c>
      <c r="B2609" s="8" t="s">
        <v>19</v>
      </c>
      <c r="C2609" s="9" t="n">
        <v>5319</v>
      </c>
      <c r="D2609" s="8" t="s">
        <v>13</v>
      </c>
      <c r="E2609" s="10" t="s">
        <v>20</v>
      </c>
      <c r="F2609" s="8" t="str">
        <f aca="false">TEXT(A2609,"MM-YYYY")</f>
        <v>07-2025</v>
      </c>
      <c r="G2609" s="8" t="s">
        <v>14</v>
      </c>
      <c r="H2609" s="8" t="s">
        <v>13</v>
      </c>
      <c r="I2609" s="7" t="n">
        <v>45845</v>
      </c>
      <c r="J2609" s="8" t="str">
        <f aca="false">VLOOKUP(B2609, Table3[#All], 2, FALSE())</f>
        <v>Inventory</v>
      </c>
      <c r="K2609" s="8" t="str">
        <f aca="false">TEXT(ROW(), "0000")</f>
        <v>2609</v>
      </c>
      <c r="L2609" s="8"/>
    </row>
    <row r="2610" customFormat="false" ht="15.75" hidden="false" customHeight="true" outlineLevel="0" collapsed="false">
      <c r="A2610" s="7" t="n">
        <v>45840</v>
      </c>
      <c r="B2610" s="8" t="s">
        <v>32</v>
      </c>
      <c r="C2610" s="9" t="n">
        <v>350</v>
      </c>
      <c r="D2610" s="8" t="s">
        <v>21</v>
      </c>
      <c r="E2610" s="10" t="s">
        <v>38</v>
      </c>
      <c r="F2610" s="8" t="str">
        <f aca="false">TEXT(A2610,"MM-YYYY")</f>
        <v>07-2025</v>
      </c>
      <c r="G2610" s="8" t="s">
        <v>14</v>
      </c>
      <c r="H2610" s="8" t="s">
        <v>15</v>
      </c>
      <c r="I2610" s="7" t="n">
        <v>45840</v>
      </c>
      <c r="J2610" s="8" t="str">
        <f aca="false">VLOOKUP(B2610, Table3[#All], 2, FALSE())</f>
        <v>Grocery</v>
      </c>
      <c r="K2610" s="8" t="str">
        <f aca="false">TEXT(ROW(), "0000")</f>
        <v>2610</v>
      </c>
      <c r="L2610" s="8"/>
    </row>
    <row r="2611" customFormat="false" ht="15.75" hidden="false" customHeight="true" outlineLevel="0" collapsed="false">
      <c r="A2611" s="7" t="n">
        <v>45840</v>
      </c>
      <c r="B2611" s="8" t="s">
        <v>12</v>
      </c>
      <c r="C2611" s="9" t="n">
        <v>19900</v>
      </c>
      <c r="D2611" s="8" t="s">
        <v>13</v>
      </c>
      <c r="E2611" s="8" t="s">
        <v>12</v>
      </c>
      <c r="F2611" s="8" t="str">
        <f aca="false">TEXT(A2611,"MM-YYYY")</f>
        <v>07-2025</v>
      </c>
      <c r="G2611" s="8" t="s">
        <v>18</v>
      </c>
      <c r="H2611" s="8"/>
      <c r="I2611" s="7"/>
      <c r="J2611" s="8" t="str">
        <f aca="false">VLOOKUP(B2611, Table3[#All], 2, FALSE())</f>
        <v>Fixed Maintance</v>
      </c>
      <c r="K2611" s="8" t="str">
        <f aca="false">TEXT(ROW(), "0000")</f>
        <v>2611</v>
      </c>
      <c r="L2611" s="8"/>
    </row>
    <row r="2612" customFormat="false" ht="15.75" hidden="false" customHeight="true" outlineLevel="0" collapsed="false">
      <c r="A2612" s="7" t="n">
        <v>45840</v>
      </c>
      <c r="B2612" s="8" t="s">
        <v>53</v>
      </c>
      <c r="C2612" s="9" t="n">
        <v>2535</v>
      </c>
      <c r="D2612" s="8" t="s">
        <v>45</v>
      </c>
      <c r="E2612" s="10" t="s">
        <v>54</v>
      </c>
      <c r="F2612" s="8" t="str">
        <f aca="false">TEXT(A2612,"MM-YYYY")</f>
        <v>07-2025</v>
      </c>
      <c r="G2612" s="8" t="s">
        <v>14</v>
      </c>
      <c r="H2612" s="8" t="s">
        <v>15</v>
      </c>
      <c r="I2612" s="7" t="n">
        <v>45840</v>
      </c>
      <c r="J2612" s="8" t="str">
        <f aca="false">VLOOKUP(B2612, Table3[#All], 2, FALSE())</f>
        <v>Grocery</v>
      </c>
      <c r="K2612" s="8" t="str">
        <f aca="false">TEXT(ROW(), "0000")</f>
        <v>2612</v>
      </c>
      <c r="L2612" s="8"/>
    </row>
    <row r="2613" customFormat="false" ht="15.75" hidden="false" customHeight="true" outlineLevel="0" collapsed="false">
      <c r="A2613" s="7" t="n">
        <v>45840</v>
      </c>
      <c r="B2613" s="8" t="s">
        <v>40</v>
      </c>
      <c r="C2613" s="9" t="n">
        <v>3360</v>
      </c>
      <c r="D2613" s="8" t="s">
        <v>13</v>
      </c>
      <c r="E2613" s="10" t="s">
        <v>46</v>
      </c>
      <c r="F2613" s="8" t="str">
        <f aca="false">TEXT(A2613,"MM-YYYY")</f>
        <v>07-2025</v>
      </c>
      <c r="G2613" s="8" t="s">
        <v>14</v>
      </c>
      <c r="H2613" s="8" t="s">
        <v>13</v>
      </c>
      <c r="I2613" s="7" t="n">
        <v>45840</v>
      </c>
      <c r="J2613" s="8" t="str">
        <f aca="false">VLOOKUP(B2613, Table3[#All], 2, FALSE())</f>
        <v>Inventory</v>
      </c>
      <c r="K2613" s="8" t="str">
        <f aca="false">TEXT(ROW(), "0000")</f>
        <v>2613</v>
      </c>
      <c r="L2613" s="8"/>
    </row>
    <row r="2614" customFormat="false" ht="15.75" hidden="false" customHeight="true" outlineLevel="0" collapsed="false">
      <c r="A2614" s="7" t="n">
        <v>45840</v>
      </c>
      <c r="B2614" s="8" t="s">
        <v>199</v>
      </c>
      <c r="C2614" s="9" t="n">
        <v>1622</v>
      </c>
      <c r="D2614" s="8" t="s">
        <v>13</v>
      </c>
      <c r="E2614" s="10" t="s">
        <v>355</v>
      </c>
      <c r="F2614" s="8" t="str">
        <f aca="false">TEXT(A2614,"MM-YYYY")</f>
        <v>07-2025</v>
      </c>
      <c r="G2614" s="8" t="s">
        <v>14</v>
      </c>
      <c r="H2614" s="8" t="s">
        <v>13</v>
      </c>
      <c r="I2614" s="7" t="n">
        <v>45840</v>
      </c>
      <c r="J2614" s="8" t="str">
        <f aca="false">VLOOKUP(B2614, Table3[#All], 2, FALSE())</f>
        <v>Fixed Maintance</v>
      </c>
      <c r="K2614" s="8" t="str">
        <f aca="false">TEXT(ROW(), "0000")</f>
        <v>2614</v>
      </c>
      <c r="L2614" s="8"/>
    </row>
    <row r="2615" customFormat="false" ht="15.75" hidden="false" customHeight="true" outlineLevel="0" collapsed="false">
      <c r="A2615" s="7" t="n">
        <v>45840</v>
      </c>
      <c r="B2615" s="8" t="s">
        <v>16</v>
      </c>
      <c r="C2615" s="9" t="n">
        <v>1660</v>
      </c>
      <c r="D2615" s="8" t="s">
        <v>21</v>
      </c>
      <c r="E2615" s="10" t="s">
        <v>88</v>
      </c>
      <c r="F2615" s="8" t="str">
        <f aca="false">TEXT(A2615,"MM-YYYY")</f>
        <v>07-2025</v>
      </c>
      <c r="G2615" s="8"/>
      <c r="H2615" s="8"/>
      <c r="I2615" s="7"/>
      <c r="J2615" s="8" t="str">
        <f aca="false">VLOOKUP(B2615, Table3[#All], 2, FALSE())</f>
        <v>Sales</v>
      </c>
      <c r="K2615" s="8" t="str">
        <f aca="false">TEXT(ROW(), "0000")</f>
        <v>2615</v>
      </c>
      <c r="L2615" s="8"/>
    </row>
    <row r="2616" customFormat="false" ht="15.75" hidden="false" customHeight="true" outlineLevel="0" collapsed="false">
      <c r="A2616" s="7" t="n">
        <v>45840</v>
      </c>
      <c r="B2616" s="8" t="s">
        <v>16</v>
      </c>
      <c r="C2616" s="9" t="n">
        <v>840</v>
      </c>
      <c r="D2616" s="8" t="s">
        <v>70</v>
      </c>
      <c r="E2616" s="10" t="s">
        <v>356</v>
      </c>
      <c r="F2616" s="8" t="str">
        <f aca="false">TEXT(A2616,"MM-YYYY")</f>
        <v>07-2025</v>
      </c>
      <c r="G2616" s="8"/>
      <c r="H2616" s="8"/>
      <c r="I2616" s="7"/>
      <c r="J2616" s="8" t="str">
        <f aca="false">VLOOKUP(B2616, Table3[#All], 2, FALSE())</f>
        <v>Sales</v>
      </c>
      <c r="K2616" s="8" t="str">
        <f aca="false">TEXT(ROW(), "0000")</f>
        <v>2616</v>
      </c>
      <c r="L2616" s="8"/>
    </row>
    <row r="2617" customFormat="false" ht="15.75" hidden="false" customHeight="true" outlineLevel="0" collapsed="false">
      <c r="A2617" s="7" t="n">
        <v>45840</v>
      </c>
      <c r="B2617" s="8" t="s">
        <v>16</v>
      </c>
      <c r="C2617" s="9" t="n">
        <v>760</v>
      </c>
      <c r="D2617" s="8" t="s">
        <v>33</v>
      </c>
      <c r="E2617" s="10" t="s">
        <v>88</v>
      </c>
      <c r="F2617" s="8" t="str">
        <f aca="false">TEXT(A2617,"MM-YYYY")</f>
        <v>07-2025</v>
      </c>
      <c r="G2617" s="8"/>
      <c r="H2617" s="8"/>
      <c r="I2617" s="7"/>
      <c r="J2617" s="8" t="str">
        <f aca="false">VLOOKUP(B2617, Table3[#All], 2, FALSE())</f>
        <v>Sales</v>
      </c>
      <c r="K2617" s="8" t="str">
        <f aca="false">TEXT(ROW(), "0000")</f>
        <v>2617</v>
      </c>
      <c r="L2617" s="8"/>
    </row>
    <row r="2618" customFormat="false" ht="15.75" hidden="false" customHeight="true" outlineLevel="0" collapsed="false">
      <c r="A2618" s="7" t="n">
        <v>45840</v>
      </c>
      <c r="B2618" s="8" t="s">
        <v>16</v>
      </c>
      <c r="C2618" s="9" t="n">
        <v>10789</v>
      </c>
      <c r="D2618" s="8" t="s">
        <v>17</v>
      </c>
      <c r="E2618" s="10" t="s">
        <v>88</v>
      </c>
      <c r="F2618" s="8" t="str">
        <f aca="false">TEXT(A2618,"MM-YYYY")</f>
        <v>07-2025</v>
      </c>
      <c r="G2618" s="8"/>
      <c r="H2618" s="8"/>
      <c r="I2618" s="7"/>
      <c r="J2618" s="8" t="str">
        <f aca="false">VLOOKUP(B2618, Table3[#All], 2, FALSE())</f>
        <v>Sales</v>
      </c>
      <c r="K2618" s="8" t="str">
        <f aca="false">TEXT(ROW(), "0000")</f>
        <v>2618</v>
      </c>
      <c r="L2618" s="8"/>
    </row>
    <row r="2619" customFormat="false" ht="15.75" hidden="false" customHeight="true" outlineLevel="0" collapsed="false">
      <c r="A2619" s="7" t="n">
        <v>45840</v>
      </c>
      <c r="B2619" s="8" t="s">
        <v>16</v>
      </c>
      <c r="C2619" s="9" t="n">
        <v>818</v>
      </c>
      <c r="D2619" s="8" t="s">
        <v>59</v>
      </c>
      <c r="E2619" s="10" t="s">
        <v>88</v>
      </c>
      <c r="F2619" s="8" t="str">
        <f aca="false">TEXT(A2619,"MM-YYYY")</f>
        <v>07-2025</v>
      </c>
      <c r="G2619" s="8"/>
      <c r="H2619" s="8"/>
      <c r="I2619" s="7"/>
      <c r="J2619" s="8" t="str">
        <f aca="false">VLOOKUP(B2619, Table3[#All], 2, FALSE())</f>
        <v>Sales</v>
      </c>
      <c r="K2619" s="8" t="str">
        <f aca="false">TEXT(ROW(), "0000")</f>
        <v>2619</v>
      </c>
      <c r="L2619" s="8"/>
    </row>
    <row r="2620" customFormat="false" ht="15.75" hidden="false" customHeight="true" outlineLevel="0" collapsed="false">
      <c r="A2620" s="7" t="n">
        <v>45840</v>
      </c>
      <c r="B2620" s="8" t="s">
        <v>16</v>
      </c>
      <c r="C2620" s="9" t="n">
        <v>3146</v>
      </c>
      <c r="D2620" s="8" t="s">
        <v>24</v>
      </c>
      <c r="E2620" s="10" t="s">
        <v>217</v>
      </c>
      <c r="F2620" s="8" t="str">
        <f aca="false">TEXT(A2620,"MM-YYYY")</f>
        <v>07-2025</v>
      </c>
      <c r="G2620" s="8"/>
      <c r="H2620" s="8"/>
      <c r="I2620" s="7"/>
      <c r="J2620" s="8" t="str">
        <f aca="false">VLOOKUP(B2620, Table3[#All], 2, FALSE())</f>
        <v>Sales</v>
      </c>
      <c r="K2620" s="8" t="str">
        <f aca="false">TEXT(ROW(), "0000")</f>
        <v>2620</v>
      </c>
      <c r="L2620" s="8"/>
    </row>
    <row r="2621" customFormat="false" ht="15.75" hidden="false" customHeight="true" outlineLevel="0" collapsed="false">
      <c r="A2621" s="7" t="n">
        <v>45840</v>
      </c>
      <c r="B2621" s="8" t="s">
        <v>34</v>
      </c>
      <c r="C2621" s="9" t="n">
        <v>125</v>
      </c>
      <c r="D2621" s="8" t="s">
        <v>21</v>
      </c>
      <c r="E2621" s="10" t="s">
        <v>274</v>
      </c>
      <c r="F2621" s="8" t="str">
        <f aca="false">TEXT(A2621,"MM-YYYY")</f>
        <v>07-2025</v>
      </c>
      <c r="G2621" s="8" t="s">
        <v>14</v>
      </c>
      <c r="H2621" s="8" t="s">
        <v>15</v>
      </c>
      <c r="I2621" s="7" t="n">
        <v>45840</v>
      </c>
      <c r="J2621" s="8" t="str">
        <f aca="false">VLOOKUP(B2621, Table3[#All], 2, FALSE())</f>
        <v>Staff Expenses</v>
      </c>
      <c r="K2621" s="8" t="str">
        <f aca="false">TEXT(ROW(), "0000")</f>
        <v>2621</v>
      </c>
      <c r="L2621" s="8"/>
    </row>
    <row r="2622" customFormat="false" ht="15.75" hidden="false" customHeight="true" outlineLevel="0" collapsed="false">
      <c r="A2622" s="7" t="n">
        <v>45841</v>
      </c>
      <c r="B2622" s="8" t="s">
        <v>29</v>
      </c>
      <c r="C2622" s="9" t="n">
        <v>258</v>
      </c>
      <c r="D2622" s="8" t="s">
        <v>13</v>
      </c>
      <c r="E2622" s="10" t="s">
        <v>302</v>
      </c>
      <c r="F2622" s="8" t="str">
        <f aca="false">TEXT(A2622,"MM-YYYY")</f>
        <v>07-2025</v>
      </c>
      <c r="G2622" s="8" t="s">
        <v>18</v>
      </c>
      <c r="H2622" s="8"/>
      <c r="I2622" s="7"/>
      <c r="J2622" s="8" t="str">
        <f aca="false">VLOOKUP(B2622, Table3[#All], 2, FALSE())</f>
        <v>Inventory</v>
      </c>
      <c r="K2622" s="8" t="str">
        <f aca="false">TEXT(ROW(), "0000")</f>
        <v>2622</v>
      </c>
      <c r="L2622" s="8"/>
    </row>
    <row r="2623" customFormat="false" ht="15.75" hidden="false" customHeight="true" outlineLevel="0" collapsed="false">
      <c r="A2623" s="7" t="n">
        <v>45841</v>
      </c>
      <c r="B2623" s="8" t="s">
        <v>25</v>
      </c>
      <c r="C2623" s="9" t="n">
        <v>958</v>
      </c>
      <c r="D2623" s="8" t="s">
        <v>13</v>
      </c>
      <c r="E2623" s="10" t="s">
        <v>26</v>
      </c>
      <c r="F2623" s="8" t="str">
        <f aca="false">TEXT(A2623,"MM-YYYY")</f>
        <v>07-2025</v>
      </c>
      <c r="G2623" s="8" t="s">
        <v>18</v>
      </c>
      <c r="H2623" s="8"/>
      <c r="I2623" s="7"/>
      <c r="J2623" s="8" t="str">
        <f aca="false">VLOOKUP(B2623, Table3[#All], 2, FALSE())</f>
        <v>Inventory</v>
      </c>
      <c r="K2623" s="8" t="str">
        <f aca="false">TEXT(ROW(), "0000")</f>
        <v>2623</v>
      </c>
      <c r="L2623" s="8"/>
    </row>
    <row r="2624" customFormat="false" ht="15.75" hidden="false" customHeight="true" outlineLevel="0" collapsed="false">
      <c r="A2624" s="7" t="n">
        <v>45841</v>
      </c>
      <c r="B2624" s="8" t="s">
        <v>22</v>
      </c>
      <c r="C2624" s="9" t="n">
        <v>4802</v>
      </c>
      <c r="D2624" s="8" t="s">
        <v>13</v>
      </c>
      <c r="E2624" s="10" t="s">
        <v>23</v>
      </c>
      <c r="F2624" s="8" t="str">
        <f aca="false">TEXT(A2624,"MM-YYYY")</f>
        <v>07-2025</v>
      </c>
      <c r="G2624" s="8" t="s">
        <v>14</v>
      </c>
      <c r="H2624" s="8" t="s">
        <v>13</v>
      </c>
      <c r="I2624" s="7" t="n">
        <v>45851</v>
      </c>
      <c r="J2624" s="8" t="str">
        <f aca="false">VLOOKUP(B2624, Table3[#All], 2, FALSE())</f>
        <v>Inventory</v>
      </c>
      <c r="K2624" s="8" t="str">
        <f aca="false">TEXT(ROW(), "0000")</f>
        <v>2624</v>
      </c>
      <c r="L2624" s="8"/>
    </row>
    <row r="2625" customFormat="false" ht="15.75" hidden="false" customHeight="true" outlineLevel="0" collapsed="false">
      <c r="A2625" s="7" t="n">
        <v>45841</v>
      </c>
      <c r="B2625" s="8" t="s">
        <v>22</v>
      </c>
      <c r="C2625" s="9" t="n">
        <v>110</v>
      </c>
      <c r="D2625" s="8" t="s">
        <v>21</v>
      </c>
      <c r="E2625" s="10" t="s">
        <v>357</v>
      </c>
      <c r="F2625" s="8" t="str">
        <f aca="false">TEXT(A2625,"MM-YYYY")</f>
        <v>07-2025</v>
      </c>
      <c r="G2625" s="8" t="s">
        <v>14</v>
      </c>
      <c r="H2625" s="8" t="s">
        <v>15</v>
      </c>
      <c r="I2625" s="7" t="n">
        <v>45841</v>
      </c>
      <c r="J2625" s="8" t="str">
        <f aca="false">VLOOKUP(B2625, Table3[#All], 2, FALSE())</f>
        <v>Inventory</v>
      </c>
      <c r="K2625" s="8" t="str">
        <f aca="false">TEXT(ROW(), "0000")</f>
        <v>2625</v>
      </c>
      <c r="L2625" s="8"/>
    </row>
    <row r="2626" customFormat="false" ht="15.75" hidden="false" customHeight="true" outlineLevel="0" collapsed="false">
      <c r="A2626" s="7" t="n">
        <v>45841</v>
      </c>
      <c r="B2626" s="8" t="s">
        <v>25</v>
      </c>
      <c r="C2626" s="9" t="n">
        <v>900</v>
      </c>
      <c r="D2626" s="8" t="s">
        <v>45</v>
      </c>
      <c r="E2626" s="10" t="s">
        <v>306</v>
      </c>
      <c r="F2626" s="8" t="str">
        <f aca="false">TEXT(A2626,"MM-YYYY")</f>
        <v>07-2025</v>
      </c>
      <c r="G2626" s="8" t="s">
        <v>14</v>
      </c>
      <c r="H2626" s="8" t="s">
        <v>232</v>
      </c>
      <c r="I2626" s="7" t="n">
        <v>45841</v>
      </c>
      <c r="J2626" s="8" t="str">
        <f aca="false">VLOOKUP(B2626, Table3[#All], 2, FALSE())</f>
        <v>Inventory</v>
      </c>
      <c r="K2626" s="8" t="str">
        <f aca="false">TEXT(ROW(), "0000")</f>
        <v>2626</v>
      </c>
      <c r="L2626" s="8"/>
    </row>
    <row r="2627" customFormat="false" ht="15.75" hidden="false" customHeight="true" outlineLevel="0" collapsed="false">
      <c r="A2627" s="7" t="n">
        <v>45841</v>
      </c>
      <c r="B2627" s="8" t="s">
        <v>69</v>
      </c>
      <c r="C2627" s="9" t="n">
        <v>1500</v>
      </c>
      <c r="D2627" s="8" t="s">
        <v>13</v>
      </c>
      <c r="E2627" s="8" t="s">
        <v>69</v>
      </c>
      <c r="F2627" s="8" t="str">
        <f aca="false">TEXT(A2627,"MM-YYYY")</f>
        <v>07-2025</v>
      </c>
      <c r="G2627" s="8" t="s">
        <v>14</v>
      </c>
      <c r="H2627" s="8" t="s">
        <v>13</v>
      </c>
      <c r="I2627" s="7" t="n">
        <v>45841</v>
      </c>
      <c r="J2627" s="8" t="str">
        <f aca="false">VLOOKUP(B2627, Table3[#All], 2, FALSE())</f>
        <v>Fixed Maintance</v>
      </c>
      <c r="K2627" s="8" t="str">
        <f aca="false">TEXT(ROW(), "0000")</f>
        <v>2627</v>
      </c>
      <c r="L2627" s="8"/>
    </row>
    <row r="2628" customFormat="false" ht="15.75" hidden="false" customHeight="true" outlineLevel="0" collapsed="false">
      <c r="A2628" s="7" t="n">
        <v>45841</v>
      </c>
      <c r="B2628" s="8" t="s">
        <v>43</v>
      </c>
      <c r="C2628" s="9" t="n">
        <v>160</v>
      </c>
      <c r="D2628" s="8" t="s">
        <v>45</v>
      </c>
      <c r="E2628" s="10" t="s">
        <v>279</v>
      </c>
      <c r="F2628" s="8" t="str">
        <f aca="false">TEXT(A2628,"MM-YYYY")</f>
        <v>07-2025</v>
      </c>
      <c r="G2628" s="8" t="s">
        <v>14</v>
      </c>
      <c r="H2628" s="8" t="s">
        <v>232</v>
      </c>
      <c r="I2628" s="7" t="n">
        <v>45841</v>
      </c>
      <c r="J2628" s="8" t="str">
        <f aca="false">VLOOKUP(B2628, Table3[#All], 2, FALSE())</f>
        <v>Maintance</v>
      </c>
      <c r="K2628" s="8" t="str">
        <f aca="false">TEXT(ROW(), "0000")</f>
        <v>2628</v>
      </c>
      <c r="L2628" s="8"/>
    </row>
    <row r="2629" customFormat="false" ht="15.75" hidden="false" customHeight="true" outlineLevel="0" collapsed="false">
      <c r="A2629" s="7" t="n">
        <v>45841</v>
      </c>
      <c r="B2629" s="8" t="s">
        <v>22</v>
      </c>
      <c r="C2629" s="9" t="n">
        <v>700</v>
      </c>
      <c r="D2629" s="8" t="s">
        <v>45</v>
      </c>
      <c r="E2629" s="10" t="s">
        <v>358</v>
      </c>
      <c r="F2629" s="8" t="str">
        <f aca="false">TEXT(A2629,"MM-YYYY")</f>
        <v>07-2025</v>
      </c>
      <c r="G2629" s="8" t="s">
        <v>14</v>
      </c>
      <c r="H2629" s="8" t="s">
        <v>232</v>
      </c>
      <c r="I2629" s="7" t="n">
        <v>45841</v>
      </c>
      <c r="J2629" s="8" t="str">
        <f aca="false">VLOOKUP(B2629, Table3[#All], 2, FALSE())</f>
        <v>Inventory</v>
      </c>
      <c r="K2629" s="8" t="str">
        <f aca="false">TEXT(ROW(), "0000")</f>
        <v>2629</v>
      </c>
      <c r="L2629" s="8"/>
    </row>
    <row r="2630" customFormat="false" ht="15.75" hidden="false" customHeight="true" outlineLevel="0" collapsed="false">
      <c r="A2630" s="7" t="n">
        <v>45841</v>
      </c>
      <c r="B2630" s="8" t="s">
        <v>19</v>
      </c>
      <c r="C2630" s="9" t="n">
        <v>2386</v>
      </c>
      <c r="D2630" s="8" t="s">
        <v>13</v>
      </c>
      <c r="E2630" s="10" t="s">
        <v>20</v>
      </c>
      <c r="F2630" s="8" t="str">
        <f aca="false">TEXT(A2630,"MM-YYYY")</f>
        <v>07-2025</v>
      </c>
      <c r="G2630" s="8" t="s">
        <v>14</v>
      </c>
      <c r="H2630" s="8" t="s">
        <v>13</v>
      </c>
      <c r="I2630" s="7" t="n">
        <v>45845</v>
      </c>
      <c r="J2630" s="8" t="str">
        <f aca="false">VLOOKUP(B2630, Table3[#All], 2, FALSE())</f>
        <v>Inventory</v>
      </c>
      <c r="K2630" s="8" t="str">
        <f aca="false">TEXT(ROW(), "0000")</f>
        <v>2630</v>
      </c>
      <c r="L2630" s="8"/>
    </row>
    <row r="2631" customFormat="false" ht="15.75" hidden="false" customHeight="true" outlineLevel="0" collapsed="false">
      <c r="A2631" s="7" t="n">
        <v>45841</v>
      </c>
      <c r="B2631" s="8" t="s">
        <v>44</v>
      </c>
      <c r="C2631" s="9" t="n">
        <v>1240</v>
      </c>
      <c r="D2631" s="8" t="s">
        <v>45</v>
      </c>
      <c r="E2631" s="10" t="s">
        <v>236</v>
      </c>
      <c r="F2631" s="8" t="str">
        <f aca="false">TEXT(A2631,"MM-YYYY")</f>
        <v>07-2025</v>
      </c>
      <c r="G2631" s="8" t="s">
        <v>14</v>
      </c>
      <c r="H2631" s="8" t="s">
        <v>232</v>
      </c>
      <c r="I2631" s="7" t="n">
        <v>45841</v>
      </c>
      <c r="J2631" s="8" t="str">
        <f aca="false">VLOOKUP(B2631, Table3[#All], 2, FALSE())</f>
        <v>Salary</v>
      </c>
      <c r="K2631" s="8" t="str">
        <f aca="false">TEXT(ROW(), "0000")</f>
        <v>2631</v>
      </c>
      <c r="L2631" s="8"/>
    </row>
    <row r="2632" customFormat="false" ht="15.75" hidden="false" customHeight="true" outlineLevel="0" collapsed="false">
      <c r="A2632" s="7" t="n">
        <v>45841</v>
      </c>
      <c r="B2632" s="8" t="s">
        <v>44</v>
      </c>
      <c r="C2632" s="9" t="n">
        <v>60</v>
      </c>
      <c r="D2632" s="8" t="s">
        <v>21</v>
      </c>
      <c r="E2632" s="10" t="s">
        <v>236</v>
      </c>
      <c r="F2632" s="8" t="str">
        <f aca="false">TEXT(A2632,"MM-YYYY")</f>
        <v>07-2025</v>
      </c>
      <c r="G2632" s="8" t="s">
        <v>14</v>
      </c>
      <c r="H2632" s="8" t="s">
        <v>15</v>
      </c>
      <c r="I2632" s="7" t="n">
        <v>45841</v>
      </c>
      <c r="J2632" s="8" t="str">
        <f aca="false">VLOOKUP(B2632, Table3[#All], 2, FALSE())</f>
        <v>Salary</v>
      </c>
      <c r="K2632" s="8" t="str">
        <f aca="false">TEXT(ROW(), "0000")</f>
        <v>2632</v>
      </c>
      <c r="L2632" s="8"/>
    </row>
    <row r="2633" customFormat="false" ht="15.75" hidden="false" customHeight="true" outlineLevel="0" collapsed="false">
      <c r="A2633" s="7" t="n">
        <v>45841</v>
      </c>
      <c r="B2633" s="8" t="s">
        <v>50</v>
      </c>
      <c r="C2633" s="9" t="n">
        <v>1678</v>
      </c>
      <c r="D2633" s="8" t="s">
        <v>13</v>
      </c>
      <c r="E2633" s="10" t="s">
        <v>263</v>
      </c>
      <c r="F2633" s="8" t="str">
        <f aca="false">TEXT(A2633,"MM-YYYY")</f>
        <v>07-2025</v>
      </c>
      <c r="G2633" s="8" t="s">
        <v>14</v>
      </c>
      <c r="H2633" s="8" t="s">
        <v>13</v>
      </c>
      <c r="I2633" s="7" t="n">
        <v>45864</v>
      </c>
      <c r="J2633" s="8" t="str">
        <f aca="false">VLOOKUP(B2633, Table3[#All], 2, FALSE())</f>
        <v>Fixed Maintance</v>
      </c>
      <c r="K2633" s="8" t="str">
        <f aca="false">TEXT(ROW(), "0000")</f>
        <v>2633</v>
      </c>
      <c r="L2633" s="8"/>
    </row>
    <row r="2634" customFormat="false" ht="15.75" hidden="false" customHeight="true" outlineLevel="0" collapsed="false">
      <c r="A2634" s="7" t="n">
        <v>45841</v>
      </c>
      <c r="B2634" s="8" t="s">
        <v>32</v>
      </c>
      <c r="C2634" s="9" t="n">
        <v>140</v>
      </c>
      <c r="D2634" s="8" t="s">
        <v>21</v>
      </c>
      <c r="E2634" s="10" t="s">
        <v>38</v>
      </c>
      <c r="F2634" s="8" t="str">
        <f aca="false">TEXT(A2634,"MM-YYYY")</f>
        <v>07-2025</v>
      </c>
      <c r="G2634" s="8" t="s">
        <v>14</v>
      </c>
      <c r="H2634" s="8"/>
      <c r="I2634" s="7"/>
      <c r="J2634" s="8" t="str">
        <f aca="false">VLOOKUP(B2634, Table3[#All], 2, FALSE())</f>
        <v>Grocery</v>
      </c>
      <c r="K2634" s="8" t="str">
        <f aca="false">TEXT(ROW(), "0000")</f>
        <v>2634</v>
      </c>
      <c r="L2634" s="8"/>
    </row>
    <row r="2635" customFormat="false" ht="15.75" hidden="false" customHeight="true" outlineLevel="0" collapsed="false">
      <c r="A2635" s="7" t="n">
        <v>45841</v>
      </c>
      <c r="B2635" s="8" t="s">
        <v>56</v>
      </c>
      <c r="C2635" s="9" t="n">
        <v>13250</v>
      </c>
      <c r="D2635" s="8" t="s">
        <v>13</v>
      </c>
      <c r="E2635" s="10" t="s">
        <v>359</v>
      </c>
      <c r="F2635" s="8" t="str">
        <f aca="false">TEXT(A2635,"MM-YYYY")</f>
        <v>07-2025</v>
      </c>
      <c r="G2635" s="8" t="s">
        <v>14</v>
      </c>
      <c r="H2635" s="8" t="s">
        <v>262</v>
      </c>
      <c r="I2635" s="7" t="n">
        <v>45841</v>
      </c>
      <c r="J2635" s="8" t="str">
        <f aca="false">VLOOKUP(B2635, Table3[#All], 2, FALSE())</f>
        <v>New Inventory</v>
      </c>
      <c r="K2635" s="8" t="str">
        <f aca="false">TEXT(ROW(), "0000")</f>
        <v>2635</v>
      </c>
      <c r="L2635" s="8"/>
    </row>
    <row r="2636" customFormat="false" ht="15.75" hidden="false" customHeight="true" outlineLevel="0" collapsed="false">
      <c r="A2636" s="7" t="n">
        <v>45841</v>
      </c>
      <c r="B2636" s="8" t="s">
        <v>16</v>
      </c>
      <c r="C2636" s="9" t="n">
        <v>3790</v>
      </c>
      <c r="D2636" s="8" t="s">
        <v>21</v>
      </c>
      <c r="E2636" s="10" t="s">
        <v>88</v>
      </c>
      <c r="F2636" s="8" t="str">
        <f aca="false">TEXT(A2636,"MM-YYYY")</f>
        <v>07-2025</v>
      </c>
      <c r="G2636" s="8"/>
      <c r="H2636" s="8"/>
      <c r="I2636" s="7"/>
      <c r="J2636" s="8" t="str">
        <f aca="false">VLOOKUP(B2636, Table3[#All], 2, FALSE())</f>
        <v>Sales</v>
      </c>
      <c r="K2636" s="8" t="str">
        <f aca="false">TEXT(ROW(), "0000")</f>
        <v>2636</v>
      </c>
      <c r="L2636" s="8"/>
    </row>
    <row r="2637" customFormat="false" ht="15.75" hidden="false" customHeight="true" outlineLevel="0" collapsed="false">
      <c r="A2637" s="7" t="n">
        <v>45841</v>
      </c>
      <c r="B2637" s="8" t="s">
        <v>16</v>
      </c>
      <c r="C2637" s="9" t="n">
        <v>160</v>
      </c>
      <c r="D2637" s="8" t="s">
        <v>27</v>
      </c>
      <c r="E2637" s="10" t="s">
        <v>88</v>
      </c>
      <c r="F2637" s="8" t="str">
        <f aca="false">TEXT(A2637,"MM-YYYY")</f>
        <v>07-2025</v>
      </c>
      <c r="G2637" s="8"/>
      <c r="H2637" s="8"/>
      <c r="I2637" s="7"/>
      <c r="J2637" s="8" t="str">
        <f aca="false">VLOOKUP(B2637, Table3[#All], 2, FALSE())</f>
        <v>Sales</v>
      </c>
      <c r="K2637" s="8" t="str">
        <f aca="false">TEXT(ROW(), "0000")</f>
        <v>2637</v>
      </c>
      <c r="L2637" s="8"/>
    </row>
    <row r="2638" customFormat="false" ht="15.75" hidden="false" customHeight="true" outlineLevel="0" collapsed="false">
      <c r="A2638" s="7" t="n">
        <v>45841</v>
      </c>
      <c r="B2638" s="8" t="s">
        <v>16</v>
      </c>
      <c r="C2638" s="9" t="n">
        <v>625</v>
      </c>
      <c r="D2638" s="8" t="s">
        <v>33</v>
      </c>
      <c r="E2638" s="10" t="s">
        <v>88</v>
      </c>
      <c r="F2638" s="8" t="str">
        <f aca="false">TEXT(A2638,"MM-YYYY")</f>
        <v>07-2025</v>
      </c>
      <c r="G2638" s="8"/>
      <c r="H2638" s="8"/>
      <c r="I2638" s="7"/>
      <c r="J2638" s="8" t="str">
        <f aca="false">VLOOKUP(B2638, Table3[#All], 2, FALSE())</f>
        <v>Sales</v>
      </c>
      <c r="K2638" s="8" t="str">
        <f aca="false">TEXT(ROW(), "0000")</f>
        <v>2638</v>
      </c>
      <c r="L2638" s="8"/>
    </row>
    <row r="2639" customFormat="false" ht="15.75" hidden="false" customHeight="true" outlineLevel="0" collapsed="false">
      <c r="A2639" s="7" t="n">
        <v>45841</v>
      </c>
      <c r="B2639" s="8" t="s">
        <v>16</v>
      </c>
      <c r="C2639" s="9" t="n">
        <v>9824</v>
      </c>
      <c r="D2639" s="8" t="s">
        <v>17</v>
      </c>
      <c r="E2639" s="10" t="s">
        <v>88</v>
      </c>
      <c r="F2639" s="8" t="str">
        <f aca="false">TEXT(A2639,"MM-YYYY")</f>
        <v>07-2025</v>
      </c>
      <c r="G2639" s="8"/>
      <c r="H2639" s="8"/>
      <c r="I2639" s="7"/>
      <c r="J2639" s="8" t="str">
        <f aca="false">VLOOKUP(B2639, Table3[#All], 2, FALSE())</f>
        <v>Sales</v>
      </c>
      <c r="K2639" s="8" t="str">
        <f aca="false">TEXT(ROW(), "0000")</f>
        <v>2639</v>
      </c>
      <c r="L2639" s="8"/>
    </row>
    <row r="2640" customFormat="false" ht="15.75" hidden="false" customHeight="true" outlineLevel="0" collapsed="false">
      <c r="A2640" s="7" t="n">
        <v>45841</v>
      </c>
      <c r="B2640" s="8" t="s">
        <v>16</v>
      </c>
      <c r="C2640" s="9" t="n">
        <v>4401</v>
      </c>
      <c r="D2640" s="8" t="s">
        <v>24</v>
      </c>
      <c r="E2640" s="10" t="s">
        <v>217</v>
      </c>
      <c r="F2640" s="8" t="str">
        <f aca="false">TEXT(A2640,"MM-YYYY")</f>
        <v>07-2025</v>
      </c>
      <c r="G2640" s="8"/>
      <c r="H2640" s="8"/>
      <c r="I2640" s="7"/>
      <c r="J2640" s="8" t="str">
        <f aca="false">VLOOKUP(B2640, Table3[#All], 2, FALSE())</f>
        <v>Sales</v>
      </c>
      <c r="K2640" s="8" t="str">
        <f aca="false">TEXT(ROW(), "0000")</f>
        <v>2640</v>
      </c>
      <c r="L2640" s="8"/>
    </row>
    <row r="2641" customFormat="false" ht="15.75" hidden="false" customHeight="true" outlineLevel="0" collapsed="false">
      <c r="A2641" s="7" t="n">
        <v>45841</v>
      </c>
      <c r="B2641" s="8" t="s">
        <v>34</v>
      </c>
      <c r="C2641" s="9" t="n">
        <v>80</v>
      </c>
      <c r="D2641" s="8" t="s">
        <v>21</v>
      </c>
      <c r="E2641" s="10" t="s">
        <v>274</v>
      </c>
      <c r="F2641" s="8" t="str">
        <f aca="false">TEXT(A2641,"MM-YYYY")</f>
        <v>07-2025</v>
      </c>
      <c r="G2641" s="8" t="s">
        <v>14</v>
      </c>
      <c r="H2641" s="8" t="s">
        <v>15</v>
      </c>
      <c r="I2641" s="7" t="n">
        <v>45841</v>
      </c>
      <c r="J2641" s="8" t="str">
        <f aca="false">VLOOKUP(B2641, Table3[#All], 2, FALSE())</f>
        <v>Staff Expenses</v>
      </c>
      <c r="K2641" s="8" t="str">
        <f aca="false">TEXT(ROW(), "0000")</f>
        <v>2641</v>
      </c>
      <c r="L2641" s="8"/>
    </row>
    <row r="2642" customFormat="false" ht="15.75" hidden="false" customHeight="true" outlineLevel="0" collapsed="false">
      <c r="A2642" s="7" t="n">
        <v>45842</v>
      </c>
      <c r="B2642" s="8" t="s">
        <v>22</v>
      </c>
      <c r="C2642" s="9" t="n">
        <v>1954</v>
      </c>
      <c r="D2642" s="8" t="s">
        <v>13</v>
      </c>
      <c r="E2642" s="10" t="s">
        <v>23</v>
      </c>
      <c r="F2642" s="8" t="str">
        <f aca="false">TEXT(A2642,"MM-YYYY")</f>
        <v>07-2025</v>
      </c>
      <c r="G2642" s="8" t="s">
        <v>14</v>
      </c>
      <c r="H2642" s="8" t="s">
        <v>13</v>
      </c>
      <c r="I2642" s="7" t="n">
        <v>45851</v>
      </c>
      <c r="J2642" s="8" t="str">
        <f aca="false">VLOOKUP(B2642, Table3[#All], 2, FALSE())</f>
        <v>Inventory</v>
      </c>
      <c r="K2642" s="8" t="str">
        <f aca="false">TEXT(ROW(), "0000")</f>
        <v>2642</v>
      </c>
      <c r="L2642" s="8"/>
    </row>
    <row r="2643" customFormat="false" ht="15.75" hidden="false" customHeight="true" outlineLevel="0" collapsed="false">
      <c r="A2643" s="7" t="n">
        <v>45842</v>
      </c>
      <c r="B2643" s="8" t="s">
        <v>47</v>
      </c>
      <c r="C2643" s="9" t="n">
        <v>1800</v>
      </c>
      <c r="D2643" s="8" t="s">
        <v>13</v>
      </c>
      <c r="E2643" s="10" t="s">
        <v>339</v>
      </c>
      <c r="F2643" s="8" t="str">
        <f aca="false">TEXT(A2643,"MM-YYYY")</f>
        <v>07-2025</v>
      </c>
      <c r="G2643" s="8" t="s">
        <v>14</v>
      </c>
      <c r="H2643" s="8" t="s">
        <v>13</v>
      </c>
      <c r="I2643" s="7" t="n">
        <v>45857</v>
      </c>
      <c r="J2643" s="8" t="str">
        <f aca="false">VLOOKUP(B2643, Table3[#All], 2, FALSE())</f>
        <v>Inventory</v>
      </c>
      <c r="K2643" s="8" t="str">
        <f aca="false">TEXT(ROW(), "0000")</f>
        <v>2643</v>
      </c>
      <c r="L2643" s="8"/>
    </row>
    <row r="2644" customFormat="false" ht="15.75" hidden="false" customHeight="true" outlineLevel="0" collapsed="false">
      <c r="A2644" s="7" t="n">
        <v>45842</v>
      </c>
      <c r="B2644" s="8" t="s">
        <v>29</v>
      </c>
      <c r="C2644" s="9" t="n">
        <v>474</v>
      </c>
      <c r="D2644" s="8" t="s">
        <v>13</v>
      </c>
      <c r="E2644" s="10" t="s">
        <v>302</v>
      </c>
      <c r="F2644" s="8" t="str">
        <f aca="false">TEXT(A2644,"MM-YYYY")</f>
        <v>07-2025</v>
      </c>
      <c r="G2644" s="8" t="s">
        <v>18</v>
      </c>
      <c r="H2644" s="8"/>
      <c r="I2644" s="7"/>
      <c r="J2644" s="8" t="str">
        <f aca="false">VLOOKUP(B2644, Table3[#All], 2, FALSE())</f>
        <v>Inventory</v>
      </c>
      <c r="K2644" s="8" t="str">
        <f aca="false">TEXT(ROW(), "0000")</f>
        <v>2644</v>
      </c>
      <c r="L2644" s="8"/>
    </row>
    <row r="2645" customFormat="false" ht="15.75" hidden="false" customHeight="true" outlineLevel="0" collapsed="false">
      <c r="A2645" s="7" t="n">
        <v>45842</v>
      </c>
      <c r="B2645" s="8" t="s">
        <v>25</v>
      </c>
      <c r="C2645" s="9" t="n">
        <v>1131</v>
      </c>
      <c r="D2645" s="8" t="s">
        <v>13</v>
      </c>
      <c r="E2645" s="10" t="s">
        <v>26</v>
      </c>
      <c r="F2645" s="8" t="str">
        <f aca="false">TEXT(A2645,"MM-YYYY")</f>
        <v>07-2025</v>
      </c>
      <c r="G2645" s="8" t="s">
        <v>18</v>
      </c>
      <c r="H2645" s="8"/>
      <c r="I2645" s="7"/>
      <c r="J2645" s="8" t="str">
        <f aca="false">VLOOKUP(B2645, Table3[#All], 2, FALSE())</f>
        <v>Inventory</v>
      </c>
      <c r="K2645" s="8" t="str">
        <f aca="false">TEXT(ROW(), "0000")</f>
        <v>2645</v>
      </c>
      <c r="L2645" s="8"/>
    </row>
    <row r="2646" customFormat="false" ht="15.75" hidden="false" customHeight="true" outlineLevel="0" collapsed="false">
      <c r="A2646" s="7" t="n">
        <v>45842</v>
      </c>
      <c r="B2646" s="8" t="s">
        <v>19</v>
      </c>
      <c r="C2646" s="9" t="n">
        <v>4490</v>
      </c>
      <c r="D2646" s="8" t="s">
        <v>13</v>
      </c>
      <c r="E2646" s="10" t="s">
        <v>20</v>
      </c>
      <c r="F2646" s="8" t="str">
        <f aca="false">TEXT(A2646,"MM-YYYY")</f>
        <v>07-2025</v>
      </c>
      <c r="G2646" s="8" t="s">
        <v>14</v>
      </c>
      <c r="H2646" s="8" t="s">
        <v>13</v>
      </c>
      <c r="I2646" s="7" t="n">
        <v>45849</v>
      </c>
      <c r="J2646" s="8" t="str">
        <f aca="false">VLOOKUP(B2646, Table3[#All], 2, FALSE())</f>
        <v>Inventory</v>
      </c>
      <c r="K2646" s="8" t="str">
        <f aca="false">TEXT(ROW(), "0000")</f>
        <v>2646</v>
      </c>
      <c r="L2646" s="8"/>
    </row>
    <row r="2647" customFormat="false" ht="15.75" hidden="false" customHeight="true" outlineLevel="0" collapsed="false">
      <c r="A2647" s="7" t="n">
        <v>45842</v>
      </c>
      <c r="B2647" s="8" t="s">
        <v>44</v>
      </c>
      <c r="C2647" s="9" t="n">
        <v>3000</v>
      </c>
      <c r="D2647" s="8" t="s">
        <v>45</v>
      </c>
      <c r="E2647" s="10" t="s">
        <v>316</v>
      </c>
      <c r="F2647" s="8" t="str">
        <f aca="false">TEXT(A2647,"MM-YYYY")</f>
        <v>07-2025</v>
      </c>
      <c r="G2647" s="8" t="s">
        <v>14</v>
      </c>
      <c r="H2647" s="8" t="s">
        <v>15</v>
      </c>
      <c r="I2647" s="7" t="n">
        <v>45842</v>
      </c>
      <c r="J2647" s="8" t="str">
        <f aca="false">VLOOKUP(B2647, Table3[#All], 2, FALSE())</f>
        <v>Salary</v>
      </c>
      <c r="K2647" s="8" t="str">
        <f aca="false">TEXT(ROW(), "0000")</f>
        <v>2647</v>
      </c>
      <c r="L2647" s="8"/>
    </row>
    <row r="2648" customFormat="false" ht="15.75" hidden="false" customHeight="true" outlineLevel="0" collapsed="false">
      <c r="A2648" s="7" t="n">
        <v>45842</v>
      </c>
      <c r="B2648" s="8" t="s">
        <v>44</v>
      </c>
      <c r="C2648" s="9" t="n">
        <v>500</v>
      </c>
      <c r="D2648" s="8" t="s">
        <v>45</v>
      </c>
      <c r="E2648" s="10" t="s">
        <v>354</v>
      </c>
      <c r="F2648" s="8" t="str">
        <f aca="false">TEXT(A2648,"MM-YYYY")</f>
        <v>07-2025</v>
      </c>
      <c r="G2648" s="8" t="s">
        <v>14</v>
      </c>
      <c r="H2648" s="8" t="s">
        <v>15</v>
      </c>
      <c r="I2648" s="7" t="n">
        <v>45842</v>
      </c>
      <c r="J2648" s="8" t="str">
        <f aca="false">VLOOKUP(B2648, Table3[#All], 2, FALSE())</f>
        <v>Salary</v>
      </c>
      <c r="K2648" s="8" t="str">
        <f aca="false">TEXT(ROW(), "0000")</f>
        <v>2648</v>
      </c>
      <c r="L2648" s="8"/>
    </row>
    <row r="2649" customFormat="false" ht="15.75" hidden="false" customHeight="true" outlineLevel="0" collapsed="false">
      <c r="A2649" s="7" t="n">
        <v>45842</v>
      </c>
      <c r="B2649" s="8" t="s">
        <v>32</v>
      </c>
      <c r="C2649" s="9" t="n">
        <v>140</v>
      </c>
      <c r="D2649" s="8" t="s">
        <v>21</v>
      </c>
      <c r="E2649" s="10" t="s">
        <v>38</v>
      </c>
      <c r="F2649" s="8" t="str">
        <f aca="false">TEXT(A2649,"MM-YYYY")</f>
        <v>07-2025</v>
      </c>
      <c r="G2649" s="8" t="s">
        <v>14</v>
      </c>
      <c r="H2649" s="8" t="s">
        <v>15</v>
      </c>
      <c r="I2649" s="7" t="n">
        <v>45842</v>
      </c>
      <c r="J2649" s="8" t="str">
        <f aca="false">VLOOKUP(B2649, Table3[#All], 2, FALSE())</f>
        <v>Grocery</v>
      </c>
      <c r="K2649" s="8" t="str">
        <f aca="false">TEXT(ROW(), "0000")</f>
        <v>2649</v>
      </c>
      <c r="L2649" s="8"/>
    </row>
    <row r="2650" customFormat="false" ht="15.75" hidden="false" customHeight="true" outlineLevel="0" collapsed="false">
      <c r="A2650" s="7" t="n">
        <v>45842</v>
      </c>
      <c r="B2650" s="8" t="s">
        <v>44</v>
      </c>
      <c r="C2650" s="9" t="n">
        <v>100</v>
      </c>
      <c r="D2650" s="8" t="s">
        <v>21</v>
      </c>
      <c r="E2650" s="10" t="s">
        <v>317</v>
      </c>
      <c r="F2650" s="8" t="str">
        <f aca="false">TEXT(A2650,"MM-YYYY")</f>
        <v>07-2025</v>
      </c>
      <c r="G2650" s="8" t="s">
        <v>14</v>
      </c>
      <c r="H2650" s="8" t="s">
        <v>15</v>
      </c>
      <c r="I2650" s="7" t="n">
        <v>45842</v>
      </c>
      <c r="J2650" s="8" t="str">
        <f aca="false">VLOOKUP(B2650, Table3[#All], 2, FALSE())</f>
        <v>Salary</v>
      </c>
      <c r="K2650" s="8" t="str">
        <f aca="false">TEXT(ROW(), "0000")</f>
        <v>2650</v>
      </c>
      <c r="L2650" s="8"/>
    </row>
    <row r="2651" customFormat="false" ht="15.75" hidden="false" customHeight="true" outlineLevel="0" collapsed="false">
      <c r="A2651" s="7" t="n">
        <v>45842</v>
      </c>
      <c r="B2651" s="8" t="s">
        <v>50</v>
      </c>
      <c r="C2651" s="9" t="n">
        <v>1678</v>
      </c>
      <c r="D2651" s="8" t="s">
        <v>13</v>
      </c>
      <c r="E2651" s="10" t="s">
        <v>263</v>
      </c>
      <c r="F2651" s="8" t="str">
        <f aca="false">TEXT(A2651,"MM-YYYY")</f>
        <v>07-2025</v>
      </c>
      <c r="G2651" s="8" t="s">
        <v>14</v>
      </c>
      <c r="H2651" s="8" t="s">
        <v>13</v>
      </c>
      <c r="I2651" s="7" t="n">
        <v>45864</v>
      </c>
      <c r="J2651" s="8" t="str">
        <f aca="false">VLOOKUP(B2651, Table3[#All], 2, FALSE())</f>
        <v>Fixed Maintance</v>
      </c>
      <c r="K2651" s="8" t="str">
        <f aca="false">TEXT(ROW(), "0000")</f>
        <v>2651</v>
      </c>
      <c r="L2651" s="8"/>
    </row>
    <row r="2652" customFormat="false" ht="15.75" hidden="false" customHeight="true" outlineLevel="0" collapsed="false">
      <c r="A2652" s="7" t="n">
        <v>45842</v>
      </c>
      <c r="B2652" s="8" t="s">
        <v>16</v>
      </c>
      <c r="C2652" s="9" t="n">
        <v>3555</v>
      </c>
      <c r="D2652" s="8" t="s">
        <v>21</v>
      </c>
      <c r="E2652" s="10" t="s">
        <v>88</v>
      </c>
      <c r="F2652" s="8" t="str">
        <f aca="false">TEXT(A2652,"MM-YYYY")</f>
        <v>07-2025</v>
      </c>
      <c r="G2652" s="8"/>
      <c r="H2652" s="8"/>
      <c r="I2652" s="7"/>
      <c r="J2652" s="8" t="str">
        <f aca="false">VLOOKUP(B2652, Table3[#All], 2, FALSE())</f>
        <v>Sales</v>
      </c>
      <c r="K2652" s="8" t="str">
        <f aca="false">TEXT(ROW(), "0000")</f>
        <v>2652</v>
      </c>
      <c r="L2652" s="8"/>
    </row>
    <row r="2653" customFormat="false" ht="15.75" hidden="false" customHeight="true" outlineLevel="0" collapsed="false">
      <c r="A2653" s="7" t="n">
        <v>45842</v>
      </c>
      <c r="B2653" s="8" t="s">
        <v>16</v>
      </c>
      <c r="C2653" s="9" t="n">
        <v>920</v>
      </c>
      <c r="D2653" s="8" t="s">
        <v>33</v>
      </c>
      <c r="E2653" s="10" t="s">
        <v>88</v>
      </c>
      <c r="F2653" s="8" t="str">
        <f aca="false">TEXT(A2653,"MM-YYYY")</f>
        <v>07-2025</v>
      </c>
      <c r="G2653" s="8"/>
      <c r="H2653" s="8"/>
      <c r="I2653" s="7"/>
      <c r="J2653" s="8" t="str">
        <f aca="false">VLOOKUP(B2653, Table3[#All], 2, FALSE())</f>
        <v>Sales</v>
      </c>
      <c r="K2653" s="8" t="str">
        <f aca="false">TEXT(ROW(), "0000")</f>
        <v>2653</v>
      </c>
      <c r="L2653" s="8"/>
    </row>
    <row r="2654" customFormat="false" ht="15.75" hidden="false" customHeight="true" outlineLevel="0" collapsed="false">
      <c r="A2654" s="7" t="n">
        <v>45842</v>
      </c>
      <c r="B2654" s="8" t="s">
        <v>16</v>
      </c>
      <c r="C2654" s="9" t="n">
        <v>18743</v>
      </c>
      <c r="D2654" s="8" t="s">
        <v>17</v>
      </c>
      <c r="E2654" s="10" t="s">
        <v>88</v>
      </c>
      <c r="F2654" s="8" t="str">
        <f aca="false">TEXT(A2654,"MM-YYYY")</f>
        <v>07-2025</v>
      </c>
      <c r="G2654" s="8"/>
      <c r="H2654" s="8"/>
      <c r="I2654" s="7"/>
      <c r="J2654" s="8" t="str">
        <f aca="false">VLOOKUP(B2654, Table3[#All], 2, FALSE())</f>
        <v>Sales</v>
      </c>
      <c r="K2654" s="8" t="str">
        <f aca="false">TEXT(ROW(), "0000")</f>
        <v>2654</v>
      </c>
      <c r="L2654" s="8"/>
    </row>
    <row r="2655" customFormat="false" ht="15.75" hidden="false" customHeight="true" outlineLevel="0" collapsed="false">
      <c r="A2655" s="7" t="n">
        <v>45842</v>
      </c>
      <c r="B2655" s="8" t="s">
        <v>16</v>
      </c>
      <c r="C2655" s="9" t="n">
        <v>2949</v>
      </c>
      <c r="D2655" s="8" t="s">
        <v>24</v>
      </c>
      <c r="E2655" s="10" t="s">
        <v>217</v>
      </c>
      <c r="F2655" s="8" t="str">
        <f aca="false">TEXT(A2655,"MM-YYYY")</f>
        <v>07-2025</v>
      </c>
      <c r="G2655" s="8"/>
      <c r="H2655" s="8"/>
      <c r="I2655" s="7"/>
      <c r="J2655" s="8" t="str">
        <f aca="false">VLOOKUP(B2655, Table3[#All], 2, FALSE())</f>
        <v>Sales</v>
      </c>
      <c r="K2655" s="8" t="str">
        <f aca="false">TEXT(ROW(), "0000")</f>
        <v>2655</v>
      </c>
      <c r="L2655" s="8"/>
    </row>
    <row r="2656" customFormat="false" ht="15.75" hidden="false" customHeight="true" outlineLevel="0" collapsed="false">
      <c r="A2656" s="7" t="n">
        <v>45842</v>
      </c>
      <c r="B2656" s="8" t="s">
        <v>34</v>
      </c>
      <c r="C2656" s="9" t="n">
        <v>115</v>
      </c>
      <c r="D2656" s="8" t="s">
        <v>21</v>
      </c>
      <c r="E2656" s="10" t="s">
        <v>274</v>
      </c>
      <c r="F2656" s="8" t="str">
        <f aca="false">TEXT(A2656,"MM-YYYY")</f>
        <v>07-2025</v>
      </c>
      <c r="G2656" s="8" t="s">
        <v>14</v>
      </c>
      <c r="H2656" s="8" t="s">
        <v>15</v>
      </c>
      <c r="I2656" s="7" t="n">
        <v>45842</v>
      </c>
      <c r="J2656" s="8" t="str">
        <f aca="false">VLOOKUP(B2656, Table3[#All], 2, FALSE())</f>
        <v>Staff Expenses</v>
      </c>
      <c r="K2656" s="8" t="str">
        <f aca="false">TEXT(ROW(), "0000")</f>
        <v>2656</v>
      </c>
      <c r="L2656" s="8"/>
    </row>
    <row r="2657" customFormat="false" ht="15.75" hidden="false" customHeight="true" outlineLevel="0" collapsed="false">
      <c r="A2657" s="7" t="n">
        <v>45843</v>
      </c>
      <c r="B2657" s="8" t="s">
        <v>19</v>
      </c>
      <c r="C2657" s="9" t="n">
        <v>1130</v>
      </c>
      <c r="D2657" s="8" t="s">
        <v>13</v>
      </c>
      <c r="E2657" s="10" t="s">
        <v>20</v>
      </c>
      <c r="F2657" s="8" t="str">
        <f aca="false">TEXT(A2657,"MM-YYYY")</f>
        <v>07-2025</v>
      </c>
      <c r="G2657" s="8" t="s">
        <v>14</v>
      </c>
      <c r="H2657" s="8" t="s">
        <v>13</v>
      </c>
      <c r="I2657" s="7" t="n">
        <v>45849</v>
      </c>
      <c r="J2657" s="8" t="str">
        <f aca="false">VLOOKUP(B2657, Table3[#All], 2, FALSE())</f>
        <v>Inventory</v>
      </c>
      <c r="K2657" s="8" t="str">
        <f aca="false">TEXT(ROW(), "0000")</f>
        <v>2657</v>
      </c>
      <c r="L2657" s="8"/>
    </row>
    <row r="2658" customFormat="false" ht="15.75" hidden="false" customHeight="true" outlineLevel="0" collapsed="false">
      <c r="A2658" s="7" t="n">
        <v>45843</v>
      </c>
      <c r="B2658" s="21" t="s">
        <v>25</v>
      </c>
      <c r="C2658" s="12" t="n">
        <v>1258</v>
      </c>
      <c r="D2658" s="21" t="s">
        <v>13</v>
      </c>
      <c r="E2658" s="23" t="s">
        <v>360</v>
      </c>
      <c r="F2658" s="8" t="str">
        <f aca="false">TEXT(A2658,"MM-YYYY")</f>
        <v>07-2025</v>
      </c>
      <c r="G2658" s="21" t="s">
        <v>18</v>
      </c>
      <c r="H2658" s="8"/>
      <c r="I2658" s="7"/>
      <c r="J2658" s="8" t="str">
        <f aca="false">VLOOKUP(B2658, Table3[#All], 2, FALSE())</f>
        <v>Inventory</v>
      </c>
      <c r="K2658" s="8" t="str">
        <f aca="false">TEXT(ROW(), "0000")</f>
        <v>2658</v>
      </c>
      <c r="L2658" s="8"/>
    </row>
    <row r="2659" customFormat="false" ht="15.75" hidden="false" customHeight="true" outlineLevel="0" collapsed="false">
      <c r="A2659" s="7" t="n">
        <v>45843</v>
      </c>
      <c r="B2659" s="8" t="s">
        <v>53</v>
      </c>
      <c r="C2659" s="9" t="n">
        <v>1200</v>
      </c>
      <c r="D2659" s="8" t="s">
        <v>45</v>
      </c>
      <c r="E2659" s="10" t="s">
        <v>55</v>
      </c>
      <c r="F2659" s="8" t="str">
        <f aca="false">TEXT(A2659,"MM-YYYY")</f>
        <v>07-2025</v>
      </c>
      <c r="G2659" s="8" t="s">
        <v>14</v>
      </c>
      <c r="H2659" s="8" t="s">
        <v>15</v>
      </c>
      <c r="I2659" s="7" t="n">
        <v>45843</v>
      </c>
      <c r="J2659" s="8" t="str">
        <f aca="false">VLOOKUP(B2659, Table3[#All], 2, FALSE())</f>
        <v>Grocery</v>
      </c>
      <c r="K2659" s="8" t="str">
        <f aca="false">TEXT(ROW(), "0000")</f>
        <v>2659</v>
      </c>
      <c r="L2659" s="8"/>
    </row>
    <row r="2660" customFormat="false" ht="15.75" hidden="false" customHeight="true" outlineLevel="0" collapsed="false">
      <c r="A2660" s="7" t="n">
        <v>45843</v>
      </c>
      <c r="B2660" s="8" t="s">
        <v>32</v>
      </c>
      <c r="C2660" s="9" t="n">
        <v>140</v>
      </c>
      <c r="D2660" s="8" t="s">
        <v>45</v>
      </c>
      <c r="E2660" s="10" t="s">
        <v>38</v>
      </c>
      <c r="F2660" s="8" t="str">
        <f aca="false">TEXT(A2660,"MM-YYYY")</f>
        <v>07-2025</v>
      </c>
      <c r="G2660" s="8" t="s">
        <v>14</v>
      </c>
      <c r="H2660" s="8" t="s">
        <v>15</v>
      </c>
      <c r="I2660" s="7" t="n">
        <v>45843</v>
      </c>
      <c r="J2660" s="8" t="str">
        <f aca="false">VLOOKUP(B2660, Table3[#All], 2, FALSE())</f>
        <v>Grocery</v>
      </c>
      <c r="K2660" s="8" t="str">
        <f aca="false">TEXT(ROW(), "0000")</f>
        <v>2660</v>
      </c>
      <c r="L2660" s="8"/>
    </row>
    <row r="2661" customFormat="false" ht="15.75" hidden="false" customHeight="true" outlineLevel="0" collapsed="false">
      <c r="A2661" s="7" t="n">
        <v>45843</v>
      </c>
      <c r="B2661" s="8" t="s">
        <v>53</v>
      </c>
      <c r="C2661" s="9" t="n">
        <v>780</v>
      </c>
      <c r="D2661" s="8" t="s">
        <v>45</v>
      </c>
      <c r="E2661" s="10" t="s">
        <v>54</v>
      </c>
      <c r="F2661" s="8" t="str">
        <f aca="false">TEXT(A2661,"MM-YYYY")</f>
        <v>07-2025</v>
      </c>
      <c r="G2661" s="8" t="s">
        <v>14</v>
      </c>
      <c r="H2661" s="8" t="s">
        <v>15</v>
      </c>
      <c r="I2661" s="7" t="n">
        <v>45843</v>
      </c>
      <c r="J2661" s="8" t="str">
        <f aca="false">VLOOKUP(B2661, Table3[#All], 2, FALSE())</f>
        <v>Grocery</v>
      </c>
      <c r="K2661" s="8" t="str">
        <f aca="false">TEXT(ROW(), "0000")</f>
        <v>2661</v>
      </c>
      <c r="L2661" s="8"/>
    </row>
    <row r="2662" customFormat="false" ht="15.75" hidden="false" customHeight="true" outlineLevel="0" collapsed="false">
      <c r="A2662" s="7" t="n">
        <v>45843</v>
      </c>
      <c r="B2662" s="8" t="s">
        <v>35</v>
      </c>
      <c r="C2662" s="9" t="n">
        <v>100</v>
      </c>
      <c r="D2662" s="8" t="s">
        <v>45</v>
      </c>
      <c r="E2662" s="10" t="s">
        <v>206</v>
      </c>
      <c r="F2662" s="8" t="str">
        <f aca="false">TEXT(A2662,"MM-YYYY")</f>
        <v>07-2025</v>
      </c>
      <c r="G2662" s="8" t="s">
        <v>14</v>
      </c>
      <c r="H2662" s="8" t="s">
        <v>15</v>
      </c>
      <c r="I2662" s="7" t="n">
        <v>45843</v>
      </c>
      <c r="J2662" s="8" t="str">
        <f aca="false">VLOOKUP(B2662, Table3[#All], 2, FALSE())</f>
        <v>Inventory</v>
      </c>
      <c r="K2662" s="8" t="str">
        <f aca="false">TEXT(ROW(), "0000")</f>
        <v>2662</v>
      </c>
      <c r="L2662" s="8"/>
    </row>
    <row r="2663" customFormat="false" ht="15.75" hidden="false" customHeight="true" outlineLevel="0" collapsed="false">
      <c r="A2663" s="7" t="n">
        <v>45843</v>
      </c>
      <c r="B2663" s="8" t="s">
        <v>31</v>
      </c>
      <c r="C2663" s="9" t="n">
        <v>410</v>
      </c>
      <c r="D2663" s="8" t="s">
        <v>45</v>
      </c>
      <c r="E2663" s="10" t="s">
        <v>236</v>
      </c>
      <c r="F2663" s="8" t="str">
        <f aca="false">TEXT(A2663,"MM-YYYY")</f>
        <v>07-2025</v>
      </c>
      <c r="G2663" s="8" t="s">
        <v>14</v>
      </c>
      <c r="H2663" s="8" t="s">
        <v>15</v>
      </c>
      <c r="I2663" s="7" t="n">
        <v>45843</v>
      </c>
      <c r="J2663" s="8" t="str">
        <f aca="false">VLOOKUP(B2663, Table3[#All], 2, FALSE())</f>
        <v>Bike Maintance</v>
      </c>
      <c r="K2663" s="8" t="str">
        <f aca="false">TEXT(ROW(), "0000")</f>
        <v>2663</v>
      </c>
      <c r="L2663" s="8"/>
    </row>
    <row r="2664" customFormat="false" ht="15.75" hidden="false" customHeight="true" outlineLevel="0" collapsed="false">
      <c r="A2664" s="7" t="n">
        <v>45843</v>
      </c>
      <c r="B2664" s="8" t="s">
        <v>51</v>
      </c>
      <c r="C2664" s="9" t="n">
        <v>6175</v>
      </c>
      <c r="D2664" s="8" t="s">
        <v>13</v>
      </c>
      <c r="E2664" s="10" t="s">
        <v>226</v>
      </c>
      <c r="F2664" s="8" t="str">
        <f aca="false">TEXT(A2664,"MM-YYYY")</f>
        <v>07-2025</v>
      </c>
      <c r="G2664" s="8" t="s">
        <v>14</v>
      </c>
      <c r="H2664" s="8" t="s">
        <v>13</v>
      </c>
      <c r="I2664" s="7" t="n">
        <v>45872</v>
      </c>
      <c r="J2664" s="8" t="str">
        <f aca="false">VLOOKUP(B2664, Table3[#All], 2, FALSE())</f>
        <v>Inventory</v>
      </c>
      <c r="K2664" s="8" t="str">
        <f aca="false">TEXT(ROW(), "0000")</f>
        <v>2664</v>
      </c>
      <c r="L2664" s="8"/>
    </row>
    <row r="2665" customFormat="false" ht="15.75" hidden="false" customHeight="true" outlineLevel="0" collapsed="false">
      <c r="A2665" s="7" t="n">
        <v>45843</v>
      </c>
      <c r="B2665" s="8" t="s">
        <v>29</v>
      </c>
      <c r="C2665" s="9" t="n">
        <v>353</v>
      </c>
      <c r="D2665" s="8" t="s">
        <v>13</v>
      </c>
      <c r="E2665" s="10" t="s">
        <v>302</v>
      </c>
      <c r="F2665" s="8" t="str">
        <f aca="false">TEXT(A2665,"MM-YYYY")</f>
        <v>07-2025</v>
      </c>
      <c r="G2665" s="8" t="s">
        <v>18</v>
      </c>
      <c r="H2665" s="8"/>
      <c r="I2665" s="7"/>
      <c r="J2665" s="8" t="str">
        <f aca="false">VLOOKUP(B2665, Table3[#All], 2, FALSE())</f>
        <v>Inventory</v>
      </c>
      <c r="K2665" s="8" t="str">
        <f aca="false">TEXT(ROW(), "0000")</f>
        <v>2665</v>
      </c>
      <c r="L2665" s="8"/>
    </row>
    <row r="2666" customFormat="false" ht="15.75" hidden="false" customHeight="true" outlineLevel="0" collapsed="false">
      <c r="A2666" s="7" t="n">
        <v>45843</v>
      </c>
      <c r="B2666" s="8" t="s">
        <v>28</v>
      </c>
      <c r="C2666" s="9" t="n">
        <v>400</v>
      </c>
      <c r="D2666" s="8" t="s">
        <v>45</v>
      </c>
      <c r="E2666" s="8" t="s">
        <v>93</v>
      </c>
      <c r="F2666" s="8" t="str">
        <f aca="false">TEXT(A2666,"MM-YYYY")</f>
        <v>07-2025</v>
      </c>
      <c r="G2666" s="8" t="s">
        <v>14</v>
      </c>
      <c r="H2666" s="8" t="s">
        <v>15</v>
      </c>
      <c r="I2666" s="7" t="n">
        <v>45843</v>
      </c>
      <c r="J2666" s="8" t="str">
        <f aca="false">VLOOKUP(B2666, Table3[#All], 2, FALSE())</f>
        <v>Grocery</v>
      </c>
      <c r="K2666" s="8" t="str">
        <f aca="false">TEXT(ROW(), "0000")</f>
        <v>2666</v>
      </c>
      <c r="L2666" s="8"/>
    </row>
    <row r="2667" customFormat="false" ht="15.75" hidden="false" customHeight="true" outlineLevel="0" collapsed="false">
      <c r="A2667" s="7" t="n">
        <v>45843</v>
      </c>
      <c r="B2667" s="8" t="s">
        <v>16</v>
      </c>
      <c r="C2667" s="9" t="n">
        <v>6324</v>
      </c>
      <c r="D2667" s="8" t="s">
        <v>21</v>
      </c>
      <c r="E2667" s="10" t="s">
        <v>88</v>
      </c>
      <c r="F2667" s="8" t="str">
        <f aca="false">TEXT(A2667,"MM-YYYY")</f>
        <v>07-2025</v>
      </c>
      <c r="G2667" s="8"/>
      <c r="H2667" s="8"/>
      <c r="I2667" s="7"/>
      <c r="J2667" s="8" t="str">
        <f aca="false">VLOOKUP(B2667, Table3[#All], 2, FALSE())</f>
        <v>Sales</v>
      </c>
      <c r="K2667" s="8" t="str">
        <f aca="false">TEXT(ROW(), "0000")</f>
        <v>2667</v>
      </c>
      <c r="L2667" s="8"/>
    </row>
    <row r="2668" customFormat="false" ht="15.75" hidden="false" customHeight="true" outlineLevel="0" collapsed="false">
      <c r="A2668" s="7" t="n">
        <v>45843</v>
      </c>
      <c r="B2668" s="8" t="s">
        <v>16</v>
      </c>
      <c r="C2668" s="9" t="n">
        <v>730</v>
      </c>
      <c r="D2668" s="8" t="s">
        <v>33</v>
      </c>
      <c r="E2668" s="10" t="s">
        <v>88</v>
      </c>
      <c r="F2668" s="8" t="str">
        <f aca="false">TEXT(A2668,"MM-YYYY")</f>
        <v>07-2025</v>
      </c>
      <c r="G2668" s="8"/>
      <c r="H2668" s="8"/>
      <c r="I2668" s="7"/>
      <c r="J2668" s="8" t="str">
        <f aca="false">VLOOKUP(B2668, Table3[#All], 2, FALSE())</f>
        <v>Sales</v>
      </c>
      <c r="K2668" s="8" t="str">
        <f aca="false">TEXT(ROW(), "0000")</f>
        <v>2668</v>
      </c>
      <c r="L2668" s="8"/>
    </row>
    <row r="2669" customFormat="false" ht="15.75" hidden="false" customHeight="true" outlineLevel="0" collapsed="false">
      <c r="A2669" s="7" t="n">
        <v>45843</v>
      </c>
      <c r="B2669" s="8" t="s">
        <v>16</v>
      </c>
      <c r="C2669" s="9" t="n">
        <v>16530</v>
      </c>
      <c r="D2669" s="8" t="s">
        <v>17</v>
      </c>
      <c r="E2669" s="10" t="s">
        <v>88</v>
      </c>
      <c r="F2669" s="8" t="str">
        <f aca="false">TEXT(A2669,"MM-YYYY")</f>
        <v>07-2025</v>
      </c>
      <c r="G2669" s="8"/>
      <c r="H2669" s="8"/>
      <c r="I2669" s="7"/>
      <c r="J2669" s="8" t="str">
        <f aca="false">VLOOKUP(B2669, Table3[#All], 2, FALSE())</f>
        <v>Sales</v>
      </c>
      <c r="K2669" s="8" t="str">
        <f aca="false">TEXT(ROW(), "0000")</f>
        <v>2669</v>
      </c>
      <c r="L2669" s="8"/>
    </row>
    <row r="2670" customFormat="false" ht="15.75" hidden="false" customHeight="true" outlineLevel="0" collapsed="false">
      <c r="A2670" s="7" t="n">
        <v>45843</v>
      </c>
      <c r="B2670" s="8" t="s">
        <v>16</v>
      </c>
      <c r="C2670" s="9" t="n">
        <v>1460</v>
      </c>
      <c r="D2670" s="8" t="s">
        <v>59</v>
      </c>
      <c r="E2670" s="10" t="s">
        <v>88</v>
      </c>
      <c r="F2670" s="8" t="str">
        <f aca="false">TEXT(A2670,"MM-YYYY")</f>
        <v>07-2025</v>
      </c>
      <c r="G2670" s="8"/>
      <c r="H2670" s="8"/>
      <c r="I2670" s="7"/>
      <c r="J2670" s="8" t="str">
        <f aca="false">VLOOKUP(B2670, Table3[#All], 2, FALSE())</f>
        <v>Sales</v>
      </c>
      <c r="K2670" s="8" t="str">
        <f aca="false">TEXT(ROW(), "0000")</f>
        <v>2670</v>
      </c>
      <c r="L2670" s="8"/>
    </row>
    <row r="2671" customFormat="false" ht="15.75" hidden="false" customHeight="true" outlineLevel="0" collapsed="false">
      <c r="A2671" s="7" t="n">
        <v>45843</v>
      </c>
      <c r="B2671" s="8" t="s">
        <v>16</v>
      </c>
      <c r="C2671" s="9" t="n">
        <v>2337</v>
      </c>
      <c r="D2671" s="8" t="s">
        <v>24</v>
      </c>
      <c r="E2671" s="10" t="s">
        <v>217</v>
      </c>
      <c r="F2671" s="8" t="str">
        <f aca="false">TEXT(A2671,"MM-YYYY")</f>
        <v>07-2025</v>
      </c>
      <c r="G2671" s="8"/>
      <c r="H2671" s="8"/>
      <c r="I2671" s="7"/>
      <c r="J2671" s="8" t="str">
        <f aca="false">VLOOKUP(B2671, Table3[#All], 2, FALSE())</f>
        <v>Sales</v>
      </c>
      <c r="K2671" s="8" t="str">
        <f aca="false">TEXT(ROW(), "0000")</f>
        <v>2671</v>
      </c>
      <c r="L2671" s="8"/>
    </row>
    <row r="2672" customFormat="false" ht="15.75" hidden="false" customHeight="true" outlineLevel="0" collapsed="false">
      <c r="A2672" s="7" t="n">
        <v>45843</v>
      </c>
      <c r="B2672" s="8" t="s">
        <v>34</v>
      </c>
      <c r="C2672" s="9" t="n">
        <v>94</v>
      </c>
      <c r="D2672" s="8" t="s">
        <v>21</v>
      </c>
      <c r="E2672" s="10" t="s">
        <v>274</v>
      </c>
      <c r="F2672" s="8" t="str">
        <f aca="false">TEXT(A2672,"MM-YYYY")</f>
        <v>07-2025</v>
      </c>
      <c r="G2672" s="8" t="s">
        <v>14</v>
      </c>
      <c r="H2672" s="8" t="s">
        <v>15</v>
      </c>
      <c r="I2672" s="7" t="n">
        <v>45843</v>
      </c>
      <c r="J2672" s="8" t="str">
        <f aca="false">VLOOKUP(B2672, Table3[#All], 2, FALSE())</f>
        <v>Staff Expenses</v>
      </c>
      <c r="K2672" s="8" t="str">
        <f aca="false">TEXT(ROW(), "0000")</f>
        <v>2672</v>
      </c>
      <c r="L2672" s="8"/>
    </row>
    <row r="2673" customFormat="false" ht="15.75" hidden="false" customHeight="true" outlineLevel="0" collapsed="false">
      <c r="A2673" s="7" t="n">
        <v>45844</v>
      </c>
      <c r="B2673" s="8" t="s">
        <v>19</v>
      </c>
      <c r="C2673" s="9" t="n">
        <v>5858</v>
      </c>
      <c r="D2673" s="8" t="s">
        <v>13</v>
      </c>
      <c r="E2673" s="10" t="s">
        <v>20</v>
      </c>
      <c r="F2673" s="8" t="str">
        <f aca="false">TEXT(A2673,"MM-YYYY")</f>
        <v>07-2025</v>
      </c>
      <c r="G2673" s="8" t="s">
        <v>14</v>
      </c>
      <c r="H2673" s="8" t="s">
        <v>13</v>
      </c>
      <c r="I2673" s="7" t="n">
        <v>45850</v>
      </c>
      <c r="J2673" s="8" t="str">
        <f aca="false">VLOOKUP(B2673, Table3[#All], 2, FALSE())</f>
        <v>Inventory</v>
      </c>
      <c r="K2673" s="8" t="str">
        <f aca="false">TEXT(ROW(), "0000")</f>
        <v>2673</v>
      </c>
      <c r="L2673" s="8"/>
    </row>
    <row r="2674" customFormat="false" ht="15.75" hidden="false" customHeight="true" outlineLevel="0" collapsed="false">
      <c r="A2674" s="7" t="n">
        <v>45844</v>
      </c>
      <c r="B2674" s="8" t="s">
        <v>22</v>
      </c>
      <c r="C2674" s="9" t="n">
        <v>2265</v>
      </c>
      <c r="D2674" s="8" t="s">
        <v>13</v>
      </c>
      <c r="E2674" s="10" t="s">
        <v>23</v>
      </c>
      <c r="F2674" s="8" t="str">
        <f aca="false">TEXT(A2674,"MM-YYYY")</f>
        <v>07-2025</v>
      </c>
      <c r="G2674" s="8" t="s">
        <v>14</v>
      </c>
      <c r="H2674" s="8" t="s">
        <v>13</v>
      </c>
      <c r="I2674" s="7" t="n">
        <v>45851</v>
      </c>
      <c r="J2674" s="8" t="str">
        <f aca="false">VLOOKUP(B2674, Table3[#All], 2, FALSE())</f>
        <v>Inventory</v>
      </c>
      <c r="K2674" s="8" t="str">
        <f aca="false">TEXT(ROW(), "0000")</f>
        <v>2674</v>
      </c>
      <c r="L2674" s="8"/>
    </row>
    <row r="2675" customFormat="false" ht="15.75" hidden="false" customHeight="true" outlineLevel="0" collapsed="false">
      <c r="A2675" s="7" t="n">
        <v>45844</v>
      </c>
      <c r="B2675" s="8" t="s">
        <v>25</v>
      </c>
      <c r="C2675" s="9" t="n">
        <v>725</v>
      </c>
      <c r="D2675" s="8" t="s">
        <v>13</v>
      </c>
      <c r="E2675" s="10" t="s">
        <v>360</v>
      </c>
      <c r="F2675" s="8" t="str">
        <f aca="false">TEXT(A2675,"MM-YYYY")</f>
        <v>07-2025</v>
      </c>
      <c r="G2675" s="8" t="s">
        <v>18</v>
      </c>
      <c r="H2675" s="8"/>
      <c r="I2675" s="7"/>
      <c r="J2675" s="8" t="str">
        <f aca="false">VLOOKUP(B2675, Table3[#All], 2, FALSE())</f>
        <v>Inventory</v>
      </c>
      <c r="K2675" s="8" t="str">
        <f aca="false">TEXT(ROW(), "0000")</f>
        <v>2675</v>
      </c>
      <c r="L2675" s="8"/>
    </row>
    <row r="2676" customFormat="false" ht="15.75" hidden="false" customHeight="true" outlineLevel="0" collapsed="false">
      <c r="A2676" s="7" t="n">
        <v>45844</v>
      </c>
      <c r="B2676" s="8" t="s">
        <v>32</v>
      </c>
      <c r="C2676" s="9" t="n">
        <v>140</v>
      </c>
      <c r="D2676" s="8" t="s">
        <v>21</v>
      </c>
      <c r="E2676" s="10" t="s">
        <v>38</v>
      </c>
      <c r="F2676" s="8" t="str">
        <f aca="false">TEXT(A2676,"MM-YYYY")</f>
        <v>07-2025</v>
      </c>
      <c r="G2676" s="8" t="s">
        <v>14</v>
      </c>
      <c r="H2676" s="8" t="s">
        <v>15</v>
      </c>
      <c r="I2676" s="7" t="n">
        <v>45844</v>
      </c>
      <c r="J2676" s="8" t="str">
        <f aca="false">VLOOKUP(B2676, Table3[#All], 2, FALSE())</f>
        <v>Grocery</v>
      </c>
      <c r="K2676" s="8" t="str">
        <f aca="false">TEXT(ROW(), "0000")</f>
        <v>2676</v>
      </c>
      <c r="L2676" s="8"/>
    </row>
    <row r="2677" customFormat="false" ht="15.75" hidden="false" customHeight="true" outlineLevel="0" collapsed="false">
      <c r="A2677" s="7" t="n">
        <v>45844</v>
      </c>
      <c r="B2677" s="8" t="s">
        <v>50</v>
      </c>
      <c r="C2677" s="9" t="n">
        <v>1678</v>
      </c>
      <c r="D2677" s="8" t="s">
        <v>13</v>
      </c>
      <c r="E2677" s="10" t="s">
        <v>263</v>
      </c>
      <c r="F2677" s="8" t="str">
        <f aca="false">TEXT(A2677,"MM-YYYY")</f>
        <v>07-2025</v>
      </c>
      <c r="G2677" s="8" t="s">
        <v>14</v>
      </c>
      <c r="H2677" s="8" t="s">
        <v>13</v>
      </c>
      <c r="I2677" s="7" t="n">
        <v>45864</v>
      </c>
      <c r="J2677" s="8" t="str">
        <f aca="false">VLOOKUP(B2677, Table3[#All], 2, FALSE())</f>
        <v>Fixed Maintance</v>
      </c>
      <c r="K2677" s="8" t="str">
        <f aca="false">TEXT(ROW(), "0000")</f>
        <v>2677</v>
      </c>
      <c r="L2677" s="8"/>
    </row>
    <row r="2678" customFormat="false" ht="15.75" hidden="false" customHeight="true" outlineLevel="0" collapsed="false">
      <c r="A2678" s="7" t="n">
        <v>45844</v>
      </c>
      <c r="B2678" s="8" t="s">
        <v>44</v>
      </c>
      <c r="C2678" s="9" t="n">
        <v>6000</v>
      </c>
      <c r="D2678" s="8" t="s">
        <v>45</v>
      </c>
      <c r="E2678" s="10" t="s">
        <v>85</v>
      </c>
      <c r="F2678" s="8" t="str">
        <f aca="false">TEXT(A2678,"MM-YYYY")</f>
        <v>07-2025</v>
      </c>
      <c r="G2678" s="8" t="s">
        <v>14</v>
      </c>
      <c r="H2678" s="8" t="s">
        <v>15</v>
      </c>
      <c r="I2678" s="7" t="n">
        <v>45844</v>
      </c>
      <c r="J2678" s="8" t="str">
        <f aca="false">VLOOKUP(B2678, Table3[#All], 2, FALSE())</f>
        <v>Salary</v>
      </c>
      <c r="K2678" s="8" t="str">
        <f aca="false">TEXT(ROW(), "0000")</f>
        <v>2678</v>
      </c>
      <c r="L2678" s="8"/>
    </row>
    <row r="2679" customFormat="false" ht="15.75" hidden="false" customHeight="true" outlineLevel="0" collapsed="false">
      <c r="A2679" s="7" t="n">
        <v>45844</v>
      </c>
      <c r="B2679" s="8" t="s">
        <v>28</v>
      </c>
      <c r="C2679" s="9" t="n">
        <v>920</v>
      </c>
      <c r="D2679" s="8" t="s">
        <v>21</v>
      </c>
      <c r="E2679" s="10" t="s">
        <v>93</v>
      </c>
      <c r="F2679" s="8" t="str">
        <f aca="false">TEXT(A2679,"MM-YYYY")</f>
        <v>07-2025</v>
      </c>
      <c r="G2679" s="8" t="s">
        <v>14</v>
      </c>
      <c r="H2679" s="8" t="s">
        <v>15</v>
      </c>
      <c r="I2679" s="7" t="n">
        <v>45844</v>
      </c>
      <c r="J2679" s="8" t="str">
        <f aca="false">VLOOKUP(B2679, Table3[#All], 2, FALSE())</f>
        <v>Grocery</v>
      </c>
      <c r="K2679" s="8" t="str">
        <f aca="false">TEXT(ROW(), "0000")</f>
        <v>2679</v>
      </c>
      <c r="L2679" s="8"/>
    </row>
    <row r="2680" customFormat="false" ht="15.75" hidden="false" customHeight="true" outlineLevel="0" collapsed="false">
      <c r="A2680" s="7" t="n">
        <v>45844</v>
      </c>
      <c r="B2680" s="8" t="s">
        <v>29</v>
      </c>
      <c r="C2680" s="9" t="n">
        <v>313</v>
      </c>
      <c r="D2680" s="8" t="s">
        <v>13</v>
      </c>
      <c r="E2680" s="10" t="s">
        <v>302</v>
      </c>
      <c r="F2680" s="8" t="str">
        <f aca="false">TEXT(A2680,"MM-YYYY")</f>
        <v>07-2025</v>
      </c>
      <c r="G2680" s="8" t="s">
        <v>18</v>
      </c>
      <c r="H2680" s="8"/>
      <c r="I2680" s="7"/>
      <c r="J2680" s="8" t="str">
        <f aca="false">VLOOKUP(B2680, Table3[#All], 2, FALSE())</f>
        <v>Inventory</v>
      </c>
      <c r="K2680" s="8" t="str">
        <f aca="false">TEXT(ROW(), "0000")</f>
        <v>2680</v>
      </c>
      <c r="L2680" s="8"/>
    </row>
    <row r="2681" customFormat="false" ht="15.75" hidden="false" customHeight="true" outlineLevel="0" collapsed="false">
      <c r="A2681" s="7" t="n">
        <v>45844</v>
      </c>
      <c r="B2681" s="8" t="s">
        <v>44</v>
      </c>
      <c r="C2681" s="9" t="n">
        <v>1200</v>
      </c>
      <c r="D2681" s="8" t="s">
        <v>21</v>
      </c>
      <c r="E2681" s="10" t="s">
        <v>338</v>
      </c>
      <c r="F2681" s="8" t="str">
        <f aca="false">TEXT(A2681,"MM-YYYY")</f>
        <v>07-2025</v>
      </c>
      <c r="G2681" s="8" t="s">
        <v>14</v>
      </c>
      <c r="H2681" s="8" t="s">
        <v>15</v>
      </c>
      <c r="I2681" s="7" t="n">
        <v>45844</v>
      </c>
      <c r="J2681" s="8" t="str">
        <f aca="false">VLOOKUP(B2681, Table3[#All], 2, FALSE())</f>
        <v>Salary</v>
      </c>
      <c r="K2681" s="8" t="str">
        <f aca="false">TEXT(ROW(), "0000")</f>
        <v>2681</v>
      </c>
      <c r="L2681" s="8"/>
    </row>
    <row r="2682" customFormat="false" ht="15.75" hidden="false" customHeight="true" outlineLevel="0" collapsed="false">
      <c r="A2682" s="7" t="n">
        <v>45844</v>
      </c>
      <c r="B2682" s="8" t="s">
        <v>16</v>
      </c>
      <c r="C2682" s="9" t="n">
        <v>2615</v>
      </c>
      <c r="D2682" s="8" t="s">
        <v>21</v>
      </c>
      <c r="E2682" s="10" t="s">
        <v>88</v>
      </c>
      <c r="F2682" s="8" t="str">
        <f aca="false">TEXT(A2682,"MM-YYYY")</f>
        <v>07-2025</v>
      </c>
      <c r="G2682" s="8"/>
      <c r="H2682" s="8"/>
      <c r="I2682" s="7"/>
      <c r="J2682" s="8" t="str">
        <f aca="false">VLOOKUP(B2682, Table3[#All], 2, FALSE())</f>
        <v>Sales</v>
      </c>
      <c r="K2682" s="8" t="str">
        <f aca="false">TEXT(ROW(), "0000")</f>
        <v>2682</v>
      </c>
      <c r="L2682" s="8"/>
    </row>
    <row r="2683" customFormat="false" ht="15.75" hidden="false" customHeight="true" outlineLevel="0" collapsed="false">
      <c r="A2683" s="7" t="n">
        <v>45844</v>
      </c>
      <c r="B2683" s="8" t="s">
        <v>16</v>
      </c>
      <c r="C2683" s="9" t="n">
        <v>1989</v>
      </c>
      <c r="D2683" s="8" t="s">
        <v>33</v>
      </c>
      <c r="E2683" s="10" t="s">
        <v>88</v>
      </c>
      <c r="F2683" s="8" t="str">
        <f aca="false">TEXT(A2683,"MM-YYYY")</f>
        <v>07-2025</v>
      </c>
      <c r="G2683" s="8"/>
      <c r="H2683" s="8"/>
      <c r="I2683" s="7"/>
      <c r="J2683" s="8" t="str">
        <f aca="false">VLOOKUP(B2683, Table3[#All], 2, FALSE())</f>
        <v>Sales</v>
      </c>
      <c r="K2683" s="8" t="str">
        <f aca="false">TEXT(ROW(), "0000")</f>
        <v>2683</v>
      </c>
      <c r="L2683" s="8"/>
    </row>
    <row r="2684" customFormat="false" ht="15.75" hidden="false" customHeight="true" outlineLevel="0" collapsed="false">
      <c r="A2684" s="7" t="n">
        <v>45844</v>
      </c>
      <c r="B2684" s="8" t="s">
        <v>16</v>
      </c>
      <c r="C2684" s="9" t="n">
        <v>16057</v>
      </c>
      <c r="D2684" s="8" t="s">
        <v>17</v>
      </c>
      <c r="E2684" s="10" t="s">
        <v>88</v>
      </c>
      <c r="F2684" s="8" t="str">
        <f aca="false">TEXT(A2684,"MM-YYYY")</f>
        <v>07-2025</v>
      </c>
      <c r="G2684" s="8"/>
      <c r="H2684" s="8"/>
      <c r="I2684" s="7"/>
      <c r="J2684" s="8" t="str">
        <f aca="false">VLOOKUP(B2684, Table3[#All], 2, FALSE())</f>
        <v>Sales</v>
      </c>
      <c r="K2684" s="8" t="str">
        <f aca="false">TEXT(ROW(), "0000")</f>
        <v>2684</v>
      </c>
      <c r="L2684" s="8"/>
    </row>
    <row r="2685" customFormat="false" ht="15.75" hidden="false" customHeight="true" outlineLevel="0" collapsed="false">
      <c r="A2685" s="7" t="n">
        <v>45844</v>
      </c>
      <c r="B2685" s="8" t="s">
        <v>16</v>
      </c>
      <c r="C2685" s="9" t="n">
        <v>2431</v>
      </c>
      <c r="D2685" s="8" t="s">
        <v>24</v>
      </c>
      <c r="E2685" s="10" t="s">
        <v>217</v>
      </c>
      <c r="F2685" s="8" t="str">
        <f aca="false">TEXT(A2685,"MM-YYYY")</f>
        <v>07-2025</v>
      </c>
      <c r="G2685" s="8"/>
      <c r="H2685" s="8"/>
      <c r="I2685" s="7"/>
      <c r="J2685" s="8" t="str">
        <f aca="false">VLOOKUP(B2685, Table3[#All], 2, FALSE())</f>
        <v>Sales</v>
      </c>
      <c r="K2685" s="8" t="str">
        <f aca="false">TEXT(ROW(), "0000")</f>
        <v>2685</v>
      </c>
      <c r="L2685" s="8"/>
    </row>
    <row r="2686" customFormat="false" ht="15.75" hidden="false" customHeight="true" outlineLevel="0" collapsed="false">
      <c r="A2686" s="7" t="n">
        <v>45844</v>
      </c>
      <c r="B2686" s="8" t="s">
        <v>34</v>
      </c>
      <c r="C2686" s="9" t="n">
        <v>105</v>
      </c>
      <c r="D2686" s="8" t="s">
        <v>21</v>
      </c>
      <c r="E2686" s="10" t="s">
        <v>274</v>
      </c>
      <c r="F2686" s="8" t="str">
        <f aca="false">TEXT(A2686,"MM-YYYY")</f>
        <v>07-2025</v>
      </c>
      <c r="G2686" s="8" t="s">
        <v>14</v>
      </c>
      <c r="H2686" s="8" t="s">
        <v>15</v>
      </c>
      <c r="I2686" s="7" t="n">
        <v>45844</v>
      </c>
      <c r="J2686" s="8" t="str">
        <f aca="false">VLOOKUP(B2686, Table3[#All], 2, FALSE())</f>
        <v>Staff Expenses</v>
      </c>
      <c r="K2686" s="8" t="str">
        <f aca="false">TEXT(ROW(), "0000")</f>
        <v>2686</v>
      </c>
      <c r="L2686" s="8"/>
    </row>
    <row r="2687" customFormat="false" ht="15.75" hidden="false" customHeight="true" outlineLevel="0" collapsed="false">
      <c r="A2687" s="7" t="n">
        <v>45845</v>
      </c>
      <c r="B2687" s="8" t="s">
        <v>22</v>
      </c>
      <c r="C2687" s="9" t="n">
        <v>1750</v>
      </c>
      <c r="D2687" s="8" t="s">
        <v>13</v>
      </c>
      <c r="E2687" s="10" t="s">
        <v>23</v>
      </c>
      <c r="F2687" s="8" t="str">
        <f aca="false">TEXT(A2687,"MM-YYYY")</f>
        <v>07-2025</v>
      </c>
      <c r="G2687" s="8" t="s">
        <v>14</v>
      </c>
      <c r="H2687" s="8" t="s">
        <v>13</v>
      </c>
      <c r="I2687" s="7" t="n">
        <v>45851</v>
      </c>
      <c r="J2687" s="8" t="str">
        <f aca="false">VLOOKUP(B2687, Table3[#All], 2, FALSE())</f>
        <v>Inventory</v>
      </c>
      <c r="K2687" s="8" t="str">
        <f aca="false">TEXT(ROW(), "0000")</f>
        <v>2687</v>
      </c>
      <c r="L2687" s="8"/>
    </row>
    <row r="2688" customFormat="false" ht="15.75" hidden="false" customHeight="true" outlineLevel="0" collapsed="false">
      <c r="A2688" s="7" t="n">
        <v>45845</v>
      </c>
      <c r="B2688" s="8" t="s">
        <v>47</v>
      </c>
      <c r="C2688" s="9" t="n">
        <v>1800</v>
      </c>
      <c r="D2688" s="8" t="s">
        <v>13</v>
      </c>
      <c r="E2688" s="10" t="s">
        <v>339</v>
      </c>
      <c r="F2688" s="8" t="str">
        <f aca="false">TEXT(A2688,"MM-YYYY")</f>
        <v>07-2025</v>
      </c>
      <c r="G2688" s="8" t="s">
        <v>14</v>
      </c>
      <c r="H2688" s="8" t="s">
        <v>13</v>
      </c>
      <c r="I2688" s="7" t="n">
        <v>45857</v>
      </c>
      <c r="J2688" s="8" t="str">
        <f aca="false">VLOOKUP(B2688, Table3[#All], 2, FALSE())</f>
        <v>Inventory</v>
      </c>
      <c r="K2688" s="8" t="str">
        <f aca="false">TEXT(ROW(), "0000")</f>
        <v>2688</v>
      </c>
      <c r="L2688" s="8"/>
    </row>
    <row r="2689" customFormat="false" ht="15.75" hidden="false" customHeight="true" outlineLevel="0" collapsed="false">
      <c r="A2689" s="7" t="n">
        <v>45845</v>
      </c>
      <c r="B2689" s="8" t="s">
        <v>29</v>
      </c>
      <c r="C2689" s="9" t="n">
        <v>357</v>
      </c>
      <c r="D2689" s="8" t="s">
        <v>13</v>
      </c>
      <c r="E2689" s="10" t="s">
        <v>302</v>
      </c>
      <c r="F2689" s="8" t="str">
        <f aca="false">TEXT(A2689,"MM-YYYY")</f>
        <v>07-2025</v>
      </c>
      <c r="G2689" s="8" t="s">
        <v>18</v>
      </c>
      <c r="H2689" s="8"/>
      <c r="I2689" s="7"/>
      <c r="J2689" s="8" t="str">
        <f aca="false">VLOOKUP(B2689, Table3[#All], 2, FALSE())</f>
        <v>Inventory</v>
      </c>
      <c r="K2689" s="8" t="str">
        <f aca="false">TEXT(ROW(), "0000")</f>
        <v>2689</v>
      </c>
      <c r="L2689" s="8"/>
    </row>
    <row r="2690" customFormat="false" ht="15.75" hidden="false" customHeight="true" outlineLevel="0" collapsed="false">
      <c r="A2690" s="7" t="n">
        <v>45845</v>
      </c>
      <c r="B2690" s="8" t="s">
        <v>25</v>
      </c>
      <c r="C2690" s="9" t="n">
        <v>936</v>
      </c>
      <c r="D2690" s="8" t="s">
        <v>13</v>
      </c>
      <c r="E2690" s="10" t="s">
        <v>360</v>
      </c>
      <c r="F2690" s="8" t="str">
        <f aca="false">TEXT(A2690,"MM-YYYY")</f>
        <v>07-2025</v>
      </c>
      <c r="G2690" s="8" t="s">
        <v>18</v>
      </c>
      <c r="H2690" s="8"/>
      <c r="I2690" s="7"/>
      <c r="J2690" s="8" t="str">
        <f aca="false">VLOOKUP(B2690, Table3[#All], 2, FALSE())</f>
        <v>Inventory</v>
      </c>
      <c r="K2690" s="8" t="str">
        <f aca="false">TEXT(ROW(), "0000")</f>
        <v>2690</v>
      </c>
      <c r="L2690" s="8"/>
    </row>
    <row r="2691" customFormat="false" ht="15.75" hidden="false" customHeight="true" outlineLevel="0" collapsed="false">
      <c r="A2691" s="7" t="n">
        <v>45845</v>
      </c>
      <c r="B2691" s="8" t="s">
        <v>19</v>
      </c>
      <c r="C2691" s="9" t="n">
        <v>2169</v>
      </c>
      <c r="D2691" s="8" t="s">
        <v>13</v>
      </c>
      <c r="E2691" s="10" t="s">
        <v>20</v>
      </c>
      <c r="F2691" s="8" t="str">
        <f aca="false">TEXT(A2691,"MM-YYYY")</f>
        <v>07-2025</v>
      </c>
      <c r="G2691" s="8" t="s">
        <v>14</v>
      </c>
      <c r="H2691" s="8" t="s">
        <v>13</v>
      </c>
      <c r="I2691" s="7" t="n">
        <v>45851</v>
      </c>
      <c r="J2691" s="8" t="str">
        <f aca="false">VLOOKUP(B2691, Table3[#All], 2, FALSE())</f>
        <v>Inventory</v>
      </c>
      <c r="K2691" s="8" t="str">
        <f aca="false">TEXT(ROW(), "0000")</f>
        <v>2691</v>
      </c>
      <c r="L2691" s="8"/>
    </row>
    <row r="2692" customFormat="false" ht="15.75" hidden="false" customHeight="true" outlineLevel="0" collapsed="false">
      <c r="A2692" s="7" t="n">
        <v>45845</v>
      </c>
      <c r="B2692" s="8" t="s">
        <v>25</v>
      </c>
      <c r="C2692" s="9" t="n">
        <v>220</v>
      </c>
      <c r="D2692" s="8" t="s">
        <v>45</v>
      </c>
      <c r="E2692" s="10" t="s">
        <v>361</v>
      </c>
      <c r="F2692" s="8" t="str">
        <f aca="false">TEXT(A2692,"MM-YYYY")</f>
        <v>07-2025</v>
      </c>
      <c r="G2692" s="8" t="s">
        <v>14</v>
      </c>
      <c r="H2692" s="8" t="s">
        <v>15</v>
      </c>
      <c r="I2692" s="7" t="n">
        <v>45845</v>
      </c>
      <c r="J2692" s="8" t="str">
        <f aca="false">VLOOKUP(B2692, Table3[#All], 2, FALSE())</f>
        <v>Inventory</v>
      </c>
      <c r="K2692" s="8" t="str">
        <f aca="false">TEXT(ROW(), "0000")</f>
        <v>2692</v>
      </c>
      <c r="L2692" s="8"/>
    </row>
    <row r="2693" customFormat="false" ht="15.75" hidden="false" customHeight="true" outlineLevel="0" collapsed="false">
      <c r="A2693" s="7" t="n">
        <v>45845</v>
      </c>
      <c r="B2693" s="8" t="s">
        <v>43</v>
      </c>
      <c r="C2693" s="9" t="n">
        <v>220</v>
      </c>
      <c r="D2693" s="8" t="s">
        <v>45</v>
      </c>
      <c r="E2693" s="10" t="s">
        <v>362</v>
      </c>
      <c r="F2693" s="8" t="str">
        <f aca="false">TEXT(A2693,"MM-YYYY")</f>
        <v>07-2025</v>
      </c>
      <c r="G2693" s="8" t="s">
        <v>14</v>
      </c>
      <c r="H2693" s="8" t="s">
        <v>15</v>
      </c>
      <c r="I2693" s="7" t="n">
        <v>45845</v>
      </c>
      <c r="J2693" s="8" t="str">
        <f aca="false">VLOOKUP(B2693, Table3[#All], 2, FALSE())</f>
        <v>Maintance</v>
      </c>
      <c r="K2693" s="8" t="str">
        <f aca="false">TEXT(ROW(), "0000")</f>
        <v>2693</v>
      </c>
      <c r="L2693" s="8"/>
    </row>
    <row r="2694" customFormat="false" ht="15.75" hidden="false" customHeight="true" outlineLevel="0" collapsed="false">
      <c r="A2694" s="7" t="n">
        <v>45845</v>
      </c>
      <c r="B2694" s="8" t="s">
        <v>29</v>
      </c>
      <c r="C2694" s="9" t="n">
        <v>500</v>
      </c>
      <c r="D2694" s="8" t="s">
        <v>45</v>
      </c>
      <c r="E2694" s="10" t="s">
        <v>78</v>
      </c>
      <c r="F2694" s="8" t="str">
        <f aca="false">TEXT(A2694,"MM-YYYY")</f>
        <v>07-2025</v>
      </c>
      <c r="G2694" s="8" t="s">
        <v>14</v>
      </c>
      <c r="H2694" s="8" t="s">
        <v>15</v>
      </c>
      <c r="I2694" s="7" t="n">
        <v>45845</v>
      </c>
      <c r="J2694" s="8" t="str">
        <f aca="false">VLOOKUP(B2694, Table3[#All], 2, FALSE())</f>
        <v>Inventory</v>
      </c>
      <c r="K2694" s="8" t="str">
        <f aca="false">TEXT(ROW(), "0000")</f>
        <v>2694</v>
      </c>
      <c r="L2694" s="8"/>
    </row>
    <row r="2695" customFormat="false" ht="15.75" hidden="false" customHeight="true" outlineLevel="0" collapsed="false">
      <c r="A2695" s="7" t="n">
        <v>45845</v>
      </c>
      <c r="B2695" s="8" t="s">
        <v>32</v>
      </c>
      <c r="C2695" s="9" t="n">
        <v>210</v>
      </c>
      <c r="D2695" s="8" t="s">
        <v>45</v>
      </c>
      <c r="E2695" s="10" t="s">
        <v>38</v>
      </c>
      <c r="F2695" s="8" t="str">
        <f aca="false">TEXT(A2695,"MM-YYYY")</f>
        <v>07-2025</v>
      </c>
      <c r="G2695" s="8" t="s">
        <v>14</v>
      </c>
      <c r="H2695" s="8" t="s">
        <v>15</v>
      </c>
      <c r="I2695" s="7" t="n">
        <v>45845</v>
      </c>
      <c r="J2695" s="8" t="str">
        <f aca="false">VLOOKUP(B2695, Table3[#All], 2, FALSE())</f>
        <v>Grocery</v>
      </c>
      <c r="K2695" s="8" t="str">
        <f aca="false">TEXT(ROW(), "0000")</f>
        <v>2695</v>
      </c>
      <c r="L2695" s="8"/>
    </row>
    <row r="2696" customFormat="false" ht="15.75" hidden="false" customHeight="true" outlineLevel="0" collapsed="false">
      <c r="A2696" s="7" t="n">
        <v>45845</v>
      </c>
      <c r="B2696" s="8" t="s">
        <v>51</v>
      </c>
      <c r="C2696" s="9" t="n">
        <v>80</v>
      </c>
      <c r="D2696" s="8" t="s">
        <v>21</v>
      </c>
      <c r="E2696" s="10" t="s">
        <v>314</v>
      </c>
      <c r="F2696" s="8" t="str">
        <f aca="false">TEXT(A2696,"MM-YYYY")</f>
        <v>07-2025</v>
      </c>
      <c r="G2696" s="8" t="s">
        <v>14</v>
      </c>
      <c r="H2696" s="8" t="s">
        <v>15</v>
      </c>
      <c r="I2696" s="7" t="n">
        <v>45845</v>
      </c>
      <c r="J2696" s="8" t="str">
        <f aca="false">VLOOKUP(B2696, Table3[#All], 2, FALSE())</f>
        <v>Inventory</v>
      </c>
      <c r="K2696" s="8" t="str">
        <f aca="false">TEXT(ROW(), "0000")</f>
        <v>2696</v>
      </c>
      <c r="L2696" s="8"/>
    </row>
    <row r="2697" customFormat="false" ht="15.75" hidden="false" customHeight="true" outlineLevel="0" collapsed="false">
      <c r="A2697" s="7" t="n">
        <v>45845</v>
      </c>
      <c r="B2697" s="8" t="s">
        <v>50</v>
      </c>
      <c r="C2697" s="9" t="n">
        <v>1678</v>
      </c>
      <c r="D2697" s="8" t="s">
        <v>13</v>
      </c>
      <c r="E2697" s="10" t="s">
        <v>263</v>
      </c>
      <c r="F2697" s="8" t="str">
        <f aca="false">TEXT(A2697,"MM-YYYY")</f>
        <v>07-2025</v>
      </c>
      <c r="G2697" s="8" t="s">
        <v>14</v>
      </c>
      <c r="H2697" s="8" t="s">
        <v>13</v>
      </c>
      <c r="I2697" s="7" t="n">
        <v>45864</v>
      </c>
      <c r="J2697" s="8" t="str">
        <f aca="false">VLOOKUP(B2697, Table3[#All], 2, FALSE())</f>
        <v>Fixed Maintance</v>
      </c>
      <c r="K2697" s="8" t="str">
        <f aca="false">TEXT(ROW(), "0000")</f>
        <v>2697</v>
      </c>
      <c r="L2697" s="8"/>
    </row>
    <row r="2698" customFormat="false" ht="15.75" hidden="false" customHeight="true" outlineLevel="0" collapsed="false">
      <c r="A2698" s="7" t="n">
        <v>45845</v>
      </c>
      <c r="B2698" s="8" t="s">
        <v>214</v>
      </c>
      <c r="C2698" s="9" t="n">
        <v>1000</v>
      </c>
      <c r="D2698" s="8" t="s">
        <v>21</v>
      </c>
      <c r="E2698" s="10" t="s">
        <v>363</v>
      </c>
      <c r="F2698" s="8" t="str">
        <f aca="false">TEXT(A2698,"MM-YYYY")</f>
        <v>07-2025</v>
      </c>
      <c r="G2698" s="8" t="s">
        <v>14</v>
      </c>
      <c r="H2698" s="8" t="s">
        <v>15</v>
      </c>
      <c r="I2698" s="7" t="n">
        <v>45845</v>
      </c>
      <c r="J2698" s="8" t="str">
        <f aca="false">VLOOKUP(B2698, Table3[#All], 2, FALSE())</f>
        <v>Maintenance</v>
      </c>
      <c r="K2698" s="8" t="str">
        <f aca="false">TEXT(ROW(), "0000")</f>
        <v>2698</v>
      </c>
      <c r="L2698" s="8"/>
    </row>
    <row r="2699" customFormat="false" ht="15.75" hidden="false" customHeight="true" outlineLevel="0" collapsed="false">
      <c r="A2699" s="7" t="n">
        <v>45845</v>
      </c>
      <c r="B2699" s="8" t="s">
        <v>44</v>
      </c>
      <c r="C2699" s="9" t="n">
        <v>100</v>
      </c>
      <c r="D2699" s="8" t="s">
        <v>21</v>
      </c>
      <c r="E2699" s="10" t="s">
        <v>86</v>
      </c>
      <c r="F2699" s="8" t="str">
        <f aca="false">TEXT(A2699,"MM-YYYY")</f>
        <v>07-2025</v>
      </c>
      <c r="G2699" s="8" t="s">
        <v>14</v>
      </c>
      <c r="H2699" s="8" t="s">
        <v>15</v>
      </c>
      <c r="I2699" s="7" t="n">
        <v>45845</v>
      </c>
      <c r="J2699" s="8" t="str">
        <f aca="false">VLOOKUP(B2699, Table3[#All], 2, FALSE())</f>
        <v>Salary</v>
      </c>
      <c r="K2699" s="8" t="str">
        <f aca="false">TEXT(ROW(), "0000")</f>
        <v>2699</v>
      </c>
      <c r="L2699" s="8"/>
    </row>
    <row r="2700" customFormat="false" ht="15.75" hidden="false" customHeight="true" outlineLevel="0" collapsed="false">
      <c r="A2700" s="7" t="n">
        <v>45845</v>
      </c>
      <c r="B2700" s="8" t="s">
        <v>22</v>
      </c>
      <c r="C2700" s="9" t="n">
        <v>4500</v>
      </c>
      <c r="D2700" s="8" t="s">
        <v>13</v>
      </c>
      <c r="E2700" s="8" t="s">
        <v>22</v>
      </c>
      <c r="F2700" s="8" t="str">
        <f aca="false">TEXT(A2700,"MM-YYYY")</f>
        <v>07-2025</v>
      </c>
      <c r="G2700" s="8" t="s">
        <v>14</v>
      </c>
      <c r="H2700" s="8" t="s">
        <v>262</v>
      </c>
      <c r="I2700" s="7" t="n">
        <v>45845</v>
      </c>
      <c r="J2700" s="8" t="str">
        <f aca="false">VLOOKUP(B2700, Table3[#All], 2, FALSE())</f>
        <v>Inventory</v>
      </c>
      <c r="K2700" s="8" t="str">
        <f aca="false">TEXT(ROW(), "0000")</f>
        <v>2700</v>
      </c>
      <c r="L2700" s="8"/>
    </row>
    <row r="2701" customFormat="false" ht="15.75" hidden="false" customHeight="true" outlineLevel="0" collapsed="false">
      <c r="A2701" s="7" t="n">
        <v>45845</v>
      </c>
      <c r="B2701" s="8" t="s">
        <v>43</v>
      </c>
      <c r="C2701" s="9" t="n">
        <v>2300</v>
      </c>
      <c r="D2701" s="8" t="s">
        <v>13</v>
      </c>
      <c r="E2701" s="10" t="s">
        <v>364</v>
      </c>
      <c r="F2701" s="8" t="str">
        <f aca="false">TEXT(A2701,"MM-YYYY")</f>
        <v>07-2025</v>
      </c>
      <c r="G2701" s="8" t="s">
        <v>14</v>
      </c>
      <c r="H2701" s="8" t="s">
        <v>13</v>
      </c>
      <c r="I2701" s="7" t="n">
        <v>45845</v>
      </c>
      <c r="J2701" s="8" t="str">
        <f aca="false">VLOOKUP(B2701, Table3[#All], 2, FALSE())</f>
        <v>Maintance</v>
      </c>
      <c r="K2701" s="8" t="str">
        <f aca="false">TEXT(ROW(), "0000")</f>
        <v>2701</v>
      </c>
      <c r="L2701" s="8"/>
    </row>
    <row r="2702" customFormat="false" ht="15.75" hidden="false" customHeight="true" outlineLevel="0" collapsed="false">
      <c r="A2702" s="7" t="n">
        <v>45845</v>
      </c>
      <c r="B2702" s="8" t="s">
        <v>16</v>
      </c>
      <c r="C2702" s="9" t="n">
        <v>1870</v>
      </c>
      <c r="D2702" s="8" t="s">
        <v>21</v>
      </c>
      <c r="E2702" s="10" t="s">
        <v>88</v>
      </c>
      <c r="F2702" s="8" t="str">
        <f aca="false">TEXT(A2702,"MM-YYYY")</f>
        <v>07-2025</v>
      </c>
      <c r="G2702" s="8"/>
      <c r="H2702" s="8"/>
      <c r="I2702" s="7"/>
      <c r="J2702" s="8" t="str">
        <f aca="false">VLOOKUP(B2702, Table3[#All], 2, FALSE())</f>
        <v>Sales</v>
      </c>
      <c r="K2702" s="8" t="str">
        <f aca="false">TEXT(ROW(), "0000")</f>
        <v>2702</v>
      </c>
      <c r="L2702" s="8"/>
    </row>
    <row r="2703" customFormat="false" ht="15.75" hidden="false" customHeight="true" outlineLevel="0" collapsed="false">
      <c r="A2703" s="7" t="n">
        <v>45845</v>
      </c>
      <c r="B2703" s="8" t="s">
        <v>16</v>
      </c>
      <c r="C2703" s="9" t="n">
        <v>500</v>
      </c>
      <c r="D2703" s="8" t="s">
        <v>33</v>
      </c>
      <c r="E2703" s="10" t="s">
        <v>88</v>
      </c>
      <c r="F2703" s="8" t="str">
        <f aca="false">TEXT(A2703,"MM-YYYY")</f>
        <v>07-2025</v>
      </c>
      <c r="G2703" s="8"/>
      <c r="H2703" s="8"/>
      <c r="I2703" s="7"/>
      <c r="J2703" s="8" t="str">
        <f aca="false">VLOOKUP(B2703, Table3[#All], 2, FALSE())</f>
        <v>Sales</v>
      </c>
      <c r="K2703" s="8" t="str">
        <f aca="false">TEXT(ROW(), "0000")</f>
        <v>2703</v>
      </c>
      <c r="L2703" s="8"/>
    </row>
    <row r="2704" customFormat="false" ht="15.75" hidden="false" customHeight="true" outlineLevel="0" collapsed="false">
      <c r="A2704" s="7" t="n">
        <v>45845</v>
      </c>
      <c r="B2704" s="8" t="s">
        <v>16</v>
      </c>
      <c r="C2704" s="9" t="n">
        <v>12849</v>
      </c>
      <c r="D2704" s="8" t="s">
        <v>17</v>
      </c>
      <c r="E2704" s="10" t="s">
        <v>88</v>
      </c>
      <c r="F2704" s="8" t="str">
        <f aca="false">TEXT(A2704,"MM-YYYY")</f>
        <v>07-2025</v>
      </c>
      <c r="G2704" s="8"/>
      <c r="H2704" s="8"/>
      <c r="I2704" s="7"/>
      <c r="J2704" s="8" t="str">
        <f aca="false">VLOOKUP(B2704, Table3[#All], 2, FALSE())</f>
        <v>Sales</v>
      </c>
      <c r="K2704" s="8" t="str">
        <f aca="false">TEXT(ROW(), "0000")</f>
        <v>2704</v>
      </c>
      <c r="L2704" s="8"/>
    </row>
    <row r="2705" customFormat="false" ht="15.75" hidden="false" customHeight="true" outlineLevel="0" collapsed="false">
      <c r="A2705" s="7" t="n">
        <v>45845</v>
      </c>
      <c r="B2705" s="8" t="s">
        <v>16</v>
      </c>
      <c r="C2705" s="9" t="n">
        <v>1635</v>
      </c>
      <c r="D2705" s="8" t="s">
        <v>24</v>
      </c>
      <c r="E2705" s="10" t="s">
        <v>88</v>
      </c>
      <c r="F2705" s="8" t="str">
        <f aca="false">TEXT(A2705,"MM-YYYY")</f>
        <v>07-2025</v>
      </c>
      <c r="G2705" s="8"/>
      <c r="H2705" s="8"/>
      <c r="I2705" s="7"/>
      <c r="J2705" s="8" t="str">
        <f aca="false">VLOOKUP(B2705, Table3[#All], 2, FALSE())</f>
        <v>Sales</v>
      </c>
      <c r="K2705" s="8" t="str">
        <f aca="false">TEXT(ROW(), "0000")</f>
        <v>2705</v>
      </c>
      <c r="L2705" s="8"/>
    </row>
    <row r="2706" customFormat="false" ht="15.75" hidden="false" customHeight="true" outlineLevel="0" collapsed="false">
      <c r="A2706" s="7" t="n">
        <v>45845</v>
      </c>
      <c r="B2706" s="8" t="s">
        <v>34</v>
      </c>
      <c r="C2706" s="9" t="n">
        <v>90</v>
      </c>
      <c r="D2706" s="8" t="s">
        <v>21</v>
      </c>
      <c r="E2706" s="10" t="s">
        <v>274</v>
      </c>
      <c r="F2706" s="8" t="str">
        <f aca="false">TEXT(A2706,"MM-YYYY")</f>
        <v>07-2025</v>
      </c>
      <c r="G2706" s="8" t="s">
        <v>14</v>
      </c>
      <c r="H2706" s="8" t="s">
        <v>15</v>
      </c>
      <c r="I2706" s="7" t="n">
        <v>45845</v>
      </c>
      <c r="J2706" s="8" t="str">
        <f aca="false">VLOOKUP(B2706, Table3[#All], 2, FALSE())</f>
        <v>Staff Expenses</v>
      </c>
      <c r="K2706" s="8" t="str">
        <f aca="false">TEXT(ROW(), "0000")</f>
        <v>2706</v>
      </c>
      <c r="L2706" s="8"/>
    </row>
    <row r="2707" customFormat="false" ht="15.75" hidden="false" customHeight="true" outlineLevel="0" collapsed="false">
      <c r="A2707" s="7" t="n">
        <v>45846</v>
      </c>
      <c r="B2707" s="8" t="s">
        <v>25</v>
      </c>
      <c r="C2707" s="9" t="n">
        <v>653</v>
      </c>
      <c r="D2707" s="8" t="s">
        <v>13</v>
      </c>
      <c r="E2707" s="10" t="s">
        <v>360</v>
      </c>
      <c r="F2707" s="8" t="str">
        <f aca="false">TEXT(A2707,"MM-YYYY")</f>
        <v>07-2025</v>
      </c>
      <c r="G2707" s="8" t="s">
        <v>18</v>
      </c>
      <c r="H2707" s="8"/>
      <c r="I2707" s="7"/>
      <c r="J2707" s="8" t="str">
        <f aca="false">VLOOKUP(B2707, Table3[#All], 2, FALSE())</f>
        <v>Inventory</v>
      </c>
      <c r="K2707" s="8" t="str">
        <f aca="false">TEXT(ROW(), "0000")</f>
        <v>2707</v>
      </c>
      <c r="L2707" s="8"/>
    </row>
    <row r="2708" customFormat="false" ht="15.75" hidden="false" customHeight="true" outlineLevel="0" collapsed="false">
      <c r="A2708" s="7" t="n">
        <v>45846</v>
      </c>
      <c r="B2708" s="8" t="s">
        <v>19</v>
      </c>
      <c r="C2708" s="9" t="n">
        <v>4469</v>
      </c>
      <c r="D2708" s="8" t="s">
        <v>13</v>
      </c>
      <c r="E2708" s="10" t="s">
        <v>20</v>
      </c>
      <c r="F2708" s="8" t="str">
        <f aca="false">TEXT(A2708,"MM-YYYY")</f>
        <v>07-2025</v>
      </c>
      <c r="G2708" s="8" t="s">
        <v>14</v>
      </c>
      <c r="H2708" s="8" t="s">
        <v>13</v>
      </c>
      <c r="I2708" s="7" t="n">
        <v>45851</v>
      </c>
      <c r="J2708" s="8" t="str">
        <f aca="false">VLOOKUP(B2708, Table3[#All], 2, FALSE())</f>
        <v>Inventory</v>
      </c>
      <c r="K2708" s="8" t="str">
        <f aca="false">TEXT(ROW(), "0000")</f>
        <v>2708</v>
      </c>
      <c r="L2708" s="8"/>
    </row>
    <row r="2709" customFormat="false" ht="15.75" hidden="false" customHeight="true" outlineLevel="0" collapsed="false">
      <c r="A2709" s="7" t="n">
        <v>45846</v>
      </c>
      <c r="B2709" s="8" t="s">
        <v>22</v>
      </c>
      <c r="C2709" s="9" t="n">
        <v>4093</v>
      </c>
      <c r="D2709" s="8" t="s">
        <v>13</v>
      </c>
      <c r="E2709" s="10" t="s">
        <v>23</v>
      </c>
      <c r="F2709" s="8" t="str">
        <f aca="false">TEXT(A2709,"MM-YYYY")</f>
        <v>07-2025</v>
      </c>
      <c r="G2709" s="8" t="s">
        <v>14</v>
      </c>
      <c r="H2709" s="8" t="s">
        <v>13</v>
      </c>
      <c r="I2709" s="7" t="n">
        <v>45851</v>
      </c>
      <c r="J2709" s="8" t="str">
        <f aca="false">VLOOKUP(B2709, Table3[#All], 2, FALSE())</f>
        <v>Inventory</v>
      </c>
      <c r="K2709" s="8" t="str">
        <f aca="false">TEXT(ROW(), "0000")</f>
        <v>2709</v>
      </c>
      <c r="L2709" s="8"/>
    </row>
    <row r="2710" customFormat="false" ht="15.75" hidden="false" customHeight="true" outlineLevel="0" collapsed="false">
      <c r="A2710" s="7" t="n">
        <v>45846</v>
      </c>
      <c r="B2710" s="8" t="s">
        <v>107</v>
      </c>
      <c r="C2710" s="9" t="n">
        <v>90</v>
      </c>
      <c r="D2710" s="8" t="s">
        <v>21</v>
      </c>
      <c r="E2710" s="10" t="s">
        <v>274</v>
      </c>
      <c r="F2710" s="8" t="str">
        <f aca="false">TEXT(A2710,"MM-YYYY")</f>
        <v>07-2025</v>
      </c>
      <c r="G2710" s="8" t="s">
        <v>14</v>
      </c>
      <c r="H2710" s="8" t="s">
        <v>15</v>
      </c>
      <c r="I2710" s="7" t="n">
        <v>45846</v>
      </c>
      <c r="J2710" s="8" t="str">
        <f aca="false">VLOOKUP(B2710, Table3[#All], 2, FALSE())</f>
        <v>Staff Expenses</v>
      </c>
      <c r="K2710" s="8" t="str">
        <f aca="false">TEXT(ROW(), "0000")</f>
        <v>2710</v>
      </c>
      <c r="L2710" s="8"/>
    </row>
    <row r="2711" customFormat="false" ht="15.75" hidden="false" customHeight="true" outlineLevel="0" collapsed="false">
      <c r="A2711" s="7" t="n">
        <v>45846</v>
      </c>
      <c r="B2711" s="8" t="s">
        <v>32</v>
      </c>
      <c r="C2711" s="9" t="n">
        <v>350</v>
      </c>
      <c r="D2711" s="8" t="s">
        <v>21</v>
      </c>
      <c r="E2711" s="10" t="s">
        <v>38</v>
      </c>
      <c r="F2711" s="8" t="str">
        <f aca="false">TEXT(A2711,"MM-YYYY")</f>
        <v>07-2025</v>
      </c>
      <c r="G2711" s="8" t="s">
        <v>14</v>
      </c>
      <c r="H2711" s="8" t="s">
        <v>15</v>
      </c>
      <c r="I2711" s="7" t="n">
        <v>45846</v>
      </c>
      <c r="J2711" s="8" t="str">
        <f aca="false">VLOOKUP(B2711, Table3[#All], 2, FALSE())</f>
        <v>Grocery</v>
      </c>
      <c r="K2711" s="8" t="str">
        <f aca="false">TEXT(ROW(), "0000")</f>
        <v>2711</v>
      </c>
      <c r="L2711" s="8"/>
    </row>
    <row r="2712" customFormat="false" ht="15.75" hidden="false" customHeight="true" outlineLevel="0" collapsed="false">
      <c r="A2712" s="7" t="n">
        <v>45846</v>
      </c>
      <c r="B2712" s="8" t="s">
        <v>29</v>
      </c>
      <c r="C2712" s="9" t="n">
        <v>188</v>
      </c>
      <c r="D2712" s="8" t="s">
        <v>13</v>
      </c>
      <c r="E2712" s="10" t="s">
        <v>302</v>
      </c>
      <c r="F2712" s="8" t="str">
        <f aca="false">TEXT(A2712,"MM-YYYY")</f>
        <v>07-2025</v>
      </c>
      <c r="G2712" s="8" t="s">
        <v>18</v>
      </c>
      <c r="H2712" s="8"/>
      <c r="I2712" s="7"/>
      <c r="J2712" s="8" t="str">
        <f aca="false">VLOOKUP(B2712, Table3[#All], 2, FALSE())</f>
        <v>Inventory</v>
      </c>
      <c r="K2712" s="8" t="str">
        <f aca="false">TEXT(ROW(), "0000")</f>
        <v>2712</v>
      </c>
      <c r="L2712" s="8"/>
    </row>
    <row r="2713" customFormat="false" ht="15.75" hidden="false" customHeight="true" outlineLevel="0" collapsed="false">
      <c r="A2713" s="7" t="n">
        <v>45846</v>
      </c>
      <c r="B2713" s="8" t="s">
        <v>44</v>
      </c>
      <c r="C2713" s="9" t="n">
        <v>3000</v>
      </c>
      <c r="D2713" s="8" t="s">
        <v>13</v>
      </c>
      <c r="E2713" s="10" t="s">
        <v>365</v>
      </c>
      <c r="F2713" s="8" t="str">
        <f aca="false">TEXT(A2713,"MM-YYYY")</f>
        <v>07-2025</v>
      </c>
      <c r="G2713" s="8" t="s">
        <v>14</v>
      </c>
      <c r="H2713" s="8" t="s">
        <v>262</v>
      </c>
      <c r="I2713" s="7" t="n">
        <v>45846</v>
      </c>
      <c r="J2713" s="8" t="str">
        <f aca="false">VLOOKUP(B2713, Table3[#All], 2, FALSE())</f>
        <v>Salary</v>
      </c>
      <c r="K2713" s="8" t="str">
        <f aca="false">TEXT(ROW(), "0000")</f>
        <v>2713</v>
      </c>
      <c r="L2713" s="8"/>
    </row>
    <row r="2714" customFormat="false" ht="15.75" hidden="false" customHeight="true" outlineLevel="0" collapsed="false">
      <c r="A2714" s="7" t="n">
        <v>45846</v>
      </c>
      <c r="B2714" s="8" t="s">
        <v>44</v>
      </c>
      <c r="C2714" s="9" t="n">
        <v>5000</v>
      </c>
      <c r="D2714" s="8" t="s">
        <v>13</v>
      </c>
      <c r="E2714" s="10" t="s">
        <v>334</v>
      </c>
      <c r="F2714" s="8" t="str">
        <f aca="false">TEXT(A2714,"MM-YYYY")</f>
        <v>07-2025</v>
      </c>
      <c r="G2714" s="8" t="s">
        <v>14</v>
      </c>
      <c r="H2714" s="8" t="s">
        <v>262</v>
      </c>
      <c r="I2714" s="7" t="n">
        <v>45846</v>
      </c>
      <c r="J2714" s="8" t="str">
        <f aca="false">VLOOKUP(B2714, Table3[#All], 2, FALSE())</f>
        <v>Salary</v>
      </c>
      <c r="K2714" s="8" t="str">
        <f aca="false">TEXT(ROW(), "0000")</f>
        <v>2714</v>
      </c>
      <c r="L2714" s="8"/>
    </row>
    <row r="2715" customFormat="false" ht="15.75" hidden="false" customHeight="true" outlineLevel="0" collapsed="false">
      <c r="A2715" s="7" t="n">
        <v>45846</v>
      </c>
      <c r="B2715" s="8" t="s">
        <v>34</v>
      </c>
      <c r="C2715" s="9" t="n">
        <v>99</v>
      </c>
      <c r="D2715" s="8" t="s">
        <v>21</v>
      </c>
      <c r="E2715" s="10" t="s">
        <v>274</v>
      </c>
      <c r="F2715" s="8" t="str">
        <f aca="false">TEXT(A2715,"MM-YYYY")</f>
        <v>07-2025</v>
      </c>
      <c r="G2715" s="8" t="s">
        <v>14</v>
      </c>
      <c r="H2715" s="8" t="s">
        <v>15</v>
      </c>
      <c r="I2715" s="7" t="n">
        <v>45846</v>
      </c>
      <c r="J2715" s="8" t="str">
        <f aca="false">VLOOKUP(B2715, Table3[#All], 2, FALSE())</f>
        <v>Staff Expenses</v>
      </c>
      <c r="K2715" s="8" t="str">
        <f aca="false">TEXT(ROW(), "0000")</f>
        <v>2715</v>
      </c>
      <c r="L2715" s="8"/>
    </row>
    <row r="2716" customFormat="false" ht="15.75" hidden="false" customHeight="true" outlineLevel="0" collapsed="false">
      <c r="A2716" s="7" t="n">
        <v>45846</v>
      </c>
      <c r="B2716" s="8" t="s">
        <v>16</v>
      </c>
      <c r="C2716" s="9" t="n">
        <v>2989</v>
      </c>
      <c r="D2716" s="8" t="s">
        <v>21</v>
      </c>
      <c r="E2716" s="10" t="s">
        <v>88</v>
      </c>
      <c r="F2716" s="8" t="str">
        <f aca="false">TEXT(A2716,"MM-YYYY")</f>
        <v>07-2025</v>
      </c>
      <c r="G2716" s="8"/>
      <c r="H2716" s="8"/>
      <c r="I2716" s="7"/>
      <c r="J2716" s="8" t="str">
        <f aca="false">VLOOKUP(B2716, Table3[#All], 2, FALSE())</f>
        <v>Sales</v>
      </c>
      <c r="K2716" s="8" t="str">
        <f aca="false">TEXT(ROW(), "0000")</f>
        <v>2716</v>
      </c>
      <c r="L2716" s="8"/>
    </row>
    <row r="2717" customFormat="false" ht="15.75" hidden="false" customHeight="true" outlineLevel="0" collapsed="false">
      <c r="A2717" s="7" t="n">
        <v>45846</v>
      </c>
      <c r="B2717" s="8" t="s">
        <v>16</v>
      </c>
      <c r="C2717" s="9" t="n">
        <v>510</v>
      </c>
      <c r="D2717" s="8" t="s">
        <v>27</v>
      </c>
      <c r="E2717" s="10" t="s">
        <v>88</v>
      </c>
      <c r="F2717" s="8" t="str">
        <f aca="false">TEXT(A2717,"MM-YYYY")</f>
        <v>07-2025</v>
      </c>
      <c r="G2717" s="8"/>
      <c r="H2717" s="8"/>
      <c r="I2717" s="7"/>
      <c r="J2717" s="8" t="str">
        <f aca="false">VLOOKUP(B2717, Table3[#All], 2, FALSE())</f>
        <v>Sales</v>
      </c>
      <c r="K2717" s="8" t="str">
        <f aca="false">TEXT(ROW(), "0000")</f>
        <v>2717</v>
      </c>
      <c r="L2717" s="8"/>
    </row>
    <row r="2718" customFormat="false" ht="15.75" hidden="false" customHeight="true" outlineLevel="0" collapsed="false">
      <c r="A2718" s="7" t="n">
        <v>45846</v>
      </c>
      <c r="B2718" s="8" t="s">
        <v>16</v>
      </c>
      <c r="C2718" s="9" t="n">
        <v>740</v>
      </c>
      <c r="D2718" s="8" t="s">
        <v>33</v>
      </c>
      <c r="E2718" s="10" t="s">
        <v>88</v>
      </c>
      <c r="F2718" s="8" t="str">
        <f aca="false">TEXT(A2718,"MM-YYYY")</f>
        <v>07-2025</v>
      </c>
      <c r="G2718" s="8"/>
      <c r="H2718" s="8"/>
      <c r="I2718" s="7"/>
      <c r="J2718" s="8" t="str">
        <f aca="false">VLOOKUP(B2718, Table3[#All], 2, FALSE())</f>
        <v>Sales</v>
      </c>
      <c r="K2718" s="8" t="str">
        <f aca="false">TEXT(ROW(), "0000")</f>
        <v>2718</v>
      </c>
      <c r="L2718" s="8"/>
    </row>
    <row r="2719" customFormat="false" ht="15.75" hidden="false" customHeight="true" outlineLevel="0" collapsed="false">
      <c r="A2719" s="7" t="n">
        <v>45846</v>
      </c>
      <c r="B2719" s="8" t="s">
        <v>16</v>
      </c>
      <c r="C2719" s="9" t="n">
        <v>15385</v>
      </c>
      <c r="D2719" s="8" t="s">
        <v>17</v>
      </c>
      <c r="E2719" s="10" t="s">
        <v>88</v>
      </c>
      <c r="F2719" s="8" t="str">
        <f aca="false">TEXT(A2719,"MM-YYYY")</f>
        <v>07-2025</v>
      </c>
      <c r="G2719" s="8"/>
      <c r="H2719" s="8"/>
      <c r="I2719" s="7"/>
      <c r="J2719" s="8" t="str">
        <f aca="false">VLOOKUP(B2719, Table3[#All], 2, FALSE())</f>
        <v>Sales</v>
      </c>
      <c r="K2719" s="8" t="str">
        <f aca="false">TEXT(ROW(), "0000")</f>
        <v>2719</v>
      </c>
      <c r="L2719" s="8"/>
    </row>
    <row r="2720" customFormat="false" ht="15.75" hidden="false" customHeight="true" outlineLevel="0" collapsed="false">
      <c r="A2720" s="7" t="n">
        <v>45846</v>
      </c>
      <c r="B2720" s="8" t="s">
        <v>16</v>
      </c>
      <c r="C2720" s="9" t="n">
        <v>2376</v>
      </c>
      <c r="D2720" s="8" t="s">
        <v>24</v>
      </c>
      <c r="E2720" s="10" t="s">
        <v>217</v>
      </c>
      <c r="F2720" s="8" t="str">
        <f aca="false">TEXT(A2720,"MM-YYYY")</f>
        <v>07-2025</v>
      </c>
      <c r="G2720" s="8"/>
      <c r="H2720" s="8"/>
      <c r="I2720" s="7"/>
      <c r="J2720" s="8" t="str">
        <f aca="false">VLOOKUP(B2720, Table3[#All], 2, FALSE())</f>
        <v>Sales</v>
      </c>
      <c r="K2720" s="8" t="str">
        <f aca="false">TEXT(ROW(), "0000")</f>
        <v>2720</v>
      </c>
      <c r="L2720" s="8"/>
    </row>
    <row r="2721" customFormat="false" ht="15.75" hidden="false" customHeight="true" outlineLevel="0" collapsed="false">
      <c r="A2721" s="7" t="n">
        <v>45847</v>
      </c>
      <c r="B2721" s="8" t="s">
        <v>25</v>
      </c>
      <c r="C2721" s="9" t="n">
        <v>630</v>
      </c>
      <c r="D2721" s="8" t="s">
        <v>13</v>
      </c>
      <c r="E2721" s="10" t="s">
        <v>360</v>
      </c>
      <c r="F2721" s="8" t="str">
        <f aca="false">TEXT(A2721,"MM-YYYY")</f>
        <v>07-2025</v>
      </c>
      <c r="G2721" s="8" t="s">
        <v>18</v>
      </c>
      <c r="H2721" s="8"/>
      <c r="I2721" s="7"/>
      <c r="J2721" s="8" t="str">
        <f aca="false">VLOOKUP(B2721, Table3[#All], 2, FALSE())</f>
        <v>Inventory</v>
      </c>
      <c r="K2721" s="8" t="str">
        <f aca="false">TEXT(ROW(), "0000")</f>
        <v>2721</v>
      </c>
      <c r="L2721" s="8"/>
    </row>
    <row r="2722" customFormat="false" ht="15.75" hidden="false" customHeight="true" outlineLevel="0" collapsed="false">
      <c r="A2722" s="7" t="n">
        <v>45847</v>
      </c>
      <c r="B2722" s="8" t="s">
        <v>47</v>
      </c>
      <c r="C2722" s="9" t="n">
        <v>900</v>
      </c>
      <c r="D2722" s="8" t="s">
        <v>13</v>
      </c>
      <c r="E2722" s="10" t="s">
        <v>339</v>
      </c>
      <c r="F2722" s="8" t="str">
        <f aca="false">TEXT(A2722,"MM-YYYY")</f>
        <v>07-2025</v>
      </c>
      <c r="G2722" s="8" t="s">
        <v>14</v>
      </c>
      <c r="H2722" s="8" t="s">
        <v>13</v>
      </c>
      <c r="I2722" s="7" t="n">
        <v>45857</v>
      </c>
      <c r="J2722" s="8" t="str">
        <f aca="false">VLOOKUP(B2722, Table3[#All], 2, FALSE())</f>
        <v>Inventory</v>
      </c>
      <c r="K2722" s="8" t="str">
        <f aca="false">TEXT(ROW(), "0000")</f>
        <v>2722</v>
      </c>
      <c r="L2722" s="8"/>
    </row>
    <row r="2723" customFormat="false" ht="15.75" hidden="false" customHeight="true" outlineLevel="0" collapsed="false">
      <c r="A2723" s="7" t="n">
        <v>45847</v>
      </c>
      <c r="B2723" s="8" t="s">
        <v>19</v>
      </c>
      <c r="C2723" s="9" t="n">
        <v>3937</v>
      </c>
      <c r="D2723" s="8" t="s">
        <v>13</v>
      </c>
      <c r="E2723" s="10" t="s">
        <v>20</v>
      </c>
      <c r="F2723" s="8" t="str">
        <f aca="false">TEXT(A2723,"MM-YYYY")</f>
        <v>07-2025</v>
      </c>
      <c r="G2723" s="8" t="s">
        <v>14</v>
      </c>
      <c r="H2723" s="8" t="s">
        <v>13</v>
      </c>
      <c r="I2723" s="7" t="n">
        <v>45851</v>
      </c>
      <c r="J2723" s="8" t="str">
        <f aca="false">VLOOKUP(B2723, Table3[#All], 2, FALSE())</f>
        <v>Inventory</v>
      </c>
      <c r="K2723" s="8" t="str">
        <f aca="false">TEXT(ROW(), "0000")</f>
        <v>2723</v>
      </c>
      <c r="L2723" s="8"/>
    </row>
    <row r="2724" customFormat="false" ht="15.75" hidden="false" customHeight="true" outlineLevel="0" collapsed="false">
      <c r="A2724" s="7" t="n">
        <v>45847</v>
      </c>
      <c r="B2724" s="8" t="s">
        <v>22</v>
      </c>
      <c r="C2724" s="9" t="n">
        <v>2215</v>
      </c>
      <c r="D2724" s="8" t="s">
        <v>13</v>
      </c>
      <c r="E2724" s="10" t="s">
        <v>23</v>
      </c>
      <c r="F2724" s="8" t="str">
        <f aca="false">TEXT(A2724,"MM-YYYY")</f>
        <v>07-2025</v>
      </c>
      <c r="G2724" s="8" t="s">
        <v>14</v>
      </c>
      <c r="H2724" s="8" t="s">
        <v>13</v>
      </c>
      <c r="I2724" s="7" t="n">
        <v>45854</v>
      </c>
      <c r="J2724" s="8" t="str">
        <f aca="false">VLOOKUP(B2724, Table3[#All], 2, FALSE())</f>
        <v>Inventory</v>
      </c>
      <c r="K2724" s="8" t="str">
        <f aca="false">TEXT(ROW(), "0000")</f>
        <v>2724</v>
      </c>
      <c r="L2724" s="8"/>
    </row>
    <row r="2725" customFormat="false" ht="15.75" hidden="false" customHeight="true" outlineLevel="0" collapsed="false">
      <c r="A2725" s="7" t="n">
        <v>45847</v>
      </c>
      <c r="B2725" s="8" t="s">
        <v>29</v>
      </c>
      <c r="C2725" s="9" t="n">
        <v>507</v>
      </c>
      <c r="D2725" s="8" t="s">
        <v>13</v>
      </c>
      <c r="E2725" s="10" t="s">
        <v>302</v>
      </c>
      <c r="F2725" s="8" t="str">
        <f aca="false">TEXT(A2725,"MM-YYYY")</f>
        <v>07-2025</v>
      </c>
      <c r="G2725" s="8" t="s">
        <v>18</v>
      </c>
      <c r="H2725" s="8"/>
      <c r="I2725" s="7"/>
      <c r="J2725" s="8" t="str">
        <f aca="false">VLOOKUP(B2725, Table3[#All], 2, FALSE())</f>
        <v>Inventory</v>
      </c>
      <c r="K2725" s="8" t="str">
        <f aca="false">TEXT(ROW(), "0000")</f>
        <v>2725</v>
      </c>
      <c r="L2725" s="8"/>
    </row>
    <row r="2726" customFormat="false" ht="15.75" hidden="false" customHeight="true" outlineLevel="0" collapsed="false">
      <c r="A2726" s="7" t="n">
        <v>45847</v>
      </c>
      <c r="B2726" s="8" t="s">
        <v>40</v>
      </c>
      <c r="C2726" s="9" t="n">
        <v>400</v>
      </c>
      <c r="D2726" s="8" t="s">
        <v>45</v>
      </c>
      <c r="E2726" s="10" t="s">
        <v>46</v>
      </c>
      <c r="F2726" s="8" t="str">
        <f aca="false">TEXT(A2726,"MM-YYYY")</f>
        <v>07-2025</v>
      </c>
      <c r="G2726" s="8" t="s">
        <v>14</v>
      </c>
      <c r="H2726" s="8" t="s">
        <v>15</v>
      </c>
      <c r="I2726" s="7" t="n">
        <v>45847</v>
      </c>
      <c r="J2726" s="8" t="str">
        <f aca="false">VLOOKUP(B2726, Table3[#All], 2, FALSE())</f>
        <v>Inventory</v>
      </c>
      <c r="K2726" s="8" t="str">
        <f aca="false">TEXT(ROW(), "0000")</f>
        <v>2726</v>
      </c>
      <c r="L2726" s="8"/>
    </row>
    <row r="2727" customFormat="false" ht="15.75" hidden="false" customHeight="true" outlineLevel="0" collapsed="false">
      <c r="A2727" s="7" t="n">
        <v>45847</v>
      </c>
      <c r="B2727" s="8" t="s">
        <v>22</v>
      </c>
      <c r="C2727" s="9" t="n">
        <v>150</v>
      </c>
      <c r="D2727" s="8" t="s">
        <v>45</v>
      </c>
      <c r="E2727" s="10" t="s">
        <v>303</v>
      </c>
      <c r="F2727" s="8" t="str">
        <f aca="false">TEXT(A2727,"MM-YYYY")</f>
        <v>07-2025</v>
      </c>
      <c r="G2727" s="8" t="s">
        <v>14</v>
      </c>
      <c r="H2727" s="8" t="s">
        <v>15</v>
      </c>
      <c r="I2727" s="7" t="n">
        <v>45847</v>
      </c>
      <c r="J2727" s="8" t="str">
        <f aca="false">VLOOKUP(B2727, Table3[#All], 2, FALSE())</f>
        <v>Inventory</v>
      </c>
      <c r="K2727" s="8" t="str">
        <f aca="false">TEXT(ROW(), "0000")</f>
        <v>2727</v>
      </c>
      <c r="L2727" s="8"/>
    </row>
    <row r="2728" customFormat="false" ht="15.75" hidden="false" customHeight="true" outlineLevel="0" collapsed="false">
      <c r="A2728" s="7" t="n">
        <v>45847</v>
      </c>
      <c r="B2728" s="8" t="s">
        <v>16</v>
      </c>
      <c r="C2728" s="9" t="n">
        <v>1895</v>
      </c>
      <c r="D2728" s="8" t="s">
        <v>21</v>
      </c>
      <c r="E2728" s="10" t="s">
        <v>88</v>
      </c>
      <c r="F2728" s="8" t="str">
        <f aca="false">TEXT(A2728,"MM-YYYY")</f>
        <v>07-2025</v>
      </c>
      <c r="G2728" s="8"/>
      <c r="H2728" s="8"/>
      <c r="I2728" s="7"/>
      <c r="J2728" s="8" t="str">
        <f aca="false">VLOOKUP(B2728, Table3[#All], 2, FALSE())</f>
        <v>Sales</v>
      </c>
      <c r="K2728" s="8" t="str">
        <f aca="false">TEXT(ROW(), "0000")</f>
        <v>2728</v>
      </c>
      <c r="L2728" s="8"/>
    </row>
    <row r="2729" customFormat="false" ht="15.75" hidden="false" customHeight="true" outlineLevel="0" collapsed="false">
      <c r="A2729" s="7" t="n">
        <v>45847</v>
      </c>
      <c r="B2729" s="8" t="s">
        <v>16</v>
      </c>
      <c r="C2729" s="9" t="n">
        <v>440</v>
      </c>
      <c r="D2729" s="8" t="s">
        <v>27</v>
      </c>
      <c r="E2729" s="10" t="s">
        <v>88</v>
      </c>
      <c r="F2729" s="8" t="str">
        <f aca="false">TEXT(A2729,"MM-YYYY")</f>
        <v>07-2025</v>
      </c>
      <c r="G2729" s="8"/>
      <c r="H2729" s="8"/>
      <c r="I2729" s="7"/>
      <c r="J2729" s="8" t="str">
        <f aca="false">VLOOKUP(B2729, Table3[#All], 2, FALSE())</f>
        <v>Sales</v>
      </c>
      <c r="K2729" s="8" t="str">
        <f aca="false">TEXT(ROW(), "0000")</f>
        <v>2729</v>
      </c>
      <c r="L2729" s="8"/>
    </row>
    <row r="2730" customFormat="false" ht="15.75" hidden="false" customHeight="true" outlineLevel="0" collapsed="false">
      <c r="A2730" s="7" t="n">
        <v>45847</v>
      </c>
      <c r="B2730" s="8" t="s">
        <v>16</v>
      </c>
      <c r="C2730" s="9" t="n">
        <v>1395</v>
      </c>
      <c r="D2730" s="8" t="s">
        <v>33</v>
      </c>
      <c r="E2730" s="10" t="s">
        <v>88</v>
      </c>
      <c r="F2730" s="8" t="str">
        <f aca="false">TEXT(A2730,"MM-YYYY")</f>
        <v>07-2025</v>
      </c>
      <c r="G2730" s="8"/>
      <c r="H2730" s="8"/>
      <c r="I2730" s="7"/>
      <c r="J2730" s="8" t="str">
        <f aca="false">VLOOKUP(B2730, Table3[#All], 2, FALSE())</f>
        <v>Sales</v>
      </c>
      <c r="K2730" s="8" t="str">
        <f aca="false">TEXT(ROW(), "0000")</f>
        <v>2730</v>
      </c>
      <c r="L2730" s="8"/>
    </row>
    <row r="2731" customFormat="false" ht="15.75" hidden="false" customHeight="true" outlineLevel="0" collapsed="false">
      <c r="A2731" s="7" t="n">
        <v>45847</v>
      </c>
      <c r="B2731" s="8" t="s">
        <v>16</v>
      </c>
      <c r="C2731" s="9" t="n">
        <v>19584</v>
      </c>
      <c r="D2731" s="8" t="s">
        <v>17</v>
      </c>
      <c r="E2731" s="10" t="s">
        <v>88</v>
      </c>
      <c r="F2731" s="8" t="str">
        <f aca="false">TEXT(A2731,"MM-YYYY")</f>
        <v>07-2025</v>
      </c>
      <c r="G2731" s="8"/>
      <c r="H2731" s="8"/>
      <c r="I2731" s="7"/>
      <c r="J2731" s="8" t="str">
        <f aca="false">VLOOKUP(B2731, Table3[#All], 2, FALSE())</f>
        <v>Sales</v>
      </c>
      <c r="K2731" s="8" t="str">
        <f aca="false">TEXT(ROW(), "0000")</f>
        <v>2731</v>
      </c>
      <c r="L2731" s="8"/>
    </row>
    <row r="2732" customFormat="false" ht="15.75" hidden="false" customHeight="true" outlineLevel="0" collapsed="false">
      <c r="A2732" s="7" t="n">
        <v>45847</v>
      </c>
      <c r="B2732" s="8" t="s">
        <v>16</v>
      </c>
      <c r="C2732" s="9" t="n">
        <v>5041</v>
      </c>
      <c r="D2732" s="8" t="s">
        <v>24</v>
      </c>
      <c r="E2732" s="10" t="s">
        <v>217</v>
      </c>
      <c r="F2732" s="8" t="str">
        <f aca="false">TEXT(A2732,"MM-YYYY")</f>
        <v>07-2025</v>
      </c>
      <c r="G2732" s="8"/>
      <c r="H2732" s="8"/>
      <c r="I2732" s="7"/>
      <c r="J2732" s="8" t="str">
        <f aca="false">VLOOKUP(B2732, Table3[#All], 2, FALSE())</f>
        <v>Sales</v>
      </c>
      <c r="K2732" s="8" t="str">
        <f aca="false">TEXT(ROW(), "0000")</f>
        <v>2732</v>
      </c>
      <c r="L2732" s="8"/>
    </row>
    <row r="2733" customFormat="false" ht="15.75" hidden="false" customHeight="true" outlineLevel="0" collapsed="false">
      <c r="A2733" s="7" t="n">
        <v>45847</v>
      </c>
      <c r="B2733" s="8" t="s">
        <v>34</v>
      </c>
      <c r="C2733" s="9" t="n">
        <v>95</v>
      </c>
      <c r="D2733" s="8" t="s">
        <v>21</v>
      </c>
      <c r="E2733" s="10" t="s">
        <v>274</v>
      </c>
      <c r="F2733" s="8" t="str">
        <f aca="false">TEXT(A2733,"MM-YYYY")</f>
        <v>07-2025</v>
      </c>
      <c r="G2733" s="8" t="s">
        <v>14</v>
      </c>
      <c r="H2733" s="8" t="s">
        <v>15</v>
      </c>
      <c r="I2733" s="7" t="n">
        <v>45847</v>
      </c>
      <c r="J2733" s="8" t="str">
        <f aca="false">VLOOKUP(B2733, Table3[#All], 2, FALSE())</f>
        <v>Staff Expenses</v>
      </c>
      <c r="K2733" s="8" t="str">
        <f aca="false">TEXT(ROW(), "0000")</f>
        <v>2733</v>
      </c>
      <c r="L2733" s="8"/>
    </row>
    <row r="2734" customFormat="false" ht="15.75" hidden="false" customHeight="true" outlineLevel="0" collapsed="false">
      <c r="A2734" s="7" t="n">
        <v>45848</v>
      </c>
      <c r="B2734" s="8" t="s">
        <v>29</v>
      </c>
      <c r="C2734" s="9" t="n">
        <v>507</v>
      </c>
      <c r="D2734" s="8" t="s">
        <v>13</v>
      </c>
      <c r="E2734" s="10" t="s">
        <v>302</v>
      </c>
      <c r="F2734" s="8" t="str">
        <f aca="false">TEXT(A2734,"MM-YYYY")</f>
        <v>07-2025</v>
      </c>
      <c r="G2734" s="8" t="s">
        <v>18</v>
      </c>
      <c r="H2734" s="8"/>
      <c r="I2734" s="7"/>
      <c r="J2734" s="8" t="str">
        <f aca="false">VLOOKUP(B2734, Table3[#All], 2, FALSE())</f>
        <v>Inventory</v>
      </c>
      <c r="K2734" s="8" t="str">
        <f aca="false">TEXT(ROW(), "0000")</f>
        <v>2734</v>
      </c>
      <c r="L2734" s="8"/>
    </row>
    <row r="2735" customFormat="false" ht="15.75" hidden="false" customHeight="true" outlineLevel="0" collapsed="false">
      <c r="A2735" s="7" t="n">
        <v>45848</v>
      </c>
      <c r="B2735" s="8" t="s">
        <v>22</v>
      </c>
      <c r="C2735" s="9" t="n">
        <v>781</v>
      </c>
      <c r="D2735" s="8" t="s">
        <v>13</v>
      </c>
      <c r="E2735" s="10" t="s">
        <v>23</v>
      </c>
      <c r="F2735" s="8" t="str">
        <f aca="false">TEXT(A2735,"MM-YYYY")</f>
        <v>07-2025</v>
      </c>
      <c r="G2735" s="8" t="s">
        <v>14</v>
      </c>
      <c r="H2735" s="8" t="s">
        <v>13</v>
      </c>
      <c r="I2735" s="7" t="n">
        <v>45854</v>
      </c>
      <c r="J2735" s="8" t="str">
        <f aca="false">VLOOKUP(B2735, Table3[#All], 2, FALSE())</f>
        <v>Inventory</v>
      </c>
      <c r="K2735" s="8" t="str">
        <f aca="false">TEXT(ROW(), "0000")</f>
        <v>2735</v>
      </c>
      <c r="L2735" s="8"/>
    </row>
    <row r="2736" customFormat="false" ht="15.75" hidden="false" customHeight="true" outlineLevel="0" collapsed="false">
      <c r="A2736" s="7" t="n">
        <v>45848</v>
      </c>
      <c r="B2736" s="8" t="s">
        <v>32</v>
      </c>
      <c r="C2736" s="9" t="n">
        <v>210</v>
      </c>
      <c r="D2736" s="8" t="s">
        <v>45</v>
      </c>
      <c r="E2736" s="10" t="s">
        <v>38</v>
      </c>
      <c r="F2736" s="8" t="str">
        <f aca="false">TEXT(A2736,"MM-YYYY")</f>
        <v>07-2025</v>
      </c>
      <c r="G2736" s="8" t="s">
        <v>14</v>
      </c>
      <c r="H2736" s="8" t="s">
        <v>15</v>
      </c>
      <c r="I2736" s="7" t="n">
        <v>45848</v>
      </c>
      <c r="J2736" s="8" t="str">
        <f aca="false">VLOOKUP(B2736, Table3[#All], 2, FALSE())</f>
        <v>Grocery</v>
      </c>
      <c r="K2736" s="8" t="str">
        <f aca="false">TEXT(ROW(), "0000")</f>
        <v>2736</v>
      </c>
      <c r="L2736" s="8"/>
    </row>
    <row r="2737" customFormat="false" ht="15.75" hidden="false" customHeight="true" outlineLevel="0" collapsed="false">
      <c r="A2737" s="7" t="n">
        <v>45848</v>
      </c>
      <c r="B2737" s="8" t="s">
        <v>25</v>
      </c>
      <c r="C2737" s="9" t="n">
        <v>1329</v>
      </c>
      <c r="D2737" s="8" t="s">
        <v>13</v>
      </c>
      <c r="E2737" s="10" t="s">
        <v>360</v>
      </c>
      <c r="F2737" s="8" t="str">
        <f aca="false">TEXT(A2737,"MM-YYYY")</f>
        <v>07-2025</v>
      </c>
      <c r="G2737" s="8" t="s">
        <v>18</v>
      </c>
      <c r="H2737" s="8"/>
      <c r="I2737" s="7"/>
      <c r="J2737" s="8" t="str">
        <f aca="false">VLOOKUP(B2737, Table3[#All], 2, FALSE())</f>
        <v>Inventory</v>
      </c>
      <c r="K2737" s="8" t="str">
        <f aca="false">TEXT(ROW(), "0000")</f>
        <v>2737</v>
      </c>
      <c r="L2737" s="8"/>
    </row>
    <row r="2738" customFormat="false" ht="15.75" hidden="false" customHeight="true" outlineLevel="0" collapsed="false">
      <c r="A2738" s="7" t="n">
        <v>45848</v>
      </c>
      <c r="B2738" s="8" t="s">
        <v>22</v>
      </c>
      <c r="C2738" s="9" t="n">
        <v>700</v>
      </c>
      <c r="D2738" s="8" t="s">
        <v>45</v>
      </c>
      <c r="E2738" s="10" t="s">
        <v>358</v>
      </c>
      <c r="F2738" s="8" t="str">
        <f aca="false">TEXT(A2738,"MM-YYYY")</f>
        <v>07-2025</v>
      </c>
      <c r="G2738" s="8" t="s">
        <v>14</v>
      </c>
      <c r="H2738" s="8" t="s">
        <v>15</v>
      </c>
      <c r="I2738" s="7" t="n">
        <v>45848</v>
      </c>
      <c r="J2738" s="8" t="str">
        <f aca="false">VLOOKUP(B2738, Table3[#All], 2, FALSE())</f>
        <v>Inventory</v>
      </c>
      <c r="K2738" s="8" t="str">
        <f aca="false">TEXT(ROW(), "0000")</f>
        <v>2738</v>
      </c>
      <c r="L2738" s="8"/>
    </row>
    <row r="2739" customFormat="false" ht="15.75" hidden="false" customHeight="true" outlineLevel="0" collapsed="false">
      <c r="A2739" s="7" t="n">
        <v>45848</v>
      </c>
      <c r="B2739" s="8" t="s">
        <v>43</v>
      </c>
      <c r="C2739" s="9" t="n">
        <v>150</v>
      </c>
      <c r="D2739" s="8" t="s">
        <v>45</v>
      </c>
      <c r="E2739" s="10" t="s">
        <v>225</v>
      </c>
      <c r="F2739" s="8" t="str">
        <f aca="false">TEXT(A2739,"MM-YYYY")</f>
        <v>07-2025</v>
      </c>
      <c r="G2739" s="8" t="s">
        <v>14</v>
      </c>
      <c r="H2739" s="8" t="s">
        <v>15</v>
      </c>
      <c r="I2739" s="7" t="n">
        <v>45848</v>
      </c>
      <c r="J2739" s="8" t="str">
        <f aca="false">VLOOKUP(B2739, Table3[#All], 2, FALSE())</f>
        <v>Maintance</v>
      </c>
      <c r="K2739" s="8" t="str">
        <f aca="false">TEXT(ROW(), "0000")</f>
        <v>2739</v>
      </c>
      <c r="L2739" s="8"/>
    </row>
    <row r="2740" customFormat="false" ht="15.75" hidden="false" customHeight="true" outlineLevel="0" collapsed="false">
      <c r="A2740" s="7" t="n">
        <v>45848</v>
      </c>
      <c r="B2740" s="8" t="s">
        <v>22</v>
      </c>
      <c r="C2740" s="9" t="n">
        <v>2800</v>
      </c>
      <c r="D2740" s="8" t="s">
        <v>45</v>
      </c>
      <c r="E2740" s="10" t="s">
        <v>76</v>
      </c>
      <c r="F2740" s="8" t="str">
        <f aca="false">TEXT(A2740,"MM-YYYY")</f>
        <v>07-2025</v>
      </c>
      <c r="G2740" s="8" t="s">
        <v>14</v>
      </c>
      <c r="H2740" s="8" t="s">
        <v>15</v>
      </c>
      <c r="I2740" s="7" t="n">
        <v>45848</v>
      </c>
      <c r="J2740" s="8" t="str">
        <f aca="false">VLOOKUP(B2740, Table3[#All], 2, FALSE())</f>
        <v>Inventory</v>
      </c>
      <c r="K2740" s="8" t="str">
        <f aca="false">TEXT(ROW(), "0000")</f>
        <v>2740</v>
      </c>
      <c r="L2740" s="8"/>
    </row>
    <row r="2741" customFormat="false" ht="15.75" hidden="false" customHeight="true" outlineLevel="0" collapsed="false">
      <c r="A2741" s="7" t="n">
        <v>45848</v>
      </c>
      <c r="B2741" s="8" t="s">
        <v>51</v>
      </c>
      <c r="C2741" s="9" t="n">
        <v>810</v>
      </c>
      <c r="D2741" s="8" t="s">
        <v>13</v>
      </c>
      <c r="E2741" s="10" t="s">
        <v>226</v>
      </c>
      <c r="F2741" s="8" t="str">
        <f aca="false">TEXT(A2741,"MM-YYYY")</f>
        <v>07-2025</v>
      </c>
      <c r="G2741" s="8" t="s">
        <v>14</v>
      </c>
      <c r="H2741" s="8"/>
      <c r="I2741" s="7" t="n">
        <v>45859</v>
      </c>
      <c r="J2741" s="8" t="str">
        <f aca="false">VLOOKUP(B2741, Table3[#All], 2, FALSE())</f>
        <v>Inventory</v>
      </c>
      <c r="K2741" s="8" t="str">
        <f aca="false">TEXT(ROW(), "0000")</f>
        <v>2741</v>
      </c>
      <c r="L2741" s="8"/>
    </row>
    <row r="2742" customFormat="false" ht="15.75" hidden="false" customHeight="true" outlineLevel="0" collapsed="false">
      <c r="A2742" s="7" t="n">
        <v>45848</v>
      </c>
      <c r="B2742" s="8" t="s">
        <v>22</v>
      </c>
      <c r="C2742" s="9" t="n">
        <v>110</v>
      </c>
      <c r="D2742" s="8" t="s">
        <v>45</v>
      </c>
      <c r="E2742" s="10" t="s">
        <v>213</v>
      </c>
      <c r="F2742" s="8" t="str">
        <f aca="false">TEXT(A2742,"MM-YYYY")</f>
        <v>07-2025</v>
      </c>
      <c r="G2742" s="8" t="s">
        <v>14</v>
      </c>
      <c r="H2742" s="8" t="s">
        <v>15</v>
      </c>
      <c r="I2742" s="7" t="n">
        <v>45848</v>
      </c>
      <c r="J2742" s="8" t="str">
        <f aca="false">VLOOKUP(B2742, Table3[#All], 2, FALSE())</f>
        <v>Inventory</v>
      </c>
      <c r="K2742" s="8" t="str">
        <f aca="false">TEXT(ROW(), "0000")</f>
        <v>2742</v>
      </c>
      <c r="L2742" s="8"/>
    </row>
    <row r="2743" customFormat="false" ht="15.75" hidden="false" customHeight="true" outlineLevel="0" collapsed="false">
      <c r="A2743" s="7" t="n">
        <v>45848</v>
      </c>
      <c r="B2743" s="8" t="s">
        <v>50</v>
      </c>
      <c r="C2743" s="9" t="n">
        <v>1678</v>
      </c>
      <c r="D2743" s="8" t="s">
        <v>13</v>
      </c>
      <c r="E2743" s="10" t="s">
        <v>263</v>
      </c>
      <c r="F2743" s="8" t="str">
        <f aca="false">TEXT(A2743,"MM-YYYY")</f>
        <v>07-2025</v>
      </c>
      <c r="G2743" s="8" t="s">
        <v>14</v>
      </c>
      <c r="H2743" s="8" t="s">
        <v>13</v>
      </c>
      <c r="I2743" s="7" t="n">
        <v>45864</v>
      </c>
      <c r="J2743" s="8" t="str">
        <f aca="false">VLOOKUP(B2743, Table3[#All], 2, FALSE())</f>
        <v>Fixed Maintance</v>
      </c>
      <c r="K2743" s="8" t="str">
        <f aca="false">TEXT(ROW(), "0000")</f>
        <v>2743</v>
      </c>
      <c r="L2743" s="8"/>
    </row>
    <row r="2744" customFormat="false" ht="15.75" hidden="false" customHeight="true" outlineLevel="0" collapsed="false">
      <c r="A2744" s="7" t="n">
        <v>45848</v>
      </c>
      <c r="B2744" s="8" t="s">
        <v>28</v>
      </c>
      <c r="C2744" s="9" t="n">
        <v>879</v>
      </c>
      <c r="D2744" s="8" t="s">
        <v>21</v>
      </c>
      <c r="E2744" s="10" t="s">
        <v>93</v>
      </c>
      <c r="F2744" s="8" t="str">
        <f aca="false">TEXT(A2744,"MM-YYYY")</f>
        <v>07-2025</v>
      </c>
      <c r="G2744" s="8" t="s">
        <v>14</v>
      </c>
      <c r="H2744" s="8" t="s">
        <v>15</v>
      </c>
      <c r="I2744" s="7" t="n">
        <v>45848</v>
      </c>
      <c r="J2744" s="8" t="str">
        <f aca="false">VLOOKUP(B2744, Table3[#All], 2, FALSE())</f>
        <v>Grocery</v>
      </c>
      <c r="K2744" s="8" t="str">
        <f aca="false">TEXT(ROW(), "0000")</f>
        <v>2744</v>
      </c>
      <c r="L2744" s="8"/>
    </row>
    <row r="2745" customFormat="false" ht="15.75" hidden="false" customHeight="true" outlineLevel="0" collapsed="false">
      <c r="A2745" s="7" t="n">
        <v>45848</v>
      </c>
      <c r="B2745" s="8" t="s">
        <v>16</v>
      </c>
      <c r="C2745" s="9" t="n">
        <v>1939</v>
      </c>
      <c r="D2745" s="8" t="s">
        <v>21</v>
      </c>
      <c r="E2745" s="10" t="s">
        <v>88</v>
      </c>
      <c r="F2745" s="8" t="str">
        <f aca="false">TEXT(A2745,"MM-YYYY")</f>
        <v>07-2025</v>
      </c>
      <c r="G2745" s="8"/>
      <c r="H2745" s="8"/>
      <c r="I2745" s="7"/>
      <c r="J2745" s="8" t="str">
        <f aca="false">VLOOKUP(B2745, Table3[#All], 2, FALSE())</f>
        <v>Sales</v>
      </c>
      <c r="K2745" s="8" t="str">
        <f aca="false">TEXT(ROW(), "0000")</f>
        <v>2745</v>
      </c>
      <c r="L2745" s="8"/>
    </row>
    <row r="2746" customFormat="false" ht="15.75" hidden="false" customHeight="true" outlineLevel="0" collapsed="false">
      <c r="A2746" s="7" t="n">
        <v>45848</v>
      </c>
      <c r="B2746" s="8" t="s">
        <v>16</v>
      </c>
      <c r="C2746" s="9" t="n">
        <v>200</v>
      </c>
      <c r="D2746" s="8" t="s">
        <v>70</v>
      </c>
      <c r="E2746" s="10" t="s">
        <v>366</v>
      </c>
      <c r="F2746" s="8" t="str">
        <f aca="false">TEXT(A2746,"MM-YYYY")</f>
        <v>07-2025</v>
      </c>
      <c r="G2746" s="8"/>
      <c r="H2746" s="8"/>
      <c r="I2746" s="7"/>
      <c r="J2746" s="8" t="str">
        <f aca="false">VLOOKUP(B2746, Table3[#All], 2, FALSE())</f>
        <v>Sales</v>
      </c>
      <c r="K2746" s="8" t="str">
        <f aca="false">TEXT(ROW(), "0000")</f>
        <v>2746</v>
      </c>
      <c r="L2746" s="8"/>
    </row>
    <row r="2747" customFormat="false" ht="15.75" hidden="false" customHeight="true" outlineLevel="0" collapsed="false">
      <c r="A2747" s="7" t="n">
        <v>45848</v>
      </c>
      <c r="B2747" s="8" t="s">
        <v>16</v>
      </c>
      <c r="C2747" s="9" t="n">
        <v>405</v>
      </c>
      <c r="D2747" s="8" t="s">
        <v>33</v>
      </c>
      <c r="E2747" s="10" t="s">
        <v>88</v>
      </c>
      <c r="F2747" s="8" t="str">
        <f aca="false">TEXT(A2747,"MM-YYYY")</f>
        <v>07-2025</v>
      </c>
      <c r="G2747" s="8"/>
      <c r="H2747" s="8"/>
      <c r="I2747" s="7"/>
      <c r="J2747" s="8" t="str">
        <f aca="false">VLOOKUP(B2747, Table3[#All], 2, FALSE())</f>
        <v>Sales</v>
      </c>
      <c r="K2747" s="8" t="str">
        <f aca="false">TEXT(ROW(), "0000")</f>
        <v>2747</v>
      </c>
      <c r="L2747" s="8"/>
    </row>
    <row r="2748" customFormat="false" ht="15.75" hidden="false" customHeight="true" outlineLevel="0" collapsed="false">
      <c r="A2748" s="7" t="n">
        <v>45848</v>
      </c>
      <c r="B2748" s="8" t="s">
        <v>16</v>
      </c>
      <c r="C2748" s="9" t="n">
        <v>9700</v>
      </c>
      <c r="D2748" s="8" t="s">
        <v>17</v>
      </c>
      <c r="E2748" s="10" t="s">
        <v>88</v>
      </c>
      <c r="F2748" s="8" t="str">
        <f aca="false">TEXT(A2748,"MM-YYYY")</f>
        <v>07-2025</v>
      </c>
      <c r="G2748" s="8"/>
      <c r="H2748" s="8"/>
      <c r="I2748" s="7"/>
      <c r="J2748" s="8" t="str">
        <f aca="false">VLOOKUP(B2748, Table3[#All], 2, FALSE())</f>
        <v>Sales</v>
      </c>
      <c r="K2748" s="8" t="str">
        <f aca="false">TEXT(ROW(), "0000")</f>
        <v>2748</v>
      </c>
      <c r="L2748" s="8"/>
    </row>
    <row r="2749" customFormat="false" ht="15.75" hidden="false" customHeight="true" outlineLevel="0" collapsed="false">
      <c r="A2749" s="7" t="n">
        <v>45848</v>
      </c>
      <c r="B2749" s="8" t="s">
        <v>16</v>
      </c>
      <c r="C2749" s="9" t="n">
        <v>1288</v>
      </c>
      <c r="D2749" s="8" t="s">
        <v>24</v>
      </c>
      <c r="E2749" s="10" t="s">
        <v>88</v>
      </c>
      <c r="F2749" s="8" t="str">
        <f aca="false">TEXT(A2749,"MM-YYYY")</f>
        <v>07-2025</v>
      </c>
      <c r="G2749" s="8"/>
      <c r="H2749" s="8"/>
      <c r="I2749" s="7"/>
      <c r="J2749" s="8" t="str">
        <f aca="false">VLOOKUP(B2749, Table3[#All], 2, FALSE())</f>
        <v>Sales</v>
      </c>
      <c r="K2749" s="8" t="str">
        <f aca="false">TEXT(ROW(), "0000")</f>
        <v>2749</v>
      </c>
      <c r="L2749" s="8"/>
    </row>
    <row r="2750" customFormat="false" ht="15.75" hidden="false" customHeight="true" outlineLevel="0" collapsed="false">
      <c r="A2750" s="7" t="n">
        <v>45848</v>
      </c>
      <c r="B2750" s="8" t="s">
        <v>19</v>
      </c>
      <c r="C2750" s="9" t="n">
        <v>5454</v>
      </c>
      <c r="D2750" s="8" t="s">
        <v>13</v>
      </c>
      <c r="E2750" s="10" t="s">
        <v>20</v>
      </c>
      <c r="F2750" s="8" t="str">
        <f aca="false">TEXT(A2750,"MM-YYYY")</f>
        <v>07-2025</v>
      </c>
      <c r="G2750" s="8" t="s">
        <v>14</v>
      </c>
      <c r="H2750" s="8" t="s">
        <v>13</v>
      </c>
      <c r="I2750" s="7" t="n">
        <v>45854</v>
      </c>
      <c r="J2750" s="8" t="str">
        <f aca="false">VLOOKUP(B2750, Table3[#All], 2, FALSE())</f>
        <v>Inventory</v>
      </c>
      <c r="K2750" s="8" t="str">
        <f aca="false">TEXT(ROW(), "0000")</f>
        <v>2750</v>
      </c>
      <c r="L2750" s="8"/>
    </row>
    <row r="2751" customFormat="false" ht="15.75" hidden="false" customHeight="true" outlineLevel="0" collapsed="false">
      <c r="A2751" s="7" t="n">
        <v>45848</v>
      </c>
      <c r="B2751" s="8" t="s">
        <v>16</v>
      </c>
      <c r="C2751" s="9" t="n">
        <v>1110</v>
      </c>
      <c r="D2751" s="8" t="s">
        <v>27</v>
      </c>
      <c r="E2751" s="10" t="s">
        <v>88</v>
      </c>
      <c r="F2751" s="8" t="str">
        <f aca="false">TEXT(A2751,"MM-YYYY")</f>
        <v>07-2025</v>
      </c>
      <c r="G2751" s="8"/>
      <c r="H2751" s="8"/>
      <c r="I2751" s="7"/>
      <c r="J2751" s="8" t="str">
        <f aca="false">VLOOKUP(B2751, Table3[#All], 2, FALSE())</f>
        <v>Sales</v>
      </c>
      <c r="K2751" s="8" t="str">
        <f aca="false">TEXT(ROW(), "0000")</f>
        <v>2751</v>
      </c>
      <c r="L2751" s="8"/>
    </row>
    <row r="2752" customFormat="false" ht="15.75" hidden="false" customHeight="true" outlineLevel="0" collapsed="false">
      <c r="A2752" s="7" t="n">
        <v>45848</v>
      </c>
      <c r="B2752" s="8" t="s">
        <v>34</v>
      </c>
      <c r="C2752" s="9" t="n">
        <v>90</v>
      </c>
      <c r="D2752" s="8" t="s">
        <v>21</v>
      </c>
      <c r="E2752" s="10" t="s">
        <v>274</v>
      </c>
      <c r="F2752" s="8" t="str">
        <f aca="false">TEXT(A2752,"MM-YYYY")</f>
        <v>07-2025</v>
      </c>
      <c r="G2752" s="8" t="s">
        <v>14</v>
      </c>
      <c r="H2752" s="8" t="s">
        <v>15</v>
      </c>
      <c r="I2752" s="7" t="n">
        <v>45848</v>
      </c>
      <c r="J2752" s="8" t="str">
        <f aca="false">VLOOKUP(B2752, Table3[#All], 2, FALSE())</f>
        <v>Staff Expenses</v>
      </c>
      <c r="K2752" s="8" t="str">
        <f aca="false">TEXT(ROW(), "0000")</f>
        <v>2752</v>
      </c>
      <c r="L2752" s="8"/>
    </row>
    <row r="2753" customFormat="false" ht="15.75" hidden="false" customHeight="true" outlineLevel="0" collapsed="false">
      <c r="A2753" s="7" t="n">
        <v>45849</v>
      </c>
      <c r="B2753" s="8" t="s">
        <v>47</v>
      </c>
      <c r="C2753" s="9" t="n">
        <v>1800</v>
      </c>
      <c r="D2753" s="8" t="s">
        <v>13</v>
      </c>
      <c r="E2753" s="10" t="s">
        <v>339</v>
      </c>
      <c r="F2753" s="8" t="str">
        <f aca="false">TEXT(A2753,"MM-YYYY")</f>
        <v>07-2025</v>
      </c>
      <c r="G2753" s="8" t="s">
        <v>14</v>
      </c>
      <c r="H2753" s="8" t="s">
        <v>13</v>
      </c>
      <c r="I2753" s="7" t="n">
        <v>45857</v>
      </c>
      <c r="J2753" s="8" t="str">
        <f aca="false">VLOOKUP(B2753, Table3[#All], 2, FALSE())</f>
        <v>Inventory</v>
      </c>
      <c r="K2753" s="8" t="str">
        <f aca="false">TEXT(ROW(), "0000")</f>
        <v>2753</v>
      </c>
      <c r="L2753" s="8"/>
    </row>
    <row r="2754" customFormat="false" ht="15.75" hidden="false" customHeight="true" outlineLevel="0" collapsed="false">
      <c r="A2754" s="7" t="n">
        <v>45849</v>
      </c>
      <c r="B2754" s="8" t="s">
        <v>32</v>
      </c>
      <c r="C2754" s="9" t="n">
        <v>210</v>
      </c>
      <c r="D2754" s="8" t="s">
        <v>45</v>
      </c>
      <c r="E2754" s="10" t="s">
        <v>38</v>
      </c>
      <c r="F2754" s="8" t="str">
        <f aca="false">TEXT(A2754,"MM-YYYY")</f>
        <v>07-2025</v>
      </c>
      <c r="G2754" s="8" t="s">
        <v>14</v>
      </c>
      <c r="H2754" s="8"/>
      <c r="I2754" s="7"/>
      <c r="J2754" s="8" t="str">
        <f aca="false">VLOOKUP(B2754, Table3[#All], 2, FALSE())</f>
        <v>Grocery</v>
      </c>
      <c r="K2754" s="8" t="str">
        <f aca="false">TEXT(ROW(), "0000")</f>
        <v>2754</v>
      </c>
      <c r="L2754" s="8"/>
    </row>
    <row r="2755" customFormat="false" ht="15.75" hidden="false" customHeight="true" outlineLevel="0" collapsed="false">
      <c r="A2755" s="7" t="n">
        <v>45849</v>
      </c>
      <c r="B2755" s="8" t="s">
        <v>22</v>
      </c>
      <c r="C2755" s="9" t="n">
        <v>1810</v>
      </c>
      <c r="D2755" s="8" t="s">
        <v>13</v>
      </c>
      <c r="E2755" s="10" t="s">
        <v>23</v>
      </c>
      <c r="F2755" s="8" t="str">
        <f aca="false">TEXT(A2755,"MM-YYYY")</f>
        <v>07-2025</v>
      </c>
      <c r="G2755" s="8" t="s">
        <v>14</v>
      </c>
      <c r="H2755" s="8" t="s">
        <v>13</v>
      </c>
      <c r="I2755" s="7" t="n">
        <v>45854</v>
      </c>
      <c r="J2755" s="8" t="str">
        <f aca="false">VLOOKUP(B2755, Table3[#All], 2, FALSE())</f>
        <v>Inventory</v>
      </c>
      <c r="K2755" s="8" t="str">
        <f aca="false">TEXT(ROW(), "0000")</f>
        <v>2755</v>
      </c>
      <c r="L2755" s="8"/>
    </row>
    <row r="2756" customFormat="false" ht="15.75" hidden="false" customHeight="true" outlineLevel="0" collapsed="false">
      <c r="A2756" s="7" t="n">
        <v>45849</v>
      </c>
      <c r="B2756" s="8" t="s">
        <v>25</v>
      </c>
      <c r="C2756" s="9" t="n">
        <v>630</v>
      </c>
      <c r="D2756" s="8" t="s">
        <v>13</v>
      </c>
      <c r="E2756" s="10" t="s">
        <v>360</v>
      </c>
      <c r="F2756" s="8" t="str">
        <f aca="false">TEXT(A2756,"MM-YYYY")</f>
        <v>07-2025</v>
      </c>
      <c r="G2756" s="8" t="s">
        <v>18</v>
      </c>
      <c r="H2756" s="8"/>
      <c r="I2756" s="7"/>
      <c r="J2756" s="8" t="str">
        <f aca="false">VLOOKUP(B2756, Table3[#All], 2, FALSE())</f>
        <v>Inventory</v>
      </c>
      <c r="K2756" s="8" t="str">
        <f aca="false">TEXT(ROW(), "0000")</f>
        <v>2756</v>
      </c>
      <c r="L2756" s="8"/>
    </row>
    <row r="2757" customFormat="false" ht="15.75" hidden="false" customHeight="true" outlineLevel="0" collapsed="false">
      <c r="A2757" s="7" t="n">
        <v>45849</v>
      </c>
      <c r="B2757" s="8" t="s">
        <v>19</v>
      </c>
      <c r="C2757" s="9" t="n">
        <v>2204</v>
      </c>
      <c r="D2757" s="8" t="s">
        <v>13</v>
      </c>
      <c r="E2757" s="10" t="s">
        <v>20</v>
      </c>
      <c r="F2757" s="8" t="str">
        <f aca="false">TEXT(A2757,"MM-YYYY")</f>
        <v>07-2025</v>
      </c>
      <c r="G2757" s="8" t="s">
        <v>14</v>
      </c>
      <c r="H2757" s="8" t="s">
        <v>13</v>
      </c>
      <c r="I2757" s="7" t="n">
        <v>45858</v>
      </c>
      <c r="J2757" s="8" t="str">
        <f aca="false">VLOOKUP(B2757, Table3[#All], 2, FALSE())</f>
        <v>Inventory</v>
      </c>
      <c r="K2757" s="8" t="str">
        <f aca="false">TEXT(ROW(), "0000")</f>
        <v>2757</v>
      </c>
      <c r="L2757" s="8"/>
    </row>
    <row r="2758" customFormat="false" ht="15.75" hidden="false" customHeight="true" outlineLevel="0" collapsed="false">
      <c r="A2758" s="7" t="n">
        <v>45849</v>
      </c>
      <c r="B2758" s="8" t="s">
        <v>31</v>
      </c>
      <c r="C2758" s="9" t="n">
        <v>310</v>
      </c>
      <c r="D2758" s="8" t="s">
        <v>45</v>
      </c>
      <c r="E2758" s="10" t="s">
        <v>236</v>
      </c>
      <c r="F2758" s="8" t="str">
        <f aca="false">TEXT(A2758,"MM-YYYY")</f>
        <v>07-2025</v>
      </c>
      <c r="G2758" s="8" t="s">
        <v>14</v>
      </c>
      <c r="H2758" s="8" t="s">
        <v>15</v>
      </c>
      <c r="I2758" s="7" t="n">
        <v>45849</v>
      </c>
      <c r="J2758" s="8" t="str">
        <f aca="false">VLOOKUP(B2758, Table3[#All], 2, FALSE())</f>
        <v>Bike Maintance</v>
      </c>
      <c r="K2758" s="8" t="str">
        <f aca="false">TEXT(ROW(), "0000")</f>
        <v>2758</v>
      </c>
      <c r="L2758" s="8"/>
    </row>
    <row r="2759" customFormat="false" ht="15.75" hidden="false" customHeight="true" outlineLevel="0" collapsed="false">
      <c r="A2759" s="7" t="n">
        <v>45849</v>
      </c>
      <c r="B2759" s="8" t="s">
        <v>102</v>
      </c>
      <c r="C2759" s="9" t="n">
        <v>600</v>
      </c>
      <c r="D2759" s="8" t="s">
        <v>45</v>
      </c>
      <c r="E2759" s="8" t="s">
        <v>102</v>
      </c>
      <c r="F2759" s="8" t="str">
        <f aca="false">TEXT(A2759,"MM-YYYY")</f>
        <v>07-2025</v>
      </c>
      <c r="G2759" s="8" t="s">
        <v>14</v>
      </c>
      <c r="H2759" s="8" t="s">
        <v>15</v>
      </c>
      <c r="I2759" s="7" t="n">
        <v>45849</v>
      </c>
      <c r="J2759" s="8" t="str">
        <f aca="false">VLOOKUP(B2759, Table3[#All], 2, FALSE())</f>
        <v>Fixed Maintance</v>
      </c>
      <c r="K2759" s="8" t="str">
        <f aca="false">TEXT(ROW(), "0000")</f>
        <v>2759</v>
      </c>
      <c r="L2759" s="8"/>
    </row>
    <row r="2760" customFormat="false" ht="15.75" hidden="false" customHeight="true" outlineLevel="0" collapsed="false">
      <c r="A2760" s="7" t="n">
        <v>45849</v>
      </c>
      <c r="B2760" s="8" t="s">
        <v>16</v>
      </c>
      <c r="C2760" s="9" t="n">
        <v>5103</v>
      </c>
      <c r="D2760" s="8" t="s">
        <v>21</v>
      </c>
      <c r="E2760" s="10" t="s">
        <v>88</v>
      </c>
      <c r="F2760" s="8" t="str">
        <f aca="false">TEXT(A2760,"MM-YYYY")</f>
        <v>07-2025</v>
      </c>
      <c r="G2760" s="8"/>
      <c r="H2760" s="8"/>
      <c r="I2760" s="7"/>
      <c r="J2760" s="8" t="str">
        <f aca="false">VLOOKUP(B2760, Table3[#All], 2, FALSE())</f>
        <v>Sales</v>
      </c>
      <c r="K2760" s="8" t="str">
        <f aca="false">TEXT(ROW(), "0000")</f>
        <v>2760</v>
      </c>
      <c r="L2760" s="8"/>
    </row>
    <row r="2761" customFormat="false" ht="15.75" hidden="false" customHeight="true" outlineLevel="0" collapsed="false">
      <c r="A2761" s="7" t="n">
        <v>45849</v>
      </c>
      <c r="B2761" s="8" t="s">
        <v>16</v>
      </c>
      <c r="C2761" s="9" t="n">
        <v>765</v>
      </c>
      <c r="D2761" s="8" t="s">
        <v>27</v>
      </c>
      <c r="E2761" s="10" t="s">
        <v>88</v>
      </c>
      <c r="F2761" s="8" t="str">
        <f aca="false">TEXT(A2761,"MM-YYYY")</f>
        <v>07-2025</v>
      </c>
      <c r="G2761" s="8"/>
      <c r="H2761" s="8"/>
      <c r="I2761" s="7"/>
      <c r="J2761" s="8" t="str">
        <f aca="false">VLOOKUP(B2761, Table3[#All], 2, FALSE())</f>
        <v>Sales</v>
      </c>
      <c r="K2761" s="8" t="str">
        <f aca="false">TEXT(ROW(), "0000")</f>
        <v>2761</v>
      </c>
      <c r="L2761" s="8"/>
    </row>
    <row r="2762" customFormat="false" ht="15.75" hidden="false" customHeight="true" outlineLevel="0" collapsed="false">
      <c r="A2762" s="7" t="n">
        <v>45849</v>
      </c>
      <c r="B2762" s="8" t="s">
        <v>16</v>
      </c>
      <c r="C2762" s="9" t="n">
        <v>260</v>
      </c>
      <c r="D2762" s="8" t="s">
        <v>33</v>
      </c>
      <c r="E2762" s="10" t="s">
        <v>88</v>
      </c>
      <c r="F2762" s="8" t="str">
        <f aca="false">TEXT(A2762,"MM-YYYY")</f>
        <v>07-2025</v>
      </c>
      <c r="G2762" s="8"/>
      <c r="H2762" s="8"/>
      <c r="I2762" s="7"/>
      <c r="J2762" s="8" t="str">
        <f aca="false">VLOOKUP(B2762, Table3[#All], 2, FALSE())</f>
        <v>Sales</v>
      </c>
      <c r="K2762" s="8" t="str">
        <f aca="false">TEXT(ROW(), "0000")</f>
        <v>2762</v>
      </c>
      <c r="L2762" s="8"/>
    </row>
    <row r="2763" customFormat="false" ht="15.75" hidden="false" customHeight="true" outlineLevel="0" collapsed="false">
      <c r="A2763" s="7" t="n">
        <v>45849</v>
      </c>
      <c r="B2763" s="8" t="s">
        <v>16</v>
      </c>
      <c r="C2763" s="9" t="n">
        <v>24257</v>
      </c>
      <c r="D2763" s="8" t="s">
        <v>17</v>
      </c>
      <c r="E2763" s="10" t="s">
        <v>88</v>
      </c>
      <c r="F2763" s="8" t="str">
        <f aca="false">TEXT(A2763,"MM-YYYY")</f>
        <v>07-2025</v>
      </c>
      <c r="G2763" s="8"/>
      <c r="H2763" s="8"/>
      <c r="I2763" s="7"/>
      <c r="J2763" s="8" t="str">
        <f aca="false">VLOOKUP(B2763, Table3[#All], 2, FALSE())</f>
        <v>Sales</v>
      </c>
      <c r="K2763" s="8" t="str">
        <f aca="false">TEXT(ROW(), "0000")</f>
        <v>2763</v>
      </c>
      <c r="L2763" s="8"/>
    </row>
    <row r="2764" customFormat="false" ht="15.75" hidden="false" customHeight="true" outlineLevel="0" collapsed="false">
      <c r="A2764" s="7" t="n">
        <v>45849</v>
      </c>
      <c r="B2764" s="8" t="s">
        <v>16</v>
      </c>
      <c r="C2764" s="9" t="n">
        <v>2680</v>
      </c>
      <c r="D2764" s="8" t="s">
        <v>59</v>
      </c>
      <c r="E2764" s="10" t="s">
        <v>88</v>
      </c>
      <c r="F2764" s="8" t="str">
        <f aca="false">TEXT(A2764,"MM-YYYY")</f>
        <v>07-2025</v>
      </c>
      <c r="G2764" s="8"/>
      <c r="H2764" s="8"/>
      <c r="I2764" s="7"/>
      <c r="J2764" s="8" t="str">
        <f aca="false">VLOOKUP(B2764, Table3[#All], 2, FALSE())</f>
        <v>Sales</v>
      </c>
      <c r="K2764" s="8" t="str">
        <f aca="false">TEXT(ROW(), "0000")</f>
        <v>2764</v>
      </c>
      <c r="L2764" s="8"/>
    </row>
    <row r="2765" customFormat="false" ht="15.75" hidden="false" customHeight="true" outlineLevel="0" collapsed="false">
      <c r="A2765" s="7" t="n">
        <v>45849</v>
      </c>
      <c r="B2765" s="8" t="s">
        <v>16</v>
      </c>
      <c r="C2765" s="9" t="n">
        <v>3201</v>
      </c>
      <c r="D2765" s="8" t="s">
        <v>24</v>
      </c>
      <c r="E2765" s="10" t="s">
        <v>217</v>
      </c>
      <c r="F2765" s="8" t="str">
        <f aca="false">TEXT(A2765,"MM-YYYY")</f>
        <v>07-2025</v>
      </c>
      <c r="G2765" s="8"/>
      <c r="H2765" s="8"/>
      <c r="I2765" s="7"/>
      <c r="J2765" s="8" t="str">
        <f aca="false">VLOOKUP(B2765, Table3[#All], 2, FALSE())</f>
        <v>Sales</v>
      </c>
      <c r="K2765" s="8" t="str">
        <f aca="false">TEXT(ROW(), "0000")</f>
        <v>2765</v>
      </c>
      <c r="L2765" s="8"/>
    </row>
    <row r="2766" customFormat="false" ht="15.75" hidden="false" customHeight="true" outlineLevel="0" collapsed="false">
      <c r="A2766" s="7" t="n">
        <v>45849</v>
      </c>
      <c r="B2766" s="8" t="s">
        <v>34</v>
      </c>
      <c r="C2766" s="9" t="n">
        <v>83</v>
      </c>
      <c r="D2766" s="8" t="s">
        <v>21</v>
      </c>
      <c r="E2766" s="10" t="s">
        <v>274</v>
      </c>
      <c r="F2766" s="8" t="str">
        <f aca="false">TEXT(A2766,"MM-YYYY")</f>
        <v>07-2025</v>
      </c>
      <c r="G2766" s="8" t="s">
        <v>14</v>
      </c>
      <c r="H2766" s="8" t="s">
        <v>15</v>
      </c>
      <c r="I2766" s="7" t="n">
        <v>45849</v>
      </c>
      <c r="J2766" s="8" t="str">
        <f aca="false">VLOOKUP(B2766, Table3[#All], 2, FALSE())</f>
        <v>Staff Expenses</v>
      </c>
      <c r="K2766" s="8" t="str">
        <f aca="false">TEXT(ROW(), "0000")</f>
        <v>2766</v>
      </c>
      <c r="L2766" s="8"/>
    </row>
    <row r="2767" customFormat="false" ht="15.75" hidden="false" customHeight="true" outlineLevel="0" collapsed="false">
      <c r="A2767" s="7" t="n">
        <v>45849</v>
      </c>
      <c r="B2767" s="8" t="s">
        <v>29</v>
      </c>
      <c r="C2767" s="9" t="n">
        <v>315</v>
      </c>
      <c r="D2767" s="8" t="s">
        <v>13</v>
      </c>
      <c r="E2767" s="10" t="s">
        <v>302</v>
      </c>
      <c r="F2767" s="8" t="str">
        <f aca="false">TEXT(A2767,"MM-YYYY")</f>
        <v>07-2025</v>
      </c>
      <c r="G2767" s="8" t="s">
        <v>18</v>
      </c>
      <c r="H2767" s="8"/>
      <c r="I2767" s="7"/>
      <c r="J2767" s="8" t="str">
        <f aca="false">VLOOKUP(B2767, Table3[#All], 2, FALSE())</f>
        <v>Inventory</v>
      </c>
      <c r="K2767" s="8" t="str">
        <f aca="false">TEXT(ROW(), "0000")</f>
        <v>2767</v>
      </c>
      <c r="L2767" s="8"/>
    </row>
    <row r="2768" customFormat="false" ht="15.75" hidden="false" customHeight="true" outlineLevel="0" collapsed="false">
      <c r="A2768" s="7" t="n">
        <v>45850</v>
      </c>
      <c r="B2768" s="8" t="s">
        <v>22</v>
      </c>
      <c r="C2768" s="9" t="n">
        <v>1058</v>
      </c>
      <c r="D2768" s="8" t="s">
        <v>13</v>
      </c>
      <c r="E2768" s="10" t="s">
        <v>23</v>
      </c>
      <c r="F2768" s="8" t="str">
        <f aca="false">TEXT(A2768,"MM-YYYY")</f>
        <v>07-2025</v>
      </c>
      <c r="G2768" s="8" t="s">
        <v>14</v>
      </c>
      <c r="H2768" s="8" t="s">
        <v>13</v>
      </c>
      <c r="I2768" s="7" t="n">
        <v>45859</v>
      </c>
      <c r="J2768" s="8" t="str">
        <f aca="false">VLOOKUP(B2768, Table3[#All], 2, FALSE())</f>
        <v>Inventory</v>
      </c>
      <c r="K2768" s="8" t="str">
        <f aca="false">TEXT(ROW(), "0000")</f>
        <v>2768</v>
      </c>
      <c r="L2768" s="8"/>
    </row>
    <row r="2769" customFormat="false" ht="15.75" hidden="false" customHeight="true" outlineLevel="0" collapsed="false">
      <c r="A2769" s="7" t="n">
        <v>45850</v>
      </c>
      <c r="B2769" s="8" t="s">
        <v>25</v>
      </c>
      <c r="C2769" s="9" t="n">
        <v>1646</v>
      </c>
      <c r="D2769" s="8" t="s">
        <v>13</v>
      </c>
      <c r="E2769" s="10" t="s">
        <v>360</v>
      </c>
      <c r="F2769" s="8" t="str">
        <f aca="false">TEXT(A2769,"MM-YYYY")</f>
        <v>07-2025</v>
      </c>
      <c r="G2769" s="8" t="s">
        <v>18</v>
      </c>
      <c r="H2769" s="8"/>
      <c r="I2769" s="7"/>
      <c r="J2769" s="8" t="str">
        <f aca="false">VLOOKUP(B2769, Table3[#All], 2, FALSE())</f>
        <v>Inventory</v>
      </c>
      <c r="K2769" s="8" t="str">
        <f aca="false">TEXT(ROW(), "0000")</f>
        <v>2769</v>
      </c>
      <c r="L2769" s="8"/>
    </row>
    <row r="2770" customFormat="false" ht="15.75" hidden="false" customHeight="true" outlineLevel="0" collapsed="false">
      <c r="A2770" s="7" t="n">
        <v>45850</v>
      </c>
      <c r="B2770" s="8" t="s">
        <v>29</v>
      </c>
      <c r="C2770" s="9" t="n">
        <v>900</v>
      </c>
      <c r="D2770" s="8" t="s">
        <v>45</v>
      </c>
      <c r="E2770" s="10" t="s">
        <v>78</v>
      </c>
      <c r="F2770" s="8" t="str">
        <f aca="false">TEXT(A2770,"MM-YYYY")</f>
        <v>07-2025</v>
      </c>
      <c r="G2770" s="8" t="s">
        <v>14</v>
      </c>
      <c r="H2770" s="8" t="s">
        <v>15</v>
      </c>
      <c r="I2770" s="7" t="n">
        <v>45850</v>
      </c>
      <c r="J2770" s="8" t="str">
        <f aca="false">VLOOKUP(B2770, Table3[#All], 2, FALSE())</f>
        <v>Inventory</v>
      </c>
      <c r="K2770" s="8" t="str">
        <f aca="false">TEXT(ROW(), "0000")</f>
        <v>2770</v>
      </c>
      <c r="L2770" s="8"/>
    </row>
    <row r="2771" customFormat="false" ht="15.75" hidden="false" customHeight="true" outlineLevel="0" collapsed="false">
      <c r="A2771" s="7" t="n">
        <v>45850</v>
      </c>
      <c r="B2771" s="8" t="s">
        <v>19</v>
      </c>
      <c r="C2771" s="9" t="n">
        <v>7481</v>
      </c>
      <c r="D2771" s="8" t="s">
        <v>13</v>
      </c>
      <c r="E2771" s="10" t="s">
        <v>20</v>
      </c>
      <c r="F2771" s="8" t="str">
        <f aca="false">TEXT(A2771,"MM-YYYY")</f>
        <v>07-2025</v>
      </c>
      <c r="G2771" s="8" t="s">
        <v>14</v>
      </c>
      <c r="H2771" s="8" t="s">
        <v>13</v>
      </c>
      <c r="I2771" s="7" t="n">
        <v>45858</v>
      </c>
      <c r="J2771" s="8" t="str">
        <f aca="false">VLOOKUP(B2771, Table3[#All], 2, FALSE())</f>
        <v>Inventory</v>
      </c>
      <c r="K2771" s="8" t="str">
        <f aca="false">TEXT(ROW(), "0000")</f>
        <v>2771</v>
      </c>
      <c r="L2771" s="8"/>
    </row>
    <row r="2772" customFormat="false" ht="15.75" hidden="false" customHeight="true" outlineLevel="0" collapsed="false">
      <c r="A2772" s="7" t="n">
        <v>45850</v>
      </c>
      <c r="B2772" s="8" t="s">
        <v>53</v>
      </c>
      <c r="C2772" s="9" t="n">
        <v>1200</v>
      </c>
      <c r="D2772" s="8" t="s">
        <v>45</v>
      </c>
      <c r="E2772" s="10" t="s">
        <v>55</v>
      </c>
      <c r="F2772" s="8" t="str">
        <f aca="false">TEXT(A2772,"MM-YYYY")</f>
        <v>07-2025</v>
      </c>
      <c r="G2772" s="8" t="s">
        <v>14</v>
      </c>
      <c r="H2772" s="8" t="s">
        <v>15</v>
      </c>
      <c r="I2772" s="7" t="n">
        <v>45850</v>
      </c>
      <c r="J2772" s="8" t="str">
        <f aca="false">VLOOKUP(B2772, Table3[#All], 2, FALSE())</f>
        <v>Grocery</v>
      </c>
      <c r="K2772" s="8" t="str">
        <f aca="false">TEXT(ROW(), "0000")</f>
        <v>2772</v>
      </c>
      <c r="L2772" s="8"/>
    </row>
    <row r="2773" customFormat="false" ht="15.75" hidden="false" customHeight="true" outlineLevel="0" collapsed="false">
      <c r="A2773" s="7" t="n">
        <v>45850</v>
      </c>
      <c r="B2773" s="8" t="s">
        <v>40</v>
      </c>
      <c r="C2773" s="9" t="n">
        <v>1880</v>
      </c>
      <c r="D2773" s="8" t="s">
        <v>45</v>
      </c>
      <c r="E2773" s="10" t="s">
        <v>46</v>
      </c>
      <c r="F2773" s="8" t="str">
        <f aca="false">TEXT(A2773,"MM-YYYY")</f>
        <v>07-2025</v>
      </c>
      <c r="G2773" s="8" t="s">
        <v>14</v>
      </c>
      <c r="H2773" s="8" t="s">
        <v>15</v>
      </c>
      <c r="I2773" s="7" t="n">
        <v>45850</v>
      </c>
      <c r="J2773" s="8" t="str">
        <f aca="false">VLOOKUP(B2773, Table3[#All], 2, FALSE())</f>
        <v>Inventory</v>
      </c>
      <c r="K2773" s="8" t="str">
        <f aca="false">TEXT(ROW(), "0000")</f>
        <v>2773</v>
      </c>
      <c r="L2773" s="8"/>
    </row>
    <row r="2774" customFormat="false" ht="15.75" hidden="false" customHeight="true" outlineLevel="0" collapsed="false">
      <c r="A2774" s="7" t="n">
        <v>45850</v>
      </c>
      <c r="B2774" s="8" t="s">
        <v>25</v>
      </c>
      <c r="C2774" s="9" t="n">
        <v>350</v>
      </c>
      <c r="D2774" s="8" t="s">
        <v>45</v>
      </c>
      <c r="E2774" s="10" t="s">
        <v>272</v>
      </c>
      <c r="F2774" s="8" t="str">
        <f aca="false">TEXT(A2774,"MM-YYYY")</f>
        <v>07-2025</v>
      </c>
      <c r="G2774" s="8" t="s">
        <v>14</v>
      </c>
      <c r="H2774" s="8" t="s">
        <v>15</v>
      </c>
      <c r="I2774" s="7" t="n">
        <v>45850</v>
      </c>
      <c r="J2774" s="8" t="str">
        <f aca="false">VLOOKUP(B2774, Table3[#All], 2, FALSE())</f>
        <v>Inventory</v>
      </c>
      <c r="K2774" s="8" t="str">
        <f aca="false">TEXT(ROW(), "0000")</f>
        <v>2774</v>
      </c>
      <c r="L2774" s="8"/>
    </row>
    <row r="2775" customFormat="false" ht="15.75" hidden="false" customHeight="true" outlineLevel="0" collapsed="false">
      <c r="A2775" s="7" t="n">
        <v>45850</v>
      </c>
      <c r="B2775" s="8" t="s">
        <v>50</v>
      </c>
      <c r="C2775" s="9" t="n">
        <v>1678</v>
      </c>
      <c r="D2775" s="8" t="s">
        <v>13</v>
      </c>
      <c r="E2775" s="10" t="s">
        <v>263</v>
      </c>
      <c r="F2775" s="8" t="str">
        <f aca="false">TEXT(A2775,"MM-YYYY")</f>
        <v>07-2025</v>
      </c>
      <c r="G2775" s="8" t="s">
        <v>14</v>
      </c>
      <c r="H2775" s="8" t="s">
        <v>13</v>
      </c>
      <c r="I2775" s="7" t="n">
        <v>45864</v>
      </c>
      <c r="J2775" s="8" t="str">
        <f aca="false">VLOOKUP(B2775, Table3[#All], 2, FALSE())</f>
        <v>Fixed Maintance</v>
      </c>
      <c r="K2775" s="8" t="str">
        <f aca="false">TEXT(ROW(), "0000")</f>
        <v>2775</v>
      </c>
      <c r="L2775" s="8"/>
    </row>
    <row r="2776" customFormat="false" ht="15.75" hidden="false" customHeight="true" outlineLevel="0" collapsed="false">
      <c r="A2776" s="7" t="n">
        <v>45850</v>
      </c>
      <c r="B2776" s="8" t="s">
        <v>29</v>
      </c>
      <c r="C2776" s="9" t="n">
        <v>838</v>
      </c>
      <c r="D2776" s="8" t="s">
        <v>13</v>
      </c>
      <c r="E2776" s="10" t="s">
        <v>302</v>
      </c>
      <c r="F2776" s="8" t="str">
        <f aca="false">TEXT(A2776,"MM-YYYY")</f>
        <v>07-2025</v>
      </c>
      <c r="G2776" s="8" t="s">
        <v>18</v>
      </c>
      <c r="H2776" s="8"/>
      <c r="I2776" s="7"/>
      <c r="J2776" s="8" t="str">
        <f aca="false">VLOOKUP(B2776, Table3[#All], 2, FALSE())</f>
        <v>Inventory</v>
      </c>
      <c r="K2776" s="8" t="str">
        <f aca="false">TEXT(ROW(), "0000")</f>
        <v>2776</v>
      </c>
      <c r="L2776" s="8"/>
    </row>
    <row r="2777" customFormat="false" ht="15.75" hidden="false" customHeight="true" outlineLevel="0" collapsed="false">
      <c r="A2777" s="7" t="n">
        <v>45850</v>
      </c>
      <c r="B2777" s="8" t="s">
        <v>16</v>
      </c>
      <c r="C2777" s="9" t="n">
        <v>4694</v>
      </c>
      <c r="D2777" s="8" t="s">
        <v>21</v>
      </c>
      <c r="E2777" s="10" t="s">
        <v>88</v>
      </c>
      <c r="F2777" s="8" t="str">
        <f aca="false">TEXT(A2777,"MM-YYYY")</f>
        <v>07-2025</v>
      </c>
      <c r="G2777" s="8"/>
      <c r="H2777" s="8"/>
      <c r="I2777" s="7"/>
      <c r="J2777" s="8" t="str">
        <f aca="false">VLOOKUP(B2777, Table3[#All], 2, FALSE())</f>
        <v>Sales</v>
      </c>
      <c r="K2777" s="8" t="str">
        <f aca="false">TEXT(ROW(), "0000")</f>
        <v>2777</v>
      </c>
      <c r="L2777" s="8"/>
    </row>
    <row r="2778" customFormat="false" ht="15.75" hidden="false" customHeight="true" outlineLevel="0" collapsed="false">
      <c r="A2778" s="7" t="n">
        <v>45850</v>
      </c>
      <c r="B2778" s="8" t="s">
        <v>16</v>
      </c>
      <c r="C2778" s="9" t="n">
        <v>965</v>
      </c>
      <c r="D2778" s="8" t="s">
        <v>27</v>
      </c>
      <c r="E2778" s="10" t="s">
        <v>88</v>
      </c>
      <c r="F2778" s="8" t="str">
        <f aca="false">TEXT(A2778,"MM-YYYY")</f>
        <v>07-2025</v>
      </c>
      <c r="G2778" s="8"/>
      <c r="H2778" s="8"/>
      <c r="I2778" s="7"/>
      <c r="J2778" s="8" t="str">
        <f aca="false">VLOOKUP(B2778, Table3[#All], 2, FALSE())</f>
        <v>Sales</v>
      </c>
      <c r="K2778" s="8" t="str">
        <f aca="false">TEXT(ROW(), "0000")</f>
        <v>2778</v>
      </c>
      <c r="L2778" s="8"/>
    </row>
    <row r="2779" customFormat="false" ht="15.75" hidden="false" customHeight="true" outlineLevel="0" collapsed="false">
      <c r="A2779" s="7" t="n">
        <v>45850</v>
      </c>
      <c r="B2779" s="8" t="s">
        <v>16</v>
      </c>
      <c r="C2779" s="9" t="n">
        <v>230</v>
      </c>
      <c r="D2779" s="8" t="s">
        <v>33</v>
      </c>
      <c r="E2779" s="10" t="s">
        <v>88</v>
      </c>
      <c r="F2779" s="8" t="str">
        <f aca="false">TEXT(A2779,"MM-YYYY")</f>
        <v>07-2025</v>
      </c>
      <c r="G2779" s="8"/>
      <c r="H2779" s="8"/>
      <c r="I2779" s="7"/>
      <c r="J2779" s="8" t="str">
        <f aca="false">VLOOKUP(B2779, Table3[#All], 2, FALSE())</f>
        <v>Sales</v>
      </c>
      <c r="K2779" s="8" t="str">
        <f aca="false">TEXT(ROW(), "0000")</f>
        <v>2779</v>
      </c>
      <c r="L2779" s="8"/>
    </row>
    <row r="2780" customFormat="false" ht="15.75" hidden="false" customHeight="true" outlineLevel="0" collapsed="false">
      <c r="A2780" s="7" t="n">
        <v>45850</v>
      </c>
      <c r="B2780" s="8" t="s">
        <v>16</v>
      </c>
      <c r="C2780" s="9" t="n">
        <v>27442</v>
      </c>
      <c r="D2780" s="8" t="s">
        <v>17</v>
      </c>
      <c r="E2780" s="10" t="s">
        <v>88</v>
      </c>
      <c r="F2780" s="8" t="str">
        <f aca="false">TEXT(A2780,"MM-YYYY")</f>
        <v>07-2025</v>
      </c>
      <c r="G2780" s="8"/>
      <c r="H2780" s="8"/>
      <c r="I2780" s="7"/>
      <c r="J2780" s="8" t="str">
        <f aca="false">VLOOKUP(B2780, Table3[#All], 2, FALSE())</f>
        <v>Sales</v>
      </c>
      <c r="K2780" s="8" t="str">
        <f aca="false">TEXT(ROW(), "0000")</f>
        <v>2780</v>
      </c>
      <c r="L2780" s="8"/>
    </row>
    <row r="2781" customFormat="false" ht="15.75" hidden="false" customHeight="true" outlineLevel="0" collapsed="false">
      <c r="A2781" s="7" t="n">
        <v>45850</v>
      </c>
      <c r="B2781" s="8" t="s">
        <v>16</v>
      </c>
      <c r="C2781" s="9" t="n">
        <v>2787</v>
      </c>
      <c r="D2781" s="8" t="s">
        <v>24</v>
      </c>
      <c r="E2781" s="10" t="s">
        <v>217</v>
      </c>
      <c r="F2781" s="8" t="str">
        <f aca="false">TEXT(A2781,"MM-YYYY")</f>
        <v>07-2025</v>
      </c>
      <c r="G2781" s="8"/>
      <c r="H2781" s="8"/>
      <c r="I2781" s="7"/>
      <c r="J2781" s="8" t="str">
        <f aca="false">VLOOKUP(B2781, Table3[#All], 2, FALSE())</f>
        <v>Sales</v>
      </c>
      <c r="K2781" s="8" t="str">
        <f aca="false">TEXT(ROW(), "0000")</f>
        <v>2781</v>
      </c>
      <c r="L2781" s="8"/>
    </row>
    <row r="2782" customFormat="false" ht="15.75" hidden="false" customHeight="true" outlineLevel="0" collapsed="false">
      <c r="A2782" s="7" t="n">
        <v>45850</v>
      </c>
      <c r="B2782" s="8" t="s">
        <v>32</v>
      </c>
      <c r="C2782" s="9" t="n">
        <v>210</v>
      </c>
      <c r="D2782" s="8" t="s">
        <v>45</v>
      </c>
      <c r="E2782" s="10" t="s">
        <v>38</v>
      </c>
      <c r="F2782" s="8" t="str">
        <f aca="false">TEXT(A2782,"MM-YYYY")</f>
        <v>07-2025</v>
      </c>
      <c r="G2782" s="8" t="s">
        <v>14</v>
      </c>
      <c r="H2782" s="8" t="s">
        <v>15</v>
      </c>
      <c r="I2782" s="7" t="n">
        <v>45850</v>
      </c>
      <c r="J2782" s="8" t="str">
        <f aca="false">VLOOKUP(B2782, Table3[#All], 2, FALSE())</f>
        <v>Grocery</v>
      </c>
      <c r="K2782" s="8" t="str">
        <f aca="false">TEXT(ROW(), "0000")</f>
        <v>2782</v>
      </c>
      <c r="L2782" s="8"/>
    </row>
    <row r="2783" customFormat="false" ht="15.75" hidden="false" customHeight="true" outlineLevel="0" collapsed="false">
      <c r="A2783" s="7" t="n">
        <v>45850</v>
      </c>
      <c r="B2783" s="8" t="s">
        <v>44</v>
      </c>
      <c r="C2783" s="9" t="n">
        <v>500</v>
      </c>
      <c r="D2783" s="8" t="s">
        <v>21</v>
      </c>
      <c r="E2783" s="10" t="s">
        <v>86</v>
      </c>
      <c r="F2783" s="8" t="str">
        <f aca="false">TEXT(A2783,"MM-YYYY")</f>
        <v>07-2025</v>
      </c>
      <c r="G2783" s="8" t="s">
        <v>14</v>
      </c>
      <c r="H2783" s="8" t="s">
        <v>15</v>
      </c>
      <c r="I2783" s="7" t="n">
        <v>45850</v>
      </c>
      <c r="J2783" s="8" t="str">
        <f aca="false">VLOOKUP(B2783, Table3[#All], 2, FALSE())</f>
        <v>Salary</v>
      </c>
      <c r="K2783" s="8" t="str">
        <f aca="false">TEXT(ROW(), "0000")</f>
        <v>2783</v>
      </c>
      <c r="L2783" s="8"/>
    </row>
    <row r="2784" customFormat="false" ht="15.75" hidden="false" customHeight="true" outlineLevel="0" collapsed="false">
      <c r="A2784" s="7" t="n">
        <v>45850</v>
      </c>
      <c r="B2784" s="8" t="s">
        <v>44</v>
      </c>
      <c r="C2784" s="9" t="n">
        <v>500</v>
      </c>
      <c r="D2784" s="8" t="s">
        <v>21</v>
      </c>
      <c r="E2784" s="10" t="s">
        <v>316</v>
      </c>
      <c r="F2784" s="8" t="str">
        <f aca="false">TEXT(A2784,"MM-YYYY")</f>
        <v>07-2025</v>
      </c>
      <c r="G2784" s="8" t="s">
        <v>14</v>
      </c>
      <c r="H2784" s="8" t="s">
        <v>15</v>
      </c>
      <c r="I2784" s="7" t="n">
        <v>45850</v>
      </c>
      <c r="J2784" s="8" t="str">
        <f aca="false">VLOOKUP(B2784, Table3[#All], 2, FALSE())</f>
        <v>Salary</v>
      </c>
      <c r="K2784" s="8" t="str">
        <f aca="false">TEXT(ROW(), "0000")</f>
        <v>2784</v>
      </c>
      <c r="L2784" s="8"/>
    </row>
    <row r="2785" customFormat="false" ht="15.75" hidden="false" customHeight="true" outlineLevel="0" collapsed="false">
      <c r="A2785" s="7" t="n">
        <v>45850</v>
      </c>
      <c r="B2785" s="8" t="s">
        <v>34</v>
      </c>
      <c r="C2785" s="9" t="n">
        <v>104</v>
      </c>
      <c r="D2785" s="8" t="s">
        <v>21</v>
      </c>
      <c r="E2785" s="10" t="s">
        <v>274</v>
      </c>
      <c r="F2785" s="8" t="str">
        <f aca="false">TEXT(A2785,"MM-YYYY")</f>
        <v>07-2025</v>
      </c>
      <c r="G2785" s="8" t="s">
        <v>14</v>
      </c>
      <c r="H2785" s="8" t="s">
        <v>15</v>
      </c>
      <c r="I2785" s="7" t="n">
        <v>45850</v>
      </c>
      <c r="J2785" s="8" t="str">
        <f aca="false">VLOOKUP(B2785, Table3[#All], 2, FALSE())</f>
        <v>Staff Expenses</v>
      </c>
      <c r="K2785" s="8" t="str">
        <f aca="false">TEXT(ROW(), "0000")</f>
        <v>2785</v>
      </c>
      <c r="L2785" s="8"/>
    </row>
    <row r="2786" customFormat="false" ht="15.75" hidden="false" customHeight="true" outlineLevel="0" collapsed="false">
      <c r="A2786" s="7" t="n">
        <v>45850</v>
      </c>
      <c r="B2786" s="8" t="s">
        <v>22</v>
      </c>
      <c r="C2786" s="9" t="n">
        <v>245</v>
      </c>
      <c r="D2786" s="8" t="s">
        <v>13</v>
      </c>
      <c r="E2786" s="10" t="s">
        <v>23</v>
      </c>
      <c r="F2786" s="8" t="str">
        <f aca="false">TEXT(A2786,"MM-YYYY")</f>
        <v>07-2025</v>
      </c>
      <c r="G2786" s="8" t="s">
        <v>14</v>
      </c>
      <c r="H2786" s="8" t="s">
        <v>13</v>
      </c>
      <c r="I2786" s="7" t="n">
        <v>45865</v>
      </c>
      <c r="J2786" s="8" t="str">
        <f aca="false">VLOOKUP(B2786, Table3[#All], 2, FALSE())</f>
        <v>Inventory</v>
      </c>
      <c r="K2786" s="8" t="str">
        <f aca="false">TEXT(ROW(), "0000")</f>
        <v>2786</v>
      </c>
      <c r="L2786" s="8"/>
    </row>
    <row r="2787" customFormat="false" ht="15.75" hidden="false" customHeight="true" outlineLevel="0" collapsed="false">
      <c r="A2787" s="7" t="n">
        <v>45851</v>
      </c>
      <c r="B2787" s="8" t="s">
        <v>25</v>
      </c>
      <c r="C2787" s="9" t="n">
        <v>1656</v>
      </c>
      <c r="D2787" s="8" t="s">
        <v>13</v>
      </c>
      <c r="E2787" s="10" t="s">
        <v>360</v>
      </c>
      <c r="F2787" s="8" t="str">
        <f aca="false">TEXT(A2787,"MM-YYYY")</f>
        <v>07-2025</v>
      </c>
      <c r="G2787" s="8" t="s">
        <v>18</v>
      </c>
      <c r="H2787" s="8"/>
      <c r="I2787" s="7"/>
      <c r="J2787" s="8" t="str">
        <f aca="false">VLOOKUP(B2787, Table3[#All], 2, FALSE())</f>
        <v>Inventory</v>
      </c>
      <c r="K2787" s="8" t="str">
        <f aca="false">TEXT(ROW(), "0000")</f>
        <v>2787</v>
      </c>
      <c r="L2787" s="8"/>
    </row>
    <row r="2788" customFormat="false" ht="15.75" hidden="false" customHeight="true" outlineLevel="0" collapsed="false">
      <c r="A2788" s="7" t="n">
        <v>45851</v>
      </c>
      <c r="B2788" s="8" t="s">
        <v>22</v>
      </c>
      <c r="C2788" s="9" t="n">
        <v>4650</v>
      </c>
      <c r="D2788" s="8" t="s">
        <v>13</v>
      </c>
      <c r="E2788" s="10" t="s">
        <v>23</v>
      </c>
      <c r="F2788" s="8" t="str">
        <f aca="false">TEXT(A2788,"MM-YYYY")</f>
        <v>07-2025</v>
      </c>
      <c r="G2788" s="8" t="s">
        <v>14</v>
      </c>
      <c r="H2788" s="8" t="s">
        <v>13</v>
      </c>
      <c r="I2788" s="7" t="n">
        <v>45859</v>
      </c>
      <c r="J2788" s="8" t="str">
        <f aca="false">VLOOKUP(B2788, Table3[#All], 2, FALSE())</f>
        <v>Inventory</v>
      </c>
      <c r="K2788" s="8" t="str">
        <f aca="false">TEXT(ROW(), "0000")</f>
        <v>2788</v>
      </c>
      <c r="L2788" s="8"/>
    </row>
    <row r="2789" customFormat="false" ht="15.75" hidden="false" customHeight="true" outlineLevel="0" collapsed="false">
      <c r="A2789" s="7" t="n">
        <v>45851</v>
      </c>
      <c r="B2789" s="8" t="s">
        <v>22</v>
      </c>
      <c r="C2789" s="9" t="n">
        <v>110</v>
      </c>
      <c r="D2789" s="8" t="s">
        <v>45</v>
      </c>
      <c r="E2789" s="10" t="s">
        <v>213</v>
      </c>
      <c r="F2789" s="8" t="str">
        <f aca="false">TEXT(A2789,"MM-YYYY")</f>
        <v>07-2025</v>
      </c>
      <c r="G2789" s="8" t="s">
        <v>14</v>
      </c>
      <c r="H2789" s="8" t="s">
        <v>15</v>
      </c>
      <c r="I2789" s="7" t="n">
        <v>45851</v>
      </c>
      <c r="J2789" s="8" t="str">
        <f aca="false">VLOOKUP(B2789, Table3[#All], 2, FALSE())</f>
        <v>Inventory</v>
      </c>
      <c r="K2789" s="8" t="str">
        <f aca="false">TEXT(ROW(), "0000")</f>
        <v>2789</v>
      </c>
      <c r="L2789" s="8"/>
    </row>
    <row r="2790" customFormat="false" ht="15.75" hidden="false" customHeight="true" outlineLevel="0" collapsed="false">
      <c r="A2790" s="7" t="n">
        <v>45851</v>
      </c>
      <c r="B2790" s="8" t="s">
        <v>29</v>
      </c>
      <c r="C2790" s="9" t="n">
        <v>583</v>
      </c>
      <c r="D2790" s="8" t="s">
        <v>13</v>
      </c>
      <c r="E2790" s="10" t="s">
        <v>302</v>
      </c>
      <c r="F2790" s="8" t="str">
        <f aca="false">TEXT(A2790,"MM-YYYY")</f>
        <v>07-2025</v>
      </c>
      <c r="G2790" s="8" t="s">
        <v>18</v>
      </c>
      <c r="H2790" s="8"/>
      <c r="I2790" s="7"/>
      <c r="J2790" s="8" t="str">
        <f aca="false">VLOOKUP(B2790, Table3[#All], 2, FALSE())</f>
        <v>Inventory</v>
      </c>
      <c r="K2790" s="8" t="str">
        <f aca="false">TEXT(ROW(), "0000")</f>
        <v>2790</v>
      </c>
      <c r="L2790" s="8"/>
    </row>
    <row r="2791" customFormat="false" ht="15.75" hidden="false" customHeight="true" outlineLevel="0" collapsed="false">
      <c r="A2791" s="7" t="n">
        <v>45851</v>
      </c>
      <c r="B2791" s="8" t="s">
        <v>32</v>
      </c>
      <c r="C2791" s="9" t="n">
        <v>210</v>
      </c>
      <c r="D2791" s="8" t="s">
        <v>45</v>
      </c>
      <c r="E2791" s="10" t="s">
        <v>38</v>
      </c>
      <c r="F2791" s="8" t="str">
        <f aca="false">TEXT(A2791,"MM-YYYY")</f>
        <v>07-2025</v>
      </c>
      <c r="G2791" s="8" t="s">
        <v>14</v>
      </c>
      <c r="H2791" s="8" t="s">
        <v>15</v>
      </c>
      <c r="I2791" s="7" t="n">
        <v>45851</v>
      </c>
      <c r="J2791" s="8" t="str">
        <f aca="false">VLOOKUP(B2791, Table3[#All], 2, FALSE())</f>
        <v>Grocery</v>
      </c>
      <c r="K2791" s="8" t="str">
        <f aca="false">TEXT(ROW(), "0000")</f>
        <v>2791</v>
      </c>
      <c r="L2791" s="8"/>
    </row>
    <row r="2792" customFormat="false" ht="15.75" hidden="false" customHeight="true" outlineLevel="0" collapsed="false">
      <c r="A2792" s="7" t="n">
        <v>45851</v>
      </c>
      <c r="B2792" s="8" t="s">
        <v>44</v>
      </c>
      <c r="C2792" s="9" t="n">
        <v>500</v>
      </c>
      <c r="D2792" s="8" t="s">
        <v>45</v>
      </c>
      <c r="E2792" s="10" t="s">
        <v>354</v>
      </c>
      <c r="F2792" s="8" t="str">
        <f aca="false">TEXT(A2792,"MM-YYYY")</f>
        <v>07-2025</v>
      </c>
      <c r="G2792" s="8" t="s">
        <v>14</v>
      </c>
      <c r="H2792" s="8" t="s">
        <v>15</v>
      </c>
      <c r="I2792" s="7" t="n">
        <v>45851</v>
      </c>
      <c r="J2792" s="8" t="str">
        <f aca="false">VLOOKUP(B2792, Table3[#All], 2, FALSE())</f>
        <v>Salary</v>
      </c>
      <c r="K2792" s="8" t="str">
        <f aca="false">TEXT(ROW(), "0000")</f>
        <v>2792</v>
      </c>
      <c r="L2792" s="8"/>
    </row>
    <row r="2793" customFormat="false" ht="15.75" hidden="false" customHeight="true" outlineLevel="0" collapsed="false">
      <c r="A2793" s="7" t="n">
        <v>45851</v>
      </c>
      <c r="B2793" s="8" t="s">
        <v>19</v>
      </c>
      <c r="C2793" s="9" t="n">
        <v>3825</v>
      </c>
      <c r="D2793" s="8" t="s">
        <v>13</v>
      </c>
      <c r="E2793" s="10" t="s">
        <v>20</v>
      </c>
      <c r="F2793" s="8" t="str">
        <f aca="false">TEXT(A2793,"MM-YYYY")</f>
        <v>07-2025</v>
      </c>
      <c r="G2793" s="8" t="s">
        <v>14</v>
      </c>
      <c r="H2793" s="8" t="s">
        <v>13</v>
      </c>
      <c r="I2793" s="7" t="n">
        <v>45858</v>
      </c>
      <c r="J2793" s="8" t="str">
        <f aca="false">VLOOKUP(B2793, Table3[#All], 2, FALSE())</f>
        <v>Inventory</v>
      </c>
      <c r="K2793" s="8" t="str">
        <f aca="false">TEXT(ROW(), "0000")</f>
        <v>2793</v>
      </c>
      <c r="L2793" s="8"/>
    </row>
    <row r="2794" customFormat="false" ht="15.75" hidden="false" customHeight="true" outlineLevel="0" collapsed="false">
      <c r="A2794" s="7" t="n">
        <v>45851</v>
      </c>
      <c r="B2794" s="8" t="s">
        <v>16</v>
      </c>
      <c r="C2794" s="9" t="n">
        <v>7223</v>
      </c>
      <c r="D2794" s="8" t="s">
        <v>21</v>
      </c>
      <c r="E2794" s="10" t="s">
        <v>88</v>
      </c>
      <c r="F2794" s="8" t="str">
        <f aca="false">TEXT(A2794,"MM-YYYY")</f>
        <v>07-2025</v>
      </c>
      <c r="G2794" s="8"/>
      <c r="H2794" s="8"/>
      <c r="I2794" s="7"/>
      <c r="J2794" s="8" t="str">
        <f aca="false">VLOOKUP(B2794, Table3[#All], 2, FALSE())</f>
        <v>Sales</v>
      </c>
      <c r="K2794" s="8" t="str">
        <f aca="false">TEXT(ROW(), "0000")</f>
        <v>2794</v>
      </c>
      <c r="L2794" s="8"/>
    </row>
    <row r="2795" customFormat="false" ht="15.75" hidden="false" customHeight="true" outlineLevel="0" collapsed="false">
      <c r="A2795" s="7" t="n">
        <v>45851</v>
      </c>
      <c r="B2795" s="8" t="s">
        <v>16</v>
      </c>
      <c r="C2795" s="9" t="n">
        <v>360</v>
      </c>
      <c r="D2795" s="8" t="s">
        <v>27</v>
      </c>
      <c r="E2795" s="10" t="s">
        <v>88</v>
      </c>
      <c r="F2795" s="8" t="str">
        <f aca="false">TEXT(A2795,"MM-YYYY")</f>
        <v>07-2025</v>
      </c>
      <c r="G2795" s="8"/>
      <c r="H2795" s="8"/>
      <c r="I2795" s="7"/>
      <c r="J2795" s="8" t="str">
        <f aca="false">VLOOKUP(B2795, Table3[#All], 2, FALSE())</f>
        <v>Sales</v>
      </c>
      <c r="K2795" s="8" t="str">
        <f aca="false">TEXT(ROW(), "0000")</f>
        <v>2795</v>
      </c>
      <c r="L2795" s="8"/>
    </row>
    <row r="2796" customFormat="false" ht="15.75" hidden="false" customHeight="true" outlineLevel="0" collapsed="false">
      <c r="A2796" s="7" t="n">
        <v>45851</v>
      </c>
      <c r="B2796" s="8" t="s">
        <v>16</v>
      </c>
      <c r="C2796" s="9" t="n">
        <v>3159</v>
      </c>
      <c r="D2796" s="8" t="s">
        <v>33</v>
      </c>
      <c r="E2796" s="10" t="s">
        <v>88</v>
      </c>
      <c r="F2796" s="8" t="str">
        <f aca="false">TEXT(A2796,"MM-YYYY")</f>
        <v>07-2025</v>
      </c>
      <c r="G2796" s="8"/>
      <c r="H2796" s="8"/>
      <c r="I2796" s="7"/>
      <c r="J2796" s="8" t="str">
        <f aca="false">VLOOKUP(B2796, Table3[#All], 2, FALSE())</f>
        <v>Sales</v>
      </c>
      <c r="K2796" s="8" t="str">
        <f aca="false">TEXT(ROW(), "0000")</f>
        <v>2796</v>
      </c>
      <c r="L2796" s="8"/>
    </row>
    <row r="2797" customFormat="false" ht="15.75" hidden="false" customHeight="true" outlineLevel="0" collapsed="false">
      <c r="A2797" s="7" t="n">
        <v>45851</v>
      </c>
      <c r="B2797" s="8" t="s">
        <v>16</v>
      </c>
      <c r="C2797" s="9" t="n">
        <v>12810</v>
      </c>
      <c r="D2797" s="8" t="s">
        <v>17</v>
      </c>
      <c r="E2797" s="10" t="s">
        <v>88</v>
      </c>
      <c r="F2797" s="8" t="str">
        <f aca="false">TEXT(A2797,"MM-YYYY")</f>
        <v>07-2025</v>
      </c>
      <c r="G2797" s="8"/>
      <c r="H2797" s="8"/>
      <c r="I2797" s="7"/>
      <c r="J2797" s="8" t="str">
        <f aca="false">VLOOKUP(B2797, Table3[#All], 2, FALSE())</f>
        <v>Sales</v>
      </c>
      <c r="K2797" s="8" t="str">
        <f aca="false">TEXT(ROW(), "0000")</f>
        <v>2797</v>
      </c>
      <c r="L2797" s="8"/>
    </row>
    <row r="2798" customFormat="false" ht="15.75" hidden="false" customHeight="true" outlineLevel="0" collapsed="false">
      <c r="A2798" s="7" t="n">
        <v>45851</v>
      </c>
      <c r="B2798" s="8" t="s">
        <v>16</v>
      </c>
      <c r="C2798" s="9" t="n">
        <v>559</v>
      </c>
      <c r="D2798" s="8" t="s">
        <v>59</v>
      </c>
      <c r="E2798" s="10" t="s">
        <v>88</v>
      </c>
      <c r="F2798" s="8" t="str">
        <f aca="false">TEXT(A2798,"MM-YYYY")</f>
        <v>07-2025</v>
      </c>
      <c r="G2798" s="8"/>
      <c r="H2798" s="8"/>
      <c r="I2798" s="7"/>
      <c r="J2798" s="8" t="str">
        <f aca="false">VLOOKUP(B2798, Table3[#All], 2, FALSE())</f>
        <v>Sales</v>
      </c>
      <c r="K2798" s="8" t="str">
        <f aca="false">TEXT(ROW(), "0000")</f>
        <v>2798</v>
      </c>
      <c r="L2798" s="8"/>
    </row>
    <row r="2799" customFormat="false" ht="15.75" hidden="false" customHeight="true" outlineLevel="0" collapsed="false">
      <c r="A2799" s="7" t="n">
        <v>45851</v>
      </c>
      <c r="B2799" s="8" t="s">
        <v>16</v>
      </c>
      <c r="C2799" s="9" t="n">
        <v>2350</v>
      </c>
      <c r="D2799" s="8" t="s">
        <v>24</v>
      </c>
      <c r="E2799" s="10" t="s">
        <v>217</v>
      </c>
      <c r="F2799" s="8" t="str">
        <f aca="false">TEXT(A2799,"MM-YYYY")</f>
        <v>07-2025</v>
      </c>
      <c r="G2799" s="8"/>
      <c r="H2799" s="8"/>
      <c r="I2799" s="7"/>
      <c r="J2799" s="8" t="str">
        <f aca="false">VLOOKUP(B2799, Table3[#All], 2, FALSE())</f>
        <v>Sales</v>
      </c>
      <c r="K2799" s="8" t="str">
        <f aca="false">TEXT(ROW(), "0000")</f>
        <v>2799</v>
      </c>
      <c r="L2799" s="8"/>
    </row>
    <row r="2800" customFormat="false" ht="15.75" hidden="false" customHeight="true" outlineLevel="0" collapsed="false">
      <c r="A2800" s="7" t="n">
        <v>45851</v>
      </c>
      <c r="B2800" s="8" t="s">
        <v>44</v>
      </c>
      <c r="C2800" s="9" t="n">
        <v>3000</v>
      </c>
      <c r="D2800" s="8" t="s">
        <v>45</v>
      </c>
      <c r="E2800" s="10" t="s">
        <v>112</v>
      </c>
      <c r="F2800" s="8" t="str">
        <f aca="false">TEXT(A2800,"MM-YYYY")</f>
        <v>07-2025</v>
      </c>
      <c r="G2800" s="8" t="s">
        <v>14</v>
      </c>
      <c r="H2800" s="8" t="s">
        <v>15</v>
      </c>
      <c r="I2800" s="7" t="n">
        <v>45851</v>
      </c>
      <c r="J2800" s="8" t="str">
        <f aca="false">VLOOKUP(B2800, Table3[#All], 2, FALSE())</f>
        <v>Salary</v>
      </c>
      <c r="K2800" s="8" t="str">
        <f aca="false">TEXT(ROW(), "0000")</f>
        <v>2800</v>
      </c>
      <c r="L2800" s="8"/>
    </row>
    <row r="2801" customFormat="false" ht="15.75" hidden="false" customHeight="true" outlineLevel="0" collapsed="false">
      <c r="A2801" s="7" t="n">
        <v>45851</v>
      </c>
      <c r="B2801" s="8" t="s">
        <v>34</v>
      </c>
      <c r="C2801" s="9" t="n">
        <v>103</v>
      </c>
      <c r="D2801" s="8" t="s">
        <v>21</v>
      </c>
      <c r="E2801" s="10" t="s">
        <v>274</v>
      </c>
      <c r="F2801" s="8" t="str">
        <f aca="false">TEXT(A2801,"MM-YYYY")</f>
        <v>07-2025</v>
      </c>
      <c r="G2801" s="8" t="s">
        <v>14</v>
      </c>
      <c r="H2801" s="8" t="s">
        <v>15</v>
      </c>
      <c r="I2801" s="7" t="n">
        <v>45851</v>
      </c>
      <c r="J2801" s="8" t="str">
        <f aca="false">VLOOKUP(B2801, Table3[#All], 2, FALSE())</f>
        <v>Staff Expenses</v>
      </c>
      <c r="K2801" s="8" t="str">
        <f aca="false">TEXT(ROW(), "0000")</f>
        <v>2801</v>
      </c>
      <c r="L2801" s="8"/>
    </row>
    <row r="2802" customFormat="false" ht="15.75" hidden="false" customHeight="true" outlineLevel="0" collapsed="false">
      <c r="A2802" s="7" t="n">
        <v>45852</v>
      </c>
      <c r="B2802" s="8" t="s">
        <v>22</v>
      </c>
      <c r="C2802" s="9" t="n">
        <v>200</v>
      </c>
      <c r="D2802" s="8" t="s">
        <v>13</v>
      </c>
      <c r="E2802" s="10" t="s">
        <v>23</v>
      </c>
      <c r="F2802" s="8" t="str">
        <f aca="false">TEXT(A2802,"MM-YYYY")</f>
        <v>07-2025</v>
      </c>
      <c r="G2802" s="8" t="s">
        <v>14</v>
      </c>
      <c r="H2802" s="8" t="s">
        <v>13</v>
      </c>
      <c r="I2802" s="7" t="n">
        <v>45861</v>
      </c>
      <c r="J2802" s="8" t="str">
        <f aca="false">VLOOKUP(B2802, Table3[#All], 2, FALSE())</f>
        <v>Inventory</v>
      </c>
      <c r="K2802" s="8" t="str">
        <f aca="false">TEXT(ROW(), "0000")</f>
        <v>2802</v>
      </c>
      <c r="L2802" s="8"/>
    </row>
    <row r="2803" customFormat="false" ht="15.75" hidden="false" customHeight="true" outlineLevel="0" collapsed="false">
      <c r="A2803" s="7" t="n">
        <v>45852</v>
      </c>
      <c r="B2803" s="8" t="s">
        <v>50</v>
      </c>
      <c r="C2803" s="9" t="n">
        <v>1678</v>
      </c>
      <c r="D2803" s="8" t="s">
        <v>13</v>
      </c>
      <c r="E2803" s="10" t="s">
        <v>263</v>
      </c>
      <c r="F2803" s="8" t="str">
        <f aca="false">TEXT(A2803,"MM-YYYY")</f>
        <v>07-2025</v>
      </c>
      <c r="G2803" s="8" t="s">
        <v>14</v>
      </c>
      <c r="H2803" s="8" t="s">
        <v>13</v>
      </c>
      <c r="I2803" s="7" t="n">
        <v>45864</v>
      </c>
      <c r="J2803" s="8" t="str">
        <f aca="false">VLOOKUP(B2803, Table3[#All], 2, FALSE())</f>
        <v>Fixed Maintance</v>
      </c>
      <c r="K2803" s="8" t="str">
        <f aca="false">TEXT(ROW(), "0000")</f>
        <v>2803</v>
      </c>
      <c r="L2803" s="8"/>
    </row>
    <row r="2804" customFormat="false" ht="15.75" hidden="false" customHeight="true" outlineLevel="0" collapsed="false">
      <c r="A2804" s="7" t="n">
        <v>45852</v>
      </c>
      <c r="B2804" s="8" t="s">
        <v>29</v>
      </c>
      <c r="C2804" s="9" t="n">
        <v>327</v>
      </c>
      <c r="D2804" s="8" t="s">
        <v>13</v>
      </c>
      <c r="E2804" s="10" t="s">
        <v>302</v>
      </c>
      <c r="F2804" s="8" t="str">
        <f aca="false">TEXT(A2804,"MM-YYYY")</f>
        <v>07-2025</v>
      </c>
      <c r="G2804" s="8" t="s">
        <v>18</v>
      </c>
      <c r="H2804" s="8"/>
      <c r="I2804" s="7"/>
      <c r="J2804" s="8" t="str">
        <f aca="false">VLOOKUP(B2804, Table3[#All], 2, FALSE())</f>
        <v>Inventory</v>
      </c>
      <c r="K2804" s="8" t="str">
        <f aca="false">TEXT(ROW(), "0000")</f>
        <v>2804</v>
      </c>
      <c r="L2804" s="8"/>
    </row>
    <row r="2805" customFormat="false" ht="15.75" hidden="false" customHeight="true" outlineLevel="0" collapsed="false">
      <c r="A2805" s="7" t="n">
        <v>45852</v>
      </c>
      <c r="B2805" s="8" t="s">
        <v>19</v>
      </c>
      <c r="C2805" s="9" t="n">
        <v>3586</v>
      </c>
      <c r="D2805" s="8" t="s">
        <v>13</v>
      </c>
      <c r="E2805" s="10" t="s">
        <v>20</v>
      </c>
      <c r="F2805" s="8" t="str">
        <f aca="false">TEXT(A2805,"MM-YYYY")</f>
        <v>07-2025</v>
      </c>
      <c r="G2805" s="8" t="s">
        <v>14</v>
      </c>
      <c r="H2805" s="8" t="s">
        <v>13</v>
      </c>
      <c r="I2805" s="7" t="n">
        <v>45858</v>
      </c>
      <c r="J2805" s="8" t="str">
        <f aca="false">VLOOKUP(B2805, Table3[#All], 2, FALSE())</f>
        <v>Inventory</v>
      </c>
      <c r="K2805" s="8" t="str">
        <f aca="false">TEXT(ROW(), "0000")</f>
        <v>2805</v>
      </c>
      <c r="L2805" s="8"/>
    </row>
    <row r="2806" customFormat="false" ht="15.75" hidden="false" customHeight="true" outlineLevel="0" collapsed="false">
      <c r="A2806" s="7" t="n">
        <v>45852</v>
      </c>
      <c r="B2806" s="8" t="s">
        <v>25</v>
      </c>
      <c r="C2806" s="9" t="n">
        <v>962</v>
      </c>
      <c r="D2806" s="8" t="s">
        <v>13</v>
      </c>
      <c r="E2806" s="10" t="s">
        <v>360</v>
      </c>
      <c r="F2806" s="8" t="str">
        <f aca="false">TEXT(A2806,"MM-YYYY")</f>
        <v>07-2025</v>
      </c>
      <c r="G2806" s="8" t="s">
        <v>18</v>
      </c>
      <c r="H2806" s="8"/>
      <c r="I2806" s="7"/>
      <c r="J2806" s="8" t="str">
        <f aca="false">VLOOKUP(B2806, Table3[#All], 2, FALSE())</f>
        <v>Inventory</v>
      </c>
      <c r="K2806" s="8" t="str">
        <f aca="false">TEXT(ROW(), "0000")</f>
        <v>2806</v>
      </c>
      <c r="L2806" s="8"/>
    </row>
    <row r="2807" customFormat="false" ht="15.75" hidden="false" customHeight="true" outlineLevel="0" collapsed="false">
      <c r="A2807" s="7" t="n">
        <v>45852</v>
      </c>
      <c r="B2807" s="8" t="s">
        <v>47</v>
      </c>
      <c r="C2807" s="9" t="n">
        <v>900</v>
      </c>
      <c r="D2807" s="8" t="s">
        <v>13</v>
      </c>
      <c r="E2807" s="10" t="s">
        <v>339</v>
      </c>
      <c r="F2807" s="8" t="str">
        <f aca="false">TEXT(A2807,"MM-YYYY")</f>
        <v>07-2025</v>
      </c>
      <c r="G2807" s="8" t="s">
        <v>14</v>
      </c>
      <c r="H2807" s="8" t="s">
        <v>13</v>
      </c>
      <c r="I2807" s="7" t="n">
        <v>45857</v>
      </c>
      <c r="J2807" s="8" t="str">
        <f aca="false">VLOOKUP(B2807, Table3[#All], 2, FALSE())</f>
        <v>Inventory</v>
      </c>
      <c r="K2807" s="8" t="str">
        <f aca="false">TEXT(ROW(), "0000")</f>
        <v>2807</v>
      </c>
      <c r="L2807" s="8"/>
    </row>
    <row r="2808" customFormat="false" ht="15.75" hidden="false" customHeight="true" outlineLevel="0" collapsed="false">
      <c r="A2808" s="7" t="n">
        <v>45852</v>
      </c>
      <c r="B2808" s="8" t="s">
        <v>32</v>
      </c>
      <c r="C2808" s="9" t="n">
        <v>210</v>
      </c>
      <c r="D2808" s="8" t="s">
        <v>45</v>
      </c>
      <c r="E2808" s="10" t="s">
        <v>38</v>
      </c>
      <c r="F2808" s="8" t="str">
        <f aca="false">TEXT(A2808,"MM-YYYY")</f>
        <v>07-2025</v>
      </c>
      <c r="G2808" s="8" t="s">
        <v>14</v>
      </c>
      <c r="H2808" s="8" t="s">
        <v>15</v>
      </c>
      <c r="I2808" s="7" t="n">
        <v>45852</v>
      </c>
      <c r="J2808" s="8" t="str">
        <f aca="false">VLOOKUP(B2808, Table3[#All], 2, FALSE())</f>
        <v>Grocery</v>
      </c>
      <c r="K2808" s="8" t="str">
        <f aca="false">TEXT(ROW(), "0000")</f>
        <v>2808</v>
      </c>
      <c r="L2808" s="8"/>
    </row>
    <row r="2809" customFormat="false" ht="15.75" hidden="false" customHeight="true" outlineLevel="0" collapsed="false">
      <c r="A2809" s="7" t="n">
        <v>45852</v>
      </c>
      <c r="B2809" s="8" t="s">
        <v>37</v>
      </c>
      <c r="C2809" s="9" t="n">
        <v>50</v>
      </c>
      <c r="D2809" s="8" t="s">
        <v>21</v>
      </c>
      <c r="E2809" s="8" t="s">
        <v>37</v>
      </c>
      <c r="F2809" s="8" t="str">
        <f aca="false">TEXT(A2809,"MM-YYYY")</f>
        <v>07-2025</v>
      </c>
      <c r="G2809" s="8" t="s">
        <v>14</v>
      </c>
      <c r="H2809" s="8" t="s">
        <v>15</v>
      </c>
      <c r="I2809" s="7" t="n">
        <v>45852</v>
      </c>
      <c r="J2809" s="8" t="str">
        <f aca="false">VLOOKUP(B2809, Table3[#All], 2, FALSE())</f>
        <v>Maintance</v>
      </c>
      <c r="K2809" s="8" t="str">
        <f aca="false">TEXT(ROW(), "0000")</f>
        <v>2809</v>
      </c>
      <c r="L2809" s="8"/>
    </row>
    <row r="2810" customFormat="false" ht="15.75" hidden="false" customHeight="true" outlineLevel="0" collapsed="false">
      <c r="A2810" s="7" t="n">
        <v>45852</v>
      </c>
      <c r="B2810" s="8" t="s">
        <v>16</v>
      </c>
      <c r="C2810" s="9" t="n">
        <v>860</v>
      </c>
      <c r="D2810" s="8" t="s">
        <v>21</v>
      </c>
      <c r="E2810" s="10" t="s">
        <v>88</v>
      </c>
      <c r="F2810" s="8" t="str">
        <f aca="false">TEXT(A2810,"MM-YYYY")</f>
        <v>07-2025</v>
      </c>
      <c r="G2810" s="8"/>
      <c r="H2810" s="8"/>
      <c r="I2810" s="7"/>
      <c r="J2810" s="8" t="str">
        <f aca="false">VLOOKUP(B2810, Table3[#All], 2, FALSE())</f>
        <v>Sales</v>
      </c>
      <c r="K2810" s="8" t="str">
        <f aca="false">TEXT(ROW(), "0000")</f>
        <v>2810</v>
      </c>
      <c r="L2810" s="8"/>
    </row>
    <row r="2811" customFormat="false" ht="15.75" hidden="false" customHeight="true" outlineLevel="0" collapsed="false">
      <c r="A2811" s="7" t="n">
        <v>45852</v>
      </c>
      <c r="B2811" s="8" t="s">
        <v>16</v>
      </c>
      <c r="C2811" s="9" t="n">
        <v>715</v>
      </c>
      <c r="D2811" s="8" t="s">
        <v>27</v>
      </c>
      <c r="E2811" s="10" t="s">
        <v>88</v>
      </c>
      <c r="F2811" s="8" t="str">
        <f aca="false">TEXT(A2811,"MM-YYYY")</f>
        <v>07-2025</v>
      </c>
      <c r="G2811" s="8"/>
      <c r="H2811" s="8"/>
      <c r="I2811" s="7"/>
      <c r="J2811" s="8" t="str">
        <f aca="false">VLOOKUP(B2811, Table3[#All], 2, FALSE())</f>
        <v>Sales</v>
      </c>
      <c r="K2811" s="8" t="str">
        <f aca="false">TEXT(ROW(), "0000")</f>
        <v>2811</v>
      </c>
      <c r="L2811" s="8"/>
    </row>
    <row r="2812" customFormat="false" ht="15.75" hidden="false" customHeight="true" outlineLevel="0" collapsed="false">
      <c r="A2812" s="7" t="n">
        <v>45852</v>
      </c>
      <c r="B2812" s="8" t="s">
        <v>16</v>
      </c>
      <c r="C2812" s="9" t="n">
        <v>170</v>
      </c>
      <c r="D2812" s="8" t="s">
        <v>33</v>
      </c>
      <c r="E2812" s="10" t="s">
        <v>88</v>
      </c>
      <c r="F2812" s="8" t="str">
        <f aca="false">TEXT(A2812,"MM-YYYY")</f>
        <v>07-2025</v>
      </c>
      <c r="G2812" s="8"/>
      <c r="H2812" s="8"/>
      <c r="I2812" s="7"/>
      <c r="J2812" s="8" t="str">
        <f aca="false">VLOOKUP(B2812, Table3[#All], 2, FALSE())</f>
        <v>Sales</v>
      </c>
      <c r="K2812" s="8" t="str">
        <f aca="false">TEXT(ROW(), "0000")</f>
        <v>2812</v>
      </c>
      <c r="L2812" s="8"/>
    </row>
    <row r="2813" customFormat="false" ht="15.75" hidden="false" customHeight="true" outlineLevel="0" collapsed="false">
      <c r="A2813" s="7" t="n">
        <v>45852</v>
      </c>
      <c r="B2813" s="8" t="s">
        <v>16</v>
      </c>
      <c r="C2813" s="9" t="n">
        <v>6980</v>
      </c>
      <c r="D2813" s="8" t="s">
        <v>17</v>
      </c>
      <c r="E2813" s="10" t="s">
        <v>88</v>
      </c>
      <c r="F2813" s="8" t="str">
        <f aca="false">TEXT(A2813,"MM-YYYY")</f>
        <v>07-2025</v>
      </c>
      <c r="G2813" s="8"/>
      <c r="H2813" s="8"/>
      <c r="I2813" s="7"/>
      <c r="J2813" s="8" t="str">
        <f aca="false">VLOOKUP(B2813, Table3[#All], 2, FALSE())</f>
        <v>Sales</v>
      </c>
      <c r="K2813" s="8" t="str">
        <f aca="false">TEXT(ROW(), "0000")</f>
        <v>2813</v>
      </c>
      <c r="L2813" s="8"/>
    </row>
    <row r="2814" customFormat="false" ht="15.75" hidden="false" customHeight="true" outlineLevel="0" collapsed="false">
      <c r="A2814" s="7" t="n">
        <v>45852</v>
      </c>
      <c r="B2814" s="8" t="s">
        <v>16</v>
      </c>
      <c r="C2814" s="9" t="n">
        <v>1800</v>
      </c>
      <c r="D2814" s="8" t="s">
        <v>24</v>
      </c>
      <c r="E2814" s="10" t="s">
        <v>217</v>
      </c>
      <c r="F2814" s="8" t="str">
        <f aca="false">TEXT(A2814,"MM-YYYY")</f>
        <v>07-2025</v>
      </c>
      <c r="G2814" s="8"/>
      <c r="H2814" s="8"/>
      <c r="I2814" s="7"/>
      <c r="J2814" s="8" t="str">
        <f aca="false">VLOOKUP(B2814, Table3[#All], 2, FALSE())</f>
        <v>Sales</v>
      </c>
      <c r="K2814" s="8" t="str">
        <f aca="false">TEXT(ROW(), "0000")</f>
        <v>2814</v>
      </c>
      <c r="L2814" s="8"/>
    </row>
    <row r="2815" customFormat="false" ht="15.75" hidden="false" customHeight="true" outlineLevel="0" collapsed="false">
      <c r="A2815" s="7" t="n">
        <v>45853</v>
      </c>
      <c r="B2815" s="8" t="s">
        <v>19</v>
      </c>
      <c r="C2815" s="9" t="n">
        <v>1935</v>
      </c>
      <c r="D2815" s="8" t="s">
        <v>13</v>
      </c>
      <c r="E2815" s="10" t="s">
        <v>20</v>
      </c>
      <c r="F2815" s="8" t="str">
        <f aca="false">TEXT(A2815,"MM-YYYY")</f>
        <v>07-2025</v>
      </c>
      <c r="G2815" s="8" t="s">
        <v>14</v>
      </c>
      <c r="H2815" s="8" t="s">
        <v>13</v>
      </c>
      <c r="I2815" s="7" t="n">
        <v>45858</v>
      </c>
      <c r="J2815" s="8" t="str">
        <f aca="false">VLOOKUP(B2815, Table3[#All], 2, FALSE())</f>
        <v>Inventory</v>
      </c>
      <c r="K2815" s="8" t="str">
        <f aca="false">TEXT(ROW(), "0000")</f>
        <v>2815</v>
      </c>
      <c r="L2815" s="8"/>
    </row>
    <row r="2816" customFormat="false" ht="15.75" hidden="false" customHeight="true" outlineLevel="0" collapsed="false">
      <c r="A2816" s="7" t="n">
        <v>45853</v>
      </c>
      <c r="B2816" s="8" t="s">
        <v>29</v>
      </c>
      <c r="C2816" s="9" t="n">
        <v>100</v>
      </c>
      <c r="D2816" s="8" t="s">
        <v>13</v>
      </c>
      <c r="E2816" s="10" t="s">
        <v>302</v>
      </c>
      <c r="F2816" s="8" t="str">
        <f aca="false">TEXT(A2816,"MM-YYYY")</f>
        <v>07-2025</v>
      </c>
      <c r="G2816" s="8" t="s">
        <v>18</v>
      </c>
      <c r="H2816" s="8"/>
      <c r="I2816" s="7"/>
      <c r="J2816" s="8" t="str">
        <f aca="false">VLOOKUP(B2816, Table3[#All], 2, FALSE())</f>
        <v>Inventory</v>
      </c>
      <c r="K2816" s="8" t="str">
        <f aca="false">TEXT(ROW(), "0000")</f>
        <v>2816</v>
      </c>
      <c r="L2816" s="8"/>
    </row>
    <row r="2817" customFormat="false" ht="15.75" hidden="false" customHeight="true" outlineLevel="0" collapsed="false">
      <c r="A2817" s="7" t="n">
        <v>45853</v>
      </c>
      <c r="B2817" s="8" t="s">
        <v>25</v>
      </c>
      <c r="C2817" s="9" t="n">
        <v>711</v>
      </c>
      <c r="D2817" s="8" t="s">
        <v>13</v>
      </c>
      <c r="E2817" s="10" t="s">
        <v>360</v>
      </c>
      <c r="F2817" s="8" t="str">
        <f aca="false">TEXT(A2817,"MM-YYYY")</f>
        <v>07-2025</v>
      </c>
      <c r="G2817" s="8" t="s">
        <v>18</v>
      </c>
      <c r="H2817" s="8"/>
      <c r="I2817" s="7"/>
      <c r="J2817" s="8" t="str">
        <f aca="false">VLOOKUP(B2817, Table3[#All], 2, FALSE())</f>
        <v>Inventory</v>
      </c>
      <c r="K2817" s="8" t="str">
        <f aca="false">TEXT(ROW(), "0000")</f>
        <v>2817</v>
      </c>
      <c r="L2817" s="8"/>
    </row>
    <row r="2818" customFormat="false" ht="15.75" hidden="false" customHeight="true" outlineLevel="0" collapsed="false">
      <c r="A2818" s="7" t="n">
        <v>45853</v>
      </c>
      <c r="B2818" s="8" t="s">
        <v>22</v>
      </c>
      <c r="C2818" s="9" t="n">
        <v>165</v>
      </c>
      <c r="D2818" s="8" t="s">
        <v>45</v>
      </c>
      <c r="E2818" s="10" t="s">
        <v>213</v>
      </c>
      <c r="F2818" s="8" t="str">
        <f aca="false">TEXT(A2818,"MM-YYYY")</f>
        <v>07-2025</v>
      </c>
      <c r="G2818" s="8" t="s">
        <v>14</v>
      </c>
      <c r="H2818" s="8" t="s">
        <v>15</v>
      </c>
      <c r="I2818" s="7" t="n">
        <v>45853</v>
      </c>
      <c r="J2818" s="8" t="str">
        <f aca="false">VLOOKUP(B2818, Table3[#All], 2, FALSE())</f>
        <v>Inventory</v>
      </c>
      <c r="K2818" s="8" t="str">
        <f aca="false">TEXT(ROW(), "0000")</f>
        <v>2818</v>
      </c>
      <c r="L2818" s="8"/>
    </row>
    <row r="2819" customFormat="false" ht="15.75" hidden="false" customHeight="true" outlineLevel="0" collapsed="false">
      <c r="A2819" s="7" t="n">
        <v>45853</v>
      </c>
      <c r="B2819" s="8" t="s">
        <v>28</v>
      </c>
      <c r="C2819" s="9" t="n">
        <v>1020</v>
      </c>
      <c r="D2819" s="8" t="s">
        <v>45</v>
      </c>
      <c r="E2819" s="10" t="s">
        <v>93</v>
      </c>
      <c r="F2819" s="8" t="str">
        <f aca="false">TEXT(A2819,"MM-YYYY")</f>
        <v>07-2025</v>
      </c>
      <c r="G2819" s="8" t="s">
        <v>14</v>
      </c>
      <c r="H2819" s="8" t="s">
        <v>15</v>
      </c>
      <c r="I2819" s="7" t="n">
        <v>45853</v>
      </c>
      <c r="J2819" s="8" t="str">
        <f aca="false">VLOOKUP(B2819, Table3[#All], 2, FALSE())</f>
        <v>Grocery</v>
      </c>
      <c r="K2819" s="8" t="str">
        <f aca="false">TEXT(ROW(), "0000")</f>
        <v>2819</v>
      </c>
      <c r="L2819" s="8"/>
    </row>
    <row r="2820" customFormat="false" ht="15.75" hidden="false" customHeight="true" outlineLevel="0" collapsed="false">
      <c r="A2820" s="7" t="n">
        <v>45853</v>
      </c>
      <c r="B2820" s="8" t="s">
        <v>16</v>
      </c>
      <c r="C2820" s="9" t="n">
        <v>3053</v>
      </c>
      <c r="D2820" s="8" t="s">
        <v>21</v>
      </c>
      <c r="E2820" s="10" t="s">
        <v>88</v>
      </c>
      <c r="F2820" s="8" t="str">
        <f aca="false">TEXT(A2820,"MM-YYYY")</f>
        <v>07-2025</v>
      </c>
      <c r="G2820" s="8"/>
      <c r="H2820" s="8"/>
      <c r="I2820" s="7"/>
      <c r="J2820" s="8" t="str">
        <f aca="false">VLOOKUP(B2820, Table3[#All], 2, FALSE())</f>
        <v>Sales</v>
      </c>
      <c r="K2820" s="8" t="str">
        <f aca="false">TEXT(ROW(), "0000")</f>
        <v>2820</v>
      </c>
      <c r="L2820" s="8"/>
    </row>
    <row r="2821" customFormat="false" ht="15.75" hidden="false" customHeight="true" outlineLevel="0" collapsed="false">
      <c r="A2821" s="7" t="n">
        <v>45853</v>
      </c>
      <c r="B2821" s="8" t="s">
        <v>16</v>
      </c>
      <c r="C2821" s="9" t="n">
        <v>60</v>
      </c>
      <c r="D2821" s="8" t="s">
        <v>33</v>
      </c>
      <c r="E2821" s="10" t="s">
        <v>88</v>
      </c>
      <c r="F2821" s="8" t="str">
        <f aca="false">TEXT(A2821,"MM-YYYY")</f>
        <v>07-2025</v>
      </c>
      <c r="G2821" s="8"/>
      <c r="H2821" s="8"/>
      <c r="I2821" s="7"/>
      <c r="J2821" s="8" t="str">
        <f aca="false">VLOOKUP(B2821, Table3[#All], 2, FALSE())</f>
        <v>Sales</v>
      </c>
      <c r="K2821" s="8" t="str">
        <f aca="false">TEXT(ROW(), "0000")</f>
        <v>2821</v>
      </c>
      <c r="L2821" s="8"/>
    </row>
    <row r="2822" customFormat="false" ht="15.75" hidden="false" customHeight="true" outlineLevel="0" collapsed="false">
      <c r="A2822" s="7" t="n">
        <v>45853</v>
      </c>
      <c r="B2822" s="8" t="s">
        <v>16</v>
      </c>
      <c r="C2822" s="9" t="n">
        <v>9143</v>
      </c>
      <c r="D2822" s="8" t="s">
        <v>17</v>
      </c>
      <c r="E2822" s="10" t="s">
        <v>88</v>
      </c>
      <c r="F2822" s="8" t="str">
        <f aca="false">TEXT(A2822,"MM-YYYY")</f>
        <v>07-2025</v>
      </c>
      <c r="G2822" s="8"/>
      <c r="H2822" s="8"/>
      <c r="I2822" s="7"/>
      <c r="J2822" s="8" t="str">
        <f aca="false">VLOOKUP(B2822, Table3[#All], 2, FALSE())</f>
        <v>Sales</v>
      </c>
      <c r="K2822" s="8" t="str">
        <f aca="false">TEXT(ROW(), "0000")</f>
        <v>2822</v>
      </c>
      <c r="L2822" s="8"/>
    </row>
    <row r="2823" customFormat="false" ht="15.75" hidden="false" customHeight="true" outlineLevel="0" collapsed="false">
      <c r="A2823" s="7" t="n">
        <v>45853</v>
      </c>
      <c r="B2823" s="8" t="s">
        <v>16</v>
      </c>
      <c r="C2823" s="9" t="n">
        <v>2472</v>
      </c>
      <c r="D2823" s="8" t="s">
        <v>24</v>
      </c>
      <c r="E2823" s="10" t="s">
        <v>217</v>
      </c>
      <c r="F2823" s="8" t="str">
        <f aca="false">TEXT(A2823,"MM-YYYY")</f>
        <v>07-2025</v>
      </c>
      <c r="G2823" s="8"/>
      <c r="H2823" s="8"/>
      <c r="I2823" s="7"/>
      <c r="J2823" s="8" t="str">
        <f aca="false">VLOOKUP(B2823, Table3[#All], 2, FALSE())</f>
        <v>Sales</v>
      </c>
      <c r="K2823" s="8" t="str">
        <f aca="false">TEXT(ROW(), "0000")</f>
        <v>2823</v>
      </c>
      <c r="L2823" s="8"/>
    </row>
    <row r="2824" customFormat="false" ht="15.75" hidden="false" customHeight="true" outlineLevel="0" collapsed="false">
      <c r="A2824" s="7" t="n">
        <v>45853</v>
      </c>
      <c r="B2824" s="8" t="s">
        <v>34</v>
      </c>
      <c r="C2824" s="9" t="n">
        <v>118</v>
      </c>
      <c r="D2824" s="8" t="s">
        <v>21</v>
      </c>
      <c r="E2824" s="10" t="s">
        <v>274</v>
      </c>
      <c r="F2824" s="8" t="str">
        <f aca="false">TEXT(A2824,"MM-YYYY")</f>
        <v>07-2025</v>
      </c>
      <c r="G2824" s="8" t="s">
        <v>14</v>
      </c>
      <c r="H2824" s="8" t="s">
        <v>15</v>
      </c>
      <c r="I2824" s="7" t="n">
        <v>45853</v>
      </c>
      <c r="J2824" s="8" t="str">
        <f aca="false">VLOOKUP(B2824, Table3[#All], 2, FALSE())</f>
        <v>Staff Expenses</v>
      </c>
      <c r="K2824" s="8" t="str">
        <f aca="false">TEXT(ROW(), "0000")</f>
        <v>2824</v>
      </c>
      <c r="L2824" s="8"/>
    </row>
    <row r="2825" customFormat="false" ht="15.75" hidden="false" customHeight="true" outlineLevel="0" collapsed="false">
      <c r="A2825" s="7" t="n">
        <v>45853</v>
      </c>
      <c r="B2825" s="8" t="s">
        <v>44</v>
      </c>
      <c r="C2825" s="9" t="n">
        <v>100</v>
      </c>
      <c r="D2825" s="8" t="s">
        <v>45</v>
      </c>
      <c r="E2825" s="10" t="s">
        <v>86</v>
      </c>
      <c r="F2825" s="8" t="str">
        <f aca="false">TEXT(A2825,"MM-YYYY")</f>
        <v>07-2025</v>
      </c>
      <c r="G2825" s="8" t="s">
        <v>14</v>
      </c>
      <c r="H2825" s="8" t="s">
        <v>15</v>
      </c>
      <c r="I2825" s="7" t="n">
        <v>45853</v>
      </c>
      <c r="J2825" s="8" t="str">
        <f aca="false">VLOOKUP(B2825, Table3[#All], 2, FALSE())</f>
        <v>Salary</v>
      </c>
      <c r="K2825" s="8" t="str">
        <f aca="false">TEXT(ROW(), "0000")</f>
        <v>2825</v>
      </c>
      <c r="L2825" s="8"/>
    </row>
    <row r="2826" customFormat="false" ht="15.75" hidden="false" customHeight="true" outlineLevel="0" collapsed="false">
      <c r="A2826" s="7" t="n">
        <v>45854</v>
      </c>
      <c r="B2826" s="8" t="s">
        <v>22</v>
      </c>
      <c r="C2826" s="9" t="n">
        <v>3170</v>
      </c>
      <c r="D2826" s="8" t="s">
        <v>13</v>
      </c>
      <c r="E2826" s="10" t="s">
        <v>23</v>
      </c>
      <c r="F2826" s="8" t="str">
        <f aca="false">TEXT(A2826,"MM-YYYY")</f>
        <v>07-2025</v>
      </c>
      <c r="G2826" s="8" t="s">
        <v>14</v>
      </c>
      <c r="H2826" s="8" t="s">
        <v>13</v>
      </c>
      <c r="I2826" s="7" t="n">
        <v>45861</v>
      </c>
      <c r="J2826" s="8" t="str">
        <f aca="false">VLOOKUP(B2826, Table3[#All], 2, FALSE())</f>
        <v>Inventory</v>
      </c>
      <c r="K2826" s="8" t="str">
        <f aca="false">TEXT(ROW(), "0000")</f>
        <v>2826</v>
      </c>
      <c r="L2826" s="8"/>
    </row>
    <row r="2827" customFormat="false" ht="15.75" hidden="false" customHeight="true" outlineLevel="0" collapsed="false">
      <c r="A2827" s="7" t="n">
        <v>45854</v>
      </c>
      <c r="B2827" s="8" t="s">
        <v>19</v>
      </c>
      <c r="C2827" s="9" t="n">
        <v>1450</v>
      </c>
      <c r="D2827" s="8" t="s">
        <v>13</v>
      </c>
      <c r="E2827" s="10" t="s">
        <v>20</v>
      </c>
      <c r="F2827" s="8" t="str">
        <f aca="false">TEXT(A2827,"MM-YYYY")</f>
        <v>07-2025</v>
      </c>
      <c r="G2827" s="8" t="s">
        <v>14</v>
      </c>
      <c r="H2827" s="8" t="s">
        <v>13</v>
      </c>
      <c r="I2827" s="7" t="n">
        <v>45861</v>
      </c>
      <c r="J2827" s="8" t="str">
        <f aca="false">VLOOKUP(B2827, Table3[#All], 2, FALSE())</f>
        <v>Inventory</v>
      </c>
      <c r="K2827" s="8" t="str">
        <f aca="false">TEXT(ROW(), "0000")</f>
        <v>2827</v>
      </c>
      <c r="L2827" s="8"/>
    </row>
    <row r="2828" customFormat="false" ht="15.75" hidden="false" customHeight="true" outlineLevel="0" collapsed="false">
      <c r="A2828" s="7" t="n">
        <v>45854</v>
      </c>
      <c r="B2828" s="8" t="s">
        <v>47</v>
      </c>
      <c r="C2828" s="9" t="n">
        <v>1800</v>
      </c>
      <c r="D2828" s="8" t="s">
        <v>13</v>
      </c>
      <c r="E2828" s="10" t="s">
        <v>339</v>
      </c>
      <c r="F2828" s="8" t="str">
        <f aca="false">TEXT(A2828,"MM-YYYY")</f>
        <v>07-2025</v>
      </c>
      <c r="G2828" s="8" t="s">
        <v>14</v>
      </c>
      <c r="H2828" s="8" t="s">
        <v>13</v>
      </c>
      <c r="I2828" s="7" t="n">
        <v>45857</v>
      </c>
      <c r="J2828" s="8" t="str">
        <f aca="false">VLOOKUP(B2828, Table3[#All], 2, FALSE())</f>
        <v>Inventory</v>
      </c>
      <c r="K2828" s="8" t="str">
        <f aca="false">TEXT(ROW(), "0000")</f>
        <v>2828</v>
      </c>
      <c r="L2828" s="8"/>
    </row>
    <row r="2829" customFormat="false" ht="15.75" hidden="false" customHeight="true" outlineLevel="0" collapsed="false">
      <c r="A2829" s="7" t="n">
        <v>45854</v>
      </c>
      <c r="B2829" s="8" t="s">
        <v>25</v>
      </c>
      <c r="C2829" s="9" t="n">
        <v>543</v>
      </c>
      <c r="D2829" s="8" t="s">
        <v>13</v>
      </c>
      <c r="E2829" s="10" t="s">
        <v>360</v>
      </c>
      <c r="F2829" s="8" t="str">
        <f aca="false">TEXT(A2829,"MM-YYYY")</f>
        <v>07-2025</v>
      </c>
      <c r="G2829" s="8" t="s">
        <v>18</v>
      </c>
      <c r="H2829" s="8"/>
      <c r="I2829" s="7"/>
      <c r="J2829" s="8" t="str">
        <f aca="false">VLOOKUP(B2829, Table3[#All], 2, FALSE())</f>
        <v>Inventory</v>
      </c>
      <c r="K2829" s="8" t="str">
        <f aca="false">TEXT(ROW(), "0000")</f>
        <v>2829</v>
      </c>
      <c r="L2829" s="8"/>
    </row>
    <row r="2830" customFormat="false" ht="15.75" hidden="false" customHeight="true" outlineLevel="0" collapsed="false">
      <c r="A2830" s="7" t="n">
        <v>45854</v>
      </c>
      <c r="B2830" s="8" t="s">
        <v>31</v>
      </c>
      <c r="C2830" s="9" t="n">
        <v>370</v>
      </c>
      <c r="D2830" s="8" t="s">
        <v>45</v>
      </c>
      <c r="E2830" s="10" t="s">
        <v>236</v>
      </c>
      <c r="F2830" s="8" t="str">
        <f aca="false">TEXT(A2830,"MM-YYYY")</f>
        <v>07-2025</v>
      </c>
      <c r="G2830" s="8" t="s">
        <v>14</v>
      </c>
      <c r="H2830" s="8" t="s">
        <v>15</v>
      </c>
      <c r="I2830" s="7" t="n">
        <v>45854</v>
      </c>
      <c r="J2830" s="8" t="str">
        <f aca="false">VLOOKUP(B2830, Table3[#All], 2, FALSE())</f>
        <v>Bike Maintance</v>
      </c>
      <c r="K2830" s="8" t="str">
        <f aca="false">TEXT(ROW(), "0000")</f>
        <v>2830</v>
      </c>
      <c r="L2830" s="8"/>
    </row>
    <row r="2831" customFormat="false" ht="15.75" hidden="false" customHeight="true" outlineLevel="0" collapsed="false">
      <c r="A2831" s="7" t="n">
        <v>45854</v>
      </c>
      <c r="B2831" s="8" t="s">
        <v>51</v>
      </c>
      <c r="C2831" s="9" t="n">
        <v>2155</v>
      </c>
      <c r="D2831" s="8" t="s">
        <v>13</v>
      </c>
      <c r="E2831" s="10" t="s">
        <v>226</v>
      </c>
      <c r="F2831" s="8" t="str">
        <f aca="false">TEXT(A2831,"MM-YYYY")</f>
        <v>07-2025</v>
      </c>
      <c r="G2831" s="8" t="s">
        <v>14</v>
      </c>
      <c r="H2831" s="8" t="s">
        <v>15</v>
      </c>
      <c r="I2831" s="7" t="n">
        <v>45864</v>
      </c>
      <c r="J2831" s="8" t="str">
        <f aca="false">VLOOKUP(B2831, Table3[#All], 2, FALSE())</f>
        <v>Inventory</v>
      </c>
      <c r="K2831" s="8" t="str">
        <f aca="false">TEXT(ROW(), "0000")</f>
        <v>2831</v>
      </c>
      <c r="L2831" s="8"/>
    </row>
    <row r="2832" customFormat="false" ht="15.75" hidden="false" customHeight="true" outlineLevel="0" collapsed="false">
      <c r="A2832" s="7" t="n">
        <v>45854</v>
      </c>
      <c r="B2832" s="8" t="s">
        <v>25</v>
      </c>
      <c r="C2832" s="9" t="n">
        <v>570</v>
      </c>
      <c r="D2832" s="8" t="s">
        <v>45</v>
      </c>
      <c r="E2832" s="10" t="s">
        <v>367</v>
      </c>
      <c r="F2832" s="8" t="str">
        <f aca="false">TEXT(A2832,"MM-YYYY")</f>
        <v>07-2025</v>
      </c>
      <c r="G2832" s="8" t="s">
        <v>14</v>
      </c>
      <c r="H2832" s="8" t="s">
        <v>15</v>
      </c>
      <c r="I2832" s="7" t="n">
        <v>45854</v>
      </c>
      <c r="J2832" s="8" t="str">
        <f aca="false">VLOOKUP(B2832, Table3[#All], 2, FALSE())</f>
        <v>Inventory</v>
      </c>
      <c r="K2832" s="8" t="str">
        <f aca="false">TEXT(ROW(), "0000")</f>
        <v>2832</v>
      </c>
      <c r="L2832" s="8"/>
    </row>
    <row r="2833" customFormat="false" ht="15.75" hidden="false" customHeight="true" outlineLevel="0" collapsed="false">
      <c r="A2833" s="7" t="n">
        <v>45854</v>
      </c>
      <c r="B2833" s="8" t="s">
        <v>22</v>
      </c>
      <c r="C2833" s="9" t="n">
        <v>700</v>
      </c>
      <c r="D2833" s="8" t="s">
        <v>45</v>
      </c>
      <c r="E2833" s="10" t="s">
        <v>358</v>
      </c>
      <c r="F2833" s="8" t="str">
        <f aca="false">TEXT(A2833,"MM-YYYY")</f>
        <v>07-2025</v>
      </c>
      <c r="G2833" s="8" t="s">
        <v>14</v>
      </c>
      <c r="H2833" s="8" t="s">
        <v>15</v>
      </c>
      <c r="I2833" s="7" t="n">
        <v>45854</v>
      </c>
      <c r="J2833" s="8" t="str">
        <f aca="false">VLOOKUP(B2833, Table3[#All], 2, FALSE())</f>
        <v>Inventory</v>
      </c>
      <c r="K2833" s="8" t="str">
        <f aca="false">TEXT(ROW(), "0000")</f>
        <v>2833</v>
      </c>
      <c r="L2833" s="8"/>
    </row>
    <row r="2834" customFormat="false" ht="15.75" hidden="false" customHeight="true" outlineLevel="0" collapsed="false">
      <c r="A2834" s="7" t="n">
        <v>45854</v>
      </c>
      <c r="B2834" s="8" t="s">
        <v>32</v>
      </c>
      <c r="C2834" s="9" t="n">
        <v>210</v>
      </c>
      <c r="D2834" s="8" t="s">
        <v>45</v>
      </c>
      <c r="E2834" s="10" t="s">
        <v>38</v>
      </c>
      <c r="F2834" s="8" t="str">
        <f aca="false">TEXT(A2834,"MM-YYYY")</f>
        <v>07-2025</v>
      </c>
      <c r="G2834" s="8" t="s">
        <v>14</v>
      </c>
      <c r="H2834" s="8" t="s">
        <v>15</v>
      </c>
      <c r="I2834" s="7" t="n">
        <v>45854</v>
      </c>
      <c r="J2834" s="8" t="str">
        <f aca="false">VLOOKUP(B2834, Table3[#All], 2, FALSE())</f>
        <v>Grocery</v>
      </c>
      <c r="K2834" s="8" t="str">
        <f aca="false">TEXT(ROW(), "0000")</f>
        <v>2834</v>
      </c>
      <c r="L2834" s="8"/>
    </row>
    <row r="2835" customFormat="false" ht="15.75" hidden="false" customHeight="true" outlineLevel="0" collapsed="false">
      <c r="A2835" s="7" t="n">
        <v>45854</v>
      </c>
      <c r="B2835" s="8" t="s">
        <v>29</v>
      </c>
      <c r="C2835" s="9" t="n">
        <v>331</v>
      </c>
      <c r="D2835" s="8" t="s">
        <v>13</v>
      </c>
      <c r="E2835" s="10" t="s">
        <v>302</v>
      </c>
      <c r="F2835" s="8" t="str">
        <f aca="false">TEXT(A2835,"MM-YYYY")</f>
        <v>07-2025</v>
      </c>
      <c r="G2835" s="8" t="s">
        <v>18</v>
      </c>
      <c r="H2835" s="8"/>
      <c r="I2835" s="7"/>
      <c r="J2835" s="8" t="str">
        <f aca="false">VLOOKUP(B2835, Table3[#All], 2, FALSE())</f>
        <v>Inventory</v>
      </c>
      <c r="K2835" s="8" t="str">
        <f aca="false">TEXT(ROW(), "0000")</f>
        <v>2835</v>
      </c>
      <c r="L2835" s="8"/>
    </row>
    <row r="2836" customFormat="false" ht="15.75" hidden="false" customHeight="true" outlineLevel="0" collapsed="false">
      <c r="A2836" s="7" t="n">
        <v>45854</v>
      </c>
      <c r="B2836" s="8" t="s">
        <v>50</v>
      </c>
      <c r="C2836" s="9" t="n">
        <v>1678</v>
      </c>
      <c r="D2836" s="8" t="s">
        <v>13</v>
      </c>
      <c r="E2836" s="10" t="s">
        <v>263</v>
      </c>
      <c r="F2836" s="8" t="str">
        <f aca="false">TEXT(A2836,"MM-YYYY")</f>
        <v>07-2025</v>
      </c>
      <c r="G2836" s="8" t="s">
        <v>14</v>
      </c>
      <c r="H2836" s="8" t="s">
        <v>13</v>
      </c>
      <c r="I2836" s="7" t="n">
        <v>45864</v>
      </c>
      <c r="J2836" s="8" t="str">
        <f aca="false">VLOOKUP(B2836, Table3[#All], 2, FALSE())</f>
        <v>Fixed Maintance</v>
      </c>
      <c r="K2836" s="8" t="str">
        <f aca="false">TEXT(ROW(), "0000")</f>
        <v>2836</v>
      </c>
      <c r="L2836" s="8"/>
    </row>
    <row r="2837" customFormat="false" ht="15.75" hidden="false" customHeight="true" outlineLevel="0" collapsed="false">
      <c r="A2837" s="7" t="n">
        <v>45854</v>
      </c>
      <c r="B2837" s="8" t="s">
        <v>60</v>
      </c>
      <c r="C2837" s="9" t="n">
        <v>210</v>
      </c>
      <c r="D2837" s="8" t="s">
        <v>45</v>
      </c>
      <c r="E2837" s="10" t="s">
        <v>245</v>
      </c>
      <c r="F2837" s="8" t="str">
        <f aca="false">TEXT(A2837,"MM-YYYY")</f>
        <v>07-2025</v>
      </c>
      <c r="G2837" s="8" t="s">
        <v>14</v>
      </c>
      <c r="H2837" s="8" t="s">
        <v>15</v>
      </c>
      <c r="I2837" s="7" t="n">
        <v>45854</v>
      </c>
      <c r="J2837" s="8" t="str">
        <f aca="false">VLOOKUP(B2837, Table3[#All], 2, FALSE())</f>
        <v>Inventory</v>
      </c>
      <c r="K2837" s="8" t="str">
        <f aca="false">TEXT(ROW(), "0000")</f>
        <v>2837</v>
      </c>
      <c r="L2837" s="8"/>
    </row>
    <row r="2838" customFormat="false" ht="15.75" hidden="false" customHeight="true" outlineLevel="0" collapsed="false">
      <c r="A2838" s="7" t="n">
        <v>45854</v>
      </c>
      <c r="B2838" s="8" t="s">
        <v>201</v>
      </c>
      <c r="C2838" s="9" t="n">
        <v>1950</v>
      </c>
      <c r="D2838" s="8" t="s">
        <v>13</v>
      </c>
      <c r="E2838" s="8" t="s">
        <v>201</v>
      </c>
      <c r="F2838" s="8" t="str">
        <f aca="false">TEXT(A2838,"MM-YYYY")</f>
        <v>07-2025</v>
      </c>
      <c r="G2838" s="8" t="s">
        <v>14</v>
      </c>
      <c r="H2838" s="8" t="s">
        <v>13</v>
      </c>
      <c r="I2838" s="7" t="n">
        <v>45854</v>
      </c>
      <c r="J2838" s="8" t="str">
        <f aca="false">VLOOKUP(B2838, Table3[#All], 2, FALSE())</f>
        <v>Inventory</v>
      </c>
      <c r="K2838" s="8" t="str">
        <f aca="false">TEXT(ROW(), "0000")</f>
        <v>2838</v>
      </c>
      <c r="L2838" s="8"/>
    </row>
    <row r="2839" customFormat="false" ht="15.75" hidden="false" customHeight="true" outlineLevel="0" collapsed="false">
      <c r="A2839" s="7" t="n">
        <v>45854</v>
      </c>
      <c r="B2839" s="8" t="s">
        <v>16</v>
      </c>
      <c r="C2839" s="9" t="n">
        <v>5329</v>
      </c>
      <c r="D2839" s="8" t="s">
        <v>21</v>
      </c>
      <c r="E2839" s="10" t="s">
        <v>88</v>
      </c>
      <c r="F2839" s="8" t="str">
        <f aca="false">TEXT(A2839,"MM-YYYY")</f>
        <v>07-2025</v>
      </c>
      <c r="G2839" s="8"/>
      <c r="H2839" s="8"/>
      <c r="I2839" s="7"/>
      <c r="J2839" s="8" t="str">
        <f aca="false">VLOOKUP(B2839, Table3[#All], 2, FALSE())</f>
        <v>Sales</v>
      </c>
      <c r="K2839" s="8" t="str">
        <f aca="false">TEXT(ROW(), "0000")</f>
        <v>2839</v>
      </c>
      <c r="L2839" s="8"/>
    </row>
    <row r="2840" customFormat="false" ht="15.75" hidden="false" customHeight="true" outlineLevel="0" collapsed="false">
      <c r="A2840" s="7" t="n">
        <v>45854</v>
      </c>
      <c r="B2840" s="8" t="s">
        <v>16</v>
      </c>
      <c r="C2840" s="9" t="n">
        <v>430</v>
      </c>
      <c r="D2840" s="8" t="s">
        <v>27</v>
      </c>
      <c r="E2840" s="10" t="s">
        <v>88</v>
      </c>
      <c r="F2840" s="8" t="str">
        <f aca="false">TEXT(A2840,"MM-YYYY")</f>
        <v>07-2025</v>
      </c>
      <c r="G2840" s="8"/>
      <c r="H2840" s="8"/>
      <c r="I2840" s="7"/>
      <c r="J2840" s="8" t="str">
        <f aca="false">VLOOKUP(B2840, Table3[#All], 2, FALSE())</f>
        <v>Sales</v>
      </c>
      <c r="K2840" s="8" t="str">
        <f aca="false">TEXT(ROW(), "0000")</f>
        <v>2840</v>
      </c>
      <c r="L2840" s="8"/>
    </row>
    <row r="2841" customFormat="false" ht="15.75" hidden="false" customHeight="true" outlineLevel="0" collapsed="false">
      <c r="A2841" s="7" t="n">
        <v>45854</v>
      </c>
      <c r="B2841" s="8" t="s">
        <v>16</v>
      </c>
      <c r="C2841" s="9" t="n">
        <v>95</v>
      </c>
      <c r="D2841" s="8" t="s">
        <v>33</v>
      </c>
      <c r="E2841" s="10" t="s">
        <v>88</v>
      </c>
      <c r="F2841" s="8" t="str">
        <f aca="false">TEXT(A2841,"MM-YYYY")</f>
        <v>07-2025</v>
      </c>
      <c r="G2841" s="8"/>
      <c r="H2841" s="8"/>
      <c r="I2841" s="7"/>
      <c r="J2841" s="8" t="str">
        <f aca="false">VLOOKUP(B2841, Table3[#All], 2, FALSE())</f>
        <v>Sales</v>
      </c>
      <c r="K2841" s="8" t="str">
        <f aca="false">TEXT(ROW(), "0000")</f>
        <v>2841</v>
      </c>
      <c r="L2841" s="8"/>
    </row>
    <row r="2842" customFormat="false" ht="15.75" hidden="false" customHeight="true" outlineLevel="0" collapsed="false">
      <c r="A2842" s="7" t="n">
        <v>45854</v>
      </c>
      <c r="B2842" s="8" t="s">
        <v>16</v>
      </c>
      <c r="C2842" s="9" t="n">
        <v>14075</v>
      </c>
      <c r="D2842" s="8" t="s">
        <v>17</v>
      </c>
      <c r="E2842" s="10" t="s">
        <v>88</v>
      </c>
      <c r="F2842" s="8" t="str">
        <f aca="false">TEXT(A2842,"MM-YYYY")</f>
        <v>07-2025</v>
      </c>
      <c r="G2842" s="8"/>
      <c r="H2842" s="8"/>
      <c r="I2842" s="7"/>
      <c r="J2842" s="8" t="str">
        <f aca="false">VLOOKUP(B2842, Table3[#All], 2, FALSE())</f>
        <v>Sales</v>
      </c>
      <c r="K2842" s="8" t="str">
        <f aca="false">TEXT(ROW(), "0000")</f>
        <v>2842</v>
      </c>
      <c r="L2842" s="8"/>
    </row>
    <row r="2843" customFormat="false" ht="15.75" hidden="false" customHeight="true" outlineLevel="0" collapsed="false">
      <c r="A2843" s="7" t="n">
        <v>45854</v>
      </c>
      <c r="B2843" s="8" t="s">
        <v>16</v>
      </c>
      <c r="C2843" s="9" t="n">
        <v>1280</v>
      </c>
      <c r="D2843" s="8" t="s">
        <v>24</v>
      </c>
      <c r="E2843" s="10" t="s">
        <v>217</v>
      </c>
      <c r="F2843" s="8" t="str">
        <f aca="false">TEXT(A2843,"MM-YYYY")</f>
        <v>07-2025</v>
      </c>
      <c r="G2843" s="8"/>
      <c r="H2843" s="8"/>
      <c r="I2843" s="7"/>
      <c r="J2843" s="8" t="str">
        <f aca="false">VLOOKUP(B2843, Table3[#All], 2, FALSE())</f>
        <v>Sales</v>
      </c>
      <c r="K2843" s="8" t="str">
        <f aca="false">TEXT(ROW(), "0000")</f>
        <v>2843</v>
      </c>
      <c r="L2843" s="8"/>
    </row>
    <row r="2844" customFormat="false" ht="15.75" hidden="false" customHeight="true" outlineLevel="0" collapsed="false">
      <c r="A2844" s="7" t="n">
        <v>45854</v>
      </c>
      <c r="B2844" s="8" t="s">
        <v>34</v>
      </c>
      <c r="C2844" s="9" t="n">
        <v>69</v>
      </c>
      <c r="D2844" s="8" t="s">
        <v>21</v>
      </c>
      <c r="E2844" s="10" t="s">
        <v>274</v>
      </c>
      <c r="F2844" s="8" t="str">
        <f aca="false">TEXT(A2844,"MM-YYYY")</f>
        <v>07-2025</v>
      </c>
      <c r="G2844" s="8" t="s">
        <v>14</v>
      </c>
      <c r="H2844" s="8" t="s">
        <v>15</v>
      </c>
      <c r="I2844" s="7" t="n">
        <v>45854</v>
      </c>
      <c r="J2844" s="8" t="str">
        <f aca="false">VLOOKUP(B2844, Table3[#All], 2, FALSE())</f>
        <v>Staff Expenses</v>
      </c>
      <c r="K2844" s="8" t="str">
        <f aca="false">TEXT(ROW(), "0000")</f>
        <v>2844</v>
      </c>
      <c r="L2844" s="8"/>
    </row>
    <row r="2845" customFormat="false" ht="15.75" hidden="false" customHeight="true" outlineLevel="0" collapsed="false">
      <c r="A2845" s="7" t="n">
        <v>45855</v>
      </c>
      <c r="B2845" s="8" t="s">
        <v>19</v>
      </c>
      <c r="C2845" s="9" t="n">
        <v>3768</v>
      </c>
      <c r="D2845" s="8" t="s">
        <v>13</v>
      </c>
      <c r="E2845" s="10" t="s">
        <v>20</v>
      </c>
      <c r="F2845" s="8" t="str">
        <f aca="false">TEXT(A2845,"MM-YYYY")</f>
        <v>07-2025</v>
      </c>
      <c r="G2845" s="8" t="s">
        <v>14</v>
      </c>
      <c r="H2845" s="8" t="s">
        <v>13</v>
      </c>
      <c r="I2845" s="7" t="n">
        <v>45861</v>
      </c>
      <c r="J2845" s="8" t="str">
        <f aca="false">VLOOKUP(B2845, Table3[#All], 2, FALSE())</f>
        <v>Inventory</v>
      </c>
      <c r="K2845" s="8" t="str">
        <f aca="false">TEXT(ROW(), "0000")</f>
        <v>2845</v>
      </c>
      <c r="L2845" s="8"/>
    </row>
    <row r="2846" customFormat="false" ht="15.75" hidden="false" customHeight="true" outlineLevel="0" collapsed="false">
      <c r="A2846" s="7" t="n">
        <v>45855</v>
      </c>
      <c r="B2846" s="8" t="s">
        <v>22</v>
      </c>
      <c r="C2846" s="9" t="n">
        <v>2923</v>
      </c>
      <c r="D2846" s="8" t="s">
        <v>13</v>
      </c>
      <c r="E2846" s="10" t="s">
        <v>23</v>
      </c>
      <c r="F2846" s="8" t="str">
        <f aca="false">TEXT(A2846,"MM-YYYY")</f>
        <v>07-2025</v>
      </c>
      <c r="G2846" s="8" t="s">
        <v>14</v>
      </c>
      <c r="H2846" s="8" t="s">
        <v>13</v>
      </c>
      <c r="I2846" s="7" t="n">
        <v>45861</v>
      </c>
      <c r="J2846" s="8" t="str">
        <f aca="false">VLOOKUP(B2846, Table3[#All], 2, FALSE())</f>
        <v>Inventory</v>
      </c>
      <c r="K2846" s="8" t="str">
        <f aca="false">TEXT(ROW(), "0000")</f>
        <v>2846</v>
      </c>
      <c r="L2846" s="8"/>
    </row>
    <row r="2847" customFormat="false" ht="15.75" hidden="false" customHeight="true" outlineLevel="0" collapsed="false">
      <c r="A2847" s="7" t="n">
        <v>45855</v>
      </c>
      <c r="B2847" s="8" t="s">
        <v>25</v>
      </c>
      <c r="C2847" s="9" t="n">
        <v>1448</v>
      </c>
      <c r="D2847" s="8" t="s">
        <v>13</v>
      </c>
      <c r="E2847" s="10" t="s">
        <v>360</v>
      </c>
      <c r="F2847" s="8" t="str">
        <f aca="false">TEXT(A2847,"MM-YYYY")</f>
        <v>07-2025</v>
      </c>
      <c r="G2847" s="8" t="s">
        <v>18</v>
      </c>
      <c r="H2847" s="8"/>
      <c r="I2847" s="7"/>
      <c r="J2847" s="8" t="str">
        <f aca="false">VLOOKUP(B2847, Table3[#All], 2, FALSE())</f>
        <v>Inventory</v>
      </c>
      <c r="K2847" s="8" t="str">
        <f aca="false">TEXT(ROW(), "0000")</f>
        <v>2847</v>
      </c>
      <c r="L2847" s="8"/>
    </row>
    <row r="2848" customFormat="false" ht="15.75" hidden="false" customHeight="true" outlineLevel="0" collapsed="false">
      <c r="A2848" s="7" t="n">
        <v>45855</v>
      </c>
      <c r="B2848" s="8" t="s">
        <v>32</v>
      </c>
      <c r="C2848" s="9" t="n">
        <v>350</v>
      </c>
      <c r="D2848" s="8" t="s">
        <v>45</v>
      </c>
      <c r="E2848" s="10" t="s">
        <v>38</v>
      </c>
      <c r="F2848" s="8" t="str">
        <f aca="false">TEXT(A2848,"MM-YYYY")</f>
        <v>07-2025</v>
      </c>
      <c r="G2848" s="8" t="s">
        <v>14</v>
      </c>
      <c r="H2848" s="8" t="s">
        <v>15</v>
      </c>
      <c r="I2848" s="7" t="n">
        <v>45855</v>
      </c>
      <c r="J2848" s="8" t="str">
        <f aca="false">VLOOKUP(B2848, Table3[#All], 2, FALSE())</f>
        <v>Grocery</v>
      </c>
      <c r="K2848" s="8" t="str">
        <f aca="false">TEXT(ROW(), "0000")</f>
        <v>2848</v>
      </c>
      <c r="L2848" s="8"/>
    </row>
    <row r="2849" customFormat="false" ht="15.75" hidden="false" customHeight="true" outlineLevel="0" collapsed="false">
      <c r="A2849" s="7" t="n">
        <v>45855</v>
      </c>
      <c r="B2849" s="8" t="s">
        <v>53</v>
      </c>
      <c r="C2849" s="9" t="n">
        <v>1200</v>
      </c>
      <c r="D2849" s="8" t="s">
        <v>45</v>
      </c>
      <c r="E2849" s="10" t="s">
        <v>55</v>
      </c>
      <c r="F2849" s="8" t="str">
        <f aca="false">TEXT(A2849,"MM-YYYY")</f>
        <v>07-2025</v>
      </c>
      <c r="G2849" s="8" t="s">
        <v>14</v>
      </c>
      <c r="H2849" s="8" t="s">
        <v>15</v>
      </c>
      <c r="I2849" s="7" t="n">
        <v>45855</v>
      </c>
      <c r="J2849" s="8" t="str">
        <f aca="false">VLOOKUP(B2849, Table3[#All], 2, FALSE())</f>
        <v>Grocery</v>
      </c>
      <c r="K2849" s="8" t="str">
        <f aca="false">TEXT(ROW(), "0000")</f>
        <v>2849</v>
      </c>
      <c r="L2849" s="8"/>
    </row>
    <row r="2850" customFormat="false" ht="15.75" hidden="false" customHeight="true" outlineLevel="0" collapsed="false">
      <c r="A2850" s="7" t="n">
        <v>45855</v>
      </c>
      <c r="B2850" s="8" t="s">
        <v>43</v>
      </c>
      <c r="C2850" s="9" t="n">
        <v>50</v>
      </c>
      <c r="D2850" s="8" t="s">
        <v>45</v>
      </c>
      <c r="E2850" s="10" t="s">
        <v>368</v>
      </c>
      <c r="F2850" s="8" t="str">
        <f aca="false">TEXT(A2850,"MM-YYYY")</f>
        <v>07-2025</v>
      </c>
      <c r="G2850" s="8" t="s">
        <v>14</v>
      </c>
      <c r="H2850" s="8" t="s">
        <v>15</v>
      </c>
      <c r="I2850" s="7" t="n">
        <v>45855</v>
      </c>
      <c r="J2850" s="8" t="str">
        <f aca="false">VLOOKUP(B2850, Table3[#All], 2, FALSE())</f>
        <v>Maintance</v>
      </c>
      <c r="K2850" s="8" t="str">
        <f aca="false">TEXT(ROW(), "0000")</f>
        <v>2850</v>
      </c>
      <c r="L2850" s="8"/>
    </row>
    <row r="2851" customFormat="false" ht="15.75" hidden="false" customHeight="true" outlineLevel="0" collapsed="false">
      <c r="A2851" s="7" t="n">
        <v>45855</v>
      </c>
      <c r="B2851" s="8" t="s">
        <v>29</v>
      </c>
      <c r="C2851" s="9" t="n">
        <v>237</v>
      </c>
      <c r="D2851" s="8" t="s">
        <v>13</v>
      </c>
      <c r="E2851" s="10" t="s">
        <v>302</v>
      </c>
      <c r="F2851" s="8" t="str">
        <f aca="false">TEXT(A2851,"MM-YYYY")</f>
        <v>07-2025</v>
      </c>
      <c r="G2851" s="8" t="s">
        <v>18</v>
      </c>
      <c r="H2851" s="8"/>
      <c r="I2851" s="7"/>
      <c r="J2851" s="8" t="str">
        <f aca="false">VLOOKUP(B2851, Table3[#All], 2, FALSE())</f>
        <v>Inventory</v>
      </c>
      <c r="K2851" s="8" t="str">
        <f aca="false">TEXT(ROW(), "0000")</f>
        <v>2851</v>
      </c>
      <c r="L2851" s="8"/>
    </row>
    <row r="2852" customFormat="false" ht="15.75" hidden="false" customHeight="true" outlineLevel="0" collapsed="false">
      <c r="A2852" s="7" t="n">
        <v>45855</v>
      </c>
      <c r="B2852" s="8" t="s">
        <v>37</v>
      </c>
      <c r="C2852" s="9" t="n">
        <v>100</v>
      </c>
      <c r="D2852" s="8" t="s">
        <v>45</v>
      </c>
      <c r="E2852" s="8" t="s">
        <v>37</v>
      </c>
      <c r="F2852" s="8" t="str">
        <f aca="false">TEXT(A2852,"MM-YYYY")</f>
        <v>07-2025</v>
      </c>
      <c r="G2852" s="8" t="s">
        <v>14</v>
      </c>
      <c r="H2852" s="8" t="s">
        <v>15</v>
      </c>
      <c r="I2852" s="7" t="n">
        <v>45855</v>
      </c>
      <c r="J2852" s="8" t="str">
        <f aca="false">VLOOKUP(B2852, Table3[#All], 2, FALSE())</f>
        <v>Maintance</v>
      </c>
      <c r="K2852" s="8" t="str">
        <f aca="false">TEXT(ROW(), "0000")</f>
        <v>2852</v>
      </c>
      <c r="L2852" s="8"/>
    </row>
    <row r="2853" customFormat="false" ht="15.75" hidden="false" customHeight="true" outlineLevel="0" collapsed="false">
      <c r="A2853" s="7" t="n">
        <v>45855</v>
      </c>
      <c r="B2853" s="8" t="s">
        <v>16</v>
      </c>
      <c r="C2853" s="9" t="n">
        <v>3555</v>
      </c>
      <c r="D2853" s="8" t="s">
        <v>21</v>
      </c>
      <c r="E2853" s="10" t="s">
        <v>88</v>
      </c>
      <c r="F2853" s="8" t="str">
        <f aca="false">TEXT(A2853,"MM-YYYY")</f>
        <v>07-2025</v>
      </c>
      <c r="G2853" s="8"/>
      <c r="H2853" s="8"/>
      <c r="I2853" s="7"/>
      <c r="J2853" s="8" t="str">
        <f aca="false">VLOOKUP(B2853, Table3[#All], 2, FALSE())</f>
        <v>Sales</v>
      </c>
      <c r="K2853" s="8" t="str">
        <f aca="false">TEXT(ROW(), "0000")</f>
        <v>2853</v>
      </c>
      <c r="L2853" s="8"/>
    </row>
    <row r="2854" customFormat="false" ht="15.75" hidden="false" customHeight="true" outlineLevel="0" collapsed="false">
      <c r="A2854" s="7" t="n">
        <v>45855</v>
      </c>
      <c r="B2854" s="8" t="s">
        <v>16</v>
      </c>
      <c r="C2854" s="9" t="n">
        <v>1135</v>
      </c>
      <c r="D2854" s="8" t="s">
        <v>27</v>
      </c>
      <c r="E2854" s="10" t="s">
        <v>88</v>
      </c>
      <c r="F2854" s="8" t="str">
        <f aca="false">TEXT(A2854,"MM-YYYY")</f>
        <v>07-2025</v>
      </c>
      <c r="G2854" s="8"/>
      <c r="H2854" s="8"/>
      <c r="I2854" s="7"/>
      <c r="J2854" s="8" t="str">
        <f aca="false">VLOOKUP(B2854, Table3[#All], 2, FALSE())</f>
        <v>Sales</v>
      </c>
      <c r="K2854" s="8" t="str">
        <f aca="false">TEXT(ROW(), "0000")</f>
        <v>2854</v>
      </c>
      <c r="L2854" s="8"/>
    </row>
    <row r="2855" customFormat="false" ht="15.75" hidden="false" customHeight="true" outlineLevel="0" collapsed="false">
      <c r="A2855" s="7" t="n">
        <v>45855</v>
      </c>
      <c r="B2855" s="8" t="s">
        <v>16</v>
      </c>
      <c r="C2855" s="9" t="n">
        <v>500</v>
      </c>
      <c r="D2855" s="8" t="s">
        <v>33</v>
      </c>
      <c r="E2855" s="10" t="s">
        <v>88</v>
      </c>
      <c r="F2855" s="8" t="str">
        <f aca="false">TEXT(A2855,"MM-YYYY")</f>
        <v>07-2025</v>
      </c>
      <c r="G2855" s="8"/>
      <c r="H2855" s="8"/>
      <c r="I2855" s="7"/>
      <c r="J2855" s="8" t="str">
        <f aca="false">VLOOKUP(B2855, Table3[#All], 2, FALSE())</f>
        <v>Sales</v>
      </c>
      <c r="K2855" s="8" t="str">
        <f aca="false">TEXT(ROW(), "0000")</f>
        <v>2855</v>
      </c>
      <c r="L2855" s="8"/>
    </row>
    <row r="2856" customFormat="false" ht="15.75" hidden="false" customHeight="true" outlineLevel="0" collapsed="false">
      <c r="A2856" s="7" t="n">
        <v>45855</v>
      </c>
      <c r="B2856" s="8" t="s">
        <v>16</v>
      </c>
      <c r="C2856" s="9" t="n">
        <v>6989</v>
      </c>
      <c r="D2856" s="8" t="s">
        <v>17</v>
      </c>
      <c r="E2856" s="10" t="s">
        <v>88</v>
      </c>
      <c r="F2856" s="8" t="str">
        <f aca="false">TEXT(A2856,"MM-YYYY")</f>
        <v>07-2025</v>
      </c>
      <c r="G2856" s="8"/>
      <c r="H2856" s="8"/>
      <c r="I2856" s="7"/>
      <c r="J2856" s="8" t="str">
        <f aca="false">VLOOKUP(B2856, Table3[#All], 2, FALSE())</f>
        <v>Sales</v>
      </c>
      <c r="K2856" s="8" t="str">
        <f aca="false">TEXT(ROW(), "0000")</f>
        <v>2856</v>
      </c>
      <c r="L2856" s="8"/>
    </row>
    <row r="2857" customFormat="false" ht="15.75" hidden="false" customHeight="true" outlineLevel="0" collapsed="false">
      <c r="A2857" s="7" t="n">
        <v>45855</v>
      </c>
      <c r="B2857" s="8" t="s">
        <v>16</v>
      </c>
      <c r="C2857" s="9" t="n">
        <v>854</v>
      </c>
      <c r="D2857" s="8" t="s">
        <v>24</v>
      </c>
      <c r="E2857" s="10" t="s">
        <v>88</v>
      </c>
      <c r="F2857" s="8" t="str">
        <f aca="false">TEXT(A2857,"MM-YYYY")</f>
        <v>07-2025</v>
      </c>
      <c r="G2857" s="8"/>
      <c r="H2857" s="8"/>
      <c r="I2857" s="7"/>
      <c r="J2857" s="8" t="str">
        <f aca="false">VLOOKUP(B2857, Table3[#All], 2, FALSE())</f>
        <v>Sales</v>
      </c>
      <c r="K2857" s="8" t="str">
        <f aca="false">TEXT(ROW(), "0000")</f>
        <v>2857</v>
      </c>
      <c r="L2857" s="8"/>
    </row>
    <row r="2858" customFormat="false" ht="15.75" hidden="false" customHeight="true" outlineLevel="0" collapsed="false">
      <c r="A2858" s="7" t="n">
        <v>45855</v>
      </c>
      <c r="B2858" s="8" t="s">
        <v>34</v>
      </c>
      <c r="C2858" s="9" t="n">
        <v>55</v>
      </c>
      <c r="D2858" s="8" t="s">
        <v>21</v>
      </c>
      <c r="E2858" s="10" t="s">
        <v>217</v>
      </c>
      <c r="F2858" s="8" t="str">
        <f aca="false">TEXT(A2858,"MM-YYYY")</f>
        <v>07-2025</v>
      </c>
      <c r="G2858" s="8" t="s">
        <v>14</v>
      </c>
      <c r="H2858" s="8" t="s">
        <v>15</v>
      </c>
      <c r="I2858" s="7" t="n">
        <v>45855</v>
      </c>
      <c r="J2858" s="8" t="str">
        <f aca="false">VLOOKUP(B2858, Table3[#All], 2, FALSE())</f>
        <v>Staff Expenses</v>
      </c>
      <c r="K2858" s="8" t="str">
        <f aca="false">TEXT(ROW(), "0000")</f>
        <v>2858</v>
      </c>
      <c r="L2858" s="8"/>
    </row>
    <row r="2859" customFormat="false" ht="15.75" hidden="false" customHeight="true" outlineLevel="0" collapsed="false">
      <c r="A2859" s="7" t="n">
        <v>45856</v>
      </c>
      <c r="B2859" s="8" t="s">
        <v>22</v>
      </c>
      <c r="C2859" s="9" t="n">
        <v>653</v>
      </c>
      <c r="D2859" s="8" t="s">
        <v>13</v>
      </c>
      <c r="E2859" s="10" t="s">
        <v>23</v>
      </c>
      <c r="F2859" s="8" t="str">
        <f aca="false">TEXT(A2859,"MM-YYYY")</f>
        <v>07-2025</v>
      </c>
      <c r="G2859" s="8" t="s">
        <v>14</v>
      </c>
      <c r="H2859" s="8" t="s">
        <v>13</v>
      </c>
      <c r="I2859" s="7" t="n">
        <v>45861</v>
      </c>
      <c r="J2859" s="8" t="str">
        <f aca="false">VLOOKUP(B2859, Table3[#All], 2, FALSE())</f>
        <v>Inventory</v>
      </c>
      <c r="K2859" s="8" t="str">
        <f aca="false">TEXT(ROW(), "0000")</f>
        <v>2859</v>
      </c>
      <c r="L2859" s="8"/>
    </row>
    <row r="2860" customFormat="false" ht="15.75" hidden="false" customHeight="true" outlineLevel="0" collapsed="false">
      <c r="A2860" s="7" t="n">
        <v>45856</v>
      </c>
      <c r="B2860" s="8" t="s">
        <v>47</v>
      </c>
      <c r="C2860" s="9" t="n">
        <v>900</v>
      </c>
      <c r="D2860" s="8" t="s">
        <v>13</v>
      </c>
      <c r="E2860" s="10" t="s">
        <v>339</v>
      </c>
      <c r="F2860" s="8" t="str">
        <f aca="false">TEXT(A2860,"MM-YYYY")</f>
        <v>07-2025</v>
      </c>
      <c r="G2860" s="8" t="s">
        <v>14</v>
      </c>
      <c r="H2860" s="8" t="s">
        <v>13</v>
      </c>
      <c r="I2860" s="7" t="n">
        <v>45870</v>
      </c>
      <c r="J2860" s="8" t="str">
        <f aca="false">VLOOKUP(B2860, Table3[#All], 2, FALSE())</f>
        <v>Inventory</v>
      </c>
      <c r="K2860" s="8" t="str">
        <f aca="false">TEXT(ROW(), "0000")</f>
        <v>2860</v>
      </c>
      <c r="L2860" s="8"/>
    </row>
    <row r="2861" customFormat="false" ht="15.75" hidden="false" customHeight="true" outlineLevel="0" collapsed="false">
      <c r="A2861" s="7" t="n">
        <v>45856</v>
      </c>
      <c r="B2861" s="8" t="s">
        <v>25</v>
      </c>
      <c r="C2861" s="9" t="n">
        <v>610</v>
      </c>
      <c r="D2861" s="8" t="s">
        <v>13</v>
      </c>
      <c r="E2861" s="10" t="s">
        <v>360</v>
      </c>
      <c r="F2861" s="8" t="str">
        <f aca="false">TEXT(A2861,"MM-YYYY")</f>
        <v>07-2025</v>
      </c>
      <c r="G2861" s="8" t="s">
        <v>18</v>
      </c>
      <c r="H2861" s="8"/>
      <c r="I2861" s="7"/>
      <c r="J2861" s="8" t="str">
        <f aca="false">VLOOKUP(B2861, Table3[#All], 2, FALSE())</f>
        <v>Inventory</v>
      </c>
      <c r="K2861" s="8" t="str">
        <f aca="false">TEXT(ROW(), "0000")</f>
        <v>2861</v>
      </c>
      <c r="L2861" s="8"/>
    </row>
    <row r="2862" customFormat="false" ht="15.75" hidden="false" customHeight="true" outlineLevel="0" collapsed="false">
      <c r="A2862" s="7" t="n">
        <v>45856</v>
      </c>
      <c r="B2862" s="8" t="s">
        <v>22</v>
      </c>
      <c r="C2862" s="9" t="n">
        <v>110</v>
      </c>
      <c r="D2862" s="8" t="s">
        <v>45</v>
      </c>
      <c r="E2862" s="10" t="s">
        <v>213</v>
      </c>
      <c r="F2862" s="8" t="str">
        <f aca="false">TEXT(A2862,"MM-YYYY")</f>
        <v>07-2025</v>
      </c>
      <c r="G2862" s="8" t="s">
        <v>14</v>
      </c>
      <c r="H2862" s="8" t="s">
        <v>15</v>
      </c>
      <c r="I2862" s="7" t="n">
        <v>45856</v>
      </c>
      <c r="J2862" s="8" t="str">
        <f aca="false">VLOOKUP(B2862, Table3[#All], 2, FALSE())</f>
        <v>Inventory</v>
      </c>
      <c r="K2862" s="8" t="str">
        <f aca="false">TEXT(ROW(), "0000")</f>
        <v>2862</v>
      </c>
      <c r="L2862" s="8"/>
    </row>
    <row r="2863" customFormat="false" ht="15.75" hidden="false" customHeight="true" outlineLevel="0" collapsed="false">
      <c r="A2863" s="7" t="n">
        <v>45856</v>
      </c>
      <c r="B2863" s="8" t="s">
        <v>19</v>
      </c>
      <c r="C2863" s="9" t="n">
        <v>1975</v>
      </c>
      <c r="D2863" s="8" t="s">
        <v>13</v>
      </c>
      <c r="E2863" s="10" t="s">
        <v>20</v>
      </c>
      <c r="F2863" s="8" t="str">
        <f aca="false">TEXT(A2863,"MM-YYYY")</f>
        <v>07-2025</v>
      </c>
      <c r="G2863" s="8" t="s">
        <v>14</v>
      </c>
      <c r="H2863" s="8" t="s">
        <v>13</v>
      </c>
      <c r="I2863" s="7" t="n">
        <v>45861</v>
      </c>
      <c r="J2863" s="8" t="str">
        <f aca="false">VLOOKUP(B2863, Table3[#All], 2, FALSE())</f>
        <v>Inventory</v>
      </c>
      <c r="K2863" s="8" t="str">
        <f aca="false">TEXT(ROW(), "0000")</f>
        <v>2863</v>
      </c>
      <c r="L2863" s="8"/>
    </row>
    <row r="2864" customFormat="false" ht="15.75" hidden="false" customHeight="true" outlineLevel="0" collapsed="false">
      <c r="A2864" s="7" t="n">
        <v>45856</v>
      </c>
      <c r="B2864" s="8" t="s">
        <v>40</v>
      </c>
      <c r="C2864" s="9" t="n">
        <v>1480</v>
      </c>
      <c r="D2864" s="8" t="s">
        <v>45</v>
      </c>
      <c r="E2864" s="10" t="s">
        <v>46</v>
      </c>
      <c r="F2864" s="8" t="str">
        <f aca="false">TEXT(A2864,"MM-YYYY")</f>
        <v>07-2025</v>
      </c>
      <c r="G2864" s="8" t="s">
        <v>14</v>
      </c>
      <c r="H2864" s="8" t="s">
        <v>15</v>
      </c>
      <c r="I2864" s="7" t="n">
        <v>45856</v>
      </c>
      <c r="J2864" s="8" t="str">
        <f aca="false">VLOOKUP(B2864, Table3[#All], 2, FALSE())</f>
        <v>Inventory</v>
      </c>
      <c r="K2864" s="8" t="str">
        <f aca="false">TEXT(ROW(), "0000")</f>
        <v>2864</v>
      </c>
      <c r="L2864" s="8"/>
    </row>
    <row r="2865" customFormat="false" ht="15.75" hidden="false" customHeight="true" outlineLevel="0" collapsed="false">
      <c r="A2865" s="7" t="n">
        <v>45856</v>
      </c>
      <c r="B2865" s="8" t="s">
        <v>29</v>
      </c>
      <c r="C2865" s="9" t="n">
        <v>537</v>
      </c>
      <c r="D2865" s="8" t="s">
        <v>13</v>
      </c>
      <c r="E2865" s="10" t="s">
        <v>302</v>
      </c>
      <c r="F2865" s="8" t="str">
        <f aca="false">TEXT(A2865,"MM-YYYY")</f>
        <v>07-2025</v>
      </c>
      <c r="G2865" s="8" t="s">
        <v>18</v>
      </c>
      <c r="H2865" s="8"/>
      <c r="I2865" s="7"/>
      <c r="J2865" s="8" t="str">
        <f aca="false">VLOOKUP(B2865, Table3[#All], 2, FALSE())</f>
        <v>Inventory</v>
      </c>
      <c r="K2865" s="8" t="str">
        <f aca="false">TEXT(ROW(), "0000")</f>
        <v>2865</v>
      </c>
      <c r="L2865" s="8"/>
    </row>
    <row r="2866" customFormat="false" ht="15.75" hidden="false" customHeight="true" outlineLevel="0" collapsed="false">
      <c r="A2866" s="7" t="n">
        <v>45856</v>
      </c>
      <c r="B2866" s="8" t="s">
        <v>50</v>
      </c>
      <c r="C2866" s="9" t="n">
        <v>1678</v>
      </c>
      <c r="D2866" s="8" t="s">
        <v>13</v>
      </c>
      <c r="E2866" s="10" t="s">
        <v>263</v>
      </c>
      <c r="F2866" s="8" t="str">
        <f aca="false">TEXT(A2866,"MM-YYYY")</f>
        <v>07-2025</v>
      </c>
      <c r="G2866" s="8" t="s">
        <v>14</v>
      </c>
      <c r="H2866" s="8" t="s">
        <v>13</v>
      </c>
      <c r="I2866" s="7" t="n">
        <v>45864</v>
      </c>
      <c r="J2866" s="8" t="str">
        <f aca="false">VLOOKUP(B2866, Table3[#All], 2, FALSE())</f>
        <v>Fixed Maintance</v>
      </c>
      <c r="K2866" s="8" t="str">
        <f aca="false">TEXT(ROW(), "0000")</f>
        <v>2866</v>
      </c>
      <c r="L2866" s="8"/>
    </row>
    <row r="2867" customFormat="false" ht="15.75" hidden="false" customHeight="true" outlineLevel="0" collapsed="false">
      <c r="A2867" s="7" t="n">
        <v>45856</v>
      </c>
      <c r="B2867" s="8" t="s">
        <v>16</v>
      </c>
      <c r="C2867" s="9" t="n">
        <v>735</v>
      </c>
      <c r="D2867" s="8" t="s">
        <v>21</v>
      </c>
      <c r="E2867" s="10" t="s">
        <v>88</v>
      </c>
      <c r="F2867" s="8" t="str">
        <f aca="false">TEXT(A2867,"MM-YYYY")</f>
        <v>07-2025</v>
      </c>
      <c r="G2867" s="8"/>
      <c r="H2867" s="8"/>
      <c r="I2867" s="7"/>
      <c r="J2867" s="8" t="str">
        <f aca="false">VLOOKUP(B2867, Table3[#All], 2, FALSE())</f>
        <v>Sales</v>
      </c>
      <c r="K2867" s="8" t="str">
        <f aca="false">TEXT(ROW(), "0000")</f>
        <v>2867</v>
      </c>
      <c r="L2867" s="8"/>
    </row>
    <row r="2868" customFormat="false" ht="15.75" hidden="false" customHeight="true" outlineLevel="0" collapsed="false">
      <c r="A2868" s="7" t="n">
        <v>45856</v>
      </c>
      <c r="B2868" s="8" t="s">
        <v>16</v>
      </c>
      <c r="C2868" s="9" t="n">
        <v>30</v>
      </c>
      <c r="D2868" s="8" t="s">
        <v>33</v>
      </c>
      <c r="E2868" s="10" t="s">
        <v>88</v>
      </c>
      <c r="F2868" s="8" t="str">
        <f aca="false">TEXT(A2868,"MM-YYYY")</f>
        <v>07-2025</v>
      </c>
      <c r="G2868" s="8"/>
      <c r="H2868" s="8"/>
      <c r="I2868" s="7"/>
      <c r="J2868" s="8" t="str">
        <f aca="false">VLOOKUP(B2868, Table3[#All], 2, FALSE())</f>
        <v>Sales</v>
      </c>
      <c r="K2868" s="8" t="str">
        <f aca="false">TEXT(ROW(), "0000")</f>
        <v>2868</v>
      </c>
      <c r="L2868" s="8"/>
    </row>
    <row r="2869" customFormat="false" ht="15.75" hidden="false" customHeight="true" outlineLevel="0" collapsed="false">
      <c r="A2869" s="7" t="n">
        <v>45856</v>
      </c>
      <c r="B2869" s="8" t="s">
        <v>16</v>
      </c>
      <c r="C2869" s="9" t="n">
        <v>17544</v>
      </c>
      <c r="D2869" s="8" t="s">
        <v>17</v>
      </c>
      <c r="E2869" s="10" t="s">
        <v>88</v>
      </c>
      <c r="F2869" s="8" t="str">
        <f aca="false">TEXT(A2869,"MM-YYYY")</f>
        <v>07-2025</v>
      </c>
      <c r="G2869" s="8"/>
      <c r="H2869" s="8"/>
      <c r="I2869" s="7"/>
      <c r="J2869" s="8" t="str">
        <f aca="false">VLOOKUP(B2869, Table3[#All], 2, FALSE())</f>
        <v>Sales</v>
      </c>
      <c r="K2869" s="8" t="str">
        <f aca="false">TEXT(ROW(), "0000")</f>
        <v>2869</v>
      </c>
      <c r="L2869" s="8"/>
    </row>
    <row r="2870" customFormat="false" ht="15.75" hidden="false" customHeight="true" outlineLevel="0" collapsed="false">
      <c r="A2870" s="7" t="n">
        <v>45856</v>
      </c>
      <c r="B2870" s="8" t="s">
        <v>16</v>
      </c>
      <c r="C2870" s="9" t="n">
        <v>580</v>
      </c>
      <c r="D2870" s="8" t="s">
        <v>59</v>
      </c>
      <c r="E2870" s="10" t="s">
        <v>88</v>
      </c>
      <c r="F2870" s="8" t="str">
        <f aca="false">TEXT(A2870,"MM-YYYY")</f>
        <v>07-2025</v>
      </c>
      <c r="G2870" s="8"/>
      <c r="H2870" s="8"/>
      <c r="I2870" s="7"/>
      <c r="J2870" s="8" t="str">
        <f aca="false">VLOOKUP(B2870, Table3[#All], 2, FALSE())</f>
        <v>Sales</v>
      </c>
      <c r="K2870" s="8" t="str">
        <f aca="false">TEXT(ROW(), "0000")</f>
        <v>2870</v>
      </c>
      <c r="L2870" s="8"/>
    </row>
    <row r="2871" customFormat="false" ht="15.75" hidden="false" customHeight="true" outlineLevel="0" collapsed="false">
      <c r="A2871" s="7" t="n">
        <v>45856</v>
      </c>
      <c r="B2871" s="8" t="s">
        <v>16</v>
      </c>
      <c r="C2871" s="9" t="n">
        <v>2422</v>
      </c>
      <c r="D2871" s="8" t="s">
        <v>24</v>
      </c>
      <c r="E2871" s="10" t="s">
        <v>88</v>
      </c>
      <c r="F2871" s="8" t="str">
        <f aca="false">TEXT(A2871,"MM-YYYY")</f>
        <v>07-2025</v>
      </c>
      <c r="G2871" s="8"/>
      <c r="H2871" s="8"/>
      <c r="I2871" s="7"/>
      <c r="J2871" s="8" t="str">
        <f aca="false">VLOOKUP(B2871, Table3[#All], 2, FALSE())</f>
        <v>Sales</v>
      </c>
      <c r="K2871" s="8" t="str">
        <f aca="false">TEXT(ROW(), "0000")</f>
        <v>2871</v>
      </c>
      <c r="L2871" s="8"/>
    </row>
    <row r="2872" customFormat="false" ht="15.75" hidden="false" customHeight="true" outlineLevel="0" collapsed="false">
      <c r="A2872" s="7" t="n">
        <v>45856</v>
      </c>
      <c r="B2872" s="8" t="s">
        <v>34</v>
      </c>
      <c r="C2872" s="9" t="n">
        <v>95</v>
      </c>
      <c r="D2872" s="8" t="s">
        <v>21</v>
      </c>
      <c r="E2872" s="10" t="s">
        <v>274</v>
      </c>
      <c r="F2872" s="8" t="str">
        <f aca="false">TEXT(A2872,"MM-YYYY")</f>
        <v>07-2025</v>
      </c>
      <c r="G2872" s="8" t="s">
        <v>14</v>
      </c>
      <c r="H2872" s="8" t="s">
        <v>15</v>
      </c>
      <c r="I2872" s="7" t="n">
        <v>45856</v>
      </c>
      <c r="J2872" s="8" t="str">
        <f aca="false">VLOOKUP(B2872, Table3[#All], 2, FALSE())</f>
        <v>Staff Expenses</v>
      </c>
      <c r="K2872" s="8" t="str">
        <f aca="false">TEXT(ROW(), "0000")</f>
        <v>2872</v>
      </c>
      <c r="L2872" s="8"/>
    </row>
    <row r="2873" customFormat="false" ht="15.75" hidden="false" customHeight="true" outlineLevel="0" collapsed="false">
      <c r="A2873" s="7" t="n">
        <v>45857</v>
      </c>
      <c r="B2873" s="8" t="s">
        <v>19</v>
      </c>
      <c r="C2873" s="9" t="n">
        <v>2687</v>
      </c>
      <c r="D2873" s="8" t="s">
        <v>13</v>
      </c>
      <c r="E2873" s="10" t="s">
        <v>20</v>
      </c>
      <c r="F2873" s="8" t="str">
        <f aca="false">TEXT(A2873,"MM-YYYY")</f>
        <v>07-2025</v>
      </c>
      <c r="G2873" s="8" t="s">
        <v>14</v>
      </c>
      <c r="H2873" s="8" t="s">
        <v>13</v>
      </c>
      <c r="I2873" s="7" t="n">
        <v>45861</v>
      </c>
      <c r="J2873" s="8" t="str">
        <f aca="false">VLOOKUP(B2873, Table3[#All], 2, FALSE())</f>
        <v>Inventory</v>
      </c>
      <c r="K2873" s="8" t="str">
        <f aca="false">TEXT(ROW(), "0000")</f>
        <v>2873</v>
      </c>
      <c r="L2873" s="8"/>
    </row>
    <row r="2874" customFormat="false" ht="15.75" hidden="false" customHeight="true" outlineLevel="0" collapsed="false">
      <c r="A2874" s="7" t="n">
        <v>45857</v>
      </c>
      <c r="B2874" s="8" t="s">
        <v>22</v>
      </c>
      <c r="C2874" s="9" t="n">
        <v>2725</v>
      </c>
      <c r="D2874" s="8" t="s">
        <v>13</v>
      </c>
      <c r="E2874" s="10" t="s">
        <v>23</v>
      </c>
      <c r="F2874" s="8" t="str">
        <f aca="false">TEXT(A2874,"MM-YYYY")</f>
        <v>07-2025</v>
      </c>
      <c r="G2874" s="8" t="s">
        <v>14</v>
      </c>
      <c r="H2874" s="8" t="s">
        <v>13</v>
      </c>
      <c r="I2874" s="7" t="n">
        <v>45861</v>
      </c>
      <c r="J2874" s="8" t="str">
        <f aca="false">VLOOKUP(B2874, Table3[#All], 2, FALSE())</f>
        <v>Inventory</v>
      </c>
      <c r="K2874" s="8" t="str">
        <f aca="false">TEXT(ROW(), "0000")</f>
        <v>2874</v>
      </c>
      <c r="L2874" s="8"/>
    </row>
    <row r="2875" customFormat="false" ht="15.75" hidden="false" customHeight="true" outlineLevel="0" collapsed="false">
      <c r="A2875" s="7" t="n">
        <v>45857</v>
      </c>
      <c r="B2875" s="8" t="s">
        <v>44</v>
      </c>
      <c r="C2875" s="9" t="n">
        <v>3000</v>
      </c>
      <c r="D2875" s="8" t="s">
        <v>45</v>
      </c>
      <c r="E2875" s="10" t="s">
        <v>86</v>
      </c>
      <c r="F2875" s="8" t="str">
        <f aca="false">TEXT(A2875,"MM-YYYY")</f>
        <v>07-2025</v>
      </c>
      <c r="G2875" s="8" t="s">
        <v>14</v>
      </c>
      <c r="H2875" s="8" t="s">
        <v>15</v>
      </c>
      <c r="I2875" s="7" t="n">
        <v>45857</v>
      </c>
      <c r="J2875" s="8" t="str">
        <f aca="false">VLOOKUP(B2875, Table3[#All], 2, FALSE())</f>
        <v>Salary</v>
      </c>
      <c r="K2875" s="8" t="str">
        <f aca="false">TEXT(ROW(), "0000")</f>
        <v>2875</v>
      </c>
      <c r="L2875" s="8"/>
    </row>
    <row r="2876" customFormat="false" ht="15.75" hidden="false" customHeight="true" outlineLevel="0" collapsed="false">
      <c r="A2876" s="7" t="n">
        <v>45857</v>
      </c>
      <c r="B2876" s="8" t="s">
        <v>32</v>
      </c>
      <c r="C2876" s="9" t="n">
        <v>210</v>
      </c>
      <c r="D2876" s="8" t="s">
        <v>45</v>
      </c>
      <c r="E2876" s="10" t="s">
        <v>38</v>
      </c>
      <c r="F2876" s="8" t="str">
        <f aca="false">TEXT(A2876,"MM-YYYY")</f>
        <v>07-2025</v>
      </c>
      <c r="G2876" s="8" t="s">
        <v>14</v>
      </c>
      <c r="H2876" s="8" t="s">
        <v>15</v>
      </c>
      <c r="I2876" s="7" t="n">
        <v>45857</v>
      </c>
      <c r="J2876" s="8" t="str">
        <f aca="false">VLOOKUP(B2876, Table3[#All], 2, FALSE())</f>
        <v>Grocery</v>
      </c>
      <c r="K2876" s="8" t="str">
        <f aca="false">TEXT(ROW(), "0000")</f>
        <v>2876</v>
      </c>
      <c r="L2876" s="8"/>
    </row>
    <row r="2877" customFormat="false" ht="15.75" hidden="false" customHeight="true" outlineLevel="0" collapsed="false">
      <c r="A2877" s="7" t="n">
        <v>45857</v>
      </c>
      <c r="B2877" s="8" t="s">
        <v>25</v>
      </c>
      <c r="C2877" s="9" t="n">
        <v>545</v>
      </c>
      <c r="D2877" s="8" t="s">
        <v>13</v>
      </c>
      <c r="E2877" s="10" t="s">
        <v>360</v>
      </c>
      <c r="F2877" s="8" t="str">
        <f aca="false">TEXT(A2877,"MM-YYYY")</f>
        <v>07-2025</v>
      </c>
      <c r="G2877" s="8" t="s">
        <v>18</v>
      </c>
      <c r="H2877" s="8"/>
      <c r="I2877" s="7"/>
      <c r="J2877" s="8" t="str">
        <f aca="false">VLOOKUP(B2877, Table3[#All], 2, FALSE())</f>
        <v>Inventory</v>
      </c>
      <c r="K2877" s="8" t="str">
        <f aca="false">TEXT(ROW(), "0000")</f>
        <v>2877</v>
      </c>
      <c r="L2877" s="8"/>
    </row>
    <row r="2878" customFormat="false" ht="15.75" hidden="false" customHeight="true" outlineLevel="0" collapsed="false">
      <c r="A2878" s="7" t="n">
        <v>45857</v>
      </c>
      <c r="B2878" s="8" t="s">
        <v>22</v>
      </c>
      <c r="C2878" s="9" t="n">
        <v>310</v>
      </c>
      <c r="D2878" s="8" t="s">
        <v>45</v>
      </c>
      <c r="E2878" s="10" t="s">
        <v>369</v>
      </c>
      <c r="F2878" s="8" t="str">
        <f aca="false">TEXT(A2878,"MM-YYYY")</f>
        <v>07-2025</v>
      </c>
      <c r="G2878" s="8" t="s">
        <v>14</v>
      </c>
      <c r="H2878" s="8" t="s">
        <v>15</v>
      </c>
      <c r="I2878" s="7" t="n">
        <v>45857</v>
      </c>
      <c r="J2878" s="8" t="str">
        <f aca="false">VLOOKUP(B2878, Table3[#All], 2, FALSE())</f>
        <v>Inventory</v>
      </c>
      <c r="K2878" s="8" t="str">
        <f aca="false">TEXT(ROW(), "0000")</f>
        <v>2878</v>
      </c>
      <c r="L2878" s="8"/>
    </row>
    <row r="2879" customFormat="false" ht="15.75" hidden="false" customHeight="true" outlineLevel="0" collapsed="false">
      <c r="A2879" s="7" t="n">
        <v>45857</v>
      </c>
      <c r="B2879" s="8" t="s">
        <v>69</v>
      </c>
      <c r="C2879" s="9" t="n">
        <v>700</v>
      </c>
      <c r="D2879" s="8" t="s">
        <v>45</v>
      </c>
      <c r="E2879" s="10" t="s">
        <v>19</v>
      </c>
      <c r="F2879" s="8" t="str">
        <f aca="false">TEXT(A2879,"MM-YYYY")</f>
        <v>07-2025</v>
      </c>
      <c r="G2879" s="8" t="s">
        <v>14</v>
      </c>
      <c r="H2879" s="8" t="s">
        <v>15</v>
      </c>
      <c r="I2879" s="7" t="n">
        <v>45857</v>
      </c>
      <c r="J2879" s="8" t="str">
        <f aca="false">VLOOKUP(B2879, Table3[#All], 2, FALSE())</f>
        <v>Fixed Maintance</v>
      </c>
      <c r="K2879" s="8" t="str">
        <f aca="false">TEXT(ROW(), "0000")</f>
        <v>2879</v>
      </c>
      <c r="L2879" s="8"/>
    </row>
    <row r="2880" customFormat="false" ht="15.75" hidden="false" customHeight="true" outlineLevel="0" collapsed="false">
      <c r="A2880" s="7" t="n">
        <v>45857</v>
      </c>
      <c r="B2880" s="8" t="s">
        <v>40</v>
      </c>
      <c r="C2880" s="9" t="n">
        <v>400</v>
      </c>
      <c r="D2880" s="8" t="s">
        <v>45</v>
      </c>
      <c r="E2880" s="10" t="s">
        <v>46</v>
      </c>
      <c r="F2880" s="8" t="str">
        <f aca="false">TEXT(A2880,"MM-YYYY")</f>
        <v>07-2025</v>
      </c>
      <c r="G2880" s="8" t="s">
        <v>14</v>
      </c>
      <c r="H2880" s="8" t="s">
        <v>15</v>
      </c>
      <c r="I2880" s="7" t="n">
        <v>45857</v>
      </c>
      <c r="J2880" s="8" t="str">
        <f aca="false">VLOOKUP(B2880, Table3[#All], 2, FALSE())</f>
        <v>Inventory</v>
      </c>
      <c r="K2880" s="8" t="str">
        <f aca="false">TEXT(ROW(), "0000")</f>
        <v>2880</v>
      </c>
      <c r="L2880" s="8"/>
    </row>
    <row r="2881" customFormat="false" ht="15.75" hidden="false" customHeight="true" outlineLevel="0" collapsed="false">
      <c r="A2881" s="7" t="n">
        <v>45857</v>
      </c>
      <c r="B2881" s="8" t="s">
        <v>28</v>
      </c>
      <c r="C2881" s="9" t="n">
        <v>1010</v>
      </c>
      <c r="D2881" s="8" t="s">
        <v>45</v>
      </c>
      <c r="E2881" s="10" t="s">
        <v>93</v>
      </c>
      <c r="F2881" s="8" t="str">
        <f aca="false">TEXT(A2881,"MM-YYYY")</f>
        <v>07-2025</v>
      </c>
      <c r="G2881" s="8" t="s">
        <v>14</v>
      </c>
      <c r="H2881" s="8" t="s">
        <v>15</v>
      </c>
      <c r="I2881" s="7" t="n">
        <v>45857</v>
      </c>
      <c r="J2881" s="8" t="str">
        <f aca="false">VLOOKUP(B2881, Table3[#All], 2, FALSE())</f>
        <v>Grocery</v>
      </c>
      <c r="K2881" s="8" t="str">
        <f aca="false">TEXT(ROW(), "0000")</f>
        <v>2881</v>
      </c>
      <c r="L2881" s="8"/>
    </row>
    <row r="2882" customFormat="false" ht="15.75" hidden="false" customHeight="true" outlineLevel="0" collapsed="false">
      <c r="A2882" s="7" t="n">
        <v>45857</v>
      </c>
      <c r="B2882" s="8" t="s">
        <v>29</v>
      </c>
      <c r="C2882" s="9" t="n">
        <v>475</v>
      </c>
      <c r="D2882" s="8" t="s">
        <v>13</v>
      </c>
      <c r="E2882" s="10" t="s">
        <v>302</v>
      </c>
      <c r="F2882" s="8" t="str">
        <f aca="false">TEXT(A2882,"MM-YYYY")</f>
        <v>07-2025</v>
      </c>
      <c r="G2882" s="8" t="s">
        <v>18</v>
      </c>
      <c r="H2882" s="8"/>
      <c r="I2882" s="7"/>
      <c r="J2882" s="8" t="str">
        <f aca="false">VLOOKUP(B2882, Table3[#All], 2, FALSE())</f>
        <v>Inventory</v>
      </c>
      <c r="K2882" s="8" t="str">
        <f aca="false">TEXT(ROW(), "0000")</f>
        <v>2882</v>
      </c>
      <c r="L2882" s="8"/>
    </row>
    <row r="2883" customFormat="false" ht="15.75" hidden="false" customHeight="true" outlineLevel="0" collapsed="false">
      <c r="A2883" s="7" t="n">
        <v>45857</v>
      </c>
      <c r="B2883" s="8" t="s">
        <v>16</v>
      </c>
      <c r="C2883" s="9" t="n">
        <v>2930</v>
      </c>
      <c r="D2883" s="8" t="s">
        <v>21</v>
      </c>
      <c r="E2883" s="10" t="s">
        <v>88</v>
      </c>
      <c r="F2883" s="8" t="str">
        <f aca="false">TEXT(A2883,"MM-YYYY")</f>
        <v>07-2025</v>
      </c>
      <c r="G2883" s="8"/>
      <c r="H2883" s="8"/>
      <c r="I2883" s="7"/>
      <c r="J2883" s="8" t="str">
        <f aca="false">VLOOKUP(B2883, Table3[#All], 2, FALSE())</f>
        <v>Sales</v>
      </c>
      <c r="K2883" s="8" t="str">
        <f aca="false">TEXT(ROW(), "0000")</f>
        <v>2883</v>
      </c>
      <c r="L2883" s="8"/>
    </row>
    <row r="2884" customFormat="false" ht="15.75" hidden="false" customHeight="true" outlineLevel="0" collapsed="false">
      <c r="A2884" s="7" t="n">
        <v>45857</v>
      </c>
      <c r="B2884" s="8" t="s">
        <v>16</v>
      </c>
      <c r="C2884" s="9" t="n">
        <v>300</v>
      </c>
      <c r="D2884" s="8" t="s">
        <v>27</v>
      </c>
      <c r="E2884" s="10" t="s">
        <v>88</v>
      </c>
      <c r="F2884" s="8" t="str">
        <f aca="false">TEXT(A2884,"MM-YYYY")</f>
        <v>07-2025</v>
      </c>
      <c r="G2884" s="8"/>
      <c r="H2884" s="8"/>
      <c r="I2884" s="7"/>
      <c r="J2884" s="8" t="str">
        <f aca="false">VLOOKUP(B2884, Table3[#All], 2, FALSE())</f>
        <v>Sales</v>
      </c>
      <c r="K2884" s="8" t="str">
        <f aca="false">TEXT(ROW(), "0000")</f>
        <v>2884</v>
      </c>
      <c r="L2884" s="8"/>
    </row>
    <row r="2885" customFormat="false" ht="15.75" hidden="false" customHeight="true" outlineLevel="0" collapsed="false">
      <c r="A2885" s="7" t="n">
        <v>45857</v>
      </c>
      <c r="B2885" s="8" t="s">
        <v>16</v>
      </c>
      <c r="C2885" s="9" t="n">
        <v>150</v>
      </c>
      <c r="D2885" s="8" t="s">
        <v>33</v>
      </c>
      <c r="E2885" s="10" t="s">
        <v>88</v>
      </c>
      <c r="F2885" s="8" t="str">
        <f aca="false">TEXT(A2885,"MM-YYYY")</f>
        <v>07-2025</v>
      </c>
      <c r="G2885" s="8"/>
      <c r="H2885" s="8"/>
      <c r="I2885" s="7"/>
      <c r="J2885" s="8" t="str">
        <f aca="false">VLOOKUP(B2885, Table3[#All], 2, FALSE())</f>
        <v>Sales</v>
      </c>
      <c r="K2885" s="8" t="str">
        <f aca="false">TEXT(ROW(), "0000")</f>
        <v>2885</v>
      </c>
      <c r="L2885" s="8"/>
    </row>
    <row r="2886" customFormat="false" ht="15.75" hidden="false" customHeight="true" outlineLevel="0" collapsed="false">
      <c r="A2886" s="7" t="n">
        <v>45857</v>
      </c>
      <c r="B2886" s="8" t="s">
        <v>16</v>
      </c>
      <c r="C2886" s="9" t="n">
        <v>12539</v>
      </c>
      <c r="D2886" s="8" t="s">
        <v>17</v>
      </c>
      <c r="E2886" s="10" t="s">
        <v>88</v>
      </c>
      <c r="F2886" s="8" t="str">
        <f aca="false">TEXT(A2886,"MM-YYYY")</f>
        <v>07-2025</v>
      </c>
      <c r="G2886" s="8"/>
      <c r="H2886" s="8"/>
      <c r="I2886" s="7"/>
      <c r="J2886" s="8" t="str">
        <f aca="false">VLOOKUP(B2886, Table3[#All], 2, FALSE())</f>
        <v>Sales</v>
      </c>
      <c r="K2886" s="8" t="str">
        <f aca="false">TEXT(ROW(), "0000")</f>
        <v>2886</v>
      </c>
      <c r="L2886" s="8"/>
    </row>
    <row r="2887" customFormat="false" ht="15.75" hidden="false" customHeight="true" outlineLevel="0" collapsed="false">
      <c r="A2887" s="7" t="n">
        <v>45857</v>
      </c>
      <c r="B2887" s="8" t="s">
        <v>16</v>
      </c>
      <c r="C2887" s="9" t="n">
        <v>4069</v>
      </c>
      <c r="D2887" s="8" t="s">
        <v>24</v>
      </c>
      <c r="E2887" s="10" t="s">
        <v>217</v>
      </c>
      <c r="F2887" s="8" t="str">
        <f aca="false">TEXT(A2887,"MM-YYYY")</f>
        <v>07-2025</v>
      </c>
      <c r="G2887" s="8"/>
      <c r="H2887" s="8"/>
      <c r="I2887" s="7"/>
      <c r="J2887" s="8" t="str">
        <f aca="false">VLOOKUP(B2887, Table3[#All], 2, FALSE())</f>
        <v>Sales</v>
      </c>
      <c r="K2887" s="8" t="str">
        <f aca="false">TEXT(ROW(), "0000")</f>
        <v>2887</v>
      </c>
      <c r="L2887" s="8"/>
    </row>
    <row r="2888" customFormat="false" ht="15.75" hidden="false" customHeight="true" outlineLevel="0" collapsed="false">
      <c r="A2888" s="7" t="n">
        <v>45857</v>
      </c>
      <c r="B2888" s="8" t="s">
        <v>34</v>
      </c>
      <c r="C2888" s="9" t="n">
        <v>100</v>
      </c>
      <c r="D2888" s="8" t="s">
        <v>21</v>
      </c>
      <c r="E2888" s="10" t="s">
        <v>274</v>
      </c>
      <c r="F2888" s="8" t="str">
        <f aca="false">TEXT(A2888,"MM-YYYY")</f>
        <v>07-2025</v>
      </c>
      <c r="G2888" s="8" t="s">
        <v>14</v>
      </c>
      <c r="H2888" s="8" t="s">
        <v>15</v>
      </c>
      <c r="I2888" s="7" t="n">
        <v>45857</v>
      </c>
      <c r="J2888" s="8" t="str">
        <f aca="false">VLOOKUP(B2888, Table3[#All], 2, FALSE())</f>
        <v>Staff Expenses</v>
      </c>
      <c r="K2888" s="8" t="str">
        <f aca="false">TEXT(ROW(), "0000")</f>
        <v>2888</v>
      </c>
      <c r="L2888" s="8"/>
    </row>
    <row r="2889" customFormat="false" ht="15.75" hidden="false" customHeight="true" outlineLevel="0" collapsed="false">
      <c r="A2889" s="7" t="n">
        <v>45858</v>
      </c>
      <c r="B2889" s="8" t="s">
        <v>22</v>
      </c>
      <c r="C2889" s="9" t="n">
        <v>870</v>
      </c>
      <c r="D2889" s="8" t="s">
        <v>13</v>
      </c>
      <c r="E2889" s="10" t="s">
        <v>23</v>
      </c>
      <c r="F2889" s="8" t="str">
        <f aca="false">TEXT(A2889,"MM-YYYY")</f>
        <v>07-2025</v>
      </c>
      <c r="G2889" s="8" t="s">
        <v>14</v>
      </c>
      <c r="H2889" s="8" t="s">
        <v>13</v>
      </c>
      <c r="I2889" s="7" t="n">
        <v>45865</v>
      </c>
      <c r="J2889" s="8" t="str">
        <f aca="false">VLOOKUP(B2889, Table3[#All], 2, FALSE())</f>
        <v>Inventory</v>
      </c>
      <c r="K2889" s="8" t="str">
        <f aca="false">TEXT(ROW(), "0000")</f>
        <v>2889</v>
      </c>
      <c r="L2889" s="8"/>
    </row>
    <row r="2890" customFormat="false" ht="15.75" hidden="false" customHeight="true" outlineLevel="0" collapsed="false">
      <c r="A2890" s="7" t="n">
        <v>45858</v>
      </c>
      <c r="B2890" s="8" t="s">
        <v>29</v>
      </c>
      <c r="C2890" s="9" t="n">
        <v>190</v>
      </c>
      <c r="D2890" s="8" t="s">
        <v>13</v>
      </c>
      <c r="E2890" s="10" t="s">
        <v>302</v>
      </c>
      <c r="F2890" s="8" t="str">
        <f aca="false">TEXT(A2890,"MM-YYYY")</f>
        <v>07-2025</v>
      </c>
      <c r="G2890" s="8" t="s">
        <v>18</v>
      </c>
      <c r="H2890" s="8"/>
      <c r="I2890" s="7"/>
      <c r="J2890" s="8" t="str">
        <f aca="false">VLOOKUP(B2890, Table3[#All], 2, FALSE())</f>
        <v>Inventory</v>
      </c>
      <c r="K2890" s="8" t="str">
        <f aca="false">TEXT(ROW(), "0000")</f>
        <v>2890</v>
      </c>
      <c r="L2890" s="8"/>
    </row>
    <row r="2891" customFormat="false" ht="15.75" hidden="false" customHeight="true" outlineLevel="0" collapsed="false">
      <c r="A2891" s="7" t="n">
        <v>45858</v>
      </c>
      <c r="B2891" s="8" t="s">
        <v>25</v>
      </c>
      <c r="C2891" s="9" t="n">
        <v>1371</v>
      </c>
      <c r="D2891" s="8" t="s">
        <v>13</v>
      </c>
      <c r="E2891" s="10" t="s">
        <v>360</v>
      </c>
      <c r="F2891" s="8" t="str">
        <f aca="false">TEXT(A2891,"MM-YYYY")</f>
        <v>07-2025</v>
      </c>
      <c r="G2891" s="8" t="s">
        <v>18</v>
      </c>
      <c r="H2891" s="8"/>
      <c r="I2891" s="7"/>
      <c r="J2891" s="8" t="str">
        <f aca="false">VLOOKUP(B2891, Table3[#All], 2, FALSE())</f>
        <v>Inventory</v>
      </c>
      <c r="K2891" s="8" t="str">
        <f aca="false">TEXT(ROW(), "0000")</f>
        <v>2891</v>
      </c>
      <c r="L2891" s="8"/>
    </row>
    <row r="2892" customFormat="false" ht="15.75" hidden="false" customHeight="true" outlineLevel="0" collapsed="false">
      <c r="A2892" s="7" t="n">
        <v>45858</v>
      </c>
      <c r="B2892" s="8" t="s">
        <v>35</v>
      </c>
      <c r="C2892" s="9" t="n">
        <v>100</v>
      </c>
      <c r="D2892" s="8" t="s">
        <v>45</v>
      </c>
      <c r="E2892" s="10" t="s">
        <v>206</v>
      </c>
      <c r="F2892" s="8" t="str">
        <f aca="false">TEXT(A2892,"MM-YYYY")</f>
        <v>07-2025</v>
      </c>
      <c r="G2892" s="8" t="s">
        <v>14</v>
      </c>
      <c r="H2892" s="8" t="s">
        <v>15</v>
      </c>
      <c r="I2892" s="7" t="n">
        <v>45858</v>
      </c>
      <c r="J2892" s="8" t="str">
        <f aca="false">VLOOKUP(B2892, Table3[#All], 2, FALSE())</f>
        <v>Inventory</v>
      </c>
      <c r="K2892" s="8" t="str">
        <f aca="false">TEXT(ROW(), "0000")</f>
        <v>2892</v>
      </c>
      <c r="L2892" s="8"/>
    </row>
    <row r="2893" customFormat="false" ht="15.75" hidden="false" customHeight="true" outlineLevel="0" collapsed="false">
      <c r="A2893" s="7" t="n">
        <v>45858</v>
      </c>
      <c r="B2893" s="8" t="s">
        <v>50</v>
      </c>
      <c r="C2893" s="9" t="n">
        <v>3356</v>
      </c>
      <c r="D2893" s="8" t="s">
        <v>13</v>
      </c>
      <c r="E2893" s="10" t="s">
        <v>263</v>
      </c>
      <c r="F2893" s="8" t="str">
        <f aca="false">TEXT(A2893,"MM-YYYY")</f>
        <v>07-2025</v>
      </c>
      <c r="G2893" s="8" t="s">
        <v>14</v>
      </c>
      <c r="H2893" s="8" t="s">
        <v>13</v>
      </c>
      <c r="I2893" s="7" t="n">
        <v>45864</v>
      </c>
      <c r="J2893" s="8" t="str">
        <f aca="false">VLOOKUP(B2893, Table3[#All], 2, FALSE())</f>
        <v>Fixed Maintance</v>
      </c>
      <c r="K2893" s="8" t="str">
        <f aca="false">TEXT(ROW(), "0000")</f>
        <v>2893</v>
      </c>
      <c r="L2893" s="8"/>
    </row>
    <row r="2894" customFormat="false" ht="15.75" hidden="false" customHeight="true" outlineLevel="0" collapsed="false">
      <c r="A2894" s="7" t="n">
        <v>45858</v>
      </c>
      <c r="B2894" s="8" t="s">
        <v>25</v>
      </c>
      <c r="C2894" s="9" t="n">
        <v>350</v>
      </c>
      <c r="D2894" s="8" t="s">
        <v>45</v>
      </c>
      <c r="E2894" s="10" t="s">
        <v>272</v>
      </c>
      <c r="F2894" s="8" t="str">
        <f aca="false">TEXT(A2894,"MM-YYYY")</f>
        <v>07-2025</v>
      </c>
      <c r="G2894" s="8" t="s">
        <v>14</v>
      </c>
      <c r="H2894" s="8" t="s">
        <v>15</v>
      </c>
      <c r="I2894" s="7" t="n">
        <v>45858</v>
      </c>
      <c r="J2894" s="8" t="str">
        <f aca="false">VLOOKUP(B2894, Table3[#All], 2, FALSE())</f>
        <v>Inventory</v>
      </c>
      <c r="K2894" s="8" t="str">
        <f aca="false">TEXT(ROW(), "0000")</f>
        <v>2894</v>
      </c>
      <c r="L2894" s="8"/>
    </row>
    <row r="2895" customFormat="false" ht="15.75" hidden="false" customHeight="true" outlineLevel="0" collapsed="false">
      <c r="A2895" s="7" t="n">
        <v>45858</v>
      </c>
      <c r="B2895" s="8" t="s">
        <v>31</v>
      </c>
      <c r="C2895" s="9" t="n">
        <v>310</v>
      </c>
      <c r="D2895" s="8" t="s">
        <v>45</v>
      </c>
      <c r="E2895" s="10" t="s">
        <v>236</v>
      </c>
      <c r="F2895" s="8" t="str">
        <f aca="false">TEXT(A2895,"MM-YYYY")</f>
        <v>07-2025</v>
      </c>
      <c r="G2895" s="8" t="s">
        <v>14</v>
      </c>
      <c r="H2895" s="8" t="s">
        <v>15</v>
      </c>
      <c r="I2895" s="7" t="n">
        <v>45858</v>
      </c>
      <c r="J2895" s="8" t="str">
        <f aca="false">VLOOKUP(B2895, Table3[#All], 2, FALSE())</f>
        <v>Bike Maintance</v>
      </c>
      <c r="K2895" s="8" t="str">
        <f aca="false">TEXT(ROW(), "0000")</f>
        <v>2895</v>
      </c>
      <c r="L2895" s="8"/>
    </row>
    <row r="2896" customFormat="false" ht="15.75" hidden="false" customHeight="true" outlineLevel="0" collapsed="false">
      <c r="A2896" s="7" t="n">
        <v>45858</v>
      </c>
      <c r="B2896" s="8" t="s">
        <v>16</v>
      </c>
      <c r="C2896" s="9" t="n">
        <v>2960</v>
      </c>
      <c r="D2896" s="8" t="s">
        <v>21</v>
      </c>
      <c r="E2896" s="10" t="s">
        <v>88</v>
      </c>
      <c r="F2896" s="8" t="str">
        <f aca="false">TEXT(A2896,"MM-YYYY")</f>
        <v>07-2025</v>
      </c>
      <c r="G2896" s="8"/>
      <c r="H2896" s="8"/>
      <c r="I2896" s="7"/>
      <c r="J2896" s="8" t="str">
        <f aca="false">VLOOKUP(B2896, Table3[#All], 2, FALSE())</f>
        <v>Sales</v>
      </c>
      <c r="K2896" s="8" t="str">
        <f aca="false">TEXT(ROW(), "0000")</f>
        <v>2896</v>
      </c>
      <c r="L2896" s="8"/>
    </row>
    <row r="2897" customFormat="false" ht="15.75" hidden="false" customHeight="true" outlineLevel="0" collapsed="false">
      <c r="A2897" s="7" t="n">
        <v>45858</v>
      </c>
      <c r="B2897" s="8" t="s">
        <v>16</v>
      </c>
      <c r="C2897" s="9" t="n">
        <v>1600</v>
      </c>
      <c r="D2897" s="8" t="s">
        <v>27</v>
      </c>
      <c r="E2897" s="10" t="s">
        <v>88</v>
      </c>
      <c r="F2897" s="8" t="str">
        <f aca="false">TEXT(A2897,"MM-YYYY")</f>
        <v>07-2025</v>
      </c>
      <c r="G2897" s="8"/>
      <c r="H2897" s="8"/>
      <c r="I2897" s="7"/>
      <c r="J2897" s="8" t="str">
        <f aca="false">VLOOKUP(B2897, Table3[#All], 2, FALSE())</f>
        <v>Sales</v>
      </c>
      <c r="K2897" s="8" t="str">
        <f aca="false">TEXT(ROW(), "0000")</f>
        <v>2897</v>
      </c>
      <c r="L2897" s="8"/>
    </row>
    <row r="2898" customFormat="false" ht="15.75" hidden="false" customHeight="true" outlineLevel="0" collapsed="false">
      <c r="A2898" s="7" t="n">
        <v>45858</v>
      </c>
      <c r="B2898" s="8" t="s">
        <v>16</v>
      </c>
      <c r="C2898" s="9" t="n">
        <v>1220</v>
      </c>
      <c r="D2898" s="8" t="s">
        <v>33</v>
      </c>
      <c r="E2898" s="10" t="s">
        <v>88</v>
      </c>
      <c r="F2898" s="8" t="str">
        <f aca="false">TEXT(A2898,"MM-YYYY")</f>
        <v>07-2025</v>
      </c>
      <c r="G2898" s="8"/>
      <c r="H2898" s="8"/>
      <c r="I2898" s="7"/>
      <c r="J2898" s="8" t="str">
        <f aca="false">VLOOKUP(B2898, Table3[#All], 2, FALSE())</f>
        <v>Sales</v>
      </c>
      <c r="K2898" s="8" t="str">
        <f aca="false">TEXT(ROW(), "0000")</f>
        <v>2898</v>
      </c>
      <c r="L2898" s="8"/>
    </row>
    <row r="2899" customFormat="false" ht="15.75" hidden="false" customHeight="true" outlineLevel="0" collapsed="false">
      <c r="A2899" s="7" t="n">
        <v>45858</v>
      </c>
      <c r="B2899" s="8" t="s">
        <v>16</v>
      </c>
      <c r="C2899" s="9" t="n">
        <v>16799</v>
      </c>
      <c r="D2899" s="8" t="s">
        <v>17</v>
      </c>
      <c r="E2899" s="10" t="s">
        <v>88</v>
      </c>
      <c r="F2899" s="8" t="str">
        <f aca="false">TEXT(A2899,"MM-YYYY")</f>
        <v>07-2025</v>
      </c>
      <c r="G2899" s="8"/>
      <c r="H2899" s="8"/>
      <c r="I2899" s="7"/>
      <c r="J2899" s="8" t="str">
        <f aca="false">VLOOKUP(B2899, Table3[#All], 2, FALSE())</f>
        <v>Sales</v>
      </c>
      <c r="K2899" s="8" t="str">
        <f aca="false">TEXT(ROW(), "0000")</f>
        <v>2899</v>
      </c>
      <c r="L2899" s="8"/>
    </row>
    <row r="2900" customFormat="false" ht="15.75" hidden="false" customHeight="true" outlineLevel="0" collapsed="false">
      <c r="A2900" s="7" t="n">
        <v>45858</v>
      </c>
      <c r="B2900" s="8" t="s">
        <v>16</v>
      </c>
      <c r="C2900" s="9" t="n">
        <v>245</v>
      </c>
      <c r="D2900" s="8" t="s">
        <v>59</v>
      </c>
      <c r="E2900" s="10" t="s">
        <v>88</v>
      </c>
      <c r="F2900" s="8" t="str">
        <f aca="false">TEXT(A2900,"MM-YYYY")</f>
        <v>07-2025</v>
      </c>
      <c r="G2900" s="8"/>
      <c r="H2900" s="8"/>
      <c r="I2900" s="7"/>
      <c r="J2900" s="8" t="str">
        <f aca="false">VLOOKUP(B2900, Table3[#All], 2, FALSE())</f>
        <v>Sales</v>
      </c>
      <c r="K2900" s="8" t="str">
        <f aca="false">TEXT(ROW(), "0000")</f>
        <v>2900</v>
      </c>
      <c r="L2900" s="8"/>
    </row>
    <row r="2901" customFormat="false" ht="15.75" hidden="false" customHeight="true" outlineLevel="0" collapsed="false">
      <c r="A2901" s="7" t="n">
        <v>45858</v>
      </c>
      <c r="B2901" s="8" t="s">
        <v>16</v>
      </c>
      <c r="C2901" s="9" t="n">
        <v>5151</v>
      </c>
      <c r="D2901" s="8" t="s">
        <v>24</v>
      </c>
      <c r="E2901" s="10" t="s">
        <v>217</v>
      </c>
      <c r="F2901" s="8" t="str">
        <f aca="false">TEXT(A2901,"MM-YYYY")</f>
        <v>07-2025</v>
      </c>
      <c r="G2901" s="8"/>
      <c r="H2901" s="8"/>
      <c r="I2901" s="7"/>
      <c r="J2901" s="8" t="str">
        <f aca="false">VLOOKUP(B2901, Table3[#All], 2, FALSE())</f>
        <v>Sales</v>
      </c>
      <c r="K2901" s="8" t="str">
        <f aca="false">TEXT(ROW(), "0000")</f>
        <v>2901</v>
      </c>
      <c r="L2901" s="8"/>
    </row>
    <row r="2902" customFormat="false" ht="15.75" hidden="false" customHeight="true" outlineLevel="0" collapsed="false">
      <c r="A2902" s="7" t="n">
        <v>45858</v>
      </c>
      <c r="B2902" s="8" t="s">
        <v>19</v>
      </c>
      <c r="C2902" s="9" t="n">
        <v>4555</v>
      </c>
      <c r="D2902" s="8" t="s">
        <v>13</v>
      </c>
      <c r="E2902" s="10" t="s">
        <v>20</v>
      </c>
      <c r="F2902" s="8" t="str">
        <f aca="false">TEXT(A2902,"MM-YYYY")</f>
        <v>07-2025</v>
      </c>
      <c r="G2902" s="8" t="s">
        <v>14</v>
      </c>
      <c r="H2902" s="8" t="s">
        <v>13</v>
      </c>
      <c r="I2902" s="7" t="n">
        <v>45865</v>
      </c>
      <c r="J2902" s="8" t="str">
        <f aca="false">VLOOKUP(B2902, Table3[#All], 2, FALSE())</f>
        <v>Inventory</v>
      </c>
      <c r="K2902" s="8" t="str">
        <f aca="false">TEXT(ROW(), "0000")</f>
        <v>2902</v>
      </c>
      <c r="L2902" s="8"/>
    </row>
    <row r="2903" customFormat="false" ht="15.75" hidden="false" customHeight="true" outlineLevel="0" collapsed="false">
      <c r="A2903" s="7" t="n">
        <v>45858</v>
      </c>
      <c r="B2903" s="8" t="s">
        <v>44</v>
      </c>
      <c r="C2903" s="9" t="n">
        <v>1000</v>
      </c>
      <c r="D2903" s="8" t="s">
        <v>45</v>
      </c>
      <c r="E2903" s="10" t="s">
        <v>370</v>
      </c>
      <c r="F2903" s="8" t="str">
        <f aca="false">TEXT(A2903,"MM-YYYY")</f>
        <v>07-2025</v>
      </c>
      <c r="G2903" s="8" t="s">
        <v>14</v>
      </c>
      <c r="H2903" s="8" t="s">
        <v>15</v>
      </c>
      <c r="I2903" s="7" t="n">
        <v>45858</v>
      </c>
      <c r="J2903" s="8" t="str">
        <f aca="false">VLOOKUP(B2903, Table3[#All], 2, FALSE())</f>
        <v>Salary</v>
      </c>
      <c r="K2903" s="8" t="str">
        <f aca="false">TEXT(ROW(), "0000")</f>
        <v>2903</v>
      </c>
      <c r="L2903" s="8"/>
    </row>
    <row r="2904" customFormat="false" ht="15.75" hidden="false" customHeight="true" outlineLevel="0" collapsed="false">
      <c r="A2904" s="7" t="n">
        <v>45858</v>
      </c>
      <c r="B2904" s="8" t="s">
        <v>44</v>
      </c>
      <c r="C2904" s="9" t="n">
        <v>1000</v>
      </c>
      <c r="D2904" s="8" t="s">
        <v>45</v>
      </c>
      <c r="E2904" s="10" t="s">
        <v>371</v>
      </c>
      <c r="F2904" s="8" t="str">
        <f aca="false">TEXT(A2904,"MM-YYYY")</f>
        <v>07-2025</v>
      </c>
      <c r="G2904" s="8" t="s">
        <v>14</v>
      </c>
      <c r="H2904" s="8" t="s">
        <v>15</v>
      </c>
      <c r="I2904" s="7" t="n">
        <v>45858</v>
      </c>
      <c r="J2904" s="8" t="str">
        <f aca="false">VLOOKUP(B2904, Table3[#All], 2, FALSE())</f>
        <v>Salary</v>
      </c>
      <c r="K2904" s="8" t="str">
        <f aca="false">TEXT(ROW(), "0000")</f>
        <v>2904</v>
      </c>
      <c r="L2904" s="8"/>
    </row>
    <row r="2905" customFormat="false" ht="15.75" hidden="false" customHeight="true" outlineLevel="0" collapsed="false">
      <c r="A2905" s="7" t="n">
        <v>45858</v>
      </c>
      <c r="B2905" s="8" t="s">
        <v>44</v>
      </c>
      <c r="C2905" s="9" t="n">
        <v>7720</v>
      </c>
      <c r="D2905" s="8" t="s">
        <v>45</v>
      </c>
      <c r="E2905" s="10" t="s">
        <v>372</v>
      </c>
      <c r="F2905" s="8" t="str">
        <f aca="false">TEXT(A2905,"MM-YYYY")</f>
        <v>07-2025</v>
      </c>
      <c r="G2905" s="8" t="s">
        <v>14</v>
      </c>
      <c r="H2905" s="8" t="s">
        <v>15</v>
      </c>
      <c r="I2905" s="7" t="n">
        <v>45858</v>
      </c>
      <c r="J2905" s="8" t="str">
        <f aca="false">VLOOKUP(B2905, Table3[#All], 2, FALSE())</f>
        <v>Salary</v>
      </c>
      <c r="K2905" s="8" t="str">
        <f aca="false">TEXT(ROW(), "0000")</f>
        <v>2905</v>
      </c>
      <c r="L2905" s="8"/>
    </row>
    <row r="2906" customFormat="false" ht="15.75" hidden="false" customHeight="true" outlineLevel="0" collapsed="false">
      <c r="A2906" s="7" t="n">
        <v>45858</v>
      </c>
      <c r="B2906" s="8" t="s">
        <v>34</v>
      </c>
      <c r="C2906" s="9" t="n">
        <v>80</v>
      </c>
      <c r="D2906" s="8" t="s">
        <v>21</v>
      </c>
      <c r="E2906" s="10" t="s">
        <v>274</v>
      </c>
      <c r="F2906" s="8" t="str">
        <f aca="false">TEXT(A2906,"MM-YYYY")</f>
        <v>07-2025</v>
      </c>
      <c r="G2906" s="8" t="s">
        <v>14</v>
      </c>
      <c r="H2906" s="8" t="s">
        <v>15</v>
      </c>
      <c r="I2906" s="7" t="n">
        <v>45858</v>
      </c>
      <c r="J2906" s="8" t="str">
        <f aca="false">VLOOKUP(B2906, Table3[#All], 2, FALSE())</f>
        <v>Staff Expenses</v>
      </c>
      <c r="K2906" s="8" t="str">
        <f aca="false">TEXT(ROW(), "0000")</f>
        <v>2906</v>
      </c>
      <c r="L2906" s="8"/>
    </row>
    <row r="2907" customFormat="false" ht="15.75" hidden="false" customHeight="true" outlineLevel="0" collapsed="false">
      <c r="A2907" s="7" t="n">
        <v>45859</v>
      </c>
      <c r="B2907" s="8" t="s">
        <v>19</v>
      </c>
      <c r="C2907" s="9" t="n">
        <v>5735</v>
      </c>
      <c r="D2907" s="8" t="s">
        <v>13</v>
      </c>
      <c r="E2907" s="10" t="s">
        <v>20</v>
      </c>
      <c r="F2907" s="8" t="str">
        <f aca="false">TEXT(A2907,"MM-YYYY")</f>
        <v>07-2025</v>
      </c>
      <c r="G2907" s="8" t="s">
        <v>14</v>
      </c>
      <c r="H2907" s="8" t="s">
        <v>13</v>
      </c>
      <c r="I2907" s="7" t="n">
        <v>45865</v>
      </c>
      <c r="J2907" s="8" t="str">
        <f aca="false">VLOOKUP(B2907, Table3[#All], 2, FALSE())</f>
        <v>Inventory</v>
      </c>
      <c r="K2907" s="8" t="str">
        <f aca="false">TEXT(ROW(), "0000")</f>
        <v>2907</v>
      </c>
      <c r="L2907" s="8"/>
    </row>
    <row r="2908" customFormat="false" ht="15.75" hidden="false" customHeight="true" outlineLevel="0" collapsed="false">
      <c r="A2908" s="7" t="n">
        <v>45859</v>
      </c>
      <c r="B2908" s="8" t="s">
        <v>22</v>
      </c>
      <c r="C2908" s="9" t="n">
        <v>4662</v>
      </c>
      <c r="D2908" s="8" t="s">
        <v>13</v>
      </c>
      <c r="E2908" s="10" t="s">
        <v>23</v>
      </c>
      <c r="F2908" s="8" t="str">
        <f aca="false">TEXT(A2908,"MM-YYYY")</f>
        <v>07-2025</v>
      </c>
      <c r="G2908" s="8" t="s">
        <v>14</v>
      </c>
      <c r="H2908" s="8" t="s">
        <v>13</v>
      </c>
      <c r="I2908" s="7" t="n">
        <v>45865</v>
      </c>
      <c r="J2908" s="8" t="str">
        <f aca="false">VLOOKUP(B2908, Table3[#All], 2, FALSE())</f>
        <v>Inventory</v>
      </c>
      <c r="K2908" s="8" t="str">
        <f aca="false">TEXT(ROW(), "0000")</f>
        <v>2908</v>
      </c>
      <c r="L2908" s="8"/>
    </row>
    <row r="2909" customFormat="false" ht="15.75" hidden="false" customHeight="true" outlineLevel="0" collapsed="false">
      <c r="A2909" s="7" t="n">
        <v>45859</v>
      </c>
      <c r="B2909" s="8" t="s">
        <v>32</v>
      </c>
      <c r="C2909" s="9" t="n">
        <v>315</v>
      </c>
      <c r="D2909" s="8" t="s">
        <v>21</v>
      </c>
      <c r="E2909" s="10" t="s">
        <v>38</v>
      </c>
      <c r="F2909" s="8" t="str">
        <f aca="false">TEXT(A2909,"MM-YYYY")</f>
        <v>07-2025</v>
      </c>
      <c r="G2909" s="8" t="s">
        <v>14</v>
      </c>
      <c r="H2909" s="8" t="s">
        <v>15</v>
      </c>
      <c r="I2909" s="7" t="n">
        <v>45859</v>
      </c>
      <c r="J2909" s="8" t="str">
        <f aca="false">VLOOKUP(B2909, Table3[#All], 2, FALSE())</f>
        <v>Grocery</v>
      </c>
      <c r="K2909" s="8" t="str">
        <f aca="false">TEXT(ROW(), "0000")</f>
        <v>2909</v>
      </c>
      <c r="L2909" s="8"/>
    </row>
    <row r="2910" customFormat="false" ht="15.75" hidden="false" customHeight="true" outlineLevel="0" collapsed="false">
      <c r="A2910" s="7" t="n">
        <v>45859</v>
      </c>
      <c r="B2910" s="8" t="s">
        <v>25</v>
      </c>
      <c r="C2910" s="9" t="n">
        <v>1425</v>
      </c>
      <c r="D2910" s="8" t="s">
        <v>13</v>
      </c>
      <c r="E2910" s="10" t="s">
        <v>360</v>
      </c>
      <c r="F2910" s="8" t="str">
        <f aca="false">TEXT(A2910,"MM-YYYY")</f>
        <v>07-2025</v>
      </c>
      <c r="G2910" s="8" t="s">
        <v>18</v>
      </c>
      <c r="H2910" s="8"/>
      <c r="I2910" s="7"/>
      <c r="J2910" s="8" t="str">
        <f aca="false">VLOOKUP(B2910, Table3[#All], 2, FALSE())</f>
        <v>Inventory</v>
      </c>
      <c r="K2910" s="8" t="str">
        <f aca="false">TEXT(ROW(), "0000")</f>
        <v>2910</v>
      </c>
      <c r="L2910" s="8"/>
    </row>
    <row r="2911" customFormat="false" ht="15.75" hidden="false" customHeight="true" outlineLevel="0" collapsed="false">
      <c r="A2911" s="7" t="n">
        <v>45859</v>
      </c>
      <c r="B2911" s="8" t="s">
        <v>47</v>
      </c>
      <c r="C2911" s="9" t="n">
        <v>900</v>
      </c>
      <c r="D2911" s="8" t="s">
        <v>13</v>
      </c>
      <c r="E2911" s="10" t="s">
        <v>339</v>
      </c>
      <c r="F2911" s="8" t="str">
        <f aca="false">TEXT(A2911,"MM-YYYY")</f>
        <v>07-2025</v>
      </c>
      <c r="G2911" s="8" t="s">
        <v>14</v>
      </c>
      <c r="H2911" s="8" t="s">
        <v>13</v>
      </c>
      <c r="I2911" s="7" t="n">
        <v>45870</v>
      </c>
      <c r="J2911" s="8" t="str">
        <f aca="false">VLOOKUP(B2911, Table3[#All], 2, FALSE())</f>
        <v>Inventory</v>
      </c>
      <c r="K2911" s="8" t="str">
        <f aca="false">TEXT(ROW(), "0000")</f>
        <v>2911</v>
      </c>
      <c r="L2911" s="8"/>
    </row>
    <row r="2912" customFormat="false" ht="15.75" hidden="false" customHeight="true" outlineLevel="0" collapsed="false">
      <c r="A2912" s="7" t="n">
        <v>45859</v>
      </c>
      <c r="B2912" s="8" t="s">
        <v>53</v>
      </c>
      <c r="C2912" s="9" t="n">
        <v>1200</v>
      </c>
      <c r="D2912" s="8" t="s">
        <v>45</v>
      </c>
      <c r="E2912" s="10" t="s">
        <v>55</v>
      </c>
      <c r="F2912" s="8" t="str">
        <f aca="false">TEXT(A2912,"MM-YYYY")</f>
        <v>07-2025</v>
      </c>
      <c r="G2912" s="8" t="s">
        <v>14</v>
      </c>
      <c r="H2912" s="8" t="s">
        <v>15</v>
      </c>
      <c r="I2912" s="7" t="n">
        <v>45859</v>
      </c>
      <c r="J2912" s="8" t="str">
        <f aca="false">VLOOKUP(B2912, Table3[#All], 2, FALSE())</f>
        <v>Grocery</v>
      </c>
      <c r="K2912" s="8" t="str">
        <f aca="false">TEXT(ROW(), "0000")</f>
        <v>2912</v>
      </c>
      <c r="L2912" s="8"/>
    </row>
    <row r="2913" customFormat="false" ht="15.75" hidden="false" customHeight="true" outlineLevel="0" collapsed="false">
      <c r="A2913" s="7" t="n">
        <v>45859</v>
      </c>
      <c r="B2913" s="8" t="s">
        <v>29</v>
      </c>
      <c r="C2913" s="9" t="n">
        <v>363</v>
      </c>
      <c r="D2913" s="8" t="s">
        <v>13</v>
      </c>
      <c r="E2913" s="10" t="s">
        <v>302</v>
      </c>
      <c r="F2913" s="8" t="str">
        <f aca="false">TEXT(A2913,"MM-YYYY")</f>
        <v>07-2025</v>
      </c>
      <c r="G2913" s="8" t="s">
        <v>18</v>
      </c>
      <c r="H2913" s="8"/>
      <c r="I2913" s="7"/>
      <c r="J2913" s="8" t="str">
        <f aca="false">VLOOKUP(B2913, Table3[#All], 2, FALSE())</f>
        <v>Inventory</v>
      </c>
      <c r="K2913" s="8" t="str">
        <f aca="false">TEXT(ROW(), "0000")</f>
        <v>2913</v>
      </c>
      <c r="L2913" s="8"/>
    </row>
    <row r="2914" customFormat="false" ht="15.75" hidden="false" customHeight="true" outlineLevel="0" collapsed="false">
      <c r="A2914" s="7" t="n">
        <v>45859</v>
      </c>
      <c r="B2914" s="8" t="s">
        <v>16</v>
      </c>
      <c r="C2914" s="9" t="n">
        <v>680</v>
      </c>
      <c r="D2914" s="8" t="s">
        <v>21</v>
      </c>
      <c r="E2914" s="10" t="s">
        <v>88</v>
      </c>
      <c r="F2914" s="8" t="str">
        <f aca="false">TEXT(A2914,"MM-YYYY")</f>
        <v>07-2025</v>
      </c>
      <c r="G2914" s="8"/>
      <c r="H2914" s="8"/>
      <c r="I2914" s="7"/>
      <c r="J2914" s="8" t="str">
        <f aca="false">VLOOKUP(B2914, Table3[#All], 2, FALSE())</f>
        <v>Sales</v>
      </c>
      <c r="K2914" s="8" t="str">
        <f aca="false">TEXT(ROW(), "0000")</f>
        <v>2914</v>
      </c>
      <c r="L2914" s="8"/>
    </row>
    <row r="2915" customFormat="false" ht="15.75" hidden="false" customHeight="true" outlineLevel="0" collapsed="false">
      <c r="A2915" s="7" t="n">
        <v>45859</v>
      </c>
      <c r="B2915" s="8" t="s">
        <v>16</v>
      </c>
      <c r="C2915" s="9" t="n">
        <v>1245</v>
      </c>
      <c r="D2915" s="8" t="s">
        <v>33</v>
      </c>
      <c r="E2915" s="10" t="s">
        <v>88</v>
      </c>
      <c r="F2915" s="8" t="str">
        <f aca="false">TEXT(A2915,"MM-YYYY")</f>
        <v>07-2025</v>
      </c>
      <c r="G2915" s="8"/>
      <c r="H2915" s="8"/>
      <c r="I2915" s="7"/>
      <c r="J2915" s="8" t="str">
        <f aca="false">VLOOKUP(B2915, Table3[#All], 2, FALSE())</f>
        <v>Sales</v>
      </c>
      <c r="K2915" s="8" t="str">
        <f aca="false">TEXT(ROW(), "0000")</f>
        <v>2915</v>
      </c>
      <c r="L2915" s="8"/>
    </row>
    <row r="2916" customFormat="false" ht="15.75" hidden="false" customHeight="true" outlineLevel="0" collapsed="false">
      <c r="A2916" s="7" t="n">
        <v>45859</v>
      </c>
      <c r="B2916" s="8" t="s">
        <v>16</v>
      </c>
      <c r="C2916" s="9" t="n">
        <v>3970</v>
      </c>
      <c r="D2916" s="8" t="s">
        <v>17</v>
      </c>
      <c r="E2916" s="10" t="s">
        <v>88</v>
      </c>
      <c r="F2916" s="8" t="str">
        <f aca="false">TEXT(A2916,"MM-YYYY")</f>
        <v>07-2025</v>
      </c>
      <c r="G2916" s="8"/>
      <c r="H2916" s="8"/>
      <c r="I2916" s="7"/>
      <c r="J2916" s="8" t="str">
        <f aca="false">VLOOKUP(B2916, Table3[#All], 2, FALSE())</f>
        <v>Sales</v>
      </c>
      <c r="K2916" s="8" t="str">
        <f aca="false">TEXT(ROW(), "0000")</f>
        <v>2916</v>
      </c>
      <c r="L2916" s="8"/>
    </row>
    <row r="2917" customFormat="false" ht="15.75" hidden="false" customHeight="true" outlineLevel="0" collapsed="false">
      <c r="A2917" s="7" t="n">
        <v>45859</v>
      </c>
      <c r="B2917" s="8" t="s">
        <v>16</v>
      </c>
      <c r="C2917" s="9" t="n">
        <v>728</v>
      </c>
      <c r="D2917" s="8" t="s">
        <v>24</v>
      </c>
      <c r="E2917" s="10" t="s">
        <v>217</v>
      </c>
      <c r="F2917" s="8" t="str">
        <f aca="false">TEXT(A2917,"MM-YYYY")</f>
        <v>07-2025</v>
      </c>
      <c r="G2917" s="8"/>
      <c r="H2917" s="8"/>
      <c r="I2917" s="7"/>
      <c r="J2917" s="8" t="str">
        <f aca="false">VLOOKUP(B2917, Table3[#All], 2, FALSE())</f>
        <v>Sales</v>
      </c>
      <c r="K2917" s="8" t="str">
        <f aca="false">TEXT(ROW(), "0000")</f>
        <v>2917</v>
      </c>
      <c r="L2917" s="8"/>
    </row>
    <row r="2918" customFormat="false" ht="15.75" hidden="false" customHeight="true" outlineLevel="0" collapsed="false">
      <c r="A2918" s="7" t="n">
        <v>45859</v>
      </c>
      <c r="B2918" s="8" t="s">
        <v>29</v>
      </c>
      <c r="C2918" s="9" t="n">
        <v>50</v>
      </c>
      <c r="D2918" s="8" t="s">
        <v>45</v>
      </c>
      <c r="E2918" s="10" t="s">
        <v>41</v>
      </c>
      <c r="F2918" s="8" t="str">
        <f aca="false">TEXT(A2918,"MM-YYYY")</f>
        <v>07-2025</v>
      </c>
      <c r="G2918" s="8" t="s">
        <v>14</v>
      </c>
      <c r="H2918" s="8" t="s">
        <v>15</v>
      </c>
      <c r="I2918" s="7" t="n">
        <v>45859</v>
      </c>
      <c r="J2918" s="8" t="str">
        <f aca="false">VLOOKUP(B2918, Table3[#All], 2, FALSE())</f>
        <v>Inventory</v>
      </c>
      <c r="K2918" s="8" t="str">
        <f aca="false">TEXT(ROW(), "0000")</f>
        <v>2918</v>
      </c>
      <c r="L2918" s="8"/>
    </row>
    <row r="2919" customFormat="false" ht="15.75" hidden="false" customHeight="true" outlineLevel="0" collapsed="false">
      <c r="A2919" s="7" t="n">
        <v>45859</v>
      </c>
      <c r="B2919" s="8" t="s">
        <v>34</v>
      </c>
      <c r="C2919" s="9" t="n">
        <v>65</v>
      </c>
      <c r="D2919" s="8" t="s">
        <v>21</v>
      </c>
      <c r="E2919" s="10" t="s">
        <v>274</v>
      </c>
      <c r="F2919" s="8" t="str">
        <f aca="false">TEXT(A2919,"MM-YYYY")</f>
        <v>07-2025</v>
      </c>
      <c r="G2919" s="8" t="s">
        <v>14</v>
      </c>
      <c r="H2919" s="8" t="s">
        <v>15</v>
      </c>
      <c r="I2919" s="7" t="n">
        <v>45859</v>
      </c>
      <c r="J2919" s="8" t="str">
        <f aca="false">VLOOKUP(B2919, Table3[#All], 2, FALSE())</f>
        <v>Staff Expenses</v>
      </c>
      <c r="K2919" s="8" t="str">
        <f aca="false">TEXT(ROW(), "0000")</f>
        <v>2919</v>
      </c>
      <c r="L2919" s="8"/>
    </row>
    <row r="2920" customFormat="false" ht="15.75" hidden="false" customHeight="true" outlineLevel="0" collapsed="false">
      <c r="A2920" s="7" t="n">
        <v>45860</v>
      </c>
      <c r="B2920" s="8" t="s">
        <v>25</v>
      </c>
      <c r="C2920" s="9" t="n">
        <v>446</v>
      </c>
      <c r="D2920" s="8" t="s">
        <v>13</v>
      </c>
      <c r="E2920" s="10" t="s">
        <v>360</v>
      </c>
      <c r="F2920" s="8" t="str">
        <f aca="false">TEXT(A2920,"MM-YYYY")</f>
        <v>07-2025</v>
      </c>
      <c r="G2920" s="8" t="s">
        <v>18</v>
      </c>
      <c r="H2920" s="8"/>
      <c r="I2920" s="7"/>
      <c r="J2920" s="8" t="str">
        <f aca="false">VLOOKUP(B2920, Table3[#All], 2, FALSE())</f>
        <v>Inventory</v>
      </c>
      <c r="K2920" s="8" t="str">
        <f aca="false">TEXT(ROW(), "0000")</f>
        <v>2920</v>
      </c>
      <c r="L2920" s="8"/>
    </row>
    <row r="2921" customFormat="false" ht="15.75" hidden="false" customHeight="true" outlineLevel="0" collapsed="false">
      <c r="A2921" s="7" t="n">
        <v>45860</v>
      </c>
      <c r="B2921" s="8" t="s">
        <v>29</v>
      </c>
      <c r="C2921" s="9" t="n">
        <v>550</v>
      </c>
      <c r="D2921" s="8" t="s">
        <v>45</v>
      </c>
      <c r="E2921" s="10" t="s">
        <v>78</v>
      </c>
      <c r="F2921" s="8" t="str">
        <f aca="false">TEXT(A2921,"MM-YYYY")</f>
        <v>07-2025</v>
      </c>
      <c r="G2921" s="8" t="s">
        <v>14</v>
      </c>
      <c r="H2921" s="8" t="s">
        <v>15</v>
      </c>
      <c r="I2921" s="7" t="n">
        <v>45860</v>
      </c>
      <c r="J2921" s="8" t="str">
        <f aca="false">VLOOKUP(B2921, Table3[#All], 2, FALSE())</f>
        <v>Inventory</v>
      </c>
      <c r="K2921" s="8" t="str">
        <f aca="false">TEXT(ROW(), "0000")</f>
        <v>2921</v>
      </c>
      <c r="L2921" s="8"/>
    </row>
    <row r="2922" customFormat="false" ht="15.75" hidden="false" customHeight="true" outlineLevel="0" collapsed="false">
      <c r="A2922" s="7" t="n">
        <v>45860</v>
      </c>
      <c r="B2922" s="8" t="s">
        <v>22</v>
      </c>
      <c r="C2922" s="9" t="n">
        <v>528</v>
      </c>
      <c r="D2922" s="8" t="s">
        <v>13</v>
      </c>
      <c r="E2922" s="10" t="s">
        <v>23</v>
      </c>
      <c r="F2922" s="8" t="str">
        <f aca="false">TEXT(A2922,"MM-YYYY")</f>
        <v>07-2025</v>
      </c>
      <c r="G2922" s="8" t="s">
        <v>14</v>
      </c>
      <c r="H2922" s="8" t="s">
        <v>13</v>
      </c>
      <c r="I2922" s="7" t="n">
        <v>45865</v>
      </c>
      <c r="J2922" s="8" t="str">
        <f aca="false">VLOOKUP(B2922, Table3[#All], 2, FALSE())</f>
        <v>Inventory</v>
      </c>
      <c r="K2922" s="8" t="str">
        <f aca="false">TEXT(ROW(), "0000")</f>
        <v>2922</v>
      </c>
      <c r="L2922" s="8"/>
    </row>
    <row r="2923" customFormat="false" ht="15.75" hidden="false" customHeight="true" outlineLevel="0" collapsed="false">
      <c r="A2923" s="7" t="n">
        <v>45860</v>
      </c>
      <c r="B2923" s="8" t="s">
        <v>25</v>
      </c>
      <c r="C2923" s="9" t="n">
        <v>150</v>
      </c>
      <c r="D2923" s="8" t="s">
        <v>45</v>
      </c>
      <c r="E2923" s="10" t="s">
        <v>373</v>
      </c>
      <c r="F2923" s="8" t="str">
        <f aca="false">TEXT(A2923,"MM-YYYY")</f>
        <v>07-2025</v>
      </c>
      <c r="G2923" s="8" t="s">
        <v>14</v>
      </c>
      <c r="H2923" s="8" t="s">
        <v>15</v>
      </c>
      <c r="I2923" s="7" t="n">
        <v>45853</v>
      </c>
      <c r="J2923" s="8" t="str">
        <f aca="false">VLOOKUP(B2923, Table3[#All], 2, FALSE())</f>
        <v>Inventory</v>
      </c>
      <c r="K2923" s="8" t="str">
        <f aca="false">TEXT(ROW(), "0000")</f>
        <v>2923</v>
      </c>
      <c r="L2923" s="8"/>
    </row>
    <row r="2924" customFormat="false" ht="15.75" hidden="false" customHeight="true" outlineLevel="0" collapsed="false">
      <c r="A2924" s="7" t="n">
        <v>45860</v>
      </c>
      <c r="B2924" s="8" t="s">
        <v>22</v>
      </c>
      <c r="C2924" s="9" t="n">
        <v>1914</v>
      </c>
      <c r="D2924" s="8" t="s">
        <v>13</v>
      </c>
      <c r="E2924" s="10" t="s">
        <v>23</v>
      </c>
      <c r="F2924" s="8" t="str">
        <f aca="false">TEXT(A2924,"MM-YYYY")</f>
        <v>07-2025</v>
      </c>
      <c r="G2924" s="8" t="s">
        <v>14</v>
      </c>
      <c r="H2924" s="8" t="s">
        <v>13</v>
      </c>
      <c r="I2924" s="7" t="n">
        <v>45869</v>
      </c>
      <c r="J2924" s="8" t="str">
        <f aca="false">VLOOKUP(B2924, Table3[#All], 2, FALSE())</f>
        <v>Inventory</v>
      </c>
      <c r="K2924" s="8" t="str">
        <f aca="false">TEXT(ROW(), "0000")</f>
        <v>2924</v>
      </c>
      <c r="L2924" s="8"/>
    </row>
    <row r="2925" customFormat="false" ht="15.75" hidden="false" customHeight="true" outlineLevel="0" collapsed="false">
      <c r="A2925" s="7" t="n">
        <v>45860</v>
      </c>
      <c r="B2925" s="8" t="s">
        <v>50</v>
      </c>
      <c r="C2925" s="9" t="n">
        <v>1678</v>
      </c>
      <c r="D2925" s="8" t="s">
        <v>13</v>
      </c>
      <c r="E2925" s="10" t="s">
        <v>263</v>
      </c>
      <c r="F2925" s="8" t="str">
        <f aca="false">TEXT(A2925,"MM-YYYY")</f>
        <v>07-2025</v>
      </c>
      <c r="G2925" s="8" t="s">
        <v>18</v>
      </c>
      <c r="H2925" s="8"/>
      <c r="I2925" s="7"/>
      <c r="J2925" s="8" t="str">
        <f aca="false">VLOOKUP(B2925, Table3[#All], 2, FALSE())</f>
        <v>Fixed Maintance</v>
      </c>
      <c r="K2925" s="8" t="str">
        <f aca="false">TEXT(ROW(), "0000")</f>
        <v>2925</v>
      </c>
      <c r="L2925" s="8"/>
    </row>
    <row r="2926" customFormat="false" ht="15.75" hidden="false" customHeight="true" outlineLevel="0" collapsed="false">
      <c r="A2926" s="7" t="n">
        <v>45860</v>
      </c>
      <c r="B2926" s="8" t="s">
        <v>29</v>
      </c>
      <c r="C2926" s="9" t="n">
        <v>285</v>
      </c>
      <c r="D2926" s="8" t="s">
        <v>13</v>
      </c>
      <c r="E2926" s="10" t="s">
        <v>302</v>
      </c>
      <c r="F2926" s="8" t="str">
        <f aca="false">TEXT(A2926,"MM-YYYY")</f>
        <v>07-2025</v>
      </c>
      <c r="G2926" s="8" t="s">
        <v>18</v>
      </c>
      <c r="H2926" s="8"/>
      <c r="I2926" s="7"/>
      <c r="J2926" s="8" t="str">
        <f aca="false">VLOOKUP(B2926, Table3[#All], 2, FALSE())</f>
        <v>Inventory</v>
      </c>
      <c r="K2926" s="8" t="str">
        <f aca="false">TEXT(ROW(), "0000")</f>
        <v>2926</v>
      </c>
      <c r="L2926" s="8"/>
    </row>
    <row r="2927" customFormat="false" ht="15.75" hidden="false" customHeight="true" outlineLevel="0" collapsed="false">
      <c r="A2927" s="7" t="n">
        <v>45860</v>
      </c>
      <c r="B2927" s="8" t="s">
        <v>16</v>
      </c>
      <c r="C2927" s="9" t="n">
        <v>3455</v>
      </c>
      <c r="D2927" s="8" t="s">
        <v>21</v>
      </c>
      <c r="E2927" s="10" t="s">
        <v>88</v>
      </c>
      <c r="F2927" s="8" t="str">
        <f aca="false">TEXT(A2927,"MM-YYYY")</f>
        <v>07-2025</v>
      </c>
      <c r="G2927" s="8"/>
      <c r="H2927" s="8"/>
      <c r="I2927" s="7"/>
      <c r="J2927" s="8" t="str">
        <f aca="false">VLOOKUP(B2927, Table3[#All], 2, FALSE())</f>
        <v>Sales</v>
      </c>
      <c r="K2927" s="8" t="str">
        <f aca="false">TEXT(ROW(), "0000")</f>
        <v>2927</v>
      </c>
      <c r="L2927" s="8"/>
    </row>
    <row r="2928" customFormat="false" ht="15.75" hidden="false" customHeight="true" outlineLevel="0" collapsed="false">
      <c r="A2928" s="7" t="n">
        <v>45860</v>
      </c>
      <c r="B2928" s="8" t="s">
        <v>16</v>
      </c>
      <c r="C2928" s="9" t="n">
        <v>1525</v>
      </c>
      <c r="D2928" s="8" t="s">
        <v>33</v>
      </c>
      <c r="E2928" s="10" t="s">
        <v>88</v>
      </c>
      <c r="F2928" s="8" t="str">
        <f aca="false">TEXT(A2928,"MM-YYYY")</f>
        <v>07-2025</v>
      </c>
      <c r="G2928" s="8"/>
      <c r="H2928" s="8"/>
      <c r="I2928" s="7"/>
      <c r="J2928" s="8" t="str">
        <f aca="false">VLOOKUP(B2928, Table3[#All], 2, FALSE())</f>
        <v>Sales</v>
      </c>
      <c r="K2928" s="8" t="str">
        <f aca="false">TEXT(ROW(), "0000")</f>
        <v>2928</v>
      </c>
      <c r="L2928" s="8"/>
    </row>
    <row r="2929" customFormat="false" ht="15.75" hidden="false" customHeight="true" outlineLevel="0" collapsed="false">
      <c r="A2929" s="7" t="n">
        <v>45860</v>
      </c>
      <c r="B2929" s="8" t="s">
        <v>16</v>
      </c>
      <c r="C2929" s="9" t="n">
        <v>10240</v>
      </c>
      <c r="D2929" s="8" t="s">
        <v>17</v>
      </c>
      <c r="E2929" s="10" t="s">
        <v>88</v>
      </c>
      <c r="F2929" s="8" t="str">
        <f aca="false">TEXT(A2929,"MM-YYYY")</f>
        <v>07-2025</v>
      </c>
      <c r="G2929" s="8"/>
      <c r="H2929" s="8"/>
      <c r="I2929" s="7"/>
      <c r="J2929" s="8" t="str">
        <f aca="false">VLOOKUP(B2929, Table3[#All], 2, FALSE())</f>
        <v>Sales</v>
      </c>
      <c r="K2929" s="8" t="str">
        <f aca="false">TEXT(ROW(), "0000")</f>
        <v>2929</v>
      </c>
      <c r="L2929" s="8"/>
    </row>
    <row r="2930" customFormat="false" ht="15.75" hidden="false" customHeight="true" outlineLevel="0" collapsed="false">
      <c r="A2930" s="7" t="n">
        <v>45860</v>
      </c>
      <c r="B2930" s="8" t="s">
        <v>16</v>
      </c>
      <c r="C2930" s="9" t="n">
        <v>455</v>
      </c>
      <c r="D2930" s="8" t="s">
        <v>59</v>
      </c>
      <c r="E2930" s="10" t="s">
        <v>88</v>
      </c>
      <c r="F2930" s="8" t="str">
        <f aca="false">TEXT(A2930,"MM-YYYY")</f>
        <v>07-2025</v>
      </c>
      <c r="G2930" s="8"/>
      <c r="H2930" s="8"/>
      <c r="I2930" s="7"/>
      <c r="J2930" s="8" t="str">
        <f aca="false">VLOOKUP(B2930, Table3[#All], 2, FALSE())</f>
        <v>Sales</v>
      </c>
      <c r="K2930" s="8" t="str">
        <f aca="false">TEXT(ROW(), "0000")</f>
        <v>2930</v>
      </c>
      <c r="L2930" s="8"/>
    </row>
    <row r="2931" customFormat="false" ht="15.75" hidden="false" customHeight="true" outlineLevel="0" collapsed="false">
      <c r="A2931" s="7" t="n">
        <v>45860</v>
      </c>
      <c r="B2931" s="8" t="s">
        <v>16</v>
      </c>
      <c r="C2931" s="9" t="n">
        <v>1358</v>
      </c>
      <c r="D2931" s="8" t="s">
        <v>24</v>
      </c>
      <c r="E2931" s="10" t="s">
        <v>217</v>
      </c>
      <c r="F2931" s="8" t="str">
        <f aca="false">TEXT(A2931,"MM-YYYY")</f>
        <v>07-2025</v>
      </c>
      <c r="G2931" s="8"/>
      <c r="H2931" s="8"/>
      <c r="I2931" s="7"/>
      <c r="J2931" s="8" t="str">
        <f aca="false">VLOOKUP(B2931, Table3[#All], 2, FALSE())</f>
        <v>Sales</v>
      </c>
      <c r="K2931" s="8" t="str">
        <f aca="false">TEXT(ROW(), "0000")</f>
        <v>2931</v>
      </c>
      <c r="L2931" s="8"/>
    </row>
    <row r="2932" customFormat="false" ht="15.75" hidden="false" customHeight="true" outlineLevel="0" collapsed="false">
      <c r="A2932" s="7" t="n">
        <v>45860</v>
      </c>
      <c r="B2932" s="8" t="s">
        <v>34</v>
      </c>
      <c r="C2932" s="9" t="n">
        <v>55</v>
      </c>
      <c r="D2932" s="8" t="s">
        <v>21</v>
      </c>
      <c r="E2932" s="10" t="s">
        <v>274</v>
      </c>
      <c r="F2932" s="8" t="str">
        <f aca="false">TEXT(A2932,"MM-YYYY")</f>
        <v>07-2025</v>
      </c>
      <c r="G2932" s="8" t="s">
        <v>14</v>
      </c>
      <c r="H2932" s="8" t="s">
        <v>15</v>
      </c>
      <c r="I2932" s="7" t="n">
        <v>45860</v>
      </c>
      <c r="J2932" s="8" t="str">
        <f aca="false">VLOOKUP(B2932, Table3[#All], 2, FALSE())</f>
        <v>Staff Expenses</v>
      </c>
      <c r="K2932" s="8" t="str">
        <f aca="false">TEXT(ROW(), "0000")</f>
        <v>2932</v>
      </c>
      <c r="L2932" s="8"/>
    </row>
    <row r="2933" customFormat="false" ht="15.75" hidden="false" customHeight="true" outlineLevel="0" collapsed="false">
      <c r="A2933" s="7" t="n">
        <v>45861</v>
      </c>
      <c r="B2933" s="8" t="s">
        <v>28</v>
      </c>
      <c r="C2933" s="9" t="n">
        <v>950</v>
      </c>
      <c r="D2933" s="8" t="s">
        <v>21</v>
      </c>
      <c r="E2933" s="10" t="s">
        <v>93</v>
      </c>
      <c r="F2933" s="8" t="str">
        <f aca="false">TEXT(A2933,"MM-YYYY")</f>
        <v>07-2025</v>
      </c>
      <c r="G2933" s="8" t="s">
        <v>14</v>
      </c>
      <c r="H2933" s="8" t="s">
        <v>15</v>
      </c>
      <c r="I2933" s="7" t="n">
        <v>45861</v>
      </c>
      <c r="J2933" s="8" t="str">
        <f aca="false">VLOOKUP(B2933, Table3[#All], 2, FALSE())</f>
        <v>Grocery</v>
      </c>
      <c r="K2933" s="8" t="str">
        <f aca="false">TEXT(ROW(), "0000")</f>
        <v>2933</v>
      </c>
      <c r="L2933" s="8"/>
    </row>
    <row r="2934" customFormat="false" ht="15.75" hidden="false" customHeight="true" outlineLevel="0" collapsed="false">
      <c r="A2934" s="7" t="n">
        <v>45861</v>
      </c>
      <c r="B2934" s="8" t="s">
        <v>40</v>
      </c>
      <c r="C2934" s="9" t="n">
        <v>400</v>
      </c>
      <c r="D2934" s="8" t="s">
        <v>21</v>
      </c>
      <c r="E2934" s="10" t="s">
        <v>46</v>
      </c>
      <c r="F2934" s="8" t="str">
        <f aca="false">TEXT(A2934,"MM-YYYY")</f>
        <v>07-2025</v>
      </c>
      <c r="G2934" s="8" t="s">
        <v>14</v>
      </c>
      <c r="H2934" s="8" t="s">
        <v>15</v>
      </c>
      <c r="I2934" s="7" t="n">
        <v>45861</v>
      </c>
      <c r="J2934" s="8" t="str">
        <f aca="false">VLOOKUP(B2934, Table3[#All], 2, FALSE())</f>
        <v>Inventory</v>
      </c>
      <c r="K2934" s="8" t="str">
        <f aca="false">TEXT(ROW(), "0000")</f>
        <v>2934</v>
      </c>
      <c r="L2934" s="8"/>
    </row>
    <row r="2935" customFormat="false" ht="15.75" hidden="false" customHeight="true" outlineLevel="0" collapsed="false">
      <c r="A2935" s="7" t="n">
        <v>45861</v>
      </c>
      <c r="B2935" s="8" t="s">
        <v>34</v>
      </c>
      <c r="C2935" s="9" t="n">
        <v>20</v>
      </c>
      <c r="D2935" s="8" t="s">
        <v>21</v>
      </c>
      <c r="E2935" s="10" t="s">
        <v>34</v>
      </c>
      <c r="F2935" s="8" t="str">
        <f aca="false">TEXT(A2935,"MM-YYYY")</f>
        <v>07-2025</v>
      </c>
      <c r="G2935" s="8" t="s">
        <v>14</v>
      </c>
      <c r="H2935" s="8" t="s">
        <v>15</v>
      </c>
      <c r="I2935" s="7" t="n">
        <v>45861</v>
      </c>
      <c r="J2935" s="8" t="str">
        <f aca="false">VLOOKUP(B2935, Table3[#All], 2, FALSE())</f>
        <v>Staff Expenses</v>
      </c>
      <c r="K2935" s="8" t="str">
        <f aca="false">TEXT(ROW(), "0000")</f>
        <v>2935</v>
      </c>
      <c r="L2935" s="8"/>
    </row>
    <row r="2936" customFormat="false" ht="15.75" hidden="false" customHeight="true" outlineLevel="0" collapsed="false">
      <c r="A2936" s="7" t="n">
        <v>45861</v>
      </c>
      <c r="B2936" s="8" t="s">
        <v>22</v>
      </c>
      <c r="C2936" s="9" t="n">
        <v>700</v>
      </c>
      <c r="D2936" s="8" t="s">
        <v>21</v>
      </c>
      <c r="E2936" s="10" t="s">
        <v>374</v>
      </c>
      <c r="F2936" s="8" t="str">
        <f aca="false">TEXT(A2936,"MM-YYYY")</f>
        <v>07-2025</v>
      </c>
      <c r="G2936" s="8" t="s">
        <v>14</v>
      </c>
      <c r="H2936" s="8" t="s">
        <v>15</v>
      </c>
      <c r="I2936" s="7" t="n">
        <v>45861</v>
      </c>
      <c r="J2936" s="8" t="str">
        <f aca="false">VLOOKUP(B2936, Table3[#All], 2, FALSE())</f>
        <v>Inventory</v>
      </c>
      <c r="K2936" s="8" t="str">
        <f aca="false">TEXT(ROW(), "0000")</f>
        <v>2936</v>
      </c>
      <c r="L2936" s="8"/>
    </row>
    <row r="2937" customFormat="false" ht="15.75" hidden="false" customHeight="true" outlineLevel="0" collapsed="false">
      <c r="A2937" s="7" t="n">
        <v>45861</v>
      </c>
      <c r="B2937" s="8" t="s">
        <v>32</v>
      </c>
      <c r="C2937" s="9" t="n">
        <v>60</v>
      </c>
      <c r="D2937" s="8" t="s">
        <v>21</v>
      </c>
      <c r="E2937" s="10" t="s">
        <v>38</v>
      </c>
      <c r="F2937" s="8" t="str">
        <f aca="false">TEXT(A2937,"MM-YYYY")</f>
        <v>07-2025</v>
      </c>
      <c r="G2937" s="8" t="s">
        <v>14</v>
      </c>
      <c r="H2937" s="8" t="s">
        <v>15</v>
      </c>
      <c r="I2937" s="7" t="n">
        <v>45861</v>
      </c>
      <c r="J2937" s="8" t="str">
        <f aca="false">VLOOKUP(B2937, Table3[#All], 2, FALSE())</f>
        <v>Grocery</v>
      </c>
      <c r="K2937" s="8" t="str">
        <f aca="false">TEXT(ROW(), "0000")</f>
        <v>2937</v>
      </c>
      <c r="L2937" s="8"/>
    </row>
    <row r="2938" customFormat="false" ht="15.75" hidden="false" customHeight="true" outlineLevel="0" collapsed="false">
      <c r="A2938" s="7" t="n">
        <v>45861</v>
      </c>
      <c r="B2938" s="8" t="s">
        <v>16</v>
      </c>
      <c r="C2938" s="9" t="n">
        <v>1850</v>
      </c>
      <c r="D2938" s="8" t="s">
        <v>21</v>
      </c>
      <c r="E2938" s="10" t="s">
        <v>88</v>
      </c>
      <c r="F2938" s="8" t="str">
        <f aca="false">TEXT(A2938,"MM-YYYY")</f>
        <v>07-2025</v>
      </c>
      <c r="G2938" s="8"/>
      <c r="H2938" s="8"/>
      <c r="I2938" s="7"/>
      <c r="J2938" s="8" t="str">
        <f aca="false">VLOOKUP(B2938, Table3[#All], 2, FALSE())</f>
        <v>Sales</v>
      </c>
      <c r="K2938" s="8" t="str">
        <f aca="false">TEXT(ROW(), "0000")</f>
        <v>2938</v>
      </c>
      <c r="L2938" s="8"/>
    </row>
    <row r="2939" customFormat="false" ht="15.75" hidden="false" customHeight="true" outlineLevel="0" collapsed="false">
      <c r="A2939" s="7" t="n">
        <v>45861</v>
      </c>
      <c r="B2939" s="8" t="s">
        <v>16</v>
      </c>
      <c r="C2939" s="9" t="n">
        <v>250</v>
      </c>
      <c r="D2939" s="8" t="s">
        <v>27</v>
      </c>
      <c r="E2939" s="10" t="s">
        <v>88</v>
      </c>
      <c r="F2939" s="8" t="str">
        <f aca="false">TEXT(A2939,"MM-YYYY")</f>
        <v>07-2025</v>
      </c>
      <c r="G2939" s="8"/>
      <c r="H2939" s="8"/>
      <c r="I2939" s="7"/>
      <c r="J2939" s="8" t="str">
        <f aca="false">VLOOKUP(B2939, Table3[#All], 2, FALSE())</f>
        <v>Sales</v>
      </c>
      <c r="K2939" s="8" t="str">
        <f aca="false">TEXT(ROW(), "0000")</f>
        <v>2939</v>
      </c>
      <c r="L2939" s="8"/>
    </row>
    <row r="2940" customFormat="false" ht="15.75" hidden="false" customHeight="true" outlineLevel="0" collapsed="false">
      <c r="A2940" s="7" t="n">
        <v>45861</v>
      </c>
      <c r="B2940" s="8" t="s">
        <v>16</v>
      </c>
      <c r="C2940" s="9" t="n">
        <v>1750</v>
      </c>
      <c r="D2940" s="8" t="s">
        <v>33</v>
      </c>
      <c r="E2940" s="10" t="s">
        <v>88</v>
      </c>
      <c r="F2940" s="8" t="str">
        <f aca="false">TEXT(A2940,"MM-YYYY")</f>
        <v>07-2025</v>
      </c>
      <c r="G2940" s="8"/>
      <c r="H2940" s="8"/>
      <c r="I2940" s="7"/>
      <c r="J2940" s="8" t="str">
        <f aca="false">VLOOKUP(B2940, Table3[#All], 2, FALSE())</f>
        <v>Sales</v>
      </c>
      <c r="K2940" s="8" t="str">
        <f aca="false">TEXT(ROW(), "0000")</f>
        <v>2940</v>
      </c>
      <c r="L2940" s="8"/>
    </row>
    <row r="2941" customFormat="false" ht="15.75" hidden="false" customHeight="true" outlineLevel="0" collapsed="false">
      <c r="A2941" s="7" t="n">
        <v>45861</v>
      </c>
      <c r="B2941" s="8" t="s">
        <v>16</v>
      </c>
      <c r="C2941" s="9" t="n">
        <v>18449</v>
      </c>
      <c r="D2941" s="8" t="s">
        <v>17</v>
      </c>
      <c r="E2941" s="10" t="s">
        <v>88</v>
      </c>
      <c r="F2941" s="8" t="str">
        <f aca="false">TEXT(A2941,"MM-YYYY")</f>
        <v>07-2025</v>
      </c>
      <c r="G2941" s="8"/>
      <c r="H2941" s="8"/>
      <c r="I2941" s="7"/>
      <c r="J2941" s="8" t="str">
        <f aca="false">VLOOKUP(B2941, Table3[#All], 2, FALSE())</f>
        <v>Sales</v>
      </c>
      <c r="K2941" s="8" t="str">
        <f aca="false">TEXT(ROW(), "0000")</f>
        <v>2941</v>
      </c>
      <c r="L2941" s="8"/>
    </row>
    <row r="2942" customFormat="false" ht="15.75" hidden="false" customHeight="true" outlineLevel="0" collapsed="false">
      <c r="A2942" s="7" t="n">
        <v>45861</v>
      </c>
      <c r="B2942" s="8" t="s">
        <v>16</v>
      </c>
      <c r="C2942" s="9" t="n">
        <v>1369</v>
      </c>
      <c r="D2942" s="8" t="s">
        <v>24</v>
      </c>
      <c r="E2942" s="10" t="s">
        <v>217</v>
      </c>
      <c r="F2942" s="8" t="str">
        <f aca="false">TEXT(A2942,"MM-YYYY")</f>
        <v>07-2025</v>
      </c>
      <c r="G2942" s="8"/>
      <c r="H2942" s="8"/>
      <c r="I2942" s="7"/>
      <c r="J2942" s="8" t="str">
        <f aca="false">VLOOKUP(B2942, Table3[#All], 2, FALSE())</f>
        <v>Sales</v>
      </c>
      <c r="K2942" s="8" t="str">
        <f aca="false">TEXT(ROW(), "0000")</f>
        <v>2942</v>
      </c>
      <c r="L2942" s="8"/>
    </row>
    <row r="2943" customFormat="false" ht="15.75" hidden="false" customHeight="true" outlineLevel="0" collapsed="false">
      <c r="A2943" s="7" t="n">
        <v>45861</v>
      </c>
      <c r="B2943" s="8" t="s">
        <v>16</v>
      </c>
      <c r="C2943" s="9" t="n">
        <v>399</v>
      </c>
      <c r="D2943" s="8" t="s">
        <v>59</v>
      </c>
      <c r="E2943" s="10" t="s">
        <v>88</v>
      </c>
      <c r="F2943" s="8" t="str">
        <f aca="false">TEXT(A2943,"MM-YYYY")</f>
        <v>07-2025</v>
      </c>
      <c r="G2943" s="8"/>
      <c r="H2943" s="8"/>
      <c r="I2943" s="7"/>
      <c r="J2943" s="8" t="str">
        <f aca="false">VLOOKUP(B2943, Table3[#All], 2, FALSE())</f>
        <v>Sales</v>
      </c>
      <c r="K2943" s="8" t="str">
        <f aca="false">TEXT(ROW(), "0000")</f>
        <v>2943</v>
      </c>
      <c r="L2943" s="8"/>
    </row>
    <row r="2944" customFormat="false" ht="15.75" hidden="false" customHeight="true" outlineLevel="0" collapsed="false">
      <c r="A2944" s="7" t="n">
        <v>45861</v>
      </c>
      <c r="B2944" s="8" t="s">
        <v>29</v>
      </c>
      <c r="C2944" s="9" t="n">
        <v>187</v>
      </c>
      <c r="D2944" s="8" t="s">
        <v>13</v>
      </c>
      <c r="E2944" s="10" t="s">
        <v>302</v>
      </c>
      <c r="F2944" s="8" t="str">
        <f aca="false">TEXT(A2944,"MM-YYYY")</f>
        <v>07-2025</v>
      </c>
      <c r="G2944" s="8" t="s">
        <v>18</v>
      </c>
      <c r="H2944" s="8"/>
      <c r="I2944" s="7"/>
      <c r="J2944" s="8" t="str">
        <f aca="false">VLOOKUP(B2944, Table3[#All], 2, FALSE())</f>
        <v>Inventory</v>
      </c>
      <c r="K2944" s="8" t="str">
        <f aca="false">TEXT(ROW(), "0000")</f>
        <v>2944</v>
      </c>
      <c r="L2944" s="8"/>
    </row>
    <row r="2945" customFormat="false" ht="15.75" hidden="false" customHeight="true" outlineLevel="0" collapsed="false">
      <c r="A2945" s="7" t="n">
        <v>45861</v>
      </c>
      <c r="B2945" s="8" t="s">
        <v>19</v>
      </c>
      <c r="C2945" s="9" t="n">
        <v>3170</v>
      </c>
      <c r="D2945" s="8" t="s">
        <v>13</v>
      </c>
      <c r="E2945" s="10" t="s">
        <v>20</v>
      </c>
      <c r="F2945" s="8" t="str">
        <f aca="false">TEXT(A2945,"MM-YYYY")</f>
        <v>07-2025</v>
      </c>
      <c r="G2945" s="8" t="s">
        <v>14</v>
      </c>
      <c r="H2945" s="8" t="s">
        <v>13</v>
      </c>
      <c r="I2945" s="7" t="n">
        <v>45865</v>
      </c>
      <c r="J2945" s="8" t="str">
        <f aca="false">VLOOKUP(B2945, Table3[#All], 2, FALSE())</f>
        <v>Inventory</v>
      </c>
      <c r="K2945" s="8" t="str">
        <f aca="false">TEXT(ROW(), "0000")</f>
        <v>2945</v>
      </c>
      <c r="L2945" s="8"/>
    </row>
    <row r="2946" customFormat="false" ht="15.75" hidden="false" customHeight="true" outlineLevel="0" collapsed="false">
      <c r="A2946" s="7" t="n">
        <v>45861</v>
      </c>
      <c r="B2946" s="8" t="s">
        <v>25</v>
      </c>
      <c r="C2946" s="9" t="n">
        <v>603</v>
      </c>
      <c r="D2946" s="8" t="s">
        <v>13</v>
      </c>
      <c r="E2946" s="10" t="s">
        <v>360</v>
      </c>
      <c r="F2946" s="8" t="str">
        <f aca="false">TEXT(A2946,"MM-YYYY")</f>
        <v>07-2025</v>
      </c>
      <c r="G2946" s="8" t="s">
        <v>18</v>
      </c>
      <c r="H2946" s="8"/>
      <c r="I2946" s="7"/>
      <c r="J2946" s="8" t="str">
        <f aca="false">VLOOKUP(B2946, Table3[#All], 2, FALSE())</f>
        <v>Inventory</v>
      </c>
      <c r="K2946" s="8" t="str">
        <f aca="false">TEXT(ROW(), "0000")</f>
        <v>2946</v>
      </c>
      <c r="L2946" s="8"/>
    </row>
    <row r="2947" customFormat="false" ht="15.75" hidden="false" customHeight="true" outlineLevel="0" collapsed="false">
      <c r="A2947" s="7" t="n">
        <v>45861</v>
      </c>
      <c r="B2947" s="8" t="s">
        <v>47</v>
      </c>
      <c r="C2947" s="9" t="n">
        <v>900</v>
      </c>
      <c r="D2947" s="8" t="s">
        <v>13</v>
      </c>
      <c r="E2947" s="10" t="s">
        <v>339</v>
      </c>
      <c r="F2947" s="8" t="str">
        <f aca="false">TEXT(A2947,"MM-YYYY")</f>
        <v>07-2025</v>
      </c>
      <c r="G2947" s="8" t="s">
        <v>14</v>
      </c>
      <c r="H2947" s="8" t="s">
        <v>13</v>
      </c>
      <c r="I2947" s="7" t="n">
        <v>45870</v>
      </c>
      <c r="J2947" s="8" t="str">
        <f aca="false">VLOOKUP(B2947, Table3[#All], 2, FALSE())</f>
        <v>Inventory</v>
      </c>
      <c r="K2947" s="8" t="str">
        <f aca="false">TEXT(ROW(), "0000")</f>
        <v>2947</v>
      </c>
      <c r="L2947" s="8"/>
    </row>
    <row r="2948" customFormat="false" ht="15.75" hidden="false" customHeight="true" outlineLevel="0" collapsed="false">
      <c r="A2948" s="7" t="n">
        <v>45861</v>
      </c>
      <c r="B2948" s="8" t="s">
        <v>22</v>
      </c>
      <c r="C2948" s="9" t="n">
        <v>1265</v>
      </c>
      <c r="D2948" s="8" t="s">
        <v>13</v>
      </c>
      <c r="E2948" s="10" t="s">
        <v>23</v>
      </c>
      <c r="F2948" s="8" t="str">
        <f aca="false">TEXT(A2948,"MM-YYYY")</f>
        <v>07-2025</v>
      </c>
      <c r="G2948" s="8" t="s">
        <v>14</v>
      </c>
      <c r="H2948" s="8" t="s">
        <v>13</v>
      </c>
      <c r="I2948" s="7" t="n">
        <v>45869</v>
      </c>
      <c r="J2948" s="8" t="str">
        <f aca="false">VLOOKUP(B2948, Table3[#All], 2, FALSE())</f>
        <v>Inventory</v>
      </c>
      <c r="K2948" s="8" t="str">
        <f aca="false">TEXT(ROW(), "0000")</f>
        <v>2948</v>
      </c>
      <c r="L2948" s="8"/>
    </row>
    <row r="2949" customFormat="false" ht="15.75" hidden="false" customHeight="true" outlineLevel="0" collapsed="false">
      <c r="A2949" s="7" t="n">
        <v>45862</v>
      </c>
      <c r="B2949" s="8" t="s">
        <v>29</v>
      </c>
      <c r="C2949" s="9" t="n">
        <v>304</v>
      </c>
      <c r="D2949" s="8" t="s">
        <v>13</v>
      </c>
      <c r="E2949" s="10" t="s">
        <v>302</v>
      </c>
      <c r="F2949" s="8" t="str">
        <f aca="false">TEXT(A2949,"MM-YYYY")</f>
        <v>07-2025</v>
      </c>
      <c r="G2949" s="8" t="s">
        <v>18</v>
      </c>
      <c r="H2949" s="8"/>
      <c r="I2949" s="7"/>
      <c r="J2949" s="8" t="str">
        <f aca="false">VLOOKUP(B2949, Table3[#All], 2, FALSE())</f>
        <v>Inventory</v>
      </c>
      <c r="K2949" s="8" t="str">
        <f aca="false">TEXT(ROW(), "0000")</f>
        <v>2949</v>
      </c>
      <c r="L2949" s="8"/>
    </row>
    <row r="2950" customFormat="false" ht="15.75" hidden="false" customHeight="true" outlineLevel="0" collapsed="false">
      <c r="A2950" s="7" t="n">
        <v>45862</v>
      </c>
      <c r="B2950" s="8" t="s">
        <v>51</v>
      </c>
      <c r="C2950" s="9" t="n">
        <v>6545</v>
      </c>
      <c r="D2950" s="8" t="s">
        <v>13</v>
      </c>
      <c r="E2950" s="10" t="s">
        <v>226</v>
      </c>
      <c r="F2950" s="8" t="str">
        <f aca="false">TEXT(A2950,"MM-YYYY")</f>
        <v>07-2025</v>
      </c>
      <c r="G2950" s="8" t="s">
        <v>18</v>
      </c>
      <c r="H2950" s="8"/>
      <c r="I2950" s="7"/>
      <c r="J2950" s="8" t="str">
        <f aca="false">VLOOKUP(B2950, Table3[#All], 2, FALSE())</f>
        <v>Inventory</v>
      </c>
      <c r="K2950" s="8" t="str">
        <f aca="false">TEXT(ROW(), "0000")</f>
        <v>2950</v>
      </c>
      <c r="L2950" s="8"/>
    </row>
    <row r="2951" customFormat="false" ht="15.75" hidden="false" customHeight="true" outlineLevel="0" collapsed="false">
      <c r="A2951" s="7" t="n">
        <v>45862</v>
      </c>
      <c r="B2951" s="8" t="s">
        <v>25</v>
      </c>
      <c r="C2951" s="9" t="n">
        <v>806</v>
      </c>
      <c r="D2951" s="8" t="s">
        <v>13</v>
      </c>
      <c r="E2951" s="10" t="s">
        <v>360</v>
      </c>
      <c r="F2951" s="8" t="str">
        <f aca="false">TEXT(A2951,"MM-YYYY")</f>
        <v>07-2025</v>
      </c>
      <c r="G2951" s="8" t="s">
        <v>18</v>
      </c>
      <c r="H2951" s="8"/>
      <c r="I2951" s="7"/>
      <c r="J2951" s="8" t="str">
        <f aca="false">VLOOKUP(B2951, Table3[#All], 2, FALSE())</f>
        <v>Inventory</v>
      </c>
      <c r="K2951" s="8" t="str">
        <f aca="false">TEXT(ROW(), "0000")</f>
        <v>2951</v>
      </c>
      <c r="L2951" s="8"/>
    </row>
    <row r="2952" customFormat="false" ht="15.75" hidden="false" customHeight="true" outlineLevel="0" collapsed="false">
      <c r="A2952" s="7" t="n">
        <v>45862</v>
      </c>
      <c r="B2952" s="8" t="s">
        <v>19</v>
      </c>
      <c r="C2952" s="9" t="n">
        <v>4222</v>
      </c>
      <c r="D2952" s="8" t="s">
        <v>13</v>
      </c>
      <c r="E2952" s="10" t="s">
        <v>20</v>
      </c>
      <c r="F2952" s="8" t="str">
        <f aca="false">TEXT(A2952,"MM-YYYY")</f>
        <v>07-2025</v>
      </c>
      <c r="G2952" s="8" t="s">
        <v>14</v>
      </c>
      <c r="H2952" s="8" t="s">
        <v>13</v>
      </c>
      <c r="I2952" s="7"/>
      <c r="J2952" s="8" t="str">
        <f aca="false">VLOOKUP(B2952, Table3[#All], 2, FALSE())</f>
        <v>Inventory</v>
      </c>
      <c r="K2952" s="8" t="str">
        <f aca="false">TEXT(ROW(), "0000")</f>
        <v>2952</v>
      </c>
      <c r="L2952" s="8"/>
    </row>
    <row r="2953" customFormat="false" ht="15.75" hidden="false" customHeight="true" outlineLevel="0" collapsed="false">
      <c r="A2953" s="7" t="n">
        <v>45862</v>
      </c>
      <c r="B2953" s="8" t="s">
        <v>16</v>
      </c>
      <c r="C2953" s="9" t="n">
        <v>1050</v>
      </c>
      <c r="D2953" s="8" t="s">
        <v>21</v>
      </c>
      <c r="E2953" s="10" t="s">
        <v>88</v>
      </c>
      <c r="F2953" s="8" t="str">
        <f aca="false">TEXT(A2953,"MM-YYYY")</f>
        <v>07-2025</v>
      </c>
      <c r="G2953" s="8"/>
      <c r="H2953" s="8"/>
      <c r="I2953" s="7"/>
      <c r="J2953" s="8" t="str">
        <f aca="false">VLOOKUP(B2953, Table3[#All], 2, FALSE())</f>
        <v>Sales</v>
      </c>
      <c r="K2953" s="8" t="str">
        <f aca="false">TEXT(ROW(), "0000")</f>
        <v>2953</v>
      </c>
      <c r="L2953" s="8"/>
    </row>
    <row r="2954" customFormat="false" ht="15.75" hidden="false" customHeight="true" outlineLevel="0" collapsed="false">
      <c r="A2954" s="7" t="n">
        <v>45862</v>
      </c>
      <c r="B2954" s="8" t="s">
        <v>16</v>
      </c>
      <c r="C2954" s="9" t="n">
        <v>1569</v>
      </c>
      <c r="D2954" s="8" t="s">
        <v>27</v>
      </c>
      <c r="E2954" s="10" t="s">
        <v>88</v>
      </c>
      <c r="F2954" s="8" t="str">
        <f aca="false">TEXT(A2954,"MM-YYYY")</f>
        <v>07-2025</v>
      </c>
      <c r="G2954" s="8"/>
      <c r="H2954" s="8"/>
      <c r="I2954" s="7"/>
      <c r="J2954" s="8" t="str">
        <f aca="false">VLOOKUP(B2954, Table3[#All], 2, FALSE())</f>
        <v>Sales</v>
      </c>
      <c r="K2954" s="8" t="str">
        <f aca="false">TEXT(ROW(), "0000")</f>
        <v>2954</v>
      </c>
      <c r="L2954" s="8"/>
    </row>
    <row r="2955" customFormat="false" ht="15.75" hidden="false" customHeight="true" outlineLevel="0" collapsed="false">
      <c r="A2955" s="7" t="n">
        <v>45862</v>
      </c>
      <c r="B2955" s="8" t="s">
        <v>16</v>
      </c>
      <c r="C2955" s="9" t="n">
        <v>1055</v>
      </c>
      <c r="D2955" s="8" t="s">
        <v>33</v>
      </c>
      <c r="E2955" s="10" t="s">
        <v>88</v>
      </c>
      <c r="F2955" s="8" t="str">
        <f aca="false">TEXT(A2955,"MM-YYYY")</f>
        <v>07-2025</v>
      </c>
      <c r="G2955" s="8"/>
      <c r="H2955" s="8"/>
      <c r="I2955" s="7"/>
      <c r="J2955" s="8" t="str">
        <f aca="false">VLOOKUP(B2955, Table3[#All], 2, FALSE())</f>
        <v>Sales</v>
      </c>
      <c r="K2955" s="8" t="str">
        <f aca="false">TEXT(ROW(), "0000")</f>
        <v>2955</v>
      </c>
      <c r="L2955" s="8"/>
    </row>
    <row r="2956" customFormat="false" ht="15.75" hidden="false" customHeight="true" outlineLevel="0" collapsed="false">
      <c r="A2956" s="7" t="n">
        <v>45862</v>
      </c>
      <c r="B2956" s="8" t="s">
        <v>16</v>
      </c>
      <c r="C2956" s="9" t="n">
        <v>9675</v>
      </c>
      <c r="D2956" s="8" t="s">
        <v>17</v>
      </c>
      <c r="E2956" s="10" t="s">
        <v>88</v>
      </c>
      <c r="F2956" s="8" t="str">
        <f aca="false">TEXT(A2956,"MM-YYYY")</f>
        <v>07-2025</v>
      </c>
      <c r="G2956" s="8"/>
      <c r="H2956" s="8"/>
      <c r="I2956" s="7"/>
      <c r="J2956" s="8" t="str">
        <f aca="false">VLOOKUP(B2956, Table3[#All], 2, FALSE())</f>
        <v>Sales</v>
      </c>
      <c r="K2956" s="8" t="str">
        <f aca="false">TEXT(ROW(), "0000")</f>
        <v>2956</v>
      </c>
      <c r="L2956" s="8"/>
    </row>
    <row r="2957" customFormat="false" ht="15.75" hidden="false" customHeight="true" outlineLevel="0" collapsed="false">
      <c r="A2957" s="7" t="n">
        <v>45862</v>
      </c>
      <c r="B2957" s="8" t="s">
        <v>16</v>
      </c>
      <c r="C2957" s="9" t="n">
        <v>1440</v>
      </c>
      <c r="D2957" s="8" t="s">
        <v>24</v>
      </c>
      <c r="E2957" s="10" t="s">
        <v>217</v>
      </c>
      <c r="F2957" s="8" t="str">
        <f aca="false">TEXT(A2957,"MM-YYYY")</f>
        <v>07-2025</v>
      </c>
      <c r="G2957" s="8"/>
      <c r="H2957" s="8"/>
      <c r="I2957" s="7"/>
      <c r="J2957" s="8" t="str">
        <f aca="false">VLOOKUP(B2957, Table3[#All], 2, FALSE())</f>
        <v>Sales</v>
      </c>
      <c r="K2957" s="8" t="str">
        <f aca="false">TEXT(ROW(), "0000")</f>
        <v>2957</v>
      </c>
      <c r="L2957" s="8"/>
    </row>
    <row r="2958" customFormat="false" ht="15.75" hidden="false" customHeight="true" outlineLevel="0" collapsed="false">
      <c r="A2958" s="7" t="n">
        <v>45862</v>
      </c>
      <c r="B2958" s="8" t="s">
        <v>34</v>
      </c>
      <c r="C2958" s="9" t="n">
        <v>60</v>
      </c>
      <c r="D2958" s="8" t="s">
        <v>21</v>
      </c>
      <c r="E2958" s="10" t="s">
        <v>274</v>
      </c>
      <c r="F2958" s="8" t="str">
        <f aca="false">TEXT(A2958,"MM-YYYY")</f>
        <v>07-2025</v>
      </c>
      <c r="G2958" s="8" t="s">
        <v>14</v>
      </c>
      <c r="H2958" s="8" t="s">
        <v>15</v>
      </c>
      <c r="I2958" s="7" t="n">
        <v>45862</v>
      </c>
      <c r="J2958" s="8" t="str">
        <f aca="false">VLOOKUP(B2958, Table3[#All], 2, FALSE())</f>
        <v>Staff Expenses</v>
      </c>
      <c r="K2958" s="8" t="str">
        <f aca="false">TEXT(ROW(), "0000")</f>
        <v>2958</v>
      </c>
      <c r="L2958" s="8"/>
    </row>
    <row r="2959" customFormat="false" ht="15.75" hidden="false" customHeight="true" outlineLevel="0" collapsed="false">
      <c r="A2959" s="7" t="n">
        <v>45862</v>
      </c>
      <c r="B2959" s="8" t="s">
        <v>50</v>
      </c>
      <c r="C2959" s="9" t="n">
        <v>1678</v>
      </c>
      <c r="D2959" s="8" t="s">
        <v>13</v>
      </c>
      <c r="E2959" s="10" t="s">
        <v>263</v>
      </c>
      <c r="F2959" s="8" t="str">
        <f aca="false">TEXT(A2959,"MM-YYYY")</f>
        <v>07-2025</v>
      </c>
      <c r="G2959" s="8" t="s">
        <v>18</v>
      </c>
      <c r="H2959" s="8"/>
      <c r="I2959" s="7"/>
      <c r="J2959" s="8" t="str">
        <f aca="false">VLOOKUP(B2959, Table3[#All], 2, FALSE())</f>
        <v>Fixed Maintance</v>
      </c>
      <c r="K2959" s="8" t="str">
        <f aca="false">TEXT(ROW(), "0000")</f>
        <v>2959</v>
      </c>
      <c r="L2959" s="8"/>
    </row>
    <row r="2960" customFormat="false" ht="15.75" hidden="false" customHeight="true" outlineLevel="0" collapsed="false">
      <c r="A2960" s="7" t="n">
        <v>45862</v>
      </c>
      <c r="B2960" s="8" t="s">
        <v>22</v>
      </c>
      <c r="C2960" s="9" t="n">
        <v>110</v>
      </c>
      <c r="D2960" s="8" t="s">
        <v>21</v>
      </c>
      <c r="E2960" s="10" t="s">
        <v>213</v>
      </c>
      <c r="F2960" s="8" t="str">
        <f aca="false">TEXT(A2960,"MM-YYYY")</f>
        <v>07-2025</v>
      </c>
      <c r="G2960" s="8" t="s">
        <v>14</v>
      </c>
      <c r="H2960" s="8" t="s">
        <v>15</v>
      </c>
      <c r="I2960" s="7" t="n">
        <v>45862</v>
      </c>
      <c r="J2960" s="8" t="str">
        <f aca="false">VLOOKUP(B2960, Table3[#All], 2, FALSE())</f>
        <v>Inventory</v>
      </c>
      <c r="K2960" s="8" t="str">
        <f aca="false">TEXT(ROW(), "0000")</f>
        <v>2960</v>
      </c>
      <c r="L2960" s="8"/>
    </row>
    <row r="2961" customFormat="false" ht="15.75" hidden="false" customHeight="true" outlineLevel="0" collapsed="false">
      <c r="A2961" s="7" t="n">
        <v>45863</v>
      </c>
      <c r="B2961" s="8" t="s">
        <v>22</v>
      </c>
      <c r="C2961" s="9" t="n">
        <v>2655</v>
      </c>
      <c r="D2961" s="8" t="s">
        <v>13</v>
      </c>
      <c r="E2961" s="10" t="s">
        <v>23</v>
      </c>
      <c r="F2961" s="8" t="str">
        <f aca="false">TEXT(A2961,"MM-YYYY")</f>
        <v>07-2025</v>
      </c>
      <c r="G2961" s="8" t="s">
        <v>18</v>
      </c>
      <c r="H2961" s="8"/>
      <c r="I2961" s="7"/>
      <c r="J2961" s="8" t="str">
        <f aca="false">VLOOKUP(B2961, Table3[#All], 2, FALSE())</f>
        <v>Inventory</v>
      </c>
      <c r="K2961" s="8" t="str">
        <f aca="false">TEXT(ROW(), "0000")</f>
        <v>2961</v>
      </c>
      <c r="L2961" s="8"/>
    </row>
    <row r="2962" customFormat="false" ht="15.75" hidden="false" customHeight="true" outlineLevel="0" collapsed="false">
      <c r="A2962" s="7" t="n">
        <v>45863</v>
      </c>
      <c r="B2962" s="8" t="s">
        <v>19</v>
      </c>
      <c r="C2962" s="9" t="n">
        <v>4313</v>
      </c>
      <c r="D2962" s="8" t="s">
        <v>13</v>
      </c>
      <c r="E2962" s="10" t="s">
        <v>20</v>
      </c>
      <c r="F2962" s="8" t="str">
        <f aca="false">TEXT(A2962,"MM-YYYY")</f>
        <v>07-2025</v>
      </c>
      <c r="G2962" s="8" t="s">
        <v>14</v>
      </c>
      <c r="H2962" s="8" t="s">
        <v>13</v>
      </c>
      <c r="I2962" s="7"/>
      <c r="J2962" s="8" t="str">
        <f aca="false">VLOOKUP(B2962, Table3[#All], 2, FALSE())</f>
        <v>Inventory</v>
      </c>
      <c r="K2962" s="8" t="str">
        <f aca="false">TEXT(ROW(), "0000")</f>
        <v>2962</v>
      </c>
      <c r="L2962" s="8"/>
    </row>
    <row r="2963" customFormat="false" ht="15.75" hidden="false" customHeight="true" outlineLevel="0" collapsed="false">
      <c r="A2963" s="7" t="n">
        <v>45863</v>
      </c>
      <c r="B2963" s="8" t="s">
        <v>40</v>
      </c>
      <c r="C2963" s="9" t="n">
        <v>1480</v>
      </c>
      <c r="D2963" s="8" t="s">
        <v>45</v>
      </c>
      <c r="E2963" s="10" t="s">
        <v>46</v>
      </c>
      <c r="F2963" s="8" t="str">
        <f aca="false">TEXT(A2963,"MM-YYYY")</f>
        <v>07-2025</v>
      </c>
      <c r="G2963" s="8" t="s">
        <v>14</v>
      </c>
      <c r="H2963" s="8" t="s">
        <v>15</v>
      </c>
      <c r="I2963" s="7" t="n">
        <v>45863</v>
      </c>
      <c r="J2963" s="8" t="str">
        <f aca="false">VLOOKUP(B2963, Table3[#All], 2, FALSE())</f>
        <v>Inventory</v>
      </c>
      <c r="K2963" s="8" t="str">
        <f aca="false">TEXT(ROW(), "0000")</f>
        <v>2963</v>
      </c>
      <c r="L2963" s="8"/>
    </row>
    <row r="2964" customFormat="false" ht="15.75" hidden="false" customHeight="true" outlineLevel="0" collapsed="false">
      <c r="A2964" s="7" t="n">
        <v>45863</v>
      </c>
      <c r="B2964" s="8" t="s">
        <v>22</v>
      </c>
      <c r="C2964" s="9" t="n">
        <v>700</v>
      </c>
      <c r="D2964" s="8" t="s">
        <v>45</v>
      </c>
      <c r="E2964" s="10" t="s">
        <v>358</v>
      </c>
      <c r="F2964" s="8" t="str">
        <f aca="false">TEXT(A2964,"MM-YYYY")</f>
        <v>07-2025</v>
      </c>
      <c r="G2964" s="8" t="s">
        <v>14</v>
      </c>
      <c r="H2964" s="8" t="s">
        <v>15</v>
      </c>
      <c r="I2964" s="7" t="n">
        <v>45863</v>
      </c>
      <c r="J2964" s="8" t="str">
        <f aca="false">VLOOKUP(B2964, Table3[#All], 2, FALSE())</f>
        <v>Inventory</v>
      </c>
      <c r="K2964" s="8" t="str">
        <f aca="false">TEXT(ROW(), "0000")</f>
        <v>2964</v>
      </c>
      <c r="L2964" s="8"/>
    </row>
    <row r="2965" customFormat="false" ht="15.75" hidden="false" customHeight="true" outlineLevel="0" collapsed="false">
      <c r="A2965" s="7" t="n">
        <v>45863</v>
      </c>
      <c r="B2965" s="8" t="s">
        <v>32</v>
      </c>
      <c r="C2965" s="9" t="n">
        <v>350</v>
      </c>
      <c r="D2965" s="8" t="s">
        <v>45</v>
      </c>
      <c r="E2965" s="10" t="s">
        <v>38</v>
      </c>
      <c r="F2965" s="8" t="str">
        <f aca="false">TEXT(A2965,"MM-YYYY")</f>
        <v>07-2025</v>
      </c>
      <c r="G2965" s="8" t="s">
        <v>14</v>
      </c>
      <c r="H2965" s="8" t="s">
        <v>15</v>
      </c>
      <c r="I2965" s="7" t="n">
        <v>45863</v>
      </c>
      <c r="J2965" s="8" t="str">
        <f aca="false">VLOOKUP(B2965, Table3[#All], 2, FALSE())</f>
        <v>Grocery</v>
      </c>
      <c r="K2965" s="8" t="str">
        <f aca="false">TEXT(ROW(), "0000")</f>
        <v>2965</v>
      </c>
      <c r="L2965" s="8"/>
    </row>
    <row r="2966" customFormat="false" ht="15.75" hidden="false" customHeight="true" outlineLevel="0" collapsed="false">
      <c r="A2966" s="7" t="n">
        <v>45863</v>
      </c>
      <c r="B2966" s="8" t="s">
        <v>22</v>
      </c>
      <c r="C2966" s="9" t="n">
        <v>110</v>
      </c>
      <c r="D2966" s="8" t="s">
        <v>45</v>
      </c>
      <c r="E2966" s="10" t="s">
        <v>357</v>
      </c>
      <c r="F2966" s="8" t="str">
        <f aca="false">TEXT(A2966,"MM-YYYY")</f>
        <v>07-2025</v>
      </c>
      <c r="G2966" s="8" t="s">
        <v>14</v>
      </c>
      <c r="H2966" s="8" t="s">
        <v>15</v>
      </c>
      <c r="I2966" s="7" t="n">
        <v>45863</v>
      </c>
      <c r="J2966" s="8" t="str">
        <f aca="false">VLOOKUP(B2966, Table3[#All], 2, FALSE())</f>
        <v>Inventory</v>
      </c>
      <c r="K2966" s="8" t="str">
        <f aca="false">TEXT(ROW(), "0000")</f>
        <v>2966</v>
      </c>
      <c r="L2966" s="8"/>
    </row>
    <row r="2967" customFormat="false" ht="15.75" hidden="false" customHeight="true" outlineLevel="0" collapsed="false">
      <c r="A2967" s="7" t="n">
        <v>45863</v>
      </c>
      <c r="B2967" s="8" t="s">
        <v>25</v>
      </c>
      <c r="C2967" s="9" t="n">
        <v>568</v>
      </c>
      <c r="D2967" s="8" t="s">
        <v>13</v>
      </c>
      <c r="E2967" s="10" t="s">
        <v>38</v>
      </c>
      <c r="F2967" s="8" t="str">
        <f aca="false">TEXT(A2967,"MM-YYYY")</f>
        <v>07-2025</v>
      </c>
      <c r="G2967" s="8" t="s">
        <v>18</v>
      </c>
      <c r="H2967" s="8"/>
      <c r="I2967" s="7"/>
      <c r="J2967" s="8" t="str">
        <f aca="false">VLOOKUP(B2967, Table3[#All], 2, FALSE())</f>
        <v>Inventory</v>
      </c>
      <c r="K2967" s="8" t="str">
        <f aca="false">TEXT(ROW(), "0000")</f>
        <v>2967</v>
      </c>
      <c r="L2967" s="8"/>
    </row>
    <row r="2968" customFormat="false" ht="15.75" hidden="false" customHeight="true" outlineLevel="0" collapsed="false">
      <c r="A2968" s="7" t="n">
        <v>45863</v>
      </c>
      <c r="B2968" s="8" t="s">
        <v>31</v>
      </c>
      <c r="C2968" s="9" t="n">
        <v>310</v>
      </c>
      <c r="D2968" s="8" t="s">
        <v>45</v>
      </c>
      <c r="E2968" s="10" t="s">
        <v>236</v>
      </c>
      <c r="F2968" s="8" t="str">
        <f aca="false">TEXT(A2968,"MM-YYYY")</f>
        <v>07-2025</v>
      </c>
      <c r="G2968" s="8" t="s">
        <v>14</v>
      </c>
      <c r="H2968" s="8" t="s">
        <v>15</v>
      </c>
      <c r="I2968" s="7" t="n">
        <v>45863</v>
      </c>
      <c r="J2968" s="8" t="str">
        <f aca="false">VLOOKUP(B2968, Table3[#All], 2, FALSE())</f>
        <v>Bike Maintance</v>
      </c>
      <c r="K2968" s="8" t="str">
        <f aca="false">TEXT(ROW(), "0000")</f>
        <v>2968</v>
      </c>
      <c r="L2968" s="8"/>
    </row>
    <row r="2969" customFormat="false" ht="15.75" hidden="false" customHeight="true" outlineLevel="0" collapsed="false">
      <c r="A2969" s="7" t="n">
        <v>45863</v>
      </c>
      <c r="B2969" s="8" t="s">
        <v>47</v>
      </c>
      <c r="C2969" s="9" t="n">
        <v>1800</v>
      </c>
      <c r="D2969" s="8" t="s">
        <v>13</v>
      </c>
      <c r="E2969" s="10" t="s">
        <v>339</v>
      </c>
      <c r="F2969" s="8" t="str">
        <f aca="false">TEXT(A2969,"MM-YYYY")</f>
        <v>07-2025</v>
      </c>
      <c r="G2969" s="8" t="s">
        <v>14</v>
      </c>
      <c r="H2969" s="8" t="s">
        <v>13</v>
      </c>
      <c r="I2969" s="7" t="n">
        <v>45870</v>
      </c>
      <c r="J2969" s="8" t="str">
        <f aca="false">VLOOKUP(B2969, Table3[#All], 2, FALSE())</f>
        <v>Inventory</v>
      </c>
      <c r="K2969" s="8" t="str">
        <f aca="false">TEXT(ROW(), "0000")</f>
        <v>2969</v>
      </c>
      <c r="L2969" s="8"/>
    </row>
    <row r="2970" customFormat="false" ht="15.75" hidden="false" customHeight="true" outlineLevel="0" collapsed="false">
      <c r="A2970" s="7" t="n">
        <v>45863</v>
      </c>
      <c r="B2970" s="8" t="s">
        <v>16</v>
      </c>
      <c r="C2970" s="9" t="n">
        <v>1855</v>
      </c>
      <c r="D2970" s="8" t="s">
        <v>21</v>
      </c>
      <c r="E2970" s="10" t="s">
        <v>88</v>
      </c>
      <c r="F2970" s="8" t="str">
        <f aca="false">TEXT(A2970,"MM-YYYY")</f>
        <v>07-2025</v>
      </c>
      <c r="G2970" s="8"/>
      <c r="H2970" s="8"/>
      <c r="I2970" s="7"/>
      <c r="J2970" s="8" t="str">
        <f aca="false">VLOOKUP(B2970, Table3[#All], 2, FALSE())</f>
        <v>Sales</v>
      </c>
      <c r="K2970" s="8" t="str">
        <f aca="false">TEXT(ROW(), "0000")</f>
        <v>2970</v>
      </c>
      <c r="L2970" s="8"/>
    </row>
    <row r="2971" customFormat="false" ht="15.75" hidden="false" customHeight="true" outlineLevel="0" collapsed="false">
      <c r="A2971" s="7" t="n">
        <v>45863</v>
      </c>
      <c r="B2971" s="8" t="s">
        <v>16</v>
      </c>
      <c r="C2971" s="9" t="n">
        <v>155</v>
      </c>
      <c r="D2971" s="8" t="s">
        <v>27</v>
      </c>
      <c r="E2971" s="10" t="s">
        <v>88</v>
      </c>
      <c r="F2971" s="8" t="str">
        <f aca="false">TEXT(A2971,"MM-YYYY")</f>
        <v>07-2025</v>
      </c>
      <c r="G2971" s="8"/>
      <c r="H2971" s="8"/>
      <c r="I2971" s="7"/>
      <c r="J2971" s="8" t="str">
        <f aca="false">VLOOKUP(B2971, Table3[#All], 2, FALSE())</f>
        <v>Sales</v>
      </c>
      <c r="K2971" s="8" t="str">
        <f aca="false">TEXT(ROW(), "0000")</f>
        <v>2971</v>
      </c>
      <c r="L2971" s="8"/>
    </row>
    <row r="2972" customFormat="false" ht="15.75" hidden="false" customHeight="true" outlineLevel="0" collapsed="false">
      <c r="A2972" s="7" t="n">
        <v>45863</v>
      </c>
      <c r="B2972" s="8" t="s">
        <v>16</v>
      </c>
      <c r="C2972" s="9" t="n">
        <v>9723</v>
      </c>
      <c r="D2972" s="8" t="s">
        <v>17</v>
      </c>
      <c r="E2972" s="10" t="s">
        <v>88</v>
      </c>
      <c r="F2972" s="8" t="str">
        <f aca="false">TEXT(A2972,"MM-YYYY")</f>
        <v>07-2025</v>
      </c>
      <c r="G2972" s="8"/>
      <c r="H2972" s="8"/>
      <c r="I2972" s="7"/>
      <c r="J2972" s="8" t="str">
        <f aca="false">VLOOKUP(B2972, Table3[#All], 2, FALSE())</f>
        <v>Sales</v>
      </c>
      <c r="K2972" s="8" t="str">
        <f aca="false">TEXT(ROW(), "0000")</f>
        <v>2972</v>
      </c>
      <c r="L2972" s="8"/>
    </row>
    <row r="2973" customFormat="false" ht="15.75" hidden="false" customHeight="true" outlineLevel="0" collapsed="false">
      <c r="A2973" s="7" t="n">
        <v>45863</v>
      </c>
      <c r="B2973" s="8" t="s">
        <v>16</v>
      </c>
      <c r="C2973" s="9" t="n">
        <v>785</v>
      </c>
      <c r="D2973" s="8" t="s">
        <v>59</v>
      </c>
      <c r="E2973" s="10" t="s">
        <v>88</v>
      </c>
      <c r="F2973" s="8" t="str">
        <f aca="false">TEXT(A2973,"MM-YYYY")</f>
        <v>07-2025</v>
      </c>
      <c r="G2973" s="8"/>
      <c r="H2973" s="8"/>
      <c r="I2973" s="7"/>
      <c r="J2973" s="8" t="str">
        <f aca="false">VLOOKUP(B2973, Table3[#All], 2, FALSE())</f>
        <v>Sales</v>
      </c>
      <c r="K2973" s="8" t="str">
        <f aca="false">TEXT(ROW(), "0000")</f>
        <v>2973</v>
      </c>
      <c r="L2973" s="8"/>
    </row>
    <row r="2974" customFormat="false" ht="15.75" hidden="false" customHeight="true" outlineLevel="0" collapsed="false">
      <c r="A2974" s="7" t="n">
        <v>45863</v>
      </c>
      <c r="B2974" s="8" t="s">
        <v>16</v>
      </c>
      <c r="C2974" s="9" t="n">
        <v>2972</v>
      </c>
      <c r="D2974" s="8" t="s">
        <v>24</v>
      </c>
      <c r="E2974" s="10" t="s">
        <v>217</v>
      </c>
      <c r="F2974" s="8" t="str">
        <f aca="false">TEXT(A2974,"MM-YYYY")</f>
        <v>07-2025</v>
      </c>
      <c r="G2974" s="8"/>
      <c r="H2974" s="8"/>
      <c r="I2974" s="7"/>
      <c r="J2974" s="8" t="str">
        <f aca="false">VLOOKUP(B2974, Table3[#All], 2, FALSE())</f>
        <v>Sales</v>
      </c>
      <c r="K2974" s="8" t="str">
        <f aca="false">TEXT(ROW(), "0000")</f>
        <v>2974</v>
      </c>
      <c r="L2974" s="8"/>
    </row>
    <row r="2975" customFormat="false" ht="15.75" hidden="false" customHeight="true" outlineLevel="0" collapsed="false">
      <c r="A2975" s="7" t="n">
        <v>45863</v>
      </c>
      <c r="B2975" s="8" t="s">
        <v>44</v>
      </c>
      <c r="C2975" s="9" t="n">
        <v>300</v>
      </c>
      <c r="D2975" s="8" t="s">
        <v>45</v>
      </c>
      <c r="E2975" s="10" t="s">
        <v>86</v>
      </c>
      <c r="F2975" s="8" t="str">
        <f aca="false">TEXT(A2975,"MM-YYYY")</f>
        <v>07-2025</v>
      </c>
      <c r="G2975" s="8" t="s">
        <v>14</v>
      </c>
      <c r="H2975" s="8" t="s">
        <v>15</v>
      </c>
      <c r="I2975" s="7" t="n">
        <v>45863</v>
      </c>
      <c r="J2975" s="8" t="str">
        <f aca="false">VLOOKUP(B2975, Table3[#All], 2, FALSE())</f>
        <v>Salary</v>
      </c>
      <c r="K2975" s="8" t="str">
        <f aca="false">TEXT(ROW(), "0000")</f>
        <v>2975</v>
      </c>
      <c r="L2975" s="8"/>
    </row>
    <row r="2976" customFormat="false" ht="15.75" hidden="false" customHeight="true" outlineLevel="0" collapsed="false">
      <c r="A2976" s="7" t="n">
        <v>45863</v>
      </c>
      <c r="B2976" s="8" t="s">
        <v>34</v>
      </c>
      <c r="C2976" s="9" t="n">
        <v>55</v>
      </c>
      <c r="D2976" s="8" t="s">
        <v>21</v>
      </c>
      <c r="E2976" s="10" t="s">
        <v>274</v>
      </c>
      <c r="F2976" s="8" t="str">
        <f aca="false">TEXT(A2976,"MM-YYYY")</f>
        <v>07-2025</v>
      </c>
      <c r="G2976" s="8" t="s">
        <v>14</v>
      </c>
      <c r="H2976" s="8" t="s">
        <v>15</v>
      </c>
      <c r="I2976" s="7" t="n">
        <v>45863</v>
      </c>
      <c r="J2976" s="8" t="str">
        <f aca="false">VLOOKUP(B2976, Table3[#All], 2, FALSE())</f>
        <v>Staff Expenses</v>
      </c>
      <c r="K2976" s="8" t="str">
        <f aca="false">TEXT(ROW(), "0000")</f>
        <v>2976</v>
      </c>
      <c r="L2976" s="8"/>
    </row>
    <row r="2977" customFormat="false" ht="15.75" hidden="false" customHeight="true" outlineLevel="0" collapsed="false">
      <c r="A2977" s="7" t="n">
        <v>45863</v>
      </c>
      <c r="B2977" s="8" t="s">
        <v>44</v>
      </c>
      <c r="C2977" s="9" t="n">
        <v>100</v>
      </c>
      <c r="D2977" s="8" t="s">
        <v>45</v>
      </c>
      <c r="E2977" s="10" t="s">
        <v>370</v>
      </c>
      <c r="F2977" s="8" t="str">
        <f aca="false">TEXT(A2977,"MM-YYYY")</f>
        <v>07-2025</v>
      </c>
      <c r="G2977" s="8" t="s">
        <v>14</v>
      </c>
      <c r="H2977" s="8" t="s">
        <v>15</v>
      </c>
      <c r="I2977" s="7" t="n">
        <v>45863</v>
      </c>
      <c r="J2977" s="8" t="str">
        <f aca="false">VLOOKUP(B2977, Table3[#All], 2, FALSE())</f>
        <v>Salary</v>
      </c>
      <c r="K2977" s="8" t="str">
        <f aca="false">TEXT(ROW(), "0000")</f>
        <v>2977</v>
      </c>
      <c r="L2977" s="8"/>
    </row>
    <row r="2978" customFormat="false" ht="15.75" hidden="false" customHeight="true" outlineLevel="0" collapsed="false">
      <c r="A2978" s="7" t="n">
        <v>45863</v>
      </c>
      <c r="B2978" s="8" t="s">
        <v>29</v>
      </c>
      <c r="C2978" s="9" t="n">
        <v>486</v>
      </c>
      <c r="D2978" s="8" t="s">
        <v>13</v>
      </c>
      <c r="E2978" s="10" t="s">
        <v>302</v>
      </c>
      <c r="F2978" s="8" t="str">
        <f aca="false">TEXT(A2978,"MM-YYYY")</f>
        <v>07-2025</v>
      </c>
      <c r="G2978" s="8" t="s">
        <v>18</v>
      </c>
      <c r="H2978" s="8"/>
      <c r="I2978" s="7"/>
      <c r="J2978" s="8" t="str">
        <f aca="false">VLOOKUP(B2978, Table3[#All], 2, FALSE())</f>
        <v>Inventory</v>
      </c>
      <c r="K2978" s="8" t="str">
        <f aca="false">TEXT(ROW(), "0000")</f>
        <v>2978</v>
      </c>
      <c r="L2978" s="8"/>
    </row>
    <row r="2979" customFormat="false" ht="15.75" hidden="false" customHeight="true" outlineLevel="0" collapsed="false">
      <c r="A2979" s="7" t="n">
        <v>45864</v>
      </c>
      <c r="B2979" s="8" t="s">
        <v>22</v>
      </c>
      <c r="C2979" s="9" t="n">
        <v>5357</v>
      </c>
      <c r="D2979" s="8" t="s">
        <v>13</v>
      </c>
      <c r="E2979" s="10" t="s">
        <v>23</v>
      </c>
      <c r="F2979" s="8" t="str">
        <f aca="false">TEXT(A2979,"MM-YYYY")</f>
        <v>07-2025</v>
      </c>
      <c r="G2979" s="8" t="s">
        <v>18</v>
      </c>
      <c r="H2979" s="8"/>
      <c r="I2979" s="7"/>
      <c r="J2979" s="8" t="str">
        <f aca="false">VLOOKUP(B2979, Table3[#All], 2, FALSE())</f>
        <v>Inventory</v>
      </c>
      <c r="K2979" s="8" t="str">
        <f aca="false">TEXT(ROW(), "0000")</f>
        <v>2979</v>
      </c>
      <c r="L2979" s="8"/>
    </row>
    <row r="2980" customFormat="false" ht="15.75" hidden="false" customHeight="true" outlineLevel="0" collapsed="false">
      <c r="A2980" s="7" t="n">
        <v>45864</v>
      </c>
      <c r="B2980" s="8" t="s">
        <v>47</v>
      </c>
      <c r="C2980" s="9" t="n">
        <v>900</v>
      </c>
      <c r="D2980" s="8" t="s">
        <v>13</v>
      </c>
      <c r="E2980" s="10" t="s">
        <v>339</v>
      </c>
      <c r="F2980" s="8" t="str">
        <f aca="false">TEXT(A2980,"MM-YYYY")</f>
        <v>07-2025</v>
      </c>
      <c r="G2980" s="8" t="s">
        <v>14</v>
      </c>
      <c r="H2980" s="8" t="s">
        <v>13</v>
      </c>
      <c r="I2980" s="7" t="n">
        <v>45870</v>
      </c>
      <c r="J2980" s="8" t="str">
        <f aca="false">VLOOKUP(B2980, Table3[#All], 2, FALSE())</f>
        <v>Inventory</v>
      </c>
      <c r="K2980" s="8" t="str">
        <f aca="false">TEXT(ROW(), "0000")</f>
        <v>2980</v>
      </c>
      <c r="L2980" s="8"/>
    </row>
    <row r="2981" customFormat="false" ht="15.75" hidden="false" customHeight="true" outlineLevel="0" collapsed="false">
      <c r="A2981" s="7" t="n">
        <v>45864</v>
      </c>
      <c r="B2981" s="8" t="s">
        <v>19</v>
      </c>
      <c r="C2981" s="9" t="n">
        <v>4105</v>
      </c>
      <c r="D2981" s="8" t="s">
        <v>13</v>
      </c>
      <c r="E2981" s="10" t="s">
        <v>20</v>
      </c>
      <c r="F2981" s="8" t="str">
        <f aca="false">TEXT(A2981,"MM-YYYY")</f>
        <v>07-2025</v>
      </c>
      <c r="G2981" s="8" t="s">
        <v>14</v>
      </c>
      <c r="H2981" s="8" t="s">
        <v>13</v>
      </c>
      <c r="I2981" s="7"/>
      <c r="J2981" s="8" t="str">
        <f aca="false">VLOOKUP(B2981, Table3[#All], 2, FALSE())</f>
        <v>Inventory</v>
      </c>
      <c r="K2981" s="8" t="str">
        <f aca="false">TEXT(ROW(), "0000")</f>
        <v>2981</v>
      </c>
      <c r="L2981" s="8"/>
    </row>
    <row r="2982" customFormat="false" ht="15.75" hidden="false" customHeight="true" outlineLevel="0" collapsed="false">
      <c r="A2982" s="7" t="n">
        <v>45864</v>
      </c>
      <c r="B2982" s="8" t="s">
        <v>25</v>
      </c>
      <c r="C2982" s="9" t="n">
        <v>823</v>
      </c>
      <c r="D2982" s="8" t="s">
        <v>13</v>
      </c>
      <c r="E2982" s="10" t="s">
        <v>360</v>
      </c>
      <c r="F2982" s="8" t="str">
        <f aca="false">TEXT(A2982,"MM-YYYY")</f>
        <v>07-2025</v>
      </c>
      <c r="G2982" s="8" t="s">
        <v>18</v>
      </c>
      <c r="H2982" s="8"/>
      <c r="I2982" s="7"/>
      <c r="J2982" s="8" t="str">
        <f aca="false">VLOOKUP(B2982, Table3[#All], 2, FALSE())</f>
        <v>Inventory</v>
      </c>
      <c r="K2982" s="8" t="str">
        <f aca="false">TEXT(ROW(), "0000")</f>
        <v>2982</v>
      </c>
      <c r="L2982" s="8"/>
    </row>
    <row r="2983" customFormat="false" ht="15.75" hidden="false" customHeight="true" outlineLevel="0" collapsed="false">
      <c r="A2983" s="7" t="n">
        <v>45864</v>
      </c>
      <c r="B2983" s="8" t="s">
        <v>32</v>
      </c>
      <c r="C2983" s="9" t="n">
        <v>140</v>
      </c>
      <c r="D2983" s="8" t="s">
        <v>45</v>
      </c>
      <c r="E2983" s="10" t="s">
        <v>38</v>
      </c>
      <c r="F2983" s="8" t="str">
        <f aca="false">TEXT(A2983,"MM-YYYY")</f>
        <v>07-2025</v>
      </c>
      <c r="G2983" s="8" t="s">
        <v>14</v>
      </c>
      <c r="H2983" s="8" t="s">
        <v>15</v>
      </c>
      <c r="I2983" s="7" t="n">
        <v>45864</v>
      </c>
      <c r="J2983" s="8" t="str">
        <f aca="false">VLOOKUP(B2983, Table3[#All], 2, FALSE())</f>
        <v>Grocery</v>
      </c>
      <c r="K2983" s="8" t="str">
        <f aca="false">TEXT(ROW(), "0000")</f>
        <v>2983</v>
      </c>
      <c r="L2983" s="8"/>
    </row>
    <row r="2984" customFormat="false" ht="15.75" hidden="false" customHeight="true" outlineLevel="0" collapsed="false">
      <c r="A2984" s="7" t="n">
        <v>45864</v>
      </c>
      <c r="B2984" s="8" t="s">
        <v>43</v>
      </c>
      <c r="C2984" s="9" t="n">
        <v>200</v>
      </c>
      <c r="D2984" s="8" t="s">
        <v>45</v>
      </c>
      <c r="E2984" s="10" t="s">
        <v>375</v>
      </c>
      <c r="F2984" s="8" t="str">
        <f aca="false">TEXT(A2984,"MM-YYYY")</f>
        <v>07-2025</v>
      </c>
      <c r="G2984" s="8" t="s">
        <v>14</v>
      </c>
      <c r="H2984" s="8" t="s">
        <v>15</v>
      </c>
      <c r="I2984" s="7" t="n">
        <v>45864</v>
      </c>
      <c r="J2984" s="8" t="str">
        <f aca="false">VLOOKUP(B2984, Table3[#All], 2, FALSE())</f>
        <v>Maintance</v>
      </c>
      <c r="K2984" s="8" t="str">
        <f aca="false">TEXT(ROW(), "0000")</f>
        <v>2984</v>
      </c>
      <c r="L2984" s="8"/>
    </row>
    <row r="2985" customFormat="false" ht="15.75" hidden="false" customHeight="true" outlineLevel="0" collapsed="false">
      <c r="A2985" s="7" t="n">
        <v>45864</v>
      </c>
      <c r="B2985" s="8" t="s">
        <v>22</v>
      </c>
      <c r="C2985" s="9" t="n">
        <v>160</v>
      </c>
      <c r="D2985" s="8" t="s">
        <v>45</v>
      </c>
      <c r="E2985" s="10" t="s">
        <v>376</v>
      </c>
      <c r="F2985" s="8" t="str">
        <f aca="false">TEXT(A2985,"MM-YYYY")</f>
        <v>07-2025</v>
      </c>
      <c r="G2985" s="8" t="s">
        <v>14</v>
      </c>
      <c r="H2985" s="8" t="s">
        <v>15</v>
      </c>
      <c r="I2985" s="7" t="n">
        <v>45864</v>
      </c>
      <c r="J2985" s="8" t="str">
        <f aca="false">VLOOKUP(B2985, Table3[#All], 2, FALSE())</f>
        <v>Inventory</v>
      </c>
      <c r="K2985" s="8" t="str">
        <f aca="false">TEXT(ROW(), "0000")</f>
        <v>2985</v>
      </c>
      <c r="L2985" s="8"/>
    </row>
    <row r="2986" customFormat="false" ht="15.75" hidden="false" customHeight="true" outlineLevel="0" collapsed="false">
      <c r="A2986" s="7" t="n">
        <v>45864</v>
      </c>
      <c r="B2986" s="8" t="s">
        <v>53</v>
      </c>
      <c r="C2986" s="9" t="n">
        <v>2748</v>
      </c>
      <c r="D2986" s="8" t="s">
        <v>13</v>
      </c>
      <c r="E2986" s="10" t="s">
        <v>54</v>
      </c>
      <c r="F2986" s="8" t="str">
        <f aca="false">TEXT(A2986,"MM-YYYY")</f>
        <v>07-2025</v>
      </c>
      <c r="G2986" s="8" t="s">
        <v>14</v>
      </c>
      <c r="H2986" s="8" t="s">
        <v>262</v>
      </c>
      <c r="I2986" s="7" t="n">
        <v>45864</v>
      </c>
      <c r="J2986" s="8" t="str">
        <f aca="false">VLOOKUP(B2986, Table3[#All], 2, FALSE())</f>
        <v>Grocery</v>
      </c>
      <c r="K2986" s="8" t="str">
        <f aca="false">TEXT(ROW(), "0000")</f>
        <v>2986</v>
      </c>
      <c r="L2986" s="8"/>
    </row>
    <row r="2987" customFormat="false" ht="15.75" hidden="false" customHeight="true" outlineLevel="0" collapsed="false">
      <c r="A2987" s="7" t="n">
        <v>45864</v>
      </c>
      <c r="B2987" s="8" t="s">
        <v>44</v>
      </c>
      <c r="C2987" s="9" t="n">
        <v>3000</v>
      </c>
      <c r="D2987" s="8" t="s">
        <v>13</v>
      </c>
      <c r="E2987" s="10" t="s">
        <v>86</v>
      </c>
      <c r="F2987" s="8" t="str">
        <f aca="false">TEXT(A2987,"MM-YYYY")</f>
        <v>07-2025</v>
      </c>
      <c r="G2987" s="8" t="s">
        <v>14</v>
      </c>
      <c r="H2987" s="8" t="s">
        <v>262</v>
      </c>
      <c r="I2987" s="7" t="n">
        <v>45864</v>
      </c>
      <c r="J2987" s="8" t="str">
        <f aca="false">VLOOKUP(B2987, Table3[#All], 2, FALSE())</f>
        <v>Salary</v>
      </c>
      <c r="K2987" s="8" t="str">
        <f aca="false">TEXT(ROW(), "0000")</f>
        <v>2987</v>
      </c>
      <c r="L2987" s="8" t="n">
        <v>1</v>
      </c>
    </row>
    <row r="2988" customFormat="false" ht="15.75" hidden="false" customHeight="true" outlineLevel="0" collapsed="false">
      <c r="A2988" s="7" t="n">
        <v>45864</v>
      </c>
      <c r="B2988" s="8" t="s">
        <v>29</v>
      </c>
      <c r="C2988" s="9" t="n">
        <v>456</v>
      </c>
      <c r="D2988" s="8" t="s">
        <v>13</v>
      </c>
      <c r="E2988" s="10" t="s">
        <v>302</v>
      </c>
      <c r="F2988" s="8" t="str">
        <f aca="false">TEXT(A2988,"MM-YYYY")</f>
        <v>07-2025</v>
      </c>
      <c r="G2988" s="8" t="s">
        <v>18</v>
      </c>
      <c r="H2988" s="8"/>
      <c r="I2988" s="7"/>
      <c r="J2988" s="8" t="str">
        <f aca="false">VLOOKUP(B2988, Table3[#All], 2, FALSE())</f>
        <v>Inventory</v>
      </c>
      <c r="K2988" s="8" t="str">
        <f aca="false">TEXT(ROW(), "0000")</f>
        <v>2988</v>
      </c>
      <c r="L2988" s="8"/>
    </row>
    <row r="2989" customFormat="false" ht="15.75" hidden="false" customHeight="true" outlineLevel="0" collapsed="false">
      <c r="A2989" s="7" t="n">
        <v>45864</v>
      </c>
      <c r="B2989" s="8" t="s">
        <v>16</v>
      </c>
      <c r="C2989" s="9" t="n">
        <v>2360</v>
      </c>
      <c r="D2989" s="8" t="s">
        <v>21</v>
      </c>
      <c r="E2989" s="10" t="s">
        <v>88</v>
      </c>
      <c r="F2989" s="8" t="str">
        <f aca="false">TEXT(A2989,"MM-YYYY")</f>
        <v>07-2025</v>
      </c>
      <c r="G2989" s="8"/>
      <c r="H2989" s="8"/>
      <c r="I2989" s="7"/>
      <c r="J2989" s="8" t="str">
        <f aca="false">VLOOKUP(B2989, Table3[#All], 2, FALSE())</f>
        <v>Sales</v>
      </c>
      <c r="K2989" s="8" t="str">
        <f aca="false">TEXT(ROW(), "0000")</f>
        <v>2989</v>
      </c>
      <c r="L2989" s="8"/>
    </row>
    <row r="2990" customFormat="false" ht="15.75" hidden="false" customHeight="true" outlineLevel="0" collapsed="false">
      <c r="A2990" s="7" t="n">
        <v>45864</v>
      </c>
      <c r="B2990" s="8" t="s">
        <v>16</v>
      </c>
      <c r="C2990" s="9" t="n">
        <v>80</v>
      </c>
      <c r="D2990" s="8" t="s">
        <v>27</v>
      </c>
      <c r="E2990" s="10" t="s">
        <v>88</v>
      </c>
      <c r="F2990" s="8" t="str">
        <f aca="false">TEXT(A2990,"MM-YYYY")</f>
        <v>07-2025</v>
      </c>
      <c r="G2990" s="8"/>
      <c r="H2990" s="8"/>
      <c r="I2990" s="7"/>
      <c r="J2990" s="8" t="str">
        <f aca="false">VLOOKUP(B2990, Table3[#All], 2, FALSE())</f>
        <v>Sales</v>
      </c>
      <c r="K2990" s="8" t="str">
        <f aca="false">TEXT(ROW(), "0000")</f>
        <v>2990</v>
      </c>
      <c r="L2990" s="8"/>
    </row>
    <row r="2991" customFormat="false" ht="15.75" hidden="false" customHeight="true" outlineLevel="0" collapsed="false">
      <c r="A2991" s="7" t="n">
        <v>45864</v>
      </c>
      <c r="B2991" s="8" t="s">
        <v>16</v>
      </c>
      <c r="C2991" s="9" t="n">
        <v>16338</v>
      </c>
      <c r="D2991" s="8" t="s">
        <v>17</v>
      </c>
      <c r="E2991" s="10" t="s">
        <v>88</v>
      </c>
      <c r="F2991" s="8" t="str">
        <f aca="false">TEXT(A2991,"MM-YYYY")</f>
        <v>07-2025</v>
      </c>
      <c r="G2991" s="8"/>
      <c r="H2991" s="8"/>
      <c r="I2991" s="7"/>
      <c r="J2991" s="8" t="str">
        <f aca="false">VLOOKUP(B2991, Table3[#All], 2, FALSE())</f>
        <v>Sales</v>
      </c>
      <c r="K2991" s="8" t="str">
        <f aca="false">TEXT(ROW(), "0000")</f>
        <v>2991</v>
      </c>
      <c r="L2991" s="8"/>
    </row>
    <row r="2992" customFormat="false" ht="15.75" hidden="false" customHeight="true" outlineLevel="0" collapsed="false">
      <c r="A2992" s="7" t="n">
        <v>45864</v>
      </c>
      <c r="B2992" s="8" t="s">
        <v>16</v>
      </c>
      <c r="C2992" s="9" t="n">
        <v>750</v>
      </c>
      <c r="D2992" s="8" t="s">
        <v>59</v>
      </c>
      <c r="E2992" s="10" t="s">
        <v>88</v>
      </c>
      <c r="F2992" s="8" t="str">
        <f aca="false">TEXT(A2992,"MM-YYYY")</f>
        <v>07-2025</v>
      </c>
      <c r="G2992" s="8"/>
      <c r="H2992" s="8"/>
      <c r="I2992" s="7"/>
      <c r="J2992" s="8" t="str">
        <f aca="false">VLOOKUP(B2992, Table3[#All], 2, FALSE())</f>
        <v>Sales</v>
      </c>
      <c r="K2992" s="8" t="str">
        <f aca="false">TEXT(ROW(), "0000")</f>
        <v>2992</v>
      </c>
      <c r="L2992" s="8"/>
    </row>
    <row r="2993" customFormat="false" ht="15.75" hidden="false" customHeight="true" outlineLevel="0" collapsed="false">
      <c r="A2993" s="7" t="n">
        <v>45864</v>
      </c>
      <c r="B2993" s="8" t="s">
        <v>16</v>
      </c>
      <c r="C2993" s="9" t="n">
        <v>1964</v>
      </c>
      <c r="D2993" s="8" t="s">
        <v>24</v>
      </c>
      <c r="E2993" s="10" t="s">
        <v>217</v>
      </c>
      <c r="F2993" s="8" t="str">
        <f aca="false">TEXT(A2993,"MM-YYYY")</f>
        <v>07-2025</v>
      </c>
      <c r="G2993" s="8"/>
      <c r="H2993" s="8"/>
      <c r="I2993" s="7"/>
      <c r="J2993" s="8" t="str">
        <f aca="false">VLOOKUP(B2993, Table3[#All], 2, FALSE())</f>
        <v>Sales</v>
      </c>
      <c r="K2993" s="8" t="str">
        <f aca="false">TEXT(ROW(), "0000")</f>
        <v>2993</v>
      </c>
      <c r="L2993" s="8"/>
    </row>
    <row r="2994" customFormat="false" ht="15.75" hidden="false" customHeight="true" outlineLevel="0" collapsed="false">
      <c r="A2994" s="7" t="n">
        <v>45864</v>
      </c>
      <c r="B2994" s="8" t="s">
        <v>34</v>
      </c>
      <c r="C2994" s="9" t="n">
        <v>60</v>
      </c>
      <c r="D2994" s="8" t="s">
        <v>21</v>
      </c>
      <c r="E2994" s="10" t="s">
        <v>274</v>
      </c>
      <c r="F2994" s="8" t="str">
        <f aca="false">TEXT(A2994,"MM-YYYY")</f>
        <v>07-2025</v>
      </c>
      <c r="G2994" s="8" t="s">
        <v>14</v>
      </c>
      <c r="H2994" s="8" t="s">
        <v>15</v>
      </c>
      <c r="I2994" s="7" t="n">
        <v>45864</v>
      </c>
      <c r="J2994" s="8" t="str">
        <f aca="false">VLOOKUP(B2994, Table3[#All], 2, FALSE())</f>
        <v>Staff Expenses</v>
      </c>
      <c r="K2994" s="8" t="str">
        <f aca="false">TEXT(ROW(), "0000")</f>
        <v>2994</v>
      </c>
      <c r="L2994" s="8"/>
    </row>
    <row r="2995" customFormat="false" ht="15.75" hidden="false" customHeight="true" outlineLevel="0" collapsed="false">
      <c r="A2995" s="7" t="n">
        <v>45864</v>
      </c>
      <c r="B2995" s="8" t="s">
        <v>50</v>
      </c>
      <c r="C2995" s="9" t="n">
        <v>1678</v>
      </c>
      <c r="D2995" s="8" t="s">
        <v>13</v>
      </c>
      <c r="E2995" s="10" t="s">
        <v>263</v>
      </c>
      <c r="F2995" s="8" t="str">
        <f aca="false">TEXT(A2995,"MM-YYYY")</f>
        <v>07-2025</v>
      </c>
      <c r="G2995" s="8" t="s">
        <v>18</v>
      </c>
      <c r="H2995" s="8"/>
      <c r="I2995" s="7"/>
      <c r="J2995" s="8" t="str">
        <f aca="false">VLOOKUP(B2995, Table3[#All], 2, FALSE())</f>
        <v>Fixed Maintance</v>
      </c>
      <c r="K2995" s="8" t="str">
        <f aca="false">TEXT(ROW(), "0000")</f>
        <v>2995</v>
      </c>
      <c r="L2995" s="8"/>
    </row>
    <row r="2996" customFormat="false" ht="15.75" hidden="false" customHeight="true" outlineLevel="0" collapsed="false">
      <c r="A2996" s="7" t="n">
        <v>45864</v>
      </c>
      <c r="B2996" s="8" t="s">
        <v>16</v>
      </c>
      <c r="C2996" s="9" t="n">
        <v>190</v>
      </c>
      <c r="D2996" s="8" t="s">
        <v>33</v>
      </c>
      <c r="E2996" s="10" t="s">
        <v>88</v>
      </c>
      <c r="F2996" s="8" t="str">
        <f aca="false">TEXT(A2996,"MM-YYYY")</f>
        <v>07-2025</v>
      </c>
      <c r="G2996" s="8"/>
      <c r="H2996" s="8"/>
      <c r="I2996" s="7"/>
      <c r="J2996" s="8" t="str">
        <f aca="false">VLOOKUP(B2996, Table3[#All], 2, FALSE())</f>
        <v>Sales</v>
      </c>
      <c r="K2996" s="8" t="str">
        <f aca="false">TEXT(ROW(), "0000")</f>
        <v>2996</v>
      </c>
      <c r="L2996" s="8"/>
    </row>
    <row r="2997" customFormat="false" ht="15.75" hidden="false" customHeight="true" outlineLevel="0" collapsed="false">
      <c r="A2997" s="7" t="n">
        <v>45865</v>
      </c>
      <c r="B2997" s="8" t="s">
        <v>29</v>
      </c>
      <c r="C2997" s="9" t="n">
        <v>193</v>
      </c>
      <c r="D2997" s="8" t="s">
        <v>13</v>
      </c>
      <c r="E2997" s="10" t="s">
        <v>302</v>
      </c>
      <c r="F2997" s="8" t="str">
        <f aca="false">TEXT(A2997,"MM-YYYY")</f>
        <v>07-2025</v>
      </c>
      <c r="G2997" s="8" t="s">
        <v>18</v>
      </c>
      <c r="H2997" s="8"/>
      <c r="I2997" s="7"/>
      <c r="J2997" s="8" t="str">
        <f aca="false">VLOOKUP(B2997, Table3[#All], 2, FALSE())</f>
        <v>Inventory</v>
      </c>
      <c r="K2997" s="8" t="str">
        <f aca="false">TEXT(ROW(), "0000")</f>
        <v>2997</v>
      </c>
      <c r="L2997" s="8"/>
    </row>
    <row r="2998" customFormat="false" ht="15.75" hidden="false" customHeight="true" outlineLevel="0" collapsed="false">
      <c r="A2998" s="7" t="n">
        <v>45865</v>
      </c>
      <c r="B2998" s="8" t="s">
        <v>22</v>
      </c>
      <c r="C2998" s="9" t="n">
        <v>4151</v>
      </c>
      <c r="D2998" s="8" t="s">
        <v>13</v>
      </c>
      <c r="E2998" s="10" t="s">
        <v>23</v>
      </c>
      <c r="F2998" s="8" t="str">
        <f aca="false">TEXT(A2998,"MM-YYYY")</f>
        <v>07-2025</v>
      </c>
      <c r="G2998" s="8" t="s">
        <v>18</v>
      </c>
      <c r="H2998" s="8"/>
      <c r="I2998" s="7"/>
      <c r="J2998" s="8" t="str">
        <f aca="false">VLOOKUP(B2998, Table3[#All], 2, FALSE())</f>
        <v>Inventory</v>
      </c>
      <c r="K2998" s="8" t="str">
        <f aca="false">TEXT(ROW(), "0000")</f>
        <v>2998</v>
      </c>
      <c r="L2998" s="8"/>
    </row>
    <row r="2999" customFormat="false" ht="15.75" hidden="false" customHeight="true" outlineLevel="0" collapsed="false">
      <c r="A2999" s="7" t="n">
        <v>45865</v>
      </c>
      <c r="B2999" s="8" t="s">
        <v>25</v>
      </c>
      <c r="C2999" s="9" t="n">
        <v>688</v>
      </c>
      <c r="D2999" s="8" t="s">
        <v>13</v>
      </c>
      <c r="E2999" s="10" t="s">
        <v>360</v>
      </c>
      <c r="F2999" s="8" t="str">
        <f aca="false">TEXT(A2999,"MM-YYYY")</f>
        <v>07-2025</v>
      </c>
      <c r="G2999" s="8" t="s">
        <v>18</v>
      </c>
      <c r="H2999" s="8"/>
      <c r="I2999" s="7"/>
      <c r="J2999" s="8" t="str">
        <f aca="false">VLOOKUP(B2999, Table3[#All], 2, FALSE())</f>
        <v>Inventory</v>
      </c>
      <c r="K2999" s="8" t="str">
        <f aca="false">TEXT(ROW(), "0000")</f>
        <v>2999</v>
      </c>
      <c r="L2999" s="8"/>
    </row>
    <row r="3000" customFormat="false" ht="15.75" hidden="false" customHeight="true" outlineLevel="0" collapsed="false">
      <c r="A3000" s="7" t="n">
        <v>45865</v>
      </c>
      <c r="B3000" s="8" t="s">
        <v>32</v>
      </c>
      <c r="C3000" s="9" t="n">
        <v>105</v>
      </c>
      <c r="D3000" s="8" t="s">
        <v>45</v>
      </c>
      <c r="E3000" s="10" t="s">
        <v>38</v>
      </c>
      <c r="F3000" s="8" t="str">
        <f aca="false">TEXT(A3000,"MM-YYYY")</f>
        <v>07-2025</v>
      </c>
      <c r="G3000" s="8" t="s">
        <v>14</v>
      </c>
      <c r="H3000" s="8" t="s">
        <v>15</v>
      </c>
      <c r="I3000" s="7" t="n">
        <v>45865</v>
      </c>
      <c r="J3000" s="8" t="str">
        <f aca="false">VLOOKUP(B3000, Table3[#All], 2, FALSE())</f>
        <v>Grocery</v>
      </c>
      <c r="K3000" s="8" t="str">
        <f aca="false">TEXT(ROW(), "0000")</f>
        <v>3000</v>
      </c>
      <c r="L3000" s="8"/>
    </row>
    <row r="3001" customFormat="false" ht="15.75" hidden="false" customHeight="true" outlineLevel="0" collapsed="false">
      <c r="A3001" s="7" t="n">
        <v>45865</v>
      </c>
      <c r="B3001" s="8" t="s">
        <v>53</v>
      </c>
      <c r="C3001" s="9" t="n">
        <v>1200</v>
      </c>
      <c r="D3001" s="8" t="s">
        <v>45</v>
      </c>
      <c r="E3001" s="10" t="s">
        <v>55</v>
      </c>
      <c r="F3001" s="8" t="str">
        <f aca="false">TEXT(A3001,"MM-YYYY")</f>
        <v>07-2025</v>
      </c>
      <c r="G3001" s="8" t="s">
        <v>14</v>
      </c>
      <c r="H3001" s="8" t="s">
        <v>15</v>
      </c>
      <c r="I3001" s="7" t="n">
        <v>45865</v>
      </c>
      <c r="J3001" s="8" t="str">
        <f aca="false">VLOOKUP(B3001, Table3[#All], 2, FALSE())</f>
        <v>Grocery</v>
      </c>
      <c r="K3001" s="8" t="str">
        <f aca="false">TEXT(ROW(), "0000")</f>
        <v>3001</v>
      </c>
      <c r="L3001" s="8"/>
    </row>
    <row r="3002" customFormat="false" ht="15.75" hidden="false" customHeight="true" outlineLevel="0" collapsed="false">
      <c r="A3002" s="7" t="n">
        <v>45865</v>
      </c>
      <c r="B3002" s="8" t="s">
        <v>44</v>
      </c>
      <c r="C3002" s="9" t="n">
        <v>1000</v>
      </c>
      <c r="D3002" s="8" t="s">
        <v>13</v>
      </c>
      <c r="E3002" s="10" t="s">
        <v>377</v>
      </c>
      <c r="F3002" s="8" t="str">
        <f aca="false">TEXT(A3002,"MM-YYYY")</f>
        <v>07-2025</v>
      </c>
      <c r="G3002" s="8" t="s">
        <v>14</v>
      </c>
      <c r="H3002" s="8" t="s">
        <v>262</v>
      </c>
      <c r="I3002" s="7" t="n">
        <v>45865</v>
      </c>
      <c r="J3002" s="8" t="str">
        <f aca="false">VLOOKUP(B3002, Table3[#All], 2, FALSE())</f>
        <v>Salary</v>
      </c>
      <c r="K3002" s="8" t="str">
        <f aca="false">TEXT(ROW(), "0000")</f>
        <v>3002</v>
      </c>
      <c r="L3002" s="8"/>
    </row>
    <row r="3003" customFormat="false" ht="15.75" hidden="false" customHeight="true" outlineLevel="0" collapsed="false">
      <c r="A3003" s="7" t="n">
        <v>45865</v>
      </c>
      <c r="B3003" s="8" t="s">
        <v>16</v>
      </c>
      <c r="C3003" s="9" t="n">
        <v>3865</v>
      </c>
      <c r="D3003" s="8" t="s">
        <v>21</v>
      </c>
      <c r="E3003" s="10" t="s">
        <v>88</v>
      </c>
      <c r="F3003" s="8" t="str">
        <f aca="false">TEXT(A3003,"MM-YYYY")</f>
        <v>07-2025</v>
      </c>
      <c r="G3003" s="8"/>
      <c r="H3003" s="8"/>
      <c r="I3003" s="7"/>
      <c r="J3003" s="8" t="str">
        <f aca="false">VLOOKUP(B3003, Table3[#All], 2, FALSE())</f>
        <v>Sales</v>
      </c>
      <c r="K3003" s="8" t="str">
        <f aca="false">TEXT(ROW(), "0000")</f>
        <v>3003</v>
      </c>
      <c r="L3003" s="8"/>
    </row>
    <row r="3004" customFormat="false" ht="15.75" hidden="false" customHeight="true" outlineLevel="0" collapsed="false">
      <c r="A3004" s="7" t="n">
        <v>45865</v>
      </c>
      <c r="B3004" s="8" t="s">
        <v>16</v>
      </c>
      <c r="C3004" s="9" t="n">
        <v>220</v>
      </c>
      <c r="D3004" s="8" t="s">
        <v>33</v>
      </c>
      <c r="E3004" s="10" t="s">
        <v>88</v>
      </c>
      <c r="F3004" s="8" t="str">
        <f aca="false">TEXT(A3004,"MM-YYYY")</f>
        <v>07-2025</v>
      </c>
      <c r="G3004" s="8"/>
      <c r="H3004" s="8"/>
      <c r="I3004" s="7"/>
      <c r="J3004" s="8" t="str">
        <f aca="false">VLOOKUP(B3004, Table3[#All], 2, FALSE())</f>
        <v>Sales</v>
      </c>
      <c r="K3004" s="8" t="str">
        <f aca="false">TEXT(ROW(), "0000")</f>
        <v>3004</v>
      </c>
      <c r="L3004" s="8"/>
    </row>
    <row r="3005" customFormat="false" ht="15.75" hidden="false" customHeight="true" outlineLevel="0" collapsed="false">
      <c r="A3005" s="7" t="n">
        <v>45865</v>
      </c>
      <c r="B3005" s="8" t="s">
        <v>16</v>
      </c>
      <c r="C3005" s="9" t="n">
        <v>9744</v>
      </c>
      <c r="D3005" s="8" t="s">
        <v>17</v>
      </c>
      <c r="E3005" s="10" t="s">
        <v>88</v>
      </c>
      <c r="F3005" s="8" t="str">
        <f aca="false">TEXT(A3005,"MM-YYYY")</f>
        <v>07-2025</v>
      </c>
      <c r="G3005" s="8"/>
      <c r="H3005" s="8"/>
      <c r="I3005" s="7"/>
      <c r="J3005" s="8" t="str">
        <f aca="false">VLOOKUP(B3005, Table3[#All], 2, FALSE())</f>
        <v>Sales</v>
      </c>
      <c r="K3005" s="8" t="str">
        <f aca="false">TEXT(ROW(), "0000")</f>
        <v>3005</v>
      </c>
      <c r="L3005" s="8"/>
    </row>
    <row r="3006" customFormat="false" ht="15.75" hidden="false" customHeight="true" outlineLevel="0" collapsed="false">
      <c r="A3006" s="7" t="n">
        <v>45865</v>
      </c>
      <c r="B3006" s="8" t="s">
        <v>16</v>
      </c>
      <c r="C3006" s="9" t="n">
        <v>2091</v>
      </c>
      <c r="D3006" s="8" t="s">
        <v>24</v>
      </c>
      <c r="E3006" s="10" t="s">
        <v>217</v>
      </c>
      <c r="F3006" s="8" t="str">
        <f aca="false">TEXT(A3006,"MM-YYYY")</f>
        <v>07-2025</v>
      </c>
      <c r="G3006" s="8"/>
      <c r="H3006" s="8"/>
      <c r="I3006" s="7"/>
      <c r="J3006" s="8" t="str">
        <f aca="false">VLOOKUP(B3006, Table3[#All], 2, FALSE())</f>
        <v>Sales</v>
      </c>
      <c r="K3006" s="8" t="str">
        <f aca="false">TEXT(ROW(), "0000")</f>
        <v>3006</v>
      </c>
      <c r="L3006" s="8"/>
    </row>
    <row r="3007" customFormat="false" ht="15.75" hidden="false" customHeight="true" outlineLevel="0" collapsed="false">
      <c r="A3007" s="7" t="n">
        <v>45865</v>
      </c>
      <c r="B3007" s="8" t="s">
        <v>22</v>
      </c>
      <c r="C3007" s="9" t="n">
        <v>200</v>
      </c>
      <c r="D3007" s="8" t="s">
        <v>45</v>
      </c>
      <c r="E3007" s="10" t="s">
        <v>378</v>
      </c>
      <c r="F3007" s="8" t="str">
        <f aca="false">TEXT(A3007,"MM-YYYY")</f>
        <v>07-2025</v>
      </c>
      <c r="G3007" s="8" t="s">
        <v>14</v>
      </c>
      <c r="H3007" s="8" t="s">
        <v>15</v>
      </c>
      <c r="I3007" s="7" t="n">
        <v>45865</v>
      </c>
      <c r="J3007" s="8" t="str">
        <f aca="false">VLOOKUP(B3007, Table3[#All], 2, FALSE())</f>
        <v>Inventory</v>
      </c>
      <c r="K3007" s="8" t="str">
        <f aca="false">TEXT(ROW(), "0000")</f>
        <v>3007</v>
      </c>
      <c r="L3007" s="8"/>
    </row>
    <row r="3008" customFormat="false" ht="15.75" hidden="false" customHeight="true" outlineLevel="0" collapsed="false">
      <c r="A3008" s="7" t="n">
        <v>45865</v>
      </c>
      <c r="B3008" s="8" t="s">
        <v>34</v>
      </c>
      <c r="C3008" s="9" t="n">
        <v>110</v>
      </c>
      <c r="D3008" s="8" t="s">
        <v>21</v>
      </c>
      <c r="E3008" s="10" t="s">
        <v>274</v>
      </c>
      <c r="F3008" s="8" t="str">
        <f aca="false">TEXT(A3008,"MM-YYYY")</f>
        <v>07-2025</v>
      </c>
      <c r="G3008" s="8" t="s">
        <v>14</v>
      </c>
      <c r="H3008" s="8" t="s">
        <v>15</v>
      </c>
      <c r="I3008" s="7" t="n">
        <v>45865</v>
      </c>
      <c r="J3008" s="8" t="str">
        <f aca="false">VLOOKUP(B3008, Table3[#All], 2, FALSE())</f>
        <v>Staff Expenses</v>
      </c>
      <c r="K3008" s="8" t="str">
        <f aca="false">TEXT(ROW(), "0000")</f>
        <v>3008</v>
      </c>
      <c r="L3008" s="8"/>
    </row>
    <row r="3009" customFormat="false" ht="15.75" hidden="false" customHeight="true" outlineLevel="0" collapsed="false">
      <c r="A3009" s="7" t="n">
        <v>45866</v>
      </c>
      <c r="B3009" s="8" t="s">
        <v>19</v>
      </c>
      <c r="C3009" s="9" t="n">
        <v>715</v>
      </c>
      <c r="D3009" s="8" t="s">
        <v>13</v>
      </c>
      <c r="E3009" s="10" t="s">
        <v>20</v>
      </c>
      <c r="F3009" s="8" t="str">
        <f aca="false">TEXT(A3009,"MM-YYYY")</f>
        <v>07-2025</v>
      </c>
      <c r="G3009" s="8" t="s">
        <v>14</v>
      </c>
      <c r="H3009" s="8" t="s">
        <v>13</v>
      </c>
      <c r="I3009" s="7"/>
      <c r="J3009" s="8" t="str">
        <f aca="false">VLOOKUP(B3009, Table3[#All], 2, FALSE())</f>
        <v>Inventory</v>
      </c>
      <c r="K3009" s="8" t="str">
        <f aca="false">TEXT(ROW(), "0000")</f>
        <v>3009</v>
      </c>
      <c r="L3009" s="8"/>
    </row>
    <row r="3010" customFormat="false" ht="15.75" hidden="false" customHeight="true" outlineLevel="0" collapsed="false">
      <c r="A3010" s="7" t="n">
        <v>45866</v>
      </c>
      <c r="B3010" s="8" t="s">
        <v>47</v>
      </c>
      <c r="C3010" s="9" t="n">
        <v>900</v>
      </c>
      <c r="D3010" s="8" t="s">
        <v>13</v>
      </c>
      <c r="E3010" s="10" t="s">
        <v>339</v>
      </c>
      <c r="F3010" s="8" t="str">
        <f aca="false">TEXT(A3010,"MM-YYYY")</f>
        <v>07-2025</v>
      </c>
      <c r="G3010" s="8" t="s">
        <v>14</v>
      </c>
      <c r="H3010" s="8" t="s">
        <v>13</v>
      </c>
      <c r="I3010" s="7" t="n">
        <v>45870</v>
      </c>
      <c r="J3010" s="8" t="str">
        <f aca="false">VLOOKUP(B3010, Table3[#All], 2, FALSE())</f>
        <v>Inventory</v>
      </c>
      <c r="K3010" s="8" t="str">
        <f aca="false">TEXT(ROW(), "0000")</f>
        <v>3010</v>
      </c>
      <c r="L3010" s="8"/>
    </row>
    <row r="3011" customFormat="false" ht="15.75" hidden="false" customHeight="true" outlineLevel="0" collapsed="false">
      <c r="A3011" s="7" t="n">
        <v>45866</v>
      </c>
      <c r="B3011" s="8" t="s">
        <v>22</v>
      </c>
      <c r="C3011" s="9" t="n">
        <v>110</v>
      </c>
      <c r="D3011" s="8" t="s">
        <v>45</v>
      </c>
      <c r="E3011" s="10" t="s">
        <v>213</v>
      </c>
      <c r="F3011" s="8" t="str">
        <f aca="false">TEXT(A3011,"MM-YYYY")</f>
        <v>07-2025</v>
      </c>
      <c r="G3011" s="8" t="s">
        <v>14</v>
      </c>
      <c r="H3011" s="8" t="s">
        <v>15</v>
      </c>
      <c r="I3011" s="7" t="n">
        <v>45866</v>
      </c>
      <c r="J3011" s="8" t="str">
        <f aca="false">VLOOKUP(B3011, Table3[#All], 2, FALSE())</f>
        <v>Inventory</v>
      </c>
      <c r="K3011" s="8" t="str">
        <f aca="false">TEXT(ROW(), "0000")</f>
        <v>3011</v>
      </c>
      <c r="L3011" s="8"/>
    </row>
    <row r="3012" customFormat="false" ht="15.75" hidden="false" customHeight="true" outlineLevel="0" collapsed="false">
      <c r="A3012" s="7" t="n">
        <v>45866</v>
      </c>
      <c r="B3012" s="8" t="s">
        <v>32</v>
      </c>
      <c r="C3012" s="9" t="n">
        <v>105</v>
      </c>
      <c r="D3012" s="8" t="s">
        <v>45</v>
      </c>
      <c r="E3012" s="10" t="s">
        <v>38</v>
      </c>
      <c r="F3012" s="8" t="str">
        <f aca="false">TEXT(A3012,"MM-YYYY")</f>
        <v>07-2025</v>
      </c>
      <c r="G3012" s="8" t="s">
        <v>14</v>
      </c>
      <c r="H3012" s="8" t="s">
        <v>15</v>
      </c>
      <c r="I3012" s="7" t="n">
        <v>45866</v>
      </c>
      <c r="J3012" s="8" t="str">
        <f aca="false">VLOOKUP(B3012, Table3[#All], 2, FALSE())</f>
        <v>Grocery</v>
      </c>
      <c r="K3012" s="8" t="str">
        <f aca="false">TEXT(ROW(), "0000")</f>
        <v>3012</v>
      </c>
      <c r="L3012" s="8"/>
    </row>
    <row r="3013" customFormat="false" ht="15.75" hidden="false" customHeight="true" outlineLevel="0" collapsed="false">
      <c r="A3013" s="7" t="n">
        <v>45866</v>
      </c>
      <c r="B3013" s="8" t="s">
        <v>29</v>
      </c>
      <c r="C3013" s="9" t="n">
        <v>203</v>
      </c>
      <c r="D3013" s="8" t="s">
        <v>13</v>
      </c>
      <c r="E3013" s="10" t="s">
        <v>302</v>
      </c>
      <c r="F3013" s="8" t="str">
        <f aca="false">TEXT(A3013,"MM-YYYY")</f>
        <v>07-2025</v>
      </c>
      <c r="G3013" s="8" t="s">
        <v>18</v>
      </c>
      <c r="H3013" s="8"/>
      <c r="I3013" s="7"/>
      <c r="J3013" s="8" t="str">
        <f aca="false">VLOOKUP(B3013, Table3[#All], 2, FALSE())</f>
        <v>Inventory</v>
      </c>
      <c r="K3013" s="8" t="str">
        <f aca="false">TEXT(ROW(), "0000")</f>
        <v>3013</v>
      </c>
      <c r="L3013" s="8"/>
    </row>
    <row r="3014" customFormat="false" ht="15.75" hidden="false" customHeight="true" outlineLevel="0" collapsed="false">
      <c r="A3014" s="7" t="n">
        <v>45866</v>
      </c>
      <c r="B3014" s="8" t="s">
        <v>43</v>
      </c>
      <c r="C3014" s="9" t="n">
        <v>120</v>
      </c>
      <c r="D3014" s="8" t="s">
        <v>45</v>
      </c>
      <c r="E3014" s="10" t="s">
        <v>300</v>
      </c>
      <c r="F3014" s="8" t="str">
        <f aca="false">TEXT(A3014,"MM-YYYY")</f>
        <v>07-2025</v>
      </c>
      <c r="G3014" s="8" t="s">
        <v>14</v>
      </c>
      <c r="H3014" s="8" t="s">
        <v>15</v>
      </c>
      <c r="I3014" s="8" t="s">
        <v>379</v>
      </c>
      <c r="J3014" s="8" t="str">
        <f aca="false">VLOOKUP(B3014, Table3[#All], 2, FALSE())</f>
        <v>Maintance</v>
      </c>
      <c r="K3014" s="8" t="str">
        <f aca="false">TEXT(ROW(), "0000")</f>
        <v>3014</v>
      </c>
      <c r="L3014" s="8"/>
    </row>
    <row r="3015" customFormat="false" ht="15.75" hidden="false" customHeight="true" outlineLevel="0" collapsed="false">
      <c r="A3015" s="7" t="n">
        <v>45866</v>
      </c>
      <c r="B3015" s="8" t="s">
        <v>25</v>
      </c>
      <c r="C3015" s="9" t="n">
        <v>344</v>
      </c>
      <c r="D3015" s="8" t="s">
        <v>13</v>
      </c>
      <c r="E3015" s="10" t="s">
        <v>360</v>
      </c>
      <c r="F3015" s="8" t="str">
        <f aca="false">TEXT(A3015,"MM-YYYY")</f>
        <v>07-2025</v>
      </c>
      <c r="G3015" s="8" t="s">
        <v>18</v>
      </c>
      <c r="H3015" s="8"/>
      <c r="I3015" s="7"/>
      <c r="J3015" s="8" t="str">
        <f aca="false">VLOOKUP(B3015, Table3[#All], 2, FALSE())</f>
        <v>Inventory</v>
      </c>
      <c r="K3015" s="8" t="str">
        <f aca="false">TEXT(ROW(), "0000")</f>
        <v>3015</v>
      </c>
      <c r="L3015" s="8"/>
    </row>
    <row r="3016" customFormat="false" ht="15.75" hidden="false" customHeight="true" outlineLevel="0" collapsed="false">
      <c r="A3016" s="7" t="n">
        <v>45866</v>
      </c>
      <c r="B3016" s="8" t="s">
        <v>25</v>
      </c>
      <c r="C3016" s="9" t="n">
        <v>985</v>
      </c>
      <c r="D3016" s="8" t="s">
        <v>45</v>
      </c>
      <c r="E3016" s="10" t="s">
        <v>268</v>
      </c>
      <c r="F3016" s="8" t="str">
        <f aca="false">TEXT(A3016,"MM-YYYY")</f>
        <v>07-2025</v>
      </c>
      <c r="G3016" s="8" t="s">
        <v>14</v>
      </c>
      <c r="H3016" s="8" t="s">
        <v>15</v>
      </c>
      <c r="I3016" s="7" t="n">
        <v>45866</v>
      </c>
      <c r="J3016" s="8" t="str">
        <f aca="false">VLOOKUP(B3016, Table3[#All], 2, FALSE())</f>
        <v>Inventory</v>
      </c>
      <c r="K3016" s="8" t="str">
        <f aca="false">TEXT(ROW(), "0000")</f>
        <v>3016</v>
      </c>
      <c r="L3016" s="8"/>
    </row>
    <row r="3017" customFormat="false" ht="15.75" hidden="false" customHeight="true" outlineLevel="0" collapsed="false">
      <c r="A3017" s="7" t="n">
        <v>45866</v>
      </c>
      <c r="B3017" s="8" t="s">
        <v>40</v>
      </c>
      <c r="C3017" s="9" t="n">
        <v>400</v>
      </c>
      <c r="D3017" s="8" t="s">
        <v>45</v>
      </c>
      <c r="E3017" s="10" t="s">
        <v>46</v>
      </c>
      <c r="F3017" s="8" t="str">
        <f aca="false">TEXT(A3017,"MM-YYYY")</f>
        <v>07-2025</v>
      </c>
      <c r="G3017" s="8" t="s">
        <v>14</v>
      </c>
      <c r="H3017" s="8" t="s">
        <v>15</v>
      </c>
      <c r="I3017" s="7" t="n">
        <v>45866</v>
      </c>
      <c r="J3017" s="8" t="str">
        <f aca="false">VLOOKUP(B3017, Table3[#All], 2, FALSE())</f>
        <v>Inventory</v>
      </c>
      <c r="K3017" s="8" t="str">
        <f aca="false">TEXT(ROW(), "0000")</f>
        <v>3017</v>
      </c>
      <c r="L3017" s="8"/>
    </row>
    <row r="3018" customFormat="false" ht="15.75" hidden="false" customHeight="true" outlineLevel="0" collapsed="false">
      <c r="A3018" s="7" t="n">
        <v>45866</v>
      </c>
      <c r="B3018" s="8" t="s">
        <v>50</v>
      </c>
      <c r="C3018" s="9" t="n">
        <v>3356</v>
      </c>
      <c r="D3018" s="8" t="s">
        <v>13</v>
      </c>
      <c r="E3018" s="10" t="s">
        <v>263</v>
      </c>
      <c r="F3018" s="8" t="str">
        <f aca="false">TEXT(A3018,"MM-YYYY")</f>
        <v>07-2025</v>
      </c>
      <c r="G3018" s="8" t="s">
        <v>18</v>
      </c>
      <c r="H3018" s="8"/>
      <c r="I3018" s="7"/>
      <c r="J3018" s="8" t="str">
        <f aca="false">VLOOKUP(B3018, Table3[#All], 2, FALSE())</f>
        <v>Fixed Maintance</v>
      </c>
      <c r="K3018" s="8" t="str">
        <f aca="false">TEXT(ROW(), "0000")</f>
        <v>3018</v>
      </c>
      <c r="L3018" s="8"/>
    </row>
    <row r="3019" customFormat="false" ht="15.75" hidden="false" customHeight="true" outlineLevel="0" collapsed="false">
      <c r="A3019" s="7" t="n">
        <v>45866</v>
      </c>
      <c r="B3019" s="8" t="s">
        <v>60</v>
      </c>
      <c r="C3019" s="9" t="n">
        <v>210</v>
      </c>
      <c r="D3019" s="8" t="s">
        <v>45</v>
      </c>
      <c r="E3019" s="10" t="s">
        <v>380</v>
      </c>
      <c r="F3019" s="8" t="str">
        <f aca="false">TEXT(A3019,"MM-YYYY")</f>
        <v>07-2025</v>
      </c>
      <c r="G3019" s="8" t="s">
        <v>14</v>
      </c>
      <c r="H3019" s="8" t="s">
        <v>15</v>
      </c>
      <c r="I3019" s="7" t="n">
        <v>45866</v>
      </c>
      <c r="J3019" s="8" t="str">
        <f aca="false">VLOOKUP(B3019, Table3[#All], 2, FALSE())</f>
        <v>Inventory</v>
      </c>
      <c r="K3019" s="8" t="str">
        <f aca="false">TEXT(ROW(), "0000")</f>
        <v>3019</v>
      </c>
      <c r="L3019" s="8"/>
    </row>
    <row r="3020" customFormat="false" ht="15.75" hidden="false" customHeight="true" outlineLevel="0" collapsed="false">
      <c r="A3020" s="7" t="n">
        <v>45866</v>
      </c>
      <c r="B3020" s="8" t="s">
        <v>44</v>
      </c>
      <c r="C3020" s="9" t="n">
        <v>100</v>
      </c>
      <c r="D3020" s="8" t="s">
        <v>45</v>
      </c>
      <c r="E3020" s="10" t="s">
        <v>370</v>
      </c>
      <c r="F3020" s="8" t="str">
        <f aca="false">TEXT(A3020,"MM-YYYY")</f>
        <v>07-2025</v>
      </c>
      <c r="G3020" s="8" t="s">
        <v>14</v>
      </c>
      <c r="H3020" s="8" t="s">
        <v>15</v>
      </c>
      <c r="I3020" s="7" t="n">
        <v>45866</v>
      </c>
      <c r="J3020" s="8" t="str">
        <f aca="false">VLOOKUP(B3020, Table3[#All], 2, FALSE())</f>
        <v>Salary</v>
      </c>
      <c r="K3020" s="8" t="str">
        <f aca="false">TEXT(ROW(), "0000")</f>
        <v>3020</v>
      </c>
      <c r="L3020" s="8"/>
    </row>
    <row r="3021" customFormat="false" ht="15.75" hidden="false" customHeight="true" outlineLevel="0" collapsed="false">
      <c r="A3021" s="7" t="n">
        <v>45866</v>
      </c>
      <c r="B3021" s="8" t="s">
        <v>16</v>
      </c>
      <c r="C3021" s="9" t="n">
        <v>1720</v>
      </c>
      <c r="D3021" s="8" t="s">
        <v>21</v>
      </c>
      <c r="E3021" s="10" t="s">
        <v>88</v>
      </c>
      <c r="F3021" s="8" t="str">
        <f aca="false">TEXT(A3021,"MM-YYYY")</f>
        <v>07-2025</v>
      </c>
      <c r="G3021" s="8"/>
      <c r="H3021" s="8"/>
      <c r="I3021" s="7"/>
      <c r="J3021" s="8" t="str">
        <f aca="false">VLOOKUP(B3021, Table3[#All], 2, FALSE())</f>
        <v>Sales</v>
      </c>
      <c r="K3021" s="8" t="str">
        <f aca="false">TEXT(ROW(), "0000")</f>
        <v>3021</v>
      </c>
      <c r="L3021" s="8"/>
    </row>
    <row r="3022" customFormat="false" ht="15.75" hidden="false" customHeight="true" outlineLevel="0" collapsed="false">
      <c r="A3022" s="7" t="n">
        <v>45866</v>
      </c>
      <c r="B3022" s="8" t="s">
        <v>16</v>
      </c>
      <c r="C3022" s="9" t="n">
        <v>1139</v>
      </c>
      <c r="D3022" s="8" t="s">
        <v>27</v>
      </c>
      <c r="E3022" s="10" t="s">
        <v>88</v>
      </c>
      <c r="F3022" s="8" t="str">
        <f aca="false">TEXT(A3022,"MM-YYYY")</f>
        <v>07-2025</v>
      </c>
      <c r="G3022" s="8"/>
      <c r="H3022" s="8"/>
      <c r="I3022" s="7"/>
      <c r="J3022" s="8" t="str">
        <f aca="false">VLOOKUP(B3022, Table3[#All], 2, FALSE())</f>
        <v>Sales</v>
      </c>
      <c r="K3022" s="8" t="str">
        <f aca="false">TEXT(ROW(), "0000")</f>
        <v>3022</v>
      </c>
      <c r="L3022" s="8"/>
    </row>
    <row r="3023" customFormat="false" ht="15.75" hidden="false" customHeight="true" outlineLevel="0" collapsed="false">
      <c r="A3023" s="7" t="n">
        <v>45866</v>
      </c>
      <c r="B3023" s="8" t="s">
        <v>16</v>
      </c>
      <c r="C3023" s="9" t="n">
        <v>8923</v>
      </c>
      <c r="D3023" s="8" t="s">
        <v>17</v>
      </c>
      <c r="E3023" s="10" t="s">
        <v>88</v>
      </c>
      <c r="F3023" s="8" t="str">
        <f aca="false">TEXT(A3023,"MM-YYYY")</f>
        <v>07-2025</v>
      </c>
      <c r="G3023" s="8"/>
      <c r="H3023" s="8"/>
      <c r="I3023" s="7"/>
      <c r="J3023" s="8" t="str">
        <f aca="false">VLOOKUP(B3023, Table3[#All], 2, FALSE())</f>
        <v>Sales</v>
      </c>
      <c r="K3023" s="8" t="str">
        <f aca="false">TEXT(ROW(), "0000")</f>
        <v>3023</v>
      </c>
      <c r="L3023" s="8"/>
    </row>
    <row r="3024" customFormat="false" ht="15.75" hidden="false" customHeight="true" outlineLevel="0" collapsed="false">
      <c r="A3024" s="7" t="n">
        <v>45866</v>
      </c>
      <c r="B3024" s="8" t="s">
        <v>16</v>
      </c>
      <c r="C3024" s="9" t="n">
        <v>1487</v>
      </c>
      <c r="D3024" s="8" t="s">
        <v>24</v>
      </c>
      <c r="E3024" s="10" t="s">
        <v>217</v>
      </c>
      <c r="F3024" s="8" t="str">
        <f aca="false">TEXT(A3024,"MM-YYYY")</f>
        <v>07-2025</v>
      </c>
      <c r="G3024" s="8"/>
      <c r="H3024" s="8"/>
      <c r="I3024" s="7"/>
      <c r="J3024" s="8" t="str">
        <f aca="false">VLOOKUP(B3024, Table3[#All], 2, FALSE())</f>
        <v>Sales</v>
      </c>
      <c r="K3024" s="8" t="str">
        <f aca="false">TEXT(ROW(), "0000")</f>
        <v>3024</v>
      </c>
      <c r="L3024" s="8"/>
    </row>
    <row r="3025" customFormat="false" ht="15.75" hidden="false" customHeight="true" outlineLevel="0" collapsed="false">
      <c r="A3025" s="7" t="n">
        <v>45866</v>
      </c>
      <c r="B3025" s="8" t="s">
        <v>34</v>
      </c>
      <c r="C3025" s="9" t="n">
        <v>90</v>
      </c>
      <c r="D3025" s="8" t="s">
        <v>21</v>
      </c>
      <c r="E3025" s="10" t="s">
        <v>274</v>
      </c>
      <c r="F3025" s="8" t="str">
        <f aca="false">TEXT(A3025,"MM-YYYY")</f>
        <v>07-2025</v>
      </c>
      <c r="G3025" s="8" t="s">
        <v>14</v>
      </c>
      <c r="H3025" s="8" t="s">
        <v>15</v>
      </c>
      <c r="I3025" s="7" t="n">
        <v>45866</v>
      </c>
      <c r="J3025" s="8" t="str">
        <f aca="false">VLOOKUP(B3025, Table3[#All], 2, FALSE())</f>
        <v>Staff Expenses</v>
      </c>
      <c r="K3025" s="8" t="str">
        <f aca="false">TEXT(ROW(), "0000")</f>
        <v>3025</v>
      </c>
      <c r="L3025" s="8"/>
    </row>
    <row r="3026" customFormat="false" ht="15.75" hidden="false" customHeight="true" outlineLevel="0" collapsed="false">
      <c r="A3026" s="7" t="n">
        <v>45867</v>
      </c>
      <c r="B3026" s="8" t="s">
        <v>29</v>
      </c>
      <c r="C3026" s="9" t="n">
        <v>362</v>
      </c>
      <c r="D3026" s="8" t="s">
        <v>13</v>
      </c>
      <c r="E3026" s="10" t="s">
        <v>302</v>
      </c>
      <c r="F3026" s="8" t="str">
        <f aca="false">TEXT(A3026,"MM-YYYY")</f>
        <v>07-2025</v>
      </c>
      <c r="G3026" s="8" t="s">
        <v>18</v>
      </c>
      <c r="H3026" s="8"/>
      <c r="I3026" s="7"/>
      <c r="J3026" s="8" t="str">
        <f aca="false">VLOOKUP(B3026, Table3[#All], 2, FALSE())</f>
        <v>Inventory</v>
      </c>
      <c r="K3026" s="8" t="str">
        <f aca="false">TEXT(ROW(), "0000")</f>
        <v>3026</v>
      </c>
      <c r="L3026" s="8"/>
    </row>
    <row r="3027" customFormat="false" ht="15.75" hidden="false" customHeight="true" outlineLevel="0" collapsed="false">
      <c r="A3027" s="7" t="n">
        <v>45867</v>
      </c>
      <c r="B3027" s="8" t="s">
        <v>19</v>
      </c>
      <c r="C3027" s="9" t="n">
        <v>1473</v>
      </c>
      <c r="D3027" s="8" t="s">
        <v>13</v>
      </c>
      <c r="E3027" s="10" t="s">
        <v>20</v>
      </c>
      <c r="F3027" s="8" t="str">
        <f aca="false">TEXT(A3027,"MM-YYYY")</f>
        <v>07-2025</v>
      </c>
      <c r="G3027" s="8" t="s">
        <v>14</v>
      </c>
      <c r="H3027" s="8" t="s">
        <v>13</v>
      </c>
      <c r="I3027" s="7"/>
      <c r="J3027" s="8" t="str">
        <f aca="false">VLOOKUP(B3027, Table3[#All], 2, FALSE())</f>
        <v>Inventory</v>
      </c>
      <c r="K3027" s="8" t="str">
        <f aca="false">TEXT(ROW(), "0000")</f>
        <v>3027</v>
      </c>
      <c r="L3027" s="8"/>
    </row>
    <row r="3028" customFormat="false" ht="15.75" hidden="false" customHeight="true" outlineLevel="0" collapsed="false">
      <c r="A3028" s="7" t="n">
        <v>45867</v>
      </c>
      <c r="B3028" s="8" t="s">
        <v>22</v>
      </c>
      <c r="C3028" s="9" t="n">
        <v>3350</v>
      </c>
      <c r="D3028" s="8" t="s">
        <v>13</v>
      </c>
      <c r="E3028" s="10" t="s">
        <v>23</v>
      </c>
      <c r="F3028" s="8" t="str">
        <f aca="false">TEXT(A3028,"MM-YYYY")</f>
        <v>07-2025</v>
      </c>
      <c r="G3028" s="8" t="s">
        <v>18</v>
      </c>
      <c r="H3028" s="8"/>
      <c r="I3028" s="7"/>
      <c r="J3028" s="8" t="str">
        <f aca="false">VLOOKUP(B3028, Table3[#All], 2, FALSE())</f>
        <v>Inventory</v>
      </c>
      <c r="K3028" s="8" t="str">
        <f aca="false">TEXT(ROW(), "0000")</f>
        <v>3028</v>
      </c>
      <c r="L3028" s="8"/>
    </row>
    <row r="3029" customFormat="false" ht="15.75" hidden="false" customHeight="true" outlineLevel="0" collapsed="false">
      <c r="A3029" s="7" t="n">
        <v>45867</v>
      </c>
      <c r="B3029" s="8" t="s">
        <v>25</v>
      </c>
      <c r="C3029" s="9" t="n">
        <v>290</v>
      </c>
      <c r="D3029" s="8" t="s">
        <v>13</v>
      </c>
      <c r="E3029" s="10" t="s">
        <v>360</v>
      </c>
      <c r="F3029" s="8" t="str">
        <f aca="false">TEXT(A3029,"MM-YYYY")</f>
        <v>07-2025</v>
      </c>
      <c r="G3029" s="8" t="s">
        <v>18</v>
      </c>
      <c r="H3029" s="8"/>
      <c r="I3029" s="7"/>
      <c r="J3029" s="8" t="str">
        <f aca="false">VLOOKUP(B3029, Table3[#All], 2, FALSE())</f>
        <v>Inventory</v>
      </c>
      <c r="K3029" s="8" t="str">
        <f aca="false">TEXT(ROW(), "0000")</f>
        <v>3029</v>
      </c>
      <c r="L3029" s="8"/>
    </row>
    <row r="3030" customFormat="false" ht="15.75" hidden="false" customHeight="true" outlineLevel="0" collapsed="false">
      <c r="A3030" s="7" t="n">
        <v>45867</v>
      </c>
      <c r="B3030" s="8" t="s">
        <v>43</v>
      </c>
      <c r="C3030" s="9" t="n">
        <v>500</v>
      </c>
      <c r="D3030" s="8" t="s">
        <v>45</v>
      </c>
      <c r="E3030" s="10" t="s">
        <v>300</v>
      </c>
      <c r="F3030" s="8" t="str">
        <f aca="false">TEXT(A3030,"MM-YYYY")</f>
        <v>07-2025</v>
      </c>
      <c r="G3030" s="8" t="s">
        <v>14</v>
      </c>
      <c r="H3030" s="8" t="s">
        <v>15</v>
      </c>
      <c r="I3030" s="7" t="n">
        <v>45867</v>
      </c>
      <c r="J3030" s="8" t="str">
        <f aca="false">VLOOKUP(B3030, Table3[#All], 2, FALSE())</f>
        <v>Maintance</v>
      </c>
      <c r="K3030" s="8" t="str">
        <f aca="false">TEXT(ROW(), "0000")</f>
        <v>3030</v>
      </c>
      <c r="L3030" s="8"/>
    </row>
    <row r="3031" customFormat="false" ht="15.75" hidden="false" customHeight="true" outlineLevel="0" collapsed="false">
      <c r="A3031" s="7" t="n">
        <v>45867</v>
      </c>
      <c r="B3031" s="8" t="s">
        <v>31</v>
      </c>
      <c r="C3031" s="9" t="n">
        <v>310</v>
      </c>
      <c r="D3031" s="8" t="s">
        <v>45</v>
      </c>
      <c r="E3031" s="10" t="s">
        <v>236</v>
      </c>
      <c r="F3031" s="8" t="str">
        <f aca="false">TEXT(A3031,"MM-YYYY")</f>
        <v>07-2025</v>
      </c>
      <c r="G3031" s="8" t="s">
        <v>14</v>
      </c>
      <c r="H3031" s="8" t="s">
        <v>15</v>
      </c>
      <c r="I3031" s="7" t="n">
        <v>45867</v>
      </c>
      <c r="J3031" s="8" t="str">
        <f aca="false">VLOOKUP(B3031, Table3[#All], 2, FALSE())</f>
        <v>Bike Maintance</v>
      </c>
      <c r="K3031" s="8" t="str">
        <f aca="false">TEXT(ROW(), "0000")</f>
        <v>3031</v>
      </c>
      <c r="L3031" s="8"/>
    </row>
    <row r="3032" customFormat="false" ht="15.75" hidden="false" customHeight="true" outlineLevel="0" collapsed="false">
      <c r="A3032" s="7" t="n">
        <v>45867</v>
      </c>
      <c r="B3032" s="8" t="s">
        <v>16</v>
      </c>
      <c r="C3032" s="9" t="n">
        <v>940</v>
      </c>
      <c r="D3032" s="8" t="s">
        <v>21</v>
      </c>
      <c r="E3032" s="10" t="s">
        <v>88</v>
      </c>
      <c r="F3032" s="8" t="str">
        <f aca="false">TEXT(A3032,"MM-YYYY")</f>
        <v>07-2025</v>
      </c>
      <c r="G3032" s="8"/>
      <c r="H3032" s="8"/>
      <c r="I3032" s="7"/>
      <c r="J3032" s="8" t="str">
        <f aca="false">VLOOKUP(B3032, Table3[#All], 2, FALSE())</f>
        <v>Sales</v>
      </c>
      <c r="K3032" s="8" t="str">
        <f aca="false">TEXT(ROW(), "0000")</f>
        <v>3032</v>
      </c>
      <c r="L3032" s="8"/>
    </row>
    <row r="3033" customFormat="false" ht="15.75" hidden="false" customHeight="true" outlineLevel="0" collapsed="false">
      <c r="A3033" s="7" t="n">
        <v>45867</v>
      </c>
      <c r="B3033" s="8" t="s">
        <v>16</v>
      </c>
      <c r="C3033" s="9" t="n">
        <v>175</v>
      </c>
      <c r="D3033" s="8" t="s">
        <v>27</v>
      </c>
      <c r="E3033" s="10" t="s">
        <v>88</v>
      </c>
      <c r="F3033" s="8" t="str">
        <f aca="false">TEXT(A3033,"MM-YYYY")</f>
        <v>07-2025</v>
      </c>
      <c r="G3033" s="8"/>
      <c r="H3033" s="8"/>
      <c r="I3033" s="7"/>
      <c r="J3033" s="8" t="str">
        <f aca="false">VLOOKUP(B3033, Table3[#All], 2, FALSE())</f>
        <v>Sales</v>
      </c>
      <c r="K3033" s="8" t="str">
        <f aca="false">TEXT(ROW(), "0000")</f>
        <v>3033</v>
      </c>
      <c r="L3033" s="8"/>
    </row>
    <row r="3034" customFormat="false" ht="15.75" hidden="false" customHeight="true" outlineLevel="0" collapsed="false">
      <c r="A3034" s="7" t="n">
        <v>45867</v>
      </c>
      <c r="B3034" s="8" t="s">
        <v>16</v>
      </c>
      <c r="C3034" s="9" t="n">
        <v>200</v>
      </c>
      <c r="D3034" s="8" t="s">
        <v>33</v>
      </c>
      <c r="E3034" s="10" t="s">
        <v>88</v>
      </c>
      <c r="F3034" s="8" t="str">
        <f aca="false">TEXT(A3034,"MM-YYYY")</f>
        <v>07-2025</v>
      </c>
      <c r="G3034" s="8"/>
      <c r="H3034" s="8"/>
      <c r="I3034" s="7"/>
      <c r="J3034" s="8" t="str">
        <f aca="false">VLOOKUP(B3034, Table3[#All], 2, FALSE())</f>
        <v>Sales</v>
      </c>
      <c r="K3034" s="8" t="str">
        <f aca="false">TEXT(ROW(), "0000")</f>
        <v>3034</v>
      </c>
      <c r="L3034" s="8"/>
    </row>
    <row r="3035" customFormat="false" ht="15.75" hidden="false" customHeight="true" outlineLevel="0" collapsed="false">
      <c r="A3035" s="7" t="n">
        <v>45867</v>
      </c>
      <c r="B3035" s="8" t="s">
        <v>16</v>
      </c>
      <c r="C3035" s="9" t="n">
        <v>6129</v>
      </c>
      <c r="D3035" s="8" t="s">
        <v>17</v>
      </c>
      <c r="E3035" s="10" t="s">
        <v>88</v>
      </c>
      <c r="F3035" s="8" t="str">
        <f aca="false">TEXT(A3035,"MM-YYYY")</f>
        <v>07-2025</v>
      </c>
      <c r="G3035" s="8"/>
      <c r="H3035" s="8"/>
      <c r="I3035" s="7"/>
      <c r="J3035" s="8" t="str">
        <f aca="false">VLOOKUP(B3035, Table3[#All], 2, FALSE())</f>
        <v>Sales</v>
      </c>
      <c r="K3035" s="8" t="str">
        <f aca="false">TEXT(ROW(), "0000")</f>
        <v>3035</v>
      </c>
      <c r="L3035" s="8"/>
    </row>
    <row r="3036" customFormat="false" ht="15.75" hidden="false" customHeight="true" outlineLevel="0" collapsed="false">
      <c r="A3036" s="7" t="n">
        <v>45867</v>
      </c>
      <c r="B3036" s="8" t="s">
        <v>16</v>
      </c>
      <c r="C3036" s="9" t="n">
        <v>751</v>
      </c>
      <c r="D3036" s="8" t="s">
        <v>24</v>
      </c>
      <c r="E3036" s="10" t="s">
        <v>217</v>
      </c>
      <c r="F3036" s="8" t="str">
        <f aca="false">TEXT(A3036,"MM-YYYY")</f>
        <v>07-2025</v>
      </c>
      <c r="G3036" s="8"/>
      <c r="H3036" s="8"/>
      <c r="I3036" s="7"/>
      <c r="J3036" s="8" t="str">
        <f aca="false">VLOOKUP(B3036, Table3[#All], 2, FALSE())</f>
        <v>Sales</v>
      </c>
      <c r="K3036" s="8" t="str">
        <f aca="false">TEXT(ROW(), "0000")</f>
        <v>3036</v>
      </c>
      <c r="L3036" s="8"/>
    </row>
    <row r="3037" customFormat="false" ht="15.75" hidden="false" customHeight="true" outlineLevel="0" collapsed="false">
      <c r="A3037" s="7" t="n">
        <v>45867</v>
      </c>
      <c r="B3037" s="8" t="s">
        <v>34</v>
      </c>
      <c r="C3037" s="9" t="n">
        <v>30</v>
      </c>
      <c r="D3037" s="8" t="s">
        <v>21</v>
      </c>
      <c r="E3037" s="10" t="s">
        <v>274</v>
      </c>
      <c r="F3037" s="8" t="str">
        <f aca="false">TEXT(A3037,"MM-YYYY")</f>
        <v>07-2025</v>
      </c>
      <c r="G3037" s="8" t="s">
        <v>14</v>
      </c>
      <c r="H3037" s="8" t="s">
        <v>15</v>
      </c>
      <c r="I3037" s="7" t="n">
        <v>45867</v>
      </c>
      <c r="J3037" s="8" t="str">
        <f aca="false">VLOOKUP(B3037, Table3[#All], 2, FALSE())</f>
        <v>Staff Expenses</v>
      </c>
      <c r="K3037" s="8" t="str">
        <f aca="false">TEXT(ROW(), "0000")</f>
        <v>3037</v>
      </c>
      <c r="L3037" s="8"/>
    </row>
    <row r="3038" customFormat="false" ht="15.75" hidden="false" customHeight="true" outlineLevel="0" collapsed="false">
      <c r="A3038" s="7" t="n">
        <v>45868</v>
      </c>
      <c r="B3038" s="8" t="s">
        <v>47</v>
      </c>
      <c r="C3038" s="9" t="n">
        <v>900</v>
      </c>
      <c r="D3038" s="8" t="s">
        <v>13</v>
      </c>
      <c r="E3038" s="10" t="s">
        <v>339</v>
      </c>
      <c r="F3038" s="8" t="str">
        <f aca="false">TEXT(A3038,"MM-YYYY")</f>
        <v>07-2025</v>
      </c>
      <c r="G3038" s="8" t="s">
        <v>14</v>
      </c>
      <c r="H3038" s="8" t="s">
        <v>13</v>
      </c>
      <c r="I3038" s="7" t="n">
        <v>45870</v>
      </c>
      <c r="J3038" s="8" t="str">
        <f aca="false">VLOOKUP(B3038, Table3[#All], 2, FALSE())</f>
        <v>Inventory</v>
      </c>
      <c r="K3038" s="8" t="str">
        <f aca="false">TEXT(ROW(), "0000")</f>
        <v>3038</v>
      </c>
      <c r="L3038" s="8"/>
    </row>
    <row r="3039" customFormat="false" ht="15.75" hidden="false" customHeight="true" outlineLevel="0" collapsed="false">
      <c r="A3039" s="7" t="n">
        <v>45868</v>
      </c>
      <c r="B3039" s="8" t="s">
        <v>25</v>
      </c>
      <c r="C3039" s="9" t="n">
        <v>813</v>
      </c>
      <c r="D3039" s="8" t="s">
        <v>13</v>
      </c>
      <c r="E3039" s="10" t="s">
        <v>360</v>
      </c>
      <c r="F3039" s="8" t="str">
        <f aca="false">TEXT(A3039,"MM-YYYY")</f>
        <v>07-2025</v>
      </c>
      <c r="G3039" s="8" t="s">
        <v>18</v>
      </c>
      <c r="H3039" s="8"/>
      <c r="I3039" s="7"/>
      <c r="J3039" s="8" t="str">
        <f aca="false">VLOOKUP(B3039, Table3[#All], 2, FALSE())</f>
        <v>Inventory</v>
      </c>
      <c r="K3039" s="8" t="str">
        <f aca="false">TEXT(ROW(), "0000")</f>
        <v>3039</v>
      </c>
      <c r="L3039" s="8"/>
    </row>
    <row r="3040" customFormat="false" ht="15.75" hidden="false" customHeight="true" outlineLevel="0" collapsed="false">
      <c r="A3040" s="7" t="n">
        <v>45868</v>
      </c>
      <c r="B3040" s="8" t="s">
        <v>53</v>
      </c>
      <c r="C3040" s="9" t="n">
        <v>2040</v>
      </c>
      <c r="D3040" s="8" t="s">
        <v>45</v>
      </c>
      <c r="E3040" s="10" t="s">
        <v>54</v>
      </c>
      <c r="F3040" s="8" t="str">
        <f aca="false">TEXT(A3040,"MM-YYYY")</f>
        <v>07-2025</v>
      </c>
      <c r="G3040" s="8" t="s">
        <v>14</v>
      </c>
      <c r="H3040" s="8" t="s">
        <v>15</v>
      </c>
      <c r="I3040" s="7" t="n">
        <v>45868</v>
      </c>
      <c r="J3040" s="8" t="str">
        <f aca="false">VLOOKUP(B3040, Table3[#All], 2, FALSE())</f>
        <v>Grocery</v>
      </c>
      <c r="K3040" s="8" t="str">
        <f aca="false">TEXT(ROW(), "0000")</f>
        <v>3040</v>
      </c>
      <c r="L3040" s="8"/>
    </row>
    <row r="3041" customFormat="false" ht="15.75" hidden="false" customHeight="true" outlineLevel="0" collapsed="false">
      <c r="A3041" s="7" t="n">
        <v>45868</v>
      </c>
      <c r="B3041" s="8" t="s">
        <v>22</v>
      </c>
      <c r="C3041" s="9" t="n">
        <v>38</v>
      </c>
      <c r="D3041" s="8" t="s">
        <v>13</v>
      </c>
      <c r="E3041" s="10" t="s">
        <v>23</v>
      </c>
      <c r="F3041" s="8" t="str">
        <f aca="false">TEXT(A3041,"MM-YYYY")</f>
        <v>07-2025</v>
      </c>
      <c r="G3041" s="8" t="s">
        <v>18</v>
      </c>
      <c r="H3041" s="8"/>
      <c r="I3041" s="7"/>
      <c r="J3041" s="8" t="str">
        <f aca="false">VLOOKUP(B3041, Table3[#All], 2, FALSE())</f>
        <v>Inventory</v>
      </c>
      <c r="K3041" s="8" t="str">
        <f aca="false">TEXT(ROW(), "0000")</f>
        <v>3041</v>
      </c>
      <c r="L3041" s="8"/>
    </row>
    <row r="3042" customFormat="false" ht="15.75" hidden="false" customHeight="true" outlineLevel="0" collapsed="false">
      <c r="A3042" s="7" t="n">
        <v>45868</v>
      </c>
      <c r="B3042" s="8" t="s">
        <v>40</v>
      </c>
      <c r="C3042" s="9" t="n">
        <v>740</v>
      </c>
      <c r="D3042" s="8" t="s">
        <v>45</v>
      </c>
      <c r="E3042" s="10" t="s">
        <v>46</v>
      </c>
      <c r="F3042" s="8" t="str">
        <f aca="false">TEXT(A3042,"MM-YYYY")</f>
        <v>07-2025</v>
      </c>
      <c r="G3042" s="8" t="s">
        <v>14</v>
      </c>
      <c r="H3042" s="8" t="s">
        <v>15</v>
      </c>
      <c r="I3042" s="7" t="n">
        <v>45868</v>
      </c>
      <c r="J3042" s="8" t="str">
        <f aca="false">VLOOKUP(B3042, Table3[#All], 2, FALSE())</f>
        <v>Inventory</v>
      </c>
      <c r="K3042" s="8" t="str">
        <f aca="false">TEXT(ROW(), "0000")</f>
        <v>3042</v>
      </c>
      <c r="L3042" s="8"/>
    </row>
    <row r="3043" customFormat="false" ht="15.75" hidden="false" customHeight="true" outlineLevel="0" collapsed="false">
      <c r="A3043" s="7" t="n">
        <v>45868</v>
      </c>
      <c r="B3043" s="8" t="s">
        <v>51</v>
      </c>
      <c r="C3043" s="9" t="n">
        <v>140</v>
      </c>
      <c r="D3043" s="8" t="s">
        <v>45</v>
      </c>
      <c r="E3043" s="10" t="s">
        <v>314</v>
      </c>
      <c r="F3043" s="8" t="str">
        <f aca="false">TEXT(A3043,"MM-YYYY")</f>
        <v>07-2025</v>
      </c>
      <c r="G3043" s="8" t="s">
        <v>14</v>
      </c>
      <c r="H3043" s="8" t="s">
        <v>15</v>
      </c>
      <c r="I3043" s="7" t="n">
        <v>45868</v>
      </c>
      <c r="J3043" s="8" t="str">
        <f aca="false">VLOOKUP(B3043, Table3[#All], 2, FALSE())</f>
        <v>Inventory</v>
      </c>
      <c r="K3043" s="8" t="str">
        <f aca="false">TEXT(ROW(), "0000")</f>
        <v>3043</v>
      </c>
      <c r="L3043" s="8"/>
    </row>
    <row r="3044" customFormat="false" ht="15.75" hidden="false" customHeight="true" outlineLevel="0" collapsed="false">
      <c r="A3044" s="7" t="n">
        <v>45868</v>
      </c>
      <c r="B3044" s="8" t="s">
        <v>29</v>
      </c>
      <c r="C3044" s="9" t="n">
        <v>125</v>
      </c>
      <c r="D3044" s="8" t="s">
        <v>13</v>
      </c>
      <c r="E3044" s="10" t="s">
        <v>302</v>
      </c>
      <c r="F3044" s="8" t="str">
        <f aca="false">TEXT(A3044,"MM-YYYY")</f>
        <v>07-2025</v>
      </c>
      <c r="G3044" s="8" t="s">
        <v>18</v>
      </c>
      <c r="H3044" s="8"/>
      <c r="I3044" s="7"/>
      <c r="J3044" s="8" t="str">
        <f aca="false">VLOOKUP(B3044, Table3[#All], 2, FALSE())</f>
        <v>Inventory</v>
      </c>
      <c r="K3044" s="8" t="str">
        <f aca="false">TEXT(ROW(), "0000")</f>
        <v>3044</v>
      </c>
      <c r="L3044" s="8"/>
    </row>
    <row r="3045" customFormat="false" ht="15.75" hidden="false" customHeight="true" outlineLevel="0" collapsed="false">
      <c r="A3045" s="7" t="n">
        <v>45868</v>
      </c>
      <c r="B3045" s="8" t="s">
        <v>16</v>
      </c>
      <c r="C3045" s="9" t="n">
        <v>3789</v>
      </c>
      <c r="D3045" s="8" t="s">
        <v>21</v>
      </c>
      <c r="E3045" s="10" t="s">
        <v>88</v>
      </c>
      <c r="F3045" s="8" t="str">
        <f aca="false">TEXT(A3045,"MM-YYYY")</f>
        <v>07-2025</v>
      </c>
      <c r="G3045" s="8"/>
      <c r="H3045" s="8"/>
      <c r="I3045" s="7"/>
      <c r="J3045" s="8" t="str">
        <f aca="false">VLOOKUP(B3045, Table3[#All], 2, FALSE())</f>
        <v>Sales</v>
      </c>
      <c r="K3045" s="8" t="str">
        <f aca="false">TEXT(ROW(), "0000")</f>
        <v>3045</v>
      </c>
      <c r="L3045" s="8"/>
    </row>
    <row r="3046" customFormat="false" ht="15.75" hidden="false" customHeight="true" outlineLevel="0" collapsed="false">
      <c r="A3046" s="7" t="n">
        <v>45868</v>
      </c>
      <c r="B3046" s="8" t="s">
        <v>16</v>
      </c>
      <c r="C3046" s="9" t="n">
        <v>1475</v>
      </c>
      <c r="D3046" s="8" t="s">
        <v>27</v>
      </c>
      <c r="E3046" s="10" t="s">
        <v>88</v>
      </c>
      <c r="F3046" s="8" t="str">
        <f aca="false">TEXT(A3046,"MM-YYYY")</f>
        <v>07-2025</v>
      </c>
      <c r="G3046" s="8"/>
      <c r="H3046" s="8"/>
      <c r="I3046" s="7"/>
      <c r="J3046" s="8" t="str">
        <f aca="false">VLOOKUP(B3046, Table3[#All], 2, FALSE())</f>
        <v>Sales</v>
      </c>
      <c r="K3046" s="8" t="str">
        <f aca="false">TEXT(ROW(), "0000")</f>
        <v>3046</v>
      </c>
      <c r="L3046" s="8"/>
    </row>
    <row r="3047" customFormat="false" ht="15.75" hidden="false" customHeight="true" outlineLevel="0" collapsed="false">
      <c r="A3047" s="7" t="n">
        <v>45868</v>
      </c>
      <c r="B3047" s="8" t="s">
        <v>16</v>
      </c>
      <c r="C3047" s="9" t="n">
        <v>229</v>
      </c>
      <c r="D3047" s="8" t="s">
        <v>33</v>
      </c>
      <c r="E3047" s="10" t="s">
        <v>88</v>
      </c>
      <c r="F3047" s="8" t="str">
        <f aca="false">TEXT(A3047,"MM-YYYY")</f>
        <v>07-2025</v>
      </c>
      <c r="G3047" s="8"/>
      <c r="H3047" s="8"/>
      <c r="I3047" s="7"/>
      <c r="J3047" s="8" t="str">
        <f aca="false">VLOOKUP(B3047, Table3[#All], 2, FALSE())</f>
        <v>Sales</v>
      </c>
      <c r="K3047" s="8" t="str">
        <f aca="false">TEXT(ROW(), "0000")</f>
        <v>3047</v>
      </c>
      <c r="L3047" s="8"/>
    </row>
    <row r="3048" customFormat="false" ht="15.75" hidden="false" customHeight="true" outlineLevel="0" collapsed="false">
      <c r="A3048" s="7" t="n">
        <v>45868</v>
      </c>
      <c r="B3048" s="8" t="s">
        <v>16</v>
      </c>
      <c r="C3048" s="9" t="n">
        <v>7769</v>
      </c>
      <c r="D3048" s="8" t="s">
        <v>17</v>
      </c>
      <c r="E3048" s="10" t="s">
        <v>88</v>
      </c>
      <c r="F3048" s="8" t="str">
        <f aca="false">TEXT(A3048,"MM-YYYY")</f>
        <v>07-2025</v>
      </c>
      <c r="G3048" s="8"/>
      <c r="H3048" s="8"/>
      <c r="I3048" s="7"/>
      <c r="J3048" s="8" t="str">
        <f aca="false">VLOOKUP(B3048, Table3[#All], 2, FALSE())</f>
        <v>Sales</v>
      </c>
      <c r="K3048" s="8" t="str">
        <f aca="false">TEXT(ROW(), "0000")</f>
        <v>3048</v>
      </c>
      <c r="L3048" s="8"/>
    </row>
    <row r="3049" customFormat="false" ht="15.75" hidden="false" customHeight="true" outlineLevel="0" collapsed="false">
      <c r="A3049" s="7" t="n">
        <v>45868</v>
      </c>
      <c r="B3049" s="8" t="s">
        <v>16</v>
      </c>
      <c r="C3049" s="9" t="n">
        <v>400</v>
      </c>
      <c r="D3049" s="8" t="s">
        <v>59</v>
      </c>
      <c r="E3049" s="10" t="s">
        <v>88</v>
      </c>
      <c r="F3049" s="8" t="str">
        <f aca="false">TEXT(A3049,"MM-YYYY")</f>
        <v>07-2025</v>
      </c>
      <c r="G3049" s="8"/>
      <c r="H3049" s="8"/>
      <c r="I3049" s="7"/>
      <c r="J3049" s="8" t="str">
        <f aca="false">VLOOKUP(B3049, Table3[#All], 2, FALSE())</f>
        <v>Sales</v>
      </c>
      <c r="K3049" s="8" t="str">
        <f aca="false">TEXT(ROW(), "0000")</f>
        <v>3049</v>
      </c>
      <c r="L3049" s="8"/>
    </row>
    <row r="3050" customFormat="false" ht="15.75" hidden="false" customHeight="true" outlineLevel="0" collapsed="false">
      <c r="A3050" s="7" t="n">
        <v>45868</v>
      </c>
      <c r="B3050" s="8" t="s">
        <v>16</v>
      </c>
      <c r="C3050" s="9" t="n">
        <v>894</v>
      </c>
      <c r="D3050" s="8" t="s">
        <v>24</v>
      </c>
      <c r="E3050" s="10" t="s">
        <v>217</v>
      </c>
      <c r="F3050" s="8" t="str">
        <f aca="false">TEXT(A3050,"MM-YYYY")</f>
        <v>07-2025</v>
      </c>
      <c r="G3050" s="8"/>
      <c r="H3050" s="8"/>
      <c r="I3050" s="7"/>
      <c r="J3050" s="8" t="str">
        <f aca="false">VLOOKUP(B3050, Table3[#All], 2, FALSE())</f>
        <v>Sales</v>
      </c>
      <c r="K3050" s="8" t="str">
        <f aca="false">TEXT(ROW(), "0000")</f>
        <v>3050</v>
      </c>
      <c r="L3050" s="8"/>
    </row>
    <row r="3051" customFormat="false" ht="15.75" hidden="false" customHeight="true" outlineLevel="0" collapsed="false">
      <c r="A3051" s="7" t="n">
        <v>45868</v>
      </c>
      <c r="B3051" s="8" t="s">
        <v>34</v>
      </c>
      <c r="C3051" s="9" t="n">
        <v>69</v>
      </c>
      <c r="D3051" s="8" t="s">
        <v>21</v>
      </c>
      <c r="E3051" s="10" t="s">
        <v>274</v>
      </c>
      <c r="F3051" s="8" t="str">
        <f aca="false">TEXT(A3051,"MM-YYYY")</f>
        <v>07-2025</v>
      </c>
      <c r="G3051" s="8" t="s">
        <v>14</v>
      </c>
      <c r="H3051" s="8" t="s">
        <v>15</v>
      </c>
      <c r="I3051" s="7" t="n">
        <v>45868</v>
      </c>
      <c r="J3051" s="8" t="str">
        <f aca="false">VLOOKUP(B3051, Table3[#All], 2, FALSE())</f>
        <v>Staff Expenses</v>
      </c>
      <c r="K3051" s="8" t="str">
        <f aca="false">TEXT(ROW(), "0000")</f>
        <v>3051</v>
      </c>
      <c r="L3051" s="8"/>
    </row>
    <row r="3052" customFormat="false" ht="15.75" hidden="false" customHeight="true" outlineLevel="0" collapsed="false">
      <c r="A3052" s="7" t="n">
        <v>45869</v>
      </c>
      <c r="B3052" s="8" t="s">
        <v>19</v>
      </c>
      <c r="C3052" s="9" t="n">
        <v>1195</v>
      </c>
      <c r="D3052" s="8" t="s">
        <v>13</v>
      </c>
      <c r="E3052" s="10" t="s">
        <v>20</v>
      </c>
      <c r="F3052" s="8" t="str">
        <f aca="false">TEXT(A3052,"MM-YYYY")</f>
        <v>07-2025</v>
      </c>
      <c r="G3052" s="8" t="s">
        <v>14</v>
      </c>
      <c r="H3052" s="8" t="s">
        <v>13</v>
      </c>
      <c r="I3052" s="7"/>
      <c r="J3052" s="8" t="str">
        <f aca="false">VLOOKUP(B3052, Table3[#All], 2, FALSE())</f>
        <v>Inventory</v>
      </c>
      <c r="K3052" s="8" t="str">
        <f aca="false">TEXT(ROW(), "0000")</f>
        <v>3052</v>
      </c>
      <c r="L3052" s="8"/>
    </row>
    <row r="3053" customFormat="false" ht="15.75" hidden="false" customHeight="true" outlineLevel="0" collapsed="false">
      <c r="A3053" s="7" t="n">
        <v>45869</v>
      </c>
      <c r="B3053" s="8" t="s">
        <v>22</v>
      </c>
      <c r="C3053" s="9" t="n">
        <v>334</v>
      </c>
      <c r="D3053" s="8" t="s">
        <v>13</v>
      </c>
      <c r="E3053" s="10" t="s">
        <v>23</v>
      </c>
      <c r="F3053" s="8" t="str">
        <f aca="false">TEXT(A3053,"MM-YYYY")</f>
        <v>07-2025</v>
      </c>
      <c r="G3053" s="8" t="s">
        <v>18</v>
      </c>
      <c r="H3053" s="8"/>
      <c r="I3053" s="7"/>
      <c r="J3053" s="8" t="str">
        <f aca="false">VLOOKUP(B3053, Table3[#All], 2, FALSE())</f>
        <v>Inventory</v>
      </c>
      <c r="K3053" s="8" t="str">
        <f aca="false">TEXT(ROW(), "0000")</f>
        <v>3053</v>
      </c>
      <c r="L3053" s="8"/>
    </row>
    <row r="3054" customFormat="false" ht="15.75" hidden="false" customHeight="true" outlineLevel="0" collapsed="false">
      <c r="A3054" s="7" t="n">
        <v>45869</v>
      </c>
      <c r="B3054" s="8" t="s">
        <v>25</v>
      </c>
      <c r="C3054" s="9" t="n">
        <v>406</v>
      </c>
      <c r="D3054" s="8" t="s">
        <v>13</v>
      </c>
      <c r="E3054" s="10" t="s">
        <v>360</v>
      </c>
      <c r="F3054" s="8" t="str">
        <f aca="false">TEXT(A3054,"MM-YYYY")</f>
        <v>07-2025</v>
      </c>
      <c r="G3054" s="8" t="s">
        <v>18</v>
      </c>
      <c r="H3054" s="8"/>
      <c r="I3054" s="7"/>
      <c r="J3054" s="8" t="str">
        <f aca="false">VLOOKUP(B3054, Table3[#All], 2, FALSE())</f>
        <v>Inventory</v>
      </c>
      <c r="K3054" s="8" t="str">
        <f aca="false">TEXT(ROW(), "0000")</f>
        <v>3054</v>
      </c>
      <c r="L3054" s="8"/>
    </row>
    <row r="3055" customFormat="false" ht="15.75" hidden="false" customHeight="true" outlineLevel="0" collapsed="false">
      <c r="A3055" s="7" t="n">
        <v>45869</v>
      </c>
      <c r="B3055" s="8" t="s">
        <v>43</v>
      </c>
      <c r="C3055" s="9" t="n">
        <v>430</v>
      </c>
      <c r="D3055" s="8" t="s">
        <v>45</v>
      </c>
      <c r="E3055" s="10" t="s">
        <v>271</v>
      </c>
      <c r="F3055" s="8" t="str">
        <f aca="false">TEXT(A3055,"MM-YYYY")</f>
        <v>07-2025</v>
      </c>
      <c r="G3055" s="8" t="s">
        <v>14</v>
      </c>
      <c r="H3055" s="8" t="s">
        <v>15</v>
      </c>
      <c r="I3055" s="7" t="n">
        <v>45869</v>
      </c>
      <c r="J3055" s="8" t="str">
        <f aca="false">VLOOKUP(B3055, Table3[#All], 2, FALSE())</f>
        <v>Maintance</v>
      </c>
      <c r="K3055" s="8" t="str">
        <f aca="false">TEXT(ROW(), "0000")</f>
        <v>3055</v>
      </c>
      <c r="L3055" s="8"/>
    </row>
    <row r="3056" customFormat="false" ht="15.75" hidden="false" customHeight="true" outlineLevel="0" collapsed="false">
      <c r="A3056" s="7" t="n">
        <v>45869</v>
      </c>
      <c r="B3056" s="8" t="s">
        <v>40</v>
      </c>
      <c r="C3056" s="9" t="n">
        <v>740</v>
      </c>
      <c r="D3056" s="8" t="s">
        <v>45</v>
      </c>
      <c r="E3056" s="10" t="s">
        <v>46</v>
      </c>
      <c r="F3056" s="8" t="str">
        <f aca="false">TEXT(A3056,"MM-YYYY")</f>
        <v>07-2025</v>
      </c>
      <c r="G3056" s="8" t="s">
        <v>14</v>
      </c>
      <c r="H3056" s="8" t="s">
        <v>15</v>
      </c>
      <c r="I3056" s="7" t="n">
        <v>45869</v>
      </c>
      <c r="J3056" s="8" t="str">
        <f aca="false">VLOOKUP(B3056, Table3[#All], 2, FALSE())</f>
        <v>Inventory</v>
      </c>
      <c r="K3056" s="8" t="str">
        <f aca="false">TEXT(ROW(), "0000")</f>
        <v>3056</v>
      </c>
      <c r="L3056" s="8"/>
    </row>
    <row r="3057" customFormat="false" ht="15.75" hidden="false" customHeight="true" outlineLevel="0" collapsed="false">
      <c r="A3057" s="7" t="n">
        <v>45869</v>
      </c>
      <c r="B3057" s="8" t="s">
        <v>32</v>
      </c>
      <c r="C3057" s="9" t="n">
        <v>140</v>
      </c>
      <c r="D3057" s="8" t="s">
        <v>45</v>
      </c>
      <c r="E3057" s="10" t="s">
        <v>38</v>
      </c>
      <c r="F3057" s="8" t="str">
        <f aca="false">TEXT(A3057,"MM-YYYY")</f>
        <v>07-2025</v>
      </c>
      <c r="G3057" s="8" t="s">
        <v>14</v>
      </c>
      <c r="H3057" s="8" t="s">
        <v>15</v>
      </c>
      <c r="I3057" s="7" t="n">
        <v>45869</v>
      </c>
      <c r="J3057" s="8" t="str">
        <f aca="false">VLOOKUP(B3057, Table3[#All], 2, FALSE())</f>
        <v>Grocery</v>
      </c>
      <c r="K3057" s="8" t="str">
        <f aca="false">TEXT(ROW(), "0000")</f>
        <v>3057</v>
      </c>
      <c r="L3057" s="8"/>
    </row>
    <row r="3058" customFormat="false" ht="15.75" hidden="false" customHeight="true" outlineLevel="0" collapsed="false">
      <c r="A3058" s="7" t="n">
        <v>45869</v>
      </c>
      <c r="B3058" s="8" t="s">
        <v>35</v>
      </c>
      <c r="C3058" s="9" t="n">
        <v>670</v>
      </c>
      <c r="D3058" s="8" t="s">
        <v>45</v>
      </c>
      <c r="E3058" s="10" t="s">
        <v>381</v>
      </c>
      <c r="F3058" s="8" t="str">
        <f aca="false">TEXT(A3058,"MM-YYYY")</f>
        <v>07-2025</v>
      </c>
      <c r="G3058" s="8" t="s">
        <v>14</v>
      </c>
      <c r="H3058" s="8" t="s">
        <v>15</v>
      </c>
      <c r="I3058" s="7" t="n">
        <v>45869</v>
      </c>
      <c r="J3058" s="8" t="str">
        <f aca="false">VLOOKUP(B3058, Table3[#All], 2, FALSE())</f>
        <v>Inventory</v>
      </c>
      <c r="K3058" s="8" t="str">
        <f aca="false">TEXT(ROW(), "0000")</f>
        <v>3058</v>
      </c>
      <c r="L3058" s="8"/>
    </row>
    <row r="3059" customFormat="false" ht="15.75" hidden="false" customHeight="true" outlineLevel="0" collapsed="false">
      <c r="A3059" s="7" t="n">
        <v>45869</v>
      </c>
      <c r="B3059" s="8" t="s">
        <v>50</v>
      </c>
      <c r="C3059" s="9" t="n">
        <v>1678</v>
      </c>
      <c r="D3059" s="8" t="s">
        <v>13</v>
      </c>
      <c r="E3059" s="10" t="s">
        <v>263</v>
      </c>
      <c r="F3059" s="8" t="str">
        <f aca="false">TEXT(A3059,"MM-YYYY")</f>
        <v>07-2025</v>
      </c>
      <c r="G3059" s="8" t="s">
        <v>18</v>
      </c>
      <c r="H3059" s="8"/>
      <c r="I3059" s="7"/>
      <c r="J3059" s="8" t="str">
        <f aca="false">VLOOKUP(B3059, Table3[#All], 2, FALSE())</f>
        <v>Fixed Maintance</v>
      </c>
      <c r="K3059" s="8" t="str">
        <f aca="false">TEXT(ROW(), "0000")</f>
        <v>3059</v>
      </c>
      <c r="L3059" s="8"/>
    </row>
    <row r="3060" customFormat="false" ht="15.75" hidden="false" customHeight="true" outlineLevel="0" collapsed="false">
      <c r="A3060" s="7" t="n">
        <v>45869</v>
      </c>
      <c r="B3060" s="8" t="s">
        <v>16</v>
      </c>
      <c r="C3060" s="9" t="n">
        <v>1949</v>
      </c>
      <c r="D3060" s="8" t="s">
        <v>21</v>
      </c>
      <c r="E3060" s="10" t="s">
        <v>88</v>
      </c>
      <c r="F3060" s="8" t="str">
        <f aca="false">TEXT(A3060,"MM-YYYY")</f>
        <v>07-2025</v>
      </c>
      <c r="G3060" s="8"/>
      <c r="H3060" s="8"/>
      <c r="I3060" s="7"/>
      <c r="J3060" s="8" t="str">
        <f aca="false">VLOOKUP(B3060, Table3[#All], 2, FALSE())</f>
        <v>Sales</v>
      </c>
      <c r="K3060" s="8" t="str">
        <f aca="false">TEXT(ROW(), "0000")</f>
        <v>3060</v>
      </c>
      <c r="L3060" s="8"/>
    </row>
    <row r="3061" customFormat="false" ht="15.75" hidden="false" customHeight="true" outlineLevel="0" collapsed="false">
      <c r="A3061" s="7" t="n">
        <v>45869</v>
      </c>
      <c r="B3061" s="8" t="s">
        <v>16</v>
      </c>
      <c r="C3061" s="9" t="n">
        <v>6325</v>
      </c>
      <c r="D3061" s="8" t="s">
        <v>33</v>
      </c>
      <c r="E3061" s="10" t="s">
        <v>88</v>
      </c>
      <c r="F3061" s="8" t="str">
        <f aca="false">TEXT(A3061,"MM-YYYY")</f>
        <v>07-2025</v>
      </c>
      <c r="G3061" s="8"/>
      <c r="H3061" s="8"/>
      <c r="I3061" s="7"/>
      <c r="J3061" s="8" t="str">
        <f aca="false">VLOOKUP(B3061, Table3[#All], 2, FALSE())</f>
        <v>Sales</v>
      </c>
      <c r="K3061" s="8" t="str">
        <f aca="false">TEXT(ROW(), "0000")</f>
        <v>3061</v>
      </c>
      <c r="L3061" s="8"/>
    </row>
    <row r="3062" customFormat="false" ht="15.75" hidden="false" customHeight="true" outlineLevel="0" collapsed="false">
      <c r="A3062" s="7" t="n">
        <v>45869</v>
      </c>
      <c r="B3062" s="8" t="s">
        <v>16</v>
      </c>
      <c r="C3062" s="9" t="n">
        <v>8225</v>
      </c>
      <c r="D3062" s="8" t="s">
        <v>17</v>
      </c>
      <c r="E3062" s="10" t="s">
        <v>88</v>
      </c>
      <c r="F3062" s="8" t="str">
        <f aca="false">TEXT(A3062,"MM-YYYY")</f>
        <v>07-2025</v>
      </c>
      <c r="G3062" s="8"/>
      <c r="H3062" s="8"/>
      <c r="I3062" s="7"/>
      <c r="J3062" s="8" t="str">
        <f aca="false">VLOOKUP(B3062, Table3[#All], 2, FALSE())</f>
        <v>Sales</v>
      </c>
      <c r="K3062" s="8" t="str">
        <f aca="false">TEXT(ROW(), "0000")</f>
        <v>3062</v>
      </c>
      <c r="L3062" s="8"/>
    </row>
    <row r="3063" customFormat="false" ht="15.75" hidden="false" customHeight="true" outlineLevel="0" collapsed="false">
      <c r="A3063" s="7" t="n">
        <v>45869</v>
      </c>
      <c r="B3063" s="8" t="s">
        <v>16</v>
      </c>
      <c r="C3063" s="9" t="n">
        <v>1949</v>
      </c>
      <c r="D3063" s="8" t="s">
        <v>24</v>
      </c>
      <c r="E3063" s="10" t="s">
        <v>217</v>
      </c>
      <c r="F3063" s="8" t="str">
        <f aca="false">TEXT(A3063,"MM-YYYY")</f>
        <v>07-2025</v>
      </c>
      <c r="G3063" s="8"/>
      <c r="H3063" s="8"/>
      <c r="I3063" s="7"/>
      <c r="J3063" s="8" t="str">
        <f aca="false">VLOOKUP(B3063, Table3[#All], 2, FALSE())</f>
        <v>Sales</v>
      </c>
      <c r="K3063" s="8" t="str">
        <f aca="false">TEXT(ROW(), "0000")</f>
        <v>3063</v>
      </c>
      <c r="L3063" s="8"/>
    </row>
    <row r="3064" customFormat="false" ht="15.75" hidden="false" customHeight="true" outlineLevel="0" collapsed="false">
      <c r="A3064" s="7" t="n">
        <v>45869</v>
      </c>
      <c r="B3064" s="8" t="s">
        <v>34</v>
      </c>
      <c r="C3064" s="9" t="n">
        <v>69</v>
      </c>
      <c r="D3064" s="8" t="s">
        <v>21</v>
      </c>
      <c r="E3064" s="10" t="s">
        <v>274</v>
      </c>
      <c r="F3064" s="8" t="str">
        <f aca="false">TEXT(A3064,"MM-YYYY")</f>
        <v>07-2025</v>
      </c>
      <c r="G3064" s="8" t="s">
        <v>14</v>
      </c>
      <c r="H3064" s="8" t="s">
        <v>15</v>
      </c>
      <c r="I3064" s="7" t="n">
        <v>45869</v>
      </c>
      <c r="J3064" s="8" t="str">
        <f aca="false">VLOOKUP(B3064, Table3[#All], 2, FALSE())</f>
        <v>Staff Expenses</v>
      </c>
      <c r="K3064" s="8" t="str">
        <f aca="false">TEXT(ROW(), "0000")</f>
        <v>3064</v>
      </c>
      <c r="L3064" s="8"/>
    </row>
    <row r="3065" customFormat="false" ht="15.75" hidden="false" customHeight="true" outlineLevel="0" collapsed="false">
      <c r="A3065" s="7" t="n">
        <v>45869</v>
      </c>
      <c r="B3065" s="8" t="s">
        <v>44</v>
      </c>
      <c r="C3065" s="9" t="n">
        <v>800</v>
      </c>
      <c r="D3065" s="8" t="s">
        <v>45</v>
      </c>
      <c r="E3065" s="10" t="s">
        <v>370</v>
      </c>
      <c r="F3065" s="8" t="str">
        <f aca="false">TEXT(A3065,"MM-YYYY")</f>
        <v>07-2025</v>
      </c>
      <c r="G3065" s="8" t="s">
        <v>14</v>
      </c>
      <c r="H3065" s="8" t="s">
        <v>15</v>
      </c>
      <c r="I3065" s="7" t="n">
        <v>45869</v>
      </c>
      <c r="J3065" s="8" t="str">
        <f aca="false">VLOOKUP(B3065, Table3[#All], 2, FALSE())</f>
        <v>Salary</v>
      </c>
      <c r="K3065" s="8" t="str">
        <f aca="false">TEXT(ROW(), "0000")</f>
        <v>3065</v>
      </c>
      <c r="L3065" s="8"/>
    </row>
    <row r="3066" customFormat="false" ht="15.75" hidden="false" customHeight="true" outlineLevel="0" collapsed="false">
      <c r="A3066" s="7" t="n">
        <v>45870</v>
      </c>
      <c r="B3066" s="8" t="s">
        <v>47</v>
      </c>
      <c r="C3066" s="9" t="n">
        <v>900</v>
      </c>
      <c r="D3066" s="8" t="s">
        <v>13</v>
      </c>
      <c r="E3066" s="10" t="s">
        <v>339</v>
      </c>
      <c r="F3066" s="8" t="str">
        <f aca="false">TEXT(A3066,"MM-YYYY")</f>
        <v>08-2025</v>
      </c>
      <c r="G3066" s="8" t="s">
        <v>18</v>
      </c>
      <c r="H3066" s="8"/>
      <c r="I3066" s="7"/>
      <c r="J3066" s="8" t="str">
        <f aca="false">VLOOKUP(B3066, Table3[#All], 2, FALSE())</f>
        <v>Inventory</v>
      </c>
      <c r="K3066" s="8" t="str">
        <f aca="false">TEXT(ROW(), "0000")</f>
        <v>3066</v>
      </c>
      <c r="L3066" s="8"/>
    </row>
    <row r="3067" customFormat="false" ht="15.75" hidden="false" customHeight="true" outlineLevel="0" collapsed="false">
      <c r="A3067" s="7" t="n">
        <v>45870</v>
      </c>
      <c r="B3067" s="8" t="s">
        <v>29</v>
      </c>
      <c r="C3067" s="9" t="n">
        <v>624</v>
      </c>
      <c r="D3067" s="8" t="s">
        <v>13</v>
      </c>
      <c r="E3067" s="10" t="s">
        <v>302</v>
      </c>
      <c r="F3067" s="8" t="str">
        <f aca="false">TEXT(A3067,"MM-YYYY")</f>
        <v>08-2025</v>
      </c>
      <c r="G3067" s="8" t="s">
        <v>18</v>
      </c>
      <c r="H3067" s="8"/>
      <c r="I3067" s="7"/>
      <c r="J3067" s="8" t="str">
        <f aca="false">VLOOKUP(B3067, Table3[#All], 2, FALSE())</f>
        <v>Inventory</v>
      </c>
      <c r="K3067" s="8" t="str">
        <f aca="false">TEXT(ROW(), "0000")</f>
        <v>3067</v>
      </c>
      <c r="L3067" s="8"/>
    </row>
    <row r="3068" customFormat="false" ht="15.75" hidden="false" customHeight="true" outlineLevel="0" collapsed="false">
      <c r="A3068" s="7" t="n">
        <v>45870</v>
      </c>
      <c r="B3068" s="8" t="s">
        <v>19</v>
      </c>
      <c r="C3068" s="9" t="n">
        <v>1964</v>
      </c>
      <c r="D3068" s="8" t="s">
        <v>13</v>
      </c>
      <c r="E3068" s="10" t="s">
        <v>20</v>
      </c>
      <c r="F3068" s="8" t="str">
        <f aca="false">TEXT(A3068,"MM-YYYY")</f>
        <v>08-2025</v>
      </c>
      <c r="G3068" s="8" t="s">
        <v>14</v>
      </c>
      <c r="H3068" s="8" t="s">
        <v>13</v>
      </c>
      <c r="I3068" s="7"/>
      <c r="J3068" s="8" t="str">
        <f aca="false">VLOOKUP(B3068, Table3[#All], 2, FALSE())</f>
        <v>Inventory</v>
      </c>
      <c r="K3068" s="8" t="str">
        <f aca="false">TEXT(ROW(), "0000")</f>
        <v>3068</v>
      </c>
      <c r="L3068" s="8"/>
    </row>
    <row r="3069" customFormat="false" ht="15.75" hidden="false" customHeight="true" outlineLevel="0" collapsed="false">
      <c r="A3069" s="7" t="n">
        <v>45870</v>
      </c>
      <c r="B3069" s="8" t="s">
        <v>25</v>
      </c>
      <c r="C3069" s="9" t="n">
        <v>1036</v>
      </c>
      <c r="D3069" s="8" t="s">
        <v>13</v>
      </c>
      <c r="E3069" s="10" t="s">
        <v>360</v>
      </c>
      <c r="F3069" s="8" t="str">
        <f aca="false">TEXT(A3069,"MM-YYYY")</f>
        <v>08-2025</v>
      </c>
      <c r="G3069" s="8" t="s">
        <v>18</v>
      </c>
      <c r="H3069" s="8"/>
      <c r="I3069" s="7"/>
      <c r="J3069" s="8" t="str">
        <f aca="false">VLOOKUP(B3069, Table3[#All], 2, FALSE())</f>
        <v>Inventory</v>
      </c>
      <c r="K3069" s="8" t="str">
        <f aca="false">TEXT(ROW(), "0000")</f>
        <v>3069</v>
      </c>
      <c r="L3069" s="8"/>
    </row>
    <row r="3070" customFormat="false" ht="15.75" hidden="false" customHeight="true" outlineLevel="0" collapsed="false">
      <c r="A3070" s="7" t="n">
        <v>45870</v>
      </c>
      <c r="B3070" s="8" t="s">
        <v>32</v>
      </c>
      <c r="C3070" s="9" t="n">
        <v>210</v>
      </c>
      <c r="D3070" s="8" t="s">
        <v>45</v>
      </c>
      <c r="E3070" s="10" t="s">
        <v>38</v>
      </c>
      <c r="F3070" s="8" t="str">
        <f aca="false">TEXT(A3070,"MM-YYYY")</f>
        <v>08-2025</v>
      </c>
      <c r="G3070" s="8" t="s">
        <v>14</v>
      </c>
      <c r="H3070" s="8" t="s">
        <v>15</v>
      </c>
      <c r="I3070" s="7" t="n">
        <v>45870</v>
      </c>
      <c r="J3070" s="8" t="str">
        <f aca="false">VLOOKUP(B3070, Table3[#All], 2, FALSE())</f>
        <v>Grocery</v>
      </c>
      <c r="K3070" s="8" t="str">
        <f aca="false">TEXT(ROW(), "0000")</f>
        <v>3070</v>
      </c>
      <c r="L3070" s="8"/>
    </row>
    <row r="3071" customFormat="false" ht="15.75" hidden="false" customHeight="true" outlineLevel="0" collapsed="false">
      <c r="A3071" s="7" t="n">
        <v>45870</v>
      </c>
      <c r="B3071" s="8" t="s">
        <v>43</v>
      </c>
      <c r="C3071" s="9" t="n">
        <v>200</v>
      </c>
      <c r="D3071" s="8" t="s">
        <v>45</v>
      </c>
      <c r="E3071" s="10" t="s">
        <v>382</v>
      </c>
      <c r="F3071" s="8" t="str">
        <f aca="false">TEXT(A3071,"MM-YYYY")</f>
        <v>08-2025</v>
      </c>
      <c r="G3071" s="8" t="s">
        <v>14</v>
      </c>
      <c r="H3071" s="8" t="s">
        <v>15</v>
      </c>
      <c r="I3071" s="7" t="n">
        <v>45870</v>
      </c>
      <c r="J3071" s="8" t="str">
        <f aca="false">VLOOKUP(B3071, Table3[#All], 2, FALSE())</f>
        <v>Maintance</v>
      </c>
      <c r="K3071" s="8" t="str">
        <f aca="false">TEXT(ROW(), "0000")</f>
        <v>3071</v>
      </c>
      <c r="L3071" s="8"/>
    </row>
    <row r="3072" customFormat="false" ht="15.75" hidden="false" customHeight="true" outlineLevel="0" collapsed="false">
      <c r="A3072" s="7" t="n">
        <v>45870</v>
      </c>
      <c r="B3072" s="8" t="s">
        <v>22</v>
      </c>
      <c r="C3072" s="9" t="n">
        <v>11653</v>
      </c>
      <c r="D3072" s="8" t="s">
        <v>13</v>
      </c>
      <c r="E3072" s="10" t="s">
        <v>23</v>
      </c>
      <c r="F3072" s="8" t="str">
        <f aca="false">TEXT(A3072,"MM-YYYY")</f>
        <v>08-2025</v>
      </c>
      <c r="G3072" s="8" t="s">
        <v>18</v>
      </c>
      <c r="H3072" s="8"/>
      <c r="I3072" s="7"/>
      <c r="J3072" s="8" t="str">
        <f aca="false">VLOOKUP(B3072, Table3[#All], 2, FALSE())</f>
        <v>Inventory</v>
      </c>
      <c r="K3072" s="8" t="str">
        <f aca="false">TEXT(ROW(), "0000")</f>
        <v>3072</v>
      </c>
      <c r="L3072" s="8"/>
    </row>
    <row r="3073" customFormat="false" ht="15.75" hidden="false" customHeight="true" outlineLevel="0" collapsed="false">
      <c r="A3073" s="7" t="n">
        <v>45870</v>
      </c>
      <c r="B3073" s="8" t="s">
        <v>16</v>
      </c>
      <c r="C3073" s="9" t="n">
        <v>1880</v>
      </c>
      <c r="D3073" s="8" t="s">
        <v>21</v>
      </c>
      <c r="E3073" s="10" t="s">
        <v>88</v>
      </c>
      <c r="F3073" s="8" t="str">
        <f aca="false">TEXT(A3073,"MM-YYYY")</f>
        <v>08-2025</v>
      </c>
      <c r="G3073" s="8"/>
      <c r="H3073" s="8"/>
      <c r="I3073" s="7"/>
      <c r="J3073" s="8" t="str">
        <f aca="false">VLOOKUP(B3073, Table3[#All], 2, FALSE())</f>
        <v>Sales</v>
      </c>
      <c r="K3073" s="8" t="str">
        <f aca="false">TEXT(ROW(), "0000")</f>
        <v>3073</v>
      </c>
      <c r="L3073" s="8"/>
    </row>
    <row r="3074" customFormat="false" ht="15.75" hidden="false" customHeight="true" outlineLevel="0" collapsed="false">
      <c r="A3074" s="7" t="n">
        <v>45870</v>
      </c>
      <c r="B3074" s="8" t="s">
        <v>16</v>
      </c>
      <c r="C3074" s="9" t="n">
        <v>120</v>
      </c>
      <c r="D3074" s="8" t="s">
        <v>27</v>
      </c>
      <c r="E3074" s="10" t="s">
        <v>88</v>
      </c>
      <c r="F3074" s="8" t="str">
        <f aca="false">TEXT(A3074,"MM-YYYY")</f>
        <v>08-2025</v>
      </c>
      <c r="G3074" s="8"/>
      <c r="H3074" s="8"/>
      <c r="I3074" s="7"/>
      <c r="J3074" s="8" t="str">
        <f aca="false">VLOOKUP(B3074, Table3[#All], 2, FALSE())</f>
        <v>Sales</v>
      </c>
      <c r="K3074" s="8" t="str">
        <f aca="false">TEXT(ROW(), "0000")</f>
        <v>3074</v>
      </c>
      <c r="L3074" s="8"/>
    </row>
    <row r="3075" customFormat="false" ht="15.75" hidden="false" customHeight="true" outlineLevel="0" collapsed="false">
      <c r="A3075" s="7" t="n">
        <v>45870</v>
      </c>
      <c r="B3075" s="8" t="s">
        <v>16</v>
      </c>
      <c r="C3075" s="9" t="n">
        <v>1070</v>
      </c>
      <c r="D3075" s="8" t="s">
        <v>33</v>
      </c>
      <c r="E3075" s="10" t="s">
        <v>88</v>
      </c>
      <c r="F3075" s="8" t="str">
        <f aca="false">TEXT(A3075,"MM-YYYY")</f>
        <v>08-2025</v>
      </c>
      <c r="G3075" s="8"/>
      <c r="H3075" s="8"/>
      <c r="I3075" s="7"/>
      <c r="J3075" s="8" t="str">
        <f aca="false">VLOOKUP(B3075, Table3[#All], 2, FALSE())</f>
        <v>Sales</v>
      </c>
      <c r="K3075" s="8" t="str">
        <f aca="false">TEXT(ROW(), "0000")</f>
        <v>3075</v>
      </c>
      <c r="L3075" s="8"/>
    </row>
    <row r="3076" customFormat="false" ht="15.75" hidden="false" customHeight="true" outlineLevel="0" collapsed="false">
      <c r="A3076" s="7" t="n">
        <v>45870</v>
      </c>
      <c r="B3076" s="8" t="s">
        <v>16</v>
      </c>
      <c r="C3076" s="9" t="n">
        <v>13624</v>
      </c>
      <c r="D3076" s="8" t="s">
        <v>17</v>
      </c>
      <c r="E3076" s="10" t="s">
        <v>88</v>
      </c>
      <c r="F3076" s="8" t="str">
        <f aca="false">TEXT(A3076,"MM-YYYY")</f>
        <v>08-2025</v>
      </c>
      <c r="G3076" s="8"/>
      <c r="H3076" s="8"/>
      <c r="I3076" s="7"/>
      <c r="J3076" s="8" t="str">
        <f aca="false">VLOOKUP(B3076, Table3[#All], 2, FALSE())</f>
        <v>Sales</v>
      </c>
      <c r="K3076" s="8" t="str">
        <f aca="false">TEXT(ROW(), "0000")</f>
        <v>3076</v>
      </c>
      <c r="L3076" s="8"/>
    </row>
    <row r="3077" customFormat="false" ht="15.75" hidden="false" customHeight="true" outlineLevel="0" collapsed="false">
      <c r="A3077" s="7" t="n">
        <v>45870</v>
      </c>
      <c r="B3077" s="8" t="s">
        <v>16</v>
      </c>
      <c r="C3077" s="9" t="n">
        <v>630</v>
      </c>
      <c r="D3077" s="8" t="s">
        <v>59</v>
      </c>
      <c r="E3077" s="10" t="s">
        <v>88</v>
      </c>
      <c r="F3077" s="8" t="str">
        <f aca="false">TEXT(A3077,"MM-YYYY")</f>
        <v>08-2025</v>
      </c>
      <c r="G3077" s="8"/>
      <c r="H3077" s="8"/>
      <c r="I3077" s="7"/>
      <c r="J3077" s="8" t="str">
        <f aca="false">VLOOKUP(B3077, Table3[#All], 2, FALSE())</f>
        <v>Sales</v>
      </c>
      <c r="K3077" s="8" t="str">
        <f aca="false">TEXT(ROW(), "0000")</f>
        <v>3077</v>
      </c>
      <c r="L3077" s="8"/>
    </row>
    <row r="3078" customFormat="false" ht="15.75" hidden="false" customHeight="true" outlineLevel="0" collapsed="false">
      <c r="A3078" s="7" t="n">
        <v>45870</v>
      </c>
      <c r="B3078" s="8" t="s">
        <v>16</v>
      </c>
      <c r="C3078" s="9" t="n">
        <v>1768</v>
      </c>
      <c r="D3078" s="8" t="s">
        <v>24</v>
      </c>
      <c r="E3078" s="10" t="s">
        <v>217</v>
      </c>
      <c r="F3078" s="8" t="str">
        <f aca="false">TEXT(A3078,"MM-YYYY")</f>
        <v>08-2025</v>
      </c>
      <c r="G3078" s="8"/>
      <c r="H3078" s="8"/>
      <c r="I3078" s="7"/>
      <c r="J3078" s="8" t="str">
        <f aca="false">VLOOKUP(B3078, Table3[#All], 2, FALSE())</f>
        <v>Sales</v>
      </c>
      <c r="K3078" s="8" t="str">
        <f aca="false">TEXT(ROW(), "0000")</f>
        <v>3078</v>
      </c>
      <c r="L3078" s="8"/>
    </row>
    <row r="3079" customFormat="false" ht="15.75" hidden="false" customHeight="true" outlineLevel="0" collapsed="false">
      <c r="A3079" s="7" t="n">
        <v>45870</v>
      </c>
      <c r="B3079" s="8" t="s">
        <v>34</v>
      </c>
      <c r="C3079" s="9" t="n">
        <v>60</v>
      </c>
      <c r="D3079" s="8" t="s">
        <v>21</v>
      </c>
      <c r="E3079" s="10" t="s">
        <v>274</v>
      </c>
      <c r="F3079" s="8" t="str">
        <f aca="false">TEXT(A3079,"MM-YYYY")</f>
        <v>08-2025</v>
      </c>
      <c r="G3079" s="8" t="s">
        <v>14</v>
      </c>
      <c r="H3079" s="8" t="s">
        <v>15</v>
      </c>
      <c r="I3079" s="7" t="n">
        <v>45870</v>
      </c>
      <c r="J3079" s="8" t="str">
        <f aca="false">VLOOKUP(B3079, Table3[#All], 2, FALSE())</f>
        <v>Staff Expenses</v>
      </c>
      <c r="K3079" s="8" t="str">
        <f aca="false">TEXT(ROW(), "0000")</f>
        <v>3079</v>
      </c>
      <c r="L3079" s="8"/>
    </row>
    <row r="3080" customFormat="false" ht="15.75" hidden="false" customHeight="true" outlineLevel="0" collapsed="false">
      <c r="A3080" s="7" t="n">
        <v>45870</v>
      </c>
      <c r="B3080" s="8" t="s">
        <v>29</v>
      </c>
      <c r="C3080" s="9" t="n">
        <v>60</v>
      </c>
      <c r="D3080" s="8" t="s">
        <v>21</v>
      </c>
      <c r="E3080" s="10" t="s">
        <v>41</v>
      </c>
      <c r="F3080" s="8" t="str">
        <f aca="false">TEXT(A3080,"MM-YYYY")</f>
        <v>08-2025</v>
      </c>
      <c r="G3080" s="8" t="s">
        <v>14</v>
      </c>
      <c r="H3080" s="8" t="s">
        <v>15</v>
      </c>
      <c r="I3080" s="7" t="n">
        <v>45870</v>
      </c>
      <c r="J3080" s="8" t="str">
        <f aca="false">VLOOKUP(B3080, Table3[#All], 2, FALSE())</f>
        <v>Inventory</v>
      </c>
      <c r="K3080" s="8" t="str">
        <f aca="false">TEXT(ROW(), "0000")</f>
        <v>3080</v>
      </c>
      <c r="L3080" s="8"/>
    </row>
    <row r="3081" customFormat="false" ht="15.75" hidden="false" customHeight="true" outlineLevel="0" collapsed="false">
      <c r="A3081" s="7" t="n">
        <v>45870</v>
      </c>
      <c r="B3081" s="8" t="s">
        <v>31</v>
      </c>
      <c r="C3081" s="9" t="n">
        <v>300</v>
      </c>
      <c r="D3081" s="8" t="s">
        <v>45</v>
      </c>
      <c r="E3081" s="10" t="s">
        <v>236</v>
      </c>
      <c r="F3081" s="8" t="str">
        <f aca="false">TEXT(A3081,"MM-YYYY")</f>
        <v>08-2025</v>
      </c>
      <c r="G3081" s="8" t="s">
        <v>14</v>
      </c>
      <c r="H3081" s="8" t="s">
        <v>15</v>
      </c>
      <c r="I3081" s="7" t="n">
        <v>45870</v>
      </c>
      <c r="J3081" s="8" t="str">
        <f aca="false">VLOOKUP(B3081, Table3[#All], 2, FALSE())</f>
        <v>Bike Maintance</v>
      </c>
      <c r="K3081" s="8" t="str">
        <f aca="false">TEXT(ROW(), "0000")</f>
        <v>3081</v>
      </c>
      <c r="L3081" s="8"/>
    </row>
    <row r="3082" customFormat="false" ht="15.75" hidden="false" customHeight="true" outlineLevel="0" collapsed="false">
      <c r="A3082" s="7" t="n">
        <v>45870</v>
      </c>
      <c r="B3082" s="8" t="s">
        <v>50</v>
      </c>
      <c r="C3082" s="9" t="n">
        <v>1645</v>
      </c>
      <c r="D3082" s="8" t="s">
        <v>13</v>
      </c>
      <c r="E3082" s="10" t="s">
        <v>263</v>
      </c>
      <c r="F3082" s="8" t="str">
        <f aca="false">TEXT(A3082,"MM-YYYY")</f>
        <v>08-2025</v>
      </c>
      <c r="G3082" s="8" t="s">
        <v>14</v>
      </c>
      <c r="H3082" s="8" t="s">
        <v>13</v>
      </c>
      <c r="I3082" s="7" t="n">
        <v>45883</v>
      </c>
      <c r="J3082" s="8" t="str">
        <f aca="false">VLOOKUP(B3082, Table3[#All], 2, FALSE())</f>
        <v>Fixed Maintance</v>
      </c>
      <c r="K3082" s="8" t="str">
        <f aca="false">TEXT(ROW(), "0000")</f>
        <v>3082</v>
      </c>
      <c r="L3082" s="8"/>
    </row>
    <row r="3083" customFormat="false" ht="15.75" hidden="false" customHeight="true" outlineLevel="0" collapsed="false">
      <c r="A3083" s="7" t="n">
        <v>45871</v>
      </c>
      <c r="B3083" s="8" t="s">
        <v>19</v>
      </c>
      <c r="C3083" s="9" t="n">
        <v>2957</v>
      </c>
      <c r="D3083" s="8" t="s">
        <v>13</v>
      </c>
      <c r="E3083" s="10" t="s">
        <v>20</v>
      </c>
      <c r="F3083" s="8" t="str">
        <f aca="false">TEXT(A3083,"MM-YYYY")</f>
        <v>08-2025</v>
      </c>
      <c r="G3083" s="8" t="s">
        <v>14</v>
      </c>
      <c r="H3083" s="8" t="s">
        <v>13</v>
      </c>
      <c r="I3083" s="7"/>
      <c r="J3083" s="8" t="str">
        <f aca="false">VLOOKUP(B3083, Table3[#All], 2, FALSE())</f>
        <v>Inventory</v>
      </c>
      <c r="K3083" s="8" t="str">
        <f aca="false">TEXT(ROW(), "0000")</f>
        <v>3083</v>
      </c>
      <c r="L3083" s="8"/>
    </row>
    <row r="3084" customFormat="false" ht="15.75" hidden="false" customHeight="true" outlineLevel="0" collapsed="false">
      <c r="A3084" s="7" t="n">
        <v>45871</v>
      </c>
      <c r="B3084" s="8" t="s">
        <v>29</v>
      </c>
      <c r="C3084" s="9" t="n">
        <v>616</v>
      </c>
      <c r="D3084" s="8" t="s">
        <v>13</v>
      </c>
      <c r="E3084" s="10" t="s">
        <v>302</v>
      </c>
      <c r="F3084" s="8" t="str">
        <f aca="false">TEXT(A3084,"MM-YYYY")</f>
        <v>08-2025</v>
      </c>
      <c r="G3084" s="8" t="s">
        <v>18</v>
      </c>
      <c r="H3084" s="8"/>
      <c r="I3084" s="7"/>
      <c r="J3084" s="8" t="str">
        <f aca="false">VLOOKUP(B3084, Table3[#All], 2, FALSE())</f>
        <v>Inventory</v>
      </c>
      <c r="K3084" s="8" t="str">
        <f aca="false">TEXT(ROW(), "0000")</f>
        <v>3084</v>
      </c>
      <c r="L3084" s="8"/>
    </row>
    <row r="3085" customFormat="false" ht="15.75" hidden="false" customHeight="true" outlineLevel="0" collapsed="false">
      <c r="A3085" s="7" t="n">
        <v>45871</v>
      </c>
      <c r="B3085" s="8" t="s">
        <v>25</v>
      </c>
      <c r="C3085" s="9" t="n">
        <v>600</v>
      </c>
      <c r="D3085" s="8" t="s">
        <v>13</v>
      </c>
      <c r="E3085" s="10" t="s">
        <v>360</v>
      </c>
      <c r="F3085" s="8" t="str">
        <f aca="false">TEXT(A3085,"MM-YYYY")</f>
        <v>08-2025</v>
      </c>
      <c r="G3085" s="8" t="s">
        <v>18</v>
      </c>
      <c r="H3085" s="8"/>
      <c r="I3085" s="7"/>
      <c r="J3085" s="8" t="str">
        <f aca="false">VLOOKUP(B3085, Table3[#All], 2, FALSE())</f>
        <v>Inventory</v>
      </c>
      <c r="K3085" s="8" t="str">
        <f aca="false">TEXT(ROW(), "0000")</f>
        <v>3085</v>
      </c>
      <c r="L3085" s="8"/>
    </row>
    <row r="3086" customFormat="false" ht="15.75" hidden="false" customHeight="true" outlineLevel="0" collapsed="false">
      <c r="A3086" s="7" t="n">
        <v>45871</v>
      </c>
      <c r="B3086" s="8" t="s">
        <v>201</v>
      </c>
      <c r="C3086" s="9" t="n">
        <v>90</v>
      </c>
      <c r="D3086" s="8" t="s">
        <v>45</v>
      </c>
      <c r="E3086" s="8" t="s">
        <v>201</v>
      </c>
      <c r="F3086" s="8" t="str">
        <f aca="false">TEXT(A3086,"MM-YYYY")</f>
        <v>08-2025</v>
      </c>
      <c r="G3086" s="8" t="s">
        <v>14</v>
      </c>
      <c r="H3086" s="8"/>
      <c r="I3086" s="7"/>
      <c r="J3086" s="8" t="str">
        <f aca="false">VLOOKUP(B3086, Table3[#All], 2, FALSE())</f>
        <v>Inventory</v>
      </c>
      <c r="K3086" s="8" t="str">
        <f aca="false">TEXT(ROW(), "0000")</f>
        <v>3086</v>
      </c>
      <c r="L3086" s="8"/>
    </row>
    <row r="3087" customFormat="false" ht="15.75" hidden="false" customHeight="true" outlineLevel="0" collapsed="false">
      <c r="A3087" s="7" t="n">
        <v>45871</v>
      </c>
      <c r="B3087" s="8" t="s">
        <v>29</v>
      </c>
      <c r="C3087" s="9" t="n">
        <v>600</v>
      </c>
      <c r="D3087" s="8" t="s">
        <v>45</v>
      </c>
      <c r="E3087" s="10" t="s">
        <v>78</v>
      </c>
      <c r="F3087" s="8" t="str">
        <f aca="false">TEXT(A3087,"MM-YYYY")</f>
        <v>08-2025</v>
      </c>
      <c r="G3087" s="8" t="s">
        <v>14</v>
      </c>
      <c r="H3087" s="8"/>
      <c r="I3087" s="7"/>
      <c r="J3087" s="8" t="str">
        <f aca="false">VLOOKUP(B3087, Table3[#All], 2, FALSE())</f>
        <v>Inventory</v>
      </c>
      <c r="K3087" s="8" t="str">
        <f aca="false">TEXT(ROW(), "0000")</f>
        <v>3087</v>
      </c>
      <c r="L3087" s="8"/>
    </row>
    <row r="3088" customFormat="false" ht="15.75" hidden="false" customHeight="true" outlineLevel="0" collapsed="false">
      <c r="A3088" s="7" t="n">
        <v>45871</v>
      </c>
      <c r="B3088" s="8" t="s">
        <v>44</v>
      </c>
      <c r="C3088" s="9" t="n">
        <v>500</v>
      </c>
      <c r="D3088" s="8" t="s">
        <v>45</v>
      </c>
      <c r="E3088" s="10" t="s">
        <v>383</v>
      </c>
      <c r="F3088" s="8" t="str">
        <f aca="false">TEXT(A3088,"MM-YYYY")</f>
        <v>08-2025</v>
      </c>
      <c r="G3088" s="8" t="s">
        <v>14</v>
      </c>
      <c r="H3088" s="8"/>
      <c r="I3088" s="7"/>
      <c r="J3088" s="8" t="str">
        <f aca="false">VLOOKUP(B3088, Table3[#All], 2, FALSE())</f>
        <v>Salary</v>
      </c>
      <c r="K3088" s="8" t="str">
        <f aca="false">TEXT(ROW(), "0000")</f>
        <v>3088</v>
      </c>
      <c r="L3088" s="8"/>
    </row>
    <row r="3089" customFormat="false" ht="15.75" hidden="false" customHeight="true" outlineLevel="0" collapsed="false">
      <c r="A3089" s="7" t="n">
        <v>45871</v>
      </c>
      <c r="B3089" s="8" t="s">
        <v>22</v>
      </c>
      <c r="C3089" s="9" t="n">
        <v>50</v>
      </c>
      <c r="D3089" s="8" t="s">
        <v>13</v>
      </c>
      <c r="E3089" s="10" t="s">
        <v>23</v>
      </c>
      <c r="F3089" s="8" t="str">
        <f aca="false">TEXT(A3089,"MM-YYYY")</f>
        <v>08-2025</v>
      </c>
      <c r="G3089" s="8" t="s">
        <v>18</v>
      </c>
      <c r="H3089" s="8"/>
      <c r="I3089" s="7"/>
      <c r="J3089" s="8" t="str">
        <f aca="false">VLOOKUP(B3089, Table3[#All], 2, FALSE())</f>
        <v>Inventory</v>
      </c>
      <c r="K3089" s="8" t="str">
        <f aca="false">TEXT(ROW(), "0000")</f>
        <v>3089</v>
      </c>
      <c r="L3089" s="8"/>
    </row>
    <row r="3090" customFormat="false" ht="15.75" hidden="false" customHeight="true" outlineLevel="0" collapsed="false">
      <c r="A3090" s="7" t="n">
        <v>45871</v>
      </c>
      <c r="B3090" s="8" t="s">
        <v>22</v>
      </c>
      <c r="C3090" s="9" t="n">
        <v>4073</v>
      </c>
      <c r="D3090" s="8" t="s">
        <v>13</v>
      </c>
      <c r="E3090" s="10" t="s">
        <v>384</v>
      </c>
      <c r="F3090" s="8" t="str">
        <f aca="false">TEXT(A3090,"MM-YYYY")</f>
        <v>08-2025</v>
      </c>
      <c r="G3090" s="8" t="s">
        <v>14</v>
      </c>
      <c r="H3090" s="8" t="s">
        <v>13</v>
      </c>
      <c r="I3090" s="7" t="n">
        <v>45871</v>
      </c>
      <c r="J3090" s="8" t="str">
        <f aca="false">VLOOKUP(B3090, Table3[#All], 2, FALSE())</f>
        <v>Inventory</v>
      </c>
      <c r="K3090" s="8" t="str">
        <f aca="false">TEXT(ROW(), "0000")</f>
        <v>3090</v>
      </c>
      <c r="L3090" s="8"/>
    </row>
    <row r="3091" customFormat="false" ht="15.75" hidden="false" customHeight="true" outlineLevel="0" collapsed="false">
      <c r="A3091" s="7" t="n">
        <v>45871</v>
      </c>
      <c r="B3091" s="8" t="s">
        <v>50</v>
      </c>
      <c r="C3091" s="9" t="n">
        <v>1645</v>
      </c>
      <c r="D3091" s="8" t="s">
        <v>13</v>
      </c>
      <c r="E3091" s="10" t="s">
        <v>263</v>
      </c>
      <c r="F3091" s="8" t="str">
        <f aca="false">TEXT(A3091,"MM-YYYY")</f>
        <v>08-2025</v>
      </c>
      <c r="G3091" s="8" t="s">
        <v>14</v>
      </c>
      <c r="H3091" s="8" t="s">
        <v>13</v>
      </c>
      <c r="I3091" s="7" t="n">
        <v>45883</v>
      </c>
      <c r="J3091" s="8" t="str">
        <f aca="false">VLOOKUP(B3091, Table3[#All], 2, FALSE())</f>
        <v>Fixed Maintance</v>
      </c>
      <c r="K3091" s="8" t="str">
        <f aca="false">TEXT(ROW(), "0000")</f>
        <v>3091</v>
      </c>
      <c r="L3091" s="8"/>
    </row>
    <row r="3092" customFormat="false" ht="15.75" hidden="false" customHeight="true" outlineLevel="0" collapsed="false">
      <c r="A3092" s="7" t="n">
        <v>45871</v>
      </c>
      <c r="B3092" s="8" t="s">
        <v>40</v>
      </c>
      <c r="C3092" s="9" t="n">
        <v>740</v>
      </c>
      <c r="D3092" s="8" t="s">
        <v>45</v>
      </c>
      <c r="E3092" s="10" t="s">
        <v>46</v>
      </c>
      <c r="F3092" s="8" t="str">
        <f aca="false">TEXT(A3092,"MM-YYYY")</f>
        <v>08-2025</v>
      </c>
      <c r="G3092" s="8" t="s">
        <v>14</v>
      </c>
      <c r="H3092" s="8" t="s">
        <v>15</v>
      </c>
      <c r="I3092" s="7" t="n">
        <v>45871</v>
      </c>
      <c r="J3092" s="8" t="str">
        <f aca="false">VLOOKUP(B3092, Table3[#All], 2, FALSE())</f>
        <v>Inventory</v>
      </c>
      <c r="K3092" s="8" t="str">
        <f aca="false">TEXT(ROW(), "0000")</f>
        <v>3092</v>
      </c>
      <c r="L3092" s="8"/>
    </row>
    <row r="3093" customFormat="false" ht="15.75" hidden="false" customHeight="true" outlineLevel="0" collapsed="false">
      <c r="A3093" s="7" t="n">
        <v>45871</v>
      </c>
      <c r="B3093" s="8" t="s">
        <v>22</v>
      </c>
      <c r="C3093" s="9" t="n">
        <v>165</v>
      </c>
      <c r="D3093" s="8" t="s">
        <v>21</v>
      </c>
      <c r="E3093" s="10" t="s">
        <v>385</v>
      </c>
      <c r="F3093" s="8" t="str">
        <f aca="false">TEXT(A3093,"MM-YYYY")</f>
        <v>08-2025</v>
      </c>
      <c r="G3093" s="8" t="s">
        <v>14</v>
      </c>
      <c r="H3093" s="8" t="s">
        <v>15</v>
      </c>
      <c r="I3093" s="7" t="n">
        <v>45871</v>
      </c>
      <c r="J3093" s="8" t="str">
        <f aca="false">VLOOKUP(B3093, Table3[#All], 2, FALSE())</f>
        <v>Inventory</v>
      </c>
      <c r="K3093" s="8" t="str">
        <f aca="false">TEXT(ROW(), "0000")</f>
        <v>3093</v>
      </c>
      <c r="L3093" s="8"/>
    </row>
    <row r="3094" customFormat="false" ht="15.75" hidden="false" customHeight="true" outlineLevel="0" collapsed="false">
      <c r="A3094" s="7" t="n">
        <v>45871</v>
      </c>
      <c r="B3094" s="8" t="s">
        <v>197</v>
      </c>
      <c r="C3094" s="9" t="n">
        <v>1200</v>
      </c>
      <c r="D3094" s="8" t="s">
        <v>13</v>
      </c>
      <c r="E3094" s="8" t="s">
        <v>197</v>
      </c>
      <c r="F3094" s="8" t="str">
        <f aca="false">TEXT(A3094,"MM-YYYY")</f>
        <v>08-2025</v>
      </c>
      <c r="G3094" s="8" t="s">
        <v>14</v>
      </c>
      <c r="H3094" s="8" t="s">
        <v>262</v>
      </c>
      <c r="I3094" s="7" t="n">
        <v>45871</v>
      </c>
      <c r="J3094" s="8" t="str">
        <f aca="false">VLOOKUP(B3094, Table3[#All], 2, FALSE())</f>
        <v>Maintenance</v>
      </c>
      <c r="K3094" s="8" t="str">
        <f aca="false">TEXT(ROW(), "0000")</f>
        <v>3094</v>
      </c>
      <c r="L3094" s="8"/>
    </row>
    <row r="3095" customFormat="false" ht="15.75" hidden="false" customHeight="true" outlineLevel="0" collapsed="false">
      <c r="A3095" s="7" t="n">
        <v>45871</v>
      </c>
      <c r="B3095" s="8" t="s">
        <v>35</v>
      </c>
      <c r="C3095" s="9" t="n">
        <v>70</v>
      </c>
      <c r="D3095" s="8" t="s">
        <v>45</v>
      </c>
      <c r="E3095" s="10" t="s">
        <v>386</v>
      </c>
      <c r="F3095" s="8" t="str">
        <f aca="false">TEXT(A3095,"MM-YYYY")</f>
        <v>08-2025</v>
      </c>
      <c r="G3095" s="8" t="s">
        <v>14</v>
      </c>
      <c r="H3095" s="8" t="s">
        <v>15</v>
      </c>
      <c r="I3095" s="7" t="n">
        <v>45871</v>
      </c>
      <c r="J3095" s="8" t="str">
        <f aca="false">VLOOKUP(B3095, Table3[#All], 2, FALSE())</f>
        <v>Inventory</v>
      </c>
      <c r="K3095" s="8" t="str">
        <f aca="false">TEXT(ROW(), "0000")</f>
        <v>3095</v>
      </c>
      <c r="L3095" s="8"/>
    </row>
    <row r="3096" customFormat="false" ht="15.75" hidden="false" customHeight="true" outlineLevel="0" collapsed="false">
      <c r="A3096" s="7" t="n">
        <v>45871</v>
      </c>
      <c r="B3096" s="8" t="s">
        <v>16</v>
      </c>
      <c r="C3096" s="9" t="n">
        <v>2675</v>
      </c>
      <c r="D3096" s="8" t="s">
        <v>21</v>
      </c>
      <c r="E3096" s="10" t="s">
        <v>88</v>
      </c>
      <c r="F3096" s="8" t="str">
        <f aca="false">TEXT(A3096,"MM-YYYY")</f>
        <v>08-2025</v>
      </c>
      <c r="G3096" s="8"/>
      <c r="H3096" s="8"/>
      <c r="I3096" s="7"/>
      <c r="J3096" s="8" t="str">
        <f aca="false">VLOOKUP(B3096, Table3[#All], 2, FALSE())</f>
        <v>Sales</v>
      </c>
      <c r="K3096" s="8" t="str">
        <f aca="false">TEXT(ROW(), "0000")</f>
        <v>3096</v>
      </c>
      <c r="L3096" s="8"/>
    </row>
    <row r="3097" customFormat="false" ht="15.75" hidden="false" customHeight="true" outlineLevel="0" collapsed="false">
      <c r="A3097" s="7" t="n">
        <v>45871</v>
      </c>
      <c r="B3097" s="8" t="s">
        <v>16</v>
      </c>
      <c r="C3097" s="9" t="n">
        <v>200</v>
      </c>
      <c r="D3097" s="8" t="s">
        <v>27</v>
      </c>
      <c r="E3097" s="10" t="s">
        <v>88</v>
      </c>
      <c r="F3097" s="8" t="str">
        <f aca="false">TEXT(A3097,"MM-YYYY")</f>
        <v>08-2025</v>
      </c>
      <c r="G3097" s="8"/>
      <c r="H3097" s="8"/>
      <c r="I3097" s="7"/>
      <c r="J3097" s="8" t="str">
        <f aca="false">VLOOKUP(B3097, Table3[#All], 2, FALSE())</f>
        <v>Sales</v>
      </c>
      <c r="K3097" s="8" t="str">
        <f aca="false">TEXT(ROW(), "0000")</f>
        <v>3097</v>
      </c>
      <c r="L3097" s="8"/>
    </row>
    <row r="3098" customFormat="false" ht="15.75" hidden="false" customHeight="true" outlineLevel="0" collapsed="false">
      <c r="A3098" s="7" t="n">
        <v>45871</v>
      </c>
      <c r="B3098" s="8" t="s">
        <v>16</v>
      </c>
      <c r="C3098" s="9" t="n">
        <v>1610</v>
      </c>
      <c r="D3098" s="8" t="s">
        <v>33</v>
      </c>
      <c r="E3098" s="10" t="s">
        <v>88</v>
      </c>
      <c r="F3098" s="8" t="str">
        <f aca="false">TEXT(A3098,"MM-YYYY")</f>
        <v>08-2025</v>
      </c>
      <c r="G3098" s="8"/>
      <c r="H3098" s="8"/>
      <c r="I3098" s="7"/>
      <c r="J3098" s="8" t="str">
        <f aca="false">VLOOKUP(B3098, Table3[#All], 2, FALSE())</f>
        <v>Sales</v>
      </c>
      <c r="K3098" s="8" t="str">
        <f aca="false">TEXT(ROW(), "0000")</f>
        <v>3098</v>
      </c>
      <c r="L3098" s="8"/>
    </row>
    <row r="3099" customFormat="false" ht="15.75" hidden="false" customHeight="true" outlineLevel="0" collapsed="false">
      <c r="A3099" s="7" t="n">
        <v>45871</v>
      </c>
      <c r="B3099" s="8" t="s">
        <v>16</v>
      </c>
      <c r="C3099" s="9" t="n">
        <v>13609</v>
      </c>
      <c r="D3099" s="8" t="s">
        <v>17</v>
      </c>
      <c r="E3099" s="10" t="s">
        <v>88</v>
      </c>
      <c r="F3099" s="8" t="str">
        <f aca="false">TEXT(A3099,"MM-YYYY")</f>
        <v>08-2025</v>
      </c>
      <c r="G3099" s="8"/>
      <c r="H3099" s="8"/>
      <c r="I3099" s="7"/>
      <c r="J3099" s="8" t="str">
        <f aca="false">VLOOKUP(B3099, Table3[#All], 2, FALSE())</f>
        <v>Sales</v>
      </c>
      <c r="K3099" s="8" t="str">
        <f aca="false">TEXT(ROW(), "0000")</f>
        <v>3099</v>
      </c>
      <c r="L3099" s="8"/>
    </row>
    <row r="3100" customFormat="false" ht="15.75" hidden="false" customHeight="true" outlineLevel="0" collapsed="false">
      <c r="A3100" s="7" t="n">
        <v>45871</v>
      </c>
      <c r="B3100" s="8" t="s">
        <v>16</v>
      </c>
      <c r="C3100" s="9" t="n">
        <v>1911</v>
      </c>
      <c r="D3100" s="8" t="s">
        <v>24</v>
      </c>
      <c r="E3100" s="10" t="s">
        <v>217</v>
      </c>
      <c r="F3100" s="8" t="str">
        <f aca="false">TEXT(A3100,"MM-YYYY")</f>
        <v>08-2025</v>
      </c>
      <c r="G3100" s="8"/>
      <c r="H3100" s="8"/>
      <c r="I3100" s="7"/>
      <c r="J3100" s="8" t="str">
        <f aca="false">VLOOKUP(B3100, Table3[#All], 2, FALSE())</f>
        <v>Sales</v>
      </c>
      <c r="K3100" s="8" t="str">
        <f aca="false">TEXT(ROW(), "0000")</f>
        <v>3100</v>
      </c>
      <c r="L3100" s="8"/>
    </row>
    <row r="3101" customFormat="false" ht="15.75" hidden="false" customHeight="true" outlineLevel="0" collapsed="false">
      <c r="A3101" s="7" t="n">
        <v>45871</v>
      </c>
      <c r="B3101" s="8" t="s">
        <v>34</v>
      </c>
      <c r="C3101" s="9" t="n">
        <v>110</v>
      </c>
      <c r="D3101" s="8" t="s">
        <v>21</v>
      </c>
      <c r="E3101" s="10" t="s">
        <v>274</v>
      </c>
      <c r="F3101" s="8" t="str">
        <f aca="false">TEXT(A3101,"MM-YYYY")</f>
        <v>08-2025</v>
      </c>
      <c r="G3101" s="8" t="s">
        <v>14</v>
      </c>
      <c r="H3101" s="8" t="s">
        <v>15</v>
      </c>
      <c r="I3101" s="7" t="n">
        <v>45871</v>
      </c>
      <c r="J3101" s="8" t="str">
        <f aca="false">VLOOKUP(B3101, Table3[#All], 2, FALSE())</f>
        <v>Staff Expenses</v>
      </c>
      <c r="K3101" s="8" t="str">
        <f aca="false">TEXT(ROW(), "0000")</f>
        <v>3101</v>
      </c>
      <c r="L3101" s="8"/>
    </row>
    <row r="3102" customFormat="false" ht="15.75" hidden="false" customHeight="true" outlineLevel="0" collapsed="false">
      <c r="A3102" s="7" t="n">
        <v>45872</v>
      </c>
      <c r="B3102" s="8" t="s">
        <v>44</v>
      </c>
      <c r="C3102" s="9" t="n">
        <v>500</v>
      </c>
      <c r="D3102" s="8" t="s">
        <v>21</v>
      </c>
      <c r="E3102" s="10" t="s">
        <v>354</v>
      </c>
      <c r="F3102" s="8" t="str">
        <f aca="false">TEXT(A3102,"MM-YYYY")</f>
        <v>08-2025</v>
      </c>
      <c r="G3102" s="8" t="s">
        <v>14</v>
      </c>
      <c r="H3102" s="8" t="s">
        <v>15</v>
      </c>
      <c r="I3102" s="7" t="n">
        <v>45872</v>
      </c>
      <c r="J3102" s="8" t="str">
        <f aca="false">VLOOKUP(B3102, Table3[#All], 2, FALSE())</f>
        <v>Salary</v>
      </c>
      <c r="K3102" s="8" t="str">
        <f aca="false">TEXT(ROW(), "0000")</f>
        <v>3102</v>
      </c>
      <c r="L3102" s="8"/>
    </row>
    <row r="3103" customFormat="false" ht="15.75" hidden="false" customHeight="true" outlineLevel="0" collapsed="false">
      <c r="A3103" s="7" t="n">
        <v>45872</v>
      </c>
      <c r="B3103" s="8" t="s">
        <v>19</v>
      </c>
      <c r="C3103" s="9" t="n">
        <v>1192</v>
      </c>
      <c r="D3103" s="8" t="s">
        <v>13</v>
      </c>
      <c r="E3103" s="10" t="s">
        <v>20</v>
      </c>
      <c r="F3103" s="8" t="str">
        <f aca="false">TEXT(A3103,"MM-YYYY")</f>
        <v>08-2025</v>
      </c>
      <c r="G3103" s="8" t="s">
        <v>14</v>
      </c>
      <c r="H3103" s="8" t="s">
        <v>13</v>
      </c>
      <c r="I3103" s="7"/>
      <c r="J3103" s="8" t="str">
        <f aca="false">VLOOKUP(B3103, Table3[#All], 2, FALSE())</f>
        <v>Inventory</v>
      </c>
      <c r="K3103" s="8" t="str">
        <f aca="false">TEXT(ROW(), "0000")</f>
        <v>3103</v>
      </c>
      <c r="L3103" s="8"/>
    </row>
    <row r="3104" customFormat="false" ht="15.75" hidden="false" customHeight="true" outlineLevel="0" collapsed="false">
      <c r="A3104" s="7" t="n">
        <v>45872</v>
      </c>
      <c r="B3104" s="8" t="s">
        <v>25</v>
      </c>
      <c r="C3104" s="9" t="n">
        <v>1170</v>
      </c>
      <c r="D3104" s="8" t="s">
        <v>13</v>
      </c>
      <c r="E3104" s="10" t="s">
        <v>360</v>
      </c>
      <c r="F3104" s="8" t="str">
        <f aca="false">TEXT(A3104,"MM-YYYY")</f>
        <v>08-2025</v>
      </c>
      <c r="G3104" s="8" t="s">
        <v>18</v>
      </c>
      <c r="H3104" s="8"/>
      <c r="I3104" s="7"/>
      <c r="J3104" s="8" t="str">
        <f aca="false">VLOOKUP(B3104, Table3[#All], 2, FALSE())</f>
        <v>Inventory</v>
      </c>
      <c r="K3104" s="8" t="str">
        <f aca="false">TEXT(ROW(), "0000")</f>
        <v>3104</v>
      </c>
      <c r="L3104" s="8"/>
    </row>
    <row r="3105" customFormat="false" ht="15.75" hidden="false" customHeight="true" outlineLevel="0" collapsed="false">
      <c r="A3105" s="7" t="n">
        <v>45872</v>
      </c>
      <c r="B3105" s="8" t="s">
        <v>22</v>
      </c>
      <c r="C3105" s="9" t="n">
        <v>110</v>
      </c>
      <c r="D3105" s="8" t="s">
        <v>21</v>
      </c>
      <c r="E3105" s="10" t="s">
        <v>213</v>
      </c>
      <c r="F3105" s="8" t="str">
        <f aca="false">TEXT(A3105,"MM-YYYY")</f>
        <v>08-2025</v>
      </c>
      <c r="G3105" s="8" t="s">
        <v>14</v>
      </c>
      <c r="H3105" s="8" t="s">
        <v>15</v>
      </c>
      <c r="I3105" s="7" t="n">
        <v>45872</v>
      </c>
      <c r="J3105" s="8" t="str">
        <f aca="false">VLOOKUP(B3105, Table3[#All], 2, FALSE())</f>
        <v>Inventory</v>
      </c>
      <c r="K3105" s="8" t="str">
        <f aca="false">TEXT(ROW(), "0000")</f>
        <v>3105</v>
      </c>
      <c r="L3105" s="8"/>
    </row>
    <row r="3106" customFormat="false" ht="15.75" hidden="false" customHeight="true" outlineLevel="0" collapsed="false">
      <c r="A3106" s="7" t="n">
        <v>45872</v>
      </c>
      <c r="B3106" s="8" t="s">
        <v>25</v>
      </c>
      <c r="C3106" s="9" t="n">
        <v>90</v>
      </c>
      <c r="D3106" s="8" t="s">
        <v>21</v>
      </c>
      <c r="E3106" s="10" t="s">
        <v>42</v>
      </c>
      <c r="F3106" s="8" t="str">
        <f aca="false">TEXT(A3106,"MM-YYYY")</f>
        <v>08-2025</v>
      </c>
      <c r="G3106" s="8" t="s">
        <v>14</v>
      </c>
      <c r="H3106" s="8" t="s">
        <v>15</v>
      </c>
      <c r="I3106" s="7" t="n">
        <v>45872</v>
      </c>
      <c r="J3106" s="8" t="str">
        <f aca="false">VLOOKUP(B3106, Table3[#All], 2, FALSE())</f>
        <v>Inventory</v>
      </c>
      <c r="K3106" s="8" t="str">
        <f aca="false">TEXT(ROW(), "0000")</f>
        <v>3106</v>
      </c>
      <c r="L3106" s="8"/>
    </row>
    <row r="3107" customFormat="false" ht="15.75" hidden="false" customHeight="true" outlineLevel="0" collapsed="false">
      <c r="A3107" s="7" t="n">
        <v>45872</v>
      </c>
      <c r="B3107" s="8" t="s">
        <v>51</v>
      </c>
      <c r="C3107" s="9" t="n">
        <v>4105</v>
      </c>
      <c r="D3107" s="8" t="s">
        <v>13</v>
      </c>
      <c r="E3107" s="10" t="s">
        <v>226</v>
      </c>
      <c r="F3107" s="8" t="str">
        <f aca="false">TEXT(A3107,"MM-YYYY")</f>
        <v>08-2025</v>
      </c>
      <c r="G3107" s="8" t="s">
        <v>18</v>
      </c>
      <c r="H3107" s="8"/>
      <c r="I3107" s="7"/>
      <c r="J3107" s="8" t="str">
        <f aca="false">VLOOKUP(B3107, Table3[#All], 2, FALSE())</f>
        <v>Inventory</v>
      </c>
      <c r="K3107" s="8" t="str">
        <f aca="false">TEXT(ROW(), "0000")</f>
        <v>3107</v>
      </c>
      <c r="L3107" s="8"/>
    </row>
    <row r="3108" customFormat="false" ht="15.75" hidden="false" customHeight="true" outlineLevel="0" collapsed="false">
      <c r="A3108" s="7" t="n">
        <v>45872</v>
      </c>
      <c r="B3108" s="8" t="s">
        <v>22</v>
      </c>
      <c r="C3108" s="9" t="n">
        <v>1890</v>
      </c>
      <c r="D3108" s="8" t="s">
        <v>13</v>
      </c>
      <c r="E3108" s="10" t="s">
        <v>110</v>
      </c>
      <c r="F3108" s="8" t="str">
        <f aca="false">TEXT(A3108,"MM-YYYY")</f>
        <v>08-2025</v>
      </c>
      <c r="G3108" s="8" t="s">
        <v>18</v>
      </c>
      <c r="H3108" s="8"/>
      <c r="I3108" s="7"/>
      <c r="J3108" s="8" t="str">
        <f aca="false">VLOOKUP(B3108, Table3[#All], 2, FALSE())</f>
        <v>Inventory</v>
      </c>
      <c r="K3108" s="8" t="str">
        <f aca="false">TEXT(ROW(), "0000")</f>
        <v>3108</v>
      </c>
      <c r="L3108" s="8"/>
    </row>
    <row r="3109" customFormat="false" ht="15.75" hidden="false" customHeight="true" outlineLevel="0" collapsed="false">
      <c r="A3109" s="7" t="n">
        <v>45872</v>
      </c>
      <c r="B3109" s="8" t="s">
        <v>40</v>
      </c>
      <c r="C3109" s="9" t="n">
        <v>1480</v>
      </c>
      <c r="D3109" s="8" t="s">
        <v>21</v>
      </c>
      <c r="E3109" s="10" t="s">
        <v>40</v>
      </c>
      <c r="F3109" s="8" t="str">
        <f aca="false">TEXT(A3109,"MM-YYYY")</f>
        <v>08-2025</v>
      </c>
      <c r="G3109" s="8" t="s">
        <v>14</v>
      </c>
      <c r="H3109" s="8" t="s">
        <v>15</v>
      </c>
      <c r="I3109" s="7" t="n">
        <v>45872</v>
      </c>
      <c r="J3109" s="8" t="str">
        <f aca="false">VLOOKUP(B3109, Table3[#All], 2, FALSE())</f>
        <v>Inventory</v>
      </c>
      <c r="K3109" s="8" t="str">
        <f aca="false">TEXT(ROW(), "0000")</f>
        <v>3109</v>
      </c>
      <c r="L3109" s="8"/>
    </row>
    <row r="3110" customFormat="false" ht="15.75" hidden="false" customHeight="true" outlineLevel="0" collapsed="false">
      <c r="A3110" s="7" t="n">
        <v>45872</v>
      </c>
      <c r="B3110" s="8" t="s">
        <v>32</v>
      </c>
      <c r="C3110" s="9" t="n">
        <v>360</v>
      </c>
      <c r="D3110" s="8" t="s">
        <v>21</v>
      </c>
      <c r="E3110" s="10" t="s">
        <v>38</v>
      </c>
      <c r="F3110" s="8" t="str">
        <f aca="false">TEXT(A3110,"MM-YYYY")</f>
        <v>08-2025</v>
      </c>
      <c r="G3110" s="8" t="s">
        <v>14</v>
      </c>
      <c r="H3110" s="8" t="s">
        <v>15</v>
      </c>
      <c r="I3110" s="7" t="n">
        <v>45872</v>
      </c>
      <c r="J3110" s="8" t="str">
        <f aca="false">VLOOKUP(B3110, Table3[#All], 2, FALSE())</f>
        <v>Grocery</v>
      </c>
      <c r="K3110" s="8" t="str">
        <f aca="false">TEXT(ROW(), "0000")</f>
        <v>3110</v>
      </c>
      <c r="L3110" s="8"/>
    </row>
    <row r="3111" customFormat="false" ht="15.75" hidden="false" customHeight="true" outlineLevel="0" collapsed="false">
      <c r="A3111" s="7" t="n">
        <v>45872</v>
      </c>
      <c r="B3111" s="8" t="s">
        <v>34</v>
      </c>
      <c r="C3111" s="9" t="n">
        <v>80</v>
      </c>
      <c r="D3111" s="8" t="s">
        <v>21</v>
      </c>
      <c r="E3111" s="10" t="s">
        <v>96</v>
      </c>
      <c r="F3111" s="8" t="str">
        <f aca="false">TEXT(A3111,"MM-YYYY")</f>
        <v>08-2025</v>
      </c>
      <c r="G3111" s="8" t="s">
        <v>14</v>
      </c>
      <c r="H3111" s="8" t="s">
        <v>15</v>
      </c>
      <c r="I3111" s="7" t="n">
        <v>45872</v>
      </c>
      <c r="J3111" s="8" t="str">
        <f aca="false">VLOOKUP(B3111, Table3[#All], 2, FALSE())</f>
        <v>Staff Expenses</v>
      </c>
      <c r="K3111" s="8" t="str">
        <f aca="false">TEXT(ROW(), "0000")</f>
        <v>3111</v>
      </c>
      <c r="L3111" s="8"/>
    </row>
    <row r="3112" customFormat="false" ht="15.75" hidden="false" customHeight="true" outlineLevel="0" collapsed="false">
      <c r="A3112" s="7" t="n">
        <v>45872</v>
      </c>
      <c r="B3112" s="8" t="s">
        <v>44</v>
      </c>
      <c r="C3112" s="9" t="n">
        <v>1000</v>
      </c>
      <c r="D3112" s="8" t="s">
        <v>21</v>
      </c>
      <c r="E3112" s="10" t="s">
        <v>377</v>
      </c>
      <c r="F3112" s="8" t="str">
        <f aca="false">TEXT(A3112,"MM-YYYY")</f>
        <v>08-2025</v>
      </c>
      <c r="G3112" s="8" t="s">
        <v>14</v>
      </c>
      <c r="H3112" s="8" t="s">
        <v>262</v>
      </c>
      <c r="I3112" s="7" t="n">
        <v>45872</v>
      </c>
      <c r="J3112" s="8" t="str">
        <f aca="false">VLOOKUP(B3112, Table3[#All], 2, FALSE())</f>
        <v>Salary</v>
      </c>
      <c r="K3112" s="8" t="str">
        <f aca="false">TEXT(ROW(), "0000")</f>
        <v>3112</v>
      </c>
      <c r="L3112" s="8"/>
    </row>
    <row r="3113" customFormat="false" ht="15.75" hidden="false" customHeight="true" outlineLevel="0" collapsed="false">
      <c r="A3113" s="7" t="n">
        <v>45872</v>
      </c>
      <c r="B3113" s="8" t="s">
        <v>69</v>
      </c>
      <c r="C3113" s="9" t="n">
        <v>1500</v>
      </c>
      <c r="D3113" s="8" t="s">
        <v>13</v>
      </c>
      <c r="E3113" s="10" t="s">
        <v>282</v>
      </c>
      <c r="F3113" s="8" t="str">
        <f aca="false">TEXT(A3113,"MM-YYYY")</f>
        <v>08-2025</v>
      </c>
      <c r="G3113" s="8" t="s">
        <v>14</v>
      </c>
      <c r="H3113" s="8" t="s">
        <v>262</v>
      </c>
      <c r="I3113" s="7" t="n">
        <v>45872</v>
      </c>
      <c r="J3113" s="8" t="str">
        <f aca="false">VLOOKUP(B3113, Table3[#All], 2, FALSE())</f>
        <v>Fixed Maintance</v>
      </c>
      <c r="K3113" s="8" t="str">
        <f aca="false">TEXT(ROW(), "0000")</f>
        <v>3113</v>
      </c>
      <c r="L3113" s="8"/>
    </row>
    <row r="3114" customFormat="false" ht="15.75" hidden="false" customHeight="true" outlineLevel="0" collapsed="false">
      <c r="A3114" s="7" t="n">
        <v>45872</v>
      </c>
      <c r="B3114" s="8" t="s">
        <v>227</v>
      </c>
      <c r="C3114" s="9" t="n">
        <v>2100</v>
      </c>
      <c r="D3114" s="8" t="s">
        <v>13</v>
      </c>
      <c r="E3114" s="10" t="s">
        <v>387</v>
      </c>
      <c r="F3114" s="8" t="str">
        <f aca="false">TEXT(A3114,"MM-YYYY")</f>
        <v>08-2025</v>
      </c>
      <c r="G3114" s="8" t="s">
        <v>14</v>
      </c>
      <c r="H3114" s="8" t="s">
        <v>262</v>
      </c>
      <c r="I3114" s="7"/>
      <c r="J3114" s="8" t="str">
        <f aca="false">VLOOKUP(B3114, Table3[#All], 2, FALSE())</f>
        <v>Maintance</v>
      </c>
      <c r="K3114" s="8" t="str">
        <f aca="false">TEXT(ROW(), "0000")</f>
        <v>3114</v>
      </c>
      <c r="L3114" s="8"/>
    </row>
    <row r="3115" customFormat="false" ht="15.75" hidden="false" customHeight="true" outlineLevel="0" collapsed="false">
      <c r="A3115" s="7" t="n">
        <v>45872</v>
      </c>
      <c r="B3115" s="8" t="s">
        <v>16</v>
      </c>
      <c r="C3115" s="9" t="n">
        <v>3559</v>
      </c>
      <c r="D3115" s="8" t="s">
        <v>21</v>
      </c>
      <c r="E3115" s="10" t="s">
        <v>88</v>
      </c>
      <c r="F3115" s="8" t="str">
        <f aca="false">TEXT(A3115,"MM-YYYY")</f>
        <v>08-2025</v>
      </c>
      <c r="G3115" s="8"/>
      <c r="H3115" s="8"/>
      <c r="I3115" s="7"/>
      <c r="J3115" s="8" t="str">
        <f aca="false">VLOOKUP(B3115, Table3[#All], 2, FALSE())</f>
        <v>Sales</v>
      </c>
      <c r="K3115" s="8" t="str">
        <f aca="false">TEXT(ROW(), "0000")</f>
        <v>3115</v>
      </c>
      <c r="L3115" s="8"/>
    </row>
    <row r="3116" customFormat="false" ht="15.75" hidden="false" customHeight="true" outlineLevel="0" collapsed="false">
      <c r="A3116" s="7" t="n">
        <v>45872</v>
      </c>
      <c r="B3116" s="8" t="s">
        <v>16</v>
      </c>
      <c r="C3116" s="9" t="n">
        <v>610</v>
      </c>
      <c r="D3116" s="8" t="s">
        <v>27</v>
      </c>
      <c r="E3116" s="10" t="s">
        <v>88</v>
      </c>
      <c r="F3116" s="8" t="str">
        <f aca="false">TEXT(A3116,"MM-YYYY")</f>
        <v>08-2025</v>
      </c>
      <c r="G3116" s="8"/>
      <c r="H3116" s="8"/>
      <c r="I3116" s="7"/>
      <c r="J3116" s="8" t="str">
        <f aca="false">VLOOKUP(B3116, Table3[#All], 2, FALSE())</f>
        <v>Sales</v>
      </c>
      <c r="K3116" s="8" t="str">
        <f aca="false">TEXT(ROW(), "0000")</f>
        <v>3116</v>
      </c>
      <c r="L3116" s="8"/>
    </row>
    <row r="3117" customFormat="false" ht="15.75" hidden="false" customHeight="true" outlineLevel="0" collapsed="false">
      <c r="A3117" s="7" t="n">
        <v>45872</v>
      </c>
      <c r="B3117" s="8" t="s">
        <v>16</v>
      </c>
      <c r="C3117" s="9" t="n">
        <v>350</v>
      </c>
      <c r="D3117" s="8" t="s">
        <v>33</v>
      </c>
      <c r="E3117" s="10" t="s">
        <v>88</v>
      </c>
      <c r="F3117" s="8" t="str">
        <f aca="false">TEXT(A3117,"MM-YYYY")</f>
        <v>08-2025</v>
      </c>
      <c r="G3117" s="8"/>
      <c r="H3117" s="8"/>
      <c r="I3117" s="7"/>
      <c r="J3117" s="8" t="str">
        <f aca="false">VLOOKUP(B3117, Table3[#All], 2, FALSE())</f>
        <v>Sales</v>
      </c>
      <c r="K3117" s="8" t="str">
        <f aca="false">TEXT(ROW(), "0000")</f>
        <v>3117</v>
      </c>
      <c r="L3117" s="8"/>
    </row>
    <row r="3118" customFormat="false" ht="15.75" hidden="false" customHeight="true" outlineLevel="0" collapsed="false">
      <c r="A3118" s="7" t="n">
        <v>45872</v>
      </c>
      <c r="B3118" s="8" t="s">
        <v>16</v>
      </c>
      <c r="C3118" s="9" t="n">
        <v>21006</v>
      </c>
      <c r="D3118" s="8" t="s">
        <v>17</v>
      </c>
      <c r="E3118" s="10" t="s">
        <v>88</v>
      </c>
      <c r="F3118" s="8" t="str">
        <f aca="false">TEXT(A3118,"MM-YYYY")</f>
        <v>08-2025</v>
      </c>
      <c r="G3118" s="8"/>
      <c r="H3118" s="8"/>
      <c r="I3118" s="7"/>
      <c r="J3118" s="8" t="str">
        <f aca="false">VLOOKUP(B3118, Table3[#All], 2, FALSE())</f>
        <v>Sales</v>
      </c>
      <c r="K3118" s="8" t="str">
        <f aca="false">TEXT(ROW(), "0000")</f>
        <v>3118</v>
      </c>
      <c r="L3118" s="8"/>
    </row>
    <row r="3119" customFormat="false" ht="15.75" hidden="false" customHeight="true" outlineLevel="0" collapsed="false">
      <c r="A3119" s="7" t="n">
        <v>45872</v>
      </c>
      <c r="B3119" s="8" t="s">
        <v>16</v>
      </c>
      <c r="C3119" s="9" t="n">
        <v>3897</v>
      </c>
      <c r="D3119" s="8" t="s">
        <v>24</v>
      </c>
      <c r="E3119" s="10" t="s">
        <v>88</v>
      </c>
      <c r="F3119" s="8" t="str">
        <f aca="false">TEXT(A3119,"MM-YYYY")</f>
        <v>08-2025</v>
      </c>
      <c r="G3119" s="8"/>
      <c r="H3119" s="8"/>
      <c r="I3119" s="7"/>
      <c r="J3119" s="8" t="str">
        <f aca="false">VLOOKUP(B3119, Table3[#All], 2, FALSE())</f>
        <v>Sales</v>
      </c>
      <c r="K3119" s="8" t="str">
        <f aca="false">TEXT(ROW(), "0000")</f>
        <v>3119</v>
      </c>
      <c r="L3119" s="8"/>
    </row>
    <row r="3120" customFormat="false" ht="15.75" hidden="false" customHeight="true" outlineLevel="0" collapsed="false">
      <c r="A3120" s="7" t="n">
        <v>45872</v>
      </c>
      <c r="B3120" s="8" t="s">
        <v>28</v>
      </c>
      <c r="C3120" s="9" t="n">
        <v>700</v>
      </c>
      <c r="D3120" s="8" t="s">
        <v>21</v>
      </c>
      <c r="E3120" s="10" t="s">
        <v>93</v>
      </c>
      <c r="F3120" s="8" t="str">
        <f aca="false">TEXT(A3120,"MM-YYYY")</f>
        <v>08-2025</v>
      </c>
      <c r="G3120" s="8" t="s">
        <v>14</v>
      </c>
      <c r="H3120" s="8" t="s">
        <v>15</v>
      </c>
      <c r="I3120" s="7" t="n">
        <v>45872</v>
      </c>
      <c r="J3120" s="8" t="str">
        <f aca="false">VLOOKUP(B3120, Table3[#All], 2, FALSE())</f>
        <v>Grocery</v>
      </c>
      <c r="K3120" s="8" t="str">
        <f aca="false">TEXT(ROW(), "0000")</f>
        <v>3120</v>
      </c>
      <c r="L3120" s="8"/>
    </row>
    <row r="3121" customFormat="false" ht="15.75" hidden="false" customHeight="true" outlineLevel="0" collapsed="false">
      <c r="A3121" s="7" t="n">
        <v>45873</v>
      </c>
      <c r="B3121" s="8" t="s">
        <v>19</v>
      </c>
      <c r="C3121" s="9" t="n">
        <v>4304</v>
      </c>
      <c r="D3121" s="8" t="s">
        <v>13</v>
      </c>
      <c r="E3121" s="10" t="s">
        <v>20</v>
      </c>
      <c r="F3121" s="8" t="str">
        <f aca="false">TEXT(A3121,"MM-YYYY")</f>
        <v>08-2025</v>
      </c>
      <c r="G3121" s="8" t="s">
        <v>14</v>
      </c>
      <c r="H3121" s="8" t="s">
        <v>13</v>
      </c>
      <c r="I3121" s="7"/>
      <c r="J3121" s="8" t="str">
        <f aca="false">VLOOKUP(B3121, Table3[#All], 2, FALSE())</f>
        <v>Inventory</v>
      </c>
      <c r="K3121" s="8" t="str">
        <f aca="false">TEXT(ROW(), "0000")</f>
        <v>3121</v>
      </c>
      <c r="L3121" s="8"/>
    </row>
    <row r="3122" customFormat="false" ht="15.75" hidden="false" customHeight="true" outlineLevel="0" collapsed="false">
      <c r="A3122" s="7" t="n">
        <v>45873</v>
      </c>
      <c r="B3122" s="8" t="s">
        <v>22</v>
      </c>
      <c r="C3122" s="9" t="n">
        <v>393</v>
      </c>
      <c r="D3122" s="8" t="s">
        <v>13</v>
      </c>
      <c r="E3122" s="10" t="s">
        <v>23</v>
      </c>
      <c r="F3122" s="8" t="str">
        <f aca="false">TEXT(A3122,"MM-YYYY")</f>
        <v>08-2025</v>
      </c>
      <c r="G3122" s="8" t="s">
        <v>14</v>
      </c>
      <c r="H3122" s="8" t="s">
        <v>262</v>
      </c>
      <c r="I3122" s="7" t="n">
        <v>45873</v>
      </c>
      <c r="J3122" s="8" t="str">
        <f aca="false">VLOOKUP(B3122, Table3[#All], 2, FALSE())</f>
        <v>Inventory</v>
      </c>
      <c r="K3122" s="8" t="str">
        <f aca="false">TEXT(ROW(), "0000")</f>
        <v>3122</v>
      </c>
      <c r="L3122" s="8"/>
    </row>
    <row r="3123" customFormat="false" ht="15.75" hidden="false" customHeight="true" outlineLevel="0" collapsed="false">
      <c r="A3123" s="7" t="n">
        <v>45873</v>
      </c>
      <c r="B3123" s="8" t="s">
        <v>34</v>
      </c>
      <c r="C3123" s="9" t="n">
        <v>20</v>
      </c>
      <c r="D3123" s="8" t="s">
        <v>21</v>
      </c>
      <c r="E3123" s="10" t="s">
        <v>96</v>
      </c>
      <c r="F3123" s="8" t="str">
        <f aca="false">TEXT(A3123,"MM-YYYY")</f>
        <v>08-2025</v>
      </c>
      <c r="G3123" s="8" t="s">
        <v>14</v>
      </c>
      <c r="H3123" s="8" t="s">
        <v>262</v>
      </c>
      <c r="I3123" s="7" t="n">
        <v>45873</v>
      </c>
      <c r="J3123" s="8" t="str">
        <f aca="false">VLOOKUP(B3123, Table3[#All], 2, FALSE())</f>
        <v>Staff Expenses</v>
      </c>
      <c r="K3123" s="8" t="str">
        <f aca="false">TEXT(ROW(), "0000")</f>
        <v>3123</v>
      </c>
      <c r="L3123" s="8"/>
    </row>
    <row r="3124" customFormat="false" ht="15.75" hidden="false" customHeight="true" outlineLevel="0" collapsed="false">
      <c r="A3124" s="7" t="n">
        <v>45873</v>
      </c>
      <c r="B3124" s="8" t="s">
        <v>43</v>
      </c>
      <c r="C3124" s="9" t="n">
        <v>1600</v>
      </c>
      <c r="D3124" s="8" t="s">
        <v>45</v>
      </c>
      <c r="E3124" s="10" t="s">
        <v>388</v>
      </c>
      <c r="F3124" s="8" t="str">
        <f aca="false">TEXT(A3124,"MM-YYYY")</f>
        <v>08-2025</v>
      </c>
      <c r="G3124" s="8" t="s">
        <v>14</v>
      </c>
      <c r="H3124" s="8" t="s">
        <v>262</v>
      </c>
      <c r="I3124" s="7" t="n">
        <v>45873</v>
      </c>
      <c r="J3124" s="8" t="str">
        <f aca="false">VLOOKUP(B3124, Table3[#All], 2, FALSE())</f>
        <v>Maintance</v>
      </c>
      <c r="K3124" s="8" t="str">
        <f aca="false">TEXT(ROW(), "0000")</f>
        <v>3124</v>
      </c>
      <c r="L3124" s="8"/>
    </row>
    <row r="3125" customFormat="false" ht="15.75" hidden="false" customHeight="true" outlineLevel="0" collapsed="false">
      <c r="A3125" s="7" t="n">
        <v>45873</v>
      </c>
      <c r="B3125" s="8" t="s">
        <v>32</v>
      </c>
      <c r="C3125" s="9" t="n">
        <v>175</v>
      </c>
      <c r="D3125" s="8" t="s">
        <v>21</v>
      </c>
      <c r="E3125" s="10" t="s">
        <v>38</v>
      </c>
      <c r="F3125" s="8" t="str">
        <f aca="false">TEXT(A3125,"MM-YYYY")</f>
        <v>08-2025</v>
      </c>
      <c r="G3125" s="8" t="s">
        <v>14</v>
      </c>
      <c r="H3125" s="8" t="s">
        <v>262</v>
      </c>
      <c r="I3125" s="7" t="n">
        <v>45873</v>
      </c>
      <c r="J3125" s="8" t="str">
        <f aca="false">VLOOKUP(B3125, Table3[#All], 2, FALSE())</f>
        <v>Grocery</v>
      </c>
      <c r="K3125" s="8" t="str">
        <f aca="false">TEXT(ROW(), "0000")</f>
        <v>3125</v>
      </c>
      <c r="L3125" s="8"/>
    </row>
    <row r="3126" customFormat="false" ht="15.75" hidden="false" customHeight="true" outlineLevel="0" collapsed="false">
      <c r="A3126" s="7" t="n">
        <v>45873</v>
      </c>
      <c r="B3126" s="8" t="s">
        <v>53</v>
      </c>
      <c r="C3126" s="9" t="n">
        <v>1000</v>
      </c>
      <c r="D3126" s="8" t="s">
        <v>21</v>
      </c>
      <c r="E3126" s="10" t="s">
        <v>389</v>
      </c>
      <c r="F3126" s="8" t="str">
        <f aca="false">TEXT(A3126,"MM-YYYY")</f>
        <v>08-2025</v>
      </c>
      <c r="G3126" s="8" t="s">
        <v>14</v>
      </c>
      <c r="H3126" s="8" t="s">
        <v>262</v>
      </c>
      <c r="I3126" s="7" t="n">
        <v>45873</v>
      </c>
      <c r="J3126" s="8" t="str">
        <f aca="false">VLOOKUP(B3126, Table3[#All], 2, FALSE())</f>
        <v>Grocery</v>
      </c>
      <c r="K3126" s="8" t="str">
        <f aca="false">TEXT(ROW(), "0000")</f>
        <v>3126</v>
      </c>
      <c r="L3126" s="8"/>
    </row>
    <row r="3127" customFormat="false" ht="15.75" hidden="false" customHeight="true" outlineLevel="0" collapsed="false">
      <c r="A3127" s="7" t="n">
        <v>45873</v>
      </c>
      <c r="B3127" s="8" t="s">
        <v>22</v>
      </c>
      <c r="C3127" s="9" t="n">
        <v>170</v>
      </c>
      <c r="D3127" s="8" t="s">
        <v>21</v>
      </c>
      <c r="E3127" s="10" t="s">
        <v>385</v>
      </c>
      <c r="F3127" s="8" t="str">
        <f aca="false">TEXT(A3127,"MM-YYYY")</f>
        <v>08-2025</v>
      </c>
      <c r="G3127" s="8" t="s">
        <v>14</v>
      </c>
      <c r="H3127" s="8" t="s">
        <v>262</v>
      </c>
      <c r="I3127" s="7" t="n">
        <v>45873</v>
      </c>
      <c r="J3127" s="8" t="str">
        <f aca="false">VLOOKUP(B3127, Table3[#All], 2, FALSE())</f>
        <v>Inventory</v>
      </c>
      <c r="K3127" s="8" t="str">
        <f aca="false">TEXT(ROW(), "0000")</f>
        <v>3127</v>
      </c>
      <c r="L3127" s="8"/>
    </row>
    <row r="3128" customFormat="false" ht="15.75" hidden="false" customHeight="true" outlineLevel="0" collapsed="false">
      <c r="A3128" s="7" t="n">
        <v>45873</v>
      </c>
      <c r="B3128" s="8" t="s">
        <v>29</v>
      </c>
      <c r="C3128" s="9" t="n">
        <v>20</v>
      </c>
      <c r="D3128" s="8" t="s">
        <v>21</v>
      </c>
      <c r="E3128" s="10" t="s">
        <v>65</v>
      </c>
      <c r="F3128" s="8" t="str">
        <f aca="false">TEXT(A3128,"MM-YYYY")</f>
        <v>08-2025</v>
      </c>
      <c r="G3128" s="8" t="s">
        <v>14</v>
      </c>
      <c r="H3128" s="8" t="s">
        <v>262</v>
      </c>
      <c r="I3128" s="7" t="n">
        <v>45873</v>
      </c>
      <c r="J3128" s="8" t="str">
        <f aca="false">VLOOKUP(B3128, Table3[#All], 2, FALSE())</f>
        <v>Inventory</v>
      </c>
      <c r="K3128" s="8" t="str">
        <f aca="false">TEXT(ROW(), "0000")</f>
        <v>3128</v>
      </c>
      <c r="L3128" s="8"/>
    </row>
    <row r="3129" customFormat="false" ht="15.75" hidden="false" customHeight="true" outlineLevel="0" collapsed="false">
      <c r="A3129" s="7" t="n">
        <v>45873</v>
      </c>
      <c r="B3129" s="8" t="s">
        <v>37</v>
      </c>
      <c r="C3129" s="9" t="n">
        <v>20</v>
      </c>
      <c r="D3129" s="8" t="s">
        <v>21</v>
      </c>
      <c r="E3129" s="10" t="s">
        <v>100</v>
      </c>
      <c r="F3129" s="8" t="str">
        <f aca="false">TEXT(A3129,"MM-YYYY")</f>
        <v>08-2025</v>
      </c>
      <c r="G3129" s="8" t="s">
        <v>14</v>
      </c>
      <c r="H3129" s="8" t="s">
        <v>262</v>
      </c>
      <c r="I3129" s="7" t="n">
        <v>45873</v>
      </c>
      <c r="J3129" s="8" t="str">
        <f aca="false">VLOOKUP(B3129, Table3[#All], 2, FALSE())</f>
        <v>Maintance</v>
      </c>
      <c r="K3129" s="8" t="str">
        <f aca="false">TEXT(ROW(), "0000")</f>
        <v>3129</v>
      </c>
      <c r="L3129" s="8"/>
    </row>
    <row r="3130" customFormat="false" ht="15.75" hidden="false" customHeight="true" outlineLevel="0" collapsed="false">
      <c r="A3130" s="7" t="n">
        <v>45873</v>
      </c>
      <c r="B3130" s="8" t="s">
        <v>25</v>
      </c>
      <c r="C3130" s="9" t="n">
        <v>50</v>
      </c>
      <c r="D3130" s="8" t="s">
        <v>21</v>
      </c>
      <c r="E3130" s="10" t="s">
        <v>42</v>
      </c>
      <c r="F3130" s="8" t="str">
        <f aca="false">TEXT(A3130,"MM-YYYY")</f>
        <v>08-2025</v>
      </c>
      <c r="G3130" s="8" t="s">
        <v>14</v>
      </c>
      <c r="H3130" s="8" t="s">
        <v>262</v>
      </c>
      <c r="I3130" s="7" t="n">
        <v>45873</v>
      </c>
      <c r="J3130" s="8" t="str">
        <f aca="false">VLOOKUP(B3130, Table3[#All], 2, FALSE())</f>
        <v>Inventory</v>
      </c>
      <c r="K3130" s="8" t="str">
        <f aca="false">TEXT(ROW(), "0000")</f>
        <v>3130</v>
      </c>
      <c r="L3130" s="8"/>
    </row>
    <row r="3131" customFormat="false" ht="15.75" hidden="false" customHeight="true" outlineLevel="0" collapsed="false">
      <c r="A3131" s="7" t="n">
        <v>45873</v>
      </c>
      <c r="B3131" s="8" t="s">
        <v>31</v>
      </c>
      <c r="C3131" s="9" t="n">
        <v>100</v>
      </c>
      <c r="D3131" s="8" t="s">
        <v>21</v>
      </c>
      <c r="E3131" s="10" t="s">
        <v>390</v>
      </c>
      <c r="F3131" s="8" t="str">
        <f aca="false">TEXT(A3131,"MM-YYYY")</f>
        <v>08-2025</v>
      </c>
      <c r="G3131" s="8" t="s">
        <v>14</v>
      </c>
      <c r="H3131" s="8" t="s">
        <v>262</v>
      </c>
      <c r="I3131" s="7" t="n">
        <v>45873</v>
      </c>
      <c r="J3131" s="8" t="str">
        <f aca="false">VLOOKUP(B3131, Table3[#All], 2, FALSE())</f>
        <v>Bike Maintance</v>
      </c>
      <c r="K3131" s="8" t="str">
        <f aca="false">TEXT(ROW(), "0000")</f>
        <v>3131</v>
      </c>
      <c r="L3131" s="8"/>
    </row>
    <row r="3132" customFormat="false" ht="15.75" hidden="false" customHeight="true" outlineLevel="0" collapsed="false">
      <c r="A3132" s="7" t="n">
        <v>45873</v>
      </c>
      <c r="B3132" s="8" t="s">
        <v>44</v>
      </c>
      <c r="C3132" s="9" t="n">
        <v>1000</v>
      </c>
      <c r="D3132" s="8" t="s">
        <v>45</v>
      </c>
      <c r="E3132" s="10" t="s">
        <v>390</v>
      </c>
      <c r="F3132" s="8" t="str">
        <f aca="false">TEXT(A3132,"MM-YYYY")</f>
        <v>08-2025</v>
      </c>
      <c r="G3132" s="8" t="s">
        <v>14</v>
      </c>
      <c r="H3132" s="8" t="s">
        <v>262</v>
      </c>
      <c r="I3132" s="7" t="n">
        <v>45873</v>
      </c>
      <c r="J3132" s="8" t="str">
        <f aca="false">VLOOKUP(B3132, Table3[#All], 2, FALSE())</f>
        <v>Salary</v>
      </c>
      <c r="K3132" s="8" t="str">
        <f aca="false">TEXT(ROW(), "0000")</f>
        <v>3132</v>
      </c>
      <c r="L3132" s="8"/>
    </row>
    <row r="3133" customFormat="false" ht="15.75" hidden="false" customHeight="true" outlineLevel="0" collapsed="false">
      <c r="A3133" s="7" t="n">
        <v>45873</v>
      </c>
      <c r="B3133" s="8" t="s">
        <v>43</v>
      </c>
      <c r="C3133" s="9" t="n">
        <v>170</v>
      </c>
      <c r="D3133" s="8" t="s">
        <v>21</v>
      </c>
      <c r="E3133" s="10" t="s">
        <v>391</v>
      </c>
      <c r="F3133" s="8" t="str">
        <f aca="false">TEXT(A3133,"MM-YYYY")</f>
        <v>08-2025</v>
      </c>
      <c r="G3133" s="8" t="s">
        <v>14</v>
      </c>
      <c r="H3133" s="8" t="s">
        <v>262</v>
      </c>
      <c r="I3133" s="7" t="n">
        <v>45873</v>
      </c>
      <c r="J3133" s="8" t="str">
        <f aca="false">VLOOKUP(B3133, Table3[#All], 2, FALSE())</f>
        <v>Maintance</v>
      </c>
      <c r="K3133" s="8" t="str">
        <f aca="false">TEXT(ROW(), "0000")</f>
        <v>3133</v>
      </c>
      <c r="L3133" s="8"/>
    </row>
    <row r="3134" customFormat="false" ht="15.75" hidden="false" customHeight="true" outlineLevel="0" collapsed="false">
      <c r="A3134" s="7" t="n">
        <v>45873</v>
      </c>
      <c r="B3134" s="8" t="s">
        <v>25</v>
      </c>
      <c r="C3134" s="9" t="n">
        <v>2085</v>
      </c>
      <c r="D3134" s="8" t="s">
        <v>13</v>
      </c>
      <c r="E3134" s="10" t="s">
        <v>92</v>
      </c>
      <c r="F3134" s="8" t="str">
        <f aca="false">TEXT(A3134,"MM-YYYY")</f>
        <v>08-2025</v>
      </c>
      <c r="G3134" s="8"/>
      <c r="H3134" s="8"/>
      <c r="I3134" s="7"/>
      <c r="J3134" s="8" t="str">
        <f aca="false">VLOOKUP(B3134, Table3[#All], 2, FALSE())</f>
        <v>Inventory</v>
      </c>
      <c r="K3134" s="8" t="str">
        <f aca="false">TEXT(ROW(), "0000")</f>
        <v>3134</v>
      </c>
      <c r="L3134" s="8"/>
    </row>
    <row r="3135" customFormat="false" ht="15.75" hidden="false" customHeight="true" outlineLevel="0" collapsed="false">
      <c r="A3135" s="7" t="n">
        <v>45873</v>
      </c>
      <c r="B3135" s="8" t="s">
        <v>47</v>
      </c>
      <c r="C3135" s="9" t="n">
        <v>2250</v>
      </c>
      <c r="D3135" s="8" t="s">
        <v>13</v>
      </c>
      <c r="E3135" s="10" t="s">
        <v>339</v>
      </c>
      <c r="F3135" s="8" t="str">
        <f aca="false">TEXT(A3135,"MM-YYYY")</f>
        <v>08-2025</v>
      </c>
      <c r="G3135" s="8"/>
      <c r="H3135" s="8"/>
      <c r="I3135" s="7"/>
      <c r="J3135" s="8" t="str">
        <f aca="false">VLOOKUP(B3135, Table3[#All], 2, FALSE())</f>
        <v>Inventory</v>
      </c>
      <c r="K3135" s="8" t="str">
        <f aca="false">TEXT(ROW(), "0000")</f>
        <v>3135</v>
      </c>
      <c r="L3135" s="8"/>
    </row>
    <row r="3136" customFormat="false" ht="15.75" hidden="false" customHeight="true" outlineLevel="0" collapsed="false">
      <c r="A3136" s="7" t="n">
        <v>45873</v>
      </c>
      <c r="B3136" s="8" t="s">
        <v>16</v>
      </c>
      <c r="C3136" s="9" t="n">
        <v>4025</v>
      </c>
      <c r="D3136" s="8" t="s">
        <v>21</v>
      </c>
      <c r="E3136" s="10" t="s">
        <v>88</v>
      </c>
      <c r="F3136" s="8" t="str">
        <f aca="false">TEXT(A3136,"MM-YYYY")</f>
        <v>08-2025</v>
      </c>
      <c r="G3136" s="8"/>
      <c r="H3136" s="8"/>
      <c r="I3136" s="7"/>
      <c r="J3136" s="8" t="str">
        <f aca="false">VLOOKUP(B3136, Table3[#All], 2, FALSE())</f>
        <v>Sales</v>
      </c>
      <c r="K3136" s="8" t="str">
        <f aca="false">TEXT(ROW(), "0000")</f>
        <v>3136</v>
      </c>
      <c r="L3136" s="8"/>
    </row>
    <row r="3137" customFormat="false" ht="15.75" hidden="false" customHeight="true" outlineLevel="0" collapsed="false">
      <c r="A3137" s="7" t="n">
        <v>45873</v>
      </c>
      <c r="B3137" s="8" t="s">
        <v>16</v>
      </c>
      <c r="C3137" s="9" t="n">
        <v>310</v>
      </c>
      <c r="D3137" s="8" t="s">
        <v>33</v>
      </c>
      <c r="E3137" s="10" t="s">
        <v>88</v>
      </c>
      <c r="F3137" s="8" t="str">
        <f aca="false">TEXT(A3137,"MM-YYYY")</f>
        <v>08-2025</v>
      </c>
      <c r="G3137" s="8"/>
      <c r="H3137" s="8"/>
      <c r="I3137" s="7"/>
      <c r="J3137" s="8" t="str">
        <f aca="false">VLOOKUP(B3137, Table3[#All], 2, FALSE())</f>
        <v>Sales</v>
      </c>
      <c r="K3137" s="8" t="str">
        <f aca="false">TEXT(ROW(), "0000")</f>
        <v>3137</v>
      </c>
      <c r="L3137" s="8"/>
    </row>
    <row r="3138" customFormat="false" ht="15.75" hidden="false" customHeight="true" outlineLevel="0" collapsed="false">
      <c r="A3138" s="7" t="n">
        <v>45873</v>
      </c>
      <c r="B3138" s="8" t="s">
        <v>16</v>
      </c>
      <c r="C3138" s="9" t="n">
        <v>5840</v>
      </c>
      <c r="D3138" s="8" t="s">
        <v>17</v>
      </c>
      <c r="E3138" s="10" t="s">
        <v>88</v>
      </c>
      <c r="F3138" s="8" t="str">
        <f aca="false">TEXT(A3138,"MM-YYYY")</f>
        <v>08-2025</v>
      </c>
      <c r="G3138" s="8"/>
      <c r="H3138" s="8"/>
      <c r="I3138" s="7"/>
      <c r="J3138" s="8" t="str">
        <f aca="false">VLOOKUP(B3138, Table3[#All], 2, FALSE())</f>
        <v>Sales</v>
      </c>
      <c r="K3138" s="8" t="str">
        <f aca="false">TEXT(ROW(), "0000")</f>
        <v>3138</v>
      </c>
      <c r="L3138" s="8"/>
    </row>
    <row r="3139" customFormat="false" ht="15.75" hidden="false" customHeight="true" outlineLevel="0" collapsed="false">
      <c r="A3139" s="7" t="n">
        <v>45873</v>
      </c>
      <c r="B3139" s="8" t="s">
        <v>16</v>
      </c>
      <c r="C3139" s="9" t="n">
        <v>616</v>
      </c>
      <c r="D3139" s="8" t="s">
        <v>24</v>
      </c>
      <c r="E3139" s="10" t="s">
        <v>88</v>
      </c>
      <c r="F3139" s="8" t="str">
        <f aca="false">TEXT(A3139,"MM-YYYY")</f>
        <v>08-2025</v>
      </c>
      <c r="G3139" s="8"/>
      <c r="H3139" s="8"/>
      <c r="I3139" s="7"/>
      <c r="J3139" s="8" t="str">
        <f aca="false">VLOOKUP(B3139, Table3[#All], 2, FALSE())</f>
        <v>Sales</v>
      </c>
      <c r="K3139" s="8" t="str">
        <f aca="false">TEXT(ROW(), "0000")</f>
        <v>3139</v>
      </c>
      <c r="L3139" s="8"/>
    </row>
    <row r="3140" customFormat="false" ht="15.75" hidden="false" customHeight="true" outlineLevel="0" collapsed="false">
      <c r="A3140" s="7" t="n">
        <v>45875</v>
      </c>
      <c r="B3140" s="8" t="s">
        <v>44</v>
      </c>
      <c r="C3140" s="9" t="n">
        <v>1200</v>
      </c>
      <c r="D3140" s="8" t="s">
        <v>45</v>
      </c>
      <c r="E3140" s="10" t="s">
        <v>392</v>
      </c>
      <c r="F3140" s="8" t="str">
        <f aca="false">TEXT(A3140,"MM-YYYY")</f>
        <v>08-2025</v>
      </c>
      <c r="G3140" s="8" t="s">
        <v>14</v>
      </c>
      <c r="H3140" s="8" t="s">
        <v>262</v>
      </c>
      <c r="I3140" s="7" t="n">
        <v>45875</v>
      </c>
      <c r="J3140" s="8" t="str">
        <f aca="false">VLOOKUP(B3140, Table3[#All], 2, FALSE())</f>
        <v>Salary</v>
      </c>
      <c r="K3140" s="8" t="str">
        <f aca="false">TEXT(ROW(), "0000")</f>
        <v>3140</v>
      </c>
      <c r="L3140" s="8"/>
    </row>
    <row r="3141" customFormat="false" ht="15.75" hidden="false" customHeight="true" outlineLevel="0" collapsed="false">
      <c r="A3141" s="7" t="n">
        <v>45875</v>
      </c>
      <c r="B3141" s="8" t="s">
        <v>44</v>
      </c>
      <c r="C3141" s="9" t="n">
        <v>1000</v>
      </c>
      <c r="D3141" s="8" t="s">
        <v>45</v>
      </c>
      <c r="E3141" s="10" t="s">
        <v>393</v>
      </c>
      <c r="F3141" s="8" t="str">
        <f aca="false">TEXT(A3141,"MM-YYYY")</f>
        <v>08-2025</v>
      </c>
      <c r="G3141" s="8" t="s">
        <v>14</v>
      </c>
      <c r="H3141" s="8" t="s">
        <v>262</v>
      </c>
      <c r="I3141" s="7" t="n">
        <v>45875</v>
      </c>
      <c r="J3141" s="8" t="str">
        <f aca="false">VLOOKUP(B3141, Table3[#All], 2, FALSE())</f>
        <v>Salary</v>
      </c>
      <c r="K3141" s="8" t="str">
        <f aca="false">TEXT(ROW(), "0000")</f>
        <v>3141</v>
      </c>
      <c r="L3141" s="8"/>
    </row>
    <row r="3142" customFormat="false" ht="15.75" hidden="false" customHeight="true" outlineLevel="0" collapsed="false">
      <c r="A3142" s="7" t="n">
        <v>45875</v>
      </c>
      <c r="B3142" s="8" t="s">
        <v>31</v>
      </c>
      <c r="C3142" s="9" t="n">
        <v>310</v>
      </c>
      <c r="D3142" s="8" t="s">
        <v>21</v>
      </c>
      <c r="E3142" s="10" t="s">
        <v>394</v>
      </c>
      <c r="F3142" s="8" t="str">
        <f aca="false">TEXT(A3142,"MM-YYYY")</f>
        <v>08-2025</v>
      </c>
      <c r="G3142" s="8" t="s">
        <v>14</v>
      </c>
      <c r="H3142" s="8" t="s">
        <v>262</v>
      </c>
      <c r="I3142" s="7" t="n">
        <v>45875</v>
      </c>
      <c r="J3142" s="8" t="str">
        <f aca="false">VLOOKUP(B3142, Table3[#All], 2, FALSE())</f>
        <v>Bike Maintance</v>
      </c>
      <c r="K3142" s="8" t="str">
        <f aca="false">TEXT(ROW(), "0000")</f>
        <v>3142</v>
      </c>
      <c r="L3142" s="8"/>
    </row>
    <row r="3143" customFormat="false" ht="15.75" hidden="false" customHeight="true" outlineLevel="0" collapsed="false">
      <c r="A3143" s="7" t="n">
        <v>45875</v>
      </c>
      <c r="B3143" s="8" t="s">
        <v>22</v>
      </c>
      <c r="C3143" s="9" t="n">
        <v>312</v>
      </c>
      <c r="D3143" s="8" t="s">
        <v>21</v>
      </c>
      <c r="E3143" s="10" t="s">
        <v>395</v>
      </c>
      <c r="F3143" s="8" t="str">
        <f aca="false">TEXT(A3143,"MM-YYYY")</f>
        <v>08-2025</v>
      </c>
      <c r="G3143" s="8" t="s">
        <v>14</v>
      </c>
      <c r="H3143" s="8" t="s">
        <v>262</v>
      </c>
      <c r="I3143" s="7" t="n">
        <v>45875</v>
      </c>
      <c r="J3143" s="8" t="str">
        <f aca="false">VLOOKUP(B3143, Table3[#All], 2, FALSE())</f>
        <v>Inventory</v>
      </c>
      <c r="K3143" s="8" t="str">
        <f aca="false">TEXT(ROW(), "0000")</f>
        <v>3143</v>
      </c>
      <c r="L3143" s="8"/>
    </row>
    <row r="3144" customFormat="false" ht="15.75" hidden="false" customHeight="true" outlineLevel="0" collapsed="false">
      <c r="A3144" s="7" t="n">
        <v>45875</v>
      </c>
      <c r="B3144" s="8" t="s">
        <v>44</v>
      </c>
      <c r="C3144" s="9" t="n">
        <v>220</v>
      </c>
      <c r="D3144" s="8" t="s">
        <v>13</v>
      </c>
      <c r="E3144" s="10" t="s">
        <v>396</v>
      </c>
      <c r="F3144" s="8" t="str">
        <f aca="false">TEXT(A3144,"MM-YYYY")</f>
        <v>08-2025</v>
      </c>
      <c r="G3144" s="8" t="s">
        <v>14</v>
      </c>
      <c r="H3144" s="8" t="s">
        <v>262</v>
      </c>
      <c r="I3144" s="7" t="n">
        <v>45875</v>
      </c>
      <c r="J3144" s="8" t="str">
        <f aca="false">VLOOKUP(B3144, Table3[#All], 2, FALSE())</f>
        <v>Salary</v>
      </c>
      <c r="K3144" s="8" t="str">
        <f aca="false">TEXT(ROW(), "0000")</f>
        <v>3144</v>
      </c>
      <c r="L3144" s="8"/>
    </row>
    <row r="3145" customFormat="false" ht="15.75" hidden="false" customHeight="true" outlineLevel="0" collapsed="false">
      <c r="A3145" s="7" t="n">
        <v>45877</v>
      </c>
      <c r="B3145" s="8" t="s">
        <v>19</v>
      </c>
      <c r="C3145" s="9" t="n">
        <v>3990</v>
      </c>
      <c r="D3145" s="8" t="s">
        <v>13</v>
      </c>
      <c r="E3145" s="10" t="s">
        <v>397</v>
      </c>
      <c r="F3145" s="8" t="str">
        <f aca="false">TEXT(A3145,"MM-YYYY")</f>
        <v>08-2025</v>
      </c>
      <c r="G3145" s="8" t="s">
        <v>14</v>
      </c>
      <c r="H3145" s="8" t="s">
        <v>13</v>
      </c>
      <c r="I3145" s="7"/>
      <c r="J3145" s="8" t="str">
        <f aca="false">VLOOKUP(B3145, Table3[#All], 2, FALSE())</f>
        <v>Inventory</v>
      </c>
      <c r="K3145" s="8" t="str">
        <f aca="false">TEXT(ROW(), "0000")</f>
        <v>3145</v>
      </c>
      <c r="L3145" s="8"/>
    </row>
    <row r="3146" customFormat="false" ht="15.75" hidden="false" customHeight="true" outlineLevel="0" collapsed="false">
      <c r="A3146" s="7" t="n">
        <v>45877</v>
      </c>
      <c r="B3146" s="8" t="s">
        <v>40</v>
      </c>
      <c r="C3146" s="9" t="n">
        <v>1480</v>
      </c>
      <c r="D3146" s="8" t="s">
        <v>45</v>
      </c>
      <c r="E3146" s="10" t="s">
        <v>97</v>
      </c>
      <c r="F3146" s="8" t="str">
        <f aca="false">TEXT(A3146,"MM-YYYY")</f>
        <v>08-2025</v>
      </c>
      <c r="G3146" s="8" t="s">
        <v>14</v>
      </c>
      <c r="H3146" s="8" t="s">
        <v>15</v>
      </c>
      <c r="I3146" s="7"/>
      <c r="J3146" s="8" t="str">
        <f aca="false">VLOOKUP(B3146, Table3[#All], 2, FALSE())</f>
        <v>Inventory</v>
      </c>
      <c r="K3146" s="8" t="str">
        <f aca="false">TEXT(ROW(), "0000")</f>
        <v>3146</v>
      </c>
      <c r="L3146" s="8"/>
    </row>
    <row r="3147" customFormat="false" ht="15.75" hidden="false" customHeight="true" outlineLevel="0" collapsed="false">
      <c r="A3147" s="7" t="n">
        <v>45877</v>
      </c>
      <c r="B3147" s="8" t="s">
        <v>40</v>
      </c>
      <c r="C3147" s="9" t="n">
        <v>400</v>
      </c>
      <c r="D3147" s="8" t="s">
        <v>45</v>
      </c>
      <c r="E3147" s="10" t="s">
        <v>97</v>
      </c>
      <c r="F3147" s="8" t="str">
        <f aca="false">TEXT(A3147,"MM-YYYY")</f>
        <v>08-2025</v>
      </c>
      <c r="G3147" s="8" t="s">
        <v>14</v>
      </c>
      <c r="H3147" s="8" t="s">
        <v>15</v>
      </c>
      <c r="I3147" s="7"/>
      <c r="J3147" s="8" t="str">
        <f aca="false">VLOOKUP(B3147, Table3[#All], 2, FALSE())</f>
        <v>Inventory</v>
      </c>
      <c r="K3147" s="8" t="str">
        <f aca="false">TEXT(ROW(), "0000")</f>
        <v>3147</v>
      </c>
      <c r="L3147" s="8"/>
    </row>
    <row r="3148" customFormat="false" ht="15.75" hidden="false" customHeight="true" outlineLevel="0" collapsed="false">
      <c r="A3148" s="7" t="n">
        <v>45877</v>
      </c>
      <c r="B3148" s="8" t="s">
        <v>47</v>
      </c>
      <c r="C3148" s="9" t="n">
        <v>900</v>
      </c>
      <c r="D3148" s="8" t="s">
        <v>13</v>
      </c>
      <c r="E3148" s="10" t="s">
        <v>339</v>
      </c>
      <c r="F3148" s="8" t="str">
        <f aca="false">TEXT(A3148,"MM-YYYY")</f>
        <v>08-2025</v>
      </c>
      <c r="G3148" s="8" t="s">
        <v>18</v>
      </c>
      <c r="H3148" s="8"/>
      <c r="I3148" s="7"/>
      <c r="J3148" s="8" t="str">
        <f aca="false">VLOOKUP(B3148, Table3[#All], 2, FALSE())</f>
        <v>Inventory</v>
      </c>
      <c r="K3148" s="8" t="str">
        <f aca="false">TEXT(ROW(), "0000")</f>
        <v>3148</v>
      </c>
      <c r="L3148" s="8"/>
    </row>
    <row r="3149" customFormat="false" ht="15.75" hidden="false" customHeight="true" outlineLevel="0" collapsed="false">
      <c r="A3149" s="7" t="n">
        <v>45877</v>
      </c>
      <c r="B3149" s="8" t="s">
        <v>29</v>
      </c>
      <c r="C3149" s="9" t="n">
        <v>1100</v>
      </c>
      <c r="D3149" s="8" t="s">
        <v>13</v>
      </c>
      <c r="E3149" s="10" t="s">
        <v>398</v>
      </c>
      <c r="F3149" s="8" t="str">
        <f aca="false">TEXT(A3149,"MM-YYYY")</f>
        <v>08-2025</v>
      </c>
      <c r="G3149" s="8" t="s">
        <v>14</v>
      </c>
      <c r="H3149" s="8" t="s">
        <v>262</v>
      </c>
      <c r="I3149" s="7" t="n">
        <v>45902</v>
      </c>
      <c r="J3149" s="8" t="str">
        <f aca="false">VLOOKUP(B3149, Table3[#All], 2, FALSE())</f>
        <v>Inventory</v>
      </c>
      <c r="K3149" s="8" t="str">
        <f aca="false">TEXT(ROW(), "0000")</f>
        <v>3149</v>
      </c>
      <c r="L3149" s="8"/>
    </row>
    <row r="3150" customFormat="false" ht="15.75" hidden="false" customHeight="true" outlineLevel="0" collapsed="false">
      <c r="A3150" s="7" t="n">
        <v>45877</v>
      </c>
      <c r="B3150" s="8" t="s">
        <v>25</v>
      </c>
      <c r="C3150" s="9" t="n">
        <v>870</v>
      </c>
      <c r="D3150" s="8" t="s">
        <v>13</v>
      </c>
      <c r="E3150" s="10" t="s">
        <v>92</v>
      </c>
      <c r="F3150" s="8" t="str">
        <f aca="false">TEXT(A3150,"MM-YYYY")</f>
        <v>08-2025</v>
      </c>
      <c r="G3150" s="8" t="s">
        <v>18</v>
      </c>
      <c r="H3150" s="8"/>
      <c r="I3150" s="7"/>
      <c r="J3150" s="8" t="str">
        <f aca="false">VLOOKUP(B3150, Table3[#All], 2, FALSE())</f>
        <v>Inventory</v>
      </c>
      <c r="K3150" s="8" t="str">
        <f aca="false">TEXT(ROW(), "0000")</f>
        <v>3150</v>
      </c>
      <c r="L3150" s="8"/>
    </row>
    <row r="3151" customFormat="false" ht="15.75" hidden="false" customHeight="true" outlineLevel="0" collapsed="false">
      <c r="A3151" s="7" t="n">
        <v>45877</v>
      </c>
      <c r="B3151" s="8" t="s">
        <v>22</v>
      </c>
      <c r="C3151" s="9" t="n">
        <v>2910</v>
      </c>
      <c r="D3151" s="8" t="s">
        <v>13</v>
      </c>
      <c r="E3151" s="10" t="s">
        <v>23</v>
      </c>
      <c r="F3151" s="8" t="str">
        <f aca="false">TEXT(A3151,"MM-YYYY")</f>
        <v>08-2025</v>
      </c>
      <c r="G3151" s="8" t="s">
        <v>18</v>
      </c>
      <c r="H3151" s="8"/>
      <c r="I3151" s="7"/>
      <c r="J3151" s="8" t="str">
        <f aca="false">VLOOKUP(B3151, Table3[#All], 2, FALSE())</f>
        <v>Inventory</v>
      </c>
      <c r="K3151" s="8" t="str">
        <f aca="false">TEXT(ROW(), "0000")</f>
        <v>3151</v>
      </c>
      <c r="L3151" s="8"/>
    </row>
    <row r="3152" customFormat="false" ht="15.75" hidden="false" customHeight="true" outlineLevel="0" collapsed="false">
      <c r="A3152" s="7" t="n">
        <v>45877</v>
      </c>
      <c r="B3152" s="8" t="s">
        <v>22</v>
      </c>
      <c r="C3152" s="9" t="n">
        <v>155</v>
      </c>
      <c r="D3152" s="8" t="s">
        <v>45</v>
      </c>
      <c r="E3152" s="10" t="s">
        <v>385</v>
      </c>
      <c r="F3152" s="8" t="str">
        <f aca="false">TEXT(A3152,"MM-YYYY")</f>
        <v>08-2025</v>
      </c>
      <c r="G3152" s="8" t="s">
        <v>14</v>
      </c>
      <c r="H3152" s="8" t="s">
        <v>262</v>
      </c>
      <c r="I3152" s="7" t="n">
        <v>45877</v>
      </c>
      <c r="J3152" s="8" t="str">
        <f aca="false">VLOOKUP(B3152, Table3[#All], 2, FALSE())</f>
        <v>Inventory</v>
      </c>
      <c r="K3152" s="8" t="str">
        <f aca="false">TEXT(ROW(), "0000")</f>
        <v>3152</v>
      </c>
      <c r="L3152" s="8"/>
    </row>
    <row r="3153" customFormat="false" ht="15.75" hidden="false" customHeight="true" outlineLevel="0" collapsed="false">
      <c r="A3153" s="7" t="n">
        <v>45877</v>
      </c>
      <c r="B3153" s="8" t="s">
        <v>34</v>
      </c>
      <c r="C3153" s="9" t="n">
        <v>30</v>
      </c>
      <c r="D3153" s="8" t="s">
        <v>45</v>
      </c>
      <c r="E3153" s="10" t="s">
        <v>399</v>
      </c>
      <c r="F3153" s="8" t="str">
        <f aca="false">TEXT(A3153,"MM-YYYY")</f>
        <v>08-2025</v>
      </c>
      <c r="G3153" s="8" t="s">
        <v>14</v>
      </c>
      <c r="H3153" s="8" t="s">
        <v>262</v>
      </c>
      <c r="I3153" s="7" t="n">
        <v>45877</v>
      </c>
      <c r="J3153" s="8" t="str">
        <f aca="false">VLOOKUP(B3153, Table3[#All], 2, FALSE())</f>
        <v>Staff Expenses</v>
      </c>
      <c r="K3153" s="8" t="str">
        <f aca="false">TEXT(ROW(), "0000")</f>
        <v>3153</v>
      </c>
      <c r="L3153" s="8"/>
    </row>
    <row r="3154" customFormat="false" ht="15.75" hidden="false" customHeight="true" outlineLevel="0" collapsed="false">
      <c r="A3154" s="7" t="n">
        <v>45877</v>
      </c>
      <c r="B3154" s="8" t="s">
        <v>37</v>
      </c>
      <c r="C3154" s="9" t="n">
        <v>40</v>
      </c>
      <c r="D3154" s="8" t="s">
        <v>45</v>
      </c>
      <c r="E3154" s="10" t="s">
        <v>100</v>
      </c>
      <c r="F3154" s="8" t="str">
        <f aca="false">TEXT(A3154,"MM-YYYY")</f>
        <v>08-2025</v>
      </c>
      <c r="G3154" s="8" t="s">
        <v>14</v>
      </c>
      <c r="H3154" s="8" t="s">
        <v>262</v>
      </c>
      <c r="I3154" s="7" t="n">
        <v>45877</v>
      </c>
      <c r="J3154" s="8" t="str">
        <f aca="false">VLOOKUP(B3154, Table3[#All], 2, FALSE())</f>
        <v>Maintance</v>
      </c>
      <c r="K3154" s="8" t="str">
        <f aca="false">TEXT(ROW(), "0000")</f>
        <v>3154</v>
      </c>
      <c r="L3154" s="8"/>
    </row>
    <row r="3155" customFormat="false" ht="15.75" hidden="false" customHeight="true" outlineLevel="0" collapsed="false">
      <c r="A3155" s="7" t="n">
        <v>45877</v>
      </c>
      <c r="B3155" s="8" t="s">
        <v>43</v>
      </c>
      <c r="C3155" s="9" t="n">
        <v>140</v>
      </c>
      <c r="D3155" s="8" t="s">
        <v>45</v>
      </c>
      <c r="E3155" s="10" t="s">
        <v>400</v>
      </c>
      <c r="F3155" s="8" t="str">
        <f aca="false">TEXT(A3155,"MM-YYYY")</f>
        <v>08-2025</v>
      </c>
      <c r="G3155" s="8" t="s">
        <v>14</v>
      </c>
      <c r="H3155" s="8"/>
      <c r="I3155" s="7"/>
      <c r="J3155" s="8" t="str">
        <f aca="false">VLOOKUP(B3155, Table3[#All], 2, FALSE())</f>
        <v>Maintance</v>
      </c>
      <c r="K3155" s="8" t="str">
        <f aca="false">TEXT(ROW(), "0000")</f>
        <v>3155</v>
      </c>
      <c r="L3155" s="8"/>
    </row>
    <row r="3156" customFormat="false" ht="15.75" hidden="false" customHeight="true" outlineLevel="0" collapsed="false">
      <c r="A3156" s="7" t="n">
        <v>45877</v>
      </c>
      <c r="B3156" s="8" t="s">
        <v>51</v>
      </c>
      <c r="C3156" s="9" t="n">
        <v>410</v>
      </c>
      <c r="D3156" s="8" t="s">
        <v>45</v>
      </c>
      <c r="E3156" s="10" t="s">
        <v>401</v>
      </c>
      <c r="F3156" s="8" t="str">
        <f aca="false">TEXT(A3156,"MM-YYYY")</f>
        <v>08-2025</v>
      </c>
      <c r="G3156" s="8" t="s">
        <v>14</v>
      </c>
      <c r="H3156" s="8"/>
      <c r="I3156" s="7"/>
      <c r="J3156" s="8" t="str">
        <f aca="false">VLOOKUP(B3156, Table3[#All], 2, FALSE())</f>
        <v>Inventory</v>
      </c>
      <c r="K3156" s="8" t="str">
        <f aca="false">TEXT(ROW(), "0000")</f>
        <v>3156</v>
      </c>
      <c r="L3156" s="8"/>
    </row>
    <row r="3157" customFormat="false" ht="15.75" hidden="false" customHeight="true" outlineLevel="0" collapsed="false">
      <c r="A3157" s="7" t="n">
        <v>45877</v>
      </c>
      <c r="B3157" s="8" t="s">
        <v>25</v>
      </c>
      <c r="C3157" s="9" t="n">
        <v>30</v>
      </c>
      <c r="D3157" s="8" t="s">
        <v>45</v>
      </c>
      <c r="E3157" s="10" t="s">
        <v>42</v>
      </c>
      <c r="F3157" s="8" t="str">
        <f aca="false">TEXT(A3157,"MM-YYYY")</f>
        <v>08-2025</v>
      </c>
      <c r="G3157" s="8" t="s">
        <v>14</v>
      </c>
      <c r="H3157" s="8"/>
      <c r="I3157" s="7"/>
      <c r="J3157" s="8" t="str">
        <f aca="false">VLOOKUP(B3157, Table3[#All], 2, FALSE())</f>
        <v>Inventory</v>
      </c>
      <c r="K3157" s="8" t="str">
        <f aca="false">TEXT(ROW(), "0000")</f>
        <v>3157</v>
      </c>
      <c r="L3157" s="8"/>
    </row>
    <row r="3158" customFormat="false" ht="15.75" hidden="false" customHeight="true" outlineLevel="0" collapsed="false">
      <c r="A3158" s="7" t="n">
        <v>45877</v>
      </c>
      <c r="B3158" s="8" t="s">
        <v>29</v>
      </c>
      <c r="C3158" s="9" t="n">
        <v>20</v>
      </c>
      <c r="D3158" s="8" t="s">
        <v>45</v>
      </c>
      <c r="E3158" s="10" t="s">
        <v>402</v>
      </c>
      <c r="F3158" s="8" t="str">
        <f aca="false">TEXT(A3158,"MM-YYYY")</f>
        <v>08-2025</v>
      </c>
      <c r="G3158" s="8" t="s">
        <v>14</v>
      </c>
      <c r="H3158" s="8"/>
      <c r="I3158" s="7"/>
      <c r="J3158" s="8" t="str">
        <f aca="false">VLOOKUP(B3158, Table3[#All], 2, FALSE())</f>
        <v>Inventory</v>
      </c>
      <c r="K3158" s="8" t="str">
        <f aca="false">TEXT(ROW(), "0000")</f>
        <v>3158</v>
      </c>
      <c r="L3158" s="8"/>
    </row>
    <row r="3159" customFormat="false" ht="15.75" hidden="false" customHeight="true" outlineLevel="0" collapsed="false">
      <c r="A3159" s="7" t="n">
        <v>45877</v>
      </c>
      <c r="B3159" s="8" t="s">
        <v>29</v>
      </c>
      <c r="C3159" s="9" t="n">
        <v>20</v>
      </c>
      <c r="D3159" s="8" t="s">
        <v>45</v>
      </c>
      <c r="E3159" s="10" t="s">
        <v>403</v>
      </c>
      <c r="F3159" s="8" t="str">
        <f aca="false">TEXT(A3159,"MM-YYYY")</f>
        <v>08-2025</v>
      </c>
      <c r="G3159" s="8" t="s">
        <v>14</v>
      </c>
      <c r="H3159" s="8"/>
      <c r="I3159" s="7"/>
      <c r="J3159" s="8" t="str">
        <f aca="false">VLOOKUP(B3159, Table3[#All], 2, FALSE())</f>
        <v>Inventory</v>
      </c>
      <c r="K3159" s="8" t="str">
        <f aca="false">TEXT(ROW(), "0000")</f>
        <v>3159</v>
      </c>
      <c r="L3159" s="8"/>
    </row>
    <row r="3160" customFormat="false" ht="15.75" hidden="false" customHeight="true" outlineLevel="0" collapsed="false">
      <c r="A3160" s="7" t="n">
        <v>45877</v>
      </c>
      <c r="B3160" s="8" t="s">
        <v>81</v>
      </c>
      <c r="C3160" s="9" t="n">
        <v>90</v>
      </c>
      <c r="D3160" s="8" t="s">
        <v>45</v>
      </c>
      <c r="E3160" s="10" t="s">
        <v>404</v>
      </c>
      <c r="F3160" s="8" t="str">
        <f aca="false">TEXT(A3160,"MM-YYYY")</f>
        <v>08-2025</v>
      </c>
      <c r="G3160" s="8" t="s">
        <v>14</v>
      </c>
      <c r="H3160" s="8"/>
      <c r="I3160" s="7"/>
      <c r="J3160" s="8" t="str">
        <f aca="false">VLOOKUP(B3160, Table3[#All], 2, FALSE())</f>
        <v>Excess Amount Return</v>
      </c>
      <c r="K3160" s="8" t="str">
        <f aca="false">TEXT(ROW(), "0000")</f>
        <v>3160</v>
      </c>
      <c r="L3160" s="8"/>
    </row>
    <row r="3161" customFormat="false" ht="15.75" hidden="false" customHeight="true" outlineLevel="0" collapsed="false">
      <c r="A3161" s="7" t="n">
        <v>45877</v>
      </c>
      <c r="B3161" s="8" t="s">
        <v>44</v>
      </c>
      <c r="C3161" s="9" t="n">
        <v>3000</v>
      </c>
      <c r="D3161" s="8" t="s">
        <v>13</v>
      </c>
      <c r="E3161" s="10" t="s">
        <v>405</v>
      </c>
      <c r="F3161" s="8" t="str">
        <f aca="false">TEXT(A3161,"MM-YYYY")</f>
        <v>08-2025</v>
      </c>
      <c r="G3161" s="8" t="s">
        <v>14</v>
      </c>
      <c r="H3161" s="8" t="s">
        <v>13</v>
      </c>
      <c r="I3161" s="7" t="n">
        <v>45877</v>
      </c>
      <c r="J3161" s="8" t="str">
        <f aca="false">VLOOKUP(B3161, Table3[#All], 2, FALSE())</f>
        <v>Salary</v>
      </c>
      <c r="K3161" s="8" t="str">
        <f aca="false">TEXT(ROW(), "0000")</f>
        <v>3161</v>
      </c>
      <c r="L3161" s="8"/>
    </row>
    <row r="3162" customFormat="false" ht="15.75" hidden="false" customHeight="true" outlineLevel="0" collapsed="false">
      <c r="A3162" s="7" t="n">
        <v>45877</v>
      </c>
      <c r="B3162" s="8" t="s">
        <v>16</v>
      </c>
      <c r="C3162" s="9" t="n">
        <v>1180</v>
      </c>
      <c r="D3162" s="8" t="s">
        <v>21</v>
      </c>
      <c r="E3162" s="10" t="s">
        <v>88</v>
      </c>
      <c r="F3162" s="8" t="str">
        <f aca="false">TEXT(A3162,"MM-YYYY")</f>
        <v>08-2025</v>
      </c>
      <c r="G3162" s="8"/>
      <c r="H3162" s="8"/>
      <c r="I3162" s="7"/>
      <c r="J3162" s="8" t="str">
        <f aca="false">VLOOKUP(B3162, Table3[#All], 2, FALSE())</f>
        <v>Sales</v>
      </c>
      <c r="K3162" s="8" t="str">
        <f aca="false">TEXT(ROW(), "0000")</f>
        <v>3162</v>
      </c>
      <c r="L3162" s="8"/>
    </row>
    <row r="3163" customFormat="false" ht="15.75" hidden="false" customHeight="true" outlineLevel="0" collapsed="false">
      <c r="A3163" s="7" t="n">
        <v>45877</v>
      </c>
      <c r="B3163" s="8" t="s">
        <v>16</v>
      </c>
      <c r="C3163" s="9" t="n">
        <v>20</v>
      </c>
      <c r="D3163" s="8" t="s">
        <v>33</v>
      </c>
      <c r="E3163" s="10" t="s">
        <v>88</v>
      </c>
      <c r="F3163" s="8" t="str">
        <f aca="false">TEXT(A3163,"MM-YYYY")</f>
        <v>08-2025</v>
      </c>
      <c r="G3163" s="8"/>
      <c r="H3163" s="8"/>
      <c r="I3163" s="7"/>
      <c r="J3163" s="8" t="str">
        <f aca="false">VLOOKUP(B3163, Table3[#All], 2, FALSE())</f>
        <v>Sales</v>
      </c>
      <c r="K3163" s="8" t="str">
        <f aca="false">TEXT(ROW(), "0000")</f>
        <v>3163</v>
      </c>
      <c r="L3163" s="8"/>
    </row>
    <row r="3164" customFormat="false" ht="15.75" hidden="false" customHeight="true" outlineLevel="0" collapsed="false">
      <c r="A3164" s="7" t="n">
        <v>45877</v>
      </c>
      <c r="B3164" s="8" t="s">
        <v>16</v>
      </c>
      <c r="C3164" s="9" t="n">
        <v>16319</v>
      </c>
      <c r="D3164" s="8" t="s">
        <v>17</v>
      </c>
      <c r="E3164" s="10" t="s">
        <v>88</v>
      </c>
      <c r="F3164" s="8" t="str">
        <f aca="false">TEXT(A3164,"MM-YYYY")</f>
        <v>08-2025</v>
      </c>
      <c r="G3164" s="8"/>
      <c r="H3164" s="8"/>
      <c r="I3164" s="7"/>
      <c r="J3164" s="8" t="str">
        <f aca="false">VLOOKUP(B3164, Table3[#All], 2, FALSE())</f>
        <v>Sales</v>
      </c>
      <c r="K3164" s="8" t="str">
        <f aca="false">TEXT(ROW(), "0000")</f>
        <v>3164</v>
      </c>
      <c r="L3164" s="8"/>
    </row>
    <row r="3165" customFormat="false" ht="15.75" hidden="false" customHeight="true" outlineLevel="0" collapsed="false">
      <c r="A3165" s="7" t="n">
        <v>45877</v>
      </c>
      <c r="B3165" s="8" t="s">
        <v>16</v>
      </c>
      <c r="C3165" s="9" t="n">
        <v>1153</v>
      </c>
      <c r="D3165" s="8" t="s">
        <v>24</v>
      </c>
      <c r="E3165" s="10" t="s">
        <v>88</v>
      </c>
      <c r="F3165" s="8" t="str">
        <f aca="false">TEXT(A3165,"MM-YYYY")</f>
        <v>08-2025</v>
      </c>
      <c r="G3165" s="8"/>
      <c r="H3165" s="8"/>
      <c r="I3165" s="7"/>
      <c r="J3165" s="8" t="str">
        <f aca="false">VLOOKUP(B3165, Table3[#All], 2, FALSE())</f>
        <v>Sales</v>
      </c>
      <c r="K3165" s="8" t="str">
        <f aca="false">TEXT(ROW(), "0000")</f>
        <v>3165</v>
      </c>
      <c r="L3165" s="8"/>
    </row>
    <row r="3166" customFormat="false" ht="15.75" hidden="false" customHeight="true" outlineLevel="0" collapsed="false">
      <c r="A3166" s="7" t="n">
        <v>45877</v>
      </c>
      <c r="B3166" s="8" t="s">
        <v>16</v>
      </c>
      <c r="C3166" s="9" t="n">
        <v>1020</v>
      </c>
      <c r="D3166" s="8" t="s">
        <v>27</v>
      </c>
      <c r="E3166" s="10" t="s">
        <v>88</v>
      </c>
      <c r="F3166" s="8" t="str">
        <f aca="false">TEXT(A3166,"MM-YYYY")</f>
        <v>08-2025</v>
      </c>
      <c r="G3166" s="8"/>
      <c r="H3166" s="8"/>
      <c r="I3166" s="7"/>
      <c r="J3166" s="8" t="str">
        <f aca="false">VLOOKUP(B3166, Table3[#All], 2, FALSE())</f>
        <v>Sales</v>
      </c>
      <c r="K3166" s="8" t="str">
        <f aca="false">TEXT(ROW(), "0000")</f>
        <v>3166</v>
      </c>
      <c r="L3166" s="8"/>
    </row>
    <row r="3167" customFormat="false" ht="15.75" hidden="false" customHeight="true" outlineLevel="0" collapsed="false">
      <c r="A3167" s="7" t="n">
        <v>45877</v>
      </c>
      <c r="B3167" s="8" t="s">
        <v>44</v>
      </c>
      <c r="C3167" s="9" t="n">
        <v>2260</v>
      </c>
      <c r="D3167" s="8" t="s">
        <v>45</v>
      </c>
      <c r="E3167" s="10" t="s">
        <v>253</v>
      </c>
      <c r="F3167" s="8" t="str">
        <f aca="false">TEXT(A3167,"MM-YYYY")</f>
        <v>08-2025</v>
      </c>
      <c r="G3167" s="8" t="s">
        <v>14</v>
      </c>
      <c r="H3167" s="8" t="s">
        <v>15</v>
      </c>
      <c r="I3167" s="7" t="n">
        <v>45877</v>
      </c>
      <c r="J3167" s="8" t="str">
        <f aca="false">VLOOKUP(B3167, Table3[#All], 2, FALSE())</f>
        <v>Salary</v>
      </c>
      <c r="K3167" s="8" t="str">
        <f aca="false">TEXT(ROW(), "0000")</f>
        <v>3167</v>
      </c>
      <c r="L3167" s="8"/>
    </row>
    <row r="3168" customFormat="false" ht="15.75" hidden="false" customHeight="true" outlineLevel="0" collapsed="false">
      <c r="A3168" s="7" t="n">
        <v>45877</v>
      </c>
      <c r="B3168" s="8" t="s">
        <v>44</v>
      </c>
      <c r="C3168" s="9" t="n">
        <v>3740</v>
      </c>
      <c r="D3168" s="8" t="s">
        <v>13</v>
      </c>
      <c r="E3168" s="10" t="s">
        <v>253</v>
      </c>
      <c r="F3168" s="8" t="str">
        <f aca="false">TEXT(A3168,"MM-YYYY")</f>
        <v>08-2025</v>
      </c>
      <c r="G3168" s="8" t="s">
        <v>14</v>
      </c>
      <c r="H3168" s="8" t="s">
        <v>262</v>
      </c>
      <c r="I3168" s="7" t="n">
        <v>45877</v>
      </c>
      <c r="J3168" s="8" t="str">
        <f aca="false">VLOOKUP(B3168, Table3[#All], 2, FALSE())</f>
        <v>Salary</v>
      </c>
      <c r="K3168" s="8" t="str">
        <f aca="false">TEXT(ROW(), "0000")</f>
        <v>3168</v>
      </c>
      <c r="L3168" s="8"/>
    </row>
    <row r="3169" customFormat="false" ht="15.75" hidden="false" customHeight="true" outlineLevel="0" collapsed="false">
      <c r="A3169" s="7" t="n">
        <v>45877</v>
      </c>
      <c r="B3169" s="8" t="s">
        <v>29</v>
      </c>
      <c r="C3169" s="9" t="n">
        <v>613</v>
      </c>
      <c r="D3169" s="8" t="s">
        <v>13</v>
      </c>
      <c r="E3169" s="10" t="s">
        <v>406</v>
      </c>
      <c r="F3169" s="8" t="str">
        <f aca="false">TEXT(A3169,"MM-YYYY")</f>
        <v>08-2025</v>
      </c>
      <c r="G3169" s="8" t="s">
        <v>18</v>
      </c>
      <c r="H3169" s="8"/>
      <c r="I3169" s="7"/>
      <c r="J3169" s="8" t="str">
        <f aca="false">VLOOKUP(B3169, Table3[#All], 2, FALSE())</f>
        <v>Inventory</v>
      </c>
      <c r="K3169" s="8" t="str">
        <f aca="false">TEXT(ROW(), "0000")</f>
        <v>3169</v>
      </c>
      <c r="L3169" s="8"/>
    </row>
    <row r="3170" customFormat="false" ht="15.75" hidden="false" customHeight="true" outlineLevel="0" collapsed="false">
      <c r="A3170" s="7" t="n">
        <v>45878</v>
      </c>
      <c r="B3170" s="8" t="s">
        <v>43</v>
      </c>
      <c r="C3170" s="9" t="n">
        <v>100</v>
      </c>
      <c r="D3170" s="8" t="s">
        <v>21</v>
      </c>
      <c r="E3170" s="10" t="s">
        <v>50</v>
      </c>
      <c r="F3170" s="8" t="str">
        <f aca="false">TEXT(A3170,"MM-YYYY")</f>
        <v>08-2025</v>
      </c>
      <c r="G3170" s="8" t="s">
        <v>14</v>
      </c>
      <c r="H3170" s="8" t="s">
        <v>262</v>
      </c>
      <c r="I3170" s="7" t="n">
        <v>45878</v>
      </c>
      <c r="J3170" s="8" t="str">
        <f aca="false">VLOOKUP(B3170, Table3[#All], 2, FALSE())</f>
        <v>Maintance</v>
      </c>
      <c r="K3170" s="8" t="str">
        <f aca="false">TEXT(ROW(), "0000")</f>
        <v>3170</v>
      </c>
      <c r="L3170" s="8"/>
    </row>
    <row r="3171" customFormat="false" ht="15.75" hidden="false" customHeight="true" outlineLevel="0" collapsed="false">
      <c r="A3171" s="7" t="n">
        <v>45878</v>
      </c>
      <c r="B3171" s="8" t="s">
        <v>19</v>
      </c>
      <c r="C3171" s="9" t="n">
        <v>1285</v>
      </c>
      <c r="D3171" s="8" t="s">
        <v>13</v>
      </c>
      <c r="E3171" s="10" t="s">
        <v>397</v>
      </c>
      <c r="F3171" s="8" t="str">
        <f aca="false">TEXT(A3171,"MM-YYYY")</f>
        <v>08-2025</v>
      </c>
      <c r="G3171" s="8" t="s">
        <v>14</v>
      </c>
      <c r="H3171" s="8" t="s">
        <v>13</v>
      </c>
      <c r="I3171" s="7"/>
      <c r="J3171" s="8" t="str">
        <f aca="false">VLOOKUP(B3171, Table3[#All], 2, FALSE())</f>
        <v>Inventory</v>
      </c>
      <c r="K3171" s="8" t="str">
        <f aca="false">TEXT(ROW(), "0000")</f>
        <v>3171</v>
      </c>
      <c r="L3171" s="8"/>
    </row>
    <row r="3172" customFormat="false" ht="15.75" hidden="false" customHeight="true" outlineLevel="0" collapsed="false">
      <c r="A3172" s="7" t="n">
        <v>45878</v>
      </c>
      <c r="B3172" s="8" t="s">
        <v>29</v>
      </c>
      <c r="C3172" s="9" t="n">
        <v>153</v>
      </c>
      <c r="D3172" s="8" t="s">
        <v>13</v>
      </c>
      <c r="E3172" s="10" t="s">
        <v>406</v>
      </c>
      <c r="F3172" s="8" t="str">
        <f aca="false">TEXT(A3172,"MM-YYYY")</f>
        <v>08-2025</v>
      </c>
      <c r="G3172" s="8" t="s">
        <v>18</v>
      </c>
      <c r="H3172" s="8"/>
      <c r="I3172" s="7"/>
      <c r="J3172" s="8" t="str">
        <f aca="false">VLOOKUP(B3172, Table3[#All], 2, FALSE())</f>
        <v>Inventory</v>
      </c>
      <c r="K3172" s="8" t="str">
        <f aca="false">TEXT(ROW(), "0000")</f>
        <v>3172</v>
      </c>
      <c r="L3172" s="8"/>
    </row>
    <row r="3173" customFormat="false" ht="15.75" hidden="false" customHeight="true" outlineLevel="0" collapsed="false">
      <c r="A3173" s="7" t="n">
        <v>45878</v>
      </c>
      <c r="B3173" s="8" t="s">
        <v>53</v>
      </c>
      <c r="C3173" s="9" t="n">
        <v>975</v>
      </c>
      <c r="D3173" s="8" t="s">
        <v>21</v>
      </c>
      <c r="E3173" s="10" t="s">
        <v>407</v>
      </c>
      <c r="F3173" s="8" t="str">
        <f aca="false">TEXT(A3173,"MM-YYYY")</f>
        <v>08-2025</v>
      </c>
      <c r="G3173" s="8" t="s">
        <v>14</v>
      </c>
      <c r="H3173" s="8" t="s">
        <v>262</v>
      </c>
      <c r="I3173" s="7" t="n">
        <v>45878</v>
      </c>
      <c r="J3173" s="8" t="str">
        <f aca="false">VLOOKUP(B3173, Table3[#All], 2, FALSE())</f>
        <v>Grocery</v>
      </c>
      <c r="K3173" s="8" t="str">
        <f aca="false">TEXT(ROW(), "0000")</f>
        <v>3173</v>
      </c>
      <c r="L3173" s="8"/>
    </row>
    <row r="3174" customFormat="false" ht="15.75" hidden="false" customHeight="true" outlineLevel="0" collapsed="false">
      <c r="A3174" s="7" t="n">
        <v>45878</v>
      </c>
      <c r="B3174" s="8" t="s">
        <v>22</v>
      </c>
      <c r="C3174" s="9" t="n">
        <v>25280</v>
      </c>
      <c r="D3174" s="8" t="s">
        <v>13</v>
      </c>
      <c r="E3174" s="10" t="s">
        <v>23</v>
      </c>
      <c r="F3174" s="8" t="str">
        <f aca="false">TEXT(A3174,"MM-YYYY")</f>
        <v>08-2025</v>
      </c>
      <c r="G3174" s="8" t="s">
        <v>18</v>
      </c>
      <c r="H3174" s="8"/>
      <c r="I3174" s="7"/>
      <c r="J3174" s="8" t="str">
        <f aca="false">VLOOKUP(B3174, Table3[#All], 2, FALSE())</f>
        <v>Inventory</v>
      </c>
      <c r="K3174" s="8" t="str">
        <f aca="false">TEXT(ROW(), "0000")</f>
        <v>3174</v>
      </c>
      <c r="L3174" s="8"/>
    </row>
    <row r="3175" customFormat="false" ht="15.75" hidden="false" customHeight="true" outlineLevel="0" collapsed="false">
      <c r="A3175" s="7" t="n">
        <v>45878</v>
      </c>
      <c r="B3175" s="8" t="s">
        <v>28</v>
      </c>
      <c r="C3175" s="9" t="n">
        <v>742</v>
      </c>
      <c r="D3175" s="8" t="s">
        <v>21</v>
      </c>
      <c r="E3175" s="10" t="s">
        <v>93</v>
      </c>
      <c r="F3175" s="8" t="str">
        <f aca="false">TEXT(A3175,"MM-YYYY")</f>
        <v>08-2025</v>
      </c>
      <c r="G3175" s="8" t="s">
        <v>14</v>
      </c>
      <c r="H3175" s="8" t="s">
        <v>262</v>
      </c>
      <c r="I3175" s="7" t="n">
        <v>45879</v>
      </c>
      <c r="J3175" s="8" t="str">
        <f aca="false">VLOOKUP(B3175, Table3[#All], 2, FALSE())</f>
        <v>Grocery</v>
      </c>
      <c r="K3175" s="8" t="str">
        <f aca="false">TEXT(ROW(), "0000")</f>
        <v>3175</v>
      </c>
      <c r="L3175" s="8"/>
    </row>
    <row r="3176" customFormat="false" ht="15.75" hidden="false" customHeight="true" outlineLevel="0" collapsed="false">
      <c r="A3176" s="7" t="n">
        <v>45878</v>
      </c>
      <c r="B3176" s="8" t="s">
        <v>22</v>
      </c>
      <c r="C3176" s="9" t="n">
        <v>110</v>
      </c>
      <c r="D3176" s="8" t="s">
        <v>21</v>
      </c>
      <c r="E3176" s="10" t="s">
        <v>213</v>
      </c>
      <c r="F3176" s="8" t="str">
        <f aca="false">TEXT(A3177,"MM-YYYY")</f>
        <v>08-2025</v>
      </c>
      <c r="G3176" s="8" t="s">
        <v>14</v>
      </c>
      <c r="H3176" s="8" t="s">
        <v>262</v>
      </c>
      <c r="I3176" s="7" t="n">
        <v>45878</v>
      </c>
      <c r="J3176" s="8" t="str">
        <f aca="false">VLOOKUP(B3176, Table3[#All], 2, FALSE())</f>
        <v>Inventory</v>
      </c>
      <c r="K3176" s="8" t="str">
        <f aca="false">TEXT(ROW(), "0000")</f>
        <v>3176</v>
      </c>
      <c r="L3176" s="8"/>
    </row>
    <row r="3177" customFormat="false" ht="15.75" hidden="false" customHeight="true" outlineLevel="0" collapsed="false">
      <c r="A3177" s="7" t="n">
        <v>45878</v>
      </c>
      <c r="B3177" s="8" t="s">
        <v>34</v>
      </c>
      <c r="C3177" s="9" t="n">
        <v>20</v>
      </c>
      <c r="D3177" s="8" t="s">
        <v>21</v>
      </c>
      <c r="E3177" s="10" t="s">
        <v>154</v>
      </c>
      <c r="F3177" s="8" t="str">
        <f aca="false">TEXT(A3178,"MM-YYYY")</f>
        <v>08-2025</v>
      </c>
      <c r="G3177" s="8" t="s">
        <v>14</v>
      </c>
      <c r="H3177" s="8" t="s">
        <v>262</v>
      </c>
      <c r="I3177" s="7" t="n">
        <v>45878</v>
      </c>
      <c r="J3177" s="8" t="str">
        <f aca="false">VLOOKUP(B3177, Table3[#All], 2, FALSE())</f>
        <v>Staff Expenses</v>
      </c>
      <c r="K3177" s="8" t="str">
        <f aca="false">TEXT(ROW(), "0000")</f>
        <v>3177</v>
      </c>
      <c r="L3177" s="8"/>
    </row>
    <row r="3178" customFormat="false" ht="15.75" hidden="false" customHeight="true" outlineLevel="0" collapsed="false">
      <c r="A3178" s="7" t="n">
        <v>45878</v>
      </c>
      <c r="B3178" s="8" t="s">
        <v>37</v>
      </c>
      <c r="C3178" s="9" t="n">
        <v>20</v>
      </c>
      <c r="D3178" s="8" t="s">
        <v>21</v>
      </c>
      <c r="E3178" s="10" t="s">
        <v>100</v>
      </c>
      <c r="F3178" s="8" t="str">
        <f aca="false">TEXT(A3178,"MM-YYYY")</f>
        <v>08-2025</v>
      </c>
      <c r="G3178" s="8" t="s">
        <v>14</v>
      </c>
      <c r="H3178" s="8" t="s">
        <v>262</v>
      </c>
      <c r="I3178" s="7" t="n">
        <v>45878</v>
      </c>
      <c r="J3178" s="8" t="str">
        <f aca="false">VLOOKUP(B3178, Table3[#All], 2, FALSE())</f>
        <v>Maintance</v>
      </c>
      <c r="K3178" s="8" t="str">
        <f aca="false">TEXT(ROW(), "0000")</f>
        <v>3178</v>
      </c>
      <c r="L3178" s="8"/>
    </row>
    <row r="3179" customFormat="false" ht="15.75" hidden="false" customHeight="true" outlineLevel="0" collapsed="false">
      <c r="A3179" s="7" t="n">
        <v>45878</v>
      </c>
      <c r="B3179" s="8" t="s">
        <v>16</v>
      </c>
      <c r="C3179" s="9" t="n">
        <v>2189</v>
      </c>
      <c r="D3179" s="8" t="s">
        <v>21</v>
      </c>
      <c r="E3179" s="10" t="s">
        <v>88</v>
      </c>
      <c r="F3179" s="8" t="str">
        <f aca="false">TEXT(A3179,"MM-YYYY")</f>
        <v>08-2025</v>
      </c>
      <c r="G3179" s="8"/>
      <c r="H3179" s="8"/>
      <c r="I3179" s="7"/>
      <c r="J3179" s="8" t="str">
        <f aca="false">VLOOKUP(B3179, Table3[#All], 2, FALSE())</f>
        <v>Sales</v>
      </c>
      <c r="K3179" s="8" t="str">
        <f aca="false">TEXT(ROW(), "0000")</f>
        <v>3179</v>
      </c>
      <c r="L3179" s="8"/>
    </row>
    <row r="3180" customFormat="false" ht="15.75" hidden="false" customHeight="true" outlineLevel="0" collapsed="false">
      <c r="A3180" s="7" t="n">
        <v>45878</v>
      </c>
      <c r="B3180" s="8" t="s">
        <v>16</v>
      </c>
      <c r="C3180" s="9" t="n">
        <v>110</v>
      </c>
      <c r="D3180" s="8" t="s">
        <v>33</v>
      </c>
      <c r="E3180" s="10" t="s">
        <v>88</v>
      </c>
      <c r="F3180" s="8" t="str">
        <f aca="false">TEXT(A3180,"MM-YYYY")</f>
        <v>08-2025</v>
      </c>
      <c r="G3180" s="8"/>
      <c r="H3180" s="8"/>
      <c r="I3180" s="7"/>
      <c r="J3180" s="8" t="str">
        <f aca="false">VLOOKUP(B3180, Table3[#All], 2, FALSE())</f>
        <v>Sales</v>
      </c>
      <c r="K3180" s="8" t="str">
        <f aca="false">TEXT(ROW(), "0000")</f>
        <v>3180</v>
      </c>
      <c r="L3180" s="8"/>
    </row>
    <row r="3181" customFormat="false" ht="15.75" hidden="false" customHeight="true" outlineLevel="0" collapsed="false">
      <c r="A3181" s="7" t="n">
        <v>45878</v>
      </c>
      <c r="B3181" s="8" t="s">
        <v>16</v>
      </c>
      <c r="C3181" s="9" t="n">
        <v>12235</v>
      </c>
      <c r="D3181" s="8" t="s">
        <v>17</v>
      </c>
      <c r="E3181" s="10" t="s">
        <v>88</v>
      </c>
      <c r="F3181" s="8" t="str">
        <f aca="false">TEXT(A3181,"MM-YYYY")</f>
        <v>08-2025</v>
      </c>
      <c r="G3181" s="8"/>
      <c r="H3181" s="8"/>
      <c r="I3181" s="7"/>
      <c r="J3181" s="8" t="str">
        <f aca="false">VLOOKUP(B3181, Table3[#All], 2, FALSE())</f>
        <v>Sales</v>
      </c>
      <c r="K3181" s="8" t="str">
        <f aca="false">TEXT(ROW(), "0000")</f>
        <v>3181</v>
      </c>
      <c r="L3181" s="8"/>
    </row>
    <row r="3182" customFormat="false" ht="15.75" hidden="false" customHeight="true" outlineLevel="0" collapsed="false">
      <c r="A3182" s="7" t="n">
        <v>45878</v>
      </c>
      <c r="B3182" s="8" t="s">
        <v>16</v>
      </c>
      <c r="C3182" s="9" t="n">
        <v>1683</v>
      </c>
      <c r="D3182" s="8" t="s">
        <v>24</v>
      </c>
      <c r="E3182" s="10" t="s">
        <v>88</v>
      </c>
      <c r="F3182" s="8" t="str">
        <f aca="false">TEXT(A3182,"MM-YYYY")</f>
        <v>08-2025</v>
      </c>
      <c r="G3182" s="8"/>
      <c r="H3182" s="8"/>
      <c r="I3182" s="7"/>
      <c r="J3182" s="8" t="str">
        <f aca="false">VLOOKUP(B3182, Table3[#All], 2, FALSE())</f>
        <v>Sales</v>
      </c>
      <c r="K3182" s="8" t="str">
        <f aca="false">TEXT(ROW(), "0000")</f>
        <v>3182</v>
      </c>
      <c r="L3182" s="8"/>
    </row>
    <row r="3183" customFormat="false" ht="15.75" hidden="false" customHeight="true" outlineLevel="0" collapsed="false">
      <c r="A3183" s="7" t="n">
        <v>45878</v>
      </c>
      <c r="B3183" s="8" t="s">
        <v>201</v>
      </c>
      <c r="C3183" s="9" t="n">
        <v>50</v>
      </c>
      <c r="D3183" s="8" t="s">
        <v>21</v>
      </c>
      <c r="E3183" s="10" t="s">
        <v>408</v>
      </c>
      <c r="F3183" s="8" t="str">
        <f aca="false">TEXT(A3183,"MM-YYYY")</f>
        <v>08-2025</v>
      </c>
      <c r="G3183" s="8" t="s">
        <v>14</v>
      </c>
      <c r="H3183" s="8" t="s">
        <v>262</v>
      </c>
      <c r="I3183" s="7" t="n">
        <v>45878</v>
      </c>
      <c r="J3183" s="8" t="str">
        <f aca="false">VLOOKUP(B3183, Table3[#All], 2, FALSE())</f>
        <v>Inventory</v>
      </c>
      <c r="K3183" s="8" t="str">
        <f aca="false">TEXT(ROW(), "0000")</f>
        <v>3183</v>
      </c>
      <c r="L3183" s="8"/>
    </row>
    <row r="3184" customFormat="false" ht="15.75" hidden="false" customHeight="true" outlineLevel="0" collapsed="false">
      <c r="A3184" s="7" t="n">
        <v>45878</v>
      </c>
      <c r="B3184" s="8" t="s">
        <v>28</v>
      </c>
      <c r="C3184" s="9" t="n">
        <v>170</v>
      </c>
      <c r="D3184" s="8" t="s">
        <v>21</v>
      </c>
      <c r="E3184" s="10" t="s">
        <v>28</v>
      </c>
      <c r="F3184" s="8" t="str">
        <f aca="false">TEXT(A3184,"MM-YYYY")</f>
        <v>08-2025</v>
      </c>
      <c r="G3184" s="8" t="s">
        <v>14</v>
      </c>
      <c r="H3184" s="8" t="s">
        <v>262</v>
      </c>
      <c r="I3184" s="7" t="n">
        <v>45878</v>
      </c>
      <c r="J3184" s="8" t="str">
        <f aca="false">VLOOKUP(B3184, Table3[#All], 2, FALSE())</f>
        <v>Grocery</v>
      </c>
      <c r="K3184" s="8" t="str">
        <f aca="false">TEXT(ROW(), "0000")</f>
        <v>3184</v>
      </c>
      <c r="L3184" s="8"/>
    </row>
    <row r="3185" customFormat="false" ht="15.75" hidden="false" customHeight="true" outlineLevel="0" collapsed="false">
      <c r="A3185" s="7" t="n">
        <v>45879</v>
      </c>
      <c r="B3185" s="8" t="s">
        <v>31</v>
      </c>
      <c r="C3185" s="9" t="n">
        <v>310</v>
      </c>
      <c r="D3185" s="8" t="s">
        <v>21</v>
      </c>
      <c r="E3185" s="10" t="s">
        <v>394</v>
      </c>
      <c r="F3185" s="8" t="str">
        <f aca="false">TEXT(A3185,"MM-YYYY")</f>
        <v>08-2025</v>
      </c>
      <c r="G3185" s="8" t="s">
        <v>14</v>
      </c>
      <c r="H3185" s="8" t="s">
        <v>262</v>
      </c>
      <c r="I3185" s="7"/>
      <c r="J3185" s="8" t="str">
        <f aca="false">VLOOKUP(B3185, Table3[#All], 2, FALSE())</f>
        <v>Bike Maintance</v>
      </c>
      <c r="K3185" s="8" t="str">
        <f aca="false">TEXT(ROW(), "0000")</f>
        <v>3185</v>
      </c>
      <c r="L3185" s="8"/>
    </row>
    <row r="3186" customFormat="false" ht="15.75" hidden="false" customHeight="true" outlineLevel="0" collapsed="false">
      <c r="A3186" s="7" t="n">
        <v>45879</v>
      </c>
      <c r="B3186" s="8" t="s">
        <v>29</v>
      </c>
      <c r="C3186" s="9" t="n">
        <v>430</v>
      </c>
      <c r="D3186" s="8" t="s">
        <v>13</v>
      </c>
      <c r="E3186" s="10" t="s">
        <v>409</v>
      </c>
      <c r="F3186" s="8" t="str">
        <f aca="false">TEXT(A3186,"MM-YYYY")</f>
        <v>08-2025</v>
      </c>
      <c r="G3186" s="8" t="s">
        <v>14</v>
      </c>
      <c r="H3186" s="8" t="s">
        <v>262</v>
      </c>
      <c r="I3186" s="7" t="n">
        <v>45902</v>
      </c>
      <c r="J3186" s="8" t="str">
        <f aca="false">VLOOKUP(B3186, Table3[#All], 2, FALSE())</f>
        <v>Inventory</v>
      </c>
      <c r="K3186" s="8" t="str">
        <f aca="false">TEXT(ROW(), "0000")</f>
        <v>3186</v>
      </c>
      <c r="L3186" s="8"/>
    </row>
    <row r="3187" customFormat="false" ht="15.75" hidden="false" customHeight="true" outlineLevel="0" collapsed="false">
      <c r="A3187" s="7" t="n">
        <v>45879</v>
      </c>
      <c r="B3187" s="8" t="s">
        <v>19</v>
      </c>
      <c r="C3187" s="9" t="n">
        <v>1815</v>
      </c>
      <c r="D3187" s="8" t="s">
        <v>13</v>
      </c>
      <c r="E3187" s="10" t="s">
        <v>20</v>
      </c>
      <c r="F3187" s="8" t="str">
        <f aca="false">TEXT(A3187,"MM-YYYY")</f>
        <v>08-2025</v>
      </c>
      <c r="G3187" s="8" t="s">
        <v>14</v>
      </c>
      <c r="H3187" s="8" t="s">
        <v>13</v>
      </c>
      <c r="I3187" s="7"/>
      <c r="J3187" s="8" t="str">
        <f aca="false">VLOOKUP(B3187, Table3[#All], 2, FALSE())</f>
        <v>Inventory</v>
      </c>
      <c r="K3187" s="8" t="str">
        <f aca="false">TEXT(ROW(), "0000")</f>
        <v>3187</v>
      </c>
      <c r="L3187" s="8"/>
    </row>
    <row r="3188" customFormat="false" ht="15.75" hidden="false" customHeight="true" outlineLevel="0" collapsed="false">
      <c r="A3188" s="7" t="n">
        <v>45879</v>
      </c>
      <c r="B3188" s="8" t="s">
        <v>25</v>
      </c>
      <c r="C3188" s="9" t="n">
        <v>998</v>
      </c>
      <c r="D3188" s="8" t="s">
        <v>13</v>
      </c>
      <c r="E3188" s="10" t="s">
        <v>92</v>
      </c>
      <c r="F3188" s="8" t="str">
        <f aca="false">TEXT(A3188,"MM-YYYY")</f>
        <v>08-2025</v>
      </c>
      <c r="G3188" s="8" t="s">
        <v>18</v>
      </c>
      <c r="H3188" s="8" t="s">
        <v>262</v>
      </c>
      <c r="I3188" s="7"/>
      <c r="J3188" s="8" t="str">
        <f aca="false">VLOOKUP(B3188, Table3[#All], 2, FALSE())</f>
        <v>Inventory</v>
      </c>
      <c r="K3188" s="8" t="str">
        <f aca="false">TEXT(ROW(), "0000")</f>
        <v>3188</v>
      </c>
      <c r="L3188" s="8"/>
    </row>
    <row r="3189" customFormat="false" ht="15.75" hidden="false" customHeight="true" outlineLevel="0" collapsed="false">
      <c r="A3189" s="7" t="n">
        <v>45879</v>
      </c>
      <c r="B3189" s="8" t="s">
        <v>37</v>
      </c>
      <c r="C3189" s="9" t="n">
        <v>20</v>
      </c>
      <c r="D3189" s="8" t="s">
        <v>21</v>
      </c>
      <c r="E3189" s="10" t="s">
        <v>100</v>
      </c>
      <c r="F3189" s="8" t="str">
        <f aca="false">TEXT(A3189,"MM-YYYY")</f>
        <v>08-2025</v>
      </c>
      <c r="G3189" s="8" t="s">
        <v>14</v>
      </c>
      <c r="H3189" s="8" t="s">
        <v>262</v>
      </c>
      <c r="I3189" s="7"/>
      <c r="J3189" s="8" t="str">
        <f aca="false">VLOOKUP(B3189, Table3[#All], 2, FALSE())</f>
        <v>Maintance</v>
      </c>
      <c r="K3189" s="8" t="str">
        <f aca="false">TEXT(ROW(), "0000")</f>
        <v>3189</v>
      </c>
      <c r="L3189" s="8"/>
    </row>
    <row r="3190" customFormat="false" ht="15.75" hidden="false" customHeight="true" outlineLevel="0" collapsed="false">
      <c r="A3190" s="7" t="n">
        <v>45879</v>
      </c>
      <c r="B3190" s="8" t="s">
        <v>53</v>
      </c>
      <c r="C3190" s="9" t="n">
        <v>1200</v>
      </c>
      <c r="D3190" s="8" t="s">
        <v>21</v>
      </c>
      <c r="E3190" s="10" t="s">
        <v>410</v>
      </c>
      <c r="F3190" s="8" t="str">
        <f aca="false">TEXT(A3190,"MM-YYYY")</f>
        <v>08-2025</v>
      </c>
      <c r="G3190" s="8" t="s">
        <v>14</v>
      </c>
      <c r="H3190" s="8" t="s">
        <v>262</v>
      </c>
      <c r="I3190" s="7"/>
      <c r="J3190" s="8" t="str">
        <f aca="false">VLOOKUP(B3190, Table3[#All], 2, FALSE())</f>
        <v>Grocery</v>
      </c>
      <c r="K3190" s="8" t="str">
        <f aca="false">TEXT(ROW(), "0000")</f>
        <v>3190</v>
      </c>
      <c r="L3190" s="8"/>
    </row>
    <row r="3191" customFormat="false" ht="15.75" hidden="false" customHeight="true" outlineLevel="0" collapsed="false">
      <c r="A3191" s="7" t="n">
        <v>45879</v>
      </c>
      <c r="B3191" s="8" t="s">
        <v>32</v>
      </c>
      <c r="C3191" s="9" t="n">
        <v>770</v>
      </c>
      <c r="D3191" s="8" t="s">
        <v>21</v>
      </c>
      <c r="E3191" s="10" t="s">
        <v>38</v>
      </c>
      <c r="F3191" s="8" t="str">
        <f aca="false">TEXT(A3191,"MM-YYYY")</f>
        <v>08-2025</v>
      </c>
      <c r="G3191" s="8" t="s">
        <v>14</v>
      </c>
      <c r="H3191" s="8" t="s">
        <v>262</v>
      </c>
      <c r="I3191" s="7"/>
      <c r="J3191" s="8" t="str">
        <f aca="false">VLOOKUP(B3191, Table3[#All], 2, FALSE())</f>
        <v>Grocery</v>
      </c>
      <c r="K3191" s="8" t="str">
        <f aca="false">TEXT(ROW(), "0000")</f>
        <v>3191</v>
      </c>
      <c r="L3191" s="8"/>
    </row>
    <row r="3192" customFormat="false" ht="15.75" hidden="false" customHeight="true" outlineLevel="0" collapsed="false">
      <c r="A3192" s="7" t="n">
        <v>45879</v>
      </c>
      <c r="B3192" s="8" t="s">
        <v>44</v>
      </c>
      <c r="C3192" s="9" t="n">
        <v>100</v>
      </c>
      <c r="D3192" s="8" t="s">
        <v>21</v>
      </c>
      <c r="E3192" s="10" t="s">
        <v>86</v>
      </c>
      <c r="F3192" s="8" t="str">
        <f aca="false">TEXT(A3192,"MM-YYYY")</f>
        <v>08-2025</v>
      </c>
      <c r="G3192" s="8" t="s">
        <v>14</v>
      </c>
      <c r="H3192" s="8" t="s">
        <v>262</v>
      </c>
      <c r="I3192" s="7"/>
      <c r="J3192" s="8" t="str">
        <f aca="false">VLOOKUP(B3192, Table3[#All], 2, FALSE())</f>
        <v>Salary</v>
      </c>
      <c r="K3192" s="8" t="str">
        <f aca="false">TEXT(ROW(), "0000")</f>
        <v>3192</v>
      </c>
      <c r="L3192" s="8"/>
    </row>
    <row r="3193" customFormat="false" ht="15.75" hidden="false" customHeight="true" outlineLevel="0" collapsed="false">
      <c r="A3193" s="7" t="n">
        <v>45879</v>
      </c>
      <c r="B3193" s="8" t="s">
        <v>29</v>
      </c>
      <c r="C3193" s="9" t="n">
        <v>10</v>
      </c>
      <c r="D3193" s="8" t="s">
        <v>21</v>
      </c>
      <c r="E3193" s="10" t="s">
        <v>402</v>
      </c>
      <c r="F3193" s="8" t="str">
        <f aca="false">TEXT(A3193,"MM-YYYY")</f>
        <v>08-2025</v>
      </c>
      <c r="G3193" s="8" t="s">
        <v>14</v>
      </c>
      <c r="H3193" s="8" t="s">
        <v>262</v>
      </c>
      <c r="I3193" s="7"/>
      <c r="J3193" s="8" t="str">
        <f aca="false">VLOOKUP(B3193, Table3[#All], 2, FALSE())</f>
        <v>Inventory</v>
      </c>
      <c r="K3193" s="8" t="str">
        <f aca="false">TEXT(ROW(), "0000")</f>
        <v>3193</v>
      </c>
      <c r="L3193" s="8"/>
    </row>
    <row r="3194" customFormat="false" ht="15.75" hidden="false" customHeight="true" outlineLevel="0" collapsed="false">
      <c r="A3194" s="7" t="n">
        <v>45879</v>
      </c>
      <c r="B3194" s="8" t="s">
        <v>29</v>
      </c>
      <c r="C3194" s="9" t="n">
        <v>20</v>
      </c>
      <c r="D3194" s="8" t="s">
        <v>21</v>
      </c>
      <c r="E3194" s="10" t="s">
        <v>65</v>
      </c>
      <c r="F3194" s="8" t="str">
        <f aca="false">TEXT(A3194,"MM-YYYY")</f>
        <v>08-2025</v>
      </c>
      <c r="G3194" s="8" t="s">
        <v>14</v>
      </c>
      <c r="H3194" s="8" t="s">
        <v>262</v>
      </c>
      <c r="I3194" s="7"/>
      <c r="J3194" s="8" t="str">
        <f aca="false">VLOOKUP(B3194, Table3[#All], 2, FALSE())</f>
        <v>Inventory</v>
      </c>
      <c r="K3194" s="8" t="str">
        <f aca="false">TEXT(ROW(), "0000")</f>
        <v>3194</v>
      </c>
      <c r="L3194" s="8"/>
    </row>
    <row r="3195" customFormat="false" ht="15.75" hidden="false" customHeight="true" outlineLevel="0" collapsed="false">
      <c r="A3195" s="7" t="n">
        <v>45879</v>
      </c>
      <c r="B3195" s="8" t="s">
        <v>29</v>
      </c>
      <c r="C3195" s="9" t="n">
        <v>650</v>
      </c>
      <c r="D3195" s="8" t="s">
        <v>13</v>
      </c>
      <c r="E3195" s="10" t="s">
        <v>411</v>
      </c>
      <c r="F3195" s="8" t="str">
        <f aca="false">TEXT(A3195,"MM-YYYY")</f>
        <v>08-2025</v>
      </c>
      <c r="G3195" s="8" t="s">
        <v>14</v>
      </c>
      <c r="H3195" s="8" t="s">
        <v>262</v>
      </c>
      <c r="I3195" s="7"/>
      <c r="J3195" s="8" t="str">
        <f aca="false">VLOOKUP(B3195, Table3[#All], 2, FALSE())</f>
        <v>Inventory</v>
      </c>
      <c r="K3195" s="8" t="str">
        <f aca="false">TEXT(ROW(), "0000")</f>
        <v>3195</v>
      </c>
      <c r="L3195" s="8"/>
    </row>
    <row r="3196" customFormat="false" ht="15.75" hidden="false" customHeight="true" outlineLevel="0" collapsed="false">
      <c r="A3196" s="7" t="n">
        <v>45879</v>
      </c>
      <c r="B3196" s="8" t="s">
        <v>16</v>
      </c>
      <c r="C3196" s="9" t="n">
        <v>2960</v>
      </c>
      <c r="D3196" s="8" t="s">
        <v>21</v>
      </c>
      <c r="E3196" s="10" t="s">
        <v>88</v>
      </c>
      <c r="F3196" s="8" t="str">
        <f aca="false">TEXT(A3196,"MM-YYYY")</f>
        <v>08-2025</v>
      </c>
      <c r="G3196" s="8"/>
      <c r="H3196" s="8"/>
      <c r="I3196" s="7"/>
      <c r="J3196" s="8" t="str">
        <f aca="false">VLOOKUP(B3196, Table3[#All], 2, FALSE())</f>
        <v>Sales</v>
      </c>
      <c r="K3196" s="8" t="str">
        <f aca="false">TEXT(ROW(), "0000")</f>
        <v>3196</v>
      </c>
      <c r="L3196" s="8"/>
    </row>
    <row r="3197" customFormat="false" ht="15.75" hidden="false" customHeight="true" outlineLevel="0" collapsed="false">
      <c r="A3197" s="7" t="n">
        <v>45879</v>
      </c>
      <c r="B3197" s="8" t="s">
        <v>16</v>
      </c>
      <c r="C3197" s="9" t="n">
        <v>1625</v>
      </c>
      <c r="D3197" s="8" t="s">
        <v>27</v>
      </c>
      <c r="E3197" s="10" t="s">
        <v>88</v>
      </c>
      <c r="F3197" s="8" t="str">
        <f aca="false">TEXT(A3197,"MM-YYYY")</f>
        <v>08-2025</v>
      </c>
      <c r="G3197" s="8"/>
      <c r="H3197" s="8"/>
      <c r="I3197" s="7"/>
      <c r="J3197" s="8" t="str">
        <f aca="false">VLOOKUP(B3197, Table3[#All], 2, FALSE())</f>
        <v>Sales</v>
      </c>
      <c r="K3197" s="8" t="str">
        <f aca="false">TEXT(ROW(), "0000")</f>
        <v>3197</v>
      </c>
      <c r="L3197" s="8"/>
    </row>
    <row r="3198" customFormat="false" ht="15.75" hidden="false" customHeight="true" outlineLevel="0" collapsed="false">
      <c r="A3198" s="7" t="n">
        <v>45879</v>
      </c>
      <c r="B3198" s="8" t="s">
        <v>16</v>
      </c>
      <c r="C3198" s="9" t="n">
        <v>815</v>
      </c>
      <c r="D3198" s="8" t="s">
        <v>33</v>
      </c>
      <c r="E3198" s="10" t="s">
        <v>88</v>
      </c>
      <c r="F3198" s="8" t="str">
        <f aca="false">TEXT(A3198,"MM-YYYY")</f>
        <v>08-2025</v>
      </c>
      <c r="G3198" s="8"/>
      <c r="H3198" s="8"/>
      <c r="I3198" s="7"/>
      <c r="J3198" s="8" t="str">
        <f aca="false">VLOOKUP(B3198, Table3[#All], 2, FALSE())</f>
        <v>Sales</v>
      </c>
      <c r="K3198" s="8" t="str">
        <f aca="false">TEXT(ROW(), "0000")</f>
        <v>3198</v>
      </c>
      <c r="L3198" s="8"/>
    </row>
    <row r="3199" customFormat="false" ht="15.75" hidden="false" customHeight="true" outlineLevel="0" collapsed="false">
      <c r="A3199" s="7" t="n">
        <v>45879</v>
      </c>
      <c r="B3199" s="8" t="s">
        <v>16</v>
      </c>
      <c r="C3199" s="9" t="n">
        <v>20058</v>
      </c>
      <c r="D3199" s="8" t="s">
        <v>17</v>
      </c>
      <c r="E3199" s="10" t="s">
        <v>88</v>
      </c>
      <c r="F3199" s="8" t="str">
        <f aca="false">TEXT(A3199,"MM-YYYY")</f>
        <v>08-2025</v>
      </c>
      <c r="G3199" s="8"/>
      <c r="H3199" s="8"/>
      <c r="I3199" s="7"/>
      <c r="J3199" s="8" t="str">
        <f aca="false">VLOOKUP(B3199, Table3[#All], 2, FALSE())</f>
        <v>Sales</v>
      </c>
      <c r="K3199" s="8" t="str">
        <f aca="false">TEXT(ROW(), "0000")</f>
        <v>3199</v>
      </c>
      <c r="L3199" s="8"/>
    </row>
    <row r="3200" customFormat="false" ht="15.75" hidden="false" customHeight="true" outlineLevel="0" collapsed="false">
      <c r="A3200" s="7" t="n">
        <v>45879</v>
      </c>
      <c r="B3200" s="8" t="s">
        <v>16</v>
      </c>
      <c r="C3200" s="9" t="n">
        <v>4189</v>
      </c>
      <c r="D3200" s="8" t="s">
        <v>24</v>
      </c>
      <c r="E3200" s="10" t="s">
        <v>88</v>
      </c>
      <c r="F3200" s="8" t="str">
        <f aca="false">TEXT(A3200,"MM-YYYY")</f>
        <v>08-2025</v>
      </c>
      <c r="G3200" s="8"/>
      <c r="H3200" s="8"/>
      <c r="I3200" s="7"/>
      <c r="J3200" s="8" t="str">
        <f aca="false">VLOOKUP(B3200, Table3[#All], 2, FALSE())</f>
        <v>Sales</v>
      </c>
      <c r="K3200" s="8" t="str">
        <f aca="false">TEXT(ROW(), "0000")</f>
        <v>3200</v>
      </c>
      <c r="L3200" s="8"/>
    </row>
    <row r="3201" customFormat="false" ht="15.75" hidden="false" customHeight="true" outlineLevel="0" collapsed="false">
      <c r="A3201" s="7" t="n">
        <v>45879</v>
      </c>
      <c r="B3201" s="8" t="s">
        <v>16</v>
      </c>
      <c r="C3201" s="9" t="n">
        <v>889</v>
      </c>
      <c r="D3201" s="8" t="s">
        <v>59</v>
      </c>
      <c r="E3201" s="10" t="s">
        <v>88</v>
      </c>
      <c r="F3201" s="8" t="str">
        <f aca="false">TEXT(A3201,"MM-YYYY")</f>
        <v>08-2025</v>
      </c>
      <c r="G3201" s="8"/>
      <c r="H3201" s="8"/>
      <c r="I3201" s="7"/>
      <c r="J3201" s="8" t="str">
        <f aca="false">VLOOKUP(B3201, Table3[#All], 2, FALSE())</f>
        <v>Sales</v>
      </c>
      <c r="K3201" s="8" t="str">
        <f aca="false">TEXT(ROW(), "0000")</f>
        <v>3201</v>
      </c>
      <c r="L3201" s="8"/>
    </row>
    <row r="3202" customFormat="false" ht="15.75" hidden="false" customHeight="true" outlineLevel="0" collapsed="false">
      <c r="A3202" s="7" t="n">
        <v>45879</v>
      </c>
      <c r="B3202" s="8" t="s">
        <v>44</v>
      </c>
      <c r="C3202" s="9" t="n">
        <v>1000</v>
      </c>
      <c r="D3202" s="8" t="s">
        <v>13</v>
      </c>
      <c r="E3202" s="10" t="s">
        <v>377</v>
      </c>
      <c r="F3202" s="8" t="str">
        <f aca="false">TEXT(A3202,"MM-YYYY")</f>
        <v>08-2025</v>
      </c>
      <c r="G3202" s="8" t="s">
        <v>14</v>
      </c>
      <c r="H3202" s="8" t="s">
        <v>262</v>
      </c>
      <c r="I3202" s="7" t="n">
        <v>45879</v>
      </c>
      <c r="J3202" s="8" t="str">
        <f aca="false">VLOOKUP(B3202, Table3[#All], 2, FALSE())</f>
        <v>Salary</v>
      </c>
      <c r="K3202" s="8" t="str">
        <f aca="false">TEXT(ROW(), "0000")</f>
        <v>3202</v>
      </c>
      <c r="L3202" s="8"/>
    </row>
    <row r="3203" customFormat="false" ht="15.75" hidden="false" customHeight="true" outlineLevel="0" collapsed="false">
      <c r="A3203" s="7" t="n">
        <v>45880</v>
      </c>
      <c r="B3203" s="8" t="s">
        <v>47</v>
      </c>
      <c r="C3203" s="9" t="n">
        <v>1800</v>
      </c>
      <c r="D3203" s="8" t="s">
        <v>13</v>
      </c>
      <c r="E3203" s="10" t="s">
        <v>339</v>
      </c>
      <c r="F3203" s="8" t="str">
        <f aca="false">TEXT(A3203,"MM-YYYY")</f>
        <v>08-2025</v>
      </c>
      <c r="G3203" s="8" t="s">
        <v>18</v>
      </c>
      <c r="H3203" s="8" t="s">
        <v>262</v>
      </c>
      <c r="I3203" s="7"/>
      <c r="J3203" s="8" t="str">
        <f aca="false">VLOOKUP(B3203, Table3[#All], 2, FALSE())</f>
        <v>Inventory</v>
      </c>
      <c r="K3203" s="8" t="str">
        <f aca="false">TEXT(ROW(), "0000")</f>
        <v>3203</v>
      </c>
      <c r="L3203" s="8"/>
    </row>
    <row r="3204" customFormat="false" ht="15.75" hidden="false" customHeight="true" outlineLevel="0" collapsed="false">
      <c r="A3204" s="7" t="n">
        <v>45880</v>
      </c>
      <c r="B3204" s="8" t="s">
        <v>32</v>
      </c>
      <c r="C3204" s="9" t="n">
        <v>350</v>
      </c>
      <c r="D3204" s="8" t="s">
        <v>21</v>
      </c>
      <c r="E3204" s="10" t="s">
        <v>412</v>
      </c>
      <c r="F3204" s="8" t="str">
        <f aca="false">TEXT(A3204,"MM-YYYY")</f>
        <v>08-2025</v>
      </c>
      <c r="G3204" s="8" t="s">
        <v>14</v>
      </c>
      <c r="H3204" s="8" t="s">
        <v>262</v>
      </c>
      <c r="I3204" s="7" t="n">
        <v>45880</v>
      </c>
      <c r="J3204" s="8" t="str">
        <f aca="false">VLOOKUP(B3204, Table3[#All], 2, FALSE())</f>
        <v>Grocery</v>
      </c>
      <c r="K3204" s="8" t="str">
        <f aca="false">TEXT(ROW(), "0000")</f>
        <v>3204</v>
      </c>
      <c r="L3204" s="8"/>
    </row>
    <row r="3205" customFormat="false" ht="15.75" hidden="false" customHeight="true" outlineLevel="0" collapsed="false">
      <c r="A3205" s="7" t="n">
        <v>45880</v>
      </c>
      <c r="B3205" s="8" t="s">
        <v>44</v>
      </c>
      <c r="C3205" s="9" t="n">
        <v>300</v>
      </c>
      <c r="D3205" s="8" t="s">
        <v>13</v>
      </c>
      <c r="E3205" s="10" t="s">
        <v>86</v>
      </c>
      <c r="F3205" s="8" t="str">
        <f aca="false">TEXT(A3205,"MM-YYYY")</f>
        <v>08-2025</v>
      </c>
      <c r="G3205" s="8" t="s">
        <v>14</v>
      </c>
      <c r="H3205" s="8" t="s">
        <v>262</v>
      </c>
      <c r="I3205" s="7" t="n">
        <v>45880</v>
      </c>
      <c r="J3205" s="8" t="str">
        <f aca="false">VLOOKUP(B3205, Table3[#All], 2, FALSE())</f>
        <v>Salary</v>
      </c>
      <c r="K3205" s="8" t="str">
        <f aca="false">TEXT(ROW(), "0000")</f>
        <v>3205</v>
      </c>
      <c r="L3205" s="8"/>
    </row>
    <row r="3206" customFormat="false" ht="15.75" hidden="false" customHeight="true" outlineLevel="0" collapsed="false">
      <c r="A3206" s="7" t="n">
        <v>45880</v>
      </c>
      <c r="B3206" s="8" t="s">
        <v>19</v>
      </c>
      <c r="C3206" s="9" t="n">
        <v>2788</v>
      </c>
      <c r="D3206" s="8" t="s">
        <v>13</v>
      </c>
      <c r="E3206" s="10" t="s">
        <v>413</v>
      </c>
      <c r="F3206" s="8" t="str">
        <f aca="false">TEXT(A3206,"MM-YYYY")</f>
        <v>08-2025</v>
      </c>
      <c r="G3206" s="8" t="s">
        <v>14</v>
      </c>
      <c r="H3206" s="8" t="s">
        <v>13</v>
      </c>
      <c r="I3206" s="7"/>
      <c r="J3206" s="8" t="str">
        <f aca="false">VLOOKUP(B3206, Table3[#All], 2, FALSE())</f>
        <v>Inventory</v>
      </c>
      <c r="K3206" s="8" t="str">
        <f aca="false">TEXT(ROW(), "0000")</f>
        <v>3206</v>
      </c>
      <c r="L3206" s="8"/>
    </row>
    <row r="3207" customFormat="false" ht="15.75" hidden="false" customHeight="true" outlineLevel="0" collapsed="false">
      <c r="A3207" s="7" t="n">
        <v>45880</v>
      </c>
      <c r="B3207" s="8" t="s">
        <v>25</v>
      </c>
      <c r="C3207" s="9" t="n">
        <v>350</v>
      </c>
      <c r="D3207" s="8" t="s">
        <v>21</v>
      </c>
      <c r="E3207" s="10" t="s">
        <v>272</v>
      </c>
      <c r="F3207" s="8" t="str">
        <f aca="false">TEXT(A3207,"MM-YYYY")</f>
        <v>08-2025</v>
      </c>
      <c r="G3207" s="8" t="s">
        <v>14</v>
      </c>
      <c r="H3207" s="8" t="s">
        <v>262</v>
      </c>
      <c r="I3207" s="7" t="n">
        <v>45880</v>
      </c>
      <c r="J3207" s="8" t="str">
        <f aca="false">VLOOKUP(B3207, Table3[#All], 2, FALSE())</f>
        <v>Inventory</v>
      </c>
      <c r="K3207" s="8" t="str">
        <f aca="false">TEXT(ROW(), "0000")</f>
        <v>3207</v>
      </c>
      <c r="L3207" s="8"/>
    </row>
    <row r="3208" customFormat="false" ht="15.75" hidden="false" customHeight="true" outlineLevel="0" collapsed="false">
      <c r="A3208" s="7" t="n">
        <v>45880</v>
      </c>
      <c r="B3208" s="8" t="s">
        <v>43</v>
      </c>
      <c r="C3208" s="9" t="n">
        <v>100</v>
      </c>
      <c r="D3208" s="8" t="s">
        <v>21</v>
      </c>
      <c r="E3208" s="10" t="s">
        <v>414</v>
      </c>
      <c r="F3208" s="8" t="str">
        <f aca="false">TEXT(A3208,"MM-YYYY")</f>
        <v>08-2025</v>
      </c>
      <c r="G3208" s="8" t="s">
        <v>14</v>
      </c>
      <c r="H3208" s="8" t="s">
        <v>262</v>
      </c>
      <c r="I3208" s="7" t="n">
        <v>45880</v>
      </c>
      <c r="J3208" s="8" t="str">
        <f aca="false">VLOOKUP(B3208, Table3[#All], 2, FALSE())</f>
        <v>Maintance</v>
      </c>
      <c r="K3208" s="8" t="str">
        <f aca="false">TEXT(ROW(), "0000")</f>
        <v>3208</v>
      </c>
      <c r="L3208" s="8"/>
    </row>
    <row r="3209" customFormat="false" ht="15.75" hidden="false" customHeight="true" outlineLevel="0" collapsed="false">
      <c r="A3209" s="7" t="n">
        <v>45880</v>
      </c>
      <c r="B3209" s="8" t="s">
        <v>43</v>
      </c>
      <c r="C3209" s="9" t="n">
        <v>100</v>
      </c>
      <c r="D3209" s="8" t="s">
        <v>21</v>
      </c>
      <c r="E3209" s="10" t="s">
        <v>206</v>
      </c>
      <c r="F3209" s="8" t="str">
        <f aca="false">TEXT(A3209,"MM-YYYY")</f>
        <v>08-2025</v>
      </c>
      <c r="G3209" s="8" t="s">
        <v>14</v>
      </c>
      <c r="H3209" s="8" t="s">
        <v>262</v>
      </c>
      <c r="I3209" s="7" t="n">
        <v>45880</v>
      </c>
      <c r="J3209" s="8" t="str">
        <f aca="false">VLOOKUP(B3209, Table3[#All], 2, FALSE())</f>
        <v>Maintance</v>
      </c>
      <c r="K3209" s="8" t="str">
        <f aca="false">TEXT(ROW(), "0000")</f>
        <v>3209</v>
      </c>
      <c r="L3209" s="8"/>
    </row>
    <row r="3210" customFormat="false" ht="15.75" hidden="false" customHeight="true" outlineLevel="0" collapsed="false">
      <c r="A3210" s="7" t="n">
        <v>45880</v>
      </c>
      <c r="B3210" s="8" t="s">
        <v>29</v>
      </c>
      <c r="C3210" s="9" t="n">
        <v>731</v>
      </c>
      <c r="D3210" s="8" t="s">
        <v>13</v>
      </c>
      <c r="E3210" s="10" t="s">
        <v>302</v>
      </c>
      <c r="F3210" s="8" t="str">
        <f aca="false">TEXT(A3210,"MM-YYYY")</f>
        <v>08-2025</v>
      </c>
      <c r="G3210" s="8" t="s">
        <v>18</v>
      </c>
      <c r="H3210" s="8"/>
      <c r="I3210" s="7"/>
      <c r="J3210" s="8" t="str">
        <f aca="false">VLOOKUP(B3210, Table3[#All], 2, FALSE())</f>
        <v>Inventory</v>
      </c>
      <c r="K3210" s="8" t="str">
        <f aca="false">TEXT(ROW(), "0000")</f>
        <v>3210</v>
      </c>
      <c r="L3210" s="8"/>
    </row>
    <row r="3211" customFormat="false" ht="15.75" hidden="false" customHeight="true" outlineLevel="0" collapsed="false">
      <c r="A3211" s="7" t="n">
        <v>45880</v>
      </c>
      <c r="B3211" s="8" t="s">
        <v>29</v>
      </c>
      <c r="C3211" s="9" t="n">
        <v>770</v>
      </c>
      <c r="D3211" s="8" t="s">
        <v>13</v>
      </c>
      <c r="E3211" s="10" t="s">
        <v>415</v>
      </c>
      <c r="F3211" s="8" t="str">
        <f aca="false">TEXT(A3211,"MM-YYYY")</f>
        <v>08-2025</v>
      </c>
      <c r="G3211" s="8" t="s">
        <v>14</v>
      </c>
      <c r="H3211" s="8" t="s">
        <v>262</v>
      </c>
      <c r="I3211" s="7"/>
      <c r="J3211" s="8" t="str">
        <f aca="false">VLOOKUP(B3211, Table3[#All], 2, FALSE())</f>
        <v>Inventory</v>
      </c>
      <c r="K3211" s="8" t="str">
        <f aca="false">TEXT(ROW(), "0000")</f>
        <v>3211</v>
      </c>
      <c r="L3211" s="8"/>
    </row>
    <row r="3212" customFormat="false" ht="15.75" hidden="false" customHeight="true" outlineLevel="0" collapsed="false">
      <c r="A3212" s="7" t="n">
        <v>45880</v>
      </c>
      <c r="B3212" s="8" t="s">
        <v>35</v>
      </c>
      <c r="C3212" s="9" t="n">
        <v>100</v>
      </c>
      <c r="D3212" s="8" t="s">
        <v>21</v>
      </c>
      <c r="E3212" s="10" t="s">
        <v>206</v>
      </c>
      <c r="F3212" s="8" t="str">
        <f aca="false">TEXT(A3212,"MM-YYYY")</f>
        <v>08-2025</v>
      </c>
      <c r="G3212" s="8" t="s">
        <v>14</v>
      </c>
      <c r="H3212" s="8" t="s">
        <v>262</v>
      </c>
      <c r="I3212" s="7"/>
      <c r="J3212" s="8" t="str">
        <f aca="false">VLOOKUP(B3212, Table3[#All], 2, FALSE())</f>
        <v>Inventory</v>
      </c>
      <c r="K3212" s="8" t="str">
        <f aca="false">TEXT(ROW(), "0000")</f>
        <v>3212</v>
      </c>
      <c r="L3212" s="8"/>
    </row>
    <row r="3213" customFormat="false" ht="15.75" hidden="false" customHeight="true" outlineLevel="0" collapsed="false">
      <c r="A3213" s="7" t="n">
        <v>45880</v>
      </c>
      <c r="B3213" s="8" t="s">
        <v>37</v>
      </c>
      <c r="C3213" s="9" t="n">
        <v>20</v>
      </c>
      <c r="D3213" s="8" t="s">
        <v>21</v>
      </c>
      <c r="E3213" s="10" t="s">
        <v>416</v>
      </c>
      <c r="F3213" s="8" t="str">
        <f aca="false">TEXT(A3213,"MM-YYYY")</f>
        <v>08-2025</v>
      </c>
      <c r="G3213" s="8" t="s">
        <v>14</v>
      </c>
      <c r="H3213" s="8" t="s">
        <v>262</v>
      </c>
      <c r="I3213" s="7"/>
      <c r="J3213" s="8" t="str">
        <f aca="false">VLOOKUP(B3213, Table3[#All], 2, FALSE())</f>
        <v>Maintance</v>
      </c>
      <c r="K3213" s="8" t="str">
        <f aca="false">TEXT(ROW(), "0000")</f>
        <v>3213</v>
      </c>
      <c r="L3213" s="8"/>
    </row>
    <row r="3214" customFormat="false" ht="15.75" hidden="false" customHeight="true" outlineLevel="0" collapsed="false">
      <c r="A3214" s="7" t="n">
        <v>45880</v>
      </c>
      <c r="B3214" s="8" t="s">
        <v>16</v>
      </c>
      <c r="C3214" s="9" t="n">
        <v>910</v>
      </c>
      <c r="D3214" s="8" t="s">
        <v>21</v>
      </c>
      <c r="E3214" s="10" t="s">
        <v>101</v>
      </c>
      <c r="F3214" s="8" t="str">
        <f aca="false">TEXT(A3214,"MM-YYYY")</f>
        <v>08-2025</v>
      </c>
      <c r="G3214" s="8"/>
      <c r="H3214" s="8"/>
      <c r="I3214" s="7"/>
      <c r="J3214" s="8" t="str">
        <f aca="false">VLOOKUP(B3214, Table3[#All], 2, FALSE())</f>
        <v>Sales</v>
      </c>
      <c r="K3214" s="8" t="str">
        <f aca="false">TEXT(ROW(), "0000")</f>
        <v>3214</v>
      </c>
      <c r="L3214" s="8"/>
    </row>
    <row r="3215" customFormat="false" ht="15.75" hidden="false" customHeight="true" outlineLevel="0" collapsed="false">
      <c r="A3215" s="7" t="n">
        <v>45880</v>
      </c>
      <c r="B3215" s="8" t="s">
        <v>16</v>
      </c>
      <c r="C3215" s="9" t="n">
        <v>2736</v>
      </c>
      <c r="D3215" s="8" t="s">
        <v>59</v>
      </c>
      <c r="E3215" s="10" t="s">
        <v>101</v>
      </c>
      <c r="F3215" s="8" t="str">
        <f aca="false">TEXT(A3215,"MM-YYYY")</f>
        <v>08-2025</v>
      </c>
      <c r="G3215" s="8"/>
      <c r="H3215" s="8"/>
      <c r="I3215" s="7"/>
      <c r="J3215" s="8" t="str">
        <f aca="false">VLOOKUP(B3215, Table3[#All], 2, FALSE())</f>
        <v>Sales</v>
      </c>
      <c r="K3215" s="8" t="str">
        <f aca="false">TEXT(ROW(), "0000")</f>
        <v>3215</v>
      </c>
      <c r="L3215" s="8"/>
    </row>
    <row r="3216" customFormat="false" ht="15.75" hidden="false" customHeight="true" outlineLevel="0" collapsed="false">
      <c r="A3216" s="7" t="n">
        <v>45880</v>
      </c>
      <c r="B3216" s="8" t="s">
        <v>16</v>
      </c>
      <c r="C3216" s="9" t="n">
        <v>9170</v>
      </c>
      <c r="D3216" s="8" t="s">
        <v>17</v>
      </c>
      <c r="E3216" s="10" t="s">
        <v>101</v>
      </c>
      <c r="F3216" s="8" t="str">
        <f aca="false">TEXT(A3216,"MM-YYYY")</f>
        <v>08-2025</v>
      </c>
      <c r="G3216" s="8" t="s">
        <v>18</v>
      </c>
      <c r="H3216" s="8"/>
      <c r="I3216" s="7"/>
      <c r="J3216" s="8" t="str">
        <f aca="false">VLOOKUP(B3216, Table3[#All], 2, FALSE())</f>
        <v>Sales</v>
      </c>
      <c r="K3216" s="8" t="str">
        <f aca="false">TEXT(ROW(), "0000")</f>
        <v>3216</v>
      </c>
      <c r="L3216" s="8"/>
    </row>
    <row r="3217" customFormat="false" ht="15.75" hidden="false" customHeight="true" outlineLevel="0" collapsed="false">
      <c r="A3217" s="7" t="n">
        <v>45881</v>
      </c>
      <c r="B3217" s="8" t="s">
        <v>19</v>
      </c>
      <c r="C3217" s="9" t="n">
        <v>1253</v>
      </c>
      <c r="D3217" s="8" t="s">
        <v>13</v>
      </c>
      <c r="E3217" s="10" t="s">
        <v>417</v>
      </c>
      <c r="F3217" s="8" t="str">
        <f aca="false">TEXT(A3217,"MM-YYYY")</f>
        <v>08-2025</v>
      </c>
      <c r="G3217" s="8" t="s">
        <v>14</v>
      </c>
      <c r="H3217" s="8" t="s">
        <v>13</v>
      </c>
      <c r="I3217" s="7"/>
      <c r="J3217" s="8" t="str">
        <f aca="false">VLOOKUP(B3217, Table3[#All], 2, FALSE())</f>
        <v>Inventory</v>
      </c>
      <c r="K3217" s="8" t="str">
        <f aca="false">TEXT(ROW(), "0000")</f>
        <v>3217</v>
      </c>
      <c r="L3217" s="8"/>
    </row>
    <row r="3218" customFormat="false" ht="15.75" hidden="false" customHeight="true" outlineLevel="0" collapsed="false">
      <c r="A3218" s="7" t="n">
        <v>45881</v>
      </c>
      <c r="B3218" s="8" t="s">
        <v>25</v>
      </c>
      <c r="C3218" s="9" t="n">
        <v>510</v>
      </c>
      <c r="D3218" s="8" t="s">
        <v>13</v>
      </c>
      <c r="E3218" s="10" t="s">
        <v>92</v>
      </c>
      <c r="F3218" s="8" t="str">
        <f aca="false">TEXT(A3218,"MM-YYYY")</f>
        <v>08-2025</v>
      </c>
      <c r="G3218" s="8" t="s">
        <v>18</v>
      </c>
      <c r="H3218" s="8"/>
      <c r="I3218" s="7"/>
      <c r="J3218" s="8" t="str">
        <f aca="false">VLOOKUP(B3218, Table3[#All], 2, FALSE())</f>
        <v>Inventory</v>
      </c>
      <c r="K3218" s="8" t="str">
        <f aca="false">TEXT(ROW(), "0000")</f>
        <v>3218</v>
      </c>
      <c r="L3218" s="8"/>
    </row>
    <row r="3219" customFormat="false" ht="15.75" hidden="false" customHeight="true" outlineLevel="0" collapsed="false">
      <c r="A3219" s="7" t="n">
        <v>45881</v>
      </c>
      <c r="B3219" s="8" t="s">
        <v>43</v>
      </c>
      <c r="C3219" s="9" t="n">
        <v>1000</v>
      </c>
      <c r="D3219" s="8" t="s">
        <v>13</v>
      </c>
      <c r="E3219" s="10" t="s">
        <v>418</v>
      </c>
      <c r="F3219" s="8" t="str">
        <f aca="false">TEXT(A3219,"MM-YYYY")</f>
        <v>08-2025</v>
      </c>
      <c r="G3219" s="8" t="s">
        <v>14</v>
      </c>
      <c r="H3219" s="8"/>
      <c r="I3219" s="7"/>
      <c r="J3219" s="8" t="str">
        <f aca="false">VLOOKUP(B3219, Table3[#All], 2, FALSE())</f>
        <v>Maintance</v>
      </c>
      <c r="K3219" s="8" t="str">
        <f aca="false">TEXT(ROW(), "0000")</f>
        <v>3219</v>
      </c>
      <c r="L3219" s="8"/>
    </row>
    <row r="3220" customFormat="false" ht="15.75" hidden="false" customHeight="true" outlineLevel="0" collapsed="false">
      <c r="A3220" s="7" t="n">
        <v>45882</v>
      </c>
      <c r="B3220" s="8" t="s">
        <v>47</v>
      </c>
      <c r="C3220" s="9" t="n">
        <v>900</v>
      </c>
      <c r="D3220" s="8" t="s">
        <v>13</v>
      </c>
      <c r="E3220" s="10" t="s">
        <v>339</v>
      </c>
      <c r="F3220" s="8" t="str">
        <f aca="false">TEXT(A3220,"MM-YYYY")</f>
        <v>08-2025</v>
      </c>
      <c r="G3220" s="8" t="s">
        <v>18</v>
      </c>
      <c r="H3220" s="8"/>
      <c r="I3220" s="7"/>
      <c r="J3220" s="8" t="str">
        <f aca="false">VLOOKUP(B3220, Table3[#All], 2, FALSE())</f>
        <v>Inventory</v>
      </c>
      <c r="K3220" s="8" t="str">
        <f aca="false">TEXT(ROW(), "0000")</f>
        <v>3220</v>
      </c>
      <c r="L3220" s="8"/>
    </row>
    <row r="3221" customFormat="false" ht="15.75" hidden="false" customHeight="true" outlineLevel="0" collapsed="false">
      <c r="A3221" s="7" t="n">
        <v>45882</v>
      </c>
      <c r="B3221" s="8" t="s">
        <v>25</v>
      </c>
      <c r="C3221" s="9" t="n">
        <v>900</v>
      </c>
      <c r="D3221" s="8" t="s">
        <v>13</v>
      </c>
      <c r="E3221" s="10" t="s">
        <v>92</v>
      </c>
      <c r="F3221" s="8" t="str">
        <f aca="false">TEXT(A3221,"MM-YYYY")</f>
        <v>08-2025</v>
      </c>
      <c r="G3221" s="8" t="s">
        <v>18</v>
      </c>
      <c r="H3221" s="8"/>
      <c r="I3221" s="7"/>
      <c r="J3221" s="8" t="str">
        <f aca="false">VLOOKUP(B3221, Table3[#All], 2, FALSE())</f>
        <v>Inventory</v>
      </c>
      <c r="K3221" s="8" t="str">
        <f aca="false">TEXT(ROW(), "0000")</f>
        <v>3221</v>
      </c>
      <c r="L3221" s="8"/>
    </row>
    <row r="3222" customFormat="false" ht="15.75" hidden="false" customHeight="true" outlineLevel="0" collapsed="false">
      <c r="A3222" s="7" t="n">
        <v>45882</v>
      </c>
      <c r="B3222" s="8" t="s">
        <v>43</v>
      </c>
      <c r="C3222" s="9" t="n">
        <v>450</v>
      </c>
      <c r="D3222" s="8" t="s">
        <v>21</v>
      </c>
      <c r="E3222" s="10" t="s">
        <v>419</v>
      </c>
      <c r="F3222" s="8" t="str">
        <f aca="false">TEXT(A3222,"MM-YYYY")</f>
        <v>08-2025</v>
      </c>
      <c r="G3222" s="8" t="s">
        <v>14</v>
      </c>
      <c r="H3222" s="8"/>
      <c r="I3222" s="7" t="n">
        <v>45882</v>
      </c>
      <c r="J3222" s="8" t="str">
        <f aca="false">VLOOKUP(B3222, Table3[#All], 2, FALSE())</f>
        <v>Maintance</v>
      </c>
      <c r="K3222" s="8" t="str">
        <f aca="false">TEXT(ROW(), "0000")</f>
        <v>3222</v>
      </c>
      <c r="L3222" s="8"/>
    </row>
    <row r="3223" customFormat="false" ht="15.75" hidden="false" customHeight="true" outlineLevel="0" collapsed="false">
      <c r="A3223" s="7" t="n">
        <v>45882</v>
      </c>
      <c r="B3223" s="8" t="s">
        <v>19</v>
      </c>
      <c r="C3223" s="9" t="n">
        <v>755</v>
      </c>
      <c r="D3223" s="8" t="s">
        <v>13</v>
      </c>
      <c r="E3223" s="10" t="s">
        <v>417</v>
      </c>
      <c r="F3223" s="8" t="str">
        <f aca="false">TEXT(A3223,"MM-YYYY")</f>
        <v>08-2025</v>
      </c>
      <c r="G3223" s="8" t="s">
        <v>14</v>
      </c>
      <c r="H3223" s="8" t="s">
        <v>13</v>
      </c>
      <c r="I3223" s="7"/>
      <c r="J3223" s="8" t="str">
        <f aca="false">VLOOKUP(B3223, Table3[#All], 2, FALSE())</f>
        <v>Inventory</v>
      </c>
      <c r="K3223" s="8" t="str">
        <f aca="false">TEXT(ROW(), "0000")</f>
        <v>3223</v>
      </c>
      <c r="L3223" s="8"/>
    </row>
    <row r="3224" customFormat="false" ht="15.75" hidden="false" customHeight="true" outlineLevel="0" collapsed="false">
      <c r="A3224" s="7" t="n">
        <v>45882</v>
      </c>
      <c r="B3224" s="8" t="s">
        <v>37</v>
      </c>
      <c r="C3224" s="9" t="n">
        <v>20</v>
      </c>
      <c r="D3224" s="8" t="s">
        <v>21</v>
      </c>
      <c r="E3224" s="10" t="s">
        <v>420</v>
      </c>
      <c r="F3224" s="8" t="str">
        <f aca="false">TEXT(A3224,"MM-YYYY")</f>
        <v>08-2025</v>
      </c>
      <c r="G3224" s="8" t="s">
        <v>14</v>
      </c>
      <c r="H3224" s="8"/>
      <c r="I3224" s="7" t="n">
        <v>45882</v>
      </c>
      <c r="J3224" s="8" t="str">
        <f aca="false">VLOOKUP(B3224, Table3[#All], 2, FALSE())</f>
        <v>Maintance</v>
      </c>
      <c r="K3224" s="8" t="str">
        <f aca="false">TEXT(ROW(), "0000")</f>
        <v>3224</v>
      </c>
      <c r="L3224" s="8"/>
    </row>
    <row r="3225" customFormat="false" ht="15.75" hidden="false" customHeight="true" outlineLevel="0" collapsed="false">
      <c r="A3225" s="7" t="n">
        <v>45882</v>
      </c>
      <c r="B3225" s="8" t="s">
        <v>40</v>
      </c>
      <c r="C3225" s="9" t="n">
        <v>1480</v>
      </c>
      <c r="D3225" s="8" t="s">
        <v>21</v>
      </c>
      <c r="E3225" s="10" t="s">
        <v>421</v>
      </c>
      <c r="F3225" s="8" t="str">
        <f aca="false">TEXT(A3225,"MM-YYYY")</f>
        <v>08-2025</v>
      </c>
      <c r="G3225" s="8" t="s">
        <v>14</v>
      </c>
      <c r="H3225" s="8"/>
      <c r="I3225" s="7" t="n">
        <v>45882</v>
      </c>
      <c r="J3225" s="8" t="str">
        <f aca="false">VLOOKUP(B3225, Table3[#All], 2, FALSE())</f>
        <v>Inventory</v>
      </c>
      <c r="K3225" s="8" t="str">
        <f aca="false">TEXT(ROW(), "0000")</f>
        <v>3225</v>
      </c>
      <c r="L3225" s="8"/>
    </row>
    <row r="3226" customFormat="false" ht="15.75" hidden="false" customHeight="true" outlineLevel="0" collapsed="false">
      <c r="A3226" s="7" t="n">
        <v>45881</v>
      </c>
      <c r="B3226" s="8" t="s">
        <v>16</v>
      </c>
      <c r="C3226" s="9" t="n">
        <v>1810</v>
      </c>
      <c r="D3226" s="8" t="s">
        <v>21</v>
      </c>
      <c r="E3226" s="10" t="s">
        <v>88</v>
      </c>
      <c r="F3226" s="8" t="str">
        <f aca="false">TEXT(A3226,"MM-YYYY")</f>
        <v>08-2025</v>
      </c>
      <c r="G3226" s="8"/>
      <c r="H3226" s="8"/>
      <c r="I3226" s="7"/>
      <c r="J3226" s="8" t="str">
        <f aca="false">VLOOKUP(B3226, Table3[#All], 2, FALSE())</f>
        <v>Sales</v>
      </c>
      <c r="K3226" s="8" t="str">
        <f aca="false">TEXT(ROW(), "0000")</f>
        <v>3226</v>
      </c>
      <c r="L3226" s="8"/>
    </row>
    <row r="3227" customFormat="false" ht="15.75" hidden="false" customHeight="true" outlineLevel="0" collapsed="false">
      <c r="A3227" s="7" t="n">
        <v>45881</v>
      </c>
      <c r="B3227" s="8" t="s">
        <v>16</v>
      </c>
      <c r="C3227" s="9" t="n">
        <v>810</v>
      </c>
      <c r="D3227" s="8" t="s">
        <v>27</v>
      </c>
      <c r="E3227" s="10" t="s">
        <v>88</v>
      </c>
      <c r="F3227" s="8" t="str">
        <f aca="false">TEXT(A3227,"MM-YYYY")</f>
        <v>08-2025</v>
      </c>
      <c r="G3227" s="8"/>
      <c r="H3227" s="8"/>
      <c r="I3227" s="7"/>
      <c r="J3227" s="8" t="str">
        <f aca="false">VLOOKUP(B3227, Table3[#All], 2, FALSE())</f>
        <v>Sales</v>
      </c>
      <c r="K3227" s="8" t="str">
        <f aca="false">TEXT(ROW(), "0000")</f>
        <v>3227</v>
      </c>
      <c r="L3227" s="8"/>
    </row>
    <row r="3228" customFormat="false" ht="15.75" hidden="false" customHeight="true" outlineLevel="0" collapsed="false">
      <c r="A3228" s="7" t="n">
        <v>45881</v>
      </c>
      <c r="B3228" s="8" t="s">
        <v>16</v>
      </c>
      <c r="C3228" s="9" t="n">
        <v>740</v>
      </c>
      <c r="D3228" s="8" t="s">
        <v>33</v>
      </c>
      <c r="E3228" s="10" t="s">
        <v>88</v>
      </c>
      <c r="F3228" s="8" t="str">
        <f aca="false">TEXT(A3228,"MM-YYYY")</f>
        <v>08-2025</v>
      </c>
      <c r="G3228" s="8"/>
      <c r="H3228" s="8"/>
      <c r="I3228" s="7"/>
      <c r="J3228" s="8" t="str">
        <f aca="false">VLOOKUP(B3228, Table3[#All], 2, FALSE())</f>
        <v>Sales</v>
      </c>
      <c r="K3228" s="8" t="str">
        <f aca="false">TEXT(ROW(), "0000")</f>
        <v>3228</v>
      </c>
      <c r="L3228" s="8"/>
    </row>
    <row r="3229" customFormat="false" ht="15.75" hidden="false" customHeight="true" outlineLevel="0" collapsed="false">
      <c r="A3229" s="7" t="n">
        <v>45881</v>
      </c>
      <c r="B3229" s="8" t="s">
        <v>16</v>
      </c>
      <c r="C3229" s="9" t="n">
        <v>4280</v>
      </c>
      <c r="D3229" s="8" t="s">
        <v>17</v>
      </c>
      <c r="E3229" s="10" t="s">
        <v>88</v>
      </c>
      <c r="F3229" s="8" t="str">
        <f aca="false">TEXT(A3229,"MM-YYYY")</f>
        <v>08-2025</v>
      </c>
      <c r="G3229" s="8"/>
      <c r="H3229" s="8"/>
      <c r="I3229" s="7"/>
      <c r="J3229" s="8" t="str">
        <f aca="false">VLOOKUP(B3229, Table3[#All], 2, FALSE())</f>
        <v>Sales</v>
      </c>
      <c r="K3229" s="8" t="str">
        <f aca="false">TEXT(ROW(), "0000")</f>
        <v>3229</v>
      </c>
      <c r="L3229" s="8"/>
    </row>
    <row r="3230" customFormat="false" ht="15.75" hidden="false" customHeight="true" outlineLevel="0" collapsed="false">
      <c r="A3230" s="7" t="n">
        <v>45881</v>
      </c>
      <c r="B3230" s="8" t="s">
        <v>16</v>
      </c>
      <c r="C3230" s="9" t="n">
        <v>1606</v>
      </c>
      <c r="D3230" s="8" t="s">
        <v>24</v>
      </c>
      <c r="E3230" s="10" t="s">
        <v>88</v>
      </c>
      <c r="F3230" s="8" t="str">
        <f aca="false">TEXT(A3230,"MM-YYYY")</f>
        <v>08-2025</v>
      </c>
      <c r="G3230" s="8"/>
      <c r="H3230" s="8"/>
      <c r="I3230" s="7"/>
      <c r="J3230" s="8" t="str">
        <f aca="false">VLOOKUP(B3230, Table3[#All], 2, FALSE())</f>
        <v>Sales</v>
      </c>
      <c r="K3230" s="8" t="str">
        <f aca="false">TEXT(ROW(), "0000")</f>
        <v>3230</v>
      </c>
      <c r="L3230" s="8"/>
    </row>
    <row r="3231" customFormat="false" ht="15.75" hidden="false" customHeight="true" outlineLevel="0" collapsed="false">
      <c r="A3231" s="7" t="n">
        <v>45881</v>
      </c>
      <c r="B3231" s="8" t="s">
        <v>81</v>
      </c>
      <c r="C3231" s="9" t="n">
        <v>100</v>
      </c>
      <c r="D3231" s="8" t="s">
        <v>21</v>
      </c>
      <c r="E3231" s="10" t="s">
        <v>422</v>
      </c>
      <c r="F3231" s="8" t="str">
        <f aca="false">TEXT(A3231,"MM-YYYY")</f>
        <v>08-2025</v>
      </c>
      <c r="G3231" s="8" t="s">
        <v>14</v>
      </c>
      <c r="H3231" s="8" t="s">
        <v>262</v>
      </c>
      <c r="I3231" s="7" t="n">
        <v>45881</v>
      </c>
      <c r="J3231" s="8" t="str">
        <f aca="false">VLOOKUP(B3231, Table3[#All], 2, FALSE())</f>
        <v>Excess Amount Return</v>
      </c>
      <c r="K3231" s="8" t="str">
        <f aca="false">TEXT(ROW(), "0000")</f>
        <v>3231</v>
      </c>
      <c r="L3231" s="8"/>
    </row>
    <row r="3232" customFormat="false" ht="15.75" hidden="false" customHeight="true" outlineLevel="0" collapsed="false">
      <c r="A3232" s="7" t="n">
        <v>45882</v>
      </c>
      <c r="B3232" s="8" t="s">
        <v>51</v>
      </c>
      <c r="C3232" s="9" t="n">
        <v>10750</v>
      </c>
      <c r="D3232" s="8" t="s">
        <v>13</v>
      </c>
      <c r="E3232" s="10" t="s">
        <v>423</v>
      </c>
      <c r="F3232" s="8" t="str">
        <f aca="false">TEXT(A3232,"MM-YYYY")</f>
        <v>08-2025</v>
      </c>
      <c r="G3232" s="8" t="s">
        <v>18</v>
      </c>
      <c r="H3232" s="8"/>
      <c r="I3232" s="7"/>
      <c r="J3232" s="8" t="str">
        <f aca="false">VLOOKUP(B3232, Table3[#All], 2, FALSE())</f>
        <v>Inventory</v>
      </c>
      <c r="K3232" s="8" t="str">
        <f aca="false">TEXT(ROW(), "0000")</f>
        <v>3232</v>
      </c>
      <c r="L3232" s="8"/>
    </row>
    <row r="3233" customFormat="false" ht="15.75" hidden="false" customHeight="true" outlineLevel="0" collapsed="false">
      <c r="A3233" s="7" t="n">
        <v>45882</v>
      </c>
      <c r="B3233" s="8" t="s">
        <v>22</v>
      </c>
      <c r="C3233" s="9" t="n">
        <v>55</v>
      </c>
      <c r="D3233" s="8" t="s">
        <v>21</v>
      </c>
      <c r="E3233" s="10" t="s">
        <v>424</v>
      </c>
      <c r="F3233" s="8" t="str">
        <f aca="false">TEXT(A3233,"MM-YYYY")</f>
        <v>08-2025</v>
      </c>
      <c r="G3233" s="8" t="s">
        <v>14</v>
      </c>
      <c r="H3233" s="8"/>
      <c r="I3233" s="7" t="n">
        <v>45882</v>
      </c>
      <c r="J3233" s="8" t="str">
        <f aca="false">VLOOKUP(B3233, Table3[#All], 2, FALSE())</f>
        <v>Inventory</v>
      </c>
      <c r="K3233" s="8" t="str">
        <f aca="false">TEXT(ROW(), "0000")</f>
        <v>3233</v>
      </c>
      <c r="L3233" s="8"/>
    </row>
    <row r="3234" customFormat="false" ht="15.75" hidden="false" customHeight="true" outlineLevel="0" collapsed="false">
      <c r="A3234" s="7" t="n">
        <v>45882</v>
      </c>
      <c r="B3234" s="8" t="s">
        <v>37</v>
      </c>
      <c r="C3234" s="9" t="n">
        <v>30</v>
      </c>
      <c r="D3234" s="8" t="s">
        <v>21</v>
      </c>
      <c r="E3234" s="10" t="s">
        <v>420</v>
      </c>
      <c r="F3234" s="8" t="str">
        <f aca="false">TEXT(A3234,"MM-YYYY")</f>
        <v>08-2025</v>
      </c>
      <c r="G3234" s="8" t="s">
        <v>14</v>
      </c>
      <c r="H3234" s="8"/>
      <c r="I3234" s="7" t="n">
        <v>45882</v>
      </c>
      <c r="J3234" s="8" t="str">
        <f aca="false">VLOOKUP(B3234, Table3[#All], 2, FALSE())</f>
        <v>Maintance</v>
      </c>
      <c r="K3234" s="8" t="str">
        <f aca="false">TEXT(ROW(), "0000")</f>
        <v>3234</v>
      </c>
      <c r="L3234" s="8"/>
    </row>
    <row r="3235" customFormat="false" ht="15.75" hidden="false" customHeight="true" outlineLevel="0" collapsed="false">
      <c r="A3235" s="7" t="n">
        <v>45882</v>
      </c>
      <c r="B3235" s="8" t="s">
        <v>43</v>
      </c>
      <c r="C3235" s="9" t="n">
        <v>15</v>
      </c>
      <c r="D3235" s="8" t="s">
        <v>21</v>
      </c>
      <c r="E3235" s="10" t="s">
        <v>99</v>
      </c>
      <c r="F3235" s="8" t="str">
        <f aca="false">TEXT(A3235,"MM-YYYY")</f>
        <v>08-2025</v>
      </c>
      <c r="G3235" s="8" t="s">
        <v>14</v>
      </c>
      <c r="H3235" s="8"/>
      <c r="I3235" s="7" t="n">
        <v>45882</v>
      </c>
      <c r="J3235" s="8" t="str">
        <f aca="false">VLOOKUP(B3235, Table3[#All], 2, FALSE())</f>
        <v>Maintance</v>
      </c>
      <c r="K3235" s="8" t="str">
        <f aca="false">TEXT(ROW(), "0000")</f>
        <v>3235</v>
      </c>
      <c r="L3235" s="8"/>
    </row>
    <row r="3236" customFormat="false" ht="15.75" hidden="false" customHeight="true" outlineLevel="0" collapsed="false">
      <c r="A3236" s="7" t="n">
        <v>45883</v>
      </c>
      <c r="B3236" s="8" t="s">
        <v>19</v>
      </c>
      <c r="C3236" s="9" t="n">
        <v>2212</v>
      </c>
      <c r="D3236" s="8" t="s">
        <v>13</v>
      </c>
      <c r="E3236" s="10" t="s">
        <v>417</v>
      </c>
      <c r="F3236" s="8" t="str">
        <f aca="false">TEXT(A3236,"MM-YYYY")</f>
        <v>08-2025</v>
      </c>
      <c r="G3236" s="8" t="s">
        <v>14</v>
      </c>
      <c r="H3236" s="8" t="s">
        <v>13</v>
      </c>
      <c r="I3236" s="7"/>
      <c r="J3236" s="8" t="str">
        <f aca="false">VLOOKUP(B3236, Table3[#All], 2, FALSE())</f>
        <v>Inventory</v>
      </c>
      <c r="K3236" s="8" t="str">
        <f aca="false">TEXT(ROW(), "0000")</f>
        <v>3236</v>
      </c>
      <c r="L3236" s="8"/>
    </row>
    <row r="3237" customFormat="false" ht="15.75" hidden="false" customHeight="true" outlineLevel="0" collapsed="false">
      <c r="A3237" s="7" t="n">
        <v>45883</v>
      </c>
      <c r="B3237" s="8" t="s">
        <v>25</v>
      </c>
      <c r="C3237" s="9" t="n">
        <v>1350</v>
      </c>
      <c r="D3237" s="8" t="s">
        <v>13</v>
      </c>
      <c r="E3237" s="10" t="s">
        <v>92</v>
      </c>
      <c r="F3237" s="8" t="str">
        <f aca="false">TEXT(A3237,"MM-YYYY")</f>
        <v>08-2025</v>
      </c>
      <c r="G3237" s="8" t="s">
        <v>18</v>
      </c>
      <c r="H3237" s="8"/>
      <c r="I3237" s="7"/>
      <c r="J3237" s="8" t="str">
        <f aca="false">VLOOKUP(B3237, Table3[#All], 2, FALSE())</f>
        <v>Inventory</v>
      </c>
      <c r="K3237" s="8" t="str">
        <f aca="false">TEXT(ROW(), "0000")</f>
        <v>3237</v>
      </c>
      <c r="L3237" s="8"/>
    </row>
    <row r="3238" customFormat="false" ht="15.75" hidden="false" customHeight="true" outlineLevel="0" collapsed="false">
      <c r="A3238" s="7" t="n">
        <v>45883</v>
      </c>
      <c r="B3238" s="8" t="s">
        <v>43</v>
      </c>
      <c r="C3238" s="9" t="n">
        <v>80</v>
      </c>
      <c r="D3238" s="8" t="s">
        <v>21</v>
      </c>
      <c r="E3238" s="10" t="s">
        <v>425</v>
      </c>
      <c r="F3238" s="8" t="str">
        <f aca="false">TEXT(A3238,"MM-YYYY")</f>
        <v>08-2025</v>
      </c>
      <c r="G3238" s="8" t="s">
        <v>14</v>
      </c>
      <c r="H3238" s="8" t="s">
        <v>262</v>
      </c>
      <c r="I3238" s="7" t="n">
        <v>45883</v>
      </c>
      <c r="J3238" s="8" t="str">
        <f aca="false">VLOOKUP(B3238, Table3[#All], 2, FALSE())</f>
        <v>Maintance</v>
      </c>
      <c r="K3238" s="8" t="str">
        <f aca="false">TEXT(ROW(), "0000")</f>
        <v>3238</v>
      </c>
      <c r="L3238" s="8"/>
    </row>
    <row r="3239" customFormat="false" ht="15.75" hidden="false" customHeight="true" outlineLevel="0" collapsed="false">
      <c r="A3239" s="7" t="n">
        <v>45883</v>
      </c>
      <c r="B3239" s="8" t="s">
        <v>32</v>
      </c>
      <c r="C3239" s="9" t="n">
        <v>120</v>
      </c>
      <c r="D3239" s="8" t="s">
        <v>21</v>
      </c>
      <c r="E3239" s="10" t="s">
        <v>426</v>
      </c>
      <c r="F3239" s="8" t="str">
        <f aca="false">TEXT(A3239,"MM-YYYY")</f>
        <v>08-2025</v>
      </c>
      <c r="G3239" s="8" t="s">
        <v>14</v>
      </c>
      <c r="H3239" s="8" t="s">
        <v>262</v>
      </c>
      <c r="I3239" s="7" t="n">
        <v>45883</v>
      </c>
      <c r="J3239" s="8" t="str">
        <f aca="false">VLOOKUP(B3239, Table3[#All], 2, FALSE())</f>
        <v>Grocery</v>
      </c>
      <c r="K3239" s="8" t="str">
        <f aca="false">TEXT(ROW(), "0000")</f>
        <v>3239</v>
      </c>
      <c r="L3239" s="8"/>
    </row>
    <row r="3240" customFormat="false" ht="15.75" hidden="false" customHeight="true" outlineLevel="0" collapsed="false">
      <c r="A3240" s="7" t="n">
        <v>45883</v>
      </c>
      <c r="B3240" s="8" t="s">
        <v>51</v>
      </c>
      <c r="C3240" s="9" t="n">
        <v>450</v>
      </c>
      <c r="D3240" s="8" t="s">
        <v>21</v>
      </c>
      <c r="E3240" s="10" t="s">
        <v>427</v>
      </c>
      <c r="F3240" s="8" t="str">
        <f aca="false">TEXT(A3240,"MM-YYYY")</f>
        <v>08-2025</v>
      </c>
      <c r="G3240" s="8" t="s">
        <v>14</v>
      </c>
      <c r="H3240" s="8" t="s">
        <v>262</v>
      </c>
      <c r="I3240" s="7" t="n">
        <v>45883</v>
      </c>
      <c r="J3240" s="8" t="str">
        <f aca="false">VLOOKUP(B3240, Table3[#All], 2, FALSE())</f>
        <v>Inventory</v>
      </c>
      <c r="K3240" s="8" t="str">
        <f aca="false">TEXT(ROW(), "0000")</f>
        <v>3240</v>
      </c>
      <c r="L3240" s="8"/>
    </row>
    <row r="3241" customFormat="false" ht="15.75" hidden="false" customHeight="true" outlineLevel="0" collapsed="false">
      <c r="A3241" s="7" t="n">
        <v>45883</v>
      </c>
      <c r="B3241" s="8" t="s">
        <v>25</v>
      </c>
      <c r="C3241" s="9" t="n">
        <v>150</v>
      </c>
      <c r="D3241" s="8" t="s">
        <v>21</v>
      </c>
      <c r="E3241" s="10" t="s">
        <v>428</v>
      </c>
      <c r="F3241" s="8" t="str">
        <f aca="false">TEXT(A3241,"MM-YYYY")</f>
        <v>08-2025</v>
      </c>
      <c r="G3241" s="8" t="s">
        <v>14</v>
      </c>
      <c r="H3241" s="8" t="s">
        <v>262</v>
      </c>
      <c r="I3241" s="7" t="n">
        <v>45883</v>
      </c>
      <c r="J3241" s="8" t="str">
        <f aca="false">VLOOKUP(B3241, Table3[#All], 2, FALSE())</f>
        <v>Inventory</v>
      </c>
      <c r="K3241" s="8" t="str">
        <f aca="false">TEXT(ROW(), "0000")</f>
        <v>3241</v>
      </c>
      <c r="L3241" s="8"/>
    </row>
    <row r="3242" customFormat="false" ht="15.75" hidden="false" customHeight="true" outlineLevel="0" collapsed="false">
      <c r="A3242" s="7" t="n">
        <v>45883</v>
      </c>
      <c r="B3242" s="8" t="s">
        <v>22</v>
      </c>
      <c r="C3242" s="9" t="n">
        <v>50</v>
      </c>
      <c r="D3242" s="8" t="s">
        <v>21</v>
      </c>
      <c r="E3242" s="10" t="s">
        <v>429</v>
      </c>
      <c r="F3242" s="8" t="str">
        <f aca="false">TEXT(A3242,"MM-YYYY")</f>
        <v>08-2025</v>
      </c>
      <c r="G3242" s="8" t="s">
        <v>14</v>
      </c>
      <c r="H3242" s="8" t="s">
        <v>262</v>
      </c>
      <c r="I3242" s="7" t="n">
        <v>45883</v>
      </c>
      <c r="J3242" s="8" t="str">
        <f aca="false">VLOOKUP(B3242, Table3[#All], 2, FALSE())</f>
        <v>Inventory</v>
      </c>
      <c r="K3242" s="8" t="str">
        <f aca="false">TEXT(ROW(), "0000")</f>
        <v>3242</v>
      </c>
      <c r="L3242" s="8"/>
    </row>
    <row r="3243" customFormat="false" ht="15.75" hidden="false" customHeight="true" outlineLevel="0" collapsed="false">
      <c r="A3243" s="7" t="n">
        <v>45883</v>
      </c>
      <c r="B3243" s="8" t="s">
        <v>29</v>
      </c>
      <c r="C3243" s="9" t="n">
        <v>30</v>
      </c>
      <c r="D3243" s="8" t="s">
        <v>21</v>
      </c>
      <c r="E3243" s="10" t="s">
        <v>134</v>
      </c>
      <c r="F3243" s="8" t="str">
        <f aca="false">TEXT(A3243,"MM-YYYY")</f>
        <v>08-2025</v>
      </c>
      <c r="G3243" s="8" t="s">
        <v>14</v>
      </c>
      <c r="H3243" s="8" t="s">
        <v>262</v>
      </c>
      <c r="I3243" s="7" t="n">
        <v>45883</v>
      </c>
      <c r="J3243" s="8" t="str">
        <f aca="false">VLOOKUP(B3243, Table3[#All], 2, FALSE())</f>
        <v>Inventory</v>
      </c>
      <c r="K3243" s="8" t="str">
        <f aca="false">TEXT(ROW(), "0000")</f>
        <v>3243</v>
      </c>
      <c r="L3243" s="8"/>
    </row>
    <row r="3244" customFormat="false" ht="15.75" hidden="false" customHeight="true" outlineLevel="0" collapsed="false">
      <c r="A3244" s="7" t="n">
        <v>45883</v>
      </c>
      <c r="B3244" s="8" t="s">
        <v>29</v>
      </c>
      <c r="C3244" s="9" t="n">
        <v>25</v>
      </c>
      <c r="D3244" s="8" t="s">
        <v>21</v>
      </c>
      <c r="E3244" s="10" t="s">
        <v>65</v>
      </c>
      <c r="F3244" s="8" t="str">
        <f aca="false">TEXT(A3244,"MM-YYYY")</f>
        <v>08-2025</v>
      </c>
      <c r="G3244" s="8" t="s">
        <v>14</v>
      </c>
      <c r="H3244" s="8" t="s">
        <v>262</v>
      </c>
      <c r="I3244" s="7" t="n">
        <v>45883</v>
      </c>
      <c r="J3244" s="8" t="str">
        <f aca="false">VLOOKUP(B3244, Table3[#All], 2, FALSE())</f>
        <v>Inventory</v>
      </c>
      <c r="K3244" s="8" t="str">
        <f aca="false">TEXT(ROW(), "0000")</f>
        <v>3244</v>
      </c>
      <c r="L3244" s="8"/>
    </row>
    <row r="3245" customFormat="false" ht="15.75" hidden="false" customHeight="true" outlineLevel="0" collapsed="false">
      <c r="A3245" s="7" t="n">
        <v>45883</v>
      </c>
      <c r="B3245" s="8" t="s">
        <v>44</v>
      </c>
      <c r="C3245" s="9" t="n">
        <v>500</v>
      </c>
      <c r="D3245" s="8" t="s">
        <v>13</v>
      </c>
      <c r="E3245" s="10" t="s">
        <v>86</v>
      </c>
      <c r="F3245" s="8" t="str">
        <f aca="false">TEXT(A3245,"MM-YYYY")</f>
        <v>08-2025</v>
      </c>
      <c r="G3245" s="8" t="s">
        <v>14</v>
      </c>
      <c r="H3245" s="8" t="s">
        <v>262</v>
      </c>
      <c r="I3245" s="7" t="n">
        <v>45883</v>
      </c>
      <c r="J3245" s="8" t="str">
        <f aca="false">VLOOKUP(B3245, Table3[#All], 2, FALSE())</f>
        <v>Salary</v>
      </c>
      <c r="K3245" s="8" t="str">
        <f aca="false">TEXT(ROW(), "0000")</f>
        <v>3245</v>
      </c>
      <c r="L3245" s="8"/>
    </row>
    <row r="3246" customFormat="false" ht="15.75" hidden="false" customHeight="true" outlineLevel="0" collapsed="false">
      <c r="A3246" s="7" t="n">
        <v>45883</v>
      </c>
      <c r="B3246" s="8" t="s">
        <v>16</v>
      </c>
      <c r="C3246" s="9" t="n">
        <v>3750</v>
      </c>
      <c r="D3246" s="8" t="s">
        <v>21</v>
      </c>
      <c r="E3246" s="10" t="s">
        <v>101</v>
      </c>
      <c r="F3246" s="8" t="str">
        <f aca="false">TEXT(A3246,"MM-YYYY")</f>
        <v>08-2025</v>
      </c>
      <c r="G3246" s="8"/>
      <c r="H3246" s="8"/>
      <c r="I3246" s="7"/>
      <c r="J3246" s="8" t="str">
        <f aca="false">VLOOKUP(B3246, Table3[#All], 2, FALSE())</f>
        <v>Sales</v>
      </c>
      <c r="K3246" s="8" t="str">
        <f aca="false">TEXT(ROW(), "0000")</f>
        <v>3246</v>
      </c>
      <c r="L3246" s="8"/>
    </row>
    <row r="3247" customFormat="false" ht="15.75" hidden="false" customHeight="true" outlineLevel="0" collapsed="false">
      <c r="A3247" s="7" t="n">
        <v>45883</v>
      </c>
      <c r="B3247" s="8" t="s">
        <v>16</v>
      </c>
      <c r="C3247" s="9" t="n">
        <v>389</v>
      </c>
      <c r="D3247" s="8" t="s">
        <v>27</v>
      </c>
      <c r="E3247" s="10" t="s">
        <v>101</v>
      </c>
      <c r="F3247" s="8" t="str">
        <f aca="false">TEXT(A3247,"MM-YYYY")</f>
        <v>08-2025</v>
      </c>
      <c r="G3247" s="8"/>
      <c r="H3247" s="8"/>
      <c r="I3247" s="7"/>
      <c r="J3247" s="8" t="str">
        <f aca="false">VLOOKUP(B3247, Table3[#All], 2, FALSE())</f>
        <v>Sales</v>
      </c>
      <c r="K3247" s="8" t="str">
        <f aca="false">TEXT(ROW(), "0000")</f>
        <v>3247</v>
      </c>
      <c r="L3247" s="8"/>
    </row>
    <row r="3248" customFormat="false" ht="15.75" hidden="false" customHeight="true" outlineLevel="0" collapsed="false">
      <c r="A3248" s="7" t="n">
        <v>45883</v>
      </c>
      <c r="B3248" s="8" t="s">
        <v>16</v>
      </c>
      <c r="C3248" s="9" t="n">
        <v>315</v>
      </c>
      <c r="D3248" s="8" t="s">
        <v>33</v>
      </c>
      <c r="E3248" s="10" t="s">
        <v>101</v>
      </c>
      <c r="F3248" s="8" t="str">
        <f aca="false">TEXT(A3248,"MM-YYYY")</f>
        <v>08-2025</v>
      </c>
      <c r="G3248" s="8"/>
      <c r="H3248" s="8"/>
      <c r="I3248" s="7"/>
      <c r="J3248" s="8" t="str">
        <f aca="false">VLOOKUP(B3248, Table3[#All], 2, FALSE())</f>
        <v>Sales</v>
      </c>
      <c r="K3248" s="8" t="str">
        <f aca="false">TEXT(ROW(), "0000")</f>
        <v>3248</v>
      </c>
      <c r="L3248" s="8"/>
    </row>
    <row r="3249" customFormat="false" ht="15.75" hidden="false" customHeight="true" outlineLevel="0" collapsed="false">
      <c r="A3249" s="7" t="n">
        <v>45883</v>
      </c>
      <c r="B3249" s="8" t="s">
        <v>16</v>
      </c>
      <c r="C3249" s="9" t="n">
        <v>13543</v>
      </c>
      <c r="D3249" s="8" t="s">
        <v>17</v>
      </c>
      <c r="E3249" s="10" t="s">
        <v>101</v>
      </c>
      <c r="F3249" s="8" t="str">
        <f aca="false">TEXT(A3249,"MM-YYYY")</f>
        <v>08-2025</v>
      </c>
      <c r="G3249" s="8"/>
      <c r="H3249" s="8"/>
      <c r="I3249" s="7"/>
      <c r="J3249" s="8" t="str">
        <f aca="false">VLOOKUP(B3249, Table3[#All], 2, FALSE())</f>
        <v>Sales</v>
      </c>
      <c r="K3249" s="8" t="str">
        <f aca="false">TEXT(ROW(), "0000")</f>
        <v>3249</v>
      </c>
      <c r="L3249" s="8"/>
    </row>
    <row r="3250" customFormat="false" ht="15.75" hidden="false" customHeight="true" outlineLevel="0" collapsed="false">
      <c r="A3250" s="7" t="n">
        <v>45883</v>
      </c>
      <c r="B3250" s="8" t="s">
        <v>16</v>
      </c>
      <c r="C3250" s="9" t="n">
        <v>1005</v>
      </c>
      <c r="D3250" s="8" t="s">
        <v>59</v>
      </c>
      <c r="E3250" s="10" t="s">
        <v>101</v>
      </c>
      <c r="F3250" s="8" t="str">
        <f aca="false">TEXT(A3250,"MM-YYYY")</f>
        <v>08-2025</v>
      </c>
      <c r="G3250" s="8"/>
      <c r="H3250" s="8"/>
      <c r="I3250" s="7"/>
      <c r="J3250" s="8" t="str">
        <f aca="false">VLOOKUP(B3250, Table3[#All], 2, FALSE())</f>
        <v>Sales</v>
      </c>
      <c r="K3250" s="8" t="str">
        <f aca="false">TEXT(ROW(), "0000")</f>
        <v>3250</v>
      </c>
      <c r="L3250" s="8"/>
    </row>
    <row r="3251" customFormat="false" ht="15.75" hidden="false" customHeight="true" outlineLevel="0" collapsed="false">
      <c r="A3251" s="7" t="n">
        <v>45883</v>
      </c>
      <c r="B3251" s="8" t="s">
        <v>16</v>
      </c>
      <c r="C3251" s="9" t="n">
        <v>830</v>
      </c>
      <c r="D3251" s="8" t="s">
        <v>59</v>
      </c>
      <c r="E3251" s="10" t="s">
        <v>101</v>
      </c>
      <c r="F3251" s="8" t="str">
        <f aca="false">TEXT(A3251,"MM-YYYY")</f>
        <v>08-2025</v>
      </c>
      <c r="G3251" s="8"/>
      <c r="H3251" s="8"/>
      <c r="I3251" s="7"/>
      <c r="J3251" s="8" t="str">
        <f aca="false">VLOOKUP(B3251, Table3[#All], 2, FALSE())</f>
        <v>Sales</v>
      </c>
      <c r="K3251" s="8" t="str">
        <f aca="false">TEXT(ROW(), "0000")</f>
        <v>3251</v>
      </c>
      <c r="L3251" s="8"/>
    </row>
    <row r="3252" customFormat="false" ht="15.75" hidden="false" customHeight="true" outlineLevel="0" collapsed="false">
      <c r="A3252" s="7" t="n">
        <v>45884</v>
      </c>
      <c r="B3252" s="8" t="s">
        <v>13</v>
      </c>
      <c r="C3252" s="9" t="n">
        <v>3300</v>
      </c>
      <c r="D3252" s="8" t="s">
        <v>21</v>
      </c>
      <c r="E3252" s="10" t="s">
        <v>262</v>
      </c>
      <c r="F3252" s="8" t="str">
        <f aca="false">TEXT(A3252,"MM-YYYY")</f>
        <v>08-2025</v>
      </c>
      <c r="G3252" s="8" t="s">
        <v>14</v>
      </c>
      <c r="H3252" s="8" t="s">
        <v>262</v>
      </c>
      <c r="I3252" s="7" t="n">
        <v>45884</v>
      </c>
      <c r="J3252" s="8" t="str">
        <f aca="false">VLOOKUP(B3252, Table3[#All], 2, FALSE())</f>
        <v>Cash Withdrawal</v>
      </c>
      <c r="K3252" s="8" t="str">
        <f aca="false">TEXT(ROW(), "0000")</f>
        <v>3252</v>
      </c>
      <c r="L3252" s="8"/>
    </row>
    <row r="3253" customFormat="false" ht="15.75" hidden="false" customHeight="true" outlineLevel="0" collapsed="false">
      <c r="A3253" s="7" t="n">
        <v>45884</v>
      </c>
      <c r="B3253" s="8" t="s">
        <v>19</v>
      </c>
      <c r="C3253" s="9" t="n">
        <v>3567</v>
      </c>
      <c r="D3253" s="8" t="s">
        <v>13</v>
      </c>
      <c r="E3253" s="10" t="s">
        <v>20</v>
      </c>
      <c r="F3253" s="8" t="str">
        <f aca="false">TEXT(A3253,"MM-YYYY")</f>
        <v>08-2025</v>
      </c>
      <c r="G3253" s="8" t="s">
        <v>14</v>
      </c>
      <c r="H3253" s="8" t="s">
        <v>13</v>
      </c>
      <c r="I3253" s="7"/>
      <c r="J3253" s="8" t="str">
        <f aca="false">VLOOKUP(B3253, Table3[#All], 2, FALSE())</f>
        <v>Inventory</v>
      </c>
      <c r="K3253" s="8" t="str">
        <f aca="false">TEXT(ROW(), "0000")</f>
        <v>3253</v>
      </c>
      <c r="L3253" s="8"/>
    </row>
    <row r="3254" customFormat="false" ht="15.75" hidden="false" customHeight="true" outlineLevel="0" collapsed="false">
      <c r="A3254" s="7" t="n">
        <v>45884</v>
      </c>
      <c r="B3254" s="8" t="s">
        <v>29</v>
      </c>
      <c r="C3254" s="9" t="n">
        <v>380</v>
      </c>
      <c r="D3254" s="8" t="s">
        <v>13</v>
      </c>
      <c r="E3254" s="10" t="s">
        <v>409</v>
      </c>
      <c r="F3254" s="8" t="str">
        <f aca="false">TEXT(A3254,"MM-YYYY")</f>
        <v>08-2025</v>
      </c>
      <c r="G3254" s="8" t="s">
        <v>14</v>
      </c>
      <c r="H3254" s="8" t="s">
        <v>262</v>
      </c>
      <c r="I3254" s="7" t="n">
        <v>45902</v>
      </c>
      <c r="J3254" s="8" t="str">
        <f aca="false">VLOOKUP(B3254, Table3[#All], 2, FALSE())</f>
        <v>Inventory</v>
      </c>
      <c r="K3254" s="8" t="str">
        <f aca="false">TEXT(ROW(), "0000")</f>
        <v>3254</v>
      </c>
      <c r="L3254" s="8"/>
    </row>
    <row r="3255" customFormat="false" ht="15.75" hidden="false" customHeight="true" outlineLevel="0" collapsed="false">
      <c r="A3255" s="7" t="n">
        <v>45884</v>
      </c>
      <c r="B3255" s="8" t="s">
        <v>22</v>
      </c>
      <c r="C3255" s="9" t="n">
        <v>50</v>
      </c>
      <c r="D3255" s="8" t="s">
        <v>21</v>
      </c>
      <c r="E3255" s="10" t="s">
        <v>23</v>
      </c>
      <c r="F3255" s="8" t="str">
        <f aca="false">TEXT(A3255,"MM-YYYY")</f>
        <v>08-2025</v>
      </c>
      <c r="G3255" s="8" t="s">
        <v>14</v>
      </c>
      <c r="H3255" s="8" t="s">
        <v>262</v>
      </c>
      <c r="I3255" s="7" t="n">
        <v>45884</v>
      </c>
      <c r="J3255" s="8" t="str">
        <f aca="false">VLOOKUP(B3255, Table3[#All], 2, FALSE())</f>
        <v>Inventory</v>
      </c>
      <c r="K3255" s="8" t="str">
        <f aca="false">TEXT(ROW(), "0000")</f>
        <v>3255</v>
      </c>
      <c r="L3255" s="8"/>
    </row>
    <row r="3256" customFormat="false" ht="15.75" hidden="false" customHeight="true" outlineLevel="0" collapsed="false">
      <c r="A3256" s="7" t="n">
        <v>45884</v>
      </c>
      <c r="B3256" s="8" t="s">
        <v>22</v>
      </c>
      <c r="C3256" s="9" t="n">
        <v>330</v>
      </c>
      <c r="D3256" s="8" t="s">
        <v>21</v>
      </c>
      <c r="E3256" s="10" t="s">
        <v>84</v>
      </c>
      <c r="F3256" s="8" t="str">
        <f aca="false">TEXT(A3256,"MM-YYYY")</f>
        <v>08-2025</v>
      </c>
      <c r="G3256" s="8" t="s">
        <v>14</v>
      </c>
      <c r="H3256" s="8" t="s">
        <v>262</v>
      </c>
      <c r="I3256" s="7" t="n">
        <v>45884</v>
      </c>
      <c r="J3256" s="8" t="str">
        <f aca="false">VLOOKUP(B3256, Table3[#All], 2, FALSE())</f>
        <v>Inventory</v>
      </c>
      <c r="K3256" s="8" t="str">
        <f aca="false">TEXT(ROW(), "0000")</f>
        <v>3256</v>
      </c>
      <c r="L3256" s="8"/>
    </row>
    <row r="3257" customFormat="false" ht="15.75" hidden="false" customHeight="true" outlineLevel="0" collapsed="false">
      <c r="A3257" s="7" t="n">
        <v>45884</v>
      </c>
      <c r="B3257" s="8" t="s">
        <v>25</v>
      </c>
      <c r="C3257" s="9" t="n">
        <v>486</v>
      </c>
      <c r="D3257" s="8" t="s">
        <v>13</v>
      </c>
      <c r="E3257" s="10" t="s">
        <v>92</v>
      </c>
      <c r="F3257" s="8" t="str">
        <f aca="false">TEXT(A3257,"MM-YYYY")</f>
        <v>08-2025</v>
      </c>
      <c r="G3257" s="8" t="s">
        <v>18</v>
      </c>
      <c r="H3257" s="8"/>
      <c r="I3257" s="7"/>
      <c r="J3257" s="8" t="str">
        <f aca="false">VLOOKUP(B3257, Table3[#All], 2, FALSE())</f>
        <v>Inventory</v>
      </c>
      <c r="K3257" s="8" t="str">
        <f aca="false">TEXT(ROW(), "0000")</f>
        <v>3257</v>
      </c>
      <c r="L3257" s="8"/>
    </row>
    <row r="3258" customFormat="false" ht="15.75" hidden="false" customHeight="true" outlineLevel="0" collapsed="false">
      <c r="A3258" s="7" t="n">
        <v>45884</v>
      </c>
      <c r="B3258" s="8" t="s">
        <v>47</v>
      </c>
      <c r="C3258" s="9" t="n">
        <v>1500</v>
      </c>
      <c r="D3258" s="8" t="s">
        <v>13</v>
      </c>
      <c r="E3258" s="10" t="s">
        <v>339</v>
      </c>
      <c r="F3258" s="8" t="str">
        <f aca="false">TEXT(A3258,"MM-YYYY")</f>
        <v>08-2025</v>
      </c>
      <c r="G3258" s="8" t="s">
        <v>18</v>
      </c>
      <c r="H3258" s="8"/>
      <c r="I3258" s="7"/>
      <c r="J3258" s="8" t="str">
        <f aca="false">VLOOKUP(B3258, Table3[#All], 2, FALSE())</f>
        <v>Inventory</v>
      </c>
      <c r="K3258" s="8" t="str">
        <f aca="false">TEXT(ROW(), "0000")</f>
        <v>3258</v>
      </c>
      <c r="L3258" s="8"/>
    </row>
    <row r="3259" customFormat="false" ht="15.75" hidden="false" customHeight="true" outlineLevel="0" collapsed="false">
      <c r="A3259" s="7" t="n">
        <v>45884</v>
      </c>
      <c r="B3259" s="8" t="s">
        <v>107</v>
      </c>
      <c r="C3259" s="9" t="n">
        <v>10</v>
      </c>
      <c r="D3259" s="8" t="s">
        <v>21</v>
      </c>
      <c r="E3259" s="10" t="s">
        <v>430</v>
      </c>
      <c r="F3259" s="8" t="str">
        <f aca="false">TEXT(A3259,"MM-YYYY")</f>
        <v>08-2025</v>
      </c>
      <c r="G3259" s="8" t="s">
        <v>14</v>
      </c>
      <c r="H3259" s="8" t="s">
        <v>262</v>
      </c>
      <c r="I3259" s="7" t="n">
        <v>45884</v>
      </c>
      <c r="J3259" s="8" t="str">
        <f aca="false">VLOOKUP(B3259, Table3[#All], 2, FALSE())</f>
        <v>Staff Expenses</v>
      </c>
      <c r="K3259" s="8" t="str">
        <f aca="false">TEXT(ROW(), "0000")</f>
        <v>3259</v>
      </c>
      <c r="L3259" s="8"/>
    </row>
    <row r="3260" customFormat="false" ht="15.75" hidden="false" customHeight="true" outlineLevel="0" collapsed="false">
      <c r="A3260" s="7" t="n">
        <v>45884</v>
      </c>
      <c r="B3260" s="8" t="s">
        <v>22</v>
      </c>
      <c r="C3260" s="9" t="n">
        <v>110</v>
      </c>
      <c r="D3260" s="8" t="s">
        <v>21</v>
      </c>
      <c r="E3260" s="10" t="s">
        <v>213</v>
      </c>
      <c r="F3260" s="8" t="str">
        <f aca="false">TEXT(A3260,"MM-YYYY")</f>
        <v>08-2025</v>
      </c>
      <c r="G3260" s="8" t="s">
        <v>14</v>
      </c>
      <c r="H3260" s="8" t="s">
        <v>262</v>
      </c>
      <c r="I3260" s="7" t="n">
        <v>45884</v>
      </c>
      <c r="J3260" s="8" t="str">
        <f aca="false">VLOOKUP(B3260, Table3[#All], 2, FALSE())</f>
        <v>Inventory</v>
      </c>
      <c r="K3260" s="8" t="str">
        <f aca="false">TEXT(ROW(), "0000")</f>
        <v>3260</v>
      </c>
      <c r="L3260" s="8"/>
    </row>
    <row r="3261" customFormat="false" ht="15.75" hidden="false" customHeight="true" outlineLevel="0" collapsed="false">
      <c r="A3261" s="7" t="n">
        <v>45884</v>
      </c>
      <c r="B3261" s="8" t="s">
        <v>37</v>
      </c>
      <c r="C3261" s="9" t="n">
        <v>20</v>
      </c>
      <c r="D3261" s="8" t="s">
        <v>21</v>
      </c>
      <c r="E3261" s="10" t="s">
        <v>420</v>
      </c>
      <c r="F3261" s="8" t="str">
        <f aca="false">TEXT(A3261,"MM-YYYY")</f>
        <v>08-2025</v>
      </c>
      <c r="G3261" s="8" t="s">
        <v>14</v>
      </c>
      <c r="H3261" s="8" t="s">
        <v>262</v>
      </c>
      <c r="I3261" s="7" t="n">
        <v>45884</v>
      </c>
      <c r="J3261" s="8" t="str">
        <f aca="false">VLOOKUP(B3261, Table3[#All], 2, FALSE())</f>
        <v>Maintance</v>
      </c>
      <c r="K3261" s="8" t="str">
        <f aca="false">TEXT(ROW(), "0000")</f>
        <v>3261</v>
      </c>
      <c r="L3261" s="8"/>
    </row>
    <row r="3262" customFormat="false" ht="15.75" hidden="false" customHeight="true" outlineLevel="0" collapsed="false">
      <c r="A3262" s="7" t="n">
        <v>45884</v>
      </c>
      <c r="B3262" s="8" t="s">
        <v>22</v>
      </c>
      <c r="C3262" s="9" t="n">
        <v>50</v>
      </c>
      <c r="D3262" s="8" t="s">
        <v>21</v>
      </c>
      <c r="E3262" s="10" t="s">
        <v>431</v>
      </c>
      <c r="F3262" s="8" t="str">
        <f aca="false">TEXT(A3262,"MM-YYYY")</f>
        <v>08-2025</v>
      </c>
      <c r="G3262" s="8" t="s">
        <v>14</v>
      </c>
      <c r="H3262" s="8" t="s">
        <v>262</v>
      </c>
      <c r="I3262" s="7" t="n">
        <v>45884</v>
      </c>
      <c r="J3262" s="8" t="str">
        <f aca="false">VLOOKUP(B3262, Table3[#All], 2, FALSE())</f>
        <v>Inventory</v>
      </c>
      <c r="K3262" s="8" t="str">
        <f aca="false">TEXT(ROW(), "0000")</f>
        <v>3262</v>
      </c>
      <c r="L3262" s="8"/>
    </row>
    <row r="3263" customFormat="false" ht="15.75" hidden="false" customHeight="true" outlineLevel="0" collapsed="false">
      <c r="A3263" s="7" t="n">
        <v>45884</v>
      </c>
      <c r="B3263" s="8" t="s">
        <v>60</v>
      </c>
      <c r="C3263" s="9" t="n">
        <v>210</v>
      </c>
      <c r="D3263" s="8" t="s">
        <v>21</v>
      </c>
      <c r="E3263" s="10" t="s">
        <v>432</v>
      </c>
      <c r="F3263" s="8" t="str">
        <f aca="false">TEXT(A3263,"MM-YYYY")</f>
        <v>08-2025</v>
      </c>
      <c r="G3263" s="8" t="s">
        <v>14</v>
      </c>
      <c r="H3263" s="8" t="s">
        <v>262</v>
      </c>
      <c r="I3263" s="7" t="n">
        <v>45884</v>
      </c>
      <c r="J3263" s="8" t="str">
        <f aca="false">VLOOKUP(B3263, Table3[#All], 2, FALSE())</f>
        <v>Inventory</v>
      </c>
      <c r="K3263" s="8" t="str">
        <f aca="false">TEXT(ROW(), "0000")</f>
        <v>3263</v>
      </c>
      <c r="L3263" s="8"/>
    </row>
    <row r="3264" customFormat="false" ht="15.75" hidden="false" customHeight="true" outlineLevel="0" collapsed="false">
      <c r="A3264" s="7" t="n">
        <v>45884</v>
      </c>
      <c r="B3264" s="8" t="s">
        <v>29</v>
      </c>
      <c r="C3264" s="9" t="n">
        <v>10</v>
      </c>
      <c r="D3264" s="8" t="s">
        <v>21</v>
      </c>
      <c r="E3264" s="10" t="s">
        <v>402</v>
      </c>
      <c r="F3264" s="8" t="str">
        <f aca="false">TEXT(A3264,"MM-YYYY")</f>
        <v>08-2025</v>
      </c>
      <c r="G3264" s="8" t="s">
        <v>14</v>
      </c>
      <c r="H3264" s="8" t="s">
        <v>262</v>
      </c>
      <c r="I3264" s="7" t="n">
        <v>45884</v>
      </c>
      <c r="J3264" s="8" t="str">
        <f aca="false">VLOOKUP(B3264, Table3[#All], 2, FALSE())</f>
        <v>Inventory</v>
      </c>
      <c r="K3264" s="8" t="str">
        <f aca="false">TEXT(ROW(), "0000")</f>
        <v>3264</v>
      </c>
      <c r="L3264" s="8"/>
    </row>
    <row r="3265" customFormat="false" ht="15.75" hidden="false" customHeight="true" outlineLevel="0" collapsed="false">
      <c r="A3265" s="7" t="n">
        <v>45884</v>
      </c>
      <c r="B3265" s="8" t="s">
        <v>22</v>
      </c>
      <c r="C3265" s="9" t="n">
        <v>1187.5</v>
      </c>
      <c r="D3265" s="8" t="s">
        <v>13</v>
      </c>
      <c r="E3265" s="10" t="s">
        <v>433</v>
      </c>
      <c r="F3265" s="8" t="str">
        <f aca="false">TEXT(A3265,"MM-YYYY")</f>
        <v>08-2025</v>
      </c>
      <c r="G3265" s="8" t="s">
        <v>14</v>
      </c>
      <c r="H3265" s="8" t="s">
        <v>262</v>
      </c>
      <c r="I3265" s="7" t="n">
        <v>45884</v>
      </c>
      <c r="J3265" s="8" t="str">
        <f aca="false">VLOOKUP(B3265, Table3[#All], 2, FALSE())</f>
        <v>Inventory</v>
      </c>
      <c r="K3265" s="8" t="str">
        <f aca="false">TEXT(ROW(), "0000")</f>
        <v>3265</v>
      </c>
      <c r="L3265" s="8"/>
    </row>
    <row r="3266" customFormat="false" ht="15.75" hidden="false" customHeight="true" outlineLevel="0" collapsed="false">
      <c r="A3266" s="7" t="n">
        <v>45884</v>
      </c>
      <c r="B3266" s="8" t="s">
        <v>25</v>
      </c>
      <c r="C3266" s="9" t="n">
        <v>232</v>
      </c>
      <c r="D3266" s="8" t="s">
        <v>13</v>
      </c>
      <c r="E3266" s="10" t="s">
        <v>434</v>
      </c>
      <c r="F3266" s="8" t="str">
        <f aca="false">TEXT(A3266,"MM-YYYY")</f>
        <v>08-2025</v>
      </c>
      <c r="G3266" s="8" t="s">
        <v>14</v>
      </c>
      <c r="H3266" s="8" t="s">
        <v>262</v>
      </c>
      <c r="I3266" s="7" t="n">
        <v>45884</v>
      </c>
      <c r="J3266" s="8" t="str">
        <f aca="false">VLOOKUP(B3266, Table3[#All], 2, FALSE())</f>
        <v>Inventory</v>
      </c>
      <c r="K3266" s="8" t="str">
        <f aca="false">TEXT(ROW(), "0000")</f>
        <v>3266</v>
      </c>
      <c r="L3266" s="8"/>
    </row>
    <row r="3267" customFormat="false" ht="15.75" hidden="false" customHeight="true" outlineLevel="0" collapsed="false">
      <c r="A3267" s="7" t="n">
        <v>45884</v>
      </c>
      <c r="B3267" s="8" t="s">
        <v>32</v>
      </c>
      <c r="C3267" s="9" t="n">
        <v>380</v>
      </c>
      <c r="D3267" s="8" t="s">
        <v>21</v>
      </c>
      <c r="E3267" s="10" t="s">
        <v>412</v>
      </c>
      <c r="F3267" s="8" t="str">
        <f aca="false">TEXT(A3267,"MM-YYYY")</f>
        <v>08-2025</v>
      </c>
      <c r="G3267" s="8" t="s">
        <v>14</v>
      </c>
      <c r="H3267" s="8" t="s">
        <v>262</v>
      </c>
      <c r="I3267" s="7" t="n">
        <v>45884</v>
      </c>
      <c r="J3267" s="8" t="str">
        <f aca="false">VLOOKUP(B3267, Table3[#All], 2, FALSE())</f>
        <v>Grocery</v>
      </c>
      <c r="K3267" s="8" t="str">
        <f aca="false">TEXT(ROW(), "0000")</f>
        <v>3267</v>
      </c>
      <c r="L3267" s="8"/>
    </row>
    <row r="3268" customFormat="false" ht="15.75" hidden="false" customHeight="true" outlineLevel="0" collapsed="false">
      <c r="A3268" s="7" t="n">
        <v>45885</v>
      </c>
      <c r="B3268" s="8" t="s">
        <v>19</v>
      </c>
      <c r="C3268" s="9" t="n">
        <v>2954</v>
      </c>
      <c r="D3268" s="8" t="s">
        <v>13</v>
      </c>
      <c r="E3268" s="10" t="s">
        <v>417</v>
      </c>
      <c r="F3268" s="8" t="str">
        <f aca="false">TEXT(A3268,"MM-YYYY")</f>
        <v>08-2025</v>
      </c>
      <c r="G3268" s="8" t="s">
        <v>14</v>
      </c>
      <c r="H3268" s="8" t="s">
        <v>13</v>
      </c>
      <c r="I3268" s="7"/>
      <c r="J3268" s="8" t="str">
        <f aca="false">VLOOKUP(B3268, Table3[#All], 2, FALSE())</f>
        <v>Inventory</v>
      </c>
      <c r="K3268" s="8" t="str">
        <f aca="false">TEXT(ROW(), "0000")</f>
        <v>3268</v>
      </c>
      <c r="L3268" s="8"/>
    </row>
    <row r="3269" customFormat="false" ht="15.75" hidden="false" customHeight="true" outlineLevel="0" collapsed="false">
      <c r="A3269" s="7" t="n">
        <v>45885</v>
      </c>
      <c r="B3269" s="8" t="s">
        <v>25</v>
      </c>
      <c r="C3269" s="9" t="n">
        <v>789</v>
      </c>
      <c r="D3269" s="8" t="s">
        <v>13</v>
      </c>
      <c r="E3269" s="10" t="s">
        <v>92</v>
      </c>
      <c r="F3269" s="8" t="str">
        <f aca="false">TEXT(A3269,"MM-YYYY")</f>
        <v>08-2025</v>
      </c>
      <c r="G3269" s="8" t="s">
        <v>18</v>
      </c>
      <c r="H3269" s="8"/>
      <c r="I3269" s="7"/>
      <c r="J3269" s="8" t="str">
        <f aca="false">VLOOKUP(B3269, Table3[#All], 2, FALSE())</f>
        <v>Inventory</v>
      </c>
      <c r="K3269" s="8" t="str">
        <f aca="false">TEXT(ROW(), "0000")</f>
        <v>3269</v>
      </c>
      <c r="L3269" s="8"/>
    </row>
    <row r="3270" customFormat="false" ht="15.75" hidden="false" customHeight="true" outlineLevel="0" collapsed="false">
      <c r="A3270" s="7" t="n">
        <v>45885</v>
      </c>
      <c r="B3270" s="8" t="s">
        <v>31</v>
      </c>
      <c r="C3270" s="9" t="n">
        <v>310</v>
      </c>
      <c r="D3270" s="8" t="s">
        <v>21</v>
      </c>
      <c r="E3270" s="10" t="s">
        <v>147</v>
      </c>
      <c r="F3270" s="8" t="str">
        <f aca="false">TEXT(A3270,"MM-YYYY")</f>
        <v>08-2025</v>
      </c>
      <c r="G3270" s="8" t="s">
        <v>14</v>
      </c>
      <c r="H3270" s="8" t="s">
        <v>262</v>
      </c>
      <c r="I3270" s="7" t="n">
        <v>45885</v>
      </c>
      <c r="J3270" s="8" t="str">
        <f aca="false">VLOOKUP(B3270, Table3[#All], 2, FALSE())</f>
        <v>Bike Maintance</v>
      </c>
      <c r="K3270" s="8" t="str">
        <f aca="false">TEXT(ROW(), "0000")</f>
        <v>3270</v>
      </c>
      <c r="L3270" s="8"/>
    </row>
    <row r="3271" customFormat="false" ht="15.75" hidden="false" customHeight="true" outlineLevel="0" collapsed="false">
      <c r="A3271" s="7" t="n">
        <v>45885</v>
      </c>
      <c r="B3271" s="8" t="s">
        <v>40</v>
      </c>
      <c r="C3271" s="9" t="n">
        <v>400</v>
      </c>
      <c r="D3271" s="8" t="s">
        <v>21</v>
      </c>
      <c r="E3271" s="10" t="s">
        <v>103</v>
      </c>
      <c r="F3271" s="8" t="str">
        <f aca="false">TEXT(A3271,"MM-YYYY")</f>
        <v>08-2025</v>
      </c>
      <c r="G3271" s="8" t="s">
        <v>14</v>
      </c>
      <c r="H3271" s="8" t="s">
        <v>262</v>
      </c>
      <c r="I3271" s="7" t="n">
        <v>45885</v>
      </c>
      <c r="J3271" s="8" t="str">
        <f aca="false">VLOOKUP(B3271, Table3[#All], 2, FALSE())</f>
        <v>Inventory</v>
      </c>
      <c r="K3271" s="8" t="str">
        <f aca="false">TEXT(ROW(), "0000")</f>
        <v>3271</v>
      </c>
      <c r="L3271" s="8"/>
    </row>
    <row r="3272" customFormat="false" ht="15.75" hidden="false" customHeight="true" outlineLevel="0" collapsed="false">
      <c r="A3272" s="7" t="n">
        <v>45885</v>
      </c>
      <c r="B3272" s="8" t="s">
        <v>22</v>
      </c>
      <c r="C3272" s="9" t="n">
        <v>70</v>
      </c>
      <c r="D3272" s="8" t="s">
        <v>21</v>
      </c>
      <c r="E3272" s="10" t="s">
        <v>435</v>
      </c>
      <c r="F3272" s="8" t="str">
        <f aca="false">TEXT(A3272,"MM-YYYY")</f>
        <v>08-2025</v>
      </c>
      <c r="G3272" s="8" t="s">
        <v>14</v>
      </c>
      <c r="H3272" s="8" t="s">
        <v>262</v>
      </c>
      <c r="I3272" s="7" t="n">
        <v>45885</v>
      </c>
      <c r="J3272" s="8" t="str">
        <f aca="false">VLOOKUP(B3272, Table3[#All], 2, FALSE())</f>
        <v>Inventory</v>
      </c>
      <c r="K3272" s="8" t="str">
        <f aca="false">TEXT(ROW(), "0000")</f>
        <v>3272</v>
      </c>
      <c r="L3272" s="8"/>
    </row>
    <row r="3273" customFormat="false" ht="15.75" hidden="false" customHeight="true" outlineLevel="0" collapsed="false">
      <c r="A3273" s="7" t="n">
        <v>45885</v>
      </c>
      <c r="B3273" s="8" t="s">
        <v>43</v>
      </c>
      <c r="C3273" s="9" t="n">
        <v>500</v>
      </c>
      <c r="D3273" s="8" t="s">
        <v>21</v>
      </c>
      <c r="E3273" s="10" t="s">
        <v>436</v>
      </c>
      <c r="F3273" s="8" t="str">
        <f aca="false">TEXT(A3273,"MM-YYYY")</f>
        <v>08-2025</v>
      </c>
      <c r="G3273" s="8" t="s">
        <v>14</v>
      </c>
      <c r="H3273" s="8" t="s">
        <v>262</v>
      </c>
      <c r="I3273" s="7" t="n">
        <v>45885</v>
      </c>
      <c r="J3273" s="8" t="str">
        <f aca="false">VLOOKUP(B3273, Table3[#All], 2, FALSE())</f>
        <v>Maintance</v>
      </c>
      <c r="K3273" s="8" t="str">
        <f aca="false">TEXT(ROW(), "0000")</f>
        <v>3273</v>
      </c>
      <c r="L3273" s="8"/>
    </row>
    <row r="3274" customFormat="false" ht="15.75" hidden="false" customHeight="true" outlineLevel="0" collapsed="false">
      <c r="A3274" s="7" t="n">
        <v>45885</v>
      </c>
      <c r="B3274" s="8" t="s">
        <v>37</v>
      </c>
      <c r="C3274" s="9" t="n">
        <v>20</v>
      </c>
      <c r="D3274" s="8" t="s">
        <v>21</v>
      </c>
      <c r="E3274" s="10" t="s">
        <v>420</v>
      </c>
      <c r="F3274" s="8" t="str">
        <f aca="false">TEXT(A3274,"MM-YYYY")</f>
        <v>08-2025</v>
      </c>
      <c r="G3274" s="8" t="s">
        <v>14</v>
      </c>
      <c r="H3274" s="8" t="s">
        <v>262</v>
      </c>
      <c r="I3274" s="7"/>
      <c r="J3274" s="8" t="str">
        <f aca="false">VLOOKUP(B3274, Table3[#All], 2, FALSE())</f>
        <v>Maintance</v>
      </c>
      <c r="K3274" s="8" t="str">
        <f aca="false">TEXT(ROW(), "0000")</f>
        <v>3274</v>
      </c>
      <c r="L3274" s="8"/>
    </row>
    <row r="3275" customFormat="false" ht="15.75" hidden="false" customHeight="true" outlineLevel="0" collapsed="false">
      <c r="A3275" s="7" t="n">
        <v>45885</v>
      </c>
      <c r="B3275" s="8" t="s">
        <v>53</v>
      </c>
      <c r="C3275" s="9" t="n">
        <v>1900</v>
      </c>
      <c r="D3275" s="8" t="s">
        <v>21</v>
      </c>
      <c r="E3275" s="10" t="s">
        <v>437</v>
      </c>
      <c r="F3275" s="8" t="str">
        <f aca="false">TEXT(A3275,"MM-YYYY")</f>
        <v>08-2025</v>
      </c>
      <c r="G3275" s="8" t="s">
        <v>14</v>
      </c>
      <c r="H3275" s="8" t="s">
        <v>262</v>
      </c>
      <c r="I3275" s="7"/>
      <c r="J3275" s="8" t="str">
        <f aca="false">VLOOKUP(B3275, Table3[#All], 2, FALSE())</f>
        <v>Grocery</v>
      </c>
      <c r="K3275" s="8" t="str">
        <f aca="false">TEXT(ROW(), "0000")</f>
        <v>3275</v>
      </c>
      <c r="L3275" s="8"/>
    </row>
    <row r="3276" customFormat="false" ht="15.75" hidden="false" customHeight="true" outlineLevel="0" collapsed="false">
      <c r="A3276" s="7" t="n">
        <v>45885</v>
      </c>
      <c r="B3276" s="8" t="s">
        <v>53</v>
      </c>
      <c r="C3276" s="9" t="n">
        <v>700</v>
      </c>
      <c r="D3276" s="8" t="s">
        <v>21</v>
      </c>
      <c r="E3276" s="10" t="s">
        <v>437</v>
      </c>
      <c r="F3276" s="8" t="str">
        <f aca="false">TEXT(A3276,"MM-YYYY")</f>
        <v>08-2025</v>
      </c>
      <c r="G3276" s="8" t="s">
        <v>14</v>
      </c>
      <c r="H3276" s="8" t="s">
        <v>262</v>
      </c>
      <c r="I3276" s="7"/>
      <c r="J3276" s="8" t="str">
        <f aca="false">VLOOKUP(B3276, Table3[#All], 2, FALSE())</f>
        <v>Grocery</v>
      </c>
      <c r="K3276" s="8" t="str">
        <f aca="false">TEXT(ROW(), "0000")</f>
        <v>3276</v>
      </c>
      <c r="L3276" s="8"/>
    </row>
    <row r="3277" customFormat="false" ht="15.75" hidden="false" customHeight="true" outlineLevel="0" collapsed="false">
      <c r="A3277" s="7" t="n">
        <v>45884</v>
      </c>
      <c r="B3277" s="8" t="s">
        <v>16</v>
      </c>
      <c r="C3277" s="9" t="n">
        <v>3070</v>
      </c>
      <c r="D3277" s="8" t="s">
        <v>21</v>
      </c>
      <c r="E3277" s="10" t="s">
        <v>88</v>
      </c>
      <c r="F3277" s="8" t="str">
        <f aca="false">TEXT(A3277,"MM-YYYY")</f>
        <v>08-2025</v>
      </c>
      <c r="G3277" s="8"/>
      <c r="H3277" s="8"/>
      <c r="I3277" s="7"/>
      <c r="J3277" s="8" t="str">
        <f aca="false">VLOOKUP(B3277, Table3[#All], 2, FALSE())</f>
        <v>Sales</v>
      </c>
      <c r="K3277" s="8" t="str">
        <f aca="false">TEXT(ROW(), "0000")</f>
        <v>3277</v>
      </c>
      <c r="L3277" s="8"/>
    </row>
    <row r="3278" customFormat="false" ht="15.75" hidden="false" customHeight="true" outlineLevel="0" collapsed="false">
      <c r="A3278" s="7" t="n">
        <v>45884</v>
      </c>
      <c r="B3278" s="8" t="s">
        <v>16</v>
      </c>
      <c r="C3278" s="9" t="n">
        <v>200</v>
      </c>
      <c r="D3278" s="8" t="s">
        <v>27</v>
      </c>
      <c r="E3278" s="10" t="s">
        <v>88</v>
      </c>
      <c r="F3278" s="8" t="str">
        <f aca="false">TEXT(A3278,"MM-YYYY")</f>
        <v>08-2025</v>
      </c>
      <c r="G3278" s="8"/>
      <c r="H3278" s="8"/>
      <c r="I3278" s="7"/>
      <c r="J3278" s="8" t="str">
        <f aca="false">VLOOKUP(B3278, Table3[#All], 2, FALSE())</f>
        <v>Sales</v>
      </c>
      <c r="K3278" s="8" t="str">
        <f aca="false">TEXT(ROW(), "0000")</f>
        <v>3278</v>
      </c>
      <c r="L3278" s="8"/>
    </row>
    <row r="3279" customFormat="false" ht="15.75" hidden="false" customHeight="true" outlineLevel="0" collapsed="false">
      <c r="A3279" s="7" t="n">
        <v>45884</v>
      </c>
      <c r="B3279" s="8" t="s">
        <v>16</v>
      </c>
      <c r="C3279" s="9" t="n">
        <v>1450</v>
      </c>
      <c r="D3279" s="8" t="s">
        <v>33</v>
      </c>
      <c r="E3279" s="10" t="s">
        <v>88</v>
      </c>
      <c r="F3279" s="8" t="str">
        <f aca="false">TEXT(A3279,"MM-YYYY")</f>
        <v>08-2025</v>
      </c>
      <c r="G3279" s="8"/>
      <c r="H3279" s="8"/>
      <c r="I3279" s="7"/>
      <c r="J3279" s="8" t="str">
        <f aca="false">VLOOKUP(B3279, Table3[#All], 2, FALSE())</f>
        <v>Sales</v>
      </c>
      <c r="K3279" s="8" t="str">
        <f aca="false">TEXT(ROW(), "0000")</f>
        <v>3279</v>
      </c>
      <c r="L3279" s="8"/>
    </row>
    <row r="3280" customFormat="false" ht="15.75" hidden="false" customHeight="true" outlineLevel="0" collapsed="false">
      <c r="A3280" s="7" t="n">
        <v>45884</v>
      </c>
      <c r="B3280" s="8" t="s">
        <v>16</v>
      </c>
      <c r="C3280" s="9" t="n">
        <v>17518</v>
      </c>
      <c r="D3280" s="8" t="s">
        <v>17</v>
      </c>
      <c r="E3280" s="10" t="s">
        <v>88</v>
      </c>
      <c r="F3280" s="8" t="str">
        <f aca="false">TEXT(A3280,"MM-YYYY")</f>
        <v>08-2025</v>
      </c>
      <c r="G3280" s="8"/>
      <c r="H3280" s="8"/>
      <c r="I3280" s="7"/>
      <c r="J3280" s="8" t="str">
        <f aca="false">VLOOKUP(B3280, Table3[#All], 2, FALSE())</f>
        <v>Sales</v>
      </c>
      <c r="K3280" s="8" t="str">
        <f aca="false">TEXT(ROW(), "0000")</f>
        <v>3280</v>
      </c>
      <c r="L3280" s="8"/>
    </row>
    <row r="3281" customFormat="false" ht="15.75" hidden="false" customHeight="true" outlineLevel="0" collapsed="false">
      <c r="A3281" s="7" t="n">
        <v>45884</v>
      </c>
      <c r="B3281" s="8" t="s">
        <v>16</v>
      </c>
      <c r="C3281" s="9" t="n">
        <v>100</v>
      </c>
      <c r="D3281" s="8" t="s">
        <v>59</v>
      </c>
      <c r="E3281" s="10" t="s">
        <v>88</v>
      </c>
      <c r="F3281" s="8" t="str">
        <f aca="false">TEXT(A3281,"MM-YYYY")</f>
        <v>08-2025</v>
      </c>
      <c r="G3281" s="8"/>
      <c r="H3281" s="8"/>
      <c r="I3281" s="7"/>
      <c r="J3281" s="8" t="str">
        <f aca="false">VLOOKUP(B3281, Table3[#All], 2, FALSE())</f>
        <v>Sales</v>
      </c>
      <c r="K3281" s="8" t="str">
        <f aca="false">TEXT(ROW(), "0000")</f>
        <v>3281</v>
      </c>
      <c r="L3281" s="8"/>
    </row>
    <row r="3282" customFormat="false" ht="15.75" hidden="false" customHeight="true" outlineLevel="0" collapsed="false">
      <c r="A3282" s="7" t="n">
        <v>45884</v>
      </c>
      <c r="B3282" s="8" t="s">
        <v>16</v>
      </c>
      <c r="C3282" s="9" t="n">
        <v>643</v>
      </c>
      <c r="D3282" s="8" t="s">
        <v>24</v>
      </c>
      <c r="E3282" s="10" t="s">
        <v>88</v>
      </c>
      <c r="F3282" s="8" t="str">
        <f aca="false">TEXT(A3282,"MM-YYYY")</f>
        <v>08-2025</v>
      </c>
      <c r="G3282" s="8"/>
      <c r="H3282" s="8"/>
      <c r="I3282" s="7"/>
      <c r="J3282" s="8" t="str">
        <f aca="false">VLOOKUP(B3282, Table3[#All], 2, FALSE())</f>
        <v>Sales</v>
      </c>
      <c r="K3282" s="8" t="str">
        <f aca="false">TEXT(ROW(), "0000")</f>
        <v>3282</v>
      </c>
      <c r="L3282" s="8"/>
    </row>
    <row r="3283" customFormat="false" ht="15.75" hidden="false" customHeight="true" outlineLevel="0" collapsed="false">
      <c r="A3283" s="7" t="n">
        <v>45885</v>
      </c>
      <c r="B3283" s="8" t="s">
        <v>28</v>
      </c>
      <c r="C3283" s="9" t="n">
        <v>780</v>
      </c>
      <c r="D3283" s="8" t="s">
        <v>13</v>
      </c>
      <c r="E3283" s="10" t="s">
        <v>93</v>
      </c>
      <c r="F3283" s="8" t="str">
        <f aca="false">TEXT(A3283,"MM-YYYY")</f>
        <v>08-2025</v>
      </c>
      <c r="G3283" s="8" t="s">
        <v>18</v>
      </c>
      <c r="H3283" s="8"/>
      <c r="I3283" s="7"/>
      <c r="J3283" s="8" t="str">
        <f aca="false">VLOOKUP(B3283, Table3[#All], 2, FALSE())</f>
        <v>Grocery</v>
      </c>
      <c r="K3283" s="8" t="str">
        <f aca="false">TEXT(ROW(), "0000")</f>
        <v>3283</v>
      </c>
      <c r="L3283" s="8"/>
    </row>
    <row r="3284" customFormat="false" ht="15.75" hidden="false" customHeight="true" outlineLevel="0" collapsed="false">
      <c r="A3284" s="7" t="n">
        <v>45885</v>
      </c>
      <c r="B3284" s="8" t="s">
        <v>16</v>
      </c>
      <c r="C3284" s="9" t="n">
        <v>2530</v>
      </c>
      <c r="D3284" s="8" t="s">
        <v>21</v>
      </c>
      <c r="E3284" s="10" t="s">
        <v>88</v>
      </c>
      <c r="F3284" s="8" t="str">
        <f aca="false">TEXT(A3284,"MM-YYYY")</f>
        <v>08-2025</v>
      </c>
      <c r="G3284" s="8" t="s">
        <v>14</v>
      </c>
      <c r="H3284" s="8" t="s">
        <v>262</v>
      </c>
      <c r="I3284" s="7"/>
      <c r="J3284" s="8" t="str">
        <f aca="false">VLOOKUP(B3284, Table3[#All], 2, FALSE())</f>
        <v>Sales</v>
      </c>
      <c r="K3284" s="8" t="str">
        <f aca="false">TEXT(ROW(), "0000")</f>
        <v>3284</v>
      </c>
      <c r="L3284" s="8"/>
    </row>
    <row r="3285" customFormat="false" ht="15.75" hidden="false" customHeight="true" outlineLevel="0" collapsed="false">
      <c r="A3285" s="7" t="n">
        <v>45885</v>
      </c>
      <c r="B3285" s="8" t="s">
        <v>16</v>
      </c>
      <c r="C3285" s="9" t="n">
        <v>310</v>
      </c>
      <c r="D3285" s="8" t="s">
        <v>33</v>
      </c>
      <c r="E3285" s="10" t="s">
        <v>88</v>
      </c>
      <c r="F3285" s="8" t="str">
        <f aca="false">TEXT(A3285,"MM-YYYY")</f>
        <v>08-2025</v>
      </c>
      <c r="G3285" s="8"/>
      <c r="H3285" s="8"/>
      <c r="I3285" s="7"/>
      <c r="J3285" s="8" t="str">
        <f aca="false">VLOOKUP(B3285, Table3[#All], 2, FALSE())</f>
        <v>Sales</v>
      </c>
      <c r="K3285" s="8" t="str">
        <f aca="false">TEXT(ROW(), "0000")</f>
        <v>3285</v>
      </c>
      <c r="L3285" s="8"/>
    </row>
    <row r="3286" customFormat="false" ht="15.75" hidden="false" customHeight="true" outlineLevel="0" collapsed="false">
      <c r="A3286" s="7" t="n">
        <v>45885</v>
      </c>
      <c r="B3286" s="8" t="s">
        <v>16</v>
      </c>
      <c r="C3286" s="9" t="n">
        <v>9920</v>
      </c>
      <c r="D3286" s="8" t="s">
        <v>17</v>
      </c>
      <c r="E3286" s="10" t="s">
        <v>88</v>
      </c>
      <c r="F3286" s="8" t="str">
        <f aca="false">TEXT(A3286,"MM-YYYY")</f>
        <v>08-2025</v>
      </c>
      <c r="G3286" s="8"/>
      <c r="H3286" s="8"/>
      <c r="I3286" s="7"/>
      <c r="J3286" s="8" t="str">
        <f aca="false">VLOOKUP(B3286, Table3[#All], 2, FALSE())</f>
        <v>Sales</v>
      </c>
      <c r="K3286" s="8" t="str">
        <f aca="false">TEXT(ROW(), "0000")</f>
        <v>3286</v>
      </c>
      <c r="L3286" s="8"/>
    </row>
    <row r="3287" customFormat="false" ht="15.75" hidden="false" customHeight="true" outlineLevel="0" collapsed="false">
      <c r="A3287" s="7" t="n">
        <v>45885</v>
      </c>
      <c r="B3287" s="8" t="s">
        <v>16</v>
      </c>
      <c r="C3287" s="9" t="n">
        <v>2755</v>
      </c>
      <c r="D3287" s="8" t="s">
        <v>24</v>
      </c>
      <c r="E3287" s="10" t="s">
        <v>88</v>
      </c>
      <c r="F3287" s="8" t="str">
        <f aca="false">TEXT(A3287,"MM-YYYY")</f>
        <v>08-2025</v>
      </c>
      <c r="G3287" s="8"/>
      <c r="H3287" s="8"/>
      <c r="I3287" s="7"/>
      <c r="J3287" s="8" t="str">
        <f aca="false">VLOOKUP(B3287, Table3[#All], 2, FALSE())</f>
        <v>Sales</v>
      </c>
      <c r="K3287" s="8" t="str">
        <f aca="false">TEXT(ROW(), "0000")</f>
        <v>3287</v>
      </c>
      <c r="L3287" s="8"/>
    </row>
    <row r="3288" customFormat="false" ht="15.75" hidden="false" customHeight="true" outlineLevel="0" collapsed="false">
      <c r="A3288" s="7" t="n">
        <v>45886</v>
      </c>
      <c r="B3288" s="8" t="s">
        <v>19</v>
      </c>
      <c r="C3288" s="9" t="n">
        <v>2351</v>
      </c>
      <c r="D3288" s="8" t="s">
        <v>13</v>
      </c>
      <c r="E3288" s="10" t="s">
        <v>417</v>
      </c>
      <c r="F3288" s="8" t="str">
        <f aca="false">TEXT(A3288,"MM-YYYY")</f>
        <v>08-2025</v>
      </c>
      <c r="G3288" s="8" t="s">
        <v>14</v>
      </c>
      <c r="H3288" s="8" t="s">
        <v>13</v>
      </c>
      <c r="I3288" s="7"/>
      <c r="J3288" s="8" t="str">
        <f aca="false">VLOOKUP(B3288, Table3[#All], 2, FALSE())</f>
        <v>Inventory</v>
      </c>
      <c r="K3288" s="8" t="str">
        <f aca="false">TEXT(ROW(), "0000")</f>
        <v>3288</v>
      </c>
      <c r="L3288" s="8"/>
    </row>
    <row r="3289" customFormat="false" ht="15.75" hidden="false" customHeight="true" outlineLevel="0" collapsed="false">
      <c r="A3289" s="7" t="n">
        <v>45886</v>
      </c>
      <c r="B3289" s="8" t="s">
        <v>25</v>
      </c>
      <c r="C3289" s="9" t="n">
        <v>879</v>
      </c>
      <c r="D3289" s="8" t="s">
        <v>13</v>
      </c>
      <c r="E3289" s="10" t="s">
        <v>92</v>
      </c>
      <c r="F3289" s="8" t="str">
        <f aca="false">TEXT(A3289,"MM-YYYY")</f>
        <v>08-2025</v>
      </c>
      <c r="G3289" s="8" t="s">
        <v>18</v>
      </c>
      <c r="H3289" s="8"/>
      <c r="I3289" s="7"/>
      <c r="J3289" s="8" t="str">
        <f aca="false">VLOOKUP(B3289, Table3[#All], 2, FALSE())</f>
        <v>Inventory</v>
      </c>
      <c r="K3289" s="8" t="str">
        <f aca="false">TEXT(ROW(), "0000")</f>
        <v>3289</v>
      </c>
      <c r="L3289" s="8"/>
    </row>
    <row r="3290" customFormat="false" ht="15.75" hidden="false" customHeight="true" outlineLevel="0" collapsed="false">
      <c r="A3290" s="7" t="n">
        <v>45886</v>
      </c>
      <c r="B3290" s="8" t="s">
        <v>32</v>
      </c>
      <c r="C3290" s="9" t="n">
        <v>175</v>
      </c>
      <c r="D3290" s="8" t="s">
        <v>21</v>
      </c>
      <c r="E3290" s="10" t="s">
        <v>412</v>
      </c>
      <c r="F3290" s="8" t="str">
        <f aca="false">TEXT(A3290,"MM-YYYY")</f>
        <v>08-2025</v>
      </c>
      <c r="G3290" s="8" t="s">
        <v>14</v>
      </c>
      <c r="H3290" s="8" t="s">
        <v>262</v>
      </c>
      <c r="I3290" s="7" t="n">
        <v>45886</v>
      </c>
      <c r="J3290" s="8" t="str">
        <f aca="false">VLOOKUP(B3290, Table3[#All], 2, FALSE())</f>
        <v>Grocery</v>
      </c>
      <c r="K3290" s="8" t="str">
        <f aca="false">TEXT(ROW(), "0000")</f>
        <v>3290</v>
      </c>
      <c r="L3290" s="8"/>
    </row>
    <row r="3291" customFormat="false" ht="15.75" hidden="false" customHeight="true" outlineLevel="0" collapsed="false">
      <c r="A3291" s="7" t="n">
        <v>45886</v>
      </c>
      <c r="B3291" s="8" t="s">
        <v>22</v>
      </c>
      <c r="C3291" s="9" t="n">
        <v>10</v>
      </c>
      <c r="D3291" s="8" t="s">
        <v>21</v>
      </c>
      <c r="E3291" s="10" t="s">
        <v>402</v>
      </c>
      <c r="F3291" s="8" t="str">
        <f aca="false">TEXT(A3291,"MM-YYYY")</f>
        <v>08-2025</v>
      </c>
      <c r="G3291" s="8" t="s">
        <v>14</v>
      </c>
      <c r="H3291" s="8" t="s">
        <v>262</v>
      </c>
      <c r="I3291" s="7" t="n">
        <v>45886</v>
      </c>
      <c r="J3291" s="8" t="str">
        <f aca="false">VLOOKUP(B3291, Table3[#All], 2, FALSE())</f>
        <v>Inventory</v>
      </c>
      <c r="K3291" s="8" t="str">
        <f aca="false">TEXT(ROW(), "0000")</f>
        <v>3291</v>
      </c>
      <c r="L3291" s="8"/>
    </row>
    <row r="3292" customFormat="false" ht="15.75" hidden="false" customHeight="true" outlineLevel="0" collapsed="false">
      <c r="A3292" s="7" t="n">
        <v>45886</v>
      </c>
      <c r="B3292" s="8" t="s">
        <v>22</v>
      </c>
      <c r="C3292" s="9" t="n">
        <v>490</v>
      </c>
      <c r="D3292" s="8" t="s">
        <v>21</v>
      </c>
      <c r="E3292" s="10" t="s">
        <v>395</v>
      </c>
      <c r="F3292" s="8" t="str">
        <f aca="false">TEXT(A3292,"MM-YYYY")</f>
        <v>08-2025</v>
      </c>
      <c r="G3292" s="8" t="s">
        <v>14</v>
      </c>
      <c r="H3292" s="8" t="s">
        <v>262</v>
      </c>
      <c r="I3292" s="7" t="n">
        <v>45886</v>
      </c>
      <c r="J3292" s="8" t="str">
        <f aca="false">VLOOKUP(B3292, Table3[#All], 2, FALSE())</f>
        <v>Inventory</v>
      </c>
      <c r="K3292" s="8" t="str">
        <f aca="false">TEXT(ROW(), "0000")</f>
        <v>3292</v>
      </c>
      <c r="L3292" s="8"/>
    </row>
    <row r="3293" customFormat="false" ht="15.75" hidden="false" customHeight="true" outlineLevel="0" collapsed="false">
      <c r="A3293" s="7" t="n">
        <v>45886</v>
      </c>
      <c r="B3293" s="8" t="s">
        <v>44</v>
      </c>
      <c r="C3293" s="9" t="n">
        <v>1000</v>
      </c>
      <c r="D3293" s="8" t="s">
        <v>21</v>
      </c>
      <c r="E3293" s="10" t="s">
        <v>86</v>
      </c>
      <c r="F3293" s="8" t="str">
        <f aca="false">TEXT(A3293,"MM-YYYY")</f>
        <v>08-2025</v>
      </c>
      <c r="G3293" s="8" t="s">
        <v>14</v>
      </c>
      <c r="H3293" s="8" t="s">
        <v>262</v>
      </c>
      <c r="I3293" s="7" t="n">
        <v>45886</v>
      </c>
      <c r="J3293" s="8" t="str">
        <f aca="false">VLOOKUP(B3293, Table3[#All], 2, FALSE())</f>
        <v>Salary</v>
      </c>
      <c r="K3293" s="8" t="str">
        <f aca="false">TEXT(ROW(), "0000")</f>
        <v>3293</v>
      </c>
      <c r="L3293" s="8" t="n">
        <v>1</v>
      </c>
    </row>
    <row r="3294" customFormat="false" ht="15.75" hidden="false" customHeight="true" outlineLevel="0" collapsed="false">
      <c r="A3294" s="7" t="n">
        <v>45886</v>
      </c>
      <c r="B3294" s="8" t="s">
        <v>22</v>
      </c>
      <c r="C3294" s="9" t="n">
        <v>32</v>
      </c>
      <c r="D3294" s="8" t="s">
        <v>21</v>
      </c>
      <c r="E3294" s="10" t="s">
        <v>438</v>
      </c>
      <c r="F3294" s="8" t="str">
        <f aca="false">TEXT(A3294,"MM-YYYY")</f>
        <v>08-2025</v>
      </c>
      <c r="G3294" s="8" t="s">
        <v>14</v>
      </c>
      <c r="H3294" s="8" t="s">
        <v>262</v>
      </c>
      <c r="I3294" s="7" t="n">
        <v>45886</v>
      </c>
      <c r="J3294" s="8" t="str">
        <f aca="false">VLOOKUP(B3294, Table3[#All], 2, FALSE())</f>
        <v>Inventory</v>
      </c>
      <c r="K3294" s="8" t="str">
        <f aca="false">TEXT(ROW(), "0000")</f>
        <v>3294</v>
      </c>
      <c r="L3294" s="8"/>
    </row>
    <row r="3295" customFormat="false" ht="15.75" hidden="false" customHeight="true" outlineLevel="0" collapsed="false">
      <c r="A3295" s="7" t="n">
        <v>45886</v>
      </c>
      <c r="B3295" s="8" t="s">
        <v>29</v>
      </c>
      <c r="C3295" s="9" t="n">
        <v>20</v>
      </c>
      <c r="D3295" s="8" t="s">
        <v>21</v>
      </c>
      <c r="E3295" s="10" t="s">
        <v>65</v>
      </c>
      <c r="F3295" s="8" t="str">
        <f aca="false">TEXT(A3295,"MM-YYYY")</f>
        <v>08-2025</v>
      </c>
      <c r="G3295" s="8" t="s">
        <v>14</v>
      </c>
      <c r="H3295" s="8" t="s">
        <v>262</v>
      </c>
      <c r="I3295" s="7" t="n">
        <v>45886</v>
      </c>
      <c r="J3295" s="8" t="str">
        <f aca="false">VLOOKUP(B3295, Table3[#All], 2, FALSE())</f>
        <v>Inventory</v>
      </c>
      <c r="K3295" s="8" t="str">
        <f aca="false">TEXT(ROW(), "0000")</f>
        <v>3295</v>
      </c>
      <c r="L3295" s="8"/>
    </row>
    <row r="3296" customFormat="false" ht="15.75" hidden="false" customHeight="true" outlineLevel="0" collapsed="false">
      <c r="A3296" s="7" t="n">
        <v>45886</v>
      </c>
      <c r="B3296" s="8" t="s">
        <v>44</v>
      </c>
      <c r="C3296" s="9" t="n">
        <v>3000</v>
      </c>
      <c r="D3296" s="8" t="s">
        <v>13</v>
      </c>
      <c r="E3296" s="10" t="s">
        <v>86</v>
      </c>
      <c r="F3296" s="8" t="str">
        <f aca="false">TEXT(A3296,"MM-YYYY")</f>
        <v>08-2025</v>
      </c>
      <c r="G3296" s="8" t="s">
        <v>14</v>
      </c>
      <c r="H3296" s="8" t="s">
        <v>262</v>
      </c>
      <c r="I3296" s="7" t="n">
        <v>45886</v>
      </c>
      <c r="J3296" s="8" t="str">
        <f aca="false">VLOOKUP(B3296, Table3[#All], 2, FALSE())</f>
        <v>Salary</v>
      </c>
      <c r="K3296" s="8" t="str">
        <f aca="false">TEXT(ROW(), "0000")</f>
        <v>3296</v>
      </c>
      <c r="L3296" s="8" t="n">
        <v>1</v>
      </c>
    </row>
    <row r="3297" customFormat="false" ht="15.75" hidden="false" customHeight="true" outlineLevel="0" collapsed="false">
      <c r="A3297" s="7" t="n">
        <v>45886</v>
      </c>
      <c r="B3297" s="8" t="s">
        <v>44</v>
      </c>
      <c r="C3297" s="9" t="n">
        <v>3000</v>
      </c>
      <c r="D3297" s="8" t="s">
        <v>13</v>
      </c>
      <c r="E3297" s="10" t="s">
        <v>86</v>
      </c>
      <c r="F3297" s="8" t="str">
        <f aca="false">TEXT(A3297,"MM-YYYY")</f>
        <v>08-2025</v>
      </c>
      <c r="G3297" s="8" t="s">
        <v>14</v>
      </c>
      <c r="H3297" s="8" t="s">
        <v>262</v>
      </c>
      <c r="I3297" s="7" t="n">
        <v>45886</v>
      </c>
      <c r="J3297" s="8" t="str">
        <f aca="false">VLOOKUP(B3297, Table3[#All], 2, FALSE())</f>
        <v>Salary</v>
      </c>
      <c r="K3297" s="8" t="str">
        <f aca="false">TEXT(ROW(), "0000")</f>
        <v>3297</v>
      </c>
      <c r="L3297" s="8" t="n">
        <v>1</v>
      </c>
    </row>
    <row r="3298" customFormat="false" ht="15.75" hidden="false" customHeight="true" outlineLevel="0" collapsed="false">
      <c r="A3298" s="7" t="n">
        <v>45886</v>
      </c>
      <c r="B3298" s="8" t="s">
        <v>29</v>
      </c>
      <c r="C3298" s="9" t="n">
        <v>1160</v>
      </c>
      <c r="D3298" s="8" t="s">
        <v>21</v>
      </c>
      <c r="E3298" s="10" t="s">
        <v>439</v>
      </c>
      <c r="F3298" s="8" t="str">
        <f aca="false">TEXT(A3298,"MM-YYYY")</f>
        <v>08-2025</v>
      </c>
      <c r="G3298" s="8" t="s">
        <v>14</v>
      </c>
      <c r="H3298" s="8" t="s">
        <v>262</v>
      </c>
      <c r="I3298" s="7"/>
      <c r="J3298" s="8" t="str">
        <f aca="false">VLOOKUP(B3298, Table3[#All], 2, FALSE())</f>
        <v>Inventory</v>
      </c>
      <c r="K3298" s="8" t="str">
        <f aca="false">TEXT(ROW(), "0000")</f>
        <v>3298</v>
      </c>
      <c r="L3298" s="8"/>
    </row>
    <row r="3299" customFormat="false" ht="15.75" hidden="false" customHeight="true" outlineLevel="0" collapsed="false">
      <c r="A3299" s="7" t="n">
        <v>45886</v>
      </c>
      <c r="B3299" s="8" t="s">
        <v>37</v>
      </c>
      <c r="C3299" s="9" t="n">
        <v>20</v>
      </c>
      <c r="D3299" s="8" t="s">
        <v>21</v>
      </c>
      <c r="E3299" s="10" t="s">
        <v>420</v>
      </c>
      <c r="F3299" s="8" t="str">
        <f aca="false">TEXT(A3299,"MM-YYYY")</f>
        <v>08-2025</v>
      </c>
      <c r="G3299" s="8"/>
      <c r="H3299" s="8"/>
      <c r="I3299" s="7"/>
      <c r="J3299" s="8" t="str">
        <f aca="false">VLOOKUP(B3299, Table3[#All], 2, FALSE())</f>
        <v>Maintance</v>
      </c>
      <c r="K3299" s="8" t="str">
        <f aca="false">TEXT(ROW(), "0000")</f>
        <v>3299</v>
      </c>
      <c r="L3299" s="8"/>
    </row>
    <row r="3300" customFormat="false" ht="15.75" hidden="false" customHeight="true" outlineLevel="0" collapsed="false">
      <c r="A3300" s="7" t="n">
        <v>45886</v>
      </c>
      <c r="B3300" s="8" t="s">
        <v>16</v>
      </c>
      <c r="C3300" s="9" t="n">
        <v>2105</v>
      </c>
      <c r="D3300" s="8" t="s">
        <v>21</v>
      </c>
      <c r="E3300" s="10" t="s">
        <v>88</v>
      </c>
      <c r="F3300" s="8" t="str">
        <f aca="false">TEXT(A3300,"MM-YYYY")</f>
        <v>08-2025</v>
      </c>
      <c r="G3300" s="8"/>
      <c r="H3300" s="8"/>
      <c r="I3300" s="7"/>
      <c r="J3300" s="8" t="str">
        <f aca="false">VLOOKUP(B3300, Table3[#All], 2, FALSE())</f>
        <v>Sales</v>
      </c>
      <c r="K3300" s="8" t="str">
        <f aca="false">TEXT(ROW(), "0000")</f>
        <v>3300</v>
      </c>
      <c r="L3300" s="8"/>
    </row>
    <row r="3301" customFormat="false" ht="15.75" hidden="false" customHeight="true" outlineLevel="0" collapsed="false">
      <c r="A3301" s="7" t="n">
        <v>45886</v>
      </c>
      <c r="B3301" s="8" t="s">
        <v>16</v>
      </c>
      <c r="C3301" s="9" t="n">
        <v>230</v>
      </c>
      <c r="D3301" s="8" t="s">
        <v>33</v>
      </c>
      <c r="E3301" s="10" t="s">
        <v>88</v>
      </c>
      <c r="F3301" s="8" t="str">
        <f aca="false">TEXT(A3301,"MM-YYYY")</f>
        <v>08-2025</v>
      </c>
      <c r="G3301" s="8"/>
      <c r="H3301" s="8"/>
      <c r="I3301" s="7"/>
      <c r="J3301" s="8" t="str">
        <f aca="false">VLOOKUP(B3301, Table3[#All], 2, FALSE())</f>
        <v>Sales</v>
      </c>
      <c r="K3301" s="8" t="str">
        <f aca="false">TEXT(ROW(), "0000")</f>
        <v>3301</v>
      </c>
      <c r="L3301" s="8"/>
    </row>
    <row r="3302" customFormat="false" ht="15.75" hidden="false" customHeight="true" outlineLevel="0" collapsed="false">
      <c r="A3302" s="7" t="n">
        <v>45886</v>
      </c>
      <c r="B3302" s="8" t="s">
        <v>16</v>
      </c>
      <c r="C3302" s="9" t="n">
        <v>14555</v>
      </c>
      <c r="D3302" s="8" t="s">
        <v>17</v>
      </c>
      <c r="E3302" s="10" t="s">
        <v>88</v>
      </c>
      <c r="F3302" s="8" t="str">
        <f aca="false">TEXT(A3302,"MM-YYYY")</f>
        <v>08-2025</v>
      </c>
      <c r="G3302" s="8"/>
      <c r="H3302" s="8"/>
      <c r="I3302" s="7"/>
      <c r="J3302" s="8" t="str">
        <f aca="false">VLOOKUP(B3302, Table3[#All], 2, FALSE())</f>
        <v>Sales</v>
      </c>
      <c r="K3302" s="8" t="str">
        <f aca="false">TEXT(ROW(), "0000")</f>
        <v>3302</v>
      </c>
      <c r="L3302" s="8"/>
    </row>
    <row r="3303" customFormat="false" ht="15.75" hidden="false" customHeight="true" outlineLevel="0" collapsed="false">
      <c r="A3303" s="7" t="n">
        <v>45886</v>
      </c>
      <c r="B3303" s="8" t="s">
        <v>16</v>
      </c>
      <c r="C3303" s="9" t="n">
        <v>2657</v>
      </c>
      <c r="D3303" s="8" t="s">
        <v>24</v>
      </c>
      <c r="E3303" s="10" t="s">
        <v>88</v>
      </c>
      <c r="F3303" s="8" t="str">
        <f aca="false">TEXT(A3303,"MM-YYYY")</f>
        <v>08-2025</v>
      </c>
      <c r="G3303" s="8"/>
      <c r="H3303" s="8"/>
      <c r="I3303" s="7"/>
      <c r="J3303" s="8" t="str">
        <f aca="false">VLOOKUP(B3303, Table3[#All], 2, FALSE())</f>
        <v>Sales</v>
      </c>
      <c r="K3303" s="8" t="str">
        <f aca="false">TEXT(ROW(), "0000")</f>
        <v>3303</v>
      </c>
      <c r="L3303" s="8"/>
    </row>
    <row r="3304" customFormat="false" ht="15.75" hidden="false" customHeight="true" outlineLevel="0" collapsed="false">
      <c r="A3304" s="7" t="n">
        <v>45886</v>
      </c>
      <c r="B3304" s="8" t="s">
        <v>118</v>
      </c>
      <c r="C3304" s="9" t="n">
        <v>87</v>
      </c>
      <c r="D3304" s="8" t="s">
        <v>21</v>
      </c>
      <c r="E3304" s="10" t="s">
        <v>440</v>
      </c>
      <c r="F3304" s="8" t="str">
        <f aca="false">TEXT(A3304,"MM-YYYY")</f>
        <v>08-2025</v>
      </c>
      <c r="G3304" s="8" t="s">
        <v>14</v>
      </c>
      <c r="H3304" s="8" t="s">
        <v>262</v>
      </c>
      <c r="I3304" s="7" t="n">
        <v>45886</v>
      </c>
      <c r="J3304" s="8" t="str">
        <f aca="false">VLOOKUP(B3304, Table3[#All], 2, FALSE())</f>
        <v>Shortage</v>
      </c>
      <c r="K3304" s="8" t="str">
        <f aca="false">TEXT(ROW(), "0000")</f>
        <v>3304</v>
      </c>
      <c r="L3304" s="8"/>
    </row>
    <row r="3305" customFormat="false" ht="15.75" hidden="false" customHeight="true" outlineLevel="0" collapsed="false">
      <c r="A3305" s="7" t="n">
        <v>45887</v>
      </c>
      <c r="B3305" s="8" t="s">
        <v>32</v>
      </c>
      <c r="C3305" s="9" t="n">
        <v>280</v>
      </c>
      <c r="D3305" s="8" t="s">
        <v>21</v>
      </c>
      <c r="E3305" s="10" t="s">
        <v>412</v>
      </c>
      <c r="F3305" s="8" t="str">
        <f aca="false">TEXT(A3305,"MM-YYYY")</f>
        <v>08-2025</v>
      </c>
      <c r="G3305" s="8" t="s">
        <v>14</v>
      </c>
      <c r="H3305" s="8"/>
      <c r="I3305" s="7"/>
      <c r="J3305" s="8" t="str">
        <f aca="false">VLOOKUP(B3305, Table3[#All], 2, FALSE())</f>
        <v>Grocery</v>
      </c>
      <c r="K3305" s="8" t="str">
        <f aca="false">TEXT(ROW(), "0000")</f>
        <v>3305</v>
      </c>
      <c r="L3305" s="8"/>
    </row>
    <row r="3306" customFormat="false" ht="15.75" hidden="false" customHeight="true" outlineLevel="0" collapsed="false">
      <c r="A3306" s="7" t="n">
        <v>45887</v>
      </c>
      <c r="B3306" s="8" t="s">
        <v>19</v>
      </c>
      <c r="C3306" s="9" t="n">
        <v>1539</v>
      </c>
      <c r="D3306" s="8" t="s">
        <v>13</v>
      </c>
      <c r="E3306" s="10" t="s">
        <v>417</v>
      </c>
      <c r="F3306" s="8" t="str">
        <f aca="false">TEXT(A3306,"MM-YYYY")</f>
        <v>08-2025</v>
      </c>
      <c r="G3306" s="8" t="s">
        <v>14</v>
      </c>
      <c r="H3306" s="8" t="s">
        <v>13</v>
      </c>
      <c r="I3306" s="7"/>
      <c r="J3306" s="8" t="str">
        <f aca="false">VLOOKUP(B3306, Table3[#All], 2, FALSE())</f>
        <v>Inventory</v>
      </c>
      <c r="K3306" s="8" t="str">
        <f aca="false">TEXT(ROW(), "0000")</f>
        <v>3306</v>
      </c>
      <c r="L3306" s="8"/>
    </row>
    <row r="3307" customFormat="false" ht="15.75" hidden="false" customHeight="true" outlineLevel="0" collapsed="false">
      <c r="A3307" s="7" t="n">
        <v>45887</v>
      </c>
      <c r="B3307" s="8" t="s">
        <v>25</v>
      </c>
      <c r="C3307" s="9" t="n">
        <v>968</v>
      </c>
      <c r="D3307" s="8" t="s">
        <v>13</v>
      </c>
      <c r="E3307" s="10" t="s">
        <v>92</v>
      </c>
      <c r="F3307" s="8" t="str">
        <f aca="false">TEXT(A3307,"MM-YYYY")</f>
        <v>08-2025</v>
      </c>
      <c r="G3307" s="8" t="s">
        <v>18</v>
      </c>
      <c r="H3307" s="8"/>
      <c r="I3307" s="7"/>
      <c r="J3307" s="8" t="str">
        <f aca="false">VLOOKUP(B3307, Table3[#All], 2, FALSE())</f>
        <v>Inventory</v>
      </c>
      <c r="K3307" s="8" t="str">
        <f aca="false">TEXT(ROW(), "0000")</f>
        <v>3307</v>
      </c>
      <c r="L3307" s="8"/>
    </row>
    <row r="3308" customFormat="false" ht="15.75" hidden="false" customHeight="true" outlineLevel="0" collapsed="false">
      <c r="A3308" s="7" t="n">
        <v>45887</v>
      </c>
      <c r="B3308" s="8" t="s">
        <v>47</v>
      </c>
      <c r="C3308" s="9" t="n">
        <v>1800</v>
      </c>
      <c r="D3308" s="8" t="s">
        <v>13</v>
      </c>
      <c r="E3308" s="10" t="s">
        <v>339</v>
      </c>
      <c r="F3308" s="8" t="str">
        <f aca="false">TEXT(A3308,"MM-YYYY")</f>
        <v>08-2025</v>
      </c>
      <c r="G3308" s="8" t="s">
        <v>18</v>
      </c>
      <c r="H3308" s="8"/>
      <c r="I3308" s="7"/>
      <c r="J3308" s="8" t="str">
        <f aca="false">VLOOKUP(B3308, Table3[#All], 2, FALSE())</f>
        <v>Inventory</v>
      </c>
      <c r="K3308" s="8" t="str">
        <f aca="false">TEXT(ROW(), "0000")</f>
        <v>3308</v>
      </c>
      <c r="L3308" s="8"/>
    </row>
    <row r="3309" customFormat="false" ht="15.75" hidden="false" customHeight="true" outlineLevel="0" collapsed="false">
      <c r="A3309" s="7" t="n">
        <v>45887</v>
      </c>
      <c r="B3309" s="8" t="s">
        <v>22</v>
      </c>
      <c r="C3309" s="9" t="n">
        <v>9728</v>
      </c>
      <c r="D3309" s="8" t="s">
        <v>13</v>
      </c>
      <c r="E3309" s="10" t="s">
        <v>23</v>
      </c>
      <c r="F3309" s="8" t="str">
        <f aca="false">TEXT(A3309,"MM-YYYY")</f>
        <v>08-2025</v>
      </c>
      <c r="G3309" s="8" t="s">
        <v>18</v>
      </c>
      <c r="H3309" s="8"/>
      <c r="I3309" s="7"/>
      <c r="J3309" s="8" t="str">
        <f aca="false">VLOOKUP(B3309, Table3[#All], 2, FALSE())</f>
        <v>Inventory</v>
      </c>
      <c r="K3309" s="8" t="str">
        <f aca="false">TEXT(ROW(), "0000")</f>
        <v>3309</v>
      </c>
      <c r="L3309" s="8"/>
    </row>
    <row r="3310" customFormat="false" ht="15.75" hidden="false" customHeight="true" outlineLevel="0" collapsed="false">
      <c r="A3310" s="7" t="n">
        <v>45887</v>
      </c>
      <c r="B3310" s="8" t="s">
        <v>107</v>
      </c>
      <c r="C3310" s="9" t="n">
        <v>550</v>
      </c>
      <c r="D3310" s="8" t="s">
        <v>21</v>
      </c>
      <c r="E3310" s="10" t="s">
        <v>370</v>
      </c>
      <c r="F3310" s="8" t="str">
        <f aca="false">TEXT(A3310,"MM-YYYY")</f>
        <v>08-2025</v>
      </c>
      <c r="G3310" s="8" t="s">
        <v>14</v>
      </c>
      <c r="H3310" s="8"/>
      <c r="I3310" s="7"/>
      <c r="J3310" s="8" t="str">
        <f aca="false">VLOOKUP(B3310, Table3[#All], 2, FALSE())</f>
        <v>Staff Expenses</v>
      </c>
      <c r="K3310" s="8" t="str">
        <f aca="false">TEXT(ROW(), "0000")</f>
        <v>3310</v>
      </c>
      <c r="L3310" s="8"/>
    </row>
    <row r="3311" customFormat="false" ht="15.75" hidden="false" customHeight="true" outlineLevel="0" collapsed="false">
      <c r="A3311" s="7" t="n">
        <v>45887</v>
      </c>
      <c r="B3311" s="8" t="s">
        <v>16</v>
      </c>
      <c r="C3311" s="9" t="n">
        <v>1650</v>
      </c>
      <c r="D3311" s="8" t="s">
        <v>21</v>
      </c>
      <c r="E3311" s="10" t="s">
        <v>88</v>
      </c>
      <c r="F3311" s="8" t="str">
        <f aca="false">TEXT(A3311,"MM-YYYY")</f>
        <v>08-2025</v>
      </c>
      <c r="G3311" s="8"/>
      <c r="H3311" s="8"/>
      <c r="I3311" s="7"/>
      <c r="J3311" s="8" t="str">
        <f aca="false">VLOOKUP(B3311, Table3[#All], 2, FALSE())</f>
        <v>Sales</v>
      </c>
      <c r="K3311" s="8" t="str">
        <f aca="false">TEXT(ROW(), "0000")</f>
        <v>3311</v>
      </c>
      <c r="L3311" s="8"/>
    </row>
    <row r="3312" customFormat="false" ht="15.75" hidden="false" customHeight="true" outlineLevel="0" collapsed="false">
      <c r="A3312" s="7" t="n">
        <v>45887</v>
      </c>
      <c r="B3312" s="8" t="s">
        <v>16</v>
      </c>
      <c r="C3312" s="9" t="n">
        <v>360</v>
      </c>
      <c r="D3312" s="8" t="s">
        <v>33</v>
      </c>
      <c r="E3312" s="10" t="s">
        <v>88</v>
      </c>
      <c r="F3312" s="8" t="str">
        <f aca="false">TEXT(A3312,"MM-YYYY")</f>
        <v>08-2025</v>
      </c>
      <c r="G3312" s="8"/>
      <c r="H3312" s="8"/>
      <c r="I3312" s="7"/>
      <c r="J3312" s="8" t="str">
        <f aca="false">VLOOKUP(B3312, Table3[#All], 2, FALSE())</f>
        <v>Sales</v>
      </c>
      <c r="K3312" s="8" t="str">
        <f aca="false">TEXT(ROW(), "0000")</f>
        <v>3312</v>
      </c>
      <c r="L3312" s="8"/>
    </row>
    <row r="3313" customFormat="false" ht="15.75" hidden="false" customHeight="true" outlineLevel="0" collapsed="false">
      <c r="A3313" s="7" t="n">
        <v>45887</v>
      </c>
      <c r="B3313" s="8" t="s">
        <v>16</v>
      </c>
      <c r="C3313" s="9" t="n">
        <v>5779</v>
      </c>
      <c r="D3313" s="8" t="s">
        <v>17</v>
      </c>
      <c r="E3313" s="10" t="s">
        <v>88</v>
      </c>
      <c r="F3313" s="8" t="str">
        <f aca="false">TEXT(A3313,"MM-YYYY")</f>
        <v>08-2025</v>
      </c>
      <c r="G3313" s="8"/>
      <c r="H3313" s="8"/>
      <c r="I3313" s="7"/>
      <c r="J3313" s="8" t="str">
        <f aca="false">VLOOKUP(B3313, Table3[#All], 2, FALSE())</f>
        <v>Sales</v>
      </c>
      <c r="K3313" s="8" t="str">
        <f aca="false">TEXT(ROW(), "0000")</f>
        <v>3313</v>
      </c>
      <c r="L3313" s="8"/>
    </row>
    <row r="3314" customFormat="false" ht="15.75" hidden="false" customHeight="true" outlineLevel="0" collapsed="false">
      <c r="A3314" s="7" t="n">
        <v>45887</v>
      </c>
      <c r="B3314" s="8" t="s">
        <v>16</v>
      </c>
      <c r="C3314" s="9" t="n">
        <v>1521</v>
      </c>
      <c r="D3314" s="8" t="s">
        <v>24</v>
      </c>
      <c r="E3314" s="10" t="s">
        <v>88</v>
      </c>
      <c r="F3314" s="8" t="str">
        <f aca="false">TEXT(A3314,"MM-YYYY")</f>
        <v>08-2025</v>
      </c>
      <c r="G3314" s="8"/>
      <c r="H3314" s="8"/>
      <c r="I3314" s="7"/>
      <c r="J3314" s="8" t="str">
        <f aca="false">VLOOKUP(B3314, Table3[#All], 2, FALSE())</f>
        <v>Sales</v>
      </c>
      <c r="K3314" s="8" t="str">
        <f aca="false">TEXT(ROW(), "0000")</f>
        <v>3314</v>
      </c>
      <c r="L3314" s="8"/>
    </row>
    <row r="3315" customFormat="false" ht="15.75" hidden="false" customHeight="true" outlineLevel="0" collapsed="false">
      <c r="A3315" s="7" t="n">
        <v>45888</v>
      </c>
      <c r="B3315" s="8" t="s">
        <v>19</v>
      </c>
      <c r="C3315" s="9" t="n">
        <v>2764</v>
      </c>
      <c r="D3315" s="8" t="s">
        <v>13</v>
      </c>
      <c r="E3315" s="10" t="s">
        <v>417</v>
      </c>
      <c r="F3315" s="8" t="str">
        <f aca="false">TEXT(A3315,"MM-YYYY")</f>
        <v>08-2025</v>
      </c>
      <c r="G3315" s="8" t="s">
        <v>14</v>
      </c>
      <c r="H3315" s="8" t="s">
        <v>13</v>
      </c>
      <c r="I3315" s="7"/>
      <c r="J3315" s="8" t="str">
        <f aca="false">VLOOKUP(B3315, Table3[#All], 2, FALSE())</f>
        <v>Inventory</v>
      </c>
      <c r="K3315" s="8" t="str">
        <f aca="false">TEXT(ROW(), "0000")</f>
        <v>3315</v>
      </c>
      <c r="L3315" s="8"/>
    </row>
    <row r="3316" customFormat="false" ht="15.75" hidden="false" customHeight="true" outlineLevel="0" collapsed="false">
      <c r="A3316" s="7" t="n">
        <v>45888</v>
      </c>
      <c r="B3316" s="8" t="s">
        <v>25</v>
      </c>
      <c r="C3316" s="9" t="n">
        <v>385</v>
      </c>
      <c r="D3316" s="8" t="s">
        <v>13</v>
      </c>
      <c r="E3316" s="10" t="s">
        <v>92</v>
      </c>
      <c r="F3316" s="8" t="str">
        <f aca="false">TEXT(A3316,"MM-YYYY")</f>
        <v>08-2025</v>
      </c>
      <c r="G3316" s="8" t="s">
        <v>18</v>
      </c>
      <c r="H3316" s="8"/>
      <c r="I3316" s="7"/>
      <c r="J3316" s="8" t="str">
        <f aca="false">VLOOKUP(B3316, Table3[#All], 2, FALSE())</f>
        <v>Inventory</v>
      </c>
      <c r="K3316" s="8" t="str">
        <f aca="false">TEXT(ROW(), "0000")</f>
        <v>3316</v>
      </c>
      <c r="L3316" s="8"/>
    </row>
    <row r="3317" customFormat="false" ht="15.75" hidden="false" customHeight="true" outlineLevel="0" collapsed="false">
      <c r="A3317" s="7" t="n">
        <v>45888</v>
      </c>
      <c r="B3317" s="8" t="s">
        <v>202</v>
      </c>
      <c r="C3317" s="9" t="n">
        <v>120</v>
      </c>
      <c r="D3317" s="8" t="s">
        <v>21</v>
      </c>
      <c r="E3317" s="10" t="s">
        <v>441</v>
      </c>
      <c r="F3317" s="8" t="str">
        <f aca="false">TEXT(A3317,"MM-YYYY")</f>
        <v>08-2025</v>
      </c>
      <c r="G3317" s="8" t="s">
        <v>14</v>
      </c>
      <c r="H3317" s="8" t="s">
        <v>262</v>
      </c>
      <c r="I3317" s="7" t="n">
        <f aca="false">A3317</f>
        <v>45888</v>
      </c>
      <c r="J3317" s="8" t="str">
        <f aca="false">VLOOKUP(B3317, Table3[#All], 2, FALSE())</f>
        <v>Maintance</v>
      </c>
      <c r="K3317" s="8" t="str">
        <f aca="false">TEXT(ROW(), "0000")</f>
        <v>3317</v>
      </c>
      <c r="L3317" s="8"/>
    </row>
    <row r="3318" customFormat="false" ht="15.75" hidden="false" customHeight="true" outlineLevel="0" collapsed="false">
      <c r="A3318" s="7" t="n">
        <v>45888</v>
      </c>
      <c r="B3318" s="8" t="s">
        <v>69</v>
      </c>
      <c r="C3318" s="9" t="n">
        <v>700</v>
      </c>
      <c r="D3318" s="8" t="s">
        <v>13</v>
      </c>
      <c r="E3318" s="10" t="s">
        <v>442</v>
      </c>
      <c r="F3318" s="8" t="str">
        <f aca="false">TEXT(A3318,"MM-YYYY")</f>
        <v>08-2025</v>
      </c>
      <c r="G3318" s="8" t="s">
        <v>14</v>
      </c>
      <c r="H3318" s="8" t="s">
        <v>232</v>
      </c>
      <c r="I3318" s="7"/>
      <c r="J3318" s="8" t="str">
        <f aca="false">VLOOKUP(B3318, Table3[#All], 2, FALSE())</f>
        <v>Fixed Maintance</v>
      </c>
      <c r="K3318" s="8" t="str">
        <f aca="false">TEXT(ROW(), "0000")</f>
        <v>3318</v>
      </c>
      <c r="L3318" s="8"/>
    </row>
    <row r="3319" customFormat="false" ht="15.75" hidden="false" customHeight="true" outlineLevel="0" collapsed="false">
      <c r="A3319" s="7" t="n">
        <v>45888</v>
      </c>
      <c r="B3319" s="8" t="s">
        <v>16</v>
      </c>
      <c r="C3319" s="9" t="n">
        <v>380</v>
      </c>
      <c r="D3319" s="8" t="s">
        <v>21</v>
      </c>
      <c r="E3319" s="10" t="s">
        <v>88</v>
      </c>
      <c r="F3319" s="8" t="str">
        <f aca="false">TEXT(A3319,"MM-YYYY")</f>
        <v>08-2025</v>
      </c>
      <c r="G3319" s="8"/>
      <c r="H3319" s="8"/>
      <c r="I3319" s="7"/>
      <c r="J3319" s="8" t="str">
        <f aca="false">VLOOKUP(B3319, Table3[#All], 2, FALSE())</f>
        <v>Sales</v>
      </c>
      <c r="K3319" s="8" t="str">
        <f aca="false">TEXT(ROW(), "0000")</f>
        <v>3319</v>
      </c>
      <c r="L3319" s="8"/>
    </row>
    <row r="3320" customFormat="false" ht="15.75" hidden="false" customHeight="true" outlineLevel="0" collapsed="false">
      <c r="A3320" s="7" t="n">
        <v>45888</v>
      </c>
      <c r="B3320" s="8" t="s">
        <v>16</v>
      </c>
      <c r="C3320" s="9" t="n">
        <v>4540</v>
      </c>
      <c r="D3320" s="8" t="s">
        <v>17</v>
      </c>
      <c r="E3320" s="10" t="s">
        <v>88</v>
      </c>
      <c r="F3320" s="8" t="str">
        <f aca="false">TEXT(A3320,"MM-YYYY")</f>
        <v>08-2025</v>
      </c>
      <c r="G3320" s="8"/>
      <c r="H3320" s="8"/>
      <c r="I3320" s="7"/>
      <c r="J3320" s="8" t="str">
        <f aca="false">VLOOKUP(B3320, Table3[#All], 2, FALSE())</f>
        <v>Sales</v>
      </c>
      <c r="K3320" s="8" t="str">
        <f aca="false">TEXT(ROW(), "0000")</f>
        <v>3320</v>
      </c>
      <c r="L3320" s="8"/>
    </row>
    <row r="3321" customFormat="false" ht="15.75" hidden="false" customHeight="true" outlineLevel="0" collapsed="false">
      <c r="A3321" s="7" t="n">
        <v>45888</v>
      </c>
      <c r="B3321" s="8" t="s">
        <v>16</v>
      </c>
      <c r="C3321" s="9" t="n">
        <v>1349</v>
      </c>
      <c r="D3321" s="8" t="s">
        <v>24</v>
      </c>
      <c r="E3321" s="10" t="s">
        <v>88</v>
      </c>
      <c r="F3321" s="8" t="str">
        <f aca="false">TEXT(A3321,"MM-YYYY")</f>
        <v>08-2025</v>
      </c>
      <c r="G3321" s="8"/>
      <c r="H3321" s="8"/>
      <c r="I3321" s="7"/>
      <c r="J3321" s="8" t="str">
        <f aca="false">VLOOKUP(B3321, Table3[#All], 2, FALSE())</f>
        <v>Sales</v>
      </c>
      <c r="K3321" s="8" t="str">
        <f aca="false">TEXT(ROW(), "0000")</f>
        <v>3321</v>
      </c>
      <c r="L3321" s="8"/>
    </row>
    <row r="3322" customFormat="false" ht="15.75" hidden="false" customHeight="true" outlineLevel="0" collapsed="false">
      <c r="A3322" s="7" t="n">
        <v>45889</v>
      </c>
      <c r="B3322" s="8" t="s">
        <v>47</v>
      </c>
      <c r="C3322" s="9" t="n">
        <v>900</v>
      </c>
      <c r="D3322" s="8" t="s">
        <v>13</v>
      </c>
      <c r="E3322" s="10" t="s">
        <v>339</v>
      </c>
      <c r="F3322" s="8" t="str">
        <f aca="false">TEXT(A3322,"MM-YYYY")</f>
        <v>08-2025</v>
      </c>
      <c r="G3322" s="8" t="s">
        <v>18</v>
      </c>
      <c r="H3322" s="8"/>
      <c r="I3322" s="7"/>
      <c r="J3322" s="8" t="str">
        <f aca="false">VLOOKUP(B3322, Table3[#All], 2, FALSE())</f>
        <v>Inventory</v>
      </c>
      <c r="K3322" s="8" t="str">
        <f aca="false">TEXT(ROW(), "0000")</f>
        <v>3322</v>
      </c>
      <c r="L3322" s="8"/>
    </row>
    <row r="3323" customFormat="false" ht="15.75" hidden="false" customHeight="true" outlineLevel="0" collapsed="false">
      <c r="A3323" s="7" t="n">
        <v>45889</v>
      </c>
      <c r="B3323" s="8" t="s">
        <v>25</v>
      </c>
      <c r="C3323" s="9" t="n">
        <v>340</v>
      </c>
      <c r="D3323" s="8" t="s">
        <v>13</v>
      </c>
      <c r="E3323" s="10" t="s">
        <v>92</v>
      </c>
      <c r="F3323" s="8" t="str">
        <f aca="false">TEXT(A3323,"MM-YYYY")</f>
        <v>08-2025</v>
      </c>
      <c r="G3323" s="8" t="s">
        <v>18</v>
      </c>
      <c r="H3323" s="8"/>
      <c r="I3323" s="7"/>
      <c r="J3323" s="8" t="str">
        <f aca="false">VLOOKUP(B3323, Table3[#All], 2, FALSE())</f>
        <v>Inventory</v>
      </c>
      <c r="K3323" s="8" t="str">
        <f aca="false">TEXT(ROW(), "0000")</f>
        <v>3323</v>
      </c>
      <c r="L3323" s="8"/>
    </row>
    <row r="3324" customFormat="false" ht="15.75" hidden="false" customHeight="true" outlineLevel="0" collapsed="false">
      <c r="A3324" s="7" t="n">
        <v>45889</v>
      </c>
      <c r="B3324" s="8" t="s">
        <v>202</v>
      </c>
      <c r="C3324" s="9" t="n">
        <v>235</v>
      </c>
      <c r="D3324" s="8" t="s">
        <v>21</v>
      </c>
      <c r="E3324" s="10" t="s">
        <v>443</v>
      </c>
      <c r="F3324" s="8" t="str">
        <f aca="false">TEXT(A3324,"MM-YYYY")</f>
        <v>08-2025</v>
      </c>
      <c r="G3324" s="8" t="s">
        <v>14</v>
      </c>
      <c r="H3324" s="8" t="s">
        <v>262</v>
      </c>
      <c r="I3324" s="7" t="n">
        <v>45889</v>
      </c>
      <c r="J3324" s="8" t="str">
        <f aca="false">VLOOKUP(B3324, Table3[#All], 2, FALSE())</f>
        <v>Maintance</v>
      </c>
      <c r="K3324" s="8" t="str">
        <f aca="false">TEXT(ROW(), "0000")</f>
        <v>3324</v>
      </c>
      <c r="L3324" s="8"/>
    </row>
    <row r="3325" customFormat="false" ht="15.75" hidden="false" customHeight="true" outlineLevel="0" collapsed="false">
      <c r="A3325" s="7" t="n">
        <v>45889</v>
      </c>
      <c r="B3325" s="8" t="s">
        <v>22</v>
      </c>
      <c r="C3325" s="9" t="n">
        <v>200</v>
      </c>
      <c r="D3325" s="8" t="s">
        <v>21</v>
      </c>
      <c r="E3325" s="10" t="s">
        <v>444</v>
      </c>
      <c r="F3325" s="8" t="str">
        <f aca="false">TEXT(A3325,"MM-YYYY")</f>
        <v>08-2025</v>
      </c>
      <c r="G3325" s="8" t="s">
        <v>14</v>
      </c>
      <c r="H3325" s="8" t="s">
        <v>262</v>
      </c>
      <c r="I3325" s="7" t="n">
        <v>45889</v>
      </c>
      <c r="J3325" s="8" t="str">
        <f aca="false">VLOOKUP(B3325, Table3[#All], 2, FALSE())</f>
        <v>Inventory</v>
      </c>
      <c r="K3325" s="8" t="str">
        <f aca="false">TEXT(ROW(), "0000")</f>
        <v>3325</v>
      </c>
      <c r="L3325" s="8"/>
    </row>
    <row r="3326" customFormat="false" ht="15.75" hidden="false" customHeight="true" outlineLevel="0" collapsed="false">
      <c r="A3326" s="7" t="n">
        <v>45889</v>
      </c>
      <c r="B3326" s="8" t="s">
        <v>43</v>
      </c>
      <c r="C3326" s="9" t="n">
        <v>500</v>
      </c>
      <c r="D3326" s="8" t="s">
        <v>13</v>
      </c>
      <c r="E3326" s="10" t="s">
        <v>445</v>
      </c>
      <c r="F3326" s="8" t="str">
        <f aca="false">TEXT(A3326,"MM-YYYY")</f>
        <v>08-2025</v>
      </c>
      <c r="G3326" s="8" t="s">
        <v>14</v>
      </c>
      <c r="H3326" s="8" t="s">
        <v>262</v>
      </c>
      <c r="I3326" s="7" t="n">
        <v>45889</v>
      </c>
      <c r="J3326" s="8" t="str">
        <f aca="false">VLOOKUP(B3326, Table3[#All], 2, FALSE())</f>
        <v>Maintance</v>
      </c>
      <c r="K3326" s="8" t="str">
        <f aca="false">TEXT(ROW(), "0000")</f>
        <v>3326</v>
      </c>
      <c r="L3326" s="8"/>
    </row>
    <row r="3327" customFormat="false" ht="15.75" hidden="false" customHeight="true" outlineLevel="0" collapsed="false">
      <c r="A3327" s="7" t="n">
        <v>45889</v>
      </c>
      <c r="B3327" s="8" t="s">
        <v>44</v>
      </c>
      <c r="C3327" s="9" t="n">
        <v>300</v>
      </c>
      <c r="D3327" s="8" t="s">
        <v>45</v>
      </c>
      <c r="E3327" s="10" t="s">
        <v>446</v>
      </c>
      <c r="F3327" s="8" t="str">
        <f aca="false">TEXT(A3327,"MM-YYYY")</f>
        <v>08-2025</v>
      </c>
      <c r="G3327" s="8" t="s">
        <v>14</v>
      </c>
      <c r="H3327" s="8" t="s">
        <v>262</v>
      </c>
      <c r="I3327" s="7" t="n">
        <v>45889</v>
      </c>
      <c r="J3327" s="8" t="str">
        <f aca="false">VLOOKUP(B3327, Table3[#All], 2, FALSE())</f>
        <v>Salary</v>
      </c>
      <c r="K3327" s="8" t="str">
        <f aca="false">TEXT(ROW(), "0000")</f>
        <v>3327</v>
      </c>
      <c r="L3327" s="8"/>
    </row>
    <row r="3328" customFormat="false" ht="15.75" hidden="false" customHeight="true" outlineLevel="0" collapsed="false">
      <c r="A3328" s="7" t="n">
        <v>45889</v>
      </c>
      <c r="B3328" s="8" t="s">
        <v>44</v>
      </c>
      <c r="C3328" s="9" t="n">
        <v>200</v>
      </c>
      <c r="D3328" s="8" t="s">
        <v>21</v>
      </c>
      <c r="E3328" s="10" t="s">
        <v>446</v>
      </c>
      <c r="F3328" s="8" t="str">
        <f aca="false">TEXT(A3328,"MM-YYYY")</f>
        <v>08-2025</v>
      </c>
      <c r="G3328" s="8" t="s">
        <v>14</v>
      </c>
      <c r="H3328" s="8" t="s">
        <v>262</v>
      </c>
      <c r="I3328" s="7" t="n">
        <v>45889</v>
      </c>
      <c r="J3328" s="8" t="str">
        <f aca="false">VLOOKUP(B3328, Table3[#All], 2, FALSE())</f>
        <v>Salary</v>
      </c>
      <c r="K3328" s="8" t="str">
        <f aca="false">TEXT(ROW(), "0000")</f>
        <v>3328</v>
      </c>
      <c r="L3328" s="8"/>
    </row>
    <row r="3329" customFormat="false" ht="15.75" hidden="false" customHeight="true" outlineLevel="0" collapsed="false">
      <c r="A3329" s="7" t="n">
        <v>45889</v>
      </c>
      <c r="B3329" s="8" t="s">
        <v>34</v>
      </c>
      <c r="C3329" s="9" t="n">
        <v>50</v>
      </c>
      <c r="D3329" s="8" t="s">
        <v>21</v>
      </c>
      <c r="E3329" s="10" t="s">
        <v>447</v>
      </c>
      <c r="F3329" s="8" t="str">
        <f aca="false">TEXT(A3329,"MM-YYYY")</f>
        <v>08-2025</v>
      </c>
      <c r="G3329" s="8" t="s">
        <v>14</v>
      </c>
      <c r="H3329" s="8" t="s">
        <v>262</v>
      </c>
      <c r="I3329" s="7"/>
      <c r="J3329" s="8" t="str">
        <f aca="false">VLOOKUP(B3329, Table3[#All], 2, FALSE())</f>
        <v>Staff Expenses</v>
      </c>
      <c r="K3329" s="8" t="str">
        <f aca="false">TEXT(ROW(), "0000")</f>
        <v>3329</v>
      </c>
      <c r="L3329" s="8"/>
    </row>
    <row r="3330" customFormat="false" ht="15.75" hidden="false" customHeight="true" outlineLevel="0" collapsed="false">
      <c r="A3330" s="7" t="n">
        <v>45889</v>
      </c>
      <c r="B3330" s="8" t="s">
        <v>16</v>
      </c>
      <c r="C3330" s="9" t="n">
        <v>750</v>
      </c>
      <c r="D3330" s="8" t="s">
        <v>21</v>
      </c>
      <c r="E3330" s="10" t="s">
        <v>88</v>
      </c>
      <c r="F3330" s="8" t="str">
        <f aca="false">TEXT(A3330,"MM-YYYY")</f>
        <v>08-2025</v>
      </c>
      <c r="G3330" s="8"/>
      <c r="H3330" s="8"/>
      <c r="I3330" s="7"/>
      <c r="J3330" s="8" t="str">
        <f aca="false">VLOOKUP(B3330, Table3[#All], 2, FALSE())</f>
        <v>Sales</v>
      </c>
      <c r="K3330" s="8" t="str">
        <f aca="false">TEXT(ROW(), "0000")</f>
        <v>3330</v>
      </c>
      <c r="L3330" s="8"/>
    </row>
    <row r="3331" customFormat="false" ht="15.75" hidden="false" customHeight="true" outlineLevel="0" collapsed="false">
      <c r="A3331" s="7" t="n">
        <v>45889</v>
      </c>
      <c r="B3331" s="8" t="s">
        <v>16</v>
      </c>
      <c r="C3331" s="9" t="n">
        <v>320</v>
      </c>
      <c r="D3331" s="8" t="s">
        <v>33</v>
      </c>
      <c r="E3331" s="10" t="s">
        <v>88</v>
      </c>
      <c r="F3331" s="8" t="str">
        <f aca="false">TEXT(A3331,"MM-YYYY")</f>
        <v>08-2025</v>
      </c>
      <c r="G3331" s="8"/>
      <c r="H3331" s="8"/>
      <c r="I3331" s="7"/>
      <c r="J3331" s="8" t="str">
        <f aca="false">VLOOKUP(B3331, Table3[#All], 2, FALSE())</f>
        <v>Sales</v>
      </c>
      <c r="K3331" s="8" t="str">
        <f aca="false">TEXT(ROW(), "0000")</f>
        <v>3331</v>
      </c>
      <c r="L3331" s="8"/>
    </row>
    <row r="3332" customFormat="false" ht="15.75" hidden="false" customHeight="true" outlineLevel="0" collapsed="false">
      <c r="A3332" s="7" t="n">
        <v>45889</v>
      </c>
      <c r="B3332" s="8" t="s">
        <v>16</v>
      </c>
      <c r="C3332" s="9" t="n">
        <v>9754</v>
      </c>
      <c r="D3332" s="8" t="s">
        <v>17</v>
      </c>
      <c r="E3332" s="10" t="s">
        <v>88</v>
      </c>
      <c r="F3332" s="8" t="str">
        <f aca="false">TEXT(A3332,"MM-YYYY")</f>
        <v>08-2025</v>
      </c>
      <c r="G3332" s="8"/>
      <c r="H3332" s="8"/>
      <c r="I3332" s="7"/>
      <c r="J3332" s="8" t="str">
        <f aca="false">VLOOKUP(B3332, Table3[#All], 2, FALSE())</f>
        <v>Sales</v>
      </c>
      <c r="K3332" s="8" t="str">
        <f aca="false">TEXT(ROW(), "0000")</f>
        <v>3332</v>
      </c>
      <c r="L3332" s="8"/>
    </row>
    <row r="3333" customFormat="false" ht="15.75" hidden="false" customHeight="true" outlineLevel="0" collapsed="false">
      <c r="A3333" s="7" t="n">
        <v>45889</v>
      </c>
      <c r="B3333" s="8" t="s">
        <v>16</v>
      </c>
      <c r="C3333" s="9" t="n">
        <v>238</v>
      </c>
      <c r="D3333" s="8" t="s">
        <v>24</v>
      </c>
      <c r="E3333" s="10" t="s">
        <v>88</v>
      </c>
      <c r="F3333" s="8" t="str">
        <f aca="false">TEXT(A3333,"MM-YYYY")</f>
        <v>08-2025</v>
      </c>
      <c r="G3333" s="8"/>
      <c r="H3333" s="8"/>
      <c r="I3333" s="7"/>
      <c r="J3333" s="8" t="str">
        <f aca="false">VLOOKUP(B3333, Table3[#All], 2, FALSE())</f>
        <v>Sales</v>
      </c>
      <c r="K3333" s="8" t="str">
        <f aca="false">TEXT(ROW(), "0000")</f>
        <v>3333</v>
      </c>
      <c r="L3333" s="8"/>
    </row>
    <row r="3334" customFormat="false" ht="15.75" hidden="false" customHeight="true" outlineLevel="0" collapsed="false">
      <c r="A3334" s="7" t="n">
        <v>45890</v>
      </c>
      <c r="B3334" s="8" t="s">
        <v>19</v>
      </c>
      <c r="C3334" s="9" t="n">
        <v>3233</v>
      </c>
      <c r="D3334" s="8" t="s">
        <v>13</v>
      </c>
      <c r="E3334" s="10" t="s">
        <v>417</v>
      </c>
      <c r="F3334" s="8" t="str">
        <f aca="false">TEXT(A3334,"MM-YYYY")</f>
        <v>08-2025</v>
      </c>
      <c r="G3334" s="8" t="s">
        <v>14</v>
      </c>
      <c r="H3334" s="8" t="s">
        <v>13</v>
      </c>
      <c r="I3334" s="7"/>
      <c r="J3334" s="8" t="str">
        <f aca="false">VLOOKUP(B3334, Table3[#All], 2, FALSE())</f>
        <v>Inventory</v>
      </c>
      <c r="K3334" s="8" t="str">
        <f aca="false">TEXT(ROW(), "0000")</f>
        <v>3334</v>
      </c>
      <c r="L3334" s="8"/>
    </row>
    <row r="3335" customFormat="false" ht="15.75" hidden="false" customHeight="true" outlineLevel="0" collapsed="false">
      <c r="A3335" s="7" t="n">
        <v>45890</v>
      </c>
      <c r="B3335" s="8" t="s">
        <v>25</v>
      </c>
      <c r="C3335" s="9" t="n">
        <v>1080</v>
      </c>
      <c r="D3335" s="8" t="s">
        <v>13</v>
      </c>
      <c r="E3335" s="10" t="s">
        <v>92</v>
      </c>
      <c r="F3335" s="8" t="str">
        <f aca="false">TEXT(A3335,"MM-YYYY")</f>
        <v>08-2025</v>
      </c>
      <c r="G3335" s="8" t="s">
        <v>18</v>
      </c>
      <c r="H3335" s="8"/>
      <c r="I3335" s="7"/>
      <c r="J3335" s="8" t="str">
        <f aca="false">VLOOKUP(B3335, Table3[#All], 2, FALSE())</f>
        <v>Inventory</v>
      </c>
      <c r="K3335" s="8" t="str">
        <f aca="false">TEXT(ROW(), "0000")</f>
        <v>3335</v>
      </c>
      <c r="L3335" s="8"/>
    </row>
    <row r="3336" customFormat="false" ht="15.75" hidden="false" customHeight="true" outlineLevel="0" collapsed="false">
      <c r="A3336" s="7" t="n">
        <v>45890</v>
      </c>
      <c r="B3336" s="8" t="s">
        <v>22</v>
      </c>
      <c r="C3336" s="9" t="n">
        <v>110</v>
      </c>
      <c r="D3336" s="8" t="s">
        <v>21</v>
      </c>
      <c r="E3336" s="10" t="s">
        <v>213</v>
      </c>
      <c r="F3336" s="8" t="str">
        <f aca="false">TEXT(A3336,"MM-YYYY")</f>
        <v>08-2025</v>
      </c>
      <c r="G3336" s="8" t="s">
        <v>14</v>
      </c>
      <c r="H3336" s="8" t="s">
        <v>262</v>
      </c>
      <c r="I3336" s="7" t="n">
        <v>45890</v>
      </c>
      <c r="J3336" s="8" t="str">
        <f aca="false">VLOOKUP(B3336, Table3[#All], 2, FALSE())</f>
        <v>Inventory</v>
      </c>
      <c r="K3336" s="8" t="str">
        <f aca="false">TEXT(ROW(), "0000")</f>
        <v>3336</v>
      </c>
      <c r="L3336" s="8"/>
    </row>
    <row r="3337" customFormat="false" ht="15.75" hidden="false" customHeight="true" outlineLevel="0" collapsed="false">
      <c r="A3337" s="7" t="n">
        <v>45890</v>
      </c>
      <c r="B3337" s="8" t="s">
        <v>197</v>
      </c>
      <c r="C3337" s="9" t="n">
        <v>700</v>
      </c>
      <c r="D3337" s="8" t="s">
        <v>21</v>
      </c>
      <c r="E3337" s="10" t="s">
        <v>448</v>
      </c>
      <c r="F3337" s="8" t="str">
        <f aca="false">TEXT(A3337,"MM-YYYY")</f>
        <v>08-2025</v>
      </c>
      <c r="G3337" s="8" t="s">
        <v>14</v>
      </c>
      <c r="H3337" s="8" t="s">
        <v>262</v>
      </c>
      <c r="I3337" s="7" t="n">
        <v>45890</v>
      </c>
      <c r="J3337" s="8" t="str">
        <f aca="false">VLOOKUP(B3337, Table3[#All], 2, FALSE())</f>
        <v>Maintenance</v>
      </c>
      <c r="K3337" s="8" t="str">
        <f aca="false">TEXT(ROW(), "0000")</f>
        <v>3337</v>
      </c>
      <c r="L3337" s="8"/>
    </row>
    <row r="3338" customFormat="false" ht="15.75" hidden="false" customHeight="true" outlineLevel="0" collapsed="false">
      <c r="A3338" s="7" t="n">
        <v>45890</v>
      </c>
      <c r="B3338" s="8" t="s">
        <v>197</v>
      </c>
      <c r="C3338" s="9" t="n">
        <v>300</v>
      </c>
      <c r="D3338" s="8" t="s">
        <v>13</v>
      </c>
      <c r="E3338" s="10" t="s">
        <v>448</v>
      </c>
      <c r="F3338" s="8" t="str">
        <f aca="false">TEXT(A3338,"MM-YYYY")</f>
        <v>08-2025</v>
      </c>
      <c r="G3338" s="8" t="s">
        <v>14</v>
      </c>
      <c r="H3338" s="8" t="s">
        <v>262</v>
      </c>
      <c r="I3338" s="7" t="n">
        <v>45890</v>
      </c>
      <c r="J3338" s="8" t="str">
        <f aca="false">VLOOKUP(B3338, Table3[#All], 2, FALSE())</f>
        <v>Maintenance</v>
      </c>
      <c r="K3338" s="8" t="str">
        <f aca="false">TEXT(ROW(), "0000")</f>
        <v>3338</v>
      </c>
      <c r="L3338" s="8"/>
    </row>
    <row r="3339" customFormat="false" ht="15.75" hidden="false" customHeight="true" outlineLevel="0" collapsed="false">
      <c r="A3339" s="7" t="n">
        <v>45890</v>
      </c>
      <c r="B3339" s="8" t="s">
        <v>31</v>
      </c>
      <c r="C3339" s="9" t="n">
        <v>300</v>
      </c>
      <c r="D3339" s="8" t="s">
        <v>13</v>
      </c>
      <c r="E3339" s="10" t="s">
        <v>31</v>
      </c>
      <c r="F3339" s="8" t="str">
        <f aca="false">TEXT(A3339,"MM-YYYY")</f>
        <v>08-2025</v>
      </c>
      <c r="G3339" s="8" t="s">
        <v>14</v>
      </c>
      <c r="H3339" s="8" t="s">
        <v>262</v>
      </c>
      <c r="I3339" s="7" t="n">
        <v>45890</v>
      </c>
      <c r="J3339" s="8" t="str">
        <f aca="false">VLOOKUP(B3339, Table3[#All], 2, FALSE())</f>
        <v>Bike Maintance</v>
      </c>
      <c r="K3339" s="8" t="str">
        <f aca="false">TEXT(ROW(), "0000")</f>
        <v>3339</v>
      </c>
      <c r="L3339" s="8"/>
    </row>
    <row r="3340" customFormat="false" ht="15.75" hidden="false" customHeight="true" outlineLevel="0" collapsed="false">
      <c r="A3340" s="7" t="n">
        <v>45890</v>
      </c>
      <c r="B3340" s="8" t="s">
        <v>37</v>
      </c>
      <c r="C3340" s="9" t="n">
        <v>15</v>
      </c>
      <c r="D3340" s="8" t="s">
        <v>21</v>
      </c>
      <c r="E3340" s="10" t="s">
        <v>100</v>
      </c>
      <c r="F3340" s="8" t="str">
        <f aca="false">TEXT(A3340,"MM-YYYY")</f>
        <v>08-2025</v>
      </c>
      <c r="G3340" s="8" t="s">
        <v>14</v>
      </c>
      <c r="H3340" s="8" t="s">
        <v>262</v>
      </c>
      <c r="I3340" s="7" t="n">
        <v>45890</v>
      </c>
      <c r="J3340" s="8" t="str">
        <f aca="false">VLOOKUP(B3340, Table3[#All], 2, FALSE())</f>
        <v>Maintance</v>
      </c>
      <c r="K3340" s="8" t="str">
        <f aca="false">TEXT(ROW(), "0000")</f>
        <v>3340</v>
      </c>
      <c r="L3340" s="8"/>
    </row>
    <row r="3341" customFormat="false" ht="15.75" hidden="false" customHeight="true" outlineLevel="0" collapsed="false">
      <c r="A3341" s="7" t="n">
        <v>45890</v>
      </c>
      <c r="B3341" s="8" t="s">
        <v>43</v>
      </c>
      <c r="C3341" s="9" t="n">
        <v>11800</v>
      </c>
      <c r="D3341" s="8" t="s">
        <v>13</v>
      </c>
      <c r="E3341" s="10" t="s">
        <v>449</v>
      </c>
      <c r="F3341" s="8" t="str">
        <f aca="false">TEXT(A3341,"MM-YYYY")</f>
        <v>08-2025</v>
      </c>
      <c r="G3341" s="8" t="s">
        <v>14</v>
      </c>
      <c r="H3341" s="8" t="s">
        <v>262</v>
      </c>
      <c r="I3341" s="7" t="n">
        <v>45890</v>
      </c>
      <c r="J3341" s="8" t="str">
        <f aca="false">VLOOKUP(B3341, Table3[#All], 2, FALSE())</f>
        <v>Maintance</v>
      </c>
      <c r="K3341" s="8" t="str">
        <f aca="false">TEXT(ROW(), "0000")</f>
        <v>3341</v>
      </c>
      <c r="L3341" s="8"/>
    </row>
    <row r="3342" customFormat="false" ht="15.75" hidden="false" customHeight="true" outlineLevel="0" collapsed="false">
      <c r="A3342" s="7" t="n">
        <v>45890</v>
      </c>
      <c r="B3342" s="8" t="s">
        <v>32</v>
      </c>
      <c r="C3342" s="9" t="n">
        <v>180</v>
      </c>
      <c r="D3342" s="8" t="s">
        <v>21</v>
      </c>
      <c r="E3342" s="10" t="s">
        <v>450</v>
      </c>
      <c r="F3342" s="8" t="str">
        <f aca="false">TEXT(A3342,"MM-YYYY")</f>
        <v>08-2025</v>
      </c>
      <c r="G3342" s="8" t="s">
        <v>14</v>
      </c>
      <c r="H3342" s="8" t="s">
        <v>262</v>
      </c>
      <c r="I3342" s="7" t="n">
        <v>45890</v>
      </c>
      <c r="J3342" s="8" t="str">
        <f aca="false">VLOOKUP(B3342, Table3[#All], 2, FALSE())</f>
        <v>Grocery</v>
      </c>
      <c r="K3342" s="8" t="str">
        <f aca="false">TEXT(ROW(), "0000")</f>
        <v>3342</v>
      </c>
      <c r="L3342" s="8"/>
    </row>
    <row r="3343" customFormat="false" ht="15.75" hidden="false" customHeight="true" outlineLevel="0" collapsed="false">
      <c r="A3343" s="7" t="n">
        <v>45890</v>
      </c>
      <c r="B3343" s="8" t="s">
        <v>44</v>
      </c>
      <c r="C3343" s="9" t="n">
        <v>349</v>
      </c>
      <c r="D3343" s="8" t="s">
        <v>13</v>
      </c>
      <c r="E3343" s="10" t="s">
        <v>451</v>
      </c>
      <c r="F3343" s="8" t="str">
        <f aca="false">TEXT(A3343,"MM-YYYY")</f>
        <v>08-2025</v>
      </c>
      <c r="G3343" s="8" t="s">
        <v>14</v>
      </c>
      <c r="H3343" s="8" t="s">
        <v>262</v>
      </c>
      <c r="I3343" s="7" t="n">
        <v>45890</v>
      </c>
      <c r="J3343" s="8" t="str">
        <f aca="false">VLOOKUP(B3343, Table3[#All], 2, FALSE())</f>
        <v>Salary</v>
      </c>
      <c r="K3343" s="8" t="str">
        <f aca="false">TEXT(ROW(), "0000")</f>
        <v>3343</v>
      </c>
      <c r="L3343" s="8"/>
    </row>
    <row r="3344" customFormat="false" ht="15.75" hidden="false" customHeight="true" outlineLevel="0" collapsed="false">
      <c r="A3344" s="7" t="n">
        <v>45890</v>
      </c>
      <c r="B3344" s="8" t="s">
        <v>25</v>
      </c>
      <c r="C3344" s="9" t="n">
        <v>28</v>
      </c>
      <c r="D3344" s="8" t="s">
        <v>21</v>
      </c>
      <c r="E3344" s="10" t="s">
        <v>42</v>
      </c>
      <c r="F3344" s="8" t="str">
        <f aca="false">TEXT(A3344,"MM-YYYY")</f>
        <v>08-2025</v>
      </c>
      <c r="G3344" s="8" t="s">
        <v>14</v>
      </c>
      <c r="H3344" s="8" t="s">
        <v>262</v>
      </c>
      <c r="I3344" s="7" t="n">
        <v>45890</v>
      </c>
      <c r="J3344" s="8" t="str">
        <f aca="false">VLOOKUP(B3344, Table3[#All], 2, FALSE())</f>
        <v>Inventory</v>
      </c>
      <c r="K3344" s="8" t="str">
        <f aca="false">TEXT(ROW(), "0000")</f>
        <v>3344</v>
      </c>
      <c r="L3344" s="8"/>
    </row>
    <row r="3345" customFormat="false" ht="15.75" hidden="false" customHeight="true" outlineLevel="0" collapsed="false">
      <c r="A3345" s="7" t="n">
        <v>45890</v>
      </c>
      <c r="B3345" s="8" t="s">
        <v>29</v>
      </c>
      <c r="C3345" s="9" t="n">
        <v>25</v>
      </c>
      <c r="D3345" s="8" t="s">
        <v>21</v>
      </c>
      <c r="E3345" s="10" t="s">
        <v>65</v>
      </c>
      <c r="F3345" s="8" t="str">
        <f aca="false">TEXT(A3345,"MM-YYYY")</f>
        <v>08-2025</v>
      </c>
      <c r="G3345" s="8" t="s">
        <v>14</v>
      </c>
      <c r="H3345" s="8" t="s">
        <v>262</v>
      </c>
      <c r="I3345" s="7" t="n">
        <v>45890</v>
      </c>
      <c r="J3345" s="8" t="str">
        <f aca="false">VLOOKUP(B3345, Table3[#All], 2, FALSE())</f>
        <v>Inventory</v>
      </c>
      <c r="K3345" s="8" t="str">
        <f aca="false">TEXT(ROW(), "0000")</f>
        <v>3345</v>
      </c>
      <c r="L3345" s="8"/>
    </row>
    <row r="3346" customFormat="false" ht="15.75" hidden="false" customHeight="true" outlineLevel="0" collapsed="false">
      <c r="A3346" s="7" t="n">
        <v>45890</v>
      </c>
      <c r="B3346" s="8" t="s">
        <v>25</v>
      </c>
      <c r="C3346" s="9" t="n">
        <v>30</v>
      </c>
      <c r="D3346" s="8" t="s">
        <v>21</v>
      </c>
      <c r="E3346" s="10" t="s">
        <v>42</v>
      </c>
      <c r="F3346" s="8" t="str">
        <f aca="false">TEXT(A3346,"MM-YYYY")</f>
        <v>08-2025</v>
      </c>
      <c r="G3346" s="8" t="s">
        <v>14</v>
      </c>
      <c r="H3346" s="8" t="s">
        <v>262</v>
      </c>
      <c r="I3346" s="7" t="n">
        <v>45890</v>
      </c>
      <c r="J3346" s="8" t="str">
        <f aca="false">VLOOKUP(B3346, Table3[#All], 2, FALSE())</f>
        <v>Inventory</v>
      </c>
      <c r="K3346" s="8" t="str">
        <f aca="false">TEXT(ROW(), "0000")</f>
        <v>3346</v>
      </c>
      <c r="L3346" s="8"/>
    </row>
    <row r="3347" customFormat="false" ht="15.75" hidden="false" customHeight="true" outlineLevel="0" collapsed="false">
      <c r="A3347" s="7" t="n">
        <v>45890</v>
      </c>
      <c r="B3347" s="8" t="s">
        <v>43</v>
      </c>
      <c r="C3347" s="9" t="n">
        <v>700</v>
      </c>
      <c r="D3347" s="8" t="s">
        <v>13</v>
      </c>
      <c r="E3347" s="10" t="s">
        <v>452</v>
      </c>
      <c r="F3347" s="8" t="str">
        <f aca="false">TEXT(A3347,"MM-YYYY")</f>
        <v>08-2025</v>
      </c>
      <c r="G3347" s="8" t="s">
        <v>14</v>
      </c>
      <c r="H3347" s="8" t="s">
        <v>262</v>
      </c>
      <c r="I3347" s="7" t="n">
        <v>45890</v>
      </c>
      <c r="J3347" s="8" t="str">
        <f aca="false">VLOOKUP(B3347, Table3[#All], 2, FALSE())</f>
        <v>Maintance</v>
      </c>
      <c r="K3347" s="8" t="str">
        <f aca="false">TEXT(ROW(), "0000")</f>
        <v>3347</v>
      </c>
      <c r="L3347" s="8"/>
    </row>
    <row r="3348" customFormat="false" ht="15.75" hidden="false" customHeight="true" outlineLevel="0" collapsed="false">
      <c r="A3348" s="7" t="n">
        <v>45890</v>
      </c>
      <c r="B3348" s="8" t="s">
        <v>16</v>
      </c>
      <c r="C3348" s="9" t="n">
        <v>2355</v>
      </c>
      <c r="D3348" s="8" t="s">
        <v>21</v>
      </c>
      <c r="E3348" s="10" t="s">
        <v>88</v>
      </c>
      <c r="F3348" s="8" t="str">
        <f aca="false">TEXT(A3348,"MM-YYYY")</f>
        <v>08-2025</v>
      </c>
      <c r="G3348" s="8"/>
      <c r="H3348" s="8"/>
      <c r="I3348" s="7"/>
      <c r="J3348" s="8" t="str">
        <f aca="false">VLOOKUP(B3348, Table3[#All], 2, FALSE())</f>
        <v>Sales</v>
      </c>
      <c r="K3348" s="8" t="str">
        <f aca="false">TEXT(ROW(), "0000")</f>
        <v>3348</v>
      </c>
      <c r="L3348" s="8"/>
    </row>
    <row r="3349" customFormat="false" ht="15.75" hidden="false" customHeight="true" outlineLevel="0" collapsed="false">
      <c r="A3349" s="7" t="n">
        <v>45890</v>
      </c>
      <c r="B3349" s="8" t="s">
        <v>16</v>
      </c>
      <c r="C3349" s="9" t="n">
        <v>12001</v>
      </c>
      <c r="D3349" s="8" t="s">
        <v>17</v>
      </c>
      <c r="E3349" s="10" t="s">
        <v>88</v>
      </c>
      <c r="F3349" s="8" t="str">
        <f aca="false">TEXT(A3349,"MM-YYYY")</f>
        <v>08-2025</v>
      </c>
      <c r="G3349" s="8"/>
      <c r="H3349" s="8"/>
      <c r="I3349" s="7"/>
      <c r="J3349" s="8" t="str">
        <f aca="false">VLOOKUP(B3349, Table3[#All], 2, FALSE())</f>
        <v>Sales</v>
      </c>
      <c r="K3349" s="8" t="str">
        <f aca="false">TEXT(ROW(), "0000")</f>
        <v>3349</v>
      </c>
      <c r="L3349" s="8"/>
    </row>
    <row r="3350" customFormat="false" ht="15.75" hidden="false" customHeight="true" outlineLevel="0" collapsed="false">
      <c r="A3350" s="7" t="n">
        <v>45890</v>
      </c>
      <c r="B3350" s="8" t="s">
        <v>16</v>
      </c>
      <c r="C3350" s="9" t="n">
        <v>1755</v>
      </c>
      <c r="D3350" s="8" t="s">
        <v>24</v>
      </c>
      <c r="E3350" s="10" t="s">
        <v>88</v>
      </c>
      <c r="F3350" s="8" t="str">
        <f aca="false">TEXT(A3350,"MM-YYYY")</f>
        <v>08-2025</v>
      </c>
      <c r="G3350" s="8"/>
      <c r="H3350" s="8"/>
      <c r="I3350" s="7"/>
      <c r="J3350" s="8" t="str">
        <f aca="false">VLOOKUP(B3350, Table3[#All], 2, FALSE())</f>
        <v>Sales</v>
      </c>
      <c r="K3350" s="8" t="str">
        <f aca="false">TEXT(ROW(), "0000")</f>
        <v>3350</v>
      </c>
      <c r="L3350" s="8"/>
    </row>
    <row r="3351" customFormat="false" ht="15.75" hidden="false" customHeight="true" outlineLevel="0" collapsed="false">
      <c r="A3351" s="7" t="n">
        <v>45891</v>
      </c>
      <c r="B3351" s="8" t="s">
        <v>19</v>
      </c>
      <c r="C3351" s="9" t="n">
        <v>1181</v>
      </c>
      <c r="D3351" s="8" t="s">
        <v>13</v>
      </c>
      <c r="E3351" s="10" t="s">
        <v>417</v>
      </c>
      <c r="F3351" s="8" t="str">
        <f aca="false">TEXT(A3351,"MM-YYYY")</f>
        <v>08-2025</v>
      </c>
      <c r="G3351" s="8" t="s">
        <v>14</v>
      </c>
      <c r="H3351" s="8" t="s">
        <v>13</v>
      </c>
      <c r="I3351" s="7"/>
      <c r="J3351" s="8" t="str">
        <f aca="false">VLOOKUP(B3351, Table3[#All], 2, FALSE())</f>
        <v>Inventory</v>
      </c>
      <c r="K3351" s="8" t="str">
        <f aca="false">TEXT(ROW(), "0000")</f>
        <v>3351</v>
      </c>
      <c r="L3351" s="8"/>
    </row>
    <row r="3352" customFormat="false" ht="15.75" hidden="false" customHeight="true" outlineLevel="0" collapsed="false">
      <c r="A3352" s="7" t="n">
        <v>45891</v>
      </c>
      <c r="B3352" s="8" t="s">
        <v>25</v>
      </c>
      <c r="C3352" s="9" t="n">
        <v>526</v>
      </c>
      <c r="D3352" s="8" t="s">
        <v>13</v>
      </c>
      <c r="E3352" s="10" t="s">
        <v>92</v>
      </c>
      <c r="F3352" s="8" t="str">
        <f aca="false">TEXT(A3352,"MM-YYYY")</f>
        <v>08-2025</v>
      </c>
      <c r="G3352" s="8" t="s">
        <v>18</v>
      </c>
      <c r="H3352" s="8"/>
      <c r="I3352" s="7"/>
      <c r="J3352" s="8" t="str">
        <f aca="false">VLOOKUP(B3352, Table3[#All], 2, FALSE())</f>
        <v>Inventory</v>
      </c>
      <c r="K3352" s="8" t="str">
        <f aca="false">TEXT(ROW(), "0000")</f>
        <v>3352</v>
      </c>
      <c r="L3352" s="8"/>
    </row>
    <row r="3353" customFormat="false" ht="15.75" hidden="false" customHeight="true" outlineLevel="0" collapsed="false">
      <c r="A3353" s="7" t="n">
        <v>45891</v>
      </c>
      <c r="B3353" s="8" t="s">
        <v>29</v>
      </c>
      <c r="C3353" s="9" t="n">
        <v>135</v>
      </c>
      <c r="D3353" s="8" t="s">
        <v>13</v>
      </c>
      <c r="E3353" s="10" t="s">
        <v>439</v>
      </c>
      <c r="F3353" s="8" t="str">
        <f aca="false">TEXT(A3353,"MM-YYYY")</f>
        <v>08-2025</v>
      </c>
      <c r="G3353" s="8" t="s">
        <v>18</v>
      </c>
      <c r="H3353" s="8"/>
      <c r="I3353" s="7"/>
      <c r="J3353" s="8" t="str">
        <f aca="false">VLOOKUP(B3353, Table3[#All], 2, FALSE())</f>
        <v>Inventory</v>
      </c>
      <c r="K3353" s="8" t="str">
        <f aca="false">TEXT(ROW(), "0000")</f>
        <v>3353</v>
      </c>
      <c r="L3353" s="8"/>
    </row>
    <row r="3354" customFormat="false" ht="15.75" hidden="false" customHeight="true" outlineLevel="0" collapsed="false">
      <c r="A3354" s="7" t="n">
        <v>45891</v>
      </c>
      <c r="B3354" s="8" t="s">
        <v>47</v>
      </c>
      <c r="C3354" s="9" t="n">
        <v>1800</v>
      </c>
      <c r="D3354" s="8" t="s">
        <v>13</v>
      </c>
      <c r="E3354" s="10" t="s">
        <v>339</v>
      </c>
      <c r="F3354" s="8" t="str">
        <f aca="false">TEXT(A3354,"MM-YYYY")</f>
        <v>08-2025</v>
      </c>
      <c r="G3354" s="8" t="s">
        <v>18</v>
      </c>
      <c r="H3354" s="8"/>
      <c r="I3354" s="7"/>
      <c r="J3354" s="8" t="str">
        <f aca="false">VLOOKUP(B3354, Table3[#All], 2, FALSE())</f>
        <v>Inventory</v>
      </c>
      <c r="K3354" s="8" t="str">
        <f aca="false">TEXT(ROW(), "0000")</f>
        <v>3354</v>
      </c>
      <c r="L3354" s="8"/>
    </row>
    <row r="3355" customFormat="false" ht="15.75" hidden="false" customHeight="true" outlineLevel="0" collapsed="false">
      <c r="A3355" s="7" t="n">
        <v>45891</v>
      </c>
      <c r="B3355" s="8" t="s">
        <v>32</v>
      </c>
      <c r="C3355" s="9" t="n">
        <v>210</v>
      </c>
      <c r="D3355" s="8" t="s">
        <v>45</v>
      </c>
      <c r="E3355" s="10" t="s">
        <v>450</v>
      </c>
      <c r="F3355" s="8" t="str">
        <f aca="false">TEXT(A3355,"MM-YYYY")</f>
        <v>08-2025</v>
      </c>
      <c r="G3355" s="8" t="s">
        <v>14</v>
      </c>
      <c r="H3355" s="8"/>
      <c r="I3355" s="7"/>
      <c r="J3355" s="8" t="str">
        <f aca="false">VLOOKUP(B3355, Table3[#All], 2, FALSE())</f>
        <v>Grocery</v>
      </c>
      <c r="K3355" s="8" t="str">
        <f aca="false">TEXT(ROW(), "0000")</f>
        <v>3355</v>
      </c>
      <c r="L3355" s="8"/>
    </row>
    <row r="3356" customFormat="false" ht="15.75" hidden="false" customHeight="true" outlineLevel="0" collapsed="false">
      <c r="A3356" s="7" t="n">
        <v>45891</v>
      </c>
      <c r="B3356" s="8" t="s">
        <v>37</v>
      </c>
      <c r="C3356" s="9" t="n">
        <v>30</v>
      </c>
      <c r="D3356" s="8" t="s">
        <v>21</v>
      </c>
      <c r="E3356" s="10" t="s">
        <v>453</v>
      </c>
      <c r="F3356" s="8" t="str">
        <f aca="false">TEXT(A3356,"MM-YYYY")</f>
        <v>08-2025</v>
      </c>
      <c r="G3356" s="8" t="s">
        <v>14</v>
      </c>
      <c r="H3356" s="8"/>
      <c r="I3356" s="7"/>
      <c r="J3356" s="8" t="str">
        <f aca="false">VLOOKUP(B3356, Table3[#All], 2, FALSE())</f>
        <v>Maintance</v>
      </c>
      <c r="K3356" s="8" t="str">
        <f aca="false">TEXT(ROW(), "0000")</f>
        <v>3356</v>
      </c>
      <c r="L3356" s="8"/>
    </row>
    <row r="3357" customFormat="false" ht="15.75" hidden="false" customHeight="true" outlineLevel="0" collapsed="false">
      <c r="A3357" s="7" t="n">
        <v>45891</v>
      </c>
      <c r="B3357" s="8" t="s">
        <v>22</v>
      </c>
      <c r="C3357" s="9" t="n">
        <v>120</v>
      </c>
      <c r="D3357" s="8" t="s">
        <v>21</v>
      </c>
      <c r="E3357" s="10" t="s">
        <v>454</v>
      </c>
      <c r="F3357" s="8" t="str">
        <f aca="false">TEXT(A3357,"MM-YYYY")</f>
        <v>08-2025</v>
      </c>
      <c r="G3357" s="8" t="s">
        <v>14</v>
      </c>
      <c r="H3357" s="8"/>
      <c r="I3357" s="7"/>
      <c r="J3357" s="8" t="str">
        <f aca="false">VLOOKUP(B3357, Table3[#All], 2, FALSE())</f>
        <v>Inventory</v>
      </c>
      <c r="K3357" s="8" t="str">
        <f aca="false">TEXT(ROW(), "0000")</f>
        <v>3357</v>
      </c>
      <c r="L3357" s="8"/>
    </row>
    <row r="3358" customFormat="false" ht="15.75" hidden="false" customHeight="true" outlineLevel="0" collapsed="false">
      <c r="A3358" s="7" t="n">
        <v>45891</v>
      </c>
      <c r="B3358" s="8" t="s">
        <v>22</v>
      </c>
      <c r="C3358" s="9" t="n">
        <v>330</v>
      </c>
      <c r="D3358" s="8" t="s">
        <v>45</v>
      </c>
      <c r="E3358" s="10" t="s">
        <v>84</v>
      </c>
      <c r="F3358" s="8" t="str">
        <f aca="false">TEXT(A3358,"MM-YYYY")</f>
        <v>08-2025</v>
      </c>
      <c r="G3358" s="8" t="s">
        <v>14</v>
      </c>
      <c r="H3358" s="8"/>
      <c r="I3358" s="7"/>
      <c r="J3358" s="8" t="str">
        <f aca="false">VLOOKUP(B3358, Table3[#All], 2, FALSE())</f>
        <v>Inventory</v>
      </c>
      <c r="K3358" s="8" t="str">
        <f aca="false">TEXT(ROW(), "0000")</f>
        <v>3358</v>
      </c>
      <c r="L3358" s="8"/>
    </row>
    <row r="3359" customFormat="false" ht="15.75" hidden="false" customHeight="true" outlineLevel="0" collapsed="false">
      <c r="A3359" s="7" t="n">
        <v>45891</v>
      </c>
      <c r="B3359" s="8" t="s">
        <v>22</v>
      </c>
      <c r="C3359" s="9" t="n">
        <v>4073</v>
      </c>
      <c r="D3359" s="8" t="s">
        <v>13</v>
      </c>
      <c r="E3359" s="10" t="s">
        <v>455</v>
      </c>
      <c r="F3359" s="8" t="str">
        <f aca="false">TEXT(A3359,"MM-YYYY")</f>
        <v>08-2025</v>
      </c>
      <c r="G3359" s="8" t="s">
        <v>18</v>
      </c>
      <c r="H3359" s="8"/>
      <c r="I3359" s="7"/>
      <c r="J3359" s="8" t="str">
        <f aca="false">VLOOKUP(B3359, Table3[#All], 2, FALSE())</f>
        <v>Inventory</v>
      </c>
      <c r="K3359" s="8" t="str">
        <f aca="false">TEXT(ROW(), "0000")</f>
        <v>3359</v>
      </c>
      <c r="L3359" s="8"/>
    </row>
    <row r="3360" customFormat="false" ht="15.75" hidden="false" customHeight="true" outlineLevel="0" collapsed="false">
      <c r="A3360" s="7" t="n">
        <v>45891</v>
      </c>
      <c r="B3360" s="8" t="s">
        <v>40</v>
      </c>
      <c r="C3360" s="9" t="n">
        <v>400</v>
      </c>
      <c r="D3360" s="8" t="s">
        <v>45</v>
      </c>
      <c r="E3360" s="10" t="s">
        <v>103</v>
      </c>
      <c r="F3360" s="8" t="str">
        <f aca="false">TEXT(A3360,"MM-YYYY")</f>
        <v>08-2025</v>
      </c>
      <c r="G3360" s="8" t="s">
        <v>14</v>
      </c>
      <c r="H3360" s="8"/>
      <c r="I3360" s="7"/>
      <c r="J3360" s="8" t="str">
        <f aca="false">VLOOKUP(B3360, Table3[#All], 2, FALSE())</f>
        <v>Inventory</v>
      </c>
      <c r="K3360" s="8" t="str">
        <f aca="false">TEXT(ROW(), "0000")</f>
        <v>3360</v>
      </c>
      <c r="L3360" s="8"/>
    </row>
    <row r="3361" customFormat="false" ht="15.75" hidden="false" customHeight="true" outlineLevel="0" collapsed="false">
      <c r="A3361" s="7" t="n">
        <v>45892</v>
      </c>
      <c r="B3361" s="8" t="s">
        <v>56</v>
      </c>
      <c r="C3361" s="9" t="n">
        <v>950</v>
      </c>
      <c r="D3361" s="8" t="s">
        <v>45</v>
      </c>
      <c r="E3361" s="10" t="s">
        <v>456</v>
      </c>
      <c r="F3361" s="8" t="str">
        <f aca="false">TEXT(A3361,"MM-YYYY")</f>
        <v>08-2025</v>
      </c>
      <c r="G3361" s="8" t="s">
        <v>14</v>
      </c>
      <c r="H3361" s="8"/>
      <c r="I3361" s="7"/>
      <c r="J3361" s="8" t="str">
        <f aca="false">VLOOKUP(B3361, Table3[#All], 2, FALSE())</f>
        <v>New Inventory</v>
      </c>
      <c r="K3361" s="8" t="str">
        <f aca="false">TEXT(ROW(), "0000")</f>
        <v>3361</v>
      </c>
      <c r="L3361" s="8"/>
    </row>
    <row r="3362" customFormat="false" ht="15.75" hidden="false" customHeight="true" outlineLevel="0" collapsed="false">
      <c r="A3362" s="7" t="n">
        <v>45892</v>
      </c>
      <c r="B3362" s="8" t="s">
        <v>19</v>
      </c>
      <c r="C3362" s="9" t="n">
        <v>6080</v>
      </c>
      <c r="D3362" s="8" t="s">
        <v>13</v>
      </c>
      <c r="E3362" s="10" t="s">
        <v>417</v>
      </c>
      <c r="F3362" s="8" t="str">
        <f aca="false">TEXT(A3362,"MM-YYYY")</f>
        <v>08-2025</v>
      </c>
      <c r="G3362" s="8" t="s">
        <v>14</v>
      </c>
      <c r="H3362" s="8" t="s">
        <v>13</v>
      </c>
      <c r="I3362" s="7"/>
      <c r="J3362" s="8" t="str">
        <f aca="false">VLOOKUP(B3362, Table3[#All], 2, FALSE())</f>
        <v>Inventory</v>
      </c>
      <c r="K3362" s="8" t="str">
        <f aca="false">TEXT(ROW(), "0000")</f>
        <v>3362</v>
      </c>
      <c r="L3362" s="8"/>
    </row>
    <row r="3363" customFormat="false" ht="15.75" hidden="false" customHeight="true" outlineLevel="0" collapsed="false">
      <c r="A3363" s="7" t="n">
        <v>45892</v>
      </c>
      <c r="B3363" s="8" t="s">
        <v>25</v>
      </c>
      <c r="C3363" s="9" t="n">
        <v>2052</v>
      </c>
      <c r="D3363" s="8" t="s">
        <v>13</v>
      </c>
      <c r="E3363" s="10" t="s">
        <v>92</v>
      </c>
      <c r="F3363" s="8" t="str">
        <f aca="false">TEXT(A3363,"MM-YYYY")</f>
        <v>08-2025</v>
      </c>
      <c r="G3363" s="8" t="s">
        <v>14</v>
      </c>
      <c r="H3363" s="8"/>
      <c r="I3363" s="7"/>
      <c r="J3363" s="8" t="str">
        <f aca="false">VLOOKUP(B3363, Table3[#All], 2, FALSE())</f>
        <v>Inventory</v>
      </c>
      <c r="K3363" s="8" t="str">
        <f aca="false">TEXT(ROW(), "0000")</f>
        <v>3363</v>
      </c>
      <c r="L3363" s="8"/>
    </row>
    <row r="3364" customFormat="false" ht="15.75" hidden="false" customHeight="true" outlineLevel="0" collapsed="false">
      <c r="A3364" s="7" t="n">
        <v>45892</v>
      </c>
      <c r="B3364" s="8" t="s">
        <v>32</v>
      </c>
      <c r="C3364" s="9" t="n">
        <v>175</v>
      </c>
      <c r="D3364" s="8" t="s">
        <v>45</v>
      </c>
      <c r="E3364" s="10" t="s">
        <v>450</v>
      </c>
      <c r="F3364" s="8" t="str">
        <f aca="false">TEXT(A3364,"MM-YYYY")</f>
        <v>08-2025</v>
      </c>
      <c r="G3364" s="8" t="s">
        <v>14</v>
      </c>
      <c r="H3364" s="8"/>
      <c r="I3364" s="7"/>
      <c r="J3364" s="8" t="str">
        <f aca="false">VLOOKUP(B3364, Table3[#All], 2, FALSE())</f>
        <v>Grocery</v>
      </c>
      <c r="K3364" s="8" t="str">
        <f aca="false">TEXT(ROW(), "0000")</f>
        <v>3364</v>
      </c>
      <c r="L3364" s="8"/>
    </row>
    <row r="3365" customFormat="false" ht="15.75" hidden="false" customHeight="true" outlineLevel="0" collapsed="false">
      <c r="A3365" s="7" t="n">
        <v>45892</v>
      </c>
      <c r="B3365" s="8" t="s">
        <v>22</v>
      </c>
      <c r="C3365" s="9" t="n">
        <v>110</v>
      </c>
      <c r="D3365" s="8" t="s">
        <v>45</v>
      </c>
      <c r="E3365" s="10" t="s">
        <v>213</v>
      </c>
      <c r="F3365" s="8" t="str">
        <f aca="false">TEXT(A3365,"MM-YYYY")</f>
        <v>08-2025</v>
      </c>
      <c r="G3365" s="8" t="s">
        <v>14</v>
      </c>
      <c r="H3365" s="8"/>
      <c r="I3365" s="7"/>
      <c r="J3365" s="8" t="str">
        <f aca="false">VLOOKUP(B3365, Table3[#All], 2, FALSE())</f>
        <v>Inventory</v>
      </c>
      <c r="K3365" s="8" t="str">
        <f aca="false">TEXT(ROW(), "0000")</f>
        <v>3365</v>
      </c>
      <c r="L3365" s="8"/>
    </row>
    <row r="3366" customFormat="false" ht="15.75" hidden="false" customHeight="true" outlineLevel="0" collapsed="false">
      <c r="A3366" s="7" t="n">
        <v>45892</v>
      </c>
      <c r="B3366" s="8" t="s">
        <v>36</v>
      </c>
      <c r="C3366" s="9" t="n">
        <v>220</v>
      </c>
      <c r="D3366" s="8" t="s">
        <v>45</v>
      </c>
      <c r="E3366" s="10" t="s">
        <v>457</v>
      </c>
      <c r="F3366" s="8" t="str">
        <f aca="false">TEXT(A3366,"MM-YYYY")</f>
        <v>08-2025</v>
      </c>
      <c r="G3366" s="8" t="s">
        <v>14</v>
      </c>
      <c r="H3366" s="8"/>
      <c r="I3366" s="7"/>
      <c r="J3366" s="8" t="str">
        <f aca="false">VLOOKUP(B3366, Table3[#All], 2, FALSE())</f>
        <v>Maintance</v>
      </c>
      <c r="K3366" s="8" t="str">
        <f aca="false">TEXT(ROW(), "0000")</f>
        <v>3366</v>
      </c>
      <c r="L3366" s="8"/>
    </row>
    <row r="3367" customFormat="false" ht="15.75" hidden="false" customHeight="true" outlineLevel="0" collapsed="false">
      <c r="A3367" s="7" t="n">
        <v>45892</v>
      </c>
      <c r="B3367" s="8" t="s">
        <v>53</v>
      </c>
      <c r="C3367" s="9" t="n">
        <v>585</v>
      </c>
      <c r="D3367" s="8" t="s">
        <v>45</v>
      </c>
      <c r="E3367" s="10" t="s">
        <v>458</v>
      </c>
      <c r="F3367" s="8" t="str">
        <f aca="false">TEXT(A3367,"MM-YYYY")</f>
        <v>08-2025</v>
      </c>
      <c r="G3367" s="8" t="s">
        <v>14</v>
      </c>
      <c r="H3367" s="8"/>
      <c r="I3367" s="7"/>
      <c r="J3367" s="8" t="str">
        <f aca="false">VLOOKUP(B3367, Table3[#All], 2, FALSE())</f>
        <v>Grocery</v>
      </c>
      <c r="K3367" s="8" t="str">
        <f aca="false">TEXT(ROW(), "0000")</f>
        <v>3367</v>
      </c>
      <c r="L3367" s="8"/>
    </row>
    <row r="3368" customFormat="false" ht="15.75" hidden="false" customHeight="true" outlineLevel="0" collapsed="false">
      <c r="A3368" s="7" t="n">
        <v>45892</v>
      </c>
      <c r="B3368" s="8" t="s">
        <v>40</v>
      </c>
      <c r="C3368" s="9" t="n">
        <v>2200</v>
      </c>
      <c r="D3368" s="8" t="s">
        <v>13</v>
      </c>
      <c r="E3368" s="10" t="s">
        <v>459</v>
      </c>
      <c r="F3368" s="8" t="str">
        <f aca="false">TEXT(A3368,"MM-YYYY")</f>
        <v>08-2025</v>
      </c>
      <c r="G3368" s="8" t="s">
        <v>14</v>
      </c>
      <c r="H3368" s="8" t="s">
        <v>262</v>
      </c>
      <c r="I3368" s="7"/>
      <c r="J3368" s="8" t="str">
        <f aca="false">VLOOKUP(B3368, Table3[#All], 2, FALSE())</f>
        <v>Inventory</v>
      </c>
      <c r="K3368" s="8" t="str">
        <f aca="false">TEXT(ROW(), "0000")</f>
        <v>3368</v>
      </c>
      <c r="L3368" s="8"/>
    </row>
    <row r="3369" customFormat="false" ht="15.75" hidden="false" customHeight="true" outlineLevel="0" collapsed="false">
      <c r="A3369" s="7" t="n">
        <v>45892</v>
      </c>
      <c r="B3369" s="8" t="s">
        <v>22</v>
      </c>
      <c r="C3369" s="9" t="n">
        <v>80</v>
      </c>
      <c r="D3369" s="8" t="s">
        <v>45</v>
      </c>
      <c r="E3369" s="10" t="s">
        <v>460</v>
      </c>
      <c r="F3369" s="8" t="str">
        <f aca="false">TEXT(A3369,"MM-YYYY")</f>
        <v>08-2025</v>
      </c>
      <c r="G3369" s="8" t="s">
        <v>14</v>
      </c>
      <c r="H3369" s="8" t="s">
        <v>262</v>
      </c>
      <c r="I3369" s="7"/>
      <c r="J3369" s="8" t="str">
        <f aca="false">VLOOKUP(B3369, Table3[#All], 2, FALSE())</f>
        <v>Inventory</v>
      </c>
      <c r="K3369" s="8" t="str">
        <f aca="false">TEXT(ROW(), "0000")</f>
        <v>3369</v>
      </c>
      <c r="L3369" s="8"/>
    </row>
    <row r="3370" customFormat="false" ht="15.75" hidden="false" customHeight="true" outlineLevel="0" collapsed="false">
      <c r="A3370" s="7" t="n">
        <v>45892</v>
      </c>
      <c r="B3370" s="8" t="s">
        <v>81</v>
      </c>
      <c r="C3370" s="9" t="n">
        <v>20</v>
      </c>
      <c r="D3370" s="8" t="s">
        <v>21</v>
      </c>
      <c r="E3370" s="10" t="s">
        <v>461</v>
      </c>
      <c r="F3370" s="8" t="str">
        <f aca="false">TEXT(A3370,"MM-YYYY")</f>
        <v>08-2025</v>
      </c>
      <c r="G3370" s="8" t="s">
        <v>14</v>
      </c>
      <c r="H3370" s="8" t="s">
        <v>232</v>
      </c>
      <c r="I3370" s="7"/>
      <c r="J3370" s="8" t="str">
        <f aca="false">VLOOKUP(B3370, Table3[#All], 2, FALSE())</f>
        <v>Excess Amount Return</v>
      </c>
      <c r="K3370" s="8" t="str">
        <f aca="false">TEXT(ROW(), "0000")</f>
        <v>3370</v>
      </c>
      <c r="L3370" s="8"/>
    </row>
    <row r="3371" customFormat="false" ht="15.75" hidden="false" customHeight="true" outlineLevel="0" collapsed="false">
      <c r="A3371" s="7" t="n">
        <v>45892</v>
      </c>
      <c r="B3371" s="8" t="s">
        <v>37</v>
      </c>
      <c r="C3371" s="9" t="n">
        <v>20</v>
      </c>
      <c r="D3371" s="8" t="s">
        <v>21</v>
      </c>
      <c r="E3371" s="10" t="s">
        <v>453</v>
      </c>
      <c r="F3371" s="8" t="str">
        <f aca="false">TEXT(A3371,"MM-YYYY")</f>
        <v>08-2025</v>
      </c>
      <c r="G3371" s="8" t="s">
        <v>14</v>
      </c>
      <c r="H3371" s="8" t="s">
        <v>232</v>
      </c>
      <c r="I3371" s="7"/>
      <c r="J3371" s="8" t="str">
        <f aca="false">VLOOKUP(B3371, Table3[#All], 2, FALSE())</f>
        <v>Maintance</v>
      </c>
      <c r="K3371" s="8" t="str">
        <f aca="false">TEXT(ROW(), "0000")</f>
        <v>3371</v>
      </c>
      <c r="L3371" s="8"/>
    </row>
    <row r="3372" customFormat="false" ht="15.75" hidden="false" customHeight="true" outlineLevel="0" collapsed="false">
      <c r="A3372" s="7" t="n">
        <v>45892</v>
      </c>
      <c r="B3372" s="8" t="s">
        <v>29</v>
      </c>
      <c r="C3372" s="9" t="n">
        <v>920</v>
      </c>
      <c r="D3372" s="8" t="s">
        <v>21</v>
      </c>
      <c r="E3372" s="10" t="s">
        <v>462</v>
      </c>
      <c r="F3372" s="8" t="str">
        <f aca="false">TEXT(A3372,"MM-YYYY")</f>
        <v>08-2025</v>
      </c>
      <c r="G3372" s="8" t="s">
        <v>14</v>
      </c>
      <c r="H3372" s="8" t="s">
        <v>232</v>
      </c>
      <c r="I3372" s="7"/>
      <c r="J3372" s="8" t="str">
        <f aca="false">VLOOKUP(B3372, Table3[#All], 2, FALSE())</f>
        <v>Inventory</v>
      </c>
      <c r="K3372" s="8" t="str">
        <f aca="false">TEXT(ROW(), "0000")</f>
        <v>3372</v>
      </c>
      <c r="L3372" s="8"/>
    </row>
    <row r="3373" customFormat="false" ht="15.75" hidden="false" customHeight="true" outlineLevel="0" collapsed="false">
      <c r="A3373" s="7" t="n">
        <v>45891</v>
      </c>
      <c r="B3373" s="8" t="s">
        <v>16</v>
      </c>
      <c r="C3373" s="9" t="n">
        <v>3160</v>
      </c>
      <c r="D3373" s="8" t="s">
        <v>21</v>
      </c>
      <c r="E3373" s="10" t="s">
        <v>88</v>
      </c>
      <c r="F3373" s="8" t="str">
        <f aca="false">TEXT(A3373,"MM-YYYY")</f>
        <v>08-2025</v>
      </c>
      <c r="G3373" s="8"/>
      <c r="H3373" s="8"/>
      <c r="I3373" s="7"/>
      <c r="J3373" s="8" t="str">
        <f aca="false">VLOOKUP(B3373, Table3[#All], 2, FALSE())</f>
        <v>Sales</v>
      </c>
      <c r="K3373" s="8" t="str">
        <f aca="false">TEXT(ROW(), "0000")</f>
        <v>3373</v>
      </c>
      <c r="L3373" s="8"/>
    </row>
    <row r="3374" customFormat="false" ht="15.75" hidden="false" customHeight="true" outlineLevel="0" collapsed="false">
      <c r="A3374" s="7" t="n">
        <v>45891</v>
      </c>
      <c r="B3374" s="8" t="s">
        <v>16</v>
      </c>
      <c r="C3374" s="9" t="n">
        <v>1570</v>
      </c>
      <c r="D3374" s="8" t="s">
        <v>27</v>
      </c>
      <c r="E3374" s="10" t="s">
        <v>88</v>
      </c>
      <c r="F3374" s="8" t="str">
        <f aca="false">TEXT(A3374,"MM-YYYY")</f>
        <v>08-2025</v>
      </c>
      <c r="G3374" s="8"/>
      <c r="H3374" s="8"/>
      <c r="I3374" s="7"/>
      <c r="J3374" s="8" t="str">
        <f aca="false">VLOOKUP(B3374, Table3[#All], 2, FALSE())</f>
        <v>Sales</v>
      </c>
      <c r="K3374" s="8" t="str">
        <f aca="false">TEXT(ROW(), "0000")</f>
        <v>3374</v>
      </c>
      <c r="L3374" s="8"/>
    </row>
    <row r="3375" customFormat="false" ht="15.75" hidden="false" customHeight="true" outlineLevel="0" collapsed="false">
      <c r="A3375" s="7" t="n">
        <v>45891</v>
      </c>
      <c r="B3375" s="8" t="s">
        <v>16</v>
      </c>
      <c r="C3375" s="9" t="n">
        <v>1449</v>
      </c>
      <c r="D3375" s="8" t="s">
        <v>33</v>
      </c>
      <c r="E3375" s="10" t="s">
        <v>88</v>
      </c>
      <c r="F3375" s="8" t="str">
        <f aca="false">TEXT(A3375,"MM-YYYY")</f>
        <v>08-2025</v>
      </c>
      <c r="G3375" s="8"/>
      <c r="H3375" s="8"/>
      <c r="I3375" s="7"/>
      <c r="J3375" s="8" t="str">
        <f aca="false">VLOOKUP(B3375, Table3[#All], 2, FALSE())</f>
        <v>Sales</v>
      </c>
      <c r="K3375" s="8" t="str">
        <f aca="false">TEXT(ROW(), "0000")</f>
        <v>3375</v>
      </c>
      <c r="L3375" s="8"/>
    </row>
    <row r="3376" customFormat="false" ht="15.75" hidden="false" customHeight="true" outlineLevel="0" collapsed="false">
      <c r="A3376" s="7" t="n">
        <v>45891</v>
      </c>
      <c r="B3376" s="8" t="s">
        <v>16</v>
      </c>
      <c r="C3376" s="9" t="n">
        <v>17226</v>
      </c>
      <c r="D3376" s="8" t="s">
        <v>17</v>
      </c>
      <c r="E3376" s="10" t="s">
        <v>88</v>
      </c>
      <c r="F3376" s="8" t="str">
        <f aca="false">TEXT(A3376,"MM-YYYY")</f>
        <v>08-2025</v>
      </c>
      <c r="G3376" s="8"/>
      <c r="H3376" s="8"/>
      <c r="I3376" s="7"/>
      <c r="J3376" s="8" t="str">
        <f aca="false">VLOOKUP(B3376, Table3[#All], 2, FALSE())</f>
        <v>Sales</v>
      </c>
      <c r="K3376" s="8" t="str">
        <f aca="false">TEXT(ROW(), "0000")</f>
        <v>3376</v>
      </c>
      <c r="L3376" s="8"/>
    </row>
    <row r="3377" customFormat="false" ht="15.75" hidden="false" customHeight="true" outlineLevel="0" collapsed="false">
      <c r="A3377" s="7" t="n">
        <v>45891</v>
      </c>
      <c r="B3377" s="8" t="s">
        <v>16</v>
      </c>
      <c r="C3377" s="9" t="n">
        <v>2431</v>
      </c>
      <c r="D3377" s="8" t="s">
        <v>24</v>
      </c>
      <c r="E3377" s="10" t="s">
        <v>88</v>
      </c>
      <c r="F3377" s="8" t="str">
        <f aca="false">TEXT(A3377,"MM-YYYY")</f>
        <v>08-2025</v>
      </c>
      <c r="G3377" s="8"/>
      <c r="H3377" s="8"/>
      <c r="I3377" s="7"/>
      <c r="J3377" s="8" t="str">
        <f aca="false">VLOOKUP(B3377, Table3[#All], 2, FALSE())</f>
        <v>Sales</v>
      </c>
      <c r="K3377" s="8" t="str">
        <f aca="false">TEXT(ROW(), "0000")</f>
        <v>3377</v>
      </c>
      <c r="L3377" s="8"/>
    </row>
    <row r="3378" customFormat="false" ht="15.75" hidden="false" customHeight="true" outlineLevel="0" collapsed="false">
      <c r="A3378" s="7" t="n">
        <v>45892</v>
      </c>
      <c r="B3378" s="8" t="s">
        <v>16</v>
      </c>
      <c r="C3378" s="9" t="n">
        <v>5603</v>
      </c>
      <c r="D3378" s="8" t="s">
        <v>21</v>
      </c>
      <c r="E3378" s="10" t="s">
        <v>88</v>
      </c>
      <c r="F3378" s="8" t="str">
        <f aca="false">TEXT(A3378,"MM-YYYY")</f>
        <v>08-2025</v>
      </c>
      <c r="G3378" s="8"/>
      <c r="H3378" s="8"/>
      <c r="I3378" s="7"/>
      <c r="J3378" s="8" t="str">
        <f aca="false">VLOOKUP(B3378, Table3[#All], 2, FALSE())</f>
        <v>Sales</v>
      </c>
      <c r="K3378" s="8" t="str">
        <f aca="false">TEXT(ROW(), "0000")</f>
        <v>3378</v>
      </c>
      <c r="L3378" s="8"/>
    </row>
    <row r="3379" customFormat="false" ht="15.75" hidden="false" customHeight="true" outlineLevel="0" collapsed="false">
      <c r="A3379" s="7" t="n">
        <v>45892</v>
      </c>
      <c r="B3379" s="8" t="s">
        <v>16</v>
      </c>
      <c r="C3379" s="9" t="n">
        <v>945</v>
      </c>
      <c r="D3379" s="8" t="s">
        <v>33</v>
      </c>
      <c r="E3379" s="10" t="s">
        <v>88</v>
      </c>
      <c r="F3379" s="8" t="str">
        <f aca="false">TEXT(A3379,"MM-YYYY")</f>
        <v>08-2025</v>
      </c>
      <c r="G3379" s="8"/>
      <c r="H3379" s="8"/>
      <c r="I3379" s="7"/>
      <c r="J3379" s="8" t="str">
        <f aca="false">VLOOKUP(B3379, Table3[#All], 2, FALSE())</f>
        <v>Sales</v>
      </c>
      <c r="K3379" s="8" t="str">
        <f aca="false">TEXT(ROW(), "0000")</f>
        <v>3379</v>
      </c>
      <c r="L3379" s="8"/>
    </row>
    <row r="3380" customFormat="false" ht="15.75" hidden="false" customHeight="true" outlineLevel="0" collapsed="false">
      <c r="A3380" s="7" t="n">
        <v>45892</v>
      </c>
      <c r="B3380" s="8" t="s">
        <v>16</v>
      </c>
      <c r="C3380" s="9" t="n">
        <v>23279</v>
      </c>
      <c r="D3380" s="8" t="s">
        <v>17</v>
      </c>
      <c r="E3380" s="10" t="s">
        <v>88</v>
      </c>
      <c r="F3380" s="8" t="str">
        <f aca="false">TEXT(A3380,"MM-YYYY")</f>
        <v>08-2025</v>
      </c>
      <c r="G3380" s="8"/>
      <c r="H3380" s="8"/>
      <c r="I3380" s="7"/>
      <c r="J3380" s="8" t="str">
        <f aca="false">VLOOKUP(B3380, Table3[#All], 2, FALSE())</f>
        <v>Sales</v>
      </c>
      <c r="K3380" s="8" t="str">
        <f aca="false">TEXT(ROW(), "0000")</f>
        <v>3380</v>
      </c>
      <c r="L3380" s="8"/>
    </row>
    <row r="3381" customFormat="false" ht="15.75" hidden="false" customHeight="true" outlineLevel="0" collapsed="false">
      <c r="A3381" s="7" t="n">
        <v>45892</v>
      </c>
      <c r="B3381" s="8" t="s">
        <v>16</v>
      </c>
      <c r="C3381" s="9" t="n">
        <v>1561</v>
      </c>
      <c r="D3381" s="8" t="s">
        <v>24</v>
      </c>
      <c r="E3381" s="10" t="s">
        <v>88</v>
      </c>
      <c r="F3381" s="8" t="str">
        <f aca="false">TEXT(A3381,"MM-YYYY")</f>
        <v>08-2025</v>
      </c>
      <c r="G3381" s="8"/>
      <c r="H3381" s="8"/>
      <c r="I3381" s="7"/>
      <c r="J3381" s="8" t="str">
        <f aca="false">VLOOKUP(B3381, Table3[#All], 2, FALSE())</f>
        <v>Sales</v>
      </c>
      <c r="K3381" s="8" t="str">
        <f aca="false">TEXT(ROW(), "0000")</f>
        <v>3381</v>
      </c>
      <c r="L3381" s="8"/>
    </row>
    <row r="3382" customFormat="false" ht="15.75" hidden="false" customHeight="true" outlineLevel="0" collapsed="false">
      <c r="A3382" s="7" t="n">
        <v>45892</v>
      </c>
      <c r="B3382" s="8" t="s">
        <v>29</v>
      </c>
      <c r="C3382" s="9" t="n">
        <v>600</v>
      </c>
      <c r="D3382" s="8" t="s">
        <v>21</v>
      </c>
      <c r="E3382" s="10" t="s">
        <v>463</v>
      </c>
      <c r="F3382" s="8" t="str">
        <f aca="false">TEXT(A3382,"MM-YYYY")</f>
        <v>08-2025</v>
      </c>
      <c r="G3382" s="8"/>
      <c r="H3382" s="8"/>
      <c r="I3382" s="7"/>
      <c r="J3382" s="8" t="str">
        <f aca="false">VLOOKUP(B3382, Table3[#All], 2, FALSE())</f>
        <v>Inventory</v>
      </c>
      <c r="K3382" s="8" t="str">
        <f aca="false">TEXT(ROW(), "0000")</f>
        <v>3382</v>
      </c>
      <c r="L3382" s="8"/>
    </row>
    <row r="3383" customFormat="false" ht="15.75" hidden="false" customHeight="true" outlineLevel="0" collapsed="false">
      <c r="A3383" s="7" t="n">
        <v>45892</v>
      </c>
      <c r="B3383" s="8" t="s">
        <v>29</v>
      </c>
      <c r="C3383" s="9" t="n">
        <v>920</v>
      </c>
      <c r="D3383" s="8" t="s">
        <v>21</v>
      </c>
      <c r="E3383" s="10" t="s">
        <v>464</v>
      </c>
      <c r="F3383" s="8" t="str">
        <f aca="false">TEXT(A3383,"MM-YYYY")</f>
        <v>08-2025</v>
      </c>
      <c r="G3383" s="8"/>
      <c r="H3383" s="8"/>
      <c r="I3383" s="7"/>
      <c r="J3383" s="8" t="str">
        <f aca="false">VLOOKUP(B3383, Table3[#All], 2, FALSE())</f>
        <v>Inventory</v>
      </c>
      <c r="K3383" s="8" t="str">
        <f aca="false">TEXT(ROW(), "0000")</f>
        <v>3383</v>
      </c>
      <c r="L3383" s="8"/>
    </row>
    <row r="3384" customFormat="false" ht="15.75" hidden="false" customHeight="true" outlineLevel="0" collapsed="false">
      <c r="A3384" s="7" t="n">
        <v>45893</v>
      </c>
      <c r="B3384" s="8" t="s">
        <v>19</v>
      </c>
      <c r="C3384" s="9" t="n">
        <v>3802</v>
      </c>
      <c r="D3384" s="8" t="s">
        <v>13</v>
      </c>
      <c r="E3384" s="10" t="s">
        <v>417</v>
      </c>
      <c r="F3384" s="8" t="str">
        <f aca="false">TEXT(A3384,"MM-YYYY")</f>
        <v>08-2025</v>
      </c>
      <c r="G3384" s="8" t="s">
        <v>14</v>
      </c>
      <c r="H3384" s="8" t="s">
        <v>13</v>
      </c>
      <c r="I3384" s="7"/>
      <c r="J3384" s="8" t="str">
        <f aca="false">VLOOKUP(B3384, Table3[#All], 2, FALSE())</f>
        <v>Inventory</v>
      </c>
      <c r="K3384" s="8" t="str">
        <f aca="false">TEXT(ROW(), "0000")</f>
        <v>3384</v>
      </c>
      <c r="L3384" s="8"/>
    </row>
    <row r="3385" customFormat="false" ht="15.75" hidden="false" customHeight="true" outlineLevel="0" collapsed="false">
      <c r="A3385" s="7" t="n">
        <v>45893</v>
      </c>
      <c r="B3385" s="8" t="s">
        <v>66</v>
      </c>
      <c r="C3385" s="9" t="n">
        <v>324</v>
      </c>
      <c r="D3385" s="8" t="s">
        <v>45</v>
      </c>
      <c r="E3385" s="10" t="s">
        <v>465</v>
      </c>
      <c r="F3385" s="8" t="str">
        <f aca="false">TEXT(A3385,"MM-YYYY")</f>
        <v>08-2025</v>
      </c>
      <c r="G3385" s="8" t="s">
        <v>18</v>
      </c>
      <c r="H3385" s="8"/>
      <c r="I3385" s="7"/>
      <c r="J3385" s="8" t="str">
        <f aca="false">VLOOKUP(B3385, Table3[#All], 2, FALSE())</f>
        <v>Grocery</v>
      </c>
      <c r="K3385" s="8" t="str">
        <f aca="false">TEXT(ROW(), "0000")</f>
        <v>3385</v>
      </c>
      <c r="L3385" s="8"/>
    </row>
    <row r="3386" customFormat="false" ht="15.75" hidden="false" customHeight="true" outlineLevel="0" collapsed="false">
      <c r="A3386" s="7" t="n">
        <v>45893</v>
      </c>
      <c r="B3386" s="8" t="s">
        <v>25</v>
      </c>
      <c r="C3386" s="9" t="n">
        <v>350</v>
      </c>
      <c r="D3386" s="8" t="s">
        <v>13</v>
      </c>
      <c r="E3386" s="10" t="s">
        <v>466</v>
      </c>
      <c r="F3386" s="8" t="str">
        <f aca="false">TEXT(A3386,"MM-YYYY")</f>
        <v>08-2025</v>
      </c>
      <c r="G3386" s="8" t="s">
        <v>18</v>
      </c>
      <c r="H3386" s="8"/>
      <c r="I3386" s="7"/>
      <c r="J3386" s="8" t="str">
        <f aca="false">VLOOKUP(B3386, Table3[#All], 2, FALSE())</f>
        <v>Inventory</v>
      </c>
      <c r="K3386" s="8" t="str">
        <f aca="false">TEXT(ROW(), "0000")</f>
        <v>3386</v>
      </c>
      <c r="L3386" s="8"/>
    </row>
    <row r="3387" customFormat="false" ht="15.75" hidden="false" customHeight="true" outlineLevel="0" collapsed="false">
      <c r="A3387" s="7" t="n">
        <v>45893</v>
      </c>
      <c r="B3387" s="8" t="s">
        <v>81</v>
      </c>
      <c r="C3387" s="9" t="n">
        <v>50</v>
      </c>
      <c r="D3387" s="8" t="s">
        <v>21</v>
      </c>
      <c r="E3387" s="10" t="s">
        <v>461</v>
      </c>
      <c r="F3387" s="8" t="str">
        <f aca="false">TEXT(A3387,"MM-YYYY")</f>
        <v>08-2025</v>
      </c>
      <c r="G3387" s="8" t="s">
        <v>14</v>
      </c>
      <c r="H3387" s="8"/>
      <c r="I3387" s="7"/>
      <c r="J3387" s="8" t="str">
        <f aca="false">VLOOKUP(B3387, Table3[#All], 2, FALSE())</f>
        <v>Excess Amount Return</v>
      </c>
      <c r="K3387" s="8" t="str">
        <f aca="false">TEXT(ROW(), "0000")</f>
        <v>3387</v>
      </c>
      <c r="L3387" s="8"/>
    </row>
    <row r="3388" customFormat="false" ht="15.75" hidden="false" customHeight="true" outlineLevel="0" collapsed="false">
      <c r="A3388" s="7" t="n">
        <v>45893</v>
      </c>
      <c r="B3388" s="8" t="s">
        <v>32</v>
      </c>
      <c r="C3388" s="9" t="n">
        <v>175</v>
      </c>
      <c r="D3388" s="8" t="s">
        <v>45</v>
      </c>
      <c r="E3388" s="10" t="s">
        <v>450</v>
      </c>
      <c r="F3388" s="8" t="str">
        <f aca="false">TEXT(A3388,"MM-YYYY")</f>
        <v>08-2025</v>
      </c>
      <c r="G3388" s="8" t="s">
        <v>14</v>
      </c>
      <c r="H3388" s="8"/>
      <c r="I3388" s="7"/>
      <c r="J3388" s="8" t="str">
        <f aca="false">VLOOKUP(B3388, Table3[#All], 2, FALSE())</f>
        <v>Grocery</v>
      </c>
      <c r="K3388" s="8" t="str">
        <f aca="false">TEXT(ROW(), "0000")</f>
        <v>3388</v>
      </c>
      <c r="L3388" s="8"/>
    </row>
    <row r="3389" customFormat="false" ht="15.75" hidden="false" customHeight="true" outlineLevel="0" collapsed="false">
      <c r="A3389" s="7" t="n">
        <v>45893</v>
      </c>
      <c r="B3389" s="8" t="s">
        <v>44</v>
      </c>
      <c r="C3389" s="9" t="n">
        <v>250</v>
      </c>
      <c r="D3389" s="8" t="s">
        <v>21</v>
      </c>
      <c r="E3389" s="10" t="s">
        <v>467</v>
      </c>
      <c r="F3389" s="8" t="str">
        <f aca="false">TEXT(A3389,"MM-YYYY")</f>
        <v>08-2025</v>
      </c>
      <c r="G3389" s="8" t="s">
        <v>14</v>
      </c>
      <c r="H3389" s="8" t="s">
        <v>262</v>
      </c>
      <c r="I3389" s="7" t="n">
        <f aca="false">A3389</f>
        <v>45893</v>
      </c>
      <c r="J3389" s="8" t="str">
        <f aca="false">VLOOKUP(B3389, Table3[#All], 2, FALSE())</f>
        <v>Salary</v>
      </c>
      <c r="K3389" s="8" t="str">
        <f aca="false">TEXT(ROW(), "0000")</f>
        <v>3389</v>
      </c>
      <c r="L3389" s="8"/>
    </row>
    <row r="3390" customFormat="false" ht="15.75" hidden="false" customHeight="true" outlineLevel="0" collapsed="false">
      <c r="A3390" s="7" t="n">
        <v>45893</v>
      </c>
      <c r="B3390" s="8" t="s">
        <v>60</v>
      </c>
      <c r="C3390" s="9" t="n">
        <v>210</v>
      </c>
      <c r="D3390" s="8" t="s">
        <v>45</v>
      </c>
      <c r="E3390" s="10" t="s">
        <v>60</v>
      </c>
      <c r="F3390" s="8" t="str">
        <f aca="false">TEXT(A3390,"MM-YYYY")</f>
        <v>08-2025</v>
      </c>
      <c r="G3390" s="8" t="s">
        <v>14</v>
      </c>
      <c r="H3390" s="8"/>
      <c r="I3390" s="7"/>
      <c r="J3390" s="8" t="str">
        <f aca="false">VLOOKUP(B3390, Table3[#All], 2, FALSE())</f>
        <v>Inventory</v>
      </c>
      <c r="K3390" s="8" t="str">
        <f aca="false">TEXT(ROW(), "0000")</f>
        <v>3390</v>
      </c>
      <c r="L3390" s="8"/>
    </row>
    <row r="3391" customFormat="false" ht="15.75" hidden="false" customHeight="true" outlineLevel="0" collapsed="false">
      <c r="A3391" s="7" t="n">
        <v>45893</v>
      </c>
      <c r="B3391" s="8" t="s">
        <v>37</v>
      </c>
      <c r="C3391" s="9" t="n">
        <v>30</v>
      </c>
      <c r="D3391" s="8" t="s">
        <v>21</v>
      </c>
      <c r="E3391" s="10" t="s">
        <v>453</v>
      </c>
      <c r="F3391" s="8" t="str">
        <f aca="false">TEXT(A3391,"MM-YYYY")</f>
        <v>08-2025</v>
      </c>
      <c r="G3391" s="8" t="s">
        <v>14</v>
      </c>
      <c r="H3391" s="8"/>
      <c r="I3391" s="7"/>
      <c r="J3391" s="8" t="str">
        <f aca="false">VLOOKUP(B3391, Table3[#All], 2, FALSE())</f>
        <v>Maintance</v>
      </c>
      <c r="K3391" s="8" t="str">
        <f aca="false">TEXT(ROW(), "0000")</f>
        <v>3391</v>
      </c>
      <c r="L3391" s="8"/>
    </row>
    <row r="3392" customFormat="false" ht="15.75" hidden="false" customHeight="true" outlineLevel="0" collapsed="false">
      <c r="A3392" s="7" t="n">
        <v>45893</v>
      </c>
      <c r="B3392" s="8" t="s">
        <v>29</v>
      </c>
      <c r="C3392" s="9" t="n">
        <v>30</v>
      </c>
      <c r="D3392" s="8" t="s">
        <v>21</v>
      </c>
      <c r="E3392" s="10" t="s">
        <v>468</v>
      </c>
      <c r="F3392" s="8" t="str">
        <f aca="false">TEXT(A3392,"MM-YYYY")</f>
        <v>08-2025</v>
      </c>
      <c r="G3392" s="8" t="s">
        <v>14</v>
      </c>
      <c r="H3392" s="8"/>
      <c r="I3392" s="7"/>
      <c r="J3392" s="8" t="str">
        <f aca="false">VLOOKUP(B3392, Table3[#All], 2, FALSE())</f>
        <v>Inventory</v>
      </c>
      <c r="K3392" s="8" t="str">
        <f aca="false">TEXT(ROW(), "0000")</f>
        <v>3392</v>
      </c>
      <c r="L3392" s="8"/>
    </row>
    <row r="3393" customFormat="false" ht="15.75" hidden="false" customHeight="true" outlineLevel="0" collapsed="false">
      <c r="A3393" s="7" t="n">
        <v>45893</v>
      </c>
      <c r="B3393" s="8" t="s">
        <v>29</v>
      </c>
      <c r="C3393" s="9" t="n">
        <v>240</v>
      </c>
      <c r="D3393" s="8" t="s">
        <v>45</v>
      </c>
      <c r="E3393" s="10" t="s">
        <v>462</v>
      </c>
      <c r="F3393" s="8" t="str">
        <f aca="false">TEXT(A3393,"MM-YYYY")</f>
        <v>08-2025</v>
      </c>
      <c r="G3393" s="8" t="s">
        <v>14</v>
      </c>
      <c r="H3393" s="8"/>
      <c r="I3393" s="7"/>
      <c r="J3393" s="8" t="str">
        <f aca="false">VLOOKUP(B3393, Table3[#All], 2, FALSE())</f>
        <v>Inventory</v>
      </c>
      <c r="K3393" s="8" t="str">
        <f aca="false">TEXT(ROW(), "0000")</f>
        <v>3393</v>
      </c>
      <c r="L3393" s="8"/>
    </row>
    <row r="3394" customFormat="false" ht="15.75" hidden="false" customHeight="true" outlineLevel="0" collapsed="false">
      <c r="A3394" s="7" t="n">
        <v>45893</v>
      </c>
      <c r="B3394" s="8" t="s">
        <v>16</v>
      </c>
      <c r="C3394" s="9" t="n">
        <v>2560</v>
      </c>
      <c r="D3394" s="8" t="s">
        <v>21</v>
      </c>
      <c r="E3394" s="10" t="s">
        <v>88</v>
      </c>
      <c r="F3394" s="8" t="str">
        <f aca="false">TEXT(A3394,"MM-YYYY")</f>
        <v>08-2025</v>
      </c>
      <c r="G3394" s="8"/>
      <c r="H3394" s="8"/>
      <c r="I3394" s="7"/>
      <c r="J3394" s="8" t="str">
        <f aca="false">VLOOKUP(B3394, Table3[#All], 2, FALSE())</f>
        <v>Sales</v>
      </c>
      <c r="K3394" s="8" t="str">
        <f aca="false">TEXT(ROW(), "0000")</f>
        <v>3394</v>
      </c>
      <c r="L3394" s="8"/>
    </row>
    <row r="3395" customFormat="false" ht="15.75" hidden="false" customHeight="true" outlineLevel="0" collapsed="false">
      <c r="A3395" s="7" t="n">
        <v>45893</v>
      </c>
      <c r="B3395" s="8" t="s">
        <v>16</v>
      </c>
      <c r="C3395" s="9" t="n">
        <v>2172</v>
      </c>
      <c r="D3395" s="8" t="s">
        <v>24</v>
      </c>
      <c r="E3395" s="10" t="s">
        <v>88</v>
      </c>
      <c r="F3395" s="8" t="str">
        <f aca="false">TEXT(A3395,"MM-YYYY")</f>
        <v>08-2025</v>
      </c>
      <c r="G3395" s="8"/>
      <c r="H3395" s="8"/>
      <c r="I3395" s="7"/>
      <c r="J3395" s="8" t="str">
        <f aca="false">VLOOKUP(B3395, Table3[#All], 2, FALSE())</f>
        <v>Sales</v>
      </c>
      <c r="K3395" s="8" t="str">
        <f aca="false">TEXT(ROW(), "0000")</f>
        <v>3395</v>
      </c>
      <c r="L3395" s="8"/>
    </row>
    <row r="3396" customFormat="false" ht="15.75" hidden="false" customHeight="true" outlineLevel="0" collapsed="false">
      <c r="A3396" s="7" t="n">
        <v>45893</v>
      </c>
      <c r="B3396" s="8" t="s">
        <v>16</v>
      </c>
      <c r="C3396" s="9" t="n">
        <v>970</v>
      </c>
      <c r="D3396" s="8" t="s">
        <v>59</v>
      </c>
      <c r="E3396" s="10" t="s">
        <v>88</v>
      </c>
      <c r="F3396" s="8" t="str">
        <f aca="false">TEXT(A3396,"MM-YYYY")</f>
        <v>08-2025</v>
      </c>
      <c r="G3396" s="8"/>
      <c r="H3396" s="8"/>
      <c r="I3396" s="7"/>
      <c r="J3396" s="8" t="str">
        <f aca="false">VLOOKUP(B3396, Table3[#All], 2, FALSE())</f>
        <v>Sales</v>
      </c>
      <c r="K3396" s="8" t="str">
        <f aca="false">TEXT(ROW(), "0000")</f>
        <v>3396</v>
      </c>
      <c r="L3396" s="8"/>
    </row>
    <row r="3397" customFormat="false" ht="15.75" hidden="false" customHeight="true" outlineLevel="0" collapsed="false">
      <c r="A3397" s="7" t="n">
        <v>45893</v>
      </c>
      <c r="B3397" s="8" t="s">
        <v>16</v>
      </c>
      <c r="C3397" s="9" t="n">
        <v>25600</v>
      </c>
      <c r="D3397" s="8" t="s">
        <v>17</v>
      </c>
      <c r="E3397" s="10" t="s">
        <v>469</v>
      </c>
      <c r="F3397" s="8" t="str">
        <f aca="false">TEXT(A3397,"MM-YYYY")</f>
        <v>08-2025</v>
      </c>
      <c r="G3397" s="8"/>
      <c r="H3397" s="8"/>
      <c r="I3397" s="7"/>
      <c r="J3397" s="8" t="str">
        <f aca="false">VLOOKUP(B3397, Table3[#All], 2, FALSE())</f>
        <v>Sales</v>
      </c>
      <c r="K3397" s="8" t="str">
        <f aca="false">TEXT(ROW(), "0000")</f>
        <v>3397</v>
      </c>
      <c r="L3397" s="8"/>
    </row>
    <row r="3398" customFormat="false" ht="15.75" hidden="false" customHeight="true" outlineLevel="0" collapsed="false">
      <c r="A3398" s="7" t="n">
        <v>45893</v>
      </c>
      <c r="B3398" s="8" t="s">
        <v>16</v>
      </c>
      <c r="C3398" s="9" t="n">
        <v>665</v>
      </c>
      <c r="D3398" s="8" t="s">
        <v>27</v>
      </c>
      <c r="E3398" s="10" t="s">
        <v>88</v>
      </c>
      <c r="F3398" s="8" t="str">
        <f aca="false">TEXT(A3398,"MM-YYYY")</f>
        <v>08-2025</v>
      </c>
      <c r="G3398" s="8"/>
      <c r="H3398" s="8"/>
      <c r="I3398" s="7"/>
      <c r="J3398" s="8" t="str">
        <f aca="false">VLOOKUP(B3398, Table3[#All], 2, FALSE())</f>
        <v>Sales</v>
      </c>
      <c r="K3398" s="8" t="str">
        <f aca="false">TEXT(ROW(), "0000")</f>
        <v>3398</v>
      </c>
      <c r="L3398" s="8"/>
    </row>
    <row r="3399" customFormat="false" ht="15.75" hidden="false" customHeight="true" outlineLevel="0" collapsed="false">
      <c r="A3399" s="7" t="n">
        <v>45893</v>
      </c>
      <c r="B3399" s="8" t="s">
        <v>154</v>
      </c>
      <c r="C3399" s="9" t="n">
        <v>30</v>
      </c>
      <c r="D3399" s="8" t="s">
        <v>45</v>
      </c>
      <c r="E3399" s="10" t="s">
        <v>399</v>
      </c>
      <c r="F3399" s="8" t="str">
        <f aca="false">TEXT(A3399,"MM-YYYY")</f>
        <v>08-2025</v>
      </c>
      <c r="G3399" s="8" t="s">
        <v>14</v>
      </c>
      <c r="H3399" s="8"/>
      <c r="I3399" s="7"/>
      <c r="J3399" s="8" t="str">
        <f aca="false">VLOOKUP(B3399, Table3[#All], 2, FALSE())</f>
        <v>Staff Expenses</v>
      </c>
      <c r="K3399" s="8" t="str">
        <f aca="false">TEXT(ROW(), "0000")</f>
        <v>3399</v>
      </c>
      <c r="L3399" s="8"/>
    </row>
    <row r="3400" customFormat="false" ht="15.75" hidden="false" customHeight="true" outlineLevel="0" collapsed="false">
      <c r="A3400" s="7" t="n">
        <v>45893</v>
      </c>
      <c r="B3400" s="8" t="s">
        <v>16</v>
      </c>
      <c r="C3400" s="9" t="n">
        <v>990</v>
      </c>
      <c r="D3400" s="8" t="s">
        <v>33</v>
      </c>
      <c r="E3400" s="10" t="s">
        <v>88</v>
      </c>
      <c r="F3400" s="8" t="str">
        <f aca="false">TEXT(A3400,"MM-YYYY")</f>
        <v>08-2025</v>
      </c>
      <c r="G3400" s="8"/>
      <c r="H3400" s="8"/>
      <c r="I3400" s="7"/>
      <c r="J3400" s="8" t="str">
        <f aca="false">VLOOKUP(B3400, Table3[#All], 2, FALSE())</f>
        <v>Sales</v>
      </c>
      <c r="K3400" s="8" t="str">
        <f aca="false">TEXT(ROW(), "0000")</f>
        <v>3400</v>
      </c>
      <c r="L3400" s="8"/>
    </row>
    <row r="3401" customFormat="false" ht="15.75" hidden="false" customHeight="true" outlineLevel="0" collapsed="false">
      <c r="A3401" s="7" t="n">
        <v>45893</v>
      </c>
      <c r="B3401" s="8" t="s">
        <v>44</v>
      </c>
      <c r="C3401" s="9" t="n">
        <v>1000</v>
      </c>
      <c r="D3401" s="8" t="s">
        <v>21</v>
      </c>
      <c r="E3401" s="10" t="s">
        <v>377</v>
      </c>
      <c r="F3401" s="8" t="str">
        <f aca="false">TEXT(A3401,"MM-YYYY")</f>
        <v>08-2025</v>
      </c>
      <c r="G3401" s="8" t="s">
        <v>14</v>
      </c>
      <c r="H3401" s="8" t="s">
        <v>262</v>
      </c>
      <c r="I3401" s="7" t="n">
        <v>45893</v>
      </c>
      <c r="J3401" s="8" t="str">
        <f aca="false">VLOOKUP(B3401, Table3[#All], 2, FALSE())</f>
        <v>Salary</v>
      </c>
      <c r="K3401" s="8" t="str">
        <f aca="false">TEXT(ROW(), "0000")</f>
        <v>3401</v>
      </c>
      <c r="L3401" s="8"/>
    </row>
    <row r="3402" customFormat="false" ht="15.75" hidden="false" customHeight="true" outlineLevel="0" collapsed="false">
      <c r="A3402" s="7" t="n">
        <v>45894</v>
      </c>
      <c r="B3402" s="8" t="s">
        <v>19</v>
      </c>
      <c r="C3402" s="9" t="n">
        <v>2472</v>
      </c>
      <c r="D3402" s="8" t="s">
        <v>13</v>
      </c>
      <c r="E3402" s="10" t="s">
        <v>417</v>
      </c>
      <c r="F3402" s="8" t="str">
        <f aca="false">TEXT(A3402,"MM-YYYY")</f>
        <v>08-2025</v>
      </c>
      <c r="G3402" s="8" t="s">
        <v>14</v>
      </c>
      <c r="H3402" s="8" t="s">
        <v>13</v>
      </c>
      <c r="I3402" s="7" t="n">
        <v>45906</v>
      </c>
      <c r="J3402" s="8" t="str">
        <f aca="false">VLOOKUP(B3402, Table3[#All], 2, FALSE())</f>
        <v>Inventory</v>
      </c>
      <c r="K3402" s="8" t="str">
        <f aca="false">TEXT(ROW(), "0000")</f>
        <v>3402</v>
      </c>
      <c r="L3402" s="8"/>
    </row>
    <row r="3403" customFormat="false" ht="15.75" hidden="false" customHeight="true" outlineLevel="0" collapsed="false">
      <c r="A3403" s="7" t="n">
        <v>45894</v>
      </c>
      <c r="B3403" s="8" t="s">
        <v>47</v>
      </c>
      <c r="C3403" s="9" t="n">
        <v>900</v>
      </c>
      <c r="D3403" s="8" t="s">
        <v>13</v>
      </c>
      <c r="E3403" s="10" t="s">
        <v>339</v>
      </c>
      <c r="F3403" s="8" t="str">
        <f aca="false">TEXT(A3403,"MM-YYYY")</f>
        <v>08-2025</v>
      </c>
      <c r="G3403" s="8" t="s">
        <v>14</v>
      </c>
      <c r="H3403" s="8"/>
      <c r="I3403" s="7"/>
      <c r="J3403" s="8" t="str">
        <f aca="false">VLOOKUP(B3403, Table3[#All], 2, FALSE())</f>
        <v>Inventory</v>
      </c>
      <c r="K3403" s="8" t="str">
        <f aca="false">TEXT(ROW(), "0000")</f>
        <v>3403</v>
      </c>
      <c r="L3403" s="8"/>
    </row>
    <row r="3404" customFormat="false" ht="15.75" hidden="false" customHeight="true" outlineLevel="0" collapsed="false">
      <c r="A3404" s="7" t="n">
        <v>45894</v>
      </c>
      <c r="B3404" s="8" t="s">
        <v>28</v>
      </c>
      <c r="C3404" s="9" t="n">
        <v>490</v>
      </c>
      <c r="D3404" s="8" t="s">
        <v>13</v>
      </c>
      <c r="E3404" s="10" t="s">
        <v>93</v>
      </c>
      <c r="F3404" s="8" t="str">
        <f aca="false">TEXT(A3404,"MM-YYYY")</f>
        <v>08-2025</v>
      </c>
      <c r="G3404" s="8" t="s">
        <v>14</v>
      </c>
      <c r="H3404" s="8"/>
      <c r="I3404" s="7"/>
      <c r="J3404" s="8" t="str">
        <f aca="false">VLOOKUP(B3404, Table3[#All], 2, FALSE())</f>
        <v>Grocery</v>
      </c>
      <c r="K3404" s="8" t="str">
        <f aca="false">TEXT(ROW(), "0000")</f>
        <v>3404</v>
      </c>
      <c r="L3404" s="8"/>
    </row>
    <row r="3405" customFormat="false" ht="15.75" hidden="false" customHeight="true" outlineLevel="0" collapsed="false">
      <c r="A3405" s="7" t="n">
        <v>45894</v>
      </c>
      <c r="B3405" s="8" t="s">
        <v>40</v>
      </c>
      <c r="C3405" s="9" t="n">
        <v>1600</v>
      </c>
      <c r="D3405" s="8" t="s">
        <v>13</v>
      </c>
      <c r="E3405" s="10" t="s">
        <v>470</v>
      </c>
      <c r="F3405" s="8" t="str">
        <f aca="false">TEXT(A3405,"MM-YYYY")</f>
        <v>08-2025</v>
      </c>
      <c r="G3405" s="8" t="s">
        <v>14</v>
      </c>
      <c r="H3405" s="8"/>
      <c r="I3405" s="7"/>
      <c r="J3405" s="8" t="str">
        <f aca="false">VLOOKUP(B3405, Table3[#All], 2, FALSE())</f>
        <v>Inventory</v>
      </c>
      <c r="K3405" s="8" t="str">
        <f aca="false">TEXT(ROW(), "0000")</f>
        <v>3405</v>
      </c>
      <c r="L3405" s="8"/>
    </row>
    <row r="3406" customFormat="false" ht="15.75" hidden="false" customHeight="true" outlineLevel="0" collapsed="false">
      <c r="A3406" s="7" t="n">
        <v>45894</v>
      </c>
      <c r="B3406" s="8" t="s">
        <v>37</v>
      </c>
      <c r="C3406" s="9" t="n">
        <v>20</v>
      </c>
      <c r="D3406" s="8" t="s">
        <v>21</v>
      </c>
      <c r="E3406" s="10" t="s">
        <v>453</v>
      </c>
      <c r="F3406" s="8" t="str">
        <f aca="false">TEXT(A3406,"MM-YYYY")</f>
        <v>08-2025</v>
      </c>
      <c r="G3406" s="8" t="s">
        <v>14</v>
      </c>
      <c r="H3406" s="8"/>
      <c r="I3406" s="7"/>
      <c r="J3406" s="8" t="str">
        <f aca="false">VLOOKUP(B3406, Table3[#All], 2, FALSE())</f>
        <v>Maintance</v>
      </c>
      <c r="K3406" s="8" t="str">
        <f aca="false">TEXT(ROW(), "0000")</f>
        <v>3406</v>
      </c>
      <c r="L3406" s="8"/>
    </row>
    <row r="3407" customFormat="false" ht="15.75" hidden="false" customHeight="true" outlineLevel="0" collapsed="false">
      <c r="A3407" s="7" t="n">
        <v>45894</v>
      </c>
      <c r="B3407" s="8" t="s">
        <v>25</v>
      </c>
      <c r="C3407" s="9" t="n">
        <v>1165</v>
      </c>
      <c r="D3407" s="8" t="s">
        <v>13</v>
      </c>
      <c r="E3407" s="10" t="s">
        <v>92</v>
      </c>
      <c r="F3407" s="8" t="str">
        <f aca="false">TEXT(A3407,"MM-YYYY")</f>
        <v>08-2025</v>
      </c>
      <c r="G3407" s="8" t="s">
        <v>18</v>
      </c>
      <c r="H3407" s="8"/>
      <c r="I3407" s="7"/>
      <c r="J3407" s="8" t="str">
        <f aca="false">VLOOKUP(B3407, Table3[#All], 2, FALSE())</f>
        <v>Inventory</v>
      </c>
      <c r="K3407" s="8" t="str">
        <f aca="false">TEXT(ROW(), "0000")</f>
        <v>3407</v>
      </c>
      <c r="L3407" s="8"/>
    </row>
    <row r="3408" customFormat="false" ht="15.75" hidden="false" customHeight="true" outlineLevel="0" collapsed="false">
      <c r="A3408" s="7" t="n">
        <v>45894</v>
      </c>
      <c r="B3408" s="8" t="s">
        <v>22</v>
      </c>
      <c r="C3408" s="9" t="n">
        <v>175</v>
      </c>
      <c r="D3408" s="8" t="s">
        <v>45</v>
      </c>
      <c r="E3408" s="10" t="s">
        <v>471</v>
      </c>
      <c r="F3408" s="8" t="str">
        <f aca="false">TEXT(A3408,"MM-YYYY")</f>
        <v>08-2025</v>
      </c>
      <c r="G3408" s="8" t="s">
        <v>14</v>
      </c>
      <c r="H3408" s="8"/>
      <c r="I3408" s="7"/>
      <c r="J3408" s="8" t="str">
        <f aca="false">VLOOKUP(B3408, Table3[#All], 2, FALSE())</f>
        <v>Inventory</v>
      </c>
      <c r="K3408" s="8" t="str">
        <f aca="false">TEXT(ROW(), "0000")</f>
        <v>3408</v>
      </c>
      <c r="L3408" s="8"/>
    </row>
    <row r="3409" customFormat="false" ht="15.75" hidden="false" customHeight="true" outlineLevel="0" collapsed="false">
      <c r="A3409" s="7" t="n">
        <v>45894</v>
      </c>
      <c r="B3409" s="8" t="s">
        <v>31</v>
      </c>
      <c r="C3409" s="9" t="n">
        <v>300</v>
      </c>
      <c r="D3409" s="8" t="s">
        <v>45</v>
      </c>
      <c r="E3409" s="10" t="s">
        <v>31</v>
      </c>
      <c r="F3409" s="8" t="str">
        <f aca="false">TEXT(A3409,"MM-YYYY")</f>
        <v>08-2025</v>
      </c>
      <c r="G3409" s="8" t="s">
        <v>14</v>
      </c>
      <c r="H3409" s="8"/>
      <c r="I3409" s="7"/>
      <c r="J3409" s="8" t="str">
        <f aca="false">VLOOKUP(B3409, Table3[#All], 2, FALSE())</f>
        <v>Bike Maintance</v>
      </c>
      <c r="K3409" s="8" t="str">
        <f aca="false">TEXT(ROW(), "0000")</f>
        <v>3409</v>
      </c>
      <c r="L3409" s="8"/>
    </row>
    <row r="3410" customFormat="false" ht="15.75" hidden="false" customHeight="true" outlineLevel="0" collapsed="false">
      <c r="A3410" s="7" t="n">
        <v>45894</v>
      </c>
      <c r="B3410" s="8" t="s">
        <v>63</v>
      </c>
      <c r="C3410" s="9" t="n">
        <v>310</v>
      </c>
      <c r="D3410" s="8" t="s">
        <v>45</v>
      </c>
      <c r="E3410" s="10" t="s">
        <v>472</v>
      </c>
      <c r="F3410" s="8" t="str">
        <f aca="false">TEXT(A3410,"MM-YYYY")</f>
        <v>08-2025</v>
      </c>
      <c r="G3410" s="8" t="s">
        <v>14</v>
      </c>
      <c r="H3410" s="8"/>
      <c r="I3410" s="7"/>
      <c r="J3410" s="8" t="str">
        <f aca="false">VLOOKUP(B3410, Table3[#All], 2, FALSE())</f>
        <v>Maintance</v>
      </c>
      <c r="K3410" s="8" t="str">
        <f aca="false">TEXT(ROW(), "0000")</f>
        <v>3410</v>
      </c>
      <c r="L3410" s="8"/>
    </row>
    <row r="3411" customFormat="false" ht="15.75" hidden="false" customHeight="true" outlineLevel="0" collapsed="false">
      <c r="A3411" s="7" t="n">
        <v>45894</v>
      </c>
      <c r="B3411" s="8" t="s">
        <v>16</v>
      </c>
      <c r="C3411" s="9" t="n">
        <v>2913</v>
      </c>
      <c r="D3411" s="8" t="s">
        <v>21</v>
      </c>
      <c r="E3411" s="10" t="s">
        <v>88</v>
      </c>
      <c r="F3411" s="8" t="str">
        <f aca="false">TEXT(A3411,"MM-YYYY")</f>
        <v>08-2025</v>
      </c>
      <c r="G3411" s="8"/>
      <c r="H3411" s="8"/>
      <c r="I3411" s="7"/>
      <c r="J3411" s="8" t="str">
        <f aca="false">VLOOKUP(B3411, Table3[#All], 2, FALSE())</f>
        <v>Sales</v>
      </c>
      <c r="K3411" s="8" t="str">
        <f aca="false">TEXT(ROW(), "0000")</f>
        <v>3411</v>
      </c>
      <c r="L3411" s="8"/>
    </row>
    <row r="3412" customFormat="false" ht="15.75" hidden="false" customHeight="true" outlineLevel="0" collapsed="false">
      <c r="A3412" s="7" t="n">
        <v>45894</v>
      </c>
      <c r="B3412" s="8" t="s">
        <v>16</v>
      </c>
      <c r="C3412" s="9" t="n">
        <v>4030</v>
      </c>
      <c r="D3412" s="8" t="s">
        <v>33</v>
      </c>
      <c r="E3412" s="10" t="s">
        <v>88</v>
      </c>
      <c r="F3412" s="8" t="str">
        <f aca="false">TEXT(A3412,"MM-YYYY")</f>
        <v>08-2025</v>
      </c>
      <c r="G3412" s="8"/>
      <c r="H3412" s="8"/>
      <c r="I3412" s="7"/>
      <c r="J3412" s="8" t="str">
        <f aca="false">VLOOKUP(B3412, Table3[#All], 2, FALSE())</f>
        <v>Sales</v>
      </c>
      <c r="K3412" s="8" t="str">
        <f aca="false">TEXT(ROW(), "0000")</f>
        <v>3412</v>
      </c>
      <c r="L3412" s="8"/>
    </row>
    <row r="3413" customFormat="false" ht="15.75" hidden="false" customHeight="true" outlineLevel="0" collapsed="false">
      <c r="A3413" s="7" t="n">
        <v>45894</v>
      </c>
      <c r="B3413" s="8" t="s">
        <v>16</v>
      </c>
      <c r="C3413" s="9" t="n">
        <v>7614</v>
      </c>
      <c r="D3413" s="8" t="s">
        <v>17</v>
      </c>
      <c r="E3413" s="10" t="s">
        <v>88</v>
      </c>
      <c r="F3413" s="8" t="str">
        <f aca="false">TEXT(A3413,"MM-YYYY")</f>
        <v>08-2025</v>
      </c>
      <c r="G3413" s="8"/>
      <c r="H3413" s="8"/>
      <c r="I3413" s="7"/>
      <c r="J3413" s="8" t="str">
        <f aca="false">VLOOKUP(B3413, Table3[#All], 2, FALSE())</f>
        <v>Sales</v>
      </c>
      <c r="K3413" s="8" t="str">
        <f aca="false">TEXT(ROW(), "0000")</f>
        <v>3413</v>
      </c>
      <c r="L3413" s="8"/>
    </row>
    <row r="3414" customFormat="false" ht="15.75" hidden="false" customHeight="true" outlineLevel="0" collapsed="false">
      <c r="A3414" s="7" t="n">
        <v>45894</v>
      </c>
      <c r="B3414" s="8" t="s">
        <v>16</v>
      </c>
      <c r="C3414" s="9" t="n">
        <v>1492</v>
      </c>
      <c r="D3414" s="8" t="s">
        <v>24</v>
      </c>
      <c r="E3414" s="10" t="s">
        <v>88</v>
      </c>
      <c r="F3414" s="8" t="str">
        <f aca="false">TEXT(A3414,"MM-YYYY")</f>
        <v>08-2025</v>
      </c>
      <c r="G3414" s="8"/>
      <c r="H3414" s="8"/>
      <c r="I3414" s="7"/>
      <c r="J3414" s="8" t="str">
        <f aca="false">VLOOKUP(B3414, Table3[#All], 2, FALSE())</f>
        <v>Sales</v>
      </c>
      <c r="K3414" s="8" t="str">
        <f aca="false">TEXT(ROW(), "0000")</f>
        <v>3414</v>
      </c>
      <c r="L3414" s="8"/>
    </row>
    <row r="3415" customFormat="false" ht="15.75" hidden="false" customHeight="true" outlineLevel="0" collapsed="false">
      <c r="A3415" s="7" t="n">
        <v>45894</v>
      </c>
      <c r="B3415" s="8" t="s">
        <v>22</v>
      </c>
      <c r="C3415" s="9" t="n">
        <v>120</v>
      </c>
      <c r="D3415" s="8" t="s">
        <v>45</v>
      </c>
      <c r="E3415" s="10" t="s">
        <v>23</v>
      </c>
      <c r="F3415" s="8" t="str">
        <f aca="false">TEXT(A3415,"MM-YYYY")</f>
        <v>08-2025</v>
      </c>
      <c r="G3415" s="8" t="s">
        <v>14</v>
      </c>
      <c r="H3415" s="8"/>
      <c r="I3415" s="7"/>
      <c r="J3415" s="8" t="str">
        <f aca="false">VLOOKUP(B3415, Table3[#All], 2, FALSE())</f>
        <v>Inventory</v>
      </c>
      <c r="K3415" s="8" t="str">
        <f aca="false">TEXT(ROW(), "0000")</f>
        <v>3415</v>
      </c>
      <c r="L3415" s="8"/>
    </row>
    <row r="3416" customFormat="false" ht="15.75" hidden="false" customHeight="true" outlineLevel="0" collapsed="false">
      <c r="A3416" s="7" t="n">
        <v>45895</v>
      </c>
      <c r="B3416" s="8" t="s">
        <v>19</v>
      </c>
      <c r="C3416" s="9" t="n">
        <v>1592</v>
      </c>
      <c r="D3416" s="8" t="s">
        <v>13</v>
      </c>
      <c r="E3416" s="10" t="s">
        <v>473</v>
      </c>
      <c r="F3416" s="8" t="str">
        <f aca="false">TEXT(A3416,"MM-YYYY")</f>
        <v>08-2025</v>
      </c>
      <c r="G3416" s="8" t="s">
        <v>14</v>
      </c>
      <c r="H3416" s="8" t="s">
        <v>13</v>
      </c>
      <c r="I3416" s="7" t="n">
        <v>45906</v>
      </c>
      <c r="J3416" s="8" t="str">
        <f aca="false">VLOOKUP(B3416, Table3[#All], 2, FALSE())</f>
        <v>Inventory</v>
      </c>
      <c r="K3416" s="8" t="str">
        <f aca="false">TEXT(ROW(), "0000")</f>
        <v>3416</v>
      </c>
      <c r="L3416" s="8"/>
    </row>
    <row r="3417" customFormat="false" ht="15.75" hidden="false" customHeight="true" outlineLevel="0" collapsed="false">
      <c r="A3417" s="7" t="n">
        <v>45895</v>
      </c>
      <c r="B3417" s="8" t="s">
        <v>25</v>
      </c>
      <c r="C3417" s="9" t="n">
        <v>619</v>
      </c>
      <c r="D3417" s="8" t="s">
        <v>13</v>
      </c>
      <c r="E3417" s="10" t="s">
        <v>92</v>
      </c>
      <c r="F3417" s="8" t="str">
        <f aca="false">TEXT(A3417,"MM-YYYY")</f>
        <v>08-2025</v>
      </c>
      <c r="G3417" s="8" t="s">
        <v>18</v>
      </c>
      <c r="H3417" s="8"/>
      <c r="I3417" s="7"/>
      <c r="J3417" s="8" t="str">
        <f aca="false">VLOOKUP(B3417, Table3[#All], 2, FALSE())</f>
        <v>Inventory</v>
      </c>
      <c r="K3417" s="8" t="str">
        <f aca="false">TEXT(ROW(), "0000")</f>
        <v>3417</v>
      </c>
      <c r="L3417" s="8"/>
    </row>
    <row r="3418" customFormat="false" ht="15.75" hidden="false" customHeight="true" outlineLevel="0" collapsed="false">
      <c r="A3418" s="7" t="n">
        <v>45895</v>
      </c>
      <c r="B3418" s="8" t="s">
        <v>40</v>
      </c>
      <c r="C3418" s="9" t="n">
        <v>1560</v>
      </c>
      <c r="D3418" s="8" t="s">
        <v>45</v>
      </c>
      <c r="E3418" s="10" t="s">
        <v>470</v>
      </c>
      <c r="F3418" s="8" t="str">
        <f aca="false">TEXT(A3418,"MM-YYYY")</f>
        <v>08-2025</v>
      </c>
      <c r="G3418" s="8" t="s">
        <v>14</v>
      </c>
      <c r="H3418" s="8" t="s">
        <v>262</v>
      </c>
      <c r="I3418" s="7" t="n">
        <v>45895</v>
      </c>
      <c r="J3418" s="8" t="str">
        <f aca="false">VLOOKUP(B3418, Table3[#All], 2, FALSE())</f>
        <v>Inventory</v>
      </c>
      <c r="K3418" s="8" t="str">
        <f aca="false">TEXT(ROW(), "0000")</f>
        <v>3418</v>
      </c>
      <c r="L3418" s="8"/>
    </row>
    <row r="3419" customFormat="false" ht="15.75" hidden="false" customHeight="true" outlineLevel="0" collapsed="false">
      <c r="A3419" s="7" t="n">
        <v>45895</v>
      </c>
      <c r="B3419" s="8" t="s">
        <v>53</v>
      </c>
      <c r="C3419" s="9" t="n">
        <v>1200</v>
      </c>
      <c r="D3419" s="8" t="s">
        <v>45</v>
      </c>
      <c r="E3419" s="10" t="s">
        <v>474</v>
      </c>
      <c r="F3419" s="8" t="str">
        <f aca="false">TEXT(A3419,"MM-YYYY")</f>
        <v>08-2025</v>
      </c>
      <c r="G3419" s="8" t="s">
        <v>14</v>
      </c>
      <c r="H3419" s="8"/>
      <c r="I3419" s="7" t="n">
        <v>45895</v>
      </c>
      <c r="J3419" s="8" t="str">
        <f aca="false">VLOOKUP(B3419, Table3[#All], 2, FALSE())</f>
        <v>Grocery</v>
      </c>
      <c r="K3419" s="8" t="str">
        <f aca="false">TEXT(ROW(), "0000")</f>
        <v>3419</v>
      </c>
      <c r="L3419" s="8"/>
    </row>
    <row r="3420" customFormat="false" ht="15.75" hidden="false" customHeight="true" outlineLevel="0" collapsed="false">
      <c r="A3420" s="7" t="n">
        <v>45895</v>
      </c>
      <c r="B3420" s="8" t="s">
        <v>43</v>
      </c>
      <c r="C3420" s="9" t="n">
        <v>100</v>
      </c>
      <c r="D3420" s="8" t="s">
        <v>45</v>
      </c>
      <c r="E3420" s="10" t="s">
        <v>475</v>
      </c>
      <c r="F3420" s="8" t="str">
        <f aca="false">TEXT(A3420,"MM-YYYY")</f>
        <v>08-2025</v>
      </c>
      <c r="G3420" s="8" t="s">
        <v>14</v>
      </c>
      <c r="H3420" s="8"/>
      <c r="I3420" s="7" t="n">
        <v>45895</v>
      </c>
      <c r="J3420" s="8" t="str">
        <f aca="false">VLOOKUP(B3420, Table3[#All], 2, FALSE())</f>
        <v>Maintance</v>
      </c>
      <c r="K3420" s="8" t="str">
        <f aca="false">TEXT(ROW(), "0000")</f>
        <v>3420</v>
      </c>
      <c r="L3420" s="8"/>
    </row>
    <row r="3421" customFormat="false" ht="15.75" hidden="false" customHeight="true" outlineLevel="0" collapsed="false">
      <c r="A3421" s="7" t="n">
        <v>45895</v>
      </c>
      <c r="B3421" s="8" t="s">
        <v>22</v>
      </c>
      <c r="C3421" s="9" t="n">
        <v>28310</v>
      </c>
      <c r="D3421" s="8" t="s">
        <v>13</v>
      </c>
      <c r="E3421" s="10" t="s">
        <v>23</v>
      </c>
      <c r="F3421" s="8" t="str">
        <f aca="false">TEXT(A3421,"MM-YYYY")</f>
        <v>08-2025</v>
      </c>
      <c r="G3421" s="8" t="s">
        <v>18</v>
      </c>
      <c r="H3421" s="8"/>
      <c r="I3421" s="7"/>
      <c r="J3421" s="8" t="str">
        <f aca="false">VLOOKUP(B3421, Table3[#All], 2, FALSE())</f>
        <v>Inventory</v>
      </c>
      <c r="K3421" s="8" t="str">
        <f aca="false">TEXT(ROW(), "0000")</f>
        <v>3421</v>
      </c>
      <c r="L3421" s="8"/>
    </row>
    <row r="3422" customFormat="false" ht="15.75" hidden="false" customHeight="true" outlineLevel="0" collapsed="false">
      <c r="A3422" s="7" t="n">
        <v>45895</v>
      </c>
      <c r="B3422" s="8" t="s">
        <v>16</v>
      </c>
      <c r="C3422" s="9" t="n">
        <v>1125</v>
      </c>
      <c r="D3422" s="8" t="s">
        <v>21</v>
      </c>
      <c r="E3422" s="10" t="s">
        <v>88</v>
      </c>
      <c r="F3422" s="8" t="str">
        <f aca="false">TEXT(A3422,"MM-YYYY")</f>
        <v>08-2025</v>
      </c>
      <c r="G3422" s="8"/>
      <c r="H3422" s="8"/>
      <c r="I3422" s="7"/>
      <c r="J3422" s="8" t="str">
        <f aca="false">VLOOKUP(B3422, Table3[#All], 2, FALSE())</f>
        <v>Sales</v>
      </c>
      <c r="K3422" s="8" t="str">
        <f aca="false">TEXT(ROW(), "0000")</f>
        <v>3422</v>
      </c>
      <c r="L3422" s="8"/>
    </row>
    <row r="3423" customFormat="false" ht="15.75" hidden="false" customHeight="true" outlineLevel="0" collapsed="false">
      <c r="A3423" s="7" t="n">
        <v>45895</v>
      </c>
      <c r="B3423" s="8" t="s">
        <v>16</v>
      </c>
      <c r="C3423" s="9" t="n">
        <v>330</v>
      </c>
      <c r="D3423" s="8" t="s">
        <v>33</v>
      </c>
      <c r="E3423" s="10" t="s">
        <v>88</v>
      </c>
      <c r="F3423" s="8" t="str">
        <f aca="false">TEXT(A3423,"MM-YYYY")</f>
        <v>08-2025</v>
      </c>
      <c r="G3423" s="8"/>
      <c r="H3423" s="8"/>
      <c r="I3423" s="7"/>
      <c r="J3423" s="8" t="str">
        <f aca="false">VLOOKUP(B3423, Table3[#All], 2, FALSE())</f>
        <v>Sales</v>
      </c>
      <c r="K3423" s="8" t="str">
        <f aca="false">TEXT(ROW(), "0000")</f>
        <v>3423</v>
      </c>
      <c r="L3423" s="8"/>
    </row>
    <row r="3424" customFormat="false" ht="15.75" hidden="false" customHeight="true" outlineLevel="0" collapsed="false">
      <c r="A3424" s="7" t="n">
        <v>45895</v>
      </c>
      <c r="B3424" s="8" t="s">
        <v>16</v>
      </c>
      <c r="C3424" s="9" t="n">
        <v>700</v>
      </c>
      <c r="D3424" s="8" t="s">
        <v>59</v>
      </c>
      <c r="E3424" s="10" t="s">
        <v>88</v>
      </c>
      <c r="F3424" s="8" t="str">
        <f aca="false">TEXT(A3424,"MM-YYYY")</f>
        <v>08-2025</v>
      </c>
      <c r="G3424" s="8"/>
      <c r="H3424" s="8"/>
      <c r="I3424" s="7"/>
      <c r="J3424" s="8" t="str">
        <f aca="false">VLOOKUP(B3424, Table3[#All], 2, FALSE())</f>
        <v>Sales</v>
      </c>
      <c r="K3424" s="8" t="str">
        <f aca="false">TEXT(ROW(), "0000")</f>
        <v>3424</v>
      </c>
      <c r="L3424" s="8"/>
    </row>
    <row r="3425" customFormat="false" ht="15.75" hidden="false" customHeight="true" outlineLevel="0" collapsed="false">
      <c r="A3425" s="7" t="n">
        <v>45895</v>
      </c>
      <c r="B3425" s="8" t="s">
        <v>16</v>
      </c>
      <c r="C3425" s="9" t="n">
        <v>3158</v>
      </c>
      <c r="D3425" s="8" t="s">
        <v>24</v>
      </c>
      <c r="E3425" s="10"/>
      <c r="F3425" s="8" t="str">
        <f aca="false">TEXT(A3425,"MM-YYYY")</f>
        <v>08-2025</v>
      </c>
      <c r="G3425" s="8"/>
      <c r="H3425" s="8"/>
      <c r="I3425" s="7"/>
      <c r="J3425" s="8" t="str">
        <f aca="false">VLOOKUP(B3425, Table3[#All], 2, FALSE())</f>
        <v>Sales</v>
      </c>
      <c r="K3425" s="8" t="str">
        <f aca="false">TEXT(ROW(), "0000")</f>
        <v>3425</v>
      </c>
      <c r="L3425" s="8"/>
    </row>
    <row r="3426" customFormat="false" ht="15.75" hidden="false" customHeight="true" outlineLevel="0" collapsed="false">
      <c r="A3426" s="7" t="n">
        <v>45895</v>
      </c>
      <c r="B3426" s="8" t="s">
        <v>43</v>
      </c>
      <c r="C3426" s="9" t="n">
        <v>190</v>
      </c>
      <c r="D3426" s="8" t="s">
        <v>45</v>
      </c>
      <c r="E3426" s="10" t="s">
        <v>476</v>
      </c>
      <c r="F3426" s="8" t="str">
        <f aca="false">TEXT(A3426,"MM-YYYY")</f>
        <v>08-2025</v>
      </c>
      <c r="G3426" s="8" t="s">
        <v>14</v>
      </c>
      <c r="H3426" s="8"/>
      <c r="I3426" s="7"/>
      <c r="J3426" s="8" t="str">
        <f aca="false">VLOOKUP(B3426, Table3[#All], 2, FALSE())</f>
        <v>Maintance</v>
      </c>
      <c r="K3426" s="8" t="str">
        <f aca="false">TEXT(ROW(), "0000")</f>
        <v>3426</v>
      </c>
      <c r="L3426" s="8"/>
    </row>
    <row r="3427" customFormat="false" ht="15.75" hidden="false" customHeight="true" outlineLevel="0" collapsed="false">
      <c r="A3427" s="7" t="n">
        <v>45895</v>
      </c>
      <c r="B3427" s="8" t="s">
        <v>22</v>
      </c>
      <c r="C3427" s="9" t="n">
        <v>40</v>
      </c>
      <c r="D3427" s="8" t="s">
        <v>21</v>
      </c>
      <c r="E3427" s="10" t="s">
        <v>477</v>
      </c>
      <c r="F3427" s="8" t="str">
        <f aca="false">TEXT(A3427,"MM-YYYY")</f>
        <v>08-2025</v>
      </c>
      <c r="G3427" s="8" t="s">
        <v>14</v>
      </c>
      <c r="H3427" s="8"/>
      <c r="I3427" s="7"/>
      <c r="J3427" s="8" t="str">
        <f aca="false">VLOOKUP(B3427, Table3[#All], 2, FALSE())</f>
        <v>Inventory</v>
      </c>
      <c r="K3427" s="8" t="str">
        <f aca="false">TEXT(ROW(), "0000")</f>
        <v>3427</v>
      </c>
      <c r="L3427" s="8"/>
    </row>
    <row r="3428" customFormat="false" ht="15.75" hidden="false" customHeight="true" outlineLevel="0" collapsed="false">
      <c r="A3428" s="7" t="n">
        <v>45895</v>
      </c>
      <c r="B3428" s="8" t="s">
        <v>16</v>
      </c>
      <c r="C3428" s="9" t="n">
        <v>9094</v>
      </c>
      <c r="D3428" s="8" t="s">
        <v>17</v>
      </c>
      <c r="E3428" s="10" t="s">
        <v>88</v>
      </c>
      <c r="F3428" s="8" t="str">
        <f aca="false">TEXT(A3428,"MM-YYYY")</f>
        <v>08-2025</v>
      </c>
      <c r="G3428" s="8"/>
      <c r="H3428" s="8"/>
      <c r="I3428" s="7"/>
      <c r="J3428" s="8" t="str">
        <f aca="false">VLOOKUP(B3428, Table3[#All], 2, FALSE())</f>
        <v>Sales</v>
      </c>
      <c r="K3428" s="8" t="str">
        <f aca="false">TEXT(ROW(), "0000")</f>
        <v>3428</v>
      </c>
      <c r="L3428" s="8"/>
    </row>
    <row r="3429" customFormat="false" ht="15.75" hidden="false" customHeight="true" outlineLevel="0" collapsed="false">
      <c r="A3429" s="7" t="n">
        <v>45895</v>
      </c>
      <c r="B3429" s="8" t="s">
        <v>227</v>
      </c>
      <c r="C3429" s="9" t="n">
        <v>1500</v>
      </c>
      <c r="D3429" s="8" t="s">
        <v>45</v>
      </c>
      <c r="E3429" s="10" t="s">
        <v>227</v>
      </c>
      <c r="F3429" s="8" t="str">
        <f aca="false">TEXT(A3429,"MM-YYYY")</f>
        <v>08-2025</v>
      </c>
      <c r="G3429" s="8" t="s">
        <v>14</v>
      </c>
      <c r="H3429" s="8"/>
      <c r="I3429" s="7"/>
      <c r="J3429" s="8" t="str">
        <f aca="false">VLOOKUP(B3429, Table3[#All], 2, FALSE())</f>
        <v>Maintance</v>
      </c>
      <c r="K3429" s="8" t="str">
        <f aca="false">TEXT(ROW(), "0000")</f>
        <v>3429</v>
      </c>
      <c r="L3429" s="8"/>
    </row>
    <row r="3430" customFormat="false" ht="15.75" hidden="false" customHeight="true" outlineLevel="0" collapsed="false">
      <c r="A3430" s="7" t="n">
        <v>45896</v>
      </c>
      <c r="B3430" s="8" t="s">
        <v>19</v>
      </c>
      <c r="C3430" s="9" t="n">
        <v>2624</v>
      </c>
      <c r="D3430" s="8" t="s">
        <v>13</v>
      </c>
      <c r="E3430" s="10" t="s">
        <v>473</v>
      </c>
      <c r="F3430" s="8" t="str">
        <f aca="false">TEXT(A3430,"MM-YYYY")</f>
        <v>08-2025</v>
      </c>
      <c r="G3430" s="8" t="s">
        <v>14</v>
      </c>
      <c r="H3430" s="8" t="s">
        <v>13</v>
      </c>
      <c r="I3430" s="7" t="n">
        <v>45906</v>
      </c>
      <c r="J3430" s="8" t="str">
        <f aca="false">VLOOKUP(B3430, Table3[#All], 2, FALSE())</f>
        <v>Inventory</v>
      </c>
      <c r="K3430" s="8" t="str">
        <f aca="false">TEXT(ROW(), "0000")</f>
        <v>3430</v>
      </c>
      <c r="L3430" s="8"/>
    </row>
    <row r="3431" customFormat="false" ht="15.75" hidden="false" customHeight="true" outlineLevel="0" collapsed="false">
      <c r="A3431" s="7" t="n">
        <v>45896</v>
      </c>
      <c r="B3431" s="8" t="s">
        <v>25</v>
      </c>
      <c r="C3431" s="9" t="n">
        <v>809</v>
      </c>
      <c r="D3431" s="8" t="s">
        <v>13</v>
      </c>
      <c r="E3431" s="10" t="s">
        <v>92</v>
      </c>
      <c r="F3431" s="8" t="str">
        <f aca="false">TEXT(A3431,"MM-YYYY")</f>
        <v>08-2025</v>
      </c>
      <c r="G3431" s="8" t="s">
        <v>18</v>
      </c>
      <c r="H3431" s="8"/>
      <c r="I3431" s="7"/>
      <c r="J3431" s="8" t="str">
        <f aca="false">VLOOKUP(B3431, Table3[#All], 2, FALSE())</f>
        <v>Inventory</v>
      </c>
      <c r="K3431" s="8" t="str">
        <f aca="false">TEXT(ROW(), "0000")</f>
        <v>3431</v>
      </c>
      <c r="L3431" s="8"/>
    </row>
    <row r="3432" customFormat="false" ht="15.75" hidden="false" customHeight="true" outlineLevel="0" collapsed="false">
      <c r="A3432" s="7" t="n">
        <v>45896</v>
      </c>
      <c r="B3432" s="8" t="s">
        <v>29</v>
      </c>
      <c r="C3432" s="9" t="n">
        <v>279</v>
      </c>
      <c r="D3432" s="8" t="s">
        <v>13</v>
      </c>
      <c r="E3432" s="10" t="s">
        <v>478</v>
      </c>
      <c r="F3432" s="8" t="str">
        <f aca="false">TEXT(A3432,"MM-YYYY")</f>
        <v>08-2025</v>
      </c>
      <c r="G3432" s="8" t="s">
        <v>18</v>
      </c>
      <c r="H3432" s="8"/>
      <c r="I3432" s="7"/>
      <c r="J3432" s="8" t="str">
        <f aca="false">VLOOKUP(B3432, Table3[#All], 2, FALSE())</f>
        <v>Inventory</v>
      </c>
      <c r="K3432" s="8" t="str">
        <f aca="false">TEXT(ROW(), "0000")</f>
        <v>3432</v>
      </c>
      <c r="L3432" s="8"/>
    </row>
    <row r="3433" customFormat="false" ht="15.75" hidden="false" customHeight="true" outlineLevel="0" collapsed="false">
      <c r="A3433" s="7" t="n">
        <v>45896</v>
      </c>
      <c r="B3433" s="8" t="s">
        <v>22</v>
      </c>
      <c r="C3433" s="9" t="n">
        <v>165</v>
      </c>
      <c r="D3433" s="8" t="s">
        <v>45</v>
      </c>
      <c r="E3433" s="10" t="s">
        <v>479</v>
      </c>
      <c r="F3433" s="8" t="str">
        <f aca="false">TEXT(A3433,"MM-YYYY")</f>
        <v>08-2025</v>
      </c>
      <c r="G3433" s="8" t="s">
        <v>14</v>
      </c>
      <c r="H3433" s="8"/>
      <c r="I3433" s="7"/>
      <c r="J3433" s="8" t="str">
        <f aca="false">VLOOKUP(B3433, Table3[#All], 2, FALSE())</f>
        <v>Inventory</v>
      </c>
      <c r="K3433" s="8" t="str">
        <f aca="false">TEXT(ROW(), "0000")</f>
        <v>3433</v>
      </c>
      <c r="L3433" s="8"/>
    </row>
    <row r="3434" customFormat="false" ht="15.75" hidden="false" customHeight="true" outlineLevel="0" collapsed="false">
      <c r="A3434" s="7" t="n">
        <v>45896</v>
      </c>
      <c r="B3434" s="8" t="s">
        <v>43</v>
      </c>
      <c r="C3434" s="9" t="n">
        <v>1290</v>
      </c>
      <c r="D3434" s="8" t="s">
        <v>45</v>
      </c>
      <c r="E3434" s="10" t="s">
        <v>480</v>
      </c>
      <c r="F3434" s="8" t="str">
        <f aca="false">TEXT(A3434,"MM-YYYY")</f>
        <v>08-2025</v>
      </c>
      <c r="G3434" s="8" t="s">
        <v>14</v>
      </c>
      <c r="H3434" s="8"/>
      <c r="I3434" s="7"/>
      <c r="J3434" s="8" t="str">
        <f aca="false">VLOOKUP(B3434, Table3[#All], 2, FALSE())</f>
        <v>Maintance</v>
      </c>
      <c r="K3434" s="8" t="str">
        <f aca="false">TEXT(ROW(), "0000")</f>
        <v>3434</v>
      </c>
      <c r="L3434" s="8"/>
    </row>
    <row r="3435" customFormat="false" ht="15.75" hidden="false" customHeight="true" outlineLevel="0" collapsed="false">
      <c r="A3435" s="7" t="n">
        <v>45896</v>
      </c>
      <c r="B3435" s="8" t="s">
        <v>37</v>
      </c>
      <c r="C3435" s="9" t="n">
        <v>10</v>
      </c>
      <c r="D3435" s="8" t="s">
        <v>21</v>
      </c>
      <c r="E3435" s="10"/>
      <c r="F3435" s="8" t="str">
        <f aca="false">TEXT(A3435,"MM-YYYY")</f>
        <v>08-2025</v>
      </c>
      <c r="G3435" s="8" t="s">
        <v>14</v>
      </c>
      <c r="H3435" s="8"/>
      <c r="I3435" s="7"/>
      <c r="J3435" s="8" t="str">
        <f aca="false">VLOOKUP(B3435, Table3[#All], 2, FALSE())</f>
        <v>Maintance</v>
      </c>
      <c r="K3435" s="8" t="str">
        <f aca="false">TEXT(ROW(), "0000")</f>
        <v>3435</v>
      </c>
      <c r="L3435" s="8"/>
    </row>
    <row r="3436" customFormat="false" ht="15.75" hidden="false" customHeight="true" outlineLevel="0" collapsed="false">
      <c r="A3436" s="7" t="n">
        <v>45896</v>
      </c>
      <c r="B3436" s="8" t="s">
        <v>29</v>
      </c>
      <c r="C3436" s="9" t="n">
        <v>20</v>
      </c>
      <c r="D3436" s="8" t="s">
        <v>21</v>
      </c>
      <c r="E3436" s="10" t="s">
        <v>453</v>
      </c>
      <c r="F3436" s="8" t="str">
        <f aca="false">TEXT(A3436,"MM-YYYY")</f>
        <v>08-2025</v>
      </c>
      <c r="G3436" s="8" t="s">
        <v>14</v>
      </c>
      <c r="H3436" s="8"/>
      <c r="I3436" s="7"/>
      <c r="J3436" s="8" t="str">
        <f aca="false">VLOOKUP(B3436, Table3[#All], 2, FALSE())</f>
        <v>Inventory</v>
      </c>
      <c r="K3436" s="8" t="str">
        <f aca="false">TEXT(ROW(), "0000")</f>
        <v>3436</v>
      </c>
      <c r="L3436" s="8"/>
    </row>
    <row r="3437" customFormat="false" ht="15.75" hidden="false" customHeight="true" outlineLevel="0" collapsed="false">
      <c r="A3437" s="7" t="n">
        <v>45896</v>
      </c>
      <c r="B3437" s="8" t="s">
        <v>22</v>
      </c>
      <c r="C3437" s="9" t="n">
        <v>50</v>
      </c>
      <c r="D3437" s="8" t="s">
        <v>21</v>
      </c>
      <c r="E3437" s="10" t="s">
        <v>481</v>
      </c>
      <c r="F3437" s="8" t="str">
        <f aca="false">TEXT(A3437,"MM-YYYY")</f>
        <v>08-2025</v>
      </c>
      <c r="G3437" s="8" t="s">
        <v>14</v>
      </c>
      <c r="H3437" s="8"/>
      <c r="I3437" s="7"/>
      <c r="J3437" s="8" t="str">
        <f aca="false">VLOOKUP(B3437, Table3[#All], 2, FALSE())</f>
        <v>Inventory</v>
      </c>
      <c r="K3437" s="8" t="str">
        <f aca="false">TEXT(ROW(), "0000")</f>
        <v>3437</v>
      </c>
      <c r="L3437" s="8"/>
    </row>
    <row r="3438" customFormat="false" ht="15.75" hidden="false" customHeight="true" outlineLevel="0" collapsed="false">
      <c r="A3438" s="7" t="n">
        <v>45896</v>
      </c>
      <c r="B3438" s="8" t="s">
        <v>16</v>
      </c>
      <c r="C3438" s="9" t="n">
        <v>1310</v>
      </c>
      <c r="D3438" s="8" t="s">
        <v>21</v>
      </c>
      <c r="E3438" s="10" t="s">
        <v>88</v>
      </c>
      <c r="F3438" s="8" t="str">
        <f aca="false">TEXT(A3438,"MM-YYYY")</f>
        <v>08-2025</v>
      </c>
      <c r="G3438" s="8"/>
      <c r="H3438" s="8"/>
      <c r="I3438" s="7"/>
      <c r="J3438" s="8" t="str">
        <f aca="false">VLOOKUP(B3438, Table3[#All], 2, FALSE())</f>
        <v>Sales</v>
      </c>
      <c r="K3438" s="8" t="str">
        <f aca="false">TEXT(ROW(), "0000")</f>
        <v>3438</v>
      </c>
      <c r="L3438" s="8"/>
    </row>
    <row r="3439" customFormat="false" ht="15.75" hidden="false" customHeight="true" outlineLevel="0" collapsed="false">
      <c r="A3439" s="7" t="n">
        <v>45896</v>
      </c>
      <c r="B3439" s="8" t="s">
        <v>16</v>
      </c>
      <c r="C3439" s="9" t="n">
        <v>2210</v>
      </c>
      <c r="D3439" s="8" t="s">
        <v>33</v>
      </c>
      <c r="E3439" s="10" t="s">
        <v>88</v>
      </c>
      <c r="F3439" s="8" t="str">
        <f aca="false">TEXT(A3439,"MM-YYYY")</f>
        <v>08-2025</v>
      </c>
      <c r="G3439" s="8"/>
      <c r="H3439" s="8"/>
      <c r="I3439" s="7"/>
      <c r="J3439" s="8" t="str">
        <f aca="false">VLOOKUP(B3439, Table3[#All], 2, FALSE())</f>
        <v>Sales</v>
      </c>
      <c r="K3439" s="8" t="str">
        <f aca="false">TEXT(ROW(), "0000")</f>
        <v>3439</v>
      </c>
      <c r="L3439" s="8"/>
    </row>
    <row r="3440" customFormat="false" ht="15.75" hidden="false" customHeight="true" outlineLevel="0" collapsed="false">
      <c r="A3440" s="7" t="n">
        <v>45896</v>
      </c>
      <c r="B3440" s="8" t="s">
        <v>16</v>
      </c>
      <c r="C3440" s="9" t="n">
        <v>7569</v>
      </c>
      <c r="D3440" s="8" t="s">
        <v>17</v>
      </c>
      <c r="E3440" s="10" t="s">
        <v>88</v>
      </c>
      <c r="F3440" s="8" t="str">
        <f aca="false">TEXT(A3440,"MM-YYYY")</f>
        <v>08-2025</v>
      </c>
      <c r="G3440" s="8"/>
      <c r="H3440" s="8"/>
      <c r="I3440" s="7"/>
      <c r="J3440" s="8" t="str">
        <f aca="false">VLOOKUP(B3440, Table3[#All], 2, FALSE())</f>
        <v>Sales</v>
      </c>
      <c r="K3440" s="8" t="str">
        <f aca="false">TEXT(ROW(), "0000")</f>
        <v>3440</v>
      </c>
      <c r="L3440" s="8"/>
    </row>
    <row r="3441" customFormat="false" ht="15.75" hidden="false" customHeight="true" outlineLevel="0" collapsed="false">
      <c r="A3441" s="7" t="n">
        <v>45896</v>
      </c>
      <c r="B3441" s="8" t="s">
        <v>16</v>
      </c>
      <c r="C3441" s="9" t="n">
        <v>2137</v>
      </c>
      <c r="D3441" s="8" t="s">
        <v>24</v>
      </c>
      <c r="E3441" s="10" t="s">
        <v>88</v>
      </c>
      <c r="F3441" s="8" t="str">
        <f aca="false">TEXT(A3441,"MM-YYYY")</f>
        <v>08-2025</v>
      </c>
      <c r="G3441" s="8"/>
      <c r="H3441" s="8"/>
      <c r="I3441" s="7"/>
      <c r="J3441" s="8" t="str">
        <f aca="false">VLOOKUP(B3441, Table3[#All], 2, FALSE())</f>
        <v>Sales</v>
      </c>
      <c r="K3441" s="8" t="str">
        <f aca="false">TEXT(ROW(), "0000")</f>
        <v>3441</v>
      </c>
      <c r="L3441" s="8"/>
    </row>
    <row r="3442" customFormat="false" ht="15.75" hidden="false" customHeight="true" outlineLevel="0" collapsed="false">
      <c r="A3442" s="7" t="n">
        <v>45896</v>
      </c>
      <c r="B3442" s="8" t="s">
        <v>214</v>
      </c>
      <c r="C3442" s="9" t="n">
        <v>1500</v>
      </c>
      <c r="D3442" s="8" t="s">
        <v>45</v>
      </c>
      <c r="E3442" s="10" t="s">
        <v>482</v>
      </c>
      <c r="F3442" s="8" t="str">
        <f aca="false">TEXT(A3442,"MM-YYYY")</f>
        <v>08-2025</v>
      </c>
      <c r="G3442" s="8" t="s">
        <v>14</v>
      </c>
      <c r="H3442" s="8"/>
      <c r="I3442" s="7"/>
      <c r="J3442" s="8" t="str">
        <f aca="false">VLOOKUP(B3442, Table3[#All], 2, FALSE())</f>
        <v>Maintenance</v>
      </c>
      <c r="K3442" s="8" t="str">
        <f aca="false">TEXT(ROW(), "0000")</f>
        <v>3442</v>
      </c>
      <c r="L3442" s="8"/>
    </row>
    <row r="3443" customFormat="false" ht="15.75" hidden="false" customHeight="true" outlineLevel="0" collapsed="false">
      <c r="A3443" s="7" t="n">
        <v>45897</v>
      </c>
      <c r="B3443" s="8" t="s">
        <v>19</v>
      </c>
      <c r="C3443" s="9" t="n">
        <v>1290</v>
      </c>
      <c r="D3443" s="8" t="s">
        <v>13</v>
      </c>
      <c r="E3443" s="10" t="s">
        <v>473</v>
      </c>
      <c r="F3443" s="8" t="str">
        <f aca="false">TEXT(A3443,"MM-YYYY")</f>
        <v>08-2025</v>
      </c>
      <c r="G3443" s="8" t="s">
        <v>14</v>
      </c>
      <c r="H3443" s="8" t="s">
        <v>13</v>
      </c>
      <c r="I3443" s="7" t="n">
        <v>45906</v>
      </c>
      <c r="J3443" s="8" t="str">
        <f aca="false">VLOOKUP(B3443, Table3[#All], 2, FALSE())</f>
        <v>Inventory</v>
      </c>
      <c r="K3443" s="8" t="str">
        <f aca="false">TEXT(ROW(), "0000")</f>
        <v>3443</v>
      </c>
      <c r="L3443" s="8"/>
    </row>
    <row r="3444" customFormat="false" ht="15.75" hidden="false" customHeight="true" outlineLevel="0" collapsed="false">
      <c r="A3444" s="7" t="n">
        <v>45897</v>
      </c>
      <c r="B3444" s="8" t="s">
        <v>25</v>
      </c>
      <c r="C3444" s="9" t="n">
        <v>740</v>
      </c>
      <c r="D3444" s="8" t="s">
        <v>13</v>
      </c>
      <c r="E3444" s="10" t="s">
        <v>92</v>
      </c>
      <c r="F3444" s="8" t="str">
        <f aca="false">TEXT(A3444,"MM-YYYY")</f>
        <v>08-2025</v>
      </c>
      <c r="G3444" s="8" t="s">
        <v>18</v>
      </c>
      <c r="H3444" s="8"/>
      <c r="I3444" s="7"/>
      <c r="J3444" s="8" t="str">
        <f aca="false">VLOOKUP(B3444, Table3[#All], 2, FALSE())</f>
        <v>Inventory</v>
      </c>
      <c r="K3444" s="8" t="str">
        <f aca="false">TEXT(ROW(), "0000")</f>
        <v>3444</v>
      </c>
      <c r="L3444" s="8"/>
    </row>
    <row r="3445" customFormat="false" ht="15.75" hidden="false" customHeight="true" outlineLevel="0" collapsed="false">
      <c r="A3445" s="7" t="n">
        <v>45897</v>
      </c>
      <c r="B3445" s="8" t="s">
        <v>37</v>
      </c>
      <c r="C3445" s="9" t="n">
        <v>10</v>
      </c>
      <c r="D3445" s="8" t="s">
        <v>13</v>
      </c>
      <c r="E3445" s="10" t="s">
        <v>453</v>
      </c>
      <c r="F3445" s="8" t="str">
        <f aca="false">TEXT(A3445,"MM-YYYY")</f>
        <v>08-2025</v>
      </c>
      <c r="G3445" s="8" t="s">
        <v>14</v>
      </c>
      <c r="H3445" s="8"/>
      <c r="I3445" s="7"/>
      <c r="J3445" s="8" t="str">
        <f aca="false">VLOOKUP(B3445, Table3[#All], 2, FALSE())</f>
        <v>Maintance</v>
      </c>
      <c r="K3445" s="8" t="str">
        <f aca="false">TEXT(ROW(), "0000")</f>
        <v>3445</v>
      </c>
      <c r="L3445" s="8"/>
    </row>
    <row r="3446" customFormat="false" ht="15.75" hidden="false" customHeight="true" outlineLevel="0" collapsed="false">
      <c r="A3446" s="7" t="n">
        <v>45897</v>
      </c>
      <c r="B3446" s="8" t="s">
        <v>43</v>
      </c>
      <c r="C3446" s="9" t="n">
        <v>325</v>
      </c>
      <c r="D3446" s="8" t="s">
        <v>45</v>
      </c>
      <c r="E3446" s="10" t="s">
        <v>476</v>
      </c>
      <c r="F3446" s="8" t="str">
        <f aca="false">TEXT(A3446,"MM-YYYY")</f>
        <v>08-2025</v>
      </c>
      <c r="G3446" s="8" t="s">
        <v>14</v>
      </c>
      <c r="H3446" s="8"/>
      <c r="I3446" s="7"/>
      <c r="J3446" s="8" t="str">
        <f aca="false">VLOOKUP(B3446, Table3[#All], 2, FALSE())</f>
        <v>Maintance</v>
      </c>
      <c r="K3446" s="8" t="str">
        <f aca="false">TEXT(ROW(), "0000")</f>
        <v>3446</v>
      </c>
      <c r="L3446" s="8"/>
    </row>
    <row r="3447" customFormat="false" ht="15.75" hidden="false" customHeight="true" outlineLevel="0" collapsed="false">
      <c r="A3447" s="7" t="n">
        <v>45897</v>
      </c>
      <c r="B3447" s="8" t="s">
        <v>44</v>
      </c>
      <c r="C3447" s="9" t="n">
        <v>1000</v>
      </c>
      <c r="D3447" s="8" t="s">
        <v>21</v>
      </c>
      <c r="E3447" s="10" t="s">
        <v>483</v>
      </c>
      <c r="F3447" s="8" t="str">
        <f aca="false">TEXT(A3447,"MM-YYYY")</f>
        <v>08-2025</v>
      </c>
      <c r="G3447" s="8" t="s">
        <v>14</v>
      </c>
      <c r="H3447" s="8"/>
      <c r="I3447" s="7"/>
      <c r="J3447" s="8" t="str">
        <f aca="false">VLOOKUP(B3447, Table3[#All], 2, FALSE())</f>
        <v>Salary</v>
      </c>
      <c r="K3447" s="8" t="str">
        <f aca="false">TEXT(ROW(), "0000")</f>
        <v>3447</v>
      </c>
      <c r="L3447" s="8"/>
    </row>
    <row r="3448" customFormat="false" ht="15.75" hidden="false" customHeight="true" outlineLevel="0" collapsed="false">
      <c r="A3448" s="7" t="n">
        <v>45874</v>
      </c>
      <c r="B3448" s="8" t="s">
        <v>16</v>
      </c>
      <c r="C3448" s="9" t="n">
        <v>599</v>
      </c>
      <c r="D3448" s="8" t="s">
        <v>33</v>
      </c>
      <c r="E3448" s="10" t="s">
        <v>88</v>
      </c>
      <c r="F3448" s="8" t="str">
        <f aca="false">TEXT(A3448,"MM-YYYY")</f>
        <v>08-2025</v>
      </c>
      <c r="G3448" s="8"/>
      <c r="H3448" s="8"/>
      <c r="I3448" s="7"/>
      <c r="J3448" s="8" t="str">
        <f aca="false">VLOOKUP(B3448, Table3[#All], 2, FALSE())</f>
        <v>Sales</v>
      </c>
      <c r="K3448" s="8" t="str">
        <f aca="false">TEXT(ROW(), "0000")</f>
        <v>3448</v>
      </c>
      <c r="L3448" s="8"/>
    </row>
    <row r="3449" customFormat="false" ht="15.75" hidden="false" customHeight="true" outlineLevel="0" collapsed="false">
      <c r="A3449" s="7" t="n">
        <v>45874</v>
      </c>
      <c r="B3449" s="8" t="s">
        <v>16</v>
      </c>
      <c r="C3449" s="9" t="n">
        <v>11235</v>
      </c>
      <c r="D3449" s="8" t="s">
        <v>17</v>
      </c>
      <c r="E3449" s="10" t="s">
        <v>88</v>
      </c>
      <c r="F3449" s="8" t="str">
        <f aca="false">TEXT(A3449,"MM-YYYY")</f>
        <v>08-2025</v>
      </c>
      <c r="G3449" s="8"/>
      <c r="H3449" s="8"/>
      <c r="I3449" s="7"/>
      <c r="J3449" s="8" t="str">
        <f aca="false">VLOOKUP(B3449, Table3[#All], 2, FALSE())</f>
        <v>Sales</v>
      </c>
      <c r="K3449" s="8" t="str">
        <f aca="false">TEXT(ROW(), "0000")</f>
        <v>3449</v>
      </c>
      <c r="L3449" s="8"/>
    </row>
    <row r="3450" customFormat="false" ht="15.75" hidden="false" customHeight="true" outlineLevel="0" collapsed="false">
      <c r="A3450" s="7" t="n">
        <v>45874</v>
      </c>
      <c r="B3450" s="8" t="s">
        <v>16</v>
      </c>
      <c r="C3450" s="9" t="n">
        <v>3035</v>
      </c>
      <c r="D3450" s="8" t="s">
        <v>21</v>
      </c>
      <c r="E3450" s="10" t="s">
        <v>88</v>
      </c>
      <c r="F3450" s="8" t="str">
        <f aca="false">TEXT(A3450,"MM-YYYY")</f>
        <v>08-2025</v>
      </c>
      <c r="G3450" s="8"/>
      <c r="H3450" s="8"/>
      <c r="I3450" s="7"/>
      <c r="J3450" s="8" t="str">
        <f aca="false">VLOOKUP(B3450, Table3[#All], 2, FALSE())</f>
        <v>Sales</v>
      </c>
      <c r="K3450" s="8" t="str">
        <f aca="false">TEXT(ROW(), "0000")</f>
        <v>3450</v>
      </c>
      <c r="L3450" s="8"/>
    </row>
    <row r="3451" customFormat="false" ht="15.75" hidden="false" customHeight="true" outlineLevel="0" collapsed="false">
      <c r="A3451" s="7" t="n">
        <v>45874</v>
      </c>
      <c r="B3451" s="8" t="s">
        <v>16</v>
      </c>
      <c r="C3451" s="9" t="n">
        <v>1099</v>
      </c>
      <c r="D3451" s="8" t="s">
        <v>24</v>
      </c>
      <c r="E3451" s="10" t="s">
        <v>101</v>
      </c>
      <c r="F3451" s="8" t="str">
        <f aca="false">TEXT(A3451,"MM-YYYY")</f>
        <v>08-2025</v>
      </c>
      <c r="G3451" s="8"/>
      <c r="H3451" s="8"/>
      <c r="I3451" s="7"/>
      <c r="J3451" s="8" t="str">
        <f aca="false">VLOOKUP(B3451, Table3[#All], 2, FALSE())</f>
        <v>Sales</v>
      </c>
      <c r="K3451" s="8" t="str">
        <f aca="false">TEXT(ROW(), "0000")</f>
        <v>3451</v>
      </c>
      <c r="L3451" s="8"/>
    </row>
    <row r="3452" customFormat="false" ht="15.75" hidden="false" customHeight="true" outlineLevel="0" collapsed="false">
      <c r="A3452" s="7" t="n">
        <v>45875</v>
      </c>
      <c r="B3452" s="8" t="s">
        <v>16</v>
      </c>
      <c r="C3452" s="9" t="n">
        <v>6155</v>
      </c>
      <c r="D3452" s="8" t="s">
        <v>17</v>
      </c>
      <c r="E3452" s="10" t="s">
        <v>101</v>
      </c>
      <c r="F3452" s="8" t="str">
        <f aca="false">TEXT(A3452,"MM-YYYY")</f>
        <v>08-2025</v>
      </c>
      <c r="G3452" s="8"/>
      <c r="H3452" s="8"/>
      <c r="I3452" s="7"/>
      <c r="J3452" s="8" t="str">
        <f aca="false">VLOOKUP(B3452, Table3[#All], 2, FALSE())</f>
        <v>Sales</v>
      </c>
      <c r="K3452" s="8" t="str">
        <f aca="false">TEXT(ROW(), "0000")</f>
        <v>3452</v>
      </c>
      <c r="L3452" s="8"/>
    </row>
    <row r="3453" customFormat="false" ht="15.75" hidden="false" customHeight="true" outlineLevel="0" collapsed="false">
      <c r="A3453" s="7" t="n">
        <v>45875</v>
      </c>
      <c r="B3453" s="8" t="s">
        <v>16</v>
      </c>
      <c r="C3453" s="9" t="n">
        <v>380</v>
      </c>
      <c r="D3453" s="8" t="s">
        <v>33</v>
      </c>
      <c r="E3453" s="10" t="s">
        <v>101</v>
      </c>
      <c r="F3453" s="8" t="str">
        <f aca="false">TEXT(A3453,"MM-YYYY")</f>
        <v>08-2025</v>
      </c>
      <c r="G3453" s="8"/>
      <c r="H3453" s="8"/>
      <c r="I3453" s="7"/>
      <c r="J3453" s="8" t="str">
        <f aca="false">VLOOKUP(B3453, Table3[#All], 2, FALSE())</f>
        <v>Sales</v>
      </c>
      <c r="K3453" s="8" t="str">
        <f aca="false">TEXT(ROW(), "0000")</f>
        <v>3453</v>
      </c>
      <c r="L3453" s="8"/>
    </row>
    <row r="3454" customFormat="false" ht="15.75" hidden="false" customHeight="true" outlineLevel="0" collapsed="false">
      <c r="A3454" s="7" t="n">
        <v>45875</v>
      </c>
      <c r="B3454" s="8" t="s">
        <v>16</v>
      </c>
      <c r="C3454" s="9" t="n">
        <v>430</v>
      </c>
      <c r="D3454" s="8" t="s">
        <v>27</v>
      </c>
      <c r="E3454" s="10" t="s">
        <v>101</v>
      </c>
      <c r="F3454" s="8" t="str">
        <f aca="false">TEXT(A3454,"MM-YYYY")</f>
        <v>08-2025</v>
      </c>
      <c r="G3454" s="8"/>
      <c r="H3454" s="8"/>
      <c r="I3454" s="7"/>
      <c r="J3454" s="8" t="str">
        <f aca="false">VLOOKUP(B3454, Table3[#All], 2, FALSE())</f>
        <v>Sales</v>
      </c>
      <c r="K3454" s="8" t="str">
        <f aca="false">TEXT(ROW(), "0000")</f>
        <v>3454</v>
      </c>
      <c r="L3454" s="8"/>
    </row>
    <row r="3455" customFormat="false" ht="15.75" hidden="false" customHeight="true" outlineLevel="0" collapsed="false">
      <c r="A3455" s="7" t="n">
        <v>45875</v>
      </c>
      <c r="B3455" s="8" t="s">
        <v>16</v>
      </c>
      <c r="C3455" s="9" t="n">
        <v>1894</v>
      </c>
      <c r="D3455" s="8" t="s">
        <v>24</v>
      </c>
      <c r="E3455" s="10" t="s">
        <v>88</v>
      </c>
      <c r="F3455" s="8" t="str">
        <f aca="false">TEXT(A3455,"MM-YYYY")</f>
        <v>08-2025</v>
      </c>
      <c r="G3455" s="8"/>
      <c r="H3455" s="8"/>
      <c r="I3455" s="7"/>
      <c r="J3455" s="8" t="str">
        <f aca="false">VLOOKUP(B3455, Table3[#All], 2, FALSE())</f>
        <v>Sales</v>
      </c>
      <c r="K3455" s="8" t="str">
        <f aca="false">TEXT(ROW(), "0000")</f>
        <v>3455</v>
      </c>
      <c r="L3455" s="8"/>
    </row>
    <row r="3456" customFormat="false" ht="15.75" hidden="false" customHeight="true" outlineLevel="0" collapsed="false">
      <c r="A3456" s="7" t="n">
        <v>45875</v>
      </c>
      <c r="B3456" s="8" t="s">
        <v>16</v>
      </c>
      <c r="C3456" s="9" t="n">
        <v>1825</v>
      </c>
      <c r="D3456" s="8" t="s">
        <v>21</v>
      </c>
      <c r="E3456" s="10" t="s">
        <v>88</v>
      </c>
      <c r="F3456" s="8" t="str">
        <f aca="false">TEXT(A3456,"MM-YYYY")</f>
        <v>08-2025</v>
      </c>
      <c r="G3456" s="8"/>
      <c r="H3456" s="8"/>
      <c r="I3456" s="7"/>
      <c r="J3456" s="8" t="str">
        <f aca="false">VLOOKUP(B3456, Table3[#All], 2, FALSE())</f>
        <v>Sales</v>
      </c>
      <c r="K3456" s="8" t="str">
        <f aca="false">TEXT(ROW(), "0000")</f>
        <v>3456</v>
      </c>
      <c r="L3456" s="8"/>
    </row>
    <row r="3457" customFormat="false" ht="15.75" hidden="false" customHeight="true" outlineLevel="0" collapsed="false">
      <c r="A3457" s="7" t="n">
        <v>45876</v>
      </c>
      <c r="B3457" s="8" t="s">
        <v>16</v>
      </c>
      <c r="C3457" s="9" t="n">
        <v>13908</v>
      </c>
      <c r="D3457" s="8" t="s">
        <v>17</v>
      </c>
      <c r="E3457" s="10" t="s">
        <v>88</v>
      </c>
      <c r="F3457" s="8" t="str">
        <f aca="false">TEXT(A3457,"MM-YYYY")</f>
        <v>08-2025</v>
      </c>
      <c r="G3457" s="8"/>
      <c r="H3457" s="8"/>
      <c r="I3457" s="7"/>
      <c r="J3457" s="8" t="str">
        <f aca="false">VLOOKUP(B3457, Table3[#All], 2, FALSE())</f>
        <v>Sales</v>
      </c>
      <c r="K3457" s="8" t="str">
        <f aca="false">TEXT(ROW(), "0000")</f>
        <v>3457</v>
      </c>
      <c r="L3457" s="8"/>
    </row>
    <row r="3458" customFormat="false" ht="15.75" hidden="false" customHeight="true" outlineLevel="0" collapsed="false">
      <c r="A3458" s="7" t="n">
        <v>45876</v>
      </c>
      <c r="B3458" s="8" t="s">
        <v>16</v>
      </c>
      <c r="C3458" s="9" t="n">
        <v>4147</v>
      </c>
      <c r="D3458" s="8" t="s">
        <v>21</v>
      </c>
      <c r="E3458" s="10" t="s">
        <v>88</v>
      </c>
      <c r="F3458" s="8" t="str">
        <f aca="false">TEXT(A3458,"MM-YYYY")</f>
        <v>08-2025</v>
      </c>
      <c r="G3458" s="8"/>
      <c r="H3458" s="8"/>
      <c r="I3458" s="7"/>
      <c r="J3458" s="8" t="str">
        <f aca="false">VLOOKUP(B3458, Table3[#All], 2, FALSE())</f>
        <v>Sales</v>
      </c>
      <c r="K3458" s="8" t="str">
        <f aca="false">TEXT(ROW(), "0000")</f>
        <v>3458</v>
      </c>
      <c r="L3458" s="8"/>
    </row>
    <row r="3459" customFormat="false" ht="15.75" hidden="false" customHeight="true" outlineLevel="0" collapsed="false">
      <c r="A3459" s="7" t="n">
        <v>45876</v>
      </c>
      <c r="B3459" s="8" t="s">
        <v>16</v>
      </c>
      <c r="C3459" s="9" t="n">
        <v>1040</v>
      </c>
      <c r="D3459" s="8" t="s">
        <v>33</v>
      </c>
      <c r="E3459" s="10" t="s">
        <v>88</v>
      </c>
      <c r="F3459" s="8" t="str">
        <f aca="false">TEXT(A3459,"MM-YYYY")</f>
        <v>08-2025</v>
      </c>
      <c r="G3459" s="8"/>
      <c r="H3459" s="8"/>
      <c r="I3459" s="7"/>
      <c r="J3459" s="8" t="str">
        <f aca="false">VLOOKUP(B3459, Table3[#All], 2, FALSE())</f>
        <v>Sales</v>
      </c>
      <c r="K3459" s="8" t="str">
        <f aca="false">TEXT(ROW(), "0000")</f>
        <v>3459</v>
      </c>
      <c r="L3459" s="8"/>
    </row>
    <row r="3460" customFormat="false" ht="15.75" hidden="false" customHeight="true" outlineLevel="0" collapsed="false">
      <c r="A3460" s="7" t="n">
        <v>45876</v>
      </c>
      <c r="B3460" s="8" t="s">
        <v>16</v>
      </c>
      <c r="C3460" s="9" t="n">
        <v>325</v>
      </c>
      <c r="D3460" s="8" t="s">
        <v>27</v>
      </c>
      <c r="E3460" s="10" t="s">
        <v>88</v>
      </c>
      <c r="F3460" s="8" t="str">
        <f aca="false">TEXT(A3460,"MM-YYYY")</f>
        <v>08-2025</v>
      </c>
      <c r="G3460" s="8"/>
      <c r="H3460" s="8"/>
      <c r="I3460" s="7"/>
      <c r="J3460" s="8" t="str">
        <f aca="false">VLOOKUP(B3460, Table3[#All], 2, FALSE())</f>
        <v>Sales</v>
      </c>
      <c r="K3460" s="8" t="str">
        <f aca="false">TEXT(ROW(), "0000")</f>
        <v>3460</v>
      </c>
      <c r="L3460" s="8"/>
    </row>
    <row r="3461" customFormat="false" ht="15.75" hidden="false" customHeight="true" outlineLevel="0" collapsed="false">
      <c r="A3461" s="7" t="n">
        <v>45876</v>
      </c>
      <c r="B3461" s="8" t="s">
        <v>16</v>
      </c>
      <c r="C3461" s="9" t="n">
        <v>3267</v>
      </c>
      <c r="D3461" s="8" t="s">
        <v>24</v>
      </c>
      <c r="E3461" s="10" t="s">
        <v>88</v>
      </c>
      <c r="F3461" s="8" t="str">
        <f aca="false">TEXT(A3461,"MM-YYYY")</f>
        <v>08-2025</v>
      </c>
      <c r="G3461" s="8"/>
      <c r="H3461" s="8"/>
      <c r="I3461" s="7"/>
      <c r="J3461" s="8" t="str">
        <f aca="false">VLOOKUP(B3461, Table3[#All], 2, FALSE())</f>
        <v>Sales</v>
      </c>
      <c r="K3461" s="8" t="str">
        <f aca="false">TEXT(ROW(), "0000")</f>
        <v>3461</v>
      </c>
      <c r="L3461" s="8"/>
    </row>
    <row r="3462" customFormat="false" ht="15.75" hidden="false" customHeight="true" outlineLevel="0" collapsed="false">
      <c r="A3462" s="7" t="n">
        <v>45897</v>
      </c>
      <c r="B3462" s="8" t="s">
        <v>16</v>
      </c>
      <c r="C3462" s="9" t="n">
        <v>2390</v>
      </c>
      <c r="D3462" s="8" t="s">
        <v>21</v>
      </c>
      <c r="E3462" s="10" t="s">
        <v>88</v>
      </c>
      <c r="F3462" s="8" t="str">
        <f aca="false">TEXT(A3462,"MM-YYYY")</f>
        <v>08-2025</v>
      </c>
      <c r="G3462" s="8"/>
      <c r="H3462" s="8"/>
      <c r="I3462" s="7"/>
      <c r="J3462" s="8" t="str">
        <f aca="false">VLOOKUP(B3462, Table3[#All], 2, FALSE())</f>
        <v>Sales</v>
      </c>
      <c r="K3462" s="8" t="str">
        <f aca="false">TEXT(ROW(), "0000")</f>
        <v>3462</v>
      </c>
      <c r="L3462" s="8"/>
    </row>
    <row r="3463" customFormat="false" ht="15.75" hidden="false" customHeight="true" outlineLevel="0" collapsed="false">
      <c r="A3463" s="7" t="n">
        <v>45897</v>
      </c>
      <c r="B3463" s="8" t="s">
        <v>16</v>
      </c>
      <c r="C3463" s="9" t="n">
        <v>5360</v>
      </c>
      <c r="D3463" s="8" t="s">
        <v>17</v>
      </c>
      <c r="E3463" s="10" t="s">
        <v>88</v>
      </c>
      <c r="F3463" s="8" t="str">
        <f aca="false">TEXT(A3463,"MM-YYYY")</f>
        <v>08-2025</v>
      </c>
      <c r="G3463" s="8"/>
      <c r="H3463" s="8"/>
      <c r="I3463" s="7"/>
      <c r="J3463" s="8" t="str">
        <f aca="false">VLOOKUP(B3463, Table3[#All], 2, FALSE())</f>
        <v>Sales</v>
      </c>
      <c r="K3463" s="8" t="str">
        <f aca="false">TEXT(ROW(), "0000")</f>
        <v>3463</v>
      </c>
      <c r="L3463" s="8"/>
    </row>
    <row r="3464" customFormat="false" ht="15.75" hidden="false" customHeight="true" outlineLevel="0" collapsed="false">
      <c r="A3464" s="7" t="n">
        <v>45897</v>
      </c>
      <c r="B3464" s="8" t="s">
        <v>16</v>
      </c>
      <c r="C3464" s="9" t="n">
        <v>1305</v>
      </c>
      <c r="D3464" s="8" t="s">
        <v>24</v>
      </c>
      <c r="E3464" s="10" t="s">
        <v>88</v>
      </c>
      <c r="F3464" s="8" t="str">
        <f aca="false">TEXT(A3464,"MM-YYYY")</f>
        <v>08-2025</v>
      </c>
      <c r="G3464" s="8"/>
      <c r="H3464" s="8"/>
      <c r="I3464" s="7"/>
      <c r="J3464" s="8" t="str">
        <f aca="false">VLOOKUP(B3464, Table3[#All], 2, FALSE())</f>
        <v>Sales</v>
      </c>
      <c r="K3464" s="8" t="str">
        <f aca="false">TEXT(ROW(), "0000")</f>
        <v>3464</v>
      </c>
      <c r="L3464" s="8"/>
    </row>
    <row r="3465" customFormat="false" ht="15.75" hidden="false" customHeight="true" outlineLevel="0" collapsed="false">
      <c r="A3465" s="7" t="n">
        <v>45882</v>
      </c>
      <c r="B3465" s="8" t="s">
        <v>16</v>
      </c>
      <c r="C3465" s="9" t="n">
        <v>1310</v>
      </c>
      <c r="D3465" s="8" t="s">
        <v>21</v>
      </c>
      <c r="E3465" s="10" t="s">
        <v>88</v>
      </c>
      <c r="F3465" s="8" t="str">
        <f aca="false">TEXT(A3465,"MM-YYYY")</f>
        <v>08-2025</v>
      </c>
      <c r="G3465" s="8"/>
      <c r="H3465" s="8"/>
      <c r="I3465" s="7"/>
      <c r="J3465" s="8" t="str">
        <f aca="false">VLOOKUP(B3465, Table3[#All], 2, FALSE())</f>
        <v>Sales</v>
      </c>
      <c r="K3465" s="8" t="str">
        <f aca="false">TEXT(ROW(), "0000")</f>
        <v>3465</v>
      </c>
      <c r="L3465" s="8"/>
    </row>
    <row r="3466" customFormat="false" ht="15.75" hidden="false" customHeight="true" outlineLevel="0" collapsed="false">
      <c r="A3466" s="7" t="n">
        <v>45882</v>
      </c>
      <c r="B3466" s="8" t="s">
        <v>16</v>
      </c>
      <c r="C3466" s="9" t="n">
        <v>8060</v>
      </c>
      <c r="D3466" s="8" t="s">
        <v>17</v>
      </c>
      <c r="E3466" s="10" t="s">
        <v>88</v>
      </c>
      <c r="F3466" s="8" t="str">
        <f aca="false">TEXT(A3466,"MM-YYYY")</f>
        <v>08-2025</v>
      </c>
      <c r="G3466" s="8"/>
      <c r="H3466" s="8"/>
      <c r="I3466" s="7"/>
      <c r="J3466" s="8" t="str">
        <f aca="false">VLOOKUP(B3466, Table3[#All], 2, FALSE())</f>
        <v>Sales</v>
      </c>
      <c r="K3466" s="8" t="str">
        <f aca="false">TEXT(ROW(), "0000")</f>
        <v>3466</v>
      </c>
      <c r="L3466" s="8"/>
    </row>
    <row r="3467" customFormat="false" ht="15.75" hidden="false" customHeight="true" outlineLevel="0" collapsed="false">
      <c r="A3467" s="7" t="n">
        <v>45882</v>
      </c>
      <c r="B3467" s="8" t="s">
        <v>16</v>
      </c>
      <c r="C3467" s="9" t="n">
        <v>320</v>
      </c>
      <c r="D3467" s="8" t="s">
        <v>27</v>
      </c>
      <c r="E3467" s="10" t="s">
        <v>88</v>
      </c>
      <c r="F3467" s="8" t="str">
        <f aca="false">TEXT(A3467,"MM-YYYY")</f>
        <v>08-2025</v>
      </c>
      <c r="G3467" s="8"/>
      <c r="H3467" s="8"/>
      <c r="I3467" s="7"/>
      <c r="J3467" s="8" t="str">
        <f aca="false">VLOOKUP(B3467, Table3[#All], 2, FALSE())</f>
        <v>Sales</v>
      </c>
      <c r="K3467" s="8" t="str">
        <f aca="false">TEXT(ROW(), "0000")</f>
        <v>3467</v>
      </c>
      <c r="L3467" s="8"/>
    </row>
    <row r="3468" customFormat="false" ht="15.75" hidden="false" customHeight="true" outlineLevel="0" collapsed="false">
      <c r="A3468" s="7" t="n">
        <v>45882</v>
      </c>
      <c r="B3468" s="8" t="s">
        <v>16</v>
      </c>
      <c r="C3468" s="9" t="n">
        <v>1055</v>
      </c>
      <c r="D3468" s="8" t="s">
        <v>24</v>
      </c>
      <c r="E3468" s="10" t="s">
        <v>88</v>
      </c>
      <c r="F3468" s="8" t="str">
        <f aca="false">TEXT(A3468,"MM-YYYY")</f>
        <v>08-2025</v>
      </c>
      <c r="G3468" s="8"/>
      <c r="H3468" s="8"/>
      <c r="I3468" s="7"/>
      <c r="J3468" s="8" t="str">
        <f aca="false">VLOOKUP(B3468, Table3[#All], 2, FALSE())</f>
        <v>Sales</v>
      </c>
      <c r="K3468" s="8" t="str">
        <f aca="false">TEXT(ROW(), "0000")</f>
        <v>3468</v>
      </c>
      <c r="L3468" s="8"/>
    </row>
    <row r="3469" customFormat="false" ht="15.75" hidden="false" customHeight="true" outlineLevel="0" collapsed="false">
      <c r="A3469" s="7" t="n">
        <v>45897</v>
      </c>
      <c r="B3469" s="8" t="s">
        <v>34</v>
      </c>
      <c r="C3469" s="9" t="n">
        <v>30</v>
      </c>
      <c r="D3469" s="8" t="s">
        <v>45</v>
      </c>
      <c r="E3469" s="10" t="s">
        <v>96</v>
      </c>
      <c r="F3469" s="8" t="str">
        <f aca="false">TEXT(A3469,"MM-YYYY")</f>
        <v>08-2025</v>
      </c>
      <c r="G3469" s="8" t="s">
        <v>14</v>
      </c>
      <c r="H3469" s="8" t="s">
        <v>262</v>
      </c>
      <c r="I3469" s="7" t="n">
        <v>45897</v>
      </c>
      <c r="J3469" s="8" t="str">
        <f aca="false">VLOOKUP(B3469, Table3[#All], 2, FALSE())</f>
        <v>Staff Expenses</v>
      </c>
      <c r="K3469" s="8" t="str">
        <f aca="false">TEXT(ROW(), "0000")</f>
        <v>3469</v>
      </c>
      <c r="L3469" s="8"/>
    </row>
    <row r="3470" customFormat="false" ht="15.75" hidden="false" customHeight="true" outlineLevel="0" collapsed="false">
      <c r="A3470" s="7" t="n">
        <v>45898</v>
      </c>
      <c r="B3470" s="8" t="s">
        <v>47</v>
      </c>
      <c r="C3470" s="9" t="n">
        <v>1800</v>
      </c>
      <c r="D3470" s="8" t="s">
        <v>13</v>
      </c>
      <c r="E3470" s="10" t="s">
        <v>484</v>
      </c>
      <c r="F3470" s="8" t="str">
        <f aca="false">TEXT(A3470,"MM-YYYY")</f>
        <v>08-2025</v>
      </c>
      <c r="G3470" s="8" t="s">
        <v>18</v>
      </c>
      <c r="H3470" s="8"/>
      <c r="I3470" s="7" t="n">
        <v>45897</v>
      </c>
      <c r="J3470" s="8" t="str">
        <f aca="false">VLOOKUP(B3470, Table3[#All], 2, FALSE())</f>
        <v>Inventory</v>
      </c>
      <c r="K3470" s="8" t="str">
        <f aca="false">TEXT(ROW(), "0000")</f>
        <v>3470</v>
      </c>
      <c r="L3470" s="8"/>
    </row>
    <row r="3471" customFormat="false" ht="15.75" hidden="false" customHeight="true" outlineLevel="0" collapsed="false">
      <c r="A3471" s="7" t="n">
        <v>45891</v>
      </c>
      <c r="B3471" s="8" t="s">
        <v>56</v>
      </c>
      <c r="C3471" s="9" t="n">
        <v>450</v>
      </c>
      <c r="D3471" s="8" t="s">
        <v>13</v>
      </c>
      <c r="E3471" s="10" t="s">
        <v>485</v>
      </c>
      <c r="F3471" s="8" t="str">
        <f aca="false">TEXT(A3471,"MM-YYYY")</f>
        <v>08-2025</v>
      </c>
      <c r="G3471" s="8" t="s">
        <v>14</v>
      </c>
      <c r="H3471" s="8" t="s">
        <v>262</v>
      </c>
      <c r="I3471" s="7" t="n">
        <v>45891</v>
      </c>
      <c r="J3471" s="8" t="str">
        <f aca="false">VLOOKUP(B3471, Table3[#All], 2, FALSE())</f>
        <v>New Inventory</v>
      </c>
      <c r="K3471" s="8" t="str">
        <f aca="false">TEXT(ROW(), "0000")</f>
        <v>3471</v>
      </c>
      <c r="L3471" s="8"/>
    </row>
    <row r="3472" customFormat="false" ht="15.75" hidden="false" customHeight="true" outlineLevel="0" collapsed="false">
      <c r="A3472" s="7" t="n">
        <v>45898</v>
      </c>
      <c r="B3472" s="8" t="s">
        <v>25</v>
      </c>
      <c r="C3472" s="9" t="n">
        <v>665</v>
      </c>
      <c r="D3472" s="8" t="s">
        <v>13</v>
      </c>
      <c r="E3472" s="10" t="s">
        <v>92</v>
      </c>
      <c r="F3472" s="8" t="str">
        <f aca="false">TEXT(A3472,"MM-YYYY")</f>
        <v>08-2025</v>
      </c>
      <c r="G3472" s="8" t="s">
        <v>18</v>
      </c>
      <c r="H3472" s="8"/>
      <c r="I3472" s="7"/>
      <c r="J3472" s="8" t="str">
        <f aca="false">VLOOKUP(B3472, Table3[#All], 2, FALSE())</f>
        <v>Inventory</v>
      </c>
      <c r="K3472" s="8" t="str">
        <f aca="false">TEXT(ROW(), "0000")</f>
        <v>3472</v>
      </c>
      <c r="L3472" s="8"/>
    </row>
    <row r="3473" customFormat="false" ht="15.75" hidden="false" customHeight="true" outlineLevel="0" collapsed="false">
      <c r="A3473" s="7" t="n">
        <v>45898</v>
      </c>
      <c r="B3473" s="8" t="s">
        <v>29</v>
      </c>
      <c r="C3473" s="9" t="n">
        <v>336</v>
      </c>
      <c r="D3473" s="8" t="s">
        <v>13</v>
      </c>
      <c r="E3473" s="10" t="s">
        <v>478</v>
      </c>
      <c r="F3473" s="8" t="str">
        <f aca="false">TEXT(A3473,"MM-YYYY")</f>
        <v>08-2025</v>
      </c>
      <c r="G3473" s="8" t="s">
        <v>18</v>
      </c>
      <c r="H3473" s="8"/>
      <c r="I3473" s="7"/>
      <c r="J3473" s="8" t="str">
        <f aca="false">VLOOKUP(B3473, Table3[#All], 2, FALSE())</f>
        <v>Inventory</v>
      </c>
      <c r="K3473" s="8" t="str">
        <f aca="false">TEXT(ROW(), "0000")</f>
        <v>3473</v>
      </c>
      <c r="L3473" s="8"/>
    </row>
    <row r="3474" customFormat="false" ht="15.75" hidden="false" customHeight="true" outlineLevel="0" collapsed="false">
      <c r="A3474" s="7" t="n">
        <v>45898</v>
      </c>
      <c r="B3474" s="8" t="s">
        <v>19</v>
      </c>
      <c r="C3474" s="9" t="n">
        <v>2691</v>
      </c>
      <c r="D3474" s="8" t="s">
        <v>13</v>
      </c>
      <c r="E3474" s="10" t="s">
        <v>473</v>
      </c>
      <c r="F3474" s="8" t="str">
        <f aca="false">TEXT(A3474,"MM-YYYY")</f>
        <v>08-2025</v>
      </c>
      <c r="G3474" s="8" t="s">
        <v>14</v>
      </c>
      <c r="H3474" s="8" t="s">
        <v>13</v>
      </c>
      <c r="I3474" s="7" t="n">
        <v>45906</v>
      </c>
      <c r="J3474" s="8" t="str">
        <f aca="false">VLOOKUP(B3474, Table3[#All], 2, FALSE())</f>
        <v>Inventory</v>
      </c>
      <c r="K3474" s="8" t="str">
        <f aca="false">TEXT(ROW(), "0000")</f>
        <v>3474</v>
      </c>
      <c r="L3474" s="8"/>
    </row>
    <row r="3475" customFormat="false" ht="15.75" hidden="false" customHeight="true" outlineLevel="0" collapsed="false">
      <c r="A3475" s="7" t="n">
        <v>45898</v>
      </c>
      <c r="B3475" s="8" t="s">
        <v>37</v>
      </c>
      <c r="C3475" s="9" t="n">
        <v>10</v>
      </c>
      <c r="D3475" s="8" t="s">
        <v>21</v>
      </c>
      <c r="E3475" s="10" t="s">
        <v>453</v>
      </c>
      <c r="F3475" s="8" t="str">
        <f aca="false">TEXT(A3475,"MM-YYYY")</f>
        <v>08-2025</v>
      </c>
      <c r="G3475" s="8" t="s">
        <v>14</v>
      </c>
      <c r="H3475" s="8"/>
      <c r="I3475" s="7"/>
      <c r="J3475" s="8" t="str">
        <f aca="false">VLOOKUP(B3475, Table3[#All], 2, FALSE())</f>
        <v>Maintance</v>
      </c>
      <c r="K3475" s="8" t="str">
        <f aca="false">TEXT(ROW(), "0000")</f>
        <v>3475</v>
      </c>
      <c r="L3475" s="8"/>
    </row>
    <row r="3476" customFormat="false" ht="15.75" hidden="false" customHeight="true" outlineLevel="0" collapsed="false">
      <c r="A3476" s="7" t="n">
        <v>45898</v>
      </c>
      <c r="B3476" s="8" t="s">
        <v>51</v>
      </c>
      <c r="C3476" s="9" t="n">
        <v>11000</v>
      </c>
      <c r="D3476" s="8" t="s">
        <v>13</v>
      </c>
      <c r="E3476" s="10" t="s">
        <v>486</v>
      </c>
      <c r="F3476" s="8" t="str">
        <f aca="false">TEXT(A3476,"MM-YYYY")</f>
        <v>08-2025</v>
      </c>
      <c r="G3476" s="8" t="s">
        <v>18</v>
      </c>
      <c r="H3476" s="8"/>
      <c r="I3476" s="7"/>
      <c r="J3476" s="8" t="str">
        <f aca="false">VLOOKUP(B3476, Table3[#All], 2, FALSE())</f>
        <v>Inventory</v>
      </c>
      <c r="K3476" s="8" t="str">
        <f aca="false">TEXT(ROW(), "0000")</f>
        <v>3476</v>
      </c>
      <c r="L3476" s="8"/>
    </row>
    <row r="3477" customFormat="false" ht="15.75" hidden="false" customHeight="true" outlineLevel="0" collapsed="false">
      <c r="A3477" s="7" t="n">
        <v>45898</v>
      </c>
      <c r="B3477" s="8" t="s">
        <v>43</v>
      </c>
      <c r="C3477" s="9" t="n">
        <v>160</v>
      </c>
      <c r="D3477" s="8" t="s">
        <v>45</v>
      </c>
      <c r="E3477" s="10" t="s">
        <v>487</v>
      </c>
      <c r="F3477" s="8" t="str">
        <f aca="false">TEXT(A3477,"MM-YYYY")</f>
        <v>08-2025</v>
      </c>
      <c r="G3477" s="8" t="s">
        <v>14</v>
      </c>
      <c r="H3477" s="8"/>
      <c r="I3477" s="7"/>
      <c r="J3477" s="8" t="str">
        <f aca="false">VLOOKUP(B3477, Table3[#All], 2, FALSE())</f>
        <v>Maintance</v>
      </c>
      <c r="K3477" s="8" t="str">
        <f aca="false">TEXT(ROW(), "0000")</f>
        <v>3477</v>
      </c>
      <c r="L3477" s="8"/>
    </row>
    <row r="3478" customFormat="false" ht="15.75" hidden="false" customHeight="true" outlineLevel="0" collapsed="false">
      <c r="A3478" s="7" t="n">
        <v>45873</v>
      </c>
      <c r="B3478" s="8" t="s">
        <v>199</v>
      </c>
      <c r="C3478" s="9" t="n">
        <v>1500</v>
      </c>
      <c r="D3478" s="8" t="s">
        <v>13</v>
      </c>
      <c r="E3478" s="10" t="s">
        <v>352</v>
      </c>
      <c r="F3478" s="8" t="str">
        <f aca="false">TEXT(A3478,"MM-YYYY")</f>
        <v>08-2025</v>
      </c>
      <c r="G3478" s="8" t="s">
        <v>14</v>
      </c>
      <c r="H3478" s="8" t="s">
        <v>13</v>
      </c>
      <c r="I3478" s="7" t="n">
        <v>45873</v>
      </c>
      <c r="J3478" s="8" t="str">
        <f aca="false">VLOOKUP(B3478, Table3[#All], 2, FALSE())</f>
        <v>Fixed Maintance</v>
      </c>
      <c r="K3478" s="8" t="str">
        <f aca="false">TEXT(ROW(), "0000")</f>
        <v>3478</v>
      </c>
      <c r="L3478" s="8"/>
    </row>
    <row r="3479" customFormat="false" ht="15.75" hidden="false" customHeight="true" outlineLevel="0" collapsed="false">
      <c r="A3479" s="7" t="n">
        <v>45897</v>
      </c>
      <c r="B3479" s="8" t="s">
        <v>118</v>
      </c>
      <c r="C3479" s="9" t="n">
        <v>9326</v>
      </c>
      <c r="D3479" s="8" t="s">
        <v>45</v>
      </c>
      <c r="E3479" s="10" t="s">
        <v>447</v>
      </c>
      <c r="F3479" s="8" t="str">
        <f aca="false">TEXT(A3479,"MM-YYYY")</f>
        <v>08-2025</v>
      </c>
      <c r="G3479" s="8" t="s">
        <v>14</v>
      </c>
      <c r="H3479" s="8" t="s">
        <v>262</v>
      </c>
      <c r="I3479" s="7"/>
      <c r="J3479" s="8" t="str">
        <f aca="false">VLOOKUP(B3479, Table3[#All], 2, FALSE())</f>
        <v>Shortage</v>
      </c>
      <c r="K3479" s="8" t="str">
        <f aca="false">TEXT(ROW(), "0000")</f>
        <v>3479</v>
      </c>
      <c r="L3479" s="8"/>
    </row>
    <row r="3480" customFormat="false" ht="15.75" hidden="false" customHeight="true" outlineLevel="0" collapsed="false">
      <c r="A3480" s="7" t="n">
        <v>45898</v>
      </c>
      <c r="B3480" s="8" t="s">
        <v>29</v>
      </c>
      <c r="C3480" s="9" t="n">
        <v>600</v>
      </c>
      <c r="D3480" s="25" t="s">
        <v>45</v>
      </c>
      <c r="E3480" s="10" t="s">
        <v>78</v>
      </c>
      <c r="F3480" s="8" t="str">
        <f aca="false">TEXT(A3480,"MM-YYYY")</f>
        <v>08-2025</v>
      </c>
      <c r="G3480" s="8" t="s">
        <v>14</v>
      </c>
      <c r="H3480" s="8" t="s">
        <v>262</v>
      </c>
      <c r="I3480" s="7" t="n">
        <v>45898</v>
      </c>
      <c r="J3480" s="8" t="str">
        <f aca="false">VLOOKUP(B3480, Table3[#All], 2, FALSE())</f>
        <v>Inventory</v>
      </c>
      <c r="K3480" s="8" t="str">
        <f aca="false">TEXT(ROW(), "0000")</f>
        <v>3480</v>
      </c>
      <c r="L3480" s="8"/>
    </row>
    <row r="3481" customFormat="false" ht="15.75" hidden="false" customHeight="true" outlineLevel="0" collapsed="false">
      <c r="A3481" s="7" t="n">
        <v>45898</v>
      </c>
      <c r="B3481" s="8" t="s">
        <v>16</v>
      </c>
      <c r="C3481" s="26" t="n">
        <v>1935</v>
      </c>
      <c r="D3481" s="25" t="s">
        <v>21</v>
      </c>
      <c r="E3481" s="10" t="s">
        <v>88</v>
      </c>
      <c r="F3481" s="8" t="str">
        <f aca="false">TEXT(A3481,"MM-YYYY")</f>
        <v>08-2025</v>
      </c>
      <c r="G3481" s="8"/>
      <c r="H3481" s="8"/>
      <c r="I3481" s="7"/>
      <c r="J3481" s="8" t="str">
        <f aca="false">VLOOKUP(B3481, Table3[#All], 2, FALSE())</f>
        <v>Sales</v>
      </c>
      <c r="K3481" s="8" t="str">
        <f aca="false">TEXT(ROW(), "0000")</f>
        <v>3481</v>
      </c>
      <c r="L3481" s="8"/>
    </row>
    <row r="3482" customFormat="false" ht="15.75" hidden="false" customHeight="true" outlineLevel="0" collapsed="false">
      <c r="A3482" s="7" t="n">
        <v>45898</v>
      </c>
      <c r="B3482" s="8" t="s">
        <v>16</v>
      </c>
      <c r="C3482" s="9" t="n">
        <v>860</v>
      </c>
      <c r="D3482" s="8" t="s">
        <v>33</v>
      </c>
      <c r="E3482" s="10" t="s">
        <v>88</v>
      </c>
      <c r="F3482" s="8" t="str">
        <f aca="false">TEXT(A3482,"MM-YYYY")</f>
        <v>08-2025</v>
      </c>
      <c r="G3482" s="8"/>
      <c r="H3482" s="8"/>
      <c r="I3482" s="7"/>
      <c r="J3482" s="8" t="str">
        <f aca="false">VLOOKUP(B3482, Table3[#All], 2, FALSE())</f>
        <v>Sales</v>
      </c>
      <c r="K3482" s="8" t="str">
        <f aca="false">TEXT(ROW(), "0000")</f>
        <v>3482</v>
      </c>
      <c r="L3482" s="8"/>
    </row>
    <row r="3483" customFormat="false" ht="15.75" hidden="false" customHeight="true" outlineLevel="0" collapsed="false">
      <c r="A3483" s="7" t="n">
        <v>45898</v>
      </c>
      <c r="B3483" s="8" t="s">
        <v>16</v>
      </c>
      <c r="C3483" s="9" t="n">
        <v>13815</v>
      </c>
      <c r="D3483" s="8" t="s">
        <v>17</v>
      </c>
      <c r="E3483" s="10" t="s">
        <v>88</v>
      </c>
      <c r="F3483" s="8" t="str">
        <f aca="false">TEXT(A3483,"MM-YYYY")</f>
        <v>08-2025</v>
      </c>
      <c r="G3483" s="8"/>
      <c r="H3483" s="8"/>
      <c r="I3483" s="7"/>
      <c r="J3483" s="8" t="str">
        <f aca="false">VLOOKUP(B3483, Table3[#All], 2, FALSE())</f>
        <v>Sales</v>
      </c>
      <c r="K3483" s="8" t="str">
        <f aca="false">TEXT(ROW(), "0000")</f>
        <v>3483</v>
      </c>
      <c r="L3483" s="8"/>
    </row>
    <row r="3484" customFormat="false" ht="15.75" hidden="false" customHeight="true" outlineLevel="0" collapsed="false">
      <c r="A3484" s="7" t="n">
        <v>45898</v>
      </c>
      <c r="B3484" s="8" t="s">
        <v>16</v>
      </c>
      <c r="C3484" s="9" t="n">
        <v>1040</v>
      </c>
      <c r="D3484" s="8" t="s">
        <v>59</v>
      </c>
      <c r="E3484" s="10" t="s">
        <v>88</v>
      </c>
      <c r="F3484" s="8" t="str">
        <f aca="false">TEXT(A3484,"MM-YYYY")</f>
        <v>08-2025</v>
      </c>
      <c r="G3484" s="8"/>
      <c r="H3484" s="8"/>
      <c r="I3484" s="7"/>
      <c r="J3484" s="8" t="str">
        <f aca="false">VLOOKUP(B3484, Table3[#All], 2, FALSE())</f>
        <v>Sales</v>
      </c>
      <c r="K3484" s="8" t="str">
        <f aca="false">TEXT(ROW(), "0000")</f>
        <v>3484</v>
      </c>
      <c r="L3484" s="8"/>
    </row>
    <row r="3485" customFormat="false" ht="15.75" hidden="false" customHeight="true" outlineLevel="0" collapsed="false">
      <c r="A3485" s="7" t="n">
        <v>45898</v>
      </c>
      <c r="B3485" s="8" t="s">
        <v>16</v>
      </c>
      <c r="C3485" s="9" t="n">
        <v>993</v>
      </c>
      <c r="D3485" s="8" t="s">
        <v>24</v>
      </c>
      <c r="E3485" s="10" t="s">
        <v>88</v>
      </c>
      <c r="F3485" s="8" t="str">
        <f aca="false">TEXT(A3485,"MM-YYYY")</f>
        <v>08-2025</v>
      </c>
      <c r="G3485" s="8"/>
      <c r="H3485" s="8"/>
      <c r="I3485" s="7"/>
      <c r="J3485" s="8" t="str">
        <f aca="false">VLOOKUP(B3485, Table3[#All], 2, FALSE())</f>
        <v>Sales</v>
      </c>
      <c r="K3485" s="8" t="str">
        <f aca="false">TEXT(ROW(), "0000")</f>
        <v>3485</v>
      </c>
      <c r="L3485" s="8"/>
    </row>
    <row r="3486" customFormat="false" ht="15.75" hidden="false" customHeight="true" outlineLevel="0" collapsed="false">
      <c r="A3486" s="7" t="n">
        <v>45899</v>
      </c>
      <c r="B3486" s="8" t="s">
        <v>19</v>
      </c>
      <c r="C3486" s="9" t="n">
        <v>2566</v>
      </c>
      <c r="D3486" s="8" t="s">
        <v>13</v>
      </c>
      <c r="E3486" s="10" t="s">
        <v>473</v>
      </c>
      <c r="F3486" s="8" t="str">
        <f aca="false">TEXT(A3486,"MM-YYYY")</f>
        <v>08-2025</v>
      </c>
      <c r="G3486" s="8" t="s">
        <v>14</v>
      </c>
      <c r="H3486" s="8"/>
      <c r="I3486" s="7"/>
      <c r="J3486" s="8" t="str">
        <f aca="false">VLOOKUP(B3486, Table3[#All], 2, FALSE())</f>
        <v>Inventory</v>
      </c>
      <c r="K3486" s="8" t="str">
        <f aca="false">TEXT(ROW(), "0000")</f>
        <v>3486</v>
      </c>
      <c r="L3486" s="8"/>
    </row>
    <row r="3487" customFormat="false" ht="15.75" hidden="false" customHeight="true" outlineLevel="0" collapsed="false">
      <c r="A3487" s="7" t="n">
        <v>45899</v>
      </c>
      <c r="B3487" s="8" t="s">
        <v>53</v>
      </c>
      <c r="C3487" s="9" t="n">
        <v>1170</v>
      </c>
      <c r="D3487" s="8" t="s">
        <v>45</v>
      </c>
      <c r="E3487" s="10" t="s">
        <v>458</v>
      </c>
      <c r="F3487" s="8" t="str">
        <f aca="false">TEXT(A3487,"MM-YYYY")</f>
        <v>08-2025</v>
      </c>
      <c r="G3487" s="8" t="s">
        <v>14</v>
      </c>
      <c r="H3487" s="8" t="s">
        <v>262</v>
      </c>
      <c r="I3487" s="7" t="n">
        <v>45899</v>
      </c>
      <c r="J3487" s="8" t="str">
        <f aca="false">VLOOKUP(B3487, Table3[#All], 2, FALSE())</f>
        <v>Grocery</v>
      </c>
      <c r="K3487" s="8" t="str">
        <f aca="false">TEXT(ROW(), "0000")</f>
        <v>3487</v>
      </c>
      <c r="L3487" s="8"/>
    </row>
    <row r="3488" customFormat="false" ht="15.75" hidden="false" customHeight="true" outlineLevel="0" collapsed="false">
      <c r="A3488" s="7" t="n">
        <v>45899</v>
      </c>
      <c r="B3488" s="8" t="s">
        <v>29</v>
      </c>
      <c r="C3488" s="9" t="n">
        <v>20</v>
      </c>
      <c r="D3488" s="8" t="s">
        <v>21</v>
      </c>
      <c r="E3488" s="10" t="s">
        <v>65</v>
      </c>
      <c r="F3488" s="8" t="str">
        <f aca="false">TEXT(A3488,"MM-YYYY")</f>
        <v>08-2025</v>
      </c>
      <c r="G3488" s="8" t="s">
        <v>14</v>
      </c>
      <c r="H3488" s="8" t="s">
        <v>262</v>
      </c>
      <c r="I3488" s="7"/>
      <c r="J3488" s="8" t="str">
        <f aca="false">VLOOKUP(B3488, Table3[#All], 2, FALSE())</f>
        <v>Inventory</v>
      </c>
      <c r="K3488" s="8" t="str">
        <f aca="false">TEXT(ROW(), "0000")</f>
        <v>3488</v>
      </c>
      <c r="L3488" s="8"/>
    </row>
    <row r="3489" customFormat="false" ht="15.75" hidden="false" customHeight="true" outlineLevel="0" collapsed="false">
      <c r="A3489" s="7" t="n">
        <v>45899</v>
      </c>
      <c r="B3489" s="8" t="s">
        <v>29</v>
      </c>
      <c r="C3489" s="9" t="n">
        <v>200</v>
      </c>
      <c r="D3489" s="8" t="s">
        <v>45</v>
      </c>
      <c r="E3489" s="10" t="s">
        <v>488</v>
      </c>
      <c r="F3489" s="8" t="str">
        <f aca="false">TEXT(A3489,"MM-YYYY")</f>
        <v>08-2025</v>
      </c>
      <c r="G3489" s="8" t="s">
        <v>14</v>
      </c>
      <c r="H3489" s="8" t="s">
        <v>262</v>
      </c>
      <c r="I3489" s="7"/>
      <c r="J3489" s="8" t="str">
        <f aca="false">VLOOKUP(B3489, Table3[#All], 2, FALSE())</f>
        <v>Inventory</v>
      </c>
      <c r="K3489" s="8" t="str">
        <f aca="false">TEXT(ROW(), "0000")</f>
        <v>3489</v>
      </c>
      <c r="L3489" s="8"/>
    </row>
    <row r="3490" customFormat="false" ht="15.75" hidden="false" customHeight="true" outlineLevel="0" collapsed="false">
      <c r="A3490" s="7" t="n">
        <v>45899</v>
      </c>
      <c r="B3490" s="8" t="s">
        <v>37</v>
      </c>
      <c r="C3490" s="9" t="n">
        <v>20</v>
      </c>
      <c r="D3490" s="8" t="s">
        <v>21</v>
      </c>
      <c r="E3490" s="10" t="s">
        <v>453</v>
      </c>
      <c r="F3490" s="8" t="str">
        <f aca="false">TEXT(A3490,"MM-YYYY")</f>
        <v>08-2025</v>
      </c>
      <c r="G3490" s="8" t="s">
        <v>14</v>
      </c>
      <c r="H3490" s="8" t="s">
        <v>232</v>
      </c>
      <c r="I3490" s="7"/>
      <c r="J3490" s="8" t="str">
        <f aca="false">VLOOKUP(B3490, Table3[#All], 2, FALSE())</f>
        <v>Maintance</v>
      </c>
      <c r="K3490" s="8" t="str">
        <f aca="false">TEXT(ROW(), "0000")</f>
        <v>3490</v>
      </c>
      <c r="L3490" s="8"/>
    </row>
    <row r="3491" customFormat="false" ht="15.75" hidden="false" customHeight="true" outlineLevel="0" collapsed="false">
      <c r="A3491" s="7" t="n">
        <v>45899</v>
      </c>
      <c r="B3491" s="8" t="s">
        <v>32</v>
      </c>
      <c r="C3491" s="9" t="n">
        <v>520</v>
      </c>
      <c r="D3491" s="8" t="s">
        <v>45</v>
      </c>
      <c r="E3491" s="10" t="s">
        <v>450</v>
      </c>
      <c r="F3491" s="8" t="str">
        <f aca="false">TEXT(A3491,"MM-YYYY")</f>
        <v>08-2025</v>
      </c>
      <c r="G3491" s="8" t="s">
        <v>14</v>
      </c>
      <c r="H3491" s="8" t="s">
        <v>232</v>
      </c>
      <c r="I3491" s="7"/>
      <c r="J3491" s="8" t="str">
        <f aca="false">VLOOKUP(B3491, Table3[#All], 2, FALSE())</f>
        <v>Grocery</v>
      </c>
      <c r="K3491" s="8" t="str">
        <f aca="false">TEXT(ROW(), "0000")</f>
        <v>3491</v>
      </c>
      <c r="L3491" s="8"/>
    </row>
    <row r="3492" customFormat="false" ht="15.75" hidden="false" customHeight="true" outlineLevel="0" collapsed="false">
      <c r="A3492" s="7" t="n">
        <v>45899</v>
      </c>
      <c r="B3492" s="8" t="s">
        <v>31</v>
      </c>
      <c r="C3492" s="9" t="n">
        <v>300</v>
      </c>
      <c r="D3492" s="8" t="s">
        <v>45</v>
      </c>
      <c r="E3492" s="10" t="s">
        <v>489</v>
      </c>
      <c r="F3492" s="8" t="str">
        <f aca="false">TEXT(A3492,"MM-YYYY")</f>
        <v>08-2025</v>
      </c>
      <c r="G3492" s="8" t="s">
        <v>14</v>
      </c>
      <c r="H3492" s="8" t="s">
        <v>262</v>
      </c>
      <c r="I3492" s="7"/>
      <c r="J3492" s="8" t="str">
        <f aca="false">VLOOKUP(B3492, Table3[#All], 2, FALSE())</f>
        <v>Bike Maintance</v>
      </c>
      <c r="K3492" s="8" t="str">
        <f aca="false">TEXT(ROW(), "0000")</f>
        <v>3492</v>
      </c>
      <c r="L3492" s="8"/>
    </row>
    <row r="3493" customFormat="false" ht="15.75" hidden="false" customHeight="true" outlineLevel="0" collapsed="false">
      <c r="A3493" s="7" t="n">
        <v>45899</v>
      </c>
      <c r="B3493" s="8" t="s">
        <v>16</v>
      </c>
      <c r="C3493" s="9" t="n">
        <v>1470</v>
      </c>
      <c r="D3493" s="8" t="s">
        <v>21</v>
      </c>
      <c r="E3493" s="10" t="s">
        <v>88</v>
      </c>
      <c r="F3493" s="8" t="str">
        <f aca="false">TEXT(A3493,"MM-YYYY")</f>
        <v>08-2025</v>
      </c>
      <c r="G3493" s="8"/>
      <c r="H3493" s="8"/>
      <c r="I3493" s="7"/>
      <c r="J3493" s="8" t="str">
        <f aca="false">VLOOKUP(B3493, Table3[#All], 2, FALSE())</f>
        <v>Sales</v>
      </c>
      <c r="K3493" s="8" t="str">
        <f aca="false">TEXT(ROW(), "0000")</f>
        <v>3493</v>
      </c>
      <c r="L3493" s="8"/>
    </row>
    <row r="3494" customFormat="false" ht="15.75" hidden="false" customHeight="true" outlineLevel="0" collapsed="false">
      <c r="A3494" s="7" t="n">
        <v>45899</v>
      </c>
      <c r="B3494" s="8" t="s">
        <v>16</v>
      </c>
      <c r="C3494" s="9" t="n">
        <v>735</v>
      </c>
      <c r="D3494" s="8" t="s">
        <v>27</v>
      </c>
      <c r="E3494" s="10" t="s">
        <v>88</v>
      </c>
      <c r="F3494" s="8" t="str">
        <f aca="false">TEXT(A3494,"MM-YYYY")</f>
        <v>08-2025</v>
      </c>
      <c r="G3494" s="8"/>
      <c r="H3494" s="8"/>
      <c r="I3494" s="7"/>
      <c r="J3494" s="8" t="str">
        <f aca="false">VLOOKUP(B3494, Table3[#All], 2, FALSE())</f>
        <v>Sales</v>
      </c>
      <c r="K3494" s="8" t="str">
        <f aca="false">TEXT(ROW(), "0000")</f>
        <v>3494</v>
      </c>
      <c r="L3494" s="8"/>
    </row>
    <row r="3495" customFormat="false" ht="15.75" hidden="false" customHeight="true" outlineLevel="0" collapsed="false">
      <c r="A3495" s="7" t="n">
        <v>45899</v>
      </c>
      <c r="B3495" s="8" t="s">
        <v>16</v>
      </c>
      <c r="C3495" s="9" t="n">
        <v>930</v>
      </c>
      <c r="D3495" s="8" t="s">
        <v>33</v>
      </c>
      <c r="E3495" s="10" t="s">
        <v>88</v>
      </c>
      <c r="F3495" s="8" t="str">
        <f aca="false">TEXT(A3495,"MM-YYYY")</f>
        <v>08-2025</v>
      </c>
      <c r="G3495" s="8"/>
      <c r="H3495" s="8"/>
      <c r="I3495" s="7"/>
      <c r="J3495" s="8" t="str">
        <f aca="false">VLOOKUP(B3495, Table3[#All], 2, FALSE())</f>
        <v>Sales</v>
      </c>
      <c r="K3495" s="8" t="str">
        <f aca="false">TEXT(ROW(), "0000")</f>
        <v>3495</v>
      </c>
      <c r="L3495" s="8"/>
    </row>
    <row r="3496" customFormat="false" ht="15.75" hidden="false" customHeight="true" outlineLevel="0" collapsed="false">
      <c r="A3496" s="7" t="n">
        <v>45899</v>
      </c>
      <c r="B3496" s="8" t="s">
        <v>16</v>
      </c>
      <c r="C3496" s="9" t="n">
        <v>13068</v>
      </c>
      <c r="D3496" s="8" t="s">
        <v>17</v>
      </c>
      <c r="E3496" s="10" t="s">
        <v>88</v>
      </c>
      <c r="F3496" s="8" t="str">
        <f aca="false">TEXT(A3496,"MM-YYYY")</f>
        <v>08-2025</v>
      </c>
      <c r="G3496" s="8"/>
      <c r="H3496" s="8"/>
      <c r="I3496" s="7"/>
      <c r="J3496" s="8" t="str">
        <f aca="false">VLOOKUP(B3496, Table3[#All], 2, FALSE())</f>
        <v>Sales</v>
      </c>
      <c r="K3496" s="8" t="str">
        <f aca="false">TEXT(ROW(), "0000")</f>
        <v>3496</v>
      </c>
      <c r="L3496" s="8"/>
    </row>
    <row r="3497" customFormat="false" ht="15.75" hidden="false" customHeight="true" outlineLevel="0" collapsed="false">
      <c r="A3497" s="7" t="n">
        <v>45899</v>
      </c>
      <c r="B3497" s="8" t="s">
        <v>25</v>
      </c>
      <c r="C3497" s="9" t="n">
        <v>874</v>
      </c>
      <c r="D3497" s="8" t="s">
        <v>45</v>
      </c>
      <c r="E3497" s="10" t="s">
        <v>92</v>
      </c>
      <c r="F3497" s="8" t="str">
        <f aca="false">TEXT(A3497,"MM-YYYY")</f>
        <v>08-2025</v>
      </c>
      <c r="G3497" s="8" t="s">
        <v>18</v>
      </c>
      <c r="H3497" s="8"/>
      <c r="I3497" s="7"/>
      <c r="J3497" s="8" t="str">
        <f aca="false">VLOOKUP(B3497, Table3[#All], 2, FALSE())</f>
        <v>Inventory</v>
      </c>
      <c r="K3497" s="8" t="str">
        <f aca="false">TEXT(ROW(), "0000")</f>
        <v>3497</v>
      </c>
      <c r="L3497" s="8"/>
    </row>
    <row r="3498" customFormat="false" ht="15.75" hidden="false" customHeight="true" outlineLevel="0" collapsed="false">
      <c r="A3498" s="7" t="n">
        <v>45899</v>
      </c>
      <c r="B3498" s="8" t="s">
        <v>29</v>
      </c>
      <c r="C3498" s="9" t="n">
        <v>407</v>
      </c>
      <c r="D3498" s="8" t="s">
        <v>45</v>
      </c>
      <c r="E3498" s="10" t="s">
        <v>490</v>
      </c>
      <c r="F3498" s="8" t="str">
        <f aca="false">TEXT(A3498,"MM-YYYY")</f>
        <v>08-2025</v>
      </c>
      <c r="G3498" s="8" t="s">
        <v>18</v>
      </c>
      <c r="H3498" s="8"/>
      <c r="I3498" s="7"/>
      <c r="J3498" s="8" t="str">
        <f aca="false">VLOOKUP(B3498, Table3[#All], 2, FALSE())</f>
        <v>Inventory</v>
      </c>
      <c r="K3498" s="8" t="str">
        <f aca="false">TEXT(ROW(), "0000")</f>
        <v>3498</v>
      </c>
      <c r="L3498" s="8"/>
    </row>
    <row r="3499" customFormat="false" ht="15.75" hidden="false" customHeight="true" outlineLevel="0" collapsed="false">
      <c r="A3499" s="7" t="n">
        <v>45899</v>
      </c>
      <c r="B3499" s="8" t="s">
        <v>43</v>
      </c>
      <c r="C3499" s="9" t="n">
        <v>80</v>
      </c>
      <c r="D3499" s="8" t="s">
        <v>45</v>
      </c>
      <c r="E3499" s="10" t="s">
        <v>491</v>
      </c>
      <c r="F3499" s="8" t="str">
        <f aca="false">TEXT(A3499,"MM-YYYY")</f>
        <v>08-2025</v>
      </c>
      <c r="G3499" s="8" t="s">
        <v>14</v>
      </c>
      <c r="H3499" s="8"/>
      <c r="I3499" s="7"/>
      <c r="J3499" s="8" t="str">
        <f aca="false">VLOOKUP(B3499, Table3[#All], 2, FALSE())</f>
        <v>Maintance</v>
      </c>
      <c r="K3499" s="8" t="str">
        <f aca="false">TEXT(ROW(), "0000")</f>
        <v>3499</v>
      </c>
      <c r="L3499" s="8"/>
    </row>
    <row r="3500" customFormat="false" ht="15.75" hidden="false" customHeight="true" outlineLevel="0" collapsed="false">
      <c r="A3500" s="7" t="n">
        <v>45899</v>
      </c>
      <c r="B3500" s="8" t="s">
        <v>34</v>
      </c>
      <c r="C3500" s="9" t="n">
        <v>30</v>
      </c>
      <c r="D3500" s="8" t="s">
        <v>45</v>
      </c>
      <c r="E3500" s="10" t="s">
        <v>154</v>
      </c>
      <c r="F3500" s="8" t="str">
        <f aca="false">TEXT(A3500,"MM-YYYY")</f>
        <v>08-2025</v>
      </c>
      <c r="G3500" s="8" t="s">
        <v>14</v>
      </c>
      <c r="H3500" s="8"/>
      <c r="I3500" s="7"/>
      <c r="J3500" s="8" t="str">
        <f aca="false">VLOOKUP(B3500, Table3[#All], 2, FALSE())</f>
        <v>Staff Expenses</v>
      </c>
      <c r="K3500" s="8" t="str">
        <f aca="false">TEXT(ROW(), "0000")</f>
        <v>3500</v>
      </c>
      <c r="L3500" s="8"/>
    </row>
    <row r="3501" customFormat="false" ht="15.75" hidden="false" customHeight="true" outlineLevel="0" collapsed="false">
      <c r="A3501" s="7" t="n">
        <v>45900</v>
      </c>
      <c r="B3501" s="8" t="s">
        <v>25</v>
      </c>
      <c r="C3501" s="9" t="n">
        <v>854</v>
      </c>
      <c r="D3501" s="8" t="s">
        <v>13</v>
      </c>
      <c r="E3501" s="10" t="s">
        <v>92</v>
      </c>
      <c r="F3501" s="8" t="str">
        <f aca="false">TEXT(A3501,"MM-YYYY")</f>
        <v>08-2025</v>
      </c>
      <c r="G3501" s="8" t="s">
        <v>18</v>
      </c>
      <c r="H3501" s="8"/>
      <c r="I3501" s="7"/>
      <c r="J3501" s="8" t="str">
        <f aca="false">VLOOKUP(B3501, Table3[#All], 2, FALSE())</f>
        <v>Inventory</v>
      </c>
      <c r="K3501" s="8" t="str">
        <f aca="false">TEXT(ROW(), "0000")</f>
        <v>3501</v>
      </c>
      <c r="L3501" s="8"/>
    </row>
    <row r="3502" customFormat="false" ht="15.75" hidden="false" customHeight="true" outlineLevel="0" collapsed="false">
      <c r="A3502" s="7" t="n">
        <v>45900</v>
      </c>
      <c r="B3502" s="8" t="s">
        <v>37</v>
      </c>
      <c r="C3502" s="9" t="n">
        <v>15</v>
      </c>
      <c r="D3502" s="8" t="s">
        <v>21</v>
      </c>
      <c r="E3502" s="10" t="s">
        <v>453</v>
      </c>
      <c r="F3502" s="8" t="str">
        <f aca="false">TEXT(A3502,"MM-YYYY")</f>
        <v>08-2025</v>
      </c>
      <c r="G3502" s="8" t="s">
        <v>14</v>
      </c>
      <c r="H3502" s="8"/>
      <c r="I3502" s="7"/>
      <c r="J3502" s="8" t="str">
        <f aca="false">VLOOKUP(B3502, Table3[#All], 2, FALSE())</f>
        <v>Maintance</v>
      </c>
      <c r="K3502" s="8" t="str">
        <f aca="false">TEXT(ROW(), "0000")</f>
        <v>3502</v>
      </c>
      <c r="L3502" s="8"/>
    </row>
    <row r="3503" customFormat="false" ht="15.75" hidden="false" customHeight="true" outlineLevel="0" collapsed="false">
      <c r="A3503" s="7" t="n">
        <v>45900</v>
      </c>
      <c r="B3503" s="8" t="s">
        <v>22</v>
      </c>
      <c r="C3503" s="9" t="n">
        <v>100</v>
      </c>
      <c r="D3503" s="8" t="s">
        <v>45</v>
      </c>
      <c r="E3503" s="10" t="s">
        <v>492</v>
      </c>
      <c r="F3503" s="8" t="str">
        <f aca="false">TEXT(A3503,"MM-YYYY")</f>
        <v>08-2025</v>
      </c>
      <c r="G3503" s="8" t="s">
        <v>14</v>
      </c>
      <c r="H3503" s="8"/>
      <c r="I3503" s="7"/>
      <c r="J3503" s="8" t="str">
        <f aca="false">VLOOKUP(B3503, Table3[#All], 2, FALSE())</f>
        <v>Inventory</v>
      </c>
      <c r="K3503" s="8" t="str">
        <f aca="false">TEXT(ROW(), "0000")</f>
        <v>3503</v>
      </c>
      <c r="L3503" s="8"/>
    </row>
    <row r="3504" customFormat="false" ht="15.75" hidden="false" customHeight="true" outlineLevel="0" collapsed="false">
      <c r="A3504" s="7" t="n">
        <v>45900</v>
      </c>
      <c r="B3504" s="8" t="s">
        <v>40</v>
      </c>
      <c r="C3504" s="9" t="n">
        <v>1560</v>
      </c>
      <c r="D3504" s="8" t="s">
        <v>45</v>
      </c>
      <c r="E3504" s="10" t="s">
        <v>470</v>
      </c>
      <c r="F3504" s="8" t="str">
        <f aca="false">TEXT(A3504,"MM-YYYY")</f>
        <v>08-2025</v>
      </c>
      <c r="G3504" s="8" t="s">
        <v>14</v>
      </c>
      <c r="H3504" s="8"/>
      <c r="I3504" s="7"/>
      <c r="J3504" s="8" t="str">
        <f aca="false">VLOOKUP(B3504, Table3[#All], 2, FALSE())</f>
        <v>Inventory</v>
      </c>
      <c r="K3504" s="8" t="str">
        <f aca="false">TEXT(ROW(), "0000")</f>
        <v>3504</v>
      </c>
      <c r="L3504" s="8"/>
    </row>
    <row r="3505" customFormat="false" ht="15.75" hidden="false" customHeight="true" outlineLevel="0" collapsed="false">
      <c r="A3505" s="7" t="n">
        <v>45900</v>
      </c>
      <c r="B3505" s="8" t="s">
        <v>25</v>
      </c>
      <c r="C3505" s="9" t="n">
        <v>680</v>
      </c>
      <c r="D3505" s="8" t="s">
        <v>45</v>
      </c>
      <c r="E3505" s="10" t="s">
        <v>493</v>
      </c>
      <c r="F3505" s="8" t="str">
        <f aca="false">TEXT(A3505,"MM-YYYY")</f>
        <v>08-2025</v>
      </c>
      <c r="G3505" s="8" t="s">
        <v>14</v>
      </c>
      <c r="H3505" s="8"/>
      <c r="I3505" s="7"/>
      <c r="J3505" s="8" t="str">
        <f aca="false">VLOOKUP(B3505, Table3[#All], 2, FALSE())</f>
        <v>Inventory</v>
      </c>
      <c r="K3505" s="8" t="str">
        <f aca="false">TEXT(ROW(), "0000")</f>
        <v>3505</v>
      </c>
      <c r="L3505" s="8"/>
    </row>
    <row r="3506" customFormat="false" ht="15.75" hidden="false" customHeight="true" outlineLevel="0" collapsed="false">
      <c r="A3506" s="7" t="n">
        <v>45900</v>
      </c>
      <c r="B3506" s="8" t="s">
        <v>28</v>
      </c>
      <c r="C3506" s="9" t="n">
        <v>513</v>
      </c>
      <c r="D3506" s="8" t="s">
        <v>21</v>
      </c>
      <c r="E3506" s="10" t="s">
        <v>93</v>
      </c>
      <c r="F3506" s="8" t="str">
        <f aca="false">TEXT(A3506,"MM-YYYY")</f>
        <v>08-2025</v>
      </c>
      <c r="G3506" s="8" t="s">
        <v>14</v>
      </c>
      <c r="H3506" s="8"/>
      <c r="I3506" s="7" t="n">
        <v>45900</v>
      </c>
      <c r="J3506" s="8" t="str">
        <f aca="false">VLOOKUP(B3506, Table3[#All], 2, FALSE())</f>
        <v>Grocery</v>
      </c>
      <c r="K3506" s="8" t="str">
        <f aca="false">TEXT(ROW(), "0000")</f>
        <v>3506</v>
      </c>
      <c r="L3506" s="8"/>
    </row>
    <row r="3507" customFormat="false" ht="15.75" hidden="false" customHeight="true" outlineLevel="0" collapsed="false">
      <c r="A3507" s="7" t="n">
        <v>45900</v>
      </c>
      <c r="B3507" s="8" t="s">
        <v>12</v>
      </c>
      <c r="C3507" s="9" t="n">
        <v>19290</v>
      </c>
      <c r="D3507" s="8" t="s">
        <v>13</v>
      </c>
      <c r="E3507" s="10" t="s">
        <v>494</v>
      </c>
      <c r="F3507" s="8" t="str">
        <f aca="false">TEXT(A3507,"MM-YYYY")</f>
        <v>08-2025</v>
      </c>
      <c r="G3507" s="8" t="s">
        <v>18</v>
      </c>
      <c r="H3507" s="8"/>
      <c r="I3507" s="7"/>
      <c r="J3507" s="8" t="str">
        <f aca="false">VLOOKUP(B3507, Table3[#All], 2, FALSE())</f>
        <v>Fixed Maintance</v>
      </c>
      <c r="K3507" s="8" t="str">
        <f aca="false">TEXT(ROW(), "0000")</f>
        <v>3507</v>
      </c>
      <c r="L3507" s="8"/>
    </row>
    <row r="3508" customFormat="false" ht="15.75" hidden="false" customHeight="true" outlineLevel="0" collapsed="false">
      <c r="A3508" s="7" t="n">
        <v>45900</v>
      </c>
      <c r="B3508" s="8" t="s">
        <v>40</v>
      </c>
      <c r="C3508" s="9" t="n">
        <v>150</v>
      </c>
      <c r="D3508" s="8" t="s">
        <v>45</v>
      </c>
      <c r="E3508" s="10" t="s">
        <v>495</v>
      </c>
      <c r="F3508" s="8" t="str">
        <f aca="false">TEXT(A3508,"MM-YYYY")</f>
        <v>08-2025</v>
      </c>
      <c r="G3508" s="8" t="s">
        <v>14</v>
      </c>
      <c r="H3508" s="8"/>
      <c r="I3508" s="7"/>
      <c r="J3508" s="8" t="str">
        <f aca="false">VLOOKUP(B3508, Table3[#All], 2, FALSE())</f>
        <v>Inventory</v>
      </c>
      <c r="K3508" s="8" t="str">
        <f aca="false">TEXT(ROW(), "0000")</f>
        <v>3508</v>
      </c>
      <c r="L3508" s="8"/>
    </row>
    <row r="3509" customFormat="false" ht="15.75" hidden="false" customHeight="true" outlineLevel="0" collapsed="false">
      <c r="A3509" s="7" t="n">
        <v>45900</v>
      </c>
      <c r="B3509" s="8" t="s">
        <v>32</v>
      </c>
      <c r="C3509" s="9" t="n">
        <v>140</v>
      </c>
      <c r="D3509" s="8" t="s">
        <v>21</v>
      </c>
      <c r="E3509" s="10" t="s">
        <v>450</v>
      </c>
      <c r="F3509" s="8" t="str">
        <f aca="false">TEXT(A3509,"MM-YYYY")</f>
        <v>08-2025</v>
      </c>
      <c r="G3509" s="8" t="s">
        <v>14</v>
      </c>
      <c r="H3509" s="8"/>
      <c r="I3509" s="7"/>
      <c r="J3509" s="8" t="str">
        <f aca="false">VLOOKUP(B3509, Table3[#All], 2, FALSE())</f>
        <v>Grocery</v>
      </c>
      <c r="K3509" s="8" t="str">
        <f aca="false">TEXT(ROW(), "0000")</f>
        <v>3509</v>
      </c>
      <c r="L3509" s="8"/>
    </row>
    <row r="3510" customFormat="false" ht="15.75" hidden="false" customHeight="true" outlineLevel="0" collapsed="false">
      <c r="A3510" s="7" t="n">
        <v>45900</v>
      </c>
      <c r="B3510" s="8" t="s">
        <v>22</v>
      </c>
      <c r="C3510" s="9" t="n">
        <v>10</v>
      </c>
      <c r="D3510" s="8" t="s">
        <v>21</v>
      </c>
      <c r="E3510" s="10" t="s">
        <v>496</v>
      </c>
      <c r="F3510" s="8" t="str">
        <f aca="false">TEXT(A3510,"MM-YYYY")</f>
        <v>08-2025</v>
      </c>
      <c r="G3510" s="8" t="s">
        <v>14</v>
      </c>
      <c r="H3510" s="8"/>
      <c r="I3510" s="7"/>
      <c r="J3510" s="8" t="str">
        <f aca="false">VLOOKUP(B3510, Table3[#All], 2, FALSE())</f>
        <v>Inventory</v>
      </c>
      <c r="K3510" s="8" t="str">
        <f aca="false">TEXT(ROW(), "0000")</f>
        <v>3510</v>
      </c>
      <c r="L3510" s="8"/>
    </row>
    <row r="3511" customFormat="false" ht="15.75" hidden="false" customHeight="true" outlineLevel="0" collapsed="false">
      <c r="A3511" s="7" t="n">
        <v>45900</v>
      </c>
      <c r="B3511" s="8" t="s">
        <v>22</v>
      </c>
      <c r="C3511" s="9" t="n">
        <v>294</v>
      </c>
      <c r="D3511" s="8" t="s">
        <v>13</v>
      </c>
      <c r="E3511" s="10" t="s">
        <v>23</v>
      </c>
      <c r="F3511" s="8" t="str">
        <f aca="false">TEXT(A3511,"MM-YYYY")</f>
        <v>08-2025</v>
      </c>
      <c r="G3511" s="8" t="s">
        <v>14</v>
      </c>
      <c r="H3511" s="8" t="s">
        <v>13</v>
      </c>
      <c r="I3511" s="7" t="n">
        <v>45917</v>
      </c>
      <c r="J3511" s="8" t="str">
        <f aca="false">VLOOKUP(B3511, Table3[#All], 2, FALSE())</f>
        <v>Inventory</v>
      </c>
      <c r="K3511" s="8" t="str">
        <f aca="false">TEXT(ROW(), "0000")</f>
        <v>3511</v>
      </c>
      <c r="L3511" s="8"/>
    </row>
    <row r="3512" customFormat="false" ht="15.75" hidden="false" customHeight="true" outlineLevel="0" collapsed="false">
      <c r="A3512" s="7" t="n">
        <v>45900</v>
      </c>
      <c r="B3512" s="8" t="s">
        <v>25</v>
      </c>
      <c r="C3512" s="9" t="n">
        <v>60</v>
      </c>
      <c r="D3512" s="8" t="s">
        <v>45</v>
      </c>
      <c r="E3512" s="10" t="s">
        <v>42</v>
      </c>
      <c r="F3512" s="8" t="str">
        <f aca="false">TEXT(A3512,"MM-YYYY")</f>
        <v>08-2025</v>
      </c>
      <c r="G3512" s="8" t="s">
        <v>14</v>
      </c>
      <c r="H3512" s="8"/>
      <c r="I3512" s="7"/>
      <c r="J3512" s="8" t="str">
        <f aca="false">VLOOKUP(B3512, Table3[#All], 2, FALSE())</f>
        <v>Inventory</v>
      </c>
      <c r="K3512" s="8" t="str">
        <f aca="false">TEXT(ROW(), "0000")</f>
        <v>3512</v>
      </c>
      <c r="L3512" s="8"/>
    </row>
    <row r="3513" customFormat="false" ht="15.75" hidden="false" customHeight="true" outlineLevel="0" collapsed="false">
      <c r="A3513" s="7" t="n">
        <v>45900</v>
      </c>
      <c r="B3513" s="8" t="s">
        <v>44</v>
      </c>
      <c r="C3513" s="9" t="n">
        <v>1000</v>
      </c>
      <c r="D3513" s="8" t="s">
        <v>13</v>
      </c>
      <c r="E3513" s="10" t="s">
        <v>497</v>
      </c>
      <c r="F3513" s="8" t="str">
        <f aca="false">TEXT(A3513,"MM-YYYY")</f>
        <v>08-2025</v>
      </c>
      <c r="G3513" s="8" t="s">
        <v>14</v>
      </c>
      <c r="H3513" s="8"/>
      <c r="I3513" s="7" t="n">
        <v>45900</v>
      </c>
      <c r="J3513" s="8" t="str">
        <f aca="false">VLOOKUP(B3513, Table3[#All], 2, FALSE())</f>
        <v>Salary</v>
      </c>
      <c r="K3513" s="8" t="str">
        <f aca="false">TEXT(ROW(), "0000")</f>
        <v>3513</v>
      </c>
      <c r="L3513" s="8"/>
    </row>
    <row r="3514" customFormat="false" ht="15.75" hidden="false" customHeight="true" outlineLevel="0" collapsed="false">
      <c r="A3514" s="7" t="n">
        <v>45900</v>
      </c>
      <c r="B3514" s="8" t="s">
        <v>16</v>
      </c>
      <c r="C3514" s="9" t="n">
        <v>520</v>
      </c>
      <c r="D3514" s="8" t="s">
        <v>21</v>
      </c>
      <c r="E3514" s="10" t="s">
        <v>88</v>
      </c>
      <c r="F3514" s="8" t="str">
        <f aca="false">TEXT(A3514,"MM-YYYY")</f>
        <v>08-2025</v>
      </c>
      <c r="G3514" s="8"/>
      <c r="H3514" s="8"/>
      <c r="I3514" s="7"/>
      <c r="J3514" s="8" t="str">
        <f aca="false">VLOOKUP(B3514, Table3[#All], 2, FALSE())</f>
        <v>Sales</v>
      </c>
      <c r="K3514" s="8" t="str">
        <f aca="false">TEXT(ROW(), "0000")</f>
        <v>3514</v>
      </c>
      <c r="L3514" s="8"/>
    </row>
    <row r="3515" customFormat="false" ht="15.75" hidden="false" customHeight="true" outlineLevel="0" collapsed="false">
      <c r="A3515" s="7" t="n">
        <v>45900</v>
      </c>
      <c r="B3515" s="8" t="s">
        <v>16</v>
      </c>
      <c r="C3515" s="9" t="n">
        <v>1014</v>
      </c>
      <c r="D3515" s="8" t="s">
        <v>27</v>
      </c>
      <c r="E3515" s="10" t="s">
        <v>88</v>
      </c>
      <c r="F3515" s="8" t="str">
        <f aca="false">TEXT(A3515,"MM-YYYY")</f>
        <v>08-2025</v>
      </c>
      <c r="G3515" s="8"/>
      <c r="H3515" s="8"/>
      <c r="I3515" s="7"/>
      <c r="J3515" s="8" t="str">
        <f aca="false">VLOOKUP(B3515, Table3[#All], 2, FALSE())</f>
        <v>Sales</v>
      </c>
      <c r="K3515" s="8" t="str">
        <f aca="false">TEXT(ROW(), "0000")</f>
        <v>3515</v>
      </c>
      <c r="L3515" s="8"/>
    </row>
    <row r="3516" customFormat="false" ht="15.75" hidden="false" customHeight="true" outlineLevel="0" collapsed="false">
      <c r="A3516" s="7" t="n">
        <v>45900</v>
      </c>
      <c r="B3516" s="8" t="s">
        <v>16</v>
      </c>
      <c r="C3516" s="9" t="n">
        <v>910</v>
      </c>
      <c r="D3516" s="8" t="s">
        <v>70</v>
      </c>
      <c r="E3516" s="10" t="s">
        <v>88</v>
      </c>
      <c r="F3516" s="8" t="str">
        <f aca="false">TEXT(A3516,"MM-YYYY")</f>
        <v>08-2025</v>
      </c>
      <c r="G3516" s="8"/>
      <c r="H3516" s="8"/>
      <c r="I3516" s="7"/>
      <c r="J3516" s="8" t="str">
        <f aca="false">VLOOKUP(B3516, Table3[#All], 2, FALSE())</f>
        <v>Sales</v>
      </c>
      <c r="K3516" s="8" t="str">
        <f aca="false">TEXT(ROW(), "0000")</f>
        <v>3516</v>
      </c>
      <c r="L3516" s="8"/>
    </row>
    <row r="3517" customFormat="false" ht="15.75" hidden="false" customHeight="true" outlineLevel="0" collapsed="false">
      <c r="A3517" s="7" t="n">
        <v>45900</v>
      </c>
      <c r="B3517" s="8" t="s">
        <v>16</v>
      </c>
      <c r="C3517" s="9" t="n">
        <v>550</v>
      </c>
      <c r="D3517" s="8" t="s">
        <v>33</v>
      </c>
      <c r="E3517" s="10" t="s">
        <v>88</v>
      </c>
      <c r="F3517" s="8" t="str">
        <f aca="false">TEXT(A3517,"MM-YYYY")</f>
        <v>08-2025</v>
      </c>
      <c r="G3517" s="8"/>
      <c r="H3517" s="8"/>
      <c r="I3517" s="7"/>
      <c r="J3517" s="8" t="str">
        <f aca="false">VLOOKUP(B3517, Table3[#All], 2, FALSE())</f>
        <v>Sales</v>
      </c>
      <c r="K3517" s="8" t="str">
        <f aca="false">TEXT(ROW(), "0000")</f>
        <v>3517</v>
      </c>
      <c r="L3517" s="8"/>
    </row>
    <row r="3518" customFormat="false" ht="15.75" hidden="false" customHeight="true" outlineLevel="0" collapsed="false">
      <c r="A3518" s="7" t="n">
        <v>45900</v>
      </c>
      <c r="B3518" s="8" t="s">
        <v>16</v>
      </c>
      <c r="C3518" s="9" t="n">
        <v>10222</v>
      </c>
      <c r="D3518" s="8" t="s">
        <v>17</v>
      </c>
      <c r="E3518" s="10" t="s">
        <v>88</v>
      </c>
      <c r="F3518" s="8" t="str">
        <f aca="false">TEXT(A3518,"MM-YYYY")</f>
        <v>08-2025</v>
      </c>
      <c r="G3518" s="8"/>
      <c r="H3518" s="8"/>
      <c r="I3518" s="7"/>
      <c r="J3518" s="8" t="str">
        <f aca="false">VLOOKUP(B3518, Table3[#All], 2, FALSE())</f>
        <v>Sales</v>
      </c>
      <c r="K3518" s="8" t="str">
        <f aca="false">TEXT(ROW(), "0000")</f>
        <v>3518</v>
      </c>
      <c r="L3518" s="8"/>
    </row>
    <row r="3519" customFormat="false" ht="15.75" hidden="false" customHeight="true" outlineLevel="0" collapsed="false">
      <c r="A3519" s="7" t="n">
        <v>45900</v>
      </c>
      <c r="B3519" s="8" t="s">
        <v>16</v>
      </c>
      <c r="C3519" s="9" t="n">
        <v>2937</v>
      </c>
      <c r="D3519" s="8" t="s">
        <v>24</v>
      </c>
      <c r="E3519" s="10" t="s">
        <v>88</v>
      </c>
      <c r="F3519" s="8" t="str">
        <f aca="false">TEXT(A3519,"MM-YYYY")</f>
        <v>08-2025</v>
      </c>
      <c r="G3519" s="8"/>
      <c r="H3519" s="8"/>
      <c r="I3519" s="7"/>
      <c r="J3519" s="8" t="str">
        <f aca="false">VLOOKUP(B3519, Table3[#All], 2, FALSE())</f>
        <v>Sales</v>
      </c>
      <c r="K3519" s="8" t="str">
        <f aca="false">TEXT(ROW(), "0000")</f>
        <v>3519</v>
      </c>
      <c r="L3519" s="8"/>
    </row>
    <row r="3520" customFormat="false" ht="15.75" hidden="false" customHeight="true" outlineLevel="0" collapsed="false">
      <c r="A3520" s="7" t="n">
        <v>45901</v>
      </c>
      <c r="B3520" s="8" t="s">
        <v>47</v>
      </c>
      <c r="C3520" s="9" t="n">
        <v>1800</v>
      </c>
      <c r="D3520" s="8" t="s">
        <v>13</v>
      </c>
      <c r="E3520" s="10" t="s">
        <v>484</v>
      </c>
      <c r="F3520" s="8" t="str">
        <f aca="false">TEXT(A3520,"MM-YYYY")</f>
        <v>09-2025</v>
      </c>
      <c r="G3520" s="8"/>
      <c r="H3520" s="8"/>
      <c r="I3520" s="7"/>
      <c r="J3520" s="8" t="str">
        <f aca="false">VLOOKUP(B3520, Table3[#All], 2, FALSE())</f>
        <v>Inventory</v>
      </c>
      <c r="K3520" s="8" t="str">
        <f aca="false">TEXT(ROW(), "0000")</f>
        <v>3520</v>
      </c>
      <c r="L3520" s="8"/>
    </row>
    <row r="3521" customFormat="false" ht="15.75" hidden="false" customHeight="true" outlineLevel="0" collapsed="false">
      <c r="A3521" s="7" t="n">
        <v>45901</v>
      </c>
      <c r="B3521" s="8" t="s">
        <v>25</v>
      </c>
      <c r="C3521" s="9" t="n">
        <v>814</v>
      </c>
      <c r="D3521" s="8" t="s">
        <v>13</v>
      </c>
      <c r="E3521" s="10" t="s">
        <v>92</v>
      </c>
      <c r="F3521" s="8" t="str">
        <f aca="false">TEXT(A3521,"MM-YYYY")</f>
        <v>09-2025</v>
      </c>
      <c r="G3521" s="8" t="s">
        <v>18</v>
      </c>
      <c r="H3521" s="8"/>
      <c r="I3521" s="7"/>
      <c r="J3521" s="8" t="str">
        <f aca="false">VLOOKUP(B3521, Table3[#All], 2, FALSE())</f>
        <v>Inventory</v>
      </c>
      <c r="K3521" s="8" t="str">
        <f aca="false">TEXT(ROW(), "0000")</f>
        <v>3521</v>
      </c>
      <c r="L3521" s="8"/>
    </row>
    <row r="3522" customFormat="false" ht="15.75" hidden="false" customHeight="true" outlineLevel="0" collapsed="false">
      <c r="A3522" s="7" t="n">
        <v>45901</v>
      </c>
      <c r="B3522" s="8" t="s">
        <v>37</v>
      </c>
      <c r="C3522" s="9" t="n">
        <v>20</v>
      </c>
      <c r="D3522" s="8" t="s">
        <v>21</v>
      </c>
      <c r="E3522" s="10" t="s">
        <v>453</v>
      </c>
      <c r="F3522" s="8" t="str">
        <f aca="false">TEXT(A3522,"MM-YYYY")</f>
        <v>09-2025</v>
      </c>
      <c r="G3522" s="8" t="s">
        <v>14</v>
      </c>
      <c r="H3522" s="8"/>
      <c r="I3522" s="7"/>
      <c r="J3522" s="8" t="str">
        <f aca="false">VLOOKUP(B3522, Table3[#All], 2, FALSE())</f>
        <v>Maintance</v>
      </c>
      <c r="K3522" s="8" t="str">
        <f aca="false">TEXT(ROW(), "0000")</f>
        <v>3522</v>
      </c>
      <c r="L3522" s="8"/>
    </row>
    <row r="3523" customFormat="false" ht="15.75" hidden="false" customHeight="true" outlineLevel="0" collapsed="false">
      <c r="A3523" s="7" t="n">
        <v>45901</v>
      </c>
      <c r="B3523" s="8" t="s">
        <v>34</v>
      </c>
      <c r="C3523" s="9" t="n">
        <v>20</v>
      </c>
      <c r="D3523" s="8" t="s">
        <v>45</v>
      </c>
      <c r="E3523" s="10" t="s">
        <v>154</v>
      </c>
      <c r="F3523" s="8" t="str">
        <f aca="false">TEXT(A3523,"MM-YYYY")</f>
        <v>09-2025</v>
      </c>
      <c r="G3523" s="8" t="s">
        <v>14</v>
      </c>
      <c r="H3523" s="8"/>
      <c r="I3523" s="7"/>
      <c r="J3523" s="8" t="str">
        <f aca="false">VLOOKUP(B3523, Table3[#All], 2, FALSE())</f>
        <v>Staff Expenses</v>
      </c>
      <c r="K3523" s="8" t="str">
        <f aca="false">TEXT(ROW(), "0000")</f>
        <v>3523</v>
      </c>
      <c r="L3523" s="8"/>
    </row>
    <row r="3524" customFormat="false" ht="15.75" hidden="false" customHeight="true" outlineLevel="0" collapsed="false">
      <c r="A3524" s="7" t="n">
        <v>45901</v>
      </c>
      <c r="B3524" s="8" t="s">
        <v>16</v>
      </c>
      <c r="C3524" s="9" t="n">
        <v>2400</v>
      </c>
      <c r="D3524" s="8" t="s">
        <v>21</v>
      </c>
      <c r="E3524" s="10" t="s">
        <v>88</v>
      </c>
      <c r="F3524" s="8" t="str">
        <f aca="false">TEXT(A3524,"MM-YYYY")</f>
        <v>09-2025</v>
      </c>
      <c r="G3524" s="8"/>
      <c r="H3524" s="8"/>
      <c r="I3524" s="7"/>
      <c r="J3524" s="8" t="str">
        <f aca="false">VLOOKUP(B3524, Table3[#All], 2, FALSE())</f>
        <v>Sales</v>
      </c>
      <c r="K3524" s="8" t="str">
        <f aca="false">TEXT(ROW(), "0000")</f>
        <v>3524</v>
      </c>
      <c r="L3524" s="8"/>
    </row>
    <row r="3525" customFormat="false" ht="15.75" hidden="false" customHeight="true" outlineLevel="0" collapsed="false">
      <c r="A3525" s="7" t="n">
        <v>45901</v>
      </c>
      <c r="B3525" s="8" t="s">
        <v>16</v>
      </c>
      <c r="C3525" s="9" t="n">
        <v>12393</v>
      </c>
      <c r="D3525" s="8" t="s">
        <v>17</v>
      </c>
      <c r="E3525" s="10" t="s">
        <v>88</v>
      </c>
      <c r="F3525" s="8" t="str">
        <f aca="false">TEXT(A3525,"MM-YYYY")</f>
        <v>09-2025</v>
      </c>
      <c r="G3525" s="8"/>
      <c r="H3525" s="8"/>
      <c r="I3525" s="7"/>
      <c r="J3525" s="8" t="str">
        <f aca="false">VLOOKUP(B3525, Table3[#All], 2, FALSE())</f>
        <v>Sales</v>
      </c>
      <c r="K3525" s="8" t="str">
        <f aca="false">TEXT(ROW(), "0000")</f>
        <v>3525</v>
      </c>
      <c r="L3525" s="8"/>
    </row>
    <row r="3526" customFormat="false" ht="15.75" hidden="false" customHeight="true" outlineLevel="0" collapsed="false">
      <c r="A3526" s="7" t="n">
        <v>45901</v>
      </c>
      <c r="B3526" s="8" t="s">
        <v>16</v>
      </c>
      <c r="C3526" s="9" t="n">
        <v>421</v>
      </c>
      <c r="D3526" s="8" t="s">
        <v>24</v>
      </c>
      <c r="E3526" s="10" t="s">
        <v>88</v>
      </c>
      <c r="F3526" s="8" t="str">
        <f aca="false">TEXT(A3526,"MM-YYYY")</f>
        <v>09-2025</v>
      </c>
      <c r="G3526" s="8"/>
      <c r="H3526" s="8"/>
      <c r="I3526" s="7"/>
      <c r="J3526" s="8" t="str">
        <f aca="false">VLOOKUP(B3526, Table3[#All], 2, FALSE())</f>
        <v>Sales</v>
      </c>
      <c r="K3526" s="8" t="str">
        <f aca="false">TEXT(ROW(), "0000")</f>
        <v>3526</v>
      </c>
      <c r="L3526" s="8"/>
    </row>
    <row r="3527" customFormat="false" ht="15.75" hidden="false" customHeight="true" outlineLevel="0" collapsed="false">
      <c r="A3527" s="7" t="n">
        <v>45901</v>
      </c>
      <c r="B3527" s="8" t="s">
        <v>29</v>
      </c>
      <c r="C3527" s="9" t="n">
        <v>25</v>
      </c>
      <c r="D3527" s="8" t="s">
        <v>21</v>
      </c>
      <c r="E3527" s="10" t="s">
        <v>65</v>
      </c>
      <c r="F3527" s="8" t="str">
        <f aca="false">TEXT(A3527,"MM-YYYY")</f>
        <v>09-2025</v>
      </c>
      <c r="G3527" s="8" t="s">
        <v>14</v>
      </c>
      <c r="H3527" s="8"/>
      <c r="I3527" s="7"/>
      <c r="J3527" s="8" t="str">
        <f aca="false">VLOOKUP(B3527, Table3[#All], 2, FALSE())</f>
        <v>Inventory</v>
      </c>
      <c r="K3527" s="8" t="str">
        <f aca="false">TEXT(ROW(), "0000")</f>
        <v>3527</v>
      </c>
      <c r="L3527" s="8"/>
    </row>
    <row r="3528" customFormat="false" ht="15.75" hidden="false" customHeight="true" outlineLevel="0" collapsed="false">
      <c r="A3528" s="7" t="n">
        <v>45902</v>
      </c>
      <c r="B3528" s="8" t="s">
        <v>19</v>
      </c>
      <c r="C3528" s="9" t="n">
        <v>2472</v>
      </c>
      <c r="D3528" s="8" t="s">
        <v>13</v>
      </c>
      <c r="E3528" s="10" t="s">
        <v>473</v>
      </c>
      <c r="F3528" s="8" t="str">
        <f aca="false">TEXT(A3528,"MM-YYYY")</f>
        <v>09-2025</v>
      </c>
      <c r="G3528" s="8" t="s">
        <v>14</v>
      </c>
      <c r="H3528" s="8"/>
      <c r="I3528" s="7"/>
      <c r="J3528" s="8" t="str">
        <f aca="false">VLOOKUP(B3528, Table3[#All], 2, FALSE())</f>
        <v>Inventory</v>
      </c>
      <c r="K3528" s="8" t="str">
        <f aca="false">TEXT(ROW(), "0000")</f>
        <v>3528</v>
      </c>
      <c r="L3528" s="8"/>
    </row>
    <row r="3529" customFormat="false" ht="15.75" hidden="false" customHeight="true" outlineLevel="0" collapsed="false">
      <c r="A3529" s="7" t="n">
        <v>45902</v>
      </c>
      <c r="B3529" s="8" t="s">
        <v>25</v>
      </c>
      <c r="C3529" s="9" t="n">
        <v>435</v>
      </c>
      <c r="D3529" s="8" t="s">
        <v>13</v>
      </c>
      <c r="E3529" s="10" t="s">
        <v>92</v>
      </c>
      <c r="F3529" s="8" t="str">
        <f aca="false">TEXT(A3529,"MM-YYYY")</f>
        <v>09-2025</v>
      </c>
      <c r="G3529" s="8" t="s">
        <v>18</v>
      </c>
      <c r="H3529" s="8"/>
      <c r="I3529" s="7"/>
      <c r="J3529" s="8" t="str">
        <f aca="false">VLOOKUP(B3529, Table3[#All], 2, FALSE())</f>
        <v>Inventory</v>
      </c>
      <c r="K3529" s="8" t="str">
        <f aca="false">TEXT(ROW(), "0000")</f>
        <v>3529</v>
      </c>
      <c r="L3529" s="8"/>
    </row>
    <row r="3530" customFormat="false" ht="15.75" hidden="false" customHeight="true" outlineLevel="0" collapsed="false">
      <c r="A3530" s="7" t="n">
        <v>45902</v>
      </c>
      <c r="B3530" s="8" t="s">
        <v>37</v>
      </c>
      <c r="C3530" s="9" t="n">
        <v>20</v>
      </c>
      <c r="D3530" s="8" t="s">
        <v>21</v>
      </c>
      <c r="E3530" s="10" t="s">
        <v>420</v>
      </c>
      <c r="F3530" s="8" t="str">
        <f aca="false">TEXT(A3530,"MM-YYYY")</f>
        <v>09-2025</v>
      </c>
      <c r="G3530" s="8" t="s">
        <v>14</v>
      </c>
      <c r="H3530" s="8"/>
      <c r="I3530" s="7"/>
      <c r="J3530" s="8" t="str">
        <f aca="false">VLOOKUP(B3530, Table3[#All], 2, FALSE())</f>
        <v>Maintance</v>
      </c>
      <c r="K3530" s="8" t="str">
        <f aca="false">TEXT(ROW(), "0000")</f>
        <v>3530</v>
      </c>
      <c r="L3530" s="8"/>
    </row>
    <row r="3531" customFormat="false" ht="15.75" hidden="false" customHeight="true" outlineLevel="0" collapsed="false">
      <c r="A3531" s="7" t="n">
        <v>45902</v>
      </c>
      <c r="B3531" s="8" t="s">
        <v>53</v>
      </c>
      <c r="C3531" s="9" t="n">
        <v>1200</v>
      </c>
      <c r="D3531" s="8" t="s">
        <v>21</v>
      </c>
      <c r="E3531" s="10" t="s">
        <v>498</v>
      </c>
      <c r="F3531" s="8" t="str">
        <f aca="false">TEXT(A3531,"MM-YYYY")</f>
        <v>09-2025</v>
      </c>
      <c r="G3531" s="8" t="s">
        <v>14</v>
      </c>
      <c r="H3531" s="8" t="s">
        <v>262</v>
      </c>
      <c r="I3531" s="7" t="n">
        <v>45902</v>
      </c>
      <c r="J3531" s="8" t="str">
        <f aca="false">VLOOKUP(B3531, Table3[#All], 2, FALSE())</f>
        <v>Grocery</v>
      </c>
      <c r="K3531" s="8" t="str">
        <f aca="false">TEXT(ROW(), "0000")</f>
        <v>3531</v>
      </c>
      <c r="L3531" s="8"/>
    </row>
    <row r="3532" customFormat="false" ht="15.75" hidden="false" customHeight="true" outlineLevel="0" collapsed="false">
      <c r="A3532" s="7" t="n">
        <v>45902</v>
      </c>
      <c r="B3532" s="8" t="s">
        <v>154</v>
      </c>
      <c r="C3532" s="9" t="n">
        <v>30</v>
      </c>
      <c r="D3532" s="8" t="s">
        <v>13</v>
      </c>
      <c r="E3532" s="10" t="s">
        <v>154</v>
      </c>
      <c r="F3532" s="8" t="str">
        <f aca="false">TEXT(A3532,"MM-YYYY")</f>
        <v>09-2025</v>
      </c>
      <c r="G3532" s="8" t="s">
        <v>14</v>
      </c>
      <c r="H3532" s="8"/>
      <c r="I3532" s="7"/>
      <c r="J3532" s="8" t="str">
        <f aca="false">VLOOKUP(B3532, Table3[#All], 2, FALSE())</f>
        <v>Staff Expenses</v>
      </c>
      <c r="K3532" s="8" t="str">
        <f aca="false">TEXT(ROW(), "0000")</f>
        <v>3532</v>
      </c>
      <c r="L3532" s="8"/>
    </row>
    <row r="3533" customFormat="false" ht="15.75" hidden="false" customHeight="true" outlineLevel="0" collapsed="false">
      <c r="A3533" s="7" t="n">
        <v>45902</v>
      </c>
      <c r="B3533" s="8" t="s">
        <v>16</v>
      </c>
      <c r="C3533" s="9" t="n">
        <v>3403</v>
      </c>
      <c r="D3533" s="8" t="s">
        <v>21</v>
      </c>
      <c r="E3533" s="10" t="s">
        <v>88</v>
      </c>
      <c r="F3533" s="8" t="str">
        <f aca="false">TEXT(A3533,"MM-YYYY")</f>
        <v>09-2025</v>
      </c>
      <c r="G3533" s="8"/>
      <c r="H3533" s="8"/>
      <c r="I3533" s="7"/>
      <c r="J3533" s="8" t="str">
        <f aca="false">VLOOKUP(B3533, Table3[#All], 2, FALSE())</f>
        <v>Sales</v>
      </c>
      <c r="K3533" s="8" t="str">
        <f aca="false">TEXT(ROW(), "0000")</f>
        <v>3533</v>
      </c>
      <c r="L3533" s="8"/>
    </row>
    <row r="3534" customFormat="false" ht="15.75" hidden="false" customHeight="true" outlineLevel="0" collapsed="false">
      <c r="A3534" s="7" t="n">
        <v>45902</v>
      </c>
      <c r="B3534" s="8" t="s">
        <v>16</v>
      </c>
      <c r="C3534" s="9" t="n">
        <v>8312</v>
      </c>
      <c r="D3534" s="8" t="s">
        <v>17</v>
      </c>
      <c r="E3534" s="10" t="s">
        <v>88</v>
      </c>
      <c r="F3534" s="8" t="str">
        <f aca="false">TEXT(A3534,"MM-YYYY")</f>
        <v>09-2025</v>
      </c>
      <c r="G3534" s="8"/>
      <c r="H3534" s="8"/>
      <c r="I3534" s="7"/>
      <c r="J3534" s="8" t="str">
        <f aca="false">VLOOKUP(B3534, Table3[#All], 2, FALSE())</f>
        <v>Sales</v>
      </c>
      <c r="K3534" s="8" t="str">
        <f aca="false">TEXT(ROW(), "0000")</f>
        <v>3534</v>
      </c>
      <c r="L3534" s="8"/>
    </row>
    <row r="3535" customFormat="false" ht="15.75" hidden="false" customHeight="true" outlineLevel="0" collapsed="false">
      <c r="A3535" s="7" t="n">
        <v>45902</v>
      </c>
      <c r="B3535" s="8" t="s">
        <v>32</v>
      </c>
      <c r="C3535" s="9" t="n">
        <v>175</v>
      </c>
      <c r="D3535" s="8" t="s">
        <v>45</v>
      </c>
      <c r="E3535" s="10" t="s">
        <v>450</v>
      </c>
      <c r="F3535" s="8" t="str">
        <f aca="false">TEXT(A3535,"MM-YYYY")</f>
        <v>09-2025</v>
      </c>
      <c r="G3535" s="8" t="s">
        <v>14</v>
      </c>
      <c r="H3535" s="8"/>
      <c r="I3535" s="7"/>
      <c r="J3535" s="8" t="str">
        <f aca="false">VLOOKUP(B3535, Table3[#All], 2, FALSE())</f>
        <v>Grocery</v>
      </c>
      <c r="K3535" s="8" t="str">
        <f aca="false">TEXT(ROW(), "0000")</f>
        <v>3535</v>
      </c>
      <c r="L3535" s="8"/>
    </row>
    <row r="3536" customFormat="false" ht="15.75" hidden="false" customHeight="true" outlineLevel="0" collapsed="false">
      <c r="A3536" s="7" t="n">
        <v>45902</v>
      </c>
      <c r="B3536" s="8" t="s">
        <v>16</v>
      </c>
      <c r="C3536" s="9" t="n">
        <v>976</v>
      </c>
      <c r="D3536" s="8" t="s">
        <v>24</v>
      </c>
      <c r="E3536" s="10" t="s">
        <v>88</v>
      </c>
      <c r="F3536" s="8" t="str">
        <f aca="false">TEXT(A3536,"MM-YYYY")</f>
        <v>09-2025</v>
      </c>
      <c r="G3536" s="8"/>
      <c r="H3536" s="8"/>
      <c r="I3536" s="7"/>
      <c r="J3536" s="8" t="str">
        <f aca="false">VLOOKUP(B3536, Table3[#All], 2, FALSE())</f>
        <v>Sales</v>
      </c>
      <c r="K3536" s="8" t="str">
        <f aca="false">TEXT(ROW(), "0000")</f>
        <v>3536</v>
      </c>
      <c r="L3536" s="8"/>
    </row>
    <row r="3537" customFormat="false" ht="15.75" hidden="false" customHeight="true" outlineLevel="0" collapsed="false">
      <c r="A3537" s="7" t="n">
        <v>45903</v>
      </c>
      <c r="B3537" s="8" t="s">
        <v>69</v>
      </c>
      <c r="C3537" s="9" t="n">
        <v>1500</v>
      </c>
      <c r="D3537" s="8" t="s">
        <v>45</v>
      </c>
      <c r="E3537" s="10" t="s">
        <v>499</v>
      </c>
      <c r="F3537" s="8" t="str">
        <f aca="false">TEXT(A3537,"MM-YYYY")</f>
        <v>09-2025</v>
      </c>
      <c r="G3537" s="8" t="s">
        <v>14</v>
      </c>
      <c r="H3537" s="8"/>
      <c r="I3537" s="7" t="n">
        <v>45903</v>
      </c>
      <c r="J3537" s="8" t="str">
        <f aca="false">VLOOKUP(B3537, Table3[#All], 2, FALSE())</f>
        <v>Fixed Maintance</v>
      </c>
      <c r="K3537" s="8" t="str">
        <f aca="false">TEXT(ROW(), "0000")</f>
        <v>3537</v>
      </c>
      <c r="L3537" s="8"/>
    </row>
    <row r="3538" customFormat="false" ht="15.75" hidden="false" customHeight="true" outlineLevel="0" collapsed="false">
      <c r="A3538" s="7" t="n">
        <v>45903</v>
      </c>
      <c r="B3538" s="8" t="s">
        <v>31</v>
      </c>
      <c r="C3538" s="9" t="n">
        <v>300</v>
      </c>
      <c r="D3538" s="8" t="s">
        <v>45</v>
      </c>
      <c r="E3538" s="10" t="s">
        <v>500</v>
      </c>
      <c r="F3538" s="8" t="str">
        <f aca="false">TEXT(A3538,"MM-YYYY")</f>
        <v>09-2025</v>
      </c>
      <c r="G3538" s="8" t="s">
        <v>14</v>
      </c>
      <c r="H3538" s="8"/>
      <c r="I3538" s="7"/>
      <c r="J3538" s="8" t="str">
        <f aca="false">VLOOKUP(B3538, Table3[#All], 2, FALSE())</f>
        <v>Bike Maintance</v>
      </c>
      <c r="K3538" s="8" t="str">
        <f aca="false">TEXT(ROW(), "0000")</f>
        <v>3538</v>
      </c>
      <c r="L3538" s="8"/>
    </row>
    <row r="3539" customFormat="false" ht="15.75" hidden="false" customHeight="true" outlineLevel="0" collapsed="false">
      <c r="A3539" s="7" t="n">
        <v>45903</v>
      </c>
      <c r="B3539" s="8" t="s">
        <v>40</v>
      </c>
      <c r="C3539" s="9" t="n">
        <v>500</v>
      </c>
      <c r="D3539" s="8" t="s">
        <v>45</v>
      </c>
      <c r="E3539" s="10" t="s">
        <v>103</v>
      </c>
      <c r="F3539" s="8" t="str">
        <f aca="false">TEXT(A3539,"MM-YYYY")</f>
        <v>09-2025</v>
      </c>
      <c r="G3539" s="8" t="s">
        <v>14</v>
      </c>
      <c r="H3539" s="8"/>
      <c r="I3539" s="7"/>
      <c r="J3539" s="8" t="str">
        <f aca="false">VLOOKUP(B3539, Table3[#All], 2, FALSE())</f>
        <v>Inventory</v>
      </c>
      <c r="K3539" s="8" t="str">
        <f aca="false">TEXT(ROW(), "0000")</f>
        <v>3539</v>
      </c>
      <c r="L3539" s="8"/>
    </row>
    <row r="3540" customFormat="false" ht="15.75" hidden="false" customHeight="true" outlineLevel="0" collapsed="false">
      <c r="A3540" s="7" t="n">
        <v>45903</v>
      </c>
      <c r="B3540" s="8" t="s">
        <v>25</v>
      </c>
      <c r="C3540" s="9" t="n">
        <v>1573</v>
      </c>
      <c r="D3540" s="8" t="s">
        <v>13</v>
      </c>
      <c r="E3540" s="10" t="s">
        <v>92</v>
      </c>
      <c r="F3540" s="8" t="str">
        <f aca="false">TEXT(A3540,"MM-YYYY")</f>
        <v>09-2025</v>
      </c>
      <c r="G3540" s="8" t="s">
        <v>18</v>
      </c>
      <c r="H3540" s="8"/>
      <c r="I3540" s="7"/>
      <c r="J3540" s="8" t="str">
        <f aca="false">VLOOKUP(B3540, Table3[#All], 2, FALSE())</f>
        <v>Inventory</v>
      </c>
      <c r="K3540" s="8" t="str">
        <f aca="false">TEXT(ROW(), "0000")</f>
        <v>3540</v>
      </c>
      <c r="L3540" s="8"/>
    </row>
    <row r="3541" customFormat="false" ht="15.75" hidden="false" customHeight="true" outlineLevel="0" collapsed="false">
      <c r="A3541" s="7" t="n">
        <v>45903</v>
      </c>
      <c r="B3541" s="8" t="s">
        <v>47</v>
      </c>
      <c r="C3541" s="9" t="n">
        <v>900</v>
      </c>
      <c r="D3541" s="8" t="s">
        <v>13</v>
      </c>
      <c r="E3541" s="10" t="s">
        <v>484</v>
      </c>
      <c r="F3541" s="8" t="str">
        <f aca="false">TEXT(A3541,"MM-YYYY")</f>
        <v>09-2025</v>
      </c>
      <c r="G3541" s="8" t="s">
        <v>18</v>
      </c>
      <c r="H3541" s="8"/>
      <c r="I3541" s="7"/>
      <c r="J3541" s="8" t="str">
        <f aca="false">VLOOKUP(B3541, Table3[#All], 2, FALSE())</f>
        <v>Inventory</v>
      </c>
      <c r="K3541" s="8" t="str">
        <f aca="false">TEXT(ROW(), "0000")</f>
        <v>3541</v>
      </c>
      <c r="L3541" s="8"/>
    </row>
    <row r="3542" customFormat="false" ht="15.75" hidden="false" customHeight="true" outlineLevel="0" collapsed="false">
      <c r="A3542" s="7" t="n">
        <v>45903</v>
      </c>
      <c r="B3542" s="8" t="s">
        <v>37</v>
      </c>
      <c r="C3542" s="9" t="n">
        <v>20</v>
      </c>
      <c r="D3542" s="8" t="s">
        <v>21</v>
      </c>
      <c r="E3542" s="10" t="s">
        <v>420</v>
      </c>
      <c r="F3542" s="8" t="str">
        <f aca="false">TEXT(A3542,"MM-YYYY")</f>
        <v>09-2025</v>
      </c>
      <c r="G3542" s="8" t="s">
        <v>14</v>
      </c>
      <c r="H3542" s="8"/>
      <c r="I3542" s="7"/>
      <c r="J3542" s="8" t="str">
        <f aca="false">VLOOKUP(B3542, Table3[#All], 2, FALSE())</f>
        <v>Maintance</v>
      </c>
      <c r="K3542" s="8" t="str">
        <f aca="false">TEXT(ROW(), "0000")</f>
        <v>3542</v>
      </c>
      <c r="L3542" s="8"/>
    </row>
    <row r="3543" customFormat="false" ht="15.75" hidden="false" customHeight="true" outlineLevel="0" collapsed="false">
      <c r="A3543" s="7" t="n">
        <v>45903</v>
      </c>
      <c r="B3543" s="8" t="s">
        <v>19</v>
      </c>
      <c r="C3543" s="9" t="n">
        <v>673</v>
      </c>
      <c r="D3543" s="8" t="s">
        <v>13</v>
      </c>
      <c r="E3543" s="10" t="s">
        <v>473</v>
      </c>
      <c r="F3543" s="8" t="str">
        <f aca="false">TEXT(A3543,"MM-YYYY")</f>
        <v>09-2025</v>
      </c>
      <c r="G3543" s="8" t="s">
        <v>14</v>
      </c>
      <c r="H3543" s="8"/>
      <c r="I3543" s="7"/>
      <c r="J3543" s="8" t="str">
        <f aca="false">VLOOKUP(B3543, Table3[#All], 2, FALSE())</f>
        <v>Inventory</v>
      </c>
      <c r="K3543" s="8" t="str">
        <f aca="false">TEXT(ROW(), "0000")</f>
        <v>3543</v>
      </c>
      <c r="L3543" s="8"/>
    </row>
    <row r="3544" customFormat="false" ht="15.75" hidden="false" customHeight="true" outlineLevel="0" collapsed="false">
      <c r="A3544" s="7" t="n">
        <v>45903</v>
      </c>
      <c r="B3544" s="8" t="s">
        <v>56</v>
      </c>
      <c r="C3544" s="9" t="n">
        <v>280</v>
      </c>
      <c r="D3544" s="8" t="s">
        <v>45</v>
      </c>
      <c r="E3544" s="10" t="s">
        <v>501</v>
      </c>
      <c r="F3544" s="8" t="str">
        <f aca="false">TEXT(A3544,"MM-YYYY")</f>
        <v>09-2025</v>
      </c>
      <c r="G3544" s="8" t="s">
        <v>14</v>
      </c>
      <c r="H3544" s="8"/>
      <c r="I3544" s="7"/>
      <c r="J3544" s="8" t="str">
        <f aca="false">VLOOKUP(B3544, Table3[#All], 2, FALSE())</f>
        <v>New Inventory</v>
      </c>
      <c r="K3544" s="8" t="str">
        <f aca="false">TEXT(ROW(), "0000")</f>
        <v>3544</v>
      </c>
      <c r="L3544" s="8"/>
    </row>
    <row r="3545" customFormat="false" ht="15.75" hidden="false" customHeight="true" outlineLevel="0" collapsed="false">
      <c r="A3545" s="7" t="n">
        <v>45903</v>
      </c>
      <c r="B3545" s="8" t="s">
        <v>31</v>
      </c>
      <c r="C3545" s="9" t="n">
        <v>300</v>
      </c>
      <c r="D3545" s="8" t="s">
        <v>45</v>
      </c>
      <c r="E3545" s="10" t="s">
        <v>31</v>
      </c>
      <c r="F3545" s="8" t="str">
        <f aca="false">TEXT(A3545,"MM-YYYY")</f>
        <v>09-2025</v>
      </c>
      <c r="G3545" s="8" t="s">
        <v>14</v>
      </c>
      <c r="H3545" s="8"/>
      <c r="I3545" s="7"/>
      <c r="J3545" s="8" t="str">
        <f aca="false">VLOOKUP(B3545, Table3[#All], 2, FALSE())</f>
        <v>Bike Maintance</v>
      </c>
      <c r="K3545" s="8" t="str">
        <f aca="false">TEXT(ROW(), "0000")</f>
        <v>3545</v>
      </c>
      <c r="L3545" s="8"/>
    </row>
    <row r="3546" customFormat="false" ht="15.75" hidden="false" customHeight="true" outlineLevel="0" collapsed="false">
      <c r="A3546" s="7" t="n">
        <v>45903</v>
      </c>
      <c r="B3546" s="8" t="s">
        <v>56</v>
      </c>
      <c r="C3546" s="9" t="n">
        <v>35</v>
      </c>
      <c r="D3546" s="8" t="s">
        <v>45</v>
      </c>
      <c r="E3546" s="10" t="s">
        <v>502</v>
      </c>
      <c r="F3546" s="8" t="str">
        <f aca="false">TEXT(A3546,"MM-YYYY")</f>
        <v>09-2025</v>
      </c>
      <c r="G3546" s="8" t="s">
        <v>14</v>
      </c>
      <c r="H3546" s="8"/>
      <c r="I3546" s="7"/>
      <c r="J3546" s="8" t="str">
        <f aca="false">VLOOKUP(B3546, Table3[#All], 2, FALSE())</f>
        <v>New Inventory</v>
      </c>
      <c r="K3546" s="8" t="str">
        <f aca="false">TEXT(ROW(), "0000")</f>
        <v>3546</v>
      </c>
      <c r="L3546" s="8"/>
    </row>
    <row r="3547" customFormat="false" ht="15.75" hidden="false" customHeight="true" outlineLevel="0" collapsed="false">
      <c r="A3547" s="7" t="n">
        <v>45903</v>
      </c>
      <c r="B3547" s="8" t="s">
        <v>16</v>
      </c>
      <c r="C3547" s="9" t="n">
        <v>900</v>
      </c>
      <c r="D3547" s="8" t="s">
        <v>21</v>
      </c>
      <c r="E3547" s="10" t="s">
        <v>88</v>
      </c>
      <c r="F3547" s="8" t="str">
        <f aca="false">TEXT(A3547,"MM-YYYY")</f>
        <v>09-2025</v>
      </c>
      <c r="G3547" s="8"/>
      <c r="H3547" s="8"/>
      <c r="I3547" s="7"/>
      <c r="J3547" s="8" t="str">
        <f aca="false">VLOOKUP(B3547, Table3[#All], 2, FALSE())</f>
        <v>Sales</v>
      </c>
      <c r="K3547" s="8" t="str">
        <f aca="false">TEXT(ROW(), "0000")</f>
        <v>3547</v>
      </c>
      <c r="L3547" s="8"/>
    </row>
    <row r="3548" customFormat="false" ht="15.75" hidden="false" customHeight="true" outlineLevel="0" collapsed="false">
      <c r="A3548" s="7" t="n">
        <v>45903</v>
      </c>
      <c r="B3548" s="8" t="s">
        <v>16</v>
      </c>
      <c r="C3548" s="9" t="n">
        <v>475</v>
      </c>
      <c r="D3548" s="8" t="s">
        <v>33</v>
      </c>
      <c r="E3548" s="10" t="s">
        <v>88</v>
      </c>
      <c r="F3548" s="8" t="str">
        <f aca="false">TEXT(A3548,"MM-YYYY")</f>
        <v>09-2025</v>
      </c>
      <c r="G3548" s="8"/>
      <c r="H3548" s="8"/>
      <c r="I3548" s="7"/>
      <c r="J3548" s="8" t="str">
        <f aca="false">VLOOKUP(B3548, Table3[#All], 2, FALSE())</f>
        <v>Sales</v>
      </c>
      <c r="K3548" s="8" t="str">
        <f aca="false">TEXT(ROW(), "0000")</f>
        <v>3548</v>
      </c>
      <c r="L3548" s="8"/>
    </row>
    <row r="3549" customFormat="false" ht="15.75" hidden="false" customHeight="true" outlineLevel="0" collapsed="false">
      <c r="A3549" s="7" t="n">
        <v>45903</v>
      </c>
      <c r="B3549" s="8" t="s">
        <v>16</v>
      </c>
      <c r="C3549" s="9" t="n">
        <v>15327</v>
      </c>
      <c r="D3549" s="8" t="s">
        <v>17</v>
      </c>
      <c r="E3549" s="10" t="s">
        <v>88</v>
      </c>
      <c r="F3549" s="8" t="str">
        <f aca="false">TEXT(A3549,"MM-YYYY")</f>
        <v>09-2025</v>
      </c>
      <c r="G3549" s="8"/>
      <c r="H3549" s="8"/>
      <c r="I3549" s="7"/>
      <c r="J3549" s="8" t="str">
        <f aca="false">VLOOKUP(B3549, Table3[#All], 2, FALSE())</f>
        <v>Sales</v>
      </c>
      <c r="K3549" s="8" t="str">
        <f aca="false">TEXT(ROW(), "0000")</f>
        <v>3549</v>
      </c>
      <c r="L3549" s="8"/>
    </row>
    <row r="3550" customFormat="false" ht="15.75" hidden="false" customHeight="true" outlineLevel="0" collapsed="false">
      <c r="A3550" s="7" t="n">
        <v>45903</v>
      </c>
      <c r="B3550" s="8" t="s">
        <v>12</v>
      </c>
      <c r="C3550" s="9" t="n">
        <v>20</v>
      </c>
      <c r="D3550" s="8" t="s">
        <v>45</v>
      </c>
      <c r="E3550" s="10" t="s">
        <v>457</v>
      </c>
      <c r="F3550" s="8" t="str">
        <f aca="false">TEXT(A3550,"MM-YYYY")</f>
        <v>09-2025</v>
      </c>
      <c r="G3550" s="8" t="s">
        <v>14</v>
      </c>
      <c r="H3550" s="8"/>
      <c r="I3550" s="7"/>
      <c r="J3550" s="8" t="str">
        <f aca="false">VLOOKUP(B3550, Table3[#All], 2, FALSE())</f>
        <v>Fixed Maintance</v>
      </c>
      <c r="K3550" s="8" t="str">
        <f aca="false">TEXT(ROW(), "0000")</f>
        <v>3550</v>
      </c>
      <c r="L3550" s="8"/>
    </row>
    <row r="3551" customFormat="false" ht="15.75" hidden="false" customHeight="true" outlineLevel="0" collapsed="false">
      <c r="A3551" s="7" t="n">
        <v>45903</v>
      </c>
      <c r="B3551" s="8" t="s">
        <v>34</v>
      </c>
      <c r="C3551" s="9" t="n">
        <v>30</v>
      </c>
      <c r="D3551" s="8" t="s">
        <v>45</v>
      </c>
      <c r="E3551" s="10" t="s">
        <v>34</v>
      </c>
      <c r="F3551" s="8" t="str">
        <f aca="false">TEXT(A3551,"MM-YYYY")</f>
        <v>09-2025</v>
      </c>
      <c r="G3551" s="8" t="s">
        <v>14</v>
      </c>
      <c r="H3551" s="8"/>
      <c r="I3551" s="7"/>
      <c r="J3551" s="8" t="str">
        <f aca="false">VLOOKUP(B3551, Table3[#All], 2, FALSE())</f>
        <v>Staff Expenses</v>
      </c>
      <c r="K3551" s="8" t="str">
        <f aca="false">TEXT(ROW(), "0000")</f>
        <v>3551</v>
      </c>
      <c r="L3551" s="8"/>
    </row>
    <row r="3552" customFormat="false" ht="15.75" hidden="false" customHeight="true" outlineLevel="0" collapsed="false">
      <c r="A3552" s="7" t="n">
        <v>45903</v>
      </c>
      <c r="B3552" s="8" t="s">
        <v>16</v>
      </c>
      <c r="C3552" s="9" t="n">
        <v>1590</v>
      </c>
      <c r="D3552" s="8" t="s">
        <v>59</v>
      </c>
      <c r="E3552" s="10" t="s">
        <v>88</v>
      </c>
      <c r="F3552" s="8" t="str">
        <f aca="false">TEXT(A3552,"MM-YYYY")</f>
        <v>09-2025</v>
      </c>
      <c r="G3552" s="8"/>
      <c r="H3552" s="8"/>
      <c r="I3552" s="7"/>
      <c r="J3552" s="8" t="str">
        <f aca="false">VLOOKUP(B3552, Table3[#All], 2, FALSE())</f>
        <v>Sales</v>
      </c>
      <c r="K3552" s="8" t="str">
        <f aca="false">TEXT(ROW(), "0000")</f>
        <v>3552</v>
      </c>
      <c r="L3552" s="8"/>
    </row>
    <row r="3553" customFormat="false" ht="15.75" hidden="false" customHeight="true" outlineLevel="0" collapsed="false">
      <c r="A3553" s="7" t="n">
        <v>45903</v>
      </c>
      <c r="B3553" s="8" t="s">
        <v>16</v>
      </c>
      <c r="C3553" s="9" t="n">
        <v>226</v>
      </c>
      <c r="D3553" s="8" t="s">
        <v>24</v>
      </c>
      <c r="E3553" s="10" t="s">
        <v>88</v>
      </c>
      <c r="F3553" s="8" t="str">
        <f aca="false">TEXT(A3553,"MM-YYYY")</f>
        <v>09-2025</v>
      </c>
      <c r="G3553" s="8"/>
      <c r="H3553" s="8"/>
      <c r="I3553" s="7"/>
      <c r="J3553" s="8" t="str">
        <f aca="false">VLOOKUP(B3553, Table3[#All], 2, FALSE())</f>
        <v>Sales</v>
      </c>
      <c r="K3553" s="8" t="str">
        <f aca="false">TEXT(ROW(), "0000")</f>
        <v>3553</v>
      </c>
      <c r="L3553" s="8"/>
    </row>
    <row r="3554" customFormat="false" ht="15.75" hidden="false" customHeight="true" outlineLevel="0" collapsed="false">
      <c r="A3554" s="7" t="n">
        <v>45903</v>
      </c>
      <c r="B3554" s="8" t="s">
        <v>29</v>
      </c>
      <c r="C3554" s="9" t="n">
        <v>200</v>
      </c>
      <c r="D3554" s="8" t="s">
        <v>45</v>
      </c>
      <c r="E3554" s="10" t="s">
        <v>488</v>
      </c>
      <c r="F3554" s="8" t="str">
        <f aca="false">TEXT(A3554,"MM-YYYY")</f>
        <v>09-2025</v>
      </c>
      <c r="G3554" s="8" t="s">
        <v>14</v>
      </c>
      <c r="H3554" s="8"/>
      <c r="I3554" s="7"/>
      <c r="J3554" s="8" t="str">
        <f aca="false">VLOOKUP(B3554, Table3[#All], 2, FALSE())</f>
        <v>Inventory</v>
      </c>
      <c r="K3554" s="8" t="str">
        <f aca="false">TEXT(ROW(), "0000")</f>
        <v>3554</v>
      </c>
      <c r="L3554" s="8"/>
    </row>
    <row r="3555" customFormat="false" ht="15.75" hidden="false" customHeight="true" outlineLevel="0" collapsed="false">
      <c r="A3555" s="7" t="n">
        <v>45904</v>
      </c>
      <c r="B3555" s="8" t="s">
        <v>22</v>
      </c>
      <c r="C3555" s="9" t="n">
        <v>7602</v>
      </c>
      <c r="D3555" s="8" t="s">
        <v>13</v>
      </c>
      <c r="E3555" s="10" t="s">
        <v>473</v>
      </c>
      <c r="F3555" s="8" t="str">
        <f aca="false">TEXT(A3555,"MM-YYYY")</f>
        <v>09-2025</v>
      </c>
      <c r="G3555" s="8" t="s">
        <v>18</v>
      </c>
      <c r="H3555" s="8"/>
      <c r="I3555" s="7"/>
      <c r="J3555" s="8" t="str">
        <f aca="false">VLOOKUP(B3555, Table3[#All], 2, FALSE())</f>
        <v>Inventory</v>
      </c>
      <c r="K3555" s="8" t="str">
        <f aca="false">TEXT(ROW(), "0000")</f>
        <v>3555</v>
      </c>
      <c r="L3555" s="8"/>
    </row>
    <row r="3556" customFormat="false" ht="15.75" hidden="false" customHeight="true" outlineLevel="0" collapsed="false">
      <c r="A3556" s="7" t="n">
        <v>45904</v>
      </c>
      <c r="B3556" s="8" t="s">
        <v>22</v>
      </c>
      <c r="C3556" s="9" t="n">
        <v>55</v>
      </c>
      <c r="D3556" s="8" t="s">
        <v>21</v>
      </c>
      <c r="E3556" s="10" t="s">
        <v>479</v>
      </c>
      <c r="F3556" s="8" t="str">
        <f aca="false">TEXT(A3556,"MM-YYYY")</f>
        <v>09-2025</v>
      </c>
      <c r="G3556" s="8" t="s">
        <v>14</v>
      </c>
      <c r="H3556" s="8"/>
      <c r="I3556" s="7"/>
      <c r="J3556" s="8" t="str">
        <f aca="false">VLOOKUP(B3556, Table3[#All], 2, FALSE())</f>
        <v>Inventory</v>
      </c>
      <c r="K3556" s="8" t="str">
        <f aca="false">TEXT(ROW(), "0000")</f>
        <v>3556</v>
      </c>
      <c r="L3556" s="8"/>
    </row>
    <row r="3557" customFormat="false" ht="15.75" hidden="false" customHeight="true" outlineLevel="0" collapsed="false">
      <c r="A3557" s="7" t="n">
        <v>45904</v>
      </c>
      <c r="B3557" s="8" t="s">
        <v>40</v>
      </c>
      <c r="C3557" s="9" t="n">
        <v>1560</v>
      </c>
      <c r="D3557" s="8" t="s">
        <v>45</v>
      </c>
      <c r="E3557" s="10" t="s">
        <v>503</v>
      </c>
      <c r="F3557" s="8" t="str">
        <f aca="false">TEXT(A3557,"MM-YYYY")</f>
        <v>09-2025</v>
      </c>
      <c r="G3557" s="8" t="s">
        <v>14</v>
      </c>
      <c r="H3557" s="8"/>
      <c r="I3557" s="7"/>
      <c r="J3557" s="8" t="str">
        <f aca="false">VLOOKUP(B3557, Table3[#All], 2, FALSE())</f>
        <v>Inventory</v>
      </c>
      <c r="K3557" s="8" t="str">
        <f aca="false">TEXT(ROW(), "0000")</f>
        <v>3557</v>
      </c>
      <c r="L3557" s="8"/>
    </row>
    <row r="3558" customFormat="false" ht="15.75" hidden="false" customHeight="true" outlineLevel="0" collapsed="false">
      <c r="A3558" s="7" t="n">
        <v>45904</v>
      </c>
      <c r="B3558" s="8" t="s">
        <v>32</v>
      </c>
      <c r="C3558" s="9" t="n">
        <v>175</v>
      </c>
      <c r="D3558" s="8" t="s">
        <v>21</v>
      </c>
      <c r="E3558" s="10" t="s">
        <v>450</v>
      </c>
      <c r="F3558" s="8" t="str">
        <f aca="false">TEXT(A3558,"MM-YYYY")</f>
        <v>09-2025</v>
      </c>
      <c r="G3558" s="8" t="s">
        <v>14</v>
      </c>
      <c r="H3558" s="8"/>
      <c r="I3558" s="7"/>
      <c r="J3558" s="8" t="str">
        <f aca="false">VLOOKUP(B3558, Table3[#All], 2, FALSE())</f>
        <v>Grocery</v>
      </c>
      <c r="K3558" s="8" t="str">
        <f aca="false">TEXT(ROW(), "0000")</f>
        <v>3558</v>
      </c>
      <c r="L3558" s="8"/>
    </row>
    <row r="3559" customFormat="false" ht="15.75" hidden="false" customHeight="true" outlineLevel="0" collapsed="false">
      <c r="A3559" s="7" t="n">
        <v>45904</v>
      </c>
      <c r="B3559" s="8" t="s">
        <v>56</v>
      </c>
      <c r="C3559" s="9" t="n">
        <v>20</v>
      </c>
      <c r="D3559" s="8" t="s">
        <v>45</v>
      </c>
      <c r="E3559" s="10" t="s">
        <v>504</v>
      </c>
      <c r="F3559" s="8" t="str">
        <f aca="false">TEXT(A3559,"MM-YYYY")</f>
        <v>09-2025</v>
      </c>
      <c r="G3559" s="8" t="s">
        <v>14</v>
      </c>
      <c r="H3559" s="8"/>
      <c r="I3559" s="7"/>
      <c r="J3559" s="8" t="str">
        <f aca="false">VLOOKUP(B3559, Table3[#All], 2, FALSE())</f>
        <v>New Inventory</v>
      </c>
      <c r="K3559" s="8" t="str">
        <f aca="false">TEXT(ROW(), "0000")</f>
        <v>3559</v>
      </c>
      <c r="L3559" s="8"/>
    </row>
    <row r="3560" customFormat="false" ht="15.75" hidden="false" customHeight="true" outlineLevel="0" collapsed="false">
      <c r="A3560" s="7" t="n">
        <v>45904</v>
      </c>
      <c r="B3560" s="8" t="s">
        <v>44</v>
      </c>
      <c r="C3560" s="9" t="n">
        <v>4000</v>
      </c>
      <c r="D3560" s="8" t="s">
        <v>13</v>
      </c>
      <c r="E3560" s="10" t="s">
        <v>370</v>
      </c>
      <c r="F3560" s="8" t="str">
        <f aca="false">TEXT(A3560,"MM-YYYY")</f>
        <v>09-2025</v>
      </c>
      <c r="G3560" s="8" t="s">
        <v>14</v>
      </c>
      <c r="H3560" s="8"/>
      <c r="I3560" s="7"/>
      <c r="J3560" s="8" t="str">
        <f aca="false">VLOOKUP(B3560, Table3[#All], 2, FALSE())</f>
        <v>Salary</v>
      </c>
      <c r="K3560" s="8" t="str">
        <f aca="false">TEXT(ROW(), "0000")</f>
        <v>3560</v>
      </c>
      <c r="L3560" s="8"/>
    </row>
    <row r="3561" customFormat="false" ht="15.75" hidden="false" customHeight="true" outlineLevel="0" collapsed="false">
      <c r="A3561" s="7" t="n">
        <v>45904</v>
      </c>
      <c r="B3561" s="8" t="s">
        <v>29</v>
      </c>
      <c r="C3561" s="9" t="n">
        <v>500</v>
      </c>
      <c r="D3561" s="8" t="s">
        <v>45</v>
      </c>
      <c r="E3561" s="10" t="s">
        <v>78</v>
      </c>
      <c r="F3561" s="8" t="str">
        <f aca="false">TEXT(A3561,"MM-YYYY")</f>
        <v>09-2025</v>
      </c>
      <c r="G3561" s="8" t="s">
        <v>14</v>
      </c>
      <c r="H3561" s="8"/>
      <c r="I3561" s="7"/>
      <c r="J3561" s="8" t="str">
        <f aca="false">VLOOKUP(B3561, Table3[#All], 2, FALSE())</f>
        <v>Inventory</v>
      </c>
      <c r="K3561" s="8" t="str">
        <f aca="false">TEXT(ROW(), "0000")</f>
        <v>3561</v>
      </c>
      <c r="L3561" s="8"/>
    </row>
    <row r="3562" customFormat="false" ht="15.75" hidden="false" customHeight="true" outlineLevel="0" collapsed="false">
      <c r="A3562" s="7" t="n">
        <v>45904</v>
      </c>
      <c r="B3562" s="8" t="s">
        <v>16</v>
      </c>
      <c r="C3562" s="9" t="n">
        <v>3178</v>
      </c>
      <c r="D3562" s="8" t="s">
        <v>21</v>
      </c>
      <c r="E3562" s="10" t="s">
        <v>88</v>
      </c>
      <c r="F3562" s="8" t="str">
        <f aca="false">TEXT(A3562,"MM-YYYY")</f>
        <v>09-2025</v>
      </c>
      <c r="G3562" s="8"/>
      <c r="H3562" s="8"/>
      <c r="I3562" s="7"/>
      <c r="J3562" s="8" t="str">
        <f aca="false">VLOOKUP(B3562, Table3[#All], 2, FALSE())</f>
        <v>Sales</v>
      </c>
      <c r="K3562" s="8" t="str">
        <f aca="false">TEXT(ROW(), "0000")</f>
        <v>3562</v>
      </c>
      <c r="L3562" s="8"/>
    </row>
    <row r="3563" customFormat="false" ht="15.75" hidden="false" customHeight="true" outlineLevel="0" collapsed="false">
      <c r="A3563" s="7" t="n">
        <v>45904</v>
      </c>
      <c r="B3563" s="8" t="s">
        <v>16</v>
      </c>
      <c r="C3563" s="9" t="n">
        <v>6483</v>
      </c>
      <c r="D3563" s="8" t="s">
        <v>17</v>
      </c>
      <c r="E3563" s="10" t="s">
        <v>88</v>
      </c>
      <c r="F3563" s="8" t="str">
        <f aca="false">TEXT(A3563,"MM-YYYY")</f>
        <v>09-2025</v>
      </c>
      <c r="G3563" s="8"/>
      <c r="H3563" s="8"/>
      <c r="I3563" s="7"/>
      <c r="J3563" s="8" t="str">
        <f aca="false">VLOOKUP(B3563, Table3[#All], 2, FALSE())</f>
        <v>Sales</v>
      </c>
      <c r="K3563" s="8" t="str">
        <f aca="false">TEXT(ROW(), "0000")</f>
        <v>3563</v>
      </c>
      <c r="L3563" s="8"/>
    </row>
    <row r="3564" customFormat="false" ht="15.75" hidden="false" customHeight="true" outlineLevel="0" collapsed="false">
      <c r="A3564" s="7" t="n">
        <v>45904</v>
      </c>
      <c r="B3564" s="8" t="s">
        <v>16</v>
      </c>
      <c r="C3564" s="9" t="n">
        <v>8815</v>
      </c>
      <c r="D3564" s="8" t="s">
        <v>24</v>
      </c>
      <c r="E3564" s="10" t="s">
        <v>88</v>
      </c>
      <c r="F3564" s="8" t="str">
        <f aca="false">TEXT(A3564,"MM-YYYY")</f>
        <v>09-2025</v>
      </c>
      <c r="G3564" s="8"/>
      <c r="H3564" s="8"/>
      <c r="I3564" s="7"/>
      <c r="J3564" s="8" t="str">
        <f aca="false">VLOOKUP(B3564, Table3[#All], 2, FALSE())</f>
        <v>Sales</v>
      </c>
      <c r="K3564" s="8" t="str">
        <f aca="false">TEXT(ROW(), "0000")</f>
        <v>3564</v>
      </c>
      <c r="L3564" s="8"/>
    </row>
    <row r="3565" customFormat="false" ht="15.75" hidden="false" customHeight="true" outlineLevel="0" collapsed="false">
      <c r="A3565" s="7" t="n">
        <v>45904</v>
      </c>
      <c r="B3565" s="8" t="s">
        <v>29</v>
      </c>
      <c r="C3565" s="9" t="n">
        <v>25</v>
      </c>
      <c r="D3565" s="8" t="s">
        <v>21</v>
      </c>
      <c r="E3565" s="10" t="s">
        <v>468</v>
      </c>
      <c r="F3565" s="8" t="str">
        <f aca="false">TEXT(A3565,"MM-YYYY")</f>
        <v>09-2025</v>
      </c>
      <c r="G3565" s="8" t="s">
        <v>14</v>
      </c>
      <c r="H3565" s="8"/>
      <c r="I3565" s="7"/>
      <c r="J3565" s="8" t="str">
        <f aca="false">VLOOKUP(B3565, Table3[#All], 2, FALSE())</f>
        <v>Inventory</v>
      </c>
      <c r="K3565" s="8" t="str">
        <f aca="false">TEXT(ROW(), "0000")</f>
        <v>3565</v>
      </c>
      <c r="L3565" s="8"/>
    </row>
    <row r="3566" customFormat="false" ht="15.75" hidden="false" customHeight="true" outlineLevel="0" collapsed="false">
      <c r="A3566" s="7" t="n">
        <v>45904</v>
      </c>
      <c r="B3566" s="8" t="s">
        <v>34</v>
      </c>
      <c r="C3566" s="9" t="n">
        <v>30</v>
      </c>
      <c r="D3566" s="8" t="s">
        <v>45</v>
      </c>
      <c r="E3566" s="10" t="s">
        <v>154</v>
      </c>
      <c r="F3566" s="8" t="str">
        <f aca="false">TEXT(A3566,"MM-YYYY")</f>
        <v>09-2025</v>
      </c>
      <c r="G3566" s="8" t="s">
        <v>14</v>
      </c>
      <c r="H3566" s="8"/>
      <c r="I3566" s="7"/>
      <c r="J3566" s="8" t="str">
        <f aca="false">VLOOKUP(B3566, Table3[#All], 2, FALSE())</f>
        <v>Staff Expenses</v>
      </c>
      <c r="K3566" s="8" t="str">
        <f aca="false">TEXT(ROW(), "0000")</f>
        <v>3566</v>
      </c>
      <c r="L3566" s="8"/>
    </row>
    <row r="3567" customFormat="false" ht="15.75" hidden="false" customHeight="true" outlineLevel="0" collapsed="false">
      <c r="A3567" s="7" t="n">
        <v>45905</v>
      </c>
      <c r="B3567" s="8" t="s">
        <v>44</v>
      </c>
      <c r="C3567" s="9" t="n">
        <v>3000</v>
      </c>
      <c r="D3567" s="8" t="s">
        <v>45</v>
      </c>
      <c r="E3567" s="10" t="s">
        <v>370</v>
      </c>
      <c r="F3567" s="8" t="str">
        <f aca="false">TEXT(A3567,"MM-YYYY")</f>
        <v>09-2025</v>
      </c>
      <c r="G3567" s="8" t="s">
        <v>14</v>
      </c>
      <c r="H3567" s="8" t="s">
        <v>232</v>
      </c>
      <c r="I3567" s="7" t="n">
        <v>45905</v>
      </c>
      <c r="J3567" s="8" t="str">
        <f aca="false">VLOOKUP(B3567, Table3[#All], 2, FALSE())</f>
        <v>Salary</v>
      </c>
      <c r="K3567" s="8" t="str">
        <f aca="false">TEXT(ROW(), "0000")</f>
        <v>3567</v>
      </c>
      <c r="L3567" s="8"/>
    </row>
    <row r="3568" customFormat="false" ht="15.75" hidden="false" customHeight="true" outlineLevel="0" collapsed="false">
      <c r="A3568" s="7" t="n">
        <v>45905</v>
      </c>
      <c r="B3568" s="8" t="s">
        <v>28</v>
      </c>
      <c r="C3568" s="9" t="n">
        <v>360</v>
      </c>
      <c r="D3568" s="8" t="s">
        <v>13</v>
      </c>
      <c r="E3568" s="10" t="s">
        <v>66</v>
      </c>
      <c r="F3568" s="8" t="str">
        <f aca="false">TEXT(A3568,"MM-YYYY")</f>
        <v>09-2025</v>
      </c>
      <c r="G3568" s="8" t="s">
        <v>14</v>
      </c>
      <c r="H3568" s="8"/>
      <c r="I3568" s="7"/>
      <c r="J3568" s="8" t="str">
        <f aca="false">VLOOKUP(B3568, Table3[#All], 2, FALSE())</f>
        <v>Grocery</v>
      </c>
      <c r="K3568" s="8" t="str">
        <f aca="false">TEXT(ROW(), "0000")</f>
        <v>3568</v>
      </c>
      <c r="L3568" s="8"/>
    </row>
    <row r="3569" customFormat="false" ht="15.75" hidden="false" customHeight="true" outlineLevel="0" collapsed="false">
      <c r="A3569" s="7" t="n">
        <v>45905</v>
      </c>
      <c r="B3569" s="8" t="s">
        <v>32</v>
      </c>
      <c r="C3569" s="9" t="n">
        <v>140</v>
      </c>
      <c r="D3569" s="8" t="s">
        <v>45</v>
      </c>
      <c r="E3569" s="10" t="s">
        <v>450</v>
      </c>
      <c r="F3569" s="8" t="str">
        <f aca="false">TEXT(A3569,"MM-YYYY")</f>
        <v>09-2025</v>
      </c>
      <c r="G3569" s="8" t="s">
        <v>14</v>
      </c>
      <c r="H3569" s="8"/>
      <c r="I3569" s="7"/>
      <c r="J3569" s="8" t="str">
        <f aca="false">VLOOKUP(B3569, Table3[#All], 2, FALSE())</f>
        <v>Grocery</v>
      </c>
      <c r="K3569" s="8" t="str">
        <f aca="false">TEXT(ROW(), "0000")</f>
        <v>3569</v>
      </c>
      <c r="L3569" s="8"/>
    </row>
    <row r="3570" customFormat="false" ht="15.75" hidden="false" customHeight="true" outlineLevel="0" collapsed="false">
      <c r="A3570" s="7" t="n">
        <v>45905</v>
      </c>
      <c r="B3570" s="8" t="s">
        <v>56</v>
      </c>
      <c r="C3570" s="9" t="n">
        <v>130</v>
      </c>
      <c r="D3570" s="8" t="s">
        <v>45</v>
      </c>
      <c r="E3570" s="10" t="s">
        <v>505</v>
      </c>
      <c r="F3570" s="8" t="str">
        <f aca="false">TEXT(A3570,"MM-YYYY")</f>
        <v>09-2025</v>
      </c>
      <c r="G3570" s="8" t="s">
        <v>14</v>
      </c>
      <c r="H3570" s="8"/>
      <c r="I3570" s="7"/>
      <c r="J3570" s="8" t="str">
        <f aca="false">VLOOKUP(B3570, Table3[#All], 2, FALSE())</f>
        <v>New Inventory</v>
      </c>
      <c r="K3570" s="8" t="str">
        <f aca="false">TEXT(ROW(), "0000")</f>
        <v>3570</v>
      </c>
      <c r="L3570" s="8"/>
    </row>
    <row r="3571" customFormat="false" ht="15.75" hidden="false" customHeight="true" outlineLevel="0" collapsed="false">
      <c r="A3571" s="7" t="n">
        <v>45905</v>
      </c>
      <c r="B3571" s="8" t="s">
        <v>199</v>
      </c>
      <c r="C3571" s="9" t="n">
        <v>650</v>
      </c>
      <c r="D3571" s="8" t="s">
        <v>13</v>
      </c>
      <c r="E3571" s="10" t="s">
        <v>352</v>
      </c>
      <c r="F3571" s="8" t="str">
        <f aca="false">TEXT(A3571,"MM-YYYY")</f>
        <v>09-2025</v>
      </c>
      <c r="G3571" s="8" t="s">
        <v>14</v>
      </c>
      <c r="H3571" s="8"/>
      <c r="I3571" s="7" t="n">
        <v>45905</v>
      </c>
      <c r="J3571" s="8" t="str">
        <f aca="false">VLOOKUP(B3571, Table3[#All], 2, FALSE())</f>
        <v>Fixed Maintance</v>
      </c>
      <c r="K3571" s="8" t="str">
        <f aca="false">TEXT(ROW(), "0000")</f>
        <v>3571</v>
      </c>
      <c r="L3571" s="8"/>
    </row>
    <row r="3572" customFormat="false" ht="15.75" hidden="false" customHeight="true" outlineLevel="0" collapsed="false">
      <c r="A3572" s="7" t="n">
        <v>45905</v>
      </c>
      <c r="B3572" s="8" t="s">
        <v>199</v>
      </c>
      <c r="C3572" s="9" t="n">
        <v>3373</v>
      </c>
      <c r="D3572" s="8" t="s">
        <v>13</v>
      </c>
      <c r="E3572" s="10" t="s">
        <v>506</v>
      </c>
      <c r="F3572" s="8" t="str">
        <f aca="false">TEXT(A3572,"MM-YYYY")</f>
        <v>09-2025</v>
      </c>
      <c r="G3572" s="8" t="s">
        <v>14</v>
      </c>
      <c r="H3572" s="8"/>
      <c r="I3572" s="7" t="n">
        <v>45905</v>
      </c>
      <c r="J3572" s="8" t="str">
        <f aca="false">VLOOKUP(B3572, Table3[#All], 2, FALSE())</f>
        <v>Fixed Maintance</v>
      </c>
      <c r="K3572" s="8" t="str">
        <f aca="false">TEXT(ROW(), "0000")</f>
        <v>3572</v>
      </c>
      <c r="L3572" s="8"/>
    </row>
    <row r="3573" customFormat="false" ht="15.75" hidden="false" customHeight="true" outlineLevel="0" collapsed="false">
      <c r="A3573" s="7" t="n">
        <v>45905</v>
      </c>
      <c r="B3573" s="8" t="s">
        <v>25</v>
      </c>
      <c r="C3573" s="9" t="n">
        <v>184</v>
      </c>
      <c r="D3573" s="8" t="s">
        <v>13</v>
      </c>
      <c r="E3573" s="10" t="s">
        <v>92</v>
      </c>
      <c r="F3573" s="8" t="str">
        <f aca="false">TEXT(A3573,"MM-YYYY")</f>
        <v>09-2025</v>
      </c>
      <c r="G3573" s="8" t="s">
        <v>18</v>
      </c>
      <c r="H3573" s="8"/>
      <c r="I3573" s="7"/>
      <c r="J3573" s="8" t="str">
        <f aca="false">VLOOKUP(B3573, Table3[#All], 2, FALSE())</f>
        <v>Inventory</v>
      </c>
      <c r="K3573" s="8" t="str">
        <f aca="false">TEXT(ROW(), "0000")</f>
        <v>3573</v>
      </c>
      <c r="L3573" s="8"/>
    </row>
    <row r="3574" customFormat="false" ht="15.75" hidden="false" customHeight="true" outlineLevel="0" collapsed="false">
      <c r="A3574" s="7" t="n">
        <v>45875</v>
      </c>
      <c r="B3574" s="8" t="s">
        <v>50</v>
      </c>
      <c r="C3574" s="9" t="n">
        <v>1645</v>
      </c>
      <c r="D3574" s="8" t="s">
        <v>13</v>
      </c>
      <c r="E3574" s="10" t="s">
        <v>263</v>
      </c>
      <c r="F3574" s="8" t="str">
        <f aca="false">TEXT(A3574,"MM-YYYY")</f>
        <v>08-2025</v>
      </c>
      <c r="G3574" s="8" t="s">
        <v>14</v>
      </c>
      <c r="H3574" s="8" t="s">
        <v>13</v>
      </c>
      <c r="I3574" s="7" t="n">
        <v>45883</v>
      </c>
      <c r="J3574" s="8" t="str">
        <f aca="false">VLOOKUP(B3574, Table3[#All], 2, FALSE())</f>
        <v>Fixed Maintance</v>
      </c>
      <c r="K3574" s="8" t="str">
        <f aca="false">TEXT(ROW(), "0000")</f>
        <v>3574</v>
      </c>
      <c r="L3574" s="8"/>
    </row>
    <row r="3575" customFormat="false" ht="15.75" hidden="false" customHeight="true" outlineLevel="0" collapsed="false">
      <c r="A3575" s="7" t="n">
        <v>45878</v>
      </c>
      <c r="B3575" s="8" t="s">
        <v>50</v>
      </c>
      <c r="C3575" s="9" t="n">
        <v>3290</v>
      </c>
      <c r="D3575" s="8" t="s">
        <v>13</v>
      </c>
      <c r="E3575" s="10" t="s">
        <v>263</v>
      </c>
      <c r="F3575" s="8" t="str">
        <f aca="false">TEXT(A3575,"MM-YYYY")</f>
        <v>08-2025</v>
      </c>
      <c r="G3575" s="8" t="s">
        <v>14</v>
      </c>
      <c r="H3575" s="8" t="s">
        <v>13</v>
      </c>
      <c r="I3575" s="7" t="n">
        <v>45883</v>
      </c>
      <c r="J3575" s="8" t="str">
        <f aca="false">VLOOKUP(B3575, Table3[#All], 2, FALSE())</f>
        <v>Fixed Maintance</v>
      </c>
      <c r="K3575" s="8" t="str">
        <f aca="false">TEXT(ROW(), "0000")</f>
        <v>3575</v>
      </c>
      <c r="L3575" s="8"/>
    </row>
    <row r="3576" customFormat="false" ht="15.75" hidden="false" customHeight="true" outlineLevel="0" collapsed="false">
      <c r="A3576" s="7" t="n">
        <v>45880</v>
      </c>
      <c r="B3576" s="8" t="s">
        <v>50</v>
      </c>
      <c r="C3576" s="9" t="n">
        <v>1645</v>
      </c>
      <c r="D3576" s="8" t="s">
        <v>13</v>
      </c>
      <c r="E3576" s="10" t="s">
        <v>263</v>
      </c>
      <c r="F3576" s="8" t="str">
        <f aca="false">TEXT(A3576,"MM-YYYY")</f>
        <v>08-2025</v>
      </c>
      <c r="G3576" s="8" t="s">
        <v>14</v>
      </c>
      <c r="H3576" s="8" t="s">
        <v>13</v>
      </c>
      <c r="I3576" s="7" t="n">
        <v>45883</v>
      </c>
      <c r="J3576" s="8" t="str">
        <f aca="false">VLOOKUP(B3576, Table3[#All], 2, FALSE())</f>
        <v>Fixed Maintance</v>
      </c>
      <c r="K3576" s="8" t="str">
        <f aca="false">TEXT(ROW(), "0000")</f>
        <v>3576</v>
      </c>
      <c r="L3576" s="8"/>
    </row>
    <row r="3577" customFormat="false" ht="15.75" hidden="false" customHeight="true" outlineLevel="0" collapsed="false">
      <c r="A3577" s="7" t="n">
        <v>45885</v>
      </c>
      <c r="B3577" s="8" t="s">
        <v>50</v>
      </c>
      <c r="C3577" s="9" t="n">
        <v>1645</v>
      </c>
      <c r="D3577" s="8" t="s">
        <v>13</v>
      </c>
      <c r="E3577" s="10" t="s">
        <v>263</v>
      </c>
      <c r="F3577" s="8" t="str">
        <f aca="false">TEXT(A3577,"MM-YYYY")</f>
        <v>08-2025</v>
      </c>
      <c r="G3577" s="8" t="s">
        <v>14</v>
      </c>
      <c r="H3577" s="8" t="s">
        <v>13</v>
      </c>
      <c r="I3577" s="7" t="n">
        <v>45883</v>
      </c>
      <c r="J3577" s="8" t="str">
        <f aca="false">VLOOKUP(B3577, Table3[#All], 2, FALSE())</f>
        <v>Fixed Maintance</v>
      </c>
      <c r="K3577" s="8" t="str">
        <f aca="false">TEXT(ROW(), "0000")</f>
        <v>3577</v>
      </c>
      <c r="L3577" s="8"/>
    </row>
    <row r="3578" customFormat="false" ht="15.75" hidden="false" customHeight="true" outlineLevel="0" collapsed="false">
      <c r="A3578" s="7" t="n">
        <v>45888</v>
      </c>
      <c r="B3578" s="8" t="s">
        <v>50</v>
      </c>
      <c r="C3578" s="9" t="n">
        <v>1645</v>
      </c>
      <c r="D3578" s="8" t="s">
        <v>13</v>
      </c>
      <c r="E3578" s="10" t="s">
        <v>263</v>
      </c>
      <c r="F3578" s="8" t="str">
        <f aca="false">TEXT(A3578,"MM-YYYY")</f>
        <v>08-2025</v>
      </c>
      <c r="G3578" s="8" t="s">
        <v>14</v>
      </c>
      <c r="H3578" s="8" t="s">
        <v>13</v>
      </c>
      <c r="I3578" s="7" t="n">
        <v>45905</v>
      </c>
      <c r="J3578" s="8" t="str">
        <f aca="false">VLOOKUP(B3578, Table3[#All], 2, FALSE())</f>
        <v>Fixed Maintance</v>
      </c>
      <c r="K3578" s="8" t="str">
        <f aca="false">TEXT(ROW(), "0000")</f>
        <v>3578</v>
      </c>
      <c r="L3578" s="8"/>
    </row>
    <row r="3579" customFormat="false" ht="15.75" hidden="false" customHeight="true" outlineLevel="0" collapsed="false">
      <c r="A3579" s="7" t="n">
        <v>45890</v>
      </c>
      <c r="B3579" s="8" t="s">
        <v>50</v>
      </c>
      <c r="C3579" s="9" t="n">
        <v>1645</v>
      </c>
      <c r="D3579" s="8" t="s">
        <v>13</v>
      </c>
      <c r="E3579" s="10" t="s">
        <v>263</v>
      </c>
      <c r="F3579" s="8" t="str">
        <f aca="false">TEXT(A3579,"MM-YYYY")</f>
        <v>08-2025</v>
      </c>
      <c r="G3579" s="8" t="s">
        <v>14</v>
      </c>
      <c r="H3579" s="8" t="s">
        <v>13</v>
      </c>
      <c r="I3579" s="7" t="n">
        <v>45905</v>
      </c>
      <c r="J3579" s="8" t="str">
        <f aca="false">VLOOKUP(B3579, Table3[#All], 2, FALSE())</f>
        <v>Fixed Maintance</v>
      </c>
      <c r="K3579" s="8" t="str">
        <f aca="false">TEXT(ROW(), "0000")</f>
        <v>3579</v>
      </c>
      <c r="L3579" s="8"/>
    </row>
    <row r="3580" customFormat="false" ht="15.75" hidden="false" customHeight="true" outlineLevel="0" collapsed="false">
      <c r="A3580" s="7" t="n">
        <v>45892</v>
      </c>
      <c r="B3580" s="8" t="s">
        <v>50</v>
      </c>
      <c r="C3580" s="9" t="n">
        <v>1645</v>
      </c>
      <c r="D3580" s="8" t="s">
        <v>13</v>
      </c>
      <c r="E3580" s="10" t="s">
        <v>263</v>
      </c>
      <c r="F3580" s="8" t="str">
        <f aca="false">TEXT(A3580,"MM-YYYY")</f>
        <v>08-2025</v>
      </c>
      <c r="G3580" s="8" t="s">
        <v>14</v>
      </c>
      <c r="H3580" s="8" t="s">
        <v>13</v>
      </c>
      <c r="I3580" s="7" t="n">
        <v>45905</v>
      </c>
      <c r="J3580" s="8" t="str">
        <f aca="false">VLOOKUP(B3580, Table3[#All], 2, FALSE())</f>
        <v>Fixed Maintance</v>
      </c>
      <c r="K3580" s="8" t="str">
        <f aca="false">TEXT(ROW(), "0000")</f>
        <v>3580</v>
      </c>
      <c r="L3580" s="8"/>
    </row>
    <row r="3581" customFormat="false" ht="15.75" hidden="false" customHeight="true" outlineLevel="0" collapsed="false">
      <c r="A3581" s="7" t="n">
        <v>45893</v>
      </c>
      <c r="B3581" s="8" t="s">
        <v>50</v>
      </c>
      <c r="C3581" s="9" t="n">
        <v>1645</v>
      </c>
      <c r="D3581" s="8" t="s">
        <v>13</v>
      </c>
      <c r="E3581" s="10" t="s">
        <v>263</v>
      </c>
      <c r="F3581" s="8" t="str">
        <f aca="false">TEXT(A3581,"MM-YYYY")</f>
        <v>08-2025</v>
      </c>
      <c r="G3581" s="8" t="s">
        <v>14</v>
      </c>
      <c r="H3581" s="8" t="s">
        <v>13</v>
      </c>
      <c r="I3581" s="7" t="n">
        <v>45905</v>
      </c>
      <c r="J3581" s="8" t="str">
        <f aca="false">VLOOKUP(B3581, Table3[#All], 2, FALSE())</f>
        <v>Fixed Maintance</v>
      </c>
      <c r="K3581" s="8" t="str">
        <f aca="false">TEXT(ROW(), "0000")</f>
        <v>3581</v>
      </c>
      <c r="L3581" s="8"/>
    </row>
    <row r="3582" customFormat="false" ht="15.75" hidden="false" customHeight="true" outlineLevel="0" collapsed="false">
      <c r="A3582" s="7" t="n">
        <v>45895</v>
      </c>
      <c r="B3582" s="8" t="s">
        <v>50</v>
      </c>
      <c r="C3582" s="9" t="n">
        <v>1645</v>
      </c>
      <c r="D3582" s="8" t="s">
        <v>13</v>
      </c>
      <c r="E3582" s="10" t="s">
        <v>263</v>
      </c>
      <c r="F3582" s="8" t="str">
        <f aca="false">TEXT(A3582,"MM-YYYY")</f>
        <v>08-2025</v>
      </c>
      <c r="G3582" s="8" t="s">
        <v>14</v>
      </c>
      <c r="H3582" s="8" t="s">
        <v>13</v>
      </c>
      <c r="I3582" s="7" t="n">
        <v>45905</v>
      </c>
      <c r="J3582" s="8" t="str">
        <f aca="false">VLOOKUP(B3582, Table3[#All], 2, FALSE())</f>
        <v>Fixed Maintance</v>
      </c>
      <c r="K3582" s="8" t="str">
        <f aca="false">TEXT(ROW(), "0000")</f>
        <v>3582</v>
      </c>
      <c r="L3582" s="8"/>
    </row>
    <row r="3583" customFormat="false" ht="15.75" hidden="false" customHeight="true" outlineLevel="0" collapsed="false">
      <c r="A3583" s="7" t="n">
        <v>45896</v>
      </c>
      <c r="B3583" s="8" t="s">
        <v>50</v>
      </c>
      <c r="C3583" s="9" t="n">
        <v>1645</v>
      </c>
      <c r="D3583" s="8" t="s">
        <v>13</v>
      </c>
      <c r="E3583" s="10" t="s">
        <v>263</v>
      </c>
      <c r="F3583" s="8" t="str">
        <f aca="false">TEXT(A3583,"MM-YYYY")</f>
        <v>08-2025</v>
      </c>
      <c r="G3583" s="8" t="s">
        <v>14</v>
      </c>
      <c r="H3583" s="8" t="s">
        <v>13</v>
      </c>
      <c r="I3583" s="7" t="n">
        <v>45905</v>
      </c>
      <c r="J3583" s="8" t="str">
        <f aca="false">VLOOKUP(B3583, Table3[#All], 2, FALSE())</f>
        <v>Fixed Maintance</v>
      </c>
      <c r="K3583" s="8" t="str">
        <f aca="false">TEXT(ROW(), "0000")</f>
        <v>3583</v>
      </c>
      <c r="L3583" s="8"/>
    </row>
    <row r="3584" customFormat="false" ht="15.75" hidden="false" customHeight="true" outlineLevel="0" collapsed="false">
      <c r="A3584" s="7" t="n">
        <v>45897</v>
      </c>
      <c r="B3584" s="8" t="s">
        <v>50</v>
      </c>
      <c r="C3584" s="9" t="n">
        <v>3290</v>
      </c>
      <c r="D3584" s="8" t="s">
        <v>13</v>
      </c>
      <c r="E3584" s="10" t="s">
        <v>263</v>
      </c>
      <c r="F3584" s="8" t="str">
        <f aca="false">TEXT(A3584,"MM-YYYY")</f>
        <v>08-2025</v>
      </c>
      <c r="G3584" s="8" t="s">
        <v>14</v>
      </c>
      <c r="H3584" s="8" t="s">
        <v>13</v>
      </c>
      <c r="I3584" s="7" t="n">
        <v>45905</v>
      </c>
      <c r="J3584" s="8" t="str">
        <f aca="false">VLOOKUP(B3584, Table3[#All], 2, FALSE())</f>
        <v>Fixed Maintance</v>
      </c>
      <c r="K3584" s="8" t="str">
        <f aca="false">TEXT(ROW(), "0000")</f>
        <v>3584</v>
      </c>
      <c r="L3584" s="8"/>
    </row>
    <row r="3585" customFormat="false" ht="15.75" hidden="false" customHeight="true" outlineLevel="0" collapsed="false">
      <c r="A3585" s="7" t="n">
        <v>45900</v>
      </c>
      <c r="B3585" s="8" t="s">
        <v>50</v>
      </c>
      <c r="C3585" s="9" t="n">
        <v>1645</v>
      </c>
      <c r="D3585" s="8" t="s">
        <v>13</v>
      </c>
      <c r="E3585" s="10" t="s">
        <v>263</v>
      </c>
      <c r="F3585" s="8" t="str">
        <f aca="false">TEXT(A3585,"MM-YYYY")</f>
        <v>08-2025</v>
      </c>
      <c r="G3585" s="8" t="s">
        <v>14</v>
      </c>
      <c r="H3585" s="8" t="s">
        <v>13</v>
      </c>
      <c r="I3585" s="7" t="n">
        <v>45905</v>
      </c>
      <c r="J3585" s="8" t="str">
        <f aca="false">VLOOKUP(B3585, Table3[#All], 2, FALSE())</f>
        <v>Fixed Maintance</v>
      </c>
      <c r="K3585" s="8" t="str">
        <f aca="false">TEXT(ROW(), "0000")</f>
        <v>3585</v>
      </c>
      <c r="L3585" s="8"/>
    </row>
    <row r="3586" customFormat="false" ht="15.75" hidden="false" customHeight="true" outlineLevel="0" collapsed="false">
      <c r="A3586" s="7" t="n">
        <v>45874</v>
      </c>
      <c r="B3586" s="8" t="s">
        <v>19</v>
      </c>
      <c r="C3586" s="9" t="n">
        <v>400</v>
      </c>
      <c r="D3586" s="8" t="s">
        <v>13</v>
      </c>
      <c r="E3586" s="10" t="s">
        <v>473</v>
      </c>
      <c r="F3586" s="8" t="str">
        <f aca="false">TEXT(A3586,"MM-YYYY")</f>
        <v>08-2025</v>
      </c>
      <c r="G3586" s="8" t="s">
        <v>14</v>
      </c>
      <c r="H3586" s="8"/>
      <c r="I3586" s="7"/>
      <c r="J3586" s="8" t="str">
        <f aca="false">VLOOKUP(B3586, Table3[#All], 2, FALSE())</f>
        <v>Inventory</v>
      </c>
      <c r="K3586" s="8" t="str">
        <f aca="false">TEXT(ROW(), "0000")</f>
        <v>3586</v>
      </c>
      <c r="L3586" s="8"/>
    </row>
    <row r="3587" customFormat="false" ht="15.75" hidden="false" customHeight="true" outlineLevel="0" collapsed="false">
      <c r="A3587" s="7" t="n">
        <v>45875</v>
      </c>
      <c r="B3587" s="8" t="s">
        <v>19</v>
      </c>
      <c r="C3587" s="9" t="n">
        <v>3834</v>
      </c>
      <c r="D3587" s="8" t="s">
        <v>13</v>
      </c>
      <c r="E3587" s="10" t="s">
        <v>473</v>
      </c>
      <c r="F3587" s="8" t="str">
        <f aca="false">TEXT(A3587,"MM-YYYY")</f>
        <v>08-2025</v>
      </c>
      <c r="G3587" s="8" t="s">
        <v>14</v>
      </c>
      <c r="H3587" s="8"/>
      <c r="I3587" s="7"/>
      <c r="J3587" s="8" t="str">
        <f aca="false">VLOOKUP(B3587, Table3[#All], 2, FALSE())</f>
        <v>Inventory</v>
      </c>
      <c r="K3587" s="8" t="str">
        <f aca="false">TEXT(ROW(), "0000")</f>
        <v>3587</v>
      </c>
      <c r="L3587" s="8"/>
    </row>
    <row r="3588" customFormat="false" ht="15.75" hidden="false" customHeight="true" outlineLevel="0" collapsed="false">
      <c r="A3588" s="7" t="n">
        <v>45876</v>
      </c>
      <c r="B3588" s="8" t="s">
        <v>19</v>
      </c>
      <c r="C3588" s="9" t="n">
        <v>993</v>
      </c>
      <c r="D3588" s="8" t="s">
        <v>13</v>
      </c>
      <c r="E3588" s="10" t="s">
        <v>473</v>
      </c>
      <c r="F3588" s="8" t="str">
        <f aca="false">TEXT(A3588,"MM-YYYY")</f>
        <v>08-2025</v>
      </c>
      <c r="G3588" s="8" t="s">
        <v>14</v>
      </c>
      <c r="H3588" s="8"/>
      <c r="I3588" s="7"/>
      <c r="J3588" s="8" t="str">
        <f aca="false">VLOOKUP(B3588, Table3[#All], 2, FALSE())</f>
        <v>Inventory</v>
      </c>
      <c r="K3588" s="8" t="str">
        <f aca="false">TEXT(ROW(), "0000")</f>
        <v>3588</v>
      </c>
      <c r="L3588" s="8"/>
    </row>
    <row r="3589" customFormat="false" ht="15.75" hidden="false" customHeight="true" outlineLevel="0" collapsed="false">
      <c r="A3589" s="7" t="n">
        <v>45885</v>
      </c>
      <c r="B3589" s="8" t="s">
        <v>29</v>
      </c>
      <c r="C3589" s="9" t="n">
        <v>885</v>
      </c>
      <c r="D3589" s="8" t="s">
        <v>13</v>
      </c>
      <c r="E3589" s="10" t="s">
        <v>409</v>
      </c>
      <c r="F3589" s="8" t="str">
        <f aca="false">TEXT(A3589,"MM-YYYY")</f>
        <v>08-2025</v>
      </c>
      <c r="G3589" s="8" t="s">
        <v>14</v>
      </c>
      <c r="H3589" s="8" t="s">
        <v>262</v>
      </c>
      <c r="I3589" s="7" t="n">
        <v>45902</v>
      </c>
      <c r="J3589" s="8" t="str">
        <f aca="false">VLOOKUP(B3589, Table3[#All], 2, FALSE())</f>
        <v>Inventory</v>
      </c>
      <c r="K3589" s="8" t="str">
        <f aca="false">TEXT(ROW(), "0000")</f>
        <v>3589</v>
      </c>
      <c r="L3589" s="8"/>
    </row>
    <row r="3590" customFormat="false" ht="15.75" hidden="false" customHeight="true" outlineLevel="0" collapsed="false">
      <c r="A3590" s="7" t="n">
        <v>45905</v>
      </c>
      <c r="B3590" s="8" t="s">
        <v>44</v>
      </c>
      <c r="C3590" s="9" t="n">
        <v>500</v>
      </c>
      <c r="D3590" s="8" t="s">
        <v>13</v>
      </c>
      <c r="E3590" s="10" t="s">
        <v>483</v>
      </c>
      <c r="F3590" s="8" t="str">
        <f aca="false">TEXT(A3590,"MM-YYYY")</f>
        <v>09-2025</v>
      </c>
      <c r="G3590" s="8" t="s">
        <v>14</v>
      </c>
      <c r="H3590" s="8" t="s">
        <v>262</v>
      </c>
      <c r="I3590" s="7" t="n">
        <v>45902</v>
      </c>
      <c r="J3590" s="8" t="str">
        <f aca="false">VLOOKUP(B3590, Table3[#All], 2, FALSE())</f>
        <v>Salary</v>
      </c>
      <c r="K3590" s="8" t="str">
        <f aca="false">TEXT(ROW(), "0000")</f>
        <v>3590</v>
      </c>
      <c r="L3590" s="8"/>
    </row>
    <row r="3591" customFormat="false" ht="15.75" hidden="false" customHeight="true" outlineLevel="0" collapsed="false">
      <c r="A3591" s="7" t="n">
        <v>45905</v>
      </c>
      <c r="B3591" s="8" t="s">
        <v>22</v>
      </c>
      <c r="C3591" s="9" t="n">
        <v>140</v>
      </c>
      <c r="D3591" s="8" t="s">
        <v>21</v>
      </c>
      <c r="E3591" s="10" t="s">
        <v>507</v>
      </c>
      <c r="F3591" s="8" t="str">
        <f aca="false">TEXT(A3591,"MM-YYYY")</f>
        <v>09-2025</v>
      </c>
      <c r="G3591" s="8" t="s">
        <v>14</v>
      </c>
      <c r="H3591" s="8" t="s">
        <v>232</v>
      </c>
      <c r="I3591" s="7" t="n">
        <v>45902</v>
      </c>
      <c r="J3591" s="8" t="str">
        <f aca="false">VLOOKUP(B3591, Table3[#All], 2, FALSE())</f>
        <v>Inventory</v>
      </c>
      <c r="K3591" s="8" t="str">
        <f aca="false">TEXT(ROW(), "0000")</f>
        <v>3591</v>
      </c>
      <c r="L3591" s="8"/>
    </row>
    <row r="3592" customFormat="false" ht="15.75" hidden="false" customHeight="true" outlineLevel="0" collapsed="false">
      <c r="A3592" s="7" t="n">
        <v>45905</v>
      </c>
      <c r="B3592" s="8" t="s">
        <v>43</v>
      </c>
      <c r="C3592" s="9" t="n">
        <v>1000</v>
      </c>
      <c r="D3592" s="8" t="s">
        <v>13</v>
      </c>
      <c r="E3592" s="10" t="s">
        <v>508</v>
      </c>
      <c r="F3592" s="8" t="str">
        <f aca="false">TEXT(A3592,"MM-YYYY")</f>
        <v>09-2025</v>
      </c>
      <c r="G3592" s="8" t="s">
        <v>14</v>
      </c>
      <c r="H3592" s="8" t="s">
        <v>262</v>
      </c>
      <c r="I3592" s="7" t="n">
        <v>45905</v>
      </c>
      <c r="J3592" s="8" t="str">
        <f aca="false">VLOOKUP(B3592, Table3[#All], 2, FALSE())</f>
        <v>Maintance</v>
      </c>
      <c r="K3592" s="8" t="str">
        <f aca="false">TEXT(ROW(), "0000")</f>
        <v>3592</v>
      </c>
      <c r="L3592" s="8"/>
    </row>
    <row r="3593" customFormat="false" ht="15.75" hidden="false" customHeight="true" outlineLevel="0" collapsed="false">
      <c r="A3593" s="7" t="n">
        <v>45905</v>
      </c>
      <c r="B3593" s="8" t="s">
        <v>22</v>
      </c>
      <c r="C3593" s="9" t="n">
        <v>70</v>
      </c>
      <c r="D3593" s="8" t="s">
        <v>21</v>
      </c>
      <c r="E3593" s="10" t="s">
        <v>509</v>
      </c>
      <c r="F3593" s="8" t="str">
        <f aca="false">TEXT(A3593,"MM-YYYY")</f>
        <v>09-2025</v>
      </c>
      <c r="G3593" s="8" t="s">
        <v>14</v>
      </c>
      <c r="H3593" s="8" t="s">
        <v>262</v>
      </c>
      <c r="I3593" s="7"/>
      <c r="J3593" s="8" t="str">
        <f aca="false">VLOOKUP(B3593, Table3[#All], 2, FALSE())</f>
        <v>Inventory</v>
      </c>
      <c r="K3593" s="8" t="str">
        <f aca="false">TEXT(ROW(), "0000")</f>
        <v>3593</v>
      </c>
      <c r="L3593" s="8"/>
    </row>
    <row r="3594" customFormat="false" ht="15.75" hidden="false" customHeight="true" outlineLevel="0" collapsed="false">
      <c r="A3594" s="7" t="n">
        <v>45905</v>
      </c>
      <c r="B3594" s="8" t="s">
        <v>16</v>
      </c>
      <c r="C3594" s="9" t="n">
        <v>1940</v>
      </c>
      <c r="D3594" s="8" t="s">
        <v>21</v>
      </c>
      <c r="E3594" s="10" t="s">
        <v>88</v>
      </c>
      <c r="F3594" s="8" t="str">
        <f aca="false">TEXT(A3594,"MM-YYYY")</f>
        <v>09-2025</v>
      </c>
      <c r="G3594" s="8"/>
      <c r="H3594" s="8"/>
      <c r="I3594" s="7"/>
      <c r="J3594" s="8" t="str">
        <f aca="false">VLOOKUP(B3594, Table3[#All], 2, FALSE())</f>
        <v>Sales</v>
      </c>
      <c r="K3594" s="8" t="str">
        <f aca="false">TEXT(ROW(), "0000")</f>
        <v>3594</v>
      </c>
      <c r="L3594" s="8"/>
    </row>
    <row r="3595" customFormat="false" ht="15.75" hidden="false" customHeight="true" outlineLevel="0" collapsed="false">
      <c r="A3595" s="7" t="n">
        <v>45905</v>
      </c>
      <c r="B3595" s="8" t="s">
        <v>16</v>
      </c>
      <c r="C3595" s="9" t="n">
        <v>340</v>
      </c>
      <c r="D3595" s="8" t="s">
        <v>27</v>
      </c>
      <c r="E3595" s="10" t="s">
        <v>88</v>
      </c>
      <c r="F3595" s="8" t="str">
        <f aca="false">TEXT(A3595,"MM-YYYY")</f>
        <v>09-2025</v>
      </c>
      <c r="G3595" s="8"/>
      <c r="H3595" s="8"/>
      <c r="I3595" s="7"/>
      <c r="J3595" s="8" t="str">
        <f aca="false">VLOOKUP(B3595, Table3[#All], 2, FALSE())</f>
        <v>Sales</v>
      </c>
      <c r="K3595" s="8" t="str">
        <f aca="false">TEXT(ROW(), "0000")</f>
        <v>3595</v>
      </c>
      <c r="L3595" s="8"/>
    </row>
    <row r="3596" customFormat="false" ht="15.75" hidden="false" customHeight="true" outlineLevel="0" collapsed="false">
      <c r="A3596" s="7" t="n">
        <v>45905</v>
      </c>
      <c r="B3596" s="8" t="s">
        <v>16</v>
      </c>
      <c r="C3596" s="9" t="n">
        <v>80</v>
      </c>
      <c r="D3596" s="8" t="s">
        <v>33</v>
      </c>
      <c r="E3596" s="10" t="s">
        <v>88</v>
      </c>
      <c r="F3596" s="8" t="str">
        <f aca="false">TEXT(A3596,"MM-YYYY")</f>
        <v>09-2025</v>
      </c>
      <c r="G3596" s="8"/>
      <c r="H3596" s="8"/>
      <c r="I3596" s="7"/>
      <c r="J3596" s="8" t="str">
        <f aca="false">VLOOKUP(B3596, Table3[#All], 2, FALSE())</f>
        <v>Sales</v>
      </c>
      <c r="K3596" s="8" t="str">
        <f aca="false">TEXT(ROW(), "0000")</f>
        <v>3596</v>
      </c>
      <c r="L3596" s="8"/>
    </row>
    <row r="3597" customFormat="false" ht="15.75" hidden="false" customHeight="true" outlineLevel="0" collapsed="false">
      <c r="A3597" s="7" t="n">
        <v>45905</v>
      </c>
      <c r="B3597" s="8" t="s">
        <v>16</v>
      </c>
      <c r="C3597" s="9" t="n">
        <v>14167</v>
      </c>
      <c r="D3597" s="8" t="s">
        <v>17</v>
      </c>
      <c r="E3597" s="10" t="s">
        <v>88</v>
      </c>
      <c r="F3597" s="8" t="str">
        <f aca="false">TEXT(A3597,"MM-YYYY")</f>
        <v>09-2025</v>
      </c>
      <c r="G3597" s="8"/>
      <c r="H3597" s="8"/>
      <c r="I3597" s="7"/>
      <c r="J3597" s="8" t="str">
        <f aca="false">VLOOKUP(B3597, Table3[#All], 2, FALSE())</f>
        <v>Sales</v>
      </c>
      <c r="K3597" s="8" t="str">
        <f aca="false">TEXT(ROW(), "0000")</f>
        <v>3597</v>
      </c>
      <c r="L3597" s="8"/>
    </row>
    <row r="3598" customFormat="false" ht="15.75" hidden="false" customHeight="true" outlineLevel="0" collapsed="false">
      <c r="A3598" s="7" t="n">
        <v>45905</v>
      </c>
      <c r="B3598" s="8" t="s">
        <v>37</v>
      </c>
      <c r="C3598" s="9" t="n">
        <v>10</v>
      </c>
      <c r="D3598" s="8" t="s">
        <v>21</v>
      </c>
      <c r="E3598" s="10" t="s">
        <v>420</v>
      </c>
      <c r="F3598" s="8" t="str">
        <f aca="false">TEXT(A3598,"MM-YYYY")</f>
        <v>09-2025</v>
      </c>
      <c r="G3598" s="8" t="s">
        <v>14</v>
      </c>
      <c r="H3598" s="8"/>
      <c r="I3598" s="7"/>
      <c r="J3598" s="8" t="str">
        <f aca="false">VLOOKUP(B3598, Table3[#All], 2, FALSE())</f>
        <v>Maintance</v>
      </c>
      <c r="K3598" s="8" t="str">
        <f aca="false">TEXT(ROW(), "0000")</f>
        <v>3598</v>
      </c>
      <c r="L3598" s="8"/>
    </row>
    <row r="3599" customFormat="false" ht="15.75" hidden="false" customHeight="true" outlineLevel="0" collapsed="false">
      <c r="A3599" s="7" t="n">
        <v>45905</v>
      </c>
      <c r="B3599" s="8" t="s">
        <v>16</v>
      </c>
      <c r="C3599" s="9" t="n">
        <v>403</v>
      </c>
      <c r="D3599" s="8" t="s">
        <v>24</v>
      </c>
      <c r="E3599" s="10" t="s">
        <v>88</v>
      </c>
      <c r="F3599" s="8" t="str">
        <f aca="false">TEXT(A3599,"MM-YYYY")</f>
        <v>09-2025</v>
      </c>
      <c r="G3599" s="8"/>
      <c r="H3599" s="8"/>
      <c r="I3599" s="7"/>
      <c r="J3599" s="8" t="str">
        <f aca="false">VLOOKUP(B3599, Table3[#All], 2, FALSE())</f>
        <v>Sales</v>
      </c>
      <c r="K3599" s="8" t="str">
        <f aca="false">TEXT(ROW(), "0000")</f>
        <v>3599</v>
      </c>
      <c r="L3599" s="8"/>
    </row>
    <row r="3600" customFormat="false" ht="15.75" hidden="false" customHeight="true" outlineLevel="0" collapsed="false">
      <c r="A3600" s="7" t="n">
        <v>45905</v>
      </c>
      <c r="B3600" s="8" t="s">
        <v>34</v>
      </c>
      <c r="C3600" s="9" t="n">
        <v>30</v>
      </c>
      <c r="D3600" s="8" t="s">
        <v>45</v>
      </c>
      <c r="E3600" s="10" t="s">
        <v>154</v>
      </c>
      <c r="F3600" s="8" t="str">
        <f aca="false">TEXT(A3600,"MM-YYYY")</f>
        <v>09-2025</v>
      </c>
      <c r="G3600" s="8" t="s">
        <v>14</v>
      </c>
      <c r="H3600" s="8"/>
      <c r="I3600" s="7"/>
      <c r="J3600" s="8" t="str">
        <f aca="false">VLOOKUP(B3600, Table3[#All], 2, FALSE())</f>
        <v>Staff Expenses</v>
      </c>
      <c r="K3600" s="8" t="str">
        <f aca="false">TEXT(ROW(), "0000")</f>
        <v>3600</v>
      </c>
      <c r="L3600" s="8"/>
    </row>
    <row r="3601" customFormat="false" ht="15.75" hidden="false" customHeight="true" outlineLevel="0" collapsed="false">
      <c r="A3601" s="7" t="n">
        <v>45906</v>
      </c>
      <c r="B3601" s="8" t="s">
        <v>25</v>
      </c>
      <c r="C3601" s="9" t="n">
        <v>1154</v>
      </c>
      <c r="D3601" s="8" t="s">
        <v>13</v>
      </c>
      <c r="E3601" s="10" t="s">
        <v>92</v>
      </c>
      <c r="F3601" s="8" t="str">
        <f aca="false">TEXT(A3601,"MM-YYYY")</f>
        <v>09-2025</v>
      </c>
      <c r="G3601" s="8" t="s">
        <v>18</v>
      </c>
      <c r="H3601" s="8"/>
      <c r="I3601" s="7"/>
      <c r="J3601" s="8" t="str">
        <f aca="false">VLOOKUP(B3601, Table3[#All], 2, FALSE())</f>
        <v>Inventory</v>
      </c>
      <c r="K3601" s="8" t="str">
        <f aca="false">TEXT(ROW(), "0000")</f>
        <v>3601</v>
      </c>
      <c r="L3601" s="8"/>
    </row>
    <row r="3602" customFormat="false" ht="15.75" hidden="false" customHeight="true" outlineLevel="0" collapsed="false">
      <c r="A3602" s="7" t="n">
        <v>45906</v>
      </c>
      <c r="B3602" s="8" t="s">
        <v>19</v>
      </c>
      <c r="C3602" s="9" t="n">
        <v>1960</v>
      </c>
      <c r="D3602" s="8" t="s">
        <v>13</v>
      </c>
      <c r="E3602" s="10" t="s">
        <v>473</v>
      </c>
      <c r="F3602" s="8" t="str">
        <f aca="false">TEXT(A3602,"MM-YYYY")</f>
        <v>09-2025</v>
      </c>
      <c r="G3602" s="8" t="s">
        <v>14</v>
      </c>
      <c r="H3602" s="8"/>
      <c r="I3602" s="7"/>
      <c r="J3602" s="8" t="str">
        <f aca="false">VLOOKUP(B3602, Table3[#All], 2, FALSE())</f>
        <v>Inventory</v>
      </c>
      <c r="K3602" s="8" t="str">
        <f aca="false">TEXT(ROW(), "0000")</f>
        <v>3602</v>
      </c>
      <c r="L3602" s="8"/>
    </row>
    <row r="3603" customFormat="false" ht="15.75" hidden="false" customHeight="true" outlineLevel="0" collapsed="false">
      <c r="A3603" s="7" t="n">
        <v>45906</v>
      </c>
      <c r="B3603" s="8" t="s">
        <v>22</v>
      </c>
      <c r="C3603" s="9" t="n">
        <v>165</v>
      </c>
      <c r="D3603" s="8" t="s">
        <v>13</v>
      </c>
      <c r="E3603" s="10" t="s">
        <v>479</v>
      </c>
      <c r="F3603" s="8" t="str">
        <f aca="false">TEXT(A3603,"MM-YYYY")</f>
        <v>09-2025</v>
      </c>
      <c r="G3603" s="8" t="s">
        <v>14</v>
      </c>
      <c r="H3603" s="8"/>
      <c r="I3603" s="7"/>
      <c r="J3603" s="8" t="str">
        <f aca="false">VLOOKUP(B3603, Table3[#All], 2, FALSE())</f>
        <v>Inventory</v>
      </c>
      <c r="K3603" s="8" t="str">
        <f aca="false">TEXT(ROW(), "0000")</f>
        <v>3603</v>
      </c>
      <c r="L3603" s="8"/>
    </row>
    <row r="3604" customFormat="false" ht="15.75" hidden="false" customHeight="true" outlineLevel="0" collapsed="false">
      <c r="A3604" s="7" t="n">
        <v>45906</v>
      </c>
      <c r="B3604" s="8" t="s">
        <v>37</v>
      </c>
      <c r="C3604" s="9" t="n">
        <v>20</v>
      </c>
      <c r="D3604" s="8" t="s">
        <v>21</v>
      </c>
      <c r="E3604" s="10" t="s">
        <v>420</v>
      </c>
      <c r="F3604" s="8" t="str">
        <f aca="false">TEXT(A3604,"MM-YYYY")</f>
        <v>09-2025</v>
      </c>
      <c r="G3604" s="8" t="s">
        <v>14</v>
      </c>
      <c r="H3604" s="8"/>
      <c r="I3604" s="7"/>
      <c r="J3604" s="8" t="str">
        <f aca="false">VLOOKUP(B3604, Table3[#All], 2, FALSE())</f>
        <v>Maintance</v>
      </c>
      <c r="K3604" s="8" t="str">
        <f aca="false">TEXT(ROW(), "0000")</f>
        <v>3604</v>
      </c>
      <c r="L3604" s="8"/>
    </row>
    <row r="3605" customFormat="false" ht="15.75" hidden="false" customHeight="true" outlineLevel="0" collapsed="false">
      <c r="A3605" s="7" t="n">
        <v>45906</v>
      </c>
      <c r="B3605" s="8" t="s">
        <v>107</v>
      </c>
      <c r="C3605" s="9" t="n">
        <v>50</v>
      </c>
      <c r="D3605" s="8" t="s">
        <v>45</v>
      </c>
      <c r="E3605" s="10" t="s">
        <v>510</v>
      </c>
      <c r="F3605" s="8" t="str">
        <f aca="false">TEXT(A3605,"MM-YYYY")</f>
        <v>09-2025</v>
      </c>
      <c r="G3605" s="8" t="s">
        <v>14</v>
      </c>
      <c r="H3605" s="8"/>
      <c r="I3605" s="7"/>
      <c r="J3605" s="8" t="str">
        <f aca="false">VLOOKUP(B3605, Table3[#All], 2, FALSE())</f>
        <v>Staff Expenses</v>
      </c>
      <c r="K3605" s="8" t="str">
        <f aca="false">TEXT(ROW(), "0000")</f>
        <v>3605</v>
      </c>
      <c r="L3605" s="8"/>
    </row>
    <row r="3606" customFormat="false" ht="15.75" hidden="false" customHeight="true" outlineLevel="0" collapsed="false">
      <c r="A3606" s="7" t="n">
        <v>45906</v>
      </c>
      <c r="B3606" s="8" t="s">
        <v>12</v>
      </c>
      <c r="C3606" s="9" t="n">
        <v>20</v>
      </c>
      <c r="D3606" s="8" t="s">
        <v>21</v>
      </c>
      <c r="E3606" s="10" t="s">
        <v>457</v>
      </c>
      <c r="F3606" s="8" t="str">
        <f aca="false">TEXT(A3606,"MM-YYYY")</f>
        <v>09-2025</v>
      </c>
      <c r="G3606" s="8" t="s">
        <v>14</v>
      </c>
      <c r="H3606" s="8"/>
      <c r="I3606" s="7"/>
      <c r="J3606" s="8" t="str">
        <f aca="false">VLOOKUP(B3606, Table3[#All], 2, FALSE())</f>
        <v>Fixed Maintance</v>
      </c>
      <c r="K3606" s="8" t="str">
        <f aca="false">TEXT(ROW(), "0000")</f>
        <v>3606</v>
      </c>
      <c r="L3606" s="8"/>
    </row>
    <row r="3607" customFormat="false" ht="15.75" hidden="false" customHeight="true" outlineLevel="0" collapsed="false">
      <c r="A3607" s="7" t="n">
        <v>45906</v>
      </c>
      <c r="B3607" s="8" t="s">
        <v>43</v>
      </c>
      <c r="C3607" s="9" t="n">
        <v>1250</v>
      </c>
      <c r="D3607" s="8" t="s">
        <v>45</v>
      </c>
      <c r="E3607" s="10" t="s">
        <v>511</v>
      </c>
      <c r="F3607" s="8" t="str">
        <f aca="false">TEXT(A3607,"MM-YYYY")</f>
        <v>09-2025</v>
      </c>
      <c r="G3607" s="8" t="s">
        <v>14</v>
      </c>
      <c r="H3607" s="8"/>
      <c r="I3607" s="7"/>
      <c r="J3607" s="8" t="str">
        <f aca="false">VLOOKUP(B3607, Table3[#All], 2, FALSE())</f>
        <v>Maintance</v>
      </c>
      <c r="K3607" s="8" t="str">
        <f aca="false">TEXT(ROW(), "0000")</f>
        <v>3607</v>
      </c>
      <c r="L3607" s="8"/>
    </row>
    <row r="3608" customFormat="false" ht="15.75" hidden="false" customHeight="true" outlineLevel="0" collapsed="false">
      <c r="A3608" s="7" t="n">
        <v>45906</v>
      </c>
      <c r="B3608" s="8" t="s">
        <v>22</v>
      </c>
      <c r="C3608" s="9" t="n">
        <v>2400</v>
      </c>
      <c r="D3608" s="8" t="s">
        <v>13</v>
      </c>
      <c r="E3608" s="10" t="s">
        <v>110</v>
      </c>
      <c r="F3608" s="8" t="str">
        <f aca="false">TEXT(A3608,"MM-YYYY")</f>
        <v>09-2025</v>
      </c>
      <c r="G3608" s="8" t="s">
        <v>14</v>
      </c>
      <c r="H3608" s="8" t="s">
        <v>13</v>
      </c>
      <c r="I3608" s="7" t="n">
        <v>45917</v>
      </c>
      <c r="J3608" s="8" t="str">
        <f aca="false">VLOOKUP(B3608, Table3[#All], 2, FALSE())</f>
        <v>Inventory</v>
      </c>
      <c r="K3608" s="8" t="str">
        <f aca="false">TEXT(ROW(), "0000")</f>
        <v>3608</v>
      </c>
      <c r="L3608" s="8"/>
    </row>
    <row r="3609" customFormat="false" ht="15.75" hidden="false" customHeight="true" outlineLevel="0" collapsed="false">
      <c r="A3609" s="7" t="n">
        <v>45906</v>
      </c>
      <c r="B3609" s="8" t="s">
        <v>43</v>
      </c>
      <c r="C3609" s="9" t="n">
        <v>180</v>
      </c>
      <c r="D3609" s="8" t="s">
        <v>45</v>
      </c>
      <c r="E3609" s="10" t="s">
        <v>512</v>
      </c>
      <c r="F3609" s="8" t="str">
        <f aca="false">TEXT(A3609,"MM-YYYY")</f>
        <v>09-2025</v>
      </c>
      <c r="G3609" s="8" t="s">
        <v>14</v>
      </c>
      <c r="H3609" s="8" t="s">
        <v>232</v>
      </c>
      <c r="I3609" s="7" t="n">
        <v>45906</v>
      </c>
      <c r="J3609" s="8" t="str">
        <f aca="false">VLOOKUP(B3609, Table3[#All], 2, FALSE())</f>
        <v>Maintance</v>
      </c>
      <c r="K3609" s="8" t="str">
        <f aca="false">TEXT(ROW(), "0000")</f>
        <v>3609</v>
      </c>
      <c r="L3609" s="8"/>
    </row>
    <row r="3610" customFormat="false" ht="15.75" hidden="false" customHeight="true" outlineLevel="0" collapsed="false">
      <c r="A3610" s="7" t="n">
        <v>45906</v>
      </c>
      <c r="B3610" s="8" t="s">
        <v>44</v>
      </c>
      <c r="C3610" s="9" t="n">
        <v>500</v>
      </c>
      <c r="D3610" s="8" t="s">
        <v>21</v>
      </c>
      <c r="E3610" s="10" t="s">
        <v>513</v>
      </c>
      <c r="F3610" s="8" t="str">
        <f aca="false">TEXT(A3610,"MM-YYYY")</f>
        <v>09-2025</v>
      </c>
      <c r="G3610" s="8" t="s">
        <v>14</v>
      </c>
      <c r="H3610" s="8" t="s">
        <v>232</v>
      </c>
      <c r="I3610" s="7" t="n">
        <v>45906</v>
      </c>
      <c r="J3610" s="8" t="str">
        <f aca="false">VLOOKUP(B3610, Table3[#All], 2, FALSE())</f>
        <v>Salary</v>
      </c>
      <c r="K3610" s="8" t="str">
        <f aca="false">TEXT(ROW(), "0000")</f>
        <v>3610</v>
      </c>
      <c r="L3610" s="8"/>
    </row>
    <row r="3611" customFormat="false" ht="15.75" hidden="false" customHeight="true" outlineLevel="0" collapsed="false">
      <c r="A3611" s="7" t="n">
        <v>45906</v>
      </c>
      <c r="B3611" s="8" t="s">
        <v>16</v>
      </c>
      <c r="C3611" s="9" t="n">
        <v>3365</v>
      </c>
      <c r="D3611" s="8" t="s">
        <v>21</v>
      </c>
      <c r="E3611" s="10" t="s">
        <v>88</v>
      </c>
      <c r="F3611" s="8" t="str">
        <f aca="false">TEXT(A3611,"MM-YYYY")</f>
        <v>09-2025</v>
      </c>
      <c r="G3611" s="8"/>
      <c r="H3611" s="8"/>
      <c r="I3611" s="7"/>
      <c r="J3611" s="8" t="str">
        <f aca="false">VLOOKUP(B3611, Table3[#All], 2, FALSE())</f>
        <v>Sales</v>
      </c>
      <c r="K3611" s="8" t="str">
        <f aca="false">TEXT(ROW(), "0000")</f>
        <v>3611</v>
      </c>
      <c r="L3611" s="8"/>
    </row>
    <row r="3612" customFormat="false" ht="15.75" hidden="false" customHeight="true" outlineLevel="0" collapsed="false">
      <c r="A3612" s="7" t="n">
        <v>45906</v>
      </c>
      <c r="B3612" s="8" t="s">
        <v>16</v>
      </c>
      <c r="C3612" s="9" t="n">
        <v>680</v>
      </c>
      <c r="D3612" s="8" t="s">
        <v>27</v>
      </c>
      <c r="E3612" s="10" t="s">
        <v>88</v>
      </c>
      <c r="F3612" s="8" t="str">
        <f aca="false">TEXT(A3612,"MM-YYYY")</f>
        <v>09-2025</v>
      </c>
      <c r="G3612" s="8"/>
      <c r="H3612" s="8"/>
      <c r="I3612" s="7"/>
      <c r="J3612" s="8" t="str">
        <f aca="false">VLOOKUP(B3612, Table3[#All], 2, FALSE())</f>
        <v>Sales</v>
      </c>
      <c r="K3612" s="8" t="str">
        <f aca="false">TEXT(ROW(), "0000")</f>
        <v>3612</v>
      </c>
      <c r="L3612" s="8"/>
    </row>
    <row r="3613" customFormat="false" ht="15.75" hidden="false" customHeight="true" outlineLevel="0" collapsed="false">
      <c r="A3613" s="7" t="n">
        <v>45906</v>
      </c>
      <c r="B3613" s="8" t="s">
        <v>16</v>
      </c>
      <c r="C3613" s="9" t="n">
        <v>2950</v>
      </c>
      <c r="D3613" s="8" t="s">
        <v>33</v>
      </c>
      <c r="E3613" s="10" t="s">
        <v>88</v>
      </c>
      <c r="F3613" s="8" t="str">
        <f aca="false">TEXT(A3613,"MM-YYYY")</f>
        <v>09-2025</v>
      </c>
      <c r="G3613" s="8"/>
      <c r="H3613" s="8"/>
      <c r="I3613" s="7"/>
      <c r="J3613" s="8" t="str">
        <f aca="false">VLOOKUP(B3613, Table3[#All], 2, FALSE())</f>
        <v>Sales</v>
      </c>
      <c r="K3613" s="8" t="str">
        <f aca="false">TEXT(ROW(), "0000")</f>
        <v>3613</v>
      </c>
      <c r="L3613" s="8"/>
    </row>
    <row r="3614" customFormat="false" ht="15.75" hidden="false" customHeight="true" outlineLevel="0" collapsed="false">
      <c r="A3614" s="7" t="n">
        <v>45905</v>
      </c>
      <c r="B3614" s="8" t="s">
        <v>25</v>
      </c>
      <c r="C3614" s="9" t="n">
        <v>184</v>
      </c>
      <c r="D3614" s="8" t="s">
        <v>13</v>
      </c>
      <c r="E3614" s="10" t="s">
        <v>92</v>
      </c>
      <c r="F3614" s="8" t="str">
        <f aca="false">TEXT(A3614,"MM-YYYY")</f>
        <v>09-2025</v>
      </c>
      <c r="G3614" s="8" t="s">
        <v>18</v>
      </c>
      <c r="H3614" s="8"/>
      <c r="I3614" s="7"/>
      <c r="J3614" s="8" t="str">
        <f aca="false">VLOOKUP(B3614, Table3[#All], 2, FALSE())</f>
        <v>Inventory</v>
      </c>
      <c r="K3614" s="8" t="str">
        <f aca="false">TEXT(ROW(), "0000")</f>
        <v>3614</v>
      </c>
      <c r="L3614" s="8"/>
    </row>
    <row r="3615" customFormat="false" ht="15.75" hidden="false" customHeight="true" outlineLevel="0" collapsed="false">
      <c r="A3615" s="7" t="n">
        <v>45906</v>
      </c>
      <c r="B3615" s="8" t="s">
        <v>44</v>
      </c>
      <c r="C3615" s="9" t="n">
        <v>605</v>
      </c>
      <c r="D3615" s="8" t="s">
        <v>21</v>
      </c>
      <c r="E3615" s="10" t="s">
        <v>514</v>
      </c>
      <c r="F3615" s="8" t="str">
        <f aca="false">TEXT(A3615,"MM-YYYY")</f>
        <v>09-2025</v>
      </c>
      <c r="G3615" s="8" t="s">
        <v>14</v>
      </c>
      <c r="H3615" s="8"/>
      <c r="I3615" s="7"/>
      <c r="J3615" s="8" t="str">
        <f aca="false">VLOOKUP(B3615, Table3[#All], 2, FALSE())</f>
        <v>Salary</v>
      </c>
      <c r="K3615" s="8" t="str">
        <f aca="false">TEXT(ROW(), "0000")</f>
        <v>3615</v>
      </c>
      <c r="L3615" s="8"/>
    </row>
    <row r="3616" customFormat="false" ht="15.75" hidden="false" customHeight="true" outlineLevel="0" collapsed="false">
      <c r="A3616" s="7" t="n">
        <v>45906</v>
      </c>
      <c r="B3616" s="8" t="s">
        <v>81</v>
      </c>
      <c r="C3616" s="9" t="n">
        <v>475</v>
      </c>
      <c r="D3616" s="8" t="s">
        <v>21</v>
      </c>
      <c r="E3616" s="10" t="s">
        <v>515</v>
      </c>
      <c r="F3616" s="8" t="str">
        <f aca="false">TEXT(A3616,"MM-YYYY")</f>
        <v>09-2025</v>
      </c>
      <c r="G3616" s="8" t="s">
        <v>14</v>
      </c>
      <c r="H3616" s="8"/>
      <c r="I3616" s="7"/>
      <c r="J3616" s="8" t="str">
        <f aca="false">VLOOKUP(B3616, Table3[#All], 2, FALSE())</f>
        <v>Excess Amount Return</v>
      </c>
      <c r="K3616" s="8" t="str">
        <f aca="false">TEXT(ROW(), "0000")</f>
        <v>3616</v>
      </c>
      <c r="L3616" s="8"/>
    </row>
    <row r="3617" customFormat="false" ht="15.75" hidden="false" customHeight="true" outlineLevel="0" collapsed="false">
      <c r="A3617" s="7" t="n">
        <v>45906</v>
      </c>
      <c r="B3617" s="8" t="s">
        <v>16</v>
      </c>
      <c r="C3617" s="9" t="n">
        <v>21950</v>
      </c>
      <c r="D3617" s="8" t="s">
        <v>17</v>
      </c>
      <c r="E3617" s="10" t="s">
        <v>88</v>
      </c>
      <c r="F3617" s="8" t="str">
        <f aca="false">TEXT(A3617,"MM-YYYY")</f>
        <v>09-2025</v>
      </c>
      <c r="G3617" s="8"/>
      <c r="H3617" s="8"/>
      <c r="I3617" s="7"/>
      <c r="J3617" s="8" t="str">
        <f aca="false">VLOOKUP(B3617, Table3[#All], 2, FALSE())</f>
        <v>Sales</v>
      </c>
      <c r="K3617" s="8" t="str">
        <f aca="false">TEXT(ROW(), "0000")</f>
        <v>3617</v>
      </c>
      <c r="L3617" s="8"/>
    </row>
    <row r="3618" customFormat="false" ht="15.75" hidden="false" customHeight="true" outlineLevel="0" collapsed="false">
      <c r="A3618" s="7" t="n">
        <v>45906</v>
      </c>
      <c r="B3618" s="8" t="s">
        <v>16</v>
      </c>
      <c r="C3618" s="9" t="n">
        <v>4052</v>
      </c>
      <c r="D3618" s="8" t="s">
        <v>24</v>
      </c>
      <c r="E3618" s="10" t="s">
        <v>88</v>
      </c>
      <c r="F3618" s="8" t="str">
        <f aca="false">TEXT(A3618,"MM-YYYY")</f>
        <v>09-2025</v>
      </c>
      <c r="G3618" s="8"/>
      <c r="H3618" s="8"/>
      <c r="I3618" s="7"/>
      <c r="J3618" s="8" t="str">
        <f aca="false">VLOOKUP(B3618, Table3[#All], 2, FALSE())</f>
        <v>Sales</v>
      </c>
      <c r="K3618" s="8" t="str">
        <f aca="false">TEXT(ROW(), "0000")</f>
        <v>3618</v>
      </c>
      <c r="L3618" s="8"/>
    </row>
    <row r="3619" customFormat="false" ht="15.75" hidden="false" customHeight="true" outlineLevel="0" collapsed="false">
      <c r="A3619" s="7" t="n">
        <v>45907</v>
      </c>
      <c r="B3619" s="8" t="s">
        <v>25</v>
      </c>
      <c r="C3619" s="9" t="n">
        <v>774</v>
      </c>
      <c r="D3619" s="8" t="s">
        <v>13</v>
      </c>
      <c r="E3619" s="10" t="s">
        <v>92</v>
      </c>
      <c r="F3619" s="8" t="str">
        <f aca="false">TEXT(A3619,"MM-YYYY")</f>
        <v>09-2025</v>
      </c>
      <c r="G3619" s="8" t="s">
        <v>18</v>
      </c>
      <c r="H3619" s="8"/>
      <c r="I3619" s="7"/>
      <c r="J3619" s="8" t="str">
        <f aca="false">VLOOKUP(B3619, Table3[#All], 2, FALSE())</f>
        <v>Inventory</v>
      </c>
      <c r="K3619" s="8" t="str">
        <f aca="false">TEXT(ROW(), "0000")</f>
        <v>3619</v>
      </c>
      <c r="L3619" s="8"/>
    </row>
    <row r="3620" customFormat="false" ht="15.75" hidden="false" customHeight="true" outlineLevel="0" collapsed="false">
      <c r="A3620" s="7" t="n">
        <v>45907</v>
      </c>
      <c r="B3620" s="8" t="s">
        <v>43</v>
      </c>
      <c r="C3620" s="9" t="n">
        <v>400</v>
      </c>
      <c r="D3620" s="8" t="s">
        <v>45</v>
      </c>
      <c r="E3620" s="10" t="s">
        <v>516</v>
      </c>
      <c r="F3620" s="8" t="str">
        <f aca="false">TEXT(A3620,"MM-YYYY")</f>
        <v>09-2025</v>
      </c>
      <c r="G3620" s="8" t="s">
        <v>14</v>
      </c>
      <c r="H3620" s="8"/>
      <c r="I3620" s="7"/>
      <c r="J3620" s="8" t="str">
        <f aca="false">VLOOKUP(B3620, Table3[#All], 2, FALSE())</f>
        <v>Maintance</v>
      </c>
      <c r="K3620" s="8" t="str">
        <f aca="false">TEXT(ROW(), "0000")</f>
        <v>3620</v>
      </c>
      <c r="L3620" s="8"/>
    </row>
    <row r="3621" customFormat="false" ht="15.75" hidden="false" customHeight="true" outlineLevel="0" collapsed="false">
      <c r="A3621" s="7" t="n">
        <v>45907</v>
      </c>
      <c r="B3621" s="8" t="s">
        <v>31</v>
      </c>
      <c r="C3621" s="9" t="n">
        <v>300</v>
      </c>
      <c r="D3621" s="8" t="s">
        <v>45</v>
      </c>
      <c r="E3621" s="10" t="s">
        <v>31</v>
      </c>
      <c r="F3621" s="8" t="str">
        <f aca="false">TEXT(A3621,"MM-YYYY")</f>
        <v>09-2025</v>
      </c>
      <c r="G3621" s="8" t="s">
        <v>14</v>
      </c>
      <c r="H3621" s="8"/>
      <c r="I3621" s="7"/>
      <c r="J3621" s="8" t="str">
        <f aca="false">VLOOKUP(B3621, Table3[#All], 2, FALSE())</f>
        <v>Bike Maintance</v>
      </c>
      <c r="K3621" s="8" t="str">
        <f aca="false">TEXT(ROW(), "0000")</f>
        <v>3621</v>
      </c>
      <c r="L3621" s="8"/>
    </row>
    <row r="3622" customFormat="false" ht="15.75" hidden="false" customHeight="true" outlineLevel="0" collapsed="false">
      <c r="A3622" s="7" t="n">
        <v>45907</v>
      </c>
      <c r="B3622" s="8" t="s">
        <v>19</v>
      </c>
      <c r="C3622" s="9" t="n">
        <v>2773</v>
      </c>
      <c r="D3622" s="8" t="s">
        <v>13</v>
      </c>
      <c r="E3622" s="10" t="s">
        <v>473</v>
      </c>
      <c r="F3622" s="8" t="str">
        <f aca="false">TEXT(A3622,"MM-YYYY")</f>
        <v>09-2025</v>
      </c>
      <c r="G3622" s="8" t="s">
        <v>14</v>
      </c>
      <c r="H3622" s="8"/>
      <c r="I3622" s="7"/>
      <c r="J3622" s="8" t="str">
        <f aca="false">VLOOKUP(B3622, Table3[#All], 2, FALSE())</f>
        <v>Inventory</v>
      </c>
      <c r="K3622" s="8" t="str">
        <f aca="false">TEXT(ROW(), "0000")</f>
        <v>3622</v>
      </c>
      <c r="L3622" s="8"/>
    </row>
    <row r="3623" customFormat="false" ht="15.75" hidden="false" customHeight="true" outlineLevel="0" collapsed="false">
      <c r="A3623" s="7" t="n">
        <v>45907</v>
      </c>
      <c r="B3623" s="8" t="s">
        <v>25</v>
      </c>
      <c r="C3623" s="9" t="n">
        <v>330</v>
      </c>
      <c r="D3623" s="8" t="s">
        <v>45</v>
      </c>
      <c r="E3623" s="10" t="s">
        <v>517</v>
      </c>
      <c r="F3623" s="8" t="str">
        <f aca="false">TEXT(A3623,"MM-YYYY")</f>
        <v>09-2025</v>
      </c>
      <c r="G3623" s="8" t="s">
        <v>14</v>
      </c>
      <c r="H3623" s="8"/>
      <c r="I3623" s="7"/>
      <c r="J3623" s="8" t="str">
        <f aca="false">VLOOKUP(B3623, Table3[#All], 2, FALSE())</f>
        <v>Inventory</v>
      </c>
      <c r="K3623" s="8" t="str">
        <f aca="false">TEXT(ROW(), "0000")</f>
        <v>3623</v>
      </c>
      <c r="L3623" s="8"/>
    </row>
    <row r="3624" customFormat="false" ht="15.75" hidden="false" customHeight="true" outlineLevel="0" collapsed="false">
      <c r="A3624" s="7" t="n">
        <v>45907</v>
      </c>
      <c r="B3624" s="8" t="s">
        <v>32</v>
      </c>
      <c r="C3624" s="9" t="n">
        <v>175</v>
      </c>
      <c r="D3624" s="8" t="s">
        <v>21</v>
      </c>
      <c r="E3624" s="10" t="s">
        <v>450</v>
      </c>
      <c r="F3624" s="8" t="str">
        <f aca="false">TEXT(A3624,"MM-YYYY")</f>
        <v>09-2025</v>
      </c>
      <c r="G3624" s="8" t="s">
        <v>14</v>
      </c>
      <c r="H3624" s="8"/>
      <c r="I3624" s="7"/>
      <c r="J3624" s="8" t="str">
        <f aca="false">VLOOKUP(B3624, Table3[#All], 2, FALSE())</f>
        <v>Grocery</v>
      </c>
      <c r="K3624" s="8" t="str">
        <f aca="false">TEXT(ROW(), "0000")</f>
        <v>3624</v>
      </c>
      <c r="L3624" s="8"/>
    </row>
    <row r="3625" customFormat="false" ht="15.75" hidden="false" customHeight="true" outlineLevel="0" collapsed="false">
      <c r="A3625" s="7" t="n">
        <v>45907</v>
      </c>
      <c r="B3625" s="8" t="s">
        <v>12</v>
      </c>
      <c r="C3625" s="9" t="n">
        <v>210</v>
      </c>
      <c r="D3625" s="8" t="s">
        <v>45</v>
      </c>
      <c r="E3625" s="10" t="s">
        <v>518</v>
      </c>
      <c r="F3625" s="8" t="str">
        <f aca="false">TEXT(A3625,"MM-YYYY")</f>
        <v>09-2025</v>
      </c>
      <c r="G3625" s="8" t="s">
        <v>14</v>
      </c>
      <c r="H3625" s="8"/>
      <c r="I3625" s="7"/>
      <c r="J3625" s="8" t="str">
        <f aca="false">VLOOKUP(B3625, Table3[#All], 2, FALSE())</f>
        <v>Fixed Maintance</v>
      </c>
      <c r="K3625" s="8" t="str">
        <f aca="false">TEXT(ROW(), "0000")</f>
        <v>3625</v>
      </c>
      <c r="L3625" s="8"/>
    </row>
    <row r="3626" customFormat="false" ht="15.75" hidden="false" customHeight="true" outlineLevel="0" collapsed="false">
      <c r="A3626" s="7" t="n">
        <v>45907</v>
      </c>
      <c r="B3626" s="8" t="s">
        <v>12</v>
      </c>
      <c r="C3626" s="9" t="n">
        <v>15</v>
      </c>
      <c r="D3626" s="8" t="s">
        <v>45</v>
      </c>
      <c r="E3626" s="10" t="s">
        <v>457</v>
      </c>
      <c r="F3626" s="8" t="str">
        <f aca="false">TEXT(A3626,"MM-YYYY")</f>
        <v>09-2025</v>
      </c>
      <c r="G3626" s="8" t="s">
        <v>14</v>
      </c>
      <c r="H3626" s="8"/>
      <c r="I3626" s="7"/>
      <c r="J3626" s="8" t="str">
        <f aca="false">VLOOKUP(B3626, Table3[#All], 2, FALSE())</f>
        <v>Fixed Maintance</v>
      </c>
      <c r="K3626" s="8" t="str">
        <f aca="false">TEXT(ROW(), "0000")</f>
        <v>3626</v>
      </c>
      <c r="L3626" s="8"/>
    </row>
    <row r="3627" customFormat="false" ht="15.75" hidden="false" customHeight="true" outlineLevel="0" collapsed="false">
      <c r="A3627" s="7" t="n">
        <v>45907</v>
      </c>
      <c r="B3627" s="8" t="s">
        <v>37</v>
      </c>
      <c r="C3627" s="9" t="n">
        <v>15</v>
      </c>
      <c r="D3627" s="8" t="s">
        <v>21</v>
      </c>
      <c r="E3627" s="10" t="s">
        <v>420</v>
      </c>
      <c r="F3627" s="8" t="str">
        <f aca="false">TEXT(A3627,"MM-YYYY")</f>
        <v>09-2025</v>
      </c>
      <c r="G3627" s="8" t="s">
        <v>14</v>
      </c>
      <c r="H3627" s="8"/>
      <c r="I3627" s="7"/>
      <c r="J3627" s="8" t="str">
        <f aca="false">VLOOKUP(B3627, Table3[#All], 2, FALSE())</f>
        <v>Maintance</v>
      </c>
      <c r="K3627" s="8" t="str">
        <f aca="false">TEXT(ROW(), "0000")</f>
        <v>3627</v>
      </c>
      <c r="L3627" s="8"/>
    </row>
    <row r="3628" customFormat="false" ht="15.75" hidden="false" customHeight="true" outlineLevel="0" collapsed="false">
      <c r="A3628" s="7" t="n">
        <v>45907</v>
      </c>
      <c r="B3628" s="8" t="s">
        <v>44</v>
      </c>
      <c r="C3628" s="9" t="n">
        <v>500</v>
      </c>
      <c r="D3628" s="8" t="s">
        <v>45</v>
      </c>
      <c r="E3628" s="10" t="s">
        <v>497</v>
      </c>
      <c r="F3628" s="8" t="str">
        <f aca="false">TEXT(A3628,"MM-YYYY")</f>
        <v>09-2025</v>
      </c>
      <c r="G3628" s="8" t="s">
        <v>14</v>
      </c>
      <c r="H3628" s="8"/>
      <c r="I3628" s="7"/>
      <c r="J3628" s="8" t="str">
        <f aca="false">VLOOKUP(B3628, Table3[#All], 2, FALSE())</f>
        <v>Salary</v>
      </c>
      <c r="K3628" s="8" t="str">
        <f aca="false">TEXT(ROW(), "0000")</f>
        <v>3628</v>
      </c>
      <c r="L3628" s="8"/>
    </row>
    <row r="3629" customFormat="false" ht="15.75" hidden="false" customHeight="true" outlineLevel="0" collapsed="false">
      <c r="A3629" s="7" t="n">
        <v>45907</v>
      </c>
      <c r="B3629" s="8" t="s">
        <v>16</v>
      </c>
      <c r="C3629" s="9" t="n">
        <v>2655</v>
      </c>
      <c r="D3629" s="8" t="s">
        <v>21</v>
      </c>
      <c r="E3629" s="10" t="s">
        <v>88</v>
      </c>
      <c r="F3629" s="8" t="str">
        <f aca="false">TEXT(A3629,"MM-YYYY")</f>
        <v>09-2025</v>
      </c>
      <c r="G3629" s="8"/>
      <c r="H3629" s="8"/>
      <c r="I3629" s="7"/>
      <c r="J3629" s="8" t="str">
        <f aca="false">VLOOKUP(B3629, Table3[#All], 2, FALSE())</f>
        <v>Sales</v>
      </c>
      <c r="K3629" s="8" t="str">
        <f aca="false">TEXT(ROW(), "0000")</f>
        <v>3629</v>
      </c>
      <c r="L3629" s="8"/>
    </row>
    <row r="3630" customFormat="false" ht="15.75" hidden="false" customHeight="true" outlineLevel="0" collapsed="false">
      <c r="A3630" s="7" t="n">
        <v>45907</v>
      </c>
      <c r="B3630" s="8" t="s">
        <v>16</v>
      </c>
      <c r="C3630" s="9" t="n">
        <v>985</v>
      </c>
      <c r="D3630" s="8" t="s">
        <v>27</v>
      </c>
      <c r="E3630" s="10" t="s">
        <v>88</v>
      </c>
      <c r="F3630" s="8" t="str">
        <f aca="false">TEXT(A3630,"MM-YYYY")</f>
        <v>09-2025</v>
      </c>
      <c r="G3630" s="8"/>
      <c r="H3630" s="8"/>
      <c r="I3630" s="7"/>
      <c r="J3630" s="8" t="str">
        <f aca="false">VLOOKUP(B3630, Table3[#All], 2, FALSE())</f>
        <v>Sales</v>
      </c>
      <c r="K3630" s="8" t="str">
        <f aca="false">TEXT(ROW(), "0000")</f>
        <v>3630</v>
      </c>
      <c r="L3630" s="8"/>
    </row>
    <row r="3631" customFormat="false" ht="15.75" hidden="false" customHeight="true" outlineLevel="0" collapsed="false">
      <c r="A3631" s="7" t="n">
        <v>45907</v>
      </c>
      <c r="B3631" s="8" t="s">
        <v>16</v>
      </c>
      <c r="C3631" s="9" t="n">
        <v>12250</v>
      </c>
      <c r="D3631" s="8" t="s">
        <v>17</v>
      </c>
      <c r="E3631" s="10" t="s">
        <v>88</v>
      </c>
      <c r="F3631" s="8" t="str">
        <f aca="false">TEXT(A3631,"MM-YYYY")</f>
        <v>09-2025</v>
      </c>
      <c r="G3631" s="8"/>
      <c r="H3631" s="8"/>
      <c r="I3631" s="7"/>
      <c r="J3631" s="8" t="str">
        <f aca="false">VLOOKUP(B3631, Table3[#All], 2, FALSE())</f>
        <v>Sales</v>
      </c>
      <c r="K3631" s="8" t="str">
        <f aca="false">TEXT(ROW(), "0000")</f>
        <v>3631</v>
      </c>
      <c r="L3631" s="8"/>
    </row>
    <row r="3632" customFormat="false" ht="15.75" hidden="false" customHeight="true" outlineLevel="0" collapsed="false">
      <c r="A3632" s="7" t="n">
        <v>45907</v>
      </c>
      <c r="B3632" s="8" t="s">
        <v>16</v>
      </c>
      <c r="C3632" s="9" t="n">
        <v>540</v>
      </c>
      <c r="D3632" s="8" t="s">
        <v>59</v>
      </c>
      <c r="E3632" s="10" t="s">
        <v>88</v>
      </c>
      <c r="F3632" s="8" t="str">
        <f aca="false">TEXT(A3632,"MM-YYYY")</f>
        <v>09-2025</v>
      </c>
      <c r="G3632" s="8"/>
      <c r="H3632" s="8"/>
      <c r="I3632" s="7"/>
      <c r="J3632" s="8" t="str">
        <f aca="false">VLOOKUP(B3632, Table3[#All], 2, FALSE())</f>
        <v>Sales</v>
      </c>
      <c r="K3632" s="8" t="str">
        <f aca="false">TEXT(ROW(), "0000")</f>
        <v>3632</v>
      </c>
      <c r="L3632" s="8"/>
    </row>
    <row r="3633" customFormat="false" ht="15.75" hidden="false" customHeight="true" outlineLevel="0" collapsed="false">
      <c r="A3633" s="7" t="n">
        <v>45907</v>
      </c>
      <c r="B3633" s="8" t="s">
        <v>16</v>
      </c>
      <c r="C3633" s="9" t="n">
        <v>2391</v>
      </c>
      <c r="D3633" s="8" t="s">
        <v>24</v>
      </c>
      <c r="E3633" s="10" t="s">
        <v>88</v>
      </c>
      <c r="F3633" s="8" t="str">
        <f aca="false">TEXT(A3633,"MM-YYYY")</f>
        <v>09-2025</v>
      </c>
      <c r="G3633" s="8"/>
      <c r="H3633" s="8"/>
      <c r="I3633" s="7"/>
      <c r="J3633" s="8" t="str">
        <f aca="false">VLOOKUP(B3633, Table3[#All], 2, FALSE())</f>
        <v>Sales</v>
      </c>
      <c r="K3633" s="8" t="str">
        <f aca="false">TEXT(ROW(), "0000")</f>
        <v>3633</v>
      </c>
      <c r="L3633" s="8"/>
    </row>
    <row r="3634" customFormat="false" ht="15.75" hidden="false" customHeight="true" outlineLevel="0" collapsed="false">
      <c r="A3634" s="7" t="n">
        <v>45907</v>
      </c>
      <c r="B3634" s="8" t="s">
        <v>34</v>
      </c>
      <c r="C3634" s="9" t="n">
        <v>30</v>
      </c>
      <c r="D3634" s="8" t="s">
        <v>45</v>
      </c>
      <c r="E3634" s="10" t="s">
        <v>154</v>
      </c>
      <c r="F3634" s="8" t="str">
        <f aca="false">TEXT(A3634,"MM-YYYY")</f>
        <v>09-2025</v>
      </c>
      <c r="G3634" s="8" t="s">
        <v>14</v>
      </c>
      <c r="H3634" s="8"/>
      <c r="I3634" s="7"/>
      <c r="J3634" s="8" t="str">
        <f aca="false">VLOOKUP(B3634, Table3[#All], 2, FALSE())</f>
        <v>Staff Expenses</v>
      </c>
      <c r="K3634" s="8" t="str">
        <f aca="false">TEXT(ROW(), "0000")</f>
        <v>3634</v>
      </c>
      <c r="L3634" s="8"/>
    </row>
    <row r="3635" customFormat="false" ht="15.75" hidden="false" customHeight="true" outlineLevel="0" collapsed="false">
      <c r="A3635" s="7" t="n">
        <v>45907</v>
      </c>
      <c r="B3635" s="8" t="s">
        <v>44</v>
      </c>
      <c r="C3635" s="9" t="n">
        <v>500</v>
      </c>
      <c r="D3635" s="8" t="s">
        <v>45</v>
      </c>
      <c r="E3635" s="10" t="s">
        <v>519</v>
      </c>
      <c r="F3635" s="8" t="str">
        <f aca="false">TEXT(A3635,"MM-YYYY")</f>
        <v>09-2025</v>
      </c>
      <c r="G3635" s="8" t="s">
        <v>14</v>
      </c>
      <c r="H3635" s="8"/>
      <c r="I3635" s="7"/>
      <c r="J3635" s="8" t="str">
        <f aca="false">VLOOKUP(B3635, Table3[#All], 2, FALSE())</f>
        <v>Salary</v>
      </c>
      <c r="K3635" s="8" t="str">
        <f aca="false">TEXT(ROW(), "0000")</f>
        <v>3635</v>
      </c>
      <c r="L3635" s="8"/>
    </row>
    <row r="3636" customFormat="false" ht="15.75" hidden="false" customHeight="true" outlineLevel="0" collapsed="false">
      <c r="A3636" s="7" t="n">
        <v>45908</v>
      </c>
      <c r="B3636" s="8" t="s">
        <v>25</v>
      </c>
      <c r="C3636" s="9" t="n">
        <v>745</v>
      </c>
      <c r="D3636" s="8" t="s">
        <v>13</v>
      </c>
      <c r="E3636" s="10" t="s">
        <v>92</v>
      </c>
      <c r="F3636" s="8" t="str">
        <f aca="false">TEXT(A3636,"MM-YYYY")</f>
        <v>09-2025</v>
      </c>
      <c r="G3636" s="8" t="s">
        <v>18</v>
      </c>
      <c r="H3636" s="8"/>
      <c r="I3636" s="7"/>
      <c r="J3636" s="8" t="str">
        <f aca="false">VLOOKUP(B3636, Table3[#All], 2, FALSE())</f>
        <v>Inventory</v>
      </c>
      <c r="K3636" s="8" t="str">
        <f aca="false">TEXT(ROW(), "0000")</f>
        <v>3636</v>
      </c>
      <c r="L3636" s="8"/>
    </row>
    <row r="3637" customFormat="false" ht="15.75" hidden="false" customHeight="true" outlineLevel="0" collapsed="false">
      <c r="A3637" s="7" t="n">
        <v>45908</v>
      </c>
      <c r="B3637" s="8" t="s">
        <v>47</v>
      </c>
      <c r="C3637" s="9" t="n">
        <v>1800</v>
      </c>
      <c r="D3637" s="8" t="s">
        <v>13</v>
      </c>
      <c r="E3637" s="10" t="s">
        <v>484</v>
      </c>
      <c r="F3637" s="8" t="str">
        <f aca="false">TEXT(A3637,"MM-YYYY")</f>
        <v>09-2025</v>
      </c>
      <c r="G3637" s="8" t="s">
        <v>18</v>
      </c>
      <c r="H3637" s="8"/>
      <c r="I3637" s="7"/>
      <c r="J3637" s="8" t="str">
        <f aca="false">VLOOKUP(B3637, Table3[#All], 2, FALSE())</f>
        <v>Inventory</v>
      </c>
      <c r="K3637" s="8" t="str">
        <f aca="false">TEXT(ROW(), "0000")</f>
        <v>3637</v>
      </c>
      <c r="L3637" s="8"/>
    </row>
    <row r="3638" customFormat="false" ht="15.75" hidden="false" customHeight="true" outlineLevel="0" collapsed="false">
      <c r="A3638" s="7" t="n">
        <v>45908</v>
      </c>
      <c r="B3638" s="8" t="s">
        <v>19</v>
      </c>
      <c r="C3638" s="9" t="n">
        <v>2657</v>
      </c>
      <c r="D3638" s="8" t="s">
        <v>13</v>
      </c>
      <c r="E3638" s="10" t="s">
        <v>473</v>
      </c>
      <c r="F3638" s="8" t="str">
        <f aca="false">TEXT(A3638,"MM-YYYY")</f>
        <v>09-2025</v>
      </c>
      <c r="G3638" s="8" t="s">
        <v>14</v>
      </c>
      <c r="H3638" s="8"/>
      <c r="I3638" s="7"/>
      <c r="J3638" s="8" t="str">
        <f aca="false">VLOOKUP(B3638, Table3[#All], 2, FALSE())</f>
        <v>Inventory</v>
      </c>
      <c r="K3638" s="8" t="str">
        <f aca="false">TEXT(ROW(), "0000")</f>
        <v>3638</v>
      </c>
      <c r="L3638" s="8"/>
    </row>
    <row r="3639" customFormat="false" ht="15.75" hidden="false" customHeight="true" outlineLevel="0" collapsed="false">
      <c r="A3639" s="7" t="n">
        <v>45908</v>
      </c>
      <c r="B3639" s="8" t="s">
        <v>22</v>
      </c>
      <c r="C3639" s="9" t="n">
        <v>2525</v>
      </c>
      <c r="D3639" s="8" t="s">
        <v>13</v>
      </c>
      <c r="E3639" s="10" t="s">
        <v>23</v>
      </c>
      <c r="F3639" s="8" t="str">
        <f aca="false">TEXT(A3639,"MM-YYYY")</f>
        <v>09-2025</v>
      </c>
      <c r="G3639" s="8" t="s">
        <v>14</v>
      </c>
      <c r="H3639" s="8" t="s">
        <v>13</v>
      </c>
      <c r="I3639" s="7" t="n">
        <v>45917</v>
      </c>
      <c r="J3639" s="8" t="str">
        <f aca="false">VLOOKUP(B3639, Table3[#All], 2, FALSE())</f>
        <v>Inventory</v>
      </c>
      <c r="K3639" s="8" t="str">
        <f aca="false">TEXT(ROW(), "0000")</f>
        <v>3639</v>
      </c>
      <c r="L3639" s="8"/>
    </row>
    <row r="3640" customFormat="false" ht="15.75" hidden="false" customHeight="true" outlineLevel="0" collapsed="false">
      <c r="A3640" s="7" t="n">
        <v>45908</v>
      </c>
      <c r="B3640" s="8" t="s">
        <v>37</v>
      </c>
      <c r="C3640" s="9" t="n">
        <v>15</v>
      </c>
      <c r="D3640" s="8" t="s">
        <v>21</v>
      </c>
      <c r="E3640" s="10" t="s">
        <v>420</v>
      </c>
      <c r="F3640" s="8" t="str">
        <f aca="false">TEXT(A3640,"MM-YYYY")</f>
        <v>09-2025</v>
      </c>
      <c r="G3640" s="8" t="s">
        <v>14</v>
      </c>
      <c r="H3640" s="8"/>
      <c r="I3640" s="7"/>
      <c r="J3640" s="8" t="str">
        <f aca="false">VLOOKUP(B3640, Table3[#All], 2, FALSE())</f>
        <v>Maintance</v>
      </c>
      <c r="K3640" s="8" t="str">
        <f aca="false">TEXT(ROW(), "0000")</f>
        <v>3640</v>
      </c>
      <c r="L3640" s="8"/>
    </row>
    <row r="3641" customFormat="false" ht="15.75" hidden="false" customHeight="true" outlineLevel="0" collapsed="false">
      <c r="A3641" s="7" t="n">
        <v>45908</v>
      </c>
      <c r="B3641" s="8" t="s">
        <v>40</v>
      </c>
      <c r="C3641" s="9" t="n">
        <v>3100</v>
      </c>
      <c r="D3641" s="8" t="s">
        <v>13</v>
      </c>
      <c r="E3641" s="10" t="s">
        <v>40</v>
      </c>
      <c r="F3641" s="8" t="str">
        <f aca="false">TEXT(A3641,"MM-YYYY")</f>
        <v>09-2025</v>
      </c>
      <c r="G3641" s="8" t="s">
        <v>14</v>
      </c>
      <c r="H3641" s="8" t="s">
        <v>262</v>
      </c>
      <c r="I3641" s="7" t="n">
        <v>45908</v>
      </c>
      <c r="J3641" s="8" t="str">
        <f aca="false">VLOOKUP(B3641, Table3[#All], 2, FALSE())</f>
        <v>Inventory</v>
      </c>
      <c r="K3641" s="8" t="str">
        <f aca="false">TEXT(ROW(), "0000")</f>
        <v>3641</v>
      </c>
      <c r="L3641" s="8"/>
    </row>
    <row r="3642" customFormat="false" ht="15.75" hidden="false" customHeight="true" outlineLevel="0" collapsed="false">
      <c r="A3642" s="7" t="n">
        <v>45908</v>
      </c>
      <c r="B3642" s="8" t="s">
        <v>197</v>
      </c>
      <c r="C3642" s="9" t="n">
        <v>1000</v>
      </c>
      <c r="D3642" s="8" t="s">
        <v>45</v>
      </c>
      <c r="E3642" s="10" t="s">
        <v>520</v>
      </c>
      <c r="F3642" s="8" t="str">
        <f aca="false">TEXT(A3642,"MM-YYYY")</f>
        <v>09-2025</v>
      </c>
      <c r="G3642" s="8" t="s">
        <v>14</v>
      </c>
      <c r="H3642" s="8"/>
      <c r="I3642" s="7"/>
      <c r="J3642" s="8" t="str">
        <f aca="false">VLOOKUP(B3642, Table3[#All], 2, FALSE())</f>
        <v>Maintenance</v>
      </c>
      <c r="K3642" s="8" t="str">
        <f aca="false">TEXT(ROW(), "0000")</f>
        <v>3642</v>
      </c>
      <c r="L3642" s="8"/>
    </row>
    <row r="3643" customFormat="false" ht="15.75" hidden="false" customHeight="true" outlineLevel="0" collapsed="false">
      <c r="A3643" s="7" t="n">
        <v>45908</v>
      </c>
      <c r="B3643" s="8" t="s">
        <v>53</v>
      </c>
      <c r="C3643" s="9" t="n">
        <v>1200</v>
      </c>
      <c r="D3643" s="8" t="s">
        <v>45</v>
      </c>
      <c r="E3643" s="10" t="s">
        <v>437</v>
      </c>
      <c r="F3643" s="8" t="str">
        <f aca="false">TEXT(A3643,"MM-YYYY")</f>
        <v>09-2025</v>
      </c>
      <c r="G3643" s="8" t="s">
        <v>14</v>
      </c>
      <c r="H3643" s="8" t="s">
        <v>232</v>
      </c>
      <c r="I3643" s="7" t="n">
        <v>45908</v>
      </c>
      <c r="J3643" s="8" t="str">
        <f aca="false">VLOOKUP(B3643, Table3[#All], 2, FALSE())</f>
        <v>Grocery</v>
      </c>
      <c r="K3643" s="8" t="str">
        <f aca="false">TEXT(ROW(), "0000")</f>
        <v>3643</v>
      </c>
      <c r="L3643" s="8"/>
    </row>
    <row r="3644" customFormat="false" ht="15.75" hidden="false" customHeight="true" outlineLevel="0" collapsed="false">
      <c r="A3644" s="7" t="n">
        <v>45908</v>
      </c>
      <c r="B3644" s="8" t="s">
        <v>51</v>
      </c>
      <c r="C3644" s="9" t="n">
        <v>790</v>
      </c>
      <c r="D3644" s="8" t="s">
        <v>45</v>
      </c>
      <c r="E3644" s="10" t="s">
        <v>521</v>
      </c>
      <c r="F3644" s="8" t="str">
        <f aca="false">TEXT(A3644,"MM-YYYY")</f>
        <v>09-2025</v>
      </c>
      <c r="G3644" s="8" t="s">
        <v>14</v>
      </c>
      <c r="H3644" s="8" t="s">
        <v>232</v>
      </c>
      <c r="I3644" s="7"/>
      <c r="J3644" s="8" t="str">
        <f aca="false">VLOOKUP(B3644, Table3[#All], 2, FALSE())</f>
        <v>Inventory</v>
      </c>
      <c r="K3644" s="8" t="str">
        <f aca="false">TEXT(ROW(), "0000")</f>
        <v>3644</v>
      </c>
      <c r="L3644" s="8"/>
    </row>
    <row r="3645" customFormat="false" ht="15.75" hidden="false" customHeight="true" outlineLevel="0" collapsed="false">
      <c r="A3645" s="7" t="n">
        <v>45908</v>
      </c>
      <c r="B3645" s="8" t="s">
        <v>29</v>
      </c>
      <c r="C3645" s="9" t="n">
        <v>200</v>
      </c>
      <c r="D3645" s="8" t="s">
        <v>21</v>
      </c>
      <c r="E3645" s="10" t="s">
        <v>488</v>
      </c>
      <c r="F3645" s="8" t="str">
        <f aca="false">TEXT(A3645,"MM-YYYY")</f>
        <v>09-2025</v>
      </c>
      <c r="G3645" s="8" t="s">
        <v>14</v>
      </c>
      <c r="H3645" s="8" t="s">
        <v>262</v>
      </c>
      <c r="I3645" s="7"/>
      <c r="J3645" s="8" t="str">
        <f aca="false">VLOOKUP(B3645, Table3[#All], 2, FALSE())</f>
        <v>Inventory</v>
      </c>
      <c r="K3645" s="8" t="str">
        <f aca="false">TEXT(ROW(), "0000")</f>
        <v>3645</v>
      </c>
      <c r="L3645" s="8"/>
    </row>
    <row r="3646" customFormat="false" ht="15.75" hidden="false" customHeight="true" outlineLevel="0" collapsed="false">
      <c r="A3646" s="7" t="n">
        <v>45908</v>
      </c>
      <c r="B3646" s="8" t="s">
        <v>16</v>
      </c>
      <c r="C3646" s="9" t="n">
        <v>406</v>
      </c>
      <c r="D3646" s="8" t="s">
        <v>21</v>
      </c>
      <c r="E3646" s="10" t="s">
        <v>88</v>
      </c>
      <c r="F3646" s="8" t="str">
        <f aca="false">TEXT(A3646,"MM-YYYY")</f>
        <v>09-2025</v>
      </c>
      <c r="G3646" s="8"/>
      <c r="H3646" s="8"/>
      <c r="I3646" s="7"/>
      <c r="J3646" s="8" t="str">
        <f aca="false">VLOOKUP(B3646, Table3[#All], 2, FALSE())</f>
        <v>Sales</v>
      </c>
      <c r="K3646" s="8" t="str">
        <f aca="false">TEXT(ROW(), "0000")</f>
        <v>3646</v>
      </c>
      <c r="L3646" s="8"/>
    </row>
    <row r="3647" customFormat="false" ht="15.75" hidden="false" customHeight="true" outlineLevel="0" collapsed="false">
      <c r="A3647" s="7" t="n">
        <v>45908</v>
      </c>
      <c r="B3647" s="8" t="s">
        <v>16</v>
      </c>
      <c r="C3647" s="9" t="n">
        <v>580</v>
      </c>
      <c r="D3647" s="8" t="s">
        <v>70</v>
      </c>
      <c r="E3647" s="10" t="s">
        <v>88</v>
      </c>
      <c r="F3647" s="8" t="str">
        <f aca="false">TEXT(A3647,"MM-YYYY")</f>
        <v>09-2025</v>
      </c>
      <c r="G3647" s="8"/>
      <c r="H3647" s="8"/>
      <c r="I3647" s="7"/>
      <c r="J3647" s="8" t="str">
        <f aca="false">VLOOKUP(B3647, Table3[#All], 2, FALSE())</f>
        <v>Sales</v>
      </c>
      <c r="K3647" s="8" t="str">
        <f aca="false">TEXT(ROW(), "0000")</f>
        <v>3647</v>
      </c>
      <c r="L3647" s="8"/>
    </row>
    <row r="3648" customFormat="false" ht="15.75" hidden="false" customHeight="true" outlineLevel="0" collapsed="false">
      <c r="A3648" s="7" t="n">
        <v>45908</v>
      </c>
      <c r="B3648" s="8" t="s">
        <v>16</v>
      </c>
      <c r="C3648" s="9" t="n">
        <v>996</v>
      </c>
      <c r="D3648" s="8" t="s">
        <v>33</v>
      </c>
      <c r="E3648" s="10" t="s">
        <v>88</v>
      </c>
      <c r="F3648" s="8" t="str">
        <f aca="false">TEXT(A3648,"MM-YYYY")</f>
        <v>09-2025</v>
      </c>
      <c r="G3648" s="8"/>
      <c r="H3648" s="8"/>
      <c r="I3648" s="7"/>
      <c r="J3648" s="8" t="str">
        <f aca="false">VLOOKUP(B3648, Table3[#All], 2, FALSE())</f>
        <v>Sales</v>
      </c>
      <c r="K3648" s="8" t="str">
        <f aca="false">TEXT(ROW(), "0000")</f>
        <v>3648</v>
      </c>
      <c r="L3648" s="8"/>
    </row>
    <row r="3649" customFormat="false" ht="15.75" hidden="false" customHeight="true" outlineLevel="0" collapsed="false">
      <c r="A3649" s="7" t="n">
        <v>45908</v>
      </c>
      <c r="B3649" s="8" t="s">
        <v>16</v>
      </c>
      <c r="C3649" s="9" t="n">
        <v>8585</v>
      </c>
      <c r="D3649" s="8" t="s">
        <v>17</v>
      </c>
      <c r="E3649" s="10" t="s">
        <v>88</v>
      </c>
      <c r="F3649" s="8" t="str">
        <f aca="false">TEXT(A3649,"MM-YYYY")</f>
        <v>09-2025</v>
      </c>
      <c r="G3649" s="8"/>
      <c r="H3649" s="8"/>
      <c r="I3649" s="7"/>
      <c r="J3649" s="8" t="str">
        <f aca="false">VLOOKUP(B3649, Table3[#All], 2, FALSE())</f>
        <v>Sales</v>
      </c>
      <c r="K3649" s="8" t="str">
        <f aca="false">TEXT(ROW(), "0000")</f>
        <v>3649</v>
      </c>
      <c r="L3649" s="8"/>
    </row>
    <row r="3650" customFormat="false" ht="15.75" hidden="false" customHeight="true" outlineLevel="0" collapsed="false">
      <c r="A3650" s="7" t="n">
        <v>45908</v>
      </c>
      <c r="B3650" s="8" t="s">
        <v>16</v>
      </c>
      <c r="C3650" s="9" t="n">
        <v>2338</v>
      </c>
      <c r="D3650" s="8" t="s">
        <v>24</v>
      </c>
      <c r="E3650" s="10" t="s">
        <v>88</v>
      </c>
      <c r="F3650" s="8" t="str">
        <f aca="false">TEXT(A3650,"MM-YYYY")</f>
        <v>09-2025</v>
      </c>
      <c r="G3650" s="8"/>
      <c r="H3650" s="8"/>
      <c r="I3650" s="7"/>
      <c r="J3650" s="8" t="str">
        <f aca="false">VLOOKUP(B3650, Table3[#All], 2, FALSE())</f>
        <v>Sales</v>
      </c>
      <c r="K3650" s="8" t="str">
        <f aca="false">TEXT(ROW(), "0000")</f>
        <v>3650</v>
      </c>
      <c r="L3650" s="8"/>
    </row>
    <row r="3651" customFormat="false" ht="15.75" hidden="false" customHeight="true" outlineLevel="0" collapsed="false">
      <c r="A3651" s="7" t="n">
        <v>45909</v>
      </c>
      <c r="B3651" s="8" t="s">
        <v>28</v>
      </c>
      <c r="C3651" s="9" t="n">
        <v>522</v>
      </c>
      <c r="D3651" s="8" t="s">
        <v>13</v>
      </c>
      <c r="E3651" s="10" t="s">
        <v>93</v>
      </c>
      <c r="F3651" s="8" t="str">
        <f aca="false">TEXT(A3651,"MM-YYYY")</f>
        <v>09-2025</v>
      </c>
      <c r="G3651" s="8" t="s">
        <v>14</v>
      </c>
      <c r="H3651" s="8"/>
      <c r="I3651" s="7"/>
      <c r="J3651" s="8" t="str">
        <f aca="false">VLOOKUP(B3651, Table3[#All], 2, FALSE())</f>
        <v>Grocery</v>
      </c>
      <c r="K3651" s="8" t="str">
        <f aca="false">TEXT(ROW(), "0000")</f>
        <v>3651</v>
      </c>
      <c r="L3651" s="8"/>
    </row>
    <row r="3652" customFormat="false" ht="15.75" hidden="false" customHeight="true" outlineLevel="0" collapsed="false">
      <c r="A3652" s="7" t="n">
        <v>45909</v>
      </c>
      <c r="B3652" s="8" t="s">
        <v>43</v>
      </c>
      <c r="C3652" s="9" t="n">
        <v>350</v>
      </c>
      <c r="D3652" s="8" t="s">
        <v>21</v>
      </c>
      <c r="E3652" s="10" t="s">
        <v>522</v>
      </c>
      <c r="F3652" s="8" t="str">
        <f aca="false">TEXT(A3652,"MM-YYYY")</f>
        <v>09-2025</v>
      </c>
      <c r="G3652" s="8" t="s">
        <v>14</v>
      </c>
      <c r="H3652" s="8"/>
      <c r="I3652" s="7"/>
      <c r="J3652" s="8" t="str">
        <f aca="false">VLOOKUP(B3652, Table3[#All], 2, FALSE())</f>
        <v>Maintance</v>
      </c>
      <c r="K3652" s="8" t="str">
        <f aca="false">TEXT(ROW(), "0000")</f>
        <v>3652</v>
      </c>
      <c r="L3652" s="8"/>
    </row>
    <row r="3653" customFormat="false" ht="15.75" hidden="false" customHeight="true" outlineLevel="0" collapsed="false">
      <c r="A3653" s="7" t="n">
        <v>45909</v>
      </c>
      <c r="B3653" s="8" t="s">
        <v>19</v>
      </c>
      <c r="C3653" s="9" t="n">
        <v>1278</v>
      </c>
      <c r="D3653" s="8" t="s">
        <v>13</v>
      </c>
      <c r="E3653" s="10" t="s">
        <v>473</v>
      </c>
      <c r="F3653" s="8" t="str">
        <f aca="false">TEXT(A3653,"MM-YYYY")</f>
        <v>09-2025</v>
      </c>
      <c r="G3653" s="8" t="s">
        <v>14</v>
      </c>
      <c r="H3653" s="8"/>
      <c r="I3653" s="7"/>
      <c r="J3653" s="8" t="str">
        <f aca="false">VLOOKUP(B3653, Table3[#All], 2, FALSE())</f>
        <v>Inventory</v>
      </c>
      <c r="K3653" s="8" t="str">
        <f aca="false">TEXT(ROW(), "0000")</f>
        <v>3653</v>
      </c>
      <c r="L3653" s="8"/>
    </row>
    <row r="3654" customFormat="false" ht="15.75" hidden="false" customHeight="true" outlineLevel="0" collapsed="false">
      <c r="A3654" s="7" t="n">
        <v>45909</v>
      </c>
      <c r="B3654" s="8" t="s">
        <v>29</v>
      </c>
      <c r="C3654" s="9" t="n">
        <v>35</v>
      </c>
      <c r="D3654" s="8" t="s">
        <v>21</v>
      </c>
      <c r="E3654" s="10" t="s">
        <v>65</v>
      </c>
      <c r="F3654" s="8" t="str">
        <f aca="false">TEXT(A3654,"MM-YYYY")</f>
        <v>09-2025</v>
      </c>
      <c r="G3654" s="8" t="s">
        <v>14</v>
      </c>
      <c r="H3654" s="8" t="s">
        <v>262</v>
      </c>
      <c r="I3654" s="7" t="n">
        <v>45909</v>
      </c>
      <c r="J3654" s="8" t="str">
        <f aca="false">VLOOKUP(B3654, Table3[#All], 2, FALSE())</f>
        <v>Inventory</v>
      </c>
      <c r="K3654" s="8" t="str">
        <f aca="false">TEXT(ROW(), "0000")</f>
        <v>3654</v>
      </c>
      <c r="L3654" s="8"/>
    </row>
    <row r="3655" customFormat="false" ht="15.75" hidden="false" customHeight="true" outlineLevel="0" collapsed="false">
      <c r="A3655" s="7" t="n">
        <v>45909</v>
      </c>
      <c r="B3655" s="8" t="s">
        <v>37</v>
      </c>
      <c r="C3655" s="9" t="n">
        <v>10</v>
      </c>
      <c r="D3655" s="8" t="s">
        <v>21</v>
      </c>
      <c r="E3655" s="10" t="s">
        <v>420</v>
      </c>
      <c r="F3655" s="8" t="str">
        <f aca="false">TEXT(A3655,"MM-YYYY")</f>
        <v>09-2025</v>
      </c>
      <c r="G3655" s="8" t="s">
        <v>14</v>
      </c>
      <c r="H3655" s="8" t="s">
        <v>262</v>
      </c>
      <c r="I3655" s="7" t="n">
        <v>45909</v>
      </c>
      <c r="J3655" s="8" t="str">
        <f aca="false">VLOOKUP(B3655, Table3[#All], 2, FALSE())</f>
        <v>Maintance</v>
      </c>
      <c r="K3655" s="8" t="str">
        <f aca="false">TEXT(ROW(), "0000")</f>
        <v>3655</v>
      </c>
      <c r="L3655" s="8"/>
    </row>
    <row r="3656" customFormat="false" ht="15.75" hidden="false" customHeight="true" outlineLevel="0" collapsed="false">
      <c r="A3656" s="7" t="n">
        <v>45909</v>
      </c>
      <c r="B3656" s="8" t="s">
        <v>32</v>
      </c>
      <c r="C3656" s="9" t="n">
        <v>525</v>
      </c>
      <c r="D3656" s="8" t="s">
        <v>21</v>
      </c>
      <c r="E3656" s="10" t="s">
        <v>450</v>
      </c>
      <c r="F3656" s="8" t="str">
        <f aca="false">TEXT(A3656,"MM-YYYY")</f>
        <v>09-2025</v>
      </c>
      <c r="G3656" s="8" t="s">
        <v>14</v>
      </c>
      <c r="H3656" s="8" t="s">
        <v>262</v>
      </c>
      <c r="I3656" s="7" t="n">
        <v>45909</v>
      </c>
      <c r="J3656" s="8" t="str">
        <f aca="false">VLOOKUP(B3656, Table3[#All], 2, FALSE())</f>
        <v>Grocery</v>
      </c>
      <c r="K3656" s="8" t="str">
        <f aca="false">TEXT(ROW(), "0000")</f>
        <v>3656</v>
      </c>
      <c r="L3656" s="8"/>
    </row>
    <row r="3657" customFormat="false" ht="15.75" hidden="false" customHeight="true" outlineLevel="0" collapsed="false">
      <c r="A3657" s="7" t="n">
        <v>45907</v>
      </c>
      <c r="B3657" s="8" t="s">
        <v>44</v>
      </c>
      <c r="C3657" s="9" t="n">
        <v>4500</v>
      </c>
      <c r="D3657" s="8" t="s">
        <v>13</v>
      </c>
      <c r="E3657" s="10" t="s">
        <v>513</v>
      </c>
      <c r="F3657" s="8" t="str">
        <f aca="false">TEXT(A3657,"MM-YYYY")</f>
        <v>09-2025</v>
      </c>
      <c r="G3657" s="8" t="s">
        <v>14</v>
      </c>
      <c r="H3657" s="8" t="s">
        <v>13</v>
      </c>
      <c r="I3657" s="7" t="n">
        <v>45907</v>
      </c>
      <c r="J3657" s="8" t="str">
        <f aca="false">VLOOKUP(B3657, Table3[#All], 2, FALSE())</f>
        <v>Salary</v>
      </c>
      <c r="K3657" s="8" t="str">
        <f aca="false">TEXT(ROW(), "0000")</f>
        <v>3657</v>
      </c>
      <c r="L3657" s="8"/>
    </row>
    <row r="3658" customFormat="false" ht="15.75" hidden="false" customHeight="true" outlineLevel="0" collapsed="false">
      <c r="A3658" s="7" t="n">
        <v>45909</v>
      </c>
      <c r="B3658" s="8" t="s">
        <v>56</v>
      </c>
      <c r="C3658" s="9" t="n">
        <v>5570</v>
      </c>
      <c r="D3658" s="8" t="s">
        <v>13</v>
      </c>
      <c r="E3658" s="10" t="s">
        <v>523</v>
      </c>
      <c r="F3658" s="8" t="str">
        <f aca="false">TEXT(A3658,"MM-YYYY")</f>
        <v>09-2025</v>
      </c>
      <c r="G3658" s="8" t="s">
        <v>14</v>
      </c>
      <c r="H3658" s="8" t="s">
        <v>262</v>
      </c>
      <c r="I3658" s="7"/>
      <c r="J3658" s="8" t="str">
        <f aca="false">VLOOKUP(B3658, Table3[#All], 2, FALSE())</f>
        <v>New Inventory</v>
      </c>
      <c r="K3658" s="8" t="str">
        <f aca="false">TEXT(ROW(), "0000")</f>
        <v>3658</v>
      </c>
      <c r="L3658" s="8"/>
    </row>
    <row r="3659" customFormat="false" ht="15.75" hidden="false" customHeight="true" outlineLevel="0" collapsed="false">
      <c r="A3659" s="7" t="n">
        <v>45909</v>
      </c>
      <c r="B3659" s="8" t="s">
        <v>29</v>
      </c>
      <c r="C3659" s="9" t="n">
        <v>450</v>
      </c>
      <c r="D3659" s="8" t="s">
        <v>21</v>
      </c>
      <c r="E3659" s="10" t="s">
        <v>78</v>
      </c>
      <c r="F3659" s="8" t="str">
        <f aca="false">TEXT(A3659,"MM-YYYY")</f>
        <v>09-2025</v>
      </c>
      <c r="G3659" s="8" t="s">
        <v>14</v>
      </c>
      <c r="H3659" s="8" t="s">
        <v>262</v>
      </c>
      <c r="I3659" s="7"/>
      <c r="J3659" s="8" t="str">
        <f aca="false">VLOOKUP(B3659, Table3[#All], 2, FALSE())</f>
        <v>Inventory</v>
      </c>
      <c r="K3659" s="8" t="str">
        <f aca="false">TEXT(ROW(), "0000")</f>
        <v>3659</v>
      </c>
      <c r="L3659" s="8"/>
    </row>
    <row r="3660" customFormat="false" ht="15.75" hidden="false" customHeight="true" outlineLevel="0" collapsed="false">
      <c r="A3660" s="7" t="n">
        <v>45909</v>
      </c>
      <c r="B3660" s="8" t="s">
        <v>56</v>
      </c>
      <c r="C3660" s="9" t="n">
        <v>300</v>
      </c>
      <c r="D3660" s="8" t="s">
        <v>21</v>
      </c>
      <c r="E3660" s="10" t="s">
        <v>524</v>
      </c>
      <c r="F3660" s="8" t="str">
        <f aca="false">TEXT(A3660,"MM-YYYY")</f>
        <v>09-2025</v>
      </c>
      <c r="G3660" s="8" t="s">
        <v>14</v>
      </c>
      <c r="H3660" s="8" t="s">
        <v>262</v>
      </c>
      <c r="I3660" s="7"/>
      <c r="J3660" s="8" t="str">
        <f aca="false">VLOOKUP(B3660, Table3[#All], 2, FALSE())</f>
        <v>New Inventory</v>
      </c>
      <c r="K3660" s="8" t="str">
        <f aca="false">TEXT(ROW(), "0000")</f>
        <v>3660</v>
      </c>
      <c r="L3660" s="8"/>
    </row>
    <row r="3661" customFormat="false" ht="15.75" hidden="false" customHeight="true" outlineLevel="0" collapsed="false">
      <c r="A3661" s="7" t="n">
        <v>45909</v>
      </c>
      <c r="B3661" s="8" t="s">
        <v>16</v>
      </c>
      <c r="C3661" s="9" t="n">
        <v>1295</v>
      </c>
      <c r="D3661" s="8" t="s">
        <v>21</v>
      </c>
      <c r="E3661" s="10" t="s">
        <v>88</v>
      </c>
      <c r="F3661" s="8" t="str">
        <f aca="false">TEXT(A3661,"MM-YYYY")</f>
        <v>09-2025</v>
      </c>
      <c r="G3661" s="8"/>
      <c r="H3661" s="8"/>
      <c r="I3661" s="7"/>
      <c r="J3661" s="8" t="str">
        <f aca="false">VLOOKUP(B3661, Table3[#All], 2, FALSE())</f>
        <v>Sales</v>
      </c>
      <c r="K3661" s="8" t="str">
        <f aca="false">TEXT(ROW(), "0000")</f>
        <v>3661</v>
      </c>
      <c r="L3661" s="8"/>
    </row>
    <row r="3662" customFormat="false" ht="15.75" hidden="false" customHeight="true" outlineLevel="0" collapsed="false">
      <c r="A3662" s="7" t="n">
        <v>45909</v>
      </c>
      <c r="B3662" s="8" t="s">
        <v>16</v>
      </c>
      <c r="C3662" s="9" t="n">
        <v>14209</v>
      </c>
      <c r="D3662" s="8" t="s">
        <v>17</v>
      </c>
      <c r="E3662" s="10" t="s">
        <v>88</v>
      </c>
      <c r="F3662" s="8" t="str">
        <f aca="false">TEXT(A3662,"MM-YYYY")</f>
        <v>09-2025</v>
      </c>
      <c r="G3662" s="8"/>
      <c r="H3662" s="8"/>
      <c r="I3662" s="7"/>
      <c r="J3662" s="8" t="str">
        <f aca="false">VLOOKUP(B3662, Table3[#All], 2, FALSE())</f>
        <v>Sales</v>
      </c>
      <c r="K3662" s="8" t="str">
        <f aca="false">TEXT(ROW(), "0000")</f>
        <v>3662</v>
      </c>
      <c r="L3662" s="8"/>
    </row>
    <row r="3663" customFormat="false" ht="15.75" hidden="false" customHeight="true" outlineLevel="0" collapsed="false">
      <c r="A3663" s="7" t="n">
        <v>45909</v>
      </c>
      <c r="B3663" s="8" t="s">
        <v>16</v>
      </c>
      <c r="C3663" s="9" t="n">
        <v>657</v>
      </c>
      <c r="D3663" s="8" t="s">
        <v>24</v>
      </c>
      <c r="E3663" s="10" t="s">
        <v>88</v>
      </c>
      <c r="F3663" s="8" t="str">
        <f aca="false">TEXT(A3663,"MM-YYYY")</f>
        <v>09-2025</v>
      </c>
      <c r="G3663" s="8"/>
      <c r="H3663" s="8"/>
      <c r="I3663" s="7"/>
      <c r="J3663" s="8" t="str">
        <f aca="false">VLOOKUP(B3663, Table3[#All], 2, FALSE())</f>
        <v>Sales</v>
      </c>
      <c r="K3663" s="8" t="str">
        <f aca="false">TEXT(ROW(), "0000")</f>
        <v>3663</v>
      </c>
      <c r="L3663" s="8"/>
    </row>
    <row r="3664" customFormat="false" ht="15.75" hidden="false" customHeight="true" outlineLevel="0" collapsed="false">
      <c r="A3664" s="7" t="n">
        <v>45909</v>
      </c>
      <c r="B3664" s="8" t="s">
        <v>16</v>
      </c>
      <c r="C3664" s="9" t="n">
        <v>2498</v>
      </c>
      <c r="D3664" s="8" t="s">
        <v>59</v>
      </c>
      <c r="E3664" s="10" t="s">
        <v>88</v>
      </c>
      <c r="F3664" s="8" t="str">
        <f aca="false">TEXT(A3664,"MM-YYYY")</f>
        <v>09-2025</v>
      </c>
      <c r="G3664" s="8"/>
      <c r="H3664" s="8"/>
      <c r="I3664" s="7"/>
      <c r="J3664" s="8" t="str">
        <f aca="false">VLOOKUP(B3664, Table3[#All], 2, FALSE())</f>
        <v>Sales</v>
      </c>
      <c r="K3664" s="8" t="str">
        <f aca="false">TEXT(ROW(), "0000")</f>
        <v>3664</v>
      </c>
      <c r="L3664" s="8"/>
    </row>
    <row r="3665" customFormat="false" ht="15.75" hidden="false" customHeight="true" outlineLevel="0" collapsed="false">
      <c r="A3665" s="7" t="n">
        <v>45910</v>
      </c>
      <c r="B3665" s="8" t="s">
        <v>47</v>
      </c>
      <c r="C3665" s="9" t="n">
        <v>900</v>
      </c>
      <c r="D3665" s="8" t="s">
        <v>13</v>
      </c>
      <c r="E3665" s="10" t="s">
        <v>484</v>
      </c>
      <c r="F3665" s="8" t="str">
        <f aca="false">TEXT(A3665,"MM-YYYY")</f>
        <v>09-2025</v>
      </c>
      <c r="G3665" s="8" t="s">
        <v>18</v>
      </c>
      <c r="H3665" s="8"/>
      <c r="I3665" s="7"/>
      <c r="J3665" s="8" t="str">
        <f aca="false">VLOOKUP(B3665, Table3[#All], 2, FALSE())</f>
        <v>Inventory</v>
      </c>
      <c r="K3665" s="8" t="str">
        <f aca="false">TEXT(ROW(), "0000")</f>
        <v>3665</v>
      </c>
      <c r="L3665" s="8"/>
    </row>
    <row r="3666" customFormat="false" ht="15.75" hidden="false" customHeight="true" outlineLevel="0" collapsed="false">
      <c r="A3666" s="7" t="n">
        <v>45910</v>
      </c>
      <c r="B3666" s="8" t="s">
        <v>37</v>
      </c>
      <c r="C3666" s="9" t="n">
        <v>30</v>
      </c>
      <c r="D3666" s="8" t="s">
        <v>21</v>
      </c>
      <c r="E3666" s="10" t="s">
        <v>420</v>
      </c>
      <c r="F3666" s="8" t="str">
        <f aca="false">TEXT(A3666,"MM-YYYY")</f>
        <v>09-2025</v>
      </c>
      <c r="G3666" s="8" t="s">
        <v>14</v>
      </c>
      <c r="H3666" s="8"/>
      <c r="I3666" s="7"/>
      <c r="J3666" s="8" t="str">
        <f aca="false">VLOOKUP(B3666, Table3[#All], 2, FALSE())</f>
        <v>Maintance</v>
      </c>
      <c r="K3666" s="8" t="str">
        <f aca="false">TEXT(ROW(), "0000")</f>
        <v>3666</v>
      </c>
      <c r="L3666" s="8"/>
    </row>
    <row r="3667" customFormat="false" ht="15.75" hidden="false" customHeight="true" outlineLevel="0" collapsed="false">
      <c r="A3667" s="7" t="n">
        <v>45910</v>
      </c>
      <c r="B3667" s="8" t="s">
        <v>19</v>
      </c>
      <c r="C3667" s="9" t="n">
        <v>4299</v>
      </c>
      <c r="D3667" s="8" t="s">
        <v>13</v>
      </c>
      <c r="E3667" s="10" t="s">
        <v>473</v>
      </c>
      <c r="F3667" s="8" t="str">
        <f aca="false">TEXT(A3667,"MM-YYYY")</f>
        <v>09-2025</v>
      </c>
      <c r="G3667" s="8" t="s">
        <v>14</v>
      </c>
      <c r="H3667" s="8"/>
      <c r="I3667" s="7"/>
      <c r="J3667" s="8" t="str">
        <f aca="false">VLOOKUP(B3667, Table3[#All], 2, FALSE())</f>
        <v>Inventory</v>
      </c>
      <c r="K3667" s="8" t="str">
        <f aca="false">TEXT(ROW(), "0000")</f>
        <v>3667</v>
      </c>
      <c r="L3667" s="8"/>
    </row>
    <row r="3668" customFormat="false" ht="15.75" hidden="false" customHeight="true" outlineLevel="0" collapsed="false">
      <c r="A3668" s="7" t="n">
        <v>45910</v>
      </c>
      <c r="B3668" s="8" t="s">
        <v>202</v>
      </c>
      <c r="C3668" s="9" t="n">
        <v>20</v>
      </c>
      <c r="D3668" s="8" t="s">
        <v>21</v>
      </c>
      <c r="E3668" s="10" t="s">
        <v>525</v>
      </c>
      <c r="F3668" s="8" t="str">
        <f aca="false">TEXT(A3668,"MM-YYYY")</f>
        <v>09-2025</v>
      </c>
      <c r="G3668" s="8" t="s">
        <v>14</v>
      </c>
      <c r="H3668" s="8"/>
      <c r="I3668" s="7"/>
      <c r="J3668" s="8" t="str">
        <f aca="false">VLOOKUP(B3668, Table3[#All], 2, FALSE())</f>
        <v>Maintance</v>
      </c>
      <c r="K3668" s="8" t="str">
        <f aca="false">TEXT(ROW(), "0000")</f>
        <v>3668</v>
      </c>
      <c r="L3668" s="8"/>
    </row>
    <row r="3669" customFormat="false" ht="15.75" hidden="false" customHeight="true" outlineLevel="0" collapsed="false">
      <c r="A3669" s="7" t="n">
        <v>45910</v>
      </c>
      <c r="B3669" s="8" t="s">
        <v>43</v>
      </c>
      <c r="C3669" s="9" t="n">
        <v>3200</v>
      </c>
      <c r="D3669" s="8" t="s">
        <v>13</v>
      </c>
      <c r="E3669" s="10" t="s">
        <v>523</v>
      </c>
      <c r="F3669" s="8" t="str">
        <f aca="false">TEXT(A3669,"MM-YYYY")</f>
        <v>09-2025</v>
      </c>
      <c r="G3669" s="8" t="s">
        <v>14</v>
      </c>
      <c r="H3669" s="8" t="s">
        <v>262</v>
      </c>
      <c r="I3669" s="7" t="n">
        <v>45910</v>
      </c>
      <c r="J3669" s="8" t="str">
        <f aca="false">VLOOKUP(B3669, Table3[#All], 2, FALSE())</f>
        <v>Maintance</v>
      </c>
      <c r="K3669" s="8" t="str">
        <f aca="false">TEXT(ROW(), "0000")</f>
        <v>3669</v>
      </c>
      <c r="L3669" s="8"/>
    </row>
    <row r="3670" customFormat="false" ht="15.75" hidden="false" customHeight="true" outlineLevel="0" collapsed="false">
      <c r="A3670" s="7" t="n">
        <v>45910</v>
      </c>
      <c r="B3670" s="8" t="s">
        <v>43</v>
      </c>
      <c r="C3670" s="9" t="n">
        <v>40</v>
      </c>
      <c r="D3670" s="8" t="s">
        <v>45</v>
      </c>
      <c r="E3670" s="10" t="s">
        <v>526</v>
      </c>
      <c r="F3670" s="8" t="str">
        <f aca="false">TEXT(A3670,"MM-YYYY")</f>
        <v>09-2025</v>
      </c>
      <c r="G3670" s="8" t="s">
        <v>14</v>
      </c>
      <c r="H3670" s="8" t="s">
        <v>232</v>
      </c>
      <c r="I3670" s="7"/>
      <c r="J3670" s="8" t="str">
        <f aca="false">VLOOKUP(B3670, Table3[#All], 2, FALSE())</f>
        <v>Maintance</v>
      </c>
      <c r="K3670" s="8" t="str">
        <f aca="false">TEXT(ROW(), "0000")</f>
        <v>3670</v>
      </c>
      <c r="L3670" s="8"/>
    </row>
    <row r="3671" customFormat="false" ht="15.75" hidden="false" customHeight="true" outlineLevel="0" collapsed="false">
      <c r="A3671" s="7" t="n">
        <v>45910</v>
      </c>
      <c r="B3671" s="8" t="s">
        <v>56</v>
      </c>
      <c r="C3671" s="9" t="n">
        <v>300</v>
      </c>
      <c r="D3671" s="8" t="s">
        <v>21</v>
      </c>
      <c r="E3671" s="10" t="s">
        <v>190</v>
      </c>
      <c r="F3671" s="8" t="str">
        <f aca="false">TEXT(A3671,"MM-YYYY")</f>
        <v>09-2025</v>
      </c>
      <c r="G3671" s="8" t="s">
        <v>14</v>
      </c>
      <c r="H3671" s="8" t="s">
        <v>232</v>
      </c>
      <c r="I3671" s="7"/>
      <c r="J3671" s="8" t="str">
        <f aca="false">VLOOKUP(B3671, Table3[#All], 2, FALSE())</f>
        <v>New Inventory</v>
      </c>
      <c r="K3671" s="8" t="str">
        <f aca="false">TEXT(ROW(), "0000")</f>
        <v>3671</v>
      </c>
      <c r="L3671" s="8"/>
    </row>
    <row r="3672" customFormat="false" ht="15.75" hidden="false" customHeight="true" outlineLevel="0" collapsed="false">
      <c r="A3672" s="7" t="n">
        <v>45910</v>
      </c>
      <c r="B3672" s="8" t="s">
        <v>16</v>
      </c>
      <c r="C3672" s="9" t="n">
        <v>2701</v>
      </c>
      <c r="D3672" s="8" t="s">
        <v>24</v>
      </c>
      <c r="E3672" s="10" t="s">
        <v>88</v>
      </c>
      <c r="F3672" s="8" t="str">
        <f aca="false">TEXT(A3672,"MM-YYYY")</f>
        <v>09-2025</v>
      </c>
      <c r="G3672" s="8"/>
      <c r="H3672" s="8"/>
      <c r="I3672" s="7"/>
      <c r="J3672" s="8" t="str">
        <f aca="false">VLOOKUP(B3672, Table3[#All], 2, FALSE())</f>
        <v>Sales</v>
      </c>
      <c r="K3672" s="8" t="str">
        <f aca="false">TEXT(ROW(), "0000")</f>
        <v>3672</v>
      </c>
      <c r="L3672" s="8"/>
    </row>
    <row r="3673" customFormat="false" ht="15.75" hidden="false" customHeight="true" outlineLevel="0" collapsed="false">
      <c r="A3673" s="7" t="n">
        <v>45910</v>
      </c>
      <c r="B3673" s="8" t="s">
        <v>16</v>
      </c>
      <c r="C3673" s="9" t="n">
        <v>8094</v>
      </c>
      <c r="D3673" s="8" t="s">
        <v>17</v>
      </c>
      <c r="E3673" s="10" t="s">
        <v>88</v>
      </c>
      <c r="F3673" s="8" t="str">
        <f aca="false">TEXT(A3673,"MM-YYYY")</f>
        <v>09-2025</v>
      </c>
      <c r="G3673" s="8"/>
      <c r="H3673" s="8"/>
      <c r="I3673" s="7"/>
      <c r="J3673" s="8" t="str">
        <f aca="false">VLOOKUP(B3673, Table3[#All], 2, FALSE())</f>
        <v>Sales</v>
      </c>
      <c r="K3673" s="8" t="str">
        <f aca="false">TEXT(ROW(), "0000")</f>
        <v>3673</v>
      </c>
      <c r="L3673" s="8"/>
    </row>
    <row r="3674" customFormat="false" ht="15.75" hidden="false" customHeight="true" outlineLevel="0" collapsed="false">
      <c r="A3674" s="7" t="n">
        <v>45910</v>
      </c>
      <c r="B3674" s="8" t="s">
        <v>16</v>
      </c>
      <c r="C3674" s="9" t="n">
        <v>2839</v>
      </c>
      <c r="D3674" s="8" t="s">
        <v>21</v>
      </c>
      <c r="E3674" s="10" t="s">
        <v>88</v>
      </c>
      <c r="F3674" s="8" t="str">
        <f aca="false">TEXT(A3674,"MM-YYYY")</f>
        <v>09-2025</v>
      </c>
      <c r="G3674" s="8"/>
      <c r="H3674" s="8"/>
      <c r="I3674" s="7"/>
      <c r="J3674" s="8" t="str">
        <f aca="false">VLOOKUP(B3674, Table3[#All], 2, FALSE())</f>
        <v>Sales</v>
      </c>
      <c r="K3674" s="8" t="str">
        <f aca="false">TEXT(ROW(), "0000")</f>
        <v>3674</v>
      </c>
      <c r="L3674" s="8"/>
    </row>
    <row r="3675" customFormat="false" ht="15.75" hidden="false" customHeight="true" outlineLevel="0" collapsed="false">
      <c r="A3675" s="7" t="n">
        <v>45911</v>
      </c>
      <c r="B3675" s="8" t="s">
        <v>22</v>
      </c>
      <c r="C3675" s="9" t="n">
        <v>60</v>
      </c>
      <c r="D3675" s="8" t="s">
        <v>45</v>
      </c>
      <c r="E3675" s="10" t="s">
        <v>527</v>
      </c>
      <c r="F3675" s="8" t="str">
        <f aca="false">TEXT(A3675,"MM-YYYY")</f>
        <v>09-2025</v>
      </c>
      <c r="G3675" s="8" t="s">
        <v>14</v>
      </c>
      <c r="H3675" s="8" t="s">
        <v>232</v>
      </c>
      <c r="I3675" s="7"/>
      <c r="J3675" s="8" t="str">
        <f aca="false">VLOOKUP(B3675, Table3[#All], 2, FALSE())</f>
        <v>Inventory</v>
      </c>
      <c r="K3675" s="8" t="str">
        <f aca="false">TEXT(ROW(), "0000")</f>
        <v>3675</v>
      </c>
      <c r="L3675" s="8"/>
    </row>
    <row r="3676" customFormat="false" ht="15.75" hidden="false" customHeight="true" outlineLevel="0" collapsed="false">
      <c r="A3676" s="7" t="n">
        <v>45911</v>
      </c>
      <c r="B3676" s="8" t="s">
        <v>25</v>
      </c>
      <c r="C3676" s="9" t="n">
        <v>858</v>
      </c>
      <c r="D3676" s="8" t="s">
        <v>13</v>
      </c>
      <c r="E3676" s="10" t="s">
        <v>92</v>
      </c>
      <c r="F3676" s="8" t="str">
        <f aca="false">TEXT(A3676,"MM-YYYY")</f>
        <v>09-2025</v>
      </c>
      <c r="G3676" s="8" t="s">
        <v>18</v>
      </c>
      <c r="H3676" s="8"/>
      <c r="I3676" s="7"/>
      <c r="J3676" s="8" t="str">
        <f aca="false">VLOOKUP(B3676, Table3[#All], 2, FALSE())</f>
        <v>Inventory</v>
      </c>
      <c r="K3676" s="8" t="str">
        <f aca="false">TEXT(ROW(), "0000")</f>
        <v>3676</v>
      </c>
      <c r="L3676" s="8"/>
    </row>
    <row r="3677" customFormat="false" ht="15.75" hidden="false" customHeight="true" outlineLevel="0" collapsed="false">
      <c r="A3677" s="7" t="n">
        <v>45911</v>
      </c>
      <c r="B3677" s="8" t="s">
        <v>37</v>
      </c>
      <c r="C3677" s="9" t="n">
        <v>20</v>
      </c>
      <c r="D3677" s="8" t="s">
        <v>21</v>
      </c>
      <c r="E3677" s="10" t="s">
        <v>420</v>
      </c>
      <c r="F3677" s="8" t="str">
        <f aca="false">TEXT(A3677,"MM-YYYY")</f>
        <v>09-2025</v>
      </c>
      <c r="G3677" s="8" t="s">
        <v>14</v>
      </c>
      <c r="H3677" s="8"/>
      <c r="I3677" s="7"/>
      <c r="J3677" s="8" t="str">
        <f aca="false">VLOOKUP(B3677, Table3[#All], 2, FALSE())</f>
        <v>Maintance</v>
      </c>
      <c r="K3677" s="8" t="str">
        <f aca="false">TEXT(ROW(), "0000")</f>
        <v>3677</v>
      </c>
      <c r="L3677" s="8"/>
    </row>
    <row r="3678" customFormat="false" ht="15.75" hidden="false" customHeight="true" outlineLevel="0" collapsed="false">
      <c r="A3678" s="7" t="n">
        <v>45911</v>
      </c>
      <c r="B3678" s="8" t="s">
        <v>43</v>
      </c>
      <c r="C3678" s="9" t="n">
        <v>830</v>
      </c>
      <c r="D3678" s="8" t="s">
        <v>45</v>
      </c>
      <c r="E3678" s="10" t="s">
        <v>487</v>
      </c>
      <c r="F3678" s="8" t="str">
        <f aca="false">TEXT(A3678,"MM-YYYY")</f>
        <v>09-2025</v>
      </c>
      <c r="G3678" s="8" t="s">
        <v>14</v>
      </c>
      <c r="H3678" s="8"/>
      <c r="I3678" s="7"/>
      <c r="J3678" s="8" t="str">
        <f aca="false">VLOOKUP(B3678, Table3[#All], 2, FALSE())</f>
        <v>Maintance</v>
      </c>
      <c r="K3678" s="8" t="str">
        <f aca="false">TEXT(ROW(), "0000")</f>
        <v>3678</v>
      </c>
      <c r="L3678" s="8"/>
    </row>
    <row r="3679" customFormat="false" ht="15.75" hidden="false" customHeight="true" outlineLevel="0" collapsed="false">
      <c r="A3679" s="7" t="n">
        <v>45910</v>
      </c>
      <c r="B3679" s="8" t="s">
        <v>25</v>
      </c>
      <c r="C3679" s="9" t="n">
        <v>864</v>
      </c>
      <c r="D3679" s="8" t="s">
        <v>13</v>
      </c>
      <c r="E3679" s="10" t="s">
        <v>92</v>
      </c>
      <c r="F3679" s="8" t="str">
        <f aca="false">TEXT(A3679,"MM-YYYY")</f>
        <v>09-2025</v>
      </c>
      <c r="G3679" s="8" t="s">
        <v>18</v>
      </c>
      <c r="H3679" s="8"/>
      <c r="I3679" s="7"/>
      <c r="J3679" s="8" t="str">
        <f aca="false">VLOOKUP(B3679, Table3[#All], 2, FALSE())</f>
        <v>Inventory</v>
      </c>
      <c r="K3679" s="8" t="str">
        <f aca="false">TEXT(ROW(), "0000")</f>
        <v>3679</v>
      </c>
      <c r="L3679" s="8"/>
    </row>
    <row r="3680" customFormat="false" ht="15.75" hidden="false" customHeight="true" outlineLevel="0" collapsed="false">
      <c r="A3680" s="7" t="n">
        <v>45911</v>
      </c>
      <c r="B3680" s="8" t="s">
        <v>50</v>
      </c>
      <c r="C3680" s="9" t="n">
        <v>1593</v>
      </c>
      <c r="D3680" s="8" t="s">
        <v>13</v>
      </c>
      <c r="E3680" s="10" t="s">
        <v>263</v>
      </c>
      <c r="F3680" s="8" t="str">
        <f aca="false">TEXT(A3680,"MM-YYYY")</f>
        <v>09-2025</v>
      </c>
      <c r="G3680" s="8" t="s">
        <v>18</v>
      </c>
      <c r="H3680" s="8"/>
      <c r="I3680" s="7"/>
      <c r="J3680" s="8" t="str">
        <f aca="false">VLOOKUP(B3680, Table3[#All], 2, FALSE())</f>
        <v>Fixed Maintance</v>
      </c>
      <c r="K3680" s="8" t="str">
        <f aca="false">TEXT(ROW(), "0000")</f>
        <v>3680</v>
      </c>
      <c r="L3680" s="8"/>
    </row>
    <row r="3681" customFormat="false" ht="15.75" hidden="false" customHeight="true" outlineLevel="0" collapsed="false">
      <c r="A3681" s="7" t="n">
        <v>45911</v>
      </c>
      <c r="B3681" s="8" t="s">
        <v>16</v>
      </c>
      <c r="C3681" s="9" t="n">
        <v>3311</v>
      </c>
      <c r="D3681" s="8" t="s">
        <v>21</v>
      </c>
      <c r="E3681" s="10" t="s">
        <v>88</v>
      </c>
      <c r="F3681" s="8" t="str">
        <f aca="false">TEXT(A3681,"MM-YYYY")</f>
        <v>09-2025</v>
      </c>
      <c r="G3681" s="8"/>
      <c r="H3681" s="8"/>
      <c r="I3681" s="7"/>
      <c r="J3681" s="8" t="str">
        <f aca="false">VLOOKUP(B3681, Table3[#All], 2, FALSE())</f>
        <v>Sales</v>
      </c>
      <c r="K3681" s="8" t="str">
        <f aca="false">TEXT(ROW(), "0000")</f>
        <v>3681</v>
      </c>
      <c r="L3681" s="8"/>
    </row>
    <row r="3682" customFormat="false" ht="15.75" hidden="false" customHeight="true" outlineLevel="0" collapsed="false">
      <c r="A3682" s="7" t="n">
        <v>45911</v>
      </c>
      <c r="B3682" s="8" t="s">
        <v>16</v>
      </c>
      <c r="C3682" s="9" t="n">
        <v>620</v>
      </c>
      <c r="D3682" s="8" t="s">
        <v>33</v>
      </c>
      <c r="E3682" s="10" t="s">
        <v>88</v>
      </c>
      <c r="F3682" s="8" t="str">
        <f aca="false">TEXT(A3682,"MM-YYYY")</f>
        <v>09-2025</v>
      </c>
      <c r="G3682" s="8"/>
      <c r="H3682" s="8"/>
      <c r="I3682" s="7"/>
      <c r="J3682" s="8" t="str">
        <f aca="false">VLOOKUP(B3682, Table3[#All], 2, FALSE())</f>
        <v>Sales</v>
      </c>
      <c r="K3682" s="8" t="str">
        <f aca="false">TEXT(ROW(), "0000")</f>
        <v>3682</v>
      </c>
      <c r="L3682" s="8"/>
    </row>
    <row r="3683" customFormat="false" ht="15.75" hidden="false" customHeight="true" outlineLevel="0" collapsed="false">
      <c r="A3683" s="7" t="n">
        <v>45911</v>
      </c>
      <c r="B3683" s="8" t="s">
        <v>16</v>
      </c>
      <c r="C3683" s="9" t="n">
        <v>12830</v>
      </c>
      <c r="D3683" s="8" t="s">
        <v>17</v>
      </c>
      <c r="E3683" s="10" t="s">
        <v>88</v>
      </c>
      <c r="F3683" s="8" t="str">
        <f aca="false">TEXT(A3683,"MM-YYYY")</f>
        <v>09-2025</v>
      </c>
      <c r="G3683" s="8"/>
      <c r="H3683" s="8"/>
      <c r="I3683" s="7"/>
      <c r="J3683" s="8" t="str">
        <f aca="false">VLOOKUP(B3683, Table3[#All], 2, FALSE())</f>
        <v>Sales</v>
      </c>
      <c r="K3683" s="8" t="str">
        <f aca="false">TEXT(ROW(), "0000")</f>
        <v>3683</v>
      </c>
      <c r="L3683" s="8"/>
    </row>
    <row r="3684" customFormat="false" ht="15.75" hidden="false" customHeight="true" outlineLevel="0" collapsed="false">
      <c r="A3684" s="7" t="n">
        <v>45911</v>
      </c>
      <c r="B3684" s="8" t="s">
        <v>16</v>
      </c>
      <c r="C3684" s="9" t="n">
        <v>1192</v>
      </c>
      <c r="D3684" s="8" t="s">
        <v>24</v>
      </c>
      <c r="E3684" s="10" t="s">
        <v>88</v>
      </c>
      <c r="F3684" s="8" t="str">
        <f aca="false">TEXT(A3684,"MM-YYYY")</f>
        <v>09-2025</v>
      </c>
      <c r="G3684" s="8"/>
      <c r="H3684" s="8"/>
      <c r="I3684" s="7"/>
      <c r="J3684" s="8" t="str">
        <f aca="false">VLOOKUP(B3684, Table3[#All], 2, FALSE())</f>
        <v>Sales</v>
      </c>
      <c r="K3684" s="8" t="str">
        <f aca="false">TEXT(ROW(), "0000")</f>
        <v>3684</v>
      </c>
      <c r="L3684" s="8"/>
    </row>
    <row r="3685" customFormat="false" ht="15.75" hidden="false" customHeight="true" outlineLevel="0" collapsed="false">
      <c r="A3685" s="7" t="n">
        <v>45911</v>
      </c>
      <c r="B3685" s="8" t="s">
        <v>60</v>
      </c>
      <c r="C3685" s="9" t="n">
        <v>35</v>
      </c>
      <c r="D3685" s="8" t="s">
        <v>21</v>
      </c>
      <c r="E3685" s="10" t="s">
        <v>60</v>
      </c>
      <c r="F3685" s="8" t="str">
        <f aca="false">TEXT(A3685,"MM-YYYY")</f>
        <v>09-2025</v>
      </c>
      <c r="G3685" s="8" t="s">
        <v>14</v>
      </c>
      <c r="H3685" s="8"/>
      <c r="I3685" s="7"/>
      <c r="J3685" s="8" t="str">
        <f aca="false">VLOOKUP(B3685, Table3[#All], 2, FALSE())</f>
        <v>Inventory</v>
      </c>
      <c r="K3685" s="8" t="str">
        <f aca="false">TEXT(ROW(), "0000")</f>
        <v>3685</v>
      </c>
      <c r="L3685" s="8"/>
    </row>
    <row r="3686" customFormat="false" ht="15.75" hidden="false" customHeight="true" outlineLevel="0" collapsed="false">
      <c r="A3686" s="7" t="n">
        <v>45902</v>
      </c>
      <c r="B3686" s="8" t="s">
        <v>50</v>
      </c>
      <c r="C3686" s="9" t="n">
        <v>1593</v>
      </c>
      <c r="D3686" s="8" t="s">
        <v>13</v>
      </c>
      <c r="E3686" s="10" t="s">
        <v>528</v>
      </c>
      <c r="F3686" s="8" t="str">
        <f aca="false">TEXT(A3686,"MM-YYYY")</f>
        <v>09-2025</v>
      </c>
      <c r="G3686" s="8" t="s">
        <v>18</v>
      </c>
      <c r="H3686" s="8"/>
      <c r="I3686" s="7"/>
      <c r="J3686" s="8" t="str">
        <f aca="false">VLOOKUP(B3686, Table3[#All], 2, FALSE())</f>
        <v>Fixed Maintance</v>
      </c>
      <c r="K3686" s="8" t="str">
        <f aca="false">TEXT(ROW(), "0000")</f>
        <v>3686</v>
      </c>
      <c r="L3686" s="8"/>
    </row>
    <row r="3687" customFormat="false" ht="15.75" hidden="false" customHeight="true" outlineLevel="0" collapsed="false">
      <c r="A3687" s="7" t="n">
        <v>45904</v>
      </c>
      <c r="B3687" s="8" t="s">
        <v>50</v>
      </c>
      <c r="C3687" s="9" t="n">
        <v>1593</v>
      </c>
      <c r="D3687" s="8" t="s">
        <v>13</v>
      </c>
      <c r="E3687" s="10" t="s">
        <v>263</v>
      </c>
      <c r="F3687" s="8" t="str">
        <f aca="false">TEXT(A3687,"MM-YYYY")</f>
        <v>09-2025</v>
      </c>
      <c r="G3687" s="8" t="s">
        <v>18</v>
      </c>
      <c r="H3687" s="8"/>
      <c r="I3687" s="7"/>
      <c r="J3687" s="8" t="str">
        <f aca="false">VLOOKUP(B3687, Table3[#All], 2, FALSE())</f>
        <v>Fixed Maintance</v>
      </c>
      <c r="K3687" s="8" t="str">
        <f aca="false">TEXT(ROW(), "0000")</f>
        <v>3687</v>
      </c>
      <c r="L3687" s="8"/>
    </row>
    <row r="3688" customFormat="false" ht="15.75" hidden="false" customHeight="true" outlineLevel="0" collapsed="false">
      <c r="A3688" s="7" t="n">
        <v>45905</v>
      </c>
      <c r="B3688" s="8" t="s">
        <v>50</v>
      </c>
      <c r="C3688" s="9" t="n">
        <v>1593</v>
      </c>
      <c r="D3688" s="8" t="s">
        <v>13</v>
      </c>
      <c r="E3688" s="10" t="s">
        <v>263</v>
      </c>
      <c r="F3688" s="8" t="str">
        <f aca="false">TEXT(A3688,"MM-YYYY")</f>
        <v>09-2025</v>
      </c>
      <c r="G3688" s="8" t="s">
        <v>18</v>
      </c>
      <c r="H3688" s="8"/>
      <c r="I3688" s="7"/>
      <c r="J3688" s="8" t="str">
        <f aca="false">VLOOKUP(B3688, Table3[#All], 2, FALSE())</f>
        <v>Fixed Maintance</v>
      </c>
      <c r="K3688" s="8" t="str">
        <f aca="false">TEXT(ROW(), "0000")</f>
        <v>3688</v>
      </c>
      <c r="L3688" s="8"/>
    </row>
    <row r="3689" customFormat="false" ht="15.75" hidden="false" customHeight="true" outlineLevel="0" collapsed="false">
      <c r="A3689" s="7" t="n">
        <v>45909</v>
      </c>
      <c r="B3689" s="8" t="s">
        <v>50</v>
      </c>
      <c r="C3689" s="9" t="n">
        <v>1593</v>
      </c>
      <c r="D3689" s="8" t="s">
        <v>13</v>
      </c>
      <c r="E3689" s="10" t="s">
        <v>263</v>
      </c>
      <c r="F3689" s="8" t="str">
        <f aca="false">TEXT(A3689,"MM-YYYY")</f>
        <v>09-2025</v>
      </c>
      <c r="G3689" s="8" t="s">
        <v>18</v>
      </c>
      <c r="H3689" s="8"/>
      <c r="I3689" s="7"/>
      <c r="J3689" s="8" t="str">
        <f aca="false">VLOOKUP(B3689, Table3[#All], 2, FALSE())</f>
        <v>Fixed Maintance</v>
      </c>
      <c r="K3689" s="8" t="str">
        <f aca="false">TEXT(ROW(), "0000")</f>
        <v>3689</v>
      </c>
      <c r="L3689" s="8"/>
    </row>
    <row r="3690" customFormat="false" ht="15.75" hidden="false" customHeight="true" outlineLevel="0" collapsed="false">
      <c r="A3690" s="7" t="n">
        <v>45911</v>
      </c>
      <c r="B3690" s="8" t="s">
        <v>34</v>
      </c>
      <c r="C3690" s="9" t="n">
        <v>30</v>
      </c>
      <c r="D3690" s="8" t="s">
        <v>45</v>
      </c>
      <c r="E3690" s="10" t="s">
        <v>34</v>
      </c>
      <c r="F3690" s="8" t="str">
        <f aca="false">TEXT(A3690,"MM-YYYY")</f>
        <v>09-2025</v>
      </c>
      <c r="G3690" s="8" t="s">
        <v>14</v>
      </c>
      <c r="H3690" s="8"/>
      <c r="I3690" s="7"/>
      <c r="J3690" s="8" t="str">
        <f aca="false">VLOOKUP(B3690, Table3[#All], 2, FALSE())</f>
        <v>Staff Expenses</v>
      </c>
      <c r="K3690" s="8" t="str">
        <f aca="false">TEXT(ROW(), "0000")</f>
        <v>3690</v>
      </c>
      <c r="L3690" s="8"/>
    </row>
    <row r="3691" customFormat="false" ht="15.75" hidden="false" customHeight="true" outlineLevel="0" collapsed="false">
      <c r="A3691" s="7" t="n">
        <v>45912</v>
      </c>
      <c r="B3691" s="8" t="s">
        <v>47</v>
      </c>
      <c r="C3691" s="9" t="n">
        <v>900</v>
      </c>
      <c r="D3691" s="8" t="s">
        <v>13</v>
      </c>
      <c r="E3691" s="10" t="s">
        <v>484</v>
      </c>
      <c r="F3691" s="8" t="str">
        <f aca="false">TEXT(A3691,"MM-YYYY")</f>
        <v>09-2025</v>
      </c>
      <c r="G3691" s="8" t="s">
        <v>18</v>
      </c>
      <c r="H3691" s="8"/>
      <c r="I3691" s="7"/>
      <c r="J3691" s="8" t="str">
        <f aca="false">VLOOKUP(B3691, Table3[#All], 2, FALSE())</f>
        <v>Inventory</v>
      </c>
      <c r="K3691" s="8" t="str">
        <f aca="false">TEXT(ROW(), "0000")</f>
        <v>3691</v>
      </c>
      <c r="L3691" s="8"/>
    </row>
    <row r="3692" customFormat="false" ht="15.75" hidden="false" customHeight="true" outlineLevel="0" collapsed="false">
      <c r="A3692" s="7" t="n">
        <v>45912</v>
      </c>
      <c r="B3692" s="8" t="s">
        <v>19</v>
      </c>
      <c r="C3692" s="9" t="n">
        <v>5930</v>
      </c>
      <c r="D3692" s="8" t="s">
        <v>13</v>
      </c>
      <c r="E3692" s="10" t="s">
        <v>473</v>
      </c>
      <c r="F3692" s="8" t="str">
        <f aca="false">TEXT(A3692,"MM-YYYY")</f>
        <v>09-2025</v>
      </c>
      <c r="G3692" s="8" t="s">
        <v>14</v>
      </c>
      <c r="H3692" s="8"/>
      <c r="I3692" s="7"/>
      <c r="J3692" s="8" t="str">
        <f aca="false">VLOOKUP(B3692, Table3[#All], 2, FALSE())</f>
        <v>Inventory</v>
      </c>
      <c r="K3692" s="8" t="str">
        <f aca="false">TEXT(ROW(), "0000")</f>
        <v>3692</v>
      </c>
      <c r="L3692" s="8"/>
    </row>
    <row r="3693" customFormat="false" ht="15.75" hidden="false" customHeight="true" outlineLevel="0" collapsed="false">
      <c r="A3693" s="7" t="n">
        <v>45912</v>
      </c>
      <c r="B3693" s="8" t="s">
        <v>25</v>
      </c>
      <c r="C3693" s="9" t="n">
        <v>507</v>
      </c>
      <c r="D3693" s="8" t="s">
        <v>13</v>
      </c>
      <c r="E3693" s="10" t="s">
        <v>92</v>
      </c>
      <c r="F3693" s="8" t="str">
        <f aca="false">TEXT(A3693,"MM-YYYY")</f>
        <v>09-2025</v>
      </c>
      <c r="G3693" s="8" t="s">
        <v>18</v>
      </c>
      <c r="H3693" s="8"/>
      <c r="I3693" s="7"/>
      <c r="J3693" s="8" t="str">
        <f aca="false">VLOOKUP(B3693, Table3[#All], 2, FALSE())</f>
        <v>Inventory</v>
      </c>
      <c r="K3693" s="8" t="str">
        <f aca="false">TEXT(ROW(), "0000")</f>
        <v>3693</v>
      </c>
      <c r="L3693" s="8"/>
    </row>
    <row r="3694" customFormat="false" ht="15.75" hidden="false" customHeight="true" outlineLevel="0" collapsed="false">
      <c r="A3694" s="7" t="n">
        <v>45912</v>
      </c>
      <c r="B3694" s="8" t="s">
        <v>37</v>
      </c>
      <c r="C3694" s="9" t="n">
        <v>40</v>
      </c>
      <c r="D3694" s="8" t="s">
        <v>21</v>
      </c>
      <c r="E3694" s="10" t="s">
        <v>420</v>
      </c>
      <c r="F3694" s="8" t="str">
        <f aca="false">TEXT(A3694,"MM-YYYY")</f>
        <v>09-2025</v>
      </c>
      <c r="G3694" s="8" t="s">
        <v>14</v>
      </c>
      <c r="H3694" s="8"/>
      <c r="I3694" s="7"/>
      <c r="J3694" s="8" t="str">
        <f aca="false">VLOOKUP(B3694, Table3[#All], 2, FALSE())</f>
        <v>Maintance</v>
      </c>
      <c r="K3694" s="8" t="str">
        <f aca="false">TEXT(ROW(), "0000")</f>
        <v>3694</v>
      </c>
      <c r="L3694" s="8"/>
    </row>
    <row r="3695" customFormat="false" ht="15.75" hidden="false" customHeight="true" outlineLevel="0" collapsed="false">
      <c r="A3695" s="7" t="n">
        <v>45912</v>
      </c>
      <c r="B3695" s="8" t="s">
        <v>29</v>
      </c>
      <c r="C3695" s="9" t="n">
        <v>35</v>
      </c>
      <c r="D3695" s="8" t="s">
        <v>21</v>
      </c>
      <c r="E3695" s="10" t="s">
        <v>65</v>
      </c>
      <c r="F3695" s="8" t="str">
        <f aca="false">TEXT(A3695,"MM-YYYY")</f>
        <v>09-2025</v>
      </c>
      <c r="G3695" s="8" t="s">
        <v>14</v>
      </c>
      <c r="H3695" s="8"/>
      <c r="I3695" s="7"/>
      <c r="J3695" s="8" t="str">
        <f aca="false">VLOOKUP(B3695, Table3[#All], 2, FALSE())</f>
        <v>Inventory</v>
      </c>
      <c r="K3695" s="8" t="str">
        <f aca="false">TEXT(ROW(), "0000")</f>
        <v>3695</v>
      </c>
      <c r="L3695" s="8"/>
    </row>
    <row r="3696" customFormat="false" ht="15.75" hidden="false" customHeight="true" outlineLevel="0" collapsed="false">
      <c r="A3696" s="7" t="n">
        <v>45912</v>
      </c>
      <c r="B3696" s="8" t="s">
        <v>16</v>
      </c>
      <c r="C3696" s="9" t="n">
        <v>3119</v>
      </c>
      <c r="D3696" s="8" t="s">
        <v>21</v>
      </c>
      <c r="E3696" s="10" t="s">
        <v>88</v>
      </c>
      <c r="F3696" s="8" t="str">
        <f aca="false">TEXT(A3696,"MM-YYYY")</f>
        <v>09-2025</v>
      </c>
      <c r="G3696" s="8"/>
      <c r="H3696" s="8"/>
      <c r="I3696" s="7"/>
      <c r="J3696" s="8" t="str">
        <f aca="false">VLOOKUP(B3696, Table3[#All], 2, FALSE())</f>
        <v>Sales</v>
      </c>
      <c r="K3696" s="8" t="str">
        <f aca="false">TEXT(ROW(), "0000")</f>
        <v>3696</v>
      </c>
      <c r="L3696" s="8"/>
    </row>
    <row r="3697" customFormat="false" ht="15.75" hidden="false" customHeight="true" outlineLevel="0" collapsed="false">
      <c r="A3697" s="7" t="n">
        <v>45912</v>
      </c>
      <c r="B3697" s="8" t="s">
        <v>16</v>
      </c>
      <c r="C3697" s="9" t="n">
        <v>240</v>
      </c>
      <c r="D3697" s="8" t="s">
        <v>70</v>
      </c>
      <c r="E3697" s="10" t="s">
        <v>88</v>
      </c>
      <c r="F3697" s="8" t="str">
        <f aca="false">TEXT(A3697,"MM-YYYY")</f>
        <v>09-2025</v>
      </c>
      <c r="G3697" s="8"/>
      <c r="H3697" s="8"/>
      <c r="I3697" s="7"/>
      <c r="J3697" s="8" t="str">
        <f aca="false">VLOOKUP(B3697, Table3[#All], 2, FALSE())</f>
        <v>Sales</v>
      </c>
      <c r="K3697" s="8" t="str">
        <f aca="false">TEXT(ROW(), "0000")</f>
        <v>3697</v>
      </c>
      <c r="L3697" s="8"/>
    </row>
    <row r="3698" customFormat="false" ht="15.75" hidden="false" customHeight="true" outlineLevel="0" collapsed="false">
      <c r="A3698" s="7" t="n">
        <v>45912</v>
      </c>
      <c r="B3698" s="8" t="s">
        <v>16</v>
      </c>
      <c r="C3698" s="9" t="n">
        <v>312</v>
      </c>
      <c r="D3698" s="8" t="s">
        <v>33</v>
      </c>
      <c r="E3698" s="10" t="s">
        <v>88</v>
      </c>
      <c r="F3698" s="8" t="str">
        <f aca="false">TEXT(A3698,"MM-YYYY")</f>
        <v>09-2025</v>
      </c>
      <c r="G3698" s="8"/>
      <c r="H3698" s="8"/>
      <c r="I3698" s="7"/>
      <c r="J3698" s="8" t="str">
        <f aca="false">VLOOKUP(B3698, Table3[#All], 2, FALSE())</f>
        <v>Sales</v>
      </c>
      <c r="K3698" s="8" t="str">
        <f aca="false">TEXT(ROW(), "0000")</f>
        <v>3698</v>
      </c>
      <c r="L3698" s="8"/>
    </row>
    <row r="3699" customFormat="false" ht="15.75" hidden="false" customHeight="true" outlineLevel="0" collapsed="false">
      <c r="A3699" s="7" t="n">
        <v>45912</v>
      </c>
      <c r="B3699" s="8" t="s">
        <v>16</v>
      </c>
      <c r="C3699" s="9" t="n">
        <v>17925</v>
      </c>
      <c r="D3699" s="8" t="s">
        <v>17</v>
      </c>
      <c r="E3699" s="10" t="s">
        <v>88</v>
      </c>
      <c r="F3699" s="8" t="str">
        <f aca="false">TEXT(A3699,"MM-YYYY")</f>
        <v>09-2025</v>
      </c>
      <c r="G3699" s="8"/>
      <c r="H3699" s="8"/>
      <c r="I3699" s="7"/>
      <c r="J3699" s="8" t="str">
        <f aca="false">VLOOKUP(B3699, Table3[#All], 2, FALSE())</f>
        <v>Sales</v>
      </c>
      <c r="K3699" s="8" t="str">
        <f aca="false">TEXT(ROW(), "0000")</f>
        <v>3699</v>
      </c>
      <c r="L3699" s="8"/>
    </row>
    <row r="3700" customFormat="false" ht="15.75" hidden="false" customHeight="true" outlineLevel="0" collapsed="false">
      <c r="A3700" s="7" t="n">
        <v>45912</v>
      </c>
      <c r="B3700" s="8" t="s">
        <v>16</v>
      </c>
      <c r="C3700" s="9" t="n">
        <v>2270</v>
      </c>
      <c r="D3700" s="8" t="s">
        <v>59</v>
      </c>
      <c r="E3700" s="10" t="s">
        <v>88</v>
      </c>
      <c r="F3700" s="8" t="str">
        <f aca="false">TEXT(A3700,"MM-YYYY")</f>
        <v>09-2025</v>
      </c>
      <c r="G3700" s="8"/>
      <c r="H3700" s="8"/>
      <c r="I3700" s="7"/>
      <c r="J3700" s="8" t="str">
        <f aca="false">VLOOKUP(B3700, Table3[#All], 2, FALSE())</f>
        <v>Sales</v>
      </c>
      <c r="K3700" s="8" t="str">
        <f aca="false">TEXT(ROW(), "0000")</f>
        <v>3700</v>
      </c>
      <c r="L3700" s="8"/>
    </row>
    <row r="3701" customFormat="false" ht="15.75" hidden="false" customHeight="true" outlineLevel="0" collapsed="false">
      <c r="A3701" s="7" t="n">
        <v>45912</v>
      </c>
      <c r="B3701" s="8" t="s">
        <v>16</v>
      </c>
      <c r="C3701" s="9" t="n">
        <v>2496</v>
      </c>
      <c r="D3701" s="8" t="s">
        <v>24</v>
      </c>
      <c r="E3701" s="10" t="s">
        <v>88</v>
      </c>
      <c r="F3701" s="8" t="str">
        <f aca="false">TEXT(A3701,"MM-YYYY")</f>
        <v>09-2025</v>
      </c>
      <c r="G3701" s="8"/>
      <c r="H3701" s="8"/>
      <c r="I3701" s="7"/>
      <c r="J3701" s="8" t="str">
        <f aca="false">VLOOKUP(B3701, Table3[#All], 2, FALSE())</f>
        <v>Sales</v>
      </c>
      <c r="K3701" s="8" t="str">
        <f aca="false">TEXT(ROW(), "0000")</f>
        <v>3701</v>
      </c>
      <c r="L3701" s="8"/>
    </row>
    <row r="3702" customFormat="false" ht="15.75" hidden="false" customHeight="true" outlineLevel="0" collapsed="false">
      <c r="A3702" s="7" t="n">
        <v>45912</v>
      </c>
      <c r="B3702" s="8" t="s">
        <v>31</v>
      </c>
      <c r="C3702" s="9" t="n">
        <v>300</v>
      </c>
      <c r="D3702" s="8" t="s">
        <v>45</v>
      </c>
      <c r="E3702" s="10" t="s">
        <v>31</v>
      </c>
      <c r="F3702" s="8" t="str">
        <f aca="false">TEXT(A3702,"MM-YYYY")</f>
        <v>09-2025</v>
      </c>
      <c r="G3702" s="8" t="s">
        <v>14</v>
      </c>
      <c r="H3702" s="8"/>
      <c r="I3702" s="7"/>
      <c r="J3702" s="8" t="str">
        <f aca="false">VLOOKUP(B3702, Table3[#All], 2, FALSE())</f>
        <v>Bike Maintance</v>
      </c>
      <c r="K3702" s="8" t="str">
        <f aca="false">TEXT(ROW(), "0000")</f>
        <v>3702</v>
      </c>
      <c r="L3702" s="8"/>
    </row>
    <row r="3703" customFormat="false" ht="15.75" hidden="false" customHeight="true" outlineLevel="0" collapsed="false">
      <c r="A3703" s="7" t="n">
        <v>45913</v>
      </c>
      <c r="B3703" s="8" t="s">
        <v>25</v>
      </c>
      <c r="C3703" s="9" t="n">
        <v>1138</v>
      </c>
      <c r="D3703" s="8" t="s">
        <v>13</v>
      </c>
      <c r="E3703" s="10" t="s">
        <v>92</v>
      </c>
      <c r="F3703" s="8" t="str">
        <f aca="false">TEXT(A3703,"MM-YYYY")</f>
        <v>09-2025</v>
      </c>
      <c r="G3703" s="8" t="s">
        <v>18</v>
      </c>
      <c r="H3703" s="8" t="s">
        <v>13</v>
      </c>
      <c r="I3703" s="7"/>
      <c r="J3703" s="8" t="str">
        <f aca="false">VLOOKUP(B3703, Table3[#All], 2, FALSE())</f>
        <v>Inventory</v>
      </c>
      <c r="K3703" s="8" t="str">
        <f aca="false">TEXT(ROW(), "0000")</f>
        <v>3703</v>
      </c>
      <c r="L3703" s="8"/>
    </row>
    <row r="3704" customFormat="false" ht="15.75" hidden="false" customHeight="true" outlineLevel="0" collapsed="false">
      <c r="A3704" s="7" t="n">
        <v>45913</v>
      </c>
      <c r="B3704" s="8" t="s">
        <v>25</v>
      </c>
      <c r="C3704" s="9" t="n">
        <v>680</v>
      </c>
      <c r="D3704" s="8" t="s">
        <v>45</v>
      </c>
      <c r="E3704" s="10" t="s">
        <v>493</v>
      </c>
      <c r="F3704" s="8" t="str">
        <f aca="false">TEXT(A3704,"MM-YYYY")</f>
        <v>09-2025</v>
      </c>
      <c r="G3704" s="8" t="s">
        <v>14</v>
      </c>
      <c r="H3704" s="8" t="s">
        <v>232</v>
      </c>
      <c r="I3704" s="7"/>
      <c r="J3704" s="8" t="str">
        <f aca="false">VLOOKUP(B3704, Table3[#All], 2, FALSE())</f>
        <v>Inventory</v>
      </c>
      <c r="K3704" s="8" t="str">
        <f aca="false">TEXT(ROW(), "0000")</f>
        <v>3704</v>
      </c>
      <c r="L3704" s="8"/>
    </row>
    <row r="3705" customFormat="false" ht="15.75" hidden="false" customHeight="true" outlineLevel="0" collapsed="false">
      <c r="A3705" s="7" t="n">
        <v>45913</v>
      </c>
      <c r="B3705" s="8" t="s">
        <v>35</v>
      </c>
      <c r="C3705" s="9" t="n">
        <v>100</v>
      </c>
      <c r="D3705" s="8" t="s">
        <v>45</v>
      </c>
      <c r="E3705" s="10" t="s">
        <v>529</v>
      </c>
      <c r="F3705" s="8" t="str">
        <f aca="false">TEXT(A3705,"MM-YYYY")</f>
        <v>09-2025</v>
      </c>
      <c r="G3705" s="8" t="s">
        <v>14</v>
      </c>
      <c r="H3705" s="8" t="s">
        <v>232</v>
      </c>
      <c r="I3705" s="7"/>
      <c r="J3705" s="8" t="str">
        <f aca="false">VLOOKUP(B3705, Table3[#All], 2, FALSE())</f>
        <v>Inventory</v>
      </c>
      <c r="K3705" s="8" t="str">
        <f aca="false">TEXT(ROW(), "0000")</f>
        <v>3705</v>
      </c>
      <c r="L3705" s="8"/>
    </row>
    <row r="3706" customFormat="false" ht="15.75" hidden="false" customHeight="true" outlineLevel="0" collapsed="false">
      <c r="A3706" s="7" t="n">
        <v>45913</v>
      </c>
      <c r="B3706" s="8" t="s">
        <v>51</v>
      </c>
      <c r="C3706" s="9" t="n">
        <v>600</v>
      </c>
      <c r="D3706" s="8" t="s">
        <v>45</v>
      </c>
      <c r="E3706" s="10" t="s">
        <v>530</v>
      </c>
      <c r="F3706" s="8" t="str">
        <f aca="false">TEXT(A3706,"MM-YYYY")</f>
        <v>09-2025</v>
      </c>
      <c r="G3706" s="8" t="s">
        <v>14</v>
      </c>
      <c r="H3706" s="8" t="s">
        <v>232</v>
      </c>
      <c r="I3706" s="7"/>
      <c r="J3706" s="8" t="str">
        <f aca="false">VLOOKUP(B3706, Table3[#All], 2, FALSE())</f>
        <v>Inventory</v>
      </c>
      <c r="K3706" s="8" t="str">
        <f aca="false">TEXT(ROW(), "0000")</f>
        <v>3706</v>
      </c>
      <c r="L3706" s="8"/>
    </row>
    <row r="3707" customFormat="false" ht="15.75" hidden="false" customHeight="true" outlineLevel="0" collapsed="false">
      <c r="A3707" s="7" t="n">
        <v>45913</v>
      </c>
      <c r="B3707" s="8" t="s">
        <v>37</v>
      </c>
      <c r="C3707" s="9" t="n">
        <v>10</v>
      </c>
      <c r="D3707" s="8" t="s">
        <v>21</v>
      </c>
      <c r="E3707" s="10" t="s">
        <v>420</v>
      </c>
      <c r="F3707" s="8" t="str">
        <f aca="false">TEXT(A3707,"MM-YYYY")</f>
        <v>09-2025</v>
      </c>
      <c r="G3707" s="8" t="s">
        <v>14</v>
      </c>
      <c r="H3707" s="8" t="s">
        <v>15</v>
      </c>
      <c r="I3707" s="7"/>
      <c r="J3707" s="8" t="str">
        <f aca="false">VLOOKUP(B3707, Table3[#All], 2, FALSE())</f>
        <v>Maintance</v>
      </c>
      <c r="K3707" s="8" t="str">
        <f aca="false">TEXT(ROW(), "0000")</f>
        <v>3707</v>
      </c>
      <c r="L3707" s="8"/>
    </row>
    <row r="3708" customFormat="false" ht="15.75" hidden="false" customHeight="true" outlineLevel="0" collapsed="false">
      <c r="A3708" s="7" t="n">
        <v>45913</v>
      </c>
      <c r="B3708" s="8" t="s">
        <v>19</v>
      </c>
      <c r="C3708" s="9" t="n">
        <v>2277</v>
      </c>
      <c r="D3708" s="8" t="s">
        <v>13</v>
      </c>
      <c r="E3708" s="10" t="s">
        <v>473</v>
      </c>
      <c r="F3708" s="8" t="str">
        <f aca="false">TEXT(A3708,"MM-YYYY")</f>
        <v>09-2025</v>
      </c>
      <c r="G3708" s="8" t="s">
        <v>14</v>
      </c>
      <c r="H3708" s="8" t="s">
        <v>13</v>
      </c>
      <c r="I3708" s="7"/>
      <c r="J3708" s="8" t="str">
        <f aca="false">VLOOKUP(B3708, Table3[#All], 2, FALSE())</f>
        <v>Inventory</v>
      </c>
      <c r="K3708" s="8" t="str">
        <f aca="false">TEXT(ROW(), "0000")</f>
        <v>3708</v>
      </c>
      <c r="L3708" s="8"/>
    </row>
    <row r="3709" customFormat="false" ht="15.75" hidden="false" customHeight="true" outlineLevel="0" collapsed="false">
      <c r="A3709" s="7" t="n">
        <v>45913</v>
      </c>
      <c r="B3709" s="8" t="s">
        <v>22</v>
      </c>
      <c r="C3709" s="9" t="n">
        <v>310</v>
      </c>
      <c r="D3709" s="8" t="s">
        <v>45</v>
      </c>
      <c r="E3709" s="10" t="s">
        <v>23</v>
      </c>
      <c r="F3709" s="8" t="str">
        <f aca="false">TEXT(A3709,"MM-YYYY")</f>
        <v>09-2025</v>
      </c>
      <c r="G3709" s="8" t="s">
        <v>14</v>
      </c>
      <c r="H3709" s="8" t="s">
        <v>232</v>
      </c>
      <c r="I3709" s="7"/>
      <c r="J3709" s="8" t="str">
        <f aca="false">VLOOKUP(B3709, Table3[#All], 2, FALSE())</f>
        <v>Inventory</v>
      </c>
      <c r="K3709" s="8" t="str">
        <f aca="false">TEXT(ROW(), "0000")</f>
        <v>3709</v>
      </c>
      <c r="L3709" s="8"/>
    </row>
    <row r="3710" customFormat="false" ht="15.75" hidden="false" customHeight="true" outlineLevel="0" collapsed="false">
      <c r="A3710" s="7" t="n">
        <v>45913</v>
      </c>
      <c r="B3710" s="8" t="s">
        <v>40</v>
      </c>
      <c r="C3710" s="9" t="n">
        <v>1520</v>
      </c>
      <c r="D3710" s="8" t="s">
        <v>45</v>
      </c>
      <c r="E3710" s="10" t="s">
        <v>40</v>
      </c>
      <c r="F3710" s="8" t="str">
        <f aca="false">TEXT(A3710,"MM-YYYY")</f>
        <v>09-2025</v>
      </c>
      <c r="G3710" s="8" t="s">
        <v>14</v>
      </c>
      <c r="H3710" s="8" t="s">
        <v>232</v>
      </c>
      <c r="I3710" s="7"/>
      <c r="J3710" s="8" t="str">
        <f aca="false">VLOOKUP(B3710, Table3[#All], 2, FALSE())</f>
        <v>Inventory</v>
      </c>
      <c r="K3710" s="8" t="str">
        <f aca="false">TEXT(ROW(), "0000")</f>
        <v>3710</v>
      </c>
      <c r="L3710" s="8"/>
    </row>
    <row r="3711" customFormat="false" ht="15.75" hidden="false" customHeight="true" outlineLevel="0" collapsed="false">
      <c r="A3711" s="7" t="n">
        <v>45913</v>
      </c>
      <c r="B3711" s="8" t="s">
        <v>56</v>
      </c>
      <c r="C3711" s="9" t="n">
        <v>450</v>
      </c>
      <c r="D3711" s="8" t="s">
        <v>45</v>
      </c>
      <c r="E3711" s="10" t="s">
        <v>524</v>
      </c>
      <c r="F3711" s="8" t="str">
        <f aca="false">TEXT(A3711,"MM-YYYY")</f>
        <v>09-2025</v>
      </c>
      <c r="G3711" s="8" t="s">
        <v>14</v>
      </c>
      <c r="H3711" s="8" t="s">
        <v>232</v>
      </c>
      <c r="I3711" s="7"/>
      <c r="J3711" s="8" t="str">
        <f aca="false">VLOOKUP(B3711, Table3[#All], 2, FALSE())</f>
        <v>New Inventory</v>
      </c>
      <c r="K3711" s="8" t="str">
        <f aca="false">TEXT(ROW(), "0000")</f>
        <v>3711</v>
      </c>
      <c r="L3711" s="8"/>
    </row>
    <row r="3712" customFormat="false" ht="15.75" hidden="false" customHeight="true" outlineLevel="0" collapsed="false">
      <c r="A3712" s="7" t="n">
        <v>45913</v>
      </c>
      <c r="B3712" s="8" t="s">
        <v>29</v>
      </c>
      <c r="C3712" s="9" t="n">
        <v>200</v>
      </c>
      <c r="D3712" s="8" t="s">
        <v>45</v>
      </c>
      <c r="E3712" s="10" t="s">
        <v>488</v>
      </c>
      <c r="F3712" s="8" t="str">
        <f aca="false">TEXT(A3712,"MM-YYYY")</f>
        <v>09-2025</v>
      </c>
      <c r="G3712" s="8" t="s">
        <v>14</v>
      </c>
      <c r="H3712" s="8" t="s">
        <v>232</v>
      </c>
      <c r="I3712" s="7"/>
      <c r="J3712" s="8" t="str">
        <f aca="false">VLOOKUP(B3712, Table3[#All], 2, FALSE())</f>
        <v>Inventory</v>
      </c>
      <c r="K3712" s="8" t="str">
        <f aca="false">TEXT(ROW(), "0000")</f>
        <v>3712</v>
      </c>
      <c r="L3712" s="8"/>
    </row>
    <row r="3713" customFormat="false" ht="15.75" hidden="false" customHeight="true" outlineLevel="0" collapsed="false">
      <c r="A3713" s="7" t="n">
        <v>45913</v>
      </c>
      <c r="B3713" s="8" t="s">
        <v>16</v>
      </c>
      <c r="C3713" s="9" t="n">
        <v>1475</v>
      </c>
      <c r="D3713" s="8" t="s">
        <v>21</v>
      </c>
      <c r="E3713" s="10" t="s">
        <v>88</v>
      </c>
      <c r="F3713" s="8" t="str">
        <f aca="false">TEXT(A3713,"MM-YYYY")</f>
        <v>09-2025</v>
      </c>
      <c r="G3713" s="8"/>
      <c r="H3713" s="8"/>
      <c r="I3713" s="7"/>
      <c r="J3713" s="8" t="str">
        <f aca="false">VLOOKUP(B3713, Table3[#All], 2, FALSE())</f>
        <v>Sales</v>
      </c>
      <c r="K3713" s="8" t="str">
        <f aca="false">TEXT(ROW(), "0000")</f>
        <v>3713</v>
      </c>
      <c r="L3713" s="8"/>
    </row>
    <row r="3714" customFormat="false" ht="15.75" hidden="false" customHeight="true" outlineLevel="0" collapsed="false">
      <c r="A3714" s="7" t="n">
        <v>45913</v>
      </c>
      <c r="B3714" s="8" t="s">
        <v>16</v>
      </c>
      <c r="C3714" s="9" t="n">
        <v>80</v>
      </c>
      <c r="D3714" s="8" t="s">
        <v>33</v>
      </c>
      <c r="E3714" s="10" t="s">
        <v>88</v>
      </c>
      <c r="F3714" s="8" t="str">
        <f aca="false">TEXT(A3714,"MM-YYYY")</f>
        <v>09-2025</v>
      </c>
      <c r="G3714" s="8"/>
      <c r="H3714" s="8"/>
      <c r="I3714" s="7"/>
      <c r="J3714" s="8" t="str">
        <f aca="false">VLOOKUP(B3714, Table3[#All], 2, FALSE())</f>
        <v>Sales</v>
      </c>
      <c r="K3714" s="8" t="str">
        <f aca="false">TEXT(ROW(), "0000")</f>
        <v>3714</v>
      </c>
      <c r="L3714" s="8"/>
    </row>
    <row r="3715" customFormat="false" ht="15.75" hidden="false" customHeight="true" outlineLevel="0" collapsed="false">
      <c r="A3715" s="7" t="n">
        <v>45913</v>
      </c>
      <c r="B3715" s="8" t="s">
        <v>16</v>
      </c>
      <c r="C3715" s="9" t="n">
        <v>13878</v>
      </c>
      <c r="D3715" s="8" t="s">
        <v>17</v>
      </c>
      <c r="E3715" s="10" t="s">
        <v>88</v>
      </c>
      <c r="F3715" s="8" t="str">
        <f aca="false">TEXT(A3715,"MM-YYYY")</f>
        <v>09-2025</v>
      </c>
      <c r="G3715" s="8"/>
      <c r="H3715" s="8"/>
      <c r="I3715" s="7"/>
      <c r="J3715" s="8" t="str">
        <f aca="false">VLOOKUP(B3715, Table3[#All], 2, FALSE())</f>
        <v>Sales</v>
      </c>
      <c r="K3715" s="8" t="str">
        <f aca="false">TEXT(ROW(), "0000")</f>
        <v>3715</v>
      </c>
      <c r="L3715" s="8"/>
    </row>
    <row r="3716" customFormat="false" ht="15.75" hidden="false" customHeight="true" outlineLevel="0" collapsed="false">
      <c r="A3716" s="7" t="n">
        <v>45913</v>
      </c>
      <c r="B3716" s="8" t="s">
        <v>16</v>
      </c>
      <c r="C3716" s="9" t="n">
        <v>399</v>
      </c>
      <c r="D3716" s="8" t="s">
        <v>59</v>
      </c>
      <c r="E3716" s="10" t="s">
        <v>88</v>
      </c>
      <c r="F3716" s="8" t="str">
        <f aca="false">TEXT(A3716,"MM-YYYY")</f>
        <v>09-2025</v>
      </c>
      <c r="G3716" s="8"/>
      <c r="H3716" s="8"/>
      <c r="I3716" s="7"/>
      <c r="J3716" s="8" t="str">
        <f aca="false">VLOOKUP(B3716, Table3[#All], 2, FALSE())</f>
        <v>Sales</v>
      </c>
      <c r="K3716" s="8" t="str">
        <f aca="false">TEXT(ROW(), "0000")</f>
        <v>3716</v>
      </c>
      <c r="L3716" s="8"/>
    </row>
    <row r="3717" customFormat="false" ht="15.75" hidden="false" customHeight="true" outlineLevel="0" collapsed="false">
      <c r="A3717" s="7" t="n">
        <v>45913</v>
      </c>
      <c r="B3717" s="8" t="s">
        <v>16</v>
      </c>
      <c r="C3717" s="9" t="n">
        <v>6188</v>
      </c>
      <c r="D3717" s="8" t="s">
        <v>24</v>
      </c>
      <c r="E3717" s="10" t="s">
        <v>88</v>
      </c>
      <c r="F3717" s="8" t="str">
        <f aca="false">TEXT(A3717,"MM-YYYY")</f>
        <v>09-2025</v>
      </c>
      <c r="G3717" s="8"/>
      <c r="H3717" s="8"/>
      <c r="I3717" s="7"/>
      <c r="J3717" s="8" t="str">
        <f aca="false">VLOOKUP(B3717, Table3[#All], 2, FALSE())</f>
        <v>Sales</v>
      </c>
      <c r="K3717" s="8" t="str">
        <f aca="false">TEXT(ROW(), "0000")</f>
        <v>3717</v>
      </c>
      <c r="L3717" s="8"/>
    </row>
    <row r="3718" customFormat="false" ht="15.75" hidden="false" customHeight="true" outlineLevel="0" collapsed="false">
      <c r="A3718" s="7" t="n">
        <v>45914</v>
      </c>
      <c r="B3718" s="8" t="s">
        <v>25</v>
      </c>
      <c r="C3718" s="9" t="n">
        <v>1259</v>
      </c>
      <c r="D3718" s="8" t="s">
        <v>13</v>
      </c>
      <c r="E3718" s="10" t="s">
        <v>92</v>
      </c>
      <c r="F3718" s="8" t="str">
        <f aca="false">TEXT(A3718,"MM-YYYY")</f>
        <v>09-2025</v>
      </c>
      <c r="G3718" s="8" t="s">
        <v>18</v>
      </c>
      <c r="H3718" s="8"/>
      <c r="I3718" s="7"/>
      <c r="J3718" s="8" t="str">
        <f aca="false">VLOOKUP(B3718, Table3[#All], 2, FALSE())</f>
        <v>Inventory</v>
      </c>
      <c r="K3718" s="8" t="str">
        <f aca="false">TEXT(ROW(), "0000")</f>
        <v>3718</v>
      </c>
      <c r="L3718" s="8"/>
    </row>
    <row r="3719" customFormat="false" ht="15.75" hidden="false" customHeight="true" outlineLevel="0" collapsed="false">
      <c r="A3719" s="7" t="n">
        <v>45914</v>
      </c>
      <c r="B3719" s="8" t="s">
        <v>22</v>
      </c>
      <c r="C3719" s="9" t="n">
        <v>220</v>
      </c>
      <c r="D3719" s="8" t="s">
        <v>45</v>
      </c>
      <c r="E3719" s="10" t="s">
        <v>479</v>
      </c>
      <c r="F3719" s="8" t="str">
        <f aca="false">TEXT(A3719,"MM-YYYY")</f>
        <v>09-2025</v>
      </c>
      <c r="G3719" s="8" t="s">
        <v>14</v>
      </c>
      <c r="H3719" s="8"/>
      <c r="I3719" s="7"/>
      <c r="J3719" s="8" t="str">
        <f aca="false">VLOOKUP(B3719, Table3[#All], 2, FALSE())</f>
        <v>Inventory</v>
      </c>
      <c r="K3719" s="8" t="str">
        <f aca="false">TEXT(ROW(), "0000")</f>
        <v>3719</v>
      </c>
      <c r="L3719" s="8"/>
    </row>
    <row r="3720" customFormat="false" ht="15.75" hidden="false" customHeight="true" outlineLevel="0" collapsed="false">
      <c r="A3720" s="7" t="n">
        <v>45914</v>
      </c>
      <c r="B3720" s="8" t="s">
        <v>22</v>
      </c>
      <c r="C3720" s="9" t="n">
        <v>75</v>
      </c>
      <c r="D3720" s="8" t="s">
        <v>45</v>
      </c>
      <c r="E3720" s="10" t="s">
        <v>531</v>
      </c>
      <c r="F3720" s="8" t="str">
        <f aca="false">TEXT(A3720,"MM-YYYY")</f>
        <v>09-2025</v>
      </c>
      <c r="G3720" s="8" t="s">
        <v>14</v>
      </c>
      <c r="H3720" s="8"/>
      <c r="I3720" s="7"/>
      <c r="J3720" s="8" t="str">
        <f aca="false">VLOOKUP(B3720, Table3[#All], 2, FALSE())</f>
        <v>Inventory</v>
      </c>
      <c r="K3720" s="8" t="str">
        <f aca="false">TEXT(ROW(), "0000")</f>
        <v>3720</v>
      </c>
      <c r="L3720" s="8"/>
    </row>
    <row r="3721" customFormat="false" ht="15.75" hidden="false" customHeight="true" outlineLevel="0" collapsed="false">
      <c r="A3721" s="7" t="n">
        <v>45914</v>
      </c>
      <c r="B3721" s="8" t="s">
        <v>37</v>
      </c>
      <c r="C3721" s="9" t="n">
        <v>20</v>
      </c>
      <c r="D3721" s="8" t="s">
        <v>21</v>
      </c>
      <c r="E3721" s="10" t="s">
        <v>420</v>
      </c>
      <c r="F3721" s="8" t="str">
        <f aca="false">TEXT(A3721,"MM-YYYY")</f>
        <v>09-2025</v>
      </c>
      <c r="G3721" s="8" t="s">
        <v>14</v>
      </c>
      <c r="H3721" s="8"/>
      <c r="I3721" s="7"/>
      <c r="J3721" s="8" t="str">
        <f aca="false">VLOOKUP(B3721, Table3[#All], 2, FALSE())</f>
        <v>Maintance</v>
      </c>
      <c r="K3721" s="8" t="str">
        <f aca="false">TEXT(ROW(), "0000")</f>
        <v>3721</v>
      </c>
      <c r="L3721" s="8"/>
    </row>
    <row r="3722" customFormat="false" ht="15.75" hidden="false" customHeight="true" outlineLevel="0" collapsed="false">
      <c r="A3722" s="7" t="n">
        <v>45914</v>
      </c>
      <c r="B3722" s="8" t="s">
        <v>29</v>
      </c>
      <c r="C3722" s="9" t="n">
        <v>894</v>
      </c>
      <c r="D3722" s="8" t="s">
        <v>13</v>
      </c>
      <c r="E3722" s="10" t="s">
        <v>490</v>
      </c>
      <c r="F3722" s="8" t="str">
        <f aca="false">TEXT(A3722,"MM-YYYY")</f>
        <v>09-2025</v>
      </c>
      <c r="G3722" s="8" t="s">
        <v>18</v>
      </c>
      <c r="H3722" s="8"/>
      <c r="I3722" s="7"/>
      <c r="J3722" s="8" t="str">
        <f aca="false">VLOOKUP(B3722, Table3[#All], 2, FALSE())</f>
        <v>Inventory</v>
      </c>
      <c r="K3722" s="8" t="str">
        <f aca="false">TEXT(ROW(), "0000")</f>
        <v>3722</v>
      </c>
      <c r="L3722" s="8"/>
    </row>
    <row r="3723" customFormat="false" ht="15.75" hidden="false" customHeight="true" outlineLevel="0" collapsed="false">
      <c r="A3723" s="7" t="n">
        <v>45914</v>
      </c>
      <c r="B3723" s="8" t="s">
        <v>60</v>
      </c>
      <c r="C3723" s="9" t="n">
        <v>210</v>
      </c>
      <c r="D3723" s="8" t="s">
        <v>45</v>
      </c>
      <c r="E3723" s="10" t="s">
        <v>60</v>
      </c>
      <c r="F3723" s="8" t="str">
        <f aca="false">TEXT(A3723,"MM-YYYY")</f>
        <v>09-2025</v>
      </c>
      <c r="G3723" s="8" t="s">
        <v>14</v>
      </c>
      <c r="H3723" s="8" t="s">
        <v>262</v>
      </c>
      <c r="I3723" s="7" t="n">
        <v>45914</v>
      </c>
      <c r="J3723" s="8" t="str">
        <f aca="false">VLOOKUP(B3723, Table3[#All], 2, FALSE())</f>
        <v>Inventory</v>
      </c>
      <c r="K3723" s="8" t="str">
        <f aca="false">TEXT(ROW(), "0000")</f>
        <v>3723</v>
      </c>
      <c r="L3723" s="8"/>
    </row>
    <row r="3724" customFormat="false" ht="15.75" hidden="false" customHeight="true" outlineLevel="0" collapsed="false">
      <c r="A3724" s="7" t="n">
        <v>45914</v>
      </c>
      <c r="B3724" s="8" t="s">
        <v>28</v>
      </c>
      <c r="C3724" s="9" t="n">
        <v>350</v>
      </c>
      <c r="D3724" s="8" t="s">
        <v>45</v>
      </c>
      <c r="E3724" s="10" t="s">
        <v>532</v>
      </c>
      <c r="F3724" s="8" t="str">
        <f aca="false">TEXT(A3724,"MM-YYYY")</f>
        <v>09-2025</v>
      </c>
      <c r="G3724" s="8" t="s">
        <v>14</v>
      </c>
      <c r="H3724" s="8"/>
      <c r="I3724" s="7"/>
      <c r="J3724" s="8" t="str">
        <f aca="false">VLOOKUP(B3724, Table3[#All], 2, FALSE())</f>
        <v>Grocery</v>
      </c>
      <c r="K3724" s="8" t="str">
        <f aca="false">TEXT(ROW(), "0000")</f>
        <v>3724</v>
      </c>
      <c r="L3724" s="8"/>
    </row>
    <row r="3725" customFormat="false" ht="15.75" hidden="false" customHeight="true" outlineLevel="0" collapsed="false">
      <c r="A3725" s="7" t="n">
        <v>45914</v>
      </c>
      <c r="B3725" s="8" t="s">
        <v>34</v>
      </c>
      <c r="C3725" s="9" t="n">
        <v>30</v>
      </c>
      <c r="D3725" s="8" t="s">
        <v>45</v>
      </c>
      <c r="E3725" s="10" t="s">
        <v>154</v>
      </c>
      <c r="F3725" s="8" t="str">
        <f aca="false">TEXT(A3725,"MM-YYYY")</f>
        <v>09-2025</v>
      </c>
      <c r="G3725" s="8" t="s">
        <v>14</v>
      </c>
      <c r="H3725" s="8"/>
      <c r="I3725" s="7"/>
      <c r="J3725" s="8" t="str">
        <f aca="false">VLOOKUP(B3725, Table3[#All], 2, FALSE())</f>
        <v>Staff Expenses</v>
      </c>
      <c r="K3725" s="8" t="str">
        <f aca="false">TEXT(ROW(), "0000")</f>
        <v>3725</v>
      </c>
      <c r="L3725" s="8"/>
    </row>
    <row r="3726" customFormat="false" ht="15.75" hidden="false" customHeight="true" outlineLevel="0" collapsed="false">
      <c r="A3726" s="7" t="n">
        <v>45914</v>
      </c>
      <c r="B3726" s="8" t="s">
        <v>16</v>
      </c>
      <c r="C3726" s="9" t="n">
        <v>1550</v>
      </c>
      <c r="D3726" s="8" t="s">
        <v>21</v>
      </c>
      <c r="E3726" s="10" t="s">
        <v>88</v>
      </c>
      <c r="F3726" s="8" t="str">
        <f aca="false">TEXT(A3726,"MM-YYYY")</f>
        <v>09-2025</v>
      </c>
      <c r="G3726" s="8"/>
      <c r="H3726" s="8"/>
      <c r="I3726" s="7"/>
      <c r="J3726" s="8" t="str">
        <f aca="false">VLOOKUP(B3726, Table3[#All], 2, FALSE())</f>
        <v>Sales</v>
      </c>
      <c r="K3726" s="8" t="str">
        <f aca="false">TEXT(ROW(), "0000")</f>
        <v>3726</v>
      </c>
      <c r="L3726" s="8"/>
    </row>
    <row r="3727" customFormat="false" ht="15.75" hidden="false" customHeight="true" outlineLevel="0" collapsed="false">
      <c r="A3727" s="7" t="n">
        <v>45914</v>
      </c>
      <c r="B3727" s="8" t="s">
        <v>16</v>
      </c>
      <c r="C3727" s="9" t="n">
        <v>909</v>
      </c>
      <c r="D3727" s="8" t="s">
        <v>33</v>
      </c>
      <c r="E3727" s="10" t="s">
        <v>88</v>
      </c>
      <c r="F3727" s="8" t="str">
        <f aca="false">TEXT(A3727,"MM-YYYY")</f>
        <v>09-2025</v>
      </c>
      <c r="G3727" s="8"/>
      <c r="H3727" s="8"/>
      <c r="I3727" s="7"/>
      <c r="J3727" s="8" t="str">
        <f aca="false">VLOOKUP(B3727, Table3[#All], 2, FALSE())</f>
        <v>Sales</v>
      </c>
      <c r="K3727" s="8" t="str">
        <f aca="false">TEXT(ROW(), "0000")</f>
        <v>3727</v>
      </c>
      <c r="L3727" s="8"/>
    </row>
    <row r="3728" customFormat="false" ht="15.75" hidden="false" customHeight="true" outlineLevel="0" collapsed="false">
      <c r="A3728" s="7" t="n">
        <v>45914</v>
      </c>
      <c r="B3728" s="8" t="s">
        <v>16</v>
      </c>
      <c r="C3728" s="9" t="n">
        <v>20974</v>
      </c>
      <c r="D3728" s="8" t="s">
        <v>17</v>
      </c>
      <c r="E3728" s="10" t="s">
        <v>88</v>
      </c>
      <c r="F3728" s="8" t="str">
        <f aca="false">TEXT(A3728,"MM-YYYY")</f>
        <v>09-2025</v>
      </c>
      <c r="G3728" s="8"/>
      <c r="H3728" s="8"/>
      <c r="I3728" s="7"/>
      <c r="J3728" s="8" t="str">
        <f aca="false">VLOOKUP(B3728, Table3[#All], 2, FALSE())</f>
        <v>Sales</v>
      </c>
      <c r="K3728" s="8" t="str">
        <f aca="false">TEXT(ROW(), "0000")</f>
        <v>3728</v>
      </c>
      <c r="L3728" s="8"/>
    </row>
    <row r="3729" customFormat="false" ht="15.75" hidden="false" customHeight="true" outlineLevel="0" collapsed="false">
      <c r="A3729" s="7" t="n">
        <v>45914</v>
      </c>
      <c r="B3729" s="8" t="s">
        <v>16</v>
      </c>
      <c r="C3729" s="9" t="n">
        <v>1256</v>
      </c>
      <c r="D3729" s="8" t="s">
        <v>24</v>
      </c>
      <c r="E3729" s="10" t="s">
        <v>88</v>
      </c>
      <c r="F3729" s="8" t="str">
        <f aca="false">TEXT(A3729,"MM-YYYY")</f>
        <v>09-2025</v>
      </c>
      <c r="G3729" s="8"/>
      <c r="H3729" s="8"/>
      <c r="I3729" s="7"/>
      <c r="J3729" s="8" t="str">
        <f aca="false">VLOOKUP(B3729, Table3[#All], 2, FALSE())</f>
        <v>Sales</v>
      </c>
      <c r="K3729" s="8" t="str">
        <f aca="false">TEXT(ROW(), "0000")</f>
        <v>3729</v>
      </c>
      <c r="L3729" s="8"/>
    </row>
    <row r="3730" customFormat="false" ht="15.75" hidden="false" customHeight="true" outlineLevel="0" collapsed="false">
      <c r="A3730" s="7" t="n">
        <v>45915</v>
      </c>
      <c r="B3730" s="8" t="s">
        <v>47</v>
      </c>
      <c r="C3730" s="9" t="n">
        <v>900</v>
      </c>
      <c r="D3730" s="8" t="s">
        <v>13</v>
      </c>
      <c r="E3730" s="10" t="s">
        <v>484</v>
      </c>
      <c r="F3730" s="8" t="str">
        <f aca="false">TEXT(A3730,"MM-YYYY")</f>
        <v>09-2025</v>
      </c>
      <c r="G3730" s="8" t="s">
        <v>18</v>
      </c>
      <c r="H3730" s="8"/>
      <c r="I3730" s="7"/>
      <c r="J3730" s="8" t="str">
        <f aca="false">VLOOKUP(B3730, Table3[#All], 2, FALSE())</f>
        <v>Inventory</v>
      </c>
      <c r="K3730" s="8" t="str">
        <f aca="false">TEXT(ROW(), "0000")</f>
        <v>3730</v>
      </c>
      <c r="L3730" s="8"/>
    </row>
    <row r="3731" customFormat="false" ht="15.75" hidden="false" customHeight="true" outlineLevel="0" collapsed="false">
      <c r="A3731" s="7" t="n">
        <v>45915</v>
      </c>
      <c r="B3731" s="8" t="s">
        <v>19</v>
      </c>
      <c r="C3731" s="9" t="n">
        <v>2346</v>
      </c>
      <c r="D3731" s="8" t="s">
        <v>13</v>
      </c>
      <c r="E3731" s="10" t="s">
        <v>473</v>
      </c>
      <c r="F3731" s="8" t="str">
        <f aca="false">TEXT(A3731,"MM-YYYY")</f>
        <v>09-2025</v>
      </c>
      <c r="G3731" s="8" t="s">
        <v>14</v>
      </c>
      <c r="H3731" s="8"/>
      <c r="I3731" s="7"/>
      <c r="J3731" s="8" t="str">
        <f aca="false">VLOOKUP(B3731, Table3[#All], 2, FALSE())</f>
        <v>Inventory</v>
      </c>
      <c r="K3731" s="8" t="str">
        <f aca="false">TEXT(ROW(), "0000")</f>
        <v>3731</v>
      </c>
      <c r="L3731" s="8"/>
    </row>
    <row r="3732" customFormat="false" ht="15.75" hidden="false" customHeight="true" outlineLevel="0" collapsed="false">
      <c r="A3732" s="7" t="n">
        <v>45915</v>
      </c>
      <c r="B3732" s="8" t="s">
        <v>56</v>
      </c>
      <c r="C3732" s="9" t="n">
        <v>2650</v>
      </c>
      <c r="D3732" s="8" t="s">
        <v>45</v>
      </c>
      <c r="E3732" s="10" t="s">
        <v>533</v>
      </c>
      <c r="F3732" s="8" t="str">
        <f aca="false">TEXT(A3732,"MM-YYYY")</f>
        <v>09-2025</v>
      </c>
      <c r="G3732" s="8" t="s">
        <v>14</v>
      </c>
      <c r="H3732" s="8"/>
      <c r="I3732" s="7"/>
      <c r="J3732" s="8" t="str">
        <f aca="false">VLOOKUP(B3732, Table3[#All], 2, FALSE())</f>
        <v>New Inventory</v>
      </c>
      <c r="K3732" s="8" t="str">
        <f aca="false">TEXT(ROW(), "0000")</f>
        <v>3732</v>
      </c>
      <c r="L3732" s="8"/>
    </row>
    <row r="3733" customFormat="false" ht="15.75" hidden="false" customHeight="true" outlineLevel="0" collapsed="false">
      <c r="A3733" s="7" t="n">
        <v>45915</v>
      </c>
      <c r="B3733" s="8" t="s">
        <v>56</v>
      </c>
      <c r="C3733" s="9" t="n">
        <v>220</v>
      </c>
      <c r="D3733" s="8" t="s">
        <v>45</v>
      </c>
      <c r="E3733" s="10" t="s">
        <v>534</v>
      </c>
      <c r="F3733" s="8" t="str">
        <f aca="false">TEXT(A3733,"MM-YYYY")</f>
        <v>09-2025</v>
      </c>
      <c r="G3733" s="8" t="s">
        <v>14</v>
      </c>
      <c r="H3733" s="8"/>
      <c r="I3733" s="7"/>
      <c r="J3733" s="8" t="str">
        <f aca="false">VLOOKUP(B3733, Table3[#All], 2, FALSE())</f>
        <v>New Inventory</v>
      </c>
      <c r="K3733" s="8" t="str">
        <f aca="false">TEXT(ROW(), "0000")</f>
        <v>3733</v>
      </c>
      <c r="L3733" s="8"/>
    </row>
    <row r="3734" customFormat="false" ht="15.75" hidden="false" customHeight="true" outlineLevel="0" collapsed="false">
      <c r="A3734" s="7" t="n">
        <v>45915</v>
      </c>
      <c r="B3734" s="8" t="s">
        <v>56</v>
      </c>
      <c r="C3734" s="9" t="n">
        <v>850</v>
      </c>
      <c r="D3734" s="8" t="s">
        <v>45</v>
      </c>
      <c r="E3734" s="10" t="s">
        <v>535</v>
      </c>
      <c r="F3734" s="8" t="str">
        <f aca="false">TEXT(A3734,"MM-YYYY")</f>
        <v>09-2025</v>
      </c>
      <c r="G3734" s="8" t="s">
        <v>14</v>
      </c>
      <c r="H3734" s="8"/>
      <c r="I3734" s="7"/>
      <c r="J3734" s="8" t="str">
        <f aca="false">VLOOKUP(B3734, Table3[#All], 2, FALSE())</f>
        <v>New Inventory</v>
      </c>
      <c r="K3734" s="8" t="str">
        <f aca="false">TEXT(ROW(), "0000")</f>
        <v>3734</v>
      </c>
      <c r="L3734" s="8"/>
    </row>
    <row r="3735" customFormat="false" ht="15.75" hidden="false" customHeight="true" outlineLevel="0" collapsed="false">
      <c r="A3735" s="7" t="n">
        <v>45915</v>
      </c>
      <c r="B3735" s="8" t="s">
        <v>36</v>
      </c>
      <c r="C3735" s="9" t="n">
        <v>210</v>
      </c>
      <c r="D3735" s="8" t="s">
        <v>45</v>
      </c>
      <c r="E3735" s="10" t="s">
        <v>487</v>
      </c>
      <c r="F3735" s="8" t="str">
        <f aca="false">TEXT(A3735,"MM-YYYY")</f>
        <v>09-2025</v>
      </c>
      <c r="G3735" s="8" t="s">
        <v>14</v>
      </c>
      <c r="H3735" s="8"/>
      <c r="I3735" s="7"/>
      <c r="J3735" s="8" t="str">
        <f aca="false">VLOOKUP(B3735, Table3[#All], 2, FALSE())</f>
        <v>Maintance</v>
      </c>
      <c r="K3735" s="8" t="str">
        <f aca="false">TEXT(ROW(), "0000")</f>
        <v>3735</v>
      </c>
      <c r="L3735" s="8"/>
    </row>
    <row r="3736" customFormat="false" ht="15.75" hidden="false" customHeight="true" outlineLevel="0" collapsed="false">
      <c r="A3736" s="7" t="n">
        <v>45915</v>
      </c>
      <c r="B3736" s="8" t="s">
        <v>51</v>
      </c>
      <c r="C3736" s="9" t="n">
        <v>180</v>
      </c>
      <c r="D3736" s="8" t="s">
        <v>45</v>
      </c>
      <c r="E3736" s="10" t="s">
        <v>536</v>
      </c>
      <c r="F3736" s="8" t="str">
        <f aca="false">TEXT(A3736,"MM-YYYY")</f>
        <v>09-2025</v>
      </c>
      <c r="G3736" s="8" t="s">
        <v>14</v>
      </c>
      <c r="H3736" s="8"/>
      <c r="I3736" s="7"/>
      <c r="J3736" s="8" t="str">
        <f aca="false">VLOOKUP(B3736, Table3[#All], 2, FALSE())</f>
        <v>Inventory</v>
      </c>
      <c r="K3736" s="8" t="str">
        <f aca="false">TEXT(ROW(), "0000")</f>
        <v>3736</v>
      </c>
      <c r="L3736" s="8"/>
    </row>
    <row r="3737" customFormat="false" ht="15.75" hidden="false" customHeight="true" outlineLevel="0" collapsed="false">
      <c r="A3737" s="7" t="n">
        <v>45915</v>
      </c>
      <c r="B3737" s="8" t="s">
        <v>56</v>
      </c>
      <c r="C3737" s="9" t="n">
        <v>700</v>
      </c>
      <c r="D3737" s="8" t="s">
        <v>45</v>
      </c>
      <c r="E3737" s="10" t="s">
        <v>537</v>
      </c>
      <c r="F3737" s="8" t="str">
        <f aca="false">TEXT(A3737,"MM-YYYY")</f>
        <v>09-2025</v>
      </c>
      <c r="G3737" s="8" t="s">
        <v>14</v>
      </c>
      <c r="H3737" s="8"/>
      <c r="I3737" s="7"/>
      <c r="J3737" s="8" t="str">
        <f aca="false">VLOOKUP(B3737, Table3[#All], 2, FALSE())</f>
        <v>New Inventory</v>
      </c>
      <c r="K3737" s="8" t="str">
        <f aca="false">TEXT(ROW(), "0000")</f>
        <v>3737</v>
      </c>
      <c r="L3737" s="8"/>
    </row>
    <row r="3738" customFormat="false" ht="15.75" hidden="false" customHeight="true" outlineLevel="0" collapsed="false">
      <c r="A3738" s="7" t="n">
        <v>45915</v>
      </c>
      <c r="B3738" s="8" t="s">
        <v>56</v>
      </c>
      <c r="C3738" s="9" t="n">
        <v>320</v>
      </c>
      <c r="D3738" s="8" t="s">
        <v>45</v>
      </c>
      <c r="E3738" s="10" t="s">
        <v>538</v>
      </c>
      <c r="F3738" s="8" t="str">
        <f aca="false">TEXT(A3738,"MM-YYYY")</f>
        <v>09-2025</v>
      </c>
      <c r="G3738" s="8" t="s">
        <v>14</v>
      </c>
      <c r="H3738" s="8"/>
      <c r="I3738" s="7"/>
      <c r="J3738" s="8" t="str">
        <f aca="false">VLOOKUP(B3738, Table3[#All], 2, FALSE())</f>
        <v>New Inventory</v>
      </c>
      <c r="K3738" s="8" t="str">
        <f aca="false">TEXT(ROW(), "0000")</f>
        <v>3738</v>
      </c>
      <c r="L3738" s="8"/>
    </row>
    <row r="3739" customFormat="false" ht="15.75" hidden="false" customHeight="true" outlineLevel="0" collapsed="false">
      <c r="A3739" s="7" t="n">
        <v>45915</v>
      </c>
      <c r="B3739" s="8" t="s">
        <v>31</v>
      </c>
      <c r="C3739" s="9" t="n">
        <v>150</v>
      </c>
      <c r="D3739" s="8" t="s">
        <v>45</v>
      </c>
      <c r="E3739" s="10" t="s">
        <v>539</v>
      </c>
      <c r="F3739" s="8" t="str">
        <f aca="false">TEXT(A3739,"MM-YYYY")</f>
        <v>09-2025</v>
      </c>
      <c r="G3739" s="8" t="s">
        <v>14</v>
      </c>
      <c r="H3739" s="8"/>
      <c r="I3739" s="7"/>
      <c r="J3739" s="8" t="str">
        <f aca="false">VLOOKUP(B3739, Table3[#All], 2, FALSE())</f>
        <v>Bike Maintance</v>
      </c>
      <c r="K3739" s="8" t="str">
        <f aca="false">TEXT(ROW(), "0000")</f>
        <v>3739</v>
      </c>
      <c r="L3739" s="8"/>
    </row>
    <row r="3740" customFormat="false" ht="15.75" hidden="false" customHeight="true" outlineLevel="0" collapsed="false">
      <c r="A3740" s="7" t="n">
        <v>45915</v>
      </c>
      <c r="B3740" s="8" t="s">
        <v>56</v>
      </c>
      <c r="C3740" s="9" t="n">
        <v>130</v>
      </c>
      <c r="D3740" s="8" t="s">
        <v>45</v>
      </c>
      <c r="E3740" s="10" t="s">
        <v>540</v>
      </c>
      <c r="F3740" s="8" t="str">
        <f aca="false">TEXT(A3740,"MM-YYYY")</f>
        <v>09-2025</v>
      </c>
      <c r="G3740" s="8" t="s">
        <v>14</v>
      </c>
      <c r="H3740" s="8"/>
      <c r="I3740" s="7"/>
      <c r="J3740" s="8" t="str">
        <f aca="false">VLOOKUP(B3740, Table3[#All], 2, FALSE())</f>
        <v>New Inventory</v>
      </c>
      <c r="K3740" s="8" t="str">
        <f aca="false">TEXT(ROW(), "0000")</f>
        <v>3740</v>
      </c>
      <c r="L3740" s="8"/>
    </row>
    <row r="3741" customFormat="false" ht="15.75" hidden="false" customHeight="true" outlineLevel="0" collapsed="false">
      <c r="A3741" s="7" t="n">
        <v>45915</v>
      </c>
      <c r="B3741" s="8" t="s">
        <v>37</v>
      </c>
      <c r="C3741" s="9" t="n">
        <v>15</v>
      </c>
      <c r="D3741" s="8" t="s">
        <v>21</v>
      </c>
      <c r="E3741" s="10" t="s">
        <v>420</v>
      </c>
      <c r="F3741" s="8" t="str">
        <f aca="false">TEXT(A3741,"MM-YYYY")</f>
        <v>09-2025</v>
      </c>
      <c r="G3741" s="8" t="s">
        <v>14</v>
      </c>
      <c r="H3741" s="8"/>
      <c r="I3741" s="7"/>
      <c r="J3741" s="8" t="str">
        <f aca="false">VLOOKUP(B3741, Table3[#All], 2, FALSE())</f>
        <v>Maintance</v>
      </c>
      <c r="K3741" s="8" t="str">
        <f aca="false">TEXT(ROW(), "0000")</f>
        <v>3741</v>
      </c>
      <c r="L3741" s="8"/>
    </row>
    <row r="3742" customFormat="false" ht="15.75" hidden="false" customHeight="true" outlineLevel="0" collapsed="false">
      <c r="A3742" s="7" t="n">
        <v>45915</v>
      </c>
      <c r="B3742" s="8" t="s">
        <v>29</v>
      </c>
      <c r="C3742" s="9" t="n">
        <v>10</v>
      </c>
      <c r="D3742" s="8" t="s">
        <v>21</v>
      </c>
      <c r="E3742" s="10" t="s">
        <v>65</v>
      </c>
      <c r="F3742" s="8" t="str">
        <f aca="false">TEXT(A3742,"MM-YYYY")</f>
        <v>09-2025</v>
      </c>
      <c r="G3742" s="8" t="s">
        <v>14</v>
      </c>
      <c r="H3742" s="8"/>
      <c r="I3742" s="7"/>
      <c r="J3742" s="8" t="str">
        <f aca="false">VLOOKUP(B3742, Table3[#All], 2, FALSE())</f>
        <v>Inventory</v>
      </c>
      <c r="K3742" s="8" t="str">
        <f aca="false">TEXT(ROW(), "0000")</f>
        <v>3742</v>
      </c>
      <c r="L3742" s="8"/>
    </row>
    <row r="3743" customFormat="false" ht="15.75" hidden="false" customHeight="true" outlineLevel="0" collapsed="false">
      <c r="A3743" s="7" t="n">
        <v>45915</v>
      </c>
      <c r="B3743" s="8" t="s">
        <v>29</v>
      </c>
      <c r="C3743" s="9" t="n">
        <v>368</v>
      </c>
      <c r="D3743" s="8" t="s">
        <v>13</v>
      </c>
      <c r="E3743" s="10" t="s">
        <v>490</v>
      </c>
      <c r="F3743" s="8" t="str">
        <f aca="false">TEXT(A3743,"MM-YYYY")</f>
        <v>09-2025</v>
      </c>
      <c r="G3743" s="8" t="s">
        <v>18</v>
      </c>
      <c r="H3743" s="8"/>
      <c r="I3743" s="7"/>
      <c r="J3743" s="8" t="str">
        <f aca="false">VLOOKUP(B3743, Table3[#All], 2, FALSE())</f>
        <v>Inventory</v>
      </c>
      <c r="K3743" s="8" t="str">
        <f aca="false">TEXT(ROW(), "0000")</f>
        <v>3743</v>
      </c>
      <c r="L3743" s="8"/>
    </row>
    <row r="3744" customFormat="false" ht="15.75" hidden="false" customHeight="true" outlineLevel="0" collapsed="false">
      <c r="A3744" s="7" t="n">
        <v>45915</v>
      </c>
      <c r="B3744" s="8" t="s">
        <v>53</v>
      </c>
      <c r="C3744" s="9" t="n">
        <v>1200</v>
      </c>
      <c r="D3744" s="8" t="s">
        <v>21</v>
      </c>
      <c r="E3744" s="10" t="s">
        <v>541</v>
      </c>
      <c r="F3744" s="8" t="str">
        <f aca="false">TEXT(A3744,"MM-YYYY")</f>
        <v>09-2025</v>
      </c>
      <c r="G3744" s="8" t="s">
        <v>14</v>
      </c>
      <c r="H3744" s="8"/>
      <c r="I3744" s="7" t="n">
        <v>45915</v>
      </c>
      <c r="J3744" s="8" t="str">
        <f aca="false">VLOOKUP(B3744, Table3[#All], 2, FALSE())</f>
        <v>Grocery</v>
      </c>
      <c r="K3744" s="8" t="str">
        <f aca="false">TEXT(ROW(), "0000")</f>
        <v>3744</v>
      </c>
      <c r="L3744" s="8"/>
    </row>
    <row r="3745" customFormat="false" ht="15.75" hidden="false" customHeight="true" outlineLevel="0" collapsed="false">
      <c r="A3745" s="7" t="n">
        <v>45915</v>
      </c>
      <c r="B3745" s="8" t="s">
        <v>16</v>
      </c>
      <c r="C3745" s="9" t="n">
        <v>1759</v>
      </c>
      <c r="D3745" s="8" t="s">
        <v>21</v>
      </c>
      <c r="E3745" s="10" t="s">
        <v>88</v>
      </c>
      <c r="F3745" s="8" t="str">
        <f aca="false">TEXT(A3745,"MM-YYYY")</f>
        <v>09-2025</v>
      </c>
      <c r="G3745" s="8"/>
      <c r="H3745" s="8"/>
      <c r="I3745" s="7"/>
      <c r="J3745" s="8" t="str">
        <f aca="false">VLOOKUP(B3745, Table3[#All], 2, FALSE())</f>
        <v>Sales</v>
      </c>
      <c r="K3745" s="8" t="str">
        <f aca="false">TEXT(ROW(), "0000")</f>
        <v>3745</v>
      </c>
      <c r="L3745" s="8"/>
    </row>
    <row r="3746" customFormat="false" ht="15.75" hidden="false" customHeight="true" outlineLevel="0" collapsed="false">
      <c r="A3746" s="7" t="n">
        <v>45915</v>
      </c>
      <c r="B3746" s="8" t="s">
        <v>16</v>
      </c>
      <c r="C3746" s="9" t="n">
        <v>690</v>
      </c>
      <c r="D3746" s="8" t="s">
        <v>33</v>
      </c>
      <c r="E3746" s="10" t="s">
        <v>88</v>
      </c>
      <c r="F3746" s="8" t="str">
        <f aca="false">TEXT(A3746,"MM-YYYY")</f>
        <v>09-2025</v>
      </c>
      <c r="G3746" s="8"/>
      <c r="H3746" s="8"/>
      <c r="I3746" s="7"/>
      <c r="J3746" s="8" t="str">
        <f aca="false">VLOOKUP(B3746, Table3[#All], 2, FALSE())</f>
        <v>Sales</v>
      </c>
      <c r="K3746" s="8" t="str">
        <f aca="false">TEXT(ROW(), "0000")</f>
        <v>3746</v>
      </c>
      <c r="L3746" s="8"/>
    </row>
    <row r="3747" customFormat="false" ht="15.75" hidden="false" customHeight="true" outlineLevel="0" collapsed="false">
      <c r="A3747" s="7" t="n">
        <v>45915</v>
      </c>
      <c r="B3747" s="8" t="s">
        <v>16</v>
      </c>
      <c r="C3747" s="9" t="n">
        <v>450</v>
      </c>
      <c r="D3747" s="8" t="s">
        <v>59</v>
      </c>
      <c r="E3747" s="10" t="s">
        <v>88</v>
      </c>
      <c r="F3747" s="8" t="str">
        <f aca="false">TEXT(A3747,"MM-YYYY")</f>
        <v>09-2025</v>
      </c>
      <c r="G3747" s="8"/>
      <c r="H3747" s="8"/>
      <c r="I3747" s="7"/>
      <c r="J3747" s="8" t="str">
        <f aca="false">VLOOKUP(B3747, Table3[#All], 2, FALSE())</f>
        <v>Sales</v>
      </c>
      <c r="K3747" s="8" t="str">
        <f aca="false">TEXT(ROW(), "0000")</f>
        <v>3747</v>
      </c>
      <c r="L3747" s="8"/>
    </row>
    <row r="3748" customFormat="false" ht="15.75" hidden="false" customHeight="true" outlineLevel="0" collapsed="false">
      <c r="A3748" s="7" t="n">
        <v>45915</v>
      </c>
      <c r="B3748" s="8" t="s">
        <v>16</v>
      </c>
      <c r="C3748" s="9" t="n">
        <v>9184</v>
      </c>
      <c r="D3748" s="8" t="s">
        <v>17</v>
      </c>
      <c r="E3748" s="10" t="s">
        <v>88</v>
      </c>
      <c r="F3748" s="8" t="str">
        <f aca="false">TEXT(A3748,"MM-YYYY")</f>
        <v>09-2025</v>
      </c>
      <c r="G3748" s="8"/>
      <c r="H3748" s="8"/>
      <c r="I3748" s="7"/>
      <c r="J3748" s="8" t="str">
        <f aca="false">VLOOKUP(B3748, Table3[#All], 2, FALSE())</f>
        <v>Sales</v>
      </c>
      <c r="K3748" s="8" t="str">
        <f aca="false">TEXT(ROW(), "0000")</f>
        <v>3748</v>
      </c>
      <c r="L3748" s="8"/>
    </row>
    <row r="3749" customFormat="false" ht="15.75" hidden="false" customHeight="true" outlineLevel="0" collapsed="false">
      <c r="A3749" s="7" t="n">
        <v>45915</v>
      </c>
      <c r="B3749" s="8" t="s">
        <v>16</v>
      </c>
      <c r="C3749" s="9" t="n">
        <v>1936</v>
      </c>
      <c r="D3749" s="8" t="s">
        <v>24</v>
      </c>
      <c r="E3749" s="10" t="s">
        <v>88</v>
      </c>
      <c r="F3749" s="8" t="str">
        <f aca="false">TEXT(A3749,"MM-YYYY")</f>
        <v>09-2025</v>
      </c>
      <c r="G3749" s="8"/>
      <c r="H3749" s="8"/>
      <c r="I3749" s="7"/>
      <c r="J3749" s="8" t="str">
        <f aca="false">VLOOKUP(B3749, Table3[#All], 2, FALSE())</f>
        <v>Sales</v>
      </c>
      <c r="K3749" s="8" t="str">
        <f aca="false">TEXT(ROW(), "0000")</f>
        <v>3749</v>
      </c>
      <c r="L3749" s="8"/>
    </row>
    <row r="3750" customFormat="false" ht="15.75" hidden="false" customHeight="true" outlineLevel="0" collapsed="false">
      <c r="A3750" s="7" t="n">
        <v>45914</v>
      </c>
      <c r="B3750" s="8" t="s">
        <v>19</v>
      </c>
      <c r="C3750" s="9" t="n">
        <v>2872</v>
      </c>
      <c r="D3750" s="8" t="s">
        <v>13</v>
      </c>
      <c r="E3750" s="10" t="s">
        <v>473</v>
      </c>
      <c r="F3750" s="8" t="str">
        <f aca="false">TEXT(A3750,"MM-YYYY")</f>
        <v>09-2025</v>
      </c>
      <c r="G3750" s="8" t="s">
        <v>14</v>
      </c>
      <c r="H3750" s="8"/>
      <c r="I3750" s="7"/>
      <c r="J3750" s="8" t="str">
        <f aca="false">VLOOKUP(B3750, Table3[#All], 2, FALSE())</f>
        <v>Inventory</v>
      </c>
      <c r="K3750" s="8" t="str">
        <f aca="false">TEXT(ROW(), "0000")</f>
        <v>3750</v>
      </c>
      <c r="L3750" s="8"/>
    </row>
    <row r="3751" customFormat="false" ht="15.75" hidden="false" customHeight="true" outlineLevel="0" collapsed="false">
      <c r="A3751" s="7" t="n">
        <v>45915</v>
      </c>
      <c r="B3751" s="8" t="s">
        <v>16</v>
      </c>
      <c r="C3751" s="9" t="n">
        <v>370</v>
      </c>
      <c r="D3751" s="8" t="s">
        <v>70</v>
      </c>
      <c r="E3751" s="10" t="s">
        <v>88</v>
      </c>
      <c r="F3751" s="8" t="str">
        <f aca="false">TEXT(A3751,"MM-YYYY")</f>
        <v>09-2025</v>
      </c>
      <c r="G3751" s="8"/>
      <c r="H3751" s="8"/>
      <c r="I3751" s="7"/>
      <c r="J3751" s="8" t="str">
        <f aca="false">VLOOKUP(B3751, Table3[#All], 2, FALSE())</f>
        <v>Sales</v>
      </c>
      <c r="K3751" s="8" t="str">
        <f aca="false">TEXT(ROW(), "0000")</f>
        <v>3751</v>
      </c>
      <c r="L3751" s="8"/>
    </row>
    <row r="3752" customFormat="false" ht="15.75" hidden="false" customHeight="true" outlineLevel="0" collapsed="false">
      <c r="A3752" s="7" t="n">
        <v>45916</v>
      </c>
      <c r="B3752" s="8" t="s">
        <v>19</v>
      </c>
      <c r="C3752" s="9" t="n">
        <v>2396</v>
      </c>
      <c r="D3752" s="8" t="s">
        <v>13</v>
      </c>
      <c r="E3752" s="10" t="s">
        <v>473</v>
      </c>
      <c r="F3752" s="8" t="str">
        <f aca="false">TEXT(A3752,"MM-YYYY")</f>
        <v>09-2025</v>
      </c>
      <c r="G3752" s="8" t="s">
        <v>14</v>
      </c>
      <c r="H3752" s="8"/>
      <c r="I3752" s="7"/>
      <c r="J3752" s="8" t="str">
        <f aca="false">VLOOKUP(B3752, Table3[#All], 2, FALSE())</f>
        <v>Inventory</v>
      </c>
      <c r="K3752" s="8" t="str">
        <f aca="false">TEXT(ROW(), "0000")</f>
        <v>3752</v>
      </c>
      <c r="L3752" s="8"/>
    </row>
    <row r="3753" customFormat="false" ht="15.75" hidden="false" customHeight="true" outlineLevel="0" collapsed="false">
      <c r="A3753" s="7" t="n">
        <v>45916</v>
      </c>
      <c r="B3753" s="8" t="s">
        <v>51</v>
      </c>
      <c r="C3753" s="9" t="n">
        <v>2060</v>
      </c>
      <c r="D3753" s="8" t="s">
        <v>13</v>
      </c>
      <c r="E3753" s="10" t="s">
        <v>51</v>
      </c>
      <c r="F3753" s="8" t="str">
        <f aca="false">TEXT(A3753,"MM-YYYY")</f>
        <v>09-2025</v>
      </c>
      <c r="G3753" s="8" t="s">
        <v>14</v>
      </c>
      <c r="H3753" s="8" t="s">
        <v>13</v>
      </c>
      <c r="I3753" s="7" t="n">
        <v>45916</v>
      </c>
      <c r="J3753" s="8" t="str">
        <f aca="false">VLOOKUP(B3753, Table3[#All], 2, FALSE())</f>
        <v>Inventory</v>
      </c>
      <c r="K3753" s="8" t="str">
        <f aca="false">TEXT(ROW(), "0000")</f>
        <v>3753</v>
      </c>
      <c r="L3753" s="8"/>
    </row>
    <row r="3754" customFormat="false" ht="15.75" hidden="false" customHeight="true" outlineLevel="0" collapsed="false">
      <c r="A3754" s="7" t="n">
        <v>45916</v>
      </c>
      <c r="B3754" s="8" t="s">
        <v>25</v>
      </c>
      <c r="C3754" s="9" t="n">
        <v>550</v>
      </c>
      <c r="D3754" s="8" t="s">
        <v>13</v>
      </c>
      <c r="E3754" s="10" t="s">
        <v>92</v>
      </c>
      <c r="F3754" s="8" t="str">
        <f aca="false">TEXT(A3754,"MM-YYYY")</f>
        <v>09-2025</v>
      </c>
      <c r="G3754" s="8" t="s">
        <v>18</v>
      </c>
      <c r="H3754" s="8"/>
      <c r="I3754" s="7"/>
      <c r="J3754" s="8" t="str">
        <f aca="false">VLOOKUP(B3754, Table3[#All], 2, FALSE())</f>
        <v>Inventory</v>
      </c>
      <c r="K3754" s="8" t="str">
        <f aca="false">TEXT(ROW(), "0000")</f>
        <v>3754</v>
      </c>
      <c r="L3754" s="8"/>
    </row>
    <row r="3755" customFormat="false" ht="15.75" hidden="false" customHeight="true" outlineLevel="0" collapsed="false">
      <c r="A3755" s="7" t="n">
        <v>45915</v>
      </c>
      <c r="B3755" s="8" t="s">
        <v>25</v>
      </c>
      <c r="C3755" s="9" t="n">
        <v>969</v>
      </c>
      <c r="D3755" s="8" t="s">
        <v>13</v>
      </c>
      <c r="E3755" s="10" t="s">
        <v>92</v>
      </c>
      <c r="F3755" s="8" t="str">
        <f aca="false">TEXT(A3755,"MM-YYYY")</f>
        <v>09-2025</v>
      </c>
      <c r="G3755" s="8" t="s">
        <v>18</v>
      </c>
      <c r="H3755" s="8"/>
      <c r="I3755" s="7"/>
      <c r="J3755" s="8" t="str">
        <f aca="false">VLOOKUP(B3755, Table3[#All], 2, FALSE())</f>
        <v>Inventory</v>
      </c>
      <c r="K3755" s="8" t="str">
        <f aca="false">TEXT(ROW(), "0000")</f>
        <v>3755</v>
      </c>
      <c r="L3755" s="8"/>
    </row>
    <row r="3756" customFormat="false" ht="15.75" hidden="false" customHeight="true" outlineLevel="0" collapsed="false">
      <c r="A3756" s="7" t="n">
        <v>45916</v>
      </c>
      <c r="B3756" s="8" t="s">
        <v>56</v>
      </c>
      <c r="C3756" s="9" t="n">
        <v>1400</v>
      </c>
      <c r="D3756" s="8" t="s">
        <v>21</v>
      </c>
      <c r="E3756" s="10" t="s">
        <v>190</v>
      </c>
      <c r="F3756" s="8" t="str">
        <f aca="false">TEXT(A3756,"MM-YYYY")</f>
        <v>09-2025</v>
      </c>
      <c r="G3756" s="8" t="s">
        <v>14</v>
      </c>
      <c r="H3756" s="8" t="s">
        <v>15</v>
      </c>
      <c r="I3756" s="7" t="n">
        <v>45916</v>
      </c>
      <c r="J3756" s="8" t="str">
        <f aca="false">VLOOKUP(B3756, Table3[#All], 2, FALSE())</f>
        <v>New Inventory</v>
      </c>
      <c r="K3756" s="8" t="str">
        <f aca="false">TEXT(ROW(), "0000")</f>
        <v>3756</v>
      </c>
      <c r="L3756" s="8"/>
    </row>
    <row r="3757" customFormat="false" ht="15.75" hidden="false" customHeight="true" outlineLevel="0" collapsed="false">
      <c r="A3757" s="7" t="n">
        <v>45916</v>
      </c>
      <c r="B3757" s="8" t="s">
        <v>202</v>
      </c>
      <c r="C3757" s="9" t="n">
        <v>1055</v>
      </c>
      <c r="D3757" s="8" t="s">
        <v>45</v>
      </c>
      <c r="E3757" s="10" t="s">
        <v>487</v>
      </c>
      <c r="F3757" s="8" t="str">
        <f aca="false">TEXT(A3757,"MM-YYYY")</f>
        <v>09-2025</v>
      </c>
      <c r="G3757" s="8" t="s">
        <v>14</v>
      </c>
      <c r="H3757" s="8"/>
      <c r="I3757" s="7"/>
      <c r="J3757" s="8" t="str">
        <f aca="false">VLOOKUP(B3757, Table3[#All], 2, FALSE())</f>
        <v>Maintance</v>
      </c>
      <c r="K3757" s="8" t="str">
        <f aca="false">TEXT(ROW(), "0000")</f>
        <v>3757</v>
      </c>
      <c r="L3757" s="8"/>
    </row>
    <row r="3758" customFormat="false" ht="15.75" hidden="false" customHeight="true" outlineLevel="0" collapsed="false">
      <c r="A3758" s="7" t="n">
        <v>45916</v>
      </c>
      <c r="B3758" s="8" t="s">
        <v>29</v>
      </c>
      <c r="C3758" s="9" t="n">
        <v>221</v>
      </c>
      <c r="D3758" s="8" t="s">
        <v>13</v>
      </c>
      <c r="E3758" s="10" t="s">
        <v>490</v>
      </c>
      <c r="F3758" s="8" t="str">
        <f aca="false">TEXT(A3758,"MM-YYYY")</f>
        <v>09-2025</v>
      </c>
      <c r="G3758" s="8" t="s">
        <v>18</v>
      </c>
      <c r="H3758" s="8"/>
      <c r="I3758" s="7"/>
      <c r="J3758" s="8" t="str">
        <f aca="false">VLOOKUP(B3758, Table3[#All], 2, FALSE())</f>
        <v>Inventory</v>
      </c>
      <c r="K3758" s="8" t="str">
        <f aca="false">TEXT(ROW(), "0000")</f>
        <v>3758</v>
      </c>
      <c r="L3758" s="8"/>
    </row>
    <row r="3759" customFormat="false" ht="15.75" hidden="false" customHeight="true" outlineLevel="0" collapsed="false">
      <c r="A3759" s="7" t="n">
        <v>45913</v>
      </c>
      <c r="B3759" s="8" t="s">
        <v>50</v>
      </c>
      <c r="C3759" s="9" t="n">
        <v>1593</v>
      </c>
      <c r="D3759" s="8" t="s">
        <v>13</v>
      </c>
      <c r="E3759" s="10" t="s">
        <v>263</v>
      </c>
      <c r="F3759" s="8" t="str">
        <f aca="false">TEXT(A3759,"MM-YYYY")</f>
        <v>09-2025</v>
      </c>
      <c r="G3759" s="8" t="s">
        <v>18</v>
      </c>
      <c r="H3759" s="8"/>
      <c r="I3759" s="7"/>
      <c r="J3759" s="8" t="str">
        <f aca="false">VLOOKUP(B3759, Table3[#All], 2, FALSE())</f>
        <v>Fixed Maintance</v>
      </c>
      <c r="K3759" s="8" t="str">
        <f aca="false">TEXT(ROW(), "0000")</f>
        <v>3759</v>
      </c>
      <c r="L3759" s="8"/>
    </row>
    <row r="3760" customFormat="false" ht="15.75" hidden="false" customHeight="true" outlineLevel="0" collapsed="false">
      <c r="A3760" s="7" t="n">
        <v>45914</v>
      </c>
      <c r="B3760" s="8" t="s">
        <v>50</v>
      </c>
      <c r="C3760" s="9" t="n">
        <v>1593</v>
      </c>
      <c r="D3760" s="8" t="s">
        <v>13</v>
      </c>
      <c r="E3760" s="10" t="s">
        <v>263</v>
      </c>
      <c r="F3760" s="8" t="str">
        <f aca="false">TEXT(A3760,"MM-YYYY")</f>
        <v>09-2025</v>
      </c>
      <c r="G3760" s="8" t="s">
        <v>18</v>
      </c>
      <c r="H3760" s="8"/>
      <c r="I3760" s="7"/>
      <c r="J3760" s="8" t="str">
        <f aca="false">VLOOKUP(B3760, Table3[#All], 2, FALSE())</f>
        <v>Fixed Maintance</v>
      </c>
      <c r="K3760" s="8" t="str">
        <f aca="false">TEXT(ROW(), "0000")</f>
        <v>3760</v>
      </c>
      <c r="L3760" s="8"/>
    </row>
    <row r="3761" customFormat="false" ht="15.75" hidden="false" customHeight="true" outlineLevel="0" collapsed="false">
      <c r="A3761" s="7" t="n">
        <v>45915</v>
      </c>
      <c r="B3761" s="8" t="s">
        <v>50</v>
      </c>
      <c r="C3761" s="9" t="n">
        <v>1593</v>
      </c>
      <c r="D3761" s="8" t="s">
        <v>13</v>
      </c>
      <c r="E3761" s="10" t="s">
        <v>263</v>
      </c>
      <c r="F3761" s="8" t="str">
        <f aca="false">TEXT(A3761,"MM-YYYY")</f>
        <v>09-2025</v>
      </c>
      <c r="G3761" s="8" t="s">
        <v>18</v>
      </c>
      <c r="H3761" s="8"/>
      <c r="I3761" s="7"/>
      <c r="J3761" s="8" t="str">
        <f aca="false">VLOOKUP(B3761, Table3[#All], 2, FALSE())</f>
        <v>Fixed Maintance</v>
      </c>
      <c r="K3761" s="8" t="str">
        <f aca="false">TEXT(ROW(), "0000")</f>
        <v>3761</v>
      </c>
      <c r="L3761" s="8"/>
    </row>
    <row r="3762" customFormat="false" ht="15.75" hidden="false" customHeight="true" outlineLevel="0" collapsed="false">
      <c r="A3762" s="7" t="n">
        <v>45916</v>
      </c>
      <c r="B3762" s="8" t="s">
        <v>16</v>
      </c>
      <c r="C3762" s="9" t="n">
        <v>2790</v>
      </c>
      <c r="D3762" s="8" t="s">
        <v>21</v>
      </c>
      <c r="E3762" s="10" t="s">
        <v>88</v>
      </c>
      <c r="F3762" s="8" t="str">
        <f aca="false">TEXT(A3762,"MM-YYYY")</f>
        <v>09-2025</v>
      </c>
      <c r="G3762" s="8"/>
      <c r="H3762" s="8"/>
      <c r="I3762" s="7"/>
      <c r="J3762" s="8" t="str">
        <f aca="false">VLOOKUP(B3762, Table3[#All], 2, FALSE())</f>
        <v>Sales</v>
      </c>
      <c r="K3762" s="8" t="str">
        <f aca="false">TEXT(ROW(), "0000")</f>
        <v>3762</v>
      </c>
      <c r="L3762" s="8"/>
    </row>
    <row r="3763" customFormat="false" ht="15.75" hidden="false" customHeight="true" outlineLevel="0" collapsed="false">
      <c r="A3763" s="7" t="n">
        <v>45916</v>
      </c>
      <c r="B3763" s="8" t="s">
        <v>16</v>
      </c>
      <c r="C3763" s="9" t="n">
        <v>250</v>
      </c>
      <c r="D3763" s="8" t="s">
        <v>70</v>
      </c>
      <c r="E3763" s="10" t="s">
        <v>88</v>
      </c>
      <c r="F3763" s="8" t="str">
        <f aca="false">TEXT(A3763,"MM-YYYY")</f>
        <v>09-2025</v>
      </c>
      <c r="G3763" s="8"/>
      <c r="H3763" s="8"/>
      <c r="I3763" s="7"/>
      <c r="J3763" s="8" t="str">
        <f aca="false">VLOOKUP(B3763, Table3[#All], 2, FALSE())</f>
        <v>Sales</v>
      </c>
      <c r="K3763" s="8" t="str">
        <f aca="false">TEXT(ROW(), "0000")</f>
        <v>3763</v>
      </c>
      <c r="L3763" s="8"/>
    </row>
    <row r="3764" customFormat="false" ht="15.75" hidden="false" customHeight="true" outlineLevel="0" collapsed="false">
      <c r="A3764" s="7" t="n">
        <v>45916</v>
      </c>
      <c r="B3764" s="8" t="s">
        <v>16</v>
      </c>
      <c r="C3764" s="9" t="n">
        <v>3370</v>
      </c>
      <c r="D3764" s="8" t="s">
        <v>33</v>
      </c>
      <c r="E3764" s="10" t="s">
        <v>88</v>
      </c>
      <c r="F3764" s="8" t="str">
        <f aca="false">TEXT(A3764,"MM-YYYY")</f>
        <v>09-2025</v>
      </c>
      <c r="G3764" s="8"/>
      <c r="H3764" s="8"/>
      <c r="I3764" s="7"/>
      <c r="J3764" s="8" t="str">
        <f aca="false">VLOOKUP(B3764, Table3[#All], 2, FALSE())</f>
        <v>Sales</v>
      </c>
      <c r="K3764" s="8" t="str">
        <f aca="false">TEXT(ROW(), "0000")</f>
        <v>3764</v>
      </c>
      <c r="L3764" s="8"/>
    </row>
    <row r="3765" customFormat="false" ht="15.75" hidden="false" customHeight="true" outlineLevel="0" collapsed="false">
      <c r="A3765" s="7" t="n">
        <v>45916</v>
      </c>
      <c r="B3765" s="8" t="s">
        <v>16</v>
      </c>
      <c r="C3765" s="9" t="n">
        <v>11350</v>
      </c>
      <c r="D3765" s="8" t="s">
        <v>17</v>
      </c>
      <c r="E3765" s="10" t="s">
        <v>88</v>
      </c>
      <c r="F3765" s="8" t="str">
        <f aca="false">TEXT(A3765,"MM-YYYY")</f>
        <v>09-2025</v>
      </c>
      <c r="G3765" s="8"/>
      <c r="H3765" s="8"/>
      <c r="I3765" s="7"/>
      <c r="J3765" s="8" t="str">
        <f aca="false">VLOOKUP(B3765, Table3[#All], 2, FALSE())</f>
        <v>Sales</v>
      </c>
      <c r="K3765" s="8" t="str">
        <f aca="false">TEXT(ROW(), "0000")</f>
        <v>3765</v>
      </c>
      <c r="L3765" s="8"/>
    </row>
    <row r="3766" customFormat="false" ht="15.75" hidden="false" customHeight="true" outlineLevel="0" collapsed="false">
      <c r="A3766" s="7" t="n">
        <v>45916</v>
      </c>
      <c r="B3766" s="8" t="s">
        <v>16</v>
      </c>
      <c r="C3766" s="9" t="n">
        <v>1455</v>
      </c>
      <c r="D3766" s="8" t="s">
        <v>24</v>
      </c>
      <c r="E3766" s="10" t="s">
        <v>88</v>
      </c>
      <c r="F3766" s="8" t="str">
        <f aca="false">TEXT(A3766,"MM-YYYY")</f>
        <v>09-2025</v>
      </c>
      <c r="G3766" s="8"/>
      <c r="H3766" s="8"/>
      <c r="I3766" s="7"/>
      <c r="J3766" s="8" t="str">
        <f aca="false">VLOOKUP(B3766, Table3[#All], 2, FALSE())</f>
        <v>Sales</v>
      </c>
      <c r="K3766" s="8" t="str">
        <f aca="false">TEXT(ROW(), "0000")</f>
        <v>3766</v>
      </c>
      <c r="L3766" s="8"/>
    </row>
    <row r="3767" customFormat="false" ht="15.75" hidden="false" customHeight="true" outlineLevel="0" collapsed="false">
      <c r="A3767" s="7" t="n">
        <v>45916</v>
      </c>
      <c r="B3767" s="8" t="s">
        <v>29</v>
      </c>
      <c r="C3767" s="9" t="n">
        <v>600</v>
      </c>
      <c r="D3767" s="8" t="s">
        <v>21</v>
      </c>
      <c r="E3767" s="10" t="s">
        <v>78</v>
      </c>
      <c r="F3767" s="8" t="str">
        <f aca="false">TEXT(A3767,"MM-YYYY")</f>
        <v>09-2025</v>
      </c>
      <c r="G3767" s="8" t="s">
        <v>14</v>
      </c>
      <c r="H3767" s="8" t="s">
        <v>15</v>
      </c>
      <c r="I3767" s="7" t="n">
        <v>45916</v>
      </c>
      <c r="J3767" s="8" t="str">
        <f aca="false">VLOOKUP(B3767, Table3[#All], 2, FALSE())</f>
        <v>Inventory</v>
      </c>
      <c r="K3767" s="8" t="str">
        <f aca="false">TEXT(ROW(), "0000")</f>
        <v>3767</v>
      </c>
      <c r="L3767" s="8"/>
    </row>
    <row r="3768" customFormat="false" ht="15.75" hidden="false" customHeight="true" outlineLevel="0" collapsed="false">
      <c r="A3768" s="7" t="n">
        <v>45916</v>
      </c>
      <c r="B3768" s="8" t="s">
        <v>16</v>
      </c>
      <c r="C3768" s="9" t="n">
        <v>1240</v>
      </c>
      <c r="D3768" s="8" t="s">
        <v>59</v>
      </c>
      <c r="E3768" s="10" t="s">
        <v>88</v>
      </c>
      <c r="F3768" s="8" t="str">
        <f aca="false">TEXT(A3768,"MM-YYYY")</f>
        <v>09-2025</v>
      </c>
      <c r="G3768" s="8"/>
      <c r="H3768" s="8"/>
      <c r="I3768" s="7"/>
      <c r="J3768" s="8" t="str">
        <f aca="false">VLOOKUP(B3768, Table3[#All], 2, FALSE())</f>
        <v>Sales</v>
      </c>
      <c r="K3768" s="8" t="str">
        <f aca="false">TEXT(ROW(), "0000")</f>
        <v>3768</v>
      </c>
      <c r="L3768" s="8"/>
    </row>
    <row r="3769" customFormat="false" ht="15.75" hidden="false" customHeight="true" outlineLevel="0" collapsed="false">
      <c r="A3769" s="7" t="n">
        <v>45916</v>
      </c>
      <c r="B3769" s="8" t="s">
        <v>31</v>
      </c>
      <c r="C3769" s="9" t="n">
        <v>300</v>
      </c>
      <c r="D3769" s="8" t="s">
        <v>21</v>
      </c>
      <c r="E3769" s="10" t="s">
        <v>542</v>
      </c>
      <c r="F3769" s="8" t="str">
        <f aca="false">TEXT(A3769,"MM-YYYY")</f>
        <v>09-2025</v>
      </c>
      <c r="G3769" s="8" t="s">
        <v>14</v>
      </c>
      <c r="H3769" s="8" t="s">
        <v>15</v>
      </c>
      <c r="I3769" s="7" t="n">
        <v>45916</v>
      </c>
      <c r="J3769" s="8" t="str">
        <f aca="false">VLOOKUP(B3769, Table3[#All], 2, FALSE())</f>
        <v>Bike Maintance</v>
      </c>
      <c r="K3769" s="8" t="str">
        <f aca="false">TEXT(ROW(), "0000")</f>
        <v>3769</v>
      </c>
      <c r="L3769" s="8"/>
    </row>
    <row r="3770" customFormat="false" ht="15.75" hidden="false" customHeight="true" outlineLevel="0" collapsed="false">
      <c r="A3770" s="7" t="n">
        <v>45916</v>
      </c>
      <c r="B3770" s="8" t="s">
        <v>34</v>
      </c>
      <c r="C3770" s="9" t="n">
        <v>26</v>
      </c>
      <c r="D3770" s="8" t="s">
        <v>21</v>
      </c>
      <c r="E3770" s="10" t="s">
        <v>540</v>
      </c>
      <c r="F3770" s="8" t="str">
        <f aca="false">TEXT(A3770,"MM-YYYY")</f>
        <v>09-2025</v>
      </c>
      <c r="G3770" s="8" t="s">
        <v>14</v>
      </c>
      <c r="H3770" s="8" t="s">
        <v>15</v>
      </c>
      <c r="I3770" s="7" t="n">
        <v>45916</v>
      </c>
      <c r="J3770" s="8" t="str">
        <f aca="false">VLOOKUP(B3770, Table3[#All], 2, FALSE())</f>
        <v>Staff Expenses</v>
      </c>
      <c r="K3770" s="8" t="str">
        <f aca="false">TEXT(ROW(), "0000")</f>
        <v>3770</v>
      </c>
      <c r="L3770" s="8"/>
    </row>
    <row r="3771" customFormat="false" ht="15.75" hidden="false" customHeight="true" outlineLevel="0" collapsed="false">
      <c r="A3771" s="7" t="n">
        <v>45917</v>
      </c>
      <c r="B3771" s="8" t="s">
        <v>19</v>
      </c>
      <c r="C3771" s="9" t="n">
        <v>3737</v>
      </c>
      <c r="D3771" s="8" t="s">
        <v>13</v>
      </c>
      <c r="E3771" s="10" t="s">
        <v>473</v>
      </c>
      <c r="F3771" s="8" t="str">
        <f aca="false">TEXT(A3771,"MM-YYYY")</f>
        <v>09-2025</v>
      </c>
      <c r="G3771" s="8" t="s">
        <v>14</v>
      </c>
      <c r="H3771" s="8"/>
      <c r="I3771" s="7"/>
      <c r="J3771" s="8" t="str">
        <f aca="false">VLOOKUP(B3771, Table3[#All], 2, FALSE())</f>
        <v>Inventory</v>
      </c>
      <c r="K3771" s="8" t="str">
        <f aca="false">TEXT(ROW(), "0000")</f>
        <v>3771</v>
      </c>
      <c r="L3771" s="8"/>
    </row>
    <row r="3772" customFormat="false" ht="15.75" hidden="false" customHeight="true" outlineLevel="0" collapsed="false">
      <c r="A3772" s="7" t="n">
        <v>45917</v>
      </c>
      <c r="B3772" s="8" t="s">
        <v>25</v>
      </c>
      <c r="C3772" s="9" t="n">
        <v>848</v>
      </c>
      <c r="D3772" s="8" t="s">
        <v>13</v>
      </c>
      <c r="E3772" s="10" t="s">
        <v>92</v>
      </c>
      <c r="F3772" s="8" t="str">
        <f aca="false">TEXT(A3772,"MM-YYYY")</f>
        <v>09-2025</v>
      </c>
      <c r="G3772" s="8" t="s">
        <v>18</v>
      </c>
      <c r="H3772" s="8"/>
      <c r="I3772" s="7"/>
      <c r="J3772" s="8" t="str">
        <f aca="false">VLOOKUP(B3772, Table3[#All], 2, FALSE())</f>
        <v>Inventory</v>
      </c>
      <c r="K3772" s="8" t="str">
        <f aca="false">TEXT(ROW(), "0000")</f>
        <v>3772</v>
      </c>
      <c r="L3772" s="8"/>
    </row>
    <row r="3773" customFormat="false" ht="15.75" hidden="false" customHeight="true" outlineLevel="0" collapsed="false">
      <c r="A3773" s="7" t="n">
        <v>45917</v>
      </c>
      <c r="B3773" s="8" t="s">
        <v>47</v>
      </c>
      <c r="C3773" s="9" t="n">
        <v>1800</v>
      </c>
      <c r="D3773" s="8" t="s">
        <v>13</v>
      </c>
      <c r="E3773" s="10" t="s">
        <v>484</v>
      </c>
      <c r="F3773" s="8" t="str">
        <f aca="false">TEXT(A3773,"MM-YYYY")</f>
        <v>09-2025</v>
      </c>
      <c r="G3773" s="8" t="s">
        <v>18</v>
      </c>
      <c r="H3773" s="8"/>
      <c r="I3773" s="7"/>
      <c r="J3773" s="8" t="str">
        <f aca="false">VLOOKUP(B3773, Table3[#All], 2, FALSE())</f>
        <v>Inventory</v>
      </c>
      <c r="K3773" s="8" t="str">
        <f aca="false">TEXT(ROW(), "0000")</f>
        <v>3773</v>
      </c>
      <c r="L3773" s="8"/>
    </row>
    <row r="3774" customFormat="false" ht="15.75" hidden="false" customHeight="true" outlineLevel="0" collapsed="false">
      <c r="A3774" s="7" t="n">
        <v>45917</v>
      </c>
      <c r="B3774" s="8" t="s">
        <v>197</v>
      </c>
      <c r="C3774" s="9" t="n">
        <v>1000</v>
      </c>
      <c r="D3774" s="8" t="s">
        <v>21</v>
      </c>
      <c r="E3774" s="10" t="s">
        <v>197</v>
      </c>
      <c r="F3774" s="8" t="str">
        <f aca="false">TEXT(A3774,"MM-YYYY")</f>
        <v>09-2025</v>
      </c>
      <c r="G3774" s="8" t="s">
        <v>14</v>
      </c>
      <c r="H3774" s="8" t="s">
        <v>15</v>
      </c>
      <c r="I3774" s="7" t="n">
        <v>45917</v>
      </c>
      <c r="J3774" s="8" t="str">
        <f aca="false">VLOOKUP(B3774, Table3[#All], 2, FALSE())</f>
        <v>Maintenance</v>
      </c>
      <c r="K3774" s="8" t="str">
        <f aca="false">TEXT(ROW(), "0000")</f>
        <v>3774</v>
      </c>
      <c r="L3774" s="8"/>
    </row>
    <row r="3775" customFormat="false" ht="15.75" hidden="false" customHeight="true" outlineLevel="0" collapsed="false">
      <c r="A3775" s="7" t="n">
        <v>45917</v>
      </c>
      <c r="B3775" s="8" t="s">
        <v>40</v>
      </c>
      <c r="C3775" s="9" t="n">
        <v>1480</v>
      </c>
      <c r="D3775" s="8" t="s">
        <v>13</v>
      </c>
      <c r="E3775" s="10" t="s">
        <v>46</v>
      </c>
      <c r="F3775" s="8" t="str">
        <f aca="false">TEXT(A3775,"MM-YYYY")</f>
        <v>09-2025</v>
      </c>
      <c r="G3775" s="8" t="s">
        <v>14</v>
      </c>
      <c r="H3775" s="8" t="s">
        <v>13</v>
      </c>
      <c r="I3775" s="7" t="n">
        <v>45917</v>
      </c>
      <c r="J3775" s="8" t="str">
        <f aca="false">VLOOKUP(B3775, Table3[#All], 2, FALSE())</f>
        <v>Inventory</v>
      </c>
      <c r="K3775" s="8" t="str">
        <f aca="false">TEXT(ROW(), "0000")</f>
        <v>3775</v>
      </c>
      <c r="L3775" s="8"/>
    </row>
    <row r="3776" customFormat="false" ht="15.75" hidden="false" customHeight="true" outlineLevel="0" collapsed="false">
      <c r="A3776" s="7" t="n">
        <v>45917</v>
      </c>
      <c r="B3776" s="8" t="s">
        <v>25</v>
      </c>
      <c r="C3776" s="9" t="n">
        <v>680</v>
      </c>
      <c r="D3776" s="8" t="s">
        <v>13</v>
      </c>
      <c r="E3776" s="10" t="s">
        <v>493</v>
      </c>
      <c r="F3776" s="8" t="str">
        <f aca="false">TEXT(A3776,"MM-YYYY")</f>
        <v>09-2025</v>
      </c>
      <c r="G3776" s="8" t="s">
        <v>14</v>
      </c>
      <c r="H3776" s="8" t="s">
        <v>13</v>
      </c>
      <c r="I3776" s="7" t="n">
        <v>45917</v>
      </c>
      <c r="J3776" s="8" t="str">
        <f aca="false">VLOOKUP(B3776, Table3[#All], 2, FALSE())</f>
        <v>Inventory</v>
      </c>
      <c r="K3776" s="8" t="str">
        <f aca="false">TEXT(ROW(), "0000")</f>
        <v>3776</v>
      </c>
      <c r="L3776" s="8"/>
    </row>
    <row r="3777" customFormat="false" ht="15.75" hidden="false" customHeight="true" outlineLevel="0" collapsed="false">
      <c r="A3777" s="7" t="n">
        <v>45917</v>
      </c>
      <c r="B3777" s="8" t="s">
        <v>22</v>
      </c>
      <c r="C3777" s="9" t="n">
        <v>1400</v>
      </c>
      <c r="D3777" s="8" t="s">
        <v>13</v>
      </c>
      <c r="E3777" s="10" t="s">
        <v>23</v>
      </c>
      <c r="F3777" s="8" t="str">
        <f aca="false">TEXT(A3777,"MM-YYYY")</f>
        <v>09-2025</v>
      </c>
      <c r="G3777" s="8" t="s">
        <v>18</v>
      </c>
      <c r="H3777" s="8"/>
      <c r="I3777" s="7"/>
      <c r="J3777" s="8" t="str">
        <f aca="false">VLOOKUP(B3777, Table3[#All], 2, FALSE())</f>
        <v>Inventory</v>
      </c>
      <c r="K3777" s="8" t="str">
        <f aca="false">TEXT(ROW(), "0000")</f>
        <v>3777</v>
      </c>
      <c r="L3777" s="8"/>
    </row>
    <row r="3778" customFormat="false" ht="15.75" hidden="false" customHeight="true" outlineLevel="0" collapsed="false">
      <c r="A3778" s="7" t="n">
        <v>45917</v>
      </c>
      <c r="B3778" s="8" t="s">
        <v>50</v>
      </c>
      <c r="C3778" s="9" t="n">
        <v>1593</v>
      </c>
      <c r="D3778" s="8" t="s">
        <v>13</v>
      </c>
      <c r="E3778" s="10" t="s">
        <v>263</v>
      </c>
      <c r="F3778" s="8" t="str">
        <f aca="false">TEXT(A3778,"MM-YYYY")</f>
        <v>09-2025</v>
      </c>
      <c r="G3778" s="8" t="s">
        <v>18</v>
      </c>
      <c r="H3778" s="8"/>
      <c r="I3778" s="7"/>
      <c r="J3778" s="8" t="str">
        <f aca="false">VLOOKUP(B3778, Table3[#All], 2, FALSE())</f>
        <v>Fixed Maintance</v>
      </c>
      <c r="K3778" s="8" t="str">
        <f aca="false">TEXT(ROW(), "0000")</f>
        <v>3778</v>
      </c>
      <c r="L3778" s="8"/>
    </row>
    <row r="3779" customFormat="false" ht="15.75" hidden="false" customHeight="true" outlineLevel="0" collapsed="false">
      <c r="A3779" s="7" t="n">
        <v>45917</v>
      </c>
      <c r="B3779" s="8" t="s">
        <v>16</v>
      </c>
      <c r="C3779" s="9" t="n">
        <v>2000</v>
      </c>
      <c r="D3779" s="8" t="s">
        <v>21</v>
      </c>
      <c r="E3779" s="10" t="s">
        <v>88</v>
      </c>
      <c r="F3779" s="8" t="str">
        <f aca="false">TEXT(A3779,"MM-YYYY")</f>
        <v>09-2025</v>
      </c>
      <c r="G3779" s="8"/>
      <c r="H3779" s="8"/>
      <c r="I3779" s="7"/>
      <c r="J3779" s="8" t="str">
        <f aca="false">VLOOKUP(B3779, Table3[#All], 2, FALSE())</f>
        <v>Sales</v>
      </c>
      <c r="K3779" s="8" t="str">
        <f aca="false">TEXT(ROW(), "0000")</f>
        <v>3779</v>
      </c>
      <c r="L3779" s="8"/>
    </row>
    <row r="3780" customFormat="false" ht="15.75" hidden="false" customHeight="true" outlineLevel="0" collapsed="false">
      <c r="A3780" s="7" t="n">
        <v>45917</v>
      </c>
      <c r="B3780" s="8" t="s">
        <v>16</v>
      </c>
      <c r="C3780" s="9" t="n">
        <v>1170</v>
      </c>
      <c r="D3780" s="8" t="s">
        <v>27</v>
      </c>
      <c r="E3780" s="10" t="s">
        <v>88</v>
      </c>
      <c r="F3780" s="8" t="str">
        <f aca="false">TEXT(A3780,"MM-YYYY")</f>
        <v>09-2025</v>
      </c>
      <c r="G3780" s="8"/>
      <c r="H3780" s="8"/>
      <c r="I3780" s="7"/>
      <c r="J3780" s="8" t="str">
        <f aca="false">VLOOKUP(B3780, Table3[#All], 2, FALSE())</f>
        <v>Sales</v>
      </c>
      <c r="K3780" s="8" t="str">
        <f aca="false">TEXT(ROW(), "0000")</f>
        <v>3780</v>
      </c>
      <c r="L3780" s="8"/>
    </row>
    <row r="3781" customFormat="false" ht="15.75" hidden="false" customHeight="true" outlineLevel="0" collapsed="false">
      <c r="A3781" s="7" t="n">
        <v>45917</v>
      </c>
      <c r="B3781" s="8" t="s">
        <v>16</v>
      </c>
      <c r="C3781" s="9" t="n">
        <v>880</v>
      </c>
      <c r="D3781" s="8" t="s">
        <v>70</v>
      </c>
      <c r="E3781" s="10" t="s">
        <v>88</v>
      </c>
      <c r="F3781" s="8" t="str">
        <f aca="false">TEXT(A3781,"MM-YYYY")</f>
        <v>09-2025</v>
      </c>
      <c r="G3781" s="8"/>
      <c r="H3781" s="8"/>
      <c r="I3781" s="7"/>
      <c r="J3781" s="8" t="str">
        <f aca="false">VLOOKUP(B3781, Table3[#All], 2, FALSE())</f>
        <v>Sales</v>
      </c>
      <c r="K3781" s="8" t="str">
        <f aca="false">TEXT(ROW(), "0000")</f>
        <v>3781</v>
      </c>
      <c r="L3781" s="8"/>
    </row>
    <row r="3782" customFormat="false" ht="15.75" hidden="false" customHeight="true" outlineLevel="0" collapsed="false">
      <c r="A3782" s="7" t="n">
        <v>45917</v>
      </c>
      <c r="B3782" s="8" t="s">
        <v>16</v>
      </c>
      <c r="C3782" s="9" t="n">
        <v>1590</v>
      </c>
      <c r="D3782" s="8" t="s">
        <v>33</v>
      </c>
      <c r="E3782" s="10" t="s">
        <v>88</v>
      </c>
      <c r="F3782" s="8" t="str">
        <f aca="false">TEXT(A3782,"MM-YYYY")</f>
        <v>09-2025</v>
      </c>
      <c r="G3782" s="8"/>
      <c r="H3782" s="8"/>
      <c r="I3782" s="7"/>
      <c r="J3782" s="8" t="str">
        <f aca="false">VLOOKUP(B3782, Table3[#All], 2, FALSE())</f>
        <v>Sales</v>
      </c>
      <c r="K3782" s="8" t="str">
        <f aca="false">TEXT(ROW(), "0000")</f>
        <v>3782</v>
      </c>
      <c r="L3782" s="8"/>
    </row>
    <row r="3783" customFormat="false" ht="15.75" hidden="false" customHeight="true" outlineLevel="0" collapsed="false">
      <c r="A3783" s="7" t="n">
        <v>45917</v>
      </c>
      <c r="B3783" s="8" t="s">
        <v>16</v>
      </c>
      <c r="C3783" s="9" t="n">
        <v>14615</v>
      </c>
      <c r="D3783" s="8" t="s">
        <v>17</v>
      </c>
      <c r="E3783" s="10" t="s">
        <v>88</v>
      </c>
      <c r="F3783" s="8" t="str">
        <f aca="false">TEXT(A3783,"MM-YYYY")</f>
        <v>09-2025</v>
      </c>
      <c r="G3783" s="8"/>
      <c r="H3783" s="8"/>
      <c r="I3783" s="7"/>
      <c r="J3783" s="8" t="str">
        <f aca="false">VLOOKUP(B3783, Table3[#All], 2, FALSE())</f>
        <v>Sales</v>
      </c>
      <c r="K3783" s="8" t="str">
        <f aca="false">TEXT(ROW(), "0000")</f>
        <v>3783</v>
      </c>
      <c r="L3783" s="8"/>
    </row>
    <row r="3784" customFormat="false" ht="15.75" hidden="false" customHeight="true" outlineLevel="0" collapsed="false">
      <c r="A3784" s="7" t="n">
        <v>45917</v>
      </c>
      <c r="B3784" s="8" t="s">
        <v>16</v>
      </c>
      <c r="C3784" s="9" t="n">
        <v>710</v>
      </c>
      <c r="D3784" s="8" t="s">
        <v>59</v>
      </c>
      <c r="E3784" s="10" t="s">
        <v>88</v>
      </c>
      <c r="F3784" s="8" t="str">
        <f aca="false">TEXT(A3784,"MM-YYYY")</f>
        <v>09-2025</v>
      </c>
      <c r="G3784" s="8"/>
      <c r="H3784" s="8"/>
      <c r="I3784" s="7"/>
      <c r="J3784" s="8" t="str">
        <f aca="false">VLOOKUP(B3784, Table3[#All], 2, FALSE())</f>
        <v>Sales</v>
      </c>
      <c r="K3784" s="8" t="str">
        <f aca="false">TEXT(ROW(), "0000")</f>
        <v>3784</v>
      </c>
      <c r="L3784" s="8"/>
    </row>
    <row r="3785" customFormat="false" ht="15.75" hidden="false" customHeight="true" outlineLevel="0" collapsed="false">
      <c r="A3785" s="7" t="n">
        <v>45917</v>
      </c>
      <c r="B3785" s="8" t="s">
        <v>16</v>
      </c>
      <c r="C3785" s="9" t="n">
        <v>496</v>
      </c>
      <c r="D3785" s="8" t="s">
        <v>24</v>
      </c>
      <c r="E3785" s="10" t="s">
        <v>88</v>
      </c>
      <c r="F3785" s="8" t="str">
        <f aca="false">TEXT(A3785,"MM-YYYY")</f>
        <v>09-2025</v>
      </c>
      <c r="G3785" s="8"/>
      <c r="H3785" s="8"/>
      <c r="I3785" s="7"/>
      <c r="J3785" s="8" t="str">
        <f aca="false">VLOOKUP(B3785, Table3[#All], 2, FALSE())</f>
        <v>Sales</v>
      </c>
      <c r="K3785" s="8" t="str">
        <f aca="false">TEXT(ROW(), "0000")</f>
        <v>3785</v>
      </c>
      <c r="L3785" s="8"/>
    </row>
    <row r="3786" customFormat="false" ht="15.75" hidden="false" customHeight="true" outlineLevel="0" collapsed="false">
      <c r="A3786" s="7" t="n">
        <v>45917</v>
      </c>
      <c r="B3786" s="8" t="s">
        <v>34</v>
      </c>
      <c r="C3786" s="9" t="n">
        <v>100</v>
      </c>
      <c r="D3786" s="8" t="s">
        <v>45</v>
      </c>
      <c r="E3786" s="10" t="s">
        <v>540</v>
      </c>
      <c r="F3786" s="8" t="str">
        <f aca="false">TEXT(A3786,"MM-YYYY")</f>
        <v>09-2025</v>
      </c>
      <c r="G3786" s="8" t="s">
        <v>14</v>
      </c>
      <c r="H3786" s="8" t="s">
        <v>232</v>
      </c>
      <c r="I3786" s="7" t="n">
        <v>45917</v>
      </c>
      <c r="J3786" s="8" t="str">
        <f aca="false">VLOOKUP(B3786, Table3[#All], 2, FALSE())</f>
        <v>Staff Expenses</v>
      </c>
      <c r="K3786" s="8" t="str">
        <f aca="false">TEXT(ROW(), "0000")</f>
        <v>3786</v>
      </c>
      <c r="L3786" s="8"/>
    </row>
    <row r="3787" customFormat="false" ht="15.75" hidden="false" customHeight="true" outlineLevel="0" collapsed="false">
      <c r="A3787" s="7" t="n">
        <v>45918</v>
      </c>
      <c r="B3787" s="8" t="s">
        <v>19</v>
      </c>
      <c r="C3787" s="9" t="n">
        <v>3207</v>
      </c>
      <c r="D3787" s="8" t="s">
        <v>13</v>
      </c>
      <c r="E3787" s="10" t="s">
        <v>473</v>
      </c>
      <c r="F3787" s="8" t="str">
        <f aca="false">TEXT(A3787,"MM-YYYY")</f>
        <v>09-2025</v>
      </c>
      <c r="G3787" s="8" t="s">
        <v>14</v>
      </c>
      <c r="H3787" s="8"/>
      <c r="I3787" s="7"/>
      <c r="J3787" s="8" t="str">
        <f aca="false">VLOOKUP(B3787, Table3[#All], 2, FALSE())</f>
        <v>Inventory</v>
      </c>
      <c r="K3787" s="8" t="str">
        <f aca="false">TEXT(ROW(), "0000")</f>
        <v>3787</v>
      </c>
      <c r="L3787" s="8"/>
    </row>
    <row r="3788" customFormat="false" ht="15.75" hidden="false" customHeight="true" outlineLevel="0" collapsed="false">
      <c r="A3788" s="7" t="n">
        <v>45918</v>
      </c>
      <c r="B3788" s="8" t="s">
        <v>25</v>
      </c>
      <c r="C3788" s="9" t="n">
        <v>1205</v>
      </c>
      <c r="D3788" s="8" t="s">
        <v>13</v>
      </c>
      <c r="E3788" s="10" t="s">
        <v>92</v>
      </c>
      <c r="F3788" s="8" t="str">
        <f aca="false">TEXT(A3788,"MM-YYYY")</f>
        <v>09-2025</v>
      </c>
      <c r="G3788" s="8" t="s">
        <v>18</v>
      </c>
      <c r="H3788" s="8"/>
      <c r="I3788" s="7"/>
      <c r="J3788" s="8" t="str">
        <f aca="false">VLOOKUP(B3788, Table3[#All], 2, FALSE())</f>
        <v>Inventory</v>
      </c>
      <c r="K3788" s="8" t="str">
        <f aca="false">TEXT(ROW(), "0000")</f>
        <v>3788</v>
      </c>
      <c r="L3788" s="8"/>
    </row>
    <row r="3789" customFormat="false" ht="15.75" hidden="false" customHeight="true" outlineLevel="0" collapsed="false">
      <c r="A3789" s="7" t="n">
        <v>45918</v>
      </c>
      <c r="B3789" s="8" t="s">
        <v>32</v>
      </c>
      <c r="C3789" s="9" t="n">
        <v>125</v>
      </c>
      <c r="D3789" s="8" t="s">
        <v>21</v>
      </c>
      <c r="E3789" s="10" t="s">
        <v>450</v>
      </c>
      <c r="F3789" s="8" t="str">
        <f aca="false">TEXT(A3789,"MM-YYYY")</f>
        <v>09-2025</v>
      </c>
      <c r="G3789" s="8" t="s">
        <v>14</v>
      </c>
      <c r="H3789" s="8" t="s">
        <v>15</v>
      </c>
      <c r="I3789" s="7" t="n">
        <v>45918</v>
      </c>
      <c r="J3789" s="8" t="str">
        <f aca="false">VLOOKUP(B3789, Table3[#All], 2, FALSE())</f>
        <v>Grocery</v>
      </c>
      <c r="K3789" s="8" t="str">
        <f aca="false">TEXT(ROW(), "0000")</f>
        <v>3789</v>
      </c>
      <c r="L3789" s="8"/>
    </row>
    <row r="3790" customFormat="false" ht="15.75" hidden="false" customHeight="true" outlineLevel="0" collapsed="false">
      <c r="A3790" s="7" t="n">
        <v>45918</v>
      </c>
      <c r="B3790" s="8" t="s">
        <v>29</v>
      </c>
      <c r="C3790" s="9" t="n">
        <v>350</v>
      </c>
      <c r="D3790" s="8" t="s">
        <v>21</v>
      </c>
      <c r="E3790" s="10" t="s">
        <v>488</v>
      </c>
      <c r="F3790" s="8" t="str">
        <f aca="false">TEXT(A3790,"MM-YYYY")</f>
        <v>09-2025</v>
      </c>
      <c r="G3790" s="8" t="s">
        <v>14</v>
      </c>
      <c r="H3790" s="8" t="s">
        <v>15</v>
      </c>
      <c r="I3790" s="7" t="n">
        <v>45918</v>
      </c>
      <c r="J3790" s="8" t="str">
        <f aca="false">VLOOKUP(B3790, Table3[#All], 2, FALSE())</f>
        <v>Inventory</v>
      </c>
      <c r="K3790" s="8" t="str">
        <f aca="false">TEXT(ROW(), "0000")</f>
        <v>3790</v>
      </c>
      <c r="L3790" s="8"/>
    </row>
    <row r="3791" customFormat="false" ht="15.75" hidden="false" customHeight="true" outlineLevel="0" collapsed="false">
      <c r="A3791" s="7" t="n">
        <v>45918</v>
      </c>
      <c r="B3791" s="8" t="s">
        <v>28</v>
      </c>
      <c r="C3791" s="9" t="n">
        <v>355</v>
      </c>
      <c r="D3791" s="8" t="s">
        <v>21</v>
      </c>
      <c r="E3791" s="10" t="s">
        <v>93</v>
      </c>
      <c r="F3791" s="8" t="str">
        <f aca="false">TEXT(A3791,"MM-YYYY")</f>
        <v>09-2025</v>
      </c>
      <c r="G3791" s="8" t="s">
        <v>14</v>
      </c>
      <c r="H3791" s="8" t="s">
        <v>15</v>
      </c>
      <c r="I3791" s="7" t="n">
        <v>45918</v>
      </c>
      <c r="J3791" s="8" t="str">
        <f aca="false">VLOOKUP(B3791, Table3[#All], 2, FALSE())</f>
        <v>Grocery</v>
      </c>
      <c r="K3791" s="8" t="str">
        <f aca="false">TEXT(ROW(), "0000")</f>
        <v>3791</v>
      </c>
      <c r="L3791" s="8"/>
    </row>
    <row r="3792" customFormat="false" ht="15.75" hidden="false" customHeight="true" outlineLevel="0" collapsed="false">
      <c r="A3792" s="7" t="n">
        <v>45918</v>
      </c>
      <c r="B3792" s="8" t="s">
        <v>29</v>
      </c>
      <c r="C3792" s="9" t="n">
        <v>597</v>
      </c>
      <c r="D3792" s="8" t="s">
        <v>13</v>
      </c>
      <c r="E3792" s="10" t="s">
        <v>490</v>
      </c>
      <c r="F3792" s="8" t="str">
        <f aca="false">TEXT(A3792,"MM-YYYY")</f>
        <v>09-2025</v>
      </c>
      <c r="G3792" s="8" t="s">
        <v>18</v>
      </c>
      <c r="H3792" s="8"/>
      <c r="I3792" s="7"/>
      <c r="J3792" s="8" t="str">
        <f aca="false">VLOOKUP(B3792, Table3[#All], 2, FALSE())</f>
        <v>Inventory</v>
      </c>
      <c r="K3792" s="8" t="str">
        <f aca="false">TEXT(ROW(), "0000")</f>
        <v>3792</v>
      </c>
      <c r="L3792" s="8"/>
    </row>
    <row r="3793" customFormat="false" ht="15.75" hidden="false" customHeight="true" outlineLevel="0" collapsed="false">
      <c r="A3793" s="7" t="n">
        <v>45917</v>
      </c>
      <c r="B3793" s="8" t="s">
        <v>29</v>
      </c>
      <c r="C3793" s="9" t="n">
        <v>364</v>
      </c>
      <c r="D3793" s="8" t="s">
        <v>13</v>
      </c>
      <c r="E3793" s="10" t="s">
        <v>490</v>
      </c>
      <c r="F3793" s="8" t="str">
        <f aca="false">TEXT(A3793,"MM-YYYY")</f>
        <v>09-2025</v>
      </c>
      <c r="G3793" s="8" t="s">
        <v>18</v>
      </c>
      <c r="H3793" s="8"/>
      <c r="I3793" s="7"/>
      <c r="J3793" s="8" t="str">
        <f aca="false">VLOOKUP(B3793, Table3[#All], 2, FALSE())</f>
        <v>Inventory</v>
      </c>
      <c r="K3793" s="8" t="str">
        <f aca="false">TEXT(ROW(), "0000")</f>
        <v>3793</v>
      </c>
      <c r="L3793" s="8"/>
    </row>
    <row r="3794" customFormat="false" ht="15.75" hidden="false" customHeight="true" outlineLevel="0" collapsed="false">
      <c r="A3794" s="7" t="n">
        <v>45918</v>
      </c>
      <c r="B3794" s="8" t="s">
        <v>50</v>
      </c>
      <c r="C3794" s="9" t="n">
        <v>1593</v>
      </c>
      <c r="D3794" s="8" t="s">
        <v>13</v>
      </c>
      <c r="E3794" s="10" t="s">
        <v>263</v>
      </c>
      <c r="F3794" s="8" t="str">
        <f aca="false">TEXT(A3794,"MM-YYYY")</f>
        <v>09-2025</v>
      </c>
      <c r="G3794" s="8" t="s">
        <v>18</v>
      </c>
      <c r="H3794" s="8"/>
      <c r="I3794" s="7"/>
      <c r="J3794" s="8" t="str">
        <f aca="false">VLOOKUP(B3794, Table3[#All], 2, FALSE())</f>
        <v>Fixed Maintance</v>
      </c>
      <c r="K3794" s="8" t="str">
        <f aca="false">TEXT(ROW(), "0000")</f>
        <v>3794</v>
      </c>
      <c r="L3794" s="8"/>
    </row>
    <row r="3795" customFormat="false" ht="15.75" hidden="false" customHeight="true" outlineLevel="0" collapsed="false">
      <c r="A3795" s="7" t="n">
        <v>45918</v>
      </c>
      <c r="B3795" s="8" t="s">
        <v>16</v>
      </c>
      <c r="C3795" s="9" t="n">
        <v>4180</v>
      </c>
      <c r="D3795" s="8" t="s">
        <v>21</v>
      </c>
      <c r="E3795" s="10" t="s">
        <v>88</v>
      </c>
      <c r="F3795" s="8" t="str">
        <f aca="false">TEXT(A3795,"MM-YYYY")</f>
        <v>09-2025</v>
      </c>
      <c r="G3795" s="8"/>
      <c r="H3795" s="8"/>
      <c r="I3795" s="7"/>
      <c r="J3795" s="8" t="str">
        <f aca="false">VLOOKUP(B3795, Table3[#All], 2, FALSE())</f>
        <v>Sales</v>
      </c>
      <c r="K3795" s="8" t="str">
        <f aca="false">TEXT(ROW(), "0000")</f>
        <v>3795</v>
      </c>
      <c r="L3795" s="8"/>
    </row>
    <row r="3796" customFormat="false" ht="15.75" hidden="false" customHeight="true" outlineLevel="0" collapsed="false">
      <c r="A3796" s="7" t="n">
        <v>45918</v>
      </c>
      <c r="B3796" s="8" t="s">
        <v>16</v>
      </c>
      <c r="C3796" s="9" t="n">
        <v>1615</v>
      </c>
      <c r="D3796" s="8" t="s">
        <v>33</v>
      </c>
      <c r="E3796" s="10" t="s">
        <v>88</v>
      </c>
      <c r="F3796" s="8" t="str">
        <f aca="false">TEXT(A3796,"MM-YYYY")</f>
        <v>09-2025</v>
      </c>
      <c r="G3796" s="8"/>
      <c r="H3796" s="8"/>
      <c r="I3796" s="7"/>
      <c r="J3796" s="8" t="str">
        <f aca="false">VLOOKUP(B3796, Table3[#All], 2, FALSE())</f>
        <v>Sales</v>
      </c>
      <c r="K3796" s="8" t="str">
        <f aca="false">TEXT(ROW(), "0000")</f>
        <v>3796</v>
      </c>
      <c r="L3796" s="8"/>
    </row>
    <row r="3797" customFormat="false" ht="15.75" hidden="false" customHeight="true" outlineLevel="0" collapsed="false">
      <c r="A3797" s="7" t="n">
        <v>45918</v>
      </c>
      <c r="B3797" s="8" t="s">
        <v>16</v>
      </c>
      <c r="C3797" s="9" t="n">
        <v>14422</v>
      </c>
      <c r="D3797" s="8" t="s">
        <v>17</v>
      </c>
      <c r="E3797" s="10" t="s">
        <v>88</v>
      </c>
      <c r="F3797" s="8" t="str">
        <f aca="false">TEXT(A3797,"MM-YYYY")</f>
        <v>09-2025</v>
      </c>
      <c r="G3797" s="8"/>
      <c r="H3797" s="8"/>
      <c r="I3797" s="7"/>
      <c r="J3797" s="8" t="str">
        <f aca="false">VLOOKUP(B3797, Table3[#All], 2, FALSE())</f>
        <v>Sales</v>
      </c>
      <c r="K3797" s="8" t="str">
        <f aca="false">TEXT(ROW(), "0000")</f>
        <v>3797</v>
      </c>
      <c r="L3797" s="8"/>
    </row>
    <row r="3798" customFormat="false" ht="15.75" hidden="false" customHeight="true" outlineLevel="0" collapsed="false">
      <c r="A3798" s="7" t="n">
        <v>45918</v>
      </c>
      <c r="B3798" s="8" t="s">
        <v>16</v>
      </c>
      <c r="C3798" s="9" t="n">
        <v>2542</v>
      </c>
      <c r="D3798" s="8" t="s">
        <v>24</v>
      </c>
      <c r="E3798" s="10" t="s">
        <v>88</v>
      </c>
      <c r="F3798" s="8" t="str">
        <f aca="false">TEXT(A3798,"MM-YYYY")</f>
        <v>09-2025</v>
      </c>
      <c r="G3798" s="8"/>
      <c r="H3798" s="8"/>
      <c r="I3798" s="7"/>
      <c r="J3798" s="8" t="str">
        <f aca="false">VLOOKUP(B3798, Table3[#All], 2, FALSE())</f>
        <v>Sales</v>
      </c>
      <c r="K3798" s="8" t="str">
        <f aca="false">TEXT(ROW(), "0000")</f>
        <v>3798</v>
      </c>
      <c r="L3798" s="8"/>
    </row>
    <row r="3799" customFormat="false" ht="15.75" hidden="false" customHeight="true" outlineLevel="0" collapsed="false">
      <c r="A3799" s="7" t="n">
        <v>45918</v>
      </c>
      <c r="B3799" s="8" t="s">
        <v>34</v>
      </c>
      <c r="C3799" s="9" t="n">
        <v>140</v>
      </c>
      <c r="D3799" s="8" t="s">
        <v>21</v>
      </c>
      <c r="E3799" s="10" t="s">
        <v>540</v>
      </c>
      <c r="F3799" s="8" t="str">
        <f aca="false">TEXT(A3799,"MM-YYYY")</f>
        <v>09-2025</v>
      </c>
      <c r="G3799" s="8" t="s">
        <v>14</v>
      </c>
      <c r="H3799" s="8" t="s">
        <v>15</v>
      </c>
      <c r="I3799" s="7" t="n">
        <v>45918</v>
      </c>
      <c r="J3799" s="8" t="str">
        <f aca="false">VLOOKUP(B3799, Table3[#All], 2, FALSE())</f>
        <v>Staff Expenses</v>
      </c>
      <c r="K3799" s="8" t="str">
        <f aca="false">TEXT(ROW(), "0000")</f>
        <v>3799</v>
      </c>
      <c r="L3799" s="8"/>
    </row>
    <row r="3800" customFormat="false" ht="15.75" hidden="false" customHeight="true" outlineLevel="0" collapsed="false">
      <c r="A3800" s="7" t="n">
        <v>45918</v>
      </c>
      <c r="B3800" s="8" t="s">
        <v>31</v>
      </c>
      <c r="C3800" s="9" t="n">
        <v>310</v>
      </c>
      <c r="D3800" s="8" t="s">
        <v>21</v>
      </c>
      <c r="E3800" s="10" t="s">
        <v>236</v>
      </c>
      <c r="F3800" s="8" t="str">
        <f aca="false">TEXT(A3800,"MM-YYYY")</f>
        <v>09-2025</v>
      </c>
      <c r="G3800" s="8" t="s">
        <v>14</v>
      </c>
      <c r="H3800" s="8" t="s">
        <v>15</v>
      </c>
      <c r="I3800" s="7" t="n">
        <v>45918</v>
      </c>
      <c r="J3800" s="8" t="str">
        <f aca="false">VLOOKUP(B3800, Table3[#All], 2, FALSE())</f>
        <v>Bike Maintance</v>
      </c>
      <c r="K3800" s="8" t="str">
        <f aca="false">TEXT(ROW(), "0000")</f>
        <v>3800</v>
      </c>
      <c r="L3800" s="8"/>
    </row>
    <row r="3801" customFormat="false" ht="15.75" hidden="false" customHeight="true" outlineLevel="0" collapsed="false">
      <c r="A3801" s="7" t="n">
        <v>45919</v>
      </c>
      <c r="B3801" s="8" t="s">
        <v>25</v>
      </c>
      <c r="C3801" s="9" t="n">
        <v>789</v>
      </c>
      <c r="D3801" s="8" t="s">
        <v>13</v>
      </c>
      <c r="E3801" s="10" t="s">
        <v>92</v>
      </c>
      <c r="F3801" s="8" t="str">
        <f aca="false">TEXT(A3801,"MM-YYYY")</f>
        <v>09-2025</v>
      </c>
      <c r="G3801" s="8" t="s">
        <v>18</v>
      </c>
      <c r="H3801" s="8"/>
      <c r="I3801" s="7"/>
      <c r="J3801" s="8" t="str">
        <f aca="false">VLOOKUP(B3801, Table3[#All], 2, FALSE())</f>
        <v>Inventory</v>
      </c>
      <c r="K3801" s="8" t="str">
        <f aca="false">TEXT(ROW(), "0000")</f>
        <v>3801</v>
      </c>
      <c r="L3801" s="8"/>
    </row>
    <row r="3802" customFormat="false" ht="15.75" hidden="false" customHeight="true" outlineLevel="0" collapsed="false">
      <c r="A3802" s="7" t="n">
        <v>45919</v>
      </c>
      <c r="B3802" s="8" t="s">
        <v>19</v>
      </c>
      <c r="C3802" s="9" t="n">
        <v>2180</v>
      </c>
      <c r="D3802" s="8" t="s">
        <v>13</v>
      </c>
      <c r="E3802" s="10" t="s">
        <v>473</v>
      </c>
      <c r="F3802" s="8" t="str">
        <f aca="false">TEXT(A3802,"MM-YYYY")</f>
        <v>09-2025</v>
      </c>
      <c r="G3802" s="8" t="s">
        <v>14</v>
      </c>
      <c r="H3802" s="8"/>
      <c r="I3802" s="7"/>
      <c r="J3802" s="8" t="str">
        <f aca="false">VLOOKUP(B3802, Table3[#All], 2, FALSE())</f>
        <v>Inventory</v>
      </c>
      <c r="K3802" s="8" t="str">
        <f aca="false">TEXT(ROW(), "0000")</f>
        <v>3802</v>
      </c>
      <c r="L3802" s="8"/>
    </row>
    <row r="3803" customFormat="false" ht="15.75" hidden="false" customHeight="true" outlineLevel="0" collapsed="false">
      <c r="A3803" s="7" t="n">
        <v>45919</v>
      </c>
      <c r="B3803" s="8" t="s">
        <v>47</v>
      </c>
      <c r="C3803" s="9" t="n">
        <v>900</v>
      </c>
      <c r="D3803" s="8" t="s">
        <v>13</v>
      </c>
      <c r="E3803" s="10" t="s">
        <v>484</v>
      </c>
      <c r="F3803" s="8" t="str">
        <f aca="false">TEXT(A3803,"MM-YYYY")</f>
        <v>09-2025</v>
      </c>
      <c r="G3803" s="8" t="s">
        <v>18</v>
      </c>
      <c r="H3803" s="8"/>
      <c r="I3803" s="7"/>
      <c r="J3803" s="8" t="str">
        <f aca="false">VLOOKUP(B3803, Table3[#All], 2, FALSE())</f>
        <v>Inventory</v>
      </c>
      <c r="K3803" s="8" t="str">
        <f aca="false">TEXT(ROW(), "0000")</f>
        <v>3803</v>
      </c>
      <c r="L3803" s="8"/>
    </row>
    <row r="3804" customFormat="false" ht="15.75" hidden="false" customHeight="true" outlineLevel="0" collapsed="false">
      <c r="A3804" s="7" t="n">
        <v>45919</v>
      </c>
      <c r="B3804" s="8" t="s">
        <v>40</v>
      </c>
      <c r="C3804" s="9" t="n">
        <v>1560</v>
      </c>
      <c r="D3804" s="8" t="s">
        <v>45</v>
      </c>
      <c r="E3804" s="10" t="s">
        <v>46</v>
      </c>
      <c r="F3804" s="8" t="str">
        <f aca="false">TEXT(A3804,"MM-YYYY")</f>
        <v>09-2025</v>
      </c>
      <c r="G3804" s="8" t="s">
        <v>14</v>
      </c>
      <c r="H3804" s="8" t="s">
        <v>232</v>
      </c>
      <c r="I3804" s="7" t="n">
        <v>45919</v>
      </c>
      <c r="J3804" s="8" t="str">
        <f aca="false">VLOOKUP(B3804, Table3[#All], 2, FALSE())</f>
        <v>Inventory</v>
      </c>
      <c r="K3804" s="8" t="str">
        <f aca="false">TEXT(ROW(), "0000")</f>
        <v>3804</v>
      </c>
      <c r="L3804" s="8"/>
    </row>
    <row r="3805" customFormat="false" ht="15.75" hidden="false" customHeight="true" outlineLevel="0" collapsed="false">
      <c r="A3805" s="7" t="n">
        <v>45919</v>
      </c>
      <c r="B3805" s="8" t="s">
        <v>25</v>
      </c>
      <c r="C3805" s="9" t="n">
        <v>280</v>
      </c>
      <c r="D3805" s="8" t="s">
        <v>45</v>
      </c>
      <c r="E3805" s="10" t="s">
        <v>543</v>
      </c>
      <c r="F3805" s="8" t="str">
        <f aca="false">TEXT(A3805,"MM-YYYY")</f>
        <v>09-2025</v>
      </c>
      <c r="G3805" s="8" t="s">
        <v>14</v>
      </c>
      <c r="H3805" s="8" t="s">
        <v>232</v>
      </c>
      <c r="I3805" s="7" t="n">
        <v>45919</v>
      </c>
      <c r="J3805" s="8" t="str">
        <f aca="false">VLOOKUP(B3805, Table3[#All], 2, FALSE())</f>
        <v>Inventory</v>
      </c>
      <c r="K3805" s="8" t="str">
        <f aca="false">TEXT(ROW(), "0000")</f>
        <v>3805</v>
      </c>
      <c r="L3805" s="8"/>
    </row>
    <row r="3806" customFormat="false" ht="15.75" hidden="false" customHeight="true" outlineLevel="0" collapsed="false">
      <c r="A3806" s="7" t="n">
        <v>45919</v>
      </c>
      <c r="B3806" s="8" t="s">
        <v>43</v>
      </c>
      <c r="C3806" s="9" t="n">
        <v>1200</v>
      </c>
      <c r="D3806" s="8" t="s">
        <v>45</v>
      </c>
      <c r="E3806" s="10" t="s">
        <v>98</v>
      </c>
      <c r="F3806" s="8" t="str">
        <f aca="false">TEXT(A3806,"MM-YYYY")</f>
        <v>09-2025</v>
      </c>
      <c r="G3806" s="8" t="s">
        <v>14</v>
      </c>
      <c r="H3806" s="8" t="s">
        <v>232</v>
      </c>
      <c r="I3806" s="7" t="n">
        <v>45919</v>
      </c>
      <c r="J3806" s="8" t="str">
        <f aca="false">VLOOKUP(B3806, Table3[#All], 2, FALSE())</f>
        <v>Maintance</v>
      </c>
      <c r="K3806" s="8" t="str">
        <f aca="false">TEXT(ROW(), "0000")</f>
        <v>3806</v>
      </c>
      <c r="L3806" s="8"/>
    </row>
    <row r="3807" customFormat="false" ht="15.75" hidden="false" customHeight="true" outlineLevel="0" collapsed="false">
      <c r="A3807" s="7" t="n">
        <v>45919</v>
      </c>
      <c r="B3807" s="8" t="s">
        <v>36</v>
      </c>
      <c r="C3807" s="9" t="n">
        <v>30</v>
      </c>
      <c r="D3807" s="8" t="s">
        <v>45</v>
      </c>
      <c r="E3807" s="10" t="s">
        <v>487</v>
      </c>
      <c r="F3807" s="8" t="str">
        <f aca="false">TEXT(A3807,"MM-YYYY")</f>
        <v>09-2025</v>
      </c>
      <c r="G3807" s="8" t="s">
        <v>14</v>
      </c>
      <c r="H3807" s="8" t="s">
        <v>232</v>
      </c>
      <c r="I3807" s="7" t="n">
        <v>45919</v>
      </c>
      <c r="J3807" s="8" t="str">
        <f aca="false">VLOOKUP(B3807, Table3[#All], 2, FALSE())</f>
        <v>Maintance</v>
      </c>
      <c r="K3807" s="8" t="str">
        <f aca="false">TEXT(ROW(), "0000")</f>
        <v>3807</v>
      </c>
      <c r="L3807" s="8"/>
    </row>
    <row r="3808" customFormat="false" ht="15.75" hidden="false" customHeight="true" outlineLevel="0" collapsed="false">
      <c r="A3808" s="7" t="n">
        <v>45919</v>
      </c>
      <c r="B3808" s="8" t="s">
        <v>32</v>
      </c>
      <c r="C3808" s="9" t="n">
        <v>100</v>
      </c>
      <c r="D3808" s="8" t="s">
        <v>21</v>
      </c>
      <c r="E3808" s="10" t="s">
        <v>450</v>
      </c>
      <c r="F3808" s="8" t="str">
        <f aca="false">TEXT(A3808,"MM-YYYY")</f>
        <v>09-2025</v>
      </c>
      <c r="G3808" s="8" t="s">
        <v>14</v>
      </c>
      <c r="H3808" s="8" t="s">
        <v>15</v>
      </c>
      <c r="I3808" s="7" t="n">
        <v>45919</v>
      </c>
      <c r="J3808" s="8" t="str">
        <f aca="false">VLOOKUP(B3808, Table3[#All], 2, FALSE())</f>
        <v>Grocery</v>
      </c>
      <c r="K3808" s="8" t="str">
        <f aca="false">TEXT(ROW(), "0000")</f>
        <v>3808</v>
      </c>
      <c r="L3808" s="8"/>
    </row>
    <row r="3809" customFormat="false" ht="15.75" hidden="false" customHeight="true" outlineLevel="0" collapsed="false">
      <c r="A3809" s="7" t="n">
        <v>45919</v>
      </c>
      <c r="B3809" s="8" t="s">
        <v>22</v>
      </c>
      <c r="C3809" s="9" t="n">
        <v>165</v>
      </c>
      <c r="D3809" s="8" t="s">
        <v>21</v>
      </c>
      <c r="E3809" s="10" t="s">
        <v>479</v>
      </c>
      <c r="F3809" s="8" t="str">
        <f aca="false">TEXT(A3809,"MM-YYYY")</f>
        <v>09-2025</v>
      </c>
      <c r="G3809" s="8" t="s">
        <v>14</v>
      </c>
      <c r="H3809" s="8" t="s">
        <v>15</v>
      </c>
      <c r="I3809" s="7" t="n">
        <v>45919</v>
      </c>
      <c r="J3809" s="8" t="str">
        <f aca="false">VLOOKUP(B3809, Table3[#All], 2, FALSE())</f>
        <v>Inventory</v>
      </c>
      <c r="K3809" s="8" t="str">
        <f aca="false">TEXT(ROW(), "0000")</f>
        <v>3809</v>
      </c>
      <c r="L3809" s="8"/>
    </row>
    <row r="3810" customFormat="false" ht="15.75" hidden="false" customHeight="true" outlineLevel="0" collapsed="false">
      <c r="A3810" s="7" t="n">
        <v>45919</v>
      </c>
      <c r="B3810" s="8" t="s">
        <v>51</v>
      </c>
      <c r="C3810" s="9" t="n">
        <v>490</v>
      </c>
      <c r="D3810" s="8" t="s">
        <v>21</v>
      </c>
      <c r="E3810" s="10" t="s">
        <v>51</v>
      </c>
      <c r="F3810" s="8" t="str">
        <f aca="false">TEXT(A3810,"MM-YYYY")</f>
        <v>09-2025</v>
      </c>
      <c r="G3810" s="8" t="s">
        <v>14</v>
      </c>
      <c r="H3810" s="8" t="s">
        <v>15</v>
      </c>
      <c r="I3810" s="7" t="n">
        <v>45919</v>
      </c>
      <c r="J3810" s="8" t="str">
        <f aca="false">VLOOKUP(B3810, Table3[#All], 2, FALSE())</f>
        <v>Inventory</v>
      </c>
      <c r="K3810" s="8" t="str">
        <f aca="false">TEXT(ROW(), "0000")</f>
        <v>3810</v>
      </c>
      <c r="L3810" s="8"/>
    </row>
    <row r="3811" customFormat="false" ht="15.75" hidden="false" customHeight="true" outlineLevel="0" collapsed="false">
      <c r="A3811" s="7" t="n">
        <v>45919</v>
      </c>
      <c r="B3811" s="8" t="s">
        <v>69</v>
      </c>
      <c r="C3811" s="9" t="n">
        <v>700</v>
      </c>
      <c r="D3811" s="8" t="s">
        <v>21</v>
      </c>
      <c r="E3811" s="10" t="s">
        <v>312</v>
      </c>
      <c r="F3811" s="8" t="str">
        <f aca="false">TEXT(A3811,"MM-YYYY")</f>
        <v>09-2025</v>
      </c>
      <c r="G3811" s="8" t="s">
        <v>14</v>
      </c>
      <c r="H3811" s="8" t="s">
        <v>15</v>
      </c>
      <c r="I3811" s="7" t="n">
        <v>45919</v>
      </c>
      <c r="J3811" s="8" t="str">
        <f aca="false">VLOOKUP(B3811, Table3[#All], 2, FALSE())</f>
        <v>Fixed Maintance</v>
      </c>
      <c r="K3811" s="8" t="str">
        <f aca="false">TEXT(ROW(), "0000")</f>
        <v>3811</v>
      </c>
      <c r="L3811" s="8"/>
    </row>
    <row r="3812" customFormat="false" ht="15.75" hidden="false" customHeight="true" outlineLevel="0" collapsed="false">
      <c r="A3812" s="7" t="n">
        <v>45919</v>
      </c>
      <c r="B3812" s="8" t="s">
        <v>22</v>
      </c>
      <c r="C3812" s="9" t="n">
        <v>200</v>
      </c>
      <c r="D3812" s="8" t="s">
        <v>21</v>
      </c>
      <c r="E3812" s="10" t="s">
        <v>544</v>
      </c>
      <c r="F3812" s="8" t="str">
        <f aca="false">TEXT(A3812,"MM-YYYY")</f>
        <v>09-2025</v>
      </c>
      <c r="G3812" s="8" t="s">
        <v>14</v>
      </c>
      <c r="H3812" s="8" t="s">
        <v>15</v>
      </c>
      <c r="I3812" s="7" t="n">
        <v>45919</v>
      </c>
      <c r="J3812" s="8" t="str">
        <f aca="false">VLOOKUP(B3812, Table3[#All], 2, FALSE())</f>
        <v>Inventory</v>
      </c>
      <c r="K3812" s="8" t="str">
        <f aca="false">TEXT(ROW(), "0000")</f>
        <v>3812</v>
      </c>
      <c r="L3812" s="8"/>
    </row>
    <row r="3813" customFormat="false" ht="15.75" hidden="false" customHeight="true" outlineLevel="0" collapsed="false">
      <c r="A3813" s="7" t="n">
        <v>45919</v>
      </c>
      <c r="B3813" s="8" t="s">
        <v>29</v>
      </c>
      <c r="C3813" s="9" t="n">
        <v>467</v>
      </c>
      <c r="D3813" s="8" t="s">
        <v>13</v>
      </c>
      <c r="E3813" s="10" t="s">
        <v>490</v>
      </c>
      <c r="F3813" s="8" t="str">
        <f aca="false">TEXT(A3813,"MM-YYYY")</f>
        <v>09-2025</v>
      </c>
      <c r="G3813" s="8" t="s">
        <v>18</v>
      </c>
      <c r="H3813" s="8"/>
      <c r="I3813" s="7"/>
      <c r="J3813" s="8" t="str">
        <f aca="false">VLOOKUP(B3813, Table3[#All], 2, FALSE())</f>
        <v>Inventory</v>
      </c>
      <c r="K3813" s="8" t="str">
        <f aca="false">TEXT(ROW(), "0000")</f>
        <v>3813</v>
      </c>
      <c r="L3813" s="8"/>
    </row>
    <row r="3814" customFormat="false" ht="15.75" hidden="false" customHeight="true" outlineLevel="0" collapsed="false">
      <c r="A3814" s="7" t="n">
        <v>45919</v>
      </c>
      <c r="B3814" s="8" t="s">
        <v>16</v>
      </c>
      <c r="C3814" s="9" t="n">
        <v>5625</v>
      </c>
      <c r="D3814" s="8" t="s">
        <v>21</v>
      </c>
      <c r="E3814" s="10" t="s">
        <v>88</v>
      </c>
      <c r="F3814" s="8" t="str">
        <f aca="false">TEXT(A3814,"MM-YYYY")</f>
        <v>09-2025</v>
      </c>
      <c r="G3814" s="8"/>
      <c r="H3814" s="8"/>
      <c r="I3814" s="7"/>
      <c r="J3814" s="8" t="str">
        <f aca="false">VLOOKUP(B3814, Table3[#All], 2, FALSE())</f>
        <v>Sales</v>
      </c>
      <c r="K3814" s="8" t="str">
        <f aca="false">TEXT(ROW(), "0000")</f>
        <v>3814</v>
      </c>
      <c r="L3814" s="8"/>
    </row>
    <row r="3815" customFormat="false" ht="15.75" hidden="false" customHeight="true" outlineLevel="0" collapsed="false">
      <c r="A3815" s="7" t="n">
        <v>45919</v>
      </c>
      <c r="B3815" s="8" t="s">
        <v>16</v>
      </c>
      <c r="C3815" s="9" t="n">
        <v>1695</v>
      </c>
      <c r="D3815" s="8" t="s">
        <v>27</v>
      </c>
      <c r="E3815" s="10" t="s">
        <v>88</v>
      </c>
      <c r="F3815" s="8" t="str">
        <f aca="false">TEXT(A3815,"MM-YYYY")</f>
        <v>09-2025</v>
      </c>
      <c r="G3815" s="8"/>
      <c r="H3815" s="8"/>
      <c r="I3815" s="7"/>
      <c r="J3815" s="8" t="str">
        <f aca="false">VLOOKUP(B3815, Table3[#All], 2, FALSE())</f>
        <v>Sales</v>
      </c>
      <c r="K3815" s="8" t="str">
        <f aca="false">TEXT(ROW(), "0000")</f>
        <v>3815</v>
      </c>
      <c r="L3815" s="8"/>
    </row>
    <row r="3816" customFormat="false" ht="15.75" hidden="false" customHeight="true" outlineLevel="0" collapsed="false">
      <c r="A3816" s="7" t="n">
        <v>45919</v>
      </c>
      <c r="B3816" s="8" t="s">
        <v>16</v>
      </c>
      <c r="C3816" s="9" t="n">
        <v>100</v>
      </c>
      <c r="D3816" s="8" t="s">
        <v>33</v>
      </c>
      <c r="E3816" s="10" t="s">
        <v>88</v>
      </c>
      <c r="F3816" s="8" t="str">
        <f aca="false">TEXT(A3816,"MM-YYYY")</f>
        <v>09-2025</v>
      </c>
      <c r="G3816" s="8"/>
      <c r="H3816" s="8"/>
      <c r="I3816" s="7"/>
      <c r="J3816" s="8" t="str">
        <f aca="false">VLOOKUP(B3816, Table3[#All], 2, FALSE())</f>
        <v>Sales</v>
      </c>
      <c r="K3816" s="8" t="str">
        <f aca="false">TEXT(ROW(), "0000")</f>
        <v>3816</v>
      </c>
      <c r="L3816" s="8"/>
    </row>
    <row r="3817" customFormat="false" ht="15.75" hidden="false" customHeight="true" outlineLevel="0" collapsed="false">
      <c r="A3817" s="7" t="n">
        <v>45919</v>
      </c>
      <c r="B3817" s="8" t="s">
        <v>16</v>
      </c>
      <c r="C3817" s="9" t="n">
        <v>20353</v>
      </c>
      <c r="D3817" s="8" t="s">
        <v>17</v>
      </c>
      <c r="E3817" s="10" t="s">
        <v>88</v>
      </c>
      <c r="F3817" s="8" t="str">
        <f aca="false">TEXT(A3817,"MM-YYYY")</f>
        <v>09-2025</v>
      </c>
      <c r="G3817" s="8"/>
      <c r="H3817" s="8"/>
      <c r="I3817" s="7"/>
      <c r="J3817" s="8" t="str">
        <f aca="false">VLOOKUP(B3817, Table3[#All], 2, FALSE())</f>
        <v>Sales</v>
      </c>
      <c r="K3817" s="8" t="str">
        <f aca="false">TEXT(ROW(), "0000")</f>
        <v>3817</v>
      </c>
      <c r="L3817" s="8"/>
    </row>
    <row r="3818" customFormat="false" ht="15.75" hidden="false" customHeight="true" outlineLevel="0" collapsed="false">
      <c r="A3818" s="7" t="n">
        <v>45919</v>
      </c>
      <c r="B3818" s="8" t="s">
        <v>16</v>
      </c>
      <c r="C3818" s="9" t="n">
        <v>3815</v>
      </c>
      <c r="D3818" s="8" t="s">
        <v>24</v>
      </c>
      <c r="E3818" s="10" t="s">
        <v>88</v>
      </c>
      <c r="F3818" s="8" t="str">
        <f aca="false">TEXT(A3818,"MM-YYYY")</f>
        <v>09-2025</v>
      </c>
      <c r="G3818" s="8"/>
      <c r="H3818" s="8"/>
      <c r="I3818" s="7"/>
      <c r="J3818" s="8" t="str">
        <f aca="false">VLOOKUP(B3818, Table3[#All], 2, FALSE())</f>
        <v>Sales</v>
      </c>
      <c r="K3818" s="8" t="str">
        <f aca="false">TEXT(ROW(), "0000")</f>
        <v>3818</v>
      </c>
      <c r="L3818" s="8"/>
    </row>
    <row r="3819" customFormat="false" ht="15.75" hidden="false" customHeight="true" outlineLevel="0" collapsed="false">
      <c r="A3819" s="7" t="n">
        <v>45919</v>
      </c>
      <c r="B3819" s="8" t="s">
        <v>34</v>
      </c>
      <c r="C3819" s="9" t="n">
        <v>200</v>
      </c>
      <c r="D3819" s="8" t="s">
        <v>21</v>
      </c>
      <c r="E3819" s="10" t="s">
        <v>545</v>
      </c>
      <c r="F3819" s="8" t="str">
        <f aca="false">TEXT(A3819,"MM-YYYY")</f>
        <v>09-2025</v>
      </c>
      <c r="G3819" s="8" t="s">
        <v>14</v>
      </c>
      <c r="H3819" s="8" t="s">
        <v>15</v>
      </c>
      <c r="I3819" s="7" t="n">
        <v>45919</v>
      </c>
      <c r="J3819" s="8" t="str">
        <f aca="false">VLOOKUP(B3819, Table3[#All], 2, FALSE())</f>
        <v>Staff Expenses</v>
      </c>
      <c r="K3819" s="8" t="str">
        <f aca="false">TEXT(ROW(), "0000")</f>
        <v>3819</v>
      </c>
      <c r="L3819" s="8"/>
    </row>
    <row r="3820" customFormat="false" ht="15.75" hidden="false" customHeight="true" outlineLevel="0" collapsed="false">
      <c r="A3820" s="7" t="n">
        <v>45920</v>
      </c>
      <c r="B3820" s="8" t="s">
        <v>53</v>
      </c>
      <c r="C3820" s="9" t="n">
        <v>4080</v>
      </c>
      <c r="D3820" s="8" t="s">
        <v>45</v>
      </c>
      <c r="E3820" s="10" t="s">
        <v>54</v>
      </c>
      <c r="F3820" s="8" t="str">
        <f aca="false">TEXT(A3820,"MM-YYYY")</f>
        <v>09-2025</v>
      </c>
      <c r="G3820" s="8" t="s">
        <v>14</v>
      </c>
      <c r="H3820" s="8" t="s">
        <v>232</v>
      </c>
      <c r="I3820" s="7" t="n">
        <v>45920</v>
      </c>
      <c r="J3820" s="8" t="str">
        <f aca="false">VLOOKUP(B3820, Table3[#All], 2, FALSE())</f>
        <v>Grocery</v>
      </c>
      <c r="K3820" s="8" t="str">
        <f aca="false">TEXT(ROW(), "0000")</f>
        <v>3820</v>
      </c>
      <c r="L3820" s="8"/>
    </row>
    <row r="3821" customFormat="false" ht="15.75" hidden="false" customHeight="true" outlineLevel="0" collapsed="false">
      <c r="A3821" s="7" t="n">
        <v>45920</v>
      </c>
      <c r="B3821" s="8" t="s">
        <v>19</v>
      </c>
      <c r="C3821" s="9" t="n">
        <v>4594</v>
      </c>
      <c r="D3821" s="8" t="s">
        <v>13</v>
      </c>
      <c r="E3821" s="10" t="s">
        <v>473</v>
      </c>
      <c r="F3821" s="8" t="str">
        <f aca="false">TEXT(A3821,"MM-YYYY")</f>
        <v>09-2025</v>
      </c>
      <c r="G3821" s="8" t="s">
        <v>14</v>
      </c>
      <c r="H3821" s="8"/>
      <c r="I3821" s="7"/>
      <c r="J3821" s="8" t="str">
        <f aca="false">VLOOKUP(B3821, Table3[#All], 2, FALSE())</f>
        <v>Inventory</v>
      </c>
      <c r="K3821" s="8" t="str">
        <f aca="false">TEXT(ROW(), "0000")</f>
        <v>3821</v>
      </c>
      <c r="L3821" s="8"/>
    </row>
    <row r="3822" customFormat="false" ht="15.75" hidden="false" customHeight="true" outlineLevel="0" collapsed="false">
      <c r="A3822" s="7" t="n">
        <v>45920</v>
      </c>
      <c r="B3822" s="8" t="s">
        <v>22</v>
      </c>
      <c r="C3822" s="9" t="n">
        <v>110</v>
      </c>
      <c r="D3822" s="8" t="s">
        <v>21</v>
      </c>
      <c r="E3822" s="10" t="s">
        <v>479</v>
      </c>
      <c r="F3822" s="8" t="str">
        <f aca="false">TEXT(A3822,"MM-YYYY")</f>
        <v>09-2025</v>
      </c>
      <c r="G3822" s="8" t="s">
        <v>14</v>
      </c>
      <c r="H3822" s="8" t="s">
        <v>15</v>
      </c>
      <c r="I3822" s="7" t="n">
        <v>45920</v>
      </c>
      <c r="J3822" s="8" t="str">
        <f aca="false">VLOOKUP(B3822, Table3[#All], 2, FALSE())</f>
        <v>Inventory</v>
      </c>
      <c r="K3822" s="8" t="str">
        <f aca="false">TEXT(ROW(), "0000")</f>
        <v>3822</v>
      </c>
      <c r="L3822" s="8"/>
    </row>
    <row r="3823" customFormat="false" ht="15.75" hidden="false" customHeight="true" outlineLevel="0" collapsed="false">
      <c r="A3823" s="7" t="n">
        <v>45920</v>
      </c>
      <c r="B3823" s="8" t="s">
        <v>32</v>
      </c>
      <c r="C3823" s="9" t="n">
        <v>125</v>
      </c>
      <c r="D3823" s="8" t="s">
        <v>21</v>
      </c>
      <c r="E3823" s="10" t="s">
        <v>450</v>
      </c>
      <c r="F3823" s="8" t="str">
        <f aca="false">TEXT(A3823,"MM-YYYY")</f>
        <v>09-2025</v>
      </c>
      <c r="G3823" s="8" t="s">
        <v>14</v>
      </c>
      <c r="H3823" s="8" t="s">
        <v>15</v>
      </c>
      <c r="I3823" s="7" t="n">
        <v>45920</v>
      </c>
      <c r="J3823" s="8" t="str">
        <f aca="false">VLOOKUP(B3823, Table3[#All], 2, FALSE())</f>
        <v>Grocery</v>
      </c>
      <c r="K3823" s="8" t="str">
        <f aca="false">TEXT(ROW(), "0000")</f>
        <v>3823</v>
      </c>
      <c r="L3823" s="8"/>
    </row>
    <row r="3824" customFormat="false" ht="15.75" hidden="false" customHeight="true" outlineLevel="0" collapsed="false">
      <c r="A3824" s="7" t="n">
        <v>45920</v>
      </c>
      <c r="B3824" s="8" t="s">
        <v>29</v>
      </c>
      <c r="C3824" s="9" t="n">
        <v>500</v>
      </c>
      <c r="D3824" s="8" t="s">
        <v>13</v>
      </c>
      <c r="E3824" s="10" t="s">
        <v>120</v>
      </c>
      <c r="F3824" s="8" t="str">
        <f aca="false">TEXT(A3824,"MM-YYYY")</f>
        <v>09-2025</v>
      </c>
      <c r="G3824" s="8" t="s">
        <v>14</v>
      </c>
      <c r="H3824" s="8" t="s">
        <v>13</v>
      </c>
      <c r="I3824" s="7" t="n">
        <v>45920</v>
      </c>
      <c r="J3824" s="8" t="str">
        <f aca="false">VLOOKUP(B3824, Table3[#All], 2, FALSE())</f>
        <v>Inventory</v>
      </c>
      <c r="K3824" s="8" t="str">
        <f aca="false">TEXT(ROW(), "0000")</f>
        <v>3824</v>
      </c>
      <c r="L3824" s="8"/>
    </row>
    <row r="3825" customFormat="false" ht="15.75" hidden="false" customHeight="true" outlineLevel="0" collapsed="false">
      <c r="A3825" s="7" t="n">
        <v>45920</v>
      </c>
      <c r="B3825" s="8" t="s">
        <v>36</v>
      </c>
      <c r="C3825" s="9" t="n">
        <v>120</v>
      </c>
      <c r="D3825" s="8" t="s">
        <v>21</v>
      </c>
      <c r="E3825" s="10" t="s">
        <v>487</v>
      </c>
      <c r="F3825" s="8" t="str">
        <f aca="false">TEXT(A3825,"MM-YYYY")</f>
        <v>09-2025</v>
      </c>
      <c r="G3825" s="8" t="s">
        <v>14</v>
      </c>
      <c r="H3825" s="8" t="s">
        <v>15</v>
      </c>
      <c r="I3825" s="7" t="n">
        <v>45920</v>
      </c>
      <c r="J3825" s="8" t="str">
        <f aca="false">VLOOKUP(B3825, Table3[#All], 2, FALSE())</f>
        <v>Maintance</v>
      </c>
      <c r="K3825" s="8" t="str">
        <f aca="false">TEXT(ROW(), "0000")</f>
        <v>3825</v>
      </c>
      <c r="L3825" s="8"/>
    </row>
    <row r="3826" customFormat="false" ht="15.75" hidden="false" customHeight="true" outlineLevel="0" collapsed="false">
      <c r="A3826" s="7" t="n">
        <v>45920</v>
      </c>
      <c r="B3826" s="8" t="s">
        <v>19</v>
      </c>
      <c r="C3826" s="9" t="n">
        <v>880</v>
      </c>
      <c r="D3826" s="8" t="s">
        <v>13</v>
      </c>
      <c r="E3826" s="10" t="s">
        <v>546</v>
      </c>
      <c r="F3826" s="8" t="str">
        <f aca="false">TEXT(A3826,"MM-YYYY")</f>
        <v>09-2025</v>
      </c>
      <c r="G3826" s="8" t="s">
        <v>14</v>
      </c>
      <c r="H3826" s="8" t="s">
        <v>13</v>
      </c>
      <c r="I3826" s="7" t="n">
        <v>45920</v>
      </c>
      <c r="J3826" s="8" t="str">
        <f aca="false">VLOOKUP(B3826, Table3[#All], 2, FALSE())</f>
        <v>Inventory</v>
      </c>
      <c r="K3826" s="8" t="str">
        <f aca="false">TEXT(ROW(), "0000")</f>
        <v>3826</v>
      </c>
      <c r="L3826" s="8"/>
    </row>
    <row r="3827" customFormat="false" ht="15.75" hidden="false" customHeight="true" outlineLevel="0" collapsed="false">
      <c r="A3827" s="7" t="n">
        <v>45920</v>
      </c>
      <c r="B3827" s="8" t="s">
        <v>28</v>
      </c>
      <c r="C3827" s="9" t="n">
        <v>355</v>
      </c>
      <c r="D3827" s="8" t="s">
        <v>21</v>
      </c>
      <c r="E3827" s="10" t="s">
        <v>93</v>
      </c>
      <c r="F3827" s="8" t="str">
        <f aca="false">TEXT(A3827,"MM-YYYY")</f>
        <v>09-2025</v>
      </c>
      <c r="G3827" s="8" t="s">
        <v>14</v>
      </c>
      <c r="H3827" s="8" t="s">
        <v>15</v>
      </c>
      <c r="I3827" s="7" t="n">
        <v>45920</v>
      </c>
      <c r="J3827" s="8" t="str">
        <f aca="false">VLOOKUP(B3827, Table3[#All], 2, FALSE())</f>
        <v>Grocery</v>
      </c>
      <c r="K3827" s="8" t="str">
        <f aca="false">TEXT(ROW(), "0000")</f>
        <v>3827</v>
      </c>
      <c r="L3827" s="8"/>
    </row>
    <row r="3828" customFormat="false" ht="15.75" hidden="false" customHeight="true" outlineLevel="0" collapsed="false">
      <c r="A3828" s="7" t="n">
        <v>45920</v>
      </c>
      <c r="B3828" s="8" t="s">
        <v>31</v>
      </c>
      <c r="C3828" s="9" t="n">
        <v>310</v>
      </c>
      <c r="D3828" s="8" t="s">
        <v>21</v>
      </c>
      <c r="E3828" s="10" t="s">
        <v>236</v>
      </c>
      <c r="F3828" s="8" t="str">
        <f aca="false">TEXT(A3828,"MM-YYYY")</f>
        <v>09-2025</v>
      </c>
      <c r="G3828" s="8" t="s">
        <v>14</v>
      </c>
      <c r="H3828" s="8" t="s">
        <v>15</v>
      </c>
      <c r="I3828" s="7" t="n">
        <v>45920</v>
      </c>
      <c r="J3828" s="8" t="str">
        <f aca="false">VLOOKUP(B3828, Table3[#All], 2, FALSE())</f>
        <v>Bike Maintance</v>
      </c>
      <c r="K3828" s="8" t="str">
        <f aca="false">TEXT(ROW(), "0000")</f>
        <v>3828</v>
      </c>
      <c r="L3828" s="8"/>
    </row>
    <row r="3829" customFormat="false" ht="15.75" hidden="false" customHeight="true" outlineLevel="0" collapsed="false">
      <c r="A3829" s="7" t="n">
        <v>45920</v>
      </c>
      <c r="B3829" s="8" t="s">
        <v>19</v>
      </c>
      <c r="C3829" s="9" t="n">
        <v>1492</v>
      </c>
      <c r="D3829" s="8" t="s">
        <v>13</v>
      </c>
      <c r="E3829" s="10" t="s">
        <v>19</v>
      </c>
      <c r="F3829" s="8" t="str">
        <f aca="false">TEXT(A3829,"MM-YYYY")</f>
        <v>09-2025</v>
      </c>
      <c r="G3829" s="8" t="s">
        <v>14</v>
      </c>
      <c r="H3829" s="8" t="s">
        <v>262</v>
      </c>
      <c r="I3829" s="7" t="n">
        <v>45920</v>
      </c>
      <c r="J3829" s="8" t="str">
        <f aca="false">VLOOKUP(B3829, Table3[#All], 2, FALSE())</f>
        <v>Inventory</v>
      </c>
      <c r="K3829" s="8" t="str">
        <f aca="false">TEXT(ROW(), "0000")</f>
        <v>3829</v>
      </c>
      <c r="L3829" s="8"/>
    </row>
    <row r="3830" customFormat="false" ht="15.75" hidden="false" customHeight="true" outlineLevel="0" collapsed="false">
      <c r="A3830" s="7" t="n">
        <v>45919</v>
      </c>
      <c r="B3830" s="8" t="s">
        <v>50</v>
      </c>
      <c r="C3830" s="9" t="n">
        <v>1593</v>
      </c>
      <c r="D3830" s="8" t="s">
        <v>13</v>
      </c>
      <c r="E3830" s="10" t="s">
        <v>263</v>
      </c>
      <c r="F3830" s="8" t="str">
        <f aca="false">TEXT(A3830,"MM-YYYY")</f>
        <v>09-2025</v>
      </c>
      <c r="G3830" s="8" t="s">
        <v>18</v>
      </c>
      <c r="H3830" s="8"/>
      <c r="I3830" s="7"/>
      <c r="J3830" s="8" t="str">
        <f aca="false">VLOOKUP(B3830, Table3[#All], 2, FALSE())</f>
        <v>Fixed Maintance</v>
      </c>
      <c r="K3830" s="8" t="str">
        <f aca="false">TEXT(ROW(), "0000")</f>
        <v>3830</v>
      </c>
      <c r="L3830" s="8"/>
    </row>
    <row r="3831" customFormat="false" ht="15.75" hidden="false" customHeight="true" outlineLevel="0" collapsed="false">
      <c r="A3831" s="7" t="n">
        <v>45920</v>
      </c>
      <c r="B3831" s="8" t="s">
        <v>50</v>
      </c>
      <c r="C3831" s="9" t="n">
        <v>1593</v>
      </c>
      <c r="D3831" s="8" t="s">
        <v>13</v>
      </c>
      <c r="E3831" s="10" t="s">
        <v>263</v>
      </c>
      <c r="F3831" s="8" t="str">
        <f aca="false">TEXT(A3831,"MM-YYYY")</f>
        <v>09-2025</v>
      </c>
      <c r="G3831" s="8" t="s">
        <v>18</v>
      </c>
      <c r="H3831" s="8"/>
      <c r="I3831" s="7"/>
      <c r="J3831" s="8" t="str">
        <f aca="false">VLOOKUP(B3831, Table3[#All], 2, FALSE())</f>
        <v>Fixed Maintance</v>
      </c>
      <c r="K3831" s="8" t="str">
        <f aca="false">TEXT(ROW(), "0000")</f>
        <v>3831</v>
      </c>
      <c r="L3831" s="8"/>
    </row>
    <row r="3832" customFormat="false" ht="15.75" hidden="false" customHeight="true" outlineLevel="0" collapsed="false">
      <c r="A3832" s="7" t="n">
        <v>45920</v>
      </c>
      <c r="B3832" s="8" t="s">
        <v>29</v>
      </c>
      <c r="C3832" s="9" t="n">
        <v>648</v>
      </c>
      <c r="D3832" s="8" t="s">
        <v>13</v>
      </c>
      <c r="E3832" s="10" t="s">
        <v>490</v>
      </c>
      <c r="F3832" s="8" t="str">
        <f aca="false">TEXT(A3832,"MM-YYYY")</f>
        <v>09-2025</v>
      </c>
      <c r="G3832" s="8" t="s">
        <v>18</v>
      </c>
      <c r="H3832" s="8"/>
      <c r="I3832" s="7"/>
      <c r="J3832" s="8" t="str">
        <f aca="false">VLOOKUP(B3832, Table3[#All], 2, FALSE())</f>
        <v>Inventory</v>
      </c>
      <c r="K3832" s="8" t="str">
        <f aca="false">TEXT(ROW(), "0000")</f>
        <v>3832</v>
      </c>
      <c r="L3832" s="8"/>
    </row>
    <row r="3833" customFormat="false" ht="15.75" hidden="false" customHeight="true" outlineLevel="0" collapsed="false">
      <c r="A3833" s="7" t="n">
        <v>45920</v>
      </c>
      <c r="B3833" s="8" t="s">
        <v>25</v>
      </c>
      <c r="C3833" s="9" t="n">
        <v>1038</v>
      </c>
      <c r="D3833" s="8" t="s">
        <v>13</v>
      </c>
      <c r="E3833" s="10" t="s">
        <v>92</v>
      </c>
      <c r="F3833" s="8" t="str">
        <f aca="false">TEXT(A3833,"MM-YYYY")</f>
        <v>09-2025</v>
      </c>
      <c r="G3833" s="8" t="s">
        <v>18</v>
      </c>
      <c r="H3833" s="8"/>
      <c r="I3833" s="7"/>
      <c r="J3833" s="8" t="str">
        <f aca="false">VLOOKUP(B3833, Table3[#All], 2, FALSE())</f>
        <v>Inventory</v>
      </c>
      <c r="K3833" s="8" t="str">
        <f aca="false">TEXT(ROW(), "0000")</f>
        <v>3833</v>
      </c>
      <c r="L3833" s="8"/>
    </row>
    <row r="3834" customFormat="false" ht="15.75" hidden="false" customHeight="true" outlineLevel="0" collapsed="false">
      <c r="A3834" s="7" t="n">
        <v>45920</v>
      </c>
      <c r="B3834" s="8" t="s">
        <v>29</v>
      </c>
      <c r="C3834" s="9" t="n">
        <v>200</v>
      </c>
      <c r="D3834" s="8" t="s">
        <v>21</v>
      </c>
      <c r="E3834" s="10" t="s">
        <v>488</v>
      </c>
      <c r="F3834" s="8" t="str">
        <f aca="false">TEXT(A3834,"MM-YYYY")</f>
        <v>09-2025</v>
      </c>
      <c r="G3834" s="8" t="s">
        <v>14</v>
      </c>
      <c r="H3834" s="8" t="s">
        <v>15</v>
      </c>
      <c r="I3834" s="7" t="n">
        <v>45920</v>
      </c>
      <c r="J3834" s="8" t="str">
        <f aca="false">VLOOKUP(B3834, Table3[#All], 2, FALSE())</f>
        <v>Inventory</v>
      </c>
      <c r="K3834" s="8" t="str">
        <f aca="false">TEXT(ROW(), "0000")</f>
        <v>3834</v>
      </c>
      <c r="L3834" s="8"/>
    </row>
    <row r="3835" customFormat="false" ht="15.75" hidden="false" customHeight="true" outlineLevel="0" collapsed="false">
      <c r="A3835" s="7" t="n">
        <v>45920</v>
      </c>
      <c r="B3835" s="8" t="s">
        <v>51</v>
      </c>
      <c r="C3835" s="9" t="n">
        <v>500</v>
      </c>
      <c r="D3835" s="8" t="s">
        <v>13</v>
      </c>
      <c r="E3835" s="10" t="s">
        <v>51</v>
      </c>
      <c r="F3835" s="8" t="str">
        <f aca="false">TEXT(A3835,"MM-YYYY")</f>
        <v>09-2025</v>
      </c>
      <c r="G3835" s="8" t="s">
        <v>14</v>
      </c>
      <c r="H3835" s="8" t="s">
        <v>13</v>
      </c>
      <c r="I3835" s="7" t="n">
        <v>45920</v>
      </c>
      <c r="J3835" s="8" t="str">
        <f aca="false">VLOOKUP(B3835, Table3[#All], 2, FALSE())</f>
        <v>Inventory</v>
      </c>
      <c r="K3835" s="8" t="str">
        <f aca="false">TEXT(ROW(), "0000")</f>
        <v>3835</v>
      </c>
      <c r="L3835" s="8"/>
    </row>
    <row r="3836" customFormat="false" ht="15.75" hidden="false" customHeight="true" outlineLevel="0" collapsed="false">
      <c r="A3836" s="7" t="n">
        <v>45920</v>
      </c>
      <c r="B3836" s="8" t="s">
        <v>16</v>
      </c>
      <c r="C3836" s="9" t="n">
        <v>2414</v>
      </c>
      <c r="D3836" s="8" t="s">
        <v>21</v>
      </c>
      <c r="E3836" s="10" t="s">
        <v>88</v>
      </c>
      <c r="F3836" s="8" t="str">
        <f aca="false">TEXT(A3836,"MM-YYYY")</f>
        <v>09-2025</v>
      </c>
      <c r="G3836" s="8"/>
      <c r="H3836" s="8"/>
      <c r="I3836" s="7"/>
      <c r="J3836" s="8" t="str">
        <f aca="false">VLOOKUP(B3836, Table3[#All], 2, FALSE())</f>
        <v>Sales</v>
      </c>
      <c r="K3836" s="8" t="str">
        <f aca="false">TEXT(ROW(), "0000")</f>
        <v>3836</v>
      </c>
      <c r="L3836" s="8"/>
    </row>
    <row r="3837" customFormat="false" ht="15.75" hidden="false" customHeight="true" outlineLevel="0" collapsed="false">
      <c r="A3837" s="7" t="n">
        <v>45920</v>
      </c>
      <c r="B3837" s="8" t="s">
        <v>16</v>
      </c>
      <c r="C3837" s="9" t="n">
        <v>260</v>
      </c>
      <c r="D3837" s="8" t="s">
        <v>27</v>
      </c>
      <c r="E3837" s="10" t="s">
        <v>88</v>
      </c>
      <c r="F3837" s="8" t="str">
        <f aca="false">TEXT(A3837,"MM-YYYY")</f>
        <v>09-2025</v>
      </c>
      <c r="G3837" s="8"/>
      <c r="H3837" s="8"/>
      <c r="I3837" s="7"/>
      <c r="J3837" s="8" t="str">
        <f aca="false">VLOOKUP(B3837, Table3[#All], 2, FALSE())</f>
        <v>Sales</v>
      </c>
      <c r="K3837" s="8" t="str">
        <f aca="false">TEXT(ROW(), "0000")</f>
        <v>3837</v>
      </c>
      <c r="L3837" s="8"/>
    </row>
    <row r="3838" customFormat="false" ht="15.75" hidden="false" customHeight="true" outlineLevel="0" collapsed="false">
      <c r="A3838" s="7" t="n">
        <v>45920</v>
      </c>
      <c r="B3838" s="8" t="s">
        <v>16</v>
      </c>
      <c r="C3838" s="9" t="n">
        <v>24804</v>
      </c>
      <c r="D3838" s="8" t="s">
        <v>17</v>
      </c>
      <c r="E3838" s="10" t="s">
        <v>88</v>
      </c>
      <c r="F3838" s="8" t="str">
        <f aca="false">TEXT(A3838,"MM-YYYY")</f>
        <v>09-2025</v>
      </c>
      <c r="G3838" s="8"/>
      <c r="H3838" s="8"/>
      <c r="I3838" s="7"/>
      <c r="J3838" s="8" t="str">
        <f aca="false">VLOOKUP(B3838, Table3[#All], 2, FALSE())</f>
        <v>Sales</v>
      </c>
      <c r="K3838" s="8" t="str">
        <f aca="false">TEXT(ROW(), "0000")</f>
        <v>3838</v>
      </c>
      <c r="L3838" s="8"/>
    </row>
    <row r="3839" customFormat="false" ht="15.75" hidden="false" customHeight="true" outlineLevel="0" collapsed="false">
      <c r="A3839" s="7" t="n">
        <v>45920</v>
      </c>
      <c r="B3839" s="8" t="s">
        <v>16</v>
      </c>
      <c r="C3839" s="9" t="n">
        <v>570</v>
      </c>
      <c r="D3839" s="8" t="s">
        <v>59</v>
      </c>
      <c r="E3839" s="10" t="s">
        <v>88</v>
      </c>
      <c r="F3839" s="8" t="str">
        <f aca="false">TEXT(A3839,"MM-YYYY")</f>
        <v>09-2025</v>
      </c>
      <c r="G3839" s="8"/>
      <c r="H3839" s="8"/>
      <c r="I3839" s="7"/>
      <c r="J3839" s="8" t="str">
        <f aca="false">VLOOKUP(B3839, Table3[#All], 2, FALSE())</f>
        <v>Sales</v>
      </c>
      <c r="K3839" s="8" t="str">
        <f aca="false">TEXT(ROW(), "0000")</f>
        <v>3839</v>
      </c>
      <c r="L3839" s="8"/>
    </row>
    <row r="3840" customFormat="false" ht="15.75" hidden="false" customHeight="true" outlineLevel="0" collapsed="false">
      <c r="A3840" s="7" t="n">
        <v>45920</v>
      </c>
      <c r="B3840" s="8" t="s">
        <v>16</v>
      </c>
      <c r="C3840" s="9" t="n">
        <v>2839</v>
      </c>
      <c r="D3840" s="8" t="s">
        <v>24</v>
      </c>
      <c r="E3840" s="10" t="s">
        <v>88</v>
      </c>
      <c r="F3840" s="8" t="str">
        <f aca="false">TEXT(A3840,"MM-YYYY")</f>
        <v>09-2025</v>
      </c>
      <c r="G3840" s="8"/>
      <c r="H3840" s="8"/>
      <c r="I3840" s="7"/>
      <c r="J3840" s="8" t="str">
        <f aca="false">VLOOKUP(B3840, Table3[#All], 2, FALSE())</f>
        <v>Sales</v>
      </c>
      <c r="K3840" s="8" t="str">
        <f aca="false">TEXT(ROW(), "0000")</f>
        <v>3840</v>
      </c>
      <c r="L3840" s="8"/>
    </row>
    <row r="3841" customFormat="false" ht="15.75" hidden="false" customHeight="true" outlineLevel="0" collapsed="false">
      <c r="A3841" s="7" t="n">
        <v>45920</v>
      </c>
      <c r="B3841" s="8" t="s">
        <v>16</v>
      </c>
      <c r="C3841" s="9" t="n">
        <v>310</v>
      </c>
      <c r="D3841" s="8" t="s">
        <v>70</v>
      </c>
      <c r="E3841" s="10" t="s">
        <v>88</v>
      </c>
      <c r="F3841" s="8" t="str">
        <f aca="false">TEXT(A3841,"MM-YYYY")</f>
        <v>09-2025</v>
      </c>
      <c r="G3841" s="8"/>
      <c r="H3841" s="8"/>
      <c r="I3841" s="7"/>
      <c r="J3841" s="8" t="str">
        <f aca="false">VLOOKUP(B3841, Table3[#All], 2, FALSE())</f>
        <v>Sales</v>
      </c>
      <c r="K3841" s="8" t="str">
        <f aca="false">TEXT(ROW(), "0000")</f>
        <v>3841</v>
      </c>
      <c r="L3841" s="8"/>
    </row>
    <row r="3842" customFormat="false" ht="15.75" hidden="false" customHeight="true" outlineLevel="0" collapsed="false">
      <c r="A3842" s="7" t="n">
        <v>45920</v>
      </c>
      <c r="B3842" s="8" t="s">
        <v>34</v>
      </c>
      <c r="C3842" s="9" t="n">
        <v>164</v>
      </c>
      <c r="D3842" s="8" t="s">
        <v>21</v>
      </c>
      <c r="E3842" s="10" t="s">
        <v>545</v>
      </c>
      <c r="F3842" s="8" t="str">
        <f aca="false">TEXT(A3842,"MM-YYYY")</f>
        <v>09-2025</v>
      </c>
      <c r="G3842" s="8" t="s">
        <v>14</v>
      </c>
      <c r="H3842" s="8" t="s">
        <v>15</v>
      </c>
      <c r="I3842" s="7" t="n">
        <v>45920</v>
      </c>
      <c r="J3842" s="8" t="str">
        <f aca="false">VLOOKUP(B3842, Table3[#All], 2, FALSE())</f>
        <v>Staff Expenses</v>
      </c>
      <c r="K3842" s="8" t="str">
        <f aca="false">TEXT(ROW(), "0000")</f>
        <v>3842</v>
      </c>
      <c r="L3842" s="8"/>
    </row>
    <row r="3843" customFormat="false" ht="15.75" hidden="false" customHeight="true" outlineLevel="0" collapsed="false">
      <c r="A3843" s="7" t="n">
        <v>45921</v>
      </c>
      <c r="B3843" s="8" t="s">
        <v>32</v>
      </c>
      <c r="C3843" s="9" t="n">
        <v>275</v>
      </c>
      <c r="D3843" s="8" t="s">
        <v>21</v>
      </c>
      <c r="E3843" s="10" t="s">
        <v>450</v>
      </c>
      <c r="F3843" s="8" t="str">
        <f aca="false">TEXT(A3843,"MM-YYYY")</f>
        <v>09-2025</v>
      </c>
      <c r="G3843" s="8" t="s">
        <v>14</v>
      </c>
      <c r="H3843" s="8" t="s">
        <v>15</v>
      </c>
      <c r="I3843" s="7" t="n">
        <v>45921</v>
      </c>
      <c r="J3843" s="8" t="str">
        <f aca="false">VLOOKUP(B3843, Table3[#All], 2, FALSE())</f>
        <v>Grocery</v>
      </c>
      <c r="K3843" s="8" t="str">
        <f aca="false">TEXT(ROW(), "0000")</f>
        <v>3843</v>
      </c>
      <c r="L3843" s="8"/>
    </row>
    <row r="3844" customFormat="false" ht="15.75" hidden="false" customHeight="true" outlineLevel="0" collapsed="false">
      <c r="A3844" s="7" t="n">
        <v>45921</v>
      </c>
      <c r="B3844" s="8" t="s">
        <v>19</v>
      </c>
      <c r="C3844" s="9" t="n">
        <v>2695</v>
      </c>
      <c r="D3844" s="8" t="s">
        <v>13</v>
      </c>
      <c r="E3844" s="10" t="s">
        <v>473</v>
      </c>
      <c r="F3844" s="8" t="str">
        <f aca="false">TEXT(A3844,"MM-YYYY")</f>
        <v>09-2025</v>
      </c>
      <c r="G3844" s="8" t="s">
        <v>14</v>
      </c>
      <c r="H3844" s="8"/>
      <c r="I3844" s="7"/>
      <c r="J3844" s="8" t="str">
        <f aca="false">VLOOKUP(B3844, Table3[#All], 2, FALSE())</f>
        <v>Inventory</v>
      </c>
      <c r="K3844" s="8" t="str">
        <f aca="false">TEXT(ROW(), "0000")</f>
        <v>3844</v>
      </c>
      <c r="L3844" s="8"/>
    </row>
    <row r="3845" customFormat="false" ht="15.75" hidden="false" customHeight="true" outlineLevel="0" collapsed="false">
      <c r="A3845" s="7" t="n">
        <v>45921</v>
      </c>
      <c r="B3845" s="8" t="s">
        <v>53</v>
      </c>
      <c r="C3845" s="9" t="n">
        <v>475</v>
      </c>
      <c r="D3845" s="8" t="s">
        <v>45</v>
      </c>
      <c r="E3845" s="10" t="s">
        <v>55</v>
      </c>
      <c r="F3845" s="8" t="str">
        <f aca="false">TEXT(A3845,"MM-YYYY")</f>
        <v>09-2025</v>
      </c>
      <c r="G3845" s="8" t="s">
        <v>14</v>
      </c>
      <c r="H3845" s="8" t="s">
        <v>232</v>
      </c>
      <c r="I3845" s="7" t="n">
        <v>45921</v>
      </c>
      <c r="J3845" s="8" t="str">
        <f aca="false">VLOOKUP(B3845, Table3[#All], 2, FALSE())</f>
        <v>Grocery</v>
      </c>
      <c r="K3845" s="8" t="str">
        <f aca="false">TEXT(ROW(), "0000")</f>
        <v>3845</v>
      </c>
      <c r="L3845" s="8"/>
    </row>
    <row r="3846" customFormat="false" ht="15.75" hidden="false" customHeight="true" outlineLevel="0" collapsed="false">
      <c r="A3846" s="7" t="n">
        <v>45921</v>
      </c>
      <c r="B3846" s="8" t="s">
        <v>25</v>
      </c>
      <c r="C3846" s="9" t="n">
        <v>1585</v>
      </c>
      <c r="D3846" s="8" t="s">
        <v>13</v>
      </c>
      <c r="E3846" s="10" t="s">
        <v>92</v>
      </c>
      <c r="F3846" s="8" t="str">
        <f aca="false">TEXT(A3846,"MM-YYYY")</f>
        <v>09-2025</v>
      </c>
      <c r="G3846" s="8" t="s">
        <v>18</v>
      </c>
      <c r="H3846" s="8"/>
      <c r="I3846" s="7"/>
      <c r="J3846" s="8" t="str">
        <f aca="false">VLOOKUP(B3846, Table3[#All], 2, FALSE())</f>
        <v>Inventory</v>
      </c>
      <c r="K3846" s="8" t="str">
        <f aca="false">TEXT(ROW(), "0000")</f>
        <v>3846</v>
      </c>
      <c r="L3846" s="8"/>
    </row>
    <row r="3847" customFormat="false" ht="15.75" hidden="false" customHeight="true" outlineLevel="0" collapsed="false">
      <c r="A3847" s="7" t="n">
        <v>45921</v>
      </c>
      <c r="B3847" s="8" t="s">
        <v>51</v>
      </c>
      <c r="C3847" s="9" t="n">
        <v>350</v>
      </c>
      <c r="D3847" s="8" t="s">
        <v>13</v>
      </c>
      <c r="E3847" s="10" t="s">
        <v>51</v>
      </c>
      <c r="F3847" s="8" t="str">
        <f aca="false">TEXT(A3847,"MM-YYYY")</f>
        <v>09-2025</v>
      </c>
      <c r="G3847" s="8" t="s">
        <v>14</v>
      </c>
      <c r="H3847" s="8" t="s">
        <v>13</v>
      </c>
      <c r="I3847" s="7" t="n">
        <v>45921</v>
      </c>
      <c r="J3847" s="8" t="str">
        <f aca="false">VLOOKUP(B3847, Table3[#All], 2, FALSE())</f>
        <v>Inventory</v>
      </c>
      <c r="K3847" s="8" t="str">
        <f aca="false">TEXT(ROW(), "0000")</f>
        <v>3847</v>
      </c>
      <c r="L3847" s="8"/>
    </row>
    <row r="3848" customFormat="false" ht="15.75" hidden="false" customHeight="true" outlineLevel="0" collapsed="false">
      <c r="A3848" s="7" t="n">
        <v>45921</v>
      </c>
      <c r="B3848" s="8" t="s">
        <v>29</v>
      </c>
      <c r="C3848" s="9" t="n">
        <v>431</v>
      </c>
      <c r="D3848" s="8" t="s">
        <v>13</v>
      </c>
      <c r="E3848" s="10" t="s">
        <v>490</v>
      </c>
      <c r="F3848" s="8" t="str">
        <f aca="false">TEXT(A3848,"MM-YYYY")</f>
        <v>09-2025</v>
      </c>
      <c r="G3848" s="8" t="s">
        <v>18</v>
      </c>
      <c r="H3848" s="8"/>
      <c r="I3848" s="7"/>
      <c r="J3848" s="8" t="str">
        <f aca="false">VLOOKUP(B3848, Table3[#All], 2, FALSE())</f>
        <v>Inventory</v>
      </c>
      <c r="K3848" s="8" t="str">
        <f aca="false">TEXT(ROW(), "0000")</f>
        <v>3848</v>
      </c>
      <c r="L3848" s="8"/>
    </row>
    <row r="3849" customFormat="false" ht="15.75" hidden="false" customHeight="true" outlineLevel="0" collapsed="false">
      <c r="A3849" s="7" t="n">
        <v>45921</v>
      </c>
      <c r="B3849" s="8" t="s">
        <v>22</v>
      </c>
      <c r="C3849" s="9" t="n">
        <v>1700</v>
      </c>
      <c r="D3849" s="8" t="s">
        <v>13</v>
      </c>
      <c r="E3849" s="10" t="s">
        <v>547</v>
      </c>
      <c r="F3849" s="8" t="str">
        <f aca="false">TEXT(A3849,"MM-YYYY")</f>
        <v>09-2025</v>
      </c>
      <c r="G3849" s="8" t="s">
        <v>14</v>
      </c>
      <c r="H3849" s="8" t="s">
        <v>13</v>
      </c>
      <c r="I3849" s="7" t="n">
        <v>45921</v>
      </c>
      <c r="J3849" s="8" t="str">
        <f aca="false">VLOOKUP(B3849, Table3[#All], 2, FALSE())</f>
        <v>Inventory</v>
      </c>
      <c r="K3849" s="8" t="str">
        <f aca="false">TEXT(ROW(), "0000")</f>
        <v>3849</v>
      </c>
      <c r="L3849" s="8"/>
    </row>
    <row r="3850" customFormat="false" ht="15.75" hidden="false" customHeight="true" outlineLevel="0" collapsed="false">
      <c r="A3850" s="7" t="n">
        <v>45921</v>
      </c>
      <c r="B3850" s="8" t="s">
        <v>50</v>
      </c>
      <c r="C3850" s="9" t="n">
        <v>1593</v>
      </c>
      <c r="D3850" s="8" t="s">
        <v>13</v>
      </c>
      <c r="E3850" s="10" t="s">
        <v>263</v>
      </c>
      <c r="F3850" s="8" t="str">
        <f aca="false">TEXT(A3850,"MM-YYYY")</f>
        <v>09-2025</v>
      </c>
      <c r="G3850" s="8" t="s">
        <v>18</v>
      </c>
      <c r="H3850" s="8"/>
      <c r="I3850" s="7"/>
      <c r="J3850" s="8" t="str">
        <f aca="false">VLOOKUP(B3850, Table3[#All], 2, FALSE())</f>
        <v>Fixed Maintance</v>
      </c>
      <c r="K3850" s="8" t="str">
        <f aca="false">TEXT(ROW(), "0000")</f>
        <v>3850</v>
      </c>
      <c r="L3850" s="8"/>
    </row>
    <row r="3851" customFormat="false" ht="15.75" hidden="false" customHeight="true" outlineLevel="0" collapsed="false">
      <c r="A3851" s="7" t="n">
        <v>45921</v>
      </c>
      <c r="B3851" s="8" t="s">
        <v>16</v>
      </c>
      <c r="C3851" s="9" t="n">
        <v>1825</v>
      </c>
      <c r="D3851" s="8" t="s">
        <v>21</v>
      </c>
      <c r="E3851" s="10" t="s">
        <v>88</v>
      </c>
      <c r="F3851" s="8" t="str">
        <f aca="false">TEXT(A3851,"MM-YYYY")</f>
        <v>09-2025</v>
      </c>
      <c r="G3851" s="8"/>
      <c r="H3851" s="8"/>
      <c r="I3851" s="7"/>
      <c r="J3851" s="8" t="str">
        <f aca="false">VLOOKUP(B3851, Table3[#All], 2, FALSE())</f>
        <v>Sales</v>
      </c>
      <c r="K3851" s="8" t="str">
        <f aca="false">TEXT(ROW(), "0000")</f>
        <v>3851</v>
      </c>
      <c r="L3851" s="8"/>
    </row>
    <row r="3852" customFormat="false" ht="15.75" hidden="false" customHeight="true" outlineLevel="0" collapsed="false">
      <c r="A3852" s="7" t="n">
        <v>45921</v>
      </c>
      <c r="B3852" s="8" t="s">
        <v>16</v>
      </c>
      <c r="C3852" s="9" t="n">
        <v>625</v>
      </c>
      <c r="D3852" s="8" t="s">
        <v>27</v>
      </c>
      <c r="E3852" s="10" t="s">
        <v>88</v>
      </c>
      <c r="F3852" s="8" t="str">
        <f aca="false">TEXT(A3852,"MM-YYYY")</f>
        <v>09-2025</v>
      </c>
      <c r="G3852" s="8"/>
      <c r="H3852" s="8"/>
      <c r="I3852" s="7"/>
      <c r="J3852" s="8" t="str">
        <f aca="false">VLOOKUP(B3852, Table3[#All], 2, FALSE())</f>
        <v>Sales</v>
      </c>
      <c r="K3852" s="8" t="str">
        <f aca="false">TEXT(ROW(), "0000")</f>
        <v>3852</v>
      </c>
      <c r="L3852" s="8"/>
    </row>
    <row r="3853" customFormat="false" ht="15.75" hidden="false" customHeight="true" outlineLevel="0" collapsed="false">
      <c r="A3853" s="7" t="n">
        <v>45921</v>
      </c>
      <c r="B3853" s="8" t="s">
        <v>16</v>
      </c>
      <c r="C3853" s="9" t="n">
        <v>470</v>
      </c>
      <c r="D3853" s="8" t="s">
        <v>70</v>
      </c>
      <c r="E3853" s="10" t="s">
        <v>88</v>
      </c>
      <c r="F3853" s="8" t="str">
        <f aca="false">TEXT(A3853,"MM-YYYY")</f>
        <v>09-2025</v>
      </c>
      <c r="G3853" s="8"/>
      <c r="H3853" s="8"/>
      <c r="I3853" s="7"/>
      <c r="J3853" s="8" t="str">
        <f aca="false">VLOOKUP(B3853, Table3[#All], 2, FALSE())</f>
        <v>Sales</v>
      </c>
      <c r="K3853" s="8" t="str">
        <f aca="false">TEXT(ROW(), "0000")</f>
        <v>3853</v>
      </c>
      <c r="L3853" s="8"/>
    </row>
    <row r="3854" customFormat="false" ht="15.75" hidden="false" customHeight="true" outlineLevel="0" collapsed="false">
      <c r="A3854" s="7" t="n">
        <v>45921</v>
      </c>
      <c r="B3854" s="8" t="s">
        <v>16</v>
      </c>
      <c r="C3854" s="9" t="n">
        <v>480</v>
      </c>
      <c r="D3854" s="8" t="s">
        <v>33</v>
      </c>
      <c r="E3854" s="10" t="s">
        <v>88</v>
      </c>
      <c r="F3854" s="8" t="str">
        <f aca="false">TEXT(A3854,"MM-YYYY")</f>
        <v>09-2025</v>
      </c>
      <c r="G3854" s="8"/>
      <c r="H3854" s="8"/>
      <c r="I3854" s="7"/>
      <c r="J3854" s="8" t="str">
        <f aca="false">VLOOKUP(B3854, Table3[#All], 2, FALSE())</f>
        <v>Sales</v>
      </c>
      <c r="K3854" s="8" t="str">
        <f aca="false">TEXT(ROW(), "0000")</f>
        <v>3854</v>
      </c>
      <c r="L3854" s="8"/>
    </row>
    <row r="3855" customFormat="false" ht="15.75" hidden="false" customHeight="true" outlineLevel="0" collapsed="false">
      <c r="A3855" s="7" t="n">
        <v>45921</v>
      </c>
      <c r="B3855" s="8" t="s">
        <v>16</v>
      </c>
      <c r="C3855" s="9" t="n">
        <v>22260</v>
      </c>
      <c r="D3855" s="8" t="s">
        <v>17</v>
      </c>
      <c r="E3855" s="10" t="s">
        <v>88</v>
      </c>
      <c r="F3855" s="8" t="str">
        <f aca="false">TEXT(A3855,"MM-YYYY")</f>
        <v>09-2025</v>
      </c>
      <c r="G3855" s="8"/>
      <c r="H3855" s="8"/>
      <c r="I3855" s="7"/>
      <c r="J3855" s="8" t="str">
        <f aca="false">VLOOKUP(B3855, Table3[#All], 2, FALSE())</f>
        <v>Sales</v>
      </c>
      <c r="K3855" s="8" t="str">
        <f aca="false">TEXT(ROW(), "0000")</f>
        <v>3855</v>
      </c>
      <c r="L3855" s="8"/>
    </row>
    <row r="3856" customFormat="false" ht="15.75" hidden="false" customHeight="true" outlineLevel="0" collapsed="false">
      <c r="A3856" s="7" t="n">
        <v>45921</v>
      </c>
      <c r="B3856" s="8" t="s">
        <v>16</v>
      </c>
      <c r="C3856" s="9" t="n">
        <v>2586</v>
      </c>
      <c r="D3856" s="8" t="s">
        <v>24</v>
      </c>
      <c r="E3856" s="10" t="s">
        <v>88</v>
      </c>
      <c r="F3856" s="8" t="str">
        <f aca="false">TEXT(A3856,"MM-YYYY")</f>
        <v>09-2025</v>
      </c>
      <c r="G3856" s="8"/>
      <c r="H3856" s="8"/>
      <c r="I3856" s="7"/>
      <c r="J3856" s="8" t="str">
        <f aca="false">VLOOKUP(B3856, Table3[#All], 2, FALSE())</f>
        <v>Sales</v>
      </c>
      <c r="K3856" s="8" t="str">
        <f aca="false">TEXT(ROW(), "0000")</f>
        <v>3856</v>
      </c>
      <c r="L3856" s="8"/>
    </row>
    <row r="3857" customFormat="false" ht="15.75" hidden="false" customHeight="true" outlineLevel="0" collapsed="false">
      <c r="A3857" s="7" t="n">
        <v>45921</v>
      </c>
      <c r="B3857" s="8" t="s">
        <v>31</v>
      </c>
      <c r="C3857" s="9" t="n">
        <v>150</v>
      </c>
      <c r="D3857" s="8" t="s">
        <v>45</v>
      </c>
      <c r="E3857" s="10" t="s">
        <v>539</v>
      </c>
      <c r="F3857" s="8" t="str">
        <f aca="false">TEXT(A3857,"MM-YYYY")</f>
        <v>09-2025</v>
      </c>
      <c r="G3857" s="8" t="s">
        <v>14</v>
      </c>
      <c r="H3857" s="8" t="s">
        <v>232</v>
      </c>
      <c r="I3857" s="7" t="n">
        <v>45921</v>
      </c>
      <c r="J3857" s="8" t="str">
        <f aca="false">VLOOKUP(B3857, Table3[#All], 2, FALSE())</f>
        <v>Bike Maintance</v>
      </c>
      <c r="K3857" s="8" t="str">
        <f aca="false">TEXT(ROW(), "0000")</f>
        <v>3857</v>
      </c>
      <c r="L3857" s="8"/>
    </row>
    <row r="3858" customFormat="false" ht="15.75" hidden="false" customHeight="true" outlineLevel="0" collapsed="false">
      <c r="A3858" s="7" t="n">
        <v>45921</v>
      </c>
      <c r="B3858" s="8" t="s">
        <v>44</v>
      </c>
      <c r="C3858" s="9" t="n">
        <v>500</v>
      </c>
      <c r="D3858" s="8" t="s">
        <v>21</v>
      </c>
      <c r="E3858" s="10" t="s">
        <v>377</v>
      </c>
      <c r="F3858" s="8" t="str">
        <f aca="false">TEXT(A3858,"MM-YYYY")</f>
        <v>09-2025</v>
      </c>
      <c r="G3858" s="8" t="s">
        <v>14</v>
      </c>
      <c r="H3858" s="8" t="s">
        <v>15</v>
      </c>
      <c r="I3858" s="7" t="n">
        <v>45921</v>
      </c>
      <c r="J3858" s="8" t="str">
        <f aca="false">VLOOKUP(B3858, Table3[#All], 2, FALSE())</f>
        <v>Salary</v>
      </c>
      <c r="K3858" s="8" t="str">
        <f aca="false">TEXT(ROW(), "0000")</f>
        <v>3858</v>
      </c>
      <c r="L3858" s="8"/>
    </row>
    <row r="3859" customFormat="false" ht="15.75" hidden="false" customHeight="true" outlineLevel="0" collapsed="false">
      <c r="A3859" s="7" t="n">
        <v>45921</v>
      </c>
      <c r="B3859" s="8" t="s">
        <v>34</v>
      </c>
      <c r="C3859" s="9" t="n">
        <v>210</v>
      </c>
      <c r="D3859" s="8" t="s">
        <v>45</v>
      </c>
      <c r="E3859" s="10" t="s">
        <v>545</v>
      </c>
      <c r="F3859" s="8" t="str">
        <f aca="false">TEXT(A3859,"MM-YYYY")</f>
        <v>09-2025</v>
      </c>
      <c r="G3859" s="8" t="s">
        <v>14</v>
      </c>
      <c r="H3859" s="8" t="s">
        <v>232</v>
      </c>
      <c r="I3859" s="7" t="n">
        <v>45921</v>
      </c>
      <c r="J3859" s="8" t="str">
        <f aca="false">VLOOKUP(B3859, Table3[#All], 2, FALSE())</f>
        <v>Staff Expenses</v>
      </c>
      <c r="K3859" s="8" t="str">
        <f aca="false">TEXT(ROW(), "0000")</f>
        <v>3859</v>
      </c>
      <c r="L3859" s="8"/>
    </row>
    <row r="3860" customFormat="false" ht="15.75" hidden="false" customHeight="true" outlineLevel="0" collapsed="false">
      <c r="A3860" s="7" t="n">
        <v>45921</v>
      </c>
      <c r="B3860" s="8" t="s">
        <v>37</v>
      </c>
      <c r="C3860" s="9" t="n">
        <v>65</v>
      </c>
      <c r="D3860" s="8" t="s">
        <v>21</v>
      </c>
      <c r="E3860" s="10" t="s">
        <v>37</v>
      </c>
      <c r="F3860" s="8" t="str">
        <f aca="false">TEXT(A3860,"MM-YYYY")</f>
        <v>09-2025</v>
      </c>
      <c r="G3860" s="8" t="s">
        <v>14</v>
      </c>
      <c r="H3860" s="8" t="s">
        <v>15</v>
      </c>
      <c r="I3860" s="7" t="n">
        <v>45921</v>
      </c>
      <c r="J3860" s="8" t="str">
        <f aca="false">VLOOKUP(B3860, Table3[#All], 2, FALSE())</f>
        <v>Maintance</v>
      </c>
      <c r="K3860" s="8" t="str">
        <f aca="false">TEXT(ROW(), "0000")</f>
        <v>3860</v>
      </c>
      <c r="L3860" s="8"/>
    </row>
    <row r="3861" customFormat="false" ht="15.75" hidden="false" customHeight="true" outlineLevel="0" collapsed="false">
      <c r="A3861" s="7" t="n">
        <v>45921</v>
      </c>
      <c r="B3861" s="8" t="s">
        <v>44</v>
      </c>
      <c r="C3861" s="9" t="n">
        <v>100</v>
      </c>
      <c r="D3861" s="8" t="s">
        <v>21</v>
      </c>
      <c r="E3861" s="10" t="s">
        <v>75</v>
      </c>
      <c r="F3861" s="8" t="str">
        <f aca="false">TEXT(A3861,"MM-YYYY")</f>
        <v>09-2025</v>
      </c>
      <c r="G3861" s="8" t="s">
        <v>14</v>
      </c>
      <c r="H3861" s="8" t="s">
        <v>15</v>
      </c>
      <c r="I3861" s="7" t="n">
        <v>45921</v>
      </c>
      <c r="J3861" s="8" t="str">
        <f aca="false">VLOOKUP(B3861, Table3[#All], 2, FALSE())</f>
        <v>Salary</v>
      </c>
      <c r="K3861" s="8" t="str">
        <f aca="false">TEXT(ROW(), "0000")</f>
        <v>3861</v>
      </c>
      <c r="L3861" s="8"/>
    </row>
    <row r="3862" customFormat="false" ht="15.75" hidden="false" customHeight="true" outlineLevel="0" collapsed="false">
      <c r="A3862" s="7" t="n">
        <v>45922</v>
      </c>
      <c r="B3862" s="8" t="s">
        <v>47</v>
      </c>
      <c r="C3862" s="9" t="n">
        <v>900</v>
      </c>
      <c r="D3862" s="8" t="s">
        <v>13</v>
      </c>
      <c r="E3862" s="10" t="s">
        <v>484</v>
      </c>
      <c r="F3862" s="8" t="str">
        <f aca="false">TEXT(A3862,"MM-YYYY")</f>
        <v>09-2025</v>
      </c>
      <c r="G3862" s="8" t="s">
        <v>18</v>
      </c>
      <c r="H3862" s="8"/>
      <c r="I3862" s="7"/>
      <c r="J3862" s="8" t="str">
        <f aca="false">VLOOKUP(B3862, Table3[#All], 2, FALSE())</f>
        <v>Inventory</v>
      </c>
      <c r="K3862" s="8" t="str">
        <f aca="false">TEXT(ROW(), "0000")</f>
        <v>3862</v>
      </c>
      <c r="L3862" s="8"/>
    </row>
    <row r="3863" customFormat="false" ht="15.75" hidden="false" customHeight="true" outlineLevel="0" collapsed="false">
      <c r="A3863" s="7" t="n">
        <v>45922</v>
      </c>
      <c r="B3863" s="8" t="s">
        <v>19</v>
      </c>
      <c r="C3863" s="9" t="n">
        <v>2248</v>
      </c>
      <c r="D3863" s="8" t="s">
        <v>13</v>
      </c>
      <c r="E3863" s="10" t="s">
        <v>473</v>
      </c>
      <c r="F3863" s="8" t="str">
        <f aca="false">TEXT(A3863,"MM-YYYY")</f>
        <v>09-2025</v>
      </c>
      <c r="G3863" s="8" t="s">
        <v>14</v>
      </c>
      <c r="H3863" s="8"/>
      <c r="I3863" s="7"/>
      <c r="J3863" s="8" t="str">
        <f aca="false">VLOOKUP(B3863, Table3[#All], 2, FALSE())</f>
        <v>Inventory</v>
      </c>
      <c r="K3863" s="8" t="str">
        <f aca="false">TEXT(ROW(), "0000")</f>
        <v>3863</v>
      </c>
      <c r="L3863" s="8"/>
    </row>
    <row r="3864" customFormat="false" ht="15.75" hidden="false" customHeight="true" outlineLevel="0" collapsed="false">
      <c r="A3864" s="7" t="n">
        <v>45922</v>
      </c>
      <c r="B3864" s="8" t="s">
        <v>32</v>
      </c>
      <c r="C3864" s="9" t="n">
        <v>75</v>
      </c>
      <c r="D3864" s="8" t="s">
        <v>21</v>
      </c>
      <c r="E3864" s="10" t="s">
        <v>450</v>
      </c>
      <c r="F3864" s="8" t="str">
        <f aca="false">TEXT(A3864,"MM-YYYY")</f>
        <v>09-2025</v>
      </c>
      <c r="G3864" s="8" t="s">
        <v>14</v>
      </c>
      <c r="H3864" s="8" t="s">
        <v>15</v>
      </c>
      <c r="I3864" s="7" t="n">
        <v>45922</v>
      </c>
      <c r="J3864" s="8" t="str">
        <f aca="false">VLOOKUP(B3864, Table3[#All], 2, FALSE())</f>
        <v>Grocery</v>
      </c>
      <c r="K3864" s="8" t="str">
        <f aca="false">TEXT(ROW(), "0000")</f>
        <v>3864</v>
      </c>
      <c r="L3864" s="8"/>
    </row>
    <row r="3865" customFormat="false" ht="15.75" hidden="false" customHeight="true" outlineLevel="0" collapsed="false">
      <c r="A3865" s="7" t="n">
        <v>45922</v>
      </c>
      <c r="B3865" s="8" t="s">
        <v>22</v>
      </c>
      <c r="C3865" s="9" t="n">
        <v>55</v>
      </c>
      <c r="D3865" s="8" t="s">
        <v>21</v>
      </c>
      <c r="E3865" s="10" t="s">
        <v>479</v>
      </c>
      <c r="F3865" s="8" t="str">
        <f aca="false">TEXT(A3865,"MM-YYYY")</f>
        <v>09-2025</v>
      </c>
      <c r="G3865" s="8" t="s">
        <v>14</v>
      </c>
      <c r="H3865" s="8" t="s">
        <v>15</v>
      </c>
      <c r="I3865" s="7" t="n">
        <v>45922</v>
      </c>
      <c r="J3865" s="8" t="str">
        <f aca="false">VLOOKUP(B3865, Table3[#All], 2, FALSE())</f>
        <v>Inventory</v>
      </c>
      <c r="K3865" s="8" t="str">
        <f aca="false">TEXT(ROW(), "0000")</f>
        <v>3865</v>
      </c>
      <c r="L3865" s="8"/>
    </row>
    <row r="3866" customFormat="false" ht="15.75" hidden="false" customHeight="true" outlineLevel="0" collapsed="false">
      <c r="A3866" s="7" t="n">
        <v>45911</v>
      </c>
      <c r="B3866" s="8" t="s">
        <v>22</v>
      </c>
      <c r="C3866" s="9" t="n">
        <v>27940</v>
      </c>
      <c r="D3866" s="8" t="s">
        <v>13</v>
      </c>
      <c r="E3866" s="10" t="s">
        <v>23</v>
      </c>
      <c r="F3866" s="8" t="str">
        <f aca="false">TEXT(A3866,"MM-YYYY")</f>
        <v>09-2025</v>
      </c>
      <c r="G3866" s="8" t="s">
        <v>14</v>
      </c>
      <c r="H3866" s="8" t="s">
        <v>13</v>
      </c>
      <c r="I3866" s="7" t="n">
        <v>45922</v>
      </c>
      <c r="J3866" s="8" t="str">
        <f aca="false">VLOOKUP(B3866, Table3[#All], 2, FALSE())</f>
        <v>Inventory</v>
      </c>
      <c r="K3866" s="8" t="str">
        <f aca="false">TEXT(ROW(), "0000")</f>
        <v>3866</v>
      </c>
      <c r="L3866" s="8"/>
    </row>
    <row r="3867" customFormat="false" ht="15.75" hidden="false" customHeight="true" outlineLevel="0" collapsed="false">
      <c r="A3867" s="7" t="n">
        <v>45922</v>
      </c>
      <c r="B3867" s="8" t="s">
        <v>37</v>
      </c>
      <c r="C3867" s="9" t="n">
        <v>30</v>
      </c>
      <c r="D3867" s="8" t="s">
        <v>21</v>
      </c>
      <c r="E3867" s="10" t="s">
        <v>420</v>
      </c>
      <c r="F3867" s="8" t="str">
        <f aca="false">TEXT(A3867,"MM-YYYY")</f>
        <v>09-2025</v>
      </c>
      <c r="G3867" s="8" t="s">
        <v>14</v>
      </c>
      <c r="H3867" s="8" t="s">
        <v>15</v>
      </c>
      <c r="I3867" s="7"/>
      <c r="J3867" s="8" t="str">
        <f aca="false">VLOOKUP(B3867, Table3[#All], 2, FALSE())</f>
        <v>Maintance</v>
      </c>
      <c r="K3867" s="8" t="str">
        <f aca="false">TEXT(ROW(), "0000")</f>
        <v>3867</v>
      </c>
      <c r="L3867" s="8"/>
    </row>
    <row r="3868" customFormat="false" ht="15.75" hidden="false" customHeight="true" outlineLevel="0" collapsed="false">
      <c r="A3868" s="7" t="n">
        <v>45922</v>
      </c>
      <c r="B3868" s="8" t="s">
        <v>29</v>
      </c>
      <c r="C3868" s="9" t="n">
        <v>20</v>
      </c>
      <c r="D3868" s="8" t="s">
        <v>21</v>
      </c>
      <c r="E3868" s="10" t="s">
        <v>65</v>
      </c>
      <c r="F3868" s="8" t="str">
        <f aca="false">TEXT(A3868,"MM-YYYY")</f>
        <v>09-2025</v>
      </c>
      <c r="G3868" s="8" t="s">
        <v>14</v>
      </c>
      <c r="H3868" s="8" t="s">
        <v>232</v>
      </c>
      <c r="I3868" s="7"/>
      <c r="J3868" s="8" t="str">
        <f aca="false">VLOOKUP(B3868, Table3[#All], 2, FALSE())</f>
        <v>Inventory</v>
      </c>
      <c r="K3868" s="8" t="str">
        <f aca="false">TEXT(ROW(), "0000")</f>
        <v>3868</v>
      </c>
      <c r="L3868" s="8"/>
    </row>
    <row r="3869" customFormat="false" ht="15.75" hidden="false" customHeight="true" outlineLevel="0" collapsed="false">
      <c r="A3869" s="7" t="n">
        <v>45922</v>
      </c>
      <c r="B3869" s="8" t="s">
        <v>29</v>
      </c>
      <c r="C3869" s="9" t="n">
        <v>958</v>
      </c>
      <c r="D3869" s="8" t="s">
        <v>13</v>
      </c>
      <c r="E3869" s="10" t="s">
        <v>490</v>
      </c>
      <c r="F3869" s="8" t="str">
        <f aca="false">TEXT(A3869,"MM-YYYY")</f>
        <v>09-2025</v>
      </c>
      <c r="G3869" s="8" t="s">
        <v>18</v>
      </c>
      <c r="H3869" s="8"/>
      <c r="I3869" s="7"/>
      <c r="J3869" s="8" t="str">
        <f aca="false">VLOOKUP(B3869, Table3[#All], 2, FALSE())</f>
        <v>Inventory</v>
      </c>
      <c r="K3869" s="8" t="str">
        <f aca="false">TEXT(ROW(), "0000")</f>
        <v>3869</v>
      </c>
      <c r="L3869" s="8"/>
    </row>
    <row r="3870" customFormat="false" ht="15.75" hidden="false" customHeight="true" outlineLevel="0" collapsed="false">
      <c r="A3870" s="7" t="n">
        <v>45922</v>
      </c>
      <c r="B3870" s="8" t="s">
        <v>25</v>
      </c>
      <c r="C3870" s="9" t="n">
        <v>1633</v>
      </c>
      <c r="D3870" s="8" t="s">
        <v>13</v>
      </c>
      <c r="E3870" s="10" t="s">
        <v>92</v>
      </c>
      <c r="F3870" s="8" t="str">
        <f aca="false">TEXT(A3870,"MM-YYYY")</f>
        <v>09-2025</v>
      </c>
      <c r="G3870" s="8" t="s">
        <v>18</v>
      </c>
      <c r="H3870" s="8"/>
      <c r="I3870" s="7"/>
      <c r="J3870" s="8" t="str">
        <f aca="false">VLOOKUP(B3870, Table3[#All], 2, FALSE())</f>
        <v>Inventory</v>
      </c>
      <c r="K3870" s="8" t="str">
        <f aca="false">TEXT(ROW(), "0000")</f>
        <v>3870</v>
      </c>
      <c r="L3870" s="8"/>
    </row>
    <row r="3871" customFormat="false" ht="15.75" hidden="false" customHeight="true" outlineLevel="0" collapsed="false">
      <c r="A3871" s="7" t="n">
        <v>45922</v>
      </c>
      <c r="B3871" s="8" t="s">
        <v>56</v>
      </c>
      <c r="C3871" s="9" t="n">
        <v>18500</v>
      </c>
      <c r="D3871" s="8" t="s">
        <v>13</v>
      </c>
      <c r="E3871" s="10" t="s">
        <v>56</v>
      </c>
      <c r="F3871" s="8" t="str">
        <f aca="false">TEXT(A3871,"MM-YYYY")</f>
        <v>09-2025</v>
      </c>
      <c r="G3871" s="8" t="s">
        <v>14</v>
      </c>
      <c r="H3871" s="8" t="s">
        <v>13</v>
      </c>
      <c r="I3871" s="7" t="n">
        <v>45922</v>
      </c>
      <c r="J3871" s="8" t="str">
        <f aca="false">VLOOKUP(B3871, Table3[#All], 2, FALSE())</f>
        <v>New Inventory</v>
      </c>
      <c r="K3871" s="8" t="str">
        <f aca="false">TEXT(ROW(), "0000")</f>
        <v>3871</v>
      </c>
      <c r="L3871" s="8"/>
    </row>
    <row r="3872" customFormat="false" ht="15.75" hidden="false" customHeight="true" outlineLevel="0" collapsed="false">
      <c r="A3872" s="7" t="n">
        <v>45922</v>
      </c>
      <c r="B3872" s="8" t="s">
        <v>43</v>
      </c>
      <c r="C3872" s="9" t="n">
        <v>180</v>
      </c>
      <c r="D3872" s="8" t="s">
        <v>45</v>
      </c>
      <c r="E3872" s="10" t="s">
        <v>225</v>
      </c>
      <c r="F3872" s="8" t="str">
        <f aca="false">TEXT(A3872,"MM-YYYY")</f>
        <v>09-2025</v>
      </c>
      <c r="G3872" s="8" t="s">
        <v>14</v>
      </c>
      <c r="H3872" s="8" t="s">
        <v>232</v>
      </c>
      <c r="I3872" s="7" t="n">
        <v>45922</v>
      </c>
      <c r="J3872" s="8" t="str">
        <f aca="false">VLOOKUP(B3872, Table3[#All], 2, FALSE())</f>
        <v>Maintance</v>
      </c>
      <c r="K3872" s="8" t="str">
        <f aca="false">TEXT(ROW(), "0000")</f>
        <v>3872</v>
      </c>
      <c r="L3872" s="8"/>
    </row>
    <row r="3873" customFormat="false" ht="15.75" hidden="false" customHeight="true" outlineLevel="0" collapsed="false">
      <c r="A3873" s="7" t="n">
        <v>45922</v>
      </c>
      <c r="B3873" s="8" t="s">
        <v>22</v>
      </c>
      <c r="C3873" s="9" t="n">
        <v>25730</v>
      </c>
      <c r="D3873" s="8" t="s">
        <v>13</v>
      </c>
      <c r="E3873" s="10" t="s">
        <v>23</v>
      </c>
      <c r="F3873" s="8" t="str">
        <f aca="false">TEXT(A3873,"MM-YYYY")</f>
        <v>09-2025</v>
      </c>
      <c r="G3873" s="8" t="s">
        <v>18</v>
      </c>
      <c r="H3873" s="8"/>
      <c r="I3873" s="7"/>
      <c r="J3873" s="8" t="str">
        <f aca="false">VLOOKUP(B3873, Table3[#All], 2, FALSE())</f>
        <v>Inventory</v>
      </c>
      <c r="K3873" s="8" t="str">
        <f aca="false">TEXT(ROW(), "0000")</f>
        <v>3873</v>
      </c>
      <c r="L3873" s="8"/>
    </row>
    <row r="3874" customFormat="false" ht="15.75" hidden="false" customHeight="true" outlineLevel="0" collapsed="false">
      <c r="A3874" s="7" t="n">
        <v>45922</v>
      </c>
      <c r="B3874" s="8" t="s">
        <v>51</v>
      </c>
      <c r="C3874" s="9" t="n">
        <v>120</v>
      </c>
      <c r="D3874" s="8" t="s">
        <v>45</v>
      </c>
      <c r="E3874" s="10" t="s">
        <v>548</v>
      </c>
      <c r="F3874" s="8" t="str">
        <f aca="false">TEXT(A3874,"MM-YYYY")</f>
        <v>09-2025</v>
      </c>
      <c r="G3874" s="8" t="s">
        <v>14</v>
      </c>
      <c r="H3874" s="8" t="s">
        <v>232</v>
      </c>
      <c r="I3874" s="7" t="n">
        <v>45922</v>
      </c>
      <c r="J3874" s="8" t="str">
        <f aca="false">VLOOKUP(B3874, Table3[#All], 2, FALSE())</f>
        <v>Inventory</v>
      </c>
      <c r="K3874" s="8" t="str">
        <f aca="false">TEXT(ROW(), "0000")</f>
        <v>3874</v>
      </c>
      <c r="L3874" s="8"/>
    </row>
    <row r="3875" customFormat="false" ht="15.75" hidden="false" customHeight="true" outlineLevel="0" collapsed="false">
      <c r="A3875" s="7" t="n">
        <v>45922</v>
      </c>
      <c r="B3875" s="8" t="s">
        <v>16</v>
      </c>
      <c r="C3875" s="9" t="n">
        <v>1430</v>
      </c>
      <c r="D3875" s="8" t="s">
        <v>21</v>
      </c>
      <c r="E3875" s="10" t="s">
        <v>88</v>
      </c>
      <c r="F3875" s="8" t="str">
        <f aca="false">TEXT(A3875,"MM-YYYY")</f>
        <v>09-2025</v>
      </c>
      <c r="G3875" s="8"/>
      <c r="H3875" s="8"/>
      <c r="I3875" s="7"/>
      <c r="J3875" s="8" t="str">
        <f aca="false">VLOOKUP(B3875, Table3[#All], 2, FALSE())</f>
        <v>Sales</v>
      </c>
      <c r="K3875" s="8" t="str">
        <f aca="false">TEXT(ROW(), "0000")</f>
        <v>3875</v>
      </c>
      <c r="L3875" s="8"/>
    </row>
    <row r="3876" customFormat="false" ht="15.75" hidden="false" customHeight="true" outlineLevel="0" collapsed="false">
      <c r="A3876" s="7" t="n">
        <v>45922</v>
      </c>
      <c r="B3876" s="8" t="s">
        <v>16</v>
      </c>
      <c r="C3876" s="9" t="n">
        <v>190</v>
      </c>
      <c r="D3876" s="8" t="s">
        <v>33</v>
      </c>
      <c r="E3876" s="10" t="s">
        <v>88</v>
      </c>
      <c r="F3876" s="8" t="str">
        <f aca="false">TEXT(A3876,"MM-YYYY")</f>
        <v>09-2025</v>
      </c>
      <c r="G3876" s="8"/>
      <c r="H3876" s="8"/>
      <c r="I3876" s="7"/>
      <c r="J3876" s="8" t="str">
        <f aca="false">VLOOKUP(B3876, Table3[#All], 2, FALSE())</f>
        <v>Sales</v>
      </c>
      <c r="K3876" s="8" t="str">
        <f aca="false">TEXT(ROW(), "0000")</f>
        <v>3876</v>
      </c>
      <c r="L3876" s="8"/>
    </row>
    <row r="3877" customFormat="false" ht="15.75" hidden="false" customHeight="true" outlineLevel="0" collapsed="false">
      <c r="A3877" s="7" t="n">
        <v>45922</v>
      </c>
      <c r="B3877" s="8" t="s">
        <v>16</v>
      </c>
      <c r="C3877" s="9" t="n">
        <v>7809</v>
      </c>
      <c r="D3877" s="8" t="s">
        <v>17</v>
      </c>
      <c r="E3877" s="10" t="s">
        <v>88</v>
      </c>
      <c r="F3877" s="8" t="str">
        <f aca="false">TEXT(A3877,"MM-YYYY")</f>
        <v>09-2025</v>
      </c>
      <c r="G3877" s="8"/>
      <c r="H3877" s="8"/>
      <c r="I3877" s="7"/>
      <c r="J3877" s="8" t="str">
        <f aca="false">VLOOKUP(B3877, Table3[#All], 2, FALSE())</f>
        <v>Sales</v>
      </c>
      <c r="K3877" s="8" t="str">
        <f aca="false">TEXT(ROW(), "0000")</f>
        <v>3877</v>
      </c>
      <c r="L3877" s="8"/>
    </row>
    <row r="3878" customFormat="false" ht="15.75" hidden="false" customHeight="true" outlineLevel="0" collapsed="false">
      <c r="A3878" s="7" t="n">
        <v>45922</v>
      </c>
      <c r="B3878" s="8" t="s">
        <v>16</v>
      </c>
      <c r="C3878" s="9" t="n">
        <v>1389</v>
      </c>
      <c r="D3878" s="8" t="s">
        <v>24</v>
      </c>
      <c r="E3878" s="10" t="s">
        <v>88</v>
      </c>
      <c r="F3878" s="8" t="str">
        <f aca="false">TEXT(A3878,"MM-YYYY")</f>
        <v>09-2025</v>
      </c>
      <c r="G3878" s="8"/>
      <c r="H3878" s="8"/>
      <c r="I3878" s="7"/>
      <c r="J3878" s="8" t="str">
        <f aca="false">VLOOKUP(B3878, Table3[#All], 2, FALSE())</f>
        <v>Sales</v>
      </c>
      <c r="K3878" s="8" t="str">
        <f aca="false">TEXT(ROW(), "0000")</f>
        <v>3878</v>
      </c>
      <c r="L3878" s="8"/>
    </row>
    <row r="3879" customFormat="false" ht="15.75" hidden="false" customHeight="true" outlineLevel="0" collapsed="false">
      <c r="A3879" s="7" t="n">
        <v>45922</v>
      </c>
      <c r="B3879" s="8" t="s">
        <v>34</v>
      </c>
      <c r="C3879" s="9" t="n">
        <v>400</v>
      </c>
      <c r="D3879" s="8" t="s">
        <v>45</v>
      </c>
      <c r="E3879" s="10" t="s">
        <v>545</v>
      </c>
      <c r="F3879" s="8" t="str">
        <f aca="false">TEXT(A3879,"MM-YYYY")</f>
        <v>09-2025</v>
      </c>
      <c r="G3879" s="8" t="s">
        <v>14</v>
      </c>
      <c r="H3879" s="8" t="s">
        <v>232</v>
      </c>
      <c r="I3879" s="7" t="n">
        <v>45922</v>
      </c>
      <c r="J3879" s="8" t="str">
        <f aca="false">VLOOKUP(B3879, Table3[#All], 2, FALSE())</f>
        <v>Staff Expenses</v>
      </c>
      <c r="K3879" s="8" t="str">
        <f aca="false">TEXT(ROW(), "0000")</f>
        <v>3879</v>
      </c>
      <c r="L3879" s="8"/>
    </row>
    <row r="3880" customFormat="false" ht="15.75" hidden="false" customHeight="true" outlineLevel="0" collapsed="false">
      <c r="A3880" s="7" t="n">
        <v>45923</v>
      </c>
      <c r="B3880" s="8" t="s">
        <v>19</v>
      </c>
      <c r="C3880" s="9" t="n">
        <v>2115</v>
      </c>
      <c r="D3880" s="8" t="s">
        <v>13</v>
      </c>
      <c r="E3880" s="10" t="s">
        <v>473</v>
      </c>
      <c r="F3880" s="8" t="str">
        <f aca="false">TEXT(A3880,"MM-YYYY")</f>
        <v>09-2025</v>
      </c>
      <c r="G3880" s="8" t="s">
        <v>14</v>
      </c>
      <c r="H3880" s="8"/>
      <c r="I3880" s="7"/>
      <c r="J3880" s="8" t="str">
        <f aca="false">VLOOKUP(B3880, Table3[#All], 2, FALSE())</f>
        <v>Inventory</v>
      </c>
      <c r="K3880" s="8" t="str">
        <f aca="false">TEXT(ROW(), "0000")</f>
        <v>3880</v>
      </c>
      <c r="L3880" s="8"/>
    </row>
    <row r="3881" customFormat="false" ht="15.75" hidden="false" customHeight="true" outlineLevel="0" collapsed="false">
      <c r="A3881" s="7" t="n">
        <v>45923</v>
      </c>
      <c r="B3881" s="8" t="s">
        <v>32</v>
      </c>
      <c r="C3881" s="9" t="n">
        <v>75</v>
      </c>
      <c r="D3881" s="8" t="s">
        <v>13</v>
      </c>
      <c r="E3881" s="10" t="s">
        <v>450</v>
      </c>
      <c r="F3881" s="8" t="str">
        <f aca="false">TEXT(A3881,"MM-YYYY")</f>
        <v>09-2025</v>
      </c>
      <c r="G3881" s="8" t="s">
        <v>14</v>
      </c>
      <c r="H3881" s="8"/>
      <c r="I3881" s="7"/>
      <c r="J3881" s="8" t="str">
        <f aca="false">VLOOKUP(B3881, Table3[#All], 2, FALSE())</f>
        <v>Grocery</v>
      </c>
      <c r="K3881" s="8" t="str">
        <f aca="false">TEXT(ROW(), "0000")</f>
        <v>3881</v>
      </c>
      <c r="L3881" s="8"/>
    </row>
    <row r="3882" customFormat="false" ht="15.75" hidden="false" customHeight="true" outlineLevel="0" collapsed="false">
      <c r="A3882" s="7" t="n">
        <v>45923</v>
      </c>
      <c r="B3882" s="8" t="s">
        <v>25</v>
      </c>
      <c r="C3882" s="9" t="n">
        <v>250</v>
      </c>
      <c r="D3882" s="8" t="s">
        <v>13</v>
      </c>
      <c r="E3882" s="10" t="s">
        <v>92</v>
      </c>
      <c r="F3882" s="8" t="str">
        <f aca="false">TEXT(A3882,"MM-YYYY")</f>
        <v>09-2025</v>
      </c>
      <c r="G3882" s="8" t="s">
        <v>18</v>
      </c>
      <c r="H3882" s="8"/>
      <c r="I3882" s="7"/>
      <c r="J3882" s="8" t="str">
        <f aca="false">VLOOKUP(B3882, Table3[#All], 2, FALSE())</f>
        <v>Inventory</v>
      </c>
      <c r="K3882" s="8" t="str">
        <f aca="false">TEXT(ROW(), "0000")</f>
        <v>3882</v>
      </c>
      <c r="L3882" s="8"/>
    </row>
    <row r="3883" customFormat="false" ht="15.75" hidden="false" customHeight="true" outlineLevel="0" collapsed="false">
      <c r="A3883" s="7" t="n">
        <v>45923</v>
      </c>
      <c r="B3883" s="8" t="s">
        <v>31</v>
      </c>
      <c r="C3883" s="9" t="n">
        <v>310</v>
      </c>
      <c r="D3883" s="8" t="s">
        <v>45</v>
      </c>
      <c r="E3883" s="10" t="s">
        <v>236</v>
      </c>
      <c r="F3883" s="8" t="str">
        <f aca="false">TEXT(A3883,"MM-YYYY")</f>
        <v>09-2025</v>
      </c>
      <c r="G3883" s="8" t="s">
        <v>14</v>
      </c>
      <c r="H3883" s="8"/>
      <c r="I3883" s="7"/>
      <c r="J3883" s="8" t="str">
        <f aca="false">VLOOKUP(B3883, Table3[#All], 2, FALSE())</f>
        <v>Bike Maintance</v>
      </c>
      <c r="K3883" s="8" t="str">
        <f aca="false">TEXT(ROW(), "0000")</f>
        <v>3883</v>
      </c>
      <c r="L3883" s="8"/>
    </row>
    <row r="3884" customFormat="false" ht="15.75" hidden="false" customHeight="true" outlineLevel="0" collapsed="false">
      <c r="A3884" s="7" t="n">
        <v>45923</v>
      </c>
      <c r="B3884" s="8" t="s">
        <v>12</v>
      </c>
      <c r="C3884" s="9" t="n">
        <v>20530</v>
      </c>
      <c r="D3884" s="8" t="s">
        <v>13</v>
      </c>
      <c r="E3884" s="10" t="s">
        <v>12</v>
      </c>
      <c r="F3884" s="8" t="str">
        <f aca="false">TEXT(A3884,"MM-YYYY")</f>
        <v>09-2025</v>
      </c>
      <c r="G3884" s="8" t="s">
        <v>18</v>
      </c>
      <c r="H3884" s="8"/>
      <c r="I3884" s="7"/>
      <c r="J3884" s="8" t="str">
        <f aca="false">VLOOKUP(B3884, Table3[#All], 2, FALSE())</f>
        <v>Fixed Maintance</v>
      </c>
      <c r="K3884" s="8" t="str">
        <f aca="false">TEXT(ROW(), "0000")</f>
        <v>3884</v>
      </c>
      <c r="L3884" s="8"/>
    </row>
    <row r="3885" customFormat="false" ht="15.75" hidden="false" customHeight="true" outlineLevel="0" collapsed="false">
      <c r="A3885" s="7" t="n">
        <v>45923</v>
      </c>
      <c r="B3885" s="8" t="s">
        <v>28</v>
      </c>
      <c r="C3885" s="9" t="n">
        <v>350</v>
      </c>
      <c r="D3885" s="8" t="s">
        <v>21</v>
      </c>
      <c r="E3885" s="10" t="s">
        <v>93</v>
      </c>
      <c r="F3885" s="8" t="str">
        <f aca="false">TEXT(A3885,"MM-YYYY")</f>
        <v>09-2025</v>
      </c>
      <c r="G3885" s="8" t="s">
        <v>14</v>
      </c>
      <c r="H3885" s="8" t="s">
        <v>15</v>
      </c>
      <c r="I3885" s="7" t="n">
        <v>45923</v>
      </c>
      <c r="J3885" s="8" t="str">
        <f aca="false">VLOOKUP(B3885, Table3[#All], 2, FALSE())</f>
        <v>Grocery</v>
      </c>
      <c r="K3885" s="8" t="str">
        <f aca="false">TEXT(ROW(), "0000")</f>
        <v>3885</v>
      </c>
      <c r="L3885" s="8"/>
    </row>
    <row r="3886" customFormat="false" ht="15.75" hidden="false" customHeight="true" outlineLevel="0" collapsed="false">
      <c r="A3886" s="7" t="n">
        <v>45923</v>
      </c>
      <c r="B3886" s="8" t="s">
        <v>43</v>
      </c>
      <c r="C3886" s="9" t="n">
        <v>200</v>
      </c>
      <c r="D3886" s="8" t="s">
        <v>21</v>
      </c>
      <c r="E3886" s="10" t="s">
        <v>549</v>
      </c>
      <c r="F3886" s="8" t="str">
        <f aca="false">TEXT(A3886,"MM-YYYY")</f>
        <v>09-2025</v>
      </c>
      <c r="G3886" s="8" t="s">
        <v>14</v>
      </c>
      <c r="H3886" s="8" t="s">
        <v>15</v>
      </c>
      <c r="I3886" s="7"/>
      <c r="J3886" s="8" t="str">
        <f aca="false">VLOOKUP(B3886, Table3[#All], 2, FALSE())</f>
        <v>Maintance</v>
      </c>
      <c r="K3886" s="8" t="str">
        <f aca="false">TEXT(ROW(), "0000")</f>
        <v>3886</v>
      </c>
      <c r="L3886" s="8"/>
    </row>
    <row r="3887" customFormat="false" ht="15.75" hidden="false" customHeight="true" outlineLevel="0" collapsed="false">
      <c r="A3887" s="7" t="n">
        <v>45923</v>
      </c>
      <c r="B3887" s="8" t="s">
        <v>16</v>
      </c>
      <c r="C3887" s="9" t="n">
        <v>2820</v>
      </c>
      <c r="D3887" s="8" t="s">
        <v>21</v>
      </c>
      <c r="E3887" s="10" t="s">
        <v>88</v>
      </c>
      <c r="F3887" s="8" t="str">
        <f aca="false">TEXT(A3887,"MM-YYYY")</f>
        <v>09-2025</v>
      </c>
      <c r="G3887" s="8"/>
      <c r="H3887" s="8"/>
      <c r="I3887" s="7"/>
      <c r="J3887" s="8" t="str">
        <f aca="false">VLOOKUP(B3887, Table3[#All], 2, FALSE())</f>
        <v>Sales</v>
      </c>
      <c r="K3887" s="8" t="str">
        <f aca="false">TEXT(ROW(), "0000")</f>
        <v>3887</v>
      </c>
      <c r="L3887" s="8"/>
    </row>
    <row r="3888" customFormat="false" ht="15.75" hidden="false" customHeight="true" outlineLevel="0" collapsed="false">
      <c r="A3888" s="7" t="n">
        <v>45923</v>
      </c>
      <c r="B3888" s="8" t="s">
        <v>16</v>
      </c>
      <c r="C3888" s="9" t="n">
        <v>50</v>
      </c>
      <c r="D3888" s="8" t="s">
        <v>33</v>
      </c>
      <c r="E3888" s="10" t="s">
        <v>88</v>
      </c>
      <c r="F3888" s="8" t="str">
        <f aca="false">TEXT(A3888,"MM-YYYY")</f>
        <v>09-2025</v>
      </c>
      <c r="G3888" s="8"/>
      <c r="H3888" s="8"/>
      <c r="I3888" s="7"/>
      <c r="J3888" s="8" t="str">
        <f aca="false">VLOOKUP(B3888, Table3[#All], 2, FALSE())</f>
        <v>Sales</v>
      </c>
      <c r="K3888" s="8" t="str">
        <f aca="false">TEXT(ROW(), "0000")</f>
        <v>3888</v>
      </c>
      <c r="L3888" s="8"/>
    </row>
    <row r="3889" customFormat="false" ht="15.75" hidden="false" customHeight="true" outlineLevel="0" collapsed="false">
      <c r="A3889" s="7" t="n">
        <v>45923</v>
      </c>
      <c r="B3889" s="8" t="s">
        <v>16</v>
      </c>
      <c r="C3889" s="9" t="n">
        <v>10397</v>
      </c>
      <c r="D3889" s="8" t="s">
        <v>17</v>
      </c>
      <c r="E3889" s="10" t="s">
        <v>88</v>
      </c>
      <c r="F3889" s="8" t="str">
        <f aca="false">TEXT(A3889,"MM-YYYY")</f>
        <v>09-2025</v>
      </c>
      <c r="G3889" s="8"/>
      <c r="H3889" s="8"/>
      <c r="I3889" s="7"/>
      <c r="J3889" s="8" t="str">
        <f aca="false">VLOOKUP(B3889, Table3[#All], 2, FALSE())</f>
        <v>Sales</v>
      </c>
      <c r="K3889" s="8" t="str">
        <f aca="false">TEXT(ROW(), "0000")</f>
        <v>3889</v>
      </c>
      <c r="L3889" s="8"/>
    </row>
    <row r="3890" customFormat="false" ht="15.75" hidden="false" customHeight="true" outlineLevel="0" collapsed="false">
      <c r="A3890" s="7" t="n">
        <v>45923</v>
      </c>
      <c r="B3890" s="8" t="s">
        <v>43</v>
      </c>
      <c r="C3890" s="9" t="n">
        <v>190</v>
      </c>
      <c r="D3890" s="8" t="s">
        <v>45</v>
      </c>
      <c r="E3890" s="10" t="s">
        <v>487</v>
      </c>
      <c r="F3890" s="8" t="str">
        <f aca="false">TEXT(A3890,"MM-YYYY")</f>
        <v>09-2025</v>
      </c>
      <c r="G3890" s="8" t="s">
        <v>14</v>
      </c>
      <c r="H3890" s="8" t="s">
        <v>232</v>
      </c>
      <c r="I3890" s="7" t="n">
        <v>45923</v>
      </c>
      <c r="J3890" s="8" t="str">
        <f aca="false">VLOOKUP(B3890, Table3[#All], 2, FALSE())</f>
        <v>Maintance</v>
      </c>
      <c r="K3890" s="8" t="str">
        <f aca="false">TEXT(ROW(), "0000")</f>
        <v>3890</v>
      </c>
      <c r="L3890" s="8"/>
    </row>
    <row r="3891" customFormat="false" ht="15.75" hidden="false" customHeight="true" outlineLevel="0" collapsed="false">
      <c r="A3891" s="7" t="n">
        <v>45923</v>
      </c>
      <c r="B3891" s="8" t="s">
        <v>29</v>
      </c>
      <c r="C3891" s="9" t="n">
        <v>900</v>
      </c>
      <c r="D3891" s="8" t="s">
        <v>45</v>
      </c>
      <c r="E3891" s="10" t="s">
        <v>550</v>
      </c>
      <c r="F3891" s="8" t="str">
        <f aca="false">TEXT(A3891,"MM-YYYY")</f>
        <v>09-2025</v>
      </c>
      <c r="G3891" s="8" t="s">
        <v>14</v>
      </c>
      <c r="H3891" s="8" t="s">
        <v>232</v>
      </c>
      <c r="I3891" s="7" t="n">
        <v>45923</v>
      </c>
      <c r="J3891" s="8" t="str">
        <f aca="false">VLOOKUP(B3891, Table3[#All], 2, FALSE())</f>
        <v>Inventory</v>
      </c>
      <c r="K3891" s="8" t="str">
        <f aca="false">TEXT(ROW(), "0000")</f>
        <v>3891</v>
      </c>
      <c r="L3891" s="8"/>
    </row>
    <row r="3892" customFormat="false" ht="15.75" hidden="false" customHeight="true" outlineLevel="0" collapsed="false">
      <c r="A3892" s="7" t="n">
        <v>45923</v>
      </c>
      <c r="B3892" s="8" t="s">
        <v>34</v>
      </c>
      <c r="C3892" s="9" t="n">
        <v>250</v>
      </c>
      <c r="D3892" s="8" t="s">
        <v>45</v>
      </c>
      <c r="E3892" s="10" t="s">
        <v>545</v>
      </c>
      <c r="F3892" s="8" t="str">
        <f aca="false">TEXT(A3892,"MM-YYYY")</f>
        <v>09-2025</v>
      </c>
      <c r="G3892" s="8" t="s">
        <v>14</v>
      </c>
      <c r="H3892" s="8" t="s">
        <v>232</v>
      </c>
      <c r="I3892" s="7" t="n">
        <v>45923</v>
      </c>
      <c r="J3892" s="8" t="str">
        <f aca="false">VLOOKUP(B3892, Table3[#All], 2, FALSE())</f>
        <v>Staff Expenses</v>
      </c>
      <c r="K3892" s="8" t="str">
        <f aca="false">TEXT(ROW(), "0000")</f>
        <v>3892</v>
      </c>
      <c r="L3892" s="8"/>
    </row>
    <row r="3893" customFormat="false" ht="15.75" hidden="false" customHeight="true" outlineLevel="0" collapsed="false">
      <c r="A3893" s="7" t="n">
        <v>45923</v>
      </c>
      <c r="B3893" s="8" t="s">
        <v>37</v>
      </c>
      <c r="C3893" s="9" t="n">
        <v>20</v>
      </c>
      <c r="D3893" s="8" t="s">
        <v>21</v>
      </c>
      <c r="E3893" s="10" t="s">
        <v>37</v>
      </c>
      <c r="F3893" s="8" t="str">
        <f aca="false">TEXT(A3893,"MM-YYYY")</f>
        <v>09-2025</v>
      </c>
      <c r="G3893" s="8" t="s">
        <v>14</v>
      </c>
      <c r="H3893" s="8" t="s">
        <v>15</v>
      </c>
      <c r="I3893" s="7" t="n">
        <v>45923</v>
      </c>
      <c r="J3893" s="8" t="str">
        <f aca="false">VLOOKUP(B3893, Table3[#All], 2, FALSE())</f>
        <v>Maintance</v>
      </c>
      <c r="K3893" s="8" t="str">
        <f aca="false">TEXT(ROW(), "0000")</f>
        <v>3893</v>
      </c>
      <c r="L3893" s="8"/>
    </row>
    <row r="3894" customFormat="false" ht="15.75" hidden="false" customHeight="true" outlineLevel="0" collapsed="false">
      <c r="A3894" s="7" t="n">
        <v>45923</v>
      </c>
      <c r="B3894" s="8" t="s">
        <v>29</v>
      </c>
      <c r="C3894" s="9" t="n">
        <v>200</v>
      </c>
      <c r="D3894" s="8" t="s">
        <v>21</v>
      </c>
      <c r="E3894" s="10" t="s">
        <v>488</v>
      </c>
      <c r="F3894" s="8" t="str">
        <f aca="false">TEXT(A3894,"MM-YYYY")</f>
        <v>09-2025</v>
      </c>
      <c r="G3894" s="8" t="s">
        <v>14</v>
      </c>
      <c r="H3894" s="8" t="s">
        <v>232</v>
      </c>
      <c r="I3894" s="7" t="n">
        <v>45923</v>
      </c>
      <c r="J3894" s="8" t="str">
        <f aca="false">VLOOKUP(B3894, Table3[#All], 2, FALSE())</f>
        <v>Inventory</v>
      </c>
      <c r="K3894" s="8" t="str">
        <f aca="false">TEXT(ROW(), "0000")</f>
        <v>3894</v>
      </c>
      <c r="L3894" s="8"/>
    </row>
    <row r="3895" customFormat="false" ht="15.75" hidden="false" customHeight="true" outlineLevel="0" collapsed="false">
      <c r="A3895" s="7" t="n">
        <v>45924</v>
      </c>
      <c r="B3895" s="8" t="s">
        <v>19</v>
      </c>
      <c r="C3895" s="9" t="n">
        <v>2325</v>
      </c>
      <c r="D3895" s="8" t="s">
        <v>13</v>
      </c>
      <c r="E3895" s="10" t="s">
        <v>473</v>
      </c>
      <c r="F3895" s="8" t="str">
        <f aca="false">TEXT(A3895,"MM-YYYY")</f>
        <v>09-2025</v>
      </c>
      <c r="G3895" s="8" t="s">
        <v>14</v>
      </c>
      <c r="H3895" s="8"/>
      <c r="I3895" s="7"/>
      <c r="J3895" s="8" t="str">
        <f aca="false">VLOOKUP(B3895, Table3[#All], 2, FALSE())</f>
        <v>Inventory</v>
      </c>
      <c r="K3895" s="8" t="str">
        <f aca="false">TEXT(ROW(), "0000")</f>
        <v>3895</v>
      </c>
      <c r="L3895" s="8"/>
    </row>
    <row r="3896" customFormat="false" ht="15.75" hidden="false" customHeight="true" outlineLevel="0" collapsed="false">
      <c r="A3896" s="7" t="n">
        <v>45924</v>
      </c>
      <c r="B3896" s="8" t="s">
        <v>47</v>
      </c>
      <c r="C3896" s="9" t="n">
        <v>2700</v>
      </c>
      <c r="D3896" s="8" t="s">
        <v>13</v>
      </c>
      <c r="E3896" s="10" t="s">
        <v>484</v>
      </c>
      <c r="F3896" s="8" t="str">
        <f aca="false">TEXT(A3896,"MM-YYYY")</f>
        <v>09-2025</v>
      </c>
      <c r="G3896" s="8" t="s">
        <v>18</v>
      </c>
      <c r="H3896" s="8"/>
      <c r="I3896" s="7"/>
      <c r="J3896" s="8" t="str">
        <f aca="false">VLOOKUP(B3896, Table3[#All], 2, FALSE())</f>
        <v>Inventory</v>
      </c>
      <c r="K3896" s="8" t="str">
        <f aca="false">TEXT(ROW(), "0000")</f>
        <v>3896</v>
      </c>
      <c r="L3896" s="8"/>
    </row>
    <row r="3897" customFormat="false" ht="15.75" hidden="false" customHeight="true" outlineLevel="0" collapsed="false">
      <c r="A3897" s="7" t="n">
        <v>45924</v>
      </c>
      <c r="B3897" s="8" t="s">
        <v>53</v>
      </c>
      <c r="C3897" s="9" t="n">
        <v>1150</v>
      </c>
      <c r="D3897" s="8" t="s">
        <v>45</v>
      </c>
      <c r="E3897" s="10" t="s">
        <v>55</v>
      </c>
      <c r="F3897" s="8" t="str">
        <f aca="false">TEXT(A3897,"MM-YYYY")</f>
        <v>09-2025</v>
      </c>
      <c r="G3897" s="8" t="s">
        <v>14</v>
      </c>
      <c r="H3897" s="8" t="s">
        <v>232</v>
      </c>
      <c r="I3897" s="7" t="n">
        <v>45924</v>
      </c>
      <c r="J3897" s="8" t="str">
        <f aca="false">VLOOKUP(B3897, Table3[#All], 2, FALSE())</f>
        <v>Grocery</v>
      </c>
      <c r="K3897" s="8" t="str">
        <f aca="false">TEXT(ROW(), "0000")</f>
        <v>3897</v>
      </c>
      <c r="L3897" s="8"/>
    </row>
    <row r="3898" customFormat="false" ht="15.75" hidden="false" customHeight="true" outlineLevel="0" collapsed="false">
      <c r="A3898" s="7" t="n">
        <v>45924</v>
      </c>
      <c r="B3898" s="8" t="s">
        <v>29</v>
      </c>
      <c r="C3898" s="9" t="n">
        <v>150</v>
      </c>
      <c r="D3898" s="8" t="s">
        <v>45</v>
      </c>
      <c r="E3898" s="10" t="s">
        <v>41</v>
      </c>
      <c r="F3898" s="8" t="str">
        <f aca="false">TEXT(A3898,"MM-YYYY")</f>
        <v>09-2025</v>
      </c>
      <c r="G3898" s="8" t="s">
        <v>14</v>
      </c>
      <c r="H3898" s="8" t="s">
        <v>232</v>
      </c>
      <c r="I3898" s="7" t="n">
        <v>45924</v>
      </c>
      <c r="J3898" s="8" t="str">
        <f aca="false">VLOOKUP(B3898, Table3[#All], 2, FALSE())</f>
        <v>Inventory</v>
      </c>
      <c r="K3898" s="8" t="str">
        <f aca="false">TEXT(ROW(), "0000")</f>
        <v>3898</v>
      </c>
      <c r="L3898" s="8"/>
    </row>
    <row r="3899" customFormat="false" ht="15.75" hidden="false" customHeight="true" outlineLevel="0" collapsed="false">
      <c r="A3899" s="7" t="n">
        <v>45924</v>
      </c>
      <c r="B3899" s="8" t="s">
        <v>32</v>
      </c>
      <c r="C3899" s="9" t="n">
        <v>125</v>
      </c>
      <c r="D3899" s="8" t="s">
        <v>21</v>
      </c>
      <c r="E3899" s="10" t="s">
        <v>450</v>
      </c>
      <c r="F3899" s="8" t="str">
        <f aca="false">TEXT(A3899,"MM-YYYY")</f>
        <v>09-2025</v>
      </c>
      <c r="G3899" s="8" t="s">
        <v>14</v>
      </c>
      <c r="H3899" s="8" t="s">
        <v>15</v>
      </c>
      <c r="I3899" s="7" t="n">
        <v>45924</v>
      </c>
      <c r="J3899" s="8" t="str">
        <f aca="false">VLOOKUP(B3899, Table3[#All], 2, FALSE())</f>
        <v>Grocery</v>
      </c>
      <c r="K3899" s="8" t="str">
        <f aca="false">TEXT(ROW(), "0000")</f>
        <v>3899</v>
      </c>
      <c r="L3899" s="8"/>
    </row>
    <row r="3900" customFormat="false" ht="15.75" hidden="false" customHeight="true" outlineLevel="0" collapsed="false">
      <c r="A3900" s="7" t="n">
        <v>45924</v>
      </c>
      <c r="B3900" s="8" t="s">
        <v>22</v>
      </c>
      <c r="C3900" s="9" t="n">
        <v>55</v>
      </c>
      <c r="D3900" s="8" t="s">
        <v>21</v>
      </c>
      <c r="E3900" s="10" t="s">
        <v>479</v>
      </c>
      <c r="F3900" s="8" t="str">
        <f aca="false">TEXT(A3900,"MM-YYYY")</f>
        <v>09-2025</v>
      </c>
      <c r="G3900" s="8" t="s">
        <v>14</v>
      </c>
      <c r="H3900" s="8" t="s">
        <v>15</v>
      </c>
      <c r="I3900" s="7" t="n">
        <v>45924</v>
      </c>
      <c r="J3900" s="8" t="str">
        <f aca="false">VLOOKUP(B3900, Table3[#All], 2, FALSE())</f>
        <v>Inventory</v>
      </c>
      <c r="K3900" s="8" t="str">
        <f aca="false">TEXT(ROW(), "0000")</f>
        <v>3900</v>
      </c>
      <c r="L3900" s="8"/>
    </row>
    <row r="3901" customFormat="false" ht="15.75" hidden="false" customHeight="true" outlineLevel="0" collapsed="false">
      <c r="A3901" s="7" t="n">
        <v>45923</v>
      </c>
      <c r="B3901" s="8" t="s">
        <v>29</v>
      </c>
      <c r="C3901" s="9" t="n">
        <v>419</v>
      </c>
      <c r="D3901" s="8" t="s">
        <v>13</v>
      </c>
      <c r="E3901" s="10" t="s">
        <v>490</v>
      </c>
      <c r="F3901" s="8" t="str">
        <f aca="false">TEXT(A3901,"MM-YYYY")</f>
        <v>09-2025</v>
      </c>
      <c r="G3901" s="8" t="s">
        <v>18</v>
      </c>
      <c r="H3901" s="8"/>
      <c r="I3901" s="7"/>
      <c r="J3901" s="8" t="str">
        <f aca="false">VLOOKUP(B3901, Table3[#All], 2, FALSE())</f>
        <v>Inventory</v>
      </c>
      <c r="K3901" s="8" t="str">
        <f aca="false">TEXT(ROW(), "0000")</f>
        <v>3901</v>
      </c>
      <c r="L3901" s="8"/>
    </row>
    <row r="3902" customFormat="false" ht="15.75" hidden="false" customHeight="true" outlineLevel="0" collapsed="false">
      <c r="A3902" s="7" t="n">
        <v>45924</v>
      </c>
      <c r="B3902" s="8" t="s">
        <v>29</v>
      </c>
      <c r="C3902" s="9" t="n">
        <v>428</v>
      </c>
      <c r="D3902" s="8" t="s">
        <v>13</v>
      </c>
      <c r="E3902" s="10" t="s">
        <v>490</v>
      </c>
      <c r="F3902" s="8" t="str">
        <f aca="false">TEXT(A3902,"MM-YYYY")</f>
        <v>09-2025</v>
      </c>
      <c r="G3902" s="8" t="s">
        <v>18</v>
      </c>
      <c r="H3902" s="8"/>
      <c r="I3902" s="7"/>
      <c r="J3902" s="8" t="str">
        <f aca="false">VLOOKUP(B3902, Table3[#All], 2, FALSE())</f>
        <v>Inventory</v>
      </c>
      <c r="K3902" s="8" t="str">
        <f aca="false">TEXT(ROW(), "0000")</f>
        <v>3902</v>
      </c>
      <c r="L3902" s="8"/>
    </row>
    <row r="3903" customFormat="false" ht="15.75" hidden="false" customHeight="true" outlineLevel="0" collapsed="false">
      <c r="A3903" s="7" t="n">
        <v>45924</v>
      </c>
      <c r="B3903" s="8" t="s">
        <v>50</v>
      </c>
      <c r="C3903" s="9" t="n">
        <v>3186</v>
      </c>
      <c r="D3903" s="8" t="s">
        <v>13</v>
      </c>
      <c r="E3903" s="10" t="s">
        <v>263</v>
      </c>
      <c r="F3903" s="8" t="str">
        <f aca="false">TEXT(A3903,"MM-YYYY")</f>
        <v>09-2025</v>
      </c>
      <c r="G3903" s="8" t="s">
        <v>18</v>
      </c>
      <c r="H3903" s="8"/>
      <c r="I3903" s="7"/>
      <c r="J3903" s="8" t="str">
        <f aca="false">VLOOKUP(B3903, Table3[#All], 2, FALSE())</f>
        <v>Fixed Maintance</v>
      </c>
      <c r="K3903" s="8" t="str">
        <f aca="false">TEXT(ROW(), "0000")</f>
        <v>3903</v>
      </c>
      <c r="L3903" s="8"/>
    </row>
    <row r="3904" customFormat="false" ht="15.75" hidden="false" customHeight="true" outlineLevel="0" collapsed="false">
      <c r="A3904" s="7" t="n">
        <v>45924</v>
      </c>
      <c r="B3904" s="8" t="s">
        <v>16</v>
      </c>
      <c r="C3904" s="9" t="n">
        <v>1230</v>
      </c>
      <c r="D3904" s="8" t="s">
        <v>21</v>
      </c>
      <c r="E3904" s="10" t="s">
        <v>88</v>
      </c>
      <c r="F3904" s="8" t="str">
        <f aca="false">TEXT(A3904,"MM-YYYY")</f>
        <v>09-2025</v>
      </c>
      <c r="G3904" s="8"/>
      <c r="H3904" s="8"/>
      <c r="I3904" s="7"/>
      <c r="J3904" s="8" t="str">
        <f aca="false">VLOOKUP(B3904, Table3[#All], 2, FALSE())</f>
        <v>Sales</v>
      </c>
      <c r="K3904" s="8" t="str">
        <f aca="false">TEXT(ROW(), "0000")</f>
        <v>3904</v>
      </c>
      <c r="L3904" s="8"/>
    </row>
    <row r="3905" customFormat="false" ht="15.75" hidden="false" customHeight="true" outlineLevel="0" collapsed="false">
      <c r="A3905" s="7" t="n">
        <v>45924</v>
      </c>
      <c r="B3905" s="8" t="s">
        <v>16</v>
      </c>
      <c r="C3905" s="9" t="n">
        <v>210</v>
      </c>
      <c r="D3905" s="8" t="s">
        <v>27</v>
      </c>
      <c r="E3905" s="10" t="s">
        <v>88</v>
      </c>
      <c r="F3905" s="8" t="str">
        <f aca="false">TEXT(A3905,"MM-YYYY")</f>
        <v>09-2025</v>
      </c>
      <c r="G3905" s="8"/>
      <c r="H3905" s="8"/>
      <c r="I3905" s="7"/>
      <c r="J3905" s="8" t="str">
        <f aca="false">VLOOKUP(B3905, Table3[#All], 2, FALSE())</f>
        <v>Sales</v>
      </c>
      <c r="K3905" s="8" t="str">
        <f aca="false">TEXT(ROW(), "0000")</f>
        <v>3905</v>
      </c>
      <c r="L3905" s="8"/>
    </row>
    <row r="3906" customFormat="false" ht="15.75" hidden="false" customHeight="true" outlineLevel="0" collapsed="false">
      <c r="A3906" s="7" t="n">
        <v>45924</v>
      </c>
      <c r="B3906" s="8" t="s">
        <v>16</v>
      </c>
      <c r="C3906" s="9" t="n">
        <v>230</v>
      </c>
      <c r="D3906" s="8" t="s">
        <v>33</v>
      </c>
      <c r="E3906" s="10" t="s">
        <v>88</v>
      </c>
      <c r="F3906" s="8" t="str">
        <f aca="false">TEXT(A3906,"MM-YYYY")</f>
        <v>09-2025</v>
      </c>
      <c r="G3906" s="8"/>
      <c r="H3906" s="8"/>
      <c r="I3906" s="7"/>
      <c r="J3906" s="8" t="str">
        <f aca="false">VLOOKUP(B3906, Table3[#All], 2, FALSE())</f>
        <v>Sales</v>
      </c>
      <c r="K3906" s="8" t="str">
        <f aca="false">TEXT(ROW(), "0000")</f>
        <v>3906</v>
      </c>
      <c r="L3906" s="8"/>
    </row>
    <row r="3907" customFormat="false" ht="15.75" hidden="false" customHeight="true" outlineLevel="0" collapsed="false">
      <c r="A3907" s="7" t="n">
        <v>45924</v>
      </c>
      <c r="B3907" s="8" t="s">
        <v>16</v>
      </c>
      <c r="C3907" s="9" t="n">
        <v>7195</v>
      </c>
      <c r="D3907" s="8" t="s">
        <v>17</v>
      </c>
      <c r="E3907" s="10" t="s">
        <v>88</v>
      </c>
      <c r="F3907" s="8" t="str">
        <f aca="false">TEXT(A3907,"MM-YYYY")</f>
        <v>09-2025</v>
      </c>
      <c r="G3907" s="8"/>
      <c r="H3907" s="8"/>
      <c r="I3907" s="7"/>
      <c r="J3907" s="8" t="str">
        <f aca="false">VLOOKUP(B3907, Table3[#All], 2, FALSE())</f>
        <v>Sales</v>
      </c>
      <c r="K3907" s="8" t="str">
        <f aca="false">TEXT(ROW(), "0000")</f>
        <v>3907</v>
      </c>
      <c r="L3907" s="8"/>
    </row>
    <row r="3908" customFormat="false" ht="15.75" hidden="false" customHeight="true" outlineLevel="0" collapsed="false">
      <c r="A3908" s="7" t="n">
        <v>45924</v>
      </c>
      <c r="B3908" s="8" t="s">
        <v>16</v>
      </c>
      <c r="C3908" s="9" t="n">
        <v>239</v>
      </c>
      <c r="D3908" s="8" t="s">
        <v>24</v>
      </c>
      <c r="E3908" s="10" t="s">
        <v>88</v>
      </c>
      <c r="F3908" s="8" t="str">
        <f aca="false">TEXT(A3908,"MM-YYYY")</f>
        <v>09-2025</v>
      </c>
      <c r="G3908" s="8"/>
      <c r="H3908" s="8"/>
      <c r="I3908" s="7"/>
      <c r="J3908" s="8" t="str">
        <f aca="false">VLOOKUP(B3908, Table3[#All], 2, FALSE())</f>
        <v>Sales</v>
      </c>
      <c r="K3908" s="8" t="str">
        <f aca="false">TEXT(ROW(), "0000")</f>
        <v>3908</v>
      </c>
      <c r="L3908" s="8"/>
    </row>
    <row r="3909" customFormat="false" ht="15.75" hidden="false" customHeight="true" outlineLevel="0" collapsed="false">
      <c r="A3909" s="7" t="n">
        <v>45924</v>
      </c>
      <c r="B3909" s="8" t="s">
        <v>43</v>
      </c>
      <c r="C3909" s="9" t="n">
        <v>1000</v>
      </c>
      <c r="D3909" s="8" t="s">
        <v>21</v>
      </c>
      <c r="E3909" s="10" t="s">
        <v>549</v>
      </c>
      <c r="F3909" s="8" t="str">
        <f aca="false">TEXT(A3909,"MM-YYYY")</f>
        <v>09-2025</v>
      </c>
      <c r="G3909" s="8" t="s">
        <v>14</v>
      </c>
      <c r="H3909" s="8" t="s">
        <v>15</v>
      </c>
      <c r="I3909" s="7" t="n">
        <v>45924</v>
      </c>
      <c r="J3909" s="8" t="str">
        <f aca="false">VLOOKUP(B3909, Table3[#All], 2, FALSE())</f>
        <v>Maintance</v>
      </c>
      <c r="K3909" s="8" t="str">
        <f aca="false">TEXT(ROW(), "0000")</f>
        <v>3909</v>
      </c>
      <c r="L3909" s="8"/>
    </row>
    <row r="3910" customFormat="false" ht="15.75" hidden="false" customHeight="true" outlineLevel="0" collapsed="false">
      <c r="A3910" s="7" t="n">
        <v>45924</v>
      </c>
      <c r="B3910" s="8" t="s">
        <v>34</v>
      </c>
      <c r="C3910" s="9" t="n">
        <v>250</v>
      </c>
      <c r="D3910" s="8" t="s">
        <v>21</v>
      </c>
      <c r="E3910" s="10" t="s">
        <v>545</v>
      </c>
      <c r="F3910" s="8" t="str">
        <f aca="false">TEXT(A3910,"MM-YYYY")</f>
        <v>09-2025</v>
      </c>
      <c r="G3910" s="8" t="s">
        <v>14</v>
      </c>
      <c r="H3910" s="8" t="s">
        <v>15</v>
      </c>
      <c r="I3910" s="7" t="n">
        <v>45924</v>
      </c>
      <c r="J3910" s="8" t="str">
        <f aca="false">VLOOKUP(B3910, Table3[#All], 2, FALSE())</f>
        <v>Staff Expenses</v>
      </c>
      <c r="K3910" s="8" t="str">
        <f aca="false">TEXT(ROW(), "0000")</f>
        <v>3910</v>
      </c>
      <c r="L3910" s="8"/>
    </row>
    <row r="3911" customFormat="false" ht="15.75" hidden="false" customHeight="true" outlineLevel="0" collapsed="false">
      <c r="A3911" s="7" t="n">
        <v>45925</v>
      </c>
      <c r="B3911" s="8" t="s">
        <v>29</v>
      </c>
      <c r="C3911" s="9" t="n">
        <v>700</v>
      </c>
      <c r="D3911" s="8" t="s">
        <v>21</v>
      </c>
      <c r="E3911" s="10" t="s">
        <v>78</v>
      </c>
      <c r="F3911" s="8" t="str">
        <f aca="false">TEXT(A3911,"MM-YYYY")</f>
        <v>09-2025</v>
      </c>
      <c r="G3911" s="8" t="s">
        <v>14</v>
      </c>
      <c r="H3911" s="8" t="s">
        <v>15</v>
      </c>
      <c r="I3911" s="7" t="n">
        <v>45925</v>
      </c>
      <c r="J3911" s="8" t="str">
        <f aca="false">VLOOKUP(B3911, Table3[#All], 2, FALSE())</f>
        <v>Inventory</v>
      </c>
      <c r="K3911" s="8" t="str">
        <f aca="false">TEXT(ROW(), "0000")</f>
        <v>3911</v>
      </c>
      <c r="L3911" s="8"/>
    </row>
    <row r="3912" customFormat="false" ht="15.75" hidden="false" customHeight="true" outlineLevel="0" collapsed="false">
      <c r="A3912" s="7" t="n">
        <v>45925</v>
      </c>
      <c r="B3912" s="8" t="s">
        <v>22</v>
      </c>
      <c r="C3912" s="9" t="n">
        <v>504</v>
      </c>
      <c r="D3912" s="8" t="s">
        <v>13</v>
      </c>
      <c r="E3912" s="10" t="s">
        <v>23</v>
      </c>
      <c r="F3912" s="8" t="str">
        <f aca="false">TEXT(A3912,"MM-YYYY")</f>
        <v>09-2025</v>
      </c>
      <c r="G3912" s="8" t="s">
        <v>18</v>
      </c>
      <c r="H3912" s="8"/>
      <c r="I3912" s="7"/>
      <c r="J3912" s="8" t="str">
        <f aca="false">VLOOKUP(B3912, Table3[#All], 2, FALSE())</f>
        <v>Inventory</v>
      </c>
      <c r="K3912" s="8" t="str">
        <f aca="false">TEXT(ROW(), "0000")</f>
        <v>3912</v>
      </c>
      <c r="L3912" s="8"/>
    </row>
    <row r="3913" customFormat="false" ht="15.75" hidden="false" customHeight="true" outlineLevel="0" collapsed="false">
      <c r="A3913" s="7" t="n">
        <v>45925</v>
      </c>
      <c r="B3913" s="8" t="s">
        <v>16</v>
      </c>
      <c r="C3913" s="9" t="n">
        <v>1610</v>
      </c>
      <c r="D3913" s="8" t="s">
        <v>21</v>
      </c>
      <c r="E3913" s="10" t="s">
        <v>88</v>
      </c>
      <c r="F3913" s="8" t="str">
        <f aca="false">TEXT(A3913,"MM-YYYY")</f>
        <v>09-2025</v>
      </c>
      <c r="G3913" s="8"/>
      <c r="H3913" s="8"/>
      <c r="I3913" s="7"/>
      <c r="J3913" s="8" t="str">
        <f aca="false">VLOOKUP(B3913, Table3[#All], 2, FALSE())</f>
        <v>Sales</v>
      </c>
      <c r="K3913" s="8" t="str">
        <f aca="false">TEXT(ROW(), "0000")</f>
        <v>3913</v>
      </c>
      <c r="L3913" s="8"/>
    </row>
    <row r="3914" customFormat="false" ht="15.75" hidden="false" customHeight="true" outlineLevel="0" collapsed="false">
      <c r="A3914" s="7" t="n">
        <v>45925</v>
      </c>
      <c r="B3914" s="8" t="s">
        <v>16</v>
      </c>
      <c r="C3914" s="9" t="n">
        <v>6692</v>
      </c>
      <c r="D3914" s="8" t="s">
        <v>17</v>
      </c>
      <c r="E3914" s="10" t="s">
        <v>88</v>
      </c>
      <c r="F3914" s="8" t="str">
        <f aca="false">TEXT(A3914,"MM-YYYY")</f>
        <v>09-2025</v>
      </c>
      <c r="G3914" s="8"/>
      <c r="H3914" s="8"/>
      <c r="I3914" s="7"/>
      <c r="J3914" s="8" t="str">
        <f aca="false">VLOOKUP(B3914, Table3[#All], 2, FALSE())</f>
        <v>Sales</v>
      </c>
      <c r="K3914" s="8" t="str">
        <f aca="false">TEXT(ROW(), "0000")</f>
        <v>3914</v>
      </c>
      <c r="L3914" s="8"/>
    </row>
    <row r="3915" customFormat="false" ht="15.75" hidden="false" customHeight="true" outlineLevel="0" collapsed="false">
      <c r="A3915" s="7" t="n">
        <v>45925</v>
      </c>
      <c r="B3915" s="8" t="s">
        <v>16</v>
      </c>
      <c r="C3915" s="9" t="n">
        <v>3215</v>
      </c>
      <c r="D3915" s="8" t="s">
        <v>24</v>
      </c>
      <c r="E3915" s="10" t="s">
        <v>88</v>
      </c>
      <c r="F3915" s="8" t="str">
        <f aca="false">TEXT(A3915,"MM-YYYY")</f>
        <v>09-2025</v>
      </c>
      <c r="G3915" s="8"/>
      <c r="H3915" s="8"/>
      <c r="I3915" s="7"/>
      <c r="J3915" s="8" t="str">
        <f aca="false">VLOOKUP(B3915, Table3[#All], 2, FALSE())</f>
        <v>Sales</v>
      </c>
      <c r="K3915" s="8" t="str">
        <f aca="false">TEXT(ROW(), "0000")</f>
        <v>3915</v>
      </c>
      <c r="L3915" s="8"/>
    </row>
    <row r="3916" customFormat="false" ht="15.75" hidden="false" customHeight="true" outlineLevel="0" collapsed="false">
      <c r="A3916" s="7" t="n">
        <v>45925</v>
      </c>
      <c r="B3916" s="8" t="s">
        <v>56</v>
      </c>
      <c r="C3916" s="9" t="n">
        <v>250</v>
      </c>
      <c r="D3916" s="8" t="s">
        <v>21</v>
      </c>
      <c r="E3916" s="10" t="s">
        <v>551</v>
      </c>
      <c r="F3916" s="8" t="str">
        <f aca="false">TEXT(A3916,"MM-YYYY")</f>
        <v>09-2025</v>
      </c>
      <c r="G3916" s="8" t="s">
        <v>14</v>
      </c>
      <c r="H3916" s="8" t="s">
        <v>15</v>
      </c>
      <c r="I3916" s="7" t="n">
        <v>45925</v>
      </c>
      <c r="J3916" s="8" t="str">
        <f aca="false">VLOOKUP(B3916, Table3[#All], 2, FALSE())</f>
        <v>New Inventory</v>
      </c>
      <c r="K3916" s="8" t="str">
        <f aca="false">TEXT(ROW(), "0000")</f>
        <v>3916</v>
      </c>
      <c r="L3916" s="8"/>
    </row>
    <row r="3917" customFormat="false" ht="15.75" hidden="false" customHeight="true" outlineLevel="0" collapsed="false">
      <c r="A3917" s="7" t="n">
        <v>45925</v>
      </c>
      <c r="B3917" s="8" t="s">
        <v>34</v>
      </c>
      <c r="C3917" s="9" t="n">
        <v>160</v>
      </c>
      <c r="D3917" s="8" t="s">
        <v>21</v>
      </c>
      <c r="E3917" s="10" t="s">
        <v>545</v>
      </c>
      <c r="F3917" s="8" t="str">
        <f aca="false">TEXT(A3917,"MM-YYYY")</f>
        <v>09-2025</v>
      </c>
      <c r="G3917" s="8" t="s">
        <v>14</v>
      </c>
      <c r="H3917" s="8" t="s">
        <v>15</v>
      </c>
      <c r="I3917" s="7" t="n">
        <v>45925</v>
      </c>
      <c r="J3917" s="8" t="str">
        <f aca="false">VLOOKUP(B3917, Table3[#All], 2, FALSE())</f>
        <v>Staff Expenses</v>
      </c>
      <c r="K3917" s="8" t="str">
        <f aca="false">TEXT(ROW(), "0000")</f>
        <v>3917</v>
      </c>
      <c r="L3917" s="8"/>
    </row>
    <row r="3918" customFormat="false" ht="15.75" hidden="false" customHeight="true" outlineLevel="0" collapsed="false">
      <c r="A3918" s="7" t="n">
        <v>45926</v>
      </c>
      <c r="B3918" s="8" t="s">
        <v>47</v>
      </c>
      <c r="C3918" s="9" t="n">
        <v>1800</v>
      </c>
      <c r="D3918" s="8" t="s">
        <v>13</v>
      </c>
      <c r="E3918" s="10" t="s">
        <v>484</v>
      </c>
      <c r="F3918" s="8" t="str">
        <f aca="false">TEXT(A3918,"MM-YYYY")</f>
        <v>09-2025</v>
      </c>
      <c r="G3918" s="8" t="s">
        <v>18</v>
      </c>
      <c r="H3918" s="8"/>
      <c r="I3918" s="7"/>
      <c r="J3918" s="8" t="str">
        <f aca="false">VLOOKUP(B3918, Table3[#All], 2, FALSE())</f>
        <v>Inventory</v>
      </c>
      <c r="K3918" s="8" t="str">
        <f aca="false">TEXT(ROW(), "0000")</f>
        <v>3918</v>
      </c>
      <c r="L3918" s="8"/>
    </row>
    <row r="3919" customFormat="false" ht="15.75" hidden="false" customHeight="true" outlineLevel="0" collapsed="false">
      <c r="A3919" s="7" t="n">
        <v>45926</v>
      </c>
      <c r="B3919" s="8" t="s">
        <v>19</v>
      </c>
      <c r="C3919" s="9" t="n">
        <v>380</v>
      </c>
      <c r="D3919" s="8" t="s">
        <v>13</v>
      </c>
      <c r="E3919" s="10" t="s">
        <v>473</v>
      </c>
      <c r="F3919" s="8" t="str">
        <f aca="false">TEXT(A3919,"MM-YYYY")</f>
        <v>09-2025</v>
      </c>
      <c r="G3919" s="8" t="s">
        <v>14</v>
      </c>
      <c r="H3919" s="8"/>
      <c r="I3919" s="7"/>
      <c r="J3919" s="8" t="str">
        <f aca="false">VLOOKUP(B3919, Table3[#All], 2, FALSE())</f>
        <v>Inventory</v>
      </c>
      <c r="K3919" s="8" t="str">
        <f aca="false">TEXT(ROW(), "0000")</f>
        <v>3919</v>
      </c>
      <c r="L3919" s="8"/>
    </row>
    <row r="3920" customFormat="false" ht="15.75" hidden="false" customHeight="true" outlineLevel="0" collapsed="false">
      <c r="A3920" s="7" t="n">
        <v>45926</v>
      </c>
      <c r="B3920" s="8" t="s">
        <v>29</v>
      </c>
      <c r="C3920" s="9" t="n">
        <v>285</v>
      </c>
      <c r="D3920" s="8" t="s">
        <v>13</v>
      </c>
      <c r="E3920" s="10" t="s">
        <v>490</v>
      </c>
      <c r="F3920" s="8" t="str">
        <f aca="false">TEXT(A3920,"MM-YYYY")</f>
        <v>09-2025</v>
      </c>
      <c r="G3920" s="8" t="s">
        <v>18</v>
      </c>
      <c r="H3920" s="8"/>
      <c r="I3920" s="7"/>
      <c r="J3920" s="8" t="str">
        <f aca="false">VLOOKUP(B3920, Table3[#All], 2, FALSE())</f>
        <v>Inventory</v>
      </c>
      <c r="K3920" s="8" t="str">
        <f aca="false">TEXT(ROW(), "0000")</f>
        <v>3920</v>
      </c>
      <c r="L3920" s="8"/>
    </row>
    <row r="3921" customFormat="false" ht="15.75" hidden="false" customHeight="true" outlineLevel="0" collapsed="false">
      <c r="A3921" s="7" t="n">
        <v>45926</v>
      </c>
      <c r="B3921" s="8" t="s">
        <v>25</v>
      </c>
      <c r="C3921" s="9" t="n">
        <v>383</v>
      </c>
      <c r="D3921" s="8" t="s">
        <v>13</v>
      </c>
      <c r="E3921" s="10" t="s">
        <v>92</v>
      </c>
      <c r="F3921" s="8" t="str">
        <f aca="false">TEXT(A3921,"MM-YYYY")</f>
        <v>09-2025</v>
      </c>
      <c r="G3921" s="8" t="s">
        <v>18</v>
      </c>
      <c r="H3921" s="8"/>
      <c r="I3921" s="7"/>
      <c r="J3921" s="8" t="str">
        <f aca="false">VLOOKUP(B3921, Table3[#All], 2, FALSE())</f>
        <v>Inventory</v>
      </c>
      <c r="K3921" s="8" t="str">
        <f aca="false">TEXT(ROW(), "0000")</f>
        <v>3921</v>
      </c>
      <c r="L3921" s="8"/>
    </row>
    <row r="3922" customFormat="false" ht="15.75" hidden="false" customHeight="true" outlineLevel="0" collapsed="false">
      <c r="A3922" s="7" t="n">
        <v>45926</v>
      </c>
      <c r="B3922" s="8" t="s">
        <v>29</v>
      </c>
      <c r="C3922" s="9" t="n">
        <v>30</v>
      </c>
      <c r="D3922" s="8" t="s">
        <v>21</v>
      </c>
      <c r="E3922" s="10" t="s">
        <v>65</v>
      </c>
      <c r="F3922" s="8" t="str">
        <f aca="false">TEXT(A3922,"MM-YYYY")</f>
        <v>09-2025</v>
      </c>
      <c r="G3922" s="8" t="s">
        <v>14</v>
      </c>
      <c r="H3922" s="8" t="s">
        <v>232</v>
      </c>
      <c r="I3922" s="7" t="n">
        <v>45926</v>
      </c>
      <c r="J3922" s="8" t="str">
        <f aca="false">VLOOKUP(B3922, Table3[#All], 2, FALSE())</f>
        <v>Inventory</v>
      </c>
      <c r="K3922" s="8" t="str">
        <f aca="false">TEXT(ROW(), "0000")</f>
        <v>3922</v>
      </c>
      <c r="L3922" s="8"/>
    </row>
    <row r="3923" customFormat="false" ht="15.75" hidden="false" customHeight="true" outlineLevel="0" collapsed="false">
      <c r="A3923" s="7" t="n">
        <v>45926</v>
      </c>
      <c r="B3923" s="8" t="s">
        <v>51</v>
      </c>
      <c r="C3923" s="9" t="n">
        <v>9535</v>
      </c>
      <c r="D3923" s="8" t="s">
        <v>13</v>
      </c>
      <c r="E3923" s="10" t="s">
        <v>552</v>
      </c>
      <c r="F3923" s="8" t="str">
        <f aca="false">TEXT(A3923,"MM-YYYY")</f>
        <v>09-2025</v>
      </c>
      <c r="G3923" s="8" t="s">
        <v>18</v>
      </c>
      <c r="H3923" s="8"/>
      <c r="I3923" s="7"/>
      <c r="J3923" s="8" t="str">
        <f aca="false">VLOOKUP(B3923, Table3[#All], 2, FALSE())</f>
        <v>Inventory</v>
      </c>
      <c r="K3923" s="8" t="str">
        <f aca="false">TEXT(ROW(), "0000")</f>
        <v>3923</v>
      </c>
      <c r="L3923" s="8"/>
    </row>
    <row r="3924" customFormat="false" ht="15.75" hidden="false" customHeight="true" outlineLevel="0" collapsed="false">
      <c r="A3924" s="7" t="n">
        <v>45926</v>
      </c>
      <c r="B3924" s="8" t="s">
        <v>16</v>
      </c>
      <c r="C3924" s="9" t="n">
        <v>1570</v>
      </c>
      <c r="D3924" s="8" t="s">
        <v>21</v>
      </c>
      <c r="E3924" s="10" t="s">
        <v>88</v>
      </c>
      <c r="F3924" s="8" t="str">
        <f aca="false">TEXT(A3924,"MM-YYYY")</f>
        <v>09-2025</v>
      </c>
      <c r="G3924" s="8"/>
      <c r="H3924" s="8"/>
      <c r="I3924" s="7"/>
      <c r="J3924" s="8" t="str">
        <f aca="false">VLOOKUP(B3924, Table3[#All], 2, FALSE())</f>
        <v>Sales</v>
      </c>
      <c r="K3924" s="8" t="str">
        <f aca="false">TEXT(ROW(), "0000")</f>
        <v>3924</v>
      </c>
      <c r="L3924" s="8"/>
    </row>
    <row r="3925" customFormat="false" ht="15.75" hidden="false" customHeight="true" outlineLevel="0" collapsed="false">
      <c r="A3925" s="7" t="n">
        <v>45926</v>
      </c>
      <c r="B3925" s="8" t="s">
        <v>16</v>
      </c>
      <c r="C3925" s="9" t="n">
        <v>440</v>
      </c>
      <c r="D3925" s="8" t="s">
        <v>27</v>
      </c>
      <c r="E3925" s="10" t="s">
        <v>88</v>
      </c>
      <c r="F3925" s="8" t="str">
        <f aca="false">TEXT(A3925,"MM-YYYY")</f>
        <v>09-2025</v>
      </c>
      <c r="G3925" s="8"/>
      <c r="H3925" s="8"/>
      <c r="I3925" s="7"/>
      <c r="J3925" s="8" t="str">
        <f aca="false">VLOOKUP(B3925, Table3[#All], 2, FALSE())</f>
        <v>Sales</v>
      </c>
      <c r="K3925" s="8" t="str">
        <f aca="false">TEXT(ROW(), "0000")</f>
        <v>3925</v>
      </c>
      <c r="L3925" s="8"/>
    </row>
    <row r="3926" customFormat="false" ht="15.75" hidden="false" customHeight="true" outlineLevel="0" collapsed="false">
      <c r="A3926" s="7" t="n">
        <v>45926</v>
      </c>
      <c r="B3926" s="8" t="s">
        <v>16</v>
      </c>
      <c r="C3926" s="9" t="n">
        <v>130</v>
      </c>
      <c r="D3926" s="8" t="s">
        <v>33</v>
      </c>
      <c r="E3926" s="10" t="s">
        <v>88</v>
      </c>
      <c r="F3926" s="8" t="str">
        <f aca="false">TEXT(A3926,"MM-YYYY")</f>
        <v>09-2025</v>
      </c>
      <c r="G3926" s="8"/>
      <c r="H3926" s="8"/>
      <c r="I3926" s="7"/>
      <c r="J3926" s="8" t="str">
        <f aca="false">VLOOKUP(B3926, Table3[#All], 2, FALSE())</f>
        <v>Sales</v>
      </c>
      <c r="K3926" s="8" t="str">
        <f aca="false">TEXT(ROW(), "0000")</f>
        <v>3926</v>
      </c>
      <c r="L3926" s="8"/>
    </row>
    <row r="3927" customFormat="false" ht="15.75" hidden="false" customHeight="true" outlineLevel="0" collapsed="false">
      <c r="A3927" s="7" t="n">
        <v>45926</v>
      </c>
      <c r="B3927" s="8" t="s">
        <v>16</v>
      </c>
      <c r="C3927" s="9" t="n">
        <v>10663</v>
      </c>
      <c r="D3927" s="8" t="s">
        <v>17</v>
      </c>
      <c r="E3927" s="10" t="s">
        <v>88</v>
      </c>
      <c r="F3927" s="8" t="str">
        <f aca="false">TEXT(A3927,"MM-YYYY")</f>
        <v>09-2025</v>
      </c>
      <c r="G3927" s="8"/>
      <c r="H3927" s="8"/>
      <c r="I3927" s="7"/>
      <c r="J3927" s="8" t="str">
        <f aca="false">VLOOKUP(B3927, Table3[#All], 2, FALSE())</f>
        <v>Sales</v>
      </c>
      <c r="K3927" s="8" t="str">
        <f aca="false">TEXT(ROW(), "0000")</f>
        <v>3927</v>
      </c>
      <c r="L3927" s="8"/>
    </row>
    <row r="3928" customFormat="false" ht="15.75" hidden="false" customHeight="true" outlineLevel="0" collapsed="false">
      <c r="A3928" s="7" t="n">
        <v>45926</v>
      </c>
      <c r="B3928" s="8" t="s">
        <v>16</v>
      </c>
      <c r="C3928" s="9" t="n">
        <v>3172</v>
      </c>
      <c r="D3928" s="8" t="s">
        <v>24</v>
      </c>
      <c r="E3928" s="10" t="s">
        <v>88</v>
      </c>
      <c r="F3928" s="8" t="str">
        <f aca="false">TEXT(A3928,"MM-YYYY")</f>
        <v>09-2025</v>
      </c>
      <c r="G3928" s="8"/>
      <c r="H3928" s="8"/>
      <c r="I3928" s="7"/>
      <c r="J3928" s="8" t="str">
        <f aca="false">VLOOKUP(B3928, Table3[#All], 2, FALSE())</f>
        <v>Sales</v>
      </c>
      <c r="K3928" s="8" t="str">
        <f aca="false">TEXT(ROW(), "0000")</f>
        <v>3928</v>
      </c>
      <c r="L3928" s="8"/>
    </row>
    <row r="3929" customFormat="false" ht="15.75" hidden="false" customHeight="true" outlineLevel="0" collapsed="false">
      <c r="A3929" s="7" t="n">
        <v>45926</v>
      </c>
      <c r="B3929" s="8" t="s">
        <v>31</v>
      </c>
      <c r="C3929" s="9" t="n">
        <v>150</v>
      </c>
      <c r="D3929" s="8" t="s">
        <v>21</v>
      </c>
      <c r="E3929" s="10" t="s">
        <v>553</v>
      </c>
      <c r="F3929" s="8" t="str">
        <f aca="false">TEXT(A3929,"MM-YYYY")</f>
        <v>09-2025</v>
      </c>
      <c r="G3929" s="8" t="s">
        <v>14</v>
      </c>
      <c r="H3929" s="8" t="s">
        <v>232</v>
      </c>
      <c r="I3929" s="7" t="n">
        <v>45926</v>
      </c>
      <c r="J3929" s="8" t="str">
        <f aca="false">VLOOKUP(B3929, Table3[#All], 2, FALSE())</f>
        <v>Bike Maintance</v>
      </c>
      <c r="K3929" s="8" t="str">
        <f aca="false">TEXT(ROW(), "0000")</f>
        <v>3929</v>
      </c>
      <c r="L3929" s="8"/>
    </row>
    <row r="3930" customFormat="false" ht="15.75" hidden="false" customHeight="true" outlineLevel="0" collapsed="false">
      <c r="A3930" s="7" t="n">
        <v>45926</v>
      </c>
      <c r="B3930" s="8" t="s">
        <v>34</v>
      </c>
      <c r="C3930" s="9" t="n">
        <v>190</v>
      </c>
      <c r="D3930" s="8" t="s">
        <v>21</v>
      </c>
      <c r="E3930" s="10" t="s">
        <v>545</v>
      </c>
      <c r="F3930" s="8" t="str">
        <f aca="false">TEXT(A3930,"MM-YYYY")</f>
        <v>09-2025</v>
      </c>
      <c r="G3930" s="8" t="s">
        <v>14</v>
      </c>
      <c r="H3930" s="8" t="s">
        <v>232</v>
      </c>
      <c r="I3930" s="7" t="n">
        <v>45926</v>
      </c>
      <c r="J3930" s="8" t="str">
        <f aca="false">VLOOKUP(B3930, Table3[#All], 2, FALSE())</f>
        <v>Staff Expenses</v>
      </c>
      <c r="K3930" s="8" t="str">
        <f aca="false">TEXT(ROW(), "0000")</f>
        <v>3930</v>
      </c>
      <c r="L3930" s="8"/>
    </row>
    <row r="3931" customFormat="false" ht="15.75" hidden="false" customHeight="true" outlineLevel="0" collapsed="false">
      <c r="A3931" s="7" t="n">
        <v>45927</v>
      </c>
      <c r="B3931" s="8" t="s">
        <v>19</v>
      </c>
      <c r="C3931" s="9" t="n">
        <v>471</v>
      </c>
      <c r="D3931" s="8" t="s">
        <v>13</v>
      </c>
      <c r="E3931" s="10" t="s">
        <v>473</v>
      </c>
      <c r="F3931" s="8" t="str">
        <f aca="false">TEXT(A3931,"MM-YYYY")</f>
        <v>09-2025</v>
      </c>
      <c r="G3931" s="8" t="s">
        <v>14</v>
      </c>
      <c r="H3931" s="8"/>
      <c r="I3931" s="7"/>
      <c r="J3931" s="8"/>
      <c r="K3931" s="8"/>
      <c r="L3931" s="8"/>
    </row>
    <row r="3932" customFormat="false" ht="15.75" hidden="false" customHeight="true" outlineLevel="0" collapsed="false">
      <c r="A3932" s="7" t="n">
        <v>45927</v>
      </c>
      <c r="B3932" s="8" t="s">
        <v>22</v>
      </c>
      <c r="C3932" s="9" t="n">
        <v>55</v>
      </c>
      <c r="D3932" s="8" t="s">
        <v>21</v>
      </c>
      <c r="E3932" s="10" t="s">
        <v>479</v>
      </c>
      <c r="F3932" s="8" t="str">
        <f aca="false">TEXT(A3932,"MM-YYYY")</f>
        <v>09-2025</v>
      </c>
      <c r="G3932" s="8" t="s">
        <v>14</v>
      </c>
      <c r="H3932" s="8" t="s">
        <v>15</v>
      </c>
      <c r="I3932" s="7" t="n">
        <v>45927</v>
      </c>
      <c r="J3932" s="8" t="str">
        <f aca="false">VLOOKUP(B3932, Table3[#All], 2, FALSE())</f>
        <v>Inventory</v>
      </c>
      <c r="K3932" s="8" t="str">
        <f aca="false">TEXT(ROW(), "0000")</f>
        <v>3932</v>
      </c>
      <c r="L3932" s="8"/>
    </row>
    <row r="3933" customFormat="false" ht="15.75" hidden="false" customHeight="true" outlineLevel="0" collapsed="false">
      <c r="A3933" s="7" t="n">
        <v>45927</v>
      </c>
      <c r="B3933" s="8" t="s">
        <v>32</v>
      </c>
      <c r="C3933" s="9" t="n">
        <v>225</v>
      </c>
      <c r="D3933" s="8" t="s">
        <v>21</v>
      </c>
      <c r="E3933" s="10" t="s">
        <v>450</v>
      </c>
      <c r="F3933" s="8" t="str">
        <f aca="false">TEXT(A3933,"MM-YYYY")</f>
        <v>09-2025</v>
      </c>
      <c r="G3933" s="8" t="s">
        <v>14</v>
      </c>
      <c r="H3933" s="8" t="s">
        <v>15</v>
      </c>
      <c r="I3933" s="7" t="n">
        <v>45927</v>
      </c>
      <c r="J3933" s="8" t="str">
        <f aca="false">VLOOKUP(B3933, Table3[#All], 2, FALSE())</f>
        <v>Grocery</v>
      </c>
      <c r="K3933" s="8" t="str">
        <f aca="false">TEXT(ROW(), "0000")</f>
        <v>3933</v>
      </c>
      <c r="L3933" s="8"/>
    </row>
    <row r="3934" customFormat="false" ht="15.75" hidden="false" customHeight="true" outlineLevel="0" collapsed="false">
      <c r="A3934" s="7" t="n">
        <v>45927</v>
      </c>
      <c r="B3934" s="8" t="s">
        <v>25</v>
      </c>
      <c r="C3934" s="9" t="n">
        <v>475</v>
      </c>
      <c r="D3934" s="8" t="s">
        <v>13</v>
      </c>
      <c r="E3934" s="10" t="s">
        <v>92</v>
      </c>
      <c r="F3934" s="8" t="str">
        <f aca="false">TEXT(A3934,"MM-YYYY")</f>
        <v>09-2025</v>
      </c>
      <c r="G3934" s="8" t="s">
        <v>18</v>
      </c>
      <c r="H3934" s="8"/>
      <c r="I3934" s="7"/>
      <c r="J3934" s="8" t="str">
        <f aca="false">VLOOKUP(B3934, Table3[#All], 2, FALSE())</f>
        <v>Inventory</v>
      </c>
      <c r="K3934" s="8" t="str">
        <f aca="false">TEXT(ROW(), "0000")</f>
        <v>3934</v>
      </c>
      <c r="L3934" s="8"/>
    </row>
    <row r="3935" customFormat="false" ht="15.75" hidden="false" customHeight="true" outlineLevel="0" collapsed="false">
      <c r="A3935" s="7" t="n">
        <v>45927</v>
      </c>
      <c r="B3935" s="8" t="s">
        <v>56</v>
      </c>
      <c r="C3935" s="9" t="n">
        <v>1715</v>
      </c>
      <c r="D3935" s="8" t="s">
        <v>13</v>
      </c>
      <c r="E3935" s="10" t="s">
        <v>554</v>
      </c>
      <c r="F3935" s="8" t="str">
        <f aca="false">TEXT(A3935,"MM-YYYY")</f>
        <v>09-2025</v>
      </c>
      <c r="G3935" s="8" t="s">
        <v>14</v>
      </c>
      <c r="H3935" s="8" t="s">
        <v>13</v>
      </c>
      <c r="I3935" s="7" t="n">
        <v>45927</v>
      </c>
      <c r="J3935" s="8" t="str">
        <f aca="false">VLOOKUP(B3935, Table3[#All], 2, FALSE())</f>
        <v>New Inventory</v>
      </c>
      <c r="K3935" s="8" t="str">
        <f aca="false">TEXT(ROW(), "0000")</f>
        <v>3935</v>
      </c>
      <c r="L3935" s="8"/>
    </row>
    <row r="3936" customFormat="false" ht="15.75" hidden="false" customHeight="true" outlineLevel="0" collapsed="false">
      <c r="A3936" s="7" t="n">
        <v>45927</v>
      </c>
      <c r="B3936" s="8" t="s">
        <v>29</v>
      </c>
      <c r="C3936" s="9" t="n">
        <v>357</v>
      </c>
      <c r="D3936" s="8" t="s">
        <v>13</v>
      </c>
      <c r="E3936" s="10" t="s">
        <v>490</v>
      </c>
      <c r="F3936" s="8" t="str">
        <f aca="false">TEXT(A3936,"MM-YYYY")</f>
        <v>09-2025</v>
      </c>
      <c r="G3936" s="8" t="s">
        <v>18</v>
      </c>
      <c r="H3936" s="8"/>
      <c r="I3936" s="7"/>
      <c r="J3936" s="8" t="str">
        <f aca="false">VLOOKUP(B3936, Table3[#All], 2, FALSE())</f>
        <v>Inventory</v>
      </c>
      <c r="K3936" s="8" t="str">
        <f aca="false">TEXT(ROW(), "0000")</f>
        <v>3936</v>
      </c>
      <c r="L3936" s="8"/>
    </row>
    <row r="3937" customFormat="false" ht="15.75" hidden="false" customHeight="true" outlineLevel="0" collapsed="false">
      <c r="A3937" s="7" t="n">
        <v>45927</v>
      </c>
      <c r="B3937" s="8" t="s">
        <v>16</v>
      </c>
      <c r="C3937" s="9" t="n">
        <v>1910</v>
      </c>
      <c r="D3937" s="8" t="s">
        <v>21</v>
      </c>
      <c r="E3937" s="10" t="s">
        <v>88</v>
      </c>
      <c r="F3937" s="8" t="str">
        <f aca="false">TEXT(A3937,"MM-YYYY")</f>
        <v>09-2025</v>
      </c>
      <c r="G3937" s="8"/>
      <c r="H3937" s="8"/>
      <c r="I3937" s="7"/>
      <c r="J3937" s="8" t="str">
        <f aca="false">VLOOKUP(B3937, Table3[#All], 2, FALSE())</f>
        <v>Sales</v>
      </c>
      <c r="K3937" s="8" t="str">
        <f aca="false">TEXT(ROW(), "0000")</f>
        <v>3937</v>
      </c>
      <c r="L3937" s="8"/>
    </row>
    <row r="3938" customFormat="false" ht="15.75" hidden="false" customHeight="true" outlineLevel="0" collapsed="false">
      <c r="A3938" s="7" t="n">
        <v>45927</v>
      </c>
      <c r="B3938" s="8" t="s">
        <v>16</v>
      </c>
      <c r="C3938" s="9" t="n">
        <v>1610</v>
      </c>
      <c r="D3938" s="8" t="s">
        <v>27</v>
      </c>
      <c r="E3938" s="10" t="s">
        <v>88</v>
      </c>
      <c r="F3938" s="8" t="str">
        <f aca="false">TEXT(A3938,"MM-YYYY")</f>
        <v>09-2025</v>
      </c>
      <c r="G3938" s="8"/>
      <c r="H3938" s="8"/>
      <c r="I3938" s="7"/>
      <c r="J3938" s="8" t="str">
        <f aca="false">VLOOKUP(B3938, Table3[#All], 2, FALSE())</f>
        <v>Sales</v>
      </c>
      <c r="K3938" s="8" t="str">
        <f aca="false">TEXT(ROW(), "0000")</f>
        <v>3938</v>
      </c>
      <c r="L3938" s="8"/>
    </row>
    <row r="3939" customFormat="false" ht="15.75" hidden="false" customHeight="true" outlineLevel="0" collapsed="false">
      <c r="A3939" s="7" t="n">
        <v>45927</v>
      </c>
      <c r="B3939" s="8" t="s">
        <v>16</v>
      </c>
      <c r="C3939" s="9" t="n">
        <v>1075</v>
      </c>
      <c r="D3939" s="8" t="s">
        <v>33</v>
      </c>
      <c r="E3939" s="10" t="s">
        <v>88</v>
      </c>
      <c r="F3939" s="8" t="str">
        <f aca="false">TEXT(A3939,"MM-YYYY")</f>
        <v>09-2025</v>
      </c>
      <c r="G3939" s="8"/>
      <c r="H3939" s="8"/>
      <c r="I3939" s="7"/>
      <c r="J3939" s="8" t="str">
        <f aca="false">VLOOKUP(B3939, Table3[#All], 2, FALSE())</f>
        <v>Sales</v>
      </c>
      <c r="K3939" s="8" t="str">
        <f aca="false">TEXT(ROW(), "0000")</f>
        <v>3939</v>
      </c>
      <c r="L3939" s="8"/>
    </row>
    <row r="3940" customFormat="false" ht="15.75" hidden="false" customHeight="true" outlineLevel="0" collapsed="false">
      <c r="A3940" s="7" t="n">
        <v>45927</v>
      </c>
      <c r="B3940" s="8" t="s">
        <v>16</v>
      </c>
      <c r="C3940" s="9" t="n">
        <v>11083</v>
      </c>
      <c r="D3940" s="8" t="s">
        <v>17</v>
      </c>
      <c r="E3940" s="10" t="s">
        <v>88</v>
      </c>
      <c r="F3940" s="8" t="str">
        <f aca="false">TEXT(A3940,"MM-YYYY")</f>
        <v>09-2025</v>
      </c>
      <c r="G3940" s="8"/>
      <c r="H3940" s="8"/>
      <c r="I3940" s="7"/>
      <c r="J3940" s="8" t="str">
        <f aca="false">VLOOKUP(B3940, Table3[#All], 2, FALSE())</f>
        <v>Sales</v>
      </c>
      <c r="K3940" s="8" t="str">
        <f aca="false">TEXT(ROW(), "0000")</f>
        <v>3940</v>
      </c>
      <c r="L3940" s="8"/>
    </row>
    <row r="3941" customFormat="false" ht="15.75" hidden="false" customHeight="true" outlineLevel="0" collapsed="false">
      <c r="A3941" s="7" t="n">
        <v>45927</v>
      </c>
      <c r="B3941" s="8" t="s">
        <v>16</v>
      </c>
      <c r="C3941" s="9" t="n">
        <v>5547</v>
      </c>
      <c r="D3941" s="8" t="s">
        <v>24</v>
      </c>
      <c r="E3941" s="10" t="s">
        <v>88</v>
      </c>
      <c r="F3941" s="8" t="str">
        <f aca="false">TEXT(A3941,"MM-YYYY")</f>
        <v>09-2025</v>
      </c>
      <c r="G3941" s="8"/>
      <c r="H3941" s="8"/>
      <c r="I3941" s="7"/>
      <c r="J3941" s="8" t="str">
        <f aca="false">VLOOKUP(B3941, Table3[#All], 2, FALSE())</f>
        <v>Sales</v>
      </c>
      <c r="K3941" s="8" t="str">
        <f aca="false">TEXT(ROW(), "0000")</f>
        <v>3941</v>
      </c>
      <c r="L3941" s="8"/>
    </row>
    <row r="3942" customFormat="false" ht="15.75" hidden="false" customHeight="true" outlineLevel="0" collapsed="false">
      <c r="A3942" s="7" t="n">
        <v>45927</v>
      </c>
      <c r="B3942" s="8" t="s">
        <v>214</v>
      </c>
      <c r="C3942" s="9" t="n">
        <v>1000</v>
      </c>
      <c r="D3942" s="8" t="s">
        <v>45</v>
      </c>
      <c r="E3942" s="10" t="s">
        <v>363</v>
      </c>
      <c r="F3942" s="8" t="str">
        <f aca="false">TEXT(A3942,"MM-YYYY")</f>
        <v>09-2025</v>
      </c>
      <c r="G3942" s="8" t="s">
        <v>14</v>
      </c>
      <c r="H3942" s="8" t="s">
        <v>232</v>
      </c>
      <c r="I3942" s="7" t="n">
        <v>45927</v>
      </c>
      <c r="J3942" s="8" t="str">
        <f aca="false">VLOOKUP(B3942, Table3[#All], 2, FALSE())</f>
        <v>Maintenance</v>
      </c>
      <c r="K3942" s="8" t="str">
        <f aca="false">TEXT(ROW(), "0000")</f>
        <v>3942</v>
      </c>
      <c r="L3942" s="8"/>
    </row>
    <row r="3943" customFormat="false" ht="15.75" hidden="false" customHeight="true" outlineLevel="0" collapsed="false">
      <c r="A3943" s="7" t="n">
        <v>45927</v>
      </c>
      <c r="B3943" s="8" t="s">
        <v>34</v>
      </c>
      <c r="C3943" s="9" t="n">
        <v>220</v>
      </c>
      <c r="D3943" s="8" t="s">
        <v>21</v>
      </c>
      <c r="E3943" s="10" t="s">
        <v>545</v>
      </c>
      <c r="F3943" s="8" t="str">
        <f aca="false">TEXT(A3943,"MM-YYYY")</f>
        <v>09-2025</v>
      </c>
      <c r="G3943" s="8" t="s">
        <v>14</v>
      </c>
      <c r="H3943" s="8" t="s">
        <v>15</v>
      </c>
      <c r="I3943" s="7" t="n">
        <v>45927</v>
      </c>
      <c r="J3943" s="8" t="str">
        <f aca="false">VLOOKUP(B3943, Table3[#All], 2, FALSE())</f>
        <v>Staff Expenses</v>
      </c>
      <c r="K3943" s="8" t="str">
        <f aca="false">TEXT(ROW(), "0000")</f>
        <v>3943</v>
      </c>
      <c r="L3943" s="8"/>
    </row>
    <row r="3944" customFormat="false" ht="15.75" hidden="false" customHeight="true" outlineLevel="0" collapsed="false">
      <c r="A3944" s="7" t="n">
        <v>45927</v>
      </c>
      <c r="B3944" s="8" t="s">
        <v>36</v>
      </c>
      <c r="C3944" s="9" t="n">
        <v>110</v>
      </c>
      <c r="D3944" s="8" t="s">
        <v>21</v>
      </c>
      <c r="E3944" s="10" t="s">
        <v>487</v>
      </c>
      <c r="F3944" s="8" t="str">
        <f aca="false">TEXT(A3944,"MM-YYYY")</f>
        <v>09-2025</v>
      </c>
      <c r="G3944" s="8" t="s">
        <v>14</v>
      </c>
      <c r="H3944" s="8" t="s">
        <v>15</v>
      </c>
      <c r="I3944" s="7" t="n">
        <v>45927</v>
      </c>
      <c r="J3944" s="8" t="str">
        <f aca="false">VLOOKUP(B3944, Table3[#All], 2, FALSE())</f>
        <v>Maintance</v>
      </c>
      <c r="K3944" s="8" t="str">
        <f aca="false">TEXT(ROW(), "0000")</f>
        <v>3944</v>
      </c>
      <c r="L3944" s="8"/>
    </row>
    <row r="3945" customFormat="false" ht="15.75" hidden="false" customHeight="true" outlineLevel="0" collapsed="false">
      <c r="A3945" s="7" t="n">
        <v>45928</v>
      </c>
      <c r="B3945" s="8" t="s">
        <v>22</v>
      </c>
      <c r="C3945" s="9" t="n">
        <v>55</v>
      </c>
      <c r="D3945" s="8" t="s">
        <v>21</v>
      </c>
      <c r="E3945" s="10" t="s">
        <v>479</v>
      </c>
      <c r="F3945" s="8" t="str">
        <f aca="false">TEXT(A3945,"MM-YYYY")</f>
        <v>09-2025</v>
      </c>
      <c r="G3945" s="8" t="s">
        <v>14</v>
      </c>
      <c r="H3945" s="8" t="s">
        <v>15</v>
      </c>
      <c r="I3945" s="7" t="n">
        <v>45928</v>
      </c>
      <c r="J3945" s="8" t="str">
        <f aca="false">VLOOKUP(B3945, Table3[#All], 2, FALSE())</f>
        <v>Inventory</v>
      </c>
      <c r="K3945" s="8" t="str">
        <f aca="false">TEXT(ROW(), "0000")</f>
        <v>3945</v>
      </c>
      <c r="L3945" s="8"/>
    </row>
    <row r="3946" customFormat="false" ht="15.75" hidden="false" customHeight="true" outlineLevel="0" collapsed="false">
      <c r="A3946" s="7" t="n">
        <v>45928</v>
      </c>
      <c r="B3946" s="8" t="s">
        <v>19</v>
      </c>
      <c r="C3946" s="9" t="n">
        <v>1675</v>
      </c>
      <c r="D3946" s="8" t="s">
        <v>13</v>
      </c>
      <c r="E3946" s="10" t="s">
        <v>473</v>
      </c>
      <c r="F3946" s="8" t="str">
        <f aca="false">TEXT(A3946,"MM-YYYY")</f>
        <v>09-2025</v>
      </c>
      <c r="G3946" s="8" t="s">
        <v>14</v>
      </c>
      <c r="H3946" s="8"/>
      <c r="I3946" s="7"/>
      <c r="J3946" s="8" t="str">
        <f aca="false">VLOOKUP(B3946, Table3[#All], 2, FALSE())</f>
        <v>Inventory</v>
      </c>
      <c r="K3946" s="8" t="str">
        <f aca="false">TEXT(ROW(), "0000")</f>
        <v>3946</v>
      </c>
      <c r="L3946" s="8"/>
    </row>
    <row r="3947" customFormat="false" ht="15.75" hidden="false" customHeight="true" outlineLevel="0" collapsed="false">
      <c r="A3947" s="7" t="n">
        <v>45928</v>
      </c>
      <c r="B3947" s="8" t="s">
        <v>32</v>
      </c>
      <c r="C3947" s="9" t="n">
        <v>135</v>
      </c>
      <c r="D3947" s="8" t="s">
        <v>21</v>
      </c>
      <c r="E3947" s="10" t="s">
        <v>450</v>
      </c>
      <c r="F3947" s="8" t="str">
        <f aca="false">TEXT(A3947,"MM-YYYY")</f>
        <v>09-2025</v>
      </c>
      <c r="G3947" s="8" t="s">
        <v>14</v>
      </c>
      <c r="H3947" s="8" t="s">
        <v>15</v>
      </c>
      <c r="I3947" s="7" t="n">
        <v>45928</v>
      </c>
      <c r="J3947" s="8" t="str">
        <f aca="false">VLOOKUP(B3947, Table3[#All], 2, FALSE())</f>
        <v>Grocery</v>
      </c>
      <c r="K3947" s="8" t="str">
        <f aca="false">TEXT(ROW(), "0000")</f>
        <v>3947</v>
      </c>
      <c r="L3947" s="8"/>
    </row>
    <row r="3948" customFormat="false" ht="15.75" hidden="false" customHeight="true" outlineLevel="0" collapsed="false">
      <c r="A3948" s="7" t="n">
        <v>45928</v>
      </c>
      <c r="B3948" s="8" t="s">
        <v>25</v>
      </c>
      <c r="C3948" s="9" t="n">
        <v>815</v>
      </c>
      <c r="D3948" s="8" t="s">
        <v>13</v>
      </c>
      <c r="E3948" s="10" t="s">
        <v>92</v>
      </c>
      <c r="F3948" s="8" t="str">
        <f aca="false">TEXT(A3948,"MM-YYYY")</f>
        <v>09-2025</v>
      </c>
      <c r="G3948" s="8" t="s">
        <v>18</v>
      </c>
      <c r="H3948" s="8"/>
      <c r="I3948" s="7"/>
      <c r="J3948" s="8" t="str">
        <f aca="false">VLOOKUP(B3948, Table3[#All], 2, FALSE())</f>
        <v>Inventory</v>
      </c>
      <c r="K3948" s="8" t="str">
        <f aca="false">TEXT(ROW(), "0000")</f>
        <v>3948</v>
      </c>
      <c r="L3948" s="8"/>
    </row>
    <row r="3949" customFormat="false" ht="15.75" hidden="false" customHeight="true" outlineLevel="0" collapsed="false">
      <c r="A3949" s="7" t="n">
        <v>45928</v>
      </c>
      <c r="B3949" s="8" t="s">
        <v>40</v>
      </c>
      <c r="C3949" s="9" t="n">
        <v>1560</v>
      </c>
      <c r="D3949" s="8" t="s">
        <v>13</v>
      </c>
      <c r="E3949" s="10" t="s">
        <v>46</v>
      </c>
      <c r="F3949" s="8" t="str">
        <f aca="false">TEXT(A3949,"MM-YYYY")</f>
        <v>09-2025</v>
      </c>
      <c r="G3949" s="8" t="s">
        <v>14</v>
      </c>
      <c r="H3949" s="8" t="s">
        <v>13</v>
      </c>
      <c r="I3949" s="7" t="n">
        <v>45928</v>
      </c>
      <c r="J3949" s="8" t="str">
        <f aca="false">VLOOKUP(B3949, Table3[#All], 2, FALSE())</f>
        <v>Inventory</v>
      </c>
      <c r="K3949" s="8" t="str">
        <f aca="false">TEXT(ROW(), "0000")</f>
        <v>3949</v>
      </c>
      <c r="L3949" s="8"/>
    </row>
    <row r="3950" customFormat="false" ht="15.75" hidden="false" customHeight="true" outlineLevel="0" collapsed="false">
      <c r="A3950" s="7" t="n">
        <v>45928</v>
      </c>
      <c r="B3950" s="8" t="s">
        <v>31</v>
      </c>
      <c r="C3950" s="9" t="n">
        <v>310</v>
      </c>
      <c r="D3950" s="8" t="s">
        <v>21</v>
      </c>
      <c r="E3950" s="10" t="s">
        <v>236</v>
      </c>
      <c r="F3950" s="8" t="str">
        <f aca="false">TEXT(A3950,"MM-YYYY")</f>
        <v>09-2025</v>
      </c>
      <c r="G3950" s="8" t="s">
        <v>14</v>
      </c>
      <c r="H3950" s="8" t="s">
        <v>232</v>
      </c>
      <c r="I3950" s="7" t="n">
        <v>45928</v>
      </c>
      <c r="J3950" s="8" t="str">
        <f aca="false">VLOOKUP(B3950, Table3[#All], 2, FALSE())</f>
        <v>Bike Maintance</v>
      </c>
      <c r="K3950" s="8" t="str">
        <f aca="false">TEXT(ROW(), "0000")</f>
        <v>3950</v>
      </c>
      <c r="L3950" s="8"/>
    </row>
    <row r="3951" customFormat="false" ht="15.75" hidden="false" customHeight="true" outlineLevel="0" collapsed="false">
      <c r="A3951" s="7" t="n">
        <v>45928</v>
      </c>
      <c r="B3951" s="8" t="s">
        <v>22</v>
      </c>
      <c r="C3951" s="9" t="n">
        <v>452</v>
      </c>
      <c r="D3951" s="8" t="s">
        <v>13</v>
      </c>
      <c r="E3951" s="10" t="s">
        <v>23</v>
      </c>
      <c r="F3951" s="8" t="str">
        <f aca="false">TEXT(A3951,"MM-YYYY")</f>
        <v>09-2025</v>
      </c>
      <c r="G3951" s="8" t="s">
        <v>18</v>
      </c>
      <c r="H3951" s="8"/>
      <c r="I3951" s="7"/>
      <c r="J3951" s="8" t="str">
        <f aca="false">VLOOKUP(B3951, Table3[#All], 2, FALSE())</f>
        <v>Inventory</v>
      </c>
      <c r="K3951" s="8" t="str">
        <f aca="false">TEXT(ROW(), "0000")</f>
        <v>3951</v>
      </c>
      <c r="L3951" s="8"/>
    </row>
    <row r="3952" customFormat="false" ht="15.75" hidden="false" customHeight="true" outlineLevel="0" collapsed="false">
      <c r="A3952" s="7" t="n">
        <v>45928</v>
      </c>
      <c r="B3952" s="8" t="s">
        <v>50</v>
      </c>
      <c r="C3952" s="9" t="n">
        <v>1593</v>
      </c>
      <c r="D3952" s="8" t="s">
        <v>13</v>
      </c>
      <c r="E3952" s="10" t="s">
        <v>263</v>
      </c>
      <c r="F3952" s="8" t="str">
        <f aca="false">TEXT(A3952,"MM-YYYY")</f>
        <v>09-2025</v>
      </c>
      <c r="G3952" s="8" t="s">
        <v>18</v>
      </c>
      <c r="H3952" s="8"/>
      <c r="I3952" s="7"/>
      <c r="J3952" s="8" t="str">
        <f aca="false">VLOOKUP(B3952, Table3[#All], 2, FALSE())</f>
        <v>Fixed Maintance</v>
      </c>
      <c r="K3952" s="8" t="str">
        <f aca="false">TEXT(ROW(), "0000")</f>
        <v>3952</v>
      </c>
      <c r="L3952" s="8"/>
    </row>
    <row r="3953" customFormat="false" ht="15.75" hidden="false" customHeight="true" outlineLevel="0" collapsed="false">
      <c r="A3953" s="7" t="n">
        <v>45928</v>
      </c>
      <c r="B3953" s="8" t="s">
        <v>29</v>
      </c>
      <c r="C3953" s="9" t="n">
        <v>674</v>
      </c>
      <c r="D3953" s="8" t="s">
        <v>13</v>
      </c>
      <c r="E3953" s="10" t="s">
        <v>490</v>
      </c>
      <c r="F3953" s="8" t="str">
        <f aca="false">TEXT(A3953,"MM-YYYY")</f>
        <v>09-2025</v>
      </c>
      <c r="G3953" s="8" t="s">
        <v>18</v>
      </c>
      <c r="H3953" s="8"/>
      <c r="I3953" s="7"/>
      <c r="J3953" s="8" t="str">
        <f aca="false">VLOOKUP(B3953, Table3[#All], 2, FALSE())</f>
        <v>Inventory</v>
      </c>
      <c r="K3953" s="8" t="str">
        <f aca="false">TEXT(ROW(), "0000")</f>
        <v>3953</v>
      </c>
      <c r="L3953" s="8"/>
    </row>
    <row r="3954" customFormat="false" ht="15.75" hidden="false" customHeight="true" outlineLevel="0" collapsed="false">
      <c r="A3954" s="7" t="n">
        <v>45928</v>
      </c>
      <c r="B3954" s="8" t="s">
        <v>16</v>
      </c>
      <c r="C3954" s="9" t="n">
        <v>1335</v>
      </c>
      <c r="D3954" s="8" t="s">
        <v>21</v>
      </c>
      <c r="E3954" s="10" t="s">
        <v>88</v>
      </c>
      <c r="F3954" s="8" t="str">
        <f aca="false">TEXT(A3954,"MM-YYYY")</f>
        <v>09-2025</v>
      </c>
      <c r="G3954" s="8"/>
      <c r="H3954" s="8"/>
      <c r="I3954" s="7"/>
      <c r="J3954" s="8" t="str">
        <f aca="false">VLOOKUP(B3954, Table3[#All], 2, FALSE())</f>
        <v>Sales</v>
      </c>
      <c r="K3954" s="8" t="str">
        <f aca="false">TEXT(ROW(), "0000")</f>
        <v>3954</v>
      </c>
      <c r="L3954" s="8"/>
    </row>
    <row r="3955" customFormat="false" ht="15.75" hidden="false" customHeight="true" outlineLevel="0" collapsed="false">
      <c r="A3955" s="7" t="n">
        <v>45928</v>
      </c>
      <c r="B3955" s="8" t="s">
        <v>16</v>
      </c>
      <c r="C3955" s="9" t="n">
        <v>400</v>
      </c>
      <c r="D3955" s="8" t="s">
        <v>27</v>
      </c>
      <c r="E3955" s="10" t="s">
        <v>88</v>
      </c>
      <c r="F3955" s="8" t="str">
        <f aca="false">TEXT(A3955,"MM-YYYY")</f>
        <v>09-2025</v>
      </c>
      <c r="G3955" s="8"/>
      <c r="H3955" s="8"/>
      <c r="I3955" s="7"/>
      <c r="J3955" s="8" t="str">
        <f aca="false">VLOOKUP(B3955, Table3[#All], 2, FALSE())</f>
        <v>Sales</v>
      </c>
      <c r="K3955" s="8" t="str">
        <f aca="false">TEXT(ROW(), "0000")</f>
        <v>3955</v>
      </c>
      <c r="L3955" s="8"/>
    </row>
    <row r="3956" customFormat="false" ht="15.75" hidden="false" customHeight="true" outlineLevel="0" collapsed="false">
      <c r="A3956" s="7" t="n">
        <v>45928</v>
      </c>
      <c r="B3956" s="8" t="s">
        <v>16</v>
      </c>
      <c r="C3956" s="9" t="n">
        <v>12765</v>
      </c>
      <c r="D3956" s="8" t="s">
        <v>17</v>
      </c>
      <c r="E3956" s="10" t="s">
        <v>88</v>
      </c>
      <c r="F3956" s="8" t="str">
        <f aca="false">TEXT(A3956,"MM-YYYY")</f>
        <v>09-2025</v>
      </c>
      <c r="G3956" s="8"/>
      <c r="H3956" s="8"/>
      <c r="I3956" s="7"/>
      <c r="J3956" s="8" t="str">
        <f aca="false">VLOOKUP(B3956, Table3[#All], 2, FALSE())</f>
        <v>Sales</v>
      </c>
      <c r="K3956" s="8" t="str">
        <f aca="false">TEXT(ROW(), "0000")</f>
        <v>3956</v>
      </c>
      <c r="L3956" s="8"/>
    </row>
    <row r="3957" customFormat="false" ht="15.75" hidden="false" customHeight="true" outlineLevel="0" collapsed="false">
      <c r="A3957" s="7" t="n">
        <v>45928</v>
      </c>
      <c r="B3957" s="8" t="s">
        <v>16</v>
      </c>
      <c r="C3957" s="9" t="n">
        <v>1020</v>
      </c>
      <c r="D3957" s="8" t="s">
        <v>24</v>
      </c>
      <c r="E3957" s="10" t="s">
        <v>88</v>
      </c>
      <c r="F3957" s="8" t="str">
        <f aca="false">TEXT(A3957,"MM-YYYY")</f>
        <v>09-2025</v>
      </c>
      <c r="G3957" s="8"/>
      <c r="H3957" s="8"/>
      <c r="I3957" s="7"/>
      <c r="J3957" s="8" t="str">
        <f aca="false">VLOOKUP(B3957, Table3[#All], 2, FALSE())</f>
        <v>Sales</v>
      </c>
      <c r="K3957" s="8" t="str">
        <f aca="false">TEXT(ROW(), "0000")</f>
        <v>3957</v>
      </c>
      <c r="L3957" s="8"/>
    </row>
    <row r="3958" customFormat="false" ht="15.75" hidden="false" customHeight="true" outlineLevel="0" collapsed="false">
      <c r="A3958" s="7" t="n">
        <v>45928</v>
      </c>
      <c r="B3958" s="8" t="s">
        <v>34</v>
      </c>
      <c r="C3958" s="9" t="n">
        <v>285</v>
      </c>
      <c r="D3958" s="8" t="s">
        <v>21</v>
      </c>
      <c r="E3958" s="10" t="s">
        <v>545</v>
      </c>
      <c r="F3958" s="8" t="str">
        <f aca="false">TEXT(A3958,"MM-YYYY")</f>
        <v>09-2025</v>
      </c>
      <c r="G3958" s="8" t="s">
        <v>14</v>
      </c>
      <c r="H3958" s="8" t="s">
        <v>15</v>
      </c>
      <c r="I3958" s="7" t="n">
        <v>45928</v>
      </c>
      <c r="J3958" s="8" t="str">
        <f aca="false">VLOOKUP(B3958, Table3[#All], 2, FALSE())</f>
        <v>Staff Expenses</v>
      </c>
      <c r="K3958" s="8" t="str">
        <f aca="false">TEXT(ROW(), "0000")</f>
        <v>3958</v>
      </c>
      <c r="L3958" s="8"/>
    </row>
    <row r="3959" customFormat="false" ht="15.75" hidden="false" customHeight="true" outlineLevel="0" collapsed="false">
      <c r="A3959" s="7" t="n">
        <v>45929</v>
      </c>
      <c r="B3959" s="8" t="s">
        <v>19</v>
      </c>
      <c r="C3959" s="9" t="n">
        <v>1041</v>
      </c>
      <c r="D3959" s="8" t="s">
        <v>13</v>
      </c>
      <c r="E3959" s="10" t="s">
        <v>473</v>
      </c>
      <c r="F3959" s="8" t="str">
        <f aca="false">TEXT(A3959,"MM-YYYY")</f>
        <v>09-2025</v>
      </c>
      <c r="G3959" s="8" t="s">
        <v>14</v>
      </c>
      <c r="H3959" s="8"/>
      <c r="I3959" s="7"/>
      <c r="J3959" s="8" t="str">
        <f aca="false">VLOOKUP(B3959, Table3[#All], 2, FALSE())</f>
        <v>Inventory</v>
      </c>
      <c r="K3959" s="8" t="str">
        <f aca="false">TEXT(ROW(), "0000")</f>
        <v>3959</v>
      </c>
      <c r="L3959" s="8"/>
    </row>
    <row r="3960" customFormat="false" ht="15.75" hidden="false" customHeight="true" outlineLevel="0" collapsed="false">
      <c r="A3960" s="7" t="n">
        <v>45929</v>
      </c>
      <c r="B3960" s="8" t="s">
        <v>32</v>
      </c>
      <c r="C3960" s="9" t="n">
        <v>50</v>
      </c>
      <c r="D3960" s="8" t="s">
        <v>21</v>
      </c>
      <c r="E3960" s="10" t="s">
        <v>450</v>
      </c>
      <c r="F3960" s="8" t="str">
        <f aca="false">TEXT(A3960,"MM-YYYY")</f>
        <v>09-2025</v>
      </c>
      <c r="G3960" s="8" t="s">
        <v>14</v>
      </c>
      <c r="H3960" s="8" t="s">
        <v>15</v>
      </c>
      <c r="I3960" s="7" t="n">
        <v>45929</v>
      </c>
      <c r="J3960" s="8" t="str">
        <f aca="false">VLOOKUP(B3960, Table3[#All], 2, FALSE())</f>
        <v>Grocery</v>
      </c>
      <c r="K3960" s="8" t="str">
        <f aca="false">TEXT(ROW(), "0000")</f>
        <v>3960</v>
      </c>
      <c r="L3960" s="8"/>
    </row>
    <row r="3961" customFormat="false" ht="15.75" hidden="false" customHeight="true" outlineLevel="0" collapsed="false">
      <c r="A3961" s="7" t="n">
        <v>45929</v>
      </c>
      <c r="B3961" s="8" t="s">
        <v>47</v>
      </c>
      <c r="C3961" s="9" t="n">
        <v>1800</v>
      </c>
      <c r="D3961" s="8" t="s">
        <v>13</v>
      </c>
      <c r="E3961" s="10" t="s">
        <v>484</v>
      </c>
      <c r="F3961" s="8" t="str">
        <f aca="false">TEXT(A3961,"MM-YYYY")</f>
        <v>09-2025</v>
      </c>
      <c r="G3961" s="8" t="s">
        <v>18</v>
      </c>
      <c r="H3961" s="8"/>
      <c r="I3961" s="7"/>
      <c r="J3961" s="8" t="str">
        <f aca="false">VLOOKUP(B3961, Table3[#All], 2, FALSE())</f>
        <v>Inventory</v>
      </c>
      <c r="K3961" s="8" t="str">
        <f aca="false">TEXT(ROW(), "0000")</f>
        <v>3961</v>
      </c>
      <c r="L3961" s="8"/>
    </row>
    <row r="3962" customFormat="false" ht="15.75" hidden="false" customHeight="true" outlineLevel="0" collapsed="false">
      <c r="A3962" s="7" t="n">
        <v>45929</v>
      </c>
      <c r="B3962" s="8" t="s">
        <v>102</v>
      </c>
      <c r="C3962" s="9" t="n">
        <v>1200</v>
      </c>
      <c r="D3962" s="8" t="s">
        <v>13</v>
      </c>
      <c r="E3962" s="10" t="s">
        <v>555</v>
      </c>
      <c r="F3962" s="8" t="str">
        <f aca="false">TEXT(A3962,"MM-YYYY")</f>
        <v>09-2025</v>
      </c>
      <c r="G3962" s="8" t="s">
        <v>14</v>
      </c>
      <c r="H3962" s="8" t="s">
        <v>13</v>
      </c>
      <c r="I3962" s="7" t="n">
        <v>45929</v>
      </c>
      <c r="J3962" s="8" t="str">
        <f aca="false">VLOOKUP(B3962, Table3[#All], 2, FALSE())</f>
        <v>Fixed Maintance</v>
      </c>
      <c r="K3962" s="8" t="str">
        <f aca="false">TEXT(ROW(), "0000")</f>
        <v>3962</v>
      </c>
      <c r="L3962" s="8"/>
    </row>
    <row r="3963" customFormat="false" ht="15.75" hidden="false" customHeight="true" outlineLevel="0" collapsed="false">
      <c r="A3963" s="7" t="n">
        <v>45929</v>
      </c>
      <c r="B3963" s="8" t="s">
        <v>22</v>
      </c>
      <c r="C3963" s="9" t="n">
        <v>310</v>
      </c>
      <c r="D3963" s="8" t="s">
        <v>45</v>
      </c>
      <c r="E3963" s="10" t="s">
        <v>23</v>
      </c>
      <c r="F3963" s="8" t="str">
        <f aca="false">TEXT(A3963,"MM-YYYY")</f>
        <v>09-2025</v>
      </c>
      <c r="G3963" s="8" t="s">
        <v>14</v>
      </c>
      <c r="H3963" s="8" t="s">
        <v>232</v>
      </c>
      <c r="I3963" s="7" t="n">
        <v>45929</v>
      </c>
      <c r="J3963" s="8" t="str">
        <f aca="false">VLOOKUP(B3963, Table3[#All], 2, FALSE())</f>
        <v>Inventory</v>
      </c>
      <c r="K3963" s="8" t="str">
        <f aca="false">TEXT(ROW(), "0000")</f>
        <v>3963</v>
      </c>
      <c r="L3963" s="8"/>
    </row>
    <row r="3964" customFormat="false" ht="15.75" hidden="false" customHeight="true" outlineLevel="0" collapsed="false">
      <c r="A3964" s="7" t="n">
        <v>45929</v>
      </c>
      <c r="B3964" s="8" t="s">
        <v>44</v>
      </c>
      <c r="C3964" s="9" t="n">
        <v>100</v>
      </c>
      <c r="D3964" s="8" t="s">
        <v>21</v>
      </c>
      <c r="E3964" s="10" t="s">
        <v>75</v>
      </c>
      <c r="F3964" s="8" t="str">
        <f aca="false">TEXT(A3964,"MM-YYYY")</f>
        <v>09-2025</v>
      </c>
      <c r="G3964" s="8" t="s">
        <v>14</v>
      </c>
      <c r="H3964" s="8" t="s">
        <v>15</v>
      </c>
      <c r="I3964" s="7" t="n">
        <v>45929</v>
      </c>
      <c r="J3964" s="8" t="str">
        <f aca="false">VLOOKUP(B3964, Table3[#All], 2, FALSE())</f>
        <v>Salary</v>
      </c>
      <c r="K3964" s="8" t="str">
        <f aca="false">TEXT(ROW(), "0000")</f>
        <v>3964</v>
      </c>
      <c r="L3964" s="8"/>
    </row>
    <row r="3965" customFormat="false" ht="15.75" hidden="false" customHeight="true" outlineLevel="0" collapsed="false">
      <c r="A3965" s="7" t="n">
        <v>45929</v>
      </c>
      <c r="B3965" s="8" t="s">
        <v>29</v>
      </c>
      <c r="C3965" s="9" t="n">
        <v>260</v>
      </c>
      <c r="D3965" s="8" t="s">
        <v>13</v>
      </c>
      <c r="E3965" s="10" t="s">
        <v>490</v>
      </c>
      <c r="F3965" s="8" t="str">
        <f aca="false">TEXT(A3965,"MM-YYYY")</f>
        <v>09-2025</v>
      </c>
      <c r="G3965" s="8" t="s">
        <v>18</v>
      </c>
      <c r="H3965" s="8"/>
      <c r="I3965" s="7"/>
      <c r="J3965" s="8" t="str">
        <f aca="false">VLOOKUP(B3965, Table3[#All], 2, FALSE())</f>
        <v>Inventory</v>
      </c>
      <c r="K3965" s="8" t="str">
        <f aca="false">TEXT(ROW(), "0000")</f>
        <v>3965</v>
      </c>
      <c r="L3965" s="8"/>
    </row>
    <row r="3966" customFormat="false" ht="15.75" hidden="false" customHeight="true" outlineLevel="0" collapsed="false">
      <c r="A3966" s="7" t="n">
        <v>45929</v>
      </c>
      <c r="B3966" s="8" t="s">
        <v>50</v>
      </c>
      <c r="C3966" s="9" t="n">
        <v>1593</v>
      </c>
      <c r="D3966" s="8" t="s">
        <v>13</v>
      </c>
      <c r="E3966" s="10" t="s">
        <v>263</v>
      </c>
      <c r="F3966" s="8" t="str">
        <f aca="false">TEXT(A3966,"MM-YYYY")</f>
        <v>09-2025</v>
      </c>
      <c r="G3966" s="8" t="s">
        <v>18</v>
      </c>
      <c r="H3966" s="8"/>
      <c r="I3966" s="7"/>
      <c r="J3966" s="8" t="str">
        <f aca="false">VLOOKUP(B3966, Table3[#All], 2, FALSE())</f>
        <v>Fixed Maintance</v>
      </c>
      <c r="K3966" s="8" t="str">
        <f aca="false">TEXT(ROW(), "0000")</f>
        <v>3966</v>
      </c>
      <c r="L3966" s="8"/>
    </row>
    <row r="3967" customFormat="false" ht="15.75" hidden="false" customHeight="true" outlineLevel="0" collapsed="false">
      <c r="A3967" s="7" t="n">
        <v>45929</v>
      </c>
      <c r="B3967" s="8" t="s">
        <v>16</v>
      </c>
      <c r="C3967" s="9" t="n">
        <v>340</v>
      </c>
      <c r="D3967" s="8" t="s">
        <v>21</v>
      </c>
      <c r="E3967" s="10" t="s">
        <v>88</v>
      </c>
      <c r="F3967" s="8" t="str">
        <f aca="false">TEXT(A3967,"MM-YYYY")</f>
        <v>09-2025</v>
      </c>
      <c r="G3967" s="8"/>
      <c r="H3967" s="8"/>
      <c r="I3967" s="7"/>
      <c r="J3967" s="8" t="str">
        <f aca="false">VLOOKUP(B3967, Table3[#All], 2, FALSE())</f>
        <v>Sales</v>
      </c>
      <c r="K3967" s="8" t="str">
        <f aca="false">TEXT(ROW(), "0000")</f>
        <v>3967</v>
      </c>
      <c r="L3967" s="8"/>
    </row>
    <row r="3968" customFormat="false" ht="15.75" hidden="false" customHeight="true" outlineLevel="0" collapsed="false">
      <c r="A3968" s="7" t="n">
        <v>45929</v>
      </c>
      <c r="B3968" s="8" t="s">
        <v>16</v>
      </c>
      <c r="C3968" s="9" t="n">
        <v>1480</v>
      </c>
      <c r="D3968" s="8" t="s">
        <v>27</v>
      </c>
      <c r="E3968" s="10" t="s">
        <v>88</v>
      </c>
      <c r="F3968" s="8" t="str">
        <f aca="false">TEXT(A3968,"MM-YYYY")</f>
        <v>09-2025</v>
      </c>
      <c r="G3968" s="8"/>
      <c r="H3968" s="8"/>
      <c r="I3968" s="7"/>
      <c r="J3968" s="8" t="str">
        <f aca="false">VLOOKUP(B3968, Table3[#All], 2, FALSE())</f>
        <v>Sales</v>
      </c>
      <c r="K3968" s="8" t="str">
        <f aca="false">TEXT(ROW(), "0000")</f>
        <v>3968</v>
      </c>
      <c r="L3968" s="8"/>
    </row>
    <row r="3969" customFormat="false" ht="15.75" hidden="false" customHeight="true" outlineLevel="0" collapsed="false">
      <c r="A3969" s="7" t="n">
        <v>45929</v>
      </c>
      <c r="B3969" s="8" t="s">
        <v>16</v>
      </c>
      <c r="C3969" s="9" t="n">
        <v>20</v>
      </c>
      <c r="D3969" s="8" t="s">
        <v>33</v>
      </c>
      <c r="E3969" s="10" t="s">
        <v>88</v>
      </c>
      <c r="F3969" s="8" t="str">
        <f aca="false">TEXT(A3969,"MM-YYYY")</f>
        <v>09-2025</v>
      </c>
      <c r="G3969" s="8"/>
      <c r="H3969" s="8"/>
      <c r="I3969" s="7"/>
      <c r="J3969" s="8" t="str">
        <f aca="false">VLOOKUP(B3969, Table3[#All], 2, FALSE())</f>
        <v>Sales</v>
      </c>
      <c r="K3969" s="8" t="str">
        <f aca="false">TEXT(ROW(), "0000")</f>
        <v>3969</v>
      </c>
      <c r="L3969" s="8"/>
    </row>
    <row r="3970" customFormat="false" ht="15.75" hidden="false" customHeight="true" outlineLevel="0" collapsed="false">
      <c r="A3970" s="7" t="n">
        <v>45929</v>
      </c>
      <c r="B3970" s="8" t="s">
        <v>16</v>
      </c>
      <c r="C3970" s="9" t="n">
        <v>6510</v>
      </c>
      <c r="D3970" s="8" t="s">
        <v>17</v>
      </c>
      <c r="E3970" s="10" t="s">
        <v>88</v>
      </c>
      <c r="F3970" s="8" t="str">
        <f aca="false">TEXT(A3970,"MM-YYYY")</f>
        <v>09-2025</v>
      </c>
      <c r="G3970" s="8"/>
      <c r="H3970" s="8"/>
      <c r="I3970" s="7"/>
      <c r="J3970" s="8" t="str">
        <f aca="false">VLOOKUP(B3970, Table3[#All], 2, FALSE())</f>
        <v>Sales</v>
      </c>
      <c r="K3970" s="8" t="str">
        <f aca="false">TEXT(ROW(), "0000")</f>
        <v>3970</v>
      </c>
      <c r="L3970" s="8"/>
    </row>
    <row r="3971" customFormat="false" ht="15.75" hidden="false" customHeight="true" outlineLevel="0" collapsed="false">
      <c r="A3971" s="7" t="n">
        <v>45929</v>
      </c>
      <c r="B3971" s="8" t="s">
        <v>16</v>
      </c>
      <c r="C3971" s="9" t="n">
        <v>1303</v>
      </c>
      <c r="D3971" s="8" t="s">
        <v>24</v>
      </c>
      <c r="E3971" s="10" t="s">
        <v>88</v>
      </c>
      <c r="F3971" s="8" t="str">
        <f aca="false">TEXT(A3971,"MM-YYYY")</f>
        <v>09-2025</v>
      </c>
      <c r="G3971" s="8"/>
      <c r="H3971" s="8"/>
      <c r="I3971" s="7"/>
      <c r="J3971" s="8" t="str">
        <f aca="false">VLOOKUP(B3971, Table3[#All], 2, FALSE())</f>
        <v>Sales</v>
      </c>
      <c r="K3971" s="8" t="str">
        <f aca="false">TEXT(ROW(), "0000")</f>
        <v>3971</v>
      </c>
      <c r="L3971" s="8"/>
    </row>
    <row r="3972" customFormat="false" ht="15.75" hidden="false" customHeight="true" outlineLevel="0" collapsed="false">
      <c r="A3972" s="7" t="n">
        <v>45929</v>
      </c>
      <c r="B3972" s="8" t="s">
        <v>34</v>
      </c>
      <c r="C3972" s="9" t="n">
        <v>230</v>
      </c>
      <c r="D3972" s="8" t="s">
        <v>45</v>
      </c>
      <c r="E3972" s="10" t="s">
        <v>545</v>
      </c>
      <c r="F3972" s="8" t="str">
        <f aca="false">TEXT(A3972,"MM-YYYY")</f>
        <v>09-2025</v>
      </c>
      <c r="G3972" s="8" t="s">
        <v>14</v>
      </c>
      <c r="H3972" s="8" t="s">
        <v>15</v>
      </c>
      <c r="I3972" s="7" t="n">
        <v>45929</v>
      </c>
      <c r="J3972" s="8" t="str">
        <f aca="false">VLOOKUP(B3972, Table3[#All], 2, FALSE())</f>
        <v>Staff Expenses</v>
      </c>
      <c r="K3972" s="8" t="str">
        <f aca="false">TEXT(ROW(), "0000")</f>
        <v>3972</v>
      </c>
      <c r="L3972" s="8"/>
    </row>
    <row r="3973" customFormat="false" ht="15.75" hidden="false" customHeight="true" outlineLevel="0" collapsed="false">
      <c r="A3973" s="7" t="n">
        <v>45930</v>
      </c>
      <c r="B3973" s="8" t="s">
        <v>19</v>
      </c>
      <c r="C3973" s="9" t="n">
        <v>1887</v>
      </c>
      <c r="D3973" s="8" t="s">
        <v>13</v>
      </c>
      <c r="E3973" s="10" t="s">
        <v>473</v>
      </c>
      <c r="F3973" s="8" t="str">
        <f aca="false">TEXT(A3973,"MM-YYYY")</f>
        <v>09-2025</v>
      </c>
      <c r="G3973" s="8" t="s">
        <v>14</v>
      </c>
      <c r="H3973" s="8"/>
      <c r="I3973" s="7"/>
      <c r="J3973" s="8" t="str">
        <f aca="false">VLOOKUP(B3973, Table3[#All], 2, FALSE())</f>
        <v>Inventory</v>
      </c>
      <c r="K3973" s="8" t="str">
        <f aca="false">TEXT(ROW(), "0000")</f>
        <v>3973</v>
      </c>
      <c r="L3973" s="8"/>
    </row>
    <row r="3974" customFormat="false" ht="15.75" hidden="false" customHeight="true" outlineLevel="0" collapsed="false">
      <c r="A3974" s="7" t="n">
        <v>45930</v>
      </c>
      <c r="B3974" s="8" t="s">
        <v>32</v>
      </c>
      <c r="C3974" s="9" t="n">
        <v>50</v>
      </c>
      <c r="D3974" s="8" t="s">
        <v>21</v>
      </c>
      <c r="E3974" s="10" t="s">
        <v>450</v>
      </c>
      <c r="F3974" s="8" t="str">
        <f aca="false">TEXT(A3974,"MM-YYYY")</f>
        <v>09-2025</v>
      </c>
      <c r="G3974" s="8" t="s">
        <v>14</v>
      </c>
      <c r="H3974" s="8"/>
      <c r="I3974" s="7"/>
      <c r="J3974" s="8" t="str">
        <f aca="false">VLOOKUP(B3974, Table3[#All], 2, FALSE())</f>
        <v>Grocery</v>
      </c>
      <c r="K3974" s="8" t="str">
        <f aca="false">TEXT(ROW(), "0000")</f>
        <v>3974</v>
      </c>
      <c r="L3974" s="8"/>
    </row>
    <row r="3975" customFormat="false" ht="15.75" hidden="false" customHeight="true" outlineLevel="0" collapsed="false">
      <c r="A3975" s="7" t="n">
        <v>45930</v>
      </c>
      <c r="B3975" s="8" t="s">
        <v>22</v>
      </c>
      <c r="C3975" s="9" t="n">
        <v>1080</v>
      </c>
      <c r="D3975" s="8" t="s">
        <v>13</v>
      </c>
      <c r="E3975" s="10" t="s">
        <v>23</v>
      </c>
      <c r="F3975" s="8" t="str">
        <f aca="false">TEXT(A3975,"MM-YYYY")</f>
        <v>09-2025</v>
      </c>
      <c r="G3975" s="8" t="s">
        <v>18</v>
      </c>
      <c r="H3975" s="8"/>
      <c r="I3975" s="7"/>
      <c r="J3975" s="8" t="str">
        <f aca="false">VLOOKUP(B3975, Table3[#All], 2, FALSE())</f>
        <v>Inventory</v>
      </c>
      <c r="K3975" s="8" t="str">
        <f aca="false">TEXT(ROW(), "0000")</f>
        <v>3975</v>
      </c>
      <c r="L3975" s="8"/>
    </row>
    <row r="3976" customFormat="false" ht="15.75" hidden="false" customHeight="true" outlineLevel="0" collapsed="false">
      <c r="A3976" s="7" t="n">
        <v>45930</v>
      </c>
      <c r="B3976" s="8" t="s">
        <v>25</v>
      </c>
      <c r="C3976" s="9" t="n">
        <v>655</v>
      </c>
      <c r="D3976" s="8" t="s">
        <v>13</v>
      </c>
      <c r="E3976" s="10" t="s">
        <v>92</v>
      </c>
      <c r="F3976" s="8" t="str">
        <f aca="false">TEXT(A3976,"MM-YYYY")</f>
        <v>09-2025</v>
      </c>
      <c r="G3976" s="8" t="s">
        <v>18</v>
      </c>
      <c r="H3976" s="8"/>
      <c r="I3976" s="7"/>
      <c r="J3976" s="8" t="str">
        <f aca="false">VLOOKUP(B3976, Table3[#All], 2, FALSE())</f>
        <v>Inventory</v>
      </c>
      <c r="K3976" s="8" t="str">
        <f aca="false">TEXT(ROW(), "0000")</f>
        <v>3976</v>
      </c>
      <c r="L3976" s="8"/>
    </row>
    <row r="3977" customFormat="false" ht="15.75" hidden="false" customHeight="true" outlineLevel="0" collapsed="false">
      <c r="A3977" s="7" t="n">
        <v>45930</v>
      </c>
      <c r="B3977" s="8" t="s">
        <v>36</v>
      </c>
      <c r="C3977" s="9" t="n">
        <v>400</v>
      </c>
      <c r="D3977" s="8" t="s">
        <v>13</v>
      </c>
      <c r="E3977" s="10" t="s">
        <v>36</v>
      </c>
      <c r="F3977" s="8" t="str">
        <f aca="false">TEXT(A3977,"MM-YYYY")</f>
        <v>09-2025</v>
      </c>
      <c r="G3977" s="8" t="s">
        <v>14</v>
      </c>
      <c r="H3977" s="8" t="s">
        <v>13</v>
      </c>
      <c r="I3977" s="7" t="n">
        <v>45930</v>
      </c>
      <c r="J3977" s="8" t="str">
        <f aca="false">VLOOKUP(B3977, Table3[#All], 2, FALSE())</f>
        <v>Maintance</v>
      </c>
      <c r="K3977" s="8" t="str">
        <f aca="false">TEXT(ROW(), "0000")</f>
        <v>3977</v>
      </c>
      <c r="L3977" s="8"/>
    </row>
    <row r="3978" customFormat="false" ht="15.75" hidden="false" customHeight="true" outlineLevel="0" collapsed="false">
      <c r="A3978" s="7" t="n">
        <v>45930</v>
      </c>
      <c r="B3978" s="8" t="s">
        <v>29</v>
      </c>
      <c r="C3978" s="9" t="n">
        <v>164</v>
      </c>
      <c r="D3978" s="8" t="s">
        <v>13</v>
      </c>
      <c r="E3978" s="10" t="s">
        <v>490</v>
      </c>
      <c r="F3978" s="8" t="str">
        <f aca="false">TEXT(A3978,"MM-YYYY")</f>
        <v>09-2025</v>
      </c>
      <c r="G3978" s="8" t="s">
        <v>18</v>
      </c>
      <c r="H3978" s="8"/>
      <c r="I3978" s="7"/>
      <c r="J3978" s="8" t="str">
        <f aca="false">VLOOKUP(B3978, Table3[#All], 2, FALSE())</f>
        <v>Inventory</v>
      </c>
      <c r="K3978" s="8" t="str">
        <f aca="false">TEXT(ROW(), "0000")</f>
        <v>3978</v>
      </c>
      <c r="L3978" s="8"/>
    </row>
    <row r="3979" customFormat="false" ht="15.75" hidden="false" customHeight="true" outlineLevel="0" collapsed="false">
      <c r="A3979" s="7" t="n">
        <v>45930</v>
      </c>
      <c r="B3979" s="8" t="s">
        <v>28</v>
      </c>
      <c r="C3979" s="9" t="n">
        <v>320</v>
      </c>
      <c r="D3979" s="8" t="s">
        <v>21</v>
      </c>
      <c r="E3979" s="10" t="s">
        <v>93</v>
      </c>
      <c r="F3979" s="8" t="str">
        <f aca="false">TEXT(A3979,"MM-YYYY")</f>
        <v>09-2025</v>
      </c>
      <c r="G3979" s="8" t="s">
        <v>14</v>
      </c>
      <c r="H3979" s="8" t="s">
        <v>15</v>
      </c>
      <c r="I3979" s="7" t="n">
        <v>45930</v>
      </c>
      <c r="J3979" s="8" t="str">
        <f aca="false">VLOOKUP(B3979, Table3[#All], 2, FALSE())</f>
        <v>Grocery</v>
      </c>
      <c r="K3979" s="8" t="str">
        <f aca="false">TEXT(ROW(), "0000")</f>
        <v>3979</v>
      </c>
      <c r="L3979" s="8"/>
    </row>
    <row r="3980" customFormat="false" ht="15.75" hidden="false" customHeight="true" outlineLevel="0" collapsed="false">
      <c r="A3980" s="7" t="n">
        <v>45930</v>
      </c>
      <c r="B3980" s="8" t="s">
        <v>16</v>
      </c>
      <c r="C3980" s="9" t="n">
        <v>3070</v>
      </c>
      <c r="D3980" s="8" t="s">
        <v>21</v>
      </c>
      <c r="E3980" s="10" t="s">
        <v>88</v>
      </c>
      <c r="F3980" s="8" t="str">
        <f aca="false">TEXT(A3980,"MM-YYYY")</f>
        <v>09-2025</v>
      </c>
      <c r="G3980" s="8"/>
      <c r="H3980" s="8"/>
      <c r="I3980" s="7"/>
      <c r="J3980" s="8" t="str">
        <f aca="false">VLOOKUP(B3980, Table3[#All], 2, FALSE())</f>
        <v>Sales</v>
      </c>
      <c r="K3980" s="8" t="str">
        <f aca="false">TEXT(ROW(), "0000")</f>
        <v>3980</v>
      </c>
      <c r="L3980" s="8"/>
    </row>
    <row r="3981" customFormat="false" ht="15.75" hidden="false" customHeight="true" outlineLevel="0" collapsed="false">
      <c r="A3981" s="7" t="n">
        <v>45930</v>
      </c>
      <c r="B3981" s="8" t="s">
        <v>16</v>
      </c>
      <c r="C3981" s="9" t="n">
        <v>999</v>
      </c>
      <c r="D3981" s="8" t="s">
        <v>33</v>
      </c>
      <c r="E3981" s="10" t="s">
        <v>88</v>
      </c>
      <c r="F3981" s="8" t="str">
        <f aca="false">TEXT(A3981,"MM-YYYY")</f>
        <v>09-2025</v>
      </c>
      <c r="G3981" s="8"/>
      <c r="H3981" s="8"/>
      <c r="I3981" s="7"/>
      <c r="J3981" s="8" t="str">
        <f aca="false">VLOOKUP(B3981, Table3[#All], 2, FALSE())</f>
        <v>Sales</v>
      </c>
      <c r="K3981" s="8" t="str">
        <f aca="false">TEXT(ROW(), "0000")</f>
        <v>3981</v>
      </c>
      <c r="L3981" s="8"/>
    </row>
    <row r="3982" customFormat="false" ht="15.75" hidden="false" customHeight="true" outlineLevel="0" collapsed="false">
      <c r="A3982" s="7" t="n">
        <v>45930</v>
      </c>
      <c r="B3982" s="8" t="s">
        <v>16</v>
      </c>
      <c r="C3982" s="9" t="n">
        <v>4865</v>
      </c>
      <c r="D3982" s="8" t="s">
        <v>17</v>
      </c>
      <c r="E3982" s="10" t="s">
        <v>88</v>
      </c>
      <c r="F3982" s="8" t="str">
        <f aca="false">TEXT(A3982,"MM-YYYY")</f>
        <v>09-2025</v>
      </c>
      <c r="G3982" s="8"/>
      <c r="H3982" s="8"/>
      <c r="I3982" s="7"/>
      <c r="J3982" s="8" t="str">
        <f aca="false">VLOOKUP(B3982, Table3[#All], 2, FALSE())</f>
        <v>Sales</v>
      </c>
      <c r="K3982" s="8" t="str">
        <f aca="false">TEXT(ROW(), "0000")</f>
        <v>3982</v>
      </c>
      <c r="L3982" s="8"/>
    </row>
    <row r="3983" customFormat="false" ht="15.75" hidden="false" customHeight="true" outlineLevel="0" collapsed="false">
      <c r="A3983" s="7" t="n">
        <v>45930</v>
      </c>
      <c r="B3983" s="8" t="s">
        <v>16</v>
      </c>
      <c r="C3983" s="9" t="n">
        <v>583</v>
      </c>
      <c r="D3983" s="8" t="s">
        <v>24</v>
      </c>
      <c r="E3983" s="10" t="s">
        <v>88</v>
      </c>
      <c r="F3983" s="8" t="str">
        <f aca="false">TEXT(A3983,"MM-YYYY")</f>
        <v>09-2025</v>
      </c>
      <c r="G3983" s="8"/>
      <c r="H3983" s="8"/>
      <c r="I3983" s="7"/>
      <c r="J3983" s="8" t="str">
        <f aca="false">VLOOKUP(B3983, Table3[#All], 2, FALSE())</f>
        <v>Sales</v>
      </c>
      <c r="K3983" s="8" t="str">
        <f aca="false">TEXT(ROW(), "0000")</f>
        <v>3983</v>
      </c>
      <c r="L3983" s="8"/>
    </row>
    <row r="3984" customFormat="false" ht="15.75" hidden="false" customHeight="true" outlineLevel="0" collapsed="false">
      <c r="A3984" s="7" t="n">
        <v>45930</v>
      </c>
      <c r="B3984" s="8" t="s">
        <v>43</v>
      </c>
      <c r="C3984" s="9" t="n">
        <v>2400</v>
      </c>
      <c r="D3984" s="8" t="s">
        <v>45</v>
      </c>
      <c r="E3984" s="10" t="s">
        <v>556</v>
      </c>
      <c r="F3984" s="8" t="str">
        <f aca="false">TEXT(A3984,"MM-YYYY")</f>
        <v>09-2025</v>
      </c>
      <c r="G3984" s="8" t="s">
        <v>14</v>
      </c>
      <c r="H3984" s="8" t="s">
        <v>232</v>
      </c>
      <c r="I3984" s="7" t="n">
        <v>45930</v>
      </c>
      <c r="J3984" s="8" t="str">
        <f aca="false">VLOOKUP(B3984, Table3[#All], 2, FALSE())</f>
        <v>Maintance</v>
      </c>
      <c r="K3984" s="8" t="str">
        <f aca="false">TEXT(ROW(), "0000")</f>
        <v>3984</v>
      </c>
      <c r="L3984" s="8"/>
    </row>
    <row r="3985" customFormat="false" ht="15.75" hidden="false" customHeight="true" outlineLevel="0" collapsed="false">
      <c r="A3985" s="7" t="n">
        <v>45930</v>
      </c>
      <c r="B3985" s="8" t="s">
        <v>34</v>
      </c>
      <c r="C3985" s="9" t="n">
        <v>150</v>
      </c>
      <c r="D3985" s="8" t="s">
        <v>45</v>
      </c>
      <c r="E3985" s="10" t="s">
        <v>545</v>
      </c>
      <c r="F3985" s="8" t="str">
        <f aca="false">TEXT(A3985,"MM-YYYY")</f>
        <v>09-2025</v>
      </c>
      <c r="G3985" s="8" t="s">
        <v>14</v>
      </c>
      <c r="H3985" s="8" t="s">
        <v>15</v>
      </c>
      <c r="I3985" s="7" t="n">
        <v>45930</v>
      </c>
      <c r="J3985" s="8" t="str">
        <f aca="false">VLOOKUP(B3985, Table3[#All], 2, FALSE())</f>
        <v>Staff Expenses</v>
      </c>
      <c r="K3985" s="8" t="str">
        <f aca="false">TEXT(ROW(), "0000")</f>
        <v>3985</v>
      </c>
      <c r="L3985" s="8"/>
    </row>
    <row r="3986" customFormat="false" ht="15.75" hidden="false" customHeight="true" outlineLevel="0" collapsed="false">
      <c r="A3986" s="7" t="n">
        <v>45931</v>
      </c>
      <c r="B3986" s="8" t="s">
        <v>47</v>
      </c>
      <c r="C3986" s="9" t="n">
        <v>1800</v>
      </c>
      <c r="D3986" s="8" t="s">
        <v>13</v>
      </c>
      <c r="E3986" s="10" t="s">
        <v>484</v>
      </c>
      <c r="F3986" s="8" t="str">
        <f aca="false">TEXT(A3986,"MM-YYYY")</f>
        <v>10-2025</v>
      </c>
      <c r="G3986" s="8" t="s">
        <v>18</v>
      </c>
      <c r="H3986" s="8" t="s">
        <v>262</v>
      </c>
      <c r="I3986" s="7"/>
      <c r="J3986" s="8" t="str">
        <f aca="false">VLOOKUP(B3986, Table3[#All], 2, FALSE())</f>
        <v>Inventory</v>
      </c>
      <c r="K3986" s="8" t="str">
        <f aca="false">TEXT(ROW(), "0000")</f>
        <v>3986</v>
      </c>
      <c r="L3986" s="8"/>
    </row>
    <row r="3987" customFormat="false" ht="15.75" hidden="false" customHeight="true" outlineLevel="0" collapsed="false">
      <c r="A3987" s="7" t="n">
        <v>45931</v>
      </c>
      <c r="B3987" s="8" t="s">
        <v>19</v>
      </c>
      <c r="C3987" s="9" t="n">
        <v>4151</v>
      </c>
      <c r="D3987" s="8" t="s">
        <v>13</v>
      </c>
      <c r="E3987" s="10" t="s">
        <v>473</v>
      </c>
      <c r="F3987" s="8" t="str">
        <f aca="false">TEXT(A3987,"MM-YYYY")</f>
        <v>10-2025</v>
      </c>
      <c r="G3987" s="8" t="s">
        <v>14</v>
      </c>
      <c r="H3987" s="8"/>
      <c r="I3987" s="7"/>
      <c r="J3987" s="8" t="str">
        <f aca="false">VLOOKUP(B3987, Table3[#All], 2, FALSE())</f>
        <v>Inventory</v>
      </c>
      <c r="K3987" s="8" t="str">
        <f aca="false">TEXT(ROW(), "0000")</f>
        <v>3987</v>
      </c>
      <c r="L3987" s="8"/>
    </row>
    <row r="3988" customFormat="false" ht="15.75" hidden="false" customHeight="true" outlineLevel="0" collapsed="false">
      <c r="A3988" s="7" t="n">
        <v>45931</v>
      </c>
      <c r="B3988" s="8" t="s">
        <v>25</v>
      </c>
      <c r="C3988" s="9" t="n">
        <v>645</v>
      </c>
      <c r="D3988" s="8" t="s">
        <v>45</v>
      </c>
      <c r="E3988" s="10" t="s">
        <v>557</v>
      </c>
      <c r="F3988" s="8" t="str">
        <f aca="false">TEXT(A3988,"MM-YYYY")</f>
        <v>10-2025</v>
      </c>
      <c r="G3988" s="8" t="s">
        <v>14</v>
      </c>
      <c r="H3988" s="8" t="s">
        <v>262</v>
      </c>
      <c r="I3988" s="7"/>
      <c r="J3988" s="8" t="str">
        <f aca="false">VLOOKUP(B3988, Table3[#All], 2, FALSE())</f>
        <v>Inventory</v>
      </c>
      <c r="K3988" s="8" t="str">
        <f aca="false">TEXT(ROW(), "0000")</f>
        <v>3988</v>
      </c>
      <c r="L3988" s="8"/>
    </row>
    <row r="3989" customFormat="false" ht="15.75" hidden="false" customHeight="true" outlineLevel="0" collapsed="false">
      <c r="A3989" s="7" t="n">
        <v>45931</v>
      </c>
      <c r="B3989" s="8" t="s">
        <v>22</v>
      </c>
      <c r="C3989" s="9" t="n">
        <v>55</v>
      </c>
      <c r="D3989" s="8" t="s">
        <v>21</v>
      </c>
      <c r="E3989" s="10" t="s">
        <v>479</v>
      </c>
      <c r="F3989" s="8" t="str">
        <f aca="false">TEXT(A3989,"MM-YYYY")</f>
        <v>10-2025</v>
      </c>
      <c r="G3989" s="8" t="s">
        <v>14</v>
      </c>
      <c r="H3989" s="8" t="s">
        <v>232</v>
      </c>
      <c r="I3989" s="7"/>
      <c r="J3989" s="8" t="str">
        <f aca="false">VLOOKUP(B3989, Table3[#All], 2, FALSE())</f>
        <v>Inventory</v>
      </c>
      <c r="K3989" s="8" t="str">
        <f aca="false">TEXT(ROW(), "0000")</f>
        <v>3989</v>
      </c>
      <c r="L3989" s="8"/>
    </row>
    <row r="3990" customFormat="false" ht="15.75" hidden="false" customHeight="true" outlineLevel="0" collapsed="false">
      <c r="A3990" s="7" t="n">
        <v>45931</v>
      </c>
      <c r="B3990" s="8" t="s">
        <v>29</v>
      </c>
      <c r="C3990" s="9" t="n">
        <v>50</v>
      </c>
      <c r="D3990" s="8" t="s">
        <v>45</v>
      </c>
      <c r="E3990" s="10" t="s">
        <v>209</v>
      </c>
      <c r="F3990" s="8" t="str">
        <f aca="false">TEXT(A3990,"MM-YYYY")</f>
        <v>10-2025</v>
      </c>
      <c r="G3990" s="8" t="s">
        <v>14</v>
      </c>
      <c r="H3990" s="8" t="s">
        <v>262</v>
      </c>
      <c r="I3990" s="7"/>
      <c r="J3990" s="8" t="str">
        <f aca="false">VLOOKUP(B3990, Table3[#All], 2, FALSE())</f>
        <v>Inventory</v>
      </c>
      <c r="K3990" s="8" t="str">
        <f aca="false">TEXT(ROW(), "0000")</f>
        <v>3990</v>
      </c>
      <c r="L3990" s="8"/>
    </row>
    <row r="3991" customFormat="false" ht="15.75" hidden="false" customHeight="true" outlineLevel="0" collapsed="false">
      <c r="A3991" s="7" t="n">
        <v>45931</v>
      </c>
      <c r="B3991" s="8" t="s">
        <v>25</v>
      </c>
      <c r="C3991" s="9" t="n">
        <v>70</v>
      </c>
      <c r="D3991" s="8" t="s">
        <v>45</v>
      </c>
      <c r="E3991" s="10" t="s">
        <v>558</v>
      </c>
      <c r="F3991" s="8" t="str">
        <f aca="false">TEXT(A3991,"MM-YYYY")</f>
        <v>10-2025</v>
      </c>
      <c r="G3991" s="8" t="s">
        <v>14</v>
      </c>
      <c r="H3991" s="8"/>
      <c r="I3991" s="7"/>
      <c r="J3991" s="8" t="str">
        <f aca="false">VLOOKUP(B3991, Table3[#All], 2, FALSE())</f>
        <v>Inventory</v>
      </c>
      <c r="K3991" s="8" t="str">
        <f aca="false">TEXT(ROW(), "0000")</f>
        <v>3991</v>
      </c>
      <c r="L3991" s="8"/>
    </row>
    <row r="3992" customFormat="false" ht="15.75" hidden="false" customHeight="true" outlineLevel="0" collapsed="false">
      <c r="A3992" s="7" t="n">
        <v>45931</v>
      </c>
      <c r="B3992" s="8" t="s">
        <v>34</v>
      </c>
      <c r="C3992" s="9" t="n">
        <v>185</v>
      </c>
      <c r="D3992" s="8" t="s">
        <v>45</v>
      </c>
      <c r="E3992" s="10" t="s">
        <v>154</v>
      </c>
      <c r="F3992" s="8" t="str">
        <f aca="false">TEXT(A3992,"MM-YYYY")</f>
        <v>10-2025</v>
      </c>
      <c r="G3992" s="8" t="s">
        <v>14</v>
      </c>
      <c r="H3992" s="8"/>
      <c r="I3992" s="7"/>
      <c r="J3992" s="8" t="str">
        <f aca="false">VLOOKUP(B3992, Table3[#All], 2, FALSE())</f>
        <v>Staff Expenses</v>
      </c>
      <c r="K3992" s="8" t="str">
        <f aca="false">TEXT(ROW(), "0000")</f>
        <v>3992</v>
      </c>
      <c r="L3992" s="8"/>
    </row>
    <row r="3993" customFormat="false" ht="15.75" hidden="false" customHeight="true" outlineLevel="0" collapsed="false">
      <c r="A3993" s="7" t="n">
        <v>45931</v>
      </c>
      <c r="B3993" s="8" t="s">
        <v>43</v>
      </c>
      <c r="C3993" s="9" t="n">
        <v>1150</v>
      </c>
      <c r="D3993" s="8" t="s">
        <v>45</v>
      </c>
      <c r="E3993" s="10" t="s">
        <v>559</v>
      </c>
      <c r="F3993" s="8" t="str">
        <f aca="false">TEXT(A3993,"MM-YYYY")</f>
        <v>10-2025</v>
      </c>
      <c r="G3993" s="8" t="s">
        <v>14</v>
      </c>
      <c r="H3993" s="8"/>
      <c r="I3993" s="7"/>
      <c r="J3993" s="8" t="str">
        <f aca="false">VLOOKUP(B3993, Table3[#All], 2, FALSE())</f>
        <v>Maintance</v>
      </c>
      <c r="K3993" s="8" t="str">
        <f aca="false">TEXT(ROW(), "0000")</f>
        <v>3993</v>
      </c>
      <c r="L3993" s="8"/>
    </row>
    <row r="3994" customFormat="false" ht="15.75" hidden="false" customHeight="true" outlineLevel="0" collapsed="false">
      <c r="A3994" s="7" t="n">
        <v>45931</v>
      </c>
      <c r="B3994" s="8" t="s">
        <v>16</v>
      </c>
      <c r="C3994" s="9" t="n">
        <v>3920</v>
      </c>
      <c r="D3994" s="8" t="s">
        <v>21</v>
      </c>
      <c r="E3994" s="10" t="s">
        <v>88</v>
      </c>
      <c r="F3994" s="8" t="str">
        <f aca="false">TEXT(A3994,"MM-YYYY")</f>
        <v>10-2025</v>
      </c>
      <c r="G3994" s="8"/>
      <c r="H3994" s="8"/>
      <c r="I3994" s="7"/>
      <c r="J3994" s="8" t="str">
        <f aca="false">VLOOKUP(B3994, Table3[#All], 2, FALSE())</f>
        <v>Sales</v>
      </c>
      <c r="K3994" s="8" t="str">
        <f aca="false">TEXT(ROW(), "0000")</f>
        <v>3994</v>
      </c>
      <c r="L3994" s="8"/>
    </row>
    <row r="3995" customFormat="false" ht="15.75" hidden="false" customHeight="true" outlineLevel="0" collapsed="false">
      <c r="A3995" s="7" t="n">
        <v>45931</v>
      </c>
      <c r="B3995" s="8" t="s">
        <v>16</v>
      </c>
      <c r="C3995" s="9" t="n">
        <v>909</v>
      </c>
      <c r="D3995" s="8" t="s">
        <v>24</v>
      </c>
      <c r="E3995" s="10" t="s">
        <v>88</v>
      </c>
      <c r="F3995" s="8" t="str">
        <f aca="false">TEXT(A3995,"MM-YYYY")</f>
        <v>10-2025</v>
      </c>
      <c r="G3995" s="8"/>
      <c r="H3995" s="8"/>
      <c r="I3995" s="7"/>
      <c r="J3995" s="8" t="str">
        <f aca="false">VLOOKUP(B3995, Table3[#All], 2, FALSE())</f>
        <v>Sales</v>
      </c>
      <c r="K3995" s="8" t="str">
        <f aca="false">TEXT(ROW(), "0000")</f>
        <v>3995</v>
      </c>
      <c r="L3995" s="8"/>
    </row>
    <row r="3996" customFormat="false" ht="15.75" hidden="false" customHeight="true" outlineLevel="0" collapsed="false">
      <c r="A3996" s="7" t="n">
        <v>45931</v>
      </c>
      <c r="B3996" s="8" t="s">
        <v>16</v>
      </c>
      <c r="C3996" s="9" t="n">
        <v>110</v>
      </c>
      <c r="D3996" s="8" t="s">
        <v>33</v>
      </c>
      <c r="E3996" s="10" t="s">
        <v>88</v>
      </c>
      <c r="F3996" s="8" t="str">
        <f aca="false">TEXT(A3996,"MM-YYYY")</f>
        <v>10-2025</v>
      </c>
      <c r="G3996" s="8"/>
      <c r="H3996" s="8"/>
      <c r="I3996" s="7"/>
      <c r="J3996" s="8" t="str">
        <f aca="false">VLOOKUP(B3996, Table3[#All], 2, FALSE())</f>
        <v>Sales</v>
      </c>
      <c r="K3996" s="8" t="str">
        <f aca="false">TEXT(ROW(), "0000")</f>
        <v>3996</v>
      </c>
      <c r="L3996" s="8"/>
    </row>
    <row r="3997" customFormat="false" ht="15.75" hidden="false" customHeight="true" outlineLevel="0" collapsed="false">
      <c r="A3997" s="7" t="n">
        <v>45931</v>
      </c>
      <c r="B3997" s="8" t="s">
        <v>16</v>
      </c>
      <c r="C3997" s="9" t="n">
        <v>15734</v>
      </c>
      <c r="D3997" s="8" t="s">
        <v>17</v>
      </c>
      <c r="E3997" s="10" t="s">
        <v>88</v>
      </c>
      <c r="F3997" s="8" t="str">
        <f aca="false">TEXT(A3997,"MM-YYYY")</f>
        <v>10-2025</v>
      </c>
      <c r="G3997" s="8"/>
      <c r="H3997" s="8"/>
      <c r="I3997" s="7"/>
      <c r="J3997" s="8" t="str">
        <f aca="false">VLOOKUP(B3997, Table3[#All], 2, FALSE())</f>
        <v>Sales</v>
      </c>
      <c r="K3997" s="8" t="str">
        <f aca="false">TEXT(ROW(), "0000")</f>
        <v>3997</v>
      </c>
      <c r="L3997" s="8"/>
    </row>
    <row r="3998" customFormat="false" ht="15.75" hidden="false" customHeight="true" outlineLevel="0" collapsed="false">
      <c r="A3998" s="7" t="n">
        <v>45931</v>
      </c>
      <c r="B3998" s="8" t="s">
        <v>16</v>
      </c>
      <c r="C3998" s="9" t="n">
        <v>2280</v>
      </c>
      <c r="D3998" s="8" t="s">
        <v>27</v>
      </c>
      <c r="E3998" s="10" t="s">
        <v>88</v>
      </c>
      <c r="F3998" s="8" t="str">
        <f aca="false">TEXT(A3998,"MM-YYYY")</f>
        <v>10-2025</v>
      </c>
      <c r="G3998" s="8"/>
      <c r="H3998" s="8"/>
      <c r="I3998" s="7"/>
      <c r="J3998" s="8" t="str">
        <f aca="false">VLOOKUP(B3998, Table3[#All], 2, FALSE())</f>
        <v>Sales</v>
      </c>
      <c r="K3998" s="8" t="str">
        <f aca="false">TEXT(ROW(), "0000")</f>
        <v>3998</v>
      </c>
      <c r="L3998" s="8"/>
    </row>
    <row r="3999" customFormat="false" ht="15.75" hidden="false" customHeight="true" outlineLevel="0" collapsed="false">
      <c r="A3999" s="7" t="n">
        <v>45931</v>
      </c>
      <c r="B3999" s="8" t="s">
        <v>32</v>
      </c>
      <c r="C3999" s="9" t="n">
        <v>100</v>
      </c>
      <c r="D3999" s="8" t="s">
        <v>21</v>
      </c>
      <c r="E3999" s="10" t="s">
        <v>450</v>
      </c>
      <c r="F3999" s="8" t="str">
        <f aca="false">TEXT(A3999,"MM-YYYY")</f>
        <v>10-2025</v>
      </c>
      <c r="G3999" s="8" t="s">
        <v>14</v>
      </c>
      <c r="H3999" s="8" t="s">
        <v>15</v>
      </c>
      <c r="I3999" s="7" t="n">
        <v>45931</v>
      </c>
      <c r="J3999" s="8" t="str">
        <f aca="false">VLOOKUP(B3999, Table3[#All], 2, FALSE())</f>
        <v>Grocery</v>
      </c>
      <c r="K3999" s="8" t="str">
        <f aca="false">TEXT(ROW(), "0000")</f>
        <v>3999</v>
      </c>
      <c r="L3999" s="8"/>
    </row>
    <row r="4000" customFormat="false" ht="15.75" hidden="false" customHeight="true" outlineLevel="0" collapsed="false">
      <c r="A4000" s="7" t="n">
        <v>45931</v>
      </c>
      <c r="B4000" s="8" t="s">
        <v>37</v>
      </c>
      <c r="C4000" s="9" t="n">
        <v>15</v>
      </c>
      <c r="D4000" s="8" t="s">
        <v>21</v>
      </c>
      <c r="E4000" s="10" t="s">
        <v>37</v>
      </c>
      <c r="F4000" s="8" t="str">
        <f aca="false">TEXT(A4000,"MM-YYYY")</f>
        <v>10-2025</v>
      </c>
      <c r="G4000" s="8" t="s">
        <v>14</v>
      </c>
      <c r="H4000" s="8" t="s">
        <v>15</v>
      </c>
      <c r="I4000" s="7" t="n">
        <v>45931</v>
      </c>
      <c r="J4000" s="8" t="str">
        <f aca="false">VLOOKUP(B4000, Table3[#All], 2, FALSE())</f>
        <v>Maintance</v>
      </c>
      <c r="K4000" s="8" t="str">
        <f aca="false">TEXT(ROW(), "0000")</f>
        <v>4000</v>
      </c>
      <c r="L4000" s="8"/>
    </row>
    <row r="4001" customFormat="false" ht="15.75" hidden="false" customHeight="true" outlineLevel="0" collapsed="false">
      <c r="A4001" s="7" t="n">
        <v>45931</v>
      </c>
      <c r="B4001" s="8" t="s">
        <v>29</v>
      </c>
      <c r="C4001" s="9" t="n">
        <v>486</v>
      </c>
      <c r="D4001" s="8" t="s">
        <v>13</v>
      </c>
      <c r="E4001" s="10" t="s">
        <v>490</v>
      </c>
      <c r="F4001" s="8" t="str">
        <f aca="false">TEXT(A4001,"MM-YYYY")</f>
        <v>10-2025</v>
      </c>
      <c r="G4001" s="8" t="s">
        <v>18</v>
      </c>
      <c r="H4001" s="8"/>
      <c r="I4001" s="7"/>
      <c r="J4001" s="8" t="str">
        <f aca="false">VLOOKUP(B4001, Table3[#All], 2, FALSE())</f>
        <v>Inventory</v>
      </c>
      <c r="K4001" s="8" t="str">
        <f aca="false">TEXT(ROW(), "0000")</f>
        <v>4001</v>
      </c>
      <c r="L4001" s="8"/>
    </row>
    <row r="4002" customFormat="false" ht="15.75" hidden="false" customHeight="true" outlineLevel="0" collapsed="false">
      <c r="A4002" s="7" t="n">
        <v>45932</v>
      </c>
      <c r="B4002" s="8" t="s">
        <v>22</v>
      </c>
      <c r="C4002" s="9" t="n">
        <v>3850</v>
      </c>
      <c r="D4002" s="8" t="s">
        <v>13</v>
      </c>
      <c r="E4002" s="10" t="s">
        <v>23</v>
      </c>
      <c r="F4002" s="8" t="str">
        <f aca="false">TEXT(A4002,"MM-YYYY")</f>
        <v>10-2025</v>
      </c>
      <c r="G4002" s="8" t="s">
        <v>18</v>
      </c>
      <c r="H4002" s="8"/>
      <c r="I4002" s="7"/>
      <c r="J4002" s="8" t="str">
        <f aca="false">VLOOKUP(B4002, Table3[#All], 2, FALSE())</f>
        <v>Inventory</v>
      </c>
      <c r="K4002" s="8" t="str">
        <f aca="false">TEXT(ROW(), "0000")</f>
        <v>4002</v>
      </c>
      <c r="L4002" s="8"/>
    </row>
    <row r="4003" customFormat="false" ht="15.75" hidden="false" customHeight="true" outlineLevel="0" collapsed="false">
      <c r="A4003" s="7" t="n">
        <v>45932</v>
      </c>
      <c r="B4003" s="8" t="s">
        <v>22</v>
      </c>
      <c r="C4003" s="9" t="n">
        <v>950</v>
      </c>
      <c r="D4003" s="8" t="s">
        <v>45</v>
      </c>
      <c r="E4003" s="10" t="s">
        <v>554</v>
      </c>
      <c r="F4003" s="8" t="str">
        <f aca="false">TEXT(A4003,"MM-YYYY")</f>
        <v>10-2025</v>
      </c>
      <c r="G4003" s="8" t="s">
        <v>14</v>
      </c>
      <c r="H4003" s="8" t="s">
        <v>232</v>
      </c>
      <c r="I4003" s="7" t="n">
        <v>45932</v>
      </c>
      <c r="J4003" s="8" t="str">
        <f aca="false">VLOOKUP(B4003, Table3[#All], 2, FALSE())</f>
        <v>Inventory</v>
      </c>
      <c r="K4003" s="8" t="str">
        <f aca="false">TEXT(ROW(), "0000")</f>
        <v>4003</v>
      </c>
      <c r="L4003" s="8"/>
    </row>
    <row r="4004" customFormat="false" ht="15.75" hidden="false" customHeight="true" outlineLevel="0" collapsed="false">
      <c r="A4004" s="7" t="n">
        <v>45931</v>
      </c>
      <c r="B4004" s="8" t="s">
        <v>25</v>
      </c>
      <c r="C4004" s="9" t="n">
        <v>260</v>
      </c>
      <c r="D4004" s="8" t="s">
        <v>13</v>
      </c>
      <c r="E4004" s="10" t="s">
        <v>92</v>
      </c>
      <c r="F4004" s="8" t="str">
        <f aca="false">TEXT(A4004,"MM-YYYY")</f>
        <v>10-2025</v>
      </c>
      <c r="G4004" s="8" t="s">
        <v>18</v>
      </c>
      <c r="H4004" s="8"/>
      <c r="I4004" s="7"/>
      <c r="J4004" s="8" t="str">
        <f aca="false">VLOOKUP(B4004, Table3[#All], 2, FALSE())</f>
        <v>Inventory</v>
      </c>
      <c r="K4004" s="8" t="str">
        <f aca="false">TEXT(ROW(), "0000")</f>
        <v>4004</v>
      </c>
      <c r="L4004" s="8"/>
    </row>
    <row r="4005" customFormat="false" ht="15.75" hidden="false" customHeight="true" outlineLevel="0" collapsed="false">
      <c r="A4005" s="7" t="n">
        <v>45932</v>
      </c>
      <c r="B4005" s="8" t="s">
        <v>32</v>
      </c>
      <c r="C4005" s="9" t="n">
        <v>100</v>
      </c>
      <c r="D4005" s="8" t="s">
        <v>21</v>
      </c>
      <c r="E4005" s="10" t="s">
        <v>450</v>
      </c>
      <c r="F4005" s="8" t="str">
        <f aca="false">TEXT(A4005,"MM-YYYY")</f>
        <v>10-2025</v>
      </c>
      <c r="G4005" s="8" t="s">
        <v>14</v>
      </c>
      <c r="H4005" s="8" t="s">
        <v>15</v>
      </c>
      <c r="I4005" s="7" t="n">
        <v>45932</v>
      </c>
      <c r="J4005" s="8" t="str">
        <f aca="false">VLOOKUP(B4005, Table3[#All], 2, FALSE())</f>
        <v>Grocery</v>
      </c>
      <c r="K4005" s="8" t="str">
        <f aca="false">TEXT(ROW(), "0000")</f>
        <v>4005</v>
      </c>
      <c r="L4005" s="8"/>
    </row>
    <row r="4006" customFormat="false" ht="15.75" hidden="false" customHeight="true" outlineLevel="0" collapsed="false">
      <c r="A4006" s="7" t="n">
        <v>45932</v>
      </c>
      <c r="B4006" s="8" t="s">
        <v>56</v>
      </c>
      <c r="C4006" s="9" t="n">
        <v>4965</v>
      </c>
      <c r="D4006" s="8" t="s">
        <v>13</v>
      </c>
      <c r="E4006" s="10" t="s">
        <v>560</v>
      </c>
      <c r="F4006" s="8" t="str">
        <f aca="false">TEXT(A4006,"MM-YYYY")</f>
        <v>10-2025</v>
      </c>
      <c r="G4006" s="8" t="s">
        <v>14</v>
      </c>
      <c r="H4006" s="8" t="s">
        <v>262</v>
      </c>
      <c r="I4006" s="7" t="n">
        <v>45932</v>
      </c>
      <c r="J4006" s="8" t="str">
        <f aca="false">VLOOKUP(B4006, Table3[#All], 2, FALSE())</f>
        <v>New Inventory</v>
      </c>
      <c r="K4006" s="8" t="str">
        <f aca="false">TEXT(ROW(), "0000")</f>
        <v>4006</v>
      </c>
      <c r="L4006" s="8"/>
    </row>
    <row r="4007" customFormat="false" ht="15.75" hidden="false" customHeight="true" outlineLevel="0" collapsed="false">
      <c r="A4007" s="7" t="n">
        <v>45932</v>
      </c>
      <c r="B4007" s="8" t="s">
        <v>19</v>
      </c>
      <c r="C4007" s="9" t="n">
        <v>2961</v>
      </c>
      <c r="D4007" s="8" t="s">
        <v>13</v>
      </c>
      <c r="E4007" s="10" t="s">
        <v>473</v>
      </c>
      <c r="F4007" s="8" t="str">
        <f aca="false">TEXT(A4007,"MM-YYYY")</f>
        <v>10-2025</v>
      </c>
      <c r="G4007" s="8" t="s">
        <v>14</v>
      </c>
      <c r="H4007" s="8"/>
      <c r="I4007" s="7"/>
      <c r="J4007" s="8" t="str">
        <f aca="false">VLOOKUP(B4007, Table3[#All], 2, FALSE())</f>
        <v>Inventory</v>
      </c>
      <c r="K4007" s="8" t="str">
        <f aca="false">TEXT(ROW(), "0000")</f>
        <v>4007</v>
      </c>
      <c r="L4007" s="8"/>
    </row>
    <row r="4008" customFormat="false" ht="15.75" hidden="false" customHeight="true" outlineLevel="0" collapsed="false">
      <c r="A4008" s="7" t="n">
        <v>45932</v>
      </c>
      <c r="B4008" s="8" t="s">
        <v>19</v>
      </c>
      <c r="C4008" s="9" t="n">
        <v>530</v>
      </c>
      <c r="D4008" s="8" t="s">
        <v>45</v>
      </c>
      <c r="E4008" s="10" t="s">
        <v>561</v>
      </c>
      <c r="F4008" s="8" t="str">
        <f aca="false">TEXT(A4008,"MM-YYYY")</f>
        <v>10-2025</v>
      </c>
      <c r="G4008" s="8" t="s">
        <v>14</v>
      </c>
      <c r="H4008" s="8" t="s">
        <v>232</v>
      </c>
      <c r="I4008" s="7" t="n">
        <v>45932</v>
      </c>
      <c r="J4008" s="8" t="str">
        <f aca="false">VLOOKUP(B4008, Table3[#All], 2, FALSE())</f>
        <v>Inventory</v>
      </c>
      <c r="K4008" s="8" t="str">
        <f aca="false">TEXT(ROW(), "0000")</f>
        <v>4008</v>
      </c>
      <c r="L4008" s="8"/>
    </row>
    <row r="4009" customFormat="false" ht="15.75" hidden="false" customHeight="true" outlineLevel="0" collapsed="false">
      <c r="A4009" s="7" t="n">
        <v>45931</v>
      </c>
      <c r="B4009" s="8" t="s">
        <v>50</v>
      </c>
      <c r="C4009" s="9" t="n">
        <v>1609</v>
      </c>
      <c r="D4009" s="8" t="s">
        <v>13</v>
      </c>
      <c r="E4009" s="10" t="s">
        <v>263</v>
      </c>
      <c r="F4009" s="8" t="str">
        <f aca="false">TEXT(A4009,"MM-YYYY")</f>
        <v>10-2025</v>
      </c>
      <c r="G4009" s="8" t="s">
        <v>18</v>
      </c>
      <c r="H4009" s="8"/>
      <c r="I4009" s="7"/>
      <c r="J4009" s="8" t="str">
        <f aca="false">VLOOKUP(B4009, Table3[#All], 2, FALSE())</f>
        <v>Fixed Maintance</v>
      </c>
      <c r="K4009" s="8" t="str">
        <f aca="false">TEXT(ROW(), "0000")</f>
        <v>4009</v>
      </c>
      <c r="L4009" s="8"/>
    </row>
    <row r="4010" customFormat="false" ht="15.75" hidden="false" customHeight="true" outlineLevel="0" collapsed="false">
      <c r="A4010" s="7" t="n">
        <v>45932</v>
      </c>
      <c r="B4010" s="8" t="s">
        <v>25</v>
      </c>
      <c r="C4010" s="9" t="n">
        <v>1430</v>
      </c>
      <c r="D4010" s="8" t="s">
        <v>13</v>
      </c>
      <c r="E4010" s="10" t="s">
        <v>92</v>
      </c>
      <c r="F4010" s="8" t="str">
        <f aca="false">TEXT(A4010,"MM-YYYY")</f>
        <v>10-2025</v>
      </c>
      <c r="G4010" s="8" t="s">
        <v>18</v>
      </c>
      <c r="H4010" s="8"/>
      <c r="I4010" s="7"/>
      <c r="J4010" s="8" t="str">
        <f aca="false">VLOOKUP(B4010, Table3[#All], 2, FALSE())</f>
        <v>Inventory</v>
      </c>
      <c r="K4010" s="8" t="str">
        <f aca="false">TEXT(ROW(), "0000")</f>
        <v>4010</v>
      </c>
      <c r="L4010" s="8"/>
    </row>
    <row r="4011" customFormat="false" ht="15.75" hidden="false" customHeight="true" outlineLevel="0" collapsed="false">
      <c r="A4011" s="7" t="n">
        <v>45932</v>
      </c>
      <c r="B4011" s="8" t="s">
        <v>22</v>
      </c>
      <c r="C4011" s="9" t="n">
        <v>650</v>
      </c>
      <c r="D4011" s="8" t="s">
        <v>45</v>
      </c>
      <c r="E4011" s="10" t="s">
        <v>288</v>
      </c>
      <c r="F4011" s="8" t="str">
        <f aca="false">TEXT(A4011,"MM-YYYY")</f>
        <v>10-2025</v>
      </c>
      <c r="G4011" s="8" t="s">
        <v>14</v>
      </c>
      <c r="H4011" s="8" t="s">
        <v>232</v>
      </c>
      <c r="I4011" s="7" t="n">
        <v>45932</v>
      </c>
      <c r="J4011" s="8" t="str">
        <f aca="false">VLOOKUP(B4011, Table3[#All], 2, FALSE())</f>
        <v>Inventory</v>
      </c>
      <c r="K4011" s="8" t="str">
        <f aca="false">TEXT(ROW(), "0000")</f>
        <v>4011</v>
      </c>
      <c r="L4011" s="8"/>
    </row>
    <row r="4012" customFormat="false" ht="15.75" hidden="false" customHeight="true" outlineLevel="0" collapsed="false">
      <c r="A4012" s="7" t="n">
        <v>45932</v>
      </c>
      <c r="B4012" s="8" t="s">
        <v>22</v>
      </c>
      <c r="C4012" s="9" t="n">
        <v>870</v>
      </c>
      <c r="D4012" s="8" t="s">
        <v>21</v>
      </c>
      <c r="E4012" s="10" t="s">
        <v>248</v>
      </c>
      <c r="F4012" s="8" t="str">
        <f aca="false">TEXT(A4012,"MM-YYYY")</f>
        <v>10-2025</v>
      </c>
      <c r="G4012" s="8" t="s">
        <v>14</v>
      </c>
      <c r="H4012" s="8" t="s">
        <v>15</v>
      </c>
      <c r="I4012" s="7" t="n">
        <v>45932</v>
      </c>
      <c r="J4012" s="8" t="str">
        <f aca="false">VLOOKUP(B4012, Table3[#All], 2, FALSE())</f>
        <v>Inventory</v>
      </c>
      <c r="K4012" s="8" t="str">
        <f aca="false">TEXT(ROW(), "0000")</f>
        <v>4012</v>
      </c>
      <c r="L4012" s="8"/>
    </row>
    <row r="4013" customFormat="false" ht="15.75" hidden="false" customHeight="true" outlineLevel="0" collapsed="false">
      <c r="A4013" s="7" t="n">
        <v>45932</v>
      </c>
      <c r="B4013" s="8" t="s">
        <v>36</v>
      </c>
      <c r="C4013" s="9" t="n">
        <v>290</v>
      </c>
      <c r="D4013" s="8" t="s">
        <v>45</v>
      </c>
      <c r="E4013" s="10" t="s">
        <v>562</v>
      </c>
      <c r="F4013" s="8" t="str">
        <f aca="false">TEXT(A4013,"MM-YYYY")</f>
        <v>10-2025</v>
      </c>
      <c r="G4013" s="8" t="s">
        <v>14</v>
      </c>
      <c r="H4013" s="8" t="s">
        <v>232</v>
      </c>
      <c r="I4013" s="7" t="n">
        <v>45932</v>
      </c>
      <c r="J4013" s="8" t="str">
        <f aca="false">VLOOKUP(B4013, Table3[#All], 2, FALSE())</f>
        <v>Maintance</v>
      </c>
      <c r="K4013" s="8" t="str">
        <f aca="false">TEXT(ROW(), "0000")</f>
        <v>4013</v>
      </c>
      <c r="L4013" s="8"/>
    </row>
    <row r="4014" customFormat="false" ht="15.75" hidden="false" customHeight="true" outlineLevel="0" collapsed="false">
      <c r="A4014" s="7" t="n">
        <v>45932</v>
      </c>
      <c r="B4014" s="8" t="s">
        <v>43</v>
      </c>
      <c r="C4014" s="9" t="n">
        <v>80</v>
      </c>
      <c r="D4014" s="8" t="s">
        <v>45</v>
      </c>
      <c r="E4014" s="10" t="s">
        <v>563</v>
      </c>
      <c r="F4014" s="8" t="str">
        <f aca="false">TEXT(A4014,"MM-YYYY")</f>
        <v>10-2025</v>
      </c>
      <c r="G4014" s="8" t="s">
        <v>14</v>
      </c>
      <c r="H4014" s="8" t="s">
        <v>232</v>
      </c>
      <c r="I4014" s="7" t="n">
        <v>45932</v>
      </c>
      <c r="J4014" s="8" t="str">
        <f aca="false">VLOOKUP(B4014, Table3[#All], 2, FALSE())</f>
        <v>Maintance</v>
      </c>
      <c r="K4014" s="8" t="str">
        <f aca="false">TEXT(ROW(), "0000")</f>
        <v>4014</v>
      </c>
      <c r="L4014" s="8"/>
    </row>
    <row r="4015" customFormat="false" ht="15.75" hidden="false" customHeight="true" outlineLevel="0" collapsed="false">
      <c r="A4015" s="7" t="n">
        <v>45932</v>
      </c>
      <c r="B4015" s="8" t="s">
        <v>29</v>
      </c>
      <c r="C4015" s="9" t="n">
        <v>470</v>
      </c>
      <c r="D4015" s="8" t="s">
        <v>45</v>
      </c>
      <c r="E4015" s="10" t="s">
        <v>488</v>
      </c>
      <c r="F4015" s="8" t="str">
        <f aca="false">TEXT(A4015,"MM-YYYY")</f>
        <v>10-2025</v>
      </c>
      <c r="G4015" s="8" t="s">
        <v>14</v>
      </c>
      <c r="H4015" s="8" t="s">
        <v>232</v>
      </c>
      <c r="I4015" s="7" t="n">
        <v>45932</v>
      </c>
      <c r="J4015" s="8" t="str">
        <f aca="false">VLOOKUP(B4015, Table3[#All], 2, FALSE())</f>
        <v>Inventory</v>
      </c>
      <c r="K4015" s="8" t="str">
        <f aca="false">TEXT(ROW(), "0000")</f>
        <v>4015</v>
      </c>
      <c r="L4015" s="8"/>
    </row>
    <row r="4016" customFormat="false" ht="15.75" hidden="false" customHeight="true" outlineLevel="0" collapsed="false">
      <c r="A4016" s="7" t="n">
        <v>45932</v>
      </c>
      <c r="B4016" s="8" t="s">
        <v>107</v>
      </c>
      <c r="C4016" s="9" t="n">
        <v>310</v>
      </c>
      <c r="D4016" s="8" t="s">
        <v>45</v>
      </c>
      <c r="E4016" s="10" t="s">
        <v>554</v>
      </c>
      <c r="F4016" s="8" t="str">
        <f aca="false">TEXT(A4016,"MM-YYYY")</f>
        <v>10-2025</v>
      </c>
      <c r="G4016" s="8" t="s">
        <v>14</v>
      </c>
      <c r="H4016" s="8" t="s">
        <v>232</v>
      </c>
      <c r="I4016" s="7" t="n">
        <v>45932</v>
      </c>
      <c r="J4016" s="8" t="str">
        <f aca="false">VLOOKUP(B4016, Table3[#All], 2, FALSE())</f>
        <v>Staff Expenses</v>
      </c>
      <c r="K4016" s="8" t="str">
        <f aca="false">TEXT(ROW(), "0000")</f>
        <v>4016</v>
      </c>
      <c r="L4016" s="8"/>
    </row>
    <row r="4017" customFormat="false" ht="15.75" hidden="false" customHeight="true" outlineLevel="0" collapsed="false">
      <c r="A4017" s="7" t="n">
        <v>45932</v>
      </c>
      <c r="B4017" s="8" t="s">
        <v>25</v>
      </c>
      <c r="C4017" s="9" t="n">
        <v>330</v>
      </c>
      <c r="D4017" s="8" t="s">
        <v>21</v>
      </c>
      <c r="E4017" s="10" t="s">
        <v>557</v>
      </c>
      <c r="F4017" s="8" t="str">
        <f aca="false">TEXT(A4017,"MM-YYYY")</f>
        <v>10-2025</v>
      </c>
      <c r="G4017" s="8" t="s">
        <v>14</v>
      </c>
      <c r="H4017" s="8" t="s">
        <v>15</v>
      </c>
      <c r="I4017" s="7" t="n">
        <v>45932</v>
      </c>
      <c r="J4017" s="8" t="str">
        <f aca="false">VLOOKUP(B4017, Table3[#All], 2, FALSE())</f>
        <v>Inventory</v>
      </c>
      <c r="K4017" s="8" t="str">
        <f aca="false">TEXT(ROW(), "0000")</f>
        <v>4017</v>
      </c>
      <c r="L4017" s="8"/>
    </row>
    <row r="4018" customFormat="false" ht="15.75" hidden="false" customHeight="true" outlineLevel="0" collapsed="false">
      <c r="A4018" s="7" t="n">
        <v>45932</v>
      </c>
      <c r="B4018" s="8" t="s">
        <v>28</v>
      </c>
      <c r="C4018" s="9" t="n">
        <v>320</v>
      </c>
      <c r="D4018" s="8" t="s">
        <v>21</v>
      </c>
      <c r="E4018" s="10" t="s">
        <v>93</v>
      </c>
      <c r="F4018" s="8" t="str">
        <f aca="false">TEXT(A4018,"MM-YYYY")</f>
        <v>10-2025</v>
      </c>
      <c r="G4018" s="8" t="s">
        <v>14</v>
      </c>
      <c r="H4018" s="8" t="s">
        <v>15</v>
      </c>
      <c r="I4018" s="7" t="n">
        <v>45932</v>
      </c>
      <c r="J4018" s="8" t="str">
        <f aca="false">VLOOKUP(B4018, Table3[#All], 2, FALSE())</f>
        <v>Grocery</v>
      </c>
      <c r="K4018" s="8" t="str">
        <f aca="false">TEXT(ROW(), "0000")</f>
        <v>4018</v>
      </c>
      <c r="L4018" s="8"/>
    </row>
    <row r="4019" customFormat="false" ht="15.75" hidden="false" customHeight="true" outlineLevel="0" collapsed="false">
      <c r="A4019" s="7" t="n">
        <v>45932</v>
      </c>
      <c r="B4019" s="8" t="s">
        <v>31</v>
      </c>
      <c r="C4019" s="9" t="n">
        <v>310</v>
      </c>
      <c r="D4019" s="8" t="s">
        <v>45</v>
      </c>
      <c r="E4019" s="10" t="s">
        <v>236</v>
      </c>
      <c r="F4019" s="8" t="str">
        <f aca="false">TEXT(A4019,"MM-YYYY")</f>
        <v>10-2025</v>
      </c>
      <c r="G4019" s="8" t="s">
        <v>14</v>
      </c>
      <c r="H4019" s="8" t="s">
        <v>15</v>
      </c>
      <c r="I4019" s="7" t="n">
        <v>45932</v>
      </c>
      <c r="J4019" s="8" t="str">
        <f aca="false">VLOOKUP(B4019, Table3[#All], 2, FALSE())</f>
        <v>Bike Maintance</v>
      </c>
      <c r="K4019" s="8" t="str">
        <f aca="false">TEXT(ROW(), "0000")</f>
        <v>4019</v>
      </c>
      <c r="L4019" s="8"/>
    </row>
    <row r="4020" customFormat="false" ht="15.75" hidden="false" customHeight="true" outlineLevel="0" collapsed="false">
      <c r="A4020" s="7" t="n">
        <v>45932</v>
      </c>
      <c r="B4020" s="8" t="s">
        <v>16</v>
      </c>
      <c r="C4020" s="9" t="n">
        <v>2930</v>
      </c>
      <c r="D4020" s="8" t="s">
        <v>21</v>
      </c>
      <c r="E4020" s="10" t="s">
        <v>88</v>
      </c>
      <c r="F4020" s="8" t="str">
        <f aca="false">TEXT(A4020,"MM-YYYY")</f>
        <v>10-2025</v>
      </c>
      <c r="G4020" s="8"/>
      <c r="H4020" s="8"/>
      <c r="I4020" s="7"/>
      <c r="J4020" s="8" t="str">
        <f aca="false">VLOOKUP(B4020, Table3[#All], 2, FALSE())</f>
        <v>Sales</v>
      </c>
      <c r="K4020" s="8" t="str">
        <f aca="false">TEXT(ROW(), "0000")</f>
        <v>4020</v>
      </c>
      <c r="L4020" s="8"/>
    </row>
    <row r="4021" customFormat="false" ht="15.75" hidden="false" customHeight="true" outlineLevel="0" collapsed="false">
      <c r="A4021" s="7" t="n">
        <v>45932</v>
      </c>
      <c r="B4021" s="8" t="s">
        <v>16</v>
      </c>
      <c r="C4021" s="9" t="n">
        <v>2395</v>
      </c>
      <c r="D4021" s="8" t="s">
        <v>27</v>
      </c>
      <c r="E4021" s="10" t="s">
        <v>88</v>
      </c>
      <c r="F4021" s="8" t="str">
        <f aca="false">TEXT(A4021,"MM-YYYY")</f>
        <v>10-2025</v>
      </c>
      <c r="G4021" s="8"/>
      <c r="H4021" s="8"/>
      <c r="I4021" s="7"/>
      <c r="J4021" s="8" t="str">
        <f aca="false">VLOOKUP(B4021, Table3[#All], 2, FALSE())</f>
        <v>Sales</v>
      </c>
      <c r="K4021" s="8" t="str">
        <f aca="false">TEXT(ROW(), "0000")</f>
        <v>4021</v>
      </c>
      <c r="L4021" s="8"/>
    </row>
    <row r="4022" customFormat="false" ht="15.75" hidden="false" customHeight="true" outlineLevel="0" collapsed="false">
      <c r="A4022" s="7" t="n">
        <v>45932</v>
      </c>
      <c r="B4022" s="8" t="s">
        <v>16</v>
      </c>
      <c r="C4022" s="9" t="n">
        <v>200</v>
      </c>
      <c r="D4022" s="8" t="s">
        <v>33</v>
      </c>
      <c r="E4022" s="10" t="s">
        <v>88</v>
      </c>
      <c r="F4022" s="8" t="str">
        <f aca="false">TEXT(A4022,"MM-YYYY")</f>
        <v>10-2025</v>
      </c>
      <c r="G4022" s="8"/>
      <c r="H4022" s="8"/>
      <c r="I4022" s="7"/>
      <c r="J4022" s="8" t="str">
        <f aca="false">VLOOKUP(B4022, Table3[#All], 2, FALSE())</f>
        <v>Sales</v>
      </c>
      <c r="K4022" s="8" t="str">
        <f aca="false">TEXT(ROW(), "0000")</f>
        <v>4022</v>
      </c>
      <c r="L4022" s="8"/>
    </row>
    <row r="4023" customFormat="false" ht="15.75" hidden="false" customHeight="true" outlineLevel="0" collapsed="false">
      <c r="A4023" s="7" t="n">
        <v>45932</v>
      </c>
      <c r="B4023" s="8" t="s">
        <v>16</v>
      </c>
      <c r="C4023" s="9" t="n">
        <v>21014</v>
      </c>
      <c r="D4023" s="8" t="s">
        <v>17</v>
      </c>
      <c r="E4023" s="10" t="s">
        <v>88</v>
      </c>
      <c r="F4023" s="8" t="str">
        <f aca="false">TEXT(A4023,"MM-YYYY")</f>
        <v>10-2025</v>
      </c>
      <c r="G4023" s="8"/>
      <c r="H4023" s="8"/>
      <c r="I4023" s="7"/>
      <c r="J4023" s="8" t="str">
        <f aca="false">VLOOKUP(B4023, Table3[#All], 2, FALSE())</f>
        <v>Sales</v>
      </c>
      <c r="K4023" s="8" t="str">
        <f aca="false">TEXT(ROW(), "0000")</f>
        <v>4023</v>
      </c>
      <c r="L4023" s="8"/>
    </row>
    <row r="4024" customFormat="false" ht="15.75" hidden="false" customHeight="true" outlineLevel="0" collapsed="false">
      <c r="A4024" s="7" t="n">
        <v>45932</v>
      </c>
      <c r="B4024" s="8" t="s">
        <v>16</v>
      </c>
      <c r="C4024" s="9" t="n">
        <v>1834</v>
      </c>
      <c r="D4024" s="8" t="s">
        <v>24</v>
      </c>
      <c r="E4024" s="10" t="s">
        <v>88</v>
      </c>
      <c r="F4024" s="8" t="str">
        <f aca="false">TEXT(A4024,"MM-YYYY")</f>
        <v>10-2025</v>
      </c>
      <c r="G4024" s="8"/>
      <c r="H4024" s="8"/>
      <c r="I4024" s="7"/>
      <c r="J4024" s="8" t="str">
        <f aca="false">VLOOKUP(B4024, Table3[#All], 2, FALSE())</f>
        <v>Sales</v>
      </c>
      <c r="K4024" s="8" t="str">
        <f aca="false">TEXT(ROW(), "0000")</f>
        <v>4024</v>
      </c>
      <c r="L4024" s="8"/>
    </row>
    <row r="4025" customFormat="false" ht="15.75" hidden="false" customHeight="true" outlineLevel="0" collapsed="false">
      <c r="A4025" s="7" t="n">
        <v>45932</v>
      </c>
      <c r="B4025" s="8" t="s">
        <v>34</v>
      </c>
      <c r="C4025" s="9" t="n">
        <v>210</v>
      </c>
      <c r="D4025" s="8" t="s">
        <v>45</v>
      </c>
      <c r="E4025" s="10" t="s">
        <v>545</v>
      </c>
      <c r="F4025" s="8" t="str">
        <f aca="false">TEXT(A4025,"MM-YYYY")</f>
        <v>10-2025</v>
      </c>
      <c r="G4025" s="8" t="s">
        <v>14</v>
      </c>
      <c r="H4025" s="8" t="s">
        <v>232</v>
      </c>
      <c r="I4025" s="7" t="n">
        <v>45932</v>
      </c>
      <c r="J4025" s="8" t="str">
        <f aca="false">VLOOKUP(B4025, Table3[#All], 2, FALSE())</f>
        <v>Staff Expenses</v>
      </c>
      <c r="K4025" s="8" t="str">
        <f aca="false">TEXT(ROW(), "0000")</f>
        <v>4025</v>
      </c>
      <c r="L4025" s="8"/>
    </row>
    <row r="4026" customFormat="false" ht="15.75" hidden="false" customHeight="true" outlineLevel="0" collapsed="false">
      <c r="A4026" s="7" t="n">
        <v>45932</v>
      </c>
      <c r="B4026" s="8" t="s">
        <v>37</v>
      </c>
      <c r="C4026" s="9" t="n">
        <v>10</v>
      </c>
      <c r="D4026" s="8" t="s">
        <v>21</v>
      </c>
      <c r="E4026" s="10" t="s">
        <v>416</v>
      </c>
      <c r="F4026" s="8" t="str">
        <f aca="false">TEXT(A4026,"MM-YYYY")</f>
        <v>10-2025</v>
      </c>
      <c r="G4026" s="8" t="s">
        <v>14</v>
      </c>
      <c r="H4026" s="8" t="s">
        <v>232</v>
      </c>
      <c r="I4026" s="7" t="n">
        <v>45932</v>
      </c>
      <c r="J4026" s="8" t="str">
        <f aca="false">VLOOKUP(B4026, Table3[#All], 2, FALSE())</f>
        <v>Maintance</v>
      </c>
      <c r="K4026" s="8" t="str">
        <f aca="false">TEXT(ROW(), "0000")</f>
        <v>4026</v>
      </c>
      <c r="L4026" s="8"/>
    </row>
    <row r="4027" customFormat="false" ht="15.75" hidden="false" customHeight="true" outlineLevel="0" collapsed="false">
      <c r="A4027" s="7" t="n">
        <v>45933</v>
      </c>
      <c r="B4027" s="8" t="s">
        <v>47</v>
      </c>
      <c r="C4027" s="9" t="n">
        <v>1800</v>
      </c>
      <c r="D4027" s="8" t="s">
        <v>13</v>
      </c>
      <c r="E4027" s="10" t="s">
        <v>484</v>
      </c>
      <c r="F4027" s="8" t="str">
        <f aca="false">TEXT(A4027,"MM-YYYY")</f>
        <v>10-2025</v>
      </c>
      <c r="G4027" s="8" t="s">
        <v>18</v>
      </c>
      <c r="H4027" s="8"/>
      <c r="I4027" s="7"/>
      <c r="J4027" s="8" t="str">
        <f aca="false">VLOOKUP(B4027, Table3[#All], 2, FALSE())</f>
        <v>Inventory</v>
      </c>
      <c r="K4027" s="8" t="str">
        <f aca="false">TEXT(ROW(), "0000")</f>
        <v>4027</v>
      </c>
      <c r="L4027" s="8"/>
    </row>
    <row r="4028" customFormat="false" ht="15.75" hidden="false" customHeight="true" outlineLevel="0" collapsed="false">
      <c r="A4028" s="7" t="n">
        <v>45933</v>
      </c>
      <c r="B4028" s="8" t="s">
        <v>32</v>
      </c>
      <c r="C4028" s="9" t="n">
        <v>150</v>
      </c>
      <c r="D4028" s="8" t="s">
        <v>21</v>
      </c>
      <c r="E4028" s="10" t="s">
        <v>450</v>
      </c>
      <c r="F4028" s="8" t="str">
        <f aca="false">TEXT(A4028,"MM-YYYY")</f>
        <v>10-2025</v>
      </c>
      <c r="G4028" s="8" t="s">
        <v>14</v>
      </c>
      <c r="H4028" s="8" t="s">
        <v>15</v>
      </c>
      <c r="I4028" s="7" t="n">
        <v>45933</v>
      </c>
      <c r="J4028" s="8" t="str">
        <f aca="false">VLOOKUP(B4028, Table3[#All], 2, FALSE())</f>
        <v>Grocery</v>
      </c>
      <c r="K4028" s="8" t="str">
        <f aca="false">TEXT(ROW(), "0000")</f>
        <v>4028</v>
      </c>
      <c r="L4028" s="8"/>
    </row>
    <row r="4029" customFormat="false" ht="15.75" hidden="false" customHeight="true" outlineLevel="0" collapsed="false">
      <c r="A4029" s="7" t="n">
        <v>45933</v>
      </c>
      <c r="B4029" s="8" t="s">
        <v>22</v>
      </c>
      <c r="C4029" s="9" t="n">
        <v>165</v>
      </c>
      <c r="D4029" s="8" t="s">
        <v>21</v>
      </c>
      <c r="E4029" s="10" t="s">
        <v>479</v>
      </c>
      <c r="F4029" s="8" t="str">
        <f aca="false">TEXT(A4029,"MM-YYYY")</f>
        <v>10-2025</v>
      </c>
      <c r="G4029" s="8" t="s">
        <v>14</v>
      </c>
      <c r="H4029" s="8" t="s">
        <v>15</v>
      </c>
      <c r="I4029" s="7" t="n">
        <v>45933</v>
      </c>
      <c r="J4029" s="8" t="str">
        <f aca="false">VLOOKUP(B4029, Table3[#All], 2, FALSE())</f>
        <v>Inventory</v>
      </c>
      <c r="K4029" s="8" t="str">
        <f aca="false">TEXT(ROW(), "0000")</f>
        <v>4029</v>
      </c>
      <c r="L4029" s="8"/>
    </row>
    <row r="4030" customFormat="false" ht="15.75" hidden="false" customHeight="true" outlineLevel="0" collapsed="false">
      <c r="A4030" s="7" t="n">
        <v>45933</v>
      </c>
      <c r="B4030" s="8" t="s">
        <v>25</v>
      </c>
      <c r="C4030" s="9" t="n">
        <v>1513</v>
      </c>
      <c r="D4030" s="8" t="s">
        <v>13</v>
      </c>
      <c r="E4030" s="10" t="s">
        <v>92</v>
      </c>
      <c r="F4030" s="8" t="str">
        <f aca="false">TEXT(A4030,"MM-YYYY")</f>
        <v>10-2025</v>
      </c>
      <c r="G4030" s="8" t="s">
        <v>18</v>
      </c>
      <c r="H4030" s="8"/>
      <c r="I4030" s="7"/>
      <c r="J4030" s="8" t="str">
        <f aca="false">VLOOKUP(B4030, Table3[#All], 2, FALSE())</f>
        <v>Inventory</v>
      </c>
      <c r="K4030" s="8" t="str">
        <f aca="false">TEXT(ROW(), "0000")</f>
        <v>4030</v>
      </c>
      <c r="L4030" s="8"/>
    </row>
    <row r="4031" customFormat="false" ht="15.75" hidden="false" customHeight="true" outlineLevel="0" collapsed="false">
      <c r="A4031" s="7" t="n">
        <v>45933</v>
      </c>
      <c r="B4031" s="8" t="s">
        <v>29</v>
      </c>
      <c r="C4031" s="9" t="n">
        <v>420</v>
      </c>
      <c r="D4031" s="8" t="s">
        <v>45</v>
      </c>
      <c r="E4031" s="10" t="s">
        <v>78</v>
      </c>
      <c r="F4031" s="8" t="str">
        <f aca="false">TEXT(A4031,"MM-YYYY")</f>
        <v>10-2025</v>
      </c>
      <c r="G4031" s="8" t="s">
        <v>14</v>
      </c>
      <c r="H4031" s="8" t="s">
        <v>232</v>
      </c>
      <c r="I4031" s="7" t="n">
        <v>45933</v>
      </c>
      <c r="J4031" s="8" t="str">
        <f aca="false">VLOOKUP(B4031, Table3[#All], 2, FALSE())</f>
        <v>Inventory</v>
      </c>
      <c r="K4031" s="8" t="str">
        <f aca="false">TEXT(ROW(), "0000")</f>
        <v>4031</v>
      </c>
      <c r="L4031" s="8"/>
    </row>
    <row r="4032" customFormat="false" ht="15.75" hidden="false" customHeight="true" outlineLevel="0" collapsed="false">
      <c r="A4032" s="7" t="n">
        <v>45933</v>
      </c>
      <c r="B4032" s="8" t="s">
        <v>60</v>
      </c>
      <c r="C4032" s="9" t="n">
        <v>210</v>
      </c>
      <c r="D4032" s="8" t="s">
        <v>21</v>
      </c>
      <c r="E4032" s="10" t="s">
        <v>136</v>
      </c>
      <c r="F4032" s="8" t="str">
        <f aca="false">TEXT(A4032,"MM-YYYY")</f>
        <v>10-2025</v>
      </c>
      <c r="G4032" s="8" t="s">
        <v>14</v>
      </c>
      <c r="H4032" s="8" t="s">
        <v>15</v>
      </c>
      <c r="I4032" s="7" t="n">
        <v>45933</v>
      </c>
      <c r="J4032" s="8" t="str">
        <f aca="false">VLOOKUP(B4032, Table3[#All], 2, FALSE())</f>
        <v>Inventory</v>
      </c>
      <c r="K4032" s="8" t="str">
        <f aca="false">TEXT(ROW(), "0000")</f>
        <v>4032</v>
      </c>
      <c r="L4032" s="8"/>
    </row>
    <row r="4033" customFormat="false" ht="15.75" hidden="false" customHeight="true" outlineLevel="0" collapsed="false">
      <c r="A4033" s="7" t="n">
        <v>45933</v>
      </c>
      <c r="B4033" s="8" t="s">
        <v>197</v>
      </c>
      <c r="C4033" s="9" t="n">
        <v>800</v>
      </c>
      <c r="D4033" s="8" t="s">
        <v>21</v>
      </c>
      <c r="E4033" s="10" t="s">
        <v>564</v>
      </c>
      <c r="F4033" s="8" t="str">
        <f aca="false">TEXT(A4033,"MM-YYYY")</f>
        <v>10-2025</v>
      </c>
      <c r="G4033" s="8" t="s">
        <v>14</v>
      </c>
      <c r="H4033" s="8" t="s">
        <v>15</v>
      </c>
      <c r="I4033" s="7" t="s">
        <v>565</v>
      </c>
      <c r="J4033" s="8" t="str">
        <f aca="false">VLOOKUP(B4033, Table3[#All], 2, FALSE())</f>
        <v>Maintenance</v>
      </c>
      <c r="K4033" s="8" t="str">
        <f aca="false">TEXT(ROW(), "0000")</f>
        <v>4033</v>
      </c>
      <c r="L4033" s="8"/>
    </row>
    <row r="4034" customFormat="false" ht="15.75" hidden="false" customHeight="true" outlineLevel="0" collapsed="false">
      <c r="A4034" s="7" t="n">
        <v>45933</v>
      </c>
      <c r="B4034" s="8" t="s">
        <v>35</v>
      </c>
      <c r="C4034" s="9" t="n">
        <v>6220</v>
      </c>
      <c r="D4034" s="8" t="s">
        <v>13</v>
      </c>
      <c r="E4034" s="10" t="s">
        <v>566</v>
      </c>
      <c r="F4034" s="8" t="str">
        <f aca="false">TEXT(A4034,"MM-YYYY")</f>
        <v>10-2025</v>
      </c>
      <c r="G4034" s="8" t="s">
        <v>14</v>
      </c>
      <c r="H4034" s="8" t="s">
        <v>262</v>
      </c>
      <c r="I4034" s="7" t="n">
        <v>45933</v>
      </c>
      <c r="J4034" s="8" t="str">
        <f aca="false">VLOOKUP(B4034, Table3[#All], 2, FALSE())</f>
        <v>Inventory</v>
      </c>
      <c r="K4034" s="8" t="str">
        <f aca="false">TEXT(ROW(), "0000")</f>
        <v>4034</v>
      </c>
      <c r="L4034" s="8"/>
    </row>
    <row r="4035" customFormat="false" ht="15.75" hidden="false" customHeight="true" outlineLevel="0" collapsed="false">
      <c r="A4035" s="7" t="n">
        <v>45933</v>
      </c>
      <c r="B4035" s="8" t="s">
        <v>40</v>
      </c>
      <c r="C4035" s="9" t="n">
        <v>2160</v>
      </c>
      <c r="D4035" s="8" t="s">
        <v>13</v>
      </c>
      <c r="E4035" s="10" t="s">
        <v>40</v>
      </c>
      <c r="F4035" s="8" t="str">
        <f aca="false">TEXT(A4035,"MM-YYYY")</f>
        <v>10-2025</v>
      </c>
      <c r="G4035" s="8" t="s">
        <v>14</v>
      </c>
      <c r="H4035" s="8" t="s">
        <v>262</v>
      </c>
      <c r="I4035" s="7" t="n">
        <v>45933</v>
      </c>
      <c r="J4035" s="8" t="str">
        <f aca="false">VLOOKUP(B4035, Table3[#All], 2, FALSE())</f>
        <v>Inventory</v>
      </c>
      <c r="K4035" s="8" t="str">
        <f aca="false">TEXT(ROW(), "0000")</f>
        <v>4035</v>
      </c>
      <c r="L4035" s="8"/>
    </row>
    <row r="4036" customFormat="false" ht="15.75" hidden="false" customHeight="true" outlineLevel="0" collapsed="false">
      <c r="A4036" s="7" t="n">
        <v>45933</v>
      </c>
      <c r="B4036" s="8" t="s">
        <v>36</v>
      </c>
      <c r="C4036" s="9" t="n">
        <v>2650</v>
      </c>
      <c r="D4036" s="8" t="s">
        <v>13</v>
      </c>
      <c r="E4036" s="10" t="s">
        <v>562</v>
      </c>
      <c r="F4036" s="8" t="str">
        <f aca="false">TEXT(A4036,"MM-YYYY")</f>
        <v>10-2025</v>
      </c>
      <c r="G4036" s="8" t="s">
        <v>14</v>
      </c>
      <c r="H4036" s="8" t="s">
        <v>262</v>
      </c>
      <c r="I4036" s="7" t="n">
        <v>45933</v>
      </c>
      <c r="J4036" s="8" t="str">
        <f aca="false">VLOOKUP(B4036, Table3[#All], 2, FALSE())</f>
        <v>Maintance</v>
      </c>
      <c r="K4036" s="8" t="str">
        <f aca="false">TEXT(ROW(), "0000")</f>
        <v>4036</v>
      </c>
      <c r="L4036" s="8"/>
    </row>
    <row r="4037" customFormat="false" ht="15.75" hidden="false" customHeight="true" outlineLevel="0" collapsed="false">
      <c r="A4037" s="7" t="n">
        <v>45933</v>
      </c>
      <c r="B4037" s="8" t="s">
        <v>56</v>
      </c>
      <c r="C4037" s="9" t="n">
        <v>950</v>
      </c>
      <c r="D4037" s="8" t="s">
        <v>13</v>
      </c>
      <c r="E4037" s="10" t="s">
        <v>567</v>
      </c>
      <c r="F4037" s="8" t="str">
        <f aca="false">TEXT(A4037,"MM-YYYY")</f>
        <v>10-2025</v>
      </c>
      <c r="G4037" s="8" t="s">
        <v>14</v>
      </c>
      <c r="H4037" s="8" t="s">
        <v>262</v>
      </c>
      <c r="I4037" s="7" t="n">
        <v>45933</v>
      </c>
      <c r="J4037" s="8" t="str">
        <f aca="false">VLOOKUP(B4037, Table3[#All], 2, FALSE())</f>
        <v>New Inventory</v>
      </c>
      <c r="K4037" s="8" t="str">
        <f aca="false">TEXT(ROW(), "0000")</f>
        <v>4037</v>
      </c>
      <c r="L4037" s="8"/>
    </row>
    <row r="4038" customFormat="false" ht="15.75" hidden="false" customHeight="true" outlineLevel="0" collapsed="false">
      <c r="A4038" s="7" t="n">
        <v>45933</v>
      </c>
      <c r="B4038" s="8" t="s">
        <v>29</v>
      </c>
      <c r="C4038" s="9" t="n">
        <v>673</v>
      </c>
      <c r="D4038" s="8" t="s">
        <v>13</v>
      </c>
      <c r="E4038" s="10" t="s">
        <v>490</v>
      </c>
      <c r="F4038" s="8" t="str">
        <f aca="false">TEXT(A4038,"MM-YYYY")</f>
        <v>10-2025</v>
      </c>
      <c r="G4038" s="8" t="s">
        <v>18</v>
      </c>
      <c r="H4038" s="8"/>
      <c r="I4038" s="7"/>
      <c r="J4038" s="8" t="str">
        <f aca="false">VLOOKUP(B4038, Table3[#All], 2, FALSE())</f>
        <v>Inventory</v>
      </c>
      <c r="K4038" s="8" t="str">
        <f aca="false">TEXT(ROW(), "0000")</f>
        <v>4038</v>
      </c>
      <c r="L4038" s="8"/>
    </row>
    <row r="4039" customFormat="false" ht="15.75" hidden="false" customHeight="true" outlineLevel="0" collapsed="false">
      <c r="A4039" s="7" t="n">
        <v>45932</v>
      </c>
      <c r="B4039" s="8" t="s">
        <v>29</v>
      </c>
      <c r="C4039" s="9" t="n">
        <v>464</v>
      </c>
      <c r="D4039" s="8" t="s">
        <v>13</v>
      </c>
      <c r="E4039" s="10" t="s">
        <v>490</v>
      </c>
      <c r="F4039" s="8" t="str">
        <f aca="false">TEXT(A4039,"MM-YYYY")</f>
        <v>10-2025</v>
      </c>
      <c r="G4039" s="8" t="s">
        <v>18</v>
      </c>
      <c r="H4039" s="8"/>
      <c r="I4039" s="7"/>
      <c r="J4039" s="8" t="str">
        <f aca="false">VLOOKUP(B4039, Table3[#All], 2, FALSE())</f>
        <v>Inventory</v>
      </c>
      <c r="K4039" s="8" t="str">
        <f aca="false">TEXT(ROW(), "0000")</f>
        <v>4039</v>
      </c>
      <c r="L4039" s="8"/>
    </row>
    <row r="4040" customFormat="false" ht="15.75" hidden="false" customHeight="true" outlineLevel="0" collapsed="false">
      <c r="A4040" s="7" t="n">
        <v>45933</v>
      </c>
      <c r="B4040" s="8" t="s">
        <v>69</v>
      </c>
      <c r="C4040" s="9" t="n">
        <v>1500</v>
      </c>
      <c r="D4040" s="8" t="s">
        <v>13</v>
      </c>
      <c r="E4040" s="10" t="s">
        <v>282</v>
      </c>
      <c r="F4040" s="8" t="str">
        <f aca="false">TEXT(A4040,"MM-YYYY")</f>
        <v>10-2025</v>
      </c>
      <c r="G4040" s="8" t="s">
        <v>14</v>
      </c>
      <c r="H4040" s="8" t="s">
        <v>262</v>
      </c>
      <c r="I4040" s="7" t="n">
        <v>45933</v>
      </c>
      <c r="J4040" s="8" t="str">
        <f aca="false">VLOOKUP(B4040, Table3[#All], 2, FALSE())</f>
        <v>Fixed Maintance</v>
      </c>
      <c r="K4040" s="8" t="str">
        <f aca="false">TEXT(ROW(), "0000")</f>
        <v>4040</v>
      </c>
      <c r="L4040" s="8"/>
    </row>
    <row r="4041" customFormat="false" ht="15.75" hidden="false" customHeight="true" outlineLevel="0" collapsed="false">
      <c r="A4041" s="7" t="n">
        <v>45933</v>
      </c>
      <c r="B4041" s="8" t="s">
        <v>25</v>
      </c>
      <c r="C4041" s="9" t="n">
        <v>160</v>
      </c>
      <c r="D4041" s="8" t="s">
        <v>45</v>
      </c>
      <c r="E4041" s="10" t="s">
        <v>568</v>
      </c>
      <c r="F4041" s="8" t="str">
        <f aca="false">TEXT(A4041,"MM-YYYY")</f>
        <v>10-2025</v>
      </c>
      <c r="G4041" s="8" t="s">
        <v>14</v>
      </c>
      <c r="H4041" s="8" t="s">
        <v>232</v>
      </c>
      <c r="I4041" s="7" t="n">
        <v>45933</v>
      </c>
      <c r="J4041" s="8" t="str">
        <f aca="false">VLOOKUP(B4041, Table3[#All], 2, FALSE())</f>
        <v>Inventory</v>
      </c>
      <c r="K4041" s="8" t="str">
        <f aca="false">TEXT(ROW(), "0000")</f>
        <v>4041</v>
      </c>
      <c r="L4041" s="8"/>
    </row>
    <row r="4042" customFormat="false" ht="15.75" hidden="false" customHeight="true" outlineLevel="0" collapsed="false">
      <c r="A4042" s="7" t="n">
        <v>45933</v>
      </c>
      <c r="B4042" s="8" t="s">
        <v>31</v>
      </c>
      <c r="C4042" s="9" t="n">
        <v>300</v>
      </c>
      <c r="D4042" s="8" t="s">
        <v>45</v>
      </c>
      <c r="E4042" s="10" t="s">
        <v>539</v>
      </c>
      <c r="F4042" s="8" t="str">
        <f aca="false">TEXT(A4042,"MM-YYYY")</f>
        <v>10-2025</v>
      </c>
      <c r="G4042" s="8" t="s">
        <v>14</v>
      </c>
      <c r="H4042" s="8" t="s">
        <v>232</v>
      </c>
      <c r="I4042" s="7" t="n">
        <v>45933</v>
      </c>
      <c r="J4042" s="8" t="str">
        <f aca="false">VLOOKUP(B4042, Table3[#All], 2, FALSE())</f>
        <v>Bike Maintance</v>
      </c>
      <c r="K4042" s="8" t="str">
        <f aca="false">TEXT(ROW(), "0000")</f>
        <v>4042</v>
      </c>
      <c r="L4042" s="8"/>
    </row>
    <row r="4043" customFormat="false" ht="15.75" hidden="false" customHeight="true" outlineLevel="0" collapsed="false">
      <c r="A4043" s="7" t="n">
        <v>45933</v>
      </c>
      <c r="B4043" s="8" t="s">
        <v>25</v>
      </c>
      <c r="C4043" s="9" t="n">
        <v>550</v>
      </c>
      <c r="D4043" s="8" t="s">
        <v>45</v>
      </c>
      <c r="E4043" s="10" t="s">
        <v>557</v>
      </c>
      <c r="F4043" s="8" t="str">
        <f aca="false">TEXT(A4043,"MM-YYYY")</f>
        <v>10-2025</v>
      </c>
      <c r="G4043" s="8" t="s">
        <v>14</v>
      </c>
      <c r="H4043" s="8" t="s">
        <v>232</v>
      </c>
      <c r="I4043" s="7" t="n">
        <v>45933</v>
      </c>
      <c r="J4043" s="8" t="str">
        <f aca="false">VLOOKUP(B4043, Table3[#All], 2, FALSE())</f>
        <v>Inventory</v>
      </c>
      <c r="K4043" s="8" t="str">
        <f aca="false">TEXT(ROW(), "0000")</f>
        <v>4043</v>
      </c>
      <c r="L4043" s="8"/>
    </row>
    <row r="4044" customFormat="false" ht="15.75" hidden="false" customHeight="true" outlineLevel="0" collapsed="false">
      <c r="A4044" s="7" t="n">
        <v>45933</v>
      </c>
      <c r="B4044" s="8" t="s">
        <v>50</v>
      </c>
      <c r="C4044" s="9" t="n">
        <v>1609</v>
      </c>
      <c r="D4044" s="8" t="s">
        <v>13</v>
      </c>
      <c r="E4044" s="10" t="s">
        <v>263</v>
      </c>
      <c r="F4044" s="8" t="str">
        <f aca="false">TEXT(A4044,"MM-YYYY")</f>
        <v>10-2025</v>
      </c>
      <c r="G4044" s="8" t="s">
        <v>18</v>
      </c>
      <c r="H4044" s="8"/>
      <c r="I4044" s="7"/>
      <c r="J4044" s="8" t="str">
        <f aca="false">VLOOKUP(B4044, Table3[#All], 2, FALSE())</f>
        <v>Fixed Maintance</v>
      </c>
      <c r="K4044" s="8" t="str">
        <f aca="false">TEXT(ROW(), "0000")</f>
        <v>4044</v>
      </c>
      <c r="L4044" s="8"/>
    </row>
    <row r="4045" customFormat="false" ht="15.75" hidden="false" customHeight="true" outlineLevel="0" collapsed="false">
      <c r="A4045" s="7" t="n">
        <v>45933</v>
      </c>
      <c r="B4045" s="8" t="s">
        <v>19</v>
      </c>
      <c r="C4045" s="9" t="n">
        <v>3609</v>
      </c>
      <c r="D4045" s="8" t="s">
        <v>13</v>
      </c>
      <c r="E4045" s="10" t="s">
        <v>473</v>
      </c>
      <c r="F4045" s="8" t="str">
        <f aca="false">TEXT(A4045,"MM-YYYY")</f>
        <v>10-2025</v>
      </c>
      <c r="G4045" s="8" t="s">
        <v>14</v>
      </c>
      <c r="H4045" s="8"/>
      <c r="I4045" s="7"/>
      <c r="J4045" s="8" t="str">
        <f aca="false">VLOOKUP(B4045, Table3[#All], 2, FALSE())</f>
        <v>Inventory</v>
      </c>
      <c r="K4045" s="8" t="str">
        <f aca="false">TEXT(ROW(), "0000")</f>
        <v>4045</v>
      </c>
      <c r="L4045" s="8"/>
    </row>
    <row r="4046" customFormat="false" ht="15.75" hidden="false" customHeight="true" outlineLevel="0" collapsed="false">
      <c r="A4046" s="7" t="n">
        <v>45933</v>
      </c>
      <c r="B4046" s="8" t="s">
        <v>16</v>
      </c>
      <c r="C4046" s="9" t="n">
        <v>1485</v>
      </c>
      <c r="D4046" s="8" t="s">
        <v>21</v>
      </c>
      <c r="E4046" s="10" t="s">
        <v>88</v>
      </c>
      <c r="F4046" s="8" t="str">
        <f aca="false">TEXT(A4046,"MM-YYYY")</f>
        <v>10-2025</v>
      </c>
      <c r="G4046" s="8"/>
      <c r="H4046" s="8"/>
      <c r="I4046" s="7"/>
      <c r="J4046" s="8" t="str">
        <f aca="false">VLOOKUP(B4046, Table3[#All], 2, FALSE())</f>
        <v>Sales</v>
      </c>
      <c r="K4046" s="8" t="str">
        <f aca="false">TEXT(ROW(), "0000")</f>
        <v>4046</v>
      </c>
      <c r="L4046" s="8"/>
    </row>
    <row r="4047" customFormat="false" ht="15.75" hidden="false" customHeight="true" outlineLevel="0" collapsed="false">
      <c r="A4047" s="7" t="n">
        <v>45933</v>
      </c>
      <c r="B4047" s="8" t="s">
        <v>16</v>
      </c>
      <c r="C4047" s="9" t="n">
        <v>250</v>
      </c>
      <c r="D4047" s="8" t="s">
        <v>27</v>
      </c>
      <c r="E4047" s="10" t="s">
        <v>88</v>
      </c>
      <c r="F4047" s="8" t="str">
        <f aca="false">TEXT(A4047,"MM-YYYY")</f>
        <v>10-2025</v>
      </c>
      <c r="G4047" s="8"/>
      <c r="H4047" s="8"/>
      <c r="I4047" s="7"/>
      <c r="J4047" s="8" t="str">
        <f aca="false">VLOOKUP(B4047, Table3[#All], 2, FALSE())</f>
        <v>Sales</v>
      </c>
      <c r="K4047" s="8" t="str">
        <f aca="false">TEXT(ROW(), "0000")</f>
        <v>4047</v>
      </c>
      <c r="L4047" s="8"/>
    </row>
    <row r="4048" customFormat="false" ht="15.75" hidden="false" customHeight="true" outlineLevel="0" collapsed="false">
      <c r="A4048" s="7" t="n">
        <v>45933</v>
      </c>
      <c r="B4048" s="8" t="s">
        <v>16</v>
      </c>
      <c r="C4048" s="9" t="n">
        <v>1280</v>
      </c>
      <c r="D4048" s="8" t="s">
        <v>70</v>
      </c>
      <c r="E4048" s="10" t="s">
        <v>88</v>
      </c>
      <c r="F4048" s="8" t="str">
        <f aca="false">TEXT(A4048,"MM-YYYY")</f>
        <v>10-2025</v>
      </c>
      <c r="G4048" s="8"/>
      <c r="H4048" s="8"/>
      <c r="I4048" s="7"/>
      <c r="J4048" s="8" t="str">
        <f aca="false">VLOOKUP(B4048, Table3[#All], 2, FALSE())</f>
        <v>Sales</v>
      </c>
      <c r="K4048" s="8" t="str">
        <f aca="false">TEXT(ROW(), "0000")</f>
        <v>4048</v>
      </c>
      <c r="L4048" s="8"/>
    </row>
    <row r="4049" customFormat="false" ht="15.75" hidden="false" customHeight="true" outlineLevel="0" collapsed="false">
      <c r="A4049" s="7" t="n">
        <v>45933</v>
      </c>
      <c r="B4049" s="8" t="s">
        <v>16</v>
      </c>
      <c r="C4049" s="9" t="n">
        <v>2924</v>
      </c>
      <c r="D4049" s="8" t="s">
        <v>33</v>
      </c>
      <c r="E4049" s="10" t="s">
        <v>88</v>
      </c>
      <c r="F4049" s="8" t="str">
        <f aca="false">TEXT(A4049,"MM-YYYY")</f>
        <v>10-2025</v>
      </c>
      <c r="G4049" s="8"/>
      <c r="H4049" s="8"/>
      <c r="I4049" s="7"/>
      <c r="J4049" s="8" t="str">
        <f aca="false">VLOOKUP(B4049, Table3[#All], 2, FALSE())</f>
        <v>Sales</v>
      </c>
      <c r="K4049" s="8" t="str">
        <f aca="false">TEXT(ROW(), "0000")</f>
        <v>4049</v>
      </c>
      <c r="L4049" s="8"/>
    </row>
    <row r="4050" customFormat="false" ht="15.75" hidden="false" customHeight="true" outlineLevel="0" collapsed="false">
      <c r="A4050" s="7" t="n">
        <v>45933</v>
      </c>
      <c r="B4050" s="8" t="s">
        <v>16</v>
      </c>
      <c r="C4050" s="9" t="n">
        <v>17494</v>
      </c>
      <c r="D4050" s="8" t="s">
        <v>17</v>
      </c>
      <c r="E4050" s="10" t="s">
        <v>88</v>
      </c>
      <c r="F4050" s="8" t="str">
        <f aca="false">TEXT(A4050,"MM-YYYY")</f>
        <v>10-2025</v>
      </c>
      <c r="G4050" s="8"/>
      <c r="H4050" s="8"/>
      <c r="I4050" s="7"/>
      <c r="J4050" s="8" t="str">
        <f aca="false">VLOOKUP(B4050, Table3[#All], 2, FALSE())</f>
        <v>Sales</v>
      </c>
      <c r="K4050" s="8" t="str">
        <f aca="false">TEXT(ROW(), "0000")</f>
        <v>4050</v>
      </c>
      <c r="L4050" s="8"/>
    </row>
    <row r="4051" customFormat="false" ht="15.75" hidden="false" customHeight="true" outlineLevel="0" collapsed="false">
      <c r="A4051" s="7" t="n">
        <v>45933</v>
      </c>
      <c r="B4051" s="8" t="s">
        <v>16</v>
      </c>
      <c r="C4051" s="9" t="n">
        <v>640</v>
      </c>
      <c r="D4051" s="8" t="s">
        <v>59</v>
      </c>
      <c r="E4051" s="10" t="s">
        <v>88</v>
      </c>
      <c r="F4051" s="8" t="str">
        <f aca="false">TEXT(A4051,"MM-YYYY")</f>
        <v>10-2025</v>
      </c>
      <c r="G4051" s="8"/>
      <c r="H4051" s="8"/>
      <c r="I4051" s="7"/>
      <c r="J4051" s="8" t="str">
        <f aca="false">VLOOKUP(B4051, Table3[#All], 2, FALSE())</f>
        <v>Sales</v>
      </c>
      <c r="K4051" s="8" t="str">
        <f aca="false">TEXT(ROW(), "0000")</f>
        <v>4051</v>
      </c>
      <c r="L4051" s="8"/>
    </row>
    <row r="4052" customFormat="false" ht="15.75" hidden="false" customHeight="true" outlineLevel="0" collapsed="false">
      <c r="A4052" s="7" t="n">
        <v>45933</v>
      </c>
      <c r="B4052" s="8" t="s">
        <v>16</v>
      </c>
      <c r="C4052" s="9" t="n">
        <v>1810</v>
      </c>
      <c r="D4052" s="8" t="s">
        <v>24</v>
      </c>
      <c r="E4052" s="10" t="s">
        <v>88</v>
      </c>
      <c r="F4052" s="8" t="str">
        <f aca="false">TEXT(A4052,"MM-YYYY")</f>
        <v>10-2025</v>
      </c>
      <c r="G4052" s="8"/>
      <c r="H4052" s="8"/>
      <c r="I4052" s="7"/>
      <c r="J4052" s="8" t="str">
        <f aca="false">VLOOKUP(B4052, Table3[#All], 2, FALSE())</f>
        <v>Sales</v>
      </c>
      <c r="K4052" s="8" t="str">
        <f aca="false">TEXT(ROW(), "0000")</f>
        <v>4052</v>
      </c>
      <c r="L4052" s="8"/>
    </row>
    <row r="4053" customFormat="false" ht="15.75" hidden="false" customHeight="true" outlineLevel="0" collapsed="false">
      <c r="A4053" s="7" t="n">
        <v>45933</v>
      </c>
      <c r="B4053" s="8" t="s">
        <v>154</v>
      </c>
      <c r="C4053" s="9" t="n">
        <v>300</v>
      </c>
      <c r="D4053" s="8" t="s">
        <v>45</v>
      </c>
      <c r="E4053" s="10" t="s">
        <v>545</v>
      </c>
      <c r="F4053" s="8" t="str">
        <f aca="false">TEXT(A4053,"MM-YYYY")</f>
        <v>10-2025</v>
      </c>
      <c r="G4053" s="8" t="s">
        <v>14</v>
      </c>
      <c r="H4053" s="8" t="s">
        <v>232</v>
      </c>
      <c r="I4053" s="7" t="n">
        <v>45933</v>
      </c>
      <c r="J4053" s="8" t="str">
        <f aca="false">VLOOKUP(B4053, Table3[#All], 2, FALSE())</f>
        <v>Staff Expenses</v>
      </c>
      <c r="K4053" s="8" t="str">
        <f aca="false">TEXT(ROW(), "0000")</f>
        <v>4053</v>
      </c>
      <c r="L4053" s="8"/>
    </row>
    <row r="4054" customFormat="false" ht="15.75" hidden="false" customHeight="true" outlineLevel="0" collapsed="false">
      <c r="A4054" s="7" t="n">
        <v>45933</v>
      </c>
      <c r="B4054" s="8" t="s">
        <v>29</v>
      </c>
      <c r="C4054" s="9" t="n">
        <v>300</v>
      </c>
      <c r="D4054" s="8" t="s">
        <v>45</v>
      </c>
      <c r="E4054" s="10" t="s">
        <v>488</v>
      </c>
      <c r="F4054" s="8" t="str">
        <f aca="false">TEXT(A4054,"MM-YYYY")</f>
        <v>10-2025</v>
      </c>
      <c r="G4054" s="8" t="s">
        <v>14</v>
      </c>
      <c r="H4054" s="8" t="s">
        <v>232</v>
      </c>
      <c r="I4054" s="7" t="n">
        <v>45933</v>
      </c>
      <c r="J4054" s="8" t="str">
        <f aca="false">VLOOKUP(B4054, Table3[#All], 2, FALSE())</f>
        <v>Inventory</v>
      </c>
      <c r="K4054" s="8" t="str">
        <f aca="false">TEXT(ROW(), "0000")</f>
        <v>4054</v>
      </c>
      <c r="L4054" s="8"/>
    </row>
    <row r="4055" customFormat="false" ht="15.75" hidden="false" customHeight="true" outlineLevel="0" collapsed="false">
      <c r="A4055" s="7" t="n">
        <v>45933</v>
      </c>
      <c r="B4055" s="8" t="s">
        <v>37</v>
      </c>
      <c r="C4055" s="9" t="n">
        <v>30</v>
      </c>
      <c r="D4055" s="8" t="s">
        <v>21</v>
      </c>
      <c r="E4055" s="10" t="s">
        <v>416</v>
      </c>
      <c r="F4055" s="8" t="str">
        <f aca="false">TEXT(A4055,"MM-YYYY")</f>
        <v>10-2025</v>
      </c>
      <c r="G4055" s="8" t="s">
        <v>14</v>
      </c>
      <c r="H4055" s="8" t="s">
        <v>15</v>
      </c>
      <c r="I4055" s="7" t="n">
        <v>45933</v>
      </c>
      <c r="J4055" s="8" t="str">
        <f aca="false">VLOOKUP(B4055, Table3[#All], 2, FALSE())</f>
        <v>Maintance</v>
      </c>
      <c r="K4055" s="8" t="str">
        <f aca="false">TEXT(ROW(), "0000")</f>
        <v>4055</v>
      </c>
      <c r="L4055" s="8"/>
    </row>
    <row r="4056" customFormat="false" ht="15.75" hidden="false" customHeight="true" outlineLevel="0" collapsed="false">
      <c r="A4056" s="7" t="n">
        <v>45934</v>
      </c>
      <c r="B4056" s="8" t="s">
        <v>25</v>
      </c>
      <c r="C4056" s="9" t="n">
        <v>935</v>
      </c>
      <c r="D4056" s="8" t="s">
        <v>13</v>
      </c>
      <c r="E4056" s="10" t="s">
        <v>92</v>
      </c>
      <c r="F4056" s="8" t="str">
        <f aca="false">TEXT(A4056,"MM-YYYY")</f>
        <v>10-2025</v>
      </c>
      <c r="G4056" s="8" t="s">
        <v>18</v>
      </c>
      <c r="H4056" s="8"/>
      <c r="I4056" s="7"/>
      <c r="J4056" s="8" t="str">
        <f aca="false">VLOOKUP(B4056, Table3[#All], 2, FALSE())</f>
        <v>Inventory</v>
      </c>
      <c r="K4056" s="8" t="str">
        <f aca="false">TEXT(ROW(), "0000")</f>
        <v>4056</v>
      </c>
      <c r="L4056" s="8"/>
    </row>
    <row r="4057" customFormat="false" ht="15.75" hidden="false" customHeight="true" outlineLevel="0" collapsed="false">
      <c r="A4057" s="7" t="n">
        <v>45934</v>
      </c>
      <c r="B4057" s="8" t="s">
        <v>19</v>
      </c>
      <c r="C4057" s="9" t="n">
        <v>6053</v>
      </c>
      <c r="D4057" s="8" t="s">
        <v>13</v>
      </c>
      <c r="E4057" s="10" t="s">
        <v>473</v>
      </c>
      <c r="F4057" s="8" t="str">
        <f aca="false">TEXT(A4057,"MM-YYYY")</f>
        <v>10-2025</v>
      </c>
      <c r="G4057" s="8" t="s">
        <v>14</v>
      </c>
      <c r="H4057" s="8"/>
      <c r="I4057" s="7"/>
      <c r="J4057" s="8" t="str">
        <f aca="false">VLOOKUP(B4057, Table3[#All], 2, FALSE())</f>
        <v>Inventory</v>
      </c>
      <c r="K4057" s="8" t="str">
        <f aca="false">TEXT(ROW(), "0000")</f>
        <v>4057</v>
      </c>
      <c r="L4057" s="8"/>
    </row>
    <row r="4058" customFormat="false" ht="15.75" hidden="false" customHeight="true" outlineLevel="0" collapsed="false">
      <c r="A4058" s="7" t="n">
        <v>45934</v>
      </c>
      <c r="B4058" s="8" t="s">
        <v>43</v>
      </c>
      <c r="C4058" s="9" t="n">
        <v>1000</v>
      </c>
      <c r="D4058" s="8" t="s">
        <v>13</v>
      </c>
      <c r="E4058" s="10" t="s">
        <v>569</v>
      </c>
      <c r="F4058" s="8" t="str">
        <f aca="false">TEXT(A4058,"MM-YYYY")</f>
        <v>10-2025</v>
      </c>
      <c r="G4058" s="8" t="s">
        <v>14</v>
      </c>
      <c r="H4058" s="8" t="s">
        <v>13</v>
      </c>
      <c r="I4058" s="7" t="n">
        <v>45934</v>
      </c>
      <c r="J4058" s="8" t="str">
        <f aca="false">VLOOKUP(B4058, Table3[#All], 2, FALSE())</f>
        <v>Maintance</v>
      </c>
      <c r="K4058" s="8" t="str">
        <f aca="false">TEXT(ROW(), "0000")</f>
        <v>4058</v>
      </c>
      <c r="L4058" s="8"/>
    </row>
    <row r="4059" customFormat="false" ht="15.75" hidden="false" customHeight="true" outlineLevel="0" collapsed="false">
      <c r="A4059" s="7" t="n">
        <v>45934</v>
      </c>
      <c r="B4059" s="8" t="s">
        <v>32</v>
      </c>
      <c r="C4059" s="9" t="n">
        <v>100</v>
      </c>
      <c r="D4059" s="8" t="s">
        <v>21</v>
      </c>
      <c r="E4059" s="10" t="s">
        <v>450</v>
      </c>
      <c r="F4059" s="8" t="str">
        <f aca="false">TEXT(A4059,"MM-YYYY")</f>
        <v>10-2025</v>
      </c>
      <c r="G4059" s="8" t="s">
        <v>14</v>
      </c>
      <c r="H4059" s="8"/>
      <c r="I4059" s="7"/>
      <c r="J4059" s="8" t="str">
        <f aca="false">VLOOKUP(B4059, Table3[#All], 2, FALSE())</f>
        <v>Grocery</v>
      </c>
      <c r="K4059" s="8" t="str">
        <f aca="false">TEXT(ROW(), "0000")</f>
        <v>4059</v>
      </c>
      <c r="L4059" s="8"/>
    </row>
    <row r="4060" customFormat="false" ht="15.75" hidden="false" customHeight="true" outlineLevel="0" collapsed="false">
      <c r="A4060" s="7" t="n">
        <v>45934</v>
      </c>
      <c r="B4060" s="8" t="s">
        <v>37</v>
      </c>
      <c r="C4060" s="9" t="n">
        <v>20</v>
      </c>
      <c r="D4060" s="8" t="s">
        <v>21</v>
      </c>
      <c r="E4060" s="10" t="s">
        <v>416</v>
      </c>
      <c r="F4060" s="8" t="str">
        <f aca="false">TEXT(A4060,"MM-YYYY")</f>
        <v>10-2025</v>
      </c>
      <c r="G4060" s="8" t="s">
        <v>14</v>
      </c>
      <c r="H4060" s="8" t="s">
        <v>15</v>
      </c>
      <c r="I4060" s="7" t="n">
        <v>45934</v>
      </c>
      <c r="J4060" s="8" t="str">
        <f aca="false">VLOOKUP(B4060, Table3[#All], 2, FALSE())</f>
        <v>Maintance</v>
      </c>
      <c r="K4060" s="8" t="str">
        <f aca="false">TEXT(ROW(), "0000")</f>
        <v>4060</v>
      </c>
      <c r="L4060" s="8"/>
    </row>
    <row r="4061" customFormat="false" ht="15.75" hidden="false" customHeight="true" outlineLevel="0" collapsed="false">
      <c r="A4061" s="7" t="n">
        <v>45934</v>
      </c>
      <c r="B4061" s="8" t="s">
        <v>51</v>
      </c>
      <c r="C4061" s="9" t="n">
        <v>100</v>
      </c>
      <c r="D4061" s="8" t="s">
        <v>45</v>
      </c>
      <c r="E4061" s="10" t="s">
        <v>570</v>
      </c>
      <c r="F4061" s="8" t="str">
        <f aca="false">TEXT(A4061,"MM-YYYY")</f>
        <v>10-2025</v>
      </c>
      <c r="G4061" s="8" t="s">
        <v>14</v>
      </c>
      <c r="H4061" s="8" t="s">
        <v>232</v>
      </c>
      <c r="I4061" s="7" t="n">
        <v>45934</v>
      </c>
      <c r="J4061" s="8" t="str">
        <f aca="false">VLOOKUP(B4061, Table3[#All], 2, FALSE())</f>
        <v>Inventory</v>
      </c>
      <c r="K4061" s="8" t="str">
        <f aca="false">TEXT(ROW(), "0000")</f>
        <v>4061</v>
      </c>
      <c r="L4061" s="8"/>
    </row>
    <row r="4062" customFormat="false" ht="15.75" hidden="false" customHeight="true" outlineLevel="0" collapsed="false">
      <c r="A4062" s="7" t="n">
        <v>45934</v>
      </c>
      <c r="B4062" s="8" t="s">
        <v>43</v>
      </c>
      <c r="C4062" s="9" t="n">
        <v>450</v>
      </c>
      <c r="D4062" s="8" t="s">
        <v>21</v>
      </c>
      <c r="E4062" s="10" t="s">
        <v>368</v>
      </c>
      <c r="F4062" s="8" t="str">
        <f aca="false">TEXT(A4062,"MM-YYYY")</f>
        <v>10-2025</v>
      </c>
      <c r="G4062" s="8" t="s">
        <v>14</v>
      </c>
      <c r="H4062" s="8" t="s">
        <v>232</v>
      </c>
      <c r="I4062" s="7" t="n">
        <v>45934</v>
      </c>
      <c r="J4062" s="8" t="str">
        <f aca="false">VLOOKUP(B4062, Table3[#All], 2, FALSE())</f>
        <v>Maintance</v>
      </c>
      <c r="K4062" s="8" t="str">
        <f aca="false">TEXT(ROW(), "0000")</f>
        <v>4062</v>
      </c>
      <c r="L4062" s="8"/>
    </row>
    <row r="4063" customFormat="false" ht="15.75" hidden="false" customHeight="true" outlineLevel="0" collapsed="false">
      <c r="A4063" s="7" t="n">
        <v>45934</v>
      </c>
      <c r="B4063" s="8" t="s">
        <v>107</v>
      </c>
      <c r="C4063" s="9" t="n">
        <v>400</v>
      </c>
      <c r="D4063" s="8" t="s">
        <v>21</v>
      </c>
      <c r="E4063" s="10" t="s">
        <v>571</v>
      </c>
      <c r="F4063" s="8" t="str">
        <f aca="false">TEXT(A4063,"MM-YYYY")</f>
        <v>10-2025</v>
      </c>
      <c r="G4063" s="8" t="s">
        <v>14</v>
      </c>
      <c r="H4063" s="8" t="s">
        <v>15</v>
      </c>
      <c r="I4063" s="7" t="n">
        <v>45934</v>
      </c>
      <c r="J4063" s="8" t="str">
        <f aca="false">VLOOKUP(B4063, Table3[#All], 2, FALSE())</f>
        <v>Staff Expenses</v>
      </c>
      <c r="K4063" s="8" t="str">
        <f aca="false">TEXT(ROW(), "0000")</f>
        <v>4063</v>
      </c>
      <c r="L4063" s="8"/>
    </row>
    <row r="4064" customFormat="false" ht="15.75" hidden="false" customHeight="true" outlineLevel="0" collapsed="false">
      <c r="A4064" s="7" t="n">
        <v>45934</v>
      </c>
      <c r="B4064" s="8" t="s">
        <v>29</v>
      </c>
      <c r="C4064" s="9" t="n">
        <v>501</v>
      </c>
      <c r="D4064" s="8" t="s">
        <v>13</v>
      </c>
      <c r="E4064" s="10" t="s">
        <v>490</v>
      </c>
      <c r="F4064" s="8" t="str">
        <f aca="false">TEXT(A4064,"MM-YYYY")</f>
        <v>10-2025</v>
      </c>
      <c r="G4064" s="8" t="s">
        <v>18</v>
      </c>
      <c r="H4064" s="8"/>
      <c r="I4064" s="7"/>
      <c r="J4064" s="8" t="str">
        <f aca="false">VLOOKUP(B4064, Table3[#All], 2, FALSE())</f>
        <v>Inventory</v>
      </c>
      <c r="K4064" s="8" t="str">
        <f aca="false">TEXT(ROW(), "0000")</f>
        <v>4064</v>
      </c>
      <c r="L4064" s="8"/>
    </row>
    <row r="4065" customFormat="false" ht="15.75" hidden="false" customHeight="true" outlineLevel="0" collapsed="false">
      <c r="A4065" s="7" t="n">
        <v>45934</v>
      </c>
      <c r="B4065" s="8" t="s">
        <v>22</v>
      </c>
      <c r="C4065" s="9" t="n">
        <v>2770</v>
      </c>
      <c r="D4065" s="8" t="s">
        <v>13</v>
      </c>
      <c r="E4065" s="10" t="s">
        <v>23</v>
      </c>
      <c r="F4065" s="8" t="str">
        <f aca="false">TEXT(A4065,"MM-YYYY")</f>
        <v>10-2025</v>
      </c>
      <c r="G4065" s="8" t="s">
        <v>18</v>
      </c>
      <c r="H4065" s="8"/>
      <c r="I4065" s="7"/>
      <c r="J4065" s="8" t="str">
        <f aca="false">VLOOKUP(B4065, Table3[#All], 2, FALSE())</f>
        <v>Inventory</v>
      </c>
      <c r="K4065" s="8" t="str">
        <f aca="false">TEXT(ROW(), "0000")</f>
        <v>4065</v>
      </c>
      <c r="L4065" s="8"/>
    </row>
    <row r="4066" customFormat="false" ht="15.75" hidden="false" customHeight="true" outlineLevel="0" collapsed="false">
      <c r="A4066" s="7" t="n">
        <v>45934</v>
      </c>
      <c r="B4066" s="8" t="s">
        <v>16</v>
      </c>
      <c r="C4066" s="9" t="n">
        <v>1820</v>
      </c>
      <c r="D4066" s="8" t="s">
        <v>21</v>
      </c>
      <c r="E4066" s="10" t="s">
        <v>88</v>
      </c>
      <c r="F4066" s="8" t="str">
        <f aca="false">TEXT(A4066,"MM-YYYY")</f>
        <v>10-2025</v>
      </c>
      <c r="G4066" s="8"/>
      <c r="H4066" s="8"/>
      <c r="I4066" s="7"/>
      <c r="J4066" s="8" t="str">
        <f aca="false">VLOOKUP(B4066, Table3[#All], 2, FALSE())</f>
        <v>Sales</v>
      </c>
      <c r="K4066" s="8" t="str">
        <f aca="false">TEXT(ROW(), "0000")</f>
        <v>4066</v>
      </c>
      <c r="L4066" s="8"/>
    </row>
    <row r="4067" customFormat="false" ht="15.75" hidden="false" customHeight="true" outlineLevel="0" collapsed="false">
      <c r="A4067" s="7" t="n">
        <v>45934</v>
      </c>
      <c r="B4067" s="8" t="s">
        <v>16</v>
      </c>
      <c r="C4067" s="9" t="n">
        <v>3030</v>
      </c>
      <c r="D4067" s="8" t="s">
        <v>27</v>
      </c>
      <c r="E4067" s="10" t="s">
        <v>88</v>
      </c>
      <c r="F4067" s="8" t="str">
        <f aca="false">TEXT(A4067,"MM-YYYY")</f>
        <v>10-2025</v>
      </c>
      <c r="G4067" s="8"/>
      <c r="H4067" s="8"/>
      <c r="I4067" s="7"/>
      <c r="J4067" s="8" t="str">
        <f aca="false">VLOOKUP(B4067, Table3[#All], 2, FALSE())</f>
        <v>Sales</v>
      </c>
      <c r="K4067" s="8" t="str">
        <f aca="false">TEXT(ROW(), "0000")</f>
        <v>4067</v>
      </c>
      <c r="L4067" s="8"/>
    </row>
    <row r="4068" customFormat="false" ht="15.75" hidden="false" customHeight="true" outlineLevel="0" collapsed="false">
      <c r="A4068" s="7" t="n">
        <v>45934</v>
      </c>
      <c r="B4068" s="8" t="s">
        <v>16</v>
      </c>
      <c r="C4068" s="9" t="n">
        <v>1670</v>
      </c>
      <c r="D4068" s="8" t="s">
        <v>70</v>
      </c>
      <c r="E4068" s="10" t="s">
        <v>88</v>
      </c>
      <c r="F4068" s="8" t="str">
        <f aca="false">TEXT(A4068,"MM-YYYY")</f>
        <v>10-2025</v>
      </c>
      <c r="G4068" s="8"/>
      <c r="H4068" s="8"/>
      <c r="I4068" s="7"/>
      <c r="J4068" s="8" t="str">
        <f aca="false">VLOOKUP(B4068, Table3[#All], 2, FALSE())</f>
        <v>Sales</v>
      </c>
      <c r="K4068" s="8" t="str">
        <f aca="false">TEXT(ROW(), "0000")</f>
        <v>4068</v>
      </c>
      <c r="L4068" s="8"/>
    </row>
    <row r="4069" customFormat="false" ht="15.75" hidden="false" customHeight="true" outlineLevel="0" collapsed="false">
      <c r="A4069" s="7" t="n">
        <v>45934</v>
      </c>
      <c r="B4069" s="8" t="s">
        <v>16</v>
      </c>
      <c r="C4069" s="9" t="n">
        <v>18734</v>
      </c>
      <c r="D4069" s="8" t="s">
        <v>17</v>
      </c>
      <c r="E4069" s="10" t="s">
        <v>88</v>
      </c>
      <c r="F4069" s="8" t="str">
        <f aca="false">TEXT(A4069,"MM-YYYY")</f>
        <v>10-2025</v>
      </c>
      <c r="G4069" s="8"/>
      <c r="H4069" s="8"/>
      <c r="I4069" s="7"/>
      <c r="J4069" s="8" t="str">
        <f aca="false">VLOOKUP(B4069, Table3[#All], 2, FALSE())</f>
        <v>Sales</v>
      </c>
      <c r="K4069" s="8" t="str">
        <f aca="false">TEXT(ROW(), "0000")</f>
        <v>4069</v>
      </c>
      <c r="L4069" s="8"/>
    </row>
    <row r="4070" customFormat="false" ht="15.75" hidden="false" customHeight="true" outlineLevel="0" collapsed="false">
      <c r="A4070" s="7" t="n">
        <v>45934</v>
      </c>
      <c r="B4070" s="8" t="s">
        <v>16</v>
      </c>
      <c r="C4070" s="9" t="n">
        <v>5257</v>
      </c>
      <c r="D4070" s="8" t="s">
        <v>24</v>
      </c>
      <c r="E4070" s="10" t="s">
        <v>88</v>
      </c>
      <c r="F4070" s="8" t="str">
        <f aca="false">TEXT(A4070,"MM-YYYY")</f>
        <v>10-2025</v>
      </c>
      <c r="G4070" s="8"/>
      <c r="H4070" s="8"/>
      <c r="I4070" s="7"/>
      <c r="J4070" s="8" t="str">
        <f aca="false">VLOOKUP(B4070, Table3[#All], 2, FALSE())</f>
        <v>Sales</v>
      </c>
      <c r="K4070" s="8" t="str">
        <f aca="false">TEXT(ROW(), "0000")</f>
        <v>4070</v>
      </c>
      <c r="L4070" s="8"/>
    </row>
    <row r="4071" customFormat="false" ht="15.75" hidden="false" customHeight="true" outlineLevel="0" collapsed="false">
      <c r="A4071" s="7" t="n">
        <v>45934</v>
      </c>
      <c r="B4071" s="8" t="s">
        <v>34</v>
      </c>
      <c r="C4071" s="9" t="n">
        <v>150</v>
      </c>
      <c r="D4071" s="8" t="s">
        <v>21</v>
      </c>
      <c r="E4071" s="10" t="s">
        <v>545</v>
      </c>
      <c r="F4071" s="8" t="str">
        <f aca="false">TEXT(A4071,"MM-YYYY")</f>
        <v>10-2025</v>
      </c>
      <c r="G4071" s="8" t="s">
        <v>14</v>
      </c>
      <c r="H4071" s="8" t="s">
        <v>15</v>
      </c>
      <c r="I4071" s="7" t="n">
        <v>45935</v>
      </c>
      <c r="J4071" s="8" t="str">
        <f aca="false">VLOOKUP(B4071, Table3[#All], 2, FALSE())</f>
        <v>Staff Expenses</v>
      </c>
      <c r="K4071" s="8" t="str">
        <f aca="false">TEXT(ROW(), "0000")</f>
        <v>4071</v>
      </c>
      <c r="L4071" s="8"/>
    </row>
    <row r="4072" customFormat="false" ht="15.75" hidden="false" customHeight="true" outlineLevel="0" collapsed="false">
      <c r="A4072" s="7" t="n">
        <v>45935</v>
      </c>
      <c r="B4072" s="8" t="s">
        <v>22</v>
      </c>
      <c r="C4072" s="9" t="n">
        <v>29901</v>
      </c>
      <c r="D4072" s="8" t="s">
        <v>13</v>
      </c>
      <c r="E4072" s="10" t="s">
        <v>23</v>
      </c>
      <c r="F4072" s="8" t="str">
        <f aca="false">TEXT(A4072,"MM-YYYY")</f>
        <v>10-2025</v>
      </c>
      <c r="G4072" s="8" t="s">
        <v>18</v>
      </c>
      <c r="H4072" s="8"/>
      <c r="I4072" s="7"/>
      <c r="J4072" s="8" t="str">
        <f aca="false">VLOOKUP(B4072, Table3[#All], 2, FALSE())</f>
        <v>Inventory</v>
      </c>
      <c r="K4072" s="8" t="str">
        <f aca="false">TEXT(ROW(), "0000")</f>
        <v>4072</v>
      </c>
      <c r="L4072" s="8"/>
    </row>
    <row r="4073" customFormat="false" ht="15.75" hidden="false" customHeight="true" outlineLevel="0" collapsed="false">
      <c r="A4073" s="7" t="n">
        <v>45935</v>
      </c>
      <c r="B4073" s="8" t="s">
        <v>32</v>
      </c>
      <c r="C4073" s="9" t="n">
        <v>125</v>
      </c>
      <c r="D4073" s="8" t="s">
        <v>21</v>
      </c>
      <c r="E4073" s="10" t="s">
        <v>450</v>
      </c>
      <c r="F4073" s="8" t="str">
        <f aca="false">TEXT(A4073,"MM-YYYY")</f>
        <v>10-2025</v>
      </c>
      <c r="G4073" s="8" t="s">
        <v>14</v>
      </c>
      <c r="H4073" s="8" t="s">
        <v>15</v>
      </c>
      <c r="I4073" s="7" t="n">
        <v>45935</v>
      </c>
      <c r="J4073" s="8" t="str">
        <f aca="false">VLOOKUP(B4073, Table3[#All], 2, FALSE())</f>
        <v>Grocery</v>
      </c>
      <c r="K4073" s="8" t="str">
        <f aca="false">TEXT(ROW(), "0000")</f>
        <v>4073</v>
      </c>
      <c r="L4073" s="8"/>
    </row>
    <row r="4074" customFormat="false" ht="15.75" hidden="false" customHeight="true" outlineLevel="0" collapsed="false">
      <c r="A4074" s="7" t="n">
        <v>45935</v>
      </c>
      <c r="B4074" s="8" t="s">
        <v>53</v>
      </c>
      <c r="C4074" s="9" t="n">
        <v>950</v>
      </c>
      <c r="D4074" s="8" t="s">
        <v>13</v>
      </c>
      <c r="E4074" s="10" t="s">
        <v>55</v>
      </c>
      <c r="F4074" s="8" t="str">
        <f aca="false">TEXT(A4074,"MM-YYYY")</f>
        <v>10-2025</v>
      </c>
      <c r="G4074" s="8" t="s">
        <v>14</v>
      </c>
      <c r="H4074" s="8" t="s">
        <v>262</v>
      </c>
      <c r="I4074" s="7" t="n">
        <v>45935</v>
      </c>
      <c r="J4074" s="8" t="str">
        <f aca="false">VLOOKUP(B4074, Table3[#All], 2, FALSE())</f>
        <v>Grocery</v>
      </c>
      <c r="K4074" s="8" t="str">
        <f aca="false">TEXT(ROW(), "0000")</f>
        <v>4074</v>
      </c>
      <c r="L4074" s="8"/>
    </row>
    <row r="4075" customFormat="false" ht="15.75" hidden="false" customHeight="true" outlineLevel="0" collapsed="false">
      <c r="A4075" s="7" t="n">
        <v>45935</v>
      </c>
      <c r="B4075" s="8" t="s">
        <v>22</v>
      </c>
      <c r="C4075" s="9" t="n">
        <v>55</v>
      </c>
      <c r="D4075" s="8" t="s">
        <v>21</v>
      </c>
      <c r="E4075" s="10" t="s">
        <v>479</v>
      </c>
      <c r="F4075" s="8" t="str">
        <f aca="false">TEXT(A4075,"MM-YYYY")</f>
        <v>10-2025</v>
      </c>
      <c r="G4075" s="8" t="s">
        <v>14</v>
      </c>
      <c r="H4075" s="8" t="s">
        <v>15</v>
      </c>
      <c r="I4075" s="7" t="n">
        <v>45935</v>
      </c>
      <c r="J4075" s="8" t="str">
        <f aca="false">VLOOKUP(B4075, Table3[#All], 2, FALSE())</f>
        <v>Inventory</v>
      </c>
      <c r="K4075" s="8" t="str">
        <f aca="false">TEXT(ROW(), "0000")</f>
        <v>4075</v>
      </c>
      <c r="L4075" s="8"/>
    </row>
    <row r="4076" customFormat="false" ht="15.75" hidden="false" customHeight="true" outlineLevel="0" collapsed="false">
      <c r="A4076" s="7" t="n">
        <v>45935</v>
      </c>
      <c r="B4076" s="8" t="s">
        <v>19</v>
      </c>
      <c r="C4076" s="9" t="n">
        <v>4213</v>
      </c>
      <c r="D4076" s="8" t="s">
        <v>13</v>
      </c>
      <c r="E4076" s="10" t="s">
        <v>473</v>
      </c>
      <c r="F4076" s="8" t="str">
        <f aca="false">TEXT(A4076,"MM-YYYY")</f>
        <v>10-2025</v>
      </c>
      <c r="G4076" s="8" t="s">
        <v>14</v>
      </c>
      <c r="H4076" s="8"/>
      <c r="I4076" s="7"/>
      <c r="J4076" s="8" t="str">
        <f aca="false">VLOOKUP(B4076, Table3[#All], 2, FALSE())</f>
        <v>Inventory</v>
      </c>
      <c r="K4076" s="8" t="str">
        <f aca="false">TEXT(ROW(), "0000")</f>
        <v>4076</v>
      </c>
      <c r="L4076" s="8"/>
    </row>
    <row r="4077" customFormat="false" ht="15.75" hidden="false" customHeight="true" outlineLevel="0" collapsed="false">
      <c r="A4077" s="7" t="n">
        <v>45935</v>
      </c>
      <c r="B4077" s="8" t="s">
        <v>25</v>
      </c>
      <c r="C4077" s="9" t="n">
        <v>1355</v>
      </c>
      <c r="D4077" s="8" t="s">
        <v>13</v>
      </c>
      <c r="E4077" s="10" t="s">
        <v>92</v>
      </c>
      <c r="F4077" s="8" t="str">
        <f aca="false">TEXT(A4077,"MM-YYYY")</f>
        <v>10-2025</v>
      </c>
      <c r="G4077" s="8" t="s">
        <v>18</v>
      </c>
      <c r="H4077" s="8"/>
      <c r="I4077" s="7"/>
      <c r="J4077" s="8" t="str">
        <f aca="false">VLOOKUP(B4077, Table3[#All], 2, FALSE())</f>
        <v>Inventory</v>
      </c>
      <c r="K4077" s="8" t="str">
        <f aca="false">TEXT(ROW(), "0000")</f>
        <v>4077</v>
      </c>
      <c r="L4077" s="8"/>
    </row>
    <row r="4078" customFormat="false" ht="15.75" hidden="false" customHeight="true" outlineLevel="0" collapsed="false">
      <c r="A4078" s="7" t="n">
        <v>45935</v>
      </c>
      <c r="B4078" s="8" t="s">
        <v>43</v>
      </c>
      <c r="C4078" s="9" t="n">
        <v>200</v>
      </c>
      <c r="D4078" s="8" t="s">
        <v>45</v>
      </c>
      <c r="E4078" s="10" t="s">
        <v>225</v>
      </c>
      <c r="F4078" s="8" t="str">
        <f aca="false">TEXT(A4078,"MM-YYYY")</f>
        <v>10-2025</v>
      </c>
      <c r="G4078" s="8" t="s">
        <v>14</v>
      </c>
      <c r="H4078" s="8" t="s">
        <v>232</v>
      </c>
      <c r="I4078" s="7" t="n">
        <v>45935</v>
      </c>
      <c r="J4078" s="8" t="str">
        <f aca="false">VLOOKUP(B4078, Table3[#All], 2, FALSE())</f>
        <v>Maintance</v>
      </c>
      <c r="K4078" s="8" t="str">
        <f aca="false">TEXT(ROW(), "0000")</f>
        <v>4078</v>
      </c>
      <c r="L4078" s="8"/>
    </row>
    <row r="4079" customFormat="false" ht="15.75" hidden="false" customHeight="true" outlineLevel="0" collapsed="false">
      <c r="A4079" s="7" t="n">
        <v>45935</v>
      </c>
      <c r="B4079" s="8" t="s">
        <v>40</v>
      </c>
      <c r="C4079" s="9" t="n">
        <v>2340</v>
      </c>
      <c r="D4079" s="8" t="s">
        <v>13</v>
      </c>
      <c r="E4079" s="10" t="s">
        <v>46</v>
      </c>
      <c r="F4079" s="8" t="str">
        <f aca="false">TEXT(A4079,"MM-YYYY")</f>
        <v>10-2025</v>
      </c>
      <c r="G4079" s="8" t="s">
        <v>14</v>
      </c>
      <c r="H4079" s="8" t="s">
        <v>262</v>
      </c>
      <c r="I4079" s="7" t="n">
        <v>45935</v>
      </c>
      <c r="J4079" s="8" t="str">
        <f aca="false">VLOOKUP(B4079, Table3[#All], 2, FALSE())</f>
        <v>Inventory</v>
      </c>
      <c r="K4079" s="8" t="str">
        <f aca="false">TEXT(ROW(), "0000")</f>
        <v>4079</v>
      </c>
      <c r="L4079" s="8"/>
    </row>
    <row r="4080" customFormat="false" ht="15.75" hidden="false" customHeight="true" outlineLevel="0" collapsed="false">
      <c r="A4080" s="7" t="n">
        <v>45935</v>
      </c>
      <c r="B4080" s="8" t="s">
        <v>29</v>
      </c>
      <c r="C4080" s="9" t="n">
        <v>706</v>
      </c>
      <c r="D4080" s="8" t="s">
        <v>13</v>
      </c>
      <c r="E4080" s="10" t="s">
        <v>490</v>
      </c>
      <c r="F4080" s="8" t="str">
        <f aca="false">TEXT(A4080,"MM-YYYY")</f>
        <v>10-2025</v>
      </c>
      <c r="G4080" s="8" t="s">
        <v>18</v>
      </c>
      <c r="H4080" s="8"/>
      <c r="I4080" s="7"/>
      <c r="J4080" s="8" t="str">
        <f aca="false">VLOOKUP(B4080, Table3[#All], 2, FALSE())</f>
        <v>Inventory</v>
      </c>
      <c r="K4080" s="8" t="str">
        <f aca="false">TEXT(ROW(), "0000")</f>
        <v>4080</v>
      </c>
      <c r="L4080" s="8"/>
    </row>
    <row r="4081" customFormat="false" ht="15.75" hidden="false" customHeight="true" outlineLevel="0" collapsed="false">
      <c r="A4081" s="7" t="n">
        <v>45935</v>
      </c>
      <c r="B4081" s="8" t="s">
        <v>50</v>
      </c>
      <c r="C4081" s="9" t="n">
        <v>1609</v>
      </c>
      <c r="D4081" s="8" t="s">
        <v>13</v>
      </c>
      <c r="E4081" s="10" t="s">
        <v>263</v>
      </c>
      <c r="F4081" s="8" t="str">
        <f aca="false">TEXT(A4081,"MM-YYYY")</f>
        <v>10-2025</v>
      </c>
      <c r="G4081" s="8" t="s">
        <v>18</v>
      </c>
      <c r="H4081" s="8"/>
      <c r="I4081" s="7"/>
      <c r="J4081" s="8" t="str">
        <f aca="false">VLOOKUP(B4081, Table3[#All], 2, FALSE())</f>
        <v>Fixed Maintance</v>
      </c>
      <c r="K4081" s="8" t="str">
        <f aca="false">TEXT(ROW(), "0000")</f>
        <v>4081</v>
      </c>
      <c r="L4081" s="8"/>
    </row>
    <row r="4082" customFormat="false" ht="15.75" hidden="false" customHeight="true" outlineLevel="0" collapsed="false">
      <c r="A4082" s="7" t="n">
        <v>45935</v>
      </c>
      <c r="B4082" s="8" t="s">
        <v>25</v>
      </c>
      <c r="C4082" s="9" t="n">
        <v>210</v>
      </c>
      <c r="D4082" s="8" t="s">
        <v>21</v>
      </c>
      <c r="E4082" s="10" t="s">
        <v>554</v>
      </c>
      <c r="F4082" s="8" t="str">
        <f aca="false">TEXT(A4082,"MM-YYYY")</f>
        <v>10-2025</v>
      </c>
      <c r="G4082" s="8" t="s">
        <v>14</v>
      </c>
      <c r="H4082" s="8" t="s">
        <v>15</v>
      </c>
      <c r="I4082" s="7" t="n">
        <v>45935</v>
      </c>
      <c r="J4082" s="8" t="str">
        <f aca="false">VLOOKUP(B4082, Table3[#All], 2, FALSE())</f>
        <v>Inventory</v>
      </c>
      <c r="K4082" s="8" t="str">
        <f aca="false">TEXT(ROW(), "0000")</f>
        <v>4082</v>
      </c>
      <c r="L4082" s="8"/>
    </row>
    <row r="4083" customFormat="false" ht="15.75" hidden="false" customHeight="true" outlineLevel="0" collapsed="false">
      <c r="A4083" s="7" t="n">
        <v>45935</v>
      </c>
      <c r="B4083" s="8" t="s">
        <v>44</v>
      </c>
      <c r="C4083" s="9" t="n">
        <v>500</v>
      </c>
      <c r="D4083" s="8" t="s">
        <v>21</v>
      </c>
      <c r="E4083" s="10" t="s">
        <v>377</v>
      </c>
      <c r="F4083" s="8" t="str">
        <f aca="false">TEXT(A4083,"MM-YYYY")</f>
        <v>10-2025</v>
      </c>
      <c r="G4083" s="8" t="s">
        <v>14</v>
      </c>
      <c r="H4083" s="8" t="s">
        <v>15</v>
      </c>
      <c r="I4083" s="7" t="n">
        <v>45935</v>
      </c>
      <c r="J4083" s="8" t="str">
        <f aca="false">VLOOKUP(B4083, Table3[#All], 2, FALSE())</f>
        <v>Salary</v>
      </c>
      <c r="K4083" s="8" t="str">
        <f aca="false">TEXT(ROW(), "0000")</f>
        <v>4083</v>
      </c>
      <c r="L4083" s="8"/>
    </row>
    <row r="4084" customFormat="false" ht="15.75" hidden="false" customHeight="true" outlineLevel="0" collapsed="false">
      <c r="A4084" s="7" t="n">
        <v>45935</v>
      </c>
      <c r="B4084" s="8" t="s">
        <v>44</v>
      </c>
      <c r="C4084" s="9" t="n">
        <v>500</v>
      </c>
      <c r="D4084" s="8" t="s">
        <v>21</v>
      </c>
      <c r="E4084" s="10" t="s">
        <v>75</v>
      </c>
      <c r="F4084" s="8" t="str">
        <f aca="false">TEXT(A4084,"MM-YYYY")</f>
        <v>10-2025</v>
      </c>
      <c r="G4084" s="8" t="s">
        <v>14</v>
      </c>
      <c r="H4084" s="8" t="s">
        <v>15</v>
      </c>
      <c r="I4084" s="7" t="n">
        <v>45935</v>
      </c>
      <c r="J4084" s="8" t="str">
        <f aca="false">VLOOKUP(B4084, Table3[#All], 2, FALSE())</f>
        <v>Salary</v>
      </c>
      <c r="K4084" s="8" t="str">
        <f aca="false">TEXT(ROW(), "0000")</f>
        <v>4084</v>
      </c>
      <c r="L4084" s="8"/>
    </row>
    <row r="4085" customFormat="false" ht="15.75" hidden="false" customHeight="true" outlineLevel="0" collapsed="false">
      <c r="A4085" s="7" t="n">
        <v>45935</v>
      </c>
      <c r="B4085" s="8" t="s">
        <v>44</v>
      </c>
      <c r="C4085" s="9" t="n">
        <v>2240</v>
      </c>
      <c r="D4085" s="8" t="s">
        <v>13</v>
      </c>
      <c r="E4085" s="10" t="s">
        <v>572</v>
      </c>
      <c r="F4085" s="8" t="str">
        <f aca="false">TEXT(A4085,"MM-YYYY")</f>
        <v>10-2025</v>
      </c>
      <c r="G4085" s="8" t="s">
        <v>14</v>
      </c>
      <c r="H4085" s="8" t="s">
        <v>262</v>
      </c>
      <c r="I4085" s="7" t="n">
        <v>45935</v>
      </c>
      <c r="J4085" s="8" t="str">
        <f aca="false">VLOOKUP(B4085, Table3[#All], 2, FALSE())</f>
        <v>Salary</v>
      </c>
      <c r="K4085" s="8" t="str">
        <f aca="false">TEXT(ROW(), "0000")</f>
        <v>4085</v>
      </c>
      <c r="L4085" s="8"/>
    </row>
    <row r="4086" customFormat="false" ht="15.75" hidden="false" customHeight="true" outlineLevel="0" collapsed="false">
      <c r="A4086" s="7" t="n">
        <v>45935</v>
      </c>
      <c r="B4086" s="8" t="s">
        <v>28</v>
      </c>
      <c r="C4086" s="9" t="n">
        <v>480</v>
      </c>
      <c r="D4086" s="8" t="s">
        <v>21</v>
      </c>
      <c r="E4086" s="10" t="s">
        <v>93</v>
      </c>
      <c r="F4086" s="8" t="str">
        <f aca="false">TEXT(A4086,"MM-YYYY")</f>
        <v>10-2025</v>
      </c>
      <c r="G4086" s="8" t="s">
        <v>14</v>
      </c>
      <c r="H4086" s="8" t="s">
        <v>15</v>
      </c>
      <c r="I4086" s="7" t="n">
        <v>45935</v>
      </c>
      <c r="J4086" s="8" t="str">
        <f aca="false">VLOOKUP(B4086, Table3[#All], 2, FALSE())</f>
        <v>Grocery</v>
      </c>
      <c r="K4086" s="8" t="str">
        <f aca="false">TEXT(ROW(), "0000")</f>
        <v>4086</v>
      </c>
      <c r="L4086" s="8"/>
    </row>
    <row r="4087" customFormat="false" ht="15.75" hidden="false" customHeight="true" outlineLevel="0" collapsed="false">
      <c r="A4087" s="7" t="n">
        <v>45935</v>
      </c>
      <c r="B4087" s="8" t="s">
        <v>16</v>
      </c>
      <c r="C4087" s="9" t="n">
        <v>5655</v>
      </c>
      <c r="D4087" s="8" t="s">
        <v>21</v>
      </c>
      <c r="E4087" s="10" t="s">
        <v>88</v>
      </c>
      <c r="F4087" s="8" t="str">
        <f aca="false">TEXT(A4087,"MM-YYYY")</f>
        <v>10-2025</v>
      </c>
      <c r="G4087" s="8"/>
      <c r="H4087" s="8"/>
      <c r="I4087" s="7"/>
      <c r="J4087" s="8" t="str">
        <f aca="false">VLOOKUP(B4087, Table3[#All], 2, FALSE())</f>
        <v>Sales</v>
      </c>
      <c r="K4087" s="8" t="str">
        <f aca="false">TEXT(ROW(), "0000")</f>
        <v>4087</v>
      </c>
      <c r="L4087" s="8"/>
    </row>
    <row r="4088" customFormat="false" ht="15.75" hidden="false" customHeight="true" outlineLevel="0" collapsed="false">
      <c r="A4088" s="7" t="n">
        <v>45935</v>
      </c>
      <c r="B4088" s="8" t="s">
        <v>16</v>
      </c>
      <c r="C4088" s="9" t="n">
        <v>2739</v>
      </c>
      <c r="D4088" s="8" t="s">
        <v>33</v>
      </c>
      <c r="E4088" s="10" t="s">
        <v>88</v>
      </c>
      <c r="F4088" s="8" t="str">
        <f aca="false">TEXT(A4088,"MM-YYYY")</f>
        <v>10-2025</v>
      </c>
      <c r="G4088" s="8"/>
      <c r="H4088" s="8"/>
      <c r="I4088" s="7"/>
      <c r="J4088" s="8" t="str">
        <f aca="false">VLOOKUP(B4088, Table3[#All], 2, FALSE())</f>
        <v>Sales</v>
      </c>
      <c r="K4088" s="8" t="str">
        <f aca="false">TEXT(ROW(), "0000")</f>
        <v>4088</v>
      </c>
      <c r="L4088" s="8"/>
    </row>
    <row r="4089" customFormat="false" ht="15.75" hidden="false" customHeight="true" outlineLevel="0" collapsed="false">
      <c r="A4089" s="7" t="n">
        <v>45935</v>
      </c>
      <c r="B4089" s="8" t="s">
        <v>16</v>
      </c>
      <c r="C4089" s="9" t="n">
        <v>30381</v>
      </c>
      <c r="D4089" s="8" t="s">
        <v>17</v>
      </c>
      <c r="E4089" s="10" t="s">
        <v>88</v>
      </c>
      <c r="F4089" s="8" t="str">
        <f aca="false">TEXT(A4089,"MM-YYYY")</f>
        <v>10-2025</v>
      </c>
      <c r="G4089" s="8"/>
      <c r="H4089" s="8"/>
      <c r="I4089" s="7"/>
      <c r="J4089" s="8" t="str">
        <f aca="false">VLOOKUP(B4089, Table3[#All], 2, FALSE())</f>
        <v>Sales</v>
      </c>
      <c r="K4089" s="8" t="str">
        <f aca="false">TEXT(ROW(), "0000")</f>
        <v>4089</v>
      </c>
      <c r="L4089" s="8"/>
    </row>
    <row r="4090" customFormat="false" ht="15.75" hidden="false" customHeight="true" outlineLevel="0" collapsed="false">
      <c r="A4090" s="7" t="n">
        <v>45935</v>
      </c>
      <c r="B4090" s="8" t="s">
        <v>16</v>
      </c>
      <c r="C4090" s="9" t="n">
        <v>2180</v>
      </c>
      <c r="D4090" s="8" t="s">
        <v>24</v>
      </c>
      <c r="E4090" s="10" t="s">
        <v>88</v>
      </c>
      <c r="F4090" s="8" t="str">
        <f aca="false">TEXT(A4090,"MM-YYYY")</f>
        <v>10-2025</v>
      </c>
      <c r="G4090" s="8"/>
      <c r="H4090" s="8"/>
      <c r="I4090" s="7"/>
      <c r="J4090" s="8" t="str">
        <f aca="false">VLOOKUP(B4090, Table3[#All], 2, FALSE())</f>
        <v>Sales</v>
      </c>
      <c r="K4090" s="8" t="str">
        <f aca="false">TEXT(ROW(), "0000")</f>
        <v>4090</v>
      </c>
      <c r="L4090" s="8"/>
    </row>
    <row r="4091" customFormat="false" ht="15.75" hidden="false" customHeight="true" outlineLevel="0" collapsed="false">
      <c r="A4091" s="7" t="n">
        <v>45935</v>
      </c>
      <c r="B4091" s="8" t="s">
        <v>43</v>
      </c>
      <c r="C4091" s="9" t="n">
        <v>170</v>
      </c>
      <c r="D4091" s="8" t="s">
        <v>45</v>
      </c>
      <c r="E4091" s="10" t="s">
        <v>562</v>
      </c>
      <c r="F4091" s="8" t="str">
        <f aca="false">TEXT(A4091,"MM-YYYY")</f>
        <v>10-2025</v>
      </c>
      <c r="G4091" s="8" t="s">
        <v>14</v>
      </c>
      <c r="H4091" s="8" t="s">
        <v>15</v>
      </c>
      <c r="I4091" s="7" t="n">
        <v>45935</v>
      </c>
      <c r="J4091" s="8" t="str">
        <f aca="false">VLOOKUP(B4091, Table3[#All], 2, FALSE())</f>
        <v>Maintance</v>
      </c>
      <c r="K4091" s="8" t="str">
        <f aca="false">TEXT(ROW(), "0000")</f>
        <v>4091</v>
      </c>
      <c r="L4091" s="8"/>
    </row>
    <row r="4092" customFormat="false" ht="15.75" hidden="false" customHeight="true" outlineLevel="0" collapsed="false">
      <c r="A4092" s="7" t="n">
        <v>45935</v>
      </c>
      <c r="B4092" s="8" t="s">
        <v>34</v>
      </c>
      <c r="C4092" s="9" t="n">
        <v>165</v>
      </c>
      <c r="D4092" s="8" t="s">
        <v>45</v>
      </c>
      <c r="E4092" s="10" t="s">
        <v>545</v>
      </c>
      <c r="F4092" s="8" t="str">
        <f aca="false">TEXT(A4092,"MM-YYYY")</f>
        <v>10-2025</v>
      </c>
      <c r="G4092" s="8" t="s">
        <v>14</v>
      </c>
      <c r="H4092" s="8" t="s">
        <v>15</v>
      </c>
      <c r="I4092" s="7" t="n">
        <v>45935</v>
      </c>
      <c r="J4092" s="8" t="str">
        <f aca="false">VLOOKUP(B4092, Table3[#All], 2, FALSE())</f>
        <v>Staff Expenses</v>
      </c>
      <c r="K4092" s="8" t="str">
        <f aca="false">TEXT(ROW(), "0000")</f>
        <v>4092</v>
      </c>
      <c r="L4092" s="8"/>
    </row>
    <row r="4093" customFormat="false" ht="15.75" hidden="false" customHeight="true" outlineLevel="0" collapsed="false">
      <c r="A4093" s="7" t="n">
        <v>45935</v>
      </c>
      <c r="B4093" s="8" t="s">
        <v>16</v>
      </c>
      <c r="C4093" s="9" t="n">
        <v>380</v>
      </c>
      <c r="D4093" s="8" t="s">
        <v>27</v>
      </c>
      <c r="E4093" s="10" t="s">
        <v>88</v>
      </c>
      <c r="F4093" s="8" t="str">
        <f aca="false">TEXT(A4093,"MM-YYYY")</f>
        <v>10-2025</v>
      </c>
      <c r="G4093" s="8"/>
      <c r="H4093" s="8"/>
      <c r="I4093" s="7"/>
      <c r="J4093" s="8" t="str">
        <f aca="false">VLOOKUP(B4093, Table3[#All], 2, FALSE())</f>
        <v>Sales</v>
      </c>
      <c r="K4093" s="8" t="str">
        <f aca="false">TEXT(ROW(), "0000")</f>
        <v>4093</v>
      </c>
      <c r="L4093" s="8"/>
    </row>
    <row r="4094" customFormat="false" ht="15.75" hidden="false" customHeight="true" outlineLevel="0" collapsed="false">
      <c r="A4094" s="7" t="n">
        <v>45936</v>
      </c>
      <c r="B4094" s="8" t="s">
        <v>47</v>
      </c>
      <c r="C4094" s="9" t="n">
        <v>900</v>
      </c>
      <c r="D4094" s="8" t="s">
        <v>13</v>
      </c>
      <c r="E4094" s="10" t="s">
        <v>484</v>
      </c>
      <c r="F4094" s="8" t="str">
        <f aca="false">TEXT(A4094,"MM-YYYY")</f>
        <v>10-2025</v>
      </c>
      <c r="G4094" s="8" t="s">
        <v>18</v>
      </c>
      <c r="H4094" s="8"/>
      <c r="I4094" s="7"/>
      <c r="J4094" s="8" t="str">
        <f aca="false">VLOOKUP(B4094, Table3[#All], 2, FALSE())</f>
        <v>Inventory</v>
      </c>
      <c r="K4094" s="8" t="str">
        <f aca="false">TEXT(ROW(), "0000")</f>
        <v>4094</v>
      </c>
      <c r="L4094" s="8"/>
    </row>
    <row r="4095" customFormat="false" ht="15.75" hidden="false" customHeight="true" outlineLevel="0" collapsed="false">
      <c r="A4095" s="7" t="n">
        <v>45936</v>
      </c>
      <c r="B4095" s="8" t="s">
        <v>19</v>
      </c>
      <c r="C4095" s="9" t="n">
        <v>4334</v>
      </c>
      <c r="D4095" s="8" t="s">
        <v>13</v>
      </c>
      <c r="E4095" s="10" t="s">
        <v>473</v>
      </c>
      <c r="F4095" s="8" t="str">
        <f aca="false">TEXT(A4095,"MM-YYYY")</f>
        <v>10-2025</v>
      </c>
      <c r="G4095" s="8" t="s">
        <v>14</v>
      </c>
      <c r="H4095" s="8"/>
      <c r="I4095" s="7"/>
      <c r="J4095" s="8" t="str">
        <f aca="false">VLOOKUP(B4095, Table3[#All], 2, FALSE())</f>
        <v>Inventory</v>
      </c>
      <c r="K4095" s="8" t="str">
        <f aca="false">TEXT(ROW(), "0000")</f>
        <v>4095</v>
      </c>
      <c r="L4095" s="8"/>
    </row>
    <row r="4096" customFormat="false" ht="15.75" hidden="false" customHeight="true" outlineLevel="0" collapsed="false">
      <c r="A4096" s="7" t="n">
        <v>45936</v>
      </c>
      <c r="B4096" s="8" t="s">
        <v>25</v>
      </c>
      <c r="C4096" s="9" t="n">
        <v>1200</v>
      </c>
      <c r="D4096" s="8" t="s">
        <v>13</v>
      </c>
      <c r="E4096" s="10" t="s">
        <v>92</v>
      </c>
      <c r="F4096" s="8" t="str">
        <f aca="false">TEXT(A4096,"MM-YYYY")</f>
        <v>10-2025</v>
      </c>
      <c r="G4096" s="8" t="s">
        <v>18</v>
      </c>
      <c r="H4096" s="8"/>
      <c r="I4096" s="7"/>
      <c r="J4096" s="8" t="str">
        <f aca="false">VLOOKUP(B4096, Table3[#All], 2, FALSE())</f>
        <v>Inventory</v>
      </c>
      <c r="K4096" s="8" t="str">
        <f aca="false">TEXT(ROW(), "0000")</f>
        <v>4096</v>
      </c>
      <c r="L4096" s="8"/>
    </row>
    <row r="4097" customFormat="false" ht="15.75" hidden="false" customHeight="true" outlineLevel="0" collapsed="false">
      <c r="A4097" s="7" t="n">
        <v>45936</v>
      </c>
      <c r="B4097" s="8" t="s">
        <v>32</v>
      </c>
      <c r="C4097" s="9" t="n">
        <v>325</v>
      </c>
      <c r="D4097" s="8" t="s">
        <v>21</v>
      </c>
      <c r="E4097" s="10" t="s">
        <v>450</v>
      </c>
      <c r="F4097" s="8" t="str">
        <f aca="false">TEXT(A4097,"MM-YYYY")</f>
        <v>10-2025</v>
      </c>
      <c r="G4097" s="8" t="s">
        <v>14</v>
      </c>
      <c r="H4097" s="8" t="s">
        <v>15</v>
      </c>
      <c r="I4097" s="7" t="n">
        <v>45936</v>
      </c>
      <c r="J4097" s="8" t="str">
        <f aca="false">VLOOKUP(B4097, Table3[#All], 2, FALSE())</f>
        <v>Grocery</v>
      </c>
      <c r="K4097" s="8" t="str">
        <f aca="false">TEXT(ROW(), "0000")</f>
        <v>4097</v>
      </c>
      <c r="L4097" s="8"/>
    </row>
    <row r="4098" customFormat="false" ht="15.75" hidden="false" customHeight="true" outlineLevel="0" collapsed="false">
      <c r="A4098" s="7" t="n">
        <v>45936</v>
      </c>
      <c r="B4098" s="8" t="s">
        <v>22</v>
      </c>
      <c r="C4098" s="9" t="n">
        <v>55</v>
      </c>
      <c r="D4098" s="8" t="s">
        <v>21</v>
      </c>
      <c r="E4098" s="10" t="s">
        <v>479</v>
      </c>
      <c r="F4098" s="8" t="str">
        <f aca="false">TEXT(A4098,"MM-YYYY")</f>
        <v>10-2025</v>
      </c>
      <c r="G4098" s="8" t="s">
        <v>14</v>
      </c>
      <c r="H4098" s="8" t="s">
        <v>15</v>
      </c>
      <c r="I4098" s="7" t="n">
        <v>45936</v>
      </c>
      <c r="J4098" s="8" t="str">
        <f aca="false">VLOOKUP(B4098, Table3[#All], 2, FALSE())</f>
        <v>Inventory</v>
      </c>
      <c r="K4098" s="8" t="str">
        <f aca="false">TEXT(ROW(), "0000")</f>
        <v>4098</v>
      </c>
      <c r="L4098" s="8"/>
    </row>
    <row r="4099" customFormat="false" ht="15.75" hidden="false" customHeight="true" outlineLevel="0" collapsed="false">
      <c r="A4099" s="7" t="n">
        <v>45936</v>
      </c>
      <c r="B4099" s="8" t="s">
        <v>43</v>
      </c>
      <c r="C4099" s="9" t="n">
        <v>1020</v>
      </c>
      <c r="D4099" s="8" t="s">
        <v>45</v>
      </c>
      <c r="E4099" s="10" t="s">
        <v>562</v>
      </c>
      <c r="F4099" s="8" t="str">
        <f aca="false">TEXT(A4099,"MM-YYYY")</f>
        <v>10-2025</v>
      </c>
      <c r="G4099" s="8" t="s">
        <v>14</v>
      </c>
      <c r="H4099" s="8" t="s">
        <v>232</v>
      </c>
      <c r="I4099" s="7" t="n">
        <v>45936</v>
      </c>
      <c r="J4099" s="8" t="str">
        <f aca="false">VLOOKUP(B4099, Table3[#All], 2, FALSE())</f>
        <v>Maintance</v>
      </c>
      <c r="K4099" s="8" t="str">
        <f aca="false">TEXT(ROW(), "0000")</f>
        <v>4099</v>
      </c>
      <c r="L4099" s="8"/>
    </row>
    <row r="4100" customFormat="false" ht="15.75" hidden="false" customHeight="true" outlineLevel="0" collapsed="false">
      <c r="A4100" s="7" t="n">
        <v>45936</v>
      </c>
      <c r="B4100" s="8" t="s">
        <v>53</v>
      </c>
      <c r="C4100" s="9" t="n">
        <v>950</v>
      </c>
      <c r="D4100" s="8" t="s">
        <v>45</v>
      </c>
      <c r="E4100" s="10" t="s">
        <v>55</v>
      </c>
      <c r="F4100" s="8" t="str">
        <f aca="false">TEXT(A4100,"MM-YYYY")</f>
        <v>10-2025</v>
      </c>
      <c r="G4100" s="8" t="s">
        <v>14</v>
      </c>
      <c r="H4100" s="8" t="s">
        <v>15</v>
      </c>
      <c r="I4100" s="7" t="n">
        <v>45936</v>
      </c>
      <c r="J4100" s="8" t="str">
        <f aca="false">VLOOKUP(B4100, Table3[#All], 2, FALSE())</f>
        <v>Grocery</v>
      </c>
      <c r="K4100" s="8" t="str">
        <f aca="false">TEXT(ROW(), "0000")</f>
        <v>4100</v>
      </c>
      <c r="L4100" s="8"/>
    </row>
    <row r="4101" customFormat="false" ht="15.75" hidden="false" customHeight="true" outlineLevel="0" collapsed="false">
      <c r="A4101" s="7" t="n">
        <v>45936</v>
      </c>
      <c r="B4101" s="8" t="s">
        <v>51</v>
      </c>
      <c r="C4101" s="9" t="n">
        <v>495</v>
      </c>
      <c r="D4101" s="8" t="s">
        <v>13</v>
      </c>
      <c r="E4101" s="10" t="s">
        <v>552</v>
      </c>
      <c r="F4101" s="8" t="str">
        <f aca="false">TEXT(A4101,"MM-YYYY")</f>
        <v>10-2025</v>
      </c>
      <c r="G4101" s="8" t="s">
        <v>14</v>
      </c>
      <c r="H4101" s="8" t="s">
        <v>15</v>
      </c>
      <c r="I4101" s="7" t="n">
        <v>45936</v>
      </c>
      <c r="J4101" s="8" t="str">
        <f aca="false">VLOOKUP(B4101, Table3[#All], 2, FALSE())</f>
        <v>Inventory</v>
      </c>
      <c r="K4101" s="8" t="str">
        <f aca="false">TEXT(ROW(), "0000")</f>
        <v>4101</v>
      </c>
      <c r="L4101" s="8"/>
    </row>
    <row r="4102" customFormat="false" ht="15.75" hidden="false" customHeight="true" outlineLevel="0" collapsed="false">
      <c r="A4102" s="7" t="n">
        <v>45936</v>
      </c>
      <c r="B4102" s="8" t="s">
        <v>25</v>
      </c>
      <c r="C4102" s="9" t="n">
        <v>350</v>
      </c>
      <c r="D4102" s="8" t="s">
        <v>45</v>
      </c>
      <c r="E4102" s="10" t="s">
        <v>272</v>
      </c>
      <c r="F4102" s="8" t="str">
        <f aca="false">TEXT(A4102,"MM-YYYY")</f>
        <v>10-2025</v>
      </c>
      <c r="G4102" s="8" t="s">
        <v>14</v>
      </c>
      <c r="H4102" s="8" t="s">
        <v>232</v>
      </c>
      <c r="I4102" s="7" t="n">
        <v>45936</v>
      </c>
      <c r="J4102" s="8" t="str">
        <f aca="false">VLOOKUP(B4102, Table3[#All], 2, FALSE())</f>
        <v>Inventory</v>
      </c>
      <c r="K4102" s="8" t="str">
        <f aca="false">TEXT(ROW(), "0000")</f>
        <v>4102</v>
      </c>
      <c r="L4102" s="8"/>
    </row>
    <row r="4103" customFormat="false" ht="15.75" hidden="false" customHeight="true" outlineLevel="0" collapsed="false">
      <c r="A4103" s="7" t="n">
        <v>45936</v>
      </c>
      <c r="B4103" s="8" t="s">
        <v>44</v>
      </c>
      <c r="C4103" s="9" t="n">
        <v>6000</v>
      </c>
      <c r="D4103" s="8" t="s">
        <v>13</v>
      </c>
      <c r="E4103" s="10" t="s">
        <v>573</v>
      </c>
      <c r="F4103" s="8" t="str">
        <f aca="false">TEXT(A4103,"MM-YYYY")</f>
        <v>10-2025</v>
      </c>
      <c r="G4103" s="8" t="s">
        <v>14</v>
      </c>
      <c r="H4103" s="8" t="s">
        <v>13</v>
      </c>
      <c r="I4103" s="7" t="n">
        <v>45936</v>
      </c>
      <c r="J4103" s="8" t="str">
        <f aca="false">VLOOKUP(B4103, Table3[#All], 2, FALSE())</f>
        <v>Salary</v>
      </c>
      <c r="K4103" s="8" t="str">
        <f aca="false">TEXT(ROW(), "0000")</f>
        <v>4103</v>
      </c>
      <c r="L4103" s="8"/>
    </row>
    <row r="4104" customFormat="false" ht="15.75" hidden="false" customHeight="true" outlineLevel="0" collapsed="false">
      <c r="A4104" s="7" t="n">
        <v>45936</v>
      </c>
      <c r="B4104" s="8" t="s">
        <v>44</v>
      </c>
      <c r="C4104" s="9" t="n">
        <v>1250</v>
      </c>
      <c r="D4104" s="8" t="s">
        <v>45</v>
      </c>
      <c r="E4104" s="10" t="s">
        <v>338</v>
      </c>
      <c r="F4104" s="8" t="str">
        <f aca="false">TEXT(A4104,"MM-YYYY")</f>
        <v>10-2025</v>
      </c>
      <c r="G4104" s="8" t="s">
        <v>14</v>
      </c>
      <c r="H4104" s="8" t="s">
        <v>232</v>
      </c>
      <c r="I4104" s="7" t="n">
        <v>45936</v>
      </c>
      <c r="J4104" s="8" t="str">
        <f aca="false">VLOOKUP(B4104, Table3[#All], 2, FALSE())</f>
        <v>Salary</v>
      </c>
      <c r="K4104" s="8" t="str">
        <f aca="false">TEXT(ROW(), "0000")</f>
        <v>4104</v>
      </c>
      <c r="L4104" s="8"/>
    </row>
    <row r="4105" customFormat="false" ht="15.75" hidden="false" customHeight="true" outlineLevel="0" collapsed="false">
      <c r="A4105" s="7" t="n">
        <v>45936</v>
      </c>
      <c r="B4105" s="8" t="s">
        <v>44</v>
      </c>
      <c r="C4105" s="9" t="n">
        <v>1000</v>
      </c>
      <c r="D4105" s="8" t="s">
        <v>13</v>
      </c>
      <c r="E4105" s="10" t="s">
        <v>574</v>
      </c>
      <c r="F4105" s="8" t="str">
        <f aca="false">TEXT(A4105,"MM-YYYY")</f>
        <v>10-2025</v>
      </c>
      <c r="G4105" s="8" t="s">
        <v>14</v>
      </c>
      <c r="H4105" s="8" t="s">
        <v>262</v>
      </c>
      <c r="I4105" s="7" t="n">
        <v>45936</v>
      </c>
      <c r="J4105" s="8" t="str">
        <f aca="false">VLOOKUP(B4105, Table3[#All], 2, FALSE())</f>
        <v>Salary</v>
      </c>
      <c r="K4105" s="8" t="str">
        <f aca="false">TEXT(ROW(), "0000")</f>
        <v>4105</v>
      </c>
      <c r="L4105" s="8"/>
    </row>
    <row r="4106" customFormat="false" ht="15.75" hidden="false" customHeight="true" outlineLevel="0" collapsed="false">
      <c r="A4106" s="7" t="n">
        <v>45936</v>
      </c>
      <c r="B4106" s="8" t="s">
        <v>29</v>
      </c>
      <c r="C4106" s="9" t="n">
        <v>709</v>
      </c>
      <c r="D4106" s="8" t="s">
        <v>13</v>
      </c>
      <c r="E4106" s="10" t="s">
        <v>490</v>
      </c>
      <c r="F4106" s="8" t="str">
        <f aca="false">TEXT(A4106,"MM-YYYY")</f>
        <v>10-2025</v>
      </c>
      <c r="G4106" s="8" t="s">
        <v>18</v>
      </c>
      <c r="H4106" s="8"/>
      <c r="I4106" s="7"/>
      <c r="J4106" s="8" t="str">
        <f aca="false">VLOOKUP(B4106, Table3[#All], 2, FALSE())</f>
        <v>Inventory</v>
      </c>
      <c r="K4106" s="8" t="str">
        <f aca="false">TEXT(ROW(), "0000")</f>
        <v>4106</v>
      </c>
      <c r="L4106" s="8"/>
    </row>
    <row r="4107" customFormat="false" ht="15.75" hidden="false" customHeight="true" outlineLevel="0" collapsed="false">
      <c r="A4107" s="7" t="n">
        <v>45936</v>
      </c>
      <c r="B4107" s="8" t="s">
        <v>50</v>
      </c>
      <c r="C4107" s="9" t="n">
        <v>1609</v>
      </c>
      <c r="D4107" s="8" t="s">
        <v>13</v>
      </c>
      <c r="E4107" s="10" t="s">
        <v>263</v>
      </c>
      <c r="F4107" s="8" t="str">
        <f aca="false">TEXT(A4107,"MM-YYYY")</f>
        <v>10-2025</v>
      </c>
      <c r="G4107" s="8" t="s">
        <v>18</v>
      </c>
      <c r="H4107" s="8"/>
      <c r="I4107" s="7"/>
      <c r="J4107" s="8" t="str">
        <f aca="false">VLOOKUP(B4107, Table3[#All], 2, FALSE())</f>
        <v>Fixed Maintance</v>
      </c>
      <c r="K4107" s="8" t="str">
        <f aca="false">TEXT(ROW(), "0000")</f>
        <v>4107</v>
      </c>
      <c r="L4107" s="8"/>
    </row>
    <row r="4108" customFormat="false" ht="15.75" hidden="false" customHeight="true" outlineLevel="0" collapsed="false">
      <c r="A4108" s="7" t="n">
        <v>45936</v>
      </c>
      <c r="B4108" s="8" t="s">
        <v>16</v>
      </c>
      <c r="C4108" s="9" t="n">
        <v>1270</v>
      </c>
      <c r="D4108" s="8" t="s">
        <v>21</v>
      </c>
      <c r="E4108" s="10" t="s">
        <v>88</v>
      </c>
      <c r="F4108" s="8" t="str">
        <f aca="false">TEXT(A4108,"MM-YYYY")</f>
        <v>10-2025</v>
      </c>
      <c r="G4108" s="8"/>
      <c r="H4108" s="8"/>
      <c r="I4108" s="7"/>
      <c r="J4108" s="8" t="str">
        <f aca="false">VLOOKUP(B4108, Table3[#All], 2, FALSE())</f>
        <v>Sales</v>
      </c>
      <c r="K4108" s="8" t="str">
        <f aca="false">TEXT(ROW(), "0000")</f>
        <v>4108</v>
      </c>
      <c r="L4108" s="8"/>
    </row>
    <row r="4109" customFormat="false" ht="15.75" hidden="false" customHeight="true" outlineLevel="0" collapsed="false">
      <c r="A4109" s="7" t="n">
        <v>45936</v>
      </c>
      <c r="B4109" s="8" t="s">
        <v>16</v>
      </c>
      <c r="C4109" s="9" t="n">
        <v>369</v>
      </c>
      <c r="D4109" s="8" t="s">
        <v>33</v>
      </c>
      <c r="E4109" s="10" t="s">
        <v>88</v>
      </c>
      <c r="F4109" s="8" t="str">
        <f aca="false">TEXT(A4109,"MM-YYYY")</f>
        <v>10-2025</v>
      </c>
      <c r="G4109" s="8"/>
      <c r="H4109" s="8"/>
      <c r="I4109" s="7"/>
      <c r="J4109" s="8" t="str">
        <f aca="false">VLOOKUP(B4109, Table3[#All], 2, FALSE())</f>
        <v>Sales</v>
      </c>
      <c r="K4109" s="8" t="str">
        <f aca="false">TEXT(ROW(), "0000")</f>
        <v>4109</v>
      </c>
      <c r="L4109" s="8"/>
    </row>
    <row r="4110" customFormat="false" ht="15.75" hidden="false" customHeight="true" outlineLevel="0" collapsed="false">
      <c r="A4110" s="7" t="n">
        <v>45936</v>
      </c>
      <c r="B4110" s="8" t="s">
        <v>16</v>
      </c>
      <c r="C4110" s="9" t="n">
        <v>13224</v>
      </c>
      <c r="D4110" s="8" t="s">
        <v>17</v>
      </c>
      <c r="E4110" s="10" t="s">
        <v>88</v>
      </c>
      <c r="F4110" s="8" t="str">
        <f aca="false">TEXT(A4110,"MM-YYYY")</f>
        <v>10-2025</v>
      </c>
      <c r="G4110" s="8"/>
      <c r="H4110" s="8"/>
      <c r="I4110" s="7"/>
      <c r="J4110" s="8" t="str">
        <f aca="false">VLOOKUP(B4110, Table3[#All], 2, FALSE())</f>
        <v>Sales</v>
      </c>
      <c r="K4110" s="8" t="str">
        <f aca="false">TEXT(ROW(), "0000")</f>
        <v>4110</v>
      </c>
      <c r="L4110" s="8"/>
    </row>
    <row r="4111" customFormat="false" ht="15.75" hidden="false" customHeight="true" outlineLevel="0" collapsed="false">
      <c r="A4111" s="7" t="n">
        <v>45936</v>
      </c>
      <c r="B4111" s="8" t="s">
        <v>16</v>
      </c>
      <c r="C4111" s="9" t="n">
        <v>710</v>
      </c>
      <c r="D4111" s="8" t="s">
        <v>59</v>
      </c>
      <c r="E4111" s="10" t="s">
        <v>88</v>
      </c>
      <c r="F4111" s="8" t="str">
        <f aca="false">TEXT(A4111,"MM-YYYY")</f>
        <v>10-2025</v>
      </c>
      <c r="G4111" s="8"/>
      <c r="H4111" s="8"/>
      <c r="I4111" s="7"/>
      <c r="J4111" s="8" t="str">
        <f aca="false">VLOOKUP(B4111, Table3[#All], 2, FALSE())</f>
        <v>Sales</v>
      </c>
      <c r="K4111" s="8" t="str">
        <f aca="false">TEXT(ROW(), "0000")</f>
        <v>4111</v>
      </c>
      <c r="L4111" s="8"/>
    </row>
    <row r="4112" customFormat="false" ht="15.75" hidden="false" customHeight="true" outlineLevel="0" collapsed="false">
      <c r="A4112" s="7" t="n">
        <v>45936</v>
      </c>
      <c r="B4112" s="8" t="s">
        <v>16</v>
      </c>
      <c r="C4112" s="9" t="n">
        <v>2332</v>
      </c>
      <c r="D4112" s="8" t="s">
        <v>24</v>
      </c>
      <c r="E4112" s="10" t="s">
        <v>88</v>
      </c>
      <c r="F4112" s="8" t="str">
        <f aca="false">TEXT(A4112,"MM-YYYY")</f>
        <v>10-2025</v>
      </c>
      <c r="G4112" s="8"/>
      <c r="H4112" s="8"/>
      <c r="I4112" s="7"/>
      <c r="J4112" s="8" t="str">
        <f aca="false">VLOOKUP(B4112, Table3[#All], 2, FALSE())</f>
        <v>Sales</v>
      </c>
      <c r="K4112" s="8" t="str">
        <f aca="false">TEXT(ROW(), "0000")</f>
        <v>4112</v>
      </c>
      <c r="L4112" s="8"/>
    </row>
    <row r="4113" customFormat="false" ht="15.75" hidden="false" customHeight="true" outlineLevel="0" collapsed="false">
      <c r="A4113" s="7" t="n">
        <v>45936</v>
      </c>
      <c r="B4113" s="8" t="s">
        <v>34</v>
      </c>
      <c r="C4113" s="9" t="n">
        <v>170</v>
      </c>
      <c r="D4113" s="8" t="s">
        <v>45</v>
      </c>
      <c r="E4113" s="10" t="s">
        <v>545</v>
      </c>
      <c r="F4113" s="8" t="str">
        <f aca="false">TEXT(A4113,"MM-YYYY")</f>
        <v>10-2025</v>
      </c>
      <c r="G4113" s="8" t="s">
        <v>14</v>
      </c>
      <c r="H4113" s="8" t="s">
        <v>232</v>
      </c>
      <c r="I4113" s="7" t="n">
        <v>45936</v>
      </c>
      <c r="J4113" s="8" t="str">
        <f aca="false">VLOOKUP(B4113, Table3[#All], 2, FALSE())</f>
        <v>Staff Expenses</v>
      </c>
      <c r="K4113" s="8" t="str">
        <f aca="false">TEXT(ROW(), "0000")</f>
        <v>4113</v>
      </c>
      <c r="L4113" s="8"/>
    </row>
    <row r="4114" customFormat="false" ht="15.75" hidden="false" customHeight="true" outlineLevel="0" collapsed="false">
      <c r="A4114" s="7" t="n">
        <v>45936</v>
      </c>
      <c r="B4114" s="8" t="s">
        <v>16</v>
      </c>
      <c r="C4114" s="9" t="n">
        <v>680</v>
      </c>
      <c r="D4114" s="8" t="s">
        <v>70</v>
      </c>
      <c r="E4114" s="10" t="s">
        <v>88</v>
      </c>
      <c r="F4114" s="8" t="str">
        <f aca="false">TEXT(A4114,"MM-YYYY")</f>
        <v>10-2025</v>
      </c>
      <c r="G4114" s="8"/>
      <c r="H4114" s="8"/>
      <c r="I4114" s="7"/>
      <c r="J4114" s="8" t="str">
        <f aca="false">VLOOKUP(B4114, Table3[#All], 2, FALSE())</f>
        <v>Sales</v>
      </c>
      <c r="K4114" s="8" t="str">
        <f aca="false">TEXT(ROW(), "0000")</f>
        <v>4114</v>
      </c>
      <c r="L4114" s="8"/>
    </row>
    <row r="4115" customFormat="false" ht="15.75" hidden="false" customHeight="true" outlineLevel="0" collapsed="false">
      <c r="A4115" s="7" t="n">
        <v>45937</v>
      </c>
      <c r="B4115" s="8" t="s">
        <v>19</v>
      </c>
      <c r="C4115" s="9" t="n">
        <v>2905</v>
      </c>
      <c r="D4115" s="8" t="s">
        <v>13</v>
      </c>
      <c r="E4115" s="10" t="s">
        <v>473</v>
      </c>
      <c r="F4115" s="8" t="str">
        <f aca="false">TEXT(A4115,"MM-YYYY")</f>
        <v>10-2025</v>
      </c>
      <c r="G4115" s="8" t="s">
        <v>14</v>
      </c>
      <c r="H4115" s="8"/>
      <c r="I4115" s="7"/>
      <c r="J4115" s="8" t="str">
        <f aca="false">VLOOKUP(B4115, Table3[#All], 2, FALSE())</f>
        <v>Inventory</v>
      </c>
      <c r="K4115" s="8" t="str">
        <f aca="false">TEXT(ROW(), "0000")</f>
        <v>4115</v>
      </c>
      <c r="L4115" s="8"/>
    </row>
    <row r="4116" customFormat="false" ht="15.75" hidden="false" customHeight="true" outlineLevel="0" collapsed="false">
      <c r="A4116" s="7" t="n">
        <v>45937</v>
      </c>
      <c r="B4116" s="8" t="s">
        <v>22</v>
      </c>
      <c r="C4116" s="9" t="n">
        <v>55</v>
      </c>
      <c r="D4116" s="8" t="s">
        <v>21</v>
      </c>
      <c r="E4116" s="10" t="s">
        <v>479</v>
      </c>
      <c r="F4116" s="8" t="str">
        <f aca="false">TEXT(A4116,"MM-YYYY")</f>
        <v>10-2025</v>
      </c>
      <c r="G4116" s="8" t="s">
        <v>14</v>
      </c>
      <c r="H4116" s="8" t="s">
        <v>15</v>
      </c>
      <c r="I4116" s="7" t="n">
        <v>45937</v>
      </c>
      <c r="J4116" s="8" t="str">
        <f aca="false">VLOOKUP(B4116, Table3[#All], 2, FALSE())</f>
        <v>Inventory</v>
      </c>
      <c r="K4116" s="8" t="str">
        <f aca="false">TEXT(ROW(), "0000")</f>
        <v>4116</v>
      </c>
      <c r="L4116" s="8"/>
    </row>
    <row r="4117" customFormat="false" ht="15.75" hidden="false" customHeight="true" outlineLevel="0" collapsed="false">
      <c r="A4117" s="7" t="n">
        <v>45937</v>
      </c>
      <c r="B4117" s="8" t="s">
        <v>199</v>
      </c>
      <c r="C4117" s="9" t="n">
        <v>4641</v>
      </c>
      <c r="D4117" s="8" t="s">
        <v>13</v>
      </c>
      <c r="E4117" s="10" t="s">
        <v>575</v>
      </c>
      <c r="F4117" s="8" t="str">
        <f aca="false">TEXT(A4117,"MM-YYYY")</f>
        <v>10-2025</v>
      </c>
      <c r="G4117" s="8" t="s">
        <v>14</v>
      </c>
      <c r="H4117" s="8" t="s">
        <v>13</v>
      </c>
      <c r="I4117" s="7" t="n">
        <v>45937</v>
      </c>
      <c r="J4117" s="8" t="str">
        <f aca="false">VLOOKUP(B4117, Table3[#All], 2, FALSE())</f>
        <v>Fixed Maintance</v>
      </c>
      <c r="K4117" s="8" t="str">
        <f aca="false">TEXT(ROW(), "0000")</f>
        <v>4117</v>
      </c>
      <c r="L4117" s="8"/>
    </row>
    <row r="4118" customFormat="false" ht="15.75" hidden="false" customHeight="true" outlineLevel="0" collapsed="false">
      <c r="A4118" s="7" t="n">
        <v>45937</v>
      </c>
      <c r="B4118" s="8" t="s">
        <v>25</v>
      </c>
      <c r="C4118" s="9" t="n">
        <v>410</v>
      </c>
      <c r="D4118" s="8" t="s">
        <v>13</v>
      </c>
      <c r="E4118" s="10" t="s">
        <v>92</v>
      </c>
      <c r="F4118" s="8" t="str">
        <f aca="false">TEXT(A4118,"MM-YYYY")</f>
        <v>10-2025</v>
      </c>
      <c r="G4118" s="8" t="s">
        <v>18</v>
      </c>
      <c r="H4118" s="8"/>
      <c r="I4118" s="7"/>
      <c r="J4118" s="8" t="str">
        <f aca="false">VLOOKUP(B4118, Table3[#All], 2, FALSE())</f>
        <v>Inventory</v>
      </c>
      <c r="K4118" s="8" t="str">
        <f aca="false">TEXT(ROW(), "0000")</f>
        <v>4118</v>
      </c>
      <c r="L4118" s="8"/>
    </row>
    <row r="4119" customFormat="false" ht="15.75" hidden="false" customHeight="true" outlineLevel="0" collapsed="false">
      <c r="A4119" s="7" t="n">
        <v>45937</v>
      </c>
      <c r="B4119" s="8" t="s">
        <v>43</v>
      </c>
      <c r="C4119" s="9" t="n">
        <v>1000</v>
      </c>
      <c r="D4119" s="8" t="s">
        <v>45</v>
      </c>
      <c r="E4119" s="10" t="s">
        <v>363</v>
      </c>
      <c r="F4119" s="8" t="str">
        <f aca="false">TEXT(A4119,"MM-YYYY")</f>
        <v>10-2025</v>
      </c>
      <c r="G4119" s="8" t="s">
        <v>14</v>
      </c>
      <c r="H4119" s="8" t="s">
        <v>232</v>
      </c>
      <c r="I4119" s="7" t="n">
        <v>45937</v>
      </c>
      <c r="J4119" s="8" t="str">
        <f aca="false">VLOOKUP(B4119, Table3[#All], 2, FALSE())</f>
        <v>Maintance</v>
      </c>
      <c r="K4119" s="8" t="str">
        <f aca="false">TEXT(ROW(), "0000")</f>
        <v>4119</v>
      </c>
      <c r="L4119" s="8"/>
    </row>
    <row r="4120" customFormat="false" ht="15.75" hidden="false" customHeight="true" outlineLevel="0" collapsed="false">
      <c r="A4120" s="7" t="n">
        <v>45937</v>
      </c>
      <c r="B4120" s="8" t="s">
        <v>31</v>
      </c>
      <c r="C4120" s="9" t="n">
        <v>310</v>
      </c>
      <c r="D4120" s="8" t="s">
        <v>21</v>
      </c>
      <c r="E4120" s="10" t="s">
        <v>236</v>
      </c>
      <c r="F4120" s="8" t="str">
        <f aca="false">TEXT(A4120,"MM-YYYY")</f>
        <v>10-2025</v>
      </c>
      <c r="G4120" s="8" t="s">
        <v>14</v>
      </c>
      <c r="H4120" s="8" t="s">
        <v>15</v>
      </c>
      <c r="I4120" s="7" t="n">
        <v>45937</v>
      </c>
      <c r="J4120" s="8" t="str">
        <f aca="false">VLOOKUP(B4120, Table3[#All], 2, FALSE())</f>
        <v>Bike Maintance</v>
      </c>
      <c r="K4120" s="8" t="str">
        <f aca="false">TEXT(ROW(), "0000")</f>
        <v>4120</v>
      </c>
      <c r="L4120" s="8"/>
    </row>
    <row r="4121" customFormat="false" ht="15.75" hidden="false" customHeight="true" outlineLevel="0" collapsed="false">
      <c r="A4121" s="7" t="n">
        <v>45937</v>
      </c>
      <c r="B4121" s="8" t="s">
        <v>50</v>
      </c>
      <c r="C4121" s="9" t="n">
        <v>1609</v>
      </c>
      <c r="D4121" s="8" t="s">
        <v>13</v>
      </c>
      <c r="E4121" s="10" t="s">
        <v>263</v>
      </c>
      <c r="F4121" s="8" t="str">
        <f aca="false">TEXT(A4121,"MM-YYYY")</f>
        <v>10-2025</v>
      </c>
      <c r="G4121" s="8" t="s">
        <v>18</v>
      </c>
      <c r="H4121" s="8"/>
      <c r="I4121" s="7"/>
      <c r="J4121" s="8" t="str">
        <f aca="false">VLOOKUP(B4121, Table3[#All], 2, FALSE())</f>
        <v>Fixed Maintance</v>
      </c>
      <c r="K4121" s="8" t="str">
        <f aca="false">TEXT(ROW(), "0000")</f>
        <v>4121</v>
      </c>
      <c r="L4121" s="8"/>
    </row>
    <row r="4122" customFormat="false" ht="15.75" hidden="false" customHeight="true" outlineLevel="0" collapsed="false">
      <c r="A4122" s="7" t="n">
        <v>45937</v>
      </c>
      <c r="B4122" s="8" t="s">
        <v>29</v>
      </c>
      <c r="C4122" s="9" t="n">
        <v>200</v>
      </c>
      <c r="D4122" s="8" t="s">
        <v>21</v>
      </c>
      <c r="E4122" s="10" t="s">
        <v>488</v>
      </c>
      <c r="F4122" s="8" t="str">
        <f aca="false">TEXT(A4122,"MM-YYYY")</f>
        <v>10-2025</v>
      </c>
      <c r="G4122" s="8" t="s">
        <v>14</v>
      </c>
      <c r="H4122" s="8" t="s">
        <v>15</v>
      </c>
      <c r="I4122" s="7" t="n">
        <v>45937</v>
      </c>
      <c r="J4122" s="8" t="str">
        <f aca="false">VLOOKUP(B4122, Table3[#All], 2, FALSE())</f>
        <v>Inventory</v>
      </c>
      <c r="K4122" s="8" t="str">
        <f aca="false">TEXT(ROW(), "0000")</f>
        <v>4122</v>
      </c>
      <c r="L4122" s="8"/>
    </row>
    <row r="4123" customFormat="false" ht="15.75" hidden="false" customHeight="true" outlineLevel="0" collapsed="false">
      <c r="A4123" s="7" t="n">
        <v>45937</v>
      </c>
      <c r="B4123" s="8" t="s">
        <v>44</v>
      </c>
      <c r="C4123" s="9" t="n">
        <v>1500</v>
      </c>
      <c r="D4123" s="8" t="s">
        <v>21</v>
      </c>
      <c r="E4123" s="10" t="s">
        <v>576</v>
      </c>
      <c r="F4123" s="8" t="str">
        <f aca="false">TEXT(A4123,"MM-YYYY")</f>
        <v>10-2025</v>
      </c>
      <c r="G4123" s="8" t="s">
        <v>14</v>
      </c>
      <c r="H4123" s="8" t="s">
        <v>15</v>
      </c>
      <c r="I4123" s="7" t="n">
        <v>45937</v>
      </c>
      <c r="J4123" s="8" t="str">
        <f aca="false">VLOOKUP(B4123, Table3[#All], 2, FALSE())</f>
        <v>Salary</v>
      </c>
      <c r="K4123" s="8" t="str">
        <f aca="false">TEXT(ROW(), "0000")</f>
        <v>4123</v>
      </c>
      <c r="L4123" s="8"/>
    </row>
    <row r="4124" customFormat="false" ht="15.75" hidden="false" customHeight="true" outlineLevel="0" collapsed="false">
      <c r="A4124" s="7" t="n">
        <v>45937</v>
      </c>
      <c r="B4124" s="8" t="s">
        <v>227</v>
      </c>
      <c r="C4124" s="9" t="n">
        <v>50</v>
      </c>
      <c r="D4124" s="8" t="s">
        <v>21</v>
      </c>
      <c r="E4124" s="10" t="s">
        <v>227</v>
      </c>
      <c r="F4124" s="8" t="str">
        <f aca="false">TEXT(A4124,"MM-YYYY")</f>
        <v>10-2025</v>
      </c>
      <c r="G4124" s="8" t="s">
        <v>14</v>
      </c>
      <c r="H4124" s="8" t="s">
        <v>15</v>
      </c>
      <c r="I4124" s="7" t="n">
        <v>45937</v>
      </c>
      <c r="J4124" s="8" t="str">
        <f aca="false">VLOOKUP(B4124, Table3[#All], 2, FALSE())</f>
        <v>Maintance</v>
      </c>
      <c r="K4124" s="8" t="str">
        <f aca="false">TEXT(ROW(), "0000")</f>
        <v>4124</v>
      </c>
      <c r="L4124" s="8"/>
    </row>
    <row r="4125" customFormat="false" ht="15.75" hidden="false" customHeight="true" outlineLevel="0" collapsed="false">
      <c r="A4125" s="7" t="n">
        <v>45937</v>
      </c>
      <c r="B4125" s="8" t="s">
        <v>16</v>
      </c>
      <c r="C4125" s="9" t="n">
        <v>3550</v>
      </c>
      <c r="D4125" s="8" t="s">
        <v>21</v>
      </c>
      <c r="E4125" s="10" t="s">
        <v>88</v>
      </c>
      <c r="F4125" s="8" t="str">
        <f aca="false">TEXT(A4125,"MM-YYYY")</f>
        <v>10-2025</v>
      </c>
      <c r="G4125" s="8"/>
      <c r="H4125" s="8"/>
      <c r="I4125" s="7"/>
      <c r="J4125" s="8" t="str">
        <f aca="false">VLOOKUP(B4125, Table3[#All], 2, FALSE())</f>
        <v>Sales</v>
      </c>
      <c r="K4125" s="8" t="str">
        <f aca="false">TEXT(ROW(), "0000")</f>
        <v>4125</v>
      </c>
      <c r="L4125" s="8"/>
    </row>
    <row r="4126" customFormat="false" ht="15.75" hidden="false" customHeight="true" outlineLevel="0" collapsed="false">
      <c r="A4126" s="7" t="n">
        <v>45937</v>
      </c>
      <c r="B4126" s="8" t="s">
        <v>16</v>
      </c>
      <c r="C4126" s="9" t="n">
        <v>230</v>
      </c>
      <c r="D4126" s="8" t="s">
        <v>27</v>
      </c>
      <c r="E4126" s="10" t="s">
        <v>88</v>
      </c>
      <c r="F4126" s="8" t="str">
        <f aca="false">TEXT(A4126,"MM-YYYY")</f>
        <v>10-2025</v>
      </c>
      <c r="G4126" s="8"/>
      <c r="H4126" s="8"/>
      <c r="I4126" s="7"/>
      <c r="J4126" s="8" t="str">
        <f aca="false">VLOOKUP(B4126, Table3[#All], 2, FALSE())</f>
        <v>Sales</v>
      </c>
      <c r="K4126" s="8" t="str">
        <f aca="false">TEXT(ROW(), "0000")</f>
        <v>4126</v>
      </c>
      <c r="L4126" s="8"/>
    </row>
    <row r="4127" customFormat="false" ht="15.75" hidden="false" customHeight="true" outlineLevel="0" collapsed="false">
      <c r="A4127" s="7" t="n">
        <v>45937</v>
      </c>
      <c r="B4127" s="8" t="s">
        <v>16</v>
      </c>
      <c r="C4127" s="9" t="n">
        <v>320</v>
      </c>
      <c r="D4127" s="8" t="s">
        <v>70</v>
      </c>
      <c r="E4127" s="10" t="s">
        <v>88</v>
      </c>
      <c r="F4127" s="8" t="str">
        <f aca="false">TEXT(A4127,"MM-YYYY")</f>
        <v>10-2025</v>
      </c>
      <c r="G4127" s="8"/>
      <c r="H4127" s="8"/>
      <c r="I4127" s="7"/>
      <c r="J4127" s="8" t="str">
        <f aca="false">VLOOKUP(B4127, Table3[#All], 2, FALSE())</f>
        <v>Sales</v>
      </c>
      <c r="K4127" s="8" t="str">
        <f aca="false">TEXT(ROW(), "0000")</f>
        <v>4127</v>
      </c>
      <c r="L4127" s="8"/>
    </row>
    <row r="4128" customFormat="false" ht="15.75" hidden="false" customHeight="true" outlineLevel="0" collapsed="false">
      <c r="A4128" s="7" t="n">
        <v>45937</v>
      </c>
      <c r="B4128" s="8" t="s">
        <v>16</v>
      </c>
      <c r="C4128" s="9" t="n">
        <v>250</v>
      </c>
      <c r="D4128" s="8" t="s">
        <v>33</v>
      </c>
      <c r="E4128" s="10" t="s">
        <v>88</v>
      </c>
      <c r="F4128" s="8" t="str">
        <f aca="false">TEXT(A4128,"MM-YYYY")</f>
        <v>10-2025</v>
      </c>
      <c r="G4128" s="8"/>
      <c r="H4128" s="8"/>
      <c r="I4128" s="7"/>
      <c r="J4128" s="8" t="str">
        <f aca="false">VLOOKUP(B4128, Table3[#All], 2, FALSE())</f>
        <v>Sales</v>
      </c>
      <c r="K4128" s="8" t="str">
        <f aca="false">TEXT(ROW(), "0000")</f>
        <v>4128</v>
      </c>
      <c r="L4128" s="8"/>
    </row>
    <row r="4129" customFormat="false" ht="15.75" hidden="false" customHeight="true" outlineLevel="0" collapsed="false">
      <c r="A4129" s="7" t="n">
        <v>45937</v>
      </c>
      <c r="B4129" s="8" t="s">
        <v>16</v>
      </c>
      <c r="C4129" s="9" t="n">
        <v>17038</v>
      </c>
      <c r="D4129" s="8" t="s">
        <v>17</v>
      </c>
      <c r="E4129" s="10" t="s">
        <v>88</v>
      </c>
      <c r="F4129" s="8" t="str">
        <f aca="false">TEXT(A4129,"MM-YYYY")</f>
        <v>10-2025</v>
      </c>
      <c r="G4129" s="8"/>
      <c r="H4129" s="8"/>
      <c r="I4129" s="7"/>
      <c r="J4129" s="8" t="str">
        <f aca="false">VLOOKUP(B4129, Table3[#All], 2, FALSE())</f>
        <v>Sales</v>
      </c>
      <c r="K4129" s="8" t="str">
        <f aca="false">TEXT(ROW(), "0000")</f>
        <v>4129</v>
      </c>
      <c r="L4129" s="8"/>
    </row>
    <row r="4130" customFormat="false" ht="15.75" hidden="false" customHeight="true" outlineLevel="0" collapsed="false">
      <c r="A4130" s="7" t="n">
        <v>45937</v>
      </c>
      <c r="B4130" s="8" t="s">
        <v>16</v>
      </c>
      <c r="C4130" s="9" t="n">
        <v>2159</v>
      </c>
      <c r="D4130" s="8" t="s">
        <v>24</v>
      </c>
      <c r="E4130" s="10" t="s">
        <v>88</v>
      </c>
      <c r="F4130" s="8" t="str">
        <f aca="false">TEXT(A4130,"MM-YYYY")</f>
        <v>10-2025</v>
      </c>
      <c r="G4130" s="8"/>
      <c r="H4130" s="8"/>
      <c r="I4130" s="7"/>
      <c r="J4130" s="8" t="str">
        <f aca="false">VLOOKUP(B4130, Table3[#All], 2, FALSE())</f>
        <v>Sales</v>
      </c>
      <c r="K4130" s="8" t="str">
        <f aca="false">TEXT(ROW(), "0000")</f>
        <v>4130</v>
      </c>
      <c r="L4130" s="8"/>
    </row>
    <row r="4131" customFormat="false" ht="15.75" hidden="false" customHeight="true" outlineLevel="0" collapsed="false">
      <c r="A4131" s="7" t="n">
        <v>45937</v>
      </c>
      <c r="B4131" s="8" t="s">
        <v>22</v>
      </c>
      <c r="C4131" s="9" t="n">
        <v>420</v>
      </c>
      <c r="D4131" s="8" t="s">
        <v>21</v>
      </c>
      <c r="E4131" s="10" t="s">
        <v>577</v>
      </c>
      <c r="F4131" s="8" t="str">
        <f aca="false">TEXT(A4131,"MM-YYYY")</f>
        <v>10-2025</v>
      </c>
      <c r="G4131" s="8" t="s">
        <v>14</v>
      </c>
      <c r="H4131" s="8" t="s">
        <v>232</v>
      </c>
      <c r="I4131" s="7" t="n">
        <v>45937</v>
      </c>
      <c r="J4131" s="8" t="str">
        <f aca="false">VLOOKUP(B4131, Table3[#All], 2, FALSE())</f>
        <v>Inventory</v>
      </c>
      <c r="K4131" s="8" t="str">
        <f aca="false">TEXT(ROW(), "0000")</f>
        <v>4131</v>
      </c>
      <c r="L4131" s="8"/>
    </row>
    <row r="4132" customFormat="false" ht="15.75" hidden="false" customHeight="true" outlineLevel="0" collapsed="false">
      <c r="A4132" s="7" t="n">
        <v>45937</v>
      </c>
      <c r="B4132" s="8" t="s">
        <v>34</v>
      </c>
      <c r="C4132" s="9" t="n">
        <v>115</v>
      </c>
      <c r="D4132" s="8" t="s">
        <v>21</v>
      </c>
      <c r="E4132" s="10" t="s">
        <v>545</v>
      </c>
      <c r="F4132" s="8" t="str">
        <f aca="false">TEXT(A4132,"MM-YYYY")</f>
        <v>10-2025</v>
      </c>
      <c r="G4132" s="8" t="s">
        <v>14</v>
      </c>
      <c r="H4132" s="8" t="s">
        <v>232</v>
      </c>
      <c r="I4132" s="7" t="n">
        <v>45937</v>
      </c>
      <c r="J4132" s="8" t="str">
        <f aca="false">VLOOKUP(B4132, Table3[#All], 2, FALSE())</f>
        <v>Staff Expenses</v>
      </c>
      <c r="K4132" s="8" t="str">
        <f aca="false">TEXT(ROW(), "0000")</f>
        <v>4132</v>
      </c>
      <c r="L4132" s="8"/>
    </row>
    <row r="4133" customFormat="false" ht="15.75" hidden="false" customHeight="true" outlineLevel="0" collapsed="false">
      <c r="A4133" s="7" t="n">
        <v>45938</v>
      </c>
      <c r="B4133" s="8" t="s">
        <v>25</v>
      </c>
      <c r="C4133" s="9" t="n">
        <v>1110</v>
      </c>
      <c r="D4133" s="8" t="s">
        <v>13</v>
      </c>
      <c r="E4133" s="10" t="s">
        <v>92</v>
      </c>
      <c r="F4133" s="8" t="str">
        <f aca="false">TEXT(A4133,"MM-YYYY")</f>
        <v>10-2025</v>
      </c>
      <c r="G4133" s="8" t="s">
        <v>18</v>
      </c>
      <c r="H4133" s="8"/>
      <c r="I4133" s="7"/>
      <c r="J4133" s="8" t="str">
        <f aca="false">VLOOKUP(B4133, Table3[#All], 2, FALSE())</f>
        <v>Inventory</v>
      </c>
      <c r="K4133" s="8" t="str">
        <f aca="false">TEXT(ROW(), "0000")</f>
        <v>4133</v>
      </c>
      <c r="L4133" s="8"/>
    </row>
    <row r="4134" customFormat="false" ht="15.75" hidden="false" customHeight="true" outlineLevel="0" collapsed="false">
      <c r="A4134" s="7" t="n">
        <v>45938</v>
      </c>
      <c r="B4134" s="8" t="s">
        <v>19</v>
      </c>
      <c r="C4134" s="9" t="n">
        <v>5338</v>
      </c>
      <c r="D4134" s="8" t="s">
        <v>13</v>
      </c>
      <c r="E4134" s="10" t="s">
        <v>473</v>
      </c>
      <c r="F4134" s="8" t="str">
        <f aca="false">TEXT(A4134,"MM-YYYY")</f>
        <v>10-2025</v>
      </c>
      <c r="G4134" s="8" t="s">
        <v>14</v>
      </c>
      <c r="H4134" s="8"/>
      <c r="I4134" s="7"/>
      <c r="J4134" s="8" t="str">
        <f aca="false">VLOOKUP(B4134, Table3[#All], 2, FALSE())</f>
        <v>Inventory</v>
      </c>
      <c r="K4134" s="8" t="str">
        <f aca="false">TEXT(ROW(), "0000")</f>
        <v>4134</v>
      </c>
      <c r="L4134" s="8"/>
    </row>
    <row r="4135" customFormat="false" ht="15.75" hidden="false" customHeight="true" outlineLevel="0" collapsed="false">
      <c r="A4135" s="7" t="n">
        <v>45938</v>
      </c>
      <c r="B4135" s="8" t="s">
        <v>32</v>
      </c>
      <c r="C4135" s="9" t="n">
        <v>300</v>
      </c>
      <c r="D4135" s="8" t="s">
        <v>21</v>
      </c>
      <c r="E4135" s="10" t="s">
        <v>450</v>
      </c>
      <c r="F4135" s="8" t="str">
        <f aca="false">TEXT(A4135,"MM-YYYY")</f>
        <v>10-2025</v>
      </c>
      <c r="G4135" s="8" t="s">
        <v>14</v>
      </c>
      <c r="H4135" s="8" t="s">
        <v>15</v>
      </c>
      <c r="I4135" s="7" t="n">
        <v>45938</v>
      </c>
      <c r="J4135" s="8" t="str">
        <f aca="false">VLOOKUP(B4135, Table3[#All], 2, FALSE())</f>
        <v>Grocery</v>
      </c>
      <c r="K4135" s="8" t="str">
        <f aca="false">TEXT(ROW(), "0000")</f>
        <v>4135</v>
      </c>
      <c r="L4135" s="8"/>
    </row>
    <row r="4136" customFormat="false" ht="15.75" hidden="false" customHeight="true" outlineLevel="0" collapsed="false">
      <c r="A4136" s="7" t="n">
        <v>45938</v>
      </c>
      <c r="B4136" s="8" t="s">
        <v>22</v>
      </c>
      <c r="C4136" s="9" t="n">
        <v>110</v>
      </c>
      <c r="D4136" s="8" t="s">
        <v>21</v>
      </c>
      <c r="E4136" s="10" t="s">
        <v>479</v>
      </c>
      <c r="F4136" s="8" t="str">
        <f aca="false">TEXT(A4136,"MM-YYYY")</f>
        <v>10-2025</v>
      </c>
      <c r="G4136" s="8" t="s">
        <v>14</v>
      </c>
      <c r="H4136" s="8" t="s">
        <v>15</v>
      </c>
      <c r="I4136" s="7" t="n">
        <v>45938</v>
      </c>
      <c r="J4136" s="8" t="str">
        <f aca="false">VLOOKUP(B4136, Table3[#All], 2, FALSE())</f>
        <v>Inventory</v>
      </c>
      <c r="K4136" s="8" t="str">
        <f aca="false">TEXT(ROW(), "0000")</f>
        <v>4136</v>
      </c>
      <c r="L4136" s="8"/>
    </row>
    <row r="4137" customFormat="false" ht="15.75" hidden="false" customHeight="true" outlineLevel="0" collapsed="false">
      <c r="A4137" s="7" t="n">
        <v>45938</v>
      </c>
      <c r="B4137" s="8" t="s">
        <v>40</v>
      </c>
      <c r="C4137" s="9" t="n">
        <v>2340</v>
      </c>
      <c r="D4137" s="8" t="s">
        <v>13</v>
      </c>
      <c r="E4137" s="10" t="s">
        <v>46</v>
      </c>
      <c r="F4137" s="8" t="str">
        <f aca="false">TEXT(A4137,"MM-YYYY")</f>
        <v>10-2025</v>
      </c>
      <c r="G4137" s="8" t="s">
        <v>14</v>
      </c>
      <c r="H4137" s="8" t="s">
        <v>13</v>
      </c>
      <c r="I4137" s="7" t="n">
        <v>45938</v>
      </c>
      <c r="J4137" s="8" t="str">
        <f aca="false">VLOOKUP(B4137, Table3[#All], 2, FALSE())</f>
        <v>Inventory</v>
      </c>
      <c r="K4137" s="8" t="str">
        <f aca="false">TEXT(ROW(), "0000")</f>
        <v>4137</v>
      </c>
      <c r="L4137" s="8"/>
    </row>
    <row r="4138" customFormat="false" ht="15.75" hidden="false" customHeight="true" outlineLevel="0" collapsed="false">
      <c r="A4138" s="7" t="n">
        <v>45938</v>
      </c>
      <c r="B4138" s="8" t="s">
        <v>22</v>
      </c>
      <c r="C4138" s="9" t="n">
        <v>650</v>
      </c>
      <c r="D4138" s="8" t="s">
        <v>13</v>
      </c>
      <c r="E4138" s="10" t="s">
        <v>288</v>
      </c>
      <c r="F4138" s="8" t="str">
        <f aca="false">TEXT(A4138,"MM-YYYY")</f>
        <v>10-2025</v>
      </c>
      <c r="G4138" s="8" t="s">
        <v>14</v>
      </c>
      <c r="H4138" s="8" t="s">
        <v>13</v>
      </c>
      <c r="I4138" s="7" t="n">
        <v>45938</v>
      </c>
      <c r="J4138" s="8" t="str">
        <f aca="false">VLOOKUP(B4138, Table3[#All], 2, FALSE())</f>
        <v>Inventory</v>
      </c>
      <c r="K4138" s="8" t="str">
        <f aca="false">TEXT(ROW(), "0000")</f>
        <v>4138</v>
      </c>
      <c r="L4138" s="8"/>
    </row>
    <row r="4139" customFormat="false" ht="15.75" hidden="false" customHeight="true" outlineLevel="0" collapsed="false">
      <c r="A4139" s="7" t="n">
        <v>45938</v>
      </c>
      <c r="B4139" s="8" t="s">
        <v>22</v>
      </c>
      <c r="C4139" s="9" t="n">
        <v>110</v>
      </c>
      <c r="D4139" s="8" t="s">
        <v>45</v>
      </c>
      <c r="E4139" s="10" t="s">
        <v>578</v>
      </c>
      <c r="F4139" s="8" t="str">
        <f aca="false">TEXT(A4139,"MM-YYYY")</f>
        <v>10-2025</v>
      </c>
      <c r="G4139" s="8" t="s">
        <v>14</v>
      </c>
      <c r="H4139" s="8" t="s">
        <v>232</v>
      </c>
      <c r="I4139" s="7" t="n">
        <v>45938</v>
      </c>
      <c r="J4139" s="8" t="str">
        <f aca="false">VLOOKUP(B4139, Table3[#All], 2, FALSE())</f>
        <v>Inventory</v>
      </c>
      <c r="K4139" s="8" t="str">
        <f aca="false">TEXT(ROW(), "0000")</f>
        <v>4139</v>
      </c>
      <c r="L4139" s="8"/>
    </row>
    <row r="4140" customFormat="false" ht="15.75" hidden="false" customHeight="true" outlineLevel="0" collapsed="false">
      <c r="A4140" s="7" t="n">
        <v>45938</v>
      </c>
      <c r="B4140" s="8" t="s">
        <v>43</v>
      </c>
      <c r="C4140" s="9" t="n">
        <v>510</v>
      </c>
      <c r="D4140" s="8" t="s">
        <v>45</v>
      </c>
      <c r="E4140" s="10" t="s">
        <v>562</v>
      </c>
      <c r="F4140" s="8" t="str">
        <f aca="false">TEXT(A4140,"MM-YYYY")</f>
        <v>10-2025</v>
      </c>
      <c r="G4140" s="8" t="s">
        <v>14</v>
      </c>
      <c r="H4140" s="8" t="s">
        <v>232</v>
      </c>
      <c r="I4140" s="7" t="n">
        <v>45938</v>
      </c>
      <c r="J4140" s="8" t="str">
        <f aca="false">VLOOKUP(B4140, Table3[#All], 2, FALSE())</f>
        <v>Maintance</v>
      </c>
      <c r="K4140" s="8" t="str">
        <f aca="false">TEXT(ROW(), "0000")</f>
        <v>4140</v>
      </c>
      <c r="L4140" s="8"/>
    </row>
    <row r="4141" customFormat="false" ht="15.75" hidden="false" customHeight="true" outlineLevel="0" collapsed="false">
      <c r="A4141" s="7" t="n">
        <v>45938</v>
      </c>
      <c r="B4141" s="8" t="s">
        <v>44</v>
      </c>
      <c r="C4141" s="9" t="n">
        <v>1000</v>
      </c>
      <c r="D4141" s="8" t="s">
        <v>13</v>
      </c>
      <c r="E4141" s="10" t="s">
        <v>15</v>
      </c>
      <c r="F4141" s="8" t="str">
        <f aca="false">TEXT(A4141,"MM-YYYY")</f>
        <v>10-2025</v>
      </c>
      <c r="G4141" s="8" t="s">
        <v>14</v>
      </c>
      <c r="H4141" s="8" t="s">
        <v>13</v>
      </c>
      <c r="I4141" s="7" t="n">
        <v>45938</v>
      </c>
      <c r="J4141" s="8" t="str">
        <f aca="false">VLOOKUP(B4141, Table3[#All], 2, FALSE())</f>
        <v>Salary</v>
      </c>
      <c r="K4141" s="8" t="str">
        <f aca="false">TEXT(ROW(), "0000")</f>
        <v>4141</v>
      </c>
      <c r="L4141" s="8"/>
    </row>
    <row r="4142" customFormat="false" ht="15.75" hidden="false" customHeight="true" outlineLevel="0" collapsed="false">
      <c r="A4142" s="7" t="n">
        <v>45938</v>
      </c>
      <c r="B4142" s="8" t="s">
        <v>53</v>
      </c>
      <c r="C4142" s="9" t="n">
        <v>1220</v>
      </c>
      <c r="D4142" s="8" t="s">
        <v>21</v>
      </c>
      <c r="E4142" s="10" t="s">
        <v>54</v>
      </c>
      <c r="F4142" s="8" t="str">
        <f aca="false">TEXT(A4142,"MM-YYYY")</f>
        <v>10-2025</v>
      </c>
      <c r="G4142" s="8" t="s">
        <v>14</v>
      </c>
      <c r="H4142" s="8" t="s">
        <v>15</v>
      </c>
      <c r="I4142" s="7" t="n">
        <v>45938</v>
      </c>
      <c r="J4142" s="8" t="str">
        <f aca="false">VLOOKUP(B4142, Table3[#All], 2, FALSE())</f>
        <v>Grocery</v>
      </c>
      <c r="K4142" s="8" t="str">
        <f aca="false">TEXT(ROW(), "0000")</f>
        <v>4142</v>
      </c>
      <c r="L4142" s="8"/>
    </row>
    <row r="4143" customFormat="false" ht="15.75" hidden="false" customHeight="true" outlineLevel="0" collapsed="false">
      <c r="A4143" s="7" t="n">
        <v>45937</v>
      </c>
      <c r="B4143" s="8" t="s">
        <v>29</v>
      </c>
      <c r="C4143" s="9" t="n">
        <v>480</v>
      </c>
      <c r="D4143" s="8" t="s">
        <v>13</v>
      </c>
      <c r="E4143" s="10" t="s">
        <v>490</v>
      </c>
      <c r="F4143" s="8" t="str">
        <f aca="false">TEXT(A4143,"MM-YYYY")</f>
        <v>10-2025</v>
      </c>
      <c r="G4143" s="8" t="s">
        <v>18</v>
      </c>
      <c r="H4143" s="8"/>
      <c r="I4143" s="7"/>
      <c r="J4143" s="8" t="str">
        <f aca="false">VLOOKUP(B4143, Table3[#All], 2, FALSE())</f>
        <v>Inventory</v>
      </c>
      <c r="K4143" s="8" t="str">
        <f aca="false">TEXT(ROW(), "0000")</f>
        <v>4143</v>
      </c>
      <c r="L4143" s="8"/>
    </row>
    <row r="4144" customFormat="false" ht="15.75" hidden="false" customHeight="true" outlineLevel="0" collapsed="false">
      <c r="A4144" s="7" t="n">
        <v>45938</v>
      </c>
      <c r="B4144" s="8" t="s">
        <v>29</v>
      </c>
      <c r="C4144" s="9" t="n">
        <v>833</v>
      </c>
      <c r="D4144" s="8" t="s">
        <v>13</v>
      </c>
      <c r="E4144" s="10" t="s">
        <v>490</v>
      </c>
      <c r="F4144" s="8" t="str">
        <f aca="false">TEXT(A4144,"MM-YYYY")</f>
        <v>10-2025</v>
      </c>
      <c r="G4144" s="8" t="s">
        <v>18</v>
      </c>
      <c r="H4144" s="8"/>
      <c r="I4144" s="7"/>
      <c r="J4144" s="8" t="str">
        <f aca="false">VLOOKUP(B4144, Table3[#All], 2, FALSE())</f>
        <v>Inventory</v>
      </c>
      <c r="K4144" s="8" t="str">
        <f aca="false">TEXT(ROW(), "0000")</f>
        <v>4144</v>
      </c>
      <c r="L4144" s="8"/>
    </row>
    <row r="4145" customFormat="false" ht="15.75" hidden="false" customHeight="true" outlineLevel="0" collapsed="false">
      <c r="A4145" s="7" t="n">
        <v>45938</v>
      </c>
      <c r="B4145" s="8" t="s">
        <v>50</v>
      </c>
      <c r="C4145" s="9" t="n">
        <v>1609</v>
      </c>
      <c r="D4145" s="8" t="s">
        <v>13</v>
      </c>
      <c r="E4145" s="10" t="s">
        <v>263</v>
      </c>
      <c r="F4145" s="8" t="str">
        <f aca="false">TEXT(A4145,"MM-YYYY")</f>
        <v>10-2025</v>
      </c>
      <c r="G4145" s="8" t="s">
        <v>18</v>
      </c>
      <c r="H4145" s="8"/>
      <c r="I4145" s="7"/>
      <c r="J4145" s="8" t="str">
        <f aca="false">VLOOKUP(B4145, Table3[#All], 2, FALSE())</f>
        <v>Fixed Maintance</v>
      </c>
      <c r="K4145" s="8" t="str">
        <f aca="false">TEXT(ROW(), "0000")</f>
        <v>4145</v>
      </c>
      <c r="L4145" s="8"/>
    </row>
    <row r="4146" customFormat="false" ht="15.75" hidden="false" customHeight="true" outlineLevel="0" collapsed="false">
      <c r="A4146" s="7" t="n">
        <v>45938</v>
      </c>
      <c r="B4146" s="8" t="s">
        <v>16</v>
      </c>
      <c r="C4146" s="9" t="n">
        <v>3470</v>
      </c>
      <c r="D4146" s="8" t="s">
        <v>21</v>
      </c>
      <c r="E4146" s="10" t="s">
        <v>88</v>
      </c>
      <c r="F4146" s="8" t="str">
        <f aca="false">TEXT(A4146,"MM-YYYY")</f>
        <v>10-2025</v>
      </c>
      <c r="G4146" s="8"/>
      <c r="H4146" s="8"/>
      <c r="I4146" s="7"/>
      <c r="J4146" s="8" t="str">
        <f aca="false">VLOOKUP(B4146, Table3[#All], 2, FALSE())</f>
        <v>Sales</v>
      </c>
      <c r="K4146" s="8" t="str">
        <f aca="false">TEXT(ROW(), "0000")</f>
        <v>4146</v>
      </c>
      <c r="L4146" s="8"/>
    </row>
    <row r="4147" customFormat="false" ht="15.75" hidden="false" customHeight="true" outlineLevel="0" collapsed="false">
      <c r="A4147" s="7" t="n">
        <v>45938</v>
      </c>
      <c r="B4147" s="8" t="s">
        <v>16</v>
      </c>
      <c r="C4147" s="9" t="n">
        <v>1145</v>
      </c>
      <c r="D4147" s="8" t="s">
        <v>27</v>
      </c>
      <c r="E4147" s="10" t="s">
        <v>88</v>
      </c>
      <c r="F4147" s="8" t="str">
        <f aca="false">TEXT(A4147,"MM-YYYY")</f>
        <v>10-2025</v>
      </c>
      <c r="G4147" s="8"/>
      <c r="H4147" s="8"/>
      <c r="I4147" s="7"/>
      <c r="J4147" s="8" t="str">
        <f aca="false">VLOOKUP(B4147, Table3[#All], 2, FALSE())</f>
        <v>Sales</v>
      </c>
      <c r="K4147" s="8" t="str">
        <f aca="false">TEXT(ROW(), "0000")</f>
        <v>4147</v>
      </c>
      <c r="L4147" s="8"/>
    </row>
    <row r="4148" customFormat="false" ht="15.75" hidden="false" customHeight="true" outlineLevel="0" collapsed="false">
      <c r="A4148" s="7" t="n">
        <v>45938</v>
      </c>
      <c r="B4148" s="8" t="s">
        <v>16</v>
      </c>
      <c r="C4148" s="9" t="n">
        <v>45</v>
      </c>
      <c r="D4148" s="8" t="s">
        <v>33</v>
      </c>
      <c r="E4148" s="10" t="s">
        <v>88</v>
      </c>
      <c r="F4148" s="8" t="str">
        <f aca="false">TEXT(A4148,"MM-YYYY")</f>
        <v>10-2025</v>
      </c>
      <c r="G4148" s="8"/>
      <c r="H4148" s="8"/>
      <c r="I4148" s="7"/>
      <c r="J4148" s="8" t="str">
        <f aca="false">VLOOKUP(B4148, Table3[#All], 2, FALSE())</f>
        <v>Sales</v>
      </c>
      <c r="K4148" s="8" t="str">
        <f aca="false">TEXT(ROW(), "0000")</f>
        <v>4148</v>
      </c>
      <c r="L4148" s="8"/>
    </row>
    <row r="4149" customFormat="false" ht="15.75" hidden="false" customHeight="true" outlineLevel="0" collapsed="false">
      <c r="A4149" s="7" t="n">
        <v>45938</v>
      </c>
      <c r="B4149" s="8" t="s">
        <v>16</v>
      </c>
      <c r="C4149" s="9" t="n">
        <v>22368</v>
      </c>
      <c r="D4149" s="8" t="s">
        <v>17</v>
      </c>
      <c r="E4149" s="10" t="s">
        <v>88</v>
      </c>
      <c r="F4149" s="8" t="str">
        <f aca="false">TEXT(A4149,"MM-YYYY")</f>
        <v>10-2025</v>
      </c>
      <c r="G4149" s="8"/>
      <c r="H4149" s="8"/>
      <c r="I4149" s="7"/>
      <c r="J4149" s="8" t="str">
        <f aca="false">VLOOKUP(B4149, Table3[#All], 2, FALSE())</f>
        <v>Sales</v>
      </c>
      <c r="K4149" s="8" t="str">
        <f aca="false">TEXT(ROW(), "0000")</f>
        <v>4149</v>
      </c>
      <c r="L4149" s="8"/>
    </row>
    <row r="4150" customFormat="false" ht="15.75" hidden="false" customHeight="true" outlineLevel="0" collapsed="false">
      <c r="A4150" s="7" t="n">
        <v>45938</v>
      </c>
      <c r="B4150" s="8" t="s">
        <v>16</v>
      </c>
      <c r="C4150" s="9" t="n">
        <v>1133</v>
      </c>
      <c r="D4150" s="8" t="s">
        <v>24</v>
      </c>
      <c r="E4150" s="10" t="s">
        <v>88</v>
      </c>
      <c r="F4150" s="8" t="str">
        <f aca="false">TEXT(A4150,"MM-YYYY")</f>
        <v>10-2025</v>
      </c>
      <c r="G4150" s="8"/>
      <c r="H4150" s="8"/>
      <c r="I4150" s="7"/>
      <c r="J4150" s="8" t="str">
        <f aca="false">VLOOKUP(B4150, Table3[#All], 2, FALSE())</f>
        <v>Sales</v>
      </c>
      <c r="K4150" s="8" t="str">
        <f aca="false">TEXT(ROW(), "0000")</f>
        <v>4150</v>
      </c>
      <c r="L4150" s="8"/>
    </row>
    <row r="4151" customFormat="false" ht="15.75" hidden="false" customHeight="true" outlineLevel="0" collapsed="false">
      <c r="A4151" s="7" t="n">
        <v>45938</v>
      </c>
      <c r="B4151" s="8" t="s">
        <v>16</v>
      </c>
      <c r="C4151" s="9" t="n">
        <v>250</v>
      </c>
      <c r="D4151" s="8" t="s">
        <v>70</v>
      </c>
      <c r="E4151" s="10" t="s">
        <v>88</v>
      </c>
      <c r="F4151" s="8" t="str">
        <f aca="false">TEXT(A4151,"MM-YYYY")</f>
        <v>10-2025</v>
      </c>
      <c r="G4151" s="8"/>
      <c r="H4151" s="8"/>
      <c r="I4151" s="7"/>
      <c r="J4151" s="8" t="str">
        <f aca="false">VLOOKUP(B4151, Table3[#All], 2, FALSE())</f>
        <v>Sales</v>
      </c>
      <c r="K4151" s="8" t="str">
        <f aca="false">TEXT(ROW(), "0000")</f>
        <v>4151</v>
      </c>
      <c r="L4151" s="8"/>
    </row>
    <row r="4152" customFormat="false" ht="15.75" hidden="false" customHeight="true" outlineLevel="0" collapsed="false">
      <c r="A4152" s="7" t="n">
        <v>45938</v>
      </c>
      <c r="B4152" s="8" t="s">
        <v>154</v>
      </c>
      <c r="C4152" s="9" t="n">
        <v>190</v>
      </c>
      <c r="D4152" s="8" t="s">
        <v>45</v>
      </c>
      <c r="E4152" s="10" t="s">
        <v>545</v>
      </c>
      <c r="F4152" s="8" t="str">
        <f aca="false">TEXT(A4152,"MM-YYYY")</f>
        <v>10-2025</v>
      </c>
      <c r="G4152" s="8" t="s">
        <v>14</v>
      </c>
      <c r="H4152" s="8" t="s">
        <v>232</v>
      </c>
      <c r="I4152" s="7" t="n">
        <v>45938</v>
      </c>
      <c r="J4152" s="8" t="str">
        <f aca="false">VLOOKUP(B4152, Table3[#All], 2, FALSE())</f>
        <v>Staff Expenses</v>
      </c>
      <c r="K4152" s="8" t="str">
        <f aca="false">TEXT(ROW(), "0000")</f>
        <v>4152</v>
      </c>
      <c r="L4152" s="8"/>
    </row>
    <row r="4153" customFormat="false" ht="15.75" hidden="false" customHeight="true" outlineLevel="0" collapsed="false">
      <c r="A4153" s="7" t="n">
        <v>45938</v>
      </c>
      <c r="B4153" s="8" t="s">
        <v>29</v>
      </c>
      <c r="C4153" s="9" t="n">
        <v>30</v>
      </c>
      <c r="D4153" s="8" t="s">
        <v>21</v>
      </c>
      <c r="E4153" s="10" t="s">
        <v>579</v>
      </c>
      <c r="F4153" s="8" t="str">
        <f aca="false">TEXT(A4153,"MM-YYYY")</f>
        <v>10-2025</v>
      </c>
      <c r="G4153" s="8" t="s">
        <v>14</v>
      </c>
      <c r="H4153" s="8" t="s">
        <v>15</v>
      </c>
      <c r="I4153" s="7" t="n">
        <v>45938</v>
      </c>
      <c r="J4153" s="8" t="str">
        <f aca="false">VLOOKUP(B4153, Table3[#All], 2, FALSE())</f>
        <v>Inventory</v>
      </c>
      <c r="K4153" s="8" t="str">
        <f aca="false">TEXT(ROW(), "0000")</f>
        <v>4153</v>
      </c>
      <c r="L4153" s="8"/>
    </row>
    <row r="4154" customFormat="false" ht="15.75" hidden="false" customHeight="true" outlineLevel="0" collapsed="false">
      <c r="A4154" s="7" t="n">
        <v>45939</v>
      </c>
      <c r="B4154" s="8" t="s">
        <v>19</v>
      </c>
      <c r="C4154" s="9" t="n">
        <v>4269</v>
      </c>
      <c r="D4154" s="8" t="s">
        <v>13</v>
      </c>
      <c r="E4154" s="10" t="s">
        <v>473</v>
      </c>
      <c r="F4154" s="8" t="str">
        <f aca="false">TEXT(A4154,"MM-YYYY")</f>
        <v>10-2025</v>
      </c>
      <c r="G4154" s="8" t="s">
        <v>14</v>
      </c>
      <c r="H4154" s="8"/>
      <c r="I4154" s="7"/>
      <c r="J4154" s="8" t="str">
        <f aca="false">VLOOKUP(B4154, Table3[#All], 2, FALSE())</f>
        <v>Inventory</v>
      </c>
      <c r="K4154" s="8" t="str">
        <f aca="false">TEXT(ROW(), "0000")</f>
        <v>4154</v>
      </c>
      <c r="L4154" s="8"/>
    </row>
    <row r="4155" customFormat="false" ht="15.75" hidden="false" customHeight="true" outlineLevel="0" collapsed="false">
      <c r="A4155" s="7" t="n">
        <v>45939</v>
      </c>
      <c r="B4155" s="8" t="s">
        <v>25</v>
      </c>
      <c r="C4155" s="9" t="n">
        <v>1020</v>
      </c>
      <c r="D4155" s="8" t="s">
        <v>13</v>
      </c>
      <c r="E4155" s="10" t="s">
        <v>92</v>
      </c>
      <c r="F4155" s="8" t="str">
        <f aca="false">TEXT(A4155,"MM-YYYY")</f>
        <v>10-2025</v>
      </c>
      <c r="G4155" s="8" t="s">
        <v>18</v>
      </c>
      <c r="H4155" s="8"/>
      <c r="I4155" s="7"/>
      <c r="J4155" s="8" t="str">
        <f aca="false">VLOOKUP(B4155, Table3[#All], 2, FALSE())</f>
        <v>Inventory</v>
      </c>
      <c r="K4155" s="8" t="str">
        <f aca="false">TEXT(ROW(), "0000")</f>
        <v>4155</v>
      </c>
      <c r="L4155" s="8"/>
    </row>
    <row r="4156" customFormat="false" ht="15.75" hidden="false" customHeight="true" outlineLevel="0" collapsed="false">
      <c r="A4156" s="7" t="n">
        <v>45939</v>
      </c>
      <c r="B4156" s="8" t="s">
        <v>32</v>
      </c>
      <c r="C4156" s="9" t="n">
        <v>250</v>
      </c>
      <c r="D4156" s="8" t="s">
        <v>21</v>
      </c>
      <c r="E4156" s="10" t="s">
        <v>450</v>
      </c>
      <c r="F4156" s="8" t="str">
        <f aca="false">TEXT(A4156,"MM-YYYY")</f>
        <v>10-2025</v>
      </c>
      <c r="G4156" s="8" t="s">
        <v>14</v>
      </c>
      <c r="H4156" s="8" t="s">
        <v>15</v>
      </c>
      <c r="I4156" s="7" t="n">
        <v>45939</v>
      </c>
      <c r="J4156" s="8" t="str">
        <f aca="false">VLOOKUP(B4156, Table3[#All], 2, FALSE())</f>
        <v>Grocery</v>
      </c>
      <c r="K4156" s="8" t="str">
        <f aca="false">TEXT(ROW(), "0000")</f>
        <v>4156</v>
      </c>
      <c r="L4156" s="8"/>
    </row>
    <row r="4157" customFormat="false" ht="15.75" hidden="false" customHeight="true" outlineLevel="0" collapsed="false">
      <c r="A4157" s="7" t="n">
        <v>45939</v>
      </c>
      <c r="B4157" s="8" t="s">
        <v>29</v>
      </c>
      <c r="C4157" s="9" t="n">
        <v>1270</v>
      </c>
      <c r="D4157" s="8" t="s">
        <v>45</v>
      </c>
      <c r="E4157" s="10" t="s">
        <v>580</v>
      </c>
      <c r="F4157" s="8" t="str">
        <f aca="false">TEXT(A4157,"MM-YYYY")</f>
        <v>10-2025</v>
      </c>
      <c r="G4157" s="8" t="s">
        <v>14</v>
      </c>
      <c r="H4157" s="8" t="s">
        <v>232</v>
      </c>
      <c r="I4157" s="7" t="n">
        <v>45939</v>
      </c>
      <c r="J4157" s="8" t="str">
        <f aca="false">VLOOKUP(B4157, Table3[#All], 2, FALSE())</f>
        <v>Inventory</v>
      </c>
      <c r="K4157" s="8" t="str">
        <f aca="false">TEXT(ROW(), "0000")</f>
        <v>4157</v>
      </c>
      <c r="L4157" s="8"/>
    </row>
    <row r="4158" customFormat="false" ht="15.75" hidden="false" customHeight="true" outlineLevel="0" collapsed="false">
      <c r="A4158" s="7" t="n">
        <v>45939</v>
      </c>
      <c r="B4158" s="8" t="s">
        <v>35</v>
      </c>
      <c r="C4158" s="9" t="n">
        <v>100</v>
      </c>
      <c r="D4158" s="8" t="s">
        <v>45</v>
      </c>
      <c r="E4158" s="10" t="s">
        <v>39</v>
      </c>
      <c r="F4158" s="8" t="str">
        <f aca="false">TEXT(A4158,"MM-YYYY")</f>
        <v>10-2025</v>
      </c>
      <c r="G4158" s="8" t="s">
        <v>14</v>
      </c>
      <c r="H4158" s="8" t="s">
        <v>232</v>
      </c>
      <c r="I4158" s="7" t="n">
        <v>45939</v>
      </c>
      <c r="J4158" s="8" t="str">
        <f aca="false">VLOOKUP(B4158, Table3[#All], 2, FALSE())</f>
        <v>Inventory</v>
      </c>
      <c r="K4158" s="8" t="str">
        <f aca="false">TEXT(ROW(), "0000")</f>
        <v>4158</v>
      </c>
      <c r="L4158" s="8"/>
    </row>
    <row r="4159" customFormat="false" ht="15.75" hidden="false" customHeight="true" outlineLevel="0" collapsed="false">
      <c r="A4159" s="7" t="n">
        <v>45939</v>
      </c>
      <c r="B4159" s="8" t="s">
        <v>43</v>
      </c>
      <c r="C4159" s="9" t="n">
        <v>670</v>
      </c>
      <c r="D4159" s="8" t="s">
        <v>13</v>
      </c>
      <c r="E4159" s="10" t="s">
        <v>562</v>
      </c>
      <c r="F4159" s="8" t="str">
        <f aca="false">TEXT(A4159,"MM-YYYY")</f>
        <v>10-2025</v>
      </c>
      <c r="G4159" s="8" t="s">
        <v>14</v>
      </c>
      <c r="H4159" s="8" t="s">
        <v>13</v>
      </c>
      <c r="I4159" s="7" t="n">
        <v>45939</v>
      </c>
      <c r="J4159" s="8" t="str">
        <f aca="false">VLOOKUP(B4159, Table3[#All], 2, FALSE())</f>
        <v>Maintance</v>
      </c>
      <c r="K4159" s="8" t="str">
        <f aca="false">TEXT(ROW(), "0000")</f>
        <v>4159</v>
      </c>
      <c r="L4159" s="8"/>
    </row>
    <row r="4160" customFormat="false" ht="15.75" hidden="false" customHeight="true" outlineLevel="0" collapsed="false">
      <c r="A4160" s="7" t="n">
        <v>45939</v>
      </c>
      <c r="B4160" s="8" t="s">
        <v>29</v>
      </c>
      <c r="C4160" s="9" t="n">
        <v>387</v>
      </c>
      <c r="D4160" s="8" t="s">
        <v>13</v>
      </c>
      <c r="E4160" s="10" t="s">
        <v>490</v>
      </c>
      <c r="F4160" s="8" t="str">
        <f aca="false">TEXT(A4160,"MM-YYYY")</f>
        <v>10-2025</v>
      </c>
      <c r="G4160" s="8" t="s">
        <v>18</v>
      </c>
      <c r="H4160" s="8"/>
      <c r="I4160" s="7"/>
      <c r="J4160" s="8" t="str">
        <f aca="false">VLOOKUP(B4160, Table3[#All], 2, FALSE())</f>
        <v>Inventory</v>
      </c>
      <c r="K4160" s="8" t="str">
        <f aca="false">TEXT(ROW(), "0000")</f>
        <v>4160</v>
      </c>
      <c r="L4160" s="8"/>
    </row>
    <row r="4161" customFormat="false" ht="15.75" hidden="false" customHeight="true" outlineLevel="0" collapsed="false">
      <c r="A4161" s="7" t="n">
        <v>45939</v>
      </c>
      <c r="B4161" s="8" t="s">
        <v>28</v>
      </c>
      <c r="C4161" s="9" t="n">
        <v>410</v>
      </c>
      <c r="D4161" s="8" t="s">
        <v>21</v>
      </c>
      <c r="E4161" s="10" t="s">
        <v>93</v>
      </c>
      <c r="F4161" s="8" t="str">
        <f aca="false">TEXT(A4161,"MM-YYYY")</f>
        <v>10-2025</v>
      </c>
      <c r="G4161" s="8" t="s">
        <v>14</v>
      </c>
      <c r="H4161" s="8" t="s">
        <v>15</v>
      </c>
      <c r="I4161" s="7" t="n">
        <v>45939</v>
      </c>
      <c r="J4161" s="8" t="str">
        <f aca="false">VLOOKUP(B4161, Table3[#All], 2, FALSE())</f>
        <v>Grocery</v>
      </c>
      <c r="K4161" s="8" t="str">
        <f aca="false">TEXT(ROW(), "0000")</f>
        <v>4161</v>
      </c>
      <c r="L4161" s="8"/>
    </row>
    <row r="4162" customFormat="false" ht="15.75" hidden="false" customHeight="true" outlineLevel="0" collapsed="false">
      <c r="A4162" s="7" t="n">
        <v>45939</v>
      </c>
      <c r="B4162" s="8" t="s">
        <v>199</v>
      </c>
      <c r="C4162" s="9" t="n">
        <v>1773</v>
      </c>
      <c r="D4162" s="8" t="s">
        <v>13</v>
      </c>
      <c r="E4162" s="10" t="s">
        <v>200</v>
      </c>
      <c r="F4162" s="8" t="str">
        <f aca="false">TEXT(A4162,"MM-YYYY")</f>
        <v>10-2025</v>
      </c>
      <c r="G4162" s="8" t="s">
        <v>14</v>
      </c>
      <c r="H4162" s="8" t="s">
        <v>13</v>
      </c>
      <c r="I4162" s="7" t="n">
        <v>45939</v>
      </c>
      <c r="J4162" s="8" t="str">
        <f aca="false">VLOOKUP(B4162, Table3[#All], 2, FALSE())</f>
        <v>Fixed Maintance</v>
      </c>
      <c r="K4162" s="8" t="str">
        <f aca="false">TEXT(ROW(), "0000")</f>
        <v>4162</v>
      </c>
      <c r="L4162" s="8"/>
    </row>
    <row r="4163" customFormat="false" ht="15.75" hidden="false" customHeight="true" outlineLevel="0" collapsed="false">
      <c r="A4163" s="7" t="n">
        <v>45939</v>
      </c>
      <c r="B4163" s="8" t="s">
        <v>44</v>
      </c>
      <c r="C4163" s="9" t="n">
        <v>5000</v>
      </c>
      <c r="D4163" s="8" t="s">
        <v>13</v>
      </c>
      <c r="E4163" s="10" t="s">
        <v>236</v>
      </c>
      <c r="F4163" s="8" t="str">
        <f aca="false">TEXT(A4163,"MM-YYYY")</f>
        <v>10-2025</v>
      </c>
      <c r="G4163" s="8" t="s">
        <v>14</v>
      </c>
      <c r="H4163" s="8" t="s">
        <v>13</v>
      </c>
      <c r="I4163" s="7" t="n">
        <v>45939</v>
      </c>
      <c r="J4163" s="8" t="str">
        <f aca="false">VLOOKUP(B4163, Table3[#All], 2, FALSE())</f>
        <v>Salary</v>
      </c>
      <c r="K4163" s="8" t="str">
        <f aca="false">TEXT(ROW(), "0000")</f>
        <v>4163</v>
      </c>
      <c r="L4163" s="8"/>
    </row>
    <row r="4164" customFormat="false" ht="15.75" hidden="false" customHeight="true" outlineLevel="0" collapsed="false">
      <c r="A4164" s="7" t="n">
        <v>45939</v>
      </c>
      <c r="B4164" s="8" t="s">
        <v>16</v>
      </c>
      <c r="C4164" s="9" t="n">
        <v>2854</v>
      </c>
      <c r="D4164" s="8" t="s">
        <v>21</v>
      </c>
      <c r="E4164" s="10" t="s">
        <v>88</v>
      </c>
      <c r="F4164" s="8" t="str">
        <f aca="false">TEXT(A4164,"MM-YYYY")</f>
        <v>10-2025</v>
      </c>
      <c r="G4164" s="8"/>
      <c r="H4164" s="8"/>
      <c r="I4164" s="7"/>
      <c r="J4164" s="8" t="str">
        <f aca="false">VLOOKUP(B4164, Table3[#All], 2, FALSE())</f>
        <v>Sales</v>
      </c>
      <c r="K4164" s="8" t="str">
        <f aca="false">TEXT(ROW(), "0000")</f>
        <v>4164</v>
      </c>
      <c r="L4164" s="8"/>
    </row>
    <row r="4165" customFormat="false" ht="15.75" hidden="false" customHeight="true" outlineLevel="0" collapsed="false">
      <c r="A4165" s="7" t="n">
        <v>45939</v>
      </c>
      <c r="B4165" s="8" t="s">
        <v>16</v>
      </c>
      <c r="C4165" s="9" t="n">
        <v>210</v>
      </c>
      <c r="D4165" s="8" t="s">
        <v>27</v>
      </c>
      <c r="E4165" s="10" t="s">
        <v>88</v>
      </c>
      <c r="F4165" s="8" t="str">
        <f aca="false">TEXT(A4165,"MM-YYYY")</f>
        <v>10-2025</v>
      </c>
      <c r="G4165" s="8"/>
      <c r="H4165" s="8"/>
      <c r="I4165" s="7"/>
      <c r="J4165" s="8" t="str">
        <f aca="false">VLOOKUP(B4165, Table3[#All], 2, FALSE())</f>
        <v>Sales</v>
      </c>
      <c r="K4165" s="8" t="str">
        <f aca="false">TEXT(ROW(), "0000")</f>
        <v>4165</v>
      </c>
      <c r="L4165" s="8"/>
    </row>
    <row r="4166" customFormat="false" ht="15.75" hidden="false" customHeight="true" outlineLevel="0" collapsed="false">
      <c r="A4166" s="7" t="n">
        <v>45939</v>
      </c>
      <c r="B4166" s="8" t="s">
        <v>16</v>
      </c>
      <c r="C4166" s="9" t="n">
        <v>1725</v>
      </c>
      <c r="D4166" s="8" t="s">
        <v>33</v>
      </c>
      <c r="E4166" s="10" t="s">
        <v>88</v>
      </c>
      <c r="F4166" s="8" t="str">
        <f aca="false">TEXT(A4166,"MM-YYYY")</f>
        <v>10-2025</v>
      </c>
      <c r="G4166" s="8"/>
      <c r="H4166" s="8"/>
      <c r="I4166" s="7"/>
      <c r="J4166" s="8" t="str">
        <f aca="false">VLOOKUP(B4166, Table3[#All], 2, FALSE())</f>
        <v>Sales</v>
      </c>
      <c r="K4166" s="8" t="str">
        <f aca="false">TEXT(ROW(), "0000")</f>
        <v>4166</v>
      </c>
      <c r="L4166" s="8"/>
    </row>
    <row r="4167" customFormat="false" ht="15.75" hidden="false" customHeight="true" outlineLevel="0" collapsed="false">
      <c r="A4167" s="7" t="n">
        <v>45939</v>
      </c>
      <c r="B4167" s="8" t="s">
        <v>16</v>
      </c>
      <c r="C4167" s="9" t="n">
        <v>12820</v>
      </c>
      <c r="D4167" s="8" t="s">
        <v>17</v>
      </c>
      <c r="E4167" s="10" t="s">
        <v>88</v>
      </c>
      <c r="F4167" s="8" t="str">
        <f aca="false">TEXT(A4167,"MM-YYYY")</f>
        <v>10-2025</v>
      </c>
      <c r="G4167" s="8"/>
      <c r="H4167" s="8"/>
      <c r="I4167" s="7"/>
      <c r="J4167" s="8" t="str">
        <f aca="false">VLOOKUP(B4167, Table3[#All], 2, FALSE())</f>
        <v>Sales</v>
      </c>
      <c r="K4167" s="8" t="str">
        <f aca="false">TEXT(ROW(), "0000")</f>
        <v>4167</v>
      </c>
      <c r="L4167" s="8"/>
    </row>
    <row r="4168" customFormat="false" ht="15.75" hidden="false" customHeight="true" outlineLevel="0" collapsed="false">
      <c r="A4168" s="7" t="n">
        <v>45939</v>
      </c>
      <c r="B4168" s="8" t="s">
        <v>16</v>
      </c>
      <c r="C4168" s="9" t="n">
        <v>693</v>
      </c>
      <c r="D4168" s="8" t="s">
        <v>24</v>
      </c>
      <c r="E4168" s="10" t="s">
        <v>88</v>
      </c>
      <c r="F4168" s="8" t="str">
        <f aca="false">TEXT(A4168,"MM-YYYY")</f>
        <v>10-2025</v>
      </c>
      <c r="G4168" s="8"/>
      <c r="H4168" s="8"/>
      <c r="I4168" s="7"/>
      <c r="J4168" s="8" t="str">
        <f aca="false">VLOOKUP(B4168, Table3[#All], 2, FALSE())</f>
        <v>Sales</v>
      </c>
      <c r="K4168" s="8" t="str">
        <f aca="false">TEXT(ROW(), "0000")</f>
        <v>4168</v>
      </c>
      <c r="L4168" s="8"/>
    </row>
    <row r="4169" customFormat="false" ht="15.75" hidden="false" customHeight="true" outlineLevel="0" collapsed="false">
      <c r="A4169" s="7" t="n">
        <v>45939</v>
      </c>
      <c r="B4169" s="8" t="s">
        <v>34</v>
      </c>
      <c r="C4169" s="9" t="n">
        <v>174</v>
      </c>
      <c r="D4169" s="8" t="s">
        <v>21</v>
      </c>
      <c r="E4169" s="10" t="s">
        <v>545</v>
      </c>
      <c r="F4169" s="8" t="str">
        <f aca="false">TEXT(A4169,"MM-YYYY")</f>
        <v>10-2025</v>
      </c>
      <c r="G4169" s="8" t="s">
        <v>14</v>
      </c>
      <c r="H4169" s="8" t="s">
        <v>15</v>
      </c>
      <c r="I4169" s="7" t="n">
        <v>45939</v>
      </c>
      <c r="J4169" s="8" t="str">
        <f aca="false">VLOOKUP(B4169, Table3[#All], 2, FALSE())</f>
        <v>Staff Expenses</v>
      </c>
      <c r="K4169" s="8" t="str">
        <f aca="false">TEXT(ROW(), "0000")</f>
        <v>4169</v>
      </c>
      <c r="L4169" s="8"/>
    </row>
    <row r="4170" customFormat="false" ht="15.75" hidden="false" customHeight="true" outlineLevel="0" collapsed="false">
      <c r="A4170" s="7" t="n">
        <v>45939</v>
      </c>
      <c r="B4170" s="8" t="s">
        <v>53</v>
      </c>
      <c r="C4170" s="9" t="n">
        <v>950</v>
      </c>
      <c r="D4170" s="8" t="s">
        <v>21</v>
      </c>
      <c r="E4170" s="10" t="s">
        <v>55</v>
      </c>
      <c r="F4170" s="8" t="str">
        <f aca="false">TEXT(A4170,"MM-YYYY")</f>
        <v>10-2025</v>
      </c>
      <c r="G4170" s="8" t="s">
        <v>14</v>
      </c>
      <c r="H4170" s="8" t="s">
        <v>15</v>
      </c>
      <c r="I4170" s="7" t="n">
        <v>45939</v>
      </c>
      <c r="J4170" s="8" t="str">
        <f aca="false">VLOOKUP(B4170, Table3[#All], 2, FALSE())</f>
        <v>Grocery</v>
      </c>
      <c r="K4170" s="8" t="str">
        <f aca="false">TEXT(ROW(), "0000")</f>
        <v>4170</v>
      </c>
      <c r="L4170" s="8"/>
    </row>
    <row r="4171" customFormat="false" ht="15.75" hidden="false" customHeight="true" outlineLevel="0" collapsed="false">
      <c r="A4171" s="7" t="n">
        <v>45940</v>
      </c>
      <c r="B4171" s="8" t="s">
        <v>19</v>
      </c>
      <c r="C4171" s="9" t="n">
        <v>3102</v>
      </c>
      <c r="D4171" s="8" t="s">
        <v>13</v>
      </c>
      <c r="E4171" s="10" t="s">
        <v>473</v>
      </c>
      <c r="F4171" s="8" t="str">
        <f aca="false">TEXT(A4171,"MM-YYYY")</f>
        <v>10-2025</v>
      </c>
      <c r="G4171" s="8" t="s">
        <v>14</v>
      </c>
      <c r="H4171" s="8"/>
      <c r="I4171" s="7"/>
      <c r="J4171" s="8" t="str">
        <f aca="false">VLOOKUP(B4171, Table3[#All], 2, FALSE())</f>
        <v>Inventory</v>
      </c>
      <c r="K4171" s="8" t="str">
        <f aca="false">TEXT(ROW(), "0000")</f>
        <v>4171</v>
      </c>
      <c r="L4171" s="8"/>
    </row>
    <row r="4172" customFormat="false" ht="15.75" hidden="false" customHeight="true" outlineLevel="0" collapsed="false">
      <c r="A4172" s="7" t="n">
        <v>45940</v>
      </c>
      <c r="B4172" s="8" t="s">
        <v>25</v>
      </c>
      <c r="C4172" s="9" t="n">
        <v>685</v>
      </c>
      <c r="D4172" s="8" t="s">
        <v>13</v>
      </c>
      <c r="E4172" s="10" t="s">
        <v>92</v>
      </c>
      <c r="F4172" s="8" t="str">
        <f aca="false">TEXT(A4172,"MM-YYYY")</f>
        <v>10-2025</v>
      </c>
      <c r="G4172" s="8" t="s">
        <v>18</v>
      </c>
      <c r="H4172" s="8"/>
      <c r="I4172" s="7"/>
      <c r="J4172" s="8" t="str">
        <f aca="false">VLOOKUP(B4172, Table3[#All], 2, FALSE())</f>
        <v>Inventory</v>
      </c>
      <c r="K4172" s="8" t="str">
        <f aca="false">TEXT(ROW(), "0000")</f>
        <v>4172</v>
      </c>
      <c r="L4172" s="8"/>
    </row>
    <row r="4173" customFormat="false" ht="15.75" hidden="false" customHeight="true" outlineLevel="0" collapsed="false">
      <c r="A4173" s="7" t="n">
        <v>45940</v>
      </c>
      <c r="B4173" s="8" t="s">
        <v>22</v>
      </c>
      <c r="C4173" s="9" t="n">
        <v>55</v>
      </c>
      <c r="D4173" s="8" t="s">
        <v>21</v>
      </c>
      <c r="E4173" s="10" t="s">
        <v>479</v>
      </c>
      <c r="F4173" s="8" t="str">
        <f aca="false">TEXT(A4173,"MM-YYYY")</f>
        <v>10-2025</v>
      </c>
      <c r="G4173" s="8" t="s">
        <v>14</v>
      </c>
      <c r="H4173" s="8" t="s">
        <v>15</v>
      </c>
      <c r="I4173" s="7" t="n">
        <v>45940</v>
      </c>
      <c r="J4173" s="8" t="str">
        <f aca="false">VLOOKUP(B4173, Table3[#All], 2, FALSE())</f>
        <v>Inventory</v>
      </c>
      <c r="K4173" s="8" t="str">
        <f aca="false">TEXT(ROW(), "0000")</f>
        <v>4173</v>
      </c>
      <c r="L4173" s="8"/>
    </row>
    <row r="4174" customFormat="false" ht="15.75" hidden="false" customHeight="true" outlineLevel="0" collapsed="false">
      <c r="A4174" s="7" t="n">
        <v>45940</v>
      </c>
      <c r="B4174" s="8" t="s">
        <v>31</v>
      </c>
      <c r="C4174" s="9" t="n">
        <v>310</v>
      </c>
      <c r="D4174" s="8" t="s">
        <v>45</v>
      </c>
      <c r="E4174" s="10" t="s">
        <v>236</v>
      </c>
      <c r="F4174" s="8" t="str">
        <f aca="false">TEXT(A4174,"MM-YYYY")</f>
        <v>10-2025</v>
      </c>
      <c r="G4174" s="8" t="s">
        <v>14</v>
      </c>
      <c r="H4174" s="8" t="s">
        <v>232</v>
      </c>
      <c r="I4174" s="7" t="n">
        <v>45940</v>
      </c>
      <c r="J4174" s="8" t="str">
        <f aca="false">VLOOKUP(B4174, Table3[#All], 2, FALSE())</f>
        <v>Bike Maintance</v>
      </c>
      <c r="K4174" s="8" t="str">
        <f aca="false">TEXT(ROW(), "0000")</f>
        <v>4174</v>
      </c>
      <c r="L4174" s="8"/>
    </row>
    <row r="4175" customFormat="false" ht="15.75" hidden="false" customHeight="true" outlineLevel="0" collapsed="false">
      <c r="A4175" s="7" t="n">
        <v>45940</v>
      </c>
      <c r="B4175" s="8" t="s">
        <v>25</v>
      </c>
      <c r="C4175" s="9" t="n">
        <v>250</v>
      </c>
      <c r="D4175" s="8" t="s">
        <v>45</v>
      </c>
      <c r="E4175" s="10" t="s">
        <v>581</v>
      </c>
      <c r="F4175" s="8" t="str">
        <f aca="false">TEXT(A4175,"MM-YYYY")</f>
        <v>10-2025</v>
      </c>
      <c r="G4175" s="8" t="s">
        <v>14</v>
      </c>
      <c r="H4175" s="8" t="s">
        <v>232</v>
      </c>
      <c r="I4175" s="7" t="n">
        <v>45940</v>
      </c>
      <c r="J4175" s="8" t="str">
        <f aca="false">VLOOKUP(B4175, Table3[#All], 2, FALSE())</f>
        <v>Inventory</v>
      </c>
      <c r="K4175" s="8" t="str">
        <f aca="false">TEXT(ROW(), "0000")</f>
        <v>4175</v>
      </c>
      <c r="L4175" s="8"/>
    </row>
    <row r="4176" customFormat="false" ht="15.75" hidden="false" customHeight="true" outlineLevel="0" collapsed="false">
      <c r="A4176" s="7" t="n">
        <v>45940</v>
      </c>
      <c r="B4176" s="8" t="s">
        <v>43</v>
      </c>
      <c r="C4176" s="9" t="n">
        <v>155</v>
      </c>
      <c r="D4176" s="8" t="s">
        <v>45</v>
      </c>
      <c r="E4176" s="10" t="s">
        <v>562</v>
      </c>
      <c r="F4176" s="8" t="str">
        <f aca="false">TEXT(A4176,"MM-YYYY")</f>
        <v>10-2025</v>
      </c>
      <c r="G4176" s="8" t="s">
        <v>14</v>
      </c>
      <c r="H4176" s="8" t="s">
        <v>232</v>
      </c>
      <c r="I4176" s="7" t="n">
        <v>45940</v>
      </c>
      <c r="J4176" s="8" t="str">
        <f aca="false">VLOOKUP(B4176, Table3[#All], 2, FALSE())</f>
        <v>Maintance</v>
      </c>
      <c r="K4176" s="8" t="str">
        <f aca="false">TEXT(ROW(), "0000")</f>
        <v>4176</v>
      </c>
      <c r="L4176" s="8"/>
    </row>
    <row r="4177" customFormat="false" ht="15.75" hidden="false" customHeight="true" outlineLevel="0" collapsed="false">
      <c r="A4177" s="7" t="n">
        <v>45940</v>
      </c>
      <c r="B4177" s="8" t="s">
        <v>29</v>
      </c>
      <c r="C4177" s="9" t="n">
        <v>278</v>
      </c>
      <c r="D4177" s="8" t="s">
        <v>13</v>
      </c>
      <c r="E4177" s="10" t="s">
        <v>490</v>
      </c>
      <c r="F4177" s="8" t="str">
        <f aca="false">TEXT(A4177,"MM-YYYY")</f>
        <v>10-2025</v>
      </c>
      <c r="G4177" s="8" t="s">
        <v>18</v>
      </c>
      <c r="H4177" s="8"/>
      <c r="I4177" s="7"/>
      <c r="J4177" s="8" t="str">
        <f aca="false">VLOOKUP(B4177, Table3[#All], 2, FALSE())</f>
        <v>Inventory</v>
      </c>
      <c r="K4177" s="8" t="str">
        <f aca="false">TEXT(ROW(), "0000")</f>
        <v>4177</v>
      </c>
      <c r="L4177" s="8"/>
    </row>
    <row r="4178" customFormat="false" ht="15.75" hidden="false" customHeight="true" outlineLevel="0" collapsed="false">
      <c r="A4178" s="7" t="n">
        <v>45940</v>
      </c>
      <c r="B4178" s="8" t="s">
        <v>51</v>
      </c>
      <c r="C4178" s="9" t="n">
        <v>9035</v>
      </c>
      <c r="D4178" s="8" t="s">
        <v>13</v>
      </c>
      <c r="E4178" s="10" t="s">
        <v>539</v>
      </c>
      <c r="F4178" s="8" t="str">
        <f aca="false">TEXT(A4178,"MM-YYYY")</f>
        <v>10-2025</v>
      </c>
      <c r="G4178" s="8" t="s">
        <v>18</v>
      </c>
      <c r="H4178" s="8"/>
      <c r="I4178" s="7"/>
      <c r="J4178" s="8" t="str">
        <f aca="false">VLOOKUP(B4178, Table3[#All], 2, FALSE())</f>
        <v>Inventory</v>
      </c>
      <c r="K4178" s="8" t="str">
        <f aca="false">TEXT(ROW(), "0000")</f>
        <v>4178</v>
      </c>
      <c r="L4178" s="8"/>
    </row>
    <row r="4179" customFormat="false" ht="15.75" hidden="false" customHeight="true" outlineLevel="0" collapsed="false">
      <c r="A4179" s="7" t="n">
        <v>45940</v>
      </c>
      <c r="B4179" s="8" t="s">
        <v>60</v>
      </c>
      <c r="C4179" s="9" t="n">
        <v>210</v>
      </c>
      <c r="D4179" s="8" t="s">
        <v>21</v>
      </c>
      <c r="E4179" s="10" t="s">
        <v>136</v>
      </c>
      <c r="F4179" s="8" t="str">
        <f aca="false">TEXT(A4179,"MM-YYYY")</f>
        <v>10-2025</v>
      </c>
      <c r="G4179" s="8" t="s">
        <v>14</v>
      </c>
      <c r="H4179" s="8" t="s">
        <v>15</v>
      </c>
      <c r="I4179" s="7" t="n">
        <v>45940</v>
      </c>
      <c r="J4179" s="8" t="str">
        <f aca="false">VLOOKUP(B4179, Table3[#All], 2, FALSE())</f>
        <v>Inventory</v>
      </c>
      <c r="K4179" s="8" t="str">
        <f aca="false">TEXT(ROW(), "0000")</f>
        <v>4179</v>
      </c>
      <c r="L4179" s="8"/>
    </row>
    <row r="4180" customFormat="false" ht="15.75" hidden="false" customHeight="true" outlineLevel="0" collapsed="false">
      <c r="A4180" s="7" t="n">
        <v>45940</v>
      </c>
      <c r="B4180" s="8" t="s">
        <v>50</v>
      </c>
      <c r="C4180" s="9" t="n">
        <v>1609</v>
      </c>
      <c r="D4180" s="8" t="s">
        <v>13</v>
      </c>
      <c r="E4180" s="10" t="s">
        <v>263</v>
      </c>
      <c r="F4180" s="8" t="str">
        <f aca="false">TEXT(A4180,"MM-YYYY")</f>
        <v>10-2025</v>
      </c>
      <c r="G4180" s="8" t="s">
        <v>18</v>
      </c>
      <c r="H4180" s="8"/>
      <c r="I4180" s="7"/>
      <c r="J4180" s="8" t="str">
        <f aca="false">VLOOKUP(B4180, Table3[#All], 2, FALSE())</f>
        <v>Fixed Maintance</v>
      </c>
      <c r="K4180" s="8" t="str">
        <f aca="false">TEXT(ROW(), "0000")</f>
        <v>4180</v>
      </c>
      <c r="L4180" s="8"/>
    </row>
    <row r="4181" customFormat="false" ht="15.75" hidden="false" customHeight="true" outlineLevel="0" collapsed="false">
      <c r="A4181" s="7" t="n">
        <v>45940</v>
      </c>
      <c r="B4181" s="8" t="s">
        <v>47</v>
      </c>
      <c r="C4181" s="9" t="n">
        <v>1800</v>
      </c>
      <c r="D4181" s="8" t="s">
        <v>13</v>
      </c>
      <c r="E4181" s="10" t="s">
        <v>484</v>
      </c>
      <c r="F4181" s="8" t="str">
        <f aca="false">TEXT(A4181,"MM-YYYY")</f>
        <v>10-2025</v>
      </c>
      <c r="G4181" s="8" t="s">
        <v>18</v>
      </c>
      <c r="H4181" s="8"/>
      <c r="I4181" s="7"/>
      <c r="J4181" s="8" t="str">
        <f aca="false">VLOOKUP(B4181, Table3[#All], 2, FALSE())</f>
        <v>Inventory</v>
      </c>
      <c r="K4181" s="8" t="str">
        <f aca="false">TEXT(ROW(), "0000")</f>
        <v>4181</v>
      </c>
      <c r="L4181" s="8"/>
    </row>
    <row r="4182" customFormat="false" ht="15.75" hidden="false" customHeight="true" outlineLevel="0" collapsed="false">
      <c r="A4182" s="7" t="n">
        <v>45940</v>
      </c>
      <c r="B4182" s="8" t="s">
        <v>16</v>
      </c>
      <c r="C4182" s="9" t="n">
        <v>4545</v>
      </c>
      <c r="D4182" s="8" t="s">
        <v>21</v>
      </c>
      <c r="E4182" s="10" t="s">
        <v>88</v>
      </c>
      <c r="F4182" s="8" t="str">
        <f aca="false">TEXT(A4182,"MM-YYYY")</f>
        <v>10-2025</v>
      </c>
      <c r="G4182" s="8"/>
      <c r="H4182" s="8"/>
      <c r="I4182" s="7"/>
      <c r="J4182" s="8" t="str">
        <f aca="false">VLOOKUP(B4182, Table3[#All], 2, FALSE())</f>
        <v>Sales</v>
      </c>
      <c r="K4182" s="8" t="str">
        <f aca="false">TEXT(ROW(), "0000")</f>
        <v>4182</v>
      </c>
      <c r="L4182" s="8"/>
    </row>
    <row r="4183" customFormat="false" ht="15.75" hidden="false" customHeight="true" outlineLevel="0" collapsed="false">
      <c r="A4183" s="7" t="n">
        <v>45940</v>
      </c>
      <c r="B4183" s="8" t="s">
        <v>16</v>
      </c>
      <c r="C4183" s="9" t="n">
        <v>1555</v>
      </c>
      <c r="D4183" s="8" t="s">
        <v>27</v>
      </c>
      <c r="E4183" s="10" t="s">
        <v>88</v>
      </c>
      <c r="F4183" s="8" t="str">
        <f aca="false">TEXT(A4183,"MM-YYYY")</f>
        <v>10-2025</v>
      </c>
      <c r="G4183" s="8"/>
      <c r="H4183" s="8"/>
      <c r="I4183" s="7"/>
      <c r="J4183" s="8" t="str">
        <f aca="false">VLOOKUP(B4183, Table3[#All], 2, FALSE())</f>
        <v>Sales</v>
      </c>
      <c r="K4183" s="8" t="str">
        <f aca="false">TEXT(ROW(), "0000")</f>
        <v>4183</v>
      </c>
      <c r="L4183" s="8"/>
    </row>
    <row r="4184" customFormat="false" ht="15.75" hidden="false" customHeight="true" outlineLevel="0" collapsed="false">
      <c r="A4184" s="7" t="n">
        <v>45940</v>
      </c>
      <c r="B4184" s="8" t="s">
        <v>16</v>
      </c>
      <c r="C4184" s="9" t="n">
        <v>570</v>
      </c>
      <c r="D4184" s="8" t="s">
        <v>33</v>
      </c>
      <c r="E4184" s="10" t="s">
        <v>88</v>
      </c>
      <c r="F4184" s="8" t="str">
        <f aca="false">TEXT(A4184,"MM-YYYY")</f>
        <v>10-2025</v>
      </c>
      <c r="G4184" s="8"/>
      <c r="H4184" s="8"/>
      <c r="I4184" s="7"/>
      <c r="J4184" s="8" t="str">
        <f aca="false">VLOOKUP(B4184, Table3[#All], 2, FALSE())</f>
        <v>Sales</v>
      </c>
      <c r="K4184" s="8" t="str">
        <f aca="false">TEXT(ROW(), "0000")</f>
        <v>4184</v>
      </c>
      <c r="L4184" s="8"/>
    </row>
    <row r="4185" customFormat="false" ht="15.75" hidden="false" customHeight="true" outlineLevel="0" collapsed="false">
      <c r="A4185" s="7" t="n">
        <v>45940</v>
      </c>
      <c r="B4185" s="8" t="s">
        <v>16</v>
      </c>
      <c r="C4185" s="9" t="n">
        <v>17584</v>
      </c>
      <c r="D4185" s="8" t="s">
        <v>17</v>
      </c>
      <c r="E4185" s="10" t="s">
        <v>88</v>
      </c>
      <c r="F4185" s="8" t="str">
        <f aca="false">TEXT(A4185,"MM-YYYY")</f>
        <v>10-2025</v>
      </c>
      <c r="G4185" s="8"/>
      <c r="H4185" s="8"/>
      <c r="I4185" s="7"/>
      <c r="J4185" s="8" t="str">
        <f aca="false">VLOOKUP(B4185, Table3[#All], 2, FALSE())</f>
        <v>Sales</v>
      </c>
      <c r="K4185" s="8" t="str">
        <f aca="false">TEXT(ROW(), "0000")</f>
        <v>4185</v>
      </c>
      <c r="L4185" s="8"/>
    </row>
    <row r="4186" customFormat="false" ht="15.75" hidden="false" customHeight="true" outlineLevel="0" collapsed="false">
      <c r="A4186" s="7" t="n">
        <v>45940</v>
      </c>
      <c r="B4186" s="8" t="s">
        <v>16</v>
      </c>
      <c r="C4186" s="9" t="n">
        <v>4596</v>
      </c>
      <c r="D4186" s="8" t="s">
        <v>24</v>
      </c>
      <c r="E4186" s="10" t="s">
        <v>88</v>
      </c>
      <c r="F4186" s="8" t="str">
        <f aca="false">TEXT(A4186,"MM-YYYY")</f>
        <v>10-2025</v>
      </c>
      <c r="G4186" s="8"/>
      <c r="H4186" s="8"/>
      <c r="I4186" s="7"/>
      <c r="J4186" s="8" t="str">
        <f aca="false">VLOOKUP(B4186, Table3[#All], 2, FALSE())</f>
        <v>Sales</v>
      </c>
      <c r="K4186" s="8" t="str">
        <f aca="false">TEXT(ROW(), "0000")</f>
        <v>4186</v>
      </c>
      <c r="L4186" s="8"/>
    </row>
    <row r="4187" customFormat="false" ht="15.75" hidden="false" customHeight="true" outlineLevel="0" collapsed="false">
      <c r="A4187" s="7" t="n">
        <v>45940</v>
      </c>
      <c r="B4187" s="8" t="s">
        <v>16</v>
      </c>
      <c r="C4187" s="9" t="n">
        <v>210</v>
      </c>
      <c r="D4187" s="8" t="s">
        <v>59</v>
      </c>
      <c r="E4187" s="10" t="s">
        <v>88</v>
      </c>
      <c r="F4187" s="8" t="str">
        <f aca="false">TEXT(A4187,"MM-YYYY")</f>
        <v>10-2025</v>
      </c>
      <c r="G4187" s="8"/>
      <c r="H4187" s="8"/>
      <c r="I4187" s="7"/>
      <c r="J4187" s="8" t="str">
        <f aca="false">VLOOKUP(B4187, Table3[#All], 2, FALSE())</f>
        <v>Sales</v>
      </c>
      <c r="K4187" s="8" t="str">
        <f aca="false">TEXT(ROW(), "0000")</f>
        <v>4187</v>
      </c>
      <c r="L4187" s="8"/>
    </row>
    <row r="4188" customFormat="false" ht="15.75" hidden="false" customHeight="true" outlineLevel="0" collapsed="false">
      <c r="A4188" s="7" t="n">
        <v>45940</v>
      </c>
      <c r="B4188" s="8" t="s">
        <v>34</v>
      </c>
      <c r="C4188" s="9" t="n">
        <v>165</v>
      </c>
      <c r="D4188" s="8" t="s">
        <v>45</v>
      </c>
      <c r="E4188" s="10" t="s">
        <v>545</v>
      </c>
      <c r="F4188" s="8" t="str">
        <f aca="false">TEXT(A4188,"MM-YYYY")</f>
        <v>10-2025</v>
      </c>
      <c r="G4188" s="8" t="s">
        <v>14</v>
      </c>
      <c r="H4188" s="8" t="s">
        <v>232</v>
      </c>
      <c r="I4188" s="7" t="n">
        <v>45941</v>
      </c>
      <c r="J4188" s="8" t="str">
        <f aca="false">VLOOKUP(B4188, Table3[#All], 2, FALSE())</f>
        <v>Staff Expenses</v>
      </c>
      <c r="K4188" s="8" t="str">
        <f aca="false">TEXT(ROW(), "0000")</f>
        <v>4188</v>
      </c>
      <c r="L4188" s="8"/>
    </row>
    <row r="4189" customFormat="false" ht="15.75" hidden="false" customHeight="true" outlineLevel="0" collapsed="false">
      <c r="A4189" s="7" t="n">
        <v>45941</v>
      </c>
      <c r="B4189" s="8" t="s">
        <v>43</v>
      </c>
      <c r="C4189" s="9" t="n">
        <v>270</v>
      </c>
      <c r="D4189" s="8" t="s">
        <v>45</v>
      </c>
      <c r="E4189" s="10" t="s">
        <v>562</v>
      </c>
      <c r="F4189" s="8" t="str">
        <f aca="false">TEXT(A4189,"MM-YYYY")</f>
        <v>10-2025</v>
      </c>
      <c r="G4189" s="8" t="s">
        <v>14</v>
      </c>
      <c r="H4189" s="8" t="s">
        <v>232</v>
      </c>
      <c r="I4189" s="7" t="n">
        <v>45941</v>
      </c>
      <c r="J4189" s="8" t="str">
        <f aca="false">VLOOKUP(B4189, Table3[#All], 2, FALSE())</f>
        <v>Maintance</v>
      </c>
      <c r="K4189" s="8" t="str">
        <f aca="false">TEXT(ROW(), "0000")</f>
        <v>4189</v>
      </c>
      <c r="L4189" s="8"/>
    </row>
    <row r="4190" customFormat="false" ht="15.75" hidden="false" customHeight="true" outlineLevel="0" collapsed="false">
      <c r="A4190" s="7" t="n">
        <v>45941</v>
      </c>
      <c r="B4190" s="8" t="s">
        <v>25</v>
      </c>
      <c r="C4190" s="9" t="n">
        <v>1200</v>
      </c>
      <c r="D4190" s="8" t="s">
        <v>13</v>
      </c>
      <c r="E4190" s="10" t="s">
        <v>92</v>
      </c>
      <c r="F4190" s="8" t="str">
        <f aca="false">TEXT(A4190,"MM-YYYY")</f>
        <v>10-2025</v>
      </c>
      <c r="G4190" s="8" t="s">
        <v>18</v>
      </c>
      <c r="H4190" s="8"/>
      <c r="I4190" s="7"/>
      <c r="J4190" s="8" t="str">
        <f aca="false">VLOOKUP(B4190, Table3[#All], 2, FALSE())</f>
        <v>Inventory</v>
      </c>
      <c r="K4190" s="8" t="str">
        <f aca="false">TEXT(ROW(), "0000")</f>
        <v>4190</v>
      </c>
      <c r="L4190" s="8"/>
    </row>
    <row r="4191" customFormat="false" ht="15.75" hidden="false" customHeight="true" outlineLevel="0" collapsed="false">
      <c r="A4191" s="7" t="n">
        <v>45941</v>
      </c>
      <c r="B4191" s="8" t="s">
        <v>19</v>
      </c>
      <c r="C4191" s="9" t="n">
        <v>2426</v>
      </c>
      <c r="D4191" s="8" t="s">
        <v>13</v>
      </c>
      <c r="E4191" s="10" t="s">
        <v>473</v>
      </c>
      <c r="F4191" s="8" t="str">
        <f aca="false">TEXT(A4191,"MM-YYYY")</f>
        <v>10-2025</v>
      </c>
      <c r="G4191" s="8" t="s">
        <v>14</v>
      </c>
      <c r="H4191" s="8"/>
      <c r="I4191" s="7"/>
      <c r="J4191" s="8" t="str">
        <f aca="false">VLOOKUP(B4191, Table3[#All], 2, FALSE())</f>
        <v>Inventory</v>
      </c>
      <c r="K4191" s="8" t="str">
        <f aca="false">TEXT(ROW(), "0000")</f>
        <v>4191</v>
      </c>
      <c r="L4191" s="8"/>
    </row>
    <row r="4192" customFormat="false" ht="15.75" hidden="false" customHeight="true" outlineLevel="0" collapsed="false">
      <c r="A4192" s="7" t="n">
        <v>45941</v>
      </c>
      <c r="B4192" s="8" t="s">
        <v>25</v>
      </c>
      <c r="C4192" s="9" t="n">
        <v>330</v>
      </c>
      <c r="D4192" s="8" t="s">
        <v>45</v>
      </c>
      <c r="E4192" s="10" t="s">
        <v>557</v>
      </c>
      <c r="F4192" s="8" t="str">
        <f aca="false">TEXT(A4192,"MM-YYYY")</f>
        <v>10-2025</v>
      </c>
      <c r="G4192" s="8" t="s">
        <v>14</v>
      </c>
      <c r="H4192" s="8" t="s">
        <v>15</v>
      </c>
      <c r="I4192" s="7" t="n">
        <v>45941</v>
      </c>
      <c r="J4192" s="8" t="str">
        <f aca="false">VLOOKUP(B4192, Table3[#All], 2, FALSE())</f>
        <v>Inventory</v>
      </c>
      <c r="K4192" s="8" t="str">
        <f aca="false">TEXT(ROW(), "0000")</f>
        <v>4192</v>
      </c>
      <c r="L4192" s="8"/>
    </row>
    <row r="4193" customFormat="false" ht="15.75" hidden="false" customHeight="true" outlineLevel="0" collapsed="false">
      <c r="A4193" s="7" t="n">
        <v>45941</v>
      </c>
      <c r="B4193" s="8" t="s">
        <v>47</v>
      </c>
      <c r="C4193" s="9" t="n">
        <v>1800</v>
      </c>
      <c r="D4193" s="8" t="s">
        <v>13</v>
      </c>
      <c r="E4193" s="10" t="s">
        <v>484</v>
      </c>
      <c r="F4193" s="8" t="str">
        <f aca="false">TEXT(A4193,"MM-YYYY")</f>
        <v>10-2025</v>
      </c>
      <c r="G4193" s="8" t="s">
        <v>18</v>
      </c>
      <c r="H4193" s="8"/>
      <c r="I4193" s="7"/>
      <c r="J4193" s="8" t="str">
        <f aca="false">VLOOKUP(B4193, Table3[#All], 2, FALSE())</f>
        <v>Inventory</v>
      </c>
      <c r="K4193" s="8" t="str">
        <f aca="false">TEXT(ROW(), "0000")</f>
        <v>4193</v>
      </c>
      <c r="L4193" s="8"/>
    </row>
    <row r="4194" customFormat="false" ht="15.75" hidden="false" customHeight="true" outlineLevel="0" collapsed="false">
      <c r="A4194" s="7" t="n">
        <v>45941</v>
      </c>
      <c r="B4194" s="8" t="s">
        <v>29</v>
      </c>
      <c r="C4194" s="9" t="n">
        <v>60</v>
      </c>
      <c r="D4194" s="8" t="s">
        <v>45</v>
      </c>
      <c r="E4194" s="10" t="s">
        <v>41</v>
      </c>
      <c r="F4194" s="8" t="str">
        <f aca="false">TEXT(A4194,"MM-YYYY")</f>
        <v>10-2025</v>
      </c>
      <c r="G4194" s="8" t="s">
        <v>14</v>
      </c>
      <c r="H4194" s="8" t="s">
        <v>15</v>
      </c>
      <c r="I4194" s="7" t="n">
        <v>45941</v>
      </c>
      <c r="J4194" s="8" t="str">
        <f aca="false">VLOOKUP(B4194, Table3[#All], 2, FALSE())</f>
        <v>Inventory</v>
      </c>
      <c r="K4194" s="8" t="str">
        <f aca="false">TEXT(ROW(), "0000")</f>
        <v>4194</v>
      </c>
      <c r="L4194" s="8"/>
    </row>
    <row r="4195" customFormat="false" ht="15.75" hidden="false" customHeight="true" outlineLevel="0" collapsed="false">
      <c r="A4195" s="7" t="n">
        <v>45941</v>
      </c>
      <c r="B4195" s="8" t="s">
        <v>43</v>
      </c>
      <c r="C4195" s="9" t="n">
        <v>1150</v>
      </c>
      <c r="D4195" s="8" t="s">
        <v>45</v>
      </c>
      <c r="E4195" s="10" t="s">
        <v>556</v>
      </c>
      <c r="F4195" s="8" t="str">
        <f aca="false">TEXT(A4195,"MM-YYYY")</f>
        <v>10-2025</v>
      </c>
      <c r="G4195" s="8" t="s">
        <v>14</v>
      </c>
      <c r="H4195" s="8" t="s">
        <v>232</v>
      </c>
      <c r="I4195" s="7" t="n">
        <v>45941</v>
      </c>
      <c r="J4195" s="8" t="str">
        <f aca="false">VLOOKUP(B4195, Table3[#All], 2, FALSE())</f>
        <v>Maintance</v>
      </c>
      <c r="K4195" s="8" t="str">
        <f aca="false">TEXT(ROW(), "0000")</f>
        <v>4195</v>
      </c>
      <c r="L4195" s="8"/>
    </row>
    <row r="4196" customFormat="false" ht="15.75" hidden="false" customHeight="true" outlineLevel="0" collapsed="false">
      <c r="A4196" s="7" t="n">
        <v>45941</v>
      </c>
      <c r="B4196" s="8" t="s">
        <v>199</v>
      </c>
      <c r="C4196" s="9" t="n">
        <v>1610</v>
      </c>
      <c r="D4196" s="8" t="s">
        <v>45</v>
      </c>
      <c r="E4196" s="10" t="s">
        <v>582</v>
      </c>
      <c r="F4196" s="8" t="str">
        <f aca="false">TEXT(A4196,"MM-YYYY")</f>
        <v>10-2025</v>
      </c>
      <c r="G4196" s="8" t="s">
        <v>14</v>
      </c>
      <c r="H4196" s="8" t="s">
        <v>232</v>
      </c>
      <c r="I4196" s="7" t="n">
        <v>45941</v>
      </c>
      <c r="J4196" s="8" t="str">
        <f aca="false">VLOOKUP(B4196, Table3[#All], 2, FALSE())</f>
        <v>Fixed Maintance</v>
      </c>
      <c r="K4196" s="8" t="str">
        <f aca="false">TEXT(ROW(), "0000")</f>
        <v>4196</v>
      </c>
      <c r="L4196" s="8"/>
    </row>
    <row r="4197" customFormat="false" ht="15.75" hidden="false" customHeight="true" outlineLevel="0" collapsed="false">
      <c r="A4197" s="7" t="n">
        <v>45941</v>
      </c>
      <c r="B4197" s="8" t="s">
        <v>25</v>
      </c>
      <c r="C4197" s="9" t="n">
        <v>120</v>
      </c>
      <c r="D4197" s="8" t="s">
        <v>45</v>
      </c>
      <c r="E4197" s="10" t="s">
        <v>583</v>
      </c>
      <c r="F4197" s="8" t="str">
        <f aca="false">TEXT(A4197,"MM-YYYY")</f>
        <v>10-2025</v>
      </c>
      <c r="G4197" s="8" t="s">
        <v>14</v>
      </c>
      <c r="H4197" s="8" t="s">
        <v>232</v>
      </c>
      <c r="I4197" s="7" t="n">
        <v>45941</v>
      </c>
      <c r="J4197" s="8" t="str">
        <f aca="false">VLOOKUP(B4197, Table3[#All], 2, FALSE())</f>
        <v>Inventory</v>
      </c>
      <c r="K4197" s="8" t="str">
        <f aca="false">TEXT(ROW(), "0000")</f>
        <v>4197</v>
      </c>
      <c r="L4197" s="8"/>
    </row>
    <row r="4198" customFormat="false" ht="15.75" hidden="false" customHeight="true" outlineLevel="0" collapsed="false">
      <c r="A4198" s="7" t="n">
        <v>45941</v>
      </c>
      <c r="B4198" s="8" t="s">
        <v>29</v>
      </c>
      <c r="C4198" s="9" t="n">
        <v>427</v>
      </c>
      <c r="D4198" s="8" t="s">
        <v>13</v>
      </c>
      <c r="E4198" s="10" t="s">
        <v>490</v>
      </c>
      <c r="F4198" s="8" t="str">
        <f aca="false">TEXT(A4198,"MM-YYYY")</f>
        <v>10-2025</v>
      </c>
      <c r="G4198" s="8" t="s">
        <v>18</v>
      </c>
      <c r="H4198" s="8"/>
      <c r="I4198" s="7"/>
      <c r="J4198" s="8" t="str">
        <f aca="false">VLOOKUP(B4198, Table3[#All], 2, FALSE())</f>
        <v>Inventory</v>
      </c>
      <c r="K4198" s="8" t="str">
        <f aca="false">TEXT(ROW(), "0000")</f>
        <v>4198</v>
      </c>
      <c r="L4198" s="8"/>
    </row>
    <row r="4199" customFormat="false" ht="15.75" hidden="false" customHeight="true" outlineLevel="0" collapsed="false">
      <c r="A4199" s="7" t="n">
        <v>45941</v>
      </c>
      <c r="B4199" s="8" t="s">
        <v>50</v>
      </c>
      <c r="C4199" s="9" t="n">
        <v>1609</v>
      </c>
      <c r="D4199" s="8" t="s">
        <v>13</v>
      </c>
      <c r="E4199" s="10" t="s">
        <v>263</v>
      </c>
      <c r="F4199" s="8" t="str">
        <f aca="false">TEXT(A4199,"MM-YYYY")</f>
        <v>10-2025</v>
      </c>
      <c r="G4199" s="8" t="s">
        <v>18</v>
      </c>
      <c r="H4199" s="8"/>
      <c r="I4199" s="7"/>
      <c r="J4199" s="8" t="str">
        <f aca="false">VLOOKUP(B4199, Table3[#All], 2, FALSE())</f>
        <v>Fixed Maintance</v>
      </c>
      <c r="K4199" s="8" t="str">
        <f aca="false">TEXT(ROW(), "0000")</f>
        <v>4199</v>
      </c>
      <c r="L4199" s="8"/>
    </row>
    <row r="4200" customFormat="false" ht="15.75" hidden="false" customHeight="true" outlineLevel="0" collapsed="false">
      <c r="A4200" s="7" t="n">
        <v>45941</v>
      </c>
      <c r="B4200" s="8" t="s">
        <v>37</v>
      </c>
      <c r="C4200" s="9" t="n">
        <v>110</v>
      </c>
      <c r="D4200" s="8" t="s">
        <v>21</v>
      </c>
      <c r="E4200" s="10" t="s">
        <v>37</v>
      </c>
      <c r="F4200" s="8" t="str">
        <f aca="false">TEXT(A4200,"MM-YYYY")</f>
        <v>10-2025</v>
      </c>
      <c r="G4200" s="8" t="s">
        <v>14</v>
      </c>
      <c r="H4200" s="8" t="s">
        <v>15</v>
      </c>
      <c r="I4200" s="7" t="n">
        <v>45941</v>
      </c>
      <c r="J4200" s="8" t="str">
        <f aca="false">VLOOKUP(B4200, Table3[#All], 2, FALSE())</f>
        <v>Maintance</v>
      </c>
      <c r="K4200" s="8" t="str">
        <f aca="false">TEXT(ROW(), "0000")</f>
        <v>4200</v>
      </c>
      <c r="L4200" s="8"/>
    </row>
    <row r="4201" customFormat="false" ht="15.75" hidden="false" customHeight="true" outlineLevel="0" collapsed="false">
      <c r="A4201" s="7" t="n">
        <v>45941</v>
      </c>
      <c r="B4201" s="8" t="s">
        <v>22</v>
      </c>
      <c r="C4201" s="9" t="n">
        <v>375</v>
      </c>
      <c r="D4201" s="8" t="s">
        <v>45</v>
      </c>
      <c r="E4201" s="10" t="s">
        <v>584</v>
      </c>
      <c r="F4201" s="8" t="str">
        <f aca="false">TEXT(A4201,"MM-YYYY")</f>
        <v>10-2025</v>
      </c>
      <c r="G4201" s="8" t="s">
        <v>14</v>
      </c>
      <c r="H4201" s="8" t="s">
        <v>232</v>
      </c>
      <c r="I4201" s="7" t="n">
        <v>45941</v>
      </c>
      <c r="J4201" s="8" t="str">
        <f aca="false">VLOOKUP(B4201, Table3[#All], 2, FALSE())</f>
        <v>Inventory</v>
      </c>
      <c r="K4201" s="8" t="str">
        <f aca="false">TEXT(ROW(), "0000")</f>
        <v>4201</v>
      </c>
      <c r="L4201" s="8"/>
    </row>
    <row r="4202" customFormat="false" ht="15.75" hidden="false" customHeight="true" outlineLevel="0" collapsed="false">
      <c r="A4202" s="7" t="n">
        <v>45941</v>
      </c>
      <c r="B4202" s="8" t="s">
        <v>22</v>
      </c>
      <c r="C4202" s="9" t="n">
        <v>290</v>
      </c>
      <c r="D4202" s="8" t="s">
        <v>45</v>
      </c>
      <c r="E4202" s="10" t="s">
        <v>585</v>
      </c>
      <c r="F4202" s="8" t="str">
        <f aca="false">TEXT(A4202,"MM-YYYY")</f>
        <v>10-2025</v>
      </c>
      <c r="G4202" s="8" t="s">
        <v>14</v>
      </c>
      <c r="H4202" s="8" t="s">
        <v>232</v>
      </c>
      <c r="I4202" s="7" t="n">
        <v>45941</v>
      </c>
      <c r="J4202" s="8" t="str">
        <f aca="false">VLOOKUP(B4202, Table3[#All], 2, FALSE())</f>
        <v>Inventory</v>
      </c>
      <c r="K4202" s="8" t="str">
        <f aca="false">TEXT(ROW(), "0000")</f>
        <v>4202</v>
      </c>
      <c r="L4202" s="8"/>
    </row>
    <row r="4203" customFormat="false" ht="15.75" hidden="false" customHeight="true" outlineLevel="0" collapsed="false">
      <c r="A4203" s="7" t="n">
        <v>45941</v>
      </c>
      <c r="B4203" s="8" t="s">
        <v>16</v>
      </c>
      <c r="C4203" s="9" t="n">
        <v>1275</v>
      </c>
      <c r="D4203" s="8" t="s">
        <v>21</v>
      </c>
      <c r="E4203" s="10" t="s">
        <v>88</v>
      </c>
      <c r="F4203" s="8" t="str">
        <f aca="false">TEXT(A4203,"MM-YYYY")</f>
        <v>10-2025</v>
      </c>
      <c r="G4203" s="8"/>
      <c r="H4203" s="8"/>
      <c r="I4203" s="7"/>
      <c r="J4203" s="8" t="str">
        <f aca="false">VLOOKUP(B4203, Table3[#All], 2, FALSE())</f>
        <v>Sales</v>
      </c>
      <c r="K4203" s="8" t="str">
        <f aca="false">TEXT(ROW(), "0000")</f>
        <v>4203</v>
      </c>
      <c r="L4203" s="8"/>
    </row>
    <row r="4204" customFormat="false" ht="15.75" hidden="false" customHeight="true" outlineLevel="0" collapsed="false">
      <c r="A4204" s="7" t="n">
        <v>45941</v>
      </c>
      <c r="B4204" s="8" t="s">
        <v>16</v>
      </c>
      <c r="C4204" s="9" t="n">
        <v>1660</v>
      </c>
      <c r="D4204" s="8" t="s">
        <v>27</v>
      </c>
      <c r="E4204" s="10" t="s">
        <v>88</v>
      </c>
      <c r="F4204" s="8" t="str">
        <f aca="false">TEXT(A4204,"MM-YYYY")</f>
        <v>10-2025</v>
      </c>
      <c r="G4204" s="8"/>
      <c r="H4204" s="8"/>
      <c r="I4204" s="7"/>
      <c r="J4204" s="8" t="str">
        <f aca="false">VLOOKUP(B4204, Table3[#All], 2, FALSE())</f>
        <v>Sales</v>
      </c>
      <c r="K4204" s="8" t="str">
        <f aca="false">TEXT(ROW(), "0000")</f>
        <v>4204</v>
      </c>
      <c r="L4204" s="8"/>
    </row>
    <row r="4205" customFormat="false" ht="15.75" hidden="false" customHeight="true" outlineLevel="0" collapsed="false">
      <c r="A4205" s="7" t="n">
        <v>45941</v>
      </c>
      <c r="B4205" s="8" t="s">
        <v>16</v>
      </c>
      <c r="C4205" s="9" t="n">
        <v>210</v>
      </c>
      <c r="D4205" s="8" t="s">
        <v>33</v>
      </c>
      <c r="E4205" s="10" t="s">
        <v>88</v>
      </c>
      <c r="F4205" s="8" t="str">
        <f aca="false">TEXT(A4205,"MM-YYYY")</f>
        <v>10-2025</v>
      </c>
      <c r="G4205" s="8"/>
      <c r="H4205" s="8"/>
      <c r="I4205" s="7"/>
      <c r="J4205" s="8" t="str">
        <f aca="false">VLOOKUP(B4205, Table3[#All], 2, FALSE())</f>
        <v>Sales</v>
      </c>
      <c r="K4205" s="8" t="str">
        <f aca="false">TEXT(ROW(), "0000")</f>
        <v>4205</v>
      </c>
      <c r="L4205" s="8"/>
    </row>
    <row r="4206" customFormat="false" ht="15.75" hidden="false" customHeight="true" outlineLevel="0" collapsed="false">
      <c r="A4206" s="7" t="n">
        <v>45941</v>
      </c>
      <c r="B4206" s="8" t="s">
        <v>16</v>
      </c>
      <c r="C4206" s="9" t="n">
        <v>35087</v>
      </c>
      <c r="D4206" s="8" t="s">
        <v>17</v>
      </c>
      <c r="E4206" s="10" t="s">
        <v>88</v>
      </c>
      <c r="F4206" s="8" t="str">
        <f aca="false">TEXT(A4206,"MM-YYYY")</f>
        <v>10-2025</v>
      </c>
      <c r="G4206" s="8"/>
      <c r="H4206" s="8"/>
      <c r="I4206" s="7"/>
      <c r="J4206" s="8" t="str">
        <f aca="false">VLOOKUP(B4206, Table3[#All], 2, FALSE())</f>
        <v>Sales</v>
      </c>
      <c r="K4206" s="8" t="str">
        <f aca="false">TEXT(ROW(), "0000")</f>
        <v>4206</v>
      </c>
      <c r="L4206" s="8"/>
    </row>
    <row r="4207" customFormat="false" ht="15.75" hidden="false" customHeight="true" outlineLevel="0" collapsed="false">
      <c r="A4207" s="7" t="n">
        <v>45941</v>
      </c>
      <c r="B4207" s="8" t="s">
        <v>16</v>
      </c>
      <c r="C4207" s="9" t="n">
        <v>570</v>
      </c>
      <c r="D4207" s="8" t="s">
        <v>59</v>
      </c>
      <c r="E4207" s="10" t="s">
        <v>88</v>
      </c>
      <c r="F4207" s="8" t="str">
        <f aca="false">TEXT(A4207,"MM-YYYY")</f>
        <v>10-2025</v>
      </c>
      <c r="G4207" s="8"/>
      <c r="H4207" s="8"/>
      <c r="I4207" s="7"/>
      <c r="J4207" s="8" t="str">
        <f aca="false">VLOOKUP(B4207, Table3[#All], 2, FALSE())</f>
        <v>Sales</v>
      </c>
      <c r="K4207" s="8" t="str">
        <f aca="false">TEXT(ROW(), "0000")</f>
        <v>4207</v>
      </c>
      <c r="L4207" s="8"/>
    </row>
    <row r="4208" customFormat="false" ht="15.75" hidden="false" customHeight="true" outlineLevel="0" collapsed="false">
      <c r="A4208" s="7" t="n">
        <v>45941</v>
      </c>
      <c r="B4208" s="8" t="s">
        <v>16</v>
      </c>
      <c r="C4208" s="9" t="n">
        <v>1546</v>
      </c>
      <c r="D4208" s="8" t="s">
        <v>24</v>
      </c>
      <c r="E4208" s="10" t="s">
        <v>88</v>
      </c>
      <c r="F4208" s="8" t="str">
        <f aca="false">TEXT(A4208,"MM-YYYY")</f>
        <v>10-2025</v>
      </c>
      <c r="G4208" s="8"/>
      <c r="H4208" s="8"/>
      <c r="I4208" s="7"/>
      <c r="J4208" s="8" t="str">
        <f aca="false">VLOOKUP(B4208, Table3[#All], 2, FALSE())</f>
        <v>Sales</v>
      </c>
      <c r="K4208" s="8" t="str">
        <f aca="false">TEXT(ROW(), "0000")</f>
        <v>4208</v>
      </c>
      <c r="L4208" s="8"/>
    </row>
    <row r="4209" customFormat="false" ht="15.75" hidden="false" customHeight="true" outlineLevel="0" collapsed="false">
      <c r="A4209" s="7" t="n">
        <v>45941</v>
      </c>
      <c r="B4209" s="8" t="s">
        <v>16</v>
      </c>
      <c r="C4209" s="9" t="n">
        <v>575</v>
      </c>
      <c r="D4209" s="8" t="s">
        <v>70</v>
      </c>
      <c r="E4209" s="10" t="s">
        <v>88</v>
      </c>
      <c r="F4209" s="8" t="str">
        <f aca="false">TEXT(A4209,"MM-YYYY")</f>
        <v>10-2025</v>
      </c>
      <c r="G4209" s="8"/>
      <c r="H4209" s="8"/>
      <c r="I4209" s="7"/>
      <c r="J4209" s="8" t="str">
        <f aca="false">VLOOKUP(B4209, Table3[#All], 2, FALSE())</f>
        <v>Sales</v>
      </c>
      <c r="K4209" s="8" t="str">
        <f aca="false">TEXT(ROW(), "0000")</f>
        <v>4209</v>
      </c>
      <c r="L4209" s="8"/>
    </row>
    <row r="4210" customFormat="false" ht="15.75" hidden="false" customHeight="true" outlineLevel="0" collapsed="false">
      <c r="A4210" s="7" t="n">
        <v>45941</v>
      </c>
      <c r="B4210" s="8" t="s">
        <v>154</v>
      </c>
      <c r="C4210" s="9" t="n">
        <v>110</v>
      </c>
      <c r="D4210" s="8" t="s">
        <v>21</v>
      </c>
      <c r="E4210" s="10" t="s">
        <v>545</v>
      </c>
      <c r="F4210" s="8" t="str">
        <f aca="false">TEXT(A4210,"MM-YYYY")</f>
        <v>10-2025</v>
      </c>
      <c r="G4210" s="8" t="s">
        <v>14</v>
      </c>
      <c r="H4210" s="8" t="s">
        <v>15</v>
      </c>
      <c r="I4210" s="7" t="n">
        <v>45941</v>
      </c>
      <c r="J4210" s="8" t="str">
        <f aca="false">VLOOKUP(B4210, Table3[#All], 2, FALSE())</f>
        <v>Staff Expenses</v>
      </c>
      <c r="K4210" s="8" t="str">
        <f aca="false">TEXT(ROW(), "0000")</f>
        <v>4210</v>
      </c>
      <c r="L4210" s="8"/>
    </row>
    <row r="4211" customFormat="false" ht="15.75" hidden="false" customHeight="true" outlineLevel="0" collapsed="false">
      <c r="A4211" s="7" t="n">
        <v>45941</v>
      </c>
      <c r="B4211" s="8" t="s">
        <v>44</v>
      </c>
      <c r="C4211" s="9" t="n">
        <v>300</v>
      </c>
      <c r="D4211" s="8" t="s">
        <v>21</v>
      </c>
      <c r="E4211" s="10" t="s">
        <v>115</v>
      </c>
      <c r="F4211" s="8" t="str">
        <f aca="false">TEXT(A4211,"MM-YYYY")</f>
        <v>10-2025</v>
      </c>
      <c r="G4211" s="8" t="s">
        <v>14</v>
      </c>
      <c r="H4211" s="8" t="s">
        <v>15</v>
      </c>
      <c r="I4211" s="7" t="n">
        <v>45941</v>
      </c>
      <c r="J4211" s="8" t="str">
        <f aca="false">VLOOKUP(B4211, Table3[#All], 2, FALSE())</f>
        <v>Salary</v>
      </c>
      <c r="K4211" s="8" t="str">
        <f aca="false">TEXT(ROW(), "0000")</f>
        <v>4211</v>
      </c>
      <c r="L4211" s="8"/>
    </row>
    <row r="4212" customFormat="false" ht="15.75" hidden="false" customHeight="true" outlineLevel="0" collapsed="false">
      <c r="A4212" s="7" t="n">
        <v>45942</v>
      </c>
      <c r="B4212" s="8" t="s">
        <v>22</v>
      </c>
      <c r="C4212" s="9" t="n">
        <v>55</v>
      </c>
      <c r="D4212" s="8" t="s">
        <v>21</v>
      </c>
      <c r="E4212" s="10" t="s">
        <v>479</v>
      </c>
      <c r="F4212" s="8" t="str">
        <f aca="false">TEXT(A4212,"MM-YYYY")</f>
        <v>10-2025</v>
      </c>
      <c r="G4212" s="8" t="s">
        <v>14</v>
      </c>
      <c r="H4212" s="8" t="s">
        <v>15</v>
      </c>
      <c r="I4212" s="7" t="n">
        <v>45942</v>
      </c>
      <c r="J4212" s="8" t="str">
        <f aca="false">VLOOKUP(B4212, Table3[#All], 2, FALSE())</f>
        <v>Inventory</v>
      </c>
      <c r="K4212" s="8" t="str">
        <f aca="false">TEXT(ROW(), "0000")</f>
        <v>4212</v>
      </c>
      <c r="L4212" s="8"/>
    </row>
    <row r="4213" customFormat="false" ht="15.75" hidden="false" customHeight="true" outlineLevel="0" collapsed="false">
      <c r="A4213" s="7" t="n">
        <v>45942</v>
      </c>
      <c r="B4213" s="8" t="s">
        <v>19</v>
      </c>
      <c r="C4213" s="9" t="n">
        <v>950</v>
      </c>
      <c r="D4213" s="8" t="s">
        <v>13</v>
      </c>
      <c r="E4213" s="10" t="s">
        <v>586</v>
      </c>
      <c r="F4213" s="8" t="str">
        <f aca="false">TEXT(A4213,"MM-YYYY")</f>
        <v>10-2025</v>
      </c>
      <c r="G4213" s="8" t="s">
        <v>14</v>
      </c>
      <c r="H4213" s="8" t="s">
        <v>232</v>
      </c>
      <c r="I4213" s="7" t="n">
        <v>45942</v>
      </c>
      <c r="J4213" s="8" t="str">
        <f aca="false">VLOOKUP(B4213, Table3[#All], 2, FALSE())</f>
        <v>Inventory</v>
      </c>
      <c r="K4213" s="8" t="str">
        <f aca="false">TEXT(ROW(), "0000")</f>
        <v>4213</v>
      </c>
      <c r="L4213" s="8"/>
    </row>
    <row r="4214" customFormat="false" ht="15.75" hidden="false" customHeight="true" outlineLevel="0" collapsed="false">
      <c r="A4214" s="7" t="n">
        <v>45942</v>
      </c>
      <c r="B4214" s="8" t="s">
        <v>25</v>
      </c>
      <c r="C4214" s="9" t="n">
        <v>1325</v>
      </c>
      <c r="D4214" s="8" t="s">
        <v>13</v>
      </c>
      <c r="E4214" s="10" t="s">
        <v>92</v>
      </c>
      <c r="F4214" s="8" t="str">
        <f aca="false">TEXT(A4214,"MM-YYYY")</f>
        <v>10-2025</v>
      </c>
      <c r="G4214" s="8" t="s">
        <v>18</v>
      </c>
      <c r="H4214" s="8"/>
      <c r="I4214" s="7"/>
      <c r="J4214" s="8" t="str">
        <f aca="false">VLOOKUP(B4214, Table3[#All], 2, FALSE())</f>
        <v>Inventory</v>
      </c>
      <c r="K4214" s="8" t="str">
        <f aca="false">TEXT(ROW(), "0000")</f>
        <v>4214</v>
      </c>
      <c r="L4214" s="8"/>
    </row>
    <row r="4215" customFormat="false" ht="15.75" hidden="false" customHeight="true" outlineLevel="0" collapsed="false">
      <c r="A4215" s="7" t="n">
        <v>45942</v>
      </c>
      <c r="B4215" s="8" t="s">
        <v>25</v>
      </c>
      <c r="C4215" s="9" t="n">
        <v>350</v>
      </c>
      <c r="D4215" s="8" t="s">
        <v>45</v>
      </c>
      <c r="E4215" s="10" t="s">
        <v>272</v>
      </c>
      <c r="F4215" s="8" t="str">
        <f aca="false">TEXT(A4215,"MM-YYYY")</f>
        <v>10-2025</v>
      </c>
      <c r="G4215" s="8" t="s">
        <v>14</v>
      </c>
      <c r="H4215" s="8" t="s">
        <v>232</v>
      </c>
      <c r="I4215" s="7" t="n">
        <v>45942</v>
      </c>
      <c r="J4215" s="8" t="str">
        <f aca="false">VLOOKUP(B4215, Table3[#All], 2, FALSE())</f>
        <v>Inventory</v>
      </c>
      <c r="K4215" s="8" t="str">
        <f aca="false">TEXT(ROW(), "0000")</f>
        <v>4215</v>
      </c>
      <c r="L4215" s="8"/>
    </row>
    <row r="4216" customFormat="false" ht="15.75" hidden="false" customHeight="true" outlineLevel="0" collapsed="false">
      <c r="A4216" s="7" t="n">
        <v>45942</v>
      </c>
      <c r="B4216" s="8" t="s">
        <v>32</v>
      </c>
      <c r="C4216" s="9" t="n">
        <v>250</v>
      </c>
      <c r="D4216" s="8" t="s">
        <v>21</v>
      </c>
      <c r="E4216" s="10" t="s">
        <v>450</v>
      </c>
      <c r="F4216" s="8" t="str">
        <f aca="false">TEXT(A4216,"MM-YYYY")</f>
        <v>10-2025</v>
      </c>
      <c r="G4216" s="8" t="s">
        <v>14</v>
      </c>
      <c r="H4216" s="8" t="s">
        <v>15</v>
      </c>
      <c r="I4216" s="7" t="n">
        <v>45942</v>
      </c>
      <c r="J4216" s="8" t="str">
        <f aca="false">VLOOKUP(B4216, Table3[#All], 2, FALSE())</f>
        <v>Grocery</v>
      </c>
      <c r="K4216" s="8" t="str">
        <f aca="false">TEXT(ROW(), "0000")</f>
        <v>4216</v>
      </c>
      <c r="L4216" s="8"/>
    </row>
    <row r="4217" customFormat="false" ht="15.75" hidden="false" customHeight="true" outlineLevel="0" collapsed="false">
      <c r="A4217" s="7" t="n">
        <v>45942</v>
      </c>
      <c r="B4217" s="8" t="s">
        <v>19</v>
      </c>
      <c r="C4217" s="9" t="n">
        <v>7704</v>
      </c>
      <c r="D4217" s="8" t="s">
        <v>13</v>
      </c>
      <c r="E4217" s="10" t="s">
        <v>473</v>
      </c>
      <c r="F4217" s="8" t="str">
        <f aca="false">TEXT(A4217,"MM-YYYY")</f>
        <v>10-2025</v>
      </c>
      <c r="G4217" s="8" t="s">
        <v>14</v>
      </c>
      <c r="H4217" s="8"/>
      <c r="I4217" s="7"/>
      <c r="J4217" s="8" t="str">
        <f aca="false">VLOOKUP(B4217, Table3[#All], 2, FALSE())</f>
        <v>Inventory</v>
      </c>
      <c r="K4217" s="8" t="str">
        <f aca="false">TEXT(ROW(), "0000")</f>
        <v>4217</v>
      </c>
      <c r="L4217" s="8"/>
    </row>
    <row r="4218" customFormat="false" ht="15.75" hidden="false" customHeight="true" outlineLevel="0" collapsed="false">
      <c r="A4218" s="7" t="n">
        <v>45942</v>
      </c>
      <c r="B4218" s="8" t="s">
        <v>22</v>
      </c>
      <c r="C4218" s="9" t="n">
        <v>9121</v>
      </c>
      <c r="D4218" s="8" t="s">
        <v>13</v>
      </c>
      <c r="E4218" s="10" t="s">
        <v>23</v>
      </c>
      <c r="F4218" s="8" t="str">
        <f aca="false">TEXT(A4218,"MM-YYYY")</f>
        <v>10-2025</v>
      </c>
      <c r="G4218" s="8" t="s">
        <v>18</v>
      </c>
      <c r="H4218" s="8"/>
      <c r="I4218" s="7"/>
      <c r="J4218" s="8" t="str">
        <f aca="false">VLOOKUP(B4218, Table3[#All], 2, FALSE())</f>
        <v>Inventory</v>
      </c>
      <c r="K4218" s="8" t="str">
        <f aca="false">TEXT(ROW(), "0000")</f>
        <v>4218</v>
      </c>
      <c r="L4218" s="8"/>
    </row>
    <row r="4219" customFormat="false" ht="15.75" hidden="false" customHeight="true" outlineLevel="0" collapsed="false">
      <c r="A4219" s="7" t="n">
        <v>45942</v>
      </c>
      <c r="B4219" s="8" t="s">
        <v>28</v>
      </c>
      <c r="C4219" s="9" t="n">
        <v>330</v>
      </c>
      <c r="D4219" s="8" t="s">
        <v>21</v>
      </c>
      <c r="E4219" s="10" t="s">
        <v>93</v>
      </c>
      <c r="F4219" s="8" t="str">
        <f aca="false">TEXT(A4219,"MM-YYYY")</f>
        <v>10-2025</v>
      </c>
      <c r="G4219" s="8" t="s">
        <v>14</v>
      </c>
      <c r="H4219" s="8"/>
      <c r="I4219" s="7"/>
      <c r="J4219" s="8" t="str">
        <f aca="false">VLOOKUP(B4219, Table3[#All], 2, FALSE())</f>
        <v>Grocery</v>
      </c>
      <c r="K4219" s="8" t="str">
        <f aca="false">TEXT(ROW(), "0000")</f>
        <v>4219</v>
      </c>
      <c r="L4219" s="8"/>
    </row>
    <row r="4220" customFormat="false" ht="15.75" hidden="false" customHeight="true" outlineLevel="0" collapsed="false">
      <c r="A4220" s="7" t="n">
        <v>45942</v>
      </c>
      <c r="B4220" s="8" t="s">
        <v>267</v>
      </c>
      <c r="C4220" s="9" t="n">
        <v>1100</v>
      </c>
      <c r="D4220" s="8" t="s">
        <v>45</v>
      </c>
      <c r="E4220" s="10" t="s">
        <v>587</v>
      </c>
      <c r="F4220" s="8" t="str">
        <f aca="false">TEXT(A4220,"MM-YYYY")</f>
        <v>10-2025</v>
      </c>
      <c r="G4220" s="8" t="s">
        <v>14</v>
      </c>
      <c r="H4220" s="8" t="s">
        <v>232</v>
      </c>
      <c r="I4220" s="7" t="n">
        <v>45942</v>
      </c>
      <c r="J4220" s="8" t="e">
        <f aca="false">VLOOKUP(B4220, Table3[#All], 2, FALSE())</f>
        <v>#N/A</v>
      </c>
      <c r="K4220" s="8" t="str">
        <f aca="false">TEXT(ROW(), "0000")</f>
        <v>4220</v>
      </c>
      <c r="L4220" s="8"/>
    </row>
    <row r="4221" customFormat="false" ht="15.75" hidden="false" customHeight="true" outlineLevel="0" collapsed="false">
      <c r="A4221" s="7" t="n">
        <v>45942</v>
      </c>
      <c r="B4221" s="8" t="s">
        <v>267</v>
      </c>
      <c r="C4221" s="9" t="n">
        <v>1500</v>
      </c>
      <c r="D4221" s="8" t="s">
        <v>13</v>
      </c>
      <c r="E4221" s="10" t="s">
        <v>587</v>
      </c>
      <c r="F4221" s="8" t="str">
        <f aca="false">TEXT(A4221,"MM-YYYY")</f>
        <v>10-2025</v>
      </c>
      <c r="G4221" s="8" t="s">
        <v>14</v>
      </c>
      <c r="H4221" s="8" t="s">
        <v>13</v>
      </c>
      <c r="I4221" s="7" t="n">
        <v>45942</v>
      </c>
      <c r="J4221" s="8" t="e">
        <f aca="false">VLOOKUP(B4221, Table3[#All], 2, FALSE())</f>
        <v>#N/A</v>
      </c>
      <c r="K4221" s="8" t="str">
        <f aca="false">TEXT(ROW(), "0000")</f>
        <v>4221</v>
      </c>
      <c r="L4221" s="8"/>
    </row>
    <row r="4222" customFormat="false" ht="15.75" hidden="false" customHeight="true" outlineLevel="0" collapsed="false">
      <c r="A4222" s="7" t="n">
        <v>45942</v>
      </c>
      <c r="B4222" s="8" t="s">
        <v>201</v>
      </c>
      <c r="C4222" s="9" t="n">
        <v>1740</v>
      </c>
      <c r="D4222" s="8" t="s">
        <v>13</v>
      </c>
      <c r="E4222" s="10" t="s">
        <v>201</v>
      </c>
      <c r="F4222" s="8" t="str">
        <f aca="false">TEXT(A4222,"MM-YYYY")</f>
        <v>10-2025</v>
      </c>
      <c r="G4222" s="8" t="s">
        <v>14</v>
      </c>
      <c r="H4222" s="8" t="s">
        <v>13</v>
      </c>
      <c r="I4222" s="7" t="n">
        <v>45942</v>
      </c>
      <c r="J4222" s="8" t="str">
        <f aca="false">VLOOKUP(B4222, Table3[#All], 2, FALSE())</f>
        <v>Inventory</v>
      </c>
      <c r="K4222" s="8" t="str">
        <f aca="false">TEXT(ROW(), "0000")</f>
        <v>4222</v>
      </c>
      <c r="L4222" s="8"/>
    </row>
    <row r="4223" customFormat="false" ht="15.75" hidden="false" customHeight="true" outlineLevel="0" collapsed="false">
      <c r="A4223" s="7" t="n">
        <v>45942</v>
      </c>
      <c r="B4223" s="8" t="s">
        <v>29</v>
      </c>
      <c r="C4223" s="9" t="n">
        <v>200</v>
      </c>
      <c r="D4223" s="8" t="s">
        <v>21</v>
      </c>
      <c r="E4223" s="10" t="s">
        <v>488</v>
      </c>
      <c r="F4223" s="8" t="str">
        <f aca="false">TEXT(A4223,"MM-YYYY")</f>
        <v>10-2025</v>
      </c>
      <c r="G4223" s="8" t="s">
        <v>14</v>
      </c>
      <c r="H4223" s="8" t="s">
        <v>15</v>
      </c>
      <c r="I4223" s="7" t="n">
        <v>45942</v>
      </c>
      <c r="J4223" s="8" t="str">
        <f aca="false">VLOOKUP(B4223, Table3[#All], 2, FALSE())</f>
        <v>Inventory</v>
      </c>
      <c r="K4223" s="8" t="str">
        <f aca="false">TEXT(ROW(), "0000")</f>
        <v>4223</v>
      </c>
      <c r="L4223" s="8"/>
    </row>
    <row r="4224" customFormat="false" ht="15.75" hidden="false" customHeight="true" outlineLevel="0" collapsed="false">
      <c r="A4224" s="7" t="n">
        <v>45942</v>
      </c>
      <c r="B4224" s="8" t="s">
        <v>60</v>
      </c>
      <c r="C4224" s="9" t="n">
        <v>210</v>
      </c>
      <c r="D4224" s="8" t="s">
        <v>21</v>
      </c>
      <c r="E4224" s="10" t="s">
        <v>136</v>
      </c>
      <c r="F4224" s="8" t="str">
        <f aca="false">TEXT(A4224,"MM-YYYY")</f>
        <v>10-2025</v>
      </c>
      <c r="G4224" s="8" t="s">
        <v>14</v>
      </c>
      <c r="H4224" s="8" t="s">
        <v>15</v>
      </c>
      <c r="I4224" s="7" t="n">
        <v>45942</v>
      </c>
      <c r="J4224" s="8" t="str">
        <f aca="false">VLOOKUP(B4224, Table3[#All], 2, FALSE())</f>
        <v>Inventory</v>
      </c>
      <c r="K4224" s="8" t="str">
        <f aca="false">TEXT(ROW(), "0000")</f>
        <v>4224</v>
      </c>
      <c r="L4224" s="8"/>
    </row>
    <row r="4225" customFormat="false" ht="15.75" hidden="false" customHeight="true" outlineLevel="0" collapsed="false">
      <c r="A4225" s="7" t="n">
        <v>45942</v>
      </c>
      <c r="B4225" s="8" t="s">
        <v>29</v>
      </c>
      <c r="C4225" s="9" t="n">
        <v>813</v>
      </c>
      <c r="D4225" s="8" t="s">
        <v>13</v>
      </c>
      <c r="E4225" s="10" t="s">
        <v>490</v>
      </c>
      <c r="F4225" s="8" t="str">
        <f aca="false">TEXT(A4225,"MM-YYYY")</f>
        <v>10-2025</v>
      </c>
      <c r="G4225" s="8" t="s">
        <v>18</v>
      </c>
      <c r="H4225" s="8"/>
      <c r="I4225" s="7"/>
      <c r="J4225" s="8" t="str">
        <f aca="false">VLOOKUP(B4225, Table3[#All], 2, FALSE())</f>
        <v>Inventory</v>
      </c>
      <c r="K4225" s="8" t="str">
        <f aca="false">TEXT(ROW(), "0000")</f>
        <v>4225</v>
      </c>
      <c r="L4225" s="8"/>
    </row>
    <row r="4226" customFormat="false" ht="15.75" hidden="false" customHeight="true" outlineLevel="0" collapsed="false">
      <c r="A4226" s="7" t="n">
        <v>45942</v>
      </c>
      <c r="B4226" s="8" t="s">
        <v>16</v>
      </c>
      <c r="C4226" s="9" t="n">
        <v>5165</v>
      </c>
      <c r="D4226" s="8" t="s">
        <v>21</v>
      </c>
      <c r="E4226" s="10" t="s">
        <v>88</v>
      </c>
      <c r="F4226" s="8" t="str">
        <f aca="false">TEXT(A4226,"MM-YYYY")</f>
        <v>10-2025</v>
      </c>
      <c r="G4226" s="8"/>
      <c r="H4226" s="8"/>
      <c r="I4226" s="7"/>
      <c r="J4226" s="8" t="str">
        <f aca="false">VLOOKUP(B4226, Table3[#All], 2, FALSE())</f>
        <v>Sales</v>
      </c>
      <c r="K4226" s="8" t="str">
        <f aca="false">TEXT(ROW(), "0000")</f>
        <v>4226</v>
      </c>
      <c r="L4226" s="8"/>
    </row>
    <row r="4227" customFormat="false" ht="15.75" hidden="false" customHeight="true" outlineLevel="0" collapsed="false">
      <c r="A4227" s="7" t="n">
        <v>45942</v>
      </c>
      <c r="B4227" s="8" t="s">
        <v>16</v>
      </c>
      <c r="C4227" s="9" t="n">
        <v>2025</v>
      </c>
      <c r="D4227" s="8" t="s">
        <v>27</v>
      </c>
      <c r="E4227" s="10" t="s">
        <v>88</v>
      </c>
      <c r="F4227" s="8" t="str">
        <f aca="false">TEXT(A4227,"MM-YYYY")</f>
        <v>10-2025</v>
      </c>
      <c r="G4227" s="8"/>
      <c r="H4227" s="8"/>
      <c r="I4227" s="7"/>
      <c r="J4227" s="8" t="str">
        <f aca="false">VLOOKUP(B4227, Table3[#All], 2, FALSE())</f>
        <v>Sales</v>
      </c>
      <c r="K4227" s="8" t="str">
        <f aca="false">TEXT(ROW(), "0000")</f>
        <v>4227</v>
      </c>
      <c r="L4227" s="8"/>
    </row>
    <row r="4228" customFormat="false" ht="15.75" hidden="false" customHeight="true" outlineLevel="0" collapsed="false">
      <c r="A4228" s="7" t="n">
        <v>45942</v>
      </c>
      <c r="B4228" s="8" t="s">
        <v>16</v>
      </c>
      <c r="C4228" s="9" t="n">
        <v>1000</v>
      </c>
      <c r="D4228" s="8" t="s">
        <v>33</v>
      </c>
      <c r="E4228" s="10" t="s">
        <v>88</v>
      </c>
      <c r="F4228" s="8" t="str">
        <f aca="false">TEXT(A4228,"MM-YYYY")</f>
        <v>10-2025</v>
      </c>
      <c r="G4228" s="8"/>
      <c r="H4228" s="8"/>
      <c r="I4228" s="7"/>
      <c r="J4228" s="8" t="str">
        <f aca="false">VLOOKUP(B4228, Table3[#All], 2, FALSE())</f>
        <v>Sales</v>
      </c>
      <c r="K4228" s="8" t="str">
        <f aca="false">TEXT(ROW(), "0000")</f>
        <v>4228</v>
      </c>
      <c r="L4228" s="8"/>
    </row>
    <row r="4229" customFormat="false" ht="15.75" hidden="false" customHeight="true" outlineLevel="0" collapsed="false">
      <c r="A4229" s="7" t="n">
        <v>45942</v>
      </c>
      <c r="B4229" s="8" t="s">
        <v>16</v>
      </c>
      <c r="C4229" s="9" t="n">
        <v>30878</v>
      </c>
      <c r="D4229" s="8" t="s">
        <v>17</v>
      </c>
      <c r="E4229" s="10" t="s">
        <v>88</v>
      </c>
      <c r="F4229" s="8" t="str">
        <f aca="false">TEXT(A4229,"MM-YYYY")</f>
        <v>10-2025</v>
      </c>
      <c r="G4229" s="8"/>
      <c r="H4229" s="8"/>
      <c r="I4229" s="7"/>
      <c r="J4229" s="8" t="str">
        <f aca="false">VLOOKUP(B4229, Table3[#All], 2, FALSE())</f>
        <v>Sales</v>
      </c>
      <c r="K4229" s="8" t="str">
        <f aca="false">TEXT(ROW(), "0000")</f>
        <v>4229</v>
      </c>
      <c r="L4229" s="8"/>
    </row>
    <row r="4230" customFormat="false" ht="15.75" hidden="false" customHeight="true" outlineLevel="0" collapsed="false">
      <c r="A4230" s="7" t="n">
        <v>45942</v>
      </c>
      <c r="B4230" s="8" t="s">
        <v>16</v>
      </c>
      <c r="C4230" s="9" t="n">
        <v>3318</v>
      </c>
      <c r="D4230" s="8" t="s">
        <v>24</v>
      </c>
      <c r="E4230" s="10" t="s">
        <v>88</v>
      </c>
      <c r="F4230" s="8" t="str">
        <f aca="false">TEXT(A4230,"MM-YYYY")</f>
        <v>10-2025</v>
      </c>
      <c r="G4230" s="8"/>
      <c r="H4230" s="8"/>
      <c r="I4230" s="7"/>
      <c r="J4230" s="8" t="str">
        <f aca="false">VLOOKUP(B4230, Table3[#All], 2, FALSE())</f>
        <v>Sales</v>
      </c>
      <c r="K4230" s="8" t="str">
        <f aca="false">TEXT(ROW(), "0000")</f>
        <v>4230</v>
      </c>
      <c r="L4230" s="8"/>
    </row>
    <row r="4231" customFormat="false" ht="15.75" hidden="false" customHeight="true" outlineLevel="0" collapsed="false">
      <c r="A4231" s="7" t="n">
        <v>45942</v>
      </c>
      <c r="B4231" s="8" t="s">
        <v>34</v>
      </c>
      <c r="C4231" s="9" t="n">
        <v>200</v>
      </c>
      <c r="D4231" s="8" t="s">
        <v>45</v>
      </c>
      <c r="E4231" s="10" t="s">
        <v>34</v>
      </c>
      <c r="F4231" s="8" t="str">
        <f aca="false">TEXT(A4231,"MM-YYYY")</f>
        <v>10-2025</v>
      </c>
      <c r="G4231" s="8" t="s">
        <v>14</v>
      </c>
      <c r="H4231" s="8" t="s">
        <v>232</v>
      </c>
      <c r="I4231" s="7" t="n">
        <v>45942</v>
      </c>
      <c r="J4231" s="8" t="str">
        <f aca="false">VLOOKUP(B4231, Table3[#All], 2, FALSE())</f>
        <v>Staff Expenses</v>
      </c>
      <c r="K4231" s="8" t="str">
        <f aca="false">TEXT(ROW(), "0000")</f>
        <v>4231</v>
      </c>
      <c r="L4231" s="8"/>
    </row>
    <row r="4232" customFormat="false" ht="15.75" hidden="false" customHeight="true" outlineLevel="0" collapsed="false">
      <c r="A4232" s="7" t="n">
        <v>45942</v>
      </c>
      <c r="B4232" s="8" t="s">
        <v>37</v>
      </c>
      <c r="C4232" s="9" t="n">
        <v>20</v>
      </c>
      <c r="D4232" s="8" t="s">
        <v>21</v>
      </c>
      <c r="E4232" s="10" t="s">
        <v>37</v>
      </c>
      <c r="F4232" s="8" t="str">
        <f aca="false">TEXT(A4232,"MM-YYYY")</f>
        <v>10-2025</v>
      </c>
      <c r="G4232" s="8" t="s">
        <v>14</v>
      </c>
      <c r="H4232" s="8" t="s">
        <v>15</v>
      </c>
      <c r="I4232" s="7" t="n">
        <v>45942</v>
      </c>
      <c r="J4232" s="8" t="str">
        <f aca="false">VLOOKUP(B4232, Table3[#All], 2, FALSE())</f>
        <v>Maintance</v>
      </c>
      <c r="K4232" s="8" t="str">
        <f aca="false">TEXT(ROW(), "0000")</f>
        <v>4232</v>
      </c>
      <c r="L4232" s="8"/>
    </row>
    <row r="4233" customFormat="false" ht="15.75" hidden="false" customHeight="true" outlineLevel="0" collapsed="false">
      <c r="A4233" s="7" t="n">
        <v>45943</v>
      </c>
      <c r="B4233" s="8" t="s">
        <v>19</v>
      </c>
      <c r="C4233" s="9" t="n">
        <v>2926</v>
      </c>
      <c r="D4233" s="8" t="s">
        <v>13</v>
      </c>
      <c r="E4233" s="10" t="s">
        <v>473</v>
      </c>
      <c r="F4233" s="8" t="str">
        <f aca="false">TEXT(A4233,"MM-YYYY")</f>
        <v>10-2025</v>
      </c>
      <c r="G4233" s="8" t="s">
        <v>14</v>
      </c>
      <c r="H4233" s="8"/>
      <c r="I4233" s="7"/>
      <c r="J4233" s="8" t="str">
        <f aca="false">VLOOKUP(B4233, Table3[#All], 2, FALSE())</f>
        <v>Inventory</v>
      </c>
      <c r="K4233" s="8" t="str">
        <f aca="false">TEXT(ROW(), "0000")</f>
        <v>4233</v>
      </c>
      <c r="L4233" s="8"/>
    </row>
    <row r="4234" customFormat="false" ht="15.75" hidden="false" customHeight="true" outlineLevel="0" collapsed="false">
      <c r="A4234" s="7" t="n">
        <v>45943</v>
      </c>
      <c r="B4234" s="8" t="s">
        <v>25</v>
      </c>
      <c r="C4234" s="9" t="n">
        <v>1345</v>
      </c>
      <c r="D4234" s="8" t="s">
        <v>13</v>
      </c>
      <c r="E4234" s="10" t="s">
        <v>92</v>
      </c>
      <c r="F4234" s="8" t="str">
        <f aca="false">TEXT(A4234,"MM-YYYY")</f>
        <v>10-2025</v>
      </c>
      <c r="G4234" s="8" t="s">
        <v>18</v>
      </c>
      <c r="H4234" s="8"/>
      <c r="I4234" s="7"/>
      <c r="J4234" s="8" t="str">
        <f aca="false">VLOOKUP(B4234, Table3[#All], 2, FALSE())</f>
        <v>Inventory</v>
      </c>
      <c r="K4234" s="8" t="str">
        <f aca="false">TEXT(ROW(), "0000")</f>
        <v>4234</v>
      </c>
      <c r="L4234" s="8"/>
    </row>
    <row r="4235" customFormat="false" ht="15.75" hidden="false" customHeight="true" outlineLevel="0" collapsed="false">
      <c r="A4235" s="7" t="n">
        <v>45943</v>
      </c>
      <c r="B4235" s="8" t="s">
        <v>32</v>
      </c>
      <c r="C4235" s="9" t="n">
        <v>150</v>
      </c>
      <c r="D4235" s="8" t="s">
        <v>45</v>
      </c>
      <c r="E4235" s="10" t="s">
        <v>450</v>
      </c>
      <c r="F4235" s="8" t="str">
        <f aca="false">TEXT(A4235,"MM-YYYY")</f>
        <v>10-2025</v>
      </c>
      <c r="G4235" s="8" t="s">
        <v>14</v>
      </c>
      <c r="H4235" s="8"/>
      <c r="I4235" s="7" t="n">
        <v>45943</v>
      </c>
      <c r="J4235" s="8" t="str">
        <f aca="false">VLOOKUP(B4235, Table3[#All], 2, FALSE())</f>
        <v>Grocery</v>
      </c>
      <c r="K4235" s="8" t="str">
        <f aca="false">TEXT(ROW(), "0000")</f>
        <v>4235</v>
      </c>
      <c r="L4235" s="8"/>
    </row>
    <row r="4236" customFormat="false" ht="15.75" hidden="false" customHeight="true" outlineLevel="0" collapsed="false">
      <c r="A4236" s="7" t="n">
        <v>45943</v>
      </c>
      <c r="B4236" s="8" t="s">
        <v>51</v>
      </c>
      <c r="C4236" s="9" t="n">
        <v>180</v>
      </c>
      <c r="D4236" s="8" t="s">
        <v>45</v>
      </c>
      <c r="E4236" s="10" t="s">
        <v>588</v>
      </c>
      <c r="F4236" s="8" t="str">
        <f aca="false">TEXT(A4236,"MM-YYYY")</f>
        <v>10-2025</v>
      </c>
      <c r="G4236" s="8" t="s">
        <v>14</v>
      </c>
      <c r="H4236" s="8"/>
      <c r="I4236" s="7" t="n">
        <v>45943</v>
      </c>
      <c r="J4236" s="8" t="str">
        <f aca="false">VLOOKUP(B4236, Table3[#All], 2, FALSE())</f>
        <v>Inventory</v>
      </c>
      <c r="K4236" s="8" t="str">
        <f aca="false">TEXT(ROW(), "0000")</f>
        <v>4236</v>
      </c>
      <c r="L4236" s="8"/>
    </row>
    <row r="4237" customFormat="false" ht="15.75" hidden="false" customHeight="true" outlineLevel="0" collapsed="false">
      <c r="A4237" s="7" t="n">
        <v>45943</v>
      </c>
      <c r="B4237" s="8" t="s">
        <v>43</v>
      </c>
      <c r="C4237" s="9" t="n">
        <v>1150</v>
      </c>
      <c r="D4237" s="8" t="s">
        <v>45</v>
      </c>
      <c r="E4237" s="10" t="s">
        <v>556</v>
      </c>
      <c r="F4237" s="8" t="str">
        <f aca="false">TEXT(A4237,"MM-YYYY")</f>
        <v>10-2025</v>
      </c>
      <c r="G4237" s="8" t="s">
        <v>14</v>
      </c>
      <c r="H4237" s="8"/>
      <c r="I4237" s="7" t="n">
        <v>45943</v>
      </c>
      <c r="J4237" s="8" t="str">
        <f aca="false">VLOOKUP(B4237, Table3[#All], 2, FALSE())</f>
        <v>Maintance</v>
      </c>
      <c r="K4237" s="8" t="str">
        <f aca="false">TEXT(ROW(), "0000")</f>
        <v>4237</v>
      </c>
      <c r="L4237" s="8"/>
    </row>
    <row r="4238" customFormat="false" ht="15.75" hidden="false" customHeight="true" outlineLevel="0" collapsed="false">
      <c r="A4238" s="7" t="n">
        <v>45943</v>
      </c>
      <c r="B4238" s="8" t="s">
        <v>285</v>
      </c>
      <c r="C4238" s="9" t="n">
        <v>2000</v>
      </c>
      <c r="D4238" s="8" t="s">
        <v>45</v>
      </c>
      <c r="E4238" s="10" t="s">
        <v>587</v>
      </c>
      <c r="F4238" s="8" t="str">
        <f aca="false">TEXT(A4238,"MM-YYYY")</f>
        <v>10-2025</v>
      </c>
      <c r="G4238" s="8" t="s">
        <v>14</v>
      </c>
      <c r="H4238" s="8"/>
      <c r="I4238" s="7" t="n">
        <v>45943</v>
      </c>
      <c r="J4238" s="8" t="e">
        <f aca="false">VLOOKUP(B4238, Table3[#All], 2, FALSE())</f>
        <v>#N/A</v>
      </c>
      <c r="K4238" s="8" t="str">
        <f aca="false">TEXT(ROW(), "0000")</f>
        <v>4238</v>
      </c>
      <c r="L4238" s="8"/>
    </row>
    <row r="4239" customFormat="false" ht="15.75" hidden="false" customHeight="true" outlineLevel="0" collapsed="false">
      <c r="A4239" s="7" t="n">
        <v>45943</v>
      </c>
      <c r="B4239" s="8" t="s">
        <v>285</v>
      </c>
      <c r="C4239" s="9" t="n">
        <v>600</v>
      </c>
      <c r="D4239" s="8" t="s">
        <v>13</v>
      </c>
      <c r="E4239" s="10" t="s">
        <v>587</v>
      </c>
      <c r="F4239" s="8" t="str">
        <f aca="false">TEXT(A4239,"MM-YYYY")</f>
        <v>10-2025</v>
      </c>
      <c r="G4239" s="8" t="s">
        <v>14</v>
      </c>
      <c r="H4239" s="8" t="s">
        <v>13</v>
      </c>
      <c r="I4239" s="7" t="n">
        <v>45943</v>
      </c>
      <c r="J4239" s="8" t="e">
        <f aca="false">VLOOKUP(B4239, Table3[#All], 2, FALSE())</f>
        <v>#N/A</v>
      </c>
      <c r="K4239" s="8" t="str">
        <f aca="false">TEXT(ROW(), "0000")</f>
        <v>4239</v>
      </c>
      <c r="L4239" s="8"/>
    </row>
    <row r="4240" customFormat="false" ht="15.75" hidden="false" customHeight="true" outlineLevel="0" collapsed="false">
      <c r="A4240" s="7" t="n">
        <v>45943</v>
      </c>
      <c r="B4240" s="8" t="s">
        <v>50</v>
      </c>
      <c r="C4240" s="9" t="n">
        <v>1609</v>
      </c>
      <c r="D4240" s="8" t="s">
        <v>13</v>
      </c>
      <c r="E4240" s="10" t="s">
        <v>263</v>
      </c>
      <c r="F4240" s="8" t="str">
        <f aca="false">TEXT(A4240,"MM-YYYY")</f>
        <v>10-2025</v>
      </c>
      <c r="G4240" s="8" t="s">
        <v>18</v>
      </c>
      <c r="H4240" s="8"/>
      <c r="I4240" s="7"/>
      <c r="J4240" s="8" t="str">
        <f aca="false">VLOOKUP(B4240, Table3[#All], 2, FALSE())</f>
        <v>Fixed Maintance</v>
      </c>
      <c r="K4240" s="8" t="str">
        <f aca="false">TEXT(ROW(), "0000")</f>
        <v>4240</v>
      </c>
      <c r="L4240" s="8"/>
    </row>
    <row r="4241" customFormat="false" ht="15.75" hidden="false" customHeight="true" outlineLevel="0" collapsed="false">
      <c r="A4241" s="7" t="n">
        <v>45943</v>
      </c>
      <c r="B4241" s="8" t="s">
        <v>22</v>
      </c>
      <c r="C4241" s="9" t="n">
        <v>55</v>
      </c>
      <c r="D4241" s="8" t="s">
        <v>21</v>
      </c>
      <c r="E4241" s="10" t="s">
        <v>479</v>
      </c>
      <c r="F4241" s="8" t="str">
        <f aca="false">TEXT(A4241,"MM-YYYY")</f>
        <v>10-2025</v>
      </c>
      <c r="G4241" s="8" t="s">
        <v>14</v>
      </c>
      <c r="H4241" s="8" t="s">
        <v>15</v>
      </c>
      <c r="I4241" s="7" t="n">
        <v>45943</v>
      </c>
      <c r="J4241" s="8" t="str">
        <f aca="false">VLOOKUP(B4241, Table3[#All], 2, FALSE())</f>
        <v>Inventory</v>
      </c>
      <c r="K4241" s="8" t="str">
        <f aca="false">TEXT(ROW(), "0000")</f>
        <v>4241</v>
      </c>
      <c r="L4241" s="8"/>
    </row>
    <row r="4242" customFormat="false" ht="15.75" hidden="false" customHeight="true" outlineLevel="0" collapsed="false">
      <c r="A4242" s="7" t="n">
        <v>45943</v>
      </c>
      <c r="B4242" s="8" t="s">
        <v>43</v>
      </c>
      <c r="C4242" s="9" t="n">
        <v>250</v>
      </c>
      <c r="D4242" s="8" t="s">
        <v>45</v>
      </c>
      <c r="E4242" s="10" t="s">
        <v>328</v>
      </c>
      <c r="F4242" s="8" t="str">
        <f aca="false">TEXT(A4242,"MM-YYYY")</f>
        <v>10-2025</v>
      </c>
      <c r="G4242" s="8" t="s">
        <v>14</v>
      </c>
      <c r="H4242" s="8" t="s">
        <v>232</v>
      </c>
      <c r="I4242" s="7" t="n">
        <v>45943</v>
      </c>
      <c r="J4242" s="8" t="str">
        <f aca="false">VLOOKUP(B4242, Table3[#All], 2, FALSE())</f>
        <v>Maintance</v>
      </c>
      <c r="K4242" s="8" t="str">
        <f aca="false">TEXT(ROW(), "0000")</f>
        <v>4242</v>
      </c>
      <c r="L4242" s="8"/>
    </row>
    <row r="4243" customFormat="false" ht="15.75" hidden="false" customHeight="true" outlineLevel="0" collapsed="false">
      <c r="A4243" s="7" t="n">
        <v>45943</v>
      </c>
      <c r="B4243" s="8" t="s">
        <v>37</v>
      </c>
      <c r="C4243" s="9" t="n">
        <v>150</v>
      </c>
      <c r="D4243" s="8" t="s">
        <v>21</v>
      </c>
      <c r="E4243" s="10" t="s">
        <v>37</v>
      </c>
      <c r="F4243" s="8" t="str">
        <f aca="false">TEXT(A4243,"MM-YYYY")</f>
        <v>10-2025</v>
      </c>
      <c r="G4243" s="8" t="s">
        <v>14</v>
      </c>
      <c r="H4243" s="8" t="s">
        <v>15</v>
      </c>
      <c r="I4243" s="7" t="n">
        <v>45943</v>
      </c>
      <c r="J4243" s="8" t="str">
        <f aca="false">VLOOKUP(B4243, Table3[#All], 2, FALSE())</f>
        <v>Maintance</v>
      </c>
      <c r="K4243" s="8" t="str">
        <f aca="false">TEXT(ROW(), "0000")</f>
        <v>4243</v>
      </c>
      <c r="L4243" s="8"/>
    </row>
    <row r="4244" customFormat="false" ht="15.75" hidden="false" customHeight="true" outlineLevel="0" collapsed="false">
      <c r="A4244" s="7" t="n">
        <v>45943</v>
      </c>
      <c r="B4244" s="8" t="s">
        <v>44</v>
      </c>
      <c r="C4244" s="9" t="n">
        <v>2000</v>
      </c>
      <c r="D4244" s="8" t="s">
        <v>13</v>
      </c>
      <c r="E4244" s="10" t="s">
        <v>15</v>
      </c>
      <c r="F4244" s="8" t="str">
        <f aca="false">TEXT(A4244,"MM-YYYY")</f>
        <v>10-2025</v>
      </c>
      <c r="G4244" s="8" t="s">
        <v>14</v>
      </c>
      <c r="H4244" s="8" t="s">
        <v>13</v>
      </c>
      <c r="I4244" s="7" t="n">
        <v>45943</v>
      </c>
      <c r="J4244" s="8" t="str">
        <f aca="false">VLOOKUP(B4244, Table3[#All], 2, FALSE())</f>
        <v>Salary</v>
      </c>
      <c r="K4244" s="8" t="str">
        <f aca="false">TEXT(ROW(), "0000")</f>
        <v>4244</v>
      </c>
      <c r="L4244" s="8"/>
    </row>
    <row r="4245" customFormat="false" ht="15.75" hidden="false" customHeight="true" outlineLevel="0" collapsed="false">
      <c r="A4245" s="7" t="n">
        <v>45943</v>
      </c>
      <c r="B4245" s="8" t="s">
        <v>16</v>
      </c>
      <c r="C4245" s="9" t="n">
        <v>1744</v>
      </c>
      <c r="D4245" s="8" t="s">
        <v>21</v>
      </c>
      <c r="E4245" s="10" t="s">
        <v>88</v>
      </c>
      <c r="F4245" s="8" t="str">
        <f aca="false">TEXT(A4245,"MM-YYYY")</f>
        <v>10-2025</v>
      </c>
      <c r="G4245" s="8"/>
      <c r="H4245" s="8"/>
      <c r="I4245" s="7"/>
      <c r="J4245" s="8" t="str">
        <f aca="false">VLOOKUP(B4245, Table3[#All], 2, FALSE())</f>
        <v>Sales</v>
      </c>
      <c r="K4245" s="8" t="str">
        <f aca="false">TEXT(ROW(), "0000")</f>
        <v>4245</v>
      </c>
      <c r="L4245" s="8"/>
    </row>
    <row r="4246" customFormat="false" ht="15.75" hidden="false" customHeight="true" outlineLevel="0" collapsed="false">
      <c r="A4246" s="7" t="n">
        <v>45943</v>
      </c>
      <c r="B4246" s="8" t="s">
        <v>16</v>
      </c>
      <c r="C4246" s="9" t="n">
        <v>980</v>
      </c>
      <c r="D4246" s="8" t="s">
        <v>33</v>
      </c>
      <c r="E4246" s="10" t="s">
        <v>88</v>
      </c>
      <c r="F4246" s="8" t="str">
        <f aca="false">TEXT(A4246,"MM-YYYY")</f>
        <v>10-2025</v>
      </c>
      <c r="G4246" s="8"/>
      <c r="H4246" s="8"/>
      <c r="I4246" s="7"/>
      <c r="J4246" s="8" t="str">
        <f aca="false">VLOOKUP(B4246, Table3[#All], 2, FALSE())</f>
        <v>Sales</v>
      </c>
      <c r="K4246" s="8" t="str">
        <f aca="false">TEXT(ROW(), "0000")</f>
        <v>4246</v>
      </c>
      <c r="L4246" s="8"/>
    </row>
    <row r="4247" customFormat="false" ht="15.75" hidden="false" customHeight="true" outlineLevel="0" collapsed="false">
      <c r="A4247" s="7" t="n">
        <v>45943</v>
      </c>
      <c r="B4247" s="8" t="s">
        <v>16</v>
      </c>
      <c r="C4247" s="9" t="n">
        <v>17028</v>
      </c>
      <c r="D4247" s="8" t="s">
        <v>17</v>
      </c>
      <c r="E4247" s="10" t="s">
        <v>88</v>
      </c>
      <c r="F4247" s="8" t="str">
        <f aca="false">TEXT(A4247,"MM-YYYY")</f>
        <v>10-2025</v>
      </c>
      <c r="G4247" s="8"/>
      <c r="H4247" s="8"/>
      <c r="I4247" s="7"/>
      <c r="J4247" s="8" t="str">
        <f aca="false">VLOOKUP(B4247, Table3[#All], 2, FALSE())</f>
        <v>Sales</v>
      </c>
      <c r="K4247" s="8" t="str">
        <f aca="false">TEXT(ROW(), "0000")</f>
        <v>4247</v>
      </c>
      <c r="L4247" s="8"/>
    </row>
    <row r="4248" customFormat="false" ht="15.75" hidden="false" customHeight="true" outlineLevel="0" collapsed="false">
      <c r="A4248" s="7" t="n">
        <v>45943</v>
      </c>
      <c r="B4248" s="8" t="s">
        <v>16</v>
      </c>
      <c r="C4248" s="9" t="n">
        <v>2710</v>
      </c>
      <c r="D4248" s="8" t="s">
        <v>24</v>
      </c>
      <c r="E4248" s="10" t="s">
        <v>88</v>
      </c>
      <c r="F4248" s="8" t="str">
        <f aca="false">TEXT(A4248,"MM-YYYY")</f>
        <v>10-2025</v>
      </c>
      <c r="G4248" s="8"/>
      <c r="H4248" s="8"/>
      <c r="I4248" s="7"/>
      <c r="J4248" s="8" t="str">
        <f aca="false">VLOOKUP(B4248, Table3[#All], 2, FALSE())</f>
        <v>Sales</v>
      </c>
      <c r="K4248" s="8" t="str">
        <f aca="false">TEXT(ROW(), "0000")</f>
        <v>4248</v>
      </c>
      <c r="L4248" s="8"/>
    </row>
    <row r="4249" customFormat="false" ht="15.75" hidden="false" customHeight="true" outlineLevel="0" collapsed="false">
      <c r="A4249" s="7" t="n">
        <v>45943</v>
      </c>
      <c r="B4249" s="8" t="s">
        <v>107</v>
      </c>
      <c r="C4249" s="9" t="n">
        <v>110</v>
      </c>
      <c r="D4249" s="8" t="s">
        <v>21</v>
      </c>
      <c r="E4249" s="10" t="s">
        <v>274</v>
      </c>
      <c r="F4249" s="8" t="str">
        <f aca="false">TEXT(A4249,"MM-YYYY")</f>
        <v>10-2025</v>
      </c>
      <c r="G4249" s="8" t="s">
        <v>14</v>
      </c>
      <c r="H4249" s="8" t="s">
        <v>15</v>
      </c>
      <c r="I4249" s="7" t="n">
        <v>45943</v>
      </c>
      <c r="J4249" s="8" t="str">
        <f aca="false">VLOOKUP(B4249, Table3[#All], 2, FALSE())</f>
        <v>Staff Expenses</v>
      </c>
      <c r="K4249" s="8" t="str">
        <f aca="false">TEXT(ROW(), "0000")</f>
        <v>4249</v>
      </c>
      <c r="L4249" s="8"/>
    </row>
    <row r="4250" customFormat="false" ht="15.75" hidden="false" customHeight="true" outlineLevel="0" collapsed="false">
      <c r="A4250" s="7" t="n">
        <v>45943</v>
      </c>
      <c r="B4250" s="8" t="s">
        <v>34</v>
      </c>
      <c r="C4250" s="9" t="n">
        <v>99</v>
      </c>
      <c r="D4250" s="8" t="s">
        <v>21</v>
      </c>
      <c r="E4250" s="10" t="s">
        <v>274</v>
      </c>
      <c r="F4250" s="8" t="str">
        <f aca="false">TEXT(A4250,"MM-YYYY")</f>
        <v>10-2025</v>
      </c>
      <c r="G4250" s="8" t="s">
        <v>14</v>
      </c>
      <c r="H4250" s="8" t="s">
        <v>15</v>
      </c>
      <c r="I4250" s="7" t="n">
        <v>45943</v>
      </c>
      <c r="J4250" s="8" t="str">
        <f aca="false">VLOOKUP(B4250, Table3[#All], 2, FALSE())</f>
        <v>Staff Expenses</v>
      </c>
      <c r="K4250" s="8" t="str">
        <f aca="false">TEXT(ROW(), "0000")</f>
        <v>4250</v>
      </c>
      <c r="L4250" s="8"/>
    </row>
    <row r="4251" customFormat="false" ht="15.75" hidden="false" customHeight="true" outlineLevel="0" collapsed="false">
      <c r="A4251" s="7" t="n">
        <v>45943</v>
      </c>
      <c r="B4251" s="8" t="s">
        <v>16</v>
      </c>
      <c r="C4251" s="9" t="n">
        <v>670</v>
      </c>
      <c r="D4251" s="8" t="s">
        <v>70</v>
      </c>
      <c r="E4251" s="10" t="s">
        <v>88</v>
      </c>
      <c r="F4251" s="8" t="str">
        <f aca="false">TEXT(A4251,"MM-YYYY")</f>
        <v>10-2025</v>
      </c>
      <c r="G4251" s="8"/>
      <c r="H4251" s="8"/>
      <c r="I4251" s="7"/>
      <c r="J4251" s="8" t="str">
        <f aca="false">VLOOKUP(B4251, Table3[#All], 2, FALSE())</f>
        <v>Sales</v>
      </c>
      <c r="K4251" s="8" t="str">
        <f aca="false">TEXT(ROW(), "0000")</f>
        <v>4251</v>
      </c>
      <c r="L4251" s="8"/>
    </row>
    <row r="4252" customFormat="false" ht="15.75" hidden="false" customHeight="true" outlineLevel="0" collapsed="false">
      <c r="A4252" s="7" t="n">
        <v>45944</v>
      </c>
      <c r="B4252" s="8" t="s">
        <v>19</v>
      </c>
      <c r="C4252" s="9" t="n">
        <v>3113</v>
      </c>
      <c r="D4252" s="8" t="s">
        <v>13</v>
      </c>
      <c r="E4252" s="10" t="s">
        <v>473</v>
      </c>
      <c r="F4252" s="8" t="str">
        <f aca="false">TEXT(A4252,"MM-YYYY")</f>
        <v>10-2025</v>
      </c>
      <c r="G4252" s="8" t="s">
        <v>14</v>
      </c>
      <c r="H4252" s="8"/>
      <c r="I4252" s="7"/>
      <c r="J4252" s="8" t="str">
        <f aca="false">VLOOKUP(B4252, Table3[#All], 2, FALSE())</f>
        <v>Inventory</v>
      </c>
      <c r="K4252" s="8" t="str">
        <f aca="false">TEXT(ROW(), "0000")</f>
        <v>4252</v>
      </c>
      <c r="L4252" s="8"/>
    </row>
    <row r="4253" customFormat="false" ht="15.75" hidden="false" customHeight="true" outlineLevel="0" collapsed="false">
      <c r="A4253" s="7" t="n">
        <v>45944</v>
      </c>
      <c r="B4253" s="8" t="s">
        <v>32</v>
      </c>
      <c r="C4253" s="9" t="n">
        <v>100</v>
      </c>
      <c r="D4253" s="8" t="s">
        <v>21</v>
      </c>
      <c r="E4253" s="10" t="s">
        <v>450</v>
      </c>
      <c r="F4253" s="8" t="str">
        <f aca="false">TEXT(A4253,"MM-YYYY")</f>
        <v>10-2025</v>
      </c>
      <c r="G4253" s="8" t="s">
        <v>14</v>
      </c>
      <c r="H4253" s="8" t="s">
        <v>15</v>
      </c>
      <c r="I4253" s="7" t="n">
        <v>45944</v>
      </c>
      <c r="J4253" s="8" t="str">
        <f aca="false">VLOOKUP(B4253, Table3[#All], 2, FALSE())</f>
        <v>Grocery</v>
      </c>
      <c r="K4253" s="8" t="str">
        <f aca="false">TEXT(ROW(), "0000")</f>
        <v>4253</v>
      </c>
      <c r="L4253" s="8"/>
    </row>
    <row r="4254" customFormat="false" ht="15.75" hidden="false" customHeight="true" outlineLevel="0" collapsed="false">
      <c r="A4254" s="7" t="n">
        <v>45944</v>
      </c>
      <c r="B4254" s="8" t="s">
        <v>25</v>
      </c>
      <c r="C4254" s="9" t="n">
        <v>195</v>
      </c>
      <c r="D4254" s="8" t="s">
        <v>13</v>
      </c>
      <c r="E4254" s="10" t="s">
        <v>92</v>
      </c>
      <c r="F4254" s="8" t="str">
        <f aca="false">TEXT(A4254,"MM-YYYY")</f>
        <v>10-2025</v>
      </c>
      <c r="G4254" s="8" t="s">
        <v>18</v>
      </c>
      <c r="H4254" s="8"/>
      <c r="I4254" s="7"/>
      <c r="J4254" s="8" t="str">
        <f aca="false">VLOOKUP(B4254, Table3[#All], 2, FALSE())</f>
        <v>Inventory</v>
      </c>
      <c r="K4254" s="8" t="str">
        <f aca="false">TEXT(ROW(), "0000")</f>
        <v>4254</v>
      </c>
      <c r="L4254" s="8"/>
    </row>
    <row r="4255" customFormat="false" ht="15.75" hidden="false" customHeight="true" outlineLevel="0" collapsed="false">
      <c r="A4255" s="7" t="n">
        <v>45944</v>
      </c>
      <c r="B4255" s="8" t="s">
        <v>25</v>
      </c>
      <c r="C4255" s="9" t="n">
        <v>550</v>
      </c>
      <c r="D4255" s="8" t="s">
        <v>45</v>
      </c>
      <c r="E4255" s="10" t="s">
        <v>557</v>
      </c>
      <c r="F4255" s="8" t="str">
        <f aca="false">TEXT(A4255,"MM-YYYY")</f>
        <v>10-2025</v>
      </c>
      <c r="G4255" s="8" t="s">
        <v>14</v>
      </c>
      <c r="H4255" s="8" t="s">
        <v>232</v>
      </c>
      <c r="I4255" s="7" t="n">
        <v>45944</v>
      </c>
      <c r="J4255" s="8" t="str">
        <f aca="false">VLOOKUP(B4255, Table3[#All], 2, FALSE())</f>
        <v>Inventory</v>
      </c>
      <c r="K4255" s="8" t="str">
        <f aca="false">TEXT(ROW(), "0000")</f>
        <v>4255</v>
      </c>
      <c r="L4255" s="8"/>
    </row>
    <row r="4256" customFormat="false" ht="15.75" hidden="false" customHeight="true" outlineLevel="0" collapsed="false">
      <c r="A4256" s="7" t="n">
        <v>45944</v>
      </c>
      <c r="B4256" s="8" t="s">
        <v>22</v>
      </c>
      <c r="C4256" s="9" t="n">
        <v>750</v>
      </c>
      <c r="D4256" s="8" t="s">
        <v>45</v>
      </c>
      <c r="E4256" s="10" t="s">
        <v>288</v>
      </c>
      <c r="F4256" s="8" t="str">
        <f aca="false">TEXT(A4256,"MM-YYYY")</f>
        <v>10-2025</v>
      </c>
      <c r="G4256" s="8" t="s">
        <v>14</v>
      </c>
      <c r="H4256" s="8" t="s">
        <v>13</v>
      </c>
      <c r="I4256" s="7" t="n">
        <v>45944</v>
      </c>
      <c r="J4256" s="8" t="str">
        <f aca="false">VLOOKUP(B4256, Table3[#All], 2, FALSE())</f>
        <v>Inventory</v>
      </c>
      <c r="K4256" s="8" t="str">
        <f aca="false">TEXT(ROW(), "0000")</f>
        <v>4256</v>
      </c>
      <c r="L4256" s="8"/>
    </row>
    <row r="4257" customFormat="false" ht="15.75" hidden="false" customHeight="true" outlineLevel="0" collapsed="false">
      <c r="A4257" s="7" t="n">
        <v>45944</v>
      </c>
      <c r="B4257" s="8" t="s">
        <v>32</v>
      </c>
      <c r="C4257" s="9" t="n">
        <v>1050</v>
      </c>
      <c r="D4257" s="8" t="s">
        <v>13</v>
      </c>
      <c r="E4257" s="10" t="s">
        <v>450</v>
      </c>
      <c r="F4257" s="8" t="str">
        <f aca="false">TEXT(A4257,"MM-YYYY")</f>
        <v>10-2025</v>
      </c>
      <c r="G4257" s="8" t="s">
        <v>14</v>
      </c>
      <c r="H4257" s="8" t="s">
        <v>13</v>
      </c>
      <c r="I4257" s="7" t="n">
        <v>45944</v>
      </c>
      <c r="J4257" s="8" t="str">
        <f aca="false">VLOOKUP(B4257, Table3[#All], 2, FALSE())</f>
        <v>Grocery</v>
      </c>
      <c r="K4257" s="8" t="str">
        <f aca="false">TEXT(ROW(), "0000")</f>
        <v>4257</v>
      </c>
      <c r="L4257" s="8"/>
    </row>
    <row r="4258" customFormat="false" ht="15.75" hidden="false" customHeight="true" outlineLevel="0" collapsed="false">
      <c r="A4258" s="7" t="n">
        <v>45944</v>
      </c>
      <c r="B4258" s="8" t="s">
        <v>29</v>
      </c>
      <c r="C4258" s="9" t="n">
        <v>570</v>
      </c>
      <c r="D4258" s="8" t="s">
        <v>13</v>
      </c>
      <c r="E4258" s="10" t="s">
        <v>78</v>
      </c>
      <c r="F4258" s="8" t="str">
        <f aca="false">TEXT(A4258,"MM-YYYY")</f>
        <v>10-2025</v>
      </c>
      <c r="G4258" s="8" t="s">
        <v>14</v>
      </c>
      <c r="H4258" s="8" t="s">
        <v>232</v>
      </c>
      <c r="I4258" s="7" t="n">
        <v>45944</v>
      </c>
      <c r="J4258" s="8" t="str">
        <f aca="false">VLOOKUP(B4258, Table3[#All], 2, FALSE())</f>
        <v>Inventory</v>
      </c>
      <c r="K4258" s="8" t="str">
        <f aca="false">TEXT(ROW(), "0000")</f>
        <v>4258</v>
      </c>
      <c r="L4258" s="8"/>
    </row>
    <row r="4259" customFormat="false" ht="15.75" hidden="false" customHeight="true" outlineLevel="0" collapsed="false">
      <c r="A4259" s="7" t="n">
        <v>45944</v>
      </c>
      <c r="B4259" s="8" t="s">
        <v>51</v>
      </c>
      <c r="C4259" s="9" t="n">
        <v>530</v>
      </c>
      <c r="D4259" s="8" t="s">
        <v>21</v>
      </c>
      <c r="E4259" s="10" t="s">
        <v>589</v>
      </c>
      <c r="F4259" s="8" t="str">
        <f aca="false">TEXT(A4259,"MM-YYYY")</f>
        <v>10-2025</v>
      </c>
      <c r="G4259" s="8" t="s">
        <v>14</v>
      </c>
      <c r="H4259" s="8" t="s">
        <v>15</v>
      </c>
      <c r="I4259" s="7" t="n">
        <v>45944</v>
      </c>
      <c r="J4259" s="8" t="str">
        <f aca="false">VLOOKUP(B4259, Table3[#All], 2, FALSE())</f>
        <v>Inventory</v>
      </c>
      <c r="K4259" s="8" t="str">
        <f aca="false">TEXT(ROW(), "0000")</f>
        <v>4259</v>
      </c>
      <c r="L4259" s="8"/>
    </row>
    <row r="4260" customFormat="false" ht="15.75" hidden="false" customHeight="true" outlineLevel="0" collapsed="false">
      <c r="A4260" s="7" t="n">
        <v>45944</v>
      </c>
      <c r="B4260" s="8" t="s">
        <v>43</v>
      </c>
      <c r="C4260" s="9" t="n">
        <v>250</v>
      </c>
      <c r="D4260" s="8" t="s">
        <v>45</v>
      </c>
      <c r="E4260" s="10" t="s">
        <v>562</v>
      </c>
      <c r="F4260" s="8" t="str">
        <f aca="false">TEXT(A4260,"MM-YYYY")</f>
        <v>10-2025</v>
      </c>
      <c r="G4260" s="8" t="s">
        <v>14</v>
      </c>
      <c r="H4260" s="8" t="s">
        <v>232</v>
      </c>
      <c r="I4260" s="7" t="n">
        <v>45944</v>
      </c>
      <c r="J4260" s="8" t="str">
        <f aca="false">VLOOKUP(B4260, Table3[#All], 2, FALSE())</f>
        <v>Maintance</v>
      </c>
      <c r="K4260" s="8" t="str">
        <f aca="false">TEXT(ROW(), "0000")</f>
        <v>4260</v>
      </c>
      <c r="L4260" s="8"/>
    </row>
    <row r="4261" customFormat="false" ht="15.75" hidden="false" customHeight="true" outlineLevel="0" collapsed="false">
      <c r="A4261" s="7" t="n">
        <v>45943</v>
      </c>
      <c r="B4261" s="8" t="s">
        <v>29</v>
      </c>
      <c r="C4261" s="9" t="n">
        <v>647</v>
      </c>
      <c r="D4261" s="8" t="s">
        <v>13</v>
      </c>
      <c r="E4261" s="10" t="s">
        <v>490</v>
      </c>
      <c r="F4261" s="8" t="str">
        <f aca="false">TEXT(A4261,"MM-YYYY")</f>
        <v>10-2025</v>
      </c>
      <c r="G4261" s="8" t="s">
        <v>18</v>
      </c>
      <c r="H4261" s="8"/>
      <c r="I4261" s="7"/>
      <c r="J4261" s="8" t="str">
        <f aca="false">VLOOKUP(B4261, Table3[#All], 2, FALSE())</f>
        <v>Inventory</v>
      </c>
      <c r="K4261" s="8" t="str">
        <f aca="false">TEXT(ROW(), "0000")</f>
        <v>4261</v>
      </c>
      <c r="L4261" s="8"/>
    </row>
    <row r="4262" customFormat="false" ht="15.75" hidden="false" customHeight="true" outlineLevel="0" collapsed="false">
      <c r="A4262" s="7" t="n">
        <v>45944</v>
      </c>
      <c r="B4262" s="8" t="s">
        <v>29</v>
      </c>
      <c r="C4262" s="9" t="n">
        <v>1109</v>
      </c>
      <c r="D4262" s="8" t="s">
        <v>13</v>
      </c>
      <c r="E4262" s="10" t="s">
        <v>490</v>
      </c>
      <c r="F4262" s="8" t="str">
        <f aca="false">TEXT(A4262,"MM-YYYY")</f>
        <v>10-2025</v>
      </c>
      <c r="G4262" s="8" t="s">
        <v>18</v>
      </c>
      <c r="H4262" s="8"/>
      <c r="I4262" s="7"/>
      <c r="J4262" s="8" t="str">
        <f aca="false">VLOOKUP(B4262, Table3[#All], 2, FALSE())</f>
        <v>Inventory</v>
      </c>
      <c r="K4262" s="8" t="str">
        <f aca="false">TEXT(ROW(), "0000")</f>
        <v>4262</v>
      </c>
      <c r="L4262" s="8"/>
    </row>
    <row r="4263" customFormat="false" ht="15.75" hidden="false" customHeight="true" outlineLevel="0" collapsed="false">
      <c r="A4263" s="7" t="n">
        <v>45944</v>
      </c>
      <c r="B4263" s="8" t="s">
        <v>16</v>
      </c>
      <c r="C4263" s="9" t="n">
        <v>3670</v>
      </c>
      <c r="D4263" s="8" t="s">
        <v>21</v>
      </c>
      <c r="E4263" s="10" t="s">
        <v>88</v>
      </c>
      <c r="F4263" s="8" t="str">
        <f aca="false">TEXT(A4263,"MM-YYYY")</f>
        <v>10-2025</v>
      </c>
      <c r="G4263" s="8"/>
      <c r="H4263" s="8"/>
      <c r="I4263" s="7"/>
      <c r="J4263" s="8" t="str">
        <f aca="false">VLOOKUP(B4263, Table3[#All], 2, FALSE())</f>
        <v>Sales</v>
      </c>
      <c r="K4263" s="8" t="str">
        <f aca="false">TEXT(ROW(), "0000")</f>
        <v>4263</v>
      </c>
      <c r="L4263" s="8"/>
    </row>
    <row r="4264" customFormat="false" ht="15.75" hidden="false" customHeight="true" outlineLevel="0" collapsed="false">
      <c r="A4264" s="7" t="n">
        <v>45944</v>
      </c>
      <c r="B4264" s="8" t="s">
        <v>16</v>
      </c>
      <c r="C4264" s="9" t="n">
        <v>1310</v>
      </c>
      <c r="D4264" s="8" t="s">
        <v>27</v>
      </c>
      <c r="E4264" s="10" t="s">
        <v>88</v>
      </c>
      <c r="F4264" s="8" t="str">
        <f aca="false">TEXT(A4264,"MM-YYYY")</f>
        <v>10-2025</v>
      </c>
      <c r="G4264" s="8"/>
      <c r="H4264" s="8"/>
      <c r="I4264" s="7"/>
      <c r="J4264" s="8" t="str">
        <f aca="false">VLOOKUP(B4264, Table3[#All], 2, FALSE())</f>
        <v>Sales</v>
      </c>
      <c r="K4264" s="8" t="str">
        <f aca="false">TEXT(ROW(), "0000")</f>
        <v>4264</v>
      </c>
      <c r="L4264" s="8"/>
    </row>
    <row r="4265" customFormat="false" ht="15.75" hidden="false" customHeight="true" outlineLevel="0" collapsed="false">
      <c r="A4265" s="7" t="n">
        <v>45944</v>
      </c>
      <c r="B4265" s="8" t="s">
        <v>16</v>
      </c>
      <c r="C4265" s="9" t="n">
        <v>840</v>
      </c>
      <c r="D4265" s="8" t="s">
        <v>33</v>
      </c>
      <c r="E4265" s="10" t="s">
        <v>88</v>
      </c>
      <c r="F4265" s="8" t="str">
        <f aca="false">TEXT(A4265,"MM-YYYY")</f>
        <v>10-2025</v>
      </c>
      <c r="G4265" s="8"/>
      <c r="H4265" s="8"/>
      <c r="I4265" s="7"/>
      <c r="J4265" s="8" t="str">
        <f aca="false">VLOOKUP(B4265, Table3[#All], 2, FALSE())</f>
        <v>Sales</v>
      </c>
      <c r="K4265" s="8" t="str">
        <f aca="false">TEXT(ROW(), "0000")</f>
        <v>4265</v>
      </c>
      <c r="L4265" s="8"/>
    </row>
    <row r="4266" customFormat="false" ht="15.75" hidden="false" customHeight="true" outlineLevel="0" collapsed="false">
      <c r="A4266" s="7" t="n">
        <v>45944</v>
      </c>
      <c r="B4266" s="8" t="s">
        <v>16</v>
      </c>
      <c r="C4266" s="9" t="n">
        <v>17213</v>
      </c>
      <c r="D4266" s="8" t="s">
        <v>17</v>
      </c>
      <c r="E4266" s="10" t="s">
        <v>88</v>
      </c>
      <c r="F4266" s="8" t="str">
        <f aca="false">TEXT(A4266,"MM-YYYY")</f>
        <v>10-2025</v>
      </c>
      <c r="G4266" s="8"/>
      <c r="H4266" s="8"/>
      <c r="I4266" s="7"/>
      <c r="J4266" s="8" t="str">
        <f aca="false">VLOOKUP(B4266, Table3[#All], 2, FALSE())</f>
        <v>Sales</v>
      </c>
      <c r="K4266" s="8" t="str">
        <f aca="false">TEXT(ROW(), "0000")</f>
        <v>4266</v>
      </c>
      <c r="L4266" s="8"/>
    </row>
    <row r="4267" customFormat="false" ht="15.75" hidden="false" customHeight="true" outlineLevel="0" collapsed="false">
      <c r="A4267" s="7" t="n">
        <v>45944</v>
      </c>
      <c r="B4267" s="8" t="s">
        <v>16</v>
      </c>
      <c r="C4267" s="9" t="n">
        <v>645</v>
      </c>
      <c r="D4267" s="8" t="s">
        <v>59</v>
      </c>
      <c r="E4267" s="10" t="s">
        <v>88</v>
      </c>
      <c r="F4267" s="8" t="str">
        <f aca="false">TEXT(A4267,"MM-YYYY")</f>
        <v>10-2025</v>
      </c>
      <c r="G4267" s="8"/>
      <c r="H4267" s="8"/>
      <c r="I4267" s="7"/>
      <c r="J4267" s="8" t="str">
        <f aca="false">VLOOKUP(B4267, Table3[#All], 2, FALSE())</f>
        <v>Sales</v>
      </c>
      <c r="K4267" s="8" t="str">
        <f aca="false">TEXT(ROW(), "0000")</f>
        <v>4267</v>
      </c>
      <c r="L4267" s="8"/>
    </row>
    <row r="4268" customFormat="false" ht="15.75" hidden="false" customHeight="true" outlineLevel="0" collapsed="false">
      <c r="A4268" s="7" t="n">
        <v>45944</v>
      </c>
      <c r="B4268" s="8" t="s">
        <v>16</v>
      </c>
      <c r="C4268" s="9" t="n">
        <v>2342</v>
      </c>
      <c r="D4268" s="8" t="s">
        <v>24</v>
      </c>
      <c r="E4268" s="10" t="s">
        <v>88</v>
      </c>
      <c r="F4268" s="8" t="str">
        <f aca="false">TEXT(A4268,"MM-YYYY")</f>
        <v>10-2025</v>
      </c>
      <c r="G4268" s="8"/>
      <c r="H4268" s="8"/>
      <c r="I4268" s="7"/>
      <c r="J4268" s="8" t="str">
        <f aca="false">VLOOKUP(B4268, Table3[#All], 2, FALSE())</f>
        <v>Sales</v>
      </c>
      <c r="K4268" s="8" t="str">
        <f aca="false">TEXT(ROW(), "0000")</f>
        <v>4268</v>
      </c>
      <c r="L4268" s="8"/>
    </row>
    <row r="4269" customFormat="false" ht="15.75" hidden="false" customHeight="true" outlineLevel="0" collapsed="false">
      <c r="A4269" s="7" t="n">
        <v>45944</v>
      </c>
      <c r="B4269" s="8" t="s">
        <v>34</v>
      </c>
      <c r="C4269" s="9" t="n">
        <v>150</v>
      </c>
      <c r="D4269" s="8" t="s">
        <v>45</v>
      </c>
      <c r="E4269" s="10" t="s">
        <v>274</v>
      </c>
      <c r="F4269" s="8" t="str">
        <f aca="false">TEXT(A4269,"MM-YYYY")</f>
        <v>10-2025</v>
      </c>
      <c r="G4269" s="8" t="s">
        <v>14</v>
      </c>
      <c r="H4269" s="8" t="s">
        <v>232</v>
      </c>
      <c r="I4269" s="7" t="n">
        <v>45944</v>
      </c>
      <c r="J4269" s="8" t="str">
        <f aca="false">VLOOKUP(B4269, Table3[#All], 2, FALSE())</f>
        <v>Staff Expenses</v>
      </c>
      <c r="K4269" s="8" t="str">
        <f aca="false">TEXT(ROW(), "0000")</f>
        <v>4269</v>
      </c>
      <c r="L4269" s="8"/>
    </row>
    <row r="4270" customFormat="false" ht="15.75" hidden="false" customHeight="true" outlineLevel="0" collapsed="false">
      <c r="A4270" s="7" t="n">
        <v>45944</v>
      </c>
      <c r="B4270" s="8" t="s">
        <v>29</v>
      </c>
      <c r="C4270" s="9" t="n">
        <v>40</v>
      </c>
      <c r="D4270" s="8" t="s">
        <v>21</v>
      </c>
      <c r="E4270" s="10" t="s">
        <v>194</v>
      </c>
      <c r="F4270" s="8" t="str">
        <f aca="false">TEXT(A4270,"MM-YYYY")</f>
        <v>10-2025</v>
      </c>
      <c r="G4270" s="8" t="s">
        <v>14</v>
      </c>
      <c r="H4270" s="8" t="s">
        <v>15</v>
      </c>
      <c r="I4270" s="7" t="n">
        <v>45944</v>
      </c>
      <c r="J4270" s="8" t="str">
        <f aca="false">VLOOKUP(B4270, Table3[#All], 2, FALSE())</f>
        <v>Inventory</v>
      </c>
      <c r="K4270" s="8" t="str">
        <f aca="false">TEXT(ROW(), "0000")</f>
        <v>4270</v>
      </c>
      <c r="L4270" s="8"/>
    </row>
    <row r="4271" customFormat="false" ht="15.75" hidden="false" customHeight="true" outlineLevel="0" collapsed="false">
      <c r="A4271" s="7" t="n">
        <v>45945</v>
      </c>
      <c r="B4271" s="8" t="s">
        <v>47</v>
      </c>
      <c r="C4271" s="9" t="n">
        <v>1800</v>
      </c>
      <c r="D4271" s="8" t="s">
        <v>13</v>
      </c>
      <c r="E4271" s="10" t="s">
        <v>484</v>
      </c>
      <c r="F4271" s="8" t="str">
        <f aca="false">TEXT(A4271,"MM-YYYY")</f>
        <v>10-2025</v>
      </c>
      <c r="G4271" s="8" t="s">
        <v>18</v>
      </c>
      <c r="H4271" s="8"/>
      <c r="I4271" s="7"/>
      <c r="J4271" s="8" t="str">
        <f aca="false">VLOOKUP(B4271, Table3[#All], 2, FALSE())</f>
        <v>Inventory</v>
      </c>
      <c r="K4271" s="8" t="str">
        <f aca="false">TEXT(ROW(), "0000")</f>
        <v>4271</v>
      </c>
      <c r="L4271" s="8"/>
    </row>
    <row r="4272" customFormat="false" ht="15.75" hidden="false" customHeight="true" outlineLevel="0" collapsed="false">
      <c r="A4272" s="7" t="n">
        <v>45945</v>
      </c>
      <c r="B4272" s="8" t="s">
        <v>22</v>
      </c>
      <c r="C4272" s="9" t="n">
        <v>200</v>
      </c>
      <c r="D4272" s="8" t="s">
        <v>45</v>
      </c>
      <c r="E4272" s="10" t="s">
        <v>590</v>
      </c>
      <c r="F4272" s="8" t="str">
        <f aca="false">TEXT(A4272,"MM-YYYY")</f>
        <v>10-2025</v>
      </c>
      <c r="G4272" s="8" t="s">
        <v>14</v>
      </c>
      <c r="H4272" s="8" t="s">
        <v>232</v>
      </c>
      <c r="I4272" s="7" t="n">
        <v>45945</v>
      </c>
      <c r="J4272" s="8" t="str">
        <f aca="false">VLOOKUP(B4272, Table3[#All], 2, FALSE())</f>
        <v>Inventory</v>
      </c>
      <c r="K4272" s="8" t="str">
        <f aca="false">TEXT(ROW(), "0000")</f>
        <v>4272</v>
      </c>
      <c r="L4272" s="8"/>
    </row>
    <row r="4273" customFormat="false" ht="15.75" hidden="false" customHeight="true" outlineLevel="0" collapsed="false">
      <c r="A4273" s="7" t="n">
        <v>45945</v>
      </c>
      <c r="B4273" s="8" t="s">
        <v>25</v>
      </c>
      <c r="C4273" s="9" t="n">
        <v>1410</v>
      </c>
      <c r="D4273" s="8" t="s">
        <v>13</v>
      </c>
      <c r="E4273" s="10" t="s">
        <v>92</v>
      </c>
      <c r="F4273" s="8" t="str">
        <f aca="false">TEXT(A4273,"MM-YYYY")</f>
        <v>10-2025</v>
      </c>
      <c r="G4273" s="8" t="s">
        <v>18</v>
      </c>
      <c r="H4273" s="8"/>
      <c r="I4273" s="7"/>
      <c r="J4273" s="8" t="str">
        <f aca="false">VLOOKUP(B4273, Table3[#All], 2, FALSE())</f>
        <v>Inventory</v>
      </c>
      <c r="K4273" s="8" t="str">
        <f aca="false">TEXT(ROW(), "0000")</f>
        <v>4273</v>
      </c>
      <c r="L4273" s="8"/>
    </row>
    <row r="4274" customFormat="false" ht="15.75" hidden="false" customHeight="true" outlineLevel="0" collapsed="false">
      <c r="A4274" s="7" t="n">
        <v>45945</v>
      </c>
      <c r="B4274" s="8" t="s">
        <v>32</v>
      </c>
      <c r="C4274" s="9" t="n">
        <v>150</v>
      </c>
      <c r="D4274" s="8" t="s">
        <v>21</v>
      </c>
      <c r="E4274" s="10" t="s">
        <v>450</v>
      </c>
      <c r="F4274" s="8" t="str">
        <f aca="false">TEXT(A4274,"MM-YYYY")</f>
        <v>10-2025</v>
      </c>
      <c r="G4274" s="8" t="s">
        <v>14</v>
      </c>
      <c r="H4274" s="8" t="s">
        <v>15</v>
      </c>
      <c r="I4274" s="7" t="n">
        <v>45945</v>
      </c>
      <c r="J4274" s="8" t="str">
        <f aca="false">VLOOKUP(B4274, Table3[#All], 2, FALSE())</f>
        <v>Grocery</v>
      </c>
      <c r="K4274" s="8" t="str">
        <f aca="false">TEXT(ROW(), "0000")</f>
        <v>4274</v>
      </c>
      <c r="L4274" s="8"/>
    </row>
    <row r="4275" customFormat="false" ht="15.75" hidden="false" customHeight="true" outlineLevel="0" collapsed="false">
      <c r="A4275" s="7" t="n">
        <v>45945</v>
      </c>
      <c r="B4275" s="8" t="s">
        <v>22</v>
      </c>
      <c r="C4275" s="9" t="n">
        <v>55</v>
      </c>
      <c r="D4275" s="8" t="s">
        <v>21</v>
      </c>
      <c r="E4275" s="10" t="s">
        <v>479</v>
      </c>
      <c r="F4275" s="8" t="str">
        <f aca="false">TEXT(A4275,"MM-YYYY")</f>
        <v>10-2025</v>
      </c>
      <c r="G4275" s="8" t="s">
        <v>14</v>
      </c>
      <c r="H4275" s="8" t="s">
        <v>15</v>
      </c>
      <c r="I4275" s="7" t="n">
        <v>45945</v>
      </c>
      <c r="J4275" s="8" t="str">
        <f aca="false">VLOOKUP(B4275, Table3[#All], 2, FALSE())</f>
        <v>Inventory</v>
      </c>
      <c r="K4275" s="8" t="str">
        <f aca="false">TEXT(ROW(), "0000")</f>
        <v>4275</v>
      </c>
      <c r="L4275" s="8"/>
    </row>
    <row r="4276" customFormat="false" ht="15.75" hidden="false" customHeight="true" outlineLevel="0" collapsed="false">
      <c r="A4276" s="7" t="n">
        <v>45945</v>
      </c>
      <c r="B4276" s="8" t="s">
        <v>19</v>
      </c>
      <c r="C4276" s="9" t="n">
        <v>5222</v>
      </c>
      <c r="D4276" s="8" t="s">
        <v>13</v>
      </c>
      <c r="E4276" s="10" t="s">
        <v>473</v>
      </c>
      <c r="F4276" s="8" t="str">
        <f aca="false">TEXT(A4276,"MM-YYYY")</f>
        <v>10-2025</v>
      </c>
      <c r="G4276" s="8" t="s">
        <v>14</v>
      </c>
      <c r="H4276" s="8"/>
      <c r="I4276" s="7"/>
      <c r="J4276" s="8" t="str">
        <f aca="false">VLOOKUP(B4276, Table3[#All], 2, FALSE())</f>
        <v>Inventory</v>
      </c>
      <c r="K4276" s="8" t="str">
        <f aca="false">TEXT(ROW(), "0000")</f>
        <v>4276</v>
      </c>
      <c r="L4276" s="8"/>
    </row>
    <row r="4277" customFormat="false" ht="15.75" hidden="false" customHeight="true" outlineLevel="0" collapsed="false">
      <c r="A4277" s="7" t="n">
        <v>45945</v>
      </c>
      <c r="B4277" s="8" t="s">
        <v>31</v>
      </c>
      <c r="C4277" s="9" t="n">
        <v>310</v>
      </c>
      <c r="D4277" s="8" t="s">
        <v>45</v>
      </c>
      <c r="E4277" s="10" t="s">
        <v>236</v>
      </c>
      <c r="F4277" s="8" t="str">
        <f aca="false">TEXT(A4277,"MM-YYYY")</f>
        <v>10-2025</v>
      </c>
      <c r="G4277" s="8" t="s">
        <v>14</v>
      </c>
      <c r="H4277" s="8" t="s">
        <v>232</v>
      </c>
      <c r="I4277" s="7" t="n">
        <v>45945</v>
      </c>
      <c r="J4277" s="8" t="str">
        <f aca="false">VLOOKUP(B4277, Table3[#All], 2, FALSE())</f>
        <v>Bike Maintance</v>
      </c>
      <c r="K4277" s="8" t="str">
        <f aca="false">TEXT(ROW(), "0000")</f>
        <v>4277</v>
      </c>
      <c r="L4277" s="8"/>
    </row>
    <row r="4278" customFormat="false" ht="15.75" hidden="false" customHeight="true" outlineLevel="0" collapsed="false">
      <c r="A4278" s="7" t="n">
        <v>45945</v>
      </c>
      <c r="B4278" s="8" t="s">
        <v>29</v>
      </c>
      <c r="C4278" s="9" t="n">
        <v>715</v>
      </c>
      <c r="D4278" s="8" t="s">
        <v>13</v>
      </c>
      <c r="E4278" s="10" t="s">
        <v>490</v>
      </c>
      <c r="F4278" s="8" t="str">
        <f aca="false">TEXT(A4278,"MM-YYYY")</f>
        <v>10-2025</v>
      </c>
      <c r="G4278" s="8" t="s">
        <v>18</v>
      </c>
      <c r="H4278" s="8"/>
      <c r="I4278" s="7"/>
      <c r="J4278" s="8" t="str">
        <f aca="false">VLOOKUP(B4278, Table3[#All], 2, FALSE())</f>
        <v>Inventory</v>
      </c>
      <c r="K4278" s="8" t="str">
        <f aca="false">TEXT(ROW(), "0000")</f>
        <v>4278</v>
      </c>
      <c r="L4278" s="8"/>
    </row>
    <row r="4279" customFormat="false" ht="15.75" hidden="false" customHeight="true" outlineLevel="0" collapsed="false">
      <c r="A4279" s="7" t="n">
        <v>45945</v>
      </c>
      <c r="B4279" s="8" t="s">
        <v>43</v>
      </c>
      <c r="C4279" s="9" t="n">
        <v>1150</v>
      </c>
      <c r="D4279" s="8" t="s">
        <v>45</v>
      </c>
      <c r="E4279" s="10" t="s">
        <v>556</v>
      </c>
      <c r="F4279" s="8" t="str">
        <f aca="false">TEXT(A4279,"MM-YYYY")</f>
        <v>10-2025</v>
      </c>
      <c r="G4279" s="8" t="s">
        <v>14</v>
      </c>
      <c r="H4279" s="8" t="s">
        <v>232</v>
      </c>
      <c r="I4279" s="7" t="n">
        <v>45945</v>
      </c>
      <c r="J4279" s="8" t="str">
        <f aca="false">VLOOKUP(B4279, Table3[#All], 2, FALSE())</f>
        <v>Maintance</v>
      </c>
      <c r="K4279" s="8" t="str">
        <f aca="false">TEXT(ROW(), "0000")</f>
        <v>4279</v>
      </c>
      <c r="L4279" s="8"/>
    </row>
    <row r="4280" customFormat="false" ht="15.75" hidden="false" customHeight="true" outlineLevel="0" collapsed="false">
      <c r="A4280" s="7" t="n">
        <v>45945</v>
      </c>
      <c r="B4280" s="8" t="s">
        <v>29</v>
      </c>
      <c r="C4280" s="9" t="n">
        <v>200</v>
      </c>
      <c r="D4280" s="8" t="s">
        <v>21</v>
      </c>
      <c r="E4280" s="10" t="s">
        <v>488</v>
      </c>
      <c r="F4280" s="8" t="str">
        <f aca="false">TEXT(A4280,"MM-YYYY")</f>
        <v>10-2025</v>
      </c>
      <c r="G4280" s="8" t="s">
        <v>14</v>
      </c>
      <c r="H4280" s="8" t="s">
        <v>15</v>
      </c>
      <c r="I4280" s="7" t="n">
        <v>45945</v>
      </c>
      <c r="J4280" s="8" t="str">
        <f aca="false">VLOOKUP(B4280, Table3[#All], 2, FALSE())</f>
        <v>Inventory</v>
      </c>
      <c r="K4280" s="8" t="str">
        <f aca="false">TEXT(ROW(), "0000")</f>
        <v>4280</v>
      </c>
      <c r="L4280" s="8"/>
    </row>
    <row r="4281" customFormat="false" ht="15.75" hidden="false" customHeight="true" outlineLevel="0" collapsed="false">
      <c r="A4281" s="7" t="n">
        <v>45945</v>
      </c>
      <c r="B4281" s="8" t="s">
        <v>60</v>
      </c>
      <c r="C4281" s="9" t="n">
        <v>140</v>
      </c>
      <c r="D4281" s="8" t="s">
        <v>21</v>
      </c>
      <c r="E4281" s="10" t="s">
        <v>136</v>
      </c>
      <c r="F4281" s="8" t="str">
        <f aca="false">TEXT(A4281,"MM-YYYY")</f>
        <v>10-2025</v>
      </c>
      <c r="G4281" s="8" t="s">
        <v>14</v>
      </c>
      <c r="H4281" s="8" t="s">
        <v>15</v>
      </c>
      <c r="I4281" s="7" t="n">
        <v>45945</v>
      </c>
      <c r="J4281" s="8" t="str">
        <f aca="false">VLOOKUP(B4281, Table3[#All], 2, FALSE())</f>
        <v>Inventory</v>
      </c>
      <c r="K4281" s="8" t="str">
        <f aca="false">TEXT(ROW(), "0000")</f>
        <v>4281</v>
      </c>
      <c r="L4281" s="8"/>
    </row>
    <row r="4282" customFormat="false" ht="15.75" hidden="false" customHeight="true" outlineLevel="0" collapsed="false">
      <c r="A4282" s="7" t="n">
        <v>45945</v>
      </c>
      <c r="B4282" s="8" t="s">
        <v>16</v>
      </c>
      <c r="C4282" s="9" t="n">
        <v>3015</v>
      </c>
      <c r="D4282" s="8" t="s">
        <v>21</v>
      </c>
      <c r="E4282" s="10" t="s">
        <v>88</v>
      </c>
      <c r="F4282" s="8" t="str">
        <f aca="false">TEXT(A4282,"MM-YYYY")</f>
        <v>10-2025</v>
      </c>
      <c r="G4282" s="8"/>
      <c r="H4282" s="8"/>
      <c r="I4282" s="7"/>
      <c r="J4282" s="8" t="str">
        <f aca="false">VLOOKUP(B4282, Table3[#All], 2, FALSE())</f>
        <v>Sales</v>
      </c>
      <c r="K4282" s="8" t="str">
        <f aca="false">TEXT(ROW(), "0000")</f>
        <v>4282</v>
      </c>
      <c r="L4282" s="8"/>
    </row>
    <row r="4283" customFormat="false" ht="15.75" hidden="false" customHeight="true" outlineLevel="0" collapsed="false">
      <c r="A4283" s="7" t="n">
        <v>45945</v>
      </c>
      <c r="B4283" s="8" t="s">
        <v>16</v>
      </c>
      <c r="C4283" s="9" t="n">
        <v>585</v>
      </c>
      <c r="D4283" s="8" t="s">
        <v>27</v>
      </c>
      <c r="E4283" s="10" t="s">
        <v>88</v>
      </c>
      <c r="F4283" s="8" t="str">
        <f aca="false">TEXT(A4283,"MM-YYYY")</f>
        <v>10-2025</v>
      </c>
      <c r="G4283" s="8"/>
      <c r="H4283" s="8"/>
      <c r="I4283" s="7"/>
      <c r="J4283" s="8" t="str">
        <f aca="false">VLOOKUP(B4283, Table3[#All], 2, FALSE())</f>
        <v>Sales</v>
      </c>
      <c r="K4283" s="8" t="str">
        <f aca="false">TEXT(ROW(), "0000")</f>
        <v>4283</v>
      </c>
      <c r="L4283" s="8"/>
    </row>
    <row r="4284" customFormat="false" ht="15.75" hidden="false" customHeight="true" outlineLevel="0" collapsed="false">
      <c r="A4284" s="7" t="n">
        <v>45945</v>
      </c>
      <c r="B4284" s="8" t="s">
        <v>16</v>
      </c>
      <c r="C4284" s="9" t="n">
        <v>220</v>
      </c>
      <c r="D4284" s="8" t="s">
        <v>33</v>
      </c>
      <c r="E4284" s="10" t="s">
        <v>88</v>
      </c>
      <c r="F4284" s="8" t="str">
        <f aca="false">TEXT(A4284,"MM-YYYY")</f>
        <v>10-2025</v>
      </c>
      <c r="G4284" s="8"/>
      <c r="H4284" s="8"/>
      <c r="I4284" s="7"/>
      <c r="J4284" s="8" t="str">
        <f aca="false">VLOOKUP(B4284, Table3[#All], 2, FALSE())</f>
        <v>Sales</v>
      </c>
      <c r="K4284" s="8" t="str">
        <f aca="false">TEXT(ROW(), "0000")</f>
        <v>4284</v>
      </c>
      <c r="L4284" s="8"/>
    </row>
    <row r="4285" customFormat="false" ht="15.75" hidden="false" customHeight="true" outlineLevel="0" collapsed="false">
      <c r="A4285" s="7" t="n">
        <v>45945</v>
      </c>
      <c r="B4285" s="8" t="s">
        <v>16</v>
      </c>
      <c r="C4285" s="9" t="n">
        <v>21072</v>
      </c>
      <c r="D4285" s="8" t="s">
        <v>17</v>
      </c>
      <c r="E4285" s="10" t="s">
        <v>88</v>
      </c>
      <c r="F4285" s="8" t="str">
        <f aca="false">TEXT(A4285,"MM-YYYY")</f>
        <v>10-2025</v>
      </c>
      <c r="G4285" s="8"/>
      <c r="H4285" s="8"/>
      <c r="I4285" s="7"/>
      <c r="J4285" s="8" t="str">
        <f aca="false">VLOOKUP(B4285, Table3[#All], 2, FALSE())</f>
        <v>Sales</v>
      </c>
      <c r="K4285" s="8" t="str">
        <f aca="false">TEXT(ROW(), "0000")</f>
        <v>4285</v>
      </c>
      <c r="L4285" s="8"/>
    </row>
    <row r="4286" customFormat="false" ht="15.75" hidden="false" customHeight="true" outlineLevel="0" collapsed="false">
      <c r="A4286" s="7" t="n">
        <v>45945</v>
      </c>
      <c r="B4286" s="8" t="s">
        <v>16</v>
      </c>
      <c r="C4286" s="9" t="n">
        <v>850</v>
      </c>
      <c r="D4286" s="8" t="s">
        <v>59</v>
      </c>
      <c r="E4286" s="10" t="s">
        <v>88</v>
      </c>
      <c r="F4286" s="8" t="str">
        <f aca="false">TEXT(A4286,"MM-YYYY")</f>
        <v>10-2025</v>
      </c>
      <c r="G4286" s="8"/>
      <c r="H4286" s="8"/>
      <c r="I4286" s="7"/>
      <c r="J4286" s="8" t="str">
        <f aca="false">VLOOKUP(B4286, Table3[#All], 2, FALSE())</f>
        <v>Sales</v>
      </c>
      <c r="K4286" s="8" t="str">
        <f aca="false">TEXT(ROW(), "0000")</f>
        <v>4286</v>
      </c>
      <c r="L4286" s="8"/>
    </row>
    <row r="4287" customFormat="false" ht="15.75" hidden="false" customHeight="true" outlineLevel="0" collapsed="false">
      <c r="A4287" s="7" t="n">
        <v>45945</v>
      </c>
      <c r="B4287" s="8" t="s">
        <v>16</v>
      </c>
      <c r="C4287" s="9" t="n">
        <v>5040</v>
      </c>
      <c r="D4287" s="8" t="s">
        <v>24</v>
      </c>
      <c r="E4287" s="10" t="s">
        <v>88</v>
      </c>
      <c r="F4287" s="8" t="str">
        <f aca="false">TEXT(A4287,"MM-YYYY")</f>
        <v>10-2025</v>
      </c>
      <c r="G4287" s="8"/>
      <c r="H4287" s="8"/>
      <c r="I4287" s="7"/>
      <c r="J4287" s="8" t="str">
        <f aca="false">VLOOKUP(B4287, Table3[#All], 2, FALSE())</f>
        <v>Sales</v>
      </c>
      <c r="K4287" s="8" t="str">
        <f aca="false">TEXT(ROW(), "0000")</f>
        <v>4287</v>
      </c>
      <c r="L4287" s="8"/>
    </row>
    <row r="4288" customFormat="false" ht="15.75" hidden="false" customHeight="true" outlineLevel="0" collapsed="false">
      <c r="A4288" s="7" t="n">
        <v>45945</v>
      </c>
      <c r="B4288" s="8" t="s">
        <v>34</v>
      </c>
      <c r="C4288" s="9" t="n">
        <v>210</v>
      </c>
      <c r="D4288" s="8" t="s">
        <v>45</v>
      </c>
      <c r="E4288" s="10" t="s">
        <v>274</v>
      </c>
      <c r="F4288" s="8" t="str">
        <f aca="false">TEXT(A4288,"MM-YYYY")</f>
        <v>10-2025</v>
      </c>
      <c r="G4288" s="8" t="s">
        <v>14</v>
      </c>
      <c r="H4288" s="8" t="s">
        <v>232</v>
      </c>
      <c r="I4288" s="7" t="n">
        <v>45945</v>
      </c>
      <c r="J4288" s="8" t="str">
        <f aca="false">VLOOKUP(B4288, Table3[#All], 2, FALSE())</f>
        <v>Staff Expenses</v>
      </c>
      <c r="K4288" s="8" t="str">
        <f aca="false">TEXT(ROW(), "0000")</f>
        <v>4288</v>
      </c>
      <c r="L4288" s="8"/>
    </row>
    <row r="4289" customFormat="false" ht="15.75" hidden="false" customHeight="true" outlineLevel="0" collapsed="false">
      <c r="A4289" s="7" t="n">
        <v>45945</v>
      </c>
      <c r="B4289" s="8" t="s">
        <v>50</v>
      </c>
      <c r="C4289" s="9" t="n">
        <v>3218</v>
      </c>
      <c r="D4289" s="8" t="s">
        <v>13</v>
      </c>
      <c r="E4289" s="10" t="s">
        <v>263</v>
      </c>
      <c r="F4289" s="8" t="str">
        <f aca="false">TEXT(A4289,"MM-YYYY")</f>
        <v>10-2025</v>
      </c>
      <c r="G4289" s="8" t="s">
        <v>18</v>
      </c>
      <c r="H4289" s="8" t="s">
        <v>15</v>
      </c>
      <c r="I4289" s="7" t="n">
        <v>45945</v>
      </c>
      <c r="J4289" s="8" t="str">
        <f aca="false">VLOOKUP(B4289, Table3[#All], 2, FALSE())</f>
        <v>Fixed Maintance</v>
      </c>
      <c r="K4289" s="8" t="str">
        <f aca="false">TEXT(ROW(), "0000")</f>
        <v>4289</v>
      </c>
      <c r="L4289" s="8"/>
    </row>
    <row r="4290" customFormat="false" ht="15.75" hidden="false" customHeight="true" outlineLevel="0" collapsed="false">
      <c r="A4290" s="7" t="n">
        <v>45946</v>
      </c>
      <c r="B4290" s="8" t="s">
        <v>19</v>
      </c>
      <c r="C4290" s="9" t="n">
        <v>6605</v>
      </c>
      <c r="D4290" s="8" t="s">
        <v>13</v>
      </c>
      <c r="E4290" s="10" t="s">
        <v>473</v>
      </c>
      <c r="F4290" s="8" t="str">
        <f aca="false">TEXT(A4290,"MM-YYYY")</f>
        <v>10-2025</v>
      </c>
      <c r="G4290" s="8" t="s">
        <v>14</v>
      </c>
      <c r="H4290" s="8"/>
      <c r="I4290" s="7"/>
      <c r="J4290" s="8" t="str">
        <f aca="false">VLOOKUP(B4290, Table3[#All], 2, FALSE())</f>
        <v>Inventory</v>
      </c>
      <c r="K4290" s="8" t="str">
        <f aca="false">TEXT(ROW(), "0000")</f>
        <v>4290</v>
      </c>
      <c r="L4290" s="8"/>
    </row>
    <row r="4291" customFormat="false" ht="15.75" hidden="false" customHeight="true" outlineLevel="0" collapsed="false">
      <c r="A4291" s="7" t="n">
        <v>45946</v>
      </c>
      <c r="B4291" s="8" t="s">
        <v>28</v>
      </c>
      <c r="C4291" s="9" t="n">
        <v>360</v>
      </c>
      <c r="D4291" s="8" t="s">
        <v>21</v>
      </c>
      <c r="E4291" s="10" t="s">
        <v>93</v>
      </c>
      <c r="F4291" s="8" t="str">
        <f aca="false">TEXT(A4291,"MM-YYYY")</f>
        <v>10-2025</v>
      </c>
      <c r="G4291" s="8" t="s">
        <v>14</v>
      </c>
      <c r="H4291" s="8" t="s">
        <v>15</v>
      </c>
      <c r="I4291" s="7" t="n">
        <v>45946</v>
      </c>
      <c r="J4291" s="8" t="str">
        <f aca="false">VLOOKUP(B4291, Table3[#All], 2, FALSE())</f>
        <v>Grocery</v>
      </c>
      <c r="K4291" s="8" t="str">
        <f aca="false">TEXT(ROW(), "0000")</f>
        <v>4291</v>
      </c>
      <c r="L4291" s="8"/>
    </row>
    <row r="4292" customFormat="false" ht="15.75" hidden="false" customHeight="true" outlineLevel="0" collapsed="false">
      <c r="A4292" s="7" t="n">
        <v>45946</v>
      </c>
      <c r="B4292" s="8" t="s">
        <v>22</v>
      </c>
      <c r="C4292" s="9" t="n">
        <v>55</v>
      </c>
      <c r="D4292" s="8" t="s">
        <v>21</v>
      </c>
      <c r="E4292" s="10" t="s">
        <v>479</v>
      </c>
      <c r="F4292" s="8" t="str">
        <f aca="false">TEXT(A4292,"MM-YYYY")</f>
        <v>10-2025</v>
      </c>
      <c r="G4292" s="8" t="s">
        <v>14</v>
      </c>
      <c r="H4292" s="8" t="s">
        <v>15</v>
      </c>
      <c r="I4292" s="7" t="n">
        <v>45946</v>
      </c>
      <c r="J4292" s="8" t="str">
        <f aca="false">VLOOKUP(B4292, Table3[#All], 2, FALSE())</f>
        <v>Inventory</v>
      </c>
      <c r="K4292" s="8" t="str">
        <f aca="false">TEXT(ROW(), "0000")</f>
        <v>4292</v>
      </c>
      <c r="L4292" s="8"/>
    </row>
    <row r="4293" customFormat="false" ht="15.75" hidden="false" customHeight="true" outlineLevel="0" collapsed="false">
      <c r="A4293" s="7" t="n">
        <v>45946</v>
      </c>
      <c r="B4293" s="8" t="s">
        <v>32</v>
      </c>
      <c r="C4293" s="9" t="n">
        <v>250</v>
      </c>
      <c r="D4293" s="8" t="s">
        <v>21</v>
      </c>
      <c r="E4293" s="10" t="s">
        <v>450</v>
      </c>
      <c r="F4293" s="8" t="str">
        <f aca="false">TEXT(A4293,"MM-YYYY")</f>
        <v>10-2025</v>
      </c>
      <c r="G4293" s="8" t="s">
        <v>14</v>
      </c>
      <c r="H4293" s="8" t="s">
        <v>15</v>
      </c>
      <c r="I4293" s="7" t="n">
        <v>45946</v>
      </c>
      <c r="J4293" s="8" t="str">
        <f aca="false">VLOOKUP(B4293, Table3[#All], 2, FALSE())</f>
        <v>Grocery</v>
      </c>
      <c r="K4293" s="8" t="str">
        <f aca="false">TEXT(ROW(), "0000")</f>
        <v>4293</v>
      </c>
      <c r="L4293" s="8"/>
    </row>
    <row r="4294" customFormat="false" ht="15.75" hidden="false" customHeight="true" outlineLevel="0" collapsed="false">
      <c r="A4294" s="7" t="n">
        <v>45946</v>
      </c>
      <c r="B4294" s="8" t="s">
        <v>25</v>
      </c>
      <c r="C4294" s="9" t="n">
        <v>935</v>
      </c>
      <c r="D4294" s="8" t="s">
        <v>13</v>
      </c>
      <c r="E4294" s="10" t="s">
        <v>92</v>
      </c>
      <c r="F4294" s="8" t="str">
        <f aca="false">TEXT(A4294,"MM-YYYY")</f>
        <v>10-2025</v>
      </c>
      <c r="G4294" s="8" t="s">
        <v>18</v>
      </c>
      <c r="H4294" s="8"/>
      <c r="I4294" s="7"/>
      <c r="J4294" s="8" t="str">
        <f aca="false">VLOOKUP(B4294, Table3[#All], 2, FALSE())</f>
        <v>Inventory</v>
      </c>
      <c r="K4294" s="8" t="str">
        <f aca="false">TEXT(ROW(), "0000")</f>
        <v>4294</v>
      </c>
      <c r="L4294" s="8"/>
    </row>
    <row r="4295" customFormat="false" ht="15.75" hidden="false" customHeight="true" outlineLevel="0" collapsed="false">
      <c r="A4295" s="7" t="n">
        <v>45946</v>
      </c>
      <c r="B4295" s="8" t="s">
        <v>44</v>
      </c>
      <c r="C4295" s="9" t="n">
        <v>1000</v>
      </c>
      <c r="D4295" s="8" t="s">
        <v>45</v>
      </c>
      <c r="E4295" s="10" t="s">
        <v>591</v>
      </c>
      <c r="F4295" s="8" t="str">
        <f aca="false">TEXT(A4295,"MM-YYYY")</f>
        <v>10-2025</v>
      </c>
      <c r="G4295" s="8" t="s">
        <v>14</v>
      </c>
      <c r="H4295" s="8" t="s">
        <v>232</v>
      </c>
      <c r="I4295" s="7" t="n">
        <v>45946</v>
      </c>
      <c r="J4295" s="8" t="str">
        <f aca="false">VLOOKUP(B4295, Table3[#All], 2, FALSE())</f>
        <v>Salary</v>
      </c>
      <c r="K4295" s="8" t="str">
        <f aca="false">TEXT(ROW(), "0000")</f>
        <v>4295</v>
      </c>
      <c r="L4295" s="8"/>
    </row>
    <row r="4296" customFormat="false" ht="15.75" hidden="false" customHeight="true" outlineLevel="0" collapsed="false">
      <c r="A4296" s="7" t="n">
        <v>45946</v>
      </c>
      <c r="B4296" s="8" t="s">
        <v>37</v>
      </c>
      <c r="C4296" s="9" t="n">
        <v>100</v>
      </c>
      <c r="D4296" s="8" t="s">
        <v>21</v>
      </c>
      <c r="E4296" s="10" t="s">
        <v>37</v>
      </c>
      <c r="F4296" s="8" t="str">
        <f aca="false">TEXT(A4296,"MM-YYYY")</f>
        <v>10-2025</v>
      </c>
      <c r="G4296" s="8" t="s">
        <v>14</v>
      </c>
      <c r="H4296" s="8" t="s">
        <v>15</v>
      </c>
      <c r="I4296" s="7" t="n">
        <v>45946</v>
      </c>
      <c r="J4296" s="8" t="str">
        <f aca="false">VLOOKUP(B4296, Table3[#All], 2, FALSE())</f>
        <v>Maintance</v>
      </c>
      <c r="K4296" s="8" t="str">
        <f aca="false">TEXT(ROW(), "0000")</f>
        <v>4296</v>
      </c>
      <c r="L4296" s="8"/>
    </row>
    <row r="4297" customFormat="false" ht="15.75" hidden="false" customHeight="true" outlineLevel="0" collapsed="false">
      <c r="A4297" s="7" t="n">
        <v>45946</v>
      </c>
      <c r="B4297" s="8" t="s">
        <v>29</v>
      </c>
      <c r="C4297" s="9" t="n">
        <v>735</v>
      </c>
      <c r="D4297" s="8" t="s">
        <v>13</v>
      </c>
      <c r="E4297" s="10" t="s">
        <v>490</v>
      </c>
      <c r="F4297" s="8" t="str">
        <f aca="false">TEXT(A4297,"MM-YYYY")</f>
        <v>10-2025</v>
      </c>
      <c r="G4297" s="8" t="s">
        <v>18</v>
      </c>
      <c r="H4297" s="8"/>
      <c r="I4297" s="7"/>
      <c r="J4297" s="8" t="str">
        <f aca="false">VLOOKUP(B4297, Table3[#All], 2, FALSE())</f>
        <v>Inventory</v>
      </c>
      <c r="K4297" s="8" t="str">
        <f aca="false">TEXT(ROW(), "0000")</f>
        <v>4297</v>
      </c>
      <c r="L4297" s="8"/>
    </row>
    <row r="4298" customFormat="false" ht="15.75" hidden="false" customHeight="true" outlineLevel="0" collapsed="false">
      <c r="A4298" s="7" t="n">
        <v>45946</v>
      </c>
      <c r="B4298" s="8" t="s">
        <v>107</v>
      </c>
      <c r="C4298" s="9" t="n">
        <v>620</v>
      </c>
      <c r="D4298" s="8" t="s">
        <v>21</v>
      </c>
      <c r="E4298" s="10" t="s">
        <v>554</v>
      </c>
      <c r="F4298" s="8" t="str">
        <f aca="false">TEXT(A4298,"MM-YYYY")</f>
        <v>10-2025</v>
      </c>
      <c r="G4298" s="8" t="s">
        <v>14</v>
      </c>
      <c r="H4298" s="8" t="s">
        <v>15</v>
      </c>
      <c r="I4298" s="7" t="n">
        <v>45946</v>
      </c>
      <c r="J4298" s="8" t="str">
        <f aca="false">VLOOKUP(B4298, Table3[#All], 2, FALSE())</f>
        <v>Staff Expenses</v>
      </c>
      <c r="K4298" s="8" t="str">
        <f aca="false">TEXT(ROW(), "0000")</f>
        <v>4298</v>
      </c>
      <c r="L4298" s="8"/>
    </row>
    <row r="4299" customFormat="false" ht="15.75" hidden="false" customHeight="true" outlineLevel="0" collapsed="false">
      <c r="A4299" s="7" t="n">
        <v>45946</v>
      </c>
      <c r="B4299" s="8" t="s">
        <v>44</v>
      </c>
      <c r="C4299" s="9" t="n">
        <v>600</v>
      </c>
      <c r="D4299" s="8" t="s">
        <v>45</v>
      </c>
      <c r="E4299" s="10" t="s">
        <v>236</v>
      </c>
      <c r="F4299" s="8" t="str">
        <f aca="false">TEXT(A4299,"MM-YYYY")</f>
        <v>10-2025</v>
      </c>
      <c r="G4299" s="8" t="s">
        <v>14</v>
      </c>
      <c r="H4299" s="8" t="s">
        <v>232</v>
      </c>
      <c r="I4299" s="7" t="n">
        <v>45946</v>
      </c>
      <c r="J4299" s="8" t="str">
        <f aca="false">VLOOKUP(B4299, Table3[#All], 2, FALSE())</f>
        <v>Salary</v>
      </c>
      <c r="K4299" s="8" t="str">
        <f aca="false">TEXT(ROW(), "0000")</f>
        <v>4299</v>
      </c>
      <c r="L4299" s="8"/>
    </row>
    <row r="4300" customFormat="false" ht="15.75" hidden="false" customHeight="true" outlineLevel="0" collapsed="false">
      <c r="A4300" s="7" t="n">
        <v>45946</v>
      </c>
      <c r="B4300" s="8" t="s">
        <v>16</v>
      </c>
      <c r="C4300" s="9" t="n">
        <v>5155</v>
      </c>
      <c r="D4300" s="8" t="s">
        <v>21</v>
      </c>
      <c r="E4300" s="10" t="s">
        <v>88</v>
      </c>
      <c r="F4300" s="8" t="str">
        <f aca="false">TEXT(A4300,"MM-YYYY")</f>
        <v>10-2025</v>
      </c>
      <c r="G4300" s="8"/>
      <c r="H4300" s="8"/>
      <c r="I4300" s="7"/>
      <c r="J4300" s="8" t="str">
        <f aca="false">VLOOKUP(B4300, Table3[#All], 2, FALSE())</f>
        <v>Sales</v>
      </c>
      <c r="K4300" s="8" t="str">
        <f aca="false">TEXT(ROW(), "0000")</f>
        <v>4300</v>
      </c>
      <c r="L4300" s="8"/>
    </row>
    <row r="4301" customFormat="false" ht="15.75" hidden="false" customHeight="true" outlineLevel="0" collapsed="false">
      <c r="A4301" s="7" t="n">
        <v>45946</v>
      </c>
      <c r="B4301" s="8" t="s">
        <v>16</v>
      </c>
      <c r="C4301" s="9" t="n">
        <v>190</v>
      </c>
      <c r="D4301" s="8" t="s">
        <v>27</v>
      </c>
      <c r="E4301" s="10" t="s">
        <v>88</v>
      </c>
      <c r="F4301" s="8" t="str">
        <f aca="false">TEXT(A4301,"MM-YYYY")</f>
        <v>10-2025</v>
      </c>
      <c r="G4301" s="8"/>
      <c r="H4301" s="8"/>
      <c r="I4301" s="7"/>
      <c r="J4301" s="8" t="str">
        <f aca="false">VLOOKUP(B4301, Table3[#All], 2, FALSE())</f>
        <v>Sales</v>
      </c>
      <c r="K4301" s="8" t="str">
        <f aca="false">TEXT(ROW(), "0000")</f>
        <v>4301</v>
      </c>
      <c r="L4301" s="8"/>
    </row>
    <row r="4302" customFormat="false" ht="15.75" hidden="false" customHeight="true" outlineLevel="0" collapsed="false">
      <c r="A4302" s="7" t="n">
        <v>45946</v>
      </c>
      <c r="B4302" s="8" t="s">
        <v>16</v>
      </c>
      <c r="C4302" s="9" t="n">
        <v>1315</v>
      </c>
      <c r="D4302" s="8" t="s">
        <v>33</v>
      </c>
      <c r="E4302" s="10" t="s">
        <v>88</v>
      </c>
      <c r="F4302" s="8" t="str">
        <f aca="false">TEXT(A4302,"MM-YYYY")</f>
        <v>10-2025</v>
      </c>
      <c r="G4302" s="8"/>
      <c r="H4302" s="8"/>
      <c r="I4302" s="7"/>
      <c r="J4302" s="8" t="str">
        <f aca="false">VLOOKUP(B4302, Table3[#All], 2, FALSE())</f>
        <v>Sales</v>
      </c>
      <c r="K4302" s="8" t="str">
        <f aca="false">TEXT(ROW(), "0000")</f>
        <v>4302</v>
      </c>
      <c r="L4302" s="8"/>
    </row>
    <row r="4303" customFormat="false" ht="15.75" hidden="false" customHeight="true" outlineLevel="0" collapsed="false">
      <c r="A4303" s="7" t="n">
        <v>45946</v>
      </c>
      <c r="B4303" s="8" t="s">
        <v>16</v>
      </c>
      <c r="C4303" s="9" t="n">
        <v>18709</v>
      </c>
      <c r="D4303" s="8" t="s">
        <v>17</v>
      </c>
      <c r="E4303" s="10" t="s">
        <v>88</v>
      </c>
      <c r="F4303" s="8" t="str">
        <f aca="false">TEXT(A4303,"MM-YYYY")</f>
        <v>10-2025</v>
      </c>
      <c r="G4303" s="8"/>
      <c r="H4303" s="8"/>
      <c r="I4303" s="7"/>
      <c r="J4303" s="8" t="str">
        <f aca="false">VLOOKUP(B4303, Table3[#All], 2, FALSE())</f>
        <v>Sales</v>
      </c>
      <c r="K4303" s="8" t="str">
        <f aca="false">TEXT(ROW(), "0000")</f>
        <v>4303</v>
      </c>
      <c r="L4303" s="8"/>
    </row>
    <row r="4304" customFormat="false" ht="15.75" hidden="false" customHeight="true" outlineLevel="0" collapsed="false">
      <c r="A4304" s="7" t="n">
        <v>45946</v>
      </c>
      <c r="B4304" s="8" t="s">
        <v>16</v>
      </c>
      <c r="C4304" s="9" t="n">
        <v>1285</v>
      </c>
      <c r="D4304" s="8" t="s">
        <v>24</v>
      </c>
      <c r="E4304" s="10" t="s">
        <v>88</v>
      </c>
      <c r="F4304" s="8" t="str">
        <f aca="false">TEXT(A4304,"MM-YYYY")</f>
        <v>10-2025</v>
      </c>
      <c r="G4304" s="8"/>
      <c r="H4304" s="8"/>
      <c r="I4304" s="7"/>
      <c r="J4304" s="8" t="str">
        <f aca="false">VLOOKUP(B4304, Table3[#All], 2, FALSE())</f>
        <v>Sales</v>
      </c>
      <c r="K4304" s="8" t="str">
        <f aca="false">TEXT(ROW(), "0000")</f>
        <v>4304</v>
      </c>
      <c r="L4304" s="8"/>
    </row>
    <row r="4305" customFormat="false" ht="15.75" hidden="false" customHeight="true" outlineLevel="0" collapsed="false">
      <c r="A4305" s="7" t="n">
        <v>45946</v>
      </c>
      <c r="B4305" s="8" t="s">
        <v>285</v>
      </c>
      <c r="C4305" s="9" t="n">
        <v>350</v>
      </c>
      <c r="D4305" s="8" t="s">
        <v>21</v>
      </c>
      <c r="E4305" s="10" t="s">
        <v>395</v>
      </c>
      <c r="F4305" s="8" t="str">
        <f aca="false">TEXT(A4305,"MM-YYYY")</f>
        <v>10-2025</v>
      </c>
      <c r="G4305" s="8" t="s">
        <v>14</v>
      </c>
      <c r="H4305" s="8" t="s">
        <v>15</v>
      </c>
      <c r="I4305" s="7" t="n">
        <v>45946</v>
      </c>
      <c r="J4305" s="8" t="e">
        <f aca="false">VLOOKUP(B4305, Table3[#All], 2, FALSE())</f>
        <v>#N/A</v>
      </c>
      <c r="K4305" s="8" t="str">
        <f aca="false">TEXT(ROW(), "0000")</f>
        <v>4305</v>
      </c>
      <c r="L4305" s="8"/>
    </row>
    <row r="4306" customFormat="false" ht="15.75" hidden="false" customHeight="true" outlineLevel="0" collapsed="false">
      <c r="A4306" s="7" t="n">
        <v>45946</v>
      </c>
      <c r="B4306" s="8" t="s">
        <v>53</v>
      </c>
      <c r="C4306" s="9" t="n">
        <v>900</v>
      </c>
      <c r="D4306" s="8" t="s">
        <v>21</v>
      </c>
      <c r="E4306" s="10" t="s">
        <v>55</v>
      </c>
      <c r="F4306" s="8" t="str">
        <f aca="false">TEXT(A4306,"MM-YYYY")</f>
        <v>10-2025</v>
      </c>
      <c r="G4306" s="8" t="s">
        <v>14</v>
      </c>
      <c r="H4306" s="8" t="s">
        <v>15</v>
      </c>
      <c r="I4306" s="7" t="n">
        <v>45946</v>
      </c>
      <c r="J4306" s="8" t="str">
        <f aca="false">VLOOKUP(B4306, Table3[#All], 2, FALSE())</f>
        <v>Grocery</v>
      </c>
      <c r="K4306" s="8" t="str">
        <f aca="false">TEXT(ROW(), "0000")</f>
        <v>4306</v>
      </c>
      <c r="L4306" s="8"/>
    </row>
    <row r="4307" customFormat="false" ht="15.75" hidden="false" customHeight="true" outlineLevel="0" collapsed="false">
      <c r="A4307" s="7" t="n">
        <v>45946</v>
      </c>
      <c r="B4307" s="8" t="s">
        <v>34</v>
      </c>
      <c r="C4307" s="9" t="n">
        <v>220</v>
      </c>
      <c r="D4307" s="8" t="s">
        <v>21</v>
      </c>
      <c r="E4307" s="10" t="s">
        <v>274</v>
      </c>
      <c r="F4307" s="8" t="str">
        <f aca="false">TEXT(A4307,"MM-YYYY")</f>
        <v>10-2025</v>
      </c>
      <c r="G4307" s="8" t="s">
        <v>14</v>
      </c>
      <c r="H4307" s="8" t="s">
        <v>15</v>
      </c>
      <c r="I4307" s="7" t="n">
        <v>45946</v>
      </c>
      <c r="J4307" s="8" t="str">
        <f aca="false">VLOOKUP(B4307, Table3[#All], 2, FALSE())</f>
        <v>Staff Expenses</v>
      </c>
      <c r="K4307" s="8" t="str">
        <f aca="false">TEXT(ROW(), "0000")</f>
        <v>4307</v>
      </c>
      <c r="L4307" s="8"/>
    </row>
    <row r="4308" customFormat="false" ht="15.75" hidden="false" customHeight="true" outlineLevel="0" collapsed="false">
      <c r="A4308" s="7" t="n">
        <v>45947</v>
      </c>
      <c r="B4308" s="8" t="s">
        <v>25</v>
      </c>
      <c r="C4308" s="9" t="n">
        <v>1254</v>
      </c>
      <c r="D4308" s="8" t="s">
        <v>13</v>
      </c>
      <c r="E4308" s="10" t="s">
        <v>92</v>
      </c>
      <c r="F4308" s="8" t="str">
        <f aca="false">TEXT(A4308,"MM-YYYY")</f>
        <v>10-2025</v>
      </c>
      <c r="G4308" s="8" t="s">
        <v>18</v>
      </c>
      <c r="H4308" s="8"/>
      <c r="I4308" s="7"/>
      <c r="J4308" s="8" t="str">
        <f aca="false">VLOOKUP(B4308, Table3[#All], 2, FALSE())</f>
        <v>Inventory</v>
      </c>
      <c r="K4308" s="8" t="str">
        <f aca="false">TEXT(ROW(), "0000")</f>
        <v>4308</v>
      </c>
      <c r="L4308" s="8"/>
    </row>
    <row r="4309" customFormat="false" ht="15.75" hidden="false" customHeight="true" outlineLevel="0" collapsed="false">
      <c r="A4309" s="7" t="n">
        <v>45947</v>
      </c>
      <c r="B4309" s="8" t="s">
        <v>47</v>
      </c>
      <c r="C4309" s="9" t="n">
        <v>1800</v>
      </c>
      <c r="D4309" s="8" t="s">
        <v>13</v>
      </c>
      <c r="E4309" s="10" t="s">
        <v>484</v>
      </c>
      <c r="F4309" s="8" t="str">
        <f aca="false">TEXT(A4309,"MM-YYYY")</f>
        <v>10-2025</v>
      </c>
      <c r="G4309" s="8" t="s">
        <v>18</v>
      </c>
      <c r="H4309" s="8"/>
      <c r="I4309" s="7"/>
      <c r="J4309" s="8" t="str">
        <f aca="false">VLOOKUP(B4309, Table3[#All], 2, FALSE())</f>
        <v>Inventory</v>
      </c>
      <c r="K4309" s="8" t="str">
        <f aca="false">TEXT(ROW(), "0000")</f>
        <v>4309</v>
      </c>
      <c r="L4309" s="8"/>
    </row>
    <row r="4310" customFormat="false" ht="15.75" hidden="false" customHeight="true" outlineLevel="0" collapsed="false">
      <c r="A4310" s="7" t="n">
        <v>45947</v>
      </c>
      <c r="B4310" s="8" t="s">
        <v>19</v>
      </c>
      <c r="C4310" s="9" t="n">
        <v>4866</v>
      </c>
      <c r="D4310" s="8" t="s">
        <v>13</v>
      </c>
      <c r="E4310" s="10" t="s">
        <v>473</v>
      </c>
      <c r="F4310" s="8" t="str">
        <f aca="false">TEXT(A4310,"MM-YYYY")</f>
        <v>10-2025</v>
      </c>
      <c r="G4310" s="8" t="s">
        <v>14</v>
      </c>
      <c r="H4310" s="8"/>
      <c r="I4310" s="7"/>
      <c r="J4310" s="8" t="str">
        <f aca="false">VLOOKUP(B4310, Table3[#All], 2, FALSE())</f>
        <v>Inventory</v>
      </c>
      <c r="K4310" s="8" t="str">
        <f aca="false">TEXT(ROW(), "0000")</f>
        <v>4310</v>
      </c>
      <c r="L4310" s="8"/>
    </row>
    <row r="4311" customFormat="false" ht="15.75" hidden="false" customHeight="true" outlineLevel="0" collapsed="false">
      <c r="A4311" s="7" t="n">
        <v>45947</v>
      </c>
      <c r="B4311" s="8" t="s">
        <v>32</v>
      </c>
      <c r="C4311" s="9" t="n">
        <v>250</v>
      </c>
      <c r="D4311" s="8" t="s">
        <v>21</v>
      </c>
      <c r="E4311" s="10" t="s">
        <v>450</v>
      </c>
      <c r="F4311" s="8" t="str">
        <f aca="false">TEXT(A4311,"MM-YYYY")</f>
        <v>10-2025</v>
      </c>
      <c r="G4311" s="8" t="s">
        <v>14</v>
      </c>
      <c r="H4311" s="8" t="s">
        <v>15</v>
      </c>
      <c r="I4311" s="7" t="n">
        <v>45947</v>
      </c>
      <c r="J4311" s="8" t="str">
        <f aca="false">VLOOKUP(B4311, Table3[#All], 2, FALSE())</f>
        <v>Grocery</v>
      </c>
      <c r="K4311" s="8" t="str">
        <f aca="false">TEXT(ROW(), "0000")</f>
        <v>4311</v>
      </c>
      <c r="L4311" s="8"/>
    </row>
    <row r="4312" customFormat="false" ht="15.75" hidden="false" customHeight="true" outlineLevel="0" collapsed="false">
      <c r="A4312" s="7" t="n">
        <v>45947</v>
      </c>
      <c r="B4312" s="8" t="s">
        <v>22</v>
      </c>
      <c r="C4312" s="9" t="n">
        <v>543</v>
      </c>
      <c r="D4312" s="8" t="s">
        <v>13</v>
      </c>
      <c r="E4312" s="10" t="s">
        <v>23</v>
      </c>
      <c r="F4312" s="8" t="str">
        <f aca="false">TEXT(A4312,"MM-YYYY")</f>
        <v>10-2025</v>
      </c>
      <c r="G4312" s="8" t="s">
        <v>18</v>
      </c>
      <c r="H4312" s="8"/>
      <c r="I4312" s="7"/>
      <c r="J4312" s="8" t="str">
        <f aca="false">VLOOKUP(B4312, Table3[#All], 2, FALSE())</f>
        <v>Inventory</v>
      </c>
      <c r="K4312" s="8" t="str">
        <f aca="false">TEXT(ROW(), "0000")</f>
        <v>4312</v>
      </c>
      <c r="L4312" s="8"/>
    </row>
    <row r="4313" customFormat="false" ht="15.75" hidden="false" customHeight="true" outlineLevel="0" collapsed="false">
      <c r="A4313" s="7" t="n">
        <v>45947</v>
      </c>
      <c r="B4313" s="8" t="s">
        <v>25</v>
      </c>
      <c r="C4313" s="9" t="n">
        <v>350</v>
      </c>
      <c r="D4313" s="8" t="s">
        <v>45</v>
      </c>
      <c r="E4313" s="10" t="s">
        <v>557</v>
      </c>
      <c r="F4313" s="8" t="str">
        <f aca="false">TEXT(A4313,"MM-YYYY")</f>
        <v>10-2025</v>
      </c>
      <c r="G4313" s="8" t="s">
        <v>14</v>
      </c>
      <c r="H4313" s="8" t="s">
        <v>232</v>
      </c>
      <c r="I4313" s="7" t="n">
        <v>45947</v>
      </c>
      <c r="J4313" s="8" t="str">
        <f aca="false">VLOOKUP(B4313, Table3[#All], 2, FALSE())</f>
        <v>Inventory</v>
      </c>
      <c r="K4313" s="8" t="str">
        <f aca="false">TEXT(ROW(), "0000")</f>
        <v>4313</v>
      </c>
      <c r="L4313" s="8"/>
    </row>
    <row r="4314" customFormat="false" ht="15.75" hidden="false" customHeight="true" outlineLevel="0" collapsed="false">
      <c r="A4314" s="7" t="n">
        <v>45947</v>
      </c>
      <c r="B4314" s="8" t="s">
        <v>40</v>
      </c>
      <c r="C4314" s="9" t="n">
        <v>2900</v>
      </c>
      <c r="D4314" s="8" t="s">
        <v>45</v>
      </c>
      <c r="E4314" s="10" t="s">
        <v>46</v>
      </c>
      <c r="F4314" s="8" t="str">
        <f aca="false">TEXT(A4314,"MM-YYYY")</f>
        <v>10-2025</v>
      </c>
      <c r="G4314" s="8" t="s">
        <v>14</v>
      </c>
      <c r="H4314" s="8" t="s">
        <v>232</v>
      </c>
      <c r="I4314" s="7" t="n">
        <v>45947</v>
      </c>
      <c r="J4314" s="8" t="str">
        <f aca="false">VLOOKUP(B4314, Table3[#All], 2, FALSE())</f>
        <v>Inventory</v>
      </c>
      <c r="K4314" s="8" t="str">
        <f aca="false">TEXT(ROW(), "0000")</f>
        <v>4314</v>
      </c>
      <c r="L4314" s="8"/>
    </row>
    <row r="4315" customFormat="false" ht="15.75" hidden="false" customHeight="true" outlineLevel="0" collapsed="false">
      <c r="A4315" s="7" t="n">
        <v>45947</v>
      </c>
      <c r="B4315" s="8" t="s">
        <v>43</v>
      </c>
      <c r="C4315" s="9" t="n">
        <v>1150</v>
      </c>
      <c r="D4315" s="8" t="s">
        <v>45</v>
      </c>
      <c r="E4315" s="10" t="s">
        <v>556</v>
      </c>
      <c r="F4315" s="8" t="str">
        <f aca="false">TEXT(A4315,"MM-YYYY")</f>
        <v>10-2025</v>
      </c>
      <c r="G4315" s="8" t="s">
        <v>14</v>
      </c>
      <c r="H4315" s="8" t="s">
        <v>232</v>
      </c>
      <c r="I4315" s="7" t="n">
        <v>45947</v>
      </c>
      <c r="J4315" s="8" t="str">
        <f aca="false">VLOOKUP(B4315, Table3[#All], 2, FALSE())</f>
        <v>Maintance</v>
      </c>
      <c r="K4315" s="8" t="str">
        <f aca="false">TEXT(ROW(), "0000")</f>
        <v>4315</v>
      </c>
      <c r="L4315" s="8"/>
    </row>
    <row r="4316" customFormat="false" ht="15.75" hidden="false" customHeight="true" outlineLevel="0" collapsed="false">
      <c r="A4316" s="7" t="n">
        <v>45947</v>
      </c>
      <c r="B4316" s="8" t="s">
        <v>29</v>
      </c>
      <c r="C4316" s="9" t="n">
        <v>30</v>
      </c>
      <c r="D4316" s="8" t="s">
        <v>21</v>
      </c>
      <c r="E4316" s="10" t="s">
        <v>65</v>
      </c>
      <c r="F4316" s="8" t="str">
        <f aca="false">TEXT(A4316,"MM-YYYY")</f>
        <v>10-2025</v>
      </c>
      <c r="G4316" s="8" t="s">
        <v>14</v>
      </c>
      <c r="H4316" s="8" t="s">
        <v>262</v>
      </c>
      <c r="I4316" s="7" t="n">
        <v>45947</v>
      </c>
      <c r="J4316" s="8" t="str">
        <f aca="false">VLOOKUP(B4316, Table3[#All], 2, FALSE())</f>
        <v>Inventory</v>
      </c>
      <c r="K4316" s="8" t="str">
        <f aca="false">TEXT(ROW(), "0000")</f>
        <v>4316</v>
      </c>
      <c r="L4316" s="8"/>
    </row>
    <row r="4317" customFormat="false" ht="15.75" hidden="false" customHeight="true" outlineLevel="0" collapsed="false">
      <c r="A4317" s="7" t="n">
        <v>45947</v>
      </c>
      <c r="B4317" s="8" t="s">
        <v>29</v>
      </c>
      <c r="C4317" s="9" t="n">
        <v>751</v>
      </c>
      <c r="D4317" s="8" t="s">
        <v>13</v>
      </c>
      <c r="E4317" s="10" t="s">
        <v>490</v>
      </c>
      <c r="F4317" s="8" t="str">
        <f aca="false">TEXT(A4317,"MM-YYYY")</f>
        <v>10-2025</v>
      </c>
      <c r="G4317" s="8" t="s">
        <v>18</v>
      </c>
      <c r="H4317" s="8"/>
      <c r="I4317" s="7"/>
      <c r="J4317" s="8" t="str">
        <f aca="false">VLOOKUP(B4317, Table3[#All], 2, FALSE())</f>
        <v>Inventory</v>
      </c>
      <c r="K4317" s="8" t="str">
        <f aca="false">TEXT(ROW(), "0000")</f>
        <v>4317</v>
      </c>
      <c r="L4317" s="8"/>
    </row>
    <row r="4318" customFormat="false" ht="15.75" hidden="false" customHeight="true" outlineLevel="0" collapsed="false">
      <c r="A4318" s="7" t="n">
        <v>45947</v>
      </c>
      <c r="B4318" s="8" t="s">
        <v>50</v>
      </c>
      <c r="C4318" s="9" t="n">
        <v>1609</v>
      </c>
      <c r="D4318" s="8" t="s">
        <v>13</v>
      </c>
      <c r="E4318" s="10" t="s">
        <v>263</v>
      </c>
      <c r="F4318" s="8" t="str">
        <f aca="false">TEXT(A4318,"MM-YYYY")</f>
        <v>10-2025</v>
      </c>
      <c r="G4318" s="8" t="s">
        <v>18</v>
      </c>
      <c r="H4318" s="8"/>
      <c r="I4318" s="7"/>
      <c r="J4318" s="8" t="str">
        <f aca="false">VLOOKUP(B4318, Table3[#All], 2, FALSE())</f>
        <v>Fixed Maintance</v>
      </c>
      <c r="K4318" s="8" t="str">
        <f aca="false">TEXT(ROW(), "0000")</f>
        <v>4318</v>
      </c>
      <c r="L4318" s="8"/>
    </row>
    <row r="4319" customFormat="false" ht="15.75" hidden="false" customHeight="true" outlineLevel="0" collapsed="false">
      <c r="A4319" s="7" t="n">
        <v>45947</v>
      </c>
      <c r="B4319" s="8" t="s">
        <v>60</v>
      </c>
      <c r="C4319" s="9" t="n">
        <v>210</v>
      </c>
      <c r="D4319" s="8" t="s">
        <v>21</v>
      </c>
      <c r="E4319" s="10" t="s">
        <v>136</v>
      </c>
      <c r="F4319" s="8" t="str">
        <f aca="false">TEXT(A4319,"MM-YYYY")</f>
        <v>10-2025</v>
      </c>
      <c r="G4319" s="8" t="s">
        <v>14</v>
      </c>
      <c r="H4319" s="8" t="s">
        <v>15</v>
      </c>
      <c r="I4319" s="7" t="n">
        <v>45947</v>
      </c>
      <c r="J4319" s="8" t="str">
        <f aca="false">VLOOKUP(B4319, Table3[#All], 2, FALSE())</f>
        <v>Inventory</v>
      </c>
      <c r="K4319" s="8" t="str">
        <f aca="false">TEXT(ROW(), "0000")</f>
        <v>4319</v>
      </c>
      <c r="L4319" s="8"/>
    </row>
    <row r="4320" customFormat="false" ht="15.75" hidden="false" customHeight="true" outlineLevel="0" collapsed="false">
      <c r="A4320" s="7" t="n">
        <v>45947</v>
      </c>
      <c r="B4320" s="8" t="s">
        <v>102</v>
      </c>
      <c r="C4320" s="9" t="n">
        <v>600</v>
      </c>
      <c r="D4320" s="8" t="s">
        <v>21</v>
      </c>
      <c r="E4320" s="10" t="s">
        <v>555</v>
      </c>
      <c r="F4320" s="8" t="str">
        <f aca="false">TEXT(A4320,"MM-YYYY")</f>
        <v>10-2025</v>
      </c>
      <c r="G4320" s="8" t="s">
        <v>14</v>
      </c>
      <c r="H4320" s="8" t="s">
        <v>15</v>
      </c>
      <c r="I4320" s="7" t="n">
        <v>45947</v>
      </c>
      <c r="J4320" s="8" t="str">
        <f aca="false">VLOOKUP(B4320, Table3[#All], 2, FALSE())</f>
        <v>Fixed Maintance</v>
      </c>
      <c r="K4320" s="8" t="str">
        <f aca="false">TEXT(ROW(), "0000")</f>
        <v>4320</v>
      </c>
      <c r="L4320" s="8"/>
    </row>
    <row r="4321" customFormat="false" ht="15.75" hidden="false" customHeight="true" outlineLevel="0" collapsed="false">
      <c r="A4321" s="7" t="n">
        <v>45947</v>
      </c>
      <c r="B4321" s="8" t="s">
        <v>16</v>
      </c>
      <c r="C4321" s="9" t="n">
        <v>1415</v>
      </c>
      <c r="D4321" s="8" t="s">
        <v>21</v>
      </c>
      <c r="E4321" s="10" t="s">
        <v>88</v>
      </c>
      <c r="F4321" s="8" t="str">
        <f aca="false">TEXT(A4321,"MM-YYYY")</f>
        <v>10-2025</v>
      </c>
      <c r="G4321" s="8"/>
      <c r="H4321" s="8"/>
      <c r="I4321" s="7" t="n">
        <v>45947</v>
      </c>
      <c r="J4321" s="8" t="str">
        <f aca="false">VLOOKUP(B4321, Table3[#All], 2, FALSE())</f>
        <v>Sales</v>
      </c>
      <c r="K4321" s="8" t="str">
        <f aca="false">TEXT(ROW(), "0000")</f>
        <v>4321</v>
      </c>
      <c r="L4321" s="8"/>
    </row>
    <row r="4322" customFormat="false" ht="15.75" hidden="false" customHeight="true" outlineLevel="0" collapsed="false">
      <c r="A4322" s="7" t="n">
        <v>45947</v>
      </c>
      <c r="B4322" s="8" t="s">
        <v>16</v>
      </c>
      <c r="C4322" s="9" t="n">
        <v>1255</v>
      </c>
      <c r="D4322" s="8" t="s">
        <v>27</v>
      </c>
      <c r="E4322" s="10" t="s">
        <v>88</v>
      </c>
      <c r="F4322" s="8" t="str">
        <f aca="false">TEXT(A4322,"MM-YYYY")</f>
        <v>10-2025</v>
      </c>
      <c r="G4322" s="8"/>
      <c r="H4322" s="8"/>
      <c r="I4322" s="7"/>
      <c r="J4322" s="8" t="str">
        <f aca="false">VLOOKUP(B4322, Table3[#All], 2, FALSE())</f>
        <v>Sales</v>
      </c>
      <c r="K4322" s="8" t="str">
        <f aca="false">TEXT(ROW(), "0000")</f>
        <v>4322</v>
      </c>
      <c r="L4322" s="8"/>
    </row>
    <row r="4323" customFormat="false" ht="15.75" hidden="false" customHeight="true" outlineLevel="0" collapsed="false">
      <c r="A4323" s="7" t="n">
        <v>45947</v>
      </c>
      <c r="B4323" s="8" t="s">
        <v>16</v>
      </c>
      <c r="C4323" s="9" t="n">
        <v>460</v>
      </c>
      <c r="D4323" s="8" t="s">
        <v>33</v>
      </c>
      <c r="E4323" s="10" t="s">
        <v>88</v>
      </c>
      <c r="F4323" s="8" t="str">
        <f aca="false">TEXT(A4323,"MM-YYYY")</f>
        <v>10-2025</v>
      </c>
      <c r="G4323" s="8"/>
      <c r="H4323" s="8"/>
      <c r="I4323" s="7"/>
      <c r="J4323" s="8" t="str">
        <f aca="false">VLOOKUP(B4323, Table3[#All], 2, FALSE())</f>
        <v>Sales</v>
      </c>
      <c r="K4323" s="8" t="str">
        <f aca="false">TEXT(ROW(), "0000")</f>
        <v>4323</v>
      </c>
      <c r="L4323" s="8"/>
    </row>
    <row r="4324" customFormat="false" ht="15.75" hidden="false" customHeight="true" outlineLevel="0" collapsed="false">
      <c r="A4324" s="7" t="n">
        <v>45947</v>
      </c>
      <c r="B4324" s="8" t="s">
        <v>16</v>
      </c>
      <c r="C4324" s="9" t="n">
        <v>13908</v>
      </c>
      <c r="D4324" s="8" t="s">
        <v>17</v>
      </c>
      <c r="E4324" s="10" t="s">
        <v>88</v>
      </c>
      <c r="F4324" s="8" t="str">
        <f aca="false">TEXT(A4324,"MM-YYYY")</f>
        <v>10-2025</v>
      </c>
      <c r="G4324" s="8"/>
      <c r="H4324" s="8"/>
      <c r="I4324" s="7"/>
      <c r="J4324" s="8" t="str">
        <f aca="false">VLOOKUP(B4324, Table3[#All], 2, FALSE())</f>
        <v>Sales</v>
      </c>
      <c r="K4324" s="8" t="str">
        <f aca="false">TEXT(ROW(), "0000")</f>
        <v>4324</v>
      </c>
      <c r="L4324" s="8"/>
    </row>
    <row r="4325" customFormat="false" ht="15.75" hidden="false" customHeight="true" outlineLevel="0" collapsed="false">
      <c r="A4325" s="7" t="n">
        <v>45947</v>
      </c>
      <c r="B4325" s="8" t="s">
        <v>16</v>
      </c>
      <c r="C4325" s="9" t="n">
        <v>2820</v>
      </c>
      <c r="D4325" s="8" t="s">
        <v>24</v>
      </c>
      <c r="E4325" s="10" t="s">
        <v>88</v>
      </c>
      <c r="F4325" s="8" t="str">
        <f aca="false">TEXT(A4325,"MM-YYYY")</f>
        <v>10-2025</v>
      </c>
      <c r="G4325" s="8"/>
      <c r="H4325" s="8"/>
      <c r="I4325" s="7"/>
      <c r="J4325" s="8" t="str">
        <f aca="false">VLOOKUP(B4325, Table3[#All], 2, FALSE())</f>
        <v>Sales</v>
      </c>
      <c r="K4325" s="8" t="str">
        <f aca="false">TEXT(ROW(), "0000")</f>
        <v>4325</v>
      </c>
      <c r="L4325" s="8"/>
    </row>
    <row r="4326" customFormat="false" ht="15.75" hidden="false" customHeight="true" outlineLevel="0" collapsed="false">
      <c r="A4326" s="7" t="n">
        <v>45947</v>
      </c>
      <c r="B4326" s="8" t="s">
        <v>16</v>
      </c>
      <c r="C4326" s="9" t="n">
        <v>446</v>
      </c>
      <c r="D4326" s="8" t="s">
        <v>70</v>
      </c>
      <c r="E4326" s="10" t="s">
        <v>88</v>
      </c>
      <c r="F4326" s="8" t="str">
        <f aca="false">TEXT(A4326,"MM-YYYY")</f>
        <v>10-2025</v>
      </c>
      <c r="G4326" s="8"/>
      <c r="H4326" s="8"/>
      <c r="I4326" s="7"/>
      <c r="J4326" s="8" t="str">
        <f aca="false">VLOOKUP(B4326, Table3[#All], 2, FALSE())</f>
        <v>Sales</v>
      </c>
      <c r="K4326" s="8" t="str">
        <f aca="false">TEXT(ROW(), "0000")</f>
        <v>4326</v>
      </c>
      <c r="L4326" s="8"/>
    </row>
    <row r="4327" customFormat="false" ht="15.75" hidden="false" customHeight="true" outlineLevel="0" collapsed="false">
      <c r="A4327" s="7" t="n">
        <v>45947</v>
      </c>
      <c r="B4327" s="8" t="s">
        <v>43</v>
      </c>
      <c r="C4327" s="9" t="n">
        <v>50</v>
      </c>
      <c r="D4327" s="8" t="s">
        <v>21</v>
      </c>
      <c r="E4327" s="10" t="s">
        <v>562</v>
      </c>
      <c r="F4327" s="8" t="str">
        <f aca="false">TEXT(A4327,"MM-YYYY")</f>
        <v>10-2025</v>
      </c>
      <c r="G4327" s="8" t="s">
        <v>14</v>
      </c>
      <c r="H4327" s="8" t="s">
        <v>15</v>
      </c>
      <c r="I4327" s="7" t="n">
        <v>45947</v>
      </c>
      <c r="J4327" s="8" t="str">
        <f aca="false">VLOOKUP(B4327, Table3[#All], 2, FALSE())</f>
        <v>Maintance</v>
      </c>
      <c r="K4327" s="8" t="str">
        <f aca="false">TEXT(ROW(), "0000")</f>
        <v>4327</v>
      </c>
      <c r="L4327" s="8"/>
    </row>
    <row r="4328" customFormat="false" ht="15.75" hidden="false" customHeight="true" outlineLevel="0" collapsed="false">
      <c r="A4328" s="7" t="n">
        <v>45947</v>
      </c>
      <c r="B4328" s="8" t="s">
        <v>34</v>
      </c>
      <c r="C4328" s="9" t="n">
        <v>225</v>
      </c>
      <c r="D4328" s="8" t="s">
        <v>21</v>
      </c>
      <c r="E4328" s="10" t="s">
        <v>274</v>
      </c>
      <c r="F4328" s="8" t="str">
        <f aca="false">TEXT(A4328,"MM-YYYY")</f>
        <v>10-2025</v>
      </c>
      <c r="G4328" s="8" t="s">
        <v>14</v>
      </c>
      <c r="H4328" s="8" t="s">
        <v>15</v>
      </c>
      <c r="I4328" s="7" t="n">
        <v>45947</v>
      </c>
      <c r="J4328" s="8" t="str">
        <f aca="false">VLOOKUP(B4328, Table3[#All], 2, FALSE())</f>
        <v>Staff Expenses</v>
      </c>
      <c r="K4328" s="8" t="str">
        <f aca="false">TEXT(ROW(), "0000")</f>
        <v>4328</v>
      </c>
      <c r="L4328" s="8"/>
    </row>
    <row r="4329" customFormat="false" ht="15.75" hidden="false" customHeight="true" outlineLevel="0" collapsed="false">
      <c r="A4329" s="7" t="n">
        <v>45948</v>
      </c>
      <c r="B4329" s="8" t="s">
        <v>19</v>
      </c>
      <c r="C4329" s="9" t="n">
        <v>1507</v>
      </c>
      <c r="D4329" s="8" t="s">
        <v>13</v>
      </c>
      <c r="E4329" s="10" t="s">
        <v>473</v>
      </c>
      <c r="F4329" s="8" t="str">
        <f aca="false">TEXT(A4329,"MM-YYYY")</f>
        <v>10-2025</v>
      </c>
      <c r="G4329" s="8" t="s">
        <v>14</v>
      </c>
      <c r="H4329" s="8"/>
      <c r="I4329" s="7"/>
      <c r="J4329" s="8" t="str">
        <f aca="false">VLOOKUP(B4329, Table3[#All], 2, FALSE())</f>
        <v>Inventory</v>
      </c>
      <c r="K4329" s="8" t="str">
        <f aca="false">TEXT(ROW(), "0000")</f>
        <v>4329</v>
      </c>
      <c r="L4329" s="8"/>
    </row>
    <row r="4330" customFormat="false" ht="15.75" hidden="false" customHeight="true" outlineLevel="0" collapsed="false">
      <c r="A4330" s="7" t="n">
        <v>45948</v>
      </c>
      <c r="B4330" s="8" t="s">
        <v>32</v>
      </c>
      <c r="C4330" s="9" t="n">
        <v>100</v>
      </c>
      <c r="D4330" s="8" t="s">
        <v>21</v>
      </c>
      <c r="E4330" s="10" t="s">
        <v>450</v>
      </c>
      <c r="F4330" s="8" t="str">
        <f aca="false">TEXT(A4330,"MM-YYYY")</f>
        <v>10-2025</v>
      </c>
      <c r="G4330" s="8" t="s">
        <v>14</v>
      </c>
      <c r="H4330" s="8"/>
      <c r="I4330" s="7"/>
      <c r="J4330" s="8" t="str">
        <f aca="false">VLOOKUP(B4330, Table3[#All], 2, FALSE())</f>
        <v>Grocery</v>
      </c>
      <c r="K4330" s="8" t="str">
        <f aca="false">TEXT(ROW(), "0000")</f>
        <v>4330</v>
      </c>
      <c r="L4330" s="8"/>
    </row>
    <row r="4331" customFormat="false" ht="15.75" hidden="false" customHeight="true" outlineLevel="0" collapsed="false">
      <c r="A4331" s="7" t="n">
        <v>45948</v>
      </c>
      <c r="B4331" s="8" t="s">
        <v>25</v>
      </c>
      <c r="C4331" s="9" t="n">
        <v>1060</v>
      </c>
      <c r="D4331" s="8" t="s">
        <v>13</v>
      </c>
      <c r="E4331" s="10" t="s">
        <v>92</v>
      </c>
      <c r="F4331" s="8" t="str">
        <f aca="false">TEXT(A4331,"MM-YYYY")</f>
        <v>10-2025</v>
      </c>
      <c r="G4331" s="8" t="s">
        <v>18</v>
      </c>
      <c r="H4331" s="8"/>
      <c r="I4331" s="7"/>
      <c r="J4331" s="8" t="str">
        <f aca="false">VLOOKUP(B4331, Table3[#All], 2, FALSE())</f>
        <v>Inventory</v>
      </c>
      <c r="K4331" s="8" t="str">
        <f aca="false">TEXT(ROW(), "0000")</f>
        <v>4331</v>
      </c>
      <c r="L4331" s="8"/>
    </row>
    <row r="4332" customFormat="false" ht="15.75" hidden="false" customHeight="true" outlineLevel="0" collapsed="false">
      <c r="A4332" s="7" t="n">
        <v>45948</v>
      </c>
      <c r="B4332" s="8" t="s">
        <v>43</v>
      </c>
      <c r="C4332" s="9" t="n">
        <v>2000</v>
      </c>
      <c r="D4332" s="8" t="s">
        <v>13</v>
      </c>
      <c r="E4332" s="10" t="s">
        <v>592</v>
      </c>
      <c r="F4332" s="8" t="str">
        <f aca="false">TEXT(A4332,"MM-YYYY")</f>
        <v>10-2025</v>
      </c>
      <c r="G4332" s="8" t="s">
        <v>14</v>
      </c>
      <c r="H4332" s="8" t="s">
        <v>13</v>
      </c>
      <c r="I4332" s="7" t="n">
        <v>45948</v>
      </c>
      <c r="J4332" s="8" t="str">
        <f aca="false">VLOOKUP(B4332, Table3[#All], 2, FALSE())</f>
        <v>Maintance</v>
      </c>
      <c r="K4332" s="8" t="str">
        <f aca="false">TEXT(ROW(), "0000")</f>
        <v>4332</v>
      </c>
      <c r="L4332" s="8"/>
    </row>
    <row r="4333" customFormat="false" ht="15.75" hidden="false" customHeight="true" outlineLevel="0" collapsed="false">
      <c r="A4333" s="7" t="n">
        <v>45948</v>
      </c>
      <c r="B4333" s="8" t="s">
        <v>43</v>
      </c>
      <c r="C4333" s="9" t="n">
        <v>15000</v>
      </c>
      <c r="D4333" s="8" t="s">
        <v>13</v>
      </c>
      <c r="E4333" s="10" t="s">
        <v>593</v>
      </c>
      <c r="F4333" s="8" t="str">
        <f aca="false">TEXT(A4333,"MM-YYYY")</f>
        <v>10-2025</v>
      </c>
      <c r="G4333" s="8" t="s">
        <v>14</v>
      </c>
      <c r="H4333" s="8" t="s">
        <v>13</v>
      </c>
      <c r="I4333" s="7" t="n">
        <v>45948</v>
      </c>
      <c r="J4333" s="8" t="str">
        <f aca="false">VLOOKUP(B4333, Table3[#All], 2, FALSE())</f>
        <v>Maintance</v>
      </c>
      <c r="K4333" s="8" t="str">
        <f aca="false">TEXT(ROW(), "0000")</f>
        <v>4333</v>
      </c>
      <c r="L4333" s="8"/>
    </row>
    <row r="4334" customFormat="false" ht="15.75" hidden="false" customHeight="true" outlineLevel="0" collapsed="false">
      <c r="A4334" s="7" t="n">
        <v>45948</v>
      </c>
      <c r="B4334" s="8" t="s">
        <v>29</v>
      </c>
      <c r="C4334" s="9" t="n">
        <v>520</v>
      </c>
      <c r="D4334" s="8" t="s">
        <v>13</v>
      </c>
      <c r="E4334" s="10" t="s">
        <v>490</v>
      </c>
      <c r="F4334" s="8" t="str">
        <f aca="false">TEXT(A4334,"MM-YYYY")</f>
        <v>10-2025</v>
      </c>
      <c r="G4334" s="8" t="s">
        <v>18</v>
      </c>
      <c r="H4334" s="8"/>
      <c r="I4334" s="7"/>
      <c r="J4334" s="8" t="str">
        <f aca="false">VLOOKUP(B4334, Table3[#All], 2, FALSE())</f>
        <v>Inventory</v>
      </c>
      <c r="K4334" s="8" t="str">
        <f aca="false">TEXT(ROW(), "0000")</f>
        <v>4334</v>
      </c>
      <c r="L4334" s="8"/>
    </row>
    <row r="4335" customFormat="false" ht="15.75" hidden="false" customHeight="true" outlineLevel="0" collapsed="false">
      <c r="A4335" s="7" t="n">
        <v>45948</v>
      </c>
      <c r="B4335" s="8" t="s">
        <v>22</v>
      </c>
      <c r="C4335" s="9" t="n">
        <v>100</v>
      </c>
      <c r="D4335" s="8" t="s">
        <v>21</v>
      </c>
      <c r="E4335" s="10" t="s">
        <v>594</v>
      </c>
      <c r="F4335" s="8" t="str">
        <f aca="false">TEXT(A4335,"MM-YYYY")</f>
        <v>10-2025</v>
      </c>
      <c r="G4335" s="8" t="s">
        <v>14</v>
      </c>
      <c r="H4335" s="8" t="s">
        <v>15</v>
      </c>
      <c r="I4335" s="7" t="n">
        <v>45948</v>
      </c>
      <c r="J4335" s="8" t="str">
        <f aca="false">VLOOKUP(B4335, Table3[#All], 2, FALSE())</f>
        <v>Inventory</v>
      </c>
      <c r="K4335" s="8" t="str">
        <f aca="false">TEXT(ROW(), "0000")</f>
        <v>4335</v>
      </c>
      <c r="L4335" s="8"/>
    </row>
    <row r="4336" customFormat="false" ht="15.75" hidden="false" customHeight="true" outlineLevel="0" collapsed="false">
      <c r="A4336" s="7" t="n">
        <v>45948</v>
      </c>
      <c r="B4336" s="8" t="s">
        <v>37</v>
      </c>
      <c r="C4336" s="9" t="n">
        <v>70</v>
      </c>
      <c r="D4336" s="8" t="s">
        <v>21</v>
      </c>
      <c r="E4336" s="10" t="s">
        <v>37</v>
      </c>
      <c r="F4336" s="8" t="str">
        <f aca="false">TEXT(A4336,"MM-YYYY")</f>
        <v>10-2025</v>
      </c>
      <c r="G4336" s="8" t="s">
        <v>14</v>
      </c>
      <c r="H4336" s="8" t="s">
        <v>15</v>
      </c>
      <c r="I4336" s="7" t="n">
        <v>45948</v>
      </c>
      <c r="J4336" s="8" t="str">
        <f aca="false">VLOOKUP(B4336, Table3[#All], 2, FALSE())</f>
        <v>Maintance</v>
      </c>
      <c r="K4336" s="8" t="str">
        <f aca="false">TEXT(ROW(), "0000")</f>
        <v>4336</v>
      </c>
      <c r="L4336" s="8"/>
    </row>
    <row r="4337" customFormat="false" ht="15.75" hidden="false" customHeight="true" outlineLevel="0" collapsed="false">
      <c r="A4337" s="7" t="n">
        <v>45948</v>
      </c>
      <c r="B4337" s="8" t="s">
        <v>16</v>
      </c>
      <c r="C4337" s="9" t="n">
        <v>2780</v>
      </c>
      <c r="D4337" s="8" t="s">
        <v>21</v>
      </c>
      <c r="E4337" s="10" t="s">
        <v>88</v>
      </c>
      <c r="F4337" s="8" t="str">
        <f aca="false">TEXT(A4337,"MM-YYYY")</f>
        <v>10-2025</v>
      </c>
      <c r="G4337" s="8"/>
      <c r="H4337" s="8"/>
      <c r="I4337" s="7"/>
      <c r="J4337" s="8" t="str">
        <f aca="false">VLOOKUP(B4337, Table3[#All], 2, FALSE())</f>
        <v>Sales</v>
      </c>
      <c r="K4337" s="8" t="str">
        <f aca="false">TEXT(ROW(), "0000")</f>
        <v>4337</v>
      </c>
      <c r="L4337" s="8"/>
    </row>
    <row r="4338" customFormat="false" ht="15.75" hidden="false" customHeight="true" outlineLevel="0" collapsed="false">
      <c r="A4338" s="7" t="n">
        <v>45948</v>
      </c>
      <c r="B4338" s="8" t="s">
        <v>16</v>
      </c>
      <c r="C4338" s="9" t="n">
        <v>620</v>
      </c>
      <c r="D4338" s="8" t="s">
        <v>27</v>
      </c>
      <c r="E4338" s="10" t="s">
        <v>88</v>
      </c>
      <c r="F4338" s="8" t="str">
        <f aca="false">TEXT(A4338,"MM-YYYY")</f>
        <v>10-2025</v>
      </c>
      <c r="G4338" s="8"/>
      <c r="H4338" s="8"/>
      <c r="I4338" s="7"/>
      <c r="J4338" s="8" t="str">
        <f aca="false">VLOOKUP(B4338, Table3[#All], 2, FALSE())</f>
        <v>Sales</v>
      </c>
      <c r="K4338" s="8" t="str">
        <f aca="false">TEXT(ROW(), "0000")</f>
        <v>4338</v>
      </c>
      <c r="L4338" s="8"/>
    </row>
    <row r="4339" customFormat="false" ht="15.75" hidden="false" customHeight="true" outlineLevel="0" collapsed="false">
      <c r="A4339" s="7" t="n">
        <v>45948</v>
      </c>
      <c r="B4339" s="8" t="s">
        <v>16</v>
      </c>
      <c r="C4339" s="9" t="n">
        <v>1034</v>
      </c>
      <c r="D4339" s="8" t="s">
        <v>33</v>
      </c>
      <c r="E4339" s="10" t="s">
        <v>88</v>
      </c>
      <c r="F4339" s="8" t="str">
        <f aca="false">TEXT(A4339,"MM-YYYY")</f>
        <v>10-2025</v>
      </c>
      <c r="G4339" s="8"/>
      <c r="H4339" s="8"/>
      <c r="I4339" s="7"/>
      <c r="J4339" s="8" t="str">
        <f aca="false">VLOOKUP(B4339, Table3[#All], 2, FALSE())</f>
        <v>Sales</v>
      </c>
      <c r="K4339" s="8" t="str">
        <f aca="false">TEXT(ROW(), "0000")</f>
        <v>4339</v>
      </c>
      <c r="L4339" s="8"/>
    </row>
    <row r="4340" customFormat="false" ht="15.75" hidden="false" customHeight="true" outlineLevel="0" collapsed="false">
      <c r="A4340" s="7" t="n">
        <v>45948</v>
      </c>
      <c r="B4340" s="8" t="s">
        <v>16</v>
      </c>
      <c r="C4340" s="9" t="n">
        <v>12800</v>
      </c>
      <c r="D4340" s="8" t="s">
        <v>17</v>
      </c>
      <c r="E4340" s="10" t="s">
        <v>88</v>
      </c>
      <c r="F4340" s="8" t="str">
        <f aca="false">TEXT(A4340,"MM-YYYY")</f>
        <v>10-2025</v>
      </c>
      <c r="G4340" s="8"/>
      <c r="H4340" s="8"/>
      <c r="I4340" s="7"/>
      <c r="J4340" s="8" t="str">
        <f aca="false">VLOOKUP(B4340, Table3[#All], 2, FALSE())</f>
        <v>Sales</v>
      </c>
      <c r="K4340" s="8" t="str">
        <f aca="false">TEXT(ROW(), "0000")</f>
        <v>4340</v>
      </c>
      <c r="L4340" s="8"/>
    </row>
    <row r="4341" customFormat="false" ht="15.75" hidden="false" customHeight="true" outlineLevel="0" collapsed="false">
      <c r="A4341" s="7" t="n">
        <v>45948</v>
      </c>
      <c r="B4341" s="8" t="s">
        <v>16</v>
      </c>
      <c r="C4341" s="9" t="n">
        <v>920</v>
      </c>
      <c r="D4341" s="8" t="s">
        <v>24</v>
      </c>
      <c r="E4341" s="10" t="s">
        <v>88</v>
      </c>
      <c r="F4341" s="8" t="str">
        <f aca="false">TEXT(A4341,"MM-YYYY")</f>
        <v>10-2025</v>
      </c>
      <c r="G4341" s="8"/>
      <c r="H4341" s="8"/>
      <c r="I4341" s="7"/>
      <c r="J4341" s="8" t="str">
        <f aca="false">VLOOKUP(B4341, Table3[#All], 2, FALSE())</f>
        <v>Sales</v>
      </c>
      <c r="K4341" s="8" t="str">
        <f aca="false">TEXT(ROW(), "0000")</f>
        <v>4341</v>
      </c>
      <c r="L4341" s="8"/>
    </row>
    <row r="4342" customFormat="false" ht="15.75" hidden="false" customHeight="true" outlineLevel="0" collapsed="false">
      <c r="A4342" s="7" t="n">
        <v>45948</v>
      </c>
      <c r="B4342" s="8" t="s">
        <v>53</v>
      </c>
      <c r="C4342" s="9" t="n">
        <v>900</v>
      </c>
      <c r="D4342" s="8" t="s">
        <v>21</v>
      </c>
      <c r="E4342" s="10" t="s">
        <v>55</v>
      </c>
      <c r="F4342" s="8" t="str">
        <f aca="false">TEXT(A4342,"MM-YYYY")</f>
        <v>10-2025</v>
      </c>
      <c r="G4342" s="8" t="s">
        <v>14</v>
      </c>
      <c r="H4342" s="8" t="s">
        <v>15</v>
      </c>
      <c r="I4342" s="7" t="n">
        <v>45948</v>
      </c>
      <c r="J4342" s="8" t="str">
        <f aca="false">VLOOKUP(B4342, Table3[#All], 2, FALSE())</f>
        <v>Grocery</v>
      </c>
      <c r="K4342" s="8" t="str">
        <f aca="false">TEXT(ROW(), "0000")</f>
        <v>4342</v>
      </c>
      <c r="L4342" s="8"/>
    </row>
    <row r="4343" customFormat="false" ht="15.75" hidden="false" customHeight="true" outlineLevel="0" collapsed="false">
      <c r="A4343" s="7" t="n">
        <v>45948</v>
      </c>
      <c r="B4343" s="8" t="s">
        <v>34</v>
      </c>
      <c r="C4343" s="9" t="n">
        <v>210</v>
      </c>
      <c r="D4343" s="8" t="s">
        <v>21</v>
      </c>
      <c r="E4343" s="10" t="s">
        <v>267</v>
      </c>
      <c r="F4343" s="8" t="str">
        <f aca="false">TEXT(A4343,"MM-YYYY")</f>
        <v>10-2025</v>
      </c>
      <c r="G4343" s="8" t="s">
        <v>14</v>
      </c>
      <c r="H4343" s="8" t="s">
        <v>15</v>
      </c>
      <c r="I4343" s="7" t="n">
        <v>45948</v>
      </c>
      <c r="J4343" s="8" t="str">
        <f aca="false">VLOOKUP(B4343, Table3[#All], 2, FALSE())</f>
        <v>Staff Expenses</v>
      </c>
      <c r="K4343" s="8" t="str">
        <f aca="false">TEXT(ROW(), "0000")</f>
        <v>4343</v>
      </c>
      <c r="L4343" s="8"/>
    </row>
    <row r="4344" customFormat="false" ht="15.75" hidden="false" customHeight="true" outlineLevel="0" collapsed="false">
      <c r="A4344" s="7" t="n">
        <v>45949</v>
      </c>
      <c r="B4344" s="8" t="s">
        <v>19</v>
      </c>
      <c r="C4344" s="9" t="n">
        <v>1654</v>
      </c>
      <c r="D4344" s="8" t="s">
        <v>13</v>
      </c>
      <c r="E4344" s="10" t="s">
        <v>473</v>
      </c>
      <c r="F4344" s="8" t="str">
        <f aca="false">TEXT(A4344,"MM-YYYY")</f>
        <v>10-2025</v>
      </c>
      <c r="G4344" s="8" t="s">
        <v>14</v>
      </c>
      <c r="H4344" s="8"/>
      <c r="I4344" s="7"/>
      <c r="J4344" s="8" t="str">
        <f aca="false">VLOOKUP(B4344, Table3[#All], 2, FALSE())</f>
        <v>Inventory</v>
      </c>
      <c r="K4344" s="8" t="str">
        <f aca="false">TEXT(ROW(), "0000")</f>
        <v>4344</v>
      </c>
      <c r="L4344" s="8"/>
    </row>
    <row r="4345" customFormat="false" ht="15.75" hidden="false" customHeight="true" outlineLevel="0" collapsed="false">
      <c r="A4345" s="7" t="n">
        <v>45949</v>
      </c>
      <c r="B4345" s="8" t="s">
        <v>43</v>
      </c>
      <c r="C4345" s="9" t="n">
        <v>3600</v>
      </c>
      <c r="D4345" s="8" t="s">
        <v>13</v>
      </c>
      <c r="E4345" s="10" t="s">
        <v>595</v>
      </c>
      <c r="F4345" s="8" t="str">
        <f aca="false">TEXT(A4345,"MM-YYYY")</f>
        <v>10-2025</v>
      </c>
      <c r="G4345" s="8" t="s">
        <v>14</v>
      </c>
      <c r="H4345" s="8" t="s">
        <v>13</v>
      </c>
      <c r="I4345" s="7" t="n">
        <v>45949</v>
      </c>
      <c r="J4345" s="8" t="str">
        <f aca="false">VLOOKUP(B4345, Table3[#All], 2, FALSE())</f>
        <v>Maintance</v>
      </c>
      <c r="K4345" s="8" t="str">
        <f aca="false">TEXT(ROW(), "0000")</f>
        <v>4345</v>
      </c>
      <c r="L4345" s="8"/>
    </row>
    <row r="4346" customFormat="false" ht="15.75" hidden="false" customHeight="true" outlineLevel="0" collapsed="false">
      <c r="A4346" s="7" t="n">
        <v>45948</v>
      </c>
      <c r="B4346" s="8" t="s">
        <v>50</v>
      </c>
      <c r="C4346" s="9" t="n">
        <v>1609</v>
      </c>
      <c r="D4346" s="8" t="s">
        <v>13</v>
      </c>
      <c r="E4346" s="10" t="s">
        <v>263</v>
      </c>
      <c r="F4346" s="8" t="str">
        <f aca="false">TEXT(A4346,"MM-YYYY")</f>
        <v>10-2025</v>
      </c>
      <c r="G4346" s="8" t="s">
        <v>18</v>
      </c>
      <c r="H4346" s="8"/>
      <c r="I4346" s="7"/>
      <c r="J4346" s="8" t="str">
        <f aca="false">VLOOKUP(B4346, Table3[#All], 2, FALSE())</f>
        <v>Fixed Maintance</v>
      </c>
      <c r="K4346" s="8" t="str">
        <f aca="false">TEXT(ROW(), "0000")</f>
        <v>4346</v>
      </c>
      <c r="L4346" s="8"/>
    </row>
    <row r="4347" customFormat="false" ht="15.75" hidden="false" customHeight="true" outlineLevel="0" collapsed="false">
      <c r="A4347" s="7" t="n">
        <v>45949</v>
      </c>
      <c r="B4347" s="8" t="s">
        <v>35</v>
      </c>
      <c r="C4347" s="9" t="n">
        <v>35</v>
      </c>
      <c r="D4347" s="8" t="s">
        <v>45</v>
      </c>
      <c r="E4347" s="10" t="s">
        <v>596</v>
      </c>
      <c r="F4347" s="8" t="str">
        <f aca="false">TEXT(A4347,"MM-YYYY")</f>
        <v>10-2025</v>
      </c>
      <c r="G4347" s="8" t="s">
        <v>14</v>
      </c>
      <c r="H4347" s="8" t="s">
        <v>232</v>
      </c>
      <c r="I4347" s="7" t="n">
        <v>45949</v>
      </c>
      <c r="J4347" s="8" t="str">
        <f aca="false">VLOOKUP(B4347, Table3[#All], 2, FALSE())</f>
        <v>Inventory</v>
      </c>
      <c r="K4347" s="8" t="str">
        <f aca="false">TEXT(ROW(), "0000")</f>
        <v>4347</v>
      </c>
      <c r="L4347" s="8"/>
    </row>
    <row r="4348" customFormat="false" ht="15.75" hidden="false" customHeight="true" outlineLevel="0" collapsed="false">
      <c r="A4348" s="7" t="n">
        <v>45949</v>
      </c>
      <c r="B4348" s="8" t="s">
        <v>43</v>
      </c>
      <c r="C4348" s="9" t="n">
        <v>150</v>
      </c>
      <c r="D4348" s="8" t="s">
        <v>45</v>
      </c>
      <c r="E4348" s="10" t="s">
        <v>597</v>
      </c>
      <c r="F4348" s="8" t="str">
        <f aca="false">TEXT(A4348,"MM-YYYY")</f>
        <v>10-2025</v>
      </c>
      <c r="G4348" s="8" t="s">
        <v>14</v>
      </c>
      <c r="H4348" s="8" t="s">
        <v>232</v>
      </c>
      <c r="I4348" s="7" t="n">
        <v>45949</v>
      </c>
      <c r="J4348" s="8" t="str">
        <f aca="false">VLOOKUP(B4348, Table3[#All], 2, FALSE())</f>
        <v>Maintance</v>
      </c>
      <c r="K4348" s="8" t="str">
        <f aca="false">TEXT(ROW(), "0000")</f>
        <v>4348</v>
      </c>
      <c r="L4348" s="8"/>
    </row>
    <row r="4349" customFormat="false" ht="15.75" hidden="false" customHeight="true" outlineLevel="0" collapsed="false">
      <c r="A4349" s="7" t="n">
        <v>45949</v>
      </c>
      <c r="B4349" s="8" t="s">
        <v>29</v>
      </c>
      <c r="C4349" s="9" t="n">
        <v>70</v>
      </c>
      <c r="D4349" s="8" t="s">
        <v>45</v>
      </c>
      <c r="E4349" s="10" t="s">
        <v>41</v>
      </c>
      <c r="F4349" s="8" t="str">
        <f aca="false">TEXT(A4349,"MM-YYYY")</f>
        <v>10-2025</v>
      </c>
      <c r="G4349" s="8" t="s">
        <v>14</v>
      </c>
      <c r="H4349" s="8" t="s">
        <v>232</v>
      </c>
      <c r="I4349" s="7" t="n">
        <v>45949</v>
      </c>
      <c r="J4349" s="8" t="str">
        <f aca="false">VLOOKUP(B4349, Table3[#All], 2, FALSE())</f>
        <v>Inventory</v>
      </c>
      <c r="K4349" s="8" t="str">
        <f aca="false">TEXT(ROW(), "0000")</f>
        <v>4349</v>
      </c>
      <c r="L4349" s="8"/>
    </row>
    <row r="4350" customFormat="false" ht="15.75" hidden="false" customHeight="true" outlineLevel="0" collapsed="false">
      <c r="A4350" s="7" t="n">
        <v>45949</v>
      </c>
      <c r="B4350" s="8" t="s">
        <v>69</v>
      </c>
      <c r="C4350" s="9" t="n">
        <v>700</v>
      </c>
      <c r="D4350" s="8" t="s">
        <v>21</v>
      </c>
      <c r="E4350" s="10" t="s">
        <v>312</v>
      </c>
      <c r="F4350" s="8" t="str">
        <f aca="false">TEXT(A4350,"MM-YYYY")</f>
        <v>10-2025</v>
      </c>
      <c r="G4350" s="8" t="s">
        <v>14</v>
      </c>
      <c r="H4350" s="8" t="s">
        <v>15</v>
      </c>
      <c r="I4350" s="7" t="n">
        <v>45949</v>
      </c>
      <c r="J4350" s="8" t="str">
        <f aca="false">VLOOKUP(B4350, Table3[#All], 2, FALSE())</f>
        <v>Fixed Maintance</v>
      </c>
      <c r="K4350" s="8" t="str">
        <f aca="false">TEXT(ROW(), "0000")</f>
        <v>4350</v>
      </c>
      <c r="L4350" s="8"/>
    </row>
    <row r="4351" customFormat="false" ht="15.75" hidden="false" customHeight="true" outlineLevel="0" collapsed="false">
      <c r="A4351" s="7" t="n">
        <v>45949</v>
      </c>
      <c r="B4351" s="8" t="s">
        <v>51</v>
      </c>
      <c r="C4351" s="9" t="n">
        <v>160</v>
      </c>
      <c r="D4351" s="8" t="s">
        <v>45</v>
      </c>
      <c r="E4351" s="10" t="s">
        <v>598</v>
      </c>
      <c r="F4351" s="8" t="str">
        <f aca="false">TEXT(A4351,"MM-YYYY")</f>
        <v>10-2025</v>
      </c>
      <c r="G4351" s="8" t="s">
        <v>14</v>
      </c>
      <c r="H4351" s="8" t="s">
        <v>15</v>
      </c>
      <c r="I4351" s="7"/>
      <c r="J4351" s="8" t="str">
        <f aca="false">VLOOKUP(B4351, Table3[#All], 2, FALSE())</f>
        <v>Inventory</v>
      </c>
      <c r="K4351" s="8" t="str">
        <f aca="false">TEXT(ROW(), "0000")</f>
        <v>4351</v>
      </c>
      <c r="L4351" s="8"/>
    </row>
    <row r="4352" customFormat="false" ht="15.75" hidden="false" customHeight="true" outlineLevel="0" collapsed="false">
      <c r="A4352" s="7" t="n">
        <v>45949</v>
      </c>
      <c r="B4352" s="8" t="s">
        <v>56</v>
      </c>
      <c r="C4352" s="9" t="n">
        <v>400</v>
      </c>
      <c r="D4352" s="8" t="s">
        <v>13</v>
      </c>
      <c r="E4352" s="10" t="s">
        <v>599</v>
      </c>
      <c r="F4352" s="8" t="str">
        <f aca="false">TEXT(A4352,"MM-YYYY")</f>
        <v>10-2025</v>
      </c>
      <c r="G4352" s="8" t="s">
        <v>14</v>
      </c>
      <c r="H4352" s="8" t="s">
        <v>15</v>
      </c>
      <c r="I4352" s="7"/>
      <c r="J4352" s="8" t="str">
        <f aca="false">VLOOKUP(B4352, Table3[#All], 2, FALSE())</f>
        <v>New Inventory</v>
      </c>
      <c r="K4352" s="8" t="str">
        <f aca="false">TEXT(ROW(), "0000")</f>
        <v>4352</v>
      </c>
      <c r="L4352" s="8"/>
    </row>
    <row r="4353" customFormat="false" ht="15.75" hidden="false" customHeight="true" outlineLevel="0" collapsed="false">
      <c r="A4353" s="7" t="n">
        <v>45949</v>
      </c>
      <c r="B4353" s="8" t="s">
        <v>56</v>
      </c>
      <c r="C4353" s="9" t="n">
        <v>200</v>
      </c>
      <c r="D4353" s="8" t="s">
        <v>45</v>
      </c>
      <c r="E4353" s="10" t="s">
        <v>600</v>
      </c>
      <c r="F4353" s="8" t="str">
        <f aca="false">TEXT(A4353,"MM-YYYY")</f>
        <v>10-2025</v>
      </c>
      <c r="G4353" s="8" t="s">
        <v>14</v>
      </c>
      <c r="H4353" s="8" t="s">
        <v>15</v>
      </c>
      <c r="I4353" s="7"/>
      <c r="J4353" s="8" t="str">
        <f aca="false">VLOOKUP(B4353, Table3[#All], 2, FALSE())</f>
        <v>New Inventory</v>
      </c>
      <c r="K4353" s="8" t="str">
        <f aca="false">TEXT(ROW(), "0000")</f>
        <v>4353</v>
      </c>
      <c r="L4353" s="8"/>
    </row>
    <row r="4354" customFormat="false" ht="15.75" hidden="false" customHeight="true" outlineLevel="0" collapsed="false">
      <c r="A4354" s="7" t="n">
        <v>45949</v>
      </c>
      <c r="B4354" s="8" t="s">
        <v>16</v>
      </c>
      <c r="C4354" s="9" t="n">
        <v>3390</v>
      </c>
      <c r="D4354" s="8" t="s">
        <v>21</v>
      </c>
      <c r="E4354" s="10" t="s">
        <v>88</v>
      </c>
      <c r="F4354" s="8" t="str">
        <f aca="false">TEXT(A4354,"MM-YYYY")</f>
        <v>10-2025</v>
      </c>
      <c r="G4354" s="8"/>
      <c r="H4354" s="8"/>
      <c r="I4354" s="7"/>
      <c r="J4354" s="8" t="str">
        <f aca="false">VLOOKUP(B4354, Table3[#All], 2, FALSE())</f>
        <v>Sales</v>
      </c>
      <c r="K4354" s="8" t="str">
        <f aca="false">TEXT(ROW(), "0000")</f>
        <v>4354</v>
      </c>
      <c r="L4354" s="8"/>
    </row>
    <row r="4355" customFormat="false" ht="15.75" hidden="false" customHeight="true" outlineLevel="0" collapsed="false">
      <c r="A4355" s="7" t="n">
        <v>45949</v>
      </c>
      <c r="B4355" s="8" t="s">
        <v>16</v>
      </c>
      <c r="C4355" s="9" t="n">
        <v>1920</v>
      </c>
      <c r="D4355" s="8" t="s">
        <v>27</v>
      </c>
      <c r="E4355" s="10" t="s">
        <v>88</v>
      </c>
      <c r="F4355" s="8" t="str">
        <f aca="false">TEXT(A4355,"MM-YYYY")</f>
        <v>10-2025</v>
      </c>
      <c r="G4355" s="8"/>
      <c r="H4355" s="8"/>
      <c r="I4355" s="7"/>
      <c r="J4355" s="8" t="str">
        <f aca="false">VLOOKUP(B4355, Table3[#All], 2, FALSE())</f>
        <v>Sales</v>
      </c>
      <c r="K4355" s="8" t="str">
        <f aca="false">TEXT(ROW(), "0000")</f>
        <v>4355</v>
      </c>
      <c r="L4355" s="8"/>
    </row>
    <row r="4356" customFormat="false" ht="15.75" hidden="false" customHeight="true" outlineLevel="0" collapsed="false">
      <c r="A4356" s="7" t="n">
        <v>45949</v>
      </c>
      <c r="B4356" s="8" t="s">
        <v>16</v>
      </c>
      <c r="C4356" s="9" t="n">
        <v>940</v>
      </c>
      <c r="D4356" s="8" t="s">
        <v>601</v>
      </c>
      <c r="E4356" s="10" t="s">
        <v>88</v>
      </c>
      <c r="F4356" s="8" t="str">
        <f aca="false">TEXT(A4356,"MM-YYYY")</f>
        <v>10-2025</v>
      </c>
      <c r="G4356" s="8"/>
      <c r="H4356" s="8"/>
      <c r="I4356" s="7"/>
      <c r="J4356" s="8" t="str">
        <f aca="false">VLOOKUP(B4356, Table3[#All], 2, FALSE())</f>
        <v>Sales</v>
      </c>
      <c r="K4356" s="8" t="str">
        <f aca="false">TEXT(ROW(), "0000")</f>
        <v>4356</v>
      </c>
      <c r="L4356" s="8"/>
    </row>
    <row r="4357" customFormat="false" ht="15.75" hidden="false" customHeight="true" outlineLevel="0" collapsed="false">
      <c r="A4357" s="7" t="n">
        <v>45949</v>
      </c>
      <c r="B4357" s="8" t="s">
        <v>16</v>
      </c>
      <c r="C4357" s="9" t="n">
        <v>18275</v>
      </c>
      <c r="D4357" s="8" t="s">
        <v>17</v>
      </c>
      <c r="E4357" s="10" t="s">
        <v>88</v>
      </c>
      <c r="F4357" s="8" t="str">
        <f aca="false">TEXT(A4357,"MM-YYYY")</f>
        <v>10-2025</v>
      </c>
      <c r="G4357" s="8"/>
      <c r="H4357" s="8"/>
      <c r="I4357" s="7"/>
      <c r="J4357" s="8" t="str">
        <f aca="false">VLOOKUP(B4357, Table3[#All], 2, FALSE())</f>
        <v>Sales</v>
      </c>
      <c r="K4357" s="8" t="str">
        <f aca="false">TEXT(ROW(), "0000")</f>
        <v>4357</v>
      </c>
      <c r="L4357" s="8"/>
    </row>
    <row r="4358" customFormat="false" ht="15.75" hidden="false" customHeight="true" outlineLevel="0" collapsed="false">
      <c r="A4358" s="7" t="n">
        <v>45949</v>
      </c>
      <c r="B4358" s="8" t="s">
        <v>16</v>
      </c>
      <c r="C4358" s="9" t="n">
        <v>530</v>
      </c>
      <c r="D4358" s="8" t="s">
        <v>59</v>
      </c>
      <c r="E4358" s="10" t="s">
        <v>88</v>
      </c>
      <c r="F4358" s="8" t="str">
        <f aca="false">TEXT(A4358,"MM-YYYY")</f>
        <v>10-2025</v>
      </c>
      <c r="G4358" s="8"/>
      <c r="H4358" s="8"/>
      <c r="I4358" s="7"/>
      <c r="J4358" s="8" t="str">
        <f aca="false">VLOOKUP(B4358, Table3[#All], 2, FALSE())</f>
        <v>Sales</v>
      </c>
      <c r="K4358" s="8" t="str">
        <f aca="false">TEXT(ROW(), "0000")</f>
        <v>4358</v>
      </c>
      <c r="L4358" s="8"/>
    </row>
    <row r="4359" customFormat="false" ht="15.75" hidden="false" customHeight="true" outlineLevel="0" collapsed="false">
      <c r="A4359" s="7" t="n">
        <v>45949</v>
      </c>
      <c r="B4359" s="8" t="s">
        <v>16</v>
      </c>
      <c r="C4359" s="9" t="n">
        <v>170</v>
      </c>
      <c r="D4359" s="8" t="s">
        <v>24</v>
      </c>
      <c r="E4359" s="10" t="s">
        <v>88</v>
      </c>
      <c r="F4359" s="8" t="str">
        <f aca="false">TEXT(A4359,"MM-YYYY")</f>
        <v>10-2025</v>
      </c>
      <c r="G4359" s="8"/>
      <c r="H4359" s="8"/>
      <c r="I4359" s="7"/>
      <c r="J4359" s="8" t="str">
        <f aca="false">VLOOKUP(B4359, Table3[#All], 2, FALSE())</f>
        <v>Sales</v>
      </c>
      <c r="K4359" s="8" t="str">
        <f aca="false">TEXT(ROW(), "0000")</f>
        <v>4359</v>
      </c>
      <c r="L4359" s="8"/>
    </row>
    <row r="4360" customFormat="false" ht="15.75" hidden="false" customHeight="true" outlineLevel="0" collapsed="false">
      <c r="A4360" s="7" t="n">
        <v>45949</v>
      </c>
      <c r="B4360" s="8" t="s">
        <v>34</v>
      </c>
      <c r="C4360" s="9" t="n">
        <v>50</v>
      </c>
      <c r="D4360" s="8" t="s">
        <v>45</v>
      </c>
      <c r="E4360" s="10" t="s">
        <v>602</v>
      </c>
      <c r="F4360" s="8" t="str">
        <f aca="false">TEXT(A4360,"MM-YYYY")</f>
        <v>10-2025</v>
      </c>
      <c r="G4360" s="8"/>
      <c r="H4360" s="8"/>
      <c r="I4360" s="7"/>
      <c r="J4360" s="8" t="str">
        <f aca="false">VLOOKUP(B4360, Table3[#All], 2, FALSE())</f>
        <v>Staff Expenses</v>
      </c>
      <c r="K4360" s="8" t="str">
        <f aca="false">TEXT(ROW(), "0000")</f>
        <v>4360</v>
      </c>
      <c r="L4360" s="8"/>
    </row>
    <row r="4361" customFormat="false" ht="15.75" hidden="false" customHeight="true" outlineLevel="0" collapsed="false">
      <c r="A4361" s="7" t="n">
        <v>45949</v>
      </c>
      <c r="B4361" s="8" t="s">
        <v>37</v>
      </c>
      <c r="C4361" s="9" t="n">
        <v>75</v>
      </c>
      <c r="D4361" s="8" t="s">
        <v>21</v>
      </c>
      <c r="E4361" s="10" t="s">
        <v>37</v>
      </c>
      <c r="F4361" s="8" t="str">
        <f aca="false">TEXT(A4361,"MM-YYYY")</f>
        <v>10-2025</v>
      </c>
      <c r="G4361" s="8" t="s">
        <v>14</v>
      </c>
      <c r="H4361" s="8" t="s">
        <v>232</v>
      </c>
      <c r="I4361" s="7" t="n">
        <v>45949</v>
      </c>
      <c r="J4361" s="8" t="str">
        <f aca="false">VLOOKUP(B4361, Table3[#All], 2, FALSE())</f>
        <v>Maintance</v>
      </c>
      <c r="K4361" s="8" t="str">
        <f aca="false">TEXT(ROW(), "0000")</f>
        <v>4361</v>
      </c>
      <c r="L4361" s="8"/>
    </row>
    <row r="4362" customFormat="false" ht="15.75" hidden="false" customHeight="true" outlineLevel="0" collapsed="false">
      <c r="A4362" s="7" t="n">
        <v>45949</v>
      </c>
      <c r="B4362" s="8" t="s">
        <v>29</v>
      </c>
      <c r="C4362" s="9" t="n">
        <v>300</v>
      </c>
      <c r="D4362" s="8" t="s">
        <v>13</v>
      </c>
      <c r="E4362" s="10" t="s">
        <v>490</v>
      </c>
      <c r="F4362" s="8" t="str">
        <f aca="false">TEXT(A4362,"MM-YYYY")</f>
        <v>10-2025</v>
      </c>
      <c r="G4362" s="8" t="s">
        <v>18</v>
      </c>
      <c r="H4362" s="8"/>
      <c r="I4362" s="7"/>
      <c r="J4362" s="8" t="str">
        <f aca="false">VLOOKUP(B4362, Table3[#All], 2, FALSE())</f>
        <v>Inventory</v>
      </c>
      <c r="K4362" s="8" t="str">
        <f aca="false">TEXT(ROW(), "0000")</f>
        <v>4362</v>
      </c>
      <c r="L4362" s="8"/>
    </row>
    <row r="4363" customFormat="false" ht="15.75" hidden="false" customHeight="true" outlineLevel="0" collapsed="false">
      <c r="A4363" s="7" t="n">
        <v>45949</v>
      </c>
      <c r="B4363" s="8" t="s">
        <v>44</v>
      </c>
      <c r="C4363" s="9" t="n">
        <v>1500</v>
      </c>
      <c r="D4363" s="8" t="s">
        <v>21</v>
      </c>
      <c r="E4363" s="10" t="s">
        <v>15</v>
      </c>
      <c r="F4363" s="8" t="str">
        <f aca="false">TEXT(A4363,"MM-YYYY")</f>
        <v>10-2025</v>
      </c>
      <c r="G4363" s="8" t="s">
        <v>14</v>
      </c>
      <c r="H4363" s="8" t="s">
        <v>232</v>
      </c>
      <c r="I4363" s="7" t="n">
        <v>45949</v>
      </c>
      <c r="J4363" s="8" t="str">
        <f aca="false">VLOOKUP(B4363, Table3[#All], 2, FALSE())</f>
        <v>Salary</v>
      </c>
      <c r="K4363" s="8" t="str">
        <f aca="false">TEXT(ROW(), "0000")</f>
        <v>4363</v>
      </c>
      <c r="L4363" s="8"/>
    </row>
    <row r="4364" customFormat="false" ht="15.75" hidden="false" customHeight="true" outlineLevel="0" collapsed="false">
      <c r="A4364" s="7" t="n">
        <v>45950</v>
      </c>
      <c r="B4364" s="8" t="s">
        <v>25</v>
      </c>
      <c r="C4364" s="9" t="n">
        <v>320</v>
      </c>
      <c r="D4364" s="8" t="s">
        <v>45</v>
      </c>
      <c r="E4364" s="8" t="s">
        <v>603</v>
      </c>
      <c r="F4364" s="8" t="str">
        <f aca="false">TEXT(A4364,"MM-YYYY")</f>
        <v>10-2025</v>
      </c>
      <c r="G4364" s="8" t="s">
        <v>14</v>
      </c>
      <c r="H4364" s="8" t="s">
        <v>232</v>
      </c>
      <c r="I4364" s="7" t="n">
        <v>45950</v>
      </c>
      <c r="J4364" s="8" t="str">
        <f aca="false">VLOOKUP(B4364, Table3[#All], 2, FALSE())</f>
        <v>Inventory</v>
      </c>
      <c r="K4364" s="8" t="str">
        <f aca="false">TEXT(ROW(), "0000")</f>
        <v>4364</v>
      </c>
      <c r="L4364" s="8"/>
    </row>
    <row r="4365" customFormat="false" ht="15.75" hidden="false" customHeight="true" outlineLevel="0" collapsed="false">
      <c r="A4365" s="7" t="n">
        <v>45950</v>
      </c>
      <c r="B4365" s="8" t="s">
        <v>40</v>
      </c>
      <c r="C4365" s="9" t="n">
        <v>1600</v>
      </c>
      <c r="D4365" s="8" t="s">
        <v>13</v>
      </c>
      <c r="E4365" s="8" t="s">
        <v>46</v>
      </c>
      <c r="F4365" s="8" t="str">
        <f aca="false">TEXT(A4365,"MM-YYYY")</f>
        <v>10-2025</v>
      </c>
      <c r="G4365" s="8" t="s">
        <v>14</v>
      </c>
      <c r="H4365" s="8" t="s">
        <v>232</v>
      </c>
      <c r="I4365" s="7" t="n">
        <v>45950</v>
      </c>
      <c r="J4365" s="8" t="str">
        <f aca="false">VLOOKUP(B4365, Table3[#All], 2, FALSE())</f>
        <v>Inventory</v>
      </c>
      <c r="K4365" s="8" t="str">
        <f aca="false">TEXT(ROW(), "0000")</f>
        <v>4365</v>
      </c>
      <c r="L4365" s="8"/>
    </row>
    <row r="4366" customFormat="false" ht="15.75" hidden="false" customHeight="true" outlineLevel="0" collapsed="false">
      <c r="A4366" s="7" t="n">
        <v>45950</v>
      </c>
      <c r="B4366" s="8" t="s">
        <v>19</v>
      </c>
      <c r="C4366" s="9" t="n">
        <v>1390</v>
      </c>
      <c r="D4366" s="8" t="s">
        <v>13</v>
      </c>
      <c r="E4366" s="8" t="s">
        <v>20</v>
      </c>
      <c r="F4366" s="8" t="str">
        <f aca="false">TEXT(A4366,"MM-YYYY")</f>
        <v>10-2025</v>
      </c>
      <c r="G4366" s="8" t="s">
        <v>14</v>
      </c>
      <c r="H4366" s="8"/>
      <c r="I4366" s="7"/>
      <c r="J4366" s="8" t="str">
        <f aca="false">VLOOKUP(B4366, Table3[#All], 2, FALSE())</f>
        <v>Inventory</v>
      </c>
      <c r="K4366" s="8" t="str">
        <f aca="false">TEXT(ROW(), "0000")</f>
        <v>4366</v>
      </c>
      <c r="L4366" s="8"/>
    </row>
    <row r="4367" customFormat="false" ht="15.75" hidden="false" customHeight="true" outlineLevel="0" collapsed="false">
      <c r="A4367" s="7" t="n">
        <v>45950</v>
      </c>
      <c r="B4367" s="8" t="s">
        <v>37</v>
      </c>
      <c r="C4367" s="9" t="n">
        <v>10</v>
      </c>
      <c r="D4367" s="8" t="s">
        <v>21</v>
      </c>
      <c r="E4367" s="10" t="s">
        <v>37</v>
      </c>
      <c r="F4367" s="8" t="str">
        <f aca="false">TEXT(A4367,"MM-YYYY")</f>
        <v>10-2025</v>
      </c>
      <c r="G4367" s="8" t="s">
        <v>14</v>
      </c>
      <c r="H4367" s="8" t="s">
        <v>15</v>
      </c>
      <c r="I4367" s="7" t="n">
        <v>45950</v>
      </c>
      <c r="J4367" s="8" t="str">
        <f aca="false">VLOOKUP(B4367, Table3[#All], 2, FALSE())</f>
        <v>Maintance</v>
      </c>
      <c r="K4367" s="8" t="str">
        <f aca="false">TEXT(ROW(), "0000")</f>
        <v>4367</v>
      </c>
      <c r="L4367" s="8"/>
    </row>
    <row r="4368" customFormat="false" ht="15.75" hidden="false" customHeight="true" outlineLevel="0" collapsed="false">
      <c r="A4368" s="7" t="n">
        <v>45950</v>
      </c>
      <c r="B4368" s="8" t="s">
        <v>47</v>
      </c>
      <c r="C4368" s="9" t="n">
        <v>900</v>
      </c>
      <c r="D4368" s="8" t="s">
        <v>13</v>
      </c>
      <c r="E4368" s="8" t="s">
        <v>604</v>
      </c>
      <c r="F4368" s="8" t="str">
        <f aca="false">TEXT(A4368,"MM-YYYY")</f>
        <v>10-2025</v>
      </c>
      <c r="G4368" s="8" t="s">
        <v>18</v>
      </c>
      <c r="H4368" s="8"/>
      <c r="I4368" s="7"/>
      <c r="J4368" s="8" t="str">
        <f aca="false">VLOOKUP(B4368, Table3[#All], 2, FALSE())</f>
        <v>Inventory</v>
      </c>
      <c r="K4368" s="8" t="str">
        <f aca="false">TEXT(ROW(), "0000")</f>
        <v>4368</v>
      </c>
      <c r="L4368" s="8"/>
    </row>
    <row r="4369" customFormat="false" ht="15.75" hidden="false" customHeight="true" outlineLevel="0" collapsed="false">
      <c r="A4369" s="7" t="n">
        <v>45950</v>
      </c>
      <c r="B4369" s="8" t="s">
        <v>56</v>
      </c>
      <c r="C4369" s="9" t="n">
        <v>514</v>
      </c>
      <c r="D4369" s="8" t="s">
        <v>13</v>
      </c>
      <c r="E4369" s="10" t="s">
        <v>605</v>
      </c>
      <c r="F4369" s="8" t="str">
        <f aca="false">TEXT(A4369,"MM-YYYY")</f>
        <v>10-2025</v>
      </c>
      <c r="G4369" s="8" t="s">
        <v>14</v>
      </c>
      <c r="H4369" s="8" t="s">
        <v>232</v>
      </c>
      <c r="I4369" s="7"/>
      <c r="J4369" s="8" t="str">
        <f aca="false">VLOOKUP(B4369, Table3[#All], 2, FALSE())</f>
        <v>New Inventory</v>
      </c>
      <c r="K4369" s="8" t="str">
        <f aca="false">TEXT(ROW(), "0000")</f>
        <v>4369</v>
      </c>
      <c r="L4369" s="8"/>
    </row>
    <row r="4370" customFormat="false" ht="15.75" hidden="false" customHeight="true" outlineLevel="0" collapsed="false">
      <c r="A4370" s="7" t="n">
        <v>45950</v>
      </c>
      <c r="B4370" s="8" t="s">
        <v>29</v>
      </c>
      <c r="C4370" s="9" t="n">
        <v>30</v>
      </c>
      <c r="D4370" s="8" t="s">
        <v>21</v>
      </c>
      <c r="E4370" s="10" t="s">
        <v>468</v>
      </c>
      <c r="F4370" s="8" t="str">
        <f aca="false">TEXT(A4370,"MM-YYYY")</f>
        <v>10-2025</v>
      </c>
      <c r="G4370" s="8" t="s">
        <v>14</v>
      </c>
      <c r="H4370" s="8" t="s">
        <v>232</v>
      </c>
      <c r="I4370" s="7"/>
      <c r="J4370" s="8" t="str">
        <f aca="false">VLOOKUP(B4370, Table3[#All], 2, FALSE())</f>
        <v>Inventory</v>
      </c>
      <c r="K4370" s="8" t="str">
        <f aca="false">TEXT(ROW(), "0000")</f>
        <v>4370</v>
      </c>
      <c r="L4370" s="8"/>
    </row>
    <row r="4371" customFormat="false" ht="15.75" hidden="false" customHeight="true" outlineLevel="0" collapsed="false">
      <c r="A4371" s="7" t="n">
        <v>45950</v>
      </c>
      <c r="B4371" s="8" t="s">
        <v>56</v>
      </c>
      <c r="C4371" s="9" t="n">
        <v>1150</v>
      </c>
      <c r="D4371" s="8" t="s">
        <v>45</v>
      </c>
      <c r="E4371" s="10" t="s">
        <v>606</v>
      </c>
      <c r="F4371" s="8" t="str">
        <f aca="false">TEXT(A4371,"MM-YYYY")</f>
        <v>10-2025</v>
      </c>
      <c r="G4371" s="8" t="s">
        <v>14</v>
      </c>
      <c r="H4371" s="8" t="s">
        <v>262</v>
      </c>
      <c r="I4371" s="7"/>
      <c r="J4371" s="8" t="str">
        <f aca="false">VLOOKUP(B4371, Table3[#All], 2, FALSE())</f>
        <v>New Inventory</v>
      </c>
      <c r="K4371" s="8" t="str">
        <f aca="false">TEXT(ROW(), "0000")</f>
        <v>4371</v>
      </c>
      <c r="L4371" s="8"/>
    </row>
    <row r="4372" customFormat="false" ht="15.75" hidden="false" customHeight="true" outlineLevel="0" collapsed="false">
      <c r="A4372" s="7" t="n">
        <v>45950</v>
      </c>
      <c r="B4372" s="8" t="s">
        <v>16</v>
      </c>
      <c r="C4372" s="9" t="n">
        <v>3190</v>
      </c>
      <c r="D4372" s="8" t="s">
        <v>21</v>
      </c>
      <c r="E4372" s="10" t="s">
        <v>88</v>
      </c>
      <c r="F4372" s="8" t="str">
        <f aca="false">TEXT(A4372,"MM-YYYY")</f>
        <v>10-2025</v>
      </c>
      <c r="G4372" s="8"/>
      <c r="H4372" s="8"/>
      <c r="I4372" s="7"/>
      <c r="J4372" s="8" t="str">
        <f aca="false">VLOOKUP(B4372, Table3[#All], 2, FALSE())</f>
        <v>Sales</v>
      </c>
      <c r="K4372" s="8" t="str">
        <f aca="false">TEXT(ROW(), "0000")</f>
        <v>4372</v>
      </c>
      <c r="L4372" s="8"/>
    </row>
    <row r="4373" customFormat="false" ht="15.75" hidden="false" customHeight="true" outlineLevel="0" collapsed="false">
      <c r="A4373" s="7" t="n">
        <v>45950</v>
      </c>
      <c r="B4373" s="8" t="s">
        <v>16</v>
      </c>
      <c r="C4373" s="9" t="n">
        <v>300</v>
      </c>
      <c r="D4373" s="8" t="s">
        <v>33</v>
      </c>
      <c r="E4373" s="10" t="s">
        <v>88</v>
      </c>
      <c r="F4373" s="8" t="str">
        <f aca="false">TEXT(A4373,"MM-YYYY")</f>
        <v>10-2025</v>
      </c>
      <c r="G4373" s="8"/>
      <c r="H4373" s="8"/>
      <c r="I4373" s="7"/>
      <c r="J4373" s="8" t="str">
        <f aca="false">VLOOKUP(B4373, Table3[#All], 2, FALSE())</f>
        <v>Sales</v>
      </c>
      <c r="K4373" s="8" t="str">
        <f aca="false">TEXT(ROW(), "0000")</f>
        <v>4373</v>
      </c>
      <c r="L4373" s="8"/>
    </row>
    <row r="4374" customFormat="false" ht="15.75" hidden="false" customHeight="true" outlineLevel="0" collapsed="false">
      <c r="A4374" s="7" t="n">
        <v>45950</v>
      </c>
      <c r="B4374" s="8" t="s">
        <v>16</v>
      </c>
      <c r="C4374" s="9" t="n">
        <v>12600</v>
      </c>
      <c r="D4374" s="8" t="s">
        <v>17</v>
      </c>
      <c r="E4374" s="10" t="s">
        <v>88</v>
      </c>
      <c r="F4374" s="8" t="str">
        <f aca="false">TEXT(A4374,"MM-YYYY")</f>
        <v>10-2025</v>
      </c>
      <c r="G4374" s="8"/>
      <c r="H4374" s="8"/>
      <c r="I4374" s="7"/>
      <c r="J4374" s="8" t="str">
        <f aca="false">VLOOKUP(B4374, Table3[#All], 2, FALSE())</f>
        <v>Sales</v>
      </c>
      <c r="K4374" s="8" t="str">
        <f aca="false">TEXT(ROW(), "0000")</f>
        <v>4374</v>
      </c>
      <c r="L4374" s="8"/>
    </row>
    <row r="4375" customFormat="false" ht="15.75" hidden="false" customHeight="true" outlineLevel="0" collapsed="false">
      <c r="A4375" s="7" t="n">
        <v>45950</v>
      </c>
      <c r="B4375" s="8" t="s">
        <v>16</v>
      </c>
      <c r="C4375" s="9" t="n">
        <v>1057</v>
      </c>
      <c r="D4375" s="8" t="s">
        <v>24</v>
      </c>
      <c r="E4375" s="10" t="s">
        <v>88</v>
      </c>
      <c r="F4375" s="8" t="str">
        <f aca="false">TEXT(A4375,"MM-YYYY")</f>
        <v>10-2025</v>
      </c>
      <c r="G4375" s="8"/>
      <c r="H4375" s="8"/>
      <c r="I4375" s="7"/>
      <c r="J4375" s="8" t="str">
        <f aca="false">VLOOKUP(B4375, Table3[#All], 2, FALSE())</f>
        <v>Sales</v>
      </c>
      <c r="K4375" s="8" t="str">
        <f aca="false">TEXT(ROW(), "0000")</f>
        <v>4375</v>
      </c>
      <c r="L4375" s="8"/>
    </row>
    <row r="4376" customFormat="false" ht="15.75" hidden="false" customHeight="true" outlineLevel="0" collapsed="false">
      <c r="A4376" s="7" t="n">
        <v>45950</v>
      </c>
      <c r="B4376" s="8" t="s">
        <v>66</v>
      </c>
      <c r="C4376" s="9" t="n">
        <v>360</v>
      </c>
      <c r="D4376" s="8" t="s">
        <v>21</v>
      </c>
      <c r="E4376" s="10" t="s">
        <v>66</v>
      </c>
      <c r="F4376" s="8" t="str">
        <f aca="false">TEXT(A4376,"MM-YYYY")</f>
        <v>10-2025</v>
      </c>
      <c r="G4376" s="8" t="s">
        <v>14</v>
      </c>
      <c r="H4376" s="8" t="s">
        <v>232</v>
      </c>
      <c r="I4376" s="7"/>
      <c r="J4376" s="8" t="str">
        <f aca="false">VLOOKUP(B4376, Table3[#All], 2, FALSE())</f>
        <v>Grocery</v>
      </c>
      <c r="K4376" s="8" t="str">
        <f aca="false">TEXT(ROW(), "0000")</f>
        <v>4376</v>
      </c>
      <c r="L4376" s="8"/>
    </row>
    <row r="4377" customFormat="false" ht="15.75" hidden="false" customHeight="true" outlineLevel="0" collapsed="false">
      <c r="A4377" s="7" t="n">
        <v>45950</v>
      </c>
      <c r="B4377" s="8" t="s">
        <v>34</v>
      </c>
      <c r="C4377" s="9" t="n">
        <v>50</v>
      </c>
      <c r="D4377" s="8" t="s">
        <v>45</v>
      </c>
      <c r="E4377" s="10" t="s">
        <v>154</v>
      </c>
      <c r="F4377" s="8" t="str">
        <f aca="false">TEXT(A4377,"MM-YYYY")</f>
        <v>10-2025</v>
      </c>
      <c r="G4377" s="8" t="s">
        <v>14</v>
      </c>
      <c r="H4377" s="8" t="s">
        <v>232</v>
      </c>
      <c r="I4377" s="7"/>
      <c r="J4377" s="8" t="str">
        <f aca="false">VLOOKUP(B4377, Table3[#All], 2, FALSE())</f>
        <v>Staff Expenses</v>
      </c>
      <c r="K4377" s="8" t="str">
        <f aca="false">TEXT(ROW(), "0000")</f>
        <v>4377</v>
      </c>
      <c r="L4377" s="8"/>
    </row>
    <row r="4378" customFormat="false" ht="15.75" hidden="false" customHeight="true" outlineLevel="0" collapsed="false">
      <c r="A4378" s="7" t="n">
        <v>45951</v>
      </c>
      <c r="B4378" s="8" t="s">
        <v>19</v>
      </c>
      <c r="C4378" s="9" t="n">
        <v>3702</v>
      </c>
      <c r="D4378" s="8" t="s">
        <v>13</v>
      </c>
      <c r="E4378" s="10" t="s">
        <v>473</v>
      </c>
      <c r="F4378" s="8" t="str">
        <f aca="false">TEXT(A4378,"MM-YYYY")</f>
        <v>10-2025</v>
      </c>
      <c r="G4378" s="8" t="s">
        <v>14</v>
      </c>
      <c r="H4378" s="8"/>
      <c r="I4378" s="7"/>
      <c r="J4378" s="8" t="str">
        <f aca="false">VLOOKUP(B4378, Table3[#All], 2, FALSE())</f>
        <v>Inventory</v>
      </c>
      <c r="K4378" s="8" t="str">
        <f aca="false">TEXT(ROW(), "0000")</f>
        <v>4378</v>
      </c>
      <c r="L4378" s="8"/>
    </row>
    <row r="4379" customFormat="false" ht="15.75" hidden="false" customHeight="true" outlineLevel="0" collapsed="false">
      <c r="A4379" s="7" t="n">
        <v>45951</v>
      </c>
      <c r="B4379" s="8" t="s">
        <v>25</v>
      </c>
      <c r="C4379" s="9" t="n">
        <v>1050</v>
      </c>
      <c r="D4379" s="8" t="s">
        <v>13</v>
      </c>
      <c r="E4379" s="10" t="s">
        <v>92</v>
      </c>
      <c r="F4379" s="8" t="str">
        <f aca="false">TEXT(A4379,"MM-YYYY")</f>
        <v>10-2025</v>
      </c>
      <c r="G4379" s="8" t="s">
        <v>18</v>
      </c>
      <c r="H4379" s="8"/>
      <c r="I4379" s="7"/>
      <c r="J4379" s="8" t="str">
        <f aca="false">VLOOKUP(B4379, Table3[#All], 2, FALSE())</f>
        <v>Inventory</v>
      </c>
      <c r="K4379" s="8" t="str">
        <f aca="false">TEXT(ROW(), "0000")</f>
        <v>4379</v>
      </c>
      <c r="L4379" s="8"/>
    </row>
    <row r="4380" customFormat="false" ht="15.75" hidden="false" customHeight="true" outlineLevel="0" collapsed="false">
      <c r="A4380" s="7" t="n">
        <v>45951</v>
      </c>
      <c r="B4380" s="8" t="s">
        <v>31</v>
      </c>
      <c r="C4380" s="9" t="n">
        <v>300</v>
      </c>
      <c r="D4380" s="8" t="s">
        <v>45</v>
      </c>
      <c r="E4380" s="10" t="s">
        <v>607</v>
      </c>
      <c r="F4380" s="8" t="str">
        <f aca="false">TEXT(A4380,"MM-YYYY")</f>
        <v>10-2025</v>
      </c>
      <c r="G4380" s="8" t="s">
        <v>14</v>
      </c>
      <c r="H4380" s="8" t="s">
        <v>232</v>
      </c>
      <c r="I4380" s="7"/>
      <c r="J4380" s="8" t="str">
        <f aca="false">VLOOKUP(B4380, Table3[#All], 2, FALSE())</f>
        <v>Bike Maintance</v>
      </c>
      <c r="K4380" s="8" t="str">
        <f aca="false">TEXT(ROW(), "0000")</f>
        <v>4380</v>
      </c>
      <c r="L4380" s="8"/>
    </row>
    <row r="4381" customFormat="false" ht="15.75" hidden="false" customHeight="true" outlineLevel="0" collapsed="false">
      <c r="A4381" s="7" t="n">
        <v>45951</v>
      </c>
      <c r="B4381" s="8" t="s">
        <v>56</v>
      </c>
      <c r="C4381" s="9" t="n">
        <v>500</v>
      </c>
      <c r="D4381" s="8" t="s">
        <v>45</v>
      </c>
      <c r="E4381" s="10" t="s">
        <v>608</v>
      </c>
      <c r="F4381" s="8" t="str">
        <f aca="false">TEXT(A4381,"MM-YYYY")</f>
        <v>10-2025</v>
      </c>
      <c r="G4381" s="8" t="s">
        <v>14</v>
      </c>
      <c r="H4381" s="8" t="s">
        <v>262</v>
      </c>
      <c r="I4381" s="7"/>
      <c r="J4381" s="8" t="str">
        <f aca="false">VLOOKUP(B4381, Table3[#All], 2, FALSE())</f>
        <v>New Inventory</v>
      </c>
      <c r="K4381" s="8" t="str">
        <f aca="false">TEXT(ROW(), "0000")</f>
        <v>4381</v>
      </c>
      <c r="L4381" s="8"/>
    </row>
    <row r="4382" customFormat="false" ht="15.75" hidden="false" customHeight="true" outlineLevel="0" collapsed="false">
      <c r="A4382" s="7" t="n">
        <v>45951</v>
      </c>
      <c r="B4382" s="8" t="s">
        <v>25</v>
      </c>
      <c r="C4382" s="9" t="n">
        <v>60</v>
      </c>
      <c r="D4382" s="8" t="s">
        <v>45</v>
      </c>
      <c r="E4382" s="10" t="s">
        <v>42</v>
      </c>
      <c r="F4382" s="8" t="str">
        <f aca="false">TEXT(A4382,"MM-YYYY")</f>
        <v>10-2025</v>
      </c>
      <c r="G4382" s="8" t="s">
        <v>14</v>
      </c>
      <c r="H4382" s="8" t="s">
        <v>262</v>
      </c>
      <c r="I4382" s="7"/>
      <c r="J4382" s="8" t="str">
        <f aca="false">VLOOKUP(B4382, Table3[#All], 2, FALSE())</f>
        <v>Inventory</v>
      </c>
      <c r="K4382" s="8" t="str">
        <f aca="false">TEXT(ROW(), "0000")</f>
        <v>4382</v>
      </c>
      <c r="L4382" s="8"/>
    </row>
    <row r="4383" customFormat="false" ht="15.75" hidden="false" customHeight="true" outlineLevel="0" collapsed="false">
      <c r="A4383" s="7" t="n">
        <v>45951</v>
      </c>
      <c r="B4383" s="8" t="s">
        <v>37</v>
      </c>
      <c r="C4383" s="9" t="n">
        <v>55</v>
      </c>
      <c r="D4383" s="8" t="s">
        <v>21</v>
      </c>
      <c r="E4383" s="10" t="s">
        <v>37</v>
      </c>
      <c r="F4383" s="8" t="str">
        <f aca="false">TEXT(A4383,"MM-YYYY")</f>
        <v>10-2025</v>
      </c>
      <c r="G4383" s="8" t="s">
        <v>14</v>
      </c>
      <c r="H4383" s="8" t="s">
        <v>232</v>
      </c>
      <c r="I4383" s="7"/>
      <c r="J4383" s="8" t="str">
        <f aca="false">VLOOKUP(B4383, Table3[#All], 2, FALSE())</f>
        <v>Maintance</v>
      </c>
      <c r="K4383" s="8" t="str">
        <f aca="false">TEXT(ROW(), "0000")</f>
        <v>4383</v>
      </c>
      <c r="L4383" s="8"/>
    </row>
    <row r="4384" customFormat="false" ht="15.75" hidden="false" customHeight="true" outlineLevel="0" collapsed="false">
      <c r="A4384" s="7" t="n">
        <v>45951</v>
      </c>
      <c r="B4384" s="8" t="s">
        <v>22</v>
      </c>
      <c r="C4384" s="9" t="n">
        <v>2050</v>
      </c>
      <c r="D4384" s="8" t="s">
        <v>13</v>
      </c>
      <c r="E4384" s="10" t="s">
        <v>23</v>
      </c>
      <c r="F4384" s="8" t="str">
        <f aca="false">TEXT(A4384,"MM-YYYY")</f>
        <v>10-2025</v>
      </c>
      <c r="G4384" s="8" t="s">
        <v>18</v>
      </c>
      <c r="H4384" s="8" t="s">
        <v>232</v>
      </c>
      <c r="I4384" s="7"/>
      <c r="J4384" s="8" t="str">
        <f aca="false">VLOOKUP(B4384, Table3[#All], 2, FALSE())</f>
        <v>Inventory</v>
      </c>
      <c r="K4384" s="8" t="str">
        <f aca="false">TEXT(ROW(), "0000")</f>
        <v>4384</v>
      </c>
      <c r="L4384" s="8"/>
    </row>
    <row r="4385" customFormat="false" ht="15.75" hidden="false" customHeight="true" outlineLevel="0" collapsed="false">
      <c r="A4385" s="7" t="n">
        <v>45951</v>
      </c>
      <c r="B4385" s="8" t="s">
        <v>34</v>
      </c>
      <c r="C4385" s="9" t="n">
        <v>30</v>
      </c>
      <c r="D4385" s="8" t="s">
        <v>45</v>
      </c>
      <c r="E4385" s="10" t="s">
        <v>154</v>
      </c>
      <c r="F4385" s="8" t="str">
        <f aca="false">TEXT(A4385,"MM-YYYY")</f>
        <v>10-2025</v>
      </c>
      <c r="G4385" s="8" t="s">
        <v>14</v>
      </c>
      <c r="H4385" s="8"/>
      <c r="I4385" s="7"/>
      <c r="J4385" s="8" t="str">
        <f aca="false">VLOOKUP(B4385, Table3[#All], 2, FALSE())</f>
        <v>Staff Expenses</v>
      </c>
      <c r="K4385" s="8" t="str">
        <f aca="false">TEXT(ROW(), "0000")</f>
        <v>4385</v>
      </c>
      <c r="L4385" s="8"/>
    </row>
    <row r="4386" customFormat="false" ht="15.75" hidden="false" customHeight="true" outlineLevel="0" collapsed="false">
      <c r="A4386" s="7" t="n">
        <v>45951</v>
      </c>
      <c r="B4386" s="8" t="s">
        <v>16</v>
      </c>
      <c r="C4386" s="9" t="n">
        <v>4740</v>
      </c>
      <c r="D4386" s="8" t="s">
        <v>21</v>
      </c>
      <c r="E4386" s="10" t="s">
        <v>88</v>
      </c>
      <c r="F4386" s="8" t="str">
        <f aca="false">TEXT(A4386,"MM-YYYY")</f>
        <v>10-2025</v>
      </c>
      <c r="G4386" s="8"/>
      <c r="H4386" s="8"/>
      <c r="I4386" s="7"/>
      <c r="J4386" s="8" t="str">
        <f aca="false">VLOOKUP(B4386, Table3[#All], 2, FALSE())</f>
        <v>Sales</v>
      </c>
      <c r="K4386" s="8" t="str">
        <f aca="false">TEXT(ROW(), "0000")</f>
        <v>4386</v>
      </c>
      <c r="L4386" s="8"/>
    </row>
    <row r="4387" customFormat="false" ht="15.75" hidden="false" customHeight="true" outlineLevel="0" collapsed="false">
      <c r="A4387" s="7" t="n">
        <v>45951</v>
      </c>
      <c r="B4387" s="8" t="s">
        <v>16</v>
      </c>
      <c r="C4387" s="9" t="n">
        <v>1270</v>
      </c>
      <c r="D4387" s="8" t="s">
        <v>70</v>
      </c>
      <c r="E4387" s="10" t="s">
        <v>88</v>
      </c>
      <c r="F4387" s="8" t="str">
        <f aca="false">TEXT(A4387,"MM-YYYY")</f>
        <v>10-2025</v>
      </c>
      <c r="G4387" s="8"/>
      <c r="H4387" s="8"/>
      <c r="I4387" s="7"/>
      <c r="J4387" s="8" t="str">
        <f aca="false">VLOOKUP(B4387, Table3[#All], 2, FALSE())</f>
        <v>Sales</v>
      </c>
      <c r="K4387" s="8" t="str">
        <f aca="false">TEXT(ROW(), "0000")</f>
        <v>4387</v>
      </c>
      <c r="L4387" s="8"/>
    </row>
    <row r="4388" customFormat="false" ht="15.75" hidden="false" customHeight="true" outlineLevel="0" collapsed="false">
      <c r="A4388" s="7" t="n">
        <v>45951</v>
      </c>
      <c r="B4388" s="8" t="s">
        <v>16</v>
      </c>
      <c r="C4388" s="9" t="n">
        <v>1958</v>
      </c>
      <c r="D4388" s="8" t="s">
        <v>33</v>
      </c>
      <c r="E4388" s="10" t="s">
        <v>88</v>
      </c>
      <c r="F4388" s="8" t="str">
        <f aca="false">TEXT(A4388,"MM-YYYY")</f>
        <v>10-2025</v>
      </c>
      <c r="G4388" s="8"/>
      <c r="H4388" s="8"/>
      <c r="I4388" s="7"/>
      <c r="J4388" s="8" t="str">
        <f aca="false">VLOOKUP(B4388, Table3[#All], 2, FALSE())</f>
        <v>Sales</v>
      </c>
      <c r="K4388" s="8" t="str">
        <f aca="false">TEXT(ROW(), "0000")</f>
        <v>4388</v>
      </c>
      <c r="L4388" s="8"/>
    </row>
    <row r="4389" customFormat="false" ht="15.75" hidden="false" customHeight="true" outlineLevel="0" collapsed="false">
      <c r="A4389" s="7" t="n">
        <v>45951</v>
      </c>
      <c r="B4389" s="8" t="s">
        <v>16</v>
      </c>
      <c r="C4389" s="9" t="n">
        <v>25888</v>
      </c>
      <c r="D4389" s="8" t="s">
        <v>17</v>
      </c>
      <c r="E4389" s="10" t="s">
        <v>88</v>
      </c>
      <c r="F4389" s="8" t="str">
        <f aca="false">TEXT(A4389,"MM-YYYY")</f>
        <v>10-2025</v>
      </c>
      <c r="G4389" s="8"/>
      <c r="H4389" s="8"/>
      <c r="I4389" s="7"/>
      <c r="J4389" s="8" t="str">
        <f aca="false">VLOOKUP(B4389, Table3[#All], 2, FALSE())</f>
        <v>Sales</v>
      </c>
      <c r="K4389" s="8" t="str">
        <f aca="false">TEXT(ROW(), "0000")</f>
        <v>4389</v>
      </c>
      <c r="L4389" s="8"/>
    </row>
    <row r="4390" customFormat="false" ht="15.75" hidden="false" customHeight="true" outlineLevel="0" collapsed="false">
      <c r="A4390" s="7" t="n">
        <v>45951</v>
      </c>
      <c r="B4390" s="8" t="s">
        <v>16</v>
      </c>
      <c r="C4390" s="9" t="n">
        <v>1851</v>
      </c>
      <c r="D4390" s="8" t="s">
        <v>24</v>
      </c>
      <c r="E4390" s="10" t="s">
        <v>88</v>
      </c>
      <c r="F4390" s="8" t="str">
        <f aca="false">TEXT(A4390,"MM-YYYY")</f>
        <v>10-2025</v>
      </c>
      <c r="G4390" s="8"/>
      <c r="H4390" s="8"/>
      <c r="I4390" s="7"/>
      <c r="J4390" s="8" t="str">
        <f aca="false">VLOOKUP(B4390, Table3[#All], 2, FALSE())</f>
        <v>Sales</v>
      </c>
      <c r="K4390" s="8" t="str">
        <f aca="false">TEXT(ROW(), "0000")</f>
        <v>4390</v>
      </c>
      <c r="L4390" s="8"/>
    </row>
    <row r="4391" customFormat="false" ht="15.75" hidden="false" customHeight="true" outlineLevel="0" collapsed="false">
      <c r="A4391" s="7" t="n">
        <v>45952</v>
      </c>
      <c r="B4391" s="8" t="s">
        <v>25</v>
      </c>
      <c r="C4391" s="9" t="n">
        <v>1220</v>
      </c>
      <c r="D4391" s="8" t="s">
        <v>13</v>
      </c>
      <c r="E4391" s="10" t="s">
        <v>92</v>
      </c>
      <c r="F4391" s="8" t="str">
        <f aca="false">TEXT(A4391,"MM-YYYY")</f>
        <v>10-2025</v>
      </c>
      <c r="G4391" s="8" t="s">
        <v>18</v>
      </c>
      <c r="H4391" s="8"/>
      <c r="I4391" s="7"/>
      <c r="J4391" s="8" t="str">
        <f aca="false">VLOOKUP(B4391, Table3[#All], 2, FALSE())</f>
        <v>Inventory</v>
      </c>
      <c r="K4391" s="8" t="str">
        <f aca="false">TEXT(ROW(), "0000")</f>
        <v>4391</v>
      </c>
      <c r="L4391" s="8"/>
    </row>
    <row r="4392" customFormat="false" ht="15.75" hidden="false" customHeight="true" outlineLevel="0" collapsed="false">
      <c r="A4392" s="7" t="n">
        <v>45952</v>
      </c>
      <c r="B4392" s="8" t="s">
        <v>19</v>
      </c>
      <c r="C4392" s="9" t="n">
        <v>5266</v>
      </c>
      <c r="D4392" s="8" t="s">
        <v>13</v>
      </c>
      <c r="E4392" s="10" t="s">
        <v>473</v>
      </c>
      <c r="F4392" s="8" t="str">
        <f aca="false">TEXT(A4392,"MM-YYYY")</f>
        <v>10-2025</v>
      </c>
      <c r="G4392" s="8" t="s">
        <v>14</v>
      </c>
      <c r="H4392" s="8"/>
      <c r="I4392" s="7"/>
      <c r="J4392" s="8" t="str">
        <f aca="false">VLOOKUP(B4392, Table3[#All], 2, FALSE())</f>
        <v>Inventory</v>
      </c>
      <c r="K4392" s="8" t="str">
        <f aca="false">TEXT(ROW(), "0000")</f>
        <v>4392</v>
      </c>
      <c r="L4392" s="8"/>
    </row>
    <row r="4393" customFormat="false" ht="15.75" hidden="false" customHeight="true" outlineLevel="0" collapsed="false">
      <c r="A4393" s="7" t="n">
        <v>45952</v>
      </c>
      <c r="B4393" s="8" t="s">
        <v>22</v>
      </c>
      <c r="C4393" s="9" t="n">
        <v>27552</v>
      </c>
      <c r="D4393" s="8" t="s">
        <v>13</v>
      </c>
      <c r="E4393" s="10" t="s">
        <v>23</v>
      </c>
      <c r="F4393" s="8" t="str">
        <f aca="false">TEXT(A4393,"MM-YYYY")</f>
        <v>10-2025</v>
      </c>
      <c r="G4393" s="8" t="s">
        <v>18</v>
      </c>
      <c r="H4393" s="8"/>
      <c r="I4393" s="7"/>
      <c r="J4393" s="8" t="str">
        <f aca="false">VLOOKUP(B4393, Table3[#All], 2, FALSE())</f>
        <v>Inventory</v>
      </c>
      <c r="K4393" s="8" t="str">
        <f aca="false">TEXT(ROW(), "0000")</f>
        <v>4393</v>
      </c>
      <c r="L4393" s="8"/>
    </row>
    <row r="4394" customFormat="false" ht="15.75" hidden="false" customHeight="true" outlineLevel="0" collapsed="false">
      <c r="A4394" s="7" t="n">
        <v>45952</v>
      </c>
      <c r="B4394" s="8" t="s">
        <v>202</v>
      </c>
      <c r="C4394" s="9" t="n">
        <v>90</v>
      </c>
      <c r="D4394" s="8" t="s">
        <v>45</v>
      </c>
      <c r="E4394" s="10" t="s">
        <v>609</v>
      </c>
      <c r="F4394" s="8" t="str">
        <f aca="false">TEXT(A4394,"MM-YYYY")</f>
        <v>10-2025</v>
      </c>
      <c r="G4394" s="8" t="s">
        <v>14</v>
      </c>
      <c r="H4394" s="8"/>
      <c r="I4394" s="7"/>
      <c r="J4394" s="8" t="str">
        <f aca="false">VLOOKUP(B4394, Table3[#All], 2, FALSE())</f>
        <v>Maintance</v>
      </c>
      <c r="K4394" s="8" t="str">
        <f aca="false">TEXT(ROW(), "0000")</f>
        <v>4394</v>
      </c>
      <c r="L4394" s="8"/>
    </row>
    <row r="4395" customFormat="false" ht="15.75" hidden="false" customHeight="true" outlineLevel="0" collapsed="false">
      <c r="A4395" s="7" t="n">
        <v>45952</v>
      </c>
      <c r="B4395" s="8" t="s">
        <v>40</v>
      </c>
      <c r="C4395" s="9" t="n">
        <v>1600</v>
      </c>
      <c r="D4395" s="8" t="s">
        <v>45</v>
      </c>
      <c r="E4395" s="10" t="s">
        <v>46</v>
      </c>
      <c r="F4395" s="8" t="str">
        <f aca="false">TEXT(A4395,"MM-YYYY")</f>
        <v>10-2025</v>
      </c>
      <c r="G4395" s="8" t="s">
        <v>14</v>
      </c>
      <c r="H4395" s="8"/>
      <c r="I4395" s="7"/>
      <c r="J4395" s="8" t="str">
        <f aca="false">VLOOKUP(B4395, Table3[#All], 2, FALSE())</f>
        <v>Inventory</v>
      </c>
      <c r="K4395" s="8" t="str">
        <f aca="false">TEXT(ROW(), "0000")</f>
        <v>4395</v>
      </c>
      <c r="L4395" s="8"/>
    </row>
    <row r="4396" customFormat="false" ht="15.75" hidden="false" customHeight="true" outlineLevel="0" collapsed="false">
      <c r="A4396" s="7" t="n">
        <v>45952</v>
      </c>
      <c r="B4396" s="8" t="s">
        <v>47</v>
      </c>
      <c r="C4396" s="9" t="n">
        <v>1800</v>
      </c>
      <c r="D4396" s="8" t="s">
        <v>13</v>
      </c>
      <c r="E4396" s="10" t="s">
        <v>484</v>
      </c>
      <c r="F4396" s="8" t="str">
        <f aca="false">TEXT(A4396,"MM-YYYY")</f>
        <v>10-2025</v>
      </c>
      <c r="G4396" s="8" t="s">
        <v>18</v>
      </c>
      <c r="H4396" s="8"/>
      <c r="I4396" s="7"/>
      <c r="J4396" s="8" t="str">
        <f aca="false">VLOOKUP(B4396, Table3[#All], 2, FALSE())</f>
        <v>Inventory</v>
      </c>
      <c r="K4396" s="8" t="str">
        <f aca="false">TEXT(ROW(), "0000")</f>
        <v>4396</v>
      </c>
      <c r="L4396" s="8"/>
    </row>
    <row r="4397" customFormat="false" ht="15.75" hidden="false" customHeight="true" outlineLevel="0" collapsed="false">
      <c r="A4397" s="7" t="n">
        <v>45952</v>
      </c>
      <c r="B4397" s="8" t="s">
        <v>22</v>
      </c>
      <c r="C4397" s="9" t="n">
        <v>750</v>
      </c>
      <c r="D4397" s="8" t="s">
        <v>45</v>
      </c>
      <c r="E4397" s="10" t="s">
        <v>288</v>
      </c>
      <c r="F4397" s="8" t="str">
        <f aca="false">TEXT(A4397,"MM-YYYY")</f>
        <v>10-2025</v>
      </c>
      <c r="G4397" s="8" t="s">
        <v>14</v>
      </c>
      <c r="H4397" s="8"/>
      <c r="I4397" s="7"/>
      <c r="J4397" s="8" t="str">
        <f aca="false">VLOOKUP(B4397, Table3[#All], 2, FALSE())</f>
        <v>Inventory</v>
      </c>
      <c r="K4397" s="8" t="str">
        <f aca="false">TEXT(ROW(), "0000")</f>
        <v>4397</v>
      </c>
      <c r="L4397" s="8"/>
    </row>
    <row r="4398" customFormat="false" ht="15.75" hidden="false" customHeight="true" outlineLevel="0" collapsed="false">
      <c r="A4398" s="7" t="n">
        <v>45952</v>
      </c>
      <c r="B4398" s="8" t="s">
        <v>12</v>
      </c>
      <c r="C4398" s="9" t="n">
        <v>300</v>
      </c>
      <c r="D4398" s="8" t="s">
        <v>13</v>
      </c>
      <c r="E4398" s="10" t="s">
        <v>610</v>
      </c>
      <c r="F4398" s="8" t="str">
        <f aca="false">TEXT(A4398,"MM-YYYY")</f>
        <v>10-2025</v>
      </c>
      <c r="G4398" s="8" t="s">
        <v>14</v>
      </c>
      <c r="H4398" s="8"/>
      <c r="I4398" s="7"/>
      <c r="J4398" s="8" t="str">
        <f aca="false">VLOOKUP(B4398, Table3[#All], 2, FALSE())</f>
        <v>Fixed Maintance</v>
      </c>
      <c r="K4398" s="8" t="str">
        <f aca="false">TEXT(ROW(), "0000")</f>
        <v>4398</v>
      </c>
      <c r="L4398" s="8"/>
    </row>
    <row r="4399" customFormat="false" ht="15.75" hidden="false" customHeight="true" outlineLevel="0" collapsed="false">
      <c r="A4399" s="7" t="n">
        <v>45952</v>
      </c>
      <c r="B4399" s="8" t="s">
        <v>44</v>
      </c>
      <c r="C4399" s="9" t="n">
        <v>1000</v>
      </c>
      <c r="D4399" s="8" t="s">
        <v>13</v>
      </c>
      <c r="E4399" s="10" t="s">
        <v>611</v>
      </c>
      <c r="F4399" s="8" t="str">
        <f aca="false">TEXT(A4399,"MM-YYYY")</f>
        <v>10-2025</v>
      </c>
      <c r="G4399" s="8" t="s">
        <v>14</v>
      </c>
      <c r="H4399" s="8" t="s">
        <v>13</v>
      </c>
      <c r="I4399" s="7" t="n">
        <v>45952</v>
      </c>
      <c r="J4399" s="8" t="str">
        <f aca="false">VLOOKUP(B4399, Table3[#All], 2, FALSE())</f>
        <v>Salary</v>
      </c>
      <c r="K4399" s="8" t="str">
        <f aca="false">TEXT(ROW(), "0000")</f>
        <v>4399</v>
      </c>
      <c r="L4399" s="8"/>
    </row>
    <row r="4400" customFormat="false" ht="15.75" hidden="false" customHeight="true" outlineLevel="0" collapsed="false">
      <c r="A4400" s="7" t="n">
        <v>45952</v>
      </c>
      <c r="B4400" s="8" t="s">
        <v>29</v>
      </c>
      <c r="C4400" s="9" t="n">
        <v>720</v>
      </c>
      <c r="D4400" s="8" t="s">
        <v>13</v>
      </c>
      <c r="E4400" s="10" t="s">
        <v>78</v>
      </c>
      <c r="F4400" s="8" t="str">
        <f aca="false">TEXT(A4400,"MM-YYYY")</f>
        <v>10-2025</v>
      </c>
      <c r="G4400" s="8" t="s">
        <v>14</v>
      </c>
      <c r="H4400" s="8" t="s">
        <v>232</v>
      </c>
      <c r="I4400" s="7"/>
      <c r="J4400" s="8" t="str">
        <f aca="false">VLOOKUP(B4400, Table3[#All], 2, FALSE())</f>
        <v>Inventory</v>
      </c>
      <c r="K4400" s="8" t="str">
        <f aca="false">TEXT(ROW(), "0000")</f>
        <v>4400</v>
      </c>
      <c r="L4400" s="8"/>
    </row>
    <row r="4401" customFormat="false" ht="15.75" hidden="false" customHeight="true" outlineLevel="0" collapsed="false">
      <c r="A4401" s="7" t="n">
        <v>45952</v>
      </c>
      <c r="B4401" s="8" t="s">
        <v>29</v>
      </c>
      <c r="C4401" s="9" t="n">
        <v>200</v>
      </c>
      <c r="D4401" s="8" t="s">
        <v>21</v>
      </c>
      <c r="E4401" s="10" t="s">
        <v>488</v>
      </c>
      <c r="F4401" s="8" t="str">
        <f aca="false">TEXT(A4401,"MM-YYYY")</f>
        <v>10-2025</v>
      </c>
      <c r="G4401" s="8" t="s">
        <v>14</v>
      </c>
      <c r="H4401" s="8" t="s">
        <v>232</v>
      </c>
      <c r="I4401" s="7"/>
      <c r="J4401" s="8" t="str">
        <f aca="false">VLOOKUP(B4401, Table3[#All], 2, FALSE())</f>
        <v>Inventory</v>
      </c>
      <c r="K4401" s="8" t="str">
        <f aca="false">TEXT(ROW(), "0000")</f>
        <v>4401</v>
      </c>
      <c r="L4401" s="8"/>
    </row>
    <row r="4402" customFormat="false" ht="15.75" hidden="false" customHeight="true" outlineLevel="0" collapsed="false">
      <c r="A4402" s="7" t="n">
        <v>45952</v>
      </c>
      <c r="B4402" s="8" t="s">
        <v>29</v>
      </c>
      <c r="C4402" s="9" t="n">
        <v>580</v>
      </c>
      <c r="D4402" s="8" t="s">
        <v>13</v>
      </c>
      <c r="E4402" s="10" t="s">
        <v>490</v>
      </c>
      <c r="F4402" s="8" t="str">
        <f aca="false">TEXT(A4402,"MM-YYYY")</f>
        <v>10-2025</v>
      </c>
      <c r="G4402" s="8" t="s">
        <v>18</v>
      </c>
      <c r="H4402" s="8" t="s">
        <v>232</v>
      </c>
      <c r="I4402" s="7"/>
      <c r="J4402" s="8" t="str">
        <f aca="false">VLOOKUP(B4402, Table3[#All], 2, FALSE())</f>
        <v>Inventory</v>
      </c>
      <c r="K4402" s="8" t="str">
        <f aca="false">TEXT(ROW(), "0000")</f>
        <v>4402</v>
      </c>
      <c r="L4402" s="8"/>
    </row>
    <row r="4403" customFormat="false" ht="15.75" hidden="false" customHeight="true" outlineLevel="0" collapsed="false">
      <c r="A4403" s="7" t="n">
        <v>45952</v>
      </c>
      <c r="B4403" s="8" t="s">
        <v>37</v>
      </c>
      <c r="C4403" s="9" t="n">
        <v>10</v>
      </c>
      <c r="D4403" s="8" t="s">
        <v>21</v>
      </c>
      <c r="E4403" s="10" t="s">
        <v>37</v>
      </c>
      <c r="F4403" s="8" t="str">
        <f aca="false">TEXT(A4403,"MM-YYYY")</f>
        <v>10-2025</v>
      </c>
      <c r="G4403" s="8" t="s">
        <v>14</v>
      </c>
      <c r="H4403" s="8" t="s">
        <v>262</v>
      </c>
      <c r="I4403" s="7"/>
      <c r="J4403" s="8" t="str">
        <f aca="false">VLOOKUP(B4403, Table3[#All], 2, FALSE())</f>
        <v>Maintance</v>
      </c>
      <c r="K4403" s="8" t="str">
        <f aca="false">TEXT(ROW(), "0000")</f>
        <v>4403</v>
      </c>
      <c r="L4403" s="8"/>
    </row>
    <row r="4404" customFormat="false" ht="15.75" hidden="false" customHeight="true" outlineLevel="0" collapsed="false">
      <c r="A4404" s="7" t="n">
        <v>45952</v>
      </c>
      <c r="B4404" s="8" t="s">
        <v>28</v>
      </c>
      <c r="C4404" s="9" t="n">
        <v>522</v>
      </c>
      <c r="D4404" s="8" t="s">
        <v>21</v>
      </c>
      <c r="E4404" s="10" t="s">
        <v>93</v>
      </c>
      <c r="F4404" s="8" t="str">
        <f aca="false">TEXT(A4404,"MM-YYYY")</f>
        <v>10-2025</v>
      </c>
      <c r="G4404" s="8" t="s">
        <v>14</v>
      </c>
      <c r="H4404" s="8" t="s">
        <v>262</v>
      </c>
      <c r="I4404" s="7"/>
      <c r="J4404" s="8" t="str">
        <f aca="false">VLOOKUP(B4404, Table3[#All], 2, FALSE())</f>
        <v>Grocery</v>
      </c>
      <c r="K4404" s="8" t="str">
        <f aca="false">TEXT(ROW(), "0000")</f>
        <v>4404</v>
      </c>
      <c r="L4404" s="8"/>
    </row>
    <row r="4405" customFormat="false" ht="15.75" hidden="false" customHeight="true" outlineLevel="0" collapsed="false">
      <c r="A4405" s="7" t="n">
        <v>45952</v>
      </c>
      <c r="B4405" s="8" t="s">
        <v>22</v>
      </c>
      <c r="C4405" s="9" t="n">
        <v>375</v>
      </c>
      <c r="D4405" s="8" t="s">
        <v>45</v>
      </c>
      <c r="E4405" s="10" t="s">
        <v>479</v>
      </c>
      <c r="F4405" s="8" t="str">
        <f aca="false">TEXT(A4405,"MM-YYYY")</f>
        <v>10-2025</v>
      </c>
      <c r="G4405" s="8" t="s">
        <v>14</v>
      </c>
      <c r="H4405" s="8"/>
      <c r="I4405" s="7"/>
      <c r="J4405" s="8" t="str">
        <f aca="false">VLOOKUP(B4405, Table3[#All], 2, FALSE())</f>
        <v>Inventory</v>
      </c>
      <c r="K4405" s="8" t="str">
        <f aca="false">TEXT(ROW(), "0000")</f>
        <v>4405</v>
      </c>
      <c r="L4405" s="8"/>
    </row>
    <row r="4406" customFormat="false" ht="15.75" hidden="false" customHeight="true" outlineLevel="0" collapsed="false">
      <c r="A4406" s="7" t="n">
        <v>45952</v>
      </c>
      <c r="B4406" s="8" t="s">
        <v>16</v>
      </c>
      <c r="C4406" s="9" t="n">
        <v>4335</v>
      </c>
      <c r="D4406" s="8" t="s">
        <v>21</v>
      </c>
      <c r="E4406" s="10" t="s">
        <v>612</v>
      </c>
      <c r="F4406" s="8" t="str">
        <f aca="false">TEXT(A4406,"MM-YYYY")</f>
        <v>10-2025</v>
      </c>
      <c r="G4406" s="8"/>
      <c r="H4406" s="8"/>
      <c r="I4406" s="7"/>
      <c r="J4406" s="8" t="str">
        <f aca="false">VLOOKUP(B4406, Table3[#All], 2, FALSE())</f>
        <v>Sales</v>
      </c>
      <c r="K4406" s="8" t="str">
        <f aca="false">TEXT(ROW(), "0000")</f>
        <v>4406</v>
      </c>
      <c r="L4406" s="8"/>
    </row>
    <row r="4407" customFormat="false" ht="15.75" hidden="false" customHeight="true" outlineLevel="0" collapsed="false">
      <c r="A4407" s="7" t="n">
        <v>45952</v>
      </c>
      <c r="B4407" s="8" t="s">
        <v>16</v>
      </c>
      <c r="C4407" s="9" t="n">
        <v>650</v>
      </c>
      <c r="D4407" s="8" t="s">
        <v>33</v>
      </c>
      <c r="E4407" s="10" t="s">
        <v>88</v>
      </c>
      <c r="F4407" s="8" t="str">
        <f aca="false">TEXT(A4407,"MM-YYYY")</f>
        <v>10-2025</v>
      </c>
      <c r="G4407" s="8"/>
      <c r="H4407" s="8"/>
      <c r="I4407" s="7"/>
      <c r="J4407" s="8" t="str">
        <f aca="false">VLOOKUP(B4407, Table3[#All], 2, FALSE())</f>
        <v>Sales</v>
      </c>
      <c r="K4407" s="8" t="str">
        <f aca="false">TEXT(ROW(), "0000")</f>
        <v>4407</v>
      </c>
      <c r="L4407" s="8"/>
    </row>
    <row r="4408" customFormat="false" ht="15.75" hidden="false" customHeight="true" outlineLevel="0" collapsed="false">
      <c r="A4408" s="7" t="n">
        <v>45952</v>
      </c>
      <c r="B4408" s="8" t="s">
        <v>16</v>
      </c>
      <c r="C4408" s="9" t="n">
        <v>9149</v>
      </c>
      <c r="D4408" s="8" t="s">
        <v>17</v>
      </c>
      <c r="E4408" s="10" t="s">
        <v>88</v>
      </c>
      <c r="F4408" s="8" t="str">
        <f aca="false">TEXT(A4408,"MM-YYYY")</f>
        <v>10-2025</v>
      </c>
      <c r="G4408" s="8"/>
      <c r="H4408" s="8"/>
      <c r="I4408" s="7"/>
      <c r="J4408" s="8" t="str">
        <f aca="false">VLOOKUP(B4408, Table3[#All], 2, FALSE())</f>
        <v>Sales</v>
      </c>
      <c r="K4408" s="8" t="str">
        <f aca="false">TEXT(ROW(), "0000")</f>
        <v>4408</v>
      </c>
      <c r="L4408" s="8"/>
    </row>
    <row r="4409" customFormat="false" ht="15.75" hidden="false" customHeight="true" outlineLevel="0" collapsed="false">
      <c r="A4409" s="7" t="n">
        <v>45952</v>
      </c>
      <c r="B4409" s="8" t="s">
        <v>16</v>
      </c>
      <c r="C4409" s="9" t="n">
        <v>1196</v>
      </c>
      <c r="D4409" s="8" t="s">
        <v>24</v>
      </c>
      <c r="E4409" s="10" t="s">
        <v>88</v>
      </c>
      <c r="F4409" s="8" t="str">
        <f aca="false">TEXT(A4409,"MM-YYYY")</f>
        <v>10-2025</v>
      </c>
      <c r="G4409" s="8"/>
      <c r="H4409" s="8"/>
      <c r="I4409" s="7"/>
      <c r="J4409" s="8" t="str">
        <f aca="false">VLOOKUP(B4409, Table3[#All], 2, FALSE())</f>
        <v>Sales</v>
      </c>
      <c r="K4409" s="8" t="str">
        <f aca="false">TEXT(ROW(), "0000")</f>
        <v>4409</v>
      </c>
      <c r="L4409" s="8"/>
    </row>
    <row r="4410" customFormat="false" ht="15.75" hidden="false" customHeight="true" outlineLevel="0" collapsed="false">
      <c r="A4410" s="7" t="n">
        <v>45952</v>
      </c>
      <c r="B4410" s="8" t="s">
        <v>34</v>
      </c>
      <c r="C4410" s="9" t="n">
        <v>30</v>
      </c>
      <c r="D4410" s="8" t="s">
        <v>45</v>
      </c>
      <c r="E4410" s="10" t="s">
        <v>34</v>
      </c>
      <c r="F4410" s="8" t="str">
        <f aca="false">TEXT(A4410,"MM-YYYY")</f>
        <v>10-2025</v>
      </c>
      <c r="G4410" s="8" t="s">
        <v>14</v>
      </c>
      <c r="H4410" s="8"/>
      <c r="I4410" s="7"/>
      <c r="J4410" s="8" t="str">
        <f aca="false">VLOOKUP(B4410, Table3[#All], 2, FALSE())</f>
        <v>Staff Expenses</v>
      </c>
      <c r="K4410" s="8" t="str">
        <f aca="false">TEXT(ROW(), "0000")</f>
        <v>4410</v>
      </c>
      <c r="L4410" s="8"/>
    </row>
    <row r="4411" customFormat="false" ht="15.75" hidden="false" customHeight="true" outlineLevel="0" collapsed="false">
      <c r="A4411" s="7" t="n">
        <v>45952</v>
      </c>
      <c r="B4411" s="8" t="s">
        <v>25</v>
      </c>
      <c r="C4411" s="9" t="n">
        <v>30</v>
      </c>
      <c r="D4411" s="8" t="s">
        <v>45</v>
      </c>
      <c r="E4411" s="10" t="s">
        <v>42</v>
      </c>
      <c r="F4411" s="8" t="str">
        <f aca="false">TEXT(A4411,"MM-YYYY")</f>
        <v>10-2025</v>
      </c>
      <c r="G4411" s="8" t="s">
        <v>14</v>
      </c>
      <c r="H4411" s="8"/>
      <c r="I4411" s="7"/>
      <c r="J4411" s="8" t="str">
        <f aca="false">VLOOKUP(B4411, Table3[#All], 2, FALSE())</f>
        <v>Inventory</v>
      </c>
      <c r="K4411" s="8" t="str">
        <f aca="false">TEXT(ROW(), "0000")</f>
        <v>4411</v>
      </c>
      <c r="L4411" s="8"/>
    </row>
    <row r="4412" customFormat="false" ht="15.75" hidden="false" customHeight="true" outlineLevel="0" collapsed="false">
      <c r="A4412" s="7" t="n">
        <v>45953</v>
      </c>
      <c r="B4412" s="8" t="s">
        <v>25</v>
      </c>
      <c r="C4412" s="9" t="n">
        <v>680</v>
      </c>
      <c r="D4412" s="8" t="s">
        <v>13</v>
      </c>
      <c r="E4412" s="10" t="s">
        <v>92</v>
      </c>
      <c r="F4412" s="8" t="str">
        <f aca="false">TEXT(A4412,"MM-YYYY")</f>
        <v>10-2025</v>
      </c>
      <c r="G4412" s="8" t="s">
        <v>18</v>
      </c>
      <c r="H4412" s="8"/>
      <c r="I4412" s="7"/>
      <c r="J4412" s="8" t="str">
        <f aca="false">VLOOKUP(B4412, Table3[#All], 2, FALSE())</f>
        <v>Inventory</v>
      </c>
      <c r="K4412" s="8" t="str">
        <f aca="false">TEXT(ROW(), "0000")</f>
        <v>4412</v>
      </c>
      <c r="L4412" s="8"/>
    </row>
    <row r="4413" customFormat="false" ht="15.75" hidden="false" customHeight="true" outlineLevel="0" collapsed="false">
      <c r="A4413" s="7" t="n">
        <v>45953</v>
      </c>
      <c r="B4413" s="8" t="s">
        <v>47</v>
      </c>
      <c r="C4413" s="9" t="n">
        <v>900</v>
      </c>
      <c r="D4413" s="8" t="s">
        <v>13</v>
      </c>
      <c r="E4413" s="10" t="s">
        <v>484</v>
      </c>
      <c r="F4413" s="8" t="str">
        <f aca="false">TEXT(A4413,"MM-YYYY")</f>
        <v>10-2025</v>
      </c>
      <c r="G4413" s="8" t="s">
        <v>18</v>
      </c>
      <c r="H4413" s="8"/>
      <c r="I4413" s="7"/>
      <c r="J4413" s="8" t="str">
        <f aca="false">VLOOKUP(B4413, Table3[#All], 2, FALSE())</f>
        <v>Inventory</v>
      </c>
      <c r="K4413" s="8" t="str">
        <f aca="false">TEXT(ROW(), "0000")</f>
        <v>4413</v>
      </c>
      <c r="L4413" s="8"/>
    </row>
    <row r="4414" customFormat="false" ht="15.75" hidden="false" customHeight="true" outlineLevel="0" collapsed="false">
      <c r="A4414" s="7" t="n">
        <v>45953</v>
      </c>
      <c r="B4414" s="8" t="s">
        <v>25</v>
      </c>
      <c r="C4414" s="9" t="n">
        <v>30</v>
      </c>
      <c r="D4414" s="8" t="s">
        <v>45</v>
      </c>
      <c r="E4414" s="10" t="s">
        <v>105</v>
      </c>
      <c r="F4414" s="8" t="str">
        <f aca="false">TEXT(A4414,"MM-YYYY")</f>
        <v>10-2025</v>
      </c>
      <c r="G4414" s="8" t="s">
        <v>14</v>
      </c>
      <c r="H4414" s="8"/>
      <c r="I4414" s="7"/>
      <c r="J4414" s="8" t="str">
        <f aca="false">VLOOKUP(B4414, Table3[#All], 2, FALSE())</f>
        <v>Inventory</v>
      </c>
      <c r="K4414" s="8" t="str">
        <f aca="false">TEXT(ROW(), "0000")</f>
        <v>4414</v>
      </c>
      <c r="L4414" s="8"/>
    </row>
    <row r="4415" customFormat="false" ht="15.75" hidden="false" customHeight="true" outlineLevel="0" collapsed="false">
      <c r="A4415" s="7" t="n">
        <v>45953</v>
      </c>
      <c r="B4415" s="8" t="s">
        <v>29</v>
      </c>
      <c r="C4415" s="9" t="n">
        <v>590</v>
      </c>
      <c r="D4415" s="8" t="s">
        <v>13</v>
      </c>
      <c r="E4415" s="10" t="s">
        <v>490</v>
      </c>
      <c r="F4415" s="8" t="str">
        <f aca="false">TEXT(A4415,"MM-YYYY")</f>
        <v>10-2025</v>
      </c>
      <c r="G4415" s="8" t="s">
        <v>18</v>
      </c>
      <c r="H4415" s="8"/>
      <c r="I4415" s="7"/>
      <c r="J4415" s="8" t="str">
        <f aca="false">VLOOKUP(B4415, Table3[#All], 2, FALSE())</f>
        <v>Inventory</v>
      </c>
      <c r="K4415" s="8" t="str">
        <f aca="false">TEXT(ROW(), "0000")</f>
        <v>4415</v>
      </c>
      <c r="L4415" s="8"/>
    </row>
    <row r="4416" customFormat="false" ht="15.75" hidden="false" customHeight="true" outlineLevel="0" collapsed="false">
      <c r="A4416" s="7" t="n">
        <v>45953</v>
      </c>
      <c r="B4416" s="8" t="s">
        <v>19</v>
      </c>
      <c r="C4416" s="9" t="n">
        <v>2368</v>
      </c>
      <c r="D4416" s="8" t="s">
        <v>13</v>
      </c>
      <c r="E4416" s="10" t="s">
        <v>473</v>
      </c>
      <c r="F4416" s="8" t="str">
        <f aca="false">TEXT(A4416,"MM-YYYY")</f>
        <v>10-2025</v>
      </c>
      <c r="G4416" s="8" t="s">
        <v>14</v>
      </c>
      <c r="H4416" s="8"/>
      <c r="I4416" s="7"/>
      <c r="J4416" s="8" t="str">
        <f aca="false">VLOOKUP(B4416, Table3[#All], 2, FALSE())</f>
        <v>Inventory</v>
      </c>
      <c r="K4416" s="8" t="str">
        <f aca="false">TEXT(ROW(), "0000")</f>
        <v>4416</v>
      </c>
      <c r="L4416" s="8"/>
    </row>
    <row r="4417" customFormat="false" ht="15.75" hidden="false" customHeight="true" outlineLevel="0" collapsed="false">
      <c r="A4417" s="7" t="n">
        <v>45953</v>
      </c>
      <c r="B4417" s="8" t="s">
        <v>16</v>
      </c>
      <c r="C4417" s="9" t="n">
        <v>5059</v>
      </c>
      <c r="D4417" s="8" t="s">
        <v>21</v>
      </c>
      <c r="E4417" s="10" t="s">
        <v>88</v>
      </c>
      <c r="F4417" s="8" t="str">
        <f aca="false">TEXT(A4417,"MM-YYYY")</f>
        <v>10-2025</v>
      </c>
      <c r="G4417" s="8"/>
      <c r="H4417" s="8"/>
      <c r="I4417" s="7"/>
      <c r="J4417" s="8" t="str">
        <f aca="false">VLOOKUP(B4417, Table3[#All], 2, FALSE())</f>
        <v>Sales</v>
      </c>
      <c r="K4417" s="8" t="str">
        <f aca="false">TEXT(ROW(), "0000")</f>
        <v>4417</v>
      </c>
      <c r="L4417" s="8"/>
    </row>
    <row r="4418" customFormat="false" ht="15.75" hidden="false" customHeight="true" outlineLevel="0" collapsed="false">
      <c r="A4418" s="7" t="n">
        <v>45953</v>
      </c>
      <c r="B4418" s="8" t="s">
        <v>16</v>
      </c>
      <c r="C4418" s="9" t="n">
        <v>10616</v>
      </c>
      <c r="D4418" s="8" t="s">
        <v>17</v>
      </c>
      <c r="E4418" s="10" t="s">
        <v>88</v>
      </c>
      <c r="F4418" s="8" t="str">
        <f aca="false">TEXT(A4418,"MM-YYYY")</f>
        <v>10-2025</v>
      </c>
      <c r="G4418" s="8"/>
      <c r="H4418" s="8"/>
      <c r="I4418" s="7"/>
      <c r="J4418" s="8" t="str">
        <f aca="false">VLOOKUP(B4418, Table3[#All], 2, FALSE())</f>
        <v>Sales</v>
      </c>
      <c r="K4418" s="8" t="str">
        <f aca="false">TEXT(ROW(), "0000")</f>
        <v>4418</v>
      </c>
      <c r="L4418" s="8"/>
    </row>
    <row r="4419" customFormat="false" ht="15.75" hidden="false" customHeight="true" outlineLevel="0" collapsed="false">
      <c r="A4419" s="7" t="n">
        <v>45953</v>
      </c>
      <c r="B4419" s="8" t="s">
        <v>16</v>
      </c>
      <c r="C4419" s="9" t="n">
        <v>420</v>
      </c>
      <c r="D4419" s="8" t="s">
        <v>33</v>
      </c>
      <c r="E4419" s="10" t="s">
        <v>88</v>
      </c>
      <c r="F4419" s="8" t="str">
        <f aca="false">TEXT(A4419,"MM-YYYY")</f>
        <v>10-2025</v>
      </c>
      <c r="G4419" s="8"/>
      <c r="H4419" s="8"/>
      <c r="I4419" s="7"/>
      <c r="J4419" s="8" t="str">
        <f aca="false">VLOOKUP(B4419, Table3[#All], 2, FALSE())</f>
        <v>Sales</v>
      </c>
      <c r="K4419" s="8" t="str">
        <f aca="false">TEXT(ROW(), "0000")</f>
        <v>4419</v>
      </c>
      <c r="L4419" s="8"/>
    </row>
    <row r="4420" customFormat="false" ht="15.75" hidden="false" customHeight="true" outlineLevel="0" collapsed="false">
      <c r="A4420" s="7" t="n">
        <v>45953</v>
      </c>
      <c r="B4420" s="8" t="s">
        <v>16</v>
      </c>
      <c r="C4420" s="9" t="n">
        <v>760</v>
      </c>
      <c r="D4420" s="8" t="s">
        <v>24</v>
      </c>
      <c r="E4420" s="10" t="s">
        <v>88</v>
      </c>
      <c r="F4420" s="8" t="str">
        <f aca="false">TEXT(A4420,"MM-YYYY")</f>
        <v>10-2025</v>
      </c>
      <c r="G4420" s="8"/>
      <c r="H4420" s="8"/>
      <c r="I4420" s="7"/>
      <c r="J4420" s="8" t="str">
        <f aca="false">VLOOKUP(B4420, Table3[#All], 2, FALSE())</f>
        <v>Sales</v>
      </c>
      <c r="K4420" s="8" t="str">
        <f aca="false">TEXT(ROW(), "0000")</f>
        <v>4420</v>
      </c>
      <c r="L4420" s="8"/>
    </row>
    <row r="4421" customFormat="false" ht="15.75" hidden="false" customHeight="true" outlineLevel="0" collapsed="false">
      <c r="A4421" s="7" t="n">
        <v>45953</v>
      </c>
      <c r="B4421" s="8" t="s">
        <v>37</v>
      </c>
      <c r="C4421" s="9" t="n">
        <v>10</v>
      </c>
      <c r="D4421" s="8" t="s">
        <v>21</v>
      </c>
      <c r="E4421" s="10" t="s">
        <v>37</v>
      </c>
      <c r="F4421" s="8" t="str">
        <f aca="false">TEXT(A4421,"MM-YYYY")</f>
        <v>10-2025</v>
      </c>
      <c r="G4421" s="8" t="s">
        <v>14</v>
      </c>
      <c r="H4421" s="8"/>
      <c r="I4421" s="7" t="n">
        <v>45953</v>
      </c>
      <c r="J4421" s="8" t="str">
        <f aca="false">VLOOKUP(B4421, Table3[#All], 2, FALSE())</f>
        <v>Maintance</v>
      </c>
      <c r="K4421" s="8" t="str">
        <f aca="false">TEXT(ROW(), "0000")</f>
        <v>4421</v>
      </c>
      <c r="L4421" s="8"/>
    </row>
    <row r="4422" customFormat="false" ht="15.75" hidden="false" customHeight="true" outlineLevel="0" collapsed="false">
      <c r="A4422" s="7" t="n">
        <v>45953</v>
      </c>
      <c r="B4422" s="8" t="s">
        <v>16</v>
      </c>
      <c r="C4422" s="9" t="n">
        <v>1555</v>
      </c>
      <c r="D4422" s="8" t="s">
        <v>59</v>
      </c>
      <c r="E4422" s="10" t="s">
        <v>88</v>
      </c>
      <c r="F4422" s="8" t="str">
        <f aca="false">TEXT(A4422,"MM-YYYY")</f>
        <v>10-2025</v>
      </c>
      <c r="G4422" s="8"/>
      <c r="H4422" s="8"/>
      <c r="I4422" s="7"/>
      <c r="J4422" s="8" t="str">
        <f aca="false">VLOOKUP(B4422, Table3[#All], 2, FALSE())</f>
        <v>Sales</v>
      </c>
      <c r="K4422" s="8" t="str">
        <f aca="false">TEXT(ROW(), "0000")</f>
        <v>4422</v>
      </c>
      <c r="L4422" s="8"/>
    </row>
    <row r="4423" customFormat="false" ht="15.75" hidden="false" customHeight="true" outlineLevel="0" collapsed="false">
      <c r="A4423" s="7" t="n">
        <v>45954</v>
      </c>
      <c r="B4423" s="8" t="s">
        <v>25</v>
      </c>
      <c r="C4423" s="9" t="n">
        <v>1110</v>
      </c>
      <c r="D4423" s="8" t="s">
        <v>13</v>
      </c>
      <c r="E4423" s="10" t="s">
        <v>92</v>
      </c>
      <c r="F4423" s="8" t="str">
        <f aca="false">TEXT(A4423,"MM-YYYY")</f>
        <v>10-2025</v>
      </c>
      <c r="G4423" s="8" t="s">
        <v>14</v>
      </c>
      <c r="H4423" s="8"/>
      <c r="I4423" s="7" t="n">
        <v>45954</v>
      </c>
      <c r="J4423" s="8" t="str">
        <f aca="false">VLOOKUP(B4423, Table3[#All], 2, FALSE())</f>
        <v>Inventory</v>
      </c>
      <c r="K4423" s="8" t="str">
        <f aca="false">TEXT(ROW(), "0000")</f>
        <v>4423</v>
      </c>
      <c r="L4423" s="8"/>
    </row>
    <row r="4424" customFormat="false" ht="15.75" hidden="false" customHeight="true" outlineLevel="0" collapsed="false">
      <c r="A4424" s="7" t="n">
        <v>45954</v>
      </c>
      <c r="B4424" s="8" t="s">
        <v>19</v>
      </c>
      <c r="C4424" s="9" t="n">
        <v>4332</v>
      </c>
      <c r="D4424" s="8" t="s">
        <v>13</v>
      </c>
      <c r="E4424" s="10" t="s">
        <v>473</v>
      </c>
      <c r="F4424" s="8" t="str">
        <f aca="false">TEXT(A4424,"MM-YYYY")</f>
        <v>10-2025</v>
      </c>
      <c r="G4424" s="8" t="s">
        <v>14</v>
      </c>
      <c r="H4424" s="8"/>
      <c r="I4424" s="7"/>
      <c r="J4424" s="8" t="str">
        <f aca="false">VLOOKUP(B4424, Table3[#All], 2, FALSE())</f>
        <v>Inventory</v>
      </c>
      <c r="K4424" s="8" t="str">
        <f aca="false">TEXT(ROW(), "0000")</f>
        <v>4424</v>
      </c>
      <c r="L4424" s="8"/>
    </row>
    <row r="4425" customFormat="false" ht="15.75" hidden="false" customHeight="true" outlineLevel="0" collapsed="false">
      <c r="A4425" s="7" t="n">
        <v>45954</v>
      </c>
      <c r="B4425" s="8" t="s">
        <v>29</v>
      </c>
      <c r="C4425" s="9" t="n">
        <v>12000</v>
      </c>
      <c r="D4425" s="8" t="s">
        <v>45</v>
      </c>
      <c r="E4425" s="10" t="s">
        <v>490</v>
      </c>
      <c r="F4425" s="8" t="str">
        <f aca="false">TEXT(A4425,"MM-YYYY")</f>
        <v>10-2025</v>
      </c>
      <c r="G4425" s="8" t="s">
        <v>14</v>
      </c>
      <c r="H4425" s="8"/>
      <c r="I4425" s="7" t="n">
        <v>45954</v>
      </c>
      <c r="J4425" s="8" t="str">
        <f aca="false">VLOOKUP(B4425, Table3[#All], 2, FALSE())</f>
        <v>Inventory</v>
      </c>
      <c r="K4425" s="8" t="str">
        <f aca="false">TEXT(ROW(), "0000")</f>
        <v>4425</v>
      </c>
      <c r="L4425" s="8"/>
    </row>
    <row r="4426" customFormat="false" ht="15.75" hidden="false" customHeight="true" outlineLevel="0" collapsed="false">
      <c r="A4426" s="7" t="n">
        <v>45954</v>
      </c>
      <c r="B4426" s="8" t="s">
        <v>53</v>
      </c>
      <c r="C4426" s="9" t="n">
        <v>925</v>
      </c>
      <c r="D4426" s="8" t="s">
        <v>13</v>
      </c>
      <c r="E4426" s="10" t="s">
        <v>55</v>
      </c>
      <c r="F4426" s="8" t="str">
        <f aca="false">TEXT(A4426,"MM-YYYY")</f>
        <v>10-2025</v>
      </c>
      <c r="G4426" s="8" t="s">
        <v>14</v>
      </c>
      <c r="H4426" s="8" t="s">
        <v>232</v>
      </c>
      <c r="I4426" s="7" t="n">
        <v>45954</v>
      </c>
      <c r="J4426" s="8" t="str">
        <f aca="false">VLOOKUP(B4426, Table3[#All], 2, FALSE())</f>
        <v>Grocery</v>
      </c>
      <c r="K4426" s="8" t="str">
        <f aca="false">TEXT(ROW(), "0000")</f>
        <v>4426</v>
      </c>
      <c r="L4426" s="8"/>
    </row>
    <row r="4427" customFormat="false" ht="15.75" hidden="false" customHeight="true" outlineLevel="0" collapsed="false">
      <c r="A4427" s="7" t="n">
        <v>45954</v>
      </c>
      <c r="B4427" s="8" t="s">
        <v>56</v>
      </c>
      <c r="C4427" s="9" t="n">
        <v>500</v>
      </c>
      <c r="D4427" s="8" t="s">
        <v>21</v>
      </c>
      <c r="E4427" s="10" t="s">
        <v>613</v>
      </c>
      <c r="F4427" s="8" t="str">
        <f aca="false">TEXT(A4427,"MM-YYYY")</f>
        <v>10-2025</v>
      </c>
      <c r="G4427" s="8" t="s">
        <v>14</v>
      </c>
      <c r="H4427" s="8" t="s">
        <v>232</v>
      </c>
      <c r="I4427" s="7"/>
      <c r="J4427" s="8" t="str">
        <f aca="false">VLOOKUP(B4427, Table3[#All], 2, FALSE())</f>
        <v>New Inventory</v>
      </c>
      <c r="K4427" s="8" t="str">
        <f aca="false">TEXT(ROW(), "0000")</f>
        <v>4427</v>
      </c>
      <c r="L4427" s="8"/>
    </row>
    <row r="4428" customFormat="false" ht="15.75" hidden="false" customHeight="true" outlineLevel="0" collapsed="false">
      <c r="A4428" s="7" t="n">
        <v>45954</v>
      </c>
      <c r="B4428" s="8" t="s">
        <v>12</v>
      </c>
      <c r="C4428" s="9" t="n">
        <v>250</v>
      </c>
      <c r="D4428" s="8" t="s">
        <v>45</v>
      </c>
      <c r="E4428" s="10" t="s">
        <v>614</v>
      </c>
      <c r="F4428" s="8" t="str">
        <f aca="false">TEXT(A4428,"MM-YYYY")</f>
        <v>10-2025</v>
      </c>
      <c r="G4428" s="8" t="s">
        <v>14</v>
      </c>
      <c r="H4428" s="8" t="s">
        <v>232</v>
      </c>
      <c r="I4428" s="7"/>
      <c r="J4428" s="8" t="str">
        <f aca="false">VLOOKUP(B4428, Table3[#All], 2, FALSE())</f>
        <v>Fixed Maintance</v>
      </c>
      <c r="K4428" s="8" t="str">
        <f aca="false">TEXT(ROW(), "0000")</f>
        <v>4428</v>
      </c>
      <c r="L4428" s="8"/>
    </row>
    <row r="4429" customFormat="false" ht="15.75" hidden="false" customHeight="true" outlineLevel="0" collapsed="false">
      <c r="A4429" s="7" t="n">
        <v>45954</v>
      </c>
      <c r="B4429" s="8" t="s">
        <v>29</v>
      </c>
      <c r="C4429" s="9" t="n">
        <v>710</v>
      </c>
      <c r="D4429" s="8" t="s">
        <v>13</v>
      </c>
      <c r="E4429" s="10" t="s">
        <v>490</v>
      </c>
      <c r="F4429" s="8" t="str">
        <f aca="false">TEXT(A4429,"MM-YYYY")</f>
        <v>10-2025</v>
      </c>
      <c r="G4429" s="8" t="s">
        <v>14</v>
      </c>
      <c r="H4429" s="8" t="s">
        <v>232</v>
      </c>
      <c r="I4429" s="7"/>
      <c r="J4429" s="8" t="str">
        <f aca="false">VLOOKUP(B4429, Table3[#All], 2, FALSE())</f>
        <v>Inventory</v>
      </c>
      <c r="K4429" s="8" t="str">
        <f aca="false">TEXT(ROW(), "0000")</f>
        <v>4429</v>
      </c>
      <c r="L4429" s="8"/>
    </row>
    <row r="4430" customFormat="false" ht="15.75" hidden="false" customHeight="true" outlineLevel="0" collapsed="false">
      <c r="A4430" s="7" t="n">
        <v>45954</v>
      </c>
      <c r="B4430" s="8" t="s">
        <v>56</v>
      </c>
      <c r="C4430" s="9" t="n">
        <v>80</v>
      </c>
      <c r="D4430" s="8" t="s">
        <v>45</v>
      </c>
      <c r="E4430" s="10" t="s">
        <v>615</v>
      </c>
      <c r="F4430" s="8" t="str">
        <f aca="false">TEXT(A4430,"MM-YYYY")</f>
        <v>10-2025</v>
      </c>
      <c r="G4430" s="8" t="s">
        <v>14</v>
      </c>
      <c r="H4430" s="8" t="s">
        <v>232</v>
      </c>
      <c r="I4430" s="7"/>
      <c r="J4430" s="8" t="str">
        <f aca="false">VLOOKUP(B4430, Table3[#All], 2, FALSE())</f>
        <v>New Inventory</v>
      </c>
      <c r="K4430" s="8" t="str">
        <f aca="false">TEXT(ROW(), "0000")</f>
        <v>4430</v>
      </c>
      <c r="L4430" s="8"/>
    </row>
    <row r="4431" customFormat="false" ht="15.75" hidden="false" customHeight="true" outlineLevel="0" collapsed="false">
      <c r="A4431" s="7" t="n">
        <v>45954</v>
      </c>
      <c r="B4431" s="8" t="s">
        <v>28</v>
      </c>
      <c r="C4431" s="9" t="n">
        <v>350</v>
      </c>
      <c r="D4431" s="8" t="s">
        <v>21</v>
      </c>
      <c r="E4431" s="10" t="s">
        <v>93</v>
      </c>
      <c r="F4431" s="8" t="str">
        <f aca="false">TEXT(A4431,"MM-YYYY")</f>
        <v>10-2025</v>
      </c>
      <c r="G4431" s="8" t="s">
        <v>14</v>
      </c>
      <c r="H4431" s="8" t="s">
        <v>232</v>
      </c>
      <c r="I4431" s="7" t="n">
        <v>45954</v>
      </c>
      <c r="J4431" s="8" t="str">
        <f aca="false">VLOOKUP(B4431, Table3[#All], 2, FALSE())</f>
        <v>Grocery</v>
      </c>
      <c r="K4431" s="8" t="str">
        <f aca="false">TEXT(ROW(), "0000")</f>
        <v>4431</v>
      </c>
      <c r="L4431" s="8"/>
    </row>
    <row r="4432" customFormat="false" ht="15.75" hidden="false" customHeight="true" outlineLevel="0" collapsed="false">
      <c r="A4432" s="7" t="n">
        <v>45954</v>
      </c>
      <c r="B4432" s="8" t="s">
        <v>34</v>
      </c>
      <c r="C4432" s="9" t="n">
        <v>30</v>
      </c>
      <c r="D4432" s="8" t="s">
        <v>45</v>
      </c>
      <c r="E4432" s="10" t="s">
        <v>34</v>
      </c>
      <c r="F4432" s="8" t="str">
        <f aca="false">TEXT(A4432,"MM-YYYY")</f>
        <v>10-2025</v>
      </c>
      <c r="G4432" s="8" t="s">
        <v>14</v>
      </c>
      <c r="H4432" s="8" t="s">
        <v>232</v>
      </c>
      <c r="I4432" s="7"/>
      <c r="J4432" s="8" t="str">
        <f aca="false">VLOOKUP(B4432, Table3[#All], 2, FALSE())</f>
        <v>Staff Expenses</v>
      </c>
      <c r="K4432" s="8" t="str">
        <f aca="false">TEXT(ROW(), "0000")</f>
        <v>4432</v>
      </c>
      <c r="L4432" s="8"/>
    </row>
    <row r="4433" customFormat="false" ht="15.75" hidden="false" customHeight="true" outlineLevel="0" collapsed="false">
      <c r="A4433" s="7" t="n">
        <v>45954</v>
      </c>
      <c r="B4433" s="8" t="s">
        <v>37</v>
      </c>
      <c r="C4433" s="9" t="n">
        <v>40</v>
      </c>
      <c r="D4433" s="8" t="s">
        <v>21</v>
      </c>
      <c r="E4433" s="10" t="s">
        <v>37</v>
      </c>
      <c r="F4433" s="8" t="str">
        <f aca="false">TEXT(A4433,"MM-YYYY")</f>
        <v>10-2025</v>
      </c>
      <c r="G4433" s="8" t="s">
        <v>14</v>
      </c>
      <c r="H4433" s="8" t="s">
        <v>262</v>
      </c>
      <c r="I4433" s="7"/>
      <c r="J4433" s="8" t="str">
        <f aca="false">VLOOKUP(B4433, Table3[#All], 2, FALSE())</f>
        <v>Maintance</v>
      </c>
      <c r="K4433" s="8" t="str">
        <f aca="false">TEXT(ROW(), "0000")</f>
        <v>4433</v>
      </c>
      <c r="L4433" s="8"/>
    </row>
    <row r="4434" customFormat="false" ht="15.75" hidden="false" customHeight="true" outlineLevel="0" collapsed="false">
      <c r="A4434" s="7" t="n">
        <v>45954</v>
      </c>
      <c r="B4434" s="8" t="s">
        <v>25</v>
      </c>
      <c r="C4434" s="9" t="n">
        <v>30</v>
      </c>
      <c r="D4434" s="8" t="s">
        <v>45</v>
      </c>
      <c r="E4434" s="10" t="s">
        <v>616</v>
      </c>
      <c r="F4434" s="8" t="str">
        <f aca="false">TEXT(A4434,"MM-YYYY")</f>
        <v>10-2025</v>
      </c>
      <c r="G4434" s="8" t="s">
        <v>14</v>
      </c>
      <c r="H4434" s="8" t="s">
        <v>232</v>
      </c>
      <c r="I4434" s="7"/>
      <c r="J4434" s="8" t="str">
        <f aca="false">VLOOKUP(B4434, Table3[#All], 2, FALSE())</f>
        <v>Inventory</v>
      </c>
      <c r="K4434" s="8" t="str">
        <f aca="false">TEXT(ROW(), "0000")</f>
        <v>4434</v>
      </c>
      <c r="L4434" s="8"/>
    </row>
    <row r="4435" customFormat="false" ht="15.75" hidden="false" customHeight="true" outlineLevel="0" collapsed="false">
      <c r="A4435" s="7" t="n">
        <v>45954</v>
      </c>
      <c r="B4435" s="8" t="s">
        <v>16</v>
      </c>
      <c r="C4435" s="9" t="n">
        <v>3110</v>
      </c>
      <c r="D4435" s="8" t="s">
        <v>21</v>
      </c>
      <c r="E4435" s="10" t="s">
        <v>88</v>
      </c>
      <c r="F4435" s="8" t="str">
        <f aca="false">TEXT(A4435,"MM-YYYY")</f>
        <v>10-2025</v>
      </c>
      <c r="G4435" s="8"/>
      <c r="H4435" s="8"/>
      <c r="I4435" s="7"/>
      <c r="J4435" s="8" t="str">
        <f aca="false">VLOOKUP(B4435, Table3[#All], 2, FALSE())</f>
        <v>Sales</v>
      </c>
      <c r="K4435" s="8" t="str">
        <f aca="false">TEXT(ROW(), "0000")</f>
        <v>4435</v>
      </c>
      <c r="L4435" s="8"/>
    </row>
    <row r="4436" customFormat="false" ht="15.75" hidden="false" customHeight="true" outlineLevel="0" collapsed="false">
      <c r="A4436" s="7" t="n">
        <v>45954</v>
      </c>
      <c r="B4436" s="8" t="s">
        <v>16</v>
      </c>
      <c r="C4436" s="9" t="n">
        <v>3964</v>
      </c>
      <c r="D4436" s="8" t="s">
        <v>27</v>
      </c>
      <c r="E4436" s="10" t="s">
        <v>88</v>
      </c>
      <c r="F4436" s="8" t="str">
        <f aca="false">TEXT(A4436,"MM-YYYY")</f>
        <v>10-2025</v>
      </c>
      <c r="G4436" s="8"/>
      <c r="H4436" s="8"/>
      <c r="I4436" s="7"/>
      <c r="J4436" s="8" t="str">
        <f aca="false">VLOOKUP(B4436, Table3[#All], 2, FALSE())</f>
        <v>Sales</v>
      </c>
      <c r="K4436" s="8" t="str">
        <f aca="false">TEXT(ROW(), "0000")</f>
        <v>4436</v>
      </c>
      <c r="L4436" s="8"/>
    </row>
    <row r="4437" customFormat="false" ht="15.75" hidden="false" customHeight="true" outlineLevel="0" collapsed="false">
      <c r="A4437" s="7" t="n">
        <v>45954</v>
      </c>
      <c r="B4437" s="8" t="s">
        <v>16</v>
      </c>
      <c r="C4437" s="9" t="n">
        <v>1269</v>
      </c>
      <c r="D4437" s="8" t="s">
        <v>33</v>
      </c>
      <c r="E4437" s="10" t="s">
        <v>88</v>
      </c>
      <c r="F4437" s="8" t="str">
        <f aca="false">TEXT(A4437,"MM-YYYY")</f>
        <v>10-2025</v>
      </c>
      <c r="G4437" s="8"/>
      <c r="H4437" s="8"/>
      <c r="I4437" s="7"/>
      <c r="J4437" s="8" t="str">
        <f aca="false">VLOOKUP(B4437, Table3[#All], 2, FALSE())</f>
        <v>Sales</v>
      </c>
      <c r="K4437" s="8" t="str">
        <f aca="false">TEXT(ROW(), "0000")</f>
        <v>4437</v>
      </c>
      <c r="L4437" s="8"/>
    </row>
    <row r="4438" customFormat="false" ht="15.75" hidden="false" customHeight="true" outlineLevel="0" collapsed="false">
      <c r="A4438" s="7" t="n">
        <v>45954</v>
      </c>
      <c r="B4438" s="8" t="s">
        <v>16</v>
      </c>
      <c r="C4438" s="9" t="n">
        <v>9144</v>
      </c>
      <c r="D4438" s="8" t="s">
        <v>17</v>
      </c>
      <c r="E4438" s="10" t="s">
        <v>88</v>
      </c>
      <c r="F4438" s="8" t="str">
        <f aca="false">TEXT(A4438,"MM-YYYY")</f>
        <v>10-2025</v>
      </c>
      <c r="G4438" s="8"/>
      <c r="H4438" s="8"/>
      <c r="I4438" s="7"/>
      <c r="J4438" s="8" t="str">
        <f aca="false">VLOOKUP(B4438, Table3[#All], 2, FALSE())</f>
        <v>Sales</v>
      </c>
      <c r="K4438" s="8" t="str">
        <f aca="false">TEXT(ROW(), "0000")</f>
        <v>4438</v>
      </c>
      <c r="L4438" s="8"/>
    </row>
    <row r="4439" customFormat="false" ht="15.75" hidden="false" customHeight="true" outlineLevel="0" collapsed="false">
      <c r="A4439" s="7" t="n">
        <v>45954</v>
      </c>
      <c r="B4439" s="8" t="s">
        <v>16</v>
      </c>
      <c r="C4439" s="9" t="n">
        <v>500</v>
      </c>
      <c r="D4439" s="8" t="s">
        <v>59</v>
      </c>
      <c r="E4439" s="10" t="s">
        <v>88</v>
      </c>
      <c r="F4439" s="8" t="str">
        <f aca="false">TEXT(A4439,"MM-YYYY")</f>
        <v>10-2025</v>
      </c>
      <c r="G4439" s="8"/>
      <c r="H4439" s="8"/>
      <c r="I4439" s="7"/>
      <c r="J4439" s="8" t="str">
        <f aca="false">VLOOKUP(B4439, Table3[#All], 2, FALSE())</f>
        <v>Sales</v>
      </c>
      <c r="K4439" s="8" t="str">
        <f aca="false">TEXT(ROW(), "0000")</f>
        <v>4439</v>
      </c>
      <c r="L4439" s="8"/>
    </row>
    <row r="4440" customFormat="false" ht="15.75" hidden="false" customHeight="true" outlineLevel="0" collapsed="false">
      <c r="A4440" s="7" t="n">
        <v>45954</v>
      </c>
      <c r="B4440" s="8" t="s">
        <v>16</v>
      </c>
      <c r="C4440" s="9" t="n">
        <v>1644</v>
      </c>
      <c r="D4440" s="8" t="s">
        <v>24</v>
      </c>
      <c r="E4440" s="10" t="s">
        <v>88</v>
      </c>
      <c r="F4440" s="8" t="str">
        <f aca="false">TEXT(A4440,"MM-YYYY")</f>
        <v>10-2025</v>
      </c>
      <c r="G4440" s="8"/>
      <c r="H4440" s="8"/>
      <c r="I4440" s="7"/>
      <c r="J4440" s="8" t="str">
        <f aca="false">VLOOKUP(B4440, Table3[#All], 2, FALSE())</f>
        <v>Sales</v>
      </c>
      <c r="K4440" s="8" t="str">
        <f aca="false">TEXT(ROW(), "0000")</f>
        <v>4440</v>
      </c>
      <c r="L4440" s="8"/>
    </row>
    <row r="4441" customFormat="false" ht="15.75" hidden="false" customHeight="true" outlineLevel="0" collapsed="false">
      <c r="A4441" s="7" t="n">
        <v>45954</v>
      </c>
      <c r="B4441" s="8" t="s">
        <v>29</v>
      </c>
      <c r="C4441" s="9" t="n">
        <v>20</v>
      </c>
      <c r="D4441" s="8" t="s">
        <v>21</v>
      </c>
      <c r="E4441" s="10" t="s">
        <v>468</v>
      </c>
      <c r="F4441" s="8" t="str">
        <f aca="false">TEXT(A4441,"MM-YYYY")</f>
        <v>10-2025</v>
      </c>
      <c r="G4441" s="8" t="s">
        <v>14</v>
      </c>
      <c r="H4441" s="8" t="s">
        <v>232</v>
      </c>
      <c r="I4441" s="7"/>
      <c r="J4441" s="8" t="str">
        <f aca="false">VLOOKUP(B4441, Table3[#All], 2, FALSE())</f>
        <v>Inventory</v>
      </c>
      <c r="K4441" s="8" t="str">
        <f aca="false">TEXT(ROW(), "0000")</f>
        <v>4441</v>
      </c>
      <c r="L4441" s="8"/>
    </row>
    <row r="4442" customFormat="false" ht="15.75" hidden="false" customHeight="true" outlineLevel="0" collapsed="false">
      <c r="A4442" s="7" t="n">
        <v>45955</v>
      </c>
      <c r="B4442" s="8" t="s">
        <v>44</v>
      </c>
      <c r="C4442" s="9" t="n">
        <v>540</v>
      </c>
      <c r="D4442" s="8" t="s">
        <v>21</v>
      </c>
      <c r="E4442" s="10" t="s">
        <v>617</v>
      </c>
      <c r="F4442" s="8" t="str">
        <f aca="false">TEXT(A4442,"MM-YYYY")</f>
        <v>10-2025</v>
      </c>
      <c r="G4442" s="8" t="s">
        <v>14</v>
      </c>
      <c r="H4442" s="8" t="s">
        <v>262</v>
      </c>
      <c r="I4442" s="7"/>
      <c r="J4442" s="8" t="str">
        <f aca="false">VLOOKUP(B4442, Table3[#All], 2, FALSE())</f>
        <v>Salary</v>
      </c>
      <c r="K4442" s="8" t="str">
        <f aca="false">TEXT(ROW(), "0000")</f>
        <v>4442</v>
      </c>
      <c r="L4442" s="8"/>
    </row>
    <row r="4443" customFormat="false" ht="15.75" hidden="false" customHeight="true" outlineLevel="0" collapsed="false">
      <c r="A4443" s="7" t="n">
        <v>45955</v>
      </c>
      <c r="B4443" s="8" t="s">
        <v>25</v>
      </c>
      <c r="C4443" s="9" t="n">
        <v>410</v>
      </c>
      <c r="D4443" s="8" t="s">
        <v>13</v>
      </c>
      <c r="E4443" s="10" t="s">
        <v>92</v>
      </c>
      <c r="F4443" s="8" t="str">
        <f aca="false">TEXT(A4443,"MM-YYYY")</f>
        <v>10-2025</v>
      </c>
      <c r="G4443" s="8" t="s">
        <v>18</v>
      </c>
      <c r="H4443" s="8"/>
      <c r="I4443" s="7"/>
      <c r="J4443" s="8" t="str">
        <f aca="false">VLOOKUP(B4443, Table3[#All], 2, FALSE())</f>
        <v>Inventory</v>
      </c>
      <c r="K4443" s="8" t="str">
        <f aca="false">TEXT(ROW(), "0000")</f>
        <v>4443</v>
      </c>
      <c r="L4443" s="8"/>
    </row>
    <row r="4444" customFormat="false" ht="15.75" hidden="false" customHeight="true" outlineLevel="0" collapsed="false">
      <c r="A4444" s="7" t="n">
        <v>45955</v>
      </c>
      <c r="B4444" s="8" t="s">
        <v>19</v>
      </c>
      <c r="C4444" s="9" t="n">
        <v>3375</v>
      </c>
      <c r="D4444" s="8" t="s">
        <v>13</v>
      </c>
      <c r="E4444" s="10" t="s">
        <v>473</v>
      </c>
      <c r="F4444" s="8" t="str">
        <f aca="false">TEXT(A4444,"MM-YYYY")</f>
        <v>10-2025</v>
      </c>
      <c r="G4444" s="8" t="s">
        <v>14</v>
      </c>
      <c r="H4444" s="8"/>
      <c r="I4444" s="7"/>
      <c r="J4444" s="8" t="str">
        <f aca="false">VLOOKUP(B4444, Table3[#All], 2, FALSE())</f>
        <v>Inventory</v>
      </c>
      <c r="K4444" s="8" t="str">
        <f aca="false">TEXT(ROW(), "0000")</f>
        <v>4444</v>
      </c>
      <c r="L4444" s="8"/>
    </row>
    <row r="4445" customFormat="false" ht="15.75" hidden="false" customHeight="true" outlineLevel="0" collapsed="false">
      <c r="A4445" s="7" t="n">
        <v>45955</v>
      </c>
      <c r="B4445" s="8" t="s">
        <v>22</v>
      </c>
      <c r="C4445" s="9" t="n">
        <v>580</v>
      </c>
      <c r="D4445" s="8" t="s">
        <v>45</v>
      </c>
      <c r="E4445" s="10" t="s">
        <v>618</v>
      </c>
      <c r="F4445" s="8" t="str">
        <f aca="false">TEXT(A4445,"MM-YYYY")</f>
        <v>10-2025</v>
      </c>
      <c r="G4445" s="8" t="s">
        <v>14</v>
      </c>
      <c r="H4445" s="8"/>
      <c r="I4445" s="7"/>
      <c r="J4445" s="8" t="str">
        <f aca="false">VLOOKUP(B4445, Table3[#All], 2, FALSE())</f>
        <v>Inventory</v>
      </c>
      <c r="K4445" s="8" t="str">
        <f aca="false">TEXT(ROW(), "0000")</f>
        <v>4445</v>
      </c>
      <c r="L4445" s="8"/>
    </row>
    <row r="4446" customFormat="false" ht="15.75" hidden="false" customHeight="true" outlineLevel="0" collapsed="false">
      <c r="A4446" s="7" t="n">
        <v>45955</v>
      </c>
      <c r="B4446" s="8" t="s">
        <v>53</v>
      </c>
      <c r="C4446" s="9" t="n">
        <v>2327</v>
      </c>
      <c r="D4446" s="8" t="s">
        <v>13</v>
      </c>
      <c r="E4446" s="10" t="s">
        <v>458</v>
      </c>
      <c r="F4446" s="8" t="str">
        <f aca="false">TEXT(A4446,"MM-YYYY")</f>
        <v>10-2025</v>
      </c>
      <c r="G4446" s="8" t="s">
        <v>14</v>
      </c>
      <c r="H4446" s="8" t="s">
        <v>232</v>
      </c>
      <c r="I4446" s="7" t="n">
        <v>45955</v>
      </c>
      <c r="J4446" s="8" t="str">
        <f aca="false">VLOOKUP(B4446, Table3[#All], 2, FALSE())</f>
        <v>Grocery</v>
      </c>
      <c r="K4446" s="8" t="str">
        <f aca="false">TEXT(ROW(), "0000")</f>
        <v>4446</v>
      </c>
      <c r="L4446" s="8"/>
    </row>
    <row r="4447" customFormat="false" ht="15.75" hidden="false" customHeight="true" outlineLevel="0" collapsed="false">
      <c r="A4447" s="7" t="n">
        <v>45955</v>
      </c>
      <c r="B4447" s="8" t="s">
        <v>29</v>
      </c>
      <c r="C4447" s="9" t="n">
        <v>200</v>
      </c>
      <c r="D4447" s="8" t="s">
        <v>21</v>
      </c>
      <c r="E4447" s="10" t="s">
        <v>619</v>
      </c>
      <c r="F4447" s="8" t="str">
        <f aca="false">TEXT(A4447,"MM-YYYY")</f>
        <v>10-2025</v>
      </c>
      <c r="G4447" s="8" t="s">
        <v>14</v>
      </c>
      <c r="H4447" s="8" t="s">
        <v>262</v>
      </c>
      <c r="I4447" s="7"/>
      <c r="J4447" s="8" t="str">
        <f aca="false">VLOOKUP(B4447, Table3[#All], 2, FALSE())</f>
        <v>Inventory</v>
      </c>
      <c r="K4447" s="8" t="str">
        <f aca="false">TEXT(ROW(), "0000")</f>
        <v>4447</v>
      </c>
      <c r="L4447" s="8"/>
    </row>
    <row r="4448" customFormat="false" ht="15.75" hidden="false" customHeight="true" outlineLevel="0" collapsed="false">
      <c r="A4448" s="7" t="n">
        <v>45955</v>
      </c>
      <c r="B4448" s="8" t="s">
        <v>29</v>
      </c>
      <c r="C4448" s="9" t="n">
        <v>80</v>
      </c>
      <c r="D4448" s="8" t="s">
        <v>45</v>
      </c>
      <c r="E4448" s="10" t="s">
        <v>41</v>
      </c>
      <c r="F4448" s="8" t="str">
        <f aca="false">TEXT(A4448,"MM-YYYY")</f>
        <v>10-2025</v>
      </c>
      <c r="G4448" s="8" t="s">
        <v>14</v>
      </c>
      <c r="H4448" s="8" t="s">
        <v>232</v>
      </c>
      <c r="I4448" s="7"/>
      <c r="J4448" s="8" t="str">
        <f aca="false">VLOOKUP(B4448, Table3[#All], 2, FALSE())</f>
        <v>Inventory</v>
      </c>
      <c r="K4448" s="8" t="str">
        <f aca="false">TEXT(ROW(), "0000")</f>
        <v>4448</v>
      </c>
      <c r="L4448" s="8"/>
    </row>
    <row r="4449" customFormat="false" ht="15.75" hidden="false" customHeight="true" outlineLevel="0" collapsed="false">
      <c r="A4449" s="7" t="n">
        <v>45955</v>
      </c>
      <c r="B4449" s="8" t="s">
        <v>25</v>
      </c>
      <c r="C4449" s="9" t="n">
        <v>30</v>
      </c>
      <c r="D4449" s="8" t="s">
        <v>45</v>
      </c>
      <c r="E4449" s="10" t="s">
        <v>42</v>
      </c>
      <c r="F4449" s="8" t="str">
        <f aca="false">TEXT(A4449,"MM-YYYY")</f>
        <v>10-2025</v>
      </c>
      <c r="G4449" s="8" t="s">
        <v>14</v>
      </c>
      <c r="H4449" s="8" t="s">
        <v>262</v>
      </c>
      <c r="I4449" s="7"/>
      <c r="J4449" s="8" t="str">
        <f aca="false">VLOOKUP(B4449, Table3[#All], 2, FALSE())</f>
        <v>Inventory</v>
      </c>
      <c r="K4449" s="8" t="str">
        <f aca="false">TEXT(ROW(), "0000")</f>
        <v>4449</v>
      </c>
      <c r="L4449" s="8"/>
    </row>
    <row r="4450" customFormat="false" ht="15.75" hidden="false" customHeight="true" outlineLevel="0" collapsed="false">
      <c r="A4450" s="7" t="n">
        <v>45955</v>
      </c>
      <c r="B4450" s="8" t="s">
        <v>22</v>
      </c>
      <c r="C4450" s="9" t="n">
        <v>70</v>
      </c>
      <c r="D4450" s="8" t="s">
        <v>45</v>
      </c>
      <c r="E4450" s="10" t="s">
        <v>438</v>
      </c>
      <c r="F4450" s="8" t="str">
        <f aca="false">TEXT(A4450,"MM-YYYY")</f>
        <v>10-2025</v>
      </c>
      <c r="G4450" s="8" t="s">
        <v>14</v>
      </c>
      <c r="H4450" s="8" t="s">
        <v>232</v>
      </c>
      <c r="I4450" s="7"/>
      <c r="J4450" s="8" t="str">
        <f aca="false">VLOOKUP(B4450, Table3[#All], 2, FALSE())</f>
        <v>Inventory</v>
      </c>
      <c r="K4450" s="8" t="str">
        <f aca="false">TEXT(ROW(), "0000")</f>
        <v>4450</v>
      </c>
      <c r="L4450" s="8"/>
    </row>
    <row r="4451" customFormat="false" ht="15.75" hidden="false" customHeight="true" outlineLevel="0" collapsed="false">
      <c r="A4451" s="7" t="n">
        <v>45955</v>
      </c>
      <c r="B4451" s="8" t="s">
        <v>37</v>
      </c>
      <c r="C4451" s="9" t="n">
        <v>5</v>
      </c>
      <c r="D4451" s="8" t="s">
        <v>21</v>
      </c>
      <c r="E4451" s="10" t="s">
        <v>620</v>
      </c>
      <c r="F4451" s="8" t="str">
        <f aca="false">TEXT(A4451,"MM-YYYY")</f>
        <v>10-2025</v>
      </c>
      <c r="G4451" s="8" t="s">
        <v>14</v>
      </c>
      <c r="H4451" s="8" t="s">
        <v>232</v>
      </c>
      <c r="I4451" s="7" t="n">
        <v>45955</v>
      </c>
      <c r="J4451" s="8" t="str">
        <f aca="false">VLOOKUP(B4451, Table3[#All], 2, FALSE())</f>
        <v>Maintance</v>
      </c>
      <c r="K4451" s="8" t="str">
        <f aca="false">TEXT(ROW(), "0000")</f>
        <v>4451</v>
      </c>
      <c r="L4451" s="8"/>
    </row>
    <row r="4452" customFormat="false" ht="15.75" hidden="false" customHeight="true" outlineLevel="0" collapsed="false">
      <c r="A4452" s="7" t="n">
        <v>45955</v>
      </c>
      <c r="B4452" s="8" t="s">
        <v>29</v>
      </c>
      <c r="C4452" s="9" t="n">
        <v>602</v>
      </c>
      <c r="D4452" s="8" t="s">
        <v>13</v>
      </c>
      <c r="E4452" s="10" t="s">
        <v>490</v>
      </c>
      <c r="F4452" s="8" t="str">
        <f aca="false">TEXT(A4452,"MM-YYYY")</f>
        <v>10-2025</v>
      </c>
      <c r="G4452" s="8" t="s">
        <v>18</v>
      </c>
      <c r="H4452" s="8" t="s">
        <v>232</v>
      </c>
      <c r="I4452" s="7"/>
      <c r="J4452" s="8" t="str">
        <f aca="false">VLOOKUP(B4452, Table3[#All], 2, FALSE())</f>
        <v>Inventory</v>
      </c>
      <c r="K4452" s="8" t="str">
        <f aca="false">TEXT(ROW(), "0000")</f>
        <v>4452</v>
      </c>
      <c r="L4452" s="8"/>
    </row>
    <row r="4453" customFormat="false" ht="15.75" hidden="false" customHeight="true" outlineLevel="0" collapsed="false">
      <c r="A4453" s="7" t="n">
        <v>45955</v>
      </c>
      <c r="B4453" s="8" t="s">
        <v>34</v>
      </c>
      <c r="C4453" s="9" t="n">
        <v>30</v>
      </c>
      <c r="D4453" s="8" t="s">
        <v>45</v>
      </c>
      <c r="E4453" s="10" t="s">
        <v>34</v>
      </c>
      <c r="F4453" s="8" t="str">
        <f aca="false">TEXT(A4453,"MM-YYYY")</f>
        <v>10-2025</v>
      </c>
      <c r="G4453" s="8" t="s">
        <v>14</v>
      </c>
      <c r="H4453" s="8" t="s">
        <v>232</v>
      </c>
      <c r="I4453" s="7"/>
      <c r="J4453" s="8" t="str">
        <f aca="false">VLOOKUP(B4453, Table3[#All], 2, FALSE())</f>
        <v>Staff Expenses</v>
      </c>
      <c r="K4453" s="8" t="str">
        <f aca="false">TEXT(ROW(), "0000")</f>
        <v>4453</v>
      </c>
      <c r="L4453" s="8"/>
    </row>
    <row r="4454" customFormat="false" ht="15.75" hidden="false" customHeight="true" outlineLevel="0" collapsed="false">
      <c r="A4454" s="7" t="n">
        <v>45955</v>
      </c>
      <c r="B4454" s="8" t="s">
        <v>16</v>
      </c>
      <c r="C4454" s="9" t="n">
        <v>5789</v>
      </c>
      <c r="D4454" s="8" t="s">
        <v>21</v>
      </c>
      <c r="E4454" s="10" t="s">
        <v>88</v>
      </c>
      <c r="F4454" s="8" t="str">
        <f aca="false">TEXT(A4454,"MM-YYYY")</f>
        <v>10-2025</v>
      </c>
      <c r="G4454" s="8"/>
      <c r="H4454" s="8"/>
      <c r="I4454" s="7"/>
      <c r="J4454" s="8" t="str">
        <f aca="false">VLOOKUP(B4454, Table3[#All], 2, FALSE())</f>
        <v>Sales</v>
      </c>
      <c r="K4454" s="8" t="str">
        <f aca="false">TEXT(ROW(), "0000")</f>
        <v>4454</v>
      </c>
      <c r="L4454" s="8"/>
    </row>
    <row r="4455" customFormat="false" ht="15.75" hidden="false" customHeight="true" outlineLevel="0" collapsed="false">
      <c r="A4455" s="7" t="n">
        <v>45955</v>
      </c>
      <c r="B4455" s="8" t="s">
        <v>16</v>
      </c>
      <c r="C4455" s="9" t="n">
        <v>13660</v>
      </c>
      <c r="D4455" s="8" t="s">
        <v>17</v>
      </c>
      <c r="E4455" s="10" t="s">
        <v>88</v>
      </c>
      <c r="F4455" s="8" t="str">
        <f aca="false">TEXT(A4455,"MM-YYYY")</f>
        <v>10-2025</v>
      </c>
      <c r="G4455" s="8"/>
      <c r="H4455" s="8"/>
      <c r="I4455" s="7"/>
      <c r="J4455" s="8" t="str">
        <f aca="false">VLOOKUP(B4455, Table3[#All], 2, FALSE())</f>
        <v>Sales</v>
      </c>
      <c r="K4455" s="8" t="str">
        <f aca="false">TEXT(ROW(), "0000")</f>
        <v>4455</v>
      </c>
      <c r="L4455" s="8"/>
    </row>
    <row r="4456" customFormat="false" ht="15.75" hidden="false" customHeight="true" outlineLevel="0" collapsed="false">
      <c r="A4456" s="7" t="n">
        <v>45955</v>
      </c>
      <c r="B4456" s="8" t="s">
        <v>16</v>
      </c>
      <c r="C4456" s="9" t="n">
        <v>850</v>
      </c>
      <c r="D4456" s="8" t="s">
        <v>33</v>
      </c>
      <c r="E4456" s="10" t="s">
        <v>88</v>
      </c>
      <c r="F4456" s="8" t="str">
        <f aca="false">TEXT(A4456,"MM-YYYY")</f>
        <v>10-2025</v>
      </c>
      <c r="G4456" s="8"/>
      <c r="H4456" s="8"/>
      <c r="I4456" s="7"/>
      <c r="J4456" s="8" t="str">
        <f aca="false">VLOOKUP(B4456, Table3[#All], 2, FALSE())</f>
        <v>Sales</v>
      </c>
      <c r="K4456" s="8" t="str">
        <f aca="false">TEXT(ROW(), "0000")</f>
        <v>4456</v>
      </c>
      <c r="L4456" s="8"/>
    </row>
    <row r="4457" customFormat="false" ht="15.75" hidden="false" customHeight="true" outlineLevel="0" collapsed="false">
      <c r="A4457" s="7" t="n">
        <v>45955</v>
      </c>
      <c r="B4457" s="8" t="s">
        <v>16</v>
      </c>
      <c r="C4457" s="9" t="n">
        <v>890</v>
      </c>
      <c r="D4457" s="8" t="s">
        <v>24</v>
      </c>
      <c r="E4457" s="10" t="s">
        <v>88</v>
      </c>
      <c r="F4457" s="8" t="str">
        <f aca="false">TEXT(A4457,"MM-YYYY")</f>
        <v>10-2025</v>
      </c>
      <c r="G4457" s="8"/>
      <c r="H4457" s="8"/>
      <c r="I4457" s="7"/>
      <c r="J4457" s="8" t="str">
        <f aca="false">VLOOKUP(B4457, Table3[#All], 2, FALSE())</f>
        <v>Sales</v>
      </c>
      <c r="K4457" s="8" t="str">
        <f aca="false">TEXT(ROW(), "0000")</f>
        <v>4457</v>
      </c>
      <c r="L4457" s="8"/>
    </row>
    <row r="4458" customFormat="false" ht="15.75" hidden="false" customHeight="true" outlineLevel="0" collapsed="false">
      <c r="A4458" s="7" t="n">
        <v>45955</v>
      </c>
      <c r="B4458" s="8" t="s">
        <v>16</v>
      </c>
      <c r="C4458" s="9" t="n">
        <v>549</v>
      </c>
      <c r="D4458" s="8" t="s">
        <v>27</v>
      </c>
      <c r="E4458" s="10" t="s">
        <v>88</v>
      </c>
      <c r="F4458" s="8" t="str">
        <f aca="false">TEXT(A4458,"MM-YYYY")</f>
        <v>10-2025</v>
      </c>
      <c r="G4458" s="8"/>
      <c r="H4458" s="8"/>
      <c r="I4458" s="7"/>
      <c r="J4458" s="8" t="str">
        <f aca="false">VLOOKUP(B4458, Table3[#All], 2, FALSE())</f>
        <v>Sales</v>
      </c>
      <c r="K4458" s="8" t="str">
        <f aca="false">TEXT(ROW(), "0000")</f>
        <v>4458</v>
      </c>
      <c r="L4458" s="8"/>
    </row>
    <row r="4459" customFormat="false" ht="15.75" hidden="false" customHeight="true" outlineLevel="0" collapsed="false">
      <c r="A4459" s="7" t="n">
        <v>45955</v>
      </c>
      <c r="B4459" s="8" t="s">
        <v>56</v>
      </c>
      <c r="C4459" s="9" t="n">
        <v>250</v>
      </c>
      <c r="D4459" s="8" t="s">
        <v>45</v>
      </c>
      <c r="E4459" s="10" t="s">
        <v>621</v>
      </c>
      <c r="F4459" s="8" t="str">
        <f aca="false">TEXT(A4459,"MM-YYYY")</f>
        <v>10-2025</v>
      </c>
      <c r="G4459" s="8" t="s">
        <v>14</v>
      </c>
      <c r="H4459" s="8" t="s">
        <v>262</v>
      </c>
      <c r="I4459" s="7"/>
      <c r="J4459" s="8" t="str">
        <f aca="false">VLOOKUP(B4459, Table3[#All], 2, FALSE())</f>
        <v>New Inventory</v>
      </c>
      <c r="K4459" s="8" t="str">
        <f aca="false">TEXT(ROW(), "0000")</f>
        <v>4459</v>
      </c>
      <c r="L4459" s="8"/>
    </row>
    <row r="4460" customFormat="false" ht="15.75" hidden="false" customHeight="true" outlineLevel="0" collapsed="false">
      <c r="A4460" s="7" t="n">
        <v>45956</v>
      </c>
      <c r="B4460" s="8" t="s">
        <v>19</v>
      </c>
      <c r="C4460" s="9" t="n">
        <v>5924</v>
      </c>
      <c r="D4460" s="8" t="s">
        <v>13</v>
      </c>
      <c r="E4460" s="10" t="s">
        <v>473</v>
      </c>
      <c r="F4460" s="8" t="str">
        <f aca="false">TEXT(A4460,"MM-YYYY")</f>
        <v>10-2025</v>
      </c>
      <c r="G4460" s="8" t="s">
        <v>14</v>
      </c>
      <c r="H4460" s="8"/>
      <c r="I4460" s="7"/>
      <c r="J4460" s="8" t="str">
        <f aca="false">VLOOKUP(B4460, Table3[#All], 2, FALSE())</f>
        <v>Inventory</v>
      </c>
      <c r="K4460" s="8" t="str">
        <f aca="false">TEXT(ROW(), "0000")</f>
        <v>4460</v>
      </c>
      <c r="L4460" s="8"/>
    </row>
    <row r="4461" customFormat="false" ht="15.75" hidden="false" customHeight="true" outlineLevel="0" collapsed="false">
      <c r="A4461" s="7" t="n">
        <v>45956</v>
      </c>
      <c r="B4461" s="8" t="s">
        <v>35</v>
      </c>
      <c r="C4461" s="9" t="n">
        <v>100</v>
      </c>
      <c r="D4461" s="8" t="s">
        <v>45</v>
      </c>
      <c r="E4461" s="10" t="s">
        <v>39</v>
      </c>
      <c r="F4461" s="8" t="str">
        <f aca="false">TEXT(A4461,"MM-YYYY")</f>
        <v>10-2025</v>
      </c>
      <c r="G4461" s="8" t="s">
        <v>14</v>
      </c>
      <c r="H4461" s="8" t="s">
        <v>262</v>
      </c>
      <c r="I4461" s="7"/>
      <c r="J4461" s="8" t="str">
        <f aca="false">VLOOKUP(B4461, Table3[#All], 2, FALSE())</f>
        <v>Inventory</v>
      </c>
      <c r="K4461" s="8" t="str">
        <f aca="false">TEXT(ROW(), "0000")</f>
        <v>4461</v>
      </c>
      <c r="L4461" s="8"/>
    </row>
    <row r="4462" customFormat="false" ht="15.75" hidden="false" customHeight="true" outlineLevel="0" collapsed="false">
      <c r="A4462" s="7" t="n">
        <v>45956</v>
      </c>
      <c r="B4462" s="8" t="s">
        <v>25</v>
      </c>
      <c r="C4462" s="9" t="n">
        <v>680</v>
      </c>
      <c r="D4462" s="8" t="s">
        <v>45</v>
      </c>
      <c r="E4462" s="10" t="s">
        <v>517</v>
      </c>
      <c r="F4462" s="8" t="str">
        <f aca="false">TEXT(A4462,"MM-YYYY")</f>
        <v>10-2025</v>
      </c>
      <c r="G4462" s="8" t="s">
        <v>14</v>
      </c>
      <c r="H4462" s="8" t="s">
        <v>232</v>
      </c>
      <c r="I4462" s="7"/>
      <c r="J4462" s="8" t="str">
        <f aca="false">VLOOKUP(B4462, Table3[#All], 2, FALSE())</f>
        <v>Inventory</v>
      </c>
      <c r="K4462" s="8" t="str">
        <f aca="false">TEXT(ROW(), "0000")</f>
        <v>4462</v>
      </c>
      <c r="L4462" s="8"/>
    </row>
    <row r="4463" customFormat="false" ht="15.75" hidden="false" customHeight="true" outlineLevel="0" collapsed="false">
      <c r="A4463" s="7" t="n">
        <v>45956</v>
      </c>
      <c r="B4463" s="8" t="s">
        <v>40</v>
      </c>
      <c r="C4463" s="9" t="n">
        <v>1600</v>
      </c>
      <c r="D4463" s="8" t="s">
        <v>45</v>
      </c>
      <c r="E4463" s="10" t="s">
        <v>40</v>
      </c>
      <c r="F4463" s="8" t="str">
        <f aca="false">TEXT(A4463,"MM-YYYY")</f>
        <v>10-2025</v>
      </c>
      <c r="G4463" s="8" t="s">
        <v>14</v>
      </c>
      <c r="H4463" s="8" t="s">
        <v>262</v>
      </c>
      <c r="I4463" s="7"/>
      <c r="J4463" s="8" t="str">
        <f aca="false">VLOOKUP(B4463, Table3[#All], 2, FALSE())</f>
        <v>Inventory</v>
      </c>
      <c r="K4463" s="8" t="str">
        <f aca="false">TEXT(ROW(), "0000")</f>
        <v>4463</v>
      </c>
      <c r="L4463" s="8"/>
    </row>
    <row r="4464" customFormat="false" ht="15.75" hidden="false" customHeight="true" outlineLevel="0" collapsed="false">
      <c r="A4464" s="7" t="n">
        <v>45956</v>
      </c>
      <c r="B4464" s="8" t="s">
        <v>25</v>
      </c>
      <c r="C4464" s="9" t="n">
        <v>530</v>
      </c>
      <c r="D4464" s="8" t="s">
        <v>13</v>
      </c>
      <c r="E4464" s="10" t="s">
        <v>92</v>
      </c>
      <c r="F4464" s="8" t="str">
        <f aca="false">TEXT(A4464,"MM-YYYY")</f>
        <v>10-2025</v>
      </c>
      <c r="G4464" s="8" t="s">
        <v>14</v>
      </c>
      <c r="H4464" s="8" t="s">
        <v>262</v>
      </c>
      <c r="I4464" s="7"/>
      <c r="J4464" s="8" t="str">
        <f aca="false">VLOOKUP(B4464, Table3[#All], 2, FALSE())</f>
        <v>Inventory</v>
      </c>
      <c r="K4464" s="8" t="str">
        <f aca="false">TEXT(ROW(), "0000")</f>
        <v>4464</v>
      </c>
      <c r="L4464" s="8"/>
    </row>
    <row r="4465" customFormat="false" ht="15.75" hidden="false" customHeight="true" outlineLevel="0" collapsed="false">
      <c r="A4465" s="7" t="n">
        <v>45956</v>
      </c>
      <c r="B4465" s="8" t="s">
        <v>53</v>
      </c>
      <c r="C4465" s="9" t="n">
        <v>480</v>
      </c>
      <c r="D4465" s="8" t="s">
        <v>45</v>
      </c>
      <c r="E4465" s="10" t="s">
        <v>187</v>
      </c>
      <c r="F4465" s="8" t="str">
        <f aca="false">TEXT(A4465,"MM-YYYY")</f>
        <v>10-2025</v>
      </c>
      <c r="G4465" s="8" t="s">
        <v>14</v>
      </c>
      <c r="H4465" s="8" t="s">
        <v>262</v>
      </c>
      <c r="I4465" s="7"/>
      <c r="J4465" s="8" t="str">
        <f aca="false">VLOOKUP(B4465, Table3[#All], 2, FALSE())</f>
        <v>Grocery</v>
      </c>
      <c r="K4465" s="8" t="str">
        <f aca="false">TEXT(ROW(), "0000")</f>
        <v>4465</v>
      </c>
      <c r="L4465" s="8"/>
    </row>
    <row r="4466" customFormat="false" ht="15.75" hidden="false" customHeight="true" outlineLevel="0" collapsed="false">
      <c r="A4466" s="7" t="n">
        <v>45956</v>
      </c>
      <c r="B4466" s="8" t="s">
        <v>29</v>
      </c>
      <c r="C4466" s="9" t="n">
        <v>20</v>
      </c>
      <c r="D4466" s="8" t="s">
        <v>21</v>
      </c>
      <c r="E4466" s="10" t="s">
        <v>65</v>
      </c>
      <c r="F4466" s="8" t="str">
        <f aca="false">TEXT(A4466,"MM-YYYY")</f>
        <v>10-2025</v>
      </c>
      <c r="G4466" s="8" t="s">
        <v>14</v>
      </c>
      <c r="H4466" s="8" t="s">
        <v>232</v>
      </c>
      <c r="I4466" s="7"/>
      <c r="J4466" s="8" t="str">
        <f aca="false">VLOOKUP(B4466, Table3[#All], 2, FALSE())</f>
        <v>Inventory</v>
      </c>
      <c r="K4466" s="8" t="str">
        <f aca="false">TEXT(ROW(), "0000")</f>
        <v>4466</v>
      </c>
      <c r="L4466" s="8"/>
    </row>
    <row r="4467" customFormat="false" ht="15.75" hidden="false" customHeight="true" outlineLevel="0" collapsed="false">
      <c r="A4467" s="7" t="n">
        <v>45956</v>
      </c>
      <c r="B4467" s="8" t="s">
        <v>37</v>
      </c>
      <c r="C4467" s="9" t="n">
        <v>20</v>
      </c>
      <c r="D4467" s="8" t="s">
        <v>21</v>
      </c>
      <c r="E4467" s="10" t="s">
        <v>37</v>
      </c>
      <c r="F4467" s="8" t="str">
        <f aca="false">TEXT(A4467,"MM-YYYY")</f>
        <v>10-2025</v>
      </c>
      <c r="G4467" s="8" t="s">
        <v>14</v>
      </c>
      <c r="H4467" s="8" t="s">
        <v>232</v>
      </c>
      <c r="I4467" s="7"/>
      <c r="J4467" s="8" t="str">
        <f aca="false">VLOOKUP(B4467, Table3[#All], 2, FALSE())</f>
        <v>Maintance</v>
      </c>
      <c r="K4467" s="8" t="str">
        <f aca="false">TEXT(ROW(), "0000")</f>
        <v>4467</v>
      </c>
      <c r="L4467" s="8"/>
    </row>
    <row r="4468" customFormat="false" ht="15.75" hidden="false" customHeight="true" outlineLevel="0" collapsed="false">
      <c r="A4468" s="7" t="n">
        <v>45956</v>
      </c>
      <c r="B4468" s="8" t="s">
        <v>31</v>
      </c>
      <c r="C4468" s="9" t="n">
        <v>310</v>
      </c>
      <c r="D4468" s="8" t="s">
        <v>45</v>
      </c>
      <c r="E4468" s="10" t="s">
        <v>31</v>
      </c>
      <c r="F4468" s="8" t="str">
        <f aca="false">TEXT(A4468,"MM-YYYY")</f>
        <v>10-2025</v>
      </c>
      <c r="G4468" s="8" t="s">
        <v>14</v>
      </c>
      <c r="H4468" s="8" t="s">
        <v>232</v>
      </c>
      <c r="I4468" s="7"/>
      <c r="J4468" s="8" t="str">
        <f aca="false">VLOOKUP(B4468, Table3[#All], 2, FALSE())</f>
        <v>Bike Maintance</v>
      </c>
      <c r="K4468" s="8" t="str">
        <f aca="false">TEXT(ROW(), "0000")</f>
        <v>4468</v>
      </c>
      <c r="L4468" s="8"/>
    </row>
    <row r="4469" customFormat="false" ht="15.75" hidden="false" customHeight="true" outlineLevel="0" collapsed="false">
      <c r="A4469" s="7" t="n">
        <v>45956</v>
      </c>
      <c r="B4469" s="8" t="s">
        <v>56</v>
      </c>
      <c r="C4469" s="9" t="n">
        <v>50</v>
      </c>
      <c r="D4469" s="8" t="s">
        <v>45</v>
      </c>
      <c r="E4469" s="10" t="s">
        <v>622</v>
      </c>
      <c r="F4469" s="8" t="str">
        <f aca="false">TEXT(A4469,"MM-YYYY")</f>
        <v>10-2025</v>
      </c>
      <c r="G4469" s="8" t="s">
        <v>14</v>
      </c>
      <c r="H4469" s="8" t="s">
        <v>262</v>
      </c>
      <c r="I4469" s="7"/>
      <c r="J4469" s="8" t="str">
        <f aca="false">VLOOKUP(B4469, Table3[#All], 2, FALSE())</f>
        <v>New Inventory</v>
      </c>
      <c r="K4469" s="8" t="str">
        <f aca="false">TEXT(ROW(), "0000")</f>
        <v>4469</v>
      </c>
      <c r="L4469" s="8"/>
    </row>
    <row r="4470" customFormat="false" ht="15.75" hidden="false" customHeight="true" outlineLevel="0" collapsed="false">
      <c r="A4470" s="7" t="n">
        <v>45956</v>
      </c>
      <c r="B4470" s="8" t="s">
        <v>29</v>
      </c>
      <c r="C4470" s="9" t="n">
        <v>469</v>
      </c>
      <c r="D4470" s="8" t="s">
        <v>13</v>
      </c>
      <c r="E4470" s="10" t="s">
        <v>490</v>
      </c>
      <c r="F4470" s="8" t="str">
        <f aca="false">TEXT(A4470,"MM-YYYY")</f>
        <v>10-2025</v>
      </c>
      <c r="G4470" s="8" t="s">
        <v>18</v>
      </c>
      <c r="H4470" s="8"/>
      <c r="I4470" s="7"/>
      <c r="J4470" s="8" t="str">
        <f aca="false">VLOOKUP(B4470, Table3[#All], 2, FALSE())</f>
        <v>Inventory</v>
      </c>
      <c r="K4470" s="8" t="str">
        <f aca="false">TEXT(ROW(), "0000")</f>
        <v>4470</v>
      </c>
      <c r="L4470" s="8"/>
    </row>
    <row r="4471" customFormat="false" ht="15.75" hidden="false" customHeight="true" outlineLevel="0" collapsed="false">
      <c r="A4471" s="7" t="n">
        <v>45956</v>
      </c>
      <c r="B4471" s="8" t="s">
        <v>25</v>
      </c>
      <c r="C4471" s="9" t="n">
        <v>30</v>
      </c>
      <c r="D4471" s="8" t="s">
        <v>45</v>
      </c>
      <c r="E4471" s="10" t="s">
        <v>42</v>
      </c>
      <c r="F4471" s="8" t="str">
        <f aca="false">TEXT(A4471,"MM-YYYY")</f>
        <v>10-2025</v>
      </c>
      <c r="G4471" s="8" t="s">
        <v>14</v>
      </c>
      <c r="H4471" s="8"/>
      <c r="I4471" s="7"/>
      <c r="J4471" s="8" t="str">
        <f aca="false">VLOOKUP(B4471, Table3[#All], 2, FALSE())</f>
        <v>Inventory</v>
      </c>
      <c r="K4471" s="8" t="str">
        <f aca="false">TEXT(ROW(), "0000")</f>
        <v>4471</v>
      </c>
      <c r="L4471" s="8"/>
    </row>
    <row r="4472" customFormat="false" ht="15.75" hidden="false" customHeight="true" outlineLevel="0" collapsed="false">
      <c r="A4472" s="7" t="n">
        <v>45956</v>
      </c>
      <c r="B4472" s="8" t="s">
        <v>12</v>
      </c>
      <c r="C4472" s="9" t="n">
        <v>30</v>
      </c>
      <c r="D4472" s="8" t="s">
        <v>45</v>
      </c>
      <c r="E4472" s="10" t="s">
        <v>623</v>
      </c>
      <c r="F4472" s="8" t="str">
        <f aca="false">TEXT(A4472,"MM-YYYY")</f>
        <v>10-2025</v>
      </c>
      <c r="G4472" s="8" t="s">
        <v>14</v>
      </c>
      <c r="H4472" s="8"/>
      <c r="I4472" s="7"/>
      <c r="J4472" s="8" t="str">
        <f aca="false">VLOOKUP(B4472, Table3[#All], 2, FALSE())</f>
        <v>Fixed Maintance</v>
      </c>
      <c r="K4472" s="8" t="str">
        <f aca="false">TEXT(ROW(), "0000")</f>
        <v>4472</v>
      </c>
      <c r="L4472" s="8"/>
    </row>
    <row r="4473" customFormat="false" ht="15.75" hidden="false" customHeight="true" outlineLevel="0" collapsed="false">
      <c r="A4473" s="7" t="n">
        <v>45956</v>
      </c>
      <c r="B4473" s="8" t="s">
        <v>32</v>
      </c>
      <c r="C4473" s="9" t="n">
        <v>625</v>
      </c>
      <c r="D4473" s="8" t="s">
        <v>45</v>
      </c>
      <c r="E4473" s="10" t="s">
        <v>450</v>
      </c>
      <c r="F4473" s="8" t="str">
        <f aca="false">TEXT(A4473,"MM-YYYY")</f>
        <v>10-2025</v>
      </c>
      <c r="G4473" s="8" t="s">
        <v>14</v>
      </c>
      <c r="H4473" s="8"/>
      <c r="I4473" s="7"/>
      <c r="J4473" s="8" t="str">
        <f aca="false">VLOOKUP(B4473, Table3[#All], 2, FALSE())</f>
        <v>Grocery</v>
      </c>
      <c r="K4473" s="8" t="str">
        <f aca="false">TEXT(ROW(), "0000")</f>
        <v>4473</v>
      </c>
      <c r="L4473" s="8"/>
    </row>
    <row r="4474" customFormat="false" ht="15.75" hidden="false" customHeight="true" outlineLevel="0" collapsed="false">
      <c r="A4474" s="7" t="n">
        <v>45956</v>
      </c>
      <c r="B4474" s="8" t="s">
        <v>16</v>
      </c>
      <c r="C4474" s="9" t="n">
        <v>2424</v>
      </c>
      <c r="D4474" s="8" t="s">
        <v>21</v>
      </c>
      <c r="E4474" s="10" t="s">
        <v>88</v>
      </c>
      <c r="F4474" s="8" t="str">
        <f aca="false">TEXT(A4474,"MM-YYYY")</f>
        <v>10-2025</v>
      </c>
      <c r="G4474" s="8"/>
      <c r="H4474" s="8"/>
      <c r="I4474" s="7"/>
      <c r="J4474" s="8" t="str">
        <f aca="false">VLOOKUP(B4474, Table3[#All], 2, FALSE())</f>
        <v>Sales</v>
      </c>
      <c r="K4474" s="8" t="str">
        <f aca="false">TEXT(ROW(), "0000")</f>
        <v>4474</v>
      </c>
      <c r="L4474" s="8"/>
    </row>
    <row r="4475" customFormat="false" ht="15.75" hidden="false" customHeight="true" outlineLevel="0" collapsed="false">
      <c r="A4475" s="7" t="n">
        <v>45956</v>
      </c>
      <c r="B4475" s="8" t="s">
        <v>16</v>
      </c>
      <c r="C4475" s="9" t="n">
        <v>10520</v>
      </c>
      <c r="D4475" s="8" t="s">
        <v>17</v>
      </c>
      <c r="E4475" s="10" t="s">
        <v>88</v>
      </c>
      <c r="F4475" s="8" t="str">
        <f aca="false">TEXT(A4475,"MM-YYYY")</f>
        <v>10-2025</v>
      </c>
      <c r="G4475" s="8"/>
      <c r="H4475" s="8"/>
      <c r="I4475" s="7"/>
      <c r="J4475" s="8" t="str">
        <f aca="false">VLOOKUP(B4475, Table3[#All], 2, FALSE())</f>
        <v>Sales</v>
      </c>
      <c r="K4475" s="8" t="str">
        <f aca="false">TEXT(ROW(), "0000")</f>
        <v>4475</v>
      </c>
      <c r="L4475" s="8"/>
    </row>
    <row r="4476" customFormat="false" ht="15.75" hidden="false" customHeight="true" outlineLevel="0" collapsed="false">
      <c r="A4476" s="7" t="n">
        <v>45956</v>
      </c>
      <c r="B4476" s="8" t="s">
        <v>16</v>
      </c>
      <c r="C4476" s="9" t="n">
        <v>420</v>
      </c>
      <c r="D4476" s="8" t="s">
        <v>70</v>
      </c>
      <c r="E4476" s="10" t="s">
        <v>88</v>
      </c>
      <c r="F4476" s="8" t="str">
        <f aca="false">TEXT(A4476,"MM-YYYY")</f>
        <v>10-2025</v>
      </c>
      <c r="G4476" s="8"/>
      <c r="H4476" s="8"/>
      <c r="I4476" s="7"/>
      <c r="J4476" s="8" t="str">
        <f aca="false">VLOOKUP(B4476, Table3[#All], 2, FALSE())</f>
        <v>Sales</v>
      </c>
      <c r="K4476" s="8" t="str">
        <f aca="false">TEXT(ROW(), "0000")</f>
        <v>4476</v>
      </c>
      <c r="L4476" s="8"/>
    </row>
    <row r="4477" customFormat="false" ht="15.75" hidden="false" customHeight="true" outlineLevel="0" collapsed="false">
      <c r="A4477" s="7" t="n">
        <v>45956</v>
      </c>
      <c r="B4477" s="8" t="s">
        <v>16</v>
      </c>
      <c r="C4477" s="9" t="n">
        <v>2838</v>
      </c>
      <c r="D4477" s="8" t="s">
        <v>24</v>
      </c>
      <c r="E4477" s="10" t="s">
        <v>88</v>
      </c>
      <c r="F4477" s="8" t="str">
        <f aca="false">TEXT(A4477,"MM-YYYY")</f>
        <v>10-2025</v>
      </c>
      <c r="G4477" s="8"/>
      <c r="H4477" s="8"/>
      <c r="I4477" s="7"/>
      <c r="J4477" s="8" t="str">
        <f aca="false">VLOOKUP(B4477, Table3[#All], 2, FALSE())</f>
        <v>Sales</v>
      </c>
      <c r="K4477" s="8" t="str">
        <f aca="false">TEXT(ROW(), "0000")</f>
        <v>4477</v>
      </c>
      <c r="L4477" s="8"/>
    </row>
    <row r="4478" customFormat="false" ht="15.75" hidden="false" customHeight="true" outlineLevel="0" collapsed="false">
      <c r="A4478" s="7" t="n">
        <v>45956</v>
      </c>
      <c r="B4478" s="8" t="s">
        <v>34</v>
      </c>
      <c r="C4478" s="9" t="n">
        <v>30</v>
      </c>
      <c r="D4478" s="8" t="s">
        <v>45</v>
      </c>
      <c r="E4478" s="10" t="s">
        <v>34</v>
      </c>
      <c r="F4478" s="8" t="str">
        <f aca="false">TEXT(A4478,"MM-YYYY")</f>
        <v>10-2025</v>
      </c>
      <c r="G4478" s="8" t="s">
        <v>14</v>
      </c>
      <c r="H4478" s="8"/>
      <c r="I4478" s="7"/>
      <c r="J4478" s="8" t="str">
        <f aca="false">VLOOKUP(B4478, Table3[#All], 2, FALSE())</f>
        <v>Staff Expenses</v>
      </c>
      <c r="K4478" s="8" t="str">
        <f aca="false">TEXT(ROW(), "0000")</f>
        <v>4478</v>
      </c>
      <c r="L4478" s="8"/>
    </row>
    <row r="4479" customFormat="false" ht="15.75" hidden="false" customHeight="true" outlineLevel="0" collapsed="false">
      <c r="A4479" s="7" t="n">
        <v>45956</v>
      </c>
      <c r="B4479" s="8" t="s">
        <v>44</v>
      </c>
      <c r="C4479" s="9" t="n">
        <v>500</v>
      </c>
      <c r="D4479" s="8" t="s">
        <v>21</v>
      </c>
      <c r="E4479" s="10" t="s">
        <v>624</v>
      </c>
      <c r="F4479" s="8" t="str">
        <f aca="false">TEXT(A4479,"MM-YYYY")</f>
        <v>10-2025</v>
      </c>
      <c r="G4479" s="8" t="s">
        <v>14</v>
      </c>
      <c r="H4479" s="8" t="s">
        <v>262</v>
      </c>
      <c r="I4479" s="7" t="n">
        <v>45956</v>
      </c>
      <c r="J4479" s="8" t="str">
        <f aca="false">VLOOKUP(B4479, Table3[#All], 2, FALSE())</f>
        <v>Salary</v>
      </c>
      <c r="K4479" s="8" t="str">
        <f aca="false">TEXT(ROW(), "0000")</f>
        <v>4479</v>
      </c>
      <c r="L4479" s="8"/>
    </row>
    <row r="4480" customFormat="false" ht="15.75" hidden="false" customHeight="true" outlineLevel="0" collapsed="false">
      <c r="A4480" s="7" t="n">
        <v>45956</v>
      </c>
      <c r="B4480" s="8" t="s">
        <v>118</v>
      </c>
      <c r="C4480" s="9" t="n">
        <v>475</v>
      </c>
      <c r="D4480" s="8" t="s">
        <v>21</v>
      </c>
      <c r="E4480" s="10" t="s">
        <v>625</v>
      </c>
      <c r="F4480" s="8" t="str">
        <f aca="false">TEXT(A4480,"MM-YYYY")</f>
        <v>10-2025</v>
      </c>
      <c r="G4480" s="8" t="s">
        <v>14</v>
      </c>
      <c r="H4480" s="8" t="s">
        <v>262</v>
      </c>
      <c r="I4480" s="7"/>
      <c r="J4480" s="8" t="str">
        <f aca="false">VLOOKUP(B4480, Table3[#All], 2, FALSE())</f>
        <v>Shortage</v>
      </c>
      <c r="K4480" s="8" t="str">
        <f aca="false">TEXT(ROW(), "0000")</f>
        <v>4480</v>
      </c>
      <c r="L4480" s="8"/>
    </row>
    <row r="4481" customFormat="false" ht="15.75" hidden="false" customHeight="true" outlineLevel="0" collapsed="false">
      <c r="A4481" s="7" t="n">
        <v>45957</v>
      </c>
      <c r="B4481" s="8" t="s">
        <v>25</v>
      </c>
      <c r="C4481" s="9" t="n">
        <v>685</v>
      </c>
      <c r="D4481" s="8" t="s">
        <v>13</v>
      </c>
      <c r="E4481" s="10" t="s">
        <v>92</v>
      </c>
      <c r="F4481" s="8" t="str">
        <f aca="false">TEXT(A4481,"MM-YYYY")</f>
        <v>10-2025</v>
      </c>
      <c r="G4481" s="8" t="s">
        <v>18</v>
      </c>
      <c r="H4481" s="8" t="s">
        <v>232</v>
      </c>
      <c r="I4481" s="7"/>
      <c r="J4481" s="8" t="str">
        <f aca="false">VLOOKUP(B4481, Table3[#All], 2, FALSE())</f>
        <v>Inventory</v>
      </c>
      <c r="K4481" s="8" t="str">
        <f aca="false">TEXT(ROW(), "0000")</f>
        <v>4481</v>
      </c>
      <c r="L4481" s="8"/>
    </row>
    <row r="4482" customFormat="false" ht="15.75" hidden="false" customHeight="true" outlineLevel="0" collapsed="false">
      <c r="A4482" s="7" t="n">
        <v>45957</v>
      </c>
      <c r="B4482" s="8" t="s">
        <v>12</v>
      </c>
      <c r="C4482" s="9" t="n">
        <v>60</v>
      </c>
      <c r="D4482" s="8" t="s">
        <v>45</v>
      </c>
      <c r="E4482" s="10" t="s">
        <v>626</v>
      </c>
      <c r="F4482" s="8" t="str">
        <f aca="false">TEXT(A4482,"MM-YYYY")</f>
        <v>10-2025</v>
      </c>
      <c r="G4482" s="8" t="s">
        <v>14</v>
      </c>
      <c r="H4482" s="8" t="s">
        <v>262</v>
      </c>
      <c r="I4482" s="7"/>
      <c r="J4482" s="8" t="str">
        <f aca="false">VLOOKUP(B4482, Table3[#All], 2, FALSE())</f>
        <v>Fixed Maintance</v>
      </c>
      <c r="K4482" s="8" t="str">
        <f aca="false">TEXT(ROW(), "0000")</f>
        <v>4482</v>
      </c>
      <c r="L4482" s="8"/>
    </row>
    <row r="4483" customFormat="false" ht="15.75" hidden="false" customHeight="true" outlineLevel="0" collapsed="false">
      <c r="A4483" s="7" t="n">
        <v>45957</v>
      </c>
      <c r="B4483" s="8" t="s">
        <v>36</v>
      </c>
      <c r="C4483" s="9" t="n">
        <v>100</v>
      </c>
      <c r="D4483" s="8" t="s">
        <v>45</v>
      </c>
      <c r="E4483" s="10" t="s">
        <v>512</v>
      </c>
      <c r="F4483" s="8" t="str">
        <f aca="false">TEXT(A4483,"MM-YYYY")</f>
        <v>10-2025</v>
      </c>
      <c r="G4483" s="8" t="s">
        <v>14</v>
      </c>
      <c r="H4483" s="8" t="s">
        <v>262</v>
      </c>
      <c r="I4483" s="7"/>
      <c r="J4483" s="8" t="str">
        <f aca="false">VLOOKUP(B4483, Table3[#All], 2, FALSE())</f>
        <v>Maintance</v>
      </c>
      <c r="K4483" s="8" t="str">
        <f aca="false">TEXT(ROW(), "0000")</f>
        <v>4483</v>
      </c>
      <c r="L4483" s="8"/>
    </row>
    <row r="4484" customFormat="false" ht="15.75" hidden="false" customHeight="true" outlineLevel="0" collapsed="false">
      <c r="A4484" s="7" t="n">
        <v>45957</v>
      </c>
      <c r="B4484" s="8" t="s">
        <v>43</v>
      </c>
      <c r="C4484" s="9" t="n">
        <v>250</v>
      </c>
      <c r="D4484" s="8" t="s">
        <v>45</v>
      </c>
      <c r="E4484" s="10" t="s">
        <v>524</v>
      </c>
      <c r="F4484" s="8" t="str">
        <f aca="false">TEXT(A4484,"MM-YYYY")</f>
        <v>10-2025</v>
      </c>
      <c r="G4484" s="8" t="s">
        <v>14</v>
      </c>
      <c r="H4484" s="8"/>
      <c r="I4484" s="7"/>
      <c r="J4484" s="8" t="str">
        <f aca="false">VLOOKUP(B4484, Table3[#All], 2, FALSE())</f>
        <v>Maintance</v>
      </c>
      <c r="K4484" s="8" t="str">
        <f aca="false">TEXT(ROW(), "0000")</f>
        <v>4484</v>
      </c>
      <c r="L4484" s="8"/>
    </row>
    <row r="4485" customFormat="false" ht="15.75" hidden="false" customHeight="true" outlineLevel="0" collapsed="false">
      <c r="A4485" s="7" t="n">
        <v>45957</v>
      </c>
      <c r="B4485" s="8" t="s">
        <v>43</v>
      </c>
      <c r="C4485" s="9" t="n">
        <v>250</v>
      </c>
      <c r="D4485" s="8" t="s">
        <v>45</v>
      </c>
      <c r="E4485" s="10" t="s">
        <v>627</v>
      </c>
      <c r="F4485" s="8" t="str">
        <f aca="false">TEXT(A4485,"MM-YYYY")</f>
        <v>10-2025</v>
      </c>
      <c r="G4485" s="8" t="s">
        <v>14</v>
      </c>
      <c r="H4485" s="8"/>
      <c r="I4485" s="7"/>
      <c r="J4485" s="8" t="str">
        <f aca="false">VLOOKUP(B4485, Table3[#All], 2, FALSE())</f>
        <v>Maintance</v>
      </c>
      <c r="K4485" s="8" t="str">
        <f aca="false">TEXT(ROW(), "0000")</f>
        <v>4485</v>
      </c>
      <c r="L4485" s="8"/>
    </row>
    <row r="4486" customFormat="false" ht="15.75" hidden="false" customHeight="true" outlineLevel="0" collapsed="false">
      <c r="A4486" s="7" t="n">
        <v>45957</v>
      </c>
      <c r="B4486" s="8" t="s">
        <v>12</v>
      </c>
      <c r="C4486" s="9" t="n">
        <v>24840</v>
      </c>
      <c r="D4486" s="8" t="s">
        <v>13</v>
      </c>
      <c r="E4486" s="10" t="s">
        <v>494</v>
      </c>
      <c r="F4486" s="8" t="str">
        <f aca="false">TEXT(A4486,"MM-YYYY")</f>
        <v>10-2025</v>
      </c>
      <c r="G4486" s="8" t="s">
        <v>18</v>
      </c>
      <c r="H4486" s="8"/>
      <c r="I4486" s="7"/>
      <c r="J4486" s="8" t="str">
        <f aca="false">VLOOKUP(B4486, Table3[#All], 2, FALSE())</f>
        <v>Fixed Maintance</v>
      </c>
      <c r="K4486" s="8" t="str">
        <f aca="false">TEXT(ROW(), "0000")</f>
        <v>4486</v>
      </c>
      <c r="L4486" s="8"/>
    </row>
    <row r="4487" customFormat="false" ht="15.75" hidden="false" customHeight="true" outlineLevel="0" collapsed="false">
      <c r="A4487" s="7" t="n">
        <v>45957</v>
      </c>
      <c r="B4487" s="8" t="s">
        <v>29</v>
      </c>
      <c r="C4487" s="9" t="n">
        <v>358</v>
      </c>
      <c r="D4487" s="8" t="s">
        <v>13</v>
      </c>
      <c r="E4487" s="10" t="s">
        <v>490</v>
      </c>
      <c r="F4487" s="8" t="str">
        <f aca="false">TEXT(A4487,"MM-YYYY")</f>
        <v>10-2025</v>
      </c>
      <c r="G4487" s="8" t="s">
        <v>18</v>
      </c>
      <c r="H4487" s="8"/>
      <c r="I4487" s="7"/>
      <c r="J4487" s="8" t="str">
        <f aca="false">VLOOKUP(B4487, Table3[#All], 2, FALSE())</f>
        <v>Inventory</v>
      </c>
      <c r="K4487" s="8" t="str">
        <f aca="false">TEXT(ROW(), "0000")</f>
        <v>4487</v>
      </c>
      <c r="L4487" s="8"/>
    </row>
    <row r="4488" customFormat="false" ht="15.75" hidden="false" customHeight="true" outlineLevel="0" collapsed="false">
      <c r="A4488" s="7" t="n">
        <v>45957</v>
      </c>
      <c r="B4488" s="8" t="s">
        <v>16</v>
      </c>
      <c r="C4488" s="9" t="n">
        <f aca="false">4395+230</f>
        <v>4625</v>
      </c>
      <c r="D4488" s="8" t="s">
        <v>21</v>
      </c>
      <c r="E4488" s="10" t="s">
        <v>88</v>
      </c>
      <c r="F4488" s="8" t="str">
        <f aca="false">TEXT(A4488,"MM-YYYY")</f>
        <v>10-2025</v>
      </c>
      <c r="G4488" s="8"/>
      <c r="H4488" s="8"/>
      <c r="I4488" s="7"/>
      <c r="J4488" s="8" t="str">
        <f aca="false">VLOOKUP(B4488, Table3[#All], 2, FALSE())</f>
        <v>Sales</v>
      </c>
      <c r="K4488" s="8" t="str">
        <f aca="false">TEXT(ROW(), "0000")</f>
        <v>4488</v>
      </c>
      <c r="L4488" s="8"/>
    </row>
    <row r="4489" customFormat="false" ht="15.75" hidden="false" customHeight="true" outlineLevel="0" collapsed="false">
      <c r="A4489" s="7" t="n">
        <v>45957</v>
      </c>
      <c r="B4489" s="8" t="s">
        <v>16</v>
      </c>
      <c r="C4489" s="9" t="n">
        <v>14257</v>
      </c>
      <c r="D4489" s="8" t="s">
        <v>17</v>
      </c>
      <c r="E4489" s="10" t="s">
        <v>88</v>
      </c>
      <c r="F4489" s="8" t="str">
        <f aca="false">TEXT(A4489,"MM-YYYY")</f>
        <v>10-2025</v>
      </c>
      <c r="G4489" s="8"/>
      <c r="H4489" s="8"/>
      <c r="I4489" s="7"/>
      <c r="J4489" s="8" t="str">
        <f aca="false">VLOOKUP(B4489, Table3[#All], 2, FALSE())</f>
        <v>Sales</v>
      </c>
      <c r="K4489" s="8" t="str">
        <f aca="false">TEXT(ROW(), "0000")</f>
        <v>4489</v>
      </c>
      <c r="L4489" s="8"/>
    </row>
    <row r="4490" customFormat="false" ht="15.75" hidden="false" customHeight="true" outlineLevel="0" collapsed="false">
      <c r="A4490" s="7" t="n">
        <v>45957</v>
      </c>
      <c r="B4490" s="8" t="s">
        <v>16</v>
      </c>
      <c r="C4490" s="9" t="n">
        <v>30</v>
      </c>
      <c r="D4490" s="8" t="s">
        <v>33</v>
      </c>
      <c r="E4490" s="10" t="s">
        <v>88</v>
      </c>
      <c r="F4490" s="8" t="str">
        <f aca="false">TEXT(A4490,"MM-YYYY")</f>
        <v>10-2025</v>
      </c>
      <c r="G4490" s="8"/>
      <c r="H4490" s="8"/>
      <c r="I4490" s="7"/>
      <c r="J4490" s="8" t="str">
        <f aca="false">VLOOKUP(B4490, Table3[#All], 2, FALSE())</f>
        <v>Sales</v>
      </c>
      <c r="K4490" s="8" t="str">
        <f aca="false">TEXT(ROW(), "0000")</f>
        <v>4490</v>
      </c>
      <c r="L4490" s="8"/>
    </row>
    <row r="4491" customFormat="false" ht="15.75" hidden="false" customHeight="true" outlineLevel="0" collapsed="false">
      <c r="A4491" s="7" t="n">
        <v>45957</v>
      </c>
      <c r="B4491" s="8" t="s">
        <v>16</v>
      </c>
      <c r="C4491" s="9" t="n">
        <v>665</v>
      </c>
      <c r="D4491" s="8" t="s">
        <v>27</v>
      </c>
      <c r="E4491" s="10" t="s">
        <v>88</v>
      </c>
      <c r="F4491" s="8" t="str">
        <f aca="false">TEXT(A4491,"MM-YYYY")</f>
        <v>10-2025</v>
      </c>
      <c r="G4491" s="8"/>
      <c r="H4491" s="8"/>
      <c r="I4491" s="7"/>
      <c r="J4491" s="8" t="str">
        <f aca="false">VLOOKUP(B4491, Table3[#All], 2, FALSE())</f>
        <v>Sales</v>
      </c>
      <c r="K4491" s="8" t="str">
        <f aca="false">TEXT(ROW(), "0000")</f>
        <v>4491</v>
      </c>
      <c r="L4491" s="8"/>
    </row>
    <row r="4492" customFormat="false" ht="15.75" hidden="false" customHeight="true" outlineLevel="0" collapsed="false">
      <c r="A4492" s="7" t="n">
        <v>45957</v>
      </c>
      <c r="B4492" s="8" t="s">
        <v>16</v>
      </c>
      <c r="C4492" s="9" t="n">
        <v>1326</v>
      </c>
      <c r="D4492" s="8" t="s">
        <v>24</v>
      </c>
      <c r="E4492" s="10" t="s">
        <v>88</v>
      </c>
      <c r="F4492" s="8" t="str">
        <f aca="false">TEXT(A4492,"MM-YYYY")</f>
        <v>10-2025</v>
      </c>
      <c r="G4492" s="8"/>
      <c r="H4492" s="8"/>
      <c r="I4492" s="7"/>
      <c r="J4492" s="8" t="str">
        <f aca="false">VLOOKUP(B4492, Table3[#All], 2, FALSE())</f>
        <v>Sales</v>
      </c>
      <c r="K4492" s="8" t="str">
        <f aca="false">TEXT(ROW(), "0000")</f>
        <v>4492</v>
      </c>
      <c r="L4492" s="8"/>
    </row>
    <row r="4493" customFormat="false" ht="15.75" hidden="false" customHeight="true" outlineLevel="0" collapsed="false">
      <c r="A4493" s="7" t="n">
        <v>45957</v>
      </c>
      <c r="B4493" s="8" t="s">
        <v>44</v>
      </c>
      <c r="C4493" s="9" t="n">
        <v>500</v>
      </c>
      <c r="D4493" s="8" t="s">
        <v>45</v>
      </c>
      <c r="E4493" s="10" t="s">
        <v>628</v>
      </c>
      <c r="F4493" s="8" t="str">
        <f aca="false">TEXT(A4493,"MM-YYYY")</f>
        <v>10-2025</v>
      </c>
      <c r="G4493" s="8" t="s">
        <v>14</v>
      </c>
      <c r="H4493" s="8" t="s">
        <v>262</v>
      </c>
      <c r="I4493" s="7"/>
      <c r="J4493" s="8" t="str">
        <f aca="false">VLOOKUP(B4493, Table3[#All], 2, FALSE())</f>
        <v>Salary</v>
      </c>
      <c r="K4493" s="8" t="str">
        <f aca="false">TEXT(ROW(), "0000")</f>
        <v>4493</v>
      </c>
      <c r="L4493" s="8"/>
    </row>
    <row r="4494" customFormat="false" ht="15.75" hidden="false" customHeight="true" outlineLevel="0" collapsed="false">
      <c r="A4494" s="7" t="n">
        <v>45958</v>
      </c>
      <c r="B4494" s="8" t="s">
        <v>19</v>
      </c>
      <c r="C4494" s="9" t="n">
        <v>2920</v>
      </c>
      <c r="D4494" s="8" t="s">
        <v>13</v>
      </c>
      <c r="E4494" s="10" t="s">
        <v>473</v>
      </c>
      <c r="F4494" s="8" t="str">
        <f aca="false">TEXT(A4494,"MM-YYYY")</f>
        <v>10-2025</v>
      </c>
      <c r="G4494" s="8" t="s">
        <v>14</v>
      </c>
      <c r="H4494" s="8"/>
      <c r="I4494" s="7"/>
      <c r="J4494" s="8" t="str">
        <f aca="false">VLOOKUP(B4494, Table3[#All], 2, FALSE())</f>
        <v>Inventory</v>
      </c>
      <c r="K4494" s="8" t="str">
        <f aca="false">TEXT(ROW(), "0000")</f>
        <v>4494</v>
      </c>
      <c r="L4494" s="8"/>
    </row>
    <row r="4495" customFormat="false" ht="15.75" hidden="false" customHeight="true" outlineLevel="0" collapsed="false">
      <c r="A4495" s="7" t="n">
        <v>45958</v>
      </c>
      <c r="B4495" s="8" t="s">
        <v>40</v>
      </c>
      <c r="C4495" s="9" t="n">
        <v>500</v>
      </c>
      <c r="D4495" s="8" t="s">
        <v>45</v>
      </c>
      <c r="E4495" s="10" t="s">
        <v>103</v>
      </c>
      <c r="F4495" s="8" t="str">
        <f aca="false">TEXT(A4495,"MM-YYYY")</f>
        <v>10-2025</v>
      </c>
      <c r="G4495" s="8" t="s">
        <v>14</v>
      </c>
      <c r="H4495" s="8"/>
      <c r="I4495" s="7"/>
      <c r="J4495" s="8" t="str">
        <f aca="false">VLOOKUP(B4495, Table3[#All], 2, FALSE())</f>
        <v>Inventory</v>
      </c>
      <c r="K4495" s="8" t="str">
        <f aca="false">TEXT(ROW(), "0000")</f>
        <v>4495</v>
      </c>
      <c r="L4495" s="8"/>
    </row>
    <row r="4496" customFormat="false" ht="15.75" hidden="false" customHeight="true" outlineLevel="0" collapsed="false">
      <c r="A4496" s="7" t="n">
        <v>45958</v>
      </c>
      <c r="B4496" s="8" t="s">
        <v>29</v>
      </c>
      <c r="C4496" s="9" t="n">
        <v>5000</v>
      </c>
      <c r="D4496" s="8" t="s">
        <v>45</v>
      </c>
      <c r="E4496" s="10" t="s">
        <v>490</v>
      </c>
      <c r="F4496" s="8" t="str">
        <f aca="false">TEXT(A4496,"MM-YYYY")</f>
        <v>10-2025</v>
      </c>
      <c r="G4496" s="8" t="s">
        <v>14</v>
      </c>
      <c r="H4496" s="8" t="s">
        <v>232</v>
      </c>
      <c r="I4496" s="7" t="n">
        <v>45958</v>
      </c>
      <c r="J4496" s="8" t="str">
        <f aca="false">VLOOKUP(B4496, Table3[#All], 2, FALSE())</f>
        <v>Inventory</v>
      </c>
      <c r="K4496" s="8" t="str">
        <f aca="false">TEXT(ROW(), "0000")</f>
        <v>4496</v>
      </c>
      <c r="L4496" s="8"/>
    </row>
    <row r="4497" customFormat="false" ht="15.75" hidden="false" customHeight="true" outlineLevel="0" collapsed="false">
      <c r="A4497" s="7" t="n">
        <v>45958</v>
      </c>
      <c r="B4497" s="8" t="s">
        <v>25</v>
      </c>
      <c r="C4497" s="9" t="n">
        <v>530</v>
      </c>
      <c r="D4497" s="8" t="s">
        <v>45</v>
      </c>
      <c r="E4497" s="10" t="s">
        <v>92</v>
      </c>
      <c r="F4497" s="8" t="str">
        <f aca="false">TEXT(A4497,"MM-YYYY")</f>
        <v>10-2025</v>
      </c>
      <c r="G4497" s="8" t="s">
        <v>18</v>
      </c>
      <c r="H4497" s="8"/>
      <c r="I4497" s="7"/>
      <c r="J4497" s="8" t="str">
        <f aca="false">VLOOKUP(B4497, Table3[#All], 2, FALSE())</f>
        <v>Inventory</v>
      </c>
      <c r="K4497" s="8" t="str">
        <f aca="false">TEXT(ROW(), "0000")</f>
        <v>4497</v>
      </c>
      <c r="L4497" s="8"/>
    </row>
    <row r="4498" customFormat="false" ht="15.75" hidden="false" customHeight="true" outlineLevel="0" collapsed="false">
      <c r="A4498" s="7" t="n">
        <v>45958</v>
      </c>
      <c r="B4498" s="8" t="s">
        <v>43</v>
      </c>
      <c r="C4498" s="9" t="n">
        <v>350</v>
      </c>
      <c r="D4498" s="8" t="s">
        <v>45</v>
      </c>
      <c r="E4498" s="10" t="s">
        <v>522</v>
      </c>
      <c r="F4498" s="8" t="str">
        <f aca="false">TEXT(A4498,"MM-YYYY")</f>
        <v>10-2025</v>
      </c>
      <c r="G4498" s="8" t="s">
        <v>14</v>
      </c>
      <c r="H4498" s="8" t="s">
        <v>232</v>
      </c>
      <c r="I4498" s="7"/>
      <c r="J4498" s="8" t="str">
        <f aca="false">VLOOKUP(B4498, Table3[#All], 2, FALSE())</f>
        <v>Maintance</v>
      </c>
      <c r="K4498" s="8" t="str">
        <f aca="false">TEXT(ROW(), "0000")</f>
        <v>4498</v>
      </c>
      <c r="L4498" s="8"/>
    </row>
    <row r="4499" customFormat="false" ht="15.75" hidden="false" customHeight="true" outlineLevel="0" collapsed="false">
      <c r="A4499" s="7" t="n">
        <v>45958</v>
      </c>
      <c r="B4499" s="8" t="s">
        <v>34</v>
      </c>
      <c r="C4499" s="9" t="n">
        <v>30</v>
      </c>
      <c r="D4499" s="8" t="s">
        <v>45</v>
      </c>
      <c r="E4499" s="10" t="s">
        <v>34</v>
      </c>
      <c r="F4499" s="8" t="str">
        <f aca="false">TEXT(A4499,"MM-YYYY")</f>
        <v>10-2025</v>
      </c>
      <c r="G4499" s="8" t="s">
        <v>14</v>
      </c>
      <c r="H4499" s="8"/>
      <c r="I4499" s="7"/>
      <c r="J4499" s="8" t="str">
        <f aca="false">VLOOKUP(B4499, Table3[#All], 2, FALSE())</f>
        <v>Staff Expenses</v>
      </c>
      <c r="K4499" s="8" t="str">
        <f aca="false">TEXT(ROW(), "0000")</f>
        <v>4499</v>
      </c>
      <c r="L4499" s="8"/>
    </row>
    <row r="4500" customFormat="false" ht="15.75" hidden="false" customHeight="true" outlineLevel="0" collapsed="false">
      <c r="A4500" s="7" t="n">
        <v>45958</v>
      </c>
      <c r="B4500" s="8" t="s">
        <v>16</v>
      </c>
      <c r="C4500" s="9" t="n">
        <v>3699</v>
      </c>
      <c r="D4500" s="8" t="s">
        <v>21</v>
      </c>
      <c r="E4500" s="10" t="s">
        <v>88</v>
      </c>
      <c r="F4500" s="8" t="str">
        <f aca="false">TEXT(A4500,"MM-YYYY")</f>
        <v>10-2025</v>
      </c>
      <c r="G4500" s="8"/>
      <c r="H4500" s="8"/>
      <c r="I4500" s="7"/>
      <c r="J4500" s="8" t="str">
        <f aca="false">VLOOKUP(B4500, Table3[#All], 2, FALSE())</f>
        <v>Sales</v>
      </c>
      <c r="K4500" s="8" t="str">
        <f aca="false">TEXT(ROW(), "0000")</f>
        <v>4500</v>
      </c>
      <c r="L4500" s="8"/>
    </row>
    <row r="4501" customFormat="false" ht="15.75" hidden="false" customHeight="true" outlineLevel="0" collapsed="false">
      <c r="A4501" s="7" t="n">
        <v>45958</v>
      </c>
      <c r="B4501" s="8" t="s">
        <v>16</v>
      </c>
      <c r="C4501" s="9" t="n">
        <v>16970</v>
      </c>
      <c r="D4501" s="8" t="s">
        <v>17</v>
      </c>
      <c r="E4501" s="10" t="s">
        <v>88</v>
      </c>
      <c r="F4501" s="8" t="str">
        <f aca="false">TEXT(A4501,"MM-YYYY")</f>
        <v>10-2025</v>
      </c>
      <c r="G4501" s="8"/>
      <c r="H4501" s="8"/>
      <c r="I4501" s="7"/>
      <c r="J4501" s="8" t="str">
        <f aca="false">VLOOKUP(B4501, Table3[#All], 2, FALSE())</f>
        <v>Sales</v>
      </c>
      <c r="K4501" s="8" t="str">
        <f aca="false">TEXT(ROW(), "0000")</f>
        <v>4501</v>
      </c>
      <c r="L4501" s="8"/>
    </row>
    <row r="4502" customFormat="false" ht="15.75" hidden="false" customHeight="true" outlineLevel="0" collapsed="false">
      <c r="A4502" s="7" t="n">
        <v>45958</v>
      </c>
      <c r="B4502" s="8" t="s">
        <v>16</v>
      </c>
      <c r="C4502" s="9" t="n">
        <v>5125</v>
      </c>
      <c r="D4502" s="8" t="s">
        <v>24</v>
      </c>
      <c r="E4502" s="10" t="s">
        <v>88</v>
      </c>
      <c r="F4502" s="8" t="str">
        <f aca="false">TEXT(A4502,"MM-YYYY")</f>
        <v>10-2025</v>
      </c>
      <c r="G4502" s="8"/>
      <c r="H4502" s="8"/>
      <c r="I4502" s="7"/>
      <c r="J4502" s="8" t="str">
        <f aca="false">VLOOKUP(B4502, Table3[#All], 2, FALSE())</f>
        <v>Sales</v>
      </c>
      <c r="K4502" s="8" t="str">
        <f aca="false">TEXT(ROW(), "0000")</f>
        <v>4502</v>
      </c>
      <c r="L4502" s="8"/>
    </row>
    <row r="4503" customFormat="false" ht="15.75" hidden="false" customHeight="true" outlineLevel="0" collapsed="false">
      <c r="A4503" s="7" t="n">
        <v>45958</v>
      </c>
      <c r="B4503" s="8" t="s">
        <v>629</v>
      </c>
      <c r="C4503" s="9" t="n">
        <v>30</v>
      </c>
      <c r="D4503" s="8" t="s">
        <v>21</v>
      </c>
      <c r="E4503" s="10" t="s">
        <v>630</v>
      </c>
      <c r="F4503" s="8" t="str">
        <f aca="false">TEXT(A4503,"MM-YYYY")</f>
        <v>10-2025</v>
      </c>
      <c r="G4503" s="8" t="s">
        <v>14</v>
      </c>
      <c r="H4503" s="8"/>
      <c r="I4503" s="7"/>
      <c r="J4503" s="8" t="str">
        <f aca="false">VLOOKUP(B4503, Table3[#All], 2, FALSE())</f>
        <v>Excess Amount Return</v>
      </c>
      <c r="K4503" s="8" t="str">
        <f aca="false">TEXT(ROW(), "0000")</f>
        <v>4503</v>
      </c>
      <c r="L4503" s="8"/>
    </row>
    <row r="4504" customFormat="false" ht="15.75" hidden="false" customHeight="true" outlineLevel="0" collapsed="false">
      <c r="A4504" s="7" t="n">
        <v>45959</v>
      </c>
      <c r="B4504" s="8" t="s">
        <v>25</v>
      </c>
      <c r="C4504" s="9" t="n">
        <v>745</v>
      </c>
      <c r="D4504" s="8" t="s">
        <v>13</v>
      </c>
      <c r="E4504" s="10" t="s">
        <v>92</v>
      </c>
      <c r="F4504" s="8" t="str">
        <f aca="false">TEXT(A4504,"MM-YYYY")</f>
        <v>10-2025</v>
      </c>
      <c r="G4504" s="8" t="s">
        <v>18</v>
      </c>
      <c r="H4504" s="8"/>
      <c r="I4504" s="7"/>
      <c r="J4504" s="8" t="str">
        <f aca="false">VLOOKUP(B4504, Table3[#All], 2, FALSE())</f>
        <v>Inventory</v>
      </c>
      <c r="K4504" s="8" t="str">
        <f aca="false">TEXT(ROW(), "0000")</f>
        <v>4504</v>
      </c>
      <c r="L4504" s="8"/>
    </row>
    <row r="4505" customFormat="false" ht="15.75" hidden="false" customHeight="true" outlineLevel="0" collapsed="false">
      <c r="A4505" s="7" t="n">
        <v>45959</v>
      </c>
      <c r="B4505" s="8" t="s">
        <v>19</v>
      </c>
      <c r="C4505" s="9" t="n">
        <v>5200</v>
      </c>
      <c r="D4505" s="8" t="s">
        <v>13</v>
      </c>
      <c r="E4505" s="10" t="s">
        <v>473</v>
      </c>
      <c r="F4505" s="8" t="str">
        <f aca="false">TEXT(A4505,"MM-YYYY")</f>
        <v>10-2025</v>
      </c>
      <c r="G4505" s="8" t="s">
        <v>14</v>
      </c>
      <c r="H4505" s="8"/>
      <c r="I4505" s="7"/>
      <c r="J4505" s="8" t="str">
        <f aca="false">VLOOKUP(B4505, Table3[#All], 2, FALSE())</f>
        <v>Inventory</v>
      </c>
      <c r="K4505" s="8" t="str">
        <f aca="false">TEXT(ROW(), "0000")</f>
        <v>4505</v>
      </c>
      <c r="L4505" s="8"/>
    </row>
    <row r="4506" customFormat="false" ht="15.75" hidden="false" customHeight="true" outlineLevel="0" collapsed="false">
      <c r="A4506" s="7" t="n">
        <v>45959</v>
      </c>
      <c r="B4506" s="8" t="s">
        <v>47</v>
      </c>
      <c r="C4506" s="9" t="n">
        <v>900</v>
      </c>
      <c r="D4506" s="8" t="s">
        <v>13</v>
      </c>
      <c r="E4506" s="10" t="s">
        <v>484</v>
      </c>
      <c r="F4506" s="8" t="str">
        <f aca="false">TEXT(A4506,"MM-YYYY")</f>
        <v>10-2025</v>
      </c>
      <c r="G4506" s="8" t="s">
        <v>18</v>
      </c>
      <c r="H4506" s="8"/>
      <c r="I4506" s="7"/>
      <c r="J4506" s="8" t="str">
        <f aca="false">VLOOKUP(B4506, Table3[#All], 2, FALSE())</f>
        <v>Inventory</v>
      </c>
      <c r="K4506" s="8" t="str">
        <f aca="false">TEXT(ROW(), "0000")</f>
        <v>4506</v>
      </c>
      <c r="L4506" s="8"/>
    </row>
    <row r="4507" customFormat="false" ht="15.75" hidden="false" customHeight="true" outlineLevel="0" collapsed="false">
      <c r="A4507" s="7" t="n">
        <v>45959</v>
      </c>
      <c r="B4507" s="8" t="s">
        <v>22</v>
      </c>
      <c r="C4507" s="9" t="n">
        <v>3640</v>
      </c>
      <c r="D4507" s="8" t="s">
        <v>13</v>
      </c>
      <c r="E4507" s="10" t="s">
        <v>23</v>
      </c>
      <c r="F4507" s="8" t="str">
        <f aca="false">TEXT(A4507,"MM-YYYY")</f>
        <v>10-2025</v>
      </c>
      <c r="G4507" s="8" t="s">
        <v>18</v>
      </c>
      <c r="H4507" s="8"/>
      <c r="I4507" s="7"/>
      <c r="J4507" s="8" t="str">
        <f aca="false">VLOOKUP(B4507, Table3[#All], 2, FALSE())</f>
        <v>Inventory</v>
      </c>
      <c r="K4507" s="8" t="str">
        <f aca="false">TEXT(ROW(), "0000")</f>
        <v>4507</v>
      </c>
      <c r="L4507" s="8"/>
    </row>
    <row r="4508" customFormat="false" ht="15.75" hidden="false" customHeight="true" outlineLevel="0" collapsed="false">
      <c r="A4508" s="7" t="n">
        <v>45959</v>
      </c>
      <c r="B4508" s="8" t="s">
        <v>60</v>
      </c>
      <c r="C4508" s="9" t="n">
        <v>210</v>
      </c>
      <c r="D4508" s="8" t="s">
        <v>21</v>
      </c>
      <c r="E4508" s="10" t="s">
        <v>60</v>
      </c>
      <c r="F4508" s="8" t="str">
        <f aca="false">TEXT(A4508,"MM-YYYY")</f>
        <v>10-2025</v>
      </c>
      <c r="G4508" s="8" t="s">
        <v>14</v>
      </c>
      <c r="H4508" s="8"/>
      <c r="I4508" s="7"/>
      <c r="J4508" s="8" t="str">
        <f aca="false">VLOOKUP(B4508, Table3[#All], 2, FALSE())</f>
        <v>Inventory</v>
      </c>
      <c r="K4508" s="8" t="str">
        <f aca="false">TEXT(ROW(), "0000")</f>
        <v>4508</v>
      </c>
      <c r="L4508" s="8"/>
    </row>
    <row r="4509" customFormat="false" ht="15.75" hidden="false" customHeight="true" outlineLevel="0" collapsed="false">
      <c r="A4509" s="7" t="n">
        <v>45959</v>
      </c>
      <c r="B4509" s="8" t="s">
        <v>29</v>
      </c>
      <c r="C4509" s="9" t="n">
        <v>20</v>
      </c>
      <c r="D4509" s="8" t="s">
        <v>21</v>
      </c>
      <c r="E4509" s="10" t="s">
        <v>65</v>
      </c>
      <c r="F4509" s="8" t="str">
        <f aca="false">TEXT(A4509,"MM-YYYY")</f>
        <v>10-2025</v>
      </c>
      <c r="G4509" s="8" t="s">
        <v>14</v>
      </c>
      <c r="H4509" s="8"/>
      <c r="I4509" s="7"/>
      <c r="J4509" s="8" t="str">
        <f aca="false">VLOOKUP(B4509, Table3[#All], 2, FALSE())</f>
        <v>Inventory</v>
      </c>
      <c r="K4509" s="8" t="str">
        <f aca="false">TEXT(ROW(), "0000")</f>
        <v>4509</v>
      </c>
      <c r="L4509" s="8"/>
    </row>
    <row r="4510" customFormat="false" ht="15.75" hidden="false" customHeight="true" outlineLevel="0" collapsed="false">
      <c r="A4510" s="7" t="n">
        <v>45959</v>
      </c>
      <c r="B4510" s="8" t="s">
        <v>51</v>
      </c>
      <c r="C4510" s="9" t="n">
        <v>2465</v>
      </c>
      <c r="D4510" s="8" t="s">
        <v>13</v>
      </c>
      <c r="E4510" s="10" t="s">
        <v>631</v>
      </c>
      <c r="F4510" s="8" t="str">
        <f aca="false">TEXT(A4510,"MM-YYYY")</f>
        <v>10-2025</v>
      </c>
      <c r="G4510" s="8" t="s">
        <v>18</v>
      </c>
      <c r="H4510" s="8"/>
      <c r="I4510" s="7"/>
      <c r="J4510" s="8" t="str">
        <f aca="false">VLOOKUP(B4510, Table3[#All], 2, FALSE())</f>
        <v>Inventory</v>
      </c>
      <c r="K4510" s="8" t="str">
        <f aca="false">TEXT(ROW(), "0000")</f>
        <v>4510</v>
      </c>
      <c r="L4510" s="8"/>
    </row>
    <row r="4511" customFormat="false" ht="15.75" hidden="false" customHeight="true" outlineLevel="0" collapsed="false">
      <c r="A4511" s="7" t="n">
        <v>45959</v>
      </c>
      <c r="B4511" s="8" t="s">
        <v>29</v>
      </c>
      <c r="C4511" s="9" t="n">
        <v>677</v>
      </c>
      <c r="D4511" s="8" t="s">
        <v>13</v>
      </c>
      <c r="E4511" s="10" t="s">
        <v>490</v>
      </c>
      <c r="F4511" s="8" t="str">
        <f aca="false">TEXT(A4511,"MM-YYYY")</f>
        <v>10-2025</v>
      </c>
      <c r="G4511" s="8" t="s">
        <v>18</v>
      </c>
      <c r="H4511" s="8"/>
      <c r="I4511" s="7"/>
      <c r="J4511" s="8" t="str">
        <f aca="false">VLOOKUP(B4511, Table3[#All], 2, FALSE())</f>
        <v>Inventory</v>
      </c>
      <c r="K4511" s="8" t="str">
        <f aca="false">TEXT(ROW(), "0000")</f>
        <v>4511</v>
      </c>
      <c r="L4511" s="8"/>
    </row>
    <row r="4512" customFormat="false" ht="15.75" hidden="false" customHeight="true" outlineLevel="0" collapsed="false">
      <c r="A4512" s="7" t="n">
        <v>45959</v>
      </c>
      <c r="B4512" s="8" t="s">
        <v>16</v>
      </c>
      <c r="C4512" s="9" t="n">
        <v>6418</v>
      </c>
      <c r="D4512" s="8" t="s">
        <v>21</v>
      </c>
      <c r="E4512" s="10" t="s">
        <v>88</v>
      </c>
      <c r="F4512" s="8" t="str">
        <f aca="false">TEXT(A4512,"MM-YYYY")</f>
        <v>10-2025</v>
      </c>
      <c r="G4512" s="8"/>
      <c r="H4512" s="8"/>
      <c r="I4512" s="7"/>
      <c r="J4512" s="8" t="str">
        <f aca="false">VLOOKUP(B4512, Table3[#All], 2, FALSE())</f>
        <v>Sales</v>
      </c>
      <c r="K4512" s="8" t="str">
        <f aca="false">TEXT(ROW(), "0000")</f>
        <v>4512</v>
      </c>
      <c r="L4512" s="8"/>
    </row>
    <row r="4513" customFormat="false" ht="15.75" hidden="false" customHeight="true" outlineLevel="0" collapsed="false">
      <c r="A4513" s="7" t="n">
        <v>45959</v>
      </c>
      <c r="B4513" s="8" t="s">
        <v>16</v>
      </c>
      <c r="C4513" s="9" t="n">
        <v>14811</v>
      </c>
      <c r="D4513" s="8" t="s">
        <v>17</v>
      </c>
      <c r="E4513" s="10" t="s">
        <v>88</v>
      </c>
      <c r="F4513" s="8" t="str">
        <f aca="false">TEXT(A4513,"MM-YYYY")</f>
        <v>10-2025</v>
      </c>
      <c r="G4513" s="8"/>
      <c r="H4513" s="8"/>
      <c r="I4513" s="7"/>
      <c r="J4513" s="8" t="str">
        <f aca="false">VLOOKUP(B4513, Table3[#All], 2, FALSE())</f>
        <v>Sales</v>
      </c>
      <c r="K4513" s="8" t="str">
        <f aca="false">TEXT(ROW(), "0000")</f>
        <v>4513</v>
      </c>
      <c r="L4513" s="8"/>
    </row>
    <row r="4514" customFormat="false" ht="15.75" hidden="false" customHeight="true" outlineLevel="0" collapsed="false">
      <c r="A4514" s="7" t="n">
        <v>45959</v>
      </c>
      <c r="B4514" s="8" t="s">
        <v>16</v>
      </c>
      <c r="C4514" s="9" t="n">
        <v>1750</v>
      </c>
      <c r="D4514" s="8" t="s">
        <v>27</v>
      </c>
      <c r="E4514" s="10" t="s">
        <v>88</v>
      </c>
      <c r="F4514" s="8" t="str">
        <f aca="false">TEXT(A4514,"MM-YYYY")</f>
        <v>10-2025</v>
      </c>
      <c r="G4514" s="8"/>
      <c r="H4514" s="8"/>
      <c r="I4514" s="7"/>
      <c r="J4514" s="8" t="str">
        <f aca="false">VLOOKUP(B4514, Table3[#All], 2, FALSE())</f>
        <v>Sales</v>
      </c>
      <c r="K4514" s="8" t="str">
        <f aca="false">TEXT(ROW(), "0000")</f>
        <v>4514</v>
      </c>
      <c r="L4514" s="8"/>
    </row>
    <row r="4515" customFormat="false" ht="15.75" hidden="false" customHeight="true" outlineLevel="0" collapsed="false">
      <c r="A4515" s="7" t="n">
        <v>45959</v>
      </c>
      <c r="B4515" s="8" t="s">
        <v>16</v>
      </c>
      <c r="C4515" s="9" t="n">
        <v>705</v>
      </c>
      <c r="D4515" s="8" t="s">
        <v>59</v>
      </c>
      <c r="E4515" s="10" t="s">
        <v>88</v>
      </c>
      <c r="F4515" s="8" t="str">
        <f aca="false">TEXT(A4515,"MM-YYYY")</f>
        <v>10-2025</v>
      </c>
      <c r="G4515" s="8"/>
      <c r="H4515" s="8"/>
      <c r="I4515" s="7"/>
      <c r="J4515" s="8" t="str">
        <f aca="false">VLOOKUP(B4515, Table3[#All], 2, FALSE())</f>
        <v>Sales</v>
      </c>
      <c r="K4515" s="8" t="str">
        <f aca="false">TEXT(ROW(), "0000")</f>
        <v>4515</v>
      </c>
      <c r="L4515" s="8"/>
    </row>
    <row r="4516" customFormat="false" ht="15.75" hidden="false" customHeight="true" outlineLevel="0" collapsed="false">
      <c r="A4516" s="7" t="n">
        <v>45959</v>
      </c>
      <c r="B4516" s="8" t="s">
        <v>16</v>
      </c>
      <c r="C4516" s="9" t="n">
        <v>1935</v>
      </c>
      <c r="D4516" s="8" t="s">
        <v>24</v>
      </c>
      <c r="E4516" s="10" t="s">
        <v>88</v>
      </c>
      <c r="F4516" s="8" t="str">
        <f aca="false">TEXT(A4516,"MM-YYYY")</f>
        <v>10-2025</v>
      </c>
      <c r="G4516" s="8"/>
      <c r="H4516" s="8"/>
      <c r="I4516" s="7"/>
      <c r="J4516" s="8" t="str">
        <f aca="false">VLOOKUP(B4516, Table3[#All], 2, FALSE())</f>
        <v>Sales</v>
      </c>
      <c r="K4516" s="8" t="str">
        <f aca="false">TEXT(ROW(), "0000")</f>
        <v>4516</v>
      </c>
      <c r="L4516" s="8"/>
    </row>
    <row r="4517" customFormat="false" ht="15.75" hidden="false" customHeight="true" outlineLevel="0" collapsed="false">
      <c r="A4517" s="7" t="n">
        <v>45959</v>
      </c>
      <c r="B4517" s="8" t="s">
        <v>16</v>
      </c>
      <c r="C4517" s="9" t="n">
        <v>90</v>
      </c>
      <c r="D4517" s="8" t="s">
        <v>33</v>
      </c>
      <c r="E4517" s="10" t="s">
        <v>88</v>
      </c>
      <c r="F4517" s="8" t="str">
        <f aca="false">TEXT(A4517,"MM-YYYY")</f>
        <v>10-2025</v>
      </c>
      <c r="G4517" s="8"/>
      <c r="H4517" s="8"/>
      <c r="I4517" s="7"/>
      <c r="J4517" s="8" t="str">
        <f aca="false">VLOOKUP(B4517, Table3[#All], 2, FALSE())</f>
        <v>Sales</v>
      </c>
      <c r="K4517" s="8" t="str">
        <f aca="false">TEXT(ROW(), "0000")</f>
        <v>4517</v>
      </c>
      <c r="L4517" s="8"/>
    </row>
    <row r="4518" customFormat="false" ht="15.75" hidden="false" customHeight="true" outlineLevel="0" collapsed="false">
      <c r="A4518" s="7" t="n">
        <v>45959</v>
      </c>
      <c r="B4518" s="8" t="s">
        <v>12</v>
      </c>
      <c r="C4518" s="9" t="n">
        <v>15</v>
      </c>
      <c r="D4518" s="8" t="s">
        <v>21</v>
      </c>
      <c r="E4518" s="10" t="s">
        <v>457</v>
      </c>
      <c r="F4518" s="8" t="str">
        <f aca="false">TEXT(A4518,"MM-YYYY")</f>
        <v>10-2025</v>
      </c>
      <c r="G4518" s="8" t="s">
        <v>14</v>
      </c>
      <c r="H4518" s="8"/>
      <c r="I4518" s="7"/>
      <c r="J4518" s="8" t="str">
        <f aca="false">VLOOKUP(B4518, Table3[#All], 2, FALSE())</f>
        <v>Fixed Maintance</v>
      </c>
      <c r="K4518" s="8" t="str">
        <f aca="false">TEXT(ROW(), "0000")</f>
        <v>4518</v>
      </c>
      <c r="L4518" s="8"/>
    </row>
    <row r="4519" customFormat="false" ht="15.75" hidden="false" customHeight="true" outlineLevel="0" collapsed="false">
      <c r="A4519" s="7" t="n">
        <v>45958</v>
      </c>
      <c r="B4519" s="8" t="s">
        <v>34</v>
      </c>
      <c r="C4519" s="9" t="n">
        <v>30</v>
      </c>
      <c r="D4519" s="8" t="s">
        <v>21</v>
      </c>
      <c r="E4519" s="10" t="s">
        <v>34</v>
      </c>
      <c r="F4519" s="8" t="str">
        <f aca="false">TEXT(A4519,"MM-YYYY")</f>
        <v>10-2025</v>
      </c>
      <c r="G4519" s="8" t="s">
        <v>14</v>
      </c>
      <c r="H4519" s="8"/>
      <c r="I4519" s="7"/>
      <c r="J4519" s="8" t="str">
        <f aca="false">VLOOKUP(B4519, Table3[#All], 2, FALSE())</f>
        <v>Staff Expenses</v>
      </c>
      <c r="K4519" s="8" t="str">
        <f aca="false">TEXT(ROW(), "0000")</f>
        <v>4519</v>
      </c>
      <c r="L4519" s="8"/>
    </row>
    <row r="4520" customFormat="false" ht="15.75" hidden="false" customHeight="true" outlineLevel="0" collapsed="false">
      <c r="A4520" s="7" t="n">
        <v>45959</v>
      </c>
      <c r="B4520" s="8" t="s">
        <v>37</v>
      </c>
      <c r="C4520" s="9" t="n">
        <v>10</v>
      </c>
      <c r="D4520" s="8" t="s">
        <v>21</v>
      </c>
      <c r="E4520" s="10" t="s">
        <v>632</v>
      </c>
      <c r="F4520" s="8" t="str">
        <f aca="false">TEXT(A4520,"MM-YYYY")</f>
        <v>10-2025</v>
      </c>
      <c r="G4520" s="8" t="s">
        <v>14</v>
      </c>
      <c r="H4520" s="8"/>
      <c r="I4520" s="7"/>
      <c r="J4520" s="8" t="str">
        <f aca="false">VLOOKUP(B4520, Table3[#All], 2, FALSE())</f>
        <v>Maintance</v>
      </c>
      <c r="K4520" s="8" t="str">
        <f aca="false">TEXT(ROW(), "0000")</f>
        <v>4520</v>
      </c>
      <c r="L4520" s="8"/>
    </row>
    <row r="4521" customFormat="false" ht="15.75" hidden="false" customHeight="true" outlineLevel="0" collapsed="false">
      <c r="A4521" s="7" t="n">
        <v>45960</v>
      </c>
      <c r="B4521" s="8" t="s">
        <v>25</v>
      </c>
      <c r="C4521" s="9" t="n">
        <v>960</v>
      </c>
      <c r="D4521" s="8" t="s">
        <v>13</v>
      </c>
      <c r="E4521" s="10" t="s">
        <v>92</v>
      </c>
      <c r="F4521" s="8" t="str">
        <f aca="false">TEXT(A4521,"MM-YYYY")</f>
        <v>10-2025</v>
      </c>
      <c r="G4521" s="8" t="s">
        <v>18</v>
      </c>
      <c r="H4521" s="8"/>
      <c r="I4521" s="7"/>
      <c r="J4521" s="8" t="str">
        <f aca="false">VLOOKUP(B4521, Table3[#All], 2, FALSE())</f>
        <v>Inventory</v>
      </c>
      <c r="K4521" s="8" t="str">
        <f aca="false">TEXT(ROW(), "0000")</f>
        <v>4521</v>
      </c>
      <c r="L4521" s="8"/>
    </row>
    <row r="4522" customFormat="false" ht="15.75" hidden="false" customHeight="true" outlineLevel="0" collapsed="false">
      <c r="A4522" s="7" t="n">
        <v>45960</v>
      </c>
      <c r="B4522" s="8" t="s">
        <v>19</v>
      </c>
      <c r="C4522" s="9" t="n">
        <v>6776</v>
      </c>
      <c r="D4522" s="8" t="s">
        <v>13</v>
      </c>
      <c r="E4522" s="10" t="s">
        <v>473</v>
      </c>
      <c r="F4522" s="8" t="str">
        <f aca="false">TEXT(A4522,"MM-YYYY")</f>
        <v>10-2025</v>
      </c>
      <c r="G4522" s="8" t="s">
        <v>14</v>
      </c>
      <c r="H4522" s="8"/>
      <c r="I4522" s="7"/>
      <c r="J4522" s="8" t="str">
        <f aca="false">VLOOKUP(B4522, Table3[#All], 2, FALSE())</f>
        <v>Inventory</v>
      </c>
      <c r="K4522" s="8" t="str">
        <f aca="false">TEXT(ROW(), "0000")</f>
        <v>4522</v>
      </c>
      <c r="L4522" s="8"/>
    </row>
    <row r="4523" customFormat="false" ht="15.75" hidden="false" customHeight="true" outlineLevel="0" collapsed="false">
      <c r="A4523" s="7" t="n">
        <v>45960</v>
      </c>
      <c r="B4523" s="8" t="s">
        <v>22</v>
      </c>
      <c r="C4523" s="9" t="n">
        <v>1400</v>
      </c>
      <c r="D4523" s="8" t="s">
        <v>45</v>
      </c>
      <c r="E4523" s="10" t="s">
        <v>633</v>
      </c>
      <c r="F4523" s="8" t="str">
        <f aca="false">TEXT(A4523,"MM-YYYY")</f>
        <v>10-2025</v>
      </c>
      <c r="G4523" s="8" t="s">
        <v>14</v>
      </c>
      <c r="H4523" s="8"/>
      <c r="I4523" s="7"/>
      <c r="J4523" s="8" t="str">
        <f aca="false">VLOOKUP(B4523, Table3[#All], 2, FALSE())</f>
        <v>Inventory</v>
      </c>
      <c r="K4523" s="8" t="str">
        <f aca="false">TEXT(ROW(), "0000")</f>
        <v>4523</v>
      </c>
      <c r="L4523" s="8"/>
    </row>
    <row r="4524" customFormat="false" ht="15.75" hidden="false" customHeight="true" outlineLevel="0" collapsed="false">
      <c r="A4524" s="7" t="n">
        <v>45960</v>
      </c>
      <c r="B4524" s="8" t="s">
        <v>29</v>
      </c>
      <c r="C4524" s="9" t="n">
        <v>5000</v>
      </c>
      <c r="D4524" s="8" t="s">
        <v>45</v>
      </c>
      <c r="E4524" s="10" t="s">
        <v>490</v>
      </c>
      <c r="F4524" s="8" t="str">
        <f aca="false">TEXT(A4524,"MM-YYYY")</f>
        <v>10-2025</v>
      </c>
      <c r="G4524" s="8" t="s">
        <v>14</v>
      </c>
      <c r="H4524" s="8" t="s">
        <v>232</v>
      </c>
      <c r="I4524" s="7" t="n">
        <v>45960</v>
      </c>
      <c r="J4524" s="8" t="str">
        <f aca="false">VLOOKUP(B4524, Table3[#All], 2, FALSE())</f>
        <v>Inventory</v>
      </c>
      <c r="K4524" s="8" t="str">
        <f aca="false">TEXT(ROW(), "0000")</f>
        <v>4524</v>
      </c>
      <c r="L4524" s="8"/>
    </row>
    <row r="4525" customFormat="false" ht="15.75" hidden="false" customHeight="true" outlineLevel="0" collapsed="false">
      <c r="A4525" s="7" t="n">
        <v>45960</v>
      </c>
      <c r="B4525" s="8" t="s">
        <v>53</v>
      </c>
      <c r="C4525" s="9" t="n">
        <v>900</v>
      </c>
      <c r="D4525" s="8" t="s">
        <v>45</v>
      </c>
      <c r="E4525" s="10" t="s">
        <v>634</v>
      </c>
      <c r="F4525" s="8" t="str">
        <f aca="false">TEXT(A4525,"MM-YYYY")</f>
        <v>10-2025</v>
      </c>
      <c r="G4525" s="8" t="s">
        <v>14</v>
      </c>
      <c r="H4525" s="8" t="s">
        <v>232</v>
      </c>
      <c r="I4525" s="7" t="n">
        <v>45960</v>
      </c>
      <c r="J4525" s="8" t="str">
        <f aca="false">VLOOKUP(B4525, Table3[#All], 2, FALSE())</f>
        <v>Grocery</v>
      </c>
      <c r="K4525" s="8" t="str">
        <f aca="false">TEXT(ROW(), "0000")</f>
        <v>4525</v>
      </c>
      <c r="L4525" s="8"/>
    </row>
    <row r="4526" customFormat="false" ht="15.75" hidden="false" customHeight="true" outlineLevel="0" collapsed="false">
      <c r="A4526" s="7" t="n">
        <v>45960</v>
      </c>
      <c r="B4526" s="8" t="s">
        <v>227</v>
      </c>
      <c r="C4526" s="9" t="n">
        <v>20</v>
      </c>
      <c r="D4526" s="8" t="s">
        <v>21</v>
      </c>
      <c r="E4526" s="10" t="s">
        <v>630</v>
      </c>
      <c r="F4526" s="8" t="str">
        <f aca="false">TEXT(A4526,"MM-YYYY")</f>
        <v>10-2025</v>
      </c>
      <c r="G4526" s="8" t="s">
        <v>14</v>
      </c>
      <c r="H4526" s="8"/>
      <c r="I4526" s="7"/>
      <c r="J4526" s="8" t="str">
        <f aca="false">VLOOKUP(B4526, Table3[#All], 2, FALSE())</f>
        <v>Maintance</v>
      </c>
      <c r="K4526" s="8" t="str">
        <f aca="false">TEXT(ROW(), "0000")</f>
        <v>4526</v>
      </c>
      <c r="L4526" s="8"/>
    </row>
    <row r="4527" customFormat="false" ht="15.75" hidden="false" customHeight="true" outlineLevel="0" collapsed="false">
      <c r="A4527" s="7" t="n">
        <v>45960</v>
      </c>
      <c r="B4527" s="8" t="s">
        <v>28</v>
      </c>
      <c r="C4527" s="9" t="n">
        <v>379</v>
      </c>
      <c r="D4527" s="8" t="s">
        <v>45</v>
      </c>
      <c r="E4527" s="10" t="s">
        <v>93</v>
      </c>
      <c r="F4527" s="8" t="str">
        <f aca="false">TEXT(A4527,"MM-YYYY")</f>
        <v>10-2025</v>
      </c>
      <c r="G4527" s="8" t="s">
        <v>14</v>
      </c>
      <c r="H4527" s="8" t="s">
        <v>232</v>
      </c>
      <c r="I4527" s="7" t="n">
        <v>45960</v>
      </c>
      <c r="J4527" s="8" t="str">
        <f aca="false">VLOOKUP(B4527, Table3[#All], 2, FALSE())</f>
        <v>Grocery</v>
      </c>
      <c r="K4527" s="8" t="str">
        <f aca="false">TEXT(ROW(), "0000")</f>
        <v>4527</v>
      </c>
      <c r="L4527" s="8"/>
    </row>
    <row r="4528" customFormat="false" ht="15.75" hidden="false" customHeight="true" outlineLevel="0" collapsed="false">
      <c r="A4528" s="7" t="n">
        <v>45960</v>
      </c>
      <c r="B4528" s="8" t="s">
        <v>29</v>
      </c>
      <c r="C4528" s="9" t="n">
        <v>120</v>
      </c>
      <c r="D4528" s="8" t="s">
        <v>45</v>
      </c>
      <c r="E4528" s="10" t="s">
        <v>41</v>
      </c>
      <c r="F4528" s="8" t="str">
        <f aca="false">TEXT(A4528,"MM-YYYY")</f>
        <v>10-2025</v>
      </c>
      <c r="G4528" s="8" t="s">
        <v>14</v>
      </c>
      <c r="H4528" s="8" t="s">
        <v>232</v>
      </c>
      <c r="I4528" s="7" t="n">
        <v>45960</v>
      </c>
      <c r="J4528" s="8" t="str">
        <f aca="false">VLOOKUP(B4528, Table3[#All], 2, FALSE())</f>
        <v>Inventory</v>
      </c>
      <c r="K4528" s="8" t="str">
        <f aca="false">TEXT(ROW(), "0000")</f>
        <v>4528</v>
      </c>
      <c r="L4528" s="8"/>
    </row>
    <row r="4529" customFormat="false" ht="15.75" hidden="false" customHeight="true" outlineLevel="0" collapsed="false">
      <c r="A4529" s="7" t="n">
        <v>45960</v>
      </c>
      <c r="B4529" s="8" t="s">
        <v>37</v>
      </c>
      <c r="C4529" s="9" t="n">
        <v>10</v>
      </c>
      <c r="D4529" s="8" t="s">
        <v>21</v>
      </c>
      <c r="E4529" s="10" t="s">
        <v>635</v>
      </c>
      <c r="F4529" s="8" t="str">
        <f aca="false">TEXT(A4529,"MM-YYYY")</f>
        <v>10-2025</v>
      </c>
      <c r="G4529" s="8" t="s">
        <v>14</v>
      </c>
      <c r="H4529" s="8" t="s">
        <v>15</v>
      </c>
      <c r="I4529" s="7" t="n">
        <v>45960</v>
      </c>
      <c r="J4529" s="8" t="str">
        <f aca="false">VLOOKUP(B4529, Table3[#All], 2, FALSE())</f>
        <v>Maintance</v>
      </c>
      <c r="K4529" s="8" t="str">
        <f aca="false">TEXT(ROW(), "0000")</f>
        <v>4529</v>
      </c>
      <c r="L4529" s="8"/>
    </row>
    <row r="4530" customFormat="false" ht="15.75" hidden="false" customHeight="true" outlineLevel="0" collapsed="false">
      <c r="A4530" s="7" t="n">
        <v>45960</v>
      </c>
      <c r="B4530" s="8" t="s">
        <v>16</v>
      </c>
      <c r="C4530" s="9" t="n">
        <v>3435</v>
      </c>
      <c r="D4530" s="8" t="s">
        <v>21</v>
      </c>
      <c r="E4530" s="10" t="s">
        <v>88</v>
      </c>
      <c r="F4530" s="8" t="str">
        <f aca="false">TEXT(A4530,"MM-YYYY")</f>
        <v>10-2025</v>
      </c>
      <c r="G4530" s="8"/>
      <c r="H4530" s="8"/>
      <c r="I4530" s="7"/>
      <c r="J4530" s="8" t="str">
        <f aca="false">VLOOKUP(B4530, Table3[#All], 2, FALSE())</f>
        <v>Sales</v>
      </c>
      <c r="K4530" s="8" t="str">
        <f aca="false">TEXT(ROW(), "0000")</f>
        <v>4530</v>
      </c>
      <c r="L4530" s="8"/>
    </row>
    <row r="4531" customFormat="false" ht="15.75" hidden="false" customHeight="true" outlineLevel="0" collapsed="false">
      <c r="A4531" s="7" t="n">
        <v>45960</v>
      </c>
      <c r="B4531" s="8" t="s">
        <v>16</v>
      </c>
      <c r="C4531" s="9" t="n">
        <v>13585</v>
      </c>
      <c r="D4531" s="8" t="s">
        <v>17</v>
      </c>
      <c r="E4531" s="10" t="s">
        <v>88</v>
      </c>
      <c r="F4531" s="8" t="str">
        <f aca="false">TEXT(A4531,"MM-YYYY")</f>
        <v>10-2025</v>
      </c>
      <c r="G4531" s="8"/>
      <c r="H4531" s="8"/>
      <c r="I4531" s="7"/>
      <c r="J4531" s="8" t="str">
        <f aca="false">VLOOKUP(B4531, Table3[#All], 2, FALSE())</f>
        <v>Sales</v>
      </c>
      <c r="K4531" s="8" t="str">
        <f aca="false">TEXT(ROW(), "0000")</f>
        <v>4531</v>
      </c>
      <c r="L4531" s="8"/>
    </row>
    <row r="4532" customFormat="false" ht="15.75" hidden="false" customHeight="true" outlineLevel="0" collapsed="false">
      <c r="A4532" s="7" t="n">
        <v>45960</v>
      </c>
      <c r="B4532" s="8" t="s">
        <v>16</v>
      </c>
      <c r="C4532" s="9" t="n">
        <v>690</v>
      </c>
      <c r="D4532" s="8" t="s">
        <v>59</v>
      </c>
      <c r="E4532" s="10" t="s">
        <v>88</v>
      </c>
      <c r="F4532" s="8" t="str">
        <f aca="false">TEXT(A4532,"MM-YYYY")</f>
        <v>10-2025</v>
      </c>
      <c r="G4532" s="8"/>
      <c r="H4532" s="8"/>
      <c r="I4532" s="7"/>
      <c r="J4532" s="8" t="str">
        <f aca="false">VLOOKUP(B4532, Table3[#All], 2, FALSE())</f>
        <v>Sales</v>
      </c>
      <c r="K4532" s="8" t="str">
        <f aca="false">TEXT(ROW(), "0000")</f>
        <v>4532</v>
      </c>
      <c r="L4532" s="8"/>
    </row>
    <row r="4533" customFormat="false" ht="15.75" hidden="false" customHeight="true" outlineLevel="0" collapsed="false">
      <c r="A4533" s="7" t="n">
        <v>45960</v>
      </c>
      <c r="B4533" s="8" t="s">
        <v>16</v>
      </c>
      <c r="C4533" s="9" t="n">
        <v>1120</v>
      </c>
      <c r="D4533" s="8" t="s">
        <v>24</v>
      </c>
      <c r="E4533" s="10" t="s">
        <v>88</v>
      </c>
      <c r="F4533" s="8" t="str">
        <f aca="false">TEXT(A4533,"MM-YYYY")</f>
        <v>10-2025</v>
      </c>
      <c r="G4533" s="8"/>
      <c r="H4533" s="8"/>
      <c r="I4533" s="7"/>
      <c r="J4533" s="8" t="str">
        <f aca="false">VLOOKUP(B4533, Table3[#All], 2, FALSE())</f>
        <v>Sales</v>
      </c>
      <c r="K4533" s="8" t="str">
        <f aca="false">TEXT(ROW(), "0000")</f>
        <v>4533</v>
      </c>
      <c r="L4533" s="8"/>
    </row>
    <row r="4534" customFormat="false" ht="15.75" hidden="false" customHeight="true" outlineLevel="0" collapsed="false">
      <c r="A4534" s="7" t="n">
        <v>45960</v>
      </c>
      <c r="B4534" s="8" t="s">
        <v>16</v>
      </c>
      <c r="C4534" s="9" t="n">
        <v>100</v>
      </c>
      <c r="D4534" s="8" t="s">
        <v>33</v>
      </c>
      <c r="E4534" s="10" t="s">
        <v>88</v>
      </c>
      <c r="F4534" s="8" t="str">
        <f aca="false">TEXT(A4534,"MM-YYYY")</f>
        <v>10-2025</v>
      </c>
      <c r="G4534" s="8"/>
      <c r="H4534" s="8"/>
      <c r="I4534" s="7"/>
      <c r="J4534" s="8" t="str">
        <f aca="false">VLOOKUP(B4534, Table3[#All], 2, FALSE())</f>
        <v>Sales</v>
      </c>
      <c r="K4534" s="8" t="str">
        <f aca="false">TEXT(ROW(), "0000")</f>
        <v>4534</v>
      </c>
      <c r="L4534" s="8"/>
    </row>
    <row r="4535" customFormat="false" ht="15.75" hidden="false" customHeight="true" outlineLevel="0" collapsed="false">
      <c r="A4535" s="7" t="n">
        <v>45960</v>
      </c>
      <c r="B4535" s="8" t="s">
        <v>29</v>
      </c>
      <c r="C4535" s="9" t="n">
        <v>994</v>
      </c>
      <c r="D4535" s="8" t="s">
        <v>13</v>
      </c>
      <c r="E4535" s="10" t="s">
        <v>490</v>
      </c>
      <c r="F4535" s="8" t="str">
        <f aca="false">TEXT(A4535,"MM-YYYY")</f>
        <v>10-2025</v>
      </c>
      <c r="G4535" s="8" t="s">
        <v>18</v>
      </c>
      <c r="H4535" s="8"/>
      <c r="I4535" s="7"/>
      <c r="J4535" s="8" t="str">
        <f aca="false">VLOOKUP(B4535, Table3[#All], 2, FALSE())</f>
        <v>Inventory</v>
      </c>
      <c r="K4535" s="8" t="str">
        <f aca="false">TEXT(ROW(), "0000")</f>
        <v>4535</v>
      </c>
      <c r="L4535" s="8"/>
    </row>
    <row r="4536" customFormat="false" ht="15.75" hidden="false" customHeight="true" outlineLevel="0" collapsed="false">
      <c r="A4536" s="7" t="n">
        <v>45960</v>
      </c>
      <c r="B4536" s="8" t="s">
        <v>51</v>
      </c>
      <c r="C4536" s="9" t="n">
        <v>110</v>
      </c>
      <c r="D4536" s="8" t="s">
        <v>45</v>
      </c>
      <c r="E4536" s="10" t="s">
        <v>636</v>
      </c>
      <c r="F4536" s="8" t="str">
        <f aca="false">TEXT(A4536,"MM-YYYY")</f>
        <v>10-2025</v>
      </c>
      <c r="G4536" s="8" t="s">
        <v>14</v>
      </c>
      <c r="H4536" s="8" t="s">
        <v>232</v>
      </c>
      <c r="I4536" s="7" t="n">
        <v>45960</v>
      </c>
      <c r="J4536" s="8" t="str">
        <f aca="false">VLOOKUP(B4536, Table3[#All], 2, FALSE())</f>
        <v>Inventory</v>
      </c>
      <c r="K4536" s="8" t="str">
        <f aca="false">TEXT(ROW(), "0000")</f>
        <v>4536</v>
      </c>
      <c r="L4536" s="8"/>
    </row>
    <row r="4537" customFormat="false" ht="15.75" hidden="false" customHeight="true" outlineLevel="0" collapsed="false">
      <c r="A4537" s="7" t="n">
        <v>45960</v>
      </c>
      <c r="B4537" s="8" t="s">
        <v>34</v>
      </c>
      <c r="C4537" s="9" t="n">
        <v>30</v>
      </c>
      <c r="D4537" s="8" t="s">
        <v>45</v>
      </c>
      <c r="E4537" s="10" t="s">
        <v>34</v>
      </c>
      <c r="F4537" s="8" t="str">
        <f aca="false">TEXT(A4537,"MM-YYYY")</f>
        <v>10-2025</v>
      </c>
      <c r="G4537" s="8" t="s">
        <v>14</v>
      </c>
      <c r="H4537" s="8" t="s">
        <v>232</v>
      </c>
      <c r="I4537" s="7" t="n">
        <v>45960</v>
      </c>
      <c r="J4537" s="8" t="str">
        <f aca="false">VLOOKUP(B4537, Table3[#All], 2, FALSE())</f>
        <v>Staff Expenses</v>
      </c>
      <c r="K4537" s="8" t="str">
        <f aca="false">TEXT(ROW(), "0000")</f>
        <v>4537</v>
      </c>
      <c r="L4537" s="8"/>
    </row>
    <row r="4538" customFormat="false" ht="15.75" hidden="false" customHeight="true" outlineLevel="0" collapsed="false">
      <c r="A4538" s="7" t="n">
        <v>45960</v>
      </c>
      <c r="B4538" s="8" t="s">
        <v>29</v>
      </c>
      <c r="C4538" s="9" t="n">
        <v>200</v>
      </c>
      <c r="D4538" s="8" t="s">
        <v>45</v>
      </c>
      <c r="E4538" s="10" t="s">
        <v>488</v>
      </c>
      <c r="F4538" s="8" t="str">
        <f aca="false">TEXT(A4538,"MM-YYYY")</f>
        <v>10-2025</v>
      </c>
      <c r="G4538" s="8" t="s">
        <v>14</v>
      </c>
      <c r="H4538" s="8" t="s">
        <v>232</v>
      </c>
      <c r="I4538" s="7"/>
      <c r="J4538" s="8" t="str">
        <f aca="false">VLOOKUP(B4538, Table3[#All], 2, FALSE())</f>
        <v>Inventory</v>
      </c>
      <c r="K4538" s="8" t="str">
        <f aca="false">TEXT(ROW(), "0000")</f>
        <v>4538</v>
      </c>
      <c r="L4538" s="8"/>
    </row>
    <row r="4539" customFormat="false" ht="15.75" hidden="false" customHeight="true" outlineLevel="0" collapsed="false">
      <c r="A4539" s="7" t="n">
        <v>45961</v>
      </c>
      <c r="B4539" s="8" t="s">
        <v>25</v>
      </c>
      <c r="C4539" s="9" t="n">
        <v>2020</v>
      </c>
      <c r="D4539" s="8" t="s">
        <v>13</v>
      </c>
      <c r="E4539" s="10" t="s">
        <v>92</v>
      </c>
      <c r="F4539" s="8" t="str">
        <f aca="false">TEXT(A4539,"MM-YYYY")</f>
        <v>10-2025</v>
      </c>
      <c r="G4539" s="8" t="s">
        <v>18</v>
      </c>
      <c r="H4539" s="8"/>
      <c r="I4539" s="7"/>
      <c r="J4539" s="8" t="str">
        <f aca="false">VLOOKUP(B4539, Table3[#All], 2, FALSE())</f>
        <v>Inventory</v>
      </c>
      <c r="K4539" s="8" t="str">
        <f aca="false">TEXT(ROW(), "0000")</f>
        <v>4539</v>
      </c>
      <c r="L4539" s="8"/>
    </row>
    <row r="4540" customFormat="false" ht="15.75" hidden="false" customHeight="true" outlineLevel="0" collapsed="false">
      <c r="A4540" s="7" t="n">
        <v>45961</v>
      </c>
      <c r="B4540" s="8" t="s">
        <v>47</v>
      </c>
      <c r="C4540" s="9" t="n">
        <v>1800</v>
      </c>
      <c r="D4540" s="8" t="s">
        <v>13</v>
      </c>
      <c r="E4540" s="10" t="s">
        <v>484</v>
      </c>
      <c r="F4540" s="8" t="str">
        <f aca="false">TEXT(A4540,"MM-YYYY")</f>
        <v>10-2025</v>
      </c>
      <c r="G4540" s="8" t="s">
        <v>18</v>
      </c>
      <c r="H4540" s="8"/>
      <c r="I4540" s="7"/>
      <c r="J4540" s="8" t="str">
        <f aca="false">VLOOKUP(B4540, Table3[#All], 2, FALSE())</f>
        <v>Inventory</v>
      </c>
      <c r="K4540" s="8" t="str">
        <f aca="false">TEXT(ROW(), "0000")</f>
        <v>4540</v>
      </c>
      <c r="L4540" s="8"/>
    </row>
    <row r="4541" customFormat="false" ht="15.75" hidden="false" customHeight="true" outlineLevel="0" collapsed="false">
      <c r="A4541" s="7" t="n">
        <v>45961</v>
      </c>
      <c r="B4541" s="8" t="s">
        <v>19</v>
      </c>
      <c r="C4541" s="9" t="n">
        <v>4315</v>
      </c>
      <c r="D4541" s="8" t="s">
        <v>13</v>
      </c>
      <c r="E4541" s="10" t="s">
        <v>473</v>
      </c>
      <c r="F4541" s="8" t="str">
        <f aca="false">TEXT(A4541,"MM-YYYY")</f>
        <v>10-2025</v>
      </c>
      <c r="G4541" s="8" t="s">
        <v>14</v>
      </c>
      <c r="H4541" s="8"/>
      <c r="I4541" s="7"/>
      <c r="J4541" s="8" t="str">
        <f aca="false">VLOOKUP(B4541, Table3[#All], 2, FALSE())</f>
        <v>Inventory</v>
      </c>
      <c r="K4541" s="8" t="str">
        <f aca="false">TEXT(ROW(), "0000")</f>
        <v>4541</v>
      </c>
      <c r="L4541" s="8"/>
    </row>
    <row r="4542" customFormat="false" ht="15.75" hidden="false" customHeight="true" outlineLevel="0" collapsed="false">
      <c r="A4542" s="7" t="n">
        <v>45961</v>
      </c>
      <c r="B4542" s="8" t="s">
        <v>37</v>
      </c>
      <c r="C4542" s="9" t="n">
        <v>10</v>
      </c>
      <c r="D4542" s="8" t="s">
        <v>21</v>
      </c>
      <c r="E4542" s="10" t="s">
        <v>635</v>
      </c>
      <c r="F4542" s="8" t="str">
        <f aca="false">TEXT(A4542,"MM-YYYY")</f>
        <v>10-2025</v>
      </c>
      <c r="G4542" s="8" t="s">
        <v>14</v>
      </c>
      <c r="H4542" s="8" t="s">
        <v>232</v>
      </c>
      <c r="I4542" s="7"/>
      <c r="J4542" s="8" t="str">
        <f aca="false">VLOOKUP(B4542, Table3[#All], 2, FALSE())</f>
        <v>Maintance</v>
      </c>
      <c r="K4542" s="8" t="str">
        <f aca="false">TEXT(ROW(), "0000")</f>
        <v>4542</v>
      </c>
      <c r="L4542" s="8"/>
    </row>
    <row r="4543" customFormat="false" ht="15.75" hidden="false" customHeight="true" outlineLevel="0" collapsed="false">
      <c r="A4543" s="7" t="n">
        <v>45961</v>
      </c>
      <c r="B4543" s="8" t="s">
        <v>37</v>
      </c>
      <c r="C4543" s="9" t="n">
        <v>5</v>
      </c>
      <c r="D4543" s="8" t="s">
        <v>21</v>
      </c>
      <c r="E4543" s="10" t="s">
        <v>635</v>
      </c>
      <c r="F4543" s="8" t="str">
        <f aca="false">TEXT(A4543,"MM-YYYY")</f>
        <v>10-2025</v>
      </c>
      <c r="G4543" s="8" t="s">
        <v>14</v>
      </c>
      <c r="H4543" s="8"/>
      <c r="I4543" s="7"/>
      <c r="J4543" s="8" t="str">
        <f aca="false">VLOOKUP(B4543, Table3[#All], 2, FALSE())</f>
        <v>Maintance</v>
      </c>
      <c r="K4543" s="8" t="str">
        <f aca="false">TEXT(ROW(), "0000")</f>
        <v>4543</v>
      </c>
      <c r="L4543" s="8"/>
    </row>
    <row r="4544" customFormat="false" ht="15.75" hidden="false" customHeight="true" outlineLevel="0" collapsed="false">
      <c r="A4544" s="7" t="n">
        <v>45961</v>
      </c>
      <c r="B4544" s="8" t="s">
        <v>29</v>
      </c>
      <c r="C4544" s="9" t="n">
        <v>30</v>
      </c>
      <c r="D4544" s="8" t="s">
        <v>21</v>
      </c>
      <c r="E4544" s="10" t="s">
        <v>65</v>
      </c>
      <c r="F4544" s="8" t="str">
        <f aca="false">TEXT(A4544,"MM-YYYY")</f>
        <v>10-2025</v>
      </c>
      <c r="G4544" s="8" t="s">
        <v>14</v>
      </c>
      <c r="H4544" s="8"/>
      <c r="I4544" s="7"/>
      <c r="J4544" s="8" t="str">
        <f aca="false">VLOOKUP(B4544, Table3[#All], 2, FALSE())</f>
        <v>Inventory</v>
      </c>
      <c r="K4544" s="8" t="str">
        <f aca="false">TEXT(ROW(), "0000")</f>
        <v>4544</v>
      </c>
      <c r="L4544" s="8"/>
    </row>
    <row r="4545" customFormat="false" ht="15.75" hidden="false" customHeight="true" outlineLevel="0" collapsed="false">
      <c r="A4545" s="7" t="n">
        <v>45961</v>
      </c>
      <c r="B4545" s="8" t="s">
        <v>60</v>
      </c>
      <c r="C4545" s="9" t="n">
        <v>210</v>
      </c>
      <c r="D4545" s="8" t="s">
        <v>21</v>
      </c>
      <c r="E4545" s="10" t="s">
        <v>60</v>
      </c>
      <c r="F4545" s="8" t="str">
        <f aca="false">TEXT(A4545,"MM-YYYY")</f>
        <v>10-2025</v>
      </c>
      <c r="G4545" s="8" t="s">
        <v>14</v>
      </c>
      <c r="H4545" s="8" t="s">
        <v>232</v>
      </c>
      <c r="I4545" s="7" t="n">
        <v>45961</v>
      </c>
      <c r="J4545" s="8" t="str">
        <f aca="false">VLOOKUP(B4545, Table3[#All], 2, FALSE())</f>
        <v>Inventory</v>
      </c>
      <c r="K4545" s="8" t="str">
        <f aca="false">TEXT(ROW(), "0000")</f>
        <v>4545</v>
      </c>
      <c r="L4545" s="8"/>
    </row>
    <row r="4546" customFormat="false" ht="15.75" hidden="false" customHeight="true" outlineLevel="0" collapsed="false">
      <c r="A4546" s="7" t="n">
        <v>45961</v>
      </c>
      <c r="B4546" s="8" t="s">
        <v>43</v>
      </c>
      <c r="C4546" s="9" t="n">
        <v>320</v>
      </c>
      <c r="D4546" s="8" t="s">
        <v>45</v>
      </c>
      <c r="E4546" s="10" t="s">
        <v>524</v>
      </c>
      <c r="F4546" s="8" t="str">
        <f aca="false">TEXT(A4546,"MM-YYYY")</f>
        <v>10-2025</v>
      </c>
      <c r="G4546" s="8" t="s">
        <v>14</v>
      </c>
      <c r="H4546" s="8" t="s">
        <v>232</v>
      </c>
      <c r="I4546" s="7"/>
      <c r="J4546" s="8" t="str">
        <f aca="false">VLOOKUP(B4546, Table3[#All], 2, FALSE())</f>
        <v>Maintance</v>
      </c>
      <c r="K4546" s="8" t="str">
        <f aca="false">TEXT(ROW(), "0000")</f>
        <v>4546</v>
      </c>
      <c r="L4546" s="8"/>
    </row>
    <row r="4547" customFormat="false" ht="15.75" hidden="false" customHeight="true" outlineLevel="0" collapsed="false">
      <c r="A4547" s="7" t="n">
        <v>45961</v>
      </c>
      <c r="B4547" s="8" t="s">
        <v>29</v>
      </c>
      <c r="C4547" s="9" t="n">
        <v>470</v>
      </c>
      <c r="D4547" s="8" t="s">
        <v>45</v>
      </c>
      <c r="E4547" s="10" t="s">
        <v>78</v>
      </c>
      <c r="F4547" s="8" t="str">
        <f aca="false">TEXT(A4547,"MM-YYYY")</f>
        <v>10-2025</v>
      </c>
      <c r="G4547" s="8" t="s">
        <v>14</v>
      </c>
      <c r="H4547" s="8" t="s">
        <v>232</v>
      </c>
      <c r="I4547" s="7"/>
      <c r="J4547" s="8" t="str">
        <f aca="false">VLOOKUP(B4547, Table3[#All], 2, FALSE())</f>
        <v>Inventory</v>
      </c>
      <c r="K4547" s="8" t="str">
        <f aca="false">TEXT(ROW(), "0000")</f>
        <v>4547</v>
      </c>
      <c r="L4547" s="8"/>
    </row>
    <row r="4548" customFormat="false" ht="15.75" hidden="false" customHeight="true" outlineLevel="0" collapsed="false">
      <c r="A4548" s="7" t="n">
        <v>45961</v>
      </c>
      <c r="B4548" s="8" t="s">
        <v>31</v>
      </c>
      <c r="C4548" s="9" t="n">
        <v>310</v>
      </c>
      <c r="D4548" s="8" t="s">
        <v>45</v>
      </c>
      <c r="E4548" s="10" t="s">
        <v>147</v>
      </c>
      <c r="F4548" s="8" t="str">
        <f aca="false">TEXT(A4548,"MM-YYYY")</f>
        <v>10-2025</v>
      </c>
      <c r="G4548" s="8" t="s">
        <v>14</v>
      </c>
      <c r="H4548" s="8" t="s">
        <v>232</v>
      </c>
      <c r="I4548" s="7"/>
      <c r="J4548" s="8" t="str">
        <f aca="false">VLOOKUP(B4548, Table3[#All], 2, FALSE())</f>
        <v>Bike Maintance</v>
      </c>
      <c r="K4548" s="8" t="str">
        <f aca="false">TEXT(ROW(), "0000")</f>
        <v>4548</v>
      </c>
      <c r="L4548" s="8"/>
    </row>
    <row r="4549" customFormat="false" ht="15.75" hidden="false" customHeight="true" outlineLevel="0" collapsed="false">
      <c r="A4549" s="7" t="n">
        <v>45961</v>
      </c>
      <c r="B4549" s="8" t="s">
        <v>22</v>
      </c>
      <c r="C4549" s="9" t="n">
        <v>70</v>
      </c>
      <c r="D4549" s="8" t="s">
        <v>45</v>
      </c>
      <c r="E4549" s="10" t="s">
        <v>438</v>
      </c>
      <c r="F4549" s="8" t="str">
        <f aca="false">TEXT(A4549,"MM-YYYY")</f>
        <v>10-2025</v>
      </c>
      <c r="G4549" s="8" t="s">
        <v>14</v>
      </c>
      <c r="H4549" s="8" t="s">
        <v>232</v>
      </c>
      <c r="I4549" s="7"/>
      <c r="J4549" s="8" t="str">
        <f aca="false">VLOOKUP(B4549, Table3[#All], 2, FALSE())</f>
        <v>Inventory</v>
      </c>
      <c r="K4549" s="8" t="str">
        <f aca="false">TEXT(ROW(), "0000")</f>
        <v>4549</v>
      </c>
      <c r="L4549" s="8"/>
    </row>
    <row r="4550" customFormat="false" ht="15.75" hidden="false" customHeight="true" outlineLevel="0" collapsed="false">
      <c r="A4550" s="7" t="n">
        <v>45961</v>
      </c>
      <c r="B4550" s="8" t="s">
        <v>29</v>
      </c>
      <c r="C4550" s="9" t="n">
        <v>745</v>
      </c>
      <c r="D4550" s="8" t="s">
        <v>13</v>
      </c>
      <c r="E4550" s="10" t="s">
        <v>490</v>
      </c>
      <c r="F4550" s="8" t="str">
        <f aca="false">TEXT(A4550,"MM-YYYY")</f>
        <v>10-2025</v>
      </c>
      <c r="G4550" s="8" t="s">
        <v>18</v>
      </c>
      <c r="H4550" s="8"/>
      <c r="I4550" s="7"/>
      <c r="J4550" s="8" t="str">
        <f aca="false">VLOOKUP(B4550, Table3[#All], 2, FALSE())</f>
        <v>Inventory</v>
      </c>
      <c r="K4550" s="8" t="str">
        <f aca="false">TEXT(ROW(), "0000")</f>
        <v>4550</v>
      </c>
      <c r="L4550" s="8"/>
    </row>
    <row r="4551" customFormat="false" ht="15.75" hidden="false" customHeight="true" outlineLevel="0" collapsed="false">
      <c r="A4551" s="7" t="n">
        <v>45961</v>
      </c>
      <c r="B4551" s="8" t="s">
        <v>16</v>
      </c>
      <c r="C4551" s="9" t="n">
        <v>3450</v>
      </c>
      <c r="D4551" s="8" t="s">
        <v>21</v>
      </c>
      <c r="E4551" s="10" t="s">
        <v>88</v>
      </c>
      <c r="F4551" s="8" t="str">
        <f aca="false">TEXT(A4551,"MM-YYYY")</f>
        <v>10-2025</v>
      </c>
      <c r="G4551" s="8"/>
      <c r="H4551" s="8"/>
      <c r="I4551" s="7"/>
      <c r="J4551" s="8" t="str">
        <f aca="false">VLOOKUP(B4551, Table3[#All], 2, FALSE())</f>
        <v>Sales</v>
      </c>
      <c r="K4551" s="8" t="str">
        <f aca="false">TEXT(ROW(), "0000")</f>
        <v>4551</v>
      </c>
      <c r="L4551" s="8"/>
    </row>
    <row r="4552" customFormat="false" ht="15.75" hidden="false" customHeight="true" outlineLevel="0" collapsed="false">
      <c r="A4552" s="7" t="n">
        <v>45961</v>
      </c>
      <c r="B4552" s="8" t="s">
        <v>16</v>
      </c>
      <c r="C4552" s="9" t="n">
        <v>36525</v>
      </c>
      <c r="D4552" s="8" t="s">
        <v>17</v>
      </c>
      <c r="E4552" s="10" t="s">
        <v>88</v>
      </c>
      <c r="F4552" s="8" t="str">
        <f aca="false">TEXT(A4552,"MM-YYYY")</f>
        <v>10-2025</v>
      </c>
      <c r="G4552" s="8"/>
      <c r="H4552" s="8"/>
      <c r="I4552" s="7"/>
      <c r="J4552" s="8" t="str">
        <f aca="false">VLOOKUP(B4552, Table3[#All], 2, FALSE())</f>
        <v>Sales</v>
      </c>
      <c r="K4552" s="8" t="str">
        <f aca="false">TEXT(ROW(), "0000")</f>
        <v>4552</v>
      </c>
      <c r="L4552" s="8"/>
    </row>
    <row r="4553" customFormat="false" ht="15.75" hidden="false" customHeight="true" outlineLevel="0" collapsed="false">
      <c r="A4553" s="7" t="n">
        <v>45961</v>
      </c>
      <c r="B4553" s="8" t="s">
        <v>16</v>
      </c>
      <c r="C4553" s="9" t="n">
        <v>279</v>
      </c>
      <c r="D4553" s="8" t="s">
        <v>33</v>
      </c>
      <c r="E4553" s="10" t="s">
        <v>88</v>
      </c>
      <c r="F4553" s="8" t="str">
        <f aca="false">TEXT(A4553,"MM-YYYY")</f>
        <v>10-2025</v>
      </c>
      <c r="G4553" s="8"/>
      <c r="H4553" s="8"/>
      <c r="I4553" s="7"/>
      <c r="J4553" s="8" t="str">
        <f aca="false">VLOOKUP(B4553, Table3[#All], 2, FALSE())</f>
        <v>Sales</v>
      </c>
      <c r="K4553" s="8" t="str">
        <f aca="false">TEXT(ROW(), "0000")</f>
        <v>4553</v>
      </c>
      <c r="L4553" s="8"/>
    </row>
    <row r="4554" customFormat="false" ht="15.75" hidden="false" customHeight="true" outlineLevel="0" collapsed="false">
      <c r="A4554" s="7" t="n">
        <v>45961</v>
      </c>
      <c r="B4554" s="8" t="s">
        <v>16</v>
      </c>
      <c r="C4554" s="9" t="n">
        <v>1780</v>
      </c>
      <c r="D4554" s="8" t="s">
        <v>24</v>
      </c>
      <c r="E4554" s="10" t="s">
        <v>88</v>
      </c>
      <c r="F4554" s="8" t="str">
        <f aca="false">TEXT(A4554,"MM-YYYY")</f>
        <v>10-2025</v>
      </c>
      <c r="G4554" s="8"/>
      <c r="H4554" s="8"/>
      <c r="I4554" s="7"/>
      <c r="J4554" s="8" t="str">
        <f aca="false">VLOOKUP(B4554, Table3[#All], 2, FALSE())</f>
        <v>Sales</v>
      </c>
      <c r="K4554" s="8" t="str">
        <f aca="false">TEXT(ROW(), "0000")</f>
        <v>4554</v>
      </c>
      <c r="L4554" s="8"/>
    </row>
    <row r="4555" customFormat="false" ht="15.75" hidden="false" customHeight="true" outlineLevel="0" collapsed="false">
      <c r="A4555" s="7" t="n">
        <v>45961</v>
      </c>
      <c r="B4555" s="8" t="s">
        <v>16</v>
      </c>
      <c r="C4555" s="9" t="n">
        <v>2085</v>
      </c>
      <c r="D4555" s="8" t="s">
        <v>27</v>
      </c>
      <c r="E4555" s="10" t="s">
        <v>88</v>
      </c>
      <c r="F4555" s="8" t="str">
        <f aca="false">TEXT(A4555,"MM-YYYY")</f>
        <v>10-2025</v>
      </c>
      <c r="G4555" s="8"/>
      <c r="H4555" s="8"/>
      <c r="I4555" s="7"/>
      <c r="J4555" s="8" t="str">
        <f aca="false">VLOOKUP(B4555, Table3[#All], 2, FALSE())</f>
        <v>Sales</v>
      </c>
      <c r="K4555" s="8" t="str">
        <f aca="false">TEXT(ROW(), "0000")</f>
        <v>4555</v>
      </c>
      <c r="L4555" s="8"/>
    </row>
    <row r="4556" customFormat="false" ht="15.75" hidden="false" customHeight="true" outlineLevel="0" collapsed="false">
      <c r="A4556" s="7" t="n">
        <v>45962</v>
      </c>
      <c r="B4556" s="8" t="s">
        <v>25</v>
      </c>
      <c r="C4556" s="9" t="n">
        <v>1800</v>
      </c>
      <c r="D4556" s="8" t="s">
        <v>13</v>
      </c>
      <c r="E4556" s="10" t="s">
        <v>92</v>
      </c>
      <c r="F4556" s="8" t="str">
        <f aca="false">TEXT(A4556,"MM-YYYY")</f>
        <v>11-2025</v>
      </c>
      <c r="G4556" s="8" t="s">
        <v>18</v>
      </c>
      <c r="H4556" s="8"/>
      <c r="I4556" s="7"/>
      <c r="J4556" s="8" t="str">
        <f aca="false">VLOOKUP(B4556, Table3[#All], 2, FALSE())</f>
        <v>Inventory</v>
      </c>
      <c r="K4556" s="8" t="str">
        <f aca="false">TEXT(ROW(), "0000")</f>
        <v>4556</v>
      </c>
      <c r="L4556" s="8"/>
    </row>
    <row r="4557" customFormat="false" ht="15.75" hidden="false" customHeight="true" outlineLevel="0" collapsed="false">
      <c r="A4557" s="7" t="n">
        <v>45962</v>
      </c>
      <c r="B4557" s="8" t="s">
        <v>19</v>
      </c>
      <c r="C4557" s="9" t="n">
        <v>10354</v>
      </c>
      <c r="D4557" s="8" t="s">
        <v>13</v>
      </c>
      <c r="E4557" s="10" t="s">
        <v>473</v>
      </c>
      <c r="F4557" s="8" t="str">
        <f aca="false">TEXT(A4557,"MM-YYYY")</f>
        <v>11-2025</v>
      </c>
      <c r="G4557" s="8" t="s">
        <v>14</v>
      </c>
      <c r="H4557" s="8"/>
      <c r="I4557" s="7"/>
      <c r="J4557" s="8" t="str">
        <f aca="false">VLOOKUP(B4557, Table3[#All], 2, FALSE())</f>
        <v>Inventory</v>
      </c>
      <c r="K4557" s="8" t="str">
        <f aca="false">TEXT(ROW(), "0000")</f>
        <v>4557</v>
      </c>
      <c r="L4557" s="8"/>
    </row>
    <row r="4558" customFormat="false" ht="15.75" hidden="false" customHeight="true" outlineLevel="0" collapsed="false">
      <c r="A4558" s="7" t="n">
        <v>45962</v>
      </c>
      <c r="B4558" s="8" t="s">
        <v>29</v>
      </c>
      <c r="C4558" s="9" t="n">
        <v>691</v>
      </c>
      <c r="D4558" s="8" t="s">
        <v>13</v>
      </c>
      <c r="E4558" s="10" t="s">
        <v>490</v>
      </c>
      <c r="F4558" s="8" t="str">
        <f aca="false">TEXT(A4558,"MM-YYYY")</f>
        <v>11-2025</v>
      </c>
      <c r="G4558" s="8" t="s">
        <v>18</v>
      </c>
      <c r="H4558" s="8"/>
      <c r="I4558" s="7"/>
      <c r="J4558" s="8" t="str">
        <f aca="false">VLOOKUP(B4558, Table3[#All], 2, FALSE())</f>
        <v>Inventory</v>
      </c>
      <c r="K4558" s="8" t="str">
        <f aca="false">TEXT(ROW(), "0000")</f>
        <v>4558</v>
      </c>
      <c r="L4558" s="8"/>
    </row>
    <row r="4559" customFormat="false" ht="15.75" hidden="false" customHeight="true" outlineLevel="0" collapsed="false">
      <c r="A4559" s="7" t="n">
        <v>45962</v>
      </c>
      <c r="B4559" s="8" t="s">
        <v>37</v>
      </c>
      <c r="C4559" s="9" t="n">
        <v>20</v>
      </c>
      <c r="D4559" s="8" t="s">
        <v>21</v>
      </c>
      <c r="E4559" s="10" t="s">
        <v>635</v>
      </c>
      <c r="F4559" s="8" t="str">
        <f aca="false">TEXT(A4559,"MM-YYYY")</f>
        <v>11-2025</v>
      </c>
      <c r="G4559" s="8" t="s">
        <v>14</v>
      </c>
      <c r="H4559" s="8"/>
      <c r="I4559" s="7"/>
      <c r="J4559" s="8" t="str">
        <f aca="false">VLOOKUP(B4559, Table3[#All], 2, FALSE())</f>
        <v>Maintance</v>
      </c>
      <c r="K4559" s="8" t="str">
        <f aca="false">TEXT(ROW(), "0000")</f>
        <v>4559</v>
      </c>
      <c r="L4559" s="8"/>
    </row>
    <row r="4560" customFormat="false" ht="15.75" hidden="false" customHeight="true" outlineLevel="0" collapsed="false">
      <c r="A4560" s="7" t="n">
        <v>45962</v>
      </c>
      <c r="B4560" s="8" t="s">
        <v>28</v>
      </c>
      <c r="C4560" s="9" t="n">
        <v>366</v>
      </c>
      <c r="D4560" s="8" t="s">
        <v>21</v>
      </c>
      <c r="E4560" s="10" t="s">
        <v>93</v>
      </c>
      <c r="F4560" s="8" t="str">
        <f aca="false">TEXT(A4560,"MM-YYYY")</f>
        <v>11-2025</v>
      </c>
      <c r="G4560" s="8" t="s">
        <v>14</v>
      </c>
      <c r="H4560" s="8" t="s">
        <v>232</v>
      </c>
      <c r="I4560" s="7"/>
      <c r="J4560" s="8" t="str">
        <f aca="false">VLOOKUP(B4560, Table3[#All], 2, FALSE())</f>
        <v>Grocery</v>
      </c>
      <c r="K4560" s="8" t="str">
        <f aca="false">TEXT(ROW(), "0000")</f>
        <v>4560</v>
      </c>
      <c r="L4560" s="8"/>
    </row>
    <row r="4561" customFormat="false" ht="15.75" hidden="false" customHeight="true" outlineLevel="0" collapsed="false">
      <c r="A4561" s="7" t="n">
        <v>45962</v>
      </c>
      <c r="B4561" s="8" t="s">
        <v>16</v>
      </c>
      <c r="C4561" s="9" t="n">
        <v>591</v>
      </c>
      <c r="D4561" s="8" t="s">
        <v>21</v>
      </c>
      <c r="E4561" s="10" t="s">
        <v>88</v>
      </c>
      <c r="F4561" s="8" t="str">
        <f aca="false">TEXT(A4561,"MM-YYYY")</f>
        <v>11-2025</v>
      </c>
      <c r="G4561" s="8"/>
      <c r="H4561" s="8"/>
      <c r="I4561" s="7"/>
      <c r="J4561" s="8" t="str">
        <f aca="false">VLOOKUP(B4561, Table3[#All], 2, FALSE())</f>
        <v>Sales</v>
      </c>
      <c r="K4561" s="8" t="str">
        <f aca="false">TEXT(ROW(), "0000")</f>
        <v>4561</v>
      </c>
      <c r="L4561" s="8"/>
    </row>
    <row r="4562" customFormat="false" ht="15.75" hidden="false" customHeight="true" outlineLevel="0" collapsed="false">
      <c r="A4562" s="7" t="n">
        <v>45962</v>
      </c>
      <c r="B4562" s="8" t="s">
        <v>16</v>
      </c>
      <c r="C4562" s="9" t="n">
        <v>24374</v>
      </c>
      <c r="D4562" s="8" t="s">
        <v>17</v>
      </c>
      <c r="E4562" s="10" t="s">
        <v>88</v>
      </c>
      <c r="F4562" s="8" t="str">
        <f aca="false">TEXT(A4562,"MM-YYYY")</f>
        <v>11-2025</v>
      </c>
      <c r="G4562" s="8"/>
      <c r="H4562" s="8"/>
      <c r="I4562" s="7"/>
      <c r="J4562" s="8" t="str">
        <f aca="false">VLOOKUP(B4562, Table3[#All], 2, FALSE())</f>
        <v>Sales</v>
      </c>
      <c r="K4562" s="8" t="str">
        <f aca="false">TEXT(ROW(), "0000")</f>
        <v>4562</v>
      </c>
      <c r="L4562" s="8"/>
    </row>
    <row r="4563" customFormat="false" ht="15.75" hidden="false" customHeight="true" outlineLevel="0" collapsed="false">
      <c r="A4563" s="7" t="n">
        <v>45962</v>
      </c>
      <c r="B4563" s="8" t="s">
        <v>16</v>
      </c>
      <c r="C4563" s="9" t="n">
        <v>1495</v>
      </c>
      <c r="D4563" s="8" t="s">
        <v>33</v>
      </c>
      <c r="E4563" s="10" t="s">
        <v>88</v>
      </c>
      <c r="F4563" s="8" t="str">
        <f aca="false">TEXT(A4563,"MM-YYYY")</f>
        <v>11-2025</v>
      </c>
      <c r="G4563" s="8"/>
      <c r="H4563" s="8"/>
      <c r="I4563" s="7"/>
      <c r="J4563" s="8" t="str">
        <f aca="false">VLOOKUP(B4563, Table3[#All], 2, FALSE())</f>
        <v>Sales</v>
      </c>
      <c r="K4563" s="8" t="str">
        <f aca="false">TEXT(ROW(), "0000")</f>
        <v>4563</v>
      </c>
      <c r="L4563" s="8"/>
    </row>
    <row r="4564" customFormat="false" ht="15.75" hidden="false" customHeight="true" outlineLevel="0" collapsed="false">
      <c r="A4564" s="7" t="n">
        <v>45962</v>
      </c>
      <c r="B4564" s="8" t="s">
        <v>16</v>
      </c>
      <c r="C4564" s="9" t="n">
        <v>390</v>
      </c>
      <c r="D4564" s="8" t="s">
        <v>27</v>
      </c>
      <c r="E4564" s="10" t="s">
        <v>88</v>
      </c>
      <c r="F4564" s="8" t="str">
        <f aca="false">TEXT(A4564,"MM-YYYY")</f>
        <v>11-2025</v>
      </c>
      <c r="G4564" s="8"/>
      <c r="H4564" s="8"/>
      <c r="I4564" s="7"/>
      <c r="J4564" s="8" t="str">
        <f aca="false">VLOOKUP(B4564, Table3[#All], 2, FALSE())</f>
        <v>Sales</v>
      </c>
      <c r="K4564" s="8" t="str">
        <f aca="false">TEXT(ROW(), "0000")</f>
        <v>4564</v>
      </c>
      <c r="L4564" s="8"/>
    </row>
    <row r="4565" customFormat="false" ht="15.75" hidden="false" customHeight="true" outlineLevel="0" collapsed="false">
      <c r="A4565" s="7" t="n">
        <v>45962</v>
      </c>
      <c r="B4565" s="8" t="s">
        <v>16</v>
      </c>
      <c r="C4565" s="9" t="n">
        <v>700</v>
      </c>
      <c r="D4565" s="8" t="s">
        <v>59</v>
      </c>
      <c r="E4565" s="10" t="s">
        <v>88</v>
      </c>
      <c r="F4565" s="8" t="str">
        <f aca="false">TEXT(A4565,"MM-YYYY")</f>
        <v>11-2025</v>
      </c>
      <c r="G4565" s="8"/>
      <c r="H4565" s="8"/>
      <c r="I4565" s="7"/>
      <c r="J4565" s="8" t="str">
        <f aca="false">VLOOKUP(B4565, Table3[#All], 2, FALSE())</f>
        <v>Sales</v>
      </c>
      <c r="K4565" s="8" t="str">
        <f aca="false">TEXT(ROW(), "0000")</f>
        <v>4565</v>
      </c>
      <c r="L4565" s="8"/>
    </row>
    <row r="4566" customFormat="false" ht="15.75" hidden="false" customHeight="true" outlineLevel="0" collapsed="false">
      <c r="A4566" s="7" t="n">
        <v>45962</v>
      </c>
      <c r="B4566" s="8" t="s">
        <v>16</v>
      </c>
      <c r="C4566" s="9" t="n">
        <v>1551</v>
      </c>
      <c r="D4566" s="8" t="s">
        <v>24</v>
      </c>
      <c r="E4566" s="10" t="s">
        <v>88</v>
      </c>
      <c r="F4566" s="8" t="str">
        <f aca="false">TEXT(A4566,"MM-YYYY")</f>
        <v>11-2025</v>
      </c>
      <c r="G4566" s="8"/>
      <c r="H4566" s="8"/>
      <c r="I4566" s="7"/>
      <c r="J4566" s="8" t="str">
        <f aca="false">VLOOKUP(B4566, Table3[#All], 2, FALSE())</f>
        <v>Sales</v>
      </c>
      <c r="K4566" s="8" t="str">
        <f aca="false">TEXT(ROW(), "0000")</f>
        <v>4566</v>
      </c>
      <c r="L4566" s="8"/>
    </row>
    <row r="4567" customFormat="false" ht="15.75" hidden="false" customHeight="true" outlineLevel="0" collapsed="false">
      <c r="A4567" s="7" t="n">
        <v>45962</v>
      </c>
      <c r="B4567" s="8" t="s">
        <v>34</v>
      </c>
      <c r="C4567" s="9" t="n">
        <v>30</v>
      </c>
      <c r="D4567" s="8" t="s">
        <v>45</v>
      </c>
      <c r="E4567" s="10" t="s">
        <v>154</v>
      </c>
      <c r="F4567" s="8" t="str">
        <f aca="false">TEXT(A4567,"MM-YYYY")</f>
        <v>11-2025</v>
      </c>
      <c r="G4567" s="8" t="s">
        <v>14</v>
      </c>
      <c r="H4567" s="8" t="s">
        <v>232</v>
      </c>
      <c r="I4567" s="7" t="n">
        <v>45962</v>
      </c>
      <c r="J4567" s="8" t="str">
        <f aca="false">VLOOKUP(B4567, Table3[#All], 2, FALSE())</f>
        <v>Staff Expenses</v>
      </c>
      <c r="K4567" s="8" t="str">
        <f aca="false">TEXT(ROW(), "0000")</f>
        <v>4567</v>
      </c>
      <c r="L4567" s="8"/>
    </row>
    <row r="4568" customFormat="false" ht="15.75" hidden="false" customHeight="true" outlineLevel="0" collapsed="false">
      <c r="A4568" s="7" t="n">
        <v>45963</v>
      </c>
      <c r="B4568" s="8" t="s">
        <v>199</v>
      </c>
      <c r="C4568" s="9" t="n">
        <v>1090</v>
      </c>
      <c r="D4568" s="8" t="s">
        <v>45</v>
      </c>
      <c r="E4568" s="10" t="s">
        <v>506</v>
      </c>
      <c r="F4568" s="8" t="str">
        <f aca="false">TEXT(A4568,"MM-YYYY")</f>
        <v>11-2025</v>
      </c>
      <c r="G4568" s="8" t="s">
        <v>14</v>
      </c>
      <c r="H4568" s="8"/>
      <c r="I4568" s="7"/>
      <c r="J4568" s="8" t="str">
        <f aca="false">VLOOKUP(B4568, Table3[#All], 2, FALSE())</f>
        <v>Fixed Maintance</v>
      </c>
      <c r="K4568" s="8" t="str">
        <f aca="false">TEXT(ROW(), "0000")</f>
        <v>4568</v>
      </c>
      <c r="L4568" s="8"/>
    </row>
    <row r="4569" customFormat="false" ht="15.75" hidden="false" customHeight="true" outlineLevel="0" collapsed="false">
      <c r="A4569" s="7" t="n">
        <v>45963</v>
      </c>
      <c r="B4569" s="8" t="s">
        <v>199</v>
      </c>
      <c r="C4569" s="9" t="n">
        <v>810</v>
      </c>
      <c r="D4569" s="8" t="s">
        <v>45</v>
      </c>
      <c r="E4569" s="10" t="s">
        <v>352</v>
      </c>
      <c r="F4569" s="8" t="str">
        <f aca="false">TEXT(A4569,"MM-YYYY")</f>
        <v>11-2025</v>
      </c>
      <c r="G4569" s="8" t="s">
        <v>14</v>
      </c>
      <c r="H4569" s="8"/>
      <c r="I4569" s="7"/>
      <c r="J4569" s="8" t="str">
        <f aca="false">VLOOKUP(B4569, Table3[#All], 2, FALSE())</f>
        <v>Fixed Maintance</v>
      </c>
      <c r="K4569" s="8" t="str">
        <f aca="false">TEXT(ROW(), "0000")</f>
        <v>4569</v>
      </c>
      <c r="L4569" s="8"/>
    </row>
    <row r="4570" customFormat="false" ht="15.75" hidden="false" customHeight="true" outlineLevel="0" collapsed="false">
      <c r="A4570" s="7" t="n">
        <v>45963</v>
      </c>
      <c r="B4570" s="8" t="s">
        <v>19</v>
      </c>
      <c r="C4570" s="9" t="n">
        <v>2320</v>
      </c>
      <c r="D4570" s="8" t="s">
        <v>13</v>
      </c>
      <c r="E4570" s="10" t="s">
        <v>473</v>
      </c>
      <c r="F4570" s="8" t="str">
        <f aca="false">TEXT(A4570,"MM-YYYY")</f>
        <v>11-2025</v>
      </c>
      <c r="G4570" s="8" t="s">
        <v>14</v>
      </c>
      <c r="H4570" s="8" t="s">
        <v>232</v>
      </c>
      <c r="I4570" s="7"/>
      <c r="J4570" s="8" t="str">
        <f aca="false">VLOOKUP(B4570, Table3[#All], 2, FALSE())</f>
        <v>Inventory</v>
      </c>
      <c r="K4570" s="8" t="str">
        <f aca="false">TEXT(ROW(), "0000")</f>
        <v>4570</v>
      </c>
      <c r="L4570" s="8"/>
    </row>
    <row r="4571" customFormat="false" ht="15.75" hidden="false" customHeight="true" outlineLevel="0" collapsed="false">
      <c r="A4571" s="7" t="n">
        <v>45963</v>
      </c>
      <c r="B4571" s="8" t="s">
        <v>25</v>
      </c>
      <c r="C4571" s="9" t="n">
        <v>600</v>
      </c>
      <c r="D4571" s="8" t="s">
        <v>13</v>
      </c>
      <c r="E4571" s="10" t="s">
        <v>92</v>
      </c>
      <c r="F4571" s="8" t="str">
        <f aca="false">TEXT(A4571,"MM-YYYY")</f>
        <v>11-2025</v>
      </c>
      <c r="G4571" s="8" t="s">
        <v>18</v>
      </c>
      <c r="H4571" s="8" t="s">
        <v>232</v>
      </c>
      <c r="I4571" s="7"/>
      <c r="J4571" s="8" t="str">
        <f aca="false">VLOOKUP(B4571, Table3[#All], 2, FALSE())</f>
        <v>Inventory</v>
      </c>
      <c r="K4571" s="8" t="str">
        <f aca="false">TEXT(ROW(), "0000")</f>
        <v>4571</v>
      </c>
      <c r="L4571" s="8"/>
    </row>
    <row r="4572" customFormat="false" ht="15.75" hidden="false" customHeight="true" outlineLevel="0" collapsed="false">
      <c r="A4572" s="7" t="n">
        <v>45963</v>
      </c>
      <c r="B4572" s="8" t="s">
        <v>43</v>
      </c>
      <c r="C4572" s="9" t="n">
        <v>350</v>
      </c>
      <c r="D4572" s="8" t="s">
        <v>45</v>
      </c>
      <c r="E4572" s="10" t="s">
        <v>637</v>
      </c>
      <c r="F4572" s="8" t="str">
        <f aca="false">TEXT(A4572,"MM-YYYY")</f>
        <v>11-2025</v>
      </c>
      <c r="G4572" s="8" t="s">
        <v>14</v>
      </c>
      <c r="H4572" s="8" t="s">
        <v>232</v>
      </c>
      <c r="I4572" s="7" t="n">
        <v>45963</v>
      </c>
      <c r="J4572" s="8" t="str">
        <f aca="false">VLOOKUP(B4572, Table3[#All], 2, FALSE())</f>
        <v>Maintance</v>
      </c>
      <c r="K4572" s="8" t="str">
        <f aca="false">TEXT(ROW(), "0000")</f>
        <v>4572</v>
      </c>
      <c r="L4572" s="8"/>
    </row>
    <row r="4573" customFormat="false" ht="15.75" hidden="false" customHeight="true" outlineLevel="0" collapsed="false">
      <c r="A4573" s="7" t="n">
        <v>45963</v>
      </c>
      <c r="B4573" s="8" t="s">
        <v>37</v>
      </c>
      <c r="C4573" s="9" t="n">
        <v>10</v>
      </c>
      <c r="D4573" s="8" t="s">
        <v>21</v>
      </c>
      <c r="E4573" s="10" t="s">
        <v>635</v>
      </c>
      <c r="F4573" s="8" t="str">
        <f aca="false">TEXT(A4573,"MM-YYYY")</f>
        <v>11-2025</v>
      </c>
      <c r="G4573" s="8" t="s">
        <v>14</v>
      </c>
      <c r="H4573" s="8"/>
      <c r="I4573" s="7"/>
      <c r="J4573" s="8" t="str">
        <f aca="false">VLOOKUP(B4573, Table3[#All], 2, FALSE())</f>
        <v>Maintance</v>
      </c>
      <c r="K4573" s="8" t="str">
        <f aca="false">TEXT(ROW(), "0000")</f>
        <v>4573</v>
      </c>
      <c r="L4573" s="8"/>
    </row>
    <row r="4574" customFormat="false" ht="15.75" hidden="false" customHeight="true" outlineLevel="0" collapsed="false">
      <c r="A4574" s="7" t="n">
        <v>45963</v>
      </c>
      <c r="B4574" s="8" t="s">
        <v>43</v>
      </c>
      <c r="C4574" s="9" t="n">
        <v>1800</v>
      </c>
      <c r="D4574" s="8" t="s">
        <v>45</v>
      </c>
      <c r="E4574" s="10" t="s">
        <v>638</v>
      </c>
      <c r="F4574" s="8" t="str">
        <f aca="false">TEXT(A4574,"MM-YYYY")</f>
        <v>11-2025</v>
      </c>
      <c r="G4574" s="8" t="s">
        <v>14</v>
      </c>
      <c r="H4574" s="8" t="s">
        <v>232</v>
      </c>
      <c r="I4574" s="7"/>
      <c r="J4574" s="8" t="str">
        <f aca="false">VLOOKUP(B4574, Table3[#All], 2, FALSE())</f>
        <v>Maintance</v>
      </c>
      <c r="K4574" s="8" t="str">
        <f aca="false">TEXT(ROW(), "0000")</f>
        <v>4574</v>
      </c>
      <c r="L4574" s="8"/>
    </row>
    <row r="4575" customFormat="false" ht="15.75" hidden="false" customHeight="true" outlineLevel="0" collapsed="false">
      <c r="A4575" s="7" t="n">
        <v>45963</v>
      </c>
      <c r="B4575" s="8" t="s">
        <v>43</v>
      </c>
      <c r="C4575" s="9" t="n">
        <v>240</v>
      </c>
      <c r="D4575" s="8" t="s">
        <v>45</v>
      </c>
      <c r="E4575" s="10" t="s">
        <v>639</v>
      </c>
      <c r="F4575" s="8" t="str">
        <f aca="false">TEXT(A4575,"MM-YYYY")</f>
        <v>11-2025</v>
      </c>
      <c r="G4575" s="8" t="s">
        <v>14</v>
      </c>
      <c r="H4575" s="8" t="s">
        <v>232</v>
      </c>
      <c r="I4575" s="7"/>
      <c r="J4575" s="8" t="str">
        <f aca="false">VLOOKUP(B4575, Table3[#All], 2, FALSE())</f>
        <v>Maintance</v>
      </c>
      <c r="K4575" s="8" t="str">
        <f aca="false">TEXT(ROW(), "0000")</f>
        <v>4575</v>
      </c>
      <c r="L4575" s="8"/>
    </row>
    <row r="4576" customFormat="false" ht="15.75" hidden="false" customHeight="true" outlineLevel="0" collapsed="false">
      <c r="A4576" s="7" t="n">
        <v>45963</v>
      </c>
      <c r="B4576" s="8" t="s">
        <v>25</v>
      </c>
      <c r="C4576" s="9" t="n">
        <v>1070</v>
      </c>
      <c r="D4576" s="8" t="s">
        <v>45</v>
      </c>
      <c r="E4576" s="10" t="s">
        <v>640</v>
      </c>
      <c r="F4576" s="8" t="str">
        <f aca="false">TEXT(A4576,"MM-YYYY")</f>
        <v>11-2025</v>
      </c>
      <c r="G4576" s="8" t="s">
        <v>14</v>
      </c>
      <c r="H4576" s="8" t="s">
        <v>232</v>
      </c>
      <c r="I4576" s="7"/>
      <c r="J4576" s="8" t="str">
        <f aca="false">VLOOKUP(B4576, Table3[#All], 2, FALSE())</f>
        <v>Inventory</v>
      </c>
      <c r="K4576" s="8" t="str">
        <f aca="false">TEXT(ROW(), "0000")</f>
        <v>4576</v>
      </c>
      <c r="L4576" s="8"/>
    </row>
    <row r="4577" customFormat="false" ht="15.75" hidden="false" customHeight="true" outlineLevel="0" collapsed="false">
      <c r="A4577" s="7" t="n">
        <v>45963</v>
      </c>
      <c r="B4577" s="8" t="s">
        <v>28</v>
      </c>
      <c r="C4577" s="9" t="n">
        <v>380</v>
      </c>
      <c r="D4577" s="8" t="s">
        <v>45</v>
      </c>
      <c r="E4577" s="10" t="s">
        <v>641</v>
      </c>
      <c r="F4577" s="8" t="str">
        <f aca="false">TEXT(A4577,"MM-YYYY")</f>
        <v>11-2025</v>
      </c>
      <c r="G4577" s="8" t="s">
        <v>14</v>
      </c>
      <c r="H4577" s="8" t="s">
        <v>232</v>
      </c>
      <c r="I4577" s="7"/>
      <c r="J4577" s="8" t="str">
        <f aca="false">VLOOKUP(B4577, Table3[#All], 2, FALSE())</f>
        <v>Grocery</v>
      </c>
      <c r="K4577" s="8" t="str">
        <f aca="false">TEXT(ROW(), "0000")</f>
        <v>4577</v>
      </c>
      <c r="L4577" s="8"/>
    </row>
    <row r="4578" customFormat="false" ht="15.75" hidden="false" customHeight="true" outlineLevel="0" collapsed="false">
      <c r="A4578" s="7" t="n">
        <v>45963</v>
      </c>
      <c r="B4578" s="8" t="s">
        <v>29</v>
      </c>
      <c r="C4578" s="9" t="n">
        <v>200</v>
      </c>
      <c r="D4578" s="8" t="s">
        <v>45</v>
      </c>
      <c r="E4578" s="10" t="s">
        <v>488</v>
      </c>
      <c r="F4578" s="8" t="str">
        <f aca="false">TEXT(A4578,"MM-YYYY")</f>
        <v>11-2025</v>
      </c>
      <c r="G4578" s="8" t="s">
        <v>14</v>
      </c>
      <c r="H4578" s="8" t="s">
        <v>232</v>
      </c>
      <c r="I4578" s="7"/>
      <c r="J4578" s="8" t="str">
        <f aca="false">VLOOKUP(B4578, Table3[#All], 2, FALSE())</f>
        <v>Inventory</v>
      </c>
      <c r="K4578" s="8" t="str">
        <f aca="false">TEXT(ROW(), "0000")</f>
        <v>4578</v>
      </c>
      <c r="L4578" s="8"/>
    </row>
    <row r="4579" customFormat="false" ht="15.75" hidden="false" customHeight="true" outlineLevel="0" collapsed="false">
      <c r="A4579" s="7" t="n">
        <v>45963</v>
      </c>
      <c r="B4579" s="8" t="s">
        <v>29</v>
      </c>
      <c r="C4579" s="9" t="n">
        <v>630</v>
      </c>
      <c r="D4579" s="8" t="s">
        <v>13</v>
      </c>
      <c r="E4579" s="10" t="s">
        <v>490</v>
      </c>
      <c r="F4579" s="8" t="str">
        <f aca="false">TEXT(A4579,"MM-YYYY")</f>
        <v>11-2025</v>
      </c>
      <c r="G4579" s="8" t="s">
        <v>18</v>
      </c>
      <c r="H4579" s="8"/>
      <c r="I4579" s="7"/>
      <c r="J4579" s="8" t="str">
        <f aca="false">VLOOKUP(B4579, Table3[#All], 2, FALSE())</f>
        <v>Inventory</v>
      </c>
      <c r="K4579" s="8" t="str">
        <f aca="false">TEXT(ROW(), "0000")</f>
        <v>4579</v>
      </c>
      <c r="L4579" s="8"/>
    </row>
    <row r="4580" customFormat="false" ht="15.75" hidden="false" customHeight="true" outlineLevel="0" collapsed="false">
      <c r="A4580" s="7" t="n">
        <v>45963</v>
      </c>
      <c r="B4580" s="8" t="s">
        <v>16</v>
      </c>
      <c r="C4580" s="9" t="n">
        <v>5673</v>
      </c>
      <c r="D4580" s="8" t="s">
        <v>21</v>
      </c>
      <c r="E4580" s="10" t="s">
        <v>88</v>
      </c>
      <c r="F4580" s="8" t="str">
        <f aca="false">TEXT(A4580,"MM-YYYY")</f>
        <v>11-2025</v>
      </c>
      <c r="G4580" s="8"/>
      <c r="H4580" s="8"/>
      <c r="I4580" s="7"/>
      <c r="J4580" s="8" t="str">
        <f aca="false">VLOOKUP(B4580, Table3[#All], 2, FALSE())</f>
        <v>Sales</v>
      </c>
      <c r="K4580" s="8" t="str">
        <f aca="false">TEXT(ROW(), "0000")</f>
        <v>4580</v>
      </c>
      <c r="L4580" s="8"/>
    </row>
    <row r="4581" customFormat="false" ht="15.75" hidden="false" customHeight="true" outlineLevel="0" collapsed="false">
      <c r="A4581" s="7" t="n">
        <v>45963</v>
      </c>
      <c r="B4581" s="8" t="s">
        <v>16</v>
      </c>
      <c r="C4581" s="9" t="n">
        <v>755</v>
      </c>
      <c r="D4581" s="8" t="s">
        <v>24</v>
      </c>
      <c r="E4581" s="10" t="s">
        <v>88</v>
      </c>
      <c r="F4581" s="8" t="str">
        <f aca="false">TEXT(A4581,"MM-YYYY")</f>
        <v>11-2025</v>
      </c>
      <c r="G4581" s="8"/>
      <c r="H4581" s="8"/>
      <c r="I4581" s="7"/>
      <c r="J4581" s="8" t="str">
        <f aca="false">VLOOKUP(B4581, Table3[#All], 2, FALSE())</f>
        <v>Sales</v>
      </c>
      <c r="K4581" s="8" t="str">
        <f aca="false">TEXT(ROW(), "0000")</f>
        <v>4581</v>
      </c>
      <c r="L4581" s="8"/>
    </row>
    <row r="4582" customFormat="false" ht="15.75" hidden="false" customHeight="true" outlineLevel="0" collapsed="false">
      <c r="A4582" s="7" t="n">
        <v>45963</v>
      </c>
      <c r="B4582" s="8" t="s">
        <v>16</v>
      </c>
      <c r="C4582" s="9" t="n">
        <v>7715</v>
      </c>
      <c r="D4582" s="8" t="s">
        <v>33</v>
      </c>
      <c r="E4582" s="10" t="s">
        <v>88</v>
      </c>
      <c r="F4582" s="8" t="str">
        <f aca="false">TEXT(A4582,"MM-YYYY")</f>
        <v>11-2025</v>
      </c>
      <c r="G4582" s="8"/>
      <c r="H4582" s="8"/>
      <c r="I4582" s="7"/>
      <c r="J4582" s="8" t="str">
        <f aca="false">VLOOKUP(B4582, Table3[#All], 2, FALSE())</f>
        <v>Sales</v>
      </c>
      <c r="K4582" s="8" t="str">
        <f aca="false">TEXT(ROW(), "0000")</f>
        <v>4582</v>
      </c>
      <c r="L4582" s="8"/>
    </row>
    <row r="4583" customFormat="false" ht="15.75" hidden="false" customHeight="true" outlineLevel="0" collapsed="false">
      <c r="A4583" s="7" t="n">
        <v>45963</v>
      </c>
      <c r="B4583" s="8" t="s">
        <v>16</v>
      </c>
      <c r="C4583" s="9" t="n">
        <v>20846</v>
      </c>
      <c r="D4583" s="8" t="s">
        <v>17</v>
      </c>
      <c r="E4583" s="10" t="s">
        <v>88</v>
      </c>
      <c r="F4583" s="8" t="str">
        <f aca="false">TEXT(A4583,"MM-YYYY")</f>
        <v>11-2025</v>
      </c>
      <c r="G4583" s="8"/>
      <c r="H4583" s="8"/>
      <c r="I4583" s="7"/>
      <c r="J4583" s="8" t="str">
        <f aca="false">VLOOKUP(B4583, Table3[#All], 2, FALSE())</f>
        <v>Sales</v>
      </c>
      <c r="K4583" s="8" t="str">
        <f aca="false">TEXT(ROW(), "0000")</f>
        <v>4583</v>
      </c>
      <c r="L4583" s="8"/>
    </row>
    <row r="4584" customFormat="false" ht="15.75" hidden="false" customHeight="true" outlineLevel="0" collapsed="false">
      <c r="A4584" s="7" t="n">
        <v>45963</v>
      </c>
      <c r="B4584" s="8" t="s">
        <v>43</v>
      </c>
      <c r="C4584" s="9" t="n">
        <v>40</v>
      </c>
      <c r="D4584" s="8" t="s">
        <v>45</v>
      </c>
      <c r="E4584" s="10" t="s">
        <v>642</v>
      </c>
      <c r="F4584" s="8" t="str">
        <f aca="false">TEXT(A4584,"MM-YYYY")</f>
        <v>11-2025</v>
      </c>
      <c r="G4584" s="8" t="s">
        <v>14</v>
      </c>
      <c r="H4584" s="8" t="s">
        <v>232</v>
      </c>
      <c r="I4584" s="7"/>
      <c r="J4584" s="8" t="str">
        <f aca="false">VLOOKUP(B4584, Table3[#All], 2, FALSE())</f>
        <v>Maintance</v>
      </c>
      <c r="K4584" s="8" t="str">
        <f aca="false">TEXT(ROW(), "0000")</f>
        <v>4584</v>
      </c>
      <c r="L4584" s="8"/>
    </row>
    <row r="4585" customFormat="false" ht="15.75" hidden="false" customHeight="true" outlineLevel="0" collapsed="false">
      <c r="A4585" s="7" t="n">
        <v>45963</v>
      </c>
      <c r="B4585" s="8" t="s">
        <v>43</v>
      </c>
      <c r="C4585" s="9" t="n">
        <v>95</v>
      </c>
      <c r="D4585" s="8" t="s">
        <v>45</v>
      </c>
      <c r="E4585" s="10" t="s">
        <v>643</v>
      </c>
      <c r="F4585" s="8" t="str">
        <f aca="false">TEXT(A4585,"MM-YYYY")</f>
        <v>11-2025</v>
      </c>
      <c r="G4585" s="8" t="s">
        <v>14</v>
      </c>
      <c r="H4585" s="8" t="s">
        <v>232</v>
      </c>
      <c r="I4585" s="7"/>
      <c r="J4585" s="8" t="str">
        <f aca="false">VLOOKUP(B4585, Table3[#All], 2, FALSE())</f>
        <v>Maintance</v>
      </c>
      <c r="K4585" s="8" t="str">
        <f aca="false">TEXT(ROW(), "0000")</f>
        <v>4585</v>
      </c>
      <c r="L4585" s="8"/>
    </row>
    <row r="4586" customFormat="false" ht="15.75" hidden="false" customHeight="true" outlineLevel="0" collapsed="false">
      <c r="A4586" s="7" t="n">
        <v>45963</v>
      </c>
      <c r="B4586" s="8" t="s">
        <v>43</v>
      </c>
      <c r="C4586" s="9" t="n">
        <v>15</v>
      </c>
      <c r="D4586" s="8" t="s">
        <v>45</v>
      </c>
      <c r="E4586" s="10" t="s">
        <v>623</v>
      </c>
      <c r="F4586" s="8" t="str">
        <f aca="false">TEXT(A4586,"MM-YYYY")</f>
        <v>11-2025</v>
      </c>
      <c r="G4586" s="8" t="s">
        <v>14</v>
      </c>
      <c r="H4586" s="8" t="s">
        <v>262</v>
      </c>
      <c r="I4586" s="7"/>
      <c r="J4586" s="8" t="str">
        <f aca="false">VLOOKUP(B4586, Table3[#All], 2, FALSE())</f>
        <v>Maintance</v>
      </c>
      <c r="K4586" s="8" t="str">
        <f aca="false">TEXT(ROW(), "0000")</f>
        <v>4586</v>
      </c>
      <c r="L4586" s="8"/>
    </row>
    <row r="4587" customFormat="false" ht="15.75" hidden="false" customHeight="true" outlineLevel="0" collapsed="false">
      <c r="A4587" s="7" t="n">
        <v>45963</v>
      </c>
      <c r="B4587" s="8" t="s">
        <v>34</v>
      </c>
      <c r="C4587" s="9" t="n">
        <v>30</v>
      </c>
      <c r="D4587" s="8" t="s">
        <v>45</v>
      </c>
      <c r="E4587" s="10" t="s">
        <v>644</v>
      </c>
      <c r="F4587" s="8" t="str">
        <f aca="false">TEXT(A4587,"MM-YYYY")</f>
        <v>11-2025</v>
      </c>
      <c r="G4587" s="8" t="s">
        <v>14</v>
      </c>
      <c r="H4587" s="8" t="s">
        <v>262</v>
      </c>
      <c r="I4587" s="7"/>
      <c r="J4587" s="8" t="str">
        <f aca="false">VLOOKUP(B4587, Table3[#All], 2, FALSE())</f>
        <v>Staff Expenses</v>
      </c>
      <c r="K4587" s="8" t="str">
        <f aca="false">TEXT(ROW(), "0000")</f>
        <v>4587</v>
      </c>
      <c r="L4587" s="8"/>
    </row>
    <row r="4588" customFormat="false" ht="15.75" hidden="false" customHeight="true" outlineLevel="0" collapsed="false">
      <c r="A4588" s="7" t="n">
        <v>45964</v>
      </c>
      <c r="B4588" s="8" t="s">
        <v>47</v>
      </c>
      <c r="C4588" s="9" t="n">
        <v>1800</v>
      </c>
      <c r="D4588" s="8" t="s">
        <v>13</v>
      </c>
      <c r="E4588" s="10" t="s">
        <v>490</v>
      </c>
      <c r="F4588" s="8" t="str">
        <f aca="false">TEXT(A4588,"MM-YYYY")</f>
        <v>11-2025</v>
      </c>
      <c r="G4588" s="8" t="s">
        <v>18</v>
      </c>
      <c r="H4588" s="8" t="s">
        <v>232</v>
      </c>
      <c r="I4588" s="7"/>
      <c r="J4588" s="8" t="str">
        <f aca="false">VLOOKUP(B4588, Table3[#All], 2, FALSE())</f>
        <v>Inventory</v>
      </c>
      <c r="K4588" s="8" t="str">
        <f aca="false">TEXT(ROW(), "0000")</f>
        <v>4588</v>
      </c>
      <c r="L4588" s="8"/>
    </row>
    <row r="4589" customFormat="false" ht="15.75" hidden="false" customHeight="true" outlineLevel="0" collapsed="false">
      <c r="A4589" s="7" t="n">
        <v>45964</v>
      </c>
      <c r="B4589" s="8" t="s">
        <v>19</v>
      </c>
      <c r="C4589" s="9" t="n">
        <v>4505</v>
      </c>
      <c r="D4589" s="8" t="s">
        <v>13</v>
      </c>
      <c r="E4589" s="10" t="s">
        <v>473</v>
      </c>
      <c r="F4589" s="8" t="str">
        <f aca="false">TEXT(A4589,"MM-YYYY")</f>
        <v>11-2025</v>
      </c>
      <c r="G4589" s="8" t="s">
        <v>14</v>
      </c>
      <c r="H4589" s="8" t="s">
        <v>232</v>
      </c>
      <c r="I4589" s="7"/>
      <c r="J4589" s="8" t="str">
        <f aca="false">VLOOKUP(B4589, Table3[#All], 2, FALSE())</f>
        <v>Inventory</v>
      </c>
      <c r="K4589" s="8" t="str">
        <f aca="false">TEXT(ROW(), "0000")</f>
        <v>4589</v>
      </c>
      <c r="L4589" s="8"/>
    </row>
    <row r="4590" customFormat="false" ht="15.75" hidden="false" customHeight="true" outlineLevel="0" collapsed="false">
      <c r="A4590" s="7" t="n">
        <v>45964</v>
      </c>
      <c r="B4590" s="8" t="s">
        <v>43</v>
      </c>
      <c r="C4590" s="9" t="n">
        <v>1500</v>
      </c>
      <c r="D4590" s="8" t="s">
        <v>45</v>
      </c>
      <c r="E4590" s="10" t="s">
        <v>645</v>
      </c>
      <c r="F4590" s="8" t="str">
        <f aca="false">TEXT(A4590,"MM-YYYY")</f>
        <v>11-2025</v>
      </c>
      <c r="G4590" s="8" t="s">
        <v>14</v>
      </c>
      <c r="H4590" s="8" t="s">
        <v>232</v>
      </c>
      <c r="I4590" s="7"/>
      <c r="J4590" s="8" t="str">
        <f aca="false">VLOOKUP(B4590, Table3[#All], 2, FALSE())</f>
        <v>Maintance</v>
      </c>
      <c r="K4590" s="8" t="str">
        <f aca="false">TEXT(ROW(), "0000")</f>
        <v>4590</v>
      </c>
      <c r="L4590" s="8"/>
    </row>
    <row r="4591" customFormat="false" ht="15.75" hidden="false" customHeight="true" outlineLevel="0" collapsed="false">
      <c r="A4591" s="7" t="n">
        <v>45964</v>
      </c>
      <c r="B4591" s="8" t="s">
        <v>53</v>
      </c>
      <c r="C4591" s="9" t="n">
        <v>475</v>
      </c>
      <c r="D4591" s="8" t="s">
        <v>21</v>
      </c>
      <c r="E4591" s="10" t="s">
        <v>634</v>
      </c>
      <c r="F4591" s="8" t="str">
        <f aca="false">TEXT(A4591,"MM-YYYY")</f>
        <v>11-2025</v>
      </c>
      <c r="G4591" s="8" t="s">
        <v>14</v>
      </c>
      <c r="H4591" s="8" t="s">
        <v>232</v>
      </c>
      <c r="I4591" s="7" t="n">
        <v>45964</v>
      </c>
      <c r="J4591" s="8" t="str">
        <f aca="false">VLOOKUP(B4591, Table3[#All], 2, FALSE())</f>
        <v>Grocery</v>
      </c>
      <c r="K4591" s="8" t="str">
        <f aca="false">TEXT(ROW(), "0000")</f>
        <v>4591</v>
      </c>
      <c r="L4591" s="8"/>
    </row>
    <row r="4592" customFormat="false" ht="15.75" hidden="false" customHeight="true" outlineLevel="0" collapsed="false">
      <c r="A4592" s="7" t="n">
        <v>45964</v>
      </c>
      <c r="B4592" s="8" t="s">
        <v>22</v>
      </c>
      <c r="C4592" s="9" t="n">
        <v>30621</v>
      </c>
      <c r="D4592" s="8" t="s">
        <v>13</v>
      </c>
      <c r="E4592" s="10" t="s">
        <v>23</v>
      </c>
      <c r="F4592" s="8" t="str">
        <f aca="false">TEXT(A4592,"MM-YYYY")</f>
        <v>11-2025</v>
      </c>
      <c r="G4592" s="8" t="s">
        <v>18</v>
      </c>
      <c r="H4592" s="8" t="s">
        <v>232</v>
      </c>
      <c r="I4592" s="7"/>
      <c r="J4592" s="8" t="str">
        <f aca="false">VLOOKUP(B4592, Table3[#All], 2, FALSE())</f>
        <v>Inventory</v>
      </c>
      <c r="K4592" s="8" t="str">
        <f aca="false">TEXT(ROW(), "0000")</f>
        <v>4592</v>
      </c>
      <c r="L4592" s="8"/>
    </row>
    <row r="4593" customFormat="false" ht="15.75" hidden="false" customHeight="true" outlineLevel="0" collapsed="false">
      <c r="A4593" s="7" t="n">
        <v>45964</v>
      </c>
      <c r="B4593" s="8" t="s">
        <v>37</v>
      </c>
      <c r="C4593" s="9" t="n">
        <v>10</v>
      </c>
      <c r="D4593" s="8" t="s">
        <v>21</v>
      </c>
      <c r="E4593" s="10" t="s">
        <v>632</v>
      </c>
      <c r="F4593" s="8" t="str">
        <f aca="false">TEXT(A4593,"MM-YYYY")</f>
        <v>11-2025</v>
      </c>
      <c r="G4593" s="8" t="s">
        <v>14</v>
      </c>
      <c r="H4593" s="8" t="s">
        <v>232</v>
      </c>
      <c r="I4593" s="7"/>
      <c r="J4593" s="8" t="str">
        <f aca="false">VLOOKUP(B4593, Table3[#All], 2, FALSE())</f>
        <v>Maintance</v>
      </c>
      <c r="K4593" s="8" t="str">
        <f aca="false">TEXT(ROW(), "0000")</f>
        <v>4593</v>
      </c>
      <c r="L4593" s="8"/>
    </row>
    <row r="4594" customFormat="false" ht="15.75" hidden="false" customHeight="true" outlineLevel="0" collapsed="false">
      <c r="A4594" s="7" t="n">
        <v>45964</v>
      </c>
      <c r="B4594" s="8" t="s">
        <v>25</v>
      </c>
      <c r="C4594" s="9" t="n">
        <v>1040</v>
      </c>
      <c r="D4594" s="8" t="s">
        <v>13</v>
      </c>
      <c r="E4594" s="10" t="s">
        <v>92</v>
      </c>
      <c r="F4594" s="8" t="str">
        <f aca="false">TEXT(A4594,"MM-YYYY")</f>
        <v>11-2025</v>
      </c>
      <c r="G4594" s="8" t="s">
        <v>18</v>
      </c>
      <c r="H4594" s="8"/>
      <c r="I4594" s="7"/>
      <c r="J4594" s="8" t="str">
        <f aca="false">VLOOKUP(B4594, Table3[#All], 2, FALSE())</f>
        <v>Inventory</v>
      </c>
      <c r="K4594" s="8" t="str">
        <f aca="false">TEXT(ROW(), "0000")</f>
        <v>4594</v>
      </c>
      <c r="L4594" s="8"/>
    </row>
    <row r="4595" customFormat="false" ht="15.75" hidden="false" customHeight="true" outlineLevel="0" collapsed="false">
      <c r="A4595" s="7" t="n">
        <v>45964</v>
      </c>
      <c r="B4595" s="8" t="s">
        <v>28</v>
      </c>
      <c r="C4595" s="9" t="n">
        <v>366</v>
      </c>
      <c r="D4595" s="8" t="s">
        <v>21</v>
      </c>
      <c r="E4595" s="10" t="s">
        <v>93</v>
      </c>
      <c r="F4595" s="8" t="str">
        <f aca="false">TEXT(A4595,"MM-YYYY")</f>
        <v>11-2025</v>
      </c>
      <c r="G4595" s="8" t="s">
        <v>14</v>
      </c>
      <c r="H4595" s="8" t="s">
        <v>232</v>
      </c>
      <c r="I4595" s="7" t="n">
        <v>45964</v>
      </c>
      <c r="J4595" s="8" t="str">
        <f aca="false">VLOOKUP(B4595, Table3[#All], 2, FALSE())</f>
        <v>Grocery</v>
      </c>
      <c r="K4595" s="8" t="str">
        <f aca="false">TEXT(ROW(), "0000")</f>
        <v>4595</v>
      </c>
      <c r="L4595" s="8"/>
    </row>
    <row r="4596" customFormat="false" ht="15.75" hidden="false" customHeight="true" outlineLevel="0" collapsed="false">
      <c r="A4596" s="7" t="n">
        <v>45964</v>
      </c>
      <c r="B4596" s="8" t="s">
        <v>43</v>
      </c>
      <c r="C4596" s="9" t="n">
        <v>500</v>
      </c>
      <c r="D4596" s="8" t="s">
        <v>45</v>
      </c>
      <c r="E4596" s="10" t="s">
        <v>64</v>
      </c>
      <c r="F4596" s="8" t="str">
        <f aca="false">TEXT(A4596,"MM-YYYY")</f>
        <v>11-2025</v>
      </c>
      <c r="G4596" s="8" t="s">
        <v>14</v>
      </c>
      <c r="H4596" s="8" t="s">
        <v>232</v>
      </c>
      <c r="I4596" s="7"/>
      <c r="J4596" s="8" t="str">
        <f aca="false">VLOOKUP(B4596, Table3[#All], 2, FALSE())</f>
        <v>Maintance</v>
      </c>
      <c r="K4596" s="8" t="str">
        <f aca="false">TEXT(ROW(), "0000")</f>
        <v>4596</v>
      </c>
      <c r="L4596" s="8"/>
    </row>
    <row r="4597" customFormat="false" ht="15.75" hidden="false" customHeight="true" outlineLevel="0" collapsed="false">
      <c r="A4597" s="7" t="n">
        <v>45964</v>
      </c>
      <c r="B4597" s="8" t="s">
        <v>16</v>
      </c>
      <c r="C4597" s="9" t="n">
        <v>1924</v>
      </c>
      <c r="D4597" s="8" t="s">
        <v>21</v>
      </c>
      <c r="E4597" s="10" t="s">
        <v>88</v>
      </c>
      <c r="F4597" s="8" t="str">
        <f aca="false">TEXT(A4597,"MM-YYYY")</f>
        <v>11-2025</v>
      </c>
      <c r="G4597" s="8"/>
      <c r="H4597" s="8"/>
      <c r="I4597" s="7"/>
      <c r="J4597" s="8" t="str">
        <f aca="false">VLOOKUP(B4597, Table3[#All], 2, FALSE())</f>
        <v>Sales</v>
      </c>
      <c r="K4597" s="8" t="str">
        <f aca="false">TEXT(ROW(), "0000")</f>
        <v>4597</v>
      </c>
      <c r="L4597" s="8"/>
    </row>
    <row r="4598" customFormat="false" ht="15.75" hidden="false" customHeight="true" outlineLevel="0" collapsed="false">
      <c r="A4598" s="7" t="n">
        <v>45964</v>
      </c>
      <c r="B4598" s="8" t="s">
        <v>16</v>
      </c>
      <c r="C4598" s="9" t="n">
        <v>830</v>
      </c>
      <c r="D4598" s="8" t="s">
        <v>27</v>
      </c>
      <c r="E4598" s="10" t="s">
        <v>88</v>
      </c>
      <c r="F4598" s="8" t="str">
        <f aca="false">TEXT(A4598,"MM-YYYY")</f>
        <v>11-2025</v>
      </c>
      <c r="G4598" s="8"/>
      <c r="H4598" s="8"/>
      <c r="I4598" s="7"/>
      <c r="J4598" s="8" t="str">
        <f aca="false">VLOOKUP(B4598, Table3[#All], 2, FALSE())</f>
        <v>Sales</v>
      </c>
      <c r="K4598" s="8" t="str">
        <f aca="false">TEXT(ROW(), "0000")</f>
        <v>4598</v>
      </c>
      <c r="L4598" s="8"/>
    </row>
    <row r="4599" customFormat="false" ht="15.75" hidden="false" customHeight="true" outlineLevel="0" collapsed="false">
      <c r="A4599" s="7" t="n">
        <v>45964</v>
      </c>
      <c r="B4599" s="8" t="s">
        <v>16</v>
      </c>
      <c r="C4599" s="9" t="n">
        <v>12990</v>
      </c>
      <c r="D4599" s="8" t="s">
        <v>17</v>
      </c>
      <c r="E4599" s="10" t="s">
        <v>88</v>
      </c>
      <c r="F4599" s="8" t="str">
        <f aca="false">TEXT(A4599,"MM-YYYY")</f>
        <v>11-2025</v>
      </c>
      <c r="G4599" s="8"/>
      <c r="H4599" s="8"/>
      <c r="I4599" s="7"/>
      <c r="J4599" s="8" t="str">
        <f aca="false">VLOOKUP(B4599, Table3[#All], 2, FALSE())</f>
        <v>Sales</v>
      </c>
      <c r="K4599" s="8" t="str">
        <f aca="false">TEXT(ROW(), "0000")</f>
        <v>4599</v>
      </c>
      <c r="L4599" s="8"/>
    </row>
    <row r="4600" customFormat="false" ht="15.75" hidden="false" customHeight="true" outlineLevel="0" collapsed="false">
      <c r="A4600" s="7" t="n">
        <v>45964</v>
      </c>
      <c r="B4600" s="8" t="s">
        <v>16</v>
      </c>
      <c r="C4600" s="9" t="n">
        <v>1527</v>
      </c>
      <c r="D4600" s="8" t="s">
        <v>24</v>
      </c>
      <c r="E4600" s="10" t="s">
        <v>88</v>
      </c>
      <c r="F4600" s="8" t="str">
        <f aca="false">TEXT(A4600,"MM-YYYY")</f>
        <v>11-2025</v>
      </c>
      <c r="G4600" s="8"/>
      <c r="H4600" s="8"/>
      <c r="I4600" s="7"/>
      <c r="J4600" s="8" t="str">
        <f aca="false">VLOOKUP(B4600, Table3[#All], 2, FALSE())</f>
        <v>Sales</v>
      </c>
      <c r="K4600" s="8" t="str">
        <f aca="false">TEXT(ROW(), "0000")</f>
        <v>4600</v>
      </c>
      <c r="L4600" s="8"/>
    </row>
    <row r="4601" customFormat="false" ht="15.75" hidden="false" customHeight="true" outlineLevel="0" collapsed="false">
      <c r="A4601" s="7" t="n">
        <v>45964</v>
      </c>
      <c r="B4601" s="8" t="s">
        <v>16</v>
      </c>
      <c r="C4601" s="9" t="n">
        <v>500</v>
      </c>
      <c r="D4601" s="8" t="s">
        <v>33</v>
      </c>
      <c r="E4601" s="10" t="s">
        <v>88</v>
      </c>
      <c r="F4601" s="8" t="str">
        <f aca="false">TEXT(A4601,"MM-YYYY")</f>
        <v>11-2025</v>
      </c>
      <c r="G4601" s="8"/>
      <c r="H4601" s="8"/>
      <c r="I4601" s="7"/>
      <c r="J4601" s="8" t="str">
        <f aca="false">VLOOKUP(B4601, Table3[#All], 2, FALSE())</f>
        <v>Sales</v>
      </c>
      <c r="K4601" s="8" t="str">
        <f aca="false">TEXT(ROW(), "0000")</f>
        <v>4601</v>
      </c>
      <c r="L4601" s="8"/>
    </row>
    <row r="4602" customFormat="false" ht="15.75" hidden="false" customHeight="true" outlineLevel="0" collapsed="false">
      <c r="A4602" s="7" t="n">
        <v>45964</v>
      </c>
      <c r="B4602" s="8" t="s">
        <v>16</v>
      </c>
      <c r="C4602" s="9" t="n">
        <v>2700</v>
      </c>
      <c r="D4602" s="8" t="s">
        <v>70</v>
      </c>
      <c r="E4602" s="10" t="s">
        <v>88</v>
      </c>
      <c r="F4602" s="8" t="str">
        <f aca="false">TEXT(A4602,"MM-YYYY")</f>
        <v>11-2025</v>
      </c>
      <c r="G4602" s="8"/>
      <c r="H4602" s="8"/>
      <c r="I4602" s="7"/>
      <c r="J4602" s="8" t="str">
        <f aca="false">VLOOKUP(B4602, Table3[#All], 2, FALSE())</f>
        <v>Sales</v>
      </c>
      <c r="K4602" s="8" t="str">
        <f aca="false">TEXT(ROW(), "0000")</f>
        <v>4602</v>
      </c>
      <c r="L4602" s="8"/>
    </row>
    <row r="4603" customFormat="false" ht="15.75" hidden="false" customHeight="true" outlineLevel="0" collapsed="false">
      <c r="A4603" s="7" t="n">
        <v>45964</v>
      </c>
      <c r="B4603" s="8" t="s">
        <v>629</v>
      </c>
      <c r="C4603" s="9" t="n">
        <v>40</v>
      </c>
      <c r="D4603" s="8" t="s">
        <v>21</v>
      </c>
      <c r="E4603" s="10" t="s">
        <v>630</v>
      </c>
      <c r="F4603" s="8" t="str">
        <f aca="false">TEXT(A4603,"MM-YYYY")</f>
        <v>11-2025</v>
      </c>
      <c r="G4603" s="8" t="s">
        <v>14</v>
      </c>
      <c r="H4603" s="8" t="s">
        <v>232</v>
      </c>
      <c r="I4603" s="7"/>
      <c r="J4603" s="8" t="str">
        <f aca="false">VLOOKUP(B4603, Table3[#All], 2, FALSE())</f>
        <v>Excess Amount Return</v>
      </c>
      <c r="K4603" s="8" t="str">
        <f aca="false">TEXT(ROW(), "0000")</f>
        <v>4603</v>
      </c>
      <c r="L4603" s="8"/>
    </row>
    <row r="4604" customFormat="false" ht="15.75" hidden="false" customHeight="true" outlineLevel="0" collapsed="false">
      <c r="A4604" s="7" t="n">
        <v>45964</v>
      </c>
      <c r="B4604" s="8" t="s">
        <v>154</v>
      </c>
      <c r="C4604" s="9" t="n">
        <v>30</v>
      </c>
      <c r="D4604" s="8" t="s">
        <v>45</v>
      </c>
      <c r="E4604" s="10" t="s">
        <v>644</v>
      </c>
      <c r="F4604" s="8" t="str">
        <f aca="false">TEXT(A4604,"MM-YYYY")</f>
        <v>11-2025</v>
      </c>
      <c r="G4604" s="8" t="s">
        <v>14</v>
      </c>
      <c r="H4604" s="8" t="s">
        <v>232</v>
      </c>
      <c r="I4604" s="7"/>
      <c r="J4604" s="8" t="str">
        <f aca="false">VLOOKUP(B4604, Table3[#All], 2, FALSE())</f>
        <v>Staff Expenses</v>
      </c>
      <c r="K4604" s="8" t="str">
        <f aca="false">TEXT(ROW(), "0000")</f>
        <v>4604</v>
      </c>
      <c r="L4604" s="8"/>
    </row>
    <row r="4605" customFormat="false" ht="15.75" hidden="false" customHeight="true" outlineLevel="0" collapsed="false">
      <c r="A4605" s="7" t="n">
        <v>45964</v>
      </c>
      <c r="B4605" s="8" t="s">
        <v>51</v>
      </c>
      <c r="C4605" s="9" t="n">
        <v>300</v>
      </c>
      <c r="D4605" s="8" t="s">
        <v>45</v>
      </c>
      <c r="E4605" s="10" t="s">
        <v>621</v>
      </c>
      <c r="F4605" s="8" t="str">
        <f aca="false">TEXT(A4605,"MM-YYYY")</f>
        <v>11-2025</v>
      </c>
      <c r="G4605" s="8" t="s">
        <v>14</v>
      </c>
      <c r="H4605" s="8" t="s">
        <v>232</v>
      </c>
      <c r="I4605" s="7"/>
      <c r="J4605" s="8" t="str">
        <f aca="false">VLOOKUP(B4605, Table3[#All], 2, FALSE())</f>
        <v>Inventory</v>
      </c>
      <c r="K4605" s="8" t="str">
        <f aca="false">TEXT(ROW(), "0000")</f>
        <v>4605</v>
      </c>
      <c r="L4605" s="8"/>
    </row>
    <row r="4606" customFormat="false" ht="15.75" hidden="false" customHeight="true" outlineLevel="0" collapsed="false">
      <c r="A4606" s="7" t="n">
        <v>45964</v>
      </c>
      <c r="B4606" s="8" t="s">
        <v>43</v>
      </c>
      <c r="C4606" s="9" t="n">
        <v>400</v>
      </c>
      <c r="D4606" s="8" t="s">
        <v>45</v>
      </c>
      <c r="E4606" s="10" t="s">
        <v>646</v>
      </c>
      <c r="F4606" s="8" t="str">
        <f aca="false">TEXT(A4606,"MM-YYYY")</f>
        <v>11-2025</v>
      </c>
      <c r="G4606" s="8" t="s">
        <v>14</v>
      </c>
      <c r="H4606" s="8" t="s">
        <v>232</v>
      </c>
      <c r="I4606" s="7"/>
      <c r="J4606" s="8" t="str">
        <f aca="false">VLOOKUP(B4606, Table3[#All], 2, FALSE())</f>
        <v>Maintance</v>
      </c>
      <c r="K4606" s="8" t="str">
        <f aca="false">TEXT(ROW(), "0000")</f>
        <v>4606</v>
      </c>
      <c r="L4606" s="8"/>
    </row>
    <row r="4607" customFormat="false" ht="15.75" hidden="false" customHeight="true" outlineLevel="0" collapsed="false">
      <c r="A4607" s="7" t="n">
        <v>45964</v>
      </c>
      <c r="B4607" s="8" t="s">
        <v>43</v>
      </c>
      <c r="C4607" s="9" t="n">
        <v>1000</v>
      </c>
      <c r="D4607" s="8" t="s">
        <v>45</v>
      </c>
      <c r="E4607" s="10" t="s">
        <v>647</v>
      </c>
      <c r="F4607" s="8" t="str">
        <f aca="false">TEXT(A4607,"MM-YYYY")</f>
        <v>11-2025</v>
      </c>
      <c r="G4607" s="8" t="s">
        <v>14</v>
      </c>
      <c r="H4607" s="8" t="s">
        <v>232</v>
      </c>
      <c r="I4607" s="7"/>
      <c r="J4607" s="8" t="str">
        <f aca="false">VLOOKUP(B4607, Table3[#All], 2, FALSE())</f>
        <v>Maintance</v>
      </c>
      <c r="K4607" s="8" t="str">
        <f aca="false">TEXT(ROW(), "0000")</f>
        <v>4607</v>
      </c>
      <c r="L4607" s="8"/>
    </row>
    <row r="4608" customFormat="false" ht="15.75" hidden="false" customHeight="true" outlineLevel="0" collapsed="false">
      <c r="A4608" s="7" t="n">
        <v>45964</v>
      </c>
      <c r="B4608" s="8" t="s">
        <v>44</v>
      </c>
      <c r="C4608" s="9" t="n">
        <v>10000</v>
      </c>
      <c r="D4608" s="8" t="s">
        <v>13</v>
      </c>
      <c r="E4608" s="10" t="s">
        <v>467</v>
      </c>
      <c r="F4608" s="8" t="str">
        <f aca="false">TEXT(A4608,"MM-YYYY")</f>
        <v>11-2025</v>
      </c>
      <c r="G4608" s="8" t="s">
        <v>14</v>
      </c>
      <c r="H4608" s="8" t="s">
        <v>13</v>
      </c>
      <c r="I4608" s="7" t="n">
        <v>45964</v>
      </c>
      <c r="J4608" s="8" t="str">
        <f aca="false">VLOOKUP(B4608, Table3[#All], 2, FALSE())</f>
        <v>Salary</v>
      </c>
      <c r="K4608" s="8" t="str">
        <f aca="false">TEXT(ROW(), "0000")</f>
        <v>4608</v>
      </c>
      <c r="L4608" s="8"/>
    </row>
    <row r="4609" customFormat="false" ht="15.75" hidden="false" customHeight="true" outlineLevel="0" collapsed="false">
      <c r="A4609" s="7" t="n">
        <v>45964</v>
      </c>
      <c r="B4609" s="8" t="s">
        <v>44</v>
      </c>
      <c r="C4609" s="9" t="n">
        <v>4000</v>
      </c>
      <c r="D4609" s="8" t="s">
        <v>13</v>
      </c>
      <c r="E4609" s="10" t="s">
        <v>86</v>
      </c>
      <c r="F4609" s="8" t="str">
        <f aca="false">TEXT(A4609,"MM-YYYY")</f>
        <v>11-2025</v>
      </c>
      <c r="G4609" s="8" t="s">
        <v>14</v>
      </c>
      <c r="H4609" s="8" t="s">
        <v>13</v>
      </c>
      <c r="I4609" s="7" t="n">
        <v>45964</v>
      </c>
      <c r="J4609" s="8" t="str">
        <f aca="false">VLOOKUP(B4609, Table3[#All], 2, FALSE())</f>
        <v>Salary</v>
      </c>
      <c r="K4609" s="8" t="str">
        <f aca="false">TEXT(ROW(), "0000")</f>
        <v>4609</v>
      </c>
      <c r="L4609" s="8"/>
    </row>
    <row r="4610" customFormat="false" ht="15.75" hidden="false" customHeight="true" outlineLevel="0" collapsed="false">
      <c r="A4610" s="7" t="n">
        <v>45964</v>
      </c>
      <c r="B4610" s="8" t="s">
        <v>44</v>
      </c>
      <c r="C4610" s="9" t="n">
        <v>600</v>
      </c>
      <c r="D4610" s="8" t="s">
        <v>45</v>
      </c>
      <c r="E4610" s="10" t="s">
        <v>625</v>
      </c>
      <c r="F4610" s="8" t="str">
        <f aca="false">TEXT(A4610,"MM-YYYY")</f>
        <v>11-2025</v>
      </c>
      <c r="G4610" s="8" t="s">
        <v>14</v>
      </c>
      <c r="H4610" s="8" t="s">
        <v>232</v>
      </c>
      <c r="I4610" s="7"/>
      <c r="J4610" s="8" t="str">
        <f aca="false">VLOOKUP(B4610, Table3[#All], 2, FALSE())</f>
        <v>Salary</v>
      </c>
      <c r="K4610" s="8" t="str">
        <f aca="false">TEXT(ROW(), "0000")</f>
        <v>4610</v>
      </c>
      <c r="L4610" s="8"/>
    </row>
    <row r="4611" customFormat="false" ht="15.75" hidden="false" customHeight="true" outlineLevel="0" collapsed="false">
      <c r="A4611" s="7" t="n">
        <v>45965</v>
      </c>
      <c r="B4611" s="8" t="s">
        <v>25</v>
      </c>
      <c r="C4611" s="9" t="n">
        <v>675</v>
      </c>
      <c r="D4611" s="8" t="s">
        <v>13</v>
      </c>
      <c r="E4611" s="10" t="s">
        <v>92</v>
      </c>
      <c r="F4611" s="8" t="str">
        <f aca="false">TEXT(A4611,"MM-YYYY")</f>
        <v>11-2025</v>
      </c>
      <c r="G4611" s="8" t="s">
        <v>18</v>
      </c>
      <c r="H4611" s="8"/>
      <c r="I4611" s="7"/>
      <c r="J4611" s="8" t="str">
        <f aca="false">VLOOKUP(B4611, Table3[#All], 2, FALSE())</f>
        <v>Inventory</v>
      </c>
      <c r="K4611" s="8" t="str">
        <f aca="false">TEXT(ROW(), "0000")</f>
        <v>4611</v>
      </c>
      <c r="L4611" s="8"/>
    </row>
    <row r="4612" customFormat="false" ht="15.75" hidden="false" customHeight="true" outlineLevel="0" collapsed="false">
      <c r="A4612" s="7" t="n">
        <v>45965</v>
      </c>
      <c r="B4612" s="8" t="s">
        <v>31</v>
      </c>
      <c r="C4612" s="9" t="n">
        <v>310</v>
      </c>
      <c r="D4612" s="8" t="s">
        <v>45</v>
      </c>
      <c r="E4612" s="10" t="s">
        <v>147</v>
      </c>
      <c r="F4612" s="8" t="str">
        <f aca="false">TEXT(A4612,"MM-YYYY")</f>
        <v>11-2025</v>
      </c>
      <c r="G4612" s="8" t="s">
        <v>14</v>
      </c>
      <c r="H4612" s="8" t="s">
        <v>232</v>
      </c>
      <c r="I4612" s="7" t="n">
        <v>45965</v>
      </c>
      <c r="J4612" s="8" t="str">
        <f aca="false">VLOOKUP(B4612, Table3[#All], 2, FALSE())</f>
        <v>Bike Maintance</v>
      </c>
      <c r="K4612" s="8" t="str">
        <f aca="false">TEXT(ROW(), "0000")</f>
        <v>4612</v>
      </c>
      <c r="L4612" s="8"/>
    </row>
    <row r="4613" customFormat="false" ht="15.75" hidden="false" customHeight="true" outlineLevel="0" collapsed="false">
      <c r="A4613" s="7" t="n">
        <v>45965</v>
      </c>
      <c r="B4613" s="8" t="s">
        <v>43</v>
      </c>
      <c r="C4613" s="9" t="n">
        <v>960</v>
      </c>
      <c r="D4613" s="8" t="s">
        <v>45</v>
      </c>
      <c r="E4613" s="10" t="s">
        <v>487</v>
      </c>
      <c r="F4613" s="8" t="str">
        <f aca="false">TEXT(A4613,"MM-YYYY")</f>
        <v>11-2025</v>
      </c>
      <c r="G4613" s="8" t="s">
        <v>14</v>
      </c>
      <c r="H4613" s="8" t="s">
        <v>232</v>
      </c>
      <c r="I4613" s="7"/>
      <c r="J4613" s="8" t="str">
        <f aca="false">VLOOKUP(B4613, Table3[#All], 2, FALSE())</f>
        <v>Maintance</v>
      </c>
      <c r="K4613" s="8" t="str">
        <f aca="false">TEXT(ROW(), "0000")</f>
        <v>4613</v>
      </c>
      <c r="L4613" s="8"/>
    </row>
    <row r="4614" customFormat="false" ht="15.75" hidden="false" customHeight="true" outlineLevel="0" collapsed="false">
      <c r="A4614" s="7" t="n">
        <v>45965</v>
      </c>
      <c r="B4614" s="8" t="s">
        <v>19</v>
      </c>
      <c r="C4614" s="9" t="n">
        <v>1776</v>
      </c>
      <c r="D4614" s="8" t="s">
        <v>13</v>
      </c>
      <c r="E4614" s="10" t="s">
        <v>473</v>
      </c>
      <c r="F4614" s="8" t="str">
        <f aca="false">TEXT(A4614,"MM-YYYY")</f>
        <v>11-2025</v>
      </c>
      <c r="G4614" s="8" t="s">
        <v>14</v>
      </c>
      <c r="H4614" s="8"/>
      <c r="I4614" s="7"/>
      <c r="J4614" s="8" t="str">
        <f aca="false">VLOOKUP(B4614, Table3[#All], 2, FALSE())</f>
        <v>Inventory</v>
      </c>
      <c r="K4614" s="8" t="str">
        <f aca="false">TEXT(ROW(), "0000")</f>
        <v>4614</v>
      </c>
      <c r="L4614" s="8"/>
    </row>
    <row r="4615" customFormat="false" ht="15.75" hidden="false" customHeight="true" outlineLevel="0" collapsed="false">
      <c r="A4615" s="7" t="n">
        <v>45965</v>
      </c>
      <c r="B4615" s="8" t="s">
        <v>25</v>
      </c>
      <c r="C4615" s="9" t="n">
        <v>160</v>
      </c>
      <c r="D4615" s="8" t="s">
        <v>45</v>
      </c>
      <c r="E4615" s="10" t="s">
        <v>648</v>
      </c>
      <c r="F4615" s="8" t="str">
        <f aca="false">TEXT(A4615,"MM-YYYY")</f>
        <v>11-2025</v>
      </c>
      <c r="G4615" s="8" t="s">
        <v>14</v>
      </c>
      <c r="H4615" s="8" t="s">
        <v>232</v>
      </c>
      <c r="I4615" s="7"/>
      <c r="J4615" s="8" t="str">
        <f aca="false">VLOOKUP(B4615, Table3[#All], 2, FALSE())</f>
        <v>Inventory</v>
      </c>
      <c r="K4615" s="8" t="str">
        <f aca="false">TEXT(ROW(), "0000")</f>
        <v>4615</v>
      </c>
      <c r="L4615" s="8"/>
    </row>
    <row r="4616" customFormat="false" ht="15.75" hidden="false" customHeight="true" outlineLevel="0" collapsed="false">
      <c r="A4616" s="7" t="n">
        <v>45965</v>
      </c>
      <c r="B4616" s="8" t="s">
        <v>29</v>
      </c>
      <c r="C4616" s="9" t="n">
        <v>377</v>
      </c>
      <c r="D4616" s="8" t="s">
        <v>13</v>
      </c>
      <c r="E4616" s="10" t="s">
        <v>490</v>
      </c>
      <c r="F4616" s="8" t="str">
        <f aca="false">TEXT(A4616,"MM-YYYY")</f>
        <v>11-2025</v>
      </c>
      <c r="G4616" s="8" t="s">
        <v>18</v>
      </c>
      <c r="H4616" s="8"/>
      <c r="I4616" s="7"/>
      <c r="J4616" s="8" t="str">
        <f aca="false">VLOOKUP(B4616, Table3[#All], 2, FALSE())</f>
        <v>Inventory</v>
      </c>
      <c r="K4616" s="8" t="str">
        <f aca="false">TEXT(ROW(), "0000")</f>
        <v>4616</v>
      </c>
      <c r="L4616" s="8"/>
    </row>
    <row r="4617" customFormat="false" ht="15.75" hidden="false" customHeight="true" outlineLevel="0" collapsed="false">
      <c r="A4617" s="7" t="n">
        <v>45965</v>
      </c>
      <c r="B4617" s="8" t="s">
        <v>44</v>
      </c>
      <c r="C4617" s="9" t="n">
        <v>6000</v>
      </c>
      <c r="D4617" s="8" t="s">
        <v>45</v>
      </c>
      <c r="E4617" s="10" t="s">
        <v>649</v>
      </c>
      <c r="F4617" s="8" t="str">
        <f aca="false">TEXT(A4617,"MM-YYYY")</f>
        <v>11-2025</v>
      </c>
      <c r="G4617" s="8" t="s">
        <v>14</v>
      </c>
      <c r="H4617" s="8" t="s">
        <v>232</v>
      </c>
      <c r="I4617" s="7"/>
      <c r="J4617" s="8" t="str">
        <f aca="false">VLOOKUP(B4617, Table3[#All], 2, FALSE())</f>
        <v>Salary</v>
      </c>
      <c r="K4617" s="8" t="str">
        <f aca="false">TEXT(ROW(), "0000")</f>
        <v>4617</v>
      </c>
      <c r="L4617" s="8"/>
    </row>
    <row r="4618" customFormat="false" ht="15.75" hidden="false" customHeight="true" outlineLevel="0" collapsed="false">
      <c r="A4618" s="7" t="n">
        <v>45965</v>
      </c>
      <c r="B4618" s="8" t="s">
        <v>35</v>
      </c>
      <c r="C4618" s="9" t="n">
        <v>100</v>
      </c>
      <c r="D4618" s="8" t="s">
        <v>45</v>
      </c>
      <c r="E4618" s="10" t="s">
        <v>650</v>
      </c>
      <c r="F4618" s="8" t="str">
        <f aca="false">TEXT(A4618,"MM-YYYY")</f>
        <v>11-2025</v>
      </c>
      <c r="G4618" s="8" t="s">
        <v>14</v>
      </c>
      <c r="H4618" s="8" t="s">
        <v>232</v>
      </c>
      <c r="I4618" s="7"/>
      <c r="J4618" s="8" t="str">
        <f aca="false">VLOOKUP(B4618, Table3[#All], 2, FALSE())</f>
        <v>Inventory</v>
      </c>
      <c r="K4618" s="8" t="str">
        <f aca="false">TEXT(ROW(), "0000")</f>
        <v>4618</v>
      </c>
      <c r="L4618" s="8"/>
    </row>
    <row r="4619" customFormat="false" ht="15.75" hidden="false" customHeight="true" outlineLevel="0" collapsed="false">
      <c r="A4619" s="7" t="n">
        <v>45965</v>
      </c>
      <c r="B4619" s="8" t="s">
        <v>34</v>
      </c>
      <c r="C4619" s="9" t="n">
        <v>30</v>
      </c>
      <c r="D4619" s="8" t="s">
        <v>45</v>
      </c>
      <c r="E4619" s="10" t="s">
        <v>644</v>
      </c>
      <c r="F4619" s="8" t="str">
        <f aca="false">TEXT(A4619,"MM-YYYY")</f>
        <v>11-2025</v>
      </c>
      <c r="G4619" s="8" t="s">
        <v>14</v>
      </c>
      <c r="H4619" s="8" t="s">
        <v>232</v>
      </c>
      <c r="I4619" s="7"/>
      <c r="J4619" s="8" t="str">
        <f aca="false">VLOOKUP(B4619, Table3[#All], 2, FALSE())</f>
        <v>Staff Expenses</v>
      </c>
      <c r="K4619" s="8" t="str">
        <f aca="false">TEXT(ROW(), "0000")</f>
        <v>4619</v>
      </c>
      <c r="L4619" s="8"/>
    </row>
    <row r="4620" customFormat="false" ht="15.75" hidden="false" customHeight="true" outlineLevel="0" collapsed="false">
      <c r="A4620" s="7" t="n">
        <v>45965</v>
      </c>
      <c r="B4620" s="8" t="s">
        <v>37</v>
      </c>
      <c r="C4620" s="9" t="n">
        <v>10</v>
      </c>
      <c r="D4620" s="8" t="s">
        <v>21</v>
      </c>
      <c r="E4620" s="10" t="s">
        <v>635</v>
      </c>
      <c r="F4620" s="8" t="str">
        <f aca="false">TEXT(A4620,"MM-YYYY")</f>
        <v>11-2025</v>
      </c>
      <c r="G4620" s="8" t="s">
        <v>14</v>
      </c>
      <c r="H4620" s="8" t="s">
        <v>232</v>
      </c>
      <c r="I4620" s="7"/>
      <c r="J4620" s="8" t="str">
        <f aca="false">VLOOKUP(B4620, Table3[#All], 2, FALSE())</f>
        <v>Maintance</v>
      </c>
      <c r="K4620" s="8" t="str">
        <f aca="false">TEXT(ROW(), "0000")</f>
        <v>4620</v>
      </c>
      <c r="L4620" s="8"/>
    </row>
    <row r="4621" customFormat="false" ht="15.75" hidden="false" customHeight="true" outlineLevel="0" collapsed="false">
      <c r="A4621" s="7" t="n">
        <v>45965</v>
      </c>
      <c r="B4621" s="8" t="s">
        <v>107</v>
      </c>
      <c r="C4621" s="9" t="n">
        <v>100</v>
      </c>
      <c r="D4621" s="8" t="s">
        <v>21</v>
      </c>
      <c r="E4621" s="10" t="s">
        <v>651</v>
      </c>
      <c r="F4621" s="8" t="str">
        <f aca="false">TEXT(A4621,"MM-YYYY")</f>
        <v>11-2025</v>
      </c>
      <c r="G4621" s="8" t="s">
        <v>14</v>
      </c>
      <c r="H4621" s="8" t="s">
        <v>232</v>
      </c>
      <c r="I4621" s="7"/>
      <c r="J4621" s="8" t="str">
        <f aca="false">VLOOKUP(B4621, Table3[#All], 2, FALSE())</f>
        <v>Staff Expenses</v>
      </c>
      <c r="K4621" s="8" t="str">
        <f aca="false">TEXT(ROW(), "0000")</f>
        <v>4621</v>
      </c>
      <c r="L4621" s="8"/>
    </row>
    <row r="4622" customFormat="false" ht="15.75" hidden="false" customHeight="true" outlineLevel="0" collapsed="false">
      <c r="A4622" s="7" t="n">
        <v>45965</v>
      </c>
      <c r="B4622" s="8" t="s">
        <v>44</v>
      </c>
      <c r="C4622" s="9" t="n">
        <v>500</v>
      </c>
      <c r="D4622" s="8" t="s">
        <v>21</v>
      </c>
      <c r="E4622" s="10" t="s">
        <v>611</v>
      </c>
      <c r="F4622" s="8" t="str">
        <f aca="false">TEXT(A4622,"MM-YYYY")</f>
        <v>11-2025</v>
      </c>
      <c r="G4622" s="8" t="s">
        <v>14</v>
      </c>
      <c r="H4622" s="8" t="s">
        <v>232</v>
      </c>
      <c r="I4622" s="7" t="n">
        <v>45965</v>
      </c>
      <c r="J4622" s="8" t="str">
        <f aca="false">VLOOKUP(B4622, Table3[#All], 2, FALSE())</f>
        <v>Salary</v>
      </c>
      <c r="K4622" s="8" t="str">
        <f aca="false">TEXT(ROW(), "0000")</f>
        <v>4622</v>
      </c>
      <c r="L4622" s="8"/>
    </row>
    <row r="4623" customFormat="false" ht="15.75" hidden="false" customHeight="true" outlineLevel="0" collapsed="false">
      <c r="A4623" s="7" t="n">
        <v>45965</v>
      </c>
      <c r="B4623" s="8" t="s">
        <v>29</v>
      </c>
      <c r="C4623" s="9" t="n">
        <v>20</v>
      </c>
      <c r="D4623" s="8" t="s">
        <v>21</v>
      </c>
      <c r="E4623" s="10" t="s">
        <v>65</v>
      </c>
      <c r="F4623" s="8" t="str">
        <f aca="false">TEXT(A4623,"MM-YYYY")</f>
        <v>11-2025</v>
      </c>
      <c r="G4623" s="8" t="s">
        <v>14</v>
      </c>
      <c r="H4623" s="8" t="s">
        <v>232</v>
      </c>
      <c r="I4623" s="7"/>
      <c r="J4623" s="8" t="str">
        <f aca="false">VLOOKUP(B4623, Table3[#All], 2, FALSE())</f>
        <v>Inventory</v>
      </c>
      <c r="K4623" s="8" t="str">
        <f aca="false">TEXT(ROW(), "0000")</f>
        <v>4623</v>
      </c>
      <c r="L4623" s="8"/>
    </row>
    <row r="4624" customFormat="false" ht="15.75" hidden="false" customHeight="true" outlineLevel="0" collapsed="false">
      <c r="A4624" s="7" t="n">
        <v>45965</v>
      </c>
      <c r="B4624" s="8" t="s">
        <v>51</v>
      </c>
      <c r="C4624" s="9" t="n">
        <v>5010</v>
      </c>
      <c r="D4624" s="8" t="s">
        <v>13</v>
      </c>
      <c r="E4624" s="10" t="s">
        <v>652</v>
      </c>
      <c r="F4624" s="8" t="str">
        <f aca="false">TEXT(A4624,"MM-YYYY")</f>
        <v>11-2025</v>
      </c>
      <c r="G4624" s="8" t="s">
        <v>18</v>
      </c>
      <c r="H4624" s="8"/>
      <c r="I4624" s="7"/>
      <c r="J4624" s="8" t="str">
        <f aca="false">VLOOKUP(B4624, Table3[#All], 2, FALSE())</f>
        <v>Inventory</v>
      </c>
      <c r="K4624" s="8" t="str">
        <f aca="false">TEXT(ROW(), "0000")</f>
        <v>4624</v>
      </c>
      <c r="L4624" s="8"/>
    </row>
    <row r="4625" customFormat="false" ht="15.75" hidden="false" customHeight="true" outlineLevel="0" collapsed="false">
      <c r="A4625" s="7" t="n">
        <v>45965</v>
      </c>
      <c r="B4625" s="8" t="s">
        <v>16</v>
      </c>
      <c r="C4625" s="9" t="n">
        <v>7490</v>
      </c>
      <c r="D4625" s="8" t="s">
        <v>21</v>
      </c>
      <c r="E4625" s="10" t="s">
        <v>88</v>
      </c>
      <c r="F4625" s="8" t="str">
        <f aca="false">TEXT(A4625,"MM-YYYY")</f>
        <v>11-2025</v>
      </c>
      <c r="G4625" s="8"/>
      <c r="H4625" s="8"/>
      <c r="I4625" s="7" t="n">
        <v>45965</v>
      </c>
      <c r="J4625" s="8" t="str">
        <f aca="false">VLOOKUP(B4625, Table3[#All], 2, FALSE())</f>
        <v>Sales</v>
      </c>
      <c r="K4625" s="8" t="str">
        <f aca="false">TEXT(ROW(), "0000")</f>
        <v>4625</v>
      </c>
      <c r="L4625" s="8"/>
    </row>
    <row r="4626" customFormat="false" ht="15.75" hidden="false" customHeight="true" outlineLevel="0" collapsed="false">
      <c r="A4626" s="7" t="n">
        <v>45965</v>
      </c>
      <c r="B4626" s="8" t="s">
        <v>16</v>
      </c>
      <c r="C4626" s="9" t="n">
        <v>570</v>
      </c>
      <c r="D4626" s="8" t="s">
        <v>33</v>
      </c>
      <c r="E4626" s="10" t="s">
        <v>88</v>
      </c>
      <c r="F4626" s="8" t="str">
        <f aca="false">TEXT(A4626,"MM-YYYY")</f>
        <v>11-2025</v>
      </c>
      <c r="G4626" s="8"/>
      <c r="H4626" s="8"/>
      <c r="I4626" s="7"/>
      <c r="J4626" s="8" t="str">
        <f aca="false">VLOOKUP(B4626, Table3[#All], 2, FALSE())</f>
        <v>Sales</v>
      </c>
      <c r="K4626" s="8" t="str">
        <f aca="false">TEXT(ROW(), "0000")</f>
        <v>4626</v>
      </c>
      <c r="L4626" s="8"/>
    </row>
    <row r="4627" customFormat="false" ht="15.75" hidden="false" customHeight="true" outlineLevel="0" collapsed="false">
      <c r="A4627" s="7" t="n">
        <v>45965</v>
      </c>
      <c r="B4627" s="8" t="s">
        <v>16</v>
      </c>
      <c r="C4627" s="9" t="n">
        <v>710</v>
      </c>
      <c r="D4627" s="8" t="s">
        <v>27</v>
      </c>
      <c r="E4627" s="10" t="s">
        <v>88</v>
      </c>
      <c r="F4627" s="8" t="str">
        <f aca="false">TEXT(A4627,"MM-YYYY")</f>
        <v>11-2025</v>
      </c>
      <c r="G4627" s="8"/>
      <c r="H4627" s="8"/>
      <c r="I4627" s="7"/>
      <c r="J4627" s="8" t="str">
        <f aca="false">VLOOKUP(B4627, Table3[#All], 2, FALSE())</f>
        <v>Sales</v>
      </c>
      <c r="K4627" s="8" t="str">
        <f aca="false">TEXT(ROW(), "0000")</f>
        <v>4627</v>
      </c>
      <c r="L4627" s="8"/>
    </row>
    <row r="4628" customFormat="false" ht="15.75" hidden="false" customHeight="true" outlineLevel="0" collapsed="false">
      <c r="A4628" s="7" t="n">
        <v>45965</v>
      </c>
      <c r="B4628" s="8" t="s">
        <v>16</v>
      </c>
      <c r="C4628" s="9" t="n">
        <v>18324</v>
      </c>
      <c r="D4628" s="8" t="s">
        <v>17</v>
      </c>
      <c r="E4628" s="10" t="s">
        <v>88</v>
      </c>
      <c r="F4628" s="8" t="str">
        <f aca="false">TEXT(A4628,"MM-YYYY")</f>
        <v>11-2025</v>
      </c>
      <c r="G4628" s="8"/>
      <c r="H4628" s="8"/>
      <c r="I4628" s="7"/>
      <c r="J4628" s="8" t="str">
        <f aca="false">VLOOKUP(B4628, Table3[#All], 2, FALSE())</f>
        <v>Sales</v>
      </c>
      <c r="K4628" s="8" t="str">
        <f aca="false">TEXT(ROW(), "0000")</f>
        <v>4628</v>
      </c>
      <c r="L4628" s="8"/>
    </row>
    <row r="4629" customFormat="false" ht="15.75" hidden="false" customHeight="true" outlineLevel="0" collapsed="false">
      <c r="A4629" s="7" t="n">
        <v>45965</v>
      </c>
      <c r="B4629" s="8" t="s">
        <v>16</v>
      </c>
      <c r="C4629" s="9" t="n">
        <v>3551</v>
      </c>
      <c r="D4629" s="8" t="s">
        <v>24</v>
      </c>
      <c r="E4629" s="10" t="s">
        <v>88</v>
      </c>
      <c r="F4629" s="8" t="str">
        <f aca="false">TEXT(A4629,"MM-YYYY")</f>
        <v>11-2025</v>
      </c>
      <c r="G4629" s="8"/>
      <c r="H4629" s="8"/>
      <c r="I4629" s="7"/>
      <c r="J4629" s="8" t="str">
        <f aca="false">VLOOKUP(B4629, Table3[#All], 2, FALSE())</f>
        <v>Sales</v>
      </c>
      <c r="K4629" s="8" t="str">
        <f aca="false">TEXT(ROW(), "0000")</f>
        <v>4629</v>
      </c>
      <c r="L4629" s="8"/>
    </row>
    <row r="4630" customFormat="false" ht="15.75" hidden="false" customHeight="true" outlineLevel="0" collapsed="false">
      <c r="A4630" s="7" t="n">
        <v>45965</v>
      </c>
      <c r="B4630" s="8" t="s">
        <v>22</v>
      </c>
      <c r="C4630" s="9" t="n">
        <v>550</v>
      </c>
      <c r="D4630" s="8" t="s">
        <v>21</v>
      </c>
      <c r="E4630" s="10" t="s">
        <v>479</v>
      </c>
      <c r="F4630" s="8" t="str">
        <f aca="false">TEXT(A4630,"MM-YYYY")</f>
        <v>11-2025</v>
      </c>
      <c r="G4630" s="8" t="s">
        <v>14</v>
      </c>
      <c r="H4630" s="8" t="s">
        <v>232</v>
      </c>
      <c r="I4630" s="7" t="n">
        <v>45965</v>
      </c>
      <c r="J4630" s="8" t="str">
        <f aca="false">VLOOKUP(B4630, Table3[#All], 2, FALSE())</f>
        <v>Inventory</v>
      </c>
      <c r="K4630" s="8" t="str">
        <f aca="false">TEXT(ROW(), "0000")</f>
        <v>4630</v>
      </c>
      <c r="L4630" s="8"/>
    </row>
    <row r="4631" customFormat="false" ht="15.75" hidden="false" customHeight="true" outlineLevel="0" collapsed="false">
      <c r="A4631" s="7" t="n">
        <v>45965</v>
      </c>
      <c r="B4631" s="8" t="s">
        <v>32</v>
      </c>
      <c r="C4631" s="9" t="n">
        <v>1725</v>
      </c>
      <c r="D4631" s="8" t="s">
        <v>21</v>
      </c>
      <c r="E4631" s="10" t="s">
        <v>450</v>
      </c>
      <c r="F4631" s="8" t="str">
        <f aca="false">TEXT(A4631,"MM-YYYY")</f>
        <v>11-2025</v>
      </c>
      <c r="G4631" s="8" t="s">
        <v>14</v>
      </c>
      <c r="H4631" s="8" t="s">
        <v>232</v>
      </c>
      <c r="I4631" s="7" t="n">
        <v>45965</v>
      </c>
      <c r="J4631" s="8" t="str">
        <f aca="false">VLOOKUP(B4631, Table3[#All], 2, FALSE())</f>
        <v>Grocery</v>
      </c>
      <c r="K4631" s="8" t="str">
        <f aca="false">TEXT(ROW(), "0000")</f>
        <v>4631</v>
      </c>
      <c r="L4631" s="8"/>
    </row>
    <row r="4632" customFormat="false" ht="15.75" hidden="false" customHeight="true" outlineLevel="0" collapsed="false">
      <c r="A4632" s="7" t="n">
        <v>45966</v>
      </c>
      <c r="B4632" s="8" t="s">
        <v>25</v>
      </c>
      <c r="C4632" s="9" t="n">
        <v>1135</v>
      </c>
      <c r="D4632" s="8" t="s">
        <v>13</v>
      </c>
      <c r="E4632" s="10" t="s">
        <v>92</v>
      </c>
      <c r="F4632" s="8" t="str">
        <f aca="false">TEXT(A4632,"MM-YYYY")</f>
        <v>11-2025</v>
      </c>
      <c r="G4632" s="8" t="s">
        <v>18</v>
      </c>
      <c r="H4632" s="8"/>
      <c r="I4632" s="7"/>
      <c r="J4632" s="8" t="str">
        <f aca="false">VLOOKUP(B4632, Table3[#All], 2, FALSE())</f>
        <v>Inventory</v>
      </c>
      <c r="K4632" s="8" t="str">
        <f aca="false">TEXT(ROW(), "0000")</f>
        <v>4632</v>
      </c>
      <c r="L4632" s="8"/>
    </row>
    <row r="4633" customFormat="false" ht="15.75" hidden="false" customHeight="true" outlineLevel="0" collapsed="false">
      <c r="A4633" s="7" t="n">
        <v>45966</v>
      </c>
      <c r="B4633" s="8" t="s">
        <v>19</v>
      </c>
      <c r="C4633" s="9" t="n">
        <v>6256</v>
      </c>
      <c r="D4633" s="8" t="s">
        <v>13</v>
      </c>
      <c r="E4633" s="10" t="s">
        <v>473</v>
      </c>
      <c r="F4633" s="8" t="str">
        <f aca="false">TEXT(A4633,"MM-YYYY")</f>
        <v>11-2025</v>
      </c>
      <c r="G4633" s="8" t="s">
        <v>18</v>
      </c>
      <c r="H4633" s="8"/>
      <c r="I4633" s="7"/>
      <c r="J4633" s="8" t="str">
        <f aca="false">VLOOKUP(B4633, Table3[#All], 2, FALSE())</f>
        <v>Inventory</v>
      </c>
      <c r="K4633" s="8" t="str">
        <f aca="false">TEXT(ROW(), "0000")</f>
        <v>4633</v>
      </c>
      <c r="L4633" s="8"/>
    </row>
    <row r="4634" customFormat="false" ht="15.75" hidden="false" customHeight="true" outlineLevel="0" collapsed="false">
      <c r="A4634" s="7" t="n">
        <v>45966</v>
      </c>
      <c r="B4634" s="8" t="s">
        <v>53</v>
      </c>
      <c r="C4634" s="9" t="n">
        <v>3060</v>
      </c>
      <c r="D4634" s="8" t="s">
        <v>45</v>
      </c>
      <c r="E4634" s="10" t="s">
        <v>458</v>
      </c>
      <c r="F4634" s="8" t="str">
        <f aca="false">TEXT(A4634,"MM-YYYY")</f>
        <v>11-2025</v>
      </c>
      <c r="G4634" s="8" t="s">
        <v>14</v>
      </c>
      <c r="H4634" s="8"/>
      <c r="I4634" s="7"/>
      <c r="J4634" s="8" t="str">
        <f aca="false">VLOOKUP(B4634, Table3[#All], 2, FALSE())</f>
        <v>Grocery</v>
      </c>
      <c r="K4634" s="8" t="str">
        <f aca="false">TEXT(ROW(), "0000")</f>
        <v>4634</v>
      </c>
      <c r="L4634" s="8"/>
    </row>
    <row r="4635" customFormat="false" ht="15.75" hidden="false" customHeight="true" outlineLevel="0" collapsed="false">
      <c r="A4635" s="7" t="n">
        <v>45966</v>
      </c>
      <c r="B4635" s="8" t="s">
        <v>12</v>
      </c>
      <c r="C4635" s="9" t="n">
        <v>100</v>
      </c>
      <c r="D4635" s="8" t="s">
        <v>45</v>
      </c>
      <c r="E4635" s="10" t="s">
        <v>487</v>
      </c>
      <c r="F4635" s="8" t="str">
        <f aca="false">TEXT(A4635,"MM-YYYY")</f>
        <v>11-2025</v>
      </c>
      <c r="G4635" s="8" t="s">
        <v>14</v>
      </c>
      <c r="H4635" s="8" t="s">
        <v>232</v>
      </c>
      <c r="I4635" s="7"/>
      <c r="J4635" s="8" t="str">
        <f aca="false">VLOOKUP(B4635, Table3[#All], 2, FALSE())</f>
        <v>Fixed Maintance</v>
      </c>
      <c r="K4635" s="8" t="str">
        <f aca="false">TEXT(ROW(), "0000")</f>
        <v>4635</v>
      </c>
      <c r="L4635" s="8"/>
    </row>
    <row r="4636" customFormat="false" ht="15.75" hidden="false" customHeight="true" outlineLevel="0" collapsed="false">
      <c r="A4636" s="7" t="n">
        <v>45966</v>
      </c>
      <c r="B4636" s="8" t="s">
        <v>29</v>
      </c>
      <c r="C4636" s="9" t="n">
        <v>200</v>
      </c>
      <c r="D4636" s="8" t="s">
        <v>45</v>
      </c>
      <c r="E4636" s="10" t="s">
        <v>653</v>
      </c>
      <c r="F4636" s="8" t="str">
        <f aca="false">TEXT(A4636,"MM-YYYY")</f>
        <v>11-2025</v>
      </c>
      <c r="G4636" s="8" t="s">
        <v>14</v>
      </c>
      <c r="H4636" s="8" t="s">
        <v>232</v>
      </c>
      <c r="I4636" s="7"/>
      <c r="J4636" s="8" t="str">
        <f aca="false">VLOOKUP(B4636, Table3[#All], 2, FALSE())</f>
        <v>Inventory</v>
      </c>
      <c r="K4636" s="8" t="str">
        <f aca="false">TEXT(ROW(), "0000")</f>
        <v>4636</v>
      </c>
      <c r="L4636" s="8"/>
    </row>
    <row r="4637" customFormat="false" ht="15.75" hidden="false" customHeight="true" outlineLevel="0" collapsed="false">
      <c r="A4637" s="7" t="n">
        <v>45966</v>
      </c>
      <c r="B4637" s="8" t="s">
        <v>37</v>
      </c>
      <c r="C4637" s="9" t="n">
        <v>10</v>
      </c>
      <c r="D4637" s="8" t="s">
        <v>21</v>
      </c>
      <c r="E4637" s="10" t="s">
        <v>635</v>
      </c>
      <c r="F4637" s="8" t="str">
        <f aca="false">TEXT(A4637,"MM-YYYY")</f>
        <v>11-2025</v>
      </c>
      <c r="G4637" s="8" t="s">
        <v>14</v>
      </c>
      <c r="H4637" s="8"/>
      <c r="I4637" s="7"/>
      <c r="J4637" s="8" t="str">
        <f aca="false">VLOOKUP(B4637, Table3[#All], 2, FALSE())</f>
        <v>Maintance</v>
      </c>
      <c r="K4637" s="8" t="str">
        <f aca="false">TEXT(ROW(), "0000")</f>
        <v>4637</v>
      </c>
      <c r="L4637" s="8"/>
    </row>
    <row r="4638" customFormat="false" ht="15.75" hidden="false" customHeight="true" outlineLevel="0" collapsed="false">
      <c r="A4638" s="7" t="n">
        <v>45966</v>
      </c>
      <c r="B4638" s="8" t="s">
        <v>40</v>
      </c>
      <c r="C4638" s="9" t="n">
        <v>2100</v>
      </c>
      <c r="D4638" s="8" t="s">
        <v>13</v>
      </c>
      <c r="E4638" s="10" t="s">
        <v>654</v>
      </c>
      <c r="F4638" s="8" t="str">
        <f aca="false">TEXT(A4638,"MM-YYYY")</f>
        <v>11-2025</v>
      </c>
      <c r="G4638" s="8" t="s">
        <v>14</v>
      </c>
      <c r="H4638" s="8" t="s">
        <v>262</v>
      </c>
      <c r="I4638" s="7" t="n">
        <v>45966</v>
      </c>
      <c r="J4638" s="8" t="str">
        <f aca="false">VLOOKUP(B4638, Table3[#All], 2, FALSE())</f>
        <v>Inventory</v>
      </c>
      <c r="K4638" s="8" t="str">
        <f aca="false">TEXT(ROW(), "0000")</f>
        <v>4638</v>
      </c>
      <c r="L4638" s="8"/>
    </row>
    <row r="4639" customFormat="false" ht="15.75" hidden="false" customHeight="true" outlineLevel="0" collapsed="false">
      <c r="A4639" s="7" t="n">
        <v>45966</v>
      </c>
      <c r="B4639" s="8" t="s">
        <v>22</v>
      </c>
      <c r="C4639" s="9" t="n">
        <v>800</v>
      </c>
      <c r="D4639" s="8" t="s">
        <v>13</v>
      </c>
      <c r="E4639" s="10" t="s">
        <v>633</v>
      </c>
      <c r="F4639" s="8" t="str">
        <f aca="false">TEXT(A4639,"MM-YYYY")</f>
        <v>11-2025</v>
      </c>
      <c r="G4639" s="8" t="s">
        <v>14</v>
      </c>
      <c r="H4639" s="8" t="s">
        <v>262</v>
      </c>
      <c r="I4639" s="7" t="n">
        <v>45966</v>
      </c>
      <c r="J4639" s="8" t="str">
        <f aca="false">VLOOKUP(B4639, Table3[#All], 2, FALSE())</f>
        <v>Inventory</v>
      </c>
      <c r="K4639" s="8" t="str">
        <f aca="false">TEXT(ROW(), "0000")</f>
        <v>4639</v>
      </c>
      <c r="L4639" s="8"/>
    </row>
    <row r="4640" customFormat="false" ht="15.75" hidden="false" customHeight="true" outlineLevel="0" collapsed="false">
      <c r="A4640" s="7" t="n">
        <v>45966</v>
      </c>
      <c r="B4640" s="8" t="s">
        <v>202</v>
      </c>
      <c r="C4640" s="9" t="n">
        <v>20</v>
      </c>
      <c r="D4640" s="8" t="s">
        <v>45</v>
      </c>
      <c r="E4640" s="10" t="s">
        <v>487</v>
      </c>
      <c r="F4640" s="8" t="str">
        <f aca="false">TEXT(A4640,"MM-YYYY")</f>
        <v>11-2025</v>
      </c>
      <c r="G4640" s="8" t="s">
        <v>14</v>
      </c>
      <c r="H4640" s="8" t="s">
        <v>232</v>
      </c>
      <c r="I4640" s="7" t="n">
        <v>45966</v>
      </c>
      <c r="J4640" s="8" t="str">
        <f aca="false">VLOOKUP(B4640, Table3[#All], 2, FALSE())</f>
        <v>Maintance</v>
      </c>
      <c r="K4640" s="8" t="str">
        <f aca="false">TEXT(ROW(), "0000")</f>
        <v>4640</v>
      </c>
      <c r="L4640" s="8"/>
    </row>
    <row r="4641" customFormat="false" ht="15.75" hidden="false" customHeight="true" outlineLevel="0" collapsed="false">
      <c r="A4641" s="7" t="n">
        <v>45966</v>
      </c>
      <c r="B4641" s="8" t="s">
        <v>53</v>
      </c>
      <c r="C4641" s="9" t="n">
        <v>540</v>
      </c>
      <c r="D4641" s="8" t="s">
        <v>21</v>
      </c>
      <c r="E4641" s="10" t="s">
        <v>634</v>
      </c>
      <c r="F4641" s="8" t="str">
        <f aca="false">TEXT(A4641,"MM-YYYY")</f>
        <v>11-2025</v>
      </c>
      <c r="G4641" s="8" t="s">
        <v>14</v>
      </c>
      <c r="H4641" s="8" t="s">
        <v>232</v>
      </c>
      <c r="I4641" s="7"/>
      <c r="J4641" s="8" t="str">
        <f aca="false">VLOOKUP(B4641, Table3[#All], 2, FALSE())</f>
        <v>Grocery</v>
      </c>
      <c r="K4641" s="8" t="str">
        <f aca="false">TEXT(ROW(), "0000")</f>
        <v>4641</v>
      </c>
      <c r="L4641" s="8"/>
    </row>
    <row r="4642" customFormat="false" ht="15.75" hidden="false" customHeight="true" outlineLevel="0" collapsed="false">
      <c r="A4642" s="7" t="n">
        <v>45966</v>
      </c>
      <c r="B4642" s="8" t="s">
        <v>29</v>
      </c>
      <c r="C4642" s="9" t="n">
        <v>469</v>
      </c>
      <c r="D4642" s="8" t="s">
        <v>13</v>
      </c>
      <c r="E4642" s="10" t="s">
        <v>490</v>
      </c>
      <c r="F4642" s="8" t="str">
        <f aca="false">TEXT(A4642,"MM-YYYY")</f>
        <v>11-2025</v>
      </c>
      <c r="G4642" s="8" t="s">
        <v>14</v>
      </c>
      <c r="H4642" s="8" t="s">
        <v>232</v>
      </c>
      <c r="I4642" s="7"/>
      <c r="J4642" s="8" t="str">
        <f aca="false">VLOOKUP(B4642, Table3[#All], 2, FALSE())</f>
        <v>Inventory</v>
      </c>
      <c r="K4642" s="8" t="str">
        <f aca="false">TEXT(ROW(), "0000")</f>
        <v>4642</v>
      </c>
      <c r="L4642" s="8"/>
    </row>
    <row r="4643" customFormat="false" ht="15.75" hidden="false" customHeight="true" outlineLevel="0" collapsed="false">
      <c r="A4643" s="7" t="n">
        <v>45966</v>
      </c>
      <c r="B4643" s="8" t="s">
        <v>34</v>
      </c>
      <c r="C4643" s="9" t="n">
        <v>30</v>
      </c>
      <c r="D4643" s="8" t="s">
        <v>45</v>
      </c>
      <c r="E4643" s="10" t="s">
        <v>154</v>
      </c>
      <c r="F4643" s="8" t="str">
        <f aca="false">TEXT(A4643,"MM-YYYY")</f>
        <v>11-2025</v>
      </c>
      <c r="G4643" s="8" t="s">
        <v>14</v>
      </c>
      <c r="H4643" s="8" t="s">
        <v>232</v>
      </c>
      <c r="I4643" s="7"/>
      <c r="J4643" s="8" t="str">
        <f aca="false">VLOOKUP(B4643, Table3[#All], 2, FALSE())</f>
        <v>Staff Expenses</v>
      </c>
      <c r="K4643" s="8" t="str">
        <f aca="false">TEXT(ROW(), "0000")</f>
        <v>4643</v>
      </c>
      <c r="L4643" s="8"/>
    </row>
    <row r="4644" customFormat="false" ht="15.75" hidden="false" customHeight="true" outlineLevel="0" collapsed="false">
      <c r="A4644" s="7" t="n">
        <v>45966</v>
      </c>
      <c r="B4644" s="8" t="s">
        <v>43</v>
      </c>
      <c r="C4644" s="9" t="n">
        <v>1000</v>
      </c>
      <c r="D4644" s="8" t="s">
        <v>21</v>
      </c>
      <c r="E4644" s="10" t="s">
        <v>647</v>
      </c>
      <c r="F4644" s="8" t="str">
        <f aca="false">TEXT(A4644,"MM-YYYY")</f>
        <v>11-2025</v>
      </c>
      <c r="G4644" s="8" t="s">
        <v>14</v>
      </c>
      <c r="H4644" s="8" t="s">
        <v>232</v>
      </c>
      <c r="I4644" s="7" t="n">
        <v>45966</v>
      </c>
      <c r="J4644" s="8" t="str">
        <f aca="false">VLOOKUP(B4644, Table3[#All], 2, FALSE())</f>
        <v>Maintance</v>
      </c>
      <c r="K4644" s="8" t="str">
        <f aca="false">TEXT(ROW(), "0000")</f>
        <v>4644</v>
      </c>
      <c r="L4644" s="8"/>
    </row>
    <row r="4645" customFormat="false" ht="15.75" hidden="false" customHeight="true" outlineLevel="0" collapsed="false">
      <c r="A4645" s="7" t="n">
        <v>45966</v>
      </c>
      <c r="B4645" s="8" t="s">
        <v>44</v>
      </c>
      <c r="C4645" s="9" t="n">
        <v>500</v>
      </c>
      <c r="D4645" s="8" t="s">
        <v>13</v>
      </c>
      <c r="E4645" s="10" t="s">
        <v>611</v>
      </c>
      <c r="F4645" s="8" t="str">
        <f aca="false">TEXT(A4645,"MM-YYYY")</f>
        <v>11-2025</v>
      </c>
      <c r="G4645" s="8" t="s">
        <v>14</v>
      </c>
      <c r="H4645" s="8" t="s">
        <v>262</v>
      </c>
      <c r="I4645" s="7" t="n">
        <v>45966</v>
      </c>
      <c r="J4645" s="8" t="str">
        <f aca="false">VLOOKUP(B4645, Table3[#All], 2, FALSE())</f>
        <v>Salary</v>
      </c>
      <c r="K4645" s="8" t="str">
        <f aca="false">TEXT(ROW(), "0000")</f>
        <v>4645</v>
      </c>
      <c r="L4645" s="8"/>
    </row>
    <row r="4646" customFormat="false" ht="15.75" hidden="false" customHeight="true" outlineLevel="0" collapsed="false">
      <c r="A4646" s="7" t="n">
        <v>45966</v>
      </c>
      <c r="B4646" s="8" t="s">
        <v>16</v>
      </c>
      <c r="C4646" s="9" t="n">
        <v>4975</v>
      </c>
      <c r="D4646" s="8" t="s">
        <v>21</v>
      </c>
      <c r="E4646" s="10" t="s">
        <v>88</v>
      </c>
      <c r="F4646" s="8" t="str">
        <f aca="false">TEXT(A4646,"MM-YYYY")</f>
        <v>11-2025</v>
      </c>
      <c r="G4646" s="8"/>
      <c r="H4646" s="8"/>
      <c r="I4646" s="7"/>
      <c r="J4646" s="8" t="str">
        <f aca="false">VLOOKUP(B4646, Table3[#All], 2, FALSE())</f>
        <v>Sales</v>
      </c>
      <c r="K4646" s="8" t="str">
        <f aca="false">TEXT(ROW(), "0000")</f>
        <v>4646</v>
      </c>
      <c r="L4646" s="8"/>
    </row>
    <row r="4647" customFormat="false" ht="15.75" hidden="false" customHeight="true" outlineLevel="0" collapsed="false">
      <c r="A4647" s="7" t="n">
        <v>45966</v>
      </c>
      <c r="B4647" s="8" t="s">
        <v>16</v>
      </c>
      <c r="C4647" s="9" t="n">
        <v>17139</v>
      </c>
      <c r="D4647" s="8" t="s">
        <v>17</v>
      </c>
      <c r="E4647" s="10" t="s">
        <v>88</v>
      </c>
      <c r="F4647" s="8" t="str">
        <f aca="false">TEXT(A4647,"MM-YYYY")</f>
        <v>11-2025</v>
      </c>
      <c r="G4647" s="8"/>
      <c r="H4647" s="8"/>
      <c r="I4647" s="7"/>
      <c r="J4647" s="8" t="str">
        <f aca="false">VLOOKUP(B4647, Table3[#All], 2, FALSE())</f>
        <v>Sales</v>
      </c>
      <c r="K4647" s="8" t="str">
        <f aca="false">TEXT(ROW(), "0000")</f>
        <v>4647</v>
      </c>
      <c r="L4647" s="8"/>
    </row>
    <row r="4648" customFormat="false" ht="15.75" hidden="false" customHeight="true" outlineLevel="0" collapsed="false">
      <c r="A4648" s="7" t="n">
        <v>45966</v>
      </c>
      <c r="B4648" s="8" t="s">
        <v>16</v>
      </c>
      <c r="C4648" s="9" t="n">
        <v>215</v>
      </c>
      <c r="D4648" s="8" t="s">
        <v>33</v>
      </c>
      <c r="E4648" s="10" t="s">
        <v>88</v>
      </c>
      <c r="F4648" s="8" t="str">
        <f aca="false">TEXT(A4648,"MM-YYYY")</f>
        <v>11-2025</v>
      </c>
      <c r="G4648" s="8"/>
      <c r="H4648" s="8"/>
      <c r="I4648" s="7"/>
      <c r="J4648" s="8" t="str">
        <f aca="false">VLOOKUP(B4648, Table3[#All], 2, FALSE())</f>
        <v>Sales</v>
      </c>
      <c r="K4648" s="8" t="str">
        <f aca="false">TEXT(ROW(), "0000")</f>
        <v>4648</v>
      </c>
      <c r="L4648" s="8"/>
    </row>
    <row r="4649" customFormat="false" ht="15.75" hidden="false" customHeight="true" outlineLevel="0" collapsed="false">
      <c r="A4649" s="7" t="n">
        <v>45966</v>
      </c>
      <c r="B4649" s="8" t="s">
        <v>16</v>
      </c>
      <c r="C4649" s="9" t="n">
        <v>730</v>
      </c>
      <c r="D4649" s="8" t="s">
        <v>59</v>
      </c>
      <c r="E4649" s="10" t="s">
        <v>88</v>
      </c>
      <c r="F4649" s="8" t="str">
        <f aca="false">TEXT(A4649,"MM-YYYY")</f>
        <v>11-2025</v>
      </c>
      <c r="G4649" s="8"/>
      <c r="H4649" s="8"/>
      <c r="I4649" s="7"/>
      <c r="J4649" s="8" t="str">
        <f aca="false">VLOOKUP(B4649, Table3[#All], 2, FALSE())</f>
        <v>Sales</v>
      </c>
      <c r="K4649" s="8" t="str">
        <f aca="false">TEXT(ROW(), "0000")</f>
        <v>4649</v>
      </c>
      <c r="L4649" s="8"/>
    </row>
    <row r="4650" customFormat="false" ht="15.75" hidden="false" customHeight="true" outlineLevel="0" collapsed="false">
      <c r="A4650" s="7" t="n">
        <v>45966</v>
      </c>
      <c r="B4650" s="8" t="s">
        <v>16</v>
      </c>
      <c r="C4650" s="9" t="n">
        <v>2241</v>
      </c>
      <c r="D4650" s="8" t="s">
        <v>24</v>
      </c>
      <c r="E4650" s="10" t="s">
        <v>88</v>
      </c>
      <c r="F4650" s="8" t="str">
        <f aca="false">TEXT(A4650,"MM-YYYY")</f>
        <v>11-2025</v>
      </c>
      <c r="G4650" s="8"/>
      <c r="H4650" s="8"/>
      <c r="I4650" s="7"/>
      <c r="J4650" s="8" t="str">
        <f aca="false">VLOOKUP(B4650, Table3[#All], 2, FALSE())</f>
        <v>Sales</v>
      </c>
      <c r="K4650" s="8" t="str">
        <f aca="false">TEXT(ROW(), "0000")</f>
        <v>4650</v>
      </c>
      <c r="L4650" s="8"/>
    </row>
    <row r="4651" customFormat="false" ht="15.75" hidden="false" customHeight="true" outlineLevel="0" collapsed="false">
      <c r="A4651" s="7" t="n">
        <v>45967</v>
      </c>
      <c r="B4651" s="8" t="s">
        <v>25</v>
      </c>
      <c r="C4651" s="9" t="n">
        <v>555</v>
      </c>
      <c r="D4651" s="8" t="s">
        <v>13</v>
      </c>
      <c r="E4651" s="10" t="s">
        <v>92</v>
      </c>
      <c r="F4651" s="8" t="str">
        <f aca="false">TEXT(A4651,"MM-YYYY")</f>
        <v>11-2025</v>
      </c>
      <c r="G4651" s="8" t="s">
        <v>18</v>
      </c>
      <c r="H4651" s="8"/>
      <c r="I4651" s="7"/>
      <c r="J4651" s="8" t="str">
        <f aca="false">VLOOKUP(B4651, Table3[#All], 2, FALSE())</f>
        <v>Inventory</v>
      </c>
      <c r="K4651" s="8" t="str">
        <f aca="false">TEXT(ROW(), "0000")</f>
        <v>4651</v>
      </c>
      <c r="L4651" s="8"/>
    </row>
    <row r="4652" customFormat="false" ht="15.75" hidden="false" customHeight="true" outlineLevel="0" collapsed="false">
      <c r="A4652" s="7" t="n">
        <v>45967</v>
      </c>
      <c r="B4652" s="8" t="s">
        <v>19</v>
      </c>
      <c r="C4652" s="9" t="n">
        <v>5787</v>
      </c>
      <c r="D4652" s="8" t="s">
        <v>13</v>
      </c>
      <c r="E4652" s="10" t="s">
        <v>473</v>
      </c>
      <c r="F4652" s="8" t="str">
        <f aca="false">TEXT(A4652,"MM-YYYY")</f>
        <v>11-2025</v>
      </c>
      <c r="G4652" s="8" t="s">
        <v>18</v>
      </c>
      <c r="H4652" s="8"/>
      <c r="I4652" s="7"/>
      <c r="J4652" s="8" t="str">
        <f aca="false">VLOOKUP(B4652, Table3[#All], 2, FALSE())</f>
        <v>Inventory</v>
      </c>
      <c r="K4652" s="8" t="str">
        <f aca="false">TEXT(ROW(), "0000")</f>
        <v>4652</v>
      </c>
      <c r="L4652" s="8"/>
    </row>
    <row r="4653" customFormat="false" ht="15.75" hidden="false" customHeight="true" outlineLevel="0" collapsed="false">
      <c r="A4653" s="7" t="n">
        <v>45967</v>
      </c>
      <c r="B4653" s="8" t="s">
        <v>12</v>
      </c>
      <c r="C4653" s="9" t="n">
        <v>15</v>
      </c>
      <c r="D4653" s="8" t="s">
        <v>21</v>
      </c>
      <c r="E4653" s="10" t="s">
        <v>457</v>
      </c>
      <c r="F4653" s="8" t="str">
        <f aca="false">TEXT(A4653,"MM-YYYY")</f>
        <v>11-2025</v>
      </c>
      <c r="G4653" s="8" t="s">
        <v>14</v>
      </c>
      <c r="H4653" s="8" t="s">
        <v>232</v>
      </c>
      <c r="I4653" s="7" t="n">
        <v>45967</v>
      </c>
      <c r="J4653" s="8" t="str">
        <f aca="false">VLOOKUP(B4653, Table3[#All], 2, FALSE())</f>
        <v>Fixed Maintance</v>
      </c>
      <c r="K4653" s="8" t="str">
        <f aca="false">TEXT(ROW(), "0000")</f>
        <v>4653</v>
      </c>
      <c r="L4653" s="8"/>
    </row>
    <row r="4654" customFormat="false" ht="15.75" hidden="false" customHeight="true" outlineLevel="0" collapsed="false">
      <c r="A4654" s="7" t="n">
        <v>45967</v>
      </c>
      <c r="B4654" s="8" t="s">
        <v>37</v>
      </c>
      <c r="C4654" s="9" t="n">
        <v>15</v>
      </c>
      <c r="D4654" s="8" t="s">
        <v>21</v>
      </c>
      <c r="E4654" s="10" t="s">
        <v>37</v>
      </c>
      <c r="F4654" s="8" t="str">
        <f aca="false">TEXT(A4654,"MM-YYYY")</f>
        <v>11-2025</v>
      </c>
      <c r="G4654" s="8" t="s">
        <v>14</v>
      </c>
      <c r="H4654" s="8" t="s">
        <v>232</v>
      </c>
      <c r="I4654" s="7" t="n">
        <v>45967</v>
      </c>
      <c r="J4654" s="8" t="str">
        <f aca="false">VLOOKUP(B4654, Table3[#All], 2, FALSE())</f>
        <v>Maintance</v>
      </c>
      <c r="K4654" s="8" t="str">
        <f aca="false">TEXT(ROW(), "0000")</f>
        <v>4654</v>
      </c>
      <c r="L4654" s="8"/>
    </row>
    <row r="4655" customFormat="false" ht="15.75" hidden="false" customHeight="true" outlineLevel="0" collapsed="false">
      <c r="A4655" s="7" t="n">
        <v>45967</v>
      </c>
      <c r="B4655" s="8" t="s">
        <v>44</v>
      </c>
      <c r="C4655" s="9" t="n">
        <v>1250</v>
      </c>
      <c r="D4655" s="8" t="s">
        <v>45</v>
      </c>
      <c r="E4655" s="10" t="s">
        <v>655</v>
      </c>
      <c r="F4655" s="8" t="str">
        <f aca="false">TEXT(A4655,"MM-YYYY")</f>
        <v>11-2025</v>
      </c>
      <c r="G4655" s="8" t="s">
        <v>14</v>
      </c>
      <c r="H4655" s="8" t="s">
        <v>232</v>
      </c>
      <c r="I4655" s="7" t="n">
        <v>45967</v>
      </c>
      <c r="J4655" s="8" t="str">
        <f aca="false">VLOOKUP(B4655, Table3[#All], 2, FALSE())</f>
        <v>Salary</v>
      </c>
      <c r="K4655" s="8" t="str">
        <f aca="false">TEXT(ROW(), "0000")</f>
        <v>4655</v>
      </c>
      <c r="L4655" s="8"/>
    </row>
    <row r="4656" customFormat="false" ht="15.75" hidden="false" customHeight="true" outlineLevel="0" collapsed="false">
      <c r="A4656" s="7" t="n">
        <v>45967</v>
      </c>
      <c r="B4656" s="8" t="s">
        <v>51</v>
      </c>
      <c r="C4656" s="9" t="n">
        <v>100</v>
      </c>
      <c r="D4656" s="8" t="s">
        <v>45</v>
      </c>
      <c r="E4656" s="10" t="s">
        <v>656</v>
      </c>
      <c r="F4656" s="8" t="str">
        <f aca="false">TEXT(A4656,"MM-YYYY")</f>
        <v>11-2025</v>
      </c>
      <c r="G4656" s="8" t="s">
        <v>14</v>
      </c>
      <c r="H4656" s="8" t="s">
        <v>232</v>
      </c>
      <c r="I4656" s="7"/>
      <c r="J4656" s="8" t="str">
        <f aca="false">VLOOKUP(B4656, Table3[#All], 2, FALSE())</f>
        <v>Inventory</v>
      </c>
      <c r="K4656" s="8" t="str">
        <f aca="false">TEXT(ROW(), "0000")</f>
        <v>4656</v>
      </c>
      <c r="L4656" s="8"/>
    </row>
    <row r="4657" customFormat="false" ht="15.75" hidden="false" customHeight="true" outlineLevel="0" collapsed="false">
      <c r="A4657" s="7" t="n">
        <v>45967</v>
      </c>
      <c r="B4657" s="8" t="s">
        <v>43</v>
      </c>
      <c r="C4657" s="9" t="n">
        <v>90</v>
      </c>
      <c r="D4657" s="8" t="s">
        <v>45</v>
      </c>
      <c r="E4657" s="10" t="s">
        <v>487</v>
      </c>
      <c r="F4657" s="8" t="str">
        <f aca="false">TEXT(A4657,"MM-YYYY")</f>
        <v>11-2025</v>
      </c>
      <c r="G4657" s="8" t="s">
        <v>14</v>
      </c>
      <c r="H4657" s="8" t="s">
        <v>232</v>
      </c>
      <c r="I4657" s="7"/>
      <c r="J4657" s="8" t="str">
        <f aca="false">VLOOKUP(B4657, Table3[#All], 2, FALSE())</f>
        <v>Maintance</v>
      </c>
      <c r="K4657" s="8" t="str">
        <f aca="false">TEXT(ROW(), "0000")</f>
        <v>4657</v>
      </c>
      <c r="L4657" s="8"/>
    </row>
    <row r="4658" customFormat="false" ht="15.75" hidden="false" customHeight="true" outlineLevel="0" collapsed="false">
      <c r="A4658" s="7" t="n">
        <v>45967</v>
      </c>
      <c r="B4658" s="8" t="s">
        <v>29</v>
      </c>
      <c r="C4658" s="9" t="n">
        <v>696</v>
      </c>
      <c r="D4658" s="8" t="s">
        <v>13</v>
      </c>
      <c r="E4658" s="10" t="s">
        <v>490</v>
      </c>
      <c r="F4658" s="8" t="str">
        <f aca="false">TEXT(A4658,"MM-YYYY")</f>
        <v>11-2025</v>
      </c>
      <c r="G4658" s="8" t="s">
        <v>18</v>
      </c>
      <c r="H4658" s="8"/>
      <c r="I4658" s="7"/>
      <c r="J4658" s="8" t="str">
        <f aca="false">VLOOKUP(B4658, Table3[#All], 2, FALSE())</f>
        <v>Inventory</v>
      </c>
      <c r="K4658" s="8" t="str">
        <f aca="false">TEXT(ROW(), "0000")</f>
        <v>4658</v>
      </c>
      <c r="L4658" s="8"/>
    </row>
    <row r="4659" customFormat="false" ht="15.75" hidden="false" customHeight="true" outlineLevel="0" collapsed="false">
      <c r="A4659" s="7" t="n">
        <v>45967</v>
      </c>
      <c r="B4659" s="8" t="s">
        <v>29</v>
      </c>
      <c r="C4659" s="9" t="n">
        <v>20</v>
      </c>
      <c r="D4659" s="8" t="s">
        <v>21</v>
      </c>
      <c r="E4659" s="10" t="s">
        <v>65</v>
      </c>
      <c r="F4659" s="8" t="str">
        <f aca="false">TEXT(A4659,"MM-YYYY")</f>
        <v>11-2025</v>
      </c>
      <c r="G4659" s="8" t="s">
        <v>14</v>
      </c>
      <c r="H4659" s="8" t="s">
        <v>232</v>
      </c>
      <c r="I4659" s="7"/>
      <c r="J4659" s="8" t="str">
        <f aca="false">VLOOKUP(B4659, Table3[#All], 2, FALSE())</f>
        <v>Inventory</v>
      </c>
      <c r="K4659" s="8" t="str">
        <f aca="false">TEXT(ROW(), "0000")</f>
        <v>4659</v>
      </c>
      <c r="L4659" s="8"/>
    </row>
    <row r="4660" customFormat="false" ht="15.75" hidden="false" customHeight="true" outlineLevel="0" collapsed="false">
      <c r="A4660" s="7" t="n">
        <v>45967</v>
      </c>
      <c r="B4660" s="8" t="s">
        <v>16</v>
      </c>
      <c r="C4660" s="9" t="n">
        <v>5289</v>
      </c>
      <c r="D4660" s="8" t="s">
        <v>21</v>
      </c>
      <c r="E4660" s="10" t="s">
        <v>88</v>
      </c>
      <c r="F4660" s="27" t="n">
        <v>45962</v>
      </c>
      <c r="G4660" s="8"/>
      <c r="H4660" s="8"/>
      <c r="I4660" s="7"/>
      <c r="J4660" s="8" t="str">
        <f aca="false">VLOOKUP(B4660, Table3[#All], 2, FALSE())</f>
        <v>Sales</v>
      </c>
      <c r="K4660" s="8" t="str">
        <f aca="false">TEXT(ROW(), "0000")</f>
        <v>4660</v>
      </c>
      <c r="L4660" s="8"/>
    </row>
    <row r="4661" customFormat="false" ht="15.75" hidden="false" customHeight="true" outlineLevel="0" collapsed="false">
      <c r="A4661" s="7" t="n">
        <v>45967</v>
      </c>
      <c r="B4661" s="8" t="s">
        <v>16</v>
      </c>
      <c r="C4661" s="9" t="n">
        <v>21592</v>
      </c>
      <c r="D4661" s="8" t="s">
        <v>17</v>
      </c>
      <c r="E4661" s="10" t="s">
        <v>88</v>
      </c>
      <c r="F4661" s="8" t="str">
        <f aca="false">TEXT(A4661,"MM-YYYY")</f>
        <v>11-2025</v>
      </c>
      <c r="G4661" s="8"/>
      <c r="H4661" s="8"/>
      <c r="I4661" s="7"/>
      <c r="J4661" s="8" t="str">
        <f aca="false">VLOOKUP(B4661, Table3[#All], 2, FALSE())</f>
        <v>Sales</v>
      </c>
      <c r="K4661" s="8" t="str">
        <f aca="false">TEXT(ROW(), "0000")</f>
        <v>4661</v>
      </c>
      <c r="L4661" s="8"/>
    </row>
    <row r="4662" customFormat="false" ht="15.75" hidden="false" customHeight="true" outlineLevel="0" collapsed="false">
      <c r="A4662" s="7" t="n">
        <v>45967</v>
      </c>
      <c r="B4662" s="8" t="s">
        <v>16</v>
      </c>
      <c r="C4662" s="9" t="n">
        <v>70</v>
      </c>
      <c r="D4662" s="8" t="s">
        <v>33</v>
      </c>
      <c r="E4662" s="10" t="s">
        <v>88</v>
      </c>
      <c r="F4662" s="8" t="str">
        <f aca="false">TEXT(A4662,"MM-YYYY")</f>
        <v>11-2025</v>
      </c>
      <c r="G4662" s="8"/>
      <c r="H4662" s="8"/>
      <c r="I4662" s="7"/>
      <c r="J4662" s="8" t="str">
        <f aca="false">VLOOKUP(B4662, Table3[#All], 2, FALSE())</f>
        <v>Sales</v>
      </c>
      <c r="K4662" s="8" t="str">
        <f aca="false">TEXT(ROW(), "0000")</f>
        <v>4662</v>
      </c>
      <c r="L4662" s="8"/>
    </row>
    <row r="4663" customFormat="false" ht="15.75" hidden="false" customHeight="true" outlineLevel="0" collapsed="false">
      <c r="A4663" s="7" t="n">
        <v>45967</v>
      </c>
      <c r="B4663" s="8" t="s">
        <v>16</v>
      </c>
      <c r="C4663" s="9" t="n">
        <v>1140</v>
      </c>
      <c r="D4663" s="8" t="s">
        <v>24</v>
      </c>
      <c r="E4663" s="10" t="s">
        <v>88</v>
      </c>
      <c r="F4663" s="8" t="str">
        <f aca="false">TEXT(A4663,"MM-YYYY")</f>
        <v>11-2025</v>
      </c>
      <c r="G4663" s="8"/>
      <c r="H4663" s="8"/>
      <c r="I4663" s="7"/>
      <c r="J4663" s="8" t="str">
        <f aca="false">VLOOKUP(B4663, Table3[#All], 2, FALSE())</f>
        <v>Sales</v>
      </c>
      <c r="K4663" s="8" t="str">
        <f aca="false">TEXT(ROW(), "0000")</f>
        <v>4663</v>
      </c>
      <c r="L4663" s="8"/>
    </row>
    <row r="4664" customFormat="false" ht="15.75" hidden="false" customHeight="true" outlineLevel="0" collapsed="false">
      <c r="A4664" s="7" t="n">
        <v>45967</v>
      </c>
      <c r="B4664" s="8" t="s">
        <v>43</v>
      </c>
      <c r="C4664" s="9" t="n">
        <v>100</v>
      </c>
      <c r="D4664" s="8" t="s">
        <v>45</v>
      </c>
      <c r="E4664" s="10" t="s">
        <v>657</v>
      </c>
      <c r="F4664" s="8" t="str">
        <f aca="false">TEXT(A4664,"MM-YYYY")</f>
        <v>11-2025</v>
      </c>
      <c r="G4664" s="8" t="s">
        <v>14</v>
      </c>
      <c r="H4664" s="8" t="s">
        <v>232</v>
      </c>
      <c r="I4664" s="7"/>
      <c r="J4664" s="8" t="str">
        <f aca="false">VLOOKUP(B4664, Table3[#All], 2, FALSE())</f>
        <v>Maintance</v>
      </c>
      <c r="K4664" s="8" t="str">
        <f aca="false">TEXT(ROW(), "0000")</f>
        <v>4664</v>
      </c>
      <c r="L4664" s="8"/>
    </row>
    <row r="4665" customFormat="false" ht="15.75" hidden="false" customHeight="true" outlineLevel="0" collapsed="false">
      <c r="A4665" s="7" t="n">
        <v>45968</v>
      </c>
      <c r="B4665" s="8" t="s">
        <v>25</v>
      </c>
      <c r="C4665" s="9" t="n">
        <v>940</v>
      </c>
      <c r="D4665" s="8" t="s">
        <v>13</v>
      </c>
      <c r="E4665" s="10" t="s">
        <v>92</v>
      </c>
      <c r="F4665" s="8" t="str">
        <f aca="false">TEXT(A4665,"MM-YYYY")</f>
        <v>11-2025</v>
      </c>
      <c r="G4665" s="8" t="s">
        <v>18</v>
      </c>
      <c r="H4665" s="8"/>
      <c r="I4665" s="7"/>
      <c r="J4665" s="8" t="str">
        <f aca="false">VLOOKUP(B4665, Table3[#All], 2, FALSE())</f>
        <v>Inventory</v>
      </c>
      <c r="K4665" s="8" t="str">
        <f aca="false">TEXT(ROW(), "0000")</f>
        <v>4665</v>
      </c>
      <c r="L4665" s="8"/>
    </row>
    <row r="4666" customFormat="false" ht="15.75" hidden="false" customHeight="true" outlineLevel="0" collapsed="false">
      <c r="A4666" s="7" t="n">
        <v>45968</v>
      </c>
      <c r="B4666" s="8" t="s">
        <v>19</v>
      </c>
      <c r="C4666" s="9" t="n">
        <v>6410</v>
      </c>
      <c r="D4666" s="8" t="s">
        <v>13</v>
      </c>
      <c r="E4666" s="10" t="s">
        <v>473</v>
      </c>
      <c r="F4666" s="8" t="str">
        <f aca="false">TEXT(A4666,"MM-YYYY")</f>
        <v>11-2025</v>
      </c>
      <c r="G4666" s="8" t="s">
        <v>18</v>
      </c>
      <c r="H4666" s="8"/>
      <c r="I4666" s="7"/>
      <c r="J4666" s="8" t="str">
        <f aca="false">VLOOKUP(B4666, Table3[#All], 2, FALSE())</f>
        <v>Inventory</v>
      </c>
      <c r="K4666" s="8" t="str">
        <f aca="false">TEXT(ROW(), "0000")</f>
        <v>4666</v>
      </c>
      <c r="L4666" s="8"/>
    </row>
    <row r="4667" customFormat="false" ht="15.75" hidden="false" customHeight="true" outlineLevel="0" collapsed="false">
      <c r="A4667" s="7" t="n">
        <v>45968</v>
      </c>
      <c r="B4667" s="8" t="s">
        <v>47</v>
      </c>
      <c r="C4667" s="9" t="n">
        <v>1800</v>
      </c>
      <c r="D4667" s="8" t="s">
        <v>13</v>
      </c>
      <c r="E4667" s="10" t="s">
        <v>484</v>
      </c>
      <c r="F4667" s="8" t="str">
        <f aca="false">TEXT(A4667,"MM-YYYY")</f>
        <v>11-2025</v>
      </c>
      <c r="G4667" s="8" t="s">
        <v>18</v>
      </c>
      <c r="H4667" s="8"/>
      <c r="I4667" s="7"/>
      <c r="J4667" s="8" t="str">
        <f aca="false">VLOOKUP(B4667, Table3[#All], 2, FALSE())</f>
        <v>Inventory</v>
      </c>
      <c r="K4667" s="8" t="str">
        <f aca="false">TEXT(ROW(), "0000")</f>
        <v>4667</v>
      </c>
      <c r="L4667" s="8"/>
    </row>
    <row r="4668" customFormat="false" ht="15.75" hidden="false" customHeight="true" outlineLevel="0" collapsed="false">
      <c r="A4668" s="7" t="n">
        <v>45968</v>
      </c>
      <c r="B4668" s="8" t="s">
        <v>37</v>
      </c>
      <c r="C4668" s="9" t="n">
        <v>10</v>
      </c>
      <c r="D4668" s="8" t="s">
        <v>21</v>
      </c>
      <c r="E4668" s="10" t="s">
        <v>632</v>
      </c>
      <c r="F4668" s="8" t="str">
        <f aca="false">TEXT(A4668,"MM-YYYY")</f>
        <v>11-2025</v>
      </c>
      <c r="G4668" s="8" t="s">
        <v>14</v>
      </c>
      <c r="H4668" s="8" t="s">
        <v>232</v>
      </c>
      <c r="I4668" s="7"/>
      <c r="J4668" s="8" t="str">
        <f aca="false">VLOOKUP(B4668, Table3[#All], 2, FALSE())</f>
        <v>Maintance</v>
      </c>
      <c r="K4668" s="8" t="str">
        <f aca="false">TEXT(ROW(), "0000")</f>
        <v>4668</v>
      </c>
      <c r="L4668" s="8"/>
    </row>
    <row r="4669" customFormat="false" ht="15.75" hidden="false" customHeight="true" outlineLevel="0" collapsed="false">
      <c r="A4669" s="7" t="n">
        <v>45968</v>
      </c>
      <c r="B4669" s="8" t="s">
        <v>29</v>
      </c>
      <c r="C4669" s="9" t="n">
        <v>200</v>
      </c>
      <c r="D4669" s="8" t="s">
        <v>21</v>
      </c>
      <c r="E4669" s="10" t="s">
        <v>463</v>
      </c>
      <c r="F4669" s="8" t="str">
        <f aca="false">TEXT(A4669,"MM-YYYY")</f>
        <v>11-2025</v>
      </c>
      <c r="G4669" s="8" t="s">
        <v>14</v>
      </c>
      <c r="H4669" s="8" t="s">
        <v>232</v>
      </c>
      <c r="I4669" s="7" t="n">
        <v>45968</v>
      </c>
      <c r="J4669" s="8" t="str">
        <f aca="false">VLOOKUP(B4669, Table3[#All], 2, FALSE())</f>
        <v>Inventory</v>
      </c>
      <c r="K4669" s="8" t="str">
        <f aca="false">TEXT(ROW(), "0000")</f>
        <v>4669</v>
      </c>
      <c r="L4669" s="8"/>
    </row>
    <row r="4670" customFormat="false" ht="15.75" hidden="false" customHeight="true" outlineLevel="0" collapsed="false">
      <c r="A4670" s="7" t="n">
        <v>45968</v>
      </c>
      <c r="B4670" s="8" t="s">
        <v>29</v>
      </c>
      <c r="C4670" s="9" t="n">
        <v>470</v>
      </c>
      <c r="D4670" s="8" t="s">
        <v>45</v>
      </c>
      <c r="E4670" s="10" t="s">
        <v>78</v>
      </c>
      <c r="F4670" s="8" t="str">
        <f aca="false">TEXT(A4670,"MM-YYYY")</f>
        <v>11-2025</v>
      </c>
      <c r="G4670" s="8" t="s">
        <v>14</v>
      </c>
      <c r="H4670" s="8" t="s">
        <v>232</v>
      </c>
      <c r="I4670" s="7"/>
      <c r="J4670" s="8" t="str">
        <f aca="false">VLOOKUP(B4670, Table3[#All], 2, FALSE())</f>
        <v>Inventory</v>
      </c>
      <c r="K4670" s="8" t="str">
        <f aca="false">TEXT(ROW(), "0000")</f>
        <v>4670</v>
      </c>
      <c r="L4670" s="8"/>
    </row>
    <row r="4671" customFormat="false" ht="15.75" hidden="false" customHeight="true" outlineLevel="0" collapsed="false">
      <c r="A4671" s="7" t="n">
        <v>45968</v>
      </c>
      <c r="B4671" s="8" t="s">
        <v>43</v>
      </c>
      <c r="C4671" s="9" t="n">
        <v>170</v>
      </c>
      <c r="D4671" s="8" t="s">
        <v>45</v>
      </c>
      <c r="E4671" s="10" t="s">
        <v>487</v>
      </c>
      <c r="F4671" s="8" t="str">
        <f aca="false">TEXT(A4671,"MM-YYYY")</f>
        <v>11-2025</v>
      </c>
      <c r="G4671" s="8" t="s">
        <v>14</v>
      </c>
      <c r="H4671" s="8" t="s">
        <v>232</v>
      </c>
      <c r="I4671" s="7"/>
      <c r="J4671" s="8" t="str">
        <f aca="false">VLOOKUP(B4671, Table3[#All], 2, FALSE())</f>
        <v>Maintance</v>
      </c>
      <c r="K4671" s="8" t="str">
        <f aca="false">TEXT(ROW(), "0000")</f>
        <v>4671</v>
      </c>
      <c r="L4671" s="8"/>
    </row>
    <row r="4672" customFormat="false" ht="15.75" hidden="false" customHeight="true" outlineLevel="0" collapsed="false">
      <c r="A4672" s="7" t="n">
        <v>45968</v>
      </c>
      <c r="B4672" s="8" t="s">
        <v>29</v>
      </c>
      <c r="C4672" s="9" t="n">
        <v>6000</v>
      </c>
      <c r="D4672" s="8" t="s">
        <v>45</v>
      </c>
      <c r="E4672" s="10" t="s">
        <v>490</v>
      </c>
      <c r="F4672" s="8" t="str">
        <f aca="false">TEXT(A4672,"MM-YYYY")</f>
        <v>11-2025</v>
      </c>
      <c r="G4672" s="8" t="s">
        <v>14</v>
      </c>
      <c r="H4672" s="8" t="s">
        <v>232</v>
      </c>
      <c r="I4672" s="7" t="n">
        <v>45968</v>
      </c>
      <c r="J4672" s="8" t="str">
        <f aca="false">VLOOKUP(B4672, Table3[#All], 2, FALSE())</f>
        <v>Inventory</v>
      </c>
      <c r="K4672" s="8" t="str">
        <f aca="false">TEXT(ROW(), "0000")</f>
        <v>4672</v>
      </c>
      <c r="L4672" s="8"/>
    </row>
    <row r="4673" customFormat="false" ht="15.75" hidden="false" customHeight="true" outlineLevel="0" collapsed="false">
      <c r="A4673" s="7" t="n">
        <v>45968</v>
      </c>
      <c r="B4673" s="8" t="s">
        <v>22</v>
      </c>
      <c r="C4673" s="9" t="n">
        <v>8517</v>
      </c>
      <c r="D4673" s="8" t="s">
        <v>13</v>
      </c>
      <c r="E4673" s="10" t="s">
        <v>23</v>
      </c>
      <c r="F4673" s="8" t="str">
        <f aca="false">TEXT(A4673,"MM-YYYY")</f>
        <v>11-2025</v>
      </c>
      <c r="G4673" s="8" t="s">
        <v>18</v>
      </c>
      <c r="H4673" s="8"/>
      <c r="I4673" s="7"/>
      <c r="J4673" s="8" t="str">
        <f aca="false">VLOOKUP(B4673, Table3[#All], 2, FALSE())</f>
        <v>Inventory</v>
      </c>
      <c r="K4673" s="8" t="str">
        <f aca="false">TEXT(ROW(), "0000")</f>
        <v>4673</v>
      </c>
      <c r="L4673" s="8"/>
    </row>
    <row r="4674" customFormat="false" ht="15.75" hidden="false" customHeight="true" outlineLevel="0" collapsed="false">
      <c r="A4674" s="7" t="n">
        <v>45968</v>
      </c>
      <c r="B4674" s="8" t="s">
        <v>29</v>
      </c>
      <c r="C4674" s="9" t="n">
        <v>829</v>
      </c>
      <c r="D4674" s="8" t="s">
        <v>13</v>
      </c>
      <c r="E4674" s="10" t="s">
        <v>490</v>
      </c>
      <c r="F4674" s="8" t="str">
        <f aca="false">TEXT(A4674,"MM-YYYY")</f>
        <v>11-2025</v>
      </c>
      <c r="G4674" s="8" t="s">
        <v>18</v>
      </c>
      <c r="H4674" s="8"/>
      <c r="I4674" s="7"/>
      <c r="J4674" s="8" t="str">
        <f aca="false">VLOOKUP(B4674, Table3[#All], 2, FALSE())</f>
        <v>Inventory</v>
      </c>
      <c r="K4674" s="8" t="str">
        <f aca="false">TEXT(ROW(), "0000")</f>
        <v>4674</v>
      </c>
      <c r="L4674" s="8"/>
    </row>
    <row r="4675" customFormat="false" ht="15.75" hidden="false" customHeight="true" outlineLevel="0" collapsed="false">
      <c r="A4675" s="7" t="n">
        <v>45968</v>
      </c>
      <c r="B4675" s="8" t="s">
        <v>16</v>
      </c>
      <c r="C4675" s="9" t="n">
        <v>1960</v>
      </c>
      <c r="D4675" s="8" t="s">
        <v>21</v>
      </c>
      <c r="E4675" s="10" t="s">
        <v>88</v>
      </c>
      <c r="F4675" s="8" t="str">
        <f aca="false">TEXT(A4675,"MM-YYYY")</f>
        <v>11-2025</v>
      </c>
      <c r="G4675" s="8"/>
      <c r="H4675" s="8"/>
      <c r="I4675" s="7"/>
      <c r="J4675" s="8" t="str">
        <f aca="false">VLOOKUP(B4675, Table3[#All], 2, FALSE())</f>
        <v>Sales</v>
      </c>
      <c r="K4675" s="8" t="str">
        <f aca="false">TEXT(ROW(), "0000")</f>
        <v>4675</v>
      </c>
      <c r="L4675" s="8"/>
    </row>
    <row r="4676" customFormat="false" ht="15.75" hidden="false" customHeight="true" outlineLevel="0" collapsed="false">
      <c r="A4676" s="7" t="n">
        <v>45968</v>
      </c>
      <c r="B4676" s="8" t="s">
        <v>16</v>
      </c>
      <c r="C4676" s="9" t="n">
        <v>34948</v>
      </c>
      <c r="D4676" s="8" t="s">
        <v>17</v>
      </c>
      <c r="E4676" s="10" t="s">
        <v>88</v>
      </c>
      <c r="F4676" s="8" t="str">
        <f aca="false">TEXT(A4676,"MM-YYYY")</f>
        <v>11-2025</v>
      </c>
      <c r="G4676" s="8"/>
      <c r="H4676" s="8"/>
      <c r="I4676" s="7"/>
      <c r="J4676" s="8" t="str">
        <f aca="false">VLOOKUP(B4676, Table3[#All], 2, FALSE())</f>
        <v>Sales</v>
      </c>
      <c r="K4676" s="8" t="str">
        <f aca="false">TEXT(ROW(), "0000")</f>
        <v>4676</v>
      </c>
      <c r="L4676" s="8"/>
    </row>
    <row r="4677" customFormat="false" ht="15.75" hidden="false" customHeight="true" outlineLevel="0" collapsed="false">
      <c r="A4677" s="7" t="n">
        <v>45968</v>
      </c>
      <c r="B4677" s="8" t="s">
        <v>16</v>
      </c>
      <c r="C4677" s="9" t="n">
        <v>560</v>
      </c>
      <c r="D4677" s="8" t="s">
        <v>33</v>
      </c>
      <c r="E4677" s="10" t="s">
        <v>101</v>
      </c>
      <c r="F4677" s="8" t="str">
        <f aca="false">TEXT(A4677,"MM-YYYY")</f>
        <v>11-2025</v>
      </c>
      <c r="G4677" s="8"/>
      <c r="H4677" s="8"/>
      <c r="I4677" s="7"/>
      <c r="J4677" s="8" t="str">
        <f aca="false">VLOOKUP(B4677, Table3[#All], 2, FALSE())</f>
        <v>Sales</v>
      </c>
      <c r="K4677" s="8" t="str">
        <f aca="false">TEXT(ROW(), "0000")</f>
        <v>4677</v>
      </c>
      <c r="L4677" s="8"/>
    </row>
    <row r="4678" customFormat="false" ht="15.75" hidden="false" customHeight="true" outlineLevel="0" collapsed="false">
      <c r="A4678" s="7" t="n">
        <v>45968</v>
      </c>
      <c r="B4678" s="8" t="s">
        <v>16</v>
      </c>
      <c r="C4678" s="9" t="n">
        <v>3225</v>
      </c>
      <c r="D4678" s="8" t="s">
        <v>24</v>
      </c>
      <c r="E4678" s="10" t="s">
        <v>101</v>
      </c>
      <c r="F4678" s="8" t="str">
        <f aca="false">TEXT(A4678,"MM-YYYY")</f>
        <v>11-2025</v>
      </c>
      <c r="G4678" s="8"/>
      <c r="H4678" s="8"/>
      <c r="I4678" s="7"/>
      <c r="J4678" s="8" t="str">
        <f aca="false">VLOOKUP(B4678, Table3[#All], 2, FALSE())</f>
        <v>Sales</v>
      </c>
      <c r="K4678" s="8" t="str">
        <f aca="false">TEXT(ROW(), "0000")</f>
        <v>4678</v>
      </c>
      <c r="L4678" s="8"/>
    </row>
    <row r="4679" customFormat="false" ht="15.75" hidden="false" customHeight="true" outlineLevel="0" collapsed="false">
      <c r="A4679" s="7" t="n">
        <v>45968</v>
      </c>
      <c r="B4679" s="8" t="s">
        <v>28</v>
      </c>
      <c r="C4679" s="9" t="n">
        <v>390</v>
      </c>
      <c r="D4679" s="8" t="s">
        <v>45</v>
      </c>
      <c r="E4679" s="10" t="s">
        <v>93</v>
      </c>
      <c r="F4679" s="8" t="str">
        <f aca="false">TEXT(A4679,"MM-YYYY")</f>
        <v>11-2025</v>
      </c>
      <c r="G4679" s="8" t="s">
        <v>14</v>
      </c>
      <c r="H4679" s="8"/>
      <c r="I4679" s="7"/>
      <c r="J4679" s="8" t="str">
        <f aca="false">VLOOKUP(B4679, Table3[#All], 2, FALSE())</f>
        <v>Grocery</v>
      </c>
      <c r="K4679" s="8" t="str">
        <f aca="false">TEXT(ROW(), "0000")</f>
        <v>4679</v>
      </c>
      <c r="L4679" s="8"/>
    </row>
    <row r="4680" customFormat="false" ht="15.75" hidden="false" customHeight="true" outlineLevel="0" collapsed="false">
      <c r="A4680" s="7" t="n">
        <v>45968</v>
      </c>
      <c r="B4680" s="8" t="s">
        <v>16</v>
      </c>
      <c r="C4680" s="9" t="n">
        <v>5860</v>
      </c>
      <c r="D4680" s="8" t="s">
        <v>27</v>
      </c>
      <c r="E4680" s="10" t="s">
        <v>101</v>
      </c>
      <c r="F4680" s="8" t="str">
        <f aca="false">TEXT(A4680,"MM-YYYY")</f>
        <v>11-2025</v>
      </c>
      <c r="G4680" s="8"/>
      <c r="H4680" s="8"/>
      <c r="I4680" s="7"/>
      <c r="J4680" s="8" t="str">
        <f aca="false">VLOOKUP(B4680, Table3[#All], 2, FALSE())</f>
        <v>Sales</v>
      </c>
      <c r="K4680" s="8" t="str">
        <f aca="false">TEXT(ROW(), "0000")</f>
        <v>4680</v>
      </c>
      <c r="L4680" s="8"/>
    </row>
    <row r="4681" customFormat="false" ht="15.75" hidden="false" customHeight="true" outlineLevel="0" collapsed="false">
      <c r="A4681" s="7" t="n">
        <v>45968</v>
      </c>
      <c r="B4681" s="8" t="s">
        <v>43</v>
      </c>
      <c r="C4681" s="9" t="n">
        <v>360</v>
      </c>
      <c r="D4681" s="8" t="s">
        <v>45</v>
      </c>
      <c r="E4681" s="10" t="s">
        <v>638</v>
      </c>
      <c r="F4681" s="8" t="str">
        <f aca="false">TEXT(A4681,"MM-YYYY")</f>
        <v>11-2025</v>
      </c>
      <c r="G4681" s="8" t="s">
        <v>14</v>
      </c>
      <c r="H4681" s="8" t="s">
        <v>232</v>
      </c>
      <c r="I4681" s="7"/>
      <c r="J4681" s="8" t="str">
        <f aca="false">VLOOKUP(B4681, Table3[#All], 2, FALSE())</f>
        <v>Maintance</v>
      </c>
      <c r="K4681" s="8" t="str">
        <f aca="false">TEXT(ROW(), "0000")</f>
        <v>4681</v>
      </c>
      <c r="L4681" s="8"/>
    </row>
    <row r="4682" customFormat="false" ht="15.75" hidden="false" customHeight="true" outlineLevel="0" collapsed="false">
      <c r="A4682" s="7" t="n">
        <v>45969</v>
      </c>
      <c r="B4682" s="8" t="s">
        <v>44</v>
      </c>
      <c r="C4682" s="9" t="n">
        <v>500</v>
      </c>
      <c r="D4682" s="8" t="s">
        <v>45</v>
      </c>
      <c r="E4682" s="10" t="s">
        <v>658</v>
      </c>
      <c r="F4682" s="8" t="str">
        <f aca="false">TEXT(A4682,"MM-YYYY")</f>
        <v>11-2025</v>
      </c>
      <c r="G4682" s="8" t="s">
        <v>14</v>
      </c>
      <c r="H4682" s="8" t="s">
        <v>232</v>
      </c>
      <c r="I4682" s="7" t="n">
        <v>45969</v>
      </c>
      <c r="J4682" s="8" t="str">
        <f aca="false">VLOOKUP(B4682, Table3[#All], 2, FALSE())</f>
        <v>Salary</v>
      </c>
      <c r="K4682" s="8" t="str">
        <f aca="false">TEXT(ROW(), "0000")</f>
        <v>4682</v>
      </c>
      <c r="L4682" s="8"/>
    </row>
    <row r="4683" customFormat="false" ht="15.75" hidden="false" customHeight="true" outlineLevel="0" collapsed="false">
      <c r="A4683" s="7" t="n">
        <v>45969</v>
      </c>
      <c r="B4683" s="8" t="s">
        <v>25</v>
      </c>
      <c r="C4683" s="9" t="n">
        <v>680</v>
      </c>
      <c r="D4683" s="8" t="s">
        <v>45</v>
      </c>
      <c r="E4683" s="10" t="s">
        <v>659</v>
      </c>
      <c r="F4683" s="8" t="str">
        <f aca="false">TEXT(A4683,"MM-YYYY")</f>
        <v>11-2025</v>
      </c>
      <c r="G4683" s="8" t="s">
        <v>14</v>
      </c>
      <c r="H4683" s="8" t="s">
        <v>232</v>
      </c>
      <c r="I4683" s="7"/>
      <c r="J4683" s="8" t="str">
        <f aca="false">VLOOKUP(B4683, Table3[#All], 2, FALSE())</f>
        <v>Inventory</v>
      </c>
      <c r="K4683" s="8" t="str">
        <f aca="false">TEXT(ROW(), "0000")</f>
        <v>4683</v>
      </c>
      <c r="L4683" s="8"/>
    </row>
    <row r="4684" customFormat="false" ht="15.75" hidden="false" customHeight="true" outlineLevel="0" collapsed="false">
      <c r="A4684" s="7" t="n">
        <v>45969</v>
      </c>
      <c r="B4684" s="8" t="s">
        <v>40</v>
      </c>
      <c r="C4684" s="9" t="n">
        <v>1600</v>
      </c>
      <c r="D4684" s="8" t="s">
        <v>13</v>
      </c>
      <c r="E4684" s="10" t="s">
        <v>660</v>
      </c>
      <c r="F4684" s="8" t="str">
        <f aca="false">TEXT(A4684,"MM-YYYY")</f>
        <v>11-2025</v>
      </c>
      <c r="G4684" s="8" t="s">
        <v>14</v>
      </c>
      <c r="H4684" s="8" t="s">
        <v>262</v>
      </c>
      <c r="I4684" s="7"/>
      <c r="J4684" s="8" t="str">
        <f aca="false">VLOOKUP(B4684, Table3[#All], 2, FALSE())</f>
        <v>Inventory</v>
      </c>
      <c r="K4684" s="8" t="str">
        <f aca="false">TEXT(ROW(), "0000")</f>
        <v>4684</v>
      </c>
      <c r="L4684" s="8"/>
    </row>
    <row r="4685" customFormat="false" ht="15.75" hidden="false" customHeight="true" outlineLevel="0" collapsed="false">
      <c r="A4685" s="7" t="n">
        <v>45969</v>
      </c>
      <c r="B4685" s="8" t="s">
        <v>53</v>
      </c>
      <c r="C4685" s="9" t="n">
        <v>540</v>
      </c>
      <c r="D4685" s="8" t="s">
        <v>21</v>
      </c>
      <c r="E4685" s="10" t="s">
        <v>634</v>
      </c>
      <c r="F4685" s="8" t="str">
        <f aca="false">TEXT(A4685,"MM-YYYY")</f>
        <v>11-2025</v>
      </c>
      <c r="G4685" s="8" t="s">
        <v>14</v>
      </c>
      <c r="H4685" s="8" t="s">
        <v>232</v>
      </c>
      <c r="I4685" s="7"/>
      <c r="J4685" s="8" t="str">
        <f aca="false">VLOOKUP(B4685, Table3[#All], 2, FALSE())</f>
        <v>Grocery</v>
      </c>
      <c r="K4685" s="8" t="str">
        <f aca="false">TEXT(ROW(), "0000")</f>
        <v>4685</v>
      </c>
      <c r="L4685" s="8"/>
    </row>
    <row r="4686" customFormat="false" ht="15.75" hidden="false" customHeight="true" outlineLevel="0" collapsed="false">
      <c r="A4686" s="7" t="n">
        <v>45969</v>
      </c>
      <c r="B4686" s="8" t="s">
        <v>19</v>
      </c>
      <c r="C4686" s="9" t="n">
        <v>7481</v>
      </c>
      <c r="D4686" s="8" t="s">
        <v>13</v>
      </c>
      <c r="E4686" s="10" t="s">
        <v>473</v>
      </c>
      <c r="F4686" s="8" t="str">
        <f aca="false">TEXT(A4686,"MM-YYYY")</f>
        <v>11-2025</v>
      </c>
      <c r="G4686" s="8" t="s">
        <v>18</v>
      </c>
      <c r="H4686" s="8"/>
      <c r="I4686" s="7"/>
      <c r="J4686" s="8" t="str">
        <f aca="false">VLOOKUP(B4686, Table3[#All], 2, FALSE())</f>
        <v>Inventory</v>
      </c>
      <c r="K4686" s="8" t="str">
        <f aca="false">TEXT(ROW(), "0000")</f>
        <v>4686</v>
      </c>
      <c r="L4686" s="8"/>
    </row>
    <row r="4687" customFormat="false" ht="15.75" hidden="false" customHeight="true" outlineLevel="0" collapsed="false">
      <c r="A4687" s="7" t="n">
        <v>45969</v>
      </c>
      <c r="B4687" s="8" t="s">
        <v>25</v>
      </c>
      <c r="C4687" s="9" t="n">
        <v>110</v>
      </c>
      <c r="D4687" s="8" t="s">
        <v>21</v>
      </c>
      <c r="E4687" s="10" t="s">
        <v>105</v>
      </c>
      <c r="F4687" s="8" t="str">
        <f aca="false">TEXT(A4687,"MM-YYYY")</f>
        <v>11-2025</v>
      </c>
      <c r="G4687" s="8" t="s">
        <v>14</v>
      </c>
      <c r="H4687" s="8" t="s">
        <v>232</v>
      </c>
      <c r="I4687" s="7"/>
      <c r="J4687" s="8" t="str">
        <f aca="false">VLOOKUP(B4687, Table3[#All], 2, FALSE())</f>
        <v>Inventory</v>
      </c>
      <c r="K4687" s="8" t="str">
        <f aca="false">TEXT(ROW(), "0000")</f>
        <v>4687</v>
      </c>
      <c r="L4687" s="8"/>
    </row>
    <row r="4688" customFormat="false" ht="15.75" hidden="false" customHeight="true" outlineLevel="0" collapsed="false">
      <c r="A4688" s="7" t="n">
        <v>45969</v>
      </c>
      <c r="B4688" s="8" t="s">
        <v>60</v>
      </c>
      <c r="C4688" s="9" t="n">
        <v>210</v>
      </c>
      <c r="D4688" s="8" t="s">
        <v>21</v>
      </c>
      <c r="E4688" s="10" t="s">
        <v>60</v>
      </c>
      <c r="F4688" s="8" t="str">
        <f aca="false">TEXT(A4688,"MM-YYYY")</f>
        <v>11-2025</v>
      </c>
      <c r="G4688" s="8" t="s">
        <v>14</v>
      </c>
      <c r="H4688" s="8" t="s">
        <v>232</v>
      </c>
      <c r="I4688" s="7"/>
      <c r="J4688" s="8" t="str">
        <f aca="false">VLOOKUP(B4688, Table3[#All], 2, FALSE())</f>
        <v>Inventory</v>
      </c>
      <c r="K4688" s="8" t="str">
        <f aca="false">TEXT(ROW(), "0000")</f>
        <v>4688</v>
      </c>
      <c r="L4688" s="8"/>
    </row>
    <row r="4689" customFormat="false" ht="15.75" hidden="false" customHeight="true" outlineLevel="0" collapsed="false">
      <c r="A4689" s="7" t="n">
        <v>45969</v>
      </c>
      <c r="B4689" s="8" t="s">
        <v>29</v>
      </c>
      <c r="C4689" s="9" t="n">
        <v>739</v>
      </c>
      <c r="D4689" s="8" t="s">
        <v>13</v>
      </c>
      <c r="E4689" s="10" t="s">
        <v>490</v>
      </c>
      <c r="F4689" s="8" t="str">
        <f aca="false">TEXT(A4689,"MM-YYYY")</f>
        <v>11-2025</v>
      </c>
      <c r="G4689" s="8" t="s">
        <v>18</v>
      </c>
      <c r="H4689" s="8"/>
      <c r="I4689" s="7"/>
      <c r="J4689" s="8" t="str">
        <f aca="false">VLOOKUP(B4689, Table3[#All], 2, FALSE())</f>
        <v>Inventory</v>
      </c>
      <c r="K4689" s="8" t="str">
        <f aca="false">TEXT(ROW(), "0000")</f>
        <v>4689</v>
      </c>
      <c r="L4689" s="8"/>
    </row>
    <row r="4690" customFormat="false" ht="15.75" hidden="false" customHeight="true" outlineLevel="0" collapsed="false">
      <c r="A4690" s="7" t="n">
        <v>45969</v>
      </c>
      <c r="B4690" s="8" t="s">
        <v>31</v>
      </c>
      <c r="C4690" s="9" t="n">
        <v>310</v>
      </c>
      <c r="D4690" s="8" t="s">
        <v>45</v>
      </c>
      <c r="E4690" s="10" t="s">
        <v>147</v>
      </c>
      <c r="F4690" s="8" t="str">
        <f aca="false">TEXT(A4690,"MM-YYYY")</f>
        <v>11-2025</v>
      </c>
      <c r="G4690" s="8" t="s">
        <v>14</v>
      </c>
      <c r="H4690" s="8" t="s">
        <v>232</v>
      </c>
      <c r="I4690" s="7"/>
      <c r="J4690" s="8" t="str">
        <f aca="false">VLOOKUP(B4690, Table3[#All], 2, FALSE())</f>
        <v>Bike Maintance</v>
      </c>
      <c r="K4690" s="8" t="str">
        <f aca="false">TEXT(ROW(), "0000")</f>
        <v>4690</v>
      </c>
      <c r="L4690" s="8"/>
    </row>
    <row r="4691" customFormat="false" ht="15.75" hidden="false" customHeight="true" outlineLevel="0" collapsed="false">
      <c r="A4691" s="7" t="n">
        <v>45969</v>
      </c>
      <c r="B4691" s="8" t="s">
        <v>32</v>
      </c>
      <c r="C4691" s="9" t="n">
        <v>1125</v>
      </c>
      <c r="D4691" s="8" t="s">
        <v>45</v>
      </c>
      <c r="E4691" s="10" t="s">
        <v>450</v>
      </c>
      <c r="F4691" s="8" t="str">
        <f aca="false">TEXT(A4691,"MM-YYYY")</f>
        <v>11-2025</v>
      </c>
      <c r="G4691" s="8" t="s">
        <v>14</v>
      </c>
      <c r="H4691" s="8" t="s">
        <v>232</v>
      </c>
      <c r="I4691" s="7"/>
      <c r="J4691" s="8" t="str">
        <f aca="false">VLOOKUP(B4691, Table3[#All], 2, FALSE())</f>
        <v>Grocery</v>
      </c>
      <c r="K4691" s="8" t="str">
        <f aca="false">TEXT(ROW(), "0000")</f>
        <v>4691</v>
      </c>
      <c r="L4691" s="8"/>
    </row>
    <row r="4692" customFormat="false" ht="15.75" hidden="false" customHeight="true" outlineLevel="0" collapsed="false">
      <c r="A4692" s="7" t="n">
        <v>45969</v>
      </c>
      <c r="B4692" s="8" t="s">
        <v>43</v>
      </c>
      <c r="C4692" s="9" t="n">
        <v>500</v>
      </c>
      <c r="D4692" s="8" t="s">
        <v>45</v>
      </c>
      <c r="E4692" s="10" t="s">
        <v>661</v>
      </c>
      <c r="F4692" s="8" t="str">
        <f aca="false">TEXT(A4692,"MM-YYYY")</f>
        <v>11-2025</v>
      </c>
      <c r="G4692" s="8" t="s">
        <v>14</v>
      </c>
      <c r="H4692" s="8" t="s">
        <v>232</v>
      </c>
      <c r="I4692" s="7"/>
      <c r="J4692" s="8" t="str">
        <f aca="false">VLOOKUP(B4692, Table3[#All], 2, FALSE())</f>
        <v>Maintance</v>
      </c>
      <c r="K4692" s="8" t="str">
        <f aca="false">TEXT(ROW(), "0000")</f>
        <v>4692</v>
      </c>
      <c r="L4692" s="8"/>
    </row>
    <row r="4693" customFormat="false" ht="15.75" hidden="false" customHeight="true" outlineLevel="0" collapsed="false">
      <c r="A4693" s="7" t="n">
        <v>45969</v>
      </c>
      <c r="B4693" s="8" t="s">
        <v>37</v>
      </c>
      <c r="C4693" s="9" t="n">
        <v>15</v>
      </c>
      <c r="D4693" s="8" t="s">
        <v>21</v>
      </c>
      <c r="E4693" s="10" t="s">
        <v>662</v>
      </c>
      <c r="F4693" s="8" t="str">
        <f aca="false">TEXT(A4693,"MM-YYYY")</f>
        <v>11-2025</v>
      </c>
      <c r="G4693" s="8" t="s">
        <v>14</v>
      </c>
      <c r="H4693" s="8"/>
      <c r="I4693" s="7"/>
      <c r="J4693" s="8" t="str">
        <f aca="false">VLOOKUP(B4693, Table3[#All], 2, FALSE())</f>
        <v>Maintance</v>
      </c>
      <c r="K4693" s="8" t="str">
        <f aca="false">TEXT(ROW(), "0000")</f>
        <v>4693</v>
      </c>
      <c r="L4693" s="8"/>
    </row>
    <row r="4694" customFormat="false" ht="15.75" hidden="false" customHeight="true" outlineLevel="0" collapsed="false">
      <c r="A4694" s="7" t="n">
        <v>45969</v>
      </c>
      <c r="B4694" s="8" t="s">
        <v>34</v>
      </c>
      <c r="C4694" s="9" t="n">
        <v>30</v>
      </c>
      <c r="D4694" s="8" t="s">
        <v>45</v>
      </c>
      <c r="E4694" s="10" t="s">
        <v>154</v>
      </c>
      <c r="F4694" s="8" t="str">
        <f aca="false">TEXT(A4694,"MM-YYYY")</f>
        <v>11-2025</v>
      </c>
      <c r="G4694" s="8" t="s">
        <v>14</v>
      </c>
      <c r="H4694" s="8"/>
      <c r="I4694" s="7"/>
      <c r="J4694" s="8" t="str">
        <f aca="false">VLOOKUP(B4694, Table3[#All], 2, FALSE())</f>
        <v>Staff Expenses</v>
      </c>
      <c r="K4694" s="8" t="str">
        <f aca="false">TEXT(ROW(), "0000")</f>
        <v>4694</v>
      </c>
      <c r="L4694" s="8"/>
    </row>
    <row r="4695" customFormat="false" ht="15.75" hidden="false" customHeight="true" outlineLevel="0" collapsed="false">
      <c r="A4695" s="7" t="n">
        <v>45969</v>
      </c>
      <c r="B4695" s="8" t="s">
        <v>16</v>
      </c>
      <c r="C4695" s="9" t="n">
        <v>3380</v>
      </c>
      <c r="D4695" s="8" t="s">
        <v>21</v>
      </c>
      <c r="E4695" s="10" t="s">
        <v>101</v>
      </c>
      <c r="F4695" s="27" t="n">
        <v>45962</v>
      </c>
      <c r="G4695" s="8" t="s">
        <v>14</v>
      </c>
      <c r="H4695" s="8"/>
      <c r="I4695" s="7"/>
      <c r="J4695" s="8" t="str">
        <f aca="false">VLOOKUP(B4695, Table3[#All], 2, FALSE())</f>
        <v>Sales</v>
      </c>
      <c r="K4695" s="8" t="str">
        <f aca="false">TEXT(ROW(), "0000")</f>
        <v>4695</v>
      </c>
      <c r="L4695" s="8"/>
    </row>
    <row r="4696" customFormat="false" ht="15.75" hidden="false" customHeight="true" outlineLevel="0" collapsed="false">
      <c r="A4696" s="7" t="n">
        <v>45969</v>
      </c>
      <c r="B4696" s="8" t="s">
        <v>16</v>
      </c>
      <c r="C4696" s="9" t="n">
        <v>18895</v>
      </c>
      <c r="D4696" s="8" t="s">
        <v>17</v>
      </c>
      <c r="E4696" s="10" t="s">
        <v>101</v>
      </c>
      <c r="F4696" s="8" t="str">
        <f aca="false">TEXT(A4696,"MM-YYYY")</f>
        <v>11-2025</v>
      </c>
      <c r="G4696" s="8"/>
      <c r="H4696" s="8"/>
      <c r="I4696" s="7"/>
      <c r="J4696" s="8" t="str">
        <f aca="false">VLOOKUP(B4696, Table3[#All], 2, FALSE())</f>
        <v>Sales</v>
      </c>
      <c r="K4696" s="8" t="str">
        <f aca="false">TEXT(ROW(), "0000")</f>
        <v>4696</v>
      </c>
      <c r="L4696" s="8"/>
    </row>
    <row r="4697" customFormat="false" ht="15.75" hidden="false" customHeight="true" outlineLevel="0" collapsed="false">
      <c r="A4697" s="7" t="n">
        <v>45969</v>
      </c>
      <c r="B4697" s="8" t="s">
        <v>16</v>
      </c>
      <c r="C4697" s="9" t="n">
        <v>1130</v>
      </c>
      <c r="D4697" s="8" t="s">
        <v>70</v>
      </c>
      <c r="E4697" s="10" t="s">
        <v>101</v>
      </c>
      <c r="F4697" s="8" t="str">
        <f aca="false">TEXT(A4697,"MM-YYYY")</f>
        <v>11-2025</v>
      </c>
      <c r="G4697" s="8"/>
      <c r="H4697" s="8"/>
      <c r="I4697" s="7"/>
      <c r="J4697" s="8" t="str">
        <f aca="false">VLOOKUP(B4697, Table3[#All], 2, FALSE())</f>
        <v>Sales</v>
      </c>
      <c r="K4697" s="8" t="str">
        <f aca="false">TEXT(ROW(), "0000")</f>
        <v>4697</v>
      </c>
      <c r="L4697" s="8"/>
    </row>
    <row r="4698" customFormat="false" ht="15.75" hidden="false" customHeight="true" outlineLevel="0" collapsed="false">
      <c r="A4698" s="7" t="n">
        <v>45969</v>
      </c>
      <c r="B4698" s="8" t="s">
        <v>16</v>
      </c>
      <c r="C4698" s="9" t="n">
        <v>3915</v>
      </c>
      <c r="D4698" s="8" t="s">
        <v>27</v>
      </c>
      <c r="E4698" s="10" t="s">
        <v>101</v>
      </c>
      <c r="F4698" s="8" t="str">
        <f aca="false">TEXT(A4698,"MM-YYYY")</f>
        <v>11-2025</v>
      </c>
      <c r="G4698" s="8"/>
      <c r="H4698" s="8"/>
      <c r="I4698" s="7"/>
      <c r="J4698" s="8" t="str">
        <f aca="false">VLOOKUP(B4698, Table3[#All], 2, FALSE())</f>
        <v>Sales</v>
      </c>
      <c r="K4698" s="8" t="str">
        <f aca="false">TEXT(ROW(), "0000")</f>
        <v>4698</v>
      </c>
      <c r="L4698" s="8"/>
    </row>
    <row r="4699" customFormat="false" ht="15.75" hidden="false" customHeight="true" outlineLevel="0" collapsed="false">
      <c r="A4699" s="7" t="n">
        <v>45969</v>
      </c>
      <c r="B4699" s="8" t="s">
        <v>16</v>
      </c>
      <c r="C4699" s="9" t="n">
        <v>2966</v>
      </c>
      <c r="D4699" s="8" t="s">
        <v>24</v>
      </c>
      <c r="E4699" s="10" t="s">
        <v>101</v>
      </c>
      <c r="F4699" s="8" t="str">
        <f aca="false">TEXT(A4699,"MM-YYYY")</f>
        <v>11-2025</v>
      </c>
      <c r="G4699" s="8"/>
      <c r="H4699" s="8"/>
      <c r="I4699" s="7"/>
      <c r="J4699" s="8" t="str">
        <f aca="false">VLOOKUP(B4699, Table3[#All], 2, FALSE())</f>
        <v>Sales</v>
      </c>
      <c r="K4699" s="8" t="str">
        <f aca="false">TEXT(ROW(), "0000")</f>
        <v>4699</v>
      </c>
      <c r="L4699" s="8"/>
    </row>
    <row r="4700" customFormat="false" ht="15.75" hidden="false" customHeight="true" outlineLevel="0" collapsed="false">
      <c r="A4700" s="7" t="n">
        <v>45970</v>
      </c>
      <c r="B4700" s="8" t="s">
        <v>25</v>
      </c>
      <c r="C4700" s="9" t="n">
        <v>3290</v>
      </c>
      <c r="D4700" s="8" t="s">
        <v>13</v>
      </c>
      <c r="E4700" s="10" t="s">
        <v>92</v>
      </c>
      <c r="F4700" s="8" t="str">
        <f aca="false">TEXT(A4700,"MM-YYYY")</f>
        <v>11-2025</v>
      </c>
      <c r="G4700" s="8" t="s">
        <v>18</v>
      </c>
      <c r="H4700" s="8"/>
      <c r="I4700" s="7"/>
      <c r="J4700" s="8" t="str">
        <f aca="false">VLOOKUP(B4700, Table3[#All], 2, FALSE())</f>
        <v>Inventory</v>
      </c>
      <c r="K4700" s="8" t="str">
        <f aca="false">TEXT(ROW(), "0000")</f>
        <v>4700</v>
      </c>
      <c r="L4700" s="8"/>
    </row>
    <row r="4701" customFormat="false" ht="15.75" hidden="false" customHeight="true" outlineLevel="0" collapsed="false">
      <c r="A4701" s="7" t="n">
        <v>45970</v>
      </c>
      <c r="B4701" s="8" t="s">
        <v>29</v>
      </c>
      <c r="C4701" s="9" t="n">
        <v>400</v>
      </c>
      <c r="D4701" s="8" t="s">
        <v>21</v>
      </c>
      <c r="E4701" s="10" t="s">
        <v>78</v>
      </c>
      <c r="F4701" s="8" t="str">
        <f aca="false">TEXT(A4701,"MM-YYYY")</f>
        <v>11-2025</v>
      </c>
      <c r="G4701" s="8" t="s">
        <v>14</v>
      </c>
      <c r="H4701" s="8"/>
      <c r="I4701" s="7"/>
      <c r="J4701" s="8" t="str">
        <f aca="false">VLOOKUP(B4701, Table3[#All], 2, FALSE())</f>
        <v>Inventory</v>
      </c>
      <c r="K4701" s="8" t="str">
        <f aca="false">TEXT(ROW(), "0000")</f>
        <v>4701</v>
      </c>
      <c r="L4701" s="8"/>
    </row>
    <row r="4702" customFormat="false" ht="15.75" hidden="false" customHeight="true" outlineLevel="0" collapsed="false">
      <c r="A4702" s="7" t="n">
        <v>45970</v>
      </c>
      <c r="B4702" s="8" t="s">
        <v>51</v>
      </c>
      <c r="C4702" s="9" t="n">
        <v>60</v>
      </c>
      <c r="D4702" s="8" t="s">
        <v>21</v>
      </c>
      <c r="E4702" s="10" t="s">
        <v>663</v>
      </c>
      <c r="F4702" s="8" t="str">
        <f aca="false">TEXT(A4702,"MM-YYYY")</f>
        <v>11-2025</v>
      </c>
      <c r="G4702" s="8" t="s">
        <v>14</v>
      </c>
      <c r="H4702" s="8"/>
      <c r="I4702" s="7"/>
      <c r="J4702" s="8" t="str">
        <f aca="false">VLOOKUP(B4702, Table3[#All], 2, FALSE())</f>
        <v>Inventory</v>
      </c>
      <c r="K4702" s="8" t="str">
        <f aca="false">TEXT(ROW(), "0000")</f>
        <v>4702</v>
      </c>
      <c r="L4702" s="8"/>
    </row>
    <row r="4703" customFormat="false" ht="15.75" hidden="false" customHeight="true" outlineLevel="0" collapsed="false">
      <c r="A4703" s="7" t="n">
        <v>45970</v>
      </c>
      <c r="B4703" s="8" t="s">
        <v>43</v>
      </c>
      <c r="C4703" s="9" t="n">
        <v>80</v>
      </c>
      <c r="D4703" s="8" t="s">
        <v>21</v>
      </c>
      <c r="E4703" s="10" t="s">
        <v>664</v>
      </c>
      <c r="F4703" s="8" t="str">
        <f aca="false">TEXT(A4703,"MM-YYYY")</f>
        <v>11-2025</v>
      </c>
      <c r="G4703" s="8" t="s">
        <v>14</v>
      </c>
      <c r="H4703" s="8"/>
      <c r="I4703" s="7"/>
      <c r="J4703" s="8" t="str">
        <f aca="false">VLOOKUP(B4703, Table3[#All], 2, FALSE())</f>
        <v>Maintance</v>
      </c>
      <c r="K4703" s="8" t="str">
        <f aca="false">TEXT(ROW(), "0000")</f>
        <v>4703</v>
      </c>
      <c r="L4703" s="8"/>
    </row>
    <row r="4704" customFormat="false" ht="15.75" hidden="false" customHeight="true" outlineLevel="0" collapsed="false">
      <c r="A4704" s="7" t="n">
        <v>45970</v>
      </c>
      <c r="B4704" s="8" t="s">
        <v>22</v>
      </c>
      <c r="C4704" s="9" t="n">
        <v>2640</v>
      </c>
      <c r="D4704" s="8" t="s">
        <v>13</v>
      </c>
      <c r="E4704" s="10" t="s">
        <v>23</v>
      </c>
      <c r="F4704" s="8" t="str">
        <f aca="false">TEXT(A4704,"MM-YYYY")</f>
        <v>11-2025</v>
      </c>
      <c r="G4704" s="8" t="s">
        <v>18</v>
      </c>
      <c r="H4704" s="8"/>
      <c r="I4704" s="7"/>
      <c r="J4704" s="8" t="str">
        <f aca="false">VLOOKUP(B4704, Table3[#All], 2, FALSE())</f>
        <v>Inventory</v>
      </c>
      <c r="K4704" s="8" t="str">
        <f aca="false">TEXT(ROW(), "0000")</f>
        <v>4704</v>
      </c>
      <c r="L4704" s="8"/>
    </row>
    <row r="4705" customFormat="false" ht="15.75" hidden="false" customHeight="true" outlineLevel="0" collapsed="false">
      <c r="A4705" s="7" t="n">
        <v>45970</v>
      </c>
      <c r="B4705" s="8" t="s">
        <v>37</v>
      </c>
      <c r="C4705" s="9" t="n">
        <v>20</v>
      </c>
      <c r="D4705" s="8" t="s">
        <v>21</v>
      </c>
      <c r="E4705" s="10" t="s">
        <v>635</v>
      </c>
      <c r="F4705" s="8" t="str">
        <f aca="false">TEXT(A4705,"MM-YYYY")</f>
        <v>11-2025</v>
      </c>
      <c r="G4705" s="8" t="s">
        <v>14</v>
      </c>
      <c r="H4705" s="8"/>
      <c r="I4705" s="7"/>
      <c r="J4705" s="8" t="str">
        <f aca="false">VLOOKUP(B4705, Table3[#All], 2, FALSE())</f>
        <v>Maintance</v>
      </c>
      <c r="K4705" s="8" t="str">
        <f aca="false">TEXT(ROW(), "0000")</f>
        <v>4705</v>
      </c>
      <c r="L4705" s="8"/>
    </row>
    <row r="4706" customFormat="false" ht="15.75" hidden="false" customHeight="true" outlineLevel="0" collapsed="false">
      <c r="A4706" s="7" t="n">
        <v>45970</v>
      </c>
      <c r="B4706" s="8" t="s">
        <v>51</v>
      </c>
      <c r="C4706" s="9" t="n">
        <v>360</v>
      </c>
      <c r="D4706" s="8" t="s">
        <v>21</v>
      </c>
      <c r="E4706" s="10" t="s">
        <v>665</v>
      </c>
      <c r="F4706" s="8" t="str">
        <f aca="false">TEXT(A4706,"MM-YYYY")</f>
        <v>11-2025</v>
      </c>
      <c r="G4706" s="8" t="s">
        <v>14</v>
      </c>
      <c r="H4706" s="8" t="s">
        <v>232</v>
      </c>
      <c r="I4706" s="7"/>
      <c r="J4706" s="8" t="str">
        <f aca="false">VLOOKUP(B4706, Table3[#All], 2, FALSE())</f>
        <v>Inventory</v>
      </c>
      <c r="K4706" s="8" t="str">
        <f aca="false">TEXT(ROW(), "0000")</f>
        <v>4706</v>
      </c>
      <c r="L4706" s="8"/>
    </row>
    <row r="4707" customFormat="false" ht="15.75" hidden="false" customHeight="true" outlineLevel="0" collapsed="false">
      <c r="A4707" s="7" t="n">
        <v>45970</v>
      </c>
      <c r="B4707" s="8" t="s">
        <v>29</v>
      </c>
      <c r="C4707" s="9" t="n">
        <v>2430</v>
      </c>
      <c r="D4707" s="8" t="s">
        <v>45</v>
      </c>
      <c r="E4707" s="10" t="s">
        <v>666</v>
      </c>
      <c r="F4707" s="8" t="str">
        <f aca="false">TEXT(A4707,"MM-YYYY")</f>
        <v>11-2025</v>
      </c>
      <c r="G4707" s="8" t="s">
        <v>14</v>
      </c>
      <c r="H4707" s="8" t="s">
        <v>232</v>
      </c>
      <c r="I4707" s="7"/>
      <c r="J4707" s="8" t="str">
        <f aca="false">VLOOKUP(B4707, Table3[#All], 2, FALSE())</f>
        <v>Inventory</v>
      </c>
      <c r="K4707" s="8" t="str">
        <f aca="false">TEXT(ROW(), "0000")</f>
        <v>4707</v>
      </c>
      <c r="L4707" s="8"/>
    </row>
    <row r="4708" customFormat="false" ht="15.75" hidden="false" customHeight="true" outlineLevel="0" collapsed="false">
      <c r="A4708" s="7" t="n">
        <v>45970</v>
      </c>
      <c r="B4708" s="8" t="s">
        <v>29</v>
      </c>
      <c r="C4708" s="9" t="n">
        <v>934</v>
      </c>
      <c r="D4708" s="8" t="s">
        <v>13</v>
      </c>
      <c r="E4708" s="10" t="s">
        <v>490</v>
      </c>
      <c r="F4708" s="8" t="str">
        <f aca="false">TEXT(A4708,"MM-YYYY")</f>
        <v>11-2025</v>
      </c>
      <c r="G4708" s="8" t="s">
        <v>18</v>
      </c>
      <c r="H4708" s="8"/>
      <c r="I4708" s="7"/>
      <c r="J4708" s="8" t="str">
        <f aca="false">VLOOKUP(B4708, Table3[#All], 2, FALSE())</f>
        <v>Inventory</v>
      </c>
      <c r="K4708" s="8" t="str">
        <f aca="false">TEXT(ROW(), "0000")</f>
        <v>4708</v>
      </c>
      <c r="L4708" s="8"/>
    </row>
    <row r="4709" customFormat="false" ht="15.75" hidden="false" customHeight="true" outlineLevel="0" collapsed="false">
      <c r="A4709" s="7" t="n">
        <v>45970</v>
      </c>
      <c r="B4709" s="8" t="s">
        <v>16</v>
      </c>
      <c r="C4709" s="9" t="n">
        <v>10912</v>
      </c>
      <c r="D4709" s="8" t="s">
        <v>21</v>
      </c>
      <c r="E4709" s="10" t="s">
        <v>101</v>
      </c>
      <c r="F4709" s="8" t="str">
        <f aca="false">TEXT(A4709,"MM-YYYY")</f>
        <v>11-2025</v>
      </c>
      <c r="G4709" s="8"/>
      <c r="H4709" s="8"/>
      <c r="I4709" s="7"/>
      <c r="J4709" s="8" t="str">
        <f aca="false">VLOOKUP(B4709, Table3[#All], 2, FALSE())</f>
        <v>Sales</v>
      </c>
      <c r="K4709" s="8" t="str">
        <f aca="false">TEXT(ROW(), "0000")</f>
        <v>4709</v>
      </c>
      <c r="L4709" s="8"/>
    </row>
    <row r="4710" customFormat="false" ht="15.75" hidden="false" customHeight="true" outlineLevel="0" collapsed="false">
      <c r="A4710" s="7" t="n">
        <v>45970</v>
      </c>
      <c r="B4710" s="8" t="s">
        <v>16</v>
      </c>
      <c r="C4710" s="9" t="n">
        <v>35353</v>
      </c>
      <c r="D4710" s="8" t="s">
        <v>17</v>
      </c>
      <c r="E4710" s="10" t="s">
        <v>101</v>
      </c>
      <c r="F4710" s="8" t="str">
        <f aca="false">TEXT(A4710,"MM-YYYY")</f>
        <v>11-2025</v>
      </c>
      <c r="G4710" s="8"/>
      <c r="H4710" s="8"/>
      <c r="I4710" s="7"/>
      <c r="J4710" s="8" t="str">
        <f aca="false">VLOOKUP(B4710, Table3[#All], 2, FALSE())</f>
        <v>Sales</v>
      </c>
      <c r="K4710" s="8" t="str">
        <f aca="false">TEXT(ROW(), "0000")</f>
        <v>4710</v>
      </c>
      <c r="L4710" s="8"/>
    </row>
    <row r="4711" customFormat="false" ht="15.75" hidden="false" customHeight="true" outlineLevel="0" collapsed="false">
      <c r="A4711" s="7" t="n">
        <v>45970</v>
      </c>
      <c r="B4711" s="8" t="s">
        <v>16</v>
      </c>
      <c r="C4711" s="9" t="n">
        <v>100</v>
      </c>
      <c r="D4711" s="8" t="s">
        <v>33</v>
      </c>
      <c r="E4711" s="10" t="s">
        <v>101</v>
      </c>
      <c r="F4711" s="8" t="str">
        <f aca="false">TEXT(A4711,"MM-YYYY")</f>
        <v>11-2025</v>
      </c>
      <c r="G4711" s="8"/>
      <c r="H4711" s="8"/>
      <c r="I4711" s="7"/>
      <c r="J4711" s="8" t="str">
        <f aca="false">VLOOKUP(B4711, Table3[#All], 2, FALSE())</f>
        <v>Sales</v>
      </c>
      <c r="K4711" s="8" t="str">
        <f aca="false">TEXT(ROW(), "0000")</f>
        <v>4711</v>
      </c>
      <c r="L4711" s="8"/>
    </row>
    <row r="4712" customFormat="false" ht="15.75" hidden="false" customHeight="true" outlineLevel="0" collapsed="false">
      <c r="A4712" s="7" t="n">
        <v>45970</v>
      </c>
      <c r="B4712" s="8" t="s">
        <v>16</v>
      </c>
      <c r="C4712" s="9" t="n">
        <v>1595</v>
      </c>
      <c r="D4712" s="8" t="s">
        <v>59</v>
      </c>
      <c r="E4712" s="10" t="s">
        <v>101</v>
      </c>
      <c r="F4712" s="8" t="str">
        <f aca="false">TEXT(A4712,"MM-YYYY")</f>
        <v>11-2025</v>
      </c>
      <c r="G4712" s="8"/>
      <c r="H4712" s="8"/>
      <c r="I4712" s="7"/>
      <c r="J4712" s="8" t="str">
        <f aca="false">VLOOKUP(B4712, Table3[#All], 2, FALSE())</f>
        <v>Sales</v>
      </c>
      <c r="K4712" s="8" t="str">
        <f aca="false">TEXT(ROW(), "0000")</f>
        <v>4712</v>
      </c>
      <c r="L4712" s="8"/>
    </row>
    <row r="4713" customFormat="false" ht="15.75" hidden="false" customHeight="true" outlineLevel="0" collapsed="false">
      <c r="A4713" s="7" t="n">
        <v>45970</v>
      </c>
      <c r="B4713" s="8" t="s">
        <v>16</v>
      </c>
      <c r="C4713" s="9" t="n">
        <v>4265</v>
      </c>
      <c r="D4713" s="8" t="s">
        <v>24</v>
      </c>
      <c r="E4713" s="10" t="s">
        <v>101</v>
      </c>
      <c r="F4713" s="8" t="str">
        <f aca="false">TEXT(A4713,"MM-YYYY")</f>
        <v>11-2025</v>
      </c>
      <c r="G4713" s="8"/>
      <c r="H4713" s="8"/>
      <c r="I4713" s="7"/>
      <c r="J4713" s="8" t="str">
        <f aca="false">VLOOKUP(B4713, Table3[#All], 2, FALSE())</f>
        <v>Sales</v>
      </c>
      <c r="K4713" s="8" t="str">
        <f aca="false">TEXT(ROW(), "0000")</f>
        <v>4713</v>
      </c>
      <c r="L4713" s="8"/>
    </row>
    <row r="4714" customFormat="false" ht="15.75" hidden="false" customHeight="true" outlineLevel="0" collapsed="false">
      <c r="A4714" s="7" t="n">
        <v>45970</v>
      </c>
      <c r="B4714" s="8" t="s">
        <v>16</v>
      </c>
      <c r="C4714" s="9" t="n">
        <v>1850</v>
      </c>
      <c r="D4714" s="8" t="s">
        <v>27</v>
      </c>
      <c r="E4714" s="10" t="s">
        <v>101</v>
      </c>
      <c r="F4714" s="8" t="str">
        <f aca="false">TEXT(A4714,"MM-YYYY")</f>
        <v>11-2025</v>
      </c>
      <c r="G4714" s="8"/>
      <c r="H4714" s="8"/>
      <c r="I4714" s="7"/>
      <c r="J4714" s="8" t="str">
        <f aca="false">VLOOKUP(B4714, Table3[#All], 2, FALSE())</f>
        <v>Sales</v>
      </c>
      <c r="K4714" s="8" t="str">
        <f aca="false">TEXT(ROW(), "0000")</f>
        <v>4714</v>
      </c>
      <c r="L4714" s="8"/>
    </row>
    <row r="4715" customFormat="false" ht="15.75" hidden="false" customHeight="true" outlineLevel="0" collapsed="false">
      <c r="A4715" s="7" t="n">
        <v>45970</v>
      </c>
      <c r="B4715" s="8" t="s">
        <v>51</v>
      </c>
      <c r="C4715" s="9" t="n">
        <v>50</v>
      </c>
      <c r="D4715" s="8" t="s">
        <v>21</v>
      </c>
      <c r="E4715" s="10" t="s">
        <v>667</v>
      </c>
      <c r="F4715" s="8" t="str">
        <f aca="false">TEXT(A4715,"MM-YYYY")</f>
        <v>11-2025</v>
      </c>
      <c r="G4715" s="8" t="s">
        <v>14</v>
      </c>
      <c r="H4715" s="8"/>
      <c r="I4715" s="7"/>
      <c r="J4715" s="8" t="str">
        <f aca="false">VLOOKUP(B4715, Table3[#All], 2, FALSE())</f>
        <v>Inventory</v>
      </c>
      <c r="K4715" s="8" t="str">
        <f aca="false">TEXT(ROW(), "0000")</f>
        <v>4715</v>
      </c>
      <c r="L4715" s="8"/>
    </row>
    <row r="4716" customFormat="false" ht="15.75" hidden="false" customHeight="true" outlineLevel="0" collapsed="false">
      <c r="A4716" s="7" t="n">
        <v>45970</v>
      </c>
      <c r="B4716" s="8" t="s">
        <v>19</v>
      </c>
      <c r="C4716" s="9" t="n">
        <v>5944</v>
      </c>
      <c r="D4716" s="8" t="s">
        <v>13</v>
      </c>
      <c r="E4716" s="10" t="s">
        <v>473</v>
      </c>
      <c r="F4716" s="8" t="str">
        <f aca="false">TEXT(A4716,"MM-YYYY")</f>
        <v>11-2025</v>
      </c>
      <c r="G4716" s="8" t="s">
        <v>18</v>
      </c>
      <c r="H4716" s="8"/>
      <c r="I4716" s="7"/>
      <c r="J4716" s="8" t="str">
        <f aca="false">VLOOKUP(B4716, Table3[#All], 2, FALSE())</f>
        <v>Inventory</v>
      </c>
      <c r="K4716" s="8" t="str">
        <f aca="false">TEXT(ROW(), "0000")</f>
        <v>4716</v>
      </c>
      <c r="L4716" s="8"/>
    </row>
    <row r="4717" customFormat="false" ht="15.75" hidden="false" customHeight="true" outlineLevel="0" collapsed="false">
      <c r="A4717" s="7" t="n">
        <v>45971</v>
      </c>
      <c r="B4717" s="8" t="s">
        <v>25</v>
      </c>
      <c r="C4717" s="9" t="n">
        <v>1570</v>
      </c>
      <c r="D4717" s="8" t="s">
        <v>13</v>
      </c>
      <c r="E4717" s="10" t="s">
        <v>92</v>
      </c>
      <c r="F4717" s="8" t="str">
        <f aca="false">TEXT(A4717,"MM-YYYY")</f>
        <v>11-2025</v>
      </c>
      <c r="G4717" s="8" t="s">
        <v>18</v>
      </c>
      <c r="H4717" s="8"/>
      <c r="I4717" s="7"/>
      <c r="J4717" s="8" t="str">
        <f aca="false">VLOOKUP(B4717, Table3[#All], 2, FALSE())</f>
        <v>Inventory</v>
      </c>
      <c r="K4717" s="8" t="str">
        <f aca="false">TEXT(ROW(), "0000")</f>
        <v>4717</v>
      </c>
      <c r="L4717" s="8"/>
    </row>
    <row r="4718" customFormat="false" ht="15.75" hidden="false" customHeight="true" outlineLevel="0" collapsed="false">
      <c r="A4718" s="7" t="n">
        <v>45971</v>
      </c>
      <c r="B4718" s="8" t="s">
        <v>47</v>
      </c>
      <c r="C4718" s="9" t="n">
        <v>1800</v>
      </c>
      <c r="D4718" s="8" t="s">
        <v>13</v>
      </c>
      <c r="E4718" s="10" t="s">
        <v>484</v>
      </c>
      <c r="F4718" s="8" t="str">
        <f aca="false">TEXT(A4718,"MM-YYYY")</f>
        <v>11-2025</v>
      </c>
      <c r="G4718" s="8" t="s">
        <v>18</v>
      </c>
      <c r="H4718" s="8"/>
      <c r="I4718" s="7"/>
      <c r="J4718" s="8" t="str">
        <f aca="false">VLOOKUP(B4718, Table3[#All], 2, FALSE())</f>
        <v>Inventory</v>
      </c>
      <c r="K4718" s="8" t="str">
        <f aca="false">TEXT(ROW(), "0000")</f>
        <v>4718</v>
      </c>
      <c r="L4718" s="8"/>
    </row>
    <row r="4719" customFormat="false" ht="15.75" hidden="false" customHeight="true" outlineLevel="0" collapsed="false">
      <c r="A4719" s="7" t="n">
        <v>45971</v>
      </c>
      <c r="B4719" s="8" t="s">
        <v>19</v>
      </c>
      <c r="C4719" s="9" t="n">
        <v>7373</v>
      </c>
      <c r="D4719" s="8" t="s">
        <v>13</v>
      </c>
      <c r="E4719" s="10" t="s">
        <v>473</v>
      </c>
      <c r="F4719" s="8" t="str">
        <f aca="false">TEXT(A4719,"MM-YYYY")</f>
        <v>11-2025</v>
      </c>
      <c r="G4719" s="8" t="s">
        <v>18</v>
      </c>
      <c r="H4719" s="8"/>
      <c r="I4719" s="7"/>
      <c r="J4719" s="8" t="str">
        <f aca="false">VLOOKUP(B4719, Table3[#All], 2, FALSE())</f>
        <v>Inventory</v>
      </c>
      <c r="K4719" s="8" t="str">
        <f aca="false">TEXT(ROW(), "0000")</f>
        <v>4719</v>
      </c>
      <c r="L4719" s="8"/>
    </row>
    <row r="4720" customFormat="false" ht="15.75" hidden="false" customHeight="true" outlineLevel="0" collapsed="false">
      <c r="A4720" s="7" t="n">
        <v>45971</v>
      </c>
      <c r="B4720" s="8" t="s">
        <v>37</v>
      </c>
      <c r="C4720" s="9" t="n">
        <v>10</v>
      </c>
      <c r="D4720" s="8" t="s">
        <v>21</v>
      </c>
      <c r="E4720" s="10" t="s">
        <v>635</v>
      </c>
      <c r="F4720" s="8" t="str">
        <f aca="false">TEXT(A4720,"MM-YYYY")</f>
        <v>11-2025</v>
      </c>
      <c r="G4720" s="8" t="s">
        <v>14</v>
      </c>
      <c r="H4720" s="8"/>
      <c r="I4720" s="7"/>
      <c r="J4720" s="8" t="str">
        <f aca="false">VLOOKUP(B4720, Table3[#All], 2, FALSE())</f>
        <v>Maintance</v>
      </c>
      <c r="K4720" s="8" t="str">
        <f aca="false">TEXT(ROW(), "0000")</f>
        <v>4720</v>
      </c>
      <c r="L4720" s="8"/>
    </row>
    <row r="4721" customFormat="false" ht="15.75" hidden="false" customHeight="true" outlineLevel="0" collapsed="false">
      <c r="A4721" s="7" t="n">
        <v>45971</v>
      </c>
      <c r="B4721" s="8" t="s">
        <v>29</v>
      </c>
      <c r="C4721" s="9" t="n">
        <v>20</v>
      </c>
      <c r="D4721" s="8" t="s">
        <v>21</v>
      </c>
      <c r="E4721" s="10" t="s">
        <v>65</v>
      </c>
      <c r="F4721" s="8" t="str">
        <f aca="false">TEXT(A4721,"MM-YYYY")</f>
        <v>11-2025</v>
      </c>
      <c r="G4721" s="8" t="s">
        <v>14</v>
      </c>
      <c r="H4721" s="8"/>
      <c r="I4721" s="7"/>
      <c r="J4721" s="8" t="str">
        <f aca="false">VLOOKUP(B4721, Table3[#All], 2, FALSE())</f>
        <v>Inventory</v>
      </c>
      <c r="K4721" s="8" t="str">
        <f aca="false">TEXT(ROW(), "0000")</f>
        <v>4721</v>
      </c>
      <c r="L4721" s="8"/>
    </row>
    <row r="4722" customFormat="false" ht="15.75" hidden="false" customHeight="true" outlineLevel="0" collapsed="false">
      <c r="A4722" s="7" t="n">
        <v>45971</v>
      </c>
      <c r="B4722" s="8" t="s">
        <v>44</v>
      </c>
      <c r="C4722" s="9" t="n">
        <v>2000</v>
      </c>
      <c r="D4722" s="8" t="s">
        <v>13</v>
      </c>
      <c r="E4722" s="10" t="s">
        <v>15</v>
      </c>
      <c r="F4722" s="8" t="str">
        <f aca="false">TEXT(A4722,"MM-YYYY")</f>
        <v>11-2025</v>
      </c>
      <c r="G4722" s="8" t="s">
        <v>14</v>
      </c>
      <c r="H4722" s="8" t="s">
        <v>13</v>
      </c>
      <c r="I4722" s="7" t="n">
        <v>45971</v>
      </c>
      <c r="J4722" s="8" t="str">
        <f aca="false">VLOOKUP(B4722, Table3[#All], 2, FALSE())</f>
        <v>Salary</v>
      </c>
      <c r="K4722" s="8" t="str">
        <f aca="false">TEXT(ROW(), "0000")</f>
        <v>4722</v>
      </c>
      <c r="L4722" s="8"/>
    </row>
    <row r="4723" customFormat="false" ht="15.75" hidden="false" customHeight="true" outlineLevel="0" collapsed="false">
      <c r="A4723" s="7" t="n">
        <v>45971</v>
      </c>
      <c r="B4723" s="8" t="s">
        <v>29</v>
      </c>
      <c r="C4723" s="9" t="n">
        <v>647</v>
      </c>
      <c r="D4723" s="8" t="s">
        <v>13</v>
      </c>
      <c r="E4723" s="10" t="s">
        <v>490</v>
      </c>
      <c r="F4723" s="8" t="str">
        <f aca="false">TEXT(A4723,"MM-YYYY")</f>
        <v>11-2025</v>
      </c>
      <c r="G4723" s="8" t="s">
        <v>18</v>
      </c>
      <c r="H4723" s="8"/>
      <c r="I4723" s="7"/>
      <c r="J4723" s="8" t="str">
        <f aca="false">VLOOKUP(B4723, Table3[#All], 2, FALSE())</f>
        <v>Inventory</v>
      </c>
      <c r="K4723" s="8" t="str">
        <f aca="false">TEXT(ROW(), "0000")</f>
        <v>4723</v>
      </c>
      <c r="L4723" s="8"/>
    </row>
    <row r="4724" customFormat="false" ht="15.75" hidden="false" customHeight="true" outlineLevel="0" collapsed="false">
      <c r="A4724" s="7" t="n">
        <v>45971</v>
      </c>
      <c r="B4724" s="8" t="s">
        <v>16</v>
      </c>
      <c r="C4724" s="9" t="n">
        <v>1010</v>
      </c>
      <c r="D4724" s="8" t="s">
        <v>21</v>
      </c>
      <c r="E4724" s="10" t="s">
        <v>88</v>
      </c>
      <c r="F4724" s="8" t="str">
        <f aca="false">TEXT(A4724,"MM-YYYY")</f>
        <v>11-2025</v>
      </c>
      <c r="G4724" s="8"/>
      <c r="H4724" s="8"/>
      <c r="I4724" s="7"/>
      <c r="J4724" s="8" t="str">
        <f aca="false">VLOOKUP(B4724, Table3[#All], 2, FALSE())</f>
        <v>Sales</v>
      </c>
      <c r="K4724" s="8" t="str">
        <f aca="false">TEXT(ROW(), "0000")</f>
        <v>4724</v>
      </c>
      <c r="L4724" s="8"/>
    </row>
    <row r="4725" customFormat="false" ht="15.75" hidden="false" customHeight="true" outlineLevel="0" collapsed="false">
      <c r="A4725" s="7" t="n">
        <v>45971</v>
      </c>
      <c r="B4725" s="8" t="s">
        <v>16</v>
      </c>
      <c r="C4725" s="9" t="n">
        <v>560</v>
      </c>
      <c r="D4725" s="8" t="s">
        <v>27</v>
      </c>
      <c r="E4725" s="10" t="s">
        <v>88</v>
      </c>
      <c r="F4725" s="8" t="str">
        <f aca="false">TEXT(A4725,"MM-YYYY")</f>
        <v>11-2025</v>
      </c>
      <c r="G4725" s="8"/>
      <c r="H4725" s="8"/>
      <c r="I4725" s="7"/>
      <c r="J4725" s="8" t="str">
        <f aca="false">VLOOKUP(B4725, Table3[#All], 2, FALSE())</f>
        <v>Sales</v>
      </c>
      <c r="K4725" s="8" t="str">
        <f aca="false">TEXT(ROW(), "0000")</f>
        <v>4725</v>
      </c>
      <c r="L4725" s="8"/>
    </row>
    <row r="4726" customFormat="false" ht="15.75" hidden="false" customHeight="true" outlineLevel="0" collapsed="false">
      <c r="A4726" s="7" t="n">
        <v>45971</v>
      </c>
      <c r="B4726" s="8" t="s">
        <v>16</v>
      </c>
      <c r="C4726" s="9" t="n">
        <v>12236</v>
      </c>
      <c r="D4726" s="8" t="s">
        <v>17</v>
      </c>
      <c r="E4726" s="10" t="s">
        <v>88</v>
      </c>
      <c r="F4726" s="8" t="str">
        <f aca="false">TEXT(A4726,"MM-YYYY")</f>
        <v>11-2025</v>
      </c>
      <c r="G4726" s="8"/>
      <c r="H4726" s="8"/>
      <c r="I4726" s="7"/>
      <c r="J4726" s="8" t="str">
        <f aca="false">VLOOKUP(B4726, Table3[#All], 2, FALSE())</f>
        <v>Sales</v>
      </c>
      <c r="K4726" s="8" t="str">
        <f aca="false">TEXT(ROW(), "0000")</f>
        <v>4726</v>
      </c>
      <c r="L4726" s="8"/>
    </row>
    <row r="4727" customFormat="false" ht="15.75" hidden="false" customHeight="true" outlineLevel="0" collapsed="false">
      <c r="A4727" s="7" t="n">
        <v>45971</v>
      </c>
      <c r="B4727" s="8" t="s">
        <v>16</v>
      </c>
      <c r="C4727" s="9" t="n">
        <v>1197</v>
      </c>
      <c r="D4727" s="8" t="s">
        <v>24</v>
      </c>
      <c r="E4727" s="10" t="s">
        <v>88</v>
      </c>
      <c r="F4727" s="8" t="str">
        <f aca="false">TEXT(A4727,"MM-YYYY")</f>
        <v>11-2025</v>
      </c>
      <c r="G4727" s="8"/>
      <c r="H4727" s="8"/>
      <c r="I4727" s="7"/>
      <c r="J4727" s="8" t="str">
        <f aca="false">VLOOKUP(B4727, Table3[#All], 2, FALSE())</f>
        <v>Sales</v>
      </c>
      <c r="K4727" s="8" t="str">
        <f aca="false">TEXT(ROW(), "0000")</f>
        <v>4727</v>
      </c>
      <c r="L4727" s="8"/>
    </row>
    <row r="4728" customFormat="false" ht="15.75" hidden="false" customHeight="true" outlineLevel="0" collapsed="false">
      <c r="A4728" s="7" t="n">
        <v>45971</v>
      </c>
      <c r="B4728" s="8" t="s">
        <v>16</v>
      </c>
      <c r="C4728" s="9" t="n">
        <v>10</v>
      </c>
      <c r="D4728" s="8" t="s">
        <v>33</v>
      </c>
      <c r="E4728" s="10" t="s">
        <v>88</v>
      </c>
      <c r="F4728" s="8" t="str">
        <f aca="false">TEXT(A4728,"MM-YYYY")</f>
        <v>11-2025</v>
      </c>
      <c r="G4728" s="8"/>
      <c r="H4728" s="8"/>
      <c r="I4728" s="7"/>
      <c r="J4728" s="8" t="str">
        <f aca="false">VLOOKUP(B4728, Table3[#All], 2, FALSE())</f>
        <v>Sales</v>
      </c>
      <c r="K4728" s="8" t="str">
        <f aca="false">TEXT(ROW(), "0000")</f>
        <v>4728</v>
      </c>
      <c r="L4728" s="8"/>
    </row>
    <row r="4729" customFormat="false" ht="15.75" hidden="false" customHeight="true" outlineLevel="0" collapsed="false">
      <c r="A4729" s="7" t="n">
        <v>45971</v>
      </c>
      <c r="B4729" s="8" t="s">
        <v>35</v>
      </c>
      <c r="C4729" s="9" t="n">
        <v>40</v>
      </c>
      <c r="D4729" s="8" t="s">
        <v>45</v>
      </c>
      <c r="E4729" s="10" t="s">
        <v>668</v>
      </c>
      <c r="F4729" s="8" t="str">
        <f aca="false">TEXT(A4729,"MM-YYYY")</f>
        <v>11-2025</v>
      </c>
      <c r="G4729" s="8" t="s">
        <v>14</v>
      </c>
      <c r="H4729" s="8" t="s">
        <v>232</v>
      </c>
      <c r="I4729" s="7"/>
      <c r="J4729" s="8" t="str">
        <f aca="false">VLOOKUP(B4729, Table3[#All], 2, FALSE())</f>
        <v>Inventory</v>
      </c>
      <c r="K4729" s="8" t="str">
        <f aca="false">TEXT(ROW(), "0000")</f>
        <v>4729</v>
      </c>
      <c r="L4729" s="8"/>
    </row>
    <row r="4730" customFormat="false" ht="15.75" hidden="false" customHeight="true" outlineLevel="0" collapsed="false">
      <c r="A4730" s="7" t="n">
        <v>45971</v>
      </c>
      <c r="B4730" s="8" t="s">
        <v>154</v>
      </c>
      <c r="C4730" s="9" t="n">
        <v>100</v>
      </c>
      <c r="D4730" s="8" t="s">
        <v>45</v>
      </c>
      <c r="E4730" s="10" t="s">
        <v>154</v>
      </c>
      <c r="F4730" s="8" t="str">
        <f aca="false">TEXT(A4730,"MM-YYYY")</f>
        <v>11-2025</v>
      </c>
      <c r="G4730" s="8" t="s">
        <v>14</v>
      </c>
      <c r="H4730" s="8" t="s">
        <v>232</v>
      </c>
      <c r="I4730" s="7"/>
      <c r="J4730" s="8" t="str">
        <f aca="false">VLOOKUP(B4730, Table3[#All], 2, FALSE())</f>
        <v>Staff Expenses</v>
      </c>
      <c r="K4730" s="8" t="str">
        <f aca="false">TEXT(ROW(), "0000")</f>
        <v>4730</v>
      </c>
      <c r="L4730" s="8"/>
    </row>
    <row r="4731" customFormat="false" ht="15.75" hidden="false" customHeight="true" outlineLevel="0" collapsed="false">
      <c r="A4731" s="7" t="n">
        <v>45972</v>
      </c>
      <c r="B4731" s="8" t="s">
        <v>40</v>
      </c>
      <c r="C4731" s="9" t="n">
        <v>1600</v>
      </c>
      <c r="D4731" s="8" t="s">
        <v>45</v>
      </c>
      <c r="E4731" s="10" t="s">
        <v>660</v>
      </c>
      <c r="F4731" s="8" t="str">
        <f aca="false">TEXT(A4731,"MM-YYYY")</f>
        <v>11-2025</v>
      </c>
      <c r="G4731" s="8" t="s">
        <v>14</v>
      </c>
      <c r="H4731" s="8" t="s">
        <v>232</v>
      </c>
      <c r="I4731" s="7"/>
      <c r="J4731" s="8" t="str">
        <f aca="false">VLOOKUP(B4731, Table3[#All], 2, FALSE())</f>
        <v>Inventory</v>
      </c>
      <c r="K4731" s="8" t="str">
        <f aca="false">TEXT(ROW(), "0000")</f>
        <v>4731</v>
      </c>
      <c r="L4731" s="8"/>
    </row>
    <row r="4732" customFormat="false" ht="15.75" hidden="false" customHeight="true" outlineLevel="0" collapsed="false">
      <c r="A4732" s="7" t="n">
        <v>45972</v>
      </c>
      <c r="B4732" s="8" t="s">
        <v>53</v>
      </c>
      <c r="C4732" s="9" t="n">
        <v>540</v>
      </c>
      <c r="D4732" s="8" t="s">
        <v>45</v>
      </c>
      <c r="E4732" s="10" t="s">
        <v>634</v>
      </c>
      <c r="F4732" s="8" t="str">
        <f aca="false">TEXT(A4732,"MM-YYYY")</f>
        <v>11-2025</v>
      </c>
      <c r="G4732" s="8" t="s">
        <v>14</v>
      </c>
      <c r="H4732" s="8" t="s">
        <v>232</v>
      </c>
      <c r="I4732" s="7"/>
      <c r="J4732" s="8" t="str">
        <f aca="false">VLOOKUP(B4732, Table3[#All], 2, FALSE())</f>
        <v>Grocery</v>
      </c>
      <c r="K4732" s="8" t="str">
        <f aca="false">TEXT(ROW(), "0000")</f>
        <v>4732</v>
      </c>
      <c r="L4732" s="8"/>
    </row>
    <row r="4733" customFormat="false" ht="15.75" hidden="false" customHeight="true" outlineLevel="0" collapsed="false">
      <c r="A4733" s="7" t="n">
        <v>45972</v>
      </c>
      <c r="B4733" s="8" t="s">
        <v>25</v>
      </c>
      <c r="C4733" s="9" t="n">
        <v>575</v>
      </c>
      <c r="D4733" s="8" t="s">
        <v>13</v>
      </c>
      <c r="E4733" s="10" t="s">
        <v>92</v>
      </c>
      <c r="F4733" s="8" t="str">
        <f aca="false">TEXT(A4733,"MM-YYYY")</f>
        <v>11-2025</v>
      </c>
      <c r="G4733" s="8" t="s">
        <v>18</v>
      </c>
      <c r="H4733" s="8"/>
      <c r="I4733" s="7"/>
      <c r="J4733" s="8" t="str">
        <f aca="false">VLOOKUP(B4733, Table3[#All], 2, FALSE())</f>
        <v>Inventory</v>
      </c>
      <c r="K4733" s="8" t="str">
        <f aca="false">TEXT(ROW(), "0000")</f>
        <v>4733</v>
      </c>
      <c r="L4733" s="8"/>
    </row>
    <row r="4734" customFormat="false" ht="15.75" hidden="false" customHeight="true" outlineLevel="0" collapsed="false">
      <c r="A4734" s="7" t="n">
        <v>45972</v>
      </c>
      <c r="B4734" s="8" t="s">
        <v>22</v>
      </c>
      <c r="C4734" s="9" t="n">
        <v>21150</v>
      </c>
      <c r="D4734" s="8" t="s">
        <v>13</v>
      </c>
      <c r="E4734" s="10" t="s">
        <v>23</v>
      </c>
      <c r="F4734" s="8" t="str">
        <f aca="false">TEXT(A4734,"MM-YYYY")</f>
        <v>11-2025</v>
      </c>
      <c r="G4734" s="8"/>
      <c r="H4734" s="8"/>
      <c r="I4734" s="7"/>
      <c r="J4734" s="8" t="str">
        <f aca="false">VLOOKUP(B4734, Table3[#All], 2, FALSE())</f>
        <v>Inventory</v>
      </c>
      <c r="K4734" s="8" t="str">
        <f aca="false">TEXT(ROW(), "0000")</f>
        <v>4734</v>
      </c>
      <c r="L4734" s="8"/>
    </row>
    <row r="4735" customFormat="false" ht="15.75" hidden="false" customHeight="true" outlineLevel="0" collapsed="false">
      <c r="A4735" s="7" t="n">
        <v>45972</v>
      </c>
      <c r="B4735" s="8" t="s">
        <v>19</v>
      </c>
      <c r="C4735" s="9" t="n">
        <v>4074</v>
      </c>
      <c r="D4735" s="8" t="s">
        <v>13</v>
      </c>
      <c r="E4735" s="10" t="s">
        <v>417</v>
      </c>
      <c r="F4735" s="8" t="str">
        <f aca="false">TEXT(A4735,"MM-YYYY")</f>
        <v>11-2025</v>
      </c>
      <c r="G4735" s="8" t="s">
        <v>18</v>
      </c>
      <c r="H4735" s="8"/>
      <c r="I4735" s="7"/>
      <c r="J4735" s="8" t="str">
        <f aca="false">VLOOKUP(B4735, Table3[#All], 2, FALSE())</f>
        <v>Inventory</v>
      </c>
      <c r="K4735" s="8" t="str">
        <f aca="false">TEXT(ROW(), "0000")</f>
        <v>4735</v>
      </c>
      <c r="L4735" s="8"/>
    </row>
    <row r="4736" customFormat="false" ht="15.75" hidden="false" customHeight="true" outlineLevel="0" collapsed="false">
      <c r="A4736" s="7" t="n">
        <v>45972</v>
      </c>
      <c r="B4736" s="8" t="s">
        <v>43</v>
      </c>
      <c r="C4736" s="9" t="n">
        <v>100</v>
      </c>
      <c r="D4736" s="8" t="s">
        <v>45</v>
      </c>
      <c r="E4736" s="10" t="s">
        <v>669</v>
      </c>
      <c r="F4736" s="8" t="str">
        <f aca="false">TEXT(A4736,"MM-YYYY")</f>
        <v>11-2025</v>
      </c>
      <c r="G4736" s="8" t="s">
        <v>14</v>
      </c>
      <c r="H4736" s="8"/>
      <c r="I4736" s="7"/>
      <c r="J4736" s="8" t="str">
        <f aca="false">VLOOKUP(B4736, Table3[#All], 2, FALSE())</f>
        <v>Maintance</v>
      </c>
      <c r="K4736" s="8" t="str">
        <f aca="false">TEXT(ROW(), "0000")</f>
        <v>4736</v>
      </c>
      <c r="L4736" s="8"/>
    </row>
    <row r="4737" customFormat="false" ht="15.75" hidden="false" customHeight="true" outlineLevel="0" collapsed="false">
      <c r="A4737" s="7" t="n">
        <v>45972</v>
      </c>
      <c r="B4737" s="8" t="s">
        <v>29</v>
      </c>
      <c r="C4737" s="9" t="n">
        <v>664</v>
      </c>
      <c r="D4737" s="8" t="s">
        <v>13</v>
      </c>
      <c r="E4737" s="10" t="s">
        <v>490</v>
      </c>
      <c r="F4737" s="8" t="str">
        <f aca="false">TEXT(A4737,"MM-YYYY")</f>
        <v>11-2025</v>
      </c>
      <c r="G4737" s="8" t="s">
        <v>18</v>
      </c>
      <c r="H4737" s="8"/>
      <c r="I4737" s="7"/>
      <c r="J4737" s="8" t="str">
        <f aca="false">VLOOKUP(B4737, Table3[#All], 2, FALSE())</f>
        <v>Inventory</v>
      </c>
      <c r="K4737" s="8" t="str">
        <f aca="false">TEXT(ROW(), "0000")</f>
        <v>4737</v>
      </c>
      <c r="L4737" s="8"/>
    </row>
    <row r="4738" customFormat="false" ht="15.75" hidden="false" customHeight="true" outlineLevel="0" collapsed="false">
      <c r="A4738" s="7" t="n">
        <v>45972</v>
      </c>
      <c r="B4738" s="8" t="s">
        <v>56</v>
      </c>
      <c r="C4738" s="9" t="n">
        <v>4100</v>
      </c>
      <c r="D4738" s="8" t="s">
        <v>45</v>
      </c>
      <c r="E4738" s="10" t="s">
        <v>670</v>
      </c>
      <c r="F4738" s="8" t="str">
        <f aca="false">TEXT(A4738,"MM-YYYY")</f>
        <v>11-2025</v>
      </c>
      <c r="G4738" s="8" t="s">
        <v>14</v>
      </c>
      <c r="H4738" s="8"/>
      <c r="I4738" s="7"/>
      <c r="J4738" s="8" t="str">
        <f aca="false">VLOOKUP(B4738, Table3[#All], 2, FALSE())</f>
        <v>New Inventory</v>
      </c>
      <c r="K4738" s="8" t="str">
        <f aca="false">TEXT(ROW(), "0000")</f>
        <v>4738</v>
      </c>
      <c r="L4738" s="8"/>
    </row>
    <row r="4739" customFormat="false" ht="15.75" hidden="false" customHeight="true" outlineLevel="0" collapsed="false">
      <c r="A4739" s="7" t="n">
        <v>45972</v>
      </c>
      <c r="B4739" s="8" t="s">
        <v>16</v>
      </c>
      <c r="C4739" s="9" t="n">
        <v>4715</v>
      </c>
      <c r="D4739" s="8" t="s">
        <v>21</v>
      </c>
      <c r="E4739" s="10" t="s">
        <v>88</v>
      </c>
      <c r="F4739" s="8" t="str">
        <f aca="false">TEXT(A4739,"MM-YYYY")</f>
        <v>11-2025</v>
      </c>
      <c r="G4739" s="8"/>
      <c r="H4739" s="8"/>
      <c r="I4739" s="7"/>
      <c r="J4739" s="8" t="str">
        <f aca="false">VLOOKUP(B4739, Table3[#All], 2, FALSE())</f>
        <v>Sales</v>
      </c>
      <c r="K4739" s="8" t="str">
        <f aca="false">TEXT(ROW(), "0000")</f>
        <v>4739</v>
      </c>
      <c r="L4739" s="8"/>
    </row>
    <row r="4740" customFormat="false" ht="15.75" hidden="false" customHeight="true" outlineLevel="0" collapsed="false">
      <c r="A4740" s="7" t="n">
        <v>45972</v>
      </c>
      <c r="B4740" s="8" t="s">
        <v>16</v>
      </c>
      <c r="C4740" s="9" t="n">
        <v>420</v>
      </c>
      <c r="D4740" s="8" t="s">
        <v>33</v>
      </c>
      <c r="E4740" s="10" t="s">
        <v>88</v>
      </c>
      <c r="F4740" s="8" t="str">
        <f aca="false">TEXT(A4740,"MM-YYYY")</f>
        <v>11-2025</v>
      </c>
      <c r="G4740" s="8"/>
      <c r="H4740" s="8"/>
      <c r="I4740" s="7"/>
      <c r="J4740" s="8" t="str">
        <f aca="false">VLOOKUP(B4740, Table3[#All], 2, FALSE())</f>
        <v>Sales</v>
      </c>
      <c r="K4740" s="8" t="str">
        <f aca="false">TEXT(ROW(), "0000")</f>
        <v>4740</v>
      </c>
      <c r="L4740" s="8"/>
    </row>
    <row r="4741" customFormat="false" ht="15.75" hidden="false" customHeight="true" outlineLevel="0" collapsed="false">
      <c r="A4741" s="7" t="n">
        <v>45972</v>
      </c>
      <c r="B4741" s="8" t="s">
        <v>16</v>
      </c>
      <c r="C4741" s="9" t="n">
        <v>14157</v>
      </c>
      <c r="D4741" s="8" t="s">
        <v>17</v>
      </c>
      <c r="E4741" s="10" t="s">
        <v>88</v>
      </c>
      <c r="F4741" s="8" t="str">
        <f aca="false">TEXT(A4741,"MM-YYYY")</f>
        <v>11-2025</v>
      </c>
      <c r="G4741" s="8"/>
      <c r="H4741" s="8"/>
      <c r="I4741" s="7"/>
      <c r="J4741" s="8" t="str">
        <f aca="false">VLOOKUP(B4741, Table3[#All], 2, FALSE())</f>
        <v>Sales</v>
      </c>
      <c r="K4741" s="8" t="str">
        <f aca="false">TEXT(ROW(), "0000")</f>
        <v>4741</v>
      </c>
      <c r="L4741" s="8"/>
    </row>
    <row r="4742" customFormat="false" ht="15.75" hidden="false" customHeight="true" outlineLevel="0" collapsed="false">
      <c r="A4742" s="7" t="n">
        <v>45972</v>
      </c>
      <c r="B4742" s="8" t="s">
        <v>16</v>
      </c>
      <c r="C4742" s="9" t="n">
        <v>360</v>
      </c>
      <c r="D4742" s="8" t="s">
        <v>27</v>
      </c>
      <c r="E4742" s="10" t="s">
        <v>88</v>
      </c>
      <c r="F4742" s="8" t="str">
        <f aca="false">TEXT(A4742,"MM-YYYY")</f>
        <v>11-2025</v>
      </c>
      <c r="G4742" s="8"/>
      <c r="H4742" s="8"/>
      <c r="I4742" s="7"/>
      <c r="J4742" s="8" t="str">
        <f aca="false">VLOOKUP(B4742, Table3[#All], 2, FALSE())</f>
        <v>Sales</v>
      </c>
      <c r="K4742" s="8" t="str">
        <f aca="false">TEXT(ROW(), "0000")</f>
        <v>4742</v>
      </c>
      <c r="L4742" s="8"/>
    </row>
    <row r="4743" customFormat="false" ht="15.75" hidden="false" customHeight="true" outlineLevel="0" collapsed="false">
      <c r="A4743" s="7" t="n">
        <v>45972</v>
      </c>
      <c r="B4743" s="8" t="s">
        <v>16</v>
      </c>
      <c r="C4743" s="9" t="n">
        <v>2375</v>
      </c>
      <c r="D4743" s="8" t="s">
        <v>24</v>
      </c>
      <c r="E4743" s="10" t="s">
        <v>88</v>
      </c>
      <c r="F4743" s="8" t="str">
        <f aca="false">TEXT(A4743,"MM-YYYY")</f>
        <v>11-2025</v>
      </c>
      <c r="G4743" s="8"/>
      <c r="H4743" s="8"/>
      <c r="I4743" s="7"/>
      <c r="J4743" s="8" t="str">
        <f aca="false">VLOOKUP(B4743, Table3[#All], 2, FALSE())</f>
        <v>Sales</v>
      </c>
      <c r="K4743" s="8" t="str">
        <f aca="false">TEXT(ROW(), "0000")</f>
        <v>4743</v>
      </c>
      <c r="L4743" s="8"/>
    </row>
    <row r="4744" customFormat="false" ht="15.75" hidden="false" customHeight="true" outlineLevel="0" collapsed="false">
      <c r="A4744" s="7" t="n">
        <v>45972</v>
      </c>
      <c r="B4744" s="8" t="s">
        <v>51</v>
      </c>
      <c r="C4744" s="9" t="n">
        <v>300</v>
      </c>
      <c r="D4744" s="8" t="s">
        <v>45</v>
      </c>
      <c r="E4744" s="10" t="s">
        <v>671</v>
      </c>
      <c r="F4744" s="8" t="str">
        <f aca="false">TEXT(A4744,"MM-YYYY")</f>
        <v>11-2025</v>
      </c>
      <c r="G4744" s="8" t="s">
        <v>14</v>
      </c>
      <c r="H4744" s="8"/>
      <c r="I4744" s="7"/>
      <c r="J4744" s="8" t="str">
        <f aca="false">VLOOKUP(B4744, Table3[#All], 2, FALSE())</f>
        <v>Inventory</v>
      </c>
      <c r="K4744" s="8" t="str">
        <f aca="false">TEXT(ROW(), "0000")</f>
        <v>4744</v>
      </c>
      <c r="L4744" s="8"/>
    </row>
    <row r="4745" customFormat="false" ht="15.75" hidden="false" customHeight="true" outlineLevel="0" collapsed="false">
      <c r="A4745" s="7" t="n">
        <v>45972</v>
      </c>
      <c r="B4745" s="8" t="s">
        <v>51</v>
      </c>
      <c r="C4745" s="9" t="n">
        <v>6148</v>
      </c>
      <c r="D4745" s="8" t="s">
        <v>13</v>
      </c>
      <c r="E4745" s="10" t="s">
        <v>652</v>
      </c>
      <c r="F4745" s="8" t="str">
        <f aca="false">TEXT(A4745,"MM-YYYY")</f>
        <v>11-2025</v>
      </c>
      <c r="G4745" s="8" t="s">
        <v>18</v>
      </c>
      <c r="H4745" s="8"/>
      <c r="I4745" s="7"/>
      <c r="J4745" s="8" t="str">
        <f aca="false">VLOOKUP(B4745, Table3[#All], 2, FALSE())</f>
        <v>Inventory</v>
      </c>
      <c r="K4745" s="8" t="str">
        <f aca="false">TEXT(ROW(), "0000")</f>
        <v>4745</v>
      </c>
      <c r="L4745" s="8"/>
    </row>
    <row r="4746" customFormat="false" ht="15.75" hidden="false" customHeight="true" outlineLevel="0" collapsed="false">
      <c r="A4746" s="7" t="n">
        <v>45972</v>
      </c>
      <c r="B4746" s="8" t="s">
        <v>31</v>
      </c>
      <c r="C4746" s="9" t="n">
        <v>200</v>
      </c>
      <c r="D4746" s="8" t="s">
        <v>45</v>
      </c>
      <c r="E4746" s="10" t="s">
        <v>31</v>
      </c>
      <c r="F4746" s="8" t="str">
        <f aca="false">TEXT(A4746,"MM-YYYY")</f>
        <v>11-2025</v>
      </c>
      <c r="G4746" s="8" t="s">
        <v>14</v>
      </c>
      <c r="H4746" s="8"/>
      <c r="I4746" s="7"/>
      <c r="J4746" s="8" t="str">
        <f aca="false">VLOOKUP(B4746, Table3[#All], 2, FALSE())</f>
        <v>Bike Maintance</v>
      </c>
      <c r="K4746" s="8" t="str">
        <f aca="false">TEXT(ROW(), "0000")</f>
        <v>4746</v>
      </c>
      <c r="L4746" s="8"/>
    </row>
    <row r="4747" customFormat="false" ht="15.75" hidden="false" customHeight="true" outlineLevel="0" collapsed="false">
      <c r="A4747" s="7" t="n">
        <v>45972</v>
      </c>
      <c r="B4747" s="8" t="s">
        <v>34</v>
      </c>
      <c r="C4747" s="9" t="n">
        <v>60</v>
      </c>
      <c r="D4747" s="8" t="s">
        <v>45</v>
      </c>
      <c r="E4747" s="10" t="s">
        <v>34</v>
      </c>
      <c r="F4747" s="8" t="str">
        <f aca="false">TEXT(A4747,"MM-YYYY")</f>
        <v>11-2025</v>
      </c>
      <c r="G4747" s="8" t="s">
        <v>14</v>
      </c>
      <c r="H4747" s="8"/>
      <c r="I4747" s="7"/>
      <c r="J4747" s="8" t="str">
        <f aca="false">VLOOKUP(B4747, Table3[#All], 2, FALSE())</f>
        <v>Staff Expenses</v>
      </c>
      <c r="K4747" s="8" t="str">
        <f aca="false">TEXT(ROW(), "0000")</f>
        <v>4747</v>
      </c>
      <c r="L4747" s="8"/>
    </row>
    <row r="4748" customFormat="false" ht="15.75" hidden="false" customHeight="true" outlineLevel="0" collapsed="false">
      <c r="A4748" s="7" t="n">
        <v>45972</v>
      </c>
      <c r="B4748" s="8" t="s">
        <v>37</v>
      </c>
      <c r="C4748" s="9" t="n">
        <v>15</v>
      </c>
      <c r="D4748" s="8" t="s">
        <v>21</v>
      </c>
      <c r="E4748" s="10" t="s">
        <v>37</v>
      </c>
      <c r="F4748" s="8" t="str">
        <f aca="false">TEXT(A4748,"MM-YYYY")</f>
        <v>11-2025</v>
      </c>
      <c r="G4748" s="8" t="s">
        <v>14</v>
      </c>
      <c r="H4748" s="8" t="s">
        <v>232</v>
      </c>
      <c r="I4748" s="7" t="n">
        <v>45972</v>
      </c>
      <c r="J4748" s="8" t="str">
        <f aca="false">VLOOKUP(B4748, Table3[#All], 2, FALSE())</f>
        <v>Maintance</v>
      </c>
      <c r="K4748" s="8" t="str">
        <f aca="false">TEXT(ROW(), "0000")</f>
        <v>4748</v>
      </c>
      <c r="L4748" s="8"/>
    </row>
    <row r="4749" customFormat="false" ht="15.75" hidden="false" customHeight="true" outlineLevel="0" collapsed="false">
      <c r="A4749" s="7" t="n">
        <v>45973</v>
      </c>
      <c r="B4749" s="8" t="s">
        <v>31</v>
      </c>
      <c r="C4749" s="9" t="n">
        <v>310</v>
      </c>
      <c r="D4749" s="8" t="s">
        <v>45</v>
      </c>
      <c r="E4749" s="10" t="s">
        <v>31</v>
      </c>
      <c r="F4749" s="8" t="str">
        <f aca="false">TEXT(A4749,"MM-YYYY")</f>
        <v>11-2025</v>
      </c>
      <c r="G4749" s="8" t="s">
        <v>14</v>
      </c>
      <c r="H4749" s="8" t="s">
        <v>232</v>
      </c>
      <c r="I4749" s="7"/>
      <c r="J4749" s="8" t="str">
        <f aca="false">VLOOKUP(B4749, Table3[#All], 2, FALSE())</f>
        <v>Bike Maintance</v>
      </c>
      <c r="K4749" s="8" t="str">
        <f aca="false">TEXT(ROW(), "0000")</f>
        <v>4749</v>
      </c>
      <c r="L4749" s="8"/>
    </row>
    <row r="4750" customFormat="false" ht="15.75" hidden="false" customHeight="true" outlineLevel="0" collapsed="false">
      <c r="A4750" s="7" t="n">
        <v>45973</v>
      </c>
      <c r="B4750" s="8" t="s">
        <v>25</v>
      </c>
      <c r="C4750" s="9" t="n">
        <v>340</v>
      </c>
      <c r="D4750" s="8" t="s">
        <v>13</v>
      </c>
      <c r="E4750" s="10" t="s">
        <v>92</v>
      </c>
      <c r="F4750" s="8" t="str">
        <f aca="false">TEXT(A4750,"MM-YYYY")</f>
        <v>11-2025</v>
      </c>
      <c r="G4750" s="8" t="s">
        <v>18</v>
      </c>
      <c r="H4750" s="8"/>
      <c r="I4750" s="7"/>
      <c r="J4750" s="8" t="str">
        <f aca="false">VLOOKUP(B4750, Table3[#All], 2, FALSE())</f>
        <v>Inventory</v>
      </c>
      <c r="K4750" s="8" t="str">
        <f aca="false">TEXT(ROW(), "0000")</f>
        <v>4750</v>
      </c>
      <c r="L4750" s="8"/>
    </row>
    <row r="4751" customFormat="false" ht="15.75" hidden="false" customHeight="true" outlineLevel="0" collapsed="false">
      <c r="A4751" s="7" t="n">
        <v>45973</v>
      </c>
      <c r="B4751" s="8" t="s">
        <v>19</v>
      </c>
      <c r="C4751" s="9" t="n">
        <v>1720</v>
      </c>
      <c r="D4751" s="8" t="s">
        <v>13</v>
      </c>
      <c r="E4751" s="10" t="s">
        <v>417</v>
      </c>
      <c r="F4751" s="8" t="str">
        <f aca="false">TEXT(A4751,"MM-YYYY")</f>
        <v>11-2025</v>
      </c>
      <c r="G4751" s="8" t="s">
        <v>18</v>
      </c>
      <c r="H4751" s="8"/>
      <c r="I4751" s="7"/>
      <c r="J4751" s="8" t="str">
        <f aca="false">VLOOKUP(B4751, Table3[#All], 2, FALSE())</f>
        <v>Inventory</v>
      </c>
      <c r="K4751" s="8" t="str">
        <f aca="false">TEXT(ROW(), "0000")</f>
        <v>4751</v>
      </c>
      <c r="L4751" s="8"/>
    </row>
    <row r="4752" customFormat="false" ht="15.75" hidden="false" customHeight="true" outlineLevel="0" collapsed="false">
      <c r="A4752" s="7" t="n">
        <v>45973</v>
      </c>
      <c r="B4752" s="8" t="s">
        <v>53</v>
      </c>
      <c r="C4752" s="9" t="n">
        <v>575</v>
      </c>
      <c r="D4752" s="8" t="s">
        <v>21</v>
      </c>
      <c r="E4752" s="10" t="s">
        <v>634</v>
      </c>
      <c r="F4752" s="8" t="str">
        <f aca="false">TEXT(A4752,"MM-YYYY")</f>
        <v>11-2025</v>
      </c>
      <c r="G4752" s="8" t="s">
        <v>14</v>
      </c>
      <c r="H4752" s="8"/>
      <c r="I4752" s="7"/>
      <c r="J4752" s="8" t="str">
        <f aca="false">VLOOKUP(B4752, Table3[#All], 2, FALSE())</f>
        <v>Grocery</v>
      </c>
      <c r="K4752" s="8" t="str">
        <f aca="false">TEXT(ROW(), "0000")</f>
        <v>4752</v>
      </c>
      <c r="L4752" s="8"/>
    </row>
    <row r="4753" customFormat="false" ht="15.75" hidden="false" customHeight="true" outlineLevel="0" collapsed="false">
      <c r="A4753" s="7" t="n">
        <v>45973</v>
      </c>
      <c r="B4753" s="8" t="s">
        <v>53</v>
      </c>
      <c r="C4753" s="9" t="n">
        <v>1630</v>
      </c>
      <c r="D4753" s="8" t="s">
        <v>45</v>
      </c>
      <c r="E4753" s="10" t="s">
        <v>458</v>
      </c>
      <c r="F4753" s="8" t="str">
        <f aca="false">TEXT(A4753,"MM-YYYY")</f>
        <v>11-2025</v>
      </c>
      <c r="G4753" s="8" t="s">
        <v>14</v>
      </c>
      <c r="H4753" s="8" t="s">
        <v>232</v>
      </c>
      <c r="I4753" s="7" t="n">
        <v>45973</v>
      </c>
      <c r="J4753" s="8" t="str">
        <f aca="false">VLOOKUP(B4753, Table3[#All], 2, FALSE())</f>
        <v>Grocery</v>
      </c>
      <c r="K4753" s="8" t="str">
        <f aca="false">TEXT(ROW(), "0000")</f>
        <v>4753</v>
      </c>
      <c r="L4753" s="8"/>
    </row>
    <row r="4754" customFormat="false" ht="15.75" hidden="false" customHeight="true" outlineLevel="0" collapsed="false">
      <c r="A4754" s="7" t="n">
        <v>45973</v>
      </c>
      <c r="B4754" s="8" t="s">
        <v>25</v>
      </c>
      <c r="C4754" s="9" t="n">
        <v>30</v>
      </c>
      <c r="D4754" s="8" t="s">
        <v>21</v>
      </c>
      <c r="E4754" s="10" t="s">
        <v>105</v>
      </c>
      <c r="F4754" s="8" t="str">
        <f aca="false">TEXT(A4754,"MM-YYYY")</f>
        <v>11-2025</v>
      </c>
      <c r="G4754" s="8" t="s">
        <v>14</v>
      </c>
      <c r="H4754" s="8" t="s">
        <v>232</v>
      </c>
      <c r="I4754" s="7"/>
      <c r="J4754" s="8" t="str">
        <f aca="false">VLOOKUP(B4754, Table3[#All], 2, FALSE())</f>
        <v>Inventory</v>
      </c>
      <c r="K4754" s="8" t="str">
        <f aca="false">TEXT(ROW(), "0000")</f>
        <v>4754</v>
      </c>
      <c r="L4754" s="8"/>
    </row>
    <row r="4755" customFormat="false" ht="15.75" hidden="false" customHeight="true" outlineLevel="0" collapsed="false">
      <c r="A4755" s="7" t="n">
        <v>45973</v>
      </c>
      <c r="B4755" s="8" t="s">
        <v>37</v>
      </c>
      <c r="C4755" s="9" t="n">
        <v>20</v>
      </c>
      <c r="D4755" s="8" t="s">
        <v>21</v>
      </c>
      <c r="E4755" s="10" t="s">
        <v>672</v>
      </c>
      <c r="F4755" s="8" t="str">
        <f aca="false">TEXT(A4755,"MM-YYYY")</f>
        <v>11-2025</v>
      </c>
      <c r="G4755" s="8" t="s">
        <v>14</v>
      </c>
      <c r="H4755" s="8" t="s">
        <v>232</v>
      </c>
      <c r="I4755" s="7"/>
      <c r="J4755" s="8" t="str">
        <f aca="false">VLOOKUP(B4755, Table3[#All], 2, FALSE())</f>
        <v>Maintance</v>
      </c>
      <c r="K4755" s="8" t="str">
        <f aca="false">TEXT(ROW(), "0000")</f>
        <v>4755</v>
      </c>
      <c r="L4755" s="8"/>
    </row>
    <row r="4756" customFormat="false" ht="15.75" hidden="false" customHeight="true" outlineLevel="0" collapsed="false">
      <c r="A4756" s="7" t="n">
        <v>45973</v>
      </c>
      <c r="B4756" s="8" t="s">
        <v>29</v>
      </c>
      <c r="C4756" s="9" t="n">
        <v>20</v>
      </c>
      <c r="D4756" s="8" t="s">
        <v>21</v>
      </c>
      <c r="E4756" s="10" t="s">
        <v>65</v>
      </c>
      <c r="F4756" s="8" t="str">
        <f aca="false">TEXT(A4756,"MM-YYYY")</f>
        <v>11-2025</v>
      </c>
      <c r="G4756" s="8" t="s">
        <v>14</v>
      </c>
      <c r="H4756" s="8" t="s">
        <v>232</v>
      </c>
      <c r="I4756" s="7"/>
      <c r="J4756" s="8" t="str">
        <f aca="false">VLOOKUP(B4756, Table3[#All], 2, FALSE())</f>
        <v>Inventory</v>
      </c>
      <c r="K4756" s="8" t="str">
        <f aca="false">TEXT(ROW(), "0000")</f>
        <v>4756</v>
      </c>
      <c r="L4756" s="8"/>
    </row>
    <row r="4757" customFormat="false" ht="15.75" hidden="false" customHeight="true" outlineLevel="0" collapsed="false">
      <c r="A4757" s="7" t="n">
        <v>45973</v>
      </c>
      <c r="B4757" s="8" t="s">
        <v>29</v>
      </c>
      <c r="C4757" s="9" t="n">
        <v>200</v>
      </c>
      <c r="D4757" s="8" t="s">
        <v>45</v>
      </c>
      <c r="E4757" s="10" t="s">
        <v>488</v>
      </c>
      <c r="F4757" s="8" t="str">
        <f aca="false">TEXT(A4757,"MM-YYYY")</f>
        <v>11-2025</v>
      </c>
      <c r="G4757" s="8" t="s">
        <v>14</v>
      </c>
      <c r="H4757" s="8" t="s">
        <v>232</v>
      </c>
      <c r="I4757" s="7"/>
      <c r="J4757" s="8" t="str">
        <f aca="false">VLOOKUP(B4757, Table3[#All], 2, FALSE())</f>
        <v>Inventory</v>
      </c>
      <c r="K4757" s="8" t="str">
        <f aca="false">TEXT(ROW(), "0000")</f>
        <v>4757</v>
      </c>
      <c r="L4757" s="8"/>
    </row>
    <row r="4758" customFormat="false" ht="15.75" hidden="false" customHeight="true" outlineLevel="0" collapsed="false">
      <c r="A4758" s="7" t="n">
        <v>45973</v>
      </c>
      <c r="B4758" s="8" t="s">
        <v>35</v>
      </c>
      <c r="C4758" s="9" t="n">
        <v>100</v>
      </c>
      <c r="D4758" s="8" t="s">
        <v>45</v>
      </c>
      <c r="E4758" s="10" t="s">
        <v>39</v>
      </c>
      <c r="F4758" s="8" t="str">
        <f aca="false">TEXT(A4758,"MM-YYYY")</f>
        <v>11-2025</v>
      </c>
      <c r="G4758" s="8" t="s">
        <v>14</v>
      </c>
      <c r="H4758" s="8" t="s">
        <v>232</v>
      </c>
      <c r="I4758" s="7"/>
      <c r="J4758" s="8" t="str">
        <f aca="false">VLOOKUP(B4758, Table3[#All], 2, FALSE())</f>
        <v>Inventory</v>
      </c>
      <c r="K4758" s="8" t="str">
        <f aca="false">TEXT(ROW(), "0000")</f>
        <v>4758</v>
      </c>
      <c r="L4758" s="8"/>
    </row>
    <row r="4759" customFormat="false" ht="15.75" hidden="false" customHeight="true" outlineLevel="0" collapsed="false">
      <c r="A4759" s="7" t="n">
        <v>45973</v>
      </c>
      <c r="B4759" s="8" t="s">
        <v>29</v>
      </c>
      <c r="C4759" s="9" t="n">
        <v>259</v>
      </c>
      <c r="D4759" s="8" t="s">
        <v>13</v>
      </c>
      <c r="E4759" s="10" t="s">
        <v>490</v>
      </c>
      <c r="F4759" s="8" t="str">
        <f aca="false">TEXT(A4759,"MM-YYYY")</f>
        <v>11-2025</v>
      </c>
      <c r="G4759" s="8" t="s">
        <v>18</v>
      </c>
      <c r="H4759" s="8" t="s">
        <v>232</v>
      </c>
      <c r="I4759" s="7"/>
      <c r="J4759" s="8" t="str">
        <f aca="false">VLOOKUP(B4759, Table3[#All], 2, FALSE())</f>
        <v>Inventory</v>
      </c>
      <c r="K4759" s="8" t="str">
        <f aca="false">TEXT(ROW(), "0000")</f>
        <v>4759</v>
      </c>
      <c r="L4759" s="8"/>
    </row>
    <row r="4760" customFormat="false" ht="15.75" hidden="false" customHeight="true" outlineLevel="0" collapsed="false">
      <c r="A4760" s="7" t="n">
        <v>45973</v>
      </c>
      <c r="B4760" s="8" t="s">
        <v>44</v>
      </c>
      <c r="C4760" s="9" t="n">
        <v>1000</v>
      </c>
      <c r="D4760" s="8" t="s">
        <v>45</v>
      </c>
      <c r="E4760" s="10" t="s">
        <v>673</v>
      </c>
      <c r="F4760" s="8" t="str">
        <f aca="false">TEXT(A4760,"MM-YYYY")</f>
        <v>11-2025</v>
      </c>
      <c r="G4760" s="8" t="s">
        <v>14</v>
      </c>
      <c r="H4760" s="8" t="s">
        <v>232</v>
      </c>
      <c r="I4760" s="7"/>
      <c r="J4760" s="8" t="str">
        <f aca="false">VLOOKUP(B4760, Table3[#All], 2, FALSE())</f>
        <v>Salary</v>
      </c>
      <c r="K4760" s="8" t="str">
        <f aca="false">TEXT(ROW(), "0000")</f>
        <v>4760</v>
      </c>
      <c r="L4760" s="8"/>
    </row>
    <row r="4761" customFormat="false" ht="15.75" hidden="false" customHeight="true" outlineLevel="0" collapsed="false">
      <c r="A4761" s="7" t="n">
        <v>45973</v>
      </c>
      <c r="B4761" s="8" t="s">
        <v>28</v>
      </c>
      <c r="C4761" s="9" t="n">
        <v>567</v>
      </c>
      <c r="D4761" s="8" t="s">
        <v>21</v>
      </c>
      <c r="E4761" s="10" t="s">
        <v>93</v>
      </c>
      <c r="F4761" s="8" t="str">
        <f aca="false">TEXT(A4761,"MM-YYYY")</f>
        <v>11-2025</v>
      </c>
      <c r="G4761" s="8" t="s">
        <v>14</v>
      </c>
      <c r="H4761" s="8" t="s">
        <v>232</v>
      </c>
      <c r="I4761" s="7"/>
      <c r="J4761" s="8" t="str">
        <f aca="false">VLOOKUP(B4761, Table3[#All], 2, FALSE())</f>
        <v>Grocery</v>
      </c>
      <c r="K4761" s="8" t="str">
        <f aca="false">TEXT(ROW(), "0000")</f>
        <v>4761</v>
      </c>
      <c r="L4761" s="8"/>
    </row>
    <row r="4762" customFormat="false" ht="15.75" hidden="false" customHeight="true" outlineLevel="0" collapsed="false">
      <c r="A4762" s="7" t="n">
        <v>45973</v>
      </c>
      <c r="B4762" s="8" t="s">
        <v>16</v>
      </c>
      <c r="C4762" s="9" t="n">
        <v>2880</v>
      </c>
      <c r="D4762" s="8" t="s">
        <v>21</v>
      </c>
      <c r="E4762" s="10" t="s">
        <v>88</v>
      </c>
      <c r="F4762" s="8" t="str">
        <f aca="false">TEXT(A4762,"MM-YYYY")</f>
        <v>11-2025</v>
      </c>
      <c r="G4762" s="8"/>
      <c r="H4762" s="8"/>
      <c r="I4762" s="7"/>
      <c r="J4762" s="8" t="str">
        <f aca="false">VLOOKUP(B4762, Table3[#All], 2, FALSE())</f>
        <v>Sales</v>
      </c>
      <c r="K4762" s="8" t="str">
        <f aca="false">TEXT(ROW(), "0000")</f>
        <v>4762</v>
      </c>
      <c r="L4762" s="8"/>
    </row>
    <row r="4763" customFormat="false" ht="15.75" hidden="false" customHeight="true" outlineLevel="0" collapsed="false">
      <c r="A4763" s="7" t="n">
        <v>45973</v>
      </c>
      <c r="B4763" s="8" t="s">
        <v>16</v>
      </c>
      <c r="C4763" s="9" t="n">
        <v>19844</v>
      </c>
      <c r="D4763" s="8" t="s">
        <v>17</v>
      </c>
      <c r="E4763" s="10" t="s">
        <v>88</v>
      </c>
      <c r="F4763" s="8" t="str">
        <f aca="false">TEXT(A4763,"MM-YYYY")</f>
        <v>11-2025</v>
      </c>
      <c r="G4763" s="8"/>
      <c r="H4763" s="8"/>
      <c r="I4763" s="7"/>
      <c r="J4763" s="8" t="str">
        <f aca="false">VLOOKUP(B4763, Table3[#All], 2, FALSE())</f>
        <v>Sales</v>
      </c>
      <c r="K4763" s="8" t="str">
        <f aca="false">TEXT(ROW(), "0000")</f>
        <v>4763</v>
      </c>
      <c r="L4763" s="8"/>
    </row>
    <row r="4764" customFormat="false" ht="15.75" hidden="false" customHeight="true" outlineLevel="0" collapsed="false">
      <c r="A4764" s="7" t="n">
        <v>45973</v>
      </c>
      <c r="B4764" s="8" t="s">
        <v>16</v>
      </c>
      <c r="C4764" s="9" t="n">
        <v>2148</v>
      </c>
      <c r="D4764" s="8" t="s">
        <v>24</v>
      </c>
      <c r="E4764" s="10" t="s">
        <v>88</v>
      </c>
      <c r="F4764" s="8" t="str">
        <f aca="false">TEXT(A4764,"MM-YYYY")</f>
        <v>11-2025</v>
      </c>
      <c r="G4764" s="8"/>
      <c r="H4764" s="8"/>
      <c r="I4764" s="7"/>
      <c r="J4764" s="8" t="str">
        <f aca="false">VLOOKUP(B4764, Table3[#All], 2, FALSE())</f>
        <v>Sales</v>
      </c>
      <c r="K4764" s="8" t="str">
        <f aca="false">TEXT(ROW(), "0000")</f>
        <v>4764</v>
      </c>
      <c r="L4764" s="8"/>
    </row>
    <row r="4765" customFormat="false" ht="15.75" hidden="false" customHeight="true" outlineLevel="0" collapsed="false">
      <c r="A4765" s="7" t="n">
        <v>45973</v>
      </c>
      <c r="B4765" s="8" t="s">
        <v>34</v>
      </c>
      <c r="C4765" s="9" t="n">
        <v>60</v>
      </c>
      <c r="D4765" s="8" t="s">
        <v>45</v>
      </c>
      <c r="E4765" s="10" t="s">
        <v>34</v>
      </c>
      <c r="F4765" s="8" t="str">
        <f aca="false">TEXT(A4765,"MM-YYYY")</f>
        <v>11-2025</v>
      </c>
      <c r="G4765" s="8" t="s">
        <v>14</v>
      </c>
      <c r="H4765" s="8" t="s">
        <v>232</v>
      </c>
      <c r="I4765" s="7"/>
      <c r="J4765" s="8" t="str">
        <f aca="false">VLOOKUP(B4765, Table3[#All], 2, FALSE())</f>
        <v>Staff Expenses</v>
      </c>
      <c r="K4765" s="8" t="str">
        <f aca="false">TEXT(ROW(), "0000")</f>
        <v>4765</v>
      </c>
      <c r="L4765" s="8"/>
    </row>
    <row r="4766" customFormat="false" ht="15.75" hidden="false" customHeight="true" outlineLevel="0" collapsed="false">
      <c r="A4766" s="7" t="n">
        <v>45973</v>
      </c>
      <c r="B4766" s="8" t="s">
        <v>43</v>
      </c>
      <c r="C4766" s="9" t="n">
        <v>350</v>
      </c>
      <c r="D4766" s="8" t="s">
        <v>45</v>
      </c>
      <c r="E4766" s="10" t="s">
        <v>518</v>
      </c>
      <c r="F4766" s="8" t="str">
        <f aca="false">TEXT(A4766,"MM-YYYY")</f>
        <v>11-2025</v>
      </c>
      <c r="G4766" s="8" t="s">
        <v>14</v>
      </c>
      <c r="H4766" s="8" t="s">
        <v>232</v>
      </c>
      <c r="I4766" s="7"/>
      <c r="J4766" s="8" t="str">
        <f aca="false">VLOOKUP(B4766, Table3[#All], 2, FALSE())</f>
        <v>Maintance</v>
      </c>
      <c r="K4766" s="8" t="str">
        <f aca="false">TEXT(ROW(), "0000")</f>
        <v>4766</v>
      </c>
      <c r="L4766" s="8"/>
    </row>
    <row r="4767" customFormat="false" ht="15.75" hidden="false" customHeight="true" outlineLevel="0" collapsed="false">
      <c r="A4767" s="7" t="n">
        <v>45974</v>
      </c>
      <c r="B4767" s="8" t="s">
        <v>25</v>
      </c>
      <c r="C4767" s="9" t="n">
        <v>803</v>
      </c>
      <c r="D4767" s="8" t="s">
        <v>13</v>
      </c>
      <c r="E4767" s="10" t="s">
        <v>92</v>
      </c>
      <c r="F4767" s="8" t="str">
        <f aca="false">TEXT(A4767,"MM-YYYY")</f>
        <v>11-2025</v>
      </c>
      <c r="G4767" s="8" t="s">
        <v>18</v>
      </c>
      <c r="H4767" s="8"/>
      <c r="I4767" s="7"/>
      <c r="J4767" s="8" t="str">
        <f aca="false">VLOOKUP(B4767, Table3[#All], 2, FALSE())</f>
        <v>Inventory</v>
      </c>
      <c r="K4767" s="8" t="str">
        <f aca="false">TEXT(ROW(), "0000")</f>
        <v>4767</v>
      </c>
      <c r="L4767" s="8"/>
    </row>
    <row r="4768" customFormat="false" ht="15.75" hidden="false" customHeight="true" outlineLevel="0" collapsed="false">
      <c r="A4768" s="7" t="n">
        <v>45974</v>
      </c>
      <c r="B4768" s="8" t="s">
        <v>19</v>
      </c>
      <c r="C4768" s="9" t="n">
        <v>3747</v>
      </c>
      <c r="D4768" s="8" t="s">
        <v>13</v>
      </c>
      <c r="E4768" s="10" t="s">
        <v>417</v>
      </c>
      <c r="F4768" s="8" t="str">
        <f aca="false">TEXT(A4768,"MM-YYYY")</f>
        <v>11-2025</v>
      </c>
      <c r="G4768" s="8" t="s">
        <v>18</v>
      </c>
      <c r="H4768" s="8"/>
      <c r="I4768" s="7"/>
      <c r="J4768" s="8" t="str">
        <f aca="false">VLOOKUP(B4768, Table3[#All], 2, FALSE())</f>
        <v>Inventory</v>
      </c>
      <c r="K4768" s="8" t="str">
        <f aca="false">TEXT(ROW(), "0000")</f>
        <v>4768</v>
      </c>
      <c r="L4768" s="8"/>
    </row>
    <row r="4769" customFormat="false" ht="15.75" hidden="false" customHeight="true" outlineLevel="0" collapsed="false">
      <c r="A4769" s="7" t="n">
        <v>45974</v>
      </c>
      <c r="B4769" s="8" t="s">
        <v>40</v>
      </c>
      <c r="C4769" s="9" t="n">
        <v>500</v>
      </c>
      <c r="D4769" s="8" t="s">
        <v>45</v>
      </c>
      <c r="E4769" s="10" t="s">
        <v>103</v>
      </c>
      <c r="F4769" s="8" t="str">
        <f aca="false">TEXT(A4769,"MM-YYYY")</f>
        <v>11-2025</v>
      </c>
      <c r="G4769" s="8" t="s">
        <v>14</v>
      </c>
      <c r="H4769" s="8" t="s">
        <v>232</v>
      </c>
      <c r="I4769" s="7"/>
      <c r="J4769" s="8" t="str">
        <f aca="false">VLOOKUP(B4769, Table3[#All], 2, FALSE())</f>
        <v>Inventory</v>
      </c>
      <c r="K4769" s="8" t="str">
        <f aca="false">TEXT(ROW(), "0000")</f>
        <v>4769</v>
      </c>
      <c r="L4769" s="8"/>
    </row>
    <row r="4770" customFormat="false" ht="15.75" hidden="false" customHeight="true" outlineLevel="0" collapsed="false">
      <c r="A4770" s="7" t="n">
        <v>45974</v>
      </c>
      <c r="B4770" s="8" t="s">
        <v>22</v>
      </c>
      <c r="C4770" s="9" t="n">
        <v>750</v>
      </c>
      <c r="D4770" s="8" t="s">
        <v>45</v>
      </c>
      <c r="E4770" s="10" t="s">
        <v>633</v>
      </c>
      <c r="F4770" s="8" t="str">
        <f aca="false">TEXT(A4770,"MM-YYYY")</f>
        <v>11-2025</v>
      </c>
      <c r="G4770" s="8" t="s">
        <v>14</v>
      </c>
      <c r="H4770" s="8" t="s">
        <v>232</v>
      </c>
      <c r="I4770" s="7"/>
      <c r="J4770" s="8" t="str">
        <f aca="false">VLOOKUP(B4770, Table3[#All], 2, FALSE())</f>
        <v>Inventory</v>
      </c>
      <c r="K4770" s="8" t="str">
        <f aca="false">TEXT(ROW(), "0000")</f>
        <v>4770</v>
      </c>
      <c r="L4770" s="8"/>
    </row>
    <row r="4771" customFormat="false" ht="15.75" hidden="false" customHeight="true" outlineLevel="0" collapsed="false">
      <c r="A4771" s="7" t="n">
        <v>45974</v>
      </c>
      <c r="B4771" s="8" t="s">
        <v>29</v>
      </c>
      <c r="C4771" s="9" t="n">
        <v>100</v>
      </c>
      <c r="D4771" s="8" t="s">
        <v>45</v>
      </c>
      <c r="E4771" s="10" t="s">
        <v>41</v>
      </c>
      <c r="F4771" s="8" t="str">
        <f aca="false">TEXT(A4771,"MM-YYYY")</f>
        <v>11-2025</v>
      </c>
      <c r="G4771" s="8" t="s">
        <v>14</v>
      </c>
      <c r="H4771" s="8" t="s">
        <v>232</v>
      </c>
      <c r="I4771" s="7"/>
      <c r="J4771" s="8" t="str">
        <f aca="false">VLOOKUP(B4771, Table3[#All], 2, FALSE())</f>
        <v>Inventory</v>
      </c>
      <c r="K4771" s="8" t="str">
        <f aca="false">TEXT(ROW(), "0000")</f>
        <v>4771</v>
      </c>
      <c r="L4771" s="8"/>
    </row>
    <row r="4772" customFormat="false" ht="15.75" hidden="false" customHeight="true" outlineLevel="0" collapsed="false">
      <c r="A4772" s="7" t="n">
        <v>45974</v>
      </c>
      <c r="B4772" s="8" t="s">
        <v>43</v>
      </c>
      <c r="C4772" s="9" t="n">
        <v>700</v>
      </c>
      <c r="D4772" s="8" t="s">
        <v>45</v>
      </c>
      <c r="E4772" s="10" t="s">
        <v>674</v>
      </c>
      <c r="F4772" s="8" t="str">
        <f aca="false">TEXT(A4772,"MM-YYYY")</f>
        <v>11-2025</v>
      </c>
      <c r="G4772" s="8" t="s">
        <v>14</v>
      </c>
      <c r="H4772" s="8" t="s">
        <v>232</v>
      </c>
      <c r="I4772" s="7"/>
      <c r="J4772" s="8" t="str">
        <f aca="false">VLOOKUP(B4772, Table3[#All], 2, FALSE())</f>
        <v>Maintance</v>
      </c>
      <c r="K4772" s="8" t="str">
        <f aca="false">TEXT(ROW(), "0000")</f>
        <v>4772</v>
      </c>
      <c r="L4772" s="8"/>
    </row>
    <row r="4773" customFormat="false" ht="15.75" hidden="false" customHeight="true" outlineLevel="0" collapsed="false">
      <c r="A4773" s="7" t="n">
        <v>45974</v>
      </c>
      <c r="B4773" s="8" t="s">
        <v>25</v>
      </c>
      <c r="C4773" s="9" t="n">
        <v>170</v>
      </c>
      <c r="D4773" s="8" t="s">
        <v>45</v>
      </c>
      <c r="E4773" s="10" t="s">
        <v>602</v>
      </c>
      <c r="F4773" s="8" t="str">
        <f aca="false">TEXT(A4773,"MM-YYYY")</f>
        <v>11-2025</v>
      </c>
      <c r="G4773" s="8" t="s">
        <v>14</v>
      </c>
      <c r="H4773" s="8" t="s">
        <v>232</v>
      </c>
      <c r="I4773" s="7"/>
      <c r="J4773" s="8" t="str">
        <f aca="false">VLOOKUP(B4773, Table3[#All], 2, FALSE())</f>
        <v>Inventory</v>
      </c>
      <c r="K4773" s="8" t="str">
        <f aca="false">TEXT(ROW(), "0000")</f>
        <v>4773</v>
      </c>
      <c r="L4773" s="8"/>
    </row>
    <row r="4774" customFormat="false" ht="15.75" hidden="false" customHeight="true" outlineLevel="0" collapsed="false">
      <c r="A4774" s="7" t="n">
        <v>45974</v>
      </c>
      <c r="B4774" s="8" t="s">
        <v>43</v>
      </c>
      <c r="C4774" s="9" t="n">
        <v>160</v>
      </c>
      <c r="D4774" s="8" t="s">
        <v>45</v>
      </c>
      <c r="E4774" s="10" t="s">
        <v>675</v>
      </c>
      <c r="F4774" s="8" t="str">
        <f aca="false">TEXT(A4774,"MM-YYYY")</f>
        <v>11-2025</v>
      </c>
      <c r="G4774" s="8" t="s">
        <v>14</v>
      </c>
      <c r="H4774" s="8" t="s">
        <v>232</v>
      </c>
      <c r="I4774" s="7"/>
      <c r="J4774" s="8" t="str">
        <f aca="false">VLOOKUP(B4774, Table3[#All], 2, FALSE())</f>
        <v>Maintance</v>
      </c>
      <c r="K4774" s="8" t="str">
        <f aca="false">TEXT(ROW(), "0000")</f>
        <v>4774</v>
      </c>
      <c r="L4774" s="8"/>
    </row>
    <row r="4775" customFormat="false" ht="15.75" hidden="false" customHeight="true" outlineLevel="0" collapsed="false">
      <c r="A4775" s="7" t="n">
        <v>45974</v>
      </c>
      <c r="B4775" s="8" t="s">
        <v>37</v>
      </c>
      <c r="C4775" s="9" t="n">
        <v>20</v>
      </c>
      <c r="D4775" s="8" t="s">
        <v>21</v>
      </c>
      <c r="E4775" s="10" t="s">
        <v>672</v>
      </c>
      <c r="F4775" s="8" t="str">
        <f aca="false">TEXT(A4775,"MM-YYYY")</f>
        <v>11-2025</v>
      </c>
      <c r="G4775" s="8" t="s">
        <v>14</v>
      </c>
      <c r="H4775" s="8" t="s">
        <v>232</v>
      </c>
      <c r="I4775" s="7"/>
      <c r="J4775" s="8" t="str">
        <f aca="false">VLOOKUP(B4775, Table3[#All], 2, FALSE())</f>
        <v>Maintance</v>
      </c>
      <c r="K4775" s="8" t="str">
        <f aca="false">TEXT(ROW(), "0000")</f>
        <v>4775</v>
      </c>
      <c r="L4775" s="8"/>
    </row>
    <row r="4776" customFormat="false" ht="15.75" hidden="false" customHeight="true" outlineLevel="0" collapsed="false">
      <c r="A4776" s="7" t="n">
        <v>45974</v>
      </c>
      <c r="B4776" s="8" t="s">
        <v>29</v>
      </c>
      <c r="C4776" s="9" t="n">
        <v>577</v>
      </c>
      <c r="D4776" s="8" t="s">
        <v>13</v>
      </c>
      <c r="E4776" s="10" t="s">
        <v>490</v>
      </c>
      <c r="F4776" s="8" t="str">
        <f aca="false">TEXT(A4776,"MM-YYYY")</f>
        <v>11-2025</v>
      </c>
      <c r="G4776" s="8" t="s">
        <v>18</v>
      </c>
      <c r="H4776" s="8"/>
      <c r="I4776" s="7"/>
      <c r="J4776" s="8" t="str">
        <f aca="false">VLOOKUP(B4776, Table3[#All], 2, FALSE())</f>
        <v>Inventory</v>
      </c>
      <c r="K4776" s="8" t="str">
        <f aca="false">TEXT(ROW(), "0000")</f>
        <v>4776</v>
      </c>
      <c r="L4776" s="8"/>
    </row>
    <row r="4777" customFormat="false" ht="15.75" hidden="false" customHeight="true" outlineLevel="0" collapsed="false">
      <c r="A4777" s="7" t="n">
        <v>45974</v>
      </c>
      <c r="B4777" s="8" t="s">
        <v>16</v>
      </c>
      <c r="C4777" s="9" t="n">
        <v>3675</v>
      </c>
      <c r="D4777" s="8" t="s">
        <v>21</v>
      </c>
      <c r="E4777" s="10" t="s">
        <v>88</v>
      </c>
      <c r="F4777" s="8" t="str">
        <f aca="false">TEXT(A4777,"MM-YYYY")</f>
        <v>11-2025</v>
      </c>
      <c r="G4777" s="8"/>
      <c r="H4777" s="8"/>
      <c r="I4777" s="7"/>
      <c r="J4777" s="8" t="str">
        <f aca="false">VLOOKUP(B4777, Table3[#All], 2, FALSE())</f>
        <v>Sales</v>
      </c>
      <c r="K4777" s="8" t="str">
        <f aca="false">TEXT(ROW(), "0000")</f>
        <v>4777</v>
      </c>
      <c r="L4777" s="8"/>
    </row>
    <row r="4778" customFormat="false" ht="15.75" hidden="false" customHeight="true" outlineLevel="0" collapsed="false">
      <c r="A4778" s="7" t="n">
        <v>45974</v>
      </c>
      <c r="B4778" s="8" t="s">
        <v>16</v>
      </c>
      <c r="C4778" s="9" t="n">
        <v>130</v>
      </c>
      <c r="D4778" s="8" t="s">
        <v>27</v>
      </c>
      <c r="E4778" s="10" t="s">
        <v>88</v>
      </c>
      <c r="F4778" s="8" t="str">
        <f aca="false">TEXT(A4778,"MM-YYYY")</f>
        <v>11-2025</v>
      </c>
      <c r="G4778" s="8"/>
      <c r="H4778" s="8"/>
      <c r="I4778" s="7"/>
      <c r="J4778" s="8" t="str">
        <f aca="false">VLOOKUP(B4778, Table3[#All], 2, FALSE())</f>
        <v>Sales</v>
      </c>
      <c r="K4778" s="8" t="str">
        <f aca="false">TEXT(ROW(), "0000")</f>
        <v>4778</v>
      </c>
      <c r="L4778" s="8"/>
    </row>
    <row r="4779" customFormat="false" ht="15.75" hidden="false" customHeight="true" outlineLevel="0" collapsed="false">
      <c r="A4779" s="7" t="n">
        <v>45974</v>
      </c>
      <c r="B4779" s="8" t="s">
        <v>16</v>
      </c>
      <c r="C4779" s="9" t="n">
        <v>15621</v>
      </c>
      <c r="D4779" s="8" t="s">
        <v>17</v>
      </c>
      <c r="E4779" s="10" t="s">
        <v>88</v>
      </c>
      <c r="F4779" s="8" t="str">
        <f aca="false">TEXT(A4779,"MM-YYYY")</f>
        <v>11-2025</v>
      </c>
      <c r="G4779" s="8"/>
      <c r="H4779" s="8"/>
      <c r="I4779" s="7"/>
      <c r="J4779" s="8" t="str">
        <f aca="false">VLOOKUP(B4779, Table3[#All], 2, FALSE())</f>
        <v>Sales</v>
      </c>
      <c r="K4779" s="8" t="str">
        <f aca="false">TEXT(ROW(), "0000")</f>
        <v>4779</v>
      </c>
      <c r="L4779" s="8"/>
    </row>
    <row r="4780" customFormat="false" ht="15.75" hidden="false" customHeight="true" outlineLevel="0" collapsed="false">
      <c r="A4780" s="7" t="n">
        <v>45974</v>
      </c>
      <c r="B4780" s="8" t="s">
        <v>16</v>
      </c>
      <c r="C4780" s="9" t="n">
        <v>1424</v>
      </c>
      <c r="D4780" s="8" t="s">
        <v>24</v>
      </c>
      <c r="E4780" s="10" t="s">
        <v>88</v>
      </c>
      <c r="F4780" s="8" t="str">
        <f aca="false">TEXT(A4780,"MM-YYYY")</f>
        <v>11-2025</v>
      </c>
      <c r="G4780" s="8"/>
      <c r="H4780" s="8"/>
      <c r="I4780" s="7"/>
      <c r="J4780" s="8" t="str">
        <f aca="false">VLOOKUP(B4780, Table3[#All], 2, FALSE())</f>
        <v>Sales</v>
      </c>
      <c r="K4780" s="8" t="str">
        <f aca="false">TEXT(ROW(), "0000")</f>
        <v>4780</v>
      </c>
      <c r="L4780" s="8"/>
    </row>
    <row r="4781" customFormat="false" ht="15.75" hidden="false" customHeight="true" outlineLevel="0" collapsed="false">
      <c r="A4781" s="7" t="n">
        <v>45974</v>
      </c>
      <c r="B4781" s="8" t="s">
        <v>44</v>
      </c>
      <c r="C4781" s="9" t="n">
        <v>1000</v>
      </c>
      <c r="D4781" s="8" t="s">
        <v>45</v>
      </c>
      <c r="E4781" s="10" t="s">
        <v>611</v>
      </c>
      <c r="F4781" s="8" t="str">
        <f aca="false">TEXT(A4781,"MM-YYYY")</f>
        <v>11-2025</v>
      </c>
      <c r="G4781" s="8" t="s">
        <v>14</v>
      </c>
      <c r="H4781" s="8" t="s">
        <v>232</v>
      </c>
      <c r="I4781" s="7" t="n">
        <v>45974</v>
      </c>
      <c r="J4781" s="8" t="str">
        <f aca="false">VLOOKUP(B4781, Table3[#All], 2, FALSE())</f>
        <v>Salary</v>
      </c>
      <c r="K4781" s="8" t="str">
        <f aca="false">TEXT(ROW(), "0000")</f>
        <v>4781</v>
      </c>
      <c r="L4781" s="8"/>
    </row>
    <row r="4782" customFormat="false" ht="15.75" hidden="false" customHeight="true" outlineLevel="0" collapsed="false">
      <c r="A4782" s="7" t="n">
        <v>45974</v>
      </c>
      <c r="B4782" s="8" t="s">
        <v>16</v>
      </c>
      <c r="C4782" s="9" t="n">
        <v>20</v>
      </c>
      <c r="D4782" s="8" t="s">
        <v>33</v>
      </c>
      <c r="E4782" s="10" t="s">
        <v>88</v>
      </c>
      <c r="F4782" s="8" t="str">
        <f aca="false">TEXT(A4782,"MM-YYYY")</f>
        <v>11-2025</v>
      </c>
      <c r="G4782" s="8"/>
      <c r="H4782" s="8"/>
      <c r="I4782" s="7"/>
      <c r="J4782" s="8" t="str">
        <f aca="false">VLOOKUP(B4782, Table3[#All], 2, FALSE())</f>
        <v>Sales</v>
      </c>
      <c r="K4782" s="8" t="str">
        <f aca="false">TEXT(ROW(), "0000")</f>
        <v>4782</v>
      </c>
      <c r="L4782" s="8"/>
    </row>
    <row r="4783" customFormat="false" ht="15.75" hidden="false" customHeight="true" outlineLevel="0" collapsed="false">
      <c r="A4783" s="7" t="n">
        <v>45974</v>
      </c>
      <c r="B4783" s="8" t="s">
        <v>16</v>
      </c>
      <c r="C4783" s="9" t="n">
        <v>882</v>
      </c>
      <c r="D4783" s="8" t="s">
        <v>59</v>
      </c>
      <c r="E4783" s="10" t="s">
        <v>88</v>
      </c>
      <c r="F4783" s="8" t="str">
        <f aca="false">TEXT(A4783,"MM-YYYY")</f>
        <v>11-2025</v>
      </c>
      <c r="G4783" s="8"/>
      <c r="H4783" s="8"/>
      <c r="I4783" s="7"/>
      <c r="J4783" s="8" t="str">
        <f aca="false">VLOOKUP(B4783, Table3[#All], 2, FALSE())</f>
        <v>Sales</v>
      </c>
      <c r="K4783" s="8" t="str">
        <f aca="false">TEXT(ROW(), "0000")</f>
        <v>4783</v>
      </c>
      <c r="L4783" s="8"/>
    </row>
    <row r="4784" customFormat="false" ht="15.75" hidden="false" customHeight="true" outlineLevel="0" collapsed="false">
      <c r="A4784" s="7" t="n">
        <v>45974</v>
      </c>
      <c r="B4784" s="8" t="s">
        <v>37</v>
      </c>
      <c r="C4784" s="9" t="n">
        <v>5</v>
      </c>
      <c r="D4784" s="8" t="s">
        <v>21</v>
      </c>
      <c r="E4784" s="10" t="s">
        <v>635</v>
      </c>
      <c r="F4784" s="8" t="str">
        <f aca="false">TEXT(A4784,"MM-YYYY")</f>
        <v>11-2025</v>
      </c>
      <c r="G4784" s="8"/>
      <c r="H4784" s="8"/>
      <c r="I4784" s="7"/>
      <c r="J4784" s="8" t="str">
        <f aca="false">VLOOKUP(B4784, Table3[#All], 2, FALSE())</f>
        <v>Maintance</v>
      </c>
      <c r="K4784" s="8" t="str">
        <f aca="false">TEXT(ROW(), "0000")</f>
        <v>4784</v>
      </c>
      <c r="L4784" s="8"/>
    </row>
    <row r="4785" customFormat="false" ht="15.75" hidden="false" customHeight="true" outlineLevel="0" collapsed="false">
      <c r="A4785" s="7" t="n">
        <v>45974</v>
      </c>
      <c r="B4785" s="8" t="s">
        <v>60</v>
      </c>
      <c r="C4785" s="9" t="n">
        <v>210</v>
      </c>
      <c r="D4785" s="8" t="s">
        <v>21</v>
      </c>
      <c r="E4785" s="10" t="s">
        <v>676</v>
      </c>
      <c r="F4785" s="8" t="str">
        <f aca="false">TEXT(A4785,"MM-YYYY")</f>
        <v>11-2025</v>
      </c>
      <c r="G4785" s="8" t="s">
        <v>14</v>
      </c>
      <c r="H4785" s="8" t="s">
        <v>232</v>
      </c>
      <c r="I4785" s="7"/>
      <c r="J4785" s="8" t="str">
        <f aca="false">VLOOKUP(B4785, Table3[#All], 2, FALSE())</f>
        <v>Inventory</v>
      </c>
      <c r="K4785" s="8" t="str">
        <f aca="false">TEXT(ROW(), "0000")</f>
        <v>4785</v>
      </c>
      <c r="L4785" s="8"/>
    </row>
    <row r="4786" customFormat="false" ht="15.75" hidden="false" customHeight="true" outlineLevel="0" collapsed="false">
      <c r="A4786" s="7" t="n">
        <v>45974</v>
      </c>
      <c r="B4786" s="8" t="s">
        <v>31</v>
      </c>
      <c r="C4786" s="9" t="n">
        <v>2300</v>
      </c>
      <c r="D4786" s="8" t="s">
        <v>21</v>
      </c>
      <c r="E4786" s="10" t="s">
        <v>677</v>
      </c>
      <c r="F4786" s="8" t="str">
        <f aca="false">TEXT(A4786,"MM-YYYY")</f>
        <v>11-2025</v>
      </c>
      <c r="G4786" s="8" t="s">
        <v>14</v>
      </c>
      <c r="H4786" s="8" t="s">
        <v>232</v>
      </c>
      <c r="I4786" s="7"/>
      <c r="J4786" s="8" t="str">
        <f aca="false">VLOOKUP(B4786, Table3[#All], 2, FALSE())</f>
        <v>Bike Maintance</v>
      </c>
      <c r="K4786" s="8" t="str">
        <f aca="false">TEXT(ROW(), "0000")</f>
        <v>4786</v>
      </c>
      <c r="L4786" s="8"/>
    </row>
    <row r="4787" customFormat="false" ht="15.75" hidden="false" customHeight="true" outlineLevel="0" collapsed="false">
      <c r="A4787" s="7" t="n">
        <v>45975</v>
      </c>
      <c r="B4787" s="8" t="s">
        <v>25</v>
      </c>
      <c r="C4787" s="9" t="n">
        <v>1070</v>
      </c>
      <c r="D4787" s="8" t="s">
        <v>13</v>
      </c>
      <c r="E4787" s="10" t="s">
        <v>92</v>
      </c>
      <c r="F4787" s="8" t="str">
        <f aca="false">TEXT(A4787,"MM-YYYY")</f>
        <v>11-2025</v>
      </c>
      <c r="G4787" s="8" t="s">
        <v>18</v>
      </c>
      <c r="H4787" s="8"/>
      <c r="I4787" s="7"/>
      <c r="J4787" s="8" t="str">
        <f aca="false">VLOOKUP(B4787, Table3[#All], 2, FALSE())</f>
        <v>Inventory</v>
      </c>
      <c r="K4787" s="8" t="str">
        <f aca="false">TEXT(ROW(), "0000")</f>
        <v>4787</v>
      </c>
      <c r="L4787" s="8"/>
    </row>
    <row r="4788" customFormat="false" ht="15.75" hidden="false" customHeight="true" outlineLevel="0" collapsed="false">
      <c r="A4788" s="7" t="n">
        <v>45975</v>
      </c>
      <c r="B4788" s="8" t="s">
        <v>37</v>
      </c>
      <c r="C4788" s="9" t="n">
        <v>20</v>
      </c>
      <c r="D4788" s="8" t="s">
        <v>21</v>
      </c>
      <c r="E4788" s="10" t="s">
        <v>672</v>
      </c>
      <c r="F4788" s="8" t="str">
        <f aca="false">TEXT(A4788,"MM-YYYY")</f>
        <v>11-2025</v>
      </c>
      <c r="G4788" s="8" t="s">
        <v>14</v>
      </c>
      <c r="H4788" s="8"/>
      <c r="I4788" s="7"/>
      <c r="J4788" s="8" t="str">
        <f aca="false">VLOOKUP(B4788, Table3[#All], 2, FALSE())</f>
        <v>Maintance</v>
      </c>
      <c r="K4788" s="8" t="str">
        <f aca="false">TEXT(ROW(), "0000")</f>
        <v>4788</v>
      </c>
      <c r="L4788" s="8"/>
    </row>
    <row r="4789" customFormat="false" ht="15.75" hidden="false" customHeight="true" outlineLevel="0" collapsed="false">
      <c r="A4789" s="7" t="n">
        <v>45975</v>
      </c>
      <c r="B4789" s="8" t="s">
        <v>19</v>
      </c>
      <c r="C4789" s="9" t="n">
        <v>3891</v>
      </c>
      <c r="D4789" s="8" t="s">
        <v>13</v>
      </c>
      <c r="E4789" s="10" t="s">
        <v>417</v>
      </c>
      <c r="F4789" s="8" t="str">
        <f aca="false">TEXT(A4789,"MM-YYYY")</f>
        <v>11-2025</v>
      </c>
      <c r="G4789" s="8" t="s">
        <v>18</v>
      </c>
      <c r="H4789" s="8"/>
      <c r="I4789" s="7"/>
      <c r="J4789" s="8" t="str">
        <f aca="false">VLOOKUP(B4789, Table3[#All], 2, FALSE())</f>
        <v>Inventory</v>
      </c>
      <c r="K4789" s="8" t="str">
        <f aca="false">TEXT(ROW(), "0000")</f>
        <v>4789</v>
      </c>
      <c r="L4789" s="8"/>
    </row>
    <row r="4790" customFormat="false" ht="15.75" hidden="false" customHeight="true" outlineLevel="0" collapsed="false">
      <c r="A4790" s="7" t="n">
        <v>45975</v>
      </c>
      <c r="B4790" s="8" t="s">
        <v>29</v>
      </c>
      <c r="C4790" s="9" t="n">
        <v>20</v>
      </c>
      <c r="D4790" s="8" t="s">
        <v>21</v>
      </c>
      <c r="E4790" s="10" t="s">
        <v>678</v>
      </c>
      <c r="F4790" s="8" t="str">
        <f aca="false">TEXT(A4790,"MM-YYYY")</f>
        <v>11-2025</v>
      </c>
      <c r="G4790" s="8"/>
      <c r="H4790" s="8"/>
      <c r="I4790" s="7"/>
      <c r="J4790" s="8" t="str">
        <f aca="false">VLOOKUP(B4790, Table3[#All], 2, FALSE())</f>
        <v>Inventory</v>
      </c>
      <c r="K4790" s="8" t="str">
        <f aca="false">TEXT(ROW(), "0000")</f>
        <v>4790</v>
      </c>
      <c r="L4790" s="8"/>
    </row>
    <row r="4791" customFormat="false" ht="15.75" hidden="false" customHeight="true" outlineLevel="0" collapsed="false">
      <c r="A4791" s="7" t="n">
        <v>45975</v>
      </c>
      <c r="B4791" s="8" t="s">
        <v>25</v>
      </c>
      <c r="C4791" s="9" t="n">
        <v>765</v>
      </c>
      <c r="D4791" s="8" t="s">
        <v>13</v>
      </c>
      <c r="E4791" s="10" t="s">
        <v>659</v>
      </c>
      <c r="F4791" s="8" t="str">
        <f aca="false">TEXT(A4791,"MM-YYYY")</f>
        <v>11-2025</v>
      </c>
      <c r="G4791" s="8" t="s">
        <v>14</v>
      </c>
      <c r="H4791" s="8" t="s">
        <v>232</v>
      </c>
      <c r="I4791" s="7"/>
      <c r="J4791" s="8" t="str">
        <f aca="false">VLOOKUP(B4791, Table3[#All], 2, FALSE())</f>
        <v>Inventory</v>
      </c>
      <c r="K4791" s="8" t="str">
        <f aca="false">TEXT(ROW(), "0000")</f>
        <v>4791</v>
      </c>
      <c r="L4791" s="8"/>
    </row>
    <row r="4792" customFormat="false" ht="15.75" hidden="false" customHeight="true" outlineLevel="0" collapsed="false">
      <c r="A4792" s="7" t="n">
        <v>45975</v>
      </c>
      <c r="B4792" s="8" t="s">
        <v>43</v>
      </c>
      <c r="C4792" s="9" t="n">
        <v>600</v>
      </c>
      <c r="D4792" s="8" t="s">
        <v>13</v>
      </c>
      <c r="E4792" s="10" t="s">
        <v>679</v>
      </c>
      <c r="F4792" s="8" t="str">
        <f aca="false">TEXT(A4792,"MM-YYYY")</f>
        <v>11-2025</v>
      </c>
      <c r="G4792" s="8" t="s">
        <v>14</v>
      </c>
      <c r="H4792" s="8" t="s">
        <v>232</v>
      </c>
      <c r="I4792" s="7"/>
      <c r="J4792" s="8" t="str">
        <f aca="false">VLOOKUP(B4792, Table3[#All], 2, FALSE())</f>
        <v>Maintance</v>
      </c>
      <c r="K4792" s="8" t="str">
        <f aca="false">TEXT(ROW(), "0000")</f>
        <v>4792</v>
      </c>
      <c r="L4792" s="8"/>
    </row>
    <row r="4793" customFormat="false" ht="15.75" hidden="false" customHeight="true" outlineLevel="0" collapsed="false">
      <c r="A4793" s="7" t="n">
        <v>45975</v>
      </c>
      <c r="B4793" s="8" t="s">
        <v>28</v>
      </c>
      <c r="C4793" s="9" t="n">
        <v>400</v>
      </c>
      <c r="D4793" s="8" t="s">
        <v>13</v>
      </c>
      <c r="E4793" s="10" t="s">
        <v>93</v>
      </c>
      <c r="F4793" s="8" t="str">
        <f aca="false">TEXT(A4793,"MM-YYYY")</f>
        <v>11-2025</v>
      </c>
      <c r="G4793" s="8" t="s">
        <v>14</v>
      </c>
      <c r="H4793" s="8" t="s">
        <v>232</v>
      </c>
      <c r="I4793" s="7"/>
      <c r="J4793" s="8" t="str">
        <f aca="false">VLOOKUP(B4793, Table3[#All], 2, FALSE())</f>
        <v>Grocery</v>
      </c>
      <c r="K4793" s="8" t="str">
        <f aca="false">TEXT(ROW(), "0000")</f>
        <v>4793</v>
      </c>
      <c r="L4793" s="8"/>
    </row>
    <row r="4794" customFormat="false" ht="15.75" hidden="false" customHeight="true" outlineLevel="0" collapsed="false">
      <c r="A4794" s="7" t="n">
        <v>45975</v>
      </c>
      <c r="B4794" s="8" t="s">
        <v>43</v>
      </c>
      <c r="C4794" s="9" t="n">
        <v>180</v>
      </c>
      <c r="D4794" s="8" t="s">
        <v>45</v>
      </c>
      <c r="E4794" s="10" t="s">
        <v>522</v>
      </c>
      <c r="F4794" s="8" t="str">
        <f aca="false">TEXT(A4794,"MM-YYYY")</f>
        <v>11-2025</v>
      </c>
      <c r="G4794" s="8" t="s">
        <v>14</v>
      </c>
      <c r="H4794" s="8" t="s">
        <v>232</v>
      </c>
      <c r="I4794" s="7"/>
      <c r="J4794" s="8" t="str">
        <f aca="false">VLOOKUP(B4794, Table3[#All], 2, FALSE())</f>
        <v>Maintance</v>
      </c>
      <c r="K4794" s="8" t="str">
        <f aca="false">TEXT(ROW(), "0000")</f>
        <v>4794</v>
      </c>
      <c r="L4794" s="8"/>
    </row>
    <row r="4795" customFormat="false" ht="15.75" hidden="false" customHeight="true" outlineLevel="0" collapsed="false">
      <c r="A4795" s="7" t="n">
        <v>45975</v>
      </c>
      <c r="B4795" s="8" t="s">
        <v>29</v>
      </c>
      <c r="C4795" s="9" t="n">
        <v>486</v>
      </c>
      <c r="D4795" s="8" t="s">
        <v>13</v>
      </c>
      <c r="E4795" s="10" t="s">
        <v>490</v>
      </c>
      <c r="F4795" s="8" t="str">
        <f aca="false">TEXT(A4795,"MM-YYYY")</f>
        <v>11-2025</v>
      </c>
      <c r="G4795" s="8" t="s">
        <v>18</v>
      </c>
      <c r="H4795" s="8"/>
      <c r="I4795" s="7"/>
      <c r="J4795" s="8" t="str">
        <f aca="false">VLOOKUP(B4795, Table3[#All], 2, FALSE())</f>
        <v>Inventory</v>
      </c>
      <c r="K4795" s="8" t="str">
        <f aca="false">TEXT(ROW(), "0000")</f>
        <v>4795</v>
      </c>
      <c r="L4795" s="8"/>
    </row>
    <row r="4796" customFormat="false" ht="15.75" hidden="false" customHeight="true" outlineLevel="0" collapsed="false">
      <c r="A4796" s="7" t="n">
        <v>45975</v>
      </c>
      <c r="B4796" s="8" t="s">
        <v>16</v>
      </c>
      <c r="C4796" s="9" t="n">
        <v>2765</v>
      </c>
      <c r="D4796" s="8" t="s">
        <v>21</v>
      </c>
      <c r="E4796" s="10" t="s">
        <v>88</v>
      </c>
      <c r="F4796" s="8" t="s">
        <v>680</v>
      </c>
      <c r="G4796" s="8"/>
      <c r="H4796" s="8"/>
      <c r="I4796" s="7"/>
      <c r="J4796" s="8" t="str">
        <f aca="false">VLOOKUP(B4796, Table3[#All], 2, FALSE())</f>
        <v>Sales</v>
      </c>
      <c r="K4796" s="8" t="str">
        <f aca="false">TEXT(ROW(), "0000")</f>
        <v>4796</v>
      </c>
      <c r="L4796" s="8"/>
    </row>
    <row r="4797" customFormat="false" ht="15.75" hidden="false" customHeight="true" outlineLevel="0" collapsed="false">
      <c r="A4797" s="7" t="n">
        <v>45975</v>
      </c>
      <c r="B4797" s="8" t="s">
        <v>16</v>
      </c>
      <c r="C4797" s="9" t="n">
        <v>12010</v>
      </c>
      <c r="D4797" s="8" t="s">
        <v>27</v>
      </c>
      <c r="E4797" s="10" t="s">
        <v>88</v>
      </c>
      <c r="F4797" s="8" t="str">
        <f aca="false">TEXT(A4797,"MM-YYYY")</f>
        <v>11-2025</v>
      </c>
      <c r="G4797" s="8"/>
      <c r="H4797" s="8"/>
      <c r="I4797" s="7"/>
      <c r="J4797" s="8" t="str">
        <f aca="false">VLOOKUP(B4797, Table3[#All], 2, FALSE())</f>
        <v>Sales</v>
      </c>
      <c r="K4797" s="8" t="str">
        <f aca="false">TEXT(ROW(), "0000")</f>
        <v>4797</v>
      </c>
      <c r="L4797" s="8"/>
    </row>
    <row r="4798" customFormat="false" ht="15.75" hidden="false" customHeight="true" outlineLevel="0" collapsed="false">
      <c r="A4798" s="7" t="n">
        <v>45975</v>
      </c>
      <c r="B4798" s="8" t="s">
        <v>16</v>
      </c>
      <c r="C4798" s="9" t="n">
        <v>1675</v>
      </c>
      <c r="D4798" s="8" t="s">
        <v>33</v>
      </c>
      <c r="E4798" s="10" t="s">
        <v>88</v>
      </c>
      <c r="F4798" s="8" t="str">
        <f aca="false">TEXT(A4798,"MM-YYYY")</f>
        <v>11-2025</v>
      </c>
      <c r="G4798" s="8"/>
      <c r="H4798" s="8"/>
      <c r="I4798" s="7"/>
      <c r="J4798" s="8" t="str">
        <f aca="false">VLOOKUP(B4798, Table3[#All], 2, FALSE())</f>
        <v>Sales</v>
      </c>
      <c r="K4798" s="8" t="str">
        <f aca="false">TEXT(ROW(), "0000")</f>
        <v>4798</v>
      </c>
      <c r="L4798" s="8"/>
    </row>
    <row r="4799" customFormat="false" ht="15.75" hidden="false" customHeight="true" outlineLevel="0" collapsed="false">
      <c r="A4799" s="7" t="n">
        <v>45975</v>
      </c>
      <c r="B4799" s="8" t="s">
        <v>16</v>
      </c>
      <c r="C4799" s="9" t="n">
        <v>14868</v>
      </c>
      <c r="D4799" s="8" t="s">
        <v>17</v>
      </c>
      <c r="E4799" s="10" t="s">
        <v>88</v>
      </c>
      <c r="F4799" s="8" t="str">
        <f aca="false">TEXT(A4799,"MM-YYYY")</f>
        <v>11-2025</v>
      </c>
      <c r="G4799" s="8"/>
      <c r="H4799" s="8"/>
      <c r="I4799" s="7"/>
      <c r="J4799" s="8" t="str">
        <f aca="false">VLOOKUP(B4799, Table3[#All], 2, FALSE())</f>
        <v>Sales</v>
      </c>
      <c r="K4799" s="8" t="str">
        <f aca="false">TEXT(ROW(), "0000")</f>
        <v>4799</v>
      </c>
      <c r="L4799" s="8"/>
    </row>
    <row r="4800" customFormat="false" ht="15.75" hidden="false" customHeight="true" outlineLevel="0" collapsed="false">
      <c r="A4800" s="7" t="n">
        <v>45975</v>
      </c>
      <c r="B4800" s="8" t="s">
        <v>16</v>
      </c>
      <c r="C4800" s="9" t="n">
        <v>2173</v>
      </c>
      <c r="D4800" s="8" t="s">
        <v>24</v>
      </c>
      <c r="E4800" s="10" t="s">
        <v>88</v>
      </c>
      <c r="F4800" s="8" t="str">
        <f aca="false">TEXT(A4800,"MM-YYYY")</f>
        <v>11-2025</v>
      </c>
      <c r="G4800" s="8"/>
      <c r="H4800" s="8"/>
      <c r="I4800" s="7"/>
      <c r="J4800" s="8" t="str">
        <f aca="false">VLOOKUP(B4800, Table3[#All], 2, FALSE())</f>
        <v>Sales</v>
      </c>
      <c r="K4800" s="8" t="str">
        <f aca="false">TEXT(ROW(), "0000")</f>
        <v>4800</v>
      </c>
      <c r="L4800" s="8"/>
    </row>
    <row r="4801" customFormat="false" ht="15.75" hidden="false" customHeight="true" outlineLevel="0" collapsed="false">
      <c r="A4801" s="7" t="n">
        <v>45975</v>
      </c>
      <c r="B4801" s="8" t="s">
        <v>37</v>
      </c>
      <c r="C4801" s="9" t="n">
        <v>5</v>
      </c>
      <c r="D4801" s="8" t="s">
        <v>21</v>
      </c>
      <c r="E4801" s="10" t="s">
        <v>672</v>
      </c>
      <c r="F4801" s="8" t="str">
        <f aca="false">TEXT(A4801,"MM-YYYY")</f>
        <v>11-2025</v>
      </c>
      <c r="G4801" s="8"/>
      <c r="H4801" s="8"/>
      <c r="I4801" s="7"/>
      <c r="J4801" s="8" t="str">
        <f aca="false">VLOOKUP(B4801, Table3[#All], 2, FALSE())</f>
        <v>Maintance</v>
      </c>
      <c r="K4801" s="8" t="str">
        <f aca="false">TEXT(ROW(), "0000")</f>
        <v>4801</v>
      </c>
      <c r="L4801" s="8"/>
    </row>
    <row r="4802" customFormat="false" ht="15.75" hidden="false" customHeight="true" outlineLevel="0" collapsed="false">
      <c r="A4802" s="7" t="n">
        <v>45975</v>
      </c>
      <c r="B4802" s="8" t="s">
        <v>51</v>
      </c>
      <c r="C4802" s="9" t="n">
        <v>700</v>
      </c>
      <c r="D4802" s="8" t="s">
        <v>45</v>
      </c>
      <c r="E4802" s="10" t="s">
        <v>681</v>
      </c>
      <c r="F4802" s="8" t="str">
        <f aca="false">TEXT(A4802,"MM-YYYY")</f>
        <v>11-2025</v>
      </c>
      <c r="G4802" s="8" t="s">
        <v>14</v>
      </c>
      <c r="H4802" s="8" t="s">
        <v>232</v>
      </c>
      <c r="I4802" s="7"/>
      <c r="J4802" s="8" t="str">
        <f aca="false">VLOOKUP(B4802, Table3[#All], 2, FALSE())</f>
        <v>Inventory</v>
      </c>
      <c r="K4802" s="8" t="str">
        <f aca="false">TEXT(ROW(), "0000")</f>
        <v>4802</v>
      </c>
      <c r="L4802" s="8"/>
    </row>
    <row r="4803" customFormat="false" ht="15.75" hidden="false" customHeight="true" outlineLevel="0" collapsed="false">
      <c r="A4803" s="7" t="n">
        <v>45975</v>
      </c>
      <c r="B4803" s="8" t="s">
        <v>34</v>
      </c>
      <c r="C4803" s="9" t="n">
        <v>80</v>
      </c>
      <c r="D4803" s="8" t="s">
        <v>45</v>
      </c>
      <c r="E4803" s="10" t="s">
        <v>644</v>
      </c>
      <c r="F4803" s="8" t="str">
        <f aca="false">TEXT(A4803,"MM-YYYY")</f>
        <v>11-2025</v>
      </c>
      <c r="G4803" s="8" t="s">
        <v>14</v>
      </c>
      <c r="H4803" s="8"/>
      <c r="I4803" s="7"/>
      <c r="J4803" s="8" t="str">
        <f aca="false">VLOOKUP(B4803, Table3[#All], 2, FALSE())</f>
        <v>Staff Expenses</v>
      </c>
      <c r="K4803" s="8" t="str">
        <f aca="false">TEXT(ROW(), "0000")</f>
        <v>4803</v>
      </c>
      <c r="L4803" s="8"/>
    </row>
    <row r="4804" customFormat="false" ht="15.75" hidden="false" customHeight="true" outlineLevel="0" collapsed="false">
      <c r="A4804" s="7" t="n">
        <v>45975</v>
      </c>
      <c r="B4804" s="8" t="s">
        <v>154</v>
      </c>
      <c r="C4804" s="9" t="n">
        <v>80</v>
      </c>
      <c r="D4804" s="8" t="s">
        <v>45</v>
      </c>
      <c r="E4804" s="10" t="s">
        <v>682</v>
      </c>
      <c r="F4804" s="8" t="str">
        <f aca="false">TEXT(A4804,"MM-YYYY")</f>
        <v>11-2025</v>
      </c>
      <c r="G4804" s="8" t="s">
        <v>14</v>
      </c>
      <c r="H4804" s="8"/>
      <c r="I4804" s="7"/>
      <c r="J4804" s="8" t="str">
        <f aca="false">VLOOKUP(B4804, Table3[#All], 2, FALSE())</f>
        <v>Staff Expenses</v>
      </c>
      <c r="K4804" s="8" t="str">
        <f aca="false">TEXT(ROW(), "0000")</f>
        <v>4804</v>
      </c>
      <c r="L4804" s="8"/>
    </row>
    <row r="4805" customFormat="false" ht="15.75" hidden="false" customHeight="true" outlineLevel="0" collapsed="false">
      <c r="A4805" s="7" t="n">
        <v>45976</v>
      </c>
      <c r="B4805" s="8" t="s">
        <v>19</v>
      </c>
      <c r="C4805" s="9" t="n">
        <v>3750</v>
      </c>
      <c r="D4805" s="8" t="s">
        <v>13</v>
      </c>
      <c r="E4805" s="10" t="s">
        <v>417</v>
      </c>
      <c r="F4805" s="8" t="str">
        <f aca="false">TEXT(A4805,"MM-YYYY")</f>
        <v>11-2025</v>
      </c>
      <c r="G4805" s="8" t="s">
        <v>18</v>
      </c>
      <c r="H4805" s="8" t="s">
        <v>232</v>
      </c>
      <c r="I4805" s="7"/>
      <c r="J4805" s="8" t="str">
        <f aca="false">VLOOKUP(B4805, Table3[#All], 2, FALSE())</f>
        <v>Inventory</v>
      </c>
      <c r="K4805" s="8" t="str">
        <f aca="false">TEXT(ROW(), "0000")</f>
        <v>4805</v>
      </c>
      <c r="L4805" s="8"/>
    </row>
    <row r="4806" customFormat="false" ht="15.75" hidden="false" customHeight="true" outlineLevel="0" collapsed="false">
      <c r="A4806" s="7" t="n">
        <v>45976</v>
      </c>
      <c r="B4806" s="8" t="s">
        <v>25</v>
      </c>
      <c r="C4806" s="9" t="n">
        <v>1475</v>
      </c>
      <c r="D4806" s="8" t="s">
        <v>13</v>
      </c>
      <c r="E4806" s="10" t="s">
        <v>92</v>
      </c>
      <c r="F4806" s="8" t="str">
        <f aca="false">TEXT(A4806,"MM-YYYY")</f>
        <v>11-2025</v>
      </c>
      <c r="G4806" s="8" t="s">
        <v>18</v>
      </c>
      <c r="H4806" s="8"/>
      <c r="I4806" s="7"/>
      <c r="J4806" s="8" t="str">
        <f aca="false">VLOOKUP(B4806, Table3[#All], 2, FALSE())</f>
        <v>Inventory</v>
      </c>
      <c r="K4806" s="8" t="str">
        <f aca="false">TEXT(ROW(), "0000")</f>
        <v>4806</v>
      </c>
      <c r="L4806" s="8"/>
    </row>
    <row r="4807" customFormat="false" ht="15.75" hidden="false" customHeight="true" outlineLevel="0" collapsed="false">
      <c r="A4807" s="7" t="n">
        <v>45976</v>
      </c>
      <c r="B4807" s="8" t="s">
        <v>28</v>
      </c>
      <c r="C4807" s="9" t="n">
        <v>387</v>
      </c>
      <c r="D4807" s="8" t="s">
        <v>21</v>
      </c>
      <c r="E4807" s="10" t="s">
        <v>683</v>
      </c>
      <c r="F4807" s="8" t="str">
        <f aca="false">TEXT(A4807,"MM-YYYY")</f>
        <v>11-2025</v>
      </c>
      <c r="G4807" s="8" t="s">
        <v>14</v>
      </c>
      <c r="H4807" s="8" t="s">
        <v>232</v>
      </c>
      <c r="I4807" s="7" t="n">
        <v>45976</v>
      </c>
      <c r="J4807" s="8" t="str">
        <f aca="false">VLOOKUP(B4807, Table3[#All], 2, FALSE())</f>
        <v>Grocery</v>
      </c>
      <c r="K4807" s="8" t="str">
        <f aca="false">TEXT(ROW(), "0000")</f>
        <v>4807</v>
      </c>
      <c r="L4807" s="8"/>
    </row>
    <row r="4808" customFormat="false" ht="15.75" hidden="false" customHeight="true" outlineLevel="0" collapsed="false">
      <c r="A4808" s="7" t="n">
        <v>45976</v>
      </c>
      <c r="B4808" s="8" t="s">
        <v>32</v>
      </c>
      <c r="C4808" s="9" t="n">
        <v>1155</v>
      </c>
      <c r="D4808" s="8" t="s">
        <v>21</v>
      </c>
      <c r="E4808" s="10" t="s">
        <v>450</v>
      </c>
      <c r="F4808" s="8" t="str">
        <f aca="false">TEXT(A4808,"MM-YYYY")</f>
        <v>11-2025</v>
      </c>
      <c r="G4808" s="8" t="s">
        <v>14</v>
      </c>
      <c r="H4808" s="8" t="s">
        <v>232</v>
      </c>
      <c r="I4808" s="7" t="n">
        <v>45976</v>
      </c>
      <c r="J4808" s="8" t="str">
        <f aca="false">VLOOKUP(B4808, Table3[#All], 2, FALSE())</f>
        <v>Grocery</v>
      </c>
      <c r="K4808" s="8" t="str">
        <f aca="false">TEXT(ROW(), "0000")</f>
        <v>4808</v>
      </c>
      <c r="L4808" s="8"/>
    </row>
    <row r="4809" customFormat="false" ht="15.75" hidden="false" customHeight="true" outlineLevel="0" collapsed="false">
      <c r="A4809" s="7" t="n">
        <v>45976</v>
      </c>
      <c r="B4809" s="8" t="s">
        <v>29</v>
      </c>
      <c r="C4809" s="9" t="n">
        <v>814</v>
      </c>
      <c r="D4809" s="8" t="s">
        <v>13</v>
      </c>
      <c r="E4809" s="10" t="s">
        <v>490</v>
      </c>
      <c r="F4809" s="8" t="str">
        <f aca="false">TEXT(A4809,"MM-YYYY")</f>
        <v>11-2025</v>
      </c>
      <c r="G4809" s="8" t="s">
        <v>18</v>
      </c>
      <c r="H4809" s="8"/>
      <c r="I4809" s="7"/>
      <c r="J4809" s="8" t="str">
        <f aca="false">VLOOKUP(B4809, Table3[#All], 2, FALSE())</f>
        <v>Inventory</v>
      </c>
      <c r="K4809" s="8" t="str">
        <f aca="false">TEXT(ROW(), "0000")</f>
        <v>4809</v>
      </c>
      <c r="L4809" s="8"/>
    </row>
    <row r="4810" customFormat="false" ht="15.75" hidden="false" customHeight="true" outlineLevel="0" collapsed="false">
      <c r="A4810" s="7" t="n">
        <v>45976</v>
      </c>
      <c r="B4810" s="8" t="s">
        <v>37</v>
      </c>
      <c r="C4810" s="9" t="n">
        <v>20</v>
      </c>
      <c r="D4810" s="8" t="s">
        <v>21</v>
      </c>
      <c r="E4810" s="10" t="s">
        <v>662</v>
      </c>
      <c r="F4810" s="8" t="str">
        <f aca="false">TEXT(A4810,"MM-YYYY")</f>
        <v>11-2025</v>
      </c>
      <c r="G4810" s="8" t="s">
        <v>14</v>
      </c>
      <c r="H4810" s="8"/>
      <c r="I4810" s="7"/>
      <c r="J4810" s="8" t="str">
        <f aca="false">VLOOKUP(B4810, Table3[#All], 2, FALSE())</f>
        <v>Maintance</v>
      </c>
      <c r="K4810" s="8" t="str">
        <f aca="false">TEXT(ROW(), "0000")</f>
        <v>4810</v>
      </c>
      <c r="L4810" s="8"/>
    </row>
    <row r="4811" customFormat="false" ht="15.75" hidden="false" customHeight="true" outlineLevel="0" collapsed="false">
      <c r="A4811" s="7" t="n">
        <v>45976</v>
      </c>
      <c r="B4811" s="8" t="s">
        <v>43</v>
      </c>
      <c r="C4811" s="9" t="n">
        <v>60</v>
      </c>
      <c r="D4811" s="8" t="s">
        <v>45</v>
      </c>
      <c r="E4811" s="10" t="s">
        <v>684</v>
      </c>
      <c r="F4811" s="8" t="str">
        <f aca="false">TEXT(A4811,"MM-YYYY")</f>
        <v>11-2025</v>
      </c>
      <c r="G4811" s="8" t="s">
        <v>14</v>
      </c>
      <c r="H4811" s="8" t="s">
        <v>232</v>
      </c>
      <c r="I4811" s="7"/>
      <c r="J4811" s="8" t="str">
        <f aca="false">VLOOKUP(B4811, Table3[#All], 2, FALSE())</f>
        <v>Maintance</v>
      </c>
      <c r="K4811" s="8" t="str">
        <f aca="false">TEXT(ROW(), "0000")</f>
        <v>4811</v>
      </c>
      <c r="L4811" s="8"/>
    </row>
    <row r="4812" customFormat="false" ht="15.75" hidden="false" customHeight="true" outlineLevel="0" collapsed="false">
      <c r="A4812" s="7" t="n">
        <v>45976</v>
      </c>
      <c r="B4812" s="8" t="s">
        <v>25</v>
      </c>
      <c r="C4812" s="9" t="n">
        <v>30</v>
      </c>
      <c r="D4812" s="8" t="s">
        <v>45</v>
      </c>
      <c r="E4812" s="10" t="s">
        <v>42</v>
      </c>
      <c r="F4812" s="8" t="str">
        <f aca="false">TEXT(A4812,"MM-YYYY")</f>
        <v>11-2025</v>
      </c>
      <c r="G4812" s="8" t="s">
        <v>14</v>
      </c>
      <c r="H4812" s="8" t="s">
        <v>232</v>
      </c>
      <c r="I4812" s="7"/>
      <c r="J4812" s="8" t="str">
        <f aca="false">VLOOKUP(B4812, Table3[#All], 2, FALSE())</f>
        <v>Inventory</v>
      </c>
      <c r="K4812" s="8" t="str">
        <f aca="false">TEXT(ROW(), "0000")</f>
        <v>4812</v>
      </c>
      <c r="L4812" s="8"/>
    </row>
    <row r="4813" customFormat="false" ht="15.75" hidden="false" customHeight="true" outlineLevel="0" collapsed="false">
      <c r="A4813" s="7" t="n">
        <v>45976</v>
      </c>
      <c r="B4813" s="8" t="s">
        <v>16</v>
      </c>
      <c r="C4813" s="9" t="n">
        <v>3214</v>
      </c>
      <c r="D4813" s="8" t="s">
        <v>21</v>
      </c>
      <c r="E4813" s="10" t="s">
        <v>88</v>
      </c>
      <c r="F4813" s="8" t="str">
        <f aca="false">TEXT(A4813,"MM-YYYY")</f>
        <v>11-2025</v>
      </c>
      <c r="G4813" s="8"/>
      <c r="H4813" s="8"/>
      <c r="I4813" s="7"/>
      <c r="J4813" s="8" t="str">
        <f aca="false">VLOOKUP(B4813, Table3[#All], 2, FALSE())</f>
        <v>Sales</v>
      </c>
      <c r="K4813" s="8" t="str">
        <f aca="false">TEXT(ROW(), "0000")</f>
        <v>4813</v>
      </c>
      <c r="L4813" s="8"/>
    </row>
    <row r="4814" customFormat="false" ht="15.75" hidden="false" customHeight="true" outlineLevel="0" collapsed="false">
      <c r="A4814" s="7" t="n">
        <v>45976</v>
      </c>
      <c r="B4814" s="8" t="s">
        <v>16</v>
      </c>
      <c r="C4814" s="9" t="n">
        <v>2725</v>
      </c>
      <c r="D4814" s="8" t="s">
        <v>27</v>
      </c>
      <c r="E4814" s="10" t="s">
        <v>88</v>
      </c>
      <c r="F4814" s="8" t="str">
        <f aca="false">TEXT(A4814,"MM-YYYY")</f>
        <v>11-2025</v>
      </c>
      <c r="G4814" s="8"/>
      <c r="H4814" s="8"/>
      <c r="I4814" s="7"/>
      <c r="J4814" s="8" t="str">
        <f aca="false">VLOOKUP(B4814, Table3[#All], 2, FALSE())</f>
        <v>Sales</v>
      </c>
      <c r="K4814" s="8" t="str">
        <f aca="false">TEXT(ROW(), "0000")</f>
        <v>4814</v>
      </c>
      <c r="L4814" s="8"/>
    </row>
    <row r="4815" customFormat="false" ht="15.75" hidden="false" customHeight="true" outlineLevel="0" collapsed="false">
      <c r="A4815" s="7" t="n">
        <v>45976</v>
      </c>
      <c r="B4815" s="8" t="s">
        <v>16</v>
      </c>
      <c r="C4815" s="9" t="n">
        <v>25966</v>
      </c>
      <c r="D4815" s="8" t="s">
        <v>17</v>
      </c>
      <c r="E4815" s="10" t="s">
        <v>88</v>
      </c>
      <c r="F4815" s="8" t="str">
        <f aca="false">TEXT(A4815,"MM-YYYY")</f>
        <v>11-2025</v>
      </c>
      <c r="G4815" s="8"/>
      <c r="H4815" s="8"/>
      <c r="I4815" s="7"/>
      <c r="J4815" s="8" t="str">
        <f aca="false">VLOOKUP(B4815, Table3[#All], 2, FALSE())</f>
        <v>Sales</v>
      </c>
      <c r="K4815" s="8" t="str">
        <f aca="false">TEXT(ROW(), "0000")</f>
        <v>4815</v>
      </c>
      <c r="L4815" s="8"/>
    </row>
    <row r="4816" customFormat="false" ht="15.75" hidden="false" customHeight="true" outlineLevel="0" collapsed="false">
      <c r="A4816" s="7" t="n">
        <v>45976</v>
      </c>
      <c r="B4816" s="8" t="s">
        <v>16</v>
      </c>
      <c r="C4816" s="9" t="n">
        <v>1800</v>
      </c>
      <c r="D4816" s="8" t="s">
        <v>33</v>
      </c>
      <c r="E4816" s="10" t="s">
        <v>88</v>
      </c>
      <c r="F4816" s="8" t="str">
        <f aca="false">TEXT(A4816,"MM-YYYY")</f>
        <v>11-2025</v>
      </c>
      <c r="G4816" s="8"/>
      <c r="H4816" s="8"/>
      <c r="I4816" s="7"/>
      <c r="J4816" s="8" t="str">
        <f aca="false">VLOOKUP(B4816, Table3[#All], 2, FALSE())</f>
        <v>Sales</v>
      </c>
      <c r="K4816" s="8" t="str">
        <f aca="false">TEXT(ROW(), "0000")</f>
        <v>4816</v>
      </c>
      <c r="L4816" s="8"/>
    </row>
    <row r="4817" customFormat="false" ht="15.75" hidden="false" customHeight="true" outlineLevel="0" collapsed="false">
      <c r="A4817" s="7" t="n">
        <v>45976</v>
      </c>
      <c r="B4817" s="8" t="s">
        <v>16</v>
      </c>
      <c r="C4817" s="9" t="n">
        <v>442</v>
      </c>
      <c r="D4817" s="8" t="s">
        <v>59</v>
      </c>
      <c r="E4817" s="10" t="s">
        <v>88</v>
      </c>
      <c r="F4817" s="8" t="str">
        <f aca="false">TEXT(A4817,"MM-YYYY")</f>
        <v>11-2025</v>
      </c>
      <c r="G4817" s="8"/>
      <c r="H4817" s="8"/>
      <c r="I4817" s="7"/>
      <c r="J4817" s="8" t="str">
        <f aca="false">VLOOKUP(B4817, Table3[#All], 2, FALSE())</f>
        <v>Sales</v>
      </c>
      <c r="K4817" s="8" t="str">
        <f aca="false">TEXT(ROW(), "0000")</f>
        <v>4817</v>
      </c>
      <c r="L4817" s="8"/>
    </row>
    <row r="4818" customFormat="false" ht="15.75" hidden="false" customHeight="true" outlineLevel="0" collapsed="false">
      <c r="A4818" s="7" t="n">
        <v>45976</v>
      </c>
      <c r="B4818" s="8" t="s">
        <v>16</v>
      </c>
      <c r="C4818" s="9" t="n">
        <v>1455</v>
      </c>
      <c r="D4818" s="8" t="s">
        <v>24</v>
      </c>
      <c r="E4818" s="10" t="s">
        <v>88</v>
      </c>
      <c r="F4818" s="8" t="str">
        <f aca="false">TEXT(A4818,"MM-YYYY")</f>
        <v>11-2025</v>
      </c>
      <c r="G4818" s="8" t="s">
        <v>14</v>
      </c>
      <c r="H4818" s="8" t="s">
        <v>15</v>
      </c>
      <c r="I4818" s="7"/>
      <c r="J4818" s="8" t="str">
        <f aca="false">VLOOKUP(B4818, Table3[#All], 2, FALSE())</f>
        <v>Sales</v>
      </c>
      <c r="K4818" s="8" t="str">
        <f aca="false">TEXT(ROW(), "0000")</f>
        <v>4818</v>
      </c>
      <c r="L4818" s="8"/>
    </row>
    <row r="4819" customFormat="false" ht="15.75" hidden="false" customHeight="true" outlineLevel="0" collapsed="false">
      <c r="A4819" s="7" t="n">
        <v>45977</v>
      </c>
      <c r="B4819" s="8" t="s">
        <v>53</v>
      </c>
      <c r="C4819" s="9" t="n">
        <v>540</v>
      </c>
      <c r="D4819" s="8" t="s">
        <v>21</v>
      </c>
      <c r="E4819" s="10" t="s">
        <v>634</v>
      </c>
      <c r="F4819" s="8" t="str">
        <f aca="false">TEXT(A4819,"MM-YYYY")</f>
        <v>11-2025</v>
      </c>
      <c r="G4819" s="8" t="s">
        <v>18</v>
      </c>
      <c r="H4819" s="8" t="s">
        <v>232</v>
      </c>
      <c r="I4819" s="7"/>
      <c r="J4819" s="8" t="str">
        <f aca="false">VLOOKUP(B4819, Table3[#All], 2, FALSE())</f>
        <v>Grocery</v>
      </c>
      <c r="K4819" s="8" t="str">
        <f aca="false">TEXT(ROW(), "0000")</f>
        <v>4819</v>
      </c>
      <c r="L4819" s="8"/>
    </row>
    <row r="4820" customFormat="false" ht="15.75" hidden="false" customHeight="true" outlineLevel="0" collapsed="false">
      <c r="A4820" s="7" t="n">
        <v>45977</v>
      </c>
      <c r="B4820" s="8" t="s">
        <v>19</v>
      </c>
      <c r="C4820" s="9" t="n">
        <v>4695</v>
      </c>
      <c r="D4820" s="8" t="s">
        <v>13</v>
      </c>
      <c r="E4820" s="10" t="s">
        <v>417</v>
      </c>
      <c r="F4820" s="8" t="str">
        <f aca="false">TEXT(A4820,"MM-YYYY")</f>
        <v>11-2025</v>
      </c>
      <c r="G4820" s="8" t="s">
        <v>18</v>
      </c>
      <c r="H4820" s="8"/>
      <c r="I4820" s="7"/>
      <c r="J4820" s="8" t="str">
        <f aca="false">VLOOKUP(B4820, Table3[#All], 2, FALSE())</f>
        <v>Inventory</v>
      </c>
      <c r="K4820" s="8" t="str">
        <f aca="false">TEXT(ROW(), "0000")</f>
        <v>4820</v>
      </c>
      <c r="L4820" s="8"/>
    </row>
    <row r="4821" customFormat="false" ht="15.75" hidden="false" customHeight="true" outlineLevel="0" collapsed="false">
      <c r="A4821" s="7" t="n">
        <v>45977</v>
      </c>
      <c r="B4821" s="8" t="s">
        <v>40</v>
      </c>
      <c r="C4821" s="9" t="n">
        <v>1600</v>
      </c>
      <c r="D4821" s="8" t="s">
        <v>45</v>
      </c>
      <c r="E4821" s="10" t="s">
        <v>503</v>
      </c>
      <c r="F4821" s="8" t="str">
        <f aca="false">TEXT(A4821,"MM-YYYY")</f>
        <v>11-2025</v>
      </c>
      <c r="G4821" s="8" t="s">
        <v>14</v>
      </c>
      <c r="H4821" s="8" t="s">
        <v>232</v>
      </c>
      <c r="I4821" s="7"/>
      <c r="J4821" s="8" t="str">
        <f aca="false">VLOOKUP(B4821, Table3[#All], 2, FALSE())</f>
        <v>Inventory</v>
      </c>
      <c r="K4821" s="8" t="str">
        <f aca="false">TEXT(ROW(), "0000")</f>
        <v>4821</v>
      </c>
      <c r="L4821" s="8"/>
    </row>
    <row r="4822" customFormat="false" ht="15.75" hidden="false" customHeight="true" outlineLevel="0" collapsed="false">
      <c r="A4822" s="7" t="n">
        <v>45977</v>
      </c>
      <c r="B4822" s="8" t="s">
        <v>25</v>
      </c>
      <c r="C4822" s="9" t="n">
        <v>30</v>
      </c>
      <c r="D4822" s="8" t="s">
        <v>45</v>
      </c>
      <c r="E4822" s="10" t="s">
        <v>42</v>
      </c>
      <c r="F4822" s="8" t="str">
        <f aca="false">TEXT(A4822,"MM-YYYY")</f>
        <v>11-2025</v>
      </c>
      <c r="G4822" s="8" t="s">
        <v>14</v>
      </c>
      <c r="H4822" s="8" t="s">
        <v>232</v>
      </c>
      <c r="I4822" s="7"/>
      <c r="J4822" s="8" t="str">
        <f aca="false">VLOOKUP(B4822, Table3[#All], 2, FALSE())</f>
        <v>Inventory</v>
      </c>
      <c r="K4822" s="8" t="str">
        <f aca="false">TEXT(ROW(), "0000")</f>
        <v>4822</v>
      </c>
      <c r="L4822" s="8"/>
    </row>
    <row r="4823" customFormat="false" ht="15.75" hidden="false" customHeight="true" outlineLevel="0" collapsed="false">
      <c r="A4823" s="7" t="n">
        <v>45977</v>
      </c>
      <c r="B4823" s="8" t="s">
        <v>22</v>
      </c>
      <c r="C4823" s="9" t="n">
        <v>646</v>
      </c>
      <c r="D4823" s="8" t="s">
        <v>45</v>
      </c>
      <c r="E4823" s="10" t="s">
        <v>23</v>
      </c>
      <c r="F4823" s="8" t="str">
        <f aca="false">TEXT(A4823,"MM-YYYY")</f>
        <v>11-2025</v>
      </c>
      <c r="G4823" s="8" t="s">
        <v>14</v>
      </c>
      <c r="H4823" s="8" t="s">
        <v>232</v>
      </c>
      <c r="I4823" s="7"/>
      <c r="J4823" s="8" t="str">
        <f aca="false">VLOOKUP(B4823, Table3[#All], 2, FALSE())</f>
        <v>Inventory</v>
      </c>
      <c r="K4823" s="8" t="str">
        <f aca="false">TEXT(ROW(), "0000")</f>
        <v>4823</v>
      </c>
      <c r="L4823" s="8"/>
    </row>
    <row r="4824" customFormat="false" ht="15.75" hidden="false" customHeight="true" outlineLevel="0" collapsed="false">
      <c r="A4824" s="7" t="n">
        <v>45977</v>
      </c>
      <c r="B4824" s="8" t="s">
        <v>19</v>
      </c>
      <c r="C4824" s="9" t="n">
        <v>2490</v>
      </c>
      <c r="D4824" s="8" t="s">
        <v>45</v>
      </c>
      <c r="E4824" s="10" t="s">
        <v>685</v>
      </c>
      <c r="F4824" s="8" t="str">
        <f aca="false">TEXT(A4824,"MM-YYYY")</f>
        <v>11-2025</v>
      </c>
      <c r="G4824" s="8" t="s">
        <v>14</v>
      </c>
      <c r="H4824" s="8" t="s">
        <v>232</v>
      </c>
      <c r="I4824" s="7"/>
      <c r="J4824" s="8" t="str">
        <f aca="false">VLOOKUP(B4824, Table3[#All], 2, FALSE())</f>
        <v>Inventory</v>
      </c>
      <c r="K4824" s="8" t="str">
        <f aca="false">TEXT(ROW(), "0000")</f>
        <v>4824</v>
      </c>
      <c r="L4824" s="8"/>
    </row>
    <row r="4825" customFormat="false" ht="15.75" hidden="false" customHeight="true" outlineLevel="0" collapsed="false">
      <c r="A4825" s="7" t="n">
        <v>45977</v>
      </c>
      <c r="B4825" s="8" t="s">
        <v>29</v>
      </c>
      <c r="C4825" s="9" t="n">
        <v>25</v>
      </c>
      <c r="D4825" s="8" t="s">
        <v>21</v>
      </c>
      <c r="E4825" s="10" t="s">
        <v>65</v>
      </c>
      <c r="F4825" s="8" t="str">
        <f aca="false">TEXT(A4825,"MM-YYYY")</f>
        <v>11-2025</v>
      </c>
      <c r="G4825" s="8" t="s">
        <v>14</v>
      </c>
      <c r="H4825" s="8" t="s">
        <v>232</v>
      </c>
      <c r="I4825" s="7"/>
      <c r="J4825" s="8" t="str">
        <f aca="false">VLOOKUP(B4825, Table3[#All], 2, FALSE())</f>
        <v>Inventory</v>
      </c>
      <c r="K4825" s="8" t="str">
        <f aca="false">TEXT(ROW(), "0000")</f>
        <v>4825</v>
      </c>
      <c r="L4825" s="8"/>
    </row>
    <row r="4826" customFormat="false" ht="15.75" hidden="false" customHeight="true" outlineLevel="0" collapsed="false">
      <c r="A4826" s="7" t="n">
        <v>45977</v>
      </c>
      <c r="B4826" s="8" t="s">
        <v>37</v>
      </c>
      <c r="C4826" s="9" t="n">
        <v>30</v>
      </c>
      <c r="D4826" s="8" t="s">
        <v>21</v>
      </c>
      <c r="E4826" s="10" t="s">
        <v>662</v>
      </c>
      <c r="F4826" s="8" t="str">
        <f aca="false">TEXT(A4826,"MM-YYYY")</f>
        <v>11-2025</v>
      </c>
      <c r="G4826" s="8" t="s">
        <v>14</v>
      </c>
      <c r="H4826" s="8" t="s">
        <v>232</v>
      </c>
      <c r="I4826" s="7"/>
      <c r="J4826" s="8" t="str">
        <f aca="false">VLOOKUP(B4826, Table3[#All], 2, FALSE())</f>
        <v>Maintance</v>
      </c>
      <c r="K4826" s="8" t="str">
        <f aca="false">TEXT(ROW(), "0000")</f>
        <v>4826</v>
      </c>
      <c r="L4826" s="8"/>
    </row>
    <row r="4827" customFormat="false" ht="15.75" hidden="false" customHeight="true" outlineLevel="0" collapsed="false">
      <c r="A4827" s="7" t="n">
        <v>45977</v>
      </c>
      <c r="B4827" s="8" t="s">
        <v>34</v>
      </c>
      <c r="C4827" s="9" t="n">
        <v>30</v>
      </c>
      <c r="D4827" s="8" t="s">
        <v>45</v>
      </c>
      <c r="E4827" s="10" t="s">
        <v>34</v>
      </c>
      <c r="F4827" s="8" t="str">
        <f aca="false">TEXT(A4827,"MM-YYYY")</f>
        <v>11-2025</v>
      </c>
      <c r="G4827" s="8" t="s">
        <v>14</v>
      </c>
      <c r="H4827" s="8" t="s">
        <v>232</v>
      </c>
      <c r="I4827" s="7"/>
      <c r="J4827" s="8" t="str">
        <f aca="false">VLOOKUP(B4827, Table3[#All], 2, FALSE())</f>
        <v>Staff Expenses</v>
      </c>
      <c r="K4827" s="8" t="str">
        <f aca="false">TEXT(ROW(), "0000")</f>
        <v>4827</v>
      </c>
      <c r="L4827" s="8"/>
    </row>
    <row r="4828" customFormat="false" ht="15.75" hidden="false" customHeight="true" outlineLevel="0" collapsed="false">
      <c r="A4828" s="7" t="n">
        <v>45977</v>
      </c>
      <c r="B4828" s="8" t="s">
        <v>43</v>
      </c>
      <c r="C4828" s="9" t="n">
        <v>400</v>
      </c>
      <c r="D4828" s="8" t="s">
        <v>21</v>
      </c>
      <c r="E4828" s="10" t="s">
        <v>686</v>
      </c>
      <c r="F4828" s="8" t="str">
        <f aca="false">TEXT(A4828,"MM-YYYY")</f>
        <v>11-2025</v>
      </c>
      <c r="G4828" s="8" t="s">
        <v>14</v>
      </c>
      <c r="H4828" s="8" t="s">
        <v>232</v>
      </c>
      <c r="I4828" s="7"/>
      <c r="J4828" s="8" t="str">
        <f aca="false">VLOOKUP(B4828, Table3[#All], 2, FALSE())</f>
        <v>Maintance</v>
      </c>
      <c r="K4828" s="8" t="str">
        <f aca="false">TEXT(ROW(), "0000")</f>
        <v>4828</v>
      </c>
      <c r="L4828" s="8"/>
    </row>
    <row r="4829" customFormat="false" ht="15.75" hidden="false" customHeight="true" outlineLevel="0" collapsed="false">
      <c r="A4829" s="7" t="n">
        <v>45977</v>
      </c>
      <c r="B4829" s="8" t="s">
        <v>60</v>
      </c>
      <c r="C4829" s="9" t="n">
        <v>210</v>
      </c>
      <c r="D4829" s="8" t="s">
        <v>21</v>
      </c>
      <c r="E4829" s="10" t="s">
        <v>60</v>
      </c>
      <c r="F4829" s="8" t="str">
        <f aca="false">TEXT(A4829,"MM-YYYY")</f>
        <v>11-2025</v>
      </c>
      <c r="G4829" s="8" t="s">
        <v>14</v>
      </c>
      <c r="H4829" s="8" t="s">
        <v>232</v>
      </c>
      <c r="I4829" s="7"/>
      <c r="J4829" s="8" t="str">
        <f aca="false">VLOOKUP(B4829, Table3[#All], 2, FALSE())</f>
        <v>Inventory</v>
      </c>
      <c r="K4829" s="8" t="str">
        <f aca="false">TEXT(ROW(), "0000")</f>
        <v>4829</v>
      </c>
      <c r="L4829" s="8"/>
    </row>
    <row r="4830" customFormat="false" ht="15.75" hidden="false" customHeight="true" outlineLevel="0" collapsed="false">
      <c r="A4830" s="7" t="n">
        <v>45977</v>
      </c>
      <c r="B4830" s="8" t="s">
        <v>29</v>
      </c>
      <c r="C4830" s="9" t="n">
        <v>778</v>
      </c>
      <c r="D4830" s="8" t="s">
        <v>13</v>
      </c>
      <c r="E4830" s="10" t="s">
        <v>490</v>
      </c>
      <c r="F4830" s="8" t="str">
        <f aca="false">TEXT(A4830,"MM-YYYY")</f>
        <v>11-2025</v>
      </c>
      <c r="G4830" s="8" t="s">
        <v>18</v>
      </c>
      <c r="H4830" s="8"/>
      <c r="I4830" s="7"/>
      <c r="J4830" s="8" t="str">
        <f aca="false">VLOOKUP(B4830, Table3[#All], 2, FALSE())</f>
        <v>Inventory</v>
      </c>
      <c r="K4830" s="8" t="str">
        <f aca="false">TEXT(ROW(), "0000")</f>
        <v>4830</v>
      </c>
      <c r="L4830" s="8"/>
    </row>
    <row r="4831" customFormat="false" ht="15.75" hidden="false" customHeight="true" outlineLevel="0" collapsed="false">
      <c r="A4831" s="7" t="n">
        <v>45977</v>
      </c>
      <c r="B4831" s="8" t="s">
        <v>16</v>
      </c>
      <c r="C4831" s="9" t="n">
        <v>4490</v>
      </c>
      <c r="D4831" s="8" t="s">
        <v>21</v>
      </c>
      <c r="E4831" s="10" t="s">
        <v>88</v>
      </c>
      <c r="F4831" s="8" t="str">
        <f aca="false">TEXT(A4831,"MM-YYYY")</f>
        <v>11-2025</v>
      </c>
      <c r="G4831" s="8"/>
      <c r="H4831" s="8"/>
      <c r="I4831" s="7"/>
      <c r="J4831" s="8" t="str">
        <f aca="false">VLOOKUP(B4831, Table3[#All], 2, FALSE())</f>
        <v>Sales</v>
      </c>
      <c r="K4831" s="8" t="str">
        <f aca="false">TEXT(ROW(), "0000")</f>
        <v>4831</v>
      </c>
      <c r="L4831" s="8"/>
    </row>
    <row r="4832" customFormat="false" ht="15.75" hidden="false" customHeight="true" outlineLevel="0" collapsed="false">
      <c r="A4832" s="7" t="n">
        <v>45977</v>
      </c>
      <c r="B4832" s="8" t="s">
        <v>16</v>
      </c>
      <c r="C4832" s="9" t="n">
        <v>22459</v>
      </c>
      <c r="D4832" s="8" t="s">
        <v>17</v>
      </c>
      <c r="E4832" s="10" t="s">
        <v>88</v>
      </c>
      <c r="F4832" s="8" t="str">
        <f aca="false">TEXT(A4832,"MM-YYYY")</f>
        <v>11-2025</v>
      </c>
      <c r="G4832" s="8"/>
      <c r="H4832" s="8"/>
      <c r="I4832" s="7"/>
      <c r="J4832" s="8" t="str">
        <f aca="false">VLOOKUP(B4832, Table3[#All], 2, FALSE())</f>
        <v>Sales</v>
      </c>
      <c r="K4832" s="8" t="str">
        <f aca="false">TEXT(ROW(), "0000")</f>
        <v>4832</v>
      </c>
      <c r="L4832" s="8"/>
    </row>
    <row r="4833" customFormat="false" ht="15.75" hidden="false" customHeight="true" outlineLevel="0" collapsed="false">
      <c r="A4833" s="7" t="n">
        <v>45977</v>
      </c>
      <c r="B4833" s="8" t="s">
        <v>16</v>
      </c>
      <c r="C4833" s="9" t="n">
        <v>1653</v>
      </c>
      <c r="D4833" s="8" t="s">
        <v>33</v>
      </c>
      <c r="E4833" s="10" t="s">
        <v>88</v>
      </c>
      <c r="F4833" s="8" t="str">
        <f aca="false">TEXT(A4833,"MM-YYYY")</f>
        <v>11-2025</v>
      </c>
      <c r="G4833" s="8"/>
      <c r="H4833" s="8"/>
      <c r="I4833" s="7"/>
      <c r="J4833" s="8" t="str">
        <f aca="false">VLOOKUP(B4833, Table3[#All], 2, FALSE())</f>
        <v>Sales</v>
      </c>
      <c r="K4833" s="8" t="str">
        <f aca="false">TEXT(ROW(), "0000")</f>
        <v>4833</v>
      </c>
      <c r="L4833" s="8"/>
    </row>
    <row r="4834" customFormat="false" ht="15.75" hidden="false" customHeight="true" outlineLevel="0" collapsed="false">
      <c r="A4834" s="7" t="n">
        <v>45977</v>
      </c>
      <c r="B4834" s="8" t="s">
        <v>16</v>
      </c>
      <c r="C4834" s="9" t="n">
        <v>504</v>
      </c>
      <c r="D4834" s="8" t="s">
        <v>59</v>
      </c>
      <c r="E4834" s="10" t="s">
        <v>88</v>
      </c>
      <c r="F4834" s="8" t="str">
        <f aca="false">TEXT(A4834,"MM-YYYY")</f>
        <v>11-2025</v>
      </c>
      <c r="G4834" s="8"/>
      <c r="H4834" s="8"/>
      <c r="I4834" s="7"/>
      <c r="J4834" s="8" t="str">
        <f aca="false">VLOOKUP(B4834, Table3[#All], 2, FALSE())</f>
        <v>Sales</v>
      </c>
      <c r="K4834" s="8" t="str">
        <f aca="false">TEXT(ROW(), "0000")</f>
        <v>4834</v>
      </c>
      <c r="L4834" s="8"/>
    </row>
    <row r="4835" customFormat="false" ht="15.75" hidden="false" customHeight="true" outlineLevel="0" collapsed="false">
      <c r="A4835" s="7" t="n">
        <v>45977</v>
      </c>
      <c r="B4835" s="8" t="s">
        <v>16</v>
      </c>
      <c r="C4835" s="9" t="n">
        <v>2969</v>
      </c>
      <c r="D4835" s="8" t="s">
        <v>24</v>
      </c>
      <c r="E4835" s="10" t="s">
        <v>88</v>
      </c>
      <c r="F4835" s="8" t="str">
        <f aca="false">TEXT(A4835,"MM-YYYY")</f>
        <v>11-2025</v>
      </c>
      <c r="G4835" s="8"/>
      <c r="H4835" s="8"/>
      <c r="I4835" s="7"/>
      <c r="J4835" s="8" t="str">
        <f aca="false">VLOOKUP(B4835, Table3[#All], 2, FALSE())</f>
        <v>Sales</v>
      </c>
      <c r="K4835" s="8" t="str">
        <f aca="false">TEXT(ROW(), "0000")</f>
        <v>4835</v>
      </c>
      <c r="L4835" s="8"/>
    </row>
    <row r="4836" customFormat="false" ht="15.75" hidden="false" customHeight="true" outlineLevel="0" collapsed="false">
      <c r="A4836" s="7" t="n">
        <v>45978</v>
      </c>
      <c r="B4836" s="8" t="s">
        <v>44</v>
      </c>
      <c r="C4836" s="9" t="n">
        <v>1000</v>
      </c>
      <c r="D4836" s="8" t="s">
        <v>45</v>
      </c>
      <c r="E4836" s="10" t="s">
        <v>611</v>
      </c>
      <c r="F4836" s="8" t="str">
        <f aca="false">TEXT(A4836,"MM-YYYY")</f>
        <v>11-2025</v>
      </c>
      <c r="G4836" s="8" t="s">
        <v>14</v>
      </c>
      <c r="H4836" s="8" t="s">
        <v>232</v>
      </c>
      <c r="I4836" s="7" t="n">
        <v>45978</v>
      </c>
      <c r="J4836" s="8" t="str">
        <f aca="false">VLOOKUP(B4836, Table3[#All], 2, FALSE())</f>
        <v>Salary</v>
      </c>
      <c r="K4836" s="8" t="str">
        <f aca="false">TEXT(ROW(), "0000")</f>
        <v>4836</v>
      </c>
      <c r="L4836" s="8"/>
    </row>
    <row r="4837" customFormat="false" ht="15.75" hidden="false" customHeight="true" outlineLevel="0" collapsed="false">
      <c r="A4837" s="7" t="n">
        <v>45978</v>
      </c>
      <c r="B4837" s="8" t="s">
        <v>47</v>
      </c>
      <c r="C4837" s="9" t="n">
        <v>1800</v>
      </c>
      <c r="D4837" s="8" t="s">
        <v>13</v>
      </c>
      <c r="E4837" s="10" t="s">
        <v>484</v>
      </c>
      <c r="F4837" s="8" t="str">
        <f aca="false">TEXT(A4837,"MM-YYYY")</f>
        <v>11-2025</v>
      </c>
      <c r="G4837" s="8" t="s">
        <v>18</v>
      </c>
      <c r="H4837" s="8"/>
      <c r="I4837" s="7"/>
      <c r="J4837" s="8" t="str">
        <f aca="false">VLOOKUP(B4837, Table3[#All], 2, FALSE())</f>
        <v>Inventory</v>
      </c>
      <c r="K4837" s="8" t="str">
        <f aca="false">TEXT(ROW(), "0000")</f>
        <v>4837</v>
      </c>
      <c r="L4837" s="8"/>
    </row>
    <row r="4838" customFormat="false" ht="15.75" hidden="false" customHeight="true" outlineLevel="0" collapsed="false">
      <c r="A4838" s="7" t="n">
        <v>45978</v>
      </c>
      <c r="B4838" s="8" t="s">
        <v>22</v>
      </c>
      <c r="C4838" s="9" t="n">
        <v>440</v>
      </c>
      <c r="D4838" s="8" t="s">
        <v>45</v>
      </c>
      <c r="E4838" s="10" t="s">
        <v>479</v>
      </c>
      <c r="F4838" s="8" t="str">
        <f aca="false">TEXT(A4838,"MM-YYYY")</f>
        <v>11-2025</v>
      </c>
      <c r="G4838" s="8" t="s">
        <v>14</v>
      </c>
      <c r="H4838" s="8" t="s">
        <v>232</v>
      </c>
      <c r="I4838" s="7"/>
      <c r="J4838" s="8" t="str">
        <f aca="false">VLOOKUP(B4838, Table3[#All], 2, FALSE())</f>
        <v>Inventory</v>
      </c>
      <c r="K4838" s="8" t="str">
        <f aca="false">TEXT(ROW(), "0000")</f>
        <v>4838</v>
      </c>
      <c r="L4838" s="8"/>
    </row>
    <row r="4839" customFormat="false" ht="15.75" hidden="false" customHeight="true" outlineLevel="0" collapsed="false">
      <c r="A4839" s="7" t="n">
        <v>45978</v>
      </c>
      <c r="B4839" s="8" t="s">
        <v>19</v>
      </c>
      <c r="C4839" s="9" t="n">
        <v>4422</v>
      </c>
      <c r="D4839" s="8" t="s">
        <v>13</v>
      </c>
      <c r="E4839" s="10" t="s">
        <v>417</v>
      </c>
      <c r="F4839" s="8" t="str">
        <f aca="false">TEXT(A4839,"MM-YYYY")</f>
        <v>11-2025</v>
      </c>
      <c r="G4839" s="8" t="s">
        <v>18</v>
      </c>
      <c r="H4839" s="8"/>
      <c r="I4839" s="7"/>
      <c r="J4839" s="8" t="str">
        <f aca="false">VLOOKUP(B4839, Table3[#All], 2, FALSE())</f>
        <v>Inventory</v>
      </c>
      <c r="K4839" s="8" t="str">
        <f aca="false">TEXT(ROW(), "0000")</f>
        <v>4839</v>
      </c>
      <c r="L4839" s="8"/>
    </row>
    <row r="4840" customFormat="false" ht="15.75" hidden="false" customHeight="true" outlineLevel="0" collapsed="false">
      <c r="A4840" s="7" t="n">
        <v>45978</v>
      </c>
      <c r="B4840" s="8" t="s">
        <v>25</v>
      </c>
      <c r="C4840" s="9" t="n">
        <v>993</v>
      </c>
      <c r="D4840" s="8" t="s">
        <v>13</v>
      </c>
      <c r="E4840" s="10" t="s">
        <v>92</v>
      </c>
      <c r="F4840" s="8" t="str">
        <f aca="false">TEXT(A4840,"MM-YYYY")</f>
        <v>11-2025</v>
      </c>
      <c r="G4840" s="8" t="s">
        <v>18</v>
      </c>
      <c r="H4840" s="8"/>
      <c r="I4840" s="7"/>
      <c r="J4840" s="8" t="str">
        <f aca="false">VLOOKUP(B4840, Table3[#All], 2, FALSE())</f>
        <v>Inventory</v>
      </c>
      <c r="K4840" s="8" t="str">
        <f aca="false">TEXT(ROW(), "0000")</f>
        <v>4840</v>
      </c>
      <c r="L4840" s="8"/>
    </row>
    <row r="4841" customFormat="false" ht="15.75" hidden="false" customHeight="true" outlineLevel="0" collapsed="false">
      <c r="A4841" s="7" t="n">
        <v>45978</v>
      </c>
      <c r="B4841" s="8" t="s">
        <v>37</v>
      </c>
      <c r="C4841" s="9" t="n">
        <v>40</v>
      </c>
      <c r="D4841" s="8" t="s">
        <v>21</v>
      </c>
      <c r="E4841" s="10" t="s">
        <v>672</v>
      </c>
      <c r="F4841" s="8" t="str">
        <f aca="false">TEXT(A4841,"MM-YYYY")</f>
        <v>11-2025</v>
      </c>
      <c r="G4841" s="8" t="s">
        <v>14</v>
      </c>
      <c r="H4841" s="8"/>
      <c r="I4841" s="7"/>
      <c r="J4841" s="8" t="str">
        <f aca="false">VLOOKUP(B4841, Table3[#All], 2, FALSE())</f>
        <v>Maintance</v>
      </c>
      <c r="K4841" s="8" t="str">
        <f aca="false">TEXT(ROW(), "0000")</f>
        <v>4841</v>
      </c>
      <c r="L4841" s="8"/>
      <c r="O4841" s="11" t="s">
        <v>687</v>
      </c>
    </row>
    <row r="4842" customFormat="false" ht="15.75" hidden="false" customHeight="true" outlineLevel="0" collapsed="false">
      <c r="A4842" s="7" t="n">
        <v>45978</v>
      </c>
      <c r="B4842" s="8" t="s">
        <v>31</v>
      </c>
      <c r="C4842" s="9" t="n">
        <v>310</v>
      </c>
      <c r="D4842" s="8" t="s">
        <v>45</v>
      </c>
      <c r="E4842" s="10" t="s">
        <v>31</v>
      </c>
      <c r="F4842" s="8" t="str">
        <f aca="false">TEXT(A4842,"MM-YYYY")</f>
        <v>11-2025</v>
      </c>
      <c r="G4842" s="8" t="s">
        <v>14</v>
      </c>
      <c r="H4842" s="8"/>
      <c r="I4842" s="7"/>
      <c r="J4842" s="8" t="str">
        <f aca="false">VLOOKUP(B4842, Table3[#All], 2, FALSE())</f>
        <v>Bike Maintance</v>
      </c>
      <c r="K4842" s="8" t="str">
        <f aca="false">TEXT(ROW(), "0000")</f>
        <v>4842</v>
      </c>
      <c r="L4842" s="8"/>
    </row>
    <row r="4843" customFormat="false" ht="15.75" hidden="false" customHeight="true" outlineLevel="0" collapsed="false">
      <c r="A4843" s="7" t="n">
        <v>45978</v>
      </c>
      <c r="B4843" s="8" t="s">
        <v>34</v>
      </c>
      <c r="C4843" s="9" t="n">
        <v>40</v>
      </c>
      <c r="D4843" s="8" t="s">
        <v>45</v>
      </c>
      <c r="E4843" s="10" t="s">
        <v>154</v>
      </c>
      <c r="F4843" s="8" t="str">
        <f aca="false">TEXT(A4843,"MM-YYYY")</f>
        <v>11-2025</v>
      </c>
      <c r="G4843" s="8" t="s">
        <v>14</v>
      </c>
      <c r="H4843" s="8"/>
      <c r="I4843" s="7"/>
      <c r="J4843" s="8" t="str">
        <f aca="false">VLOOKUP(B4843, Table3[#All], 2, FALSE())</f>
        <v>Staff Expenses</v>
      </c>
      <c r="K4843" s="8" t="str">
        <f aca="false">TEXT(ROW(), "0000")</f>
        <v>4843</v>
      </c>
      <c r="L4843" s="8"/>
    </row>
    <row r="4844" customFormat="false" ht="15.75" hidden="false" customHeight="true" outlineLevel="0" collapsed="false">
      <c r="A4844" s="7" t="n">
        <v>45978</v>
      </c>
      <c r="B4844" s="8" t="s">
        <v>22</v>
      </c>
      <c r="C4844" s="9" t="n">
        <v>9411</v>
      </c>
      <c r="D4844" s="8" t="s">
        <v>13</v>
      </c>
      <c r="E4844" s="10" t="s">
        <v>23</v>
      </c>
      <c r="F4844" s="8" t="str">
        <f aca="false">TEXT(A4844,"MM-YYYY")</f>
        <v>11-2025</v>
      </c>
      <c r="G4844" s="8" t="s">
        <v>18</v>
      </c>
      <c r="H4844" s="8"/>
      <c r="I4844" s="7"/>
      <c r="J4844" s="8" t="str">
        <f aca="false">VLOOKUP(B4844, Table3[#All], 2, FALSE())</f>
        <v>Inventory</v>
      </c>
      <c r="K4844" s="8" t="str">
        <f aca="false">TEXT(ROW(), "0000")</f>
        <v>4844</v>
      </c>
      <c r="L4844" s="8"/>
    </row>
    <row r="4845" customFormat="false" ht="15.75" hidden="false" customHeight="true" outlineLevel="0" collapsed="false">
      <c r="A4845" s="7" t="n">
        <v>45978</v>
      </c>
      <c r="B4845" s="8" t="s">
        <v>35</v>
      </c>
      <c r="C4845" s="9" t="n">
        <v>55</v>
      </c>
      <c r="D4845" s="8" t="s">
        <v>45</v>
      </c>
      <c r="E4845" s="10" t="s">
        <v>688</v>
      </c>
      <c r="F4845" s="8" t="str">
        <f aca="false">TEXT(A4845,"MM-YYYY")</f>
        <v>11-2025</v>
      </c>
      <c r="G4845" s="8" t="s">
        <v>14</v>
      </c>
      <c r="H4845" s="8"/>
      <c r="I4845" s="7"/>
      <c r="J4845" s="8" t="str">
        <f aca="false">VLOOKUP(B4845, Table3[#All], 2, FALSE())</f>
        <v>Inventory</v>
      </c>
      <c r="K4845" s="8" t="str">
        <f aca="false">TEXT(ROW(), "0000")</f>
        <v>4845</v>
      </c>
      <c r="L4845" s="8"/>
    </row>
    <row r="4846" customFormat="false" ht="15.75" hidden="false" customHeight="true" outlineLevel="0" collapsed="false">
      <c r="A4846" s="7" t="n">
        <v>45978</v>
      </c>
      <c r="B4846" s="8" t="s">
        <v>29</v>
      </c>
      <c r="C4846" s="9" t="n">
        <v>2230</v>
      </c>
      <c r="D4846" s="8" t="s">
        <v>13</v>
      </c>
      <c r="E4846" s="10" t="s">
        <v>490</v>
      </c>
      <c r="F4846" s="8" t="str">
        <f aca="false">TEXT(A4846,"MM-YYYY")</f>
        <v>11-2025</v>
      </c>
      <c r="G4846" s="8" t="s">
        <v>18</v>
      </c>
      <c r="H4846" s="8"/>
      <c r="I4846" s="7"/>
      <c r="J4846" s="8" t="str">
        <f aca="false">VLOOKUP(B4846, Table3[#All], 2, FALSE())</f>
        <v>Inventory</v>
      </c>
      <c r="K4846" s="8" t="str">
        <f aca="false">TEXT(ROW(), "0000")</f>
        <v>4846</v>
      </c>
      <c r="L4846" s="8"/>
    </row>
    <row r="4847" customFormat="false" ht="15.75" hidden="false" customHeight="true" outlineLevel="0" collapsed="false">
      <c r="A4847" s="7" t="n">
        <v>45978</v>
      </c>
      <c r="B4847" s="8" t="s">
        <v>43</v>
      </c>
      <c r="C4847" s="9" t="n">
        <v>1287</v>
      </c>
      <c r="D4847" s="8" t="s">
        <v>45</v>
      </c>
      <c r="E4847" s="10" t="s">
        <v>395</v>
      </c>
      <c r="F4847" s="8" t="str">
        <f aca="false">TEXT(A4847,"MM-YYYY")</f>
        <v>11-2025</v>
      </c>
      <c r="G4847" s="8" t="s">
        <v>14</v>
      </c>
      <c r="H4847" s="8" t="s">
        <v>232</v>
      </c>
      <c r="I4847" s="7"/>
      <c r="J4847" s="8" t="str">
        <f aca="false">VLOOKUP(B4847, Table3[#All], 2, FALSE())</f>
        <v>Maintance</v>
      </c>
      <c r="K4847" s="8" t="str">
        <f aca="false">TEXT(ROW(), "0000")</f>
        <v>4847</v>
      </c>
      <c r="L4847" s="8"/>
    </row>
    <row r="4848" customFormat="false" ht="15.75" hidden="false" customHeight="true" outlineLevel="0" collapsed="false">
      <c r="A4848" s="7" t="n">
        <v>45978</v>
      </c>
      <c r="B4848" s="8" t="s">
        <v>16</v>
      </c>
      <c r="C4848" s="9" t="n">
        <v>1660</v>
      </c>
      <c r="D4848" s="8" t="s">
        <v>21</v>
      </c>
      <c r="E4848" s="10" t="s">
        <v>88</v>
      </c>
      <c r="F4848" s="8" t="str">
        <f aca="false">TEXT(A4848,"MM-YYYY")</f>
        <v>11-2025</v>
      </c>
      <c r="G4848" s="8"/>
      <c r="H4848" s="8"/>
      <c r="I4848" s="7"/>
      <c r="J4848" s="8" t="str">
        <f aca="false">VLOOKUP(B4848, Table3[#All], 2, FALSE())</f>
        <v>Sales</v>
      </c>
      <c r="K4848" s="8" t="str">
        <f aca="false">TEXT(ROW(), "0000")</f>
        <v>4848</v>
      </c>
      <c r="L4848" s="8"/>
    </row>
    <row r="4849" customFormat="false" ht="15.75" hidden="false" customHeight="true" outlineLevel="0" collapsed="false">
      <c r="A4849" s="7" t="n">
        <v>45978</v>
      </c>
      <c r="B4849" s="8" t="s">
        <v>16</v>
      </c>
      <c r="C4849" s="9" t="n">
        <v>720</v>
      </c>
      <c r="D4849" s="8" t="s">
        <v>27</v>
      </c>
      <c r="E4849" s="10" t="s">
        <v>88</v>
      </c>
      <c r="F4849" s="8" t="str">
        <f aca="false">TEXT(A4849,"MM-YYYY")</f>
        <v>11-2025</v>
      </c>
      <c r="G4849" s="8"/>
      <c r="H4849" s="8"/>
      <c r="I4849" s="7"/>
      <c r="J4849" s="8" t="str">
        <f aca="false">VLOOKUP(B4849, Table3[#All], 2, FALSE())</f>
        <v>Sales</v>
      </c>
      <c r="K4849" s="8" t="str">
        <f aca="false">TEXT(ROW(), "0000")</f>
        <v>4849</v>
      </c>
      <c r="L4849" s="8"/>
    </row>
    <row r="4850" customFormat="false" ht="15.75" hidden="false" customHeight="true" outlineLevel="0" collapsed="false">
      <c r="A4850" s="7" t="n">
        <v>45978</v>
      </c>
      <c r="B4850" s="8" t="s">
        <v>16</v>
      </c>
      <c r="C4850" s="9" t="n">
        <v>30</v>
      </c>
      <c r="D4850" s="8" t="s">
        <v>33</v>
      </c>
      <c r="E4850" s="10" t="s">
        <v>88</v>
      </c>
      <c r="F4850" s="8" t="str">
        <f aca="false">TEXT(A4850,"MM-YYYY")</f>
        <v>11-2025</v>
      </c>
      <c r="G4850" s="8"/>
      <c r="H4850" s="8"/>
      <c r="I4850" s="7"/>
      <c r="J4850" s="8" t="str">
        <f aca="false">VLOOKUP(B4850, Table3[#All], 2, FALSE())</f>
        <v>Sales</v>
      </c>
      <c r="K4850" s="8" t="str">
        <f aca="false">TEXT(ROW(), "0000")</f>
        <v>4850</v>
      </c>
      <c r="L4850" s="8"/>
    </row>
    <row r="4851" customFormat="false" ht="15.75" hidden="false" customHeight="true" outlineLevel="0" collapsed="false">
      <c r="A4851" s="7" t="n">
        <v>45978</v>
      </c>
      <c r="B4851" s="8" t="s">
        <v>16</v>
      </c>
      <c r="C4851" s="9" t="n">
        <v>14528</v>
      </c>
      <c r="D4851" s="8" t="s">
        <v>17</v>
      </c>
      <c r="E4851" s="10" t="s">
        <v>88</v>
      </c>
      <c r="F4851" s="8" t="str">
        <f aca="false">TEXT(A4851,"MM-YYYY")</f>
        <v>11-2025</v>
      </c>
      <c r="G4851" s="8"/>
      <c r="H4851" s="8"/>
      <c r="I4851" s="7"/>
      <c r="J4851" s="8" t="str">
        <f aca="false">VLOOKUP(B4851, Table3[#All], 2, FALSE())</f>
        <v>Sales</v>
      </c>
      <c r="K4851" s="8" t="str">
        <f aca="false">TEXT(ROW(), "0000")</f>
        <v>4851</v>
      </c>
      <c r="L4851" s="8"/>
    </row>
    <row r="4852" customFormat="false" ht="15.75" hidden="false" customHeight="true" outlineLevel="0" collapsed="false">
      <c r="A4852" s="7" t="n">
        <v>45978</v>
      </c>
      <c r="B4852" s="8" t="s">
        <v>16</v>
      </c>
      <c r="C4852" s="9" t="n">
        <v>676</v>
      </c>
      <c r="D4852" s="8" t="s">
        <v>24</v>
      </c>
      <c r="E4852" s="10" t="s">
        <v>88</v>
      </c>
      <c r="F4852" s="8" t="str">
        <f aca="false">TEXT(A4852,"MM-YYYY")</f>
        <v>11-2025</v>
      </c>
      <c r="G4852" s="8"/>
      <c r="H4852" s="8"/>
      <c r="I4852" s="7"/>
      <c r="J4852" s="8" t="str">
        <f aca="false">VLOOKUP(B4852, Table3[#All], 2, FALSE())</f>
        <v>Sales</v>
      </c>
      <c r="K4852" s="8" t="str">
        <f aca="false">TEXT(ROW(), "0000")</f>
        <v>4852</v>
      </c>
      <c r="L4852" s="8"/>
    </row>
    <row r="4853" customFormat="false" ht="15.75" hidden="false" customHeight="true" outlineLevel="0" collapsed="false">
      <c r="A4853" s="7" t="n">
        <v>45978</v>
      </c>
      <c r="B4853" s="8" t="s">
        <v>25</v>
      </c>
      <c r="C4853" s="9" t="n">
        <v>30</v>
      </c>
      <c r="D4853" s="8" t="s">
        <v>45</v>
      </c>
      <c r="E4853" s="10" t="s">
        <v>42</v>
      </c>
      <c r="F4853" s="8" t="str">
        <f aca="false">TEXT(A4853,"MM-YYYY")</f>
        <v>11-2025</v>
      </c>
      <c r="G4853" s="8" t="s">
        <v>18</v>
      </c>
      <c r="H4853" s="8" t="s">
        <v>262</v>
      </c>
      <c r="I4853" s="7"/>
      <c r="J4853" s="8" t="str">
        <f aca="false">VLOOKUP(B4853, Table3[#All], 2, FALSE())</f>
        <v>Inventory</v>
      </c>
      <c r="K4853" s="8" t="str">
        <f aca="false">TEXT(ROW(), "0000")</f>
        <v>4853</v>
      </c>
      <c r="L4853" s="8"/>
    </row>
    <row r="4854" customFormat="false" ht="15.75" hidden="false" customHeight="true" outlineLevel="0" collapsed="false">
      <c r="A4854" s="7" t="n">
        <v>45978</v>
      </c>
      <c r="B4854" s="8" t="s">
        <v>43</v>
      </c>
      <c r="C4854" s="9" t="n">
        <v>150</v>
      </c>
      <c r="D4854" s="8" t="s">
        <v>21</v>
      </c>
      <c r="E4854" s="10" t="s">
        <v>689</v>
      </c>
      <c r="F4854" s="8" t="str">
        <f aca="false">TEXT(A4854,"MM-YYYY")</f>
        <v>11-2025</v>
      </c>
      <c r="G4854" s="8" t="s">
        <v>14</v>
      </c>
      <c r="H4854" s="8" t="s">
        <v>232</v>
      </c>
      <c r="I4854" s="7"/>
      <c r="J4854" s="8" t="str">
        <f aca="false">VLOOKUP(B4854, Table3[#All], 2, FALSE())</f>
        <v>Maintance</v>
      </c>
      <c r="K4854" s="8" t="str">
        <f aca="false">TEXT(ROW(), "0000")</f>
        <v>4854</v>
      </c>
      <c r="L4854" s="8"/>
    </row>
    <row r="4855" customFormat="false" ht="15.75" hidden="false" customHeight="true" outlineLevel="0" collapsed="false">
      <c r="A4855" s="7" t="n">
        <v>45978</v>
      </c>
      <c r="B4855" s="8" t="s">
        <v>29</v>
      </c>
      <c r="C4855" s="9" t="n">
        <v>80</v>
      </c>
      <c r="D4855" s="8" t="s">
        <v>45</v>
      </c>
      <c r="E4855" s="10" t="s">
        <v>41</v>
      </c>
      <c r="F4855" s="8" t="str">
        <f aca="false">TEXT(A4855,"MM-YYYY")</f>
        <v>11-2025</v>
      </c>
      <c r="G4855" s="8" t="s">
        <v>14</v>
      </c>
      <c r="H4855" s="8" t="s">
        <v>262</v>
      </c>
      <c r="I4855" s="7"/>
      <c r="J4855" s="8" t="str">
        <f aca="false">VLOOKUP(B4855, Table3[#All], 2, FALSE())</f>
        <v>Inventory</v>
      </c>
      <c r="K4855" s="8" t="str">
        <f aca="false">TEXT(ROW(), "0000")</f>
        <v>4855</v>
      </c>
      <c r="L4855" s="8"/>
    </row>
    <row r="4856" customFormat="false" ht="15.75" hidden="false" customHeight="true" outlineLevel="0" collapsed="false">
      <c r="A4856" s="7" t="n">
        <v>45979</v>
      </c>
      <c r="B4856" s="8" t="s">
        <v>19</v>
      </c>
      <c r="C4856" s="9" t="n">
        <v>2482</v>
      </c>
      <c r="D4856" s="8" t="s">
        <v>13</v>
      </c>
      <c r="E4856" s="10" t="s">
        <v>417</v>
      </c>
      <c r="F4856" s="8" t="str">
        <f aca="false">TEXT(A4856,"MM-YYYY")</f>
        <v>11-2025</v>
      </c>
      <c r="G4856" s="8" t="s">
        <v>18</v>
      </c>
      <c r="H4856" s="8"/>
      <c r="I4856" s="7"/>
      <c r="J4856" s="8" t="str">
        <f aca="false">VLOOKUP(B4856, Table3[#All], 2, FALSE())</f>
        <v>Inventory</v>
      </c>
      <c r="K4856" s="8" t="str">
        <f aca="false">TEXT(ROW(), "0000")</f>
        <v>4856</v>
      </c>
      <c r="L4856" s="8"/>
    </row>
    <row r="4857" customFormat="false" ht="15.75" hidden="false" customHeight="true" outlineLevel="0" collapsed="false">
      <c r="A4857" s="7" t="n">
        <v>45979</v>
      </c>
      <c r="B4857" s="8" t="s">
        <v>25</v>
      </c>
      <c r="C4857" s="9" t="n">
        <v>573</v>
      </c>
      <c r="D4857" s="8" t="s">
        <v>13</v>
      </c>
      <c r="E4857" s="10" t="s">
        <v>92</v>
      </c>
      <c r="F4857" s="8" t="str">
        <f aca="false">TEXT(A4857,"MM-YYYY")</f>
        <v>11-2025</v>
      </c>
      <c r="G4857" s="8" t="s">
        <v>18</v>
      </c>
      <c r="H4857" s="8"/>
      <c r="I4857" s="7"/>
      <c r="J4857" s="8" t="str">
        <f aca="false">VLOOKUP(B4857, Table3[#All], 2, FALSE())</f>
        <v>Inventory</v>
      </c>
      <c r="K4857" s="8" t="str">
        <f aca="false">TEXT(ROW(), "0000")</f>
        <v>4857</v>
      </c>
      <c r="L4857" s="8"/>
    </row>
    <row r="4858" customFormat="false" ht="15.75" hidden="false" customHeight="true" outlineLevel="0" collapsed="false">
      <c r="A4858" s="7" t="n">
        <v>45979</v>
      </c>
      <c r="B4858" s="8" t="s">
        <v>40</v>
      </c>
      <c r="C4858" s="9" t="n">
        <v>1850</v>
      </c>
      <c r="D4858" s="8" t="s">
        <v>13</v>
      </c>
      <c r="E4858" s="10" t="s">
        <v>503</v>
      </c>
      <c r="F4858" s="8" t="str">
        <f aca="false">TEXT(A4858,"MM-YYYY")</f>
        <v>11-2025</v>
      </c>
      <c r="G4858" s="8" t="s">
        <v>14</v>
      </c>
      <c r="H4858" s="8" t="s">
        <v>232</v>
      </c>
      <c r="I4858" s="7" t="n">
        <v>45979</v>
      </c>
      <c r="J4858" s="8" t="str">
        <f aca="false">VLOOKUP(B4858, Table3[#All], 2, FALSE())</f>
        <v>Inventory</v>
      </c>
      <c r="K4858" s="8" t="str">
        <f aca="false">TEXT(ROW(), "0000")</f>
        <v>4858</v>
      </c>
      <c r="L4858" s="8"/>
    </row>
    <row r="4859" customFormat="false" ht="15.75" hidden="false" customHeight="true" outlineLevel="0" collapsed="false">
      <c r="A4859" s="7" t="n">
        <v>45979</v>
      </c>
      <c r="B4859" s="8" t="s">
        <v>22</v>
      </c>
      <c r="C4859" s="9" t="n">
        <v>750</v>
      </c>
      <c r="D4859" s="8" t="s">
        <v>45</v>
      </c>
      <c r="E4859" s="10" t="s">
        <v>633</v>
      </c>
      <c r="F4859" s="8" t="str">
        <f aca="false">TEXT(A4859,"MM-YYYY")</f>
        <v>11-2025</v>
      </c>
      <c r="G4859" s="8" t="s">
        <v>14</v>
      </c>
      <c r="H4859" s="8" t="s">
        <v>232</v>
      </c>
      <c r="I4859" s="7"/>
      <c r="J4859" s="8" t="str">
        <f aca="false">VLOOKUP(B4859, Table3[#All], 2, FALSE())</f>
        <v>Inventory</v>
      </c>
      <c r="K4859" s="8" t="str">
        <f aca="false">TEXT(ROW(), "0000")</f>
        <v>4859</v>
      </c>
      <c r="L4859" s="8"/>
    </row>
    <row r="4860" customFormat="false" ht="15.75" hidden="false" customHeight="true" outlineLevel="0" collapsed="false">
      <c r="A4860" s="7" t="n">
        <v>45979</v>
      </c>
      <c r="B4860" s="8" t="s">
        <v>53</v>
      </c>
      <c r="C4860" s="9" t="n">
        <v>1200</v>
      </c>
      <c r="D4860" s="8" t="s">
        <v>21</v>
      </c>
      <c r="E4860" s="10" t="s">
        <v>634</v>
      </c>
      <c r="F4860" s="8" t="str">
        <f aca="false">TEXT(A4860,"MM-YYYY")</f>
        <v>11-2025</v>
      </c>
      <c r="G4860" s="8" t="s">
        <v>14</v>
      </c>
      <c r="H4860" s="8" t="s">
        <v>232</v>
      </c>
      <c r="I4860" s="7"/>
      <c r="J4860" s="8" t="str">
        <f aca="false">VLOOKUP(B4860, Table3[#All], 2, FALSE())</f>
        <v>Grocery</v>
      </c>
      <c r="K4860" s="8" t="str">
        <f aca="false">TEXT(ROW(), "0000")</f>
        <v>4860</v>
      </c>
      <c r="L4860" s="8"/>
    </row>
    <row r="4861" customFormat="false" ht="15.75" hidden="false" customHeight="true" outlineLevel="0" collapsed="false">
      <c r="A4861" s="7" t="n">
        <v>45979</v>
      </c>
      <c r="B4861" s="8" t="s">
        <v>37</v>
      </c>
      <c r="C4861" s="9" t="n">
        <v>20</v>
      </c>
      <c r="D4861" s="8" t="s">
        <v>21</v>
      </c>
      <c r="E4861" s="10" t="s">
        <v>632</v>
      </c>
      <c r="F4861" s="8" t="str">
        <f aca="false">TEXT(A4861,"MM-YYYY")</f>
        <v>11-2025</v>
      </c>
      <c r="G4861" s="8" t="s">
        <v>14</v>
      </c>
      <c r="H4861" s="8" t="s">
        <v>232</v>
      </c>
      <c r="I4861" s="7"/>
      <c r="J4861" s="8" t="str">
        <f aca="false">VLOOKUP(B4861, Table3[#All], 2, FALSE())</f>
        <v>Maintance</v>
      </c>
      <c r="K4861" s="8" t="str">
        <f aca="false">TEXT(ROW(), "0000")</f>
        <v>4861</v>
      </c>
      <c r="L4861" s="8"/>
    </row>
    <row r="4862" customFormat="false" ht="15.75" hidden="false" customHeight="true" outlineLevel="0" collapsed="false">
      <c r="A4862" s="7" t="n">
        <v>45979</v>
      </c>
      <c r="B4862" s="8" t="s">
        <v>44</v>
      </c>
      <c r="C4862" s="9" t="n">
        <v>100</v>
      </c>
      <c r="D4862" s="8" t="s">
        <v>21</v>
      </c>
      <c r="E4862" s="10" t="s">
        <v>690</v>
      </c>
      <c r="F4862" s="8" t="str">
        <f aca="false">TEXT(A4862,"MM-YYYY")</f>
        <v>11-2025</v>
      </c>
      <c r="G4862" s="8" t="s">
        <v>14</v>
      </c>
      <c r="H4862" s="8" t="s">
        <v>232</v>
      </c>
      <c r="I4862" s="7" t="n">
        <v>45979</v>
      </c>
      <c r="J4862" s="8" t="str">
        <f aca="false">VLOOKUP(B4862, Table3[#All], 2, FALSE())</f>
        <v>Salary</v>
      </c>
      <c r="K4862" s="8" t="str">
        <f aca="false">TEXT(ROW(), "0000")</f>
        <v>4862</v>
      </c>
      <c r="L4862" s="8"/>
    </row>
    <row r="4863" customFormat="false" ht="15.75" hidden="false" customHeight="true" outlineLevel="0" collapsed="false">
      <c r="A4863" s="7" t="n">
        <v>45979</v>
      </c>
      <c r="B4863" s="8" t="s">
        <v>29</v>
      </c>
      <c r="C4863" s="9" t="n">
        <v>20</v>
      </c>
      <c r="D4863" s="8" t="s">
        <v>21</v>
      </c>
      <c r="E4863" s="10" t="s">
        <v>65</v>
      </c>
      <c r="F4863" s="8" t="str">
        <f aca="false">TEXT(A4863,"MM-YYYY")</f>
        <v>11-2025</v>
      </c>
      <c r="G4863" s="8" t="s">
        <v>14</v>
      </c>
      <c r="H4863" s="8" t="s">
        <v>232</v>
      </c>
      <c r="I4863" s="7"/>
      <c r="J4863" s="8" t="str">
        <f aca="false">VLOOKUP(B4863, Table3[#All], 2, FALSE())</f>
        <v>Inventory</v>
      </c>
      <c r="K4863" s="8" t="str">
        <f aca="false">TEXT(ROW(), "0000")</f>
        <v>4863</v>
      </c>
      <c r="L4863" s="8"/>
    </row>
    <row r="4864" customFormat="false" ht="15.75" hidden="false" customHeight="true" outlineLevel="0" collapsed="false">
      <c r="A4864" s="7" t="n">
        <v>45979</v>
      </c>
      <c r="B4864" s="8" t="s">
        <v>29</v>
      </c>
      <c r="C4864" s="9" t="n">
        <v>400</v>
      </c>
      <c r="D4864" s="8" t="s">
        <v>13</v>
      </c>
      <c r="E4864" s="10" t="s">
        <v>490</v>
      </c>
      <c r="F4864" s="8" t="str">
        <f aca="false">TEXT(A4864,"MM-YYYY")</f>
        <v>11-2025</v>
      </c>
      <c r="G4864" s="8" t="s">
        <v>18</v>
      </c>
      <c r="H4864" s="8"/>
      <c r="I4864" s="7"/>
      <c r="J4864" s="8" t="str">
        <f aca="false">VLOOKUP(B4864, Table3[#All], 2, FALSE())</f>
        <v>Inventory</v>
      </c>
      <c r="K4864" s="8" t="str">
        <f aca="false">TEXT(ROW(), "0000")</f>
        <v>4864</v>
      </c>
      <c r="L4864" s="8"/>
    </row>
    <row r="4865" customFormat="false" ht="15.75" hidden="false" customHeight="true" outlineLevel="0" collapsed="false">
      <c r="A4865" s="7" t="n">
        <v>45979</v>
      </c>
      <c r="B4865" s="8" t="s">
        <v>16</v>
      </c>
      <c r="C4865" s="9" t="n">
        <v>2128</v>
      </c>
      <c r="D4865" s="8" t="s">
        <v>21</v>
      </c>
      <c r="E4865" s="10" t="s">
        <v>88</v>
      </c>
      <c r="F4865" s="27" t="n">
        <v>45962</v>
      </c>
      <c r="G4865" s="8"/>
      <c r="H4865" s="8"/>
      <c r="I4865" s="7"/>
      <c r="J4865" s="8" t="str">
        <f aca="false">VLOOKUP(B4865, Table3[#All], 2, FALSE())</f>
        <v>Sales</v>
      </c>
      <c r="K4865" s="8" t="str">
        <f aca="false">TEXT(ROW(), "0000")</f>
        <v>4865</v>
      </c>
      <c r="L4865" s="8"/>
    </row>
    <row r="4866" customFormat="false" ht="15.75" hidden="false" customHeight="true" outlineLevel="0" collapsed="false">
      <c r="A4866" s="7" t="n">
        <v>45979</v>
      </c>
      <c r="B4866" s="8" t="s">
        <v>16</v>
      </c>
      <c r="C4866" s="9" t="n">
        <v>15003</v>
      </c>
      <c r="D4866" s="8" t="s">
        <v>17</v>
      </c>
      <c r="E4866" s="10" t="s">
        <v>88</v>
      </c>
      <c r="F4866" s="8" t="str">
        <f aca="false">TEXT(A4866,"MM-YYYY")</f>
        <v>11-2025</v>
      </c>
      <c r="G4866" s="8"/>
      <c r="H4866" s="8"/>
      <c r="I4866" s="7"/>
      <c r="J4866" s="8" t="str">
        <f aca="false">VLOOKUP(B4866, Table3[#All], 2, FALSE())</f>
        <v>Sales</v>
      </c>
      <c r="K4866" s="8" t="str">
        <f aca="false">TEXT(ROW(), "0000")</f>
        <v>4866</v>
      </c>
      <c r="L4866" s="8"/>
    </row>
    <row r="4867" customFormat="false" ht="15.75" hidden="false" customHeight="true" outlineLevel="0" collapsed="false">
      <c r="A4867" s="7" t="n">
        <v>45979</v>
      </c>
      <c r="B4867" s="8" t="s">
        <v>16</v>
      </c>
      <c r="C4867" s="9" t="n">
        <v>530</v>
      </c>
      <c r="D4867" s="8" t="s">
        <v>70</v>
      </c>
      <c r="E4867" s="10" t="s">
        <v>101</v>
      </c>
      <c r="F4867" s="8" t="str">
        <f aca="false">TEXT(A4867,"MM-YYYY")</f>
        <v>11-2025</v>
      </c>
      <c r="G4867" s="8"/>
      <c r="H4867" s="8"/>
      <c r="I4867" s="7"/>
      <c r="J4867" s="8" t="str">
        <f aca="false">VLOOKUP(B4867, Table3[#All], 2, FALSE())</f>
        <v>Sales</v>
      </c>
      <c r="K4867" s="8" t="str">
        <f aca="false">TEXT(ROW(), "0000")</f>
        <v>4867</v>
      </c>
      <c r="L4867" s="8"/>
    </row>
    <row r="4868" customFormat="false" ht="15.75" hidden="false" customHeight="true" outlineLevel="0" collapsed="false">
      <c r="A4868" s="7" t="n">
        <v>45979</v>
      </c>
      <c r="B4868" s="8" t="s">
        <v>16</v>
      </c>
      <c r="C4868" s="9" t="n">
        <v>3392</v>
      </c>
      <c r="D4868" s="8" t="s">
        <v>24</v>
      </c>
      <c r="E4868" s="10" t="s">
        <v>88</v>
      </c>
      <c r="F4868" s="8" t="str">
        <f aca="false">TEXT(A4868,"MM-YYYY")</f>
        <v>11-2025</v>
      </c>
      <c r="G4868" s="8"/>
      <c r="H4868" s="8"/>
      <c r="I4868" s="7"/>
      <c r="J4868" s="8" t="str">
        <f aca="false">VLOOKUP(B4868, Table3[#All], 2, FALSE())</f>
        <v>Sales</v>
      </c>
      <c r="K4868" s="8" t="str">
        <f aca="false">TEXT(ROW(), "0000")</f>
        <v>4868</v>
      </c>
      <c r="L4868" s="8"/>
    </row>
    <row r="4869" customFormat="false" ht="15.75" hidden="false" customHeight="true" outlineLevel="0" collapsed="false">
      <c r="A4869" s="7" t="n">
        <v>45979</v>
      </c>
      <c r="B4869" s="8" t="s">
        <v>16</v>
      </c>
      <c r="C4869" s="9" t="n">
        <v>210</v>
      </c>
      <c r="D4869" s="8" t="s">
        <v>27</v>
      </c>
      <c r="E4869" s="10" t="s">
        <v>101</v>
      </c>
      <c r="F4869" s="8" t="str">
        <f aca="false">TEXT(A4869,"MM-YYYY")</f>
        <v>11-2025</v>
      </c>
      <c r="G4869" s="8"/>
      <c r="H4869" s="8"/>
      <c r="I4869" s="7"/>
      <c r="J4869" s="8" t="str">
        <f aca="false">VLOOKUP(B4869, Table3[#All], 2, FALSE())</f>
        <v>Sales</v>
      </c>
      <c r="K4869" s="8" t="str">
        <f aca="false">TEXT(ROW(), "0000")</f>
        <v>4869</v>
      </c>
      <c r="L4869" s="8"/>
    </row>
    <row r="4870" customFormat="false" ht="15.75" hidden="false" customHeight="true" outlineLevel="0" collapsed="false">
      <c r="A4870" s="7" t="n">
        <v>45979</v>
      </c>
      <c r="B4870" s="8" t="s">
        <v>25</v>
      </c>
      <c r="C4870" s="9" t="n">
        <v>30</v>
      </c>
      <c r="D4870" s="8" t="s">
        <v>45</v>
      </c>
      <c r="E4870" s="10" t="s">
        <v>34</v>
      </c>
      <c r="F4870" s="8" t="str">
        <f aca="false">TEXT(A4870,"MM-YYYY")</f>
        <v>11-2025</v>
      </c>
      <c r="G4870" s="8" t="s">
        <v>14</v>
      </c>
      <c r="H4870" s="8"/>
      <c r="I4870" s="7"/>
      <c r="J4870" s="8" t="str">
        <f aca="false">VLOOKUP(B4870, Table3[#All], 2, FALSE())</f>
        <v>Inventory</v>
      </c>
      <c r="K4870" s="8" t="str">
        <f aca="false">TEXT(ROW(), "0000")</f>
        <v>4870</v>
      </c>
      <c r="L4870" s="8"/>
    </row>
    <row r="4871" customFormat="false" ht="15.75" hidden="false" customHeight="true" outlineLevel="0" collapsed="false">
      <c r="A4871" s="7" t="n">
        <v>45979</v>
      </c>
      <c r="B4871" s="8" t="s">
        <v>25</v>
      </c>
      <c r="C4871" s="9" t="n">
        <v>30</v>
      </c>
      <c r="D4871" s="8" t="s">
        <v>45</v>
      </c>
      <c r="E4871" s="10" t="s">
        <v>42</v>
      </c>
      <c r="F4871" s="8" t="str">
        <f aca="false">TEXT(A4871,"MM-YYYY")</f>
        <v>11-2025</v>
      </c>
      <c r="G4871" s="8" t="s">
        <v>14</v>
      </c>
      <c r="H4871" s="8"/>
      <c r="I4871" s="7"/>
      <c r="J4871" s="8" t="str">
        <f aca="false">VLOOKUP(B4871, Table3[#All], 2, FALSE())</f>
        <v>Inventory</v>
      </c>
      <c r="K4871" s="8" t="str">
        <f aca="false">TEXT(ROW(), "0000")</f>
        <v>4871</v>
      </c>
      <c r="L4871" s="8"/>
    </row>
    <row r="4872" customFormat="false" ht="15.75" hidden="false" customHeight="true" outlineLevel="0" collapsed="false">
      <c r="A4872" s="7" t="n">
        <v>45980</v>
      </c>
      <c r="B4872" s="8" t="s">
        <v>19</v>
      </c>
      <c r="C4872" s="9" t="n">
        <v>5008</v>
      </c>
      <c r="D4872" s="8" t="s">
        <v>13</v>
      </c>
      <c r="E4872" s="10" t="s">
        <v>417</v>
      </c>
      <c r="F4872" s="8" t="str">
        <f aca="false">TEXT(A4872,"MM-YYYY")</f>
        <v>11-2025</v>
      </c>
      <c r="G4872" s="8" t="s">
        <v>18</v>
      </c>
      <c r="H4872" s="8"/>
      <c r="I4872" s="7"/>
      <c r="J4872" s="8" t="str">
        <f aca="false">VLOOKUP(B4872, Table3[#All], 2, FALSE())</f>
        <v>Inventory</v>
      </c>
      <c r="K4872" s="8" t="str">
        <f aca="false">TEXT(ROW(), "0000")</f>
        <v>4872</v>
      </c>
      <c r="L4872" s="8"/>
    </row>
    <row r="4873" customFormat="false" ht="15.75" hidden="false" customHeight="true" outlineLevel="0" collapsed="false">
      <c r="A4873" s="7" t="n">
        <v>45980</v>
      </c>
      <c r="B4873" s="8" t="s">
        <v>25</v>
      </c>
      <c r="C4873" s="9" t="n">
        <v>1015</v>
      </c>
      <c r="D4873" s="8" t="s">
        <v>13</v>
      </c>
      <c r="E4873" s="10" t="s">
        <v>92</v>
      </c>
      <c r="F4873" s="8" t="str">
        <f aca="false">TEXT(A4873,"MM-YYYY")</f>
        <v>11-2025</v>
      </c>
      <c r="G4873" s="8" t="s">
        <v>18</v>
      </c>
      <c r="H4873" s="8"/>
      <c r="I4873" s="7"/>
      <c r="J4873" s="8" t="str">
        <f aca="false">VLOOKUP(B4873, Table3[#All], 2, FALSE())</f>
        <v>Inventory</v>
      </c>
      <c r="K4873" s="8" t="str">
        <f aca="false">TEXT(ROW(), "0000")</f>
        <v>4873</v>
      </c>
      <c r="L4873" s="8"/>
    </row>
    <row r="4874" customFormat="false" ht="15.75" hidden="false" customHeight="true" outlineLevel="0" collapsed="false">
      <c r="A4874" s="7" t="n">
        <v>45980</v>
      </c>
      <c r="B4874" s="8" t="s">
        <v>29</v>
      </c>
      <c r="C4874" s="9" t="n">
        <v>370</v>
      </c>
      <c r="D4874" s="8" t="s">
        <v>45</v>
      </c>
      <c r="E4874" s="10" t="s">
        <v>78</v>
      </c>
      <c r="F4874" s="8" t="str">
        <f aca="false">TEXT(A4874,"MM-YYYY")</f>
        <v>11-2025</v>
      </c>
      <c r="G4874" s="8" t="s">
        <v>14</v>
      </c>
      <c r="H4874" s="8"/>
      <c r="I4874" s="7"/>
      <c r="J4874" s="8" t="str">
        <f aca="false">VLOOKUP(B4874, Table3[#All], 2, FALSE())</f>
        <v>Inventory</v>
      </c>
      <c r="K4874" s="8" t="str">
        <f aca="false">TEXT(ROW(), "0000")</f>
        <v>4874</v>
      </c>
      <c r="L4874" s="8"/>
    </row>
    <row r="4875" customFormat="false" ht="15.75" hidden="false" customHeight="true" outlineLevel="0" collapsed="false">
      <c r="A4875" s="7" t="n">
        <v>45980</v>
      </c>
      <c r="B4875" s="8" t="s">
        <v>43</v>
      </c>
      <c r="C4875" s="9" t="n">
        <v>50</v>
      </c>
      <c r="D4875" s="8" t="s">
        <v>45</v>
      </c>
      <c r="E4875" s="10" t="s">
        <v>691</v>
      </c>
      <c r="F4875" s="8" t="str">
        <f aca="false">TEXT(A4875,"MM-YYYY")</f>
        <v>11-2025</v>
      </c>
      <c r="G4875" s="8" t="s">
        <v>14</v>
      </c>
      <c r="H4875" s="8"/>
      <c r="I4875" s="7"/>
      <c r="J4875" s="8" t="str">
        <f aca="false">VLOOKUP(B4875, Table3[#All], 2, FALSE())</f>
        <v>Maintance</v>
      </c>
      <c r="K4875" s="8" t="str">
        <f aca="false">TEXT(ROW(), "0000")</f>
        <v>4875</v>
      </c>
      <c r="L4875" s="8"/>
    </row>
    <row r="4876" customFormat="false" ht="15.75" hidden="false" customHeight="true" outlineLevel="0" collapsed="false">
      <c r="A4876" s="7" t="n">
        <v>45980</v>
      </c>
      <c r="B4876" s="8" t="s">
        <v>22</v>
      </c>
      <c r="C4876" s="9" t="n">
        <v>15850</v>
      </c>
      <c r="D4876" s="8" t="s">
        <v>13</v>
      </c>
      <c r="E4876" s="10" t="s">
        <v>23</v>
      </c>
      <c r="F4876" s="8" t="str">
        <f aca="false">TEXT(A4876,"MM-YYYY")</f>
        <v>11-2025</v>
      </c>
      <c r="G4876" s="8" t="s">
        <v>18</v>
      </c>
      <c r="H4876" s="8"/>
      <c r="I4876" s="7"/>
      <c r="J4876" s="8" t="str">
        <f aca="false">VLOOKUP(B4876, Table3[#All], 2, FALSE())</f>
        <v>Inventory</v>
      </c>
      <c r="K4876" s="8" t="str">
        <f aca="false">TEXT(ROW(), "0000")</f>
        <v>4876</v>
      </c>
      <c r="L4876" s="8"/>
    </row>
    <row r="4877" customFormat="false" ht="15.75" hidden="false" customHeight="true" outlineLevel="0" collapsed="false">
      <c r="A4877" s="7" t="n">
        <v>45980</v>
      </c>
      <c r="B4877" s="8" t="s">
        <v>22</v>
      </c>
      <c r="C4877" s="9" t="n">
        <v>280</v>
      </c>
      <c r="D4877" s="8" t="s">
        <v>45</v>
      </c>
      <c r="E4877" s="10" t="s">
        <v>692</v>
      </c>
      <c r="F4877" s="8" t="str">
        <f aca="false">TEXT(A4877,"MM-YYYY")</f>
        <v>11-2025</v>
      </c>
      <c r="G4877" s="8" t="s">
        <v>14</v>
      </c>
      <c r="H4877" s="8"/>
      <c r="I4877" s="7"/>
      <c r="J4877" s="8" t="str">
        <f aca="false">VLOOKUP(B4877, Table3[#All], 2, FALSE())</f>
        <v>Inventory</v>
      </c>
      <c r="K4877" s="8" t="str">
        <f aca="false">TEXT(ROW(), "0000")</f>
        <v>4877</v>
      </c>
      <c r="L4877" s="8"/>
    </row>
    <row r="4878" customFormat="false" ht="15.75" hidden="false" customHeight="true" outlineLevel="0" collapsed="false">
      <c r="A4878" s="7" t="n">
        <v>45980</v>
      </c>
      <c r="B4878" s="8" t="s">
        <v>28</v>
      </c>
      <c r="C4878" s="9" t="n">
        <v>426</v>
      </c>
      <c r="D4878" s="8" t="s">
        <v>45</v>
      </c>
      <c r="E4878" s="10" t="s">
        <v>93</v>
      </c>
      <c r="F4878" s="8" t="str">
        <f aca="false">TEXT(A4878,"MM-YYYY")</f>
        <v>11-2025</v>
      </c>
      <c r="G4878" s="8" t="s">
        <v>14</v>
      </c>
      <c r="H4878" s="8" t="s">
        <v>232</v>
      </c>
      <c r="I4878" s="7"/>
      <c r="J4878" s="8" t="str">
        <f aca="false">VLOOKUP(B4878, Table3[#All], 2, FALSE())</f>
        <v>Grocery</v>
      </c>
      <c r="K4878" s="8" t="str">
        <f aca="false">TEXT(ROW(), "0000")</f>
        <v>4878</v>
      </c>
      <c r="L4878" s="8"/>
    </row>
    <row r="4879" customFormat="false" ht="15.75" hidden="false" customHeight="true" outlineLevel="0" collapsed="false">
      <c r="A4879" s="7" t="n">
        <v>45980</v>
      </c>
      <c r="B4879" s="8" t="s">
        <v>29</v>
      </c>
      <c r="C4879" s="9" t="n">
        <v>495</v>
      </c>
      <c r="D4879" s="8" t="s">
        <v>13</v>
      </c>
      <c r="E4879" s="10" t="s">
        <v>490</v>
      </c>
      <c r="F4879" s="8" t="str">
        <f aca="false">TEXT(A4879,"MM-YYYY")</f>
        <v>11-2025</v>
      </c>
      <c r="G4879" s="8" t="s">
        <v>18</v>
      </c>
      <c r="H4879" s="8" t="s">
        <v>232</v>
      </c>
      <c r="I4879" s="7"/>
      <c r="J4879" s="8" t="str">
        <f aca="false">VLOOKUP(B4879, Table3[#All], 2, FALSE())</f>
        <v>Inventory</v>
      </c>
      <c r="K4879" s="8" t="str">
        <f aca="false">TEXT(ROW(), "0000")</f>
        <v>4879</v>
      </c>
      <c r="L4879" s="8"/>
    </row>
    <row r="4880" customFormat="false" ht="15.75" hidden="false" customHeight="true" outlineLevel="0" collapsed="false">
      <c r="A4880" s="7" t="n">
        <v>45980</v>
      </c>
      <c r="B4880" s="8" t="s">
        <v>37</v>
      </c>
      <c r="C4880" s="9" t="n">
        <v>30</v>
      </c>
      <c r="D4880" s="8" t="s">
        <v>21</v>
      </c>
      <c r="E4880" s="10" t="s">
        <v>635</v>
      </c>
      <c r="F4880" s="8" t="str">
        <f aca="false">TEXT(A4880,"MM-YYYY")</f>
        <v>11-2025</v>
      </c>
      <c r="G4880" s="8" t="s">
        <v>14</v>
      </c>
      <c r="H4880" s="8" t="s">
        <v>232</v>
      </c>
      <c r="I4880" s="7"/>
      <c r="J4880" s="8" t="str">
        <f aca="false">VLOOKUP(B4880, Table3[#All], 2, FALSE())</f>
        <v>Maintance</v>
      </c>
      <c r="K4880" s="8" t="str">
        <f aca="false">TEXT(ROW(), "0000")</f>
        <v>4880</v>
      </c>
      <c r="L4880" s="8"/>
    </row>
    <row r="4881" customFormat="false" ht="15.75" hidden="false" customHeight="true" outlineLevel="0" collapsed="false">
      <c r="A4881" s="7" t="n">
        <v>45980</v>
      </c>
      <c r="B4881" s="8" t="s">
        <v>22</v>
      </c>
      <c r="C4881" s="9" t="n">
        <v>120</v>
      </c>
      <c r="D4881" s="8" t="s">
        <v>45</v>
      </c>
      <c r="E4881" s="10" t="s">
        <v>693</v>
      </c>
      <c r="F4881" s="8" t="str">
        <f aca="false">TEXT(A4881,"MM-YYYY")</f>
        <v>11-2025</v>
      </c>
      <c r="G4881" s="8" t="s">
        <v>14</v>
      </c>
      <c r="H4881" s="8" t="s">
        <v>232</v>
      </c>
      <c r="I4881" s="7"/>
      <c r="J4881" s="8" t="str">
        <f aca="false">VLOOKUP(B4881, Table3[#All], 2, FALSE())</f>
        <v>Inventory</v>
      </c>
      <c r="K4881" s="8" t="str">
        <f aca="false">TEXT(ROW(), "0000")</f>
        <v>4881</v>
      </c>
      <c r="L4881" s="8"/>
    </row>
    <row r="4882" customFormat="false" ht="15.75" hidden="false" customHeight="true" outlineLevel="0" collapsed="false">
      <c r="A4882" s="7" t="n">
        <v>45980</v>
      </c>
      <c r="B4882" s="8" t="s">
        <v>25</v>
      </c>
      <c r="C4882" s="9" t="n">
        <v>90</v>
      </c>
      <c r="D4882" s="8" t="s">
        <v>45</v>
      </c>
      <c r="E4882" s="10" t="s">
        <v>42</v>
      </c>
      <c r="F4882" s="8" t="str">
        <f aca="false">TEXT(A4882,"MM-YYYY")</f>
        <v>11-2025</v>
      </c>
      <c r="G4882" s="8" t="s">
        <v>14</v>
      </c>
      <c r="H4882" s="8" t="s">
        <v>232</v>
      </c>
      <c r="I4882" s="7"/>
      <c r="J4882" s="8" t="str">
        <f aca="false">VLOOKUP(B4882, Table3[#All], 2, FALSE())</f>
        <v>Inventory</v>
      </c>
      <c r="K4882" s="8" t="str">
        <f aca="false">TEXT(ROW(), "0000")</f>
        <v>4882</v>
      </c>
      <c r="L4882" s="8"/>
    </row>
    <row r="4883" customFormat="false" ht="15.75" hidden="false" customHeight="true" outlineLevel="0" collapsed="false">
      <c r="A4883" s="7" t="n">
        <v>45980</v>
      </c>
      <c r="B4883" s="8" t="s">
        <v>16</v>
      </c>
      <c r="C4883" s="9" t="n">
        <v>3679</v>
      </c>
      <c r="D4883" s="8" t="s">
        <v>21</v>
      </c>
      <c r="E4883" s="8" t="s">
        <v>88</v>
      </c>
      <c r="F4883" s="8" t="str">
        <f aca="false">TEXT(A4883,"MM-YYYY")</f>
        <v>11-2025</v>
      </c>
      <c r="G4883" s="8"/>
      <c r="H4883" s="8"/>
      <c r="I4883" s="7"/>
      <c r="J4883" s="8" t="str">
        <f aca="false">VLOOKUP(B4883, Table3[#All], 2, FALSE())</f>
        <v>Sales</v>
      </c>
      <c r="K4883" s="8" t="str">
        <f aca="false">TEXT(ROW(), "0000")</f>
        <v>4883</v>
      </c>
      <c r="L4883" s="8"/>
    </row>
    <row r="4884" customFormat="false" ht="15.75" hidden="false" customHeight="true" outlineLevel="0" collapsed="false">
      <c r="A4884" s="7" t="n">
        <v>45980</v>
      </c>
      <c r="B4884" s="8" t="s">
        <v>16</v>
      </c>
      <c r="C4884" s="9" t="n">
        <v>2087</v>
      </c>
      <c r="D4884" s="8" t="s">
        <v>33</v>
      </c>
      <c r="E4884" s="8" t="s">
        <v>88</v>
      </c>
      <c r="F4884" s="8" t="str">
        <f aca="false">TEXT(A4884,"MM-YYYY")</f>
        <v>11-2025</v>
      </c>
      <c r="G4884" s="8"/>
      <c r="H4884" s="8"/>
      <c r="I4884" s="7"/>
      <c r="J4884" s="8" t="str">
        <f aca="false">VLOOKUP(B4884, Table3[#All], 2, FALSE())</f>
        <v>Sales</v>
      </c>
      <c r="K4884" s="8" t="str">
        <f aca="false">TEXT(ROW(), "0000")</f>
        <v>4884</v>
      </c>
      <c r="L4884" s="8"/>
    </row>
    <row r="4885" customFormat="false" ht="15.75" hidden="false" customHeight="true" outlineLevel="0" collapsed="false">
      <c r="A4885" s="7" t="n">
        <v>45980</v>
      </c>
      <c r="B4885" s="8" t="s">
        <v>16</v>
      </c>
      <c r="C4885" s="9" t="n">
        <v>3818</v>
      </c>
      <c r="D4885" s="8" t="s">
        <v>24</v>
      </c>
      <c r="E4885" s="8" t="s">
        <v>101</v>
      </c>
      <c r="F4885" s="8" t="str">
        <f aca="false">TEXT(A4885,"MM-YYYY")</f>
        <v>11-2025</v>
      </c>
      <c r="G4885" s="8"/>
      <c r="H4885" s="8"/>
      <c r="I4885" s="7"/>
      <c r="J4885" s="8" t="str">
        <f aca="false">VLOOKUP(B4885, Table3[#All], 2, FALSE())</f>
        <v>Sales</v>
      </c>
      <c r="K4885" s="8" t="str">
        <f aca="false">TEXT(ROW(), "0000")</f>
        <v>4885</v>
      </c>
      <c r="L4885" s="8"/>
    </row>
    <row r="4886" customFormat="false" ht="15.75" hidden="false" customHeight="true" outlineLevel="0" collapsed="false">
      <c r="A4886" s="7" t="n">
        <v>45980</v>
      </c>
      <c r="B4886" s="8" t="s">
        <v>16</v>
      </c>
      <c r="C4886" s="9" t="n">
        <v>21141</v>
      </c>
      <c r="D4886" s="8" t="s">
        <v>17</v>
      </c>
      <c r="E4886" s="8" t="s">
        <v>101</v>
      </c>
      <c r="F4886" s="8" t="str">
        <f aca="false">TEXT(A4886,"MM-YYYY")</f>
        <v>11-2025</v>
      </c>
      <c r="G4886" s="8"/>
      <c r="H4886" s="8"/>
      <c r="I4886" s="7"/>
      <c r="J4886" s="8" t="str">
        <f aca="false">VLOOKUP(B4886, Table3[#All], 2, FALSE())</f>
        <v>Sales</v>
      </c>
      <c r="K4886" s="8" t="str">
        <f aca="false">TEXT(ROW(), "0000")</f>
        <v>4886</v>
      </c>
      <c r="L4886" s="8"/>
    </row>
    <row r="4887" customFormat="false" ht="15.75" hidden="false" customHeight="true" outlineLevel="0" collapsed="false">
      <c r="A4887" s="7" t="n">
        <v>45980</v>
      </c>
      <c r="B4887" s="8" t="s">
        <v>16</v>
      </c>
      <c r="C4887" s="9" t="n">
        <v>1010</v>
      </c>
      <c r="D4887" s="8" t="s">
        <v>59</v>
      </c>
      <c r="E4887" s="8" t="s">
        <v>101</v>
      </c>
      <c r="F4887" s="8" t="str">
        <f aca="false">TEXT(A4887,"MM-YYYY")</f>
        <v>11-2025</v>
      </c>
      <c r="G4887" s="8"/>
      <c r="H4887" s="8"/>
      <c r="I4887" s="7"/>
      <c r="J4887" s="8" t="str">
        <f aca="false">VLOOKUP(B4887, Table3[#All], 2, FALSE())</f>
        <v>Sales</v>
      </c>
      <c r="K4887" s="8" t="str">
        <f aca="false">TEXT(ROW(), "0000")</f>
        <v>4887</v>
      </c>
      <c r="L4887" s="8"/>
    </row>
    <row r="4888" customFormat="false" ht="15.75" hidden="false" customHeight="true" outlineLevel="0" collapsed="false">
      <c r="A4888" s="7" t="n">
        <v>45980</v>
      </c>
      <c r="B4888" s="8" t="s">
        <v>22</v>
      </c>
      <c r="C4888" s="9" t="n">
        <v>100</v>
      </c>
      <c r="D4888" s="8" t="s">
        <v>45</v>
      </c>
      <c r="E4888" s="10" t="s">
        <v>694</v>
      </c>
      <c r="F4888" s="8" t="str">
        <f aca="false">TEXT(A4888,"MM-YYYY")</f>
        <v>11-2025</v>
      </c>
      <c r="G4888" s="8" t="s">
        <v>14</v>
      </c>
      <c r="H4888" s="8"/>
      <c r="I4888" s="7"/>
      <c r="J4888" s="8" t="str">
        <f aca="false">VLOOKUP(B4888, Table3[#All], 2, FALSE())</f>
        <v>Inventory</v>
      </c>
      <c r="K4888" s="8" t="str">
        <f aca="false">TEXT(ROW(), "0000")</f>
        <v>4888</v>
      </c>
      <c r="L4888" s="8"/>
    </row>
    <row r="4889" customFormat="false" ht="15.75" hidden="false" customHeight="true" outlineLevel="0" collapsed="false">
      <c r="A4889" s="7" t="n">
        <v>45980</v>
      </c>
      <c r="B4889" s="8" t="s">
        <v>43</v>
      </c>
      <c r="C4889" s="9" t="n">
        <v>1600</v>
      </c>
      <c r="D4889" s="8" t="s">
        <v>13</v>
      </c>
      <c r="E4889" s="10" t="s">
        <v>695</v>
      </c>
      <c r="F4889" s="8" t="str">
        <f aca="false">TEXT(A4889,"MM-YYYY")</f>
        <v>11-2025</v>
      </c>
      <c r="G4889" s="8" t="s">
        <v>14</v>
      </c>
      <c r="H4889" s="8" t="s">
        <v>262</v>
      </c>
      <c r="I4889" s="7"/>
      <c r="J4889" s="8" t="str">
        <f aca="false">VLOOKUP(B4889, Table3[#All], 2, FALSE())</f>
        <v>Maintance</v>
      </c>
      <c r="K4889" s="8" t="str">
        <f aca="false">TEXT(ROW(), "0000")</f>
        <v>4889</v>
      </c>
      <c r="L4889" s="8"/>
    </row>
    <row r="4890" customFormat="false" ht="15.75" hidden="false" customHeight="true" outlineLevel="0" collapsed="false">
      <c r="A4890" s="7" t="n">
        <v>45981</v>
      </c>
      <c r="B4890" s="8" t="s">
        <v>19</v>
      </c>
      <c r="C4890" s="9" t="n">
        <v>5089</v>
      </c>
      <c r="D4890" s="8" t="s">
        <v>13</v>
      </c>
      <c r="E4890" s="10" t="s">
        <v>417</v>
      </c>
      <c r="F4890" s="8" t="str">
        <f aca="false">TEXT(A4890,"MM-YYYY")</f>
        <v>11-2025</v>
      </c>
      <c r="G4890" s="8" t="s">
        <v>18</v>
      </c>
      <c r="H4890" s="8"/>
      <c r="I4890" s="7"/>
      <c r="J4890" s="8" t="str">
        <f aca="false">VLOOKUP(B4890, Table3[#All], 2, FALSE())</f>
        <v>Inventory</v>
      </c>
      <c r="K4890" s="8" t="str">
        <f aca="false">TEXT(ROW(), "0000")</f>
        <v>4890</v>
      </c>
      <c r="L4890" s="8"/>
    </row>
    <row r="4891" customFormat="false" ht="15.75" hidden="false" customHeight="true" outlineLevel="0" collapsed="false">
      <c r="A4891" s="7" t="n">
        <v>45981</v>
      </c>
      <c r="B4891" s="8" t="s">
        <v>34</v>
      </c>
      <c r="C4891" s="9" t="n">
        <v>70</v>
      </c>
      <c r="D4891" s="8" t="s">
        <v>45</v>
      </c>
      <c r="E4891" s="10" t="s">
        <v>34</v>
      </c>
      <c r="F4891" s="8" t="str">
        <f aca="false">TEXT(A4891,"MM-YYYY")</f>
        <v>11-2025</v>
      </c>
      <c r="G4891" s="8" t="s">
        <v>14</v>
      </c>
      <c r="H4891" s="8" t="s">
        <v>232</v>
      </c>
      <c r="I4891" s="7"/>
      <c r="J4891" s="8" t="str">
        <f aca="false">VLOOKUP(B4891, Table3[#All], 2, FALSE())</f>
        <v>Staff Expenses</v>
      </c>
      <c r="K4891" s="8" t="str">
        <f aca="false">TEXT(ROW(), "0000")</f>
        <v>4891</v>
      </c>
      <c r="L4891" s="8"/>
    </row>
    <row r="4892" customFormat="false" ht="15.75" hidden="false" customHeight="true" outlineLevel="0" collapsed="false">
      <c r="A4892" s="7" t="n">
        <v>45981</v>
      </c>
      <c r="B4892" s="8" t="s">
        <v>25</v>
      </c>
      <c r="C4892" s="9" t="n">
        <v>300</v>
      </c>
      <c r="D4892" s="8" t="s">
        <v>45</v>
      </c>
      <c r="E4892" s="10" t="s">
        <v>696</v>
      </c>
      <c r="F4892" s="8" t="str">
        <f aca="false">TEXT(A4892,"MM-YYYY")</f>
        <v>11-2025</v>
      </c>
      <c r="G4892" s="8" t="s">
        <v>14</v>
      </c>
      <c r="H4892" s="8" t="s">
        <v>232</v>
      </c>
      <c r="I4892" s="7"/>
      <c r="J4892" s="8" t="str">
        <f aca="false">VLOOKUP(B4892, Table3[#All], 2, FALSE())</f>
        <v>Inventory</v>
      </c>
      <c r="K4892" s="8" t="str">
        <f aca="false">TEXT(ROW(), "0000")</f>
        <v>4892</v>
      </c>
      <c r="L4892" s="8"/>
    </row>
    <row r="4893" customFormat="false" ht="15.75" hidden="false" customHeight="true" outlineLevel="0" collapsed="false">
      <c r="A4893" s="7" t="n">
        <v>45981</v>
      </c>
      <c r="B4893" s="8" t="s">
        <v>25</v>
      </c>
      <c r="C4893" s="9" t="n">
        <v>40</v>
      </c>
      <c r="D4893" s="8" t="s">
        <v>21</v>
      </c>
      <c r="E4893" s="10" t="s">
        <v>689</v>
      </c>
      <c r="F4893" s="8" t="str">
        <f aca="false">TEXT(A4893,"MM-YYYY")</f>
        <v>11-2025</v>
      </c>
      <c r="G4893" s="8" t="s">
        <v>14</v>
      </c>
      <c r="H4893" s="8"/>
      <c r="I4893" s="7"/>
      <c r="J4893" s="8" t="str">
        <f aca="false">VLOOKUP(B4893, Table3[#All], 2, FALSE())</f>
        <v>Inventory</v>
      </c>
      <c r="K4893" s="8" t="str">
        <f aca="false">TEXT(ROW(), "0000")</f>
        <v>4893</v>
      </c>
      <c r="L4893" s="8"/>
    </row>
    <row r="4894" customFormat="false" ht="15.75" hidden="false" customHeight="true" outlineLevel="0" collapsed="false">
      <c r="A4894" s="7" t="n">
        <v>45981</v>
      </c>
      <c r="B4894" s="8" t="s">
        <v>69</v>
      </c>
      <c r="C4894" s="9" t="n">
        <v>700</v>
      </c>
      <c r="D4894" s="8" t="s">
        <v>21</v>
      </c>
      <c r="E4894" s="10" t="s">
        <v>697</v>
      </c>
      <c r="F4894" s="8" t="str">
        <f aca="false">TEXT(A4894,"MM-YYYY")</f>
        <v>11-2025</v>
      </c>
      <c r="G4894" s="8" t="s">
        <v>14</v>
      </c>
      <c r="H4894" s="8" t="s">
        <v>232</v>
      </c>
      <c r="I4894" s="7" t="n">
        <v>45981</v>
      </c>
      <c r="J4894" s="8" t="str">
        <f aca="false">VLOOKUP(B4894, Table3[#All], 2, FALSE())</f>
        <v>Fixed Maintance</v>
      </c>
      <c r="K4894" s="8" t="str">
        <f aca="false">TEXT(ROW(), "0000")</f>
        <v>4894</v>
      </c>
      <c r="L4894" s="8"/>
    </row>
    <row r="4895" customFormat="false" ht="15.75" hidden="false" customHeight="true" outlineLevel="0" collapsed="false">
      <c r="A4895" s="7" t="n">
        <v>45981</v>
      </c>
      <c r="B4895" s="8" t="s">
        <v>34</v>
      </c>
      <c r="C4895" s="9" t="n">
        <v>50</v>
      </c>
      <c r="D4895" s="8" t="s">
        <v>21</v>
      </c>
      <c r="E4895" s="10" t="s">
        <v>698</v>
      </c>
      <c r="F4895" s="8" t="str">
        <f aca="false">TEXT(A4895,"MM-YYYY")</f>
        <v>11-2025</v>
      </c>
      <c r="G4895" s="8" t="s">
        <v>14</v>
      </c>
      <c r="H4895" s="8" t="s">
        <v>232</v>
      </c>
      <c r="I4895" s="7"/>
      <c r="J4895" s="8" t="str">
        <f aca="false">VLOOKUP(B4895, Table3[#All], 2, FALSE())</f>
        <v>Staff Expenses</v>
      </c>
      <c r="K4895" s="8" t="str">
        <f aca="false">TEXT(ROW(), "0000")</f>
        <v>4895</v>
      </c>
      <c r="L4895" s="8"/>
    </row>
    <row r="4896" customFormat="false" ht="15.75" hidden="false" customHeight="true" outlineLevel="0" collapsed="false">
      <c r="A4896" s="7" t="n">
        <v>45981</v>
      </c>
      <c r="B4896" s="8" t="s">
        <v>107</v>
      </c>
      <c r="C4896" s="9" t="n">
        <v>255</v>
      </c>
      <c r="D4896" s="8" t="s">
        <v>21</v>
      </c>
      <c r="E4896" s="10" t="s">
        <v>699</v>
      </c>
      <c r="F4896" s="8" t="str">
        <f aca="false">TEXT(A4896,"MM-YYYY")</f>
        <v>11-2025</v>
      </c>
      <c r="G4896" s="8" t="s">
        <v>14</v>
      </c>
      <c r="H4896" s="8" t="s">
        <v>232</v>
      </c>
      <c r="I4896" s="7"/>
      <c r="J4896" s="8" t="str">
        <f aca="false">VLOOKUP(B4896, Table3[#All], 2, FALSE())</f>
        <v>Staff Expenses</v>
      </c>
      <c r="K4896" s="8" t="str">
        <f aca="false">TEXT(ROW(), "0000")</f>
        <v>4896</v>
      </c>
      <c r="L4896" s="8"/>
    </row>
    <row r="4897" customFormat="false" ht="15.75" hidden="false" customHeight="true" outlineLevel="0" collapsed="false">
      <c r="A4897" s="7" t="n">
        <v>45981</v>
      </c>
      <c r="B4897" s="8" t="s">
        <v>629</v>
      </c>
      <c r="C4897" s="9" t="n">
        <v>630</v>
      </c>
      <c r="D4897" s="8" t="s">
        <v>21</v>
      </c>
      <c r="E4897" s="10" t="s">
        <v>630</v>
      </c>
      <c r="F4897" s="8" t="str">
        <f aca="false">TEXT(A4897,"MM-YYYY")</f>
        <v>11-2025</v>
      </c>
      <c r="G4897" s="8" t="s">
        <v>14</v>
      </c>
      <c r="H4897" s="8" t="s">
        <v>232</v>
      </c>
      <c r="I4897" s="7"/>
      <c r="J4897" s="8" t="str">
        <f aca="false">VLOOKUP(B4897, Table3[#All], 2, FALSE())</f>
        <v>Excess Amount Return</v>
      </c>
      <c r="K4897" s="8" t="str">
        <f aca="false">TEXT(ROW(), "0000")</f>
        <v>4897</v>
      </c>
      <c r="L4897" s="8"/>
    </row>
    <row r="4898" customFormat="false" ht="15.75" hidden="false" customHeight="true" outlineLevel="0" collapsed="false">
      <c r="A4898" s="7" t="n">
        <v>45981</v>
      </c>
      <c r="B4898" s="8" t="s">
        <v>29</v>
      </c>
      <c r="C4898" s="9" t="n">
        <v>659</v>
      </c>
      <c r="D4898" s="8" t="s">
        <v>13</v>
      </c>
      <c r="E4898" s="10" t="s">
        <v>490</v>
      </c>
      <c r="F4898" s="8" t="str">
        <f aca="false">TEXT(A4898,"MM-YYYY")</f>
        <v>11-2025</v>
      </c>
      <c r="G4898" s="8" t="s">
        <v>18</v>
      </c>
      <c r="H4898" s="8"/>
      <c r="I4898" s="7"/>
      <c r="J4898" s="8" t="str">
        <f aca="false">VLOOKUP(B4898, Table3[#All], 2, FALSE())</f>
        <v>Inventory</v>
      </c>
      <c r="K4898" s="8" t="str">
        <f aca="false">TEXT(ROW(), "0000")</f>
        <v>4898</v>
      </c>
      <c r="L4898" s="8"/>
    </row>
    <row r="4899" customFormat="false" ht="15.75" hidden="false" customHeight="true" outlineLevel="0" collapsed="false">
      <c r="A4899" s="7" t="n">
        <v>45981</v>
      </c>
      <c r="B4899" s="8" t="s">
        <v>37</v>
      </c>
      <c r="C4899" s="9" t="n">
        <v>20</v>
      </c>
      <c r="D4899" s="8" t="s">
        <v>21</v>
      </c>
      <c r="E4899" s="10" t="s">
        <v>635</v>
      </c>
      <c r="F4899" s="8" t="str">
        <f aca="false">TEXT(A4899,"MM-YYYY")</f>
        <v>11-2025</v>
      </c>
      <c r="G4899" s="8" t="s">
        <v>14</v>
      </c>
      <c r="H4899" s="8"/>
      <c r="I4899" s="7"/>
      <c r="J4899" s="8" t="str">
        <f aca="false">VLOOKUP(B4899, Table3[#All], 2, FALSE())</f>
        <v>Maintance</v>
      </c>
      <c r="K4899" s="8" t="str">
        <f aca="false">TEXT(ROW(), "0000")</f>
        <v>4899</v>
      </c>
      <c r="L4899" s="8"/>
    </row>
    <row r="4900" customFormat="false" ht="15.75" hidden="false" customHeight="true" outlineLevel="0" collapsed="false">
      <c r="A4900" s="7" t="n">
        <v>45981</v>
      </c>
      <c r="B4900" s="8" t="s">
        <v>16</v>
      </c>
      <c r="C4900" s="9" t="n">
        <v>2745</v>
      </c>
      <c r="D4900" s="8" t="s">
        <v>21</v>
      </c>
      <c r="E4900" s="10" t="s">
        <v>101</v>
      </c>
      <c r="F4900" s="8" t="str">
        <f aca="false">TEXT(A4900,"MM-YYYY")</f>
        <v>11-2025</v>
      </c>
      <c r="G4900" s="8"/>
      <c r="H4900" s="8"/>
      <c r="I4900" s="7"/>
      <c r="J4900" s="8" t="str">
        <f aca="false">VLOOKUP(B4900, Table3[#All], 2, FALSE())</f>
        <v>Sales</v>
      </c>
      <c r="K4900" s="8" t="str">
        <f aca="false">TEXT(ROW(), "0000")</f>
        <v>4900</v>
      </c>
      <c r="L4900" s="8"/>
    </row>
    <row r="4901" customFormat="false" ht="15.75" hidden="false" customHeight="true" outlineLevel="0" collapsed="false">
      <c r="A4901" s="7" t="n">
        <v>45981</v>
      </c>
      <c r="B4901" s="8" t="s">
        <v>16</v>
      </c>
      <c r="C4901" s="9" t="n">
        <v>17842</v>
      </c>
      <c r="D4901" s="8" t="s">
        <v>17</v>
      </c>
      <c r="E4901" s="10" t="s">
        <v>101</v>
      </c>
      <c r="F4901" s="8" t="str">
        <f aca="false">TEXT(A4901,"MM-YYYY")</f>
        <v>11-2025</v>
      </c>
      <c r="G4901" s="8"/>
      <c r="H4901" s="8"/>
      <c r="I4901" s="7"/>
      <c r="J4901" s="8" t="str">
        <f aca="false">VLOOKUP(B4901, Table3[#All], 2, FALSE())</f>
        <v>Sales</v>
      </c>
      <c r="K4901" s="8" t="str">
        <f aca="false">TEXT(ROW(), "0000")</f>
        <v>4901</v>
      </c>
      <c r="L4901" s="8"/>
    </row>
    <row r="4902" customFormat="false" ht="15.75" hidden="false" customHeight="true" outlineLevel="0" collapsed="false">
      <c r="A4902" s="7" t="n">
        <v>45981</v>
      </c>
      <c r="B4902" s="8" t="s">
        <v>16</v>
      </c>
      <c r="C4902" s="9" t="n">
        <v>865</v>
      </c>
      <c r="D4902" s="8" t="s">
        <v>33</v>
      </c>
      <c r="E4902" s="10" t="s">
        <v>101</v>
      </c>
      <c r="F4902" s="8" t="str">
        <f aca="false">TEXT(A4902,"MM-YYYY")</f>
        <v>11-2025</v>
      </c>
      <c r="G4902" s="8"/>
      <c r="H4902" s="8"/>
      <c r="I4902" s="7"/>
      <c r="J4902" s="8" t="str">
        <f aca="false">VLOOKUP(B4902, Table3[#All], 2, FALSE())</f>
        <v>Sales</v>
      </c>
      <c r="K4902" s="8" t="str">
        <f aca="false">TEXT(ROW(), "0000")</f>
        <v>4902</v>
      </c>
      <c r="L4902" s="8"/>
    </row>
    <row r="4903" customFormat="false" ht="15.75" hidden="false" customHeight="true" outlineLevel="0" collapsed="false">
      <c r="A4903" s="7" t="n">
        <v>45981</v>
      </c>
      <c r="B4903" s="8" t="s">
        <v>16</v>
      </c>
      <c r="C4903" s="9" t="n">
        <v>414</v>
      </c>
      <c r="D4903" s="8" t="s">
        <v>24</v>
      </c>
      <c r="E4903" s="10" t="s">
        <v>101</v>
      </c>
      <c r="F4903" s="8" t="str">
        <f aca="false">TEXT(A4903,"MM-YYYY")</f>
        <v>11-2025</v>
      </c>
      <c r="G4903" s="8"/>
      <c r="H4903" s="8"/>
      <c r="I4903" s="7"/>
      <c r="J4903" s="8" t="str">
        <f aca="false">VLOOKUP(B4903, Table3[#All], 2, FALSE())</f>
        <v>Sales</v>
      </c>
      <c r="K4903" s="8" t="str">
        <f aca="false">TEXT(ROW(), "0000")</f>
        <v>4903</v>
      </c>
      <c r="L4903" s="8"/>
    </row>
    <row r="4904" customFormat="false" ht="15.75" hidden="false" customHeight="true" outlineLevel="0" collapsed="false">
      <c r="A4904" s="7" t="n">
        <v>45981</v>
      </c>
      <c r="B4904" s="8" t="s">
        <v>32</v>
      </c>
      <c r="C4904" s="9" t="n">
        <v>625</v>
      </c>
      <c r="D4904" s="8" t="s">
        <v>21</v>
      </c>
      <c r="E4904" s="10" t="s">
        <v>450</v>
      </c>
      <c r="F4904" s="8" t="str">
        <f aca="false">TEXT(A4904,"MM-YYYY")</f>
        <v>11-2025</v>
      </c>
      <c r="G4904" s="8" t="s">
        <v>14</v>
      </c>
      <c r="H4904" s="8" t="s">
        <v>232</v>
      </c>
      <c r="I4904" s="7" t="n">
        <v>45981</v>
      </c>
      <c r="J4904" s="8" t="str">
        <f aca="false">VLOOKUP(B4904, Table3[#All], 2, FALSE())</f>
        <v>Grocery</v>
      </c>
      <c r="K4904" s="8" t="str">
        <f aca="false">TEXT(ROW(), "0000")</f>
        <v>4904</v>
      </c>
      <c r="L4904" s="8"/>
    </row>
    <row r="4905" customFormat="false" ht="15.75" hidden="false" customHeight="true" outlineLevel="0" collapsed="false">
      <c r="A4905" s="7" t="n">
        <v>45981</v>
      </c>
      <c r="B4905" s="8" t="s">
        <v>16</v>
      </c>
      <c r="C4905" s="9" t="n">
        <v>414</v>
      </c>
      <c r="D4905" s="8" t="s">
        <v>24</v>
      </c>
      <c r="E4905" s="10" t="s">
        <v>101</v>
      </c>
      <c r="F4905" s="8" t="str">
        <f aca="false">TEXT(A4905,"MM-YYYY")</f>
        <v>11-2025</v>
      </c>
      <c r="G4905" s="8"/>
      <c r="H4905" s="8"/>
      <c r="I4905" s="7"/>
      <c r="J4905" s="8" t="str">
        <f aca="false">VLOOKUP(B4905, Table3[#All], 2, FALSE())</f>
        <v>Sales</v>
      </c>
      <c r="K4905" s="8" t="str">
        <f aca="false">TEXT(ROW(), "0000")</f>
        <v>4905</v>
      </c>
      <c r="L4905" s="8"/>
    </row>
    <row r="4906" customFormat="false" ht="15.75" hidden="false" customHeight="true" outlineLevel="0" collapsed="false">
      <c r="A4906" s="7" t="n">
        <v>45982</v>
      </c>
      <c r="B4906" s="8" t="s">
        <v>25</v>
      </c>
      <c r="C4906" s="9" t="n">
        <v>923</v>
      </c>
      <c r="D4906" s="8" t="s">
        <v>13</v>
      </c>
      <c r="E4906" s="10" t="s">
        <v>92</v>
      </c>
      <c r="F4906" s="8" t="str">
        <f aca="false">TEXT(A4906,"MM-YYYY")</f>
        <v>11-2025</v>
      </c>
      <c r="G4906" s="8" t="s">
        <v>18</v>
      </c>
      <c r="H4906" s="8"/>
      <c r="I4906" s="7"/>
      <c r="J4906" s="8" t="str">
        <f aca="false">VLOOKUP(B4906, Table3[#All], 2, FALSE())</f>
        <v>Inventory</v>
      </c>
      <c r="K4906" s="8" t="str">
        <f aca="false">TEXT(ROW(), "0000")</f>
        <v>4906</v>
      </c>
      <c r="L4906" s="8"/>
    </row>
    <row r="4907" customFormat="false" ht="15.75" hidden="false" customHeight="true" outlineLevel="0" collapsed="false">
      <c r="A4907" s="7" t="n">
        <v>45982</v>
      </c>
      <c r="B4907" s="8" t="s">
        <v>43</v>
      </c>
      <c r="C4907" s="9" t="n">
        <v>250</v>
      </c>
      <c r="D4907" s="8" t="s">
        <v>45</v>
      </c>
      <c r="E4907" s="10" t="s">
        <v>700</v>
      </c>
      <c r="F4907" s="8" t="str">
        <f aca="false">TEXT(A4907,"MM-YYYY")</f>
        <v>11-2025</v>
      </c>
      <c r="G4907" s="8" t="s">
        <v>14</v>
      </c>
      <c r="H4907" s="8" t="s">
        <v>232</v>
      </c>
      <c r="I4907" s="7"/>
      <c r="J4907" s="8" t="str">
        <f aca="false">VLOOKUP(B4907, Table3[#All], 2, FALSE())</f>
        <v>Maintance</v>
      </c>
      <c r="K4907" s="8" t="str">
        <f aca="false">TEXT(ROW(), "0000")</f>
        <v>4907</v>
      </c>
      <c r="L4907" s="8"/>
    </row>
    <row r="4908" customFormat="false" ht="15.75" hidden="false" customHeight="true" outlineLevel="0" collapsed="false">
      <c r="A4908" s="7" t="n">
        <v>45982</v>
      </c>
      <c r="B4908" s="8" t="s">
        <v>19</v>
      </c>
      <c r="C4908" s="9" t="n">
        <v>7300</v>
      </c>
      <c r="D4908" s="8" t="s">
        <v>13</v>
      </c>
      <c r="E4908" s="10" t="s">
        <v>417</v>
      </c>
      <c r="F4908" s="8" t="str">
        <f aca="false">TEXT(A4908,"MM-YYYY")</f>
        <v>11-2025</v>
      </c>
      <c r="G4908" s="8" t="s">
        <v>18</v>
      </c>
      <c r="H4908" s="8"/>
      <c r="I4908" s="7"/>
      <c r="J4908" s="8" t="str">
        <f aca="false">VLOOKUP(B4908, Table3[#All], 2, FALSE())</f>
        <v>Inventory</v>
      </c>
      <c r="K4908" s="8" t="str">
        <f aca="false">TEXT(ROW(), "0000")</f>
        <v>4908</v>
      </c>
      <c r="L4908" s="8"/>
    </row>
    <row r="4909" customFormat="false" ht="15.75" hidden="false" customHeight="true" outlineLevel="0" collapsed="false">
      <c r="A4909" s="7" t="n">
        <v>45982</v>
      </c>
      <c r="B4909" s="8" t="s">
        <v>34</v>
      </c>
      <c r="C4909" s="9" t="n">
        <v>30</v>
      </c>
      <c r="D4909" s="8" t="s">
        <v>45</v>
      </c>
      <c r="E4909" s="10" t="s">
        <v>154</v>
      </c>
      <c r="F4909" s="8" t="str">
        <f aca="false">TEXT(A4909,"MM-YYYY")</f>
        <v>11-2025</v>
      </c>
      <c r="G4909" s="8" t="s">
        <v>14</v>
      </c>
      <c r="H4909" s="8"/>
      <c r="I4909" s="7"/>
      <c r="J4909" s="8" t="str">
        <f aca="false">VLOOKUP(B4909, Table3[#All], 2, FALSE())</f>
        <v>Staff Expenses</v>
      </c>
      <c r="K4909" s="8" t="str">
        <f aca="false">TEXT(ROW(), "0000")</f>
        <v>4909</v>
      </c>
      <c r="L4909" s="8"/>
    </row>
    <row r="4910" customFormat="false" ht="15.75" hidden="false" customHeight="true" outlineLevel="0" collapsed="false">
      <c r="A4910" s="7" t="n">
        <v>45982</v>
      </c>
      <c r="B4910" s="8" t="s">
        <v>32</v>
      </c>
      <c r="C4910" s="9" t="n">
        <v>250</v>
      </c>
      <c r="D4910" s="8" t="s">
        <v>21</v>
      </c>
      <c r="E4910" s="10" t="s">
        <v>450</v>
      </c>
      <c r="F4910" s="8" t="str">
        <f aca="false">TEXT(A4910,"MM-YYYY")</f>
        <v>11-2025</v>
      </c>
      <c r="G4910" s="8" t="s">
        <v>14</v>
      </c>
      <c r="H4910" s="8"/>
      <c r="I4910" s="7"/>
      <c r="J4910" s="8" t="str">
        <f aca="false">VLOOKUP(B4910, Table3[#All], 2, FALSE())</f>
        <v>Grocery</v>
      </c>
      <c r="K4910" s="8" t="str">
        <f aca="false">TEXT(ROW(), "0000")</f>
        <v>4910</v>
      </c>
      <c r="L4910" s="8"/>
    </row>
    <row r="4911" customFormat="false" ht="15.75" hidden="false" customHeight="true" outlineLevel="0" collapsed="false">
      <c r="A4911" s="7" t="n">
        <v>45982</v>
      </c>
      <c r="B4911" s="8" t="s">
        <v>29</v>
      </c>
      <c r="C4911" s="9" t="n">
        <v>709</v>
      </c>
      <c r="D4911" s="8" t="s">
        <v>13</v>
      </c>
      <c r="E4911" s="10" t="s">
        <v>490</v>
      </c>
      <c r="F4911" s="8" t="str">
        <f aca="false">TEXT(A4911,"MM-YYYY")</f>
        <v>11-2025</v>
      </c>
      <c r="G4911" s="8" t="s">
        <v>18</v>
      </c>
      <c r="H4911" s="8"/>
      <c r="I4911" s="7"/>
      <c r="J4911" s="8" t="str">
        <f aca="false">VLOOKUP(B4911, Table3[#All], 2, FALSE())</f>
        <v>Inventory</v>
      </c>
      <c r="K4911" s="8" t="str">
        <f aca="false">TEXT(ROW(), "0000")</f>
        <v>4911</v>
      </c>
      <c r="L4911" s="8"/>
    </row>
    <row r="4912" customFormat="false" ht="15.75" hidden="false" customHeight="true" outlineLevel="0" collapsed="false">
      <c r="A4912" s="7" t="n">
        <v>45982</v>
      </c>
      <c r="B4912" s="8" t="s">
        <v>40</v>
      </c>
      <c r="C4912" s="9" t="n">
        <v>250</v>
      </c>
      <c r="D4912" s="8" t="s">
        <v>45</v>
      </c>
      <c r="E4912" s="10" t="s">
        <v>103</v>
      </c>
      <c r="F4912" s="8" t="str">
        <f aca="false">TEXT(A4912,"MM-YYYY")</f>
        <v>11-2025</v>
      </c>
      <c r="G4912" s="8" t="s">
        <v>14</v>
      </c>
      <c r="H4912" s="8" t="s">
        <v>232</v>
      </c>
      <c r="I4912" s="7"/>
      <c r="J4912" s="8" t="str">
        <f aca="false">VLOOKUP(B4912, Table3[#All], 2, FALSE())</f>
        <v>Inventory</v>
      </c>
      <c r="K4912" s="8" t="str">
        <f aca="false">TEXT(ROW(), "0000")</f>
        <v>4912</v>
      </c>
      <c r="L4912" s="8"/>
    </row>
    <row r="4913" customFormat="false" ht="15.75" hidden="false" customHeight="true" outlineLevel="0" collapsed="false">
      <c r="A4913" s="7" t="n">
        <v>45982</v>
      </c>
      <c r="B4913" s="8" t="s">
        <v>25</v>
      </c>
      <c r="C4913" s="9" t="n">
        <v>550</v>
      </c>
      <c r="D4913" s="8" t="s">
        <v>45</v>
      </c>
      <c r="E4913" s="10" t="s">
        <v>659</v>
      </c>
      <c r="F4913" s="8" t="str">
        <f aca="false">TEXT(A4913,"MM-YYYY")</f>
        <v>11-2025</v>
      </c>
      <c r="G4913" s="8" t="s">
        <v>14</v>
      </c>
      <c r="H4913" s="8" t="s">
        <v>232</v>
      </c>
      <c r="I4913" s="7"/>
      <c r="J4913" s="8" t="str">
        <f aca="false">VLOOKUP(B4913, Table3[#All], 2, FALSE())</f>
        <v>Inventory</v>
      </c>
      <c r="K4913" s="8" t="str">
        <f aca="false">TEXT(ROW(), "0000")</f>
        <v>4913</v>
      </c>
      <c r="L4913" s="8"/>
    </row>
    <row r="4914" customFormat="false" ht="15.75" hidden="false" customHeight="true" outlineLevel="0" collapsed="false">
      <c r="A4914" s="7" t="n">
        <v>45982</v>
      </c>
      <c r="B4914" s="8" t="s">
        <v>31</v>
      </c>
      <c r="C4914" s="9" t="n">
        <v>310</v>
      </c>
      <c r="D4914" s="8" t="s">
        <v>45</v>
      </c>
      <c r="E4914" s="10" t="s">
        <v>31</v>
      </c>
      <c r="F4914" s="8" t="str">
        <f aca="false">TEXT(A4914,"MM-YYYY")</f>
        <v>11-2025</v>
      </c>
      <c r="G4914" s="8" t="s">
        <v>14</v>
      </c>
      <c r="H4914" s="8"/>
      <c r="I4914" s="7"/>
      <c r="J4914" s="8" t="str">
        <f aca="false">VLOOKUP(B4914, Table3[#All], 2, FALSE())</f>
        <v>Bike Maintance</v>
      </c>
      <c r="K4914" s="8" t="str">
        <f aca="false">TEXT(ROW(), "0000")</f>
        <v>4914</v>
      </c>
      <c r="L4914" s="8"/>
    </row>
    <row r="4915" customFormat="false" ht="15.75" hidden="false" customHeight="true" outlineLevel="0" collapsed="false">
      <c r="A4915" s="7" t="n">
        <v>45982</v>
      </c>
      <c r="B4915" s="8" t="s">
        <v>43</v>
      </c>
      <c r="C4915" s="9" t="n">
        <v>200</v>
      </c>
      <c r="D4915" s="8" t="s">
        <v>45</v>
      </c>
      <c r="E4915" s="10" t="s">
        <v>701</v>
      </c>
      <c r="F4915" s="8" t="str">
        <f aca="false">TEXT(A4915,"MM-YYYY")</f>
        <v>11-2025</v>
      </c>
      <c r="G4915" s="8" t="s">
        <v>14</v>
      </c>
      <c r="H4915" s="8" t="s">
        <v>232</v>
      </c>
      <c r="I4915" s="7"/>
      <c r="J4915" s="8" t="str">
        <f aca="false">VLOOKUP(B4915, Table3[#All], 2, FALSE())</f>
        <v>Maintance</v>
      </c>
      <c r="K4915" s="8" t="str">
        <f aca="false">TEXT(ROW(), "0000")</f>
        <v>4915</v>
      </c>
      <c r="L4915" s="8"/>
    </row>
    <row r="4916" customFormat="false" ht="15.75" hidden="false" customHeight="true" outlineLevel="0" collapsed="false">
      <c r="A4916" s="7" t="n">
        <v>45982</v>
      </c>
      <c r="B4916" s="8" t="s">
        <v>25</v>
      </c>
      <c r="C4916" s="9" t="n">
        <v>30</v>
      </c>
      <c r="D4916" s="8" t="s">
        <v>45</v>
      </c>
      <c r="E4916" s="10" t="s">
        <v>42</v>
      </c>
      <c r="F4916" s="8" t="str">
        <f aca="false">TEXT(A4916,"MM-YYYY")</f>
        <v>11-2025</v>
      </c>
      <c r="G4916" s="8" t="s">
        <v>14</v>
      </c>
      <c r="H4916" s="8"/>
      <c r="I4916" s="7"/>
      <c r="J4916" s="8" t="str">
        <f aca="false">VLOOKUP(B4916, Table3[#All], 2, FALSE())</f>
        <v>Inventory</v>
      </c>
      <c r="K4916" s="8" t="str">
        <f aca="false">TEXT(ROW(), "0000")</f>
        <v>4916</v>
      </c>
      <c r="L4916" s="8"/>
    </row>
    <row r="4917" customFormat="false" ht="15.75" hidden="false" customHeight="true" outlineLevel="0" collapsed="false">
      <c r="A4917" s="7" t="n">
        <v>45982</v>
      </c>
      <c r="B4917" s="8" t="s">
        <v>107</v>
      </c>
      <c r="C4917" s="9" t="n">
        <v>100</v>
      </c>
      <c r="D4917" s="8" t="s">
        <v>45</v>
      </c>
      <c r="E4917" s="10" t="s">
        <v>702</v>
      </c>
      <c r="F4917" s="8" t="str">
        <f aca="false">TEXT(A4917,"MM-YYYY")</f>
        <v>11-2025</v>
      </c>
      <c r="G4917" s="8" t="s">
        <v>14</v>
      </c>
      <c r="H4917" s="8"/>
      <c r="I4917" s="7"/>
      <c r="J4917" s="8" t="str">
        <f aca="false">VLOOKUP(B4917, Table3[#All], 2, FALSE())</f>
        <v>Staff Expenses</v>
      </c>
      <c r="K4917" s="8" t="str">
        <f aca="false">TEXT(ROW(), "0000")</f>
        <v>4917</v>
      </c>
      <c r="L4917" s="8"/>
    </row>
    <row r="4918" customFormat="false" ht="15.75" hidden="false" customHeight="true" outlineLevel="0" collapsed="false">
      <c r="A4918" s="7" t="n">
        <v>45982</v>
      </c>
      <c r="B4918" s="8" t="s">
        <v>37</v>
      </c>
      <c r="C4918" s="9" t="n">
        <v>30</v>
      </c>
      <c r="D4918" s="8" t="s">
        <v>21</v>
      </c>
      <c r="E4918" s="10" t="s">
        <v>672</v>
      </c>
      <c r="F4918" s="8" t="str">
        <f aca="false">TEXT(A4918,"MM-YYYY")</f>
        <v>11-2025</v>
      </c>
      <c r="G4918" s="8" t="s">
        <v>14</v>
      </c>
      <c r="H4918" s="8"/>
      <c r="I4918" s="7"/>
      <c r="J4918" s="8" t="str">
        <f aca="false">VLOOKUP(B4918, Table3[#All], 2, FALSE())</f>
        <v>Maintance</v>
      </c>
      <c r="K4918" s="8" t="str">
        <f aca="false">TEXT(ROW(), "0000")</f>
        <v>4918</v>
      </c>
      <c r="L4918" s="8"/>
    </row>
    <row r="4919" customFormat="false" ht="15.75" hidden="false" customHeight="true" outlineLevel="0" collapsed="false">
      <c r="A4919" s="7" t="n">
        <v>45982</v>
      </c>
      <c r="B4919" s="8" t="s">
        <v>16</v>
      </c>
      <c r="C4919" s="9" t="n">
        <v>5385</v>
      </c>
      <c r="D4919" s="8" t="s">
        <v>21</v>
      </c>
      <c r="E4919" s="10" t="s">
        <v>101</v>
      </c>
      <c r="F4919" s="8" t="str">
        <f aca="false">TEXT(A4919,"MM-YYYY")</f>
        <v>11-2025</v>
      </c>
      <c r="G4919" s="8"/>
      <c r="H4919" s="8"/>
      <c r="I4919" s="7"/>
      <c r="J4919" s="8" t="str">
        <f aca="false">VLOOKUP(B4919, Table3[#All], 2, FALSE())</f>
        <v>Sales</v>
      </c>
      <c r="K4919" s="8" t="str">
        <f aca="false">TEXT(ROW(), "0000")</f>
        <v>4919</v>
      </c>
      <c r="L4919" s="8"/>
    </row>
    <row r="4920" customFormat="false" ht="15.75" hidden="false" customHeight="true" outlineLevel="0" collapsed="false">
      <c r="A4920" s="7" t="n">
        <v>45982</v>
      </c>
      <c r="B4920" s="8" t="s">
        <v>16</v>
      </c>
      <c r="C4920" s="9" t="n">
        <v>22764</v>
      </c>
      <c r="D4920" s="8" t="s">
        <v>17</v>
      </c>
      <c r="E4920" s="10" t="s">
        <v>101</v>
      </c>
      <c r="F4920" s="8" t="str">
        <f aca="false">TEXT(A4920,"MM-YYYY")</f>
        <v>11-2025</v>
      </c>
      <c r="G4920" s="8"/>
      <c r="H4920" s="8"/>
      <c r="I4920" s="7"/>
      <c r="J4920" s="8" t="str">
        <f aca="false">VLOOKUP(B4920, Table3[#All], 2, FALSE())</f>
        <v>Sales</v>
      </c>
      <c r="K4920" s="8" t="str">
        <f aca="false">TEXT(ROW(), "0000")</f>
        <v>4920</v>
      </c>
      <c r="L4920" s="8"/>
    </row>
    <row r="4921" customFormat="false" ht="15.75" hidden="false" customHeight="true" outlineLevel="0" collapsed="false">
      <c r="A4921" s="7" t="n">
        <v>45982</v>
      </c>
      <c r="B4921" s="8" t="s">
        <v>16</v>
      </c>
      <c r="C4921" s="9" t="n">
        <v>1115</v>
      </c>
      <c r="D4921" s="8" t="s">
        <v>33</v>
      </c>
      <c r="E4921" s="10" t="s">
        <v>101</v>
      </c>
      <c r="F4921" s="8" t="str">
        <f aca="false">TEXT(A4921,"MM-YYYY")</f>
        <v>11-2025</v>
      </c>
      <c r="G4921" s="8"/>
      <c r="H4921" s="8"/>
      <c r="I4921" s="7"/>
      <c r="J4921" s="8" t="str">
        <f aca="false">VLOOKUP(B4921, Table3[#All], 2, FALSE())</f>
        <v>Sales</v>
      </c>
      <c r="K4921" s="8" t="str">
        <f aca="false">TEXT(ROW(), "0000")</f>
        <v>4921</v>
      </c>
      <c r="L4921" s="8"/>
    </row>
    <row r="4922" customFormat="false" ht="15.75" hidden="false" customHeight="true" outlineLevel="0" collapsed="false">
      <c r="A4922" s="7" t="n">
        <v>45982</v>
      </c>
      <c r="B4922" s="8" t="s">
        <v>16</v>
      </c>
      <c r="C4922" s="9" t="n">
        <v>1786</v>
      </c>
      <c r="D4922" s="8" t="s">
        <v>24</v>
      </c>
      <c r="E4922" s="10" t="s">
        <v>101</v>
      </c>
      <c r="F4922" s="8" t="str">
        <f aca="false">TEXT(A4922,"MM-YYYY")</f>
        <v>11-2025</v>
      </c>
      <c r="G4922" s="8"/>
      <c r="H4922" s="8"/>
      <c r="I4922" s="7"/>
      <c r="J4922" s="8" t="str">
        <f aca="false">VLOOKUP(B4922, Table3[#All], 2, FALSE())</f>
        <v>Sales</v>
      </c>
      <c r="K4922" s="8" t="str">
        <f aca="false">TEXT(ROW(), "0000")</f>
        <v>4922</v>
      </c>
      <c r="L4922" s="8"/>
    </row>
    <row r="4923" customFormat="false" ht="15.75" hidden="false" customHeight="true" outlineLevel="0" collapsed="false">
      <c r="A4923" s="7" t="n">
        <v>45982</v>
      </c>
      <c r="B4923" s="8" t="s">
        <v>16</v>
      </c>
      <c r="C4923" s="9" t="n">
        <v>391</v>
      </c>
      <c r="D4923" s="8" t="s">
        <v>59</v>
      </c>
      <c r="E4923" s="10" t="s">
        <v>101</v>
      </c>
      <c r="F4923" s="8" t="str">
        <f aca="false">TEXT(A4923,"MM-YYYY")</f>
        <v>11-2025</v>
      </c>
      <c r="G4923" s="8"/>
      <c r="H4923" s="8"/>
      <c r="I4923" s="7"/>
      <c r="J4923" s="8" t="str">
        <f aca="false">VLOOKUP(B4923, Table3[#All], 2, FALSE())</f>
        <v>Sales</v>
      </c>
      <c r="K4923" s="8" t="str">
        <f aca="false">TEXT(ROW(), "0000")</f>
        <v>4923</v>
      </c>
      <c r="L4923" s="8"/>
    </row>
    <row r="4924" customFormat="false" ht="15.75" hidden="false" customHeight="true" outlineLevel="0" collapsed="false">
      <c r="A4924" s="7" t="n">
        <v>45983</v>
      </c>
      <c r="B4924" s="8" t="s">
        <v>25</v>
      </c>
      <c r="C4924" s="9" t="n">
        <v>768</v>
      </c>
      <c r="D4924" s="8" t="s">
        <v>13</v>
      </c>
      <c r="E4924" s="10" t="s">
        <v>92</v>
      </c>
      <c r="F4924" s="8" t="str">
        <f aca="false">TEXT(A4924,"MM-YYYY")</f>
        <v>11-2025</v>
      </c>
      <c r="G4924" s="8" t="s">
        <v>18</v>
      </c>
      <c r="H4924" s="8"/>
      <c r="I4924" s="7"/>
      <c r="J4924" s="8" t="str">
        <f aca="false">VLOOKUP(B4924, Table3[#All], 2, FALSE())</f>
        <v>Inventory</v>
      </c>
      <c r="K4924" s="8" t="str">
        <f aca="false">TEXT(ROW(), "0000")</f>
        <v>4924</v>
      </c>
      <c r="L4924" s="8"/>
    </row>
    <row r="4925" customFormat="false" ht="15.75" hidden="false" customHeight="true" outlineLevel="0" collapsed="false">
      <c r="A4925" s="7" t="n">
        <v>45983</v>
      </c>
      <c r="B4925" s="8" t="s">
        <v>47</v>
      </c>
      <c r="C4925" s="9" t="n">
        <v>180</v>
      </c>
      <c r="D4925" s="8" t="s">
        <v>13</v>
      </c>
      <c r="E4925" s="10" t="s">
        <v>484</v>
      </c>
      <c r="F4925" s="8" t="str">
        <f aca="false">TEXT(A4925,"MM-YYYY")</f>
        <v>11-2025</v>
      </c>
      <c r="G4925" s="8" t="s">
        <v>14</v>
      </c>
      <c r="H4925" s="8"/>
      <c r="I4925" s="7"/>
      <c r="J4925" s="8" t="str">
        <f aca="false">VLOOKUP(B4925, Table3[#All], 2, FALSE())</f>
        <v>Inventory</v>
      </c>
      <c r="K4925" s="8" t="str">
        <f aca="false">TEXT(ROW(), "0000")</f>
        <v>4925</v>
      </c>
      <c r="L4925" s="8"/>
    </row>
    <row r="4926" customFormat="false" ht="15.75" hidden="false" customHeight="true" outlineLevel="0" collapsed="false">
      <c r="A4926" s="7" t="n">
        <v>45983</v>
      </c>
      <c r="B4926" s="8" t="s">
        <v>25</v>
      </c>
      <c r="C4926" s="9" t="n">
        <v>350</v>
      </c>
      <c r="D4926" s="8" t="s">
        <v>45</v>
      </c>
      <c r="E4926" s="10" t="s">
        <v>272</v>
      </c>
      <c r="F4926" s="8" t="str">
        <f aca="false">TEXT(A4927,"MM-YYYY")</f>
        <v>11-2025</v>
      </c>
      <c r="G4926" s="8" t="s">
        <v>14</v>
      </c>
      <c r="H4926" s="8"/>
      <c r="I4926" s="7"/>
      <c r="J4926" s="8" t="str">
        <f aca="false">VLOOKUP(B4926, Table3[#All], 2, FALSE())</f>
        <v>Inventory</v>
      </c>
      <c r="K4926" s="8" t="str">
        <f aca="false">TEXT(ROW(), "0000")</f>
        <v>4926</v>
      </c>
      <c r="L4926" s="8"/>
    </row>
    <row r="4927" customFormat="false" ht="15.75" hidden="false" customHeight="true" outlineLevel="0" collapsed="false">
      <c r="A4927" s="7" t="n">
        <v>45983</v>
      </c>
      <c r="B4927" s="8" t="s">
        <v>40</v>
      </c>
      <c r="C4927" s="9" t="n">
        <v>1850</v>
      </c>
      <c r="D4927" s="8" t="s">
        <v>45</v>
      </c>
      <c r="E4927" s="10" t="s">
        <v>40</v>
      </c>
      <c r="F4927" s="27" t="n">
        <v>45962</v>
      </c>
      <c r="G4927" s="8" t="s">
        <v>14</v>
      </c>
      <c r="H4927" s="8"/>
      <c r="I4927" s="7"/>
      <c r="J4927" s="8" t="str">
        <f aca="false">VLOOKUP(B4927, Table3[#All], 2, FALSE())</f>
        <v>Inventory</v>
      </c>
      <c r="K4927" s="8" t="str">
        <f aca="false">TEXT(ROW(), "0000")</f>
        <v>4927</v>
      </c>
      <c r="L4927" s="8"/>
    </row>
    <row r="4928" customFormat="false" ht="15.75" hidden="false" customHeight="true" outlineLevel="0" collapsed="false">
      <c r="A4928" s="7" t="n">
        <v>45983</v>
      </c>
      <c r="B4928" s="8" t="s">
        <v>22</v>
      </c>
      <c r="C4928" s="9" t="n">
        <v>460</v>
      </c>
      <c r="D4928" s="8" t="s">
        <v>45</v>
      </c>
      <c r="E4928" s="10" t="s">
        <v>23</v>
      </c>
      <c r="F4928" s="8" t="str">
        <f aca="false">TEXT(A4928,"MM-YYYY")</f>
        <v>11-2025</v>
      </c>
      <c r="G4928" s="8" t="s">
        <v>14</v>
      </c>
      <c r="H4928" s="8"/>
      <c r="I4928" s="7"/>
      <c r="J4928" s="8" t="str">
        <f aca="false">VLOOKUP(B4928, Table3[#All], 2, FALSE())</f>
        <v>Inventory</v>
      </c>
      <c r="K4928" s="8" t="str">
        <f aca="false">TEXT(ROW(), "0000")</f>
        <v>4928</v>
      </c>
      <c r="L4928" s="8"/>
    </row>
    <row r="4929" customFormat="false" ht="15.75" hidden="false" customHeight="true" outlineLevel="0" collapsed="false">
      <c r="A4929" s="7" t="n">
        <v>45983</v>
      </c>
      <c r="B4929" s="8" t="s">
        <v>19</v>
      </c>
      <c r="C4929" s="9" t="n">
        <v>3022</v>
      </c>
      <c r="D4929" s="8" t="s">
        <v>13</v>
      </c>
      <c r="E4929" s="10" t="s">
        <v>417</v>
      </c>
      <c r="F4929" s="8" t="str">
        <f aca="false">TEXT(A4929,"MM-YYYY")</f>
        <v>11-2025</v>
      </c>
      <c r="G4929" s="8" t="s">
        <v>18</v>
      </c>
      <c r="H4929" s="8"/>
      <c r="I4929" s="7"/>
      <c r="J4929" s="8" t="str">
        <f aca="false">VLOOKUP(B4929, Table3[#All], 2, FALSE())</f>
        <v>Inventory</v>
      </c>
      <c r="K4929" s="8" t="str">
        <f aca="false">TEXT(ROW(), "0000")</f>
        <v>4929</v>
      </c>
      <c r="L4929" s="8"/>
    </row>
    <row r="4930" customFormat="false" ht="15.75" hidden="false" customHeight="true" outlineLevel="0" collapsed="false">
      <c r="A4930" s="7" t="n">
        <v>45983</v>
      </c>
      <c r="B4930" s="8" t="s">
        <v>25</v>
      </c>
      <c r="C4930" s="9" t="n">
        <v>30</v>
      </c>
      <c r="D4930" s="8" t="s">
        <v>45</v>
      </c>
      <c r="E4930" s="10" t="s">
        <v>703</v>
      </c>
      <c r="F4930" s="8" t="str">
        <f aca="false">TEXT(A4930,"MM-YYYY")</f>
        <v>11-2025</v>
      </c>
      <c r="G4930" s="8" t="s">
        <v>14</v>
      </c>
      <c r="H4930" s="8"/>
      <c r="I4930" s="7"/>
      <c r="J4930" s="8" t="str">
        <f aca="false">VLOOKUP(B4930, Table3[#All], 2, FALSE())</f>
        <v>Inventory</v>
      </c>
      <c r="K4930" s="8" t="str">
        <f aca="false">TEXT(ROW(), "0000")</f>
        <v>4930</v>
      </c>
      <c r="L4930" s="8"/>
    </row>
    <row r="4931" customFormat="false" ht="15.75" hidden="false" customHeight="true" outlineLevel="0" collapsed="false">
      <c r="A4931" s="7" t="n">
        <v>45983</v>
      </c>
      <c r="B4931" s="8" t="s">
        <v>53</v>
      </c>
      <c r="C4931" s="9" t="n">
        <v>2242</v>
      </c>
      <c r="D4931" s="8" t="s">
        <v>45</v>
      </c>
      <c r="E4931" s="10" t="s">
        <v>458</v>
      </c>
      <c r="F4931" s="8" t="str">
        <f aca="false">TEXT(A4931,"MM-YYYY")</f>
        <v>11-2025</v>
      </c>
      <c r="G4931" s="8" t="s">
        <v>14</v>
      </c>
      <c r="H4931" s="8" t="s">
        <v>232</v>
      </c>
      <c r="I4931" s="7"/>
      <c r="J4931" s="8" t="str">
        <f aca="false">VLOOKUP(B4931, Table3[#All], 2, FALSE())</f>
        <v>Grocery</v>
      </c>
      <c r="K4931" s="8" t="str">
        <f aca="false">TEXT(ROW(), "0000")</f>
        <v>4931</v>
      </c>
      <c r="L4931" s="8"/>
    </row>
    <row r="4932" customFormat="false" ht="15.75" hidden="false" customHeight="true" outlineLevel="0" collapsed="false">
      <c r="A4932" s="7" t="n">
        <v>45983</v>
      </c>
      <c r="B4932" s="8" t="s">
        <v>53</v>
      </c>
      <c r="C4932" s="9" t="n">
        <v>1200</v>
      </c>
      <c r="D4932" s="8" t="s">
        <v>21</v>
      </c>
      <c r="E4932" s="10" t="s">
        <v>634</v>
      </c>
      <c r="F4932" s="8" t="str">
        <f aca="false">TEXT(A4932,"MM-YYYY")</f>
        <v>11-2025</v>
      </c>
      <c r="G4932" s="8" t="s">
        <v>14</v>
      </c>
      <c r="H4932" s="8"/>
      <c r="I4932" s="7"/>
      <c r="J4932" s="8" t="str">
        <f aca="false">VLOOKUP(B4932, Table3[#All], 2, FALSE())</f>
        <v>Grocery</v>
      </c>
      <c r="K4932" s="8" t="str">
        <f aca="false">TEXT(ROW(), "0000")</f>
        <v>4932</v>
      </c>
      <c r="L4932" s="8"/>
    </row>
    <row r="4933" customFormat="false" ht="15.75" hidden="false" customHeight="true" outlineLevel="0" collapsed="false">
      <c r="A4933" s="7" t="n">
        <v>45983</v>
      </c>
      <c r="B4933" s="8" t="s">
        <v>37</v>
      </c>
      <c r="C4933" s="9" t="n">
        <v>28</v>
      </c>
      <c r="D4933" s="8" t="s">
        <v>21</v>
      </c>
      <c r="E4933" s="10" t="s">
        <v>672</v>
      </c>
      <c r="F4933" s="8" t="str">
        <f aca="false">TEXT(A4933,"MM-YYYY")</f>
        <v>11-2025</v>
      </c>
      <c r="G4933" s="8" t="s">
        <v>14</v>
      </c>
      <c r="H4933" s="8"/>
      <c r="I4933" s="7"/>
      <c r="J4933" s="8" t="str">
        <f aca="false">VLOOKUP(B4933, Table3[#All], 2, FALSE())</f>
        <v>Maintance</v>
      </c>
      <c r="K4933" s="8" t="str">
        <f aca="false">TEXT(ROW(), "0000")</f>
        <v>4933</v>
      </c>
      <c r="L4933" s="8"/>
    </row>
    <row r="4934" customFormat="false" ht="15.75" hidden="false" customHeight="true" outlineLevel="0" collapsed="false">
      <c r="A4934" s="7" t="n">
        <v>45983</v>
      </c>
      <c r="B4934" s="8" t="s">
        <v>34</v>
      </c>
      <c r="C4934" s="9" t="n">
        <v>30</v>
      </c>
      <c r="D4934" s="8" t="s">
        <v>45</v>
      </c>
      <c r="E4934" s="10" t="s">
        <v>34</v>
      </c>
      <c r="F4934" s="8" t="str">
        <f aca="false">TEXT(A4934,"MM-YYYY")</f>
        <v>11-2025</v>
      </c>
      <c r="G4934" s="8" t="s">
        <v>14</v>
      </c>
      <c r="H4934" s="8"/>
      <c r="I4934" s="7"/>
      <c r="J4934" s="8" t="str">
        <f aca="false">VLOOKUP(B4934, Table3[#All], 2, FALSE())</f>
        <v>Staff Expenses</v>
      </c>
      <c r="K4934" s="8" t="str">
        <f aca="false">TEXT(ROW(), "0000")</f>
        <v>4934</v>
      </c>
      <c r="L4934" s="8"/>
    </row>
    <row r="4935" customFormat="false" ht="15.75" hidden="false" customHeight="true" outlineLevel="0" collapsed="false">
      <c r="A4935" s="7" t="n">
        <v>45983</v>
      </c>
      <c r="B4935" s="8" t="s">
        <v>29</v>
      </c>
      <c r="C4935" s="9" t="n">
        <v>508</v>
      </c>
      <c r="D4935" s="8" t="s">
        <v>13</v>
      </c>
      <c r="E4935" s="10" t="s">
        <v>490</v>
      </c>
      <c r="F4935" s="8" t="str">
        <f aca="false">TEXT(A4935,"MM-YYYY")</f>
        <v>11-2025</v>
      </c>
      <c r="G4935" s="8" t="s">
        <v>18</v>
      </c>
      <c r="H4935" s="8"/>
      <c r="I4935" s="7"/>
      <c r="J4935" s="8" t="str">
        <f aca="false">VLOOKUP(B4935, Table3[#All], 2, FALSE())</f>
        <v>Inventory</v>
      </c>
      <c r="K4935" s="8" t="str">
        <f aca="false">TEXT(ROW(), "0000")</f>
        <v>4935</v>
      </c>
      <c r="L4935" s="8"/>
    </row>
    <row r="4936" customFormat="false" ht="15.75" hidden="false" customHeight="true" outlineLevel="0" collapsed="false">
      <c r="A4936" s="7" t="n">
        <v>45983</v>
      </c>
      <c r="B4936" s="8" t="s">
        <v>16</v>
      </c>
      <c r="C4936" s="9" t="n">
        <v>10140</v>
      </c>
      <c r="D4936" s="8" t="s">
        <v>21</v>
      </c>
      <c r="E4936" s="10" t="s">
        <v>101</v>
      </c>
      <c r="F4936" s="27" t="n">
        <v>45962</v>
      </c>
      <c r="G4936" s="8"/>
      <c r="H4936" s="8"/>
      <c r="I4936" s="7"/>
      <c r="J4936" s="8" t="str">
        <f aca="false">VLOOKUP(B4936, Table3[#All], 2, FALSE())</f>
        <v>Sales</v>
      </c>
      <c r="K4936" s="8" t="str">
        <f aca="false">TEXT(ROW(), "0000")</f>
        <v>4936</v>
      </c>
      <c r="L4936" s="8"/>
    </row>
    <row r="4937" customFormat="false" ht="15.75" hidden="false" customHeight="true" outlineLevel="0" collapsed="false">
      <c r="A4937" s="7" t="n">
        <v>45983</v>
      </c>
      <c r="B4937" s="8" t="s">
        <v>16</v>
      </c>
      <c r="C4937" s="9" t="n">
        <v>1310</v>
      </c>
      <c r="D4937" s="8" t="s">
        <v>33</v>
      </c>
      <c r="E4937" s="10" t="s">
        <v>101</v>
      </c>
      <c r="F4937" s="8" t="str">
        <f aca="false">TEXT(A4937,"MM-YYYY")</f>
        <v>11-2025</v>
      </c>
      <c r="G4937" s="8"/>
      <c r="H4937" s="8"/>
      <c r="I4937" s="7"/>
      <c r="J4937" s="8" t="str">
        <f aca="false">VLOOKUP(B4937, Table3[#All], 2, FALSE())</f>
        <v>Sales</v>
      </c>
      <c r="K4937" s="8" t="str">
        <f aca="false">TEXT(ROW(), "0000")</f>
        <v>4937</v>
      </c>
      <c r="L4937" s="8"/>
    </row>
    <row r="4938" customFormat="false" ht="15.75" hidden="false" customHeight="true" outlineLevel="0" collapsed="false">
      <c r="A4938" s="7" t="n">
        <v>45983</v>
      </c>
      <c r="B4938" s="8" t="s">
        <v>16</v>
      </c>
      <c r="C4938" s="9" t="n">
        <v>710</v>
      </c>
      <c r="D4938" s="8" t="s">
        <v>27</v>
      </c>
      <c r="E4938" s="10" t="s">
        <v>101</v>
      </c>
      <c r="F4938" s="8" t="str">
        <f aca="false">TEXT(A4938,"MM-YYYY")</f>
        <v>11-2025</v>
      </c>
      <c r="G4938" s="8"/>
      <c r="H4938" s="8"/>
      <c r="I4938" s="7"/>
      <c r="J4938" s="8" t="str">
        <f aca="false">VLOOKUP(B4938, Table3[#All], 2, FALSE())</f>
        <v>Sales</v>
      </c>
      <c r="K4938" s="8" t="str">
        <f aca="false">TEXT(ROW(), "0000")</f>
        <v>4938</v>
      </c>
      <c r="L4938" s="8"/>
    </row>
    <row r="4939" customFormat="false" ht="15.75" hidden="false" customHeight="true" outlineLevel="0" collapsed="false">
      <c r="A4939" s="7" t="n">
        <v>45983</v>
      </c>
      <c r="B4939" s="8" t="s">
        <v>16</v>
      </c>
      <c r="C4939" s="9" t="n">
        <v>2307</v>
      </c>
      <c r="D4939" s="8" t="s">
        <v>24</v>
      </c>
      <c r="E4939" s="10" t="s">
        <v>101</v>
      </c>
      <c r="F4939" s="8" t="str">
        <f aca="false">TEXT(A4939,"MM-YYYY")</f>
        <v>11-2025</v>
      </c>
      <c r="G4939" s="8"/>
      <c r="H4939" s="8"/>
      <c r="I4939" s="7"/>
      <c r="J4939" s="8" t="str">
        <f aca="false">VLOOKUP(B4939, Table3[#All], 2, FALSE())</f>
        <v>Sales</v>
      </c>
      <c r="K4939" s="8" t="str">
        <f aca="false">TEXT(ROW(), "0000")</f>
        <v>4939</v>
      </c>
      <c r="L4939" s="8"/>
    </row>
    <row r="4940" customFormat="false" ht="15.75" hidden="false" customHeight="true" outlineLevel="0" collapsed="false">
      <c r="A4940" s="7" t="n">
        <v>45983</v>
      </c>
      <c r="B4940" s="8" t="s">
        <v>16</v>
      </c>
      <c r="C4940" s="9" t="n">
        <v>31562</v>
      </c>
      <c r="D4940" s="8" t="s">
        <v>17</v>
      </c>
      <c r="E4940" s="10" t="s">
        <v>101</v>
      </c>
      <c r="F4940" s="8" t="str">
        <f aca="false">TEXT(A4940,"MM-YYYY")</f>
        <v>11-2025</v>
      </c>
      <c r="G4940" s="8"/>
      <c r="H4940" s="8"/>
      <c r="I4940" s="7"/>
      <c r="J4940" s="8" t="str">
        <f aca="false">VLOOKUP(B4940, Table3[#All], 2, FALSE())</f>
        <v>Sales</v>
      </c>
      <c r="K4940" s="8" t="str">
        <f aca="false">TEXT(ROW(), "0000")</f>
        <v>4940</v>
      </c>
      <c r="L4940" s="8"/>
    </row>
    <row r="4941" customFormat="false" ht="15.75" hidden="false" customHeight="true" outlineLevel="0" collapsed="false">
      <c r="A4941" s="7" t="n">
        <v>45983</v>
      </c>
      <c r="B4941" s="8" t="s">
        <v>16</v>
      </c>
      <c r="C4941" s="9" t="n">
        <v>300</v>
      </c>
      <c r="D4941" s="8" t="s">
        <v>70</v>
      </c>
      <c r="E4941" s="10" t="s">
        <v>101</v>
      </c>
      <c r="F4941" s="8" t="str">
        <f aca="false">TEXT(A4941,"MM-YYYY")</f>
        <v>11-2025</v>
      </c>
      <c r="G4941" s="8"/>
      <c r="H4941" s="8"/>
      <c r="I4941" s="7"/>
      <c r="J4941" s="8" t="str">
        <f aca="false">VLOOKUP(B4941, Table3[#All], 2, FALSE())</f>
        <v>Sales</v>
      </c>
      <c r="K4941" s="8" t="str">
        <f aca="false">TEXT(ROW(), "0000")</f>
        <v>4941</v>
      </c>
      <c r="L4941" s="8"/>
    </row>
    <row r="4942" customFormat="false" ht="15.75" hidden="false" customHeight="true" outlineLevel="0" collapsed="false">
      <c r="A4942" s="7" t="n">
        <v>45984</v>
      </c>
      <c r="B4942" s="8" t="s">
        <v>25</v>
      </c>
      <c r="C4942" s="9" t="n">
        <v>1678</v>
      </c>
      <c r="D4942" s="8" t="s">
        <v>13</v>
      </c>
      <c r="E4942" s="10" t="s">
        <v>92</v>
      </c>
      <c r="F4942" s="8" t="str">
        <f aca="false">TEXT(A4942,"MM-YYYY")</f>
        <v>11-2025</v>
      </c>
      <c r="G4942" s="8" t="s">
        <v>18</v>
      </c>
      <c r="H4942" s="8"/>
      <c r="I4942" s="7"/>
      <c r="J4942" s="8" t="str">
        <f aca="false">VLOOKUP(B4942, Table3[#All], 2, FALSE())</f>
        <v>Inventory</v>
      </c>
      <c r="K4942" s="8" t="str">
        <f aca="false">TEXT(ROW(), "0000")</f>
        <v>4942</v>
      </c>
      <c r="L4942" s="8"/>
    </row>
    <row r="4943" customFormat="false" ht="15.75" hidden="false" customHeight="true" outlineLevel="0" collapsed="false">
      <c r="A4943" s="7" t="n">
        <v>45984</v>
      </c>
      <c r="B4943" s="8" t="s">
        <v>19</v>
      </c>
      <c r="C4943" s="9" t="n">
        <v>5625</v>
      </c>
      <c r="D4943" s="8" t="s">
        <v>13</v>
      </c>
      <c r="E4943" s="10" t="s">
        <v>417</v>
      </c>
      <c r="F4943" s="8" t="str">
        <f aca="false">TEXT(A4943,"MM-YYYY")</f>
        <v>11-2025</v>
      </c>
      <c r="G4943" s="8" t="s">
        <v>18</v>
      </c>
      <c r="H4943" s="8"/>
      <c r="I4943" s="7"/>
      <c r="J4943" s="8" t="str">
        <f aca="false">VLOOKUP(B4943, Table3[#All], 2, FALSE())</f>
        <v>Inventory</v>
      </c>
      <c r="K4943" s="8" t="str">
        <f aca="false">TEXT(ROW(), "0000")</f>
        <v>4943</v>
      </c>
      <c r="L4943" s="8"/>
    </row>
    <row r="4944" customFormat="false" ht="15.75" hidden="false" customHeight="true" outlineLevel="0" collapsed="false">
      <c r="A4944" s="7" t="n">
        <v>45984</v>
      </c>
      <c r="B4944" s="8" t="s">
        <v>35</v>
      </c>
      <c r="C4944" s="9" t="n">
        <v>250</v>
      </c>
      <c r="D4944" s="8" t="s">
        <v>45</v>
      </c>
      <c r="E4944" s="10" t="s">
        <v>39</v>
      </c>
      <c r="F4944" s="8" t="str">
        <f aca="false">TEXT(A4944,"MM-YYYY")</f>
        <v>11-2025</v>
      </c>
      <c r="G4944" s="8" t="s">
        <v>14</v>
      </c>
      <c r="H4944" s="8"/>
      <c r="I4944" s="7"/>
      <c r="J4944" s="8" t="str">
        <f aca="false">VLOOKUP(B4944, Table3[#All], 2, FALSE())</f>
        <v>Inventory</v>
      </c>
      <c r="K4944" s="8" t="str">
        <f aca="false">TEXT(ROW(), "0000")</f>
        <v>4944</v>
      </c>
      <c r="L4944" s="8"/>
    </row>
    <row r="4945" customFormat="false" ht="15.75" hidden="false" customHeight="true" outlineLevel="0" collapsed="false">
      <c r="A4945" s="7" t="n">
        <v>45984</v>
      </c>
      <c r="B4945" s="8" t="s">
        <v>29</v>
      </c>
      <c r="C4945" s="9" t="n">
        <v>7000</v>
      </c>
      <c r="D4945" s="8" t="s">
        <v>45</v>
      </c>
      <c r="E4945" s="10" t="s">
        <v>490</v>
      </c>
      <c r="F4945" s="8" t="str">
        <f aca="false">TEXT(A4945,"MM-YYYY")</f>
        <v>11-2025</v>
      </c>
      <c r="G4945" s="8" t="s">
        <v>14</v>
      </c>
      <c r="H4945" s="8" t="s">
        <v>232</v>
      </c>
      <c r="I4945" s="7" t="n">
        <v>45984</v>
      </c>
      <c r="J4945" s="8" t="str">
        <f aca="false">VLOOKUP(B4945, Table3[#All], 2, FALSE())</f>
        <v>Inventory</v>
      </c>
      <c r="K4945" s="8" t="str">
        <f aca="false">TEXT(ROW(), "0000")</f>
        <v>4945</v>
      </c>
      <c r="L4945" s="8"/>
    </row>
    <row r="4946" customFormat="false" ht="15.75" hidden="false" customHeight="true" outlineLevel="0" collapsed="false">
      <c r="A4946" s="7" t="n">
        <v>45984</v>
      </c>
      <c r="B4946" s="8" t="s">
        <v>25</v>
      </c>
      <c r="C4946" s="9" t="n">
        <v>30</v>
      </c>
      <c r="D4946" s="8" t="s">
        <v>45</v>
      </c>
      <c r="E4946" s="10" t="s">
        <v>105</v>
      </c>
      <c r="F4946" s="8" t="str">
        <f aca="false">TEXT(A4946,"MM-YYYY")</f>
        <v>11-2025</v>
      </c>
      <c r="G4946" s="8" t="s">
        <v>14</v>
      </c>
      <c r="H4946" s="8" t="s">
        <v>232</v>
      </c>
      <c r="I4946" s="7"/>
      <c r="J4946" s="8" t="str">
        <f aca="false">VLOOKUP(B4946, Table3[#All], 2, FALSE())</f>
        <v>Inventory</v>
      </c>
      <c r="K4946" s="8" t="str">
        <f aca="false">TEXT(ROW(), "0000")</f>
        <v>4946</v>
      </c>
      <c r="L4946" s="8"/>
    </row>
    <row r="4947" customFormat="false" ht="15.75" hidden="false" customHeight="true" outlineLevel="0" collapsed="false">
      <c r="A4947" s="7" t="n">
        <v>45984</v>
      </c>
      <c r="B4947" s="8" t="s">
        <v>34</v>
      </c>
      <c r="C4947" s="9" t="n">
        <v>100</v>
      </c>
      <c r="D4947" s="8" t="s">
        <v>45</v>
      </c>
      <c r="E4947" s="10" t="s">
        <v>704</v>
      </c>
      <c r="F4947" s="8" t="str">
        <f aca="false">TEXT(A4947,"MM-YYYY")</f>
        <v>11-2025</v>
      </c>
      <c r="G4947" s="8" t="s">
        <v>14</v>
      </c>
      <c r="H4947" s="8" t="s">
        <v>232</v>
      </c>
      <c r="I4947" s="7"/>
      <c r="J4947" s="8" t="str">
        <f aca="false">VLOOKUP(B4947, Table3[#All], 2, FALSE())</f>
        <v>Staff Expenses</v>
      </c>
      <c r="K4947" s="8" t="str">
        <f aca="false">TEXT(ROW(), "0000")</f>
        <v>4947</v>
      </c>
      <c r="L4947" s="8"/>
    </row>
    <row r="4948" customFormat="false" ht="15.75" hidden="false" customHeight="true" outlineLevel="0" collapsed="false">
      <c r="A4948" s="7" t="n">
        <v>45984</v>
      </c>
      <c r="B4948" s="8" t="s">
        <v>37</v>
      </c>
      <c r="C4948" s="9" t="n">
        <v>30</v>
      </c>
      <c r="D4948" s="8" t="s">
        <v>45</v>
      </c>
      <c r="E4948" s="10" t="s">
        <v>672</v>
      </c>
      <c r="F4948" s="8" t="str">
        <f aca="false">TEXT(A4948,"MM-YYYY")</f>
        <v>11-2025</v>
      </c>
      <c r="G4948" s="8" t="s">
        <v>14</v>
      </c>
      <c r="H4948" s="8"/>
      <c r="I4948" s="7"/>
      <c r="J4948" s="8" t="str">
        <f aca="false">VLOOKUP(B4948, Table3[#All], 2, FALSE())</f>
        <v>Maintance</v>
      </c>
      <c r="K4948" s="8" t="str">
        <f aca="false">TEXT(ROW(), "0000")</f>
        <v>4948</v>
      </c>
      <c r="L4948" s="8"/>
    </row>
    <row r="4949" customFormat="false" ht="15.75" hidden="false" customHeight="true" outlineLevel="0" collapsed="false">
      <c r="A4949" s="7" t="n">
        <v>45984</v>
      </c>
      <c r="B4949" s="8" t="s">
        <v>47</v>
      </c>
      <c r="C4949" s="9" t="n">
        <v>600</v>
      </c>
      <c r="D4949" s="8" t="s">
        <v>45</v>
      </c>
      <c r="E4949" s="10" t="s">
        <v>484</v>
      </c>
      <c r="F4949" s="8" t="str">
        <f aca="false">TEXT(A4949,"MM-YYYY")</f>
        <v>11-2025</v>
      </c>
      <c r="G4949" s="8" t="s">
        <v>14</v>
      </c>
      <c r="H4949" s="8" t="s">
        <v>232</v>
      </c>
      <c r="I4949" s="7" t="s">
        <v>705</v>
      </c>
      <c r="J4949" s="8" t="str">
        <f aca="false">VLOOKUP(B4949, Table3[#All], 2, FALSE())</f>
        <v>Inventory</v>
      </c>
      <c r="K4949" s="8" t="str">
        <f aca="false">TEXT(ROW(), "0000")</f>
        <v>4949</v>
      </c>
      <c r="L4949" s="8"/>
    </row>
    <row r="4950" customFormat="false" ht="15.75" hidden="false" customHeight="true" outlineLevel="0" collapsed="false">
      <c r="A4950" s="7" t="n">
        <v>45984</v>
      </c>
      <c r="B4950" s="8" t="s">
        <v>51</v>
      </c>
      <c r="C4950" s="9" t="n">
        <v>330</v>
      </c>
      <c r="D4950" s="8" t="s">
        <v>45</v>
      </c>
      <c r="E4950" s="10" t="s">
        <v>706</v>
      </c>
      <c r="F4950" s="8" t="str">
        <f aca="false">TEXT(A4950,"MM-YYYY")</f>
        <v>11-2025</v>
      </c>
      <c r="G4950" s="8" t="s">
        <v>14</v>
      </c>
      <c r="H4950" s="8" t="s">
        <v>232</v>
      </c>
      <c r="I4950" s="7"/>
      <c r="J4950" s="8" t="str">
        <f aca="false">VLOOKUP(B4950, Table3[#All], 2, FALSE())</f>
        <v>Inventory</v>
      </c>
      <c r="K4950" s="8" t="str">
        <f aca="false">TEXT(ROW(), "0000")</f>
        <v>4950</v>
      </c>
      <c r="L4950" s="8"/>
    </row>
    <row r="4951" customFormat="false" ht="15.75" hidden="false" customHeight="true" outlineLevel="0" collapsed="false">
      <c r="A4951" s="7" t="n">
        <v>45984</v>
      </c>
      <c r="B4951" s="8" t="s">
        <v>43</v>
      </c>
      <c r="C4951" s="9" t="n">
        <v>30</v>
      </c>
      <c r="D4951" s="8" t="s">
        <v>45</v>
      </c>
      <c r="E4951" s="10" t="s">
        <v>487</v>
      </c>
      <c r="F4951" s="8" t="str">
        <f aca="false">TEXT(A4951,"MM-YYYY")</f>
        <v>11-2025</v>
      </c>
      <c r="G4951" s="8" t="s">
        <v>14</v>
      </c>
      <c r="H4951" s="8" t="s">
        <v>232</v>
      </c>
      <c r="I4951" s="7"/>
      <c r="J4951" s="8" t="str">
        <f aca="false">VLOOKUP(B4951, Table3[#All], 2, FALSE())</f>
        <v>Maintance</v>
      </c>
      <c r="K4951" s="8" t="str">
        <f aca="false">TEXT(ROW(), "0000")</f>
        <v>4951</v>
      </c>
      <c r="L4951" s="8"/>
    </row>
    <row r="4952" customFormat="false" ht="15.75" hidden="false" customHeight="true" outlineLevel="0" collapsed="false">
      <c r="A4952" s="7" t="n">
        <v>45984</v>
      </c>
      <c r="B4952" s="8" t="s">
        <v>43</v>
      </c>
      <c r="C4952" s="9" t="n">
        <v>110</v>
      </c>
      <c r="D4952" s="8" t="s">
        <v>45</v>
      </c>
      <c r="E4952" s="10" t="s">
        <v>487</v>
      </c>
      <c r="F4952" s="8" t="str">
        <f aca="false">TEXT(A4952,"MM-YYYY")</f>
        <v>11-2025</v>
      </c>
      <c r="G4952" s="8" t="s">
        <v>14</v>
      </c>
      <c r="H4952" s="8" t="s">
        <v>232</v>
      </c>
      <c r="I4952" s="7"/>
      <c r="J4952" s="8" t="str">
        <f aca="false">VLOOKUP(B4952, Table3[#All], 2, FALSE())</f>
        <v>Maintance</v>
      </c>
      <c r="K4952" s="8" t="str">
        <f aca="false">TEXT(ROW(), "0000")</f>
        <v>4952</v>
      </c>
      <c r="L4952" s="8"/>
    </row>
    <row r="4953" customFormat="false" ht="15.75" hidden="false" customHeight="true" outlineLevel="0" collapsed="false">
      <c r="A4953" s="7" t="n">
        <v>45984</v>
      </c>
      <c r="B4953" s="8" t="s">
        <v>28</v>
      </c>
      <c r="C4953" s="9" t="n">
        <v>440</v>
      </c>
      <c r="D4953" s="8" t="s">
        <v>45</v>
      </c>
      <c r="E4953" s="10" t="s">
        <v>707</v>
      </c>
      <c r="F4953" s="8" t="str">
        <f aca="false">TEXT(A4953,"MM-YYYY")</f>
        <v>11-2025</v>
      </c>
      <c r="G4953" s="8" t="s">
        <v>14</v>
      </c>
      <c r="H4953" s="8" t="s">
        <v>232</v>
      </c>
      <c r="I4953" s="7"/>
      <c r="J4953" s="8" t="str">
        <f aca="false">VLOOKUP(B4953, Table3[#All], 2, FALSE())</f>
        <v>Grocery</v>
      </c>
      <c r="K4953" s="8" t="str">
        <f aca="false">TEXT(ROW(), "0000")</f>
        <v>4953</v>
      </c>
      <c r="L4953" s="8"/>
    </row>
    <row r="4954" customFormat="false" ht="15.75" hidden="false" customHeight="true" outlineLevel="0" collapsed="false">
      <c r="A4954" s="7" t="n">
        <v>45984</v>
      </c>
      <c r="B4954" s="8" t="s">
        <v>60</v>
      </c>
      <c r="C4954" s="9" t="n">
        <v>210</v>
      </c>
      <c r="D4954" s="8" t="s">
        <v>45</v>
      </c>
      <c r="E4954" s="10" t="s">
        <v>60</v>
      </c>
      <c r="F4954" s="8" t="str">
        <f aca="false">TEXT(A4954,"MM-YYYY")</f>
        <v>11-2025</v>
      </c>
      <c r="G4954" s="8" t="s">
        <v>14</v>
      </c>
      <c r="H4954" s="8" t="s">
        <v>232</v>
      </c>
      <c r="I4954" s="7"/>
      <c r="J4954" s="8" t="str">
        <f aca="false">VLOOKUP(B4954, Table3[#All], 2, FALSE())</f>
        <v>Inventory</v>
      </c>
      <c r="K4954" s="8" t="str">
        <f aca="false">TEXT(ROW(), "0000")</f>
        <v>4954</v>
      </c>
      <c r="L4954" s="8"/>
    </row>
    <row r="4955" customFormat="false" ht="15.75" hidden="false" customHeight="true" outlineLevel="0" collapsed="false">
      <c r="A4955" s="7" t="n">
        <v>45984</v>
      </c>
      <c r="B4955" s="8" t="s">
        <v>25</v>
      </c>
      <c r="C4955" s="9" t="n">
        <v>250</v>
      </c>
      <c r="D4955" s="8" t="s">
        <v>45</v>
      </c>
      <c r="E4955" s="10" t="s">
        <v>708</v>
      </c>
      <c r="F4955" s="8" t="str">
        <f aca="false">TEXT(A4955,"MM-YYYY")</f>
        <v>11-2025</v>
      </c>
      <c r="G4955" s="8" t="s">
        <v>14</v>
      </c>
      <c r="H4955" s="8" t="s">
        <v>232</v>
      </c>
      <c r="I4955" s="7"/>
      <c r="J4955" s="8" t="str">
        <f aca="false">VLOOKUP(B4955, Table3[#All], 2, FALSE())</f>
        <v>Inventory</v>
      </c>
      <c r="K4955" s="8" t="str">
        <f aca="false">TEXT(ROW(), "0000")</f>
        <v>4955</v>
      </c>
      <c r="L4955" s="8"/>
    </row>
    <row r="4956" customFormat="false" ht="15.75" hidden="false" customHeight="true" outlineLevel="0" collapsed="false">
      <c r="A4956" s="7" t="n">
        <v>45984</v>
      </c>
      <c r="B4956" s="8" t="s">
        <v>29</v>
      </c>
      <c r="C4956" s="9" t="n">
        <v>727</v>
      </c>
      <c r="D4956" s="8" t="s">
        <v>13</v>
      </c>
      <c r="E4956" s="10" t="s">
        <v>490</v>
      </c>
      <c r="F4956" s="8" t="str">
        <f aca="false">TEXT(A4956,"MM-YYYY")</f>
        <v>11-2025</v>
      </c>
      <c r="G4956" s="8" t="s">
        <v>18</v>
      </c>
      <c r="H4956" s="8"/>
      <c r="I4956" s="7"/>
      <c r="J4956" s="8" t="str">
        <f aca="false">VLOOKUP(B4956, Table3[#All], 2, FALSE())</f>
        <v>Inventory</v>
      </c>
      <c r="K4956" s="8" t="str">
        <f aca="false">TEXT(ROW(), "0000")</f>
        <v>4956</v>
      </c>
      <c r="L4956" s="8"/>
    </row>
    <row r="4957" customFormat="false" ht="15.75" hidden="false" customHeight="true" outlineLevel="0" collapsed="false">
      <c r="A4957" s="7" t="n">
        <v>45984</v>
      </c>
      <c r="B4957" s="8" t="s">
        <v>16</v>
      </c>
      <c r="C4957" s="9" t="n">
        <v>4690</v>
      </c>
      <c r="D4957" s="8" t="s">
        <v>21</v>
      </c>
      <c r="E4957" s="10" t="s">
        <v>101</v>
      </c>
      <c r="F4957" s="8" t="str">
        <f aca="false">TEXT(A4957,"MM-YYYY")</f>
        <v>11-2025</v>
      </c>
      <c r="G4957" s="8"/>
      <c r="H4957" s="8"/>
      <c r="I4957" s="7"/>
      <c r="J4957" s="8" t="str">
        <f aca="false">VLOOKUP(B4957, Table3[#All], 2, FALSE())</f>
        <v>Sales</v>
      </c>
      <c r="K4957" s="8" t="str">
        <f aca="false">TEXT(ROW(), "0000")</f>
        <v>4957</v>
      </c>
      <c r="L4957" s="8"/>
    </row>
    <row r="4958" customFormat="false" ht="15.75" hidden="false" customHeight="true" outlineLevel="0" collapsed="false">
      <c r="A4958" s="7" t="n">
        <v>45984</v>
      </c>
      <c r="B4958" s="8" t="s">
        <v>16</v>
      </c>
      <c r="C4958" s="9" t="n">
        <v>29572</v>
      </c>
      <c r="D4958" s="8" t="s">
        <v>17</v>
      </c>
      <c r="E4958" s="10" t="s">
        <v>101</v>
      </c>
      <c r="F4958" s="8" t="str">
        <f aca="false">TEXT(A4958,"MM-YYYY")</f>
        <v>11-2025</v>
      </c>
      <c r="G4958" s="8"/>
      <c r="H4958" s="8"/>
      <c r="I4958" s="7"/>
      <c r="J4958" s="8" t="str">
        <f aca="false">VLOOKUP(B4958, Table3[#All], 2, FALSE())</f>
        <v>Sales</v>
      </c>
      <c r="K4958" s="8" t="str">
        <f aca="false">TEXT(ROW(), "0000")</f>
        <v>4958</v>
      </c>
      <c r="L4958" s="8"/>
    </row>
    <row r="4959" customFormat="false" ht="15.75" hidden="false" customHeight="true" outlineLevel="0" collapsed="false">
      <c r="A4959" s="7" t="n">
        <v>45984</v>
      </c>
      <c r="B4959" s="8" t="s">
        <v>16</v>
      </c>
      <c r="C4959" s="9" t="n">
        <v>1334</v>
      </c>
      <c r="D4959" s="8" t="s">
        <v>33</v>
      </c>
      <c r="E4959" s="10" t="s">
        <v>101</v>
      </c>
      <c r="F4959" s="8" t="str">
        <f aca="false">TEXT(A4959,"MM-YYYY")</f>
        <v>11-2025</v>
      </c>
      <c r="G4959" s="8"/>
      <c r="H4959" s="8"/>
      <c r="I4959" s="7"/>
      <c r="J4959" s="8" t="str">
        <f aca="false">VLOOKUP(B4959, Table3[#All], 2, FALSE())</f>
        <v>Sales</v>
      </c>
      <c r="K4959" s="8" t="str">
        <f aca="false">TEXT(ROW(), "0000")</f>
        <v>4959</v>
      </c>
      <c r="L4959" s="8"/>
    </row>
    <row r="4960" customFormat="false" ht="15.75" hidden="false" customHeight="true" outlineLevel="0" collapsed="false">
      <c r="A4960" s="7" t="n">
        <v>45984</v>
      </c>
      <c r="B4960" s="8" t="s">
        <v>16</v>
      </c>
      <c r="C4960" s="9" t="n">
        <v>3187</v>
      </c>
      <c r="D4960" s="8" t="s">
        <v>24</v>
      </c>
      <c r="E4960" s="10" t="s">
        <v>101</v>
      </c>
      <c r="F4960" s="8" t="str">
        <f aca="false">TEXT(A4960,"MM-YYYY")</f>
        <v>11-2025</v>
      </c>
      <c r="G4960" s="8"/>
      <c r="H4960" s="8"/>
      <c r="I4960" s="7"/>
      <c r="J4960" s="8" t="str">
        <f aca="false">VLOOKUP(B4960, Table3[#All], 2, FALSE())</f>
        <v>Sales</v>
      </c>
      <c r="K4960" s="8" t="str">
        <f aca="false">TEXT(ROW(), "0000")</f>
        <v>4960</v>
      </c>
      <c r="L4960" s="8"/>
    </row>
    <row r="4961" customFormat="false" ht="15.75" hidden="false" customHeight="true" outlineLevel="0" collapsed="false">
      <c r="A4961" s="7" t="n">
        <v>45984</v>
      </c>
      <c r="B4961" s="8" t="s">
        <v>16</v>
      </c>
      <c r="C4961" s="9" t="n">
        <v>2160</v>
      </c>
      <c r="D4961" s="8" t="s">
        <v>27</v>
      </c>
      <c r="E4961" s="10" t="s">
        <v>101</v>
      </c>
      <c r="F4961" s="8" t="str">
        <f aca="false">TEXT(A4961,"MM-YYYY")</f>
        <v>11-2025</v>
      </c>
      <c r="G4961" s="8"/>
      <c r="H4961" s="8"/>
      <c r="I4961" s="7"/>
      <c r="J4961" s="8" t="str">
        <f aca="false">VLOOKUP(B4961, Table3[#All], 2, FALSE())</f>
        <v>Sales</v>
      </c>
      <c r="K4961" s="8" t="str">
        <f aca="false">TEXT(ROW(), "0000")</f>
        <v>4961</v>
      </c>
      <c r="L4961" s="8"/>
    </row>
    <row r="4962" customFormat="false" ht="15.75" hidden="false" customHeight="true" outlineLevel="0" collapsed="false">
      <c r="A4962" s="7" t="n">
        <v>45984</v>
      </c>
      <c r="B4962" s="8" t="s">
        <v>44</v>
      </c>
      <c r="C4962" s="9" t="n">
        <v>1000</v>
      </c>
      <c r="D4962" s="8" t="s">
        <v>21</v>
      </c>
      <c r="E4962" s="10" t="s">
        <v>44</v>
      </c>
      <c r="F4962" s="8" t="str">
        <f aca="false">TEXT(A4962,"MM-YYYY")</f>
        <v>11-2025</v>
      </c>
      <c r="G4962" s="8" t="s">
        <v>14</v>
      </c>
      <c r="H4962" s="8" t="s">
        <v>232</v>
      </c>
      <c r="I4962" s="7" t="n">
        <v>45984</v>
      </c>
      <c r="J4962" s="8" t="str">
        <f aca="false">VLOOKUP(B4962, Table3[#All], 2, FALSE())</f>
        <v>Salary</v>
      </c>
      <c r="K4962" s="8" t="str">
        <f aca="false">TEXT(ROW(), "0000")</f>
        <v>4962</v>
      </c>
      <c r="L4962" s="8"/>
    </row>
    <row r="4963" customFormat="false" ht="15.75" hidden="false" customHeight="true" outlineLevel="0" collapsed="false">
      <c r="A4963" s="7" t="n">
        <v>45984</v>
      </c>
      <c r="B4963" s="8" t="s">
        <v>34</v>
      </c>
      <c r="C4963" s="9" t="n">
        <v>30</v>
      </c>
      <c r="D4963" s="8" t="s">
        <v>45</v>
      </c>
      <c r="E4963" s="10" t="s">
        <v>34</v>
      </c>
      <c r="F4963" s="8" t="str">
        <f aca="false">TEXT(A4963,"MM-YYYY")</f>
        <v>11-2025</v>
      </c>
      <c r="G4963" s="8" t="s">
        <v>14</v>
      </c>
      <c r="H4963" s="8"/>
      <c r="I4963" s="7"/>
      <c r="J4963" s="8" t="str">
        <f aca="false">VLOOKUP(B4963, Table3[#All], 2, FALSE())</f>
        <v>Staff Expenses</v>
      </c>
      <c r="K4963" s="8" t="str">
        <f aca="false">TEXT(ROW(), "0000")</f>
        <v>4963</v>
      </c>
      <c r="L4963" s="8"/>
    </row>
    <row r="4964" customFormat="false" ht="15.75" hidden="false" customHeight="true" outlineLevel="0" collapsed="false">
      <c r="A4964" s="7" t="n">
        <v>45984</v>
      </c>
      <c r="B4964" s="8" t="s">
        <v>44</v>
      </c>
      <c r="C4964" s="9" t="n">
        <v>1000</v>
      </c>
      <c r="D4964" s="8" t="s">
        <v>21</v>
      </c>
      <c r="E4964" s="10" t="s">
        <v>44</v>
      </c>
      <c r="F4964" s="8" t="str">
        <f aca="false">TEXT(A4964,"MM-YYYY")</f>
        <v>11-2025</v>
      </c>
      <c r="G4964" s="8" t="s">
        <v>14</v>
      </c>
      <c r="H4964" s="8" t="s">
        <v>232</v>
      </c>
      <c r="I4964" s="7" t="n">
        <v>45984</v>
      </c>
      <c r="J4964" s="8"/>
      <c r="K4964" s="8" t="str">
        <f aca="false">TEXT(ROW(), "0000")</f>
        <v>4964</v>
      </c>
      <c r="L4964" s="8"/>
    </row>
    <row r="4965" customFormat="false" ht="15.75" hidden="false" customHeight="true" outlineLevel="0" collapsed="false">
      <c r="A4965" s="7" t="n">
        <v>45985</v>
      </c>
      <c r="B4965" s="8" t="s">
        <v>22</v>
      </c>
      <c r="C4965" s="9" t="n">
        <v>452</v>
      </c>
      <c r="D4965" s="8" t="s">
        <v>45</v>
      </c>
      <c r="E4965" s="10" t="s">
        <v>23</v>
      </c>
      <c r="F4965" s="8" t="str">
        <f aca="false">TEXT(A4965,"MM-YYYY")</f>
        <v>11-2025</v>
      </c>
      <c r="G4965" s="8" t="s">
        <v>14</v>
      </c>
      <c r="H4965" s="8" t="s">
        <v>232</v>
      </c>
      <c r="I4965" s="7"/>
      <c r="J4965" s="8" t="str">
        <f aca="false">VLOOKUP(B4965, Table3[#All], 2, FALSE())</f>
        <v>Inventory</v>
      </c>
      <c r="K4965" s="8" t="str">
        <f aca="false">TEXT(ROW(), "0000")</f>
        <v>4965</v>
      </c>
      <c r="L4965" s="8"/>
    </row>
    <row r="4966" customFormat="false" ht="15.75" hidden="false" customHeight="true" outlineLevel="0" collapsed="false">
      <c r="A4966" s="7" t="n">
        <v>45985</v>
      </c>
      <c r="B4966" s="8" t="s">
        <v>22</v>
      </c>
      <c r="C4966" s="9" t="n">
        <v>95</v>
      </c>
      <c r="D4966" s="8" t="s">
        <v>45</v>
      </c>
      <c r="E4966" s="10" t="s">
        <v>23</v>
      </c>
      <c r="F4966" s="8" t="str">
        <f aca="false">TEXT(A4966,"MM-YYYY")</f>
        <v>11-2025</v>
      </c>
      <c r="G4966" s="8" t="s">
        <v>14</v>
      </c>
      <c r="H4966" s="8" t="s">
        <v>232</v>
      </c>
      <c r="I4966" s="7"/>
      <c r="J4966" s="8" t="str">
        <f aca="false">VLOOKUP(B4966, Table3[#All], 2, FALSE())</f>
        <v>Inventory</v>
      </c>
      <c r="K4966" s="8" t="str">
        <f aca="false">TEXT(ROW(), "0000")</f>
        <v>4966</v>
      </c>
      <c r="L4966" s="8"/>
    </row>
    <row r="4967" customFormat="false" ht="15.75" hidden="false" customHeight="true" outlineLevel="0" collapsed="false">
      <c r="A4967" s="7" t="n">
        <v>45985</v>
      </c>
      <c r="B4967" s="8" t="s">
        <v>47</v>
      </c>
      <c r="C4967" s="9" t="n">
        <v>1800</v>
      </c>
      <c r="D4967" s="8" t="s">
        <v>13</v>
      </c>
      <c r="E4967" s="10" t="s">
        <v>484</v>
      </c>
      <c r="F4967" s="8" t="str">
        <f aca="false">TEXT(A4967,"MM-YYYY")</f>
        <v>11-2025</v>
      </c>
      <c r="G4967" s="8" t="s">
        <v>18</v>
      </c>
      <c r="H4967" s="8"/>
      <c r="I4967" s="7"/>
      <c r="J4967" s="8" t="str">
        <f aca="false">VLOOKUP(B4967, Table3[#All], 2, FALSE())</f>
        <v>Inventory</v>
      </c>
      <c r="K4967" s="8" t="str">
        <f aca="false">TEXT(ROW(), "0000")</f>
        <v>4967</v>
      </c>
      <c r="L4967" s="8"/>
    </row>
    <row r="4968" customFormat="false" ht="15.75" hidden="false" customHeight="true" outlineLevel="0" collapsed="false">
      <c r="A4968" s="7" t="n">
        <v>45985</v>
      </c>
      <c r="B4968" s="8" t="s">
        <v>25</v>
      </c>
      <c r="C4968" s="9" t="n">
        <v>895</v>
      </c>
      <c r="D4968" s="8" t="s">
        <v>13</v>
      </c>
      <c r="E4968" s="10" t="s">
        <v>92</v>
      </c>
      <c r="F4968" s="8" t="str">
        <f aca="false">TEXT(A4968,"MM-YYYY")</f>
        <v>11-2025</v>
      </c>
      <c r="G4968" s="8" t="s">
        <v>18</v>
      </c>
      <c r="H4968" s="8"/>
      <c r="I4968" s="7"/>
      <c r="J4968" s="8" t="str">
        <f aca="false">VLOOKUP(B4968, Table3[#All], 2, FALSE())</f>
        <v>Inventory</v>
      </c>
      <c r="K4968" s="8" t="str">
        <f aca="false">TEXT(ROW(), "0000")</f>
        <v>4968</v>
      </c>
      <c r="L4968" s="8"/>
    </row>
    <row r="4969" customFormat="false" ht="15.75" hidden="false" customHeight="true" outlineLevel="0" collapsed="false">
      <c r="A4969" s="7" t="n">
        <v>45985</v>
      </c>
      <c r="B4969" s="8" t="s">
        <v>19</v>
      </c>
      <c r="C4969" s="9" t="n">
        <v>5286</v>
      </c>
      <c r="D4969" s="8" t="s">
        <v>13</v>
      </c>
      <c r="E4969" s="10" t="s">
        <v>417</v>
      </c>
      <c r="F4969" s="8" t="str">
        <f aca="false">TEXT(A4969,"MM-YYYY")</f>
        <v>11-2025</v>
      </c>
      <c r="G4969" s="8" t="s">
        <v>18</v>
      </c>
      <c r="H4969" s="8"/>
      <c r="I4969" s="7"/>
      <c r="J4969" s="8" t="str">
        <f aca="false">VLOOKUP(B4969, Table3[#All], 2, FALSE())</f>
        <v>Inventory</v>
      </c>
      <c r="K4969" s="8" t="str">
        <f aca="false">TEXT(ROW(), "0000")</f>
        <v>4969</v>
      </c>
      <c r="L4969" s="8"/>
    </row>
    <row r="4970" customFormat="false" ht="15.75" hidden="false" customHeight="true" outlineLevel="0" collapsed="false">
      <c r="A4970" s="7" t="n">
        <v>45985</v>
      </c>
      <c r="B4970" s="8" t="s">
        <v>107</v>
      </c>
      <c r="C4970" s="9" t="n">
        <v>1075</v>
      </c>
      <c r="D4970" s="8" t="s">
        <v>45</v>
      </c>
      <c r="E4970" s="10" t="s">
        <v>699</v>
      </c>
      <c r="F4970" s="8" t="str">
        <f aca="false">TEXT(A4970,"MM-YYYY")</f>
        <v>11-2025</v>
      </c>
      <c r="G4970" s="8" t="s">
        <v>14</v>
      </c>
      <c r="H4970" s="8" t="s">
        <v>232</v>
      </c>
      <c r="I4970" s="7"/>
      <c r="J4970" s="8" t="str">
        <f aca="false">VLOOKUP(B4970, Table3[#All], 2, FALSE())</f>
        <v>Staff Expenses</v>
      </c>
      <c r="K4970" s="8" t="str">
        <f aca="false">TEXT(ROW(), "0000")</f>
        <v>4970</v>
      </c>
      <c r="L4970" s="8"/>
    </row>
    <row r="4971" customFormat="false" ht="15.75" hidden="false" customHeight="true" outlineLevel="0" collapsed="false">
      <c r="A4971" s="7" t="n">
        <v>45985</v>
      </c>
      <c r="B4971" s="8" t="s">
        <v>22</v>
      </c>
      <c r="C4971" s="9" t="n">
        <v>60</v>
      </c>
      <c r="D4971" s="8" t="s">
        <v>45</v>
      </c>
      <c r="E4971" s="10" t="s">
        <v>23</v>
      </c>
      <c r="F4971" s="8" t="str">
        <f aca="false">TEXT(A4971,"MM-YYYY")</f>
        <v>11-2025</v>
      </c>
      <c r="G4971" s="8" t="s">
        <v>14</v>
      </c>
      <c r="H4971" s="8"/>
      <c r="I4971" s="7"/>
      <c r="J4971" s="8" t="str">
        <f aca="false">VLOOKUP(B4971, Table3[#All], 2, FALSE())</f>
        <v>Inventory</v>
      </c>
      <c r="K4971" s="8" t="str">
        <f aca="false">TEXT(ROW(), "0000")</f>
        <v>4971</v>
      </c>
      <c r="L4971" s="8"/>
    </row>
    <row r="4972" customFormat="false" ht="15.75" hidden="false" customHeight="true" outlineLevel="0" collapsed="false">
      <c r="A4972" s="7" t="n">
        <v>45985</v>
      </c>
      <c r="B4972" s="8" t="s">
        <v>29</v>
      </c>
      <c r="C4972" s="9" t="n">
        <v>715</v>
      </c>
      <c r="D4972" s="8" t="s">
        <v>13</v>
      </c>
      <c r="E4972" s="10" t="s">
        <v>490</v>
      </c>
      <c r="F4972" s="8" t="str">
        <f aca="false">TEXT(A4972,"MM-YYYY")</f>
        <v>11-2025</v>
      </c>
      <c r="G4972" s="8" t="s">
        <v>18</v>
      </c>
      <c r="H4972" s="8"/>
      <c r="I4972" s="7"/>
      <c r="J4972" s="8" t="str">
        <f aca="false">VLOOKUP(B4972, Table3[#All], 2, FALSE())</f>
        <v>Inventory</v>
      </c>
      <c r="K4972" s="8" t="str">
        <f aca="false">TEXT(ROW(), "0000")</f>
        <v>4972</v>
      </c>
      <c r="L4972" s="8"/>
    </row>
    <row r="4973" customFormat="false" ht="15.75" hidden="false" customHeight="true" outlineLevel="0" collapsed="false">
      <c r="A4973" s="7" t="n">
        <v>45985</v>
      </c>
      <c r="B4973" s="8" t="s">
        <v>25</v>
      </c>
      <c r="C4973" s="9" t="n">
        <v>30</v>
      </c>
      <c r="D4973" s="8" t="s">
        <v>45</v>
      </c>
      <c r="E4973" s="10" t="s">
        <v>42</v>
      </c>
      <c r="F4973" s="8" t="str">
        <f aca="false">TEXT(A4973,"MM-YYYY")</f>
        <v>11-2025</v>
      </c>
      <c r="G4973" s="8" t="s">
        <v>14</v>
      </c>
      <c r="H4973" s="8" t="s">
        <v>232</v>
      </c>
      <c r="I4973" s="7"/>
      <c r="J4973" s="8" t="str">
        <f aca="false">VLOOKUP(B4973, Table3[#All], 2, FALSE())</f>
        <v>Inventory</v>
      </c>
      <c r="K4973" s="8" t="str">
        <f aca="false">TEXT(ROW(), "0000")</f>
        <v>4973</v>
      </c>
      <c r="L4973" s="8"/>
    </row>
    <row r="4974" customFormat="false" ht="15.75" hidden="false" customHeight="true" outlineLevel="0" collapsed="false">
      <c r="A4974" s="7" t="n">
        <v>45985</v>
      </c>
      <c r="B4974" s="8" t="s">
        <v>34</v>
      </c>
      <c r="C4974" s="9" t="n">
        <v>30</v>
      </c>
      <c r="D4974" s="8" t="s">
        <v>45</v>
      </c>
      <c r="E4974" s="10" t="s">
        <v>34</v>
      </c>
      <c r="F4974" s="8" t="str">
        <f aca="false">TEXT(A4974,"MM-YYYY")</f>
        <v>11-2025</v>
      </c>
      <c r="G4974" s="8" t="s">
        <v>14</v>
      </c>
      <c r="H4974" s="8" t="s">
        <v>232</v>
      </c>
      <c r="I4974" s="7"/>
      <c r="J4974" s="8" t="str">
        <f aca="false">VLOOKUP(B4974, Table3[#All], 2, FALSE())</f>
        <v>Staff Expenses</v>
      </c>
      <c r="K4974" s="8" t="str">
        <f aca="false">TEXT(ROW(), "0000")</f>
        <v>4974</v>
      </c>
      <c r="L4974" s="8"/>
    </row>
    <row r="4975" customFormat="false" ht="15.75" hidden="false" customHeight="true" outlineLevel="0" collapsed="false">
      <c r="A4975" s="7" t="n">
        <v>45985</v>
      </c>
      <c r="B4975" s="8" t="s">
        <v>28</v>
      </c>
      <c r="C4975" s="9" t="n">
        <v>408</v>
      </c>
      <c r="D4975" s="8" t="s">
        <v>21</v>
      </c>
      <c r="E4975" s="10" t="s">
        <v>93</v>
      </c>
      <c r="F4975" s="8" t="str">
        <f aca="false">TEXT(A4975,"MM-YYYY")</f>
        <v>11-2025</v>
      </c>
      <c r="G4975" s="8" t="s">
        <v>14</v>
      </c>
      <c r="H4975" s="8" t="s">
        <v>232</v>
      </c>
      <c r="I4975" s="7" t="n">
        <v>45985</v>
      </c>
      <c r="J4975" s="8" t="str">
        <f aca="false">VLOOKUP(B4975, Table3[#All], 2, FALSE())</f>
        <v>Grocery</v>
      </c>
      <c r="K4975" s="8" t="str">
        <f aca="false">TEXT(ROW(), "0000")</f>
        <v>4975</v>
      </c>
      <c r="L4975" s="8"/>
    </row>
    <row r="4976" customFormat="false" ht="15.75" hidden="false" customHeight="true" outlineLevel="0" collapsed="false">
      <c r="A4976" s="7" t="n">
        <v>45985</v>
      </c>
      <c r="B4976" s="8" t="s">
        <v>29</v>
      </c>
      <c r="C4976" s="9" t="n">
        <v>20</v>
      </c>
      <c r="D4976" s="8" t="s">
        <v>21</v>
      </c>
      <c r="E4976" s="10" t="s">
        <v>65</v>
      </c>
      <c r="F4976" s="8" t="str">
        <f aca="false">TEXT(A4976,"MM-YYYY")</f>
        <v>11-2025</v>
      </c>
      <c r="G4976" s="8" t="s">
        <v>14</v>
      </c>
      <c r="H4976" s="8" t="s">
        <v>232</v>
      </c>
      <c r="I4976" s="7"/>
      <c r="J4976" s="8" t="str">
        <f aca="false">VLOOKUP(B4976, Table3[#All], 2, FALSE())</f>
        <v>Inventory</v>
      </c>
      <c r="K4976" s="8" t="str">
        <f aca="false">TEXT(ROW(), "0000")</f>
        <v>4976</v>
      </c>
      <c r="L4976" s="8"/>
    </row>
    <row r="4977" customFormat="false" ht="15.75" hidden="false" customHeight="true" outlineLevel="0" collapsed="false">
      <c r="A4977" s="7" t="n">
        <v>45985</v>
      </c>
      <c r="B4977" s="8" t="s">
        <v>16</v>
      </c>
      <c r="C4977" s="9" t="n">
        <v>3050</v>
      </c>
      <c r="D4977" s="8" t="s">
        <v>21</v>
      </c>
      <c r="E4977" s="10" t="s">
        <v>101</v>
      </c>
      <c r="F4977" s="8" t="str">
        <f aca="false">TEXT(A4977,"MM-YYYY")</f>
        <v>11-2025</v>
      </c>
      <c r="G4977" s="8"/>
      <c r="H4977" s="8"/>
      <c r="I4977" s="7"/>
      <c r="J4977" s="8" t="str">
        <f aca="false">VLOOKUP(B4977, Table3[#All], 2, FALSE())</f>
        <v>Sales</v>
      </c>
      <c r="K4977" s="8" t="str">
        <f aca="false">TEXT(ROW(), "0000")</f>
        <v>4977</v>
      </c>
      <c r="L4977" s="8"/>
    </row>
    <row r="4978" customFormat="false" ht="15.75" hidden="false" customHeight="true" outlineLevel="0" collapsed="false">
      <c r="A4978" s="7" t="n">
        <v>45985</v>
      </c>
      <c r="B4978" s="8" t="s">
        <v>16</v>
      </c>
      <c r="C4978" s="9" t="n">
        <v>810</v>
      </c>
      <c r="D4978" s="8" t="s">
        <v>33</v>
      </c>
      <c r="E4978" s="10" t="s">
        <v>101</v>
      </c>
      <c r="F4978" s="8" t="str">
        <f aca="false">TEXT(A4978,"MM-YYYY")</f>
        <v>11-2025</v>
      </c>
      <c r="G4978" s="8"/>
      <c r="H4978" s="8"/>
      <c r="I4978" s="7"/>
      <c r="J4978" s="8" t="str">
        <f aca="false">VLOOKUP(B4978, Table3[#All], 2, FALSE())</f>
        <v>Sales</v>
      </c>
      <c r="K4978" s="8" t="str">
        <f aca="false">TEXT(ROW(), "0000")</f>
        <v>4978</v>
      </c>
      <c r="L4978" s="8"/>
    </row>
    <row r="4979" customFormat="false" ht="15.75" hidden="false" customHeight="true" outlineLevel="0" collapsed="false">
      <c r="A4979" s="7" t="n">
        <v>45985</v>
      </c>
      <c r="B4979" s="8" t="s">
        <v>16</v>
      </c>
      <c r="C4979" s="9" t="n">
        <v>16890</v>
      </c>
      <c r="D4979" s="8" t="s">
        <v>17</v>
      </c>
      <c r="E4979" s="10" t="s">
        <v>101</v>
      </c>
      <c r="F4979" s="8" t="str">
        <f aca="false">TEXT(A4979,"MM-YYYY")</f>
        <v>11-2025</v>
      </c>
      <c r="G4979" s="8"/>
      <c r="H4979" s="8"/>
      <c r="I4979" s="7"/>
      <c r="J4979" s="8" t="str">
        <f aca="false">VLOOKUP(B4979, Table3[#All], 2, FALSE())</f>
        <v>Sales</v>
      </c>
      <c r="K4979" s="8" t="str">
        <f aca="false">TEXT(ROW(), "0000")</f>
        <v>4979</v>
      </c>
      <c r="L4979" s="8"/>
    </row>
    <row r="4980" customFormat="false" ht="15.75" hidden="false" customHeight="true" outlineLevel="0" collapsed="false">
      <c r="A4980" s="7" t="n">
        <v>45985</v>
      </c>
      <c r="B4980" s="8" t="s">
        <v>16</v>
      </c>
      <c r="C4980" s="9" t="n">
        <v>1756</v>
      </c>
      <c r="D4980" s="8" t="s">
        <v>24</v>
      </c>
      <c r="E4980" s="10" t="s">
        <v>101</v>
      </c>
      <c r="F4980" s="8" t="str">
        <f aca="false">TEXT(A4980,"MM-YYYY")</f>
        <v>11-2025</v>
      </c>
      <c r="G4980" s="8"/>
      <c r="H4980" s="8"/>
      <c r="I4980" s="7"/>
      <c r="J4980" s="8" t="str">
        <f aca="false">VLOOKUP(B4980, Table3[#All], 2, FALSE())</f>
        <v>Sales</v>
      </c>
      <c r="K4980" s="8" t="str">
        <f aca="false">TEXT(ROW(), "0000")</f>
        <v>4980</v>
      </c>
      <c r="L4980" s="8"/>
    </row>
    <row r="4981" customFormat="false" ht="15.75" hidden="false" customHeight="true" outlineLevel="0" collapsed="false">
      <c r="A4981" s="7" t="n">
        <v>45985</v>
      </c>
      <c r="B4981" s="8" t="s">
        <v>44</v>
      </c>
      <c r="C4981" s="9" t="n">
        <v>120</v>
      </c>
      <c r="D4981" s="8" t="s">
        <v>21</v>
      </c>
      <c r="E4981" s="10" t="s">
        <v>514</v>
      </c>
      <c r="F4981" s="8" t="str">
        <f aca="false">TEXT(A4981,"MM-YYYY")</f>
        <v>11-2025</v>
      </c>
      <c r="G4981" s="8" t="s">
        <v>14</v>
      </c>
      <c r="H4981" s="8" t="s">
        <v>232</v>
      </c>
      <c r="I4981" s="7"/>
      <c r="J4981" s="8" t="str">
        <f aca="false">VLOOKUP(B4981, Table3[#All], 2, FALSE())</f>
        <v>Salary</v>
      </c>
      <c r="K4981" s="8" t="str">
        <f aca="false">TEXT(ROW(), "0000")</f>
        <v>4981</v>
      </c>
      <c r="L4981" s="8"/>
    </row>
    <row r="4982" customFormat="false" ht="15.75" hidden="false" customHeight="true" outlineLevel="0" collapsed="false">
      <c r="A4982" s="7" t="n">
        <v>45985</v>
      </c>
      <c r="B4982" s="8" t="s">
        <v>22</v>
      </c>
      <c r="C4982" s="9" t="n">
        <v>460</v>
      </c>
      <c r="D4982" s="8" t="s">
        <v>45</v>
      </c>
      <c r="E4982" s="10" t="s">
        <v>479</v>
      </c>
      <c r="F4982" s="8" t="str">
        <f aca="false">TEXT(A4982,"MM-YYYY")</f>
        <v>11-2025</v>
      </c>
      <c r="G4982" s="8" t="s">
        <v>14</v>
      </c>
      <c r="H4982" s="8" t="s">
        <v>232</v>
      </c>
      <c r="I4982" s="7"/>
      <c r="J4982" s="8" t="str">
        <f aca="false">VLOOKUP(B4982, Table3[#All], 2, FALSE())</f>
        <v>Inventory</v>
      </c>
      <c r="K4982" s="8" t="str">
        <f aca="false">TEXT(ROW(), "0000")</f>
        <v>4982</v>
      </c>
      <c r="L4982" s="8"/>
    </row>
    <row r="4983" customFormat="false" ht="15.75" hidden="false" customHeight="true" outlineLevel="0" collapsed="false">
      <c r="A4983" s="7" t="n">
        <v>45984</v>
      </c>
      <c r="B4983" s="8" t="s">
        <v>31</v>
      </c>
      <c r="C4983" s="9" t="n">
        <v>310</v>
      </c>
      <c r="D4983" s="8" t="s">
        <v>45</v>
      </c>
      <c r="E4983" s="10" t="s">
        <v>147</v>
      </c>
      <c r="F4983" s="8" t="str">
        <f aca="false">TEXT(A4983,"MM-YYYY")</f>
        <v>11-2025</v>
      </c>
      <c r="G4983" s="8" t="s">
        <v>14</v>
      </c>
      <c r="H4983" s="8" t="s">
        <v>232</v>
      </c>
      <c r="I4983" s="7"/>
      <c r="J4983" s="8" t="str">
        <f aca="false">VLOOKUP(B4983, Table3[#All], 2, FALSE())</f>
        <v>Bike Maintance</v>
      </c>
      <c r="K4983" s="8" t="str">
        <f aca="false">TEXT(ROW(), "0000")</f>
        <v>4983</v>
      </c>
      <c r="L4983" s="8"/>
    </row>
    <row r="4984" customFormat="false" ht="15.75" hidden="false" customHeight="true" outlineLevel="0" collapsed="false">
      <c r="A4984" s="7" t="n">
        <v>45986</v>
      </c>
      <c r="B4984" s="8" t="s">
        <v>19</v>
      </c>
      <c r="C4984" s="9" t="n">
        <v>2896</v>
      </c>
      <c r="D4984" s="8" t="s">
        <v>13</v>
      </c>
      <c r="E4984" s="10" t="s">
        <v>417</v>
      </c>
      <c r="F4984" s="8" t="str">
        <f aca="false">TEXT(A4984,"MM-YYYY")</f>
        <v>11-2025</v>
      </c>
      <c r="G4984" s="8" t="s">
        <v>18</v>
      </c>
      <c r="H4984" s="8" t="s">
        <v>232</v>
      </c>
      <c r="I4984" s="7"/>
      <c r="J4984" s="8" t="str">
        <f aca="false">VLOOKUP(B4984, Table3[#All], 2, FALSE())</f>
        <v>Inventory</v>
      </c>
      <c r="K4984" s="8" t="str">
        <f aca="false">TEXT(ROW(), "0000")</f>
        <v>4984</v>
      </c>
      <c r="L4984" s="8"/>
    </row>
    <row r="4985" customFormat="false" ht="15.75" hidden="false" customHeight="true" outlineLevel="0" collapsed="false">
      <c r="A4985" s="7" t="n">
        <v>45986</v>
      </c>
      <c r="B4985" s="8" t="s">
        <v>53</v>
      </c>
      <c r="C4985" s="9" t="n">
        <v>1200</v>
      </c>
      <c r="D4985" s="8" t="s">
        <v>45</v>
      </c>
      <c r="E4985" s="10" t="s">
        <v>634</v>
      </c>
      <c r="F4985" s="8" t="str">
        <f aca="false">TEXT(A4985,"MM-YYYY")</f>
        <v>11-2025</v>
      </c>
      <c r="G4985" s="8" t="s">
        <v>14</v>
      </c>
      <c r="H4985" s="8" t="s">
        <v>232</v>
      </c>
      <c r="I4985" s="7"/>
      <c r="J4985" s="8" t="str">
        <f aca="false">VLOOKUP(B4985, Table3[#All], 2, FALSE())</f>
        <v>Grocery</v>
      </c>
      <c r="K4985" s="8" t="str">
        <f aca="false">TEXT(ROW(), "0000")</f>
        <v>4985</v>
      </c>
      <c r="L4985" s="8"/>
    </row>
    <row r="4986" customFormat="false" ht="15.75" hidden="false" customHeight="true" outlineLevel="0" collapsed="false">
      <c r="A4986" s="7" t="n">
        <v>45986</v>
      </c>
      <c r="B4986" s="8" t="s">
        <v>29</v>
      </c>
      <c r="C4986" s="9" t="n">
        <v>470</v>
      </c>
      <c r="D4986" s="8" t="s">
        <v>45</v>
      </c>
      <c r="E4986" s="10" t="s">
        <v>78</v>
      </c>
      <c r="F4986" s="8" t="str">
        <f aca="false">TEXT(A4986,"MM-YYYY")</f>
        <v>11-2025</v>
      </c>
      <c r="G4986" s="8" t="s">
        <v>14</v>
      </c>
      <c r="H4986" s="8" t="s">
        <v>232</v>
      </c>
      <c r="I4986" s="7"/>
      <c r="J4986" s="8" t="str">
        <f aca="false">VLOOKUP(B4986, Table3[#All], 2, FALSE())</f>
        <v>Inventory</v>
      </c>
      <c r="K4986" s="8" t="str">
        <f aca="false">TEXT(ROW(), "0000")</f>
        <v>4986</v>
      </c>
      <c r="L4986" s="8"/>
    </row>
    <row r="4987" customFormat="false" ht="15.75" hidden="false" customHeight="true" outlineLevel="0" collapsed="false">
      <c r="A4987" s="7" t="n">
        <v>45986</v>
      </c>
      <c r="B4987" s="8" t="s">
        <v>43</v>
      </c>
      <c r="C4987" s="9" t="n">
        <v>250</v>
      </c>
      <c r="D4987" s="8" t="s">
        <v>45</v>
      </c>
      <c r="E4987" s="10" t="s">
        <v>709</v>
      </c>
      <c r="F4987" s="8" t="str">
        <f aca="false">TEXT(A4987,"MM-YYYY")</f>
        <v>11-2025</v>
      </c>
      <c r="G4987" s="8" t="s">
        <v>14</v>
      </c>
      <c r="H4987" s="8" t="s">
        <v>232</v>
      </c>
      <c r="I4987" s="7"/>
      <c r="J4987" s="8" t="str">
        <f aca="false">VLOOKUP(B4987, Table3[#All], 2, FALSE())</f>
        <v>Maintance</v>
      </c>
      <c r="K4987" s="8" t="str">
        <f aca="false">TEXT(ROW(), "0000")</f>
        <v>4987</v>
      </c>
      <c r="L4987" s="8"/>
    </row>
    <row r="4988" customFormat="false" ht="15.75" hidden="false" customHeight="true" outlineLevel="0" collapsed="false">
      <c r="A4988" s="7" t="n">
        <v>45986</v>
      </c>
      <c r="B4988" s="8" t="s">
        <v>37</v>
      </c>
      <c r="C4988" s="9" t="n">
        <v>20</v>
      </c>
      <c r="D4988" s="8" t="s">
        <v>21</v>
      </c>
      <c r="E4988" s="10" t="s">
        <v>672</v>
      </c>
      <c r="F4988" s="8" t="str">
        <f aca="false">TEXT(A4988,"MM-YYYY")</f>
        <v>11-2025</v>
      </c>
      <c r="G4988" s="8" t="s">
        <v>14</v>
      </c>
      <c r="H4988" s="8"/>
      <c r="I4988" s="7"/>
      <c r="J4988" s="8" t="str">
        <f aca="false">VLOOKUP(B4988, Table3[#All], 2, FALSE())</f>
        <v>Maintance</v>
      </c>
      <c r="K4988" s="8" t="str">
        <f aca="false">TEXT(ROW(), "0000")</f>
        <v>4988</v>
      </c>
      <c r="L4988" s="8"/>
    </row>
    <row r="4989" customFormat="false" ht="15.75" hidden="false" customHeight="true" outlineLevel="0" collapsed="false">
      <c r="A4989" s="7" t="n">
        <v>45986</v>
      </c>
      <c r="B4989" s="8" t="s">
        <v>43</v>
      </c>
      <c r="C4989" s="9" t="n">
        <v>2150</v>
      </c>
      <c r="D4989" s="8" t="s">
        <v>13</v>
      </c>
      <c r="E4989" s="10" t="s">
        <v>710</v>
      </c>
      <c r="F4989" s="8" t="str">
        <f aca="false">TEXT(A4989,"MM-YYYY")</f>
        <v>11-2025</v>
      </c>
      <c r="G4989" s="8" t="s">
        <v>14</v>
      </c>
      <c r="H4989" s="8" t="s">
        <v>232</v>
      </c>
      <c r="I4989" s="7"/>
      <c r="J4989" s="8" t="str">
        <f aca="false">VLOOKUP(B4989, Table3[#All], 2, FALSE())</f>
        <v>Maintance</v>
      </c>
      <c r="K4989" s="8" t="str">
        <f aca="false">TEXT(ROW(), "0000")</f>
        <v>4989</v>
      </c>
      <c r="L4989" s="8"/>
    </row>
    <row r="4990" customFormat="false" ht="15.75" hidden="false" customHeight="true" outlineLevel="0" collapsed="false">
      <c r="A4990" s="7" t="n">
        <v>45986</v>
      </c>
      <c r="B4990" s="8" t="s">
        <v>25</v>
      </c>
      <c r="C4990" s="9" t="n">
        <v>985</v>
      </c>
      <c r="D4990" s="8" t="s">
        <v>45</v>
      </c>
      <c r="E4990" s="10" t="s">
        <v>659</v>
      </c>
      <c r="F4990" s="8" t="str">
        <f aca="false">TEXT(A4990,"MM-YYYY")</f>
        <v>11-2025</v>
      </c>
      <c r="G4990" s="8" t="s">
        <v>14</v>
      </c>
      <c r="H4990" s="8" t="s">
        <v>262</v>
      </c>
      <c r="I4990" s="7"/>
      <c r="J4990" s="8" t="str">
        <f aca="false">VLOOKUP(B4990, Table3[#All], 2, FALSE())</f>
        <v>Inventory</v>
      </c>
      <c r="K4990" s="8" t="str">
        <f aca="false">TEXT(ROW(), "0000")</f>
        <v>4990</v>
      </c>
      <c r="L4990" s="8"/>
    </row>
    <row r="4991" customFormat="false" ht="15.75" hidden="false" customHeight="true" outlineLevel="0" collapsed="false">
      <c r="A4991" s="7" t="n">
        <v>45986</v>
      </c>
      <c r="B4991" s="8" t="s">
        <v>34</v>
      </c>
      <c r="C4991" s="9" t="n">
        <v>110</v>
      </c>
      <c r="D4991" s="8" t="s">
        <v>45</v>
      </c>
      <c r="E4991" s="10" t="s">
        <v>34</v>
      </c>
      <c r="F4991" s="8" t="str">
        <f aca="false">TEXT(A4991,"MM-YYYY")</f>
        <v>11-2025</v>
      </c>
      <c r="G4991" s="8" t="s">
        <v>14</v>
      </c>
      <c r="H4991" s="8" t="s">
        <v>232</v>
      </c>
      <c r="I4991" s="7"/>
      <c r="J4991" s="8" t="str">
        <f aca="false">VLOOKUP(B4991, Table3[#All], 2, FALSE())</f>
        <v>Staff Expenses</v>
      </c>
      <c r="K4991" s="8" t="str">
        <f aca="false">TEXT(ROW(), "0000")</f>
        <v>4991</v>
      </c>
      <c r="L4991" s="8"/>
    </row>
    <row r="4992" customFormat="false" ht="15.75" hidden="false" customHeight="true" outlineLevel="0" collapsed="false">
      <c r="A4992" s="7" t="n">
        <v>45986</v>
      </c>
      <c r="B4992" s="8" t="s">
        <v>34</v>
      </c>
      <c r="C4992" s="9" t="n">
        <v>250</v>
      </c>
      <c r="D4992" s="8" t="s">
        <v>45</v>
      </c>
      <c r="E4992" s="10" t="s">
        <v>711</v>
      </c>
      <c r="F4992" s="8" t="str">
        <f aca="false">TEXT(A4992,"MM-YYYY")</f>
        <v>11-2025</v>
      </c>
      <c r="G4992" s="8" t="s">
        <v>14</v>
      </c>
      <c r="H4992" s="8" t="s">
        <v>232</v>
      </c>
      <c r="I4992" s="7"/>
      <c r="J4992" s="8" t="str">
        <f aca="false">VLOOKUP(B4992, Table3[#All], 2, FALSE())</f>
        <v>Staff Expenses</v>
      </c>
      <c r="K4992" s="8" t="str">
        <f aca="false">TEXT(ROW(), "0000")</f>
        <v>4992</v>
      </c>
      <c r="L4992" s="8"/>
    </row>
    <row r="4993" customFormat="false" ht="15.75" hidden="false" customHeight="true" outlineLevel="0" collapsed="false">
      <c r="A4993" s="7" t="n">
        <v>45986</v>
      </c>
      <c r="B4993" s="8" t="s">
        <v>28</v>
      </c>
      <c r="C4993" s="9" t="n">
        <v>440</v>
      </c>
      <c r="D4993" s="8" t="s">
        <v>45</v>
      </c>
      <c r="E4993" s="10" t="s">
        <v>707</v>
      </c>
      <c r="F4993" s="8" t="str">
        <f aca="false">TEXT(A4993,"MM-YYYY")</f>
        <v>11-2025</v>
      </c>
      <c r="G4993" s="8" t="s">
        <v>14</v>
      </c>
      <c r="H4993" s="8" t="s">
        <v>232</v>
      </c>
      <c r="I4993" s="7"/>
      <c r="J4993" s="8" t="str">
        <f aca="false">VLOOKUP(B4993, Table3[#All], 2, FALSE())</f>
        <v>Grocery</v>
      </c>
      <c r="K4993" s="8" t="str">
        <f aca="false">TEXT(ROW(), "0000")</f>
        <v>4993</v>
      </c>
      <c r="L4993" s="8"/>
    </row>
    <row r="4994" customFormat="false" ht="15.75" hidden="false" customHeight="true" outlineLevel="0" collapsed="false">
      <c r="A4994" s="7" t="n">
        <v>45986</v>
      </c>
      <c r="B4994" s="8" t="s">
        <v>29</v>
      </c>
      <c r="C4994" s="9" t="n">
        <v>681</v>
      </c>
      <c r="D4994" s="8" t="s">
        <v>13</v>
      </c>
      <c r="E4994" s="10" t="s">
        <v>490</v>
      </c>
      <c r="F4994" s="8" t="str">
        <f aca="false">TEXT(A4994,"MM-YYYY")</f>
        <v>11-2025</v>
      </c>
      <c r="G4994" s="8" t="s">
        <v>18</v>
      </c>
      <c r="H4994" s="8"/>
      <c r="I4994" s="7"/>
      <c r="J4994" s="8" t="str">
        <f aca="false">VLOOKUP(B4994, Table3[#All], 2, FALSE())</f>
        <v>Inventory</v>
      </c>
      <c r="K4994" s="8" t="str">
        <f aca="false">TEXT(ROW(), "0000")</f>
        <v>4994</v>
      </c>
      <c r="L4994" s="8"/>
    </row>
    <row r="4995" customFormat="false" ht="15.75" hidden="false" customHeight="true" outlineLevel="0" collapsed="false">
      <c r="A4995" s="7" t="n">
        <v>45986</v>
      </c>
      <c r="B4995" s="8" t="s">
        <v>25</v>
      </c>
      <c r="C4995" s="9" t="n">
        <v>741</v>
      </c>
      <c r="D4995" s="8" t="s">
        <v>13</v>
      </c>
      <c r="E4995" s="10" t="s">
        <v>92</v>
      </c>
      <c r="F4995" s="8" t="str">
        <f aca="false">TEXT(A4995,"MM-YYYY")</f>
        <v>11-2025</v>
      </c>
      <c r="G4995" s="8" t="s">
        <v>18</v>
      </c>
      <c r="H4995" s="8"/>
      <c r="I4995" s="7"/>
      <c r="J4995" s="8" t="str">
        <f aca="false">VLOOKUP(B4995, Table3[#All], 2, FALSE())</f>
        <v>Inventory</v>
      </c>
      <c r="K4995" s="8" t="str">
        <f aca="false">TEXT(ROW(), "0000")</f>
        <v>4995</v>
      </c>
      <c r="L4995" s="8"/>
    </row>
    <row r="4996" customFormat="false" ht="15.75" hidden="false" customHeight="true" outlineLevel="0" collapsed="false">
      <c r="A4996" s="7" t="n">
        <v>45986</v>
      </c>
      <c r="B4996" s="8" t="s">
        <v>16</v>
      </c>
      <c r="C4996" s="9" t="n">
        <v>800</v>
      </c>
      <c r="D4996" s="8" t="s">
        <v>27</v>
      </c>
      <c r="E4996" s="10" t="s">
        <v>101</v>
      </c>
      <c r="F4996" s="8" t="str">
        <f aca="false">TEXT(A4996,"MM-YYYY")</f>
        <v>11-2025</v>
      </c>
      <c r="G4996" s="8"/>
      <c r="H4996" s="8"/>
      <c r="I4996" s="7"/>
      <c r="J4996" s="8" t="str">
        <f aca="false">VLOOKUP(B4996, Table3[#All], 2, FALSE())</f>
        <v>Sales</v>
      </c>
      <c r="K4996" s="8" t="str">
        <f aca="false">TEXT(ROW(), "0000")</f>
        <v>4996</v>
      </c>
      <c r="L4996" s="8"/>
    </row>
    <row r="4997" customFormat="false" ht="15.75" hidden="false" customHeight="true" outlineLevel="0" collapsed="false">
      <c r="A4997" s="7" t="n">
        <v>45986</v>
      </c>
      <c r="B4997" s="8" t="s">
        <v>16</v>
      </c>
      <c r="C4997" s="9" t="n">
        <v>18892</v>
      </c>
      <c r="D4997" s="8" t="s">
        <v>17</v>
      </c>
      <c r="E4997" s="10" t="s">
        <v>101</v>
      </c>
      <c r="F4997" s="8" t="str">
        <f aca="false">TEXT(A4997,"MM-YYYY")</f>
        <v>11-2025</v>
      </c>
      <c r="G4997" s="8"/>
      <c r="H4997" s="8"/>
      <c r="I4997" s="7"/>
      <c r="J4997" s="8" t="str">
        <f aca="false">VLOOKUP(B4997, Table3[#All], 2, FALSE())</f>
        <v>Sales</v>
      </c>
      <c r="K4997" s="8" t="str">
        <f aca="false">TEXT(ROW(), "0000")</f>
        <v>4997</v>
      </c>
      <c r="L4997" s="8"/>
    </row>
    <row r="4998" customFormat="false" ht="15.75" hidden="false" customHeight="true" outlineLevel="0" collapsed="false">
      <c r="A4998" s="7" t="n">
        <v>45986</v>
      </c>
      <c r="B4998" s="8" t="s">
        <v>16</v>
      </c>
      <c r="C4998" s="9" t="n">
        <v>1931</v>
      </c>
      <c r="D4998" s="8" t="s">
        <v>24</v>
      </c>
      <c r="E4998" s="10" t="s">
        <v>101</v>
      </c>
      <c r="F4998" s="8" t="str">
        <f aca="false">TEXT(A4998,"MM-YYYY")</f>
        <v>11-2025</v>
      </c>
      <c r="G4998" s="8"/>
      <c r="H4998" s="8"/>
      <c r="I4998" s="7"/>
      <c r="J4998" s="8" t="str">
        <f aca="false">VLOOKUP(B4998, Table3[#All], 2, FALSE())</f>
        <v>Sales</v>
      </c>
      <c r="K4998" s="8" t="str">
        <f aca="false">TEXT(ROW(), "0000")</f>
        <v>4998</v>
      </c>
      <c r="L4998" s="8"/>
    </row>
    <row r="4999" customFormat="false" ht="15.75" hidden="false" customHeight="true" outlineLevel="0" collapsed="false">
      <c r="A4999" s="7" t="n">
        <v>45986</v>
      </c>
      <c r="B4999" s="8" t="s">
        <v>16</v>
      </c>
      <c r="C4999" s="9" t="n">
        <v>870</v>
      </c>
      <c r="D4999" s="8" t="s">
        <v>33</v>
      </c>
      <c r="E4999" s="10" t="s">
        <v>101</v>
      </c>
      <c r="F4999" s="8" t="str">
        <f aca="false">TEXT(A4999,"MM-YYYY")</f>
        <v>11-2025</v>
      </c>
      <c r="G4999" s="8"/>
      <c r="H4999" s="8"/>
      <c r="I4999" s="7"/>
      <c r="J4999" s="8" t="str">
        <f aca="false">VLOOKUP(B4999, Table3[#All], 2, FALSE())</f>
        <v>Sales</v>
      </c>
      <c r="K4999" s="8" t="str">
        <f aca="false">TEXT(ROW(), "0000")</f>
        <v>4999</v>
      </c>
      <c r="L4999" s="8"/>
    </row>
    <row r="5000" customFormat="false" ht="15.75" hidden="false" customHeight="true" outlineLevel="0" collapsed="false">
      <c r="A5000" s="7" t="n">
        <v>45986</v>
      </c>
      <c r="B5000" s="8" t="s">
        <v>16</v>
      </c>
      <c r="C5000" s="9" t="n">
        <v>4280</v>
      </c>
      <c r="D5000" s="8" t="s">
        <v>21</v>
      </c>
      <c r="E5000" s="10" t="s">
        <v>101</v>
      </c>
      <c r="F5000" s="8" t="str">
        <f aca="false">TEXT(A5000,"MM-YYYY")</f>
        <v>11-2025</v>
      </c>
      <c r="G5000" s="8"/>
      <c r="H5000" s="8"/>
      <c r="I5000" s="7"/>
      <c r="J5000" s="8" t="str">
        <f aca="false">VLOOKUP(B5000, Table3[#All], 2, FALSE())</f>
        <v>Sales</v>
      </c>
      <c r="K5000" s="8" t="str">
        <f aca="false">TEXT(ROW(), "0000")</f>
        <v>5000</v>
      </c>
      <c r="L5000" s="8"/>
    </row>
    <row r="5001" customFormat="false" ht="15.75" hidden="false" customHeight="true" outlineLevel="0" collapsed="false">
      <c r="A5001" s="7" t="n">
        <v>45986</v>
      </c>
      <c r="B5001" s="8" t="s">
        <v>16</v>
      </c>
      <c r="C5001" s="9" t="n">
        <v>0</v>
      </c>
      <c r="D5001" s="8" t="s">
        <v>59</v>
      </c>
      <c r="E5001" s="10" t="s">
        <v>101</v>
      </c>
      <c r="F5001" s="8" t="str">
        <f aca="false">TEXT(A5001,"MM-YYYY")</f>
        <v>11-2025</v>
      </c>
      <c r="G5001" s="8"/>
      <c r="H5001" s="8"/>
      <c r="I5001" s="7"/>
      <c r="J5001" s="8" t="str">
        <f aca="false">VLOOKUP(B5001, Table3[#All], 2, FALSE())</f>
        <v>Sales</v>
      </c>
      <c r="K5001" s="8" t="str">
        <f aca="false">TEXT(ROW(), "0000")</f>
        <v>5001</v>
      </c>
      <c r="L5001" s="8"/>
    </row>
    <row r="5002" customFormat="false" ht="15.75" hidden="false" customHeight="true" outlineLevel="0" collapsed="false">
      <c r="A5002" s="7" t="n">
        <v>45986</v>
      </c>
      <c r="B5002" s="8" t="s">
        <v>43</v>
      </c>
      <c r="C5002" s="9" t="n">
        <v>20</v>
      </c>
      <c r="D5002" s="8" t="s">
        <v>45</v>
      </c>
      <c r="E5002" s="10" t="s">
        <v>712</v>
      </c>
      <c r="F5002" s="8" t="str">
        <f aca="false">TEXT(A5002,"MM-YYYY")</f>
        <v>11-2025</v>
      </c>
      <c r="G5002" s="8" t="s">
        <v>14</v>
      </c>
      <c r="H5002" s="8"/>
      <c r="I5002" s="7"/>
      <c r="J5002" s="8" t="str">
        <f aca="false">VLOOKUP(B5002, Table3[#All], 2, FALSE())</f>
        <v>Maintance</v>
      </c>
      <c r="K5002" s="8" t="str">
        <f aca="false">TEXT(ROW(), "0000")</f>
        <v>5002</v>
      </c>
      <c r="L5002" s="8"/>
    </row>
    <row r="5003" customFormat="false" ht="15.75" hidden="false" customHeight="true" outlineLevel="0" collapsed="false">
      <c r="A5003" s="7" t="n">
        <v>45986</v>
      </c>
      <c r="B5003" s="8" t="s">
        <v>43</v>
      </c>
      <c r="C5003" s="9" t="n">
        <v>25310</v>
      </c>
      <c r="D5003" s="8" t="s">
        <v>13</v>
      </c>
      <c r="E5003" s="10" t="s">
        <v>713</v>
      </c>
      <c r="F5003" s="8" t="str">
        <f aca="false">TEXT(A5003,"MM-YYYY")</f>
        <v>11-2025</v>
      </c>
      <c r="G5003" s="8" t="s">
        <v>18</v>
      </c>
      <c r="H5003" s="8"/>
      <c r="I5003" s="7"/>
      <c r="J5003" s="8" t="str">
        <f aca="false">VLOOKUP(B5003, Table3[#All], 2, FALSE())</f>
        <v>Maintance</v>
      </c>
      <c r="K5003" s="8" t="str">
        <f aca="false">TEXT(ROW(), "0000")</f>
        <v>5003</v>
      </c>
      <c r="L5003" s="8"/>
    </row>
    <row r="5004" customFormat="false" ht="15.75" hidden="false" customHeight="true" outlineLevel="0" collapsed="false">
      <c r="A5004" s="7" t="n">
        <v>45986</v>
      </c>
      <c r="B5004" s="8" t="s">
        <v>34</v>
      </c>
      <c r="C5004" s="9" t="n">
        <v>120</v>
      </c>
      <c r="D5004" s="8" t="s">
        <v>45</v>
      </c>
      <c r="E5004" s="10" t="s">
        <v>714</v>
      </c>
      <c r="F5004" s="8" t="str">
        <f aca="false">TEXT(A5004,"MM-YYYY")</f>
        <v>11-2025</v>
      </c>
      <c r="G5004" s="8" t="s">
        <v>14</v>
      </c>
      <c r="H5004" s="8"/>
      <c r="I5004" s="7"/>
      <c r="J5004" s="8" t="str">
        <f aca="false">VLOOKUP(B5004, Table3[#All], 2, FALSE())</f>
        <v>Staff Expenses</v>
      </c>
      <c r="K5004" s="8" t="str">
        <f aca="false">TEXT(ROW(), "0000")</f>
        <v>5004</v>
      </c>
      <c r="L5004" s="8"/>
    </row>
    <row r="5005" customFormat="false" ht="15.75" hidden="false" customHeight="true" outlineLevel="0" collapsed="false">
      <c r="A5005" s="7" t="n">
        <v>45987</v>
      </c>
      <c r="B5005" s="8" t="s">
        <v>25</v>
      </c>
      <c r="C5005" s="9" t="n">
        <v>1286</v>
      </c>
      <c r="D5005" s="8" t="s">
        <v>13</v>
      </c>
      <c r="E5005" s="10" t="s">
        <v>92</v>
      </c>
      <c r="F5005" s="8" t="str">
        <f aca="false">TEXT(A5005,"MM-YYYY")</f>
        <v>11-2025</v>
      </c>
      <c r="G5005" s="8" t="s">
        <v>18</v>
      </c>
      <c r="H5005" s="8"/>
      <c r="I5005" s="7"/>
      <c r="J5005" s="8" t="str">
        <f aca="false">VLOOKUP(B5005, Table3[#All], 2, FALSE())</f>
        <v>Inventory</v>
      </c>
      <c r="K5005" s="8" t="str">
        <f aca="false">TEXT(ROW(), "0000")</f>
        <v>5005</v>
      </c>
      <c r="L5005" s="8"/>
    </row>
    <row r="5006" customFormat="false" ht="15.75" hidden="false" customHeight="true" outlineLevel="0" collapsed="false">
      <c r="A5006" s="7" t="n">
        <v>45987</v>
      </c>
      <c r="B5006" s="8" t="s">
        <v>19</v>
      </c>
      <c r="C5006" s="9" t="n">
        <v>5361</v>
      </c>
      <c r="D5006" s="8" t="s">
        <v>13</v>
      </c>
      <c r="E5006" s="10" t="s">
        <v>417</v>
      </c>
      <c r="F5006" s="8" t="str">
        <f aca="false">TEXT(A5006,"MM-YYYY")</f>
        <v>11-2025</v>
      </c>
      <c r="G5006" s="8" t="s">
        <v>18</v>
      </c>
      <c r="H5006" s="8"/>
      <c r="I5006" s="7"/>
      <c r="J5006" s="8" t="str">
        <f aca="false">VLOOKUP(B5006, Table3[#All], 2, FALSE())</f>
        <v>Inventory</v>
      </c>
      <c r="K5006" s="8" t="str">
        <f aca="false">TEXT(ROW(), "0000")</f>
        <v>5006</v>
      </c>
      <c r="L5006" s="8"/>
    </row>
    <row r="5007" customFormat="false" ht="15.75" hidden="false" customHeight="true" outlineLevel="0" collapsed="false">
      <c r="A5007" s="7" t="n">
        <v>45987</v>
      </c>
      <c r="B5007" s="8" t="s">
        <v>25</v>
      </c>
      <c r="C5007" s="9" t="n">
        <v>30</v>
      </c>
      <c r="D5007" s="8" t="s">
        <v>45</v>
      </c>
      <c r="E5007" s="10" t="s">
        <v>105</v>
      </c>
      <c r="F5007" s="8" t="str">
        <f aca="false">TEXT(A5007,"MM-YYYY")</f>
        <v>11-2025</v>
      </c>
      <c r="G5007" s="8" t="s">
        <v>14</v>
      </c>
      <c r="H5007" s="8"/>
      <c r="I5007" s="7"/>
      <c r="J5007" s="8" t="str">
        <f aca="false">VLOOKUP(B5007, Table3[#All], 2, FALSE())</f>
        <v>Inventory</v>
      </c>
      <c r="K5007" s="8" t="str">
        <f aca="false">TEXT(ROW(), "0000")</f>
        <v>5007</v>
      </c>
      <c r="L5007" s="8"/>
    </row>
    <row r="5008" customFormat="false" ht="15.75" hidden="false" customHeight="true" outlineLevel="0" collapsed="false">
      <c r="A5008" s="7" t="n">
        <v>45987</v>
      </c>
      <c r="B5008" s="8" t="s">
        <v>34</v>
      </c>
      <c r="C5008" s="9" t="n">
        <v>50</v>
      </c>
      <c r="D5008" s="8" t="s">
        <v>45</v>
      </c>
      <c r="E5008" s="10" t="s">
        <v>715</v>
      </c>
      <c r="F5008" s="8" t="str">
        <f aca="false">TEXT(A5008,"MM-YYYY")</f>
        <v>11-2025</v>
      </c>
      <c r="G5008" s="8" t="s">
        <v>14</v>
      </c>
      <c r="H5008" s="8"/>
      <c r="I5008" s="7"/>
      <c r="J5008" s="8" t="str">
        <f aca="false">VLOOKUP(B5008, Table3[#All], 2, FALSE())</f>
        <v>Staff Expenses</v>
      </c>
      <c r="K5008" s="8" t="str">
        <f aca="false">TEXT(ROW(), "0000")</f>
        <v>5008</v>
      </c>
      <c r="L5008" s="8"/>
    </row>
    <row r="5009" customFormat="false" ht="15.75" hidden="false" customHeight="true" outlineLevel="0" collapsed="false">
      <c r="A5009" s="7" t="n">
        <v>45987</v>
      </c>
      <c r="B5009" s="8" t="s">
        <v>43</v>
      </c>
      <c r="C5009" s="9" t="n">
        <v>65</v>
      </c>
      <c r="D5009" s="8" t="s">
        <v>45</v>
      </c>
      <c r="E5009" s="10" t="s">
        <v>716</v>
      </c>
      <c r="F5009" s="8" t="str">
        <f aca="false">TEXT(A5009,"MM-YYYY")</f>
        <v>11-2025</v>
      </c>
      <c r="G5009" s="8" t="s">
        <v>14</v>
      </c>
      <c r="H5009" s="8"/>
      <c r="I5009" s="7"/>
      <c r="J5009" s="8" t="str">
        <f aca="false">VLOOKUP(B5009, Table3[#All], 2, FALSE())</f>
        <v>Maintance</v>
      </c>
      <c r="K5009" s="8" t="str">
        <f aca="false">TEXT(ROW(), "0000")</f>
        <v>5009</v>
      </c>
      <c r="L5009" s="8"/>
    </row>
    <row r="5010" customFormat="false" ht="15.75" hidden="false" customHeight="true" outlineLevel="0" collapsed="false">
      <c r="A5010" s="7" t="n">
        <v>45987</v>
      </c>
      <c r="B5010" s="8" t="s">
        <v>29</v>
      </c>
      <c r="C5010" s="9" t="n">
        <v>1121</v>
      </c>
      <c r="D5010" s="8" t="s">
        <v>13</v>
      </c>
      <c r="E5010" s="10" t="s">
        <v>490</v>
      </c>
      <c r="F5010" s="8" t="str">
        <f aca="false">TEXT(A5010,"MM-YYYY")</f>
        <v>11-2025</v>
      </c>
      <c r="G5010" s="8" t="s">
        <v>18</v>
      </c>
      <c r="H5010" s="8"/>
      <c r="I5010" s="7"/>
      <c r="J5010" s="8" t="str">
        <f aca="false">VLOOKUP(B5010, Table3[#All], 2, FALSE())</f>
        <v>Inventory</v>
      </c>
      <c r="K5010" s="8" t="str">
        <f aca="false">TEXT(ROW(), "0000")</f>
        <v>5010</v>
      </c>
      <c r="L5010" s="8"/>
    </row>
    <row r="5011" customFormat="false" ht="15.75" hidden="false" customHeight="true" outlineLevel="0" collapsed="false">
      <c r="A5011" s="7" t="n">
        <v>45987</v>
      </c>
      <c r="B5011" s="8" t="s">
        <v>31</v>
      </c>
      <c r="C5011" s="9" t="n">
        <v>310</v>
      </c>
      <c r="D5011" s="8" t="s">
        <v>45</v>
      </c>
      <c r="E5011" s="10" t="s">
        <v>31</v>
      </c>
      <c r="F5011" s="8" t="str">
        <f aca="false">TEXT(A5011,"MM-YYYY")</f>
        <v>11-2025</v>
      </c>
      <c r="G5011" s="8" t="s">
        <v>14</v>
      </c>
      <c r="H5011" s="8"/>
      <c r="I5011" s="7"/>
      <c r="J5011" s="8" t="str">
        <f aca="false">VLOOKUP(B5011, Table3[#All], 2, FALSE())</f>
        <v>Bike Maintance</v>
      </c>
      <c r="K5011" s="8" t="str">
        <f aca="false">TEXT(ROW(), "0000")</f>
        <v>5011</v>
      </c>
      <c r="L5011" s="8"/>
    </row>
    <row r="5012" customFormat="false" ht="15.75" hidden="false" customHeight="true" outlineLevel="0" collapsed="false">
      <c r="A5012" s="7" t="n">
        <v>45987</v>
      </c>
      <c r="B5012" s="8" t="s">
        <v>16</v>
      </c>
      <c r="C5012" s="9" t="n">
        <v>2960</v>
      </c>
      <c r="D5012" s="8" t="s">
        <v>21</v>
      </c>
      <c r="E5012" s="10" t="s">
        <v>101</v>
      </c>
      <c r="F5012" s="8" t="str">
        <f aca="false">TEXT(A5012,"MM-YYYY")</f>
        <v>11-2025</v>
      </c>
      <c r="G5012" s="8"/>
      <c r="H5012" s="8"/>
      <c r="I5012" s="7"/>
      <c r="J5012" s="8" t="str">
        <f aca="false">VLOOKUP(B5012, Table3[#All], 2, FALSE())</f>
        <v>Sales</v>
      </c>
      <c r="K5012" s="8" t="str">
        <f aca="false">TEXT(ROW(), "0000")</f>
        <v>5012</v>
      </c>
      <c r="L5012" s="8"/>
    </row>
    <row r="5013" customFormat="false" ht="15.75" hidden="false" customHeight="true" outlineLevel="0" collapsed="false">
      <c r="A5013" s="7" t="n">
        <v>45987</v>
      </c>
      <c r="B5013" s="8" t="s">
        <v>16</v>
      </c>
      <c r="C5013" s="9" t="n">
        <v>23010</v>
      </c>
      <c r="D5013" s="8" t="s">
        <v>17</v>
      </c>
      <c r="E5013" s="10" t="s">
        <v>101</v>
      </c>
      <c r="F5013" s="8" t="str">
        <f aca="false">TEXT(A5013,"MM-YYYY")</f>
        <v>11-2025</v>
      </c>
      <c r="G5013" s="8"/>
      <c r="H5013" s="8"/>
      <c r="I5013" s="7"/>
      <c r="J5013" s="8" t="str">
        <f aca="false">VLOOKUP(B5013, Table3[#All], 2, FALSE())</f>
        <v>Sales</v>
      </c>
      <c r="K5013" s="8" t="str">
        <f aca="false">TEXT(ROW(), "0000")</f>
        <v>5013</v>
      </c>
      <c r="L5013" s="8"/>
    </row>
    <row r="5014" customFormat="false" ht="15.75" hidden="false" customHeight="true" outlineLevel="0" collapsed="false">
      <c r="A5014" s="7" t="n">
        <v>45987</v>
      </c>
      <c r="B5014" s="8" t="s">
        <v>16</v>
      </c>
      <c r="C5014" s="9" t="n">
        <v>1080</v>
      </c>
      <c r="D5014" s="8" t="s">
        <v>33</v>
      </c>
      <c r="E5014" s="10" t="s">
        <v>101</v>
      </c>
      <c r="F5014" s="8" t="str">
        <f aca="false">TEXT(A5014,"MM-YYYY")</f>
        <v>11-2025</v>
      </c>
      <c r="G5014" s="8"/>
      <c r="H5014" s="8"/>
      <c r="I5014" s="7"/>
      <c r="J5014" s="8" t="str">
        <f aca="false">VLOOKUP(B5014, Table3[#All], 2, FALSE())</f>
        <v>Sales</v>
      </c>
      <c r="K5014" s="8" t="str">
        <f aca="false">TEXT(ROW(), "0000")</f>
        <v>5014</v>
      </c>
      <c r="L5014" s="8"/>
    </row>
    <row r="5015" customFormat="false" ht="15.75" hidden="false" customHeight="true" outlineLevel="0" collapsed="false">
      <c r="A5015" s="7" t="n">
        <v>45987</v>
      </c>
      <c r="B5015" s="8" t="s">
        <v>16</v>
      </c>
      <c r="C5015" s="9" t="n">
        <v>1830</v>
      </c>
      <c r="D5015" s="8" t="s">
        <v>24</v>
      </c>
      <c r="E5015" s="10" t="s">
        <v>101</v>
      </c>
      <c r="F5015" s="8" t="str">
        <f aca="false">TEXT(A5015,"MM-YYYY")</f>
        <v>11-2025</v>
      </c>
      <c r="G5015" s="8"/>
      <c r="H5015" s="8"/>
      <c r="I5015" s="7"/>
      <c r="J5015" s="8" t="str">
        <f aca="false">VLOOKUP(B5015, Table3[#All], 2, FALSE())</f>
        <v>Sales</v>
      </c>
      <c r="K5015" s="8" t="str">
        <f aca="false">TEXT(ROW(), "0000")</f>
        <v>5015</v>
      </c>
      <c r="L5015" s="8"/>
    </row>
    <row r="5016" customFormat="false" ht="15.75" hidden="false" customHeight="true" outlineLevel="0" collapsed="false">
      <c r="A5016" s="7" t="n">
        <v>45987</v>
      </c>
      <c r="B5016" s="8" t="s">
        <v>16</v>
      </c>
      <c r="C5016" s="9" t="n">
        <v>762</v>
      </c>
      <c r="D5016" s="8" t="s">
        <v>59</v>
      </c>
      <c r="E5016" s="10" t="s">
        <v>101</v>
      </c>
      <c r="F5016" s="8" t="str">
        <f aca="false">TEXT(A5016,"MM-YYYY")</f>
        <v>11-2025</v>
      </c>
      <c r="G5016" s="8"/>
      <c r="H5016" s="8"/>
      <c r="I5016" s="7"/>
      <c r="J5016" s="8" t="str">
        <f aca="false">VLOOKUP(B5016, Table3[#All], 2, FALSE())</f>
        <v>Sales</v>
      </c>
      <c r="K5016" s="8" t="str">
        <f aca="false">TEXT(ROW(), "0000")</f>
        <v>5016</v>
      </c>
      <c r="L5016" s="8"/>
    </row>
    <row r="5017" customFormat="false" ht="15.75" hidden="false" customHeight="true" outlineLevel="0" collapsed="false">
      <c r="A5017" s="7" t="n">
        <v>45987</v>
      </c>
      <c r="B5017" s="8" t="s">
        <v>16</v>
      </c>
      <c r="C5017" s="9" t="n">
        <v>570</v>
      </c>
      <c r="D5017" s="8" t="s">
        <v>27</v>
      </c>
      <c r="E5017" s="10" t="s">
        <v>101</v>
      </c>
      <c r="F5017" s="8" t="str">
        <f aca="false">TEXT(A5017,"MM-YYYY")</f>
        <v>11-2025</v>
      </c>
      <c r="G5017" s="8"/>
      <c r="H5017" s="8"/>
      <c r="I5017" s="7"/>
      <c r="J5017" s="8" t="str">
        <f aca="false">VLOOKUP(B5017, Table3[#All], 2, FALSE())</f>
        <v>Sales</v>
      </c>
      <c r="K5017" s="8" t="str">
        <f aca="false">TEXT(ROW(), "0000")</f>
        <v>5017</v>
      </c>
      <c r="L5017" s="8"/>
    </row>
    <row r="5018" customFormat="false" ht="15.75" hidden="false" customHeight="true" outlineLevel="0" collapsed="false">
      <c r="A5018" s="7" t="n">
        <v>45988</v>
      </c>
      <c r="B5018" s="8" t="s">
        <v>34</v>
      </c>
      <c r="C5018" s="9" t="n">
        <v>50</v>
      </c>
      <c r="D5018" s="8" t="s">
        <v>45</v>
      </c>
      <c r="E5018" s="10" t="s">
        <v>154</v>
      </c>
      <c r="F5018" s="8" t="str">
        <f aca="false">TEXT(A5018,"MM-YYYY")</f>
        <v>11-2025</v>
      </c>
      <c r="G5018" s="8"/>
      <c r="H5018" s="8"/>
      <c r="I5018" s="7"/>
      <c r="J5018" s="8" t="str">
        <f aca="false">VLOOKUP(B5018, Table3[#All], 2, FALSE())</f>
        <v>Staff Expenses</v>
      </c>
      <c r="K5018" s="8" t="str">
        <f aca="false">TEXT(ROW(), "0000")</f>
        <v>5018</v>
      </c>
      <c r="L5018" s="8"/>
    </row>
    <row r="5019" customFormat="false" ht="15.75" hidden="false" customHeight="true" outlineLevel="0" collapsed="false">
      <c r="A5019" s="7" t="n">
        <v>45987</v>
      </c>
      <c r="B5019" s="8" t="s">
        <v>51</v>
      </c>
      <c r="C5019" s="9" t="n">
        <v>700</v>
      </c>
      <c r="D5019" s="8" t="s">
        <v>45</v>
      </c>
      <c r="E5019" s="10" t="s">
        <v>717</v>
      </c>
      <c r="F5019" s="8" t="str">
        <f aca="false">TEXT(A5019,"MM-YYYY")</f>
        <v>11-2025</v>
      </c>
      <c r="G5019" s="8" t="s">
        <v>14</v>
      </c>
      <c r="H5019" s="8" t="s">
        <v>232</v>
      </c>
      <c r="I5019" s="7"/>
      <c r="J5019" s="8" t="str">
        <f aca="false">VLOOKUP(B5019, Table3[#All], 2, FALSE())</f>
        <v>Inventory</v>
      </c>
      <c r="K5019" s="8" t="str">
        <f aca="false">TEXT(ROW(), "0000")</f>
        <v>5019</v>
      </c>
      <c r="L5019" s="8"/>
    </row>
    <row r="5020" customFormat="false" ht="15.75" hidden="false" customHeight="true" outlineLevel="0" collapsed="false">
      <c r="A5020" s="7" t="n">
        <v>45987</v>
      </c>
      <c r="B5020" s="8" t="s">
        <v>37</v>
      </c>
      <c r="C5020" s="9" t="n">
        <v>20</v>
      </c>
      <c r="D5020" s="8" t="s">
        <v>21</v>
      </c>
      <c r="E5020" s="10" t="s">
        <v>672</v>
      </c>
      <c r="F5020" s="8" t="str">
        <f aca="false">TEXT(A5020,"MM-YYYY")</f>
        <v>11-2025</v>
      </c>
      <c r="G5020" s="8" t="s">
        <v>14</v>
      </c>
      <c r="H5020" s="8" t="s">
        <v>232</v>
      </c>
      <c r="I5020" s="7"/>
      <c r="J5020" s="8" t="str">
        <f aca="false">VLOOKUP(B5020, Table3[#All], 2, FALSE())</f>
        <v>Maintance</v>
      </c>
      <c r="K5020" s="8" t="str">
        <f aca="false">TEXT(ROW(), "0000")</f>
        <v>5020</v>
      </c>
      <c r="L5020" s="8"/>
    </row>
    <row r="5021" customFormat="false" ht="15.75" hidden="false" customHeight="true" outlineLevel="0" collapsed="false">
      <c r="A5021" s="7" t="n">
        <v>45988</v>
      </c>
      <c r="B5021" s="8" t="s">
        <v>19</v>
      </c>
      <c r="C5021" s="9" t="n">
        <v>5844</v>
      </c>
      <c r="D5021" s="8" t="s">
        <v>13</v>
      </c>
      <c r="E5021" s="10" t="s">
        <v>417</v>
      </c>
      <c r="F5021" s="8" t="str">
        <f aca="false">TEXT(A5021,"MM-YYYY")</f>
        <v>11-2025</v>
      </c>
      <c r="G5021" s="8" t="s">
        <v>18</v>
      </c>
      <c r="H5021" s="8"/>
      <c r="I5021" s="7"/>
      <c r="J5021" s="8" t="str">
        <f aca="false">VLOOKUP(B5021, Table3[#All], 2, FALSE())</f>
        <v>Inventory</v>
      </c>
      <c r="K5021" s="8" t="str">
        <f aca="false">TEXT(ROW(), "0000")</f>
        <v>5021</v>
      </c>
      <c r="L5021" s="8"/>
    </row>
    <row r="5022" customFormat="false" ht="15.75" hidden="false" customHeight="true" outlineLevel="0" collapsed="false">
      <c r="A5022" s="7" t="n">
        <v>45988</v>
      </c>
      <c r="B5022" s="8" t="s">
        <v>25</v>
      </c>
      <c r="C5022" s="9" t="n">
        <v>1006</v>
      </c>
      <c r="D5022" s="8" t="s">
        <v>13</v>
      </c>
      <c r="E5022" s="10" t="s">
        <v>92</v>
      </c>
      <c r="F5022" s="8" t="str">
        <f aca="false">TEXT(A5022,"MM-YYYY")</f>
        <v>11-2025</v>
      </c>
      <c r="G5022" s="8" t="s">
        <v>18</v>
      </c>
      <c r="H5022" s="8"/>
      <c r="I5022" s="7"/>
      <c r="J5022" s="8" t="str">
        <f aca="false">VLOOKUP(B5022, Table3[#All], 2, FALSE())</f>
        <v>Inventory</v>
      </c>
      <c r="K5022" s="8" t="str">
        <f aca="false">TEXT(ROW(), "0000")</f>
        <v>5022</v>
      </c>
      <c r="L5022" s="8"/>
    </row>
    <row r="5023" customFormat="false" ht="15.75" hidden="false" customHeight="true" outlineLevel="0" collapsed="false">
      <c r="A5023" s="7" t="n">
        <v>45988</v>
      </c>
      <c r="B5023" s="8" t="s">
        <v>29</v>
      </c>
      <c r="C5023" s="9" t="n">
        <v>581</v>
      </c>
      <c r="D5023" s="8" t="s">
        <v>13</v>
      </c>
      <c r="E5023" s="10" t="s">
        <v>490</v>
      </c>
      <c r="F5023" s="8" t="str">
        <f aca="false">TEXT(A5023,"MM-YYYY")</f>
        <v>11-2025</v>
      </c>
      <c r="G5023" s="8" t="s">
        <v>18</v>
      </c>
      <c r="H5023" s="8"/>
      <c r="I5023" s="7"/>
      <c r="J5023" s="8" t="str">
        <f aca="false">VLOOKUP(B5023, Table3[#All], 2, FALSE())</f>
        <v>Inventory</v>
      </c>
      <c r="K5023" s="8" t="str">
        <f aca="false">TEXT(ROW(), "0000")</f>
        <v>5023</v>
      </c>
      <c r="L5023" s="8"/>
    </row>
    <row r="5024" customFormat="false" ht="15.75" hidden="false" customHeight="true" outlineLevel="0" collapsed="false">
      <c r="A5024" s="7" t="n">
        <v>45988</v>
      </c>
      <c r="B5024" s="8" t="s">
        <v>16</v>
      </c>
      <c r="C5024" s="9" t="n">
        <v>4570</v>
      </c>
      <c r="D5024" s="8" t="s">
        <v>21</v>
      </c>
      <c r="E5024" s="10" t="s">
        <v>101</v>
      </c>
      <c r="F5024" s="8" t="str">
        <f aca="false">TEXT(A5024,"MM-YYYY")</f>
        <v>11-2025</v>
      </c>
      <c r="G5024" s="8"/>
      <c r="H5024" s="8"/>
      <c r="I5024" s="7"/>
      <c r="J5024" s="8" t="str">
        <f aca="false">VLOOKUP(B5024, Table3[#All], 2, FALSE())</f>
        <v>Sales</v>
      </c>
      <c r="K5024" s="8" t="str">
        <f aca="false">TEXT(ROW(), "0000")</f>
        <v>5024</v>
      </c>
      <c r="L5024" s="8"/>
    </row>
    <row r="5025" customFormat="false" ht="15.75" hidden="false" customHeight="true" outlineLevel="0" collapsed="false">
      <c r="A5025" s="7" t="n">
        <v>45988</v>
      </c>
      <c r="B5025" s="8" t="s">
        <v>16</v>
      </c>
      <c r="C5025" s="9" t="n">
        <v>19394</v>
      </c>
      <c r="D5025" s="8" t="s">
        <v>17</v>
      </c>
      <c r="E5025" s="10" t="s">
        <v>101</v>
      </c>
      <c r="F5025" s="8" t="str">
        <f aca="false">TEXT(A5025,"MM-YYYY")</f>
        <v>11-2025</v>
      </c>
      <c r="G5025" s="8"/>
      <c r="H5025" s="8"/>
      <c r="I5025" s="7"/>
      <c r="J5025" s="8" t="str">
        <f aca="false">VLOOKUP(B5025, Table3[#All], 2, FALSE())</f>
        <v>Sales</v>
      </c>
      <c r="K5025" s="8" t="str">
        <f aca="false">TEXT(ROW(), "0000")</f>
        <v>5025</v>
      </c>
      <c r="L5025" s="8"/>
    </row>
    <row r="5026" customFormat="false" ht="15.75" hidden="false" customHeight="true" outlineLevel="0" collapsed="false">
      <c r="A5026" s="7" t="n">
        <v>45988</v>
      </c>
      <c r="B5026" s="8" t="s">
        <v>16</v>
      </c>
      <c r="C5026" s="9" t="n">
        <v>410</v>
      </c>
      <c r="D5026" s="8" t="s">
        <v>33</v>
      </c>
      <c r="E5026" s="10" t="s">
        <v>101</v>
      </c>
      <c r="F5026" s="8" t="str">
        <f aca="false">TEXT(A5026,"MM-YYYY")</f>
        <v>11-2025</v>
      </c>
      <c r="G5026" s="8"/>
      <c r="H5026" s="8"/>
      <c r="I5026" s="7"/>
      <c r="J5026" s="8" t="str">
        <f aca="false">VLOOKUP(B5026, Table3[#All], 2, FALSE())</f>
        <v>Sales</v>
      </c>
      <c r="K5026" s="8" t="str">
        <f aca="false">TEXT(ROW(), "0000")</f>
        <v>5026</v>
      </c>
      <c r="L5026" s="8"/>
    </row>
    <row r="5027" customFormat="false" ht="15.75" hidden="false" customHeight="true" outlineLevel="0" collapsed="false">
      <c r="A5027" s="7" t="n">
        <v>45988</v>
      </c>
      <c r="B5027" s="8" t="s">
        <v>16</v>
      </c>
      <c r="C5027" s="9" t="n">
        <v>1655</v>
      </c>
      <c r="D5027" s="8" t="s">
        <v>24</v>
      </c>
      <c r="E5027" s="10" t="s">
        <v>718</v>
      </c>
      <c r="F5027" s="8" t="str">
        <f aca="false">TEXT(A5027,"MM-YYYY")</f>
        <v>11-2025</v>
      </c>
      <c r="G5027" s="8"/>
      <c r="H5027" s="8"/>
      <c r="I5027" s="7"/>
      <c r="J5027" s="8" t="str">
        <f aca="false">VLOOKUP(B5027, Table3[#All], 2, FALSE())</f>
        <v>Sales</v>
      </c>
      <c r="K5027" s="8" t="str">
        <f aca="false">TEXT(ROW(), "0000")</f>
        <v>5027</v>
      </c>
      <c r="L5027" s="8"/>
    </row>
    <row r="5028" customFormat="false" ht="15.75" hidden="false" customHeight="true" outlineLevel="0" collapsed="false">
      <c r="A5028" s="7" t="n">
        <v>45988</v>
      </c>
      <c r="B5028" s="8" t="s">
        <v>16</v>
      </c>
      <c r="C5028" s="9" t="n">
        <v>0</v>
      </c>
      <c r="D5028" s="8" t="s">
        <v>27</v>
      </c>
      <c r="E5028" s="10" t="s">
        <v>101</v>
      </c>
      <c r="F5028" s="8" t="str">
        <f aca="false">TEXT(A5028,"MM-YYYY")</f>
        <v>11-2025</v>
      </c>
      <c r="G5028" s="8"/>
      <c r="H5028" s="8"/>
      <c r="I5028" s="7"/>
      <c r="J5028" s="8" t="str">
        <f aca="false">VLOOKUP(B5028, Table3[#All], 2, FALSE())</f>
        <v>Sales</v>
      </c>
      <c r="K5028" s="8" t="str">
        <f aca="false">TEXT(ROW(), "0000")</f>
        <v>5028</v>
      </c>
      <c r="L5028" s="8"/>
    </row>
    <row r="5029" customFormat="false" ht="15.75" hidden="false" customHeight="true" outlineLevel="0" collapsed="false">
      <c r="A5029" s="7" t="n">
        <v>45988</v>
      </c>
      <c r="B5029" s="8" t="s">
        <v>32</v>
      </c>
      <c r="C5029" s="9" t="n">
        <v>20</v>
      </c>
      <c r="D5029" s="8" t="s">
        <v>21</v>
      </c>
      <c r="E5029" s="10" t="s">
        <v>254</v>
      </c>
      <c r="F5029" s="8" t="str">
        <f aca="false">TEXT(A5029,"MM-YYYY")</f>
        <v>11-2025</v>
      </c>
      <c r="G5029" s="8" t="s">
        <v>14</v>
      </c>
      <c r="H5029" s="8" t="s">
        <v>232</v>
      </c>
      <c r="I5029" s="7"/>
      <c r="J5029" s="8" t="str">
        <f aca="false">VLOOKUP(B5029, Table3[#All], 2, FALSE())</f>
        <v>Grocery</v>
      </c>
      <c r="K5029" s="8" t="str">
        <f aca="false">TEXT(ROW(), "0000")</f>
        <v>5029</v>
      </c>
      <c r="L5029" s="8"/>
    </row>
    <row r="5030" customFormat="false" ht="15.75" hidden="false" customHeight="true" outlineLevel="0" collapsed="false">
      <c r="A5030" s="7" t="n">
        <v>45989</v>
      </c>
      <c r="B5030" s="8" t="s">
        <v>29</v>
      </c>
      <c r="C5030" s="9" t="n">
        <v>6000</v>
      </c>
      <c r="D5030" s="8" t="s">
        <v>45</v>
      </c>
      <c r="E5030" s="10" t="s">
        <v>490</v>
      </c>
      <c r="F5030" s="8" t="str">
        <f aca="false">TEXT(A5030,"MM-YYYY")</f>
        <v>11-2025</v>
      </c>
      <c r="G5030" s="8" t="s">
        <v>14</v>
      </c>
      <c r="H5030" s="8" t="s">
        <v>232</v>
      </c>
      <c r="I5030" s="7" t="n">
        <v>45989</v>
      </c>
      <c r="J5030" s="8" t="str">
        <f aca="false">VLOOKUP(B5030, Table3[#All], 2, FALSE())</f>
        <v>Inventory</v>
      </c>
      <c r="K5030" s="8" t="str">
        <f aca="false">TEXT(ROW(), "0000")</f>
        <v>5030</v>
      </c>
      <c r="L5030" s="8"/>
    </row>
    <row r="5031" customFormat="false" ht="15.75" hidden="false" customHeight="true" outlineLevel="0" collapsed="false">
      <c r="A5031" s="7" t="n">
        <v>45989</v>
      </c>
      <c r="B5031" s="8" t="s">
        <v>22</v>
      </c>
      <c r="C5031" s="9" t="n">
        <v>750</v>
      </c>
      <c r="D5031" s="8" t="s">
        <v>45</v>
      </c>
      <c r="E5031" s="10" t="s">
        <v>719</v>
      </c>
      <c r="F5031" s="8" t="str">
        <f aca="false">TEXT(A5031,"MM-YYYY")</f>
        <v>11-2025</v>
      </c>
      <c r="G5031" s="8" t="s">
        <v>14</v>
      </c>
      <c r="H5031" s="8" t="s">
        <v>262</v>
      </c>
      <c r="I5031" s="7"/>
      <c r="J5031" s="8" t="str">
        <f aca="false">VLOOKUP(B5031, Table3[#All], 2, FALSE())</f>
        <v>Inventory</v>
      </c>
      <c r="K5031" s="8" t="str">
        <f aca="false">TEXT(ROW(), "0000")</f>
        <v>5031</v>
      </c>
      <c r="L5031" s="8"/>
    </row>
    <row r="5032" customFormat="false" ht="15.75" hidden="false" customHeight="true" outlineLevel="0" collapsed="false">
      <c r="A5032" s="7" t="n">
        <v>45989</v>
      </c>
      <c r="B5032" s="8" t="s">
        <v>19</v>
      </c>
      <c r="C5032" s="9" t="n">
        <v>6411</v>
      </c>
      <c r="D5032" s="8" t="s">
        <v>13</v>
      </c>
      <c r="E5032" s="10" t="s">
        <v>417</v>
      </c>
      <c r="F5032" s="8" t="str">
        <f aca="false">TEXT(A5032,"MM-YYYY")</f>
        <v>11-2025</v>
      </c>
      <c r="G5032" s="8" t="s">
        <v>18</v>
      </c>
      <c r="H5032" s="8"/>
      <c r="I5032" s="7"/>
      <c r="J5032" s="8" t="str">
        <f aca="false">VLOOKUP(B5032, Table3[#All], 2, FALSE())</f>
        <v>Inventory</v>
      </c>
      <c r="K5032" s="8" t="str">
        <f aca="false">TEXT(ROW(), "0000")</f>
        <v>5032</v>
      </c>
      <c r="L5032" s="8"/>
    </row>
    <row r="5033" customFormat="false" ht="15.75" hidden="false" customHeight="true" outlineLevel="0" collapsed="false">
      <c r="A5033" s="7" t="n">
        <v>45989</v>
      </c>
      <c r="B5033" s="8" t="s">
        <v>25</v>
      </c>
      <c r="C5033" s="9" t="n">
        <v>964</v>
      </c>
      <c r="D5033" s="8" t="s">
        <v>13</v>
      </c>
      <c r="E5033" s="10" t="s">
        <v>92</v>
      </c>
      <c r="F5033" s="8" t="str">
        <f aca="false">TEXT(A5033,"MM-YYYY")</f>
        <v>11-2025</v>
      </c>
      <c r="G5033" s="8" t="s">
        <v>18</v>
      </c>
      <c r="H5033" s="8"/>
      <c r="I5033" s="7"/>
      <c r="J5033" s="8" t="str">
        <f aca="false">VLOOKUP(B5033, Table3[#All], 2, FALSE())</f>
        <v>Inventory</v>
      </c>
      <c r="K5033" s="8" t="str">
        <f aca="false">TEXT(ROW(), "0000")</f>
        <v>5033</v>
      </c>
      <c r="L5033" s="8"/>
    </row>
    <row r="5034" customFormat="false" ht="15.75" hidden="false" customHeight="true" outlineLevel="0" collapsed="false">
      <c r="A5034" s="7" t="n">
        <v>45989</v>
      </c>
      <c r="B5034" s="8" t="s">
        <v>47</v>
      </c>
      <c r="C5034" s="9" t="n">
        <v>1800</v>
      </c>
      <c r="D5034" s="8" t="s">
        <v>13</v>
      </c>
      <c r="E5034" s="10" t="s">
        <v>484</v>
      </c>
      <c r="F5034" s="8" t="str">
        <f aca="false">TEXT(A5034,"MM-YYYY")</f>
        <v>11-2025</v>
      </c>
      <c r="G5034" s="8" t="s">
        <v>18</v>
      </c>
      <c r="H5034" s="8"/>
      <c r="I5034" s="7"/>
      <c r="J5034" s="8" t="str">
        <f aca="false">VLOOKUP(B5034, Table3[#All], 2, FALSE())</f>
        <v>Inventory</v>
      </c>
      <c r="K5034" s="8" t="str">
        <f aca="false">TEXT(ROW(), "0000")</f>
        <v>5034</v>
      </c>
      <c r="L5034" s="8"/>
    </row>
    <row r="5035" customFormat="false" ht="15.75" hidden="false" customHeight="true" outlineLevel="0" collapsed="false">
      <c r="A5035" s="7" t="n">
        <v>45989</v>
      </c>
      <c r="B5035" s="8" t="s">
        <v>40</v>
      </c>
      <c r="C5035" s="9" t="n">
        <v>1600</v>
      </c>
      <c r="D5035" s="8" t="s">
        <v>45</v>
      </c>
      <c r="E5035" s="10" t="s">
        <v>503</v>
      </c>
      <c r="F5035" s="8" t="str">
        <f aca="false">TEXT(A5035,"MM-YYYY")</f>
        <v>11-2025</v>
      </c>
      <c r="G5035" s="8" t="s">
        <v>14</v>
      </c>
      <c r="H5035" s="8" t="s">
        <v>232</v>
      </c>
      <c r="I5035" s="7"/>
      <c r="J5035" s="8" t="str">
        <f aca="false">VLOOKUP(B5035, Table3[#All], 2, FALSE())</f>
        <v>Inventory</v>
      </c>
      <c r="K5035" s="8" t="str">
        <f aca="false">TEXT(ROW(), "0000")</f>
        <v>5035</v>
      </c>
      <c r="L5035" s="8"/>
    </row>
    <row r="5036" customFormat="false" ht="15.75" hidden="false" customHeight="true" outlineLevel="0" collapsed="false">
      <c r="A5036" s="7" t="n">
        <v>45989</v>
      </c>
      <c r="B5036" s="8" t="s">
        <v>43</v>
      </c>
      <c r="C5036" s="9" t="n">
        <v>200</v>
      </c>
      <c r="D5036" s="8" t="s">
        <v>45</v>
      </c>
      <c r="E5036" s="10" t="s">
        <v>720</v>
      </c>
      <c r="F5036" s="8" t="str">
        <f aca="false">TEXT(A5036,"MM-YYYY")</f>
        <v>11-2025</v>
      </c>
      <c r="G5036" s="8" t="s">
        <v>14</v>
      </c>
      <c r="H5036" s="8" t="s">
        <v>232</v>
      </c>
      <c r="I5036" s="7"/>
      <c r="J5036" s="8" t="str">
        <f aca="false">VLOOKUP(B5036, Table3[#All], 2, FALSE())</f>
        <v>Maintance</v>
      </c>
      <c r="K5036" s="8" t="str">
        <f aca="false">TEXT(ROW(), "0000")</f>
        <v>5036</v>
      </c>
      <c r="L5036" s="8"/>
    </row>
    <row r="5037" customFormat="false" ht="15.75" hidden="false" customHeight="true" outlineLevel="0" collapsed="false">
      <c r="A5037" s="7" t="n">
        <v>45989</v>
      </c>
      <c r="B5037" s="8" t="s">
        <v>43</v>
      </c>
      <c r="C5037" s="9" t="n">
        <v>40</v>
      </c>
      <c r="D5037" s="8" t="s">
        <v>45</v>
      </c>
      <c r="E5037" s="10" t="s">
        <v>721</v>
      </c>
      <c r="F5037" s="8" t="str">
        <f aca="false">TEXT(A5037,"MM-YYYY")</f>
        <v>11-2025</v>
      </c>
      <c r="G5037" s="8" t="s">
        <v>14</v>
      </c>
      <c r="H5037" s="8" t="s">
        <v>232</v>
      </c>
      <c r="I5037" s="7"/>
      <c r="J5037" s="8" t="str">
        <f aca="false">VLOOKUP(B5037, Table3[#All], 2, FALSE())</f>
        <v>Maintance</v>
      </c>
      <c r="K5037" s="8" t="str">
        <f aca="false">TEXT(ROW(), "0000")</f>
        <v>5037</v>
      </c>
      <c r="L5037" s="8"/>
    </row>
    <row r="5038" customFormat="false" ht="15.75" hidden="false" customHeight="true" outlineLevel="0" collapsed="false">
      <c r="A5038" s="7" t="n">
        <v>45989</v>
      </c>
      <c r="B5038" s="8" t="s">
        <v>43</v>
      </c>
      <c r="C5038" s="9" t="n">
        <v>40</v>
      </c>
      <c r="D5038" s="8" t="s">
        <v>45</v>
      </c>
      <c r="E5038" s="10" t="s">
        <v>562</v>
      </c>
      <c r="F5038" s="8" t="str">
        <f aca="false">TEXT(A5038,"MM-YYYY")</f>
        <v>11-2025</v>
      </c>
      <c r="G5038" s="8" t="s">
        <v>14</v>
      </c>
      <c r="H5038" s="8" t="s">
        <v>232</v>
      </c>
      <c r="I5038" s="7"/>
      <c r="J5038" s="8" t="str">
        <f aca="false">VLOOKUP(B5038, Table3[#All], 2, FALSE())</f>
        <v>Maintance</v>
      </c>
      <c r="K5038" s="8" t="str">
        <f aca="false">TEXT(ROW(), "0000")</f>
        <v>5038</v>
      </c>
      <c r="L5038" s="8"/>
    </row>
    <row r="5039" customFormat="false" ht="15.75" hidden="false" customHeight="true" outlineLevel="0" collapsed="false">
      <c r="A5039" s="7" t="n">
        <v>45989</v>
      </c>
      <c r="B5039" s="8" t="s">
        <v>51</v>
      </c>
      <c r="C5039" s="9" t="n">
        <v>340</v>
      </c>
      <c r="D5039" s="8" t="s">
        <v>21</v>
      </c>
      <c r="E5039" s="10" t="s">
        <v>722</v>
      </c>
      <c r="F5039" s="8" t="str">
        <f aca="false">TEXT(A5039,"MM-YYYY")</f>
        <v>11-2025</v>
      </c>
      <c r="G5039" s="8" t="s">
        <v>14</v>
      </c>
      <c r="H5039" s="8" t="s">
        <v>232</v>
      </c>
      <c r="I5039" s="7"/>
      <c r="J5039" s="8" t="str">
        <f aca="false">VLOOKUP(B5039, Table3[#All], 2, FALSE())</f>
        <v>Inventory</v>
      </c>
      <c r="K5039" s="8" t="str">
        <f aca="false">TEXT(ROW(), "0000")</f>
        <v>5039</v>
      </c>
      <c r="L5039" s="8"/>
    </row>
    <row r="5040" customFormat="false" ht="15.75" hidden="false" customHeight="true" outlineLevel="0" collapsed="false">
      <c r="A5040" s="7" t="n">
        <v>45989</v>
      </c>
      <c r="B5040" s="8" t="s">
        <v>29</v>
      </c>
      <c r="C5040" s="9"/>
      <c r="D5040" s="8" t="s">
        <v>13</v>
      </c>
      <c r="E5040" s="10" t="s">
        <v>490</v>
      </c>
      <c r="F5040" s="8" t="str">
        <f aca="false">TEXT(A5040,"MM-YYYY")</f>
        <v>11-2025</v>
      </c>
      <c r="G5040" s="8"/>
      <c r="H5040" s="8"/>
      <c r="I5040" s="7"/>
      <c r="J5040" s="8" t="str">
        <f aca="false">VLOOKUP(B5040, Table3[#All], 2, FALSE())</f>
        <v>Inventory</v>
      </c>
      <c r="K5040" s="8" t="str">
        <f aca="false">TEXT(ROW(), "0000")</f>
        <v>5040</v>
      </c>
      <c r="L5040" s="8"/>
    </row>
    <row r="5041" customFormat="false" ht="15.75" hidden="false" customHeight="true" outlineLevel="0" collapsed="false">
      <c r="A5041" s="7" t="n">
        <v>45989</v>
      </c>
      <c r="B5041" s="8" t="s">
        <v>32</v>
      </c>
      <c r="C5041" s="9" t="n">
        <v>1000</v>
      </c>
      <c r="D5041" s="8" t="s">
        <v>21</v>
      </c>
      <c r="E5041" s="10" t="s">
        <v>255</v>
      </c>
      <c r="F5041" s="8" t="str">
        <f aca="false">TEXT(A5041,"MM-YYYY")</f>
        <v>11-2025</v>
      </c>
      <c r="G5041" s="8" t="s">
        <v>14</v>
      </c>
      <c r="H5041" s="8" t="s">
        <v>232</v>
      </c>
      <c r="I5041" s="7" t="n">
        <v>45989</v>
      </c>
      <c r="J5041" s="8" t="str">
        <f aca="false">VLOOKUP(B5041, Table3[#All], 2, FALSE())</f>
        <v>Grocery</v>
      </c>
      <c r="K5041" s="8" t="str">
        <f aca="false">TEXT(ROW(), "0000")</f>
        <v>5041</v>
      </c>
      <c r="L5041" s="8"/>
    </row>
    <row r="5042" customFormat="false" ht="15.75" hidden="false" customHeight="true" outlineLevel="0" collapsed="false">
      <c r="A5042" s="7" t="n">
        <v>45989</v>
      </c>
      <c r="B5042" s="8"/>
      <c r="C5042" s="9"/>
      <c r="D5042" s="8"/>
      <c r="E5042" s="10"/>
      <c r="F5042" s="8" t="str">
        <f aca="false">TEXT(A5042,"MM-YYYY")</f>
        <v>11-2025</v>
      </c>
      <c r="G5042" s="8"/>
      <c r="H5042" s="8"/>
      <c r="I5042" s="7"/>
      <c r="J5042" s="8" t="e">
        <f aca="false">VLOOKUP(B5042, Table3[#All], 2, FALSE())</f>
        <v>#N/A</v>
      </c>
      <c r="K5042" s="8" t="str">
        <f aca="false">TEXT(ROW(), "0000")</f>
        <v>5042</v>
      </c>
      <c r="L5042" s="8"/>
    </row>
    <row r="5043" customFormat="false" ht="15.75" hidden="false" customHeight="true" outlineLevel="0" collapsed="false">
      <c r="A5043" s="7" t="n">
        <v>45989</v>
      </c>
      <c r="B5043" s="8"/>
      <c r="C5043" s="9"/>
      <c r="D5043" s="8"/>
      <c r="E5043" s="10"/>
      <c r="F5043" s="8" t="str">
        <f aca="false">TEXT(A5043,"MM-YYYY")</f>
        <v>11-2025</v>
      </c>
      <c r="G5043" s="8"/>
      <c r="H5043" s="8"/>
      <c r="I5043" s="7"/>
      <c r="J5043" s="8" t="e">
        <f aca="false">VLOOKUP(B5043, Table3[#All], 2, FALSE())</f>
        <v>#N/A</v>
      </c>
      <c r="K5043" s="8" t="str">
        <f aca="false">TEXT(ROW(), "0000")</f>
        <v>5043</v>
      </c>
      <c r="L5043" s="8"/>
    </row>
    <row r="5044" customFormat="false" ht="15.75" hidden="false" customHeight="true" outlineLevel="0" collapsed="false">
      <c r="A5044" s="7"/>
      <c r="B5044" s="8"/>
      <c r="C5044" s="9"/>
      <c r="D5044" s="8"/>
      <c r="E5044" s="10"/>
      <c r="F5044" s="8"/>
      <c r="G5044" s="8"/>
      <c r="H5044" s="8"/>
      <c r="I5044" s="7"/>
      <c r="J5044" s="8" t="e">
        <f aca="false">VLOOKUP(B5044, Table3[#All], 2, FALSE())</f>
        <v>#N/A</v>
      </c>
      <c r="K5044" s="8" t="str">
        <f aca="false">TEXT(ROW(), "0000")</f>
        <v>5044</v>
      </c>
      <c r="L5044" s="8"/>
    </row>
    <row r="5045" customFormat="false" ht="15.75" hidden="false" customHeight="true" outlineLevel="0" collapsed="false">
      <c r="A5045" s="7"/>
      <c r="B5045" s="8"/>
      <c r="C5045" s="9"/>
      <c r="D5045" s="8"/>
      <c r="E5045" s="10"/>
      <c r="F5045" s="8"/>
      <c r="G5045" s="8"/>
      <c r="H5045" s="8"/>
      <c r="I5045" s="7"/>
      <c r="J5045" s="8" t="e">
        <f aca="false">VLOOKUP(B5045, Table3[#All], 2, FALSE())</f>
        <v>#N/A</v>
      </c>
      <c r="K5045" s="8" t="str">
        <f aca="false">TEXT(ROW(), "0000")</f>
        <v>5045</v>
      </c>
      <c r="L5045" s="8"/>
    </row>
    <row r="5046" customFormat="false" ht="15.75" hidden="false" customHeight="true" outlineLevel="0" collapsed="false">
      <c r="A5046" s="7"/>
      <c r="B5046" s="8"/>
      <c r="C5046" s="9"/>
      <c r="D5046" s="8"/>
      <c r="E5046" s="10"/>
      <c r="F5046" s="8"/>
      <c r="G5046" s="8"/>
      <c r="H5046" s="8"/>
      <c r="I5046" s="7"/>
      <c r="J5046" s="8" t="e">
        <f aca="false">VLOOKUP(B5046, Table3[#All], 2, FALSE())</f>
        <v>#N/A</v>
      </c>
      <c r="K5046" s="8" t="str">
        <f aca="false">TEXT(ROW(), "0000")</f>
        <v>5046</v>
      </c>
      <c r="L5046" s="8"/>
    </row>
    <row r="5047" customFormat="false" ht="15.75" hidden="false" customHeight="true" outlineLevel="0" collapsed="false">
      <c r="A5047" s="7"/>
      <c r="B5047" s="8"/>
      <c r="C5047" s="9"/>
      <c r="D5047" s="8"/>
      <c r="E5047" s="10"/>
      <c r="F5047" s="8"/>
      <c r="G5047" s="8"/>
      <c r="H5047" s="8"/>
      <c r="I5047" s="7"/>
      <c r="J5047" s="8" t="e">
        <f aca="false">VLOOKUP(B5047, Table3[#All], 2, FALSE())</f>
        <v>#N/A</v>
      </c>
      <c r="K5047" s="8" t="str">
        <f aca="false">TEXT(ROW(), "0000")</f>
        <v>5047</v>
      </c>
      <c r="L5047" s="8"/>
    </row>
    <row r="5048" customFormat="false" ht="15.75" hidden="false" customHeight="true" outlineLevel="0" collapsed="false">
      <c r="A5048" s="7"/>
      <c r="B5048" s="8"/>
      <c r="C5048" s="9"/>
      <c r="D5048" s="8"/>
      <c r="E5048" s="10"/>
      <c r="F5048" s="8"/>
      <c r="G5048" s="8"/>
      <c r="H5048" s="8"/>
      <c r="I5048" s="7"/>
      <c r="J5048" s="8" t="e">
        <f aca="false">VLOOKUP(B5048, Table3[#All], 2, FALSE())</f>
        <v>#N/A</v>
      </c>
      <c r="K5048" s="8" t="str">
        <f aca="false">TEXT(ROW(), "0000")</f>
        <v>5048</v>
      </c>
      <c r="L5048" s="8"/>
    </row>
    <row r="5049" customFormat="false" ht="15.75" hidden="false" customHeight="true" outlineLevel="0" collapsed="false">
      <c r="A5049" s="7"/>
      <c r="B5049" s="8"/>
      <c r="C5049" s="9"/>
      <c r="D5049" s="8"/>
      <c r="E5049" s="10"/>
      <c r="F5049" s="8"/>
      <c r="G5049" s="8"/>
      <c r="H5049" s="8"/>
      <c r="I5049" s="7"/>
      <c r="J5049" s="8" t="e">
        <f aca="false">VLOOKUP(B5049, Table3[#All], 2, FALSE())</f>
        <v>#N/A</v>
      </c>
      <c r="K5049" s="8" t="str">
        <f aca="false">TEXT(ROW(), "0000")</f>
        <v>5049</v>
      </c>
      <c r="L5049" s="8"/>
    </row>
    <row r="5050" customFormat="false" ht="15.75" hidden="false" customHeight="true" outlineLevel="0" collapsed="false">
      <c r="A5050" s="7"/>
      <c r="B5050" s="8"/>
      <c r="C5050" s="9"/>
      <c r="D5050" s="8"/>
      <c r="E5050" s="10"/>
      <c r="F5050" s="8"/>
      <c r="G5050" s="8"/>
      <c r="H5050" s="8"/>
      <c r="I5050" s="7"/>
      <c r="J5050" s="8" t="e">
        <f aca="false">VLOOKUP(B5050, Table3[#All], 2, FALSE())</f>
        <v>#N/A</v>
      </c>
      <c r="K5050" s="8" t="str">
        <f aca="false">TEXT(ROW(), "0000")</f>
        <v>5050</v>
      </c>
      <c r="L5050" s="8"/>
    </row>
    <row r="5051" customFormat="false" ht="15.75" hidden="false" customHeight="true" outlineLevel="0" collapsed="false">
      <c r="A5051" s="7"/>
      <c r="B5051" s="8"/>
      <c r="C5051" s="9"/>
      <c r="D5051" s="8"/>
      <c r="E5051" s="10"/>
      <c r="F5051" s="8"/>
      <c r="G5051" s="8"/>
      <c r="H5051" s="8"/>
      <c r="I5051" s="7"/>
      <c r="J5051" s="8" t="e">
        <f aca="false">VLOOKUP(B5051, Table3[#All], 2, FALSE())</f>
        <v>#N/A</v>
      </c>
      <c r="K5051" s="8" t="str">
        <f aca="false">TEXT(ROW(), "0000")</f>
        <v>5051</v>
      </c>
      <c r="L5051" s="8"/>
    </row>
    <row r="5052" customFormat="false" ht="15.75" hidden="false" customHeight="true" outlineLevel="0" collapsed="false">
      <c r="A5052" s="7"/>
      <c r="B5052" s="8"/>
      <c r="C5052" s="9"/>
      <c r="D5052" s="8"/>
      <c r="E5052" s="10"/>
      <c r="F5052" s="8"/>
      <c r="G5052" s="8"/>
      <c r="H5052" s="8"/>
      <c r="I5052" s="7"/>
      <c r="J5052" s="8" t="e">
        <f aca="false">VLOOKUP(B5052, Table3[#All], 2, FALSE())</f>
        <v>#N/A</v>
      </c>
      <c r="K5052" s="8" t="str">
        <f aca="false">TEXT(ROW(), "0000")</f>
        <v>5052</v>
      </c>
      <c r="L5052" s="8"/>
    </row>
    <row r="5053" customFormat="false" ht="15.75" hidden="false" customHeight="true" outlineLevel="0" collapsed="false">
      <c r="A5053" s="7"/>
      <c r="B5053" s="8"/>
      <c r="C5053" s="9"/>
      <c r="D5053" s="8"/>
      <c r="E5053" s="10"/>
      <c r="F5053" s="8"/>
      <c r="G5053" s="8"/>
      <c r="H5053" s="8"/>
      <c r="I5053" s="7"/>
      <c r="J5053" s="8" t="e">
        <f aca="false">VLOOKUP(B5053, Table3[#All], 2, FALSE())</f>
        <v>#N/A</v>
      </c>
      <c r="K5053" s="8" t="str">
        <f aca="false">TEXT(ROW(), "0000")</f>
        <v>5053</v>
      </c>
      <c r="L5053" s="8"/>
    </row>
    <row r="5054" customFormat="false" ht="15.75" hidden="false" customHeight="true" outlineLevel="0" collapsed="false">
      <c r="A5054" s="7"/>
      <c r="B5054" s="8"/>
      <c r="C5054" s="9"/>
      <c r="D5054" s="8"/>
      <c r="E5054" s="10"/>
      <c r="F5054" s="8"/>
      <c r="G5054" s="8"/>
      <c r="H5054" s="8"/>
      <c r="I5054" s="7"/>
      <c r="J5054" s="8" t="e">
        <f aca="false">VLOOKUP(B5054, Table3[#All], 2, FALSE())</f>
        <v>#N/A</v>
      </c>
      <c r="K5054" s="8" t="str">
        <f aca="false">TEXT(ROW(), "0000")</f>
        <v>5054</v>
      </c>
      <c r="L5054" s="8"/>
    </row>
    <row r="5055" customFormat="false" ht="15.75" hidden="false" customHeight="true" outlineLevel="0" collapsed="false">
      <c r="A5055" s="7"/>
      <c r="B5055" s="8"/>
      <c r="C5055" s="9"/>
      <c r="D5055" s="8"/>
      <c r="E5055" s="10"/>
      <c r="F5055" s="8"/>
      <c r="G5055" s="8"/>
      <c r="H5055" s="8"/>
      <c r="I5055" s="7"/>
      <c r="J5055" s="8" t="e">
        <f aca="false">VLOOKUP(B5055, Table3[#All], 2, FALSE())</f>
        <v>#N/A</v>
      </c>
      <c r="K5055" s="8" t="str">
        <f aca="false">TEXT(ROW(), "0000")</f>
        <v>5055</v>
      </c>
      <c r="L5055" s="8"/>
    </row>
    <row r="5056" customFormat="false" ht="15.75" hidden="false" customHeight="true" outlineLevel="0" collapsed="false">
      <c r="A5056" s="7"/>
      <c r="B5056" s="8"/>
      <c r="C5056" s="9"/>
      <c r="D5056" s="8"/>
      <c r="E5056" s="10"/>
      <c r="F5056" s="8"/>
      <c r="G5056" s="8"/>
      <c r="H5056" s="8"/>
      <c r="I5056" s="7"/>
      <c r="J5056" s="8" t="e">
        <f aca="false">VLOOKUP(B5056, Table3[#All], 2, FALSE())</f>
        <v>#N/A</v>
      </c>
      <c r="K5056" s="8" t="str">
        <f aca="false">TEXT(ROW(), "0000")</f>
        <v>5056</v>
      </c>
      <c r="L5056" s="8"/>
    </row>
    <row r="5057" customFormat="false" ht="15.75" hidden="false" customHeight="true" outlineLevel="0" collapsed="false">
      <c r="A5057" s="7"/>
      <c r="B5057" s="8"/>
      <c r="C5057" s="9"/>
      <c r="D5057" s="8"/>
      <c r="E5057" s="10"/>
      <c r="F5057" s="8"/>
      <c r="G5057" s="8"/>
      <c r="H5057" s="8"/>
      <c r="I5057" s="7"/>
      <c r="J5057" s="8" t="e">
        <f aca="false">VLOOKUP(B5057, Table3[#All], 2, FALSE())</f>
        <v>#N/A</v>
      </c>
      <c r="K5057" s="8" t="str">
        <f aca="false">TEXT(ROW(), "0000")</f>
        <v>5057</v>
      </c>
      <c r="L5057" s="8"/>
    </row>
    <row r="5058" customFormat="false" ht="15.75" hidden="false" customHeight="true" outlineLevel="0" collapsed="false">
      <c r="A5058" s="7"/>
      <c r="B5058" s="8"/>
      <c r="C5058" s="9"/>
      <c r="D5058" s="8"/>
      <c r="E5058" s="10"/>
      <c r="F5058" s="8"/>
      <c r="G5058" s="8"/>
      <c r="H5058" s="8"/>
      <c r="I5058" s="7"/>
      <c r="J5058" s="8" t="e">
        <f aca="false">VLOOKUP(B5058, Table3[#All], 2, FALSE())</f>
        <v>#N/A</v>
      </c>
      <c r="K5058" s="8" t="str">
        <f aca="false">TEXT(ROW(), "0000")</f>
        <v>5058</v>
      </c>
      <c r="L5058" s="8"/>
    </row>
    <row r="5059" customFormat="false" ht="15.75" hidden="false" customHeight="true" outlineLevel="0" collapsed="false">
      <c r="A5059" s="7"/>
      <c r="B5059" s="8"/>
      <c r="C5059" s="9"/>
      <c r="D5059" s="8"/>
      <c r="E5059" s="10"/>
      <c r="F5059" s="8"/>
      <c r="G5059" s="8"/>
      <c r="H5059" s="8"/>
      <c r="I5059" s="7"/>
      <c r="J5059" s="8" t="e">
        <f aca="false">VLOOKUP(B5059, Table3[#All], 2, FALSE())</f>
        <v>#N/A</v>
      </c>
      <c r="K5059" s="8" t="str">
        <f aca="false">TEXT(ROW(), "0000")</f>
        <v>5059</v>
      </c>
      <c r="L5059" s="8"/>
    </row>
    <row r="5060" customFormat="false" ht="15.75" hidden="false" customHeight="true" outlineLevel="0" collapsed="false">
      <c r="A5060" s="7"/>
      <c r="B5060" s="8"/>
      <c r="C5060" s="9"/>
      <c r="D5060" s="8"/>
      <c r="E5060" s="10"/>
      <c r="F5060" s="8"/>
      <c r="G5060" s="8"/>
      <c r="H5060" s="8"/>
      <c r="I5060" s="7"/>
      <c r="J5060" s="8" t="e">
        <f aca="false">VLOOKUP(B5060, Table3[#All], 2, FALSE())</f>
        <v>#N/A</v>
      </c>
      <c r="K5060" s="8" t="str">
        <f aca="false">TEXT(ROW(), "0000")</f>
        <v>5060</v>
      </c>
      <c r="L5060" s="8"/>
    </row>
    <row r="5061" customFormat="false" ht="15.75" hidden="false" customHeight="true" outlineLevel="0" collapsed="false">
      <c r="A5061" s="7"/>
      <c r="B5061" s="8"/>
      <c r="C5061" s="9"/>
      <c r="D5061" s="8"/>
      <c r="E5061" s="10"/>
      <c r="F5061" s="8"/>
      <c r="G5061" s="8"/>
      <c r="H5061" s="8"/>
      <c r="I5061" s="7"/>
      <c r="J5061" s="8" t="e">
        <f aca="false">VLOOKUP(B5061, Table3[#All], 2, FALSE())</f>
        <v>#N/A</v>
      </c>
      <c r="K5061" s="8" t="str">
        <f aca="false">TEXT(ROW(), "0000")</f>
        <v>5061</v>
      </c>
      <c r="L5061" s="8"/>
    </row>
    <row r="5062" customFormat="false" ht="15.75" hidden="false" customHeight="true" outlineLevel="0" collapsed="false">
      <c r="A5062" s="7"/>
      <c r="B5062" s="8"/>
      <c r="C5062" s="9"/>
      <c r="D5062" s="8"/>
      <c r="E5062" s="10"/>
      <c r="F5062" s="8"/>
      <c r="G5062" s="8"/>
      <c r="H5062" s="8"/>
      <c r="I5062" s="7"/>
      <c r="J5062" s="8" t="e">
        <f aca="false">VLOOKUP(B5062, Table3[#All], 2, FALSE())</f>
        <v>#N/A</v>
      </c>
      <c r="K5062" s="8" t="str">
        <f aca="false">TEXT(ROW(), "0000")</f>
        <v>5062</v>
      </c>
      <c r="L5062" s="8"/>
    </row>
    <row r="5063" customFormat="false" ht="15.75" hidden="false" customHeight="true" outlineLevel="0" collapsed="false">
      <c r="A5063" s="7"/>
      <c r="B5063" s="8"/>
      <c r="C5063" s="9"/>
      <c r="D5063" s="8"/>
      <c r="E5063" s="10"/>
      <c r="F5063" s="8"/>
      <c r="G5063" s="8"/>
      <c r="H5063" s="8"/>
      <c r="I5063" s="7"/>
      <c r="J5063" s="8" t="e">
        <f aca="false">VLOOKUP(B5063, Table3[#All], 2, FALSE())</f>
        <v>#N/A</v>
      </c>
      <c r="K5063" s="8" t="str">
        <f aca="false">TEXT(ROW(), "0000")</f>
        <v>5063</v>
      </c>
      <c r="L5063" s="8"/>
    </row>
    <row r="5064" customFormat="false" ht="15.75" hidden="false" customHeight="true" outlineLevel="0" collapsed="false">
      <c r="A5064" s="7"/>
      <c r="B5064" s="8"/>
      <c r="C5064" s="9"/>
      <c r="D5064" s="8"/>
      <c r="E5064" s="10"/>
      <c r="F5064" s="8"/>
      <c r="G5064" s="8"/>
      <c r="H5064" s="8"/>
      <c r="I5064" s="7"/>
      <c r="J5064" s="8" t="e">
        <f aca="false">VLOOKUP(B5064, Table3[#All], 2, FALSE())</f>
        <v>#N/A</v>
      </c>
      <c r="K5064" s="8" t="str">
        <f aca="false">TEXT(ROW(), "0000")</f>
        <v>5064</v>
      </c>
      <c r="L5064" s="8"/>
    </row>
    <row r="5065" customFormat="false" ht="15.75" hidden="false" customHeight="true" outlineLevel="0" collapsed="false">
      <c r="A5065" s="7"/>
      <c r="B5065" s="8"/>
      <c r="C5065" s="9"/>
      <c r="D5065" s="8"/>
      <c r="E5065" s="10"/>
      <c r="F5065" s="8"/>
      <c r="G5065" s="8"/>
      <c r="H5065" s="8"/>
      <c r="I5065" s="7"/>
      <c r="J5065" s="8" t="e">
        <f aca="false">VLOOKUP(B5065, Table3[#All], 2, FALSE())</f>
        <v>#N/A</v>
      </c>
      <c r="K5065" s="8" t="str">
        <f aca="false">TEXT(ROW(), "0000")</f>
        <v>5065</v>
      </c>
      <c r="L5065" s="8"/>
    </row>
    <row r="5066" customFormat="false" ht="15.75" hidden="false" customHeight="true" outlineLevel="0" collapsed="false">
      <c r="A5066" s="7"/>
      <c r="B5066" s="8"/>
      <c r="C5066" s="9"/>
      <c r="D5066" s="8"/>
      <c r="E5066" s="10"/>
      <c r="F5066" s="8"/>
      <c r="G5066" s="8"/>
      <c r="H5066" s="8"/>
      <c r="I5066" s="7"/>
      <c r="J5066" s="8" t="e">
        <f aca="false">VLOOKUP(B5066, Table3[#All], 2, FALSE())</f>
        <v>#N/A</v>
      </c>
      <c r="K5066" s="8" t="str">
        <f aca="false">TEXT(ROW(), "0000")</f>
        <v>5066</v>
      </c>
      <c r="L5066" s="8"/>
    </row>
    <row r="5067" customFormat="false" ht="15.75" hidden="false" customHeight="true" outlineLevel="0" collapsed="false">
      <c r="A5067" s="7"/>
      <c r="B5067" s="8"/>
      <c r="C5067" s="9"/>
      <c r="D5067" s="8"/>
      <c r="E5067" s="10"/>
      <c r="F5067" s="8"/>
      <c r="G5067" s="8"/>
      <c r="H5067" s="8"/>
      <c r="I5067" s="7"/>
      <c r="J5067" s="8" t="e">
        <f aca="false">VLOOKUP(B5067, Table3[#All], 2, FALSE())</f>
        <v>#N/A</v>
      </c>
      <c r="K5067" s="8" t="str">
        <f aca="false">TEXT(ROW(), "0000")</f>
        <v>5067</v>
      </c>
      <c r="L5067" s="8"/>
    </row>
    <row r="5068" customFormat="false" ht="15.75" hidden="false" customHeight="true" outlineLevel="0" collapsed="false">
      <c r="A5068" s="7"/>
      <c r="B5068" s="8"/>
      <c r="C5068" s="9"/>
      <c r="D5068" s="8"/>
      <c r="E5068" s="10"/>
      <c r="F5068" s="8"/>
      <c r="G5068" s="8"/>
      <c r="H5068" s="8"/>
      <c r="I5068" s="7"/>
      <c r="J5068" s="8" t="e">
        <f aca="false">VLOOKUP(B5068, Table3[#All], 2, FALSE())</f>
        <v>#N/A</v>
      </c>
      <c r="K5068" s="8" t="str">
        <f aca="false">TEXT(ROW(), "0000")</f>
        <v>5068</v>
      </c>
      <c r="L5068" s="8"/>
    </row>
    <row r="5069" customFormat="false" ht="15.75" hidden="false" customHeight="true" outlineLevel="0" collapsed="false">
      <c r="A5069" s="7"/>
      <c r="B5069" s="8"/>
      <c r="C5069" s="9"/>
      <c r="D5069" s="8"/>
      <c r="E5069" s="10"/>
      <c r="F5069" s="8"/>
      <c r="G5069" s="8"/>
      <c r="H5069" s="8"/>
      <c r="I5069" s="7"/>
      <c r="J5069" s="8" t="e">
        <f aca="false">VLOOKUP(B5069, Table3[#All], 2, FALSE())</f>
        <v>#N/A</v>
      </c>
      <c r="K5069" s="8" t="str">
        <f aca="false">TEXT(ROW(), "0000")</f>
        <v>5069</v>
      </c>
      <c r="L5069" s="8"/>
    </row>
    <row r="5070" customFormat="false" ht="15.75" hidden="false" customHeight="true" outlineLevel="0" collapsed="false">
      <c r="A5070" s="7"/>
      <c r="B5070" s="8"/>
      <c r="C5070" s="9"/>
      <c r="D5070" s="8"/>
      <c r="E5070" s="10"/>
      <c r="F5070" s="8"/>
      <c r="G5070" s="8"/>
      <c r="H5070" s="8"/>
      <c r="I5070" s="7"/>
      <c r="J5070" s="8" t="e">
        <f aca="false">VLOOKUP(B5070, Table3[#All], 2, FALSE())</f>
        <v>#N/A</v>
      </c>
      <c r="K5070" s="8" t="str">
        <f aca="false">TEXT(ROW(), "0000")</f>
        <v>5070</v>
      </c>
      <c r="L5070" s="8"/>
    </row>
    <row r="5071" customFormat="false" ht="15.75" hidden="false" customHeight="true" outlineLevel="0" collapsed="false">
      <c r="A5071" s="7"/>
      <c r="B5071" s="8"/>
      <c r="C5071" s="9"/>
      <c r="D5071" s="8"/>
      <c r="E5071" s="10"/>
      <c r="F5071" s="8"/>
      <c r="G5071" s="8"/>
      <c r="H5071" s="8"/>
      <c r="I5071" s="7"/>
      <c r="J5071" s="8" t="e">
        <f aca="false">VLOOKUP(B5071, Table3[#All], 2, FALSE())</f>
        <v>#N/A</v>
      </c>
      <c r="K5071" s="8" t="str">
        <f aca="false">TEXT(ROW(), "0000")</f>
        <v>5071</v>
      </c>
      <c r="L5071" s="8"/>
    </row>
    <row r="5072" customFormat="false" ht="15.75" hidden="false" customHeight="true" outlineLevel="0" collapsed="false">
      <c r="A5072" s="7"/>
      <c r="B5072" s="8"/>
      <c r="C5072" s="9"/>
      <c r="D5072" s="8"/>
      <c r="E5072" s="10"/>
      <c r="F5072" s="8"/>
      <c r="G5072" s="8"/>
      <c r="H5072" s="8"/>
      <c r="I5072" s="7"/>
      <c r="J5072" s="8" t="e">
        <f aca="false">VLOOKUP(B5072, Table3[#All], 2, FALSE())</f>
        <v>#N/A</v>
      </c>
      <c r="K5072" s="8" t="str">
        <f aca="false">TEXT(ROW(), "0000")</f>
        <v>5072</v>
      </c>
      <c r="L5072" s="8"/>
    </row>
    <row r="5073" customFormat="false" ht="15.75" hidden="false" customHeight="true" outlineLevel="0" collapsed="false">
      <c r="A5073" s="7"/>
      <c r="B5073" s="8"/>
      <c r="C5073" s="9"/>
      <c r="D5073" s="8"/>
      <c r="E5073" s="10"/>
      <c r="F5073" s="8"/>
      <c r="G5073" s="8"/>
      <c r="H5073" s="8"/>
      <c r="I5073" s="7"/>
      <c r="J5073" s="8" t="e">
        <f aca="false">VLOOKUP(B5073, Table3[#All], 2, FALSE())</f>
        <v>#N/A</v>
      </c>
      <c r="K5073" s="8" t="str">
        <f aca="false">TEXT(ROW(), "0000")</f>
        <v>5073</v>
      </c>
      <c r="L5073" s="8"/>
    </row>
    <row r="5074" customFormat="false" ht="15.75" hidden="false" customHeight="true" outlineLevel="0" collapsed="false">
      <c r="A5074" s="7"/>
      <c r="B5074" s="8"/>
      <c r="C5074" s="9"/>
      <c r="D5074" s="8"/>
      <c r="E5074" s="10"/>
      <c r="F5074" s="8"/>
      <c r="G5074" s="8"/>
      <c r="H5074" s="8"/>
      <c r="I5074" s="7"/>
      <c r="J5074" s="8" t="e">
        <f aca="false">VLOOKUP(B5074, Table3[#All], 2, FALSE())</f>
        <v>#N/A</v>
      </c>
      <c r="K5074" s="8" t="str">
        <f aca="false">TEXT(ROW(), "0000")</f>
        <v>5074</v>
      </c>
      <c r="L5074" s="8"/>
    </row>
    <row r="5075" customFormat="false" ht="15.75" hidden="false" customHeight="true" outlineLevel="0" collapsed="false">
      <c r="A5075" s="7"/>
      <c r="B5075" s="8"/>
      <c r="C5075" s="9"/>
      <c r="D5075" s="8"/>
      <c r="E5075" s="10"/>
      <c r="F5075" s="8"/>
      <c r="G5075" s="8"/>
      <c r="H5075" s="8"/>
      <c r="I5075" s="7"/>
      <c r="J5075" s="8" t="e">
        <f aca="false">VLOOKUP(B5075, Table3[#All], 2, FALSE())</f>
        <v>#N/A</v>
      </c>
      <c r="K5075" s="8" t="str">
        <f aca="false">TEXT(ROW(), "0000")</f>
        <v>5075</v>
      </c>
      <c r="L5075" s="8"/>
    </row>
    <row r="5076" customFormat="false" ht="15.75" hidden="false" customHeight="true" outlineLevel="0" collapsed="false">
      <c r="A5076" s="7"/>
      <c r="B5076" s="8"/>
      <c r="C5076" s="9"/>
      <c r="D5076" s="8"/>
      <c r="E5076" s="10"/>
      <c r="F5076" s="8"/>
      <c r="G5076" s="8"/>
      <c r="H5076" s="8"/>
      <c r="I5076" s="7"/>
      <c r="J5076" s="8" t="e">
        <f aca="false">VLOOKUP(B5076, Table3[#All], 2, FALSE())</f>
        <v>#N/A</v>
      </c>
      <c r="K5076" s="8" t="str">
        <f aca="false">TEXT(ROW(), "0000")</f>
        <v>5076</v>
      </c>
      <c r="L5076" s="8"/>
    </row>
    <row r="5077" customFormat="false" ht="15.75" hidden="false" customHeight="true" outlineLevel="0" collapsed="false">
      <c r="A5077" s="7"/>
      <c r="B5077" s="8"/>
      <c r="C5077" s="9"/>
      <c r="D5077" s="8"/>
      <c r="E5077" s="10"/>
      <c r="F5077" s="8"/>
      <c r="G5077" s="8"/>
      <c r="H5077" s="8"/>
      <c r="I5077" s="7"/>
      <c r="J5077" s="8" t="e">
        <f aca="false">VLOOKUP(B5077, Table3[#All], 2, FALSE())</f>
        <v>#N/A</v>
      </c>
      <c r="K5077" s="8" t="str">
        <f aca="false">TEXT(ROW(), "0000")</f>
        <v>5077</v>
      </c>
      <c r="L5077" s="8"/>
    </row>
    <row r="5078" customFormat="false" ht="15.75" hidden="false" customHeight="true" outlineLevel="0" collapsed="false">
      <c r="A5078" s="7"/>
      <c r="B5078" s="8"/>
      <c r="C5078" s="9"/>
      <c r="D5078" s="8"/>
      <c r="E5078" s="10"/>
      <c r="F5078" s="8"/>
      <c r="G5078" s="8"/>
      <c r="H5078" s="8"/>
      <c r="I5078" s="7"/>
      <c r="J5078" s="8" t="e">
        <f aca="false">VLOOKUP(B5078, Table3[#All], 2, FALSE())</f>
        <v>#N/A</v>
      </c>
      <c r="K5078" s="8" t="str">
        <f aca="false">TEXT(ROW(), "0000")</f>
        <v>5078</v>
      </c>
      <c r="L5078" s="8"/>
    </row>
    <row r="5079" customFormat="false" ht="15.75" hidden="false" customHeight="true" outlineLevel="0" collapsed="false">
      <c r="A5079" s="7"/>
      <c r="B5079" s="8"/>
      <c r="C5079" s="9"/>
      <c r="D5079" s="8"/>
      <c r="E5079" s="10"/>
      <c r="F5079" s="8"/>
      <c r="G5079" s="8"/>
      <c r="H5079" s="8"/>
      <c r="I5079" s="7"/>
      <c r="J5079" s="8" t="e">
        <f aca="false">VLOOKUP(B5079, Table3[#All], 2, FALSE())</f>
        <v>#N/A</v>
      </c>
      <c r="K5079" s="8" t="str">
        <f aca="false">TEXT(ROW(), "0000")</f>
        <v>5079</v>
      </c>
      <c r="L5079" s="8"/>
    </row>
    <row r="5080" customFormat="false" ht="15.75" hidden="false" customHeight="true" outlineLevel="0" collapsed="false">
      <c r="A5080" s="7"/>
      <c r="B5080" s="8"/>
      <c r="C5080" s="9"/>
      <c r="D5080" s="8"/>
      <c r="E5080" s="10"/>
      <c r="F5080" s="8"/>
      <c r="G5080" s="8"/>
      <c r="H5080" s="8"/>
      <c r="I5080" s="7"/>
      <c r="J5080" s="8" t="e">
        <f aca="false">VLOOKUP(B5080, Table3[#All], 2, FALSE())</f>
        <v>#N/A</v>
      </c>
      <c r="K5080" s="8" t="str">
        <f aca="false">TEXT(ROW(), "0000")</f>
        <v>5080</v>
      </c>
      <c r="L5080" s="8"/>
    </row>
    <row r="5081" customFormat="false" ht="15.75" hidden="false" customHeight="true" outlineLevel="0" collapsed="false">
      <c r="A5081" s="7"/>
      <c r="B5081" s="8"/>
      <c r="C5081" s="9"/>
      <c r="D5081" s="8"/>
      <c r="E5081" s="10"/>
      <c r="F5081" s="8"/>
      <c r="G5081" s="8"/>
      <c r="H5081" s="8"/>
      <c r="I5081" s="7"/>
      <c r="J5081" s="8" t="e">
        <f aca="false">VLOOKUP(B5081, Table3[#All], 2, FALSE())</f>
        <v>#N/A</v>
      </c>
      <c r="K5081" s="8" t="str">
        <f aca="false">TEXT(ROW(), "0000")</f>
        <v>5081</v>
      </c>
      <c r="L5081" s="8"/>
    </row>
    <row r="5082" customFormat="false" ht="15.75" hidden="false" customHeight="true" outlineLevel="0" collapsed="false">
      <c r="A5082" s="7"/>
      <c r="B5082" s="8"/>
      <c r="C5082" s="9"/>
      <c r="D5082" s="8"/>
      <c r="E5082" s="10"/>
      <c r="F5082" s="8"/>
      <c r="G5082" s="8"/>
      <c r="H5082" s="8"/>
      <c r="I5082" s="7"/>
      <c r="J5082" s="8" t="e">
        <f aca="false">VLOOKUP(B5082, Table3[#All], 2, FALSE())</f>
        <v>#N/A</v>
      </c>
      <c r="K5082" s="8" t="str">
        <f aca="false">TEXT(ROW(), "0000")</f>
        <v>5082</v>
      </c>
      <c r="L5082" s="8"/>
    </row>
    <row r="5083" customFormat="false" ht="15.75" hidden="false" customHeight="true" outlineLevel="0" collapsed="false">
      <c r="A5083" s="7"/>
      <c r="B5083" s="8"/>
      <c r="C5083" s="9"/>
      <c r="D5083" s="8"/>
      <c r="E5083" s="10"/>
      <c r="F5083" s="8"/>
      <c r="G5083" s="8"/>
      <c r="H5083" s="8"/>
      <c r="I5083" s="7"/>
      <c r="J5083" s="8" t="e">
        <f aca="false">VLOOKUP(B5083, Table3[#All], 2, FALSE())</f>
        <v>#N/A</v>
      </c>
      <c r="K5083" s="8" t="str">
        <f aca="false">TEXT(ROW(), "0000")</f>
        <v>5083</v>
      </c>
      <c r="L5083" s="8"/>
    </row>
    <row r="5084" customFormat="false" ht="15.75" hidden="false" customHeight="true" outlineLevel="0" collapsed="false">
      <c r="A5084" s="7"/>
      <c r="B5084" s="8"/>
      <c r="C5084" s="9"/>
      <c r="D5084" s="8"/>
      <c r="E5084" s="10"/>
      <c r="F5084" s="8"/>
      <c r="G5084" s="8"/>
      <c r="H5084" s="8"/>
      <c r="I5084" s="7"/>
      <c r="J5084" s="8" t="e">
        <f aca="false">VLOOKUP(B5084, Table3[#All], 2, FALSE())</f>
        <v>#N/A</v>
      </c>
      <c r="K5084" s="8" t="str">
        <f aca="false">TEXT(ROW(), "0000")</f>
        <v>5084</v>
      </c>
      <c r="L5084" s="8"/>
    </row>
    <row r="5085" customFormat="false" ht="15.75" hidden="false" customHeight="true" outlineLevel="0" collapsed="false">
      <c r="A5085" s="7"/>
      <c r="B5085" s="8"/>
      <c r="C5085" s="9"/>
      <c r="D5085" s="8"/>
      <c r="E5085" s="10"/>
      <c r="F5085" s="8"/>
      <c r="G5085" s="8"/>
      <c r="H5085" s="8"/>
      <c r="I5085" s="7"/>
      <c r="J5085" s="8" t="e">
        <f aca="false">VLOOKUP(B5085, Table3[#All], 2, FALSE())</f>
        <v>#N/A</v>
      </c>
      <c r="K5085" s="8" t="str">
        <f aca="false">TEXT(ROW(), "0000")</f>
        <v>5085</v>
      </c>
      <c r="L5085" s="8"/>
    </row>
    <row r="5086" customFormat="false" ht="15.75" hidden="false" customHeight="true" outlineLevel="0" collapsed="false">
      <c r="A5086" s="7"/>
      <c r="B5086" s="8"/>
      <c r="C5086" s="9"/>
      <c r="D5086" s="8"/>
      <c r="E5086" s="10"/>
      <c r="F5086" s="8"/>
      <c r="G5086" s="8"/>
      <c r="H5086" s="8"/>
      <c r="I5086" s="7"/>
      <c r="J5086" s="8" t="e">
        <f aca="false">VLOOKUP(B5086, Table3[#All], 2, FALSE())</f>
        <v>#N/A</v>
      </c>
      <c r="K5086" s="8" t="str">
        <f aca="false">TEXT(ROW(), "0000")</f>
        <v>5086</v>
      </c>
      <c r="L5086" s="8"/>
    </row>
    <row r="5087" customFormat="false" ht="15.75" hidden="false" customHeight="true" outlineLevel="0" collapsed="false">
      <c r="A5087" s="7"/>
      <c r="B5087" s="8"/>
      <c r="C5087" s="9"/>
      <c r="D5087" s="8"/>
      <c r="E5087" s="10"/>
      <c r="F5087" s="8"/>
      <c r="G5087" s="8"/>
      <c r="H5087" s="8"/>
      <c r="I5087" s="7"/>
      <c r="J5087" s="8" t="e">
        <f aca="false">VLOOKUP(B5087, Table3[#All], 2, FALSE())</f>
        <v>#N/A</v>
      </c>
      <c r="K5087" s="8" t="str">
        <f aca="false">TEXT(ROW(), "0000")</f>
        <v>5087</v>
      </c>
      <c r="L5087" s="8"/>
    </row>
    <row r="5088" customFormat="false" ht="15.75" hidden="false" customHeight="true" outlineLevel="0" collapsed="false">
      <c r="A5088" s="7"/>
      <c r="B5088" s="8"/>
      <c r="C5088" s="9"/>
      <c r="D5088" s="8"/>
      <c r="E5088" s="10"/>
      <c r="F5088" s="8"/>
      <c r="G5088" s="8"/>
      <c r="H5088" s="8"/>
      <c r="I5088" s="7"/>
      <c r="J5088" s="8" t="e">
        <f aca="false">VLOOKUP(B5088, Table3[#All], 2, FALSE())</f>
        <v>#N/A</v>
      </c>
      <c r="K5088" s="8" t="str">
        <f aca="false">TEXT(ROW(), "0000")</f>
        <v>5088</v>
      </c>
      <c r="L5088" s="8"/>
    </row>
    <row r="5089" customFormat="false" ht="15.75" hidden="false" customHeight="true" outlineLevel="0" collapsed="false">
      <c r="A5089" s="7"/>
      <c r="B5089" s="8"/>
      <c r="C5089" s="9"/>
      <c r="D5089" s="8"/>
      <c r="E5089" s="10"/>
      <c r="F5089" s="8"/>
      <c r="G5089" s="8"/>
      <c r="H5089" s="8"/>
      <c r="I5089" s="7"/>
      <c r="J5089" s="8" t="e">
        <f aca="false">VLOOKUP(B5089, Table3[#All], 2, FALSE())</f>
        <v>#N/A</v>
      </c>
      <c r="K5089" s="8" t="str">
        <f aca="false">TEXT(ROW(), "0000")</f>
        <v>5089</v>
      </c>
      <c r="L5089" s="8"/>
    </row>
    <row r="5090" customFormat="false" ht="15.75" hidden="false" customHeight="true" outlineLevel="0" collapsed="false">
      <c r="A5090" s="7"/>
      <c r="B5090" s="8"/>
      <c r="C5090" s="9"/>
      <c r="D5090" s="8"/>
      <c r="E5090" s="10"/>
      <c r="F5090" s="8"/>
      <c r="G5090" s="8"/>
      <c r="H5090" s="8"/>
      <c r="I5090" s="7"/>
      <c r="J5090" s="8" t="e">
        <f aca="false">VLOOKUP(B5090, Table3[#All], 2, FALSE())</f>
        <v>#N/A</v>
      </c>
      <c r="K5090" s="8" t="str">
        <f aca="false">TEXT(ROW(), "0000")</f>
        <v>5090</v>
      </c>
      <c r="L5090" s="8"/>
    </row>
    <row r="5091" customFormat="false" ht="15.75" hidden="false" customHeight="true" outlineLevel="0" collapsed="false">
      <c r="A5091" s="7"/>
      <c r="B5091" s="8"/>
      <c r="C5091" s="9"/>
      <c r="D5091" s="8"/>
      <c r="E5091" s="10"/>
      <c r="F5091" s="8"/>
      <c r="G5091" s="8"/>
      <c r="H5091" s="8"/>
      <c r="I5091" s="7"/>
      <c r="J5091" s="8" t="e">
        <f aca="false">VLOOKUP(B5091, Table3[#All], 2, FALSE())</f>
        <v>#N/A</v>
      </c>
      <c r="K5091" s="8" t="str">
        <f aca="false">TEXT(ROW(), "0000")</f>
        <v>5091</v>
      </c>
      <c r="L5091" s="8"/>
    </row>
    <row r="5092" customFormat="false" ht="15.75" hidden="false" customHeight="true" outlineLevel="0" collapsed="false">
      <c r="A5092" s="7"/>
      <c r="B5092" s="8"/>
      <c r="C5092" s="9"/>
      <c r="D5092" s="8"/>
      <c r="E5092" s="10"/>
      <c r="F5092" s="8"/>
      <c r="G5092" s="8"/>
      <c r="H5092" s="8"/>
      <c r="I5092" s="7"/>
      <c r="J5092" s="8" t="e">
        <f aca="false">VLOOKUP(B5092, Table3[#All], 2, FALSE())</f>
        <v>#N/A</v>
      </c>
      <c r="K5092" s="8" t="str">
        <f aca="false">TEXT(ROW(), "0000")</f>
        <v>5092</v>
      </c>
      <c r="L5092" s="8"/>
    </row>
    <row r="5093" customFormat="false" ht="15.75" hidden="false" customHeight="true" outlineLevel="0" collapsed="false">
      <c r="A5093" s="7"/>
      <c r="B5093" s="8"/>
      <c r="C5093" s="9"/>
      <c r="D5093" s="8"/>
      <c r="E5093" s="10"/>
      <c r="F5093" s="8"/>
      <c r="G5093" s="8"/>
      <c r="H5093" s="8"/>
      <c r="I5093" s="7"/>
      <c r="J5093" s="8" t="e">
        <f aca="false">VLOOKUP(B5093, Table3[#All], 2, FALSE())</f>
        <v>#N/A</v>
      </c>
      <c r="K5093" s="8" t="str">
        <f aca="false">TEXT(ROW(), "0000")</f>
        <v>5093</v>
      </c>
      <c r="L5093" s="8"/>
    </row>
    <row r="5094" customFormat="false" ht="15.75" hidden="false" customHeight="true" outlineLevel="0" collapsed="false">
      <c r="A5094" s="7"/>
      <c r="B5094" s="8"/>
      <c r="C5094" s="9"/>
      <c r="D5094" s="8"/>
      <c r="E5094" s="10"/>
      <c r="F5094" s="8"/>
      <c r="G5094" s="8"/>
      <c r="H5094" s="8"/>
      <c r="I5094" s="7"/>
      <c r="J5094" s="8" t="e">
        <f aca="false">VLOOKUP(B5094, Table3[#All], 2, FALSE())</f>
        <v>#N/A</v>
      </c>
      <c r="K5094" s="8" t="str">
        <f aca="false">TEXT(ROW(), "0000")</f>
        <v>5094</v>
      </c>
      <c r="L5094" s="8"/>
    </row>
    <row r="5095" customFormat="false" ht="15.75" hidden="false" customHeight="true" outlineLevel="0" collapsed="false">
      <c r="A5095" s="7"/>
      <c r="B5095" s="8"/>
      <c r="C5095" s="9"/>
      <c r="D5095" s="8"/>
      <c r="E5095" s="10"/>
      <c r="F5095" s="8"/>
      <c r="G5095" s="8"/>
      <c r="H5095" s="8"/>
      <c r="I5095" s="7"/>
      <c r="J5095" s="8" t="e">
        <f aca="false">VLOOKUP(B5095, Table3[#All], 2, FALSE())</f>
        <v>#N/A</v>
      </c>
      <c r="K5095" s="8" t="str">
        <f aca="false">TEXT(ROW(), "0000")</f>
        <v>5095</v>
      </c>
      <c r="L5095" s="8"/>
    </row>
    <row r="5096" customFormat="false" ht="15.75" hidden="false" customHeight="true" outlineLevel="0" collapsed="false">
      <c r="A5096" s="7"/>
      <c r="B5096" s="8"/>
      <c r="C5096" s="9"/>
      <c r="D5096" s="8"/>
      <c r="E5096" s="10"/>
      <c r="F5096" s="8"/>
      <c r="G5096" s="8"/>
      <c r="H5096" s="8"/>
      <c r="I5096" s="7"/>
      <c r="J5096" s="8" t="e">
        <f aca="false">VLOOKUP(B5096, Table3[#All], 2, FALSE())</f>
        <v>#N/A</v>
      </c>
      <c r="K5096" s="8" t="str">
        <f aca="false">TEXT(ROW(), "0000")</f>
        <v>5096</v>
      </c>
      <c r="L5096" s="8"/>
    </row>
    <row r="5097" customFormat="false" ht="15.75" hidden="false" customHeight="true" outlineLevel="0" collapsed="false">
      <c r="A5097" s="7"/>
      <c r="B5097" s="8"/>
      <c r="C5097" s="9"/>
      <c r="D5097" s="8"/>
      <c r="E5097" s="10"/>
      <c r="F5097" s="8"/>
      <c r="G5097" s="8"/>
      <c r="H5097" s="8"/>
      <c r="I5097" s="7"/>
      <c r="J5097" s="8" t="e">
        <f aca="false">VLOOKUP(B5097, Table3[#All], 2, FALSE())</f>
        <v>#N/A</v>
      </c>
      <c r="K5097" s="8" t="str">
        <f aca="false">TEXT(ROW(), "0000")</f>
        <v>5097</v>
      </c>
      <c r="L5097" s="8"/>
    </row>
    <row r="5098" customFormat="false" ht="15.75" hidden="false" customHeight="true" outlineLevel="0" collapsed="false">
      <c r="A5098" s="7"/>
      <c r="B5098" s="8"/>
      <c r="C5098" s="9"/>
      <c r="D5098" s="8"/>
      <c r="E5098" s="10"/>
      <c r="F5098" s="8"/>
      <c r="G5098" s="8"/>
      <c r="H5098" s="8"/>
      <c r="I5098" s="7"/>
      <c r="J5098" s="8" t="e">
        <f aca="false">VLOOKUP(B5098, Table3[#All], 2, FALSE())</f>
        <v>#N/A</v>
      </c>
      <c r="K5098" s="8" t="str">
        <f aca="false">TEXT(ROW(), "0000")</f>
        <v>5098</v>
      </c>
      <c r="L5098" s="8"/>
    </row>
    <row r="5099" customFormat="false" ht="15.75" hidden="false" customHeight="true" outlineLevel="0" collapsed="false">
      <c r="A5099" s="7"/>
      <c r="B5099" s="8"/>
      <c r="C5099" s="9"/>
      <c r="D5099" s="8"/>
      <c r="E5099" s="10"/>
      <c r="F5099" s="8"/>
      <c r="G5099" s="8"/>
      <c r="H5099" s="8"/>
      <c r="I5099" s="7"/>
      <c r="J5099" s="8" t="e">
        <f aca="false">VLOOKUP(B5099, Table3[#All], 2, FALSE())</f>
        <v>#N/A</v>
      </c>
      <c r="K5099" s="8" t="str">
        <f aca="false">TEXT(ROW(), "0000")</f>
        <v>5099</v>
      </c>
      <c r="L5099" s="8"/>
    </row>
    <row r="5100" customFormat="false" ht="15.75" hidden="false" customHeight="true" outlineLevel="0" collapsed="false">
      <c r="A5100" s="7"/>
      <c r="B5100" s="8"/>
      <c r="C5100" s="9"/>
      <c r="D5100" s="8"/>
      <c r="E5100" s="10"/>
      <c r="F5100" s="8"/>
      <c r="G5100" s="8"/>
      <c r="H5100" s="8"/>
      <c r="I5100" s="7"/>
      <c r="J5100" s="8" t="e">
        <f aca="false">VLOOKUP(B5100, Table3[#All], 2, FALSE())</f>
        <v>#N/A</v>
      </c>
      <c r="K5100" s="8" t="str">
        <f aca="false">TEXT(ROW(), "0000")</f>
        <v>5100</v>
      </c>
      <c r="L5100" s="8"/>
    </row>
    <row r="5101" customFormat="false" ht="15.75" hidden="false" customHeight="true" outlineLevel="0" collapsed="false">
      <c r="A5101" s="7"/>
      <c r="B5101" s="8"/>
      <c r="C5101" s="9"/>
      <c r="D5101" s="8"/>
      <c r="E5101" s="10"/>
      <c r="F5101" s="8"/>
      <c r="G5101" s="8"/>
      <c r="H5101" s="8"/>
      <c r="I5101" s="7"/>
      <c r="J5101" s="8" t="e">
        <f aca="false">VLOOKUP(B5101, Table3[#All], 2, FALSE())</f>
        <v>#N/A</v>
      </c>
      <c r="K5101" s="8" t="str">
        <f aca="false">TEXT(ROW(), "0000")</f>
        <v>5101</v>
      </c>
      <c r="L5101" s="8"/>
    </row>
    <row r="5102" customFormat="false" ht="15.75" hidden="false" customHeight="true" outlineLevel="0" collapsed="false">
      <c r="A5102" s="7"/>
      <c r="B5102" s="8"/>
      <c r="C5102" s="9"/>
      <c r="D5102" s="8"/>
      <c r="E5102" s="10"/>
      <c r="F5102" s="8"/>
      <c r="G5102" s="8"/>
      <c r="H5102" s="8"/>
      <c r="I5102" s="7"/>
      <c r="J5102" s="8" t="e">
        <f aca="false">VLOOKUP(B5102, Table3[#All], 2, FALSE())</f>
        <v>#N/A</v>
      </c>
      <c r="K5102" s="8" t="str">
        <f aca="false">TEXT(ROW(), "0000")</f>
        <v>5102</v>
      </c>
      <c r="L5102" s="8"/>
    </row>
    <row r="5103" customFormat="false" ht="15.75" hidden="false" customHeight="true" outlineLevel="0" collapsed="false">
      <c r="A5103" s="7"/>
      <c r="B5103" s="8"/>
      <c r="C5103" s="9"/>
      <c r="D5103" s="8"/>
      <c r="E5103" s="10"/>
      <c r="F5103" s="8"/>
      <c r="G5103" s="8"/>
      <c r="H5103" s="8"/>
      <c r="I5103" s="7"/>
      <c r="J5103" s="8" t="e">
        <f aca="false">VLOOKUP(B5103, Table3[#All], 2, FALSE())</f>
        <v>#N/A</v>
      </c>
      <c r="K5103" s="8" t="str">
        <f aca="false">TEXT(ROW(), "0000")</f>
        <v>5103</v>
      </c>
      <c r="L5103" s="8"/>
    </row>
    <row r="5104" customFormat="false" ht="15.75" hidden="false" customHeight="true" outlineLevel="0" collapsed="false">
      <c r="A5104" s="7"/>
      <c r="B5104" s="8"/>
      <c r="C5104" s="9"/>
      <c r="D5104" s="8"/>
      <c r="E5104" s="10"/>
      <c r="F5104" s="8"/>
      <c r="G5104" s="8"/>
      <c r="H5104" s="8"/>
      <c r="I5104" s="7"/>
      <c r="J5104" s="8" t="e">
        <f aca="false">VLOOKUP(B5104, Table3[#All], 2, FALSE())</f>
        <v>#N/A</v>
      </c>
      <c r="K5104" s="8" t="str">
        <f aca="false">TEXT(ROW(), "0000")</f>
        <v>5104</v>
      </c>
      <c r="L5104" s="8"/>
    </row>
    <row r="5105" customFormat="false" ht="15.75" hidden="false" customHeight="true" outlineLevel="0" collapsed="false">
      <c r="A5105" s="7"/>
      <c r="B5105" s="8"/>
      <c r="C5105" s="9"/>
      <c r="D5105" s="8"/>
      <c r="E5105" s="10"/>
      <c r="F5105" s="8"/>
      <c r="G5105" s="8"/>
      <c r="H5105" s="8"/>
      <c r="I5105" s="7"/>
      <c r="J5105" s="8" t="e">
        <f aca="false">VLOOKUP(B5105, Table3[#All], 2, FALSE())</f>
        <v>#N/A</v>
      </c>
      <c r="K5105" s="8" t="str">
        <f aca="false">TEXT(ROW(), "0000")</f>
        <v>5105</v>
      </c>
      <c r="L5105" s="8"/>
    </row>
    <row r="5106" customFormat="false" ht="15.75" hidden="false" customHeight="true" outlineLevel="0" collapsed="false">
      <c r="A5106" s="7"/>
      <c r="B5106" s="8"/>
      <c r="C5106" s="9"/>
      <c r="D5106" s="8"/>
      <c r="E5106" s="10"/>
      <c r="F5106" s="8"/>
      <c r="G5106" s="8"/>
      <c r="H5106" s="8"/>
      <c r="I5106" s="7"/>
      <c r="J5106" s="8" t="e">
        <f aca="false">VLOOKUP(B5106, Table3[#All], 2, FALSE())</f>
        <v>#N/A</v>
      </c>
      <c r="K5106" s="8" t="str">
        <f aca="false">TEXT(ROW(), "0000")</f>
        <v>5106</v>
      </c>
      <c r="L5106" s="8"/>
    </row>
    <row r="5107" customFormat="false" ht="15.75" hidden="false" customHeight="true" outlineLevel="0" collapsed="false">
      <c r="A5107" s="7"/>
      <c r="B5107" s="8"/>
      <c r="C5107" s="9"/>
      <c r="D5107" s="8"/>
      <c r="E5107" s="10"/>
      <c r="F5107" s="8"/>
      <c r="G5107" s="8"/>
      <c r="H5107" s="8"/>
      <c r="I5107" s="7"/>
      <c r="J5107" s="8" t="e">
        <f aca="false">VLOOKUP(B5107, Table3[#All], 2, FALSE())</f>
        <v>#N/A</v>
      </c>
      <c r="K5107" s="8" t="str">
        <f aca="false">TEXT(ROW(), "0000")</f>
        <v>5107</v>
      </c>
      <c r="L5107" s="8"/>
    </row>
    <row r="5108" customFormat="false" ht="15.75" hidden="false" customHeight="true" outlineLevel="0" collapsed="false">
      <c r="A5108" s="7"/>
      <c r="B5108" s="8"/>
      <c r="C5108" s="9"/>
      <c r="D5108" s="8"/>
      <c r="E5108" s="10"/>
      <c r="F5108" s="8"/>
      <c r="G5108" s="8"/>
      <c r="H5108" s="8"/>
      <c r="I5108" s="7"/>
      <c r="J5108" s="8" t="e">
        <f aca="false">VLOOKUP(B5108, Table3[#All], 2, FALSE())</f>
        <v>#N/A</v>
      </c>
      <c r="K5108" s="8" t="str">
        <f aca="false">TEXT(ROW(), "0000")</f>
        <v>5108</v>
      </c>
      <c r="L5108" s="8"/>
    </row>
    <row r="5109" customFormat="false" ht="15.75" hidden="false" customHeight="true" outlineLevel="0" collapsed="false">
      <c r="A5109" s="7"/>
      <c r="B5109" s="8"/>
      <c r="C5109" s="9"/>
      <c r="D5109" s="8"/>
      <c r="E5109" s="10"/>
      <c r="F5109" s="8"/>
      <c r="G5109" s="8"/>
      <c r="H5109" s="8"/>
      <c r="I5109" s="7"/>
      <c r="J5109" s="8" t="e">
        <f aca="false">VLOOKUP(B5109, Table3[#All], 2, FALSE())</f>
        <v>#N/A</v>
      </c>
      <c r="K5109" s="8" t="str">
        <f aca="false">TEXT(ROW(), "0000")</f>
        <v>5109</v>
      </c>
      <c r="L5109" s="8"/>
    </row>
    <row r="5110" customFormat="false" ht="15.75" hidden="false" customHeight="true" outlineLevel="0" collapsed="false">
      <c r="A5110" s="7"/>
      <c r="B5110" s="8"/>
      <c r="C5110" s="9"/>
      <c r="D5110" s="8"/>
      <c r="E5110" s="10"/>
      <c r="F5110" s="8"/>
      <c r="G5110" s="8"/>
      <c r="H5110" s="8"/>
      <c r="I5110" s="7"/>
      <c r="J5110" s="8" t="e">
        <f aca="false">VLOOKUP(B5110, Table3[#All], 2, FALSE())</f>
        <v>#N/A</v>
      </c>
      <c r="K5110" s="8" t="str">
        <f aca="false">TEXT(ROW(), "0000")</f>
        <v>5110</v>
      </c>
      <c r="L5110" s="8"/>
    </row>
    <row r="5111" customFormat="false" ht="15.75" hidden="false" customHeight="true" outlineLevel="0" collapsed="false">
      <c r="A5111" s="7"/>
      <c r="B5111" s="8"/>
      <c r="C5111" s="9"/>
      <c r="D5111" s="8"/>
      <c r="E5111" s="10"/>
      <c r="F5111" s="8"/>
      <c r="G5111" s="8"/>
      <c r="H5111" s="8"/>
      <c r="I5111" s="7"/>
      <c r="J5111" s="8" t="e">
        <f aca="false">VLOOKUP(B5111, Table3[#All], 2, FALSE())</f>
        <v>#N/A</v>
      </c>
      <c r="K5111" s="8" t="str">
        <f aca="false">TEXT(ROW(), "0000")</f>
        <v>5111</v>
      </c>
      <c r="L5111" s="8"/>
    </row>
    <row r="5112" customFormat="false" ht="15.75" hidden="false" customHeight="true" outlineLevel="0" collapsed="false">
      <c r="A5112" s="7"/>
      <c r="B5112" s="8"/>
      <c r="C5112" s="9"/>
      <c r="D5112" s="8"/>
      <c r="E5112" s="10"/>
      <c r="F5112" s="8"/>
      <c r="G5112" s="8"/>
      <c r="H5112" s="8"/>
      <c r="I5112" s="7"/>
      <c r="J5112" s="8" t="e">
        <f aca="false">VLOOKUP(B5112, Table3[#All], 2, FALSE())</f>
        <v>#N/A</v>
      </c>
      <c r="K5112" s="8" t="str">
        <f aca="false">TEXT(ROW(), "0000")</f>
        <v>5112</v>
      </c>
      <c r="L5112" s="8"/>
    </row>
    <row r="5113" customFormat="false" ht="15.75" hidden="false" customHeight="true" outlineLevel="0" collapsed="false">
      <c r="A5113" s="7"/>
      <c r="B5113" s="8"/>
      <c r="C5113" s="9"/>
      <c r="D5113" s="8"/>
      <c r="E5113" s="10"/>
      <c r="F5113" s="8"/>
      <c r="G5113" s="8"/>
      <c r="H5113" s="8"/>
      <c r="I5113" s="7"/>
      <c r="J5113" s="8" t="e">
        <f aca="false">VLOOKUP(B5113, Table3[#All], 2, FALSE())</f>
        <v>#N/A</v>
      </c>
      <c r="K5113" s="8" t="str">
        <f aca="false">TEXT(ROW(), "0000")</f>
        <v>5113</v>
      </c>
      <c r="L5113" s="8"/>
    </row>
    <row r="5114" customFormat="false" ht="15.75" hidden="false" customHeight="true" outlineLevel="0" collapsed="false">
      <c r="A5114" s="7"/>
      <c r="B5114" s="8"/>
      <c r="C5114" s="9"/>
      <c r="D5114" s="8"/>
      <c r="E5114" s="10"/>
      <c r="F5114" s="8"/>
      <c r="G5114" s="8"/>
      <c r="H5114" s="8"/>
      <c r="I5114" s="7"/>
      <c r="J5114" s="8" t="e">
        <f aca="false">VLOOKUP(B5114, Table3[#All], 2, FALSE())</f>
        <v>#N/A</v>
      </c>
      <c r="K5114" s="8" t="str">
        <f aca="false">TEXT(ROW(), "0000")</f>
        <v>5114</v>
      </c>
      <c r="L5114" s="8"/>
    </row>
    <row r="5115" customFormat="false" ht="15.75" hidden="false" customHeight="true" outlineLevel="0" collapsed="false">
      <c r="A5115" s="7"/>
      <c r="B5115" s="8"/>
      <c r="C5115" s="9"/>
      <c r="D5115" s="8"/>
      <c r="E5115" s="10"/>
      <c r="F5115" s="8"/>
      <c r="G5115" s="8"/>
      <c r="H5115" s="8"/>
      <c r="I5115" s="7"/>
      <c r="J5115" s="8" t="e">
        <f aca="false">VLOOKUP(B5115, Table3[#All], 2, FALSE())</f>
        <v>#N/A</v>
      </c>
      <c r="K5115" s="8" t="str">
        <f aca="false">TEXT(ROW(), "0000")</f>
        <v>5115</v>
      </c>
      <c r="L5115" s="8"/>
    </row>
    <row r="5116" customFormat="false" ht="15.75" hidden="false" customHeight="true" outlineLevel="0" collapsed="false">
      <c r="A5116" s="7"/>
      <c r="B5116" s="8"/>
      <c r="C5116" s="9"/>
      <c r="D5116" s="8"/>
      <c r="E5116" s="10"/>
      <c r="F5116" s="8"/>
      <c r="G5116" s="8"/>
      <c r="H5116" s="8"/>
      <c r="I5116" s="7"/>
      <c r="J5116" s="8" t="e">
        <f aca="false">VLOOKUP(B5116, Table3[#All], 2, FALSE())</f>
        <v>#N/A</v>
      </c>
      <c r="K5116" s="8" t="str">
        <f aca="false">TEXT(ROW(), "0000")</f>
        <v>5116</v>
      </c>
      <c r="L5116" s="8"/>
    </row>
    <row r="5117" customFormat="false" ht="15.75" hidden="false" customHeight="true" outlineLevel="0" collapsed="false">
      <c r="A5117" s="7"/>
      <c r="B5117" s="8"/>
      <c r="C5117" s="9"/>
      <c r="D5117" s="8"/>
      <c r="E5117" s="10"/>
      <c r="F5117" s="8"/>
      <c r="G5117" s="8"/>
      <c r="H5117" s="8"/>
      <c r="I5117" s="7"/>
      <c r="J5117" s="8" t="e">
        <f aca="false">VLOOKUP(B5117, Table3[#All], 2, FALSE())</f>
        <v>#N/A</v>
      </c>
      <c r="K5117" s="8" t="str">
        <f aca="false">TEXT(ROW(), "0000")</f>
        <v>5117</v>
      </c>
      <c r="L5117" s="8"/>
    </row>
    <row r="5118" customFormat="false" ht="15.75" hidden="false" customHeight="true" outlineLevel="0" collapsed="false">
      <c r="A5118" s="7"/>
      <c r="B5118" s="8"/>
      <c r="C5118" s="9"/>
      <c r="D5118" s="8"/>
      <c r="E5118" s="10"/>
      <c r="F5118" s="8"/>
      <c r="G5118" s="8"/>
      <c r="H5118" s="8"/>
      <c r="I5118" s="7"/>
      <c r="J5118" s="8" t="e">
        <f aca="false">VLOOKUP(B5118, Table3[#All], 2, FALSE())</f>
        <v>#N/A</v>
      </c>
      <c r="K5118" s="8" t="str">
        <f aca="false">TEXT(ROW(), "0000")</f>
        <v>5118</v>
      </c>
      <c r="L5118" s="8"/>
    </row>
    <row r="5119" customFormat="false" ht="15.75" hidden="false" customHeight="true" outlineLevel="0" collapsed="false">
      <c r="A5119" s="7"/>
      <c r="B5119" s="8"/>
      <c r="C5119" s="9"/>
      <c r="D5119" s="8"/>
      <c r="E5119" s="10"/>
      <c r="F5119" s="8"/>
      <c r="G5119" s="8"/>
      <c r="H5119" s="8"/>
      <c r="I5119" s="7"/>
      <c r="J5119" s="8" t="e">
        <f aca="false">VLOOKUP(B5119, Table3[#All], 2, FALSE())</f>
        <v>#N/A</v>
      </c>
      <c r="K5119" s="8" t="str">
        <f aca="false">TEXT(ROW(), "0000")</f>
        <v>5119</v>
      </c>
      <c r="L5119" s="8"/>
    </row>
    <row r="5120" customFormat="false" ht="15.75" hidden="false" customHeight="true" outlineLevel="0" collapsed="false">
      <c r="A5120" s="7"/>
      <c r="B5120" s="8"/>
      <c r="C5120" s="9"/>
      <c r="D5120" s="8"/>
      <c r="E5120" s="10"/>
      <c r="F5120" s="8"/>
      <c r="G5120" s="8"/>
      <c r="H5120" s="8"/>
      <c r="I5120" s="7"/>
      <c r="J5120" s="8" t="e">
        <f aca="false">VLOOKUP(B5120, Table3[#All], 2, FALSE())</f>
        <v>#N/A</v>
      </c>
      <c r="K5120" s="8" t="str">
        <f aca="false">TEXT(ROW(), "0000")</f>
        <v>5120</v>
      </c>
      <c r="L5120" s="8"/>
    </row>
    <row r="5121" customFormat="false" ht="15.75" hidden="false" customHeight="true" outlineLevel="0" collapsed="false">
      <c r="A5121" s="7"/>
      <c r="B5121" s="8"/>
      <c r="C5121" s="9"/>
      <c r="D5121" s="8"/>
      <c r="E5121" s="10"/>
      <c r="F5121" s="8"/>
      <c r="G5121" s="8"/>
      <c r="H5121" s="8"/>
      <c r="I5121" s="7"/>
      <c r="J5121" s="8" t="e">
        <f aca="false">VLOOKUP(B5121, Table3[#All], 2, FALSE())</f>
        <v>#N/A</v>
      </c>
      <c r="K5121" s="8" t="str">
        <f aca="false">TEXT(ROW(), "0000")</f>
        <v>5121</v>
      </c>
      <c r="L5121" s="8"/>
    </row>
    <row r="5122" customFormat="false" ht="15.75" hidden="false" customHeight="true" outlineLevel="0" collapsed="false">
      <c r="A5122" s="7"/>
      <c r="B5122" s="8"/>
      <c r="C5122" s="9"/>
      <c r="D5122" s="8"/>
      <c r="E5122" s="10"/>
      <c r="F5122" s="8"/>
      <c r="G5122" s="8"/>
      <c r="H5122" s="8"/>
      <c r="I5122" s="7"/>
      <c r="J5122" s="8" t="e">
        <f aca="false">VLOOKUP(B5122, Table3[#All], 2, FALSE())</f>
        <v>#N/A</v>
      </c>
      <c r="K5122" s="8" t="str">
        <f aca="false">TEXT(ROW(), "0000")</f>
        <v>5122</v>
      </c>
      <c r="L5122" s="8"/>
    </row>
    <row r="5123" customFormat="false" ht="15.75" hidden="false" customHeight="true" outlineLevel="0" collapsed="false">
      <c r="A5123" s="7"/>
      <c r="B5123" s="8"/>
      <c r="C5123" s="9"/>
      <c r="D5123" s="8"/>
      <c r="E5123" s="10"/>
      <c r="F5123" s="8"/>
      <c r="G5123" s="8"/>
      <c r="H5123" s="8"/>
      <c r="I5123" s="7"/>
      <c r="J5123" s="8" t="e">
        <f aca="false">VLOOKUP(B5123, Table3[#All], 2, FALSE())</f>
        <v>#N/A</v>
      </c>
      <c r="K5123" s="8" t="str">
        <f aca="false">TEXT(ROW(), "0000")</f>
        <v>5123</v>
      </c>
      <c r="L5123" s="8"/>
    </row>
    <row r="5124" customFormat="false" ht="15.75" hidden="false" customHeight="true" outlineLevel="0" collapsed="false">
      <c r="A5124" s="7"/>
      <c r="B5124" s="8"/>
      <c r="C5124" s="9"/>
      <c r="D5124" s="8"/>
      <c r="E5124" s="10"/>
      <c r="F5124" s="8"/>
      <c r="G5124" s="8"/>
      <c r="H5124" s="8"/>
      <c r="I5124" s="7"/>
      <c r="J5124" s="8" t="e">
        <f aca="false">VLOOKUP(B5124, Table3[#All], 2, FALSE())</f>
        <v>#N/A</v>
      </c>
      <c r="K5124" s="8" t="str">
        <f aca="false">TEXT(ROW(), "0000")</f>
        <v>5124</v>
      </c>
      <c r="L5124" s="8"/>
    </row>
    <row r="5125" customFormat="false" ht="15.75" hidden="false" customHeight="true" outlineLevel="0" collapsed="false">
      <c r="A5125" s="7"/>
      <c r="B5125" s="8"/>
      <c r="C5125" s="9"/>
      <c r="D5125" s="8"/>
      <c r="E5125" s="10"/>
      <c r="F5125" s="8"/>
      <c r="G5125" s="8"/>
      <c r="H5125" s="8"/>
      <c r="I5125" s="7"/>
      <c r="J5125" s="8" t="e">
        <f aca="false">VLOOKUP(B5125, Table3[#All], 2, FALSE())</f>
        <v>#N/A</v>
      </c>
      <c r="K5125" s="8" t="str">
        <f aca="false">TEXT(ROW(), "0000")</f>
        <v>5125</v>
      </c>
      <c r="L5125" s="8"/>
    </row>
    <row r="5126" customFormat="false" ht="15.75" hidden="false" customHeight="true" outlineLevel="0" collapsed="false">
      <c r="A5126" s="7"/>
      <c r="B5126" s="8"/>
      <c r="C5126" s="9"/>
      <c r="D5126" s="8"/>
      <c r="E5126" s="10"/>
      <c r="F5126" s="8"/>
      <c r="G5126" s="8"/>
      <c r="H5126" s="8"/>
      <c r="I5126" s="7"/>
      <c r="J5126" s="8" t="e">
        <f aca="false">VLOOKUP(B5126, Table3[#All], 2, FALSE())</f>
        <v>#N/A</v>
      </c>
      <c r="K5126" s="8" t="str">
        <f aca="false">TEXT(ROW(), "0000")</f>
        <v>5126</v>
      </c>
      <c r="L5126" s="8"/>
    </row>
    <row r="5127" customFormat="false" ht="15.75" hidden="false" customHeight="true" outlineLevel="0" collapsed="false">
      <c r="A5127" s="7"/>
      <c r="B5127" s="8"/>
      <c r="C5127" s="9"/>
      <c r="D5127" s="8"/>
      <c r="E5127" s="10"/>
      <c r="F5127" s="8"/>
      <c r="G5127" s="8"/>
      <c r="H5127" s="8"/>
      <c r="I5127" s="7"/>
      <c r="J5127" s="8" t="e">
        <f aca="false">VLOOKUP(B5127, Table3[#All], 2, FALSE())</f>
        <v>#N/A</v>
      </c>
      <c r="K5127" s="8" t="str">
        <f aca="false">TEXT(ROW(), "0000")</f>
        <v>5127</v>
      </c>
      <c r="L5127" s="8"/>
    </row>
    <row r="5128" customFormat="false" ht="15.75" hidden="false" customHeight="true" outlineLevel="0" collapsed="false">
      <c r="A5128" s="7"/>
      <c r="B5128" s="8"/>
      <c r="C5128" s="9"/>
      <c r="D5128" s="8"/>
      <c r="E5128" s="10"/>
      <c r="F5128" s="8"/>
      <c r="G5128" s="8"/>
      <c r="H5128" s="8"/>
      <c r="I5128" s="7"/>
      <c r="J5128" s="8" t="e">
        <f aca="false">VLOOKUP(B5128, Table3[#All], 2, FALSE())</f>
        <v>#N/A</v>
      </c>
      <c r="K5128" s="8" t="str">
        <f aca="false">TEXT(ROW(), "0000")</f>
        <v>5128</v>
      </c>
      <c r="L5128" s="8"/>
    </row>
    <row r="5129" customFormat="false" ht="15.75" hidden="false" customHeight="true" outlineLevel="0" collapsed="false">
      <c r="A5129" s="7"/>
      <c r="B5129" s="8"/>
      <c r="C5129" s="9"/>
      <c r="D5129" s="8"/>
      <c r="E5129" s="10"/>
      <c r="F5129" s="8"/>
      <c r="G5129" s="8"/>
      <c r="H5129" s="8"/>
      <c r="I5129" s="7"/>
      <c r="J5129" s="8" t="e">
        <f aca="false">VLOOKUP(B5129, Table3[#All], 2, FALSE())</f>
        <v>#N/A</v>
      </c>
      <c r="K5129" s="8" t="str">
        <f aca="false">TEXT(ROW(), "0000")</f>
        <v>5129</v>
      </c>
      <c r="L5129" s="8"/>
    </row>
    <row r="5130" customFormat="false" ht="15.75" hidden="false" customHeight="true" outlineLevel="0" collapsed="false">
      <c r="A5130" s="7"/>
      <c r="B5130" s="8"/>
      <c r="C5130" s="9"/>
      <c r="D5130" s="8"/>
      <c r="E5130" s="10"/>
      <c r="F5130" s="8"/>
      <c r="G5130" s="8"/>
      <c r="H5130" s="8"/>
      <c r="I5130" s="7"/>
      <c r="J5130" s="8" t="e">
        <f aca="false">VLOOKUP(B5130, Table3[#All], 2, FALSE())</f>
        <v>#N/A</v>
      </c>
      <c r="K5130" s="8" t="str">
        <f aca="false">TEXT(ROW(), "0000")</f>
        <v>5130</v>
      </c>
      <c r="L5130" s="8"/>
    </row>
    <row r="5131" customFormat="false" ht="15.75" hidden="false" customHeight="true" outlineLevel="0" collapsed="false">
      <c r="A5131" s="7"/>
      <c r="B5131" s="8"/>
      <c r="C5131" s="9"/>
      <c r="D5131" s="8"/>
      <c r="E5131" s="10"/>
      <c r="F5131" s="8"/>
      <c r="G5131" s="8"/>
      <c r="H5131" s="8"/>
      <c r="I5131" s="7"/>
      <c r="J5131" s="8" t="e">
        <f aca="false">VLOOKUP(B5131, Table3[#All], 2, FALSE())</f>
        <v>#N/A</v>
      </c>
      <c r="K5131" s="8" t="str">
        <f aca="false">TEXT(ROW(), "0000")</f>
        <v>5131</v>
      </c>
      <c r="L5131" s="8"/>
    </row>
    <row r="5132" customFormat="false" ht="15.75" hidden="false" customHeight="true" outlineLevel="0" collapsed="false">
      <c r="A5132" s="7"/>
      <c r="B5132" s="8"/>
      <c r="C5132" s="9"/>
      <c r="D5132" s="8"/>
      <c r="E5132" s="10"/>
      <c r="F5132" s="8"/>
      <c r="G5132" s="8"/>
      <c r="H5132" s="8"/>
      <c r="I5132" s="7"/>
      <c r="J5132" s="8" t="e">
        <f aca="false">VLOOKUP(B5132, Table3[#All], 2, FALSE())</f>
        <v>#N/A</v>
      </c>
      <c r="K5132" s="8" t="str">
        <f aca="false">TEXT(ROW(), "0000")</f>
        <v>5132</v>
      </c>
      <c r="L5132" s="8"/>
    </row>
    <row r="5133" customFormat="false" ht="15.75" hidden="false" customHeight="true" outlineLevel="0" collapsed="false">
      <c r="A5133" s="7"/>
      <c r="B5133" s="8"/>
      <c r="C5133" s="9"/>
      <c r="D5133" s="8"/>
      <c r="E5133" s="10"/>
      <c r="F5133" s="8"/>
      <c r="G5133" s="8"/>
      <c r="H5133" s="8"/>
      <c r="I5133" s="7"/>
      <c r="J5133" s="8" t="e">
        <f aca="false">VLOOKUP(B5133, Table3[#All], 2, FALSE())</f>
        <v>#N/A</v>
      </c>
      <c r="K5133" s="8" t="str">
        <f aca="false">TEXT(ROW(), "0000")</f>
        <v>5133</v>
      </c>
      <c r="L5133" s="8"/>
    </row>
    <row r="5134" customFormat="false" ht="15.75" hidden="false" customHeight="true" outlineLevel="0" collapsed="false">
      <c r="A5134" s="7"/>
      <c r="B5134" s="8"/>
      <c r="C5134" s="9"/>
      <c r="D5134" s="8"/>
      <c r="E5134" s="10"/>
      <c r="F5134" s="8"/>
      <c r="G5134" s="8"/>
      <c r="H5134" s="8"/>
      <c r="I5134" s="7"/>
      <c r="J5134" s="8" t="e">
        <f aca="false">VLOOKUP(B5134, Table3[#All], 2, FALSE())</f>
        <v>#N/A</v>
      </c>
      <c r="K5134" s="8" t="str">
        <f aca="false">TEXT(ROW(), "0000")</f>
        <v>5134</v>
      </c>
      <c r="L5134" s="8"/>
    </row>
    <row r="5135" customFormat="false" ht="15.75" hidden="false" customHeight="true" outlineLevel="0" collapsed="false">
      <c r="A5135" s="7"/>
      <c r="B5135" s="8"/>
      <c r="C5135" s="9"/>
      <c r="D5135" s="8"/>
      <c r="E5135" s="10"/>
      <c r="F5135" s="8"/>
      <c r="G5135" s="8"/>
      <c r="H5135" s="8"/>
      <c r="I5135" s="7"/>
      <c r="J5135" s="8" t="e">
        <f aca="false">VLOOKUP(B5135, Table3[#All], 2, FALSE())</f>
        <v>#N/A</v>
      </c>
      <c r="K5135" s="8" t="str">
        <f aca="false">TEXT(ROW(), "0000")</f>
        <v>5135</v>
      </c>
      <c r="L5135" s="8"/>
    </row>
    <row r="5136" customFormat="false" ht="15.75" hidden="false" customHeight="true" outlineLevel="0" collapsed="false">
      <c r="A5136" s="7"/>
      <c r="B5136" s="8"/>
      <c r="C5136" s="9"/>
      <c r="D5136" s="8"/>
      <c r="E5136" s="10"/>
      <c r="F5136" s="8"/>
      <c r="G5136" s="8"/>
      <c r="H5136" s="8"/>
      <c r="I5136" s="7"/>
      <c r="J5136" s="8" t="e">
        <f aca="false">VLOOKUP(B5136, Table3[#All], 2, FALSE())</f>
        <v>#N/A</v>
      </c>
      <c r="K5136" s="8" t="str">
        <f aca="false">TEXT(ROW(), "0000")</f>
        <v>5136</v>
      </c>
      <c r="L5136" s="8"/>
    </row>
    <row r="5137" customFormat="false" ht="15.75" hidden="false" customHeight="true" outlineLevel="0" collapsed="false">
      <c r="A5137" s="7"/>
      <c r="B5137" s="8"/>
      <c r="C5137" s="9"/>
      <c r="D5137" s="8"/>
      <c r="E5137" s="10"/>
      <c r="F5137" s="8"/>
      <c r="G5137" s="8"/>
      <c r="H5137" s="8"/>
      <c r="I5137" s="7"/>
      <c r="J5137" s="8" t="e">
        <f aca="false">VLOOKUP(B5137, Table3[#All], 2, FALSE())</f>
        <v>#N/A</v>
      </c>
      <c r="K5137" s="8" t="str">
        <f aca="false">TEXT(ROW(), "0000")</f>
        <v>5137</v>
      </c>
      <c r="L5137" s="8"/>
    </row>
    <row r="5138" customFormat="false" ht="15.75" hidden="false" customHeight="true" outlineLevel="0" collapsed="false">
      <c r="A5138" s="7"/>
      <c r="B5138" s="8"/>
      <c r="C5138" s="9"/>
      <c r="D5138" s="8"/>
      <c r="E5138" s="10"/>
      <c r="F5138" s="8"/>
      <c r="G5138" s="8"/>
      <c r="H5138" s="8"/>
      <c r="I5138" s="7"/>
      <c r="J5138" s="8" t="e">
        <f aca="false">VLOOKUP(B5138, Table3[#All], 2, FALSE())</f>
        <v>#N/A</v>
      </c>
      <c r="K5138" s="8" t="str">
        <f aca="false">TEXT(ROW(), "0000")</f>
        <v>5138</v>
      </c>
      <c r="L5138" s="8"/>
    </row>
    <row r="5139" customFormat="false" ht="15.75" hidden="false" customHeight="true" outlineLevel="0" collapsed="false">
      <c r="A5139" s="7"/>
      <c r="B5139" s="8"/>
      <c r="C5139" s="9"/>
      <c r="D5139" s="8"/>
      <c r="E5139" s="10"/>
      <c r="F5139" s="8"/>
      <c r="G5139" s="8"/>
      <c r="H5139" s="8"/>
      <c r="I5139" s="7"/>
      <c r="J5139" s="8" t="e">
        <f aca="false">VLOOKUP(B5139, Table3[#All], 2, FALSE())</f>
        <v>#N/A</v>
      </c>
      <c r="K5139" s="8" t="str">
        <f aca="false">TEXT(ROW(), "0000")</f>
        <v>5139</v>
      </c>
      <c r="L5139" s="8"/>
    </row>
    <row r="5140" customFormat="false" ht="15.75" hidden="false" customHeight="true" outlineLevel="0" collapsed="false">
      <c r="A5140" s="7"/>
      <c r="B5140" s="8"/>
      <c r="C5140" s="9"/>
      <c r="D5140" s="8"/>
      <c r="E5140" s="10"/>
      <c r="F5140" s="8"/>
      <c r="G5140" s="8"/>
      <c r="H5140" s="8"/>
      <c r="I5140" s="7"/>
      <c r="J5140" s="8" t="e">
        <f aca="false">VLOOKUP(B5140, Table3[#All], 2, FALSE())</f>
        <v>#N/A</v>
      </c>
      <c r="K5140" s="8" t="str">
        <f aca="false">TEXT(ROW(), "0000")</f>
        <v>5140</v>
      </c>
      <c r="L5140" s="8"/>
    </row>
    <row r="5141" customFormat="false" ht="15.75" hidden="false" customHeight="true" outlineLevel="0" collapsed="false">
      <c r="A5141" s="7"/>
      <c r="B5141" s="8"/>
      <c r="C5141" s="9"/>
      <c r="D5141" s="8"/>
      <c r="E5141" s="10"/>
      <c r="F5141" s="8"/>
      <c r="G5141" s="8"/>
      <c r="H5141" s="8"/>
      <c r="I5141" s="7"/>
      <c r="J5141" s="8" t="e">
        <f aca="false">VLOOKUP(B5141, Table3[#All], 2, FALSE())</f>
        <v>#N/A</v>
      </c>
      <c r="K5141" s="8" t="str">
        <f aca="false">TEXT(ROW(), "0000")</f>
        <v>5141</v>
      </c>
      <c r="L5141" s="8"/>
    </row>
    <row r="5142" customFormat="false" ht="15.75" hidden="false" customHeight="true" outlineLevel="0" collapsed="false">
      <c r="A5142" s="7"/>
      <c r="B5142" s="8"/>
      <c r="C5142" s="9"/>
      <c r="D5142" s="8"/>
      <c r="E5142" s="10"/>
      <c r="F5142" s="8"/>
      <c r="G5142" s="8"/>
      <c r="H5142" s="8"/>
      <c r="I5142" s="7"/>
      <c r="J5142" s="8" t="e">
        <f aca="false">VLOOKUP(B5142, Table3[#All], 2, FALSE())</f>
        <v>#N/A</v>
      </c>
      <c r="K5142" s="8" t="str">
        <f aca="false">TEXT(ROW(), "0000")</f>
        <v>5142</v>
      </c>
      <c r="L5142" s="8"/>
    </row>
    <row r="5143" customFormat="false" ht="15.75" hidden="false" customHeight="true" outlineLevel="0" collapsed="false">
      <c r="A5143" s="7"/>
      <c r="B5143" s="8"/>
      <c r="C5143" s="9"/>
      <c r="D5143" s="8"/>
      <c r="E5143" s="10"/>
      <c r="F5143" s="8"/>
      <c r="G5143" s="8"/>
      <c r="H5143" s="8"/>
      <c r="I5143" s="7"/>
      <c r="J5143" s="8" t="e">
        <f aca="false">VLOOKUP(B5143, Table3[#All], 2, FALSE())</f>
        <v>#N/A</v>
      </c>
      <c r="K5143" s="8" t="str">
        <f aca="false">TEXT(ROW(), "0000")</f>
        <v>5143</v>
      </c>
      <c r="L5143" s="8"/>
    </row>
    <row r="5144" customFormat="false" ht="15.75" hidden="false" customHeight="true" outlineLevel="0" collapsed="false">
      <c r="A5144" s="7"/>
      <c r="B5144" s="8"/>
      <c r="C5144" s="9"/>
      <c r="D5144" s="8"/>
      <c r="E5144" s="10"/>
      <c r="F5144" s="8"/>
      <c r="G5144" s="8"/>
      <c r="H5144" s="8"/>
      <c r="I5144" s="7"/>
      <c r="J5144" s="8" t="e">
        <f aca="false">VLOOKUP(B5144, Table3[#All], 2, FALSE())</f>
        <v>#N/A</v>
      </c>
      <c r="K5144" s="8" t="str">
        <f aca="false">TEXT(ROW(), "0000")</f>
        <v>5144</v>
      </c>
      <c r="L5144" s="8"/>
    </row>
    <row r="5145" customFormat="false" ht="15.75" hidden="false" customHeight="true" outlineLevel="0" collapsed="false">
      <c r="A5145" s="7"/>
      <c r="B5145" s="8"/>
      <c r="C5145" s="9"/>
      <c r="D5145" s="8"/>
      <c r="E5145" s="10"/>
      <c r="F5145" s="8"/>
      <c r="G5145" s="8"/>
      <c r="H5145" s="8"/>
      <c r="I5145" s="7"/>
      <c r="J5145" s="8" t="e">
        <f aca="false">VLOOKUP(B5145, Table3[#All], 2, FALSE())</f>
        <v>#N/A</v>
      </c>
      <c r="K5145" s="8" t="str">
        <f aca="false">TEXT(ROW(), "0000")</f>
        <v>5145</v>
      </c>
      <c r="L5145" s="8"/>
    </row>
    <row r="5146" customFormat="false" ht="15.75" hidden="false" customHeight="true" outlineLevel="0" collapsed="false">
      <c r="A5146" s="7"/>
      <c r="B5146" s="8"/>
      <c r="C5146" s="9"/>
      <c r="D5146" s="8"/>
      <c r="E5146" s="10"/>
      <c r="F5146" s="8"/>
      <c r="G5146" s="8"/>
      <c r="H5146" s="8"/>
      <c r="I5146" s="7"/>
      <c r="J5146" s="8" t="e">
        <f aca="false">VLOOKUP(B5146, Table3[#All], 2, FALSE())</f>
        <v>#N/A</v>
      </c>
      <c r="K5146" s="8" t="str">
        <f aca="false">TEXT(ROW(), "0000")</f>
        <v>5146</v>
      </c>
      <c r="L5146" s="8"/>
    </row>
    <row r="5147" customFormat="false" ht="15.75" hidden="false" customHeight="true" outlineLevel="0" collapsed="false">
      <c r="A5147" s="7"/>
      <c r="B5147" s="8"/>
      <c r="C5147" s="9"/>
      <c r="D5147" s="8"/>
      <c r="E5147" s="10"/>
      <c r="F5147" s="8"/>
      <c r="G5147" s="8"/>
      <c r="H5147" s="8"/>
      <c r="I5147" s="7"/>
      <c r="J5147" s="8" t="e">
        <f aca="false">VLOOKUP(B5147, Table3[#All], 2, FALSE())</f>
        <v>#N/A</v>
      </c>
      <c r="K5147" s="8" t="str">
        <f aca="false">TEXT(ROW(), "0000")</f>
        <v>5147</v>
      </c>
      <c r="L5147" s="8"/>
    </row>
    <row r="5148" customFormat="false" ht="15.75" hidden="false" customHeight="true" outlineLevel="0" collapsed="false">
      <c r="A5148" s="7"/>
      <c r="B5148" s="8"/>
      <c r="C5148" s="9"/>
      <c r="D5148" s="8"/>
      <c r="E5148" s="10"/>
      <c r="F5148" s="8"/>
      <c r="G5148" s="8"/>
      <c r="H5148" s="8"/>
      <c r="I5148" s="7"/>
      <c r="J5148" s="8" t="e">
        <f aca="false">VLOOKUP(B5148, Table3[#All], 2, FALSE())</f>
        <v>#N/A</v>
      </c>
      <c r="K5148" s="8" t="str">
        <f aca="false">TEXT(ROW(), "0000")</f>
        <v>5148</v>
      </c>
      <c r="L5148" s="8"/>
    </row>
    <row r="5149" customFormat="false" ht="15.75" hidden="false" customHeight="true" outlineLevel="0" collapsed="false">
      <c r="A5149" s="7"/>
      <c r="B5149" s="8"/>
      <c r="C5149" s="9"/>
      <c r="D5149" s="8"/>
      <c r="E5149" s="10"/>
      <c r="F5149" s="8"/>
      <c r="G5149" s="8"/>
      <c r="H5149" s="8"/>
      <c r="I5149" s="7"/>
      <c r="J5149" s="8" t="e">
        <f aca="false">VLOOKUP(B5149, Table3[#All], 2, FALSE())</f>
        <v>#N/A</v>
      </c>
      <c r="K5149" s="8" t="str">
        <f aca="false">TEXT(ROW(), "0000")</f>
        <v>5149</v>
      </c>
      <c r="L5149" s="8"/>
    </row>
    <row r="5150" customFormat="false" ht="15.75" hidden="false" customHeight="true" outlineLevel="0" collapsed="false">
      <c r="A5150" s="7"/>
      <c r="B5150" s="8"/>
      <c r="C5150" s="9"/>
      <c r="D5150" s="8"/>
      <c r="E5150" s="10"/>
      <c r="F5150" s="8"/>
      <c r="G5150" s="8"/>
      <c r="H5150" s="8"/>
      <c r="I5150" s="7"/>
      <c r="J5150" s="8" t="e">
        <f aca="false">VLOOKUP(B5150, Table3[#All], 2, FALSE())</f>
        <v>#N/A</v>
      </c>
      <c r="K5150" s="8" t="str">
        <f aca="false">TEXT(ROW(), "0000")</f>
        <v>5150</v>
      </c>
      <c r="L5150" s="8"/>
    </row>
    <row r="5151" customFormat="false" ht="15.75" hidden="false" customHeight="true" outlineLevel="0" collapsed="false">
      <c r="A5151" s="7"/>
      <c r="B5151" s="8"/>
      <c r="C5151" s="9"/>
      <c r="D5151" s="8"/>
      <c r="E5151" s="10"/>
      <c r="F5151" s="8"/>
      <c r="G5151" s="8"/>
      <c r="H5151" s="8"/>
      <c r="I5151" s="7"/>
      <c r="J5151" s="8" t="e">
        <f aca="false">VLOOKUP(B5151, Table3[#All], 2, FALSE())</f>
        <v>#N/A</v>
      </c>
      <c r="K5151" s="8" t="str">
        <f aca="false">TEXT(ROW(), "0000")</f>
        <v>5151</v>
      </c>
      <c r="L5151" s="8"/>
    </row>
    <row r="5152" customFormat="false" ht="15.75" hidden="false" customHeight="true" outlineLevel="0" collapsed="false">
      <c r="A5152" s="7"/>
      <c r="B5152" s="8"/>
      <c r="C5152" s="9"/>
      <c r="D5152" s="8"/>
      <c r="E5152" s="10"/>
      <c r="F5152" s="8"/>
      <c r="G5152" s="8"/>
      <c r="H5152" s="8"/>
      <c r="I5152" s="7"/>
      <c r="J5152" s="8" t="e">
        <f aca="false">VLOOKUP(B5152, Table3[#All], 2, FALSE())</f>
        <v>#N/A</v>
      </c>
      <c r="K5152" s="8" t="str">
        <f aca="false">TEXT(ROW(), "0000")</f>
        <v>5152</v>
      </c>
      <c r="L5152" s="8"/>
    </row>
    <row r="5153" customFormat="false" ht="15.75" hidden="false" customHeight="true" outlineLevel="0" collapsed="false">
      <c r="A5153" s="7"/>
      <c r="B5153" s="8"/>
      <c r="C5153" s="9"/>
      <c r="D5153" s="8"/>
      <c r="E5153" s="10"/>
      <c r="F5153" s="8"/>
      <c r="G5153" s="8"/>
      <c r="H5153" s="8"/>
      <c r="I5153" s="7"/>
      <c r="J5153" s="8" t="e">
        <f aca="false">VLOOKUP(B5153, Table3[#All], 2, FALSE())</f>
        <v>#N/A</v>
      </c>
      <c r="K5153" s="8" t="str">
        <f aca="false">TEXT(ROW(), "0000")</f>
        <v>5153</v>
      </c>
      <c r="L5153" s="8"/>
    </row>
    <row r="5154" customFormat="false" ht="15.75" hidden="false" customHeight="true" outlineLevel="0" collapsed="false">
      <c r="A5154" s="7"/>
      <c r="B5154" s="8"/>
      <c r="C5154" s="9"/>
      <c r="D5154" s="8"/>
      <c r="E5154" s="10"/>
      <c r="F5154" s="8"/>
      <c r="G5154" s="8"/>
      <c r="H5154" s="8"/>
      <c r="I5154" s="7"/>
      <c r="J5154" s="8" t="e">
        <f aca="false">VLOOKUP(B5154, Table3[#All], 2, FALSE())</f>
        <v>#N/A</v>
      </c>
      <c r="K5154" s="8" t="str">
        <f aca="false">TEXT(ROW(), "0000")</f>
        <v>5154</v>
      </c>
      <c r="L5154" s="8"/>
    </row>
    <row r="5155" customFormat="false" ht="15.75" hidden="false" customHeight="true" outlineLevel="0" collapsed="false">
      <c r="A5155" s="7"/>
      <c r="B5155" s="8"/>
      <c r="C5155" s="9"/>
      <c r="D5155" s="8"/>
      <c r="E5155" s="10"/>
      <c r="F5155" s="8"/>
      <c r="G5155" s="8"/>
      <c r="H5155" s="8"/>
      <c r="I5155" s="7"/>
      <c r="J5155" s="8" t="e">
        <f aca="false">VLOOKUP(B5155, Table3[#All], 2, FALSE())</f>
        <v>#N/A</v>
      </c>
      <c r="K5155" s="8" t="str">
        <f aca="false">TEXT(ROW(), "0000")</f>
        <v>5155</v>
      </c>
      <c r="L5155" s="8"/>
    </row>
    <row r="5156" customFormat="false" ht="15.75" hidden="false" customHeight="true" outlineLevel="0" collapsed="false">
      <c r="A5156" s="7"/>
      <c r="B5156" s="8"/>
      <c r="C5156" s="9"/>
      <c r="D5156" s="8"/>
      <c r="E5156" s="10"/>
      <c r="F5156" s="8"/>
      <c r="G5156" s="8"/>
      <c r="H5156" s="8"/>
      <c r="I5156" s="7"/>
      <c r="J5156" s="8" t="e">
        <f aca="false">VLOOKUP(B5156, Table3[#All], 2, FALSE())</f>
        <v>#N/A</v>
      </c>
      <c r="K5156" s="8" t="str">
        <f aca="false">TEXT(ROW(), "0000")</f>
        <v>5156</v>
      </c>
      <c r="L5156" s="8"/>
    </row>
    <row r="5157" customFormat="false" ht="15.75" hidden="false" customHeight="true" outlineLevel="0" collapsed="false">
      <c r="A5157" s="7"/>
      <c r="B5157" s="8"/>
      <c r="C5157" s="9"/>
      <c r="D5157" s="8"/>
      <c r="E5157" s="10"/>
      <c r="F5157" s="8"/>
      <c r="G5157" s="8"/>
      <c r="H5157" s="8"/>
      <c r="I5157" s="7"/>
      <c r="J5157" s="8" t="e">
        <f aca="false">VLOOKUP(B5157, Table3[#All], 2, FALSE())</f>
        <v>#N/A</v>
      </c>
      <c r="K5157" s="8" t="str">
        <f aca="false">TEXT(ROW(), "0000")</f>
        <v>5157</v>
      </c>
      <c r="L5157" s="8"/>
    </row>
    <row r="5158" customFormat="false" ht="15.75" hidden="false" customHeight="true" outlineLevel="0" collapsed="false">
      <c r="A5158" s="7"/>
      <c r="B5158" s="8"/>
      <c r="C5158" s="9"/>
      <c r="D5158" s="8"/>
      <c r="E5158" s="10"/>
      <c r="F5158" s="8"/>
      <c r="G5158" s="8"/>
      <c r="H5158" s="8"/>
      <c r="I5158" s="7"/>
      <c r="J5158" s="8" t="e">
        <f aca="false">VLOOKUP(B5158, Table3[#All], 2, FALSE())</f>
        <v>#N/A</v>
      </c>
      <c r="K5158" s="8" t="str">
        <f aca="false">TEXT(ROW(), "0000")</f>
        <v>5158</v>
      </c>
      <c r="L5158" s="8"/>
    </row>
    <row r="5159" customFormat="false" ht="15.75" hidden="false" customHeight="true" outlineLevel="0" collapsed="false">
      <c r="A5159" s="7"/>
      <c r="B5159" s="8"/>
      <c r="C5159" s="9"/>
      <c r="D5159" s="8"/>
      <c r="E5159" s="10"/>
      <c r="F5159" s="8"/>
      <c r="G5159" s="8"/>
      <c r="H5159" s="8"/>
      <c r="I5159" s="7"/>
      <c r="J5159" s="8" t="e">
        <f aca="false">VLOOKUP(B5159, Table3[#All], 2, FALSE())</f>
        <v>#N/A</v>
      </c>
      <c r="K5159" s="8" t="str">
        <f aca="false">TEXT(ROW(), "0000")</f>
        <v>5159</v>
      </c>
      <c r="L5159" s="8"/>
    </row>
    <row r="5160" customFormat="false" ht="15.75" hidden="false" customHeight="true" outlineLevel="0" collapsed="false">
      <c r="A5160" s="7"/>
      <c r="B5160" s="8"/>
      <c r="C5160" s="9"/>
      <c r="D5160" s="8"/>
      <c r="E5160" s="10"/>
      <c r="F5160" s="8"/>
      <c r="G5160" s="8"/>
      <c r="H5160" s="8"/>
      <c r="I5160" s="7"/>
      <c r="J5160" s="8" t="e">
        <f aca="false">VLOOKUP(B5160, Table3[#All], 2, FALSE())</f>
        <v>#N/A</v>
      </c>
      <c r="K5160" s="8" t="str">
        <f aca="false">TEXT(ROW(), "0000")</f>
        <v>5160</v>
      </c>
      <c r="L5160" s="8"/>
    </row>
    <row r="5161" customFormat="false" ht="15.75" hidden="false" customHeight="true" outlineLevel="0" collapsed="false">
      <c r="A5161" s="7"/>
      <c r="B5161" s="8"/>
      <c r="C5161" s="9"/>
      <c r="D5161" s="8"/>
      <c r="E5161" s="10"/>
      <c r="F5161" s="8"/>
      <c r="G5161" s="8"/>
      <c r="H5161" s="8"/>
      <c r="I5161" s="7"/>
      <c r="J5161" s="8" t="e">
        <f aca="false">VLOOKUP(B5161, Table3[#All], 2, FALSE())</f>
        <v>#N/A</v>
      </c>
      <c r="K5161" s="8" t="str">
        <f aca="false">TEXT(ROW(), "0000")</f>
        <v>5161</v>
      </c>
      <c r="L5161" s="8"/>
    </row>
    <row r="5162" customFormat="false" ht="15.75" hidden="false" customHeight="true" outlineLevel="0" collapsed="false">
      <c r="A5162" s="7"/>
      <c r="B5162" s="8"/>
      <c r="C5162" s="9"/>
      <c r="D5162" s="8"/>
      <c r="E5162" s="10"/>
      <c r="F5162" s="8"/>
      <c r="G5162" s="8"/>
      <c r="H5162" s="8"/>
      <c r="I5162" s="7"/>
      <c r="J5162" s="8" t="e">
        <f aca="false">VLOOKUP(B5162, Table3[#All], 2, FALSE())</f>
        <v>#N/A</v>
      </c>
      <c r="K5162" s="8" t="str">
        <f aca="false">TEXT(ROW(), "0000")</f>
        <v>5162</v>
      </c>
      <c r="L5162" s="8"/>
    </row>
    <row r="5163" customFormat="false" ht="15.75" hidden="false" customHeight="true" outlineLevel="0" collapsed="false">
      <c r="A5163" s="7"/>
      <c r="B5163" s="8"/>
      <c r="C5163" s="9"/>
      <c r="D5163" s="8"/>
      <c r="E5163" s="10"/>
      <c r="F5163" s="8"/>
      <c r="G5163" s="8"/>
      <c r="H5163" s="8"/>
      <c r="I5163" s="7"/>
      <c r="J5163" s="8" t="e">
        <f aca="false">VLOOKUP(B5163, Table3[#All], 2, FALSE())</f>
        <v>#N/A</v>
      </c>
      <c r="K5163" s="8" t="str">
        <f aca="false">TEXT(ROW(), "0000")</f>
        <v>5163</v>
      </c>
      <c r="L5163" s="8"/>
    </row>
    <row r="5164" customFormat="false" ht="15.75" hidden="false" customHeight="true" outlineLevel="0" collapsed="false">
      <c r="A5164" s="7"/>
      <c r="B5164" s="8"/>
      <c r="C5164" s="9"/>
      <c r="D5164" s="8"/>
      <c r="E5164" s="10"/>
      <c r="F5164" s="8"/>
      <c r="G5164" s="8"/>
      <c r="H5164" s="8"/>
      <c r="I5164" s="7"/>
      <c r="J5164" s="8" t="e">
        <f aca="false">VLOOKUP(B5164, Table3[#All], 2, FALSE())</f>
        <v>#N/A</v>
      </c>
      <c r="K5164" s="8" t="str">
        <f aca="false">TEXT(ROW(), "0000")</f>
        <v>5164</v>
      </c>
      <c r="L5164" s="8"/>
    </row>
    <row r="5165" customFormat="false" ht="15.75" hidden="false" customHeight="true" outlineLevel="0" collapsed="false">
      <c r="A5165" s="7"/>
      <c r="B5165" s="8"/>
      <c r="C5165" s="9"/>
      <c r="D5165" s="8"/>
      <c r="E5165" s="10"/>
      <c r="F5165" s="8"/>
      <c r="G5165" s="8"/>
      <c r="H5165" s="8"/>
      <c r="I5165" s="7"/>
      <c r="J5165" s="8" t="e">
        <f aca="false">VLOOKUP(B5165, Table3[#All], 2, FALSE())</f>
        <v>#N/A</v>
      </c>
      <c r="K5165" s="8" t="str">
        <f aca="false">TEXT(ROW(), "0000")</f>
        <v>5165</v>
      </c>
      <c r="L5165" s="8"/>
    </row>
    <row r="5166" customFormat="false" ht="15.75" hidden="false" customHeight="true" outlineLevel="0" collapsed="false">
      <c r="A5166" s="7"/>
      <c r="B5166" s="8"/>
      <c r="C5166" s="9"/>
      <c r="D5166" s="8"/>
      <c r="E5166" s="10"/>
      <c r="F5166" s="8"/>
      <c r="G5166" s="8"/>
      <c r="H5166" s="8"/>
      <c r="I5166" s="7"/>
      <c r="J5166" s="8" t="e">
        <f aca="false">VLOOKUP(B5166, Table3[#All], 2, FALSE())</f>
        <v>#N/A</v>
      </c>
      <c r="K5166" s="8" t="str">
        <f aca="false">TEXT(ROW(), "0000")</f>
        <v>5166</v>
      </c>
      <c r="L5166" s="8"/>
    </row>
    <row r="5167" customFormat="false" ht="15.75" hidden="false" customHeight="true" outlineLevel="0" collapsed="false">
      <c r="A5167" s="7"/>
      <c r="B5167" s="8"/>
      <c r="C5167" s="9"/>
      <c r="D5167" s="8"/>
      <c r="E5167" s="10"/>
      <c r="F5167" s="8"/>
      <c r="G5167" s="8"/>
      <c r="H5167" s="8"/>
      <c r="I5167" s="7"/>
      <c r="J5167" s="8" t="e">
        <f aca="false">VLOOKUP(B5167, Table3[#All], 2, FALSE())</f>
        <v>#N/A</v>
      </c>
      <c r="K5167" s="8" t="str">
        <f aca="false">TEXT(ROW(), "0000")</f>
        <v>5167</v>
      </c>
      <c r="L5167" s="8"/>
    </row>
    <row r="5168" customFormat="false" ht="15.75" hidden="false" customHeight="true" outlineLevel="0" collapsed="false">
      <c r="A5168" s="7"/>
      <c r="B5168" s="8"/>
      <c r="C5168" s="9"/>
      <c r="D5168" s="8"/>
      <c r="E5168" s="10"/>
      <c r="F5168" s="8"/>
      <c r="G5168" s="8"/>
      <c r="H5168" s="8"/>
      <c r="I5168" s="7"/>
      <c r="J5168" s="8" t="e">
        <f aca="false">VLOOKUP(B5168, Table3[#All], 2, FALSE())</f>
        <v>#N/A</v>
      </c>
      <c r="K5168" s="8" t="str">
        <f aca="false">TEXT(ROW(), "0000")</f>
        <v>5168</v>
      </c>
      <c r="L5168" s="8"/>
    </row>
    <row r="5169" customFormat="false" ht="15.75" hidden="false" customHeight="true" outlineLevel="0" collapsed="false">
      <c r="A5169" s="7"/>
      <c r="B5169" s="8"/>
      <c r="C5169" s="9"/>
      <c r="D5169" s="8"/>
      <c r="E5169" s="10"/>
      <c r="F5169" s="8"/>
      <c r="G5169" s="8"/>
      <c r="H5169" s="8"/>
      <c r="I5169" s="7"/>
      <c r="J5169" s="8" t="e">
        <f aca="false">VLOOKUP(B5169, Table3[#All], 2, FALSE())</f>
        <v>#N/A</v>
      </c>
      <c r="K5169" s="8" t="str">
        <f aca="false">TEXT(ROW(), "0000")</f>
        <v>5169</v>
      </c>
      <c r="L5169" s="8"/>
    </row>
    <row r="5170" customFormat="false" ht="15.75" hidden="false" customHeight="true" outlineLevel="0" collapsed="false">
      <c r="A5170" s="7"/>
      <c r="B5170" s="8"/>
      <c r="C5170" s="9"/>
      <c r="D5170" s="8"/>
      <c r="E5170" s="10"/>
      <c r="F5170" s="8"/>
      <c r="G5170" s="8"/>
      <c r="H5170" s="8"/>
      <c r="I5170" s="7"/>
      <c r="J5170" s="8" t="e">
        <f aca="false">VLOOKUP(B5170, Table3[#All], 2, FALSE())</f>
        <v>#N/A</v>
      </c>
      <c r="K5170" s="8" t="str">
        <f aca="false">TEXT(ROW(), "0000")</f>
        <v>5170</v>
      </c>
      <c r="L5170" s="8"/>
    </row>
    <row r="5171" customFormat="false" ht="15.75" hidden="false" customHeight="true" outlineLevel="0" collapsed="false">
      <c r="A5171" s="7"/>
      <c r="B5171" s="8"/>
      <c r="C5171" s="9"/>
      <c r="D5171" s="8"/>
      <c r="E5171" s="10"/>
      <c r="F5171" s="8"/>
      <c r="G5171" s="8"/>
      <c r="H5171" s="8"/>
      <c r="I5171" s="7"/>
      <c r="J5171" s="8" t="e">
        <f aca="false">VLOOKUP(B5171, Table3[#All], 2, FALSE())</f>
        <v>#N/A</v>
      </c>
      <c r="K5171" s="8" t="str">
        <f aca="false">TEXT(ROW(), "0000")</f>
        <v>5171</v>
      </c>
      <c r="L5171" s="8"/>
    </row>
    <row r="5172" customFormat="false" ht="15.75" hidden="false" customHeight="true" outlineLevel="0" collapsed="false">
      <c r="A5172" s="7"/>
      <c r="B5172" s="8"/>
      <c r="C5172" s="9"/>
      <c r="D5172" s="8"/>
      <c r="E5172" s="10"/>
      <c r="F5172" s="8"/>
      <c r="G5172" s="8"/>
      <c r="H5172" s="8"/>
      <c r="I5172" s="7"/>
      <c r="J5172" s="8" t="e">
        <f aca="false">VLOOKUP(B5172, Table3[#All], 2, FALSE())</f>
        <v>#N/A</v>
      </c>
      <c r="K5172" s="8" t="str">
        <f aca="false">TEXT(ROW(), "0000")</f>
        <v>5172</v>
      </c>
      <c r="L5172" s="8"/>
    </row>
    <row r="5173" customFormat="false" ht="15.75" hidden="false" customHeight="true" outlineLevel="0" collapsed="false">
      <c r="A5173" s="7"/>
      <c r="B5173" s="8"/>
      <c r="C5173" s="9"/>
      <c r="D5173" s="8"/>
      <c r="E5173" s="10"/>
      <c r="F5173" s="8"/>
      <c r="G5173" s="8"/>
      <c r="H5173" s="8"/>
      <c r="I5173" s="7"/>
      <c r="J5173" s="8" t="e">
        <f aca="false">VLOOKUP(B5173, Table3[#All], 2, FALSE())</f>
        <v>#N/A</v>
      </c>
      <c r="K5173" s="8" t="str">
        <f aca="false">TEXT(ROW(), "0000")</f>
        <v>5173</v>
      </c>
      <c r="L5173" s="8"/>
    </row>
    <row r="5174" customFormat="false" ht="15.75" hidden="false" customHeight="true" outlineLevel="0" collapsed="false">
      <c r="A5174" s="7"/>
      <c r="B5174" s="8"/>
      <c r="C5174" s="9"/>
      <c r="D5174" s="8"/>
      <c r="E5174" s="10"/>
      <c r="F5174" s="8"/>
      <c r="G5174" s="8"/>
      <c r="H5174" s="8"/>
      <c r="I5174" s="7"/>
      <c r="J5174" s="8" t="e">
        <f aca="false">VLOOKUP(B5174, Table3[#All], 2, FALSE())</f>
        <v>#N/A</v>
      </c>
      <c r="K5174" s="8" t="str">
        <f aca="false">TEXT(ROW(), "0000")</f>
        <v>5174</v>
      </c>
      <c r="L5174" s="8"/>
    </row>
    <row r="5175" customFormat="false" ht="15.75" hidden="false" customHeight="true" outlineLevel="0" collapsed="false">
      <c r="A5175" s="7"/>
      <c r="B5175" s="8"/>
      <c r="C5175" s="9"/>
      <c r="D5175" s="8"/>
      <c r="E5175" s="10"/>
      <c r="F5175" s="8"/>
      <c r="G5175" s="8"/>
      <c r="H5175" s="8"/>
      <c r="I5175" s="7"/>
      <c r="J5175" s="8" t="e">
        <f aca="false">VLOOKUP(B5175, Table3[#All], 2, FALSE())</f>
        <v>#N/A</v>
      </c>
      <c r="K5175" s="8" t="str">
        <f aca="false">TEXT(ROW(), "0000")</f>
        <v>5175</v>
      </c>
      <c r="L5175" s="8"/>
    </row>
    <row r="5176" customFormat="false" ht="15.75" hidden="false" customHeight="true" outlineLevel="0" collapsed="false">
      <c r="A5176" s="7"/>
      <c r="B5176" s="8"/>
      <c r="C5176" s="9"/>
      <c r="D5176" s="8"/>
      <c r="E5176" s="10"/>
      <c r="F5176" s="8"/>
      <c r="G5176" s="8"/>
      <c r="H5176" s="8"/>
      <c r="I5176" s="7"/>
      <c r="J5176" s="8" t="e">
        <f aca="false">VLOOKUP(B5176, Table3[#All], 2, FALSE())</f>
        <v>#N/A</v>
      </c>
      <c r="K5176" s="8" t="str">
        <f aca="false">TEXT(ROW(), "0000")</f>
        <v>5176</v>
      </c>
      <c r="L5176" s="8"/>
    </row>
    <row r="5177" customFormat="false" ht="15.75" hidden="false" customHeight="true" outlineLevel="0" collapsed="false">
      <c r="A5177" s="7"/>
      <c r="B5177" s="8"/>
      <c r="C5177" s="9"/>
      <c r="D5177" s="8"/>
      <c r="E5177" s="10"/>
      <c r="F5177" s="8"/>
      <c r="G5177" s="8"/>
      <c r="H5177" s="8"/>
      <c r="I5177" s="7"/>
      <c r="J5177" s="8" t="e">
        <f aca="false">VLOOKUP(B5177, Table3[#All], 2, FALSE())</f>
        <v>#N/A</v>
      </c>
      <c r="K5177" s="8" t="str">
        <f aca="false">TEXT(ROW(), "0000")</f>
        <v>5177</v>
      </c>
      <c r="L5177" s="8"/>
    </row>
    <row r="5178" customFormat="false" ht="15.75" hidden="false" customHeight="true" outlineLevel="0" collapsed="false">
      <c r="A5178" s="7"/>
      <c r="B5178" s="8"/>
      <c r="C5178" s="9"/>
      <c r="D5178" s="8"/>
      <c r="E5178" s="10"/>
      <c r="F5178" s="8"/>
      <c r="G5178" s="8"/>
      <c r="H5178" s="8"/>
      <c r="I5178" s="7"/>
      <c r="J5178" s="8" t="e">
        <f aca="false">VLOOKUP(B5178, Table3[#All], 2, FALSE())</f>
        <v>#N/A</v>
      </c>
      <c r="K5178" s="8" t="str">
        <f aca="false">TEXT(ROW(), "0000")</f>
        <v>5178</v>
      </c>
      <c r="L5178" s="8"/>
    </row>
    <row r="5179" customFormat="false" ht="15.75" hidden="false" customHeight="true" outlineLevel="0" collapsed="false">
      <c r="A5179" s="7"/>
      <c r="B5179" s="8"/>
      <c r="C5179" s="9"/>
      <c r="D5179" s="8"/>
      <c r="E5179" s="10"/>
      <c r="F5179" s="8"/>
      <c r="G5179" s="8"/>
      <c r="H5179" s="8"/>
      <c r="I5179" s="7"/>
      <c r="J5179" s="8" t="e">
        <f aca="false">VLOOKUP(B5179, Table3[#All], 2, FALSE())</f>
        <v>#N/A</v>
      </c>
      <c r="K5179" s="8" t="str">
        <f aca="false">TEXT(ROW(), "0000")</f>
        <v>5179</v>
      </c>
      <c r="L5179" s="8"/>
    </row>
    <row r="5180" customFormat="false" ht="15.75" hidden="false" customHeight="true" outlineLevel="0" collapsed="false">
      <c r="A5180" s="7"/>
      <c r="B5180" s="8"/>
      <c r="C5180" s="9"/>
      <c r="D5180" s="8"/>
      <c r="E5180" s="10"/>
      <c r="F5180" s="8"/>
      <c r="G5180" s="8"/>
      <c r="H5180" s="8"/>
      <c r="I5180" s="7"/>
      <c r="J5180" s="8" t="e">
        <f aca="false">VLOOKUP(B5180, Table3[#All], 2, FALSE())</f>
        <v>#N/A</v>
      </c>
      <c r="K5180" s="8" t="str">
        <f aca="false">TEXT(ROW(), "0000")</f>
        <v>5180</v>
      </c>
      <c r="L5180" s="8"/>
    </row>
    <row r="5181" customFormat="false" ht="15.75" hidden="false" customHeight="true" outlineLevel="0" collapsed="false">
      <c r="A5181" s="7"/>
      <c r="B5181" s="8"/>
      <c r="C5181" s="9"/>
      <c r="D5181" s="8"/>
      <c r="E5181" s="10"/>
      <c r="F5181" s="8"/>
      <c r="G5181" s="8"/>
      <c r="H5181" s="8"/>
      <c r="I5181" s="7"/>
      <c r="J5181" s="8" t="e">
        <f aca="false">VLOOKUP(B5181, Table3[#All], 2, FALSE())</f>
        <v>#N/A</v>
      </c>
      <c r="K5181" s="8" t="str">
        <f aca="false">TEXT(ROW(), "0000")</f>
        <v>5181</v>
      </c>
      <c r="L5181" s="8"/>
    </row>
    <row r="5182" customFormat="false" ht="15.75" hidden="false" customHeight="true" outlineLevel="0" collapsed="false">
      <c r="A5182" s="7"/>
      <c r="B5182" s="8"/>
      <c r="C5182" s="9"/>
      <c r="D5182" s="8"/>
      <c r="E5182" s="10"/>
      <c r="F5182" s="8"/>
      <c r="G5182" s="8"/>
      <c r="H5182" s="8"/>
      <c r="I5182" s="7"/>
      <c r="J5182" s="8" t="e">
        <f aca="false">VLOOKUP(B5182, Table3[#All], 2, FALSE())</f>
        <v>#N/A</v>
      </c>
      <c r="K5182" s="8" t="str">
        <f aca="false">TEXT(ROW(), "0000")</f>
        <v>5182</v>
      </c>
      <c r="L5182" s="8"/>
    </row>
    <row r="5183" customFormat="false" ht="15.75" hidden="false" customHeight="true" outlineLevel="0" collapsed="false">
      <c r="A5183" s="7"/>
      <c r="B5183" s="8"/>
      <c r="C5183" s="9"/>
      <c r="D5183" s="8"/>
      <c r="E5183" s="10"/>
      <c r="F5183" s="8"/>
      <c r="G5183" s="8"/>
      <c r="H5183" s="8"/>
      <c r="I5183" s="7"/>
      <c r="J5183" s="8" t="e">
        <f aca="false">VLOOKUP(B5183, Table3[#All], 2, FALSE())</f>
        <v>#N/A</v>
      </c>
      <c r="K5183" s="8" t="str">
        <f aca="false">TEXT(ROW(), "0000")</f>
        <v>5183</v>
      </c>
      <c r="L5183" s="8"/>
    </row>
    <row r="5184" customFormat="false" ht="15.75" hidden="false" customHeight="true" outlineLevel="0" collapsed="false">
      <c r="A5184" s="7"/>
      <c r="B5184" s="8"/>
      <c r="C5184" s="9"/>
      <c r="D5184" s="8"/>
      <c r="E5184" s="10"/>
      <c r="F5184" s="8"/>
      <c r="G5184" s="8"/>
      <c r="H5184" s="8"/>
      <c r="I5184" s="7"/>
      <c r="J5184" s="8" t="e">
        <f aca="false">VLOOKUP(B5184, Table3[#All], 2, FALSE())</f>
        <v>#N/A</v>
      </c>
      <c r="K5184" s="8" t="str">
        <f aca="false">TEXT(ROW(), "0000")</f>
        <v>5184</v>
      </c>
      <c r="L5184" s="8"/>
    </row>
    <row r="5185" customFormat="false" ht="15.75" hidden="false" customHeight="true" outlineLevel="0" collapsed="false">
      <c r="A5185" s="7"/>
      <c r="B5185" s="8"/>
      <c r="C5185" s="9"/>
      <c r="D5185" s="8"/>
      <c r="E5185" s="10"/>
      <c r="F5185" s="8"/>
      <c r="G5185" s="8"/>
      <c r="H5185" s="8"/>
      <c r="I5185" s="7"/>
      <c r="J5185" s="8" t="e">
        <f aca="false">VLOOKUP(B5185, Table3[#All], 2, FALSE())</f>
        <v>#N/A</v>
      </c>
      <c r="K5185" s="8" t="str">
        <f aca="false">TEXT(ROW(), "0000")</f>
        <v>5185</v>
      </c>
      <c r="L5185" s="8"/>
    </row>
    <row r="5186" customFormat="false" ht="15.75" hidden="false" customHeight="true" outlineLevel="0" collapsed="false">
      <c r="A5186" s="7"/>
      <c r="B5186" s="8"/>
      <c r="C5186" s="9"/>
      <c r="D5186" s="8"/>
      <c r="E5186" s="10"/>
      <c r="F5186" s="8"/>
      <c r="G5186" s="8"/>
      <c r="H5186" s="8"/>
      <c r="I5186" s="7"/>
      <c r="J5186" s="8" t="e">
        <f aca="false">VLOOKUP(B5186, Table3[#All], 2, FALSE())</f>
        <v>#N/A</v>
      </c>
      <c r="K5186" s="8" t="str">
        <f aca="false">TEXT(ROW(), "0000")</f>
        <v>5186</v>
      </c>
      <c r="L5186" s="8"/>
    </row>
    <row r="5187" customFormat="false" ht="15.75" hidden="false" customHeight="true" outlineLevel="0" collapsed="false">
      <c r="A5187" s="7"/>
      <c r="B5187" s="8"/>
      <c r="C5187" s="9"/>
      <c r="D5187" s="8"/>
      <c r="E5187" s="10"/>
      <c r="F5187" s="8"/>
      <c r="G5187" s="8"/>
      <c r="H5187" s="8"/>
      <c r="I5187" s="7"/>
      <c r="J5187" s="8" t="e">
        <f aca="false">VLOOKUP(B5187, Table3[#All], 2, FALSE())</f>
        <v>#N/A</v>
      </c>
      <c r="K5187" s="8" t="str">
        <f aca="false">TEXT(ROW(), "0000")</f>
        <v>5187</v>
      </c>
      <c r="L5187" s="8"/>
    </row>
    <row r="5188" customFormat="false" ht="15.75" hidden="false" customHeight="true" outlineLevel="0" collapsed="false">
      <c r="A5188" s="7"/>
      <c r="B5188" s="8"/>
      <c r="C5188" s="9"/>
      <c r="D5188" s="8"/>
      <c r="E5188" s="10"/>
      <c r="F5188" s="8"/>
      <c r="G5188" s="8"/>
      <c r="H5188" s="8"/>
      <c r="I5188" s="7"/>
      <c r="J5188" s="8" t="e">
        <f aca="false">VLOOKUP(B5188, Table3[#All], 2, FALSE())</f>
        <v>#N/A</v>
      </c>
      <c r="K5188" s="8" t="str">
        <f aca="false">TEXT(ROW(), "0000")</f>
        <v>5188</v>
      </c>
      <c r="L5188" s="8"/>
    </row>
    <row r="5189" customFormat="false" ht="15.75" hidden="false" customHeight="true" outlineLevel="0" collapsed="false">
      <c r="A5189" s="7"/>
      <c r="B5189" s="8"/>
      <c r="C5189" s="9"/>
      <c r="D5189" s="8"/>
      <c r="E5189" s="10"/>
      <c r="F5189" s="8"/>
      <c r="G5189" s="8"/>
      <c r="H5189" s="8"/>
      <c r="I5189" s="7"/>
      <c r="J5189" s="8" t="e">
        <f aca="false">VLOOKUP(B5189, Table3[#All], 2, FALSE())</f>
        <v>#N/A</v>
      </c>
      <c r="K5189" s="8" t="str">
        <f aca="false">TEXT(ROW(), "0000")</f>
        <v>5189</v>
      </c>
      <c r="L5189" s="8"/>
    </row>
    <row r="5190" customFormat="false" ht="15.75" hidden="false" customHeight="true" outlineLevel="0" collapsed="false">
      <c r="A5190" s="7"/>
      <c r="B5190" s="8"/>
      <c r="C5190" s="9"/>
      <c r="D5190" s="8"/>
      <c r="E5190" s="10"/>
      <c r="F5190" s="8"/>
      <c r="G5190" s="8"/>
      <c r="H5190" s="8"/>
      <c r="I5190" s="7"/>
      <c r="J5190" s="8" t="e">
        <f aca="false">VLOOKUP(B5190, Table3[#All], 2, FALSE())</f>
        <v>#N/A</v>
      </c>
      <c r="K5190" s="8" t="str">
        <f aca="false">TEXT(ROW(), "0000")</f>
        <v>5190</v>
      </c>
      <c r="L5190" s="8"/>
    </row>
    <row r="5191" customFormat="false" ht="15.75" hidden="false" customHeight="true" outlineLevel="0" collapsed="false">
      <c r="A5191" s="7"/>
      <c r="B5191" s="8"/>
      <c r="C5191" s="9"/>
      <c r="D5191" s="8"/>
      <c r="E5191" s="10"/>
      <c r="F5191" s="8"/>
      <c r="G5191" s="8"/>
      <c r="H5191" s="8"/>
      <c r="I5191" s="7"/>
      <c r="J5191" s="8" t="e">
        <f aca="false">VLOOKUP(B5191, Table3[#All], 2, FALSE())</f>
        <v>#N/A</v>
      </c>
      <c r="K5191" s="8" t="str">
        <f aca="false">TEXT(ROW(), "0000")</f>
        <v>5191</v>
      </c>
      <c r="L5191" s="8"/>
    </row>
    <row r="5192" customFormat="false" ht="15.75" hidden="false" customHeight="true" outlineLevel="0" collapsed="false">
      <c r="A5192" s="7"/>
      <c r="B5192" s="8"/>
      <c r="C5192" s="9"/>
      <c r="D5192" s="8"/>
      <c r="E5192" s="10"/>
      <c r="F5192" s="8"/>
      <c r="G5192" s="8"/>
      <c r="H5192" s="8"/>
      <c r="I5192" s="7"/>
      <c r="J5192" s="8" t="e">
        <f aca="false">VLOOKUP(B5192, Table3[#All], 2, FALSE())</f>
        <v>#N/A</v>
      </c>
      <c r="K5192" s="8" t="str">
        <f aca="false">TEXT(ROW(), "0000")</f>
        <v>5192</v>
      </c>
      <c r="L5192" s="8"/>
    </row>
    <row r="5193" customFormat="false" ht="15.75" hidden="false" customHeight="true" outlineLevel="0" collapsed="false">
      <c r="A5193" s="7"/>
      <c r="B5193" s="8"/>
      <c r="C5193" s="9"/>
      <c r="D5193" s="8"/>
      <c r="E5193" s="10"/>
      <c r="F5193" s="8"/>
      <c r="G5193" s="8"/>
      <c r="H5193" s="8"/>
      <c r="I5193" s="7"/>
      <c r="J5193" s="8" t="e">
        <f aca="false">VLOOKUP(B5193, Table3[#All], 2, FALSE())</f>
        <v>#N/A</v>
      </c>
      <c r="K5193" s="8" t="str">
        <f aca="false">TEXT(ROW(), "0000")</f>
        <v>5193</v>
      </c>
      <c r="L5193" s="8"/>
    </row>
    <row r="5194" customFormat="false" ht="15.75" hidden="false" customHeight="true" outlineLevel="0" collapsed="false">
      <c r="A5194" s="7"/>
      <c r="B5194" s="8"/>
      <c r="C5194" s="9"/>
      <c r="D5194" s="8"/>
      <c r="E5194" s="10"/>
      <c r="F5194" s="8"/>
      <c r="G5194" s="8"/>
      <c r="H5194" s="8"/>
      <c r="I5194" s="7"/>
      <c r="J5194" s="8" t="e">
        <f aca="false">VLOOKUP(B5194, Table3[#All], 2, FALSE())</f>
        <v>#N/A</v>
      </c>
      <c r="K5194" s="8" t="str">
        <f aca="false">TEXT(ROW(), "0000")</f>
        <v>5194</v>
      </c>
      <c r="L5194" s="8"/>
    </row>
    <row r="5195" customFormat="false" ht="15.75" hidden="false" customHeight="true" outlineLevel="0" collapsed="false">
      <c r="A5195" s="7"/>
      <c r="B5195" s="8"/>
      <c r="C5195" s="9"/>
      <c r="D5195" s="8"/>
      <c r="E5195" s="10"/>
      <c r="F5195" s="8"/>
      <c r="G5195" s="8"/>
      <c r="H5195" s="8"/>
      <c r="I5195" s="7"/>
      <c r="J5195" s="8" t="e">
        <f aca="false">VLOOKUP(B5195, Table3[#All], 2, FALSE())</f>
        <v>#N/A</v>
      </c>
      <c r="K5195" s="8" t="str">
        <f aca="false">TEXT(ROW(), "0000")</f>
        <v>5195</v>
      </c>
      <c r="L5195" s="8"/>
    </row>
    <row r="5196" customFormat="false" ht="15.75" hidden="false" customHeight="true" outlineLevel="0" collapsed="false">
      <c r="A5196" s="7"/>
      <c r="B5196" s="8"/>
      <c r="C5196" s="9"/>
      <c r="D5196" s="8"/>
      <c r="E5196" s="10"/>
      <c r="F5196" s="8"/>
      <c r="G5196" s="8"/>
      <c r="H5196" s="8"/>
      <c r="I5196" s="7"/>
      <c r="J5196" s="8" t="e">
        <f aca="false">VLOOKUP(B5196, Table3[#All], 2, FALSE())</f>
        <v>#N/A</v>
      </c>
      <c r="K5196" s="8" t="str">
        <f aca="false">TEXT(ROW(), "0000")</f>
        <v>5196</v>
      </c>
      <c r="L5196" s="8"/>
    </row>
    <row r="5197" customFormat="false" ht="15.75" hidden="false" customHeight="true" outlineLevel="0" collapsed="false">
      <c r="A5197" s="7"/>
      <c r="B5197" s="8"/>
      <c r="C5197" s="9"/>
      <c r="D5197" s="8"/>
      <c r="E5197" s="10"/>
      <c r="F5197" s="8"/>
      <c r="G5197" s="8"/>
      <c r="H5197" s="8"/>
      <c r="I5197" s="7"/>
      <c r="J5197" s="8" t="e">
        <f aca="false">VLOOKUP(B5197, Table3[#All], 2, FALSE())</f>
        <v>#N/A</v>
      </c>
      <c r="K5197" s="8" t="str">
        <f aca="false">TEXT(ROW(), "0000")</f>
        <v>5197</v>
      </c>
      <c r="L5197" s="8"/>
    </row>
    <row r="5198" customFormat="false" ht="15.75" hidden="false" customHeight="true" outlineLevel="0" collapsed="false">
      <c r="A5198" s="7"/>
      <c r="B5198" s="8"/>
      <c r="C5198" s="9"/>
      <c r="D5198" s="8"/>
      <c r="E5198" s="10"/>
      <c r="F5198" s="8"/>
      <c r="G5198" s="8"/>
      <c r="H5198" s="8"/>
      <c r="I5198" s="7"/>
      <c r="J5198" s="8" t="e">
        <f aca="false">VLOOKUP(B5198, Table3[#All], 2, FALSE())</f>
        <v>#N/A</v>
      </c>
      <c r="K5198" s="8" t="str">
        <f aca="false">TEXT(ROW(), "0000")</f>
        <v>5198</v>
      </c>
      <c r="L5198" s="8"/>
    </row>
    <row r="5199" customFormat="false" ht="15.75" hidden="false" customHeight="true" outlineLevel="0" collapsed="false">
      <c r="A5199" s="7"/>
      <c r="B5199" s="8"/>
      <c r="C5199" s="9"/>
      <c r="D5199" s="8"/>
      <c r="E5199" s="10"/>
      <c r="F5199" s="8"/>
      <c r="G5199" s="8"/>
      <c r="H5199" s="8"/>
      <c r="I5199" s="7"/>
      <c r="J5199" s="8" t="e">
        <f aca="false">VLOOKUP(B5199, Table3[#All], 2, FALSE())</f>
        <v>#N/A</v>
      </c>
      <c r="K5199" s="8" t="str">
        <f aca="false">TEXT(ROW(), "0000")</f>
        <v>5199</v>
      </c>
      <c r="L5199" s="8"/>
    </row>
    <row r="5200" customFormat="false" ht="15.75" hidden="false" customHeight="true" outlineLevel="0" collapsed="false">
      <c r="A5200" s="7"/>
      <c r="B5200" s="8"/>
      <c r="C5200" s="9"/>
      <c r="D5200" s="8"/>
      <c r="E5200" s="10"/>
      <c r="F5200" s="8"/>
      <c r="G5200" s="8"/>
      <c r="H5200" s="8"/>
      <c r="I5200" s="7"/>
      <c r="J5200" s="8" t="e">
        <f aca="false">VLOOKUP(B5200, Table3[#All], 2, FALSE())</f>
        <v>#N/A</v>
      </c>
      <c r="K5200" s="8" t="str">
        <f aca="false">TEXT(ROW(), "0000")</f>
        <v>5200</v>
      </c>
      <c r="L5200" s="8"/>
    </row>
    <row r="5201" customFormat="false" ht="15.75" hidden="false" customHeight="true" outlineLevel="0" collapsed="false">
      <c r="A5201" s="7"/>
      <c r="B5201" s="8"/>
      <c r="C5201" s="9"/>
      <c r="D5201" s="8"/>
      <c r="E5201" s="10"/>
      <c r="F5201" s="8"/>
      <c r="G5201" s="8"/>
      <c r="H5201" s="8"/>
      <c r="I5201" s="7"/>
      <c r="J5201" s="8" t="e">
        <f aca="false">VLOOKUP(B5201, Table3[#All], 2, FALSE())</f>
        <v>#N/A</v>
      </c>
      <c r="K5201" s="8" t="str">
        <f aca="false">TEXT(ROW(), "0000")</f>
        <v>5201</v>
      </c>
      <c r="L5201" s="8"/>
    </row>
    <row r="5202" customFormat="false" ht="15.75" hidden="false" customHeight="true" outlineLevel="0" collapsed="false">
      <c r="A5202" s="7"/>
      <c r="B5202" s="8"/>
      <c r="C5202" s="9"/>
      <c r="D5202" s="8"/>
      <c r="E5202" s="10"/>
      <c r="F5202" s="8"/>
      <c r="G5202" s="8"/>
      <c r="H5202" s="8"/>
      <c r="I5202" s="7"/>
      <c r="J5202" s="8" t="e">
        <f aca="false">VLOOKUP(B5202, Table3[#All], 2, FALSE())</f>
        <v>#N/A</v>
      </c>
      <c r="K5202" s="8" t="str">
        <f aca="false">TEXT(ROW(), "0000")</f>
        <v>5202</v>
      </c>
      <c r="L5202" s="8"/>
    </row>
    <row r="5203" customFormat="false" ht="15.75" hidden="false" customHeight="true" outlineLevel="0" collapsed="false">
      <c r="A5203" s="7"/>
      <c r="B5203" s="8"/>
      <c r="C5203" s="9"/>
      <c r="D5203" s="8"/>
      <c r="E5203" s="10"/>
      <c r="F5203" s="8"/>
      <c r="G5203" s="8"/>
      <c r="H5203" s="8"/>
      <c r="I5203" s="7"/>
      <c r="J5203" s="8" t="e">
        <f aca="false">VLOOKUP(B5203, Table3[#All], 2, FALSE())</f>
        <v>#N/A</v>
      </c>
      <c r="K5203" s="8" t="str">
        <f aca="false">TEXT(ROW(), "0000")</f>
        <v>5203</v>
      </c>
      <c r="L5203" s="8"/>
    </row>
    <row r="5204" customFormat="false" ht="15.75" hidden="false" customHeight="true" outlineLevel="0" collapsed="false">
      <c r="A5204" s="7"/>
      <c r="B5204" s="8"/>
      <c r="C5204" s="9"/>
      <c r="D5204" s="8"/>
      <c r="E5204" s="10"/>
      <c r="F5204" s="8"/>
      <c r="G5204" s="8"/>
      <c r="H5204" s="8"/>
      <c r="I5204" s="7"/>
      <c r="J5204" s="8" t="e">
        <f aca="false">VLOOKUP(B5204, Table3[#All], 2, FALSE())</f>
        <v>#N/A</v>
      </c>
      <c r="K5204" s="8" t="str">
        <f aca="false">TEXT(ROW(), "0000")</f>
        <v>5204</v>
      </c>
      <c r="L5204" s="8"/>
    </row>
    <row r="5205" customFormat="false" ht="15.75" hidden="false" customHeight="true" outlineLevel="0" collapsed="false">
      <c r="A5205" s="7"/>
      <c r="B5205" s="8"/>
      <c r="C5205" s="9"/>
      <c r="D5205" s="8"/>
      <c r="E5205" s="10"/>
      <c r="F5205" s="8"/>
      <c r="G5205" s="8"/>
      <c r="H5205" s="8"/>
      <c r="I5205" s="7"/>
      <c r="J5205" s="8" t="e">
        <f aca="false">VLOOKUP(B5205, Table3[#All], 2, FALSE())</f>
        <v>#N/A</v>
      </c>
      <c r="K5205" s="8" t="str">
        <f aca="false">TEXT(ROW(), "0000")</f>
        <v>5205</v>
      </c>
      <c r="L5205" s="8"/>
    </row>
    <row r="5206" customFormat="false" ht="15.75" hidden="false" customHeight="true" outlineLevel="0" collapsed="false">
      <c r="A5206" s="7"/>
      <c r="B5206" s="8"/>
      <c r="C5206" s="9"/>
      <c r="D5206" s="8"/>
      <c r="E5206" s="10"/>
      <c r="F5206" s="8"/>
      <c r="G5206" s="8"/>
      <c r="H5206" s="8"/>
      <c r="I5206" s="7"/>
      <c r="J5206" s="8" t="e">
        <f aca="false">VLOOKUP(B5206, Table3[#All], 2, FALSE())</f>
        <v>#N/A</v>
      </c>
      <c r="K5206" s="8" t="str">
        <f aca="false">TEXT(ROW(), "0000")</f>
        <v>5206</v>
      </c>
      <c r="L5206" s="8"/>
    </row>
    <row r="5207" customFormat="false" ht="15.75" hidden="false" customHeight="true" outlineLevel="0" collapsed="false">
      <c r="A5207" s="7"/>
      <c r="B5207" s="8"/>
      <c r="C5207" s="9"/>
      <c r="D5207" s="8"/>
      <c r="E5207" s="10"/>
      <c r="F5207" s="8"/>
      <c r="G5207" s="8"/>
      <c r="H5207" s="8"/>
      <c r="I5207" s="7"/>
      <c r="J5207" s="8" t="e">
        <f aca="false">VLOOKUP(B5207, Table3[#All], 2, FALSE())</f>
        <v>#N/A</v>
      </c>
      <c r="K5207" s="8" t="str">
        <f aca="false">TEXT(ROW(), "0000")</f>
        <v>5207</v>
      </c>
      <c r="L5207" s="8"/>
    </row>
    <row r="5208" customFormat="false" ht="15.75" hidden="false" customHeight="true" outlineLevel="0" collapsed="false">
      <c r="A5208" s="7"/>
      <c r="B5208" s="8"/>
      <c r="C5208" s="9"/>
      <c r="D5208" s="8"/>
      <c r="E5208" s="10"/>
      <c r="F5208" s="8"/>
      <c r="G5208" s="8"/>
      <c r="H5208" s="8"/>
      <c r="I5208" s="7"/>
      <c r="J5208" s="8" t="e">
        <f aca="false">VLOOKUP(B5208, Table3[#All], 2, FALSE())</f>
        <v>#N/A</v>
      </c>
      <c r="K5208" s="8" t="str">
        <f aca="false">TEXT(ROW(), "0000")</f>
        <v>5208</v>
      </c>
      <c r="L5208" s="8"/>
    </row>
    <row r="5209" customFormat="false" ht="15.75" hidden="false" customHeight="true" outlineLevel="0" collapsed="false">
      <c r="A5209" s="7"/>
      <c r="B5209" s="8"/>
      <c r="C5209" s="9"/>
      <c r="D5209" s="8"/>
      <c r="E5209" s="10"/>
      <c r="F5209" s="8"/>
      <c r="G5209" s="8"/>
      <c r="H5209" s="8"/>
      <c r="I5209" s="7"/>
      <c r="J5209" s="8" t="e">
        <f aca="false">VLOOKUP(B5209, Table3[#All], 2, FALSE())</f>
        <v>#N/A</v>
      </c>
      <c r="K5209" s="8" t="str">
        <f aca="false">TEXT(ROW(), "0000")</f>
        <v>5209</v>
      </c>
      <c r="L5209" s="8"/>
    </row>
    <row r="5210" customFormat="false" ht="15.75" hidden="false" customHeight="true" outlineLevel="0" collapsed="false">
      <c r="A5210" s="7"/>
      <c r="B5210" s="8"/>
      <c r="C5210" s="9"/>
      <c r="D5210" s="8"/>
      <c r="E5210" s="10"/>
      <c r="F5210" s="8"/>
      <c r="G5210" s="8"/>
      <c r="H5210" s="8"/>
      <c r="I5210" s="7"/>
      <c r="J5210" s="8" t="e">
        <f aca="false">VLOOKUP(B5210, Table3[#All], 2, FALSE())</f>
        <v>#N/A</v>
      </c>
      <c r="K5210" s="8" t="str">
        <f aca="false">TEXT(ROW(), "0000")</f>
        <v>5210</v>
      </c>
      <c r="L5210" s="8"/>
    </row>
    <row r="5211" customFormat="false" ht="15.75" hidden="false" customHeight="true" outlineLevel="0" collapsed="false">
      <c r="A5211" s="7"/>
      <c r="B5211" s="8"/>
      <c r="C5211" s="9"/>
      <c r="D5211" s="8"/>
      <c r="E5211" s="10"/>
      <c r="F5211" s="8"/>
      <c r="G5211" s="8"/>
      <c r="H5211" s="8"/>
      <c r="I5211" s="7"/>
      <c r="J5211" s="8" t="e">
        <f aca="false">VLOOKUP(B5211, Table3[#All], 2, FALSE())</f>
        <v>#N/A</v>
      </c>
      <c r="K5211" s="8" t="str">
        <f aca="false">TEXT(ROW(), "0000")</f>
        <v>5211</v>
      </c>
      <c r="L5211" s="8"/>
    </row>
    <row r="5212" customFormat="false" ht="15.75" hidden="false" customHeight="true" outlineLevel="0" collapsed="false">
      <c r="A5212" s="7"/>
      <c r="B5212" s="8"/>
      <c r="C5212" s="9"/>
      <c r="D5212" s="8"/>
      <c r="E5212" s="10"/>
      <c r="F5212" s="8"/>
      <c r="G5212" s="8"/>
      <c r="H5212" s="8"/>
      <c r="I5212" s="7"/>
      <c r="J5212" s="8" t="e">
        <f aca="false">VLOOKUP(B5212, Table3[#All], 2, FALSE())</f>
        <v>#N/A</v>
      </c>
      <c r="K5212" s="8" t="str">
        <f aca="false">TEXT(ROW(), "0000")</f>
        <v>5212</v>
      </c>
      <c r="L5212" s="8"/>
    </row>
    <row r="5213" customFormat="false" ht="15.75" hidden="false" customHeight="true" outlineLevel="0" collapsed="false">
      <c r="A5213" s="7"/>
      <c r="B5213" s="8"/>
      <c r="C5213" s="9"/>
      <c r="D5213" s="8"/>
      <c r="E5213" s="10"/>
      <c r="F5213" s="8"/>
      <c r="G5213" s="8"/>
      <c r="H5213" s="8"/>
      <c r="I5213" s="7"/>
      <c r="J5213" s="8" t="e">
        <f aca="false">VLOOKUP(B5213, Table3[#All], 2, FALSE())</f>
        <v>#N/A</v>
      </c>
      <c r="K5213" s="8" t="str">
        <f aca="false">TEXT(ROW(), "0000")</f>
        <v>5213</v>
      </c>
      <c r="L5213" s="8"/>
    </row>
    <row r="5214" customFormat="false" ht="15.75" hidden="false" customHeight="true" outlineLevel="0" collapsed="false">
      <c r="A5214" s="7"/>
      <c r="B5214" s="8"/>
      <c r="C5214" s="9"/>
      <c r="D5214" s="8"/>
      <c r="E5214" s="10"/>
      <c r="F5214" s="8"/>
      <c r="G5214" s="8"/>
      <c r="H5214" s="8"/>
      <c r="I5214" s="7"/>
      <c r="J5214" s="8" t="e">
        <f aca="false">VLOOKUP(B5214, Table3[#All], 2, FALSE())</f>
        <v>#N/A</v>
      </c>
      <c r="K5214" s="8" t="str">
        <f aca="false">TEXT(ROW(), "0000")</f>
        <v>5214</v>
      </c>
      <c r="L5214" s="8"/>
    </row>
    <row r="5215" customFormat="false" ht="15.75" hidden="false" customHeight="true" outlineLevel="0" collapsed="false">
      <c r="A5215" s="7"/>
      <c r="B5215" s="8"/>
      <c r="C5215" s="9"/>
      <c r="D5215" s="8"/>
      <c r="E5215" s="10"/>
      <c r="F5215" s="8"/>
      <c r="G5215" s="8"/>
      <c r="H5215" s="8"/>
      <c r="I5215" s="7"/>
      <c r="J5215" s="8" t="e">
        <f aca="false">VLOOKUP(B5215, Table3[#All], 2, FALSE())</f>
        <v>#N/A</v>
      </c>
      <c r="K5215" s="8" t="str">
        <f aca="false">TEXT(ROW(), "0000")</f>
        <v>5215</v>
      </c>
      <c r="L5215" s="8"/>
    </row>
    <row r="5216" customFormat="false" ht="15.75" hidden="false" customHeight="true" outlineLevel="0" collapsed="false">
      <c r="A5216" s="7"/>
      <c r="B5216" s="8"/>
      <c r="C5216" s="9"/>
      <c r="D5216" s="8"/>
      <c r="E5216" s="10"/>
      <c r="F5216" s="8"/>
      <c r="G5216" s="8"/>
      <c r="H5216" s="8"/>
      <c r="I5216" s="7"/>
      <c r="J5216" s="8" t="e">
        <f aca="false">VLOOKUP(B5216, Table3[#All], 2, FALSE())</f>
        <v>#N/A</v>
      </c>
      <c r="K5216" s="8" t="str">
        <f aca="false">TEXT(ROW(), "0000")</f>
        <v>5216</v>
      </c>
      <c r="L5216" s="8"/>
    </row>
    <row r="5217" customFormat="false" ht="15.75" hidden="false" customHeight="true" outlineLevel="0" collapsed="false">
      <c r="A5217" s="7"/>
      <c r="B5217" s="8"/>
      <c r="C5217" s="9"/>
      <c r="D5217" s="8"/>
      <c r="E5217" s="10"/>
      <c r="F5217" s="8"/>
      <c r="G5217" s="8"/>
      <c r="H5217" s="8"/>
      <c r="I5217" s="7"/>
      <c r="J5217" s="8" t="e">
        <f aca="false">VLOOKUP(B5217, Table3[#All], 2, FALSE())</f>
        <v>#N/A</v>
      </c>
      <c r="K5217" s="8" t="str">
        <f aca="false">TEXT(ROW(), "0000")</f>
        <v>5217</v>
      </c>
      <c r="L5217" s="8"/>
    </row>
    <row r="5218" customFormat="false" ht="15.75" hidden="false" customHeight="true" outlineLevel="0" collapsed="false">
      <c r="A5218" s="7"/>
      <c r="B5218" s="8"/>
      <c r="C5218" s="9"/>
      <c r="D5218" s="8"/>
      <c r="E5218" s="10"/>
      <c r="F5218" s="8"/>
      <c r="G5218" s="8"/>
      <c r="H5218" s="8"/>
      <c r="I5218" s="7"/>
      <c r="J5218" s="8" t="e">
        <f aca="false">VLOOKUP(B5218, Table3[#All], 2, FALSE())</f>
        <v>#N/A</v>
      </c>
      <c r="K5218" s="8" t="str">
        <f aca="false">TEXT(ROW(), "0000")</f>
        <v>5218</v>
      </c>
      <c r="L5218" s="8"/>
    </row>
    <row r="5219" customFormat="false" ht="15.75" hidden="false" customHeight="true" outlineLevel="0" collapsed="false">
      <c r="A5219" s="7"/>
      <c r="B5219" s="8"/>
      <c r="C5219" s="9"/>
      <c r="D5219" s="8"/>
      <c r="E5219" s="10"/>
      <c r="F5219" s="8"/>
      <c r="G5219" s="8"/>
      <c r="H5219" s="8"/>
      <c r="I5219" s="7"/>
      <c r="J5219" s="8" t="e">
        <f aca="false">VLOOKUP(B5219, Table3[#All], 2, FALSE())</f>
        <v>#N/A</v>
      </c>
      <c r="K5219" s="8" t="str">
        <f aca="false">TEXT(ROW(), "0000")</f>
        <v>5219</v>
      </c>
      <c r="L5219" s="8"/>
    </row>
    <row r="5220" customFormat="false" ht="15.75" hidden="false" customHeight="true" outlineLevel="0" collapsed="false">
      <c r="A5220" s="7"/>
      <c r="B5220" s="8"/>
      <c r="C5220" s="9"/>
      <c r="D5220" s="8"/>
      <c r="E5220" s="10"/>
      <c r="F5220" s="8"/>
      <c r="G5220" s="8"/>
      <c r="H5220" s="8"/>
      <c r="I5220" s="7"/>
      <c r="J5220" s="8" t="e">
        <f aca="false">VLOOKUP(B5220, Table3[#All], 2, FALSE())</f>
        <v>#N/A</v>
      </c>
      <c r="K5220" s="8" t="str">
        <f aca="false">TEXT(ROW(), "0000")</f>
        <v>5220</v>
      </c>
      <c r="L5220" s="8"/>
    </row>
    <row r="5221" customFormat="false" ht="15.75" hidden="false" customHeight="true" outlineLevel="0" collapsed="false">
      <c r="A5221" s="7"/>
      <c r="B5221" s="8"/>
      <c r="C5221" s="9"/>
      <c r="D5221" s="8"/>
      <c r="E5221" s="10"/>
      <c r="F5221" s="8"/>
      <c r="G5221" s="8"/>
      <c r="H5221" s="8"/>
      <c r="I5221" s="7"/>
      <c r="J5221" s="8" t="e">
        <f aca="false">VLOOKUP(B5221, Table3[#All], 2, FALSE())</f>
        <v>#N/A</v>
      </c>
      <c r="K5221" s="8" t="str">
        <f aca="false">TEXT(ROW(), "0000")</f>
        <v>5221</v>
      </c>
      <c r="L5221" s="8"/>
    </row>
    <row r="5222" customFormat="false" ht="15.75" hidden="false" customHeight="true" outlineLevel="0" collapsed="false">
      <c r="A5222" s="7"/>
      <c r="B5222" s="8"/>
      <c r="C5222" s="9"/>
      <c r="D5222" s="8"/>
      <c r="E5222" s="10"/>
      <c r="F5222" s="8"/>
      <c r="G5222" s="8"/>
      <c r="H5222" s="8"/>
      <c r="I5222" s="7"/>
      <c r="J5222" s="8" t="e">
        <f aca="false">VLOOKUP(B5222, Table3[#All], 2, FALSE())</f>
        <v>#N/A</v>
      </c>
      <c r="K5222" s="8" t="str">
        <f aca="false">TEXT(ROW(), "0000")</f>
        <v>5222</v>
      </c>
      <c r="L5222" s="8"/>
    </row>
    <row r="5223" customFormat="false" ht="15.75" hidden="false" customHeight="true" outlineLevel="0" collapsed="false">
      <c r="A5223" s="7"/>
      <c r="B5223" s="8"/>
      <c r="C5223" s="9"/>
      <c r="D5223" s="8"/>
      <c r="E5223" s="10"/>
      <c r="F5223" s="8"/>
      <c r="G5223" s="8"/>
      <c r="H5223" s="8"/>
      <c r="I5223" s="7"/>
      <c r="J5223" s="8" t="e">
        <f aca="false">VLOOKUP(B5223, Table3[#All], 2, FALSE())</f>
        <v>#N/A</v>
      </c>
      <c r="K5223" s="8" t="str">
        <f aca="false">TEXT(ROW(), "0000")</f>
        <v>5223</v>
      </c>
      <c r="L5223" s="8"/>
    </row>
    <row r="5224" customFormat="false" ht="15.75" hidden="false" customHeight="true" outlineLevel="0" collapsed="false">
      <c r="A5224" s="7"/>
      <c r="B5224" s="8"/>
      <c r="C5224" s="9"/>
      <c r="D5224" s="8"/>
      <c r="E5224" s="10"/>
      <c r="F5224" s="8"/>
      <c r="G5224" s="8"/>
      <c r="H5224" s="8"/>
      <c r="I5224" s="7"/>
      <c r="J5224" s="8" t="e">
        <f aca="false">VLOOKUP(B5224, Table3[#All], 2, FALSE())</f>
        <v>#N/A</v>
      </c>
      <c r="K5224" s="8" t="str">
        <f aca="false">TEXT(ROW(), "0000")</f>
        <v>5224</v>
      </c>
      <c r="L5224" s="8"/>
    </row>
    <row r="5225" customFormat="false" ht="15.75" hidden="false" customHeight="true" outlineLevel="0" collapsed="false">
      <c r="A5225" s="7"/>
      <c r="B5225" s="8"/>
      <c r="C5225" s="9"/>
      <c r="D5225" s="8"/>
      <c r="E5225" s="10"/>
      <c r="F5225" s="8"/>
      <c r="G5225" s="8"/>
      <c r="H5225" s="8"/>
      <c r="I5225" s="7"/>
      <c r="J5225" s="8" t="e">
        <f aca="false">VLOOKUP(B5225, Table3[#All], 2, FALSE())</f>
        <v>#N/A</v>
      </c>
      <c r="K5225" s="8" t="str">
        <f aca="false">TEXT(ROW(), "0000")</f>
        <v>5225</v>
      </c>
      <c r="L5225" s="8"/>
    </row>
    <row r="5226" customFormat="false" ht="15.75" hidden="false" customHeight="true" outlineLevel="0" collapsed="false">
      <c r="A5226" s="7"/>
      <c r="B5226" s="8"/>
      <c r="C5226" s="9"/>
      <c r="D5226" s="8"/>
      <c r="E5226" s="10"/>
      <c r="F5226" s="8"/>
      <c r="G5226" s="8"/>
      <c r="H5226" s="8"/>
      <c r="I5226" s="7"/>
      <c r="J5226" s="8" t="e">
        <f aca="false">VLOOKUP(B5226, Table3[#All], 2, FALSE())</f>
        <v>#N/A</v>
      </c>
      <c r="K5226" s="8" t="str">
        <f aca="false">TEXT(ROW(), "0000")</f>
        <v>5226</v>
      </c>
      <c r="L5226" s="8"/>
    </row>
    <row r="5227" customFormat="false" ht="15.75" hidden="false" customHeight="true" outlineLevel="0" collapsed="false">
      <c r="A5227" s="7"/>
      <c r="B5227" s="8"/>
      <c r="C5227" s="9"/>
      <c r="D5227" s="8"/>
      <c r="E5227" s="10"/>
      <c r="F5227" s="8"/>
      <c r="G5227" s="8"/>
      <c r="H5227" s="8"/>
      <c r="I5227" s="7"/>
      <c r="J5227" s="8" t="e">
        <f aca="false">VLOOKUP(B5227, Table3[#All], 2, FALSE())</f>
        <v>#N/A</v>
      </c>
      <c r="K5227" s="8" t="str">
        <f aca="false">TEXT(ROW(), "0000")</f>
        <v>5227</v>
      </c>
      <c r="L5227" s="8"/>
    </row>
    <row r="5228" customFormat="false" ht="15.75" hidden="false" customHeight="true" outlineLevel="0" collapsed="false">
      <c r="A5228" s="7"/>
      <c r="B5228" s="8"/>
      <c r="C5228" s="9"/>
      <c r="D5228" s="8"/>
      <c r="E5228" s="10"/>
      <c r="F5228" s="8"/>
      <c r="G5228" s="8"/>
      <c r="H5228" s="8"/>
      <c r="I5228" s="7"/>
      <c r="J5228" s="8" t="e">
        <f aca="false">VLOOKUP(B5228, Table3[#All], 2, FALSE())</f>
        <v>#N/A</v>
      </c>
      <c r="K5228" s="8" t="str">
        <f aca="false">TEXT(ROW(), "0000")</f>
        <v>5228</v>
      </c>
      <c r="L5228" s="8"/>
    </row>
    <row r="5229" customFormat="false" ht="15.75" hidden="false" customHeight="true" outlineLevel="0" collapsed="false">
      <c r="A5229" s="7"/>
      <c r="B5229" s="8"/>
      <c r="C5229" s="9"/>
      <c r="D5229" s="8"/>
      <c r="E5229" s="10"/>
      <c r="F5229" s="8"/>
      <c r="G5229" s="8"/>
      <c r="H5229" s="8"/>
      <c r="I5229" s="7"/>
      <c r="J5229" s="8" t="e">
        <f aca="false">VLOOKUP(B5229, Table3[#All], 2, FALSE())</f>
        <v>#N/A</v>
      </c>
      <c r="K5229" s="8" t="str">
        <f aca="false">TEXT(ROW(), "0000")</f>
        <v>5229</v>
      </c>
      <c r="L5229" s="8"/>
    </row>
    <row r="5230" customFormat="false" ht="15.75" hidden="false" customHeight="true" outlineLevel="0" collapsed="false">
      <c r="A5230" s="7"/>
      <c r="B5230" s="8"/>
      <c r="C5230" s="9"/>
      <c r="D5230" s="8"/>
      <c r="E5230" s="10"/>
      <c r="F5230" s="8"/>
      <c r="G5230" s="8"/>
      <c r="H5230" s="8"/>
      <c r="I5230" s="7"/>
      <c r="J5230" s="8" t="e">
        <f aca="false">VLOOKUP(B5230, Table3[#All], 2, FALSE())</f>
        <v>#N/A</v>
      </c>
      <c r="K5230" s="8" t="str">
        <f aca="false">TEXT(ROW(), "0000")</f>
        <v>5230</v>
      </c>
      <c r="L5230" s="8"/>
    </row>
    <row r="5231" customFormat="false" ht="15.75" hidden="false" customHeight="true" outlineLevel="0" collapsed="false">
      <c r="A5231" s="7"/>
      <c r="B5231" s="8"/>
      <c r="C5231" s="9"/>
      <c r="D5231" s="8"/>
      <c r="E5231" s="10"/>
      <c r="F5231" s="8"/>
      <c r="G5231" s="8"/>
      <c r="H5231" s="8"/>
      <c r="I5231" s="7"/>
      <c r="J5231" s="8" t="e">
        <f aca="false">VLOOKUP(B5231, Table3[#All], 2, FALSE())</f>
        <v>#N/A</v>
      </c>
      <c r="K5231" s="8" t="str">
        <f aca="false">TEXT(ROW(), "0000")</f>
        <v>5231</v>
      </c>
      <c r="L5231" s="8"/>
    </row>
    <row r="5232" customFormat="false" ht="15.75" hidden="false" customHeight="true" outlineLevel="0" collapsed="false">
      <c r="A5232" s="7"/>
      <c r="B5232" s="8"/>
      <c r="C5232" s="9"/>
      <c r="D5232" s="8"/>
      <c r="E5232" s="10"/>
      <c r="F5232" s="8"/>
      <c r="G5232" s="8"/>
      <c r="H5232" s="8"/>
      <c r="I5232" s="7"/>
      <c r="J5232" s="8" t="e">
        <f aca="false">VLOOKUP(B5232, Table3[#All], 2, FALSE())</f>
        <v>#N/A</v>
      </c>
      <c r="K5232" s="8" t="str">
        <f aca="false">TEXT(ROW(), "0000")</f>
        <v>5232</v>
      </c>
      <c r="L5232" s="8"/>
    </row>
    <row r="5233" customFormat="false" ht="15.75" hidden="false" customHeight="true" outlineLevel="0" collapsed="false">
      <c r="A5233" s="7"/>
      <c r="B5233" s="8"/>
      <c r="C5233" s="9"/>
      <c r="D5233" s="8"/>
      <c r="E5233" s="10"/>
      <c r="F5233" s="8"/>
      <c r="G5233" s="8"/>
      <c r="H5233" s="8"/>
      <c r="I5233" s="7"/>
      <c r="J5233" s="8" t="e">
        <f aca="false">VLOOKUP(B5233, Table3[#All], 2, FALSE())</f>
        <v>#N/A</v>
      </c>
      <c r="K5233" s="8" t="str">
        <f aca="false">TEXT(ROW(), "0000")</f>
        <v>5233</v>
      </c>
      <c r="L5233" s="8"/>
    </row>
    <row r="5234" customFormat="false" ht="15.75" hidden="false" customHeight="true" outlineLevel="0" collapsed="false">
      <c r="A5234" s="7"/>
      <c r="B5234" s="8"/>
      <c r="C5234" s="9"/>
      <c r="D5234" s="8"/>
      <c r="E5234" s="10"/>
      <c r="F5234" s="8"/>
      <c r="G5234" s="8"/>
      <c r="H5234" s="8"/>
      <c r="I5234" s="7"/>
      <c r="J5234" s="8" t="e">
        <f aca="false">VLOOKUP(B5234, Table3[#All], 2, FALSE())</f>
        <v>#N/A</v>
      </c>
      <c r="K5234" s="8" t="str">
        <f aca="false">TEXT(ROW(), "0000")</f>
        <v>5234</v>
      </c>
      <c r="L5234" s="8"/>
    </row>
    <row r="5235" customFormat="false" ht="15.75" hidden="false" customHeight="true" outlineLevel="0" collapsed="false">
      <c r="A5235" s="7"/>
      <c r="B5235" s="8"/>
      <c r="C5235" s="9"/>
      <c r="D5235" s="8"/>
      <c r="E5235" s="10"/>
      <c r="F5235" s="8"/>
      <c r="G5235" s="8"/>
      <c r="H5235" s="8"/>
      <c r="I5235" s="7"/>
      <c r="J5235" s="8" t="e">
        <f aca="false">VLOOKUP(B5235, Table3[#All], 2, FALSE())</f>
        <v>#N/A</v>
      </c>
      <c r="K5235" s="8" t="str">
        <f aca="false">TEXT(ROW(), "0000")</f>
        <v>5235</v>
      </c>
      <c r="L5235" s="8"/>
    </row>
    <row r="5236" customFormat="false" ht="15.75" hidden="false" customHeight="true" outlineLevel="0" collapsed="false">
      <c r="A5236" s="7"/>
      <c r="B5236" s="8"/>
      <c r="C5236" s="9"/>
      <c r="D5236" s="8"/>
      <c r="E5236" s="10"/>
      <c r="F5236" s="8"/>
      <c r="G5236" s="8"/>
      <c r="H5236" s="8"/>
      <c r="I5236" s="7"/>
      <c r="J5236" s="8" t="e">
        <f aca="false">VLOOKUP(B5236, Table3[#All], 2, FALSE())</f>
        <v>#N/A</v>
      </c>
      <c r="K5236" s="8" t="str">
        <f aca="false">TEXT(ROW(), "0000")</f>
        <v>5236</v>
      </c>
      <c r="L5236" s="8"/>
    </row>
    <row r="5237" customFormat="false" ht="15.75" hidden="false" customHeight="true" outlineLevel="0" collapsed="false">
      <c r="A5237" s="7"/>
      <c r="B5237" s="8"/>
      <c r="C5237" s="9"/>
      <c r="D5237" s="8"/>
      <c r="E5237" s="10"/>
      <c r="F5237" s="8"/>
      <c r="G5237" s="8"/>
      <c r="H5237" s="8"/>
      <c r="I5237" s="7"/>
      <c r="J5237" s="8" t="e">
        <f aca="false">VLOOKUP(B5237, Table3[#All], 2, FALSE())</f>
        <v>#N/A</v>
      </c>
      <c r="K5237" s="8" t="str">
        <f aca="false">TEXT(ROW(), "0000")</f>
        <v>5237</v>
      </c>
      <c r="L5237" s="8"/>
    </row>
    <row r="5238" customFormat="false" ht="15.75" hidden="false" customHeight="true" outlineLevel="0" collapsed="false">
      <c r="A5238" s="7"/>
      <c r="B5238" s="8"/>
      <c r="C5238" s="9"/>
      <c r="D5238" s="8"/>
      <c r="E5238" s="10"/>
      <c r="F5238" s="8"/>
      <c r="G5238" s="8"/>
      <c r="H5238" s="8"/>
      <c r="I5238" s="7"/>
      <c r="J5238" s="8" t="e">
        <f aca="false">VLOOKUP(B5238, Table3[#All], 2, FALSE())</f>
        <v>#N/A</v>
      </c>
      <c r="K5238" s="8" t="str">
        <f aca="false">TEXT(ROW(), "0000")</f>
        <v>5238</v>
      </c>
      <c r="L5238" s="8"/>
    </row>
    <row r="5239" customFormat="false" ht="15.75" hidden="false" customHeight="true" outlineLevel="0" collapsed="false">
      <c r="A5239" s="7"/>
      <c r="B5239" s="8"/>
      <c r="C5239" s="9"/>
      <c r="D5239" s="8"/>
      <c r="E5239" s="10"/>
      <c r="F5239" s="8"/>
      <c r="G5239" s="8"/>
      <c r="H5239" s="8"/>
      <c r="I5239" s="7"/>
      <c r="J5239" s="8" t="e">
        <f aca="false">VLOOKUP(B5239, Table3[#All], 2, FALSE())</f>
        <v>#N/A</v>
      </c>
      <c r="K5239" s="8" t="str">
        <f aca="false">TEXT(ROW(), "0000")</f>
        <v>5239</v>
      </c>
      <c r="L5239" s="8"/>
    </row>
    <row r="5240" customFormat="false" ht="15.75" hidden="false" customHeight="true" outlineLevel="0" collapsed="false">
      <c r="A5240" s="7"/>
      <c r="B5240" s="8"/>
      <c r="C5240" s="9"/>
      <c r="D5240" s="8"/>
      <c r="E5240" s="10"/>
      <c r="F5240" s="8"/>
      <c r="G5240" s="8"/>
      <c r="H5240" s="8"/>
      <c r="I5240" s="7"/>
      <c r="J5240" s="8" t="e">
        <f aca="false">VLOOKUP(B5240, Table3[#All], 2, FALSE())</f>
        <v>#N/A</v>
      </c>
      <c r="K5240" s="8" t="str">
        <f aca="false">TEXT(ROW(), "0000")</f>
        <v>5240</v>
      </c>
      <c r="L5240" s="8"/>
    </row>
    <row r="5241" customFormat="false" ht="15.75" hidden="false" customHeight="true" outlineLevel="0" collapsed="false">
      <c r="A5241" s="7"/>
      <c r="B5241" s="8"/>
      <c r="C5241" s="9"/>
      <c r="D5241" s="8"/>
      <c r="E5241" s="10"/>
      <c r="F5241" s="8"/>
      <c r="G5241" s="8"/>
      <c r="H5241" s="8"/>
      <c r="I5241" s="7"/>
      <c r="J5241" s="8" t="e">
        <f aca="false">VLOOKUP(B5241, Table3[#All], 2, FALSE())</f>
        <v>#N/A</v>
      </c>
      <c r="K5241" s="8" t="str">
        <f aca="false">TEXT(ROW(), "0000")</f>
        <v>5241</v>
      </c>
      <c r="L5241" s="8"/>
    </row>
    <row r="5242" customFormat="false" ht="15.75" hidden="false" customHeight="true" outlineLevel="0" collapsed="false">
      <c r="A5242" s="7"/>
      <c r="B5242" s="8"/>
      <c r="C5242" s="9"/>
      <c r="D5242" s="8"/>
      <c r="E5242" s="10"/>
      <c r="F5242" s="8"/>
      <c r="G5242" s="8"/>
      <c r="H5242" s="8"/>
      <c r="I5242" s="7"/>
      <c r="J5242" s="8" t="e">
        <f aca="false">VLOOKUP(B5242, Table3[#All], 2, FALSE())</f>
        <v>#N/A</v>
      </c>
      <c r="K5242" s="8" t="str">
        <f aca="false">TEXT(ROW(), "0000")</f>
        <v>5242</v>
      </c>
      <c r="L5242" s="8"/>
    </row>
    <row r="5243" customFormat="false" ht="15.75" hidden="false" customHeight="true" outlineLevel="0" collapsed="false">
      <c r="A5243" s="7"/>
      <c r="B5243" s="8"/>
      <c r="C5243" s="9"/>
      <c r="D5243" s="8"/>
      <c r="E5243" s="10"/>
      <c r="F5243" s="8"/>
      <c r="G5243" s="8"/>
      <c r="H5243" s="8"/>
      <c r="I5243" s="7"/>
      <c r="J5243" s="8" t="e">
        <f aca="false">VLOOKUP(B5243, Table3[#All], 2, FALSE())</f>
        <v>#N/A</v>
      </c>
      <c r="K5243" s="8" t="str">
        <f aca="false">TEXT(ROW(), "0000")</f>
        <v>5243</v>
      </c>
      <c r="L5243" s="8"/>
    </row>
    <row r="5244" customFormat="false" ht="15.75" hidden="false" customHeight="true" outlineLevel="0" collapsed="false">
      <c r="A5244" s="7"/>
      <c r="B5244" s="8"/>
      <c r="C5244" s="9"/>
      <c r="D5244" s="8"/>
      <c r="E5244" s="10"/>
      <c r="F5244" s="8"/>
      <c r="G5244" s="8"/>
      <c r="H5244" s="8"/>
      <c r="I5244" s="7"/>
      <c r="J5244" s="8" t="e">
        <f aca="false">VLOOKUP(B5244, Table3[#All], 2, FALSE())</f>
        <v>#N/A</v>
      </c>
      <c r="K5244" s="8" t="str">
        <f aca="false">TEXT(ROW(), "0000")</f>
        <v>5244</v>
      </c>
      <c r="L5244" s="8"/>
    </row>
    <row r="5245" customFormat="false" ht="15.75" hidden="false" customHeight="true" outlineLevel="0" collapsed="false">
      <c r="A5245" s="7"/>
      <c r="B5245" s="8"/>
      <c r="C5245" s="9"/>
      <c r="D5245" s="8"/>
      <c r="E5245" s="10"/>
      <c r="F5245" s="8"/>
      <c r="G5245" s="8"/>
      <c r="H5245" s="8"/>
      <c r="I5245" s="7"/>
      <c r="J5245" s="8" t="e">
        <f aca="false">VLOOKUP(B5245, Table3[#All], 2, FALSE())</f>
        <v>#N/A</v>
      </c>
      <c r="K5245" s="8" t="str">
        <f aca="false">TEXT(ROW(), "0000")</f>
        <v>5245</v>
      </c>
      <c r="L5245" s="8"/>
    </row>
    <row r="5246" customFormat="false" ht="15.75" hidden="false" customHeight="true" outlineLevel="0" collapsed="false">
      <c r="A5246" s="7"/>
      <c r="B5246" s="8"/>
      <c r="C5246" s="9"/>
      <c r="D5246" s="8"/>
      <c r="E5246" s="10"/>
      <c r="F5246" s="8"/>
      <c r="G5246" s="8"/>
      <c r="H5246" s="8"/>
      <c r="I5246" s="7"/>
      <c r="J5246" s="8" t="e">
        <f aca="false">VLOOKUP(B5246, Table3[#All], 2, FALSE())</f>
        <v>#N/A</v>
      </c>
      <c r="K5246" s="8" t="str">
        <f aca="false">TEXT(ROW(), "0000")</f>
        <v>5246</v>
      </c>
      <c r="L5246" s="8"/>
    </row>
    <row r="5247" customFormat="false" ht="15.75" hidden="false" customHeight="true" outlineLevel="0" collapsed="false">
      <c r="A5247" s="7"/>
      <c r="B5247" s="8"/>
      <c r="C5247" s="9"/>
      <c r="D5247" s="8"/>
      <c r="E5247" s="10"/>
      <c r="F5247" s="8"/>
      <c r="G5247" s="8"/>
      <c r="H5247" s="8"/>
      <c r="I5247" s="7"/>
      <c r="J5247" s="8" t="e">
        <f aca="false">VLOOKUP(B5247, Table3[#All], 2, FALSE())</f>
        <v>#N/A</v>
      </c>
      <c r="K5247" s="8" t="str">
        <f aca="false">TEXT(ROW(), "0000")</f>
        <v>5247</v>
      </c>
      <c r="L5247" s="8"/>
    </row>
    <row r="5248" customFormat="false" ht="15.75" hidden="false" customHeight="true" outlineLevel="0" collapsed="false">
      <c r="A5248" s="7"/>
      <c r="B5248" s="8"/>
      <c r="C5248" s="9"/>
      <c r="D5248" s="8"/>
      <c r="E5248" s="10"/>
      <c r="F5248" s="8"/>
      <c r="G5248" s="8"/>
      <c r="H5248" s="8"/>
      <c r="I5248" s="7"/>
      <c r="J5248" s="8" t="e">
        <f aca="false">VLOOKUP(B5248, Table3[#All], 2, FALSE())</f>
        <v>#N/A</v>
      </c>
      <c r="K5248" s="8" t="str">
        <f aca="false">TEXT(ROW(), "0000")</f>
        <v>5248</v>
      </c>
      <c r="L5248" s="8"/>
    </row>
    <row r="5249" customFormat="false" ht="15.75" hidden="false" customHeight="true" outlineLevel="0" collapsed="false">
      <c r="A5249" s="7"/>
      <c r="B5249" s="8"/>
      <c r="C5249" s="9"/>
      <c r="D5249" s="8"/>
      <c r="E5249" s="10"/>
      <c r="F5249" s="8"/>
      <c r="G5249" s="8"/>
      <c r="H5249" s="8"/>
      <c r="I5249" s="7"/>
      <c r="J5249" s="8" t="e">
        <f aca="false">VLOOKUP(B5249, Table3[#All], 2, FALSE())</f>
        <v>#N/A</v>
      </c>
      <c r="K5249" s="8" t="str">
        <f aca="false">TEXT(ROW(), "0000")</f>
        <v>5249</v>
      </c>
      <c r="L5249" s="8"/>
    </row>
    <row r="5250" customFormat="false" ht="15.75" hidden="false" customHeight="true" outlineLevel="0" collapsed="false">
      <c r="A5250" s="7"/>
      <c r="B5250" s="8"/>
      <c r="C5250" s="9"/>
      <c r="D5250" s="8"/>
      <c r="E5250" s="10"/>
      <c r="F5250" s="8"/>
      <c r="G5250" s="8"/>
      <c r="H5250" s="8"/>
      <c r="I5250" s="7"/>
      <c r="J5250" s="8" t="e">
        <f aca="false">VLOOKUP(B5250, Table3[#All], 2, FALSE())</f>
        <v>#N/A</v>
      </c>
      <c r="K5250" s="8" t="str">
        <f aca="false">TEXT(ROW(), "0000")</f>
        <v>5250</v>
      </c>
      <c r="L5250" s="8"/>
    </row>
    <row r="5251" customFormat="false" ht="15.75" hidden="false" customHeight="true" outlineLevel="0" collapsed="false">
      <c r="A5251" s="7"/>
      <c r="B5251" s="8"/>
      <c r="C5251" s="9"/>
      <c r="D5251" s="8"/>
      <c r="E5251" s="10"/>
      <c r="F5251" s="8"/>
      <c r="G5251" s="8"/>
      <c r="H5251" s="8"/>
      <c r="I5251" s="7"/>
      <c r="J5251" s="8" t="e">
        <f aca="false">VLOOKUP(B5251, Table3[#All], 2, FALSE())</f>
        <v>#N/A</v>
      </c>
      <c r="K5251" s="8" t="str">
        <f aca="false">TEXT(ROW(), "0000")</f>
        <v>5251</v>
      </c>
      <c r="L5251" s="8"/>
    </row>
    <row r="5252" customFormat="false" ht="15.75" hidden="false" customHeight="true" outlineLevel="0" collapsed="false">
      <c r="A5252" s="7"/>
      <c r="B5252" s="8"/>
      <c r="C5252" s="9"/>
      <c r="D5252" s="8"/>
      <c r="E5252" s="10"/>
      <c r="F5252" s="8"/>
      <c r="G5252" s="8"/>
      <c r="H5252" s="8"/>
      <c r="I5252" s="7"/>
      <c r="J5252" s="8" t="e">
        <f aca="false">VLOOKUP(B5252, Table3[#All], 2, FALSE())</f>
        <v>#N/A</v>
      </c>
      <c r="K5252" s="8" t="str">
        <f aca="false">TEXT(ROW(), "0000")</f>
        <v>5252</v>
      </c>
      <c r="L5252" s="8"/>
    </row>
    <row r="5253" customFormat="false" ht="15.75" hidden="false" customHeight="true" outlineLevel="0" collapsed="false">
      <c r="A5253" s="7"/>
      <c r="B5253" s="8"/>
      <c r="C5253" s="9"/>
      <c r="D5253" s="8"/>
      <c r="E5253" s="10"/>
      <c r="F5253" s="8"/>
      <c r="G5253" s="8"/>
      <c r="H5253" s="8"/>
      <c r="I5253" s="7"/>
      <c r="J5253" s="8" t="e">
        <f aca="false">VLOOKUP(B5253, Table3[#All], 2, FALSE())</f>
        <v>#N/A</v>
      </c>
      <c r="K5253" s="8" t="str">
        <f aca="false">TEXT(ROW(), "0000")</f>
        <v>5253</v>
      </c>
      <c r="L5253" s="8"/>
    </row>
    <row r="5254" customFormat="false" ht="15.75" hidden="false" customHeight="true" outlineLevel="0" collapsed="false">
      <c r="A5254" s="7"/>
      <c r="B5254" s="8"/>
      <c r="C5254" s="9"/>
      <c r="D5254" s="8"/>
      <c r="E5254" s="10"/>
      <c r="F5254" s="8"/>
      <c r="G5254" s="8"/>
      <c r="H5254" s="8"/>
      <c r="I5254" s="7"/>
      <c r="J5254" s="8" t="e">
        <f aca="false">VLOOKUP(B5254, Table3[#All], 2, FALSE())</f>
        <v>#N/A</v>
      </c>
      <c r="K5254" s="8" t="str">
        <f aca="false">TEXT(ROW(), "0000")</f>
        <v>5254</v>
      </c>
      <c r="L5254" s="8"/>
    </row>
    <row r="5255" customFormat="false" ht="15.75" hidden="false" customHeight="true" outlineLevel="0" collapsed="false">
      <c r="A5255" s="7"/>
      <c r="B5255" s="8"/>
      <c r="C5255" s="9"/>
      <c r="D5255" s="8"/>
      <c r="E5255" s="10"/>
      <c r="F5255" s="8"/>
      <c r="G5255" s="8"/>
      <c r="H5255" s="8"/>
      <c r="I5255" s="7"/>
      <c r="J5255" s="8" t="e">
        <f aca="false">VLOOKUP(B5255, Table3[#All], 2, FALSE())</f>
        <v>#N/A</v>
      </c>
      <c r="K5255" s="8" t="str">
        <f aca="false">TEXT(ROW(), "0000")</f>
        <v>5255</v>
      </c>
      <c r="L5255" s="8"/>
    </row>
    <row r="5256" customFormat="false" ht="15.75" hidden="false" customHeight="true" outlineLevel="0" collapsed="false">
      <c r="A5256" s="7"/>
      <c r="B5256" s="8"/>
      <c r="C5256" s="9"/>
      <c r="D5256" s="8"/>
      <c r="E5256" s="10"/>
      <c r="F5256" s="8"/>
      <c r="G5256" s="8"/>
      <c r="H5256" s="8"/>
      <c r="I5256" s="7"/>
      <c r="J5256" s="8" t="e">
        <f aca="false">VLOOKUP(B5256, Table3[#All], 2, FALSE())</f>
        <v>#N/A</v>
      </c>
      <c r="K5256" s="8" t="str">
        <f aca="false">TEXT(ROW(), "0000")</f>
        <v>5256</v>
      </c>
      <c r="L5256" s="8"/>
    </row>
    <row r="5257" customFormat="false" ht="15.75" hidden="false" customHeight="true" outlineLevel="0" collapsed="false">
      <c r="A5257" s="7"/>
      <c r="B5257" s="8"/>
      <c r="C5257" s="9"/>
      <c r="D5257" s="8"/>
      <c r="E5257" s="10"/>
      <c r="F5257" s="8"/>
      <c r="G5257" s="8"/>
      <c r="H5257" s="8"/>
      <c r="I5257" s="7"/>
      <c r="J5257" s="8" t="e">
        <f aca="false">VLOOKUP(B5257, Table3[#All], 2, FALSE())</f>
        <v>#N/A</v>
      </c>
      <c r="K5257" s="8" t="str">
        <f aca="false">TEXT(ROW(), "0000")</f>
        <v>5257</v>
      </c>
      <c r="L5257" s="8"/>
    </row>
    <row r="5258" customFormat="false" ht="15.75" hidden="false" customHeight="true" outlineLevel="0" collapsed="false">
      <c r="A5258" s="7"/>
      <c r="B5258" s="8"/>
      <c r="C5258" s="9"/>
      <c r="D5258" s="8"/>
      <c r="E5258" s="10"/>
      <c r="F5258" s="8"/>
      <c r="G5258" s="8"/>
      <c r="H5258" s="8"/>
      <c r="I5258" s="7"/>
      <c r="J5258" s="8" t="e">
        <f aca="false">VLOOKUP(B5258, Table3[#All], 2, FALSE())</f>
        <v>#N/A</v>
      </c>
      <c r="K5258" s="8" t="str">
        <f aca="false">TEXT(ROW(), "0000")</f>
        <v>5258</v>
      </c>
      <c r="L5258" s="8"/>
    </row>
    <row r="5259" customFormat="false" ht="15.75" hidden="false" customHeight="true" outlineLevel="0" collapsed="false">
      <c r="A5259" s="7"/>
      <c r="B5259" s="8"/>
      <c r="C5259" s="9"/>
      <c r="D5259" s="8"/>
      <c r="E5259" s="10"/>
      <c r="F5259" s="8"/>
      <c r="G5259" s="8"/>
      <c r="H5259" s="8"/>
      <c r="I5259" s="7"/>
      <c r="J5259" s="8" t="e">
        <f aca="false">VLOOKUP(B5259, Table3[#All], 2, FALSE())</f>
        <v>#N/A</v>
      </c>
      <c r="K5259" s="8" t="str">
        <f aca="false">TEXT(ROW(), "0000")</f>
        <v>5259</v>
      </c>
      <c r="L5259" s="8"/>
    </row>
    <row r="5260" customFormat="false" ht="15.75" hidden="false" customHeight="true" outlineLevel="0" collapsed="false">
      <c r="A5260" s="7"/>
      <c r="B5260" s="8"/>
      <c r="C5260" s="9"/>
      <c r="D5260" s="8"/>
      <c r="E5260" s="10"/>
      <c r="F5260" s="8"/>
      <c r="G5260" s="8"/>
      <c r="H5260" s="8"/>
      <c r="I5260" s="7"/>
      <c r="J5260" s="8" t="e">
        <f aca="false">VLOOKUP(B5260, Table3[#All], 2, FALSE())</f>
        <v>#N/A</v>
      </c>
      <c r="K5260" s="8" t="str">
        <f aca="false">TEXT(ROW(), "0000")</f>
        <v>5260</v>
      </c>
      <c r="L5260" s="8"/>
    </row>
    <row r="5261" customFormat="false" ht="15.75" hidden="false" customHeight="true" outlineLevel="0" collapsed="false">
      <c r="A5261" s="7"/>
      <c r="B5261" s="8"/>
      <c r="C5261" s="9"/>
      <c r="D5261" s="8"/>
      <c r="E5261" s="10"/>
      <c r="F5261" s="8"/>
      <c r="G5261" s="8"/>
      <c r="H5261" s="8"/>
      <c r="I5261" s="7"/>
      <c r="J5261" s="8" t="e">
        <f aca="false">VLOOKUP(B5261, Table3[#All], 2, FALSE())</f>
        <v>#N/A</v>
      </c>
      <c r="K5261" s="8" t="str">
        <f aca="false">TEXT(ROW(), "0000")</f>
        <v>5261</v>
      </c>
      <c r="L5261" s="8"/>
    </row>
    <row r="5262" customFormat="false" ht="15.75" hidden="false" customHeight="true" outlineLevel="0" collapsed="false">
      <c r="A5262" s="7"/>
      <c r="B5262" s="8"/>
      <c r="C5262" s="9"/>
      <c r="D5262" s="8"/>
      <c r="E5262" s="10"/>
      <c r="F5262" s="8"/>
      <c r="G5262" s="8"/>
      <c r="H5262" s="8"/>
      <c r="I5262" s="7"/>
      <c r="J5262" s="8" t="e">
        <f aca="false">VLOOKUP(B5262, Table3[#All], 2, FALSE())</f>
        <v>#N/A</v>
      </c>
      <c r="K5262" s="8" t="str">
        <f aca="false">TEXT(ROW(), "0000")</f>
        <v>5262</v>
      </c>
      <c r="L5262" s="8"/>
    </row>
    <row r="5263" customFormat="false" ht="15.75" hidden="false" customHeight="true" outlineLevel="0" collapsed="false">
      <c r="A5263" s="7"/>
      <c r="B5263" s="8"/>
      <c r="C5263" s="9"/>
      <c r="D5263" s="8"/>
      <c r="E5263" s="10"/>
      <c r="F5263" s="8"/>
      <c r="G5263" s="8"/>
      <c r="H5263" s="8"/>
      <c r="I5263" s="7"/>
      <c r="J5263" s="8" t="e">
        <f aca="false">VLOOKUP(B5263, Table3[#All], 2, FALSE())</f>
        <v>#N/A</v>
      </c>
      <c r="K5263" s="8" t="str">
        <f aca="false">TEXT(ROW(), "0000")</f>
        <v>5263</v>
      </c>
      <c r="L5263" s="8"/>
    </row>
    <row r="5264" customFormat="false" ht="15.75" hidden="false" customHeight="true" outlineLevel="0" collapsed="false">
      <c r="A5264" s="7"/>
      <c r="B5264" s="8"/>
      <c r="C5264" s="9"/>
      <c r="D5264" s="8"/>
      <c r="E5264" s="10"/>
      <c r="F5264" s="8"/>
      <c r="G5264" s="8"/>
      <c r="H5264" s="8"/>
      <c r="I5264" s="7"/>
      <c r="J5264" s="8" t="e">
        <f aca="false">VLOOKUP(B5264, Table3[#All], 2, FALSE())</f>
        <v>#N/A</v>
      </c>
      <c r="K5264" s="8" t="str">
        <f aca="false">TEXT(ROW(), "0000")</f>
        <v>5264</v>
      </c>
      <c r="L5264" s="8"/>
    </row>
    <row r="5265" customFormat="false" ht="15.75" hidden="false" customHeight="true" outlineLevel="0" collapsed="false">
      <c r="A5265" s="7"/>
      <c r="B5265" s="8"/>
      <c r="C5265" s="9"/>
      <c r="D5265" s="8"/>
      <c r="E5265" s="10"/>
      <c r="F5265" s="8"/>
      <c r="G5265" s="8"/>
      <c r="H5265" s="8"/>
      <c r="I5265" s="7"/>
      <c r="J5265" s="8" t="e">
        <f aca="false">VLOOKUP(B5265, Table3[#All], 2, FALSE())</f>
        <v>#N/A</v>
      </c>
      <c r="K5265" s="8" t="str">
        <f aca="false">TEXT(ROW(), "0000")</f>
        <v>5265</v>
      </c>
      <c r="L5265" s="8"/>
    </row>
    <row r="5266" customFormat="false" ht="15.75" hidden="false" customHeight="true" outlineLevel="0" collapsed="false">
      <c r="A5266" s="7"/>
      <c r="B5266" s="8"/>
      <c r="C5266" s="9"/>
      <c r="D5266" s="8"/>
      <c r="E5266" s="10"/>
      <c r="F5266" s="8"/>
      <c r="G5266" s="8"/>
      <c r="H5266" s="8"/>
      <c r="I5266" s="7"/>
      <c r="J5266" s="8" t="e">
        <f aca="false">VLOOKUP(B5266, Table3[#All], 2, FALSE())</f>
        <v>#N/A</v>
      </c>
      <c r="K5266" s="8" t="str">
        <f aca="false">TEXT(ROW(), "0000")</f>
        <v>5266</v>
      </c>
      <c r="L5266" s="8"/>
    </row>
    <row r="5267" customFormat="false" ht="15.75" hidden="false" customHeight="true" outlineLevel="0" collapsed="false">
      <c r="A5267" s="7"/>
      <c r="B5267" s="8"/>
      <c r="C5267" s="9"/>
      <c r="D5267" s="8"/>
      <c r="E5267" s="10"/>
      <c r="F5267" s="8"/>
      <c r="G5267" s="8"/>
      <c r="H5267" s="8"/>
      <c r="I5267" s="7"/>
      <c r="J5267" s="8" t="e">
        <f aca="false">VLOOKUP(B5267, Table3[#All], 2, FALSE())</f>
        <v>#N/A</v>
      </c>
      <c r="K5267" s="8" t="str">
        <f aca="false">TEXT(ROW(), "0000")</f>
        <v>5267</v>
      </c>
      <c r="L5267" s="8"/>
    </row>
    <row r="5268" customFormat="false" ht="15.75" hidden="false" customHeight="true" outlineLevel="0" collapsed="false">
      <c r="A5268" s="7"/>
      <c r="B5268" s="8"/>
      <c r="C5268" s="9"/>
      <c r="D5268" s="8"/>
      <c r="E5268" s="10"/>
      <c r="F5268" s="8"/>
      <c r="G5268" s="8"/>
      <c r="H5268" s="8"/>
      <c r="I5268" s="7"/>
      <c r="J5268" s="8" t="e">
        <f aca="false">VLOOKUP(B5268, Table3[#All], 2, FALSE())</f>
        <v>#N/A</v>
      </c>
      <c r="K5268" s="8" t="str">
        <f aca="false">TEXT(ROW(), "0000")</f>
        <v>5268</v>
      </c>
      <c r="L5268" s="8"/>
    </row>
    <row r="5269" customFormat="false" ht="15.75" hidden="false" customHeight="true" outlineLevel="0" collapsed="false">
      <c r="A5269" s="7"/>
      <c r="B5269" s="8"/>
      <c r="C5269" s="9"/>
      <c r="D5269" s="8"/>
      <c r="E5269" s="10"/>
      <c r="F5269" s="8"/>
      <c r="G5269" s="8"/>
      <c r="H5269" s="8"/>
      <c r="I5269" s="7"/>
      <c r="J5269" s="8" t="e">
        <f aca="false">VLOOKUP(B5269, Table3[#All], 2, FALSE())</f>
        <v>#N/A</v>
      </c>
      <c r="K5269" s="8" t="str">
        <f aca="false">TEXT(ROW(), "0000")</f>
        <v>5269</v>
      </c>
      <c r="L5269" s="8"/>
    </row>
    <row r="5270" customFormat="false" ht="15.75" hidden="false" customHeight="true" outlineLevel="0" collapsed="false">
      <c r="A5270" s="7"/>
      <c r="B5270" s="8"/>
      <c r="C5270" s="9"/>
      <c r="D5270" s="8"/>
      <c r="E5270" s="10"/>
      <c r="F5270" s="8"/>
      <c r="G5270" s="8"/>
      <c r="H5270" s="8"/>
      <c r="I5270" s="7"/>
      <c r="J5270" s="8" t="e">
        <f aca="false">VLOOKUP(B5270, Table3[#All], 2, FALSE())</f>
        <v>#N/A</v>
      </c>
      <c r="K5270" s="8" t="str">
        <f aca="false">TEXT(ROW(), "0000")</f>
        <v>5270</v>
      </c>
      <c r="L5270" s="8"/>
    </row>
    <row r="5271" customFormat="false" ht="15.75" hidden="false" customHeight="true" outlineLevel="0" collapsed="false">
      <c r="A5271" s="7"/>
      <c r="B5271" s="8"/>
      <c r="C5271" s="9"/>
      <c r="D5271" s="8"/>
      <c r="E5271" s="10"/>
      <c r="F5271" s="8"/>
      <c r="G5271" s="8"/>
      <c r="H5271" s="8"/>
      <c r="I5271" s="7"/>
      <c r="J5271" s="8" t="e">
        <f aca="false">VLOOKUP(B5271, Table3[#All], 2, FALSE())</f>
        <v>#N/A</v>
      </c>
      <c r="K5271" s="8" t="str">
        <f aca="false">TEXT(ROW(), "0000")</f>
        <v>5271</v>
      </c>
      <c r="L5271" s="8"/>
    </row>
    <row r="5272" customFormat="false" ht="15.75" hidden="false" customHeight="true" outlineLevel="0" collapsed="false">
      <c r="A5272" s="7"/>
      <c r="B5272" s="8"/>
      <c r="C5272" s="9"/>
      <c r="D5272" s="8"/>
      <c r="E5272" s="10"/>
      <c r="F5272" s="8"/>
      <c r="G5272" s="8"/>
      <c r="H5272" s="8"/>
      <c r="I5272" s="7"/>
      <c r="J5272" s="8" t="e">
        <f aca="false">VLOOKUP(B5272, Table3[#All], 2, FALSE())</f>
        <v>#N/A</v>
      </c>
      <c r="K5272" s="8" t="str">
        <f aca="false">TEXT(ROW(), "0000")</f>
        <v>5272</v>
      </c>
      <c r="L5272" s="8"/>
    </row>
    <row r="5273" customFormat="false" ht="15.75" hidden="false" customHeight="true" outlineLevel="0" collapsed="false">
      <c r="A5273" s="7"/>
      <c r="B5273" s="8"/>
      <c r="C5273" s="9"/>
      <c r="D5273" s="8"/>
      <c r="E5273" s="10"/>
      <c r="F5273" s="8"/>
      <c r="G5273" s="8"/>
      <c r="H5273" s="8"/>
      <c r="I5273" s="7"/>
      <c r="J5273" s="8" t="e">
        <f aca="false">VLOOKUP(B5273, Table3[#All], 2, FALSE())</f>
        <v>#N/A</v>
      </c>
      <c r="K5273" s="8" t="str">
        <f aca="false">TEXT(ROW(), "0000")</f>
        <v>5273</v>
      </c>
      <c r="L5273" s="8"/>
    </row>
    <row r="5274" customFormat="false" ht="15.75" hidden="false" customHeight="true" outlineLevel="0" collapsed="false">
      <c r="A5274" s="7"/>
      <c r="B5274" s="8"/>
      <c r="C5274" s="9"/>
      <c r="D5274" s="8"/>
      <c r="E5274" s="10"/>
      <c r="F5274" s="8"/>
      <c r="G5274" s="8"/>
      <c r="H5274" s="8"/>
      <c r="I5274" s="7"/>
      <c r="J5274" s="8" t="e">
        <f aca="false">VLOOKUP(B5274, Table3[#All], 2, FALSE())</f>
        <v>#N/A</v>
      </c>
      <c r="K5274" s="8" t="str">
        <f aca="false">TEXT(ROW(), "0000")</f>
        <v>5274</v>
      </c>
      <c r="L5274" s="8"/>
    </row>
    <row r="5275" customFormat="false" ht="15.75" hidden="false" customHeight="true" outlineLevel="0" collapsed="false">
      <c r="A5275" s="7"/>
      <c r="B5275" s="8"/>
      <c r="C5275" s="9"/>
      <c r="D5275" s="8"/>
      <c r="E5275" s="10"/>
      <c r="F5275" s="8"/>
      <c r="G5275" s="8"/>
      <c r="H5275" s="8"/>
      <c r="I5275" s="7"/>
      <c r="J5275" s="8" t="e">
        <f aca="false">VLOOKUP(B5275, Table3[#All], 2, FALSE())</f>
        <v>#N/A</v>
      </c>
      <c r="K5275" s="8" t="str">
        <f aca="false">TEXT(ROW(), "0000")</f>
        <v>5275</v>
      </c>
      <c r="L5275" s="8"/>
    </row>
    <row r="5276" customFormat="false" ht="15.75" hidden="false" customHeight="true" outlineLevel="0" collapsed="false">
      <c r="A5276" s="7"/>
      <c r="B5276" s="8"/>
      <c r="C5276" s="9"/>
      <c r="D5276" s="8"/>
      <c r="E5276" s="10"/>
      <c r="F5276" s="8"/>
      <c r="G5276" s="8"/>
      <c r="H5276" s="8"/>
      <c r="I5276" s="7"/>
      <c r="J5276" s="8" t="e">
        <f aca="false">VLOOKUP(B5276, Table3[#All], 2, FALSE())</f>
        <v>#N/A</v>
      </c>
      <c r="K5276" s="8" t="str">
        <f aca="false">TEXT(ROW(), "0000")</f>
        <v>5276</v>
      </c>
      <c r="L5276" s="8"/>
    </row>
    <row r="5277" customFormat="false" ht="15.75" hidden="false" customHeight="true" outlineLevel="0" collapsed="false">
      <c r="A5277" s="7"/>
      <c r="B5277" s="8"/>
      <c r="C5277" s="9"/>
      <c r="D5277" s="8"/>
      <c r="E5277" s="10"/>
      <c r="F5277" s="8"/>
      <c r="G5277" s="8"/>
      <c r="H5277" s="8"/>
      <c r="I5277" s="7"/>
      <c r="J5277" s="8" t="e">
        <f aca="false">VLOOKUP(B5277, Table3[#All], 2, FALSE())</f>
        <v>#N/A</v>
      </c>
      <c r="K5277" s="8" t="str">
        <f aca="false">TEXT(ROW(), "0000")</f>
        <v>5277</v>
      </c>
      <c r="L5277" s="8"/>
    </row>
    <row r="5278" customFormat="false" ht="15.75" hidden="false" customHeight="true" outlineLevel="0" collapsed="false">
      <c r="A5278" s="7"/>
      <c r="B5278" s="8"/>
      <c r="C5278" s="9"/>
      <c r="D5278" s="8"/>
      <c r="E5278" s="10"/>
      <c r="F5278" s="8"/>
      <c r="G5278" s="8"/>
      <c r="H5278" s="8"/>
      <c r="I5278" s="7"/>
      <c r="J5278" s="8" t="e">
        <f aca="false">VLOOKUP(B5278, Table3[#All], 2, FALSE())</f>
        <v>#N/A</v>
      </c>
      <c r="K5278" s="8" t="str">
        <f aca="false">TEXT(ROW(), "0000")</f>
        <v>5278</v>
      </c>
      <c r="L5278" s="8"/>
    </row>
    <row r="5279" customFormat="false" ht="15.75" hidden="false" customHeight="true" outlineLevel="0" collapsed="false">
      <c r="A5279" s="7"/>
      <c r="B5279" s="8"/>
      <c r="C5279" s="9"/>
      <c r="D5279" s="8"/>
      <c r="E5279" s="10"/>
      <c r="F5279" s="8"/>
      <c r="G5279" s="8"/>
      <c r="H5279" s="8"/>
      <c r="I5279" s="7"/>
      <c r="J5279" s="8" t="e">
        <f aca="false">VLOOKUP(B5279, Table3[#All], 2, FALSE())</f>
        <v>#N/A</v>
      </c>
      <c r="K5279" s="8" t="str">
        <f aca="false">TEXT(ROW(), "0000")</f>
        <v>5279</v>
      </c>
      <c r="L5279" s="8"/>
    </row>
    <row r="5280" customFormat="false" ht="15.75" hidden="false" customHeight="true" outlineLevel="0" collapsed="false">
      <c r="A5280" s="7"/>
      <c r="B5280" s="8"/>
      <c r="C5280" s="9"/>
      <c r="D5280" s="8"/>
      <c r="E5280" s="10"/>
      <c r="F5280" s="8"/>
      <c r="G5280" s="8"/>
      <c r="H5280" s="8"/>
      <c r="I5280" s="7"/>
      <c r="J5280" s="8" t="e">
        <f aca="false">VLOOKUP(B5280, Table3[#All], 2, FALSE())</f>
        <v>#N/A</v>
      </c>
      <c r="K5280" s="8" t="str">
        <f aca="false">TEXT(ROW(), "0000")</f>
        <v>5280</v>
      </c>
      <c r="L5280" s="8"/>
    </row>
    <row r="5281" customFormat="false" ht="15.75" hidden="false" customHeight="true" outlineLevel="0" collapsed="false">
      <c r="A5281" s="7"/>
      <c r="B5281" s="8"/>
      <c r="C5281" s="9"/>
      <c r="D5281" s="8"/>
      <c r="E5281" s="10"/>
      <c r="F5281" s="8"/>
      <c r="G5281" s="8"/>
      <c r="H5281" s="8"/>
      <c r="I5281" s="7"/>
      <c r="J5281" s="8" t="e">
        <f aca="false">VLOOKUP(B5281, Table3[#All], 2, FALSE())</f>
        <v>#N/A</v>
      </c>
      <c r="K5281" s="8" t="str">
        <f aca="false">TEXT(ROW(), "0000")</f>
        <v>5281</v>
      </c>
      <c r="L5281" s="8"/>
    </row>
    <row r="5282" customFormat="false" ht="15.75" hidden="false" customHeight="true" outlineLevel="0" collapsed="false">
      <c r="A5282" s="7"/>
      <c r="B5282" s="8"/>
      <c r="C5282" s="9"/>
      <c r="D5282" s="8"/>
      <c r="E5282" s="10"/>
      <c r="F5282" s="8"/>
      <c r="G5282" s="8"/>
      <c r="H5282" s="8"/>
      <c r="I5282" s="7"/>
      <c r="J5282" s="8" t="e">
        <f aca="false">VLOOKUP(B5282, Table3[#All], 2, FALSE())</f>
        <v>#N/A</v>
      </c>
      <c r="K5282" s="8" t="str">
        <f aca="false">TEXT(ROW(), "0000")</f>
        <v>5282</v>
      </c>
      <c r="L5282" s="8"/>
    </row>
    <row r="5283" customFormat="false" ht="15.75" hidden="false" customHeight="true" outlineLevel="0" collapsed="false">
      <c r="A5283" s="7"/>
      <c r="B5283" s="8"/>
      <c r="C5283" s="9"/>
      <c r="D5283" s="8"/>
      <c r="E5283" s="10"/>
      <c r="F5283" s="8"/>
      <c r="G5283" s="8"/>
      <c r="H5283" s="8"/>
      <c r="I5283" s="7"/>
      <c r="J5283" s="8" t="e">
        <f aca="false">VLOOKUP(B5283, Table3[#All], 2, FALSE())</f>
        <v>#N/A</v>
      </c>
      <c r="K5283" s="8" t="str">
        <f aca="false">TEXT(ROW(), "0000")</f>
        <v>5283</v>
      </c>
      <c r="L5283" s="8"/>
    </row>
    <row r="5284" customFormat="false" ht="15.75" hidden="false" customHeight="true" outlineLevel="0" collapsed="false">
      <c r="A5284" s="7"/>
      <c r="B5284" s="8"/>
      <c r="C5284" s="9"/>
      <c r="D5284" s="8"/>
      <c r="E5284" s="10"/>
      <c r="F5284" s="8"/>
      <c r="G5284" s="8"/>
      <c r="H5284" s="8"/>
      <c r="I5284" s="7"/>
      <c r="J5284" s="8" t="e">
        <f aca="false">VLOOKUP(B5284, Table3[#All], 2, FALSE())</f>
        <v>#N/A</v>
      </c>
      <c r="K5284" s="8" t="str">
        <f aca="false">TEXT(ROW(), "0000")</f>
        <v>5284</v>
      </c>
      <c r="L5284" s="8"/>
    </row>
    <row r="5285" customFormat="false" ht="15.75" hidden="false" customHeight="true" outlineLevel="0" collapsed="false">
      <c r="A5285" s="7"/>
      <c r="B5285" s="8"/>
      <c r="C5285" s="9"/>
      <c r="D5285" s="8"/>
      <c r="E5285" s="10"/>
      <c r="F5285" s="8"/>
      <c r="G5285" s="8"/>
      <c r="H5285" s="8"/>
      <c r="I5285" s="7"/>
      <c r="J5285" s="8" t="e">
        <f aca="false">VLOOKUP(B5285, Table3[#All], 2, FALSE())</f>
        <v>#N/A</v>
      </c>
      <c r="K5285" s="8" t="str">
        <f aca="false">TEXT(ROW(), "0000")</f>
        <v>5285</v>
      </c>
      <c r="L5285" s="8"/>
    </row>
    <row r="5286" customFormat="false" ht="15.75" hidden="false" customHeight="true" outlineLevel="0" collapsed="false">
      <c r="A5286" s="7"/>
      <c r="B5286" s="8"/>
      <c r="C5286" s="9"/>
      <c r="D5286" s="8"/>
      <c r="E5286" s="10"/>
      <c r="F5286" s="8"/>
      <c r="G5286" s="8"/>
      <c r="H5286" s="8"/>
      <c r="I5286" s="7"/>
      <c r="J5286" s="8" t="e">
        <f aca="false">VLOOKUP(B5286, Table3[#All], 2, FALSE())</f>
        <v>#N/A</v>
      </c>
      <c r="K5286" s="8" t="str">
        <f aca="false">TEXT(ROW(), "0000")</f>
        <v>5286</v>
      </c>
      <c r="L5286" s="8"/>
    </row>
    <row r="5287" customFormat="false" ht="15.75" hidden="false" customHeight="true" outlineLevel="0" collapsed="false">
      <c r="A5287" s="7"/>
      <c r="B5287" s="8"/>
      <c r="C5287" s="9"/>
      <c r="D5287" s="8"/>
      <c r="E5287" s="10"/>
      <c r="F5287" s="8"/>
      <c r="G5287" s="8"/>
      <c r="H5287" s="8"/>
      <c r="I5287" s="7"/>
      <c r="J5287" s="8" t="e">
        <f aca="false">VLOOKUP(B5287, Table3[#All], 2, FALSE())</f>
        <v>#N/A</v>
      </c>
      <c r="K5287" s="8" t="str">
        <f aca="false">TEXT(ROW(), "0000")</f>
        <v>5287</v>
      </c>
      <c r="L5287" s="8"/>
    </row>
    <row r="5288" customFormat="false" ht="15.75" hidden="false" customHeight="true" outlineLevel="0" collapsed="false">
      <c r="A5288" s="7"/>
      <c r="B5288" s="8"/>
      <c r="C5288" s="9"/>
      <c r="D5288" s="8"/>
      <c r="E5288" s="10"/>
      <c r="F5288" s="8"/>
      <c r="G5288" s="8"/>
      <c r="H5288" s="8"/>
      <c r="I5288" s="7"/>
      <c r="J5288" s="8" t="e">
        <f aca="false">VLOOKUP(B5288, Table3[#All], 2, FALSE())</f>
        <v>#N/A</v>
      </c>
      <c r="K5288" s="8" t="str">
        <f aca="false">TEXT(ROW(), "0000")</f>
        <v>5288</v>
      </c>
      <c r="L5288" s="8"/>
    </row>
    <row r="5289" customFormat="false" ht="15.75" hidden="false" customHeight="true" outlineLevel="0" collapsed="false">
      <c r="A5289" s="7"/>
      <c r="B5289" s="8"/>
      <c r="C5289" s="9"/>
      <c r="D5289" s="8"/>
      <c r="E5289" s="10"/>
      <c r="F5289" s="8"/>
      <c r="G5289" s="8"/>
      <c r="H5289" s="8"/>
      <c r="I5289" s="7"/>
      <c r="J5289" s="8" t="e">
        <f aca="false">VLOOKUP(B5289, Table3[#All], 2, FALSE())</f>
        <v>#N/A</v>
      </c>
      <c r="K5289" s="8" t="str">
        <f aca="false">TEXT(ROW(), "0000")</f>
        <v>5289</v>
      </c>
      <c r="L5289" s="8"/>
    </row>
    <row r="5290" customFormat="false" ht="15.75" hidden="false" customHeight="true" outlineLevel="0" collapsed="false">
      <c r="A5290" s="7"/>
      <c r="B5290" s="8"/>
      <c r="C5290" s="9"/>
      <c r="D5290" s="8"/>
      <c r="E5290" s="10"/>
      <c r="F5290" s="8"/>
      <c r="G5290" s="8"/>
      <c r="H5290" s="8"/>
      <c r="I5290" s="7"/>
      <c r="J5290" s="8" t="e">
        <f aca="false">VLOOKUP(B5290, Table3[#All], 2, FALSE())</f>
        <v>#N/A</v>
      </c>
      <c r="K5290" s="8" t="str">
        <f aca="false">TEXT(ROW(), "0000")</f>
        <v>5290</v>
      </c>
      <c r="L5290" s="8"/>
    </row>
    <row r="5291" customFormat="false" ht="15.75" hidden="false" customHeight="true" outlineLevel="0" collapsed="false">
      <c r="A5291" s="7"/>
      <c r="B5291" s="8"/>
      <c r="C5291" s="9"/>
      <c r="D5291" s="8"/>
      <c r="E5291" s="10"/>
      <c r="F5291" s="8"/>
      <c r="G5291" s="8"/>
      <c r="H5291" s="8"/>
      <c r="I5291" s="7"/>
      <c r="J5291" s="8" t="e">
        <f aca="false">VLOOKUP(B5291, Table3[#All], 2, FALSE())</f>
        <v>#N/A</v>
      </c>
      <c r="K5291" s="8" t="str">
        <f aca="false">TEXT(ROW(), "0000")</f>
        <v>5291</v>
      </c>
      <c r="L5291" s="8"/>
    </row>
    <row r="5292" customFormat="false" ht="15.75" hidden="false" customHeight="true" outlineLevel="0" collapsed="false">
      <c r="A5292" s="7"/>
      <c r="B5292" s="8"/>
      <c r="C5292" s="9"/>
      <c r="D5292" s="8"/>
      <c r="E5292" s="10"/>
      <c r="F5292" s="8"/>
      <c r="G5292" s="8"/>
      <c r="H5292" s="8"/>
      <c r="I5292" s="7"/>
      <c r="J5292" s="8" t="e">
        <f aca="false">VLOOKUP(B5292, Table3[#All], 2, FALSE())</f>
        <v>#N/A</v>
      </c>
      <c r="K5292" s="8" t="str">
        <f aca="false">TEXT(ROW(), "0000")</f>
        <v>5292</v>
      </c>
      <c r="L5292" s="8"/>
    </row>
    <row r="5293" customFormat="false" ht="15.75" hidden="false" customHeight="true" outlineLevel="0" collapsed="false">
      <c r="A5293" s="7"/>
      <c r="B5293" s="8"/>
      <c r="C5293" s="9"/>
      <c r="D5293" s="8"/>
      <c r="E5293" s="10"/>
      <c r="F5293" s="8"/>
      <c r="G5293" s="8"/>
      <c r="H5293" s="8"/>
      <c r="I5293" s="7"/>
      <c r="J5293" s="8" t="e">
        <f aca="false">VLOOKUP(B5293, Table3[#All], 2, FALSE())</f>
        <v>#N/A</v>
      </c>
      <c r="K5293" s="8" t="str">
        <f aca="false">TEXT(ROW(), "0000")</f>
        <v>5293</v>
      </c>
      <c r="L5293" s="8"/>
    </row>
    <row r="5294" customFormat="false" ht="15.75" hidden="false" customHeight="true" outlineLevel="0" collapsed="false">
      <c r="A5294" s="7"/>
      <c r="B5294" s="8"/>
      <c r="C5294" s="9"/>
      <c r="D5294" s="8"/>
      <c r="E5294" s="10"/>
      <c r="F5294" s="8"/>
      <c r="G5294" s="8"/>
      <c r="H5294" s="8"/>
      <c r="I5294" s="7"/>
      <c r="J5294" s="8" t="e">
        <f aca="false">VLOOKUP(B5294, Table3[#All], 2, FALSE())</f>
        <v>#N/A</v>
      </c>
      <c r="K5294" s="8" t="str">
        <f aca="false">TEXT(ROW(), "0000")</f>
        <v>5294</v>
      </c>
      <c r="L5294" s="8"/>
    </row>
    <row r="5295" customFormat="false" ht="15.75" hidden="false" customHeight="true" outlineLevel="0" collapsed="false">
      <c r="A5295" s="7"/>
      <c r="B5295" s="8"/>
      <c r="C5295" s="9"/>
      <c r="D5295" s="8"/>
      <c r="E5295" s="10"/>
      <c r="F5295" s="8"/>
      <c r="G5295" s="8"/>
      <c r="H5295" s="8"/>
      <c r="I5295" s="7"/>
      <c r="J5295" s="8" t="e">
        <f aca="false">VLOOKUP(B5295, Table3[#All], 2, FALSE())</f>
        <v>#N/A</v>
      </c>
      <c r="K5295" s="8" t="str">
        <f aca="false">TEXT(ROW(), "0000")</f>
        <v>5295</v>
      </c>
      <c r="L5295" s="8"/>
    </row>
    <row r="5296" customFormat="false" ht="15.75" hidden="false" customHeight="true" outlineLevel="0" collapsed="false">
      <c r="A5296" s="7"/>
      <c r="B5296" s="8"/>
      <c r="C5296" s="9"/>
      <c r="D5296" s="8"/>
      <c r="E5296" s="10"/>
      <c r="F5296" s="8"/>
      <c r="G5296" s="8"/>
      <c r="H5296" s="8"/>
      <c r="I5296" s="7"/>
      <c r="J5296" s="8" t="e">
        <f aca="false">VLOOKUP(B5296, Table3[#All], 2, FALSE())</f>
        <v>#N/A</v>
      </c>
      <c r="K5296" s="8" t="str">
        <f aca="false">TEXT(ROW(), "0000")</f>
        <v>5296</v>
      </c>
      <c r="L5296" s="8"/>
    </row>
    <row r="5297" customFormat="false" ht="15.75" hidden="false" customHeight="true" outlineLevel="0" collapsed="false">
      <c r="A5297" s="7"/>
      <c r="B5297" s="8"/>
      <c r="C5297" s="9"/>
      <c r="D5297" s="8"/>
      <c r="E5297" s="10"/>
      <c r="F5297" s="8"/>
      <c r="G5297" s="8"/>
      <c r="H5297" s="8"/>
      <c r="I5297" s="7"/>
      <c r="J5297" s="8" t="e">
        <f aca="false">VLOOKUP(B5297, Table3[#All], 2, FALSE())</f>
        <v>#N/A</v>
      </c>
      <c r="K5297" s="8" t="str">
        <f aca="false">TEXT(ROW(), "0000")</f>
        <v>5297</v>
      </c>
      <c r="L5297" s="8"/>
    </row>
    <row r="5298" customFormat="false" ht="15.75" hidden="false" customHeight="true" outlineLevel="0" collapsed="false">
      <c r="A5298" s="7"/>
      <c r="B5298" s="8"/>
      <c r="C5298" s="9"/>
      <c r="D5298" s="8"/>
      <c r="E5298" s="10"/>
      <c r="F5298" s="8"/>
      <c r="G5298" s="8"/>
      <c r="H5298" s="8"/>
      <c r="I5298" s="7"/>
      <c r="J5298" s="8" t="e">
        <f aca="false">VLOOKUP(B5298, Table3[#All], 2, FALSE())</f>
        <v>#N/A</v>
      </c>
      <c r="K5298" s="8" t="str">
        <f aca="false">TEXT(ROW(), "0000")</f>
        <v>5298</v>
      </c>
      <c r="L5298" s="8"/>
    </row>
    <row r="5299" customFormat="false" ht="15.75" hidden="false" customHeight="true" outlineLevel="0" collapsed="false">
      <c r="A5299" s="7"/>
      <c r="B5299" s="8"/>
      <c r="C5299" s="9"/>
      <c r="D5299" s="8"/>
      <c r="E5299" s="10"/>
      <c r="F5299" s="8"/>
      <c r="G5299" s="8"/>
      <c r="H5299" s="8"/>
      <c r="I5299" s="7"/>
      <c r="J5299" s="8" t="e">
        <f aca="false">VLOOKUP(B5299, Table3[#All], 2, FALSE())</f>
        <v>#N/A</v>
      </c>
      <c r="K5299" s="8" t="str">
        <f aca="false">TEXT(ROW(), "0000")</f>
        <v>5299</v>
      </c>
      <c r="L5299" s="8"/>
    </row>
    <row r="5300" customFormat="false" ht="15.75" hidden="false" customHeight="true" outlineLevel="0" collapsed="false">
      <c r="A5300" s="7"/>
      <c r="B5300" s="8"/>
      <c r="C5300" s="9"/>
      <c r="D5300" s="8"/>
      <c r="E5300" s="10"/>
      <c r="F5300" s="8"/>
      <c r="G5300" s="8"/>
      <c r="H5300" s="8"/>
      <c r="I5300" s="7"/>
      <c r="J5300" s="8" t="e">
        <f aca="false">VLOOKUP(B5300, Table3[#All], 2, FALSE())</f>
        <v>#N/A</v>
      </c>
      <c r="K5300" s="8" t="str">
        <f aca="false">TEXT(ROW(), "0000")</f>
        <v>5300</v>
      </c>
      <c r="L5300" s="8"/>
    </row>
    <row r="5301" customFormat="false" ht="15.75" hidden="false" customHeight="true" outlineLevel="0" collapsed="false">
      <c r="A5301" s="7"/>
      <c r="B5301" s="8"/>
      <c r="C5301" s="9"/>
      <c r="D5301" s="8"/>
      <c r="E5301" s="10"/>
      <c r="F5301" s="8"/>
      <c r="G5301" s="8"/>
      <c r="H5301" s="8"/>
      <c r="I5301" s="7"/>
      <c r="J5301" s="8" t="e">
        <f aca="false">VLOOKUP(B5301, Table3[#All], 2, FALSE())</f>
        <v>#N/A</v>
      </c>
      <c r="K5301" s="8" t="str">
        <f aca="false">TEXT(ROW(), "0000")</f>
        <v>5301</v>
      </c>
      <c r="L5301" s="8"/>
    </row>
    <row r="5302" customFormat="false" ht="15.75" hidden="false" customHeight="true" outlineLevel="0" collapsed="false">
      <c r="A5302" s="7"/>
      <c r="B5302" s="8"/>
      <c r="C5302" s="9"/>
      <c r="D5302" s="8"/>
      <c r="E5302" s="10"/>
      <c r="F5302" s="8"/>
      <c r="G5302" s="8"/>
      <c r="H5302" s="8"/>
      <c r="I5302" s="7"/>
      <c r="J5302" s="8" t="e">
        <f aca="false">VLOOKUP(B5302, Table3[#All], 2, FALSE())</f>
        <v>#N/A</v>
      </c>
      <c r="K5302" s="8" t="str">
        <f aca="false">TEXT(ROW(), "0000")</f>
        <v>5302</v>
      </c>
      <c r="L5302" s="8"/>
    </row>
    <row r="5303" customFormat="false" ht="15.75" hidden="false" customHeight="true" outlineLevel="0" collapsed="false">
      <c r="A5303" s="7"/>
      <c r="B5303" s="8"/>
      <c r="C5303" s="9"/>
      <c r="D5303" s="8"/>
      <c r="E5303" s="10"/>
      <c r="F5303" s="8"/>
      <c r="G5303" s="8"/>
      <c r="H5303" s="8"/>
      <c r="I5303" s="7"/>
      <c r="J5303" s="8" t="e">
        <f aca="false">VLOOKUP(B5303, Table3[#All], 2, FALSE())</f>
        <v>#N/A</v>
      </c>
      <c r="K5303" s="8" t="str">
        <f aca="false">TEXT(ROW(), "0000")</f>
        <v>5303</v>
      </c>
      <c r="L5303" s="8"/>
    </row>
    <row r="5304" customFormat="false" ht="15.75" hidden="false" customHeight="true" outlineLevel="0" collapsed="false">
      <c r="A5304" s="7"/>
      <c r="B5304" s="8"/>
      <c r="C5304" s="9"/>
      <c r="D5304" s="8"/>
      <c r="E5304" s="10"/>
      <c r="F5304" s="8"/>
      <c r="G5304" s="8"/>
      <c r="H5304" s="8"/>
      <c r="I5304" s="7"/>
      <c r="J5304" s="8" t="e">
        <f aca="false">VLOOKUP(B5304, Table3[#All], 2, FALSE())</f>
        <v>#N/A</v>
      </c>
      <c r="K5304" s="8" t="str">
        <f aca="false">TEXT(ROW(), "0000")</f>
        <v>5304</v>
      </c>
      <c r="L5304" s="8"/>
    </row>
    <row r="5305" customFormat="false" ht="15.75" hidden="false" customHeight="true" outlineLevel="0" collapsed="false">
      <c r="A5305" s="7"/>
      <c r="B5305" s="8"/>
      <c r="C5305" s="9"/>
      <c r="D5305" s="8"/>
      <c r="E5305" s="10"/>
      <c r="F5305" s="8"/>
      <c r="G5305" s="8"/>
      <c r="H5305" s="8"/>
      <c r="I5305" s="7"/>
      <c r="J5305" s="8" t="e">
        <f aca="false">VLOOKUP(B5305, Table3[#All], 2, FALSE())</f>
        <v>#N/A</v>
      </c>
      <c r="K5305" s="8" t="str">
        <f aca="false">TEXT(ROW(), "0000")</f>
        <v>5305</v>
      </c>
      <c r="L5305" s="8"/>
    </row>
    <row r="5306" customFormat="false" ht="15.75" hidden="false" customHeight="true" outlineLevel="0" collapsed="false">
      <c r="A5306" s="7"/>
      <c r="B5306" s="8"/>
      <c r="C5306" s="9"/>
      <c r="D5306" s="8"/>
      <c r="E5306" s="10"/>
      <c r="F5306" s="8"/>
      <c r="G5306" s="8"/>
      <c r="H5306" s="8"/>
      <c r="I5306" s="7"/>
      <c r="J5306" s="8" t="e">
        <f aca="false">VLOOKUP(B5306, Table3[#All], 2, FALSE())</f>
        <v>#N/A</v>
      </c>
      <c r="K5306" s="8" t="str">
        <f aca="false">TEXT(ROW(), "0000")</f>
        <v>5306</v>
      </c>
      <c r="L5306" s="8"/>
    </row>
    <row r="5307" customFormat="false" ht="15.75" hidden="false" customHeight="true" outlineLevel="0" collapsed="false">
      <c r="A5307" s="7"/>
      <c r="B5307" s="8"/>
      <c r="C5307" s="9"/>
      <c r="D5307" s="8"/>
      <c r="E5307" s="10"/>
      <c r="F5307" s="8"/>
      <c r="G5307" s="8"/>
      <c r="H5307" s="8"/>
      <c r="I5307" s="7"/>
      <c r="J5307" s="8" t="e">
        <f aca="false">VLOOKUP(B5307, Table3[#All], 2, FALSE())</f>
        <v>#N/A</v>
      </c>
      <c r="K5307" s="8" t="str">
        <f aca="false">TEXT(ROW(), "0000")</f>
        <v>5307</v>
      </c>
      <c r="L5307" s="8"/>
    </row>
    <row r="5308" customFormat="false" ht="15.75" hidden="false" customHeight="true" outlineLevel="0" collapsed="false">
      <c r="A5308" s="7"/>
      <c r="B5308" s="8"/>
      <c r="C5308" s="9"/>
      <c r="D5308" s="8"/>
      <c r="E5308" s="10"/>
      <c r="F5308" s="8"/>
      <c r="G5308" s="8"/>
      <c r="H5308" s="8"/>
      <c r="I5308" s="7"/>
      <c r="J5308" s="8" t="e">
        <f aca="false">VLOOKUP(B5308, Table3[#All], 2, FALSE())</f>
        <v>#N/A</v>
      </c>
      <c r="K5308" s="8" t="str">
        <f aca="false">TEXT(ROW(), "0000")</f>
        <v>5308</v>
      </c>
      <c r="L5308" s="8"/>
    </row>
    <row r="5309" customFormat="false" ht="15.75" hidden="false" customHeight="true" outlineLevel="0" collapsed="false">
      <c r="A5309" s="7"/>
      <c r="B5309" s="8"/>
      <c r="C5309" s="9"/>
      <c r="D5309" s="8"/>
      <c r="E5309" s="10"/>
      <c r="F5309" s="8"/>
      <c r="G5309" s="8"/>
      <c r="H5309" s="8"/>
      <c r="I5309" s="7"/>
      <c r="J5309" s="8" t="e">
        <f aca="false">VLOOKUP(B5309, Table3[#All], 2, FALSE())</f>
        <v>#N/A</v>
      </c>
      <c r="K5309" s="8" t="str">
        <f aca="false">TEXT(ROW(), "0000")</f>
        <v>5309</v>
      </c>
      <c r="L5309" s="8"/>
    </row>
    <row r="5310" customFormat="false" ht="15.75" hidden="false" customHeight="true" outlineLevel="0" collapsed="false">
      <c r="A5310" s="7"/>
      <c r="B5310" s="8"/>
      <c r="C5310" s="9"/>
      <c r="D5310" s="8"/>
      <c r="E5310" s="10"/>
      <c r="F5310" s="8"/>
      <c r="G5310" s="8"/>
      <c r="H5310" s="8"/>
      <c r="I5310" s="7"/>
      <c r="J5310" s="8" t="e">
        <f aca="false">VLOOKUP(B5310, Table3[#All], 2, FALSE())</f>
        <v>#N/A</v>
      </c>
      <c r="K5310" s="8" t="str">
        <f aca="false">TEXT(ROW(), "0000")</f>
        <v>5310</v>
      </c>
      <c r="L5310" s="8"/>
    </row>
    <row r="5311" customFormat="false" ht="15.75" hidden="false" customHeight="true" outlineLevel="0" collapsed="false">
      <c r="A5311" s="7"/>
      <c r="B5311" s="8"/>
      <c r="C5311" s="9"/>
      <c r="D5311" s="8"/>
      <c r="E5311" s="10"/>
      <c r="F5311" s="8"/>
      <c r="G5311" s="8"/>
      <c r="H5311" s="8"/>
      <c r="I5311" s="7"/>
      <c r="J5311" s="8" t="e">
        <f aca="false">VLOOKUP(B5311, Table3[#All], 2, FALSE())</f>
        <v>#N/A</v>
      </c>
      <c r="K5311" s="8" t="str">
        <f aca="false">TEXT(ROW(), "0000")</f>
        <v>5311</v>
      </c>
      <c r="L5311" s="8"/>
    </row>
    <row r="5312" customFormat="false" ht="15.75" hidden="false" customHeight="true" outlineLevel="0" collapsed="false">
      <c r="A5312" s="7"/>
      <c r="B5312" s="8"/>
      <c r="C5312" s="9"/>
      <c r="D5312" s="8"/>
      <c r="E5312" s="10"/>
      <c r="F5312" s="8"/>
      <c r="G5312" s="8"/>
      <c r="H5312" s="8"/>
      <c r="I5312" s="7"/>
      <c r="J5312" s="8" t="e">
        <f aca="false">VLOOKUP(B5312, Table3[#All], 2, FALSE())</f>
        <v>#N/A</v>
      </c>
      <c r="K5312" s="8" t="str">
        <f aca="false">TEXT(ROW(), "0000")</f>
        <v>5312</v>
      </c>
      <c r="L5312" s="8"/>
    </row>
    <row r="5313" customFormat="false" ht="15.75" hidden="false" customHeight="true" outlineLevel="0" collapsed="false">
      <c r="A5313" s="7"/>
      <c r="B5313" s="8"/>
      <c r="C5313" s="9"/>
      <c r="D5313" s="8"/>
      <c r="E5313" s="10"/>
      <c r="F5313" s="8"/>
      <c r="G5313" s="8"/>
      <c r="H5313" s="8"/>
      <c r="I5313" s="7"/>
      <c r="J5313" s="8" t="e">
        <f aca="false">VLOOKUP(B5313, Table3[#All], 2, FALSE())</f>
        <v>#N/A</v>
      </c>
      <c r="K5313" s="8" t="str">
        <f aca="false">TEXT(ROW(), "0000")</f>
        <v>5313</v>
      </c>
      <c r="L5313" s="8"/>
    </row>
    <row r="5314" customFormat="false" ht="15.75" hidden="false" customHeight="true" outlineLevel="0" collapsed="false">
      <c r="A5314" s="7"/>
      <c r="B5314" s="8"/>
      <c r="C5314" s="9"/>
      <c r="D5314" s="8"/>
      <c r="E5314" s="10"/>
      <c r="F5314" s="8"/>
      <c r="G5314" s="8"/>
      <c r="H5314" s="8"/>
      <c r="I5314" s="7"/>
      <c r="J5314" s="8" t="e">
        <f aca="false">VLOOKUP(B5314, Table3[#All], 2, FALSE())</f>
        <v>#N/A</v>
      </c>
      <c r="K5314" s="8" t="str">
        <f aca="false">TEXT(ROW(), "0000")</f>
        <v>5314</v>
      </c>
      <c r="L5314" s="8"/>
    </row>
    <row r="5315" customFormat="false" ht="15.75" hidden="false" customHeight="true" outlineLevel="0" collapsed="false">
      <c r="A5315" s="7"/>
      <c r="B5315" s="8"/>
      <c r="C5315" s="9"/>
      <c r="D5315" s="8"/>
      <c r="E5315" s="10"/>
      <c r="F5315" s="8"/>
      <c r="G5315" s="8"/>
      <c r="H5315" s="8"/>
      <c r="I5315" s="7"/>
      <c r="J5315" s="8" t="e">
        <f aca="false">VLOOKUP(B5315, Table3[#All], 2, FALSE())</f>
        <v>#N/A</v>
      </c>
      <c r="K5315" s="8" t="str">
        <f aca="false">TEXT(ROW(), "0000")</f>
        <v>5315</v>
      </c>
      <c r="L5315" s="8"/>
    </row>
    <row r="5316" customFormat="false" ht="15.75" hidden="false" customHeight="true" outlineLevel="0" collapsed="false">
      <c r="A5316" s="7"/>
      <c r="B5316" s="8"/>
      <c r="C5316" s="9"/>
      <c r="D5316" s="8"/>
      <c r="E5316" s="10"/>
      <c r="F5316" s="8"/>
      <c r="G5316" s="8"/>
      <c r="H5316" s="8"/>
      <c r="I5316" s="7"/>
      <c r="J5316" s="8" t="e">
        <f aca="false">VLOOKUP(B5316, Table3[#All], 2, FALSE())</f>
        <v>#N/A</v>
      </c>
      <c r="K5316" s="8" t="str">
        <f aca="false">TEXT(ROW(), "0000")</f>
        <v>5316</v>
      </c>
      <c r="L5316" s="8"/>
    </row>
    <row r="5317" customFormat="false" ht="15.75" hidden="false" customHeight="true" outlineLevel="0" collapsed="false">
      <c r="A5317" s="7"/>
      <c r="B5317" s="8"/>
      <c r="C5317" s="9"/>
      <c r="D5317" s="8"/>
      <c r="E5317" s="10"/>
      <c r="F5317" s="8"/>
      <c r="G5317" s="8"/>
      <c r="H5317" s="8"/>
      <c r="I5317" s="7"/>
      <c r="J5317" s="8" t="e">
        <f aca="false">VLOOKUP(B5317, Table3[#All], 2, FALSE())</f>
        <v>#N/A</v>
      </c>
      <c r="K5317" s="8" t="str">
        <f aca="false">TEXT(ROW(), "0000")</f>
        <v>5317</v>
      </c>
      <c r="L5317" s="8"/>
    </row>
    <row r="5318" customFormat="false" ht="15.75" hidden="false" customHeight="true" outlineLevel="0" collapsed="false">
      <c r="A5318" s="7"/>
      <c r="B5318" s="8"/>
      <c r="C5318" s="9"/>
      <c r="D5318" s="8"/>
      <c r="E5318" s="10"/>
      <c r="F5318" s="8"/>
      <c r="G5318" s="8"/>
      <c r="H5318" s="8"/>
      <c r="I5318" s="7"/>
      <c r="J5318" s="8" t="e">
        <f aca="false">VLOOKUP(B5318, Table3[#All], 2, FALSE())</f>
        <v>#N/A</v>
      </c>
      <c r="K5318" s="8" t="str">
        <f aca="false">TEXT(ROW(), "0000")</f>
        <v>5318</v>
      </c>
      <c r="L5318" s="8"/>
    </row>
    <row r="5319" customFormat="false" ht="15.75" hidden="false" customHeight="true" outlineLevel="0" collapsed="false">
      <c r="A5319" s="7"/>
      <c r="B5319" s="8"/>
      <c r="C5319" s="9"/>
      <c r="D5319" s="8"/>
      <c r="E5319" s="10"/>
      <c r="F5319" s="8"/>
      <c r="G5319" s="8"/>
      <c r="H5319" s="8"/>
      <c r="I5319" s="7"/>
      <c r="J5319" s="8" t="e">
        <f aca="false">VLOOKUP(B5319, Table3[#All], 2, FALSE())</f>
        <v>#N/A</v>
      </c>
      <c r="K5319" s="8" t="str">
        <f aca="false">TEXT(ROW(), "0000")</f>
        <v>5319</v>
      </c>
      <c r="L5319" s="8"/>
    </row>
    <row r="5320" customFormat="false" ht="15.75" hidden="false" customHeight="true" outlineLevel="0" collapsed="false">
      <c r="A5320" s="7"/>
      <c r="B5320" s="8"/>
      <c r="C5320" s="9"/>
      <c r="D5320" s="8"/>
      <c r="E5320" s="10"/>
      <c r="F5320" s="8"/>
      <c r="G5320" s="8"/>
      <c r="H5320" s="8"/>
      <c r="I5320" s="7"/>
      <c r="J5320" s="8" t="e">
        <f aca="false">VLOOKUP(B5320, Table3[#All], 2, FALSE())</f>
        <v>#N/A</v>
      </c>
      <c r="K5320" s="8" t="str">
        <f aca="false">TEXT(ROW(), "0000")</f>
        <v>5320</v>
      </c>
      <c r="L5320" s="8"/>
    </row>
    <row r="5321" customFormat="false" ht="15.75" hidden="false" customHeight="true" outlineLevel="0" collapsed="false">
      <c r="A5321" s="7"/>
      <c r="B5321" s="8"/>
      <c r="C5321" s="9"/>
      <c r="D5321" s="8"/>
      <c r="E5321" s="10"/>
      <c r="F5321" s="8"/>
      <c r="G5321" s="8"/>
      <c r="H5321" s="8"/>
      <c r="I5321" s="7"/>
      <c r="J5321" s="8" t="e">
        <f aca="false">VLOOKUP(B5321, Table3[#All], 2, FALSE())</f>
        <v>#N/A</v>
      </c>
      <c r="K5321" s="8" t="str">
        <f aca="false">TEXT(ROW(), "0000")</f>
        <v>5321</v>
      </c>
      <c r="L5321" s="8"/>
    </row>
    <row r="5322" customFormat="false" ht="15.75" hidden="false" customHeight="true" outlineLevel="0" collapsed="false">
      <c r="A5322" s="7"/>
      <c r="B5322" s="8"/>
      <c r="C5322" s="9"/>
      <c r="D5322" s="8"/>
      <c r="E5322" s="10"/>
      <c r="F5322" s="8"/>
      <c r="G5322" s="8"/>
      <c r="H5322" s="8"/>
      <c r="I5322" s="7"/>
      <c r="J5322" s="8" t="e">
        <f aca="false">VLOOKUP(B5322, Table3[#All], 2, FALSE())</f>
        <v>#N/A</v>
      </c>
      <c r="K5322" s="8" t="str">
        <f aca="false">TEXT(ROW(), "0000")</f>
        <v>5322</v>
      </c>
      <c r="L5322" s="8"/>
    </row>
    <row r="5323" customFormat="false" ht="15.75" hidden="false" customHeight="true" outlineLevel="0" collapsed="false">
      <c r="A5323" s="7"/>
      <c r="B5323" s="8"/>
      <c r="C5323" s="9"/>
      <c r="D5323" s="8"/>
      <c r="E5323" s="10"/>
      <c r="F5323" s="8"/>
      <c r="G5323" s="8"/>
      <c r="H5323" s="8"/>
      <c r="I5323" s="7"/>
      <c r="J5323" s="8" t="e">
        <f aca="false">VLOOKUP(B5323, Table3[#All], 2, FALSE())</f>
        <v>#N/A</v>
      </c>
      <c r="K5323" s="8" t="str">
        <f aca="false">TEXT(ROW(), "0000")</f>
        <v>5323</v>
      </c>
      <c r="L5323" s="8"/>
    </row>
    <row r="5324" customFormat="false" ht="15.75" hidden="false" customHeight="true" outlineLevel="0" collapsed="false">
      <c r="A5324" s="7"/>
      <c r="B5324" s="8"/>
      <c r="C5324" s="9"/>
      <c r="D5324" s="8"/>
      <c r="E5324" s="10"/>
      <c r="F5324" s="8"/>
      <c r="G5324" s="8"/>
      <c r="H5324" s="8"/>
      <c r="I5324" s="7"/>
      <c r="J5324" s="8" t="e">
        <f aca="false">VLOOKUP(B5324, Table3[#All], 2, FALSE())</f>
        <v>#N/A</v>
      </c>
      <c r="K5324" s="8" t="str">
        <f aca="false">TEXT(ROW(), "0000")</f>
        <v>5324</v>
      </c>
      <c r="L5324" s="8"/>
    </row>
    <row r="5325" customFormat="false" ht="15.75" hidden="false" customHeight="true" outlineLevel="0" collapsed="false">
      <c r="A5325" s="7"/>
      <c r="B5325" s="8"/>
      <c r="C5325" s="9"/>
      <c r="D5325" s="8"/>
      <c r="E5325" s="10"/>
      <c r="F5325" s="8"/>
      <c r="G5325" s="8"/>
      <c r="H5325" s="8"/>
      <c r="I5325" s="7"/>
      <c r="J5325" s="8" t="e">
        <f aca="false">VLOOKUP(B5325, Table3[#All], 2, FALSE())</f>
        <v>#N/A</v>
      </c>
      <c r="K5325" s="8" t="str">
        <f aca="false">TEXT(ROW(), "0000")</f>
        <v>5325</v>
      </c>
      <c r="L5325" s="8"/>
    </row>
    <row r="5326" customFormat="false" ht="15.75" hidden="false" customHeight="true" outlineLevel="0" collapsed="false">
      <c r="A5326" s="7"/>
      <c r="B5326" s="8"/>
      <c r="C5326" s="9"/>
      <c r="D5326" s="8"/>
      <c r="E5326" s="10"/>
      <c r="F5326" s="8"/>
      <c r="G5326" s="8"/>
      <c r="H5326" s="8"/>
      <c r="I5326" s="7"/>
      <c r="J5326" s="8" t="e">
        <f aca="false">VLOOKUP(B5326, Table3[#All], 2, FALSE())</f>
        <v>#N/A</v>
      </c>
      <c r="K5326" s="8" t="str">
        <f aca="false">TEXT(ROW(), "0000")</f>
        <v>5326</v>
      </c>
      <c r="L5326" s="8"/>
    </row>
    <row r="5327" customFormat="false" ht="15.75" hidden="false" customHeight="true" outlineLevel="0" collapsed="false">
      <c r="A5327" s="7"/>
      <c r="B5327" s="8"/>
      <c r="C5327" s="9"/>
      <c r="D5327" s="8"/>
      <c r="E5327" s="10"/>
      <c r="F5327" s="8"/>
      <c r="G5327" s="8"/>
      <c r="H5327" s="8"/>
      <c r="I5327" s="7"/>
      <c r="J5327" s="8" t="e">
        <f aca="false">VLOOKUP(B5327, Table3[#All], 2, FALSE())</f>
        <v>#N/A</v>
      </c>
      <c r="K5327" s="8" t="str">
        <f aca="false">TEXT(ROW(), "0000")</f>
        <v>5327</v>
      </c>
      <c r="L5327" s="8"/>
    </row>
    <row r="5328" customFormat="false" ht="15.75" hidden="false" customHeight="true" outlineLevel="0" collapsed="false">
      <c r="A5328" s="7"/>
      <c r="B5328" s="8"/>
      <c r="C5328" s="9"/>
      <c r="D5328" s="8"/>
      <c r="E5328" s="10"/>
      <c r="F5328" s="8"/>
      <c r="G5328" s="8"/>
      <c r="H5328" s="8"/>
      <c r="I5328" s="7"/>
      <c r="J5328" s="8" t="e">
        <f aca="false">VLOOKUP(B5328, Table3[#All], 2, FALSE())</f>
        <v>#N/A</v>
      </c>
      <c r="K5328" s="8" t="str">
        <f aca="false">TEXT(ROW(), "0000")</f>
        <v>5328</v>
      </c>
      <c r="L5328" s="8"/>
    </row>
    <row r="5329" customFormat="false" ht="15.75" hidden="false" customHeight="true" outlineLevel="0" collapsed="false">
      <c r="A5329" s="7"/>
      <c r="B5329" s="8"/>
      <c r="C5329" s="9"/>
      <c r="D5329" s="8"/>
      <c r="E5329" s="10"/>
      <c r="F5329" s="8"/>
      <c r="G5329" s="8"/>
      <c r="H5329" s="8"/>
      <c r="I5329" s="7"/>
      <c r="J5329" s="8" t="e">
        <f aca="false">VLOOKUP(B5329, Table3[#All], 2, FALSE())</f>
        <v>#N/A</v>
      </c>
      <c r="K5329" s="8" t="str">
        <f aca="false">TEXT(ROW(), "0000")</f>
        <v>5329</v>
      </c>
      <c r="L5329" s="8"/>
    </row>
    <row r="5330" customFormat="false" ht="15.75" hidden="false" customHeight="true" outlineLevel="0" collapsed="false">
      <c r="A5330" s="7"/>
      <c r="B5330" s="8"/>
      <c r="C5330" s="9"/>
      <c r="D5330" s="8"/>
      <c r="E5330" s="10"/>
      <c r="F5330" s="8"/>
      <c r="G5330" s="8"/>
      <c r="H5330" s="8"/>
      <c r="I5330" s="7"/>
      <c r="J5330" s="8" t="e">
        <f aca="false">VLOOKUP(B5330, Table3[#All], 2, FALSE())</f>
        <v>#N/A</v>
      </c>
      <c r="K5330" s="8" t="str">
        <f aca="false">TEXT(ROW(), "0000")</f>
        <v>5330</v>
      </c>
      <c r="L5330" s="8"/>
    </row>
    <row r="5331" customFormat="false" ht="15.75" hidden="false" customHeight="true" outlineLevel="0" collapsed="false">
      <c r="A5331" s="7"/>
      <c r="B5331" s="8"/>
      <c r="C5331" s="9"/>
      <c r="D5331" s="8"/>
      <c r="E5331" s="10"/>
      <c r="F5331" s="8"/>
      <c r="G5331" s="8"/>
      <c r="H5331" s="8"/>
      <c r="I5331" s="7"/>
      <c r="J5331" s="8" t="e">
        <f aca="false">VLOOKUP(B5331, Table3[#All], 2, FALSE())</f>
        <v>#N/A</v>
      </c>
      <c r="K5331" s="8" t="str">
        <f aca="false">TEXT(ROW(), "0000")</f>
        <v>5331</v>
      </c>
      <c r="L5331" s="8"/>
    </row>
    <row r="5332" customFormat="false" ht="15.75" hidden="false" customHeight="true" outlineLevel="0" collapsed="false">
      <c r="A5332" s="7"/>
      <c r="B5332" s="8"/>
      <c r="C5332" s="9"/>
      <c r="D5332" s="8"/>
      <c r="E5332" s="10"/>
      <c r="F5332" s="8"/>
      <c r="G5332" s="8"/>
      <c r="H5332" s="8"/>
      <c r="I5332" s="7"/>
      <c r="J5332" s="8" t="e">
        <f aca="false">VLOOKUP(B5332, Table3[#All], 2, FALSE())</f>
        <v>#N/A</v>
      </c>
      <c r="K5332" s="8" t="str">
        <f aca="false">TEXT(ROW(), "0000")</f>
        <v>5332</v>
      </c>
      <c r="L5332" s="8"/>
    </row>
    <row r="5333" customFormat="false" ht="15.75" hidden="false" customHeight="true" outlineLevel="0" collapsed="false">
      <c r="A5333" s="7"/>
      <c r="B5333" s="8"/>
      <c r="C5333" s="9"/>
      <c r="D5333" s="8"/>
      <c r="E5333" s="10"/>
      <c r="F5333" s="8"/>
      <c r="G5333" s="8"/>
      <c r="H5333" s="8"/>
      <c r="I5333" s="7"/>
      <c r="J5333" s="8" t="e">
        <f aca="false">VLOOKUP(B5333, Table3[#All], 2, FALSE())</f>
        <v>#N/A</v>
      </c>
      <c r="K5333" s="8" t="str">
        <f aca="false">TEXT(ROW(), "0000")</f>
        <v>5333</v>
      </c>
      <c r="L5333" s="8"/>
    </row>
    <row r="5334" customFormat="false" ht="15.75" hidden="false" customHeight="true" outlineLevel="0" collapsed="false">
      <c r="A5334" s="7"/>
      <c r="B5334" s="8"/>
      <c r="C5334" s="9"/>
      <c r="D5334" s="8"/>
      <c r="E5334" s="10"/>
      <c r="F5334" s="8"/>
      <c r="G5334" s="8"/>
      <c r="H5334" s="8"/>
      <c r="I5334" s="7"/>
      <c r="J5334" s="8" t="e">
        <f aca="false">VLOOKUP(B5334, Table3[#All], 2, FALSE())</f>
        <v>#N/A</v>
      </c>
      <c r="K5334" s="8" t="str">
        <f aca="false">TEXT(ROW(), "0000")</f>
        <v>5334</v>
      </c>
      <c r="L5334" s="8"/>
    </row>
    <row r="5335" customFormat="false" ht="15.75" hidden="false" customHeight="true" outlineLevel="0" collapsed="false">
      <c r="A5335" s="7"/>
      <c r="B5335" s="8"/>
      <c r="C5335" s="9"/>
      <c r="D5335" s="8"/>
      <c r="E5335" s="10"/>
      <c r="F5335" s="8"/>
      <c r="G5335" s="8"/>
      <c r="H5335" s="8"/>
      <c r="I5335" s="7"/>
      <c r="J5335" s="8" t="e">
        <f aca="false">VLOOKUP(B5335, Table3[#All], 2, FALSE())</f>
        <v>#N/A</v>
      </c>
      <c r="K5335" s="8" t="str">
        <f aca="false">TEXT(ROW(), "0000")</f>
        <v>5335</v>
      </c>
      <c r="L5335" s="8"/>
    </row>
    <row r="5336" customFormat="false" ht="15.75" hidden="false" customHeight="true" outlineLevel="0" collapsed="false">
      <c r="A5336" s="7"/>
      <c r="B5336" s="8"/>
      <c r="C5336" s="9"/>
      <c r="D5336" s="8"/>
      <c r="E5336" s="10"/>
      <c r="F5336" s="8"/>
      <c r="G5336" s="8"/>
      <c r="H5336" s="8"/>
      <c r="I5336" s="7"/>
      <c r="J5336" s="8" t="e">
        <f aca="false">VLOOKUP(B5336, Table3[#All], 2, FALSE())</f>
        <v>#N/A</v>
      </c>
      <c r="K5336" s="8" t="str">
        <f aca="false">TEXT(ROW(), "0000")</f>
        <v>5336</v>
      </c>
      <c r="L5336" s="8"/>
    </row>
    <row r="5337" customFormat="false" ht="15.75" hidden="false" customHeight="true" outlineLevel="0" collapsed="false">
      <c r="A5337" s="7"/>
      <c r="B5337" s="8"/>
      <c r="C5337" s="9"/>
      <c r="D5337" s="8"/>
      <c r="E5337" s="10"/>
      <c r="F5337" s="8"/>
      <c r="G5337" s="8"/>
      <c r="H5337" s="8"/>
      <c r="I5337" s="7"/>
      <c r="J5337" s="8" t="e">
        <f aca="false">VLOOKUP(B5337, Table3[#All], 2, FALSE())</f>
        <v>#N/A</v>
      </c>
      <c r="K5337" s="8" t="str">
        <f aca="false">TEXT(ROW(), "0000")</f>
        <v>5337</v>
      </c>
      <c r="L5337" s="8"/>
    </row>
    <row r="5338" customFormat="false" ht="15.75" hidden="false" customHeight="true" outlineLevel="0" collapsed="false">
      <c r="A5338" s="7"/>
      <c r="B5338" s="8"/>
      <c r="C5338" s="9"/>
      <c r="D5338" s="8"/>
      <c r="E5338" s="10"/>
      <c r="F5338" s="8"/>
      <c r="G5338" s="8"/>
      <c r="H5338" s="8"/>
      <c r="I5338" s="7"/>
      <c r="J5338" s="8" t="e">
        <f aca="false">VLOOKUP(B5338, Table3[#All], 2, FALSE())</f>
        <v>#N/A</v>
      </c>
      <c r="K5338" s="8" t="str">
        <f aca="false">TEXT(ROW(), "0000")</f>
        <v>5338</v>
      </c>
      <c r="L5338" s="8"/>
    </row>
    <row r="5339" customFormat="false" ht="15.75" hidden="false" customHeight="true" outlineLevel="0" collapsed="false">
      <c r="A5339" s="7"/>
      <c r="B5339" s="8"/>
      <c r="C5339" s="9"/>
      <c r="D5339" s="8"/>
      <c r="E5339" s="10"/>
      <c r="F5339" s="8"/>
      <c r="G5339" s="8"/>
      <c r="H5339" s="8"/>
      <c r="I5339" s="7"/>
      <c r="J5339" s="8" t="e">
        <f aca="false">VLOOKUP(B5339, Table3[#All], 2, FALSE())</f>
        <v>#N/A</v>
      </c>
      <c r="K5339" s="8" t="str">
        <f aca="false">TEXT(ROW(), "0000")</f>
        <v>5339</v>
      </c>
      <c r="L5339" s="8"/>
    </row>
    <row r="5340" customFormat="false" ht="15.75" hidden="false" customHeight="true" outlineLevel="0" collapsed="false">
      <c r="A5340" s="7"/>
      <c r="B5340" s="8"/>
      <c r="C5340" s="9"/>
      <c r="D5340" s="8"/>
      <c r="E5340" s="10"/>
      <c r="F5340" s="8"/>
      <c r="G5340" s="8"/>
      <c r="H5340" s="8"/>
      <c r="I5340" s="7"/>
      <c r="J5340" s="8" t="e">
        <f aca="false">VLOOKUP(B5340, Table3[#All], 2, FALSE())</f>
        <v>#N/A</v>
      </c>
      <c r="K5340" s="8" t="str">
        <f aca="false">TEXT(ROW(), "0000")</f>
        <v>5340</v>
      </c>
      <c r="L5340" s="8"/>
    </row>
    <row r="5341" customFormat="false" ht="15.75" hidden="false" customHeight="true" outlineLevel="0" collapsed="false">
      <c r="A5341" s="7"/>
      <c r="B5341" s="8"/>
      <c r="C5341" s="9"/>
      <c r="D5341" s="8"/>
      <c r="E5341" s="10"/>
      <c r="F5341" s="8"/>
      <c r="G5341" s="8"/>
      <c r="H5341" s="8"/>
      <c r="I5341" s="7"/>
      <c r="J5341" s="8" t="e">
        <f aca="false">VLOOKUP(B5341, Table3[#All], 2, FALSE())</f>
        <v>#N/A</v>
      </c>
      <c r="K5341" s="8" t="str">
        <f aca="false">TEXT(ROW(), "0000")</f>
        <v>5341</v>
      </c>
      <c r="L5341" s="8"/>
    </row>
    <row r="5342" customFormat="false" ht="15.75" hidden="false" customHeight="true" outlineLevel="0" collapsed="false">
      <c r="A5342" s="7"/>
      <c r="B5342" s="8"/>
      <c r="C5342" s="9"/>
      <c r="D5342" s="8"/>
      <c r="E5342" s="10"/>
      <c r="F5342" s="8"/>
      <c r="G5342" s="8"/>
      <c r="H5342" s="8"/>
      <c r="I5342" s="7"/>
      <c r="J5342" s="8" t="e">
        <f aca="false">VLOOKUP(B5342, Table3[#All], 2, FALSE())</f>
        <v>#N/A</v>
      </c>
      <c r="K5342" s="8" t="str">
        <f aca="false">TEXT(ROW(), "0000")</f>
        <v>5342</v>
      </c>
      <c r="L5342" s="8"/>
    </row>
    <row r="5343" customFormat="false" ht="15.75" hidden="false" customHeight="true" outlineLevel="0" collapsed="false">
      <c r="A5343" s="7"/>
      <c r="B5343" s="8"/>
      <c r="C5343" s="9"/>
      <c r="D5343" s="8"/>
      <c r="E5343" s="10"/>
      <c r="F5343" s="8"/>
      <c r="G5343" s="8"/>
      <c r="H5343" s="8"/>
      <c r="I5343" s="7"/>
      <c r="J5343" s="8" t="e">
        <f aca="false">VLOOKUP(B5343, Table3[#All], 2, FALSE())</f>
        <v>#N/A</v>
      </c>
      <c r="K5343" s="8" t="str">
        <f aca="false">TEXT(ROW(), "0000")</f>
        <v>5343</v>
      </c>
      <c r="L5343" s="8"/>
    </row>
    <row r="5344" customFormat="false" ht="15.75" hidden="false" customHeight="true" outlineLevel="0" collapsed="false">
      <c r="A5344" s="7"/>
      <c r="B5344" s="8"/>
      <c r="C5344" s="9"/>
      <c r="D5344" s="8"/>
      <c r="E5344" s="10"/>
      <c r="F5344" s="8"/>
      <c r="G5344" s="8"/>
      <c r="H5344" s="8"/>
      <c r="I5344" s="7"/>
      <c r="J5344" s="8" t="e">
        <f aca="false">VLOOKUP(B5344, Table3[#All], 2, FALSE())</f>
        <v>#N/A</v>
      </c>
      <c r="K5344" s="8" t="str">
        <f aca="false">TEXT(ROW(), "0000")</f>
        <v>5344</v>
      </c>
      <c r="L5344" s="8"/>
    </row>
    <row r="5345" customFormat="false" ht="15.75" hidden="false" customHeight="true" outlineLevel="0" collapsed="false">
      <c r="A5345" s="7"/>
      <c r="B5345" s="8"/>
      <c r="C5345" s="9"/>
      <c r="D5345" s="8"/>
      <c r="E5345" s="10"/>
      <c r="F5345" s="8"/>
      <c r="G5345" s="8"/>
      <c r="H5345" s="8"/>
      <c r="I5345" s="7"/>
      <c r="J5345" s="8" t="e">
        <f aca="false">VLOOKUP(B5345, Table3[#All], 2, FALSE())</f>
        <v>#N/A</v>
      </c>
      <c r="K5345" s="8" t="str">
        <f aca="false">TEXT(ROW(), "0000")</f>
        <v>5345</v>
      </c>
      <c r="L5345" s="8"/>
    </row>
    <row r="5346" customFormat="false" ht="15.75" hidden="false" customHeight="true" outlineLevel="0" collapsed="false">
      <c r="A5346" s="7"/>
      <c r="B5346" s="8"/>
      <c r="C5346" s="9"/>
      <c r="D5346" s="8"/>
      <c r="E5346" s="10"/>
      <c r="F5346" s="8"/>
      <c r="G5346" s="8"/>
      <c r="H5346" s="8"/>
      <c r="I5346" s="7"/>
      <c r="J5346" s="8" t="e">
        <f aca="false">VLOOKUP(B5346, Table3[#All], 2, FALSE())</f>
        <v>#N/A</v>
      </c>
      <c r="K5346" s="8" t="str">
        <f aca="false">TEXT(ROW(), "0000")</f>
        <v>5346</v>
      </c>
      <c r="L5346" s="8"/>
    </row>
    <row r="5347" customFormat="false" ht="15.75" hidden="false" customHeight="true" outlineLevel="0" collapsed="false">
      <c r="A5347" s="7"/>
      <c r="B5347" s="8"/>
      <c r="C5347" s="9"/>
      <c r="D5347" s="8"/>
      <c r="E5347" s="10"/>
      <c r="F5347" s="8"/>
      <c r="G5347" s="8"/>
      <c r="H5347" s="8"/>
      <c r="I5347" s="7"/>
      <c r="J5347" s="8" t="e">
        <f aca="false">VLOOKUP(B5347, Table3[#All], 2, FALSE())</f>
        <v>#N/A</v>
      </c>
      <c r="K5347" s="8" t="str">
        <f aca="false">TEXT(ROW(), "0000")</f>
        <v>5347</v>
      </c>
      <c r="L5347" s="8"/>
    </row>
    <row r="5348" customFormat="false" ht="15.75" hidden="false" customHeight="true" outlineLevel="0" collapsed="false">
      <c r="A5348" s="7"/>
      <c r="B5348" s="8"/>
      <c r="C5348" s="9"/>
      <c r="D5348" s="8"/>
      <c r="E5348" s="10"/>
      <c r="F5348" s="8"/>
      <c r="G5348" s="8"/>
      <c r="H5348" s="8"/>
      <c r="I5348" s="7"/>
      <c r="J5348" s="8" t="e">
        <f aca="false">VLOOKUP(B5348, Table3[#All], 2, FALSE())</f>
        <v>#N/A</v>
      </c>
      <c r="K5348" s="8" t="str">
        <f aca="false">TEXT(ROW(), "0000")</f>
        <v>5348</v>
      </c>
      <c r="L5348" s="8"/>
    </row>
    <row r="5349" customFormat="false" ht="15.75" hidden="false" customHeight="true" outlineLevel="0" collapsed="false">
      <c r="A5349" s="7"/>
      <c r="B5349" s="8"/>
      <c r="C5349" s="9"/>
      <c r="D5349" s="8"/>
      <c r="E5349" s="10"/>
      <c r="F5349" s="8"/>
      <c r="G5349" s="8"/>
      <c r="H5349" s="8"/>
      <c r="I5349" s="7"/>
      <c r="J5349" s="8" t="e">
        <f aca="false">VLOOKUP(B5349, Table3[#All], 2, FALSE())</f>
        <v>#N/A</v>
      </c>
      <c r="K5349" s="8" t="str">
        <f aca="false">TEXT(ROW(), "0000")</f>
        <v>5349</v>
      </c>
      <c r="L5349" s="8"/>
    </row>
    <row r="5350" customFormat="false" ht="15.75" hidden="false" customHeight="true" outlineLevel="0" collapsed="false">
      <c r="A5350" s="7"/>
      <c r="B5350" s="8"/>
      <c r="C5350" s="9"/>
      <c r="D5350" s="8"/>
      <c r="E5350" s="10"/>
      <c r="F5350" s="8"/>
      <c r="G5350" s="8"/>
      <c r="H5350" s="8"/>
      <c r="I5350" s="7"/>
      <c r="J5350" s="8" t="e">
        <f aca="false">VLOOKUP(B5350, Table3[#All], 2, FALSE())</f>
        <v>#N/A</v>
      </c>
      <c r="K5350" s="8" t="str">
        <f aca="false">TEXT(ROW(), "0000")</f>
        <v>5350</v>
      </c>
      <c r="L5350" s="8"/>
    </row>
    <row r="5351" customFormat="false" ht="15.75" hidden="false" customHeight="true" outlineLevel="0" collapsed="false">
      <c r="A5351" s="7"/>
      <c r="B5351" s="8"/>
      <c r="C5351" s="9"/>
      <c r="D5351" s="8"/>
      <c r="E5351" s="10"/>
      <c r="F5351" s="8"/>
      <c r="G5351" s="8"/>
      <c r="H5351" s="8"/>
      <c r="I5351" s="7"/>
      <c r="J5351" s="8" t="e">
        <f aca="false">VLOOKUP(B5351, Table3[#All], 2, FALSE())</f>
        <v>#N/A</v>
      </c>
      <c r="K5351" s="8" t="str">
        <f aca="false">TEXT(ROW(), "0000")</f>
        <v>5351</v>
      </c>
      <c r="L5351" s="8"/>
    </row>
    <row r="5352" customFormat="false" ht="15.75" hidden="false" customHeight="true" outlineLevel="0" collapsed="false">
      <c r="A5352" s="7"/>
      <c r="B5352" s="8"/>
      <c r="C5352" s="9"/>
      <c r="D5352" s="8"/>
      <c r="E5352" s="10"/>
      <c r="F5352" s="8"/>
      <c r="G5352" s="8"/>
      <c r="H5352" s="8"/>
      <c r="I5352" s="7"/>
      <c r="J5352" s="8" t="e">
        <f aca="false">VLOOKUP(B5352, Table3[#All], 2, FALSE())</f>
        <v>#N/A</v>
      </c>
      <c r="K5352" s="8" t="str">
        <f aca="false">TEXT(ROW(), "0000")</f>
        <v>5352</v>
      </c>
      <c r="L5352" s="8"/>
    </row>
    <row r="5353" customFormat="false" ht="15.75" hidden="false" customHeight="true" outlineLevel="0" collapsed="false">
      <c r="A5353" s="7"/>
      <c r="B5353" s="8"/>
      <c r="C5353" s="9"/>
      <c r="D5353" s="8"/>
      <c r="E5353" s="10"/>
      <c r="F5353" s="8"/>
      <c r="G5353" s="8"/>
      <c r="H5353" s="8"/>
      <c r="I5353" s="7"/>
      <c r="J5353" s="8" t="e">
        <f aca="false">VLOOKUP(B5353, Table3[#All], 2, FALSE())</f>
        <v>#N/A</v>
      </c>
      <c r="K5353" s="8" t="str">
        <f aca="false">TEXT(ROW(), "0000")</f>
        <v>5353</v>
      </c>
      <c r="L5353" s="8"/>
    </row>
    <row r="5354" customFormat="false" ht="15.75" hidden="false" customHeight="true" outlineLevel="0" collapsed="false">
      <c r="A5354" s="7"/>
      <c r="B5354" s="8"/>
      <c r="C5354" s="9"/>
      <c r="D5354" s="8"/>
      <c r="E5354" s="10"/>
      <c r="F5354" s="8"/>
      <c r="G5354" s="8"/>
      <c r="H5354" s="8"/>
      <c r="I5354" s="7"/>
      <c r="J5354" s="8" t="e">
        <f aca="false">VLOOKUP(B5354, Table3[#All], 2, FALSE())</f>
        <v>#N/A</v>
      </c>
      <c r="K5354" s="8" t="str">
        <f aca="false">TEXT(ROW(), "0000")</f>
        <v>5354</v>
      </c>
      <c r="L5354" s="8"/>
    </row>
    <row r="5355" customFormat="false" ht="15.75" hidden="false" customHeight="true" outlineLevel="0" collapsed="false">
      <c r="A5355" s="7"/>
      <c r="B5355" s="8"/>
      <c r="C5355" s="9"/>
      <c r="D5355" s="8"/>
      <c r="E5355" s="10"/>
      <c r="F5355" s="8"/>
      <c r="G5355" s="8"/>
      <c r="H5355" s="8"/>
      <c r="I5355" s="7"/>
      <c r="J5355" s="8" t="e">
        <f aca="false">VLOOKUP(B5355, Table3[#All], 2, FALSE())</f>
        <v>#N/A</v>
      </c>
      <c r="K5355" s="8" t="str">
        <f aca="false">TEXT(ROW(), "0000")</f>
        <v>5355</v>
      </c>
      <c r="L5355" s="8"/>
    </row>
    <row r="5356" customFormat="false" ht="15.75" hidden="false" customHeight="true" outlineLevel="0" collapsed="false">
      <c r="A5356" s="7"/>
      <c r="B5356" s="8"/>
      <c r="C5356" s="9"/>
      <c r="D5356" s="8"/>
      <c r="E5356" s="10"/>
      <c r="F5356" s="8"/>
      <c r="G5356" s="8"/>
      <c r="H5356" s="8"/>
      <c r="I5356" s="7"/>
      <c r="J5356" s="8" t="e">
        <f aca="false">VLOOKUP(B5356, Table3[#All], 2, FALSE())</f>
        <v>#N/A</v>
      </c>
      <c r="K5356" s="8" t="str">
        <f aca="false">TEXT(ROW(), "0000")</f>
        <v>5356</v>
      </c>
      <c r="L5356" s="8"/>
    </row>
    <row r="5357" customFormat="false" ht="15.75" hidden="false" customHeight="true" outlineLevel="0" collapsed="false">
      <c r="A5357" s="7"/>
      <c r="B5357" s="8"/>
      <c r="C5357" s="9"/>
      <c r="D5357" s="8"/>
      <c r="E5357" s="10"/>
      <c r="F5357" s="8"/>
      <c r="G5357" s="8"/>
      <c r="H5357" s="8"/>
      <c r="I5357" s="7"/>
      <c r="J5357" s="8" t="e">
        <f aca="false">VLOOKUP(B5357, Table3[#All], 2, FALSE())</f>
        <v>#N/A</v>
      </c>
      <c r="K5357" s="8" t="str">
        <f aca="false">TEXT(ROW(), "0000")</f>
        <v>5357</v>
      </c>
      <c r="L5357" s="8"/>
    </row>
    <row r="5358" customFormat="false" ht="15.75" hidden="false" customHeight="true" outlineLevel="0" collapsed="false">
      <c r="A5358" s="7"/>
      <c r="B5358" s="8"/>
      <c r="C5358" s="9"/>
      <c r="D5358" s="8"/>
      <c r="E5358" s="10"/>
      <c r="F5358" s="8"/>
      <c r="G5358" s="8"/>
      <c r="H5358" s="8"/>
      <c r="I5358" s="7"/>
      <c r="J5358" s="8" t="e">
        <f aca="false">VLOOKUP(B5358, Table3[#All], 2, FALSE())</f>
        <v>#N/A</v>
      </c>
      <c r="K5358" s="8" t="str">
        <f aca="false">TEXT(ROW(), "0000")</f>
        <v>5358</v>
      </c>
      <c r="L5358" s="8"/>
    </row>
    <row r="5359" customFormat="false" ht="15.75" hidden="false" customHeight="true" outlineLevel="0" collapsed="false">
      <c r="A5359" s="7"/>
      <c r="B5359" s="8"/>
      <c r="C5359" s="9"/>
      <c r="D5359" s="8"/>
      <c r="E5359" s="10"/>
      <c r="F5359" s="8"/>
      <c r="G5359" s="8"/>
      <c r="H5359" s="8"/>
      <c r="I5359" s="7"/>
      <c r="J5359" s="8" t="e">
        <f aca="false">VLOOKUP(B5359, Table3[#All], 2, FALSE())</f>
        <v>#N/A</v>
      </c>
      <c r="K5359" s="8" t="str">
        <f aca="false">TEXT(ROW(), "0000")</f>
        <v>5359</v>
      </c>
      <c r="L5359" s="8"/>
    </row>
    <row r="5360" customFormat="false" ht="15.75" hidden="false" customHeight="true" outlineLevel="0" collapsed="false">
      <c r="A5360" s="7"/>
      <c r="B5360" s="8"/>
      <c r="C5360" s="9"/>
      <c r="D5360" s="8"/>
      <c r="E5360" s="10"/>
      <c r="F5360" s="8"/>
      <c r="G5360" s="8"/>
      <c r="H5360" s="8"/>
      <c r="I5360" s="7"/>
      <c r="J5360" s="8" t="e">
        <f aca="false">VLOOKUP(B5360, Table3[#All], 2, FALSE())</f>
        <v>#N/A</v>
      </c>
      <c r="K5360" s="8" t="str">
        <f aca="false">TEXT(ROW(), "0000")</f>
        <v>5360</v>
      </c>
      <c r="L5360" s="8"/>
    </row>
    <row r="5361" customFormat="false" ht="15.75" hidden="false" customHeight="true" outlineLevel="0" collapsed="false">
      <c r="A5361" s="7"/>
      <c r="B5361" s="8"/>
      <c r="C5361" s="9"/>
      <c r="D5361" s="8"/>
      <c r="E5361" s="10"/>
      <c r="F5361" s="8"/>
      <c r="G5361" s="8"/>
      <c r="H5361" s="8"/>
      <c r="I5361" s="7"/>
      <c r="J5361" s="8" t="e">
        <f aca="false">VLOOKUP(B5361, Table3[#All], 2, FALSE())</f>
        <v>#N/A</v>
      </c>
      <c r="K5361" s="8" t="str">
        <f aca="false">TEXT(ROW(), "0000")</f>
        <v>5361</v>
      </c>
      <c r="L5361" s="8"/>
    </row>
    <row r="5362" customFormat="false" ht="15.75" hidden="false" customHeight="true" outlineLevel="0" collapsed="false">
      <c r="A5362" s="7"/>
      <c r="B5362" s="8"/>
      <c r="C5362" s="9"/>
      <c r="D5362" s="8"/>
      <c r="E5362" s="10"/>
      <c r="F5362" s="8"/>
      <c r="G5362" s="8"/>
      <c r="H5362" s="8"/>
      <c r="I5362" s="7"/>
      <c r="J5362" s="8" t="e">
        <f aca="false">VLOOKUP(B5362, Table3[#All], 2, FALSE())</f>
        <v>#N/A</v>
      </c>
      <c r="K5362" s="8" t="str">
        <f aca="false">TEXT(ROW(), "0000")</f>
        <v>5362</v>
      </c>
      <c r="L5362" s="8"/>
    </row>
    <row r="5363" customFormat="false" ht="15.75" hidden="false" customHeight="true" outlineLevel="0" collapsed="false">
      <c r="A5363" s="7"/>
      <c r="B5363" s="8"/>
      <c r="C5363" s="9"/>
      <c r="D5363" s="8"/>
      <c r="E5363" s="10"/>
      <c r="F5363" s="8"/>
      <c r="G5363" s="8"/>
      <c r="H5363" s="8"/>
      <c r="I5363" s="7"/>
      <c r="J5363" s="8" t="e">
        <f aca="false">VLOOKUP(B5363, Table3[#All], 2, FALSE())</f>
        <v>#N/A</v>
      </c>
      <c r="K5363" s="8" t="str">
        <f aca="false">TEXT(ROW(), "0000")</f>
        <v>5363</v>
      </c>
      <c r="L5363" s="8"/>
    </row>
    <row r="5364" customFormat="false" ht="15.75" hidden="false" customHeight="true" outlineLevel="0" collapsed="false">
      <c r="A5364" s="7"/>
      <c r="B5364" s="8"/>
      <c r="C5364" s="9"/>
      <c r="D5364" s="8"/>
      <c r="E5364" s="10"/>
      <c r="F5364" s="8"/>
      <c r="G5364" s="8"/>
      <c r="H5364" s="8"/>
      <c r="I5364" s="7"/>
      <c r="J5364" s="8" t="e">
        <f aca="false">VLOOKUP(B5364, Table3[#All], 2, FALSE())</f>
        <v>#N/A</v>
      </c>
      <c r="K5364" s="8" t="str">
        <f aca="false">TEXT(ROW(), "0000")</f>
        <v>5364</v>
      </c>
      <c r="L5364" s="8"/>
    </row>
    <row r="5365" customFormat="false" ht="15.75" hidden="false" customHeight="true" outlineLevel="0" collapsed="false">
      <c r="A5365" s="7"/>
      <c r="B5365" s="8"/>
      <c r="C5365" s="9"/>
      <c r="D5365" s="8"/>
      <c r="E5365" s="10"/>
      <c r="F5365" s="8"/>
      <c r="G5365" s="8"/>
      <c r="H5365" s="8"/>
      <c r="I5365" s="7"/>
      <c r="J5365" s="8" t="e">
        <f aca="false">VLOOKUP(B5365, Table3[#All], 2, FALSE())</f>
        <v>#N/A</v>
      </c>
      <c r="K5365" s="8" t="str">
        <f aca="false">TEXT(ROW(), "0000")</f>
        <v>5365</v>
      </c>
      <c r="L5365" s="8"/>
    </row>
    <row r="5366" customFormat="false" ht="15.75" hidden="false" customHeight="true" outlineLevel="0" collapsed="false">
      <c r="A5366" s="7"/>
      <c r="B5366" s="8"/>
      <c r="C5366" s="9"/>
      <c r="D5366" s="8"/>
      <c r="E5366" s="10"/>
      <c r="F5366" s="8"/>
      <c r="G5366" s="8"/>
      <c r="H5366" s="8"/>
      <c r="I5366" s="7"/>
      <c r="J5366" s="8" t="e">
        <f aca="false">VLOOKUP(B5366, Table3[#All], 2, FALSE())</f>
        <v>#N/A</v>
      </c>
      <c r="K5366" s="8" t="str">
        <f aca="false">TEXT(ROW(), "0000")</f>
        <v>5366</v>
      </c>
      <c r="L5366" s="8"/>
    </row>
    <row r="5367" customFormat="false" ht="15.75" hidden="false" customHeight="true" outlineLevel="0" collapsed="false">
      <c r="A5367" s="7"/>
      <c r="B5367" s="8"/>
      <c r="C5367" s="9"/>
      <c r="D5367" s="8"/>
      <c r="E5367" s="10"/>
      <c r="F5367" s="8"/>
      <c r="G5367" s="8"/>
      <c r="H5367" s="8"/>
      <c r="I5367" s="7"/>
      <c r="J5367" s="8" t="e">
        <f aca="false">VLOOKUP(B5367, Table3[#All], 2, FALSE())</f>
        <v>#N/A</v>
      </c>
      <c r="K5367" s="8" t="str">
        <f aca="false">TEXT(ROW(), "0000")</f>
        <v>5367</v>
      </c>
      <c r="L5367" s="8"/>
    </row>
    <row r="5368" customFormat="false" ht="15.75" hidden="false" customHeight="true" outlineLevel="0" collapsed="false">
      <c r="A5368" s="7"/>
      <c r="B5368" s="8"/>
      <c r="C5368" s="9"/>
      <c r="D5368" s="8"/>
      <c r="E5368" s="10"/>
      <c r="F5368" s="8"/>
      <c r="G5368" s="8"/>
      <c r="H5368" s="8"/>
      <c r="I5368" s="7"/>
      <c r="J5368" s="8" t="e">
        <f aca="false">VLOOKUP(B5368, Table3[#All], 2, FALSE())</f>
        <v>#N/A</v>
      </c>
      <c r="K5368" s="8" t="str">
        <f aca="false">TEXT(ROW(), "0000")</f>
        <v>5368</v>
      </c>
      <c r="L5368" s="8"/>
    </row>
    <row r="5369" customFormat="false" ht="15.75" hidden="false" customHeight="true" outlineLevel="0" collapsed="false">
      <c r="A5369" s="7"/>
      <c r="B5369" s="8"/>
      <c r="C5369" s="9"/>
      <c r="D5369" s="8"/>
      <c r="E5369" s="10"/>
      <c r="F5369" s="8"/>
      <c r="G5369" s="8"/>
      <c r="H5369" s="8"/>
      <c r="I5369" s="7"/>
      <c r="J5369" s="8" t="e">
        <f aca="false">VLOOKUP(B5369, Table3[#All], 2, FALSE())</f>
        <v>#N/A</v>
      </c>
      <c r="K5369" s="8" t="str">
        <f aca="false">TEXT(ROW(), "0000")</f>
        <v>5369</v>
      </c>
      <c r="L5369" s="8"/>
    </row>
    <row r="5370" customFormat="false" ht="15.75" hidden="false" customHeight="true" outlineLevel="0" collapsed="false">
      <c r="A5370" s="7"/>
      <c r="B5370" s="8"/>
      <c r="C5370" s="9"/>
      <c r="D5370" s="8"/>
      <c r="E5370" s="10"/>
      <c r="F5370" s="8"/>
      <c r="G5370" s="8"/>
      <c r="H5370" s="8"/>
      <c r="I5370" s="7"/>
      <c r="J5370" s="8" t="e">
        <f aca="false">VLOOKUP(B5370, Table3[#All], 2, FALSE())</f>
        <v>#N/A</v>
      </c>
      <c r="K5370" s="8" t="str">
        <f aca="false">TEXT(ROW(), "0000")</f>
        <v>5370</v>
      </c>
      <c r="L5370" s="8"/>
    </row>
    <row r="5371" customFormat="false" ht="15.75" hidden="false" customHeight="true" outlineLevel="0" collapsed="false">
      <c r="A5371" s="7"/>
      <c r="B5371" s="8"/>
      <c r="C5371" s="9"/>
      <c r="D5371" s="8"/>
      <c r="E5371" s="10"/>
      <c r="F5371" s="8"/>
      <c r="G5371" s="8"/>
      <c r="H5371" s="8"/>
      <c r="I5371" s="7"/>
      <c r="J5371" s="8" t="e">
        <f aca="false">VLOOKUP(B5371, Table3[#All], 2, FALSE())</f>
        <v>#N/A</v>
      </c>
      <c r="K5371" s="8" t="str">
        <f aca="false">TEXT(ROW(), "0000")</f>
        <v>5371</v>
      </c>
      <c r="L5371" s="8"/>
    </row>
    <row r="5372" customFormat="false" ht="15.75" hidden="false" customHeight="true" outlineLevel="0" collapsed="false">
      <c r="A5372" s="7"/>
      <c r="B5372" s="8"/>
      <c r="C5372" s="9"/>
      <c r="D5372" s="8"/>
      <c r="E5372" s="10"/>
      <c r="F5372" s="8"/>
      <c r="G5372" s="8"/>
      <c r="H5372" s="8"/>
      <c r="I5372" s="7"/>
      <c r="J5372" s="8" t="e">
        <f aca="false">VLOOKUP(B5372, Table3[#All], 2, FALSE())</f>
        <v>#N/A</v>
      </c>
      <c r="K5372" s="8" t="str">
        <f aca="false">TEXT(ROW(), "0000")</f>
        <v>5372</v>
      </c>
      <c r="L5372" s="8"/>
    </row>
    <row r="5373" customFormat="false" ht="15.75" hidden="false" customHeight="true" outlineLevel="0" collapsed="false">
      <c r="A5373" s="7"/>
      <c r="B5373" s="8"/>
      <c r="C5373" s="9"/>
      <c r="D5373" s="8"/>
      <c r="E5373" s="10"/>
      <c r="F5373" s="8"/>
      <c r="G5373" s="8"/>
      <c r="H5373" s="8"/>
      <c r="I5373" s="7"/>
      <c r="J5373" s="8" t="e">
        <f aca="false">VLOOKUP(B5373, Table3[#All], 2, FALSE())</f>
        <v>#N/A</v>
      </c>
      <c r="K5373" s="8" t="str">
        <f aca="false">TEXT(ROW(), "0000")</f>
        <v>5373</v>
      </c>
      <c r="L5373" s="8"/>
    </row>
    <row r="5374" customFormat="false" ht="15.75" hidden="false" customHeight="true" outlineLevel="0" collapsed="false">
      <c r="A5374" s="7"/>
      <c r="B5374" s="8"/>
      <c r="C5374" s="9"/>
      <c r="D5374" s="8"/>
      <c r="E5374" s="10"/>
      <c r="F5374" s="8"/>
      <c r="G5374" s="8"/>
      <c r="H5374" s="8"/>
      <c r="I5374" s="7"/>
      <c r="J5374" s="8" t="e">
        <f aca="false">VLOOKUP(B5374, Table3[#All], 2, FALSE())</f>
        <v>#N/A</v>
      </c>
      <c r="K5374" s="8" t="str">
        <f aca="false">TEXT(ROW(), "0000")</f>
        <v>5374</v>
      </c>
      <c r="L5374" s="8"/>
    </row>
    <row r="5375" customFormat="false" ht="15.75" hidden="false" customHeight="true" outlineLevel="0" collapsed="false">
      <c r="A5375" s="7"/>
      <c r="B5375" s="8"/>
      <c r="C5375" s="9"/>
      <c r="D5375" s="8"/>
      <c r="E5375" s="10"/>
      <c r="F5375" s="8"/>
      <c r="G5375" s="8"/>
      <c r="H5375" s="8"/>
      <c r="I5375" s="7"/>
      <c r="J5375" s="8" t="e">
        <f aca="false">VLOOKUP(B5375, Table3[#All], 2, FALSE())</f>
        <v>#N/A</v>
      </c>
      <c r="K5375" s="8" t="str">
        <f aca="false">TEXT(ROW(), "0000")</f>
        <v>5375</v>
      </c>
      <c r="L5375" s="8"/>
    </row>
    <row r="5376" customFormat="false" ht="15.75" hidden="false" customHeight="true" outlineLevel="0" collapsed="false">
      <c r="A5376" s="7"/>
      <c r="B5376" s="8"/>
      <c r="C5376" s="9"/>
      <c r="D5376" s="8"/>
      <c r="E5376" s="10"/>
      <c r="F5376" s="8"/>
      <c r="G5376" s="8"/>
      <c r="H5376" s="8"/>
      <c r="I5376" s="7"/>
      <c r="J5376" s="8" t="e">
        <f aca="false">VLOOKUP(B5376, Table3[#All], 2, FALSE())</f>
        <v>#N/A</v>
      </c>
      <c r="K5376" s="8" t="str">
        <f aca="false">TEXT(ROW(), "0000")</f>
        <v>5376</v>
      </c>
      <c r="L5376" s="8"/>
    </row>
    <row r="5377" customFormat="false" ht="15.75" hidden="false" customHeight="true" outlineLevel="0" collapsed="false">
      <c r="A5377" s="7"/>
      <c r="B5377" s="8"/>
      <c r="C5377" s="9"/>
      <c r="D5377" s="8"/>
      <c r="E5377" s="10"/>
      <c r="F5377" s="8"/>
      <c r="G5377" s="8"/>
      <c r="H5377" s="8"/>
      <c r="I5377" s="7"/>
      <c r="J5377" s="8" t="e">
        <f aca="false">VLOOKUP(B5377, Table3[#All], 2, FALSE())</f>
        <v>#N/A</v>
      </c>
      <c r="K5377" s="8" t="str">
        <f aca="false">TEXT(ROW(), "0000")</f>
        <v>5377</v>
      </c>
      <c r="L5377" s="8"/>
    </row>
    <row r="5378" customFormat="false" ht="15.75" hidden="false" customHeight="true" outlineLevel="0" collapsed="false">
      <c r="A5378" s="7"/>
      <c r="B5378" s="8"/>
      <c r="C5378" s="9"/>
      <c r="D5378" s="8"/>
      <c r="E5378" s="10"/>
      <c r="F5378" s="8"/>
      <c r="G5378" s="8"/>
      <c r="H5378" s="8"/>
      <c r="I5378" s="7"/>
      <c r="J5378" s="8" t="e">
        <f aca="false">VLOOKUP(B5378, Table3[#All], 2, FALSE())</f>
        <v>#N/A</v>
      </c>
      <c r="K5378" s="8" t="str">
        <f aca="false">TEXT(ROW(), "0000")</f>
        <v>5378</v>
      </c>
      <c r="L5378" s="8"/>
    </row>
    <row r="5379" customFormat="false" ht="15.75" hidden="false" customHeight="true" outlineLevel="0" collapsed="false">
      <c r="A5379" s="7"/>
      <c r="B5379" s="8"/>
      <c r="C5379" s="9"/>
      <c r="D5379" s="8"/>
      <c r="E5379" s="10"/>
      <c r="F5379" s="8"/>
      <c r="G5379" s="8"/>
      <c r="H5379" s="8"/>
      <c r="I5379" s="7"/>
      <c r="J5379" s="8" t="e">
        <f aca="false">VLOOKUP(B5379, Table3[#All], 2, FALSE())</f>
        <v>#N/A</v>
      </c>
      <c r="K5379" s="8" t="str">
        <f aca="false">TEXT(ROW(), "0000")</f>
        <v>5379</v>
      </c>
      <c r="L5379" s="8"/>
    </row>
    <row r="5380" customFormat="false" ht="15.75" hidden="false" customHeight="true" outlineLevel="0" collapsed="false">
      <c r="A5380" s="7"/>
      <c r="B5380" s="8"/>
      <c r="C5380" s="9"/>
      <c r="D5380" s="8"/>
      <c r="E5380" s="10"/>
      <c r="F5380" s="8"/>
      <c r="G5380" s="8"/>
      <c r="H5380" s="8"/>
      <c r="I5380" s="7"/>
      <c r="J5380" s="8" t="e">
        <f aca="false">VLOOKUP(B5380, Table3[#All], 2, FALSE())</f>
        <v>#N/A</v>
      </c>
      <c r="K5380" s="8" t="str">
        <f aca="false">TEXT(ROW(), "0000")</f>
        <v>5380</v>
      </c>
      <c r="L5380" s="8"/>
    </row>
    <row r="5381" customFormat="false" ht="15.75" hidden="false" customHeight="true" outlineLevel="0" collapsed="false">
      <c r="A5381" s="7"/>
      <c r="B5381" s="8"/>
      <c r="C5381" s="9"/>
      <c r="D5381" s="8"/>
      <c r="E5381" s="10"/>
      <c r="F5381" s="8"/>
      <c r="G5381" s="8"/>
      <c r="H5381" s="8"/>
      <c r="I5381" s="7"/>
      <c r="J5381" s="8" t="e">
        <f aca="false">VLOOKUP(B5381, Table3[#All], 2, FALSE())</f>
        <v>#N/A</v>
      </c>
      <c r="K5381" s="8" t="str">
        <f aca="false">TEXT(ROW(), "0000")</f>
        <v>5381</v>
      </c>
      <c r="L5381" s="8"/>
    </row>
    <row r="5382" customFormat="false" ht="15.75" hidden="false" customHeight="true" outlineLevel="0" collapsed="false">
      <c r="A5382" s="7"/>
      <c r="B5382" s="8"/>
      <c r="C5382" s="9"/>
      <c r="D5382" s="8"/>
      <c r="E5382" s="10"/>
      <c r="F5382" s="8"/>
      <c r="G5382" s="8"/>
      <c r="H5382" s="8"/>
      <c r="I5382" s="7"/>
      <c r="J5382" s="8" t="e">
        <f aca="false">VLOOKUP(B5382, Table3[#All], 2, FALSE())</f>
        <v>#N/A</v>
      </c>
      <c r="K5382" s="8" t="str">
        <f aca="false">TEXT(ROW(), "0000")</f>
        <v>5382</v>
      </c>
      <c r="L5382" s="8"/>
    </row>
    <row r="5383" customFormat="false" ht="15.75" hidden="false" customHeight="true" outlineLevel="0" collapsed="false">
      <c r="A5383" s="7"/>
      <c r="B5383" s="8"/>
      <c r="C5383" s="9"/>
      <c r="D5383" s="8"/>
      <c r="E5383" s="10"/>
      <c r="F5383" s="8"/>
      <c r="G5383" s="8"/>
      <c r="H5383" s="8"/>
      <c r="I5383" s="7"/>
      <c r="J5383" s="8" t="e">
        <f aca="false">VLOOKUP(B5383, Table3[#All], 2, FALSE())</f>
        <v>#N/A</v>
      </c>
      <c r="K5383" s="8" t="str">
        <f aca="false">TEXT(ROW(), "0000")</f>
        <v>5383</v>
      </c>
      <c r="L5383" s="8"/>
    </row>
    <row r="5384" customFormat="false" ht="15.75" hidden="false" customHeight="true" outlineLevel="0" collapsed="false">
      <c r="A5384" s="7"/>
      <c r="B5384" s="8"/>
      <c r="C5384" s="9"/>
      <c r="D5384" s="8"/>
      <c r="E5384" s="10"/>
      <c r="F5384" s="8"/>
      <c r="G5384" s="8"/>
      <c r="H5384" s="8"/>
      <c r="I5384" s="7"/>
      <c r="J5384" s="8" t="e">
        <f aca="false">VLOOKUP(B5384, Table3[#All], 2, FALSE())</f>
        <v>#N/A</v>
      </c>
      <c r="K5384" s="8" t="str">
        <f aca="false">TEXT(ROW(), "0000")</f>
        <v>5384</v>
      </c>
      <c r="L5384" s="8"/>
    </row>
    <row r="5385" customFormat="false" ht="15.75" hidden="false" customHeight="true" outlineLevel="0" collapsed="false">
      <c r="A5385" s="7"/>
      <c r="B5385" s="8"/>
      <c r="C5385" s="9"/>
      <c r="D5385" s="8"/>
      <c r="E5385" s="10"/>
      <c r="F5385" s="8"/>
      <c r="G5385" s="8"/>
      <c r="H5385" s="8"/>
      <c r="I5385" s="7"/>
      <c r="J5385" s="8" t="e">
        <f aca="false">VLOOKUP(B5385, Table3[#All], 2, FALSE())</f>
        <v>#N/A</v>
      </c>
      <c r="K5385" s="8" t="str">
        <f aca="false">TEXT(ROW(), "0000")</f>
        <v>5385</v>
      </c>
      <c r="L5385" s="8"/>
    </row>
    <row r="5386" customFormat="false" ht="15.75" hidden="false" customHeight="true" outlineLevel="0" collapsed="false">
      <c r="A5386" s="7"/>
      <c r="B5386" s="8"/>
      <c r="C5386" s="9"/>
      <c r="D5386" s="8"/>
      <c r="E5386" s="10"/>
      <c r="F5386" s="8"/>
      <c r="G5386" s="8"/>
      <c r="H5386" s="8"/>
      <c r="I5386" s="7"/>
      <c r="J5386" s="8" t="e">
        <f aca="false">VLOOKUP(B5386, Table3[#All], 2, FALSE())</f>
        <v>#N/A</v>
      </c>
      <c r="K5386" s="8" t="str">
        <f aca="false">TEXT(ROW(), "0000")</f>
        <v>5386</v>
      </c>
      <c r="L5386" s="8"/>
    </row>
    <row r="5387" customFormat="false" ht="15.75" hidden="false" customHeight="true" outlineLevel="0" collapsed="false">
      <c r="A5387" s="7"/>
      <c r="B5387" s="8"/>
      <c r="C5387" s="9"/>
      <c r="D5387" s="8"/>
      <c r="E5387" s="10"/>
      <c r="F5387" s="8"/>
      <c r="G5387" s="8"/>
      <c r="H5387" s="8"/>
      <c r="I5387" s="7"/>
      <c r="J5387" s="8" t="e">
        <f aca="false">VLOOKUP(B5387, Table3[#All], 2, FALSE())</f>
        <v>#N/A</v>
      </c>
      <c r="K5387" s="8" t="str">
        <f aca="false">TEXT(ROW(), "0000")</f>
        <v>5387</v>
      </c>
      <c r="L5387" s="8"/>
    </row>
    <row r="5388" customFormat="false" ht="15.75" hidden="false" customHeight="true" outlineLevel="0" collapsed="false">
      <c r="A5388" s="7"/>
      <c r="B5388" s="8"/>
      <c r="C5388" s="9"/>
      <c r="D5388" s="8"/>
      <c r="E5388" s="10"/>
      <c r="F5388" s="8"/>
      <c r="G5388" s="8"/>
      <c r="H5388" s="8"/>
      <c r="I5388" s="7"/>
      <c r="J5388" s="8" t="e">
        <f aca="false">VLOOKUP(B5388, Table3[#All], 2, FALSE())</f>
        <v>#N/A</v>
      </c>
      <c r="K5388" s="8" t="str">
        <f aca="false">TEXT(ROW(), "0000")</f>
        <v>5388</v>
      </c>
      <c r="L5388" s="8"/>
    </row>
    <row r="5389" customFormat="false" ht="15.75" hidden="false" customHeight="true" outlineLevel="0" collapsed="false">
      <c r="A5389" s="7"/>
      <c r="B5389" s="8"/>
      <c r="C5389" s="9"/>
      <c r="D5389" s="8"/>
      <c r="E5389" s="10"/>
      <c r="F5389" s="8"/>
      <c r="G5389" s="8"/>
      <c r="H5389" s="8"/>
      <c r="I5389" s="7"/>
      <c r="J5389" s="8" t="e">
        <f aca="false">VLOOKUP(B5389, Table3[#All], 2, FALSE())</f>
        <v>#N/A</v>
      </c>
      <c r="K5389" s="8" t="str">
        <f aca="false">TEXT(ROW(), "0000")</f>
        <v>5389</v>
      </c>
      <c r="L5389" s="8"/>
    </row>
    <row r="5390" customFormat="false" ht="15.75" hidden="false" customHeight="true" outlineLevel="0" collapsed="false">
      <c r="A5390" s="7"/>
      <c r="B5390" s="8"/>
      <c r="C5390" s="9"/>
      <c r="D5390" s="8"/>
      <c r="E5390" s="10"/>
      <c r="F5390" s="8"/>
      <c r="G5390" s="8"/>
      <c r="H5390" s="8"/>
      <c r="I5390" s="7"/>
      <c r="J5390" s="8" t="e">
        <f aca="false">VLOOKUP(B5390, Table3[#All], 2, FALSE())</f>
        <v>#N/A</v>
      </c>
      <c r="K5390" s="8" t="str">
        <f aca="false">TEXT(ROW(), "0000")</f>
        <v>5390</v>
      </c>
      <c r="L5390" s="8"/>
    </row>
    <row r="5391" customFormat="false" ht="15.75" hidden="false" customHeight="true" outlineLevel="0" collapsed="false">
      <c r="A5391" s="7"/>
      <c r="B5391" s="8"/>
      <c r="C5391" s="9"/>
      <c r="D5391" s="8"/>
      <c r="E5391" s="10"/>
      <c r="F5391" s="8"/>
      <c r="G5391" s="8"/>
      <c r="H5391" s="8"/>
      <c r="I5391" s="7"/>
      <c r="J5391" s="8" t="e">
        <f aca="false">VLOOKUP(B5391, Table3[#All], 2, FALSE())</f>
        <v>#N/A</v>
      </c>
      <c r="K5391" s="8" t="str">
        <f aca="false">TEXT(ROW(), "0000")</f>
        <v>5391</v>
      </c>
      <c r="L5391" s="8"/>
    </row>
    <row r="5392" customFormat="false" ht="15.75" hidden="false" customHeight="true" outlineLevel="0" collapsed="false">
      <c r="A5392" s="7"/>
      <c r="B5392" s="8"/>
      <c r="C5392" s="9"/>
      <c r="D5392" s="8"/>
      <c r="E5392" s="10"/>
      <c r="F5392" s="8"/>
      <c r="G5392" s="8"/>
      <c r="H5392" s="8"/>
      <c r="I5392" s="7"/>
      <c r="J5392" s="8" t="e">
        <f aca="false">VLOOKUP(B5392, Table3[#All], 2, FALSE())</f>
        <v>#N/A</v>
      </c>
      <c r="K5392" s="8" t="str">
        <f aca="false">TEXT(ROW(), "0000")</f>
        <v>5392</v>
      </c>
      <c r="L5392" s="8"/>
    </row>
    <row r="5393" customFormat="false" ht="15.75" hidden="false" customHeight="true" outlineLevel="0" collapsed="false">
      <c r="A5393" s="7"/>
      <c r="B5393" s="8"/>
      <c r="C5393" s="9"/>
      <c r="D5393" s="8"/>
      <c r="E5393" s="10"/>
      <c r="F5393" s="8"/>
      <c r="G5393" s="8"/>
      <c r="H5393" s="8"/>
      <c r="I5393" s="7"/>
      <c r="J5393" s="8" t="e">
        <f aca="false">VLOOKUP(B5393, Table3[#All], 2, FALSE())</f>
        <v>#N/A</v>
      </c>
      <c r="K5393" s="8" t="str">
        <f aca="false">TEXT(ROW(), "0000")</f>
        <v>5393</v>
      </c>
      <c r="L5393" s="8"/>
    </row>
    <row r="5394" customFormat="false" ht="15.75" hidden="false" customHeight="true" outlineLevel="0" collapsed="false">
      <c r="A5394" s="7"/>
      <c r="B5394" s="8"/>
      <c r="C5394" s="9"/>
      <c r="D5394" s="8"/>
      <c r="E5394" s="10"/>
      <c r="F5394" s="8"/>
      <c r="G5394" s="8"/>
      <c r="H5394" s="8"/>
      <c r="I5394" s="7"/>
      <c r="J5394" s="8" t="e">
        <f aca="false">VLOOKUP(B5394, Table3[#All], 2, FALSE())</f>
        <v>#N/A</v>
      </c>
      <c r="K5394" s="8" t="str">
        <f aca="false">TEXT(ROW(), "0000")</f>
        <v>5394</v>
      </c>
      <c r="L5394" s="8"/>
    </row>
    <row r="5395" customFormat="false" ht="15.75" hidden="false" customHeight="true" outlineLevel="0" collapsed="false">
      <c r="A5395" s="7"/>
      <c r="B5395" s="8"/>
      <c r="C5395" s="9"/>
      <c r="D5395" s="8"/>
      <c r="E5395" s="10"/>
      <c r="F5395" s="8"/>
      <c r="G5395" s="8"/>
      <c r="H5395" s="8"/>
      <c r="I5395" s="7"/>
      <c r="J5395" s="8" t="e">
        <f aca="false">VLOOKUP(B5395, Table3[#All], 2, FALSE())</f>
        <v>#N/A</v>
      </c>
      <c r="K5395" s="8" t="str">
        <f aca="false">TEXT(ROW(), "0000")</f>
        <v>5395</v>
      </c>
      <c r="L5395" s="8"/>
    </row>
    <row r="5396" customFormat="false" ht="15.75" hidden="false" customHeight="true" outlineLevel="0" collapsed="false">
      <c r="A5396" s="7"/>
      <c r="B5396" s="8"/>
      <c r="C5396" s="9"/>
      <c r="D5396" s="8"/>
      <c r="E5396" s="10"/>
      <c r="F5396" s="8"/>
      <c r="G5396" s="8"/>
      <c r="H5396" s="8"/>
      <c r="I5396" s="7"/>
      <c r="J5396" s="8" t="e">
        <f aca="false">VLOOKUP(B5396, Table3[#All], 2, FALSE())</f>
        <v>#N/A</v>
      </c>
      <c r="K5396" s="8" t="str">
        <f aca="false">TEXT(ROW(), "0000")</f>
        <v>5396</v>
      </c>
      <c r="L5396" s="8"/>
    </row>
    <row r="5397" customFormat="false" ht="15.75" hidden="false" customHeight="true" outlineLevel="0" collapsed="false">
      <c r="A5397" s="7"/>
      <c r="B5397" s="8"/>
      <c r="C5397" s="9"/>
      <c r="D5397" s="8"/>
      <c r="E5397" s="10"/>
      <c r="F5397" s="8"/>
      <c r="G5397" s="8"/>
      <c r="H5397" s="8"/>
      <c r="I5397" s="7"/>
      <c r="J5397" s="8" t="e">
        <f aca="false">VLOOKUP(B5397, Table3[#All], 2, FALSE())</f>
        <v>#N/A</v>
      </c>
      <c r="K5397" s="8" t="str">
        <f aca="false">TEXT(ROW(), "0000")</f>
        <v>5397</v>
      </c>
      <c r="L5397" s="8"/>
    </row>
    <row r="5398" customFormat="false" ht="15.75" hidden="false" customHeight="true" outlineLevel="0" collapsed="false">
      <c r="A5398" s="7"/>
      <c r="B5398" s="8"/>
      <c r="C5398" s="9"/>
      <c r="D5398" s="8"/>
      <c r="E5398" s="10"/>
      <c r="F5398" s="8"/>
      <c r="G5398" s="8"/>
      <c r="H5398" s="8"/>
      <c r="I5398" s="7"/>
      <c r="J5398" s="8" t="e">
        <f aca="false">VLOOKUP(B5398, Table3[#All], 2, FALSE())</f>
        <v>#N/A</v>
      </c>
      <c r="K5398" s="8" t="str">
        <f aca="false">TEXT(ROW(), "0000")</f>
        <v>5398</v>
      </c>
      <c r="L5398" s="8"/>
    </row>
    <row r="5399" customFormat="false" ht="15.75" hidden="false" customHeight="true" outlineLevel="0" collapsed="false">
      <c r="A5399" s="7"/>
      <c r="B5399" s="8"/>
      <c r="C5399" s="9"/>
      <c r="D5399" s="8"/>
      <c r="E5399" s="10"/>
      <c r="F5399" s="8"/>
      <c r="G5399" s="8"/>
      <c r="H5399" s="8"/>
      <c r="I5399" s="7"/>
      <c r="J5399" s="8" t="e">
        <f aca="false">VLOOKUP(B5399, Table3[#All], 2, FALSE())</f>
        <v>#N/A</v>
      </c>
      <c r="K5399" s="8" t="str">
        <f aca="false">TEXT(ROW(), "0000")</f>
        <v>5399</v>
      </c>
      <c r="L5399" s="8"/>
    </row>
    <row r="5400" customFormat="false" ht="15.75" hidden="false" customHeight="true" outlineLevel="0" collapsed="false">
      <c r="A5400" s="7"/>
      <c r="B5400" s="8"/>
      <c r="C5400" s="9"/>
      <c r="D5400" s="8"/>
      <c r="E5400" s="10"/>
      <c r="F5400" s="8"/>
      <c r="G5400" s="8"/>
      <c r="H5400" s="8"/>
      <c r="I5400" s="7"/>
      <c r="J5400" s="8" t="e">
        <f aca="false">VLOOKUP(B5400, Table3[#All], 2, FALSE())</f>
        <v>#N/A</v>
      </c>
      <c r="K5400" s="8" t="str">
        <f aca="false">TEXT(ROW(), "0000")</f>
        <v>5400</v>
      </c>
      <c r="L5400" s="8"/>
    </row>
    <row r="5401" customFormat="false" ht="15.75" hidden="false" customHeight="true" outlineLevel="0" collapsed="false">
      <c r="A5401" s="7"/>
      <c r="B5401" s="8"/>
      <c r="C5401" s="9"/>
      <c r="D5401" s="8"/>
      <c r="E5401" s="10"/>
      <c r="F5401" s="8"/>
      <c r="G5401" s="8"/>
      <c r="H5401" s="8"/>
      <c r="I5401" s="7"/>
      <c r="J5401" s="8" t="e">
        <f aca="false">VLOOKUP(B5401, Table3[#All], 2, FALSE())</f>
        <v>#N/A</v>
      </c>
      <c r="K5401" s="8" t="str">
        <f aca="false">TEXT(ROW(), "0000")</f>
        <v>5401</v>
      </c>
      <c r="L5401" s="8"/>
    </row>
    <row r="5402" customFormat="false" ht="15.75" hidden="false" customHeight="true" outlineLevel="0" collapsed="false">
      <c r="A5402" s="7"/>
      <c r="B5402" s="8"/>
      <c r="C5402" s="9"/>
      <c r="D5402" s="8"/>
      <c r="E5402" s="10"/>
      <c r="F5402" s="8"/>
      <c r="G5402" s="8"/>
      <c r="H5402" s="8"/>
      <c r="I5402" s="7"/>
      <c r="J5402" s="8" t="e">
        <f aca="false">VLOOKUP(B5402, Table3[#All], 2, FALSE())</f>
        <v>#N/A</v>
      </c>
      <c r="K5402" s="8" t="str">
        <f aca="false">TEXT(ROW(), "0000")</f>
        <v>5402</v>
      </c>
      <c r="L5402" s="8"/>
    </row>
    <row r="5403" customFormat="false" ht="15.75" hidden="false" customHeight="true" outlineLevel="0" collapsed="false">
      <c r="A5403" s="7"/>
      <c r="B5403" s="8"/>
      <c r="C5403" s="9"/>
      <c r="D5403" s="8"/>
      <c r="E5403" s="10"/>
      <c r="F5403" s="8"/>
      <c r="G5403" s="8"/>
      <c r="H5403" s="8"/>
      <c r="I5403" s="7"/>
      <c r="J5403" s="8" t="e">
        <f aca="false">VLOOKUP(B5403, Table3[#All], 2, FALSE())</f>
        <v>#N/A</v>
      </c>
      <c r="K5403" s="8" t="str">
        <f aca="false">TEXT(ROW(), "0000")</f>
        <v>5403</v>
      </c>
      <c r="L5403" s="8"/>
    </row>
    <row r="5404" customFormat="false" ht="15.75" hidden="false" customHeight="true" outlineLevel="0" collapsed="false">
      <c r="A5404" s="7"/>
      <c r="B5404" s="8"/>
      <c r="C5404" s="9"/>
      <c r="D5404" s="8"/>
      <c r="E5404" s="10"/>
      <c r="F5404" s="8"/>
      <c r="G5404" s="8"/>
      <c r="H5404" s="8"/>
      <c r="I5404" s="7"/>
      <c r="J5404" s="8" t="e">
        <f aca="false">VLOOKUP(B5404, Table3[#All], 2, FALSE())</f>
        <v>#N/A</v>
      </c>
      <c r="K5404" s="8" t="str">
        <f aca="false">TEXT(ROW(), "0000")</f>
        <v>5404</v>
      </c>
      <c r="L5404" s="8"/>
    </row>
    <row r="5405" customFormat="false" ht="15.75" hidden="false" customHeight="true" outlineLevel="0" collapsed="false">
      <c r="A5405" s="7"/>
      <c r="B5405" s="8"/>
      <c r="C5405" s="9"/>
      <c r="D5405" s="8"/>
      <c r="E5405" s="10"/>
      <c r="F5405" s="8"/>
      <c r="G5405" s="8"/>
      <c r="H5405" s="8"/>
      <c r="I5405" s="7"/>
      <c r="J5405" s="8" t="e">
        <f aca="false">VLOOKUP(B5405, Table3[#All], 2, FALSE())</f>
        <v>#N/A</v>
      </c>
      <c r="K5405" s="8" t="str">
        <f aca="false">TEXT(ROW(), "0000")</f>
        <v>5405</v>
      </c>
      <c r="L5405" s="8"/>
    </row>
    <row r="5406" customFormat="false" ht="15.75" hidden="false" customHeight="true" outlineLevel="0" collapsed="false">
      <c r="A5406" s="7"/>
      <c r="B5406" s="8"/>
      <c r="C5406" s="9"/>
      <c r="D5406" s="8"/>
      <c r="E5406" s="10"/>
      <c r="F5406" s="8"/>
      <c r="G5406" s="8"/>
      <c r="H5406" s="8"/>
      <c r="I5406" s="7"/>
      <c r="J5406" s="8" t="e">
        <f aca="false">VLOOKUP(B5406, Table3[#All], 2, FALSE())</f>
        <v>#N/A</v>
      </c>
      <c r="K5406" s="8" t="str">
        <f aca="false">TEXT(ROW(), "0000")</f>
        <v>5406</v>
      </c>
      <c r="L5406" s="8"/>
    </row>
    <row r="5407" customFormat="false" ht="15.75" hidden="false" customHeight="true" outlineLevel="0" collapsed="false">
      <c r="A5407" s="7"/>
      <c r="B5407" s="8"/>
      <c r="C5407" s="9"/>
      <c r="D5407" s="8"/>
      <c r="E5407" s="10"/>
      <c r="F5407" s="8"/>
      <c r="G5407" s="8"/>
      <c r="H5407" s="8"/>
      <c r="I5407" s="7"/>
      <c r="J5407" s="8" t="e">
        <f aca="false">VLOOKUP(B5407, Table3[#All], 2, FALSE())</f>
        <v>#N/A</v>
      </c>
      <c r="K5407" s="8" t="str">
        <f aca="false">TEXT(ROW(), "0000")</f>
        <v>5407</v>
      </c>
      <c r="L5407" s="8"/>
    </row>
    <row r="5408" customFormat="false" ht="15.75" hidden="false" customHeight="true" outlineLevel="0" collapsed="false">
      <c r="A5408" s="7"/>
      <c r="B5408" s="8"/>
      <c r="C5408" s="9"/>
      <c r="D5408" s="8"/>
      <c r="E5408" s="10"/>
      <c r="F5408" s="8"/>
      <c r="G5408" s="8"/>
      <c r="H5408" s="8"/>
      <c r="I5408" s="7"/>
      <c r="J5408" s="8" t="e">
        <f aca="false">VLOOKUP(B5408, Table3[#All], 2, FALSE())</f>
        <v>#N/A</v>
      </c>
      <c r="K5408" s="8" t="str">
        <f aca="false">TEXT(ROW(), "0000")</f>
        <v>5408</v>
      </c>
      <c r="L5408" s="8"/>
    </row>
    <row r="5409" customFormat="false" ht="15.75" hidden="false" customHeight="true" outlineLevel="0" collapsed="false">
      <c r="A5409" s="7"/>
      <c r="B5409" s="8"/>
      <c r="C5409" s="9"/>
      <c r="D5409" s="8"/>
      <c r="E5409" s="10"/>
      <c r="F5409" s="8"/>
      <c r="G5409" s="8"/>
      <c r="H5409" s="8"/>
      <c r="I5409" s="7"/>
      <c r="J5409" s="8" t="e">
        <f aca="false">VLOOKUP(B5409, Table3[#All], 2, FALSE())</f>
        <v>#N/A</v>
      </c>
      <c r="K5409" s="8" t="str">
        <f aca="false">TEXT(ROW(), "0000")</f>
        <v>5409</v>
      </c>
      <c r="L5409" s="8"/>
    </row>
    <row r="5410" customFormat="false" ht="15.75" hidden="false" customHeight="true" outlineLevel="0" collapsed="false">
      <c r="A5410" s="7"/>
      <c r="B5410" s="8"/>
      <c r="C5410" s="9"/>
      <c r="D5410" s="8"/>
      <c r="E5410" s="10"/>
      <c r="F5410" s="8"/>
      <c r="G5410" s="8"/>
      <c r="H5410" s="8"/>
      <c r="I5410" s="7"/>
      <c r="J5410" s="8" t="e">
        <f aca="false">VLOOKUP(B5410, Table3[#All], 2, FALSE())</f>
        <v>#N/A</v>
      </c>
      <c r="K5410" s="8" t="str">
        <f aca="false">TEXT(ROW(), "0000")</f>
        <v>5410</v>
      </c>
      <c r="L5410" s="8"/>
    </row>
    <row r="5411" customFormat="false" ht="15.75" hidden="false" customHeight="true" outlineLevel="0" collapsed="false">
      <c r="A5411" s="7"/>
      <c r="B5411" s="8"/>
      <c r="C5411" s="9"/>
      <c r="D5411" s="8"/>
      <c r="E5411" s="10"/>
      <c r="F5411" s="8"/>
      <c r="G5411" s="8"/>
      <c r="H5411" s="8"/>
      <c r="I5411" s="7"/>
      <c r="J5411" s="8" t="e">
        <f aca="false">VLOOKUP(B5411, Table3[#All], 2, FALSE())</f>
        <v>#N/A</v>
      </c>
      <c r="K5411" s="8" t="str">
        <f aca="false">TEXT(ROW(), "0000")</f>
        <v>5411</v>
      </c>
      <c r="L5411" s="8"/>
    </row>
    <row r="5412" customFormat="false" ht="15.75" hidden="false" customHeight="true" outlineLevel="0" collapsed="false">
      <c r="A5412" s="7"/>
      <c r="B5412" s="8"/>
      <c r="C5412" s="9"/>
      <c r="D5412" s="8"/>
      <c r="E5412" s="10"/>
      <c r="F5412" s="8"/>
      <c r="G5412" s="8"/>
      <c r="H5412" s="8"/>
      <c r="I5412" s="7"/>
      <c r="J5412" s="8" t="e">
        <f aca="false">VLOOKUP(B5412, Table3[#All], 2, FALSE())</f>
        <v>#N/A</v>
      </c>
      <c r="K5412" s="8" t="str">
        <f aca="false">TEXT(ROW(), "0000")</f>
        <v>5412</v>
      </c>
      <c r="L5412" s="8"/>
    </row>
    <row r="5413" customFormat="false" ht="15.75" hidden="false" customHeight="true" outlineLevel="0" collapsed="false">
      <c r="A5413" s="7"/>
      <c r="B5413" s="8"/>
      <c r="C5413" s="9"/>
      <c r="D5413" s="8"/>
      <c r="E5413" s="10"/>
      <c r="F5413" s="8"/>
      <c r="G5413" s="8"/>
      <c r="H5413" s="8"/>
      <c r="I5413" s="7"/>
      <c r="J5413" s="8" t="e">
        <f aca="false">VLOOKUP(B5413, Table3[#All], 2, FALSE())</f>
        <v>#N/A</v>
      </c>
      <c r="K5413" s="8" t="str">
        <f aca="false">TEXT(ROW(), "0000")</f>
        <v>5413</v>
      </c>
      <c r="L5413" s="8"/>
    </row>
    <row r="5414" customFormat="false" ht="15.75" hidden="false" customHeight="true" outlineLevel="0" collapsed="false">
      <c r="A5414" s="7"/>
      <c r="B5414" s="8"/>
      <c r="C5414" s="9"/>
      <c r="D5414" s="8"/>
      <c r="E5414" s="10"/>
      <c r="F5414" s="8"/>
      <c r="G5414" s="8"/>
      <c r="H5414" s="8"/>
      <c r="I5414" s="7"/>
      <c r="J5414" s="8" t="e">
        <f aca="false">VLOOKUP(B5414, Table3[#All], 2, FALSE())</f>
        <v>#N/A</v>
      </c>
      <c r="K5414" s="8" t="str">
        <f aca="false">TEXT(ROW(), "0000")</f>
        <v>5414</v>
      </c>
      <c r="L5414" s="8"/>
    </row>
    <row r="5415" customFormat="false" ht="15.75" hidden="false" customHeight="true" outlineLevel="0" collapsed="false">
      <c r="A5415" s="7"/>
      <c r="B5415" s="8"/>
      <c r="C5415" s="9"/>
      <c r="D5415" s="8"/>
      <c r="E5415" s="10"/>
      <c r="F5415" s="8"/>
      <c r="G5415" s="8"/>
      <c r="H5415" s="8"/>
      <c r="I5415" s="7"/>
      <c r="J5415" s="8" t="e">
        <f aca="false">VLOOKUP(B5415, Table3[#All], 2, FALSE())</f>
        <v>#N/A</v>
      </c>
      <c r="K5415" s="8" t="str">
        <f aca="false">TEXT(ROW(), "0000")</f>
        <v>5415</v>
      </c>
      <c r="L5415" s="8"/>
    </row>
    <row r="5416" customFormat="false" ht="15.75" hidden="false" customHeight="true" outlineLevel="0" collapsed="false">
      <c r="A5416" s="7"/>
      <c r="B5416" s="8"/>
      <c r="C5416" s="9"/>
      <c r="D5416" s="8"/>
      <c r="E5416" s="10"/>
      <c r="F5416" s="8"/>
      <c r="G5416" s="8"/>
      <c r="H5416" s="8"/>
      <c r="I5416" s="7"/>
      <c r="J5416" s="8" t="e">
        <f aca="false">VLOOKUP(B5416, Table3[#All], 2, FALSE())</f>
        <v>#N/A</v>
      </c>
      <c r="K5416" s="8" t="str">
        <f aca="false">TEXT(ROW(), "0000")</f>
        <v>5416</v>
      </c>
      <c r="L5416" s="8"/>
    </row>
    <row r="5417" customFormat="false" ht="15.75" hidden="false" customHeight="true" outlineLevel="0" collapsed="false">
      <c r="A5417" s="7"/>
      <c r="B5417" s="8"/>
      <c r="C5417" s="9"/>
      <c r="D5417" s="8"/>
      <c r="E5417" s="10"/>
      <c r="F5417" s="8"/>
      <c r="G5417" s="8"/>
      <c r="H5417" s="8"/>
      <c r="I5417" s="7"/>
      <c r="J5417" s="8" t="e">
        <f aca="false">VLOOKUP(B5417, Table3[#All], 2, FALSE())</f>
        <v>#N/A</v>
      </c>
      <c r="K5417" s="8" t="str">
        <f aca="false">TEXT(ROW(), "0000")</f>
        <v>5417</v>
      </c>
      <c r="L5417" s="8"/>
    </row>
    <row r="5418" customFormat="false" ht="15.75" hidden="false" customHeight="true" outlineLevel="0" collapsed="false">
      <c r="A5418" s="7"/>
      <c r="B5418" s="8"/>
      <c r="C5418" s="9"/>
      <c r="D5418" s="8"/>
      <c r="E5418" s="10"/>
      <c r="F5418" s="8"/>
      <c r="G5418" s="8"/>
      <c r="H5418" s="8"/>
      <c r="I5418" s="7"/>
      <c r="J5418" s="8" t="e">
        <f aca="false">VLOOKUP(B5418, Table3[#All], 2, FALSE())</f>
        <v>#N/A</v>
      </c>
      <c r="K5418" s="8" t="str">
        <f aca="false">TEXT(ROW(), "0000")</f>
        <v>5418</v>
      </c>
      <c r="L5418" s="8"/>
    </row>
    <row r="5419" customFormat="false" ht="15.75" hidden="false" customHeight="true" outlineLevel="0" collapsed="false">
      <c r="A5419" s="28"/>
      <c r="B5419" s="11"/>
      <c r="C5419" s="29"/>
      <c r="D5419" s="11"/>
      <c r="E5419" s="11"/>
      <c r="F5419" s="30"/>
      <c r="G5419" s="11"/>
      <c r="H5419" s="11"/>
      <c r="I5419" s="28"/>
      <c r="J5419" s="30"/>
      <c r="K5419" s="30"/>
      <c r="L5419" s="30"/>
    </row>
    <row r="5420" customFormat="false" ht="15.75" hidden="false" customHeight="true" outlineLevel="0" collapsed="false">
      <c r="A5420" s="28"/>
      <c r="B5420" s="11"/>
      <c r="C5420" s="29"/>
      <c r="D5420" s="11"/>
      <c r="E5420" s="11"/>
      <c r="F5420" s="30"/>
      <c r="G5420" s="11"/>
      <c r="H5420" s="11"/>
      <c r="I5420" s="28"/>
      <c r="J5420" s="30"/>
      <c r="K5420" s="30"/>
      <c r="L5420" s="30"/>
    </row>
    <row r="5421" customFormat="false" ht="15.75" hidden="false" customHeight="true" outlineLevel="0" collapsed="false">
      <c r="A5421" s="28"/>
      <c r="B5421" s="11"/>
      <c r="C5421" s="29"/>
      <c r="D5421" s="11"/>
      <c r="E5421" s="11"/>
      <c r="F5421" s="30"/>
      <c r="G5421" s="11"/>
      <c r="H5421" s="11"/>
      <c r="I5421" s="28"/>
      <c r="J5421" s="30"/>
      <c r="K5421" s="30"/>
      <c r="L5421" s="30"/>
    </row>
    <row r="5422" customFormat="false" ht="15.75" hidden="false" customHeight="true" outlineLevel="0" collapsed="false">
      <c r="A5422" s="28"/>
      <c r="B5422" s="11"/>
      <c r="C5422" s="29"/>
      <c r="D5422" s="11"/>
      <c r="E5422" s="11"/>
      <c r="F5422" s="30"/>
      <c r="G5422" s="11"/>
      <c r="H5422" s="11"/>
      <c r="I5422" s="28"/>
      <c r="J5422" s="30"/>
      <c r="K5422" s="30"/>
      <c r="L5422" s="30"/>
    </row>
    <row r="5423" customFormat="false" ht="15.75" hidden="false" customHeight="true" outlineLevel="0" collapsed="false">
      <c r="A5423" s="28"/>
      <c r="B5423" s="11"/>
      <c r="C5423" s="29"/>
      <c r="D5423" s="11"/>
      <c r="E5423" s="11"/>
      <c r="F5423" s="30"/>
      <c r="G5423" s="11"/>
      <c r="H5423" s="11"/>
      <c r="I5423" s="28"/>
      <c r="J5423" s="30"/>
      <c r="K5423" s="30"/>
      <c r="L5423" s="30"/>
    </row>
    <row r="5424" customFormat="false" ht="15.75" hidden="false" customHeight="true" outlineLevel="0" collapsed="false">
      <c r="A5424" s="28"/>
      <c r="B5424" s="11"/>
      <c r="C5424" s="29"/>
      <c r="D5424" s="11"/>
      <c r="E5424" s="11"/>
      <c r="F5424" s="30"/>
      <c r="G5424" s="11"/>
      <c r="H5424" s="11"/>
      <c r="I5424" s="28"/>
      <c r="J5424" s="30"/>
      <c r="K5424" s="30"/>
      <c r="L5424" s="30"/>
    </row>
    <row r="5425" customFormat="false" ht="15.75" hidden="false" customHeight="true" outlineLevel="0" collapsed="false">
      <c r="A5425" s="28"/>
      <c r="B5425" s="11"/>
      <c r="C5425" s="29"/>
      <c r="D5425" s="11"/>
      <c r="E5425" s="11"/>
      <c r="F5425" s="30"/>
      <c r="G5425" s="11"/>
      <c r="H5425" s="11"/>
      <c r="I5425" s="28"/>
      <c r="J5425" s="30"/>
      <c r="K5425" s="30"/>
      <c r="L5425" s="30"/>
    </row>
    <row r="5426" customFormat="false" ht="15.75" hidden="false" customHeight="true" outlineLevel="0" collapsed="false">
      <c r="A5426" s="28"/>
      <c r="B5426" s="11"/>
      <c r="C5426" s="29"/>
      <c r="D5426" s="11"/>
      <c r="E5426" s="11"/>
      <c r="F5426" s="30"/>
      <c r="G5426" s="11"/>
      <c r="H5426" s="11"/>
      <c r="I5426" s="28"/>
      <c r="J5426" s="30"/>
      <c r="K5426" s="30"/>
      <c r="L5426" s="30"/>
    </row>
    <row r="5427" customFormat="false" ht="15.75" hidden="false" customHeight="true" outlineLevel="0" collapsed="false">
      <c r="A5427" s="28"/>
      <c r="B5427" s="11"/>
      <c r="C5427" s="29"/>
      <c r="D5427" s="11"/>
      <c r="E5427" s="11"/>
      <c r="F5427" s="30"/>
      <c r="G5427" s="11"/>
      <c r="H5427" s="11"/>
      <c r="I5427" s="28"/>
      <c r="J5427" s="30"/>
      <c r="K5427" s="30"/>
      <c r="L5427" s="30"/>
    </row>
    <row r="5428" customFormat="false" ht="15.75" hidden="false" customHeight="true" outlineLevel="0" collapsed="false">
      <c r="A5428" s="28"/>
      <c r="B5428" s="11"/>
      <c r="C5428" s="29"/>
      <c r="D5428" s="11"/>
      <c r="E5428" s="11"/>
      <c r="F5428" s="30"/>
      <c r="G5428" s="11"/>
      <c r="H5428" s="11"/>
      <c r="I5428" s="28"/>
      <c r="J5428" s="30"/>
      <c r="K5428" s="30"/>
      <c r="L5428" s="30"/>
    </row>
    <row r="5429" customFormat="false" ht="15.75" hidden="false" customHeight="true" outlineLevel="0" collapsed="false">
      <c r="A5429" s="28"/>
      <c r="B5429" s="11"/>
      <c r="C5429" s="29"/>
      <c r="D5429" s="11"/>
      <c r="E5429" s="11"/>
      <c r="F5429" s="30"/>
      <c r="G5429" s="11"/>
      <c r="H5429" s="11"/>
      <c r="I5429" s="28"/>
      <c r="J5429" s="30"/>
      <c r="K5429" s="30"/>
      <c r="L5429" s="30"/>
    </row>
    <row r="5430" customFormat="false" ht="15.75" hidden="false" customHeight="true" outlineLevel="0" collapsed="false">
      <c r="A5430" s="28"/>
      <c r="B5430" s="11"/>
      <c r="C5430" s="29"/>
      <c r="D5430" s="11"/>
      <c r="E5430" s="11"/>
      <c r="F5430" s="30"/>
      <c r="G5430" s="11"/>
      <c r="H5430" s="11"/>
      <c r="I5430" s="28"/>
      <c r="J5430" s="30"/>
      <c r="K5430" s="30"/>
      <c r="L5430" s="30"/>
    </row>
    <row r="5431" customFormat="false" ht="15.75" hidden="false" customHeight="true" outlineLevel="0" collapsed="false">
      <c r="A5431" s="28"/>
      <c r="B5431" s="11"/>
      <c r="C5431" s="29"/>
      <c r="D5431" s="11"/>
      <c r="E5431" s="11"/>
      <c r="F5431" s="30"/>
      <c r="G5431" s="11"/>
      <c r="H5431" s="11"/>
      <c r="I5431" s="28"/>
      <c r="J5431" s="30"/>
      <c r="K5431" s="30"/>
      <c r="L5431" s="30"/>
    </row>
    <row r="5432" customFormat="false" ht="15.75" hidden="false" customHeight="true" outlineLevel="0" collapsed="false">
      <c r="A5432" s="28"/>
      <c r="B5432" s="11"/>
      <c r="C5432" s="29"/>
      <c r="D5432" s="11"/>
      <c r="E5432" s="11"/>
      <c r="F5432" s="30"/>
      <c r="G5432" s="11"/>
      <c r="H5432" s="11"/>
      <c r="I5432" s="28"/>
      <c r="J5432" s="30"/>
      <c r="K5432" s="30"/>
      <c r="L5432" s="30"/>
    </row>
    <row r="5433" customFormat="false" ht="15.75" hidden="false" customHeight="true" outlineLevel="0" collapsed="false">
      <c r="A5433" s="28"/>
      <c r="B5433" s="11"/>
      <c r="C5433" s="29"/>
      <c r="D5433" s="11"/>
      <c r="E5433" s="11"/>
      <c r="F5433" s="30"/>
      <c r="G5433" s="11"/>
      <c r="H5433" s="11"/>
      <c r="I5433" s="28"/>
      <c r="J5433" s="30"/>
      <c r="K5433" s="30"/>
      <c r="L5433" s="30"/>
    </row>
    <row r="5434" customFormat="false" ht="15.75" hidden="false" customHeight="true" outlineLevel="0" collapsed="false">
      <c r="A5434" s="28"/>
      <c r="B5434" s="11"/>
      <c r="C5434" s="29"/>
      <c r="D5434" s="11"/>
      <c r="E5434" s="11"/>
      <c r="F5434" s="30"/>
      <c r="G5434" s="11"/>
      <c r="H5434" s="11"/>
      <c r="I5434" s="28"/>
      <c r="J5434" s="30"/>
      <c r="K5434" s="30"/>
      <c r="L5434" s="30"/>
    </row>
    <row r="5435" customFormat="false" ht="15.75" hidden="false" customHeight="true" outlineLevel="0" collapsed="false">
      <c r="A5435" s="28"/>
      <c r="B5435" s="11"/>
      <c r="C5435" s="29"/>
      <c r="D5435" s="11"/>
      <c r="E5435" s="11"/>
      <c r="F5435" s="30"/>
      <c r="G5435" s="11"/>
      <c r="H5435" s="11"/>
      <c r="I5435" s="28"/>
      <c r="J5435" s="30"/>
      <c r="K5435" s="30"/>
      <c r="L5435" s="30"/>
    </row>
    <row r="5436" customFormat="false" ht="15.75" hidden="false" customHeight="true" outlineLevel="0" collapsed="false">
      <c r="A5436" s="28"/>
      <c r="B5436" s="11"/>
      <c r="C5436" s="29"/>
      <c r="D5436" s="11"/>
      <c r="E5436" s="11"/>
      <c r="F5436" s="30"/>
      <c r="G5436" s="11"/>
      <c r="H5436" s="11"/>
      <c r="I5436" s="28"/>
      <c r="J5436" s="30"/>
      <c r="K5436" s="30"/>
      <c r="L5436" s="30"/>
    </row>
    <row r="5437" customFormat="false" ht="15.75" hidden="false" customHeight="true" outlineLevel="0" collapsed="false">
      <c r="A5437" s="28"/>
      <c r="B5437" s="11"/>
      <c r="C5437" s="29"/>
      <c r="D5437" s="11"/>
      <c r="E5437" s="11"/>
      <c r="F5437" s="30"/>
      <c r="G5437" s="11"/>
      <c r="H5437" s="11"/>
      <c r="I5437" s="28"/>
      <c r="J5437" s="30"/>
      <c r="K5437" s="30"/>
      <c r="L5437" s="30"/>
    </row>
    <row r="5438" customFormat="false" ht="15.75" hidden="false" customHeight="true" outlineLevel="0" collapsed="false">
      <c r="A5438" s="28"/>
      <c r="B5438" s="11"/>
      <c r="C5438" s="29"/>
      <c r="D5438" s="11"/>
      <c r="E5438" s="11"/>
      <c r="F5438" s="30"/>
      <c r="G5438" s="11"/>
      <c r="H5438" s="11"/>
      <c r="I5438" s="28"/>
      <c r="J5438" s="30"/>
      <c r="K5438" s="30"/>
      <c r="L5438" s="30"/>
    </row>
    <row r="5439" customFormat="false" ht="15.75" hidden="false" customHeight="true" outlineLevel="0" collapsed="false">
      <c r="A5439" s="28"/>
      <c r="B5439" s="11"/>
      <c r="C5439" s="29"/>
      <c r="D5439" s="11"/>
      <c r="E5439" s="11"/>
      <c r="F5439" s="30"/>
      <c r="G5439" s="11"/>
      <c r="H5439" s="11"/>
      <c r="I5439" s="28"/>
      <c r="J5439" s="30"/>
      <c r="K5439" s="30"/>
      <c r="L5439" s="30"/>
    </row>
    <row r="5440" customFormat="false" ht="15.75" hidden="false" customHeight="true" outlineLevel="0" collapsed="false">
      <c r="A5440" s="28"/>
      <c r="B5440" s="11"/>
      <c r="C5440" s="29"/>
      <c r="D5440" s="11"/>
      <c r="E5440" s="11"/>
      <c r="F5440" s="30"/>
      <c r="G5440" s="11"/>
      <c r="H5440" s="11"/>
      <c r="I5440" s="28"/>
      <c r="J5440" s="30"/>
      <c r="K5440" s="30"/>
      <c r="L5440" s="30"/>
    </row>
    <row r="5441" customFormat="false" ht="15.75" hidden="false" customHeight="true" outlineLevel="0" collapsed="false">
      <c r="A5441" s="28"/>
      <c r="B5441" s="11"/>
      <c r="C5441" s="29"/>
      <c r="D5441" s="11"/>
      <c r="E5441" s="11"/>
      <c r="F5441" s="30"/>
      <c r="G5441" s="11"/>
      <c r="H5441" s="11"/>
      <c r="I5441" s="28"/>
      <c r="J5441" s="30"/>
      <c r="K5441" s="30"/>
      <c r="L5441" s="30"/>
    </row>
    <row r="5442" customFormat="false" ht="15.75" hidden="false" customHeight="true" outlineLevel="0" collapsed="false">
      <c r="A5442" s="28"/>
      <c r="B5442" s="11"/>
      <c r="C5442" s="29"/>
      <c r="D5442" s="11"/>
      <c r="E5442" s="11"/>
      <c r="F5442" s="30"/>
      <c r="G5442" s="11"/>
      <c r="H5442" s="11"/>
      <c r="I5442" s="28"/>
      <c r="J5442" s="30"/>
      <c r="K5442" s="30"/>
      <c r="L5442" s="30"/>
    </row>
    <row r="5443" customFormat="false" ht="15.75" hidden="false" customHeight="true" outlineLevel="0" collapsed="false">
      <c r="A5443" s="28"/>
      <c r="B5443" s="11"/>
      <c r="C5443" s="29"/>
      <c r="D5443" s="11"/>
      <c r="E5443" s="11"/>
      <c r="F5443" s="30"/>
      <c r="G5443" s="11"/>
      <c r="H5443" s="11"/>
      <c r="I5443" s="28"/>
      <c r="J5443" s="30"/>
      <c r="K5443" s="30"/>
      <c r="L5443" s="30"/>
    </row>
    <row r="5444" customFormat="false" ht="15.75" hidden="false" customHeight="true" outlineLevel="0" collapsed="false">
      <c r="A5444" s="28"/>
      <c r="B5444" s="11"/>
      <c r="C5444" s="29"/>
      <c r="D5444" s="11"/>
      <c r="E5444" s="11"/>
      <c r="F5444" s="30"/>
      <c r="G5444" s="11"/>
      <c r="H5444" s="11"/>
      <c r="I5444" s="28"/>
      <c r="J5444" s="30"/>
      <c r="K5444" s="30"/>
      <c r="L5444" s="30"/>
    </row>
    <row r="5445" customFormat="false" ht="15.75" hidden="false" customHeight="true" outlineLevel="0" collapsed="false">
      <c r="A5445" s="28"/>
      <c r="B5445" s="11"/>
      <c r="C5445" s="29"/>
      <c r="D5445" s="11"/>
      <c r="E5445" s="11"/>
      <c r="F5445" s="30"/>
      <c r="G5445" s="11"/>
      <c r="H5445" s="11"/>
      <c r="I5445" s="28"/>
      <c r="J5445" s="30"/>
      <c r="K5445" s="30"/>
      <c r="L5445" s="30"/>
    </row>
    <row r="5446" customFormat="false" ht="15.75" hidden="false" customHeight="true" outlineLevel="0" collapsed="false">
      <c r="A5446" s="28"/>
      <c r="B5446" s="11"/>
      <c r="C5446" s="29"/>
      <c r="D5446" s="11"/>
      <c r="E5446" s="11"/>
      <c r="F5446" s="30"/>
      <c r="G5446" s="11"/>
      <c r="H5446" s="11"/>
      <c r="I5446" s="28"/>
      <c r="J5446" s="30"/>
      <c r="K5446" s="30"/>
      <c r="L5446" s="30"/>
    </row>
    <row r="5447" customFormat="false" ht="15.75" hidden="false" customHeight="true" outlineLevel="0" collapsed="false">
      <c r="A5447" s="28"/>
      <c r="B5447" s="11"/>
      <c r="C5447" s="29"/>
      <c r="D5447" s="11"/>
      <c r="E5447" s="11"/>
      <c r="F5447" s="30"/>
      <c r="G5447" s="11"/>
      <c r="H5447" s="11"/>
      <c r="I5447" s="28"/>
      <c r="J5447" s="30"/>
      <c r="K5447" s="30"/>
      <c r="L5447" s="30"/>
    </row>
    <row r="5448" customFormat="false" ht="15.75" hidden="false" customHeight="true" outlineLevel="0" collapsed="false">
      <c r="A5448" s="28"/>
      <c r="B5448" s="11"/>
      <c r="C5448" s="29"/>
      <c r="D5448" s="11"/>
      <c r="E5448" s="11"/>
      <c r="F5448" s="30"/>
      <c r="G5448" s="11"/>
      <c r="H5448" s="11"/>
      <c r="I5448" s="28"/>
      <c r="J5448" s="30"/>
      <c r="K5448" s="30"/>
      <c r="L5448" s="30"/>
    </row>
    <row r="5449" customFormat="false" ht="15.75" hidden="false" customHeight="true" outlineLevel="0" collapsed="false">
      <c r="A5449" s="28"/>
      <c r="B5449" s="11"/>
      <c r="C5449" s="29"/>
      <c r="D5449" s="11"/>
      <c r="E5449" s="11"/>
      <c r="F5449" s="30"/>
      <c r="G5449" s="11"/>
      <c r="H5449" s="11"/>
      <c r="I5449" s="28"/>
      <c r="J5449" s="30"/>
      <c r="K5449" s="30"/>
      <c r="L5449" s="30"/>
    </row>
    <row r="5450" customFormat="false" ht="15.75" hidden="false" customHeight="true" outlineLevel="0" collapsed="false">
      <c r="A5450" s="28"/>
      <c r="B5450" s="11"/>
      <c r="C5450" s="29"/>
      <c r="D5450" s="11"/>
      <c r="E5450" s="11"/>
      <c r="F5450" s="30"/>
      <c r="G5450" s="11"/>
      <c r="H5450" s="11"/>
      <c r="I5450" s="28"/>
      <c r="J5450" s="30"/>
      <c r="K5450" s="30"/>
      <c r="L5450" s="30"/>
    </row>
    <row r="5451" customFormat="false" ht="15.75" hidden="false" customHeight="true" outlineLevel="0" collapsed="false">
      <c r="A5451" s="28"/>
      <c r="B5451" s="11"/>
      <c r="C5451" s="29"/>
      <c r="D5451" s="11"/>
      <c r="E5451" s="11"/>
      <c r="F5451" s="30"/>
      <c r="G5451" s="11"/>
      <c r="H5451" s="11"/>
      <c r="I5451" s="28"/>
      <c r="J5451" s="30"/>
      <c r="K5451" s="30"/>
      <c r="L5451" s="30"/>
    </row>
    <row r="5452" customFormat="false" ht="15.75" hidden="false" customHeight="true" outlineLevel="0" collapsed="false">
      <c r="A5452" s="28"/>
      <c r="B5452" s="11"/>
      <c r="C5452" s="29"/>
      <c r="D5452" s="11"/>
      <c r="E5452" s="11"/>
      <c r="F5452" s="30"/>
      <c r="G5452" s="11"/>
      <c r="H5452" s="11"/>
      <c r="I5452" s="28"/>
      <c r="J5452" s="30"/>
      <c r="K5452" s="30"/>
      <c r="L5452" s="30"/>
    </row>
    <row r="5453" customFormat="false" ht="15.75" hidden="false" customHeight="true" outlineLevel="0" collapsed="false">
      <c r="A5453" s="28"/>
      <c r="B5453" s="11"/>
      <c r="C5453" s="29"/>
      <c r="D5453" s="11"/>
      <c r="E5453" s="11"/>
      <c r="F5453" s="30"/>
      <c r="G5453" s="11"/>
      <c r="H5453" s="11"/>
      <c r="I5453" s="28"/>
      <c r="J5453" s="30"/>
      <c r="K5453" s="30"/>
      <c r="L5453" s="30"/>
    </row>
    <row r="5454" customFormat="false" ht="15.75" hidden="false" customHeight="true" outlineLevel="0" collapsed="false">
      <c r="A5454" s="28"/>
      <c r="B5454" s="11"/>
      <c r="C5454" s="29"/>
      <c r="D5454" s="11"/>
      <c r="E5454" s="11"/>
      <c r="F5454" s="30"/>
      <c r="G5454" s="11"/>
      <c r="H5454" s="11"/>
      <c r="I5454" s="28"/>
      <c r="J5454" s="30"/>
      <c r="K5454" s="30"/>
      <c r="L5454" s="30"/>
    </row>
    <row r="5455" customFormat="false" ht="15.75" hidden="false" customHeight="true" outlineLevel="0" collapsed="false">
      <c r="A5455" s="28"/>
      <c r="B5455" s="11"/>
      <c r="C5455" s="29"/>
      <c r="D5455" s="11"/>
      <c r="E5455" s="11"/>
      <c r="F5455" s="30"/>
      <c r="G5455" s="11"/>
      <c r="H5455" s="11"/>
      <c r="I5455" s="28"/>
      <c r="J5455" s="30"/>
      <c r="K5455" s="30"/>
      <c r="L5455" s="30"/>
    </row>
    <row r="5456" customFormat="false" ht="15.75" hidden="false" customHeight="true" outlineLevel="0" collapsed="false">
      <c r="A5456" s="28"/>
      <c r="B5456" s="11"/>
      <c r="C5456" s="29"/>
      <c r="D5456" s="11"/>
      <c r="E5456" s="11"/>
      <c r="F5456" s="30"/>
      <c r="G5456" s="11"/>
      <c r="H5456" s="11"/>
      <c r="I5456" s="28"/>
      <c r="J5456" s="30"/>
      <c r="K5456" s="30"/>
      <c r="L5456" s="30"/>
    </row>
    <row r="5457" customFormat="false" ht="15.75" hidden="false" customHeight="true" outlineLevel="0" collapsed="false">
      <c r="A5457" s="28"/>
      <c r="B5457" s="11"/>
      <c r="C5457" s="29"/>
      <c r="D5457" s="11"/>
      <c r="E5457" s="11"/>
      <c r="F5457" s="30"/>
      <c r="G5457" s="11"/>
      <c r="H5457" s="11"/>
      <c r="I5457" s="28"/>
      <c r="J5457" s="30"/>
      <c r="K5457" s="30"/>
      <c r="L5457" s="30"/>
    </row>
    <row r="5458" customFormat="false" ht="15.75" hidden="false" customHeight="true" outlineLevel="0" collapsed="false">
      <c r="A5458" s="28"/>
      <c r="B5458" s="11"/>
      <c r="C5458" s="29"/>
      <c r="D5458" s="11"/>
      <c r="E5458" s="11"/>
      <c r="F5458" s="30"/>
      <c r="G5458" s="11"/>
      <c r="H5458" s="11"/>
      <c r="I5458" s="28"/>
      <c r="J5458" s="30"/>
      <c r="K5458" s="30"/>
      <c r="L5458" s="30"/>
    </row>
    <row r="5459" customFormat="false" ht="15.75" hidden="false" customHeight="true" outlineLevel="0" collapsed="false">
      <c r="A5459" s="28"/>
      <c r="B5459" s="11"/>
      <c r="C5459" s="29"/>
      <c r="D5459" s="11"/>
      <c r="E5459" s="11"/>
      <c r="F5459" s="30"/>
      <c r="G5459" s="11"/>
      <c r="H5459" s="11"/>
      <c r="I5459" s="28"/>
      <c r="J5459" s="30"/>
      <c r="K5459" s="30"/>
      <c r="L5459" s="30"/>
    </row>
    <row r="5460" customFormat="false" ht="15.75" hidden="false" customHeight="true" outlineLevel="0" collapsed="false">
      <c r="A5460" s="28"/>
      <c r="B5460" s="11"/>
      <c r="C5460" s="29"/>
      <c r="D5460" s="11"/>
      <c r="E5460" s="11"/>
      <c r="F5460" s="30"/>
      <c r="G5460" s="11"/>
      <c r="H5460" s="11"/>
      <c r="I5460" s="28"/>
      <c r="J5460" s="30"/>
      <c r="K5460" s="30"/>
      <c r="L5460" s="30"/>
    </row>
    <row r="5461" customFormat="false" ht="15.75" hidden="false" customHeight="true" outlineLevel="0" collapsed="false">
      <c r="L5461" s="30"/>
    </row>
    <row r="5462" customFormat="false" ht="15.75" hidden="false" customHeight="true" outlineLevel="0" collapsed="false">
      <c r="L5462" s="30"/>
    </row>
    <row r="5463" customFormat="false" ht="15.75" hidden="false" customHeight="true" outlineLevel="0" collapsed="false">
      <c r="L5463" s="30"/>
    </row>
    <row r="5464" customFormat="false" ht="15.75" hidden="false" customHeight="true" outlineLevel="0" collapsed="false">
      <c r="L5464" s="30"/>
    </row>
    <row r="5465" customFormat="false" ht="15.75" hidden="false" customHeight="true" outlineLevel="0" collapsed="false">
      <c r="L5465" s="30"/>
    </row>
    <row r="5466" customFormat="false" ht="15.75" hidden="false" customHeight="true" outlineLevel="0" collapsed="false">
      <c r="L5466" s="30"/>
    </row>
    <row r="5467" customFormat="false" ht="15.75" hidden="false" customHeight="true" outlineLevel="0" collapsed="false">
      <c r="L5467" s="30"/>
    </row>
    <row r="5468" customFormat="false" ht="15.75" hidden="false" customHeight="true" outlineLevel="0" collapsed="false">
      <c r="L5468" s="30"/>
    </row>
    <row r="5469" customFormat="false" ht="15.75" hidden="false" customHeight="true" outlineLevel="0" collapsed="false">
      <c r="L5469" s="30"/>
    </row>
    <row r="5470" customFormat="false" ht="15.75" hidden="false" customHeight="true" outlineLevel="0" collapsed="false">
      <c r="L5470" s="30"/>
    </row>
    <row r="5471" customFormat="false" ht="15.75" hidden="false" customHeight="true" outlineLevel="0" collapsed="false">
      <c r="L5471" s="30"/>
    </row>
    <row r="5472" customFormat="false" ht="15.75" hidden="false" customHeight="true" outlineLevel="0" collapsed="false">
      <c r="L5472" s="30"/>
    </row>
    <row r="5473" customFormat="false" ht="15.75" hidden="false" customHeight="true" outlineLevel="0" collapsed="false">
      <c r="L5473" s="30"/>
    </row>
    <row r="5474" customFormat="false" ht="15.75" hidden="false" customHeight="true" outlineLevel="0" collapsed="false">
      <c r="L5474" s="30"/>
    </row>
    <row r="5475" customFormat="false" ht="15.75" hidden="false" customHeight="true" outlineLevel="0" collapsed="false">
      <c r="L5475" s="30"/>
    </row>
    <row r="5476" customFormat="false" ht="15.75" hidden="false" customHeight="true" outlineLevel="0" collapsed="false">
      <c r="L5476" s="30"/>
    </row>
    <row r="5477" customFormat="false" ht="15.75" hidden="false" customHeight="true" outlineLevel="0" collapsed="false">
      <c r="L5477" s="30"/>
    </row>
    <row r="5478" customFormat="false" ht="15.75" hidden="false" customHeight="true" outlineLevel="0" collapsed="false">
      <c r="L5478" s="30"/>
    </row>
    <row r="5479" customFormat="false" ht="15.75" hidden="false" customHeight="true" outlineLevel="0" collapsed="false">
      <c r="L5479" s="30"/>
    </row>
    <row r="5480" customFormat="false" ht="15.75" hidden="false" customHeight="true" outlineLevel="0" collapsed="false">
      <c r="L5480" s="30"/>
    </row>
    <row r="5481" customFormat="false" ht="15.75" hidden="false" customHeight="true" outlineLevel="0" collapsed="false">
      <c r="L5481" s="30"/>
    </row>
    <row r="5482" customFormat="false" ht="15.75" hidden="false" customHeight="true" outlineLevel="0" collapsed="false">
      <c r="L5482" s="30"/>
    </row>
    <row r="5483" customFormat="false" ht="15.75" hidden="false" customHeight="true" outlineLevel="0" collapsed="false">
      <c r="L5483" s="30"/>
    </row>
    <row r="5484" customFormat="false" ht="15.75" hidden="false" customHeight="true" outlineLevel="0" collapsed="false">
      <c r="L5484" s="30"/>
    </row>
    <row r="5485" customFormat="false" ht="15.75" hidden="false" customHeight="true" outlineLevel="0" collapsed="false">
      <c r="L5485" s="30"/>
    </row>
    <row r="5486" customFormat="false" ht="15.75" hidden="false" customHeight="true" outlineLevel="0" collapsed="false">
      <c r="L5486" s="30"/>
    </row>
    <row r="5487" customFormat="false" ht="15.75" hidden="false" customHeight="true" outlineLevel="0" collapsed="false">
      <c r="L5487" s="30"/>
    </row>
    <row r="5488" customFormat="false" ht="15.75" hidden="false" customHeight="true" outlineLevel="0" collapsed="false">
      <c r="L5488" s="30"/>
    </row>
    <row r="5489" customFormat="false" ht="15.75" hidden="false" customHeight="true" outlineLevel="0" collapsed="false">
      <c r="L5489" s="30"/>
    </row>
    <row r="5490" customFormat="false" ht="15.75" hidden="false" customHeight="true" outlineLevel="0" collapsed="false">
      <c r="L5490" s="30"/>
    </row>
    <row r="5491" customFormat="false" ht="15.75" hidden="false" customHeight="true" outlineLevel="0" collapsed="false">
      <c r="L5491" s="30"/>
    </row>
    <row r="5492" customFormat="false" ht="15.75" hidden="false" customHeight="true" outlineLevel="0" collapsed="false">
      <c r="L5492" s="30"/>
    </row>
    <row r="5493" customFormat="false" ht="15.75" hidden="false" customHeight="true" outlineLevel="0" collapsed="false">
      <c r="L5493" s="30"/>
    </row>
    <row r="5494" customFormat="false" ht="15.75" hidden="false" customHeight="true" outlineLevel="0" collapsed="false">
      <c r="L5494" s="30"/>
    </row>
    <row r="5495" customFormat="false" ht="15.75" hidden="false" customHeight="true" outlineLevel="0" collapsed="false">
      <c r="L5495" s="30"/>
    </row>
    <row r="5496" customFormat="false" ht="15.75" hidden="false" customHeight="true" outlineLevel="0" collapsed="false"/>
    <row r="5497" customFormat="false" ht="15.75" hidden="false" customHeight="true" outlineLevel="0" collapsed="false"/>
    <row r="5498" customFormat="false" ht="15.75" hidden="false" customHeight="true" outlineLevel="0" collapsed="false"/>
    <row r="5499" customFormat="false" ht="15.75" hidden="false" customHeight="true" outlineLevel="0" collapsed="false"/>
    <row r="5500" customFormat="false" ht="15.75" hidden="false" customHeight="true" outlineLevel="0" collapsed="false"/>
    <row r="5501" customFormat="false" ht="15.75" hidden="false" customHeight="true" outlineLevel="0" collapsed="false"/>
    <row r="5502" customFormat="false" ht="15.75" hidden="false" customHeight="true" outlineLevel="0" collapsed="false"/>
    <row r="5503" customFormat="false" ht="15.75" hidden="false" customHeight="true" outlineLevel="0" collapsed="false"/>
    <row r="5504" customFormat="false" ht="15.75" hidden="false" customHeight="true" outlineLevel="0" collapsed="false"/>
    <row r="5505" customFormat="false" ht="15.75" hidden="false" customHeight="true" outlineLevel="0" collapsed="false"/>
    <row r="5506" customFormat="false" ht="15.75" hidden="false" customHeight="true" outlineLevel="0" collapsed="false"/>
    <row r="5507" customFormat="false" ht="15.75" hidden="false" customHeight="true" outlineLevel="0" collapsed="false"/>
    <row r="5508" customFormat="false" ht="15.75" hidden="false" customHeight="true" outlineLevel="0" collapsed="false"/>
    <row r="5509" customFormat="false" ht="15.75" hidden="false" customHeight="true" outlineLevel="0" collapsed="false"/>
    <row r="5510" customFormat="false" ht="15.75" hidden="false" customHeight="true" outlineLevel="0" collapsed="false"/>
    <row r="5511" customFormat="false" ht="15.75" hidden="false" customHeight="true" outlineLevel="0" collapsed="false"/>
    <row r="5512" customFormat="false" ht="15.75" hidden="false" customHeight="true" outlineLevel="0" collapsed="false"/>
    <row r="5513" customFormat="false" ht="15.75" hidden="false" customHeight="true" outlineLevel="0" collapsed="false"/>
    <row r="5514" customFormat="false" ht="15.75" hidden="false" customHeight="true" outlineLevel="0" collapsed="false"/>
    <row r="5515" customFormat="false" ht="15.75" hidden="false" customHeight="true" outlineLevel="0" collapsed="false"/>
    <row r="5516" customFormat="false" ht="15.75" hidden="false" customHeight="true" outlineLevel="0" collapsed="false"/>
    <row r="5517" customFormat="false" ht="15.75" hidden="false" customHeight="true" outlineLevel="0" collapsed="false"/>
    <row r="5518" customFormat="false" ht="15.75" hidden="false" customHeight="true" outlineLevel="0" collapsed="false"/>
    <row r="5519" customFormat="false" ht="15.75" hidden="false" customHeight="true" outlineLevel="0" collapsed="false"/>
    <row r="5520" customFormat="false" ht="15.75" hidden="false" customHeight="true" outlineLevel="0" collapsed="false"/>
    <row r="5521" customFormat="false" ht="15.75" hidden="false" customHeight="true" outlineLevel="0" collapsed="false"/>
    <row r="5522" customFormat="false" ht="15.75" hidden="false" customHeight="true" outlineLevel="0" collapsed="false"/>
    <row r="5523" customFormat="false" ht="15.75" hidden="false" customHeight="true" outlineLevel="0" collapsed="false"/>
    <row r="5524" customFormat="false" ht="15.75" hidden="false" customHeight="true" outlineLevel="0" collapsed="false"/>
    <row r="5525" customFormat="false" ht="15.75" hidden="false" customHeight="true" outlineLevel="0" collapsed="false"/>
    <row r="5526" customFormat="false" ht="15.75" hidden="false" customHeight="true" outlineLevel="0" collapsed="false"/>
    <row r="5527" customFormat="false" ht="15.75" hidden="false" customHeight="true" outlineLevel="0" collapsed="false"/>
    <row r="5528" customFormat="false" ht="15.75" hidden="false" customHeight="true" outlineLevel="0" collapsed="false"/>
    <row r="5529" customFormat="false" ht="15.75" hidden="false" customHeight="true" outlineLevel="0" collapsed="false"/>
    <row r="5530" customFormat="false" ht="15.75" hidden="false" customHeight="true" outlineLevel="0" collapsed="false"/>
    <row r="5531" customFormat="false" ht="15.75" hidden="false" customHeight="true" outlineLevel="0" collapsed="false"/>
    <row r="5532" customFormat="false" ht="15.75" hidden="false" customHeight="true" outlineLevel="0" collapsed="false"/>
    <row r="5533" customFormat="false" ht="15.75" hidden="false" customHeight="true" outlineLevel="0" collapsed="false"/>
    <row r="5534" customFormat="false" ht="15.75" hidden="false" customHeight="true" outlineLevel="0" collapsed="false"/>
    <row r="5535" customFormat="false" ht="15.75" hidden="false" customHeight="true" outlineLevel="0" collapsed="false"/>
    <row r="5536" customFormat="false" ht="15.75" hidden="false" customHeight="true" outlineLevel="0" collapsed="false"/>
    <row r="5537" customFormat="false" ht="15.75" hidden="false" customHeight="true" outlineLevel="0" collapsed="false"/>
    <row r="5538" customFormat="false" ht="15.75" hidden="false" customHeight="true" outlineLevel="0" collapsed="false"/>
    <row r="5539" customFormat="false" ht="15.75" hidden="false" customHeight="true" outlineLevel="0" collapsed="false"/>
    <row r="5540" customFormat="false" ht="15.75" hidden="false" customHeight="true" outlineLevel="0" collapsed="false"/>
    <row r="5541" customFormat="false" ht="15.75" hidden="false" customHeight="true" outlineLevel="0" collapsed="false"/>
    <row r="5542" customFormat="false" ht="15.75" hidden="false" customHeight="true" outlineLevel="0" collapsed="false"/>
    <row r="5543" customFormat="false" ht="15.75" hidden="false" customHeight="true" outlineLevel="0" collapsed="false"/>
    <row r="5544" customFormat="false" ht="15.75" hidden="false" customHeight="true" outlineLevel="0" collapsed="false"/>
    <row r="5545" customFormat="false" ht="15.75" hidden="false" customHeight="true" outlineLevel="0" collapsed="false"/>
    <row r="5546" customFormat="false" ht="15.75" hidden="false" customHeight="true" outlineLevel="0" collapsed="false"/>
    <row r="5547" customFormat="false" ht="15.75" hidden="false" customHeight="true" outlineLevel="0" collapsed="false"/>
    <row r="5548" customFormat="false" ht="15.75" hidden="false" customHeight="true" outlineLevel="0" collapsed="false"/>
    <row r="5549" customFormat="false" ht="15.75" hidden="false" customHeight="true" outlineLevel="0" collapsed="false"/>
    <row r="5550" customFormat="false" ht="15.75" hidden="false" customHeight="true" outlineLevel="0" collapsed="false"/>
    <row r="5551" customFormat="false" ht="15.75" hidden="false" customHeight="true" outlineLevel="0" collapsed="false"/>
    <row r="5552" customFormat="false" ht="15.75" hidden="false" customHeight="true" outlineLevel="0" collapsed="false"/>
    <row r="5553" customFormat="false" ht="15.75" hidden="false" customHeight="true" outlineLevel="0" collapsed="false"/>
    <row r="5554" customFormat="false" ht="15.75" hidden="false" customHeight="true" outlineLevel="0" collapsed="false"/>
    <row r="5555" customFormat="false" ht="15.75" hidden="false" customHeight="true" outlineLevel="0" collapsed="false"/>
    <row r="5556" customFormat="false" ht="15.75" hidden="false" customHeight="true" outlineLevel="0" collapsed="false"/>
    <row r="5557" customFormat="false" ht="15.75" hidden="false" customHeight="true" outlineLevel="0" collapsed="false"/>
    <row r="5558" customFormat="false" ht="15.75" hidden="false" customHeight="true" outlineLevel="0" collapsed="false"/>
    <row r="5559" customFormat="false" ht="15.75" hidden="false" customHeight="true" outlineLevel="0" collapsed="false"/>
    <row r="5560" customFormat="false" ht="15.75" hidden="false" customHeight="true" outlineLevel="0" collapsed="false"/>
    <row r="5561" customFormat="false" ht="15.75" hidden="false" customHeight="true" outlineLevel="0" collapsed="false"/>
    <row r="5562" customFormat="false" ht="15.75" hidden="false" customHeight="true" outlineLevel="0" collapsed="false"/>
    <row r="5563" customFormat="false" ht="15.75" hidden="false" customHeight="true" outlineLevel="0" collapsed="false"/>
    <row r="5564" customFormat="false" ht="15.75" hidden="false" customHeight="true" outlineLevel="0" collapsed="false"/>
    <row r="5565" customFormat="false" ht="15.75" hidden="false" customHeight="true" outlineLevel="0" collapsed="false"/>
    <row r="5566" customFormat="false" ht="15.75" hidden="false" customHeight="true" outlineLevel="0" collapsed="false"/>
    <row r="5567" customFormat="false" ht="15.75" hidden="false" customHeight="true" outlineLevel="0" collapsed="false"/>
    <row r="5568" customFormat="false" ht="15.75" hidden="false" customHeight="true" outlineLevel="0" collapsed="false"/>
    <row r="5569" customFormat="false" ht="15.75" hidden="false" customHeight="true" outlineLevel="0" collapsed="false"/>
    <row r="5570" customFormat="false" ht="15.75" hidden="false" customHeight="true" outlineLevel="0" collapsed="false"/>
    <row r="5571" customFormat="false" ht="15.75" hidden="false" customHeight="true" outlineLevel="0" collapsed="false"/>
    <row r="5572" customFormat="false" ht="15.75" hidden="false" customHeight="true" outlineLevel="0" collapsed="false"/>
    <row r="5573" customFormat="false" ht="15.75" hidden="false" customHeight="true" outlineLevel="0" collapsed="false"/>
    <row r="5574" customFormat="false" ht="15.75" hidden="false" customHeight="true" outlineLevel="0" collapsed="false"/>
    <row r="5575" customFormat="false" ht="15.75" hidden="false" customHeight="true" outlineLevel="0" collapsed="false"/>
    <row r="5576" customFormat="false" ht="15.75" hidden="false" customHeight="true" outlineLevel="0" collapsed="false"/>
    <row r="5577" customFormat="false" ht="15.75" hidden="false" customHeight="true" outlineLevel="0" collapsed="false"/>
    <row r="5578" customFormat="false" ht="15.75" hidden="false" customHeight="true" outlineLevel="0" collapsed="false"/>
    <row r="5579" customFormat="false" ht="15.75" hidden="false" customHeight="true" outlineLevel="0" collapsed="false"/>
    <row r="5580" customFormat="false" ht="15.75" hidden="false" customHeight="true" outlineLevel="0" collapsed="false"/>
    <row r="5581" customFormat="false" ht="15.75" hidden="false" customHeight="true" outlineLevel="0" collapsed="false"/>
    <row r="5582" customFormat="false" ht="15.75" hidden="false" customHeight="true" outlineLevel="0" collapsed="false"/>
    <row r="5583" customFormat="false" ht="15.75" hidden="false" customHeight="true" outlineLevel="0" collapsed="false"/>
    <row r="5584" customFormat="false" ht="15.75" hidden="false" customHeight="true" outlineLevel="0" collapsed="false"/>
    <row r="5585" customFormat="false" ht="15.75" hidden="false" customHeight="true" outlineLevel="0" collapsed="false"/>
    <row r="5586" customFormat="false" ht="15.75" hidden="false" customHeight="true" outlineLevel="0" collapsed="false"/>
    <row r="5587" customFormat="false" ht="15.75" hidden="false" customHeight="true" outlineLevel="0" collapsed="false"/>
    <row r="5588" customFormat="false" ht="15.75" hidden="false" customHeight="true" outlineLevel="0" collapsed="false"/>
    <row r="5589" customFormat="false" ht="15.75" hidden="false" customHeight="true" outlineLevel="0" collapsed="false"/>
    <row r="5590" customFormat="false" ht="15.75" hidden="false" customHeight="true" outlineLevel="0" collapsed="false"/>
    <row r="5591" customFormat="false" ht="15.75" hidden="false" customHeight="true" outlineLevel="0" collapsed="false"/>
    <row r="5592" customFormat="false" ht="15.75" hidden="false" customHeight="true" outlineLevel="0" collapsed="false"/>
    <row r="5593" customFormat="false" ht="15.75" hidden="false" customHeight="true" outlineLevel="0" collapsed="false"/>
    <row r="5594" customFormat="false" ht="15.75" hidden="false" customHeight="true" outlineLevel="0" collapsed="false"/>
    <row r="5595" customFormat="false" ht="15.75" hidden="false" customHeight="true" outlineLevel="0" collapsed="false"/>
    <row r="5596" customFormat="false" ht="15.75" hidden="false" customHeight="true" outlineLevel="0" collapsed="false"/>
    <row r="5597" customFormat="false" ht="15.75" hidden="false" customHeight="true" outlineLevel="0" collapsed="false"/>
    <row r="5598" customFormat="false" ht="15.75" hidden="false" customHeight="true" outlineLevel="0" collapsed="false"/>
    <row r="5599" customFormat="false" ht="15.75" hidden="false" customHeight="true" outlineLevel="0" collapsed="false"/>
    <row r="5600" customFormat="false" ht="15.75" hidden="false" customHeight="true" outlineLevel="0" collapsed="false"/>
    <row r="5601" customFormat="false" ht="15.75" hidden="false" customHeight="true" outlineLevel="0" collapsed="false"/>
    <row r="5602" customFormat="false" ht="15.75" hidden="false" customHeight="true" outlineLevel="0" collapsed="false"/>
    <row r="5603" customFormat="false" ht="15.75" hidden="false" customHeight="true" outlineLevel="0" collapsed="false"/>
    <row r="5604" customFormat="false" ht="15.75" hidden="false" customHeight="true" outlineLevel="0" collapsed="false"/>
    <row r="5605" customFormat="false" ht="15.75" hidden="false" customHeight="true" outlineLevel="0" collapsed="false"/>
    <row r="5606" customFormat="false" ht="15.75" hidden="false" customHeight="true" outlineLevel="0" collapsed="false"/>
    <row r="5607" customFormat="false" ht="15.75" hidden="false" customHeight="true" outlineLevel="0" collapsed="false"/>
    <row r="5608" customFormat="false" ht="15.75" hidden="false" customHeight="true" outlineLevel="0" collapsed="false"/>
    <row r="5609" customFormat="false" ht="15.75" hidden="false" customHeight="true" outlineLevel="0" collapsed="false"/>
    <row r="5610" customFormat="false" ht="15.75" hidden="false" customHeight="true" outlineLevel="0" collapsed="false"/>
    <row r="5611" customFormat="false" ht="15.75" hidden="false" customHeight="true" outlineLevel="0" collapsed="false"/>
    <row r="5612" customFormat="false" ht="15.75" hidden="false" customHeight="true" outlineLevel="0" collapsed="false"/>
    <row r="5613" customFormat="false" ht="15.75" hidden="false" customHeight="true" outlineLevel="0" collapsed="false"/>
    <row r="5614" customFormat="false" ht="15.75" hidden="false" customHeight="true" outlineLevel="0" collapsed="false"/>
    <row r="5615" customFormat="false" ht="15.75" hidden="false" customHeight="true" outlineLevel="0" collapsed="false"/>
    <row r="5616" customFormat="false" ht="15.75" hidden="false" customHeight="true" outlineLevel="0" collapsed="false"/>
    <row r="5617" customFormat="false" ht="15.75" hidden="false" customHeight="true" outlineLevel="0" collapsed="false"/>
    <row r="5618" customFormat="false" ht="15.75" hidden="false" customHeight="true" outlineLevel="0" collapsed="false"/>
    <row r="5619" customFormat="false" ht="15.75" hidden="false" customHeight="true" outlineLevel="0" collapsed="false"/>
    <row r="5620" customFormat="false" ht="15.75" hidden="false" customHeight="true" outlineLevel="0" collapsed="false"/>
    <row r="5621" customFormat="false" ht="15.75" hidden="false" customHeight="true" outlineLevel="0" collapsed="false"/>
    <row r="5622" customFormat="false" ht="15.75" hidden="false" customHeight="true" outlineLevel="0" collapsed="false"/>
    <row r="5623" customFormat="false" ht="15.75" hidden="false" customHeight="true" outlineLevel="0" collapsed="false"/>
    <row r="5624" customFormat="false" ht="15.75" hidden="false" customHeight="true" outlineLevel="0" collapsed="false"/>
    <row r="5625" customFormat="false" ht="15.75" hidden="false" customHeight="true" outlineLevel="0" collapsed="false"/>
    <row r="5626" customFormat="false" ht="15.75" hidden="false" customHeight="true" outlineLevel="0" collapsed="false"/>
    <row r="5627" customFormat="false" ht="15.75" hidden="false" customHeight="true" outlineLevel="0" collapsed="false"/>
    <row r="5628" customFormat="false" ht="15.75" hidden="false" customHeight="true" outlineLevel="0" collapsed="false"/>
    <row r="5629" customFormat="false" ht="15.75" hidden="false" customHeight="true" outlineLevel="0" collapsed="false"/>
    <row r="5630" customFormat="false" ht="15.75" hidden="false" customHeight="true" outlineLevel="0" collapsed="false"/>
    <row r="5631" customFormat="false" ht="15.75" hidden="false" customHeight="true" outlineLevel="0" collapsed="false"/>
    <row r="5632" customFormat="false" ht="15.75" hidden="false" customHeight="true" outlineLevel="0" collapsed="false"/>
    <row r="5633" customFormat="false" ht="15.75" hidden="false" customHeight="true" outlineLevel="0" collapsed="false"/>
    <row r="5634" customFormat="false" ht="15.75" hidden="false" customHeight="true" outlineLevel="0" collapsed="false"/>
    <row r="5635" customFormat="false" ht="15.75" hidden="false" customHeight="true" outlineLevel="0" collapsed="false"/>
    <row r="5636" customFormat="false" ht="15.75" hidden="false" customHeight="true" outlineLevel="0" collapsed="false"/>
    <row r="5637" customFormat="false" ht="15.75" hidden="false" customHeight="true" outlineLevel="0" collapsed="false"/>
    <row r="5638" customFormat="false" ht="15.75" hidden="false" customHeight="true" outlineLevel="0" collapsed="false"/>
    <row r="5639" customFormat="false" ht="15.75" hidden="false" customHeight="true" outlineLevel="0" collapsed="false"/>
    <row r="5640" customFormat="false" ht="15.75" hidden="false" customHeight="true" outlineLevel="0" collapsed="false"/>
    <row r="5641" customFormat="false" ht="15.75" hidden="false" customHeight="true" outlineLevel="0" collapsed="false"/>
    <row r="5642" customFormat="false" ht="15.75" hidden="false" customHeight="true" outlineLevel="0" collapsed="false"/>
    <row r="5643" customFormat="false" ht="15.75" hidden="false" customHeight="true" outlineLevel="0" collapsed="false"/>
    <row r="5644" customFormat="false" ht="15.75" hidden="false" customHeight="true" outlineLevel="0" collapsed="false"/>
    <row r="5645" customFormat="false" ht="15.75" hidden="false" customHeight="true" outlineLevel="0" collapsed="false"/>
    <row r="5646" customFormat="false" ht="15.75" hidden="false" customHeight="true" outlineLevel="0" collapsed="false"/>
    <row r="5647" customFormat="false" ht="15.75" hidden="false" customHeight="true" outlineLevel="0" collapsed="false"/>
    <row r="5648" customFormat="false" ht="15.75" hidden="false" customHeight="true" outlineLevel="0" collapsed="false"/>
    <row r="5649" customFormat="false" ht="15.75" hidden="false" customHeight="true" outlineLevel="0" collapsed="false"/>
    <row r="5650" customFormat="false" ht="15.75" hidden="false" customHeight="true" outlineLevel="0" collapsed="false"/>
    <row r="5651" customFormat="false" ht="15.75" hidden="false" customHeight="true" outlineLevel="0" collapsed="false"/>
    <row r="5652" customFormat="false" ht="15.75" hidden="false" customHeight="true" outlineLevel="0" collapsed="false"/>
    <row r="5653" customFormat="false" ht="15.75" hidden="false" customHeight="true" outlineLevel="0" collapsed="false"/>
    <row r="5654" customFormat="false" ht="15.75" hidden="false" customHeight="true" outlineLevel="0" collapsed="false"/>
    <row r="5655" customFormat="false" ht="15.75" hidden="false" customHeight="true" outlineLevel="0" collapsed="false"/>
    <row r="5656" customFormat="false" ht="15.75" hidden="false" customHeight="true" outlineLevel="0" collapsed="false"/>
    <row r="5657" customFormat="false" ht="15.75" hidden="false" customHeight="true" outlineLevel="0" collapsed="false"/>
    <row r="5658" customFormat="false" ht="15.75" hidden="false" customHeight="true" outlineLevel="0" collapsed="false"/>
    <row r="5659" customFormat="false" ht="15.75" hidden="false" customHeight="true" outlineLevel="0" collapsed="false"/>
    <row r="5660" customFormat="false" ht="15.75" hidden="false" customHeight="true" outlineLevel="0" collapsed="false"/>
    <row r="5661" customFormat="false" ht="15.75" hidden="false" customHeight="true" outlineLevel="0" collapsed="false"/>
    <row r="5662" customFormat="false" ht="15.75" hidden="false" customHeight="true" outlineLevel="0" collapsed="false"/>
    <row r="5663" customFormat="false" ht="15.75" hidden="false" customHeight="true" outlineLevel="0" collapsed="false"/>
    <row r="5664" customFormat="false" ht="15.75" hidden="false" customHeight="true" outlineLevel="0" collapsed="false"/>
    <row r="5665" customFormat="false" ht="15.75" hidden="false" customHeight="true" outlineLevel="0" collapsed="false"/>
    <row r="5666" customFormat="false" ht="15.75" hidden="false" customHeight="true" outlineLevel="0" collapsed="false"/>
    <row r="5667" customFormat="false" ht="15.75" hidden="false" customHeight="true" outlineLevel="0" collapsed="false"/>
    <row r="5668" customFormat="false" ht="15.75" hidden="false" customHeight="true" outlineLevel="0" collapsed="false"/>
    <row r="5669" customFormat="false" ht="15.75" hidden="false" customHeight="true" outlineLevel="0" collapsed="false"/>
    <row r="5670" customFormat="false" ht="15.75" hidden="false" customHeight="true" outlineLevel="0" collapsed="false"/>
    <row r="5671" customFormat="false" ht="15.75" hidden="false" customHeight="true" outlineLevel="0" collapsed="false"/>
    <row r="5672" customFormat="false" ht="15.75" hidden="false" customHeight="true" outlineLevel="0" collapsed="false"/>
    <row r="5673" customFormat="false" ht="15.75" hidden="false" customHeight="true" outlineLevel="0" collapsed="false"/>
    <row r="5674" customFormat="false" ht="15.75" hidden="false" customHeight="true" outlineLevel="0" collapsed="false"/>
    <row r="5675" customFormat="false" ht="15.75" hidden="false" customHeight="true" outlineLevel="0" collapsed="false"/>
    <row r="5676" customFormat="false" ht="15.75" hidden="false" customHeight="true" outlineLevel="0" collapsed="false"/>
    <row r="5677" customFormat="false" ht="15.75" hidden="false" customHeight="true" outlineLevel="0" collapsed="false"/>
    <row r="5678" customFormat="false" ht="15.75" hidden="false" customHeight="true" outlineLevel="0" collapsed="false"/>
    <row r="5679" customFormat="false" ht="15.75" hidden="false" customHeight="true" outlineLevel="0" collapsed="false"/>
    <row r="5680" customFormat="false" ht="15.75" hidden="false" customHeight="true" outlineLevel="0" collapsed="false"/>
    <row r="5681" customFormat="false" ht="15.75" hidden="false" customHeight="true" outlineLevel="0" collapsed="false"/>
    <row r="5682" customFormat="false" ht="15.75" hidden="false" customHeight="true" outlineLevel="0" collapsed="false"/>
    <row r="5683" customFormat="false" ht="15.75" hidden="false" customHeight="true" outlineLevel="0" collapsed="false"/>
    <row r="5684" customFormat="false" ht="15.75" hidden="false" customHeight="true" outlineLevel="0" collapsed="false"/>
    <row r="5685" customFormat="false" ht="15.75" hidden="false" customHeight="true" outlineLevel="0" collapsed="false"/>
    <row r="5686" customFormat="false" ht="15.75" hidden="false" customHeight="true" outlineLevel="0" collapsed="false"/>
    <row r="5687" customFormat="false" ht="15.75" hidden="false" customHeight="true" outlineLevel="0" collapsed="false"/>
    <row r="5688" customFormat="false" ht="15.75" hidden="false" customHeight="true" outlineLevel="0" collapsed="false"/>
    <row r="5689" customFormat="false" ht="15.75" hidden="false" customHeight="true" outlineLevel="0" collapsed="false"/>
    <row r="5690" customFormat="false" ht="15.75" hidden="false" customHeight="true" outlineLevel="0" collapsed="false"/>
    <row r="5691" customFormat="false" ht="15.75" hidden="false" customHeight="true" outlineLevel="0" collapsed="false"/>
    <row r="5692" customFormat="false" ht="15.75" hidden="false" customHeight="true" outlineLevel="0" collapsed="false"/>
    <row r="5693" customFormat="false" ht="15.75" hidden="false" customHeight="true" outlineLevel="0" collapsed="false"/>
    <row r="5694" customFormat="false" ht="15.75" hidden="false" customHeight="true" outlineLevel="0" collapsed="false"/>
    <row r="5695" customFormat="false" ht="15.75" hidden="false" customHeight="true" outlineLevel="0" collapsed="false"/>
    <row r="5696" customFormat="false" ht="15.75" hidden="false" customHeight="true" outlineLevel="0" collapsed="false"/>
    <row r="5697" customFormat="false" ht="15.75" hidden="false" customHeight="true" outlineLevel="0" collapsed="false"/>
    <row r="5698" customFormat="false" ht="15.75" hidden="false" customHeight="true" outlineLevel="0" collapsed="false"/>
    <row r="5699" customFormat="false" ht="15.75" hidden="false" customHeight="true" outlineLevel="0" collapsed="false"/>
    <row r="5700" customFormat="false" ht="15.75" hidden="false" customHeight="true" outlineLevel="0" collapsed="false"/>
    <row r="5701" customFormat="false" ht="15.75" hidden="false" customHeight="true" outlineLevel="0" collapsed="false"/>
    <row r="5702" customFormat="false" ht="15.75" hidden="false" customHeight="true" outlineLevel="0" collapsed="false"/>
    <row r="5703" customFormat="false" ht="15.75" hidden="false" customHeight="true" outlineLevel="0" collapsed="false"/>
    <row r="5704" customFormat="false" ht="15.75" hidden="false" customHeight="true" outlineLevel="0" collapsed="false"/>
    <row r="5705" customFormat="false" ht="15.75" hidden="false" customHeight="true" outlineLevel="0" collapsed="false"/>
    <row r="5706" customFormat="false" ht="15.75" hidden="false" customHeight="true" outlineLevel="0" collapsed="false"/>
    <row r="5707" customFormat="false" ht="15.75" hidden="false" customHeight="true" outlineLevel="0" collapsed="false"/>
    <row r="5708" customFormat="false" ht="15.75" hidden="false" customHeight="true" outlineLevel="0" collapsed="false"/>
    <row r="5709" customFormat="false" ht="15.75" hidden="false" customHeight="true" outlineLevel="0" collapsed="false"/>
    <row r="5710" customFormat="false" ht="15.75" hidden="false" customHeight="true" outlineLevel="0" collapsed="false"/>
    <row r="5711" customFormat="false" ht="15.75" hidden="false" customHeight="true" outlineLevel="0" collapsed="false"/>
    <row r="5712" customFormat="false" ht="15.75" hidden="false" customHeight="true" outlineLevel="0" collapsed="false"/>
    <row r="5713" customFormat="false" ht="15.75" hidden="false" customHeight="true" outlineLevel="0" collapsed="false"/>
    <row r="5714" customFormat="false" ht="15.75" hidden="false" customHeight="true" outlineLevel="0" collapsed="false"/>
    <row r="5715" customFormat="false" ht="15.75" hidden="false" customHeight="true" outlineLevel="0" collapsed="false"/>
    <row r="5716" customFormat="false" ht="15.75" hidden="false" customHeight="true" outlineLevel="0" collapsed="false"/>
    <row r="5717" customFormat="false" ht="15.75" hidden="false" customHeight="true" outlineLevel="0" collapsed="false"/>
    <row r="5718" customFormat="false" ht="15.75" hidden="false" customHeight="true" outlineLevel="0" collapsed="false"/>
    <row r="5719" customFormat="false" ht="15.75" hidden="false" customHeight="true" outlineLevel="0" collapsed="false"/>
    <row r="5720" customFormat="false" ht="15.75" hidden="false" customHeight="true" outlineLevel="0" collapsed="false"/>
    <row r="5721" customFormat="false" ht="15.75" hidden="false" customHeight="true" outlineLevel="0" collapsed="false"/>
    <row r="5722" customFormat="false" ht="15.75" hidden="false" customHeight="true" outlineLevel="0" collapsed="false"/>
    <row r="5723" customFormat="false" ht="15.75" hidden="false" customHeight="true" outlineLevel="0" collapsed="false"/>
    <row r="5724" customFormat="false" ht="15.75" hidden="false" customHeight="true" outlineLevel="0" collapsed="false"/>
    <row r="5725" customFormat="false" ht="15.75" hidden="false" customHeight="true" outlineLevel="0" collapsed="false"/>
    <row r="5726" customFormat="false" ht="15.75" hidden="false" customHeight="true" outlineLevel="0" collapsed="false"/>
    <row r="5727" customFormat="false" ht="15.75" hidden="false" customHeight="true" outlineLevel="0" collapsed="false"/>
    <row r="5728" customFormat="false" ht="15.75" hidden="false" customHeight="true" outlineLevel="0" collapsed="false"/>
    <row r="5729" customFormat="false" ht="15.75" hidden="false" customHeight="true" outlineLevel="0" collapsed="false"/>
    <row r="5730" customFormat="false" ht="15.75" hidden="false" customHeight="true" outlineLevel="0" collapsed="false"/>
    <row r="5731" customFormat="false" ht="15.75" hidden="false" customHeight="true" outlineLevel="0" collapsed="false"/>
    <row r="5732" customFormat="false" ht="15.75" hidden="false" customHeight="true" outlineLevel="0" collapsed="false"/>
    <row r="5733" customFormat="false" ht="15.75" hidden="false" customHeight="true" outlineLevel="0" collapsed="false"/>
    <row r="5734" customFormat="false" ht="15.75" hidden="false" customHeight="true" outlineLevel="0" collapsed="false"/>
    <row r="5735" customFormat="false" ht="15.75" hidden="false" customHeight="true" outlineLevel="0" collapsed="false"/>
    <row r="5736" customFormat="false" ht="15.75" hidden="false" customHeight="true" outlineLevel="0" collapsed="false"/>
    <row r="5737" customFormat="false" ht="15.75" hidden="false" customHeight="true" outlineLevel="0" collapsed="false"/>
    <row r="5738" customFormat="false" ht="15.75" hidden="false" customHeight="true" outlineLevel="0" collapsed="false"/>
    <row r="5739" customFormat="false" ht="15.75" hidden="false" customHeight="true" outlineLevel="0" collapsed="false"/>
    <row r="5740" customFormat="false" ht="15.75" hidden="false" customHeight="true" outlineLevel="0" collapsed="false"/>
    <row r="5741" customFormat="false" ht="15.75" hidden="false" customHeight="true" outlineLevel="0" collapsed="false"/>
    <row r="5742" customFormat="false" ht="15.75" hidden="false" customHeight="true" outlineLevel="0" collapsed="false"/>
    <row r="5743" customFormat="false" ht="15.75" hidden="false" customHeight="true" outlineLevel="0" collapsed="false"/>
    <row r="5744" customFormat="false" ht="15.75" hidden="false" customHeight="true" outlineLevel="0" collapsed="false"/>
    <row r="5745" customFormat="false" ht="15.75" hidden="false" customHeight="true" outlineLevel="0" collapsed="false"/>
    <row r="5746" customFormat="false" ht="15.75" hidden="false" customHeight="true" outlineLevel="0" collapsed="false"/>
    <row r="5747" customFormat="false" ht="15.75" hidden="false" customHeight="true" outlineLevel="0" collapsed="false"/>
    <row r="5748" customFormat="false" ht="15.75" hidden="false" customHeight="true" outlineLevel="0" collapsed="false"/>
    <row r="5749" customFormat="false" ht="15.75" hidden="false" customHeight="true" outlineLevel="0" collapsed="false"/>
    <row r="5750" customFormat="false" ht="15.75" hidden="false" customHeight="true" outlineLevel="0" collapsed="false"/>
    <row r="5751" customFormat="false" ht="15.75" hidden="false" customHeight="true" outlineLevel="0" collapsed="false"/>
    <row r="5752" customFormat="false" ht="15.75" hidden="false" customHeight="true" outlineLevel="0" collapsed="false"/>
    <row r="5753" customFormat="false" ht="15.75" hidden="false" customHeight="true" outlineLevel="0" collapsed="false"/>
    <row r="5754" customFormat="false" ht="15.75" hidden="false" customHeight="true" outlineLevel="0" collapsed="false"/>
    <row r="5755" customFormat="false" ht="15.75" hidden="false" customHeight="true" outlineLevel="0" collapsed="false"/>
    <row r="5756" customFormat="false" ht="15.75" hidden="false" customHeight="true" outlineLevel="0" collapsed="false"/>
    <row r="5757" customFormat="false" ht="15.75" hidden="false" customHeight="true" outlineLevel="0" collapsed="false"/>
    <row r="5758" customFormat="false" ht="15.75" hidden="false" customHeight="true" outlineLevel="0" collapsed="false"/>
    <row r="5759" customFormat="false" ht="15.75" hidden="false" customHeight="true" outlineLevel="0" collapsed="false"/>
    <row r="5760" customFormat="false" ht="15.75" hidden="false" customHeight="true" outlineLevel="0" collapsed="false"/>
    <row r="5761" customFormat="false" ht="15.75" hidden="false" customHeight="true" outlineLevel="0" collapsed="false"/>
    <row r="5762" customFormat="false" ht="15.75" hidden="false" customHeight="true" outlineLevel="0" collapsed="false"/>
    <row r="5763" customFormat="false" ht="15.75" hidden="false" customHeight="true" outlineLevel="0" collapsed="false"/>
    <row r="5764" customFormat="false" ht="15.75" hidden="false" customHeight="true" outlineLevel="0" collapsed="false"/>
    <row r="5765" customFormat="false" ht="15.75" hidden="false" customHeight="true" outlineLevel="0" collapsed="false"/>
    <row r="5766" customFormat="false" ht="15.75" hidden="false" customHeight="true" outlineLevel="0" collapsed="false"/>
    <row r="5767" customFormat="false" ht="15.75" hidden="false" customHeight="true" outlineLevel="0" collapsed="false"/>
    <row r="5768" customFormat="false" ht="15.75" hidden="false" customHeight="true" outlineLevel="0" collapsed="false"/>
    <row r="5769" customFormat="false" ht="15.75" hidden="false" customHeight="true" outlineLevel="0" collapsed="false"/>
    <row r="5770" customFormat="false" ht="15.75" hidden="false" customHeight="true" outlineLevel="0" collapsed="false"/>
    <row r="5771" customFormat="false" ht="15.75" hidden="false" customHeight="true" outlineLevel="0" collapsed="false"/>
    <row r="5772" customFormat="false" ht="15.75" hidden="false" customHeight="true" outlineLevel="0" collapsed="false"/>
    <row r="5773" customFormat="false" ht="15.75" hidden="false" customHeight="true" outlineLevel="0" collapsed="false"/>
    <row r="5774" customFormat="false" ht="15.75" hidden="false" customHeight="true" outlineLevel="0" collapsed="false"/>
    <row r="5775" customFormat="false" ht="15.75" hidden="false" customHeight="true" outlineLevel="0" collapsed="false"/>
    <row r="5776" customFormat="false" ht="15.75" hidden="false" customHeight="true" outlineLevel="0" collapsed="false"/>
    <row r="5777" customFormat="false" ht="15.75" hidden="false" customHeight="true" outlineLevel="0" collapsed="false"/>
    <row r="5778" customFormat="false" ht="15.75" hidden="false" customHeight="true" outlineLevel="0" collapsed="false"/>
    <row r="5779" customFormat="false" ht="15.75" hidden="false" customHeight="true" outlineLevel="0" collapsed="false"/>
    <row r="5780" customFormat="false" ht="15.75" hidden="false" customHeight="true" outlineLevel="0" collapsed="false"/>
    <row r="5781" customFormat="false" ht="15.75" hidden="false" customHeight="true" outlineLevel="0" collapsed="false"/>
    <row r="5782" customFormat="false" ht="15.75" hidden="false" customHeight="true" outlineLevel="0" collapsed="false"/>
    <row r="5783" customFormat="false" ht="15.75" hidden="false" customHeight="true" outlineLevel="0" collapsed="false"/>
    <row r="5784" customFormat="false" ht="15.75" hidden="false" customHeight="true" outlineLevel="0" collapsed="false"/>
    <row r="5785" customFormat="false" ht="15.75" hidden="false" customHeight="true" outlineLevel="0" collapsed="false"/>
    <row r="5786" customFormat="false" ht="15.75" hidden="false" customHeight="true" outlineLevel="0" collapsed="false"/>
    <row r="5787" customFormat="false" ht="15.75" hidden="false" customHeight="true" outlineLevel="0" collapsed="false"/>
    <row r="5788" customFormat="false" ht="15.75" hidden="false" customHeight="true" outlineLevel="0" collapsed="false"/>
    <row r="5789" customFormat="false" ht="15.75" hidden="false" customHeight="true" outlineLevel="0" collapsed="false"/>
    <row r="5790" customFormat="false" ht="15.75" hidden="false" customHeight="true" outlineLevel="0" collapsed="false"/>
    <row r="5791" customFormat="false" ht="15.75" hidden="false" customHeight="true" outlineLevel="0" collapsed="false"/>
    <row r="5792" customFormat="false" ht="15.75" hidden="false" customHeight="true" outlineLevel="0" collapsed="false"/>
    <row r="5793" customFormat="false" ht="15.75" hidden="false" customHeight="true" outlineLevel="0" collapsed="false"/>
    <row r="5794" customFormat="false" ht="15.75" hidden="false" customHeight="true" outlineLevel="0" collapsed="false"/>
    <row r="5795" customFormat="false" ht="15.75" hidden="false" customHeight="true" outlineLevel="0" collapsed="false"/>
    <row r="5796" customFormat="false" ht="15.75" hidden="false" customHeight="true" outlineLevel="0" collapsed="false"/>
    <row r="5797" customFormat="false" ht="15.75" hidden="false" customHeight="true" outlineLevel="0" collapsed="false"/>
    <row r="5798" customFormat="false" ht="15.75" hidden="false" customHeight="true" outlineLevel="0" collapsed="false"/>
    <row r="5799" customFormat="false" ht="15.75" hidden="false" customHeight="true" outlineLevel="0" collapsed="false"/>
    <row r="5800" customFormat="false" ht="15.75" hidden="false" customHeight="true" outlineLevel="0" collapsed="false"/>
    <row r="5801" customFormat="false" ht="15.75" hidden="false" customHeight="true" outlineLevel="0" collapsed="false"/>
    <row r="5802" customFormat="false" ht="15.75" hidden="false" customHeight="true" outlineLevel="0" collapsed="false"/>
    <row r="5803" customFormat="false" ht="15.75" hidden="false" customHeight="true" outlineLevel="0" collapsed="false"/>
    <row r="5804" customFormat="false" ht="15.75" hidden="false" customHeight="true" outlineLevel="0" collapsed="false"/>
    <row r="5805" customFormat="false" ht="15.75" hidden="false" customHeight="true" outlineLevel="0" collapsed="false"/>
    <row r="5806" customFormat="false" ht="15.75" hidden="false" customHeight="true" outlineLevel="0" collapsed="false"/>
    <row r="5807" customFormat="false" ht="15.75" hidden="false" customHeight="true" outlineLevel="0" collapsed="false"/>
    <row r="5808" customFormat="false" ht="15.75" hidden="false" customHeight="true" outlineLevel="0" collapsed="false"/>
    <row r="5809" customFormat="false" ht="15.75" hidden="false" customHeight="true" outlineLevel="0" collapsed="false"/>
    <row r="5810" customFormat="false" ht="15.75" hidden="false" customHeight="true" outlineLevel="0" collapsed="false"/>
    <row r="5811" customFormat="false" ht="15.75" hidden="false" customHeight="true" outlineLevel="0" collapsed="false"/>
    <row r="5812" customFormat="false" ht="15.75" hidden="false" customHeight="true" outlineLevel="0" collapsed="false"/>
    <row r="5813" customFormat="false" ht="15.75" hidden="false" customHeight="true" outlineLevel="0" collapsed="false"/>
    <row r="5814" customFormat="false" ht="15.75" hidden="false" customHeight="true" outlineLevel="0" collapsed="false"/>
    <row r="5815" customFormat="false" ht="15.75" hidden="false" customHeight="true" outlineLevel="0" collapsed="false"/>
    <row r="5816" customFormat="false" ht="15.75" hidden="false" customHeight="true" outlineLevel="0" collapsed="false"/>
    <row r="5817" customFormat="false" ht="15.75" hidden="false" customHeight="true" outlineLevel="0" collapsed="false"/>
    <row r="5818" customFormat="false" ht="15.75" hidden="false" customHeight="true" outlineLevel="0" collapsed="false"/>
    <row r="5819" customFormat="false" ht="15.75" hidden="false" customHeight="true" outlineLevel="0" collapsed="false"/>
    <row r="5820" customFormat="false" ht="15.75" hidden="false" customHeight="true" outlineLevel="0" collapsed="false"/>
    <row r="5821" customFormat="false" ht="15.75" hidden="false" customHeight="true" outlineLevel="0" collapsed="false"/>
    <row r="5822" customFormat="false" ht="15.75" hidden="false" customHeight="true" outlineLevel="0" collapsed="false"/>
    <row r="5823" customFormat="false" ht="15.75" hidden="false" customHeight="true" outlineLevel="0" collapsed="false"/>
    <row r="5824" customFormat="false" ht="15.75" hidden="false" customHeight="true" outlineLevel="0" collapsed="false"/>
    <row r="5825" customFormat="false" ht="15.75" hidden="false" customHeight="true" outlineLevel="0" collapsed="false"/>
    <row r="5826" customFormat="false" ht="15.75" hidden="false" customHeight="true" outlineLevel="0" collapsed="false"/>
    <row r="5827" customFormat="false" ht="15.75" hidden="false" customHeight="true" outlineLevel="0" collapsed="false"/>
    <row r="5828" customFormat="false" ht="15.75" hidden="false" customHeight="true" outlineLevel="0" collapsed="false"/>
    <row r="5829" customFormat="false" ht="15.75" hidden="false" customHeight="true" outlineLevel="0" collapsed="false"/>
    <row r="5830" customFormat="false" ht="15.75" hidden="false" customHeight="true" outlineLevel="0" collapsed="false"/>
    <row r="5831" customFormat="false" ht="15.75" hidden="false" customHeight="true" outlineLevel="0" collapsed="false"/>
    <row r="5832" customFormat="false" ht="15.75" hidden="false" customHeight="true" outlineLevel="0" collapsed="false"/>
    <row r="5833" customFormat="false" ht="15.75" hidden="false" customHeight="true" outlineLevel="0" collapsed="false"/>
    <row r="5834" customFormat="false" ht="15.75" hidden="false" customHeight="true" outlineLevel="0" collapsed="false"/>
    <row r="5835" customFormat="false" ht="15.75" hidden="false" customHeight="true" outlineLevel="0" collapsed="false"/>
    <row r="5836" customFormat="false" ht="15.75" hidden="false" customHeight="true" outlineLevel="0" collapsed="false"/>
    <row r="5837" customFormat="false" ht="15.75" hidden="false" customHeight="true" outlineLevel="0" collapsed="false"/>
    <row r="5838" customFormat="false" ht="15.75" hidden="false" customHeight="true" outlineLevel="0" collapsed="false"/>
    <row r="5839" customFormat="false" ht="15.75" hidden="false" customHeight="true" outlineLevel="0" collapsed="false"/>
    <row r="5840" customFormat="false" ht="15.75" hidden="false" customHeight="true" outlineLevel="0" collapsed="false"/>
    <row r="5841" customFormat="false" ht="15.75" hidden="false" customHeight="true" outlineLevel="0" collapsed="false"/>
    <row r="5842" customFormat="false" ht="15.75" hidden="false" customHeight="true" outlineLevel="0" collapsed="false"/>
    <row r="5843" customFormat="false" ht="15.75" hidden="false" customHeight="true" outlineLevel="0" collapsed="false"/>
    <row r="5844" customFormat="false" ht="15.75" hidden="false" customHeight="true" outlineLevel="0" collapsed="false"/>
    <row r="5845" customFormat="false" ht="15.75" hidden="false" customHeight="true" outlineLevel="0" collapsed="false"/>
    <row r="5846" customFormat="false" ht="15.75" hidden="false" customHeight="true" outlineLevel="0" collapsed="false"/>
    <row r="5847" customFormat="false" ht="15.75" hidden="false" customHeight="true" outlineLevel="0" collapsed="false"/>
    <row r="5848" customFormat="false" ht="15.75" hidden="false" customHeight="true" outlineLevel="0" collapsed="false"/>
    <row r="5849" customFormat="false" ht="15.75" hidden="false" customHeight="true" outlineLevel="0" collapsed="false"/>
    <row r="5850" customFormat="false" ht="15.75" hidden="false" customHeight="true" outlineLevel="0" collapsed="false"/>
    <row r="5851" customFormat="false" ht="15.75" hidden="false" customHeight="true" outlineLevel="0" collapsed="false"/>
    <row r="5852" customFormat="false" ht="15.75" hidden="false" customHeight="true" outlineLevel="0" collapsed="false"/>
    <row r="5853" customFormat="false" ht="15.75" hidden="false" customHeight="true" outlineLevel="0" collapsed="false"/>
    <row r="5854" customFormat="false" ht="15.75" hidden="false" customHeight="true" outlineLevel="0" collapsed="false"/>
    <row r="5855" customFormat="false" ht="15.75" hidden="false" customHeight="true" outlineLevel="0" collapsed="false"/>
    <row r="5856" customFormat="false" ht="15.75" hidden="false" customHeight="true" outlineLevel="0" collapsed="false"/>
    <row r="5857" customFormat="false" ht="15.75" hidden="false" customHeight="true" outlineLevel="0" collapsed="false"/>
    <row r="5858" customFormat="false" ht="15.75" hidden="false" customHeight="true" outlineLevel="0" collapsed="false"/>
    <row r="5859" customFormat="false" ht="15.75" hidden="false" customHeight="true" outlineLevel="0" collapsed="false"/>
    <row r="5860" customFormat="false" ht="15.75" hidden="false" customHeight="true" outlineLevel="0" collapsed="false"/>
    <row r="5861" customFormat="false" ht="15.75" hidden="false" customHeight="true" outlineLevel="0" collapsed="false"/>
    <row r="5862" customFormat="false" ht="15.75" hidden="false" customHeight="true" outlineLevel="0" collapsed="false"/>
    <row r="5863" customFormat="false" ht="15.75" hidden="false" customHeight="true" outlineLevel="0" collapsed="false"/>
    <row r="5864" customFormat="false" ht="15.75" hidden="false" customHeight="true" outlineLevel="0" collapsed="false"/>
    <row r="5865" customFormat="false" ht="15.75" hidden="false" customHeight="true" outlineLevel="0" collapsed="false"/>
    <row r="5866" customFormat="false" ht="15.75" hidden="false" customHeight="true" outlineLevel="0" collapsed="false"/>
    <row r="5867" customFormat="false" ht="15.75" hidden="false" customHeight="true" outlineLevel="0" collapsed="false"/>
    <row r="5868" customFormat="false" ht="15.75" hidden="false" customHeight="true" outlineLevel="0" collapsed="false"/>
    <row r="5869" customFormat="false" ht="15.75" hidden="false" customHeight="true" outlineLevel="0" collapsed="false"/>
    <row r="5870" customFormat="false" ht="15.75" hidden="false" customHeight="true" outlineLevel="0" collapsed="false"/>
    <row r="5871" customFormat="false" ht="15.75" hidden="false" customHeight="true" outlineLevel="0" collapsed="false"/>
    <row r="5872" customFormat="false" ht="15.75" hidden="false" customHeight="true" outlineLevel="0" collapsed="false"/>
    <row r="5873" customFormat="false" ht="15.75" hidden="false" customHeight="true" outlineLevel="0" collapsed="false"/>
    <row r="5874" customFormat="false" ht="15.75" hidden="false" customHeight="true" outlineLevel="0" collapsed="false"/>
    <row r="5875" customFormat="false" ht="15.75" hidden="false" customHeight="true" outlineLevel="0" collapsed="false"/>
    <row r="5876" customFormat="false" ht="15.75" hidden="false" customHeight="true" outlineLevel="0" collapsed="false"/>
    <row r="5877" customFormat="false" ht="15.75" hidden="false" customHeight="true" outlineLevel="0" collapsed="false"/>
    <row r="5878" customFormat="false" ht="15.75" hidden="false" customHeight="true" outlineLevel="0" collapsed="false"/>
    <row r="5879" customFormat="false" ht="15.75" hidden="false" customHeight="true" outlineLevel="0" collapsed="false"/>
    <row r="5880" customFormat="false" ht="15.75" hidden="false" customHeight="true" outlineLevel="0" collapsed="false"/>
    <row r="5881" customFormat="false" ht="15.75" hidden="false" customHeight="true" outlineLevel="0" collapsed="false"/>
    <row r="5882" customFormat="false" ht="15.75" hidden="false" customHeight="true" outlineLevel="0" collapsed="false"/>
    <row r="5883" customFormat="false" ht="15.75" hidden="false" customHeight="true" outlineLevel="0" collapsed="false"/>
    <row r="5884" customFormat="false" ht="15.75" hidden="false" customHeight="true" outlineLevel="0" collapsed="false"/>
    <row r="5885" customFormat="false" ht="15.75" hidden="false" customHeight="true" outlineLevel="0" collapsed="false"/>
    <row r="5886" customFormat="false" ht="15.75" hidden="false" customHeight="true" outlineLevel="0" collapsed="false"/>
    <row r="5887" customFormat="false" ht="15.75" hidden="false" customHeight="true" outlineLevel="0" collapsed="false"/>
    <row r="5888" customFormat="false" ht="15.75" hidden="false" customHeight="true" outlineLevel="0" collapsed="false"/>
    <row r="5889" customFormat="false" ht="15.75" hidden="false" customHeight="true" outlineLevel="0" collapsed="false"/>
    <row r="5890" customFormat="false" ht="15.75" hidden="false" customHeight="true" outlineLevel="0" collapsed="false"/>
    <row r="5891" customFormat="false" ht="15.75" hidden="false" customHeight="true" outlineLevel="0" collapsed="false"/>
    <row r="5892" customFormat="false" ht="15.75" hidden="false" customHeight="true" outlineLevel="0" collapsed="false"/>
    <row r="5893" customFormat="false" ht="15.75" hidden="false" customHeight="true" outlineLevel="0" collapsed="false"/>
    <row r="5894" customFormat="false" ht="15.75" hidden="false" customHeight="true" outlineLevel="0" collapsed="false"/>
    <row r="5895" customFormat="false" ht="15.75" hidden="false" customHeight="true" outlineLevel="0" collapsed="false"/>
    <row r="5896" customFormat="false" ht="15.75" hidden="false" customHeight="true" outlineLevel="0" collapsed="false"/>
    <row r="5897" customFormat="false" ht="15.75" hidden="false" customHeight="true" outlineLevel="0" collapsed="false"/>
    <row r="5898" customFormat="false" ht="15.75" hidden="false" customHeight="true" outlineLevel="0" collapsed="false"/>
    <row r="5899" customFormat="false" ht="15.75" hidden="false" customHeight="true" outlineLevel="0" collapsed="false"/>
    <row r="5900" customFormat="false" ht="15.75" hidden="false" customHeight="true" outlineLevel="0" collapsed="false"/>
    <row r="5901" customFormat="false" ht="15.75" hidden="false" customHeight="true" outlineLevel="0" collapsed="false"/>
    <row r="5902" customFormat="false" ht="15.75" hidden="false" customHeight="true" outlineLevel="0" collapsed="false"/>
    <row r="5903" customFormat="false" ht="15.75" hidden="false" customHeight="true" outlineLevel="0" collapsed="false"/>
    <row r="5904" customFormat="false" ht="15.75" hidden="false" customHeight="true" outlineLevel="0" collapsed="false"/>
    <row r="5905" customFormat="false" ht="15.75" hidden="false" customHeight="true" outlineLevel="0" collapsed="false"/>
    <row r="5906" customFormat="false" ht="15.75" hidden="false" customHeight="true" outlineLevel="0" collapsed="false"/>
    <row r="5907" customFormat="false" ht="15.75" hidden="false" customHeight="true" outlineLevel="0" collapsed="false"/>
    <row r="5908" customFormat="false" ht="15.75" hidden="false" customHeight="true" outlineLevel="0" collapsed="false"/>
    <row r="5909" customFormat="false" ht="15.75" hidden="false" customHeight="true" outlineLevel="0" collapsed="false"/>
    <row r="5910" customFormat="false" ht="15.75" hidden="false" customHeight="true" outlineLevel="0" collapsed="false"/>
    <row r="5911" customFormat="false" ht="15.75" hidden="false" customHeight="true" outlineLevel="0" collapsed="false"/>
    <row r="5912" customFormat="false" ht="15.75" hidden="false" customHeight="true" outlineLevel="0" collapsed="false"/>
    <row r="5913" customFormat="false" ht="15.75" hidden="false" customHeight="true" outlineLevel="0" collapsed="false"/>
    <row r="5914" customFormat="false" ht="15.75" hidden="false" customHeight="true" outlineLevel="0" collapsed="false"/>
    <row r="5915" customFormat="false" ht="15.75" hidden="false" customHeight="true" outlineLevel="0" collapsed="false"/>
    <row r="5916" customFormat="false" ht="15.75" hidden="false" customHeight="true" outlineLevel="0" collapsed="false"/>
    <row r="5917" customFormat="false" ht="15.75" hidden="false" customHeight="true" outlineLevel="0" collapsed="false"/>
    <row r="5918" customFormat="false" ht="15.75" hidden="false" customHeight="true" outlineLevel="0" collapsed="false"/>
    <row r="5919" customFormat="false" ht="15.75" hidden="false" customHeight="true" outlineLevel="0" collapsed="false"/>
    <row r="5920" customFormat="false" ht="15.75" hidden="false" customHeight="true" outlineLevel="0" collapsed="false"/>
    <row r="5921" customFormat="false" ht="15.75" hidden="false" customHeight="true" outlineLevel="0" collapsed="false"/>
    <row r="5922" customFormat="false" ht="15.75" hidden="false" customHeight="true" outlineLevel="0" collapsed="false"/>
    <row r="5923" customFormat="false" ht="15.75" hidden="false" customHeight="true" outlineLevel="0" collapsed="false"/>
    <row r="5924" customFormat="false" ht="15.75" hidden="false" customHeight="true" outlineLevel="0" collapsed="false"/>
    <row r="5925" customFormat="false" ht="15.75" hidden="false" customHeight="true" outlineLevel="0" collapsed="false"/>
    <row r="5926" customFormat="false" ht="15.75" hidden="false" customHeight="true" outlineLevel="0" collapsed="false"/>
    <row r="5927" customFormat="false" ht="15.75" hidden="false" customHeight="true" outlineLevel="0" collapsed="false"/>
    <row r="5928" customFormat="false" ht="15.75" hidden="false" customHeight="true" outlineLevel="0" collapsed="false"/>
    <row r="5929" customFormat="false" ht="15.75" hidden="false" customHeight="true" outlineLevel="0" collapsed="false"/>
    <row r="5930" customFormat="false" ht="15.75" hidden="false" customHeight="true" outlineLevel="0" collapsed="false"/>
    <row r="5931" customFormat="false" ht="15.75" hidden="false" customHeight="true" outlineLevel="0" collapsed="false"/>
    <row r="5932" customFormat="false" ht="15.75" hidden="false" customHeight="true" outlineLevel="0" collapsed="false"/>
    <row r="5933" customFormat="false" ht="15.75" hidden="false" customHeight="true" outlineLevel="0" collapsed="false"/>
    <row r="5934" customFormat="false" ht="15.75" hidden="false" customHeight="true" outlineLevel="0" collapsed="false"/>
    <row r="5935" customFormat="false" ht="15.75" hidden="false" customHeight="true" outlineLevel="0" collapsed="false"/>
    <row r="5936" customFormat="false" ht="15.75" hidden="false" customHeight="true" outlineLevel="0" collapsed="false"/>
    <row r="5937" customFormat="false" ht="15.75" hidden="false" customHeight="true" outlineLevel="0" collapsed="false"/>
    <row r="5938" customFormat="false" ht="15.75" hidden="false" customHeight="true" outlineLevel="0" collapsed="false"/>
    <row r="5939" customFormat="false" ht="15.75" hidden="false" customHeight="true" outlineLevel="0" collapsed="false"/>
    <row r="5940" customFormat="false" ht="15.75" hidden="false" customHeight="true" outlineLevel="0" collapsed="false"/>
    <row r="5941" customFormat="false" ht="15.75" hidden="false" customHeight="true" outlineLevel="0" collapsed="false"/>
    <row r="5942" customFormat="false" ht="15.75" hidden="false" customHeight="true" outlineLevel="0" collapsed="false"/>
    <row r="5943" customFormat="false" ht="15.75" hidden="false" customHeight="true" outlineLevel="0" collapsed="false"/>
    <row r="5944" customFormat="false" ht="15.75" hidden="false" customHeight="true" outlineLevel="0" collapsed="false"/>
    <row r="5945" customFormat="false" ht="15.75" hidden="false" customHeight="true" outlineLevel="0" collapsed="false"/>
    <row r="5946" customFormat="false" ht="15.75" hidden="false" customHeight="true" outlineLevel="0" collapsed="false"/>
    <row r="5947" customFormat="false" ht="15.75" hidden="false" customHeight="true" outlineLevel="0" collapsed="false"/>
    <row r="5948" customFormat="false" ht="15.75" hidden="false" customHeight="true" outlineLevel="0" collapsed="false"/>
    <row r="5949" customFormat="false" ht="15.75" hidden="false" customHeight="true" outlineLevel="0" collapsed="false"/>
    <row r="5950" customFormat="false" ht="15.75" hidden="false" customHeight="true" outlineLevel="0" collapsed="false"/>
    <row r="5951" customFormat="false" ht="15.75" hidden="false" customHeight="true" outlineLevel="0" collapsed="false"/>
    <row r="5952" customFormat="false" ht="15.75" hidden="false" customHeight="true" outlineLevel="0" collapsed="false"/>
    <row r="5953" customFormat="false" ht="15.75" hidden="false" customHeight="true" outlineLevel="0" collapsed="false"/>
    <row r="5954" customFormat="false" ht="15.75" hidden="false" customHeight="true" outlineLevel="0" collapsed="false"/>
    <row r="5955" customFormat="false" ht="15.75" hidden="false" customHeight="true" outlineLevel="0" collapsed="false"/>
    <row r="5956" customFormat="false" ht="15.75" hidden="false" customHeight="true" outlineLevel="0" collapsed="false"/>
    <row r="5957" customFormat="false" ht="15.75" hidden="false" customHeight="true" outlineLevel="0" collapsed="false"/>
    <row r="5958" customFormat="false" ht="15.75" hidden="false" customHeight="true" outlineLevel="0" collapsed="false"/>
    <row r="5959" customFormat="false" ht="15.75" hidden="false" customHeight="true" outlineLevel="0" collapsed="false"/>
    <row r="5960" customFormat="false" ht="15.75" hidden="false" customHeight="true" outlineLevel="0" collapsed="false"/>
    <row r="5961" customFormat="false" ht="15.75" hidden="false" customHeight="true" outlineLevel="0" collapsed="false"/>
    <row r="5962" customFormat="false" ht="15.75" hidden="false" customHeight="true" outlineLevel="0" collapsed="false"/>
    <row r="5963" customFormat="false" ht="15.75" hidden="false" customHeight="true" outlineLevel="0" collapsed="false"/>
    <row r="5964" customFormat="false" ht="15.75" hidden="false" customHeight="true" outlineLevel="0" collapsed="false"/>
    <row r="5965" customFormat="false" ht="15.75" hidden="false" customHeight="true" outlineLevel="0" collapsed="false"/>
    <row r="5966" customFormat="false" ht="15.75" hidden="false" customHeight="true" outlineLevel="0" collapsed="false"/>
    <row r="5967" customFormat="false" ht="15.75" hidden="false" customHeight="true" outlineLevel="0" collapsed="false"/>
    <row r="5968" customFormat="false" ht="15.75" hidden="false" customHeight="true" outlineLevel="0" collapsed="false"/>
    <row r="5969" customFormat="false" ht="15.75" hidden="false" customHeight="true" outlineLevel="0" collapsed="false"/>
    <row r="5970" customFormat="false" ht="15.75" hidden="false" customHeight="true" outlineLevel="0" collapsed="false"/>
    <row r="5971" customFormat="false" ht="15.75" hidden="false" customHeight="true" outlineLevel="0" collapsed="false"/>
    <row r="5972" customFormat="false" ht="15.75" hidden="false" customHeight="true" outlineLevel="0" collapsed="false"/>
    <row r="5973" customFormat="false" ht="15.75" hidden="false" customHeight="true" outlineLevel="0" collapsed="false"/>
    <row r="5974" customFormat="false" ht="15.75" hidden="false" customHeight="true" outlineLevel="0" collapsed="false"/>
    <row r="5975" customFormat="false" ht="15.75" hidden="false" customHeight="true" outlineLevel="0" collapsed="false"/>
    <row r="5976" customFormat="false" ht="15.75" hidden="false" customHeight="true" outlineLevel="0" collapsed="false"/>
    <row r="5977" customFormat="false" ht="15.75" hidden="false" customHeight="true" outlineLevel="0" collapsed="false"/>
    <row r="5978" customFormat="false" ht="15.75" hidden="false" customHeight="true" outlineLevel="0" collapsed="false"/>
    <row r="5979" customFormat="false" ht="15.75" hidden="false" customHeight="true" outlineLevel="0" collapsed="false"/>
    <row r="5980" customFormat="false" ht="15.75" hidden="false" customHeight="true" outlineLevel="0" collapsed="false"/>
    <row r="5981" customFormat="false" ht="15.75" hidden="false" customHeight="true" outlineLevel="0" collapsed="false"/>
    <row r="5982" customFormat="false" ht="15.75" hidden="false" customHeight="true" outlineLevel="0" collapsed="false"/>
    <row r="5983" customFormat="false" ht="15.75" hidden="false" customHeight="true" outlineLevel="0" collapsed="false"/>
    <row r="5984" customFormat="false" ht="15.75" hidden="false" customHeight="true" outlineLevel="0" collapsed="false"/>
    <row r="5985" customFormat="false" ht="15.75" hidden="false" customHeight="true" outlineLevel="0" collapsed="false"/>
    <row r="5986" customFormat="false" ht="15.75" hidden="false" customHeight="true" outlineLevel="0" collapsed="false"/>
    <row r="5987" customFormat="false" ht="15.75" hidden="false" customHeight="true" outlineLevel="0" collapsed="false"/>
    <row r="5988" customFormat="false" ht="15.75" hidden="false" customHeight="true" outlineLevel="0" collapsed="false"/>
    <row r="5989" customFormat="false" ht="15.75" hidden="false" customHeight="true" outlineLevel="0" collapsed="false"/>
    <row r="5990" customFormat="false" ht="15.75" hidden="false" customHeight="true" outlineLevel="0" collapsed="false"/>
    <row r="5991" customFormat="false" ht="15.75" hidden="false" customHeight="true" outlineLevel="0" collapsed="false"/>
    <row r="5992" customFormat="false" ht="15.75" hidden="false" customHeight="true" outlineLevel="0" collapsed="false"/>
    <row r="5993" customFormat="false" ht="15.75" hidden="false" customHeight="true" outlineLevel="0" collapsed="false"/>
    <row r="5994" customFormat="false" ht="15.75" hidden="false" customHeight="true" outlineLevel="0" collapsed="false"/>
    <row r="5995" customFormat="false" ht="15.75" hidden="false" customHeight="true" outlineLevel="0" collapsed="false"/>
    <row r="5996" customFormat="false" ht="15.75" hidden="false" customHeight="true" outlineLevel="0" collapsed="false"/>
    <row r="5997" customFormat="false" ht="15.75" hidden="false" customHeight="true" outlineLevel="0" collapsed="false"/>
    <row r="5998" customFormat="false" ht="15.75" hidden="false" customHeight="true" outlineLevel="0" collapsed="false"/>
    <row r="5999" customFormat="false" ht="15.75" hidden="false" customHeight="true" outlineLevel="0" collapsed="false"/>
    <row r="6000" customFormat="false" ht="15.75" hidden="false" customHeight="true" outlineLevel="0" collapsed="false"/>
    <row r="6001" customFormat="false" ht="15.75" hidden="false" customHeight="true" outlineLevel="0" collapsed="false"/>
    <row r="6002" customFormat="false" ht="15.75" hidden="false" customHeight="true" outlineLevel="0" collapsed="false"/>
    <row r="6003" customFormat="false" ht="15.75" hidden="false" customHeight="true" outlineLevel="0" collapsed="false"/>
    <row r="6004" customFormat="false" ht="15.75" hidden="false" customHeight="true" outlineLevel="0" collapsed="false"/>
    <row r="6005" customFormat="false" ht="15.75" hidden="false" customHeight="true" outlineLevel="0" collapsed="false"/>
    <row r="6006" customFormat="false" ht="15.75" hidden="false" customHeight="true" outlineLevel="0" collapsed="false"/>
    <row r="6007" customFormat="false" ht="15.75" hidden="false" customHeight="true" outlineLevel="0" collapsed="false"/>
    <row r="6008" customFormat="false" ht="15.75" hidden="false" customHeight="true" outlineLevel="0" collapsed="false"/>
    <row r="6009" customFormat="false" ht="15.75" hidden="false" customHeight="true" outlineLevel="0" collapsed="false"/>
    <row r="6010" customFormat="false" ht="15.75" hidden="false" customHeight="true" outlineLevel="0" collapsed="false"/>
    <row r="6011" customFormat="false" ht="15.75" hidden="false" customHeight="true" outlineLevel="0" collapsed="false"/>
    <row r="6012" customFormat="false" ht="15.75" hidden="false" customHeight="true" outlineLevel="0" collapsed="false"/>
    <row r="6013" customFormat="false" ht="15.75" hidden="false" customHeight="true" outlineLevel="0" collapsed="false"/>
    <row r="6014" customFormat="false" ht="15.75" hidden="false" customHeight="true" outlineLevel="0" collapsed="false"/>
    <row r="6015" customFormat="false" ht="15.75" hidden="false" customHeight="true" outlineLevel="0" collapsed="false"/>
    <row r="6016" customFormat="false" ht="15.75" hidden="false" customHeight="true" outlineLevel="0" collapsed="false"/>
    <row r="6017" customFormat="false" ht="15.75" hidden="false" customHeight="true" outlineLevel="0" collapsed="false"/>
    <row r="6018" customFormat="false" ht="15.75" hidden="false" customHeight="true" outlineLevel="0" collapsed="false"/>
    <row r="6019" customFormat="false" ht="15.75" hidden="false" customHeight="true" outlineLevel="0" collapsed="false"/>
    <row r="6020" customFormat="false" ht="15.75" hidden="false" customHeight="true" outlineLevel="0" collapsed="false"/>
    <row r="6021" customFormat="false" ht="15.75" hidden="false" customHeight="true" outlineLevel="0" collapsed="false"/>
    <row r="6022" customFormat="false" ht="15.75" hidden="false" customHeight="true" outlineLevel="0" collapsed="false"/>
    <row r="6023" customFormat="false" ht="15.75" hidden="false" customHeight="true" outlineLevel="0" collapsed="false"/>
    <row r="6024" customFormat="false" ht="15.75" hidden="false" customHeight="true" outlineLevel="0" collapsed="false"/>
    <row r="6025" customFormat="false" ht="15.75" hidden="false" customHeight="true" outlineLevel="0" collapsed="false"/>
    <row r="6026" customFormat="false" ht="15.75" hidden="false" customHeight="true" outlineLevel="0" collapsed="false"/>
    <row r="6027" customFormat="false" ht="15.75" hidden="false" customHeight="true" outlineLevel="0" collapsed="false"/>
    <row r="6028" customFormat="false" ht="15.75" hidden="false" customHeight="true" outlineLevel="0" collapsed="false"/>
    <row r="6029" customFormat="false" ht="15.75" hidden="false" customHeight="true" outlineLevel="0" collapsed="false"/>
    <row r="6030" customFormat="false" ht="15.75" hidden="false" customHeight="true" outlineLevel="0" collapsed="false"/>
    <row r="6031" customFormat="false" ht="15.75" hidden="false" customHeight="true" outlineLevel="0" collapsed="false"/>
    <row r="6032" customFormat="false" ht="15.75" hidden="false" customHeight="true" outlineLevel="0" collapsed="false"/>
    <row r="6033" customFormat="false" ht="15.75" hidden="false" customHeight="true" outlineLevel="0" collapsed="false"/>
    <row r="6034" customFormat="false" ht="15.75" hidden="false" customHeight="true" outlineLevel="0" collapsed="false"/>
    <row r="6035" customFormat="false" ht="15.75" hidden="false" customHeight="true" outlineLevel="0" collapsed="false"/>
    <row r="6036" customFormat="false" ht="15.75" hidden="false" customHeight="true" outlineLevel="0" collapsed="false"/>
    <row r="6037" customFormat="false" ht="15.75" hidden="false" customHeight="true" outlineLevel="0" collapsed="false"/>
    <row r="6038" customFormat="false" ht="15.75" hidden="false" customHeight="true" outlineLevel="0" collapsed="false"/>
    <row r="6039" customFormat="false" ht="15.75" hidden="false" customHeight="true" outlineLevel="0" collapsed="false"/>
    <row r="6040" customFormat="false" ht="15.75" hidden="false" customHeight="true" outlineLevel="0" collapsed="false"/>
    <row r="6041" customFormat="false" ht="15.75" hidden="false" customHeight="true" outlineLevel="0" collapsed="false"/>
    <row r="6042" customFormat="false" ht="15.75" hidden="false" customHeight="true" outlineLevel="0" collapsed="false"/>
    <row r="6043" customFormat="false" ht="15.75" hidden="false" customHeight="true" outlineLevel="0" collapsed="false"/>
    <row r="6044" customFormat="false" ht="15.75" hidden="false" customHeight="true" outlineLevel="0" collapsed="false"/>
    <row r="6045" customFormat="false" ht="15.75" hidden="false" customHeight="true" outlineLevel="0" collapsed="false"/>
    <row r="6046" customFormat="false" ht="15.75" hidden="false" customHeight="true" outlineLevel="0" collapsed="false"/>
    <row r="6047" customFormat="false" ht="15.75" hidden="false" customHeight="true" outlineLevel="0" collapsed="false"/>
    <row r="6048" customFormat="false" ht="15.75" hidden="false" customHeight="true" outlineLevel="0" collapsed="false"/>
    <row r="6049" customFormat="false" ht="15.75" hidden="false" customHeight="true" outlineLevel="0" collapsed="false"/>
    <row r="6050" customFormat="false" ht="15.75" hidden="false" customHeight="true" outlineLevel="0" collapsed="false"/>
    <row r="6051" customFormat="false" ht="15.75" hidden="false" customHeight="true" outlineLevel="0" collapsed="false"/>
    <row r="6052" customFormat="false" ht="15.75" hidden="false" customHeight="true" outlineLevel="0" collapsed="false"/>
    <row r="6053" customFormat="false" ht="15.75" hidden="false" customHeight="true" outlineLevel="0" collapsed="false"/>
    <row r="6054" customFormat="false" ht="15.75" hidden="false" customHeight="true" outlineLevel="0" collapsed="false"/>
    <row r="6055" customFormat="false" ht="15.75" hidden="false" customHeight="true" outlineLevel="0" collapsed="false"/>
    <row r="6056" customFormat="false" ht="15.75" hidden="false" customHeight="true" outlineLevel="0" collapsed="false"/>
    <row r="6057" customFormat="false" ht="15.75" hidden="false" customHeight="true" outlineLevel="0" collapsed="false"/>
    <row r="6058" customFormat="false" ht="15.75" hidden="false" customHeight="true" outlineLevel="0" collapsed="false"/>
    <row r="6059" customFormat="false" ht="15.75" hidden="false" customHeight="true" outlineLevel="0" collapsed="false"/>
    <row r="6060" customFormat="false" ht="15.75" hidden="false" customHeight="true" outlineLevel="0" collapsed="false"/>
    <row r="6061" customFormat="false" ht="15.75" hidden="false" customHeight="true" outlineLevel="0" collapsed="false"/>
    <row r="6062" customFormat="false" ht="15.75" hidden="false" customHeight="true" outlineLevel="0" collapsed="false"/>
    <row r="6063" customFormat="false" ht="15.75" hidden="false" customHeight="true" outlineLevel="0" collapsed="false"/>
    <row r="6064" customFormat="false" ht="15.75" hidden="false" customHeight="true" outlineLevel="0" collapsed="false"/>
    <row r="6065" customFormat="false" ht="15.75" hidden="false" customHeight="true" outlineLevel="0" collapsed="false"/>
    <row r="6066" customFormat="false" ht="15.75" hidden="false" customHeight="true" outlineLevel="0" collapsed="false"/>
    <row r="6067" customFormat="false" ht="15.75" hidden="false" customHeight="true" outlineLevel="0" collapsed="false"/>
    <row r="6068" customFormat="false" ht="15.75" hidden="false" customHeight="true" outlineLevel="0" collapsed="false"/>
    <row r="6069" customFormat="false" ht="15.75" hidden="false" customHeight="true" outlineLevel="0" collapsed="false"/>
    <row r="6070" customFormat="false" ht="15.75" hidden="false" customHeight="true" outlineLevel="0" collapsed="false"/>
    <row r="6071" customFormat="false" ht="15.75" hidden="false" customHeight="true" outlineLevel="0" collapsed="false"/>
    <row r="6072" customFormat="false" ht="15.75" hidden="false" customHeight="true" outlineLevel="0" collapsed="false"/>
    <row r="6073" customFormat="false" ht="15.75" hidden="false" customHeight="true" outlineLevel="0" collapsed="false"/>
    <row r="6074" customFormat="false" ht="15.75" hidden="false" customHeight="true" outlineLevel="0" collapsed="false"/>
    <row r="6075" customFormat="false" ht="15.75" hidden="false" customHeight="true" outlineLevel="0" collapsed="false"/>
    <row r="6076" customFormat="false" ht="15.75" hidden="false" customHeight="true" outlineLevel="0" collapsed="false"/>
    <row r="6077" customFormat="false" ht="15.75" hidden="false" customHeight="true" outlineLevel="0" collapsed="false"/>
    <row r="6078" customFormat="false" ht="15.75" hidden="false" customHeight="true" outlineLevel="0" collapsed="false"/>
    <row r="6079" customFormat="false" ht="15.75" hidden="false" customHeight="true" outlineLevel="0" collapsed="false"/>
    <row r="6080" customFormat="false" ht="15.75" hidden="false" customHeight="true" outlineLevel="0" collapsed="false"/>
    <row r="6081" customFormat="false" ht="15.75" hidden="false" customHeight="true" outlineLevel="0" collapsed="false"/>
    <row r="6082" customFormat="false" ht="15.75" hidden="false" customHeight="true" outlineLevel="0" collapsed="false"/>
    <row r="6083" customFormat="false" ht="15.75" hidden="false" customHeight="true" outlineLevel="0" collapsed="false"/>
    <row r="6084" customFormat="false" ht="15.75" hidden="false" customHeight="true" outlineLevel="0" collapsed="false"/>
    <row r="6085" customFormat="false" ht="15.75" hidden="false" customHeight="true" outlineLevel="0" collapsed="false"/>
    <row r="6086" customFormat="false" ht="15.75" hidden="false" customHeight="true" outlineLevel="0" collapsed="false"/>
    <row r="6087" customFormat="false" ht="15.75" hidden="false" customHeight="true" outlineLevel="0" collapsed="false"/>
    <row r="6088" customFormat="false" ht="15.75" hidden="false" customHeight="true" outlineLevel="0" collapsed="false"/>
    <row r="6089" customFormat="false" ht="15.75" hidden="false" customHeight="true" outlineLevel="0" collapsed="false"/>
    <row r="6090" customFormat="false" ht="15.75" hidden="false" customHeight="true" outlineLevel="0" collapsed="false"/>
    <row r="6091" customFormat="false" ht="15.75" hidden="false" customHeight="true" outlineLevel="0" collapsed="false"/>
    <row r="6092" customFormat="false" ht="15.75" hidden="false" customHeight="true" outlineLevel="0" collapsed="false"/>
    <row r="6093" customFormat="false" ht="15.75" hidden="false" customHeight="true" outlineLevel="0" collapsed="false"/>
    <row r="6094" customFormat="false" ht="15.75" hidden="false" customHeight="true" outlineLevel="0" collapsed="false"/>
    <row r="6095" customFormat="false" ht="15.75" hidden="false" customHeight="true" outlineLevel="0" collapsed="false"/>
    <row r="6096" customFormat="false" ht="15.75" hidden="false" customHeight="true" outlineLevel="0" collapsed="false"/>
    <row r="6097" customFormat="false" ht="15.75" hidden="false" customHeight="true" outlineLevel="0" collapsed="false"/>
    <row r="6098" customFormat="false" ht="15.75" hidden="false" customHeight="true" outlineLevel="0" collapsed="false"/>
    <row r="6099" customFormat="false" ht="15.75" hidden="false" customHeight="true" outlineLevel="0" collapsed="false"/>
    <row r="6100" customFormat="false" ht="15.75" hidden="false" customHeight="true" outlineLevel="0" collapsed="false"/>
    <row r="6101" customFormat="false" ht="15.75" hidden="false" customHeight="true" outlineLevel="0" collapsed="false"/>
    <row r="6102" customFormat="false" ht="15.75" hidden="false" customHeight="true" outlineLevel="0" collapsed="false"/>
    <row r="6103" customFormat="false" ht="15.75" hidden="false" customHeight="true" outlineLevel="0" collapsed="false"/>
    <row r="6104" customFormat="false" ht="15.75" hidden="false" customHeight="true" outlineLevel="0" collapsed="false"/>
    <row r="6105" customFormat="false" ht="15.75" hidden="false" customHeight="true" outlineLevel="0" collapsed="false"/>
    <row r="6106" customFormat="false" ht="15.75" hidden="false" customHeight="true" outlineLevel="0" collapsed="false"/>
    <row r="6107" customFormat="false" ht="15.75" hidden="false" customHeight="true" outlineLevel="0" collapsed="false"/>
    <row r="6108" customFormat="false" ht="15.75" hidden="false" customHeight="true" outlineLevel="0" collapsed="false"/>
    <row r="6109" customFormat="false" ht="15.75" hidden="false" customHeight="true" outlineLevel="0" collapsed="false"/>
    <row r="6110" customFormat="false" ht="15.75" hidden="false" customHeight="true" outlineLevel="0" collapsed="false"/>
    <row r="6111" customFormat="false" ht="15.75" hidden="false" customHeight="true" outlineLevel="0" collapsed="false"/>
    <row r="6112" customFormat="false" ht="15.75" hidden="false" customHeight="true" outlineLevel="0" collapsed="false"/>
    <row r="6113" customFormat="false" ht="15.75" hidden="false" customHeight="true" outlineLevel="0" collapsed="false"/>
    <row r="6114" customFormat="false" ht="15.75" hidden="false" customHeight="true" outlineLevel="0" collapsed="false"/>
    <row r="6115" customFormat="false" ht="15.75" hidden="false" customHeight="true" outlineLevel="0" collapsed="false"/>
    <row r="6116" customFormat="false" ht="15.75" hidden="false" customHeight="true" outlineLevel="0" collapsed="false"/>
    <row r="6117" customFormat="false" ht="15.75" hidden="false" customHeight="true" outlineLevel="0" collapsed="false"/>
    <row r="6118" customFormat="false" ht="15.75" hidden="false" customHeight="true" outlineLevel="0" collapsed="false"/>
    <row r="6119" customFormat="false" ht="15.75" hidden="false" customHeight="true" outlineLevel="0" collapsed="false"/>
    <row r="6120" customFormat="false" ht="15.75" hidden="false" customHeight="true" outlineLevel="0" collapsed="false"/>
    <row r="6121" customFormat="false" ht="15.75" hidden="false" customHeight="true" outlineLevel="0" collapsed="false"/>
    <row r="6122" customFormat="false" ht="15.75" hidden="false" customHeight="true" outlineLevel="0" collapsed="false"/>
    <row r="6123" customFormat="false" ht="15.75" hidden="false" customHeight="true" outlineLevel="0" collapsed="false"/>
    <row r="6124" customFormat="false" ht="15.75" hidden="false" customHeight="true" outlineLevel="0" collapsed="false"/>
    <row r="6125" customFormat="false" ht="15.75" hidden="false" customHeight="true" outlineLevel="0" collapsed="false"/>
    <row r="6126" customFormat="false" ht="15.75" hidden="false" customHeight="true" outlineLevel="0" collapsed="false"/>
    <row r="6127" customFormat="false" ht="15.75" hidden="false" customHeight="true" outlineLevel="0" collapsed="false"/>
    <row r="6128" customFormat="false" ht="15.75" hidden="false" customHeight="true" outlineLevel="0" collapsed="false"/>
    <row r="6129" customFormat="false" ht="15.75" hidden="false" customHeight="true" outlineLevel="0" collapsed="false"/>
    <row r="6130" customFormat="false" ht="15.75" hidden="false" customHeight="true" outlineLevel="0" collapsed="false"/>
    <row r="6131" customFormat="false" ht="15.75" hidden="false" customHeight="true" outlineLevel="0" collapsed="false"/>
    <row r="6132" customFormat="false" ht="15.75" hidden="false" customHeight="true" outlineLevel="0" collapsed="false"/>
    <row r="6133" customFormat="false" ht="15.75" hidden="false" customHeight="true" outlineLevel="0" collapsed="false"/>
    <row r="6134" customFormat="false" ht="15.75" hidden="false" customHeight="true" outlineLevel="0" collapsed="false"/>
    <row r="6135" customFormat="false" ht="15.75" hidden="false" customHeight="true" outlineLevel="0" collapsed="false"/>
    <row r="6136" customFormat="false" ht="15.75" hidden="false" customHeight="true" outlineLevel="0" collapsed="false"/>
    <row r="6137" customFormat="false" ht="15.75" hidden="false" customHeight="true" outlineLevel="0" collapsed="false"/>
    <row r="6138" customFormat="false" ht="15.75" hidden="false" customHeight="true" outlineLevel="0" collapsed="false"/>
    <row r="6139" customFormat="false" ht="15.75" hidden="false" customHeight="true" outlineLevel="0" collapsed="false"/>
    <row r="6140" customFormat="false" ht="15.75" hidden="false" customHeight="true" outlineLevel="0" collapsed="false"/>
    <row r="6141" customFormat="false" ht="15.75" hidden="false" customHeight="true" outlineLevel="0" collapsed="false"/>
    <row r="6142" customFormat="false" ht="15.75" hidden="false" customHeight="true" outlineLevel="0" collapsed="false"/>
    <row r="6143" customFormat="false" ht="15.75" hidden="false" customHeight="true" outlineLevel="0" collapsed="false"/>
    <row r="6144" customFormat="false" ht="15.75" hidden="false" customHeight="true" outlineLevel="0" collapsed="false"/>
    <row r="6145" customFormat="false" ht="15.75" hidden="false" customHeight="true" outlineLevel="0" collapsed="false"/>
    <row r="6146" customFormat="false" ht="15.75" hidden="false" customHeight="true" outlineLevel="0" collapsed="false"/>
    <row r="6147" customFormat="false" ht="15.75" hidden="false" customHeight="true" outlineLevel="0" collapsed="false"/>
    <row r="6148" customFormat="false" ht="15.75" hidden="false" customHeight="true" outlineLevel="0" collapsed="false"/>
    <row r="6149" customFormat="false" ht="15.75" hidden="false" customHeight="true" outlineLevel="0" collapsed="false"/>
    <row r="6150" customFormat="false" ht="15.75" hidden="false" customHeight="true" outlineLevel="0" collapsed="false"/>
    <row r="6151" customFormat="false" ht="15.75" hidden="false" customHeight="true" outlineLevel="0" collapsed="false"/>
    <row r="6152" customFormat="false" ht="15.75" hidden="false" customHeight="true" outlineLevel="0" collapsed="false"/>
    <row r="6153" customFormat="false" ht="15.75" hidden="false" customHeight="true" outlineLevel="0" collapsed="false"/>
    <row r="6154" customFormat="false" ht="15.75" hidden="false" customHeight="true" outlineLevel="0" collapsed="false"/>
    <row r="6155" customFormat="false" ht="15.75" hidden="false" customHeight="true" outlineLevel="0" collapsed="false"/>
    <row r="6156" customFormat="false" ht="15.75" hidden="false" customHeight="true" outlineLevel="0" collapsed="false"/>
    <row r="6157" customFormat="false" ht="15.75" hidden="false" customHeight="true" outlineLevel="0" collapsed="false"/>
    <row r="6158" customFormat="false" ht="15.75" hidden="false" customHeight="true" outlineLevel="0" collapsed="false"/>
    <row r="6159" customFormat="false" ht="15.75" hidden="false" customHeight="true" outlineLevel="0" collapsed="false"/>
    <row r="6160" customFormat="false" ht="15.75" hidden="false" customHeight="true" outlineLevel="0" collapsed="false"/>
    <row r="6161" customFormat="false" ht="15.75" hidden="false" customHeight="true" outlineLevel="0" collapsed="false"/>
    <row r="6162" customFormat="false" ht="15.75" hidden="false" customHeight="true" outlineLevel="0" collapsed="false"/>
    <row r="6163" customFormat="false" ht="15.75" hidden="false" customHeight="true" outlineLevel="0" collapsed="false"/>
    <row r="6164" customFormat="false" ht="15.75" hidden="false" customHeight="true" outlineLevel="0" collapsed="false"/>
    <row r="6165" customFormat="false" ht="15.75" hidden="false" customHeight="true" outlineLevel="0" collapsed="false"/>
    <row r="6166" customFormat="false" ht="15.75" hidden="false" customHeight="true" outlineLevel="0" collapsed="false"/>
    <row r="6167" customFormat="false" ht="15.75" hidden="false" customHeight="true" outlineLevel="0" collapsed="false"/>
    <row r="6168" customFormat="false" ht="15.75" hidden="false" customHeight="true" outlineLevel="0" collapsed="false"/>
    <row r="6169" customFormat="false" ht="15.75" hidden="false" customHeight="true" outlineLevel="0" collapsed="false"/>
    <row r="6170" customFormat="false" ht="15.75" hidden="false" customHeight="true" outlineLevel="0" collapsed="false"/>
    <row r="6171" customFormat="false" ht="15.75" hidden="false" customHeight="true" outlineLevel="0" collapsed="false"/>
    <row r="6172" customFormat="false" ht="15.75" hidden="false" customHeight="true" outlineLevel="0" collapsed="false"/>
    <row r="6173" customFormat="false" ht="15.75" hidden="false" customHeight="true" outlineLevel="0" collapsed="false"/>
    <row r="6174" customFormat="false" ht="15.75" hidden="false" customHeight="true" outlineLevel="0" collapsed="false"/>
    <row r="6175" customFormat="false" ht="15.75" hidden="false" customHeight="true" outlineLevel="0" collapsed="false"/>
    <row r="6176" customFormat="false" ht="15.75" hidden="false" customHeight="true" outlineLevel="0" collapsed="false"/>
    <row r="6177" customFormat="false" ht="15.75" hidden="false" customHeight="true" outlineLevel="0" collapsed="false"/>
    <row r="6178" customFormat="false" ht="15.75" hidden="false" customHeight="true" outlineLevel="0" collapsed="false"/>
    <row r="6179" customFormat="false" ht="15.75" hidden="false" customHeight="true" outlineLevel="0" collapsed="false"/>
    <row r="6180" customFormat="false" ht="15.75" hidden="false" customHeight="true" outlineLevel="0" collapsed="false"/>
    <row r="6181" customFormat="false" ht="15.75" hidden="false" customHeight="true" outlineLevel="0" collapsed="false"/>
    <row r="6182" customFormat="false" ht="15.75" hidden="false" customHeight="true" outlineLevel="0" collapsed="false"/>
    <row r="6183" customFormat="false" ht="15.75" hidden="false" customHeight="true" outlineLevel="0" collapsed="false"/>
    <row r="6184" customFormat="false" ht="15.75" hidden="false" customHeight="true" outlineLevel="0" collapsed="false"/>
    <row r="6185" customFormat="false" ht="15.75" hidden="false" customHeight="true" outlineLevel="0" collapsed="false"/>
    <row r="6186" customFormat="false" ht="15.75" hidden="false" customHeight="true" outlineLevel="0" collapsed="false"/>
    <row r="6187" customFormat="false" ht="15.75" hidden="false" customHeight="true" outlineLevel="0" collapsed="false"/>
    <row r="6188" customFormat="false" ht="15.75" hidden="false" customHeight="true" outlineLevel="0" collapsed="false"/>
    <row r="6189" customFormat="false" ht="15.75" hidden="false" customHeight="true" outlineLevel="0" collapsed="false"/>
    <row r="6190" customFormat="false" ht="15.75" hidden="false" customHeight="true" outlineLevel="0" collapsed="false"/>
    <row r="6191" customFormat="false" ht="15.75" hidden="false" customHeight="true" outlineLevel="0" collapsed="false"/>
    <row r="6192" customFormat="false" ht="15.75" hidden="false" customHeight="true" outlineLevel="0" collapsed="false"/>
    <row r="6193" customFormat="false" ht="15.75" hidden="false" customHeight="true" outlineLevel="0" collapsed="false"/>
    <row r="6194" customFormat="false" ht="15.75" hidden="false" customHeight="true" outlineLevel="0" collapsed="false"/>
    <row r="6195" customFormat="false" ht="15.75" hidden="false" customHeight="true" outlineLevel="0" collapsed="false"/>
    <row r="6196" customFormat="false" ht="15.75" hidden="false" customHeight="true" outlineLevel="0" collapsed="false"/>
    <row r="6197" customFormat="false" ht="15.75" hidden="false" customHeight="true" outlineLevel="0" collapsed="false"/>
    <row r="6198" customFormat="false" ht="15.75" hidden="false" customHeight="true" outlineLevel="0" collapsed="false"/>
    <row r="6199" customFormat="false" ht="15.75" hidden="false" customHeight="true" outlineLevel="0" collapsed="false"/>
    <row r="6200" customFormat="false" ht="15.75" hidden="false" customHeight="true" outlineLevel="0" collapsed="false"/>
    <row r="6201" customFormat="false" ht="15.75" hidden="false" customHeight="true" outlineLevel="0" collapsed="false"/>
    <row r="6202" customFormat="false" ht="15.75" hidden="false" customHeight="true" outlineLevel="0" collapsed="false"/>
    <row r="6203" customFormat="false" ht="15.75" hidden="false" customHeight="true" outlineLevel="0" collapsed="false"/>
    <row r="6204" customFormat="false" ht="15.75" hidden="false" customHeight="true" outlineLevel="0" collapsed="false"/>
    <row r="6205" customFormat="false" ht="15.75" hidden="false" customHeight="true" outlineLevel="0" collapsed="false"/>
    <row r="6206" customFormat="false" ht="15.75" hidden="false" customHeight="true" outlineLevel="0" collapsed="false"/>
    <row r="6207" customFormat="false" ht="15.75" hidden="false" customHeight="true" outlineLevel="0" collapsed="false"/>
    <row r="6208" customFormat="false" ht="15.75" hidden="false" customHeight="true" outlineLevel="0" collapsed="false"/>
    <row r="6209" customFormat="false" ht="15.75" hidden="false" customHeight="true" outlineLevel="0" collapsed="false"/>
    <row r="6210" customFormat="false" ht="15.75" hidden="false" customHeight="true" outlineLevel="0" collapsed="false"/>
    <row r="6211" customFormat="false" ht="15.75" hidden="false" customHeight="true" outlineLevel="0" collapsed="false"/>
    <row r="6212" customFormat="false" ht="15.75" hidden="false" customHeight="true" outlineLevel="0" collapsed="false"/>
    <row r="6213" customFormat="false" ht="15.75" hidden="false" customHeight="true" outlineLevel="0" collapsed="false"/>
    <row r="6214" customFormat="false" ht="15.75" hidden="false" customHeight="true" outlineLevel="0" collapsed="false"/>
    <row r="6215" customFormat="false" ht="15.75" hidden="false" customHeight="true" outlineLevel="0" collapsed="false"/>
    <row r="6216" customFormat="false" ht="15.75" hidden="false" customHeight="true" outlineLevel="0" collapsed="false"/>
    <row r="6217" customFormat="false" ht="15.75" hidden="false" customHeight="true" outlineLevel="0" collapsed="false"/>
    <row r="6218" customFormat="false" ht="15.75" hidden="false" customHeight="true" outlineLevel="0" collapsed="false"/>
    <row r="6219" customFormat="false" ht="15.75" hidden="false" customHeight="true" outlineLevel="0" collapsed="false"/>
    <row r="6220" customFormat="false" ht="15.75" hidden="false" customHeight="true" outlineLevel="0" collapsed="false"/>
    <row r="6221" customFormat="false" ht="15.75" hidden="false" customHeight="true" outlineLevel="0" collapsed="false"/>
    <row r="6222" customFormat="false" ht="15.75" hidden="false" customHeight="true" outlineLevel="0" collapsed="false"/>
    <row r="6223" customFormat="false" ht="15.75" hidden="false" customHeight="true" outlineLevel="0" collapsed="false"/>
    <row r="6224" customFormat="false" ht="15.75" hidden="false" customHeight="true" outlineLevel="0" collapsed="false"/>
    <row r="6225" customFormat="false" ht="15.75" hidden="false" customHeight="true" outlineLevel="0" collapsed="false"/>
    <row r="6226" customFormat="false" ht="15.75" hidden="false" customHeight="true" outlineLevel="0" collapsed="false"/>
    <row r="6227" customFormat="false" ht="15.75" hidden="false" customHeight="true" outlineLevel="0" collapsed="false"/>
    <row r="6228" customFormat="false" ht="15.75" hidden="false" customHeight="true" outlineLevel="0" collapsed="false"/>
    <row r="6229" customFormat="false" ht="15.75" hidden="false" customHeight="true" outlineLevel="0" collapsed="false"/>
    <row r="6230" customFormat="false" ht="15.75" hidden="false" customHeight="true" outlineLevel="0" collapsed="false"/>
    <row r="6231" customFormat="false" ht="15.75" hidden="false" customHeight="true" outlineLevel="0" collapsed="false"/>
    <row r="6232" customFormat="false" ht="15.75" hidden="false" customHeight="true" outlineLevel="0" collapsed="false"/>
    <row r="6233" customFormat="false" ht="15.75" hidden="false" customHeight="true" outlineLevel="0" collapsed="false"/>
    <row r="6234" customFormat="false" ht="15.75" hidden="false" customHeight="true" outlineLevel="0" collapsed="false"/>
    <row r="6235" customFormat="false" ht="15.75" hidden="false" customHeight="true" outlineLevel="0" collapsed="false"/>
    <row r="6236" customFormat="false" ht="15.75" hidden="false" customHeight="true" outlineLevel="0" collapsed="false"/>
    <row r="6237" customFormat="false" ht="15.75" hidden="false" customHeight="true" outlineLevel="0" collapsed="false"/>
    <row r="6238" customFormat="false" ht="15.75" hidden="false" customHeight="true" outlineLevel="0" collapsed="false"/>
    <row r="6239" customFormat="false" ht="15.75" hidden="false" customHeight="true" outlineLevel="0" collapsed="false"/>
    <row r="6240" customFormat="false" ht="15.75" hidden="false" customHeight="true" outlineLevel="0" collapsed="false"/>
    <row r="6241" customFormat="false" ht="15.75" hidden="false" customHeight="true" outlineLevel="0" collapsed="false"/>
    <row r="6242" customFormat="false" ht="15.75" hidden="false" customHeight="true" outlineLevel="0" collapsed="false"/>
    <row r="6243" customFormat="false" ht="15.75" hidden="false" customHeight="true" outlineLevel="0" collapsed="false"/>
    <row r="6244" customFormat="false" ht="15.75" hidden="false" customHeight="true" outlineLevel="0" collapsed="false"/>
    <row r="6245" customFormat="false" ht="15.75" hidden="false" customHeight="true" outlineLevel="0" collapsed="false"/>
    <row r="6246" customFormat="false" ht="15.75" hidden="false" customHeight="true" outlineLevel="0" collapsed="false"/>
    <row r="6247" customFormat="false" ht="15.75" hidden="false" customHeight="true" outlineLevel="0" collapsed="false"/>
    <row r="6248" customFormat="false" ht="15.75" hidden="false" customHeight="true" outlineLevel="0" collapsed="false"/>
    <row r="6249" customFormat="false" ht="15.75" hidden="false" customHeight="true" outlineLevel="0" collapsed="false"/>
    <row r="6250" customFormat="false" ht="15.75" hidden="false" customHeight="true" outlineLevel="0" collapsed="false"/>
    <row r="6251" customFormat="false" ht="15.75" hidden="false" customHeight="true" outlineLevel="0" collapsed="false"/>
    <row r="6252" customFormat="false" ht="15.75" hidden="false" customHeight="true" outlineLevel="0" collapsed="false"/>
    <row r="6253" customFormat="false" ht="15.75" hidden="false" customHeight="true" outlineLevel="0" collapsed="false"/>
    <row r="6254" customFormat="false" ht="15.75" hidden="false" customHeight="true" outlineLevel="0" collapsed="false"/>
    <row r="6255" customFormat="false" ht="15.75" hidden="false" customHeight="true" outlineLevel="0" collapsed="false"/>
    <row r="6256" customFormat="false" ht="15.75" hidden="false" customHeight="true" outlineLevel="0" collapsed="false"/>
    <row r="6257" customFormat="false" ht="15.75" hidden="false" customHeight="true" outlineLevel="0" collapsed="false"/>
    <row r="6258" customFormat="false" ht="15.75" hidden="false" customHeight="true" outlineLevel="0" collapsed="false"/>
    <row r="6259" customFormat="false" ht="15.75" hidden="false" customHeight="true" outlineLevel="0" collapsed="false"/>
    <row r="6260" customFormat="false" ht="15.75" hidden="false" customHeight="true" outlineLevel="0" collapsed="false"/>
    <row r="6261" customFormat="false" ht="15.75" hidden="false" customHeight="true" outlineLevel="0" collapsed="false"/>
    <row r="6262" customFormat="false" ht="15.75" hidden="false" customHeight="true" outlineLevel="0" collapsed="false"/>
    <row r="6263" customFormat="false" ht="15.75" hidden="false" customHeight="true" outlineLevel="0" collapsed="false"/>
    <row r="6264" customFormat="false" ht="15.75" hidden="false" customHeight="true" outlineLevel="0" collapsed="false"/>
    <row r="6265" customFormat="false" ht="15.75" hidden="false" customHeight="true" outlineLevel="0" collapsed="false"/>
    <row r="6266" customFormat="false" ht="15.75" hidden="false" customHeight="true" outlineLevel="0" collapsed="false"/>
    <row r="6267" customFormat="false" ht="15.75" hidden="false" customHeight="true" outlineLevel="0" collapsed="false"/>
    <row r="6268" customFormat="false" ht="15.75" hidden="false" customHeight="true" outlineLevel="0" collapsed="false"/>
    <row r="6269" customFormat="false" ht="15.75" hidden="false" customHeight="true" outlineLevel="0" collapsed="false"/>
    <row r="6270" customFormat="false" ht="15.75" hidden="false" customHeight="true" outlineLevel="0" collapsed="false"/>
    <row r="6271" customFormat="false" ht="15.75" hidden="false" customHeight="true" outlineLevel="0" collapsed="false"/>
    <row r="6272" customFormat="false" ht="15.75" hidden="false" customHeight="true" outlineLevel="0" collapsed="false"/>
    <row r="6273" customFormat="false" ht="15.75" hidden="false" customHeight="true" outlineLevel="0" collapsed="false"/>
    <row r="6274" customFormat="false" ht="15.75" hidden="false" customHeight="true" outlineLevel="0" collapsed="false"/>
    <row r="6275" customFormat="false" ht="15.75" hidden="false" customHeight="true" outlineLevel="0" collapsed="false"/>
    <row r="6276" customFormat="false" ht="15.75" hidden="false" customHeight="true" outlineLevel="0" collapsed="false"/>
    <row r="6277" customFormat="false" ht="15.75" hidden="false" customHeight="true" outlineLevel="0" collapsed="false"/>
    <row r="6278" customFormat="false" ht="15.75" hidden="false" customHeight="true" outlineLevel="0" collapsed="false"/>
    <row r="6279" customFormat="false" ht="15.75" hidden="false" customHeight="true" outlineLevel="0" collapsed="false"/>
    <row r="6280" customFormat="false" ht="15.75" hidden="false" customHeight="true" outlineLevel="0" collapsed="false"/>
    <row r="6281" customFormat="false" ht="15.75" hidden="false" customHeight="true" outlineLevel="0" collapsed="false"/>
    <row r="6282" customFormat="false" ht="15.75" hidden="false" customHeight="true" outlineLevel="0" collapsed="false"/>
    <row r="6283" customFormat="false" ht="15.75" hidden="false" customHeight="true" outlineLevel="0" collapsed="false"/>
    <row r="6284" customFormat="false" ht="15.75" hidden="false" customHeight="true" outlineLevel="0" collapsed="false"/>
    <row r="6285" customFormat="false" ht="15.75" hidden="false" customHeight="true" outlineLevel="0" collapsed="false"/>
    <row r="6286" customFormat="false" ht="15.75" hidden="false" customHeight="true" outlineLevel="0" collapsed="false"/>
    <row r="6287" customFormat="false" ht="15.75" hidden="false" customHeight="true" outlineLevel="0" collapsed="false"/>
    <row r="6288" customFormat="false" ht="15.75" hidden="false" customHeight="true" outlineLevel="0" collapsed="false"/>
    <row r="6289" customFormat="false" ht="15.75" hidden="false" customHeight="true" outlineLevel="0" collapsed="false"/>
    <row r="6290" customFormat="false" ht="15.75" hidden="false" customHeight="true" outlineLevel="0" collapsed="false"/>
    <row r="6291" customFormat="false" ht="15.75" hidden="false" customHeight="true" outlineLevel="0" collapsed="false"/>
    <row r="6292" customFormat="false" ht="15.75" hidden="false" customHeight="true" outlineLevel="0" collapsed="false"/>
    <row r="6293" customFormat="false" ht="15.75" hidden="false" customHeight="true" outlineLevel="0" collapsed="false"/>
    <row r="6294" customFormat="false" ht="15.75" hidden="false" customHeight="true" outlineLevel="0" collapsed="false"/>
    <row r="6295" customFormat="false" ht="15.75" hidden="false" customHeight="true" outlineLevel="0" collapsed="false"/>
    <row r="6296" customFormat="false" ht="15.75" hidden="false" customHeight="true" outlineLevel="0" collapsed="false"/>
    <row r="6297" customFormat="false" ht="15.75" hidden="false" customHeight="true" outlineLevel="0" collapsed="false"/>
    <row r="6298" customFormat="false" ht="15.75" hidden="false" customHeight="true" outlineLevel="0" collapsed="false"/>
    <row r="6299" customFormat="false" ht="15.75" hidden="false" customHeight="true" outlineLevel="0" collapsed="false"/>
    <row r="6300" customFormat="false" ht="15.75" hidden="false" customHeight="true" outlineLevel="0" collapsed="false"/>
    <row r="6301" customFormat="false" ht="15.75" hidden="false" customHeight="true" outlineLevel="0" collapsed="false"/>
    <row r="6302" customFormat="false" ht="15.75" hidden="false" customHeight="true" outlineLevel="0" collapsed="false"/>
    <row r="6303" customFormat="false" ht="15.75" hidden="false" customHeight="true" outlineLevel="0" collapsed="false"/>
    <row r="6304" customFormat="false" ht="15.75" hidden="false" customHeight="true" outlineLevel="0" collapsed="false"/>
    <row r="6305" customFormat="false" ht="15.75" hidden="false" customHeight="true" outlineLevel="0" collapsed="false"/>
    <row r="6306" customFormat="false" ht="15.75" hidden="false" customHeight="true" outlineLevel="0" collapsed="false"/>
    <row r="6307" customFormat="false" ht="15.75" hidden="false" customHeight="true" outlineLevel="0" collapsed="false"/>
    <row r="6308" customFormat="false" ht="15.75" hidden="false" customHeight="true" outlineLevel="0" collapsed="false"/>
    <row r="6309" customFormat="false" ht="15.75" hidden="false" customHeight="true" outlineLevel="0" collapsed="false"/>
    <row r="6310" customFormat="false" ht="15.75" hidden="false" customHeight="true" outlineLevel="0" collapsed="false"/>
    <row r="6311" customFormat="false" ht="15.75" hidden="false" customHeight="true" outlineLevel="0" collapsed="false"/>
    <row r="6312" customFormat="false" ht="15.75" hidden="false" customHeight="true" outlineLevel="0" collapsed="false"/>
    <row r="6313" customFormat="false" ht="15.75" hidden="false" customHeight="true" outlineLevel="0" collapsed="false"/>
    <row r="6314" customFormat="false" ht="15.75" hidden="false" customHeight="true" outlineLevel="0" collapsed="false"/>
    <row r="6315" customFormat="false" ht="15.75" hidden="false" customHeight="true" outlineLevel="0" collapsed="false"/>
    <row r="6316" customFormat="false" ht="15.75" hidden="false" customHeight="true" outlineLevel="0" collapsed="false"/>
    <row r="6317" customFormat="false" ht="15.75" hidden="false" customHeight="true" outlineLevel="0" collapsed="false"/>
    <row r="6318" customFormat="false" ht="15.75" hidden="false" customHeight="true" outlineLevel="0" collapsed="false"/>
    <row r="6319" customFormat="false" ht="15.75" hidden="false" customHeight="true" outlineLevel="0" collapsed="false"/>
    <row r="6320" customFormat="false" ht="15.75" hidden="false" customHeight="true" outlineLevel="0" collapsed="false"/>
    <row r="6321" customFormat="false" ht="15.75" hidden="false" customHeight="true" outlineLevel="0" collapsed="false"/>
    <row r="6322" customFormat="false" ht="15.75" hidden="false" customHeight="true" outlineLevel="0" collapsed="false"/>
    <row r="6323" customFormat="false" ht="15.75" hidden="false" customHeight="true" outlineLevel="0" collapsed="false"/>
    <row r="6324" customFormat="false" ht="15.75" hidden="false" customHeight="true" outlineLevel="0" collapsed="false"/>
    <row r="6325" customFormat="false" ht="15.75" hidden="false" customHeight="true" outlineLevel="0" collapsed="false"/>
    <row r="6326" customFormat="false" ht="15.75" hidden="false" customHeight="true" outlineLevel="0" collapsed="false"/>
    <row r="6327" customFormat="false" ht="15.75" hidden="false" customHeight="true" outlineLevel="0" collapsed="false"/>
    <row r="6328" customFormat="false" ht="15.75" hidden="false" customHeight="true" outlineLevel="0" collapsed="false"/>
    <row r="6329" customFormat="false" ht="15.75" hidden="false" customHeight="true" outlineLevel="0" collapsed="false"/>
    <row r="6330" customFormat="false" ht="15.75" hidden="false" customHeight="true" outlineLevel="0" collapsed="false"/>
    <row r="6331" customFormat="false" ht="15.75" hidden="false" customHeight="true" outlineLevel="0" collapsed="false"/>
    <row r="6332" customFormat="false" ht="15.75" hidden="false" customHeight="true" outlineLevel="0" collapsed="false"/>
    <row r="6333" customFormat="false" ht="15.75" hidden="false" customHeight="true" outlineLevel="0" collapsed="false"/>
    <row r="6334" customFormat="false" ht="15.75" hidden="false" customHeight="true" outlineLevel="0" collapsed="false"/>
    <row r="6335" customFormat="false" ht="15.75" hidden="false" customHeight="true" outlineLevel="0" collapsed="false"/>
    <row r="6336" customFormat="false" ht="15.75" hidden="false" customHeight="true" outlineLevel="0" collapsed="false"/>
    <row r="6337" customFormat="false" ht="15.75" hidden="false" customHeight="true" outlineLevel="0" collapsed="false"/>
    <row r="6338" customFormat="false" ht="15.75" hidden="false" customHeight="true" outlineLevel="0" collapsed="false"/>
    <row r="6339" customFormat="false" ht="15.75" hidden="false" customHeight="true" outlineLevel="0" collapsed="false"/>
    <row r="6340" customFormat="false" ht="15.75" hidden="false" customHeight="true" outlineLevel="0" collapsed="false"/>
    <row r="6341" customFormat="false" ht="15.75" hidden="false" customHeight="true" outlineLevel="0" collapsed="false"/>
    <row r="6342" customFormat="false" ht="15.75" hidden="false" customHeight="true" outlineLevel="0" collapsed="false"/>
    <row r="6343" customFormat="false" ht="15.75" hidden="false" customHeight="true" outlineLevel="0" collapsed="false"/>
    <row r="6344" customFormat="false" ht="15.75" hidden="false" customHeight="true" outlineLevel="0" collapsed="false"/>
    <row r="6345" customFormat="false" ht="15.75" hidden="false" customHeight="true" outlineLevel="0" collapsed="false"/>
    <row r="6346" customFormat="false" ht="15.75" hidden="false" customHeight="true" outlineLevel="0" collapsed="false"/>
    <row r="6347" customFormat="false" ht="15.75" hidden="false" customHeight="true" outlineLevel="0" collapsed="false"/>
    <row r="6348" customFormat="false" ht="15.75" hidden="false" customHeight="true" outlineLevel="0" collapsed="false"/>
    <row r="6349" customFormat="false" ht="15.75" hidden="false" customHeight="true" outlineLevel="0" collapsed="false"/>
    <row r="6350" customFormat="false" ht="15.75" hidden="false" customHeight="true" outlineLevel="0" collapsed="false"/>
    <row r="6351" customFormat="false" ht="15.75" hidden="false" customHeight="true" outlineLevel="0" collapsed="false"/>
    <row r="6352" customFormat="false" ht="15.75" hidden="false" customHeight="true" outlineLevel="0" collapsed="false"/>
    <row r="6353" customFormat="false" ht="15.75" hidden="false" customHeight="true" outlineLevel="0" collapsed="false"/>
    <row r="6354" customFormat="false" ht="15.75" hidden="false" customHeight="true" outlineLevel="0" collapsed="false"/>
    <row r="6355" customFormat="false" ht="15.75" hidden="false" customHeight="true" outlineLevel="0" collapsed="false"/>
    <row r="6356" customFormat="false" ht="15.75" hidden="false" customHeight="true" outlineLevel="0" collapsed="false"/>
    <row r="6357" customFormat="false" ht="15.75" hidden="false" customHeight="true" outlineLevel="0" collapsed="false"/>
    <row r="6358" customFormat="false" ht="15.75" hidden="false" customHeight="true" outlineLevel="0" collapsed="false"/>
    <row r="6359" customFormat="false" ht="15.75" hidden="false" customHeight="true" outlineLevel="0" collapsed="false"/>
    <row r="6360" customFormat="false" ht="15.75" hidden="false" customHeight="true" outlineLevel="0" collapsed="false"/>
    <row r="6361" customFormat="false" ht="15.75" hidden="false" customHeight="true" outlineLevel="0" collapsed="false"/>
    <row r="6362" customFormat="false" ht="15.75" hidden="false" customHeight="true" outlineLevel="0" collapsed="false"/>
    <row r="6363" customFormat="false" ht="15.75" hidden="false" customHeight="true" outlineLevel="0" collapsed="false"/>
    <row r="6364" customFormat="false" ht="15.75" hidden="false" customHeight="true" outlineLevel="0" collapsed="false"/>
    <row r="6365" customFormat="false" ht="15.75" hidden="false" customHeight="true" outlineLevel="0" collapsed="false"/>
    <row r="6366" customFormat="false" ht="15.75" hidden="false" customHeight="true" outlineLevel="0" collapsed="false"/>
    <row r="6367" customFormat="false" ht="15.75" hidden="false" customHeight="true" outlineLevel="0" collapsed="false"/>
    <row r="6368" customFormat="false" ht="15.75" hidden="false" customHeight="true" outlineLevel="0" collapsed="false"/>
    <row r="6369" customFormat="false" ht="15.75" hidden="false" customHeight="true" outlineLevel="0" collapsed="false"/>
    <row r="6370" customFormat="false" ht="15.75" hidden="false" customHeight="true" outlineLevel="0" collapsed="false"/>
    <row r="6371" customFormat="false" ht="15.75" hidden="false" customHeight="true" outlineLevel="0" collapsed="false"/>
    <row r="6372" customFormat="false" ht="15.75" hidden="false" customHeight="true" outlineLevel="0" collapsed="false"/>
    <row r="6373" customFormat="false" ht="15.75" hidden="false" customHeight="true" outlineLevel="0" collapsed="false"/>
    <row r="6374" customFormat="false" ht="15.75" hidden="false" customHeight="true" outlineLevel="0" collapsed="false"/>
    <row r="6375" customFormat="false" ht="15.75" hidden="false" customHeight="true" outlineLevel="0" collapsed="false"/>
    <row r="6376" customFormat="false" ht="15.75" hidden="false" customHeight="true" outlineLevel="0" collapsed="false"/>
    <row r="6377" customFormat="false" ht="15.75" hidden="false" customHeight="true" outlineLevel="0" collapsed="false"/>
    <row r="6378" customFormat="false" ht="15.75" hidden="false" customHeight="true" outlineLevel="0" collapsed="false"/>
    <row r="6379" customFormat="false" ht="15.75" hidden="false" customHeight="true" outlineLevel="0" collapsed="false"/>
    <row r="6380" customFormat="false" ht="15.75" hidden="false" customHeight="true" outlineLevel="0" collapsed="false"/>
    <row r="6381" customFormat="false" ht="15.75" hidden="false" customHeight="true" outlineLevel="0" collapsed="false"/>
    <row r="6382" customFormat="false" ht="15.75" hidden="false" customHeight="true" outlineLevel="0" collapsed="false"/>
    <row r="6383" customFormat="false" ht="15.75" hidden="false" customHeight="true" outlineLevel="0" collapsed="false"/>
    <row r="6384" customFormat="false" ht="15.75" hidden="false" customHeight="true" outlineLevel="0" collapsed="false"/>
    <row r="6385" customFormat="false" ht="15.75" hidden="false" customHeight="true" outlineLevel="0" collapsed="false"/>
    <row r="6386" customFormat="false" ht="15.75" hidden="false" customHeight="true" outlineLevel="0" collapsed="false"/>
    <row r="6387" customFormat="false" ht="15.75" hidden="false" customHeight="true" outlineLevel="0" collapsed="false"/>
    <row r="6388" customFormat="false" ht="15.75" hidden="false" customHeight="true" outlineLevel="0" collapsed="false"/>
    <row r="6389" customFormat="false" ht="15.75" hidden="false" customHeight="true" outlineLevel="0" collapsed="false"/>
    <row r="6390" customFormat="false" ht="15.75" hidden="false" customHeight="true" outlineLevel="0" collapsed="false"/>
    <row r="6391" customFormat="false" ht="15.75" hidden="false" customHeight="true" outlineLevel="0" collapsed="false"/>
    <row r="6392" customFormat="false" ht="15.75" hidden="false" customHeight="true" outlineLevel="0" collapsed="false"/>
    <row r="6393" customFormat="false" ht="15.75" hidden="false" customHeight="true" outlineLevel="0" collapsed="false"/>
    <row r="6394" customFormat="false" ht="15.75" hidden="false" customHeight="true" outlineLevel="0" collapsed="false"/>
    <row r="6395" customFormat="false" ht="15.75" hidden="false" customHeight="true" outlineLevel="0" collapsed="false"/>
    <row r="6396" customFormat="false" ht="15.75" hidden="false" customHeight="true" outlineLevel="0" collapsed="false"/>
    <row r="6397" customFormat="false" ht="15.75" hidden="false" customHeight="true" outlineLevel="0" collapsed="false"/>
    <row r="6398" customFormat="false" ht="15.75" hidden="false" customHeight="true" outlineLevel="0" collapsed="false"/>
    <row r="6399" customFormat="false" ht="15.75" hidden="false" customHeight="true" outlineLevel="0" collapsed="false"/>
    <row r="6400" customFormat="false" ht="15.75" hidden="false" customHeight="true" outlineLevel="0" collapsed="false"/>
    <row r="6401" customFormat="false" ht="15.75" hidden="false" customHeight="true" outlineLevel="0" collapsed="false"/>
    <row r="6402" customFormat="false" ht="15.75" hidden="false" customHeight="true" outlineLevel="0" collapsed="false"/>
    <row r="6403" customFormat="false" ht="15.75" hidden="false" customHeight="true" outlineLevel="0" collapsed="false"/>
    <row r="6404" customFormat="false" ht="15.75" hidden="false" customHeight="true" outlineLevel="0" collapsed="false"/>
    <row r="6405" customFormat="false" ht="15.75" hidden="false" customHeight="true" outlineLevel="0" collapsed="false"/>
    <row r="6406" customFormat="false" ht="15.75" hidden="false" customHeight="true" outlineLevel="0" collapsed="false"/>
    <row r="6407" customFormat="false" ht="15.75" hidden="false" customHeight="true" outlineLevel="0" collapsed="false"/>
    <row r="6408" customFormat="false" ht="15.75" hidden="false" customHeight="true" outlineLevel="0" collapsed="false"/>
    <row r="6409" customFormat="false" ht="15.75" hidden="false" customHeight="true" outlineLevel="0" collapsed="false"/>
    <row r="6410" customFormat="false" ht="15.75" hidden="false" customHeight="true" outlineLevel="0" collapsed="false"/>
    <row r="6411" customFormat="false" ht="15.75" hidden="false" customHeight="true" outlineLevel="0" collapsed="false"/>
    <row r="6412" customFormat="false" ht="15.75" hidden="false" customHeight="true" outlineLevel="0" collapsed="false"/>
    <row r="6413" customFormat="false" ht="15.75" hidden="false" customHeight="true" outlineLevel="0" collapsed="false"/>
    <row r="6414" customFormat="false" ht="15.75" hidden="false" customHeight="true" outlineLevel="0" collapsed="false"/>
    <row r="6415" customFormat="false" ht="15.75" hidden="false" customHeight="true" outlineLevel="0" collapsed="false"/>
    <row r="6416" customFormat="false" ht="15.75" hidden="false" customHeight="true" outlineLevel="0" collapsed="false"/>
    <row r="6417" customFormat="false" ht="15.75" hidden="false" customHeight="true" outlineLevel="0" collapsed="false"/>
    <row r="6418" customFormat="false" ht="15.75" hidden="false" customHeight="true" outlineLevel="0" collapsed="false"/>
    <row r="6419" customFormat="false" ht="15.75" hidden="false" customHeight="true" outlineLevel="0" collapsed="false"/>
    <row r="6420" customFormat="false" ht="15.75" hidden="false" customHeight="true" outlineLevel="0" collapsed="false"/>
    <row r="6421" customFormat="false" ht="15.75" hidden="false" customHeight="true" outlineLevel="0" collapsed="false"/>
    <row r="6422" customFormat="false" ht="15.75" hidden="false" customHeight="true" outlineLevel="0" collapsed="false"/>
    <row r="6423" customFormat="false" ht="15.75" hidden="false" customHeight="true" outlineLevel="0" collapsed="false"/>
    <row r="6424" customFormat="false" ht="15.75" hidden="false" customHeight="true" outlineLevel="0" collapsed="false"/>
    <row r="6425" customFormat="false" ht="15.75" hidden="false" customHeight="true" outlineLevel="0" collapsed="false"/>
    <row r="6426" customFormat="false" ht="15.75" hidden="false" customHeight="true" outlineLevel="0" collapsed="false"/>
    <row r="6427" customFormat="false" ht="15.75" hidden="false" customHeight="true" outlineLevel="0" collapsed="false"/>
    <row r="6428" customFormat="false" ht="15.75" hidden="false" customHeight="true" outlineLevel="0" collapsed="false"/>
    <row r="6429" customFormat="false" ht="15.75" hidden="false" customHeight="true" outlineLevel="0" collapsed="false"/>
    <row r="6430" customFormat="false" ht="15.75" hidden="false" customHeight="true" outlineLevel="0" collapsed="false"/>
    <row r="6431" customFormat="false" ht="15.75" hidden="false" customHeight="true" outlineLevel="0" collapsed="false"/>
    <row r="6432" customFormat="false" ht="15.75" hidden="false" customHeight="true" outlineLevel="0" collapsed="false"/>
    <row r="6433" customFormat="false" ht="15.75" hidden="false" customHeight="true" outlineLevel="0" collapsed="false"/>
    <row r="6434" customFormat="false" ht="15.75" hidden="false" customHeight="true" outlineLevel="0" collapsed="false"/>
    <row r="6435" customFormat="false" ht="15.75" hidden="false" customHeight="true" outlineLevel="0" collapsed="false"/>
    <row r="6436" customFormat="false" ht="15.75" hidden="false" customHeight="true" outlineLevel="0" collapsed="false"/>
  </sheetData>
  <dataValidations count="11">
    <dataValidation allowBlank="true" errorStyle="stop" operator="between" showDropDown="false" showErrorMessage="false" showInputMessage="false" sqref="G5419:G5460" type="list">
      <formula1>"Unpaid,Paid"</formula1>
      <formula2>0</formula2>
    </dataValidation>
    <dataValidation allowBlank="true" errorStyle="stop" operator="between" showDropDown="false" showErrorMessage="false" showInputMessage="false" sqref="B2:B5418" type="list">
      <formula1>"Electricity,Sales,Chicken,Grocery,Dairy,Vegetables,Petrol,Bakery,Tea,Stationary,Electric Work,Kinners,Mutton,Maintenance,Advance,Charcoal,Gas,Disposable,Beverages,Restaurant New Inventory,Momos,Civil Work,Police,Garbage Vehicle,Counter Cash,Egg,Internet,M"&amp;"edical,Cash Shortage,Bank,egg,tea,Water Tanker,Hotel Commision,Water 20 Ltrs,Plumbing Work,Chamber Clean,Donation,Chapati,Staff Edi,Cash Return to Cx"</formula1>
      <formula2>0</formula2>
    </dataValidation>
    <dataValidation allowBlank="true" errorStyle="stop" operator="between" showDropDown="false" showErrorMessage="false" showInputMessage="false" sqref="G2:G5418" type="list">
      <formula1>"Unpaid,Paid"</formula1>
      <formula2>0</formula2>
    </dataValidation>
    <dataValidation allowBlank="true" errorStyle="stop" operator="between" showDropDown="true" showErrorMessage="false" showInputMessage="false" sqref="A2:A5418 I2:I5418" type="custom">
      <formula1>OR(NOT(ISERROR(DATEVALUE(A2))), AND(ISNUMBER(A2), LEFT(CELL("format", A2))="D"))</formula1>
      <formula2>0</formula2>
    </dataValidation>
    <dataValidation allowBlank="true" errorStyle="stop" operator="between" showDropDown="false" showErrorMessage="false" showInputMessage="false" sqref="H5419:H5460" type="list">
      <formula1>"Naseem,Bank,Shakil,Sameer"</formula1>
      <formula2>0</formula2>
    </dataValidation>
    <dataValidation allowBlank="true" errorStyle="stop" operator="between" showDropDown="false" showErrorMessage="false" showInputMessage="false" sqref="H2:H5418" type="list">
      <formula1>"Naseem,Bank,Shakil,Sameer"</formula1>
      <formula2>0</formula2>
    </dataValidation>
    <dataValidation allowBlank="true" errorStyle="stop" operator="between" showDropDown="false" showErrorMessage="false" showInputMessage="false" sqref="B5419:B5460" type="list">
      <formula1>"Electricity,Sales,Chicken,Grocery,Dairy,Vegetables,Petrol,Bakery,Tea,Stationary,Electric Work,Kinners,Mutton,Maintenance,Advance,Charcoal,Gas,Disposable,Beverages,Restaurant New Inventory,Momos,Civil Work,Police,Garbage Vehicle,Counter Cash,Egg,Internet,M"&amp;"edical,Cash Shortage,Bank,egg,tea,Water Tanker,Hotel Commision,Water 20 Ltrs,Plumbing Work,Chamber Clean,Donation,Chapati,Staff Edi,Cash Return to Cx"</formula1>
      <formula2>0</formula2>
    </dataValidation>
    <dataValidation allowBlank="true" errorStyle="stop" operator="between" showDropDown="true" showErrorMessage="false" showInputMessage="false" sqref="C2:C5418" type="custom">
      <formula1>AND(ISNUMBER(C2),(NOT(OR(NOT(ISERROR(DATEVALUE(C2))), AND(ISNUMBER(C2), LEFT(CELL("format", C2))="D")))))</formula1>
      <formula2>0</formula2>
    </dataValidation>
    <dataValidation allowBlank="true" errorStyle="stop" operator="between" showDropDown="false" showErrorMessage="false" showInputMessage="false" sqref="D2:D5418" type="list">
      <formula1>#ref!</formula1>
      <formula2>0</formula2>
    </dataValidation>
    <dataValidation allowBlank="true" errorStyle="stop" operator="between" showDropDown="true" showErrorMessage="false" showInputMessage="false" sqref="E2:E5418" type="none">
      <formula1>0</formula1>
      <formula2>0</formula2>
    </dataValidation>
    <dataValidation allowBlank="true" errorStyle="stop" operator="between" showDropDown="false" showErrorMessage="false" showInputMessage="false" sqref="D5419:D5460" type="list">
      <formula1>Categories!$Q$4:$Q$12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4.14"/>
    <col collapsed="false" customWidth="true" hidden="false" outlineLevel="0" max="2" min="2" style="0" width="14.57"/>
    <col collapsed="false" customWidth="true" hidden="false" outlineLevel="0" max="3" min="3" style="0" width="18.14"/>
    <col collapsed="false" customWidth="true" hidden="false" outlineLevel="0" max="4" min="4" style="0" width="18"/>
    <col collapsed="false" customWidth="true" hidden="false" outlineLevel="0" max="5" min="5" style="0" width="24.86"/>
    <col collapsed="false" customWidth="true" hidden="false" outlineLevel="0" max="6" min="6" style="0" width="19.71"/>
    <col collapsed="false" customWidth="true" hidden="false" outlineLevel="0" max="7" min="7" style="0" width="11.57"/>
    <col collapsed="false" customWidth="true" hidden="false" outlineLevel="0" max="8" min="8" style="0" width="18.14"/>
    <col collapsed="false" customWidth="true" hidden="false" outlineLevel="0" max="9" min="9" style="0" width="15.29"/>
    <col collapsed="false" customWidth="true" hidden="false" outlineLevel="0" max="10" min="10" style="0" width="31.29"/>
    <col collapsed="false" customWidth="true" hidden="false" outlineLevel="0" max="11" min="11" style="0" width="22"/>
    <col collapsed="false" customWidth="true" hidden="false" outlineLevel="0" max="12" min="12" style="0" width="20.14"/>
    <col collapsed="false" customWidth="true" hidden="false" outlineLevel="0" max="24" min="13" style="0" width="8.71"/>
  </cols>
  <sheetData>
    <row r="1" customFormat="false" ht="15" hidden="false" customHeight="false" outlineLevel="0" collapsed="false">
      <c r="A1" s="31"/>
      <c r="D1" s="30" t="s">
        <v>21</v>
      </c>
      <c r="E1" s="30" t="s">
        <v>45</v>
      </c>
      <c r="F1" s="30" t="s">
        <v>13</v>
      </c>
    </row>
    <row r="2" customFormat="false" ht="15" hidden="false" customHeight="false" outlineLevel="0" collapsed="false">
      <c r="A2" s="2"/>
      <c r="B2" s="2"/>
      <c r="C2" s="2"/>
      <c r="D2" s="2"/>
      <c r="E2" s="32"/>
      <c r="F2" s="2"/>
      <c r="H2" s="33" t="n">
        <f aca="false">SUM(Summary[Gross ])</f>
        <v>1366741</v>
      </c>
      <c r="I2" s="2"/>
      <c r="J2" s="2"/>
    </row>
    <row r="3" customFormat="false" ht="22.5" hidden="false" customHeight="true" outlineLevel="0" collapsed="false">
      <c r="A3" s="2" t="s">
        <v>0</v>
      </c>
      <c r="B3" s="2" t="s">
        <v>723</v>
      </c>
      <c r="C3" s="2" t="s">
        <v>724</v>
      </c>
      <c r="D3" s="2" t="s">
        <v>725</v>
      </c>
      <c r="E3" s="34" t="s">
        <v>726</v>
      </c>
      <c r="F3" s="2" t="s">
        <v>727</v>
      </c>
      <c r="G3" s="2" t="s">
        <v>728</v>
      </c>
      <c r="H3" s="2" t="s">
        <v>729</v>
      </c>
      <c r="I3" s="2" t="s">
        <v>730</v>
      </c>
      <c r="J3" s="2" t="s">
        <v>731</v>
      </c>
      <c r="K3" s="2" t="s">
        <v>732</v>
      </c>
      <c r="L3" s="4" t="s">
        <v>118</v>
      </c>
      <c r="M3" s="4" t="s">
        <v>10</v>
      </c>
    </row>
    <row r="4" customFormat="false" ht="22.5" hidden="false" customHeight="true" outlineLevel="0" collapsed="false">
      <c r="A4" s="35" t="n">
        <v>45658</v>
      </c>
      <c r="B4" s="36" t="n">
        <f aca="false">SUMIFS('Daily Transactions'!C:C,'Daily Transactions'!A:A,$A4,'Daily Transactions'!B:B,"Sales")</f>
        <v>0</v>
      </c>
      <c r="C4" s="36" t="n">
        <f aca="false">SUMIFS('Daily Transactions'!C:C,'Daily Transactions'!A:A,$A4,'Daily Transactions'!B:B,"&lt;&gt;Sales")</f>
        <v>0</v>
      </c>
      <c r="D4" s="36" t="n">
        <f aca="false">SUMIFS('Daily Transactions'!C:C,'Daily Transactions'!A:A,$A4,'Daily Transactions'!B:B,"&lt;&gt;Sales",'Daily Transactions'!D:D,"Cash")</f>
        <v>0</v>
      </c>
      <c r="E4" s="36" t="n">
        <f aca="false">SUMIFS('Daily Transactions'!C:C,'Daily Transactions'!A:A,$A4,'Daily Transactions'!B:B,"&lt;&gt;Sales",'Daily Transactions'!D:D,"Bank_Cash")</f>
        <v>0</v>
      </c>
      <c r="F4" s="36" t="n">
        <f aca="false">SUMIFS('Daily Transactions'!C:C,'Daily Transactions'!A:A,$A4,'Daily Transactions'!B:B,"&lt;&gt;Sales",'Daily Transactions'!D:D,"Bank")</f>
        <v>0</v>
      </c>
      <c r="G4" s="36" t="n">
        <f aca="false">B4-C4</f>
        <v>0</v>
      </c>
      <c r="H4" s="36" t="n">
        <v>0</v>
      </c>
      <c r="I4" s="36" t="n">
        <f aca="false">SUMIFS('Daily Transactions'!C:C,'Daily Transactions'!A:A,$A4,'Daily Transactions'!B:B,"Sales",'Daily Transactions'!D:D,"Cash")</f>
        <v>0</v>
      </c>
      <c r="J4" s="36" t="n">
        <f aca="false">(H4+I4)-(D4+E4)</f>
        <v>0</v>
      </c>
      <c r="K4" s="8"/>
      <c r="L4" s="8" t="n">
        <f aca="false">SUMIFS('Daily Transactions'!C:C,'Daily Transactions'!A:A,$A4,'Daily Transactions'!B:B,"Cash Shortage",'Daily Transactions'!D:D,"Cash")</f>
        <v>0</v>
      </c>
      <c r="M4" s="8"/>
    </row>
    <row r="5" customFormat="false" ht="22.5" hidden="false" customHeight="true" outlineLevel="0" collapsed="false">
      <c r="A5" s="35" t="n">
        <f aca="false">A4+1</f>
        <v>45659</v>
      </c>
      <c r="B5" s="36" t="n">
        <f aca="false">SUMIFS('Daily Transactions'!C:C,'Daily Transactions'!A:A,$A5,'Daily Transactions'!B:B,"Sales")</f>
        <v>0</v>
      </c>
      <c r="C5" s="36" t="n">
        <f aca="false">SUMIFS('Daily Transactions'!C:C,'Daily Transactions'!A:A,$A5,'Daily Transactions'!B:B,"&lt;&gt;Sales")</f>
        <v>0</v>
      </c>
      <c r="D5" s="36" t="n">
        <f aca="false">SUMIFS('Daily Transactions'!C:C,'Daily Transactions'!A:A,$A5,'Daily Transactions'!B:B,"&lt;&gt;Sales",'Daily Transactions'!D:D,"Cash")</f>
        <v>0</v>
      </c>
      <c r="E5" s="36" t="n">
        <f aca="false">SUMIFS('Daily Transactions'!C:C,'Daily Transactions'!A:A,$A5,'Daily Transactions'!B:B,"&lt;&gt;Sales",'Daily Transactions'!D:D,"Bank_Cash")</f>
        <v>0</v>
      </c>
      <c r="F5" s="36" t="n">
        <f aca="false">SUMIFS('Daily Transactions'!C:C,'Daily Transactions'!A:A,$A5,'Daily Transactions'!B:B,"&lt;&gt;Sales",'Daily Transactions'!D:D,"Bank")</f>
        <v>0</v>
      </c>
      <c r="G5" s="36" t="n">
        <f aca="false">B5-C5</f>
        <v>0</v>
      </c>
      <c r="H5" s="36" t="n">
        <f aca="false">J4</f>
        <v>0</v>
      </c>
      <c r="I5" s="36" t="n">
        <f aca="false">SUMIFS('Daily Transactions'!C:C,'Daily Transactions'!A:A,$A5,'Daily Transactions'!B:B,"Sales",'Daily Transactions'!D:D,"Cash")</f>
        <v>0</v>
      </c>
      <c r="J5" s="36" t="n">
        <f aca="false">(H5+I5)-(D5+E5)</f>
        <v>0</v>
      </c>
      <c r="K5" s="8"/>
      <c r="L5" s="8" t="n">
        <f aca="false">SUMIFS('Daily Transactions'!C:C,'Daily Transactions'!A:A,$A5,'Daily Transactions'!B:B,"Cash Shortage",'Daily Transactions'!D:D,"Cash")</f>
        <v>0</v>
      </c>
      <c r="M5" s="8"/>
    </row>
    <row r="6" customFormat="false" ht="22.5" hidden="false" customHeight="true" outlineLevel="0" collapsed="false">
      <c r="A6" s="35" t="n">
        <f aca="false">A5+1</f>
        <v>45660</v>
      </c>
      <c r="B6" s="36" t="n">
        <f aca="false">SUMIFS('Daily Transactions'!C:C,'Daily Transactions'!A:A,$A6,'Daily Transactions'!B:B,"Sales")</f>
        <v>0</v>
      </c>
      <c r="C6" s="36" t="n">
        <f aca="false">SUMIFS('Daily Transactions'!C:C,'Daily Transactions'!A:A,$A6,'Daily Transactions'!B:B,"&lt;&gt;Sales")</f>
        <v>0</v>
      </c>
      <c r="D6" s="36" t="n">
        <f aca="false">SUMIFS('Daily Transactions'!C:C,'Daily Transactions'!A:A,$A6,'Daily Transactions'!B:B,"&lt;&gt;Sales",'Daily Transactions'!D:D,"Cash")</f>
        <v>0</v>
      </c>
      <c r="E6" s="36" t="n">
        <f aca="false">SUMIFS('Daily Transactions'!C:C,'Daily Transactions'!A:A,$A6,'Daily Transactions'!B:B,"&lt;&gt;Sales",'Daily Transactions'!D:D,"Bank_Cash")</f>
        <v>0</v>
      </c>
      <c r="F6" s="36" t="n">
        <f aca="false">SUMIFS('Daily Transactions'!C:C,'Daily Transactions'!A:A,$A6,'Daily Transactions'!B:B,"&lt;&gt;Sales",'Daily Transactions'!D:D,"Bank")</f>
        <v>0</v>
      </c>
      <c r="G6" s="36" t="n">
        <f aca="false">B6-C6</f>
        <v>0</v>
      </c>
      <c r="H6" s="36" t="n">
        <f aca="false">J5</f>
        <v>0</v>
      </c>
      <c r="I6" s="36" t="n">
        <f aca="false">SUMIFS('Daily Transactions'!C:C,'Daily Transactions'!A:A,$A6,'Daily Transactions'!B:B,"Sales",'Daily Transactions'!D:D,"Cash")</f>
        <v>0</v>
      </c>
      <c r="J6" s="36" t="n">
        <f aca="false">(H6+I6)-(D6+E6)</f>
        <v>0</v>
      </c>
      <c r="K6" s="8"/>
      <c r="L6" s="8" t="n">
        <f aca="false">SUMIFS('Daily Transactions'!C:C,'Daily Transactions'!A:A,$A6,'Daily Transactions'!B:B,"Cash Shortage",'Daily Transactions'!D:D,"Cash")</f>
        <v>0</v>
      </c>
      <c r="M6" s="8"/>
      <c r="N6" s="11"/>
    </row>
    <row r="7" customFormat="false" ht="22.5" hidden="false" customHeight="true" outlineLevel="0" collapsed="false">
      <c r="A7" s="35" t="n">
        <f aca="false">A6+1</f>
        <v>45661</v>
      </c>
      <c r="B7" s="36" t="n">
        <f aca="false">SUMIFS('Daily Transactions'!C:C,'Daily Transactions'!A:A,$A7,'Daily Transactions'!B:B,"Sales")</f>
        <v>0</v>
      </c>
      <c r="C7" s="36" t="n">
        <f aca="false">SUMIFS('Daily Transactions'!C:C,'Daily Transactions'!A:A,$A7,'Daily Transactions'!B:B,"&lt;&gt;Sales")</f>
        <v>0</v>
      </c>
      <c r="D7" s="36" t="n">
        <f aca="false">SUMIFS('Daily Transactions'!C:C,'Daily Transactions'!A:A,$A7,'Daily Transactions'!B:B,"&lt;&gt;Sales",'Daily Transactions'!D:D,"Cash")</f>
        <v>0</v>
      </c>
      <c r="E7" s="36" t="n">
        <f aca="false">SUMIFS('Daily Transactions'!C:C,'Daily Transactions'!A:A,$A7,'Daily Transactions'!B:B,"&lt;&gt;Sales",'Daily Transactions'!D:D,"Bank_Cash")</f>
        <v>0</v>
      </c>
      <c r="F7" s="36" t="n">
        <f aca="false">SUMIFS('Daily Transactions'!C:C,'Daily Transactions'!A:A,$A7,'Daily Transactions'!B:B,"&lt;&gt;Sales",'Daily Transactions'!D:D,"Bank")</f>
        <v>0</v>
      </c>
      <c r="G7" s="36" t="n">
        <f aca="false">B7-C7</f>
        <v>0</v>
      </c>
      <c r="H7" s="36" t="n">
        <f aca="false">J6</f>
        <v>0</v>
      </c>
      <c r="I7" s="36" t="n">
        <f aca="false">SUMIFS('Daily Transactions'!C:C,'Daily Transactions'!A:A,$A7,'Daily Transactions'!B:B,"Sales",'Daily Transactions'!D:D,"Cash")</f>
        <v>0</v>
      </c>
      <c r="J7" s="36" t="n">
        <f aca="false">(H7+I7)-(D7+E7)</f>
        <v>0</v>
      </c>
      <c r="K7" s="8"/>
      <c r="L7" s="8" t="n">
        <f aca="false">SUMIFS('Daily Transactions'!C:C,'Daily Transactions'!A:A,$A7,'Daily Transactions'!B:B,"Cash Shortage",'Daily Transactions'!D:D,"Cash")</f>
        <v>0</v>
      </c>
      <c r="M7" s="8"/>
    </row>
    <row r="8" customFormat="false" ht="22.5" hidden="false" customHeight="true" outlineLevel="0" collapsed="false">
      <c r="A8" s="35" t="n">
        <f aca="false">A7+1</f>
        <v>45662</v>
      </c>
      <c r="B8" s="36" t="n">
        <f aca="false">SUMIFS('Daily Transactions'!C:C,'Daily Transactions'!A:A,$A8,'Daily Transactions'!B:B,"Sales")</f>
        <v>0</v>
      </c>
      <c r="C8" s="36" t="n">
        <f aca="false">SUMIFS('Daily Transactions'!C:C,'Daily Transactions'!A:A,$A8,'Daily Transactions'!B:B,"&lt;&gt;Sales")</f>
        <v>0</v>
      </c>
      <c r="D8" s="36" t="n">
        <f aca="false">SUMIFS('Daily Transactions'!C:C,'Daily Transactions'!A:A,$A8,'Daily Transactions'!B:B,"&lt;&gt;Sales",'Daily Transactions'!D:D,"Cash")</f>
        <v>0</v>
      </c>
      <c r="E8" s="36" t="n">
        <f aca="false">SUMIFS('Daily Transactions'!C:C,'Daily Transactions'!A:A,$A8,'Daily Transactions'!B:B,"&lt;&gt;Sales",'Daily Transactions'!D:D,"Bank_Cash")</f>
        <v>0</v>
      </c>
      <c r="F8" s="36" t="n">
        <f aca="false">SUMIFS('Daily Transactions'!C:C,'Daily Transactions'!A:A,$A8,'Daily Transactions'!B:B,"&lt;&gt;Sales",'Daily Transactions'!D:D,"Bank")</f>
        <v>0</v>
      </c>
      <c r="G8" s="36" t="n">
        <f aca="false">B8-C8</f>
        <v>0</v>
      </c>
      <c r="H8" s="36" t="n">
        <f aca="false">J7</f>
        <v>0</v>
      </c>
      <c r="I8" s="36" t="n">
        <f aca="false">SUMIFS('Daily Transactions'!C:C,'Daily Transactions'!A:A,$A8,'Daily Transactions'!B:B,"Sales",'Daily Transactions'!D:D,"Cash")</f>
        <v>0</v>
      </c>
      <c r="J8" s="36" t="n">
        <f aca="false">(H8+I8)-(D8+E8)</f>
        <v>0</v>
      </c>
      <c r="K8" s="8"/>
      <c r="L8" s="8" t="n">
        <f aca="false">SUMIFS('Daily Transactions'!C:C,'Daily Transactions'!A:A,$A8,'Daily Transactions'!B:B,"Cash Shortage",'Daily Transactions'!D:D,"Cash")</f>
        <v>0</v>
      </c>
      <c r="M8" s="8"/>
    </row>
    <row r="9" customFormat="false" ht="22.5" hidden="false" customHeight="true" outlineLevel="0" collapsed="false">
      <c r="A9" s="35" t="n">
        <f aca="false">A8+1</f>
        <v>45663</v>
      </c>
      <c r="B9" s="36" t="n">
        <f aca="false">SUMIFS('Daily Transactions'!C:C,'Daily Transactions'!A:A,$A9,'Daily Transactions'!B:B,"Sales")</f>
        <v>0</v>
      </c>
      <c r="C9" s="36" t="n">
        <f aca="false">SUMIFS('Daily Transactions'!C:C,'Daily Transactions'!A:A,$A9,'Daily Transactions'!B:B,"&lt;&gt;Sales")</f>
        <v>0</v>
      </c>
      <c r="D9" s="36" t="n">
        <f aca="false">SUMIFS('Daily Transactions'!C:C,'Daily Transactions'!A:A,$A9,'Daily Transactions'!B:B,"&lt;&gt;Sales",'Daily Transactions'!D:D,"Cash")</f>
        <v>0</v>
      </c>
      <c r="E9" s="36" t="n">
        <f aca="false">SUMIFS('Daily Transactions'!C:C,'Daily Transactions'!A:A,$A9,'Daily Transactions'!B:B,"&lt;&gt;Sales",'Daily Transactions'!D:D,"Bank_Cash")</f>
        <v>0</v>
      </c>
      <c r="F9" s="36" t="n">
        <f aca="false">SUMIFS('Daily Transactions'!C:C,'Daily Transactions'!A:A,$A9,'Daily Transactions'!B:B,"&lt;&gt;Sales",'Daily Transactions'!D:D,"Bank")</f>
        <v>0</v>
      </c>
      <c r="G9" s="36" t="n">
        <f aca="false">B9-C9</f>
        <v>0</v>
      </c>
      <c r="H9" s="36" t="n">
        <f aca="false">J8</f>
        <v>0</v>
      </c>
      <c r="I9" s="36" t="n">
        <f aca="false">SUMIFS('Daily Transactions'!C:C,'Daily Transactions'!A:A,$A9,'Daily Transactions'!B:B,"Sales",'Daily Transactions'!D:D,"Cash")</f>
        <v>0</v>
      </c>
      <c r="J9" s="36" t="n">
        <f aca="false">(H9+I9)-(D9+E9)</f>
        <v>0</v>
      </c>
      <c r="K9" s="8"/>
      <c r="L9" s="8" t="n">
        <f aca="false">SUMIFS('Daily Transactions'!C:C,'Daily Transactions'!A:A,$A9,'Daily Transactions'!B:B,"Cash Shortage",'Daily Transactions'!D:D,"Cash")</f>
        <v>0</v>
      </c>
      <c r="M9" s="8"/>
    </row>
    <row r="10" customFormat="false" ht="22.5" hidden="false" customHeight="true" outlineLevel="0" collapsed="false">
      <c r="A10" s="35" t="n">
        <f aca="false">A9+1</f>
        <v>45664</v>
      </c>
      <c r="B10" s="36" t="n">
        <f aca="false">SUMIFS('Daily Transactions'!C:C,'Daily Transactions'!A:A,$A10,'Daily Transactions'!B:B,"Sales")</f>
        <v>0</v>
      </c>
      <c r="C10" s="36" t="n">
        <f aca="false">SUMIFS('Daily Transactions'!C:C,'Daily Transactions'!A:A,$A10,'Daily Transactions'!B:B,"&lt;&gt;Sales")</f>
        <v>0</v>
      </c>
      <c r="D10" s="36" t="n">
        <f aca="false">SUMIFS('Daily Transactions'!C:C,'Daily Transactions'!A:A,$A10,'Daily Transactions'!B:B,"&lt;&gt;Sales",'Daily Transactions'!D:D,"Cash")</f>
        <v>0</v>
      </c>
      <c r="E10" s="36" t="n">
        <f aca="false">SUMIFS('Daily Transactions'!C:C,'Daily Transactions'!A:A,$A10,'Daily Transactions'!B:B,"&lt;&gt;Sales",'Daily Transactions'!D:D,"Bank_Cash")</f>
        <v>0</v>
      </c>
      <c r="F10" s="36" t="n">
        <f aca="false">SUMIFS('Daily Transactions'!C:C,'Daily Transactions'!A:A,$A10,'Daily Transactions'!B:B,"&lt;&gt;Sales",'Daily Transactions'!D:D,"Bank")</f>
        <v>0</v>
      </c>
      <c r="G10" s="36" t="n">
        <f aca="false">B10-C10</f>
        <v>0</v>
      </c>
      <c r="H10" s="36" t="n">
        <f aca="false">J9</f>
        <v>0</v>
      </c>
      <c r="I10" s="36" t="n">
        <f aca="false">SUMIFS('Daily Transactions'!C:C,'Daily Transactions'!A:A,$A10,'Daily Transactions'!B:B,"Sales",'Daily Transactions'!D:D,"Cash")</f>
        <v>0</v>
      </c>
      <c r="J10" s="36" t="n">
        <f aca="false">(H10+I10)-(D10+E10)</f>
        <v>0</v>
      </c>
      <c r="K10" s="8"/>
      <c r="L10" s="8" t="n">
        <f aca="false">SUMIFS('Daily Transactions'!C:C,'Daily Transactions'!A:A,$A10,'Daily Transactions'!B:B,"Cash Shortage",'Daily Transactions'!D:D,"Cash")</f>
        <v>0</v>
      </c>
      <c r="M10" s="8"/>
    </row>
    <row r="11" customFormat="false" ht="22.5" hidden="false" customHeight="true" outlineLevel="0" collapsed="false">
      <c r="A11" s="35" t="n">
        <f aca="false">A10+1</f>
        <v>45665</v>
      </c>
      <c r="B11" s="36" t="n">
        <f aca="false">SUMIFS('Daily Transactions'!C:C,'Daily Transactions'!A:A,$A11,'Daily Transactions'!B:B,"Sales")</f>
        <v>0</v>
      </c>
      <c r="C11" s="36" t="n">
        <f aca="false">SUMIFS('Daily Transactions'!C:C,'Daily Transactions'!A:A,$A11,'Daily Transactions'!B:B,"&lt;&gt;Sales")</f>
        <v>0</v>
      </c>
      <c r="D11" s="36" t="n">
        <f aca="false">SUMIFS('Daily Transactions'!C:C,'Daily Transactions'!A:A,$A11,'Daily Transactions'!B:B,"&lt;&gt;Sales",'Daily Transactions'!D:D,"Cash")</f>
        <v>0</v>
      </c>
      <c r="E11" s="36" t="n">
        <f aca="false">SUMIFS('Daily Transactions'!C:C,'Daily Transactions'!A:A,$A11,'Daily Transactions'!B:B,"&lt;&gt;Sales",'Daily Transactions'!D:D,"Bank_Cash")</f>
        <v>0</v>
      </c>
      <c r="F11" s="36" t="n">
        <f aca="false">SUMIFS('Daily Transactions'!C:C,'Daily Transactions'!A:A,$A11,'Daily Transactions'!B:B,"&lt;&gt;Sales",'Daily Transactions'!D:D,"Bank")</f>
        <v>0</v>
      </c>
      <c r="G11" s="36" t="n">
        <f aca="false">B11-C11</f>
        <v>0</v>
      </c>
      <c r="H11" s="36" t="n">
        <f aca="false">J10</f>
        <v>0</v>
      </c>
      <c r="I11" s="36" t="n">
        <f aca="false">SUMIFS('Daily Transactions'!C:C,'Daily Transactions'!A:A,$A11,'Daily Transactions'!B:B,"Sales",'Daily Transactions'!D:D,"Cash")</f>
        <v>0</v>
      </c>
      <c r="J11" s="36" t="n">
        <f aca="false">(H11+I11)-(D11+E11)</f>
        <v>0</v>
      </c>
      <c r="K11" s="8"/>
      <c r="L11" s="8" t="n">
        <f aca="false">SUMIFS('Daily Transactions'!C:C,'Daily Transactions'!A:A,$A11,'Daily Transactions'!B:B,"Cash Shortage",'Daily Transactions'!D:D,"Cash")</f>
        <v>0</v>
      </c>
      <c r="M11" s="8"/>
    </row>
    <row r="12" customFormat="false" ht="22.5" hidden="false" customHeight="true" outlineLevel="0" collapsed="false">
      <c r="A12" s="35" t="n">
        <f aca="false">A11+1</f>
        <v>45666</v>
      </c>
      <c r="B12" s="36" t="n">
        <f aca="false">SUMIFS('Daily Transactions'!C:C,'Daily Transactions'!A:A,$A12,'Daily Transactions'!B:B,"Sales")</f>
        <v>0</v>
      </c>
      <c r="C12" s="36" t="n">
        <f aca="false">SUMIFS('Daily Transactions'!C:C,'Daily Transactions'!A:A,$A12,'Daily Transactions'!B:B,"&lt;&gt;Sales")</f>
        <v>0</v>
      </c>
      <c r="D12" s="36" t="n">
        <f aca="false">SUMIFS('Daily Transactions'!C:C,'Daily Transactions'!A:A,$A12,'Daily Transactions'!B:B,"&lt;&gt;Sales",'Daily Transactions'!D:D,"Cash")</f>
        <v>0</v>
      </c>
      <c r="E12" s="36" t="n">
        <f aca="false">SUMIFS('Daily Transactions'!C:C,'Daily Transactions'!A:A,$A12,'Daily Transactions'!B:B,"&lt;&gt;Sales",'Daily Transactions'!D:D,"Bank_Cash")</f>
        <v>0</v>
      </c>
      <c r="F12" s="36" t="n">
        <f aca="false">SUMIFS('Daily Transactions'!C:C,'Daily Transactions'!A:A,$A12,'Daily Transactions'!B:B,"&lt;&gt;Sales",'Daily Transactions'!D:D,"Bank")</f>
        <v>0</v>
      </c>
      <c r="G12" s="36" t="n">
        <f aca="false">B12-C12</f>
        <v>0</v>
      </c>
      <c r="H12" s="36" t="n">
        <f aca="false">J11</f>
        <v>0</v>
      </c>
      <c r="I12" s="36" t="n">
        <f aca="false">SUMIFS('Daily Transactions'!C:C,'Daily Transactions'!A:A,$A12,'Daily Transactions'!B:B,"Sales",'Daily Transactions'!D:D,"Cash")</f>
        <v>0</v>
      </c>
      <c r="J12" s="36" t="n">
        <f aca="false">(H12+I12)-(D12+E12)</f>
        <v>0</v>
      </c>
      <c r="K12" s="8"/>
      <c r="L12" s="8" t="n">
        <f aca="false">SUMIFS('Daily Transactions'!C:C,'Daily Transactions'!A:A,$A12,'Daily Transactions'!B:B,"Cash Shortage",'Daily Transactions'!D:D,"Cash")</f>
        <v>0</v>
      </c>
      <c r="M12" s="8"/>
    </row>
    <row r="13" customFormat="false" ht="22.5" hidden="false" customHeight="true" outlineLevel="0" collapsed="false">
      <c r="A13" s="35" t="n">
        <f aca="false">A12+1</f>
        <v>45667</v>
      </c>
      <c r="B13" s="36" t="n">
        <f aca="false">SUMIFS('Daily Transactions'!C:C,'Daily Transactions'!A:A,$A13,'Daily Transactions'!B:B,"Sales")</f>
        <v>0</v>
      </c>
      <c r="C13" s="36" t="n">
        <f aca="false">SUMIFS('Daily Transactions'!C:C,'Daily Transactions'!A:A,$A13,'Daily Transactions'!B:B,"&lt;&gt;Sales")</f>
        <v>0</v>
      </c>
      <c r="D13" s="36" t="n">
        <f aca="false">SUMIFS('Daily Transactions'!C:C,'Daily Transactions'!A:A,$A13,'Daily Transactions'!B:B,"&lt;&gt;Sales",'Daily Transactions'!D:D,"Cash")</f>
        <v>0</v>
      </c>
      <c r="E13" s="36" t="n">
        <f aca="false">SUMIFS('Daily Transactions'!C:C,'Daily Transactions'!A:A,$A13,'Daily Transactions'!B:B,"&lt;&gt;Sales",'Daily Transactions'!D:D,"Bank_Cash")</f>
        <v>0</v>
      </c>
      <c r="F13" s="36" t="n">
        <f aca="false">SUMIFS('Daily Transactions'!C:C,'Daily Transactions'!A:A,$A13,'Daily Transactions'!B:B,"&lt;&gt;Sales",'Daily Transactions'!D:D,"Bank")</f>
        <v>0</v>
      </c>
      <c r="G13" s="36" t="n">
        <f aca="false">B13-C13</f>
        <v>0</v>
      </c>
      <c r="H13" s="36" t="n">
        <f aca="false">J12</f>
        <v>0</v>
      </c>
      <c r="I13" s="36" t="n">
        <f aca="false">SUMIFS('Daily Transactions'!C:C,'Daily Transactions'!A:A,$A13,'Daily Transactions'!B:B,"Sales",'Daily Transactions'!D:D,"Cash")</f>
        <v>0</v>
      </c>
      <c r="J13" s="36" t="n">
        <f aca="false">(H13+I13)-(D13+E13)</f>
        <v>0</v>
      </c>
      <c r="K13" s="8"/>
      <c r="L13" s="8" t="n">
        <f aca="false">SUMIFS('Daily Transactions'!C:C,'Daily Transactions'!A:A,$A13,'Daily Transactions'!B:B,"Cash Shortage",'Daily Transactions'!D:D,"Cash")</f>
        <v>0</v>
      </c>
      <c r="M13" s="8"/>
    </row>
    <row r="14" customFormat="false" ht="22.5" hidden="false" customHeight="true" outlineLevel="0" collapsed="false">
      <c r="A14" s="35" t="n">
        <f aca="false">A13+1</f>
        <v>45668</v>
      </c>
      <c r="B14" s="36" t="n">
        <f aca="false">SUMIFS('Daily Transactions'!C:C,'Daily Transactions'!A:A,$A14,'Daily Transactions'!B:B,"Sales")</f>
        <v>0</v>
      </c>
      <c r="C14" s="36" t="n">
        <f aca="false">SUMIFS('Daily Transactions'!C:C,'Daily Transactions'!A:A,$A14,'Daily Transactions'!B:B,"&lt;&gt;Sales")</f>
        <v>0</v>
      </c>
      <c r="D14" s="36" t="n">
        <f aca="false">SUMIFS('Daily Transactions'!C:C,'Daily Transactions'!A:A,$A14,'Daily Transactions'!B:B,"&lt;&gt;Sales",'Daily Transactions'!D:D,"Cash")</f>
        <v>0</v>
      </c>
      <c r="E14" s="36" t="n">
        <f aca="false">SUMIFS('Daily Transactions'!C:C,'Daily Transactions'!A:A,$A14,'Daily Transactions'!B:B,"&lt;&gt;Sales",'Daily Transactions'!D:D,"Bank_Cash")</f>
        <v>0</v>
      </c>
      <c r="F14" s="36" t="n">
        <f aca="false">SUMIFS('Daily Transactions'!C:C,'Daily Transactions'!A:A,$A14,'Daily Transactions'!B:B,"&lt;&gt;Sales",'Daily Transactions'!D:D,"Bank")</f>
        <v>0</v>
      </c>
      <c r="G14" s="36" t="n">
        <f aca="false">B14-C14</f>
        <v>0</v>
      </c>
      <c r="H14" s="36" t="n">
        <f aca="false">J13</f>
        <v>0</v>
      </c>
      <c r="I14" s="36" t="n">
        <f aca="false">SUMIFS('Daily Transactions'!C:C,'Daily Transactions'!A:A,$A14,'Daily Transactions'!B:B,"Sales",'Daily Transactions'!D:D,"Cash")</f>
        <v>0</v>
      </c>
      <c r="J14" s="36" t="n">
        <f aca="false">(H14+I14)-(D14+E14)</f>
        <v>0</v>
      </c>
      <c r="K14" s="8"/>
      <c r="L14" s="8" t="n">
        <f aca="false">SUMIFS('Daily Transactions'!C:C,'Daily Transactions'!A:A,$A14,'Daily Transactions'!B:B,"Cash Shortage",'Daily Transactions'!D:D,"Cash")</f>
        <v>0</v>
      </c>
      <c r="M14" s="8"/>
    </row>
    <row r="15" customFormat="false" ht="22.5" hidden="false" customHeight="true" outlineLevel="0" collapsed="false">
      <c r="A15" s="35" t="n">
        <f aca="false">A14+1</f>
        <v>45669</v>
      </c>
      <c r="B15" s="36" t="n">
        <f aca="false">SUMIFS('Daily Transactions'!C:C,'Daily Transactions'!A:A,$A15,'Daily Transactions'!B:B,"Sales")</f>
        <v>0</v>
      </c>
      <c r="C15" s="36" t="n">
        <f aca="false">SUMIFS('Daily Transactions'!C:C,'Daily Transactions'!A:A,$A15,'Daily Transactions'!B:B,"&lt;&gt;Sales")</f>
        <v>0</v>
      </c>
      <c r="D15" s="36" t="n">
        <f aca="false">SUMIFS('Daily Transactions'!C:C,'Daily Transactions'!A:A,$A15,'Daily Transactions'!B:B,"&lt;&gt;Sales",'Daily Transactions'!D:D,"Cash")</f>
        <v>0</v>
      </c>
      <c r="E15" s="36" t="n">
        <f aca="false">SUMIFS('Daily Transactions'!C:C,'Daily Transactions'!A:A,$A15,'Daily Transactions'!B:B,"&lt;&gt;Sales",'Daily Transactions'!D:D,"Bank_Cash")</f>
        <v>0</v>
      </c>
      <c r="F15" s="36" t="n">
        <f aca="false">SUMIFS('Daily Transactions'!C:C,'Daily Transactions'!A:A,$A15,'Daily Transactions'!B:B,"&lt;&gt;Sales",'Daily Transactions'!D:D,"Bank")</f>
        <v>0</v>
      </c>
      <c r="G15" s="36" t="n">
        <f aca="false">B15-C15</f>
        <v>0</v>
      </c>
      <c r="H15" s="36" t="n">
        <f aca="false">J14</f>
        <v>0</v>
      </c>
      <c r="I15" s="36" t="n">
        <f aca="false">SUMIFS('Daily Transactions'!C:C,'Daily Transactions'!A:A,$A15,'Daily Transactions'!B:B,"Sales",'Daily Transactions'!D:D,"Cash")</f>
        <v>0</v>
      </c>
      <c r="J15" s="36" t="n">
        <f aca="false">(H15+I15)-(D15+E15)</f>
        <v>0</v>
      </c>
      <c r="K15" s="8"/>
      <c r="L15" s="8" t="n">
        <f aca="false">SUMIFS('Daily Transactions'!C:C,'Daily Transactions'!A:A,$A15,'Daily Transactions'!B:B,"Cash Shortage",'Daily Transactions'!D:D,"Cash")</f>
        <v>0</v>
      </c>
      <c r="M15" s="8"/>
    </row>
    <row r="16" customFormat="false" ht="22.5" hidden="false" customHeight="true" outlineLevel="0" collapsed="false">
      <c r="A16" s="35" t="n">
        <f aca="false">A15+1</f>
        <v>45670</v>
      </c>
      <c r="B16" s="36" t="n">
        <f aca="false">SUMIFS('Daily Transactions'!C:C,'Daily Transactions'!A:A,$A16,'Daily Transactions'!B:B,"Sales")</f>
        <v>0</v>
      </c>
      <c r="C16" s="36" t="n">
        <f aca="false">SUMIFS('Daily Transactions'!C:C,'Daily Transactions'!A:A,$A16,'Daily Transactions'!B:B,"&lt;&gt;Sales")</f>
        <v>0</v>
      </c>
      <c r="D16" s="36" t="n">
        <f aca="false">SUMIFS('Daily Transactions'!C:C,'Daily Transactions'!A:A,$A16,'Daily Transactions'!B:B,"&lt;&gt;Sales",'Daily Transactions'!D:D,"Cash")</f>
        <v>0</v>
      </c>
      <c r="E16" s="36" t="n">
        <f aca="false">SUMIFS('Daily Transactions'!C:C,'Daily Transactions'!A:A,$A16,'Daily Transactions'!B:B,"&lt;&gt;Sales",'Daily Transactions'!D:D,"Bank_Cash")</f>
        <v>0</v>
      </c>
      <c r="F16" s="36" t="n">
        <f aca="false">SUMIFS('Daily Transactions'!C:C,'Daily Transactions'!A:A,$A16,'Daily Transactions'!B:B,"&lt;&gt;Sales",'Daily Transactions'!D:D,"Bank")</f>
        <v>0</v>
      </c>
      <c r="G16" s="36" t="n">
        <f aca="false">B16-C16</f>
        <v>0</v>
      </c>
      <c r="H16" s="36" t="n">
        <f aca="false">J15</f>
        <v>0</v>
      </c>
      <c r="I16" s="36" t="n">
        <f aca="false">SUMIFS('Daily Transactions'!C:C,'Daily Transactions'!A:A,$A16,'Daily Transactions'!B:B,"Sales",'Daily Transactions'!D:D,"Cash")</f>
        <v>0</v>
      </c>
      <c r="J16" s="36" t="n">
        <f aca="false">(H16+I16)-(D16+E16)</f>
        <v>0</v>
      </c>
      <c r="K16" s="8"/>
      <c r="L16" s="8" t="n">
        <f aca="false">SUMIFS('Daily Transactions'!C:C,'Daily Transactions'!A:A,$A16,'Daily Transactions'!B:B,"Cash Shortage",'Daily Transactions'!D:D,"Cash")</f>
        <v>0</v>
      </c>
      <c r="M16" s="8"/>
    </row>
    <row r="17" customFormat="false" ht="22.5" hidden="false" customHeight="true" outlineLevel="0" collapsed="false">
      <c r="A17" s="35" t="n">
        <f aca="false">A16+1</f>
        <v>45671</v>
      </c>
      <c r="B17" s="36" t="n">
        <f aca="false">SUMIFS('Daily Transactions'!C:C,'Daily Transactions'!A:A,$A17,'Daily Transactions'!B:B,"Sales")</f>
        <v>0</v>
      </c>
      <c r="C17" s="36" t="n">
        <f aca="false">SUMIFS('Daily Transactions'!C:C,'Daily Transactions'!A:A,$A17,'Daily Transactions'!B:B,"&lt;&gt;Sales")</f>
        <v>0</v>
      </c>
      <c r="D17" s="36" t="n">
        <f aca="false">SUMIFS('Daily Transactions'!C:C,'Daily Transactions'!A:A,$A17,'Daily Transactions'!B:B,"&lt;&gt;Sales",'Daily Transactions'!D:D,"Cash")</f>
        <v>0</v>
      </c>
      <c r="E17" s="36" t="n">
        <f aca="false">SUMIFS('Daily Transactions'!C:C,'Daily Transactions'!A:A,$A17,'Daily Transactions'!B:B,"&lt;&gt;Sales",'Daily Transactions'!D:D,"Bank_Cash")</f>
        <v>0</v>
      </c>
      <c r="F17" s="36" t="n">
        <f aca="false">SUMIFS('Daily Transactions'!C:C,'Daily Transactions'!A:A,$A17,'Daily Transactions'!B:B,"&lt;&gt;Sales",'Daily Transactions'!D:D,"Bank")</f>
        <v>0</v>
      </c>
      <c r="G17" s="36" t="n">
        <f aca="false">B17-C17</f>
        <v>0</v>
      </c>
      <c r="H17" s="36" t="n">
        <f aca="false">J16</f>
        <v>0</v>
      </c>
      <c r="I17" s="36" t="n">
        <f aca="false">SUMIFS('Daily Transactions'!C:C,'Daily Transactions'!A:A,$A17,'Daily Transactions'!B:B,"Sales",'Daily Transactions'!D:D,"Cash")</f>
        <v>0</v>
      </c>
      <c r="J17" s="36" t="n">
        <f aca="false">(H17+I17)-(D17+E17)</f>
        <v>0</v>
      </c>
      <c r="K17" s="8"/>
      <c r="L17" s="8" t="n">
        <f aca="false">SUMIFS('Daily Transactions'!C:C,'Daily Transactions'!A:A,$A17,'Daily Transactions'!B:B,"Cash Shortage",'Daily Transactions'!D:D,"Cash")</f>
        <v>0</v>
      </c>
      <c r="M17" s="8"/>
    </row>
    <row r="18" customFormat="false" ht="22.5" hidden="false" customHeight="true" outlineLevel="0" collapsed="false">
      <c r="A18" s="35" t="n">
        <f aca="false">A17+1</f>
        <v>45672</v>
      </c>
      <c r="B18" s="36" t="n">
        <f aca="false">SUMIFS('Daily Transactions'!C:C,'Daily Transactions'!A:A,$A18,'Daily Transactions'!B:B,"Sales")</f>
        <v>0</v>
      </c>
      <c r="C18" s="36" t="n">
        <f aca="false">SUMIFS('Daily Transactions'!C:C,'Daily Transactions'!A:A,$A18,'Daily Transactions'!B:B,"&lt;&gt;Sales")</f>
        <v>0</v>
      </c>
      <c r="D18" s="36" t="n">
        <f aca="false">SUMIFS('Daily Transactions'!C:C,'Daily Transactions'!A:A,$A18,'Daily Transactions'!B:B,"&lt;&gt;Sales",'Daily Transactions'!D:D,"Cash")</f>
        <v>0</v>
      </c>
      <c r="E18" s="36" t="n">
        <f aca="false">SUMIFS('Daily Transactions'!C:C,'Daily Transactions'!A:A,$A18,'Daily Transactions'!B:B,"&lt;&gt;Sales",'Daily Transactions'!D:D,"Bank_Cash")</f>
        <v>0</v>
      </c>
      <c r="F18" s="36" t="n">
        <f aca="false">SUMIFS('Daily Transactions'!C:C,'Daily Transactions'!A:A,$A18,'Daily Transactions'!B:B,"&lt;&gt;Sales",'Daily Transactions'!D:D,"Bank")</f>
        <v>0</v>
      </c>
      <c r="G18" s="36" t="n">
        <f aca="false">B18-C18</f>
        <v>0</v>
      </c>
      <c r="H18" s="36" t="n">
        <f aca="false">J17</f>
        <v>0</v>
      </c>
      <c r="I18" s="36" t="n">
        <f aca="false">SUMIFS('Daily Transactions'!C:C,'Daily Transactions'!A:A,$A18,'Daily Transactions'!B:B,"Sales",'Daily Transactions'!D:D,"Cash")</f>
        <v>0</v>
      </c>
      <c r="J18" s="36" t="n">
        <f aca="false">(H18+I18)-(D18+E18)</f>
        <v>0</v>
      </c>
      <c r="K18" s="8"/>
      <c r="L18" s="8" t="n">
        <f aca="false">SUMIFS('Daily Transactions'!C:C,'Daily Transactions'!A:A,$A18,'Daily Transactions'!B:B,"Cash Shortage",'Daily Transactions'!D:D,"Cash")</f>
        <v>0</v>
      </c>
      <c r="M18" s="8"/>
    </row>
    <row r="19" customFormat="false" ht="22.5" hidden="false" customHeight="true" outlineLevel="0" collapsed="false">
      <c r="A19" s="35" t="n">
        <f aca="false">A18+1</f>
        <v>45673</v>
      </c>
      <c r="B19" s="36" t="n">
        <f aca="false">SUMIFS('Daily Transactions'!C:C,'Daily Transactions'!A:A,$A19,'Daily Transactions'!B:B,"Sales")</f>
        <v>0</v>
      </c>
      <c r="C19" s="36" t="n">
        <f aca="false">SUMIFS('Daily Transactions'!C:C,'Daily Transactions'!A:A,$A19,'Daily Transactions'!B:B,"&lt;&gt;Sales")</f>
        <v>0</v>
      </c>
      <c r="D19" s="36" t="n">
        <f aca="false">SUMIFS('Daily Transactions'!C:C,'Daily Transactions'!A:A,$A19,'Daily Transactions'!B:B,"&lt;&gt;Sales",'Daily Transactions'!D:D,"Cash")</f>
        <v>0</v>
      </c>
      <c r="E19" s="36" t="n">
        <f aca="false">SUMIFS('Daily Transactions'!C:C,'Daily Transactions'!A:A,$A19,'Daily Transactions'!B:B,"&lt;&gt;Sales",'Daily Transactions'!D:D,"Bank_Cash")</f>
        <v>0</v>
      </c>
      <c r="F19" s="36" t="n">
        <f aca="false">SUMIFS('Daily Transactions'!C:C,'Daily Transactions'!A:A,$A19,'Daily Transactions'!B:B,"&lt;&gt;Sales",'Daily Transactions'!D:D,"Bank")</f>
        <v>0</v>
      </c>
      <c r="G19" s="36" t="n">
        <f aca="false">B19-C19</f>
        <v>0</v>
      </c>
      <c r="H19" s="36" t="n">
        <f aca="false">J18</f>
        <v>0</v>
      </c>
      <c r="I19" s="36" t="n">
        <f aca="false">SUMIFS('Daily Transactions'!C:C,'Daily Transactions'!A:A,$A19,'Daily Transactions'!B:B,"Sales",'Daily Transactions'!D:D,"Cash")</f>
        <v>0</v>
      </c>
      <c r="J19" s="36" t="n">
        <f aca="false">(H19+I19)-(D19+E19)</f>
        <v>0</v>
      </c>
      <c r="K19" s="8"/>
      <c r="L19" s="8" t="n">
        <f aca="false">SUMIFS('Daily Transactions'!C:C,'Daily Transactions'!A:A,$A19,'Daily Transactions'!B:B,"Cash Shortage",'Daily Transactions'!D:D,"Cash")</f>
        <v>0</v>
      </c>
      <c r="M19" s="8"/>
    </row>
    <row r="20" customFormat="false" ht="22.5" hidden="false" customHeight="true" outlineLevel="0" collapsed="false">
      <c r="A20" s="35" t="n">
        <f aca="false">A19+1</f>
        <v>45674</v>
      </c>
      <c r="B20" s="36" t="n">
        <f aca="false">SUMIFS('Daily Transactions'!C:C,'Daily Transactions'!A:A,$A20,'Daily Transactions'!B:B,"Sales")</f>
        <v>0</v>
      </c>
      <c r="C20" s="36" t="n">
        <f aca="false">SUMIFS('Daily Transactions'!C:C,'Daily Transactions'!A:A,$A20,'Daily Transactions'!B:B,"&lt;&gt;Sales")</f>
        <v>0</v>
      </c>
      <c r="D20" s="36" t="n">
        <f aca="false">SUMIFS('Daily Transactions'!C:C,'Daily Transactions'!A:A,$A20,'Daily Transactions'!B:B,"&lt;&gt;Sales",'Daily Transactions'!D:D,"Cash")</f>
        <v>0</v>
      </c>
      <c r="E20" s="36" t="n">
        <f aca="false">SUMIFS('Daily Transactions'!C:C,'Daily Transactions'!A:A,$A20,'Daily Transactions'!B:B,"&lt;&gt;Sales",'Daily Transactions'!D:D,"Bank_Cash")</f>
        <v>0</v>
      </c>
      <c r="F20" s="36" t="n">
        <f aca="false">SUMIFS('Daily Transactions'!C:C,'Daily Transactions'!A:A,$A20,'Daily Transactions'!B:B,"&lt;&gt;Sales",'Daily Transactions'!D:D,"Bank")</f>
        <v>0</v>
      </c>
      <c r="G20" s="36" t="n">
        <f aca="false">B20-C20</f>
        <v>0</v>
      </c>
      <c r="H20" s="36" t="n">
        <f aca="false">J19</f>
        <v>0</v>
      </c>
      <c r="I20" s="36" t="n">
        <f aca="false">SUMIFS('Daily Transactions'!C:C,'Daily Transactions'!A:A,$A20,'Daily Transactions'!B:B,"Sales",'Daily Transactions'!D:D,"Cash")</f>
        <v>0</v>
      </c>
      <c r="J20" s="36" t="n">
        <f aca="false">(H20+I20)-(D20+E20)</f>
        <v>0</v>
      </c>
      <c r="K20" s="8"/>
      <c r="L20" s="8" t="n">
        <f aca="false">SUMIFS('Daily Transactions'!C:C,'Daily Transactions'!A:A,$A20,'Daily Transactions'!B:B,"Cash Shortage",'Daily Transactions'!D:D,"Cash")</f>
        <v>0</v>
      </c>
      <c r="M20" s="8"/>
    </row>
    <row r="21" customFormat="false" ht="22.5" hidden="false" customHeight="true" outlineLevel="0" collapsed="false">
      <c r="A21" s="35" t="n">
        <f aca="false">A20+1</f>
        <v>45675</v>
      </c>
      <c r="B21" s="36" t="n">
        <f aca="false">SUMIFS('Daily Transactions'!C:C,'Daily Transactions'!A:A,$A21,'Daily Transactions'!B:B,"Sales")</f>
        <v>0</v>
      </c>
      <c r="C21" s="36" t="n">
        <f aca="false">SUMIFS('Daily Transactions'!C:C,'Daily Transactions'!A:A,$A21,'Daily Transactions'!B:B,"&lt;&gt;Sales")</f>
        <v>0</v>
      </c>
      <c r="D21" s="36" t="n">
        <f aca="false">SUMIFS('Daily Transactions'!C:C,'Daily Transactions'!A:A,$A21,'Daily Transactions'!B:B,"&lt;&gt;Sales",'Daily Transactions'!D:D,"Cash")</f>
        <v>0</v>
      </c>
      <c r="E21" s="36" t="n">
        <f aca="false">SUMIFS('Daily Transactions'!C:C,'Daily Transactions'!A:A,$A21,'Daily Transactions'!B:B,"&lt;&gt;Sales",'Daily Transactions'!D:D,"Bank_Cash")</f>
        <v>0</v>
      </c>
      <c r="F21" s="36" t="n">
        <f aca="false">SUMIFS('Daily Transactions'!C:C,'Daily Transactions'!A:A,$A21,'Daily Transactions'!B:B,"&lt;&gt;Sales",'Daily Transactions'!D:D,"Bank")</f>
        <v>0</v>
      </c>
      <c r="G21" s="36" t="n">
        <f aca="false">B21-C21</f>
        <v>0</v>
      </c>
      <c r="H21" s="36" t="n">
        <f aca="false">J20</f>
        <v>0</v>
      </c>
      <c r="I21" s="36" t="n">
        <f aca="false">SUMIFS('Daily Transactions'!C:C,'Daily Transactions'!A:A,$A21,'Daily Transactions'!B:B,"Sales",'Daily Transactions'!D:D,"Cash")</f>
        <v>0</v>
      </c>
      <c r="J21" s="36" t="n">
        <f aca="false">(H21+I21)-(D21+E21)</f>
        <v>0</v>
      </c>
      <c r="K21" s="8"/>
      <c r="L21" s="8" t="n">
        <f aca="false">SUMIFS('Daily Transactions'!C:C,'Daily Transactions'!A:A,$A21,'Daily Transactions'!B:B,"Cash Shortage",'Daily Transactions'!D:D,"Cash")</f>
        <v>0</v>
      </c>
      <c r="M21" s="8"/>
    </row>
    <row r="22" customFormat="false" ht="15.75" hidden="false" customHeight="true" outlineLevel="0" collapsed="false">
      <c r="A22" s="35" t="n">
        <f aca="false">A21+1</f>
        <v>45676</v>
      </c>
      <c r="B22" s="36" t="n">
        <f aca="false">SUMIFS('Daily Transactions'!C:C,'Daily Transactions'!A:A,$A22,'Daily Transactions'!B:B,"Sales")</f>
        <v>0</v>
      </c>
      <c r="C22" s="36" t="n">
        <f aca="false">SUMIFS('Daily Transactions'!C:C,'Daily Transactions'!A:A,$A22,'Daily Transactions'!B:B,"&lt;&gt;Sales")</f>
        <v>0</v>
      </c>
      <c r="D22" s="36" t="n">
        <f aca="false">SUMIFS('Daily Transactions'!C:C,'Daily Transactions'!A:A,$A22,'Daily Transactions'!B:B,"&lt;&gt;Sales",'Daily Transactions'!D:D,"Cash")</f>
        <v>0</v>
      </c>
      <c r="E22" s="36" t="n">
        <f aca="false">SUMIFS('Daily Transactions'!C:C,'Daily Transactions'!A:A,$A22,'Daily Transactions'!B:B,"&lt;&gt;Sales",'Daily Transactions'!D:D,"Bank_Cash")</f>
        <v>0</v>
      </c>
      <c r="F22" s="36" t="n">
        <f aca="false">SUMIFS('Daily Transactions'!C:C,'Daily Transactions'!A:A,$A22,'Daily Transactions'!B:B,"&lt;&gt;Sales",'Daily Transactions'!D:D,"Bank")</f>
        <v>0</v>
      </c>
      <c r="G22" s="36" t="n">
        <f aca="false">B22-C22</f>
        <v>0</v>
      </c>
      <c r="H22" s="36" t="n">
        <f aca="false">J21</f>
        <v>0</v>
      </c>
      <c r="I22" s="36" t="n">
        <f aca="false">SUMIFS('Daily Transactions'!C:C,'Daily Transactions'!A:A,$A22,'Daily Transactions'!B:B,"Sales",'Daily Transactions'!D:D,"Cash")</f>
        <v>0</v>
      </c>
      <c r="J22" s="36" t="n">
        <f aca="false">(H22+I22)-(D22+E22)</f>
        <v>0</v>
      </c>
      <c r="K22" s="8"/>
      <c r="L22" s="8" t="n">
        <f aca="false">SUMIFS('Daily Transactions'!C:C,'Daily Transactions'!A:A,$A22,'Daily Transactions'!B:B,"Cash Shortage",'Daily Transactions'!D:D,"Cash")</f>
        <v>0</v>
      </c>
      <c r="M22" s="8"/>
    </row>
    <row r="23" customFormat="false" ht="15.75" hidden="false" customHeight="true" outlineLevel="0" collapsed="false">
      <c r="A23" s="35" t="n">
        <f aca="false">A22+1</f>
        <v>45677</v>
      </c>
      <c r="B23" s="36" t="n">
        <f aca="false">SUMIFS('Daily Transactions'!C:C,'Daily Transactions'!A:A,$A23,'Daily Transactions'!B:B,"Sales")</f>
        <v>0</v>
      </c>
      <c r="C23" s="36" t="n">
        <f aca="false">SUMIFS('Daily Transactions'!C:C,'Daily Transactions'!A:A,$A23,'Daily Transactions'!B:B,"&lt;&gt;Sales")</f>
        <v>0</v>
      </c>
      <c r="D23" s="36" t="n">
        <f aca="false">SUMIFS('Daily Transactions'!C:C,'Daily Transactions'!A:A,$A23,'Daily Transactions'!B:B,"&lt;&gt;Sales",'Daily Transactions'!D:D,"Cash")</f>
        <v>0</v>
      </c>
      <c r="E23" s="36" t="n">
        <f aca="false">SUMIFS('Daily Transactions'!C:C,'Daily Transactions'!A:A,$A23,'Daily Transactions'!B:B,"&lt;&gt;Sales",'Daily Transactions'!D:D,"Bank_Cash")</f>
        <v>0</v>
      </c>
      <c r="F23" s="36" t="n">
        <f aca="false">SUMIFS('Daily Transactions'!C:C,'Daily Transactions'!A:A,$A23,'Daily Transactions'!B:B,"&lt;&gt;Sales",'Daily Transactions'!D:D,"Bank")</f>
        <v>0</v>
      </c>
      <c r="G23" s="36" t="n">
        <f aca="false">B23-C23</f>
        <v>0</v>
      </c>
      <c r="H23" s="36" t="n">
        <f aca="false">J22</f>
        <v>0</v>
      </c>
      <c r="I23" s="36" t="n">
        <f aca="false">SUMIFS('Daily Transactions'!C:C,'Daily Transactions'!A:A,$A23,'Daily Transactions'!B:B,"Sales",'Daily Transactions'!D:D,"Cash")</f>
        <v>0</v>
      </c>
      <c r="J23" s="36" t="n">
        <f aca="false">(H23+I23)-(D23+E23)</f>
        <v>0</v>
      </c>
      <c r="K23" s="8"/>
      <c r="L23" s="8" t="n">
        <f aca="false">SUMIFS('Daily Transactions'!C:C,'Daily Transactions'!A:A,$A23,'Daily Transactions'!B:B,"Cash Shortage",'Daily Transactions'!D:D,"Cash")</f>
        <v>0</v>
      </c>
      <c r="M23" s="8"/>
    </row>
    <row r="24" customFormat="false" ht="15.75" hidden="false" customHeight="true" outlineLevel="0" collapsed="false">
      <c r="A24" s="35" t="n">
        <f aca="false">A23+1</f>
        <v>45678</v>
      </c>
      <c r="B24" s="36" t="n">
        <f aca="false">SUMIFS('Daily Transactions'!C:C,'Daily Transactions'!A:A,$A24,'Daily Transactions'!B:B,"Sales")</f>
        <v>0</v>
      </c>
      <c r="C24" s="36" t="n">
        <f aca="false">SUMIFS('Daily Transactions'!C:C,'Daily Transactions'!A:A,$A24,'Daily Transactions'!B:B,"&lt;&gt;Sales")</f>
        <v>0</v>
      </c>
      <c r="D24" s="36" t="n">
        <f aca="false">SUMIFS('Daily Transactions'!C:C,'Daily Transactions'!A:A,$A24,'Daily Transactions'!B:B,"&lt;&gt;Sales",'Daily Transactions'!D:D,"Cash")</f>
        <v>0</v>
      </c>
      <c r="E24" s="36" t="n">
        <f aca="false">SUMIFS('Daily Transactions'!C:C,'Daily Transactions'!A:A,$A24,'Daily Transactions'!B:B,"&lt;&gt;Sales",'Daily Transactions'!D:D,"Bank_Cash")</f>
        <v>0</v>
      </c>
      <c r="F24" s="36" t="n">
        <f aca="false">SUMIFS('Daily Transactions'!C:C,'Daily Transactions'!A:A,$A24,'Daily Transactions'!B:B,"&lt;&gt;Sales",'Daily Transactions'!D:D,"Bank")</f>
        <v>0</v>
      </c>
      <c r="G24" s="36" t="n">
        <f aca="false">B24-C24</f>
        <v>0</v>
      </c>
      <c r="H24" s="36" t="n">
        <f aca="false">J23</f>
        <v>0</v>
      </c>
      <c r="I24" s="36" t="n">
        <f aca="false">SUMIFS('Daily Transactions'!C:C,'Daily Transactions'!A:A,$A24,'Daily Transactions'!B:B,"Sales",'Daily Transactions'!D:D,"Cash")</f>
        <v>0</v>
      </c>
      <c r="J24" s="36" t="n">
        <f aca="false">(H24+I24)-(D24+E24)</f>
        <v>0</v>
      </c>
      <c r="K24" s="8"/>
      <c r="L24" s="8" t="n">
        <f aca="false">SUMIFS('Daily Transactions'!C:C,'Daily Transactions'!A:A,$A24,'Daily Transactions'!B:B,"Cash Shortage",'Daily Transactions'!D:D,"Cash")</f>
        <v>0</v>
      </c>
      <c r="M24" s="8"/>
    </row>
    <row r="25" customFormat="false" ht="15.75" hidden="false" customHeight="true" outlineLevel="0" collapsed="false">
      <c r="A25" s="35" t="n">
        <f aca="false">A24+1</f>
        <v>45679</v>
      </c>
      <c r="B25" s="36" t="n">
        <f aca="false">SUMIFS('Daily Transactions'!C:C,'Daily Transactions'!A:A,$A25,'Daily Transactions'!B:B,"Sales")</f>
        <v>27918</v>
      </c>
      <c r="C25" s="36" t="n">
        <f aca="false">SUMIFS('Daily Transactions'!C:C,'Daily Transactions'!A:A,$A25,'Daily Transactions'!B:B,"&lt;&gt;Sales")</f>
        <v>31943</v>
      </c>
      <c r="D25" s="36" t="n">
        <f aca="false">SUMIFS('Daily Transactions'!C:C,'Daily Transactions'!A:A,$A25,'Daily Transactions'!B:B,"&lt;&gt;Sales",'Daily Transactions'!D:D,"Cash")</f>
        <v>1959</v>
      </c>
      <c r="E25" s="36" t="n">
        <f aca="false">SUMIFS('Daily Transactions'!C:C,'Daily Transactions'!A:A,$A25,'Daily Transactions'!B:B,"&lt;&gt;Sales",'Daily Transactions'!D:D,"Bank_Cash")</f>
        <v>0</v>
      </c>
      <c r="F25" s="36" t="n">
        <f aca="false">SUMIFS('Daily Transactions'!C:C,'Daily Transactions'!A:A,$A25,'Daily Transactions'!B:B,"&lt;&gt;Sales",'Daily Transactions'!D:D,"Bank")</f>
        <v>29984</v>
      </c>
      <c r="G25" s="36" t="n">
        <f aca="false">B25-C25</f>
        <v>-4025</v>
      </c>
      <c r="H25" s="36" t="n">
        <v>8250</v>
      </c>
      <c r="I25" s="36" t="n">
        <f aca="false">SUMIFS('Daily Transactions'!C:C,'Daily Transactions'!A:A,$A25,'Daily Transactions'!B:B,"Sales",'Daily Transactions'!D:D,"Cash")</f>
        <v>4759</v>
      </c>
      <c r="J25" s="36" t="n">
        <f aca="false">(H25+I25)-(D25+E25)</f>
        <v>11050</v>
      </c>
      <c r="K25" s="8"/>
      <c r="L25" s="8" t="n">
        <f aca="false">SUMIFS('Daily Transactions'!C:C,'Daily Transactions'!A:A,$A25,'Daily Transactions'!B:B,"Cash Shortage",'Daily Transactions'!D:D,"Cash")</f>
        <v>0</v>
      </c>
      <c r="M25" s="8"/>
    </row>
    <row r="26" customFormat="false" ht="15.75" hidden="false" customHeight="true" outlineLevel="0" collapsed="false">
      <c r="A26" s="35" t="n">
        <f aca="false">A25+1</f>
        <v>45680</v>
      </c>
      <c r="B26" s="36" t="n">
        <f aca="false">SUMIFS('Daily Transactions'!C:C,'Daily Transactions'!A:A,$A26,'Daily Transactions'!B:B,"Sales")</f>
        <v>13430</v>
      </c>
      <c r="C26" s="36" t="n">
        <f aca="false">SUMIFS('Daily Transactions'!C:C,'Daily Transactions'!A:A,$A26,'Daily Transactions'!B:B,"&lt;&gt;Sales")</f>
        <v>13393</v>
      </c>
      <c r="D26" s="36" t="n">
        <f aca="false">SUMIFS('Daily Transactions'!C:C,'Daily Transactions'!A:A,$A26,'Daily Transactions'!B:B,"&lt;&gt;Sales",'Daily Transactions'!D:D,"Cash")</f>
        <v>2110</v>
      </c>
      <c r="E26" s="36" t="n">
        <f aca="false">SUMIFS('Daily Transactions'!C:C,'Daily Transactions'!A:A,$A26,'Daily Transactions'!B:B,"&lt;&gt;Sales",'Daily Transactions'!D:D,"Bank_Cash")</f>
        <v>0</v>
      </c>
      <c r="F26" s="36" t="n">
        <f aca="false">SUMIFS('Daily Transactions'!C:C,'Daily Transactions'!A:A,$A26,'Daily Transactions'!B:B,"&lt;&gt;Sales",'Daily Transactions'!D:D,"Bank")</f>
        <v>11283</v>
      </c>
      <c r="G26" s="36" t="n">
        <f aca="false">B26-C26</f>
        <v>37</v>
      </c>
      <c r="H26" s="36" t="n">
        <f aca="false">J25</f>
        <v>11050</v>
      </c>
      <c r="I26" s="36" t="n">
        <f aca="false">SUMIFS('Daily Transactions'!C:C,'Daily Transactions'!A:A,$A26,'Daily Transactions'!B:B,"Sales",'Daily Transactions'!D:D,"Cash")</f>
        <v>2410</v>
      </c>
      <c r="J26" s="36" t="n">
        <f aca="false">(H26+I26)-(D26+E26)</f>
        <v>11350</v>
      </c>
      <c r="K26" s="8"/>
      <c r="L26" s="8" t="n">
        <f aca="false">SUMIFS('Daily Transactions'!C:C,'Daily Transactions'!A:A,$A26,'Daily Transactions'!B:B,"Cash Shortage",'Daily Transactions'!D:D,"Cash")</f>
        <v>0</v>
      </c>
      <c r="M26" s="8"/>
    </row>
    <row r="27" customFormat="false" ht="15.75" hidden="false" customHeight="true" outlineLevel="0" collapsed="false">
      <c r="A27" s="35" t="n">
        <f aca="false">A26+1</f>
        <v>45681</v>
      </c>
      <c r="B27" s="36" t="n">
        <f aca="false">SUMIFS('Daily Transactions'!C:C,'Daily Transactions'!A:A,$A27,'Daily Transactions'!B:B,"Sales")</f>
        <v>24925</v>
      </c>
      <c r="C27" s="36" t="n">
        <f aca="false">SUMIFS('Daily Transactions'!C:C,'Daily Transactions'!A:A,$A27,'Daily Transactions'!B:B,"&lt;&gt;Sales")</f>
        <v>21670</v>
      </c>
      <c r="D27" s="36" t="n">
        <f aca="false">SUMIFS('Daily Transactions'!C:C,'Daily Transactions'!A:A,$A27,'Daily Transactions'!B:B,"&lt;&gt;Sales",'Daily Transactions'!D:D,"Cash")</f>
        <v>490</v>
      </c>
      <c r="E27" s="36" t="n">
        <f aca="false">SUMIFS('Daily Transactions'!C:C,'Daily Transactions'!A:A,$A27,'Daily Transactions'!B:B,"&lt;&gt;Sales",'Daily Transactions'!D:D,"Bank_Cash")</f>
        <v>10300</v>
      </c>
      <c r="F27" s="36" t="n">
        <f aca="false">SUMIFS('Daily Transactions'!C:C,'Daily Transactions'!A:A,$A27,'Daily Transactions'!B:B,"&lt;&gt;Sales",'Daily Transactions'!D:D,"Bank")</f>
        <v>10880</v>
      </c>
      <c r="G27" s="36" t="n">
        <f aca="false">B27-C27</f>
        <v>3255</v>
      </c>
      <c r="H27" s="36" t="n">
        <f aca="false">J26</f>
        <v>11350</v>
      </c>
      <c r="I27" s="36" t="n">
        <f aca="false">SUMIFS('Daily Transactions'!C:C,'Daily Transactions'!A:A,$A27,'Daily Transactions'!B:B,"Sales",'Daily Transactions'!D:D,"Cash")</f>
        <v>3140</v>
      </c>
      <c r="J27" s="36" t="n">
        <f aca="false">(H27+I27)-(D27+E27)</f>
        <v>3700</v>
      </c>
      <c r="K27" s="8"/>
      <c r="L27" s="8" t="n">
        <f aca="false">SUMIFS('Daily Transactions'!C:C,'Daily Transactions'!A:A,$A27,'Daily Transactions'!B:B,"Cash Shortage",'Daily Transactions'!D:D,"Cash")</f>
        <v>0</v>
      </c>
      <c r="M27" s="8"/>
    </row>
    <row r="28" customFormat="false" ht="15.75" hidden="false" customHeight="true" outlineLevel="0" collapsed="false">
      <c r="A28" s="35" t="n">
        <f aca="false">A27+1</f>
        <v>45682</v>
      </c>
      <c r="B28" s="36" t="n">
        <f aca="false">SUMIFS('Daily Transactions'!C:C,'Daily Transactions'!A:A,$A28,'Daily Transactions'!B:B,"Sales")</f>
        <v>39001</v>
      </c>
      <c r="C28" s="36" t="n">
        <f aca="false">SUMIFS('Daily Transactions'!C:C,'Daily Transactions'!A:A,$A28,'Daily Transactions'!B:B,"&lt;&gt;Sales")</f>
        <v>23322</v>
      </c>
      <c r="D28" s="36" t="n">
        <f aca="false">SUMIFS('Daily Transactions'!C:C,'Daily Transactions'!A:A,$A28,'Daily Transactions'!B:B,"&lt;&gt;Sales",'Daily Transactions'!D:D,"Cash")</f>
        <v>3960</v>
      </c>
      <c r="E28" s="36" t="n">
        <f aca="false">SUMIFS('Daily Transactions'!C:C,'Daily Transactions'!A:A,$A28,'Daily Transactions'!B:B,"&lt;&gt;Sales",'Daily Transactions'!D:D,"Bank_Cash")</f>
        <v>0</v>
      </c>
      <c r="F28" s="36" t="n">
        <f aca="false">SUMIFS('Daily Transactions'!C:C,'Daily Transactions'!A:A,$A28,'Daily Transactions'!B:B,"&lt;&gt;Sales",'Daily Transactions'!D:D,"Bank")</f>
        <v>19362</v>
      </c>
      <c r="G28" s="36" t="n">
        <f aca="false">B28-C28</f>
        <v>15679</v>
      </c>
      <c r="H28" s="36" t="n">
        <f aca="false">J27</f>
        <v>3700</v>
      </c>
      <c r="I28" s="36" t="n">
        <f aca="false">SUMIFS('Daily Transactions'!C:C,'Daily Transactions'!A:A,$A28,'Daily Transactions'!B:B,"Sales",'Daily Transactions'!D:D,"Cash")</f>
        <v>5660</v>
      </c>
      <c r="J28" s="36" t="n">
        <f aca="false">(H28+I28)-(D28+E28)</f>
        <v>5400</v>
      </c>
      <c r="K28" s="8"/>
      <c r="L28" s="8" t="n">
        <f aca="false">SUMIFS('Daily Transactions'!C:C,'Daily Transactions'!A:A,$A28,'Daily Transactions'!B:B,"Cash Shortage",'Daily Transactions'!D:D,"Cash")</f>
        <v>0</v>
      </c>
      <c r="M28" s="8"/>
    </row>
    <row r="29" customFormat="false" ht="15.75" hidden="false" customHeight="true" outlineLevel="0" collapsed="false">
      <c r="A29" s="35" t="n">
        <f aca="false">A28+1</f>
        <v>45683</v>
      </c>
      <c r="B29" s="36" t="n">
        <f aca="false">SUMIFS('Daily Transactions'!C:C,'Daily Transactions'!A:A,$A29,'Daily Transactions'!B:B,"Sales")</f>
        <v>41795</v>
      </c>
      <c r="C29" s="36" t="n">
        <f aca="false">SUMIFS('Daily Transactions'!C:C,'Daily Transactions'!A:A,$A29,'Daily Transactions'!B:B,"&lt;&gt;Sales")</f>
        <v>19605</v>
      </c>
      <c r="D29" s="36" t="n">
        <f aca="false">SUMIFS('Daily Transactions'!C:C,'Daily Transactions'!A:A,$A29,'Daily Transactions'!B:B,"&lt;&gt;Sales",'Daily Transactions'!D:D,"Cash")</f>
        <v>2379</v>
      </c>
      <c r="E29" s="36" t="n">
        <f aca="false">SUMIFS('Daily Transactions'!C:C,'Daily Transactions'!A:A,$A29,'Daily Transactions'!B:B,"&lt;&gt;Sales",'Daily Transactions'!D:D,"Bank_Cash")</f>
        <v>2700</v>
      </c>
      <c r="F29" s="36" t="n">
        <f aca="false">SUMIFS('Daily Transactions'!C:C,'Daily Transactions'!A:A,$A29,'Daily Transactions'!B:B,"&lt;&gt;Sales",'Daily Transactions'!D:D,"Bank")</f>
        <v>14526</v>
      </c>
      <c r="G29" s="36" t="n">
        <f aca="false">B29-C29</f>
        <v>22190</v>
      </c>
      <c r="H29" s="36" t="n">
        <f aca="false">J28</f>
        <v>5400</v>
      </c>
      <c r="I29" s="36" t="n">
        <f aca="false">SUMIFS('Daily Transactions'!C:C,'Daily Transactions'!A:A,$A29,'Daily Transactions'!B:B,"Sales",'Daily Transactions'!D:D,"Cash")</f>
        <v>3979</v>
      </c>
      <c r="J29" s="36" t="n">
        <f aca="false">(H29+I29)-(D29+E29)</f>
        <v>4300</v>
      </c>
      <c r="K29" s="8"/>
      <c r="L29" s="8" t="n">
        <f aca="false">SUMIFS('Daily Transactions'!C:C,'Daily Transactions'!A:A,$A29,'Daily Transactions'!B:B,"Cash Shortage",'Daily Transactions'!D:D,"Cash")</f>
        <v>0</v>
      </c>
      <c r="M29" s="8"/>
    </row>
    <row r="30" customFormat="false" ht="15.75" hidden="false" customHeight="true" outlineLevel="0" collapsed="false">
      <c r="A30" s="35" t="n">
        <f aca="false">A29+1</f>
        <v>45684</v>
      </c>
      <c r="B30" s="36" t="n">
        <f aca="false">SUMIFS('Daily Transactions'!C:C,'Daily Transactions'!A:A,$A30,'Daily Transactions'!B:B,"Sales")</f>
        <v>21790</v>
      </c>
      <c r="C30" s="36" t="n">
        <f aca="false">SUMIFS('Daily Transactions'!C:C,'Daily Transactions'!A:A,$A30,'Daily Transactions'!B:B,"&lt;&gt;Sales")</f>
        <v>7788</v>
      </c>
      <c r="D30" s="36" t="n">
        <f aca="false">SUMIFS('Daily Transactions'!C:C,'Daily Transactions'!A:A,$A30,'Daily Transactions'!B:B,"&lt;&gt;Sales",'Daily Transactions'!D:D,"Cash")</f>
        <v>1290</v>
      </c>
      <c r="E30" s="36" t="n">
        <f aca="false">SUMIFS('Daily Transactions'!C:C,'Daily Transactions'!A:A,$A30,'Daily Transactions'!B:B,"&lt;&gt;Sales",'Daily Transactions'!D:D,"Bank_Cash")</f>
        <v>0</v>
      </c>
      <c r="F30" s="36" t="n">
        <f aca="false">SUMIFS('Daily Transactions'!C:C,'Daily Transactions'!A:A,$A30,'Daily Transactions'!B:B,"&lt;&gt;Sales",'Daily Transactions'!D:D,"Bank")</f>
        <v>6498</v>
      </c>
      <c r="G30" s="36" t="n">
        <f aca="false">B30-C30</f>
        <v>14002</v>
      </c>
      <c r="H30" s="36" t="n">
        <f aca="false">J29</f>
        <v>4300</v>
      </c>
      <c r="I30" s="36" t="n">
        <f aca="false">SUMIFS('Daily Transactions'!C:C,'Daily Transactions'!A:A,$A30,'Daily Transactions'!B:B,"Sales",'Daily Transactions'!D:D,"Cash")</f>
        <v>2540</v>
      </c>
      <c r="J30" s="36" t="n">
        <f aca="false">(H30+I30)-(D30+E30)</f>
        <v>5550</v>
      </c>
      <c r="K30" s="8"/>
      <c r="L30" s="8" t="n">
        <f aca="false">SUMIFS('Daily Transactions'!C:C,'Daily Transactions'!A:A,$A30,'Daily Transactions'!B:B,"Cash Shortage",'Daily Transactions'!D:D,"Cash")</f>
        <v>0</v>
      </c>
      <c r="M30" s="8"/>
    </row>
    <row r="31" customFormat="false" ht="15.75" hidden="false" customHeight="true" outlineLevel="0" collapsed="false">
      <c r="A31" s="35" t="n">
        <f aca="false">A30+1</f>
        <v>45685</v>
      </c>
      <c r="B31" s="36" t="n">
        <f aca="false">SUMIFS('Daily Transactions'!C:C,'Daily Transactions'!A:A,$A31,'Daily Transactions'!B:B,"Sales")</f>
        <v>18334</v>
      </c>
      <c r="C31" s="36" t="n">
        <f aca="false">SUMIFS('Daily Transactions'!C:C,'Daily Transactions'!A:A,$A31,'Daily Transactions'!B:B,"&lt;&gt;Sales")</f>
        <v>12279</v>
      </c>
      <c r="D31" s="36" t="n">
        <f aca="false">SUMIFS('Daily Transactions'!C:C,'Daily Transactions'!A:A,$A31,'Daily Transactions'!B:B,"&lt;&gt;Sales",'Daily Transactions'!D:D,"Cash")</f>
        <v>1315</v>
      </c>
      <c r="E31" s="36" t="n">
        <f aca="false">SUMIFS('Daily Transactions'!C:C,'Daily Transactions'!A:A,$A31,'Daily Transactions'!B:B,"&lt;&gt;Sales",'Daily Transactions'!D:D,"Bank_Cash")</f>
        <v>0</v>
      </c>
      <c r="F31" s="36" t="n">
        <f aca="false">SUMIFS('Daily Transactions'!C:C,'Daily Transactions'!A:A,$A31,'Daily Transactions'!B:B,"&lt;&gt;Sales",'Daily Transactions'!D:D,"Bank")</f>
        <v>10964</v>
      </c>
      <c r="G31" s="36" t="n">
        <f aca="false">B31-C31</f>
        <v>6055</v>
      </c>
      <c r="H31" s="36" t="n">
        <f aca="false">J30</f>
        <v>5550</v>
      </c>
      <c r="I31" s="36" t="n">
        <f aca="false">SUMIFS('Daily Transactions'!C:C,'Daily Transactions'!A:A,$A31,'Daily Transactions'!B:B,"Sales",'Daily Transactions'!D:D,"Cash")</f>
        <v>2415</v>
      </c>
      <c r="J31" s="36" t="n">
        <f aca="false">(H31+I31)-(D31+E31)</f>
        <v>6650</v>
      </c>
      <c r="K31" s="8"/>
      <c r="L31" s="8" t="n">
        <f aca="false">SUMIFS('Daily Transactions'!C:C,'Daily Transactions'!A:A,$A31,'Daily Transactions'!B:B,"Cash Shortage",'Daily Transactions'!D:D,"Cash")</f>
        <v>0</v>
      </c>
      <c r="M31" s="8"/>
    </row>
    <row r="32" customFormat="false" ht="15.75" hidden="false" customHeight="true" outlineLevel="0" collapsed="false">
      <c r="A32" s="35" t="n">
        <f aca="false">A31+1</f>
        <v>45686</v>
      </c>
      <c r="B32" s="36" t="n">
        <f aca="false">SUMIFS('Daily Transactions'!C:C,'Daily Transactions'!A:A,$A32,'Daily Transactions'!B:B,"Sales")</f>
        <v>17427</v>
      </c>
      <c r="C32" s="36" t="n">
        <f aca="false">SUMIFS('Daily Transactions'!C:C,'Daily Transactions'!A:A,$A32,'Daily Transactions'!B:B,"&lt;&gt;Sales")</f>
        <v>12536</v>
      </c>
      <c r="D32" s="36" t="n">
        <f aca="false">SUMIFS('Daily Transactions'!C:C,'Daily Transactions'!A:A,$A32,'Daily Transactions'!B:B,"&lt;&gt;Sales",'Daily Transactions'!D:D,"Cash")</f>
        <v>2660</v>
      </c>
      <c r="E32" s="36" t="n">
        <f aca="false">SUMIFS('Daily Transactions'!C:C,'Daily Transactions'!A:A,$A32,'Daily Transactions'!B:B,"&lt;&gt;Sales",'Daily Transactions'!D:D,"Bank_Cash")</f>
        <v>100</v>
      </c>
      <c r="F32" s="36" t="n">
        <f aca="false">SUMIFS('Daily Transactions'!C:C,'Daily Transactions'!A:A,$A32,'Daily Transactions'!B:B,"&lt;&gt;Sales",'Daily Transactions'!D:D,"Bank")</f>
        <v>9776</v>
      </c>
      <c r="G32" s="36" t="n">
        <f aca="false">B32-C32</f>
        <v>4891</v>
      </c>
      <c r="H32" s="36" t="n">
        <f aca="false">J31</f>
        <v>6650</v>
      </c>
      <c r="I32" s="36" t="n">
        <f aca="false">SUMIFS('Daily Transactions'!C:C,'Daily Transactions'!A:A,$A32,'Daily Transactions'!B:B,"Sales",'Daily Transactions'!D:D,"Cash")</f>
        <v>2710</v>
      </c>
      <c r="J32" s="36" t="n">
        <f aca="false">(H32+I32)-(D32+E32)</f>
        <v>6600</v>
      </c>
      <c r="K32" s="8"/>
      <c r="L32" s="8" t="n">
        <f aca="false">SUMIFS('Daily Transactions'!C:C,'Daily Transactions'!A:A,$A32,'Daily Transactions'!B:B,"Cash Shortage",'Daily Transactions'!D:D,"Cash")</f>
        <v>0</v>
      </c>
      <c r="M32" s="8"/>
    </row>
    <row r="33" customFormat="false" ht="15.75" hidden="false" customHeight="true" outlineLevel="0" collapsed="false">
      <c r="A33" s="35" t="n">
        <f aca="false">A32+1</f>
        <v>45687</v>
      </c>
      <c r="B33" s="36" t="n">
        <f aca="false">SUMIFS('Daily Transactions'!C:C,'Daily Transactions'!A:A,$A33,'Daily Transactions'!B:B,"Sales")</f>
        <v>18440</v>
      </c>
      <c r="C33" s="36" t="n">
        <f aca="false">SUMIFS('Daily Transactions'!C:C,'Daily Transactions'!A:A,$A33,'Daily Transactions'!B:B,"&lt;&gt;Sales")</f>
        <v>21294</v>
      </c>
      <c r="D33" s="36" t="n">
        <f aca="false">SUMIFS('Daily Transactions'!C:C,'Daily Transactions'!A:A,$A33,'Daily Transactions'!B:B,"&lt;&gt;Sales",'Daily Transactions'!D:D,"Cash")</f>
        <v>100</v>
      </c>
      <c r="E33" s="36" t="n">
        <f aca="false">SUMIFS('Daily Transactions'!C:C,'Daily Transactions'!A:A,$A33,'Daily Transactions'!B:B,"&lt;&gt;Sales",'Daily Transactions'!D:D,"Bank_Cash")</f>
        <v>2000</v>
      </c>
      <c r="F33" s="36" t="n">
        <f aca="false">SUMIFS('Daily Transactions'!C:C,'Daily Transactions'!A:A,$A33,'Daily Transactions'!B:B,"&lt;&gt;Sales",'Daily Transactions'!D:D,"Bank")</f>
        <v>19194</v>
      </c>
      <c r="G33" s="36" t="n">
        <f aca="false">B33-C33</f>
        <v>-2854</v>
      </c>
      <c r="H33" s="36" t="n">
        <f aca="false">J32</f>
        <v>6600</v>
      </c>
      <c r="I33" s="36" t="n">
        <f aca="false">SUMIFS('Daily Transactions'!C:C,'Daily Transactions'!A:A,$A33,'Daily Transactions'!B:B,"Sales",'Daily Transactions'!D:D,"Cash")</f>
        <v>1700</v>
      </c>
      <c r="J33" s="36" t="n">
        <f aca="false">(H33+I33)-(D33+E33)</f>
        <v>6200</v>
      </c>
      <c r="K33" s="8"/>
      <c r="L33" s="8" t="n">
        <f aca="false">SUMIFS('Daily Transactions'!C:C,'Daily Transactions'!A:A,$A33,'Daily Transactions'!B:B,"Cash Shortage",'Daily Transactions'!D:D,"Cash")</f>
        <v>0</v>
      </c>
      <c r="M33" s="8"/>
    </row>
    <row r="34" customFormat="false" ht="15.75" hidden="false" customHeight="true" outlineLevel="0" collapsed="false">
      <c r="A34" s="35" t="n">
        <f aca="false">A33+1</f>
        <v>45688</v>
      </c>
      <c r="B34" s="36" t="n">
        <f aca="false">SUMIFS('Daily Transactions'!C:C,'Daily Transactions'!A:A,$A34,'Daily Transactions'!B:B,"Sales")</f>
        <v>25378</v>
      </c>
      <c r="C34" s="36" t="n">
        <f aca="false">SUMIFS('Daily Transactions'!C:C,'Daily Transactions'!A:A,$A34,'Daily Transactions'!B:B,"&lt;&gt;Sales")</f>
        <v>30526</v>
      </c>
      <c r="D34" s="36" t="n">
        <f aca="false">SUMIFS('Daily Transactions'!C:C,'Daily Transactions'!A:A,$A34,'Daily Transactions'!B:B,"&lt;&gt;Sales",'Daily Transactions'!D:D,"Cash")</f>
        <v>740</v>
      </c>
      <c r="E34" s="36" t="n">
        <f aca="false">SUMIFS('Daily Transactions'!C:C,'Daily Transactions'!A:A,$A34,'Daily Transactions'!B:B,"&lt;&gt;Sales",'Daily Transactions'!D:D,"Bank_Cash")</f>
        <v>1500</v>
      </c>
      <c r="F34" s="36" t="n">
        <f aca="false">SUMIFS('Daily Transactions'!C:C,'Daily Transactions'!A:A,$A34,'Daily Transactions'!B:B,"&lt;&gt;Sales",'Daily Transactions'!D:D,"Bank")</f>
        <v>28286</v>
      </c>
      <c r="G34" s="36" t="n">
        <f aca="false">B34-C34</f>
        <v>-5148</v>
      </c>
      <c r="H34" s="36" t="n">
        <f aca="false">J33</f>
        <v>6200</v>
      </c>
      <c r="I34" s="36" t="n">
        <f aca="false">SUMIFS('Daily Transactions'!C:C,'Daily Transactions'!A:A,$A34,'Daily Transactions'!B:B,"Sales",'Daily Transactions'!D:D,"Cash")</f>
        <v>1840</v>
      </c>
      <c r="J34" s="36" t="n">
        <f aca="false">(H34+I34)-(D34+E34)</f>
        <v>5800</v>
      </c>
      <c r="K34" s="8"/>
      <c r="L34" s="8" t="n">
        <f aca="false">SUMIFS('Daily Transactions'!C:C,'Daily Transactions'!A:A,$A34,'Daily Transactions'!B:B,"Cash Shortage",'Daily Transactions'!D:D,"Cash")</f>
        <v>0</v>
      </c>
      <c r="M34" s="8"/>
    </row>
    <row r="35" customFormat="false" ht="15.75" hidden="false" customHeight="true" outlineLevel="0" collapsed="false">
      <c r="A35" s="35" t="n">
        <f aca="false">A34+1</f>
        <v>45689</v>
      </c>
      <c r="B35" s="36" t="n">
        <f aca="false">SUMIFS('Daily Transactions'!C:C,'Daily Transactions'!A:A,$A35,'Daily Transactions'!B:B,"Sales")</f>
        <v>27527</v>
      </c>
      <c r="C35" s="36" t="n">
        <f aca="false">SUMIFS('Daily Transactions'!C:C,'Daily Transactions'!A:A,$A35,'Daily Transactions'!B:B,"&lt;&gt;Sales")</f>
        <v>16775</v>
      </c>
      <c r="D35" s="36" t="n">
        <f aca="false">SUMIFS('Daily Transactions'!C:C,'Daily Transactions'!A:A,$A35,'Daily Transactions'!B:B,"&lt;&gt;Sales",'Daily Transactions'!D:D,"Cash")</f>
        <v>4465</v>
      </c>
      <c r="E35" s="36" t="n">
        <f aca="false">SUMIFS('Daily Transactions'!C:C,'Daily Transactions'!A:A,$A35,'Daily Transactions'!B:B,"&lt;&gt;Sales",'Daily Transactions'!D:D,"Bank_Cash")</f>
        <v>0</v>
      </c>
      <c r="F35" s="36" t="n">
        <f aca="false">SUMIFS('Daily Transactions'!C:C,'Daily Transactions'!A:A,$A35,'Daily Transactions'!B:B,"&lt;&gt;Sales",'Daily Transactions'!D:D,"Bank")</f>
        <v>12310</v>
      </c>
      <c r="G35" s="36" t="n">
        <f aca="false">B35-C35</f>
        <v>10752</v>
      </c>
      <c r="H35" s="36" t="n">
        <f aca="false">J34</f>
        <v>5800</v>
      </c>
      <c r="I35" s="36" t="n">
        <f aca="false">SUMIFS('Daily Transactions'!C:C,'Daily Transactions'!A:A,$A35,'Daily Transactions'!B:B,"Sales",'Daily Transactions'!D:D,"Cash")</f>
        <v>5015</v>
      </c>
      <c r="J35" s="36" t="n">
        <f aca="false">(H35+I35)-(D35+E35)</f>
        <v>6350</v>
      </c>
      <c r="K35" s="8"/>
      <c r="L35" s="8" t="n">
        <f aca="false">SUMIFS('Daily Transactions'!C:C,'Daily Transactions'!A:A,$A35,'Daily Transactions'!B:B,"Cash Shortage",'Daily Transactions'!D:D,"Cash")</f>
        <v>0</v>
      </c>
      <c r="M35" s="8"/>
    </row>
    <row r="36" customFormat="false" ht="15.75" hidden="false" customHeight="true" outlineLevel="0" collapsed="false">
      <c r="A36" s="35" t="n">
        <f aca="false">A35+1</f>
        <v>45690</v>
      </c>
      <c r="B36" s="36" t="n">
        <f aca="false">SUMIFS('Daily Transactions'!C:C,'Daily Transactions'!A:A,$A36,'Daily Transactions'!B:B,"Sales")</f>
        <v>35936</v>
      </c>
      <c r="C36" s="36" t="n">
        <f aca="false">SUMIFS('Daily Transactions'!C:C,'Daily Transactions'!A:A,$A36,'Daily Transactions'!B:B,"&lt;&gt;Sales")</f>
        <v>29138</v>
      </c>
      <c r="D36" s="36" t="n">
        <f aca="false">SUMIFS('Daily Transactions'!C:C,'Daily Transactions'!A:A,$A36,'Daily Transactions'!B:B,"&lt;&gt;Sales",'Daily Transactions'!D:D,"Cash")</f>
        <v>2540</v>
      </c>
      <c r="E36" s="36" t="n">
        <f aca="false">SUMIFS('Daily Transactions'!C:C,'Daily Transactions'!A:A,$A36,'Daily Transactions'!B:B,"&lt;&gt;Sales",'Daily Transactions'!D:D,"Bank_Cash")</f>
        <v>3500</v>
      </c>
      <c r="F36" s="36" t="n">
        <f aca="false">SUMIFS('Daily Transactions'!C:C,'Daily Transactions'!A:A,$A36,'Daily Transactions'!B:B,"&lt;&gt;Sales",'Daily Transactions'!D:D,"Bank")</f>
        <v>23098</v>
      </c>
      <c r="G36" s="36" t="n">
        <f aca="false">B36-C36</f>
        <v>6798</v>
      </c>
      <c r="H36" s="36" t="n">
        <f aca="false">J35</f>
        <v>6350</v>
      </c>
      <c r="I36" s="36" t="n">
        <f aca="false">SUMIFS('Daily Transactions'!C:C,'Daily Transactions'!A:A,$A36,'Daily Transactions'!B:B,"Sales",'Daily Transactions'!D:D,"Cash")</f>
        <v>3340</v>
      </c>
      <c r="J36" s="36" t="n">
        <f aca="false">(H36+I36)-(D36+E36)</f>
        <v>3650</v>
      </c>
      <c r="K36" s="8"/>
      <c r="L36" s="8" t="n">
        <f aca="false">SUMIFS('Daily Transactions'!C:C,'Daily Transactions'!A:A,$A36,'Daily Transactions'!B:B,"Cash Shortage",'Daily Transactions'!D:D,"Cash")</f>
        <v>0</v>
      </c>
      <c r="M36" s="8"/>
    </row>
    <row r="37" customFormat="false" ht="15.75" hidden="false" customHeight="true" outlineLevel="0" collapsed="false">
      <c r="A37" s="35" t="n">
        <f aca="false">A36+1</f>
        <v>45691</v>
      </c>
      <c r="B37" s="36" t="n">
        <f aca="false">SUMIFS('Daily Transactions'!C:C,'Daily Transactions'!A:A,$A37,'Daily Transactions'!B:B,"Sales")</f>
        <v>22468</v>
      </c>
      <c r="C37" s="36" t="n">
        <f aca="false">SUMIFS('Daily Transactions'!C:C,'Daily Transactions'!A:A,$A37,'Daily Transactions'!B:B,"&lt;&gt;Sales")</f>
        <v>26948</v>
      </c>
      <c r="D37" s="36" t="n">
        <f aca="false">SUMIFS('Daily Transactions'!C:C,'Daily Transactions'!A:A,$A37,'Daily Transactions'!B:B,"&lt;&gt;Sales",'Daily Transactions'!D:D,"Cash")</f>
        <v>2915</v>
      </c>
      <c r="E37" s="36" t="n">
        <f aca="false">SUMIFS('Daily Transactions'!C:C,'Daily Transactions'!A:A,$A37,'Daily Transactions'!B:B,"&lt;&gt;Sales",'Daily Transactions'!D:D,"Bank_Cash")</f>
        <v>0</v>
      </c>
      <c r="F37" s="36" t="n">
        <f aca="false">SUMIFS('Daily Transactions'!C:C,'Daily Transactions'!A:A,$A37,'Daily Transactions'!B:B,"&lt;&gt;Sales",'Daily Transactions'!D:D,"Bank")</f>
        <v>24033</v>
      </c>
      <c r="G37" s="36" t="n">
        <f aca="false">B37-C37</f>
        <v>-4480</v>
      </c>
      <c r="H37" s="36" t="n">
        <f aca="false">J36</f>
        <v>3650</v>
      </c>
      <c r="I37" s="36" t="n">
        <f aca="false">SUMIFS('Daily Transactions'!C:C,'Daily Transactions'!A:A,$A37,'Daily Transactions'!B:B,"Sales",'Daily Transactions'!D:D,"Cash")</f>
        <v>3065</v>
      </c>
      <c r="J37" s="36" t="n">
        <f aca="false">(H37+I37)-(D37+E37)</f>
        <v>3800</v>
      </c>
      <c r="K37" s="8"/>
      <c r="L37" s="8" t="n">
        <f aca="false">SUMIFS('Daily Transactions'!C:C,'Daily Transactions'!A:A,$A37,'Daily Transactions'!B:B,"Cash Shortage",'Daily Transactions'!D:D,"Cash")</f>
        <v>0</v>
      </c>
      <c r="M37" s="8"/>
    </row>
    <row r="38" customFormat="false" ht="15.75" hidden="false" customHeight="true" outlineLevel="0" collapsed="false">
      <c r="A38" s="35" t="n">
        <f aca="false">A37+1</f>
        <v>45692</v>
      </c>
      <c r="B38" s="36" t="n">
        <f aca="false">SUMIFS('Daily Transactions'!C:C,'Daily Transactions'!A:A,$A38,'Daily Transactions'!B:B,"Sales")</f>
        <v>13710</v>
      </c>
      <c r="C38" s="36" t="n">
        <f aca="false">SUMIFS('Daily Transactions'!C:C,'Daily Transactions'!A:A,$A38,'Daily Transactions'!B:B,"&lt;&gt;Sales")</f>
        <v>6896</v>
      </c>
      <c r="D38" s="36" t="n">
        <f aca="false">SUMIFS('Daily Transactions'!C:C,'Daily Transactions'!A:A,$A38,'Daily Transactions'!B:B,"&lt;&gt;Sales",'Daily Transactions'!D:D,"Cash")</f>
        <v>968</v>
      </c>
      <c r="E38" s="36" t="n">
        <f aca="false">SUMIFS('Daily Transactions'!C:C,'Daily Transactions'!A:A,$A38,'Daily Transactions'!B:B,"&lt;&gt;Sales",'Daily Transactions'!D:D,"Bank_Cash")</f>
        <v>0</v>
      </c>
      <c r="F38" s="36" t="n">
        <f aca="false">SUMIFS('Daily Transactions'!C:C,'Daily Transactions'!A:A,$A38,'Daily Transactions'!B:B,"&lt;&gt;Sales",'Daily Transactions'!D:D,"Bank")</f>
        <v>5928</v>
      </c>
      <c r="G38" s="36" t="n">
        <f aca="false">B38-C38</f>
        <v>6814</v>
      </c>
      <c r="H38" s="36" t="n">
        <f aca="false">J37</f>
        <v>3800</v>
      </c>
      <c r="I38" s="36" t="n">
        <f aca="false">SUMIFS('Daily Transactions'!C:C,'Daily Transactions'!A:A,$A38,'Daily Transactions'!B:B,"Sales",'Daily Transactions'!D:D,"Cash")</f>
        <v>2268</v>
      </c>
      <c r="J38" s="36" t="n">
        <f aca="false">(H38+I38)-(D38+E38)</f>
        <v>5100</v>
      </c>
      <c r="K38" s="8"/>
      <c r="L38" s="8" t="n">
        <f aca="false">SUMIFS('Daily Transactions'!C:C,'Daily Transactions'!A:A,$A38,'Daily Transactions'!B:B,"Cash Shortage",'Daily Transactions'!D:D,"Cash")</f>
        <v>0</v>
      </c>
      <c r="M38" s="8"/>
    </row>
    <row r="39" customFormat="false" ht="15.75" hidden="false" customHeight="true" outlineLevel="0" collapsed="false">
      <c r="A39" s="35" t="n">
        <f aca="false">A38+1</f>
        <v>45693</v>
      </c>
      <c r="B39" s="36" t="n">
        <f aca="false">SUMIFS('Daily Transactions'!C:C,'Daily Transactions'!A:A,$A39,'Daily Transactions'!B:B,"Sales")</f>
        <v>20558</v>
      </c>
      <c r="C39" s="36" t="n">
        <f aca="false">SUMIFS('Daily Transactions'!C:C,'Daily Transactions'!A:A,$A39,'Daily Transactions'!B:B,"&lt;&gt;Sales")</f>
        <v>12027</v>
      </c>
      <c r="D39" s="36" t="n">
        <f aca="false">SUMIFS('Daily Transactions'!C:C,'Daily Transactions'!A:A,$A39,'Daily Transactions'!B:B,"&lt;&gt;Sales",'Daily Transactions'!D:D,"Cash")</f>
        <v>540</v>
      </c>
      <c r="E39" s="36" t="n">
        <f aca="false">SUMIFS('Daily Transactions'!C:C,'Daily Transactions'!A:A,$A39,'Daily Transactions'!B:B,"&lt;&gt;Sales",'Daily Transactions'!D:D,"Bank_Cash")</f>
        <v>5000</v>
      </c>
      <c r="F39" s="36" t="n">
        <f aca="false">SUMIFS('Daily Transactions'!C:C,'Daily Transactions'!A:A,$A39,'Daily Transactions'!B:B,"&lt;&gt;Sales",'Daily Transactions'!D:D,"Bank")</f>
        <v>6487</v>
      </c>
      <c r="G39" s="8" t="n">
        <f aca="false">B39-C39</f>
        <v>8531</v>
      </c>
      <c r="H39" s="36" t="n">
        <f aca="false">J38</f>
        <v>5100</v>
      </c>
      <c r="I39" s="36" t="n">
        <f aca="false">SUMIFS('Daily Transactions'!C:C,'Daily Transactions'!A:A,$A39,'Daily Transactions'!B:B,"Sales",'Daily Transactions'!D:D,"Cash")</f>
        <v>2390</v>
      </c>
      <c r="J39" s="36" t="n">
        <f aca="false">(H39+I39)-(D39+E39)</f>
        <v>1950</v>
      </c>
      <c r="K39" s="8"/>
      <c r="L39" s="8" t="n">
        <f aca="false">SUMIFS('Daily Transactions'!C:C,'Daily Transactions'!A:A,$A39,'Daily Transactions'!B:B,"Cash Shortage",'Daily Transactions'!D:D,"Cash")</f>
        <v>0</v>
      </c>
      <c r="M39" s="8"/>
    </row>
    <row r="40" customFormat="false" ht="15.75" hidden="false" customHeight="true" outlineLevel="0" collapsed="false">
      <c r="A40" s="35" t="n">
        <f aca="false">A39+1</f>
        <v>45694</v>
      </c>
      <c r="B40" s="36" t="n">
        <f aca="false">SUMIFS('Daily Transactions'!C:C,'Daily Transactions'!A:A,$A40,'Daily Transactions'!B:B,"Sales")</f>
        <v>21634</v>
      </c>
      <c r="C40" s="36" t="n">
        <f aca="false">SUMIFS('Daily Transactions'!C:C,'Daily Transactions'!A:A,$A40,'Daily Transactions'!B:B,"&lt;&gt;Sales")</f>
        <v>11811</v>
      </c>
      <c r="D40" s="36" t="n">
        <f aca="false">SUMIFS('Daily Transactions'!C:C,'Daily Transactions'!A:A,$A40,'Daily Transactions'!B:B,"&lt;&gt;Sales",'Daily Transactions'!D:D,"Cash")</f>
        <v>1050</v>
      </c>
      <c r="E40" s="36" t="n">
        <f aca="false">SUMIFS('Daily Transactions'!C:C,'Daily Transactions'!A:A,$A40,'Daily Transactions'!B:B,"&lt;&gt;Sales",'Daily Transactions'!D:D,"Bank_Cash")</f>
        <v>0</v>
      </c>
      <c r="F40" s="36" t="n">
        <f aca="false">SUMIFS('Daily Transactions'!C:C,'Daily Transactions'!A:A,$A40,'Daily Transactions'!B:B,"&lt;&gt;Sales",'Daily Transactions'!D:D,"Bank")</f>
        <v>10761</v>
      </c>
      <c r="G40" s="8" t="n">
        <f aca="false">B40-C40</f>
        <v>9823</v>
      </c>
      <c r="H40" s="36" t="n">
        <f aca="false">J39</f>
        <v>1950</v>
      </c>
      <c r="I40" s="36" t="n">
        <f aca="false">SUMIFS('Daily Transactions'!C:C,'Daily Transactions'!A:A,$A40,'Daily Transactions'!B:B,"Sales",'Daily Transactions'!D:D,"Cash")</f>
        <v>3600</v>
      </c>
      <c r="J40" s="36" t="n">
        <f aca="false">(H40+I40)-(D40+E40)</f>
        <v>4500</v>
      </c>
      <c r="K40" s="8"/>
      <c r="L40" s="8" t="n">
        <f aca="false">SUMIFS('Daily Transactions'!C:C,'Daily Transactions'!A:A,$A40,'Daily Transactions'!B:B,"Cash Shortage",'Daily Transactions'!D:D,"Cash")</f>
        <v>0</v>
      </c>
      <c r="M40" s="8"/>
    </row>
    <row r="41" customFormat="false" ht="15.75" hidden="false" customHeight="true" outlineLevel="0" collapsed="false">
      <c r="A41" s="35" t="n">
        <f aca="false">A40+1</f>
        <v>45695</v>
      </c>
      <c r="B41" s="8" t="n">
        <f aca="false">SUMIFS('Daily Transactions'!C:C,'Daily Transactions'!A:A,$A41,'Daily Transactions'!B:B,"Sales")</f>
        <v>30489</v>
      </c>
      <c r="C41" s="36" t="n">
        <f aca="false">SUMIFS('Daily Transactions'!C:C,'Daily Transactions'!A:A,$A41,'Daily Transactions'!B:B,"&lt;&gt;Sales")</f>
        <v>6883</v>
      </c>
      <c r="D41" s="36" t="n">
        <f aca="false">SUMIFS('Daily Transactions'!C:C,'Daily Transactions'!A:A,$A41,'Daily Transactions'!B:B,"&lt;&gt;Sales",'Daily Transactions'!D:D,"Cash")</f>
        <v>1928</v>
      </c>
      <c r="E41" s="36" t="n">
        <f aca="false">SUMIFS('Daily Transactions'!C:C,'Daily Transactions'!A:A,$A41,'Daily Transactions'!B:B,"&lt;&gt;Sales",'Daily Transactions'!D:D,"Bank_Cash")</f>
        <v>0</v>
      </c>
      <c r="F41" s="36" t="n">
        <f aca="false">SUMIFS('Daily Transactions'!C:C,'Daily Transactions'!A:A,$A41,'Daily Transactions'!B:B,"&lt;&gt;Sales",'Daily Transactions'!D:D,"Bank")</f>
        <v>4955</v>
      </c>
      <c r="G41" s="8" t="n">
        <f aca="false">B41-C41</f>
        <v>23606</v>
      </c>
      <c r="H41" s="36" t="n">
        <f aca="false">J40</f>
        <v>4500</v>
      </c>
      <c r="I41" s="36" t="n">
        <f aca="false">SUMIFS('Daily Transactions'!C:C,'Daily Transactions'!A:A,$A41,'Daily Transactions'!B:B,"Sales",'Daily Transactions'!D:D,"Cash")</f>
        <v>2160</v>
      </c>
      <c r="J41" s="36" t="n">
        <f aca="false">(H41+I41)-(D41+E41)</f>
        <v>4732</v>
      </c>
      <c r="K41" s="8"/>
      <c r="L41" s="8" t="n">
        <f aca="false">SUMIFS('Daily Transactions'!C:C,'Daily Transactions'!A:A,$A41,'Daily Transactions'!B:B,"Cash Shortage",'Daily Transactions'!D:D,"Cash")</f>
        <v>0</v>
      </c>
      <c r="M41" s="8"/>
    </row>
    <row r="42" customFormat="false" ht="15.75" hidden="false" customHeight="true" outlineLevel="0" collapsed="false">
      <c r="A42" s="35" t="n">
        <f aca="false">A41+1</f>
        <v>45696</v>
      </c>
      <c r="B42" s="36" t="n">
        <f aca="false">SUMIFS('Daily Transactions'!C:C,'Daily Transactions'!A:A,$A42,'Daily Transactions'!B:B,"Sales")</f>
        <v>28095</v>
      </c>
      <c r="C42" s="36" t="n">
        <f aca="false">SUMIFS('Daily Transactions'!C:C,'Daily Transactions'!A:A,$A42,'Daily Transactions'!B:B,"&lt;&gt;Sales")</f>
        <v>13340</v>
      </c>
      <c r="D42" s="36" t="n">
        <f aca="false">SUMIFS('Daily Transactions'!C:C,'Daily Transactions'!A:A,$A42,'Daily Transactions'!B:B,"&lt;&gt;Sales",'Daily Transactions'!D:D,"Cash")</f>
        <v>228</v>
      </c>
      <c r="E42" s="36" t="n">
        <f aca="false">SUMIFS('Daily Transactions'!C:C,'Daily Transactions'!A:A,$A42,'Daily Transactions'!B:B,"&lt;&gt;Sales",'Daily Transactions'!D:D,"Bank_Cash")</f>
        <v>1700</v>
      </c>
      <c r="F42" s="36" t="n">
        <f aca="false">SUMIFS('Daily Transactions'!C:C,'Daily Transactions'!A:A,$A42,'Daily Transactions'!B:B,"&lt;&gt;Sales",'Daily Transactions'!D:D,"Bank")</f>
        <v>11412</v>
      </c>
      <c r="G42" s="8" t="n">
        <f aca="false">B42-C42</f>
        <v>14755</v>
      </c>
      <c r="H42" s="36" t="n">
        <f aca="false">J41</f>
        <v>4732</v>
      </c>
      <c r="I42" s="36" t="n">
        <f aca="false">SUMIFS('Daily Transactions'!C:C,'Daily Transactions'!A:A,$A42,'Daily Transactions'!B:B,"Sales",'Daily Transactions'!D:D,"Cash")</f>
        <v>5260</v>
      </c>
      <c r="J42" s="36" t="n">
        <f aca="false">(H42+I42)-(D42+E42)</f>
        <v>8064</v>
      </c>
      <c r="K42" s="8"/>
      <c r="L42" s="8" t="n">
        <f aca="false">SUMIFS('Daily Transactions'!C:C,'Daily Transactions'!A:A,$A42,'Daily Transactions'!B:B,"Cash Shortage",'Daily Transactions'!D:D,"Cash")</f>
        <v>0</v>
      </c>
      <c r="M42" s="8"/>
    </row>
    <row r="43" customFormat="false" ht="15.75" hidden="false" customHeight="true" outlineLevel="0" collapsed="false">
      <c r="A43" s="35" t="n">
        <f aca="false">A42+1</f>
        <v>45697</v>
      </c>
      <c r="B43" s="36" t="n">
        <f aca="false">SUMIFS('Daily Transactions'!C:C,'Daily Transactions'!A:A,$A43,'Daily Transactions'!B:B,"Sales")</f>
        <v>32085</v>
      </c>
      <c r="C43" s="36" t="n">
        <f aca="false">SUMIFS('Daily Transactions'!C:C,'Daily Transactions'!A:A,$A43,'Daily Transactions'!B:B,"&lt;&gt;Sales")</f>
        <v>15229</v>
      </c>
      <c r="D43" s="36" t="n">
        <f aca="false">SUMIFS('Daily Transactions'!C:C,'Daily Transactions'!A:A,$A43,'Daily Transactions'!B:B,"&lt;&gt;Sales",'Daily Transactions'!D:D,"Cash")</f>
        <v>525</v>
      </c>
      <c r="E43" s="36" t="n">
        <f aca="false">SUMIFS('Daily Transactions'!C:C,'Daily Transactions'!A:A,$A43,'Daily Transactions'!B:B,"&lt;&gt;Sales",'Daily Transactions'!D:D,"Bank_Cash")</f>
        <v>4095</v>
      </c>
      <c r="F43" s="36" t="n">
        <f aca="false">SUMIFS('Daily Transactions'!C:C,'Daily Transactions'!A:A,$A43,'Daily Transactions'!B:B,"&lt;&gt;Sales",'Daily Transactions'!D:D,"Bank")</f>
        <v>10609</v>
      </c>
      <c r="G43" s="36" t="n">
        <f aca="false">B43-C43</f>
        <v>16856</v>
      </c>
      <c r="H43" s="36" t="n">
        <f aca="false">J42</f>
        <v>8064</v>
      </c>
      <c r="I43" s="36" t="n">
        <f aca="false">SUMIFS('Daily Transactions'!C:C,'Daily Transactions'!A:A,$A43,'Daily Transactions'!B:B,"Sales",'Daily Transactions'!D:D,"Cash")</f>
        <v>4599</v>
      </c>
      <c r="J43" s="36" t="n">
        <f aca="false">(H43+I43)-(D43+E43)</f>
        <v>8043</v>
      </c>
      <c r="K43" s="8"/>
      <c r="L43" s="8" t="n">
        <f aca="false">SUMIFS('Daily Transactions'!C:C,'Daily Transactions'!A:A,$A43,'Daily Transactions'!B:B,"Cash Shortage",'Daily Transactions'!D:D,"Cash")</f>
        <v>455</v>
      </c>
      <c r="M43" s="8"/>
    </row>
    <row r="44" customFormat="false" ht="15.75" hidden="false" customHeight="true" outlineLevel="0" collapsed="false">
      <c r="A44" s="35" t="n">
        <f aca="false">A43+1</f>
        <v>45698</v>
      </c>
      <c r="B44" s="8" t="n">
        <f aca="false">SUMIFS('Daily Transactions'!C:C,'Daily Transactions'!A:A,$A44,'Daily Transactions'!B:B,"Sales")</f>
        <v>17139</v>
      </c>
      <c r="C44" s="8" t="n">
        <f aca="false">SUMIFS('Daily Transactions'!C:C,'Daily Transactions'!A:A,$A44,'Daily Transactions'!B:B,"&lt;&gt;Sales")</f>
        <v>18326</v>
      </c>
      <c r="D44" s="8" t="n">
        <f aca="false">SUMIFS('Daily Transactions'!C:C,'Daily Transactions'!A:A,$A44,'Daily Transactions'!B:B,"&lt;&gt;Sales",'Daily Transactions'!D:D,"Cash")</f>
        <v>30</v>
      </c>
      <c r="E44" s="8" t="n">
        <f aca="false">SUMIFS('Daily Transactions'!C:C,'Daily Transactions'!A:A,$A44,'Daily Transactions'!B:B,"&lt;&gt;Sales",'Daily Transactions'!D:D,"Bank_Cash")</f>
        <v>7835</v>
      </c>
      <c r="F44" s="8" t="n">
        <f aca="false">SUMIFS('Daily Transactions'!C:C,'Daily Transactions'!A:A,$A44,'Daily Transactions'!B:B,"&lt;&gt;Sales",'Daily Transactions'!D:D,"Bank")</f>
        <v>10461</v>
      </c>
      <c r="G44" s="8" t="n">
        <f aca="false">B44-C44</f>
        <v>-1187</v>
      </c>
      <c r="H44" s="8" t="n">
        <f aca="false">J43</f>
        <v>8043</v>
      </c>
      <c r="I44" s="8" t="n">
        <f aca="false">SUMIFS('Daily Transactions'!C:C,'Daily Transactions'!A:A,$A44,'Daily Transactions'!B:B,"Sales",'Daily Transactions'!D:D,"Cash")</f>
        <v>3645</v>
      </c>
      <c r="J44" s="8" t="n">
        <f aca="false">(H44+I44)-(D44+E44)</f>
        <v>3823</v>
      </c>
      <c r="K44" s="8"/>
      <c r="L44" s="8" t="n">
        <f aca="false">SUMIFS('Daily Transactions'!C:C,'Daily Transactions'!A:A,$A44,'Daily Transactions'!B:B,"Cash Shortage",'Daily Transactions'!D:D,"Cash")</f>
        <v>0</v>
      </c>
      <c r="M44" s="8"/>
    </row>
    <row r="45" customFormat="false" ht="15.75" hidden="false" customHeight="true" outlineLevel="0" collapsed="false">
      <c r="A45" s="35" t="n">
        <f aca="false">A44+1</f>
        <v>45699</v>
      </c>
      <c r="B45" s="8" t="n">
        <f aca="false">SUMIFS('Daily Transactions'!C:C,'Daily Transactions'!A:A,$A45,'Daily Transactions'!B:B,"Sales")</f>
        <v>21576</v>
      </c>
      <c r="C45" s="8" t="n">
        <f aca="false">SUMIFS('Daily Transactions'!C:C,'Daily Transactions'!A:A,$A45,'Daily Transactions'!B:B,"&lt;&gt;Sales")</f>
        <v>8729</v>
      </c>
      <c r="D45" s="8" t="n">
        <f aca="false">SUMIFS('Daily Transactions'!C:C,'Daily Transactions'!A:A,$A45,'Daily Transactions'!B:B,"&lt;&gt;Sales",'Daily Transactions'!D:D,"Cash")</f>
        <v>1100</v>
      </c>
      <c r="E45" s="8" t="n">
        <f aca="false">SUMIFS('Daily Transactions'!C:C,'Daily Transactions'!A:A,$A45,'Daily Transactions'!B:B,"&lt;&gt;Sales",'Daily Transactions'!D:D,"Bank_Cash")</f>
        <v>1283</v>
      </c>
      <c r="F45" s="8" t="n">
        <f aca="false">SUMIFS('Daily Transactions'!C:C,'Daily Transactions'!A:A,$A45,'Daily Transactions'!B:B,"&lt;&gt;Sales",'Daily Transactions'!D:D,"Bank")</f>
        <v>6346</v>
      </c>
      <c r="G45" s="8" t="n">
        <f aca="false">B45-C45</f>
        <v>12847</v>
      </c>
      <c r="H45" s="8" t="n">
        <f aca="false">J44</f>
        <v>3823</v>
      </c>
      <c r="I45" s="8" t="n">
        <f aca="false">SUMIFS('Daily Transactions'!C:C,'Daily Transactions'!A:A,$A45,'Daily Transactions'!B:B,"Sales",'Daily Transactions'!D:D,"Cash")</f>
        <v>3210</v>
      </c>
      <c r="J45" s="8" t="n">
        <f aca="false">(H45+I45)-(D45+E45)</f>
        <v>4650</v>
      </c>
      <c r="K45" s="8"/>
      <c r="L45" s="8" t="n">
        <f aca="false">SUMIFS('Daily Transactions'!C:C,'Daily Transactions'!A:A,$A45,'Daily Transactions'!B:B,"Cash Shortage",'Daily Transactions'!D:D,"Cash")</f>
        <v>0</v>
      </c>
      <c r="M45" s="8"/>
    </row>
    <row r="46" customFormat="false" ht="15.75" hidden="false" customHeight="true" outlineLevel="0" collapsed="false">
      <c r="A46" s="35" t="n">
        <f aca="false">A45+1</f>
        <v>45700</v>
      </c>
      <c r="B46" s="8" t="n">
        <f aca="false">SUMIFS('Daily Transactions'!C:C,'Daily Transactions'!A:A,$A46,'Daily Transactions'!B:B,"Sales")</f>
        <v>22853</v>
      </c>
      <c r="C46" s="8" t="n">
        <f aca="false">SUMIFS('Daily Transactions'!C:C,'Daily Transactions'!A:A,$A46,'Daily Transactions'!B:B,"&lt;&gt;Sales")</f>
        <v>8305</v>
      </c>
      <c r="D46" s="8" t="n">
        <f aca="false">SUMIFS('Daily Transactions'!C:C,'Daily Transactions'!A:A,$A46,'Daily Transactions'!B:B,"&lt;&gt;Sales",'Daily Transactions'!D:D,"Cash")</f>
        <v>1950</v>
      </c>
      <c r="E46" s="8" t="n">
        <f aca="false">SUMIFS('Daily Transactions'!C:C,'Daily Transactions'!A:A,$A46,'Daily Transactions'!B:B,"&lt;&gt;Sales",'Daily Transactions'!D:D,"Bank_Cash")</f>
        <v>470</v>
      </c>
      <c r="F46" s="8" t="n">
        <f aca="false">SUMIFS('Daily Transactions'!C:C,'Daily Transactions'!A:A,$A46,'Daily Transactions'!B:B,"&lt;&gt;Sales",'Daily Transactions'!D:D,"Bank")</f>
        <v>5885</v>
      </c>
      <c r="G46" s="8" t="n">
        <f aca="false">B46-C46</f>
        <v>14548</v>
      </c>
      <c r="H46" s="8" t="n">
        <f aca="false">J45</f>
        <v>4650</v>
      </c>
      <c r="I46" s="8" t="n">
        <f aca="false">SUMIFS('Daily Transactions'!C:C,'Daily Transactions'!A:A,$A46,'Daily Transactions'!B:B,"Sales",'Daily Transactions'!D:D,"Cash")</f>
        <v>4148</v>
      </c>
      <c r="J46" s="8" t="n">
        <f aca="false">(H46+I46)-(D46+E46)</f>
        <v>6378</v>
      </c>
      <c r="K46" s="8"/>
      <c r="L46" s="8" t="n">
        <f aca="false">SUMIFS('Daily Transactions'!C:C,'Daily Transactions'!A:A,$A46,'Daily Transactions'!B:B,"Cash Shortage",'Daily Transactions'!D:D,"Cash")</f>
        <v>1940</v>
      </c>
      <c r="M46" s="8"/>
    </row>
    <row r="47" customFormat="false" ht="15.75" hidden="false" customHeight="true" outlineLevel="0" collapsed="false">
      <c r="A47" s="35" t="n">
        <f aca="false">A46+1</f>
        <v>45701</v>
      </c>
      <c r="B47" s="8" t="n">
        <f aca="false">SUMIFS('Daily Transactions'!C:C,'Daily Transactions'!A:A,$A47,'Daily Transactions'!B:B,"Sales")</f>
        <v>14655</v>
      </c>
      <c r="C47" s="8" t="n">
        <f aca="false">SUMIFS('Daily Transactions'!C:C,'Daily Transactions'!A:A,$A47,'Daily Transactions'!B:B,"&lt;&gt;Sales")</f>
        <v>11096</v>
      </c>
      <c r="D47" s="8" t="n">
        <f aca="false">SUMIFS('Daily Transactions'!C:C,'Daily Transactions'!A:A,$A47,'Daily Transactions'!B:B,"&lt;&gt;Sales",'Daily Transactions'!D:D,"Cash")</f>
        <v>20</v>
      </c>
      <c r="E47" s="8" t="n">
        <f aca="false">SUMIFS('Daily Transactions'!C:C,'Daily Transactions'!A:A,$A47,'Daily Transactions'!B:B,"&lt;&gt;Sales",'Daily Transactions'!D:D,"Bank_Cash")</f>
        <v>502</v>
      </c>
      <c r="F47" s="8" t="n">
        <f aca="false">SUMIFS('Daily Transactions'!C:C,'Daily Transactions'!A:A,$A47,'Daily Transactions'!B:B,"&lt;&gt;Sales",'Daily Transactions'!D:D,"Bank")</f>
        <v>10574</v>
      </c>
      <c r="G47" s="8" t="n">
        <f aca="false">B47-C47</f>
        <v>3559</v>
      </c>
      <c r="H47" s="8" t="n">
        <f aca="false">J46</f>
        <v>6378</v>
      </c>
      <c r="I47" s="8" t="n">
        <f aca="false">SUMIFS('Daily Transactions'!C:C,'Daily Transactions'!A:A,$A47,'Daily Transactions'!B:B,"Sales",'Daily Transactions'!D:D,"Cash")</f>
        <v>1800</v>
      </c>
      <c r="J47" s="8" t="n">
        <f aca="false">(H47+I47)-(D47+E47)</f>
        <v>7656</v>
      </c>
      <c r="K47" s="8"/>
      <c r="L47" s="8" t="n">
        <f aca="false">SUMIFS('Daily Transactions'!C:C,'Daily Transactions'!A:A,$A47,'Daily Transactions'!B:B,"Cash Shortage",'Daily Transactions'!D:D,"Cash")</f>
        <v>0</v>
      </c>
      <c r="M47" s="8"/>
    </row>
    <row r="48" customFormat="false" ht="15.75" hidden="false" customHeight="true" outlineLevel="0" collapsed="false">
      <c r="A48" s="35" t="n">
        <f aca="false">A47+1</f>
        <v>45702</v>
      </c>
      <c r="B48" s="8" t="n">
        <f aca="false">SUMIFS('Daily Transactions'!C:C,'Daily Transactions'!A:A,$A48,'Daily Transactions'!B:B,"Sales")</f>
        <v>36988</v>
      </c>
      <c r="C48" s="8" t="n">
        <f aca="false">SUMIFS('Daily Transactions'!C:C,'Daily Transactions'!A:A,$A48,'Daily Transactions'!B:B,"&lt;&gt;Sales")</f>
        <v>6065</v>
      </c>
      <c r="D48" s="8" t="n">
        <f aca="false">SUMIFS('Daily Transactions'!C:C,'Daily Transactions'!A:A,$A48,'Daily Transactions'!B:B,"&lt;&gt;Sales",'Daily Transactions'!D:D,"Cash")</f>
        <v>802</v>
      </c>
      <c r="E48" s="8" t="n">
        <f aca="false">SUMIFS('Daily Transactions'!C:C,'Daily Transactions'!A:A,$A48,'Daily Transactions'!B:B,"&lt;&gt;Sales",'Daily Transactions'!D:D,"Bank_Cash")</f>
        <v>90</v>
      </c>
      <c r="F48" s="8" t="n">
        <f aca="false">SUMIFS('Daily Transactions'!C:C,'Daily Transactions'!A:A,$A48,'Daily Transactions'!B:B,"&lt;&gt;Sales",'Daily Transactions'!D:D,"Bank")</f>
        <v>5173</v>
      </c>
      <c r="G48" s="8" t="n">
        <f aca="false">B48-C48</f>
        <v>30923</v>
      </c>
      <c r="H48" s="8" t="n">
        <f aca="false">J47</f>
        <v>7656</v>
      </c>
      <c r="I48" s="8" t="n">
        <f aca="false">SUMIFS('Daily Transactions'!C:C,'Daily Transactions'!A:A,$A48,'Daily Transactions'!B:B,"Sales",'Daily Transactions'!D:D,"Cash")</f>
        <v>1999</v>
      </c>
      <c r="J48" s="8" t="n">
        <f aca="false">(H48+I48)-(D48+E48)</f>
        <v>8763</v>
      </c>
      <c r="K48" s="8"/>
      <c r="L48" s="8" t="n">
        <f aca="false">SUMIFS('Daily Transactions'!C:C,'Daily Transactions'!A:A,$A48,'Daily Transactions'!B:B,"Cash Shortage",'Daily Transactions'!D:D,"Cash")</f>
        <v>0</v>
      </c>
      <c r="M48" s="8"/>
    </row>
    <row r="49" customFormat="false" ht="15.75" hidden="false" customHeight="true" outlineLevel="0" collapsed="false">
      <c r="A49" s="35" t="n">
        <f aca="false">A48+1</f>
        <v>45703</v>
      </c>
      <c r="B49" s="8" t="n">
        <f aca="false">SUMIFS('Daily Transactions'!C:C,'Daily Transactions'!A:A,$A49,'Daily Transactions'!B:B,"Sales")</f>
        <v>25390</v>
      </c>
      <c r="C49" s="8" t="n">
        <f aca="false">SUMIFS('Daily Transactions'!C:C,'Daily Transactions'!A:A,$A49,'Daily Transactions'!B:B,"&lt;&gt;Sales")</f>
        <v>10669</v>
      </c>
      <c r="D49" s="8" t="n">
        <f aca="false">SUMIFS('Daily Transactions'!C:C,'Daily Transactions'!A:A,$A49,'Daily Transactions'!B:B,"&lt;&gt;Sales",'Daily Transactions'!D:D,"Cash")</f>
        <v>30</v>
      </c>
      <c r="E49" s="8" t="n">
        <f aca="false">SUMIFS('Daily Transactions'!C:C,'Daily Transactions'!A:A,$A49,'Daily Transactions'!B:B,"&lt;&gt;Sales",'Daily Transactions'!D:D,"Bank_Cash")</f>
        <v>3791</v>
      </c>
      <c r="F49" s="8" t="n">
        <f aca="false">SUMIFS('Daily Transactions'!C:C,'Daily Transactions'!A:A,$A49,'Daily Transactions'!B:B,"&lt;&gt;Sales",'Daily Transactions'!D:D,"Bank")</f>
        <v>6848</v>
      </c>
      <c r="G49" s="8" t="n">
        <f aca="false">B49-C49</f>
        <v>14721</v>
      </c>
      <c r="H49" s="8" t="n">
        <f aca="false">J48</f>
        <v>8763</v>
      </c>
      <c r="I49" s="8" t="n">
        <f aca="false">SUMIFS('Daily Transactions'!C:C,'Daily Transactions'!A:A,$A49,'Daily Transactions'!B:B,"Sales",'Daily Transactions'!D:D,"Cash")</f>
        <v>5244</v>
      </c>
      <c r="J49" s="8" t="n">
        <f aca="false">(H49+I49)-(D49+E49)</f>
        <v>10186</v>
      </c>
      <c r="K49" s="8" t="n">
        <v>1800</v>
      </c>
      <c r="L49" s="8" t="n">
        <f aca="false">SUMIFS('Daily Transactions'!C:C,'Daily Transactions'!A:A,$A49,'Daily Transactions'!B:B,"Cash Shortage",'Daily Transactions'!D:D,"Cash")</f>
        <v>0</v>
      </c>
      <c r="M49" s="8"/>
    </row>
    <row r="50" customFormat="false" ht="15.75" hidden="false" customHeight="true" outlineLevel="0" collapsed="false">
      <c r="A50" s="35" t="n">
        <f aca="false">A49+1</f>
        <v>45704</v>
      </c>
      <c r="B50" s="8" t="n">
        <f aca="false">SUMIFS('Daily Transactions'!C:C,'Daily Transactions'!A:A,$A50,'Daily Transactions'!B:B,"Sales")</f>
        <v>22504</v>
      </c>
      <c r="C50" s="8" t="n">
        <f aca="false">SUMIFS('Daily Transactions'!C:C,'Daily Transactions'!A:A,$A50,'Daily Transactions'!B:B,"&lt;&gt;Sales")</f>
        <v>19751</v>
      </c>
      <c r="D50" s="8" t="n">
        <f aca="false">SUMIFS('Daily Transactions'!C:C,'Daily Transactions'!A:A,$A50,'Daily Transactions'!B:B,"&lt;&gt;Sales",'Daily Transactions'!D:D,"Cash")</f>
        <v>30</v>
      </c>
      <c r="E50" s="8" t="n">
        <f aca="false">SUMIFS('Daily Transactions'!C:C,'Daily Transactions'!A:A,$A50,'Daily Transactions'!B:B,"&lt;&gt;Sales",'Daily Transactions'!D:D,"Bank_Cash")</f>
        <v>2815</v>
      </c>
      <c r="F50" s="8" t="n">
        <f aca="false">SUMIFS('Daily Transactions'!C:C,'Daily Transactions'!A:A,$A50,'Daily Transactions'!B:B,"&lt;&gt;Sales",'Daily Transactions'!D:D,"Bank")</f>
        <v>16906</v>
      </c>
      <c r="G50" s="8" t="n">
        <f aca="false">B50-C50</f>
        <v>2753</v>
      </c>
      <c r="H50" s="8" t="n">
        <f aca="false">J49</f>
        <v>10186</v>
      </c>
      <c r="I50" s="8" t="n">
        <f aca="false">SUMIFS('Daily Transactions'!C:C,'Daily Transactions'!A:A,$A50,'Daily Transactions'!B:B,"Sales",'Daily Transactions'!D:D,"Cash")</f>
        <v>2335</v>
      </c>
      <c r="J50" s="8" t="n">
        <f aca="false">(H50+I50)-(D50+E50)</f>
        <v>9676</v>
      </c>
      <c r="K50" s="8"/>
      <c r="L50" s="8" t="n">
        <f aca="false">SUMIFS('Daily Transactions'!C:C,'Daily Transactions'!A:A,$A50,'Daily Transactions'!B:B,"Cash Shortage",'Daily Transactions'!D:D,"Cash")</f>
        <v>0</v>
      </c>
      <c r="M50" s="8"/>
    </row>
    <row r="51" customFormat="false" ht="15.75" hidden="false" customHeight="true" outlineLevel="0" collapsed="false">
      <c r="A51" s="35" t="n">
        <f aca="false">A50+1</f>
        <v>45705</v>
      </c>
      <c r="B51" s="8" t="n">
        <f aca="false">SUMIFS('Daily Transactions'!C:C,'Daily Transactions'!A:A,$A51,'Daily Transactions'!B:B,"Sales")</f>
        <v>13718</v>
      </c>
      <c r="C51" s="8" t="n">
        <f aca="false">SUMIFS('Daily Transactions'!C:C,'Daily Transactions'!A:A,$A51,'Daily Transactions'!B:B,"&lt;&gt;Sales")</f>
        <v>8120</v>
      </c>
      <c r="D51" s="8" t="n">
        <f aca="false">SUMIFS('Daily Transactions'!C:C,'Daily Transactions'!A:A,$A51,'Daily Transactions'!B:B,"&lt;&gt;Sales",'Daily Transactions'!D:D,"Cash")</f>
        <v>0</v>
      </c>
      <c r="E51" s="8" t="n">
        <f aca="false">SUMIFS('Daily Transactions'!C:C,'Daily Transactions'!A:A,$A51,'Daily Transactions'!B:B,"&lt;&gt;Sales",'Daily Transactions'!D:D,"Bank_Cash")</f>
        <v>4705</v>
      </c>
      <c r="F51" s="8" t="n">
        <f aca="false">SUMIFS('Daily Transactions'!C:C,'Daily Transactions'!A:A,$A51,'Daily Transactions'!B:B,"&lt;&gt;Sales",'Daily Transactions'!D:D,"Bank")</f>
        <v>3415</v>
      </c>
      <c r="G51" s="8" t="n">
        <f aca="false">B51-C51</f>
        <v>5598</v>
      </c>
      <c r="H51" s="8" t="n">
        <f aca="false">J50</f>
        <v>9676</v>
      </c>
      <c r="I51" s="8" t="n">
        <f aca="false">SUMIFS('Daily Transactions'!C:C,'Daily Transactions'!A:A,$A51,'Daily Transactions'!B:B,"Sales",'Daily Transactions'!D:D,"Cash")</f>
        <v>2465</v>
      </c>
      <c r="J51" s="8" t="n">
        <f aca="false">(H51+I51)-(D51+E51)</f>
        <v>7436</v>
      </c>
      <c r="K51" s="8"/>
      <c r="L51" s="8" t="n">
        <f aca="false">SUMIFS('Daily Transactions'!C:C,'Daily Transactions'!A:A,$A51,'Daily Transactions'!B:B,"Cash Shortage",'Daily Transactions'!D:D,"Cash")</f>
        <v>0</v>
      </c>
      <c r="M51" s="8"/>
    </row>
    <row r="52" customFormat="false" ht="15.75" hidden="false" customHeight="true" outlineLevel="0" collapsed="false">
      <c r="A52" s="35" t="n">
        <f aca="false">A51+1</f>
        <v>45706</v>
      </c>
      <c r="B52" s="8" t="n">
        <f aca="false">SUMIFS('Daily Transactions'!C:C,'Daily Transactions'!A:A,$A52,'Daily Transactions'!B:B,"Sales")</f>
        <v>21864</v>
      </c>
      <c r="C52" s="8" t="n">
        <f aca="false">SUMIFS('Daily Transactions'!C:C,'Daily Transactions'!A:A,$A52,'Daily Transactions'!B:B,"&lt;&gt;Sales")</f>
        <v>4597</v>
      </c>
      <c r="D52" s="8" t="n">
        <f aca="false">SUMIFS('Daily Transactions'!C:C,'Daily Transactions'!A:A,$A52,'Daily Transactions'!B:B,"&lt;&gt;Sales",'Daily Transactions'!D:D,"Cash")</f>
        <v>15</v>
      </c>
      <c r="E52" s="8" t="n">
        <f aca="false">SUMIFS('Daily Transactions'!C:C,'Daily Transactions'!A:A,$A52,'Daily Transactions'!B:B,"&lt;&gt;Sales",'Daily Transactions'!D:D,"Bank_Cash")</f>
        <v>135</v>
      </c>
      <c r="F52" s="8" t="n">
        <f aca="false">SUMIFS('Daily Transactions'!C:C,'Daily Transactions'!A:A,$A52,'Daily Transactions'!B:B,"&lt;&gt;Sales",'Daily Transactions'!D:D,"Bank")</f>
        <v>4447</v>
      </c>
      <c r="G52" s="8" t="n">
        <f aca="false">B52-C52</f>
        <v>17267</v>
      </c>
      <c r="H52" s="8" t="n">
        <f aca="false">J51</f>
        <v>7436</v>
      </c>
      <c r="I52" s="8" t="n">
        <f aca="false">SUMIFS('Daily Transactions'!C:C,'Daily Transactions'!A:A,$A52,'Daily Transactions'!B:B,"Sales",'Daily Transactions'!D:D,"Cash")</f>
        <v>1215</v>
      </c>
      <c r="J52" s="8" t="n">
        <f aca="false">(H52+I52)-(D52+E52)</f>
        <v>8501</v>
      </c>
      <c r="K52" s="8"/>
      <c r="L52" s="8" t="n">
        <f aca="false">SUMIFS('Daily Transactions'!C:C,'Daily Transactions'!A:A,$A52,'Daily Transactions'!B:B,"Cash Shortage",'Daily Transactions'!D:D,"Cash")</f>
        <v>0</v>
      </c>
      <c r="M52" s="8"/>
    </row>
    <row r="53" customFormat="false" ht="15.75" hidden="false" customHeight="true" outlineLevel="0" collapsed="false">
      <c r="A53" s="35" t="n">
        <f aca="false">A52+1</f>
        <v>45707</v>
      </c>
      <c r="B53" s="8" t="n">
        <f aca="false">SUMIFS('Daily Transactions'!C:C,'Daily Transactions'!A:A,$A53,'Daily Transactions'!B:B,"Sales")</f>
        <v>18724</v>
      </c>
      <c r="C53" s="8" t="n">
        <f aca="false">SUMIFS('Daily Transactions'!C:C,'Daily Transactions'!A:A,$A53,'Daily Transactions'!B:B,"&lt;&gt;Sales")</f>
        <v>13749</v>
      </c>
      <c r="D53" s="8" t="n">
        <f aca="false">SUMIFS('Daily Transactions'!C:C,'Daily Transactions'!A:A,$A53,'Daily Transactions'!B:B,"&lt;&gt;Sales",'Daily Transactions'!D:D,"Cash")</f>
        <v>40</v>
      </c>
      <c r="E53" s="8" t="n">
        <f aca="false">SUMIFS('Daily Transactions'!C:C,'Daily Transactions'!A:A,$A53,'Daily Transactions'!B:B,"&lt;&gt;Sales",'Daily Transactions'!D:D,"Bank_Cash")</f>
        <v>5505</v>
      </c>
      <c r="F53" s="8" t="n">
        <f aca="false">SUMIFS('Daily Transactions'!C:C,'Daily Transactions'!A:A,$A53,'Daily Transactions'!B:B,"&lt;&gt;Sales",'Daily Transactions'!D:D,"Bank")</f>
        <v>8204</v>
      </c>
      <c r="G53" s="8" t="n">
        <f aca="false">B53-C53</f>
        <v>4975</v>
      </c>
      <c r="H53" s="8" t="n">
        <f aca="false">J52</f>
        <v>8501</v>
      </c>
      <c r="I53" s="8" t="n">
        <f aca="false">SUMIFS('Daily Transactions'!C:C,'Daily Transactions'!A:A,$A53,'Daily Transactions'!B:B,"Sales",'Daily Transactions'!D:D,"Cash")</f>
        <v>2677</v>
      </c>
      <c r="J53" s="8" t="n">
        <f aca="false">(H53+I53)-(D53+E53)</f>
        <v>5633</v>
      </c>
      <c r="K53" s="8"/>
      <c r="L53" s="8" t="n">
        <f aca="false">SUMIFS('Daily Transactions'!C:C,'Daily Transactions'!A:A,$A53,'Daily Transactions'!B:B,"Cash Shortage",'Daily Transactions'!D:D,"Cash")</f>
        <v>0</v>
      </c>
      <c r="M53" s="8"/>
    </row>
    <row r="54" customFormat="false" ht="15.75" hidden="false" customHeight="true" outlineLevel="0" collapsed="false">
      <c r="A54" s="35" t="n">
        <f aca="false">A53+1</f>
        <v>45708</v>
      </c>
      <c r="B54" s="8" t="n">
        <f aca="false">SUMIFS('Daily Transactions'!C:C,'Daily Transactions'!A:A,$A54,'Daily Transactions'!B:B,"Sales")</f>
        <v>21748</v>
      </c>
      <c r="C54" s="8" t="n">
        <f aca="false">SUMIFS('Daily Transactions'!C:C,'Daily Transactions'!A:A,$A54,'Daily Transactions'!B:B,"&lt;&gt;Sales")</f>
        <v>7916</v>
      </c>
      <c r="D54" s="8" t="n">
        <f aca="false">SUMIFS('Daily Transactions'!C:C,'Daily Transactions'!A:A,$A54,'Daily Transactions'!B:B,"&lt;&gt;Sales",'Daily Transactions'!D:D,"Cash")</f>
        <v>20</v>
      </c>
      <c r="E54" s="8" t="n">
        <f aca="false">SUMIFS('Daily Transactions'!C:C,'Daily Transactions'!A:A,$A54,'Daily Transactions'!B:B,"&lt;&gt;Sales",'Daily Transactions'!D:D,"Bank_Cash")</f>
        <v>2871</v>
      </c>
      <c r="F54" s="8" t="n">
        <f aca="false">SUMIFS('Daily Transactions'!C:C,'Daily Transactions'!A:A,$A54,'Daily Transactions'!B:B,"&lt;&gt;Sales",'Daily Transactions'!D:D,"Bank")</f>
        <v>5025</v>
      </c>
      <c r="G54" s="8" t="n">
        <f aca="false">B54-C54</f>
        <v>13832</v>
      </c>
      <c r="H54" s="8" t="n">
        <f aca="false">J53</f>
        <v>5633</v>
      </c>
      <c r="I54" s="8" t="n">
        <f aca="false">SUMIFS('Daily Transactions'!C:C,'Daily Transactions'!A:A,$A54,'Daily Transactions'!B:B,"Sales",'Daily Transactions'!D:D,"Cash")</f>
        <v>4700</v>
      </c>
      <c r="J54" s="8" t="n">
        <f aca="false">(H54+I54)-(D54+E54)</f>
        <v>7442</v>
      </c>
      <c r="K54" s="8"/>
      <c r="L54" s="8" t="n">
        <f aca="false">SUMIFS('Daily Transactions'!C:C,'Daily Transactions'!A:A,$A54,'Daily Transactions'!B:B,"Cash Shortage",'Daily Transactions'!D:D,"Cash")</f>
        <v>0</v>
      </c>
      <c r="M54" s="8"/>
    </row>
    <row r="55" customFormat="false" ht="15.75" hidden="false" customHeight="true" outlineLevel="0" collapsed="false">
      <c r="A55" s="35" t="n">
        <f aca="false">A54+1</f>
        <v>45709</v>
      </c>
      <c r="B55" s="8" t="n">
        <f aca="false">SUMIFS('Daily Transactions'!C:C,'Daily Transactions'!A:A,$A55,'Daily Transactions'!B:B,"Sales")</f>
        <v>27657</v>
      </c>
      <c r="C55" s="8" t="n">
        <f aca="false">SUMIFS('Daily Transactions'!C:C,'Daily Transactions'!A:A,$A55,'Daily Transactions'!B:B,"&lt;&gt;Sales")</f>
        <v>13533</v>
      </c>
      <c r="D55" s="8" t="n">
        <f aca="false">SUMIFS('Daily Transactions'!C:C,'Daily Transactions'!A:A,$A55,'Daily Transactions'!B:B,"&lt;&gt;Sales",'Daily Transactions'!D:D,"Cash")</f>
        <v>50</v>
      </c>
      <c r="E55" s="8" t="n">
        <f aca="false">SUMIFS('Daily Transactions'!C:C,'Daily Transactions'!A:A,$A55,'Daily Transactions'!B:B,"&lt;&gt;Sales",'Daily Transactions'!D:D,"Bank_Cash")</f>
        <v>2530</v>
      </c>
      <c r="F55" s="8" t="n">
        <f aca="false">SUMIFS('Daily Transactions'!C:C,'Daily Transactions'!A:A,$A55,'Daily Transactions'!B:B,"&lt;&gt;Sales",'Daily Transactions'!D:D,"Bank")</f>
        <v>10953</v>
      </c>
      <c r="G55" s="8" t="n">
        <f aca="false">B55-C55</f>
        <v>14124</v>
      </c>
      <c r="H55" s="8" t="n">
        <f aca="false">J54</f>
        <v>7442</v>
      </c>
      <c r="I55" s="8" t="n">
        <f aca="false">SUMIFS('Daily Transactions'!C:C,'Daily Transactions'!A:A,$A55,'Daily Transactions'!B:B,"Sales",'Daily Transactions'!D:D,"Cash")</f>
        <v>1229</v>
      </c>
      <c r="J55" s="8" t="n">
        <f aca="false">(H55+I55)-(D55+E55)</f>
        <v>6091</v>
      </c>
      <c r="K55" s="8"/>
      <c r="L55" s="8" t="n">
        <f aca="false">SUMIFS('Daily Transactions'!C:C,'Daily Transactions'!A:A,$A55,'Daily Transactions'!B:B,"Cash Shortage",'Daily Transactions'!D:D,"Cash")</f>
        <v>0</v>
      </c>
      <c r="M55" s="8"/>
    </row>
    <row r="56" customFormat="false" ht="15.75" hidden="false" customHeight="true" outlineLevel="0" collapsed="false">
      <c r="A56" s="35" t="n">
        <f aca="false">A55+1</f>
        <v>45710</v>
      </c>
      <c r="B56" s="8" t="n">
        <f aca="false">SUMIFS('Daily Transactions'!C:C,'Daily Transactions'!A:A,$A56,'Daily Transactions'!B:B,"Sales")</f>
        <v>24988</v>
      </c>
      <c r="C56" s="8" t="n">
        <f aca="false">SUMIFS('Daily Transactions'!C:C,'Daily Transactions'!A:A,$A56,'Daily Transactions'!B:B,"&lt;&gt;Sales")</f>
        <v>16851</v>
      </c>
      <c r="D56" s="8" t="n">
        <f aca="false">SUMIFS('Daily Transactions'!C:C,'Daily Transactions'!A:A,$A56,'Daily Transactions'!B:B,"&lt;&gt;Sales",'Daily Transactions'!D:D,"Cash")</f>
        <v>2040</v>
      </c>
      <c r="E56" s="8" t="n">
        <f aca="false">SUMIFS('Daily Transactions'!C:C,'Daily Transactions'!A:A,$A56,'Daily Transactions'!B:B,"&lt;&gt;Sales",'Daily Transactions'!D:D,"Bank_Cash")</f>
        <v>3730</v>
      </c>
      <c r="F56" s="8" t="n">
        <f aca="false">SUMIFS('Daily Transactions'!C:C,'Daily Transactions'!A:A,$A56,'Daily Transactions'!B:B,"&lt;&gt;Sales",'Daily Transactions'!D:D,"Bank")</f>
        <v>11081</v>
      </c>
      <c r="G56" s="8" t="n">
        <f aca="false">B56-C56</f>
        <v>8137</v>
      </c>
      <c r="H56" s="8" t="n">
        <f aca="false">J55</f>
        <v>6091</v>
      </c>
      <c r="I56" s="8" t="n">
        <f aca="false">SUMIFS('Daily Transactions'!C:C,'Daily Transactions'!A:A,$A56,'Daily Transactions'!B:B,"Sales",'Daily Transactions'!D:D,"Cash")</f>
        <v>3140</v>
      </c>
      <c r="J56" s="8" t="n">
        <f aca="false">(H56+I56)-(D56+E56)</f>
        <v>3461</v>
      </c>
      <c r="K56" s="8"/>
      <c r="L56" s="8" t="n">
        <f aca="false">SUMIFS('Daily Transactions'!C:C,'Daily Transactions'!A:A,$A56,'Daily Transactions'!B:B,"Cash Shortage",'Daily Transactions'!D:D,"Cash")</f>
        <v>0</v>
      </c>
      <c r="M56" s="8"/>
    </row>
    <row r="57" customFormat="false" ht="15.75" hidden="false" customHeight="true" outlineLevel="0" collapsed="false">
      <c r="A57" s="35" t="n">
        <f aca="false">A56+1</f>
        <v>45711</v>
      </c>
      <c r="B57" s="8" t="n">
        <f aca="false">SUMIFS('Daily Transactions'!C:C,'Daily Transactions'!A:A,$A57,'Daily Transactions'!B:B,"Sales")</f>
        <v>26423</v>
      </c>
      <c r="C57" s="8" t="n">
        <f aca="false">SUMIFS('Daily Transactions'!C:C,'Daily Transactions'!A:A,$A57,'Daily Transactions'!B:B,"&lt;&gt;Sales")</f>
        <v>5841</v>
      </c>
      <c r="D57" s="8" t="n">
        <f aca="false">SUMIFS('Daily Transactions'!C:C,'Daily Transactions'!A:A,$A57,'Daily Transactions'!B:B,"&lt;&gt;Sales",'Daily Transactions'!D:D,"Cash")</f>
        <v>40</v>
      </c>
      <c r="E57" s="8" t="n">
        <f aca="false">SUMIFS('Daily Transactions'!C:C,'Daily Transactions'!A:A,$A57,'Daily Transactions'!B:B,"&lt;&gt;Sales",'Daily Transactions'!D:D,"Bank_Cash")</f>
        <v>1515</v>
      </c>
      <c r="F57" s="8" t="n">
        <f aca="false">SUMIFS('Daily Transactions'!C:C,'Daily Transactions'!A:A,$A57,'Daily Transactions'!B:B,"&lt;&gt;Sales",'Daily Transactions'!D:D,"Bank")</f>
        <v>4286</v>
      </c>
      <c r="G57" s="8" t="n">
        <f aca="false">B57-C57</f>
        <v>20582</v>
      </c>
      <c r="H57" s="8" t="n">
        <f aca="false">J56</f>
        <v>3461</v>
      </c>
      <c r="I57" s="8" t="n">
        <f aca="false">SUMIFS('Daily Transactions'!C:C,'Daily Transactions'!A:A,$A57,'Daily Transactions'!B:B,"Sales",'Daily Transactions'!D:D,"Cash")</f>
        <v>1460</v>
      </c>
      <c r="J57" s="8" t="n">
        <f aca="false">(H57+I57)-(D57+E57)</f>
        <v>3366</v>
      </c>
      <c r="K57" s="8"/>
      <c r="L57" s="8" t="n">
        <f aca="false">SUMIFS('Daily Transactions'!C:C,'Daily Transactions'!A:A,$A57,'Daily Transactions'!B:B,"Cash Shortage",'Daily Transactions'!D:D,"Cash")</f>
        <v>0</v>
      </c>
      <c r="M57" s="8"/>
    </row>
    <row r="58" customFormat="false" ht="15.75" hidden="false" customHeight="true" outlineLevel="0" collapsed="false">
      <c r="A58" s="35" t="n">
        <f aca="false">A57+1</f>
        <v>45712</v>
      </c>
      <c r="B58" s="8" t="n">
        <f aca="false">SUMIFS('Daily Transactions'!C:C,'Daily Transactions'!A:A,$A58,'Daily Transactions'!B:B,"Sales")</f>
        <v>21819</v>
      </c>
      <c r="C58" s="8" t="n">
        <f aca="false">SUMIFS('Daily Transactions'!C:C,'Daily Transactions'!A:A,$A58,'Daily Transactions'!B:B,"&lt;&gt;Sales")</f>
        <v>8343</v>
      </c>
      <c r="D58" s="8" t="n">
        <f aca="false">SUMIFS('Daily Transactions'!C:C,'Daily Transactions'!A:A,$A58,'Daily Transactions'!B:B,"&lt;&gt;Sales",'Daily Transactions'!D:D,"Cash")</f>
        <v>20</v>
      </c>
      <c r="E58" s="8" t="n">
        <f aca="false">SUMIFS('Daily Transactions'!C:C,'Daily Transactions'!A:A,$A58,'Daily Transactions'!B:B,"&lt;&gt;Sales",'Daily Transactions'!D:D,"Bank_Cash")</f>
        <v>1785</v>
      </c>
      <c r="F58" s="8" t="n">
        <f aca="false">SUMIFS('Daily Transactions'!C:C,'Daily Transactions'!A:A,$A58,'Daily Transactions'!B:B,"&lt;&gt;Sales",'Daily Transactions'!D:D,"Bank")</f>
        <v>6538</v>
      </c>
      <c r="G58" s="8" t="n">
        <f aca="false">B58-C58</f>
        <v>13476</v>
      </c>
      <c r="H58" s="8" t="n">
        <f aca="false">J57</f>
        <v>3366</v>
      </c>
      <c r="I58" s="8" t="n">
        <f aca="false">SUMIFS('Daily Transactions'!C:C,'Daily Transactions'!A:A,$A58,'Daily Transactions'!B:B,"Sales",'Daily Transactions'!D:D,"Cash")</f>
        <v>2085</v>
      </c>
      <c r="J58" s="8" t="n">
        <f aca="false">(H58+I58)-(D58+E58)</f>
        <v>3646</v>
      </c>
      <c r="K58" s="8"/>
      <c r="L58" s="8" t="n">
        <f aca="false">SUMIFS('Daily Transactions'!C:C,'Daily Transactions'!A:A,$A58,'Daily Transactions'!B:B,"Cash Shortage",'Daily Transactions'!D:D,"Cash")</f>
        <v>0</v>
      </c>
      <c r="M58" s="8"/>
      <c r="O58" s="11" t="n">
        <v>1675</v>
      </c>
      <c r="P58" s="11" t="n">
        <v>3540</v>
      </c>
    </row>
    <row r="59" customFormat="false" ht="15.75" hidden="false" customHeight="true" outlineLevel="0" collapsed="false">
      <c r="A59" s="35" t="n">
        <f aca="false">A58+1</f>
        <v>45713</v>
      </c>
      <c r="B59" s="8" t="n">
        <f aca="false">SUMIFS('Daily Transactions'!C:C,'Daily Transactions'!A:A,$A59,'Daily Transactions'!B:B,"Sales")</f>
        <v>15477</v>
      </c>
      <c r="C59" s="8" t="n">
        <f aca="false">SUMIFS('Daily Transactions'!C:C,'Daily Transactions'!A:A,$A59,'Daily Transactions'!B:B,"&lt;&gt;Sales")</f>
        <v>27130</v>
      </c>
      <c r="D59" s="8" t="n">
        <f aca="false">SUMIFS('Daily Transactions'!C:C,'Daily Transactions'!A:A,$A59,'Daily Transactions'!B:B,"&lt;&gt;Sales",'Daily Transactions'!D:D,"Cash")</f>
        <v>40</v>
      </c>
      <c r="E59" s="8" t="n">
        <f aca="false">SUMIFS('Daily Transactions'!C:C,'Daily Transactions'!A:A,$A59,'Daily Transactions'!B:B,"&lt;&gt;Sales",'Daily Transactions'!D:D,"Bank_Cash")</f>
        <v>335</v>
      </c>
      <c r="F59" s="8" t="n">
        <f aca="false">SUMIFS('Daily Transactions'!C:C,'Daily Transactions'!A:A,$A59,'Daily Transactions'!B:B,"&lt;&gt;Sales",'Daily Transactions'!D:D,"Bank")</f>
        <v>26755</v>
      </c>
      <c r="G59" s="8" t="n">
        <f aca="false">B59-C59</f>
        <v>-11653</v>
      </c>
      <c r="H59" s="8" t="n">
        <f aca="false">J58</f>
        <v>3646</v>
      </c>
      <c r="I59" s="8" t="n">
        <f aca="false">SUMIFS('Daily Transactions'!C:C,'Daily Transactions'!A:A,$A59,'Daily Transactions'!B:B,"Sales",'Daily Transactions'!D:D,"Cash")</f>
        <v>1240</v>
      </c>
      <c r="J59" s="8" t="n">
        <f aca="false">(H59+I59)-(D59+E59)</f>
        <v>4511</v>
      </c>
      <c r="K59" s="8"/>
      <c r="L59" s="8" t="n">
        <f aca="false">SUMIFS('Daily Transactions'!C:C,'Daily Transactions'!A:A,$A59,'Daily Transactions'!B:B,"Cash Shortage",'Daily Transactions'!D:D,"Cash")</f>
        <v>0</v>
      </c>
      <c r="M59" s="8"/>
      <c r="O59" s="11" t="n">
        <v>1500</v>
      </c>
    </row>
    <row r="60" customFormat="false" ht="15.75" hidden="false" customHeight="true" outlineLevel="0" collapsed="false">
      <c r="A60" s="35" t="n">
        <f aca="false">A59+1</f>
        <v>45714</v>
      </c>
      <c r="B60" s="8" t="n">
        <f aca="false">SUMIFS('Daily Transactions'!C:C,'Daily Transactions'!A:A,$A60,'Daily Transactions'!B:B,"Sales")</f>
        <v>0</v>
      </c>
      <c r="C60" s="8" t="n">
        <f aca="false">SUMIFS('Daily Transactions'!C:C,'Daily Transactions'!A:A,$A60,'Daily Transactions'!B:B,"&lt;&gt;Sales")</f>
        <v>0</v>
      </c>
      <c r="D60" s="8" t="n">
        <f aca="false">SUMIFS('Daily Transactions'!C:C,'Daily Transactions'!A:A,$A60,'Daily Transactions'!B:B,"&lt;&gt;Sales",'Daily Transactions'!D:D,"Cash")</f>
        <v>0</v>
      </c>
      <c r="E60" s="8" t="n">
        <f aca="false">SUMIFS('Daily Transactions'!C:C,'Daily Transactions'!A:A,$A60,'Daily Transactions'!B:B,"&lt;&gt;Sales",'Daily Transactions'!D:D,"Bank_Cash")</f>
        <v>0</v>
      </c>
      <c r="F60" s="8" t="n">
        <f aca="false">SUMIFS('Daily Transactions'!C:C,'Daily Transactions'!A:A,$A60,'Daily Transactions'!B:B,"&lt;&gt;Sales",'Daily Transactions'!D:D,"Bank")</f>
        <v>0</v>
      </c>
      <c r="G60" s="8" t="n">
        <f aca="false">B60-C60</f>
        <v>0</v>
      </c>
      <c r="H60" s="8" t="n">
        <f aca="false">J59</f>
        <v>4511</v>
      </c>
      <c r="I60" s="8" t="n">
        <f aca="false">SUMIFS('Daily Transactions'!C:C,'Daily Transactions'!A:A,$A60,'Daily Transactions'!B:B,"Sales",'Daily Transactions'!D:D,"Cash")</f>
        <v>0</v>
      </c>
      <c r="J60" s="8" t="n">
        <f aca="false">(H60+I60)-(D60+E60)</f>
        <v>4511</v>
      </c>
      <c r="K60" s="8"/>
      <c r="L60" s="8" t="n">
        <f aca="false">SUMIFS('Daily Transactions'!C:C,'Daily Transactions'!A:A,$A60,'Daily Transactions'!B:B,"Cash Shortage",'Daily Transactions'!D:D,"Cash")</f>
        <v>0</v>
      </c>
      <c r="M60" s="8"/>
      <c r="O60" s="11" t="n">
        <v>1000</v>
      </c>
    </row>
    <row r="61" customFormat="false" ht="15.75" hidden="false" customHeight="true" outlineLevel="0" collapsed="false">
      <c r="A61" s="35" t="n">
        <f aca="false">A60+1</f>
        <v>45715</v>
      </c>
      <c r="B61" s="8" t="n">
        <f aca="false">SUMIFS('Daily Transactions'!C:C,'Daily Transactions'!A:A,$A61,'Daily Transactions'!B:B,"Sales")</f>
        <v>29334</v>
      </c>
      <c r="C61" s="8" t="n">
        <f aca="false">SUMIFS('Daily Transactions'!C:C,'Daily Transactions'!A:A,$A61,'Daily Transactions'!B:B,"&lt;&gt;Sales")</f>
        <v>12099</v>
      </c>
      <c r="D61" s="8" t="n">
        <f aca="false">SUMIFS('Daily Transactions'!C:C,'Daily Transactions'!A:A,$A61,'Daily Transactions'!B:B,"&lt;&gt;Sales",'Daily Transactions'!D:D,"Cash")</f>
        <v>50</v>
      </c>
      <c r="E61" s="8" t="n">
        <f aca="false">SUMIFS('Daily Transactions'!C:C,'Daily Transactions'!A:A,$A61,'Daily Transactions'!B:B,"&lt;&gt;Sales",'Daily Transactions'!D:D,"Bank_Cash")</f>
        <v>1885</v>
      </c>
      <c r="F61" s="8" t="n">
        <f aca="false">SUMIFS('Daily Transactions'!C:C,'Daily Transactions'!A:A,$A61,'Daily Transactions'!B:B,"&lt;&gt;Sales",'Daily Transactions'!D:D,"Bank")</f>
        <v>10164</v>
      </c>
      <c r="G61" s="8" t="n">
        <f aca="false">B61-C61</f>
        <v>17235</v>
      </c>
      <c r="H61" s="8" t="n">
        <f aca="false">J60</f>
        <v>4511</v>
      </c>
      <c r="I61" s="8" t="n">
        <f aca="false">SUMIFS('Daily Transactions'!C:C,'Daily Transactions'!A:A,$A61,'Daily Transactions'!B:B,"Sales",'Daily Transactions'!D:D,"Cash")</f>
        <v>4580</v>
      </c>
      <c r="J61" s="8" t="n">
        <f aca="false">(H61+I61)-(D61+E61)</f>
        <v>7156</v>
      </c>
      <c r="K61" s="8"/>
      <c r="L61" s="8" t="n">
        <f aca="false">SUMIFS('Daily Transactions'!C:C,'Daily Transactions'!A:A,$A61,'Daily Transactions'!B:B,"Cash Shortage",'Daily Transactions'!D:D,"Cash")</f>
        <v>0</v>
      </c>
      <c r="M61" s="8"/>
    </row>
    <row r="62" customFormat="false" ht="15.75" hidden="false" customHeight="true" outlineLevel="0" collapsed="false">
      <c r="A62" s="35" t="n">
        <f aca="false">A61+1</f>
        <v>45716</v>
      </c>
      <c r="B62" s="8" t="n">
        <f aca="false">SUMIFS('Daily Transactions'!C:C,'Daily Transactions'!A:A,$A62,'Daily Transactions'!B:B,"Sales")</f>
        <v>44594</v>
      </c>
      <c r="C62" s="8" t="n">
        <f aca="false">SUMIFS('Daily Transactions'!C:C,'Daily Transactions'!A:A,$A62,'Daily Transactions'!B:B,"&lt;&gt;Sales")</f>
        <v>24290</v>
      </c>
      <c r="D62" s="8" t="n">
        <f aca="false">SUMIFS('Daily Transactions'!C:C,'Daily Transactions'!A:A,$A62,'Daily Transactions'!B:B,"&lt;&gt;Sales",'Daily Transactions'!D:D,"Cash")</f>
        <v>3791</v>
      </c>
      <c r="E62" s="8" t="n">
        <f aca="false">SUMIFS('Daily Transactions'!C:C,'Daily Transactions'!A:A,$A62,'Daily Transactions'!B:B,"&lt;&gt;Sales",'Daily Transactions'!D:D,"Bank_Cash")</f>
        <v>5170</v>
      </c>
      <c r="F62" s="8" t="n">
        <f aca="false">SUMIFS('Daily Transactions'!C:C,'Daily Transactions'!A:A,$A62,'Daily Transactions'!B:B,"&lt;&gt;Sales",'Daily Transactions'!D:D,"Bank")</f>
        <v>15329</v>
      </c>
      <c r="G62" s="8" t="n">
        <f aca="false">B62-C62</f>
        <v>20304</v>
      </c>
      <c r="H62" s="8" t="n">
        <f aca="false">J61</f>
        <v>7156</v>
      </c>
      <c r="I62" s="8" t="n">
        <f aca="false">SUMIFS('Daily Transactions'!C:C,'Daily Transactions'!A:A,$A62,'Daily Transactions'!B:B,"Sales",'Daily Transactions'!D:D,"Cash")</f>
        <v>5440</v>
      </c>
      <c r="J62" s="8" t="n">
        <f aca="false">(H62+I62)-(D62+E62)</f>
        <v>3635</v>
      </c>
      <c r="K62" s="8"/>
      <c r="L62" s="8" t="n">
        <f aca="false">SUMIFS('Daily Transactions'!C:C,'Daily Transactions'!A:A,$A62,'Daily Transactions'!B:B,"Cash Shortage",'Daily Transactions'!D:D,"Cash")</f>
        <v>0</v>
      </c>
      <c r="M62" s="8"/>
    </row>
    <row r="63" customFormat="false" ht="15.75" hidden="false" customHeight="true" outlineLevel="0" collapsed="false">
      <c r="A63" s="35" t="n">
        <f aca="false">A62+1</f>
        <v>45717</v>
      </c>
      <c r="B63" s="8" t="n">
        <f aca="false">SUMIFS('Daily Transactions'!C:C,'Daily Transactions'!A:A,$A63,'Daily Transactions'!B:B,"Sales")</f>
        <v>51249</v>
      </c>
      <c r="C63" s="8" t="n">
        <f aca="false">SUMIFS('Daily Transactions'!C:C,'Daily Transactions'!A:A,$A63,'Daily Transactions'!B:B,"&lt;&gt;Sales")</f>
        <v>19460</v>
      </c>
      <c r="D63" s="8" t="n">
        <f aca="false">SUMIFS('Daily Transactions'!C:C,'Daily Transactions'!A:A,$A63,'Daily Transactions'!B:B,"&lt;&gt;Sales",'Daily Transactions'!D:D,"Cash")</f>
        <v>75</v>
      </c>
      <c r="E63" s="8" t="n">
        <f aca="false">SUMIFS('Daily Transactions'!C:C,'Daily Transactions'!A:A,$A63,'Daily Transactions'!B:B,"&lt;&gt;Sales",'Daily Transactions'!D:D,"Bank_Cash")</f>
        <v>1090</v>
      </c>
      <c r="F63" s="8" t="n">
        <f aca="false">SUMIFS('Daily Transactions'!C:C,'Daily Transactions'!A:A,$A63,'Daily Transactions'!B:B,"&lt;&gt;Sales",'Daily Transactions'!D:D,"Bank")</f>
        <v>18295</v>
      </c>
      <c r="G63" s="8" t="n">
        <f aca="false">B63-C63</f>
        <v>31789</v>
      </c>
      <c r="H63" s="8" t="n">
        <f aca="false">J62</f>
        <v>3635</v>
      </c>
      <c r="I63" s="8" t="n">
        <f aca="false">SUMIFS('Daily Transactions'!C:C,'Daily Transactions'!A:A,$A63,'Daily Transactions'!B:B,"Sales",'Daily Transactions'!D:D,"Cash")</f>
        <v>4259</v>
      </c>
      <c r="J63" s="8" t="n">
        <f aca="false">(H63+I63)-(D63+E63)</f>
        <v>6729</v>
      </c>
      <c r="K63" s="8"/>
      <c r="L63" s="8" t="n">
        <f aca="false">SUMIFS('Daily Transactions'!C:C,'Daily Transactions'!A:A,$A63,'Daily Transactions'!B:B,"Cash Shortage",'Daily Transactions'!D:D,"Cash")</f>
        <v>0</v>
      </c>
      <c r="M63" s="8"/>
    </row>
    <row r="64" customFormat="false" ht="15.75" hidden="false" customHeight="true" outlineLevel="0" collapsed="false">
      <c r="A64" s="35" t="n">
        <f aca="false">A63+1</f>
        <v>45718</v>
      </c>
      <c r="B64" s="8" t="n">
        <f aca="false">SUMIFS('Daily Transactions'!C:C,'Daily Transactions'!A:A,$A64,'Daily Transactions'!B:B,"Sales")</f>
        <v>30215</v>
      </c>
      <c r="C64" s="8" t="n">
        <f aca="false">SUMIFS('Daily Transactions'!C:C,'Daily Transactions'!A:A,$A64,'Daily Transactions'!B:B,"&lt;&gt;Sales")</f>
        <v>23363</v>
      </c>
      <c r="D64" s="8" t="n">
        <f aca="false">SUMIFS('Daily Transactions'!C:C,'Daily Transactions'!A:A,$A64,'Daily Transactions'!B:B,"&lt;&gt;Sales",'Daily Transactions'!D:D,"Cash")</f>
        <v>50</v>
      </c>
      <c r="E64" s="8" t="n">
        <f aca="false">SUMIFS('Daily Transactions'!C:C,'Daily Transactions'!A:A,$A64,'Daily Transactions'!B:B,"&lt;&gt;Sales",'Daily Transactions'!D:D,"Bank_Cash")</f>
        <v>1005</v>
      </c>
      <c r="F64" s="8" t="n">
        <f aca="false">SUMIFS('Daily Transactions'!C:C,'Daily Transactions'!A:A,$A64,'Daily Transactions'!B:B,"&lt;&gt;Sales",'Daily Transactions'!D:D,"Bank")</f>
        <v>22308</v>
      </c>
      <c r="G64" s="8" t="n">
        <f aca="false">B64-C64</f>
        <v>6852</v>
      </c>
      <c r="H64" s="8" t="n">
        <f aca="false">J63</f>
        <v>6729</v>
      </c>
      <c r="I64" s="8" t="n">
        <f aca="false">SUMIFS('Daily Transactions'!C:C,'Daily Transactions'!A:A,$A64,'Daily Transactions'!B:B,"Sales",'Daily Transactions'!D:D,"Cash")</f>
        <v>1870</v>
      </c>
      <c r="J64" s="8" t="n">
        <f aca="false">(H64+I64)-(D64+E64)</f>
        <v>7544</v>
      </c>
      <c r="K64" s="8"/>
      <c r="L64" s="8" t="n">
        <f aca="false">SUMIFS('Daily Transactions'!C:C,'Daily Transactions'!A:A,$A64,'Daily Transactions'!B:B,"Cash Shortage",'Daily Transactions'!D:D,"Cash")</f>
        <v>0</v>
      </c>
      <c r="M64" s="8"/>
    </row>
    <row r="65" customFormat="false" ht="15.75" hidden="false" customHeight="true" outlineLevel="0" collapsed="false">
      <c r="A65" s="35" t="n">
        <f aca="false">A64+1</f>
        <v>45719</v>
      </c>
      <c r="B65" s="8" t="n">
        <f aca="false">SUMIFS('Daily Transactions'!C:C,'Daily Transactions'!A:A,$A65,'Daily Transactions'!B:B,"Sales")</f>
        <v>22807</v>
      </c>
      <c r="C65" s="8" t="n">
        <f aca="false">SUMIFS('Daily Transactions'!C:C,'Daily Transactions'!A:A,$A65,'Daily Transactions'!B:B,"&lt;&gt;Sales")</f>
        <v>20159</v>
      </c>
      <c r="D65" s="8" t="n">
        <f aca="false">SUMIFS('Daily Transactions'!C:C,'Daily Transactions'!A:A,$A65,'Daily Transactions'!B:B,"&lt;&gt;Sales",'Daily Transactions'!D:D,"Cash")</f>
        <v>1015</v>
      </c>
      <c r="E65" s="8" t="n">
        <f aca="false">SUMIFS('Daily Transactions'!C:C,'Daily Transactions'!A:A,$A65,'Daily Transactions'!B:B,"&lt;&gt;Sales",'Daily Transactions'!D:D,"Bank_Cash")</f>
        <v>4022</v>
      </c>
      <c r="F65" s="8" t="n">
        <f aca="false">SUMIFS('Daily Transactions'!C:C,'Daily Transactions'!A:A,$A65,'Daily Transactions'!B:B,"&lt;&gt;Sales",'Daily Transactions'!D:D,"Bank")</f>
        <v>15122</v>
      </c>
      <c r="G65" s="8" t="n">
        <f aca="false">B65-C65</f>
        <v>2648</v>
      </c>
      <c r="H65" s="8" t="n">
        <f aca="false">J64</f>
        <v>7544</v>
      </c>
      <c r="I65" s="8" t="n">
        <f aca="false">SUMIFS('Daily Transactions'!C:C,'Daily Transactions'!A:A,$A65,'Daily Transactions'!B:B,"Sales",'Daily Transactions'!D:D,"Cash")</f>
        <v>2014</v>
      </c>
      <c r="J65" s="8" t="n">
        <f aca="false">(H65+I65)-(D65+E65)</f>
        <v>4521</v>
      </c>
      <c r="K65" s="8"/>
      <c r="L65" s="8" t="n">
        <f aca="false">SUMIFS('Daily Transactions'!C:C,'Daily Transactions'!A:A,$A65,'Daily Transactions'!B:B,"Cash Shortage",'Daily Transactions'!D:D,"Cash")</f>
        <v>0</v>
      </c>
      <c r="M65" s="8"/>
    </row>
    <row r="66" customFormat="false" ht="15.75" hidden="false" customHeight="true" outlineLevel="0" collapsed="false">
      <c r="A66" s="35" t="n">
        <f aca="false">A65+1</f>
        <v>45720</v>
      </c>
      <c r="B66" s="8" t="n">
        <f aca="false">SUMIFS('Daily Transactions'!C:C,'Daily Transactions'!A:A,$A66,'Daily Transactions'!B:B,"Sales")</f>
        <v>27896</v>
      </c>
      <c r="C66" s="8" t="n">
        <f aca="false">SUMIFS('Daily Transactions'!C:C,'Daily Transactions'!A:A,$A66,'Daily Transactions'!B:B,"&lt;&gt;Sales")</f>
        <v>29987</v>
      </c>
      <c r="D66" s="8" t="n">
        <f aca="false">SUMIFS('Daily Transactions'!C:C,'Daily Transactions'!A:A,$A66,'Daily Transactions'!B:B,"&lt;&gt;Sales",'Daily Transactions'!D:D,"Cash")</f>
        <v>50</v>
      </c>
      <c r="E66" s="8" t="n">
        <f aca="false">SUMIFS('Daily Transactions'!C:C,'Daily Transactions'!A:A,$A66,'Daily Transactions'!B:B,"&lt;&gt;Sales",'Daily Transactions'!D:D,"Bank_Cash")</f>
        <v>1770</v>
      </c>
      <c r="F66" s="8" t="n">
        <f aca="false">SUMIFS('Daily Transactions'!C:C,'Daily Transactions'!A:A,$A66,'Daily Transactions'!B:B,"&lt;&gt;Sales",'Daily Transactions'!D:D,"Bank")</f>
        <v>28167</v>
      </c>
      <c r="G66" s="8" t="n">
        <f aca="false">B66-C66</f>
        <v>-2091</v>
      </c>
      <c r="H66" s="8" t="n">
        <f aca="false">J65</f>
        <v>4521</v>
      </c>
      <c r="I66" s="8" t="n">
        <f aca="false">SUMIFS('Daily Transactions'!C:C,'Daily Transactions'!A:A,$A66,'Daily Transactions'!B:B,"Sales",'Daily Transactions'!D:D,"Cash")</f>
        <v>3979</v>
      </c>
      <c r="J66" s="8" t="n">
        <f aca="false">(H66+I66)-(D66+E66)</f>
        <v>6680</v>
      </c>
      <c r="K66" s="8"/>
      <c r="L66" s="8" t="n">
        <f aca="false">SUMIFS('Daily Transactions'!C:C,'Daily Transactions'!A:A,$A66,'Daily Transactions'!B:B,"Cash Shortage",'Daily Transactions'!D:D,"Cash")</f>
        <v>0</v>
      </c>
      <c r="M66" s="8"/>
    </row>
    <row r="67" customFormat="false" ht="15.75" hidden="false" customHeight="true" outlineLevel="0" collapsed="false">
      <c r="A67" s="35" t="n">
        <f aca="false">A66+1</f>
        <v>45721</v>
      </c>
      <c r="B67" s="8" t="n">
        <f aca="false">SUMIFS('Daily Transactions'!C:C,'Daily Transactions'!A:A,$A67,'Daily Transactions'!B:B,"Sales")</f>
        <v>27793</v>
      </c>
      <c r="C67" s="8" t="n">
        <f aca="false">SUMIFS('Daily Transactions'!C:C,'Daily Transactions'!A:A,$A67,'Daily Transactions'!B:B,"&lt;&gt;Sales")</f>
        <v>28348</v>
      </c>
      <c r="D67" s="8" t="n">
        <f aca="false">SUMIFS('Daily Transactions'!C:C,'Daily Transactions'!A:A,$A67,'Daily Transactions'!B:B,"&lt;&gt;Sales",'Daily Transactions'!D:D,"Cash")</f>
        <v>362</v>
      </c>
      <c r="E67" s="8" t="n">
        <f aca="false">SUMIFS('Daily Transactions'!C:C,'Daily Transactions'!A:A,$A67,'Daily Transactions'!B:B,"&lt;&gt;Sales",'Daily Transactions'!D:D,"Bank_Cash")</f>
        <v>4520</v>
      </c>
      <c r="F67" s="8" t="n">
        <f aca="false">SUMIFS('Daily Transactions'!C:C,'Daily Transactions'!A:A,$A67,'Daily Transactions'!B:B,"&lt;&gt;Sales",'Daily Transactions'!D:D,"Bank")</f>
        <v>23466</v>
      </c>
      <c r="G67" s="8" t="n">
        <f aca="false">B67-C67</f>
        <v>-555</v>
      </c>
      <c r="H67" s="8" t="n">
        <f aca="false">J66</f>
        <v>6680</v>
      </c>
      <c r="I67" s="8" t="n">
        <f aca="false">SUMIFS('Daily Transactions'!C:C,'Daily Transactions'!A:A,$A67,'Daily Transactions'!B:B,"Sales",'Daily Transactions'!D:D,"Cash")</f>
        <v>2234</v>
      </c>
      <c r="J67" s="8" t="n">
        <f aca="false">(H67+I67)-(D67+E67)</f>
        <v>4032</v>
      </c>
      <c r="K67" s="8"/>
      <c r="L67" s="8" t="n">
        <f aca="false">SUMIFS('Daily Transactions'!C:C,'Daily Transactions'!A:A,$A67,'Daily Transactions'!B:B,"Cash Shortage",'Daily Transactions'!D:D,"Cash")</f>
        <v>0</v>
      </c>
      <c r="M67" s="8"/>
    </row>
    <row r="68" customFormat="false" ht="15.75" hidden="false" customHeight="true" outlineLevel="0" collapsed="false">
      <c r="A68" s="35" t="n">
        <f aca="false">A67+1</f>
        <v>45722</v>
      </c>
      <c r="B68" s="8" t="n">
        <f aca="false">SUMIFS('Daily Transactions'!C:C,'Daily Transactions'!A:A,$A68,'Daily Transactions'!B:B,"Sales")</f>
        <v>24962</v>
      </c>
      <c r="C68" s="8" t="n">
        <f aca="false">SUMIFS('Daily Transactions'!C:C,'Daily Transactions'!A:A,$A68,'Daily Transactions'!B:B,"&lt;&gt;Sales")</f>
        <v>16438</v>
      </c>
      <c r="D68" s="8" t="n">
        <f aca="false">SUMIFS('Daily Transactions'!C:C,'Daily Transactions'!A:A,$A68,'Daily Transactions'!B:B,"&lt;&gt;Sales",'Daily Transactions'!D:D,"Cash")</f>
        <v>30</v>
      </c>
      <c r="E68" s="8" t="n">
        <f aca="false">SUMIFS('Daily Transactions'!C:C,'Daily Transactions'!A:A,$A68,'Daily Transactions'!B:B,"&lt;&gt;Sales",'Daily Transactions'!D:D,"Bank_Cash")</f>
        <v>160</v>
      </c>
      <c r="F68" s="8" t="n">
        <f aca="false">SUMIFS('Daily Transactions'!C:C,'Daily Transactions'!A:A,$A68,'Daily Transactions'!B:B,"&lt;&gt;Sales",'Daily Transactions'!D:D,"Bank")</f>
        <v>16248</v>
      </c>
      <c r="G68" s="8" t="n">
        <f aca="false">B68-C68</f>
        <v>8524</v>
      </c>
      <c r="H68" s="8" t="n">
        <f aca="false">J67</f>
        <v>4032</v>
      </c>
      <c r="I68" s="8" t="n">
        <f aca="false">SUMIFS('Daily Transactions'!C:C,'Daily Transactions'!A:A,$A68,'Daily Transactions'!B:B,"Sales",'Daily Transactions'!D:D,"Cash")</f>
        <v>1385</v>
      </c>
      <c r="J68" s="8" t="n">
        <f aca="false">(H68+I68)-(D68+E68)</f>
        <v>5227</v>
      </c>
      <c r="K68" s="8"/>
      <c r="L68" s="8" t="n">
        <f aca="false">SUMIFS('Daily Transactions'!C:C,'Daily Transactions'!A:A,$A68,'Daily Transactions'!B:B,"Cash Shortage",'Daily Transactions'!D:D,"Cash")</f>
        <v>0</v>
      </c>
      <c r="M68" s="8"/>
    </row>
    <row r="69" customFormat="false" ht="15.75" hidden="false" customHeight="true" outlineLevel="0" collapsed="false">
      <c r="A69" s="35" t="n">
        <f aca="false">A68+1</f>
        <v>45723</v>
      </c>
      <c r="B69" s="8" t="n">
        <f aca="false">SUMIFS('Daily Transactions'!C:C,'Daily Transactions'!A:A,$A69,'Daily Transactions'!B:B,"Sales")</f>
        <v>41834</v>
      </c>
      <c r="C69" s="8" t="n">
        <f aca="false">SUMIFS('Daily Transactions'!C:C,'Daily Transactions'!A:A,$A69,'Daily Transactions'!B:B,"&lt;&gt;Sales")</f>
        <v>13527</v>
      </c>
      <c r="D69" s="8" t="n">
        <f aca="false">SUMIFS('Daily Transactions'!C:C,'Daily Transactions'!A:A,$A69,'Daily Transactions'!B:B,"&lt;&gt;Sales",'Daily Transactions'!D:D,"Cash")</f>
        <v>1390</v>
      </c>
      <c r="E69" s="8" t="n">
        <f aca="false">SUMIFS('Daily Transactions'!C:C,'Daily Transactions'!A:A,$A69,'Daily Transactions'!B:B,"&lt;&gt;Sales",'Daily Transactions'!D:D,"Bank_Cash")</f>
        <v>3219</v>
      </c>
      <c r="F69" s="8" t="n">
        <f aca="false">SUMIFS('Daily Transactions'!C:C,'Daily Transactions'!A:A,$A69,'Daily Transactions'!B:B,"&lt;&gt;Sales",'Daily Transactions'!D:D,"Bank")</f>
        <v>8918</v>
      </c>
      <c r="G69" s="8" t="n">
        <f aca="false">B69-C69</f>
        <v>28307</v>
      </c>
      <c r="H69" s="8" t="n">
        <f aca="false">J68</f>
        <v>5227</v>
      </c>
      <c r="I69" s="8" t="n">
        <f aca="false">SUMIFS('Daily Transactions'!C:C,'Daily Transactions'!A:A,$A69,'Daily Transactions'!B:B,"Sales",'Daily Transactions'!D:D,"Cash")</f>
        <v>2745</v>
      </c>
      <c r="J69" s="8" t="n">
        <f aca="false">(H69+I69)-(D69+E69)</f>
        <v>3363</v>
      </c>
      <c r="K69" s="8"/>
      <c r="L69" s="8" t="n">
        <f aca="false">SUMIFS('Daily Transactions'!C:C,'Daily Transactions'!A:A,$A69,'Daily Transactions'!B:B,"Cash Shortage",'Daily Transactions'!D:D,"Cash")</f>
        <v>0</v>
      </c>
      <c r="M69" s="8"/>
    </row>
    <row r="70" customFormat="false" ht="15.75" hidden="false" customHeight="true" outlineLevel="0" collapsed="false">
      <c r="A70" s="35" t="n">
        <f aca="false">A69+1</f>
        <v>45724</v>
      </c>
      <c r="B70" s="8" t="n">
        <f aca="false">SUMIFS('Daily Transactions'!C:C,'Daily Transactions'!A:A,$A70,'Daily Transactions'!B:B,"Sales")</f>
        <v>42341</v>
      </c>
      <c r="C70" s="8" t="n">
        <f aca="false">SUMIFS('Daily Transactions'!C:C,'Daily Transactions'!A:A,$A70,'Daily Transactions'!B:B,"&lt;&gt;Sales")</f>
        <v>25225</v>
      </c>
      <c r="D70" s="8" t="n">
        <f aca="false">SUMIFS('Daily Transactions'!C:C,'Daily Transactions'!A:A,$A70,'Daily Transactions'!B:B,"&lt;&gt;Sales",'Daily Transactions'!D:D,"Cash")</f>
        <v>1160</v>
      </c>
      <c r="E70" s="8" t="n">
        <f aca="false">SUMIFS('Daily Transactions'!C:C,'Daily Transactions'!A:A,$A70,'Daily Transactions'!B:B,"&lt;&gt;Sales",'Daily Transactions'!D:D,"Bank_Cash")</f>
        <v>845</v>
      </c>
      <c r="F70" s="8" t="n">
        <f aca="false">SUMIFS('Daily Transactions'!C:C,'Daily Transactions'!A:A,$A70,'Daily Transactions'!B:B,"&lt;&gt;Sales",'Daily Transactions'!D:D,"Bank")</f>
        <v>23220</v>
      </c>
      <c r="G70" s="8" t="n">
        <f aca="false">B70-C70</f>
        <v>17116</v>
      </c>
      <c r="H70" s="8" t="n">
        <f aca="false">J69</f>
        <v>3363</v>
      </c>
      <c r="I70" s="8" t="n">
        <f aca="false">SUMIFS('Daily Transactions'!C:C,'Daily Transactions'!A:A,$A70,'Daily Transactions'!B:B,"Sales",'Daily Transactions'!D:D,"Cash")</f>
        <v>4715</v>
      </c>
      <c r="J70" s="8" t="n">
        <f aca="false">(H70+I70)-(D70+E70)</f>
        <v>6073</v>
      </c>
      <c r="K70" s="8"/>
      <c r="L70" s="8" t="n">
        <f aca="false">SUMIFS('Daily Transactions'!C:C,'Daily Transactions'!A:A,$A70,'Daily Transactions'!B:B,"Cash Shortage",'Daily Transactions'!D:D,"Cash")</f>
        <v>0</v>
      </c>
      <c r="M70" s="8"/>
    </row>
    <row r="71" customFormat="false" ht="15.75" hidden="false" customHeight="true" outlineLevel="0" collapsed="false">
      <c r="A71" s="35" t="n">
        <f aca="false">A70+1</f>
        <v>45725</v>
      </c>
      <c r="B71" s="8" t="n">
        <f aca="false">SUMIFS('Daily Transactions'!C:C,'Daily Transactions'!A:A,$A71,'Daily Transactions'!B:B,"Sales")</f>
        <v>45333</v>
      </c>
      <c r="C71" s="8" t="n">
        <f aca="false">SUMIFS('Daily Transactions'!C:C,'Daily Transactions'!A:A,$A71,'Daily Transactions'!B:B,"&lt;&gt;Sales")</f>
        <v>21326</v>
      </c>
      <c r="D71" s="8" t="n">
        <f aca="false">SUMIFS('Daily Transactions'!C:C,'Daily Transactions'!A:A,$A71,'Daily Transactions'!B:B,"&lt;&gt;Sales",'Daily Transactions'!D:D,"Cash")</f>
        <v>3393</v>
      </c>
      <c r="E71" s="8" t="n">
        <f aca="false">SUMIFS('Daily Transactions'!C:C,'Daily Transactions'!A:A,$A71,'Daily Transactions'!B:B,"&lt;&gt;Sales",'Daily Transactions'!D:D,"Bank_Cash")</f>
        <v>2500</v>
      </c>
      <c r="F71" s="8" t="n">
        <f aca="false">SUMIFS('Daily Transactions'!C:C,'Daily Transactions'!A:A,$A71,'Daily Transactions'!B:B,"&lt;&gt;Sales",'Daily Transactions'!D:D,"Bank")</f>
        <v>15433</v>
      </c>
      <c r="G71" s="8" t="n">
        <f aca="false">B71-C71</f>
        <v>24007</v>
      </c>
      <c r="H71" s="8" t="n">
        <f aca="false">J70</f>
        <v>6073</v>
      </c>
      <c r="I71" s="8" t="n">
        <f aca="false">SUMIFS('Daily Transactions'!C:C,'Daily Transactions'!A:A,$A71,'Daily Transactions'!B:B,"Sales",'Daily Transactions'!D:D,"Cash")</f>
        <v>4743</v>
      </c>
      <c r="J71" s="8" t="n">
        <f aca="false">(H71+I71)-(D71+E71)</f>
        <v>4923</v>
      </c>
      <c r="K71" s="8"/>
      <c r="L71" s="8" t="n">
        <f aca="false">SUMIFS('Daily Transactions'!C:C,'Daily Transactions'!A:A,$A71,'Daily Transactions'!B:B,"Cash Shortage",'Daily Transactions'!D:D,"Cash")</f>
        <v>0</v>
      </c>
      <c r="M71" s="8"/>
    </row>
    <row r="72" customFormat="false" ht="15.75" hidden="false" customHeight="true" outlineLevel="0" collapsed="false">
      <c r="A72" s="35" t="n">
        <f aca="false">A71+1</f>
        <v>45726</v>
      </c>
      <c r="B72" s="8" t="n">
        <f aca="false">SUMIFS('Daily Transactions'!C:C,'Daily Transactions'!A:A,$A72,'Daily Transactions'!B:B,"Sales")</f>
        <v>20311</v>
      </c>
      <c r="C72" s="8" t="n">
        <f aca="false">SUMIFS('Daily Transactions'!C:C,'Daily Transactions'!A:A,$A72,'Daily Transactions'!B:B,"&lt;&gt;Sales")</f>
        <v>15550</v>
      </c>
      <c r="D72" s="8" t="n">
        <f aca="false">SUMIFS('Daily Transactions'!C:C,'Daily Transactions'!A:A,$A72,'Daily Transactions'!B:B,"&lt;&gt;Sales",'Daily Transactions'!D:D,"Cash")</f>
        <v>1210</v>
      </c>
      <c r="E72" s="8" t="n">
        <f aca="false">SUMIFS('Daily Transactions'!C:C,'Daily Transactions'!A:A,$A72,'Daily Transactions'!B:B,"&lt;&gt;Sales",'Daily Transactions'!D:D,"Bank_Cash")</f>
        <v>1870</v>
      </c>
      <c r="F72" s="8" t="n">
        <f aca="false">SUMIFS('Daily Transactions'!C:C,'Daily Transactions'!A:A,$A72,'Daily Transactions'!B:B,"&lt;&gt;Sales",'Daily Transactions'!D:D,"Bank")</f>
        <v>12470</v>
      </c>
      <c r="G72" s="8" t="n">
        <f aca="false">B72-C72</f>
        <v>4761</v>
      </c>
      <c r="H72" s="8" t="n">
        <f aca="false">J71</f>
        <v>4923</v>
      </c>
      <c r="I72" s="8" t="n">
        <f aca="false">SUMIFS('Daily Transactions'!C:C,'Daily Transactions'!A:A,$A72,'Daily Transactions'!B:B,"Sales",'Daily Transactions'!D:D,"Cash")</f>
        <v>1210</v>
      </c>
      <c r="J72" s="8" t="n">
        <f aca="false">(H72+I72)-(D72+E72)</f>
        <v>3053</v>
      </c>
      <c r="K72" s="8"/>
      <c r="L72" s="8" t="n">
        <f aca="false">SUMIFS('Daily Transactions'!C:C,'Daily Transactions'!A:A,$A72,'Daily Transactions'!B:B,"Cash Shortage",'Daily Transactions'!D:D,"Cash")</f>
        <v>0</v>
      </c>
      <c r="M72" s="8"/>
    </row>
    <row r="73" customFormat="false" ht="15.75" hidden="false" customHeight="true" outlineLevel="0" collapsed="false">
      <c r="A73" s="35" t="n">
        <f aca="false">A72+1</f>
        <v>45727</v>
      </c>
      <c r="B73" s="8" t="n">
        <f aca="false">SUMIFS('Daily Transactions'!C:C,'Daily Transactions'!A:A,$A73,'Daily Transactions'!B:B,"Sales")</f>
        <v>22803</v>
      </c>
      <c r="C73" s="8" t="n">
        <f aca="false">SUMIFS('Daily Transactions'!C:C,'Daily Transactions'!A:A,$A73,'Daily Transactions'!B:B,"&lt;&gt;Sales")</f>
        <v>25440</v>
      </c>
      <c r="D73" s="8" t="n">
        <f aca="false">SUMIFS('Daily Transactions'!C:C,'Daily Transactions'!A:A,$A73,'Daily Transactions'!B:B,"&lt;&gt;Sales",'Daily Transactions'!D:D,"Cash")</f>
        <v>1120</v>
      </c>
      <c r="E73" s="8" t="n">
        <f aca="false">SUMIFS('Daily Transactions'!C:C,'Daily Transactions'!A:A,$A73,'Daily Transactions'!B:B,"&lt;&gt;Sales",'Daily Transactions'!D:D,"Bank_Cash")</f>
        <v>553</v>
      </c>
      <c r="F73" s="8" t="n">
        <f aca="false">SUMIFS('Daily Transactions'!C:C,'Daily Transactions'!A:A,$A73,'Daily Transactions'!B:B,"&lt;&gt;Sales",'Daily Transactions'!D:D,"Bank")</f>
        <v>23767</v>
      </c>
      <c r="G73" s="8" t="n">
        <f aca="false">B73-C73</f>
        <v>-2637</v>
      </c>
      <c r="H73" s="8" t="n">
        <f aca="false">J72</f>
        <v>3053</v>
      </c>
      <c r="I73" s="8" t="n">
        <f aca="false">SUMIFS('Daily Transactions'!C:C,'Daily Transactions'!A:A,$A73,'Daily Transactions'!B:B,"Sales",'Daily Transactions'!D:D,"Cash")</f>
        <v>2620</v>
      </c>
      <c r="J73" s="8" t="n">
        <f aca="false">(H73+I73)-(D73+E73)</f>
        <v>4000</v>
      </c>
      <c r="K73" s="8"/>
      <c r="L73" s="8" t="n">
        <f aca="false">SUMIFS('Daily Transactions'!C:C,'Daily Transactions'!A:A,$A73,'Daily Transactions'!B:B,"Cash Shortage",'Daily Transactions'!D:D,"Cash")</f>
        <v>0</v>
      </c>
      <c r="M73" s="8"/>
    </row>
    <row r="74" customFormat="false" ht="15.75" hidden="false" customHeight="true" outlineLevel="0" collapsed="false">
      <c r="A74" s="35" t="n">
        <f aca="false">A73+1</f>
        <v>45728</v>
      </c>
      <c r="B74" s="8" t="n">
        <f aca="false">SUMIFS('Daily Transactions'!C:C,'Daily Transactions'!A:A,$A74,'Daily Transactions'!B:B,"Sales")</f>
        <v>40291</v>
      </c>
      <c r="C74" s="8" t="n">
        <f aca="false">SUMIFS('Daily Transactions'!C:C,'Daily Transactions'!A:A,$A74,'Daily Transactions'!B:B,"&lt;&gt;Sales")</f>
        <v>27539</v>
      </c>
      <c r="D74" s="8" t="n">
        <f aca="false">SUMIFS('Daily Transactions'!C:C,'Daily Transactions'!A:A,$A74,'Daily Transactions'!B:B,"&lt;&gt;Sales",'Daily Transactions'!D:D,"Cash")</f>
        <v>284</v>
      </c>
      <c r="E74" s="8" t="n">
        <f aca="false">SUMIFS('Daily Transactions'!C:C,'Daily Transactions'!A:A,$A74,'Daily Transactions'!B:B,"&lt;&gt;Sales",'Daily Transactions'!D:D,"Bank_Cash")</f>
        <v>1600</v>
      </c>
      <c r="F74" s="8" t="n">
        <f aca="false">SUMIFS('Daily Transactions'!C:C,'Daily Transactions'!A:A,$A74,'Daily Transactions'!B:B,"&lt;&gt;Sales",'Daily Transactions'!D:D,"Bank")</f>
        <v>25655</v>
      </c>
      <c r="G74" s="8" t="n">
        <f aca="false">B74-C74</f>
        <v>12752</v>
      </c>
      <c r="H74" s="8" t="n">
        <f aca="false">J73</f>
        <v>4000</v>
      </c>
      <c r="I74" s="8" t="n">
        <f aca="false">SUMIFS('Daily Transactions'!C:C,'Daily Transactions'!A:A,$A74,'Daily Transactions'!B:B,"Sales",'Daily Transactions'!D:D,"Cash")</f>
        <v>4984</v>
      </c>
      <c r="J74" s="8" t="n">
        <f aca="false">(H74+I74)-(D74+E74)</f>
        <v>7100</v>
      </c>
      <c r="K74" s="8"/>
      <c r="L74" s="8" t="n">
        <f aca="false">SUMIFS('Daily Transactions'!C:C,'Daily Transactions'!A:A,$A74,'Daily Transactions'!B:B,"Cash Shortage",'Daily Transactions'!D:D,"Cash")</f>
        <v>0</v>
      </c>
      <c r="M74" s="8"/>
    </row>
    <row r="75" customFormat="false" ht="15.75" hidden="false" customHeight="true" outlineLevel="0" collapsed="false">
      <c r="A75" s="35" t="n">
        <f aca="false">A74+1</f>
        <v>45729</v>
      </c>
      <c r="B75" s="8" t="n">
        <f aca="false">SUMIFS('Daily Transactions'!C:C,'Daily Transactions'!A:A,$A75,'Daily Transactions'!B:B,"Sales")</f>
        <v>20557</v>
      </c>
      <c r="C75" s="8" t="n">
        <f aca="false">SUMIFS('Daily Transactions'!C:C,'Daily Transactions'!A:A,$A75,'Daily Transactions'!B:B,"&lt;&gt;Sales")</f>
        <v>35052</v>
      </c>
      <c r="D75" s="8" t="n">
        <f aca="false">SUMIFS('Daily Transactions'!C:C,'Daily Transactions'!A:A,$A75,'Daily Transactions'!B:B,"&lt;&gt;Sales",'Daily Transactions'!D:D,"Cash")</f>
        <v>60</v>
      </c>
      <c r="E75" s="8" t="n">
        <f aca="false">SUMIFS('Daily Transactions'!C:C,'Daily Transactions'!A:A,$A75,'Daily Transactions'!B:B,"&lt;&gt;Sales",'Daily Transactions'!D:D,"Bank_Cash")</f>
        <v>4950</v>
      </c>
      <c r="F75" s="8" t="n">
        <f aca="false">SUMIFS('Daily Transactions'!C:C,'Daily Transactions'!A:A,$A75,'Daily Transactions'!B:B,"&lt;&gt;Sales",'Daily Transactions'!D:D,"Bank")</f>
        <v>30042</v>
      </c>
      <c r="G75" s="8" t="n">
        <f aca="false">B75-C75</f>
        <v>-14495</v>
      </c>
      <c r="H75" s="8" t="n">
        <f aca="false">J74</f>
        <v>7100</v>
      </c>
      <c r="I75" s="8" t="n">
        <f aca="false">SUMIFS('Daily Transactions'!C:C,'Daily Transactions'!A:A,$A75,'Daily Transactions'!B:B,"Sales",'Daily Transactions'!D:D,"Cash")</f>
        <v>1360</v>
      </c>
      <c r="J75" s="8" t="n">
        <f aca="false">(H75+I75)-(D75+E75)</f>
        <v>3450</v>
      </c>
      <c r="K75" s="8"/>
      <c r="L75" s="8" t="n">
        <f aca="false">SUMIFS('Daily Transactions'!C:C,'Daily Transactions'!A:A,$A75,'Daily Transactions'!B:B,"Cash Shortage",'Daily Transactions'!D:D,"Cash")</f>
        <v>0</v>
      </c>
      <c r="M75" s="8"/>
    </row>
    <row r="76" customFormat="false" ht="15.75" hidden="false" customHeight="true" outlineLevel="0" collapsed="false">
      <c r="A76" s="35" t="n">
        <f aca="false">A75+1</f>
        <v>45730</v>
      </c>
      <c r="B76" s="8" t="n">
        <f aca="false">SUMIFS('Daily Transactions'!C:C,'Daily Transactions'!A:A,$A76,'Daily Transactions'!B:B,"Sales")</f>
        <v>46191</v>
      </c>
      <c r="C76" s="8" t="n">
        <f aca="false">SUMIFS('Daily Transactions'!C:C,'Daily Transactions'!A:A,$A76,'Daily Transactions'!B:B,"&lt;&gt;Sales")</f>
        <v>18162</v>
      </c>
      <c r="D76" s="8" t="n">
        <f aca="false">SUMIFS('Daily Transactions'!C:C,'Daily Transactions'!A:A,$A76,'Daily Transactions'!B:B,"&lt;&gt;Sales",'Daily Transactions'!D:D,"Cash")</f>
        <v>3785</v>
      </c>
      <c r="E76" s="8" t="n">
        <f aca="false">SUMIFS('Daily Transactions'!C:C,'Daily Transactions'!A:A,$A76,'Daily Transactions'!B:B,"&lt;&gt;Sales",'Daily Transactions'!D:D,"Bank_Cash")</f>
        <v>1050</v>
      </c>
      <c r="F76" s="8" t="n">
        <f aca="false">SUMIFS('Daily Transactions'!C:C,'Daily Transactions'!A:A,$A76,'Daily Transactions'!B:B,"&lt;&gt;Sales",'Daily Transactions'!D:D,"Bank")</f>
        <v>13327</v>
      </c>
      <c r="G76" s="8" t="n">
        <f aca="false">B76-C76</f>
        <v>28029</v>
      </c>
      <c r="H76" s="8" t="n">
        <f aca="false">J75</f>
        <v>3450</v>
      </c>
      <c r="I76" s="8" t="n">
        <f aca="false">SUMIFS('Daily Transactions'!C:C,'Daily Transactions'!A:A,$A76,'Daily Transactions'!B:B,"Sales",'Daily Transactions'!D:D,"Cash")</f>
        <v>5235</v>
      </c>
      <c r="J76" s="8" t="n">
        <f aca="false">(H76+I76)-(D76+E76)</f>
        <v>3850</v>
      </c>
      <c r="K76" s="8"/>
      <c r="L76" s="8" t="n">
        <f aca="false">SUMIFS('Daily Transactions'!C:C,'Daily Transactions'!A:A,$A76,'Daily Transactions'!B:B,"Cash Shortage",'Daily Transactions'!D:D,"Cash")</f>
        <v>0</v>
      </c>
      <c r="M76" s="8"/>
    </row>
    <row r="77" customFormat="false" ht="15.75" hidden="false" customHeight="true" outlineLevel="0" collapsed="false">
      <c r="A77" s="35" t="n">
        <f aca="false">A76+1</f>
        <v>45731</v>
      </c>
      <c r="B77" s="8" t="n">
        <f aca="false">SUMIFS('Daily Transactions'!C:C,'Daily Transactions'!A:A,$A77,'Daily Transactions'!B:B,"Sales")</f>
        <v>24417</v>
      </c>
      <c r="C77" s="8" t="n">
        <f aca="false">SUMIFS('Daily Transactions'!C:C,'Daily Transactions'!A:A,$A77,'Daily Transactions'!B:B,"&lt;&gt;Sales")</f>
        <v>23127</v>
      </c>
      <c r="D77" s="8" t="n">
        <f aca="false">SUMIFS('Daily Transactions'!C:C,'Daily Transactions'!A:A,$A77,'Daily Transactions'!B:B,"&lt;&gt;Sales",'Daily Transactions'!D:D,"Cash")</f>
        <v>5</v>
      </c>
      <c r="E77" s="8" t="n">
        <f aca="false">SUMIFS('Daily Transactions'!C:C,'Daily Transactions'!A:A,$A77,'Daily Transactions'!B:B,"&lt;&gt;Sales",'Daily Transactions'!D:D,"Bank_Cash")</f>
        <v>1170</v>
      </c>
      <c r="F77" s="8" t="n">
        <f aca="false">SUMIFS('Daily Transactions'!C:C,'Daily Transactions'!A:A,$A77,'Daily Transactions'!B:B,"&lt;&gt;Sales",'Daily Transactions'!D:D,"Bank")</f>
        <v>21952</v>
      </c>
      <c r="G77" s="8" t="n">
        <f aca="false">B77-C77</f>
        <v>1290</v>
      </c>
      <c r="H77" s="8" t="n">
        <f aca="false">J76</f>
        <v>3850</v>
      </c>
      <c r="I77" s="8" t="n">
        <f aca="false">SUMIFS('Daily Transactions'!C:C,'Daily Transactions'!A:A,$A77,'Daily Transactions'!B:B,"Sales",'Daily Transactions'!D:D,"Cash")</f>
        <v>2905</v>
      </c>
      <c r="J77" s="8" t="n">
        <f aca="false">(H77+I77)-(D77+E77)</f>
        <v>5580</v>
      </c>
      <c r="K77" s="8"/>
      <c r="L77" s="8" t="n">
        <f aca="false">SUMIFS('Daily Transactions'!C:C,'Daily Transactions'!A:A,$A77,'Daily Transactions'!B:B,"Cash Shortage",'Daily Transactions'!D:D,"Cash")</f>
        <v>0</v>
      </c>
      <c r="M77" s="8"/>
    </row>
    <row r="78" customFormat="false" ht="15.75" hidden="false" customHeight="true" outlineLevel="0" collapsed="false">
      <c r="A78" s="35" t="n">
        <f aca="false">A77+1</f>
        <v>45732</v>
      </c>
      <c r="B78" s="8" t="n">
        <f aca="false">SUMIFS('Daily Transactions'!C:C,'Daily Transactions'!A:A,$A78,'Daily Transactions'!B:B,"Sales")</f>
        <v>29547</v>
      </c>
      <c r="C78" s="8" t="n">
        <f aca="false">SUMIFS('Daily Transactions'!C:C,'Daily Transactions'!A:A,$A78,'Daily Transactions'!B:B,"&lt;&gt;Sales")</f>
        <v>18267</v>
      </c>
      <c r="D78" s="8" t="n">
        <f aca="false">SUMIFS('Daily Transactions'!C:C,'Daily Transactions'!A:A,$A78,'Daily Transactions'!B:B,"&lt;&gt;Sales",'Daily Transactions'!D:D,"Cash")</f>
        <v>1278</v>
      </c>
      <c r="E78" s="8" t="n">
        <f aca="false">SUMIFS('Daily Transactions'!C:C,'Daily Transactions'!A:A,$A78,'Daily Transactions'!B:B,"&lt;&gt;Sales",'Daily Transactions'!D:D,"Bank_Cash")</f>
        <v>1620</v>
      </c>
      <c r="F78" s="8" t="n">
        <f aca="false">SUMIFS('Daily Transactions'!C:C,'Daily Transactions'!A:A,$A78,'Daily Transactions'!B:B,"&lt;&gt;Sales",'Daily Transactions'!D:D,"Bank")</f>
        <v>15369</v>
      </c>
      <c r="G78" s="8" t="n">
        <f aca="false">B78-C78</f>
        <v>11280</v>
      </c>
      <c r="H78" s="8" t="n">
        <f aca="false">J77</f>
        <v>5580</v>
      </c>
      <c r="I78" s="8" t="n">
        <f aca="false">SUMIFS('Daily Transactions'!C:C,'Daily Transactions'!A:A,$A78,'Daily Transactions'!B:B,"Sales",'Daily Transactions'!D:D,"Cash")</f>
        <v>3548</v>
      </c>
      <c r="J78" s="8" t="n">
        <f aca="false">(H78+I78)-(D78+E78)</f>
        <v>6230</v>
      </c>
      <c r="K78" s="8"/>
      <c r="L78" s="8" t="n">
        <f aca="false">SUMIFS('Daily Transactions'!C:C,'Daily Transactions'!A:A,$A78,'Daily Transactions'!B:B,"Cash Shortage",'Daily Transactions'!D:D,"Cash")</f>
        <v>0</v>
      </c>
      <c r="M78" s="8"/>
    </row>
    <row r="79" customFormat="false" ht="15.75" hidden="false" customHeight="true" outlineLevel="0" collapsed="false">
      <c r="A79" s="35" t="n">
        <f aca="false">A78+1</f>
        <v>45733</v>
      </c>
      <c r="B79" s="8" t="n">
        <f aca="false">SUMIFS('Daily Transactions'!C:C,'Daily Transactions'!A:A,$A79,'Daily Transactions'!B:B,"Sales")</f>
        <v>16362</v>
      </c>
      <c r="C79" s="8" t="n">
        <f aca="false">SUMIFS('Daily Transactions'!C:C,'Daily Transactions'!A:A,$A79,'Daily Transactions'!B:B,"&lt;&gt;Sales")</f>
        <v>19843</v>
      </c>
      <c r="D79" s="8" t="n">
        <f aca="false">SUMIFS('Daily Transactions'!C:C,'Daily Transactions'!A:A,$A79,'Daily Transactions'!B:B,"&lt;&gt;Sales",'Daily Transactions'!D:D,"Cash")</f>
        <v>950</v>
      </c>
      <c r="E79" s="8" t="n">
        <f aca="false">SUMIFS('Daily Transactions'!C:C,'Daily Transactions'!A:A,$A79,'Daily Transactions'!B:B,"&lt;&gt;Sales",'Daily Transactions'!D:D,"Bank_Cash")</f>
        <v>5165</v>
      </c>
      <c r="F79" s="8" t="n">
        <f aca="false">SUMIFS('Daily Transactions'!C:C,'Daily Transactions'!A:A,$A79,'Daily Transactions'!B:B,"&lt;&gt;Sales",'Daily Transactions'!D:D,"Bank")</f>
        <v>13728</v>
      </c>
      <c r="G79" s="8" t="n">
        <f aca="false">B79-C79</f>
        <v>-3481</v>
      </c>
      <c r="H79" s="8" t="n">
        <f aca="false">J78</f>
        <v>6230</v>
      </c>
      <c r="I79" s="8" t="n">
        <f aca="false">SUMIFS('Daily Transactions'!C:C,'Daily Transactions'!A:A,$A79,'Daily Transactions'!B:B,"Sales",'Daily Transactions'!D:D,"Cash")</f>
        <v>1050</v>
      </c>
      <c r="J79" s="8" t="n">
        <f aca="false">(H79+I79)-(D79+E79)</f>
        <v>1165</v>
      </c>
      <c r="K79" s="8"/>
      <c r="L79" s="8" t="n">
        <f aca="false">SUMIFS('Daily Transactions'!C:C,'Daily Transactions'!A:A,$A79,'Daily Transactions'!B:B,"Cash Shortage",'Daily Transactions'!D:D,"Cash")</f>
        <v>0</v>
      </c>
      <c r="M79" s="8"/>
    </row>
    <row r="80" customFormat="false" ht="15.75" hidden="false" customHeight="true" outlineLevel="0" collapsed="false">
      <c r="A80" s="35" t="n">
        <f aca="false">A79+1</f>
        <v>45734</v>
      </c>
      <c r="B80" s="8" t="n">
        <f aca="false">SUMIFS('Daily Transactions'!C:C,'Daily Transactions'!A:A,$A80,'Daily Transactions'!B:B,"Sales")</f>
        <v>17452</v>
      </c>
      <c r="C80" s="8" t="n">
        <f aca="false">SUMIFS('Daily Transactions'!C:C,'Daily Transactions'!A:A,$A80,'Daily Transactions'!B:B,"&lt;&gt;Sales")</f>
        <v>8223</v>
      </c>
      <c r="D80" s="8" t="n">
        <f aca="false">SUMIFS('Daily Transactions'!C:C,'Daily Transactions'!A:A,$A80,'Daily Transactions'!B:B,"&lt;&gt;Sales",'Daily Transactions'!D:D,"Cash")</f>
        <v>205</v>
      </c>
      <c r="E80" s="8" t="n">
        <f aca="false">SUMIFS('Daily Transactions'!C:C,'Daily Transactions'!A:A,$A80,'Daily Transactions'!B:B,"&lt;&gt;Sales",'Daily Transactions'!D:D,"Bank_Cash")</f>
        <v>125</v>
      </c>
      <c r="F80" s="8" t="n">
        <f aca="false">SUMIFS('Daily Transactions'!C:C,'Daily Transactions'!A:A,$A80,'Daily Transactions'!B:B,"&lt;&gt;Sales",'Daily Transactions'!D:D,"Bank")</f>
        <v>7893</v>
      </c>
      <c r="G80" s="8" t="n">
        <f aca="false">B80-C80</f>
        <v>9229</v>
      </c>
      <c r="H80" s="8" t="n">
        <f aca="false">J79</f>
        <v>1165</v>
      </c>
      <c r="I80" s="8" t="n">
        <f aca="false">SUMIFS('Daily Transactions'!C:C,'Daily Transactions'!A:A,$A80,'Daily Transactions'!B:B,"Sales",'Daily Transactions'!D:D,"Cash")</f>
        <v>1805</v>
      </c>
      <c r="J80" s="8" t="n">
        <f aca="false">(H80+I80)-(D80+E80)</f>
        <v>2640</v>
      </c>
      <c r="K80" s="8"/>
      <c r="L80" s="8" t="n">
        <f aca="false">SUMIFS('Daily Transactions'!C:C,'Daily Transactions'!A:A,$A80,'Daily Transactions'!B:B,"Cash Shortage",'Daily Transactions'!D:D,"Cash")</f>
        <v>0</v>
      </c>
      <c r="M80" s="8"/>
    </row>
    <row r="81" customFormat="false" ht="15.75" hidden="false" customHeight="true" outlineLevel="0" collapsed="false">
      <c r="A81" s="35" t="n">
        <f aca="false">A80+1</f>
        <v>45735</v>
      </c>
      <c r="B81" s="8" t="n">
        <f aca="false">SUMIFS('Daily Transactions'!C:C,'Daily Transactions'!A:A,$A81,'Daily Transactions'!B:B,"Sales")</f>
        <v>16525</v>
      </c>
      <c r="C81" s="8" t="n">
        <f aca="false">SUMIFS('Daily Transactions'!C:C,'Daily Transactions'!A:A,$A81,'Daily Transactions'!B:B,"&lt;&gt;Sales")</f>
        <v>26417</v>
      </c>
      <c r="D81" s="8" t="n">
        <f aca="false">SUMIFS('Daily Transactions'!C:C,'Daily Transactions'!A:A,$A81,'Daily Transactions'!B:B,"&lt;&gt;Sales",'Daily Transactions'!D:D,"Cash")</f>
        <v>710</v>
      </c>
      <c r="E81" s="8" t="n">
        <f aca="false">SUMIFS('Daily Transactions'!C:C,'Daily Transactions'!A:A,$A81,'Daily Transactions'!B:B,"&lt;&gt;Sales",'Daily Transactions'!D:D,"Bank_Cash")</f>
        <v>2753</v>
      </c>
      <c r="F81" s="8" t="n">
        <f aca="false">SUMIFS('Daily Transactions'!C:C,'Daily Transactions'!A:A,$A81,'Daily Transactions'!B:B,"&lt;&gt;Sales",'Daily Transactions'!D:D,"Bank")</f>
        <v>22954</v>
      </c>
      <c r="G81" s="8" t="n">
        <f aca="false">B81-C81</f>
        <v>-9892</v>
      </c>
      <c r="H81" s="8" t="n">
        <f aca="false">J80</f>
        <v>2640</v>
      </c>
      <c r="I81" s="8" t="n">
        <f aca="false">SUMIFS('Daily Transactions'!C:C,'Daily Transactions'!A:A,$A81,'Daily Transactions'!B:B,"Sales",'Daily Transactions'!D:D,"Cash")</f>
        <v>1510</v>
      </c>
      <c r="J81" s="8" t="n">
        <f aca="false">(H81+I81)-(D81+E81)</f>
        <v>687</v>
      </c>
      <c r="K81" s="8"/>
      <c r="L81" s="8" t="n">
        <f aca="false">SUMIFS('Daily Transactions'!C:C,'Daily Transactions'!A:A,$A81,'Daily Transactions'!B:B,"Cash Shortage",'Daily Transactions'!D:D,"Cash")</f>
        <v>0</v>
      </c>
      <c r="M81" s="8"/>
    </row>
    <row r="82" customFormat="false" ht="15.75" hidden="false" customHeight="true" outlineLevel="0" collapsed="false">
      <c r="A82" s="35" t="n">
        <f aca="false">A81+1</f>
        <v>45736</v>
      </c>
      <c r="B82" s="8" t="n">
        <f aca="false">SUMIFS('Daily Transactions'!C:C,'Daily Transactions'!A:A,$A82,'Daily Transactions'!B:B,"Sales")</f>
        <v>19006</v>
      </c>
      <c r="C82" s="8" t="n">
        <f aca="false">SUMIFS('Daily Transactions'!C:C,'Daily Transactions'!A:A,$A82,'Daily Transactions'!B:B,"&lt;&gt;Sales")</f>
        <v>14811</v>
      </c>
      <c r="D82" s="8" t="n">
        <f aca="false">SUMIFS('Daily Transactions'!C:C,'Daily Transactions'!A:A,$A82,'Daily Transactions'!B:B,"&lt;&gt;Sales",'Daily Transactions'!D:D,"Cash")</f>
        <v>630</v>
      </c>
      <c r="E82" s="8" t="n">
        <f aca="false">SUMIFS('Daily Transactions'!C:C,'Daily Transactions'!A:A,$A82,'Daily Transactions'!B:B,"&lt;&gt;Sales",'Daily Transactions'!D:D,"Bank_Cash")</f>
        <v>210</v>
      </c>
      <c r="F82" s="8" t="n">
        <f aca="false">SUMIFS('Daily Transactions'!C:C,'Daily Transactions'!A:A,$A82,'Daily Transactions'!B:B,"&lt;&gt;Sales",'Daily Transactions'!D:D,"Bank")</f>
        <v>13971</v>
      </c>
      <c r="G82" s="8" t="n">
        <f aca="false">B82-C82</f>
        <v>4195</v>
      </c>
      <c r="H82" s="8" t="n">
        <f aca="false">J81</f>
        <v>687</v>
      </c>
      <c r="I82" s="8" t="n">
        <f aca="false">SUMIFS('Daily Transactions'!C:C,'Daily Transactions'!A:A,$A82,'Daily Transactions'!B:B,"Sales",'Daily Transactions'!D:D,"Cash")</f>
        <v>2080</v>
      </c>
      <c r="J82" s="8" t="n">
        <f aca="false">(H82+I82)-(D82+E82)</f>
        <v>1927</v>
      </c>
      <c r="K82" s="8"/>
      <c r="L82" s="8" t="n">
        <f aca="false">SUMIFS('Daily Transactions'!C:C,'Daily Transactions'!A:A,$A82,'Daily Transactions'!B:B,"Cash Shortage",'Daily Transactions'!D:D,"Cash")</f>
        <v>0</v>
      </c>
      <c r="M82" s="8"/>
    </row>
    <row r="83" customFormat="false" ht="15.75" hidden="false" customHeight="true" outlineLevel="0" collapsed="false">
      <c r="A83" s="35" t="n">
        <f aca="false">A82+1</f>
        <v>45737</v>
      </c>
      <c r="B83" s="8" t="n">
        <f aca="false">SUMIFS('Daily Transactions'!C:C,'Daily Transactions'!A:A,$A83,'Daily Transactions'!B:B,"Sales")</f>
        <v>39939</v>
      </c>
      <c r="C83" s="8" t="n">
        <f aca="false">SUMIFS('Daily Transactions'!C:C,'Daily Transactions'!A:A,$A83,'Daily Transactions'!B:B,"&lt;&gt;Sales")</f>
        <v>14087</v>
      </c>
      <c r="D83" s="8" t="n">
        <f aca="false">SUMIFS('Daily Transactions'!C:C,'Daily Transactions'!A:A,$A83,'Daily Transactions'!B:B,"&lt;&gt;Sales",'Daily Transactions'!D:D,"Cash")</f>
        <v>1510</v>
      </c>
      <c r="E83" s="8" t="n">
        <f aca="false">SUMIFS('Daily Transactions'!C:C,'Daily Transactions'!A:A,$A83,'Daily Transactions'!B:B,"&lt;&gt;Sales",'Daily Transactions'!D:D,"Bank_Cash")</f>
        <v>1360</v>
      </c>
      <c r="F83" s="8" t="n">
        <f aca="false">SUMIFS('Daily Transactions'!C:C,'Daily Transactions'!A:A,$A83,'Daily Transactions'!B:B,"&lt;&gt;Sales",'Daily Transactions'!D:D,"Bank")</f>
        <v>11217</v>
      </c>
      <c r="G83" s="8" t="n">
        <f aca="false">B83-C83</f>
        <v>25852</v>
      </c>
      <c r="H83" s="8" t="n">
        <f aca="false">J82</f>
        <v>1927</v>
      </c>
      <c r="I83" s="8" t="n">
        <f aca="false">SUMIFS('Daily Transactions'!C:C,'Daily Transactions'!A:A,$A83,'Daily Transactions'!B:B,"Sales",'Daily Transactions'!D:D,"Cash")</f>
        <v>7710</v>
      </c>
      <c r="J83" s="8" t="n">
        <f aca="false">(H83+I83)-(D83+E83)</f>
        <v>6767</v>
      </c>
      <c r="K83" s="8"/>
      <c r="L83" s="8" t="n">
        <f aca="false">SUMIFS('Daily Transactions'!C:C,'Daily Transactions'!A:A,$A83,'Daily Transactions'!B:B,"Cash Shortage",'Daily Transactions'!D:D,"Cash")</f>
        <v>0</v>
      </c>
      <c r="M83" s="8"/>
    </row>
    <row r="84" customFormat="false" ht="15.75" hidden="false" customHeight="true" outlineLevel="0" collapsed="false">
      <c r="A84" s="35" t="n">
        <f aca="false">A83+1</f>
        <v>45738</v>
      </c>
      <c r="B84" s="8" t="n">
        <f aca="false">SUMIFS('Daily Transactions'!C:C,'Daily Transactions'!A:A,$A84,'Daily Transactions'!B:B,"Sales")</f>
        <v>35478</v>
      </c>
      <c r="C84" s="8" t="n">
        <f aca="false">SUMIFS('Daily Transactions'!C:C,'Daily Transactions'!A:A,$A84,'Daily Transactions'!B:B,"&lt;&gt;Sales")</f>
        <v>55305</v>
      </c>
      <c r="D84" s="8" t="n">
        <f aca="false">SUMIFS('Daily Transactions'!C:C,'Daily Transactions'!A:A,$A84,'Daily Transactions'!B:B,"&lt;&gt;Sales",'Daily Transactions'!D:D,"Cash")</f>
        <v>1206</v>
      </c>
      <c r="E84" s="8" t="n">
        <f aca="false">SUMIFS('Daily Transactions'!C:C,'Daily Transactions'!A:A,$A84,'Daily Transactions'!B:B,"&lt;&gt;Sales",'Daily Transactions'!D:D,"Bank_Cash")</f>
        <v>6344</v>
      </c>
      <c r="F84" s="8" t="n">
        <f aca="false">SUMIFS('Daily Transactions'!C:C,'Daily Transactions'!A:A,$A84,'Daily Transactions'!B:B,"&lt;&gt;Sales",'Daily Transactions'!D:D,"Bank")</f>
        <v>47755</v>
      </c>
      <c r="G84" s="8" t="n">
        <f aca="false">B84-C84</f>
        <v>-19827</v>
      </c>
      <c r="H84" s="8" t="n">
        <f aca="false">J83</f>
        <v>6767</v>
      </c>
      <c r="I84" s="8" t="n">
        <f aca="false">SUMIFS('Daily Transactions'!C:C,'Daily Transactions'!A:A,$A84,'Daily Transactions'!B:B,"Sales",'Daily Transactions'!D:D,"Cash")</f>
        <v>7456</v>
      </c>
      <c r="J84" s="8" t="n">
        <f aca="false">(H84+I84)-(D84+E84)</f>
        <v>6673</v>
      </c>
      <c r="K84" s="8"/>
      <c r="L84" s="8" t="n">
        <f aca="false">SUMIFS('Daily Transactions'!C:C,'Daily Transactions'!A:A,$A84,'Daily Transactions'!B:B,"Cash Shortage",'Daily Transactions'!D:D,"Cash")</f>
        <v>0</v>
      </c>
      <c r="M84" s="8"/>
    </row>
    <row r="85" customFormat="false" ht="15.75" hidden="false" customHeight="true" outlineLevel="0" collapsed="false">
      <c r="A85" s="35" t="n">
        <f aca="false">A84+1</f>
        <v>45739</v>
      </c>
      <c r="B85" s="8" t="n">
        <f aca="false">SUMIFS('Daily Transactions'!C:C,'Daily Transactions'!A:A,$A85,'Daily Transactions'!B:B,"Sales")</f>
        <v>33688</v>
      </c>
      <c r="C85" s="8" t="n">
        <f aca="false">SUMIFS('Daily Transactions'!C:C,'Daily Transactions'!A:A,$A85,'Daily Transactions'!B:B,"&lt;&gt;Sales")</f>
        <v>17797</v>
      </c>
      <c r="D85" s="8" t="n">
        <f aca="false">SUMIFS('Daily Transactions'!C:C,'Daily Transactions'!A:A,$A85,'Daily Transactions'!B:B,"&lt;&gt;Sales",'Daily Transactions'!D:D,"Cash")</f>
        <v>484</v>
      </c>
      <c r="E85" s="8" t="n">
        <f aca="false">SUMIFS('Daily Transactions'!C:C,'Daily Transactions'!A:A,$A85,'Daily Transactions'!B:B,"&lt;&gt;Sales",'Daily Transactions'!D:D,"Bank_Cash")</f>
        <v>4330</v>
      </c>
      <c r="F85" s="8" t="n">
        <f aca="false">SUMIFS('Daily Transactions'!C:C,'Daily Transactions'!A:A,$A85,'Daily Transactions'!B:B,"&lt;&gt;Sales",'Daily Transactions'!D:D,"Bank")</f>
        <v>12983</v>
      </c>
      <c r="G85" s="8" t="n">
        <f aca="false">B85-C85</f>
        <v>15891</v>
      </c>
      <c r="H85" s="8" t="n">
        <f aca="false">J84</f>
        <v>6673</v>
      </c>
      <c r="I85" s="8" t="n">
        <f aca="false">SUMIFS('Daily Transactions'!C:C,'Daily Transactions'!A:A,$A85,'Daily Transactions'!B:B,"Sales",'Daily Transactions'!D:D,"Cash")</f>
        <v>9034</v>
      </c>
      <c r="J85" s="8" t="n">
        <f aca="false">(H85+I85)-(D85+E85)</f>
        <v>10893</v>
      </c>
      <c r="K85" s="8"/>
      <c r="L85" s="8" t="n">
        <f aca="false">SUMIFS('Daily Transactions'!C:C,'Daily Transactions'!A:A,$A85,'Daily Transactions'!B:B,"Cash Shortage",'Daily Transactions'!D:D,"Cash")</f>
        <v>0</v>
      </c>
      <c r="M85" s="8"/>
    </row>
    <row r="86" customFormat="false" ht="15.75" hidden="false" customHeight="true" outlineLevel="0" collapsed="false">
      <c r="A86" s="35" t="n">
        <f aca="false">A85+1</f>
        <v>45740</v>
      </c>
      <c r="B86" s="8" t="n">
        <f aca="false">SUMIFS('Daily Transactions'!C:C,'Daily Transactions'!A:A,$A86,'Daily Transactions'!B:B,"Sales")</f>
        <v>16938</v>
      </c>
      <c r="C86" s="8" t="n">
        <f aca="false">SUMIFS('Daily Transactions'!C:C,'Daily Transactions'!A:A,$A86,'Daily Transactions'!B:B,"&lt;&gt;Sales")</f>
        <v>21684</v>
      </c>
      <c r="D86" s="8" t="n">
        <f aca="false">SUMIFS('Daily Transactions'!C:C,'Daily Transactions'!A:A,$A86,'Daily Transactions'!B:B,"&lt;&gt;Sales",'Daily Transactions'!D:D,"Cash")</f>
        <v>295</v>
      </c>
      <c r="E86" s="8" t="n">
        <f aca="false">SUMIFS('Daily Transactions'!C:C,'Daily Transactions'!A:A,$A86,'Daily Transactions'!B:B,"&lt;&gt;Sales",'Daily Transactions'!D:D,"Bank_Cash")</f>
        <v>2762</v>
      </c>
      <c r="F86" s="8" t="n">
        <f aca="false">SUMIFS('Daily Transactions'!C:C,'Daily Transactions'!A:A,$A86,'Daily Transactions'!B:B,"&lt;&gt;Sales",'Daily Transactions'!D:D,"Bank")</f>
        <v>18627</v>
      </c>
      <c r="G86" s="8" t="n">
        <f aca="false">B86-C86</f>
        <v>-4746</v>
      </c>
      <c r="H86" s="8" t="n">
        <f aca="false">J85</f>
        <v>10893</v>
      </c>
      <c r="I86" s="8" t="n">
        <f aca="false">SUMIFS('Daily Transactions'!C:C,'Daily Transactions'!A:A,$A86,'Daily Transactions'!B:B,"Sales",'Daily Transactions'!D:D,"Cash")</f>
        <v>4295</v>
      </c>
      <c r="J86" s="8" t="n">
        <f aca="false">(H86+I86)-(D86+E86)</f>
        <v>12131</v>
      </c>
      <c r="K86" s="8"/>
      <c r="L86" s="8" t="n">
        <f aca="false">SUMIFS('Daily Transactions'!C:C,'Daily Transactions'!A:A,$A86,'Daily Transactions'!B:B,"Cash Shortage",'Daily Transactions'!D:D,"Cash")</f>
        <v>0</v>
      </c>
      <c r="M86" s="8"/>
    </row>
    <row r="87" customFormat="false" ht="15.75" hidden="false" customHeight="true" outlineLevel="0" collapsed="false">
      <c r="A87" s="35" t="n">
        <f aca="false">A86+1</f>
        <v>45741</v>
      </c>
      <c r="B87" s="8" t="n">
        <f aca="false">SUMIFS('Daily Transactions'!C:C,'Daily Transactions'!A:A,$A87,'Daily Transactions'!B:B,"Sales")</f>
        <v>24679</v>
      </c>
      <c r="C87" s="8" t="n">
        <f aca="false">SUMIFS('Daily Transactions'!C:C,'Daily Transactions'!A:A,$A87,'Daily Transactions'!B:B,"&lt;&gt;Sales")</f>
        <v>12262</v>
      </c>
      <c r="D87" s="8" t="n">
        <f aca="false">SUMIFS('Daily Transactions'!C:C,'Daily Transactions'!A:A,$A87,'Daily Transactions'!B:B,"&lt;&gt;Sales",'Daily Transactions'!D:D,"Cash")</f>
        <v>250</v>
      </c>
      <c r="E87" s="8" t="n">
        <f aca="false">SUMIFS('Daily Transactions'!C:C,'Daily Transactions'!A:A,$A87,'Daily Transactions'!B:B,"&lt;&gt;Sales",'Daily Transactions'!D:D,"Bank_Cash")</f>
        <v>1964</v>
      </c>
      <c r="F87" s="8" t="n">
        <f aca="false">SUMIFS('Daily Transactions'!C:C,'Daily Transactions'!A:A,$A87,'Daily Transactions'!B:B,"&lt;&gt;Sales",'Daily Transactions'!D:D,"Bank")</f>
        <v>10048</v>
      </c>
      <c r="G87" s="8" t="n">
        <f aca="false">B87-C87</f>
        <v>12417</v>
      </c>
      <c r="H87" s="8" t="n">
        <f aca="false">J86</f>
        <v>12131</v>
      </c>
      <c r="I87" s="8" t="n">
        <f aca="false">SUMIFS('Daily Transactions'!C:C,'Daily Transactions'!A:A,$A87,'Daily Transactions'!B:B,"Sales",'Daily Transactions'!D:D,"Cash")</f>
        <v>1500</v>
      </c>
      <c r="J87" s="8" t="n">
        <f aca="false">(H87+I87)-(D87+E87)</f>
        <v>11417</v>
      </c>
      <c r="K87" s="8"/>
      <c r="L87" s="8" t="n">
        <f aca="false">SUMIFS('Daily Transactions'!C:C,'Daily Transactions'!A:A,$A87,'Daily Transactions'!B:B,"Cash Shortage",'Daily Transactions'!D:D,"Cash")</f>
        <v>0</v>
      </c>
      <c r="M87" s="8"/>
    </row>
    <row r="88" customFormat="false" ht="15.75" hidden="false" customHeight="true" outlineLevel="0" collapsed="false">
      <c r="A88" s="35" t="n">
        <f aca="false">A87+1</f>
        <v>45742</v>
      </c>
      <c r="B88" s="8" t="n">
        <f aca="false">SUMIFS('Daily Transactions'!C:C,'Daily Transactions'!A:A,$A88,'Daily Transactions'!B:B,"Sales")</f>
        <v>23866</v>
      </c>
      <c r="C88" s="8" t="n">
        <f aca="false">SUMIFS('Daily Transactions'!C:C,'Daily Transactions'!A:A,$A88,'Daily Transactions'!B:B,"&lt;&gt;Sales")</f>
        <v>9978</v>
      </c>
      <c r="D88" s="8" t="n">
        <f aca="false">SUMIFS('Daily Transactions'!C:C,'Daily Transactions'!A:A,$A88,'Daily Transactions'!B:B,"&lt;&gt;Sales",'Daily Transactions'!D:D,"Cash")</f>
        <v>1360</v>
      </c>
      <c r="E88" s="8" t="n">
        <f aca="false">SUMIFS('Daily Transactions'!C:C,'Daily Transactions'!A:A,$A88,'Daily Transactions'!B:B,"&lt;&gt;Sales",'Daily Transactions'!D:D,"Bank_Cash")</f>
        <v>1827</v>
      </c>
      <c r="F88" s="8" t="n">
        <f aca="false">SUMIFS('Daily Transactions'!C:C,'Daily Transactions'!A:A,$A88,'Daily Transactions'!B:B,"&lt;&gt;Sales",'Daily Transactions'!D:D,"Bank")</f>
        <v>6791</v>
      </c>
      <c r="G88" s="8" t="n">
        <f aca="false">B88-C88</f>
        <v>13888</v>
      </c>
      <c r="H88" s="8" t="n">
        <f aca="false">J87</f>
        <v>11417</v>
      </c>
      <c r="I88" s="8" t="n">
        <f aca="false">SUMIFS('Daily Transactions'!C:C,'Daily Transactions'!A:A,$A88,'Daily Transactions'!B:B,"Sales",'Daily Transactions'!D:D,"Cash")</f>
        <v>4760</v>
      </c>
      <c r="J88" s="8" t="n">
        <f aca="false">(H88+I88)-(D88+E88)</f>
        <v>12990</v>
      </c>
      <c r="K88" s="8"/>
      <c r="L88" s="8" t="n">
        <f aca="false">SUMIFS('Daily Transactions'!C:C,'Daily Transactions'!A:A,$A88,'Daily Transactions'!B:B,"Cash Shortage",'Daily Transactions'!D:D,"Cash")</f>
        <v>0</v>
      </c>
      <c r="M88" s="8"/>
    </row>
    <row r="89" customFormat="false" ht="15.75" hidden="false" customHeight="true" outlineLevel="0" collapsed="false">
      <c r="A89" s="35" t="n">
        <f aca="false">A88+1</f>
        <v>45743</v>
      </c>
      <c r="B89" s="8" t="n">
        <f aca="false">SUMIFS('Daily Transactions'!C:C,'Daily Transactions'!A:A,$A89,'Daily Transactions'!B:B,"Sales")</f>
        <v>16954</v>
      </c>
      <c r="C89" s="8" t="n">
        <f aca="false">SUMIFS('Daily Transactions'!C:C,'Daily Transactions'!A:A,$A89,'Daily Transactions'!B:B,"&lt;&gt;Sales")</f>
        <v>36688</v>
      </c>
      <c r="D89" s="8" t="n">
        <f aca="false">SUMIFS('Daily Transactions'!C:C,'Daily Transactions'!A:A,$A89,'Daily Transactions'!B:B,"&lt;&gt;Sales",'Daily Transactions'!D:D,"Cash")</f>
        <v>190</v>
      </c>
      <c r="E89" s="8" t="n">
        <f aca="false">SUMIFS('Daily Transactions'!C:C,'Daily Transactions'!A:A,$A89,'Daily Transactions'!B:B,"&lt;&gt;Sales",'Daily Transactions'!D:D,"Bank_Cash")</f>
        <v>3735</v>
      </c>
      <c r="F89" s="8" t="n">
        <f aca="false">SUMIFS('Daily Transactions'!C:C,'Daily Transactions'!A:A,$A89,'Daily Transactions'!B:B,"&lt;&gt;Sales",'Daily Transactions'!D:D,"Bank")</f>
        <v>32763</v>
      </c>
      <c r="G89" s="8" t="n">
        <f aca="false">B89-C89</f>
        <v>-19734</v>
      </c>
      <c r="H89" s="8" t="n">
        <f aca="false">J88</f>
        <v>12990</v>
      </c>
      <c r="I89" s="8" t="n">
        <f aca="false">SUMIFS('Daily Transactions'!C:C,'Daily Transactions'!A:A,$A89,'Daily Transactions'!B:B,"Sales",'Daily Transactions'!D:D,"Cash")</f>
        <v>2640</v>
      </c>
      <c r="J89" s="8" t="n">
        <f aca="false">(H89+I89)-(D89+E89)</f>
        <v>11705</v>
      </c>
      <c r="K89" s="8"/>
      <c r="L89" s="8" t="n">
        <f aca="false">SUMIFS('Daily Transactions'!C:C,'Daily Transactions'!A:A,$A89,'Daily Transactions'!B:B,"Cash Shortage",'Daily Transactions'!D:D,"Cash")</f>
        <v>0</v>
      </c>
      <c r="M89" s="8"/>
    </row>
    <row r="90" customFormat="false" ht="15.75" hidden="false" customHeight="true" outlineLevel="0" collapsed="false">
      <c r="A90" s="35" t="n">
        <f aca="false">A89+1</f>
        <v>45744</v>
      </c>
      <c r="B90" s="8" t="n">
        <f aca="false">SUMIFS('Daily Transactions'!C:C,'Daily Transactions'!A:A,$A90,'Daily Transactions'!B:B,"Sales")</f>
        <v>22055</v>
      </c>
      <c r="C90" s="8" t="n">
        <f aca="false">SUMIFS('Daily Transactions'!C:C,'Daily Transactions'!A:A,$A90,'Daily Transactions'!B:B,"&lt;&gt;Sales")</f>
        <v>9689</v>
      </c>
      <c r="D90" s="8" t="n">
        <f aca="false">SUMIFS('Daily Transactions'!C:C,'Daily Transactions'!A:A,$A90,'Daily Transactions'!B:B,"&lt;&gt;Sales",'Daily Transactions'!D:D,"Cash")</f>
        <v>370</v>
      </c>
      <c r="E90" s="8" t="n">
        <f aca="false">SUMIFS('Daily Transactions'!C:C,'Daily Transactions'!A:A,$A90,'Daily Transactions'!B:B,"&lt;&gt;Sales",'Daily Transactions'!D:D,"Bank_Cash")</f>
        <v>3079</v>
      </c>
      <c r="F90" s="8" t="n">
        <f aca="false">SUMIFS('Daily Transactions'!C:C,'Daily Transactions'!A:A,$A90,'Daily Transactions'!B:B,"&lt;&gt;Sales",'Daily Transactions'!D:D,"Bank")</f>
        <v>6240</v>
      </c>
      <c r="G90" s="8" t="n">
        <f aca="false">B90-C90</f>
        <v>12366</v>
      </c>
      <c r="H90" s="8" t="n">
        <f aca="false">J89</f>
        <v>11705</v>
      </c>
      <c r="I90" s="8" t="n">
        <f aca="false">SUMIFS('Daily Transactions'!C:C,'Daily Transactions'!A:A,$A90,'Daily Transactions'!B:B,"Sales",'Daily Transactions'!D:D,"Cash")</f>
        <v>1370</v>
      </c>
      <c r="J90" s="8" t="n">
        <f aca="false">(H90+I90)-(D90+E90)</f>
        <v>9626</v>
      </c>
      <c r="K90" s="8"/>
      <c r="L90" s="8" t="n">
        <f aca="false">SUMIFS('Daily Transactions'!C:C,'Daily Transactions'!A:A,$A90,'Daily Transactions'!B:B,"Cash Shortage",'Daily Transactions'!D:D,"Cash")</f>
        <v>0</v>
      </c>
      <c r="M90" s="8"/>
    </row>
    <row r="91" customFormat="false" ht="15.75" hidden="false" customHeight="true" outlineLevel="0" collapsed="false">
      <c r="A91" s="35" t="n">
        <f aca="false">A90+1</f>
        <v>45745</v>
      </c>
      <c r="B91" s="8" t="n">
        <f aca="false">SUMIFS('Daily Transactions'!C:C,'Daily Transactions'!A:A,$A91,'Daily Transactions'!B:B,"Sales")</f>
        <v>16980</v>
      </c>
      <c r="C91" s="8" t="n">
        <f aca="false">SUMIFS('Daily Transactions'!C:C,'Daily Transactions'!A:A,$A91,'Daily Transactions'!B:B,"&lt;&gt;Sales")</f>
        <v>27278</v>
      </c>
      <c r="D91" s="8" t="n">
        <f aca="false">SUMIFS('Daily Transactions'!C:C,'Daily Transactions'!A:A,$A91,'Daily Transactions'!B:B,"&lt;&gt;Sales",'Daily Transactions'!D:D,"Cash")</f>
        <v>145</v>
      </c>
      <c r="E91" s="8" t="n">
        <f aca="false">SUMIFS('Daily Transactions'!C:C,'Daily Transactions'!A:A,$A91,'Daily Transactions'!B:B,"&lt;&gt;Sales",'Daily Transactions'!D:D,"Bank_Cash")</f>
        <v>10916</v>
      </c>
      <c r="F91" s="8" t="n">
        <f aca="false">SUMIFS('Daily Transactions'!C:C,'Daily Transactions'!A:A,$A91,'Daily Transactions'!B:B,"&lt;&gt;Sales",'Daily Transactions'!D:D,"Bank")</f>
        <v>16217</v>
      </c>
      <c r="G91" s="8" t="n">
        <f aca="false">B91-C91</f>
        <v>-10298</v>
      </c>
      <c r="H91" s="8" t="n">
        <f aca="false">J90</f>
        <v>9626</v>
      </c>
      <c r="I91" s="8" t="n">
        <f aca="false">SUMIFS('Daily Transactions'!C:C,'Daily Transactions'!A:A,$A91,'Daily Transactions'!B:B,"Sales",'Daily Transactions'!D:D,"Cash")</f>
        <v>2695</v>
      </c>
      <c r="J91" s="8" t="n">
        <f aca="false">(H91+I91)-(D91+E91)</f>
        <v>1260</v>
      </c>
      <c r="K91" s="8"/>
      <c r="L91" s="8" t="n">
        <f aca="false">SUMIFS('Daily Transactions'!C:C,'Daily Transactions'!A:A,$A91,'Daily Transactions'!B:B,"Cash Shortage",'Daily Transactions'!D:D,"Cash")</f>
        <v>0</v>
      </c>
      <c r="M91" s="8"/>
    </row>
    <row r="92" customFormat="false" ht="15.75" hidden="false" customHeight="true" outlineLevel="0" collapsed="false">
      <c r="A92" s="35" t="n">
        <f aca="false">A91+1</f>
        <v>45746</v>
      </c>
      <c r="B92" s="8" t="n">
        <f aca="false">SUMIFS('Daily Transactions'!C:C,'Daily Transactions'!A:A,$A92,'Daily Transactions'!B:B,"Sales")</f>
        <v>16441</v>
      </c>
      <c r="C92" s="8" t="n">
        <f aca="false">SUMIFS('Daily Transactions'!C:C,'Daily Transactions'!A:A,$A92,'Daily Transactions'!B:B,"&lt;&gt;Sales")</f>
        <v>12276</v>
      </c>
      <c r="D92" s="8" t="n">
        <f aca="false">SUMIFS('Daily Transactions'!C:C,'Daily Transactions'!A:A,$A92,'Daily Transactions'!B:B,"&lt;&gt;Sales",'Daily Transactions'!D:D,"Cash")</f>
        <v>274</v>
      </c>
      <c r="E92" s="8" t="n">
        <f aca="false">SUMIFS('Daily Transactions'!C:C,'Daily Transactions'!A:A,$A92,'Daily Transactions'!B:B,"&lt;&gt;Sales",'Daily Transactions'!D:D,"Bank_Cash")</f>
        <v>5452</v>
      </c>
      <c r="F92" s="8" t="n">
        <f aca="false">SUMIFS('Daily Transactions'!C:C,'Daily Transactions'!A:A,$A92,'Daily Transactions'!B:B,"&lt;&gt;Sales",'Daily Transactions'!D:D,"Bank")</f>
        <v>6550</v>
      </c>
      <c r="G92" s="8" t="n">
        <f aca="false">B92-C92</f>
        <v>4165</v>
      </c>
      <c r="H92" s="8" t="n">
        <f aca="false">J91</f>
        <v>1260</v>
      </c>
      <c r="I92" s="8" t="n">
        <f aca="false">SUMIFS('Daily Transactions'!C:C,'Daily Transactions'!A:A,$A92,'Daily Transactions'!B:B,"Sales",'Daily Transactions'!D:D,"Cash")</f>
        <v>3074</v>
      </c>
      <c r="J92" s="8" t="n">
        <f aca="false">(H92+I92)-(D92+E92)</f>
        <v>-1392</v>
      </c>
      <c r="K92" s="8"/>
      <c r="L92" s="8" t="n">
        <f aca="false">SUMIFS('Daily Transactions'!C:C,'Daily Transactions'!A:A,$A92,'Daily Transactions'!B:B,"Cash Shortage",'Daily Transactions'!D:D,"Cash")</f>
        <v>0</v>
      </c>
      <c r="M92" s="8"/>
    </row>
    <row r="93" customFormat="false" ht="15.75" hidden="false" customHeight="true" outlineLevel="0" collapsed="false">
      <c r="A93" s="35" t="n">
        <f aca="false">A92+1</f>
        <v>45747</v>
      </c>
      <c r="B93" s="8" t="n">
        <f aca="false">SUMIFS('Daily Transactions'!C:C,'Daily Transactions'!A:A,$A93,'Daily Transactions'!B:B,"Sales")</f>
        <v>28136</v>
      </c>
      <c r="C93" s="8" t="n">
        <f aca="false">SUMIFS('Daily Transactions'!C:C,'Daily Transactions'!A:A,$A93,'Daily Transactions'!B:B,"&lt;&gt;Sales")</f>
        <v>5714</v>
      </c>
      <c r="D93" s="8" t="n">
        <f aca="false">SUMIFS('Daily Transactions'!C:C,'Daily Transactions'!A:A,$A93,'Daily Transactions'!B:B,"&lt;&gt;Sales",'Daily Transactions'!D:D,"Cash")</f>
        <v>110</v>
      </c>
      <c r="E93" s="8" t="n">
        <f aca="false">SUMIFS('Daily Transactions'!C:C,'Daily Transactions'!A:A,$A93,'Daily Transactions'!B:B,"&lt;&gt;Sales",'Daily Transactions'!D:D,"Bank_Cash")</f>
        <v>1509</v>
      </c>
      <c r="F93" s="8" t="n">
        <f aca="false">SUMIFS('Daily Transactions'!C:C,'Daily Transactions'!A:A,$A93,'Daily Transactions'!B:B,"&lt;&gt;Sales",'Daily Transactions'!D:D,"Bank")</f>
        <v>4095</v>
      </c>
      <c r="G93" s="8" t="n">
        <f aca="false">B93-C93</f>
        <v>22422</v>
      </c>
      <c r="H93" s="8" t="n">
        <f aca="false">J92</f>
        <v>-1392</v>
      </c>
      <c r="I93" s="8" t="n">
        <f aca="false">SUMIFS('Daily Transactions'!C:C,'Daily Transactions'!A:A,$A93,'Daily Transactions'!B:B,"Sales",'Daily Transactions'!D:D,"Cash")</f>
        <v>3010</v>
      </c>
      <c r="J93" s="8" t="n">
        <f aca="false">(H93+I93)-(D93+E93)</f>
        <v>-1</v>
      </c>
      <c r="K93" s="8"/>
      <c r="L93" s="8" t="n">
        <f aca="false">SUMIFS('Daily Transactions'!C:C,'Daily Transactions'!A:A,$A93,'Daily Transactions'!B:B,"Cash Shortage",'Daily Transactions'!D:D,"Cash")</f>
        <v>0</v>
      </c>
      <c r="M93" s="8"/>
    </row>
    <row r="94" customFormat="false" ht="15.75" hidden="false" customHeight="true" outlineLevel="0" collapsed="false">
      <c r="A94" s="35" t="n">
        <f aca="false">A93+1</f>
        <v>45748</v>
      </c>
      <c r="B94" s="8" t="n">
        <f aca="false">SUMIFS('Daily Transactions'!C:C,'Daily Transactions'!A:A,$A94,'Daily Transactions'!B:B,"Sales")</f>
        <v>14597</v>
      </c>
      <c r="C94" s="8" t="n">
        <f aca="false">SUMIFS('Daily Transactions'!C:C,'Daily Transactions'!A:A,$A94,'Daily Transactions'!B:B,"&lt;&gt;Sales")</f>
        <v>18785</v>
      </c>
      <c r="D94" s="8" t="n">
        <f aca="false">SUMIFS('Daily Transactions'!C:C,'Daily Transactions'!A:A,$A94,'Daily Transactions'!B:B,"&lt;&gt;Sales",'Daily Transactions'!D:D,"Cash")</f>
        <v>34</v>
      </c>
      <c r="E94" s="8" t="n">
        <f aca="false">SUMIFS('Daily Transactions'!C:C,'Daily Transactions'!A:A,$A94,'Daily Transactions'!B:B,"&lt;&gt;Sales",'Daily Transactions'!D:D,"Bank_Cash")</f>
        <v>7730</v>
      </c>
      <c r="F94" s="8" t="n">
        <f aca="false">SUMIFS('Daily Transactions'!C:C,'Daily Transactions'!A:A,$A94,'Daily Transactions'!B:B,"&lt;&gt;Sales",'Daily Transactions'!D:D,"Bank")</f>
        <v>11021</v>
      </c>
      <c r="G94" s="8" t="n">
        <f aca="false">B94-C94</f>
        <v>-4188</v>
      </c>
      <c r="H94" s="8" t="n">
        <f aca="false">J93</f>
        <v>-1</v>
      </c>
      <c r="I94" s="8" t="n">
        <f aca="false">SUMIFS('Daily Transactions'!C:C,'Daily Transactions'!A:A,$A94,'Daily Transactions'!B:B,"Sales",'Daily Transactions'!D:D,"Cash")</f>
        <v>2684</v>
      </c>
      <c r="J94" s="8" t="n">
        <f aca="false">(H94+I94)-(D94+E94)</f>
        <v>-5081</v>
      </c>
      <c r="K94" s="8"/>
      <c r="L94" s="8" t="n">
        <f aca="false">SUMIFS('Daily Transactions'!C:C,'Daily Transactions'!A:A,$A94,'Daily Transactions'!B:B,"Cash Shortage",'Daily Transactions'!D:D,"Cash")</f>
        <v>0</v>
      </c>
      <c r="M94" s="8"/>
    </row>
    <row r="95" customFormat="false" ht="15.75" hidden="false" customHeight="true" outlineLevel="0" collapsed="false">
      <c r="A95" s="35" t="n">
        <f aca="false">A94+1</f>
        <v>45749</v>
      </c>
      <c r="B95" s="8" t="n">
        <f aca="false">SUMIFS('Daily Transactions'!C:C,'Daily Transactions'!A:A,$A95,'Daily Transactions'!B:B,"Sales")</f>
        <v>17414</v>
      </c>
      <c r="C95" s="8" t="n">
        <f aca="false">SUMIFS('Daily Transactions'!C:C,'Daily Transactions'!A:A,$A95,'Daily Transactions'!B:B,"&lt;&gt;Sales")</f>
        <v>12151</v>
      </c>
      <c r="D95" s="8" t="n">
        <f aca="false">SUMIFS('Daily Transactions'!C:C,'Daily Transactions'!A:A,$A95,'Daily Transactions'!B:B,"&lt;&gt;Sales",'Daily Transactions'!D:D,"Cash")</f>
        <v>925</v>
      </c>
      <c r="E95" s="8" t="n">
        <f aca="false">SUMIFS('Daily Transactions'!C:C,'Daily Transactions'!A:A,$A95,'Daily Transactions'!B:B,"&lt;&gt;Sales",'Daily Transactions'!D:D,"Bank_Cash")</f>
        <v>2143</v>
      </c>
      <c r="F95" s="8" t="n">
        <f aca="false">SUMIFS('Daily Transactions'!C:C,'Daily Transactions'!A:A,$A95,'Daily Transactions'!B:B,"&lt;&gt;Sales",'Daily Transactions'!D:D,"Bank")</f>
        <v>9083</v>
      </c>
      <c r="G95" s="8" t="n">
        <f aca="false">B95-C95</f>
        <v>5263</v>
      </c>
      <c r="H95" s="8" t="n">
        <f aca="false">J94</f>
        <v>-5081</v>
      </c>
      <c r="I95" s="8" t="n">
        <f aca="false">SUMIFS('Daily Transactions'!C:C,'Daily Transactions'!A:A,$A95,'Daily Transactions'!B:B,"Sales",'Daily Transactions'!D:D,"Cash")</f>
        <v>2145</v>
      </c>
      <c r="J95" s="8" t="n">
        <f aca="false">(H95+I95)-(D95+E95)</f>
        <v>-6004</v>
      </c>
      <c r="K95" s="8"/>
      <c r="L95" s="8" t="n">
        <f aca="false">SUMIFS('Daily Transactions'!C:C,'Daily Transactions'!A:A,$A95,'Daily Transactions'!B:B,"Cash Shortage",'Daily Transactions'!D:D,"Cash")</f>
        <v>0</v>
      </c>
      <c r="M95" s="8"/>
    </row>
    <row r="96" customFormat="false" ht="15.75" hidden="false" customHeight="true" outlineLevel="0" collapsed="false">
      <c r="A96" s="35" t="n">
        <f aca="false">A95+1</f>
        <v>45750</v>
      </c>
      <c r="B96" s="8" t="n">
        <f aca="false">SUMIFS('Daily Transactions'!C:C,'Daily Transactions'!A:A,$A96,'Daily Transactions'!B:B,"Sales")</f>
        <v>17722</v>
      </c>
      <c r="C96" s="8" t="n">
        <f aca="false">SUMIFS('Daily Transactions'!C:C,'Daily Transactions'!A:A,$A96,'Daily Transactions'!B:B,"&lt;&gt;Sales")</f>
        <v>12008</v>
      </c>
      <c r="D96" s="8" t="n">
        <f aca="false">SUMIFS('Daily Transactions'!C:C,'Daily Transactions'!A:A,$A96,'Daily Transactions'!B:B,"&lt;&gt;Sales",'Daily Transactions'!D:D,"Cash")</f>
        <v>1500</v>
      </c>
      <c r="E96" s="8" t="n">
        <f aca="false">SUMIFS('Daily Transactions'!C:C,'Daily Transactions'!A:A,$A96,'Daily Transactions'!B:B,"&lt;&gt;Sales",'Daily Transactions'!D:D,"Bank_Cash")</f>
        <v>916</v>
      </c>
      <c r="F96" s="8" t="n">
        <f aca="false">SUMIFS('Daily Transactions'!C:C,'Daily Transactions'!A:A,$A96,'Daily Transactions'!B:B,"&lt;&gt;Sales",'Daily Transactions'!D:D,"Bank")</f>
        <v>9592</v>
      </c>
      <c r="G96" s="8" t="n">
        <f aca="false">B96-C96</f>
        <v>5714</v>
      </c>
      <c r="H96" s="8" t="n">
        <f aca="false">J95</f>
        <v>-6004</v>
      </c>
      <c r="I96" s="8" t="n">
        <f aca="false">SUMIFS('Daily Transactions'!C:C,'Daily Transactions'!A:A,$A96,'Daily Transactions'!B:B,"Sales",'Daily Transactions'!D:D,"Cash")</f>
        <v>2320</v>
      </c>
      <c r="J96" s="8" t="n">
        <f aca="false">(H96+I96)-(D96+E96)</f>
        <v>-6100</v>
      </c>
      <c r="K96" s="8"/>
      <c r="L96" s="8" t="n">
        <f aca="false">SUMIFS('Daily Transactions'!C:C,'Daily Transactions'!A:A,$A96,'Daily Transactions'!B:B,"Cash Shortage",'Daily Transactions'!D:D,"Cash")</f>
        <v>0</v>
      </c>
      <c r="M96" s="8"/>
    </row>
    <row r="97" customFormat="false" ht="15.75" hidden="false" customHeight="true" outlineLevel="0" collapsed="false">
      <c r="A97" s="35" t="n">
        <f aca="false">A96+1</f>
        <v>45751</v>
      </c>
      <c r="B97" s="8" t="n">
        <f aca="false">SUMIFS('Daily Transactions'!C:C,'Daily Transactions'!A:A,$A97,'Daily Transactions'!B:B,"Sales")</f>
        <v>24231</v>
      </c>
      <c r="C97" s="8" t="n">
        <f aca="false">SUMIFS('Daily Transactions'!C:C,'Daily Transactions'!A:A,$A97,'Daily Transactions'!B:B,"&lt;&gt;Sales")</f>
        <v>40187</v>
      </c>
      <c r="D97" s="8" t="n">
        <f aca="false">SUMIFS('Daily Transactions'!C:C,'Daily Transactions'!A:A,$A97,'Daily Transactions'!B:B,"&lt;&gt;Sales",'Daily Transactions'!D:D,"Cash")</f>
        <v>170</v>
      </c>
      <c r="E97" s="8" t="n">
        <f aca="false">SUMIFS('Daily Transactions'!C:C,'Daily Transactions'!A:A,$A97,'Daily Transactions'!B:B,"&lt;&gt;Sales",'Daily Transactions'!D:D,"Bank_Cash")</f>
        <v>100</v>
      </c>
      <c r="F97" s="8" t="n">
        <f aca="false">SUMIFS('Daily Transactions'!C:C,'Daily Transactions'!A:A,$A97,'Daily Transactions'!B:B,"&lt;&gt;Sales",'Daily Transactions'!D:D,"Bank")</f>
        <v>39917</v>
      </c>
      <c r="G97" s="8" t="n">
        <f aca="false">B97-C97</f>
        <v>-15956</v>
      </c>
      <c r="H97" s="8" t="n">
        <f aca="false">J96</f>
        <v>-6100</v>
      </c>
      <c r="I97" s="8" t="n">
        <f aca="false">SUMIFS('Daily Transactions'!C:C,'Daily Transactions'!A:A,$A97,'Daily Transactions'!B:B,"Sales",'Daily Transactions'!D:D,"Cash")</f>
        <v>2970</v>
      </c>
      <c r="J97" s="8" t="n">
        <f aca="false">(H97+I97)-(D97+E97)</f>
        <v>-3400</v>
      </c>
      <c r="K97" s="8"/>
      <c r="L97" s="8" t="n">
        <f aca="false">SUMIFS('Daily Transactions'!C:C,'Daily Transactions'!A:A,$A97,'Daily Transactions'!B:B,"Cash Shortage",'Daily Transactions'!D:D,"Cash")</f>
        <v>0</v>
      </c>
      <c r="M97" s="8"/>
    </row>
    <row r="98" customFormat="false" ht="15.75" hidden="false" customHeight="true" outlineLevel="0" collapsed="false">
      <c r="A98" s="35" t="n">
        <f aca="false">A97+1</f>
        <v>45752</v>
      </c>
      <c r="B98" s="8" t="n">
        <f aca="false">SUMIFS('Daily Transactions'!C:C,'Daily Transactions'!A:A,$A98,'Daily Transactions'!B:B,"Sales")</f>
        <v>28015</v>
      </c>
      <c r="C98" s="8" t="n">
        <f aca="false">SUMIFS('Daily Transactions'!C:C,'Daily Transactions'!A:A,$A98,'Daily Transactions'!B:B,"&lt;&gt;Sales")</f>
        <v>18200</v>
      </c>
      <c r="D98" s="8" t="n">
        <f aca="false">SUMIFS('Daily Transactions'!C:C,'Daily Transactions'!A:A,$A98,'Daily Transactions'!B:B,"&lt;&gt;Sales",'Daily Transactions'!D:D,"Cash")</f>
        <v>1394</v>
      </c>
      <c r="E98" s="8" t="n">
        <f aca="false">SUMIFS('Daily Transactions'!C:C,'Daily Transactions'!A:A,$A98,'Daily Transactions'!B:B,"&lt;&gt;Sales",'Daily Transactions'!D:D,"Bank_Cash")</f>
        <v>5380</v>
      </c>
      <c r="F98" s="8" t="n">
        <f aca="false">SUMIFS('Daily Transactions'!C:C,'Daily Transactions'!A:A,$A98,'Daily Transactions'!B:B,"&lt;&gt;Sales",'Daily Transactions'!D:D,"Bank")</f>
        <v>11426</v>
      </c>
      <c r="G98" s="8" t="n">
        <f aca="false">B98-C98</f>
        <v>9815</v>
      </c>
      <c r="H98" s="8" t="n">
        <f aca="false">J97</f>
        <v>-3400</v>
      </c>
      <c r="I98" s="8" t="n">
        <f aca="false">SUMIFS('Daily Transactions'!C:C,'Daily Transactions'!A:A,$A98,'Daily Transactions'!B:B,"Sales",'Daily Transactions'!D:D,"Cash")</f>
        <v>3444</v>
      </c>
      <c r="J98" s="8" t="n">
        <f aca="false">(H98+I98)-(D98+E98)</f>
        <v>-6730</v>
      </c>
      <c r="K98" s="8"/>
      <c r="L98" s="8" t="n">
        <f aca="false">SUMIFS('Daily Transactions'!C:C,'Daily Transactions'!A:A,$A98,'Daily Transactions'!B:B,"Cash Shortage",'Daily Transactions'!D:D,"Cash")</f>
        <v>0</v>
      </c>
      <c r="M98" s="8"/>
    </row>
    <row r="99" customFormat="false" ht="15.75" hidden="false" customHeight="true" outlineLevel="0" collapsed="false">
      <c r="A99" s="35" t="n">
        <f aca="false">A98+1</f>
        <v>45753</v>
      </c>
      <c r="B99" s="8" t="n">
        <f aca="false">SUMIFS('Daily Transactions'!C:C,'Daily Transactions'!A:A,$A99,'Daily Transactions'!B:B,"Sales")</f>
        <v>25126</v>
      </c>
      <c r="C99" s="8" t="n">
        <f aca="false">SUMIFS('Daily Transactions'!C:C,'Daily Transactions'!A:A,$A99,'Daily Transactions'!B:B,"&lt;&gt;Sales")</f>
        <v>7551</v>
      </c>
      <c r="D99" s="8" t="n">
        <f aca="false">SUMIFS('Daily Transactions'!C:C,'Daily Transactions'!A:A,$A99,'Daily Transactions'!B:B,"&lt;&gt;Sales",'Daily Transactions'!D:D,"Cash")</f>
        <v>1625</v>
      </c>
      <c r="E99" s="8" t="n">
        <f aca="false">SUMIFS('Daily Transactions'!C:C,'Daily Transactions'!A:A,$A99,'Daily Transactions'!B:B,"&lt;&gt;Sales",'Daily Transactions'!D:D,"Bank_Cash")</f>
        <v>870</v>
      </c>
      <c r="F99" s="8" t="n">
        <f aca="false">SUMIFS('Daily Transactions'!C:C,'Daily Transactions'!A:A,$A99,'Daily Transactions'!B:B,"&lt;&gt;Sales",'Daily Transactions'!D:D,"Bank")</f>
        <v>5056</v>
      </c>
      <c r="G99" s="8" t="n">
        <f aca="false">B99-C99</f>
        <v>17575</v>
      </c>
      <c r="H99" s="8" t="n">
        <f aca="false">J98</f>
        <v>-6730</v>
      </c>
      <c r="I99" s="8" t="n">
        <f aca="false">SUMIFS('Daily Transactions'!C:C,'Daily Transactions'!A:A,$A99,'Daily Transactions'!B:B,"Sales",'Daily Transactions'!D:D,"Cash")</f>
        <v>2725</v>
      </c>
      <c r="J99" s="8" t="n">
        <f aca="false">(H99+I99)-(D99+E99)</f>
        <v>-6500</v>
      </c>
      <c r="K99" s="8"/>
      <c r="L99" s="8" t="n">
        <f aca="false">SUMIFS('Daily Transactions'!C:C,'Daily Transactions'!A:A,$A99,'Daily Transactions'!B:B,"Cash Shortage",'Daily Transactions'!D:D,"Cash")</f>
        <v>0</v>
      </c>
      <c r="M99" s="8"/>
    </row>
    <row r="100" customFormat="false" ht="15.75" hidden="false" customHeight="true" outlineLevel="0" collapsed="false">
      <c r="A100" s="35" t="n">
        <f aca="false">A99+1</f>
        <v>45754</v>
      </c>
      <c r="B100" s="8" t="n">
        <f aca="false">SUMIFS('Daily Transactions'!C:C,'Daily Transactions'!A:A,$A100,'Daily Transactions'!B:B,"Sales")</f>
        <v>26772</v>
      </c>
      <c r="C100" s="8" t="n">
        <f aca="false">SUMIFS('Daily Transactions'!C:C,'Daily Transactions'!A:A,$A100,'Daily Transactions'!B:B,"&lt;&gt;Sales")</f>
        <v>11903</v>
      </c>
      <c r="D100" s="8" t="n">
        <f aca="false">SUMIFS('Daily Transactions'!C:C,'Daily Transactions'!A:A,$A100,'Daily Transactions'!B:B,"&lt;&gt;Sales",'Daily Transactions'!D:D,"Cash")</f>
        <v>1195</v>
      </c>
      <c r="E100" s="8" t="n">
        <f aca="false">SUMIFS('Daily Transactions'!C:C,'Daily Transactions'!A:A,$A100,'Daily Transactions'!B:B,"&lt;&gt;Sales",'Daily Transactions'!D:D,"Bank_Cash")</f>
        <v>200</v>
      </c>
      <c r="F100" s="8" t="n">
        <f aca="false">SUMIFS('Daily Transactions'!C:C,'Daily Transactions'!A:A,$A100,'Daily Transactions'!B:B,"&lt;&gt;Sales",'Daily Transactions'!D:D,"Bank")</f>
        <v>10508</v>
      </c>
      <c r="G100" s="8" t="n">
        <f aca="false">B100-C100</f>
        <v>14869</v>
      </c>
      <c r="H100" s="8" t="n">
        <f aca="false">J99</f>
        <v>-6500</v>
      </c>
      <c r="I100" s="8" t="n">
        <f aca="false">SUMIFS('Daily Transactions'!C:C,'Daily Transactions'!A:A,$A100,'Daily Transactions'!B:B,"Sales",'Daily Transactions'!D:D,"Cash")</f>
        <v>6595</v>
      </c>
      <c r="J100" s="8" t="n">
        <f aca="false">(H100+I100)-(D100+E100)</f>
        <v>-1300</v>
      </c>
      <c r="K100" s="8"/>
      <c r="L100" s="8" t="n">
        <f aca="false">SUMIFS('Daily Transactions'!C:C,'Daily Transactions'!A:A,$A100,'Daily Transactions'!B:B,"Cash Shortage",'Daily Transactions'!D:D,"Cash")</f>
        <v>0</v>
      </c>
      <c r="M100" s="8"/>
    </row>
    <row r="101" customFormat="false" ht="15.75" hidden="false" customHeight="true" outlineLevel="0" collapsed="false">
      <c r="A101" s="35" t="n">
        <f aca="false">A100+1</f>
        <v>45755</v>
      </c>
      <c r="B101" s="8" t="n">
        <f aca="false">SUMIFS('Daily Transactions'!C:C,'Daily Transactions'!A:A,$A101,'Daily Transactions'!B:B,"Sales")</f>
        <v>16457</v>
      </c>
      <c r="C101" s="8" t="n">
        <f aca="false">SUMIFS('Daily Transactions'!C:C,'Daily Transactions'!A:A,$A101,'Daily Transactions'!B:B,"&lt;&gt;Sales")</f>
        <v>10903</v>
      </c>
      <c r="D101" s="8" t="n">
        <f aca="false">SUMIFS('Daily Transactions'!C:C,'Daily Transactions'!A:A,$A101,'Daily Transactions'!B:B,"&lt;&gt;Sales",'Daily Transactions'!D:D,"Cash")</f>
        <v>360</v>
      </c>
      <c r="E101" s="8" t="n">
        <f aca="false">SUMIFS('Daily Transactions'!C:C,'Daily Transactions'!A:A,$A101,'Daily Transactions'!B:B,"&lt;&gt;Sales",'Daily Transactions'!D:D,"Bank_Cash")</f>
        <v>1250</v>
      </c>
      <c r="F101" s="8" t="n">
        <f aca="false">SUMIFS('Daily Transactions'!C:C,'Daily Transactions'!A:A,$A101,'Daily Transactions'!B:B,"&lt;&gt;Sales",'Daily Transactions'!D:D,"Bank")</f>
        <v>9293</v>
      </c>
      <c r="G101" s="8" t="n">
        <f aca="false">B101-C101</f>
        <v>5554</v>
      </c>
      <c r="H101" s="8" t="n">
        <f aca="false">J100</f>
        <v>-1300</v>
      </c>
      <c r="I101" s="8" t="n">
        <f aca="false">SUMIFS('Daily Transactions'!C:C,'Daily Transactions'!A:A,$A101,'Daily Transactions'!B:B,"Sales",'Daily Transactions'!D:D,"Cash")</f>
        <v>1810</v>
      </c>
      <c r="J101" s="8" t="n">
        <f aca="false">(H101+I101)-(D101+E101)</f>
        <v>-1100</v>
      </c>
      <c r="K101" s="8"/>
      <c r="L101" s="8" t="n">
        <f aca="false">SUMIFS('Daily Transactions'!C:C,'Daily Transactions'!A:A,$A101,'Daily Transactions'!B:B,"Cash Shortage",'Daily Transactions'!D:D,"Cash")</f>
        <v>0</v>
      </c>
      <c r="M101" s="8"/>
    </row>
    <row r="102" customFormat="false" ht="15.75" hidden="false" customHeight="true" outlineLevel="0" collapsed="false">
      <c r="A102" s="35" t="n">
        <f aca="false">A101+1</f>
        <v>45756</v>
      </c>
      <c r="B102" s="8" t="n">
        <f aca="false">SUMIFS('Daily Transactions'!C:C,'Daily Transactions'!A:A,$A102,'Daily Transactions'!B:B,"Sales")</f>
        <v>24202</v>
      </c>
      <c r="C102" s="8" t="n">
        <f aca="false">SUMIFS('Daily Transactions'!C:C,'Daily Transactions'!A:A,$A102,'Daily Transactions'!B:B,"&lt;&gt;Sales")</f>
        <v>9909</v>
      </c>
      <c r="D102" s="8" t="n">
        <f aca="false">SUMIFS('Daily Transactions'!C:C,'Daily Transactions'!A:A,$A102,'Daily Transactions'!B:B,"&lt;&gt;Sales",'Daily Transactions'!D:D,"Cash")</f>
        <v>700</v>
      </c>
      <c r="E102" s="8" t="n">
        <f aca="false">SUMIFS('Daily Transactions'!C:C,'Daily Transactions'!A:A,$A102,'Daily Transactions'!B:B,"&lt;&gt;Sales",'Daily Transactions'!D:D,"Bank_Cash")</f>
        <v>1350</v>
      </c>
      <c r="F102" s="8" t="n">
        <f aca="false">SUMIFS('Daily Transactions'!C:C,'Daily Transactions'!A:A,$A102,'Daily Transactions'!B:B,"&lt;&gt;Sales",'Daily Transactions'!D:D,"Bank")</f>
        <v>7859</v>
      </c>
      <c r="G102" s="8" t="n">
        <f aca="false">B102-C102</f>
        <v>14293</v>
      </c>
      <c r="H102" s="8" t="n">
        <f aca="false">J101</f>
        <v>-1100</v>
      </c>
      <c r="I102" s="8" t="n">
        <f aca="false">SUMIFS('Daily Transactions'!C:C,'Daily Transactions'!A:A,$A102,'Daily Transactions'!B:B,"Sales",'Daily Transactions'!D:D,"Cash")</f>
        <v>5600</v>
      </c>
      <c r="J102" s="8" t="n">
        <f aca="false">(H102+I102)-(D102+E102)</f>
        <v>2450</v>
      </c>
      <c r="K102" s="8"/>
      <c r="L102" s="8" t="n">
        <f aca="false">SUMIFS('Daily Transactions'!C:C,'Daily Transactions'!A:A,$A102,'Daily Transactions'!B:B,"Cash Shortage",'Daily Transactions'!D:D,"Cash")</f>
        <v>0</v>
      </c>
      <c r="M102" s="8"/>
    </row>
    <row r="103" customFormat="false" ht="15.75" hidden="false" customHeight="true" outlineLevel="0" collapsed="false">
      <c r="A103" s="35" t="n">
        <f aca="false">A102+1</f>
        <v>45757</v>
      </c>
      <c r="B103" s="8" t="n">
        <f aca="false">SUMIFS('Daily Transactions'!C:C,'Daily Transactions'!A:A,$A103,'Daily Transactions'!B:B,"Sales")</f>
        <v>20961</v>
      </c>
      <c r="C103" s="8" t="n">
        <f aca="false">SUMIFS('Daily Transactions'!C:C,'Daily Transactions'!A:A,$A103,'Daily Transactions'!B:B,"&lt;&gt;Sales")</f>
        <v>17908</v>
      </c>
      <c r="D103" s="8" t="n">
        <f aca="false">SUMIFS('Daily Transactions'!C:C,'Daily Transactions'!A:A,$A103,'Daily Transactions'!B:B,"&lt;&gt;Sales",'Daily Transactions'!D:D,"Cash")</f>
        <v>1735</v>
      </c>
      <c r="E103" s="8" t="n">
        <f aca="false">SUMIFS('Daily Transactions'!C:C,'Daily Transactions'!A:A,$A103,'Daily Transactions'!B:B,"&lt;&gt;Sales",'Daily Transactions'!D:D,"Bank_Cash")</f>
        <v>2100</v>
      </c>
      <c r="F103" s="8" t="n">
        <f aca="false">SUMIFS('Daily Transactions'!C:C,'Daily Transactions'!A:A,$A103,'Daily Transactions'!B:B,"&lt;&gt;Sales",'Daily Transactions'!D:D,"Bank")</f>
        <v>14073</v>
      </c>
      <c r="G103" s="8" t="n">
        <f aca="false">B103-C103</f>
        <v>3053</v>
      </c>
      <c r="H103" s="8" t="n">
        <f aca="false">J102</f>
        <v>2450</v>
      </c>
      <c r="I103" s="8" t="n">
        <f aca="false">SUMIFS('Daily Transactions'!C:C,'Daily Transactions'!A:A,$A103,'Daily Transactions'!B:B,"Sales",'Daily Transactions'!D:D,"Cash")</f>
        <v>4635</v>
      </c>
      <c r="J103" s="8" t="n">
        <f aca="false">(H103+I103)-(D103+E103)</f>
        <v>3250</v>
      </c>
      <c r="K103" s="8"/>
      <c r="L103" s="8" t="n">
        <f aca="false">SUMIFS('Daily Transactions'!C:C,'Daily Transactions'!A:A,$A103,'Daily Transactions'!B:B,"Cash Shortage",'Daily Transactions'!D:D,"Cash")</f>
        <v>0</v>
      </c>
      <c r="M103" s="8"/>
    </row>
    <row r="104" customFormat="false" ht="15.75" hidden="false" customHeight="true" outlineLevel="0" collapsed="false">
      <c r="A104" s="35" t="n">
        <f aca="false">A103+1</f>
        <v>45758</v>
      </c>
      <c r="B104" s="8" t="n">
        <f aca="false">SUMIFS('Daily Transactions'!C:C,'Daily Transactions'!A:A,$A104,'Daily Transactions'!B:B,"Sales")</f>
        <v>23948</v>
      </c>
      <c r="C104" s="8" t="n">
        <f aca="false">SUMIFS('Daily Transactions'!C:C,'Daily Transactions'!A:A,$A104,'Daily Transactions'!B:B,"&lt;&gt;Sales")</f>
        <v>9533</v>
      </c>
      <c r="D104" s="8" t="n">
        <f aca="false">SUMIFS('Daily Transactions'!C:C,'Daily Transactions'!A:A,$A104,'Daily Transactions'!B:B,"&lt;&gt;Sales",'Daily Transactions'!D:D,"Cash")</f>
        <v>295</v>
      </c>
      <c r="E104" s="8" t="n">
        <f aca="false">SUMIFS('Daily Transactions'!C:C,'Daily Transactions'!A:A,$A104,'Daily Transactions'!B:B,"&lt;&gt;Sales",'Daily Transactions'!D:D,"Bank_Cash")</f>
        <v>870</v>
      </c>
      <c r="F104" s="8" t="n">
        <f aca="false">SUMIFS('Daily Transactions'!C:C,'Daily Transactions'!A:A,$A104,'Daily Transactions'!B:B,"&lt;&gt;Sales",'Daily Transactions'!D:D,"Bank")</f>
        <v>8368</v>
      </c>
      <c r="G104" s="8" t="n">
        <f aca="false">B104-C104</f>
        <v>14415</v>
      </c>
      <c r="H104" s="8" t="n">
        <f aca="false">J103</f>
        <v>3250</v>
      </c>
      <c r="I104" s="8" t="n">
        <f aca="false">SUMIFS('Daily Transactions'!C:C,'Daily Transactions'!A:A,$A104,'Daily Transactions'!B:B,"Sales",'Daily Transactions'!D:D,"Cash")</f>
        <v>1815</v>
      </c>
      <c r="J104" s="8" t="n">
        <f aca="false">(H104+I104)-(D104+E104)</f>
        <v>3900</v>
      </c>
      <c r="K104" s="8"/>
      <c r="L104" s="8" t="n">
        <f aca="false">SUMIFS('Daily Transactions'!C:C,'Daily Transactions'!A:A,$A104,'Daily Transactions'!B:B,"Cash Shortage",'Daily Transactions'!D:D,"Cash")</f>
        <v>0</v>
      </c>
      <c r="M104" s="8"/>
    </row>
    <row r="105" customFormat="false" ht="15.75" hidden="false" customHeight="true" outlineLevel="0" collapsed="false">
      <c r="A105" s="35" t="n">
        <f aca="false">A104+1</f>
        <v>45759</v>
      </c>
      <c r="B105" s="8" t="n">
        <f aca="false">SUMIFS('Daily Transactions'!C:C,'Daily Transactions'!A:A,$A105,'Daily Transactions'!B:B,"Sales")</f>
        <v>19374</v>
      </c>
      <c r="C105" s="8" t="n">
        <f aca="false">SUMIFS('Daily Transactions'!C:C,'Daily Transactions'!A:A,$A105,'Daily Transactions'!B:B,"&lt;&gt;Sales")</f>
        <v>7860</v>
      </c>
      <c r="D105" s="8" t="n">
        <f aca="false">SUMIFS('Daily Transactions'!C:C,'Daily Transactions'!A:A,$A105,'Daily Transactions'!B:B,"&lt;&gt;Sales",'Daily Transactions'!D:D,"Cash")</f>
        <v>610</v>
      </c>
      <c r="E105" s="8" t="n">
        <f aca="false">SUMIFS('Daily Transactions'!C:C,'Daily Transactions'!A:A,$A105,'Daily Transactions'!B:B,"&lt;&gt;Sales",'Daily Transactions'!D:D,"Bank_Cash")</f>
        <v>700</v>
      </c>
      <c r="F105" s="8" t="n">
        <f aca="false">SUMIFS('Daily Transactions'!C:C,'Daily Transactions'!A:A,$A105,'Daily Transactions'!B:B,"&lt;&gt;Sales",'Daily Transactions'!D:D,"Bank")</f>
        <v>6550</v>
      </c>
      <c r="G105" s="8" t="n">
        <f aca="false">B105-C105</f>
        <v>11514</v>
      </c>
      <c r="H105" s="8" t="n">
        <f aca="false">J104</f>
        <v>3900</v>
      </c>
      <c r="I105" s="8" t="n">
        <f aca="false">SUMIFS('Daily Transactions'!C:C,'Daily Transactions'!A:A,$A105,'Daily Transactions'!B:B,"Sales",'Daily Transactions'!D:D,"Cash")</f>
        <v>3210</v>
      </c>
      <c r="J105" s="8" t="n">
        <f aca="false">(H105+I105)-(D105+E105)</f>
        <v>5800</v>
      </c>
      <c r="K105" s="8"/>
      <c r="L105" s="8" t="n">
        <f aca="false">SUMIFS('Daily Transactions'!C:C,'Daily Transactions'!A:A,$A105,'Daily Transactions'!B:B,"Cash Shortage",'Daily Transactions'!D:D,"Cash")</f>
        <v>0</v>
      </c>
      <c r="M105" s="8"/>
    </row>
    <row r="106" customFormat="false" ht="15.75" hidden="false" customHeight="true" outlineLevel="0" collapsed="false">
      <c r="A106" s="35" t="n">
        <f aca="false">A105+1</f>
        <v>45760</v>
      </c>
      <c r="B106" s="8" t="n">
        <f aca="false">SUMIFS('Daily Transactions'!C:C,'Daily Transactions'!A:A,$A106,'Daily Transactions'!B:B,"Sales")</f>
        <v>29270</v>
      </c>
      <c r="C106" s="8" t="n">
        <f aca="false">SUMIFS('Daily Transactions'!C:C,'Daily Transactions'!A:A,$A106,'Daily Transactions'!B:B,"&lt;&gt;Sales")</f>
        <v>16740</v>
      </c>
      <c r="D106" s="8" t="n">
        <f aca="false">SUMIFS('Daily Transactions'!C:C,'Daily Transactions'!A:A,$A106,'Daily Transactions'!B:B,"&lt;&gt;Sales",'Daily Transactions'!D:D,"Cash")</f>
        <v>1655</v>
      </c>
      <c r="E106" s="8" t="n">
        <f aca="false">SUMIFS('Daily Transactions'!C:C,'Daily Transactions'!A:A,$A106,'Daily Transactions'!B:B,"&lt;&gt;Sales",'Daily Transactions'!D:D,"Bank_Cash")</f>
        <v>5200</v>
      </c>
      <c r="F106" s="8" t="n">
        <f aca="false">SUMIFS('Daily Transactions'!C:C,'Daily Transactions'!A:A,$A106,'Daily Transactions'!B:B,"&lt;&gt;Sales",'Daily Transactions'!D:D,"Bank")</f>
        <v>9885</v>
      </c>
      <c r="G106" s="8" t="n">
        <f aca="false">B106-C106</f>
        <v>12530</v>
      </c>
      <c r="H106" s="8" t="n">
        <f aca="false">J105</f>
        <v>5800</v>
      </c>
      <c r="I106" s="8" t="n">
        <f aca="false">SUMIFS('Daily Transactions'!C:C,'Daily Transactions'!A:A,$A106,'Daily Transactions'!B:B,"Sales",'Daily Transactions'!D:D,"Cash")</f>
        <v>3355</v>
      </c>
      <c r="J106" s="8" t="n">
        <f aca="false">(H106+I106)-(D106+E106)</f>
        <v>2300</v>
      </c>
      <c r="K106" s="8"/>
      <c r="L106" s="8" t="n">
        <f aca="false">SUMIFS('Daily Transactions'!C:C,'Daily Transactions'!A:A,$A106,'Daily Transactions'!B:B,"Cash Shortage",'Daily Transactions'!D:D,"Cash")</f>
        <v>0</v>
      </c>
      <c r="M106" s="8"/>
    </row>
    <row r="107" customFormat="false" ht="15.75" hidden="false" customHeight="true" outlineLevel="0" collapsed="false">
      <c r="A107" s="35" t="n">
        <f aca="false">A106+1</f>
        <v>45761</v>
      </c>
      <c r="B107" s="8" t="n">
        <f aca="false">SUMIFS('Daily Transactions'!C:C,'Daily Transactions'!A:A,$A107,'Daily Transactions'!B:B,"Sales")</f>
        <v>15973</v>
      </c>
      <c r="C107" s="8" t="n">
        <f aca="false">SUMIFS('Daily Transactions'!C:C,'Daily Transactions'!A:A,$A107,'Daily Transactions'!B:B,"&lt;&gt;Sales")</f>
        <v>10900</v>
      </c>
      <c r="D107" s="8" t="n">
        <f aca="false">SUMIFS('Daily Transactions'!C:C,'Daily Transactions'!A:A,$A107,'Daily Transactions'!B:B,"&lt;&gt;Sales",'Daily Transactions'!D:D,"Cash")</f>
        <v>1400</v>
      </c>
      <c r="E107" s="8" t="n">
        <f aca="false">SUMIFS('Daily Transactions'!C:C,'Daily Transactions'!A:A,$A107,'Daily Transactions'!B:B,"&lt;&gt;Sales",'Daily Transactions'!D:D,"Bank_Cash")</f>
        <v>900</v>
      </c>
      <c r="F107" s="8" t="n">
        <f aca="false">SUMIFS('Daily Transactions'!C:C,'Daily Transactions'!A:A,$A107,'Daily Transactions'!B:B,"&lt;&gt;Sales",'Daily Transactions'!D:D,"Bank")</f>
        <v>8600</v>
      </c>
      <c r="G107" s="8" t="n">
        <f aca="false">B107-C107</f>
        <v>5073</v>
      </c>
      <c r="H107" s="8" t="n">
        <f aca="false">J106</f>
        <v>2300</v>
      </c>
      <c r="I107" s="8" t="n">
        <f aca="false">SUMIFS('Daily Transactions'!C:C,'Daily Transactions'!A:A,$A107,'Daily Transactions'!B:B,"Sales",'Daily Transactions'!D:D,"Cash")</f>
        <v>3600</v>
      </c>
      <c r="J107" s="8" t="n">
        <f aca="false">(H107+I107)-(D107+E107)</f>
        <v>3600</v>
      </c>
      <c r="K107" s="8"/>
      <c r="L107" s="8" t="n">
        <f aca="false">SUMIFS('Daily Transactions'!C:C,'Daily Transactions'!A:A,$A107,'Daily Transactions'!B:B,"Cash Shortage",'Daily Transactions'!D:D,"Cash")</f>
        <v>0</v>
      </c>
      <c r="M107" s="8"/>
    </row>
    <row r="108" customFormat="false" ht="15.75" hidden="false" customHeight="true" outlineLevel="0" collapsed="false">
      <c r="A108" s="35" t="n">
        <f aca="false">A107+1</f>
        <v>45762</v>
      </c>
      <c r="B108" s="8" t="n">
        <f aca="false">SUMIFS('Daily Transactions'!C:C,'Daily Transactions'!A:A,$A108,'Daily Transactions'!B:B,"Sales")</f>
        <v>18997</v>
      </c>
      <c r="C108" s="8" t="n">
        <f aca="false">SUMIFS('Daily Transactions'!C:C,'Daily Transactions'!A:A,$A108,'Daily Transactions'!B:B,"&lt;&gt;Sales")</f>
        <v>14665</v>
      </c>
      <c r="D108" s="8" t="n">
        <f aca="false">SUMIFS('Daily Transactions'!C:C,'Daily Transactions'!A:A,$A108,'Daily Transactions'!B:B,"&lt;&gt;Sales",'Daily Transactions'!D:D,"Cash")</f>
        <v>675</v>
      </c>
      <c r="E108" s="8" t="n">
        <f aca="false">SUMIFS('Daily Transactions'!C:C,'Daily Transactions'!A:A,$A108,'Daily Transactions'!B:B,"&lt;&gt;Sales",'Daily Transactions'!D:D,"Bank_Cash")</f>
        <v>0</v>
      </c>
      <c r="F108" s="8" t="n">
        <f aca="false">SUMIFS('Daily Transactions'!C:C,'Daily Transactions'!A:A,$A108,'Daily Transactions'!B:B,"&lt;&gt;Sales",'Daily Transactions'!D:D,"Bank")</f>
        <v>13990</v>
      </c>
      <c r="G108" s="8" t="n">
        <f aca="false">B108-C108</f>
        <v>4332</v>
      </c>
      <c r="H108" s="8" t="n">
        <f aca="false">J107</f>
        <v>3600</v>
      </c>
      <c r="I108" s="8" t="n">
        <f aca="false">SUMIFS('Daily Transactions'!C:C,'Daily Transactions'!A:A,$A108,'Daily Transactions'!B:B,"Sales",'Daily Transactions'!D:D,"Cash")</f>
        <v>2875</v>
      </c>
      <c r="J108" s="8" t="n">
        <f aca="false">(H108+I108)-(D108+E108)</f>
        <v>5800</v>
      </c>
      <c r="K108" s="8"/>
      <c r="L108" s="8" t="n">
        <f aca="false">SUMIFS('Daily Transactions'!C:C,'Daily Transactions'!A:A,$A108,'Daily Transactions'!B:B,"Cash Shortage",'Daily Transactions'!D:D,"Cash")</f>
        <v>0</v>
      </c>
      <c r="M108" s="8"/>
    </row>
    <row r="109" customFormat="false" ht="15.75" hidden="false" customHeight="true" outlineLevel="0" collapsed="false">
      <c r="A109" s="35" t="n">
        <f aca="false">A108+1</f>
        <v>45763</v>
      </c>
      <c r="B109" s="8" t="n">
        <f aca="false">SUMIFS('Daily Transactions'!C:C,'Daily Transactions'!A:A,$A109,'Daily Transactions'!B:B,"Sales")</f>
        <v>17905</v>
      </c>
      <c r="C109" s="8" t="n">
        <f aca="false">SUMIFS('Daily Transactions'!C:C,'Daily Transactions'!A:A,$A109,'Daily Transactions'!B:B,"&lt;&gt;Sales")</f>
        <v>15369</v>
      </c>
      <c r="D109" s="8" t="n">
        <f aca="false">SUMIFS('Daily Transactions'!C:C,'Daily Transactions'!A:A,$A109,'Daily Transactions'!B:B,"&lt;&gt;Sales",'Daily Transactions'!D:D,"Cash")</f>
        <v>1560</v>
      </c>
      <c r="E109" s="8" t="n">
        <f aca="false">SUMIFS('Daily Transactions'!C:C,'Daily Transactions'!A:A,$A109,'Daily Transactions'!B:B,"&lt;&gt;Sales",'Daily Transactions'!D:D,"Bank_Cash")</f>
        <v>700</v>
      </c>
      <c r="F109" s="8" t="n">
        <f aca="false">SUMIFS('Daily Transactions'!C:C,'Daily Transactions'!A:A,$A109,'Daily Transactions'!B:B,"&lt;&gt;Sales",'Daily Transactions'!D:D,"Bank")</f>
        <v>13109</v>
      </c>
      <c r="G109" s="8" t="n">
        <f aca="false">B109-C109</f>
        <v>2536</v>
      </c>
      <c r="H109" s="8" t="n">
        <f aca="false">J108</f>
        <v>5800</v>
      </c>
      <c r="I109" s="8" t="n">
        <f aca="false">SUMIFS('Daily Transactions'!C:C,'Daily Transactions'!A:A,$A109,'Daily Transactions'!B:B,"Sales",'Daily Transactions'!D:D,"Cash")</f>
        <v>2760</v>
      </c>
      <c r="J109" s="8" t="n">
        <f aca="false">(H109+I109)-(D109+E109)</f>
        <v>6300</v>
      </c>
      <c r="K109" s="8"/>
      <c r="L109" s="8" t="n">
        <f aca="false">SUMIFS('Daily Transactions'!C:C,'Daily Transactions'!A:A,$A109,'Daily Transactions'!B:B,"Cash Shortage",'Daily Transactions'!D:D,"Cash")</f>
        <v>0</v>
      </c>
      <c r="M109" s="8"/>
    </row>
    <row r="110" customFormat="false" ht="15.75" hidden="false" customHeight="true" outlineLevel="0" collapsed="false">
      <c r="A110" s="35" t="n">
        <f aca="false">A109+1</f>
        <v>45764</v>
      </c>
      <c r="B110" s="8" t="n">
        <f aca="false">SUMIFS('Daily Transactions'!C:C,'Daily Transactions'!A:A,$A110,'Daily Transactions'!B:B,"Sales")</f>
        <v>17363</v>
      </c>
      <c r="C110" s="8" t="n">
        <f aca="false">SUMIFS('Daily Transactions'!C:C,'Daily Transactions'!A:A,$A110,'Daily Transactions'!B:B,"&lt;&gt;Sales")</f>
        <v>15039</v>
      </c>
      <c r="D110" s="8" t="n">
        <f aca="false">SUMIFS('Daily Transactions'!C:C,'Daily Transactions'!A:A,$A110,'Daily Transactions'!B:B,"&lt;&gt;Sales",'Daily Transactions'!D:D,"Cash")</f>
        <v>290</v>
      </c>
      <c r="E110" s="8" t="n">
        <f aca="false">SUMIFS('Daily Transactions'!C:C,'Daily Transactions'!A:A,$A110,'Daily Transactions'!B:B,"&lt;&gt;Sales",'Daily Transactions'!D:D,"Bank_Cash")</f>
        <v>1150</v>
      </c>
      <c r="F110" s="8" t="n">
        <f aca="false">SUMIFS('Daily Transactions'!C:C,'Daily Transactions'!A:A,$A110,'Daily Transactions'!B:B,"&lt;&gt;Sales",'Daily Transactions'!D:D,"Bank")</f>
        <v>13599</v>
      </c>
      <c r="G110" s="8" t="n">
        <f aca="false">B110-C110</f>
        <v>2324</v>
      </c>
      <c r="H110" s="8" t="n">
        <f aca="false">J109</f>
        <v>6300</v>
      </c>
      <c r="I110" s="8" t="n">
        <f aca="false">SUMIFS('Daily Transactions'!C:C,'Daily Transactions'!A:A,$A110,'Daily Transactions'!B:B,"Sales",'Daily Transactions'!D:D,"Cash")</f>
        <v>2440</v>
      </c>
      <c r="J110" s="8" t="n">
        <f aca="false">(H110+I110)-(D110+E110)</f>
        <v>7300</v>
      </c>
      <c r="K110" s="8"/>
      <c r="L110" s="8" t="n">
        <f aca="false">SUMIFS('Daily Transactions'!C:C,'Daily Transactions'!A:A,$A110,'Daily Transactions'!B:B,"Cash Shortage",'Daily Transactions'!D:D,"Cash")</f>
        <v>0</v>
      </c>
      <c r="M110" s="8"/>
    </row>
    <row r="111" customFormat="false" ht="15.75" hidden="false" customHeight="true" outlineLevel="0" collapsed="false">
      <c r="A111" s="35" t="n">
        <f aca="false">A110+1</f>
        <v>45765</v>
      </c>
      <c r="B111" s="8" t="n">
        <f aca="false">SUMIFS('Daily Transactions'!C:C,'Daily Transactions'!A:A,$A111,'Daily Transactions'!B:B,"Sales")</f>
        <v>21006</v>
      </c>
      <c r="C111" s="8" t="n">
        <f aca="false">SUMIFS('Daily Transactions'!C:C,'Daily Transactions'!A:A,$A111,'Daily Transactions'!B:B,"&lt;&gt;Sales")</f>
        <v>8339</v>
      </c>
      <c r="D111" s="8" t="n">
        <f aca="false">SUMIFS('Daily Transactions'!C:C,'Daily Transactions'!A:A,$A111,'Daily Transactions'!B:B,"&lt;&gt;Sales",'Daily Transactions'!D:D,"Cash")</f>
        <v>275</v>
      </c>
      <c r="E111" s="8" t="n">
        <f aca="false">SUMIFS('Daily Transactions'!C:C,'Daily Transactions'!A:A,$A111,'Daily Transactions'!B:B,"&lt;&gt;Sales",'Daily Transactions'!D:D,"Bank_Cash")</f>
        <v>1100</v>
      </c>
      <c r="F111" s="8" t="n">
        <f aca="false">SUMIFS('Daily Transactions'!C:C,'Daily Transactions'!A:A,$A111,'Daily Transactions'!B:B,"&lt;&gt;Sales",'Daily Transactions'!D:D,"Bank")</f>
        <v>6964</v>
      </c>
      <c r="G111" s="8" t="n">
        <f aca="false">B111-C111</f>
        <v>12667</v>
      </c>
      <c r="H111" s="8" t="n">
        <f aca="false">J110</f>
        <v>7300</v>
      </c>
      <c r="I111" s="8" t="n">
        <f aca="false">SUMIFS('Daily Transactions'!C:C,'Daily Transactions'!A:A,$A111,'Daily Transactions'!B:B,"Sales",'Daily Transactions'!D:D,"Cash")</f>
        <v>2575</v>
      </c>
      <c r="J111" s="8" t="n">
        <f aca="false">(H111+I111)-(D111+E111)</f>
        <v>8500</v>
      </c>
      <c r="K111" s="8"/>
      <c r="L111" s="8" t="n">
        <f aca="false">SUMIFS('Daily Transactions'!C:C,'Daily Transactions'!A:A,$A111,'Daily Transactions'!B:B,"Cash Shortage",'Daily Transactions'!D:D,"Cash")</f>
        <v>0</v>
      </c>
      <c r="M111" s="8"/>
    </row>
    <row r="112" customFormat="false" ht="15.75" hidden="false" customHeight="true" outlineLevel="0" collapsed="false">
      <c r="A112" s="35" t="n">
        <f aca="false">A111+1</f>
        <v>45766</v>
      </c>
      <c r="B112" s="8" t="n">
        <f aca="false">SUMIFS('Daily Transactions'!C:C,'Daily Transactions'!A:A,$A112,'Daily Transactions'!B:B,"Sales")</f>
        <v>24887</v>
      </c>
      <c r="C112" s="8" t="n">
        <f aca="false">SUMIFS('Daily Transactions'!C:C,'Daily Transactions'!A:A,$A112,'Daily Transactions'!B:B,"&lt;&gt;Sales")</f>
        <v>8116</v>
      </c>
      <c r="D112" s="8" t="n">
        <f aca="false">SUMIFS('Daily Transactions'!C:C,'Daily Transactions'!A:A,$A112,'Daily Transactions'!B:B,"&lt;&gt;Sales",'Daily Transactions'!D:D,"Cash")</f>
        <v>870</v>
      </c>
      <c r="E112" s="8" t="n">
        <f aca="false">SUMIFS('Daily Transactions'!C:C,'Daily Transactions'!A:A,$A112,'Daily Transactions'!B:B,"&lt;&gt;Sales",'Daily Transactions'!D:D,"Bank_Cash")</f>
        <v>2850</v>
      </c>
      <c r="F112" s="8" t="n">
        <f aca="false">SUMIFS('Daily Transactions'!C:C,'Daily Transactions'!A:A,$A112,'Daily Transactions'!B:B,"&lt;&gt;Sales",'Daily Transactions'!D:D,"Bank")</f>
        <v>4396</v>
      </c>
      <c r="G112" s="8" t="n">
        <f aca="false">B112-C112</f>
        <v>16771</v>
      </c>
      <c r="H112" s="8" t="n">
        <f aca="false">J111</f>
        <v>8500</v>
      </c>
      <c r="I112" s="8" t="n">
        <f aca="false">SUMIFS('Daily Transactions'!C:C,'Daily Transactions'!A:A,$A112,'Daily Transactions'!B:B,"Sales",'Daily Transactions'!D:D,"Cash")</f>
        <v>3970</v>
      </c>
      <c r="J112" s="8" t="n">
        <f aca="false">(H112+I112)-(D112+E112)</f>
        <v>8750</v>
      </c>
      <c r="K112" s="8"/>
      <c r="L112" s="8" t="n">
        <f aca="false">SUMIFS('Daily Transactions'!C:C,'Daily Transactions'!A:A,$A112,'Daily Transactions'!B:B,"Cash Shortage",'Daily Transactions'!D:D,"Cash")</f>
        <v>0</v>
      </c>
      <c r="M112" s="8"/>
    </row>
    <row r="113" customFormat="false" ht="15.75" hidden="false" customHeight="true" outlineLevel="0" collapsed="false">
      <c r="A113" s="35" t="n">
        <f aca="false">A112+1</f>
        <v>45767</v>
      </c>
      <c r="B113" s="8" t="n">
        <f aca="false">SUMIFS('Daily Transactions'!C:C,'Daily Transactions'!A:A,$A113,'Daily Transactions'!B:B,"Sales")</f>
        <v>34665</v>
      </c>
      <c r="C113" s="8" t="n">
        <f aca="false">SUMIFS('Daily Transactions'!C:C,'Daily Transactions'!A:A,$A113,'Daily Transactions'!B:B,"&lt;&gt;Sales")</f>
        <v>13051</v>
      </c>
      <c r="D113" s="8" t="n">
        <f aca="false">SUMIFS('Daily Transactions'!C:C,'Daily Transactions'!A:A,$A113,'Daily Transactions'!B:B,"&lt;&gt;Sales",'Daily Transactions'!D:D,"Cash")</f>
        <v>195</v>
      </c>
      <c r="E113" s="8" t="n">
        <f aca="false">SUMIFS('Daily Transactions'!C:C,'Daily Transactions'!A:A,$A113,'Daily Transactions'!B:B,"&lt;&gt;Sales",'Daily Transactions'!D:D,"Bank_Cash")</f>
        <v>3350</v>
      </c>
      <c r="F113" s="8" t="n">
        <f aca="false">SUMIFS('Daily Transactions'!C:C,'Daily Transactions'!A:A,$A113,'Daily Transactions'!B:B,"&lt;&gt;Sales",'Daily Transactions'!D:D,"Bank")</f>
        <v>9506</v>
      </c>
      <c r="G113" s="8" t="n">
        <f aca="false">B113-C113</f>
        <v>21614</v>
      </c>
      <c r="H113" s="8" t="n">
        <f aca="false">J112</f>
        <v>8750</v>
      </c>
      <c r="I113" s="8" t="n">
        <f aca="false">SUMIFS('Daily Transactions'!C:C,'Daily Transactions'!A:A,$A113,'Daily Transactions'!B:B,"Sales",'Daily Transactions'!D:D,"Cash")</f>
        <v>6045</v>
      </c>
      <c r="J113" s="8" t="n">
        <f aca="false">(H113+I113)-(D113+E113)</f>
        <v>11250</v>
      </c>
      <c r="K113" s="8"/>
      <c r="L113" s="8" t="n">
        <f aca="false">SUMIFS('Daily Transactions'!C:C,'Daily Transactions'!A:A,$A113,'Daily Transactions'!B:B,"Cash Shortage",'Daily Transactions'!D:D,"Cash")</f>
        <v>0</v>
      </c>
      <c r="M113" s="8"/>
    </row>
    <row r="114" customFormat="false" ht="15.75" hidden="false" customHeight="true" outlineLevel="0" collapsed="false">
      <c r="A114" s="35" t="n">
        <f aca="false">A113+1</f>
        <v>45768</v>
      </c>
      <c r="B114" s="8" t="n">
        <f aca="false">SUMIFS('Daily Transactions'!C:C,'Daily Transactions'!A:A,$A114,'Daily Transactions'!B:B,"Sales")</f>
        <v>16057</v>
      </c>
      <c r="C114" s="8" t="n">
        <f aca="false">SUMIFS('Daily Transactions'!C:C,'Daily Transactions'!A:A,$A114,'Daily Transactions'!B:B,"&lt;&gt;Sales")</f>
        <v>23703</v>
      </c>
      <c r="D114" s="8" t="n">
        <f aca="false">SUMIFS('Daily Transactions'!C:C,'Daily Transactions'!A:A,$A114,'Daily Transactions'!B:B,"&lt;&gt;Sales",'Daily Transactions'!D:D,"Cash")</f>
        <v>1445</v>
      </c>
      <c r="E114" s="8" t="n">
        <f aca="false">SUMIFS('Daily Transactions'!C:C,'Daily Transactions'!A:A,$A114,'Daily Transactions'!B:B,"&lt;&gt;Sales",'Daily Transactions'!D:D,"Bank_Cash")</f>
        <v>9875</v>
      </c>
      <c r="F114" s="8" t="n">
        <f aca="false">SUMIFS('Daily Transactions'!C:C,'Daily Transactions'!A:A,$A114,'Daily Transactions'!B:B,"&lt;&gt;Sales",'Daily Transactions'!D:D,"Bank")</f>
        <v>12383</v>
      </c>
      <c r="G114" s="8" t="n">
        <f aca="false">B114-C114</f>
        <v>-7646</v>
      </c>
      <c r="H114" s="8" t="n">
        <f aca="false">J113</f>
        <v>11250</v>
      </c>
      <c r="I114" s="8" t="n">
        <f aca="false">SUMIFS('Daily Transactions'!C:C,'Daily Transactions'!A:A,$A114,'Daily Transactions'!B:B,"Sales",'Daily Transactions'!D:D,"Cash")</f>
        <v>3440</v>
      </c>
      <c r="J114" s="8" t="n">
        <f aca="false">(H114+I114)-(D114+E114)</f>
        <v>3370</v>
      </c>
      <c r="K114" s="8"/>
      <c r="L114" s="8" t="n">
        <f aca="false">SUMIFS('Daily Transactions'!C:C,'Daily Transactions'!A:A,$A114,'Daily Transactions'!B:B,"Cash Shortage",'Daily Transactions'!D:D,"Cash")</f>
        <v>0</v>
      </c>
      <c r="M114" s="8"/>
    </row>
    <row r="115" customFormat="false" ht="15.75" hidden="false" customHeight="true" outlineLevel="0" collapsed="false">
      <c r="A115" s="35" t="n">
        <f aca="false">A114+1</f>
        <v>45769</v>
      </c>
      <c r="B115" s="8" t="n">
        <f aca="false">SUMIFS('Daily Transactions'!C:C,'Daily Transactions'!A:A,$A115,'Daily Transactions'!B:B,"Sales")</f>
        <v>15432</v>
      </c>
      <c r="C115" s="8" t="n">
        <f aca="false">SUMIFS('Daily Transactions'!C:C,'Daily Transactions'!A:A,$A115,'Daily Transactions'!B:B,"&lt;&gt;Sales")</f>
        <v>8750</v>
      </c>
      <c r="D115" s="8" t="n">
        <f aca="false">SUMIFS('Daily Transactions'!C:C,'Daily Transactions'!A:A,$A115,'Daily Transactions'!B:B,"&lt;&gt;Sales",'Daily Transactions'!D:D,"Cash")</f>
        <v>250</v>
      </c>
      <c r="E115" s="8" t="n">
        <f aca="false">SUMIFS('Daily Transactions'!C:C,'Daily Transactions'!A:A,$A115,'Daily Transactions'!B:B,"&lt;&gt;Sales",'Daily Transactions'!D:D,"Bank_Cash")</f>
        <v>150</v>
      </c>
      <c r="F115" s="8" t="n">
        <f aca="false">SUMIFS('Daily Transactions'!C:C,'Daily Transactions'!A:A,$A115,'Daily Transactions'!B:B,"&lt;&gt;Sales",'Daily Transactions'!D:D,"Bank")</f>
        <v>8350</v>
      </c>
      <c r="G115" s="8" t="n">
        <f aca="false">B115-C115</f>
        <v>6682</v>
      </c>
      <c r="H115" s="8" t="n">
        <f aca="false">J114</f>
        <v>3370</v>
      </c>
      <c r="I115" s="8" t="n">
        <f aca="false">SUMIFS('Daily Transactions'!C:C,'Daily Transactions'!A:A,$A115,'Daily Transactions'!B:B,"Sales",'Daily Transactions'!D:D,"Cash")</f>
        <v>2650</v>
      </c>
      <c r="J115" s="8" t="n">
        <f aca="false">(H115+I115)-(D115+E115)</f>
        <v>5620</v>
      </c>
      <c r="K115" s="8"/>
      <c r="L115" s="8" t="n">
        <f aca="false">SUMIFS('Daily Transactions'!C:C,'Daily Transactions'!A:A,$A115,'Daily Transactions'!B:B,"Cash Shortage",'Daily Transactions'!D:D,"Cash")</f>
        <v>0</v>
      </c>
      <c r="M115" s="8"/>
    </row>
    <row r="116" customFormat="false" ht="15.75" hidden="false" customHeight="true" outlineLevel="0" collapsed="false">
      <c r="A116" s="35" t="n">
        <f aca="false">A115+1</f>
        <v>45770</v>
      </c>
      <c r="B116" s="8" t="n">
        <f aca="false">SUMIFS('Daily Transactions'!C:C,'Daily Transactions'!A:A,$A116,'Daily Transactions'!B:B,"Sales")</f>
        <v>16097</v>
      </c>
      <c r="C116" s="8" t="n">
        <f aca="false">SUMIFS('Daily Transactions'!C:C,'Daily Transactions'!A:A,$A116,'Daily Transactions'!B:B,"&lt;&gt;Sales")</f>
        <v>8364</v>
      </c>
      <c r="D116" s="8" t="n">
        <f aca="false">SUMIFS('Daily Transactions'!C:C,'Daily Transactions'!A:A,$A116,'Daily Transactions'!B:B,"&lt;&gt;Sales",'Daily Transactions'!D:D,"Cash")</f>
        <v>390</v>
      </c>
      <c r="E116" s="8" t="n">
        <f aca="false">SUMIFS('Daily Transactions'!C:C,'Daily Transactions'!A:A,$A116,'Daily Transactions'!B:B,"&lt;&gt;Sales",'Daily Transactions'!D:D,"Bank_Cash")</f>
        <v>4340</v>
      </c>
      <c r="F116" s="8" t="n">
        <f aca="false">SUMIFS('Daily Transactions'!C:C,'Daily Transactions'!A:A,$A116,'Daily Transactions'!B:B,"&lt;&gt;Sales",'Daily Transactions'!D:D,"Bank")</f>
        <v>3634</v>
      </c>
      <c r="G116" s="8" t="n">
        <f aca="false">B116-C116</f>
        <v>7733</v>
      </c>
      <c r="H116" s="8" t="n">
        <f aca="false">J115</f>
        <v>5620</v>
      </c>
      <c r="I116" s="8" t="n">
        <f aca="false">SUMIFS('Daily Transactions'!C:C,'Daily Transactions'!A:A,$A116,'Daily Transactions'!B:B,"Sales",'Daily Transactions'!D:D,"Cash")</f>
        <v>2610</v>
      </c>
      <c r="J116" s="8" t="n">
        <f aca="false">(H116+I116)-(D116+E116)</f>
        <v>3500</v>
      </c>
      <c r="K116" s="8"/>
      <c r="L116" s="8" t="n">
        <f aca="false">SUMIFS('Daily Transactions'!C:C,'Daily Transactions'!A:A,$A116,'Daily Transactions'!B:B,"Cash Shortage",'Daily Transactions'!D:D,"Cash")</f>
        <v>0</v>
      </c>
      <c r="M116" s="8"/>
    </row>
    <row r="117" customFormat="false" ht="15.75" hidden="false" customHeight="true" outlineLevel="0" collapsed="false">
      <c r="A117" s="35" t="n">
        <f aca="false">A116+1</f>
        <v>45771</v>
      </c>
      <c r="B117" s="8" t="n">
        <f aca="false">SUMIFS('Daily Transactions'!C:C,'Daily Transactions'!A:A,$A117,'Daily Transactions'!B:B,"Sales")</f>
        <v>11548</v>
      </c>
      <c r="C117" s="8" t="n">
        <f aca="false">SUMIFS('Daily Transactions'!C:C,'Daily Transactions'!A:A,$A117,'Daily Transactions'!B:B,"&lt;&gt;Sales")</f>
        <v>5950</v>
      </c>
      <c r="D117" s="8" t="n">
        <f aca="false">SUMIFS('Daily Transactions'!C:C,'Daily Transactions'!A:A,$A117,'Daily Transactions'!B:B,"&lt;&gt;Sales",'Daily Transactions'!D:D,"Cash")</f>
        <v>115</v>
      </c>
      <c r="E117" s="8" t="n">
        <f aca="false">SUMIFS('Daily Transactions'!C:C,'Daily Transactions'!A:A,$A117,'Daily Transactions'!B:B,"&lt;&gt;Sales",'Daily Transactions'!D:D,"Bank_Cash")</f>
        <v>2030</v>
      </c>
      <c r="F117" s="8" t="n">
        <f aca="false">SUMIFS('Daily Transactions'!C:C,'Daily Transactions'!A:A,$A117,'Daily Transactions'!B:B,"&lt;&gt;Sales",'Daily Transactions'!D:D,"Bank")</f>
        <v>3805</v>
      </c>
      <c r="G117" s="8" t="n">
        <f aca="false">B117-C117</f>
        <v>5598</v>
      </c>
      <c r="H117" s="8" t="n">
        <f aca="false">J116</f>
        <v>3500</v>
      </c>
      <c r="I117" s="8" t="n">
        <f aca="false">SUMIFS('Daily Transactions'!C:C,'Daily Transactions'!A:A,$A117,'Daily Transactions'!B:B,"Sales",'Daily Transactions'!D:D,"Cash")</f>
        <v>1415</v>
      </c>
      <c r="J117" s="8" t="n">
        <f aca="false">(H117+I117)-(D117+E117)</f>
        <v>2770</v>
      </c>
      <c r="K117" s="8"/>
      <c r="L117" s="8" t="n">
        <f aca="false">SUMIFS('Daily Transactions'!C:C,'Daily Transactions'!A:A,$A117,'Daily Transactions'!B:B,"Cash Shortage",'Daily Transactions'!D:D,"Cash")</f>
        <v>0</v>
      </c>
      <c r="M117" s="8"/>
    </row>
    <row r="118" customFormat="false" ht="15.75" hidden="false" customHeight="true" outlineLevel="0" collapsed="false">
      <c r="A118" s="35" t="n">
        <f aca="false">A117+1</f>
        <v>45772</v>
      </c>
      <c r="B118" s="8" t="n">
        <f aca="false">SUMIFS('Daily Transactions'!C:C,'Daily Transactions'!A:A,$A118,'Daily Transactions'!B:B,"Sales")</f>
        <v>32137</v>
      </c>
      <c r="C118" s="8" t="n">
        <f aca="false">SUMIFS('Daily Transactions'!C:C,'Daily Transactions'!A:A,$A118,'Daily Transactions'!B:B,"&lt;&gt;Sales")</f>
        <v>10723</v>
      </c>
      <c r="D118" s="8" t="n">
        <f aca="false">SUMIFS('Daily Transactions'!C:C,'Daily Transactions'!A:A,$A118,'Daily Transactions'!B:B,"&lt;&gt;Sales",'Daily Transactions'!D:D,"Cash")</f>
        <v>860</v>
      </c>
      <c r="E118" s="8" t="n">
        <f aca="false">SUMIFS('Daily Transactions'!C:C,'Daily Transactions'!A:A,$A118,'Daily Transactions'!B:B,"&lt;&gt;Sales",'Daily Transactions'!D:D,"Bank_Cash")</f>
        <v>970</v>
      </c>
      <c r="F118" s="8" t="n">
        <f aca="false">SUMIFS('Daily Transactions'!C:C,'Daily Transactions'!A:A,$A118,'Daily Transactions'!B:B,"&lt;&gt;Sales",'Daily Transactions'!D:D,"Bank")</f>
        <v>8893</v>
      </c>
      <c r="G118" s="8" t="n">
        <f aca="false">B118-C118</f>
        <v>21414</v>
      </c>
      <c r="H118" s="8" t="n">
        <f aca="false">J117</f>
        <v>2770</v>
      </c>
      <c r="I118" s="8" t="n">
        <f aca="false">SUMIFS('Daily Transactions'!C:C,'Daily Transactions'!A:A,$A118,'Daily Transactions'!B:B,"Sales",'Daily Transactions'!D:D,"Cash")</f>
        <v>3210</v>
      </c>
      <c r="J118" s="8" t="n">
        <f aca="false">(H118+I118)-(D118+E118)</f>
        <v>4150</v>
      </c>
      <c r="K118" s="8"/>
      <c r="L118" s="8" t="n">
        <f aca="false">SUMIFS('Daily Transactions'!C:C,'Daily Transactions'!A:A,$A118,'Daily Transactions'!B:B,"Cash Shortage",'Daily Transactions'!D:D,"Cash")</f>
        <v>0</v>
      </c>
      <c r="M118" s="8"/>
    </row>
    <row r="119" customFormat="false" ht="15.75" hidden="false" customHeight="true" outlineLevel="0" collapsed="false">
      <c r="A119" s="35" t="n">
        <f aca="false">A118+1</f>
        <v>45773</v>
      </c>
      <c r="B119" s="8" t="n">
        <f aca="false">SUMIFS('Daily Transactions'!C:C,'Daily Transactions'!A:A,$A119,'Daily Transactions'!B:B,"Sales")</f>
        <v>24874</v>
      </c>
      <c r="C119" s="8" t="n">
        <f aca="false">SUMIFS('Daily Transactions'!C:C,'Daily Transactions'!A:A,$A119,'Daily Transactions'!B:B,"&lt;&gt;Sales")</f>
        <v>22024</v>
      </c>
      <c r="D119" s="8" t="n">
        <f aca="false">SUMIFS('Daily Transactions'!C:C,'Daily Transactions'!A:A,$A119,'Daily Transactions'!B:B,"&lt;&gt;Sales",'Daily Transactions'!D:D,"Cash")</f>
        <v>210</v>
      </c>
      <c r="E119" s="8" t="n">
        <f aca="false">SUMIFS('Daily Transactions'!C:C,'Daily Transactions'!A:A,$A119,'Daily Transactions'!B:B,"&lt;&gt;Sales",'Daily Transactions'!D:D,"Bank_Cash")</f>
        <v>2850</v>
      </c>
      <c r="F119" s="8" t="n">
        <f aca="false">SUMIFS('Daily Transactions'!C:C,'Daily Transactions'!A:A,$A119,'Daily Transactions'!B:B,"&lt;&gt;Sales",'Daily Transactions'!D:D,"Bank")</f>
        <v>18964</v>
      </c>
      <c r="G119" s="8" t="n">
        <f aca="false">B119-C119</f>
        <v>2850</v>
      </c>
      <c r="H119" s="8" t="n">
        <f aca="false">J118</f>
        <v>4150</v>
      </c>
      <c r="I119" s="8" t="n">
        <f aca="false">SUMIFS('Daily Transactions'!C:C,'Daily Transactions'!A:A,$A119,'Daily Transactions'!B:B,"Sales",'Daily Transactions'!D:D,"Cash")</f>
        <v>3760</v>
      </c>
      <c r="J119" s="8" t="n">
        <f aca="false">(H119+I119)-(D119+E119)</f>
        <v>4850</v>
      </c>
      <c r="K119" s="8"/>
      <c r="L119" s="8" t="n">
        <f aca="false">SUMIFS('Daily Transactions'!C:C,'Daily Transactions'!A:A,$A119,'Daily Transactions'!B:B,"Cash Shortage",'Daily Transactions'!D:D,"Cash")</f>
        <v>0</v>
      </c>
      <c r="M119" s="8"/>
    </row>
    <row r="120" customFormat="false" ht="15.75" hidden="false" customHeight="true" outlineLevel="0" collapsed="false">
      <c r="A120" s="35" t="n">
        <f aca="false">A119+1</f>
        <v>45774</v>
      </c>
      <c r="B120" s="8" t="n">
        <f aca="false">SUMIFS('Daily Transactions'!C:C,'Daily Transactions'!A:A,$A120,'Daily Transactions'!B:B,"Sales")</f>
        <v>24994</v>
      </c>
      <c r="C120" s="8" t="n">
        <f aca="false">SUMIFS('Daily Transactions'!C:C,'Daily Transactions'!A:A,$A120,'Daily Transactions'!B:B,"&lt;&gt;Sales")</f>
        <v>10951</v>
      </c>
      <c r="D120" s="8" t="n">
        <f aca="false">SUMIFS('Daily Transactions'!C:C,'Daily Transactions'!A:A,$A120,'Daily Transactions'!B:B,"&lt;&gt;Sales",'Daily Transactions'!D:D,"Cash")</f>
        <v>305</v>
      </c>
      <c r="E120" s="8" t="n">
        <f aca="false">SUMIFS('Daily Transactions'!C:C,'Daily Transactions'!A:A,$A120,'Daily Transactions'!B:B,"&lt;&gt;Sales",'Daily Transactions'!D:D,"Bank_Cash")</f>
        <v>700</v>
      </c>
      <c r="F120" s="8" t="n">
        <f aca="false">SUMIFS('Daily Transactions'!C:C,'Daily Transactions'!A:A,$A120,'Daily Transactions'!B:B,"&lt;&gt;Sales",'Daily Transactions'!D:D,"Bank")</f>
        <v>9946</v>
      </c>
      <c r="G120" s="8" t="n">
        <f aca="false">B120-C120</f>
        <v>14043</v>
      </c>
      <c r="H120" s="8" t="n">
        <f aca="false">J119</f>
        <v>4850</v>
      </c>
      <c r="I120" s="8" t="n">
        <f aca="false">SUMIFS('Daily Transactions'!C:C,'Daily Transactions'!A:A,$A120,'Daily Transactions'!B:B,"Sales",'Daily Transactions'!D:D,"Cash")</f>
        <v>3455</v>
      </c>
      <c r="J120" s="8" t="n">
        <f aca="false">(H120+I120)-(D120+E120)</f>
        <v>7300</v>
      </c>
      <c r="K120" s="8"/>
      <c r="L120" s="8" t="n">
        <f aca="false">SUMIFS('Daily Transactions'!C:C,'Daily Transactions'!A:A,$A120,'Daily Transactions'!B:B,"Cash Shortage",'Daily Transactions'!D:D,"Cash")</f>
        <v>0</v>
      </c>
      <c r="M120" s="8"/>
    </row>
    <row r="121" customFormat="false" ht="15.75" hidden="false" customHeight="true" outlineLevel="0" collapsed="false">
      <c r="A121" s="35" t="n">
        <f aca="false">A120+1</f>
        <v>45775</v>
      </c>
      <c r="B121" s="8" t="n">
        <f aca="false">SUMIFS('Daily Transactions'!C:C,'Daily Transactions'!A:A,$A121,'Daily Transactions'!B:B,"Sales")</f>
        <v>20052</v>
      </c>
      <c r="C121" s="8" t="n">
        <f aca="false">SUMIFS('Daily Transactions'!C:C,'Daily Transactions'!A:A,$A121,'Daily Transactions'!B:B,"&lt;&gt;Sales")</f>
        <v>14315</v>
      </c>
      <c r="D121" s="8" t="n">
        <f aca="false">SUMIFS('Daily Transactions'!C:C,'Daily Transactions'!A:A,$A121,'Daily Transactions'!B:B,"&lt;&gt;Sales",'Daily Transactions'!D:D,"Cash")</f>
        <v>120</v>
      </c>
      <c r="E121" s="8" t="n">
        <f aca="false">SUMIFS('Daily Transactions'!C:C,'Daily Transactions'!A:A,$A121,'Daily Transactions'!B:B,"&lt;&gt;Sales",'Daily Transactions'!D:D,"Bank_Cash")</f>
        <v>950</v>
      </c>
      <c r="F121" s="8" t="n">
        <f aca="false">SUMIFS('Daily Transactions'!C:C,'Daily Transactions'!A:A,$A121,'Daily Transactions'!B:B,"&lt;&gt;Sales",'Daily Transactions'!D:D,"Bank")</f>
        <v>13245</v>
      </c>
      <c r="G121" s="8" t="n">
        <f aca="false">B121-C121</f>
        <v>5737</v>
      </c>
      <c r="H121" s="8" t="n">
        <f aca="false">J120</f>
        <v>7300</v>
      </c>
      <c r="I121" s="8" t="n">
        <f aca="false">SUMIFS('Daily Transactions'!C:C,'Daily Transactions'!A:A,$A121,'Daily Transactions'!B:B,"Sales",'Daily Transactions'!D:D,"Cash")</f>
        <v>5320</v>
      </c>
      <c r="J121" s="8" t="n">
        <f aca="false">(H121+I121)-(D121+E121)</f>
        <v>11550</v>
      </c>
      <c r="K121" s="8"/>
      <c r="L121" s="8" t="n">
        <f aca="false">SUMIFS('Daily Transactions'!C:C,'Daily Transactions'!A:A,$A121,'Daily Transactions'!B:B,"Cash Shortage",'Daily Transactions'!D:D,"Cash")</f>
        <v>0</v>
      </c>
      <c r="M121" s="8"/>
    </row>
    <row r="122" customFormat="false" ht="15.75" hidden="false" customHeight="true" outlineLevel="0" collapsed="false">
      <c r="A122" s="35" t="n">
        <f aca="false">A121+1</f>
        <v>45776</v>
      </c>
      <c r="B122" s="8" t="n">
        <f aca="false">SUMIFS('Daily Transactions'!C:C,'Daily Transactions'!A:A,$A122,'Daily Transactions'!B:B,"Sales")</f>
        <v>19211</v>
      </c>
      <c r="C122" s="8" t="n">
        <f aca="false">SUMIFS('Daily Transactions'!C:C,'Daily Transactions'!A:A,$A122,'Daily Transactions'!B:B,"&lt;&gt;Sales")</f>
        <v>6976</v>
      </c>
      <c r="D122" s="8" t="n">
        <f aca="false">SUMIFS('Daily Transactions'!C:C,'Daily Transactions'!A:A,$A122,'Daily Transactions'!B:B,"&lt;&gt;Sales",'Daily Transactions'!D:D,"Cash")</f>
        <v>179</v>
      </c>
      <c r="E122" s="8" t="n">
        <f aca="false">SUMIFS('Daily Transactions'!C:C,'Daily Transactions'!A:A,$A122,'Daily Transactions'!B:B,"&lt;&gt;Sales",'Daily Transactions'!D:D,"Bank_Cash")</f>
        <v>1000</v>
      </c>
      <c r="F122" s="8" t="n">
        <f aca="false">SUMIFS('Daily Transactions'!C:C,'Daily Transactions'!A:A,$A122,'Daily Transactions'!B:B,"&lt;&gt;Sales",'Daily Transactions'!D:D,"Bank")</f>
        <v>5797</v>
      </c>
      <c r="G122" s="8" t="n">
        <f aca="false">B122-C122</f>
        <v>12235</v>
      </c>
      <c r="H122" s="8" t="n">
        <f aca="false">J121</f>
        <v>11550</v>
      </c>
      <c r="I122" s="8" t="n">
        <f aca="false">SUMIFS('Daily Transactions'!C:C,'Daily Transactions'!A:A,$A122,'Daily Transactions'!B:B,"Sales",'Daily Transactions'!D:D,"Cash")</f>
        <v>4929</v>
      </c>
      <c r="J122" s="8" t="n">
        <f aca="false">(H122+I122)-(D122+E122)</f>
        <v>15300</v>
      </c>
      <c r="K122" s="8"/>
      <c r="L122" s="8" t="n">
        <f aca="false">SUMIFS('Daily Transactions'!C:C,'Daily Transactions'!A:A,$A122,'Daily Transactions'!B:B,"Cash Shortage",'Daily Transactions'!D:D,"Cash")</f>
        <v>0</v>
      </c>
      <c r="M122" s="8"/>
    </row>
    <row r="123" customFormat="false" ht="15.75" hidden="false" customHeight="true" outlineLevel="0" collapsed="false">
      <c r="A123" s="35" t="n">
        <f aca="false">A122+1</f>
        <v>45777</v>
      </c>
      <c r="B123" s="8" t="n">
        <f aca="false">SUMIFS('Daily Transactions'!C:C,'Daily Transactions'!A:A,$A123,'Daily Transactions'!B:B,"Sales")</f>
        <v>23678</v>
      </c>
      <c r="C123" s="8" t="n">
        <f aca="false">SUMIFS('Daily Transactions'!C:C,'Daily Transactions'!A:A,$A123,'Daily Transactions'!B:B,"&lt;&gt;Sales")</f>
        <v>10148</v>
      </c>
      <c r="D123" s="8" t="n">
        <f aca="false">SUMIFS('Daily Transactions'!C:C,'Daily Transactions'!A:A,$A123,'Daily Transactions'!B:B,"&lt;&gt;Sales",'Daily Transactions'!D:D,"Cash")</f>
        <v>1040</v>
      </c>
      <c r="E123" s="8" t="n">
        <f aca="false">SUMIFS('Daily Transactions'!C:C,'Daily Transactions'!A:A,$A123,'Daily Transactions'!B:B,"&lt;&gt;Sales",'Daily Transactions'!D:D,"Bank_Cash")</f>
        <v>1100</v>
      </c>
      <c r="F123" s="8" t="n">
        <f aca="false">SUMIFS('Daily Transactions'!C:C,'Daily Transactions'!A:A,$A123,'Daily Transactions'!B:B,"&lt;&gt;Sales",'Daily Transactions'!D:D,"Bank")</f>
        <v>8008</v>
      </c>
      <c r="G123" s="8" t="n">
        <f aca="false">B123-C123</f>
        <v>13530</v>
      </c>
      <c r="H123" s="8" t="n">
        <f aca="false">J122</f>
        <v>15300</v>
      </c>
      <c r="I123" s="8" t="n">
        <f aca="false">SUMIFS('Daily Transactions'!C:C,'Daily Transactions'!A:A,$A123,'Daily Transactions'!B:B,"Sales",'Daily Transactions'!D:D,"Cash")</f>
        <v>3140</v>
      </c>
      <c r="J123" s="8" t="n">
        <f aca="false">(H123+I123)-(D123+E123)</f>
        <v>16300</v>
      </c>
      <c r="K123" s="8"/>
      <c r="L123" s="8" t="n">
        <f aca="false">SUMIFS('Daily Transactions'!C:C,'Daily Transactions'!A:A,$A123,'Daily Transactions'!B:B,"Cash Shortage",'Daily Transactions'!D:D,"Cash")</f>
        <v>0</v>
      </c>
      <c r="M123" s="8"/>
    </row>
    <row r="124" customFormat="false" ht="15.75" hidden="false" customHeight="true" outlineLevel="0" collapsed="false">
      <c r="A124" s="35" t="n">
        <f aca="false">A123+1</f>
        <v>45778</v>
      </c>
      <c r="B124" s="8" t="n">
        <f aca="false">SUMIFS('Daily Transactions'!C:C,'Daily Transactions'!A:A,$A124,'Daily Transactions'!B:B,"Sales")</f>
        <v>28114</v>
      </c>
      <c r="C124" s="8" t="n">
        <f aca="false">SUMIFS('Daily Transactions'!C:C,'Daily Transactions'!A:A,$A124,'Daily Transactions'!B:B,"&lt;&gt;Sales")</f>
        <v>19127</v>
      </c>
      <c r="D124" s="8" t="n">
        <f aca="false">SUMIFS('Daily Transactions'!C:C,'Daily Transactions'!A:A,$A124,'Daily Transactions'!B:B,"&lt;&gt;Sales",'Daily Transactions'!D:D,"Cash")</f>
        <v>144</v>
      </c>
      <c r="E124" s="8" t="n">
        <f aca="false">SUMIFS('Daily Transactions'!C:C,'Daily Transactions'!A:A,$A124,'Daily Transactions'!B:B,"&lt;&gt;Sales",'Daily Transactions'!D:D,"Bank_Cash")</f>
        <v>11550</v>
      </c>
      <c r="F124" s="8" t="n">
        <f aca="false">SUMIFS('Daily Transactions'!C:C,'Daily Transactions'!A:A,$A124,'Daily Transactions'!B:B,"&lt;&gt;Sales",'Daily Transactions'!D:D,"Bank")</f>
        <v>7433</v>
      </c>
      <c r="G124" s="8" t="n">
        <f aca="false">B124-C124</f>
        <v>8987</v>
      </c>
      <c r="H124" s="8" t="n">
        <f aca="false">J123</f>
        <v>16300</v>
      </c>
      <c r="I124" s="8" t="n">
        <f aca="false">SUMIFS('Daily Transactions'!C:C,'Daily Transactions'!A:A,$A124,'Daily Transactions'!B:B,"Sales",'Daily Transactions'!D:D,"Cash")</f>
        <v>2744</v>
      </c>
      <c r="J124" s="8" t="n">
        <f aca="false">(H124+I124)-(D124+E124)</f>
        <v>7350</v>
      </c>
      <c r="K124" s="8"/>
      <c r="L124" s="8" t="n">
        <f aca="false">SUMIFS('Daily Transactions'!C:C,'Daily Transactions'!A:A,$A124,'Daily Transactions'!B:B,"Cash Shortage",'Daily Transactions'!D:D,"Cash")</f>
        <v>0</v>
      </c>
      <c r="M124" s="8"/>
    </row>
    <row r="125" customFormat="false" ht="15.75" hidden="false" customHeight="true" outlineLevel="0" collapsed="false">
      <c r="A125" s="35" t="n">
        <f aca="false">A124+1</f>
        <v>45779</v>
      </c>
      <c r="B125" s="8" t="n">
        <f aca="false">SUMIFS('Daily Transactions'!C:C,'Daily Transactions'!A:A,$A125,'Daily Transactions'!B:B,"Sales")</f>
        <v>24254</v>
      </c>
      <c r="C125" s="8" t="n">
        <f aca="false">SUMIFS('Daily Transactions'!C:C,'Daily Transactions'!A:A,$A125,'Daily Transactions'!B:B,"&lt;&gt;Sales")</f>
        <v>23746</v>
      </c>
      <c r="D125" s="8" t="n">
        <f aca="false">SUMIFS('Daily Transactions'!C:C,'Daily Transactions'!A:A,$A125,'Daily Transactions'!B:B,"&lt;&gt;Sales",'Daily Transactions'!D:D,"Cash")</f>
        <v>750</v>
      </c>
      <c r="E125" s="8" t="n">
        <f aca="false">SUMIFS('Daily Transactions'!C:C,'Daily Transactions'!A:A,$A125,'Daily Transactions'!B:B,"&lt;&gt;Sales",'Daily Transactions'!D:D,"Bank_Cash")</f>
        <v>4195</v>
      </c>
      <c r="F125" s="8" t="n">
        <f aca="false">SUMIFS('Daily Transactions'!C:C,'Daily Transactions'!A:A,$A125,'Daily Transactions'!B:B,"&lt;&gt;Sales",'Daily Transactions'!D:D,"Bank")</f>
        <v>18801</v>
      </c>
      <c r="G125" s="8" t="n">
        <f aca="false">B125-C125</f>
        <v>508</v>
      </c>
      <c r="H125" s="8" t="n">
        <f aca="false">J124</f>
        <v>7350</v>
      </c>
      <c r="I125" s="8" t="n">
        <f aca="false">SUMIFS('Daily Transactions'!C:C,'Daily Transactions'!A:A,$A125,'Daily Transactions'!B:B,"Sales",'Daily Transactions'!D:D,"Cash")</f>
        <v>3895</v>
      </c>
      <c r="J125" s="8" t="n">
        <f aca="false">(H125+I125)-(D125+E125)</f>
        <v>6300</v>
      </c>
      <c r="K125" s="8"/>
      <c r="L125" s="8" t="n">
        <f aca="false">SUMIFS('Daily Transactions'!C:C,'Daily Transactions'!A:A,$A125,'Daily Transactions'!B:B,"Cash Shortage",'Daily Transactions'!D:D,"Cash")</f>
        <v>0</v>
      </c>
      <c r="M125" s="8"/>
    </row>
    <row r="126" customFormat="false" ht="15.75" hidden="false" customHeight="true" outlineLevel="0" collapsed="false">
      <c r="A126" s="35" t="n">
        <f aca="false">A125+1</f>
        <v>45780</v>
      </c>
      <c r="B126" s="8" t="n">
        <f aca="false">SUMIFS('Daily Transactions'!C:C,'Daily Transactions'!A:A,$A126,'Daily Transactions'!B:B,"Sales")</f>
        <v>33229</v>
      </c>
      <c r="C126" s="8" t="n">
        <f aca="false">SUMIFS('Daily Transactions'!C:C,'Daily Transactions'!A:A,$A126,'Daily Transactions'!B:B,"&lt;&gt;Sales")</f>
        <v>13860</v>
      </c>
      <c r="D126" s="8" t="n">
        <f aca="false">SUMIFS('Daily Transactions'!C:C,'Daily Transactions'!A:A,$A126,'Daily Transactions'!B:B,"&lt;&gt;Sales",'Daily Transactions'!D:D,"Cash")</f>
        <v>210</v>
      </c>
      <c r="E126" s="8" t="n">
        <f aca="false">SUMIFS('Daily Transactions'!C:C,'Daily Transactions'!A:A,$A126,'Daily Transactions'!B:B,"&lt;&gt;Sales",'Daily Transactions'!D:D,"Bank_Cash")</f>
        <v>2580</v>
      </c>
      <c r="F126" s="8" t="n">
        <f aca="false">SUMIFS('Daily Transactions'!C:C,'Daily Transactions'!A:A,$A126,'Daily Transactions'!B:B,"&lt;&gt;Sales",'Daily Transactions'!D:D,"Bank")</f>
        <v>11070</v>
      </c>
      <c r="G126" s="8" t="n">
        <f aca="false">B126-C126</f>
        <v>19369</v>
      </c>
      <c r="H126" s="8" t="n">
        <f aca="false">J125</f>
        <v>6300</v>
      </c>
      <c r="I126" s="8" t="n">
        <f aca="false">SUMIFS('Daily Transactions'!C:C,'Daily Transactions'!A:A,$A126,'Daily Transactions'!B:B,"Sales",'Daily Transactions'!D:D,"Cash")</f>
        <v>2390</v>
      </c>
      <c r="J126" s="8" t="n">
        <f aca="false">(H126+I126)-(D126+E126)</f>
        <v>5900</v>
      </c>
      <c r="K126" s="8"/>
      <c r="L126" s="8" t="n">
        <f aca="false">SUMIFS('Daily Transactions'!C:C,'Daily Transactions'!A:A,$A126,'Daily Transactions'!B:B,"Cash Shortage",'Daily Transactions'!D:D,"Cash")</f>
        <v>0</v>
      </c>
      <c r="M126" s="8"/>
    </row>
    <row r="127" customFormat="false" ht="15.75" hidden="false" customHeight="true" outlineLevel="0" collapsed="false">
      <c r="A127" s="35" t="n">
        <f aca="false">A126+1</f>
        <v>45781</v>
      </c>
      <c r="B127" s="8" t="n">
        <f aca="false">SUMIFS('Daily Transactions'!C:C,'Daily Transactions'!A:A,$A127,'Daily Transactions'!B:B,"Sales")</f>
        <v>31526</v>
      </c>
      <c r="C127" s="8" t="n">
        <f aca="false">SUMIFS('Daily Transactions'!C:C,'Daily Transactions'!A:A,$A127,'Daily Transactions'!B:B,"&lt;&gt;Sales")</f>
        <v>19311</v>
      </c>
      <c r="D127" s="8" t="n">
        <f aca="false">SUMIFS('Daily Transactions'!C:C,'Daily Transactions'!A:A,$A127,'Daily Transactions'!B:B,"&lt;&gt;Sales",'Daily Transactions'!D:D,"Cash")</f>
        <v>845</v>
      </c>
      <c r="E127" s="8" t="n">
        <f aca="false">SUMIFS('Daily Transactions'!C:C,'Daily Transactions'!A:A,$A127,'Daily Transactions'!B:B,"&lt;&gt;Sales",'Daily Transactions'!D:D,"Bank_Cash")</f>
        <v>4250</v>
      </c>
      <c r="F127" s="8" t="n">
        <f aca="false">SUMIFS('Daily Transactions'!C:C,'Daily Transactions'!A:A,$A127,'Daily Transactions'!B:B,"&lt;&gt;Sales",'Daily Transactions'!D:D,"Bank")</f>
        <v>14216</v>
      </c>
      <c r="G127" s="8" t="n">
        <f aca="false">B127-C127</f>
        <v>12215</v>
      </c>
      <c r="H127" s="8" t="n">
        <f aca="false">J126</f>
        <v>5900</v>
      </c>
      <c r="I127" s="8" t="n">
        <f aca="false">SUMIFS('Daily Transactions'!C:C,'Daily Transactions'!A:A,$A127,'Daily Transactions'!B:B,"Sales",'Daily Transactions'!D:D,"Cash")</f>
        <v>4645</v>
      </c>
      <c r="J127" s="8" t="n">
        <f aca="false">(H127+I127)-(D127+E127)</f>
        <v>5450</v>
      </c>
      <c r="K127" s="8"/>
      <c r="L127" s="8" t="n">
        <f aca="false">SUMIFS('Daily Transactions'!C:C,'Daily Transactions'!A:A,$A127,'Daily Transactions'!B:B,"Cash Shortage",'Daily Transactions'!D:D,"Cash")</f>
        <v>0</v>
      </c>
      <c r="M127" s="8"/>
    </row>
    <row r="128" customFormat="false" ht="15.75" hidden="false" customHeight="true" outlineLevel="0" collapsed="false">
      <c r="A128" s="35" t="n">
        <f aca="false">A127+1</f>
        <v>45782</v>
      </c>
      <c r="B128" s="8" t="n">
        <f aca="false">SUMIFS('Daily Transactions'!C:C,'Daily Transactions'!A:A,$A128,'Daily Transactions'!B:B,"Sales")</f>
        <v>13417</v>
      </c>
      <c r="C128" s="8" t="n">
        <f aca="false">SUMIFS('Daily Transactions'!C:C,'Daily Transactions'!A:A,$A128,'Daily Transactions'!B:B,"&lt;&gt;Sales")</f>
        <v>41913</v>
      </c>
      <c r="D128" s="8" t="n">
        <f aca="false">SUMIFS('Daily Transactions'!C:C,'Daily Transactions'!A:A,$A128,'Daily Transactions'!B:B,"&lt;&gt;Sales",'Daily Transactions'!D:D,"Cash")</f>
        <v>284</v>
      </c>
      <c r="E128" s="8" t="n">
        <f aca="false">SUMIFS('Daily Transactions'!C:C,'Daily Transactions'!A:A,$A128,'Daily Transactions'!B:B,"&lt;&gt;Sales",'Daily Transactions'!D:D,"Bank_Cash")</f>
        <v>850</v>
      </c>
      <c r="F128" s="8" t="n">
        <f aca="false">SUMIFS('Daily Transactions'!C:C,'Daily Transactions'!A:A,$A128,'Daily Transactions'!B:B,"&lt;&gt;Sales",'Daily Transactions'!D:D,"Bank")</f>
        <v>40779</v>
      </c>
      <c r="G128" s="8" t="n">
        <f aca="false">B128-C128</f>
        <v>-28496</v>
      </c>
      <c r="H128" s="8" t="n">
        <f aca="false">J127</f>
        <v>5450</v>
      </c>
      <c r="I128" s="8" t="n">
        <f aca="false">SUMIFS('Daily Transactions'!C:C,'Daily Transactions'!A:A,$A128,'Daily Transactions'!B:B,"Sales",'Daily Transactions'!D:D,"Cash")</f>
        <v>2934</v>
      </c>
      <c r="J128" s="8" t="n">
        <f aca="false">(H128+I128)-(D128+E128)</f>
        <v>7250</v>
      </c>
      <c r="K128" s="8"/>
      <c r="L128" s="8" t="n">
        <f aca="false">SUMIFS('Daily Transactions'!C:C,'Daily Transactions'!A:A,$A128,'Daily Transactions'!B:B,"Cash Shortage",'Daily Transactions'!D:D,"Cash")</f>
        <v>0</v>
      </c>
      <c r="M128" s="8"/>
    </row>
    <row r="129" customFormat="false" ht="15.75" hidden="false" customHeight="true" outlineLevel="0" collapsed="false">
      <c r="A129" s="35" t="n">
        <f aca="false">A128+1</f>
        <v>45783</v>
      </c>
      <c r="B129" s="8" t="n">
        <f aca="false">SUMIFS('Daily Transactions'!C:C,'Daily Transactions'!A:A,$A129,'Daily Transactions'!B:B,"Sales")</f>
        <v>19061</v>
      </c>
      <c r="C129" s="8" t="n">
        <f aca="false">SUMIFS('Daily Transactions'!C:C,'Daily Transactions'!A:A,$A129,'Daily Transactions'!B:B,"&lt;&gt;Sales")</f>
        <v>15529</v>
      </c>
      <c r="D129" s="8" t="n">
        <f aca="false">SUMIFS('Daily Transactions'!C:C,'Daily Transactions'!A:A,$A129,'Daily Transactions'!B:B,"&lt;&gt;Sales",'Daily Transactions'!D:D,"Cash")</f>
        <v>625</v>
      </c>
      <c r="E129" s="8" t="n">
        <f aca="false">SUMIFS('Daily Transactions'!C:C,'Daily Transactions'!A:A,$A129,'Daily Transactions'!B:B,"&lt;&gt;Sales",'Daily Transactions'!D:D,"Bank_Cash")</f>
        <v>6050</v>
      </c>
      <c r="F129" s="8" t="n">
        <f aca="false">SUMIFS('Daily Transactions'!C:C,'Daily Transactions'!A:A,$A129,'Daily Transactions'!B:B,"&lt;&gt;Sales",'Daily Transactions'!D:D,"Bank")</f>
        <v>8854</v>
      </c>
      <c r="G129" s="8" t="n">
        <f aca="false">B129-C129</f>
        <v>3532</v>
      </c>
      <c r="H129" s="8" t="n">
        <f aca="false">J128</f>
        <v>7250</v>
      </c>
      <c r="I129" s="8" t="n">
        <f aca="false">SUMIFS('Daily Transactions'!C:C,'Daily Transactions'!A:A,$A129,'Daily Transactions'!B:B,"Sales",'Daily Transactions'!D:D,"Cash")</f>
        <v>1225</v>
      </c>
      <c r="J129" s="8" t="n">
        <f aca="false">(H129+I129)-(D129+E129)</f>
        <v>1800</v>
      </c>
      <c r="K129" s="8"/>
      <c r="L129" s="8" t="n">
        <f aca="false">SUMIFS('Daily Transactions'!C:C,'Daily Transactions'!A:A,$A129,'Daily Transactions'!B:B,"Cash Shortage",'Daily Transactions'!D:D,"Cash")</f>
        <v>0</v>
      </c>
      <c r="M129" s="8"/>
    </row>
    <row r="130" customFormat="false" ht="15.75" hidden="false" customHeight="true" outlineLevel="0" collapsed="false">
      <c r="A130" s="35" t="n">
        <f aca="false">A129+1</f>
        <v>45784</v>
      </c>
      <c r="B130" s="8" t="n">
        <f aca="false">SUMIFS('Daily Transactions'!C:C,'Daily Transactions'!A:A,$A130,'Daily Transactions'!B:B,"Sales")</f>
        <v>23827</v>
      </c>
      <c r="C130" s="8" t="n">
        <f aca="false">SUMIFS('Daily Transactions'!C:C,'Daily Transactions'!A:A,$A130,'Daily Transactions'!B:B,"&lt;&gt;Sales")</f>
        <v>21899</v>
      </c>
      <c r="D130" s="8" t="n">
        <f aca="false">SUMIFS('Daily Transactions'!C:C,'Daily Transactions'!A:A,$A130,'Daily Transactions'!B:B,"&lt;&gt;Sales",'Daily Transactions'!D:D,"Cash")</f>
        <v>375</v>
      </c>
      <c r="E130" s="8" t="n">
        <f aca="false">SUMIFS('Daily Transactions'!C:C,'Daily Transactions'!A:A,$A130,'Daily Transactions'!B:B,"&lt;&gt;Sales",'Daily Transactions'!D:D,"Bank_Cash")</f>
        <v>1000</v>
      </c>
      <c r="F130" s="8" t="n">
        <f aca="false">SUMIFS('Daily Transactions'!C:C,'Daily Transactions'!A:A,$A130,'Daily Transactions'!B:B,"&lt;&gt;Sales",'Daily Transactions'!D:D,"Bank")</f>
        <v>20524</v>
      </c>
      <c r="G130" s="8" t="n">
        <f aca="false">B130-C130</f>
        <v>1928</v>
      </c>
      <c r="H130" s="8" t="n">
        <f aca="false">J129</f>
        <v>1800</v>
      </c>
      <c r="I130" s="8" t="n">
        <f aca="false">SUMIFS('Daily Transactions'!C:C,'Daily Transactions'!A:A,$A130,'Daily Transactions'!B:B,"Sales",'Daily Transactions'!D:D,"Cash")</f>
        <v>5790</v>
      </c>
      <c r="J130" s="8" t="n">
        <f aca="false">(H130+I130)-(D130+E130)</f>
        <v>6215</v>
      </c>
      <c r="K130" s="8"/>
      <c r="L130" s="8" t="n">
        <f aca="false">SUMIFS('Daily Transactions'!C:C,'Daily Transactions'!A:A,$A130,'Daily Transactions'!B:B,"Cash Shortage",'Daily Transactions'!D:D,"Cash")</f>
        <v>0</v>
      </c>
      <c r="M130" s="8"/>
    </row>
    <row r="131" customFormat="false" ht="15.75" hidden="false" customHeight="true" outlineLevel="0" collapsed="false">
      <c r="A131" s="35" t="n">
        <f aca="false">A130+1</f>
        <v>45785</v>
      </c>
      <c r="B131" s="8" t="n">
        <f aca="false">SUMIFS('Daily Transactions'!C:C,'Daily Transactions'!A:A,$A131,'Daily Transactions'!B:B,"Sales")</f>
        <v>13655</v>
      </c>
      <c r="C131" s="8" t="n">
        <f aca="false">SUMIFS('Daily Transactions'!C:C,'Daily Transactions'!A:A,$A131,'Daily Transactions'!B:B,"&lt;&gt;Sales")</f>
        <v>12021</v>
      </c>
      <c r="D131" s="8" t="n">
        <f aca="false">SUMIFS('Daily Transactions'!C:C,'Daily Transactions'!A:A,$A131,'Daily Transactions'!B:B,"&lt;&gt;Sales",'Daily Transactions'!D:D,"Cash")</f>
        <v>0</v>
      </c>
      <c r="E131" s="8" t="n">
        <f aca="false">SUMIFS('Daily Transactions'!C:C,'Daily Transactions'!A:A,$A131,'Daily Transactions'!B:B,"&lt;&gt;Sales",'Daily Transactions'!D:D,"Bank_Cash")</f>
        <v>2365</v>
      </c>
      <c r="F131" s="8" t="n">
        <f aca="false">SUMIFS('Daily Transactions'!C:C,'Daily Transactions'!A:A,$A131,'Daily Transactions'!B:B,"&lt;&gt;Sales",'Daily Transactions'!D:D,"Bank")</f>
        <v>9656</v>
      </c>
      <c r="G131" s="8" t="n">
        <f aca="false">B131-C131</f>
        <v>1634</v>
      </c>
      <c r="H131" s="8" t="n">
        <f aca="false">J130</f>
        <v>6215</v>
      </c>
      <c r="I131" s="8" t="n">
        <f aca="false">SUMIFS('Daily Transactions'!C:C,'Daily Transactions'!A:A,$A131,'Daily Transactions'!B:B,"Sales",'Daily Transactions'!D:D,"Cash")</f>
        <v>800</v>
      </c>
      <c r="J131" s="8" t="n">
        <f aca="false">(H131+I131)-(D131+E131)</f>
        <v>4650</v>
      </c>
      <c r="K131" s="8"/>
      <c r="L131" s="8" t="n">
        <f aca="false">SUMIFS('Daily Transactions'!C:C,'Daily Transactions'!A:A,$A131,'Daily Transactions'!B:B,"Cash Shortage",'Daily Transactions'!D:D,"Cash")</f>
        <v>0</v>
      </c>
      <c r="M131" s="8"/>
    </row>
    <row r="132" customFormat="false" ht="15.75" hidden="false" customHeight="true" outlineLevel="0" collapsed="false">
      <c r="A132" s="35" t="n">
        <f aca="false">A131+1</f>
        <v>45786</v>
      </c>
      <c r="B132" s="8" t="n">
        <f aca="false">SUMIFS('Daily Transactions'!C:C,'Daily Transactions'!A:A,$A132,'Daily Transactions'!B:B,"Sales")</f>
        <v>23249</v>
      </c>
      <c r="C132" s="8" t="n">
        <f aca="false">SUMIFS('Daily Transactions'!C:C,'Daily Transactions'!A:A,$A132,'Daily Transactions'!B:B,"&lt;&gt;Sales")</f>
        <v>6052</v>
      </c>
      <c r="D132" s="8" t="n">
        <f aca="false">SUMIFS('Daily Transactions'!C:C,'Daily Transactions'!A:A,$A132,'Daily Transactions'!B:B,"&lt;&gt;Sales",'Daily Transactions'!D:D,"Cash")</f>
        <v>0</v>
      </c>
      <c r="E132" s="8" t="n">
        <f aca="false">SUMIFS('Daily Transactions'!C:C,'Daily Transactions'!A:A,$A132,'Daily Transactions'!B:B,"&lt;&gt;Sales",'Daily Transactions'!D:D,"Bank_Cash")</f>
        <v>250</v>
      </c>
      <c r="F132" s="8" t="n">
        <f aca="false">SUMIFS('Daily Transactions'!C:C,'Daily Transactions'!A:A,$A132,'Daily Transactions'!B:B,"&lt;&gt;Sales",'Daily Transactions'!D:D,"Bank")</f>
        <v>5802</v>
      </c>
      <c r="G132" s="8" t="n">
        <f aca="false">B132-C132</f>
        <v>17197</v>
      </c>
      <c r="H132" s="8" t="n">
        <f aca="false">J131</f>
        <v>4650</v>
      </c>
      <c r="I132" s="8" t="n">
        <f aca="false">SUMIFS('Daily Transactions'!C:C,'Daily Transactions'!A:A,$A132,'Daily Transactions'!B:B,"Sales",'Daily Transactions'!D:D,"Cash")</f>
        <v>2500</v>
      </c>
      <c r="J132" s="8" t="n">
        <f aca="false">(H132+I132)-(D132+E132)</f>
        <v>6900</v>
      </c>
      <c r="K132" s="8"/>
      <c r="L132" s="8" t="n">
        <f aca="false">SUMIFS('Daily Transactions'!C:C,'Daily Transactions'!A:A,$A132,'Daily Transactions'!B:B,"Cash Shortage",'Daily Transactions'!D:D,"Cash")</f>
        <v>0</v>
      </c>
      <c r="M132" s="8"/>
    </row>
    <row r="133" customFormat="false" ht="15.75" hidden="false" customHeight="true" outlineLevel="0" collapsed="false">
      <c r="A133" s="35" t="n">
        <f aca="false">A132+1</f>
        <v>45787</v>
      </c>
      <c r="B133" s="8" t="n">
        <f aca="false">SUMIFS('Daily Transactions'!C:C,'Daily Transactions'!A:A,$A133,'Daily Transactions'!B:B,"Sales")</f>
        <v>27207</v>
      </c>
      <c r="C133" s="8" t="n">
        <f aca="false">SUMIFS('Daily Transactions'!C:C,'Daily Transactions'!A:A,$A133,'Daily Transactions'!B:B,"&lt;&gt;Sales")</f>
        <v>8418</v>
      </c>
      <c r="D133" s="8" t="n">
        <f aca="false">SUMIFS('Daily Transactions'!C:C,'Daily Transactions'!A:A,$A133,'Daily Transactions'!B:B,"&lt;&gt;Sales",'Daily Transactions'!D:D,"Cash")</f>
        <v>1520</v>
      </c>
      <c r="E133" s="8" t="n">
        <f aca="false">SUMIFS('Daily Transactions'!C:C,'Daily Transactions'!A:A,$A133,'Daily Transactions'!B:B,"&lt;&gt;Sales",'Daily Transactions'!D:D,"Bank_Cash")</f>
        <v>1535</v>
      </c>
      <c r="F133" s="8" t="n">
        <f aca="false">SUMIFS('Daily Transactions'!C:C,'Daily Transactions'!A:A,$A133,'Daily Transactions'!B:B,"&lt;&gt;Sales",'Daily Transactions'!D:D,"Bank")</f>
        <v>5363</v>
      </c>
      <c r="G133" s="8" t="n">
        <f aca="false">B133-C133</f>
        <v>18789</v>
      </c>
      <c r="H133" s="8" t="n">
        <f aca="false">J132</f>
        <v>6900</v>
      </c>
      <c r="I133" s="8" t="n">
        <f aca="false">SUMIFS('Daily Transactions'!C:C,'Daily Transactions'!A:A,$A133,'Daily Transactions'!B:B,"Sales",'Daily Transactions'!D:D,"Cash")</f>
        <v>6055</v>
      </c>
      <c r="J133" s="8" t="n">
        <f aca="false">(H133+I133)-(D133+E133)</f>
        <v>9900</v>
      </c>
      <c r="K133" s="8"/>
      <c r="L133" s="8" t="n">
        <f aca="false">SUMIFS('Daily Transactions'!C:C,'Daily Transactions'!A:A,$A133,'Daily Transactions'!B:B,"Cash Shortage",'Daily Transactions'!D:D,"Cash")</f>
        <v>0</v>
      </c>
      <c r="M133" s="8"/>
    </row>
    <row r="134" customFormat="false" ht="15.75" hidden="false" customHeight="true" outlineLevel="0" collapsed="false">
      <c r="A134" s="35" t="n">
        <f aca="false">A133+1</f>
        <v>45788</v>
      </c>
      <c r="B134" s="8" t="n">
        <f aca="false">SUMIFS('Daily Transactions'!C:C,'Daily Transactions'!A:A,$A134,'Daily Transactions'!B:B,"Sales")</f>
        <v>24420</v>
      </c>
      <c r="C134" s="8" t="n">
        <f aca="false">SUMIFS('Daily Transactions'!C:C,'Daily Transactions'!A:A,$A134,'Daily Transactions'!B:B,"&lt;&gt;Sales")</f>
        <v>13932</v>
      </c>
      <c r="D134" s="8" t="n">
        <f aca="false">SUMIFS('Daily Transactions'!C:C,'Daily Transactions'!A:A,$A134,'Daily Transactions'!B:B,"&lt;&gt;Sales",'Daily Transactions'!D:D,"Cash")</f>
        <v>850</v>
      </c>
      <c r="E134" s="8" t="n">
        <f aca="false">SUMIFS('Daily Transactions'!C:C,'Daily Transactions'!A:A,$A134,'Daily Transactions'!B:B,"&lt;&gt;Sales",'Daily Transactions'!D:D,"Bank_Cash")</f>
        <v>1500</v>
      </c>
      <c r="F134" s="8" t="n">
        <f aca="false">SUMIFS('Daily Transactions'!C:C,'Daily Transactions'!A:A,$A134,'Daily Transactions'!B:B,"&lt;&gt;Sales",'Daily Transactions'!D:D,"Bank")</f>
        <v>11582</v>
      </c>
      <c r="G134" s="8" t="n">
        <f aca="false">B134-C134</f>
        <v>10488</v>
      </c>
      <c r="H134" s="8" t="n">
        <f aca="false">J133</f>
        <v>9900</v>
      </c>
      <c r="I134" s="8" t="n">
        <f aca="false">SUMIFS('Daily Transactions'!C:C,'Daily Transactions'!A:A,$A134,'Daily Transactions'!B:B,"Sales",'Daily Transactions'!D:D,"Cash")</f>
        <v>1950</v>
      </c>
      <c r="J134" s="8" t="n">
        <f aca="false">(H134+I134)-(D134+E134)</f>
        <v>9500</v>
      </c>
      <c r="K134" s="8"/>
      <c r="L134" s="8" t="n">
        <f aca="false">SUMIFS('Daily Transactions'!C:C,'Daily Transactions'!A:A,$A134,'Daily Transactions'!B:B,"Cash Shortage",'Daily Transactions'!D:D,"Cash")</f>
        <v>0</v>
      </c>
      <c r="M134" s="8"/>
    </row>
    <row r="135" customFormat="false" ht="15.75" hidden="false" customHeight="true" outlineLevel="0" collapsed="false">
      <c r="A135" s="35" t="n">
        <f aca="false">A134+1</f>
        <v>45789</v>
      </c>
      <c r="B135" s="8" t="n">
        <f aca="false">SUMIFS('Daily Transactions'!C:C,'Daily Transactions'!A:A,$A135,'Daily Transactions'!B:B,"Sales")</f>
        <v>15138</v>
      </c>
      <c r="C135" s="8" t="n">
        <f aca="false">SUMIFS('Daily Transactions'!C:C,'Daily Transactions'!A:A,$A135,'Daily Transactions'!B:B,"&lt;&gt;Sales")</f>
        <v>14248</v>
      </c>
      <c r="D135" s="8" t="n">
        <f aca="false">SUMIFS('Daily Transactions'!C:C,'Daily Transactions'!A:A,$A135,'Daily Transactions'!B:B,"&lt;&gt;Sales",'Daily Transactions'!D:D,"Cash")</f>
        <v>20</v>
      </c>
      <c r="E135" s="8" t="n">
        <f aca="false">SUMIFS('Daily Transactions'!C:C,'Daily Transactions'!A:A,$A135,'Daily Transactions'!B:B,"&lt;&gt;Sales",'Daily Transactions'!D:D,"Bank_Cash")</f>
        <v>2950</v>
      </c>
      <c r="F135" s="8" t="n">
        <f aca="false">SUMIFS('Daily Transactions'!C:C,'Daily Transactions'!A:A,$A135,'Daily Transactions'!B:B,"&lt;&gt;Sales",'Daily Transactions'!D:D,"Bank")</f>
        <v>11278</v>
      </c>
      <c r="G135" s="8" t="n">
        <f aca="false">B135-C135</f>
        <v>890</v>
      </c>
      <c r="H135" s="8" t="n">
        <f aca="false">J134</f>
        <v>9500</v>
      </c>
      <c r="I135" s="8" t="n">
        <f aca="false">SUMIFS('Daily Transactions'!C:C,'Daily Transactions'!A:A,$A135,'Daily Transactions'!B:B,"Sales",'Daily Transactions'!D:D,"Cash")</f>
        <v>3370</v>
      </c>
      <c r="J135" s="8" t="n">
        <f aca="false">(H135+I135)-(D135+E135)</f>
        <v>9900</v>
      </c>
      <c r="K135" s="8"/>
      <c r="L135" s="8" t="n">
        <f aca="false">SUMIFS('Daily Transactions'!C:C,'Daily Transactions'!A:A,$A135,'Daily Transactions'!B:B,"Cash Shortage",'Daily Transactions'!D:D,"Cash")</f>
        <v>0</v>
      </c>
      <c r="M135" s="8"/>
    </row>
    <row r="136" customFormat="false" ht="15.75" hidden="false" customHeight="true" outlineLevel="0" collapsed="false">
      <c r="A136" s="35" t="n">
        <f aca="false">A135+1</f>
        <v>45790</v>
      </c>
      <c r="B136" s="8" t="n">
        <f aca="false">SUMIFS('Daily Transactions'!C:C,'Daily Transactions'!A:A,$A136,'Daily Transactions'!B:B,"Sales")</f>
        <v>17597</v>
      </c>
      <c r="C136" s="8" t="n">
        <f aca="false">SUMIFS('Daily Transactions'!C:C,'Daily Transactions'!A:A,$A136,'Daily Transactions'!B:B,"&lt;&gt;Sales")</f>
        <v>4852</v>
      </c>
      <c r="D136" s="8" t="n">
        <f aca="false">SUMIFS('Daily Transactions'!C:C,'Daily Transactions'!A:A,$A136,'Daily Transactions'!B:B,"&lt;&gt;Sales",'Daily Transactions'!D:D,"Cash")</f>
        <v>0</v>
      </c>
      <c r="E136" s="8" t="n">
        <f aca="false">SUMIFS('Daily Transactions'!C:C,'Daily Transactions'!A:A,$A136,'Daily Transactions'!B:B,"&lt;&gt;Sales",'Daily Transactions'!D:D,"Bank_Cash")</f>
        <v>350</v>
      </c>
      <c r="F136" s="8" t="n">
        <f aca="false">SUMIFS('Daily Transactions'!C:C,'Daily Transactions'!A:A,$A136,'Daily Transactions'!B:B,"&lt;&gt;Sales",'Daily Transactions'!D:D,"Bank")</f>
        <v>4502</v>
      </c>
      <c r="G136" s="8" t="n">
        <f aca="false">B136-C136</f>
        <v>12745</v>
      </c>
      <c r="H136" s="8" t="n">
        <f aca="false">J135</f>
        <v>9900</v>
      </c>
      <c r="I136" s="8" t="n">
        <f aca="false">SUMIFS('Daily Transactions'!C:C,'Daily Transactions'!A:A,$A136,'Daily Transactions'!B:B,"Sales",'Daily Transactions'!D:D,"Cash")</f>
        <v>4000</v>
      </c>
      <c r="J136" s="8" t="n">
        <f aca="false">(H136+I136)-(D136+E136)</f>
        <v>13550</v>
      </c>
      <c r="K136" s="8"/>
      <c r="L136" s="8" t="n">
        <f aca="false">SUMIFS('Daily Transactions'!C:C,'Daily Transactions'!A:A,$A136,'Daily Transactions'!B:B,"Cash Shortage",'Daily Transactions'!D:D,"Cash")</f>
        <v>0</v>
      </c>
      <c r="M136" s="8"/>
    </row>
    <row r="137" customFormat="false" ht="15.75" hidden="false" customHeight="true" outlineLevel="0" collapsed="false">
      <c r="A137" s="35" t="n">
        <f aca="false">A136+1</f>
        <v>45791</v>
      </c>
      <c r="B137" s="8" t="n">
        <f aca="false">SUMIFS('Daily Transactions'!C:C,'Daily Transactions'!A:A,$A137,'Daily Transactions'!B:B,"Sales")</f>
        <v>20688</v>
      </c>
      <c r="C137" s="8" t="n">
        <f aca="false">SUMIFS('Daily Transactions'!C:C,'Daily Transactions'!A:A,$A137,'Daily Transactions'!B:B,"&lt;&gt;Sales")</f>
        <v>22877</v>
      </c>
      <c r="D137" s="8" t="n">
        <f aca="false">SUMIFS('Daily Transactions'!C:C,'Daily Transactions'!A:A,$A137,'Daily Transactions'!B:B,"&lt;&gt;Sales",'Daily Transactions'!D:D,"Cash")</f>
        <v>585</v>
      </c>
      <c r="E137" s="8" t="n">
        <f aca="false">SUMIFS('Daily Transactions'!C:C,'Daily Transactions'!A:A,$A137,'Daily Transactions'!B:B,"&lt;&gt;Sales",'Daily Transactions'!D:D,"Bank_Cash")</f>
        <v>7040</v>
      </c>
      <c r="F137" s="8" t="n">
        <f aca="false">SUMIFS('Daily Transactions'!C:C,'Daily Transactions'!A:A,$A137,'Daily Transactions'!B:B,"&lt;&gt;Sales",'Daily Transactions'!D:D,"Bank")</f>
        <v>15252</v>
      </c>
      <c r="G137" s="8" t="n">
        <f aca="false">B137-C137</f>
        <v>-2189</v>
      </c>
      <c r="H137" s="8" t="n">
        <f aca="false">J136</f>
        <v>13550</v>
      </c>
      <c r="I137" s="8" t="n">
        <f aca="false">SUMIFS('Daily Transactions'!C:C,'Daily Transactions'!A:A,$A137,'Daily Transactions'!B:B,"Sales",'Daily Transactions'!D:D,"Cash")</f>
        <v>3225</v>
      </c>
      <c r="J137" s="8" t="n">
        <f aca="false">(H137+I137)-(D137+E137)</f>
        <v>9150</v>
      </c>
      <c r="K137" s="8"/>
      <c r="L137" s="8" t="n">
        <f aca="false">SUMIFS('Daily Transactions'!C:C,'Daily Transactions'!A:A,$A137,'Daily Transactions'!B:B,"Cash Shortage",'Daily Transactions'!D:D,"Cash")</f>
        <v>0</v>
      </c>
      <c r="M137" s="8"/>
    </row>
    <row r="138" customFormat="false" ht="15.75" hidden="false" customHeight="true" outlineLevel="0" collapsed="false">
      <c r="A138" s="35" t="n">
        <f aca="false">A137+1</f>
        <v>45792</v>
      </c>
      <c r="B138" s="8" t="n">
        <f aca="false">SUMIFS('Daily Transactions'!C:C,'Daily Transactions'!A:A,$A138,'Daily Transactions'!B:B,"Sales")</f>
        <v>15524</v>
      </c>
      <c r="C138" s="8" t="n">
        <f aca="false">SUMIFS('Daily Transactions'!C:C,'Daily Transactions'!A:A,$A138,'Daily Transactions'!B:B,"&lt;&gt;Sales")</f>
        <v>8973</v>
      </c>
      <c r="D138" s="8" t="n">
        <f aca="false">SUMIFS('Daily Transactions'!C:C,'Daily Transactions'!A:A,$A138,'Daily Transactions'!B:B,"&lt;&gt;Sales",'Daily Transactions'!D:D,"Cash")</f>
        <v>840</v>
      </c>
      <c r="E138" s="8" t="n">
        <f aca="false">SUMIFS('Daily Transactions'!C:C,'Daily Transactions'!A:A,$A138,'Daily Transactions'!B:B,"&lt;&gt;Sales",'Daily Transactions'!D:D,"Bank_Cash")</f>
        <v>1370</v>
      </c>
      <c r="F138" s="8" t="n">
        <f aca="false">SUMIFS('Daily Transactions'!C:C,'Daily Transactions'!A:A,$A138,'Daily Transactions'!B:B,"&lt;&gt;Sales",'Daily Transactions'!D:D,"Bank")</f>
        <v>6763</v>
      </c>
      <c r="G138" s="8" t="n">
        <f aca="false">B138-C138</f>
        <v>6551</v>
      </c>
      <c r="H138" s="8" t="n">
        <f aca="false">J137</f>
        <v>9150</v>
      </c>
      <c r="I138" s="8" t="n">
        <f aca="false">SUMIFS('Daily Transactions'!C:C,'Daily Transactions'!A:A,$A138,'Daily Transactions'!B:B,"Sales",'Daily Transactions'!D:D,"Cash")</f>
        <v>1060</v>
      </c>
      <c r="J138" s="8" t="n">
        <f aca="false">(H138+I138)-(D138+E138)</f>
        <v>8000</v>
      </c>
      <c r="K138" s="8"/>
      <c r="L138" s="8" t="n">
        <f aca="false">SUMIFS('Daily Transactions'!C:C,'Daily Transactions'!A:A,$A138,'Daily Transactions'!B:B,"Cash Shortage",'Daily Transactions'!D:D,"Cash")</f>
        <v>0</v>
      </c>
      <c r="M138" s="8"/>
    </row>
    <row r="139" customFormat="false" ht="15.75" hidden="false" customHeight="true" outlineLevel="0" collapsed="false">
      <c r="A139" s="35" t="n">
        <f aca="false">A138+1</f>
        <v>45793</v>
      </c>
      <c r="B139" s="8" t="n">
        <f aca="false">SUMIFS('Daily Transactions'!C:C,'Daily Transactions'!A:A,$A139,'Daily Transactions'!B:B,"Sales")</f>
        <v>20235</v>
      </c>
      <c r="C139" s="8" t="n">
        <f aca="false">SUMIFS('Daily Transactions'!C:C,'Daily Transactions'!A:A,$A139,'Daily Transactions'!B:B,"&lt;&gt;Sales")</f>
        <v>13257</v>
      </c>
      <c r="D139" s="8" t="n">
        <f aca="false">SUMIFS('Daily Transactions'!C:C,'Daily Transactions'!A:A,$A139,'Daily Transactions'!B:B,"&lt;&gt;Sales",'Daily Transactions'!D:D,"Cash")</f>
        <v>30</v>
      </c>
      <c r="E139" s="8" t="n">
        <f aca="false">SUMIFS('Daily Transactions'!C:C,'Daily Transactions'!A:A,$A139,'Daily Transactions'!B:B,"&lt;&gt;Sales",'Daily Transactions'!D:D,"Bank_Cash")</f>
        <v>6800</v>
      </c>
      <c r="F139" s="8" t="n">
        <f aca="false">SUMIFS('Daily Transactions'!C:C,'Daily Transactions'!A:A,$A139,'Daily Transactions'!B:B,"&lt;&gt;Sales",'Daily Transactions'!D:D,"Bank")</f>
        <v>6427</v>
      </c>
      <c r="G139" s="8" t="n">
        <f aca="false">B139-C139</f>
        <v>6978</v>
      </c>
      <c r="H139" s="8" t="n">
        <f aca="false">J138</f>
        <v>8000</v>
      </c>
      <c r="I139" s="8" t="n">
        <f aca="false">SUMIFS('Daily Transactions'!C:C,'Daily Transactions'!A:A,$A139,'Daily Transactions'!B:B,"Sales",'Daily Transactions'!D:D,"Cash")</f>
        <v>580</v>
      </c>
      <c r="J139" s="8" t="n">
        <f aca="false">(H139+I139)-(D139+E139)</f>
        <v>1750</v>
      </c>
      <c r="K139" s="8"/>
      <c r="L139" s="8" t="n">
        <f aca="false">SUMIFS('Daily Transactions'!C:C,'Daily Transactions'!A:A,$A139,'Daily Transactions'!B:B,"Cash Shortage",'Daily Transactions'!D:D,"Cash")</f>
        <v>0</v>
      </c>
      <c r="M139" s="8"/>
    </row>
    <row r="140" customFormat="false" ht="15.75" hidden="false" customHeight="true" outlineLevel="0" collapsed="false">
      <c r="A140" s="35" t="n">
        <f aca="false">A139+1</f>
        <v>45794</v>
      </c>
      <c r="B140" s="8" t="n">
        <f aca="false">SUMIFS('Daily Transactions'!C:C,'Daily Transactions'!A:A,$A140,'Daily Transactions'!B:B,"Sales")</f>
        <v>19877</v>
      </c>
      <c r="C140" s="8" t="n">
        <f aca="false">SUMIFS('Daily Transactions'!C:C,'Daily Transactions'!A:A,$A140,'Daily Transactions'!B:B,"&lt;&gt;Sales")</f>
        <v>13822</v>
      </c>
      <c r="D140" s="8" t="n">
        <f aca="false">SUMIFS('Daily Transactions'!C:C,'Daily Transactions'!A:A,$A140,'Daily Transactions'!B:B,"&lt;&gt;Sales",'Daily Transactions'!D:D,"Cash")</f>
        <v>865</v>
      </c>
      <c r="E140" s="8" t="n">
        <f aca="false">SUMIFS('Daily Transactions'!C:C,'Daily Transactions'!A:A,$A140,'Daily Transactions'!B:B,"&lt;&gt;Sales",'Daily Transactions'!D:D,"Bank_Cash")</f>
        <v>1120</v>
      </c>
      <c r="F140" s="8" t="n">
        <f aca="false">SUMIFS('Daily Transactions'!C:C,'Daily Transactions'!A:A,$A140,'Daily Transactions'!B:B,"&lt;&gt;Sales",'Daily Transactions'!D:D,"Bank")</f>
        <v>11837</v>
      </c>
      <c r="G140" s="8" t="n">
        <f aca="false">B140-C140</f>
        <v>6055</v>
      </c>
      <c r="H140" s="8" t="n">
        <f aca="false">J139</f>
        <v>1750</v>
      </c>
      <c r="I140" s="8" t="n">
        <f aca="false">SUMIFS('Daily Transactions'!C:C,'Daily Transactions'!A:A,$A140,'Daily Transactions'!B:B,"Sales",'Daily Transactions'!D:D,"Cash")</f>
        <v>5435</v>
      </c>
      <c r="J140" s="8" t="n">
        <f aca="false">(H140+I140)-(D140+E140)</f>
        <v>5200</v>
      </c>
      <c r="K140" s="8"/>
      <c r="L140" s="8" t="n">
        <f aca="false">SUMIFS('Daily Transactions'!C:C,'Daily Transactions'!A:A,$A140,'Daily Transactions'!B:B,"Cash Shortage",'Daily Transactions'!D:D,"Cash")</f>
        <v>0</v>
      </c>
      <c r="M140" s="8"/>
    </row>
    <row r="141" customFormat="false" ht="15.75" hidden="false" customHeight="true" outlineLevel="0" collapsed="false">
      <c r="A141" s="35" t="n">
        <f aca="false">A140+1</f>
        <v>45795</v>
      </c>
      <c r="B141" s="8" t="n">
        <f aca="false">SUMIFS('Daily Transactions'!C:C,'Daily Transactions'!A:A,$A141,'Daily Transactions'!B:B,"Sales")</f>
        <v>28713</v>
      </c>
      <c r="C141" s="8" t="n">
        <f aca="false">SUMIFS('Daily Transactions'!C:C,'Daily Transactions'!A:A,$A141,'Daily Transactions'!B:B,"&lt;&gt;Sales")</f>
        <v>11215</v>
      </c>
      <c r="D141" s="8" t="n">
        <f aca="false">SUMIFS('Daily Transactions'!C:C,'Daily Transactions'!A:A,$A141,'Daily Transactions'!B:B,"&lt;&gt;Sales",'Daily Transactions'!D:D,"Cash")</f>
        <v>600</v>
      </c>
      <c r="E141" s="8" t="n">
        <f aca="false">SUMIFS('Daily Transactions'!C:C,'Daily Transactions'!A:A,$A141,'Daily Transactions'!B:B,"&lt;&gt;Sales",'Daily Transactions'!D:D,"Bank_Cash")</f>
        <v>3300</v>
      </c>
      <c r="F141" s="8" t="n">
        <f aca="false">SUMIFS('Daily Transactions'!C:C,'Daily Transactions'!A:A,$A141,'Daily Transactions'!B:B,"&lt;&gt;Sales",'Daily Transactions'!D:D,"Bank")</f>
        <v>7315</v>
      </c>
      <c r="G141" s="8" t="n">
        <f aca="false">B141-C141</f>
        <v>17498</v>
      </c>
      <c r="H141" s="8" t="n">
        <f aca="false">J140</f>
        <v>5200</v>
      </c>
      <c r="I141" s="8" t="n">
        <f aca="false">SUMIFS('Daily Transactions'!C:C,'Daily Transactions'!A:A,$A141,'Daily Transactions'!B:B,"Sales",'Daily Transactions'!D:D,"Cash")</f>
        <v>5350</v>
      </c>
      <c r="J141" s="8" t="n">
        <f aca="false">(H141+I141)-(D141+E141)</f>
        <v>6650</v>
      </c>
      <c r="K141" s="8"/>
      <c r="L141" s="8" t="n">
        <f aca="false">SUMIFS('Daily Transactions'!C:C,'Daily Transactions'!A:A,$A141,'Daily Transactions'!B:B,"Cash Shortage",'Daily Transactions'!D:D,"Cash")</f>
        <v>0</v>
      </c>
      <c r="M141" s="8"/>
    </row>
    <row r="142" customFormat="false" ht="15.75" hidden="false" customHeight="true" outlineLevel="0" collapsed="false">
      <c r="A142" s="35" t="n">
        <f aca="false">A141+1</f>
        <v>45796</v>
      </c>
      <c r="B142" s="8" t="n">
        <f aca="false">SUMIFS('Daily Transactions'!C:C,'Daily Transactions'!A:A,$A142,'Daily Transactions'!B:B,"Sales")</f>
        <v>12927</v>
      </c>
      <c r="C142" s="8" t="n">
        <f aca="false">SUMIFS('Daily Transactions'!C:C,'Daily Transactions'!A:A,$A142,'Daily Transactions'!B:B,"&lt;&gt;Sales")</f>
        <v>12509</v>
      </c>
      <c r="D142" s="8" t="n">
        <f aca="false">SUMIFS('Daily Transactions'!C:C,'Daily Transactions'!A:A,$A142,'Daily Transactions'!B:B,"&lt;&gt;Sales",'Daily Transactions'!D:D,"Cash")</f>
        <v>1635</v>
      </c>
      <c r="E142" s="8" t="n">
        <f aca="false">SUMIFS('Daily Transactions'!C:C,'Daily Transactions'!A:A,$A142,'Daily Transactions'!B:B,"&lt;&gt;Sales",'Daily Transactions'!D:D,"Bank_Cash")</f>
        <v>2930</v>
      </c>
      <c r="F142" s="8" t="n">
        <f aca="false">SUMIFS('Daily Transactions'!C:C,'Daily Transactions'!A:A,$A142,'Daily Transactions'!B:B,"&lt;&gt;Sales",'Daily Transactions'!D:D,"Bank")</f>
        <v>7944</v>
      </c>
      <c r="G142" s="8" t="n">
        <f aca="false">B142-C142</f>
        <v>418</v>
      </c>
      <c r="H142" s="8" t="n">
        <f aca="false">J141</f>
        <v>6650</v>
      </c>
      <c r="I142" s="8" t="n">
        <f aca="false">SUMIFS('Daily Transactions'!C:C,'Daily Transactions'!A:A,$A142,'Daily Transactions'!B:B,"Sales",'Daily Transactions'!D:D,"Cash")</f>
        <v>4265</v>
      </c>
      <c r="J142" s="8" t="n">
        <f aca="false">(H142+I142)-(D142+E142)</f>
        <v>6350</v>
      </c>
      <c r="K142" s="8"/>
      <c r="L142" s="8" t="n">
        <f aca="false">SUMIFS('Daily Transactions'!C:C,'Daily Transactions'!A:A,$A142,'Daily Transactions'!B:B,"Cash Shortage",'Daily Transactions'!D:D,"Cash")</f>
        <v>0</v>
      </c>
      <c r="M142" s="8"/>
    </row>
    <row r="143" customFormat="false" ht="15.75" hidden="false" customHeight="true" outlineLevel="0" collapsed="false">
      <c r="A143" s="35" t="n">
        <f aca="false">A142+1</f>
        <v>45797</v>
      </c>
      <c r="B143" s="8" t="n">
        <f aca="false">SUMIFS('Daily Transactions'!C:C,'Daily Transactions'!A:A,$A143,'Daily Transactions'!B:B,"Sales")</f>
        <v>12115</v>
      </c>
      <c r="C143" s="8" t="n">
        <f aca="false">SUMIFS('Daily Transactions'!C:C,'Daily Transactions'!A:A,$A143,'Daily Transactions'!B:B,"&lt;&gt;Sales")</f>
        <v>5828</v>
      </c>
      <c r="D143" s="8" t="n">
        <f aca="false">SUMIFS('Daily Transactions'!C:C,'Daily Transactions'!A:A,$A143,'Daily Transactions'!B:B,"&lt;&gt;Sales",'Daily Transactions'!D:D,"Cash")</f>
        <v>10</v>
      </c>
      <c r="E143" s="8" t="n">
        <f aca="false">SUMIFS('Daily Transactions'!C:C,'Daily Transactions'!A:A,$A143,'Daily Transactions'!B:B,"&lt;&gt;Sales",'Daily Transactions'!D:D,"Bank_Cash")</f>
        <v>250</v>
      </c>
      <c r="F143" s="8" t="n">
        <f aca="false">SUMIFS('Daily Transactions'!C:C,'Daily Transactions'!A:A,$A143,'Daily Transactions'!B:B,"&lt;&gt;Sales",'Daily Transactions'!D:D,"Bank")</f>
        <v>5568</v>
      </c>
      <c r="G143" s="8" t="n">
        <f aca="false">B143-C143</f>
        <v>6287</v>
      </c>
      <c r="H143" s="8" t="n">
        <f aca="false">J142</f>
        <v>6350</v>
      </c>
      <c r="I143" s="8" t="n">
        <f aca="false">SUMIFS('Daily Transactions'!C:C,'Daily Transactions'!A:A,$A143,'Daily Transactions'!B:B,"Sales",'Daily Transactions'!D:D,"Cash")</f>
        <v>2110</v>
      </c>
      <c r="J143" s="8" t="n">
        <f aca="false">(H143+I143)-(D143+E143)</f>
        <v>8200</v>
      </c>
      <c r="K143" s="8"/>
      <c r="L143" s="8" t="n">
        <f aca="false">SUMIFS('Daily Transactions'!C:C,'Daily Transactions'!A:A,$A143,'Daily Transactions'!B:B,"Cash Shortage",'Daily Transactions'!D:D,"Cash")</f>
        <v>0</v>
      </c>
      <c r="M143" s="8"/>
    </row>
    <row r="144" customFormat="false" ht="15.75" hidden="false" customHeight="true" outlineLevel="0" collapsed="false">
      <c r="A144" s="35" t="n">
        <f aca="false">A143+1</f>
        <v>45798</v>
      </c>
      <c r="B144" s="8" t="n">
        <f aca="false">SUMIFS('Daily Transactions'!C:C,'Daily Transactions'!A:A,$A144,'Daily Transactions'!B:B,"Sales")</f>
        <v>20828</v>
      </c>
      <c r="C144" s="8" t="n">
        <f aca="false">SUMIFS('Daily Transactions'!C:C,'Daily Transactions'!A:A,$A144,'Daily Transactions'!B:B,"&lt;&gt;Sales")</f>
        <v>15226</v>
      </c>
      <c r="D144" s="8" t="n">
        <f aca="false">SUMIFS('Daily Transactions'!C:C,'Daily Transactions'!A:A,$A144,'Daily Transactions'!B:B,"&lt;&gt;Sales",'Daily Transactions'!D:D,"Cash")</f>
        <v>85</v>
      </c>
      <c r="E144" s="8" t="n">
        <f aca="false">SUMIFS('Daily Transactions'!C:C,'Daily Transactions'!A:A,$A144,'Daily Transactions'!B:B,"&lt;&gt;Sales",'Daily Transactions'!D:D,"Bank_Cash")</f>
        <v>4550</v>
      </c>
      <c r="F144" s="8" t="n">
        <f aca="false">SUMIFS('Daily Transactions'!C:C,'Daily Transactions'!A:A,$A144,'Daily Transactions'!B:B,"&lt;&gt;Sales",'Daily Transactions'!D:D,"Bank")</f>
        <v>10591</v>
      </c>
      <c r="G144" s="8" t="n">
        <f aca="false">B144-C144</f>
        <v>5602</v>
      </c>
      <c r="H144" s="8" t="n">
        <f aca="false">J143</f>
        <v>8200</v>
      </c>
      <c r="I144" s="8" t="n">
        <f aca="false">SUMIFS('Daily Transactions'!C:C,'Daily Transactions'!A:A,$A144,'Daily Transactions'!B:B,"Sales",'Daily Transactions'!D:D,"Cash")</f>
        <v>6335</v>
      </c>
      <c r="J144" s="8" t="n">
        <f aca="false">(H144+I144)-(D144+E144)</f>
        <v>9900</v>
      </c>
      <c r="K144" s="8"/>
      <c r="L144" s="8" t="n">
        <f aca="false">SUMIFS('Daily Transactions'!C:C,'Daily Transactions'!A:A,$A144,'Daily Transactions'!B:B,"Cash Shortage",'Daily Transactions'!D:D,"Cash")</f>
        <v>0</v>
      </c>
      <c r="M144" s="8"/>
    </row>
    <row r="145" customFormat="false" ht="15.75" hidden="false" customHeight="true" outlineLevel="0" collapsed="false">
      <c r="A145" s="35" t="n">
        <f aca="false">A144+1</f>
        <v>45799</v>
      </c>
      <c r="B145" s="8" t="n">
        <f aca="false">SUMIFS('Daily Transactions'!C:C,'Daily Transactions'!A:A,$A145,'Daily Transactions'!B:B,"Sales")</f>
        <v>20574</v>
      </c>
      <c r="C145" s="8" t="n">
        <f aca="false">SUMIFS('Daily Transactions'!C:C,'Daily Transactions'!A:A,$A145,'Daily Transactions'!B:B,"&lt;&gt;Sales")</f>
        <v>14715</v>
      </c>
      <c r="D145" s="8" t="n">
        <f aca="false">SUMIFS('Daily Transactions'!C:C,'Daily Transactions'!A:A,$A145,'Daily Transactions'!B:B,"&lt;&gt;Sales",'Daily Transactions'!D:D,"Cash")</f>
        <v>1904</v>
      </c>
      <c r="E145" s="8" t="n">
        <f aca="false">SUMIFS('Daily Transactions'!C:C,'Daily Transactions'!A:A,$A145,'Daily Transactions'!B:B,"&lt;&gt;Sales",'Daily Transactions'!D:D,"Bank_Cash")</f>
        <v>4250</v>
      </c>
      <c r="F145" s="8" t="n">
        <f aca="false">SUMIFS('Daily Transactions'!C:C,'Daily Transactions'!A:A,$A145,'Daily Transactions'!B:B,"&lt;&gt;Sales",'Daily Transactions'!D:D,"Bank")</f>
        <v>8561</v>
      </c>
      <c r="G145" s="8" t="n">
        <f aca="false">B145-C145</f>
        <v>5859</v>
      </c>
      <c r="H145" s="8" t="n">
        <f aca="false">J144</f>
        <v>9900</v>
      </c>
      <c r="I145" s="8" t="n">
        <f aca="false">SUMIFS('Daily Transactions'!C:C,'Daily Transactions'!A:A,$A145,'Daily Transactions'!B:B,"Sales",'Daily Transactions'!D:D,"Cash")</f>
        <v>1954</v>
      </c>
      <c r="J145" s="8" t="n">
        <f aca="false">(H145+I145)-(D145+E145)</f>
        <v>5700</v>
      </c>
      <c r="K145" s="8"/>
      <c r="L145" s="8" t="n">
        <f aca="false">SUMIFS('Daily Transactions'!C:C,'Daily Transactions'!A:A,$A145,'Daily Transactions'!B:B,"Cash Shortage",'Daily Transactions'!D:D,"Cash")</f>
        <v>0</v>
      </c>
      <c r="M145" s="8"/>
    </row>
    <row r="146" customFormat="false" ht="15.75" hidden="false" customHeight="true" outlineLevel="0" collapsed="false">
      <c r="A146" s="35" t="n">
        <f aca="false">A145+1</f>
        <v>45800</v>
      </c>
      <c r="B146" s="8" t="n">
        <f aca="false">SUMIFS('Daily Transactions'!C:C,'Daily Transactions'!A:A,$A146,'Daily Transactions'!B:B,"Sales")</f>
        <v>23240</v>
      </c>
      <c r="C146" s="8" t="n">
        <f aca="false">SUMIFS('Daily Transactions'!C:C,'Daily Transactions'!A:A,$A146,'Daily Transactions'!B:B,"&lt;&gt;Sales")</f>
        <v>17168</v>
      </c>
      <c r="D146" s="8" t="n">
        <f aca="false">SUMIFS('Daily Transactions'!C:C,'Daily Transactions'!A:A,$A146,'Daily Transactions'!B:B,"&lt;&gt;Sales",'Daily Transactions'!D:D,"Cash")</f>
        <v>199</v>
      </c>
      <c r="E146" s="8" t="n">
        <f aca="false">SUMIFS('Daily Transactions'!C:C,'Daily Transactions'!A:A,$A146,'Daily Transactions'!B:B,"&lt;&gt;Sales",'Daily Transactions'!D:D,"Bank_Cash")</f>
        <v>490</v>
      </c>
      <c r="F146" s="8" t="n">
        <f aca="false">SUMIFS('Daily Transactions'!C:C,'Daily Transactions'!A:A,$A146,'Daily Transactions'!B:B,"&lt;&gt;Sales",'Daily Transactions'!D:D,"Bank")</f>
        <v>16479</v>
      </c>
      <c r="G146" s="8" t="n">
        <f aca="false">B146-C146</f>
        <v>6072</v>
      </c>
      <c r="H146" s="8" t="n">
        <f aca="false">J145</f>
        <v>5700</v>
      </c>
      <c r="I146" s="8" t="n">
        <f aca="false">SUMIFS('Daily Transactions'!C:C,'Daily Transactions'!A:A,$A146,'Daily Transactions'!B:B,"Sales",'Daily Transactions'!D:D,"Cash")</f>
        <v>3139</v>
      </c>
      <c r="J146" s="8" t="n">
        <f aca="false">(H146+I146)-(D146+E146)</f>
        <v>8150</v>
      </c>
      <c r="K146" s="8"/>
      <c r="L146" s="8" t="n">
        <f aca="false">SUMIFS('Daily Transactions'!C:C,'Daily Transactions'!A:A,$A146,'Daily Transactions'!B:B,"Cash Shortage",'Daily Transactions'!D:D,"Cash")</f>
        <v>0</v>
      </c>
      <c r="M146" s="8"/>
    </row>
    <row r="147" customFormat="false" ht="15.75" hidden="false" customHeight="true" outlineLevel="0" collapsed="false">
      <c r="A147" s="35" t="n">
        <f aca="false">A146+1</f>
        <v>45801</v>
      </c>
      <c r="B147" s="8" t="n">
        <f aca="false">SUMIFS('Daily Transactions'!C:C,'Daily Transactions'!A:A,$A147,'Daily Transactions'!B:B,"Sales")</f>
        <v>22182</v>
      </c>
      <c r="C147" s="8" t="n">
        <f aca="false">SUMIFS('Daily Transactions'!C:C,'Daily Transactions'!A:A,$A147,'Daily Transactions'!B:B,"&lt;&gt;Sales")</f>
        <v>11969</v>
      </c>
      <c r="D147" s="8" t="n">
        <f aca="false">SUMIFS('Daily Transactions'!C:C,'Daily Transactions'!A:A,$A147,'Daily Transactions'!B:B,"&lt;&gt;Sales",'Daily Transactions'!D:D,"Cash")</f>
        <v>50</v>
      </c>
      <c r="E147" s="8" t="n">
        <f aca="false">SUMIFS('Daily Transactions'!C:C,'Daily Transactions'!A:A,$A147,'Daily Transactions'!B:B,"&lt;&gt;Sales",'Daily Transactions'!D:D,"Bank_Cash")</f>
        <v>2450</v>
      </c>
      <c r="F147" s="8" t="n">
        <f aca="false">SUMIFS('Daily Transactions'!C:C,'Daily Transactions'!A:A,$A147,'Daily Transactions'!B:B,"&lt;&gt;Sales",'Daily Transactions'!D:D,"Bank")</f>
        <v>9469</v>
      </c>
      <c r="G147" s="8" t="n">
        <f aca="false">B147-C147</f>
        <v>10213</v>
      </c>
      <c r="H147" s="8" t="n">
        <f aca="false">J146</f>
        <v>8150</v>
      </c>
      <c r="I147" s="8" t="n">
        <f aca="false">SUMIFS('Daily Transactions'!C:C,'Daily Transactions'!A:A,$A147,'Daily Transactions'!B:B,"Sales",'Daily Transactions'!D:D,"Cash")</f>
        <v>2400</v>
      </c>
      <c r="J147" s="8" t="n">
        <f aca="false">(H147+I147)-(D147+E147)</f>
        <v>8050</v>
      </c>
      <c r="K147" s="8"/>
      <c r="L147" s="8" t="n">
        <f aca="false">SUMIFS('Daily Transactions'!C:C,'Daily Transactions'!A:A,$A147,'Daily Transactions'!B:B,"Cash Shortage",'Daily Transactions'!D:D,"Cash")</f>
        <v>0</v>
      </c>
      <c r="M147" s="8"/>
    </row>
    <row r="148" customFormat="false" ht="15.75" hidden="false" customHeight="true" outlineLevel="0" collapsed="false">
      <c r="A148" s="35" t="n">
        <f aca="false">A147+1</f>
        <v>45802</v>
      </c>
      <c r="B148" s="8" t="n">
        <f aca="false">SUMIFS('Daily Transactions'!C:C,'Daily Transactions'!A:A,$A148,'Daily Transactions'!B:B,"Sales")</f>
        <v>24822</v>
      </c>
      <c r="C148" s="8" t="n">
        <f aca="false">SUMIFS('Daily Transactions'!C:C,'Daily Transactions'!A:A,$A148,'Daily Transactions'!B:B,"&lt;&gt;Sales")</f>
        <v>8344</v>
      </c>
      <c r="D148" s="8" t="n">
        <f aca="false">SUMIFS('Daily Transactions'!C:C,'Daily Transactions'!A:A,$A148,'Daily Transactions'!B:B,"&lt;&gt;Sales",'Daily Transactions'!D:D,"Cash")</f>
        <v>115</v>
      </c>
      <c r="E148" s="8" t="n">
        <f aca="false">SUMIFS('Daily Transactions'!C:C,'Daily Transactions'!A:A,$A148,'Daily Transactions'!B:B,"&lt;&gt;Sales",'Daily Transactions'!D:D,"Bank_Cash")</f>
        <v>1100</v>
      </c>
      <c r="F148" s="8" t="n">
        <f aca="false">SUMIFS('Daily Transactions'!C:C,'Daily Transactions'!A:A,$A148,'Daily Transactions'!B:B,"&lt;&gt;Sales",'Daily Transactions'!D:D,"Bank")</f>
        <v>7129</v>
      </c>
      <c r="G148" s="8" t="n">
        <f aca="false">B148-C148</f>
        <v>16478</v>
      </c>
      <c r="H148" s="8" t="n">
        <f aca="false">J147</f>
        <v>8050</v>
      </c>
      <c r="I148" s="8" t="n">
        <f aca="false">SUMIFS('Daily Transactions'!C:C,'Daily Transactions'!A:A,$A148,'Daily Transactions'!B:B,"Sales",'Daily Transactions'!D:D,"Cash")</f>
        <v>3565</v>
      </c>
      <c r="J148" s="8" t="n">
        <f aca="false">(H148+I148)-(D148+E148)</f>
        <v>10400</v>
      </c>
      <c r="K148" s="8"/>
      <c r="L148" s="8" t="n">
        <f aca="false">SUMIFS('Daily Transactions'!C:C,'Daily Transactions'!A:A,$A148,'Daily Transactions'!B:B,"Cash Shortage",'Daily Transactions'!D:D,"Cash")</f>
        <v>0</v>
      </c>
      <c r="M148" s="8"/>
    </row>
    <row r="149" customFormat="false" ht="15.75" hidden="false" customHeight="true" outlineLevel="0" collapsed="false">
      <c r="A149" s="35" t="n">
        <f aca="false">A148+1</f>
        <v>45803</v>
      </c>
      <c r="B149" s="8" t="n">
        <f aca="false">SUMIFS('Daily Transactions'!C:C,'Daily Transactions'!A:A,$A149,'Daily Transactions'!B:B,"Sales")</f>
        <v>14634</v>
      </c>
      <c r="C149" s="8" t="n">
        <f aca="false">SUMIFS('Daily Transactions'!C:C,'Daily Transactions'!A:A,$A149,'Daily Transactions'!B:B,"&lt;&gt;Sales")</f>
        <v>19418</v>
      </c>
      <c r="D149" s="8" t="n">
        <f aca="false">SUMIFS('Daily Transactions'!C:C,'Daily Transactions'!A:A,$A149,'Daily Transactions'!B:B,"&lt;&gt;Sales",'Daily Transactions'!D:D,"Cash")</f>
        <v>1100</v>
      </c>
      <c r="E149" s="8" t="n">
        <f aca="false">SUMIFS('Daily Transactions'!C:C,'Daily Transactions'!A:A,$A149,'Daily Transactions'!B:B,"&lt;&gt;Sales",'Daily Transactions'!D:D,"Bank_Cash")</f>
        <v>2400</v>
      </c>
      <c r="F149" s="8" t="n">
        <f aca="false">SUMIFS('Daily Transactions'!C:C,'Daily Transactions'!A:A,$A149,'Daily Transactions'!B:B,"&lt;&gt;Sales",'Daily Transactions'!D:D,"Bank")</f>
        <v>15918</v>
      </c>
      <c r="G149" s="8" t="n">
        <f aca="false">B149-C149</f>
        <v>-4784</v>
      </c>
      <c r="H149" s="8" t="n">
        <f aca="false">J148</f>
        <v>10400</v>
      </c>
      <c r="I149" s="8" t="n">
        <f aca="false">SUMIFS('Daily Transactions'!C:C,'Daily Transactions'!A:A,$A149,'Daily Transactions'!B:B,"Sales",'Daily Transactions'!D:D,"Cash")</f>
        <v>1200</v>
      </c>
      <c r="J149" s="8" t="n">
        <f aca="false">(H149+I149)-(D149+E149)</f>
        <v>8100</v>
      </c>
      <c r="K149" s="8"/>
      <c r="L149" s="8" t="n">
        <f aca="false">SUMIFS('Daily Transactions'!C:C,'Daily Transactions'!A:A,$A149,'Daily Transactions'!B:B,"Cash Shortage",'Daily Transactions'!D:D,"Cash")</f>
        <v>0</v>
      </c>
      <c r="M149" s="8"/>
    </row>
    <row r="150" customFormat="false" ht="15.75" hidden="false" customHeight="true" outlineLevel="0" collapsed="false">
      <c r="A150" s="35" t="n">
        <f aca="false">A149+1</f>
        <v>45804</v>
      </c>
      <c r="B150" s="8" t="n">
        <f aca="false">SUMIFS('Daily Transactions'!C:C,'Daily Transactions'!A:A,$A150,'Daily Transactions'!B:B,"Sales")</f>
        <v>16199</v>
      </c>
      <c r="C150" s="8" t="n">
        <f aca="false">SUMIFS('Daily Transactions'!C:C,'Daily Transactions'!A:A,$A150,'Daily Transactions'!B:B,"&lt;&gt;Sales")</f>
        <v>10936</v>
      </c>
      <c r="D150" s="8" t="n">
        <f aca="false">SUMIFS('Daily Transactions'!C:C,'Daily Transactions'!A:A,$A150,'Daily Transactions'!B:B,"&lt;&gt;Sales",'Daily Transactions'!D:D,"Cash")</f>
        <v>19</v>
      </c>
      <c r="E150" s="8" t="n">
        <f aca="false">SUMIFS('Daily Transactions'!C:C,'Daily Transactions'!A:A,$A150,'Daily Transactions'!B:B,"&lt;&gt;Sales",'Daily Transactions'!D:D,"Bank_Cash")</f>
        <v>3750</v>
      </c>
      <c r="F150" s="8" t="n">
        <f aca="false">SUMIFS('Daily Transactions'!C:C,'Daily Transactions'!A:A,$A150,'Daily Transactions'!B:B,"&lt;&gt;Sales",'Daily Transactions'!D:D,"Bank")</f>
        <v>7167</v>
      </c>
      <c r="G150" s="8" t="n">
        <f aca="false">B150-C150</f>
        <v>5263</v>
      </c>
      <c r="H150" s="8" t="n">
        <f aca="false">J149</f>
        <v>8100</v>
      </c>
      <c r="I150" s="8" t="n">
        <f aca="false">SUMIFS('Daily Transactions'!C:C,'Daily Transactions'!A:A,$A150,'Daily Transactions'!B:B,"Sales",'Daily Transactions'!D:D,"Cash")</f>
        <v>4119</v>
      </c>
      <c r="J150" s="8" t="n">
        <f aca="false">(H150+I150)-(D150+E150)</f>
        <v>8450</v>
      </c>
      <c r="K150" s="8"/>
      <c r="L150" s="8" t="n">
        <f aca="false">SUMIFS('Daily Transactions'!C:C,'Daily Transactions'!A:A,$A150,'Daily Transactions'!B:B,"Cash Shortage",'Daily Transactions'!D:D,"Cash")</f>
        <v>0</v>
      </c>
      <c r="M150" s="8"/>
    </row>
    <row r="151" customFormat="false" ht="15.75" hidden="false" customHeight="true" outlineLevel="0" collapsed="false">
      <c r="A151" s="35" t="n">
        <f aca="false">A150+1</f>
        <v>45805</v>
      </c>
      <c r="B151" s="8" t="n">
        <f aca="false">SUMIFS('Daily Transactions'!C:C,'Daily Transactions'!A:A,$A151,'Daily Transactions'!B:B,"Sales")</f>
        <v>19753</v>
      </c>
      <c r="C151" s="8" t="n">
        <f aca="false">SUMIFS('Daily Transactions'!C:C,'Daily Transactions'!A:A,$A151,'Daily Transactions'!B:B,"&lt;&gt;Sales")</f>
        <v>11260</v>
      </c>
      <c r="D151" s="8" t="n">
        <f aca="false">SUMIFS('Daily Transactions'!C:C,'Daily Transactions'!A:A,$A151,'Daily Transactions'!B:B,"&lt;&gt;Sales",'Daily Transactions'!D:D,"Cash")</f>
        <v>320</v>
      </c>
      <c r="E151" s="8" t="n">
        <f aca="false">SUMIFS('Daily Transactions'!C:C,'Daily Transactions'!A:A,$A151,'Daily Transactions'!B:B,"&lt;&gt;Sales",'Daily Transactions'!D:D,"Bank_Cash")</f>
        <v>700</v>
      </c>
      <c r="F151" s="8" t="n">
        <f aca="false">SUMIFS('Daily Transactions'!C:C,'Daily Transactions'!A:A,$A151,'Daily Transactions'!B:B,"&lt;&gt;Sales",'Daily Transactions'!D:D,"Bank")</f>
        <v>10240</v>
      </c>
      <c r="G151" s="8" t="n">
        <f aca="false">B151-C151</f>
        <v>8493</v>
      </c>
      <c r="H151" s="8" t="n">
        <f aca="false">J150</f>
        <v>8450</v>
      </c>
      <c r="I151" s="8" t="n">
        <f aca="false">SUMIFS('Daily Transactions'!C:C,'Daily Transactions'!A:A,$A151,'Daily Transactions'!B:B,"Sales",'Daily Transactions'!D:D,"Cash")</f>
        <v>2770</v>
      </c>
      <c r="J151" s="8" t="n">
        <f aca="false">(H151+I151)-(D151+E151)</f>
        <v>10200</v>
      </c>
      <c r="K151" s="8"/>
      <c r="L151" s="8" t="n">
        <f aca="false">SUMIFS('Daily Transactions'!C:C,'Daily Transactions'!A:A,$A151,'Daily Transactions'!B:B,"Cash Shortage",'Daily Transactions'!D:D,"Cash")</f>
        <v>0</v>
      </c>
      <c r="M151" s="8"/>
    </row>
    <row r="152" customFormat="false" ht="15.75" hidden="false" customHeight="true" outlineLevel="0" collapsed="false">
      <c r="A152" s="35" t="n">
        <f aca="false">A151+1</f>
        <v>45806</v>
      </c>
      <c r="B152" s="8" t="n">
        <f aca="false">SUMIFS('Daily Transactions'!C:C,'Daily Transactions'!A:A,$A152,'Daily Transactions'!B:B,"Sales")</f>
        <v>22556</v>
      </c>
      <c r="C152" s="8" t="n">
        <f aca="false">SUMIFS('Daily Transactions'!C:C,'Daily Transactions'!A:A,$A152,'Daily Transactions'!B:B,"&lt;&gt;Sales")</f>
        <v>8079</v>
      </c>
      <c r="D152" s="8" t="n">
        <f aca="false">SUMIFS('Daily Transactions'!C:C,'Daily Transactions'!A:A,$A152,'Daily Transactions'!B:B,"&lt;&gt;Sales",'Daily Transactions'!D:D,"Cash")</f>
        <v>245</v>
      </c>
      <c r="E152" s="8" t="n">
        <f aca="false">SUMIFS('Daily Transactions'!C:C,'Daily Transactions'!A:A,$A152,'Daily Transactions'!B:B,"&lt;&gt;Sales",'Daily Transactions'!D:D,"Bank_Cash")</f>
        <v>550</v>
      </c>
      <c r="F152" s="8" t="n">
        <f aca="false">SUMIFS('Daily Transactions'!C:C,'Daily Transactions'!A:A,$A152,'Daily Transactions'!B:B,"&lt;&gt;Sales",'Daily Transactions'!D:D,"Bank")</f>
        <v>7284</v>
      </c>
      <c r="G152" s="8" t="n">
        <f aca="false">B152-C152</f>
        <v>14477</v>
      </c>
      <c r="H152" s="8" t="n">
        <f aca="false">J151</f>
        <v>10200</v>
      </c>
      <c r="I152" s="8" t="n">
        <f aca="false">SUMIFS('Daily Transactions'!C:C,'Daily Transactions'!A:A,$A152,'Daily Transactions'!B:B,"Sales",'Daily Transactions'!D:D,"Cash")</f>
        <v>3295</v>
      </c>
      <c r="J152" s="8" t="n">
        <f aca="false">(H152+I152)-(D152+E152)</f>
        <v>12700</v>
      </c>
      <c r="K152" s="8"/>
      <c r="L152" s="8" t="n">
        <f aca="false">SUMIFS('Daily Transactions'!C:C,'Daily Transactions'!A:A,$A152,'Daily Transactions'!B:B,"Cash Shortage",'Daily Transactions'!D:D,"Cash")</f>
        <v>0</v>
      </c>
      <c r="M152" s="8"/>
    </row>
    <row r="153" customFormat="false" ht="15.75" hidden="false" customHeight="true" outlineLevel="0" collapsed="false">
      <c r="A153" s="35" t="n">
        <f aca="false">A152+1</f>
        <v>45807</v>
      </c>
      <c r="B153" s="8" t="n">
        <f aca="false">SUMIFS('Daily Transactions'!C:C,'Daily Transactions'!A:A,$A153,'Daily Transactions'!B:B,"Sales")</f>
        <v>24338</v>
      </c>
      <c r="C153" s="8" t="n">
        <f aca="false">SUMIFS('Daily Transactions'!C:C,'Daily Transactions'!A:A,$A153,'Daily Transactions'!B:B,"&lt;&gt;Sales")</f>
        <v>11358</v>
      </c>
      <c r="D153" s="8" t="n">
        <f aca="false">SUMIFS('Daily Transactions'!C:C,'Daily Transactions'!A:A,$A153,'Daily Transactions'!B:B,"&lt;&gt;Sales",'Daily Transactions'!D:D,"Cash")</f>
        <v>1110</v>
      </c>
      <c r="E153" s="8" t="n">
        <f aca="false">SUMIFS('Daily Transactions'!C:C,'Daily Transactions'!A:A,$A153,'Daily Transactions'!B:B,"&lt;&gt;Sales",'Daily Transactions'!D:D,"Bank_Cash")</f>
        <v>1000</v>
      </c>
      <c r="F153" s="8" t="n">
        <f aca="false">SUMIFS('Daily Transactions'!C:C,'Daily Transactions'!A:A,$A153,'Daily Transactions'!B:B,"&lt;&gt;Sales",'Daily Transactions'!D:D,"Bank")</f>
        <v>9248</v>
      </c>
      <c r="G153" s="8" t="n">
        <f aca="false">B153-C153</f>
        <v>12980</v>
      </c>
      <c r="H153" s="8" t="n">
        <f aca="false">J152</f>
        <v>12700</v>
      </c>
      <c r="I153" s="8" t="n">
        <f aca="false">SUMIFS('Daily Transactions'!C:C,'Daily Transactions'!A:A,$A153,'Daily Transactions'!B:B,"Sales",'Daily Transactions'!D:D,"Cash")</f>
        <v>1710</v>
      </c>
      <c r="J153" s="8" t="n">
        <f aca="false">(H153+I153)-(D153+E153)</f>
        <v>12300</v>
      </c>
      <c r="K153" s="8"/>
      <c r="L153" s="8" t="n">
        <f aca="false">SUMIFS('Daily Transactions'!C:C,'Daily Transactions'!A:A,$A153,'Daily Transactions'!B:B,"Cash Shortage",'Daily Transactions'!D:D,"Cash")</f>
        <v>0</v>
      </c>
      <c r="M153" s="8"/>
    </row>
    <row r="154" customFormat="false" ht="15.75" hidden="false" customHeight="true" outlineLevel="0" collapsed="false">
      <c r="A154" s="35" t="n">
        <f aca="false">A153+1</f>
        <v>45808</v>
      </c>
      <c r="B154" s="8" t="n">
        <f aca="false">SUMIFS('Daily Transactions'!C:C,'Daily Transactions'!A:A,$A154,'Daily Transactions'!B:B,"Sales")</f>
        <v>32410</v>
      </c>
      <c r="C154" s="8" t="n">
        <f aca="false">SUMIFS('Daily Transactions'!C:C,'Daily Transactions'!A:A,$A154,'Daily Transactions'!B:B,"&lt;&gt;Sales")</f>
        <v>21604</v>
      </c>
      <c r="D154" s="8" t="n">
        <f aca="false">SUMIFS('Daily Transactions'!C:C,'Daily Transactions'!A:A,$A154,'Daily Transactions'!B:B,"&lt;&gt;Sales",'Daily Transactions'!D:D,"Cash")</f>
        <v>450</v>
      </c>
      <c r="E154" s="8" t="n">
        <f aca="false">SUMIFS('Daily Transactions'!C:C,'Daily Transactions'!A:A,$A154,'Daily Transactions'!B:B,"&lt;&gt;Sales",'Daily Transactions'!D:D,"Bank_Cash")</f>
        <v>9930</v>
      </c>
      <c r="F154" s="8" t="n">
        <f aca="false">SUMIFS('Daily Transactions'!C:C,'Daily Transactions'!A:A,$A154,'Daily Transactions'!B:B,"&lt;&gt;Sales",'Daily Transactions'!D:D,"Bank")</f>
        <v>11224</v>
      </c>
      <c r="G154" s="8" t="n">
        <f aca="false">B154-C154</f>
        <v>10806</v>
      </c>
      <c r="H154" s="8" t="n">
        <f aca="false">J153</f>
        <v>12300</v>
      </c>
      <c r="I154" s="8" t="n">
        <f aca="false">SUMIFS('Daily Transactions'!C:C,'Daily Transactions'!A:A,$A154,'Daily Transactions'!B:B,"Sales",'Daily Transactions'!D:D,"Cash")</f>
        <v>2580</v>
      </c>
      <c r="J154" s="8" t="n">
        <f aca="false">(H154+I154)-(D154+E154)</f>
        <v>4500</v>
      </c>
      <c r="K154" s="8"/>
      <c r="L154" s="8" t="n">
        <f aca="false">SUMIFS('Daily Transactions'!C:C,'Daily Transactions'!A:A,$A154,'Daily Transactions'!B:B,"Cash Shortage",'Daily Transactions'!D:D,"Cash")</f>
        <v>0</v>
      </c>
      <c r="M154" s="8"/>
    </row>
    <row r="155" customFormat="false" ht="15.75" hidden="false" customHeight="true" outlineLevel="0" collapsed="false">
      <c r="A155" s="35" t="n">
        <f aca="false">A154+1</f>
        <v>45809</v>
      </c>
      <c r="B155" s="8" t="n">
        <f aca="false">SUMIFS('Daily Transactions'!C:C,'Daily Transactions'!A:A,$A155,'Daily Transactions'!B:B,"Sales")</f>
        <v>34743</v>
      </c>
      <c r="C155" s="8" t="n">
        <f aca="false">SUMIFS('Daily Transactions'!C:C,'Daily Transactions'!A:A,$A155,'Daily Transactions'!B:B,"&lt;&gt;Sales")</f>
        <v>38910</v>
      </c>
      <c r="D155" s="8" t="n">
        <f aca="false">SUMIFS('Daily Transactions'!C:C,'Daily Transactions'!A:A,$A155,'Daily Transactions'!B:B,"&lt;&gt;Sales",'Daily Transactions'!D:D,"Cash")</f>
        <v>909</v>
      </c>
      <c r="E155" s="8" t="n">
        <f aca="false">SUMIFS('Daily Transactions'!C:C,'Daily Transactions'!A:A,$A155,'Daily Transactions'!B:B,"&lt;&gt;Sales",'Daily Transactions'!D:D,"Bank_Cash")</f>
        <v>2592</v>
      </c>
      <c r="F155" s="8" t="n">
        <f aca="false">SUMIFS('Daily Transactions'!C:C,'Daily Transactions'!A:A,$A155,'Daily Transactions'!B:B,"&lt;&gt;Sales",'Daily Transactions'!D:D,"Bank")</f>
        <v>35409</v>
      </c>
      <c r="G155" s="8" t="n">
        <f aca="false">B155-C155</f>
        <v>-4167</v>
      </c>
      <c r="H155" s="8" t="n">
        <f aca="false">J154</f>
        <v>4500</v>
      </c>
      <c r="I155" s="8" t="n">
        <f aca="false">SUMIFS('Daily Transactions'!C:C,'Daily Transactions'!A:A,$A155,'Daily Transactions'!B:B,"Sales",'Daily Transactions'!D:D,"Cash")</f>
        <v>2169</v>
      </c>
      <c r="J155" s="8" t="n">
        <f aca="false">(H155+I155)-(D155+E155)</f>
        <v>3168</v>
      </c>
      <c r="K155" s="8"/>
      <c r="L155" s="8" t="n">
        <f aca="false">SUMIFS('Daily Transactions'!C:C,'Daily Transactions'!A:A,$A155,'Daily Transactions'!B:B,"Cash Shortage",'Daily Transactions'!D:D,"Cash")</f>
        <v>0</v>
      </c>
      <c r="M155" s="8"/>
    </row>
    <row r="156" customFormat="false" ht="15.75" hidden="false" customHeight="true" outlineLevel="0" collapsed="false">
      <c r="A156" s="35" t="n">
        <f aca="false">A155+1</f>
        <v>45810</v>
      </c>
      <c r="B156" s="8" t="n">
        <f aca="false">SUMIFS('Daily Transactions'!C:C,'Daily Transactions'!A:A,$A156,'Daily Transactions'!B:B,"Sales")</f>
        <v>17286</v>
      </c>
      <c r="C156" s="8" t="n">
        <f aca="false">SUMIFS('Daily Transactions'!C:C,'Daily Transactions'!A:A,$A156,'Daily Transactions'!B:B,"&lt;&gt;Sales")</f>
        <v>18171</v>
      </c>
      <c r="D156" s="8" t="n">
        <f aca="false">SUMIFS('Daily Transactions'!C:C,'Daily Transactions'!A:A,$A156,'Daily Transactions'!B:B,"&lt;&gt;Sales",'Daily Transactions'!D:D,"Cash")</f>
        <v>119</v>
      </c>
      <c r="E156" s="8" t="n">
        <f aca="false">SUMIFS('Daily Transactions'!C:C,'Daily Transactions'!A:A,$A156,'Daily Transactions'!B:B,"&lt;&gt;Sales",'Daily Transactions'!D:D,"Bank_Cash")</f>
        <v>3510</v>
      </c>
      <c r="F156" s="8" t="n">
        <f aca="false">SUMIFS('Daily Transactions'!C:C,'Daily Transactions'!A:A,$A156,'Daily Transactions'!B:B,"&lt;&gt;Sales",'Daily Transactions'!D:D,"Bank")</f>
        <v>14542</v>
      </c>
      <c r="G156" s="8" t="n">
        <f aca="false">B156-C156</f>
        <v>-885</v>
      </c>
      <c r="H156" s="8" t="n">
        <f aca="false">J155</f>
        <v>3168</v>
      </c>
      <c r="I156" s="8" t="n">
        <f aca="false">SUMIFS('Daily Transactions'!C:C,'Daily Transactions'!A:A,$A156,'Daily Transactions'!B:B,"Sales",'Daily Transactions'!D:D,"Cash")</f>
        <v>2319</v>
      </c>
      <c r="J156" s="8" t="n">
        <f aca="false">(H156+I156)-(D156+E156)</f>
        <v>1858</v>
      </c>
      <c r="K156" s="8"/>
      <c r="L156" s="8" t="n">
        <f aca="false">SUMIFS('Daily Transactions'!C:C,'Daily Transactions'!A:A,$A156,'Daily Transactions'!B:B,"Cash Shortage",'Daily Transactions'!D:D,"Cash")</f>
        <v>0</v>
      </c>
      <c r="M156" s="8"/>
    </row>
    <row r="157" customFormat="false" ht="15.75" hidden="false" customHeight="true" outlineLevel="0" collapsed="false">
      <c r="A157" s="35" t="n">
        <f aca="false">A156+1</f>
        <v>45811</v>
      </c>
      <c r="B157" s="8" t="n">
        <f aca="false">SUMIFS('Daily Transactions'!C:C,'Daily Transactions'!A:A,$A157,'Daily Transactions'!B:B,"Sales")</f>
        <v>17508</v>
      </c>
      <c r="C157" s="8" t="n">
        <f aca="false">SUMIFS('Daily Transactions'!C:C,'Daily Transactions'!A:A,$A157,'Daily Transactions'!B:B,"&lt;&gt;Sales")</f>
        <v>8594</v>
      </c>
      <c r="D157" s="8" t="n">
        <f aca="false">SUMIFS('Daily Transactions'!C:C,'Daily Transactions'!A:A,$A157,'Daily Transactions'!B:B,"&lt;&gt;Sales",'Daily Transactions'!D:D,"Cash")</f>
        <v>220</v>
      </c>
      <c r="E157" s="8" t="n">
        <f aca="false">SUMIFS('Daily Transactions'!C:C,'Daily Transactions'!A:A,$A157,'Daily Transactions'!B:B,"&lt;&gt;Sales",'Daily Transactions'!D:D,"Bank_Cash")</f>
        <v>2350</v>
      </c>
      <c r="F157" s="8" t="n">
        <f aca="false">SUMIFS('Daily Transactions'!C:C,'Daily Transactions'!A:A,$A157,'Daily Transactions'!B:B,"&lt;&gt;Sales",'Daily Transactions'!D:D,"Bank")</f>
        <v>6024</v>
      </c>
      <c r="G157" s="8" t="n">
        <f aca="false">B157-C157</f>
        <v>8914</v>
      </c>
      <c r="H157" s="8" t="n">
        <f aca="false">J156</f>
        <v>1858</v>
      </c>
      <c r="I157" s="8" t="n">
        <f aca="false">SUMIFS('Daily Transactions'!C:C,'Daily Transactions'!A:A,$A157,'Daily Transactions'!B:B,"Sales",'Daily Transactions'!D:D,"Cash")</f>
        <v>1140</v>
      </c>
      <c r="J157" s="8" t="n">
        <f aca="false">(H157+I157)-(D157+E157)</f>
        <v>428</v>
      </c>
      <c r="K157" s="8"/>
      <c r="L157" s="8" t="n">
        <f aca="false">SUMIFS('Daily Transactions'!C:C,'Daily Transactions'!A:A,$A157,'Daily Transactions'!B:B,"Cash Shortage",'Daily Transactions'!D:D,"Cash")</f>
        <v>0</v>
      </c>
      <c r="M157" s="8"/>
    </row>
    <row r="158" customFormat="false" ht="15.75" hidden="false" customHeight="true" outlineLevel="0" collapsed="false">
      <c r="A158" s="35" t="n">
        <f aca="false">A157+1</f>
        <v>45812</v>
      </c>
      <c r="B158" s="8" t="n">
        <f aca="false">SUMIFS('Daily Transactions'!C:C,'Daily Transactions'!A:A,$A158,'Daily Transactions'!B:B,"Sales")</f>
        <v>21219</v>
      </c>
      <c r="C158" s="8" t="n">
        <f aca="false">SUMIFS('Daily Transactions'!C:C,'Daily Transactions'!A:A,$A158,'Daily Transactions'!B:B,"&lt;&gt;Sales")</f>
        <v>17301</v>
      </c>
      <c r="D158" s="8" t="n">
        <f aca="false">SUMIFS('Daily Transactions'!C:C,'Daily Transactions'!A:A,$A158,'Daily Transactions'!B:B,"&lt;&gt;Sales",'Daily Transactions'!D:D,"Cash")</f>
        <v>130</v>
      </c>
      <c r="E158" s="8" t="n">
        <f aca="false">SUMIFS('Daily Transactions'!C:C,'Daily Transactions'!A:A,$A158,'Daily Transactions'!B:B,"&lt;&gt;Sales",'Daily Transactions'!D:D,"Bank_Cash")</f>
        <v>1960</v>
      </c>
      <c r="F158" s="8" t="n">
        <f aca="false">SUMIFS('Daily Transactions'!C:C,'Daily Transactions'!A:A,$A158,'Daily Transactions'!B:B,"&lt;&gt;Sales",'Daily Transactions'!D:D,"Bank")</f>
        <v>15211</v>
      </c>
      <c r="G158" s="8" t="n">
        <f aca="false">B158-C158</f>
        <v>3918</v>
      </c>
      <c r="H158" s="8" t="n">
        <f aca="false">J157</f>
        <v>428</v>
      </c>
      <c r="I158" s="8" t="n">
        <f aca="false">SUMIFS('Daily Transactions'!C:C,'Daily Transactions'!A:A,$A158,'Daily Transactions'!B:B,"Sales",'Daily Transactions'!D:D,"Cash")</f>
        <v>3900</v>
      </c>
      <c r="J158" s="8" t="n">
        <f aca="false">(H158+I158)-(D158+E158)</f>
        <v>2238</v>
      </c>
      <c r="K158" s="8"/>
      <c r="L158" s="8" t="n">
        <f aca="false">SUMIFS('Daily Transactions'!C:C,'Daily Transactions'!A:A,$A158,'Daily Transactions'!B:B,"Cash Shortage",'Daily Transactions'!D:D,"Cash")</f>
        <v>0</v>
      </c>
      <c r="M158" s="8"/>
    </row>
    <row r="159" customFormat="false" ht="15.75" hidden="false" customHeight="true" outlineLevel="0" collapsed="false">
      <c r="A159" s="35" t="n">
        <f aca="false">A158+1</f>
        <v>45813</v>
      </c>
      <c r="B159" s="8" t="n">
        <f aca="false">SUMIFS('Daily Transactions'!C:C,'Daily Transactions'!A:A,$A159,'Daily Transactions'!B:B,"Sales")</f>
        <v>29302</v>
      </c>
      <c r="C159" s="8" t="n">
        <f aca="false">SUMIFS('Daily Transactions'!C:C,'Daily Transactions'!A:A,$A159,'Daily Transactions'!B:B,"&lt;&gt;Sales")</f>
        <v>30103</v>
      </c>
      <c r="D159" s="8" t="n">
        <f aca="false">SUMIFS('Daily Transactions'!C:C,'Daily Transactions'!A:A,$A159,'Daily Transactions'!B:B,"&lt;&gt;Sales",'Daily Transactions'!D:D,"Cash")</f>
        <v>1570</v>
      </c>
      <c r="E159" s="8" t="n">
        <f aca="false">SUMIFS('Daily Transactions'!C:C,'Daily Transactions'!A:A,$A159,'Daily Transactions'!B:B,"&lt;&gt;Sales",'Daily Transactions'!D:D,"Bank_Cash")</f>
        <v>3158</v>
      </c>
      <c r="F159" s="8" t="n">
        <f aca="false">SUMIFS('Daily Transactions'!C:C,'Daily Transactions'!A:A,$A159,'Daily Transactions'!B:B,"&lt;&gt;Sales",'Daily Transactions'!D:D,"Bank")</f>
        <v>25375</v>
      </c>
      <c r="G159" s="8" t="n">
        <f aca="false">B159-C159</f>
        <v>-801</v>
      </c>
      <c r="H159" s="8" t="n">
        <f aca="false">J158</f>
        <v>2238</v>
      </c>
      <c r="I159" s="8" t="n">
        <f aca="false">SUMIFS('Daily Transactions'!C:C,'Daily Transactions'!A:A,$A159,'Daily Transactions'!B:B,"Sales",'Daily Transactions'!D:D,"Cash")</f>
        <v>3230</v>
      </c>
      <c r="J159" s="8" t="n">
        <f aca="false">(H159+I159)-(D159+E159)</f>
        <v>740</v>
      </c>
      <c r="K159" s="8"/>
      <c r="L159" s="8" t="n">
        <f aca="false">SUMIFS('Daily Transactions'!C:C,'Daily Transactions'!A:A,$A159,'Daily Transactions'!B:B,"Cash Shortage",'Daily Transactions'!D:D,"Cash")</f>
        <v>0</v>
      </c>
      <c r="M159" s="8"/>
    </row>
    <row r="160" customFormat="false" ht="15.75" hidden="false" customHeight="true" outlineLevel="0" collapsed="false">
      <c r="A160" s="35" t="n">
        <f aca="false">A159+1</f>
        <v>45814</v>
      </c>
      <c r="B160" s="8" t="n">
        <f aca="false">SUMIFS('Daily Transactions'!C:C,'Daily Transactions'!A:A,$A160,'Daily Transactions'!B:B,"Sales")</f>
        <v>27715</v>
      </c>
      <c r="C160" s="8" t="n">
        <f aca="false">SUMIFS('Daily Transactions'!C:C,'Daily Transactions'!A:A,$A160,'Daily Transactions'!B:B,"&lt;&gt;Sales")</f>
        <v>28612</v>
      </c>
      <c r="D160" s="8" t="n">
        <f aca="false">SUMIFS('Daily Transactions'!C:C,'Daily Transactions'!A:A,$A160,'Daily Transactions'!B:B,"&lt;&gt;Sales",'Daily Transactions'!D:D,"Cash")</f>
        <v>2620</v>
      </c>
      <c r="E160" s="8" t="n">
        <f aca="false">SUMIFS('Daily Transactions'!C:C,'Daily Transactions'!A:A,$A160,'Daily Transactions'!B:B,"&lt;&gt;Sales",'Daily Transactions'!D:D,"Bank_Cash")</f>
        <v>1837</v>
      </c>
      <c r="F160" s="8" t="n">
        <f aca="false">SUMIFS('Daily Transactions'!C:C,'Daily Transactions'!A:A,$A160,'Daily Transactions'!B:B,"&lt;&gt;Sales",'Daily Transactions'!D:D,"Bank")</f>
        <v>24155</v>
      </c>
      <c r="G160" s="8" t="n">
        <f aca="false">B160-C160</f>
        <v>-897</v>
      </c>
      <c r="H160" s="8" t="n">
        <f aca="false">J159</f>
        <v>740</v>
      </c>
      <c r="I160" s="8" t="n">
        <f aca="false">SUMIFS('Daily Transactions'!C:C,'Daily Transactions'!A:A,$A160,'Daily Transactions'!B:B,"Sales",'Daily Transactions'!D:D,"Cash")</f>
        <v>2865</v>
      </c>
      <c r="J160" s="8" t="n">
        <f aca="false">(H160+I160)-(D160+E160)</f>
        <v>-852</v>
      </c>
      <c r="K160" s="8"/>
      <c r="L160" s="8" t="n">
        <f aca="false">SUMIFS('Daily Transactions'!C:C,'Daily Transactions'!A:A,$A160,'Daily Transactions'!B:B,"Cash Shortage",'Daily Transactions'!D:D,"Cash")</f>
        <v>0</v>
      </c>
      <c r="M160" s="8"/>
    </row>
    <row r="161" customFormat="false" ht="15.75" hidden="false" customHeight="true" outlineLevel="0" collapsed="false">
      <c r="A161" s="35" t="n">
        <f aca="false">A160+1</f>
        <v>45815</v>
      </c>
      <c r="B161" s="8" t="n">
        <f aca="false">SUMIFS('Daily Transactions'!C:C,'Daily Transactions'!A:A,$A161,'Daily Transactions'!B:B,"Sales")</f>
        <v>24585</v>
      </c>
      <c r="C161" s="8" t="n">
        <f aca="false">SUMIFS('Daily Transactions'!C:C,'Daily Transactions'!A:A,$A161,'Daily Transactions'!B:B,"&lt;&gt;Sales")</f>
        <v>16551</v>
      </c>
      <c r="D161" s="8" t="n">
        <f aca="false">SUMIFS('Daily Transactions'!C:C,'Daily Transactions'!A:A,$A161,'Daily Transactions'!B:B,"&lt;&gt;Sales",'Daily Transactions'!D:D,"Cash")</f>
        <v>100</v>
      </c>
      <c r="E161" s="8" t="n">
        <f aca="false">SUMIFS('Daily Transactions'!C:C,'Daily Transactions'!A:A,$A161,'Daily Transactions'!B:B,"&lt;&gt;Sales",'Daily Transactions'!D:D,"Bank_Cash")</f>
        <v>730</v>
      </c>
      <c r="F161" s="8" t="n">
        <f aca="false">SUMIFS('Daily Transactions'!C:C,'Daily Transactions'!A:A,$A161,'Daily Transactions'!B:B,"&lt;&gt;Sales",'Daily Transactions'!D:D,"Bank")</f>
        <v>15721</v>
      </c>
      <c r="G161" s="8" t="n">
        <f aca="false">B161-C161</f>
        <v>8034</v>
      </c>
      <c r="H161" s="8" t="n">
        <f aca="false">J160</f>
        <v>-852</v>
      </c>
      <c r="I161" s="8" t="n">
        <f aca="false">SUMIFS('Daily Transactions'!C:C,'Daily Transactions'!A:A,$A161,'Daily Transactions'!B:B,"Sales",'Daily Transactions'!D:D,"Cash")</f>
        <v>1610</v>
      </c>
      <c r="J161" s="8" t="n">
        <f aca="false">(H161+I161)-(D161+E161)</f>
        <v>-72</v>
      </c>
      <c r="K161" s="8"/>
      <c r="L161" s="8" t="n">
        <f aca="false">SUMIFS('Daily Transactions'!C:C,'Daily Transactions'!A:A,$A161,'Daily Transactions'!B:B,"Cash Shortage",'Daily Transactions'!D:D,"Cash")</f>
        <v>0</v>
      </c>
      <c r="M161" s="8"/>
    </row>
    <row r="162" customFormat="false" ht="15.75" hidden="false" customHeight="true" outlineLevel="0" collapsed="false">
      <c r="A162" s="35" t="n">
        <f aca="false">A161+1</f>
        <v>45816</v>
      </c>
      <c r="B162" s="8" t="n">
        <f aca="false">SUMIFS('Daily Transactions'!C:C,'Daily Transactions'!A:A,$A162,'Daily Transactions'!B:B,"Sales")</f>
        <v>27069</v>
      </c>
      <c r="C162" s="8" t="n">
        <f aca="false">SUMIFS('Daily Transactions'!C:C,'Daily Transactions'!A:A,$A162,'Daily Transactions'!B:B,"&lt;&gt;Sales")</f>
        <v>15817</v>
      </c>
      <c r="D162" s="8" t="n">
        <f aca="false">SUMIFS('Daily Transactions'!C:C,'Daily Transactions'!A:A,$A162,'Daily Transactions'!B:B,"&lt;&gt;Sales",'Daily Transactions'!D:D,"Cash")</f>
        <v>531</v>
      </c>
      <c r="E162" s="8" t="n">
        <f aca="false">SUMIFS('Daily Transactions'!C:C,'Daily Transactions'!A:A,$A162,'Daily Transactions'!B:B,"&lt;&gt;Sales",'Daily Transactions'!D:D,"Bank_Cash")</f>
        <v>3073</v>
      </c>
      <c r="F162" s="8" t="n">
        <f aca="false">SUMIFS('Daily Transactions'!C:C,'Daily Transactions'!A:A,$A162,'Daily Transactions'!B:B,"&lt;&gt;Sales",'Daily Transactions'!D:D,"Bank")</f>
        <v>12213</v>
      </c>
      <c r="G162" s="8" t="n">
        <f aca="false">B162-C162</f>
        <v>11252</v>
      </c>
      <c r="H162" s="8" t="n">
        <f aca="false">J161</f>
        <v>-72</v>
      </c>
      <c r="I162" s="8" t="n">
        <f aca="false">SUMIFS('Daily Transactions'!C:C,'Daily Transactions'!A:A,$A162,'Daily Transactions'!B:B,"Sales",'Daily Transactions'!D:D,"Cash")</f>
        <v>2381</v>
      </c>
      <c r="J162" s="8" t="n">
        <f aca="false">(H162+I162)-(D162+E162)</f>
        <v>-1295</v>
      </c>
      <c r="K162" s="8"/>
      <c r="L162" s="8" t="n">
        <f aca="false">SUMIFS('Daily Transactions'!C:C,'Daily Transactions'!A:A,$A162,'Daily Transactions'!B:B,"Cash Shortage",'Daily Transactions'!D:D,"Cash")</f>
        <v>0</v>
      </c>
      <c r="M162" s="8"/>
    </row>
    <row r="163" customFormat="false" ht="15.75" hidden="false" customHeight="true" outlineLevel="0" collapsed="false">
      <c r="A163" s="35" t="n">
        <f aca="false">A162+1</f>
        <v>45817</v>
      </c>
      <c r="B163" s="8" t="n">
        <f aca="false">SUMIFS('Daily Transactions'!C:C,'Daily Transactions'!A:A,$A163,'Daily Transactions'!B:B,"Sales")</f>
        <v>14793</v>
      </c>
      <c r="C163" s="8" t="n">
        <f aca="false">SUMIFS('Daily Transactions'!C:C,'Daily Transactions'!A:A,$A163,'Daily Transactions'!B:B,"&lt;&gt;Sales")</f>
        <v>7507</v>
      </c>
      <c r="D163" s="8" t="n">
        <f aca="false">SUMIFS('Daily Transactions'!C:C,'Daily Transactions'!A:A,$A163,'Daily Transactions'!B:B,"&lt;&gt;Sales",'Daily Transactions'!D:D,"Cash")</f>
        <v>495</v>
      </c>
      <c r="E163" s="8" t="n">
        <f aca="false">SUMIFS('Daily Transactions'!C:C,'Daily Transactions'!A:A,$A163,'Daily Transactions'!B:B,"&lt;&gt;Sales",'Daily Transactions'!D:D,"Bank_Cash")</f>
        <v>840</v>
      </c>
      <c r="F163" s="8" t="n">
        <f aca="false">SUMIFS('Daily Transactions'!C:C,'Daily Transactions'!A:A,$A163,'Daily Transactions'!B:B,"&lt;&gt;Sales",'Daily Transactions'!D:D,"Bank")</f>
        <v>6172</v>
      </c>
      <c r="G163" s="8" t="n">
        <f aca="false">B163-C163</f>
        <v>7286</v>
      </c>
      <c r="H163" s="8" t="n">
        <f aca="false">J162</f>
        <v>-1295</v>
      </c>
      <c r="I163" s="8" t="n">
        <f aca="false">SUMIFS('Daily Transactions'!C:C,'Daily Transactions'!A:A,$A163,'Daily Transactions'!B:B,"Sales",'Daily Transactions'!D:D,"Cash")</f>
        <v>1795</v>
      </c>
      <c r="J163" s="8" t="n">
        <f aca="false">(H163+I163)-(D163+E163)</f>
        <v>-835</v>
      </c>
      <c r="K163" s="8"/>
      <c r="L163" s="8" t="n">
        <f aca="false">SUMIFS('Daily Transactions'!C:C,'Daily Transactions'!A:A,$A163,'Daily Transactions'!B:B,"Cash Shortage",'Daily Transactions'!D:D,"Cash")</f>
        <v>0</v>
      </c>
      <c r="M163" s="8"/>
    </row>
    <row r="164" customFormat="false" ht="15.75" hidden="false" customHeight="true" outlineLevel="0" collapsed="false">
      <c r="A164" s="35" t="n">
        <f aca="false">A163+1</f>
        <v>45818</v>
      </c>
      <c r="B164" s="8" t="n">
        <f aca="false">SUMIFS('Daily Transactions'!C:C,'Daily Transactions'!A:A,$A164,'Daily Transactions'!B:B,"Sales")</f>
        <v>19580</v>
      </c>
      <c r="C164" s="8" t="n">
        <f aca="false">SUMIFS('Daily Transactions'!C:C,'Daily Transactions'!A:A,$A164,'Daily Transactions'!B:B,"&lt;&gt;Sales")</f>
        <v>9669</v>
      </c>
      <c r="D164" s="8" t="n">
        <f aca="false">SUMIFS('Daily Transactions'!C:C,'Daily Transactions'!A:A,$A164,'Daily Transactions'!B:B,"&lt;&gt;Sales",'Daily Transactions'!D:D,"Cash")</f>
        <v>19</v>
      </c>
      <c r="E164" s="8" t="n">
        <f aca="false">SUMIFS('Daily Transactions'!C:C,'Daily Transactions'!A:A,$A164,'Daily Transactions'!B:B,"&lt;&gt;Sales",'Daily Transactions'!D:D,"Bank_Cash")</f>
        <v>2804</v>
      </c>
      <c r="F164" s="8" t="n">
        <f aca="false">SUMIFS('Daily Transactions'!C:C,'Daily Transactions'!A:A,$A164,'Daily Transactions'!B:B,"&lt;&gt;Sales",'Daily Transactions'!D:D,"Bank")</f>
        <v>6846</v>
      </c>
      <c r="G164" s="8" t="n">
        <f aca="false">B164-C164</f>
        <v>9911</v>
      </c>
      <c r="H164" s="8" t="n">
        <f aca="false">J163</f>
        <v>-835</v>
      </c>
      <c r="I164" s="8" t="n">
        <f aca="false">SUMIFS('Daily Transactions'!C:C,'Daily Transactions'!A:A,$A164,'Daily Transactions'!B:B,"Sales",'Daily Transactions'!D:D,"Cash")</f>
        <v>3179</v>
      </c>
      <c r="J164" s="8" t="n">
        <f aca="false">(H164+I164)-(D164+E164)</f>
        <v>-479</v>
      </c>
      <c r="K164" s="8"/>
      <c r="L164" s="8" t="n">
        <f aca="false">SUMIFS('Daily Transactions'!C:C,'Daily Transactions'!A:A,$A164,'Daily Transactions'!B:B,"Cash Shortage",'Daily Transactions'!D:D,"Cash")</f>
        <v>0</v>
      </c>
      <c r="M164" s="8"/>
    </row>
    <row r="165" customFormat="false" ht="15.75" hidden="false" customHeight="true" outlineLevel="0" collapsed="false">
      <c r="A165" s="35" t="n">
        <f aca="false">A164+1</f>
        <v>45819</v>
      </c>
      <c r="B165" s="8" t="n">
        <f aca="false">SUMIFS('Daily Transactions'!C:C,'Daily Transactions'!A:A,$A165,'Daily Transactions'!B:B,"Sales")</f>
        <v>22236</v>
      </c>
      <c r="C165" s="8" t="n">
        <f aca="false">SUMIFS('Daily Transactions'!C:C,'Daily Transactions'!A:A,$A165,'Daily Transactions'!B:B,"&lt;&gt;Sales")</f>
        <v>15465</v>
      </c>
      <c r="D165" s="8" t="n">
        <f aca="false">SUMIFS('Daily Transactions'!C:C,'Daily Transactions'!A:A,$A165,'Daily Transactions'!B:B,"&lt;&gt;Sales",'Daily Transactions'!D:D,"Cash")</f>
        <v>210</v>
      </c>
      <c r="E165" s="8" t="n">
        <f aca="false">SUMIFS('Daily Transactions'!C:C,'Daily Transactions'!A:A,$A165,'Daily Transactions'!B:B,"&lt;&gt;Sales",'Daily Transactions'!D:D,"Bank_Cash")</f>
        <v>2532</v>
      </c>
      <c r="F165" s="8" t="n">
        <f aca="false">SUMIFS('Daily Transactions'!C:C,'Daily Transactions'!A:A,$A165,'Daily Transactions'!B:B,"&lt;&gt;Sales",'Daily Transactions'!D:D,"Bank")</f>
        <v>12723</v>
      </c>
      <c r="G165" s="8" t="n">
        <f aca="false">B165-C165</f>
        <v>6771</v>
      </c>
      <c r="H165" s="8" t="n">
        <f aca="false">J164</f>
        <v>-479</v>
      </c>
      <c r="I165" s="8" t="n">
        <f aca="false">SUMIFS('Daily Transactions'!C:C,'Daily Transactions'!A:A,$A165,'Daily Transactions'!B:B,"Sales",'Daily Transactions'!D:D,"Cash")</f>
        <v>1992</v>
      </c>
      <c r="J165" s="8" t="n">
        <f aca="false">(H165+I165)-(D165+E165)</f>
        <v>-1229</v>
      </c>
      <c r="K165" s="8"/>
      <c r="L165" s="8" t="n">
        <f aca="false">SUMIFS('Daily Transactions'!C:C,'Daily Transactions'!A:A,$A165,'Daily Transactions'!B:B,"Cash Shortage",'Daily Transactions'!D:D,"Cash")</f>
        <v>0</v>
      </c>
      <c r="M165" s="8"/>
    </row>
    <row r="166" customFormat="false" ht="15.75" hidden="false" customHeight="true" outlineLevel="0" collapsed="false">
      <c r="A166" s="35" t="n">
        <f aca="false">A165+1</f>
        <v>45820</v>
      </c>
      <c r="B166" s="8" t="n">
        <f aca="false">SUMIFS('Daily Transactions'!C:C,'Daily Transactions'!A:A,$A166,'Daily Transactions'!B:B,"Sales")</f>
        <v>17265</v>
      </c>
      <c r="C166" s="8" t="n">
        <f aca="false">SUMIFS('Daily Transactions'!C:C,'Daily Transactions'!A:A,$A166,'Daily Transactions'!B:B,"&lt;&gt;Sales")</f>
        <v>19563</v>
      </c>
      <c r="D166" s="8" t="n">
        <f aca="false">SUMIFS('Daily Transactions'!C:C,'Daily Transactions'!A:A,$A166,'Daily Transactions'!B:B,"&lt;&gt;Sales",'Daily Transactions'!D:D,"Cash")</f>
        <v>915</v>
      </c>
      <c r="E166" s="8" t="n">
        <f aca="false">SUMIFS('Daily Transactions'!C:C,'Daily Transactions'!A:A,$A166,'Daily Transactions'!B:B,"&lt;&gt;Sales",'Daily Transactions'!D:D,"Bank_Cash")</f>
        <v>790</v>
      </c>
      <c r="F166" s="8" t="n">
        <f aca="false">SUMIFS('Daily Transactions'!C:C,'Daily Transactions'!A:A,$A166,'Daily Transactions'!B:B,"&lt;&gt;Sales",'Daily Transactions'!D:D,"Bank")</f>
        <v>17858</v>
      </c>
      <c r="G166" s="8" t="n">
        <f aca="false">B166-C166</f>
        <v>-2298</v>
      </c>
      <c r="H166" s="8" t="n">
        <f aca="false">J165</f>
        <v>-1229</v>
      </c>
      <c r="I166" s="8" t="n">
        <f aca="false">SUMIFS('Daily Transactions'!C:C,'Daily Transactions'!A:A,$A166,'Daily Transactions'!B:B,"Sales",'Daily Transactions'!D:D,"Cash")</f>
        <v>4055</v>
      </c>
      <c r="J166" s="8" t="n">
        <f aca="false">(H166+I166)-(D166+E166)</f>
        <v>1121</v>
      </c>
      <c r="K166" s="8"/>
      <c r="L166" s="8" t="n">
        <f aca="false">SUMIFS('Daily Transactions'!C:C,'Daily Transactions'!A:A,$A166,'Daily Transactions'!B:B,"Cash Shortage",'Daily Transactions'!D:D,"Cash")</f>
        <v>0</v>
      </c>
      <c r="M166" s="8"/>
    </row>
    <row r="167" customFormat="false" ht="15.75" hidden="false" customHeight="true" outlineLevel="0" collapsed="false">
      <c r="A167" s="35" t="n">
        <f aca="false">A166+1</f>
        <v>45821</v>
      </c>
      <c r="B167" s="8" t="n">
        <f aca="false">SUMIFS('Daily Transactions'!C:C,'Daily Transactions'!A:A,$A167,'Daily Transactions'!B:B,"Sales")</f>
        <v>19436</v>
      </c>
      <c r="C167" s="8" t="n">
        <f aca="false">SUMIFS('Daily Transactions'!C:C,'Daily Transactions'!A:A,$A167,'Daily Transactions'!B:B,"&lt;&gt;Sales")</f>
        <v>10781</v>
      </c>
      <c r="D167" s="8" t="n">
        <f aca="false">SUMIFS('Daily Transactions'!C:C,'Daily Transactions'!A:A,$A167,'Daily Transactions'!B:B,"&lt;&gt;Sales",'Daily Transactions'!D:D,"Cash")</f>
        <v>320</v>
      </c>
      <c r="E167" s="8" t="n">
        <f aca="false">SUMIFS('Daily Transactions'!C:C,'Daily Transactions'!A:A,$A167,'Daily Transactions'!B:B,"&lt;&gt;Sales",'Daily Transactions'!D:D,"Bank_Cash")</f>
        <v>2450</v>
      </c>
      <c r="F167" s="8" t="n">
        <f aca="false">SUMIFS('Daily Transactions'!C:C,'Daily Transactions'!A:A,$A167,'Daily Transactions'!B:B,"&lt;&gt;Sales",'Daily Transactions'!D:D,"Bank")</f>
        <v>8011</v>
      </c>
      <c r="G167" s="8" t="n">
        <f aca="false">B167-C167</f>
        <v>8655</v>
      </c>
      <c r="H167" s="8" t="n">
        <f aca="false">J166</f>
        <v>1121</v>
      </c>
      <c r="I167" s="8" t="n">
        <f aca="false">SUMIFS('Daily Transactions'!C:C,'Daily Transactions'!A:A,$A167,'Daily Transactions'!B:B,"Sales",'Daily Transactions'!D:D,"Cash")</f>
        <v>1420</v>
      </c>
      <c r="J167" s="8" t="n">
        <f aca="false">(H167+I167)-(D167+E167)</f>
        <v>-229</v>
      </c>
      <c r="K167" s="8"/>
      <c r="L167" s="8" t="n">
        <f aca="false">SUMIFS('Daily Transactions'!C:C,'Daily Transactions'!A:A,$A167,'Daily Transactions'!B:B,"Cash Shortage",'Daily Transactions'!D:D,"Cash")</f>
        <v>0</v>
      </c>
      <c r="M167" s="8"/>
    </row>
    <row r="168" customFormat="false" ht="15.75" hidden="false" customHeight="true" outlineLevel="0" collapsed="false">
      <c r="A168" s="35" t="n">
        <f aca="false">A167+1</f>
        <v>45822</v>
      </c>
      <c r="B168" s="8" t="n">
        <f aca="false">SUMIFS('Daily Transactions'!C:C,'Daily Transactions'!A:A,$A168,'Daily Transactions'!B:B,"Sales")</f>
        <v>25789</v>
      </c>
      <c r="C168" s="8" t="n">
        <f aca="false">SUMIFS('Daily Transactions'!C:C,'Daily Transactions'!A:A,$A168,'Daily Transactions'!B:B,"&lt;&gt;Sales")</f>
        <v>8091</v>
      </c>
      <c r="D168" s="8" t="n">
        <f aca="false">SUMIFS('Daily Transactions'!C:C,'Daily Transactions'!A:A,$A168,'Daily Transactions'!B:B,"&lt;&gt;Sales",'Daily Transactions'!D:D,"Cash")</f>
        <v>25</v>
      </c>
      <c r="E168" s="8" t="n">
        <f aca="false">SUMIFS('Daily Transactions'!C:C,'Daily Transactions'!A:A,$A168,'Daily Transactions'!B:B,"&lt;&gt;Sales",'Daily Transactions'!D:D,"Bank_Cash")</f>
        <v>400</v>
      </c>
      <c r="F168" s="8" t="n">
        <f aca="false">SUMIFS('Daily Transactions'!C:C,'Daily Transactions'!A:A,$A168,'Daily Transactions'!B:B,"&lt;&gt;Sales",'Daily Transactions'!D:D,"Bank")</f>
        <v>7666</v>
      </c>
      <c r="G168" s="8" t="n">
        <f aca="false">B168-C168</f>
        <v>17698</v>
      </c>
      <c r="H168" s="8" t="n">
        <f aca="false">J167</f>
        <v>-229</v>
      </c>
      <c r="I168" s="8" t="n">
        <f aca="false">SUMIFS('Daily Transactions'!C:C,'Daily Transactions'!A:A,$A168,'Daily Transactions'!B:B,"Sales",'Daily Transactions'!D:D,"Cash")</f>
        <v>3725</v>
      </c>
      <c r="J168" s="8" t="n">
        <f aca="false">(H168+I168)-(D168+E168)</f>
        <v>3071</v>
      </c>
      <c r="K168" s="8"/>
      <c r="L168" s="8" t="n">
        <f aca="false">SUMIFS('Daily Transactions'!C:C,'Daily Transactions'!A:A,$A168,'Daily Transactions'!B:B,"Cash Shortage",'Daily Transactions'!D:D,"Cash")</f>
        <v>0</v>
      </c>
      <c r="M168" s="8"/>
    </row>
    <row r="169" customFormat="false" ht="15.75" hidden="false" customHeight="true" outlineLevel="0" collapsed="false">
      <c r="A169" s="35" t="n">
        <f aca="false">A168+1</f>
        <v>45823</v>
      </c>
      <c r="B169" s="8" t="n">
        <f aca="false">SUMIFS('Daily Transactions'!C:C,'Daily Transactions'!A:A,$A169,'Daily Transactions'!B:B,"Sales")</f>
        <v>34371</v>
      </c>
      <c r="C169" s="8" t="n">
        <f aca="false">SUMIFS('Daily Transactions'!C:C,'Daily Transactions'!A:A,$A169,'Daily Transactions'!B:B,"&lt;&gt;Sales")</f>
        <v>10435</v>
      </c>
      <c r="D169" s="8" t="n">
        <f aca="false">SUMIFS('Daily Transactions'!C:C,'Daily Transactions'!A:A,$A169,'Daily Transactions'!B:B,"&lt;&gt;Sales",'Daily Transactions'!D:D,"Cash")</f>
        <v>870</v>
      </c>
      <c r="E169" s="8" t="n">
        <f aca="false">SUMIFS('Daily Transactions'!C:C,'Daily Transactions'!A:A,$A169,'Daily Transactions'!B:B,"&lt;&gt;Sales",'Daily Transactions'!D:D,"Bank_Cash")</f>
        <v>2610</v>
      </c>
      <c r="F169" s="8" t="n">
        <f aca="false">SUMIFS('Daily Transactions'!C:C,'Daily Transactions'!A:A,$A169,'Daily Transactions'!B:B,"&lt;&gt;Sales",'Daily Transactions'!D:D,"Bank")</f>
        <v>6955</v>
      </c>
      <c r="G169" s="8" t="n">
        <f aca="false">B169-C169</f>
        <v>23936</v>
      </c>
      <c r="H169" s="8" t="n">
        <f aca="false">J168</f>
        <v>3071</v>
      </c>
      <c r="I169" s="8" t="n">
        <f aca="false">SUMIFS('Daily Transactions'!C:C,'Daily Transactions'!A:A,$A169,'Daily Transactions'!B:B,"Sales",'Daily Transactions'!D:D,"Cash")</f>
        <v>6130</v>
      </c>
      <c r="J169" s="8" t="n">
        <f aca="false">(H169+I169)-(D169+E169)</f>
        <v>5721</v>
      </c>
      <c r="K169" s="8"/>
      <c r="L169" s="8" t="n">
        <f aca="false">SUMIFS('Daily Transactions'!C:C,'Daily Transactions'!A:A,$A169,'Daily Transactions'!B:B,"Cash Shortage",'Daily Transactions'!D:D,"Cash")</f>
        <v>0</v>
      </c>
      <c r="M169" s="8"/>
    </row>
    <row r="170" customFormat="false" ht="15.75" hidden="false" customHeight="true" outlineLevel="0" collapsed="false">
      <c r="A170" s="35" t="n">
        <f aca="false">A169+1</f>
        <v>45824</v>
      </c>
      <c r="B170" s="8" t="n">
        <f aca="false">SUMIFS('Daily Transactions'!C:C,'Daily Transactions'!A:A,$A170,'Daily Transactions'!B:B,"Sales")</f>
        <v>0</v>
      </c>
      <c r="C170" s="8" t="n">
        <f aca="false">SUMIFS('Daily Transactions'!C:C,'Daily Transactions'!A:A,$A170,'Daily Transactions'!B:B,"&lt;&gt;Sales")</f>
        <v>1100</v>
      </c>
      <c r="D170" s="8" t="n">
        <f aca="false">SUMIFS('Daily Transactions'!C:C,'Daily Transactions'!A:A,$A170,'Daily Transactions'!B:B,"&lt;&gt;Sales",'Daily Transactions'!D:D,"Cash")</f>
        <v>0</v>
      </c>
      <c r="E170" s="8" t="n">
        <f aca="false">SUMIFS('Daily Transactions'!C:C,'Daily Transactions'!A:A,$A170,'Daily Transactions'!B:B,"&lt;&gt;Sales",'Daily Transactions'!D:D,"Bank_Cash")</f>
        <v>1100</v>
      </c>
      <c r="F170" s="8" t="n">
        <f aca="false">SUMIFS('Daily Transactions'!C:C,'Daily Transactions'!A:A,$A170,'Daily Transactions'!B:B,"&lt;&gt;Sales",'Daily Transactions'!D:D,"Bank")</f>
        <v>0</v>
      </c>
      <c r="G170" s="8" t="n">
        <f aca="false">B170-C170</f>
        <v>-1100</v>
      </c>
      <c r="H170" s="8" t="n">
        <f aca="false">J169</f>
        <v>5721</v>
      </c>
      <c r="I170" s="8" t="n">
        <f aca="false">SUMIFS('Daily Transactions'!C:C,'Daily Transactions'!A:A,$A170,'Daily Transactions'!B:B,"Sales",'Daily Transactions'!D:D,"Cash")</f>
        <v>0</v>
      </c>
      <c r="J170" s="8" t="n">
        <f aca="false">(H170+I170)-(D170+E170)</f>
        <v>4621</v>
      </c>
      <c r="K170" s="8"/>
      <c r="L170" s="8" t="n">
        <f aca="false">SUMIFS('Daily Transactions'!C:C,'Daily Transactions'!A:A,$A170,'Daily Transactions'!B:B,"Cash Shortage",'Daily Transactions'!D:D,"Cash")</f>
        <v>0</v>
      </c>
      <c r="M170" s="8"/>
    </row>
    <row r="171" customFormat="false" ht="15.75" hidden="false" customHeight="true" outlineLevel="0" collapsed="false">
      <c r="A171" s="35" t="n">
        <f aca="false">A170+1</f>
        <v>45825</v>
      </c>
      <c r="B171" s="8" t="n">
        <f aca="false">SUMIFS('Daily Transactions'!C:C,'Daily Transactions'!A:A,$A171,'Daily Transactions'!B:B,"Sales")</f>
        <v>14784</v>
      </c>
      <c r="C171" s="8" t="n">
        <f aca="false">SUMIFS('Daily Transactions'!C:C,'Daily Transactions'!A:A,$A171,'Daily Transactions'!B:B,"&lt;&gt;Sales")</f>
        <v>11003</v>
      </c>
      <c r="D171" s="8" t="n">
        <f aca="false">SUMIFS('Daily Transactions'!C:C,'Daily Transactions'!A:A,$A171,'Daily Transactions'!B:B,"&lt;&gt;Sales",'Daily Transactions'!D:D,"Cash")</f>
        <v>395</v>
      </c>
      <c r="E171" s="8" t="n">
        <f aca="false">SUMIFS('Daily Transactions'!C:C,'Daily Transactions'!A:A,$A171,'Daily Transactions'!B:B,"&lt;&gt;Sales",'Daily Transactions'!D:D,"Bank_Cash")</f>
        <v>2150</v>
      </c>
      <c r="F171" s="8" t="n">
        <f aca="false">SUMIFS('Daily Transactions'!C:C,'Daily Transactions'!A:A,$A171,'Daily Transactions'!B:B,"&lt;&gt;Sales",'Daily Transactions'!D:D,"Bank")</f>
        <v>8458</v>
      </c>
      <c r="G171" s="8" t="n">
        <f aca="false">B171-C171</f>
        <v>3781</v>
      </c>
      <c r="H171" s="8" t="n">
        <f aca="false">J170</f>
        <v>4621</v>
      </c>
      <c r="I171" s="8" t="n">
        <f aca="false">SUMIFS('Daily Transactions'!C:C,'Daily Transactions'!A:A,$A171,'Daily Transactions'!B:B,"Sales",'Daily Transactions'!D:D,"Cash")</f>
        <v>3145</v>
      </c>
      <c r="J171" s="8" t="n">
        <f aca="false">(H171+I171)-(D171+E171)</f>
        <v>5221</v>
      </c>
      <c r="K171" s="8"/>
      <c r="L171" s="8" t="n">
        <f aca="false">SUMIFS('Daily Transactions'!C:C,'Daily Transactions'!A:A,$A171,'Daily Transactions'!B:B,"Cash Shortage",'Daily Transactions'!D:D,"Cash")</f>
        <v>0</v>
      </c>
      <c r="M171" s="8"/>
    </row>
    <row r="172" customFormat="false" ht="15.75" hidden="false" customHeight="true" outlineLevel="0" collapsed="false">
      <c r="A172" s="35" t="n">
        <f aca="false">A171+1</f>
        <v>45826</v>
      </c>
      <c r="B172" s="8" t="n">
        <f aca="false">SUMIFS('Daily Transactions'!C:C,'Daily Transactions'!A:A,$A172,'Daily Transactions'!B:B,"Sales")</f>
        <v>19495</v>
      </c>
      <c r="C172" s="8" t="n">
        <f aca="false">SUMIFS('Daily Transactions'!C:C,'Daily Transactions'!A:A,$A172,'Daily Transactions'!B:B,"&lt;&gt;Sales")</f>
        <v>9956</v>
      </c>
      <c r="D172" s="8" t="n">
        <f aca="false">SUMIFS('Daily Transactions'!C:C,'Daily Transactions'!A:A,$A172,'Daily Transactions'!B:B,"&lt;&gt;Sales",'Daily Transactions'!D:D,"Cash")</f>
        <v>280</v>
      </c>
      <c r="E172" s="8" t="n">
        <f aca="false">SUMIFS('Daily Transactions'!C:C,'Daily Transactions'!A:A,$A172,'Daily Transactions'!B:B,"&lt;&gt;Sales",'Daily Transactions'!D:D,"Bank_Cash")</f>
        <v>153</v>
      </c>
      <c r="F172" s="8" t="n">
        <f aca="false">SUMIFS('Daily Transactions'!C:C,'Daily Transactions'!A:A,$A172,'Daily Transactions'!B:B,"&lt;&gt;Sales",'Daily Transactions'!D:D,"Bank")</f>
        <v>9523</v>
      </c>
      <c r="G172" s="8" t="n">
        <f aca="false">B172-C172</f>
        <v>9539</v>
      </c>
      <c r="H172" s="8" t="n">
        <f aca="false">J171</f>
        <v>5221</v>
      </c>
      <c r="I172" s="8" t="n">
        <f aca="false">SUMIFS('Daily Transactions'!C:C,'Daily Transactions'!A:A,$A172,'Daily Transactions'!B:B,"Sales",'Daily Transactions'!D:D,"Cash")</f>
        <v>2362</v>
      </c>
      <c r="J172" s="8" t="n">
        <f aca="false">(H172+I172)-(D172+E172)</f>
        <v>7150</v>
      </c>
      <c r="K172" s="8"/>
      <c r="L172" s="8" t="n">
        <f aca="false">SUMIFS('Daily Transactions'!C:C,'Daily Transactions'!A:A,$A172,'Daily Transactions'!B:B,"Cash Shortage",'Daily Transactions'!D:D,"Cash")</f>
        <v>0</v>
      </c>
      <c r="M172" s="8"/>
    </row>
    <row r="173" customFormat="false" ht="15.75" hidden="false" customHeight="true" outlineLevel="0" collapsed="false">
      <c r="A173" s="35" t="n">
        <f aca="false">A172+1</f>
        <v>45827</v>
      </c>
      <c r="B173" s="8" t="n">
        <f aca="false">SUMIFS('Daily Transactions'!C:C,'Daily Transactions'!A:A,$A173,'Daily Transactions'!B:B,"Sales")</f>
        <v>19573</v>
      </c>
      <c r="C173" s="8" t="n">
        <f aca="false">SUMIFS('Daily Transactions'!C:C,'Daily Transactions'!A:A,$A173,'Daily Transactions'!B:B,"&lt;&gt;Sales")</f>
        <v>13942</v>
      </c>
      <c r="D173" s="8" t="n">
        <f aca="false">SUMIFS('Daily Transactions'!C:C,'Daily Transactions'!A:A,$A173,'Daily Transactions'!B:B,"&lt;&gt;Sales",'Daily Transactions'!D:D,"Cash")</f>
        <v>210</v>
      </c>
      <c r="E173" s="8" t="n">
        <f aca="false">SUMIFS('Daily Transactions'!C:C,'Daily Transactions'!A:A,$A173,'Daily Transactions'!B:B,"&lt;&gt;Sales",'Daily Transactions'!D:D,"Bank_Cash")</f>
        <v>3034</v>
      </c>
      <c r="F173" s="8" t="n">
        <f aca="false">SUMIFS('Daily Transactions'!C:C,'Daily Transactions'!A:A,$A173,'Daily Transactions'!B:B,"&lt;&gt;Sales",'Daily Transactions'!D:D,"Bank")</f>
        <v>10698</v>
      </c>
      <c r="G173" s="8" t="n">
        <f aca="false">B173-C173</f>
        <v>5631</v>
      </c>
      <c r="H173" s="8" t="n">
        <f aca="false">J172</f>
        <v>7150</v>
      </c>
      <c r="I173" s="8" t="n">
        <f aca="false">SUMIFS('Daily Transactions'!C:C,'Daily Transactions'!A:A,$A173,'Daily Transactions'!B:B,"Sales",'Daily Transactions'!D:D,"Cash")</f>
        <v>5944</v>
      </c>
      <c r="J173" s="8" t="n">
        <f aca="false">(H173+I173)-(D173+E173)</f>
        <v>9850</v>
      </c>
      <c r="K173" s="8"/>
      <c r="L173" s="8" t="n">
        <f aca="false">SUMIFS('Daily Transactions'!C:C,'Daily Transactions'!A:A,$A173,'Daily Transactions'!B:B,"Cash Shortage",'Daily Transactions'!D:D,"Cash")</f>
        <v>0</v>
      </c>
      <c r="M173" s="8"/>
    </row>
    <row r="174" customFormat="false" ht="15.75" hidden="false" customHeight="true" outlineLevel="0" collapsed="false">
      <c r="A174" s="35" t="n">
        <f aca="false">A173+1</f>
        <v>45828</v>
      </c>
      <c r="B174" s="8" t="n">
        <f aca="false">SUMIFS('Daily Transactions'!C:C,'Daily Transactions'!A:A,$A174,'Daily Transactions'!B:B,"Sales")</f>
        <v>28495</v>
      </c>
      <c r="C174" s="8" t="n">
        <f aca="false">SUMIFS('Daily Transactions'!C:C,'Daily Transactions'!A:A,$A174,'Daily Transactions'!B:B,"&lt;&gt;Sales")</f>
        <v>9105</v>
      </c>
      <c r="D174" s="8" t="n">
        <f aca="false">SUMIFS('Daily Transactions'!C:C,'Daily Transactions'!A:A,$A174,'Daily Transactions'!B:B,"&lt;&gt;Sales",'Daily Transactions'!D:D,"Cash")</f>
        <v>2295</v>
      </c>
      <c r="E174" s="8" t="n">
        <f aca="false">SUMIFS('Daily Transactions'!C:C,'Daily Transactions'!A:A,$A174,'Daily Transactions'!B:B,"&lt;&gt;Sales",'Daily Transactions'!D:D,"Bank_Cash")</f>
        <v>0</v>
      </c>
      <c r="F174" s="8" t="n">
        <f aca="false">SUMIFS('Daily Transactions'!C:C,'Daily Transactions'!A:A,$A174,'Daily Transactions'!B:B,"&lt;&gt;Sales",'Daily Transactions'!D:D,"Bank")</f>
        <v>6810</v>
      </c>
      <c r="G174" s="8" t="n">
        <f aca="false">B174-C174</f>
        <v>19390</v>
      </c>
      <c r="H174" s="8" t="n">
        <f aca="false">J173</f>
        <v>9850</v>
      </c>
      <c r="I174" s="8" t="n">
        <f aca="false">SUMIFS('Daily Transactions'!C:C,'Daily Transactions'!A:A,$A174,'Daily Transactions'!B:B,"Sales",'Daily Transactions'!D:D,"Cash")</f>
        <v>4245</v>
      </c>
      <c r="J174" s="8" t="n">
        <f aca="false">(H174+I174)-(D174+E174)</f>
        <v>11800</v>
      </c>
      <c r="K174" s="8"/>
      <c r="L174" s="8" t="n">
        <f aca="false">SUMIFS('Daily Transactions'!C:C,'Daily Transactions'!A:A,$A174,'Daily Transactions'!B:B,"Cash Shortage",'Daily Transactions'!D:D,"Cash")</f>
        <v>0</v>
      </c>
      <c r="M174" s="8"/>
    </row>
    <row r="175" customFormat="false" ht="15.75" hidden="false" customHeight="true" outlineLevel="0" collapsed="false">
      <c r="A175" s="35" t="n">
        <f aca="false">A174+1</f>
        <v>45829</v>
      </c>
      <c r="B175" s="8" t="n">
        <f aca="false">SUMIFS('Daily Transactions'!C:C,'Daily Transactions'!A:A,$A175,'Daily Transactions'!B:B,"Sales")</f>
        <v>24777</v>
      </c>
      <c r="C175" s="8" t="n">
        <f aca="false">SUMIFS('Daily Transactions'!C:C,'Daily Transactions'!A:A,$A175,'Daily Transactions'!B:B,"&lt;&gt;Sales")</f>
        <v>16462</v>
      </c>
      <c r="D175" s="8" t="n">
        <f aca="false">SUMIFS('Daily Transactions'!C:C,'Daily Transactions'!A:A,$A175,'Daily Transactions'!B:B,"&lt;&gt;Sales",'Daily Transactions'!D:D,"Cash")</f>
        <v>1253</v>
      </c>
      <c r="E175" s="8" t="n">
        <f aca="false">SUMIFS('Daily Transactions'!C:C,'Daily Transactions'!A:A,$A175,'Daily Transactions'!B:B,"&lt;&gt;Sales",'Daily Transactions'!D:D,"Bank_Cash")</f>
        <v>3230</v>
      </c>
      <c r="F175" s="8" t="n">
        <f aca="false">SUMIFS('Daily Transactions'!C:C,'Daily Transactions'!A:A,$A175,'Daily Transactions'!B:B,"&lt;&gt;Sales",'Daily Transactions'!D:D,"Bank")</f>
        <v>11979</v>
      </c>
      <c r="G175" s="8" t="n">
        <f aca="false">B175-C175</f>
        <v>8315</v>
      </c>
      <c r="H175" s="8" t="n">
        <f aca="false">J174</f>
        <v>11800</v>
      </c>
      <c r="I175" s="8" t="n">
        <f aca="false">SUMIFS('Daily Transactions'!C:C,'Daily Transactions'!A:A,$A175,'Daily Transactions'!B:B,"Sales",'Daily Transactions'!D:D,"Cash")</f>
        <v>5233</v>
      </c>
      <c r="J175" s="8" t="n">
        <f aca="false">(H175+I175)-(D175+E175)</f>
        <v>12550</v>
      </c>
      <c r="K175" s="8"/>
      <c r="L175" s="8" t="n">
        <f aca="false">SUMIFS('Daily Transactions'!C:C,'Daily Transactions'!A:A,$A175,'Daily Transactions'!B:B,"Cash Shortage",'Daily Transactions'!D:D,"Cash")</f>
        <v>0</v>
      </c>
      <c r="M175" s="8"/>
    </row>
    <row r="176" customFormat="false" ht="15.75" hidden="false" customHeight="true" outlineLevel="0" collapsed="false">
      <c r="A176" s="35" t="n">
        <f aca="false">A175+1</f>
        <v>45830</v>
      </c>
      <c r="B176" s="8" t="n">
        <f aca="false">SUMIFS('Daily Transactions'!C:C,'Daily Transactions'!A:A,$A176,'Daily Transactions'!B:B,"Sales")</f>
        <v>35145</v>
      </c>
      <c r="C176" s="8" t="n">
        <f aca="false">SUMIFS('Daily Transactions'!C:C,'Daily Transactions'!A:A,$A176,'Daily Transactions'!B:B,"&lt;&gt;Sales")</f>
        <v>4256</v>
      </c>
      <c r="D176" s="8" t="n">
        <f aca="false">SUMIFS('Daily Transactions'!C:C,'Daily Transactions'!A:A,$A176,'Daily Transactions'!B:B,"&lt;&gt;Sales",'Daily Transactions'!D:D,"Cash")</f>
        <v>0</v>
      </c>
      <c r="E176" s="8" t="n">
        <f aca="false">SUMIFS('Daily Transactions'!C:C,'Daily Transactions'!A:A,$A176,'Daily Transactions'!B:B,"&lt;&gt;Sales",'Daily Transactions'!D:D,"Bank_Cash")</f>
        <v>735</v>
      </c>
      <c r="F176" s="8" t="n">
        <f aca="false">SUMIFS('Daily Transactions'!C:C,'Daily Transactions'!A:A,$A176,'Daily Transactions'!B:B,"&lt;&gt;Sales",'Daily Transactions'!D:D,"Bank")</f>
        <v>3521</v>
      </c>
      <c r="G176" s="8" t="n">
        <f aca="false">B176-C176</f>
        <v>30889</v>
      </c>
      <c r="H176" s="8" t="n">
        <f aca="false">J175</f>
        <v>12550</v>
      </c>
      <c r="I176" s="8" t="n">
        <f aca="false">SUMIFS('Daily Transactions'!C:C,'Daily Transactions'!A:A,$A176,'Daily Transactions'!B:B,"Sales",'Daily Transactions'!D:D,"Cash")</f>
        <v>6085</v>
      </c>
      <c r="J176" s="8" t="n">
        <f aca="false">(H176+I176)-(D176+E176)</f>
        <v>17900</v>
      </c>
      <c r="K176" s="8"/>
      <c r="L176" s="8" t="n">
        <f aca="false">SUMIFS('Daily Transactions'!C:C,'Daily Transactions'!A:A,$A176,'Daily Transactions'!B:B,"Cash Shortage",'Daily Transactions'!D:D,"Cash")</f>
        <v>0</v>
      </c>
      <c r="M176" s="8"/>
    </row>
    <row r="177" customFormat="false" ht="15.75" hidden="false" customHeight="true" outlineLevel="0" collapsed="false">
      <c r="A177" s="35" t="n">
        <f aca="false">A176+1</f>
        <v>45831</v>
      </c>
      <c r="B177" s="8" t="n">
        <f aca="false">SUMIFS('Daily Transactions'!C:C,'Daily Transactions'!A:A,$A177,'Daily Transactions'!B:B,"Sales")</f>
        <v>14710</v>
      </c>
      <c r="C177" s="8" t="n">
        <f aca="false">SUMIFS('Daily Transactions'!C:C,'Daily Transactions'!A:A,$A177,'Daily Transactions'!B:B,"&lt;&gt;Sales")</f>
        <v>18576</v>
      </c>
      <c r="D177" s="8" t="n">
        <f aca="false">SUMIFS('Daily Transactions'!C:C,'Daily Transactions'!A:A,$A177,'Daily Transactions'!B:B,"&lt;&gt;Sales",'Daily Transactions'!D:D,"Cash")</f>
        <v>175</v>
      </c>
      <c r="E177" s="8" t="n">
        <f aca="false">SUMIFS('Daily Transactions'!C:C,'Daily Transactions'!A:A,$A177,'Daily Transactions'!B:B,"&lt;&gt;Sales",'Daily Transactions'!D:D,"Bank_Cash")</f>
        <v>10032</v>
      </c>
      <c r="F177" s="8" t="n">
        <f aca="false">SUMIFS('Daily Transactions'!C:C,'Daily Transactions'!A:A,$A177,'Daily Transactions'!B:B,"&lt;&gt;Sales",'Daily Transactions'!D:D,"Bank")</f>
        <v>8369</v>
      </c>
      <c r="G177" s="8" t="n">
        <f aca="false">B177-C177</f>
        <v>-3866</v>
      </c>
      <c r="H177" s="8" t="n">
        <f aca="false">J176</f>
        <v>17900</v>
      </c>
      <c r="I177" s="8" t="n">
        <f aca="false">SUMIFS('Daily Transactions'!C:C,'Daily Transactions'!A:A,$A177,'Daily Transactions'!B:B,"Sales",'Daily Transactions'!D:D,"Cash")</f>
        <v>3307</v>
      </c>
      <c r="J177" s="8" t="n">
        <f aca="false">(H177+I177)-(D177+E177)</f>
        <v>11000</v>
      </c>
      <c r="K177" s="8"/>
      <c r="L177" s="8" t="n">
        <f aca="false">SUMIFS('Daily Transactions'!C:C,'Daily Transactions'!A:A,$A177,'Daily Transactions'!B:B,"Cash Shortage",'Daily Transactions'!D:D,"Cash")</f>
        <v>0</v>
      </c>
      <c r="M177" s="8"/>
    </row>
    <row r="178" customFormat="false" ht="15.75" hidden="false" customHeight="true" outlineLevel="0" collapsed="false">
      <c r="A178" s="35" t="n">
        <f aca="false">A177+1</f>
        <v>45832</v>
      </c>
      <c r="B178" s="8" t="n">
        <f aca="false">SUMIFS('Daily Transactions'!C:C,'Daily Transactions'!A:A,$A178,'Daily Transactions'!B:B,"Sales")</f>
        <v>26257</v>
      </c>
      <c r="C178" s="8" t="n">
        <f aca="false">SUMIFS('Daily Transactions'!C:C,'Daily Transactions'!A:A,$A178,'Daily Transactions'!B:B,"&lt;&gt;Sales")</f>
        <v>11708</v>
      </c>
      <c r="D178" s="8" t="n">
        <f aca="false">SUMIFS('Daily Transactions'!C:C,'Daily Transactions'!A:A,$A178,'Daily Transactions'!B:B,"&lt;&gt;Sales",'Daily Transactions'!D:D,"Cash")</f>
        <v>350</v>
      </c>
      <c r="E178" s="8" t="n">
        <f aca="false">SUMIFS('Daily Transactions'!C:C,'Daily Transactions'!A:A,$A178,'Daily Transactions'!B:B,"&lt;&gt;Sales",'Daily Transactions'!D:D,"Bank_Cash")</f>
        <v>1360</v>
      </c>
      <c r="F178" s="8" t="n">
        <f aca="false">SUMIFS('Daily Transactions'!C:C,'Daily Transactions'!A:A,$A178,'Daily Transactions'!B:B,"&lt;&gt;Sales",'Daily Transactions'!D:D,"Bank")</f>
        <v>9998</v>
      </c>
      <c r="G178" s="8" t="n">
        <f aca="false">B178-C178</f>
        <v>14549</v>
      </c>
      <c r="H178" s="8" t="n">
        <f aca="false">J177</f>
        <v>11000</v>
      </c>
      <c r="I178" s="8" t="n">
        <f aca="false">SUMIFS('Daily Transactions'!C:C,'Daily Transactions'!A:A,$A178,'Daily Transactions'!B:B,"Sales",'Daily Transactions'!D:D,"Cash")</f>
        <v>2760</v>
      </c>
      <c r="J178" s="8" t="n">
        <f aca="false">(H178+I178)-(D178+E178)</f>
        <v>12050</v>
      </c>
      <c r="K178" s="8"/>
      <c r="L178" s="8" t="n">
        <f aca="false">SUMIFS('Daily Transactions'!C:C,'Daily Transactions'!A:A,$A178,'Daily Transactions'!B:B,"Cash Shortage",'Daily Transactions'!D:D,"Cash")</f>
        <v>0</v>
      </c>
      <c r="M178" s="8"/>
    </row>
    <row r="179" customFormat="false" ht="15.75" hidden="false" customHeight="true" outlineLevel="0" collapsed="false">
      <c r="A179" s="35" t="n">
        <f aca="false">A178+1</f>
        <v>45833</v>
      </c>
      <c r="B179" s="8" t="n">
        <f aca="false">SUMIFS('Daily Transactions'!C:C,'Daily Transactions'!A:A,$A179,'Daily Transactions'!B:B,"Sales")</f>
        <v>17067</v>
      </c>
      <c r="C179" s="8" t="n">
        <f aca="false">SUMIFS('Daily Transactions'!C:C,'Daily Transactions'!A:A,$A179,'Daily Transactions'!B:B,"&lt;&gt;Sales")</f>
        <v>19707</v>
      </c>
      <c r="D179" s="8" t="n">
        <f aca="false">SUMIFS('Daily Transactions'!C:C,'Daily Transactions'!A:A,$A179,'Daily Transactions'!B:B,"&lt;&gt;Sales",'Daily Transactions'!D:D,"Cash")</f>
        <v>217</v>
      </c>
      <c r="E179" s="8" t="n">
        <f aca="false">SUMIFS('Daily Transactions'!C:C,'Daily Transactions'!A:A,$A179,'Daily Transactions'!B:B,"&lt;&gt;Sales",'Daily Transactions'!D:D,"Bank_Cash")</f>
        <v>4300</v>
      </c>
      <c r="F179" s="8" t="n">
        <f aca="false">SUMIFS('Daily Transactions'!C:C,'Daily Transactions'!A:A,$A179,'Daily Transactions'!B:B,"&lt;&gt;Sales",'Daily Transactions'!D:D,"Bank")</f>
        <v>15190</v>
      </c>
      <c r="G179" s="8" t="n">
        <f aca="false">B179-C179</f>
        <v>-2640</v>
      </c>
      <c r="H179" s="8" t="n">
        <f aca="false">J178</f>
        <v>12050</v>
      </c>
      <c r="I179" s="8" t="n">
        <f aca="false">SUMIFS('Daily Transactions'!C:C,'Daily Transactions'!A:A,$A179,'Daily Transactions'!B:B,"Sales",'Daily Transactions'!D:D,"Cash")</f>
        <v>3117</v>
      </c>
      <c r="J179" s="8" t="n">
        <f aca="false">(H179+I179)-(D179+E179)</f>
        <v>10650</v>
      </c>
      <c r="K179" s="8"/>
      <c r="L179" s="8" t="n">
        <f aca="false">SUMIFS('Daily Transactions'!C:C,'Daily Transactions'!A:A,$A179,'Daily Transactions'!B:B,"Cash Shortage",'Daily Transactions'!D:D,"Cash")</f>
        <v>0</v>
      </c>
      <c r="M179" s="8"/>
    </row>
    <row r="180" customFormat="false" ht="15.75" hidden="false" customHeight="true" outlineLevel="0" collapsed="false">
      <c r="A180" s="35" t="n">
        <f aca="false">A179+1</f>
        <v>45834</v>
      </c>
      <c r="B180" s="8" t="n">
        <f aca="false">SUMIFS('Daily Transactions'!C:C,'Daily Transactions'!A:A,$A180,'Daily Transactions'!B:B,"Sales")</f>
        <v>20576</v>
      </c>
      <c r="C180" s="8" t="n">
        <f aca="false">SUMIFS('Daily Transactions'!C:C,'Daily Transactions'!A:A,$A180,'Daily Transactions'!B:B,"&lt;&gt;Sales")</f>
        <v>19853</v>
      </c>
      <c r="D180" s="8" t="n">
        <f aca="false">SUMIFS('Daily Transactions'!C:C,'Daily Transactions'!A:A,$A180,'Daily Transactions'!B:B,"&lt;&gt;Sales",'Daily Transactions'!D:D,"Cash")</f>
        <v>155</v>
      </c>
      <c r="E180" s="8" t="n">
        <f aca="false">SUMIFS('Daily Transactions'!C:C,'Daily Transactions'!A:A,$A180,'Daily Transactions'!B:B,"&lt;&gt;Sales",'Daily Transactions'!D:D,"Bank_Cash")</f>
        <v>5400</v>
      </c>
      <c r="F180" s="8" t="n">
        <f aca="false">SUMIFS('Daily Transactions'!C:C,'Daily Transactions'!A:A,$A180,'Daily Transactions'!B:B,"&lt;&gt;Sales",'Daily Transactions'!D:D,"Bank")</f>
        <v>14298</v>
      </c>
      <c r="G180" s="8" t="n">
        <f aca="false">B180-C180</f>
        <v>723</v>
      </c>
      <c r="H180" s="8" t="n">
        <f aca="false">J179</f>
        <v>10650</v>
      </c>
      <c r="I180" s="8" t="n">
        <f aca="false">SUMIFS('Daily Transactions'!C:C,'Daily Transactions'!A:A,$A180,'Daily Transactions'!B:B,"Sales",'Daily Transactions'!D:D,"Cash")</f>
        <v>4255</v>
      </c>
      <c r="J180" s="8" t="n">
        <f aca="false">(H180+I180)-(D180+E180)</f>
        <v>9350</v>
      </c>
      <c r="K180" s="8"/>
      <c r="L180" s="8" t="n">
        <f aca="false">SUMIFS('Daily Transactions'!C:C,'Daily Transactions'!A:A,$A180,'Daily Transactions'!B:B,"Cash Shortage",'Daily Transactions'!D:D,"Cash")</f>
        <v>0</v>
      </c>
      <c r="M180" s="8"/>
    </row>
    <row r="181" customFormat="false" ht="15.75" hidden="false" customHeight="true" outlineLevel="0" collapsed="false">
      <c r="A181" s="35" t="n">
        <f aca="false">A180+1</f>
        <v>45835</v>
      </c>
      <c r="B181" s="8" t="n">
        <f aca="false">SUMIFS('Daily Transactions'!C:C,'Daily Transactions'!A:A,$A181,'Daily Transactions'!B:B,"Sales")</f>
        <v>22779</v>
      </c>
      <c r="C181" s="8" t="n">
        <f aca="false">SUMIFS('Daily Transactions'!C:C,'Daily Transactions'!A:A,$A181,'Daily Transactions'!B:B,"&lt;&gt;Sales")</f>
        <v>19043</v>
      </c>
      <c r="D181" s="8" t="n">
        <f aca="false">SUMIFS('Daily Transactions'!C:C,'Daily Transactions'!A:A,$A181,'Daily Transactions'!B:B,"&lt;&gt;Sales",'Daily Transactions'!D:D,"Cash")</f>
        <v>210</v>
      </c>
      <c r="E181" s="8" t="n">
        <f aca="false">SUMIFS('Daily Transactions'!C:C,'Daily Transactions'!A:A,$A181,'Daily Transactions'!B:B,"&lt;&gt;Sales",'Daily Transactions'!D:D,"Bank_Cash")</f>
        <v>5175</v>
      </c>
      <c r="F181" s="8" t="n">
        <f aca="false">SUMIFS('Daily Transactions'!C:C,'Daily Transactions'!A:A,$A181,'Daily Transactions'!B:B,"&lt;&gt;Sales",'Daily Transactions'!D:D,"Bank")</f>
        <v>13658</v>
      </c>
      <c r="G181" s="8" t="n">
        <f aca="false">B181-C181</f>
        <v>3736</v>
      </c>
      <c r="H181" s="8" t="n">
        <f aca="false">J180</f>
        <v>9350</v>
      </c>
      <c r="I181" s="8" t="n">
        <f aca="false">SUMIFS('Daily Transactions'!C:C,'Daily Transactions'!A:A,$A181,'Daily Transactions'!B:B,"Sales",'Daily Transactions'!D:D,"Cash")</f>
        <v>3435</v>
      </c>
      <c r="J181" s="8" t="n">
        <f aca="false">(H181+I181)-(D181+E181)</f>
        <v>7400</v>
      </c>
      <c r="K181" s="8"/>
      <c r="L181" s="8" t="n">
        <f aca="false">SUMIFS('Daily Transactions'!C:C,'Daily Transactions'!A:A,$A181,'Daily Transactions'!B:B,"Cash Shortage",'Daily Transactions'!D:D,"Cash")</f>
        <v>0</v>
      </c>
      <c r="M181" s="8"/>
    </row>
    <row r="182" customFormat="false" ht="15.75" hidden="false" customHeight="true" outlineLevel="0" collapsed="false">
      <c r="A182" s="35" t="n">
        <f aca="false">A181+1</f>
        <v>45836</v>
      </c>
      <c r="B182" s="8" t="n">
        <f aca="false">SUMIFS('Daily Transactions'!C:C,'Daily Transactions'!A:A,$A182,'Daily Transactions'!B:B,"Sales")</f>
        <v>35530</v>
      </c>
      <c r="C182" s="8" t="n">
        <f aca="false">SUMIFS('Daily Transactions'!C:C,'Daily Transactions'!A:A,$A182,'Daily Transactions'!B:B,"&lt;&gt;Sales")</f>
        <v>12036</v>
      </c>
      <c r="D182" s="8" t="n">
        <f aca="false">SUMIFS('Daily Transactions'!C:C,'Daily Transactions'!A:A,$A182,'Daily Transactions'!B:B,"&lt;&gt;Sales",'Daily Transactions'!D:D,"Cash")</f>
        <v>1625</v>
      </c>
      <c r="E182" s="8" t="n">
        <f aca="false">SUMIFS('Daily Transactions'!C:C,'Daily Transactions'!A:A,$A182,'Daily Transactions'!B:B,"&lt;&gt;Sales",'Daily Transactions'!D:D,"Bank_Cash")</f>
        <v>1150</v>
      </c>
      <c r="F182" s="8" t="n">
        <f aca="false">SUMIFS('Daily Transactions'!C:C,'Daily Transactions'!A:A,$A182,'Daily Transactions'!B:B,"&lt;&gt;Sales",'Daily Transactions'!D:D,"Bank")</f>
        <v>9261</v>
      </c>
      <c r="G182" s="8" t="n">
        <f aca="false">B182-C182</f>
        <v>23494</v>
      </c>
      <c r="H182" s="8" t="n">
        <f aca="false">J181</f>
        <v>7400</v>
      </c>
      <c r="I182" s="8" t="n">
        <f aca="false">SUMIFS('Daily Transactions'!C:C,'Daily Transactions'!A:A,$A182,'Daily Transactions'!B:B,"Sales",'Daily Transactions'!D:D,"Cash")</f>
        <v>3325</v>
      </c>
      <c r="J182" s="8" t="n">
        <f aca="false">(H182+I182)-(D182+E182)</f>
        <v>7950</v>
      </c>
      <c r="K182" s="8"/>
      <c r="L182" s="8" t="n">
        <f aca="false">SUMIFS('Daily Transactions'!C:C,'Daily Transactions'!A:A,$A182,'Daily Transactions'!B:B,"Cash Shortage",'Daily Transactions'!D:D,"Cash")</f>
        <v>0</v>
      </c>
      <c r="M182" s="8"/>
    </row>
    <row r="183" customFormat="false" ht="15.75" hidden="false" customHeight="true" outlineLevel="0" collapsed="false">
      <c r="A183" s="35" t="n">
        <f aca="false">A182+1</f>
        <v>45837</v>
      </c>
      <c r="B183" s="8" t="n">
        <f aca="false">SUMIFS('Daily Transactions'!C:C,'Daily Transactions'!A:A,$A183,'Daily Transactions'!B:B,"Sales")</f>
        <v>26147</v>
      </c>
      <c r="C183" s="8" t="n">
        <f aca="false">SUMIFS('Daily Transactions'!C:C,'Daily Transactions'!A:A,$A183,'Daily Transactions'!B:B,"&lt;&gt;Sales")</f>
        <v>11516</v>
      </c>
      <c r="D183" s="8" t="n">
        <f aca="false">SUMIFS('Daily Transactions'!C:C,'Daily Transactions'!A:A,$A183,'Daily Transactions'!B:B,"&lt;&gt;Sales",'Daily Transactions'!D:D,"Cash")</f>
        <v>390</v>
      </c>
      <c r="E183" s="8" t="n">
        <f aca="false">SUMIFS('Daily Transactions'!C:C,'Daily Transactions'!A:A,$A183,'Daily Transactions'!B:B,"&lt;&gt;Sales",'Daily Transactions'!D:D,"Bank_Cash")</f>
        <v>1380</v>
      </c>
      <c r="F183" s="8" t="n">
        <f aca="false">SUMIFS('Daily Transactions'!C:C,'Daily Transactions'!A:A,$A183,'Daily Transactions'!B:B,"&lt;&gt;Sales",'Daily Transactions'!D:D,"Bank")</f>
        <v>9746</v>
      </c>
      <c r="G183" s="8" t="n">
        <f aca="false">B183-C183</f>
        <v>14631</v>
      </c>
      <c r="H183" s="8" t="n">
        <f aca="false">J182</f>
        <v>7950</v>
      </c>
      <c r="I183" s="8" t="n">
        <f aca="false">SUMIFS('Daily Transactions'!C:C,'Daily Transactions'!A:A,$A183,'Daily Transactions'!B:B,"Sales",'Daily Transactions'!D:D,"Cash")</f>
        <v>4070</v>
      </c>
      <c r="J183" s="8" t="n">
        <f aca="false">(H183+I183)-(D183+E183)</f>
        <v>10250</v>
      </c>
      <c r="K183" s="8"/>
      <c r="L183" s="8" t="n">
        <f aca="false">SUMIFS('Daily Transactions'!C:C,'Daily Transactions'!A:A,$A183,'Daily Transactions'!B:B,"Cash Shortage",'Daily Transactions'!D:D,"Cash")</f>
        <v>0</v>
      </c>
      <c r="M183" s="8"/>
    </row>
    <row r="184" customFormat="false" ht="15.75" hidden="false" customHeight="true" outlineLevel="0" collapsed="false">
      <c r="A184" s="35" t="n">
        <f aca="false">A183+1</f>
        <v>45838</v>
      </c>
      <c r="B184" s="8" t="n">
        <f aca="false">SUMIFS('Daily Transactions'!C:C,'Daily Transactions'!A:A,$A184,'Daily Transactions'!B:B,"Sales")</f>
        <v>12147</v>
      </c>
      <c r="C184" s="8" t="n">
        <f aca="false">SUMIFS('Daily Transactions'!C:C,'Daily Transactions'!A:A,$A184,'Daily Transactions'!B:B,"&lt;&gt;Sales")</f>
        <v>15271</v>
      </c>
      <c r="D184" s="8" t="n">
        <f aca="false">SUMIFS('Daily Transactions'!C:C,'Daily Transactions'!A:A,$A184,'Daily Transactions'!B:B,"&lt;&gt;Sales",'Daily Transactions'!D:D,"Cash")</f>
        <v>250</v>
      </c>
      <c r="E184" s="8" t="n">
        <f aca="false">SUMIFS('Daily Transactions'!C:C,'Daily Transactions'!A:A,$A184,'Daily Transactions'!B:B,"&lt;&gt;Sales",'Daily Transactions'!D:D,"Bank_Cash")</f>
        <v>940</v>
      </c>
      <c r="F184" s="8" t="n">
        <f aca="false">SUMIFS('Daily Transactions'!C:C,'Daily Transactions'!A:A,$A184,'Daily Transactions'!B:B,"&lt;&gt;Sales",'Daily Transactions'!D:D,"Bank")</f>
        <v>14081</v>
      </c>
      <c r="G184" s="8" t="n">
        <f aca="false">B184-C184</f>
        <v>-3124</v>
      </c>
      <c r="H184" s="8" t="n">
        <f aca="false">J183</f>
        <v>10250</v>
      </c>
      <c r="I184" s="8" t="n">
        <f aca="false">SUMIFS('Daily Transactions'!C:C,'Daily Transactions'!A:A,$A184,'Daily Transactions'!B:B,"Sales",'Daily Transactions'!D:D,"Cash")</f>
        <v>390</v>
      </c>
      <c r="J184" s="8" t="n">
        <f aca="false">(H184+I184)-(D184+E184)</f>
        <v>9450</v>
      </c>
      <c r="K184" s="8"/>
      <c r="L184" s="8" t="n">
        <f aca="false">SUMIFS('Daily Transactions'!C:C,'Daily Transactions'!A:A,$A184,'Daily Transactions'!B:B,"Cash Shortage",'Daily Transactions'!D:D,"Cash")</f>
        <v>0</v>
      </c>
      <c r="M184" s="8"/>
    </row>
    <row r="185" customFormat="false" ht="15.75" hidden="false" customHeight="true" outlineLevel="0" collapsed="false">
      <c r="A185" s="35" t="n">
        <f aca="false">A184+1</f>
        <v>45839</v>
      </c>
      <c r="B185" s="8" t="n">
        <f aca="false">SUMIFS('Daily Transactions'!C:C,'Daily Transactions'!A:A,$A185,'Daily Transactions'!B:B,"Sales")</f>
        <v>23643</v>
      </c>
      <c r="C185" s="8" t="n">
        <f aca="false">SUMIFS('Daily Transactions'!C:C,'Daily Transactions'!A:A,$A185,'Daily Transactions'!B:B,"&lt;&gt;Sales")</f>
        <v>10217</v>
      </c>
      <c r="D185" s="8" t="n">
        <f aca="false">SUMIFS('Daily Transactions'!C:C,'Daily Transactions'!A:A,$A185,'Daily Transactions'!B:B,"&lt;&gt;Sales",'Daily Transactions'!D:D,"Cash")</f>
        <v>520</v>
      </c>
      <c r="E185" s="8" t="n">
        <f aca="false">SUMIFS('Daily Transactions'!C:C,'Daily Transactions'!A:A,$A185,'Daily Transactions'!B:B,"&lt;&gt;Sales",'Daily Transactions'!D:D,"Bank_Cash")</f>
        <v>6700</v>
      </c>
      <c r="F185" s="8" t="n">
        <f aca="false">SUMIFS('Daily Transactions'!C:C,'Daily Transactions'!A:A,$A185,'Daily Transactions'!B:B,"&lt;&gt;Sales",'Daily Transactions'!D:D,"Bank")</f>
        <v>2997</v>
      </c>
      <c r="G185" s="8" t="n">
        <f aca="false">B185-C185</f>
        <v>13426</v>
      </c>
      <c r="H185" s="8" t="n">
        <f aca="false">J184</f>
        <v>9450</v>
      </c>
      <c r="I185" s="8" t="n">
        <f aca="false">SUMIFS('Daily Transactions'!C:C,'Daily Transactions'!A:A,$A185,'Daily Transactions'!B:B,"Sales",'Daily Transactions'!D:D,"Cash")</f>
        <v>3120</v>
      </c>
      <c r="J185" s="8" t="n">
        <f aca="false">(H185+I185)-(D185+E185)</f>
        <v>5350</v>
      </c>
      <c r="K185" s="8"/>
      <c r="L185" s="8" t="n">
        <f aca="false">SUMIFS('Daily Transactions'!C:C,'Daily Transactions'!A:A,$A185,'Daily Transactions'!B:B,"Cash Shortage",'Daily Transactions'!D:D,"Cash")</f>
        <v>0</v>
      </c>
      <c r="M185" s="8"/>
    </row>
    <row r="186" customFormat="false" ht="15.75" hidden="false" customHeight="true" outlineLevel="0" collapsed="false">
      <c r="A186" s="35" t="n">
        <f aca="false">A185+1</f>
        <v>45840</v>
      </c>
      <c r="B186" s="8" t="n">
        <f aca="false">SUMIFS('Daily Transactions'!C:C,'Daily Transactions'!A:A,$A186,'Daily Transactions'!B:B,"Sales")</f>
        <v>18013</v>
      </c>
      <c r="C186" s="8" t="n">
        <f aca="false">SUMIFS('Daily Transactions'!C:C,'Daily Transactions'!A:A,$A186,'Daily Transactions'!B:B,"&lt;&gt;Sales")</f>
        <v>35646</v>
      </c>
      <c r="D186" s="8" t="n">
        <f aca="false">SUMIFS('Daily Transactions'!C:C,'Daily Transactions'!A:A,$A186,'Daily Transactions'!B:B,"&lt;&gt;Sales",'Daily Transactions'!D:D,"Cash")</f>
        <v>475</v>
      </c>
      <c r="E186" s="8" t="n">
        <f aca="false">SUMIFS('Daily Transactions'!C:C,'Daily Transactions'!A:A,$A186,'Daily Transactions'!B:B,"&lt;&gt;Sales",'Daily Transactions'!D:D,"Bank_Cash")</f>
        <v>2535</v>
      </c>
      <c r="F186" s="8" t="n">
        <f aca="false">SUMIFS('Daily Transactions'!C:C,'Daily Transactions'!A:A,$A186,'Daily Transactions'!B:B,"&lt;&gt;Sales",'Daily Transactions'!D:D,"Bank")</f>
        <v>32636</v>
      </c>
      <c r="G186" s="8" t="n">
        <f aca="false">B186-C186</f>
        <v>-17633</v>
      </c>
      <c r="H186" s="8" t="n">
        <f aca="false">J185</f>
        <v>5350</v>
      </c>
      <c r="I186" s="8" t="n">
        <f aca="false">SUMIFS('Daily Transactions'!C:C,'Daily Transactions'!A:A,$A186,'Daily Transactions'!B:B,"Sales",'Daily Transactions'!D:D,"Cash")</f>
        <v>1660</v>
      </c>
      <c r="J186" s="8" t="n">
        <f aca="false">(H186+I186)-(D186+E186)</f>
        <v>4000</v>
      </c>
      <c r="K186" s="8"/>
      <c r="L186" s="8" t="n">
        <f aca="false">SUMIFS('Daily Transactions'!C:C,'Daily Transactions'!A:A,$A186,'Daily Transactions'!B:B,"Cash Shortage",'Daily Transactions'!D:D,"Cash")</f>
        <v>0</v>
      </c>
      <c r="M186" s="8"/>
    </row>
    <row r="187" customFormat="false" ht="15.75" hidden="false" customHeight="true" outlineLevel="0" collapsed="false">
      <c r="A187" s="35" t="n">
        <f aca="false">A186+1</f>
        <v>45841</v>
      </c>
      <c r="B187" s="8" t="n">
        <f aca="false">SUMIFS('Daily Transactions'!C:C,'Daily Transactions'!A:A,$A187,'Daily Transactions'!B:B,"Sales")</f>
        <v>18800</v>
      </c>
      <c r="C187" s="8" t="n">
        <f aca="false">SUMIFS('Daily Transactions'!C:C,'Daily Transactions'!A:A,$A187,'Daily Transactions'!B:B,"&lt;&gt;Sales")</f>
        <v>28222</v>
      </c>
      <c r="D187" s="8" t="n">
        <f aca="false">SUMIFS('Daily Transactions'!C:C,'Daily Transactions'!A:A,$A187,'Daily Transactions'!B:B,"&lt;&gt;Sales",'Daily Transactions'!D:D,"Cash")</f>
        <v>390</v>
      </c>
      <c r="E187" s="8" t="n">
        <f aca="false">SUMIFS('Daily Transactions'!C:C,'Daily Transactions'!A:A,$A187,'Daily Transactions'!B:B,"&lt;&gt;Sales",'Daily Transactions'!D:D,"Bank_Cash")</f>
        <v>3000</v>
      </c>
      <c r="F187" s="8" t="n">
        <f aca="false">SUMIFS('Daily Transactions'!C:C,'Daily Transactions'!A:A,$A187,'Daily Transactions'!B:B,"&lt;&gt;Sales",'Daily Transactions'!D:D,"Bank")</f>
        <v>24832</v>
      </c>
      <c r="G187" s="8" t="n">
        <f aca="false">B187-C187</f>
        <v>-9422</v>
      </c>
      <c r="H187" s="8" t="n">
        <f aca="false">J186</f>
        <v>4000</v>
      </c>
      <c r="I187" s="8" t="n">
        <f aca="false">SUMIFS('Daily Transactions'!C:C,'Daily Transactions'!A:A,$A187,'Daily Transactions'!B:B,"Sales",'Daily Transactions'!D:D,"Cash")</f>
        <v>3790</v>
      </c>
      <c r="J187" s="8" t="n">
        <f aca="false">(H187+I187)-(D187+E187)</f>
        <v>4400</v>
      </c>
      <c r="K187" s="8"/>
      <c r="L187" s="8" t="n">
        <f aca="false">SUMIFS('Daily Transactions'!C:C,'Daily Transactions'!A:A,$A187,'Daily Transactions'!B:B,"Cash Shortage",'Daily Transactions'!D:D,"Cash")</f>
        <v>0</v>
      </c>
      <c r="M187" s="8"/>
    </row>
    <row r="188" customFormat="false" ht="15.75" hidden="false" customHeight="true" outlineLevel="0" collapsed="false">
      <c r="A188" s="35" t="n">
        <f aca="false">A187+1</f>
        <v>45842</v>
      </c>
      <c r="B188" s="8" t="n">
        <f aca="false">SUMIFS('Daily Transactions'!C:C,'Daily Transactions'!A:A,$A188,'Daily Transactions'!B:B,"Sales")</f>
        <v>26167</v>
      </c>
      <c r="C188" s="8" t="n">
        <f aca="false">SUMIFS('Daily Transactions'!C:C,'Daily Transactions'!A:A,$A188,'Daily Transactions'!B:B,"&lt;&gt;Sales")</f>
        <v>15382</v>
      </c>
      <c r="D188" s="8" t="n">
        <f aca="false">SUMIFS('Daily Transactions'!C:C,'Daily Transactions'!A:A,$A188,'Daily Transactions'!B:B,"&lt;&gt;Sales",'Daily Transactions'!D:D,"Cash")</f>
        <v>355</v>
      </c>
      <c r="E188" s="8" t="n">
        <f aca="false">SUMIFS('Daily Transactions'!C:C,'Daily Transactions'!A:A,$A188,'Daily Transactions'!B:B,"&lt;&gt;Sales",'Daily Transactions'!D:D,"Bank_Cash")</f>
        <v>3500</v>
      </c>
      <c r="F188" s="8" t="n">
        <f aca="false">SUMIFS('Daily Transactions'!C:C,'Daily Transactions'!A:A,$A188,'Daily Transactions'!B:B,"&lt;&gt;Sales",'Daily Transactions'!D:D,"Bank")</f>
        <v>11527</v>
      </c>
      <c r="G188" s="8" t="n">
        <f aca="false">B188-C188</f>
        <v>10785</v>
      </c>
      <c r="H188" s="8" t="n">
        <f aca="false">J187</f>
        <v>4400</v>
      </c>
      <c r="I188" s="8" t="n">
        <f aca="false">SUMIFS('Daily Transactions'!C:C,'Daily Transactions'!A:A,$A188,'Daily Transactions'!B:B,"Sales",'Daily Transactions'!D:D,"Cash")</f>
        <v>3555</v>
      </c>
      <c r="J188" s="8" t="n">
        <f aca="false">(H188+I188)-(D188+E188)</f>
        <v>4100</v>
      </c>
      <c r="K188" s="8"/>
      <c r="L188" s="8" t="n">
        <f aca="false">SUMIFS('Daily Transactions'!C:C,'Daily Transactions'!A:A,$A188,'Daily Transactions'!B:B,"Cash Shortage",'Daily Transactions'!D:D,"Cash")</f>
        <v>0</v>
      </c>
      <c r="M188" s="8"/>
    </row>
    <row r="189" customFormat="false" ht="15.75" hidden="false" customHeight="true" outlineLevel="0" collapsed="false">
      <c r="A189" s="35" t="n">
        <f aca="false">A188+1</f>
        <v>45843</v>
      </c>
      <c r="B189" s="8" t="n">
        <f aca="false">SUMIFS('Daily Transactions'!C:C,'Daily Transactions'!A:A,$A189,'Daily Transactions'!B:B,"Sales")</f>
        <v>27381</v>
      </c>
      <c r="C189" s="8" t="n">
        <f aca="false">SUMIFS('Daily Transactions'!C:C,'Daily Transactions'!A:A,$A189,'Daily Transactions'!B:B,"&lt;&gt;Sales")</f>
        <v>12040</v>
      </c>
      <c r="D189" s="8" t="n">
        <f aca="false">SUMIFS('Daily Transactions'!C:C,'Daily Transactions'!A:A,$A189,'Daily Transactions'!B:B,"&lt;&gt;Sales",'Daily Transactions'!D:D,"Cash")</f>
        <v>94</v>
      </c>
      <c r="E189" s="8" t="n">
        <f aca="false">SUMIFS('Daily Transactions'!C:C,'Daily Transactions'!A:A,$A189,'Daily Transactions'!B:B,"&lt;&gt;Sales",'Daily Transactions'!D:D,"Bank_Cash")</f>
        <v>3030</v>
      </c>
      <c r="F189" s="8" t="n">
        <f aca="false">SUMIFS('Daily Transactions'!C:C,'Daily Transactions'!A:A,$A189,'Daily Transactions'!B:B,"&lt;&gt;Sales",'Daily Transactions'!D:D,"Bank")</f>
        <v>8916</v>
      </c>
      <c r="G189" s="8" t="n">
        <f aca="false">B189-C189</f>
        <v>15341</v>
      </c>
      <c r="H189" s="8" t="n">
        <f aca="false">J188</f>
        <v>4100</v>
      </c>
      <c r="I189" s="8" t="n">
        <f aca="false">SUMIFS('Daily Transactions'!C:C,'Daily Transactions'!A:A,$A189,'Daily Transactions'!B:B,"Sales",'Daily Transactions'!D:D,"Cash")</f>
        <v>6324</v>
      </c>
      <c r="J189" s="8" t="n">
        <f aca="false">(H189+I189)-(D189+E189)</f>
        <v>7300</v>
      </c>
      <c r="K189" s="8"/>
      <c r="L189" s="8" t="n">
        <f aca="false">SUMIFS('Daily Transactions'!C:C,'Daily Transactions'!A:A,$A189,'Daily Transactions'!B:B,"Cash Shortage",'Daily Transactions'!D:D,"Cash")</f>
        <v>0</v>
      </c>
      <c r="M189" s="8"/>
    </row>
    <row r="190" customFormat="false" ht="15.75" hidden="false" customHeight="true" outlineLevel="0" collapsed="false">
      <c r="A190" s="35" t="n">
        <f aca="false">A189+1</f>
        <v>45844</v>
      </c>
      <c r="B190" s="8" t="n">
        <f aca="false">SUMIFS('Daily Transactions'!C:C,'Daily Transactions'!A:A,$A190,'Daily Transactions'!B:B,"Sales")</f>
        <v>23092</v>
      </c>
      <c r="C190" s="8" t="n">
        <f aca="false">SUMIFS('Daily Transactions'!C:C,'Daily Transactions'!A:A,$A190,'Daily Transactions'!B:B,"&lt;&gt;Sales")</f>
        <v>19204</v>
      </c>
      <c r="D190" s="8" t="n">
        <f aca="false">SUMIFS('Daily Transactions'!C:C,'Daily Transactions'!A:A,$A190,'Daily Transactions'!B:B,"&lt;&gt;Sales",'Daily Transactions'!D:D,"Cash")</f>
        <v>2365</v>
      </c>
      <c r="E190" s="8" t="n">
        <f aca="false">SUMIFS('Daily Transactions'!C:C,'Daily Transactions'!A:A,$A190,'Daily Transactions'!B:B,"&lt;&gt;Sales",'Daily Transactions'!D:D,"Bank_Cash")</f>
        <v>6000</v>
      </c>
      <c r="F190" s="8" t="n">
        <f aca="false">SUMIFS('Daily Transactions'!C:C,'Daily Transactions'!A:A,$A190,'Daily Transactions'!B:B,"&lt;&gt;Sales",'Daily Transactions'!D:D,"Bank")</f>
        <v>10839</v>
      </c>
      <c r="G190" s="8" t="n">
        <f aca="false">B190-C190</f>
        <v>3888</v>
      </c>
      <c r="H190" s="8" t="n">
        <f aca="false">J189</f>
        <v>7300</v>
      </c>
      <c r="I190" s="8" t="n">
        <f aca="false">SUMIFS('Daily Transactions'!C:C,'Daily Transactions'!A:A,$A190,'Daily Transactions'!B:B,"Sales",'Daily Transactions'!D:D,"Cash")</f>
        <v>2615</v>
      </c>
      <c r="J190" s="8" t="n">
        <f aca="false">(H190+I190)-(D190+E190)</f>
        <v>1550</v>
      </c>
      <c r="K190" s="8"/>
      <c r="L190" s="8" t="n">
        <f aca="false">SUMIFS('Daily Transactions'!C:C,'Daily Transactions'!A:A,$A190,'Daily Transactions'!B:B,"Cash Shortage",'Daily Transactions'!D:D,"Cash")</f>
        <v>0</v>
      </c>
      <c r="M190" s="8"/>
    </row>
    <row r="191" customFormat="false" ht="15.75" hidden="false" customHeight="true" outlineLevel="0" collapsed="false">
      <c r="A191" s="35" t="n">
        <f aca="false">A190+1</f>
        <v>45845</v>
      </c>
      <c r="B191" s="8" t="n">
        <f aca="false">SUMIFS('Daily Transactions'!C:C,'Daily Transactions'!A:A,$A191,'Daily Transactions'!B:B,"Sales")</f>
        <v>16854</v>
      </c>
      <c r="C191" s="8" t="n">
        <f aca="false">SUMIFS('Daily Transactions'!C:C,'Daily Transactions'!A:A,$A191,'Daily Transactions'!B:B,"&lt;&gt;Sales")</f>
        <v>17910</v>
      </c>
      <c r="D191" s="8" t="n">
        <f aca="false">SUMIFS('Daily Transactions'!C:C,'Daily Transactions'!A:A,$A191,'Daily Transactions'!B:B,"&lt;&gt;Sales",'Daily Transactions'!D:D,"Cash")</f>
        <v>1270</v>
      </c>
      <c r="E191" s="8" t="n">
        <f aca="false">SUMIFS('Daily Transactions'!C:C,'Daily Transactions'!A:A,$A191,'Daily Transactions'!B:B,"&lt;&gt;Sales",'Daily Transactions'!D:D,"Bank_Cash")</f>
        <v>1150</v>
      </c>
      <c r="F191" s="8" t="n">
        <f aca="false">SUMIFS('Daily Transactions'!C:C,'Daily Transactions'!A:A,$A191,'Daily Transactions'!B:B,"&lt;&gt;Sales",'Daily Transactions'!D:D,"Bank")</f>
        <v>15490</v>
      </c>
      <c r="G191" s="8" t="n">
        <f aca="false">B191-C191</f>
        <v>-1056</v>
      </c>
      <c r="H191" s="8" t="n">
        <f aca="false">J190</f>
        <v>1550</v>
      </c>
      <c r="I191" s="8" t="n">
        <f aca="false">SUMIFS('Daily Transactions'!C:C,'Daily Transactions'!A:A,$A191,'Daily Transactions'!B:B,"Sales",'Daily Transactions'!D:D,"Cash")</f>
        <v>1870</v>
      </c>
      <c r="J191" s="8" t="n">
        <f aca="false">(H191+I191)-(D191+E191)</f>
        <v>1000</v>
      </c>
      <c r="K191" s="8"/>
      <c r="L191" s="8" t="n">
        <f aca="false">SUMIFS('Daily Transactions'!C:C,'Daily Transactions'!A:A,$A191,'Daily Transactions'!B:B,"Cash Shortage",'Daily Transactions'!D:D,"Cash")</f>
        <v>0</v>
      </c>
      <c r="M191" s="8"/>
    </row>
    <row r="192" customFormat="false" ht="15.75" hidden="false" customHeight="true" outlineLevel="0" collapsed="false">
      <c r="A192" s="35" t="n">
        <f aca="false">A191+1</f>
        <v>45846</v>
      </c>
      <c r="B192" s="8" t="n">
        <f aca="false">SUMIFS('Daily Transactions'!C:C,'Daily Transactions'!A:A,$A192,'Daily Transactions'!B:B,"Sales")</f>
        <v>22000</v>
      </c>
      <c r="C192" s="8" t="n">
        <f aca="false">SUMIFS('Daily Transactions'!C:C,'Daily Transactions'!A:A,$A192,'Daily Transactions'!B:B,"&lt;&gt;Sales")</f>
        <v>17942</v>
      </c>
      <c r="D192" s="8" t="n">
        <f aca="false">SUMIFS('Daily Transactions'!C:C,'Daily Transactions'!A:A,$A192,'Daily Transactions'!B:B,"&lt;&gt;Sales",'Daily Transactions'!D:D,"Cash")</f>
        <v>539</v>
      </c>
      <c r="E192" s="8" t="n">
        <f aca="false">SUMIFS('Daily Transactions'!C:C,'Daily Transactions'!A:A,$A192,'Daily Transactions'!B:B,"&lt;&gt;Sales",'Daily Transactions'!D:D,"Bank_Cash")</f>
        <v>0</v>
      </c>
      <c r="F192" s="8" t="n">
        <f aca="false">SUMIFS('Daily Transactions'!C:C,'Daily Transactions'!A:A,$A192,'Daily Transactions'!B:B,"&lt;&gt;Sales",'Daily Transactions'!D:D,"Bank")</f>
        <v>17403</v>
      </c>
      <c r="G192" s="8" t="n">
        <f aca="false">B192-C192</f>
        <v>4058</v>
      </c>
      <c r="H192" s="8" t="n">
        <f aca="false">J191</f>
        <v>1000</v>
      </c>
      <c r="I192" s="8" t="n">
        <f aca="false">SUMIFS('Daily Transactions'!C:C,'Daily Transactions'!A:A,$A192,'Daily Transactions'!B:B,"Sales",'Daily Transactions'!D:D,"Cash")</f>
        <v>2989</v>
      </c>
      <c r="J192" s="8" t="n">
        <f aca="false">(H192+I192)-(D192+E192)</f>
        <v>3450</v>
      </c>
      <c r="K192" s="8"/>
      <c r="L192" s="8" t="n">
        <f aca="false">SUMIFS('Daily Transactions'!C:C,'Daily Transactions'!A:A,$A192,'Daily Transactions'!B:B,"Cash Shortage",'Daily Transactions'!D:D,"Cash")</f>
        <v>0</v>
      </c>
      <c r="M192" s="8"/>
    </row>
    <row r="193" customFormat="false" ht="15.75" hidden="false" customHeight="true" outlineLevel="0" collapsed="false">
      <c r="A193" s="35" t="n">
        <f aca="false">A192+1</f>
        <v>45847</v>
      </c>
      <c r="B193" s="8" t="n">
        <f aca="false">SUMIFS('Daily Transactions'!C:C,'Daily Transactions'!A:A,$A193,'Daily Transactions'!B:B,"Sales")</f>
        <v>28355</v>
      </c>
      <c r="C193" s="8" t="n">
        <f aca="false">SUMIFS('Daily Transactions'!C:C,'Daily Transactions'!A:A,$A193,'Daily Transactions'!B:B,"&lt;&gt;Sales")</f>
        <v>8834</v>
      </c>
      <c r="D193" s="8" t="n">
        <f aca="false">SUMIFS('Daily Transactions'!C:C,'Daily Transactions'!A:A,$A193,'Daily Transactions'!B:B,"&lt;&gt;Sales",'Daily Transactions'!D:D,"Cash")</f>
        <v>95</v>
      </c>
      <c r="E193" s="8" t="n">
        <f aca="false">SUMIFS('Daily Transactions'!C:C,'Daily Transactions'!A:A,$A193,'Daily Transactions'!B:B,"&lt;&gt;Sales",'Daily Transactions'!D:D,"Bank_Cash")</f>
        <v>550</v>
      </c>
      <c r="F193" s="8" t="n">
        <f aca="false">SUMIFS('Daily Transactions'!C:C,'Daily Transactions'!A:A,$A193,'Daily Transactions'!B:B,"&lt;&gt;Sales",'Daily Transactions'!D:D,"Bank")</f>
        <v>8189</v>
      </c>
      <c r="G193" s="8" t="n">
        <f aca="false">B193-C193</f>
        <v>19521</v>
      </c>
      <c r="H193" s="8" t="n">
        <f aca="false">J192</f>
        <v>3450</v>
      </c>
      <c r="I193" s="8" t="n">
        <f aca="false">SUMIFS('Daily Transactions'!C:C,'Daily Transactions'!A:A,$A193,'Daily Transactions'!B:B,"Sales",'Daily Transactions'!D:D,"Cash")</f>
        <v>1895</v>
      </c>
      <c r="J193" s="8" t="n">
        <f aca="false">(H193+I193)-(D193+E193)</f>
        <v>4700</v>
      </c>
      <c r="K193" s="8"/>
      <c r="L193" s="8" t="n">
        <f aca="false">SUMIFS('Daily Transactions'!C:C,'Daily Transactions'!A:A,$A193,'Daily Transactions'!B:B,"Cash Shortage",'Daily Transactions'!D:D,"Cash")</f>
        <v>0</v>
      </c>
      <c r="M193" s="8"/>
    </row>
    <row r="194" customFormat="false" ht="15.75" hidden="false" customHeight="true" outlineLevel="0" collapsed="false">
      <c r="A194" s="35" t="n">
        <f aca="false">A193+1</f>
        <v>45848</v>
      </c>
      <c r="B194" s="8" t="n">
        <f aca="false">SUMIFS('Daily Transactions'!C:C,'Daily Transactions'!A:A,$A194,'Daily Transactions'!B:B,"Sales")</f>
        <v>14642</v>
      </c>
      <c r="C194" s="8" t="n">
        <f aca="false">SUMIFS('Daily Transactions'!C:C,'Daily Transactions'!A:A,$A194,'Daily Transactions'!B:B,"&lt;&gt;Sales")</f>
        <v>15498</v>
      </c>
      <c r="D194" s="8" t="n">
        <f aca="false">SUMIFS('Daily Transactions'!C:C,'Daily Transactions'!A:A,$A194,'Daily Transactions'!B:B,"&lt;&gt;Sales",'Daily Transactions'!D:D,"Cash")</f>
        <v>969</v>
      </c>
      <c r="E194" s="8" t="n">
        <f aca="false">SUMIFS('Daily Transactions'!C:C,'Daily Transactions'!A:A,$A194,'Daily Transactions'!B:B,"&lt;&gt;Sales",'Daily Transactions'!D:D,"Bank_Cash")</f>
        <v>3970</v>
      </c>
      <c r="F194" s="8" t="n">
        <f aca="false">SUMIFS('Daily Transactions'!C:C,'Daily Transactions'!A:A,$A194,'Daily Transactions'!B:B,"&lt;&gt;Sales",'Daily Transactions'!D:D,"Bank")</f>
        <v>10559</v>
      </c>
      <c r="G194" s="8" t="n">
        <f aca="false">B194-C194</f>
        <v>-856</v>
      </c>
      <c r="H194" s="8" t="n">
        <f aca="false">J193</f>
        <v>4700</v>
      </c>
      <c r="I194" s="8" t="n">
        <f aca="false">SUMIFS('Daily Transactions'!C:C,'Daily Transactions'!A:A,$A194,'Daily Transactions'!B:B,"Sales",'Daily Transactions'!D:D,"Cash")</f>
        <v>1939</v>
      </c>
      <c r="J194" s="8" t="n">
        <f aca="false">(H194+I194)-(D194+E194)</f>
        <v>1700</v>
      </c>
      <c r="K194" s="8"/>
      <c r="L194" s="8" t="n">
        <f aca="false">SUMIFS('Daily Transactions'!C:C,'Daily Transactions'!A:A,$A194,'Daily Transactions'!B:B,"Cash Shortage",'Daily Transactions'!D:D,"Cash")</f>
        <v>0</v>
      </c>
      <c r="M194" s="8"/>
    </row>
    <row r="195" customFormat="false" ht="15.75" hidden="false" customHeight="true" outlineLevel="0" collapsed="false">
      <c r="A195" s="35" t="n">
        <f aca="false">A194+1</f>
        <v>45849</v>
      </c>
      <c r="B195" s="8" t="n">
        <f aca="false">SUMIFS('Daily Transactions'!C:C,'Daily Transactions'!A:A,$A195,'Daily Transactions'!B:B,"Sales")</f>
        <v>36266</v>
      </c>
      <c r="C195" s="8" t="n">
        <f aca="false">SUMIFS('Daily Transactions'!C:C,'Daily Transactions'!A:A,$A195,'Daily Transactions'!B:B,"&lt;&gt;Sales")</f>
        <v>7962</v>
      </c>
      <c r="D195" s="8" t="n">
        <f aca="false">SUMIFS('Daily Transactions'!C:C,'Daily Transactions'!A:A,$A195,'Daily Transactions'!B:B,"&lt;&gt;Sales",'Daily Transactions'!D:D,"Cash")</f>
        <v>83</v>
      </c>
      <c r="E195" s="8" t="n">
        <f aca="false">SUMIFS('Daily Transactions'!C:C,'Daily Transactions'!A:A,$A195,'Daily Transactions'!B:B,"&lt;&gt;Sales",'Daily Transactions'!D:D,"Bank_Cash")</f>
        <v>1120</v>
      </c>
      <c r="F195" s="8" t="n">
        <f aca="false">SUMIFS('Daily Transactions'!C:C,'Daily Transactions'!A:A,$A195,'Daily Transactions'!B:B,"&lt;&gt;Sales",'Daily Transactions'!D:D,"Bank")</f>
        <v>6759</v>
      </c>
      <c r="G195" s="8" t="n">
        <f aca="false">B195-C195</f>
        <v>28304</v>
      </c>
      <c r="H195" s="8" t="n">
        <f aca="false">J194</f>
        <v>1700</v>
      </c>
      <c r="I195" s="8" t="n">
        <f aca="false">SUMIFS('Daily Transactions'!C:C,'Daily Transactions'!A:A,$A195,'Daily Transactions'!B:B,"Sales",'Daily Transactions'!D:D,"Cash")</f>
        <v>5103</v>
      </c>
      <c r="J195" s="8" t="n">
        <f aca="false">(H195+I195)-(D195+E195)</f>
        <v>5600</v>
      </c>
      <c r="K195" s="8"/>
      <c r="L195" s="8" t="n">
        <f aca="false">SUMIFS('Daily Transactions'!C:C,'Daily Transactions'!A:A,$A195,'Daily Transactions'!B:B,"Cash Shortage",'Daily Transactions'!D:D,"Cash")</f>
        <v>0</v>
      </c>
      <c r="M195" s="8"/>
    </row>
    <row r="196" customFormat="false" ht="15.75" hidden="false" customHeight="true" outlineLevel="0" collapsed="false">
      <c r="A196" s="35" t="n">
        <f aca="false">A195+1</f>
        <v>45850</v>
      </c>
      <c r="B196" s="8" t="n">
        <f aca="false">SUMIFS('Daily Transactions'!C:C,'Daily Transactions'!A:A,$A196,'Daily Transactions'!B:B,"Sales")</f>
        <v>36118</v>
      </c>
      <c r="C196" s="8" t="n">
        <f aca="false">SUMIFS('Daily Transactions'!C:C,'Daily Transactions'!A:A,$A196,'Daily Transactions'!B:B,"&lt;&gt;Sales")</f>
        <v>18590</v>
      </c>
      <c r="D196" s="8" t="n">
        <f aca="false">SUMIFS('Daily Transactions'!C:C,'Daily Transactions'!A:A,$A196,'Daily Transactions'!B:B,"&lt;&gt;Sales",'Daily Transactions'!D:D,"Cash")</f>
        <v>1104</v>
      </c>
      <c r="E196" s="8" t="n">
        <f aca="false">SUMIFS('Daily Transactions'!C:C,'Daily Transactions'!A:A,$A196,'Daily Transactions'!B:B,"&lt;&gt;Sales",'Daily Transactions'!D:D,"Bank_Cash")</f>
        <v>4540</v>
      </c>
      <c r="F196" s="8" t="n">
        <f aca="false">SUMIFS('Daily Transactions'!C:C,'Daily Transactions'!A:A,$A196,'Daily Transactions'!B:B,"&lt;&gt;Sales",'Daily Transactions'!D:D,"Bank")</f>
        <v>12946</v>
      </c>
      <c r="G196" s="8" t="n">
        <f aca="false">B196-C196</f>
        <v>17528</v>
      </c>
      <c r="H196" s="8" t="n">
        <f aca="false">J195</f>
        <v>5600</v>
      </c>
      <c r="I196" s="8" t="n">
        <f aca="false">SUMIFS('Daily Transactions'!C:C,'Daily Transactions'!A:A,$A196,'Daily Transactions'!B:B,"Sales",'Daily Transactions'!D:D,"Cash")</f>
        <v>4694</v>
      </c>
      <c r="J196" s="8" t="n">
        <f aca="false">(H196+I196)-(D196+E196)</f>
        <v>4650</v>
      </c>
      <c r="K196" s="8"/>
      <c r="L196" s="8" t="n">
        <f aca="false">SUMIFS('Daily Transactions'!C:C,'Daily Transactions'!A:A,$A196,'Daily Transactions'!B:B,"Cash Shortage",'Daily Transactions'!D:D,"Cash")</f>
        <v>0</v>
      </c>
      <c r="M196" s="8"/>
    </row>
    <row r="197" customFormat="false" ht="15.75" hidden="false" customHeight="true" outlineLevel="0" collapsed="false">
      <c r="A197" s="35" t="n">
        <f aca="false">A196+1</f>
        <v>45851</v>
      </c>
      <c r="B197" s="8" t="n">
        <f aca="false">SUMIFS('Daily Transactions'!C:C,'Daily Transactions'!A:A,$A197,'Daily Transactions'!B:B,"Sales")</f>
        <v>26461</v>
      </c>
      <c r="C197" s="8" t="n">
        <f aca="false">SUMIFS('Daily Transactions'!C:C,'Daily Transactions'!A:A,$A197,'Daily Transactions'!B:B,"&lt;&gt;Sales")</f>
        <v>14637</v>
      </c>
      <c r="D197" s="8" t="n">
        <f aca="false">SUMIFS('Daily Transactions'!C:C,'Daily Transactions'!A:A,$A197,'Daily Transactions'!B:B,"&lt;&gt;Sales",'Daily Transactions'!D:D,"Cash")</f>
        <v>103</v>
      </c>
      <c r="E197" s="8" t="n">
        <f aca="false">SUMIFS('Daily Transactions'!C:C,'Daily Transactions'!A:A,$A197,'Daily Transactions'!B:B,"&lt;&gt;Sales",'Daily Transactions'!D:D,"Bank_Cash")</f>
        <v>3820</v>
      </c>
      <c r="F197" s="8" t="n">
        <f aca="false">SUMIFS('Daily Transactions'!C:C,'Daily Transactions'!A:A,$A197,'Daily Transactions'!B:B,"&lt;&gt;Sales",'Daily Transactions'!D:D,"Bank")</f>
        <v>10714</v>
      </c>
      <c r="G197" s="8" t="n">
        <f aca="false">B197-C197</f>
        <v>11824</v>
      </c>
      <c r="H197" s="8" t="n">
        <f aca="false">J196</f>
        <v>4650</v>
      </c>
      <c r="I197" s="8" t="n">
        <f aca="false">SUMIFS('Daily Transactions'!C:C,'Daily Transactions'!A:A,$A197,'Daily Transactions'!B:B,"Sales",'Daily Transactions'!D:D,"Cash")</f>
        <v>7223</v>
      </c>
      <c r="J197" s="8" t="n">
        <f aca="false">(H197+I197)-(D197+E197)</f>
        <v>7950</v>
      </c>
      <c r="K197" s="8"/>
      <c r="L197" s="8" t="n">
        <f aca="false">SUMIFS('Daily Transactions'!C:C,'Daily Transactions'!A:A,$A197,'Daily Transactions'!B:B,"Cash Shortage",'Daily Transactions'!D:D,"Cash")</f>
        <v>0</v>
      </c>
      <c r="M197" s="8"/>
    </row>
    <row r="198" customFormat="false" ht="15.75" hidden="false" customHeight="true" outlineLevel="0" collapsed="false">
      <c r="A198" s="35" t="n">
        <f aca="false">A197+1</f>
        <v>45852</v>
      </c>
      <c r="B198" s="8" t="n">
        <f aca="false">SUMIFS('Daily Transactions'!C:C,'Daily Transactions'!A:A,$A198,'Daily Transactions'!B:B,"Sales")</f>
        <v>10525</v>
      </c>
      <c r="C198" s="8" t="n">
        <f aca="false">SUMIFS('Daily Transactions'!C:C,'Daily Transactions'!A:A,$A198,'Daily Transactions'!B:B,"&lt;&gt;Sales")</f>
        <v>7913</v>
      </c>
      <c r="D198" s="8" t="n">
        <f aca="false">SUMIFS('Daily Transactions'!C:C,'Daily Transactions'!A:A,$A198,'Daily Transactions'!B:B,"&lt;&gt;Sales",'Daily Transactions'!D:D,"Cash")</f>
        <v>50</v>
      </c>
      <c r="E198" s="8" t="n">
        <f aca="false">SUMIFS('Daily Transactions'!C:C,'Daily Transactions'!A:A,$A198,'Daily Transactions'!B:B,"&lt;&gt;Sales",'Daily Transactions'!D:D,"Bank_Cash")</f>
        <v>210</v>
      </c>
      <c r="F198" s="8" t="n">
        <f aca="false">SUMIFS('Daily Transactions'!C:C,'Daily Transactions'!A:A,$A198,'Daily Transactions'!B:B,"&lt;&gt;Sales",'Daily Transactions'!D:D,"Bank")</f>
        <v>7653</v>
      </c>
      <c r="G198" s="8" t="n">
        <f aca="false">B198-C198</f>
        <v>2612</v>
      </c>
      <c r="H198" s="8" t="n">
        <f aca="false">J197</f>
        <v>7950</v>
      </c>
      <c r="I198" s="8" t="n">
        <f aca="false">SUMIFS('Daily Transactions'!C:C,'Daily Transactions'!A:A,$A198,'Daily Transactions'!B:B,"Sales",'Daily Transactions'!D:D,"Cash")</f>
        <v>860</v>
      </c>
      <c r="J198" s="8" t="n">
        <f aca="false">(H198+I198)-(D198+E198)</f>
        <v>8550</v>
      </c>
      <c r="K198" s="8"/>
      <c r="L198" s="8" t="n">
        <f aca="false">SUMIFS('Daily Transactions'!C:C,'Daily Transactions'!A:A,$A198,'Daily Transactions'!B:B,"Cash Shortage",'Daily Transactions'!D:D,"Cash")</f>
        <v>0</v>
      </c>
      <c r="M198" s="8"/>
    </row>
    <row r="199" customFormat="false" ht="15.75" hidden="false" customHeight="true" outlineLevel="0" collapsed="false">
      <c r="A199" s="35" t="n">
        <f aca="false">A198+1</f>
        <v>45853</v>
      </c>
      <c r="B199" s="8" t="n">
        <f aca="false">SUMIFS('Daily Transactions'!C:C,'Daily Transactions'!A:A,$A199,'Daily Transactions'!B:B,"Sales")</f>
        <v>14728</v>
      </c>
      <c r="C199" s="8" t="n">
        <f aca="false">SUMIFS('Daily Transactions'!C:C,'Daily Transactions'!A:A,$A199,'Daily Transactions'!B:B,"&lt;&gt;Sales")</f>
        <v>4149</v>
      </c>
      <c r="D199" s="8" t="n">
        <f aca="false">SUMIFS('Daily Transactions'!C:C,'Daily Transactions'!A:A,$A199,'Daily Transactions'!B:B,"&lt;&gt;Sales",'Daily Transactions'!D:D,"Cash")</f>
        <v>118</v>
      </c>
      <c r="E199" s="8" t="n">
        <f aca="false">SUMIFS('Daily Transactions'!C:C,'Daily Transactions'!A:A,$A199,'Daily Transactions'!B:B,"&lt;&gt;Sales",'Daily Transactions'!D:D,"Bank_Cash")</f>
        <v>1285</v>
      </c>
      <c r="F199" s="8" t="n">
        <f aca="false">SUMIFS('Daily Transactions'!C:C,'Daily Transactions'!A:A,$A199,'Daily Transactions'!B:B,"&lt;&gt;Sales",'Daily Transactions'!D:D,"Bank")</f>
        <v>2746</v>
      </c>
      <c r="G199" s="8" t="n">
        <f aca="false">B199-C199</f>
        <v>10579</v>
      </c>
      <c r="H199" s="8" t="n">
        <f aca="false">J198</f>
        <v>8550</v>
      </c>
      <c r="I199" s="8" t="n">
        <f aca="false">SUMIFS('Daily Transactions'!C:C,'Daily Transactions'!A:A,$A199,'Daily Transactions'!B:B,"Sales",'Daily Transactions'!D:D,"Cash")</f>
        <v>3053</v>
      </c>
      <c r="J199" s="8" t="n">
        <f aca="false">(H199+I199)-(D199+E199)</f>
        <v>10200</v>
      </c>
      <c r="K199" s="8"/>
      <c r="L199" s="8" t="n">
        <f aca="false">SUMIFS('Daily Transactions'!C:C,'Daily Transactions'!A:A,$A199,'Daily Transactions'!B:B,"Cash Shortage",'Daily Transactions'!D:D,"Cash")</f>
        <v>0</v>
      </c>
      <c r="M199" s="8"/>
    </row>
    <row r="200" customFormat="false" ht="15.75" hidden="false" customHeight="true" outlineLevel="0" collapsed="false">
      <c r="A200" s="35" t="n">
        <f aca="false">A199+1</f>
        <v>45854</v>
      </c>
      <c r="B200" s="8" t="n">
        <f aca="false">SUMIFS('Daily Transactions'!C:C,'Daily Transactions'!A:A,$A200,'Daily Transactions'!B:B,"Sales")</f>
        <v>21209</v>
      </c>
      <c r="C200" s="8" t="n">
        <f aca="false">SUMIFS('Daily Transactions'!C:C,'Daily Transactions'!A:A,$A200,'Daily Transactions'!B:B,"&lt;&gt;Sales")</f>
        <v>15206</v>
      </c>
      <c r="D200" s="8" t="n">
        <f aca="false">SUMIFS('Daily Transactions'!C:C,'Daily Transactions'!A:A,$A200,'Daily Transactions'!B:B,"&lt;&gt;Sales",'Daily Transactions'!D:D,"Cash")</f>
        <v>69</v>
      </c>
      <c r="E200" s="8" t="n">
        <f aca="false">SUMIFS('Daily Transactions'!C:C,'Daily Transactions'!A:A,$A200,'Daily Transactions'!B:B,"&lt;&gt;Sales",'Daily Transactions'!D:D,"Bank_Cash")</f>
        <v>2060</v>
      </c>
      <c r="F200" s="8" t="n">
        <f aca="false">SUMIFS('Daily Transactions'!C:C,'Daily Transactions'!A:A,$A200,'Daily Transactions'!B:B,"&lt;&gt;Sales",'Daily Transactions'!D:D,"Bank")</f>
        <v>13077</v>
      </c>
      <c r="G200" s="8" t="n">
        <f aca="false">B200-C200</f>
        <v>6003</v>
      </c>
      <c r="H200" s="8" t="n">
        <f aca="false">J199</f>
        <v>10200</v>
      </c>
      <c r="I200" s="8" t="n">
        <f aca="false">SUMIFS('Daily Transactions'!C:C,'Daily Transactions'!A:A,$A200,'Daily Transactions'!B:B,"Sales",'Daily Transactions'!D:D,"Cash")</f>
        <v>5329</v>
      </c>
      <c r="J200" s="8" t="n">
        <f aca="false">(H200+I200)-(D200+E200)</f>
        <v>13400</v>
      </c>
      <c r="K200" s="8"/>
      <c r="L200" s="8" t="n">
        <f aca="false">SUMIFS('Daily Transactions'!C:C,'Daily Transactions'!A:A,$A200,'Daily Transactions'!B:B,"Cash Shortage",'Daily Transactions'!D:D,"Cash")</f>
        <v>0</v>
      </c>
      <c r="M200" s="8"/>
    </row>
    <row r="201" customFormat="false" ht="15.75" hidden="false" customHeight="true" outlineLevel="0" collapsed="false">
      <c r="A201" s="35" t="n">
        <f aca="false">A200+1</f>
        <v>45855</v>
      </c>
      <c r="B201" s="8" t="n">
        <f aca="false">SUMIFS('Daily Transactions'!C:C,'Daily Transactions'!A:A,$A201,'Daily Transactions'!B:B,"Sales")</f>
        <v>13033</v>
      </c>
      <c r="C201" s="8" t="n">
        <f aca="false">SUMIFS('Daily Transactions'!C:C,'Daily Transactions'!A:A,$A201,'Daily Transactions'!B:B,"&lt;&gt;Sales")</f>
        <v>10131</v>
      </c>
      <c r="D201" s="8" t="n">
        <f aca="false">SUMIFS('Daily Transactions'!C:C,'Daily Transactions'!A:A,$A201,'Daily Transactions'!B:B,"&lt;&gt;Sales",'Daily Transactions'!D:D,"Cash")</f>
        <v>55</v>
      </c>
      <c r="E201" s="8" t="n">
        <f aca="false">SUMIFS('Daily Transactions'!C:C,'Daily Transactions'!A:A,$A201,'Daily Transactions'!B:B,"&lt;&gt;Sales",'Daily Transactions'!D:D,"Bank_Cash")</f>
        <v>1700</v>
      </c>
      <c r="F201" s="8" t="n">
        <f aca="false">SUMIFS('Daily Transactions'!C:C,'Daily Transactions'!A:A,$A201,'Daily Transactions'!B:B,"&lt;&gt;Sales",'Daily Transactions'!D:D,"Bank")</f>
        <v>8376</v>
      </c>
      <c r="G201" s="8" t="n">
        <f aca="false">B201-C201</f>
        <v>2902</v>
      </c>
      <c r="H201" s="8" t="n">
        <f aca="false">J200</f>
        <v>13400</v>
      </c>
      <c r="I201" s="8" t="n">
        <f aca="false">SUMIFS('Daily Transactions'!C:C,'Daily Transactions'!A:A,$A201,'Daily Transactions'!B:B,"Sales",'Daily Transactions'!D:D,"Cash")</f>
        <v>3555</v>
      </c>
      <c r="J201" s="8" t="n">
        <f aca="false">(H201+I201)-(D201+E201)</f>
        <v>15200</v>
      </c>
      <c r="K201" s="8"/>
      <c r="L201" s="8" t="n">
        <f aca="false">SUMIFS('Daily Transactions'!C:C,'Daily Transactions'!A:A,$A201,'Daily Transactions'!B:B,"Cash Shortage",'Daily Transactions'!D:D,"Cash")</f>
        <v>0</v>
      </c>
      <c r="M201" s="8"/>
    </row>
    <row r="202" customFormat="false" ht="15.75" hidden="false" customHeight="true" outlineLevel="0" collapsed="false">
      <c r="A202" s="35" t="n">
        <f aca="false">A201+1</f>
        <v>45856</v>
      </c>
      <c r="B202" s="36" t="n">
        <f aca="false">SUMIFS('Daily Transactions'!C:C,'Daily Transactions'!A:A,$A202,'Daily Transactions'!B:B,"Sales")</f>
        <v>21311</v>
      </c>
      <c r="C202" s="36" t="n">
        <f aca="false">SUMIFS('Daily Transactions'!C:C,'Daily Transactions'!A:A,$A202,'Daily Transactions'!B:B,"&lt;&gt;Sales")</f>
        <v>8038</v>
      </c>
      <c r="D202" s="36" t="n">
        <f aca="false">SUMIFS('Daily Transactions'!C:C,'Daily Transactions'!A:A,$A202,'Daily Transactions'!B:B,"&lt;&gt;Sales",'Daily Transactions'!D:D,"Cash")</f>
        <v>95</v>
      </c>
      <c r="E202" s="36" t="n">
        <f aca="false">SUMIFS('Daily Transactions'!C:C,'Daily Transactions'!A:A,$A202,'Daily Transactions'!B:B,"&lt;&gt;Sales",'Daily Transactions'!D:D,"Bank_Cash")</f>
        <v>1590</v>
      </c>
      <c r="F202" s="36" t="n">
        <f aca="false">SUMIFS('Daily Transactions'!C:C,'Daily Transactions'!A:A,$A202,'Daily Transactions'!B:B,"&lt;&gt;Sales",'Daily Transactions'!D:D,"Bank")</f>
        <v>6353</v>
      </c>
      <c r="G202" s="36" t="n">
        <f aca="false">B202-C202</f>
        <v>13273</v>
      </c>
      <c r="H202" s="36" t="n">
        <f aca="false">J201</f>
        <v>15200</v>
      </c>
      <c r="I202" s="36" t="n">
        <f aca="false">SUMIFS('Daily Transactions'!C:C,'Daily Transactions'!A:A,$A202,'Daily Transactions'!B:B,"Sales",'Daily Transactions'!D:D,"Cash")</f>
        <v>735</v>
      </c>
      <c r="J202" s="36" t="n">
        <f aca="false">(H202+I202)-(D202+E202)</f>
        <v>14250</v>
      </c>
      <c r="K202" s="36"/>
      <c r="L202" s="36" t="n">
        <f aca="false">SUMIFS('Daily Transactions'!C:C,'Daily Transactions'!A:A,$A202,'Daily Transactions'!B:B,"Cash Shortage",'Daily Transactions'!D:D,"Cash")</f>
        <v>0</v>
      </c>
      <c r="M202" s="8"/>
    </row>
    <row r="203" customFormat="false" ht="15.75" hidden="false" customHeight="true" outlineLevel="0" collapsed="false">
      <c r="A203" s="37" t="n">
        <f aca="false">A202+1</f>
        <v>45857</v>
      </c>
      <c r="B203" s="38" t="n">
        <f aca="false">SUMIFS('Daily Transactions'!C:C,'Daily Transactions'!A:A,$A203,'Daily Transactions'!B:B,"Sales")</f>
        <v>19988</v>
      </c>
      <c r="C203" s="38" t="n">
        <f aca="false">SUMIFS('Daily Transactions'!C:C,'Daily Transactions'!A:A,$A203,'Daily Transactions'!B:B,"&lt;&gt;Sales")</f>
        <v>12162</v>
      </c>
      <c r="D203" s="38" t="n">
        <f aca="false">SUMIFS('Daily Transactions'!C:C,'Daily Transactions'!A:A,$A203,'Daily Transactions'!B:B,"&lt;&gt;Sales",'Daily Transactions'!D:D,"Cash")</f>
        <v>100</v>
      </c>
      <c r="E203" s="38" t="n">
        <f aca="false">SUMIFS('Daily Transactions'!C:C,'Daily Transactions'!A:A,$A203,'Daily Transactions'!B:B,"&lt;&gt;Sales",'Daily Transactions'!D:D,"Bank_Cash")</f>
        <v>5630</v>
      </c>
      <c r="F203" s="38" t="n">
        <f aca="false">SUMIFS('Daily Transactions'!C:C,'Daily Transactions'!A:A,$A203,'Daily Transactions'!B:B,"&lt;&gt;Sales",'Daily Transactions'!D:D,"Bank")</f>
        <v>6432</v>
      </c>
      <c r="G203" s="38" t="n">
        <f aca="false">B203-C203</f>
        <v>7826</v>
      </c>
      <c r="H203" s="38" t="n">
        <f aca="false">J202</f>
        <v>14250</v>
      </c>
      <c r="I203" s="38" t="n">
        <f aca="false">SUMIFS('Daily Transactions'!C:C,'Daily Transactions'!A:A,$A203,'Daily Transactions'!B:B,"Sales",'Daily Transactions'!D:D,"Cash")</f>
        <v>2930</v>
      </c>
      <c r="J203" s="38" t="n">
        <f aca="false">H203+I203-D203-E203</f>
        <v>11450</v>
      </c>
      <c r="K203" s="38"/>
      <c r="L203" s="38" t="n">
        <f aca="false">SUMIFS('Daily Transactions'!C:C,'Daily Transactions'!A:A,$A203,'Daily Transactions'!B:B,"Cash Shortage",'Daily Transactions'!D:D,"Cash")</f>
        <v>0</v>
      </c>
    </row>
    <row r="204" customFormat="false" ht="15.75" hidden="false" customHeight="true" outlineLevel="0" collapsed="false">
      <c r="A204" s="37" t="n">
        <f aca="false">A203+1</f>
        <v>45858</v>
      </c>
      <c r="B204" s="38" t="n">
        <f aca="false">SUMIFS('Daily Transactions'!C:C,'Daily Transactions'!A:A,$A204,'Daily Transactions'!B:B,"Sales")</f>
        <v>27975</v>
      </c>
      <c r="C204" s="38" t="n">
        <f aca="false">SUMIFS('Daily Transactions'!C:C,'Daily Transactions'!A:A,$A204,'Daily Transactions'!B:B,"&lt;&gt;Sales")</f>
        <v>20902</v>
      </c>
      <c r="D204" s="38" t="n">
        <f aca="false">SUMIFS('Daily Transactions'!C:C,'Daily Transactions'!A:A,$A204,'Daily Transactions'!B:B,"&lt;&gt;Sales",'Daily Transactions'!D:D,"Cash")</f>
        <v>80</v>
      </c>
      <c r="E204" s="38" t="n">
        <f aca="false">SUMIFS('Daily Transactions'!C:C,'Daily Transactions'!A:A,$A204,'Daily Transactions'!B:B,"&lt;&gt;Sales",'Daily Transactions'!D:D,"Bank_Cash")</f>
        <v>10480</v>
      </c>
      <c r="F204" s="38" t="n">
        <f aca="false">SUMIFS('Daily Transactions'!C:C,'Daily Transactions'!A:A,$A204,'Daily Transactions'!B:B,"&lt;&gt;Sales",'Daily Transactions'!D:D,"Bank")</f>
        <v>10342</v>
      </c>
      <c r="G204" s="38" t="n">
        <f aca="false">B204-C204</f>
        <v>7073</v>
      </c>
      <c r="H204" s="38" t="n">
        <f aca="false">J203</f>
        <v>11450</v>
      </c>
      <c r="I204" s="38" t="n">
        <f aca="false">SUMIFS('Daily Transactions'!C:C,'Daily Transactions'!A:A,$A204,'Daily Transactions'!B:B,"Sales",'Daily Transactions'!D:D,"Cash")</f>
        <v>2960</v>
      </c>
      <c r="J204" s="38" t="n">
        <f aca="false">H204+I204-D204-E204</f>
        <v>3850</v>
      </c>
      <c r="K204" s="38"/>
      <c r="L204" s="38" t="n">
        <f aca="false">SUMIFS('Daily Transactions'!C:C,'Daily Transactions'!A:A,$A204,'Daily Transactions'!B:B,"Cash Shortage",'Daily Transactions'!D:D,"Cash")</f>
        <v>0</v>
      </c>
    </row>
    <row r="205" customFormat="false" ht="15.75" hidden="false" customHeight="true" outlineLevel="0" collapsed="false">
      <c r="A205" s="37" t="n">
        <f aca="false">A204+1</f>
        <v>45859</v>
      </c>
      <c r="B205" s="38" t="n">
        <f aca="false">SUMIFS('Daily Transactions'!C:C,'Daily Transactions'!A:A,$A205,'Daily Transactions'!B:B,"Sales")</f>
        <v>6623</v>
      </c>
      <c r="C205" s="38" t="n">
        <f aca="false">SUMIFS('Daily Transactions'!C:C,'Daily Transactions'!A:A,$A205,'Daily Transactions'!B:B,"&lt;&gt;Sales")</f>
        <v>14715</v>
      </c>
      <c r="D205" s="38" t="n">
        <f aca="false">SUMIFS('Daily Transactions'!C:C,'Daily Transactions'!A:A,$A205,'Daily Transactions'!B:B,"&lt;&gt;Sales",'Daily Transactions'!D:D,"Cash")</f>
        <v>380</v>
      </c>
      <c r="E205" s="38" t="n">
        <f aca="false">SUMIFS('Daily Transactions'!C:C,'Daily Transactions'!A:A,$A205,'Daily Transactions'!B:B,"&lt;&gt;Sales",'Daily Transactions'!D:D,"Bank_Cash")</f>
        <v>1250</v>
      </c>
      <c r="F205" s="38" t="n">
        <f aca="false">SUMIFS('Daily Transactions'!C:C,'Daily Transactions'!A:A,$A205,'Daily Transactions'!B:B,"&lt;&gt;Sales",'Daily Transactions'!D:D,"Bank")</f>
        <v>13085</v>
      </c>
      <c r="G205" s="38" t="n">
        <f aca="false">B205-C205</f>
        <v>-8092</v>
      </c>
      <c r="H205" s="38" t="n">
        <f aca="false">J204</f>
        <v>3850</v>
      </c>
      <c r="I205" s="38" t="n">
        <f aca="false">SUMIFS('Daily Transactions'!C:C,'Daily Transactions'!A:A,$A205,'Daily Transactions'!B:B,"Sales",'Daily Transactions'!D:D,"Cash")</f>
        <v>680</v>
      </c>
      <c r="J205" s="38" t="n">
        <f aca="false">H205+I205-D205-E205</f>
        <v>2900</v>
      </c>
      <c r="K205" s="38"/>
      <c r="L205" s="38" t="n">
        <f aca="false">SUMIFS('Daily Transactions'!C:C,'Daily Transactions'!A:A,$A205,'Daily Transactions'!B:B,"Cash Shortage",'Daily Transactions'!D:D,"Cash")</f>
        <v>0</v>
      </c>
    </row>
    <row r="206" customFormat="false" ht="15.75" hidden="false" customHeight="true" outlineLevel="0" collapsed="false">
      <c r="A206" s="37" t="n">
        <f aca="false">A205+1</f>
        <v>45860</v>
      </c>
      <c r="B206" s="38" t="n">
        <f aca="false">SUMIFS('Daily Transactions'!C:C,'Daily Transactions'!A:A,$A206,'Daily Transactions'!B:B,"Sales")</f>
        <v>17033</v>
      </c>
      <c r="C206" s="38" t="n">
        <f aca="false">SUMIFS('Daily Transactions'!C:C,'Daily Transactions'!A:A,$A206,'Daily Transactions'!B:B,"&lt;&gt;Sales")</f>
        <v>5606</v>
      </c>
      <c r="D206" s="38" t="n">
        <f aca="false">SUMIFS('Daily Transactions'!C:C,'Daily Transactions'!A:A,$A206,'Daily Transactions'!B:B,"&lt;&gt;Sales",'Daily Transactions'!D:D,"Cash")</f>
        <v>55</v>
      </c>
      <c r="E206" s="38" t="n">
        <f aca="false">SUMIFS('Daily Transactions'!C:C,'Daily Transactions'!A:A,$A206,'Daily Transactions'!B:B,"&lt;&gt;Sales",'Daily Transactions'!D:D,"Bank_Cash")</f>
        <v>700</v>
      </c>
      <c r="F206" s="38" t="n">
        <f aca="false">SUMIFS('Daily Transactions'!C:C,'Daily Transactions'!A:A,$A206,'Daily Transactions'!B:B,"&lt;&gt;Sales",'Daily Transactions'!D:D,"Bank")</f>
        <v>4851</v>
      </c>
      <c r="G206" s="38" t="n">
        <f aca="false">B206-C206</f>
        <v>11427</v>
      </c>
      <c r="H206" s="38" t="n">
        <f aca="false">J205</f>
        <v>2900</v>
      </c>
      <c r="I206" s="38" t="n">
        <f aca="false">SUMIFS('Daily Transactions'!C:C,'Daily Transactions'!A:A,$A206,'Daily Transactions'!B:B,"Sales",'Daily Transactions'!D:D,"Cash")</f>
        <v>3455</v>
      </c>
      <c r="J206" s="38" t="n">
        <f aca="false">H206+I206-D206-E206</f>
        <v>5600</v>
      </c>
      <c r="K206" s="38"/>
      <c r="L206" s="38" t="n">
        <f aca="false">SUMIFS('Daily Transactions'!C:C,'Daily Transactions'!A:A,$A206,'Daily Transactions'!B:B,"Cash Shortage",'Daily Transactions'!D:D,"Cash")</f>
        <v>0</v>
      </c>
      <c r="M206" s="11" t="n">
        <v>4500</v>
      </c>
    </row>
    <row r="207" customFormat="false" ht="15.75" hidden="false" customHeight="true" outlineLevel="0" collapsed="false">
      <c r="A207" s="37" t="n">
        <f aca="false">A206+1</f>
        <v>45861</v>
      </c>
      <c r="B207" s="38" t="n">
        <f aca="false">SUMIFS('Daily Transactions'!C:C,'Daily Transactions'!A:A,$A207,'Daily Transactions'!B:B,"Sales")</f>
        <v>24067</v>
      </c>
      <c r="C207" s="38" t="n">
        <f aca="false">SUMIFS('Daily Transactions'!C:C,'Daily Transactions'!A:A,$A207,'Daily Transactions'!B:B,"&lt;&gt;Sales")</f>
        <v>8255</v>
      </c>
      <c r="D207" s="38" t="n">
        <f aca="false">SUMIFS('Daily Transactions'!C:C,'Daily Transactions'!A:A,$A207,'Daily Transactions'!B:B,"&lt;&gt;Sales",'Daily Transactions'!D:D,"Cash")</f>
        <v>2130</v>
      </c>
      <c r="E207" s="38" t="n">
        <f aca="false">SUMIFS('Daily Transactions'!C:C,'Daily Transactions'!A:A,$A207,'Daily Transactions'!B:B,"&lt;&gt;Sales",'Daily Transactions'!D:D,"Bank_Cash")</f>
        <v>0</v>
      </c>
      <c r="F207" s="38" t="n">
        <f aca="false">SUMIFS('Daily Transactions'!C:C,'Daily Transactions'!A:A,$A207,'Daily Transactions'!B:B,"&lt;&gt;Sales",'Daily Transactions'!D:D,"Bank")</f>
        <v>6125</v>
      </c>
      <c r="G207" s="38" t="n">
        <f aca="false">B207-C207</f>
        <v>15812</v>
      </c>
      <c r="H207" s="38" t="n">
        <f aca="false">J206</f>
        <v>5600</v>
      </c>
      <c r="I207" s="38" t="n">
        <f aca="false">SUMIFS('Daily Transactions'!C:C,'Daily Transactions'!A:A,$A207,'Daily Transactions'!B:B,"Sales",'Daily Transactions'!D:D,"Cash")</f>
        <v>1850</v>
      </c>
      <c r="J207" s="38" t="n">
        <f aca="false">H207+I207-D207-E207</f>
        <v>5320</v>
      </c>
      <c r="K207" s="38"/>
      <c r="L207" s="38" t="n">
        <f aca="false">SUMIFS('Daily Transactions'!C:C,'Daily Transactions'!A:A,$A207,'Daily Transactions'!B:B,"Cash Shortage",'Daily Transactions'!D:D,"Cash")</f>
        <v>0</v>
      </c>
    </row>
    <row r="208" customFormat="false" ht="15.75" hidden="false" customHeight="true" outlineLevel="0" collapsed="false">
      <c r="A208" s="37" t="n">
        <f aca="false">A207+1</f>
        <v>45862</v>
      </c>
      <c r="B208" s="38" t="n">
        <f aca="false">SUMIFS('Daily Transactions'!C:C,'Daily Transactions'!A:A,$A208,'Daily Transactions'!B:B,"Sales")</f>
        <v>14789</v>
      </c>
      <c r="C208" s="38" t="n">
        <f aca="false">SUMIFS('Daily Transactions'!C:C,'Daily Transactions'!A:A,$A208,'Daily Transactions'!B:B,"&lt;&gt;Sales")</f>
        <v>13725</v>
      </c>
      <c r="D208" s="38" t="n">
        <f aca="false">SUMIFS('Daily Transactions'!C:C,'Daily Transactions'!A:A,$A208,'Daily Transactions'!B:B,"&lt;&gt;Sales",'Daily Transactions'!D:D,"Cash")</f>
        <v>170</v>
      </c>
      <c r="E208" s="38" t="n">
        <f aca="false">SUMIFS('Daily Transactions'!C:C,'Daily Transactions'!A:A,$A208,'Daily Transactions'!B:B,"&lt;&gt;Sales",'Daily Transactions'!D:D,"Bank_Cash")</f>
        <v>0</v>
      </c>
      <c r="F208" s="38" t="n">
        <f aca="false">SUMIFS('Daily Transactions'!C:C,'Daily Transactions'!A:A,$A208,'Daily Transactions'!B:B,"&lt;&gt;Sales",'Daily Transactions'!D:D,"Bank")</f>
        <v>13555</v>
      </c>
      <c r="G208" s="38" t="n">
        <f aca="false">B208-C208</f>
        <v>1064</v>
      </c>
      <c r="H208" s="38" t="n">
        <f aca="false">J207</f>
        <v>5320</v>
      </c>
      <c r="I208" s="38" t="n">
        <f aca="false">SUMIFS('Daily Transactions'!C:C,'Daily Transactions'!A:A,$A208,'Daily Transactions'!B:B,"Sales",'Daily Transactions'!D:D,"Cash")</f>
        <v>1050</v>
      </c>
      <c r="J208" s="38" t="n">
        <f aca="false">H208+I208-D208-E208</f>
        <v>6200</v>
      </c>
      <c r="K208" s="38"/>
      <c r="L208" s="38" t="n">
        <f aca="false">SUMIFS('Daily Transactions'!C:C,'Daily Transactions'!A:A,$A208,'Daily Transactions'!B:B,"Cash Shortage",'Daily Transactions'!D:D,"Cash")</f>
        <v>0</v>
      </c>
    </row>
    <row r="209" customFormat="false" ht="15.75" hidden="false" customHeight="true" outlineLevel="0" collapsed="false">
      <c r="A209" s="37" t="n">
        <f aca="false">A208+1</f>
        <v>45863</v>
      </c>
      <c r="B209" s="38" t="n">
        <f aca="false">SUMIFS('Daily Transactions'!C:C,'Daily Transactions'!A:A,$A209,'Daily Transactions'!B:B,"Sales")</f>
        <v>15490</v>
      </c>
      <c r="C209" s="38" t="n">
        <f aca="false">SUMIFS('Daily Transactions'!C:C,'Daily Transactions'!A:A,$A209,'Daily Transactions'!B:B,"&lt;&gt;Sales")</f>
        <v>13227</v>
      </c>
      <c r="D209" s="38" t="n">
        <f aca="false">SUMIFS('Daily Transactions'!C:C,'Daily Transactions'!A:A,$A209,'Daily Transactions'!B:B,"&lt;&gt;Sales",'Daily Transactions'!D:D,"Cash")</f>
        <v>55</v>
      </c>
      <c r="E209" s="38" t="n">
        <f aca="false">SUMIFS('Daily Transactions'!C:C,'Daily Transactions'!A:A,$A209,'Daily Transactions'!B:B,"&lt;&gt;Sales",'Daily Transactions'!D:D,"Bank_Cash")</f>
        <v>3350</v>
      </c>
      <c r="F209" s="38" t="n">
        <f aca="false">SUMIFS('Daily Transactions'!C:C,'Daily Transactions'!A:A,$A209,'Daily Transactions'!B:B,"&lt;&gt;Sales",'Daily Transactions'!D:D,"Bank")</f>
        <v>9822</v>
      </c>
      <c r="G209" s="38" t="n">
        <f aca="false">B209-C209</f>
        <v>2263</v>
      </c>
      <c r="H209" s="38" t="n">
        <f aca="false">J208</f>
        <v>6200</v>
      </c>
      <c r="I209" s="38" t="n">
        <f aca="false">SUMIFS('Daily Transactions'!C:C,'Daily Transactions'!A:A,$A209,'Daily Transactions'!B:B,"Sales",'Daily Transactions'!D:D,"Cash")</f>
        <v>1855</v>
      </c>
      <c r="J209" s="38" t="n">
        <f aca="false">H209+I209-D209-E209</f>
        <v>4650</v>
      </c>
      <c r="K209" s="38"/>
      <c r="L209" s="38" t="n">
        <f aca="false">SUMIFS('Daily Transactions'!C:C,'Daily Transactions'!A:A,$A209,'Daily Transactions'!B:B,"Cash Shortage",'Daily Transactions'!D:D,"Cash")</f>
        <v>0</v>
      </c>
    </row>
    <row r="210" customFormat="false" ht="15.75" hidden="false" customHeight="true" outlineLevel="0" collapsed="false">
      <c r="A210" s="37" t="n">
        <f aca="false">A209+1</f>
        <v>45864</v>
      </c>
      <c r="B210" s="38" t="n">
        <f aca="false">SUMIFS('Daily Transactions'!C:C,'Daily Transactions'!A:A,$A210,'Daily Transactions'!B:B,"Sales")</f>
        <v>21682</v>
      </c>
      <c r="C210" s="38" t="n">
        <f aca="false">SUMIFS('Daily Transactions'!C:C,'Daily Transactions'!A:A,$A210,'Daily Transactions'!B:B,"&lt;&gt;Sales")</f>
        <v>19627</v>
      </c>
      <c r="D210" s="38" t="n">
        <f aca="false">SUMIFS('Daily Transactions'!C:C,'Daily Transactions'!A:A,$A210,'Daily Transactions'!B:B,"&lt;&gt;Sales",'Daily Transactions'!D:D,"Cash")</f>
        <v>60</v>
      </c>
      <c r="E210" s="38" t="n">
        <f aca="false">SUMIFS('Daily Transactions'!C:C,'Daily Transactions'!A:A,$A210,'Daily Transactions'!B:B,"&lt;&gt;Sales",'Daily Transactions'!D:D,"Bank_Cash")</f>
        <v>500</v>
      </c>
      <c r="F210" s="38" t="n">
        <f aca="false">SUMIFS('Daily Transactions'!C:C,'Daily Transactions'!A:A,$A210,'Daily Transactions'!B:B,"&lt;&gt;Sales",'Daily Transactions'!D:D,"Bank")</f>
        <v>19067</v>
      </c>
      <c r="G210" s="38" t="n">
        <f aca="false">B210-C210</f>
        <v>2055</v>
      </c>
      <c r="H210" s="38" t="n">
        <f aca="false">J209</f>
        <v>4650</v>
      </c>
      <c r="I210" s="38" t="n">
        <f aca="false">SUMIFS('Daily Transactions'!C:C,'Daily Transactions'!A:A,$A210,'Daily Transactions'!B:B,"Sales",'Daily Transactions'!D:D,"Cash")</f>
        <v>2360</v>
      </c>
      <c r="J210" s="38" t="n">
        <f aca="false">H210+I210-D210-E210</f>
        <v>6450</v>
      </c>
      <c r="K210" s="38"/>
      <c r="L210" s="38" t="n">
        <f aca="false">SUMIFS('Daily Transactions'!C:C,'Daily Transactions'!A:A,$A210,'Daily Transactions'!B:B,"Cash Shortage",'Daily Transactions'!D:D,"Cash")</f>
        <v>0</v>
      </c>
    </row>
    <row r="211" customFormat="false" ht="15.75" hidden="false" customHeight="true" outlineLevel="0" collapsed="false">
      <c r="A211" s="37" t="n">
        <f aca="false">A210+1</f>
        <v>45865</v>
      </c>
      <c r="B211" s="38" t="n">
        <f aca="false">SUMIFS('Daily Transactions'!C:C,'Daily Transactions'!A:A,$A211,'Daily Transactions'!B:B,"Sales")</f>
        <v>15920</v>
      </c>
      <c r="C211" s="38" t="n">
        <f aca="false">SUMIFS('Daily Transactions'!C:C,'Daily Transactions'!A:A,$A211,'Daily Transactions'!B:B,"&lt;&gt;Sales")</f>
        <v>7647</v>
      </c>
      <c r="D211" s="38" t="n">
        <f aca="false">SUMIFS('Daily Transactions'!C:C,'Daily Transactions'!A:A,$A211,'Daily Transactions'!B:B,"&lt;&gt;Sales",'Daily Transactions'!D:D,"Cash")</f>
        <v>110</v>
      </c>
      <c r="E211" s="38" t="n">
        <f aca="false">SUMIFS('Daily Transactions'!C:C,'Daily Transactions'!A:A,$A211,'Daily Transactions'!B:B,"&lt;&gt;Sales",'Daily Transactions'!D:D,"Bank_Cash")</f>
        <v>1505</v>
      </c>
      <c r="F211" s="38" t="n">
        <f aca="false">SUMIFS('Daily Transactions'!C:C,'Daily Transactions'!A:A,$A211,'Daily Transactions'!B:B,"&lt;&gt;Sales",'Daily Transactions'!D:D,"Bank")</f>
        <v>6032</v>
      </c>
      <c r="G211" s="38" t="n">
        <f aca="false">B211-C211</f>
        <v>8273</v>
      </c>
      <c r="H211" s="38" t="n">
        <f aca="false">J210</f>
        <v>6450</v>
      </c>
      <c r="I211" s="38" t="n">
        <f aca="false">SUMIFS('Daily Transactions'!C:C,'Daily Transactions'!A:A,$A211,'Daily Transactions'!B:B,"Sales",'Daily Transactions'!D:D,"Cash")</f>
        <v>3865</v>
      </c>
      <c r="J211" s="38" t="n">
        <f aca="false">H211+I211-D211-E211</f>
        <v>8700</v>
      </c>
      <c r="K211" s="38"/>
      <c r="L211" s="38" t="n">
        <f aca="false">SUMIFS('Daily Transactions'!C:C,'Daily Transactions'!A:A,$A211,'Daily Transactions'!B:B,"Cash Shortage",'Daily Transactions'!D:D,"Cash")</f>
        <v>0</v>
      </c>
    </row>
    <row r="212" customFormat="false" ht="15.75" hidden="false" customHeight="true" outlineLevel="0" collapsed="false">
      <c r="A212" s="37" t="n">
        <f aca="false">A211+1</f>
        <v>45866</v>
      </c>
      <c r="B212" s="38" t="n">
        <f aca="false">SUMIFS('Daily Transactions'!C:C,'Daily Transactions'!A:A,$A212,'Daily Transactions'!B:B,"Sales")</f>
        <v>13269</v>
      </c>
      <c r="C212" s="38" t="n">
        <f aca="false">SUMIFS('Daily Transactions'!C:C,'Daily Transactions'!A:A,$A212,'Daily Transactions'!B:B,"&lt;&gt;Sales")</f>
        <v>7638</v>
      </c>
      <c r="D212" s="38" t="n">
        <f aca="false">SUMIFS('Daily Transactions'!C:C,'Daily Transactions'!A:A,$A212,'Daily Transactions'!B:B,"&lt;&gt;Sales",'Daily Transactions'!D:D,"Cash")</f>
        <v>90</v>
      </c>
      <c r="E212" s="38" t="n">
        <f aca="false">SUMIFS('Daily Transactions'!C:C,'Daily Transactions'!A:A,$A212,'Daily Transactions'!B:B,"&lt;&gt;Sales",'Daily Transactions'!D:D,"Bank_Cash")</f>
        <v>2030</v>
      </c>
      <c r="F212" s="38" t="n">
        <f aca="false">SUMIFS('Daily Transactions'!C:C,'Daily Transactions'!A:A,$A212,'Daily Transactions'!B:B,"&lt;&gt;Sales",'Daily Transactions'!D:D,"Bank")</f>
        <v>5518</v>
      </c>
      <c r="G212" s="38" t="n">
        <f aca="false">B212-C212</f>
        <v>5631</v>
      </c>
      <c r="H212" s="38" t="n">
        <f aca="false">J211</f>
        <v>8700</v>
      </c>
      <c r="I212" s="38" t="n">
        <f aca="false">SUMIFS('Daily Transactions'!C:C,'Daily Transactions'!A:A,$A212,'Daily Transactions'!B:B,"Sales",'Daily Transactions'!D:D,"Cash")</f>
        <v>1720</v>
      </c>
      <c r="J212" s="38" t="n">
        <f aca="false">H212+I212-D212-E212</f>
        <v>8300</v>
      </c>
      <c r="K212" s="38"/>
      <c r="L212" s="38" t="n">
        <f aca="false">SUMIFS('Daily Transactions'!C:C,'Daily Transactions'!A:A,$A212,'Daily Transactions'!B:B,"Cash Shortage",'Daily Transactions'!D:D,"Cash")</f>
        <v>0</v>
      </c>
    </row>
    <row r="213" customFormat="false" ht="15.75" hidden="false" customHeight="true" outlineLevel="0" collapsed="false">
      <c r="A213" s="37" t="n">
        <f aca="false">A212+1</f>
        <v>45867</v>
      </c>
      <c r="B213" s="38" t="n">
        <f aca="false">SUMIFS('Daily Transactions'!C:C,'Daily Transactions'!A:A,$A213,'Daily Transactions'!B:B,"Sales")</f>
        <v>8195</v>
      </c>
      <c r="C213" s="38" t="n">
        <f aca="false">SUMIFS('Daily Transactions'!C:C,'Daily Transactions'!A:A,$A213,'Daily Transactions'!B:B,"&lt;&gt;Sales")</f>
        <v>6315</v>
      </c>
      <c r="D213" s="38" t="n">
        <f aca="false">SUMIFS('Daily Transactions'!C:C,'Daily Transactions'!A:A,$A213,'Daily Transactions'!B:B,"&lt;&gt;Sales",'Daily Transactions'!D:D,"Cash")</f>
        <v>30</v>
      </c>
      <c r="E213" s="38" t="n">
        <f aca="false">SUMIFS('Daily Transactions'!C:C,'Daily Transactions'!A:A,$A213,'Daily Transactions'!B:B,"&lt;&gt;Sales",'Daily Transactions'!D:D,"Bank_Cash")</f>
        <v>810</v>
      </c>
      <c r="F213" s="38" t="n">
        <f aca="false">SUMIFS('Daily Transactions'!C:C,'Daily Transactions'!A:A,$A213,'Daily Transactions'!B:B,"&lt;&gt;Sales",'Daily Transactions'!D:D,"Bank")</f>
        <v>5475</v>
      </c>
      <c r="G213" s="38" t="n">
        <f aca="false">B213-C213</f>
        <v>1880</v>
      </c>
      <c r="H213" s="38" t="n">
        <f aca="false">J212</f>
        <v>8300</v>
      </c>
      <c r="I213" s="38" t="n">
        <f aca="false">SUMIFS('Daily Transactions'!C:C,'Daily Transactions'!A:A,$A213,'Daily Transactions'!B:B,"Sales",'Daily Transactions'!D:D,"Cash")</f>
        <v>940</v>
      </c>
      <c r="J213" s="38" t="n">
        <f aca="false">H213+I213-D213-E213</f>
        <v>8400</v>
      </c>
      <c r="K213" s="38"/>
      <c r="L213" s="38" t="n">
        <f aca="false">SUMIFS('Daily Transactions'!C:C,'Daily Transactions'!A:A,$A213,'Daily Transactions'!B:B,"Cash Shortage",'Daily Transactions'!D:D,"Cash")</f>
        <v>0</v>
      </c>
    </row>
    <row r="214" customFormat="false" ht="15.75" hidden="false" customHeight="true" outlineLevel="0" collapsed="false">
      <c r="A214" s="37" t="n">
        <f aca="false">A213+1</f>
        <v>45868</v>
      </c>
      <c r="B214" s="38" t="n">
        <f aca="false">SUMIFS('Daily Transactions'!C:C,'Daily Transactions'!A:A,$A214,'Daily Transactions'!B:B,"Sales")</f>
        <v>14556</v>
      </c>
      <c r="C214" s="38" t="n">
        <f aca="false">SUMIFS('Daily Transactions'!C:C,'Daily Transactions'!A:A,$A214,'Daily Transactions'!B:B,"&lt;&gt;Sales")</f>
        <v>4865</v>
      </c>
      <c r="D214" s="38" t="n">
        <f aca="false">SUMIFS('Daily Transactions'!C:C,'Daily Transactions'!A:A,$A214,'Daily Transactions'!B:B,"&lt;&gt;Sales",'Daily Transactions'!D:D,"Cash")</f>
        <v>69</v>
      </c>
      <c r="E214" s="38" t="n">
        <f aca="false">SUMIFS('Daily Transactions'!C:C,'Daily Transactions'!A:A,$A214,'Daily Transactions'!B:B,"&lt;&gt;Sales",'Daily Transactions'!D:D,"Bank_Cash")</f>
        <v>2920</v>
      </c>
      <c r="F214" s="38" t="n">
        <f aca="false">SUMIFS('Daily Transactions'!C:C,'Daily Transactions'!A:A,$A214,'Daily Transactions'!B:B,"&lt;&gt;Sales",'Daily Transactions'!D:D,"Bank")</f>
        <v>1876</v>
      </c>
      <c r="G214" s="38" t="n">
        <f aca="false">B214-C214</f>
        <v>9691</v>
      </c>
      <c r="H214" s="38" t="n">
        <f aca="false">J213</f>
        <v>8400</v>
      </c>
      <c r="I214" s="38" t="n">
        <f aca="false">SUMIFS('Daily Transactions'!C:C,'Daily Transactions'!A:A,$A214,'Daily Transactions'!B:B,"Sales",'Daily Transactions'!D:D,"Cash")</f>
        <v>3789</v>
      </c>
      <c r="J214" s="38" t="n">
        <f aca="false">H214+I214-D214-E214</f>
        <v>9200</v>
      </c>
      <c r="K214" s="38"/>
      <c r="L214" s="38" t="n">
        <f aca="false">SUMIFS('Daily Transactions'!C:C,'Daily Transactions'!A:A,$A214,'Daily Transactions'!B:B,"Cash Shortage",'Daily Transactions'!D:D,"Cash")</f>
        <v>0</v>
      </c>
    </row>
    <row r="215" customFormat="false" ht="15.75" hidden="false" customHeight="true" outlineLevel="0" collapsed="false">
      <c r="A215" s="37" t="n">
        <f aca="false">A214+1</f>
        <v>45869</v>
      </c>
      <c r="B215" s="38" t="n">
        <f aca="false">SUMIFS('Daily Transactions'!C:C,'Daily Transactions'!A:A,$A215,'Daily Transactions'!B:B,"Sales")</f>
        <v>18448</v>
      </c>
      <c r="C215" s="38" t="n">
        <f aca="false">SUMIFS('Daily Transactions'!C:C,'Daily Transactions'!A:A,$A215,'Daily Transactions'!B:B,"&lt;&gt;Sales")</f>
        <v>6462</v>
      </c>
      <c r="D215" s="38" t="n">
        <f aca="false">SUMIFS('Daily Transactions'!C:C,'Daily Transactions'!A:A,$A215,'Daily Transactions'!B:B,"&lt;&gt;Sales",'Daily Transactions'!D:D,"Cash")</f>
        <v>69</v>
      </c>
      <c r="E215" s="38" t="n">
        <f aca="false">SUMIFS('Daily Transactions'!C:C,'Daily Transactions'!A:A,$A215,'Daily Transactions'!B:B,"&lt;&gt;Sales",'Daily Transactions'!D:D,"Bank_Cash")</f>
        <v>2780</v>
      </c>
      <c r="F215" s="38" t="n">
        <f aca="false">SUMIFS('Daily Transactions'!C:C,'Daily Transactions'!A:A,$A215,'Daily Transactions'!B:B,"&lt;&gt;Sales",'Daily Transactions'!D:D,"Bank")</f>
        <v>3613</v>
      </c>
      <c r="G215" s="38" t="n">
        <f aca="false">B215-C215</f>
        <v>11986</v>
      </c>
      <c r="H215" s="38" t="n">
        <f aca="false">J214</f>
        <v>9200</v>
      </c>
      <c r="I215" s="38" t="n">
        <f aca="false">SUMIFS('Daily Transactions'!C:C,'Daily Transactions'!A:A,$A215,'Daily Transactions'!B:B,"Sales",'Daily Transactions'!D:D,"Cash")</f>
        <v>1949</v>
      </c>
      <c r="J215" s="38" t="n">
        <f aca="false">H215+I215-D215-E215</f>
        <v>8300</v>
      </c>
      <c r="K215" s="38"/>
      <c r="L215" s="38" t="n">
        <f aca="false">SUMIFS('Daily Transactions'!C:C,'Daily Transactions'!A:A,$A215,'Daily Transactions'!B:B,"Cash Shortage",'Daily Transactions'!D:D,"Cash")</f>
        <v>0</v>
      </c>
    </row>
    <row r="216" customFormat="false" ht="15.75" hidden="false" customHeight="true" outlineLevel="0" collapsed="false">
      <c r="A216" s="37" t="n">
        <f aca="false">A215+1</f>
        <v>45870</v>
      </c>
      <c r="B216" s="38" t="n">
        <f aca="false">SUMIFS('Daily Transactions'!C:C,'Daily Transactions'!A:A,$A216,'Daily Transactions'!B:B,"Sales")</f>
        <v>19092</v>
      </c>
      <c r="C216" s="38" t="n">
        <f aca="false">SUMIFS('Daily Transactions'!C:C,'Daily Transactions'!A:A,$A216,'Daily Transactions'!B:B,"&lt;&gt;Sales")</f>
        <v>18652</v>
      </c>
      <c r="D216" s="38" t="n">
        <f aca="false">SUMIFS('Daily Transactions'!C:C,'Daily Transactions'!A:A,$A216,'Daily Transactions'!B:B,"&lt;&gt;Sales",'Daily Transactions'!D:D,"Cash")</f>
        <v>120</v>
      </c>
      <c r="E216" s="38" t="n">
        <f aca="false">SUMIFS('Daily Transactions'!C:C,'Daily Transactions'!A:A,$A216,'Daily Transactions'!B:B,"&lt;&gt;Sales",'Daily Transactions'!D:D,"Bank_Cash")</f>
        <v>710</v>
      </c>
      <c r="F216" s="38" t="n">
        <f aca="false">SUMIFS('Daily Transactions'!C:C,'Daily Transactions'!A:A,$A216,'Daily Transactions'!B:B,"&lt;&gt;Sales",'Daily Transactions'!D:D,"Bank")</f>
        <v>17822</v>
      </c>
      <c r="G216" s="38" t="n">
        <f aca="false">B216-C216</f>
        <v>440</v>
      </c>
      <c r="H216" s="38" t="n">
        <f aca="false">J215</f>
        <v>8300</v>
      </c>
      <c r="I216" s="38" t="n">
        <f aca="false">SUMIFS('Daily Transactions'!C:C,'Daily Transactions'!A:A,$A216,'Daily Transactions'!B:B,"Sales",'Daily Transactions'!D:D,"Cash")</f>
        <v>1880</v>
      </c>
      <c r="J216" s="38" t="n">
        <f aca="false">H216+I216-D216-E216</f>
        <v>9350</v>
      </c>
      <c r="K216" s="38"/>
      <c r="L216" s="38" t="n">
        <f aca="false">SUMIFS('Daily Transactions'!C:C,'Daily Transactions'!A:A,$A216,'Daily Transactions'!B:B,"Cash Shortage",'Daily Transactions'!D:D,"Cash")</f>
        <v>0</v>
      </c>
    </row>
    <row r="217" customFormat="false" ht="15.75" hidden="false" customHeight="true" outlineLevel="0" collapsed="false">
      <c r="A217" s="37" t="n">
        <f aca="false">A216+1</f>
        <v>45871</v>
      </c>
      <c r="B217" s="38" t="n">
        <f aca="false">SUMIFS('Daily Transactions'!C:C,'Daily Transactions'!A:A,$A217,'Daily Transactions'!B:B,"Sales")</f>
        <v>20005</v>
      </c>
      <c r="C217" s="38" t="n">
        <f aca="false">SUMIFS('Daily Transactions'!C:C,'Daily Transactions'!A:A,$A217,'Daily Transactions'!B:B,"&lt;&gt;Sales")</f>
        <v>13416</v>
      </c>
      <c r="D217" s="38" t="n">
        <f aca="false">SUMIFS('Daily Transactions'!C:C,'Daily Transactions'!A:A,$A217,'Daily Transactions'!B:B,"&lt;&gt;Sales",'Daily Transactions'!D:D,"Cash")</f>
        <v>275</v>
      </c>
      <c r="E217" s="38" t="n">
        <f aca="false">SUMIFS('Daily Transactions'!C:C,'Daily Transactions'!A:A,$A217,'Daily Transactions'!B:B,"&lt;&gt;Sales",'Daily Transactions'!D:D,"Bank_Cash")</f>
        <v>2000</v>
      </c>
      <c r="F217" s="38" t="n">
        <f aca="false">SUMIFS('Daily Transactions'!C:C,'Daily Transactions'!A:A,$A217,'Daily Transactions'!B:B,"&lt;&gt;Sales",'Daily Transactions'!D:D,"Bank")</f>
        <v>11141</v>
      </c>
      <c r="G217" s="38" t="n">
        <f aca="false">B217-C217</f>
        <v>6589</v>
      </c>
      <c r="H217" s="38" t="n">
        <f aca="false">J216</f>
        <v>9350</v>
      </c>
      <c r="I217" s="38" t="n">
        <f aca="false">SUMIFS('Daily Transactions'!C:C,'Daily Transactions'!A:A,$A217,'Daily Transactions'!B:B,"Sales",'Daily Transactions'!D:D,"Cash")</f>
        <v>2675</v>
      </c>
      <c r="J217" s="38" t="n">
        <f aca="false">H217+I217-D217-E217</f>
        <v>9750</v>
      </c>
      <c r="K217" s="38"/>
      <c r="L217" s="38" t="n">
        <f aca="false">SUMIFS('Daily Transactions'!C:C,'Daily Transactions'!A:A,$A217,'Daily Transactions'!B:B,"Cash Shortage",'Daily Transactions'!D:D,"Cash")</f>
        <v>0</v>
      </c>
    </row>
    <row r="218" customFormat="false" ht="15.75" hidden="false" customHeight="true" outlineLevel="0" collapsed="false">
      <c r="A218" s="37" t="n">
        <f aca="false">A217+1</f>
        <v>45872</v>
      </c>
      <c r="B218" s="38" t="n">
        <f aca="false">SUMIFS('Daily Transactions'!C:C,'Daily Transactions'!A:A,$A218,'Daily Transactions'!B:B,"Sales")</f>
        <v>29422</v>
      </c>
      <c r="C218" s="38" t="n">
        <f aca="false">SUMIFS('Daily Transactions'!C:C,'Daily Transactions'!A:A,$A218,'Daily Transactions'!B:B,"&lt;&gt;Sales")</f>
        <v>16277</v>
      </c>
      <c r="D218" s="38" t="n">
        <f aca="false">SUMIFS('Daily Transactions'!C:C,'Daily Transactions'!A:A,$A218,'Daily Transactions'!B:B,"&lt;&gt;Sales",'Daily Transactions'!D:D,"Cash")</f>
        <v>4320</v>
      </c>
      <c r="E218" s="38" t="n">
        <f aca="false">SUMIFS('Daily Transactions'!C:C,'Daily Transactions'!A:A,$A218,'Daily Transactions'!B:B,"&lt;&gt;Sales",'Daily Transactions'!D:D,"Bank_Cash")</f>
        <v>0</v>
      </c>
      <c r="F218" s="38" t="n">
        <f aca="false">SUMIFS('Daily Transactions'!C:C,'Daily Transactions'!A:A,$A218,'Daily Transactions'!B:B,"&lt;&gt;Sales",'Daily Transactions'!D:D,"Bank")</f>
        <v>11957</v>
      </c>
      <c r="G218" s="38" t="n">
        <f aca="false">B218-C218</f>
        <v>13145</v>
      </c>
      <c r="H218" s="38" t="n">
        <f aca="false">J217</f>
        <v>9750</v>
      </c>
      <c r="I218" s="38" t="n">
        <f aca="false">SUMIFS('Daily Transactions'!C:C,'Daily Transactions'!A:A,$A218,'Daily Transactions'!B:B,"Sales",'Daily Transactions'!D:D,"Cash")</f>
        <v>3559</v>
      </c>
      <c r="J218" s="38" t="n">
        <f aca="false">H218+I218-D218-E218</f>
        <v>8989</v>
      </c>
      <c r="K218" s="38"/>
      <c r="L218" s="38" t="n">
        <f aca="false">SUMIFS('Daily Transactions'!C:C,'Daily Transactions'!A:A,$A218,'Daily Transactions'!B:B,"Cash Shortage",'Daily Transactions'!D:D,"Cash")</f>
        <v>0</v>
      </c>
      <c r="M218" s="11" t="s">
        <v>733</v>
      </c>
      <c r="N218" s="11" t="n">
        <v>1070</v>
      </c>
      <c r="O218" s="11" t="s">
        <v>734</v>
      </c>
      <c r="P218" s="11" t="n">
        <f aca="false">2950+3800</f>
        <v>6750</v>
      </c>
    </row>
    <row r="219" customFormat="false" ht="15.75" hidden="false" customHeight="true" outlineLevel="0" collapsed="false">
      <c r="A219" s="37" t="n">
        <f aca="false">A218+1</f>
        <v>45873</v>
      </c>
      <c r="B219" s="38" t="n">
        <f aca="false">SUMIFS('Daily Transactions'!C:C,'Daily Transactions'!A:A,$A219,'Daily Transactions'!B:B,"Sales")</f>
        <v>10791</v>
      </c>
      <c r="C219" s="38" t="n">
        <f aca="false">SUMIFS('Daily Transactions'!C:C,'Daily Transactions'!A:A,$A219,'Daily Transactions'!B:B,"&lt;&gt;Sales")</f>
        <v>14857</v>
      </c>
      <c r="D219" s="38" t="n">
        <f aca="false">SUMIFS('Daily Transactions'!C:C,'Daily Transactions'!A:A,$A219,'Daily Transactions'!B:B,"&lt;&gt;Sales",'Daily Transactions'!D:D,"Cash")</f>
        <v>1725</v>
      </c>
      <c r="E219" s="38" t="n">
        <f aca="false">SUMIFS('Daily Transactions'!C:C,'Daily Transactions'!A:A,$A219,'Daily Transactions'!B:B,"&lt;&gt;Sales",'Daily Transactions'!D:D,"Bank_Cash")</f>
        <v>2600</v>
      </c>
      <c r="F219" s="38" t="n">
        <f aca="false">SUMIFS('Daily Transactions'!C:C,'Daily Transactions'!A:A,$A219,'Daily Transactions'!B:B,"&lt;&gt;Sales",'Daily Transactions'!D:D,"Bank")</f>
        <v>10532</v>
      </c>
      <c r="G219" s="38" t="n">
        <f aca="false">B219-C219</f>
        <v>-4066</v>
      </c>
      <c r="H219" s="38" t="n">
        <f aca="false">J218</f>
        <v>8989</v>
      </c>
      <c r="I219" s="38" t="n">
        <f aca="false">SUMIFS('Daily Transactions'!C:C,'Daily Transactions'!A:A,$A219,'Daily Transactions'!B:B,"Sales",'Daily Transactions'!D:D,"Cash")</f>
        <v>4025</v>
      </c>
      <c r="J219" s="38" t="n">
        <f aca="false">H219+I219-D219-E219</f>
        <v>8689</v>
      </c>
      <c r="K219" s="38"/>
      <c r="L219" s="38" t="n">
        <f aca="false">SUMIFS('Daily Transactions'!C:C,'Daily Transactions'!A:A,$A219,'Daily Transactions'!B:B,"Cash Shortage",'Daily Transactions'!D:D,"Cash")</f>
        <v>0</v>
      </c>
      <c r="M219" s="11" t="s">
        <v>733</v>
      </c>
      <c r="N219" s="11" t="n">
        <v>1030</v>
      </c>
      <c r="O219" s="11" t="s">
        <v>734</v>
      </c>
      <c r="P219" s="11" t="n">
        <v>1700</v>
      </c>
    </row>
    <row r="220" customFormat="false" ht="15.75" hidden="false" customHeight="true" outlineLevel="0" collapsed="false">
      <c r="A220" s="37" t="n">
        <f aca="false">A219+1</f>
        <v>45874</v>
      </c>
      <c r="B220" s="38" t="n">
        <f aca="false">SUMIFS('Daily Transactions'!C:C,'Daily Transactions'!A:A,$A220,'Daily Transactions'!B:B,"Sales")</f>
        <v>15968</v>
      </c>
      <c r="C220" s="38" t="n">
        <f aca="false">SUMIFS('Daily Transactions'!C:C,'Daily Transactions'!A:A,$A220,'Daily Transactions'!B:B,"&lt;&gt;Sales")</f>
        <v>400</v>
      </c>
      <c r="D220" s="38" t="n">
        <f aca="false">SUMIFS('Daily Transactions'!C:C,'Daily Transactions'!A:A,$A220,'Daily Transactions'!B:B,"&lt;&gt;Sales",'Daily Transactions'!D:D,"Cash")</f>
        <v>0</v>
      </c>
      <c r="E220" s="38" t="n">
        <f aca="false">SUMIFS('Daily Transactions'!C:C,'Daily Transactions'!A:A,$A220,'Daily Transactions'!B:B,"&lt;&gt;Sales",'Daily Transactions'!D:D,"Bank_Cash")</f>
        <v>0</v>
      </c>
      <c r="F220" s="38" t="n">
        <f aca="false">SUMIFS('Daily Transactions'!C:C,'Daily Transactions'!A:A,$A220,'Daily Transactions'!B:B,"&lt;&gt;Sales",'Daily Transactions'!D:D,"Bank")</f>
        <v>400</v>
      </c>
      <c r="G220" s="38" t="n">
        <f aca="false">B220-C220</f>
        <v>15568</v>
      </c>
      <c r="H220" s="38" t="n">
        <f aca="false">J219</f>
        <v>8689</v>
      </c>
      <c r="I220" s="38" t="n">
        <f aca="false">SUMIFS('Daily Transactions'!C:C,'Daily Transactions'!A:A,$A220,'Daily Transactions'!B:B,"Sales",'Daily Transactions'!D:D,"Cash")</f>
        <v>3035</v>
      </c>
      <c r="J220" s="38" t="n">
        <f aca="false">H220+I220-D220-E220</f>
        <v>11724</v>
      </c>
      <c r="K220" s="38"/>
      <c r="L220" s="38" t="n">
        <f aca="false">SUMIFS('Daily Transactions'!C:C,'Daily Transactions'!A:A,$A220,'Daily Transactions'!B:B,"Cash Shortage",'Daily Transactions'!D:D,"Cash")</f>
        <v>0</v>
      </c>
    </row>
    <row r="221" customFormat="false" ht="15.75" hidden="false" customHeight="true" outlineLevel="0" collapsed="false">
      <c r="A221" s="37" t="n">
        <f aca="false">A220+1</f>
        <v>45875</v>
      </c>
      <c r="B221" s="38" t="n">
        <f aca="false">SUMIFS('Daily Transactions'!C:C,'Daily Transactions'!A:A,$A221,'Daily Transactions'!B:B,"Sales")</f>
        <v>10684</v>
      </c>
      <c r="C221" s="38" t="n">
        <f aca="false">SUMIFS('Daily Transactions'!C:C,'Daily Transactions'!A:A,$A221,'Daily Transactions'!B:B,"&lt;&gt;Sales")</f>
        <v>8521</v>
      </c>
      <c r="D221" s="38" t="n">
        <f aca="false">SUMIFS('Daily Transactions'!C:C,'Daily Transactions'!A:A,$A221,'Daily Transactions'!B:B,"&lt;&gt;Sales",'Daily Transactions'!D:D,"Cash")</f>
        <v>622</v>
      </c>
      <c r="E221" s="38" t="n">
        <f aca="false">SUMIFS('Daily Transactions'!C:C,'Daily Transactions'!A:A,$A221,'Daily Transactions'!B:B,"&lt;&gt;Sales",'Daily Transactions'!D:D,"Bank_Cash")</f>
        <v>2200</v>
      </c>
      <c r="F221" s="38" t="n">
        <f aca="false">SUMIFS('Daily Transactions'!C:C,'Daily Transactions'!A:A,$A221,'Daily Transactions'!B:B,"&lt;&gt;Sales",'Daily Transactions'!D:D,"Bank")</f>
        <v>5699</v>
      </c>
      <c r="G221" s="38" t="n">
        <f aca="false">B221-C221</f>
        <v>2163</v>
      </c>
      <c r="H221" s="38" t="n">
        <f aca="false">J220</f>
        <v>11724</v>
      </c>
      <c r="I221" s="38" t="n">
        <f aca="false">SUMIFS('Daily Transactions'!C:C,'Daily Transactions'!A:A,$A221,'Daily Transactions'!B:B,"Sales",'Daily Transactions'!D:D,"Cash")</f>
        <v>1825</v>
      </c>
      <c r="J221" s="38" t="n">
        <f aca="false">H221+I221-D221-E221</f>
        <v>10727</v>
      </c>
      <c r="K221" s="38"/>
      <c r="L221" s="38" t="n">
        <f aca="false">SUMIFS('Daily Transactions'!C:C,'Daily Transactions'!A:A,$A221,'Daily Transactions'!B:B,"Cash Shortage",'Daily Transactions'!D:D,"Cash")</f>
        <v>0</v>
      </c>
    </row>
    <row r="222" customFormat="false" ht="15.75" hidden="false" customHeight="true" outlineLevel="0" collapsed="false">
      <c r="A222" s="37" t="n">
        <f aca="false">A221+1</f>
        <v>45876</v>
      </c>
      <c r="B222" s="38" t="n">
        <f aca="false">SUMIFS('Daily Transactions'!C:C,'Daily Transactions'!A:A,$A222,'Daily Transactions'!B:B,"Sales")</f>
        <v>22687</v>
      </c>
      <c r="C222" s="38" t="n">
        <f aca="false">SUMIFS('Daily Transactions'!C:C,'Daily Transactions'!A:A,$A222,'Daily Transactions'!B:B,"&lt;&gt;Sales")</f>
        <v>993</v>
      </c>
      <c r="D222" s="38" t="n">
        <f aca="false">SUMIFS('Daily Transactions'!C:C,'Daily Transactions'!A:A,$A222,'Daily Transactions'!B:B,"&lt;&gt;Sales",'Daily Transactions'!D:D,"Cash")</f>
        <v>0</v>
      </c>
      <c r="E222" s="38" t="n">
        <f aca="false">SUMIFS('Daily Transactions'!C:C,'Daily Transactions'!A:A,$A222,'Daily Transactions'!B:B,"&lt;&gt;Sales",'Daily Transactions'!D:D,"Bank_Cash")</f>
        <v>0</v>
      </c>
      <c r="F222" s="38" t="n">
        <f aca="false">SUMIFS('Daily Transactions'!C:C,'Daily Transactions'!A:A,$A222,'Daily Transactions'!B:B,"&lt;&gt;Sales",'Daily Transactions'!D:D,"Bank")</f>
        <v>993</v>
      </c>
      <c r="G222" s="38" t="n">
        <f aca="false">B222-C222</f>
        <v>21694</v>
      </c>
      <c r="H222" s="38" t="n">
        <f aca="false">J221</f>
        <v>10727</v>
      </c>
      <c r="I222" s="38" t="n">
        <f aca="false">SUMIFS('Daily Transactions'!C:C,'Daily Transactions'!A:A,$A222,'Daily Transactions'!B:B,"Sales",'Daily Transactions'!D:D,"Cash")</f>
        <v>4147</v>
      </c>
      <c r="J222" s="38" t="n">
        <f aca="false">H222+I222-D222-E222</f>
        <v>14874</v>
      </c>
      <c r="K222" s="38"/>
      <c r="L222" s="38" t="n">
        <f aca="false">SUMIFS('Daily Transactions'!C:C,'Daily Transactions'!A:A,$A222,'Daily Transactions'!B:B,"Cash Shortage",'Daily Transactions'!D:D,"Cash")</f>
        <v>0</v>
      </c>
    </row>
    <row r="223" customFormat="false" ht="15.75" hidden="false" customHeight="true" outlineLevel="0" collapsed="false">
      <c r="A223" s="37" t="n">
        <f aca="false">A222+1</f>
        <v>45877</v>
      </c>
      <c r="B223" s="38" t="n">
        <f aca="false">SUMIFS('Daily Transactions'!C:C,'Daily Transactions'!A:A,$A223,'Daily Transactions'!B:B,"Sales")</f>
        <v>19692</v>
      </c>
      <c r="C223" s="38" t="n">
        <f aca="false">SUMIFS('Daily Transactions'!C:C,'Daily Transactions'!A:A,$A223,'Daily Transactions'!B:B,"&lt;&gt;Sales")</f>
        <v>22198</v>
      </c>
      <c r="D223" s="38" t="n">
        <f aca="false">SUMIFS('Daily Transactions'!C:C,'Daily Transactions'!A:A,$A223,'Daily Transactions'!B:B,"&lt;&gt;Sales",'Daily Transactions'!D:D,"Cash")</f>
        <v>0</v>
      </c>
      <c r="E223" s="38" t="n">
        <f aca="false">SUMIFS('Daily Transactions'!C:C,'Daily Transactions'!A:A,$A223,'Daily Transactions'!B:B,"&lt;&gt;Sales",'Daily Transactions'!D:D,"Bank_Cash")</f>
        <v>5075</v>
      </c>
      <c r="F223" s="38" t="n">
        <f aca="false">SUMIFS('Daily Transactions'!C:C,'Daily Transactions'!A:A,$A223,'Daily Transactions'!B:B,"&lt;&gt;Sales",'Daily Transactions'!D:D,"Bank")</f>
        <v>17123</v>
      </c>
      <c r="G223" s="38" t="n">
        <f aca="false">B223-C223</f>
        <v>-2506</v>
      </c>
      <c r="H223" s="38" t="n">
        <f aca="false">J222</f>
        <v>14874</v>
      </c>
      <c r="I223" s="38" t="n">
        <f aca="false">SUMIFS('Daily Transactions'!C:C,'Daily Transactions'!A:A,$A223,'Daily Transactions'!B:B,"Sales",'Daily Transactions'!D:D,"Cash")</f>
        <v>1180</v>
      </c>
      <c r="J223" s="38" t="n">
        <f aca="false">H223+I223-D223-E223</f>
        <v>10979</v>
      </c>
      <c r="K223" s="38"/>
      <c r="L223" s="38" t="n">
        <f aca="false">SUMIFS('Daily Transactions'!C:C,'Daily Transactions'!A:A,$A223,'Daily Transactions'!B:B,"Cash Shortage",'Daily Transactions'!D:D,"Cash")</f>
        <v>0</v>
      </c>
      <c r="N223" s="11" t="n">
        <v>3900</v>
      </c>
      <c r="P223" s="11" t="n">
        <v>3265</v>
      </c>
      <c r="U223" s="11" t="n">
        <v>1600</v>
      </c>
    </row>
    <row r="224" customFormat="false" ht="15.75" hidden="false" customHeight="true" outlineLevel="0" collapsed="false">
      <c r="A224" s="37" t="n">
        <f aca="false">A223+1</f>
        <v>45878</v>
      </c>
      <c r="B224" s="38" t="n">
        <f aca="false">SUMIFS('Daily Transactions'!C:C,'Daily Transactions'!A:A,$A224,'Daily Transactions'!B:B,"Sales")</f>
        <v>16217</v>
      </c>
      <c r="C224" s="38" t="n">
        <f aca="false">SUMIFS('Daily Transactions'!C:C,'Daily Transactions'!A:A,$A224,'Daily Transactions'!B:B,"&lt;&gt;Sales")</f>
        <v>32195</v>
      </c>
      <c r="D224" s="38" t="n">
        <f aca="false">SUMIFS('Daily Transactions'!C:C,'Daily Transactions'!A:A,$A224,'Daily Transactions'!B:B,"&lt;&gt;Sales",'Daily Transactions'!D:D,"Cash")</f>
        <v>2187</v>
      </c>
      <c r="E224" s="38" t="n">
        <f aca="false">SUMIFS('Daily Transactions'!C:C,'Daily Transactions'!A:A,$A224,'Daily Transactions'!B:B,"&lt;&gt;Sales",'Daily Transactions'!D:D,"Bank_Cash")</f>
        <v>0</v>
      </c>
      <c r="F224" s="38" t="n">
        <f aca="false">SUMIFS('Daily Transactions'!C:C,'Daily Transactions'!A:A,$A224,'Daily Transactions'!B:B,"&lt;&gt;Sales",'Daily Transactions'!D:D,"Bank")</f>
        <v>30008</v>
      </c>
      <c r="G224" s="38" t="n">
        <f aca="false">B224-C224</f>
        <v>-15978</v>
      </c>
      <c r="H224" s="38" t="n">
        <f aca="false">J223</f>
        <v>10979</v>
      </c>
      <c r="I224" s="38" t="n">
        <f aca="false">SUMIFS('Daily Transactions'!C:C,'Daily Transactions'!A:A,$A224,'Daily Transactions'!B:B,"Sales",'Daily Transactions'!D:D,"Cash")</f>
        <v>2189</v>
      </c>
      <c r="J224" s="38" t="n">
        <f aca="false">H224+I224-D224-E224</f>
        <v>10981</v>
      </c>
      <c r="K224" s="38"/>
      <c r="L224" s="38" t="n">
        <f aca="false">SUMIFS('Daily Transactions'!C:C,'Daily Transactions'!A:A,$A224,'Daily Transactions'!B:B,"Cash Shortage",'Daily Transactions'!D:D,"Cash")</f>
        <v>0</v>
      </c>
      <c r="N224" s="30" t="n">
        <f aca="false">N223-2815</f>
        <v>1085</v>
      </c>
      <c r="P224" s="30" t="n">
        <f aca="false">P223-J223</f>
        <v>-7714</v>
      </c>
    </row>
    <row r="225" customFormat="false" ht="15.75" hidden="false" customHeight="true" outlineLevel="0" collapsed="false">
      <c r="A225" s="37" t="n">
        <f aca="false">A224+1</f>
        <v>45879</v>
      </c>
      <c r="B225" s="38" t="n">
        <f aca="false">SUMIFS('Daily Transactions'!C:C,'Daily Transactions'!A:A,$A225,'Daily Transactions'!B:B,"Sales")</f>
        <v>30536</v>
      </c>
      <c r="C225" s="38" t="n">
        <f aca="false">SUMIFS('Daily Transactions'!C:C,'Daily Transactions'!A:A,$A225,'Daily Transactions'!B:B,"&lt;&gt;Sales")</f>
        <v>7323</v>
      </c>
      <c r="D225" s="38" t="n">
        <f aca="false">SUMIFS('Daily Transactions'!C:C,'Daily Transactions'!A:A,$A225,'Daily Transactions'!B:B,"&lt;&gt;Sales",'Daily Transactions'!D:D,"Cash")</f>
        <v>2430</v>
      </c>
      <c r="E225" s="38" t="n">
        <f aca="false">SUMIFS('Daily Transactions'!C:C,'Daily Transactions'!A:A,$A225,'Daily Transactions'!B:B,"&lt;&gt;Sales",'Daily Transactions'!D:D,"Bank_Cash")</f>
        <v>0</v>
      </c>
      <c r="F225" s="38" t="n">
        <f aca="false">SUMIFS('Daily Transactions'!C:C,'Daily Transactions'!A:A,$A225,'Daily Transactions'!B:B,"&lt;&gt;Sales",'Daily Transactions'!D:D,"Bank")</f>
        <v>4893</v>
      </c>
      <c r="G225" s="38" t="n">
        <f aca="false">B225-C225</f>
        <v>23213</v>
      </c>
      <c r="H225" s="38" t="n">
        <f aca="false">J224</f>
        <v>10981</v>
      </c>
      <c r="I225" s="38" t="n">
        <f aca="false">SUMIFS('Daily Transactions'!C:C,'Daily Transactions'!A:A,$A225,'Daily Transactions'!B:B,"Sales",'Daily Transactions'!D:D,"Cash")</f>
        <v>2960</v>
      </c>
      <c r="J225" s="38" t="n">
        <f aca="false">H225+I225-D225-E225</f>
        <v>11511</v>
      </c>
      <c r="K225" s="38"/>
      <c r="L225" s="38" t="n">
        <f aca="false">SUMIFS('Daily Transactions'!C:C,'Daily Transactions'!A:A,$A225,'Daily Transactions'!B:B,"Cash Shortage",'Daily Transactions'!D:D,"Cash")</f>
        <v>0</v>
      </c>
    </row>
    <row r="226" customFormat="false" ht="15.75" hidden="false" customHeight="true" outlineLevel="0" collapsed="false">
      <c r="A226" s="37" t="n">
        <f aca="false">A225+1</f>
        <v>45880</v>
      </c>
      <c r="B226" s="38" t="n">
        <f aca="false">SUMIFS('Daily Transactions'!C:C,'Daily Transactions'!A:A,$A226,'Daily Transactions'!B:B,"Sales")</f>
        <v>12816</v>
      </c>
      <c r="C226" s="38" t="n">
        <f aca="false">SUMIFS('Daily Transactions'!C:C,'Daily Transactions'!A:A,$A226,'Daily Transactions'!B:B,"&lt;&gt;Sales")</f>
        <v>9054</v>
      </c>
      <c r="D226" s="38" t="n">
        <f aca="false">SUMIFS('Daily Transactions'!C:C,'Daily Transactions'!A:A,$A226,'Daily Transactions'!B:B,"&lt;&gt;Sales",'Daily Transactions'!D:D,"Cash")</f>
        <v>1020</v>
      </c>
      <c r="E226" s="38" t="n">
        <f aca="false">SUMIFS('Daily Transactions'!C:C,'Daily Transactions'!A:A,$A226,'Daily Transactions'!B:B,"&lt;&gt;Sales",'Daily Transactions'!D:D,"Bank_Cash")</f>
        <v>0</v>
      </c>
      <c r="F226" s="38" t="n">
        <f aca="false">SUMIFS('Daily Transactions'!C:C,'Daily Transactions'!A:A,$A226,'Daily Transactions'!B:B,"&lt;&gt;Sales",'Daily Transactions'!D:D,"Bank")</f>
        <v>8034</v>
      </c>
      <c r="G226" s="38" t="n">
        <f aca="false">B226-C226</f>
        <v>3762</v>
      </c>
      <c r="H226" s="38" t="n">
        <f aca="false">J225</f>
        <v>11511</v>
      </c>
      <c r="I226" s="38" t="n">
        <f aca="false">SUMIFS('Daily Transactions'!C:C,'Daily Transactions'!A:A,$A226,'Daily Transactions'!B:B,"Sales",'Daily Transactions'!D:D,"Cash")</f>
        <v>910</v>
      </c>
      <c r="J226" s="38" t="n">
        <f aca="false">H226+I226-D226-E226</f>
        <v>11401</v>
      </c>
      <c r="K226" s="38"/>
      <c r="L226" s="38" t="n">
        <f aca="false">SUMIFS('Daily Transactions'!C:C,'Daily Transactions'!A:A,$A226,'Daily Transactions'!B:B,"Cash Shortage",'Daily Transactions'!D:D,"Cash")</f>
        <v>0</v>
      </c>
    </row>
    <row r="227" customFormat="false" ht="15.75" hidden="false" customHeight="true" outlineLevel="0" collapsed="false">
      <c r="A227" s="37" t="n">
        <f aca="false">A226+1</f>
        <v>45881</v>
      </c>
      <c r="B227" s="38" t="n">
        <f aca="false">SUMIFS('Daily Transactions'!C:C,'Daily Transactions'!A:A,$A227,'Daily Transactions'!B:B,"Sales")</f>
        <v>9246</v>
      </c>
      <c r="C227" s="38" t="n">
        <f aca="false">SUMIFS('Daily Transactions'!C:C,'Daily Transactions'!A:A,$A227,'Daily Transactions'!B:B,"&lt;&gt;Sales")</f>
        <v>2863</v>
      </c>
      <c r="D227" s="38" t="n">
        <f aca="false">SUMIFS('Daily Transactions'!C:C,'Daily Transactions'!A:A,$A227,'Daily Transactions'!B:B,"&lt;&gt;Sales",'Daily Transactions'!D:D,"Cash")</f>
        <v>100</v>
      </c>
      <c r="E227" s="38" t="n">
        <f aca="false">SUMIFS('Daily Transactions'!C:C,'Daily Transactions'!A:A,$A227,'Daily Transactions'!B:B,"&lt;&gt;Sales",'Daily Transactions'!D:D,"Bank_Cash")</f>
        <v>0</v>
      </c>
      <c r="F227" s="38" t="n">
        <f aca="false">SUMIFS('Daily Transactions'!C:C,'Daily Transactions'!A:A,$A227,'Daily Transactions'!B:B,"&lt;&gt;Sales",'Daily Transactions'!D:D,"Bank")</f>
        <v>2763</v>
      </c>
      <c r="G227" s="38" t="n">
        <f aca="false">B227-C227</f>
        <v>6383</v>
      </c>
      <c r="H227" s="38" t="n">
        <f aca="false">J226</f>
        <v>11401</v>
      </c>
      <c r="I227" s="38" t="n">
        <f aca="false">SUMIFS('Daily Transactions'!C:C,'Daily Transactions'!A:A,$A227,'Daily Transactions'!B:B,"Sales",'Daily Transactions'!D:D,"Cash")</f>
        <v>1810</v>
      </c>
      <c r="J227" s="38" t="n">
        <f aca="false">H227+I227-D227-E227</f>
        <v>13111</v>
      </c>
      <c r="K227" s="38"/>
      <c r="L227" s="38" t="n">
        <f aca="false">SUMIFS('Daily Transactions'!C:C,'Daily Transactions'!A:A,$A227,'Daily Transactions'!B:B,"Cash Shortage",'Daily Transactions'!D:D,"Cash")</f>
        <v>0</v>
      </c>
    </row>
    <row r="228" customFormat="false" ht="15.75" hidden="false" customHeight="true" outlineLevel="0" collapsed="false">
      <c r="A228" s="37" t="n">
        <f aca="false">A227+1</f>
        <v>45882</v>
      </c>
      <c r="B228" s="38" t="n">
        <f aca="false">SUMIFS('Daily Transactions'!C:C,'Daily Transactions'!A:A,$A228,'Daily Transactions'!B:B,"Sales")</f>
        <v>10745</v>
      </c>
      <c r="C228" s="38" t="n">
        <f aca="false">SUMIFS('Daily Transactions'!C:C,'Daily Transactions'!A:A,$A228,'Daily Transactions'!B:B,"&lt;&gt;Sales")</f>
        <v>15355</v>
      </c>
      <c r="D228" s="38" t="n">
        <f aca="false">SUMIFS('Daily Transactions'!C:C,'Daily Transactions'!A:A,$A228,'Daily Transactions'!B:B,"&lt;&gt;Sales",'Daily Transactions'!D:D,"Cash")</f>
        <v>2050</v>
      </c>
      <c r="E228" s="38" t="n">
        <f aca="false">SUMIFS('Daily Transactions'!C:C,'Daily Transactions'!A:A,$A228,'Daily Transactions'!B:B,"&lt;&gt;Sales",'Daily Transactions'!D:D,"Bank_Cash")</f>
        <v>0</v>
      </c>
      <c r="F228" s="38" t="n">
        <f aca="false">SUMIFS('Daily Transactions'!C:C,'Daily Transactions'!A:A,$A228,'Daily Transactions'!B:B,"&lt;&gt;Sales",'Daily Transactions'!D:D,"Bank")</f>
        <v>13305</v>
      </c>
      <c r="G228" s="38" t="n">
        <f aca="false">B228-C228</f>
        <v>-4610</v>
      </c>
      <c r="H228" s="38" t="n">
        <f aca="false">J227</f>
        <v>13111</v>
      </c>
      <c r="I228" s="38" t="n">
        <f aca="false">SUMIFS('Daily Transactions'!C:C,'Daily Transactions'!A:A,$A228,'Daily Transactions'!B:B,"Sales",'Daily Transactions'!D:D,"Cash")</f>
        <v>1310</v>
      </c>
      <c r="J228" s="38" t="n">
        <f aca="false">H228+I228-D228-E228</f>
        <v>12371</v>
      </c>
      <c r="K228" s="38"/>
      <c r="L228" s="38" t="n">
        <f aca="false">SUMIFS('Daily Transactions'!C:C,'Daily Transactions'!A:A,$A228,'Daily Transactions'!B:B,"Cash Shortage",'Daily Transactions'!D:D,"Cash")</f>
        <v>0</v>
      </c>
    </row>
    <row r="229" customFormat="false" ht="15.75" hidden="false" customHeight="true" outlineLevel="0" collapsed="false">
      <c r="A229" s="37" t="n">
        <f aca="false">A228+1</f>
        <v>45883</v>
      </c>
      <c r="B229" s="38" t="n">
        <f aca="false">SUMIFS('Daily Transactions'!C:C,'Daily Transactions'!A:A,$A229,'Daily Transactions'!B:B,"Sales")</f>
        <v>19832</v>
      </c>
      <c r="C229" s="38" t="n">
        <f aca="false">SUMIFS('Daily Transactions'!C:C,'Daily Transactions'!A:A,$A229,'Daily Transactions'!B:B,"&lt;&gt;Sales")</f>
        <v>4967</v>
      </c>
      <c r="D229" s="38" t="n">
        <f aca="false">SUMIFS('Daily Transactions'!C:C,'Daily Transactions'!A:A,$A229,'Daily Transactions'!B:B,"&lt;&gt;Sales",'Daily Transactions'!D:D,"Cash")</f>
        <v>905</v>
      </c>
      <c r="E229" s="38" t="n">
        <f aca="false">SUMIFS('Daily Transactions'!C:C,'Daily Transactions'!A:A,$A229,'Daily Transactions'!B:B,"&lt;&gt;Sales",'Daily Transactions'!D:D,"Bank_Cash")</f>
        <v>0</v>
      </c>
      <c r="F229" s="38" t="n">
        <f aca="false">SUMIFS('Daily Transactions'!C:C,'Daily Transactions'!A:A,$A229,'Daily Transactions'!B:B,"&lt;&gt;Sales",'Daily Transactions'!D:D,"Bank")</f>
        <v>4062</v>
      </c>
      <c r="G229" s="38" t="n">
        <f aca="false">B229-C229</f>
        <v>14865</v>
      </c>
      <c r="H229" s="38" t="n">
        <f aca="false">J228</f>
        <v>12371</v>
      </c>
      <c r="I229" s="38" t="n">
        <f aca="false">SUMIFS('Daily Transactions'!C:C,'Daily Transactions'!A:A,$A229,'Daily Transactions'!B:B,"Sales",'Daily Transactions'!D:D,"Cash")</f>
        <v>3750</v>
      </c>
      <c r="J229" s="38" t="n">
        <f aca="false">H229+I229-D229-E229</f>
        <v>15216</v>
      </c>
      <c r="K229" s="38"/>
      <c r="L229" s="38" t="n">
        <f aca="false">SUMIFS('Daily Transactions'!C:C,'Daily Transactions'!A:A,$A229,'Daily Transactions'!B:B,"Cash Shortage",'Daily Transactions'!D:D,"Cash")</f>
        <v>0</v>
      </c>
    </row>
    <row r="230" customFormat="false" ht="15.75" hidden="false" customHeight="true" outlineLevel="0" collapsed="false">
      <c r="A230" s="37" t="n">
        <f aca="false">A229+1</f>
        <v>45884</v>
      </c>
      <c r="B230" s="38" t="n">
        <f aca="false">SUMIFS('Daily Transactions'!C:C,'Daily Transactions'!A:A,$A230,'Daily Transactions'!B:B,"Sales")</f>
        <v>22981</v>
      </c>
      <c r="C230" s="38" t="n">
        <f aca="false">SUMIFS('Daily Transactions'!C:C,'Daily Transactions'!A:A,$A230,'Daily Transactions'!B:B,"&lt;&gt;Sales")</f>
        <v>11822.5</v>
      </c>
      <c r="D230" s="38" t="n">
        <f aca="false">SUMIFS('Daily Transactions'!C:C,'Daily Transactions'!A:A,$A230,'Daily Transactions'!B:B,"&lt;&gt;Sales",'Daily Transactions'!D:D,"Cash")</f>
        <v>4470</v>
      </c>
      <c r="E230" s="38" t="n">
        <f aca="false">SUMIFS('Daily Transactions'!C:C,'Daily Transactions'!A:A,$A230,'Daily Transactions'!B:B,"&lt;&gt;Sales",'Daily Transactions'!D:D,"Bank_Cash")</f>
        <v>0</v>
      </c>
      <c r="F230" s="38" t="n">
        <f aca="false">SUMIFS('Daily Transactions'!C:C,'Daily Transactions'!A:A,$A230,'Daily Transactions'!B:B,"&lt;&gt;Sales",'Daily Transactions'!D:D,"Bank")</f>
        <v>7352.5</v>
      </c>
      <c r="G230" s="38" t="n">
        <f aca="false">B230-C230</f>
        <v>11158.5</v>
      </c>
      <c r="H230" s="38" t="n">
        <f aca="false">J229</f>
        <v>15216</v>
      </c>
      <c r="I230" s="38" t="n">
        <f aca="false">SUMIFS('Daily Transactions'!C:C,'Daily Transactions'!A:A,$A230,'Daily Transactions'!B:B,"Sales",'Daily Transactions'!D:D,"Cash")</f>
        <v>3070</v>
      </c>
      <c r="J230" s="38" t="n">
        <f aca="false">H230+I230-D230-E230</f>
        <v>13816</v>
      </c>
      <c r="K230" s="38"/>
      <c r="L230" s="38" t="n">
        <f aca="false">SUMIFS('Daily Transactions'!C:C,'Daily Transactions'!A:A,$A230,'Daily Transactions'!B:B,"Cash Shortage",'Daily Transactions'!D:D,"Cash")</f>
        <v>0</v>
      </c>
    </row>
    <row r="231" customFormat="false" ht="15.75" hidden="false" customHeight="true" outlineLevel="0" collapsed="false">
      <c r="A231" s="37" t="n">
        <f aca="false">A230+1</f>
        <v>45885</v>
      </c>
      <c r="B231" s="38" t="n">
        <f aca="false">SUMIFS('Daily Transactions'!C:C,'Daily Transactions'!A:A,$A231,'Daily Transactions'!B:B,"Sales")</f>
        <v>15515</v>
      </c>
      <c r="C231" s="38" t="n">
        <f aca="false">SUMIFS('Daily Transactions'!C:C,'Daily Transactions'!A:A,$A231,'Daily Transactions'!B:B,"&lt;&gt;Sales")</f>
        <v>10953</v>
      </c>
      <c r="D231" s="38" t="n">
        <f aca="false">SUMIFS('Daily Transactions'!C:C,'Daily Transactions'!A:A,$A231,'Daily Transactions'!B:B,"&lt;&gt;Sales",'Daily Transactions'!D:D,"Cash")</f>
        <v>3900</v>
      </c>
      <c r="E231" s="38" t="n">
        <f aca="false">SUMIFS('Daily Transactions'!C:C,'Daily Transactions'!A:A,$A231,'Daily Transactions'!B:B,"&lt;&gt;Sales",'Daily Transactions'!D:D,"Bank_Cash")</f>
        <v>0</v>
      </c>
      <c r="F231" s="38" t="n">
        <f aca="false">SUMIFS('Daily Transactions'!C:C,'Daily Transactions'!A:A,$A231,'Daily Transactions'!B:B,"&lt;&gt;Sales",'Daily Transactions'!D:D,"Bank")</f>
        <v>7053</v>
      </c>
      <c r="G231" s="38" t="n">
        <f aca="false">B231-C231</f>
        <v>4562</v>
      </c>
      <c r="H231" s="38" t="n">
        <f aca="false">J230</f>
        <v>13816</v>
      </c>
      <c r="I231" s="38" t="n">
        <f aca="false">SUMIFS('Daily Transactions'!C:C,'Daily Transactions'!A:A,$A231,'Daily Transactions'!B:B,"Sales",'Daily Transactions'!D:D,"Cash")</f>
        <v>2530</v>
      </c>
      <c r="J231" s="38" t="n">
        <f aca="false">H231+I231-D231-E231</f>
        <v>12446</v>
      </c>
      <c r="K231" s="38"/>
      <c r="L231" s="38" t="n">
        <f aca="false">SUMIFS('Daily Transactions'!C:C,'Daily Transactions'!A:A,$A231,'Daily Transactions'!B:B,"Cash Shortage",'Daily Transactions'!D:D,"Cash")</f>
        <v>0</v>
      </c>
    </row>
    <row r="232" customFormat="false" ht="15.75" hidden="false" customHeight="true" outlineLevel="0" collapsed="false">
      <c r="A232" s="37" t="n">
        <f aca="false">A231+1</f>
        <v>45886</v>
      </c>
      <c r="B232" s="38" t="n">
        <f aca="false">SUMIFS('Daily Transactions'!C:C,'Daily Transactions'!A:A,$A232,'Daily Transactions'!B:B,"Sales")</f>
        <v>19547</v>
      </c>
      <c r="C232" s="38" t="n">
        <f aca="false">SUMIFS('Daily Transactions'!C:C,'Daily Transactions'!A:A,$A232,'Daily Transactions'!B:B,"&lt;&gt;Sales")</f>
        <v>12224</v>
      </c>
      <c r="D232" s="38" t="n">
        <f aca="false">SUMIFS('Daily Transactions'!C:C,'Daily Transactions'!A:A,$A232,'Daily Transactions'!B:B,"&lt;&gt;Sales",'Daily Transactions'!D:D,"Cash")</f>
        <v>2994</v>
      </c>
      <c r="E232" s="38" t="n">
        <f aca="false">SUMIFS('Daily Transactions'!C:C,'Daily Transactions'!A:A,$A232,'Daily Transactions'!B:B,"&lt;&gt;Sales",'Daily Transactions'!D:D,"Bank_Cash")</f>
        <v>0</v>
      </c>
      <c r="F232" s="38" t="n">
        <f aca="false">SUMIFS('Daily Transactions'!C:C,'Daily Transactions'!A:A,$A232,'Daily Transactions'!B:B,"&lt;&gt;Sales",'Daily Transactions'!D:D,"Bank")</f>
        <v>9230</v>
      </c>
      <c r="G232" s="38" t="n">
        <f aca="false">B232-C232</f>
        <v>7323</v>
      </c>
      <c r="H232" s="38" t="n">
        <f aca="false">J231</f>
        <v>12446</v>
      </c>
      <c r="I232" s="38" t="n">
        <f aca="false">SUMIFS('Daily Transactions'!C:C,'Daily Transactions'!A:A,$A232,'Daily Transactions'!B:B,"Sales",'Daily Transactions'!D:D,"Cash")</f>
        <v>2105</v>
      </c>
      <c r="J232" s="38" t="n">
        <f aca="false">H232+I232-D232-E232</f>
        <v>11557</v>
      </c>
      <c r="K232" s="38"/>
      <c r="L232" s="38" t="n">
        <f aca="false">SUMIFS('Daily Transactions'!C:C,'Daily Transactions'!A:A,$A232,'Daily Transactions'!B:B,"Cash Shortage",'Daily Transactions'!D:D,"Cash")</f>
        <v>87</v>
      </c>
    </row>
    <row r="233" customFormat="false" ht="15.75" hidden="false" customHeight="true" outlineLevel="0" collapsed="false">
      <c r="A233" s="37" t="n">
        <f aca="false">A232+1</f>
        <v>45887</v>
      </c>
      <c r="B233" s="38" t="n">
        <f aca="false">SUMIFS('Daily Transactions'!C:C,'Daily Transactions'!A:A,$A233,'Daily Transactions'!B:B,"Sales")</f>
        <v>9310</v>
      </c>
      <c r="C233" s="38" t="n">
        <f aca="false">SUMIFS('Daily Transactions'!C:C,'Daily Transactions'!A:A,$A233,'Daily Transactions'!B:B,"&lt;&gt;Sales")</f>
        <v>14865</v>
      </c>
      <c r="D233" s="38" t="n">
        <f aca="false">SUMIFS('Daily Transactions'!C:C,'Daily Transactions'!A:A,$A233,'Daily Transactions'!B:B,"&lt;&gt;Sales",'Daily Transactions'!D:D,"Cash")</f>
        <v>830</v>
      </c>
      <c r="E233" s="38" t="n">
        <f aca="false">SUMIFS('Daily Transactions'!C:C,'Daily Transactions'!A:A,$A233,'Daily Transactions'!B:B,"&lt;&gt;Sales",'Daily Transactions'!D:D,"Bank_Cash")</f>
        <v>0</v>
      </c>
      <c r="F233" s="38" t="n">
        <f aca="false">SUMIFS('Daily Transactions'!C:C,'Daily Transactions'!A:A,$A233,'Daily Transactions'!B:B,"&lt;&gt;Sales",'Daily Transactions'!D:D,"Bank")</f>
        <v>14035</v>
      </c>
      <c r="G233" s="38" t="n">
        <f aca="false">B233-C233</f>
        <v>-5555</v>
      </c>
      <c r="H233" s="38" t="n">
        <f aca="false">J232</f>
        <v>11557</v>
      </c>
      <c r="I233" s="38" t="n">
        <f aca="false">SUMIFS('Daily Transactions'!C:C,'Daily Transactions'!A:A,$A233,'Daily Transactions'!B:B,"Sales",'Daily Transactions'!D:D,"Cash")</f>
        <v>1650</v>
      </c>
      <c r="J233" s="38" t="n">
        <f aca="false">H233+I233-D233-E233</f>
        <v>12377</v>
      </c>
      <c r="K233" s="38"/>
      <c r="L233" s="38" t="n">
        <f aca="false">SUMIFS('Daily Transactions'!C:C,'Daily Transactions'!A:A,$A233,'Daily Transactions'!B:B,"Cash Shortage",'Daily Transactions'!D:D,"Cash")</f>
        <v>0</v>
      </c>
    </row>
    <row r="234" customFormat="false" ht="15.75" hidden="false" customHeight="true" outlineLevel="0" collapsed="false">
      <c r="A234" s="37" t="n">
        <f aca="false">A233+1</f>
        <v>45888</v>
      </c>
      <c r="B234" s="38" t="n">
        <f aca="false">SUMIFS('Daily Transactions'!C:C,'Daily Transactions'!A:A,$A234,'Daily Transactions'!B:B,"Sales")</f>
        <v>6269</v>
      </c>
      <c r="C234" s="38" t="n">
        <f aca="false">SUMIFS('Daily Transactions'!C:C,'Daily Transactions'!A:A,$A234,'Daily Transactions'!B:B,"&lt;&gt;Sales")</f>
        <v>5614</v>
      </c>
      <c r="D234" s="38" t="n">
        <f aca="false">SUMIFS('Daily Transactions'!C:C,'Daily Transactions'!A:A,$A234,'Daily Transactions'!B:B,"&lt;&gt;Sales",'Daily Transactions'!D:D,"Cash")</f>
        <v>120</v>
      </c>
      <c r="E234" s="38" t="n">
        <f aca="false">SUMIFS('Daily Transactions'!C:C,'Daily Transactions'!A:A,$A234,'Daily Transactions'!B:B,"&lt;&gt;Sales",'Daily Transactions'!D:D,"Bank_Cash")</f>
        <v>0</v>
      </c>
      <c r="F234" s="38" t="n">
        <f aca="false">SUMIFS('Daily Transactions'!C:C,'Daily Transactions'!A:A,$A234,'Daily Transactions'!B:B,"&lt;&gt;Sales",'Daily Transactions'!D:D,"Bank")</f>
        <v>5494</v>
      </c>
      <c r="G234" s="38" t="n">
        <f aca="false">B234-C234</f>
        <v>655</v>
      </c>
      <c r="H234" s="38" t="n">
        <f aca="false">J233</f>
        <v>12377</v>
      </c>
      <c r="I234" s="38" t="n">
        <f aca="false">SUMIFS('Daily Transactions'!C:C,'Daily Transactions'!A:A,$A234,'Daily Transactions'!B:B,"Sales",'Daily Transactions'!D:D,"Cash")</f>
        <v>380</v>
      </c>
      <c r="J234" s="38" t="n">
        <f aca="false">H234+I234-D234-E234</f>
        <v>12637</v>
      </c>
      <c r="K234" s="38"/>
      <c r="L234" s="38" t="n">
        <f aca="false">SUMIFS('Daily Transactions'!C:C,'Daily Transactions'!A:A,$A234,'Daily Transactions'!B:B,"Cash Shortage",'Daily Transactions'!D:D,"Cash")</f>
        <v>0</v>
      </c>
    </row>
    <row r="235" customFormat="false" ht="15.75" hidden="false" customHeight="true" outlineLevel="0" collapsed="false">
      <c r="A235" s="37" t="n">
        <f aca="false">A234+1</f>
        <v>45889</v>
      </c>
      <c r="B235" s="38" t="n">
        <f aca="false">SUMIFS('Daily Transactions'!C:C,'Daily Transactions'!A:A,$A235,'Daily Transactions'!B:B,"Sales")</f>
        <v>11062</v>
      </c>
      <c r="C235" s="38" t="n">
        <f aca="false">SUMIFS('Daily Transactions'!C:C,'Daily Transactions'!A:A,$A235,'Daily Transactions'!B:B,"&lt;&gt;Sales")</f>
        <v>2725</v>
      </c>
      <c r="D235" s="38" t="n">
        <f aca="false">SUMIFS('Daily Transactions'!C:C,'Daily Transactions'!A:A,$A235,'Daily Transactions'!B:B,"&lt;&gt;Sales",'Daily Transactions'!D:D,"Cash")</f>
        <v>685</v>
      </c>
      <c r="E235" s="38" t="n">
        <f aca="false">SUMIFS('Daily Transactions'!C:C,'Daily Transactions'!A:A,$A235,'Daily Transactions'!B:B,"&lt;&gt;Sales",'Daily Transactions'!D:D,"Bank_Cash")</f>
        <v>300</v>
      </c>
      <c r="F235" s="38" t="n">
        <f aca="false">SUMIFS('Daily Transactions'!C:C,'Daily Transactions'!A:A,$A235,'Daily Transactions'!B:B,"&lt;&gt;Sales",'Daily Transactions'!D:D,"Bank")</f>
        <v>1740</v>
      </c>
      <c r="G235" s="38" t="n">
        <f aca="false">B235-C235</f>
        <v>8337</v>
      </c>
      <c r="H235" s="38" t="n">
        <f aca="false">J234</f>
        <v>12637</v>
      </c>
      <c r="I235" s="38" t="n">
        <f aca="false">SUMIFS('Daily Transactions'!C:C,'Daily Transactions'!A:A,$A235,'Daily Transactions'!B:B,"Sales",'Daily Transactions'!D:D,"Cash")</f>
        <v>750</v>
      </c>
      <c r="J235" s="38" t="n">
        <f aca="false">H235+I235-D235-E235</f>
        <v>12402</v>
      </c>
      <c r="K235" s="38"/>
      <c r="L235" s="38" t="n">
        <f aca="false">SUMIFS('Daily Transactions'!C:C,'Daily Transactions'!A:A,$A235,'Daily Transactions'!B:B,"Cash Shortage",'Daily Transactions'!D:D,"Cash")</f>
        <v>0</v>
      </c>
    </row>
    <row r="236" customFormat="false" ht="15.75" hidden="false" customHeight="true" outlineLevel="0" collapsed="false">
      <c r="A236" s="37" t="n">
        <f aca="false">A235+1</f>
        <v>45890</v>
      </c>
      <c r="B236" s="38" t="n">
        <f aca="false">SUMIFS('Daily Transactions'!C:C,'Daily Transactions'!A:A,$A236,'Daily Transactions'!B:B,"Sales")</f>
        <v>16111</v>
      </c>
      <c r="C236" s="38" t="n">
        <f aca="false">SUMIFS('Daily Transactions'!C:C,'Daily Transactions'!A:A,$A236,'Daily Transactions'!B:B,"&lt;&gt;Sales")</f>
        <v>20495</v>
      </c>
      <c r="D236" s="38" t="n">
        <f aca="false">SUMIFS('Daily Transactions'!C:C,'Daily Transactions'!A:A,$A236,'Daily Transactions'!B:B,"&lt;&gt;Sales",'Daily Transactions'!D:D,"Cash")</f>
        <v>1088</v>
      </c>
      <c r="E236" s="38" t="n">
        <f aca="false">SUMIFS('Daily Transactions'!C:C,'Daily Transactions'!A:A,$A236,'Daily Transactions'!B:B,"&lt;&gt;Sales",'Daily Transactions'!D:D,"Bank_Cash")</f>
        <v>0</v>
      </c>
      <c r="F236" s="38" t="n">
        <f aca="false">SUMIFS('Daily Transactions'!C:C,'Daily Transactions'!A:A,$A236,'Daily Transactions'!B:B,"&lt;&gt;Sales",'Daily Transactions'!D:D,"Bank")</f>
        <v>19407</v>
      </c>
      <c r="G236" s="38" t="n">
        <f aca="false">B236-C236</f>
        <v>-4384</v>
      </c>
      <c r="H236" s="38" t="n">
        <f aca="false">J235</f>
        <v>12402</v>
      </c>
      <c r="I236" s="38" t="n">
        <f aca="false">SUMIFS('Daily Transactions'!C:C,'Daily Transactions'!A:A,$A236,'Daily Transactions'!B:B,"Sales",'Daily Transactions'!D:D,"Cash")</f>
        <v>2355</v>
      </c>
      <c r="J236" s="38" t="n">
        <f aca="false">H236+I236-D236-E236</f>
        <v>13669</v>
      </c>
      <c r="K236" s="38"/>
      <c r="L236" s="38" t="n">
        <f aca="false">SUMIFS('Daily Transactions'!C:C,'Daily Transactions'!A:A,$A236,'Daily Transactions'!B:B,"Cash Shortage",'Daily Transactions'!D:D,"Cash")</f>
        <v>0</v>
      </c>
    </row>
    <row r="237" customFormat="false" ht="15.75" hidden="false" customHeight="true" outlineLevel="0" collapsed="false">
      <c r="A237" s="37" t="n">
        <f aca="false">A236+1</f>
        <v>45891</v>
      </c>
      <c r="B237" s="38" t="n">
        <f aca="false">SUMIFS('Daily Transactions'!C:C,'Daily Transactions'!A:A,$A237,'Daily Transactions'!B:B,"Sales")</f>
        <v>25836</v>
      </c>
      <c r="C237" s="38" t="n">
        <f aca="false">SUMIFS('Daily Transactions'!C:C,'Daily Transactions'!A:A,$A237,'Daily Transactions'!B:B,"&lt;&gt;Sales")</f>
        <v>9255</v>
      </c>
      <c r="D237" s="38" t="n">
        <f aca="false">SUMIFS('Daily Transactions'!C:C,'Daily Transactions'!A:A,$A237,'Daily Transactions'!B:B,"&lt;&gt;Sales",'Daily Transactions'!D:D,"Cash")</f>
        <v>150</v>
      </c>
      <c r="E237" s="38" t="n">
        <f aca="false">SUMIFS('Daily Transactions'!C:C,'Daily Transactions'!A:A,$A237,'Daily Transactions'!B:B,"&lt;&gt;Sales",'Daily Transactions'!D:D,"Bank_Cash")</f>
        <v>940</v>
      </c>
      <c r="F237" s="38" t="n">
        <f aca="false">SUMIFS('Daily Transactions'!C:C,'Daily Transactions'!A:A,$A237,'Daily Transactions'!B:B,"&lt;&gt;Sales",'Daily Transactions'!D:D,"Bank")</f>
        <v>8165</v>
      </c>
      <c r="G237" s="38" t="n">
        <f aca="false">B237-C237</f>
        <v>16581</v>
      </c>
      <c r="H237" s="38" t="n">
        <f aca="false">J236</f>
        <v>13669</v>
      </c>
      <c r="I237" s="38" t="n">
        <f aca="false">SUMIFS('Daily Transactions'!C:C,'Daily Transactions'!A:A,$A237,'Daily Transactions'!B:B,"Sales",'Daily Transactions'!D:D,"Cash")</f>
        <v>3160</v>
      </c>
      <c r="J237" s="38" t="n">
        <f aca="false">H237+I237-D237-E237</f>
        <v>15739</v>
      </c>
      <c r="K237" s="38"/>
      <c r="L237" s="38" t="n">
        <f aca="false">SUMIFS('Daily Transactions'!C:C,'Daily Transactions'!A:A,$A237,'Daily Transactions'!B:B,"Cash Shortage",'Daily Transactions'!D:D,"Cash")</f>
        <v>0</v>
      </c>
    </row>
    <row r="238" customFormat="false" ht="15.75" hidden="false" customHeight="true" outlineLevel="0" collapsed="false">
      <c r="A238" s="37" t="n">
        <f aca="false">A237+1</f>
        <v>45892</v>
      </c>
      <c r="B238" s="38" t="n">
        <f aca="false">SUMIFS('Daily Transactions'!C:C,'Daily Transactions'!A:A,$A238,'Daily Transactions'!B:B,"Sales")</f>
        <v>31388</v>
      </c>
      <c r="C238" s="38" t="n">
        <f aca="false">SUMIFS('Daily Transactions'!C:C,'Daily Transactions'!A:A,$A238,'Daily Transactions'!B:B,"&lt;&gt;Sales")</f>
        <v>16577</v>
      </c>
      <c r="D238" s="38" t="n">
        <f aca="false">SUMIFS('Daily Transactions'!C:C,'Daily Transactions'!A:A,$A238,'Daily Transactions'!B:B,"&lt;&gt;Sales",'Daily Transactions'!D:D,"Cash")</f>
        <v>2480</v>
      </c>
      <c r="E238" s="38" t="n">
        <f aca="false">SUMIFS('Daily Transactions'!C:C,'Daily Transactions'!A:A,$A238,'Daily Transactions'!B:B,"&lt;&gt;Sales",'Daily Transactions'!D:D,"Bank_Cash")</f>
        <v>2120</v>
      </c>
      <c r="F238" s="38" t="n">
        <f aca="false">SUMIFS('Daily Transactions'!C:C,'Daily Transactions'!A:A,$A238,'Daily Transactions'!B:B,"&lt;&gt;Sales",'Daily Transactions'!D:D,"Bank")</f>
        <v>11977</v>
      </c>
      <c r="G238" s="38" t="n">
        <f aca="false">B238-C238</f>
        <v>14811</v>
      </c>
      <c r="H238" s="38" t="n">
        <f aca="false">J237</f>
        <v>15739</v>
      </c>
      <c r="I238" s="38" t="n">
        <f aca="false">SUMIFS('Daily Transactions'!C:C,'Daily Transactions'!A:A,$A238,'Daily Transactions'!B:B,"Sales",'Daily Transactions'!D:D,"Cash")</f>
        <v>5603</v>
      </c>
      <c r="J238" s="38" t="n">
        <f aca="false">H238+I238-D238-E238</f>
        <v>16742</v>
      </c>
      <c r="K238" s="38"/>
      <c r="L238" s="38" t="n">
        <f aca="false">SUMIFS('Daily Transactions'!C:C,'Daily Transactions'!A:A,$A238,'Daily Transactions'!B:B,"Cash Shortage",'Daily Transactions'!D:D,"Cash")</f>
        <v>0</v>
      </c>
    </row>
    <row r="239" customFormat="false" ht="15.75" hidden="false" customHeight="true" outlineLevel="0" collapsed="false">
      <c r="A239" s="37" t="n">
        <f aca="false">A238+1</f>
        <v>45893</v>
      </c>
      <c r="B239" s="38" t="n">
        <f aca="false">SUMIFS('Daily Transactions'!C:C,'Daily Transactions'!A:A,$A239,'Daily Transactions'!B:B,"Sales")</f>
        <v>32957</v>
      </c>
      <c r="C239" s="38" t="n">
        <f aca="false">SUMIFS('Daily Transactions'!C:C,'Daily Transactions'!A:A,$A239,'Daily Transactions'!B:B,"&lt;&gt;Sales")</f>
        <v>8136</v>
      </c>
      <c r="D239" s="38" t="n">
        <f aca="false">SUMIFS('Daily Transactions'!C:C,'Daily Transactions'!A:A,$A239,'Daily Transactions'!B:B,"&lt;&gt;Sales",'Daily Transactions'!D:D,"Cash")</f>
        <v>1360</v>
      </c>
      <c r="E239" s="38" t="n">
        <f aca="false">SUMIFS('Daily Transactions'!C:C,'Daily Transactions'!A:A,$A239,'Daily Transactions'!B:B,"&lt;&gt;Sales",'Daily Transactions'!D:D,"Bank_Cash")</f>
        <v>979</v>
      </c>
      <c r="F239" s="38" t="n">
        <f aca="false">SUMIFS('Daily Transactions'!C:C,'Daily Transactions'!A:A,$A239,'Daily Transactions'!B:B,"&lt;&gt;Sales",'Daily Transactions'!D:D,"Bank")</f>
        <v>5797</v>
      </c>
      <c r="G239" s="38" t="n">
        <f aca="false">B239-C239</f>
        <v>24821</v>
      </c>
      <c r="H239" s="38" t="n">
        <f aca="false">J238</f>
        <v>16742</v>
      </c>
      <c r="I239" s="38" t="n">
        <f aca="false">SUMIFS('Daily Transactions'!C:C,'Daily Transactions'!A:A,$A239,'Daily Transactions'!B:B,"Sales",'Daily Transactions'!D:D,"Cash")</f>
        <v>2560</v>
      </c>
      <c r="J239" s="38" t="n">
        <f aca="false">H239+I239-D239-E239</f>
        <v>16963</v>
      </c>
      <c r="K239" s="38"/>
      <c r="L239" s="38" t="n">
        <f aca="false">SUMIFS('Daily Transactions'!C:C,'Daily Transactions'!A:A,$A239,'Daily Transactions'!B:B,"Cash Shortage",'Daily Transactions'!D:D,"Cash")</f>
        <v>0</v>
      </c>
    </row>
    <row r="240" customFormat="false" ht="15.75" hidden="false" customHeight="true" outlineLevel="0" collapsed="false">
      <c r="A240" s="37" t="n">
        <f aca="false">A239+1</f>
        <v>45894</v>
      </c>
      <c r="B240" s="38" t="n">
        <f aca="false">SUMIFS('Daily Transactions'!C:C,'Daily Transactions'!A:A,$A240,'Daily Transactions'!B:B,"Sales")</f>
        <v>16049</v>
      </c>
      <c r="C240" s="38" t="n">
        <f aca="false">SUMIFS('Daily Transactions'!C:C,'Daily Transactions'!A:A,$A240,'Daily Transactions'!B:B,"&lt;&gt;Sales")</f>
        <v>7552</v>
      </c>
      <c r="D240" s="38" t="n">
        <f aca="false">SUMIFS('Daily Transactions'!C:C,'Daily Transactions'!A:A,$A240,'Daily Transactions'!B:B,"&lt;&gt;Sales",'Daily Transactions'!D:D,"Cash")</f>
        <v>20</v>
      </c>
      <c r="E240" s="38" t="n">
        <f aca="false">SUMIFS('Daily Transactions'!C:C,'Daily Transactions'!A:A,$A240,'Daily Transactions'!B:B,"&lt;&gt;Sales",'Daily Transactions'!D:D,"Bank_Cash")</f>
        <v>905</v>
      </c>
      <c r="F240" s="38" t="n">
        <f aca="false">SUMIFS('Daily Transactions'!C:C,'Daily Transactions'!A:A,$A240,'Daily Transactions'!B:B,"&lt;&gt;Sales",'Daily Transactions'!D:D,"Bank")</f>
        <v>6627</v>
      </c>
      <c r="G240" s="38" t="n">
        <f aca="false">B240-C240</f>
        <v>8497</v>
      </c>
      <c r="H240" s="38" t="n">
        <f aca="false">J239</f>
        <v>16963</v>
      </c>
      <c r="I240" s="38" t="n">
        <f aca="false">SUMIFS('Daily Transactions'!C:C,'Daily Transactions'!A:A,$A240,'Daily Transactions'!B:B,"Sales",'Daily Transactions'!D:D,"Cash")</f>
        <v>2913</v>
      </c>
      <c r="J240" s="38" t="n">
        <f aca="false">H240+I240-D240-E240</f>
        <v>18951</v>
      </c>
      <c r="K240" s="38"/>
      <c r="L240" s="38" t="n">
        <f aca="false">SUMIFS('Daily Transactions'!C:C,'Daily Transactions'!A:A,$A240,'Daily Transactions'!B:B,"Cash Shortage",'Daily Transactions'!D:D,"Cash")</f>
        <v>0</v>
      </c>
    </row>
    <row r="241" customFormat="false" ht="15.75" hidden="false" customHeight="true" outlineLevel="0" collapsed="false">
      <c r="A241" s="37" t="n">
        <f aca="false">A240+1</f>
        <v>45895</v>
      </c>
      <c r="B241" s="38" t="n">
        <f aca="false">SUMIFS('Daily Transactions'!C:C,'Daily Transactions'!A:A,$A241,'Daily Transactions'!B:B,"Sales")</f>
        <v>14407</v>
      </c>
      <c r="C241" s="38" t="n">
        <f aca="false">SUMIFS('Daily Transactions'!C:C,'Daily Transactions'!A:A,$A241,'Daily Transactions'!B:B,"&lt;&gt;Sales")</f>
        <v>36756</v>
      </c>
      <c r="D241" s="38" t="n">
        <f aca="false">SUMIFS('Daily Transactions'!C:C,'Daily Transactions'!A:A,$A241,'Daily Transactions'!B:B,"&lt;&gt;Sales",'Daily Transactions'!D:D,"Cash")</f>
        <v>40</v>
      </c>
      <c r="E241" s="38" t="n">
        <f aca="false">SUMIFS('Daily Transactions'!C:C,'Daily Transactions'!A:A,$A241,'Daily Transactions'!B:B,"&lt;&gt;Sales",'Daily Transactions'!D:D,"Bank_Cash")</f>
        <v>4550</v>
      </c>
      <c r="F241" s="38" t="n">
        <f aca="false">SUMIFS('Daily Transactions'!C:C,'Daily Transactions'!A:A,$A241,'Daily Transactions'!B:B,"&lt;&gt;Sales",'Daily Transactions'!D:D,"Bank")</f>
        <v>32166</v>
      </c>
      <c r="G241" s="38" t="n">
        <f aca="false">B241-C241</f>
        <v>-22349</v>
      </c>
      <c r="H241" s="38" t="n">
        <f aca="false">J240</f>
        <v>18951</v>
      </c>
      <c r="I241" s="38" t="n">
        <f aca="false">SUMIFS('Daily Transactions'!C:C,'Daily Transactions'!A:A,$A241,'Daily Transactions'!B:B,"Sales",'Daily Transactions'!D:D,"Cash")</f>
        <v>1125</v>
      </c>
      <c r="J241" s="38" t="n">
        <f aca="false">H241+I241-D241-E241</f>
        <v>15486</v>
      </c>
      <c r="K241" s="38"/>
      <c r="L241" s="38" t="n">
        <f aca="false">SUMIFS('Daily Transactions'!C:C,'Daily Transactions'!A:A,$A241,'Daily Transactions'!B:B,"Cash Shortage",'Daily Transactions'!D:D,"Cash")</f>
        <v>0</v>
      </c>
    </row>
    <row r="242" customFormat="false" ht="15.75" hidden="false" customHeight="true" outlineLevel="0" collapsed="false">
      <c r="A242" s="37" t="n">
        <f aca="false">A241+1</f>
        <v>45896</v>
      </c>
      <c r="B242" s="38" t="n">
        <f aca="false">SUMIFS('Daily Transactions'!C:C,'Daily Transactions'!A:A,$A242,'Daily Transactions'!B:B,"Sales")</f>
        <v>13226</v>
      </c>
      <c r="C242" s="38" t="n">
        <f aca="false">SUMIFS('Daily Transactions'!C:C,'Daily Transactions'!A:A,$A242,'Daily Transactions'!B:B,"&lt;&gt;Sales")</f>
        <v>8392</v>
      </c>
      <c r="D242" s="38" t="n">
        <f aca="false">SUMIFS('Daily Transactions'!C:C,'Daily Transactions'!A:A,$A242,'Daily Transactions'!B:B,"&lt;&gt;Sales",'Daily Transactions'!D:D,"Cash")</f>
        <v>80</v>
      </c>
      <c r="E242" s="38" t="n">
        <f aca="false">SUMIFS('Daily Transactions'!C:C,'Daily Transactions'!A:A,$A242,'Daily Transactions'!B:B,"&lt;&gt;Sales",'Daily Transactions'!D:D,"Bank_Cash")</f>
        <v>2955</v>
      </c>
      <c r="F242" s="38" t="n">
        <f aca="false">SUMIFS('Daily Transactions'!C:C,'Daily Transactions'!A:A,$A242,'Daily Transactions'!B:B,"&lt;&gt;Sales",'Daily Transactions'!D:D,"Bank")</f>
        <v>5357</v>
      </c>
      <c r="G242" s="38" t="n">
        <f aca="false">B242-C242</f>
        <v>4834</v>
      </c>
      <c r="H242" s="38" t="n">
        <f aca="false">J241</f>
        <v>15486</v>
      </c>
      <c r="I242" s="38" t="n">
        <f aca="false">SUMIFS('Daily Transactions'!C:C,'Daily Transactions'!A:A,$A242,'Daily Transactions'!B:B,"Sales",'Daily Transactions'!D:D,"Cash")</f>
        <v>1310</v>
      </c>
      <c r="J242" s="38" t="n">
        <f aca="false">H242+I242-D242-E242</f>
        <v>13761</v>
      </c>
      <c r="K242" s="38"/>
      <c r="L242" s="38" t="n">
        <f aca="false">SUMIFS('Daily Transactions'!C:C,'Daily Transactions'!A:A,$A242,'Daily Transactions'!B:B,"Cash Shortage",'Daily Transactions'!D:D,"Cash")</f>
        <v>0</v>
      </c>
    </row>
    <row r="243" customFormat="false" ht="15.75" hidden="false" customHeight="true" outlineLevel="0" collapsed="false">
      <c r="A243" s="37" t="n">
        <f aca="false">A242+1</f>
        <v>45897</v>
      </c>
      <c r="B243" s="38" t="n">
        <f aca="false">SUMIFS('Daily Transactions'!C:C,'Daily Transactions'!A:A,$A243,'Daily Transactions'!B:B,"Sales")</f>
        <v>9055</v>
      </c>
      <c r="C243" s="38" t="n">
        <f aca="false">SUMIFS('Daily Transactions'!C:C,'Daily Transactions'!A:A,$A243,'Daily Transactions'!B:B,"&lt;&gt;Sales")</f>
        <v>16011</v>
      </c>
      <c r="D243" s="38" t="n">
        <f aca="false">SUMIFS('Daily Transactions'!C:C,'Daily Transactions'!A:A,$A243,'Daily Transactions'!B:B,"&lt;&gt;Sales",'Daily Transactions'!D:D,"Cash")</f>
        <v>1000</v>
      </c>
      <c r="E243" s="38" t="n">
        <f aca="false">SUMIFS('Daily Transactions'!C:C,'Daily Transactions'!A:A,$A243,'Daily Transactions'!B:B,"&lt;&gt;Sales",'Daily Transactions'!D:D,"Bank_Cash")</f>
        <v>9681</v>
      </c>
      <c r="F243" s="38" t="n">
        <f aca="false">SUMIFS('Daily Transactions'!C:C,'Daily Transactions'!A:A,$A243,'Daily Transactions'!B:B,"&lt;&gt;Sales",'Daily Transactions'!D:D,"Bank")</f>
        <v>5330</v>
      </c>
      <c r="G243" s="38" t="n">
        <f aca="false">B243-C243</f>
        <v>-6956</v>
      </c>
      <c r="H243" s="38" t="n">
        <f aca="false">J242</f>
        <v>13761</v>
      </c>
      <c r="I243" s="38" t="n">
        <f aca="false">SUMIFS('Daily Transactions'!C:C,'Daily Transactions'!A:A,$A243,'Daily Transactions'!B:B,"Sales",'Daily Transactions'!D:D,"Cash")</f>
        <v>2390</v>
      </c>
      <c r="J243" s="38" t="n">
        <f aca="false">H243+I243-D243-E243</f>
        <v>5470</v>
      </c>
      <c r="K243" s="38"/>
      <c r="L243" s="38" t="n">
        <f aca="false">SUMIFS('Daily Transactions'!C:C,'Daily Transactions'!A:A,$A243,'Daily Transactions'!B:B,"Cash Shortage",'Daily Transactions'!D:D,"Cash")</f>
        <v>0</v>
      </c>
      <c r="O243" s="30" t="n">
        <f aca="false">L243+30</f>
        <v>30</v>
      </c>
    </row>
    <row r="244" customFormat="false" ht="15.75" hidden="false" customHeight="true" outlineLevel="0" collapsed="false">
      <c r="A244" s="37" t="n">
        <f aca="false">A243+1</f>
        <v>45898</v>
      </c>
      <c r="B244" s="38" t="n">
        <f aca="false">SUMIFS('Daily Transactions'!C:C,'Daily Transactions'!A:A,$A244,'Daily Transactions'!B:B,"Sales")</f>
        <v>18643</v>
      </c>
      <c r="C244" s="38" t="n">
        <f aca="false">SUMIFS('Daily Transactions'!C:C,'Daily Transactions'!A:A,$A244,'Daily Transactions'!B:B,"&lt;&gt;Sales")</f>
        <v>17262</v>
      </c>
      <c r="D244" s="38" t="n">
        <f aca="false">SUMIFS('Daily Transactions'!C:C,'Daily Transactions'!A:A,$A244,'Daily Transactions'!B:B,"&lt;&gt;Sales",'Daily Transactions'!D:D,"Cash")</f>
        <v>10</v>
      </c>
      <c r="E244" s="38" t="n">
        <f aca="false">SUMIFS('Daily Transactions'!C:C,'Daily Transactions'!A:A,$A244,'Daily Transactions'!B:B,"&lt;&gt;Sales",'Daily Transactions'!D:D,"Bank_Cash")</f>
        <v>760</v>
      </c>
      <c r="F244" s="38" t="n">
        <f aca="false">SUMIFS('Daily Transactions'!C:C,'Daily Transactions'!A:A,$A244,'Daily Transactions'!B:B,"&lt;&gt;Sales",'Daily Transactions'!D:D,"Bank")</f>
        <v>16492</v>
      </c>
      <c r="G244" s="38" t="n">
        <f aca="false">B244-C244</f>
        <v>1381</v>
      </c>
      <c r="H244" s="38" t="n">
        <f aca="false">J243</f>
        <v>5470</v>
      </c>
      <c r="I244" s="38" t="n">
        <f aca="false">SUMIFS('Daily Transactions'!C:C,'Daily Transactions'!A:A,$A244,'Daily Transactions'!B:B,"Sales",'Daily Transactions'!D:D,"Cash")</f>
        <v>1935</v>
      </c>
      <c r="J244" s="38" t="n">
        <f aca="false">H244+I244-D244-E244</f>
        <v>6635</v>
      </c>
      <c r="K244" s="38"/>
      <c r="L244" s="38" t="n">
        <f aca="false">SUMIFS('Daily Transactions'!C:C,'Daily Transactions'!A:A,$A244,'Daily Transactions'!B:B,"Cash Shortage",'Daily Transactions'!D:D,"Cash")</f>
        <v>0</v>
      </c>
    </row>
    <row r="245" customFormat="false" ht="15.75" hidden="false" customHeight="true" outlineLevel="0" collapsed="false">
      <c r="A245" s="37" t="n">
        <f aca="false">A244+1</f>
        <v>45899</v>
      </c>
      <c r="B245" s="38" t="n">
        <f aca="false">SUMIFS('Daily Transactions'!C:C,'Daily Transactions'!A:A,$A245,'Daily Transactions'!B:B,"Sales")</f>
        <v>16203</v>
      </c>
      <c r="C245" s="38" t="n">
        <f aca="false">SUMIFS('Daily Transactions'!C:C,'Daily Transactions'!A:A,$A245,'Daily Transactions'!B:B,"&lt;&gt;Sales")</f>
        <v>6187</v>
      </c>
      <c r="D245" s="38" t="n">
        <f aca="false">SUMIFS('Daily Transactions'!C:C,'Daily Transactions'!A:A,$A245,'Daily Transactions'!B:B,"&lt;&gt;Sales",'Daily Transactions'!D:D,"Cash")</f>
        <v>40</v>
      </c>
      <c r="E245" s="38" t="n">
        <f aca="false">SUMIFS('Daily Transactions'!C:C,'Daily Transactions'!A:A,$A245,'Daily Transactions'!B:B,"&lt;&gt;Sales",'Daily Transactions'!D:D,"Bank_Cash")</f>
        <v>3581</v>
      </c>
      <c r="F245" s="38" t="n">
        <f aca="false">SUMIFS('Daily Transactions'!C:C,'Daily Transactions'!A:A,$A245,'Daily Transactions'!B:B,"&lt;&gt;Sales",'Daily Transactions'!D:D,"Bank")</f>
        <v>2566</v>
      </c>
      <c r="G245" s="38" t="n">
        <f aca="false">B245-C245</f>
        <v>10016</v>
      </c>
      <c r="H245" s="38" t="n">
        <f aca="false">J244</f>
        <v>6635</v>
      </c>
      <c r="I245" s="38" t="n">
        <f aca="false">SUMIFS('Daily Transactions'!C:C,'Daily Transactions'!A:A,$A245,'Daily Transactions'!B:B,"Sales",'Daily Transactions'!D:D,"Cash")</f>
        <v>1470</v>
      </c>
      <c r="J245" s="38" t="n">
        <f aca="false">H245+I245-D245-E245</f>
        <v>4484</v>
      </c>
      <c r="K245" s="38"/>
      <c r="L245" s="38" t="n">
        <f aca="false">SUMIFS('Daily Transactions'!C:C,'Daily Transactions'!A:A,$A245,'Daily Transactions'!B:B,"Cash Shortage",'Daily Transactions'!D:D,"Cash")</f>
        <v>0</v>
      </c>
    </row>
    <row r="246" customFormat="false" ht="15.75" hidden="false" customHeight="true" outlineLevel="0" collapsed="false">
      <c r="A246" s="37" t="n">
        <f aca="false">A245+1</f>
        <v>45900</v>
      </c>
      <c r="B246" s="38" t="n">
        <f aca="false">SUMIFS('Daily Transactions'!C:C,'Daily Transactions'!A:A,$A246,'Daily Transactions'!B:B,"Sales")</f>
        <v>16153</v>
      </c>
      <c r="C246" s="38" t="n">
        <f aca="false">SUMIFS('Daily Transactions'!C:C,'Daily Transactions'!A:A,$A246,'Daily Transactions'!B:B,"&lt;&gt;Sales")</f>
        <v>26311</v>
      </c>
      <c r="D246" s="38" t="n">
        <f aca="false">SUMIFS('Daily Transactions'!C:C,'Daily Transactions'!A:A,$A246,'Daily Transactions'!B:B,"&lt;&gt;Sales",'Daily Transactions'!D:D,"Cash")</f>
        <v>678</v>
      </c>
      <c r="E246" s="38" t="n">
        <f aca="false">SUMIFS('Daily Transactions'!C:C,'Daily Transactions'!A:A,$A246,'Daily Transactions'!B:B,"&lt;&gt;Sales",'Daily Transactions'!D:D,"Bank_Cash")</f>
        <v>2550</v>
      </c>
      <c r="F246" s="38" t="n">
        <f aca="false">SUMIFS('Daily Transactions'!C:C,'Daily Transactions'!A:A,$A246,'Daily Transactions'!B:B,"&lt;&gt;Sales",'Daily Transactions'!D:D,"Bank")</f>
        <v>23083</v>
      </c>
      <c r="G246" s="38" t="n">
        <f aca="false">B246-C246</f>
        <v>-10158</v>
      </c>
      <c r="H246" s="38" t="n">
        <f aca="false">J245</f>
        <v>4484</v>
      </c>
      <c r="I246" s="38" t="n">
        <f aca="false">SUMIFS('Daily Transactions'!C:C,'Daily Transactions'!A:A,$A246,'Daily Transactions'!B:B,"Sales",'Daily Transactions'!D:D,"Cash")</f>
        <v>520</v>
      </c>
      <c r="J246" s="38" t="n">
        <f aca="false">H246+I246-D246-E246</f>
        <v>1776</v>
      </c>
      <c r="K246" s="38"/>
      <c r="L246" s="38" t="n">
        <f aca="false">SUMIFS('Daily Transactions'!C:C,'Daily Transactions'!A:A,$A246,'Daily Transactions'!B:B,"Cash Shortage",'Daily Transactions'!D:D,"Cash")</f>
        <v>0</v>
      </c>
    </row>
    <row r="247" customFormat="false" ht="15.75" hidden="false" customHeight="true" outlineLevel="0" collapsed="false">
      <c r="A247" s="37" t="n">
        <f aca="false">A246+1</f>
        <v>45901</v>
      </c>
      <c r="B247" s="38" t="n">
        <f aca="false">SUMIFS('Daily Transactions'!C:C,'Daily Transactions'!A:A,$A247,'Daily Transactions'!B:B,"Sales")</f>
        <v>15214</v>
      </c>
      <c r="C247" s="38" t="n">
        <f aca="false">SUMIFS('Daily Transactions'!C:C,'Daily Transactions'!A:A,$A247,'Daily Transactions'!B:B,"&lt;&gt;Sales")</f>
        <v>2679</v>
      </c>
      <c r="D247" s="38" t="n">
        <f aca="false">SUMIFS('Daily Transactions'!C:C,'Daily Transactions'!A:A,$A247,'Daily Transactions'!B:B,"&lt;&gt;Sales",'Daily Transactions'!D:D,"Cash")</f>
        <v>45</v>
      </c>
      <c r="E247" s="38" t="n">
        <f aca="false">SUMIFS('Daily Transactions'!C:C,'Daily Transactions'!A:A,$A247,'Daily Transactions'!B:B,"&lt;&gt;Sales",'Daily Transactions'!D:D,"Bank_Cash")</f>
        <v>20</v>
      </c>
      <c r="F247" s="38" t="n">
        <f aca="false">SUMIFS('Daily Transactions'!C:C,'Daily Transactions'!A:A,$A247,'Daily Transactions'!B:B,"&lt;&gt;Sales",'Daily Transactions'!D:D,"Bank")</f>
        <v>2614</v>
      </c>
      <c r="G247" s="38" t="n">
        <f aca="false">B247-C247</f>
        <v>12535</v>
      </c>
      <c r="H247" s="38" t="n">
        <f aca="false">J246</f>
        <v>1776</v>
      </c>
      <c r="I247" s="38" t="n">
        <f aca="false">SUMIFS('Daily Transactions'!C:C,'Daily Transactions'!A:A,$A247,'Daily Transactions'!B:B,"Sales",'Daily Transactions'!D:D,"Cash")</f>
        <v>2400</v>
      </c>
      <c r="J247" s="38" t="n">
        <f aca="false">H247+I247-D247-E247</f>
        <v>4111</v>
      </c>
      <c r="K247" s="38"/>
      <c r="L247" s="38" t="n">
        <f aca="false">SUMIFS('Daily Transactions'!C:C,'Daily Transactions'!A:A,$A247,'Daily Transactions'!B:B,"Cash Shortage",'Daily Transactions'!D:D,"Cash")</f>
        <v>0</v>
      </c>
    </row>
    <row r="248" customFormat="false" ht="15.75" hidden="false" customHeight="true" outlineLevel="0" collapsed="false">
      <c r="A248" s="37" t="n">
        <f aca="false">A247+1</f>
        <v>45902</v>
      </c>
      <c r="B248" s="38" t="n">
        <f aca="false">SUMIFS('Daily Transactions'!C:C,'Daily Transactions'!A:A,$A248,'Daily Transactions'!B:B,"Sales")</f>
        <v>12691</v>
      </c>
      <c r="C248" s="38" t="n">
        <f aca="false">SUMIFS('Daily Transactions'!C:C,'Daily Transactions'!A:A,$A248,'Daily Transactions'!B:B,"&lt;&gt;Sales")</f>
        <v>5925</v>
      </c>
      <c r="D248" s="38" t="n">
        <f aca="false">SUMIFS('Daily Transactions'!C:C,'Daily Transactions'!A:A,$A248,'Daily Transactions'!B:B,"&lt;&gt;Sales",'Daily Transactions'!D:D,"Cash")</f>
        <v>1220</v>
      </c>
      <c r="E248" s="38" t="n">
        <f aca="false">SUMIFS('Daily Transactions'!C:C,'Daily Transactions'!A:A,$A248,'Daily Transactions'!B:B,"&lt;&gt;Sales",'Daily Transactions'!D:D,"Bank_Cash")</f>
        <v>175</v>
      </c>
      <c r="F248" s="38" t="n">
        <f aca="false">SUMIFS('Daily Transactions'!C:C,'Daily Transactions'!A:A,$A248,'Daily Transactions'!B:B,"&lt;&gt;Sales",'Daily Transactions'!D:D,"Bank")</f>
        <v>4530</v>
      </c>
      <c r="G248" s="38" t="n">
        <f aca="false">B248-C248</f>
        <v>6766</v>
      </c>
      <c r="H248" s="38" t="n">
        <f aca="false">J247</f>
        <v>4111</v>
      </c>
      <c r="I248" s="38" t="n">
        <f aca="false">SUMIFS('Daily Transactions'!C:C,'Daily Transactions'!A:A,$A248,'Daily Transactions'!B:B,"Sales",'Daily Transactions'!D:D,"Cash")</f>
        <v>3403</v>
      </c>
      <c r="J248" s="38" t="n">
        <f aca="false">H248+I248-D248-E248</f>
        <v>6119</v>
      </c>
      <c r="K248" s="38"/>
      <c r="L248" s="38" t="n">
        <f aca="false">SUMIFS('Daily Transactions'!C:C,'Daily Transactions'!A:A,$A248,'Daily Transactions'!B:B,"Cash Shortage",'Daily Transactions'!D:D,"Cash")</f>
        <v>0</v>
      </c>
    </row>
    <row r="249" customFormat="false" ht="15.75" hidden="false" customHeight="true" outlineLevel="0" collapsed="false">
      <c r="A249" s="37" t="n">
        <f aca="false">A248+1</f>
        <v>45903</v>
      </c>
      <c r="B249" s="38" t="n">
        <f aca="false">SUMIFS('Daily Transactions'!C:C,'Daily Transactions'!A:A,$A249,'Daily Transactions'!B:B,"Sales")</f>
        <v>18518</v>
      </c>
      <c r="C249" s="38" t="n">
        <f aca="false">SUMIFS('Daily Transactions'!C:C,'Daily Transactions'!A:A,$A249,'Daily Transactions'!B:B,"&lt;&gt;Sales")</f>
        <v>6331</v>
      </c>
      <c r="D249" s="38" t="n">
        <f aca="false">SUMIFS('Daily Transactions'!C:C,'Daily Transactions'!A:A,$A249,'Daily Transactions'!B:B,"&lt;&gt;Sales",'Daily Transactions'!D:D,"Cash")</f>
        <v>20</v>
      </c>
      <c r="E249" s="38" t="n">
        <f aca="false">SUMIFS('Daily Transactions'!C:C,'Daily Transactions'!A:A,$A249,'Daily Transactions'!B:B,"&lt;&gt;Sales",'Daily Transactions'!D:D,"Bank_Cash")</f>
        <v>3165</v>
      </c>
      <c r="F249" s="38" t="n">
        <f aca="false">SUMIFS('Daily Transactions'!C:C,'Daily Transactions'!A:A,$A249,'Daily Transactions'!B:B,"&lt;&gt;Sales",'Daily Transactions'!D:D,"Bank")</f>
        <v>3146</v>
      </c>
      <c r="G249" s="38" t="n">
        <f aca="false">B249-C249</f>
        <v>12187</v>
      </c>
      <c r="H249" s="38" t="n">
        <f aca="false">J248</f>
        <v>6119</v>
      </c>
      <c r="I249" s="38" t="n">
        <f aca="false">SUMIFS('Daily Transactions'!C:C,'Daily Transactions'!A:A,$A249,'Daily Transactions'!B:B,"Sales",'Daily Transactions'!D:D,"Cash")</f>
        <v>900</v>
      </c>
      <c r="J249" s="38" t="n">
        <f aca="false">H249+I249-D249-E249</f>
        <v>3834</v>
      </c>
      <c r="K249" s="38"/>
      <c r="L249" s="38" t="n">
        <f aca="false">SUMIFS('Daily Transactions'!C:C,'Daily Transactions'!A:A,$A249,'Daily Transactions'!B:B,"Cash Shortage",'Daily Transactions'!D:D,"Cash")</f>
        <v>0</v>
      </c>
    </row>
    <row r="250" customFormat="false" ht="15.75" hidden="false" customHeight="true" outlineLevel="0" collapsed="false">
      <c r="A250" s="37" t="n">
        <f aca="false">A249+1</f>
        <v>45904</v>
      </c>
      <c r="B250" s="38" t="n">
        <f aca="false">SUMIFS('Daily Transactions'!C:C,'Daily Transactions'!A:A,$A250,'Daily Transactions'!B:B,"Sales")</f>
        <v>18476</v>
      </c>
      <c r="C250" s="38" t="n">
        <f aca="false">SUMIFS('Daily Transactions'!C:C,'Daily Transactions'!A:A,$A250,'Daily Transactions'!B:B,"&lt;&gt;Sales")</f>
        <v>15560</v>
      </c>
      <c r="D250" s="38" t="n">
        <f aca="false">SUMIFS('Daily Transactions'!C:C,'Daily Transactions'!A:A,$A250,'Daily Transactions'!B:B,"&lt;&gt;Sales",'Daily Transactions'!D:D,"Cash")</f>
        <v>255</v>
      </c>
      <c r="E250" s="38" t="n">
        <f aca="false">SUMIFS('Daily Transactions'!C:C,'Daily Transactions'!A:A,$A250,'Daily Transactions'!B:B,"&lt;&gt;Sales",'Daily Transactions'!D:D,"Bank_Cash")</f>
        <v>2110</v>
      </c>
      <c r="F250" s="38" t="n">
        <f aca="false">SUMIFS('Daily Transactions'!C:C,'Daily Transactions'!A:A,$A250,'Daily Transactions'!B:B,"&lt;&gt;Sales",'Daily Transactions'!D:D,"Bank")</f>
        <v>13195</v>
      </c>
      <c r="G250" s="38" t="n">
        <f aca="false">B250-C250</f>
        <v>2916</v>
      </c>
      <c r="H250" s="38" t="n">
        <f aca="false">J249</f>
        <v>3834</v>
      </c>
      <c r="I250" s="38" t="n">
        <f aca="false">SUMIFS('Daily Transactions'!C:C,'Daily Transactions'!A:A,$A250,'Daily Transactions'!B:B,"Sales",'Daily Transactions'!D:D,"Cash")</f>
        <v>3178</v>
      </c>
      <c r="J250" s="38" t="n">
        <f aca="false">H250+I250-D250-E250</f>
        <v>4647</v>
      </c>
      <c r="K250" s="38"/>
      <c r="L250" s="38" t="n">
        <f aca="false">SUMIFS('Daily Transactions'!C:C,'Daily Transactions'!A:A,$A250,'Daily Transactions'!B:B,"Cash Shortage",'Daily Transactions'!D:D,"Cash")</f>
        <v>0</v>
      </c>
    </row>
    <row r="251" customFormat="false" ht="15.75" hidden="false" customHeight="true" outlineLevel="0" collapsed="false">
      <c r="A251" s="37" t="n">
        <f aca="false">A250+1</f>
        <v>45905</v>
      </c>
      <c r="B251" s="38" t="n">
        <f aca="false">SUMIFS('Daily Transactions'!C:C,'Daily Transactions'!A:A,$A251,'Daily Transactions'!B:B,"Sales")</f>
        <v>16930</v>
      </c>
      <c r="C251" s="38" t="n">
        <f aca="false">SUMIFS('Daily Transactions'!C:C,'Daily Transactions'!A:A,$A251,'Daily Transactions'!B:B,"&lt;&gt;Sales")</f>
        <v>11364</v>
      </c>
      <c r="D251" s="38" t="n">
        <f aca="false">SUMIFS('Daily Transactions'!C:C,'Daily Transactions'!A:A,$A251,'Daily Transactions'!B:B,"&lt;&gt;Sales",'Daily Transactions'!D:D,"Cash")</f>
        <v>220</v>
      </c>
      <c r="E251" s="38" t="n">
        <f aca="false">SUMIFS('Daily Transactions'!C:C,'Daily Transactions'!A:A,$A251,'Daily Transactions'!B:B,"&lt;&gt;Sales",'Daily Transactions'!D:D,"Bank_Cash")</f>
        <v>3300</v>
      </c>
      <c r="F251" s="38" t="n">
        <f aca="false">SUMIFS('Daily Transactions'!C:C,'Daily Transactions'!A:A,$A251,'Daily Transactions'!B:B,"&lt;&gt;Sales",'Daily Transactions'!D:D,"Bank")</f>
        <v>7844</v>
      </c>
      <c r="G251" s="38" t="n">
        <f aca="false">B251-C251</f>
        <v>5566</v>
      </c>
      <c r="H251" s="38" t="n">
        <f aca="false">J250</f>
        <v>4647</v>
      </c>
      <c r="I251" s="38" t="n">
        <f aca="false">SUMIFS('Daily Transactions'!C:C,'Daily Transactions'!A:A,$A251,'Daily Transactions'!B:B,"Sales",'Daily Transactions'!D:D,"Cash")</f>
        <v>1940</v>
      </c>
      <c r="J251" s="38" t="n">
        <f aca="false">H251+I251-D251-E251</f>
        <v>3067</v>
      </c>
      <c r="K251" s="38"/>
      <c r="L251" s="38" t="n">
        <f aca="false">SUMIFS('Daily Transactions'!C:C,'Daily Transactions'!A:A,$A251,'Daily Transactions'!B:B,"Cash Shortage",'Daily Transactions'!D:D,"Cash")</f>
        <v>0</v>
      </c>
    </row>
    <row r="252" customFormat="false" ht="15.75" hidden="false" customHeight="true" outlineLevel="0" collapsed="false">
      <c r="A252" s="37" t="n">
        <f aca="false">A251+1</f>
        <v>45906</v>
      </c>
      <c r="B252" s="38" t="n">
        <f aca="false">SUMIFS('Daily Transactions'!C:C,'Daily Transactions'!A:A,$A252,'Daily Transactions'!B:B,"Sales")</f>
        <v>32997</v>
      </c>
      <c r="C252" s="38" t="n">
        <f aca="false">SUMIFS('Daily Transactions'!C:C,'Daily Transactions'!A:A,$A252,'Daily Transactions'!B:B,"&lt;&gt;Sales")</f>
        <v>8779</v>
      </c>
      <c r="D252" s="38" t="n">
        <f aca="false">SUMIFS('Daily Transactions'!C:C,'Daily Transactions'!A:A,$A252,'Daily Transactions'!B:B,"&lt;&gt;Sales",'Daily Transactions'!D:D,"Cash")</f>
        <v>1620</v>
      </c>
      <c r="E252" s="38" t="n">
        <f aca="false">SUMIFS('Daily Transactions'!C:C,'Daily Transactions'!A:A,$A252,'Daily Transactions'!B:B,"&lt;&gt;Sales",'Daily Transactions'!D:D,"Bank_Cash")</f>
        <v>1480</v>
      </c>
      <c r="F252" s="38" t="n">
        <f aca="false">SUMIFS('Daily Transactions'!C:C,'Daily Transactions'!A:A,$A252,'Daily Transactions'!B:B,"&lt;&gt;Sales",'Daily Transactions'!D:D,"Bank")</f>
        <v>5679</v>
      </c>
      <c r="G252" s="38" t="n">
        <f aca="false">B252-C252</f>
        <v>24218</v>
      </c>
      <c r="H252" s="38" t="n">
        <f aca="false">J251</f>
        <v>3067</v>
      </c>
      <c r="I252" s="38" t="n">
        <f aca="false">SUMIFS('Daily Transactions'!C:C,'Daily Transactions'!A:A,$A252,'Daily Transactions'!B:B,"Sales",'Daily Transactions'!D:D,"Cash")</f>
        <v>3365</v>
      </c>
      <c r="J252" s="38" t="n">
        <f aca="false">H252+I252-D252-E252</f>
        <v>3332</v>
      </c>
      <c r="K252" s="38"/>
      <c r="L252" s="38" t="n">
        <f aca="false">SUMIFS('Daily Transactions'!C:C,'Daily Transactions'!A:A,$A252,'Daily Transactions'!B:B,"Cash Shortage",'Daily Transactions'!D:D,"Cash")</f>
        <v>0</v>
      </c>
    </row>
    <row r="253" customFormat="false" ht="15.75" hidden="false" customHeight="true" outlineLevel="0" collapsed="false">
      <c r="A253" s="37" t="n">
        <f aca="false">A252+1</f>
        <v>45907</v>
      </c>
      <c r="B253" s="38" t="n">
        <f aca="false">SUMIFS('Daily Transactions'!C:C,'Daily Transactions'!A:A,$A253,'Daily Transactions'!B:B,"Sales")</f>
        <v>18821</v>
      </c>
      <c r="C253" s="38" t="n">
        <f aca="false">SUMIFS('Daily Transactions'!C:C,'Daily Transactions'!A:A,$A253,'Daily Transactions'!B:B,"&lt;&gt;Sales")</f>
        <v>10522</v>
      </c>
      <c r="D253" s="38" t="n">
        <f aca="false">SUMIFS('Daily Transactions'!C:C,'Daily Transactions'!A:A,$A253,'Daily Transactions'!B:B,"&lt;&gt;Sales",'Daily Transactions'!D:D,"Cash")</f>
        <v>190</v>
      </c>
      <c r="E253" s="38" t="n">
        <f aca="false">SUMIFS('Daily Transactions'!C:C,'Daily Transactions'!A:A,$A253,'Daily Transactions'!B:B,"&lt;&gt;Sales",'Daily Transactions'!D:D,"Bank_Cash")</f>
        <v>2285</v>
      </c>
      <c r="F253" s="38" t="n">
        <f aca="false">SUMIFS('Daily Transactions'!C:C,'Daily Transactions'!A:A,$A253,'Daily Transactions'!B:B,"&lt;&gt;Sales",'Daily Transactions'!D:D,"Bank")</f>
        <v>8047</v>
      </c>
      <c r="G253" s="38" t="n">
        <f aca="false">B253-C253</f>
        <v>8299</v>
      </c>
      <c r="H253" s="38" t="n">
        <f aca="false">J252</f>
        <v>3332</v>
      </c>
      <c r="I253" s="38" t="n">
        <f aca="false">SUMIFS('Daily Transactions'!C:C,'Daily Transactions'!A:A,$A253,'Daily Transactions'!B:B,"Sales",'Daily Transactions'!D:D,"Cash")</f>
        <v>2655</v>
      </c>
      <c r="J253" s="38" t="n">
        <f aca="false">H253+I253-D253-E253</f>
        <v>3512</v>
      </c>
      <c r="K253" s="38"/>
      <c r="L253" s="38" t="n">
        <f aca="false">SUMIFS('Daily Transactions'!C:C,'Daily Transactions'!A:A,$A253,'Daily Transactions'!B:B,"Cash Shortage",'Daily Transactions'!D:D,"Cash")</f>
        <v>0</v>
      </c>
    </row>
    <row r="254" customFormat="false" ht="15.75" hidden="false" customHeight="true" outlineLevel="0" collapsed="false">
      <c r="A254" s="37" t="n">
        <f aca="false">A253+1</f>
        <v>45908</v>
      </c>
      <c r="B254" s="38" t="n">
        <f aca="false">SUMIFS('Daily Transactions'!C:C,'Daily Transactions'!A:A,$A254,'Daily Transactions'!B:B,"Sales")</f>
        <v>12905</v>
      </c>
      <c r="C254" s="38" t="n">
        <f aca="false">SUMIFS('Daily Transactions'!C:C,'Daily Transactions'!A:A,$A254,'Daily Transactions'!B:B,"&lt;&gt;Sales")</f>
        <v>14032</v>
      </c>
      <c r="D254" s="38" t="n">
        <f aca="false">SUMIFS('Daily Transactions'!C:C,'Daily Transactions'!A:A,$A254,'Daily Transactions'!B:B,"&lt;&gt;Sales",'Daily Transactions'!D:D,"Cash")</f>
        <v>215</v>
      </c>
      <c r="E254" s="38" t="n">
        <f aca="false">SUMIFS('Daily Transactions'!C:C,'Daily Transactions'!A:A,$A254,'Daily Transactions'!B:B,"&lt;&gt;Sales",'Daily Transactions'!D:D,"Bank_Cash")</f>
        <v>2990</v>
      </c>
      <c r="F254" s="38" t="n">
        <f aca="false">SUMIFS('Daily Transactions'!C:C,'Daily Transactions'!A:A,$A254,'Daily Transactions'!B:B,"&lt;&gt;Sales",'Daily Transactions'!D:D,"Bank")</f>
        <v>10827</v>
      </c>
      <c r="G254" s="38" t="n">
        <f aca="false">B254-C254</f>
        <v>-1127</v>
      </c>
      <c r="H254" s="38" t="n">
        <f aca="false">J253</f>
        <v>3512</v>
      </c>
      <c r="I254" s="38" t="n">
        <f aca="false">SUMIFS('Daily Transactions'!C:C,'Daily Transactions'!A:A,$A254,'Daily Transactions'!B:B,"Sales",'Daily Transactions'!D:D,"Cash")</f>
        <v>406</v>
      </c>
      <c r="J254" s="38" t="n">
        <f aca="false">H254+I254-D254-E254</f>
        <v>713</v>
      </c>
      <c r="K254" s="38"/>
      <c r="L254" s="38" t="n">
        <f aca="false">SUMIFS('Daily Transactions'!C:C,'Daily Transactions'!A:A,$A254,'Daily Transactions'!B:B,"Cash Shortage",'Daily Transactions'!D:D,"Cash")</f>
        <v>0</v>
      </c>
    </row>
    <row r="255" customFormat="false" ht="15.75" hidden="false" customHeight="true" outlineLevel="0" collapsed="false">
      <c r="A255" s="37" t="n">
        <f aca="false">A254+1</f>
        <v>45909</v>
      </c>
      <c r="B255" s="38" t="n">
        <f aca="false">SUMIFS('Daily Transactions'!C:C,'Daily Transactions'!A:A,$A255,'Daily Transactions'!B:B,"Sales")</f>
        <v>18659</v>
      </c>
      <c r="C255" s="38" t="n">
        <f aca="false">SUMIFS('Daily Transactions'!C:C,'Daily Transactions'!A:A,$A255,'Daily Transactions'!B:B,"&lt;&gt;Sales")</f>
        <v>10633</v>
      </c>
      <c r="D255" s="38" t="n">
        <f aca="false">SUMIFS('Daily Transactions'!C:C,'Daily Transactions'!A:A,$A255,'Daily Transactions'!B:B,"&lt;&gt;Sales",'Daily Transactions'!D:D,"Cash")</f>
        <v>1670</v>
      </c>
      <c r="E255" s="38" t="n">
        <f aca="false">SUMIFS('Daily Transactions'!C:C,'Daily Transactions'!A:A,$A255,'Daily Transactions'!B:B,"&lt;&gt;Sales",'Daily Transactions'!D:D,"Bank_Cash")</f>
        <v>0</v>
      </c>
      <c r="F255" s="38" t="n">
        <f aca="false">SUMIFS('Daily Transactions'!C:C,'Daily Transactions'!A:A,$A255,'Daily Transactions'!B:B,"&lt;&gt;Sales",'Daily Transactions'!D:D,"Bank")</f>
        <v>8963</v>
      </c>
      <c r="G255" s="38" t="n">
        <f aca="false">B255-C255</f>
        <v>8026</v>
      </c>
      <c r="H255" s="38" t="n">
        <f aca="false">J254</f>
        <v>713</v>
      </c>
      <c r="I255" s="38" t="n">
        <f aca="false">SUMIFS('Daily Transactions'!C:C,'Daily Transactions'!A:A,$A255,'Daily Transactions'!B:B,"Sales",'Daily Transactions'!D:D,"Cash")</f>
        <v>1295</v>
      </c>
      <c r="J255" s="38" t="n">
        <f aca="false">H255+I255-D255-E255</f>
        <v>338</v>
      </c>
      <c r="K255" s="38"/>
      <c r="L255" s="38" t="n">
        <f aca="false">SUMIFS('Daily Transactions'!C:C,'Daily Transactions'!A:A,$A255,'Daily Transactions'!B:B,"Cash Shortage",'Daily Transactions'!D:D,"Cash")</f>
        <v>0</v>
      </c>
    </row>
    <row r="256" customFormat="false" ht="15.75" hidden="false" customHeight="true" outlineLevel="0" collapsed="false">
      <c r="A256" s="37" t="n">
        <f aca="false">A255+1</f>
        <v>45910</v>
      </c>
      <c r="B256" s="38" t="n">
        <f aca="false">SUMIFS('Daily Transactions'!C:C,'Daily Transactions'!A:A,$A256,'Daily Transactions'!B:B,"Sales")</f>
        <v>13634</v>
      </c>
      <c r="C256" s="38" t="n">
        <f aca="false">SUMIFS('Daily Transactions'!C:C,'Daily Transactions'!A:A,$A256,'Daily Transactions'!B:B,"&lt;&gt;Sales")</f>
        <v>9653</v>
      </c>
      <c r="D256" s="38" t="n">
        <f aca="false">SUMIFS('Daily Transactions'!C:C,'Daily Transactions'!A:A,$A256,'Daily Transactions'!B:B,"&lt;&gt;Sales",'Daily Transactions'!D:D,"Cash")</f>
        <v>350</v>
      </c>
      <c r="E256" s="38" t="n">
        <f aca="false">SUMIFS('Daily Transactions'!C:C,'Daily Transactions'!A:A,$A256,'Daily Transactions'!B:B,"&lt;&gt;Sales",'Daily Transactions'!D:D,"Bank_Cash")</f>
        <v>40</v>
      </c>
      <c r="F256" s="38" t="n">
        <f aca="false">SUMIFS('Daily Transactions'!C:C,'Daily Transactions'!A:A,$A256,'Daily Transactions'!B:B,"&lt;&gt;Sales",'Daily Transactions'!D:D,"Bank")</f>
        <v>9263</v>
      </c>
      <c r="G256" s="38" t="n">
        <f aca="false">B256-C256</f>
        <v>3981</v>
      </c>
      <c r="H256" s="38" t="n">
        <f aca="false">J255</f>
        <v>338</v>
      </c>
      <c r="I256" s="38" t="n">
        <f aca="false">SUMIFS('Daily Transactions'!C:C,'Daily Transactions'!A:A,$A256,'Daily Transactions'!B:B,"Sales",'Daily Transactions'!D:D,"Cash")</f>
        <v>2839</v>
      </c>
      <c r="J256" s="38" t="n">
        <f aca="false">H256+I256-D256-E256</f>
        <v>2787</v>
      </c>
      <c r="K256" s="38"/>
      <c r="L256" s="38" t="n">
        <f aca="false">SUMIFS('Daily Transactions'!C:C,'Daily Transactions'!A:A,$A256,'Daily Transactions'!B:B,"Cash Shortage",'Daily Transactions'!D:D,"Cash")</f>
        <v>0</v>
      </c>
    </row>
    <row r="257" customFormat="false" ht="15.75" hidden="false" customHeight="true" outlineLevel="0" collapsed="false">
      <c r="A257" s="37" t="n">
        <f aca="false">A256+1</f>
        <v>45911</v>
      </c>
      <c r="B257" s="38" t="n">
        <f aca="false">SUMIFS('Daily Transactions'!C:C,'Daily Transactions'!A:A,$A257,'Daily Transactions'!B:B,"Sales")</f>
        <v>17953</v>
      </c>
      <c r="C257" s="38" t="n">
        <f aca="false">SUMIFS('Daily Transactions'!C:C,'Daily Transactions'!A:A,$A257,'Daily Transactions'!B:B,"&lt;&gt;Sales")</f>
        <v>31366</v>
      </c>
      <c r="D257" s="38" t="n">
        <f aca="false">SUMIFS('Daily Transactions'!C:C,'Daily Transactions'!A:A,$A257,'Daily Transactions'!B:B,"&lt;&gt;Sales",'Daily Transactions'!D:D,"Cash")</f>
        <v>55</v>
      </c>
      <c r="E257" s="38" t="n">
        <f aca="false">SUMIFS('Daily Transactions'!C:C,'Daily Transactions'!A:A,$A257,'Daily Transactions'!B:B,"&lt;&gt;Sales",'Daily Transactions'!D:D,"Bank_Cash")</f>
        <v>920</v>
      </c>
      <c r="F257" s="38" t="n">
        <f aca="false">SUMIFS('Daily Transactions'!C:C,'Daily Transactions'!A:A,$A257,'Daily Transactions'!B:B,"&lt;&gt;Sales",'Daily Transactions'!D:D,"Bank")</f>
        <v>30391</v>
      </c>
      <c r="G257" s="38" t="n">
        <f aca="false">B257-C257</f>
        <v>-13413</v>
      </c>
      <c r="H257" s="38" t="n">
        <f aca="false">J256</f>
        <v>2787</v>
      </c>
      <c r="I257" s="38" t="n">
        <f aca="false">SUMIFS('Daily Transactions'!C:C,'Daily Transactions'!A:A,$A257,'Daily Transactions'!B:B,"Sales",'Daily Transactions'!D:D,"Cash")</f>
        <v>3311</v>
      </c>
      <c r="J257" s="38" t="n">
        <f aca="false">H257+I257-D257-E257</f>
        <v>5123</v>
      </c>
      <c r="K257" s="38"/>
      <c r="L257" s="38" t="n">
        <f aca="false">SUMIFS('Daily Transactions'!C:C,'Daily Transactions'!A:A,$A257,'Daily Transactions'!B:B,"Cash Shortage",'Daily Transactions'!D:D,"Cash")</f>
        <v>0</v>
      </c>
    </row>
    <row r="258" customFormat="false" ht="15.75" hidden="false" customHeight="true" outlineLevel="0" collapsed="false">
      <c r="A258" s="37" t="n">
        <f aca="false">A257+1</f>
        <v>45912</v>
      </c>
      <c r="B258" s="38" t="n">
        <f aca="false">SUMIFS('Daily Transactions'!C:C,'Daily Transactions'!A:A,$A258,'Daily Transactions'!B:B,"Sales")</f>
        <v>26362</v>
      </c>
      <c r="C258" s="38" t="n">
        <f aca="false">SUMIFS('Daily Transactions'!C:C,'Daily Transactions'!A:A,$A258,'Daily Transactions'!B:B,"&lt;&gt;Sales")</f>
        <v>7712</v>
      </c>
      <c r="D258" s="38" t="n">
        <f aca="false">SUMIFS('Daily Transactions'!C:C,'Daily Transactions'!A:A,$A258,'Daily Transactions'!B:B,"&lt;&gt;Sales",'Daily Transactions'!D:D,"Cash")</f>
        <v>75</v>
      </c>
      <c r="E258" s="38" t="n">
        <f aca="false">SUMIFS('Daily Transactions'!C:C,'Daily Transactions'!A:A,$A258,'Daily Transactions'!B:B,"&lt;&gt;Sales",'Daily Transactions'!D:D,"Bank_Cash")</f>
        <v>300</v>
      </c>
      <c r="F258" s="38" t="n">
        <f aca="false">SUMIFS('Daily Transactions'!C:C,'Daily Transactions'!A:A,$A258,'Daily Transactions'!B:B,"&lt;&gt;Sales",'Daily Transactions'!D:D,"Bank")</f>
        <v>7337</v>
      </c>
      <c r="G258" s="38" t="n">
        <f aca="false">B258-C258</f>
        <v>18650</v>
      </c>
      <c r="H258" s="38" t="n">
        <f aca="false">J257</f>
        <v>5123</v>
      </c>
      <c r="I258" s="38" t="n">
        <f aca="false">SUMIFS('Daily Transactions'!C:C,'Daily Transactions'!A:A,$A258,'Daily Transactions'!B:B,"Sales",'Daily Transactions'!D:D,"Cash")</f>
        <v>3119</v>
      </c>
      <c r="J258" s="38" t="n">
        <f aca="false">H258+I258-D258-E258</f>
        <v>7867</v>
      </c>
      <c r="K258" s="38"/>
      <c r="L258" s="38" t="n">
        <f aca="false">SUMIFS('Daily Transactions'!C:C,'Daily Transactions'!A:A,$A258,'Daily Transactions'!B:B,"Cash Shortage",'Daily Transactions'!D:D,"Cash")</f>
        <v>0</v>
      </c>
    </row>
    <row r="259" customFormat="false" ht="15.75" hidden="false" customHeight="true" outlineLevel="0" collapsed="false">
      <c r="A259" s="37" t="n">
        <f aca="false">A258+1</f>
        <v>45913</v>
      </c>
      <c r="B259" s="38" t="n">
        <f aca="false">SUMIFS('Daily Transactions'!C:C,'Daily Transactions'!A:A,$A259,'Daily Transactions'!B:B,"Sales")</f>
        <v>22020</v>
      </c>
      <c r="C259" s="38" t="n">
        <f aca="false">SUMIFS('Daily Transactions'!C:C,'Daily Transactions'!A:A,$A259,'Daily Transactions'!B:B,"&lt;&gt;Sales")</f>
        <v>8878</v>
      </c>
      <c r="D259" s="38" t="n">
        <f aca="false">SUMIFS('Daily Transactions'!C:C,'Daily Transactions'!A:A,$A259,'Daily Transactions'!B:B,"&lt;&gt;Sales",'Daily Transactions'!D:D,"Cash")</f>
        <v>10</v>
      </c>
      <c r="E259" s="38" t="n">
        <f aca="false">SUMIFS('Daily Transactions'!C:C,'Daily Transactions'!A:A,$A259,'Daily Transactions'!B:B,"&lt;&gt;Sales",'Daily Transactions'!D:D,"Bank_Cash")</f>
        <v>3860</v>
      </c>
      <c r="F259" s="38" t="n">
        <f aca="false">SUMIFS('Daily Transactions'!C:C,'Daily Transactions'!A:A,$A259,'Daily Transactions'!B:B,"&lt;&gt;Sales",'Daily Transactions'!D:D,"Bank")</f>
        <v>5008</v>
      </c>
      <c r="G259" s="38" t="n">
        <f aca="false">B259-C259</f>
        <v>13142</v>
      </c>
      <c r="H259" s="38" t="n">
        <f aca="false">J258</f>
        <v>7867</v>
      </c>
      <c r="I259" s="38" t="n">
        <f aca="false">SUMIFS('Daily Transactions'!C:C,'Daily Transactions'!A:A,$A259,'Daily Transactions'!B:B,"Sales",'Daily Transactions'!D:D,"Cash")</f>
        <v>1475</v>
      </c>
      <c r="J259" s="38" t="n">
        <f aca="false">H259+I259-D259-E259</f>
        <v>5472</v>
      </c>
      <c r="K259" s="38"/>
      <c r="L259" s="38" t="n">
        <f aca="false">SUMIFS('Daily Transactions'!C:C,'Daily Transactions'!A:A,$A259,'Daily Transactions'!B:B,"Cash Shortage",'Daily Transactions'!D:D,"Cash")</f>
        <v>0</v>
      </c>
    </row>
    <row r="260" customFormat="false" ht="15.75" hidden="false" customHeight="true" outlineLevel="0" collapsed="false">
      <c r="A260" s="37" t="n">
        <f aca="false">A259+1</f>
        <v>45914</v>
      </c>
      <c r="B260" s="38" t="n">
        <f aca="false">SUMIFS('Daily Transactions'!C:C,'Daily Transactions'!A:A,$A260,'Daily Transactions'!B:B,"Sales")</f>
        <v>24689</v>
      </c>
      <c r="C260" s="38" t="n">
        <f aca="false">SUMIFS('Daily Transactions'!C:C,'Daily Transactions'!A:A,$A260,'Daily Transactions'!B:B,"&lt;&gt;Sales")</f>
        <v>7523</v>
      </c>
      <c r="D260" s="38" t="n">
        <f aca="false">SUMIFS('Daily Transactions'!C:C,'Daily Transactions'!A:A,$A260,'Daily Transactions'!B:B,"&lt;&gt;Sales",'Daily Transactions'!D:D,"Cash")</f>
        <v>20</v>
      </c>
      <c r="E260" s="38" t="n">
        <f aca="false">SUMIFS('Daily Transactions'!C:C,'Daily Transactions'!A:A,$A260,'Daily Transactions'!B:B,"&lt;&gt;Sales",'Daily Transactions'!D:D,"Bank_Cash")</f>
        <v>885</v>
      </c>
      <c r="F260" s="38" t="n">
        <f aca="false">SUMIFS('Daily Transactions'!C:C,'Daily Transactions'!A:A,$A260,'Daily Transactions'!B:B,"&lt;&gt;Sales",'Daily Transactions'!D:D,"Bank")</f>
        <v>6618</v>
      </c>
      <c r="G260" s="38" t="n">
        <f aca="false">B260-C260</f>
        <v>17166</v>
      </c>
      <c r="H260" s="38" t="n">
        <f aca="false">J259</f>
        <v>5472</v>
      </c>
      <c r="I260" s="38" t="n">
        <f aca="false">SUMIFS('Daily Transactions'!C:C,'Daily Transactions'!A:A,$A260,'Daily Transactions'!B:B,"Sales",'Daily Transactions'!D:D,"Cash")</f>
        <v>1550</v>
      </c>
      <c r="J260" s="38" t="n">
        <f aca="false">H260+I260-D260-E260</f>
        <v>6117</v>
      </c>
      <c r="K260" s="38"/>
      <c r="L260" s="38" t="n">
        <f aca="false">SUMIFS('Daily Transactions'!C:C,'Daily Transactions'!A:A,$A260,'Daily Transactions'!B:B,"Cash Shortage",'Daily Transactions'!D:D,"Cash")</f>
        <v>0</v>
      </c>
    </row>
    <row r="261" customFormat="false" ht="15.75" hidden="false" customHeight="true" outlineLevel="0" collapsed="false">
      <c r="A261" s="37" t="n">
        <f aca="false">A260+1</f>
        <v>45915</v>
      </c>
      <c r="B261" s="38" t="n">
        <f aca="false">SUMIFS('Daily Transactions'!C:C,'Daily Transactions'!A:A,$A261,'Daily Transactions'!B:B,"Sales")</f>
        <v>14389</v>
      </c>
      <c r="C261" s="38" t="n">
        <f aca="false">SUMIFS('Daily Transactions'!C:C,'Daily Transactions'!A:A,$A261,'Daily Transactions'!B:B,"&lt;&gt;Sales")</f>
        <v>12811</v>
      </c>
      <c r="D261" s="38" t="n">
        <f aca="false">SUMIFS('Daily Transactions'!C:C,'Daily Transactions'!A:A,$A261,'Daily Transactions'!B:B,"&lt;&gt;Sales",'Daily Transactions'!D:D,"Cash")</f>
        <v>1225</v>
      </c>
      <c r="E261" s="38" t="n">
        <f aca="false">SUMIFS('Daily Transactions'!C:C,'Daily Transactions'!A:A,$A261,'Daily Transactions'!B:B,"&lt;&gt;Sales",'Daily Transactions'!D:D,"Bank_Cash")</f>
        <v>5410</v>
      </c>
      <c r="F261" s="38" t="n">
        <f aca="false">SUMIFS('Daily Transactions'!C:C,'Daily Transactions'!A:A,$A261,'Daily Transactions'!B:B,"&lt;&gt;Sales",'Daily Transactions'!D:D,"Bank")</f>
        <v>6176</v>
      </c>
      <c r="G261" s="38" t="n">
        <f aca="false">B261-C261</f>
        <v>1578</v>
      </c>
      <c r="H261" s="38" t="n">
        <f aca="false">J260</f>
        <v>6117</v>
      </c>
      <c r="I261" s="38" t="n">
        <f aca="false">SUMIFS('Daily Transactions'!C:C,'Daily Transactions'!A:A,$A261,'Daily Transactions'!B:B,"Sales",'Daily Transactions'!D:D,"Cash")</f>
        <v>1759</v>
      </c>
      <c r="J261" s="38" t="n">
        <f aca="false">H261+I261-D261-E261</f>
        <v>1241</v>
      </c>
      <c r="K261" s="38"/>
      <c r="L261" s="38" t="n">
        <f aca="false">SUMIFS('Daily Transactions'!C:C,'Daily Transactions'!A:A,$A261,'Daily Transactions'!B:B,"Cash Shortage",'Daily Transactions'!D:D,"Cash")</f>
        <v>0</v>
      </c>
    </row>
    <row r="262" customFormat="false" ht="15.75" hidden="false" customHeight="true" outlineLevel="0" collapsed="false">
      <c r="A262" s="37" t="n">
        <f aca="false">A261+1</f>
        <v>45916</v>
      </c>
      <c r="B262" s="38" t="n">
        <f aca="false">SUMIFS('Daily Transactions'!C:C,'Daily Transactions'!A:A,$A262,'Daily Transactions'!B:B,"Sales")</f>
        <v>20455</v>
      </c>
      <c r="C262" s="38" t="n">
        <f aca="false">SUMIFS('Daily Transactions'!C:C,'Daily Transactions'!A:A,$A262,'Daily Transactions'!B:B,"&lt;&gt;Sales")</f>
        <v>8608</v>
      </c>
      <c r="D262" s="38" t="n">
        <f aca="false">SUMIFS('Daily Transactions'!C:C,'Daily Transactions'!A:A,$A262,'Daily Transactions'!B:B,"&lt;&gt;Sales",'Daily Transactions'!D:D,"Cash")</f>
        <v>2326</v>
      </c>
      <c r="E262" s="38" t="n">
        <f aca="false">SUMIFS('Daily Transactions'!C:C,'Daily Transactions'!A:A,$A262,'Daily Transactions'!B:B,"&lt;&gt;Sales",'Daily Transactions'!D:D,"Bank_Cash")</f>
        <v>1055</v>
      </c>
      <c r="F262" s="38" t="n">
        <f aca="false">SUMIFS('Daily Transactions'!C:C,'Daily Transactions'!A:A,$A262,'Daily Transactions'!B:B,"&lt;&gt;Sales",'Daily Transactions'!D:D,"Bank")</f>
        <v>5227</v>
      </c>
      <c r="G262" s="38" t="n">
        <f aca="false">B262-C262</f>
        <v>11847</v>
      </c>
      <c r="H262" s="38" t="n">
        <f aca="false">J261</f>
        <v>1241</v>
      </c>
      <c r="I262" s="38" t="n">
        <f aca="false">SUMIFS('Daily Transactions'!C:C,'Daily Transactions'!A:A,$A262,'Daily Transactions'!B:B,"Sales",'Daily Transactions'!D:D,"Cash")</f>
        <v>2790</v>
      </c>
      <c r="J262" s="38" t="n">
        <f aca="false">H262+I262-D262-E262</f>
        <v>650</v>
      </c>
      <c r="K262" s="38"/>
      <c r="L262" s="38" t="n">
        <f aca="false">SUMIFS('Daily Transactions'!C:C,'Daily Transactions'!A:A,$A262,'Daily Transactions'!B:B,"Cash Shortage",'Daily Transactions'!D:D,"Cash")</f>
        <v>0</v>
      </c>
    </row>
    <row r="263" customFormat="false" ht="15.75" hidden="false" customHeight="true" outlineLevel="0" collapsed="false">
      <c r="A263" s="37" t="n">
        <f aca="false">A262+1</f>
        <v>45917</v>
      </c>
      <c r="B263" s="38" t="n">
        <f aca="false">SUMIFS('Daily Transactions'!C:C,'Daily Transactions'!A:A,$A263,'Daily Transactions'!B:B,"Sales")</f>
        <v>21461</v>
      </c>
      <c r="C263" s="38" t="n">
        <f aca="false">SUMIFS('Daily Transactions'!C:C,'Daily Transactions'!A:A,$A263,'Daily Transactions'!B:B,"&lt;&gt;Sales")</f>
        <v>13002</v>
      </c>
      <c r="D263" s="38" t="n">
        <f aca="false">SUMIFS('Daily Transactions'!C:C,'Daily Transactions'!A:A,$A263,'Daily Transactions'!B:B,"&lt;&gt;Sales",'Daily Transactions'!D:D,"Cash")</f>
        <v>1000</v>
      </c>
      <c r="E263" s="38" t="n">
        <f aca="false">SUMIFS('Daily Transactions'!C:C,'Daily Transactions'!A:A,$A263,'Daily Transactions'!B:B,"&lt;&gt;Sales",'Daily Transactions'!D:D,"Bank_Cash")</f>
        <v>100</v>
      </c>
      <c r="F263" s="38" t="n">
        <f aca="false">SUMIFS('Daily Transactions'!C:C,'Daily Transactions'!A:A,$A263,'Daily Transactions'!B:B,"&lt;&gt;Sales",'Daily Transactions'!D:D,"Bank")</f>
        <v>11902</v>
      </c>
      <c r="G263" s="38" t="n">
        <f aca="false">B263-C263</f>
        <v>8459</v>
      </c>
      <c r="H263" s="38" t="n">
        <f aca="false">J262</f>
        <v>650</v>
      </c>
      <c r="I263" s="38" t="n">
        <f aca="false">SUMIFS('Daily Transactions'!C:C,'Daily Transactions'!A:A,$A263,'Daily Transactions'!B:B,"Sales",'Daily Transactions'!D:D,"Cash")</f>
        <v>2000</v>
      </c>
      <c r="J263" s="38" t="n">
        <f aca="false">H263+I263-D263-E263</f>
        <v>1550</v>
      </c>
      <c r="K263" s="38"/>
      <c r="L263" s="38" t="n">
        <f aca="false">SUMIFS('Daily Transactions'!C:C,'Daily Transactions'!A:A,$A263,'Daily Transactions'!B:B,"Cash Shortage",'Daily Transactions'!D:D,"Cash")</f>
        <v>0</v>
      </c>
    </row>
    <row r="264" customFormat="false" ht="15.75" hidden="false" customHeight="true" outlineLevel="0" collapsed="false">
      <c r="A264" s="37" t="n">
        <f aca="false">A263+1</f>
        <v>45918</v>
      </c>
      <c r="B264" s="38" t="n">
        <f aca="false">SUMIFS('Daily Transactions'!C:C,'Daily Transactions'!A:A,$A264,'Daily Transactions'!B:B,"Sales")</f>
        <v>22759</v>
      </c>
      <c r="C264" s="38" t="n">
        <f aca="false">SUMIFS('Daily Transactions'!C:C,'Daily Transactions'!A:A,$A264,'Daily Transactions'!B:B,"&lt;&gt;Sales")</f>
        <v>7882</v>
      </c>
      <c r="D264" s="38" t="n">
        <f aca="false">SUMIFS('Daily Transactions'!C:C,'Daily Transactions'!A:A,$A264,'Daily Transactions'!B:B,"&lt;&gt;Sales",'Daily Transactions'!D:D,"Cash")</f>
        <v>1280</v>
      </c>
      <c r="E264" s="38" t="n">
        <f aca="false">SUMIFS('Daily Transactions'!C:C,'Daily Transactions'!A:A,$A264,'Daily Transactions'!B:B,"&lt;&gt;Sales",'Daily Transactions'!D:D,"Bank_Cash")</f>
        <v>0</v>
      </c>
      <c r="F264" s="38" t="n">
        <f aca="false">SUMIFS('Daily Transactions'!C:C,'Daily Transactions'!A:A,$A264,'Daily Transactions'!B:B,"&lt;&gt;Sales",'Daily Transactions'!D:D,"Bank")</f>
        <v>6602</v>
      </c>
      <c r="G264" s="38" t="n">
        <f aca="false">B264-C264</f>
        <v>14877</v>
      </c>
      <c r="H264" s="38" t="n">
        <f aca="false">J263</f>
        <v>1550</v>
      </c>
      <c r="I264" s="38" t="n">
        <f aca="false">SUMIFS('Daily Transactions'!C:C,'Daily Transactions'!A:A,$A264,'Daily Transactions'!B:B,"Sales",'Daily Transactions'!D:D,"Cash")</f>
        <v>4180</v>
      </c>
      <c r="J264" s="38" t="n">
        <f aca="false">H264+I264-D264-E264</f>
        <v>4450</v>
      </c>
      <c r="K264" s="38"/>
      <c r="L264" s="38" t="n">
        <f aca="false">SUMIFS('Daily Transactions'!C:C,'Daily Transactions'!A:A,$A264,'Daily Transactions'!B:B,"Cash Shortage",'Daily Transactions'!D:D,"Cash")</f>
        <v>0</v>
      </c>
    </row>
    <row r="265" customFormat="false" ht="15.75" hidden="false" customHeight="true" outlineLevel="0" collapsed="false">
      <c r="A265" s="37" t="n">
        <f aca="false">A264+1</f>
        <v>45919</v>
      </c>
      <c r="B265" s="38" t="n">
        <f aca="false">SUMIFS('Daily Transactions'!C:C,'Daily Transactions'!A:A,$A265,'Daily Transactions'!B:B,"Sales")</f>
        <v>31588</v>
      </c>
      <c r="C265" s="38" t="n">
        <f aca="false">SUMIFS('Daily Transactions'!C:C,'Daily Transactions'!A:A,$A265,'Daily Transactions'!B:B,"&lt;&gt;Sales")</f>
        <v>10854</v>
      </c>
      <c r="D265" s="38" t="n">
        <f aca="false">SUMIFS('Daily Transactions'!C:C,'Daily Transactions'!A:A,$A265,'Daily Transactions'!B:B,"&lt;&gt;Sales",'Daily Transactions'!D:D,"Cash")</f>
        <v>1855</v>
      </c>
      <c r="E265" s="38" t="n">
        <f aca="false">SUMIFS('Daily Transactions'!C:C,'Daily Transactions'!A:A,$A265,'Daily Transactions'!B:B,"&lt;&gt;Sales",'Daily Transactions'!D:D,"Bank_Cash")</f>
        <v>3070</v>
      </c>
      <c r="F265" s="38" t="n">
        <f aca="false">SUMIFS('Daily Transactions'!C:C,'Daily Transactions'!A:A,$A265,'Daily Transactions'!B:B,"&lt;&gt;Sales",'Daily Transactions'!D:D,"Bank")</f>
        <v>5929</v>
      </c>
      <c r="G265" s="38" t="n">
        <f aca="false">B265-C265</f>
        <v>20734</v>
      </c>
      <c r="H265" s="38" t="n">
        <f aca="false">J264</f>
        <v>4450</v>
      </c>
      <c r="I265" s="38" t="n">
        <f aca="false">SUMIFS('Daily Transactions'!C:C,'Daily Transactions'!A:A,$A265,'Daily Transactions'!B:B,"Sales",'Daily Transactions'!D:D,"Cash")</f>
        <v>5625</v>
      </c>
      <c r="J265" s="38" t="n">
        <f aca="false">H265+I265-D265-E265</f>
        <v>5150</v>
      </c>
      <c r="K265" s="38"/>
      <c r="L265" s="38" t="n">
        <f aca="false">SUMIFS('Daily Transactions'!C:C,'Daily Transactions'!A:A,$A265,'Daily Transactions'!B:B,"Cash Shortage",'Daily Transactions'!D:D,"Cash")</f>
        <v>0</v>
      </c>
    </row>
    <row r="266" customFormat="false" ht="15.75" hidden="false" customHeight="true" outlineLevel="0" collapsed="false">
      <c r="A266" s="37" t="n">
        <f aca="false">A265+1</f>
        <v>45920</v>
      </c>
      <c r="B266" s="38" t="n">
        <f aca="false">SUMIFS('Daily Transactions'!C:C,'Daily Transactions'!A:A,$A266,'Daily Transactions'!B:B,"Sales")</f>
        <v>31197</v>
      </c>
      <c r="C266" s="38" t="n">
        <f aca="false">SUMIFS('Daily Transactions'!C:C,'Daily Transactions'!A:A,$A266,'Daily Transactions'!B:B,"&lt;&gt;Sales")</f>
        <v>16709</v>
      </c>
      <c r="D266" s="38" t="n">
        <f aca="false">SUMIFS('Daily Transactions'!C:C,'Daily Transactions'!A:A,$A266,'Daily Transactions'!B:B,"&lt;&gt;Sales",'Daily Transactions'!D:D,"Cash")</f>
        <v>1384</v>
      </c>
      <c r="E266" s="38" t="n">
        <f aca="false">SUMIFS('Daily Transactions'!C:C,'Daily Transactions'!A:A,$A266,'Daily Transactions'!B:B,"&lt;&gt;Sales",'Daily Transactions'!D:D,"Bank_Cash")</f>
        <v>4080</v>
      </c>
      <c r="F266" s="38" t="n">
        <f aca="false">SUMIFS('Daily Transactions'!C:C,'Daily Transactions'!A:A,$A266,'Daily Transactions'!B:B,"&lt;&gt;Sales",'Daily Transactions'!D:D,"Bank")</f>
        <v>11245</v>
      </c>
      <c r="G266" s="38" t="n">
        <f aca="false">B266-C266</f>
        <v>14488</v>
      </c>
      <c r="H266" s="38" t="n">
        <f aca="false">J265</f>
        <v>5150</v>
      </c>
      <c r="I266" s="38" t="n">
        <f aca="false">SUMIFS('Daily Transactions'!C:C,'Daily Transactions'!A:A,$A266,'Daily Transactions'!B:B,"Sales",'Daily Transactions'!D:D,"Cash")</f>
        <v>2414</v>
      </c>
      <c r="J266" s="38" t="n">
        <f aca="false">H266+I266-D266-E266</f>
        <v>2100</v>
      </c>
      <c r="K266" s="38"/>
      <c r="L266" s="38" t="n">
        <f aca="false">SUMIFS('Daily Transactions'!C:C,'Daily Transactions'!A:A,$A266,'Daily Transactions'!B:B,"Cash Shortage",'Daily Transactions'!D:D,"Cash")</f>
        <v>0</v>
      </c>
    </row>
    <row r="267" customFormat="false" ht="15.75" hidden="false" customHeight="true" outlineLevel="0" collapsed="false">
      <c r="A267" s="37" t="n">
        <f aca="false">A266+1</f>
        <v>45921</v>
      </c>
      <c r="B267" s="38" t="n">
        <f aca="false">SUMIFS('Daily Transactions'!C:C,'Daily Transactions'!A:A,$A267,'Daily Transactions'!B:B,"Sales")</f>
        <v>28246</v>
      </c>
      <c r="C267" s="38" t="n">
        <f aca="false">SUMIFS('Daily Transactions'!C:C,'Daily Transactions'!A:A,$A267,'Daily Transactions'!B:B,"&lt;&gt;Sales")</f>
        <v>10129</v>
      </c>
      <c r="D267" s="38" t="n">
        <f aca="false">SUMIFS('Daily Transactions'!C:C,'Daily Transactions'!A:A,$A267,'Daily Transactions'!B:B,"&lt;&gt;Sales",'Daily Transactions'!D:D,"Cash")</f>
        <v>940</v>
      </c>
      <c r="E267" s="38" t="n">
        <f aca="false">SUMIFS('Daily Transactions'!C:C,'Daily Transactions'!A:A,$A267,'Daily Transactions'!B:B,"&lt;&gt;Sales",'Daily Transactions'!D:D,"Bank_Cash")</f>
        <v>835</v>
      </c>
      <c r="F267" s="38" t="n">
        <f aca="false">SUMIFS('Daily Transactions'!C:C,'Daily Transactions'!A:A,$A267,'Daily Transactions'!B:B,"&lt;&gt;Sales",'Daily Transactions'!D:D,"Bank")</f>
        <v>8354</v>
      </c>
      <c r="G267" s="38" t="n">
        <f aca="false">B267-C267</f>
        <v>18117</v>
      </c>
      <c r="H267" s="38" t="n">
        <f aca="false">J266</f>
        <v>2100</v>
      </c>
      <c r="I267" s="38" t="n">
        <f aca="false">SUMIFS('Daily Transactions'!C:C,'Daily Transactions'!A:A,$A267,'Daily Transactions'!B:B,"Sales",'Daily Transactions'!D:D,"Cash")</f>
        <v>1825</v>
      </c>
      <c r="J267" s="38" t="n">
        <f aca="false">H267+I267-D267-E267</f>
        <v>2150</v>
      </c>
      <c r="K267" s="38"/>
      <c r="L267" s="38" t="n">
        <f aca="false">SUMIFS('Daily Transactions'!C:C,'Daily Transactions'!A:A,$A267,'Daily Transactions'!B:B,"Cash Shortage",'Daily Transactions'!D:D,"Cash")</f>
        <v>0</v>
      </c>
    </row>
    <row r="268" customFormat="false" ht="15.75" hidden="false" customHeight="true" outlineLevel="0" collapsed="false">
      <c r="A268" s="37" t="n">
        <f aca="false">A267+1</f>
        <v>45922</v>
      </c>
      <c r="B268" s="38" t="n">
        <f aca="false">SUMIFS('Daily Transactions'!C:C,'Daily Transactions'!A:A,$A268,'Daily Transactions'!B:B,"Sales")</f>
        <v>10818</v>
      </c>
      <c r="C268" s="38" t="n">
        <f aca="false">SUMIFS('Daily Transactions'!C:C,'Daily Transactions'!A:A,$A268,'Daily Transactions'!B:B,"&lt;&gt;Sales")</f>
        <v>50849</v>
      </c>
      <c r="D268" s="38" t="n">
        <f aca="false">SUMIFS('Daily Transactions'!C:C,'Daily Transactions'!A:A,$A268,'Daily Transactions'!B:B,"&lt;&gt;Sales",'Daily Transactions'!D:D,"Cash")</f>
        <v>180</v>
      </c>
      <c r="E268" s="38" t="n">
        <f aca="false">SUMIFS('Daily Transactions'!C:C,'Daily Transactions'!A:A,$A268,'Daily Transactions'!B:B,"&lt;&gt;Sales",'Daily Transactions'!D:D,"Bank_Cash")</f>
        <v>700</v>
      </c>
      <c r="F268" s="38" t="n">
        <f aca="false">SUMIFS('Daily Transactions'!C:C,'Daily Transactions'!A:A,$A268,'Daily Transactions'!B:B,"&lt;&gt;Sales",'Daily Transactions'!D:D,"Bank")</f>
        <v>49969</v>
      </c>
      <c r="G268" s="38" t="n">
        <f aca="false">B268-C268</f>
        <v>-40031</v>
      </c>
      <c r="H268" s="38" t="n">
        <f aca="false">J267</f>
        <v>2150</v>
      </c>
      <c r="I268" s="38" t="n">
        <f aca="false">SUMIFS('Daily Transactions'!C:C,'Daily Transactions'!A:A,$A268,'Daily Transactions'!B:B,"Sales",'Daily Transactions'!D:D,"Cash")</f>
        <v>1430</v>
      </c>
      <c r="J268" s="38" t="n">
        <f aca="false">H268+I268-D268-E268</f>
        <v>2700</v>
      </c>
      <c r="K268" s="38"/>
      <c r="L268" s="38" t="n">
        <f aca="false">SUMIFS('Daily Transactions'!C:C,'Daily Transactions'!A:A,$A268,'Daily Transactions'!B:B,"Cash Shortage",'Daily Transactions'!D:D,"Cash")</f>
        <v>0</v>
      </c>
    </row>
    <row r="269" customFormat="false" ht="15.75" hidden="false" customHeight="true" outlineLevel="0" collapsed="false">
      <c r="A269" s="37" t="n">
        <f aca="false">A268+1</f>
        <v>45923</v>
      </c>
      <c r="B269" s="38" t="n">
        <f aca="false">SUMIFS('Daily Transactions'!C:C,'Daily Transactions'!A:A,$A269,'Daily Transactions'!B:B,"Sales")</f>
        <v>13267</v>
      </c>
      <c r="C269" s="38" t="n">
        <f aca="false">SUMIFS('Daily Transactions'!C:C,'Daily Transactions'!A:A,$A269,'Daily Transactions'!B:B,"&lt;&gt;Sales")</f>
        <v>25809</v>
      </c>
      <c r="D269" s="38" t="n">
        <f aca="false">SUMIFS('Daily Transactions'!C:C,'Daily Transactions'!A:A,$A269,'Daily Transactions'!B:B,"&lt;&gt;Sales",'Daily Transactions'!D:D,"Cash")</f>
        <v>770</v>
      </c>
      <c r="E269" s="38" t="n">
        <f aca="false">SUMIFS('Daily Transactions'!C:C,'Daily Transactions'!A:A,$A269,'Daily Transactions'!B:B,"&lt;&gt;Sales",'Daily Transactions'!D:D,"Bank_Cash")</f>
        <v>1650</v>
      </c>
      <c r="F269" s="38" t="n">
        <f aca="false">SUMIFS('Daily Transactions'!C:C,'Daily Transactions'!A:A,$A269,'Daily Transactions'!B:B,"&lt;&gt;Sales",'Daily Transactions'!D:D,"Bank")</f>
        <v>23389</v>
      </c>
      <c r="G269" s="38" t="n">
        <f aca="false">B269-C269</f>
        <v>-12542</v>
      </c>
      <c r="H269" s="38" t="n">
        <f aca="false">J268</f>
        <v>2700</v>
      </c>
      <c r="I269" s="38" t="n">
        <f aca="false">SUMIFS('Daily Transactions'!C:C,'Daily Transactions'!A:A,$A269,'Daily Transactions'!B:B,"Sales",'Daily Transactions'!D:D,"Cash")</f>
        <v>2820</v>
      </c>
      <c r="J269" s="38" t="n">
        <f aca="false">H269+I269-D269-E269</f>
        <v>3100</v>
      </c>
      <c r="K269" s="38"/>
      <c r="L269" s="38" t="n">
        <f aca="false">SUMIFS('Daily Transactions'!C:C,'Daily Transactions'!A:A,$A269,'Daily Transactions'!B:B,"Cash Shortage",'Daily Transactions'!D:D,"Cash")</f>
        <v>0</v>
      </c>
    </row>
    <row r="270" customFormat="false" ht="15.75" hidden="false" customHeight="true" outlineLevel="0" collapsed="false">
      <c r="A270" s="37" t="n">
        <f aca="false">A269+1</f>
        <v>45924</v>
      </c>
      <c r="B270" s="38" t="n">
        <f aca="false">SUMIFS('Daily Transactions'!C:C,'Daily Transactions'!A:A,$A270,'Daily Transactions'!B:B,"Sales")</f>
        <v>9104</v>
      </c>
      <c r="C270" s="38" t="n">
        <f aca="false">SUMIFS('Daily Transactions'!C:C,'Daily Transactions'!A:A,$A270,'Daily Transactions'!B:B,"&lt;&gt;Sales")</f>
        <v>11369</v>
      </c>
      <c r="D270" s="38" t="n">
        <f aca="false">SUMIFS('Daily Transactions'!C:C,'Daily Transactions'!A:A,$A270,'Daily Transactions'!B:B,"&lt;&gt;Sales",'Daily Transactions'!D:D,"Cash")</f>
        <v>1430</v>
      </c>
      <c r="E270" s="38" t="n">
        <f aca="false">SUMIFS('Daily Transactions'!C:C,'Daily Transactions'!A:A,$A270,'Daily Transactions'!B:B,"&lt;&gt;Sales",'Daily Transactions'!D:D,"Bank_Cash")</f>
        <v>1300</v>
      </c>
      <c r="F270" s="38" t="n">
        <f aca="false">SUMIFS('Daily Transactions'!C:C,'Daily Transactions'!A:A,$A270,'Daily Transactions'!B:B,"&lt;&gt;Sales",'Daily Transactions'!D:D,"Bank")</f>
        <v>8639</v>
      </c>
      <c r="G270" s="38" t="n">
        <f aca="false">B270-C270</f>
        <v>-2265</v>
      </c>
      <c r="H270" s="38" t="n">
        <f aca="false">J269</f>
        <v>3100</v>
      </c>
      <c r="I270" s="38" t="n">
        <f aca="false">SUMIFS('Daily Transactions'!C:C,'Daily Transactions'!A:A,$A270,'Daily Transactions'!B:B,"Sales",'Daily Transactions'!D:D,"Cash")</f>
        <v>1230</v>
      </c>
      <c r="J270" s="38" t="n">
        <f aca="false">H270+I270-D270-E270</f>
        <v>1600</v>
      </c>
      <c r="K270" s="38"/>
      <c r="L270" s="38" t="n">
        <f aca="false">SUMIFS('Daily Transactions'!C:C,'Daily Transactions'!A:A,$A270,'Daily Transactions'!B:B,"Cash Shortage",'Daily Transactions'!D:D,"Cash")</f>
        <v>0</v>
      </c>
    </row>
    <row r="271" customFormat="false" ht="15.75" hidden="false" customHeight="true" outlineLevel="0" collapsed="false">
      <c r="A271" s="37" t="n">
        <f aca="false">A270+1</f>
        <v>45925</v>
      </c>
      <c r="B271" s="38" t="n">
        <f aca="false">SUMIFS('Daily Transactions'!C:C,'Daily Transactions'!A:A,$A271,'Daily Transactions'!B:B,"Sales")</f>
        <v>11517</v>
      </c>
      <c r="C271" s="38" t="n">
        <f aca="false">SUMIFS('Daily Transactions'!C:C,'Daily Transactions'!A:A,$A271,'Daily Transactions'!B:B,"&lt;&gt;Sales")</f>
        <v>1614</v>
      </c>
      <c r="D271" s="38" t="n">
        <f aca="false">SUMIFS('Daily Transactions'!C:C,'Daily Transactions'!A:A,$A271,'Daily Transactions'!B:B,"&lt;&gt;Sales",'Daily Transactions'!D:D,"Cash")</f>
        <v>1110</v>
      </c>
      <c r="E271" s="38" t="n">
        <f aca="false">SUMIFS('Daily Transactions'!C:C,'Daily Transactions'!A:A,$A271,'Daily Transactions'!B:B,"&lt;&gt;Sales",'Daily Transactions'!D:D,"Bank_Cash")</f>
        <v>0</v>
      </c>
      <c r="F271" s="38" t="n">
        <f aca="false">SUMIFS('Daily Transactions'!C:C,'Daily Transactions'!A:A,$A271,'Daily Transactions'!B:B,"&lt;&gt;Sales",'Daily Transactions'!D:D,"Bank")</f>
        <v>504</v>
      </c>
      <c r="G271" s="38" t="n">
        <f aca="false">B271-C271</f>
        <v>9903</v>
      </c>
      <c r="H271" s="38" t="n">
        <f aca="false">J270</f>
        <v>1600</v>
      </c>
      <c r="I271" s="38" t="n">
        <f aca="false">SUMIFS('Daily Transactions'!C:C,'Daily Transactions'!A:A,$A271,'Daily Transactions'!B:B,"Sales",'Daily Transactions'!D:D,"Cash")</f>
        <v>1610</v>
      </c>
      <c r="J271" s="38" t="n">
        <f aca="false">H271+I271-D271-E271</f>
        <v>2100</v>
      </c>
      <c r="K271" s="38"/>
      <c r="L271" s="38" t="n">
        <f aca="false">SUMIFS('Daily Transactions'!C:C,'Daily Transactions'!A:A,$A271,'Daily Transactions'!B:B,"Cash Shortage",'Daily Transactions'!D:D,"Cash")</f>
        <v>0</v>
      </c>
    </row>
    <row r="272" customFormat="false" ht="15.75" hidden="false" customHeight="true" outlineLevel="0" collapsed="false">
      <c r="A272" s="37" t="n">
        <f aca="false">A271+1</f>
        <v>45926</v>
      </c>
      <c r="B272" s="38" t="n">
        <f aca="false">SUMIFS('Daily Transactions'!C:C,'Daily Transactions'!A:A,$A272,'Daily Transactions'!B:B,"Sales")</f>
        <v>15975</v>
      </c>
      <c r="C272" s="38" t="n">
        <f aca="false">SUMIFS('Daily Transactions'!C:C,'Daily Transactions'!A:A,$A272,'Daily Transactions'!B:B,"&lt;&gt;Sales")</f>
        <v>12753</v>
      </c>
      <c r="D272" s="38" t="n">
        <f aca="false">SUMIFS('Daily Transactions'!C:C,'Daily Transactions'!A:A,$A272,'Daily Transactions'!B:B,"&lt;&gt;Sales",'Daily Transactions'!D:D,"Cash")</f>
        <v>370</v>
      </c>
      <c r="E272" s="38" t="n">
        <f aca="false">SUMIFS('Daily Transactions'!C:C,'Daily Transactions'!A:A,$A272,'Daily Transactions'!B:B,"&lt;&gt;Sales",'Daily Transactions'!D:D,"Bank_Cash")</f>
        <v>0</v>
      </c>
      <c r="F272" s="38" t="n">
        <f aca="false">SUMIFS('Daily Transactions'!C:C,'Daily Transactions'!A:A,$A272,'Daily Transactions'!B:B,"&lt;&gt;Sales",'Daily Transactions'!D:D,"Bank")</f>
        <v>12383</v>
      </c>
      <c r="G272" s="38" t="n">
        <f aca="false">B272-C272</f>
        <v>3222</v>
      </c>
      <c r="H272" s="38" t="n">
        <f aca="false">J271</f>
        <v>2100</v>
      </c>
      <c r="I272" s="38" t="n">
        <f aca="false">SUMIFS('Daily Transactions'!C:C,'Daily Transactions'!A:A,$A272,'Daily Transactions'!B:B,"Sales",'Daily Transactions'!D:D,"Cash")</f>
        <v>1570</v>
      </c>
      <c r="J272" s="38" t="n">
        <f aca="false">H272+I272-D272-E272</f>
        <v>3300</v>
      </c>
      <c r="K272" s="38"/>
      <c r="L272" s="38" t="n">
        <f aca="false">SUMIFS('Daily Transactions'!C:C,'Daily Transactions'!A:A,$A272,'Daily Transactions'!B:B,"Cash Shortage",'Daily Transactions'!D:D,"Cash")</f>
        <v>0</v>
      </c>
    </row>
    <row r="273" customFormat="false" ht="15.75" hidden="false" customHeight="true" outlineLevel="0" collapsed="false">
      <c r="A273" s="37" t="n">
        <f aca="false">A272+1</f>
        <v>45927</v>
      </c>
      <c r="B273" s="38" t="n">
        <f aca="false">SUMIFS('Daily Transactions'!C:C,'Daily Transactions'!A:A,$A273,'Daily Transactions'!B:B,"Sales")</f>
        <v>21225</v>
      </c>
      <c r="C273" s="38" t="n">
        <f aca="false">SUMIFS('Daily Transactions'!C:C,'Daily Transactions'!A:A,$A273,'Daily Transactions'!B:B,"&lt;&gt;Sales")</f>
        <v>4628</v>
      </c>
      <c r="D273" s="38" t="n">
        <f aca="false">SUMIFS('Daily Transactions'!C:C,'Daily Transactions'!A:A,$A273,'Daily Transactions'!B:B,"&lt;&gt;Sales",'Daily Transactions'!D:D,"Cash")</f>
        <v>610</v>
      </c>
      <c r="E273" s="38" t="n">
        <f aca="false">SUMIFS('Daily Transactions'!C:C,'Daily Transactions'!A:A,$A273,'Daily Transactions'!B:B,"&lt;&gt;Sales",'Daily Transactions'!D:D,"Bank_Cash")</f>
        <v>1000</v>
      </c>
      <c r="F273" s="38" t="n">
        <f aca="false">SUMIFS('Daily Transactions'!C:C,'Daily Transactions'!A:A,$A273,'Daily Transactions'!B:B,"&lt;&gt;Sales",'Daily Transactions'!D:D,"Bank")</f>
        <v>3018</v>
      </c>
      <c r="G273" s="38" t="n">
        <f aca="false">B273-C273</f>
        <v>16597</v>
      </c>
      <c r="H273" s="38" t="n">
        <f aca="false">J272</f>
        <v>3300</v>
      </c>
      <c r="I273" s="38" t="n">
        <f aca="false">SUMIFS('Daily Transactions'!C:C,'Daily Transactions'!A:A,$A273,'Daily Transactions'!B:B,"Sales",'Daily Transactions'!D:D,"Cash")</f>
        <v>1910</v>
      </c>
      <c r="J273" s="38" t="n">
        <f aca="false">H273+I273-D273-E273</f>
        <v>3600</v>
      </c>
      <c r="K273" s="38"/>
      <c r="L273" s="38" t="n">
        <f aca="false">SUMIFS('Daily Transactions'!C:C,'Daily Transactions'!A:A,$A273,'Daily Transactions'!B:B,"Cash Shortage",'Daily Transactions'!D:D,"Cash")</f>
        <v>0</v>
      </c>
    </row>
    <row r="274" customFormat="false" ht="15.75" hidden="false" customHeight="true" outlineLevel="0" collapsed="false">
      <c r="A274" s="37" t="n">
        <f aca="false">A273+1</f>
        <v>45928</v>
      </c>
      <c r="B274" s="38" t="n">
        <f aca="false">SUMIFS('Daily Transactions'!C:C,'Daily Transactions'!A:A,$A274,'Daily Transactions'!B:B,"Sales")</f>
        <v>15520</v>
      </c>
      <c r="C274" s="38" t="n">
        <f aca="false">SUMIFS('Daily Transactions'!C:C,'Daily Transactions'!A:A,$A274,'Daily Transactions'!B:B,"&lt;&gt;Sales")</f>
        <v>7554</v>
      </c>
      <c r="D274" s="38" t="n">
        <f aca="false">SUMIFS('Daily Transactions'!C:C,'Daily Transactions'!A:A,$A274,'Daily Transactions'!B:B,"&lt;&gt;Sales",'Daily Transactions'!D:D,"Cash")</f>
        <v>785</v>
      </c>
      <c r="E274" s="38" t="n">
        <f aca="false">SUMIFS('Daily Transactions'!C:C,'Daily Transactions'!A:A,$A274,'Daily Transactions'!B:B,"&lt;&gt;Sales",'Daily Transactions'!D:D,"Bank_Cash")</f>
        <v>0</v>
      </c>
      <c r="F274" s="38" t="n">
        <f aca="false">SUMIFS('Daily Transactions'!C:C,'Daily Transactions'!A:A,$A274,'Daily Transactions'!B:B,"&lt;&gt;Sales",'Daily Transactions'!D:D,"Bank")</f>
        <v>6769</v>
      </c>
      <c r="G274" s="38" t="n">
        <f aca="false">B274-C274</f>
        <v>7966</v>
      </c>
      <c r="H274" s="38" t="n">
        <f aca="false">J273</f>
        <v>3600</v>
      </c>
      <c r="I274" s="38" t="n">
        <f aca="false">SUMIFS('Daily Transactions'!C:C,'Daily Transactions'!A:A,$A274,'Daily Transactions'!B:B,"Sales",'Daily Transactions'!D:D,"Cash")</f>
        <v>1335</v>
      </c>
      <c r="J274" s="38" t="n">
        <f aca="false">H274+I274-D274-E274</f>
        <v>4150</v>
      </c>
      <c r="K274" s="38"/>
      <c r="L274" s="38" t="n">
        <f aca="false">SUMIFS('Daily Transactions'!C:C,'Daily Transactions'!A:A,$A274,'Daily Transactions'!B:B,"Cash Shortage",'Daily Transactions'!D:D,"Cash")</f>
        <v>0</v>
      </c>
    </row>
    <row r="275" customFormat="false" ht="15.75" hidden="false" customHeight="true" outlineLevel="0" collapsed="false">
      <c r="A275" s="37" t="n">
        <f aca="false">A274+1</f>
        <v>45929</v>
      </c>
      <c r="B275" s="38" t="n">
        <f aca="false">SUMIFS('Daily Transactions'!C:C,'Daily Transactions'!A:A,$A275,'Daily Transactions'!B:B,"Sales")</f>
        <v>9653</v>
      </c>
      <c r="C275" s="38" t="n">
        <f aca="false">SUMIFS('Daily Transactions'!C:C,'Daily Transactions'!A:A,$A275,'Daily Transactions'!B:B,"&lt;&gt;Sales")</f>
        <v>6584</v>
      </c>
      <c r="D275" s="38" t="n">
        <f aca="false">SUMIFS('Daily Transactions'!C:C,'Daily Transactions'!A:A,$A275,'Daily Transactions'!B:B,"&lt;&gt;Sales",'Daily Transactions'!D:D,"Cash")</f>
        <v>150</v>
      </c>
      <c r="E275" s="38" t="n">
        <f aca="false">SUMIFS('Daily Transactions'!C:C,'Daily Transactions'!A:A,$A275,'Daily Transactions'!B:B,"&lt;&gt;Sales",'Daily Transactions'!D:D,"Bank_Cash")</f>
        <v>540</v>
      </c>
      <c r="F275" s="38" t="n">
        <f aca="false">SUMIFS('Daily Transactions'!C:C,'Daily Transactions'!A:A,$A275,'Daily Transactions'!B:B,"&lt;&gt;Sales",'Daily Transactions'!D:D,"Bank")</f>
        <v>5894</v>
      </c>
      <c r="G275" s="38" t="n">
        <f aca="false">B275-C275</f>
        <v>3069</v>
      </c>
      <c r="H275" s="38" t="n">
        <f aca="false">J274</f>
        <v>4150</v>
      </c>
      <c r="I275" s="38" t="n">
        <f aca="false">SUMIFS('Daily Transactions'!C:C,'Daily Transactions'!A:A,$A275,'Daily Transactions'!B:B,"Sales",'Daily Transactions'!D:D,"Cash")</f>
        <v>340</v>
      </c>
      <c r="J275" s="38" t="n">
        <f aca="false">H275+I275-D275-E275</f>
        <v>3800</v>
      </c>
      <c r="K275" s="38"/>
      <c r="L275" s="38" t="n">
        <f aca="false">SUMIFS('Daily Transactions'!C:C,'Daily Transactions'!A:A,$A275,'Daily Transactions'!B:B,"Cash Shortage",'Daily Transactions'!D:D,"Cash")</f>
        <v>0</v>
      </c>
    </row>
    <row r="276" customFormat="false" ht="15.75" hidden="false" customHeight="true" outlineLevel="0" collapsed="false">
      <c r="A276" s="37" t="n">
        <f aca="false">A275+1</f>
        <v>45930</v>
      </c>
      <c r="B276" s="38" t="n">
        <f aca="false">SUMIFS('Daily Transactions'!C:C,'Daily Transactions'!A:A,$A276,'Daily Transactions'!B:B,"Sales")</f>
        <v>9517</v>
      </c>
      <c r="C276" s="38" t="n">
        <f aca="false">SUMIFS('Daily Transactions'!C:C,'Daily Transactions'!A:A,$A276,'Daily Transactions'!B:B,"&lt;&gt;Sales")</f>
        <v>7106</v>
      </c>
      <c r="D276" s="38" t="n">
        <f aca="false">SUMIFS('Daily Transactions'!C:C,'Daily Transactions'!A:A,$A276,'Daily Transactions'!B:B,"&lt;&gt;Sales",'Daily Transactions'!D:D,"Cash")</f>
        <v>370</v>
      </c>
      <c r="E276" s="38" t="n">
        <f aca="false">SUMIFS('Daily Transactions'!C:C,'Daily Transactions'!A:A,$A276,'Daily Transactions'!B:B,"&lt;&gt;Sales",'Daily Transactions'!D:D,"Bank_Cash")</f>
        <v>2550</v>
      </c>
      <c r="F276" s="38" t="n">
        <f aca="false">SUMIFS('Daily Transactions'!C:C,'Daily Transactions'!A:A,$A276,'Daily Transactions'!B:B,"&lt;&gt;Sales",'Daily Transactions'!D:D,"Bank")</f>
        <v>4186</v>
      </c>
      <c r="G276" s="38" t="n">
        <f aca="false">B276-C276</f>
        <v>2411</v>
      </c>
      <c r="H276" s="38" t="n">
        <f aca="false">J275</f>
        <v>3800</v>
      </c>
      <c r="I276" s="38" t="n">
        <f aca="false">SUMIFS('Daily Transactions'!C:C,'Daily Transactions'!A:A,$A276,'Daily Transactions'!B:B,"Sales",'Daily Transactions'!D:D,"Cash")</f>
        <v>3070</v>
      </c>
      <c r="J276" s="38" t="n">
        <f aca="false">H276+I276-D276-E276</f>
        <v>3950</v>
      </c>
      <c r="K276" s="38"/>
      <c r="L276" s="38" t="n">
        <f aca="false">SUMIFS('Daily Transactions'!C:C,'Daily Transactions'!A:A,$A276,'Daily Transactions'!B:B,"Cash Shortage",'Daily Transactions'!D:D,"Cash")</f>
        <v>0</v>
      </c>
    </row>
    <row r="277" customFormat="false" ht="15.75" hidden="false" customHeight="true" outlineLevel="0" collapsed="false">
      <c r="A277" s="37" t="n">
        <f aca="false">A276+1</f>
        <v>45931</v>
      </c>
      <c r="B277" s="38" t="n">
        <f aca="false">SUMIFS('Daily Transactions'!C:C,'Daily Transactions'!A:A,$A277,'Daily Transactions'!B:B,"Sales")</f>
        <v>22953</v>
      </c>
      <c r="C277" s="38" t="n">
        <f aca="false">SUMIFS('Daily Transactions'!C:C,'Daily Transactions'!A:A,$A277,'Daily Transactions'!B:B,"&lt;&gt;Sales")</f>
        <v>10576</v>
      </c>
      <c r="D277" s="38" t="n">
        <f aca="false">SUMIFS('Daily Transactions'!C:C,'Daily Transactions'!A:A,$A277,'Daily Transactions'!B:B,"&lt;&gt;Sales",'Daily Transactions'!D:D,"Cash")</f>
        <v>170</v>
      </c>
      <c r="E277" s="38" t="n">
        <f aca="false">SUMIFS('Daily Transactions'!C:C,'Daily Transactions'!A:A,$A277,'Daily Transactions'!B:B,"&lt;&gt;Sales",'Daily Transactions'!D:D,"Bank_Cash")</f>
        <v>2100</v>
      </c>
      <c r="F277" s="38" t="n">
        <f aca="false">SUMIFS('Daily Transactions'!C:C,'Daily Transactions'!A:A,$A277,'Daily Transactions'!B:B,"&lt;&gt;Sales",'Daily Transactions'!D:D,"Bank")</f>
        <v>8306</v>
      </c>
      <c r="G277" s="38" t="n">
        <f aca="false">B277-C277</f>
        <v>12377</v>
      </c>
      <c r="H277" s="38" t="n">
        <f aca="false">J276</f>
        <v>3950</v>
      </c>
      <c r="I277" s="38" t="n">
        <f aca="false">SUMIFS('Daily Transactions'!C:C,'Daily Transactions'!A:A,$A277,'Daily Transactions'!B:B,"Sales",'Daily Transactions'!D:D,"Cash")</f>
        <v>3920</v>
      </c>
      <c r="J277" s="38" t="n">
        <f aca="false">H277+I277-D277-E277</f>
        <v>5600</v>
      </c>
      <c r="K277" s="38"/>
      <c r="L277" s="38" t="n">
        <f aca="false">SUMIFS('Daily Transactions'!C:C,'Daily Transactions'!A:A,$A277,'Daily Transactions'!B:B,"Cash Shortage",'Daily Transactions'!D:D,"Cash")</f>
        <v>0</v>
      </c>
    </row>
    <row r="278" customFormat="false" ht="15.75" hidden="false" customHeight="true" outlineLevel="0" collapsed="false">
      <c r="A278" s="37" t="n">
        <f aca="false">A277+1</f>
        <v>45932</v>
      </c>
      <c r="B278" s="38" t="n">
        <f aca="false">SUMIFS('Daily Transactions'!C:C,'Daily Transactions'!A:A,$A278,'Daily Transactions'!B:B,"Sales")</f>
        <v>28373</v>
      </c>
      <c r="C278" s="38" t="n">
        <f aca="false">SUMIFS('Daily Transactions'!C:C,'Daily Transactions'!A:A,$A278,'Daily Transactions'!B:B,"&lt;&gt;Sales")</f>
        <v>19100</v>
      </c>
      <c r="D278" s="38" t="n">
        <f aca="false">SUMIFS('Daily Transactions'!C:C,'Daily Transactions'!A:A,$A278,'Daily Transactions'!B:B,"&lt;&gt;Sales",'Daily Transactions'!D:D,"Cash")</f>
        <v>1630</v>
      </c>
      <c r="E278" s="38" t="n">
        <f aca="false">SUMIFS('Daily Transactions'!C:C,'Daily Transactions'!A:A,$A278,'Daily Transactions'!B:B,"&lt;&gt;Sales",'Daily Transactions'!D:D,"Bank_Cash")</f>
        <v>3800</v>
      </c>
      <c r="F278" s="38" t="n">
        <f aca="false">SUMIFS('Daily Transactions'!C:C,'Daily Transactions'!A:A,$A278,'Daily Transactions'!B:B,"&lt;&gt;Sales",'Daily Transactions'!D:D,"Bank")</f>
        <v>13670</v>
      </c>
      <c r="G278" s="38" t="n">
        <f aca="false">B278-C278</f>
        <v>9273</v>
      </c>
      <c r="H278" s="38" t="n">
        <f aca="false">J277</f>
        <v>5600</v>
      </c>
      <c r="I278" s="38" t="n">
        <f aca="false">SUMIFS('Daily Transactions'!C:C,'Daily Transactions'!A:A,$A278,'Daily Transactions'!B:B,"Sales",'Daily Transactions'!D:D,"Cash")</f>
        <v>2930</v>
      </c>
      <c r="J278" s="38" t="n">
        <f aca="false">H278+I278-D278-E278</f>
        <v>3100</v>
      </c>
      <c r="K278" s="38"/>
      <c r="L278" s="38" t="n">
        <f aca="false">SUMIFS('Daily Transactions'!C:C,'Daily Transactions'!A:A,$A278,'Daily Transactions'!B:B,"Cash Shortage",'Daily Transactions'!D:D,"Cash")</f>
        <v>0</v>
      </c>
    </row>
    <row r="279" customFormat="false" ht="15.75" hidden="false" customHeight="true" outlineLevel="0" collapsed="false">
      <c r="A279" s="37" t="n">
        <f aca="false">A278+1</f>
        <v>45933</v>
      </c>
      <c r="B279" s="38" t="n">
        <f aca="false">SUMIFS('Daily Transactions'!C:C,'Daily Transactions'!A:A,$A279,'Daily Transactions'!B:B,"Sales")</f>
        <v>25883</v>
      </c>
      <c r="C279" s="38" t="n">
        <f aca="false">SUMIFS('Daily Transactions'!C:C,'Daily Transactions'!A:A,$A279,'Daily Transactions'!B:B,"&lt;&gt;Sales")</f>
        <v>26069</v>
      </c>
      <c r="D279" s="38" t="n">
        <f aca="false">SUMIFS('Daily Transactions'!C:C,'Daily Transactions'!A:A,$A279,'Daily Transactions'!B:B,"&lt;&gt;Sales",'Daily Transactions'!D:D,"Cash")</f>
        <v>1355</v>
      </c>
      <c r="E279" s="38" t="n">
        <f aca="false">SUMIFS('Daily Transactions'!C:C,'Daily Transactions'!A:A,$A279,'Daily Transactions'!B:B,"&lt;&gt;Sales",'Daily Transactions'!D:D,"Bank_Cash")</f>
        <v>2030</v>
      </c>
      <c r="F279" s="38" t="n">
        <f aca="false">SUMIFS('Daily Transactions'!C:C,'Daily Transactions'!A:A,$A279,'Daily Transactions'!B:B,"&lt;&gt;Sales",'Daily Transactions'!D:D,"Bank")</f>
        <v>22684</v>
      </c>
      <c r="G279" s="38" t="n">
        <f aca="false">B279-C279</f>
        <v>-186</v>
      </c>
      <c r="H279" s="38" t="n">
        <f aca="false">J278</f>
        <v>3100</v>
      </c>
      <c r="I279" s="38" t="n">
        <f aca="false">SUMIFS('Daily Transactions'!C:C,'Daily Transactions'!A:A,$A279,'Daily Transactions'!B:B,"Sales",'Daily Transactions'!D:D,"Cash")</f>
        <v>1485</v>
      </c>
      <c r="J279" s="38" t="n">
        <f aca="false">H279+I279-D279-E279</f>
        <v>1200</v>
      </c>
      <c r="K279" s="38"/>
      <c r="L279" s="38" t="n">
        <f aca="false">SUMIFS('Daily Transactions'!C:C,'Daily Transactions'!A:A,$A279,'Daily Transactions'!B:B,"Cash Shortage",'Daily Transactions'!D:D,"Cash")</f>
        <v>0</v>
      </c>
    </row>
    <row r="280" customFormat="false" ht="15.75" hidden="false" customHeight="true" outlineLevel="0" collapsed="false">
      <c r="A280" s="37" t="n">
        <f aca="false">A279+1</f>
        <v>45934</v>
      </c>
      <c r="B280" s="38" t="n">
        <f aca="false">SUMIFS('Daily Transactions'!C:C,'Daily Transactions'!A:A,$A280,'Daily Transactions'!B:B,"Sales")</f>
        <v>30511</v>
      </c>
      <c r="C280" s="38" t="n">
        <f aca="false">SUMIFS('Daily Transactions'!C:C,'Daily Transactions'!A:A,$A280,'Daily Transactions'!B:B,"&lt;&gt;Sales")</f>
        <v>12479</v>
      </c>
      <c r="D280" s="38" t="n">
        <f aca="false">SUMIFS('Daily Transactions'!C:C,'Daily Transactions'!A:A,$A280,'Daily Transactions'!B:B,"&lt;&gt;Sales",'Daily Transactions'!D:D,"Cash")</f>
        <v>1120</v>
      </c>
      <c r="E280" s="38" t="n">
        <f aca="false">SUMIFS('Daily Transactions'!C:C,'Daily Transactions'!A:A,$A280,'Daily Transactions'!B:B,"&lt;&gt;Sales",'Daily Transactions'!D:D,"Bank_Cash")</f>
        <v>100</v>
      </c>
      <c r="F280" s="38" t="n">
        <f aca="false">SUMIFS('Daily Transactions'!C:C,'Daily Transactions'!A:A,$A280,'Daily Transactions'!B:B,"&lt;&gt;Sales",'Daily Transactions'!D:D,"Bank")</f>
        <v>11259</v>
      </c>
      <c r="G280" s="38" t="n">
        <f aca="false">B280-C280</f>
        <v>18032</v>
      </c>
      <c r="H280" s="38" t="n">
        <f aca="false">J279</f>
        <v>1200</v>
      </c>
      <c r="I280" s="38" t="n">
        <f aca="false">SUMIFS('Daily Transactions'!C:C,'Daily Transactions'!A:A,$A280,'Daily Transactions'!B:B,"Sales",'Daily Transactions'!D:D,"Cash")</f>
        <v>1820</v>
      </c>
      <c r="J280" s="38" t="n">
        <f aca="false">H280+I280-D280-E280</f>
        <v>1800</v>
      </c>
      <c r="K280" s="38"/>
      <c r="L280" s="38" t="n">
        <f aca="false">SUMIFS('Daily Transactions'!C:C,'Daily Transactions'!A:A,$A280,'Daily Transactions'!B:B,"Cash Shortage",'Daily Transactions'!D:D,"Cash")</f>
        <v>0</v>
      </c>
    </row>
    <row r="281" customFormat="false" ht="15.75" hidden="false" customHeight="true" outlineLevel="0" collapsed="false">
      <c r="A281" s="37" t="n">
        <f aca="false">A280+1</f>
        <v>45935</v>
      </c>
      <c r="B281" s="38" t="n">
        <f aca="false">SUMIFS('Daily Transactions'!C:C,'Daily Transactions'!A:A,$A281,'Daily Transactions'!B:B,"Sales")</f>
        <v>41335</v>
      </c>
      <c r="C281" s="38" t="n">
        <f aca="false">SUMIFS('Daily Transactions'!C:C,'Daily Transactions'!A:A,$A281,'Daily Transactions'!B:B,"&lt;&gt;Sales")</f>
        <v>45719</v>
      </c>
      <c r="D281" s="38" t="n">
        <f aca="false">SUMIFS('Daily Transactions'!C:C,'Daily Transactions'!A:A,$A281,'Daily Transactions'!B:B,"&lt;&gt;Sales",'Daily Transactions'!D:D,"Cash")</f>
        <v>1870</v>
      </c>
      <c r="E281" s="38" t="n">
        <f aca="false">SUMIFS('Daily Transactions'!C:C,'Daily Transactions'!A:A,$A281,'Daily Transactions'!B:B,"&lt;&gt;Sales",'Daily Transactions'!D:D,"Bank_Cash")</f>
        <v>535</v>
      </c>
      <c r="F281" s="38" t="n">
        <f aca="false">SUMIFS('Daily Transactions'!C:C,'Daily Transactions'!A:A,$A281,'Daily Transactions'!B:B,"&lt;&gt;Sales",'Daily Transactions'!D:D,"Bank")</f>
        <v>43314</v>
      </c>
      <c r="G281" s="38" t="n">
        <f aca="false">B281-C281</f>
        <v>-4384</v>
      </c>
      <c r="H281" s="38" t="n">
        <f aca="false">J280</f>
        <v>1800</v>
      </c>
      <c r="I281" s="38" t="n">
        <f aca="false">SUMIFS('Daily Transactions'!C:C,'Daily Transactions'!A:A,$A281,'Daily Transactions'!B:B,"Sales",'Daily Transactions'!D:D,"Cash")</f>
        <v>5655</v>
      </c>
      <c r="J281" s="38" t="n">
        <f aca="false">H281+I281-D281-E281</f>
        <v>5050</v>
      </c>
      <c r="K281" s="38"/>
      <c r="L281" s="38" t="n">
        <f aca="false">SUMIFS('Daily Transactions'!C:C,'Daily Transactions'!A:A,$A281,'Daily Transactions'!B:B,"Cash Shortage",'Daily Transactions'!D:D,"Cash")</f>
        <v>0</v>
      </c>
    </row>
    <row r="282" customFormat="false" ht="15.75" hidden="false" customHeight="true" outlineLevel="0" collapsed="false">
      <c r="A282" s="37" t="n">
        <f aca="false">A281+1</f>
        <v>45936</v>
      </c>
      <c r="B282" s="38" t="n">
        <f aca="false">SUMIFS('Daily Transactions'!C:C,'Daily Transactions'!A:A,$A282,'Daily Transactions'!B:B,"Sales")</f>
        <v>18585</v>
      </c>
      <c r="C282" s="38" t="n">
        <f aca="false">SUMIFS('Daily Transactions'!C:C,'Daily Transactions'!A:A,$A282,'Daily Transactions'!B:B,"&lt;&gt;Sales")</f>
        <v>20367</v>
      </c>
      <c r="D282" s="38" t="n">
        <f aca="false">SUMIFS('Daily Transactions'!C:C,'Daily Transactions'!A:A,$A282,'Daily Transactions'!B:B,"&lt;&gt;Sales",'Daily Transactions'!D:D,"Cash")</f>
        <v>380</v>
      </c>
      <c r="E282" s="38" t="n">
        <f aca="false">SUMIFS('Daily Transactions'!C:C,'Daily Transactions'!A:A,$A282,'Daily Transactions'!B:B,"&lt;&gt;Sales",'Daily Transactions'!D:D,"Bank_Cash")</f>
        <v>3740</v>
      </c>
      <c r="F282" s="38" t="n">
        <f aca="false">SUMIFS('Daily Transactions'!C:C,'Daily Transactions'!A:A,$A282,'Daily Transactions'!B:B,"&lt;&gt;Sales",'Daily Transactions'!D:D,"Bank")</f>
        <v>16247</v>
      </c>
      <c r="G282" s="38" t="n">
        <f aca="false">B282-C282</f>
        <v>-1782</v>
      </c>
      <c r="H282" s="38" t="n">
        <f aca="false">J281</f>
        <v>5050</v>
      </c>
      <c r="I282" s="38" t="n">
        <f aca="false">SUMIFS('Daily Transactions'!C:C,'Daily Transactions'!A:A,$A282,'Daily Transactions'!B:B,"Sales",'Daily Transactions'!D:D,"Cash")</f>
        <v>1270</v>
      </c>
      <c r="J282" s="38" t="n">
        <f aca="false">H282+I282-D282-E282</f>
        <v>2200</v>
      </c>
      <c r="K282" s="38"/>
      <c r="L282" s="38" t="n">
        <f aca="false">SUMIFS('Daily Transactions'!C:C,'Daily Transactions'!A:A,$A282,'Daily Transactions'!B:B,"Cash Shortage",'Daily Transactions'!D:D,"Cash")</f>
        <v>0</v>
      </c>
    </row>
    <row r="283" customFormat="false" ht="15.75" hidden="false" customHeight="true" outlineLevel="0" collapsed="false">
      <c r="A283" s="37" t="n">
        <f aca="false">A282+1</f>
        <v>45937</v>
      </c>
      <c r="B283" s="38" t="n">
        <f aca="false">SUMIFS('Daily Transactions'!C:C,'Daily Transactions'!A:A,$A283,'Daily Transactions'!B:B,"Sales")</f>
        <v>23547</v>
      </c>
      <c r="C283" s="38" t="n">
        <f aca="false">SUMIFS('Daily Transactions'!C:C,'Daily Transactions'!A:A,$A283,'Daily Transactions'!B:B,"&lt;&gt;Sales")</f>
        <v>13695</v>
      </c>
      <c r="D283" s="38" t="n">
        <f aca="false">SUMIFS('Daily Transactions'!C:C,'Daily Transactions'!A:A,$A283,'Daily Transactions'!B:B,"&lt;&gt;Sales",'Daily Transactions'!D:D,"Cash")</f>
        <v>2650</v>
      </c>
      <c r="E283" s="38" t="n">
        <f aca="false">SUMIFS('Daily Transactions'!C:C,'Daily Transactions'!A:A,$A283,'Daily Transactions'!B:B,"&lt;&gt;Sales",'Daily Transactions'!D:D,"Bank_Cash")</f>
        <v>1000</v>
      </c>
      <c r="F283" s="38" t="n">
        <f aca="false">SUMIFS('Daily Transactions'!C:C,'Daily Transactions'!A:A,$A283,'Daily Transactions'!B:B,"&lt;&gt;Sales",'Daily Transactions'!D:D,"Bank")</f>
        <v>10045</v>
      </c>
      <c r="G283" s="38" t="n">
        <f aca="false">B283-C283</f>
        <v>9852</v>
      </c>
      <c r="H283" s="38" t="n">
        <f aca="false">J282</f>
        <v>2200</v>
      </c>
      <c r="I283" s="38" t="n">
        <f aca="false">SUMIFS('Daily Transactions'!C:C,'Daily Transactions'!A:A,$A283,'Daily Transactions'!B:B,"Sales",'Daily Transactions'!D:D,"Cash")</f>
        <v>3550</v>
      </c>
      <c r="J283" s="38" t="n">
        <f aca="false">H283+I283-D283-E283</f>
        <v>2100</v>
      </c>
      <c r="K283" s="38"/>
      <c r="L283" s="38" t="n">
        <f aca="false">SUMIFS('Daily Transactions'!C:C,'Daily Transactions'!A:A,$A283,'Daily Transactions'!B:B,"Cash Shortage",'Daily Transactions'!D:D,"Cash")</f>
        <v>0</v>
      </c>
    </row>
    <row r="284" customFormat="false" ht="15.75" hidden="false" customHeight="true" outlineLevel="0" collapsed="false">
      <c r="A284" s="37" t="n">
        <f aca="false">A283+1</f>
        <v>45938</v>
      </c>
      <c r="B284" s="38" t="n">
        <f aca="false">SUMIFS('Daily Transactions'!C:C,'Daily Transactions'!A:A,$A284,'Daily Transactions'!B:B,"Sales")</f>
        <v>28411</v>
      </c>
      <c r="C284" s="38" t="n">
        <f aca="false">SUMIFS('Daily Transactions'!C:C,'Daily Transactions'!A:A,$A284,'Daily Transactions'!B:B,"&lt;&gt;Sales")</f>
        <v>15350</v>
      </c>
      <c r="D284" s="38" t="n">
        <f aca="false">SUMIFS('Daily Transactions'!C:C,'Daily Transactions'!A:A,$A284,'Daily Transactions'!B:B,"&lt;&gt;Sales",'Daily Transactions'!D:D,"Cash")</f>
        <v>1660</v>
      </c>
      <c r="E284" s="38" t="n">
        <f aca="false">SUMIFS('Daily Transactions'!C:C,'Daily Transactions'!A:A,$A284,'Daily Transactions'!B:B,"&lt;&gt;Sales",'Daily Transactions'!D:D,"Bank_Cash")</f>
        <v>810</v>
      </c>
      <c r="F284" s="38" t="n">
        <f aca="false">SUMIFS('Daily Transactions'!C:C,'Daily Transactions'!A:A,$A284,'Daily Transactions'!B:B,"&lt;&gt;Sales",'Daily Transactions'!D:D,"Bank")</f>
        <v>12880</v>
      </c>
      <c r="G284" s="38" t="n">
        <f aca="false">B284-C284</f>
        <v>13061</v>
      </c>
      <c r="H284" s="38" t="n">
        <f aca="false">J283</f>
        <v>2100</v>
      </c>
      <c r="I284" s="38" t="n">
        <f aca="false">SUMIFS('Daily Transactions'!C:C,'Daily Transactions'!A:A,$A284,'Daily Transactions'!B:B,"Sales",'Daily Transactions'!D:D,"Cash")</f>
        <v>3470</v>
      </c>
      <c r="J284" s="38" t="n">
        <f aca="false">H284+I284-D284-E284</f>
        <v>3100</v>
      </c>
      <c r="K284" s="38"/>
      <c r="L284" s="38" t="n">
        <f aca="false">SUMIFS('Daily Transactions'!C:C,'Daily Transactions'!A:A,$A284,'Daily Transactions'!B:B,"Cash Shortage",'Daily Transactions'!D:D,"Cash")</f>
        <v>0</v>
      </c>
    </row>
    <row r="285" customFormat="false" ht="15.75" hidden="false" customHeight="true" outlineLevel="0" collapsed="false">
      <c r="A285" s="37" t="n">
        <f aca="false">A284+1</f>
        <v>45939</v>
      </c>
      <c r="B285" s="38" t="n">
        <f aca="false">SUMIFS('Daily Transactions'!C:C,'Daily Transactions'!A:A,$A285,'Daily Transactions'!B:B,"Sales")</f>
        <v>18302</v>
      </c>
      <c r="C285" s="38" t="n">
        <f aca="false">SUMIFS('Daily Transactions'!C:C,'Daily Transactions'!A:A,$A285,'Daily Transactions'!B:B,"&lt;&gt;Sales")</f>
        <v>16273</v>
      </c>
      <c r="D285" s="38" t="n">
        <f aca="false">SUMIFS('Daily Transactions'!C:C,'Daily Transactions'!A:A,$A285,'Daily Transactions'!B:B,"&lt;&gt;Sales",'Daily Transactions'!D:D,"Cash")</f>
        <v>1784</v>
      </c>
      <c r="E285" s="38" t="n">
        <f aca="false">SUMIFS('Daily Transactions'!C:C,'Daily Transactions'!A:A,$A285,'Daily Transactions'!B:B,"&lt;&gt;Sales",'Daily Transactions'!D:D,"Bank_Cash")</f>
        <v>1370</v>
      </c>
      <c r="F285" s="38" t="n">
        <f aca="false">SUMIFS('Daily Transactions'!C:C,'Daily Transactions'!A:A,$A285,'Daily Transactions'!B:B,"&lt;&gt;Sales",'Daily Transactions'!D:D,"Bank")</f>
        <v>13119</v>
      </c>
      <c r="G285" s="38" t="n">
        <f aca="false">B285-C285</f>
        <v>2029</v>
      </c>
      <c r="H285" s="38" t="n">
        <f aca="false">J284</f>
        <v>3100</v>
      </c>
      <c r="I285" s="38" t="n">
        <f aca="false">SUMIFS('Daily Transactions'!C:C,'Daily Transactions'!A:A,$A285,'Daily Transactions'!B:B,"Sales",'Daily Transactions'!D:D,"Cash")</f>
        <v>2854</v>
      </c>
      <c r="J285" s="38" t="n">
        <f aca="false">H285+I285-D285-E285</f>
        <v>2800</v>
      </c>
      <c r="K285" s="38"/>
      <c r="L285" s="38" t="n">
        <f aca="false">SUMIFS('Daily Transactions'!C:C,'Daily Transactions'!A:A,$A285,'Daily Transactions'!B:B,"Cash Shortage",'Daily Transactions'!D:D,"Cash")</f>
        <v>0</v>
      </c>
    </row>
    <row r="286" customFormat="false" ht="15.75" hidden="false" customHeight="true" outlineLevel="0" collapsed="false">
      <c r="A286" s="37" t="n">
        <f aca="false">A285+1</f>
        <v>45940</v>
      </c>
      <c r="B286" s="38" t="n">
        <f aca="false">SUMIFS('Daily Transactions'!C:C,'Daily Transactions'!A:A,$A286,'Daily Transactions'!B:B,"Sales")</f>
        <v>29060</v>
      </c>
      <c r="C286" s="38" t="n">
        <f aca="false">SUMIFS('Daily Transactions'!C:C,'Daily Transactions'!A:A,$A286,'Daily Transactions'!B:B,"&lt;&gt;Sales")</f>
        <v>17654</v>
      </c>
      <c r="D286" s="38" t="n">
        <f aca="false">SUMIFS('Daily Transactions'!C:C,'Daily Transactions'!A:A,$A286,'Daily Transactions'!B:B,"&lt;&gt;Sales",'Daily Transactions'!D:D,"Cash")</f>
        <v>265</v>
      </c>
      <c r="E286" s="38" t="n">
        <f aca="false">SUMIFS('Daily Transactions'!C:C,'Daily Transactions'!A:A,$A286,'Daily Transactions'!B:B,"&lt;&gt;Sales",'Daily Transactions'!D:D,"Bank_Cash")</f>
        <v>880</v>
      </c>
      <c r="F286" s="38" t="n">
        <f aca="false">SUMIFS('Daily Transactions'!C:C,'Daily Transactions'!A:A,$A286,'Daily Transactions'!B:B,"&lt;&gt;Sales",'Daily Transactions'!D:D,"Bank")</f>
        <v>16509</v>
      </c>
      <c r="G286" s="38" t="n">
        <f aca="false">B286-C286</f>
        <v>11406</v>
      </c>
      <c r="H286" s="38" t="n">
        <f aca="false">J285</f>
        <v>2800</v>
      </c>
      <c r="I286" s="38" t="n">
        <f aca="false">SUMIFS('Daily Transactions'!C:C,'Daily Transactions'!A:A,$A286,'Daily Transactions'!B:B,"Sales",'Daily Transactions'!D:D,"Cash")</f>
        <v>4545</v>
      </c>
      <c r="J286" s="38" t="n">
        <f aca="false">H286+I286-D286-E286</f>
        <v>6200</v>
      </c>
      <c r="K286" s="38"/>
      <c r="L286" s="38" t="n">
        <f aca="false">SUMIFS('Daily Transactions'!C:C,'Daily Transactions'!A:A,$A286,'Daily Transactions'!B:B,"Cash Shortage",'Daily Transactions'!D:D,"Cash")</f>
        <v>0</v>
      </c>
    </row>
    <row r="287" customFormat="false" ht="15.75" hidden="false" customHeight="true" outlineLevel="0" collapsed="false">
      <c r="A287" s="37" t="n">
        <f aca="false">A286+1</f>
        <v>45941</v>
      </c>
      <c r="B287" s="38" t="n">
        <f aca="false">SUMIFS('Daily Transactions'!C:C,'Daily Transactions'!A:A,$A287,'Daily Transactions'!B:B,"Sales")</f>
        <v>40923</v>
      </c>
      <c r="C287" s="38" t="n">
        <f aca="false">SUMIFS('Daily Transactions'!C:C,'Daily Transactions'!A:A,$A287,'Daily Transactions'!B:B,"&lt;&gt;Sales")</f>
        <v>12187</v>
      </c>
      <c r="D287" s="38" t="n">
        <f aca="false">SUMIFS('Daily Transactions'!C:C,'Daily Transactions'!A:A,$A287,'Daily Transactions'!B:B,"&lt;&gt;Sales",'Daily Transactions'!D:D,"Cash")</f>
        <v>520</v>
      </c>
      <c r="E287" s="38" t="n">
        <f aca="false">SUMIFS('Daily Transactions'!C:C,'Daily Transactions'!A:A,$A287,'Daily Transactions'!B:B,"&lt;&gt;Sales",'Daily Transactions'!D:D,"Bank_Cash")</f>
        <v>4205</v>
      </c>
      <c r="F287" s="38" t="n">
        <f aca="false">SUMIFS('Daily Transactions'!C:C,'Daily Transactions'!A:A,$A287,'Daily Transactions'!B:B,"&lt;&gt;Sales",'Daily Transactions'!D:D,"Bank")</f>
        <v>7462</v>
      </c>
      <c r="G287" s="38" t="n">
        <f aca="false">B287-C287</f>
        <v>28736</v>
      </c>
      <c r="H287" s="38" t="n">
        <f aca="false">J286</f>
        <v>6200</v>
      </c>
      <c r="I287" s="38" t="n">
        <f aca="false">SUMIFS('Daily Transactions'!C:C,'Daily Transactions'!A:A,$A287,'Daily Transactions'!B:B,"Sales",'Daily Transactions'!D:D,"Cash")</f>
        <v>1275</v>
      </c>
      <c r="J287" s="38" t="n">
        <f aca="false">H287+I287-D287-E287</f>
        <v>2750</v>
      </c>
      <c r="K287" s="38"/>
      <c r="L287" s="38" t="n">
        <f aca="false">SUMIFS('Daily Transactions'!C:C,'Daily Transactions'!A:A,$A287,'Daily Transactions'!B:B,"Cash Shortage",'Daily Transactions'!D:D,"Cash")</f>
        <v>0</v>
      </c>
    </row>
    <row r="288" customFormat="false" ht="15.75" hidden="false" customHeight="true" outlineLevel="0" collapsed="false">
      <c r="A288" s="37" t="n">
        <f aca="false">A287+1</f>
        <v>45942</v>
      </c>
      <c r="B288" s="38" t="n">
        <f aca="false">SUMIFS('Daily Transactions'!C:C,'Daily Transactions'!A:A,$A288,'Daily Transactions'!B:B,"Sales")</f>
        <v>42386</v>
      </c>
      <c r="C288" s="38" t="n">
        <f aca="false">SUMIFS('Daily Transactions'!C:C,'Daily Transactions'!A:A,$A288,'Daily Transactions'!B:B,"&lt;&gt;Sales")</f>
        <v>25868</v>
      </c>
      <c r="D288" s="38" t="n">
        <f aca="false">SUMIFS('Daily Transactions'!C:C,'Daily Transactions'!A:A,$A288,'Daily Transactions'!B:B,"&lt;&gt;Sales",'Daily Transactions'!D:D,"Cash")</f>
        <v>1065</v>
      </c>
      <c r="E288" s="38" t="n">
        <f aca="false">SUMIFS('Daily Transactions'!C:C,'Daily Transactions'!A:A,$A288,'Daily Transactions'!B:B,"&lt;&gt;Sales",'Daily Transactions'!D:D,"Bank_Cash")</f>
        <v>1650</v>
      </c>
      <c r="F288" s="38" t="n">
        <f aca="false">SUMIFS('Daily Transactions'!C:C,'Daily Transactions'!A:A,$A288,'Daily Transactions'!B:B,"&lt;&gt;Sales",'Daily Transactions'!D:D,"Bank")</f>
        <v>23153</v>
      </c>
      <c r="G288" s="38" t="n">
        <f aca="false">B288-C288</f>
        <v>16518</v>
      </c>
      <c r="H288" s="38" t="n">
        <f aca="false">J287</f>
        <v>2750</v>
      </c>
      <c r="I288" s="38" t="n">
        <f aca="false">SUMIFS('Daily Transactions'!C:C,'Daily Transactions'!A:A,$A288,'Daily Transactions'!B:B,"Sales",'Daily Transactions'!D:D,"Cash")</f>
        <v>5165</v>
      </c>
      <c r="J288" s="38" t="n">
        <f aca="false">H288+I288-D288-E288</f>
        <v>5200</v>
      </c>
      <c r="K288" s="38"/>
      <c r="L288" s="38" t="n">
        <f aca="false">SUMIFS('Daily Transactions'!C:C,'Daily Transactions'!A:A,$A288,'Daily Transactions'!B:B,"Cash Shortage",'Daily Transactions'!D:D,"Cash")</f>
        <v>0</v>
      </c>
    </row>
    <row r="289" customFormat="false" ht="15.75" hidden="false" customHeight="true" outlineLevel="0" collapsed="false">
      <c r="A289" s="37" t="n">
        <f aca="false">A288+1</f>
        <v>45943</v>
      </c>
      <c r="B289" s="38" t="n">
        <f aca="false">SUMIFS('Daily Transactions'!C:C,'Daily Transactions'!A:A,$A289,'Daily Transactions'!B:B,"Sales")</f>
        <v>23132</v>
      </c>
      <c r="C289" s="38" t="n">
        <f aca="false">SUMIFS('Daily Transactions'!C:C,'Daily Transactions'!A:A,$A289,'Daily Transactions'!B:B,"&lt;&gt;Sales")</f>
        <v>13271</v>
      </c>
      <c r="D289" s="38" t="n">
        <f aca="false">SUMIFS('Daily Transactions'!C:C,'Daily Transactions'!A:A,$A289,'Daily Transactions'!B:B,"&lt;&gt;Sales",'Daily Transactions'!D:D,"Cash")</f>
        <v>414</v>
      </c>
      <c r="E289" s="38" t="n">
        <f aca="false">SUMIFS('Daily Transactions'!C:C,'Daily Transactions'!A:A,$A289,'Daily Transactions'!B:B,"&lt;&gt;Sales",'Daily Transactions'!D:D,"Bank_Cash")</f>
        <v>3730</v>
      </c>
      <c r="F289" s="38" t="n">
        <f aca="false">SUMIFS('Daily Transactions'!C:C,'Daily Transactions'!A:A,$A289,'Daily Transactions'!B:B,"&lt;&gt;Sales",'Daily Transactions'!D:D,"Bank")</f>
        <v>9127</v>
      </c>
      <c r="G289" s="38" t="n">
        <f aca="false">B289-C289</f>
        <v>9861</v>
      </c>
      <c r="H289" s="38" t="n">
        <f aca="false">J288</f>
        <v>5200</v>
      </c>
      <c r="I289" s="38" t="n">
        <f aca="false">SUMIFS('Daily Transactions'!C:C,'Daily Transactions'!A:A,$A289,'Daily Transactions'!B:B,"Sales",'Daily Transactions'!D:D,"Cash")</f>
        <v>1744</v>
      </c>
      <c r="J289" s="38" t="n">
        <f aca="false">H289+I289-D289-E289</f>
        <v>2800</v>
      </c>
      <c r="K289" s="38"/>
      <c r="L289" s="38" t="n">
        <f aca="false">SUMIFS('Daily Transactions'!C:C,'Daily Transactions'!A:A,$A289,'Daily Transactions'!B:B,"Cash Shortage",'Daily Transactions'!D:D,"Cash")</f>
        <v>0</v>
      </c>
    </row>
    <row r="290" customFormat="false" ht="15.75" hidden="false" customHeight="true" outlineLevel="0" collapsed="false">
      <c r="A290" s="37" t="n">
        <f aca="false">A289+1</f>
        <v>45944</v>
      </c>
      <c r="B290" s="38" t="n">
        <f aca="false">SUMIFS('Daily Transactions'!C:C,'Daily Transactions'!A:A,$A290,'Daily Transactions'!B:B,"Sales")</f>
        <v>26020</v>
      </c>
      <c r="C290" s="38" t="n">
        <f aca="false">SUMIFS('Daily Transactions'!C:C,'Daily Transactions'!A:A,$A290,'Daily Transactions'!B:B,"&lt;&gt;Sales")</f>
        <v>8407</v>
      </c>
      <c r="D290" s="38" t="n">
        <f aca="false">SUMIFS('Daily Transactions'!C:C,'Daily Transactions'!A:A,$A290,'Daily Transactions'!B:B,"&lt;&gt;Sales",'Daily Transactions'!D:D,"Cash")</f>
        <v>670</v>
      </c>
      <c r="E290" s="38" t="n">
        <f aca="false">SUMIFS('Daily Transactions'!C:C,'Daily Transactions'!A:A,$A290,'Daily Transactions'!B:B,"&lt;&gt;Sales",'Daily Transactions'!D:D,"Bank_Cash")</f>
        <v>1700</v>
      </c>
      <c r="F290" s="38" t="n">
        <f aca="false">SUMIFS('Daily Transactions'!C:C,'Daily Transactions'!A:A,$A290,'Daily Transactions'!B:B,"&lt;&gt;Sales",'Daily Transactions'!D:D,"Bank")</f>
        <v>6037</v>
      </c>
      <c r="G290" s="38" t="n">
        <f aca="false">B290-C290</f>
        <v>17613</v>
      </c>
      <c r="H290" s="38" t="n">
        <f aca="false">J289</f>
        <v>2800</v>
      </c>
      <c r="I290" s="38" t="n">
        <f aca="false">SUMIFS('Daily Transactions'!C:C,'Daily Transactions'!A:A,$A290,'Daily Transactions'!B:B,"Sales",'Daily Transactions'!D:D,"Cash")</f>
        <v>3670</v>
      </c>
      <c r="J290" s="38" t="n">
        <f aca="false">H290+I290-D290-E290</f>
        <v>4100</v>
      </c>
      <c r="K290" s="38"/>
      <c r="L290" s="38" t="n">
        <f aca="false">SUMIFS('Daily Transactions'!C:C,'Daily Transactions'!A:A,$A290,'Daily Transactions'!B:B,"Cash Shortage",'Daily Transactions'!D:D,"Cash")</f>
        <v>0</v>
      </c>
    </row>
    <row r="291" customFormat="false" ht="15.75" hidden="false" customHeight="true" outlineLevel="0" collapsed="false">
      <c r="A291" s="37" t="n">
        <f aca="false">A290+1</f>
        <v>45945</v>
      </c>
      <c r="B291" s="38" t="n">
        <f aca="false">SUMIFS('Daily Transactions'!C:C,'Daily Transactions'!A:A,$A291,'Daily Transactions'!B:B,"Sales")</f>
        <v>30782</v>
      </c>
      <c r="C291" s="38" t="n">
        <f aca="false">SUMIFS('Daily Transactions'!C:C,'Daily Transactions'!A:A,$A291,'Daily Transactions'!B:B,"&lt;&gt;Sales")</f>
        <v>14780</v>
      </c>
      <c r="D291" s="38" t="n">
        <f aca="false">SUMIFS('Daily Transactions'!C:C,'Daily Transactions'!A:A,$A291,'Daily Transactions'!B:B,"&lt;&gt;Sales",'Daily Transactions'!D:D,"Cash")</f>
        <v>545</v>
      </c>
      <c r="E291" s="38" t="n">
        <f aca="false">SUMIFS('Daily Transactions'!C:C,'Daily Transactions'!A:A,$A291,'Daily Transactions'!B:B,"&lt;&gt;Sales",'Daily Transactions'!D:D,"Bank_Cash")</f>
        <v>1870</v>
      </c>
      <c r="F291" s="38" t="n">
        <f aca="false">SUMIFS('Daily Transactions'!C:C,'Daily Transactions'!A:A,$A291,'Daily Transactions'!B:B,"&lt;&gt;Sales",'Daily Transactions'!D:D,"Bank")</f>
        <v>12365</v>
      </c>
      <c r="G291" s="38" t="n">
        <f aca="false">B291-C291</f>
        <v>16002</v>
      </c>
      <c r="H291" s="38" t="n">
        <f aca="false">J290</f>
        <v>4100</v>
      </c>
      <c r="I291" s="38" t="n">
        <f aca="false">SUMIFS('Daily Transactions'!C:C,'Daily Transactions'!A:A,$A291,'Daily Transactions'!B:B,"Sales",'Daily Transactions'!D:D,"Cash")</f>
        <v>3015</v>
      </c>
      <c r="J291" s="38" t="n">
        <f aca="false">H291+I291-D291-E291</f>
        <v>4700</v>
      </c>
      <c r="K291" s="38"/>
      <c r="L291" s="38" t="n">
        <f aca="false">SUMIFS('Daily Transactions'!C:C,'Daily Transactions'!A:A,$A291,'Daily Transactions'!B:B,"Cash Shortage",'Daily Transactions'!D:D,"Cash")</f>
        <v>0</v>
      </c>
    </row>
    <row r="292" customFormat="false" ht="15.75" hidden="false" customHeight="true" outlineLevel="0" collapsed="false">
      <c r="A292" s="37" t="n">
        <f aca="false">A291+1</f>
        <v>45946</v>
      </c>
      <c r="B292" s="38" t="n">
        <f aca="false">SUMIFS('Daily Transactions'!C:C,'Daily Transactions'!A:A,$A292,'Daily Transactions'!B:B,"Sales")</f>
        <v>26654</v>
      </c>
      <c r="C292" s="38" t="n">
        <f aca="false">SUMIFS('Daily Transactions'!C:C,'Daily Transactions'!A:A,$A292,'Daily Transactions'!B:B,"&lt;&gt;Sales")</f>
        <v>12730</v>
      </c>
      <c r="D292" s="38" t="n">
        <f aca="false">SUMIFS('Daily Transactions'!C:C,'Daily Transactions'!A:A,$A292,'Daily Transactions'!B:B,"&lt;&gt;Sales",'Daily Transactions'!D:D,"Cash")</f>
        <v>2855</v>
      </c>
      <c r="E292" s="38" t="n">
        <f aca="false">SUMIFS('Daily Transactions'!C:C,'Daily Transactions'!A:A,$A292,'Daily Transactions'!B:B,"&lt;&gt;Sales",'Daily Transactions'!D:D,"Bank_Cash")</f>
        <v>1600</v>
      </c>
      <c r="F292" s="38" t="n">
        <f aca="false">SUMIFS('Daily Transactions'!C:C,'Daily Transactions'!A:A,$A292,'Daily Transactions'!B:B,"&lt;&gt;Sales",'Daily Transactions'!D:D,"Bank")</f>
        <v>8275</v>
      </c>
      <c r="G292" s="38" t="n">
        <f aca="false">B292-C292</f>
        <v>13924</v>
      </c>
      <c r="H292" s="38" t="n">
        <f aca="false">J291</f>
        <v>4700</v>
      </c>
      <c r="I292" s="38" t="n">
        <f aca="false">SUMIFS('Daily Transactions'!C:C,'Daily Transactions'!A:A,$A292,'Daily Transactions'!B:B,"Sales",'Daily Transactions'!D:D,"Cash")</f>
        <v>5155</v>
      </c>
      <c r="J292" s="38" t="n">
        <f aca="false">H292+I292-D292-E292</f>
        <v>5400</v>
      </c>
      <c r="K292" s="38"/>
      <c r="L292" s="38" t="n">
        <f aca="false">SUMIFS('Daily Transactions'!C:C,'Daily Transactions'!A:A,$A292,'Daily Transactions'!B:B,"Cash Shortage",'Daily Transactions'!D:D,"Cash")</f>
        <v>0</v>
      </c>
    </row>
    <row r="293" customFormat="false" ht="15.75" hidden="false" customHeight="true" outlineLevel="0" collapsed="false">
      <c r="A293" s="37" t="n">
        <f aca="false">A292+1</f>
        <v>45947</v>
      </c>
      <c r="B293" s="38" t="n">
        <f aca="false">SUMIFS('Daily Transactions'!C:C,'Daily Transactions'!A:A,$A293,'Daily Transactions'!B:B,"Sales")</f>
        <v>20304</v>
      </c>
      <c r="C293" s="38" t="n">
        <f aca="false">SUMIFS('Daily Transactions'!C:C,'Daily Transactions'!A:A,$A293,'Daily Transactions'!B:B,"&lt;&gt;Sales")</f>
        <v>16588</v>
      </c>
      <c r="D293" s="38" t="n">
        <f aca="false">SUMIFS('Daily Transactions'!C:C,'Daily Transactions'!A:A,$A293,'Daily Transactions'!B:B,"&lt;&gt;Sales",'Daily Transactions'!D:D,"Cash")</f>
        <v>1365</v>
      </c>
      <c r="E293" s="38" t="n">
        <f aca="false">SUMIFS('Daily Transactions'!C:C,'Daily Transactions'!A:A,$A293,'Daily Transactions'!B:B,"&lt;&gt;Sales",'Daily Transactions'!D:D,"Bank_Cash")</f>
        <v>4400</v>
      </c>
      <c r="F293" s="38" t="n">
        <f aca="false">SUMIFS('Daily Transactions'!C:C,'Daily Transactions'!A:A,$A293,'Daily Transactions'!B:B,"&lt;&gt;Sales",'Daily Transactions'!D:D,"Bank")</f>
        <v>10823</v>
      </c>
      <c r="G293" s="38" t="n">
        <f aca="false">B293-C293</f>
        <v>3716</v>
      </c>
      <c r="H293" s="38" t="n">
        <f aca="false">J292</f>
        <v>5400</v>
      </c>
      <c r="I293" s="38" t="n">
        <f aca="false">SUMIFS('Daily Transactions'!C:C,'Daily Transactions'!A:A,$A293,'Daily Transactions'!B:B,"Sales",'Daily Transactions'!D:D,"Cash")</f>
        <v>1415</v>
      </c>
      <c r="J293" s="38" t="n">
        <f aca="false">H293+I293-D293-E293</f>
        <v>1050</v>
      </c>
      <c r="K293" s="38"/>
      <c r="L293" s="38" t="n">
        <f aca="false">SUMIFS('Daily Transactions'!C:C,'Daily Transactions'!A:A,$A293,'Daily Transactions'!B:B,"Cash Shortage",'Daily Transactions'!D:D,"Cash")</f>
        <v>0</v>
      </c>
    </row>
    <row r="294" customFormat="false" ht="15.75" hidden="false" customHeight="true" outlineLevel="0" collapsed="false">
      <c r="A294" s="37" t="n">
        <f aca="false">A293+1</f>
        <v>45948</v>
      </c>
      <c r="B294" s="38" t="n">
        <f aca="false">SUMIFS('Daily Transactions'!C:C,'Daily Transactions'!A:A,$A294,'Daily Transactions'!B:B,"Sales")</f>
        <v>18154</v>
      </c>
      <c r="C294" s="38" t="n">
        <f aca="false">SUMIFS('Daily Transactions'!C:C,'Daily Transactions'!A:A,$A294,'Daily Transactions'!B:B,"&lt;&gt;Sales")</f>
        <v>23076</v>
      </c>
      <c r="D294" s="38" t="n">
        <f aca="false">SUMIFS('Daily Transactions'!C:C,'Daily Transactions'!A:A,$A294,'Daily Transactions'!B:B,"&lt;&gt;Sales",'Daily Transactions'!D:D,"Cash")</f>
        <v>1380</v>
      </c>
      <c r="E294" s="38" t="n">
        <f aca="false">SUMIFS('Daily Transactions'!C:C,'Daily Transactions'!A:A,$A294,'Daily Transactions'!B:B,"&lt;&gt;Sales",'Daily Transactions'!D:D,"Bank_Cash")</f>
        <v>0</v>
      </c>
      <c r="F294" s="38" t="n">
        <f aca="false">SUMIFS('Daily Transactions'!C:C,'Daily Transactions'!A:A,$A294,'Daily Transactions'!B:B,"&lt;&gt;Sales",'Daily Transactions'!D:D,"Bank")</f>
        <v>21696</v>
      </c>
      <c r="G294" s="38" t="n">
        <f aca="false">B294-C294</f>
        <v>-4922</v>
      </c>
      <c r="H294" s="38" t="n">
        <f aca="false">J293</f>
        <v>1050</v>
      </c>
      <c r="I294" s="38" t="n">
        <f aca="false">SUMIFS('Daily Transactions'!C:C,'Daily Transactions'!A:A,$A294,'Daily Transactions'!B:B,"Sales",'Daily Transactions'!D:D,"Cash")</f>
        <v>2780</v>
      </c>
      <c r="J294" s="38" t="n">
        <f aca="false">H294+I294-D294-E294</f>
        <v>2450</v>
      </c>
      <c r="K294" s="38"/>
      <c r="L294" s="38" t="n">
        <f aca="false">SUMIFS('Daily Transactions'!C:C,'Daily Transactions'!A:A,$A294,'Daily Transactions'!B:B,"Cash Shortage",'Daily Transactions'!D:D,"Cash")</f>
        <v>0</v>
      </c>
    </row>
    <row r="295" customFormat="false" ht="15.75" hidden="false" customHeight="true" outlineLevel="0" collapsed="false">
      <c r="A295" s="37" t="n">
        <f aca="false">A294+1</f>
        <v>45949</v>
      </c>
      <c r="B295" s="38" t="n">
        <f aca="false">SUMIFS('Daily Transactions'!C:C,'Daily Transactions'!A:A,$A295,'Daily Transactions'!B:B,"Sales")</f>
        <v>25225</v>
      </c>
      <c r="C295" s="38" t="n">
        <f aca="false">SUMIFS('Daily Transactions'!C:C,'Daily Transactions'!A:A,$A295,'Daily Transactions'!B:B,"&lt;&gt;Sales")</f>
        <v>8894</v>
      </c>
      <c r="D295" s="38" t="n">
        <f aca="false">SUMIFS('Daily Transactions'!C:C,'Daily Transactions'!A:A,$A295,'Daily Transactions'!B:B,"&lt;&gt;Sales",'Daily Transactions'!D:D,"Cash")</f>
        <v>2275</v>
      </c>
      <c r="E295" s="38" t="n">
        <f aca="false">SUMIFS('Daily Transactions'!C:C,'Daily Transactions'!A:A,$A295,'Daily Transactions'!B:B,"&lt;&gt;Sales",'Daily Transactions'!D:D,"Bank_Cash")</f>
        <v>665</v>
      </c>
      <c r="F295" s="38" t="n">
        <f aca="false">SUMIFS('Daily Transactions'!C:C,'Daily Transactions'!A:A,$A295,'Daily Transactions'!B:B,"&lt;&gt;Sales",'Daily Transactions'!D:D,"Bank")</f>
        <v>5954</v>
      </c>
      <c r="G295" s="38" t="n">
        <f aca="false">B295-C295</f>
        <v>16331</v>
      </c>
      <c r="H295" s="38" t="n">
        <f aca="false">J294</f>
        <v>2450</v>
      </c>
      <c r="I295" s="38" t="n">
        <f aca="false">SUMIFS('Daily Transactions'!C:C,'Daily Transactions'!A:A,$A295,'Daily Transactions'!B:B,"Sales",'Daily Transactions'!D:D,"Cash")</f>
        <v>3390</v>
      </c>
      <c r="J295" s="38" t="n">
        <f aca="false">H295+I295-D295-E295</f>
        <v>2900</v>
      </c>
      <c r="K295" s="38"/>
      <c r="L295" s="38" t="n">
        <f aca="false">SUMIFS('Daily Transactions'!C:C,'Daily Transactions'!A:A,$A295,'Daily Transactions'!B:B,"Cash Shortage",'Daily Transactions'!D:D,"Cash")</f>
        <v>0</v>
      </c>
    </row>
    <row r="296" customFormat="false" ht="15.75" hidden="false" customHeight="true" outlineLevel="0" collapsed="false">
      <c r="A296" s="37" t="n">
        <f aca="false">A295+1</f>
        <v>45950</v>
      </c>
      <c r="B296" s="38" t="n">
        <f aca="false">SUMIFS('Daily Transactions'!C:C,'Daily Transactions'!A:A,$A296,'Daily Transactions'!B:B,"Sales")</f>
        <v>17147</v>
      </c>
      <c r="C296" s="38" t="n">
        <f aca="false">SUMIFS('Daily Transactions'!C:C,'Daily Transactions'!A:A,$A296,'Daily Transactions'!B:B,"&lt;&gt;Sales")</f>
        <v>6324</v>
      </c>
      <c r="D296" s="38" t="n">
        <f aca="false">SUMIFS('Daily Transactions'!C:C,'Daily Transactions'!A:A,$A296,'Daily Transactions'!B:B,"&lt;&gt;Sales",'Daily Transactions'!D:D,"Cash")</f>
        <v>400</v>
      </c>
      <c r="E296" s="38" t="n">
        <f aca="false">SUMIFS('Daily Transactions'!C:C,'Daily Transactions'!A:A,$A296,'Daily Transactions'!B:B,"&lt;&gt;Sales",'Daily Transactions'!D:D,"Bank_Cash")</f>
        <v>1520</v>
      </c>
      <c r="F296" s="38" t="n">
        <f aca="false">SUMIFS('Daily Transactions'!C:C,'Daily Transactions'!A:A,$A296,'Daily Transactions'!B:B,"&lt;&gt;Sales",'Daily Transactions'!D:D,"Bank")</f>
        <v>4404</v>
      </c>
      <c r="G296" s="38" t="n">
        <f aca="false">B296-C296</f>
        <v>10823</v>
      </c>
      <c r="H296" s="38" t="n">
        <f aca="false">J295</f>
        <v>2900</v>
      </c>
      <c r="I296" s="38" t="n">
        <f aca="false">SUMIFS('Daily Transactions'!C:C,'Daily Transactions'!A:A,$A296,'Daily Transactions'!B:B,"Sales",'Daily Transactions'!D:D,"Cash")</f>
        <v>3190</v>
      </c>
      <c r="J296" s="38" t="n">
        <f aca="false">H296+I296-D296-E296</f>
        <v>4170</v>
      </c>
      <c r="K296" s="38"/>
      <c r="L296" s="38" t="n">
        <f aca="false">SUMIFS('Daily Transactions'!C:C,'Daily Transactions'!A:A,$A296,'Daily Transactions'!B:B,"Cash Shortage",'Daily Transactions'!D:D,"Cash")</f>
        <v>0</v>
      </c>
    </row>
    <row r="297" customFormat="false" ht="15.75" hidden="false" customHeight="true" outlineLevel="0" collapsed="false">
      <c r="A297" s="37" t="n">
        <f aca="false">A296+1</f>
        <v>45951</v>
      </c>
      <c r="B297" s="38" t="n">
        <f aca="false">SUMIFS('Daily Transactions'!C:C,'Daily Transactions'!A:A,$A297,'Daily Transactions'!B:B,"Sales")</f>
        <v>35707</v>
      </c>
      <c r="C297" s="38" t="n">
        <f aca="false">SUMIFS('Daily Transactions'!C:C,'Daily Transactions'!A:A,$A297,'Daily Transactions'!B:B,"&lt;&gt;Sales")</f>
        <v>7747</v>
      </c>
      <c r="D297" s="38" t="n">
        <f aca="false">SUMIFS('Daily Transactions'!C:C,'Daily Transactions'!A:A,$A297,'Daily Transactions'!B:B,"&lt;&gt;Sales",'Daily Transactions'!D:D,"Cash")</f>
        <v>55</v>
      </c>
      <c r="E297" s="38" t="n">
        <f aca="false">SUMIFS('Daily Transactions'!C:C,'Daily Transactions'!A:A,$A297,'Daily Transactions'!B:B,"&lt;&gt;Sales",'Daily Transactions'!D:D,"Bank_Cash")</f>
        <v>890</v>
      </c>
      <c r="F297" s="38" t="n">
        <f aca="false">SUMIFS('Daily Transactions'!C:C,'Daily Transactions'!A:A,$A297,'Daily Transactions'!B:B,"&lt;&gt;Sales",'Daily Transactions'!D:D,"Bank")</f>
        <v>6802</v>
      </c>
      <c r="G297" s="38" t="n">
        <f aca="false">B297-C297</f>
        <v>27960</v>
      </c>
      <c r="H297" s="38" t="n">
        <f aca="false">J296</f>
        <v>4170</v>
      </c>
      <c r="I297" s="38" t="n">
        <f aca="false">SUMIFS('Daily Transactions'!C:C,'Daily Transactions'!A:A,$A297,'Daily Transactions'!B:B,"Sales",'Daily Transactions'!D:D,"Cash")</f>
        <v>4740</v>
      </c>
      <c r="J297" s="38" t="n">
        <f aca="false">H297+I297-D297-E297</f>
        <v>7965</v>
      </c>
      <c r="K297" s="38"/>
      <c r="L297" s="38" t="n">
        <f aca="false">SUMIFS('Daily Transactions'!C:C,'Daily Transactions'!A:A,$A297,'Daily Transactions'!B:B,"Cash Shortage",'Daily Transactions'!D:D,"Cash")</f>
        <v>0</v>
      </c>
    </row>
    <row r="298" customFormat="false" ht="15.75" hidden="false" customHeight="true" outlineLevel="0" collapsed="false">
      <c r="A298" s="37" t="n">
        <f aca="false">A297+1</f>
        <v>45952</v>
      </c>
      <c r="B298" s="38" t="n">
        <f aca="false">SUMIFS('Daily Transactions'!C:C,'Daily Transactions'!A:A,$A298,'Daily Transactions'!B:B,"Sales")</f>
        <v>15330</v>
      </c>
      <c r="C298" s="38" t="n">
        <f aca="false">SUMIFS('Daily Transactions'!C:C,'Daily Transactions'!A:A,$A298,'Daily Transactions'!B:B,"&lt;&gt;Sales")</f>
        <v>42045</v>
      </c>
      <c r="D298" s="38" t="n">
        <f aca="false">SUMIFS('Daily Transactions'!C:C,'Daily Transactions'!A:A,$A298,'Daily Transactions'!B:B,"&lt;&gt;Sales",'Daily Transactions'!D:D,"Cash")</f>
        <v>732</v>
      </c>
      <c r="E298" s="38" t="n">
        <f aca="false">SUMIFS('Daily Transactions'!C:C,'Daily Transactions'!A:A,$A298,'Daily Transactions'!B:B,"&lt;&gt;Sales",'Daily Transactions'!D:D,"Bank_Cash")</f>
        <v>2875</v>
      </c>
      <c r="F298" s="38" t="n">
        <f aca="false">SUMIFS('Daily Transactions'!C:C,'Daily Transactions'!A:A,$A298,'Daily Transactions'!B:B,"&lt;&gt;Sales",'Daily Transactions'!D:D,"Bank")</f>
        <v>38438</v>
      </c>
      <c r="G298" s="38" t="n">
        <f aca="false">B298-C298</f>
        <v>-26715</v>
      </c>
      <c r="H298" s="38" t="n">
        <f aca="false">J297</f>
        <v>7965</v>
      </c>
      <c r="I298" s="38" t="n">
        <f aca="false">SUMIFS('Daily Transactions'!C:C,'Daily Transactions'!A:A,$A298,'Daily Transactions'!B:B,"Sales",'Daily Transactions'!D:D,"Cash")</f>
        <v>4335</v>
      </c>
      <c r="J298" s="38" t="n">
        <f aca="false">H298+I298-D298-E298</f>
        <v>8693</v>
      </c>
      <c r="K298" s="38"/>
      <c r="L298" s="38" t="n">
        <f aca="false">SUMIFS('Daily Transactions'!C:C,'Daily Transactions'!A:A,$A298,'Daily Transactions'!B:B,"Cash Shortage",'Daily Transactions'!D:D,"Cash")</f>
        <v>0</v>
      </c>
    </row>
    <row r="299" customFormat="false" ht="15.75" hidden="false" customHeight="true" outlineLevel="0" collapsed="false">
      <c r="A299" s="37" t="n">
        <f aca="false">A298+1</f>
        <v>45953</v>
      </c>
      <c r="B299" s="38" t="n">
        <f aca="false">SUMIFS('Daily Transactions'!C:C,'Daily Transactions'!A:A,$A299,'Daily Transactions'!B:B,"Sales")</f>
        <v>18410</v>
      </c>
      <c r="C299" s="38" t="n">
        <f aca="false">SUMIFS('Daily Transactions'!C:C,'Daily Transactions'!A:A,$A299,'Daily Transactions'!B:B,"&lt;&gt;Sales")</f>
        <v>4578</v>
      </c>
      <c r="D299" s="38" t="n">
        <f aca="false">SUMIFS('Daily Transactions'!C:C,'Daily Transactions'!A:A,$A299,'Daily Transactions'!B:B,"&lt;&gt;Sales",'Daily Transactions'!D:D,"Cash")</f>
        <v>10</v>
      </c>
      <c r="E299" s="38" t="n">
        <f aca="false">SUMIFS('Daily Transactions'!C:C,'Daily Transactions'!A:A,$A299,'Daily Transactions'!B:B,"&lt;&gt;Sales",'Daily Transactions'!D:D,"Bank_Cash")</f>
        <v>30</v>
      </c>
      <c r="F299" s="38" t="n">
        <f aca="false">SUMIFS('Daily Transactions'!C:C,'Daily Transactions'!A:A,$A299,'Daily Transactions'!B:B,"&lt;&gt;Sales",'Daily Transactions'!D:D,"Bank")</f>
        <v>4538</v>
      </c>
      <c r="G299" s="38" t="n">
        <f aca="false">B299-C299</f>
        <v>13832</v>
      </c>
      <c r="H299" s="38" t="n">
        <f aca="false">J298</f>
        <v>8693</v>
      </c>
      <c r="I299" s="38" t="n">
        <f aca="false">SUMIFS('Daily Transactions'!C:C,'Daily Transactions'!A:A,$A299,'Daily Transactions'!B:B,"Sales",'Daily Transactions'!D:D,"Cash")</f>
        <v>5059</v>
      </c>
      <c r="J299" s="38" t="n">
        <f aca="false">H299+I299-D299-E299</f>
        <v>13712</v>
      </c>
      <c r="K299" s="38"/>
      <c r="L299" s="38" t="n">
        <f aca="false">SUMIFS('Daily Transactions'!C:C,'Daily Transactions'!A:A,$A299,'Daily Transactions'!B:B,"Cash Shortage",'Daily Transactions'!D:D,"Cash")</f>
        <v>0</v>
      </c>
    </row>
    <row r="300" customFormat="false" ht="15.75" hidden="false" customHeight="true" outlineLevel="0" collapsed="false">
      <c r="A300" s="37" t="n">
        <f aca="false">A299+1</f>
        <v>45954</v>
      </c>
      <c r="B300" s="38" t="n">
        <f aca="false">SUMIFS('Daily Transactions'!C:C,'Daily Transactions'!A:A,$A300,'Daily Transactions'!B:B,"Sales")</f>
        <v>19631</v>
      </c>
      <c r="C300" s="38" t="n">
        <f aca="false">SUMIFS('Daily Transactions'!C:C,'Daily Transactions'!A:A,$A300,'Daily Transactions'!B:B,"&lt;&gt;Sales")</f>
        <v>20377</v>
      </c>
      <c r="D300" s="38" t="n">
        <f aca="false">SUMIFS('Daily Transactions'!C:C,'Daily Transactions'!A:A,$A300,'Daily Transactions'!B:B,"&lt;&gt;Sales",'Daily Transactions'!D:D,"Cash")</f>
        <v>910</v>
      </c>
      <c r="E300" s="38" t="n">
        <f aca="false">SUMIFS('Daily Transactions'!C:C,'Daily Transactions'!A:A,$A300,'Daily Transactions'!B:B,"&lt;&gt;Sales",'Daily Transactions'!D:D,"Bank_Cash")</f>
        <v>12390</v>
      </c>
      <c r="F300" s="38" t="n">
        <f aca="false">SUMIFS('Daily Transactions'!C:C,'Daily Transactions'!A:A,$A300,'Daily Transactions'!B:B,"&lt;&gt;Sales",'Daily Transactions'!D:D,"Bank")</f>
        <v>7077</v>
      </c>
      <c r="G300" s="38" t="n">
        <f aca="false">B300-C300</f>
        <v>-746</v>
      </c>
      <c r="H300" s="38" t="n">
        <f aca="false">J299</f>
        <v>13712</v>
      </c>
      <c r="I300" s="38" t="n">
        <f aca="false">SUMIFS('Daily Transactions'!C:C,'Daily Transactions'!A:A,$A300,'Daily Transactions'!B:B,"Sales",'Daily Transactions'!D:D,"Cash")</f>
        <v>3110</v>
      </c>
      <c r="J300" s="38" t="n">
        <f aca="false">H300+I300-D300-E300</f>
        <v>3522</v>
      </c>
      <c r="K300" s="38"/>
      <c r="L300" s="38" t="n">
        <f aca="false">SUMIFS('Daily Transactions'!C:C,'Daily Transactions'!A:A,$A300,'Daily Transactions'!B:B,"Cash Shortage",'Daily Transactions'!D:D,"Cash")</f>
        <v>0</v>
      </c>
    </row>
    <row r="301" customFormat="false" ht="15.75" hidden="false" customHeight="true" outlineLevel="0" collapsed="false">
      <c r="A301" s="37" t="n">
        <f aca="false">A300+1</f>
        <v>45955</v>
      </c>
      <c r="B301" s="38" t="n">
        <f aca="false">SUMIFS('Daily Transactions'!C:C,'Daily Transactions'!A:A,$A301,'Daily Transactions'!B:B,"Sales")</f>
        <v>21738</v>
      </c>
      <c r="C301" s="38" t="n">
        <f aca="false">SUMIFS('Daily Transactions'!C:C,'Daily Transactions'!A:A,$A301,'Daily Transactions'!B:B,"&lt;&gt;Sales")</f>
        <v>8499</v>
      </c>
      <c r="D301" s="38" t="n">
        <f aca="false">SUMIFS('Daily Transactions'!C:C,'Daily Transactions'!A:A,$A301,'Daily Transactions'!B:B,"&lt;&gt;Sales",'Daily Transactions'!D:D,"Cash")</f>
        <v>745</v>
      </c>
      <c r="E301" s="38" t="n">
        <f aca="false">SUMIFS('Daily Transactions'!C:C,'Daily Transactions'!A:A,$A301,'Daily Transactions'!B:B,"&lt;&gt;Sales",'Daily Transactions'!D:D,"Bank_Cash")</f>
        <v>1040</v>
      </c>
      <c r="F301" s="38" t="n">
        <f aca="false">SUMIFS('Daily Transactions'!C:C,'Daily Transactions'!A:A,$A301,'Daily Transactions'!B:B,"&lt;&gt;Sales",'Daily Transactions'!D:D,"Bank")</f>
        <v>6714</v>
      </c>
      <c r="G301" s="38" t="n">
        <f aca="false">B301-C301</f>
        <v>13239</v>
      </c>
      <c r="H301" s="38" t="n">
        <f aca="false">J300</f>
        <v>3522</v>
      </c>
      <c r="I301" s="38" t="n">
        <f aca="false">SUMIFS('Daily Transactions'!C:C,'Daily Transactions'!A:A,$A301,'Daily Transactions'!B:B,"Sales",'Daily Transactions'!D:D,"Cash")</f>
        <v>5789</v>
      </c>
      <c r="J301" s="38" t="n">
        <f aca="false">H301+I301-D301-E301</f>
        <v>7526</v>
      </c>
      <c r="K301" s="38"/>
      <c r="L301" s="38" t="n">
        <f aca="false">SUMIFS('Daily Transactions'!C:C,'Daily Transactions'!A:A,$A301,'Daily Transactions'!B:B,"Cash Shortage",'Daily Transactions'!D:D,"Cash")</f>
        <v>0</v>
      </c>
    </row>
    <row r="302" customFormat="false" ht="15.75" hidden="false" customHeight="true" outlineLevel="0" collapsed="false">
      <c r="A302" s="37" t="n">
        <f aca="false">A301+1</f>
        <v>45956</v>
      </c>
      <c r="B302" s="38" t="n">
        <f aca="false">SUMIFS('Daily Transactions'!C:C,'Daily Transactions'!A:A,$A302,'Daily Transactions'!B:B,"Sales")</f>
        <v>16202</v>
      </c>
      <c r="C302" s="38" t="n">
        <f aca="false">SUMIFS('Daily Transactions'!C:C,'Daily Transactions'!A:A,$A302,'Daily Transactions'!B:B,"&lt;&gt;Sales")</f>
        <v>11873</v>
      </c>
      <c r="D302" s="38" t="n">
        <f aca="false">SUMIFS('Daily Transactions'!C:C,'Daily Transactions'!A:A,$A302,'Daily Transactions'!B:B,"&lt;&gt;Sales",'Daily Transactions'!D:D,"Cash")</f>
        <v>1015</v>
      </c>
      <c r="E302" s="38" t="n">
        <f aca="false">SUMIFS('Daily Transactions'!C:C,'Daily Transactions'!A:A,$A302,'Daily Transactions'!B:B,"&lt;&gt;Sales",'Daily Transactions'!D:D,"Bank_Cash")</f>
        <v>3935</v>
      </c>
      <c r="F302" s="38" t="n">
        <f aca="false">SUMIFS('Daily Transactions'!C:C,'Daily Transactions'!A:A,$A302,'Daily Transactions'!B:B,"&lt;&gt;Sales",'Daily Transactions'!D:D,"Bank")</f>
        <v>6923</v>
      </c>
      <c r="G302" s="38" t="n">
        <f aca="false">B302-C302</f>
        <v>4329</v>
      </c>
      <c r="H302" s="38" t="n">
        <f aca="false">J301</f>
        <v>7526</v>
      </c>
      <c r="I302" s="38" t="n">
        <f aca="false">SUMIFS('Daily Transactions'!C:C,'Daily Transactions'!A:A,$A302,'Daily Transactions'!B:B,"Sales",'Daily Transactions'!D:D,"Cash")</f>
        <v>2424</v>
      </c>
      <c r="J302" s="38" t="n">
        <f aca="false">H302+I302-D302-E302</f>
        <v>5000</v>
      </c>
      <c r="K302" s="38"/>
      <c r="L302" s="38" t="n">
        <f aca="false">SUMIFS('Daily Transactions'!C:C,'Daily Transactions'!A:A,$A302,'Daily Transactions'!B:B,"Cash Shortage",'Daily Transactions'!D:D,"Cash")</f>
        <v>475</v>
      </c>
    </row>
    <row r="303" customFormat="false" ht="15.75" hidden="false" customHeight="true" outlineLevel="0" collapsed="false">
      <c r="A303" s="37" t="n">
        <f aca="false">A302+1</f>
        <v>45957</v>
      </c>
      <c r="B303" s="38" t="n">
        <f aca="false">SUMIFS('Daily Transactions'!C:C,'Daily Transactions'!A:A,$A303,'Daily Transactions'!B:B,"Sales")</f>
        <v>20903</v>
      </c>
      <c r="C303" s="38" t="n">
        <f aca="false">SUMIFS('Daily Transactions'!C:C,'Daily Transactions'!A:A,$A303,'Daily Transactions'!B:B,"&lt;&gt;Sales")</f>
        <v>27043</v>
      </c>
      <c r="D303" s="38" t="n">
        <f aca="false">SUMIFS('Daily Transactions'!C:C,'Daily Transactions'!A:A,$A303,'Daily Transactions'!B:B,"&lt;&gt;Sales",'Daily Transactions'!D:D,"Cash")</f>
        <v>0</v>
      </c>
      <c r="E303" s="38" t="n">
        <f aca="false">SUMIFS('Daily Transactions'!C:C,'Daily Transactions'!A:A,$A303,'Daily Transactions'!B:B,"&lt;&gt;Sales",'Daily Transactions'!D:D,"Bank_Cash")</f>
        <v>1160</v>
      </c>
      <c r="F303" s="38" t="n">
        <f aca="false">SUMIFS('Daily Transactions'!C:C,'Daily Transactions'!A:A,$A303,'Daily Transactions'!B:B,"&lt;&gt;Sales",'Daily Transactions'!D:D,"Bank")</f>
        <v>25883</v>
      </c>
      <c r="G303" s="38" t="n">
        <f aca="false">B303-C303</f>
        <v>-6140</v>
      </c>
      <c r="H303" s="38" t="n">
        <f aca="false">J302</f>
        <v>5000</v>
      </c>
      <c r="I303" s="38" t="n">
        <f aca="false">SUMIFS('Daily Transactions'!C:C,'Daily Transactions'!A:A,$A303,'Daily Transactions'!B:B,"Sales",'Daily Transactions'!D:D,"Cash")</f>
        <v>4625</v>
      </c>
      <c r="J303" s="38" t="n">
        <f aca="false">H303+I303-D303-E303</f>
        <v>8465</v>
      </c>
      <c r="K303" s="38"/>
      <c r="L303" s="38" t="n">
        <f aca="false">SUMIFS('Daily Transactions'!C:C,'Daily Transactions'!A:A,$A303,'Daily Transactions'!B:B,"Cash Shortage",'Daily Transactions'!D:D,"Cash")</f>
        <v>0</v>
      </c>
    </row>
    <row r="304" customFormat="false" ht="15.75" hidden="false" customHeight="true" outlineLevel="0" collapsed="false">
      <c r="A304" s="37" t="n">
        <f aca="false">A303+1</f>
        <v>45958</v>
      </c>
      <c r="B304" s="38" t="n">
        <f aca="false">SUMIFS('Daily Transactions'!C:C,'Daily Transactions'!A:A,$A304,'Daily Transactions'!B:B,"Sales")</f>
        <v>25794</v>
      </c>
      <c r="C304" s="38" t="n">
        <f aca="false">SUMIFS('Daily Transactions'!C:C,'Daily Transactions'!A:A,$A304,'Daily Transactions'!B:B,"&lt;&gt;Sales")</f>
        <v>9390</v>
      </c>
      <c r="D304" s="38" t="n">
        <f aca="false">SUMIFS('Daily Transactions'!C:C,'Daily Transactions'!A:A,$A304,'Daily Transactions'!B:B,"&lt;&gt;Sales",'Daily Transactions'!D:D,"Cash")</f>
        <v>60</v>
      </c>
      <c r="E304" s="38" t="n">
        <f aca="false">SUMIFS('Daily Transactions'!C:C,'Daily Transactions'!A:A,$A304,'Daily Transactions'!B:B,"&lt;&gt;Sales",'Daily Transactions'!D:D,"Bank_Cash")</f>
        <v>6410</v>
      </c>
      <c r="F304" s="38" t="n">
        <f aca="false">SUMIFS('Daily Transactions'!C:C,'Daily Transactions'!A:A,$A304,'Daily Transactions'!B:B,"&lt;&gt;Sales",'Daily Transactions'!D:D,"Bank")</f>
        <v>2920</v>
      </c>
      <c r="G304" s="38" t="n">
        <f aca="false">B304-C304</f>
        <v>16404</v>
      </c>
      <c r="H304" s="38" t="n">
        <f aca="false">J303</f>
        <v>8465</v>
      </c>
      <c r="I304" s="38" t="n">
        <f aca="false">SUMIFS('Daily Transactions'!C:C,'Daily Transactions'!A:A,$A304,'Daily Transactions'!B:B,"Sales",'Daily Transactions'!D:D,"Cash")</f>
        <v>3699</v>
      </c>
      <c r="J304" s="38" t="n">
        <f aca="false">H304+I304-D304-E304</f>
        <v>5694</v>
      </c>
      <c r="K304" s="38"/>
      <c r="L304" s="38" t="n">
        <f aca="false">SUMIFS('Daily Transactions'!C:C,'Daily Transactions'!A:A,$A304,'Daily Transactions'!B:B,"Cash Shortage",'Daily Transactions'!D:D,"Cash")</f>
        <v>0</v>
      </c>
    </row>
    <row r="305" customFormat="false" ht="15.75" hidden="false" customHeight="true" outlineLevel="0" collapsed="false">
      <c r="A305" s="37" t="n">
        <f aca="false">A304+1</f>
        <v>45959</v>
      </c>
      <c r="B305" s="38" t="n">
        <f aca="false">SUMIFS('Daily Transactions'!C:C,'Daily Transactions'!A:A,$A305,'Daily Transactions'!B:B,"Sales")</f>
        <v>25709</v>
      </c>
      <c r="C305" s="38" t="n">
        <f aca="false">SUMIFS('Daily Transactions'!C:C,'Daily Transactions'!A:A,$A305,'Daily Transactions'!B:B,"&lt;&gt;Sales")</f>
        <v>13882</v>
      </c>
      <c r="D305" s="38" t="n">
        <f aca="false">SUMIFS('Daily Transactions'!C:C,'Daily Transactions'!A:A,$A305,'Daily Transactions'!B:B,"&lt;&gt;Sales",'Daily Transactions'!D:D,"Cash")</f>
        <v>255</v>
      </c>
      <c r="E305" s="38" t="n">
        <f aca="false">SUMIFS('Daily Transactions'!C:C,'Daily Transactions'!A:A,$A305,'Daily Transactions'!B:B,"&lt;&gt;Sales",'Daily Transactions'!D:D,"Bank_Cash")</f>
        <v>0</v>
      </c>
      <c r="F305" s="38" t="n">
        <f aca="false">SUMIFS('Daily Transactions'!C:C,'Daily Transactions'!A:A,$A305,'Daily Transactions'!B:B,"&lt;&gt;Sales",'Daily Transactions'!D:D,"Bank")</f>
        <v>13627</v>
      </c>
      <c r="G305" s="38" t="n">
        <f aca="false">B305-C305</f>
        <v>11827</v>
      </c>
      <c r="H305" s="38" t="n">
        <f aca="false">J304</f>
        <v>5694</v>
      </c>
      <c r="I305" s="38" t="n">
        <f aca="false">SUMIFS('Daily Transactions'!C:C,'Daily Transactions'!A:A,$A305,'Daily Transactions'!B:B,"Sales",'Daily Transactions'!D:D,"Cash")</f>
        <v>6418</v>
      </c>
      <c r="J305" s="38" t="n">
        <f aca="false">H305+I305-D305-E305</f>
        <v>11857</v>
      </c>
      <c r="K305" s="38"/>
      <c r="L305" s="38" t="n">
        <f aca="false">SUMIFS('Daily Transactions'!C:C,'Daily Transactions'!A:A,$A305,'Daily Transactions'!B:B,"Cash Shortage",'Daily Transactions'!D:D,"Cash")</f>
        <v>0</v>
      </c>
    </row>
    <row r="306" customFormat="false" ht="15.75" hidden="false" customHeight="true" outlineLevel="0" collapsed="false">
      <c r="A306" s="37" t="n">
        <f aca="false">A305+1</f>
        <v>45960</v>
      </c>
      <c r="B306" s="38" t="n">
        <f aca="false">SUMIFS('Daily Transactions'!C:C,'Daily Transactions'!A:A,$A306,'Daily Transactions'!B:B,"Sales")</f>
        <v>18930</v>
      </c>
      <c r="C306" s="38" t="n">
        <f aca="false">SUMIFS('Daily Transactions'!C:C,'Daily Transactions'!A:A,$A306,'Daily Transactions'!B:B,"&lt;&gt;Sales")</f>
        <v>16899</v>
      </c>
      <c r="D306" s="38" t="n">
        <f aca="false">SUMIFS('Daily Transactions'!C:C,'Daily Transactions'!A:A,$A306,'Daily Transactions'!B:B,"&lt;&gt;Sales",'Daily Transactions'!D:D,"Cash")</f>
        <v>30</v>
      </c>
      <c r="E306" s="38" t="n">
        <f aca="false">SUMIFS('Daily Transactions'!C:C,'Daily Transactions'!A:A,$A306,'Daily Transactions'!B:B,"&lt;&gt;Sales",'Daily Transactions'!D:D,"Bank_Cash")</f>
        <v>8139</v>
      </c>
      <c r="F306" s="38" t="n">
        <f aca="false">SUMIFS('Daily Transactions'!C:C,'Daily Transactions'!A:A,$A306,'Daily Transactions'!B:B,"&lt;&gt;Sales",'Daily Transactions'!D:D,"Bank")</f>
        <v>8730</v>
      </c>
      <c r="G306" s="38" t="n">
        <f aca="false">B306-C306</f>
        <v>2031</v>
      </c>
      <c r="H306" s="38" t="n">
        <f aca="false">J305</f>
        <v>11857</v>
      </c>
      <c r="I306" s="38" t="n">
        <f aca="false">SUMIFS('Daily Transactions'!C:C,'Daily Transactions'!A:A,$A306,'Daily Transactions'!B:B,"Sales",'Daily Transactions'!D:D,"Cash")</f>
        <v>3435</v>
      </c>
      <c r="J306" s="38" t="n">
        <f aca="false">H306+I306-D306-E306</f>
        <v>7123</v>
      </c>
      <c r="K306" s="38"/>
      <c r="L306" s="38" t="n">
        <f aca="false">SUMIFS('Daily Transactions'!C:C,'Daily Transactions'!A:A,$A306,'Daily Transactions'!B:B,"Cash Shortage",'Daily Transactions'!D:D,"Cash")</f>
        <v>0</v>
      </c>
    </row>
    <row r="307" customFormat="false" ht="15.75" hidden="false" customHeight="true" outlineLevel="0" collapsed="false">
      <c r="A307" s="37" t="n">
        <f aca="false">A306+1</f>
        <v>45961</v>
      </c>
      <c r="B307" s="38" t="n">
        <f aca="false">SUMIFS('Daily Transactions'!C:C,'Daily Transactions'!A:A,$A307,'Daily Transactions'!B:B,"Sales")</f>
        <v>44119</v>
      </c>
      <c r="C307" s="38" t="n">
        <f aca="false">SUMIFS('Daily Transactions'!C:C,'Daily Transactions'!A:A,$A307,'Daily Transactions'!B:B,"&lt;&gt;Sales")</f>
        <v>10305</v>
      </c>
      <c r="D307" s="38" t="n">
        <f aca="false">SUMIFS('Daily Transactions'!C:C,'Daily Transactions'!A:A,$A307,'Daily Transactions'!B:B,"&lt;&gt;Sales",'Daily Transactions'!D:D,"Cash")</f>
        <v>255</v>
      </c>
      <c r="E307" s="38" t="n">
        <f aca="false">SUMIFS('Daily Transactions'!C:C,'Daily Transactions'!A:A,$A307,'Daily Transactions'!B:B,"&lt;&gt;Sales",'Daily Transactions'!D:D,"Bank_Cash")</f>
        <v>1170</v>
      </c>
      <c r="F307" s="38" t="n">
        <f aca="false">SUMIFS('Daily Transactions'!C:C,'Daily Transactions'!A:A,$A307,'Daily Transactions'!B:B,"&lt;&gt;Sales",'Daily Transactions'!D:D,"Bank")</f>
        <v>8880</v>
      </c>
      <c r="G307" s="38" t="n">
        <f aca="false">B307-C307</f>
        <v>33814</v>
      </c>
      <c r="H307" s="38" t="n">
        <f aca="false">J306</f>
        <v>7123</v>
      </c>
      <c r="I307" s="38" t="n">
        <f aca="false">SUMIFS('Daily Transactions'!C:C,'Daily Transactions'!A:A,$A307,'Daily Transactions'!B:B,"Sales",'Daily Transactions'!D:D,"Cash")</f>
        <v>3450</v>
      </c>
      <c r="J307" s="38" t="n">
        <f aca="false">H307+I307-D307-E307</f>
        <v>9148</v>
      </c>
      <c r="K307" s="38"/>
      <c r="L307" s="38" t="n">
        <f aca="false">SUMIFS('Daily Transactions'!C:C,'Daily Transactions'!A:A,$A307,'Daily Transactions'!B:B,"Cash Shortage",'Daily Transactions'!D:D,"Cash")</f>
        <v>0</v>
      </c>
    </row>
    <row r="308" customFormat="false" ht="15.75" hidden="false" customHeight="true" outlineLevel="0" collapsed="false">
      <c r="A308" s="37" t="n">
        <f aca="false">A307+1</f>
        <v>45962</v>
      </c>
      <c r="B308" s="38" t="n">
        <f aca="false">SUMIFS('Daily Transactions'!C:C,'Daily Transactions'!A:A,$A308,'Daily Transactions'!B:B,"Sales")</f>
        <v>29101</v>
      </c>
      <c r="C308" s="38" t="n">
        <f aca="false">SUMIFS('Daily Transactions'!C:C,'Daily Transactions'!A:A,$A308,'Daily Transactions'!B:B,"&lt;&gt;Sales")</f>
        <v>13261</v>
      </c>
      <c r="D308" s="38" t="n">
        <f aca="false">SUMIFS('Daily Transactions'!C:C,'Daily Transactions'!A:A,$A308,'Daily Transactions'!B:B,"&lt;&gt;Sales",'Daily Transactions'!D:D,"Cash")</f>
        <v>386</v>
      </c>
      <c r="E308" s="38" t="n">
        <f aca="false">SUMIFS('Daily Transactions'!C:C,'Daily Transactions'!A:A,$A308,'Daily Transactions'!B:B,"&lt;&gt;Sales",'Daily Transactions'!D:D,"Bank_Cash")</f>
        <v>30</v>
      </c>
      <c r="F308" s="38" t="n">
        <f aca="false">SUMIFS('Daily Transactions'!C:C,'Daily Transactions'!A:A,$A308,'Daily Transactions'!B:B,"&lt;&gt;Sales",'Daily Transactions'!D:D,"Bank")</f>
        <v>12845</v>
      </c>
      <c r="G308" s="38" t="n">
        <f aca="false">B308-C308</f>
        <v>15840</v>
      </c>
      <c r="H308" s="38" t="n">
        <f aca="false">J307</f>
        <v>9148</v>
      </c>
      <c r="I308" s="38" t="n">
        <f aca="false">SUMIFS('Daily Transactions'!C:C,'Daily Transactions'!A:A,$A308,'Daily Transactions'!B:B,"Sales",'Daily Transactions'!D:D,"Cash")</f>
        <v>591</v>
      </c>
      <c r="J308" s="38" t="n">
        <f aca="false">H308+I308-D308-E308</f>
        <v>9323</v>
      </c>
      <c r="K308" s="38"/>
      <c r="L308" s="38" t="n">
        <f aca="false">SUMIFS('Daily Transactions'!C:C,'Daily Transactions'!A:A,$A308,'Daily Transactions'!B:B,"Cash Shortage",'Daily Transactions'!D:D,"Cash")</f>
        <v>0</v>
      </c>
    </row>
    <row r="309" customFormat="false" ht="15.75" hidden="false" customHeight="true" outlineLevel="0" collapsed="false">
      <c r="A309" s="37" t="n">
        <f aca="false">A308+1</f>
        <v>45963</v>
      </c>
      <c r="B309" s="38" t="n">
        <f aca="false">SUMIFS('Daily Transactions'!C:C,'Daily Transactions'!A:A,$A309,'Daily Transactions'!B:B,"Sales")</f>
        <v>34989</v>
      </c>
      <c r="C309" s="38" t="n">
        <f aca="false">SUMIFS('Daily Transactions'!C:C,'Daily Transactions'!A:A,$A309,'Daily Transactions'!B:B,"&lt;&gt;Sales")</f>
        <v>9680</v>
      </c>
      <c r="D309" s="38" t="n">
        <f aca="false">SUMIFS('Daily Transactions'!C:C,'Daily Transactions'!A:A,$A309,'Daily Transactions'!B:B,"&lt;&gt;Sales",'Daily Transactions'!D:D,"Cash")</f>
        <v>10</v>
      </c>
      <c r="E309" s="38" t="n">
        <f aca="false">SUMIFS('Daily Transactions'!C:C,'Daily Transactions'!A:A,$A309,'Daily Transactions'!B:B,"&lt;&gt;Sales",'Daily Transactions'!D:D,"Bank_Cash")</f>
        <v>6120</v>
      </c>
      <c r="F309" s="38" t="n">
        <f aca="false">SUMIFS('Daily Transactions'!C:C,'Daily Transactions'!A:A,$A309,'Daily Transactions'!B:B,"&lt;&gt;Sales",'Daily Transactions'!D:D,"Bank")</f>
        <v>3550</v>
      </c>
      <c r="G309" s="38" t="n">
        <f aca="false">B309-C309</f>
        <v>25309</v>
      </c>
      <c r="H309" s="38" t="n">
        <f aca="false">J308</f>
        <v>9323</v>
      </c>
      <c r="I309" s="38" t="n">
        <f aca="false">SUMIFS('Daily Transactions'!C:C,'Daily Transactions'!A:A,$A309,'Daily Transactions'!B:B,"Sales",'Daily Transactions'!D:D,"Cash")</f>
        <v>5673</v>
      </c>
      <c r="J309" s="38" t="n">
        <f aca="false">H309+I309-D309-E309</f>
        <v>8866</v>
      </c>
      <c r="K309" s="38"/>
      <c r="L309" s="38" t="n">
        <f aca="false">SUMIFS('Daily Transactions'!C:C,'Daily Transactions'!A:A,$A309,'Daily Transactions'!B:B,"Cash Shortage",'Daily Transactions'!D:D,"Cash")</f>
        <v>0</v>
      </c>
    </row>
    <row r="310" customFormat="false" ht="15.75" hidden="false" customHeight="true" outlineLevel="0" collapsed="false">
      <c r="A310" s="37" t="n">
        <f aca="false">A309+1</f>
        <v>45964</v>
      </c>
      <c r="B310" s="38" t="n">
        <f aca="false">SUMIFS('Daily Transactions'!C:C,'Daily Transactions'!A:A,$A310,'Daily Transactions'!B:B,"Sales")</f>
        <v>20471</v>
      </c>
      <c r="C310" s="38" t="n">
        <f aca="false">SUMIFS('Daily Transactions'!C:C,'Daily Transactions'!A:A,$A310,'Daily Transactions'!B:B,"&lt;&gt;Sales")</f>
        <v>57187</v>
      </c>
      <c r="D310" s="38" t="n">
        <f aca="false">SUMIFS('Daily Transactions'!C:C,'Daily Transactions'!A:A,$A310,'Daily Transactions'!B:B,"&lt;&gt;Sales",'Daily Transactions'!D:D,"Cash")</f>
        <v>891</v>
      </c>
      <c r="E310" s="38" t="n">
        <f aca="false">SUMIFS('Daily Transactions'!C:C,'Daily Transactions'!A:A,$A310,'Daily Transactions'!B:B,"&lt;&gt;Sales",'Daily Transactions'!D:D,"Bank_Cash")</f>
        <v>4330</v>
      </c>
      <c r="F310" s="38" t="n">
        <f aca="false">SUMIFS('Daily Transactions'!C:C,'Daily Transactions'!A:A,$A310,'Daily Transactions'!B:B,"&lt;&gt;Sales",'Daily Transactions'!D:D,"Bank")</f>
        <v>51966</v>
      </c>
      <c r="G310" s="38" t="n">
        <f aca="false">B310-C310</f>
        <v>-36716</v>
      </c>
      <c r="H310" s="38" t="n">
        <f aca="false">J309</f>
        <v>8866</v>
      </c>
      <c r="I310" s="38" t="n">
        <f aca="false">SUMIFS('Daily Transactions'!C:C,'Daily Transactions'!A:A,$A310,'Daily Transactions'!B:B,"Sales",'Daily Transactions'!D:D,"Cash")</f>
        <v>1924</v>
      </c>
      <c r="J310" s="38" t="n">
        <f aca="false">H310+I310-D310-E310</f>
        <v>5569</v>
      </c>
      <c r="K310" s="38"/>
      <c r="L310" s="38" t="n">
        <f aca="false">SUMIFS('Daily Transactions'!C:C,'Daily Transactions'!A:A,$A310,'Daily Transactions'!B:B,"Cash Shortage",'Daily Transactions'!D:D,"Cash")</f>
        <v>0</v>
      </c>
    </row>
    <row r="311" customFormat="false" ht="15.75" hidden="false" customHeight="true" outlineLevel="0" collapsed="false">
      <c r="A311" s="37" t="n">
        <f aca="false">A310+1</f>
        <v>45965</v>
      </c>
      <c r="B311" s="38" t="n">
        <f aca="false">SUMIFS('Daily Transactions'!C:C,'Daily Transactions'!A:A,$A311,'Daily Transactions'!B:B,"Sales")</f>
        <v>30645</v>
      </c>
      <c r="C311" s="38" t="n">
        <f aca="false">SUMIFS('Daily Transactions'!C:C,'Daily Transactions'!A:A,$A311,'Daily Transactions'!B:B,"&lt;&gt;Sales")</f>
        <v>18303</v>
      </c>
      <c r="D311" s="38" t="n">
        <f aca="false">SUMIFS('Daily Transactions'!C:C,'Daily Transactions'!A:A,$A311,'Daily Transactions'!B:B,"&lt;&gt;Sales",'Daily Transactions'!D:D,"Cash")</f>
        <v>2905</v>
      </c>
      <c r="E311" s="38" t="n">
        <f aca="false">SUMIFS('Daily Transactions'!C:C,'Daily Transactions'!A:A,$A311,'Daily Transactions'!B:B,"&lt;&gt;Sales",'Daily Transactions'!D:D,"Bank_Cash")</f>
        <v>7560</v>
      </c>
      <c r="F311" s="38" t="n">
        <f aca="false">SUMIFS('Daily Transactions'!C:C,'Daily Transactions'!A:A,$A311,'Daily Transactions'!B:B,"&lt;&gt;Sales",'Daily Transactions'!D:D,"Bank")</f>
        <v>7838</v>
      </c>
      <c r="G311" s="38" t="n">
        <f aca="false">B311-C311</f>
        <v>12342</v>
      </c>
      <c r="H311" s="38" t="n">
        <f aca="false">J310</f>
        <v>5569</v>
      </c>
      <c r="I311" s="38" t="n">
        <f aca="false">SUMIFS('Daily Transactions'!C:C,'Daily Transactions'!A:A,$A311,'Daily Transactions'!B:B,"Sales",'Daily Transactions'!D:D,"Cash")</f>
        <v>7490</v>
      </c>
      <c r="J311" s="38" t="n">
        <f aca="false">H311+I311-D311-E311</f>
        <v>2594</v>
      </c>
      <c r="K311" s="38"/>
      <c r="L311" s="38" t="n">
        <f aca="false">SUMIFS('Daily Transactions'!C:C,'Daily Transactions'!A:A,$A311,'Daily Transactions'!B:B,"Cash Shortage",'Daily Transactions'!D:D,"Cash")</f>
        <v>0</v>
      </c>
    </row>
    <row r="312" customFormat="false" ht="15.75" hidden="false" customHeight="true" outlineLevel="0" collapsed="false">
      <c r="A312" s="37" t="n">
        <f aca="false">A311+1</f>
        <v>45966</v>
      </c>
      <c r="B312" s="38" t="n">
        <f aca="false">SUMIFS('Daily Transactions'!C:C,'Daily Transactions'!A:A,$A312,'Daily Transactions'!B:B,"Sales")</f>
        <v>25300</v>
      </c>
      <c r="C312" s="38" t="n">
        <f aca="false">SUMIFS('Daily Transactions'!C:C,'Daily Transactions'!A:A,$A312,'Daily Transactions'!B:B,"&lt;&gt;Sales")</f>
        <v>16220</v>
      </c>
      <c r="D312" s="38" t="n">
        <f aca="false">SUMIFS('Daily Transactions'!C:C,'Daily Transactions'!A:A,$A312,'Daily Transactions'!B:B,"&lt;&gt;Sales",'Daily Transactions'!D:D,"Cash")</f>
        <v>1550</v>
      </c>
      <c r="E312" s="38" t="n">
        <f aca="false">SUMIFS('Daily Transactions'!C:C,'Daily Transactions'!A:A,$A312,'Daily Transactions'!B:B,"&lt;&gt;Sales",'Daily Transactions'!D:D,"Bank_Cash")</f>
        <v>3410</v>
      </c>
      <c r="F312" s="38" t="n">
        <f aca="false">SUMIFS('Daily Transactions'!C:C,'Daily Transactions'!A:A,$A312,'Daily Transactions'!B:B,"&lt;&gt;Sales",'Daily Transactions'!D:D,"Bank")</f>
        <v>11260</v>
      </c>
      <c r="G312" s="38" t="n">
        <f aca="false">B312-C312</f>
        <v>9080</v>
      </c>
      <c r="H312" s="38" t="n">
        <f aca="false">J311</f>
        <v>2594</v>
      </c>
      <c r="I312" s="38" t="n">
        <f aca="false">SUMIFS('Daily Transactions'!C:C,'Daily Transactions'!A:A,$A312,'Daily Transactions'!B:B,"Sales",'Daily Transactions'!D:D,"Cash")</f>
        <v>4975</v>
      </c>
      <c r="J312" s="38" t="n">
        <f aca="false">H312+I312-D312-E312</f>
        <v>2609</v>
      </c>
      <c r="K312" s="38"/>
      <c r="L312" s="38" t="n">
        <f aca="false">SUMIFS('Daily Transactions'!C:C,'Daily Transactions'!A:A,$A312,'Daily Transactions'!B:B,"Cash Shortage",'Daily Transactions'!D:D,"Cash")</f>
        <v>0</v>
      </c>
    </row>
    <row r="313" customFormat="false" ht="15.75" hidden="false" customHeight="true" outlineLevel="0" collapsed="false">
      <c r="A313" s="37" t="n">
        <f aca="false">A312+1</f>
        <v>45967</v>
      </c>
      <c r="B313" s="38" t="n">
        <f aca="false">SUMIFS('Daily Transactions'!C:C,'Daily Transactions'!A:A,$A313,'Daily Transactions'!B:B,"Sales")</f>
        <v>28091</v>
      </c>
      <c r="C313" s="38" t="n">
        <f aca="false">SUMIFS('Daily Transactions'!C:C,'Daily Transactions'!A:A,$A313,'Daily Transactions'!B:B,"&lt;&gt;Sales")</f>
        <v>8628</v>
      </c>
      <c r="D313" s="38" t="n">
        <f aca="false">SUMIFS('Daily Transactions'!C:C,'Daily Transactions'!A:A,$A313,'Daily Transactions'!B:B,"&lt;&gt;Sales",'Daily Transactions'!D:D,"Cash")</f>
        <v>50</v>
      </c>
      <c r="E313" s="38" t="n">
        <f aca="false">SUMIFS('Daily Transactions'!C:C,'Daily Transactions'!A:A,$A313,'Daily Transactions'!B:B,"&lt;&gt;Sales",'Daily Transactions'!D:D,"Bank_Cash")</f>
        <v>1540</v>
      </c>
      <c r="F313" s="38" t="n">
        <f aca="false">SUMIFS('Daily Transactions'!C:C,'Daily Transactions'!A:A,$A313,'Daily Transactions'!B:B,"&lt;&gt;Sales",'Daily Transactions'!D:D,"Bank")</f>
        <v>7038</v>
      </c>
      <c r="G313" s="38" t="n">
        <f aca="false">B313-C313</f>
        <v>19463</v>
      </c>
      <c r="H313" s="38" t="n">
        <f aca="false">J312</f>
        <v>2609</v>
      </c>
      <c r="I313" s="38" t="n">
        <f aca="false">SUMIFS('Daily Transactions'!C:C,'Daily Transactions'!A:A,$A313,'Daily Transactions'!B:B,"Sales",'Daily Transactions'!D:D,"Cash")</f>
        <v>5289</v>
      </c>
      <c r="J313" s="38" t="n">
        <f aca="false">H313+I313-D313-E313</f>
        <v>6308</v>
      </c>
      <c r="K313" s="38"/>
      <c r="L313" s="38" t="n">
        <f aca="false">SUMIFS('Daily Transactions'!C:C,'Daily Transactions'!A:A,$A313,'Daily Transactions'!B:B,"Cash Shortage",'Daily Transactions'!D:D,"Cash")</f>
        <v>0</v>
      </c>
    </row>
    <row r="314" customFormat="false" ht="15.75" hidden="false" customHeight="true" outlineLevel="0" collapsed="false">
      <c r="A314" s="37" t="n">
        <f aca="false">A313+1</f>
        <v>45968</v>
      </c>
      <c r="B314" s="38" t="n">
        <f aca="false">SUMIFS('Daily Transactions'!C:C,'Daily Transactions'!A:A,$A314,'Daily Transactions'!B:B,"Sales")</f>
        <v>46553</v>
      </c>
      <c r="C314" s="38" t="n">
        <f aca="false">SUMIFS('Daily Transactions'!C:C,'Daily Transactions'!A:A,$A314,'Daily Transactions'!B:B,"&lt;&gt;Sales")</f>
        <v>26096</v>
      </c>
      <c r="D314" s="38" t="n">
        <f aca="false">SUMIFS('Daily Transactions'!C:C,'Daily Transactions'!A:A,$A314,'Daily Transactions'!B:B,"&lt;&gt;Sales",'Daily Transactions'!D:D,"Cash")</f>
        <v>210</v>
      </c>
      <c r="E314" s="38" t="n">
        <f aca="false">SUMIFS('Daily Transactions'!C:C,'Daily Transactions'!A:A,$A314,'Daily Transactions'!B:B,"&lt;&gt;Sales",'Daily Transactions'!D:D,"Bank_Cash")</f>
        <v>7390</v>
      </c>
      <c r="F314" s="38" t="n">
        <f aca="false">SUMIFS('Daily Transactions'!C:C,'Daily Transactions'!A:A,$A314,'Daily Transactions'!B:B,"&lt;&gt;Sales",'Daily Transactions'!D:D,"Bank")</f>
        <v>18496</v>
      </c>
      <c r="G314" s="38" t="n">
        <f aca="false">B314-C314</f>
        <v>20457</v>
      </c>
      <c r="H314" s="38" t="n">
        <f aca="false">J313</f>
        <v>6308</v>
      </c>
      <c r="I314" s="38" t="n">
        <f aca="false">SUMIFS('Daily Transactions'!C:C,'Daily Transactions'!A:A,$A314,'Daily Transactions'!B:B,"Sales",'Daily Transactions'!D:D,"Cash")</f>
        <v>1960</v>
      </c>
      <c r="J314" s="38" t="n">
        <f aca="false">H314+I314-D314-E314</f>
        <v>668</v>
      </c>
      <c r="K314" s="38"/>
      <c r="L314" s="38" t="n">
        <f aca="false">SUMIFS('Daily Transactions'!C:C,'Daily Transactions'!A:A,$A314,'Daily Transactions'!B:B,"Cash Shortage",'Daily Transactions'!D:D,"Cash")</f>
        <v>0</v>
      </c>
    </row>
    <row r="315" customFormat="false" ht="15.75" hidden="false" customHeight="true" outlineLevel="0" collapsed="false">
      <c r="A315" s="37" t="n">
        <f aca="false">A314+1</f>
        <v>45969</v>
      </c>
      <c r="B315" s="38" t="n">
        <f aca="false">SUMIFS('Daily Transactions'!C:C,'Daily Transactions'!A:A,$A315,'Daily Transactions'!B:B,"Sales")</f>
        <v>30286</v>
      </c>
      <c r="C315" s="38" t="n">
        <f aca="false">SUMIFS('Daily Transactions'!C:C,'Daily Transactions'!A:A,$A315,'Daily Transactions'!B:B,"&lt;&gt;Sales")</f>
        <v>13840</v>
      </c>
      <c r="D315" s="38" t="n">
        <f aca="false">SUMIFS('Daily Transactions'!C:C,'Daily Transactions'!A:A,$A315,'Daily Transactions'!B:B,"&lt;&gt;Sales",'Daily Transactions'!D:D,"Cash")</f>
        <v>875</v>
      </c>
      <c r="E315" s="38" t="n">
        <f aca="false">SUMIFS('Daily Transactions'!C:C,'Daily Transactions'!A:A,$A315,'Daily Transactions'!B:B,"&lt;&gt;Sales",'Daily Transactions'!D:D,"Bank_Cash")</f>
        <v>3145</v>
      </c>
      <c r="F315" s="38" t="n">
        <f aca="false">SUMIFS('Daily Transactions'!C:C,'Daily Transactions'!A:A,$A315,'Daily Transactions'!B:B,"&lt;&gt;Sales",'Daily Transactions'!D:D,"Bank")</f>
        <v>9820</v>
      </c>
      <c r="G315" s="38" t="n">
        <f aca="false">B315-C315</f>
        <v>16446</v>
      </c>
      <c r="H315" s="38" t="n">
        <f aca="false">J314</f>
        <v>668</v>
      </c>
      <c r="I315" s="38" t="n">
        <f aca="false">SUMIFS('Daily Transactions'!C:C,'Daily Transactions'!A:A,$A315,'Daily Transactions'!B:B,"Sales",'Daily Transactions'!D:D,"Cash")</f>
        <v>3380</v>
      </c>
      <c r="J315" s="38" t="n">
        <f aca="false">H315+I315-D315-E315</f>
        <v>28</v>
      </c>
      <c r="K315" s="38"/>
      <c r="L315" s="38" t="n">
        <f aca="false">SUMIFS('Daily Transactions'!C:C,'Daily Transactions'!A:A,$A315,'Daily Transactions'!B:B,"Cash Shortage",'Daily Transactions'!D:D,"Cash")</f>
        <v>0</v>
      </c>
    </row>
    <row r="316" customFormat="false" ht="15.75" hidden="false" customHeight="true" outlineLevel="0" collapsed="false">
      <c r="A316" s="37" t="n">
        <f aca="false">A315+1</f>
        <v>45970</v>
      </c>
      <c r="B316" s="38" t="n">
        <f aca="false">SUMIFS('Daily Transactions'!C:C,'Daily Transactions'!A:A,$A316,'Daily Transactions'!B:B,"Sales")</f>
        <v>54075</v>
      </c>
      <c r="C316" s="38" t="n">
        <f aca="false">SUMIFS('Daily Transactions'!C:C,'Daily Transactions'!A:A,$A316,'Daily Transactions'!B:B,"&lt;&gt;Sales")</f>
        <v>16208</v>
      </c>
      <c r="D316" s="38" t="n">
        <f aca="false">SUMIFS('Daily Transactions'!C:C,'Daily Transactions'!A:A,$A316,'Daily Transactions'!B:B,"&lt;&gt;Sales",'Daily Transactions'!D:D,"Cash")</f>
        <v>970</v>
      </c>
      <c r="E316" s="38" t="n">
        <f aca="false">SUMIFS('Daily Transactions'!C:C,'Daily Transactions'!A:A,$A316,'Daily Transactions'!B:B,"&lt;&gt;Sales",'Daily Transactions'!D:D,"Bank_Cash")</f>
        <v>2430</v>
      </c>
      <c r="F316" s="38" t="n">
        <f aca="false">SUMIFS('Daily Transactions'!C:C,'Daily Transactions'!A:A,$A316,'Daily Transactions'!B:B,"&lt;&gt;Sales",'Daily Transactions'!D:D,"Bank")</f>
        <v>12808</v>
      </c>
      <c r="G316" s="38" t="n">
        <f aca="false">B316-C316</f>
        <v>37867</v>
      </c>
      <c r="H316" s="38" t="n">
        <f aca="false">J315</f>
        <v>28</v>
      </c>
      <c r="I316" s="38" t="n">
        <f aca="false">SUMIFS('Daily Transactions'!C:C,'Daily Transactions'!A:A,$A316,'Daily Transactions'!B:B,"Sales",'Daily Transactions'!D:D,"Cash")</f>
        <v>10912</v>
      </c>
      <c r="J316" s="38" t="n">
        <f aca="false">H316+I316-D316-E316</f>
        <v>7540</v>
      </c>
      <c r="K316" s="38"/>
      <c r="L316" s="38" t="n">
        <f aca="false">SUMIFS('Daily Transactions'!C:C,'Daily Transactions'!A:A,$A316,'Daily Transactions'!B:B,"Cash Shortage",'Daily Transactions'!D:D,"Cash")</f>
        <v>0</v>
      </c>
      <c r="N316" s="11" t="n">
        <v>3500</v>
      </c>
      <c r="O316" s="11" t="s">
        <v>735</v>
      </c>
    </row>
    <row r="317" customFormat="false" ht="15.75" hidden="false" customHeight="true" outlineLevel="0" collapsed="false">
      <c r="A317" s="37" t="n">
        <f aca="false">A316+1</f>
        <v>45971</v>
      </c>
      <c r="B317" s="38" t="n">
        <f aca="false">SUMIFS('Daily Transactions'!C:C,'Daily Transactions'!A:A,$A317,'Daily Transactions'!B:B,"Sales")</f>
        <v>15013</v>
      </c>
      <c r="C317" s="38" t="n">
        <f aca="false">SUMIFS('Daily Transactions'!C:C,'Daily Transactions'!A:A,$A317,'Daily Transactions'!B:B,"&lt;&gt;Sales")</f>
        <v>13560</v>
      </c>
      <c r="D317" s="38" t="n">
        <f aca="false">SUMIFS('Daily Transactions'!C:C,'Daily Transactions'!A:A,$A317,'Daily Transactions'!B:B,"&lt;&gt;Sales",'Daily Transactions'!D:D,"Cash")</f>
        <v>30</v>
      </c>
      <c r="E317" s="38" t="n">
        <f aca="false">SUMIFS('Daily Transactions'!C:C,'Daily Transactions'!A:A,$A317,'Daily Transactions'!B:B,"&lt;&gt;Sales",'Daily Transactions'!D:D,"Bank_Cash")</f>
        <v>140</v>
      </c>
      <c r="F317" s="38" t="n">
        <f aca="false">SUMIFS('Daily Transactions'!C:C,'Daily Transactions'!A:A,$A317,'Daily Transactions'!B:B,"&lt;&gt;Sales",'Daily Transactions'!D:D,"Bank")</f>
        <v>13390</v>
      </c>
      <c r="G317" s="38" t="n">
        <f aca="false">B317-C317</f>
        <v>1453</v>
      </c>
      <c r="H317" s="38" t="n">
        <f aca="false">J316</f>
        <v>7540</v>
      </c>
      <c r="I317" s="38" t="n">
        <f aca="false">SUMIFS('Daily Transactions'!C:C,'Daily Transactions'!A:A,$A317,'Daily Transactions'!B:B,"Sales",'Daily Transactions'!D:D,"Cash")</f>
        <v>1010</v>
      </c>
      <c r="J317" s="38" t="n">
        <f aca="false">H317+I317-D317-E317</f>
        <v>8380</v>
      </c>
      <c r="K317" s="38"/>
      <c r="L317" s="38" t="n">
        <f aca="false">SUMIFS('Daily Transactions'!C:C,'Daily Transactions'!A:A,$A317,'Daily Transactions'!B:B,"Cash Shortage",'Daily Transactions'!D:D,"Cash")</f>
        <v>0</v>
      </c>
    </row>
    <row r="318" customFormat="false" ht="15.75" hidden="false" customHeight="true" outlineLevel="0" collapsed="false">
      <c r="A318" s="37" t="n">
        <f aca="false">A317+1</f>
        <v>45972</v>
      </c>
      <c r="B318" s="38" t="n">
        <f aca="false">SUMIFS('Daily Transactions'!C:C,'Daily Transactions'!A:A,$A318,'Daily Transactions'!B:B,"Sales")</f>
        <v>22027</v>
      </c>
      <c r="C318" s="38" t="n">
        <f aca="false">SUMIFS('Daily Transactions'!C:C,'Daily Transactions'!A:A,$A318,'Daily Transactions'!B:B,"&lt;&gt;Sales")</f>
        <v>39526</v>
      </c>
      <c r="D318" s="38" t="n">
        <f aca="false">SUMIFS('Daily Transactions'!C:C,'Daily Transactions'!A:A,$A318,'Daily Transactions'!B:B,"&lt;&gt;Sales",'Daily Transactions'!D:D,"Cash")</f>
        <v>15</v>
      </c>
      <c r="E318" s="38" t="n">
        <f aca="false">SUMIFS('Daily Transactions'!C:C,'Daily Transactions'!A:A,$A318,'Daily Transactions'!B:B,"&lt;&gt;Sales",'Daily Transactions'!D:D,"Bank_Cash")</f>
        <v>6900</v>
      </c>
      <c r="F318" s="38" t="n">
        <f aca="false">SUMIFS('Daily Transactions'!C:C,'Daily Transactions'!A:A,$A318,'Daily Transactions'!B:B,"&lt;&gt;Sales",'Daily Transactions'!D:D,"Bank")</f>
        <v>32611</v>
      </c>
      <c r="G318" s="38" t="n">
        <f aca="false">B318-C318</f>
        <v>-17499</v>
      </c>
      <c r="H318" s="38" t="n">
        <f aca="false">J317</f>
        <v>8380</v>
      </c>
      <c r="I318" s="38" t="n">
        <f aca="false">SUMIFS('Daily Transactions'!C:C,'Daily Transactions'!A:A,$A318,'Daily Transactions'!B:B,"Sales",'Daily Transactions'!D:D,"Cash")</f>
        <v>4715</v>
      </c>
      <c r="J318" s="38" t="n">
        <f aca="false">H318+I318-D318-E318</f>
        <v>6180</v>
      </c>
      <c r="K318" s="38" t="n">
        <f aca="false">J318-1000</f>
        <v>5180</v>
      </c>
      <c r="L318" s="38" t="n">
        <f aca="false">SUMIFS('Daily Transactions'!C:C,'Daily Transactions'!A:A,$A318,'Daily Transactions'!B:B,"Cash Shortage",'Daily Transactions'!D:D,"Cash")</f>
        <v>0</v>
      </c>
    </row>
    <row r="319" customFormat="false" ht="15.75" hidden="false" customHeight="true" outlineLevel="0" collapsed="false">
      <c r="A319" s="37" t="n">
        <f aca="false">A318+1</f>
        <v>45973</v>
      </c>
      <c r="B319" s="38" t="n">
        <f aca="false">SUMIFS('Daily Transactions'!C:C,'Daily Transactions'!A:A,$A319,'Daily Transactions'!B:B,"Sales")</f>
        <v>24872</v>
      </c>
      <c r="C319" s="38" t="n">
        <f aca="false">SUMIFS('Daily Transactions'!C:C,'Daily Transactions'!A:A,$A319,'Daily Transactions'!B:B,"&lt;&gt;Sales")</f>
        <v>7181</v>
      </c>
      <c r="D319" s="38" t="n">
        <f aca="false">SUMIFS('Daily Transactions'!C:C,'Daily Transactions'!A:A,$A319,'Daily Transactions'!B:B,"&lt;&gt;Sales",'Daily Transactions'!D:D,"Cash")</f>
        <v>1212</v>
      </c>
      <c r="E319" s="38" t="n">
        <f aca="false">SUMIFS('Daily Transactions'!C:C,'Daily Transactions'!A:A,$A319,'Daily Transactions'!B:B,"&lt;&gt;Sales",'Daily Transactions'!D:D,"Bank_Cash")</f>
        <v>3650</v>
      </c>
      <c r="F319" s="38" t="n">
        <f aca="false">SUMIFS('Daily Transactions'!C:C,'Daily Transactions'!A:A,$A319,'Daily Transactions'!B:B,"&lt;&gt;Sales",'Daily Transactions'!D:D,"Bank")</f>
        <v>2319</v>
      </c>
      <c r="G319" s="38" t="n">
        <f aca="false">B319-C319</f>
        <v>17691</v>
      </c>
      <c r="H319" s="38" t="n">
        <f aca="false">J318</f>
        <v>6180</v>
      </c>
      <c r="I319" s="38" t="n">
        <f aca="false">SUMIFS('Daily Transactions'!C:C,'Daily Transactions'!A:A,$A319,'Daily Transactions'!B:B,"Sales",'Daily Transactions'!D:D,"Cash")</f>
        <v>2880</v>
      </c>
      <c r="J319" s="38" t="n">
        <f aca="false">H319+I319-D319-E319</f>
        <v>4198</v>
      </c>
      <c r="K319" s="38" t="n">
        <f aca="false">J319-1000</f>
        <v>3198</v>
      </c>
      <c r="L319" s="38" t="n">
        <f aca="false">SUMIFS('Daily Transactions'!C:C,'Daily Transactions'!A:A,$A319,'Daily Transactions'!B:B,"Cash Shortage",'Daily Transactions'!D:D,"Cash")</f>
        <v>0</v>
      </c>
    </row>
    <row r="320" customFormat="false" ht="15.75" hidden="false" customHeight="true" outlineLevel="0" collapsed="false">
      <c r="A320" s="37" t="n">
        <f aca="false">A319+1</f>
        <v>45974</v>
      </c>
      <c r="B320" s="38" t="n">
        <f aca="false">SUMIFS('Daily Transactions'!C:C,'Daily Transactions'!A:A,$A320,'Daily Transactions'!B:B,"Sales")</f>
        <v>21752</v>
      </c>
      <c r="C320" s="38" t="n">
        <f aca="false">SUMIFS('Daily Transactions'!C:C,'Daily Transactions'!A:A,$A320,'Daily Transactions'!B:B,"&lt;&gt;Sales")</f>
        <v>11042</v>
      </c>
      <c r="D320" s="38" t="n">
        <f aca="false">SUMIFS('Daily Transactions'!C:C,'Daily Transactions'!A:A,$A320,'Daily Transactions'!B:B,"&lt;&gt;Sales",'Daily Transactions'!D:D,"Cash")</f>
        <v>2535</v>
      </c>
      <c r="E320" s="38" t="n">
        <f aca="false">SUMIFS('Daily Transactions'!C:C,'Daily Transactions'!A:A,$A320,'Daily Transactions'!B:B,"&lt;&gt;Sales",'Daily Transactions'!D:D,"Bank_Cash")</f>
        <v>3380</v>
      </c>
      <c r="F320" s="38" t="n">
        <f aca="false">SUMIFS('Daily Transactions'!C:C,'Daily Transactions'!A:A,$A320,'Daily Transactions'!B:B,"&lt;&gt;Sales",'Daily Transactions'!D:D,"Bank")</f>
        <v>5127</v>
      </c>
      <c r="G320" s="38" t="n">
        <f aca="false">B320-C320</f>
        <v>10710</v>
      </c>
      <c r="H320" s="38" t="n">
        <f aca="false">J319</f>
        <v>4198</v>
      </c>
      <c r="I320" s="38" t="n">
        <f aca="false">SUMIFS('Daily Transactions'!C:C,'Daily Transactions'!A:A,$A320,'Daily Transactions'!B:B,"Sales",'Daily Transactions'!D:D,"Cash")</f>
        <v>3675</v>
      </c>
      <c r="J320" s="38" t="n">
        <f aca="false">H320+I320-D320-E320</f>
        <v>1958</v>
      </c>
      <c r="K320" s="38" t="n">
        <f aca="false">J320-1000</f>
        <v>958</v>
      </c>
      <c r="L320" s="38" t="n">
        <f aca="false">SUMIFS('Daily Transactions'!C:C,'Daily Transactions'!A:A,$A320,'Daily Transactions'!B:B,"Cash Shortage",'Daily Transactions'!D:D,"Cash")</f>
        <v>0</v>
      </c>
    </row>
    <row r="321" customFormat="false" ht="15.75" hidden="false" customHeight="true" outlineLevel="0" collapsed="false">
      <c r="A321" s="37" t="n">
        <f aca="false">A320+1</f>
        <v>45975</v>
      </c>
      <c r="B321" s="38" t="n">
        <f aca="false">SUMIFS('Daily Transactions'!C:C,'Daily Transactions'!A:A,$A321,'Daily Transactions'!B:B,"Sales")</f>
        <v>33491</v>
      </c>
      <c r="C321" s="38" t="n">
        <f aca="false">SUMIFS('Daily Transactions'!C:C,'Daily Transactions'!A:A,$A321,'Daily Transactions'!B:B,"&lt;&gt;Sales")</f>
        <v>8297</v>
      </c>
      <c r="D321" s="38" t="n">
        <f aca="false">SUMIFS('Daily Transactions'!C:C,'Daily Transactions'!A:A,$A321,'Daily Transactions'!B:B,"&lt;&gt;Sales",'Daily Transactions'!D:D,"Cash")</f>
        <v>45</v>
      </c>
      <c r="E321" s="38" t="n">
        <f aca="false">SUMIFS('Daily Transactions'!C:C,'Daily Transactions'!A:A,$A321,'Daily Transactions'!B:B,"&lt;&gt;Sales",'Daily Transactions'!D:D,"Bank_Cash")</f>
        <v>1040</v>
      </c>
      <c r="F321" s="38" t="n">
        <f aca="false">SUMIFS('Daily Transactions'!C:C,'Daily Transactions'!A:A,$A321,'Daily Transactions'!B:B,"&lt;&gt;Sales",'Daily Transactions'!D:D,"Bank")</f>
        <v>7212</v>
      </c>
      <c r="G321" s="38" t="n">
        <f aca="false">B321-C321</f>
        <v>25194</v>
      </c>
      <c r="H321" s="38" t="n">
        <f aca="false">J320</f>
        <v>1958</v>
      </c>
      <c r="I321" s="38" t="n">
        <f aca="false">SUMIFS('Daily Transactions'!C:C,'Daily Transactions'!A:A,$A321,'Daily Transactions'!B:B,"Sales",'Daily Transactions'!D:D,"Cash")</f>
        <v>2765</v>
      </c>
      <c r="J321" s="38" t="n">
        <f aca="false">H321+I321-D321-E321</f>
        <v>3638</v>
      </c>
      <c r="K321" s="38" t="n">
        <f aca="false">J321-1000</f>
        <v>2638</v>
      </c>
      <c r="L321" s="38" t="n">
        <f aca="false">SUMIFS('Daily Transactions'!C:C,'Daily Transactions'!A:A,$A321,'Daily Transactions'!B:B,"Cash Shortage",'Daily Transactions'!D:D,"Cash")</f>
        <v>0</v>
      </c>
    </row>
    <row r="322" customFormat="false" ht="15.75" hidden="false" customHeight="true" outlineLevel="0" collapsed="false">
      <c r="A322" s="37" t="n">
        <f aca="false">A321+1</f>
        <v>45976</v>
      </c>
      <c r="B322" s="38" t="n">
        <f aca="false">SUMIFS('Daily Transactions'!C:C,'Daily Transactions'!A:A,$A322,'Daily Transactions'!B:B,"Sales")</f>
        <v>35602</v>
      </c>
      <c r="C322" s="38" t="n">
        <f aca="false">SUMIFS('Daily Transactions'!C:C,'Daily Transactions'!A:A,$A322,'Daily Transactions'!B:B,"&lt;&gt;Sales")</f>
        <v>7691</v>
      </c>
      <c r="D322" s="38" t="n">
        <f aca="false">SUMIFS('Daily Transactions'!C:C,'Daily Transactions'!A:A,$A322,'Daily Transactions'!B:B,"&lt;&gt;Sales",'Daily Transactions'!D:D,"Cash")</f>
        <v>1562</v>
      </c>
      <c r="E322" s="38" t="n">
        <f aca="false">SUMIFS('Daily Transactions'!C:C,'Daily Transactions'!A:A,$A322,'Daily Transactions'!B:B,"&lt;&gt;Sales",'Daily Transactions'!D:D,"Bank_Cash")</f>
        <v>90</v>
      </c>
      <c r="F322" s="38" t="n">
        <f aca="false">SUMIFS('Daily Transactions'!C:C,'Daily Transactions'!A:A,$A322,'Daily Transactions'!B:B,"&lt;&gt;Sales",'Daily Transactions'!D:D,"Bank")</f>
        <v>6039</v>
      </c>
      <c r="G322" s="38" t="n">
        <f aca="false">B322-C322</f>
        <v>27911</v>
      </c>
      <c r="H322" s="38" t="n">
        <f aca="false">J321</f>
        <v>3638</v>
      </c>
      <c r="I322" s="38" t="n">
        <f aca="false">SUMIFS('Daily Transactions'!C:C,'Daily Transactions'!A:A,$A322,'Daily Transactions'!B:B,"Sales",'Daily Transactions'!D:D,"Cash")</f>
        <v>3214</v>
      </c>
      <c r="J322" s="38" t="n">
        <f aca="false">H322+I322-D322-E322</f>
        <v>5200</v>
      </c>
      <c r="K322" s="38" t="n">
        <f aca="false">J322-1000</f>
        <v>4200</v>
      </c>
      <c r="L322" s="38" t="n">
        <f aca="false">SUMIFS('Daily Transactions'!C:C,'Daily Transactions'!A:A,$A322,'Daily Transactions'!B:B,"Cash Shortage",'Daily Transactions'!D:D,"Cash")</f>
        <v>0</v>
      </c>
    </row>
    <row r="323" customFormat="false" ht="15.75" hidden="false" customHeight="true" outlineLevel="0" collapsed="false">
      <c r="A323" s="37" t="n">
        <f aca="false">A322+1</f>
        <v>45977</v>
      </c>
      <c r="B323" s="38" t="n">
        <f aca="false">SUMIFS('Daily Transactions'!C:C,'Daily Transactions'!A:A,$A323,'Daily Transactions'!B:B,"Sales")</f>
        <v>32075</v>
      </c>
      <c r="C323" s="38" t="n">
        <f aca="false">SUMIFS('Daily Transactions'!C:C,'Daily Transactions'!A:A,$A323,'Daily Transactions'!B:B,"&lt;&gt;Sales")</f>
        <v>11474</v>
      </c>
      <c r="D323" s="38" t="n">
        <f aca="false">SUMIFS('Daily Transactions'!C:C,'Daily Transactions'!A:A,$A323,'Daily Transactions'!B:B,"&lt;&gt;Sales",'Daily Transactions'!D:D,"Cash")</f>
        <v>1205</v>
      </c>
      <c r="E323" s="38" t="n">
        <f aca="false">SUMIFS('Daily Transactions'!C:C,'Daily Transactions'!A:A,$A323,'Daily Transactions'!B:B,"&lt;&gt;Sales",'Daily Transactions'!D:D,"Bank_Cash")</f>
        <v>4796</v>
      </c>
      <c r="F323" s="38" t="n">
        <f aca="false">SUMIFS('Daily Transactions'!C:C,'Daily Transactions'!A:A,$A323,'Daily Transactions'!B:B,"&lt;&gt;Sales",'Daily Transactions'!D:D,"Bank")</f>
        <v>5473</v>
      </c>
      <c r="G323" s="38" t="n">
        <f aca="false">B323-C323</f>
        <v>20601</v>
      </c>
      <c r="H323" s="38" t="n">
        <f aca="false">J322</f>
        <v>5200</v>
      </c>
      <c r="I323" s="38" t="n">
        <f aca="false">SUMIFS('Daily Transactions'!C:C,'Daily Transactions'!A:A,$A323,'Daily Transactions'!B:B,"Sales",'Daily Transactions'!D:D,"Cash")</f>
        <v>4490</v>
      </c>
      <c r="J323" s="38" t="n">
        <f aca="false">H323+I323-D323-E323</f>
        <v>3689</v>
      </c>
      <c r="K323" s="38" t="n">
        <f aca="false">J323-1000</f>
        <v>2689</v>
      </c>
      <c r="L323" s="38" t="n">
        <f aca="false">SUMIFS('Daily Transactions'!C:C,'Daily Transactions'!A:A,$A323,'Daily Transactions'!B:B,"Cash Shortage",'Daily Transactions'!D:D,"Cash")</f>
        <v>0</v>
      </c>
    </row>
    <row r="324" customFormat="false" ht="15.75" hidden="false" customHeight="true" outlineLevel="0" collapsed="false">
      <c r="A324" s="37" t="n">
        <f aca="false">A323+1</f>
        <v>45978</v>
      </c>
      <c r="B324" s="38" t="n">
        <f aca="false">SUMIFS('Daily Transactions'!C:C,'Daily Transactions'!A:A,$A324,'Daily Transactions'!B:B,"Sales")</f>
        <v>17614</v>
      </c>
      <c r="C324" s="38" t="n">
        <f aca="false">SUMIFS('Daily Transactions'!C:C,'Daily Transactions'!A:A,$A324,'Daily Transactions'!B:B,"&lt;&gt;Sales")</f>
        <v>22288</v>
      </c>
      <c r="D324" s="38" t="n">
        <f aca="false">SUMIFS('Daily Transactions'!C:C,'Daily Transactions'!A:A,$A324,'Daily Transactions'!B:B,"&lt;&gt;Sales",'Daily Transactions'!D:D,"Cash")</f>
        <v>190</v>
      </c>
      <c r="E324" s="38" t="n">
        <f aca="false">SUMIFS('Daily Transactions'!C:C,'Daily Transactions'!A:A,$A324,'Daily Transactions'!B:B,"&lt;&gt;Sales",'Daily Transactions'!D:D,"Bank_Cash")</f>
        <v>3242</v>
      </c>
      <c r="F324" s="38" t="n">
        <f aca="false">SUMIFS('Daily Transactions'!C:C,'Daily Transactions'!A:A,$A324,'Daily Transactions'!B:B,"&lt;&gt;Sales",'Daily Transactions'!D:D,"Bank")</f>
        <v>18856</v>
      </c>
      <c r="G324" s="38" t="n">
        <f aca="false">B324-C324</f>
        <v>-4674</v>
      </c>
      <c r="H324" s="38" t="n">
        <f aca="false">J323</f>
        <v>3689</v>
      </c>
      <c r="I324" s="38" t="n">
        <f aca="false">SUMIFS('Daily Transactions'!C:C,'Daily Transactions'!A:A,$A324,'Daily Transactions'!B:B,"Sales",'Daily Transactions'!D:D,"Cash")</f>
        <v>1660</v>
      </c>
      <c r="J324" s="38" t="n">
        <f aca="false">H324+I324-D324-E324</f>
        <v>1917</v>
      </c>
      <c r="K324" s="38" t="n">
        <f aca="false">J324-1000</f>
        <v>917</v>
      </c>
      <c r="L324" s="38" t="n">
        <f aca="false">SUMIFS('Daily Transactions'!C:C,'Daily Transactions'!A:A,$A324,'Daily Transactions'!B:B,"Cash Shortage",'Daily Transactions'!D:D,"Cash")</f>
        <v>0</v>
      </c>
    </row>
    <row r="325" customFormat="false" ht="15.75" hidden="false" customHeight="true" outlineLevel="0" collapsed="false">
      <c r="A325" s="37" t="n">
        <f aca="false">A324+1</f>
        <v>45979</v>
      </c>
      <c r="B325" s="38" t="n">
        <f aca="false">SUMIFS('Daily Transactions'!C:C,'Daily Transactions'!A:A,$A325,'Daily Transactions'!B:B,"Sales")</f>
        <v>21263</v>
      </c>
      <c r="C325" s="38" t="n">
        <f aca="false">SUMIFS('Daily Transactions'!C:C,'Daily Transactions'!A:A,$A325,'Daily Transactions'!B:B,"&lt;&gt;Sales")</f>
        <v>7455</v>
      </c>
      <c r="D325" s="38" t="n">
        <f aca="false">SUMIFS('Daily Transactions'!C:C,'Daily Transactions'!A:A,$A325,'Daily Transactions'!B:B,"&lt;&gt;Sales",'Daily Transactions'!D:D,"Cash")</f>
        <v>1340</v>
      </c>
      <c r="E325" s="38" t="n">
        <f aca="false">SUMIFS('Daily Transactions'!C:C,'Daily Transactions'!A:A,$A325,'Daily Transactions'!B:B,"&lt;&gt;Sales",'Daily Transactions'!D:D,"Bank_Cash")</f>
        <v>810</v>
      </c>
      <c r="F325" s="38" t="n">
        <f aca="false">SUMIFS('Daily Transactions'!C:C,'Daily Transactions'!A:A,$A325,'Daily Transactions'!B:B,"&lt;&gt;Sales",'Daily Transactions'!D:D,"Bank")</f>
        <v>5305</v>
      </c>
      <c r="G325" s="38" t="n">
        <f aca="false">B325-C325</f>
        <v>13808</v>
      </c>
      <c r="H325" s="38" t="n">
        <f aca="false">J324</f>
        <v>1917</v>
      </c>
      <c r="I325" s="38" t="n">
        <f aca="false">SUMIFS('Daily Transactions'!C:C,'Daily Transactions'!A:A,$A325,'Daily Transactions'!B:B,"Sales",'Daily Transactions'!D:D,"Cash")</f>
        <v>2128</v>
      </c>
      <c r="J325" s="38" t="n">
        <f aca="false">H325+I325-D325-E325</f>
        <v>1895</v>
      </c>
      <c r="K325" s="38" t="n">
        <f aca="false">J325-1000</f>
        <v>895</v>
      </c>
      <c r="L325" s="38" t="n">
        <f aca="false">SUMIFS('Daily Transactions'!C:C,'Daily Transactions'!A:A,$A325,'Daily Transactions'!B:B,"Cash Shortage",'Daily Transactions'!D:D,"Cash")</f>
        <v>0</v>
      </c>
    </row>
    <row r="326" customFormat="false" ht="15.75" hidden="false" customHeight="true" outlineLevel="0" collapsed="false">
      <c r="A326" s="37" t="n">
        <f aca="false">A325+1</f>
        <v>45980</v>
      </c>
      <c r="B326" s="38" t="n">
        <f aca="false">SUMIFS('Daily Transactions'!C:C,'Daily Transactions'!A:A,$A326,'Daily Transactions'!B:B,"Sales")</f>
        <v>31735</v>
      </c>
      <c r="C326" s="38" t="n">
        <f aca="false">SUMIFS('Daily Transactions'!C:C,'Daily Transactions'!A:A,$A326,'Daily Transactions'!B:B,"&lt;&gt;Sales")</f>
        <v>25434</v>
      </c>
      <c r="D326" s="38" t="n">
        <f aca="false">SUMIFS('Daily Transactions'!C:C,'Daily Transactions'!A:A,$A326,'Daily Transactions'!B:B,"&lt;&gt;Sales",'Daily Transactions'!D:D,"Cash")</f>
        <v>30</v>
      </c>
      <c r="E326" s="38" t="n">
        <f aca="false">SUMIFS('Daily Transactions'!C:C,'Daily Transactions'!A:A,$A326,'Daily Transactions'!B:B,"&lt;&gt;Sales",'Daily Transactions'!D:D,"Bank_Cash")</f>
        <v>1436</v>
      </c>
      <c r="F326" s="38" t="n">
        <f aca="false">SUMIFS('Daily Transactions'!C:C,'Daily Transactions'!A:A,$A326,'Daily Transactions'!B:B,"&lt;&gt;Sales",'Daily Transactions'!D:D,"Bank")</f>
        <v>23968</v>
      </c>
      <c r="G326" s="38" t="n">
        <f aca="false">B326-C326</f>
        <v>6301</v>
      </c>
      <c r="H326" s="38" t="n">
        <f aca="false">J325</f>
        <v>1895</v>
      </c>
      <c r="I326" s="38" t="n">
        <f aca="false">SUMIFS('Daily Transactions'!C:C,'Daily Transactions'!A:A,$A326,'Daily Transactions'!B:B,"Sales",'Daily Transactions'!D:D,"Cash")</f>
        <v>3679</v>
      </c>
      <c r="J326" s="38" t="n">
        <f aca="false">H326+I326-D326-E326</f>
        <v>4108</v>
      </c>
      <c r="K326" s="38" t="n">
        <f aca="false">J326-1000</f>
        <v>3108</v>
      </c>
      <c r="L326" s="38" t="n">
        <f aca="false">SUMIFS('Daily Transactions'!C:C,'Daily Transactions'!A:A,$A326,'Daily Transactions'!B:B,"Cash Shortage",'Daily Transactions'!D:D,"Cash")</f>
        <v>0</v>
      </c>
    </row>
    <row r="327" customFormat="false" ht="15.75" hidden="false" customHeight="true" outlineLevel="0" collapsed="false">
      <c r="A327" s="37" t="n">
        <f aca="false">A326+1</f>
        <v>45981</v>
      </c>
      <c r="B327" s="38" t="n">
        <f aca="false">SUMIFS('Daily Transactions'!C:C,'Daily Transactions'!A:A,$A327,'Daily Transactions'!B:B,"Sales")</f>
        <v>22280</v>
      </c>
      <c r="C327" s="38" t="n">
        <f aca="false">SUMIFS('Daily Transactions'!C:C,'Daily Transactions'!A:A,$A327,'Daily Transactions'!B:B,"&lt;&gt;Sales")</f>
        <v>8438</v>
      </c>
      <c r="D327" s="38" t="n">
        <f aca="false">SUMIFS('Daily Transactions'!C:C,'Daily Transactions'!A:A,$A327,'Daily Transactions'!B:B,"&lt;&gt;Sales",'Daily Transactions'!D:D,"Cash")</f>
        <v>2320</v>
      </c>
      <c r="E327" s="38" t="n">
        <f aca="false">SUMIFS('Daily Transactions'!C:C,'Daily Transactions'!A:A,$A327,'Daily Transactions'!B:B,"&lt;&gt;Sales",'Daily Transactions'!D:D,"Bank_Cash")</f>
        <v>370</v>
      </c>
      <c r="F327" s="38" t="n">
        <f aca="false">SUMIFS('Daily Transactions'!C:C,'Daily Transactions'!A:A,$A327,'Daily Transactions'!B:B,"&lt;&gt;Sales",'Daily Transactions'!D:D,"Bank")</f>
        <v>5748</v>
      </c>
      <c r="G327" s="38" t="n">
        <f aca="false">B327-C327</f>
        <v>13842</v>
      </c>
      <c r="H327" s="38" t="n">
        <f aca="false">J326</f>
        <v>4108</v>
      </c>
      <c r="I327" s="38" t="n">
        <f aca="false">SUMIFS('Daily Transactions'!C:C,'Daily Transactions'!A:A,$A327,'Daily Transactions'!B:B,"Sales",'Daily Transactions'!D:D,"Cash")</f>
        <v>2745</v>
      </c>
      <c r="J327" s="38" t="n">
        <f aca="false">H327+I327-D327-E327</f>
        <v>4163</v>
      </c>
      <c r="K327" s="38" t="n">
        <f aca="false">J327-1000</f>
        <v>3163</v>
      </c>
      <c r="L327" s="38" t="n">
        <f aca="false">SUMIFS('Daily Transactions'!C:C,'Daily Transactions'!A:A,$A327,'Daily Transactions'!B:B,"Cash Shortage",'Daily Transactions'!D:D,"Cash")</f>
        <v>0</v>
      </c>
    </row>
    <row r="328" customFormat="false" ht="15.75" hidden="false" customHeight="true" outlineLevel="0" collapsed="false">
      <c r="A328" s="37" t="n">
        <f aca="false">A327+1</f>
        <v>45982</v>
      </c>
      <c r="B328" s="38" t="n">
        <f aca="false">SUMIFS('Daily Transactions'!C:C,'Daily Transactions'!A:A,$A328,'Daily Transactions'!B:B,"Sales")</f>
        <v>31441</v>
      </c>
      <c r="C328" s="38" t="n">
        <f aca="false">SUMIFS('Daily Transactions'!C:C,'Daily Transactions'!A:A,$A328,'Daily Transactions'!B:B,"&lt;&gt;Sales")</f>
        <v>10932</v>
      </c>
      <c r="D328" s="38" t="n">
        <f aca="false">SUMIFS('Daily Transactions'!C:C,'Daily Transactions'!A:A,$A328,'Daily Transactions'!B:B,"&lt;&gt;Sales",'Daily Transactions'!D:D,"Cash")</f>
        <v>280</v>
      </c>
      <c r="E328" s="38" t="n">
        <f aca="false">SUMIFS('Daily Transactions'!C:C,'Daily Transactions'!A:A,$A328,'Daily Transactions'!B:B,"&lt;&gt;Sales",'Daily Transactions'!D:D,"Bank_Cash")</f>
        <v>1720</v>
      </c>
      <c r="F328" s="38" t="n">
        <f aca="false">SUMIFS('Daily Transactions'!C:C,'Daily Transactions'!A:A,$A328,'Daily Transactions'!B:B,"&lt;&gt;Sales",'Daily Transactions'!D:D,"Bank")</f>
        <v>8932</v>
      </c>
      <c r="G328" s="38" t="n">
        <f aca="false">B328-C328</f>
        <v>20509</v>
      </c>
      <c r="H328" s="38" t="n">
        <f aca="false">J327</f>
        <v>4163</v>
      </c>
      <c r="I328" s="38" t="n">
        <f aca="false">SUMIFS('Daily Transactions'!C:C,'Daily Transactions'!A:A,$A328,'Daily Transactions'!B:B,"Sales",'Daily Transactions'!D:D,"Cash")</f>
        <v>5385</v>
      </c>
      <c r="J328" s="38" t="n">
        <f aca="false">H328+I328-D328-E328</f>
        <v>7548</v>
      </c>
      <c r="K328" s="38" t="n">
        <f aca="false">J328-1000</f>
        <v>6548</v>
      </c>
      <c r="L328" s="38" t="n">
        <f aca="false">SUMIFS('Daily Transactions'!C:C,'Daily Transactions'!A:A,$A328,'Daily Transactions'!B:B,"Cash Shortage",'Daily Transactions'!D:D,"Cash")</f>
        <v>0</v>
      </c>
    </row>
    <row r="329" customFormat="false" ht="15.75" hidden="false" customHeight="true" outlineLevel="0" collapsed="false">
      <c r="A329" s="37" t="n">
        <f aca="false">A328+1</f>
        <v>45983</v>
      </c>
      <c r="B329" s="38" t="n">
        <f aca="false">SUMIFS('Daily Transactions'!C:C,'Daily Transactions'!A:A,$A329,'Daily Transactions'!B:B,"Sales")</f>
        <v>46329</v>
      </c>
      <c r="C329" s="38" t="n">
        <f aca="false">SUMIFS('Daily Transactions'!C:C,'Daily Transactions'!A:A,$A329,'Daily Transactions'!B:B,"&lt;&gt;Sales")</f>
        <v>10668</v>
      </c>
      <c r="D329" s="38" t="n">
        <f aca="false">SUMIFS('Daily Transactions'!C:C,'Daily Transactions'!A:A,$A329,'Daily Transactions'!B:B,"&lt;&gt;Sales",'Daily Transactions'!D:D,"Cash")</f>
        <v>1228</v>
      </c>
      <c r="E329" s="38" t="n">
        <f aca="false">SUMIFS('Daily Transactions'!C:C,'Daily Transactions'!A:A,$A329,'Daily Transactions'!B:B,"&lt;&gt;Sales",'Daily Transactions'!D:D,"Bank_Cash")</f>
        <v>4962</v>
      </c>
      <c r="F329" s="38" t="n">
        <f aca="false">SUMIFS('Daily Transactions'!C:C,'Daily Transactions'!A:A,$A329,'Daily Transactions'!B:B,"&lt;&gt;Sales",'Daily Transactions'!D:D,"Bank")</f>
        <v>4478</v>
      </c>
      <c r="G329" s="38" t="n">
        <f aca="false">B329-C329</f>
        <v>35661</v>
      </c>
      <c r="H329" s="38" t="n">
        <f aca="false">J328</f>
        <v>7548</v>
      </c>
      <c r="I329" s="38" t="n">
        <f aca="false">SUMIFS('Daily Transactions'!C:C,'Daily Transactions'!A:A,$A329,'Daily Transactions'!B:B,"Sales",'Daily Transactions'!D:D,"Cash")</f>
        <v>10140</v>
      </c>
      <c r="J329" s="38" t="n">
        <f aca="false">H329+I329-D329-E329</f>
        <v>11498</v>
      </c>
      <c r="K329" s="38" t="n">
        <f aca="false">J329-1000</f>
        <v>10498</v>
      </c>
      <c r="L329" s="38" t="n">
        <f aca="false">SUMIFS('Daily Transactions'!C:C,'Daily Transactions'!A:A,$A329,'Daily Transactions'!B:B,"Cash Shortage",'Daily Transactions'!D:D,"Cash")</f>
        <v>0</v>
      </c>
    </row>
    <row r="330" customFormat="false" ht="15.75" hidden="false" customHeight="true" outlineLevel="0" collapsed="false">
      <c r="A330" s="37" t="n">
        <f aca="false">A329+1</f>
        <v>45984</v>
      </c>
      <c r="B330" s="38" t="n">
        <f aca="false">SUMIFS('Daily Transactions'!C:C,'Daily Transactions'!A:A,$A330,'Daily Transactions'!B:B,"Sales")</f>
        <v>40943</v>
      </c>
      <c r="C330" s="38" t="n">
        <f aca="false">SUMIFS('Daily Transactions'!C:C,'Daily Transactions'!A:A,$A330,'Daily Transactions'!B:B,"&lt;&gt;Sales")</f>
        <v>19750</v>
      </c>
      <c r="D330" s="38" t="n">
        <f aca="false">SUMIFS('Daily Transactions'!C:C,'Daily Transactions'!A:A,$A330,'Daily Transactions'!B:B,"&lt;&gt;Sales",'Daily Transactions'!D:D,"Cash")</f>
        <v>2000</v>
      </c>
      <c r="E330" s="38" t="n">
        <f aca="false">SUMIFS('Daily Transactions'!C:C,'Daily Transactions'!A:A,$A330,'Daily Transactions'!B:B,"&lt;&gt;Sales",'Daily Transactions'!D:D,"Bank_Cash")</f>
        <v>9720</v>
      </c>
      <c r="F330" s="38" t="n">
        <f aca="false">SUMIFS('Daily Transactions'!C:C,'Daily Transactions'!A:A,$A330,'Daily Transactions'!B:B,"&lt;&gt;Sales",'Daily Transactions'!D:D,"Bank")</f>
        <v>8030</v>
      </c>
      <c r="G330" s="38" t="n">
        <f aca="false">B330-C330</f>
        <v>21193</v>
      </c>
      <c r="H330" s="38" t="n">
        <f aca="false">J329</f>
        <v>11498</v>
      </c>
      <c r="I330" s="38" t="n">
        <f aca="false">SUMIFS('Daily Transactions'!C:C,'Daily Transactions'!A:A,$A330,'Daily Transactions'!B:B,"Sales",'Daily Transactions'!D:D,"Cash")</f>
        <v>4690</v>
      </c>
      <c r="J330" s="38" t="n">
        <f aca="false">H330+I330-D330-E330</f>
        <v>4468</v>
      </c>
      <c r="K330" s="38" t="n">
        <f aca="false">J330-1000</f>
        <v>3468</v>
      </c>
      <c r="L330" s="38" t="n">
        <f aca="false">SUMIFS('Daily Transactions'!C:C,'Daily Transactions'!A:A,$A330,'Daily Transactions'!B:B,"Cash Shortage",'Daily Transactions'!D:D,"Cash")</f>
        <v>0</v>
      </c>
    </row>
    <row r="331" customFormat="false" ht="15.75" hidden="false" customHeight="true" outlineLevel="0" collapsed="false">
      <c r="A331" s="37" t="n">
        <f aca="false">A330+1</f>
        <v>45985</v>
      </c>
      <c r="B331" s="38" t="n">
        <f aca="false">SUMIFS('Daily Transactions'!C:C,'Daily Transactions'!A:A,$A331,'Daily Transactions'!B:B,"Sales")</f>
        <v>22506</v>
      </c>
      <c r="C331" s="38" t="n">
        <f aca="false">SUMIFS('Daily Transactions'!C:C,'Daily Transactions'!A:A,$A331,'Daily Transactions'!B:B,"&lt;&gt;Sales")</f>
        <v>11446</v>
      </c>
      <c r="D331" s="38" t="n">
        <f aca="false">SUMIFS('Daily Transactions'!C:C,'Daily Transactions'!A:A,$A331,'Daily Transactions'!B:B,"&lt;&gt;Sales",'Daily Transactions'!D:D,"Cash")</f>
        <v>548</v>
      </c>
      <c r="E331" s="38" t="n">
        <f aca="false">SUMIFS('Daily Transactions'!C:C,'Daily Transactions'!A:A,$A331,'Daily Transactions'!B:B,"&lt;&gt;Sales",'Daily Transactions'!D:D,"Bank_Cash")</f>
        <v>2202</v>
      </c>
      <c r="F331" s="38" t="n">
        <f aca="false">SUMIFS('Daily Transactions'!C:C,'Daily Transactions'!A:A,$A331,'Daily Transactions'!B:B,"&lt;&gt;Sales",'Daily Transactions'!D:D,"Bank")</f>
        <v>8696</v>
      </c>
      <c r="G331" s="38" t="n">
        <f aca="false">B331-C331</f>
        <v>11060</v>
      </c>
      <c r="H331" s="38" t="n">
        <f aca="false">J330</f>
        <v>4468</v>
      </c>
      <c r="I331" s="38" t="n">
        <f aca="false">SUMIFS('Daily Transactions'!C:C,'Daily Transactions'!A:A,$A331,'Daily Transactions'!B:B,"Sales",'Daily Transactions'!D:D,"Cash")</f>
        <v>3050</v>
      </c>
      <c r="J331" s="38" t="n">
        <f aca="false">H331+I331-D331-E331</f>
        <v>4768</v>
      </c>
      <c r="K331" s="38" t="n">
        <f aca="false">J331-1000</f>
        <v>3768</v>
      </c>
      <c r="L331" s="38" t="n">
        <f aca="false">SUMIFS('Daily Transactions'!C:C,'Daily Transactions'!A:A,$A331,'Daily Transactions'!B:B,"Cash Shortage",'Daily Transactions'!D:D,"Cash")</f>
        <v>0</v>
      </c>
    </row>
    <row r="332" customFormat="false" ht="15.75" hidden="false" customHeight="true" outlineLevel="0" collapsed="false">
      <c r="A332" s="37" t="n">
        <f aca="false">A331+1</f>
        <v>45986</v>
      </c>
      <c r="B332" s="38" t="n">
        <f aca="false">SUMIFS('Daily Transactions'!C:C,'Daily Transactions'!A:A,$A332,'Daily Transactions'!B:B,"Sales")</f>
        <v>26773</v>
      </c>
      <c r="C332" s="38" t="n">
        <f aca="false">SUMIFS('Daily Transactions'!C:C,'Daily Transactions'!A:A,$A332,'Daily Transactions'!B:B,"&lt;&gt;Sales")</f>
        <v>35643</v>
      </c>
      <c r="D332" s="38" t="n">
        <f aca="false">SUMIFS('Daily Transactions'!C:C,'Daily Transactions'!A:A,$A332,'Daily Transactions'!B:B,"&lt;&gt;Sales",'Daily Transactions'!D:D,"Cash")</f>
        <v>20</v>
      </c>
      <c r="E332" s="38" t="n">
        <f aca="false">SUMIFS('Daily Transactions'!C:C,'Daily Transactions'!A:A,$A332,'Daily Transactions'!B:B,"&lt;&gt;Sales",'Daily Transactions'!D:D,"Bank_Cash")</f>
        <v>3845</v>
      </c>
      <c r="F332" s="38" t="n">
        <f aca="false">SUMIFS('Daily Transactions'!C:C,'Daily Transactions'!A:A,$A332,'Daily Transactions'!B:B,"&lt;&gt;Sales",'Daily Transactions'!D:D,"Bank")</f>
        <v>31778</v>
      </c>
      <c r="G332" s="38" t="n">
        <f aca="false">B332-C332</f>
        <v>-8870</v>
      </c>
      <c r="H332" s="38" t="n">
        <f aca="false">J331</f>
        <v>4768</v>
      </c>
      <c r="I332" s="38" t="n">
        <f aca="false">SUMIFS('Daily Transactions'!C:C,'Daily Transactions'!A:A,$A332,'Daily Transactions'!B:B,"Sales",'Daily Transactions'!D:D,"Cash")</f>
        <v>4280</v>
      </c>
      <c r="J332" s="38" t="n">
        <f aca="false">H332+I332-D332-E332</f>
        <v>5183</v>
      </c>
      <c r="K332" s="38" t="n">
        <f aca="false">J332-1000</f>
        <v>4183</v>
      </c>
      <c r="L332" s="38" t="n">
        <f aca="false">SUMIFS('Daily Transactions'!C:C,'Daily Transactions'!A:A,$A332,'Daily Transactions'!B:B,"Cash Shortage",'Daily Transactions'!D:D,"Cash")</f>
        <v>0</v>
      </c>
    </row>
    <row r="333" customFormat="false" ht="15.75" hidden="false" customHeight="true" outlineLevel="0" collapsed="false">
      <c r="A333" s="37" t="n">
        <f aca="false">A332+1</f>
        <v>45987</v>
      </c>
      <c r="B333" s="38" t="n">
        <f aca="false">SUMIFS('Daily Transactions'!C:C,'Daily Transactions'!A:A,$A333,'Daily Transactions'!B:B,"Sales")</f>
        <v>30212</v>
      </c>
      <c r="C333" s="38" t="n">
        <f aca="false">SUMIFS('Daily Transactions'!C:C,'Daily Transactions'!A:A,$A333,'Daily Transactions'!B:B,"&lt;&gt;Sales")</f>
        <v>8943</v>
      </c>
      <c r="D333" s="38" t="n">
        <f aca="false">SUMIFS('Daily Transactions'!C:C,'Daily Transactions'!A:A,$A333,'Daily Transactions'!B:B,"&lt;&gt;Sales",'Daily Transactions'!D:D,"Cash")</f>
        <v>20</v>
      </c>
      <c r="E333" s="38" t="n">
        <f aca="false">SUMIFS('Daily Transactions'!C:C,'Daily Transactions'!A:A,$A333,'Daily Transactions'!B:B,"&lt;&gt;Sales",'Daily Transactions'!D:D,"Bank_Cash")</f>
        <v>1155</v>
      </c>
      <c r="F333" s="38" t="n">
        <f aca="false">SUMIFS('Daily Transactions'!C:C,'Daily Transactions'!A:A,$A333,'Daily Transactions'!B:B,"&lt;&gt;Sales",'Daily Transactions'!D:D,"Bank")</f>
        <v>7768</v>
      </c>
      <c r="G333" s="38" t="n">
        <f aca="false">B333-C333</f>
        <v>21269</v>
      </c>
      <c r="H333" s="38" t="n">
        <f aca="false">J332</f>
        <v>5183</v>
      </c>
      <c r="I333" s="38" t="n">
        <f aca="false">SUMIFS('Daily Transactions'!C:C,'Daily Transactions'!A:A,$A333,'Daily Transactions'!B:B,"Sales",'Daily Transactions'!D:D,"Cash")</f>
        <v>2960</v>
      </c>
      <c r="J333" s="38" t="n">
        <f aca="false">H333+I333-D333-E333</f>
        <v>6968</v>
      </c>
      <c r="K333" s="38" t="n">
        <f aca="false">J333-1000</f>
        <v>5968</v>
      </c>
      <c r="L333" s="38" t="n">
        <f aca="false">SUMIFS('Daily Transactions'!C:C,'Daily Transactions'!A:A,$A333,'Daily Transactions'!B:B,"Cash Shortage",'Daily Transactions'!D:D,"Cash")</f>
        <v>0</v>
      </c>
    </row>
    <row r="334" customFormat="false" ht="15.75" hidden="false" customHeight="true" outlineLevel="0" collapsed="false">
      <c r="A334" s="37" t="n">
        <f aca="false">A333+1</f>
        <v>45988</v>
      </c>
      <c r="B334" s="38" t="n">
        <f aca="false">SUMIFS('Daily Transactions'!C:C,'Daily Transactions'!A:A,$A334,'Daily Transactions'!B:B,"Sales")</f>
        <v>26029</v>
      </c>
      <c r="C334" s="38" t="n">
        <f aca="false">SUMIFS('Daily Transactions'!C:C,'Daily Transactions'!A:A,$A334,'Daily Transactions'!B:B,"&lt;&gt;Sales")</f>
        <v>7501</v>
      </c>
      <c r="D334" s="38" t="n">
        <f aca="false">SUMIFS('Daily Transactions'!C:C,'Daily Transactions'!A:A,$A334,'Daily Transactions'!B:B,"&lt;&gt;Sales",'Daily Transactions'!D:D,"Cash")</f>
        <v>20</v>
      </c>
      <c r="E334" s="38" t="n">
        <f aca="false">SUMIFS('Daily Transactions'!C:C,'Daily Transactions'!A:A,$A334,'Daily Transactions'!B:B,"&lt;&gt;Sales",'Daily Transactions'!D:D,"Bank_Cash")</f>
        <v>50</v>
      </c>
      <c r="F334" s="38" t="n">
        <f aca="false">SUMIFS('Daily Transactions'!C:C,'Daily Transactions'!A:A,$A334,'Daily Transactions'!B:B,"&lt;&gt;Sales",'Daily Transactions'!D:D,"Bank")</f>
        <v>7431</v>
      </c>
      <c r="G334" s="38" t="n">
        <f aca="false">B334-C334</f>
        <v>18528</v>
      </c>
      <c r="H334" s="38" t="n">
        <f aca="false">J333</f>
        <v>6968</v>
      </c>
      <c r="I334" s="38" t="n">
        <f aca="false">SUMIFS('Daily Transactions'!C:C,'Daily Transactions'!A:A,$A334,'Daily Transactions'!B:B,"Sales",'Daily Transactions'!D:D,"Cash")</f>
        <v>4570</v>
      </c>
      <c r="J334" s="38" t="n">
        <f aca="false">H334+I334-D334-E334</f>
        <v>11468</v>
      </c>
      <c r="K334" s="38" t="n">
        <f aca="false">J334-1000</f>
        <v>10468</v>
      </c>
      <c r="L334" s="38" t="n">
        <f aca="false">SUMIFS('Daily Transactions'!C:C,'Daily Transactions'!A:A,$A334,'Daily Transactions'!B:B,"Cash Shortage",'Daily Transactions'!D:D,"Cash")</f>
        <v>0</v>
      </c>
    </row>
    <row r="335" customFormat="false" ht="15.75" hidden="false" customHeight="true" outlineLevel="0" collapsed="false">
      <c r="A335" s="37" t="n">
        <f aca="false">A334+1</f>
        <v>45989</v>
      </c>
      <c r="B335" s="38" t="n">
        <f aca="false">SUMIFS('Daily Transactions'!C:C,'Daily Transactions'!A:A,$A335,'Daily Transactions'!B:B,"Sales")</f>
        <v>0</v>
      </c>
      <c r="C335" s="38" t="n">
        <f aca="false">SUMIFS('Daily Transactions'!C:C,'Daily Transactions'!A:A,$A335,'Daily Transactions'!B:B,"&lt;&gt;Sales")</f>
        <v>19145</v>
      </c>
      <c r="D335" s="38" t="n">
        <f aca="false">SUMIFS('Daily Transactions'!C:C,'Daily Transactions'!A:A,$A335,'Daily Transactions'!B:B,"&lt;&gt;Sales",'Daily Transactions'!D:D,"Cash")</f>
        <v>1340</v>
      </c>
      <c r="E335" s="38" t="n">
        <f aca="false">SUMIFS('Daily Transactions'!C:C,'Daily Transactions'!A:A,$A335,'Daily Transactions'!B:B,"&lt;&gt;Sales",'Daily Transactions'!D:D,"Bank_Cash")</f>
        <v>8630</v>
      </c>
      <c r="F335" s="38" t="n">
        <f aca="false">SUMIFS('Daily Transactions'!C:C,'Daily Transactions'!A:A,$A335,'Daily Transactions'!B:B,"&lt;&gt;Sales",'Daily Transactions'!D:D,"Bank")</f>
        <v>9175</v>
      </c>
      <c r="G335" s="38" t="n">
        <f aca="false">B335-C335</f>
        <v>-19145</v>
      </c>
      <c r="H335" s="38" t="n">
        <f aca="false">J334</f>
        <v>11468</v>
      </c>
      <c r="I335" s="38" t="n">
        <f aca="false">SUMIFS('Daily Transactions'!C:C,'Daily Transactions'!A:A,$A335,'Daily Transactions'!B:B,"Sales",'Daily Transactions'!D:D,"Cash")</f>
        <v>0</v>
      </c>
      <c r="J335" s="38" t="n">
        <f aca="false">H335+I335-D335-E335</f>
        <v>1498</v>
      </c>
      <c r="K335" s="38" t="n">
        <f aca="false">J335-1000</f>
        <v>498</v>
      </c>
      <c r="L335" s="38" t="n">
        <f aca="false">SUMIFS('Daily Transactions'!C:C,'Daily Transactions'!A:A,$A335,'Daily Transactions'!B:B,"Cash Shortage",'Daily Transactions'!D:D,"Cash")</f>
        <v>0</v>
      </c>
    </row>
    <row r="336" customFormat="false" ht="15.75" hidden="false" customHeight="true" outlineLevel="0" collapsed="false">
      <c r="A336" s="37" t="n">
        <f aca="false">A335+1</f>
        <v>45990</v>
      </c>
      <c r="B336" s="38" t="n">
        <f aca="false">SUMIFS('Daily Transactions'!C:C,'Daily Transactions'!A:A,$A336,'Daily Transactions'!B:B,"Sales")</f>
        <v>0</v>
      </c>
      <c r="C336" s="38" t="n">
        <f aca="false">SUMIFS('Daily Transactions'!C:C,'Daily Transactions'!A:A,$A336,'Daily Transactions'!B:B,"&lt;&gt;Sales")</f>
        <v>0</v>
      </c>
      <c r="D336" s="38" t="n">
        <f aca="false">SUMIFS('Daily Transactions'!C:C,'Daily Transactions'!A:A,$A336,'Daily Transactions'!B:B,"&lt;&gt;Sales",'Daily Transactions'!D:D,"Cash")</f>
        <v>0</v>
      </c>
      <c r="E336" s="38" t="n">
        <f aca="false">SUMIFS('Daily Transactions'!C:C,'Daily Transactions'!A:A,$A336,'Daily Transactions'!B:B,"&lt;&gt;Sales",'Daily Transactions'!D:D,"Bank_Cash")</f>
        <v>0</v>
      </c>
      <c r="F336" s="38" t="n">
        <f aca="false">SUMIFS('Daily Transactions'!C:C,'Daily Transactions'!A:A,$A336,'Daily Transactions'!B:B,"&lt;&gt;Sales",'Daily Transactions'!D:D,"Bank")</f>
        <v>0</v>
      </c>
      <c r="G336" s="38" t="n">
        <f aca="false">B336-C336</f>
        <v>0</v>
      </c>
      <c r="H336" s="38" t="n">
        <f aca="false">J335</f>
        <v>1498</v>
      </c>
      <c r="I336" s="38" t="n">
        <f aca="false">SUMIFS('Daily Transactions'!C:C,'Daily Transactions'!A:A,$A336,'Daily Transactions'!B:B,"Sales",'Daily Transactions'!D:D,"Cash")</f>
        <v>0</v>
      </c>
      <c r="J336" s="38" t="n">
        <f aca="false">H336+I336-D336-E336</f>
        <v>1498</v>
      </c>
      <c r="K336" s="38" t="n">
        <f aca="false">J336-1000</f>
        <v>498</v>
      </c>
      <c r="L336" s="38" t="n">
        <f aca="false">SUMIFS('Daily Transactions'!C:C,'Daily Transactions'!A:A,$A336,'Daily Transactions'!B:B,"Cash Shortage",'Daily Transactions'!D:D,"Cash")</f>
        <v>0</v>
      </c>
    </row>
    <row r="337" customFormat="false" ht="15.75" hidden="false" customHeight="true" outlineLevel="0" collapsed="false">
      <c r="A337" s="37" t="n">
        <f aca="false">A336+1</f>
        <v>45991</v>
      </c>
      <c r="B337" s="38" t="n">
        <f aca="false">SUMIFS('Daily Transactions'!C:C,'Daily Transactions'!A:A,$A337,'Daily Transactions'!B:B,"Sales")</f>
        <v>0</v>
      </c>
      <c r="C337" s="38" t="n">
        <f aca="false">SUMIFS('Daily Transactions'!C:C,'Daily Transactions'!A:A,$A337,'Daily Transactions'!B:B,"&lt;&gt;Sales")</f>
        <v>0</v>
      </c>
      <c r="D337" s="38" t="n">
        <f aca="false">SUMIFS('Daily Transactions'!C:C,'Daily Transactions'!A:A,$A337,'Daily Transactions'!B:B,"&lt;&gt;Sales",'Daily Transactions'!D:D,"Cash")</f>
        <v>0</v>
      </c>
      <c r="E337" s="38" t="n">
        <f aca="false">SUMIFS('Daily Transactions'!C:C,'Daily Transactions'!A:A,$A337,'Daily Transactions'!B:B,"&lt;&gt;Sales",'Daily Transactions'!D:D,"Bank_Cash")</f>
        <v>0</v>
      </c>
      <c r="F337" s="38" t="n">
        <f aca="false">SUMIFS('Daily Transactions'!C:C,'Daily Transactions'!A:A,$A337,'Daily Transactions'!B:B,"&lt;&gt;Sales",'Daily Transactions'!D:D,"Bank")</f>
        <v>0</v>
      </c>
      <c r="G337" s="38" t="n">
        <f aca="false">B337-C337</f>
        <v>0</v>
      </c>
      <c r="H337" s="38" t="n">
        <f aca="false">J336</f>
        <v>1498</v>
      </c>
      <c r="I337" s="38" t="n">
        <f aca="false">SUMIFS('Daily Transactions'!C:C,'Daily Transactions'!A:A,$A337,'Daily Transactions'!B:B,"Sales",'Daily Transactions'!D:D,"Cash")</f>
        <v>0</v>
      </c>
      <c r="J337" s="38" t="n">
        <f aca="false">H337+I337-D337-E337</f>
        <v>1498</v>
      </c>
      <c r="K337" s="38" t="n">
        <f aca="false">J337-1000</f>
        <v>498</v>
      </c>
      <c r="L337" s="38" t="n">
        <f aca="false">SUMIFS('Daily Transactions'!C:C,'Daily Transactions'!A:A,$A337,'Daily Transactions'!B:B,"Cash Shortage",'Daily Transactions'!D:D,"Cash")</f>
        <v>0</v>
      </c>
    </row>
    <row r="338" customFormat="false" ht="15.75" hidden="false" customHeight="true" outlineLevel="0" collapsed="false">
      <c r="A338" s="37" t="n">
        <f aca="false">A337+1</f>
        <v>45992</v>
      </c>
      <c r="B338" s="38" t="n">
        <f aca="false">SUMIFS('Daily Transactions'!C:C,'Daily Transactions'!A:A,$A338,'Daily Transactions'!B:B,"Sales")</f>
        <v>0</v>
      </c>
      <c r="C338" s="38" t="n">
        <f aca="false">SUMIFS('Daily Transactions'!C:C,'Daily Transactions'!A:A,$A338,'Daily Transactions'!B:B,"&lt;&gt;Sales")</f>
        <v>0</v>
      </c>
      <c r="D338" s="38" t="n">
        <f aca="false">SUMIFS('Daily Transactions'!C:C,'Daily Transactions'!A:A,$A338,'Daily Transactions'!B:B,"&lt;&gt;Sales",'Daily Transactions'!D:D,"Cash")</f>
        <v>0</v>
      </c>
      <c r="E338" s="38" t="n">
        <f aca="false">SUMIFS('Daily Transactions'!C:C,'Daily Transactions'!A:A,$A338,'Daily Transactions'!B:B,"&lt;&gt;Sales",'Daily Transactions'!D:D,"Bank_Cash")</f>
        <v>0</v>
      </c>
      <c r="F338" s="38" t="n">
        <f aca="false">SUMIFS('Daily Transactions'!C:C,'Daily Transactions'!A:A,$A338,'Daily Transactions'!B:B,"&lt;&gt;Sales",'Daily Transactions'!D:D,"Bank")</f>
        <v>0</v>
      </c>
      <c r="G338" s="38" t="n">
        <f aca="false">B338-C338</f>
        <v>0</v>
      </c>
      <c r="H338" s="38" t="n">
        <f aca="false">J337</f>
        <v>1498</v>
      </c>
      <c r="I338" s="38" t="n">
        <f aca="false">SUMIFS('Daily Transactions'!C:C,'Daily Transactions'!A:A,$A338,'Daily Transactions'!B:B,"Sales",'Daily Transactions'!D:D,"Cash")</f>
        <v>0</v>
      </c>
      <c r="J338" s="38" t="n">
        <f aca="false">H338+I338-D338-E338</f>
        <v>1498</v>
      </c>
      <c r="K338" s="38" t="n">
        <f aca="false">J338-1000</f>
        <v>498</v>
      </c>
      <c r="L338" s="38" t="n">
        <f aca="false">SUMIFS('Daily Transactions'!C:C,'Daily Transactions'!A:A,$A338,'Daily Transactions'!B:B,"Cash Shortage",'Daily Transactions'!D:D,"Cash")</f>
        <v>0</v>
      </c>
    </row>
    <row r="339" customFormat="false" ht="15.75" hidden="false" customHeight="true" outlineLevel="0" collapsed="false">
      <c r="A339" s="37" t="n">
        <f aca="false">A338+1</f>
        <v>45993</v>
      </c>
      <c r="B339" s="38" t="n">
        <f aca="false">SUMIFS('Daily Transactions'!C:C,'Daily Transactions'!A:A,$A339,'Daily Transactions'!B:B,"Sales")</f>
        <v>0</v>
      </c>
      <c r="C339" s="38" t="n">
        <f aca="false">SUMIFS('Daily Transactions'!C:C,'Daily Transactions'!A:A,$A339,'Daily Transactions'!B:B,"&lt;&gt;Sales")</f>
        <v>0</v>
      </c>
      <c r="D339" s="38" t="n">
        <f aca="false">SUMIFS('Daily Transactions'!C:C,'Daily Transactions'!A:A,$A339,'Daily Transactions'!B:B,"&lt;&gt;Sales",'Daily Transactions'!D:D,"Cash")</f>
        <v>0</v>
      </c>
      <c r="E339" s="38" t="n">
        <f aca="false">SUMIFS('Daily Transactions'!C:C,'Daily Transactions'!A:A,$A339,'Daily Transactions'!B:B,"&lt;&gt;Sales",'Daily Transactions'!D:D,"Bank_Cash")</f>
        <v>0</v>
      </c>
      <c r="F339" s="38" t="n">
        <f aca="false">SUMIFS('Daily Transactions'!C:C,'Daily Transactions'!A:A,$A339,'Daily Transactions'!B:B,"&lt;&gt;Sales",'Daily Transactions'!D:D,"Bank")</f>
        <v>0</v>
      </c>
      <c r="G339" s="38" t="n">
        <f aca="false">B339-C339</f>
        <v>0</v>
      </c>
      <c r="H339" s="38" t="n">
        <f aca="false">J338</f>
        <v>1498</v>
      </c>
      <c r="I339" s="38" t="n">
        <f aca="false">SUMIFS('Daily Transactions'!C:C,'Daily Transactions'!A:A,$A339,'Daily Transactions'!B:B,"Sales",'Daily Transactions'!D:D,"Cash")</f>
        <v>0</v>
      </c>
      <c r="J339" s="38" t="n">
        <f aca="false">H339+I339-D339-E339</f>
        <v>1498</v>
      </c>
      <c r="K339" s="38" t="n">
        <f aca="false">J339-1000</f>
        <v>498</v>
      </c>
      <c r="L339" s="38" t="n">
        <f aca="false">SUMIFS('Daily Transactions'!C:C,'Daily Transactions'!A:A,$A339,'Daily Transactions'!B:B,"Cash Shortage",'Daily Transactions'!D:D,"Cash")</f>
        <v>0</v>
      </c>
    </row>
    <row r="340" customFormat="false" ht="15.75" hidden="false" customHeight="true" outlineLevel="0" collapsed="false">
      <c r="A340" s="37" t="n">
        <f aca="false">A339+1</f>
        <v>45994</v>
      </c>
      <c r="B340" s="38" t="n">
        <f aca="false">SUMIFS('Daily Transactions'!C:C,'Daily Transactions'!A:A,$A340,'Daily Transactions'!B:B,"Sales")</f>
        <v>0</v>
      </c>
      <c r="C340" s="38" t="n">
        <f aca="false">SUMIFS('Daily Transactions'!C:C,'Daily Transactions'!A:A,$A340,'Daily Transactions'!B:B,"&lt;&gt;Sales")</f>
        <v>0</v>
      </c>
      <c r="D340" s="38" t="n">
        <f aca="false">SUMIFS('Daily Transactions'!C:C,'Daily Transactions'!A:A,$A340,'Daily Transactions'!B:B,"&lt;&gt;Sales",'Daily Transactions'!D:D,"Cash")</f>
        <v>0</v>
      </c>
      <c r="E340" s="38" t="n">
        <f aca="false">SUMIFS('Daily Transactions'!C:C,'Daily Transactions'!A:A,$A340,'Daily Transactions'!B:B,"&lt;&gt;Sales",'Daily Transactions'!D:D,"Bank_Cash")</f>
        <v>0</v>
      </c>
      <c r="F340" s="38" t="n">
        <f aca="false">SUMIFS('Daily Transactions'!C:C,'Daily Transactions'!A:A,$A340,'Daily Transactions'!B:B,"&lt;&gt;Sales",'Daily Transactions'!D:D,"Bank")</f>
        <v>0</v>
      </c>
      <c r="G340" s="38" t="n">
        <f aca="false">B340-C340</f>
        <v>0</v>
      </c>
      <c r="H340" s="38" t="n">
        <f aca="false">J339</f>
        <v>1498</v>
      </c>
      <c r="I340" s="38" t="n">
        <f aca="false">SUMIFS('Daily Transactions'!C:C,'Daily Transactions'!A:A,$A340,'Daily Transactions'!B:B,"Sales",'Daily Transactions'!D:D,"Cash")</f>
        <v>0</v>
      </c>
      <c r="J340" s="38" t="n">
        <f aca="false">H340+I340-D340-E340</f>
        <v>1498</v>
      </c>
      <c r="K340" s="38" t="n">
        <f aca="false">J340-1000</f>
        <v>498</v>
      </c>
      <c r="L340" s="38" t="n">
        <f aca="false">SUMIFS('Daily Transactions'!C:C,'Daily Transactions'!A:A,$A340,'Daily Transactions'!B:B,"Cash Shortage",'Daily Transactions'!D:D,"Cash")</f>
        <v>0</v>
      </c>
    </row>
    <row r="341" customFormat="false" ht="15.75" hidden="false" customHeight="true" outlineLevel="0" collapsed="false">
      <c r="A341" s="37" t="n">
        <f aca="false">A340+1</f>
        <v>45995</v>
      </c>
      <c r="B341" s="38" t="n">
        <f aca="false">SUMIFS('Daily Transactions'!C:C,'Daily Transactions'!A:A,$A341,'Daily Transactions'!B:B,"Sales")</f>
        <v>0</v>
      </c>
      <c r="C341" s="38" t="n">
        <f aca="false">SUMIFS('Daily Transactions'!C:C,'Daily Transactions'!A:A,$A341,'Daily Transactions'!B:B,"&lt;&gt;Sales")</f>
        <v>0</v>
      </c>
      <c r="D341" s="38" t="n">
        <f aca="false">SUMIFS('Daily Transactions'!C:C,'Daily Transactions'!A:A,$A341,'Daily Transactions'!B:B,"&lt;&gt;Sales",'Daily Transactions'!D:D,"Cash")</f>
        <v>0</v>
      </c>
      <c r="E341" s="38" t="n">
        <f aca="false">SUMIFS('Daily Transactions'!C:C,'Daily Transactions'!A:A,$A341,'Daily Transactions'!B:B,"&lt;&gt;Sales",'Daily Transactions'!D:D,"Bank_Cash")</f>
        <v>0</v>
      </c>
      <c r="F341" s="38" t="n">
        <f aca="false">SUMIFS('Daily Transactions'!C:C,'Daily Transactions'!A:A,$A341,'Daily Transactions'!B:B,"&lt;&gt;Sales",'Daily Transactions'!D:D,"Bank")</f>
        <v>0</v>
      </c>
      <c r="G341" s="38" t="n">
        <f aca="false">B341-C341</f>
        <v>0</v>
      </c>
      <c r="H341" s="38" t="n">
        <f aca="false">J340</f>
        <v>1498</v>
      </c>
      <c r="I341" s="38" t="n">
        <f aca="false">SUMIFS('Daily Transactions'!C:C,'Daily Transactions'!A:A,$A341,'Daily Transactions'!B:B,"Sales",'Daily Transactions'!D:D,"Cash")</f>
        <v>0</v>
      </c>
      <c r="J341" s="38" t="n">
        <f aca="false">H341+I341-D341-E341</f>
        <v>1498</v>
      </c>
      <c r="K341" s="38" t="n">
        <f aca="false">J341-1000</f>
        <v>498</v>
      </c>
      <c r="L341" s="38" t="n">
        <f aca="false">SUMIFS('Daily Transactions'!C:C,'Daily Transactions'!A:A,$A341,'Daily Transactions'!B:B,"Cash Shortage",'Daily Transactions'!D:D,"Cash")</f>
        <v>0</v>
      </c>
    </row>
    <row r="342" customFormat="false" ht="15.75" hidden="false" customHeight="true" outlineLevel="0" collapsed="false">
      <c r="A342" s="37" t="n">
        <f aca="false">A341+1</f>
        <v>45996</v>
      </c>
      <c r="B342" s="38" t="n">
        <f aca="false">SUMIFS('Daily Transactions'!C:C,'Daily Transactions'!A:A,$A342,'Daily Transactions'!B:B,"Sales")</f>
        <v>0</v>
      </c>
      <c r="C342" s="38" t="n">
        <f aca="false">SUMIFS('Daily Transactions'!C:C,'Daily Transactions'!A:A,$A342,'Daily Transactions'!B:B,"&lt;&gt;Sales")</f>
        <v>0</v>
      </c>
      <c r="D342" s="38" t="n">
        <f aca="false">SUMIFS('Daily Transactions'!C:C,'Daily Transactions'!A:A,$A342,'Daily Transactions'!B:B,"&lt;&gt;Sales",'Daily Transactions'!D:D,"Cash")</f>
        <v>0</v>
      </c>
      <c r="E342" s="38" t="n">
        <f aca="false">SUMIFS('Daily Transactions'!C:C,'Daily Transactions'!A:A,$A342,'Daily Transactions'!B:B,"&lt;&gt;Sales",'Daily Transactions'!D:D,"Bank_Cash")</f>
        <v>0</v>
      </c>
      <c r="F342" s="38" t="n">
        <f aca="false">SUMIFS('Daily Transactions'!C:C,'Daily Transactions'!A:A,$A342,'Daily Transactions'!B:B,"&lt;&gt;Sales",'Daily Transactions'!D:D,"Bank")</f>
        <v>0</v>
      </c>
      <c r="G342" s="38" t="n">
        <f aca="false">B342-C342</f>
        <v>0</v>
      </c>
      <c r="H342" s="38" t="n">
        <f aca="false">J341</f>
        <v>1498</v>
      </c>
      <c r="I342" s="38" t="n">
        <f aca="false">SUMIFS('Daily Transactions'!C:C,'Daily Transactions'!A:A,$A342,'Daily Transactions'!B:B,"Sales",'Daily Transactions'!D:D,"Cash")</f>
        <v>0</v>
      </c>
      <c r="J342" s="38" t="n">
        <f aca="false">H342+I342-D342-E342</f>
        <v>1498</v>
      </c>
      <c r="K342" s="38" t="n">
        <f aca="false">J342-1000</f>
        <v>498</v>
      </c>
      <c r="L342" s="38" t="n">
        <f aca="false">SUMIFS('Daily Transactions'!C:C,'Daily Transactions'!A:A,$A342,'Daily Transactions'!B:B,"Cash Shortage",'Daily Transactions'!D:D,"Cash")</f>
        <v>0</v>
      </c>
    </row>
    <row r="343" customFormat="false" ht="15.75" hidden="false" customHeight="true" outlineLevel="0" collapsed="false">
      <c r="A343" s="37" t="n">
        <f aca="false">A342+1</f>
        <v>45997</v>
      </c>
      <c r="B343" s="38" t="n">
        <f aca="false">SUMIFS('Daily Transactions'!C:C,'Daily Transactions'!A:A,$A343,'Daily Transactions'!B:B,"Sales")</f>
        <v>0</v>
      </c>
      <c r="C343" s="38" t="n">
        <f aca="false">SUMIFS('Daily Transactions'!C:C,'Daily Transactions'!A:A,$A343,'Daily Transactions'!B:B,"&lt;&gt;Sales")</f>
        <v>0</v>
      </c>
      <c r="D343" s="38" t="n">
        <f aca="false">SUMIFS('Daily Transactions'!C:C,'Daily Transactions'!A:A,$A343,'Daily Transactions'!B:B,"&lt;&gt;Sales",'Daily Transactions'!D:D,"Cash")</f>
        <v>0</v>
      </c>
      <c r="E343" s="38" t="n">
        <f aca="false">SUMIFS('Daily Transactions'!C:C,'Daily Transactions'!A:A,$A343,'Daily Transactions'!B:B,"&lt;&gt;Sales",'Daily Transactions'!D:D,"Bank_Cash")</f>
        <v>0</v>
      </c>
      <c r="F343" s="38" t="n">
        <f aca="false">SUMIFS('Daily Transactions'!C:C,'Daily Transactions'!A:A,$A343,'Daily Transactions'!B:B,"&lt;&gt;Sales",'Daily Transactions'!D:D,"Bank")</f>
        <v>0</v>
      </c>
      <c r="G343" s="38" t="n">
        <f aca="false">B343-C343</f>
        <v>0</v>
      </c>
      <c r="H343" s="38" t="n">
        <f aca="false">J342</f>
        <v>1498</v>
      </c>
      <c r="I343" s="38" t="n">
        <f aca="false">SUMIFS('Daily Transactions'!C:C,'Daily Transactions'!A:A,$A343,'Daily Transactions'!B:B,"Sales",'Daily Transactions'!D:D,"Cash")</f>
        <v>0</v>
      </c>
      <c r="J343" s="38" t="n">
        <f aca="false">H343+I343-D343-E343</f>
        <v>1498</v>
      </c>
      <c r="K343" s="38" t="n">
        <f aca="false">J343-1000</f>
        <v>498</v>
      </c>
      <c r="L343" s="38" t="n">
        <f aca="false">SUMIFS('Daily Transactions'!C:C,'Daily Transactions'!A:A,$A343,'Daily Transactions'!B:B,"Cash Shortage",'Daily Transactions'!D:D,"Cash")</f>
        <v>0</v>
      </c>
    </row>
    <row r="344" customFormat="false" ht="15.75" hidden="false" customHeight="true" outlineLevel="0" collapsed="false">
      <c r="A344" s="37" t="n">
        <f aca="false">A343+1</f>
        <v>45998</v>
      </c>
      <c r="B344" s="38" t="n">
        <f aca="false">SUMIFS('Daily Transactions'!C:C,'Daily Transactions'!A:A,$A344,'Daily Transactions'!B:B,"Sales")</f>
        <v>0</v>
      </c>
      <c r="C344" s="38" t="n">
        <f aca="false">SUMIFS('Daily Transactions'!C:C,'Daily Transactions'!A:A,$A344,'Daily Transactions'!B:B,"&lt;&gt;Sales")</f>
        <v>0</v>
      </c>
      <c r="D344" s="38" t="n">
        <f aca="false">SUMIFS('Daily Transactions'!C:C,'Daily Transactions'!A:A,$A344,'Daily Transactions'!B:B,"&lt;&gt;Sales",'Daily Transactions'!D:D,"Cash")</f>
        <v>0</v>
      </c>
      <c r="E344" s="38" t="n">
        <f aca="false">SUMIFS('Daily Transactions'!C:C,'Daily Transactions'!A:A,$A344,'Daily Transactions'!B:B,"&lt;&gt;Sales",'Daily Transactions'!D:D,"Bank_Cash")</f>
        <v>0</v>
      </c>
      <c r="F344" s="38" t="n">
        <f aca="false">SUMIFS('Daily Transactions'!C:C,'Daily Transactions'!A:A,$A344,'Daily Transactions'!B:B,"&lt;&gt;Sales",'Daily Transactions'!D:D,"Bank")</f>
        <v>0</v>
      </c>
      <c r="G344" s="38" t="n">
        <f aca="false">B344-C344</f>
        <v>0</v>
      </c>
      <c r="H344" s="38" t="n">
        <f aca="false">J343</f>
        <v>1498</v>
      </c>
      <c r="I344" s="38" t="n">
        <f aca="false">SUMIFS('Daily Transactions'!C:C,'Daily Transactions'!A:A,$A344,'Daily Transactions'!B:B,"Sales",'Daily Transactions'!D:D,"Cash")</f>
        <v>0</v>
      </c>
      <c r="J344" s="38" t="n">
        <f aca="false">H344+I344-D344-E344</f>
        <v>1498</v>
      </c>
      <c r="K344" s="38" t="n">
        <f aca="false">J344-1000</f>
        <v>498</v>
      </c>
      <c r="L344" s="38" t="n">
        <f aca="false">SUMIFS('Daily Transactions'!C:C,'Daily Transactions'!A:A,$A344,'Daily Transactions'!B:B,"Cash Shortage",'Daily Transactions'!D:D,"Cash")</f>
        <v>0</v>
      </c>
    </row>
    <row r="345" customFormat="false" ht="15.75" hidden="false" customHeight="true" outlineLevel="0" collapsed="false">
      <c r="A345" s="37" t="n">
        <f aca="false">A344+1</f>
        <v>45999</v>
      </c>
      <c r="B345" s="38" t="n">
        <f aca="false">SUMIFS('Daily Transactions'!C:C,'Daily Transactions'!A:A,$A345,'Daily Transactions'!B:B,"Sales")</f>
        <v>0</v>
      </c>
      <c r="C345" s="38" t="n">
        <f aca="false">SUMIFS('Daily Transactions'!C:C,'Daily Transactions'!A:A,$A345,'Daily Transactions'!B:B,"&lt;&gt;Sales")</f>
        <v>0</v>
      </c>
      <c r="D345" s="38" t="n">
        <f aca="false">SUMIFS('Daily Transactions'!C:C,'Daily Transactions'!A:A,$A345,'Daily Transactions'!B:B,"&lt;&gt;Sales",'Daily Transactions'!D:D,"Cash")</f>
        <v>0</v>
      </c>
      <c r="E345" s="38" t="n">
        <f aca="false">SUMIFS('Daily Transactions'!C:C,'Daily Transactions'!A:A,$A345,'Daily Transactions'!B:B,"&lt;&gt;Sales",'Daily Transactions'!D:D,"Bank_Cash")</f>
        <v>0</v>
      </c>
      <c r="F345" s="38" t="n">
        <f aca="false">SUMIFS('Daily Transactions'!C:C,'Daily Transactions'!A:A,$A345,'Daily Transactions'!B:B,"&lt;&gt;Sales",'Daily Transactions'!D:D,"Bank")</f>
        <v>0</v>
      </c>
      <c r="G345" s="38" t="n">
        <f aca="false">B345-C345</f>
        <v>0</v>
      </c>
      <c r="H345" s="38" t="n">
        <f aca="false">J344</f>
        <v>1498</v>
      </c>
      <c r="I345" s="38" t="n">
        <f aca="false">SUMIFS('Daily Transactions'!C:C,'Daily Transactions'!A:A,$A345,'Daily Transactions'!B:B,"Sales",'Daily Transactions'!D:D,"Cash")</f>
        <v>0</v>
      </c>
      <c r="J345" s="38" t="n">
        <f aca="false">H345+I345-D345-E345</f>
        <v>1498</v>
      </c>
      <c r="K345" s="38" t="n">
        <f aca="false">J345-1000</f>
        <v>498</v>
      </c>
      <c r="L345" s="38" t="n">
        <f aca="false">SUMIFS('Daily Transactions'!C:C,'Daily Transactions'!A:A,$A345,'Daily Transactions'!B:B,"Cash Shortage",'Daily Transactions'!D:D,"Cash")</f>
        <v>0</v>
      </c>
    </row>
    <row r="346" customFormat="false" ht="15.75" hidden="false" customHeight="true" outlineLevel="0" collapsed="false">
      <c r="A346" s="37" t="n">
        <f aca="false">A345+1</f>
        <v>46000</v>
      </c>
      <c r="B346" s="38" t="n">
        <f aca="false">SUMIFS('Daily Transactions'!C:C,'Daily Transactions'!A:A,$A346,'Daily Transactions'!B:B,"Sales")</f>
        <v>0</v>
      </c>
      <c r="C346" s="38" t="n">
        <f aca="false">SUMIFS('Daily Transactions'!C:C,'Daily Transactions'!A:A,$A346,'Daily Transactions'!B:B,"&lt;&gt;Sales")</f>
        <v>0</v>
      </c>
      <c r="D346" s="38" t="n">
        <f aca="false">SUMIFS('Daily Transactions'!C:C,'Daily Transactions'!A:A,$A346,'Daily Transactions'!B:B,"&lt;&gt;Sales",'Daily Transactions'!D:D,"Cash")</f>
        <v>0</v>
      </c>
      <c r="E346" s="38" t="n">
        <f aca="false">SUMIFS('Daily Transactions'!C:C,'Daily Transactions'!A:A,$A346,'Daily Transactions'!B:B,"&lt;&gt;Sales",'Daily Transactions'!D:D,"Bank_Cash")</f>
        <v>0</v>
      </c>
      <c r="F346" s="38" t="n">
        <f aca="false">SUMIFS('Daily Transactions'!C:C,'Daily Transactions'!A:A,$A346,'Daily Transactions'!B:B,"&lt;&gt;Sales",'Daily Transactions'!D:D,"Bank")</f>
        <v>0</v>
      </c>
      <c r="G346" s="38" t="n">
        <f aca="false">B346-C346</f>
        <v>0</v>
      </c>
      <c r="H346" s="38" t="n">
        <f aca="false">J345</f>
        <v>1498</v>
      </c>
      <c r="I346" s="38" t="n">
        <f aca="false">SUMIFS('Daily Transactions'!C:C,'Daily Transactions'!A:A,$A346,'Daily Transactions'!B:B,"Sales",'Daily Transactions'!D:D,"Cash")</f>
        <v>0</v>
      </c>
      <c r="J346" s="38" t="n">
        <f aca="false">H346+I346-D346-E346</f>
        <v>1498</v>
      </c>
      <c r="K346" s="38" t="n">
        <f aca="false">J346-1000</f>
        <v>498</v>
      </c>
      <c r="L346" s="38" t="n">
        <f aca="false">SUMIFS('Daily Transactions'!C:C,'Daily Transactions'!A:A,$A346,'Daily Transactions'!B:B,"Cash Shortage",'Daily Transactions'!D:D,"Cash")</f>
        <v>0</v>
      </c>
    </row>
    <row r="347" customFormat="false" ht="15.75" hidden="false" customHeight="true" outlineLevel="0" collapsed="false">
      <c r="A347" s="37" t="n">
        <f aca="false">A346+1</f>
        <v>46001</v>
      </c>
      <c r="B347" s="38" t="n">
        <f aca="false">SUMIFS('Daily Transactions'!C:C,'Daily Transactions'!A:A,$A347,'Daily Transactions'!B:B,"Sales")</f>
        <v>0</v>
      </c>
      <c r="C347" s="38" t="n">
        <f aca="false">SUMIFS('Daily Transactions'!C:C,'Daily Transactions'!A:A,$A347,'Daily Transactions'!B:B,"&lt;&gt;Sales")</f>
        <v>0</v>
      </c>
      <c r="D347" s="38" t="n">
        <f aca="false">SUMIFS('Daily Transactions'!C:C,'Daily Transactions'!A:A,$A347,'Daily Transactions'!B:B,"&lt;&gt;Sales",'Daily Transactions'!D:D,"Cash")</f>
        <v>0</v>
      </c>
      <c r="E347" s="38" t="n">
        <f aca="false">SUMIFS('Daily Transactions'!C:C,'Daily Transactions'!A:A,$A347,'Daily Transactions'!B:B,"&lt;&gt;Sales",'Daily Transactions'!D:D,"Bank_Cash")</f>
        <v>0</v>
      </c>
      <c r="F347" s="38" t="n">
        <f aca="false">SUMIFS('Daily Transactions'!C:C,'Daily Transactions'!A:A,$A347,'Daily Transactions'!B:B,"&lt;&gt;Sales",'Daily Transactions'!D:D,"Bank")</f>
        <v>0</v>
      </c>
      <c r="G347" s="38" t="n">
        <f aca="false">B347-C347</f>
        <v>0</v>
      </c>
      <c r="H347" s="38" t="n">
        <f aca="false">J346</f>
        <v>1498</v>
      </c>
      <c r="I347" s="38" t="n">
        <f aca="false">SUMIFS('Daily Transactions'!C:C,'Daily Transactions'!A:A,$A347,'Daily Transactions'!B:B,"Sales",'Daily Transactions'!D:D,"Cash")</f>
        <v>0</v>
      </c>
      <c r="J347" s="38" t="n">
        <f aca="false">H347+I347-D347-E347</f>
        <v>1498</v>
      </c>
      <c r="K347" s="38" t="n">
        <f aca="false">J347-1000</f>
        <v>498</v>
      </c>
      <c r="L347" s="38" t="n">
        <f aca="false">SUMIFS('Daily Transactions'!C:C,'Daily Transactions'!A:A,$A347,'Daily Transactions'!B:B,"Cash Shortage",'Daily Transactions'!D:D,"Cash")</f>
        <v>0</v>
      </c>
    </row>
    <row r="348" customFormat="false" ht="15.75" hidden="false" customHeight="true" outlineLevel="0" collapsed="false">
      <c r="A348" s="37" t="n">
        <f aca="false">A347+1</f>
        <v>46002</v>
      </c>
      <c r="B348" s="38" t="n">
        <f aca="false">SUMIFS('Daily Transactions'!C:C,'Daily Transactions'!A:A,$A348,'Daily Transactions'!B:B,"Sales")</f>
        <v>0</v>
      </c>
      <c r="C348" s="38" t="n">
        <f aca="false">SUMIFS('Daily Transactions'!C:C,'Daily Transactions'!A:A,$A348,'Daily Transactions'!B:B,"&lt;&gt;Sales")</f>
        <v>0</v>
      </c>
      <c r="D348" s="38" t="n">
        <f aca="false">SUMIFS('Daily Transactions'!C:C,'Daily Transactions'!A:A,$A348,'Daily Transactions'!B:B,"&lt;&gt;Sales",'Daily Transactions'!D:D,"Cash")</f>
        <v>0</v>
      </c>
      <c r="E348" s="38" t="n">
        <f aca="false">SUMIFS('Daily Transactions'!C:C,'Daily Transactions'!A:A,$A348,'Daily Transactions'!B:B,"&lt;&gt;Sales",'Daily Transactions'!D:D,"Bank_Cash")</f>
        <v>0</v>
      </c>
      <c r="F348" s="38" t="n">
        <f aca="false">SUMIFS('Daily Transactions'!C:C,'Daily Transactions'!A:A,$A348,'Daily Transactions'!B:B,"&lt;&gt;Sales",'Daily Transactions'!D:D,"Bank")</f>
        <v>0</v>
      </c>
      <c r="G348" s="38" t="n">
        <f aca="false">B348-C348</f>
        <v>0</v>
      </c>
      <c r="H348" s="38" t="n">
        <f aca="false">J347</f>
        <v>1498</v>
      </c>
      <c r="I348" s="38" t="n">
        <f aca="false">SUMIFS('Daily Transactions'!C:C,'Daily Transactions'!A:A,$A348,'Daily Transactions'!B:B,"Sales",'Daily Transactions'!D:D,"Cash")</f>
        <v>0</v>
      </c>
      <c r="J348" s="38" t="n">
        <f aca="false">H348+I348-D348-E348</f>
        <v>1498</v>
      </c>
      <c r="K348" s="38" t="n">
        <f aca="false">J348-1000</f>
        <v>498</v>
      </c>
      <c r="L348" s="38" t="n">
        <f aca="false">SUMIFS('Daily Transactions'!C:C,'Daily Transactions'!A:A,$A348,'Daily Transactions'!B:B,"Cash Shortage",'Daily Transactions'!D:D,"Cash")</f>
        <v>0</v>
      </c>
    </row>
    <row r="349" customFormat="false" ht="15.75" hidden="false" customHeight="true" outlineLevel="0" collapsed="false">
      <c r="A349" s="37" t="n">
        <f aca="false">A348+1</f>
        <v>46003</v>
      </c>
      <c r="B349" s="38" t="n">
        <f aca="false">SUMIFS('Daily Transactions'!C:C,'Daily Transactions'!A:A,$A349,'Daily Transactions'!B:B,"Sales")</f>
        <v>0</v>
      </c>
      <c r="C349" s="38" t="n">
        <f aca="false">SUMIFS('Daily Transactions'!C:C,'Daily Transactions'!A:A,$A349,'Daily Transactions'!B:B,"&lt;&gt;Sales")</f>
        <v>0</v>
      </c>
      <c r="D349" s="38" t="n">
        <f aca="false">SUMIFS('Daily Transactions'!C:C,'Daily Transactions'!A:A,$A349,'Daily Transactions'!B:B,"&lt;&gt;Sales",'Daily Transactions'!D:D,"Cash")</f>
        <v>0</v>
      </c>
      <c r="E349" s="38" t="n">
        <f aca="false">SUMIFS('Daily Transactions'!C:C,'Daily Transactions'!A:A,$A349,'Daily Transactions'!B:B,"&lt;&gt;Sales",'Daily Transactions'!D:D,"Bank_Cash")</f>
        <v>0</v>
      </c>
      <c r="F349" s="38" t="n">
        <f aca="false">SUMIFS('Daily Transactions'!C:C,'Daily Transactions'!A:A,$A349,'Daily Transactions'!B:B,"&lt;&gt;Sales",'Daily Transactions'!D:D,"Bank")</f>
        <v>0</v>
      </c>
      <c r="G349" s="38" t="n">
        <f aca="false">B349-C349</f>
        <v>0</v>
      </c>
      <c r="H349" s="38" t="n">
        <f aca="false">J348</f>
        <v>1498</v>
      </c>
      <c r="I349" s="38" t="n">
        <f aca="false">SUMIFS('Daily Transactions'!C:C,'Daily Transactions'!A:A,$A349,'Daily Transactions'!B:B,"Sales",'Daily Transactions'!D:D,"Cash")</f>
        <v>0</v>
      </c>
      <c r="J349" s="38" t="n">
        <f aca="false">H349+I349-D349-E349</f>
        <v>1498</v>
      </c>
      <c r="K349" s="38" t="n">
        <f aca="false">J349-1000</f>
        <v>498</v>
      </c>
      <c r="L349" s="38" t="n">
        <f aca="false">SUMIFS('Daily Transactions'!C:C,'Daily Transactions'!A:A,$A349,'Daily Transactions'!B:B,"Cash Shortage",'Daily Transactions'!D:D,"Cash")</f>
        <v>0</v>
      </c>
    </row>
    <row r="350" customFormat="false" ht="15.75" hidden="false" customHeight="true" outlineLevel="0" collapsed="false">
      <c r="A350" s="37" t="n">
        <f aca="false">A349+1</f>
        <v>46004</v>
      </c>
      <c r="B350" s="38" t="n">
        <f aca="false">SUMIFS('Daily Transactions'!C:C,'Daily Transactions'!A:A,$A350,'Daily Transactions'!B:B,"Sales")</f>
        <v>0</v>
      </c>
      <c r="C350" s="38" t="n">
        <f aca="false">SUMIFS('Daily Transactions'!C:C,'Daily Transactions'!A:A,$A350,'Daily Transactions'!B:B,"&lt;&gt;Sales")</f>
        <v>0</v>
      </c>
      <c r="D350" s="38" t="n">
        <f aca="false">SUMIFS('Daily Transactions'!C:C,'Daily Transactions'!A:A,$A350,'Daily Transactions'!B:B,"&lt;&gt;Sales",'Daily Transactions'!D:D,"Cash")</f>
        <v>0</v>
      </c>
      <c r="E350" s="38" t="n">
        <f aca="false">SUMIFS('Daily Transactions'!C:C,'Daily Transactions'!A:A,$A350,'Daily Transactions'!B:B,"&lt;&gt;Sales",'Daily Transactions'!D:D,"Bank_Cash")</f>
        <v>0</v>
      </c>
      <c r="F350" s="38" t="n">
        <f aca="false">SUMIFS('Daily Transactions'!C:C,'Daily Transactions'!A:A,$A350,'Daily Transactions'!B:B,"&lt;&gt;Sales",'Daily Transactions'!D:D,"Bank")</f>
        <v>0</v>
      </c>
      <c r="G350" s="38" t="n">
        <f aca="false">B350-C350</f>
        <v>0</v>
      </c>
      <c r="H350" s="38" t="n">
        <f aca="false">J349</f>
        <v>1498</v>
      </c>
      <c r="I350" s="38" t="n">
        <f aca="false">SUMIFS('Daily Transactions'!C:C,'Daily Transactions'!A:A,$A350,'Daily Transactions'!B:B,"Sales",'Daily Transactions'!D:D,"Cash")</f>
        <v>0</v>
      </c>
      <c r="J350" s="38" t="n">
        <f aca="false">H350+I350-D350-E350</f>
        <v>1498</v>
      </c>
      <c r="K350" s="38" t="n">
        <f aca="false">J350-1000</f>
        <v>498</v>
      </c>
      <c r="L350" s="38" t="n">
        <f aca="false">SUMIFS('Daily Transactions'!C:C,'Daily Transactions'!A:A,$A350,'Daily Transactions'!B:B,"Cash Shortage",'Daily Transactions'!D:D,"Cash")</f>
        <v>0</v>
      </c>
    </row>
    <row r="351" customFormat="false" ht="15.75" hidden="false" customHeight="true" outlineLevel="0" collapsed="false">
      <c r="A351" s="37" t="n">
        <f aca="false">A350+1</f>
        <v>46005</v>
      </c>
      <c r="B351" s="38" t="n">
        <f aca="false">SUMIFS('Daily Transactions'!C:C,'Daily Transactions'!A:A,$A351,'Daily Transactions'!B:B,"Sales")</f>
        <v>0</v>
      </c>
      <c r="C351" s="38" t="n">
        <f aca="false">SUMIFS('Daily Transactions'!C:C,'Daily Transactions'!A:A,$A351,'Daily Transactions'!B:B,"&lt;&gt;Sales")</f>
        <v>0</v>
      </c>
      <c r="D351" s="38" t="n">
        <f aca="false">SUMIFS('Daily Transactions'!C:C,'Daily Transactions'!A:A,$A351,'Daily Transactions'!B:B,"&lt;&gt;Sales",'Daily Transactions'!D:D,"Cash")</f>
        <v>0</v>
      </c>
      <c r="E351" s="38" t="n">
        <f aca="false">SUMIFS('Daily Transactions'!C:C,'Daily Transactions'!A:A,$A351,'Daily Transactions'!B:B,"&lt;&gt;Sales",'Daily Transactions'!D:D,"Bank_Cash")</f>
        <v>0</v>
      </c>
      <c r="F351" s="38" t="n">
        <f aca="false">SUMIFS('Daily Transactions'!C:C,'Daily Transactions'!A:A,$A351,'Daily Transactions'!B:B,"&lt;&gt;Sales",'Daily Transactions'!D:D,"Bank")</f>
        <v>0</v>
      </c>
      <c r="G351" s="38" t="n">
        <f aca="false">B351-C351</f>
        <v>0</v>
      </c>
      <c r="H351" s="38" t="n">
        <f aca="false">J350</f>
        <v>1498</v>
      </c>
      <c r="I351" s="38" t="n">
        <f aca="false">SUMIFS('Daily Transactions'!C:C,'Daily Transactions'!A:A,$A351,'Daily Transactions'!B:B,"Sales",'Daily Transactions'!D:D,"Cash")</f>
        <v>0</v>
      </c>
      <c r="J351" s="38" t="n">
        <f aca="false">H351+I351-D351-E351</f>
        <v>1498</v>
      </c>
      <c r="K351" s="38" t="n">
        <f aca="false">J351-1000</f>
        <v>498</v>
      </c>
      <c r="L351" s="38" t="n">
        <f aca="false">SUMIFS('Daily Transactions'!C:C,'Daily Transactions'!A:A,$A351,'Daily Transactions'!B:B,"Cash Shortage",'Daily Transactions'!D:D,"Cash")</f>
        <v>0</v>
      </c>
    </row>
    <row r="352" customFormat="false" ht="15.75" hidden="false" customHeight="true" outlineLevel="0" collapsed="false">
      <c r="A352" s="37" t="n">
        <f aca="false">A351+1</f>
        <v>46006</v>
      </c>
      <c r="B352" s="38" t="n">
        <f aca="false">SUMIFS('Daily Transactions'!C:C,'Daily Transactions'!A:A,$A352,'Daily Transactions'!B:B,"Sales")</f>
        <v>0</v>
      </c>
      <c r="C352" s="38" t="n">
        <f aca="false">SUMIFS('Daily Transactions'!C:C,'Daily Transactions'!A:A,$A352,'Daily Transactions'!B:B,"&lt;&gt;Sales")</f>
        <v>0</v>
      </c>
      <c r="D352" s="38" t="n">
        <f aca="false">SUMIFS('Daily Transactions'!C:C,'Daily Transactions'!A:A,$A352,'Daily Transactions'!B:B,"&lt;&gt;Sales",'Daily Transactions'!D:D,"Cash")</f>
        <v>0</v>
      </c>
      <c r="E352" s="38" t="n">
        <f aca="false">SUMIFS('Daily Transactions'!C:C,'Daily Transactions'!A:A,$A352,'Daily Transactions'!B:B,"&lt;&gt;Sales",'Daily Transactions'!D:D,"Bank_Cash")</f>
        <v>0</v>
      </c>
      <c r="F352" s="38" t="n">
        <f aca="false">SUMIFS('Daily Transactions'!C:C,'Daily Transactions'!A:A,$A352,'Daily Transactions'!B:B,"&lt;&gt;Sales",'Daily Transactions'!D:D,"Bank")</f>
        <v>0</v>
      </c>
      <c r="G352" s="38" t="n">
        <f aca="false">B352-C352</f>
        <v>0</v>
      </c>
      <c r="H352" s="38" t="n">
        <f aca="false">J351</f>
        <v>1498</v>
      </c>
      <c r="I352" s="38" t="n">
        <f aca="false">SUMIFS('Daily Transactions'!C:C,'Daily Transactions'!A:A,$A352,'Daily Transactions'!B:B,"Sales",'Daily Transactions'!D:D,"Cash")</f>
        <v>0</v>
      </c>
      <c r="J352" s="38" t="n">
        <f aca="false">H352+I352-D352-E352</f>
        <v>1498</v>
      </c>
      <c r="K352" s="38" t="n">
        <f aca="false">J352-1000</f>
        <v>498</v>
      </c>
      <c r="L352" s="38" t="n">
        <f aca="false">SUMIFS('Daily Transactions'!C:C,'Daily Transactions'!A:A,$A352,'Daily Transactions'!B:B,"Cash Shortage",'Daily Transactions'!D:D,"Cash")</f>
        <v>0</v>
      </c>
    </row>
    <row r="353" customFormat="false" ht="15.75" hidden="false" customHeight="true" outlineLevel="0" collapsed="false">
      <c r="A353" s="37" t="n">
        <f aca="false">A352+1</f>
        <v>46007</v>
      </c>
      <c r="B353" s="38" t="n">
        <f aca="false">SUMIFS('Daily Transactions'!C:C,'Daily Transactions'!A:A,$A353,'Daily Transactions'!B:B,"Sales")</f>
        <v>0</v>
      </c>
      <c r="C353" s="38" t="n">
        <f aca="false">SUMIFS('Daily Transactions'!C:C,'Daily Transactions'!A:A,$A353,'Daily Transactions'!B:B,"&lt;&gt;Sales")</f>
        <v>0</v>
      </c>
      <c r="D353" s="38" t="n">
        <f aca="false">SUMIFS('Daily Transactions'!C:C,'Daily Transactions'!A:A,$A353,'Daily Transactions'!B:B,"&lt;&gt;Sales",'Daily Transactions'!D:D,"Cash")</f>
        <v>0</v>
      </c>
      <c r="E353" s="38" t="n">
        <f aca="false">SUMIFS('Daily Transactions'!C:C,'Daily Transactions'!A:A,$A353,'Daily Transactions'!B:B,"&lt;&gt;Sales",'Daily Transactions'!D:D,"Bank_Cash")</f>
        <v>0</v>
      </c>
      <c r="F353" s="38" t="n">
        <f aca="false">SUMIFS('Daily Transactions'!C:C,'Daily Transactions'!A:A,$A353,'Daily Transactions'!B:B,"&lt;&gt;Sales",'Daily Transactions'!D:D,"Bank")</f>
        <v>0</v>
      </c>
      <c r="G353" s="38" t="n">
        <f aca="false">B353-C353</f>
        <v>0</v>
      </c>
      <c r="H353" s="38" t="n">
        <f aca="false">J352</f>
        <v>1498</v>
      </c>
      <c r="I353" s="38" t="n">
        <f aca="false">SUMIFS('Daily Transactions'!C:C,'Daily Transactions'!A:A,$A353,'Daily Transactions'!B:B,"Sales",'Daily Transactions'!D:D,"Cash")</f>
        <v>0</v>
      </c>
      <c r="J353" s="38" t="n">
        <f aca="false">H353+I353-D353-E353</f>
        <v>1498</v>
      </c>
      <c r="K353" s="38" t="n">
        <f aca="false">J353-1000</f>
        <v>498</v>
      </c>
      <c r="L353" s="38" t="n">
        <f aca="false">SUMIFS('Daily Transactions'!C:C,'Daily Transactions'!A:A,$A353,'Daily Transactions'!B:B,"Cash Shortage",'Daily Transactions'!D:D,"Cash")</f>
        <v>0</v>
      </c>
    </row>
    <row r="354" customFormat="false" ht="15.75" hidden="false" customHeight="true" outlineLevel="0" collapsed="false">
      <c r="A354" s="37" t="n">
        <f aca="false">A353+1</f>
        <v>46008</v>
      </c>
      <c r="B354" s="38" t="n">
        <f aca="false">SUMIFS('Daily Transactions'!C:C,'Daily Transactions'!A:A,$A354,'Daily Transactions'!B:B,"Sales")</f>
        <v>0</v>
      </c>
      <c r="C354" s="38" t="n">
        <f aca="false">SUMIFS('Daily Transactions'!C:C,'Daily Transactions'!A:A,$A354,'Daily Transactions'!B:B,"&lt;&gt;Sales")</f>
        <v>0</v>
      </c>
      <c r="D354" s="38" t="n">
        <f aca="false">SUMIFS('Daily Transactions'!C:C,'Daily Transactions'!A:A,$A354,'Daily Transactions'!B:B,"&lt;&gt;Sales",'Daily Transactions'!D:D,"Cash")</f>
        <v>0</v>
      </c>
      <c r="E354" s="38" t="n">
        <f aca="false">SUMIFS('Daily Transactions'!C:C,'Daily Transactions'!A:A,$A354,'Daily Transactions'!B:B,"&lt;&gt;Sales",'Daily Transactions'!D:D,"Bank_Cash")</f>
        <v>0</v>
      </c>
      <c r="F354" s="38" t="n">
        <f aca="false">SUMIFS('Daily Transactions'!C:C,'Daily Transactions'!A:A,$A354,'Daily Transactions'!B:B,"&lt;&gt;Sales",'Daily Transactions'!D:D,"Bank")</f>
        <v>0</v>
      </c>
      <c r="G354" s="38" t="n">
        <f aca="false">B354-C354</f>
        <v>0</v>
      </c>
      <c r="H354" s="38" t="n">
        <f aca="false">J353</f>
        <v>1498</v>
      </c>
      <c r="I354" s="38" t="n">
        <f aca="false">SUMIFS('Daily Transactions'!C:C,'Daily Transactions'!A:A,$A354,'Daily Transactions'!B:B,"Sales",'Daily Transactions'!D:D,"Cash")</f>
        <v>0</v>
      </c>
      <c r="J354" s="38" t="n">
        <f aca="false">H354+I354-D354-E354</f>
        <v>1498</v>
      </c>
      <c r="K354" s="38" t="n">
        <f aca="false">J354-1000</f>
        <v>498</v>
      </c>
      <c r="L354" s="38" t="n">
        <f aca="false">SUMIFS('Daily Transactions'!C:C,'Daily Transactions'!A:A,$A354,'Daily Transactions'!B:B,"Cash Shortage",'Daily Transactions'!D:D,"Cash")</f>
        <v>0</v>
      </c>
    </row>
    <row r="355" customFormat="false" ht="15.75" hidden="false" customHeight="true" outlineLevel="0" collapsed="false">
      <c r="A355" s="37" t="n">
        <f aca="false">A354+1</f>
        <v>46009</v>
      </c>
      <c r="B355" s="38" t="n">
        <f aca="false">SUMIFS('Daily Transactions'!C:C,'Daily Transactions'!A:A,$A355,'Daily Transactions'!B:B,"Sales")</f>
        <v>0</v>
      </c>
      <c r="C355" s="38" t="n">
        <f aca="false">SUMIFS('Daily Transactions'!C:C,'Daily Transactions'!A:A,$A355,'Daily Transactions'!B:B,"&lt;&gt;Sales")</f>
        <v>0</v>
      </c>
      <c r="D355" s="38" t="n">
        <f aca="false">SUMIFS('Daily Transactions'!C:C,'Daily Transactions'!A:A,$A355,'Daily Transactions'!B:B,"&lt;&gt;Sales",'Daily Transactions'!D:D,"Cash")</f>
        <v>0</v>
      </c>
      <c r="E355" s="38" t="n">
        <f aca="false">SUMIFS('Daily Transactions'!C:C,'Daily Transactions'!A:A,$A355,'Daily Transactions'!B:B,"&lt;&gt;Sales",'Daily Transactions'!D:D,"Bank_Cash")</f>
        <v>0</v>
      </c>
      <c r="F355" s="38" t="n">
        <f aca="false">SUMIFS('Daily Transactions'!C:C,'Daily Transactions'!A:A,$A355,'Daily Transactions'!B:B,"&lt;&gt;Sales",'Daily Transactions'!D:D,"Bank")</f>
        <v>0</v>
      </c>
      <c r="G355" s="38" t="n">
        <f aca="false">B355-C355</f>
        <v>0</v>
      </c>
      <c r="H355" s="38" t="n">
        <f aca="false">J354</f>
        <v>1498</v>
      </c>
      <c r="I355" s="38" t="n">
        <f aca="false">SUMIFS('Daily Transactions'!C:C,'Daily Transactions'!A:A,$A355,'Daily Transactions'!B:B,"Sales",'Daily Transactions'!D:D,"Cash")</f>
        <v>0</v>
      </c>
      <c r="J355" s="38" t="n">
        <f aca="false">H355+I355-D355-E355</f>
        <v>1498</v>
      </c>
      <c r="K355" s="38" t="n">
        <f aca="false">J355-1000</f>
        <v>498</v>
      </c>
      <c r="L355" s="38" t="n">
        <f aca="false">SUMIFS('Daily Transactions'!C:C,'Daily Transactions'!A:A,$A355,'Daily Transactions'!B:B,"Cash Shortage",'Daily Transactions'!D:D,"Cash")</f>
        <v>0</v>
      </c>
    </row>
    <row r="356" customFormat="false" ht="15.75" hidden="false" customHeight="true" outlineLevel="0" collapsed="false">
      <c r="A356" s="37" t="n">
        <f aca="false">A355+1</f>
        <v>46010</v>
      </c>
      <c r="B356" s="38" t="n">
        <f aca="false">SUMIFS('Daily Transactions'!C:C,'Daily Transactions'!A:A,$A356,'Daily Transactions'!B:B,"Sales")</f>
        <v>0</v>
      </c>
      <c r="C356" s="38" t="n">
        <f aca="false">SUMIFS('Daily Transactions'!C:C,'Daily Transactions'!A:A,$A356,'Daily Transactions'!B:B,"&lt;&gt;Sales")</f>
        <v>0</v>
      </c>
      <c r="D356" s="38" t="n">
        <f aca="false">SUMIFS('Daily Transactions'!C:C,'Daily Transactions'!A:A,$A356,'Daily Transactions'!B:B,"&lt;&gt;Sales",'Daily Transactions'!D:D,"Cash")</f>
        <v>0</v>
      </c>
      <c r="E356" s="38" t="n">
        <f aca="false">SUMIFS('Daily Transactions'!C:C,'Daily Transactions'!A:A,$A356,'Daily Transactions'!B:B,"&lt;&gt;Sales",'Daily Transactions'!D:D,"Bank_Cash")</f>
        <v>0</v>
      </c>
      <c r="F356" s="38" t="n">
        <f aca="false">SUMIFS('Daily Transactions'!C:C,'Daily Transactions'!A:A,$A356,'Daily Transactions'!B:B,"&lt;&gt;Sales",'Daily Transactions'!D:D,"Bank")</f>
        <v>0</v>
      </c>
      <c r="G356" s="38" t="n">
        <f aca="false">B356-C356</f>
        <v>0</v>
      </c>
      <c r="H356" s="38" t="n">
        <f aca="false">J355</f>
        <v>1498</v>
      </c>
      <c r="I356" s="38" t="n">
        <f aca="false">SUMIFS('Daily Transactions'!C:C,'Daily Transactions'!A:A,$A356,'Daily Transactions'!B:B,"Sales",'Daily Transactions'!D:D,"Cash")</f>
        <v>0</v>
      </c>
      <c r="J356" s="38" t="n">
        <f aca="false">H356+I356-D356-E356</f>
        <v>1498</v>
      </c>
      <c r="K356" s="38" t="n">
        <f aca="false">J356-1000</f>
        <v>498</v>
      </c>
      <c r="L356" s="38" t="n">
        <f aca="false">SUMIFS('Daily Transactions'!C:C,'Daily Transactions'!A:A,$A356,'Daily Transactions'!B:B,"Cash Shortage",'Daily Transactions'!D:D,"Cash")</f>
        <v>0</v>
      </c>
    </row>
    <row r="357" customFormat="false" ht="15.75" hidden="false" customHeight="true" outlineLevel="0" collapsed="false">
      <c r="A357" s="37" t="n">
        <f aca="false">A356+1</f>
        <v>46011</v>
      </c>
      <c r="B357" s="38" t="n">
        <f aca="false">SUMIFS('Daily Transactions'!C:C,'Daily Transactions'!A:A,$A357,'Daily Transactions'!B:B,"Sales")</f>
        <v>0</v>
      </c>
      <c r="C357" s="38" t="n">
        <f aca="false">SUMIFS('Daily Transactions'!C:C,'Daily Transactions'!A:A,$A357,'Daily Transactions'!B:B,"&lt;&gt;Sales")</f>
        <v>0</v>
      </c>
      <c r="D357" s="38" t="n">
        <f aca="false">SUMIFS('Daily Transactions'!C:C,'Daily Transactions'!A:A,$A357,'Daily Transactions'!B:B,"&lt;&gt;Sales",'Daily Transactions'!D:D,"Cash")</f>
        <v>0</v>
      </c>
      <c r="E357" s="38" t="n">
        <f aca="false">SUMIFS('Daily Transactions'!C:C,'Daily Transactions'!A:A,$A357,'Daily Transactions'!B:B,"&lt;&gt;Sales",'Daily Transactions'!D:D,"Bank_Cash")</f>
        <v>0</v>
      </c>
      <c r="F357" s="38" t="n">
        <f aca="false">SUMIFS('Daily Transactions'!C:C,'Daily Transactions'!A:A,$A357,'Daily Transactions'!B:B,"&lt;&gt;Sales",'Daily Transactions'!D:D,"Bank")</f>
        <v>0</v>
      </c>
      <c r="G357" s="38" t="n">
        <f aca="false">B357-C357</f>
        <v>0</v>
      </c>
      <c r="H357" s="38" t="n">
        <f aca="false">J356</f>
        <v>1498</v>
      </c>
      <c r="I357" s="38" t="n">
        <f aca="false">SUMIFS('Daily Transactions'!C:C,'Daily Transactions'!A:A,$A357,'Daily Transactions'!B:B,"Sales",'Daily Transactions'!D:D,"Cash")</f>
        <v>0</v>
      </c>
      <c r="J357" s="38" t="n">
        <f aca="false">H357+I357-D357-E357</f>
        <v>1498</v>
      </c>
      <c r="K357" s="38" t="n">
        <f aca="false">J357-1000</f>
        <v>498</v>
      </c>
      <c r="L357" s="38" t="n">
        <f aca="false">SUMIFS('Daily Transactions'!C:C,'Daily Transactions'!A:A,$A357,'Daily Transactions'!B:B,"Cash Shortage",'Daily Transactions'!D:D,"Cash")</f>
        <v>0</v>
      </c>
    </row>
    <row r="358" customFormat="false" ht="15.75" hidden="false" customHeight="true" outlineLevel="0" collapsed="false">
      <c r="A358" s="37" t="n">
        <f aca="false">A357+1</f>
        <v>46012</v>
      </c>
      <c r="B358" s="38" t="n">
        <f aca="false">SUMIFS('Daily Transactions'!C:C,'Daily Transactions'!A:A,$A358,'Daily Transactions'!B:B,"Sales")</f>
        <v>0</v>
      </c>
      <c r="C358" s="38" t="n">
        <f aca="false">SUMIFS('Daily Transactions'!C:C,'Daily Transactions'!A:A,$A358,'Daily Transactions'!B:B,"&lt;&gt;Sales")</f>
        <v>0</v>
      </c>
      <c r="D358" s="38" t="n">
        <f aca="false">SUMIFS('Daily Transactions'!C:C,'Daily Transactions'!A:A,$A358,'Daily Transactions'!B:B,"&lt;&gt;Sales",'Daily Transactions'!D:D,"Cash")</f>
        <v>0</v>
      </c>
      <c r="E358" s="38" t="n">
        <f aca="false">SUMIFS('Daily Transactions'!C:C,'Daily Transactions'!A:A,$A358,'Daily Transactions'!B:B,"&lt;&gt;Sales",'Daily Transactions'!D:D,"Bank_Cash")</f>
        <v>0</v>
      </c>
      <c r="F358" s="38" t="n">
        <f aca="false">SUMIFS('Daily Transactions'!C:C,'Daily Transactions'!A:A,$A358,'Daily Transactions'!B:B,"&lt;&gt;Sales",'Daily Transactions'!D:D,"Bank")</f>
        <v>0</v>
      </c>
      <c r="G358" s="38" t="n">
        <f aca="false">B358-C358</f>
        <v>0</v>
      </c>
      <c r="H358" s="38" t="n">
        <f aca="false">J357</f>
        <v>1498</v>
      </c>
      <c r="I358" s="38" t="n">
        <f aca="false">SUMIFS('Daily Transactions'!C:C,'Daily Transactions'!A:A,$A358,'Daily Transactions'!B:B,"Sales",'Daily Transactions'!D:D,"Cash")</f>
        <v>0</v>
      </c>
      <c r="J358" s="38" t="n">
        <f aca="false">H358+I358-D358-E358</f>
        <v>1498</v>
      </c>
      <c r="K358" s="38" t="n">
        <f aca="false">J358-1000</f>
        <v>498</v>
      </c>
      <c r="L358" s="38" t="n">
        <f aca="false">SUMIFS('Daily Transactions'!C:C,'Daily Transactions'!A:A,$A358,'Daily Transactions'!B:B,"Cash Shortage",'Daily Transactions'!D:D,"Cash")</f>
        <v>0</v>
      </c>
    </row>
    <row r="359" customFormat="false" ht="15.75" hidden="false" customHeight="true" outlineLevel="0" collapsed="false">
      <c r="A359" s="37" t="n">
        <f aca="false">A358+1</f>
        <v>46013</v>
      </c>
      <c r="B359" s="38" t="n">
        <f aca="false">SUMIFS('Daily Transactions'!C:C,'Daily Transactions'!A:A,$A359,'Daily Transactions'!B:B,"Sales")</f>
        <v>0</v>
      </c>
      <c r="C359" s="38" t="n">
        <f aca="false">SUMIFS('Daily Transactions'!C:C,'Daily Transactions'!A:A,$A359,'Daily Transactions'!B:B,"&lt;&gt;Sales")</f>
        <v>0</v>
      </c>
      <c r="D359" s="38" t="n">
        <f aca="false">SUMIFS('Daily Transactions'!C:C,'Daily Transactions'!A:A,$A359,'Daily Transactions'!B:B,"&lt;&gt;Sales",'Daily Transactions'!D:D,"Cash")</f>
        <v>0</v>
      </c>
      <c r="E359" s="38" t="n">
        <f aca="false">SUMIFS('Daily Transactions'!C:C,'Daily Transactions'!A:A,$A359,'Daily Transactions'!B:B,"&lt;&gt;Sales",'Daily Transactions'!D:D,"Bank_Cash")</f>
        <v>0</v>
      </c>
      <c r="F359" s="38" t="n">
        <f aca="false">SUMIFS('Daily Transactions'!C:C,'Daily Transactions'!A:A,$A359,'Daily Transactions'!B:B,"&lt;&gt;Sales",'Daily Transactions'!D:D,"Bank")</f>
        <v>0</v>
      </c>
      <c r="G359" s="38" t="n">
        <f aca="false">B359-C359</f>
        <v>0</v>
      </c>
      <c r="H359" s="38" t="n">
        <f aca="false">J358</f>
        <v>1498</v>
      </c>
      <c r="I359" s="38" t="n">
        <f aca="false">SUMIFS('Daily Transactions'!C:C,'Daily Transactions'!A:A,$A359,'Daily Transactions'!B:B,"Sales",'Daily Transactions'!D:D,"Cash")</f>
        <v>0</v>
      </c>
      <c r="J359" s="38" t="n">
        <f aca="false">H359+I359-D359-E359</f>
        <v>1498</v>
      </c>
      <c r="K359" s="38" t="n">
        <f aca="false">J359-1000</f>
        <v>498</v>
      </c>
      <c r="L359" s="38" t="n">
        <f aca="false">SUMIFS('Daily Transactions'!C:C,'Daily Transactions'!A:A,$A359,'Daily Transactions'!B:B,"Cash Shortage",'Daily Transactions'!D:D,"Cash")</f>
        <v>0</v>
      </c>
    </row>
    <row r="360" customFormat="false" ht="15.75" hidden="false" customHeight="true" outlineLevel="0" collapsed="false">
      <c r="A360" s="37" t="n">
        <f aca="false">A359+1</f>
        <v>46014</v>
      </c>
      <c r="B360" s="38" t="n">
        <f aca="false">SUMIFS('Daily Transactions'!C:C,'Daily Transactions'!A:A,$A360,'Daily Transactions'!B:B,"Sales")</f>
        <v>0</v>
      </c>
      <c r="C360" s="38" t="n">
        <f aca="false">SUMIFS('Daily Transactions'!C:C,'Daily Transactions'!A:A,$A360,'Daily Transactions'!B:B,"&lt;&gt;Sales")</f>
        <v>0</v>
      </c>
      <c r="D360" s="38" t="n">
        <f aca="false">SUMIFS('Daily Transactions'!C:C,'Daily Transactions'!A:A,$A360,'Daily Transactions'!B:B,"&lt;&gt;Sales",'Daily Transactions'!D:D,"Cash")</f>
        <v>0</v>
      </c>
      <c r="E360" s="38" t="n">
        <f aca="false">SUMIFS('Daily Transactions'!C:C,'Daily Transactions'!A:A,$A360,'Daily Transactions'!B:B,"&lt;&gt;Sales",'Daily Transactions'!D:D,"Bank_Cash")</f>
        <v>0</v>
      </c>
      <c r="F360" s="38" t="n">
        <f aca="false">SUMIFS('Daily Transactions'!C:C,'Daily Transactions'!A:A,$A360,'Daily Transactions'!B:B,"&lt;&gt;Sales",'Daily Transactions'!D:D,"Bank")</f>
        <v>0</v>
      </c>
      <c r="G360" s="38" t="n">
        <f aca="false">B360-C360</f>
        <v>0</v>
      </c>
      <c r="H360" s="38" t="n">
        <f aca="false">J359</f>
        <v>1498</v>
      </c>
      <c r="I360" s="38" t="n">
        <f aca="false">SUMIFS('Daily Transactions'!C:C,'Daily Transactions'!A:A,$A360,'Daily Transactions'!B:B,"Sales",'Daily Transactions'!D:D,"Cash")</f>
        <v>0</v>
      </c>
      <c r="J360" s="38" t="n">
        <f aca="false">H360+I360-D360-E360</f>
        <v>1498</v>
      </c>
      <c r="K360" s="38" t="n">
        <f aca="false">J360-1000</f>
        <v>498</v>
      </c>
      <c r="L360" s="38" t="n">
        <f aca="false">SUMIFS('Daily Transactions'!C:C,'Daily Transactions'!A:A,$A360,'Daily Transactions'!B:B,"Cash Shortage",'Daily Transactions'!D:D,"Cash")</f>
        <v>0</v>
      </c>
    </row>
    <row r="361" customFormat="false" ht="15.75" hidden="false" customHeight="true" outlineLevel="0" collapsed="false">
      <c r="A361" s="37" t="n">
        <f aca="false">A360+1</f>
        <v>46015</v>
      </c>
      <c r="B361" s="38" t="n">
        <f aca="false">SUMIFS('Daily Transactions'!C:C,'Daily Transactions'!A:A,$A361,'Daily Transactions'!B:B,"Sales")</f>
        <v>0</v>
      </c>
      <c r="C361" s="38" t="n">
        <f aca="false">SUMIFS('Daily Transactions'!C:C,'Daily Transactions'!A:A,$A361,'Daily Transactions'!B:B,"&lt;&gt;Sales")</f>
        <v>0</v>
      </c>
      <c r="D361" s="38" t="n">
        <f aca="false">SUMIFS('Daily Transactions'!C:C,'Daily Transactions'!A:A,$A361,'Daily Transactions'!B:B,"&lt;&gt;Sales",'Daily Transactions'!D:D,"Cash")</f>
        <v>0</v>
      </c>
      <c r="E361" s="38" t="n">
        <f aca="false">SUMIFS('Daily Transactions'!C:C,'Daily Transactions'!A:A,$A361,'Daily Transactions'!B:B,"&lt;&gt;Sales",'Daily Transactions'!D:D,"Bank_Cash")</f>
        <v>0</v>
      </c>
      <c r="F361" s="38" t="n">
        <f aca="false">SUMIFS('Daily Transactions'!C:C,'Daily Transactions'!A:A,$A361,'Daily Transactions'!B:B,"&lt;&gt;Sales",'Daily Transactions'!D:D,"Bank")</f>
        <v>0</v>
      </c>
      <c r="G361" s="38" t="n">
        <f aca="false">B361-C361</f>
        <v>0</v>
      </c>
      <c r="H361" s="38" t="n">
        <f aca="false">J360</f>
        <v>1498</v>
      </c>
      <c r="I361" s="38" t="n">
        <f aca="false">SUMIFS('Daily Transactions'!C:C,'Daily Transactions'!A:A,$A361,'Daily Transactions'!B:B,"Sales",'Daily Transactions'!D:D,"Cash")</f>
        <v>0</v>
      </c>
      <c r="J361" s="38" t="n">
        <f aca="false">H361+I361-D361-E361</f>
        <v>1498</v>
      </c>
      <c r="K361" s="38" t="n">
        <f aca="false">J361-1000</f>
        <v>498</v>
      </c>
      <c r="L361" s="38" t="n">
        <f aca="false">SUMIFS('Daily Transactions'!C:C,'Daily Transactions'!A:A,$A361,'Daily Transactions'!B:B,"Cash Shortage",'Daily Transactions'!D:D,"Cash")</f>
        <v>0</v>
      </c>
    </row>
    <row r="362" customFormat="false" ht="15.75" hidden="false" customHeight="true" outlineLevel="0" collapsed="false">
      <c r="A362" s="37" t="n">
        <f aca="false">A361+1</f>
        <v>46016</v>
      </c>
      <c r="B362" s="38" t="n">
        <f aca="false">SUMIFS('Daily Transactions'!C:C,'Daily Transactions'!A:A,$A362,'Daily Transactions'!B:B,"Sales")</f>
        <v>0</v>
      </c>
      <c r="C362" s="38" t="n">
        <f aca="false">SUMIFS('Daily Transactions'!C:C,'Daily Transactions'!A:A,$A362,'Daily Transactions'!B:B,"&lt;&gt;Sales")</f>
        <v>0</v>
      </c>
      <c r="D362" s="38" t="n">
        <f aca="false">SUMIFS('Daily Transactions'!C:C,'Daily Transactions'!A:A,$A362,'Daily Transactions'!B:B,"&lt;&gt;Sales",'Daily Transactions'!D:D,"Cash")</f>
        <v>0</v>
      </c>
      <c r="E362" s="38" t="n">
        <f aca="false">SUMIFS('Daily Transactions'!C:C,'Daily Transactions'!A:A,$A362,'Daily Transactions'!B:B,"&lt;&gt;Sales",'Daily Transactions'!D:D,"Bank_Cash")</f>
        <v>0</v>
      </c>
      <c r="F362" s="38" t="n">
        <f aca="false">SUMIFS('Daily Transactions'!C:C,'Daily Transactions'!A:A,$A362,'Daily Transactions'!B:B,"&lt;&gt;Sales",'Daily Transactions'!D:D,"Bank")</f>
        <v>0</v>
      </c>
      <c r="G362" s="38" t="n">
        <f aca="false">B362-C362</f>
        <v>0</v>
      </c>
      <c r="H362" s="38" t="n">
        <f aca="false">J361</f>
        <v>1498</v>
      </c>
      <c r="I362" s="38" t="n">
        <f aca="false">SUMIFS('Daily Transactions'!C:C,'Daily Transactions'!A:A,$A362,'Daily Transactions'!B:B,"Sales",'Daily Transactions'!D:D,"Cash")</f>
        <v>0</v>
      </c>
      <c r="J362" s="38" t="n">
        <f aca="false">H362+I362-D362-E362</f>
        <v>1498</v>
      </c>
      <c r="K362" s="38" t="n">
        <f aca="false">J362-1000</f>
        <v>498</v>
      </c>
      <c r="L362" s="38" t="n">
        <f aca="false">SUMIFS('Daily Transactions'!C:C,'Daily Transactions'!A:A,$A362,'Daily Transactions'!B:B,"Cash Shortage",'Daily Transactions'!D:D,"Cash")</f>
        <v>0</v>
      </c>
    </row>
    <row r="363" customFormat="false" ht="15.75" hidden="false" customHeight="true" outlineLevel="0" collapsed="false">
      <c r="A363" s="37" t="n">
        <f aca="false">A362+1</f>
        <v>46017</v>
      </c>
      <c r="B363" s="38" t="n">
        <f aca="false">SUMIFS('Daily Transactions'!C:C,'Daily Transactions'!A:A,$A363,'Daily Transactions'!B:B,"Sales")</f>
        <v>0</v>
      </c>
      <c r="C363" s="38" t="n">
        <f aca="false">SUMIFS('Daily Transactions'!C:C,'Daily Transactions'!A:A,$A363,'Daily Transactions'!B:B,"&lt;&gt;Sales")</f>
        <v>0</v>
      </c>
      <c r="D363" s="38" t="n">
        <f aca="false">SUMIFS('Daily Transactions'!C:C,'Daily Transactions'!A:A,$A363,'Daily Transactions'!B:B,"&lt;&gt;Sales",'Daily Transactions'!D:D,"Cash")</f>
        <v>0</v>
      </c>
      <c r="E363" s="38" t="n">
        <f aca="false">SUMIFS('Daily Transactions'!C:C,'Daily Transactions'!A:A,$A363,'Daily Transactions'!B:B,"&lt;&gt;Sales",'Daily Transactions'!D:D,"Bank_Cash")</f>
        <v>0</v>
      </c>
      <c r="F363" s="38" t="n">
        <f aca="false">SUMIFS('Daily Transactions'!C:C,'Daily Transactions'!A:A,$A363,'Daily Transactions'!B:B,"&lt;&gt;Sales",'Daily Transactions'!D:D,"Bank")</f>
        <v>0</v>
      </c>
      <c r="G363" s="38" t="n">
        <f aca="false">B363-C363</f>
        <v>0</v>
      </c>
      <c r="H363" s="38" t="n">
        <f aca="false">J362</f>
        <v>1498</v>
      </c>
      <c r="I363" s="38" t="n">
        <f aca="false">SUMIFS('Daily Transactions'!C:C,'Daily Transactions'!A:A,$A363,'Daily Transactions'!B:B,"Sales",'Daily Transactions'!D:D,"Cash")</f>
        <v>0</v>
      </c>
      <c r="J363" s="38" t="n">
        <f aca="false">H363+I363-D363-E363</f>
        <v>1498</v>
      </c>
      <c r="K363" s="38" t="n">
        <f aca="false">J363-1000</f>
        <v>498</v>
      </c>
      <c r="L363" s="38" t="n">
        <f aca="false">SUMIFS('Daily Transactions'!C:C,'Daily Transactions'!A:A,$A363,'Daily Transactions'!B:B,"Cash Shortage",'Daily Transactions'!D:D,"Cash")</f>
        <v>0</v>
      </c>
    </row>
    <row r="364" customFormat="false" ht="15.75" hidden="false" customHeight="true" outlineLevel="0" collapsed="false">
      <c r="A364" s="37" t="n">
        <f aca="false">A363+1</f>
        <v>46018</v>
      </c>
      <c r="B364" s="38" t="n">
        <f aca="false">SUMIFS('Daily Transactions'!C:C,'Daily Transactions'!A:A,$A364,'Daily Transactions'!B:B,"Sales")</f>
        <v>0</v>
      </c>
      <c r="C364" s="38" t="n">
        <f aca="false">SUMIFS('Daily Transactions'!C:C,'Daily Transactions'!A:A,$A364,'Daily Transactions'!B:B,"&lt;&gt;Sales")</f>
        <v>0</v>
      </c>
      <c r="D364" s="38" t="n">
        <f aca="false">SUMIFS('Daily Transactions'!C:C,'Daily Transactions'!A:A,$A364,'Daily Transactions'!B:B,"&lt;&gt;Sales",'Daily Transactions'!D:D,"Cash")</f>
        <v>0</v>
      </c>
      <c r="E364" s="38" t="n">
        <f aca="false">SUMIFS('Daily Transactions'!C:C,'Daily Transactions'!A:A,$A364,'Daily Transactions'!B:B,"&lt;&gt;Sales",'Daily Transactions'!D:D,"Bank_Cash")</f>
        <v>0</v>
      </c>
      <c r="F364" s="38" t="n">
        <f aca="false">SUMIFS('Daily Transactions'!C:C,'Daily Transactions'!A:A,$A364,'Daily Transactions'!B:B,"&lt;&gt;Sales",'Daily Transactions'!D:D,"Bank")</f>
        <v>0</v>
      </c>
      <c r="G364" s="38" t="n">
        <f aca="false">B364-C364</f>
        <v>0</v>
      </c>
      <c r="H364" s="38" t="n">
        <f aca="false">J363</f>
        <v>1498</v>
      </c>
      <c r="I364" s="38" t="n">
        <f aca="false">SUMIFS('Daily Transactions'!C:C,'Daily Transactions'!A:A,$A364,'Daily Transactions'!B:B,"Sales",'Daily Transactions'!D:D,"Cash")</f>
        <v>0</v>
      </c>
      <c r="J364" s="38" t="n">
        <f aca="false">H364+I364-D364-E364</f>
        <v>1498</v>
      </c>
      <c r="K364" s="38" t="n">
        <f aca="false">J364-1000</f>
        <v>498</v>
      </c>
      <c r="L364" s="38" t="n">
        <f aca="false">SUMIFS('Daily Transactions'!C:C,'Daily Transactions'!A:A,$A364,'Daily Transactions'!B:B,"Cash Shortage",'Daily Transactions'!D:D,"Cash")</f>
        <v>0</v>
      </c>
    </row>
    <row r="365" customFormat="false" ht="15.75" hidden="false" customHeight="true" outlineLevel="0" collapsed="false">
      <c r="A365" s="37" t="n">
        <f aca="false">A364+1</f>
        <v>46019</v>
      </c>
      <c r="B365" s="38" t="n">
        <f aca="false">SUMIFS('Daily Transactions'!C:C,'Daily Transactions'!A:A,$A365,'Daily Transactions'!B:B,"Sales")</f>
        <v>0</v>
      </c>
      <c r="C365" s="38" t="n">
        <f aca="false">SUMIFS('Daily Transactions'!C:C,'Daily Transactions'!A:A,$A365,'Daily Transactions'!B:B,"&lt;&gt;Sales")</f>
        <v>0</v>
      </c>
      <c r="D365" s="38" t="n">
        <f aca="false">SUMIFS('Daily Transactions'!C:C,'Daily Transactions'!A:A,$A365,'Daily Transactions'!B:B,"&lt;&gt;Sales",'Daily Transactions'!D:D,"Cash")</f>
        <v>0</v>
      </c>
      <c r="E365" s="38" t="n">
        <f aca="false">SUMIFS('Daily Transactions'!C:C,'Daily Transactions'!A:A,$A365,'Daily Transactions'!B:B,"&lt;&gt;Sales",'Daily Transactions'!D:D,"Bank_Cash")</f>
        <v>0</v>
      </c>
      <c r="F365" s="38" t="n">
        <f aca="false">SUMIFS('Daily Transactions'!C:C,'Daily Transactions'!A:A,$A365,'Daily Transactions'!B:B,"&lt;&gt;Sales",'Daily Transactions'!D:D,"Bank")</f>
        <v>0</v>
      </c>
      <c r="G365" s="38" t="n">
        <f aca="false">B365-C365</f>
        <v>0</v>
      </c>
      <c r="H365" s="38" t="n">
        <f aca="false">J364</f>
        <v>1498</v>
      </c>
      <c r="I365" s="38" t="n">
        <f aca="false">SUMIFS('Daily Transactions'!C:C,'Daily Transactions'!A:A,$A365,'Daily Transactions'!B:B,"Sales",'Daily Transactions'!D:D,"Cash")</f>
        <v>0</v>
      </c>
      <c r="J365" s="38" t="n">
        <f aca="false">H365+I365-D365-E365</f>
        <v>1498</v>
      </c>
      <c r="K365" s="38" t="n">
        <f aca="false">J365-1000</f>
        <v>498</v>
      </c>
      <c r="L365" s="38" t="n">
        <f aca="false">SUMIFS('Daily Transactions'!C:C,'Daily Transactions'!A:A,$A365,'Daily Transactions'!B:B,"Cash Shortage",'Daily Transactions'!D:D,"Cash")</f>
        <v>0</v>
      </c>
    </row>
    <row r="366" customFormat="false" ht="15.75" hidden="false" customHeight="true" outlineLevel="0" collapsed="false">
      <c r="A366" s="37" t="n">
        <f aca="false">A365+1</f>
        <v>46020</v>
      </c>
      <c r="B366" s="38" t="n">
        <f aca="false">SUMIFS('Daily Transactions'!C:C,'Daily Transactions'!A:A,$A366,'Daily Transactions'!B:B,"Sales")</f>
        <v>0</v>
      </c>
      <c r="C366" s="38" t="n">
        <f aca="false">SUMIFS('Daily Transactions'!C:C,'Daily Transactions'!A:A,$A366,'Daily Transactions'!B:B,"&lt;&gt;Sales")</f>
        <v>0</v>
      </c>
      <c r="D366" s="38" t="n">
        <f aca="false">SUMIFS('Daily Transactions'!C:C,'Daily Transactions'!A:A,$A366,'Daily Transactions'!B:B,"&lt;&gt;Sales",'Daily Transactions'!D:D,"Cash")</f>
        <v>0</v>
      </c>
      <c r="E366" s="38" t="n">
        <f aca="false">SUMIFS('Daily Transactions'!C:C,'Daily Transactions'!A:A,$A366,'Daily Transactions'!B:B,"&lt;&gt;Sales",'Daily Transactions'!D:D,"Bank_Cash")</f>
        <v>0</v>
      </c>
      <c r="F366" s="38" t="n">
        <f aca="false">SUMIFS('Daily Transactions'!C:C,'Daily Transactions'!A:A,$A366,'Daily Transactions'!B:B,"&lt;&gt;Sales",'Daily Transactions'!D:D,"Bank")</f>
        <v>0</v>
      </c>
      <c r="G366" s="38" t="n">
        <f aca="false">B366-C366</f>
        <v>0</v>
      </c>
      <c r="H366" s="38" t="n">
        <f aca="false">J365</f>
        <v>1498</v>
      </c>
      <c r="I366" s="38" t="n">
        <f aca="false">SUMIFS('Daily Transactions'!C:C,'Daily Transactions'!A:A,$A366,'Daily Transactions'!B:B,"Sales",'Daily Transactions'!D:D,"Cash")</f>
        <v>0</v>
      </c>
      <c r="J366" s="38" t="n">
        <f aca="false">H366+I366-D366-E366</f>
        <v>1498</v>
      </c>
      <c r="K366" s="38" t="n">
        <f aca="false">J366-1000</f>
        <v>498</v>
      </c>
      <c r="L366" s="38" t="n">
        <f aca="false">SUMIFS('Daily Transactions'!C:C,'Daily Transactions'!A:A,$A366,'Daily Transactions'!B:B,"Cash Shortage",'Daily Transactions'!D:D,"Cash")</f>
        <v>0</v>
      </c>
    </row>
    <row r="367" customFormat="false" ht="15.75" hidden="false" customHeight="true" outlineLevel="0" collapsed="false">
      <c r="A367" s="37" t="n">
        <f aca="false">A366+1</f>
        <v>46021</v>
      </c>
      <c r="B367" s="38" t="n">
        <f aca="false">SUMIFS('Daily Transactions'!C:C,'Daily Transactions'!A:A,$A367,'Daily Transactions'!B:B,"Sales")</f>
        <v>0</v>
      </c>
      <c r="C367" s="38" t="n">
        <f aca="false">SUMIFS('Daily Transactions'!C:C,'Daily Transactions'!A:A,$A367,'Daily Transactions'!B:B,"&lt;&gt;Sales")</f>
        <v>0</v>
      </c>
      <c r="D367" s="38" t="n">
        <f aca="false">SUMIFS('Daily Transactions'!C:C,'Daily Transactions'!A:A,$A367,'Daily Transactions'!B:B,"&lt;&gt;Sales",'Daily Transactions'!D:D,"Cash")</f>
        <v>0</v>
      </c>
      <c r="E367" s="38" t="n">
        <f aca="false">SUMIFS('Daily Transactions'!C:C,'Daily Transactions'!A:A,$A367,'Daily Transactions'!B:B,"&lt;&gt;Sales",'Daily Transactions'!D:D,"Bank_Cash")</f>
        <v>0</v>
      </c>
      <c r="F367" s="38" t="n">
        <f aca="false">SUMIFS('Daily Transactions'!C:C,'Daily Transactions'!A:A,$A367,'Daily Transactions'!B:B,"&lt;&gt;Sales",'Daily Transactions'!D:D,"Bank")</f>
        <v>0</v>
      </c>
      <c r="G367" s="38" t="n">
        <f aca="false">B367-C367</f>
        <v>0</v>
      </c>
      <c r="H367" s="38" t="n">
        <f aca="false">J366</f>
        <v>1498</v>
      </c>
      <c r="I367" s="38" t="n">
        <f aca="false">SUMIFS('Daily Transactions'!C:C,'Daily Transactions'!A:A,$A367,'Daily Transactions'!B:B,"Sales",'Daily Transactions'!D:D,"Cash")</f>
        <v>0</v>
      </c>
      <c r="J367" s="38" t="n">
        <f aca="false">H367+I367-D367-E367</f>
        <v>1498</v>
      </c>
      <c r="K367" s="38" t="n">
        <f aca="false">J367-1000</f>
        <v>498</v>
      </c>
      <c r="L367" s="38" t="n">
        <f aca="false">SUMIFS('Daily Transactions'!C:C,'Daily Transactions'!A:A,$A367,'Daily Transactions'!B:B,"Cash Shortage",'Daily Transactions'!D:D,"Cash")</f>
        <v>0</v>
      </c>
    </row>
    <row r="368" customFormat="false" ht="15.75" hidden="false" customHeight="true" outlineLevel="0" collapsed="false">
      <c r="A368" s="37" t="n">
        <f aca="false">A367+1</f>
        <v>46022</v>
      </c>
      <c r="B368" s="38" t="n">
        <f aca="false">SUMIFS('Daily Transactions'!C:C,'Daily Transactions'!A:A,$A368,'Daily Transactions'!B:B,"Sales")</f>
        <v>0</v>
      </c>
      <c r="C368" s="38" t="n">
        <f aca="false">SUMIFS('Daily Transactions'!C:C,'Daily Transactions'!A:A,$A368,'Daily Transactions'!B:B,"&lt;&gt;Sales")</f>
        <v>0</v>
      </c>
      <c r="D368" s="38" t="n">
        <f aca="false">SUMIFS('Daily Transactions'!C:C,'Daily Transactions'!A:A,$A368,'Daily Transactions'!B:B,"&lt;&gt;Sales",'Daily Transactions'!D:D,"Cash")</f>
        <v>0</v>
      </c>
      <c r="E368" s="38" t="n">
        <f aca="false">SUMIFS('Daily Transactions'!C:C,'Daily Transactions'!A:A,$A368,'Daily Transactions'!B:B,"&lt;&gt;Sales",'Daily Transactions'!D:D,"Bank_Cash")</f>
        <v>0</v>
      </c>
      <c r="F368" s="38" t="n">
        <f aca="false">SUMIFS('Daily Transactions'!C:C,'Daily Transactions'!A:A,$A368,'Daily Transactions'!B:B,"&lt;&gt;Sales",'Daily Transactions'!D:D,"Bank")</f>
        <v>0</v>
      </c>
      <c r="G368" s="38" t="n">
        <f aca="false">B368-C368</f>
        <v>0</v>
      </c>
      <c r="H368" s="38" t="n">
        <f aca="false">J367</f>
        <v>1498</v>
      </c>
      <c r="I368" s="38" t="n">
        <f aca="false">SUMIFS('Daily Transactions'!C:C,'Daily Transactions'!A:A,$A368,'Daily Transactions'!B:B,"Sales",'Daily Transactions'!D:D,"Cash")</f>
        <v>0</v>
      </c>
      <c r="J368" s="38" t="n">
        <f aca="false">H368+I368-D368-E368</f>
        <v>1498</v>
      </c>
      <c r="K368" s="38" t="n">
        <f aca="false">J368-1000</f>
        <v>498</v>
      </c>
      <c r="L368" s="38" t="n">
        <f aca="false">SUMIFS('Daily Transactions'!C:C,'Daily Transactions'!A:A,$A368,'Daily Transactions'!B:B,"Cash Shortage",'Daily Transactions'!D:D,"Cash")</f>
        <v>0</v>
      </c>
    </row>
    <row r="369" customFormat="false" ht="15.75" hidden="false" customHeight="true" outlineLevel="0" collapsed="false">
      <c r="A369" s="37" t="n">
        <f aca="false">A368+1</f>
        <v>46023</v>
      </c>
      <c r="B369" s="38" t="n">
        <f aca="false">SUMIFS('Daily Transactions'!C:C,'Daily Transactions'!A:A,$A369,'Daily Transactions'!B:B,"Sales")</f>
        <v>0</v>
      </c>
      <c r="C369" s="38" t="n">
        <f aca="false">SUMIFS('Daily Transactions'!C:C,'Daily Transactions'!A:A,$A369,'Daily Transactions'!B:B,"&lt;&gt;Sales")</f>
        <v>0</v>
      </c>
      <c r="D369" s="38" t="n">
        <f aca="false">SUMIFS('Daily Transactions'!C:C,'Daily Transactions'!A:A,$A369,'Daily Transactions'!B:B,"&lt;&gt;Sales",'Daily Transactions'!D:D,"Cash")</f>
        <v>0</v>
      </c>
      <c r="E369" s="38" t="n">
        <f aca="false">SUMIFS('Daily Transactions'!C:C,'Daily Transactions'!A:A,$A369,'Daily Transactions'!B:B,"&lt;&gt;Sales",'Daily Transactions'!D:D,"Bank_Cash")</f>
        <v>0</v>
      </c>
      <c r="F369" s="38" t="n">
        <f aca="false">SUMIFS('Daily Transactions'!C:C,'Daily Transactions'!A:A,$A369,'Daily Transactions'!B:B,"&lt;&gt;Sales",'Daily Transactions'!D:D,"Bank")</f>
        <v>0</v>
      </c>
      <c r="G369" s="38" t="n">
        <f aca="false">B369-C369</f>
        <v>0</v>
      </c>
      <c r="H369" s="38" t="n">
        <f aca="false">J368</f>
        <v>1498</v>
      </c>
      <c r="I369" s="38" t="n">
        <f aca="false">SUMIFS('Daily Transactions'!C:C,'Daily Transactions'!A:A,$A369,'Daily Transactions'!B:B,"Sales",'Daily Transactions'!D:D,"Cash")</f>
        <v>0</v>
      </c>
      <c r="J369" s="38" t="n">
        <f aca="false">H369+I369-D369-E369</f>
        <v>1498</v>
      </c>
      <c r="K369" s="38" t="n">
        <f aca="false">J369-1000</f>
        <v>498</v>
      </c>
      <c r="L369" s="38" t="n">
        <f aca="false">SUMIFS('Daily Transactions'!C:C,'Daily Transactions'!A:A,$A369,'Daily Transactions'!B:B,"Cash Shortage",'Daily Transactions'!D:D,"Cash")</f>
        <v>0</v>
      </c>
    </row>
    <row r="370" customFormat="false" ht="15.75" hidden="false" customHeight="true" outlineLevel="0" collapsed="false">
      <c r="A370" s="37" t="n">
        <f aca="false">A369+1</f>
        <v>46024</v>
      </c>
      <c r="B370" s="38" t="n">
        <f aca="false">SUMIFS('Daily Transactions'!C:C,'Daily Transactions'!A:A,$A370,'Daily Transactions'!B:B,"Sales")</f>
        <v>0</v>
      </c>
      <c r="C370" s="38" t="n">
        <f aca="false">SUMIFS('Daily Transactions'!C:C,'Daily Transactions'!A:A,$A370,'Daily Transactions'!B:B,"&lt;&gt;Sales")</f>
        <v>0</v>
      </c>
      <c r="D370" s="38" t="n">
        <f aca="false">SUMIFS('Daily Transactions'!C:C,'Daily Transactions'!A:A,$A370,'Daily Transactions'!B:B,"&lt;&gt;Sales",'Daily Transactions'!D:D,"Cash")</f>
        <v>0</v>
      </c>
      <c r="E370" s="38" t="n">
        <f aca="false">SUMIFS('Daily Transactions'!C:C,'Daily Transactions'!A:A,$A370,'Daily Transactions'!B:B,"&lt;&gt;Sales",'Daily Transactions'!D:D,"Bank_Cash")</f>
        <v>0</v>
      </c>
      <c r="F370" s="38" t="n">
        <f aca="false">SUMIFS('Daily Transactions'!C:C,'Daily Transactions'!A:A,$A370,'Daily Transactions'!B:B,"&lt;&gt;Sales",'Daily Transactions'!D:D,"Bank")</f>
        <v>0</v>
      </c>
      <c r="G370" s="38" t="n">
        <f aca="false">B370-C370</f>
        <v>0</v>
      </c>
      <c r="H370" s="38" t="n">
        <f aca="false">J369</f>
        <v>1498</v>
      </c>
      <c r="I370" s="38" t="n">
        <f aca="false">SUMIFS('Daily Transactions'!C:C,'Daily Transactions'!A:A,$A370,'Daily Transactions'!B:B,"Sales",'Daily Transactions'!D:D,"Cash")</f>
        <v>0</v>
      </c>
      <c r="J370" s="38" t="n">
        <f aca="false">H370+I370-D370-E370</f>
        <v>1498</v>
      </c>
      <c r="K370" s="38" t="n">
        <f aca="false">J370-1000</f>
        <v>498</v>
      </c>
      <c r="L370" s="38" t="n">
        <f aca="false">SUMIFS('Daily Transactions'!C:C,'Daily Transactions'!A:A,$A370,'Daily Transactions'!B:B,"Cash Shortage",'Daily Transactions'!D:D,"Cash")</f>
        <v>0</v>
      </c>
    </row>
    <row r="371" customFormat="false" ht="15.75" hidden="false" customHeight="true" outlineLevel="0" collapsed="false">
      <c r="A371" s="37" t="n">
        <f aca="false">A370+1</f>
        <v>46025</v>
      </c>
      <c r="B371" s="38" t="n">
        <f aca="false">SUMIFS('Daily Transactions'!C:C,'Daily Transactions'!A:A,$A371,'Daily Transactions'!B:B,"Sales")</f>
        <v>0</v>
      </c>
      <c r="C371" s="38" t="n">
        <f aca="false">SUMIFS('Daily Transactions'!C:C,'Daily Transactions'!A:A,$A371,'Daily Transactions'!B:B,"&lt;&gt;Sales")</f>
        <v>0</v>
      </c>
      <c r="D371" s="38" t="n">
        <f aca="false">SUMIFS('Daily Transactions'!C:C,'Daily Transactions'!A:A,$A371,'Daily Transactions'!B:B,"&lt;&gt;Sales",'Daily Transactions'!D:D,"Cash")</f>
        <v>0</v>
      </c>
      <c r="E371" s="38" t="n">
        <f aca="false">SUMIFS('Daily Transactions'!C:C,'Daily Transactions'!A:A,$A371,'Daily Transactions'!B:B,"&lt;&gt;Sales",'Daily Transactions'!D:D,"Bank_Cash")</f>
        <v>0</v>
      </c>
      <c r="F371" s="38" t="n">
        <f aca="false">SUMIFS('Daily Transactions'!C:C,'Daily Transactions'!A:A,$A371,'Daily Transactions'!B:B,"&lt;&gt;Sales",'Daily Transactions'!D:D,"Bank")</f>
        <v>0</v>
      </c>
      <c r="G371" s="38" t="n">
        <f aca="false">B371-C371</f>
        <v>0</v>
      </c>
      <c r="H371" s="38" t="n">
        <f aca="false">J370</f>
        <v>1498</v>
      </c>
      <c r="I371" s="38" t="n">
        <f aca="false">SUMIFS('Daily Transactions'!C:C,'Daily Transactions'!A:A,$A371,'Daily Transactions'!B:B,"Sales",'Daily Transactions'!D:D,"Cash")</f>
        <v>0</v>
      </c>
      <c r="J371" s="38" t="n">
        <f aca="false">H371+I371-D371-E371</f>
        <v>1498</v>
      </c>
      <c r="K371" s="38" t="n">
        <f aca="false">J371-1000</f>
        <v>498</v>
      </c>
      <c r="L371" s="38" t="n">
        <f aca="false">SUMIFS('Daily Transactions'!C:C,'Daily Transactions'!A:A,$A371,'Daily Transactions'!B:B,"Cash Shortage",'Daily Transactions'!D:D,"Cash")</f>
        <v>0</v>
      </c>
    </row>
    <row r="372" customFormat="false" ht="15.75" hidden="false" customHeight="true" outlineLevel="0" collapsed="false">
      <c r="A372" s="37" t="n">
        <f aca="false">A371+1</f>
        <v>46026</v>
      </c>
      <c r="B372" s="38" t="n">
        <f aca="false">SUMIFS('Daily Transactions'!C:C,'Daily Transactions'!A:A,$A372,'Daily Transactions'!B:B,"Sales")</f>
        <v>0</v>
      </c>
      <c r="C372" s="38" t="n">
        <f aca="false">SUMIFS('Daily Transactions'!C:C,'Daily Transactions'!A:A,$A372,'Daily Transactions'!B:B,"&lt;&gt;Sales")</f>
        <v>0</v>
      </c>
      <c r="D372" s="38" t="n">
        <f aca="false">SUMIFS('Daily Transactions'!C:C,'Daily Transactions'!A:A,$A372,'Daily Transactions'!B:B,"&lt;&gt;Sales",'Daily Transactions'!D:D,"Cash")</f>
        <v>0</v>
      </c>
      <c r="E372" s="38" t="n">
        <f aca="false">SUMIFS('Daily Transactions'!C:C,'Daily Transactions'!A:A,$A372,'Daily Transactions'!B:B,"&lt;&gt;Sales",'Daily Transactions'!D:D,"Bank_Cash")</f>
        <v>0</v>
      </c>
      <c r="F372" s="38" t="n">
        <f aca="false">SUMIFS('Daily Transactions'!C:C,'Daily Transactions'!A:A,$A372,'Daily Transactions'!B:B,"&lt;&gt;Sales",'Daily Transactions'!D:D,"Bank")</f>
        <v>0</v>
      </c>
      <c r="G372" s="38" t="n">
        <f aca="false">B372-C372</f>
        <v>0</v>
      </c>
      <c r="H372" s="38" t="n">
        <f aca="false">J371</f>
        <v>1498</v>
      </c>
      <c r="I372" s="38" t="n">
        <f aca="false">SUMIFS('Daily Transactions'!C:C,'Daily Transactions'!A:A,$A372,'Daily Transactions'!B:B,"Sales",'Daily Transactions'!D:D,"Cash")</f>
        <v>0</v>
      </c>
      <c r="J372" s="38" t="n">
        <f aca="false">H372+I372-D372-E372</f>
        <v>1498</v>
      </c>
      <c r="K372" s="38" t="n">
        <f aca="false">J372-1000</f>
        <v>498</v>
      </c>
      <c r="L372" s="38" t="n">
        <f aca="false">SUMIFS('Daily Transactions'!C:C,'Daily Transactions'!A:A,$A372,'Daily Transactions'!B:B,"Cash Shortage",'Daily Transactions'!D:D,"Cash")</f>
        <v>0</v>
      </c>
    </row>
    <row r="373" customFormat="false" ht="15.75" hidden="false" customHeight="true" outlineLevel="0" collapsed="false">
      <c r="A373" s="37" t="n">
        <f aca="false">A372+1</f>
        <v>46027</v>
      </c>
      <c r="B373" s="38" t="n">
        <f aca="false">SUMIFS('Daily Transactions'!C:C,'Daily Transactions'!A:A,$A373,'Daily Transactions'!B:B,"Sales")</f>
        <v>0</v>
      </c>
      <c r="C373" s="38" t="n">
        <f aca="false">SUMIFS('Daily Transactions'!C:C,'Daily Transactions'!A:A,$A373,'Daily Transactions'!B:B,"&lt;&gt;Sales")</f>
        <v>0</v>
      </c>
      <c r="D373" s="38" t="n">
        <f aca="false">SUMIFS('Daily Transactions'!C:C,'Daily Transactions'!A:A,$A373,'Daily Transactions'!B:B,"&lt;&gt;Sales",'Daily Transactions'!D:D,"Cash")</f>
        <v>0</v>
      </c>
      <c r="E373" s="38" t="n">
        <f aca="false">SUMIFS('Daily Transactions'!C:C,'Daily Transactions'!A:A,$A373,'Daily Transactions'!B:B,"&lt;&gt;Sales",'Daily Transactions'!D:D,"Bank_Cash")</f>
        <v>0</v>
      </c>
      <c r="F373" s="38" t="n">
        <f aca="false">SUMIFS('Daily Transactions'!C:C,'Daily Transactions'!A:A,$A373,'Daily Transactions'!B:B,"&lt;&gt;Sales",'Daily Transactions'!D:D,"Bank")</f>
        <v>0</v>
      </c>
      <c r="G373" s="38" t="n">
        <f aca="false">B373-C373</f>
        <v>0</v>
      </c>
      <c r="H373" s="38" t="n">
        <f aca="false">J372</f>
        <v>1498</v>
      </c>
      <c r="I373" s="38" t="n">
        <f aca="false">SUMIFS('Daily Transactions'!C:C,'Daily Transactions'!A:A,$A373,'Daily Transactions'!B:B,"Sales",'Daily Transactions'!D:D,"Cash")</f>
        <v>0</v>
      </c>
      <c r="J373" s="38" t="n">
        <f aca="false">H373+I373-D373-E373</f>
        <v>1498</v>
      </c>
      <c r="K373" s="38" t="n">
        <f aca="false">J373-1000</f>
        <v>498</v>
      </c>
      <c r="L373" s="38" t="n">
        <f aca="false">SUMIFS('Daily Transactions'!C:C,'Daily Transactions'!A:A,$A373,'Daily Transactions'!B:B,"Cash Shortage",'Daily Transactions'!D:D,"Cash")</f>
        <v>0</v>
      </c>
    </row>
    <row r="374" customFormat="false" ht="15.75" hidden="false" customHeight="true" outlineLevel="0" collapsed="false">
      <c r="A374" s="37" t="n">
        <f aca="false">A373+1</f>
        <v>46028</v>
      </c>
      <c r="B374" s="38" t="n">
        <f aca="false">SUMIFS('Daily Transactions'!C:C,'Daily Transactions'!A:A,$A374,'Daily Transactions'!B:B,"Sales")</f>
        <v>0</v>
      </c>
      <c r="C374" s="38" t="n">
        <f aca="false">SUMIFS('Daily Transactions'!C:C,'Daily Transactions'!A:A,$A374,'Daily Transactions'!B:B,"&lt;&gt;Sales")</f>
        <v>0</v>
      </c>
      <c r="D374" s="38" t="n">
        <f aca="false">SUMIFS('Daily Transactions'!C:C,'Daily Transactions'!A:A,$A374,'Daily Transactions'!B:B,"&lt;&gt;Sales",'Daily Transactions'!D:D,"Cash")</f>
        <v>0</v>
      </c>
      <c r="E374" s="38" t="n">
        <f aca="false">SUMIFS('Daily Transactions'!C:C,'Daily Transactions'!A:A,$A374,'Daily Transactions'!B:B,"&lt;&gt;Sales",'Daily Transactions'!D:D,"Bank_Cash")</f>
        <v>0</v>
      </c>
      <c r="F374" s="38" t="n">
        <f aca="false">SUMIFS('Daily Transactions'!C:C,'Daily Transactions'!A:A,$A374,'Daily Transactions'!B:B,"&lt;&gt;Sales",'Daily Transactions'!D:D,"Bank")</f>
        <v>0</v>
      </c>
      <c r="G374" s="38" t="n">
        <f aca="false">B374-C374</f>
        <v>0</v>
      </c>
      <c r="H374" s="38" t="n">
        <f aca="false">J373</f>
        <v>1498</v>
      </c>
      <c r="I374" s="38" t="n">
        <f aca="false">SUMIFS('Daily Transactions'!C:C,'Daily Transactions'!A:A,$A374,'Daily Transactions'!B:B,"Sales",'Daily Transactions'!D:D,"Cash")</f>
        <v>0</v>
      </c>
      <c r="J374" s="38" t="n">
        <f aca="false">H374+I374-D374-E374</f>
        <v>1498</v>
      </c>
      <c r="K374" s="38" t="n">
        <f aca="false">J374-1000</f>
        <v>498</v>
      </c>
      <c r="L374" s="38" t="n">
        <f aca="false">SUMIFS('Daily Transactions'!C:C,'Daily Transactions'!A:A,$A374,'Daily Transactions'!B:B,"Cash Shortage",'Daily Transactions'!D:D,"Cash")</f>
        <v>0</v>
      </c>
    </row>
    <row r="375" customFormat="false" ht="15.75" hidden="false" customHeight="true" outlineLevel="0" collapsed="false">
      <c r="A375" s="37" t="n">
        <f aca="false">A374+1</f>
        <v>46029</v>
      </c>
      <c r="B375" s="38" t="n">
        <f aca="false">SUMIFS('Daily Transactions'!C:C,'Daily Transactions'!A:A,$A375,'Daily Transactions'!B:B,"Sales")</f>
        <v>0</v>
      </c>
      <c r="C375" s="38" t="n">
        <f aca="false">SUMIFS('Daily Transactions'!C:C,'Daily Transactions'!A:A,$A375,'Daily Transactions'!B:B,"&lt;&gt;Sales")</f>
        <v>0</v>
      </c>
      <c r="D375" s="38" t="n">
        <f aca="false">SUMIFS('Daily Transactions'!C:C,'Daily Transactions'!A:A,$A375,'Daily Transactions'!B:B,"&lt;&gt;Sales",'Daily Transactions'!D:D,"Cash")</f>
        <v>0</v>
      </c>
      <c r="E375" s="38" t="n">
        <f aca="false">SUMIFS('Daily Transactions'!C:C,'Daily Transactions'!A:A,$A375,'Daily Transactions'!B:B,"&lt;&gt;Sales",'Daily Transactions'!D:D,"Bank_Cash")</f>
        <v>0</v>
      </c>
      <c r="F375" s="38" t="n">
        <f aca="false">SUMIFS('Daily Transactions'!C:C,'Daily Transactions'!A:A,$A375,'Daily Transactions'!B:B,"&lt;&gt;Sales",'Daily Transactions'!D:D,"Bank")</f>
        <v>0</v>
      </c>
      <c r="G375" s="38" t="n">
        <f aca="false">B375-C375</f>
        <v>0</v>
      </c>
      <c r="H375" s="38" t="n">
        <f aca="false">J374</f>
        <v>1498</v>
      </c>
      <c r="I375" s="38" t="n">
        <f aca="false">SUMIFS('Daily Transactions'!C:C,'Daily Transactions'!A:A,$A375,'Daily Transactions'!B:B,"Sales",'Daily Transactions'!D:D,"Cash")</f>
        <v>0</v>
      </c>
      <c r="J375" s="38" t="n">
        <f aca="false">H375+I375-D375-E375</f>
        <v>1498</v>
      </c>
      <c r="K375" s="38" t="n">
        <f aca="false">J375-1000</f>
        <v>498</v>
      </c>
      <c r="L375" s="38" t="n">
        <f aca="false">SUMIFS('Daily Transactions'!C:C,'Daily Transactions'!A:A,$A375,'Daily Transactions'!B:B,"Cash Shortage",'Daily Transactions'!D:D,"Cash")</f>
        <v>0</v>
      </c>
    </row>
    <row r="376" customFormat="false" ht="15.75" hidden="false" customHeight="true" outlineLevel="0" collapsed="false">
      <c r="A376" s="37" t="n">
        <f aca="false">A375+1</f>
        <v>46030</v>
      </c>
      <c r="B376" s="38" t="n">
        <f aca="false">SUMIFS('Daily Transactions'!C:C,'Daily Transactions'!A:A,$A376,'Daily Transactions'!B:B,"Sales")</f>
        <v>0</v>
      </c>
      <c r="C376" s="38" t="n">
        <f aca="false">SUMIFS('Daily Transactions'!C:C,'Daily Transactions'!A:A,$A376,'Daily Transactions'!B:B,"&lt;&gt;Sales")</f>
        <v>0</v>
      </c>
      <c r="D376" s="38" t="n">
        <f aca="false">SUMIFS('Daily Transactions'!C:C,'Daily Transactions'!A:A,$A376,'Daily Transactions'!B:B,"&lt;&gt;Sales",'Daily Transactions'!D:D,"Cash")</f>
        <v>0</v>
      </c>
      <c r="E376" s="38" t="n">
        <f aca="false">SUMIFS('Daily Transactions'!C:C,'Daily Transactions'!A:A,$A376,'Daily Transactions'!B:B,"&lt;&gt;Sales",'Daily Transactions'!D:D,"Bank_Cash")</f>
        <v>0</v>
      </c>
      <c r="F376" s="38" t="n">
        <f aca="false">SUMIFS('Daily Transactions'!C:C,'Daily Transactions'!A:A,$A376,'Daily Transactions'!B:B,"&lt;&gt;Sales",'Daily Transactions'!D:D,"Bank")</f>
        <v>0</v>
      </c>
      <c r="G376" s="38" t="n">
        <f aca="false">B376-C376</f>
        <v>0</v>
      </c>
      <c r="H376" s="38" t="n">
        <f aca="false">J375</f>
        <v>1498</v>
      </c>
      <c r="I376" s="38" t="n">
        <f aca="false">SUMIFS('Daily Transactions'!C:C,'Daily Transactions'!A:A,$A376,'Daily Transactions'!B:B,"Sales",'Daily Transactions'!D:D,"Cash")</f>
        <v>0</v>
      </c>
      <c r="J376" s="38" t="n">
        <f aca="false">H376+I376-D376-E376</f>
        <v>1498</v>
      </c>
      <c r="K376" s="38" t="n">
        <f aca="false">J376-1000</f>
        <v>498</v>
      </c>
      <c r="L376" s="38" t="n">
        <f aca="false">SUMIFS('Daily Transactions'!C:C,'Daily Transactions'!A:A,$A376,'Daily Transactions'!B:B,"Cash Shortage",'Daily Transactions'!D:D,"Cash")</f>
        <v>0</v>
      </c>
    </row>
    <row r="377" customFormat="false" ht="15.75" hidden="false" customHeight="true" outlineLevel="0" collapsed="false">
      <c r="A377" s="37" t="n">
        <f aca="false">A376+1</f>
        <v>46031</v>
      </c>
      <c r="B377" s="38" t="n">
        <f aca="false">SUMIFS('Daily Transactions'!C:C,'Daily Transactions'!A:A,$A377,'Daily Transactions'!B:B,"Sales")</f>
        <v>0</v>
      </c>
      <c r="C377" s="38" t="n">
        <f aca="false">SUMIFS('Daily Transactions'!C:C,'Daily Transactions'!A:A,$A377,'Daily Transactions'!B:B,"&lt;&gt;Sales")</f>
        <v>0</v>
      </c>
      <c r="D377" s="38" t="n">
        <f aca="false">SUMIFS('Daily Transactions'!C:C,'Daily Transactions'!A:A,$A377,'Daily Transactions'!B:B,"&lt;&gt;Sales",'Daily Transactions'!D:D,"Cash")</f>
        <v>0</v>
      </c>
      <c r="E377" s="38" t="n">
        <f aca="false">SUMIFS('Daily Transactions'!C:C,'Daily Transactions'!A:A,$A377,'Daily Transactions'!B:B,"&lt;&gt;Sales",'Daily Transactions'!D:D,"Bank_Cash")</f>
        <v>0</v>
      </c>
      <c r="F377" s="38" t="n">
        <f aca="false">SUMIFS('Daily Transactions'!C:C,'Daily Transactions'!A:A,$A377,'Daily Transactions'!B:B,"&lt;&gt;Sales",'Daily Transactions'!D:D,"Bank")</f>
        <v>0</v>
      </c>
      <c r="G377" s="38" t="n">
        <f aca="false">B377-C377</f>
        <v>0</v>
      </c>
      <c r="H377" s="38" t="n">
        <f aca="false">J376</f>
        <v>1498</v>
      </c>
      <c r="I377" s="38" t="n">
        <f aca="false">SUMIFS('Daily Transactions'!C:C,'Daily Transactions'!A:A,$A377,'Daily Transactions'!B:B,"Sales",'Daily Transactions'!D:D,"Cash")</f>
        <v>0</v>
      </c>
      <c r="J377" s="38" t="n">
        <f aca="false">H377+I377-D377-E377</f>
        <v>1498</v>
      </c>
      <c r="K377" s="38" t="n">
        <f aca="false">J377-1000</f>
        <v>498</v>
      </c>
      <c r="L377" s="38" t="n">
        <f aca="false">SUMIFS('Daily Transactions'!C:C,'Daily Transactions'!A:A,$A377,'Daily Transactions'!B:B,"Cash Shortage",'Daily Transactions'!D:D,"Cash")</f>
        <v>0</v>
      </c>
    </row>
    <row r="378" customFormat="false" ht="15.75" hidden="false" customHeight="true" outlineLevel="0" collapsed="false">
      <c r="A378" s="37" t="n">
        <f aca="false">A377+1</f>
        <v>46032</v>
      </c>
      <c r="B378" s="38" t="n">
        <f aca="false">SUMIFS('Daily Transactions'!C:C,'Daily Transactions'!A:A,$A378,'Daily Transactions'!B:B,"Sales")</f>
        <v>0</v>
      </c>
      <c r="C378" s="38" t="n">
        <f aca="false">SUMIFS('Daily Transactions'!C:C,'Daily Transactions'!A:A,$A378,'Daily Transactions'!B:B,"&lt;&gt;Sales")</f>
        <v>0</v>
      </c>
      <c r="D378" s="38" t="n">
        <f aca="false">SUMIFS('Daily Transactions'!C:C,'Daily Transactions'!A:A,$A378,'Daily Transactions'!B:B,"&lt;&gt;Sales",'Daily Transactions'!D:D,"Cash")</f>
        <v>0</v>
      </c>
      <c r="E378" s="38" t="n">
        <f aca="false">SUMIFS('Daily Transactions'!C:C,'Daily Transactions'!A:A,$A378,'Daily Transactions'!B:B,"&lt;&gt;Sales",'Daily Transactions'!D:D,"Bank_Cash")</f>
        <v>0</v>
      </c>
      <c r="F378" s="38" t="n">
        <f aca="false">SUMIFS('Daily Transactions'!C:C,'Daily Transactions'!A:A,$A378,'Daily Transactions'!B:B,"&lt;&gt;Sales",'Daily Transactions'!D:D,"Bank")</f>
        <v>0</v>
      </c>
      <c r="G378" s="38" t="n">
        <f aca="false">B378-C378</f>
        <v>0</v>
      </c>
      <c r="H378" s="38" t="n">
        <f aca="false">J377</f>
        <v>1498</v>
      </c>
      <c r="I378" s="38" t="n">
        <f aca="false">SUMIFS('Daily Transactions'!C:C,'Daily Transactions'!A:A,$A378,'Daily Transactions'!B:B,"Sales",'Daily Transactions'!D:D,"Cash")</f>
        <v>0</v>
      </c>
      <c r="J378" s="38" t="n">
        <f aca="false">H378+I378-D378-E378</f>
        <v>1498</v>
      </c>
      <c r="K378" s="38" t="n">
        <f aca="false">J378-1000</f>
        <v>498</v>
      </c>
      <c r="L378" s="38" t="n">
        <f aca="false">SUMIFS('Daily Transactions'!C:C,'Daily Transactions'!A:A,$A378,'Daily Transactions'!B:B,"Cash Shortage",'Daily Transactions'!D:D,"Cash")</f>
        <v>0</v>
      </c>
    </row>
    <row r="379" customFormat="false" ht="15.75" hidden="false" customHeight="true" outlineLevel="0" collapsed="false">
      <c r="A379" s="37" t="n">
        <f aca="false">A378+1</f>
        <v>46033</v>
      </c>
      <c r="B379" s="38" t="n">
        <f aca="false">SUMIFS('Daily Transactions'!C:C,'Daily Transactions'!A:A,$A379,'Daily Transactions'!B:B,"Sales")</f>
        <v>0</v>
      </c>
      <c r="C379" s="38" t="n">
        <f aca="false">SUMIFS('Daily Transactions'!C:C,'Daily Transactions'!A:A,$A379,'Daily Transactions'!B:B,"&lt;&gt;Sales")</f>
        <v>0</v>
      </c>
      <c r="D379" s="38" t="n">
        <f aca="false">SUMIFS('Daily Transactions'!C:C,'Daily Transactions'!A:A,$A379,'Daily Transactions'!B:B,"&lt;&gt;Sales",'Daily Transactions'!D:D,"Cash")</f>
        <v>0</v>
      </c>
      <c r="E379" s="38" t="n">
        <f aca="false">SUMIFS('Daily Transactions'!C:C,'Daily Transactions'!A:A,$A379,'Daily Transactions'!B:B,"&lt;&gt;Sales",'Daily Transactions'!D:D,"Bank_Cash")</f>
        <v>0</v>
      </c>
      <c r="F379" s="38" t="n">
        <f aca="false">SUMIFS('Daily Transactions'!C:C,'Daily Transactions'!A:A,$A379,'Daily Transactions'!B:B,"&lt;&gt;Sales",'Daily Transactions'!D:D,"Bank")</f>
        <v>0</v>
      </c>
      <c r="G379" s="38" t="n">
        <f aca="false">B379-C379</f>
        <v>0</v>
      </c>
      <c r="H379" s="38" t="n">
        <f aca="false">J378</f>
        <v>1498</v>
      </c>
      <c r="I379" s="38" t="n">
        <f aca="false">SUMIFS('Daily Transactions'!C:C,'Daily Transactions'!A:A,$A379,'Daily Transactions'!B:B,"Sales",'Daily Transactions'!D:D,"Cash")</f>
        <v>0</v>
      </c>
      <c r="J379" s="38" t="n">
        <f aca="false">H379+I379-D379-E379</f>
        <v>1498</v>
      </c>
      <c r="K379" s="38" t="n">
        <f aca="false">J379-1000</f>
        <v>498</v>
      </c>
      <c r="L379" s="38" t="n">
        <f aca="false">SUMIFS('Daily Transactions'!C:C,'Daily Transactions'!A:A,$A379,'Daily Transactions'!B:B,"Cash Shortage",'Daily Transactions'!D:D,"Cash")</f>
        <v>0</v>
      </c>
    </row>
    <row r="380" customFormat="false" ht="15.75" hidden="false" customHeight="true" outlineLevel="0" collapsed="false">
      <c r="A380" s="37" t="n">
        <f aca="false">A379+1</f>
        <v>46034</v>
      </c>
      <c r="B380" s="38" t="n">
        <f aca="false">SUMIFS('Daily Transactions'!C:C,'Daily Transactions'!A:A,$A380,'Daily Transactions'!B:B,"Sales")</f>
        <v>0</v>
      </c>
      <c r="C380" s="38" t="n">
        <f aca="false">SUMIFS('Daily Transactions'!C:C,'Daily Transactions'!A:A,$A380,'Daily Transactions'!B:B,"&lt;&gt;Sales")</f>
        <v>0</v>
      </c>
      <c r="D380" s="38" t="n">
        <f aca="false">SUMIFS('Daily Transactions'!C:C,'Daily Transactions'!A:A,$A380,'Daily Transactions'!B:B,"&lt;&gt;Sales",'Daily Transactions'!D:D,"Cash")</f>
        <v>0</v>
      </c>
      <c r="E380" s="38" t="n">
        <f aca="false">SUMIFS('Daily Transactions'!C:C,'Daily Transactions'!A:A,$A380,'Daily Transactions'!B:B,"&lt;&gt;Sales",'Daily Transactions'!D:D,"Bank_Cash")</f>
        <v>0</v>
      </c>
      <c r="F380" s="38" t="n">
        <f aca="false">SUMIFS('Daily Transactions'!C:C,'Daily Transactions'!A:A,$A380,'Daily Transactions'!B:B,"&lt;&gt;Sales",'Daily Transactions'!D:D,"Bank")</f>
        <v>0</v>
      </c>
      <c r="G380" s="38" t="n">
        <f aca="false">B380-C380</f>
        <v>0</v>
      </c>
      <c r="H380" s="38" t="n">
        <f aca="false">J379</f>
        <v>1498</v>
      </c>
      <c r="I380" s="38" t="n">
        <f aca="false">SUMIFS('Daily Transactions'!C:C,'Daily Transactions'!A:A,$A380,'Daily Transactions'!B:B,"Sales",'Daily Transactions'!D:D,"Cash")</f>
        <v>0</v>
      </c>
      <c r="J380" s="38" t="n">
        <f aca="false">H380+I380-D380-E380</f>
        <v>1498</v>
      </c>
      <c r="K380" s="38" t="n">
        <f aca="false">J380-1000</f>
        <v>498</v>
      </c>
      <c r="L380" s="38" t="n">
        <f aca="false">SUMIFS('Daily Transactions'!C:C,'Daily Transactions'!A:A,$A380,'Daily Transactions'!B:B,"Cash Shortage",'Daily Transactions'!D:D,"Cash")</f>
        <v>0</v>
      </c>
    </row>
    <row r="381" customFormat="false" ht="15.75" hidden="false" customHeight="true" outlineLevel="0" collapsed="false">
      <c r="A381" s="37" t="n">
        <f aca="false">A380+1</f>
        <v>46035</v>
      </c>
      <c r="B381" s="38" t="n">
        <f aca="false">SUMIFS('Daily Transactions'!C:C,'Daily Transactions'!A:A,$A381,'Daily Transactions'!B:B,"Sales")</f>
        <v>0</v>
      </c>
      <c r="C381" s="38" t="n">
        <f aca="false">SUMIFS('Daily Transactions'!C:C,'Daily Transactions'!A:A,$A381,'Daily Transactions'!B:B,"&lt;&gt;Sales")</f>
        <v>0</v>
      </c>
      <c r="D381" s="38" t="n">
        <f aca="false">SUMIFS('Daily Transactions'!C:C,'Daily Transactions'!A:A,$A381,'Daily Transactions'!B:B,"&lt;&gt;Sales",'Daily Transactions'!D:D,"Cash")</f>
        <v>0</v>
      </c>
      <c r="E381" s="38" t="n">
        <f aca="false">SUMIFS('Daily Transactions'!C:C,'Daily Transactions'!A:A,$A381,'Daily Transactions'!B:B,"&lt;&gt;Sales",'Daily Transactions'!D:D,"Bank_Cash")</f>
        <v>0</v>
      </c>
      <c r="F381" s="38" t="n">
        <f aca="false">SUMIFS('Daily Transactions'!C:C,'Daily Transactions'!A:A,$A381,'Daily Transactions'!B:B,"&lt;&gt;Sales",'Daily Transactions'!D:D,"Bank")</f>
        <v>0</v>
      </c>
      <c r="G381" s="38" t="n">
        <f aca="false">B381-C381</f>
        <v>0</v>
      </c>
      <c r="H381" s="38" t="n">
        <f aca="false">J380</f>
        <v>1498</v>
      </c>
      <c r="I381" s="38" t="n">
        <f aca="false">SUMIFS('Daily Transactions'!C:C,'Daily Transactions'!A:A,$A381,'Daily Transactions'!B:B,"Sales",'Daily Transactions'!D:D,"Cash")</f>
        <v>0</v>
      </c>
      <c r="J381" s="38" t="n">
        <f aca="false">H381+I381-D381-E381</f>
        <v>1498</v>
      </c>
      <c r="K381" s="38" t="n">
        <f aca="false">J381-1000</f>
        <v>498</v>
      </c>
      <c r="L381" s="38" t="n">
        <f aca="false">SUMIFS('Daily Transactions'!C:C,'Daily Transactions'!A:A,$A381,'Daily Transactions'!B:B,"Cash Shortage",'Daily Transactions'!D:D,"Cash")</f>
        <v>0</v>
      </c>
    </row>
    <row r="382" customFormat="false" ht="15.75" hidden="false" customHeight="true" outlineLevel="0" collapsed="false">
      <c r="A382" s="37" t="n">
        <f aca="false">A381+1</f>
        <v>46036</v>
      </c>
      <c r="B382" s="38" t="n">
        <f aca="false">SUMIFS('Daily Transactions'!C:C,'Daily Transactions'!A:A,$A382,'Daily Transactions'!B:B,"Sales")</f>
        <v>0</v>
      </c>
      <c r="C382" s="38" t="n">
        <f aca="false">SUMIFS('Daily Transactions'!C:C,'Daily Transactions'!A:A,$A382,'Daily Transactions'!B:B,"&lt;&gt;Sales")</f>
        <v>0</v>
      </c>
      <c r="D382" s="38" t="n">
        <f aca="false">SUMIFS('Daily Transactions'!C:C,'Daily Transactions'!A:A,$A382,'Daily Transactions'!B:B,"&lt;&gt;Sales",'Daily Transactions'!D:D,"Cash")</f>
        <v>0</v>
      </c>
      <c r="E382" s="38" t="n">
        <f aca="false">SUMIFS('Daily Transactions'!C:C,'Daily Transactions'!A:A,$A382,'Daily Transactions'!B:B,"&lt;&gt;Sales",'Daily Transactions'!D:D,"Bank_Cash")</f>
        <v>0</v>
      </c>
      <c r="F382" s="38" t="n">
        <f aca="false">SUMIFS('Daily Transactions'!C:C,'Daily Transactions'!A:A,$A382,'Daily Transactions'!B:B,"&lt;&gt;Sales",'Daily Transactions'!D:D,"Bank")</f>
        <v>0</v>
      </c>
      <c r="G382" s="38" t="n">
        <f aca="false">B382-C382</f>
        <v>0</v>
      </c>
      <c r="H382" s="38" t="n">
        <f aca="false">J381</f>
        <v>1498</v>
      </c>
      <c r="I382" s="38" t="n">
        <f aca="false">SUMIFS('Daily Transactions'!C:C,'Daily Transactions'!A:A,$A382,'Daily Transactions'!B:B,"Sales",'Daily Transactions'!D:D,"Cash")</f>
        <v>0</v>
      </c>
      <c r="J382" s="38" t="n">
        <f aca="false">H382+I382-D382-E382</f>
        <v>1498</v>
      </c>
      <c r="K382" s="38" t="n">
        <f aca="false">J382-1000</f>
        <v>498</v>
      </c>
      <c r="L382" s="38" t="n">
        <f aca="false">SUMIFS('Daily Transactions'!C:C,'Daily Transactions'!A:A,$A382,'Daily Transactions'!B:B,"Cash Shortage",'Daily Transactions'!D:D,"Cash")</f>
        <v>0</v>
      </c>
    </row>
    <row r="383" customFormat="false" ht="15.75" hidden="false" customHeight="true" outlineLevel="0" collapsed="false">
      <c r="A383" s="37" t="n">
        <f aca="false">A382+1</f>
        <v>46037</v>
      </c>
      <c r="B383" s="38" t="n">
        <f aca="false">SUMIFS('Daily Transactions'!C:C,'Daily Transactions'!A:A,$A383,'Daily Transactions'!B:B,"Sales")</f>
        <v>0</v>
      </c>
      <c r="C383" s="38" t="n">
        <f aca="false">SUMIFS('Daily Transactions'!C:C,'Daily Transactions'!A:A,$A383,'Daily Transactions'!B:B,"&lt;&gt;Sales")</f>
        <v>0</v>
      </c>
      <c r="D383" s="38" t="n">
        <f aca="false">SUMIFS('Daily Transactions'!C:C,'Daily Transactions'!A:A,$A383,'Daily Transactions'!B:B,"&lt;&gt;Sales",'Daily Transactions'!D:D,"Cash")</f>
        <v>0</v>
      </c>
      <c r="E383" s="38" t="n">
        <f aca="false">SUMIFS('Daily Transactions'!C:C,'Daily Transactions'!A:A,$A383,'Daily Transactions'!B:B,"&lt;&gt;Sales",'Daily Transactions'!D:D,"Bank_Cash")</f>
        <v>0</v>
      </c>
      <c r="F383" s="38" t="n">
        <f aca="false">SUMIFS('Daily Transactions'!C:C,'Daily Transactions'!A:A,$A383,'Daily Transactions'!B:B,"&lt;&gt;Sales",'Daily Transactions'!D:D,"Bank")</f>
        <v>0</v>
      </c>
      <c r="G383" s="38" t="n">
        <f aca="false">B383-C383</f>
        <v>0</v>
      </c>
      <c r="H383" s="38" t="n">
        <f aca="false">J382</f>
        <v>1498</v>
      </c>
      <c r="I383" s="38" t="n">
        <f aca="false">SUMIFS('Daily Transactions'!C:C,'Daily Transactions'!A:A,$A383,'Daily Transactions'!B:B,"Sales",'Daily Transactions'!D:D,"Cash")</f>
        <v>0</v>
      </c>
      <c r="J383" s="38" t="n">
        <f aca="false">H383+I383-D383-E383</f>
        <v>1498</v>
      </c>
      <c r="K383" s="38" t="n">
        <f aca="false">J383-1000</f>
        <v>498</v>
      </c>
      <c r="L383" s="38" t="n">
        <f aca="false">SUMIFS('Daily Transactions'!C:C,'Daily Transactions'!A:A,$A383,'Daily Transactions'!B:B,"Cash Shortage",'Daily Transactions'!D:D,"Cash")</f>
        <v>0</v>
      </c>
    </row>
    <row r="384" customFormat="false" ht="15.75" hidden="false" customHeight="true" outlineLevel="0" collapsed="false">
      <c r="A384" s="37" t="n">
        <f aca="false">A383+1</f>
        <v>46038</v>
      </c>
      <c r="B384" s="38" t="n">
        <f aca="false">SUMIFS('Daily Transactions'!C:C,'Daily Transactions'!A:A,$A384,'Daily Transactions'!B:B,"Sales")</f>
        <v>0</v>
      </c>
      <c r="C384" s="38" t="n">
        <f aca="false">SUMIFS('Daily Transactions'!C:C,'Daily Transactions'!A:A,$A384,'Daily Transactions'!B:B,"&lt;&gt;Sales")</f>
        <v>0</v>
      </c>
      <c r="D384" s="38" t="n">
        <f aca="false">SUMIFS('Daily Transactions'!C:C,'Daily Transactions'!A:A,$A384,'Daily Transactions'!B:B,"&lt;&gt;Sales",'Daily Transactions'!D:D,"Cash")</f>
        <v>0</v>
      </c>
      <c r="E384" s="38" t="n">
        <f aca="false">SUMIFS('Daily Transactions'!C:C,'Daily Transactions'!A:A,$A384,'Daily Transactions'!B:B,"&lt;&gt;Sales",'Daily Transactions'!D:D,"Bank_Cash")</f>
        <v>0</v>
      </c>
      <c r="F384" s="38" t="n">
        <f aca="false">SUMIFS('Daily Transactions'!C:C,'Daily Transactions'!A:A,$A384,'Daily Transactions'!B:B,"&lt;&gt;Sales",'Daily Transactions'!D:D,"Bank")</f>
        <v>0</v>
      </c>
      <c r="G384" s="38" t="n">
        <f aca="false">B384-C384</f>
        <v>0</v>
      </c>
      <c r="H384" s="38" t="n">
        <f aca="false">J383</f>
        <v>1498</v>
      </c>
      <c r="I384" s="38" t="n">
        <f aca="false">SUMIFS('Daily Transactions'!C:C,'Daily Transactions'!A:A,$A384,'Daily Transactions'!B:B,"Sales",'Daily Transactions'!D:D,"Cash")</f>
        <v>0</v>
      </c>
      <c r="J384" s="38" t="n">
        <f aca="false">H384+I384-D384-E384</f>
        <v>1498</v>
      </c>
      <c r="K384" s="38" t="n">
        <f aca="false">J384-1000</f>
        <v>498</v>
      </c>
      <c r="L384" s="38" t="n">
        <f aca="false">SUMIFS('Daily Transactions'!C:C,'Daily Transactions'!A:A,$A384,'Daily Transactions'!B:B,"Cash Shortage",'Daily Transactions'!D:D,"Cash")</f>
        <v>0</v>
      </c>
    </row>
    <row r="385" customFormat="false" ht="15.75" hidden="false" customHeight="true" outlineLevel="0" collapsed="false">
      <c r="A385" s="37" t="n">
        <f aca="false">A384+1</f>
        <v>46039</v>
      </c>
      <c r="B385" s="38" t="n">
        <f aca="false">SUMIFS('Daily Transactions'!C:C,'Daily Transactions'!A:A,$A385,'Daily Transactions'!B:B,"Sales")</f>
        <v>0</v>
      </c>
      <c r="C385" s="38" t="n">
        <f aca="false">SUMIFS('Daily Transactions'!C:C,'Daily Transactions'!A:A,$A385,'Daily Transactions'!B:B,"&lt;&gt;Sales")</f>
        <v>0</v>
      </c>
      <c r="D385" s="38" t="n">
        <f aca="false">SUMIFS('Daily Transactions'!C:C,'Daily Transactions'!A:A,$A385,'Daily Transactions'!B:B,"&lt;&gt;Sales",'Daily Transactions'!D:D,"Cash")</f>
        <v>0</v>
      </c>
      <c r="E385" s="38" t="n">
        <f aca="false">SUMIFS('Daily Transactions'!C:C,'Daily Transactions'!A:A,$A385,'Daily Transactions'!B:B,"&lt;&gt;Sales",'Daily Transactions'!D:D,"Bank_Cash")</f>
        <v>0</v>
      </c>
      <c r="F385" s="38" t="n">
        <f aca="false">SUMIFS('Daily Transactions'!C:C,'Daily Transactions'!A:A,$A385,'Daily Transactions'!B:B,"&lt;&gt;Sales",'Daily Transactions'!D:D,"Bank")</f>
        <v>0</v>
      </c>
      <c r="G385" s="38" t="n">
        <f aca="false">B385-C385</f>
        <v>0</v>
      </c>
      <c r="H385" s="38" t="n">
        <f aca="false">J384</f>
        <v>1498</v>
      </c>
      <c r="I385" s="38" t="n">
        <f aca="false">SUMIFS('Daily Transactions'!C:C,'Daily Transactions'!A:A,$A385,'Daily Transactions'!B:B,"Sales",'Daily Transactions'!D:D,"Cash")</f>
        <v>0</v>
      </c>
      <c r="J385" s="38" t="n">
        <f aca="false">H385+I385-D385-E385</f>
        <v>1498</v>
      </c>
      <c r="K385" s="38" t="n">
        <f aca="false">J385-1000</f>
        <v>498</v>
      </c>
      <c r="L385" s="38" t="n">
        <f aca="false">SUMIFS('Daily Transactions'!C:C,'Daily Transactions'!A:A,$A385,'Daily Transactions'!B:B,"Cash Shortage",'Daily Transactions'!D:D,"Cash")</f>
        <v>0</v>
      </c>
    </row>
    <row r="386" customFormat="false" ht="15.75" hidden="false" customHeight="true" outlineLevel="0" collapsed="false">
      <c r="A386" s="37" t="n">
        <f aca="false">A385+1</f>
        <v>46040</v>
      </c>
      <c r="B386" s="38" t="n">
        <f aca="false">SUMIFS('Daily Transactions'!C:C,'Daily Transactions'!A:A,$A386,'Daily Transactions'!B:B,"Sales")</f>
        <v>0</v>
      </c>
      <c r="C386" s="38" t="n">
        <f aca="false">SUMIFS('Daily Transactions'!C:C,'Daily Transactions'!A:A,$A386,'Daily Transactions'!B:B,"&lt;&gt;Sales")</f>
        <v>0</v>
      </c>
      <c r="D386" s="38" t="n">
        <f aca="false">SUMIFS('Daily Transactions'!C:C,'Daily Transactions'!A:A,$A386,'Daily Transactions'!B:B,"&lt;&gt;Sales",'Daily Transactions'!D:D,"Cash")</f>
        <v>0</v>
      </c>
      <c r="E386" s="38" t="n">
        <f aca="false">SUMIFS('Daily Transactions'!C:C,'Daily Transactions'!A:A,$A386,'Daily Transactions'!B:B,"&lt;&gt;Sales",'Daily Transactions'!D:D,"Bank_Cash")</f>
        <v>0</v>
      </c>
      <c r="F386" s="38" t="n">
        <f aca="false">SUMIFS('Daily Transactions'!C:C,'Daily Transactions'!A:A,$A386,'Daily Transactions'!B:B,"&lt;&gt;Sales",'Daily Transactions'!D:D,"Bank")</f>
        <v>0</v>
      </c>
      <c r="G386" s="38" t="n">
        <f aca="false">B386-C386</f>
        <v>0</v>
      </c>
      <c r="H386" s="38" t="n">
        <f aca="false">J385</f>
        <v>1498</v>
      </c>
      <c r="I386" s="38" t="n">
        <f aca="false">SUMIFS('Daily Transactions'!C:C,'Daily Transactions'!A:A,$A386,'Daily Transactions'!B:B,"Sales",'Daily Transactions'!D:D,"Cash")</f>
        <v>0</v>
      </c>
      <c r="J386" s="38" t="n">
        <f aca="false">H386+I386-D386-E386</f>
        <v>1498</v>
      </c>
      <c r="K386" s="38" t="n">
        <f aca="false">J386-1000</f>
        <v>498</v>
      </c>
      <c r="L386" s="38" t="n">
        <f aca="false">SUMIFS('Daily Transactions'!C:C,'Daily Transactions'!A:A,$A386,'Daily Transactions'!B:B,"Cash Shortage",'Daily Transactions'!D:D,"Cash")</f>
        <v>0</v>
      </c>
    </row>
    <row r="387" customFormat="false" ht="15.75" hidden="false" customHeight="true" outlineLevel="0" collapsed="false">
      <c r="A387" s="37" t="n">
        <f aca="false">A386+1</f>
        <v>46041</v>
      </c>
      <c r="B387" s="38" t="n">
        <f aca="false">SUMIFS('Daily Transactions'!C:C,'Daily Transactions'!A:A,$A387,'Daily Transactions'!B:B,"Sales")</f>
        <v>0</v>
      </c>
      <c r="C387" s="38" t="n">
        <f aca="false">SUMIFS('Daily Transactions'!C:C,'Daily Transactions'!A:A,$A387,'Daily Transactions'!B:B,"&lt;&gt;Sales")</f>
        <v>0</v>
      </c>
      <c r="D387" s="38" t="n">
        <f aca="false">SUMIFS('Daily Transactions'!C:C,'Daily Transactions'!A:A,$A387,'Daily Transactions'!B:B,"&lt;&gt;Sales",'Daily Transactions'!D:D,"Cash")</f>
        <v>0</v>
      </c>
      <c r="E387" s="38" t="n">
        <f aca="false">SUMIFS('Daily Transactions'!C:C,'Daily Transactions'!A:A,$A387,'Daily Transactions'!B:B,"&lt;&gt;Sales",'Daily Transactions'!D:D,"Bank_Cash")</f>
        <v>0</v>
      </c>
      <c r="F387" s="38" t="n">
        <f aca="false">SUMIFS('Daily Transactions'!C:C,'Daily Transactions'!A:A,$A387,'Daily Transactions'!B:B,"&lt;&gt;Sales",'Daily Transactions'!D:D,"Bank")</f>
        <v>0</v>
      </c>
      <c r="G387" s="38" t="n">
        <f aca="false">B387-C387</f>
        <v>0</v>
      </c>
      <c r="H387" s="38" t="n">
        <f aca="false">J386</f>
        <v>1498</v>
      </c>
      <c r="I387" s="38" t="n">
        <f aca="false">SUMIFS('Daily Transactions'!C:C,'Daily Transactions'!A:A,$A387,'Daily Transactions'!B:B,"Sales",'Daily Transactions'!D:D,"Cash")</f>
        <v>0</v>
      </c>
      <c r="J387" s="38" t="n">
        <f aca="false">H387+I387-D387-E387</f>
        <v>1498</v>
      </c>
      <c r="K387" s="38" t="n">
        <f aca="false">J387-1000</f>
        <v>498</v>
      </c>
      <c r="L387" s="38" t="n">
        <f aca="false">SUMIFS('Daily Transactions'!C:C,'Daily Transactions'!A:A,$A387,'Daily Transactions'!B:B,"Cash Shortage",'Daily Transactions'!D:D,"Cash")</f>
        <v>0</v>
      </c>
    </row>
    <row r="388" customFormat="false" ht="15.75" hidden="false" customHeight="true" outlineLevel="0" collapsed="false">
      <c r="A388" s="37" t="n">
        <f aca="false">A387+1</f>
        <v>46042</v>
      </c>
      <c r="B388" s="38" t="n">
        <f aca="false">SUMIFS('Daily Transactions'!C:C,'Daily Transactions'!A:A,$A388,'Daily Transactions'!B:B,"Sales")</f>
        <v>0</v>
      </c>
      <c r="C388" s="38" t="n">
        <f aca="false">SUMIFS('Daily Transactions'!C:C,'Daily Transactions'!A:A,$A388,'Daily Transactions'!B:B,"&lt;&gt;Sales")</f>
        <v>0</v>
      </c>
      <c r="D388" s="38" t="n">
        <f aca="false">SUMIFS('Daily Transactions'!C:C,'Daily Transactions'!A:A,$A388,'Daily Transactions'!B:B,"&lt;&gt;Sales",'Daily Transactions'!D:D,"Cash")</f>
        <v>0</v>
      </c>
      <c r="E388" s="38" t="n">
        <f aca="false">SUMIFS('Daily Transactions'!C:C,'Daily Transactions'!A:A,$A388,'Daily Transactions'!B:B,"&lt;&gt;Sales",'Daily Transactions'!D:D,"Bank_Cash")</f>
        <v>0</v>
      </c>
      <c r="F388" s="38" t="n">
        <f aca="false">SUMIFS('Daily Transactions'!C:C,'Daily Transactions'!A:A,$A388,'Daily Transactions'!B:B,"&lt;&gt;Sales",'Daily Transactions'!D:D,"Bank")</f>
        <v>0</v>
      </c>
      <c r="G388" s="38" t="n">
        <f aca="false">B388-C388</f>
        <v>0</v>
      </c>
      <c r="H388" s="38" t="n">
        <f aca="false">J387</f>
        <v>1498</v>
      </c>
      <c r="I388" s="38" t="n">
        <f aca="false">SUMIFS('Daily Transactions'!C:C,'Daily Transactions'!A:A,$A388,'Daily Transactions'!B:B,"Sales",'Daily Transactions'!D:D,"Cash")</f>
        <v>0</v>
      </c>
      <c r="J388" s="38" t="n">
        <f aca="false">H388+I388-D388-E388</f>
        <v>1498</v>
      </c>
      <c r="K388" s="38" t="n">
        <f aca="false">J388-1000</f>
        <v>498</v>
      </c>
      <c r="L388" s="38" t="n">
        <f aca="false">SUMIFS('Daily Transactions'!C:C,'Daily Transactions'!A:A,$A388,'Daily Transactions'!B:B,"Cash Shortage",'Daily Transactions'!D:D,"Cash")</f>
        <v>0</v>
      </c>
    </row>
    <row r="389" customFormat="false" ht="15.75" hidden="false" customHeight="true" outlineLevel="0" collapsed="false">
      <c r="A389" s="37" t="n">
        <f aca="false">A388+1</f>
        <v>46043</v>
      </c>
      <c r="B389" s="38" t="n">
        <f aca="false">SUMIFS('Daily Transactions'!C:C,'Daily Transactions'!A:A,$A389,'Daily Transactions'!B:B,"Sales")</f>
        <v>0</v>
      </c>
      <c r="C389" s="38" t="n">
        <f aca="false">SUMIFS('Daily Transactions'!C:C,'Daily Transactions'!A:A,$A389,'Daily Transactions'!B:B,"&lt;&gt;Sales")</f>
        <v>0</v>
      </c>
      <c r="D389" s="38" t="n">
        <f aca="false">SUMIFS('Daily Transactions'!C:C,'Daily Transactions'!A:A,$A389,'Daily Transactions'!B:B,"&lt;&gt;Sales",'Daily Transactions'!D:D,"Cash")</f>
        <v>0</v>
      </c>
      <c r="E389" s="38" t="n">
        <f aca="false">SUMIFS('Daily Transactions'!C:C,'Daily Transactions'!A:A,$A389,'Daily Transactions'!B:B,"&lt;&gt;Sales",'Daily Transactions'!D:D,"Bank_Cash")</f>
        <v>0</v>
      </c>
      <c r="F389" s="38" t="n">
        <f aca="false">SUMIFS('Daily Transactions'!C:C,'Daily Transactions'!A:A,$A389,'Daily Transactions'!B:B,"&lt;&gt;Sales",'Daily Transactions'!D:D,"Bank")</f>
        <v>0</v>
      </c>
      <c r="G389" s="38" t="n">
        <f aca="false">B389-C389</f>
        <v>0</v>
      </c>
      <c r="H389" s="38" t="n">
        <f aca="false">J388</f>
        <v>1498</v>
      </c>
      <c r="I389" s="38" t="n">
        <f aca="false">SUMIFS('Daily Transactions'!C:C,'Daily Transactions'!A:A,$A389,'Daily Transactions'!B:B,"Sales",'Daily Transactions'!D:D,"Cash")</f>
        <v>0</v>
      </c>
      <c r="J389" s="38" t="n">
        <f aca="false">H389+I389-D389-E389</f>
        <v>1498</v>
      </c>
      <c r="K389" s="38" t="n">
        <f aca="false">J389-1000</f>
        <v>498</v>
      </c>
      <c r="L389" s="38" t="n">
        <f aca="false">SUMIFS('Daily Transactions'!C:C,'Daily Transactions'!A:A,$A389,'Daily Transactions'!B:B,"Cash Shortage",'Daily Transactions'!D:D,"Cash")</f>
        <v>0</v>
      </c>
    </row>
    <row r="390" customFormat="false" ht="15.75" hidden="false" customHeight="true" outlineLevel="0" collapsed="false">
      <c r="A390" s="37" t="n">
        <f aca="false">A389+1</f>
        <v>46044</v>
      </c>
      <c r="B390" s="38" t="n">
        <f aca="false">SUMIFS('Daily Transactions'!C:C,'Daily Transactions'!A:A,$A390,'Daily Transactions'!B:B,"Sales")</f>
        <v>0</v>
      </c>
      <c r="C390" s="38" t="n">
        <f aca="false">SUMIFS('Daily Transactions'!C:C,'Daily Transactions'!A:A,$A390,'Daily Transactions'!B:B,"&lt;&gt;Sales")</f>
        <v>0</v>
      </c>
      <c r="D390" s="38" t="n">
        <f aca="false">SUMIFS('Daily Transactions'!C:C,'Daily Transactions'!A:A,$A390,'Daily Transactions'!B:B,"&lt;&gt;Sales",'Daily Transactions'!D:D,"Cash")</f>
        <v>0</v>
      </c>
      <c r="E390" s="38" t="n">
        <f aca="false">SUMIFS('Daily Transactions'!C:C,'Daily Transactions'!A:A,$A390,'Daily Transactions'!B:B,"&lt;&gt;Sales",'Daily Transactions'!D:D,"Bank_Cash")</f>
        <v>0</v>
      </c>
      <c r="F390" s="38" t="n">
        <f aca="false">SUMIFS('Daily Transactions'!C:C,'Daily Transactions'!A:A,$A390,'Daily Transactions'!B:B,"&lt;&gt;Sales",'Daily Transactions'!D:D,"Bank")</f>
        <v>0</v>
      </c>
      <c r="G390" s="38" t="n">
        <f aca="false">B390-C390</f>
        <v>0</v>
      </c>
      <c r="H390" s="38" t="n">
        <f aca="false">J389</f>
        <v>1498</v>
      </c>
      <c r="I390" s="38" t="n">
        <f aca="false">SUMIFS('Daily Transactions'!C:C,'Daily Transactions'!A:A,$A390,'Daily Transactions'!B:B,"Sales",'Daily Transactions'!D:D,"Cash")</f>
        <v>0</v>
      </c>
      <c r="J390" s="38" t="n">
        <f aca="false">H390+I390-D390-E390</f>
        <v>1498</v>
      </c>
      <c r="K390" s="38" t="n">
        <f aca="false">J390-1000</f>
        <v>498</v>
      </c>
      <c r="L390" s="38" t="n">
        <f aca="false">SUMIFS('Daily Transactions'!C:C,'Daily Transactions'!A:A,$A390,'Daily Transactions'!B:B,"Cash Shortage",'Daily Transactions'!D:D,"Cash")</f>
        <v>0</v>
      </c>
    </row>
    <row r="391" customFormat="false" ht="15.75" hidden="false" customHeight="true" outlineLevel="0" collapsed="false">
      <c r="A391" s="37" t="n">
        <f aca="false">A390+1</f>
        <v>46045</v>
      </c>
      <c r="B391" s="38" t="n">
        <f aca="false">SUMIFS('Daily Transactions'!C:C,'Daily Transactions'!A:A,$A391,'Daily Transactions'!B:B,"Sales")</f>
        <v>0</v>
      </c>
      <c r="C391" s="38" t="n">
        <f aca="false">SUMIFS('Daily Transactions'!C:C,'Daily Transactions'!A:A,$A391,'Daily Transactions'!B:B,"&lt;&gt;Sales")</f>
        <v>0</v>
      </c>
      <c r="D391" s="38" t="n">
        <f aca="false">SUMIFS('Daily Transactions'!C:C,'Daily Transactions'!A:A,$A391,'Daily Transactions'!B:B,"&lt;&gt;Sales",'Daily Transactions'!D:D,"Cash")</f>
        <v>0</v>
      </c>
      <c r="E391" s="38" t="n">
        <f aca="false">SUMIFS('Daily Transactions'!C:C,'Daily Transactions'!A:A,$A391,'Daily Transactions'!B:B,"&lt;&gt;Sales",'Daily Transactions'!D:D,"Bank_Cash")</f>
        <v>0</v>
      </c>
      <c r="F391" s="38" t="n">
        <f aca="false">SUMIFS('Daily Transactions'!C:C,'Daily Transactions'!A:A,$A391,'Daily Transactions'!B:B,"&lt;&gt;Sales",'Daily Transactions'!D:D,"Bank")</f>
        <v>0</v>
      </c>
      <c r="G391" s="38" t="n">
        <f aca="false">B391-C391</f>
        <v>0</v>
      </c>
      <c r="H391" s="38" t="n">
        <f aca="false">J390</f>
        <v>1498</v>
      </c>
      <c r="I391" s="38" t="n">
        <f aca="false">SUMIFS('Daily Transactions'!C:C,'Daily Transactions'!A:A,$A391,'Daily Transactions'!B:B,"Sales",'Daily Transactions'!D:D,"Cash")</f>
        <v>0</v>
      </c>
      <c r="J391" s="38" t="n">
        <f aca="false">H391+I391-D391-E391</f>
        <v>1498</v>
      </c>
      <c r="K391" s="38" t="n">
        <f aca="false">J391-1000</f>
        <v>498</v>
      </c>
      <c r="L391" s="38" t="n">
        <f aca="false">SUMIFS('Daily Transactions'!C:C,'Daily Transactions'!A:A,$A391,'Daily Transactions'!B:B,"Cash Shortage",'Daily Transactions'!D:D,"Cash")</f>
        <v>0</v>
      </c>
    </row>
    <row r="392" customFormat="false" ht="15.75" hidden="false" customHeight="true" outlineLevel="0" collapsed="false">
      <c r="A392" s="37" t="n">
        <f aca="false">A391+1</f>
        <v>46046</v>
      </c>
      <c r="B392" s="38" t="n">
        <f aca="false">SUMIFS('Daily Transactions'!C:C,'Daily Transactions'!A:A,$A392,'Daily Transactions'!B:B,"Sales")</f>
        <v>0</v>
      </c>
      <c r="C392" s="38" t="n">
        <f aca="false">SUMIFS('Daily Transactions'!C:C,'Daily Transactions'!A:A,$A392,'Daily Transactions'!B:B,"&lt;&gt;Sales")</f>
        <v>0</v>
      </c>
      <c r="D392" s="38" t="n">
        <f aca="false">SUMIFS('Daily Transactions'!C:C,'Daily Transactions'!A:A,$A392,'Daily Transactions'!B:B,"&lt;&gt;Sales",'Daily Transactions'!D:D,"Cash")</f>
        <v>0</v>
      </c>
      <c r="E392" s="38" t="n">
        <f aca="false">SUMIFS('Daily Transactions'!C:C,'Daily Transactions'!A:A,$A392,'Daily Transactions'!B:B,"&lt;&gt;Sales",'Daily Transactions'!D:D,"Bank_Cash")</f>
        <v>0</v>
      </c>
      <c r="F392" s="38" t="n">
        <f aca="false">SUMIFS('Daily Transactions'!C:C,'Daily Transactions'!A:A,$A392,'Daily Transactions'!B:B,"&lt;&gt;Sales",'Daily Transactions'!D:D,"Bank")</f>
        <v>0</v>
      </c>
      <c r="G392" s="38" t="n">
        <f aca="false">B392-C392</f>
        <v>0</v>
      </c>
      <c r="H392" s="38" t="n">
        <f aca="false">J391</f>
        <v>1498</v>
      </c>
      <c r="I392" s="38" t="n">
        <f aca="false">SUMIFS('Daily Transactions'!C:C,'Daily Transactions'!A:A,$A392,'Daily Transactions'!B:B,"Sales",'Daily Transactions'!D:D,"Cash")</f>
        <v>0</v>
      </c>
      <c r="J392" s="38" t="n">
        <f aca="false">H392+I392-D392-E392</f>
        <v>1498</v>
      </c>
      <c r="K392" s="38" t="n">
        <f aca="false">J392-1000</f>
        <v>498</v>
      </c>
      <c r="L392" s="38" t="n">
        <f aca="false">SUMIFS('Daily Transactions'!C:C,'Daily Transactions'!A:A,$A392,'Daily Transactions'!B:B,"Cash Shortage",'Daily Transactions'!D:D,"Cash")</f>
        <v>0</v>
      </c>
    </row>
    <row r="393" customFormat="false" ht="15.75" hidden="false" customHeight="true" outlineLevel="0" collapsed="false">
      <c r="A393" s="37" t="n">
        <f aca="false">A392+1</f>
        <v>46047</v>
      </c>
      <c r="B393" s="38" t="n">
        <f aca="false">SUMIFS('Daily Transactions'!C:C,'Daily Transactions'!A:A,$A393,'Daily Transactions'!B:B,"Sales")</f>
        <v>0</v>
      </c>
      <c r="C393" s="38" t="n">
        <f aca="false">SUMIFS('Daily Transactions'!C:C,'Daily Transactions'!A:A,$A393,'Daily Transactions'!B:B,"&lt;&gt;Sales")</f>
        <v>0</v>
      </c>
      <c r="D393" s="38" t="n">
        <f aca="false">SUMIFS('Daily Transactions'!C:C,'Daily Transactions'!A:A,$A393,'Daily Transactions'!B:B,"&lt;&gt;Sales",'Daily Transactions'!D:D,"Cash")</f>
        <v>0</v>
      </c>
      <c r="E393" s="38" t="n">
        <f aca="false">SUMIFS('Daily Transactions'!C:C,'Daily Transactions'!A:A,$A393,'Daily Transactions'!B:B,"&lt;&gt;Sales",'Daily Transactions'!D:D,"Bank_Cash")</f>
        <v>0</v>
      </c>
      <c r="F393" s="38" t="n">
        <f aca="false">SUMIFS('Daily Transactions'!C:C,'Daily Transactions'!A:A,$A393,'Daily Transactions'!B:B,"&lt;&gt;Sales",'Daily Transactions'!D:D,"Bank")</f>
        <v>0</v>
      </c>
      <c r="G393" s="38" t="n">
        <f aca="false">B393-C393</f>
        <v>0</v>
      </c>
      <c r="H393" s="38" t="n">
        <f aca="false">J392</f>
        <v>1498</v>
      </c>
      <c r="I393" s="38" t="n">
        <f aca="false">SUMIFS('Daily Transactions'!C:C,'Daily Transactions'!A:A,$A393,'Daily Transactions'!B:B,"Sales",'Daily Transactions'!D:D,"Cash")</f>
        <v>0</v>
      </c>
      <c r="J393" s="38" t="n">
        <f aca="false">H393+I393-D393-E393</f>
        <v>1498</v>
      </c>
      <c r="K393" s="38" t="n">
        <f aca="false">J393-1000</f>
        <v>498</v>
      </c>
      <c r="L393" s="38" t="n">
        <f aca="false">SUMIFS('Daily Transactions'!C:C,'Daily Transactions'!A:A,$A393,'Daily Transactions'!B:B,"Cash Shortage",'Daily Transactions'!D:D,"Cash")</f>
        <v>0</v>
      </c>
    </row>
    <row r="394" customFormat="false" ht="15.75" hidden="false" customHeight="true" outlineLevel="0" collapsed="false">
      <c r="A394" s="37" t="n">
        <f aca="false">A393+1</f>
        <v>46048</v>
      </c>
      <c r="B394" s="38" t="n">
        <f aca="false">SUMIFS('Daily Transactions'!C:C,'Daily Transactions'!A:A,$A394,'Daily Transactions'!B:B,"Sales")</f>
        <v>0</v>
      </c>
      <c r="C394" s="38" t="n">
        <f aca="false">SUMIFS('Daily Transactions'!C:C,'Daily Transactions'!A:A,$A394,'Daily Transactions'!B:B,"&lt;&gt;Sales")</f>
        <v>0</v>
      </c>
      <c r="D394" s="38" t="n">
        <f aca="false">SUMIFS('Daily Transactions'!C:C,'Daily Transactions'!A:A,$A394,'Daily Transactions'!B:B,"&lt;&gt;Sales",'Daily Transactions'!D:D,"Cash")</f>
        <v>0</v>
      </c>
      <c r="E394" s="38" t="n">
        <f aca="false">SUMIFS('Daily Transactions'!C:C,'Daily Transactions'!A:A,$A394,'Daily Transactions'!B:B,"&lt;&gt;Sales",'Daily Transactions'!D:D,"Bank_Cash")</f>
        <v>0</v>
      </c>
      <c r="F394" s="38" t="n">
        <f aca="false">SUMIFS('Daily Transactions'!C:C,'Daily Transactions'!A:A,$A394,'Daily Transactions'!B:B,"&lt;&gt;Sales",'Daily Transactions'!D:D,"Bank")</f>
        <v>0</v>
      </c>
      <c r="G394" s="38" t="n">
        <f aca="false">B394-C394</f>
        <v>0</v>
      </c>
      <c r="H394" s="38" t="n">
        <f aca="false">J393</f>
        <v>1498</v>
      </c>
      <c r="I394" s="38" t="n">
        <f aca="false">SUMIFS('Daily Transactions'!C:C,'Daily Transactions'!A:A,$A394,'Daily Transactions'!B:B,"Sales",'Daily Transactions'!D:D,"Cash")</f>
        <v>0</v>
      </c>
      <c r="J394" s="38" t="n">
        <f aca="false">H394+I394-D394-E394</f>
        <v>1498</v>
      </c>
      <c r="K394" s="38" t="n">
        <f aca="false">J394-1000</f>
        <v>498</v>
      </c>
      <c r="L394" s="38" t="n">
        <f aca="false">SUMIFS('Daily Transactions'!C:C,'Daily Transactions'!A:A,$A394,'Daily Transactions'!B:B,"Cash Shortage",'Daily Transactions'!D:D,"Cash")</f>
        <v>0</v>
      </c>
    </row>
    <row r="395" customFormat="false" ht="15.75" hidden="false" customHeight="true" outlineLevel="0" collapsed="false">
      <c r="A395" s="37" t="n">
        <f aca="false">A394+1</f>
        <v>46049</v>
      </c>
      <c r="B395" s="38" t="n">
        <f aca="false">SUMIFS('Daily Transactions'!C:C,'Daily Transactions'!A:A,$A395,'Daily Transactions'!B:B,"Sales")</f>
        <v>0</v>
      </c>
      <c r="C395" s="38" t="n">
        <f aca="false">SUMIFS('Daily Transactions'!C:C,'Daily Transactions'!A:A,$A395,'Daily Transactions'!B:B,"&lt;&gt;Sales")</f>
        <v>0</v>
      </c>
      <c r="D395" s="38" t="n">
        <f aca="false">SUMIFS('Daily Transactions'!C:C,'Daily Transactions'!A:A,$A395,'Daily Transactions'!B:B,"&lt;&gt;Sales",'Daily Transactions'!D:D,"Cash")</f>
        <v>0</v>
      </c>
      <c r="E395" s="38" t="n">
        <f aca="false">SUMIFS('Daily Transactions'!C:C,'Daily Transactions'!A:A,$A395,'Daily Transactions'!B:B,"&lt;&gt;Sales",'Daily Transactions'!D:D,"Bank_Cash")</f>
        <v>0</v>
      </c>
      <c r="F395" s="38" t="n">
        <f aca="false">SUMIFS('Daily Transactions'!C:C,'Daily Transactions'!A:A,$A395,'Daily Transactions'!B:B,"&lt;&gt;Sales",'Daily Transactions'!D:D,"Bank")</f>
        <v>0</v>
      </c>
      <c r="G395" s="38" t="n">
        <f aca="false">B395-C395</f>
        <v>0</v>
      </c>
      <c r="H395" s="38" t="n">
        <f aca="false">J394</f>
        <v>1498</v>
      </c>
      <c r="I395" s="38" t="n">
        <f aca="false">SUMIFS('Daily Transactions'!C:C,'Daily Transactions'!A:A,$A395,'Daily Transactions'!B:B,"Sales",'Daily Transactions'!D:D,"Cash")</f>
        <v>0</v>
      </c>
      <c r="J395" s="38" t="n">
        <f aca="false">H395+I395-D395-E395</f>
        <v>1498</v>
      </c>
      <c r="K395" s="38" t="n">
        <f aca="false">J395-1000</f>
        <v>498</v>
      </c>
      <c r="L395" s="38" t="n">
        <f aca="false">SUMIFS('Daily Transactions'!C:C,'Daily Transactions'!A:A,$A395,'Daily Transactions'!B:B,"Cash Shortage",'Daily Transactions'!D:D,"Cash")</f>
        <v>0</v>
      </c>
    </row>
    <row r="396" customFormat="false" ht="15.75" hidden="false" customHeight="true" outlineLevel="0" collapsed="false">
      <c r="A396" s="37" t="n">
        <f aca="false">A395+1</f>
        <v>46050</v>
      </c>
      <c r="B396" s="38" t="n">
        <f aca="false">SUMIFS('Daily Transactions'!C:C,'Daily Transactions'!A:A,$A396,'Daily Transactions'!B:B,"Sales")</f>
        <v>0</v>
      </c>
      <c r="C396" s="38" t="n">
        <f aca="false">SUMIFS('Daily Transactions'!C:C,'Daily Transactions'!A:A,$A396,'Daily Transactions'!B:B,"&lt;&gt;Sales")</f>
        <v>0</v>
      </c>
      <c r="D396" s="38" t="n">
        <f aca="false">SUMIFS('Daily Transactions'!C:C,'Daily Transactions'!A:A,$A396,'Daily Transactions'!B:B,"&lt;&gt;Sales",'Daily Transactions'!D:D,"Cash")</f>
        <v>0</v>
      </c>
      <c r="E396" s="38" t="n">
        <f aca="false">SUMIFS('Daily Transactions'!C:C,'Daily Transactions'!A:A,$A396,'Daily Transactions'!B:B,"&lt;&gt;Sales",'Daily Transactions'!D:D,"Bank_Cash")</f>
        <v>0</v>
      </c>
      <c r="F396" s="38" t="n">
        <f aca="false">SUMIFS('Daily Transactions'!C:C,'Daily Transactions'!A:A,$A396,'Daily Transactions'!B:B,"&lt;&gt;Sales",'Daily Transactions'!D:D,"Bank")</f>
        <v>0</v>
      </c>
      <c r="G396" s="38" t="n">
        <f aca="false">B396-C396</f>
        <v>0</v>
      </c>
      <c r="H396" s="38" t="n">
        <f aca="false">J395</f>
        <v>1498</v>
      </c>
      <c r="I396" s="38" t="n">
        <f aca="false">SUMIFS('Daily Transactions'!C:C,'Daily Transactions'!A:A,$A396,'Daily Transactions'!B:B,"Sales",'Daily Transactions'!D:D,"Cash")</f>
        <v>0</v>
      </c>
      <c r="J396" s="38" t="n">
        <f aca="false">H396+I396-D396-E396</f>
        <v>1498</v>
      </c>
      <c r="K396" s="38" t="n">
        <f aca="false">J396-1000</f>
        <v>498</v>
      </c>
      <c r="L396" s="38" t="n">
        <f aca="false">SUMIFS('Daily Transactions'!C:C,'Daily Transactions'!A:A,$A396,'Daily Transactions'!B:B,"Cash Shortage",'Daily Transactions'!D:D,"Cash")</f>
        <v>0</v>
      </c>
    </row>
    <row r="397" customFormat="false" ht="15.75" hidden="false" customHeight="true" outlineLevel="0" collapsed="false">
      <c r="A397" s="37" t="n">
        <f aca="false">A396+1</f>
        <v>46051</v>
      </c>
      <c r="B397" s="38" t="n">
        <f aca="false">SUMIFS('Daily Transactions'!C:C,'Daily Transactions'!A:A,$A397,'Daily Transactions'!B:B,"Sales")</f>
        <v>0</v>
      </c>
      <c r="C397" s="38" t="n">
        <f aca="false">SUMIFS('Daily Transactions'!C:C,'Daily Transactions'!A:A,$A397,'Daily Transactions'!B:B,"&lt;&gt;Sales")</f>
        <v>0</v>
      </c>
      <c r="D397" s="38" t="n">
        <f aca="false">SUMIFS('Daily Transactions'!C:C,'Daily Transactions'!A:A,$A397,'Daily Transactions'!B:B,"&lt;&gt;Sales",'Daily Transactions'!D:D,"Cash")</f>
        <v>0</v>
      </c>
      <c r="E397" s="38" t="n">
        <f aca="false">SUMIFS('Daily Transactions'!C:C,'Daily Transactions'!A:A,$A397,'Daily Transactions'!B:B,"&lt;&gt;Sales",'Daily Transactions'!D:D,"Bank_Cash")</f>
        <v>0</v>
      </c>
      <c r="F397" s="38" t="n">
        <f aca="false">SUMIFS('Daily Transactions'!C:C,'Daily Transactions'!A:A,$A397,'Daily Transactions'!B:B,"&lt;&gt;Sales",'Daily Transactions'!D:D,"Bank")</f>
        <v>0</v>
      </c>
      <c r="G397" s="38" t="n">
        <f aca="false">B397-C397</f>
        <v>0</v>
      </c>
      <c r="H397" s="38" t="n">
        <f aca="false">J396</f>
        <v>1498</v>
      </c>
      <c r="I397" s="38" t="n">
        <f aca="false">SUMIFS('Daily Transactions'!C:C,'Daily Transactions'!A:A,$A397,'Daily Transactions'!B:B,"Sales",'Daily Transactions'!D:D,"Cash")</f>
        <v>0</v>
      </c>
      <c r="J397" s="38" t="n">
        <f aca="false">H397+I397-D397-E397</f>
        <v>1498</v>
      </c>
      <c r="K397" s="38" t="n">
        <f aca="false">J397-1000</f>
        <v>498</v>
      </c>
      <c r="L397" s="38" t="n">
        <f aca="false">SUMIFS('Daily Transactions'!C:C,'Daily Transactions'!A:A,$A397,'Daily Transactions'!B:B,"Cash Shortage",'Daily Transactions'!D:D,"Cash")</f>
        <v>0</v>
      </c>
    </row>
    <row r="398" customFormat="false" ht="15.75" hidden="false" customHeight="true" outlineLevel="0" collapsed="false">
      <c r="A398" s="37" t="n">
        <f aca="false">A397+1</f>
        <v>46052</v>
      </c>
      <c r="B398" s="38" t="n">
        <f aca="false">SUMIFS('Daily Transactions'!C:C,'Daily Transactions'!A:A,$A398,'Daily Transactions'!B:B,"Sales")</f>
        <v>0</v>
      </c>
      <c r="C398" s="38" t="n">
        <f aca="false">SUMIFS('Daily Transactions'!C:C,'Daily Transactions'!A:A,$A398,'Daily Transactions'!B:B,"&lt;&gt;Sales")</f>
        <v>0</v>
      </c>
      <c r="D398" s="38" t="n">
        <f aca="false">SUMIFS('Daily Transactions'!C:C,'Daily Transactions'!A:A,$A398,'Daily Transactions'!B:B,"&lt;&gt;Sales",'Daily Transactions'!D:D,"Cash")</f>
        <v>0</v>
      </c>
      <c r="E398" s="38" t="n">
        <f aca="false">SUMIFS('Daily Transactions'!C:C,'Daily Transactions'!A:A,$A398,'Daily Transactions'!B:B,"&lt;&gt;Sales",'Daily Transactions'!D:D,"Bank_Cash")</f>
        <v>0</v>
      </c>
      <c r="F398" s="38" t="n">
        <f aca="false">SUMIFS('Daily Transactions'!C:C,'Daily Transactions'!A:A,$A398,'Daily Transactions'!B:B,"&lt;&gt;Sales",'Daily Transactions'!D:D,"Bank")</f>
        <v>0</v>
      </c>
      <c r="G398" s="38" t="n">
        <f aca="false">B398-C398</f>
        <v>0</v>
      </c>
      <c r="H398" s="38" t="n">
        <f aca="false">J397</f>
        <v>1498</v>
      </c>
      <c r="I398" s="38" t="n">
        <f aca="false">SUMIFS('Daily Transactions'!C:C,'Daily Transactions'!A:A,$A398,'Daily Transactions'!B:B,"Sales",'Daily Transactions'!D:D,"Cash")</f>
        <v>0</v>
      </c>
      <c r="J398" s="38" t="n">
        <f aca="false">H398+I398-D398-E398</f>
        <v>1498</v>
      </c>
      <c r="K398" s="38" t="n">
        <f aca="false">J398-1000</f>
        <v>498</v>
      </c>
      <c r="L398" s="38" t="n">
        <f aca="false">SUMIFS('Daily Transactions'!C:C,'Daily Transactions'!A:A,$A398,'Daily Transactions'!B:B,"Cash Shortage",'Daily Transactions'!D:D,"Cash")</f>
        <v>0</v>
      </c>
    </row>
    <row r="399" customFormat="false" ht="15.75" hidden="false" customHeight="true" outlineLevel="0" collapsed="false">
      <c r="A399" s="37" t="n">
        <f aca="false">A398+1</f>
        <v>46053</v>
      </c>
      <c r="B399" s="38" t="n">
        <f aca="false">SUMIFS('Daily Transactions'!C:C,'Daily Transactions'!A:A,$A399,'Daily Transactions'!B:B,"Sales")</f>
        <v>0</v>
      </c>
      <c r="C399" s="38" t="n">
        <f aca="false">SUMIFS('Daily Transactions'!C:C,'Daily Transactions'!A:A,$A399,'Daily Transactions'!B:B,"&lt;&gt;Sales")</f>
        <v>0</v>
      </c>
      <c r="D399" s="38" t="n">
        <f aca="false">SUMIFS('Daily Transactions'!C:C,'Daily Transactions'!A:A,$A399,'Daily Transactions'!B:B,"&lt;&gt;Sales",'Daily Transactions'!D:D,"Cash")</f>
        <v>0</v>
      </c>
      <c r="E399" s="38" t="n">
        <f aca="false">SUMIFS('Daily Transactions'!C:C,'Daily Transactions'!A:A,$A399,'Daily Transactions'!B:B,"&lt;&gt;Sales",'Daily Transactions'!D:D,"Bank_Cash")</f>
        <v>0</v>
      </c>
      <c r="F399" s="38" t="n">
        <f aca="false">SUMIFS('Daily Transactions'!C:C,'Daily Transactions'!A:A,$A399,'Daily Transactions'!B:B,"&lt;&gt;Sales",'Daily Transactions'!D:D,"Bank")</f>
        <v>0</v>
      </c>
      <c r="G399" s="38" t="n">
        <f aca="false">B399-C399</f>
        <v>0</v>
      </c>
      <c r="H399" s="38" t="n">
        <f aca="false">J398</f>
        <v>1498</v>
      </c>
      <c r="I399" s="38" t="n">
        <f aca="false">SUMIFS('Daily Transactions'!C:C,'Daily Transactions'!A:A,$A399,'Daily Transactions'!B:B,"Sales",'Daily Transactions'!D:D,"Cash")</f>
        <v>0</v>
      </c>
      <c r="J399" s="38" t="n">
        <f aca="false">H399+I399-D399-E399</f>
        <v>1498</v>
      </c>
      <c r="K399" s="38" t="n">
        <f aca="false">J399-1000</f>
        <v>498</v>
      </c>
      <c r="L399" s="38" t="n">
        <f aca="false">SUMIFS('Daily Transactions'!C:C,'Daily Transactions'!A:A,$A399,'Daily Transactions'!B:B,"Cash Shortage",'Daily Transactions'!D:D,"Cash")</f>
        <v>0</v>
      </c>
    </row>
    <row r="400" customFormat="false" ht="15.75" hidden="false" customHeight="true" outlineLevel="0" collapsed="false">
      <c r="A400" s="37" t="n">
        <f aca="false">A399+1</f>
        <v>46054</v>
      </c>
      <c r="B400" s="38" t="n">
        <f aca="false">SUMIFS('Daily Transactions'!C:C,'Daily Transactions'!A:A,$A400,'Daily Transactions'!B:B,"Sales")</f>
        <v>0</v>
      </c>
      <c r="C400" s="38" t="n">
        <f aca="false">SUMIFS('Daily Transactions'!C:C,'Daily Transactions'!A:A,$A400,'Daily Transactions'!B:B,"&lt;&gt;Sales")</f>
        <v>0</v>
      </c>
      <c r="D400" s="38" t="n">
        <f aca="false">SUMIFS('Daily Transactions'!C:C,'Daily Transactions'!A:A,$A400,'Daily Transactions'!B:B,"&lt;&gt;Sales",'Daily Transactions'!D:D,"Cash")</f>
        <v>0</v>
      </c>
      <c r="E400" s="38" t="n">
        <f aca="false">SUMIFS('Daily Transactions'!C:C,'Daily Transactions'!A:A,$A400,'Daily Transactions'!B:B,"&lt;&gt;Sales",'Daily Transactions'!D:D,"Bank_Cash")</f>
        <v>0</v>
      </c>
      <c r="F400" s="38" t="n">
        <f aca="false">SUMIFS('Daily Transactions'!C:C,'Daily Transactions'!A:A,$A400,'Daily Transactions'!B:B,"&lt;&gt;Sales",'Daily Transactions'!D:D,"Bank")</f>
        <v>0</v>
      </c>
      <c r="G400" s="38" t="n">
        <f aca="false">B400-C400</f>
        <v>0</v>
      </c>
      <c r="H400" s="38" t="n">
        <f aca="false">J399</f>
        <v>1498</v>
      </c>
      <c r="I400" s="38" t="n">
        <f aca="false">SUMIFS('Daily Transactions'!C:C,'Daily Transactions'!A:A,$A400,'Daily Transactions'!B:B,"Sales",'Daily Transactions'!D:D,"Cash")</f>
        <v>0</v>
      </c>
      <c r="J400" s="38" t="n">
        <f aca="false">H400+I400-D400-E400</f>
        <v>1498</v>
      </c>
      <c r="K400" s="38" t="n">
        <f aca="false">J400-1000</f>
        <v>498</v>
      </c>
      <c r="L400" s="38" t="n">
        <f aca="false">SUMIFS('Daily Transactions'!C:C,'Daily Transactions'!A:A,$A400,'Daily Transactions'!B:B,"Cash Shortage",'Daily Transactions'!D:D,"Cash")</f>
        <v>0</v>
      </c>
    </row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dataValidations count="1">
    <dataValidation allowBlank="true" errorStyle="stop" operator="between" showDropDown="true" showErrorMessage="false" showInputMessage="false" sqref="A4:A202" type="custom">
      <formula1>OR(NOT(ISERROR(DATEVALUE(A4))), AND(ISNUMBER(A4), LEFT(CELL("format", A4))="D"))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H32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4296875" defaultRowHeight="15" zeroHeight="false" outlineLevelRow="0" outlineLevelCol="0"/>
  <sheetData>
    <row r="1" customFormat="false" ht="15" hidden="false" customHeight="false" outlineLevel="0" collapsed="false">
      <c r="A1" s="11" t="s">
        <v>379</v>
      </c>
    </row>
    <row r="2" customFormat="false" ht="15" hidden="false" customHeight="true" outlineLevel="0" collapsed="false">
      <c r="K2" s="39" t="s">
        <v>1</v>
      </c>
      <c r="L2" s="40" t="s">
        <v>16</v>
      </c>
    </row>
    <row r="3" customFormat="false" ht="22.05" hidden="false" customHeight="false" outlineLevel="0" collapsed="false">
      <c r="C3" s="41" t="s">
        <v>736</v>
      </c>
      <c r="D3" s="41"/>
      <c r="E3" s="41"/>
      <c r="F3" s="41"/>
      <c r="G3" s="41"/>
    </row>
    <row r="4" customFormat="false" ht="15" hidden="false" customHeight="false" outlineLevel="0" collapsed="false">
      <c r="B4" s="42" t="s">
        <v>737</v>
      </c>
      <c r="C4" s="43"/>
      <c r="D4" s="44" t="s">
        <v>3</v>
      </c>
      <c r="E4" s="45"/>
      <c r="F4" s="45"/>
      <c r="G4" s="45"/>
      <c r="H4" s="46"/>
      <c r="K4" s="47" t="s">
        <v>737</v>
      </c>
      <c r="L4" s="44" t="s">
        <v>738</v>
      </c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  <c r="EF4" s="45"/>
      <c r="EG4" s="45"/>
      <c r="EH4" s="45"/>
      <c r="EI4" s="45"/>
      <c r="EJ4" s="45"/>
      <c r="EK4" s="45"/>
      <c r="EL4" s="45"/>
      <c r="EM4" s="45"/>
      <c r="EN4" s="45"/>
      <c r="EO4" s="45"/>
      <c r="EP4" s="45"/>
      <c r="EQ4" s="45"/>
      <c r="ER4" s="45"/>
      <c r="ES4" s="45"/>
      <c r="ET4" s="45"/>
      <c r="EU4" s="45"/>
      <c r="EV4" s="45"/>
      <c r="EW4" s="45"/>
      <c r="EX4" s="45"/>
      <c r="EY4" s="45"/>
      <c r="EZ4" s="45"/>
      <c r="FA4" s="45"/>
      <c r="FB4" s="45"/>
      <c r="FC4" s="45"/>
      <c r="FD4" s="45"/>
      <c r="FE4" s="45"/>
      <c r="FF4" s="45"/>
      <c r="FG4" s="45"/>
      <c r="FH4" s="45"/>
      <c r="FI4" s="45"/>
      <c r="FJ4" s="45"/>
      <c r="FK4" s="45"/>
      <c r="FL4" s="45"/>
      <c r="FM4" s="45"/>
      <c r="FN4" s="45"/>
      <c r="FO4" s="45"/>
      <c r="FP4" s="45"/>
      <c r="FQ4" s="45"/>
      <c r="FR4" s="45"/>
      <c r="FS4" s="45"/>
      <c r="FT4" s="45"/>
      <c r="FU4" s="45"/>
      <c r="FV4" s="45"/>
      <c r="FW4" s="45"/>
      <c r="FX4" s="45"/>
      <c r="FY4" s="45"/>
      <c r="FZ4" s="45"/>
      <c r="GA4" s="45"/>
      <c r="GB4" s="45"/>
      <c r="GC4" s="45"/>
      <c r="GD4" s="45"/>
      <c r="GE4" s="45"/>
      <c r="GF4" s="45"/>
      <c r="GG4" s="45"/>
      <c r="GH4" s="45"/>
      <c r="GI4" s="45"/>
      <c r="GJ4" s="45"/>
      <c r="GK4" s="45"/>
      <c r="GL4" s="45"/>
      <c r="GM4" s="45"/>
      <c r="GN4" s="45"/>
      <c r="GO4" s="45"/>
      <c r="GP4" s="45"/>
      <c r="GQ4" s="45"/>
      <c r="GR4" s="45"/>
      <c r="GS4" s="45"/>
      <c r="GT4" s="45"/>
      <c r="GU4" s="45"/>
      <c r="GV4" s="45"/>
      <c r="GW4" s="45"/>
      <c r="GX4" s="45"/>
      <c r="GY4" s="45"/>
      <c r="GZ4" s="45"/>
      <c r="HA4" s="45"/>
      <c r="HB4" s="45"/>
      <c r="HC4" s="45"/>
      <c r="HD4" s="45"/>
      <c r="HE4" s="45"/>
      <c r="HF4" s="45"/>
      <c r="HG4" s="45"/>
      <c r="HH4" s="45"/>
      <c r="HI4" s="45"/>
      <c r="HJ4" s="45"/>
      <c r="HK4" s="45"/>
      <c r="HL4" s="45"/>
      <c r="HM4" s="45"/>
      <c r="HN4" s="45"/>
      <c r="HO4" s="45"/>
      <c r="HP4" s="45"/>
      <c r="HQ4" s="45"/>
      <c r="HR4" s="45"/>
      <c r="HS4" s="45"/>
      <c r="HT4" s="45"/>
      <c r="HU4" s="45"/>
      <c r="HV4" s="45"/>
      <c r="HW4" s="45"/>
      <c r="HX4" s="45"/>
      <c r="HY4" s="45"/>
      <c r="HZ4" s="45"/>
      <c r="IA4" s="45"/>
      <c r="IB4" s="45"/>
      <c r="IC4" s="45"/>
      <c r="ID4" s="45"/>
      <c r="IE4" s="45"/>
      <c r="IF4" s="45"/>
      <c r="IG4" s="45"/>
      <c r="IH4" s="45"/>
      <c r="II4" s="45"/>
      <c r="IJ4" s="45"/>
      <c r="IK4" s="45"/>
      <c r="IL4" s="45"/>
      <c r="IM4" s="45"/>
      <c r="IN4" s="45"/>
      <c r="IO4" s="45"/>
      <c r="IP4" s="45"/>
      <c r="IQ4" s="45"/>
      <c r="IR4" s="45"/>
      <c r="IS4" s="45"/>
      <c r="IT4" s="45"/>
      <c r="IU4" s="45"/>
      <c r="IV4" s="45"/>
      <c r="IW4" s="45"/>
      <c r="IX4" s="45"/>
      <c r="IY4" s="45"/>
      <c r="IZ4" s="45"/>
      <c r="JA4" s="45"/>
      <c r="JB4" s="45"/>
      <c r="JC4" s="45"/>
      <c r="JD4" s="45"/>
      <c r="JE4" s="45"/>
      <c r="JF4" s="45"/>
      <c r="JG4" s="45"/>
      <c r="JH4" s="45"/>
      <c r="JI4" s="45"/>
      <c r="JJ4" s="45"/>
      <c r="JK4" s="45"/>
      <c r="JL4" s="45"/>
      <c r="JM4" s="45"/>
      <c r="JN4" s="45"/>
      <c r="JO4" s="45"/>
      <c r="JP4" s="45"/>
      <c r="JQ4" s="45"/>
      <c r="JR4" s="45"/>
      <c r="JS4" s="45"/>
      <c r="JT4" s="45"/>
      <c r="JU4" s="45"/>
      <c r="JV4" s="45"/>
      <c r="JW4" s="45"/>
      <c r="JX4" s="45"/>
      <c r="JY4" s="45"/>
      <c r="JZ4" s="45"/>
      <c r="KA4" s="45"/>
      <c r="KB4" s="45"/>
      <c r="KC4" s="45"/>
      <c r="KD4" s="45"/>
      <c r="KE4" s="45"/>
      <c r="KF4" s="45"/>
      <c r="KG4" s="45"/>
      <c r="KH4" s="45"/>
      <c r="KI4" s="45"/>
      <c r="KJ4" s="45"/>
      <c r="KK4" s="45"/>
      <c r="KL4" s="45"/>
      <c r="KM4" s="45"/>
      <c r="KN4" s="45"/>
      <c r="KO4" s="45"/>
      <c r="KP4" s="45"/>
      <c r="KQ4" s="45"/>
      <c r="KR4" s="45"/>
      <c r="KS4" s="45"/>
      <c r="KT4" s="45"/>
      <c r="KU4" s="45"/>
      <c r="KV4" s="45"/>
      <c r="KW4" s="45"/>
      <c r="KX4" s="45"/>
      <c r="KY4" s="45"/>
      <c r="KZ4" s="45"/>
      <c r="LA4" s="45"/>
      <c r="LB4" s="45"/>
      <c r="LC4" s="45"/>
      <c r="LD4" s="45"/>
      <c r="LE4" s="45"/>
      <c r="LF4" s="45"/>
      <c r="LG4" s="45"/>
      <c r="LH4" s="46"/>
    </row>
    <row r="5" customFormat="false" ht="15" hidden="false" customHeight="false" outlineLevel="0" collapsed="false">
      <c r="B5" s="48" t="s">
        <v>738</v>
      </c>
      <c r="C5" s="49" t="s">
        <v>1</v>
      </c>
      <c r="D5" s="50" t="s">
        <v>13</v>
      </c>
      <c r="E5" s="51" t="s">
        <v>45</v>
      </c>
      <c r="F5" s="51" t="s">
        <v>21</v>
      </c>
      <c r="G5" s="51" t="s">
        <v>739</v>
      </c>
      <c r="H5" s="52" t="s">
        <v>740</v>
      </c>
      <c r="K5" s="48" t="s">
        <v>3</v>
      </c>
      <c r="L5" s="53" t="n">
        <v>45679</v>
      </c>
      <c r="M5" s="54" t="n">
        <v>45680</v>
      </c>
      <c r="N5" s="54" t="n">
        <v>45681</v>
      </c>
      <c r="O5" s="54" t="n">
        <v>45682</v>
      </c>
      <c r="P5" s="54" t="n">
        <v>45683</v>
      </c>
      <c r="Q5" s="54" t="n">
        <v>45684</v>
      </c>
      <c r="R5" s="54" t="n">
        <v>45685</v>
      </c>
      <c r="S5" s="54" t="n">
        <v>45686</v>
      </c>
      <c r="T5" s="54" t="n">
        <v>45687</v>
      </c>
      <c r="U5" s="54" t="n">
        <v>45688</v>
      </c>
      <c r="V5" s="54" t="n">
        <v>45689</v>
      </c>
      <c r="W5" s="54" t="n">
        <v>45690</v>
      </c>
      <c r="X5" s="54" t="n">
        <v>45691</v>
      </c>
      <c r="Y5" s="54" t="n">
        <v>45692</v>
      </c>
      <c r="Z5" s="54" t="n">
        <v>45693</v>
      </c>
      <c r="AA5" s="54" t="n">
        <v>45694</v>
      </c>
      <c r="AB5" s="54" t="n">
        <v>45695</v>
      </c>
      <c r="AC5" s="54" t="n">
        <v>45696</v>
      </c>
      <c r="AD5" s="54" t="n">
        <v>45697</v>
      </c>
      <c r="AE5" s="54" t="n">
        <v>45698</v>
      </c>
      <c r="AF5" s="54" t="n">
        <v>45699</v>
      </c>
      <c r="AG5" s="54" t="n">
        <v>45700</v>
      </c>
      <c r="AH5" s="54" t="n">
        <v>45701</v>
      </c>
      <c r="AI5" s="54" t="n">
        <v>45702</v>
      </c>
      <c r="AJ5" s="54" t="n">
        <v>45703</v>
      </c>
      <c r="AK5" s="54" t="n">
        <v>45704</v>
      </c>
      <c r="AL5" s="54" t="n">
        <v>45705</v>
      </c>
      <c r="AM5" s="54" t="n">
        <v>45706</v>
      </c>
      <c r="AN5" s="54" t="n">
        <v>45707</v>
      </c>
      <c r="AO5" s="54" t="n">
        <v>45708</v>
      </c>
      <c r="AP5" s="54" t="n">
        <v>45709</v>
      </c>
      <c r="AQ5" s="54" t="n">
        <v>45710</v>
      </c>
      <c r="AR5" s="54" t="n">
        <v>45711</v>
      </c>
      <c r="AS5" s="54" t="n">
        <v>45712</v>
      </c>
      <c r="AT5" s="54" t="n">
        <v>45713</v>
      </c>
      <c r="AU5" s="54" t="n">
        <v>45715</v>
      </c>
      <c r="AV5" s="54" t="n">
        <v>45716</v>
      </c>
      <c r="AW5" s="54" t="n">
        <v>45717</v>
      </c>
      <c r="AX5" s="54" t="n">
        <v>45718</v>
      </c>
      <c r="AY5" s="54" t="n">
        <v>45719</v>
      </c>
      <c r="AZ5" s="54" t="n">
        <v>45720</v>
      </c>
      <c r="BA5" s="54" t="n">
        <v>45721</v>
      </c>
      <c r="BB5" s="54" t="n">
        <v>45722</v>
      </c>
      <c r="BC5" s="54" t="n">
        <v>45723</v>
      </c>
      <c r="BD5" s="54" t="n">
        <v>45724</v>
      </c>
      <c r="BE5" s="54" t="n">
        <v>45725</v>
      </c>
      <c r="BF5" s="54" t="n">
        <v>45726</v>
      </c>
      <c r="BG5" s="54" t="n">
        <v>45727</v>
      </c>
      <c r="BH5" s="54" t="n">
        <v>45728</v>
      </c>
      <c r="BI5" s="54" t="n">
        <v>45729</v>
      </c>
      <c r="BJ5" s="54" t="n">
        <v>45730</v>
      </c>
      <c r="BK5" s="54" t="n">
        <v>45731</v>
      </c>
      <c r="BL5" s="54" t="n">
        <v>45732</v>
      </c>
      <c r="BM5" s="54" t="n">
        <v>45733</v>
      </c>
      <c r="BN5" s="54" t="n">
        <v>45734</v>
      </c>
      <c r="BO5" s="54" t="n">
        <v>45735</v>
      </c>
      <c r="BP5" s="54" t="n">
        <v>45736</v>
      </c>
      <c r="BQ5" s="54" t="n">
        <v>45737</v>
      </c>
      <c r="BR5" s="54" t="n">
        <v>45738</v>
      </c>
      <c r="BS5" s="54" t="n">
        <v>45739</v>
      </c>
      <c r="BT5" s="54" t="n">
        <v>45740</v>
      </c>
      <c r="BU5" s="54" t="n">
        <v>45741</v>
      </c>
      <c r="BV5" s="54" t="n">
        <v>45742</v>
      </c>
      <c r="BW5" s="54" t="n">
        <v>45743</v>
      </c>
      <c r="BX5" s="54" t="n">
        <v>45744</v>
      </c>
      <c r="BY5" s="54" t="n">
        <v>45745</v>
      </c>
      <c r="BZ5" s="54" t="n">
        <v>45746</v>
      </c>
      <c r="CA5" s="54" t="n">
        <v>45747</v>
      </c>
      <c r="CB5" s="54" t="n">
        <v>45748</v>
      </c>
      <c r="CC5" s="54" t="n">
        <v>45749</v>
      </c>
      <c r="CD5" s="54" t="n">
        <v>45750</v>
      </c>
      <c r="CE5" s="54" t="n">
        <v>45751</v>
      </c>
      <c r="CF5" s="54" t="n">
        <v>45752</v>
      </c>
      <c r="CG5" s="54" t="n">
        <v>45753</v>
      </c>
      <c r="CH5" s="54" t="n">
        <v>45754</v>
      </c>
      <c r="CI5" s="54" t="n">
        <v>45755</v>
      </c>
      <c r="CJ5" s="54" t="n">
        <v>45756</v>
      </c>
      <c r="CK5" s="54" t="n">
        <v>45757</v>
      </c>
      <c r="CL5" s="54" t="n">
        <v>45758</v>
      </c>
      <c r="CM5" s="54" t="n">
        <v>45759</v>
      </c>
      <c r="CN5" s="54" t="n">
        <v>45760</v>
      </c>
      <c r="CO5" s="54" t="n">
        <v>45761</v>
      </c>
      <c r="CP5" s="54" t="n">
        <v>45762</v>
      </c>
      <c r="CQ5" s="54" t="n">
        <v>45763</v>
      </c>
      <c r="CR5" s="54" t="n">
        <v>45764</v>
      </c>
      <c r="CS5" s="54" t="n">
        <v>45765</v>
      </c>
      <c r="CT5" s="54" t="n">
        <v>45766</v>
      </c>
      <c r="CU5" s="54" t="n">
        <v>45767</v>
      </c>
      <c r="CV5" s="54" t="n">
        <v>45768</v>
      </c>
      <c r="CW5" s="54" t="n">
        <v>45769</v>
      </c>
      <c r="CX5" s="54" t="n">
        <v>45770</v>
      </c>
      <c r="CY5" s="54" t="n">
        <v>45771</v>
      </c>
      <c r="CZ5" s="54" t="n">
        <v>45772</v>
      </c>
      <c r="DA5" s="54" t="n">
        <v>45773</v>
      </c>
      <c r="DB5" s="54" t="n">
        <v>45774</v>
      </c>
      <c r="DC5" s="54" t="n">
        <v>45775</v>
      </c>
      <c r="DD5" s="54" t="n">
        <v>45776</v>
      </c>
      <c r="DE5" s="54" t="n">
        <v>45777</v>
      </c>
      <c r="DF5" s="54" t="n">
        <v>45778</v>
      </c>
      <c r="DG5" s="54" t="n">
        <v>45779</v>
      </c>
      <c r="DH5" s="54" t="n">
        <v>45780</v>
      </c>
      <c r="DI5" s="54" t="n">
        <v>45781</v>
      </c>
      <c r="DJ5" s="54" t="n">
        <v>45782</v>
      </c>
      <c r="DK5" s="54" t="n">
        <v>45783</v>
      </c>
      <c r="DL5" s="54" t="n">
        <v>45784</v>
      </c>
      <c r="DM5" s="54" t="n">
        <v>45785</v>
      </c>
      <c r="DN5" s="54" t="n">
        <v>45786</v>
      </c>
      <c r="DO5" s="54" t="n">
        <v>45787</v>
      </c>
      <c r="DP5" s="54" t="n">
        <v>45788</v>
      </c>
      <c r="DQ5" s="54" t="n">
        <v>45789</v>
      </c>
      <c r="DR5" s="54" t="n">
        <v>45790</v>
      </c>
      <c r="DS5" s="54" t="n">
        <v>45791</v>
      </c>
      <c r="DT5" s="54" t="n">
        <v>45792</v>
      </c>
      <c r="DU5" s="54" t="n">
        <v>45793</v>
      </c>
      <c r="DV5" s="54" t="n">
        <v>45794</v>
      </c>
      <c r="DW5" s="54" t="n">
        <v>45795</v>
      </c>
      <c r="DX5" s="54" t="n">
        <v>45796</v>
      </c>
      <c r="DY5" s="54" t="n">
        <v>45797</v>
      </c>
      <c r="DZ5" s="54" t="n">
        <v>45798</v>
      </c>
      <c r="EA5" s="54" t="n">
        <v>45799</v>
      </c>
      <c r="EB5" s="54" t="n">
        <v>45800</v>
      </c>
      <c r="EC5" s="54" t="n">
        <v>45801</v>
      </c>
      <c r="ED5" s="54" t="n">
        <v>45802</v>
      </c>
      <c r="EE5" s="54" t="n">
        <v>45803</v>
      </c>
      <c r="EF5" s="54" t="n">
        <v>45804</v>
      </c>
      <c r="EG5" s="54" t="n">
        <v>45805</v>
      </c>
      <c r="EH5" s="54" t="n">
        <v>45806</v>
      </c>
      <c r="EI5" s="54" t="n">
        <v>45807</v>
      </c>
      <c r="EJ5" s="54" t="n">
        <v>45808</v>
      </c>
      <c r="EK5" s="54" t="n">
        <v>45809</v>
      </c>
      <c r="EL5" s="54" t="n">
        <v>45810</v>
      </c>
      <c r="EM5" s="54" t="n">
        <v>45811</v>
      </c>
      <c r="EN5" s="54" t="n">
        <v>45812</v>
      </c>
      <c r="EO5" s="54" t="n">
        <v>45813</v>
      </c>
      <c r="EP5" s="54" t="n">
        <v>45814</v>
      </c>
      <c r="EQ5" s="54" t="n">
        <v>45815</v>
      </c>
      <c r="ER5" s="54" t="n">
        <v>45816</v>
      </c>
      <c r="ES5" s="54" t="n">
        <v>45817</v>
      </c>
      <c r="ET5" s="54" t="n">
        <v>45818</v>
      </c>
      <c r="EU5" s="54" t="n">
        <v>45819</v>
      </c>
      <c r="EV5" s="54" t="n">
        <v>45820</v>
      </c>
      <c r="EW5" s="54" t="n">
        <v>45821</v>
      </c>
      <c r="EX5" s="54" t="n">
        <v>45822</v>
      </c>
      <c r="EY5" s="54" t="n">
        <v>45823</v>
      </c>
      <c r="EZ5" s="54" t="n">
        <v>45825</v>
      </c>
      <c r="FA5" s="54" t="n">
        <v>45826</v>
      </c>
      <c r="FB5" s="54" t="n">
        <v>45827</v>
      </c>
      <c r="FC5" s="54" t="n">
        <v>45828</v>
      </c>
      <c r="FD5" s="54" t="n">
        <v>45829</v>
      </c>
      <c r="FE5" s="54" t="n">
        <v>45830</v>
      </c>
      <c r="FF5" s="54" t="n">
        <v>45831</v>
      </c>
      <c r="FG5" s="54" t="n">
        <v>45832</v>
      </c>
      <c r="FH5" s="54" t="n">
        <v>45833</v>
      </c>
      <c r="FI5" s="54" t="n">
        <v>45834</v>
      </c>
      <c r="FJ5" s="54" t="n">
        <v>45835</v>
      </c>
      <c r="FK5" s="54" t="n">
        <v>45836</v>
      </c>
      <c r="FL5" s="54" t="n">
        <v>45837</v>
      </c>
      <c r="FM5" s="54" t="n">
        <v>45838</v>
      </c>
      <c r="FN5" s="54" t="n">
        <v>45839</v>
      </c>
      <c r="FO5" s="54" t="n">
        <v>45840</v>
      </c>
      <c r="FP5" s="54" t="n">
        <v>45841</v>
      </c>
      <c r="FQ5" s="54" t="n">
        <v>45842</v>
      </c>
      <c r="FR5" s="54" t="n">
        <v>45843</v>
      </c>
      <c r="FS5" s="54" t="n">
        <v>45844</v>
      </c>
      <c r="FT5" s="54" t="n">
        <v>45845</v>
      </c>
      <c r="FU5" s="54" t="n">
        <v>45846</v>
      </c>
      <c r="FV5" s="54" t="n">
        <v>45847</v>
      </c>
      <c r="FW5" s="54" t="n">
        <v>45848</v>
      </c>
      <c r="FX5" s="54" t="n">
        <v>45849</v>
      </c>
      <c r="FY5" s="54" t="n">
        <v>45850</v>
      </c>
      <c r="FZ5" s="54" t="n">
        <v>45851</v>
      </c>
      <c r="GA5" s="54" t="n">
        <v>45852</v>
      </c>
      <c r="GB5" s="54" t="n">
        <v>45853</v>
      </c>
      <c r="GC5" s="54" t="n">
        <v>45854</v>
      </c>
      <c r="GD5" s="54" t="n">
        <v>45855</v>
      </c>
      <c r="GE5" s="54" t="n">
        <v>45856</v>
      </c>
      <c r="GF5" s="54" t="n">
        <v>45857</v>
      </c>
      <c r="GG5" s="54" t="n">
        <v>45858</v>
      </c>
      <c r="GH5" s="54" t="n">
        <v>45859</v>
      </c>
      <c r="GI5" s="54" t="n">
        <v>45860</v>
      </c>
      <c r="GJ5" s="54" t="n">
        <v>45861</v>
      </c>
      <c r="GK5" s="54" t="n">
        <v>45862</v>
      </c>
      <c r="GL5" s="54" t="n">
        <v>45863</v>
      </c>
      <c r="GM5" s="54" t="n">
        <v>45864</v>
      </c>
      <c r="GN5" s="54" t="n">
        <v>45865</v>
      </c>
      <c r="GO5" s="54" t="n">
        <v>45866</v>
      </c>
      <c r="GP5" s="54" t="n">
        <v>45867</v>
      </c>
      <c r="GQ5" s="54" t="n">
        <v>45868</v>
      </c>
      <c r="GR5" s="54" t="n">
        <v>45869</v>
      </c>
      <c r="GS5" s="54" t="n">
        <v>45870</v>
      </c>
      <c r="GT5" s="54" t="n">
        <v>45871</v>
      </c>
      <c r="GU5" s="54" t="n">
        <v>45872</v>
      </c>
      <c r="GV5" s="54" t="n">
        <v>45873</v>
      </c>
      <c r="GW5" s="54" t="n">
        <v>45874</v>
      </c>
      <c r="GX5" s="54" t="n">
        <v>45875</v>
      </c>
      <c r="GY5" s="54" t="n">
        <v>45876</v>
      </c>
      <c r="GZ5" s="54" t="n">
        <v>45877</v>
      </c>
      <c r="HA5" s="54" t="n">
        <v>45878</v>
      </c>
      <c r="HB5" s="54" t="n">
        <v>45879</v>
      </c>
      <c r="HC5" s="54" t="n">
        <v>45880</v>
      </c>
      <c r="HD5" s="54" t="n">
        <v>45881</v>
      </c>
      <c r="HE5" s="54" t="n">
        <v>45882</v>
      </c>
      <c r="HF5" s="54" t="n">
        <v>45883</v>
      </c>
      <c r="HG5" s="54" t="n">
        <v>45884</v>
      </c>
      <c r="HH5" s="54" t="n">
        <v>45885</v>
      </c>
      <c r="HI5" s="54" t="n">
        <v>45886</v>
      </c>
      <c r="HJ5" s="54" t="n">
        <v>45887</v>
      </c>
      <c r="HK5" s="54" t="n">
        <v>45888</v>
      </c>
      <c r="HL5" s="54" t="n">
        <v>45889</v>
      </c>
      <c r="HM5" s="54" t="n">
        <v>45890</v>
      </c>
      <c r="HN5" s="54" t="n">
        <v>45891</v>
      </c>
      <c r="HO5" s="54" t="n">
        <v>45892</v>
      </c>
      <c r="HP5" s="54" t="n">
        <v>45893</v>
      </c>
      <c r="HQ5" s="54" t="n">
        <v>45894</v>
      </c>
      <c r="HR5" s="54" t="n">
        <v>45895</v>
      </c>
      <c r="HS5" s="54" t="n">
        <v>45896</v>
      </c>
      <c r="HT5" s="54" t="n">
        <v>45897</v>
      </c>
      <c r="HU5" s="54" t="n">
        <v>45898</v>
      </c>
      <c r="HV5" s="54" t="n">
        <v>45899</v>
      </c>
      <c r="HW5" s="54" t="n">
        <v>45900</v>
      </c>
      <c r="HX5" s="54" t="n">
        <v>45901</v>
      </c>
      <c r="HY5" s="54" t="n">
        <v>45902</v>
      </c>
      <c r="HZ5" s="54" t="n">
        <v>45903</v>
      </c>
      <c r="IA5" s="54" t="n">
        <v>45904</v>
      </c>
      <c r="IB5" s="54" t="n">
        <v>45905</v>
      </c>
      <c r="IC5" s="54" t="n">
        <v>45906</v>
      </c>
      <c r="ID5" s="54" t="n">
        <v>45907</v>
      </c>
      <c r="IE5" s="54" t="n">
        <v>45908</v>
      </c>
      <c r="IF5" s="54" t="n">
        <v>45909</v>
      </c>
      <c r="IG5" s="54" t="n">
        <v>45910</v>
      </c>
      <c r="IH5" s="54" t="n">
        <v>45911</v>
      </c>
      <c r="II5" s="54" t="n">
        <v>45912</v>
      </c>
      <c r="IJ5" s="54" t="n">
        <v>45913</v>
      </c>
      <c r="IK5" s="54" t="n">
        <v>45914</v>
      </c>
      <c r="IL5" s="54" t="n">
        <v>45915</v>
      </c>
      <c r="IM5" s="54" t="n">
        <v>45916</v>
      </c>
      <c r="IN5" s="54" t="n">
        <v>45917</v>
      </c>
      <c r="IO5" s="54" t="n">
        <v>45918</v>
      </c>
      <c r="IP5" s="54" t="n">
        <v>45919</v>
      </c>
      <c r="IQ5" s="54" t="n">
        <v>45920</v>
      </c>
      <c r="IR5" s="54" t="n">
        <v>45921</v>
      </c>
      <c r="IS5" s="54" t="n">
        <v>45922</v>
      </c>
      <c r="IT5" s="54" t="n">
        <v>45923</v>
      </c>
      <c r="IU5" s="54" t="n">
        <v>45924</v>
      </c>
      <c r="IV5" s="54" t="n">
        <v>45925</v>
      </c>
      <c r="IW5" s="54" t="n">
        <v>45926</v>
      </c>
      <c r="IX5" s="54" t="n">
        <v>45927</v>
      </c>
      <c r="IY5" s="54" t="n">
        <v>45928</v>
      </c>
      <c r="IZ5" s="54" t="n">
        <v>45929</v>
      </c>
      <c r="JA5" s="54" t="n">
        <v>45930</v>
      </c>
      <c r="JB5" s="54" t="n">
        <v>45931</v>
      </c>
      <c r="JC5" s="54" t="n">
        <v>45932</v>
      </c>
      <c r="JD5" s="54" t="n">
        <v>45933</v>
      </c>
      <c r="JE5" s="54" t="n">
        <v>45934</v>
      </c>
      <c r="JF5" s="54" t="n">
        <v>45935</v>
      </c>
      <c r="JG5" s="54" t="n">
        <v>45936</v>
      </c>
      <c r="JH5" s="54" t="n">
        <v>45937</v>
      </c>
      <c r="JI5" s="54" t="n">
        <v>45938</v>
      </c>
      <c r="JJ5" s="54" t="n">
        <v>45939</v>
      </c>
      <c r="JK5" s="54" t="n">
        <v>45940</v>
      </c>
      <c r="JL5" s="54" t="n">
        <v>45941</v>
      </c>
      <c r="JM5" s="54" t="n">
        <v>45942</v>
      </c>
      <c r="JN5" s="54" t="n">
        <v>45943</v>
      </c>
      <c r="JO5" s="54" t="n">
        <v>45944</v>
      </c>
      <c r="JP5" s="54" t="n">
        <v>45945</v>
      </c>
      <c r="JQ5" s="54" t="n">
        <v>45946</v>
      </c>
      <c r="JR5" s="54" t="n">
        <v>45947</v>
      </c>
      <c r="JS5" s="54" t="n">
        <v>45948</v>
      </c>
      <c r="JT5" s="54" t="n">
        <v>45949</v>
      </c>
      <c r="JU5" s="54" t="n">
        <v>45950</v>
      </c>
      <c r="JV5" s="54" t="n">
        <v>45951</v>
      </c>
      <c r="JW5" s="54" t="n">
        <v>45952</v>
      </c>
      <c r="JX5" s="54" t="n">
        <v>45953</v>
      </c>
      <c r="JY5" s="54" t="n">
        <v>45954</v>
      </c>
      <c r="JZ5" s="54" t="n">
        <v>45955</v>
      </c>
      <c r="KA5" s="54" t="n">
        <v>45956</v>
      </c>
      <c r="KB5" s="54" t="n">
        <v>45957</v>
      </c>
      <c r="KC5" s="54" t="n">
        <v>45958</v>
      </c>
      <c r="KD5" s="54" t="n">
        <v>45959</v>
      </c>
      <c r="KE5" s="54" t="n">
        <v>45960</v>
      </c>
      <c r="KF5" s="54" t="n">
        <v>45961</v>
      </c>
      <c r="KG5" s="54" t="n">
        <v>45962</v>
      </c>
      <c r="KH5" s="54" t="n">
        <v>45963</v>
      </c>
      <c r="KI5" s="54" t="n">
        <v>45964</v>
      </c>
      <c r="KJ5" s="54" t="n">
        <v>45965</v>
      </c>
      <c r="KK5" s="54" t="n">
        <v>45966</v>
      </c>
      <c r="KL5" s="54" t="n">
        <v>45967</v>
      </c>
      <c r="KM5" s="54" t="n">
        <v>45968</v>
      </c>
      <c r="KN5" s="54" t="n">
        <v>45969</v>
      </c>
      <c r="KO5" s="54" t="n">
        <v>45970</v>
      </c>
      <c r="KP5" s="54" t="n">
        <v>45971</v>
      </c>
      <c r="KQ5" s="54" t="n">
        <v>45972</v>
      </c>
      <c r="KR5" s="54" t="n">
        <v>45973</v>
      </c>
      <c r="KS5" s="54" t="n">
        <v>45974</v>
      </c>
      <c r="KT5" s="54" t="n">
        <v>45975</v>
      </c>
      <c r="KU5" s="54" t="n">
        <v>45976</v>
      </c>
      <c r="KV5" s="54" t="n">
        <v>45977</v>
      </c>
      <c r="KW5" s="54" t="n">
        <v>45978</v>
      </c>
      <c r="KX5" s="54" t="n">
        <v>45979</v>
      </c>
      <c r="KY5" s="54" t="n">
        <v>45980</v>
      </c>
      <c r="KZ5" s="54" t="n">
        <v>45981</v>
      </c>
      <c r="LA5" s="54" t="n">
        <v>45982</v>
      </c>
      <c r="LB5" s="54" t="n">
        <v>45983</v>
      </c>
      <c r="LC5" s="54" t="n">
        <v>45984</v>
      </c>
      <c r="LD5" s="54" t="n">
        <v>45985</v>
      </c>
      <c r="LE5" s="54" t="n">
        <v>45986</v>
      </c>
      <c r="LF5" s="54" t="n">
        <v>45987</v>
      </c>
      <c r="LG5" s="54" t="n">
        <v>45988</v>
      </c>
      <c r="LH5" s="55" t="s">
        <v>740</v>
      </c>
    </row>
    <row r="6" customFormat="false" ht="15" hidden="false" customHeight="false" outlineLevel="0" collapsed="false">
      <c r="B6" s="56" t="n">
        <v>45679</v>
      </c>
      <c r="C6" s="57" t="s">
        <v>32</v>
      </c>
      <c r="D6" s="58"/>
      <c r="E6" s="59"/>
      <c r="F6" s="60" t="n">
        <v>325</v>
      </c>
      <c r="G6" s="61"/>
      <c r="H6" s="62" t="n">
        <v>325</v>
      </c>
      <c r="K6" s="63" t="s">
        <v>13</v>
      </c>
      <c r="L6" s="58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59"/>
      <c r="DA6" s="59"/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59"/>
      <c r="DR6" s="59"/>
      <c r="DS6" s="59"/>
      <c r="DT6" s="59"/>
      <c r="DU6" s="59"/>
      <c r="DV6" s="59"/>
      <c r="DW6" s="59"/>
      <c r="DX6" s="59"/>
      <c r="DY6" s="59"/>
      <c r="DZ6" s="59"/>
      <c r="EA6" s="59"/>
      <c r="EB6" s="59"/>
      <c r="EC6" s="59"/>
      <c r="ED6" s="59"/>
      <c r="EE6" s="59"/>
      <c r="EF6" s="59"/>
      <c r="EG6" s="59"/>
      <c r="EH6" s="59"/>
      <c r="EI6" s="59"/>
      <c r="EJ6" s="59"/>
      <c r="EK6" s="59"/>
      <c r="EL6" s="59"/>
      <c r="EM6" s="59"/>
      <c r="EN6" s="59"/>
      <c r="EO6" s="59"/>
      <c r="EP6" s="59"/>
      <c r="EQ6" s="59"/>
      <c r="ER6" s="59"/>
      <c r="ES6" s="59"/>
      <c r="ET6" s="60" t="n">
        <v>13949</v>
      </c>
      <c r="EU6" s="59"/>
      <c r="EV6" s="59"/>
      <c r="EW6" s="59"/>
      <c r="EX6" s="59"/>
      <c r="EY6" s="59"/>
      <c r="EZ6" s="59"/>
      <c r="FA6" s="59"/>
      <c r="FB6" s="59"/>
      <c r="FC6" s="59"/>
      <c r="FD6" s="59"/>
      <c r="FE6" s="60" t="n">
        <v>3200</v>
      </c>
      <c r="FF6" s="59"/>
      <c r="FG6" s="59"/>
      <c r="FH6" s="59"/>
      <c r="FI6" s="59"/>
      <c r="FJ6" s="59"/>
      <c r="FK6" s="59"/>
      <c r="FL6" s="59"/>
      <c r="FM6" s="59"/>
      <c r="FN6" s="59"/>
      <c r="FO6" s="59"/>
      <c r="FP6" s="59"/>
      <c r="FQ6" s="59"/>
      <c r="FR6" s="59"/>
      <c r="FS6" s="59"/>
      <c r="FT6" s="59"/>
      <c r="FU6" s="59"/>
      <c r="FV6" s="59"/>
      <c r="FW6" s="59"/>
      <c r="FX6" s="59"/>
      <c r="FY6" s="59"/>
      <c r="FZ6" s="59"/>
      <c r="GA6" s="59"/>
      <c r="GB6" s="59"/>
      <c r="GC6" s="59"/>
      <c r="GD6" s="59"/>
      <c r="GE6" s="59"/>
      <c r="GF6" s="59"/>
      <c r="GG6" s="59"/>
      <c r="GH6" s="59"/>
      <c r="GI6" s="59"/>
      <c r="GJ6" s="59"/>
      <c r="GK6" s="59"/>
      <c r="GL6" s="59"/>
      <c r="GM6" s="59"/>
      <c r="GN6" s="59"/>
      <c r="GO6" s="59"/>
      <c r="GP6" s="59"/>
      <c r="GQ6" s="59"/>
      <c r="GR6" s="59"/>
      <c r="GS6" s="59"/>
      <c r="GT6" s="59"/>
      <c r="GU6" s="59"/>
      <c r="GV6" s="59"/>
      <c r="GW6" s="59"/>
      <c r="GX6" s="59"/>
      <c r="GY6" s="59"/>
      <c r="GZ6" s="59"/>
      <c r="HA6" s="59"/>
      <c r="HB6" s="59"/>
      <c r="HC6" s="59"/>
      <c r="HD6" s="59"/>
      <c r="HE6" s="59"/>
      <c r="HF6" s="59"/>
      <c r="HG6" s="59"/>
      <c r="HH6" s="59"/>
      <c r="HI6" s="59"/>
      <c r="HJ6" s="59"/>
      <c r="HK6" s="59"/>
      <c r="HL6" s="59"/>
      <c r="HM6" s="59"/>
      <c r="HN6" s="59"/>
      <c r="HO6" s="59"/>
      <c r="HP6" s="59"/>
      <c r="HQ6" s="59"/>
      <c r="HR6" s="59"/>
      <c r="HS6" s="59"/>
      <c r="HT6" s="59"/>
      <c r="HU6" s="59"/>
      <c r="HV6" s="59"/>
      <c r="HW6" s="59"/>
      <c r="HX6" s="59"/>
      <c r="HY6" s="59"/>
      <c r="HZ6" s="59"/>
      <c r="IA6" s="59"/>
      <c r="IB6" s="59"/>
      <c r="IC6" s="59"/>
      <c r="ID6" s="59"/>
      <c r="IE6" s="59"/>
      <c r="IF6" s="59"/>
      <c r="IG6" s="59"/>
      <c r="IH6" s="59"/>
      <c r="II6" s="59"/>
      <c r="IJ6" s="59"/>
      <c r="IK6" s="59"/>
      <c r="IL6" s="59"/>
      <c r="IM6" s="59"/>
      <c r="IN6" s="59"/>
      <c r="IO6" s="59"/>
      <c r="IP6" s="59"/>
      <c r="IQ6" s="59"/>
      <c r="IR6" s="59"/>
      <c r="IS6" s="59"/>
      <c r="IT6" s="59"/>
      <c r="IU6" s="59"/>
      <c r="IV6" s="59"/>
      <c r="IW6" s="59"/>
      <c r="IX6" s="59"/>
      <c r="IY6" s="59"/>
      <c r="IZ6" s="59"/>
      <c r="JA6" s="59"/>
      <c r="JB6" s="59"/>
      <c r="JC6" s="59"/>
      <c r="JD6" s="59"/>
      <c r="JE6" s="59"/>
      <c r="JF6" s="59"/>
      <c r="JG6" s="59"/>
      <c r="JH6" s="59"/>
      <c r="JI6" s="59"/>
      <c r="JJ6" s="59"/>
      <c r="JK6" s="59"/>
      <c r="JL6" s="59"/>
      <c r="JM6" s="59"/>
      <c r="JN6" s="59"/>
      <c r="JO6" s="59"/>
      <c r="JP6" s="59"/>
      <c r="JQ6" s="59"/>
      <c r="JR6" s="59"/>
      <c r="JS6" s="59"/>
      <c r="JT6" s="59"/>
      <c r="JU6" s="59"/>
      <c r="JV6" s="59"/>
      <c r="JW6" s="59"/>
      <c r="JX6" s="59"/>
      <c r="JY6" s="59"/>
      <c r="JZ6" s="59"/>
      <c r="KA6" s="59"/>
      <c r="KB6" s="59"/>
      <c r="KC6" s="59"/>
      <c r="KD6" s="59"/>
      <c r="KE6" s="59"/>
      <c r="KF6" s="59"/>
      <c r="KG6" s="59"/>
      <c r="KH6" s="59"/>
      <c r="KI6" s="59"/>
      <c r="KJ6" s="59"/>
      <c r="KK6" s="59"/>
      <c r="KL6" s="59"/>
      <c r="KM6" s="59"/>
      <c r="KN6" s="59"/>
      <c r="KO6" s="59"/>
      <c r="KP6" s="59"/>
      <c r="KQ6" s="59"/>
      <c r="KR6" s="59"/>
      <c r="KS6" s="59"/>
      <c r="KT6" s="59"/>
      <c r="KU6" s="59"/>
      <c r="KV6" s="59"/>
      <c r="KW6" s="59"/>
      <c r="KX6" s="59"/>
      <c r="KY6" s="59"/>
      <c r="KZ6" s="59"/>
      <c r="LA6" s="59"/>
      <c r="LB6" s="59"/>
      <c r="LC6" s="59"/>
      <c r="LD6" s="59"/>
      <c r="LE6" s="59"/>
      <c r="LF6" s="59"/>
      <c r="LG6" s="61"/>
      <c r="LH6" s="62" t="n">
        <v>17149</v>
      </c>
    </row>
    <row r="7" customFormat="false" ht="15" hidden="false" customHeight="false" outlineLevel="0" collapsed="false">
      <c r="B7" s="64"/>
      <c r="C7" s="65" t="s">
        <v>19</v>
      </c>
      <c r="D7" s="66" t="n">
        <v>5627</v>
      </c>
      <c r="E7" s="67"/>
      <c r="F7" s="67"/>
      <c r="G7" s="68"/>
      <c r="H7" s="69" t="n">
        <v>5627</v>
      </c>
      <c r="K7" s="70" t="s">
        <v>27</v>
      </c>
      <c r="L7" s="66" t="n">
        <v>1314</v>
      </c>
      <c r="M7" s="67"/>
      <c r="N7" s="71" t="n">
        <v>250</v>
      </c>
      <c r="O7" s="67"/>
      <c r="P7" s="71" t="n">
        <v>1620</v>
      </c>
      <c r="Q7" s="71" t="n">
        <v>1500</v>
      </c>
      <c r="R7" s="71" t="n">
        <v>1570</v>
      </c>
      <c r="S7" s="67"/>
      <c r="T7" s="71" t="n">
        <v>530</v>
      </c>
      <c r="U7" s="71" t="n">
        <v>1395</v>
      </c>
      <c r="V7" s="71" t="n">
        <v>2285</v>
      </c>
      <c r="W7" s="71" t="n">
        <v>2510</v>
      </c>
      <c r="X7" s="71" t="n">
        <v>879</v>
      </c>
      <c r="Y7" s="71" t="n">
        <v>20</v>
      </c>
      <c r="Z7" s="67"/>
      <c r="AA7" s="67"/>
      <c r="AB7" s="67"/>
      <c r="AC7" s="71" t="n">
        <v>1910</v>
      </c>
      <c r="AD7" s="71" t="n">
        <v>531</v>
      </c>
      <c r="AE7" s="67"/>
      <c r="AF7" s="71" t="n">
        <v>480</v>
      </c>
      <c r="AG7" s="71" t="n">
        <v>380</v>
      </c>
      <c r="AH7" s="71" t="n">
        <v>180</v>
      </c>
      <c r="AI7" s="71" t="n">
        <v>750</v>
      </c>
      <c r="AJ7" s="71" t="n">
        <v>1685</v>
      </c>
      <c r="AK7" s="71" t="n">
        <v>1055</v>
      </c>
      <c r="AL7" s="67"/>
      <c r="AM7" s="71" t="n">
        <v>1835</v>
      </c>
      <c r="AN7" s="71" t="n">
        <v>410</v>
      </c>
      <c r="AO7" s="67"/>
      <c r="AP7" s="71" t="n">
        <v>1755</v>
      </c>
      <c r="AQ7" s="67"/>
      <c r="AR7" s="71" t="n">
        <v>1350</v>
      </c>
      <c r="AS7" s="71" t="n">
        <v>765</v>
      </c>
      <c r="AT7" s="67"/>
      <c r="AU7" s="71" t="n">
        <v>2130</v>
      </c>
      <c r="AV7" s="71" t="n">
        <v>3690</v>
      </c>
      <c r="AW7" s="71" t="n">
        <v>760</v>
      </c>
      <c r="AX7" s="67"/>
      <c r="AY7" s="71" t="n">
        <v>654</v>
      </c>
      <c r="AZ7" s="71" t="n">
        <v>705</v>
      </c>
      <c r="BA7" s="67"/>
      <c r="BB7" s="71" t="n">
        <v>180</v>
      </c>
      <c r="BC7" s="71" t="n">
        <v>2755</v>
      </c>
      <c r="BD7" s="71" t="n">
        <v>449</v>
      </c>
      <c r="BE7" s="71" t="n">
        <v>2880</v>
      </c>
      <c r="BF7" s="67"/>
      <c r="BG7" s="71" t="n">
        <v>370</v>
      </c>
      <c r="BH7" s="71" t="n">
        <v>2475</v>
      </c>
      <c r="BI7" s="71" t="n">
        <v>475</v>
      </c>
      <c r="BJ7" s="71" t="n">
        <v>1088</v>
      </c>
      <c r="BK7" s="67"/>
      <c r="BL7" s="71" t="n">
        <v>1200</v>
      </c>
      <c r="BM7" s="67"/>
      <c r="BN7" s="67"/>
      <c r="BO7" s="67"/>
      <c r="BP7" s="71" t="n">
        <v>790</v>
      </c>
      <c r="BQ7" s="71" t="n">
        <v>1615</v>
      </c>
      <c r="BR7" s="71" t="n">
        <v>3315</v>
      </c>
      <c r="BS7" s="71" t="n">
        <v>1160</v>
      </c>
      <c r="BT7" s="71" t="n">
        <v>440</v>
      </c>
      <c r="BU7" s="71" t="n">
        <v>2870</v>
      </c>
      <c r="BV7" s="71" t="n">
        <v>155</v>
      </c>
      <c r="BW7" s="71" t="n">
        <v>860</v>
      </c>
      <c r="BX7" s="71" t="n">
        <v>1075</v>
      </c>
      <c r="BY7" s="67"/>
      <c r="BZ7" s="67"/>
      <c r="CA7" s="71" t="n">
        <v>2090</v>
      </c>
      <c r="CB7" s="71" t="n">
        <v>400</v>
      </c>
      <c r="CC7" s="67"/>
      <c r="CD7" s="67"/>
      <c r="CE7" s="71" t="n">
        <v>790</v>
      </c>
      <c r="CF7" s="71" t="n">
        <v>1425</v>
      </c>
      <c r="CG7" s="71" t="n">
        <v>280</v>
      </c>
      <c r="CH7" s="71" t="n">
        <v>1970</v>
      </c>
      <c r="CI7" s="67"/>
      <c r="CJ7" s="71" t="n">
        <v>1370</v>
      </c>
      <c r="CK7" s="71" t="n">
        <v>1155</v>
      </c>
      <c r="CL7" s="71" t="n">
        <v>650</v>
      </c>
      <c r="CM7" s="71" t="n">
        <v>705</v>
      </c>
      <c r="CN7" s="71" t="n">
        <v>935</v>
      </c>
      <c r="CO7" s="67"/>
      <c r="CP7" s="71" t="n">
        <v>1080</v>
      </c>
      <c r="CQ7" s="71" t="n">
        <v>1270</v>
      </c>
      <c r="CR7" s="67"/>
      <c r="CS7" s="67"/>
      <c r="CT7" s="71" t="n">
        <v>1035</v>
      </c>
      <c r="CU7" s="71" t="n">
        <v>1330</v>
      </c>
      <c r="CV7" s="71" t="n">
        <v>380</v>
      </c>
      <c r="CW7" s="71" t="n">
        <v>1079</v>
      </c>
      <c r="CX7" s="71" t="n">
        <v>935</v>
      </c>
      <c r="CY7" s="71" t="n">
        <v>210</v>
      </c>
      <c r="CZ7" s="71" t="n">
        <v>1105</v>
      </c>
      <c r="DA7" s="71" t="n">
        <v>2320</v>
      </c>
      <c r="DB7" s="71" t="n">
        <v>1590</v>
      </c>
      <c r="DC7" s="67"/>
      <c r="DD7" s="71" t="n">
        <v>155</v>
      </c>
      <c r="DE7" s="67"/>
      <c r="DF7" s="71" t="n">
        <v>210</v>
      </c>
      <c r="DG7" s="71" t="n">
        <v>685</v>
      </c>
      <c r="DH7" s="71" t="n">
        <v>1460</v>
      </c>
      <c r="DI7" s="67"/>
      <c r="DJ7" s="71" t="n">
        <v>825</v>
      </c>
      <c r="DK7" s="71" t="n">
        <v>480</v>
      </c>
      <c r="DL7" s="67"/>
      <c r="DM7" s="67"/>
      <c r="DN7" s="71" t="n">
        <v>894</v>
      </c>
      <c r="DO7" s="71" t="n">
        <v>980</v>
      </c>
      <c r="DP7" s="71" t="n">
        <v>1445</v>
      </c>
      <c r="DQ7" s="67"/>
      <c r="DR7" s="71" t="n">
        <v>435</v>
      </c>
      <c r="DS7" s="71" t="n">
        <v>1120</v>
      </c>
      <c r="DT7" s="67"/>
      <c r="DU7" s="71" t="n">
        <v>3920</v>
      </c>
      <c r="DV7" s="67"/>
      <c r="DW7" s="71" t="n">
        <v>1750</v>
      </c>
      <c r="DX7" s="67"/>
      <c r="DY7" s="71" t="n">
        <v>170</v>
      </c>
      <c r="DZ7" s="71" t="n">
        <v>1360</v>
      </c>
      <c r="EA7" s="71" t="n">
        <v>1055</v>
      </c>
      <c r="EB7" s="71" t="n">
        <v>225</v>
      </c>
      <c r="EC7" s="67"/>
      <c r="ED7" s="71" t="n">
        <v>260</v>
      </c>
      <c r="EE7" s="71" t="n">
        <v>80</v>
      </c>
      <c r="EF7" s="67"/>
      <c r="EG7" s="71" t="n">
        <v>230</v>
      </c>
      <c r="EH7" s="71" t="n">
        <v>1565</v>
      </c>
      <c r="EI7" s="71" t="n">
        <v>454</v>
      </c>
      <c r="EJ7" s="67"/>
      <c r="EK7" s="71" t="n">
        <v>1650</v>
      </c>
      <c r="EL7" s="71" t="n">
        <v>915</v>
      </c>
      <c r="EM7" s="71" t="n">
        <v>320</v>
      </c>
      <c r="EN7" s="71" t="n">
        <v>230</v>
      </c>
      <c r="EO7" s="71" t="n">
        <v>430</v>
      </c>
      <c r="EP7" s="71" t="n">
        <v>1565</v>
      </c>
      <c r="EQ7" s="71" t="n">
        <v>520</v>
      </c>
      <c r="ER7" s="71" t="n">
        <v>410</v>
      </c>
      <c r="ES7" s="71" t="n">
        <v>799</v>
      </c>
      <c r="ET7" s="67"/>
      <c r="EU7" s="71" t="n">
        <v>2360</v>
      </c>
      <c r="EV7" s="71" t="n">
        <v>1165</v>
      </c>
      <c r="EW7" s="67"/>
      <c r="EX7" s="71" t="n">
        <v>1060</v>
      </c>
      <c r="EY7" s="67"/>
      <c r="EZ7" s="67"/>
      <c r="FA7" s="71" t="n">
        <v>3010</v>
      </c>
      <c r="FB7" s="71" t="n">
        <v>1089</v>
      </c>
      <c r="FC7" s="67"/>
      <c r="FD7" s="71" t="n">
        <v>270</v>
      </c>
      <c r="FE7" s="67"/>
      <c r="FF7" s="71" t="n">
        <v>210</v>
      </c>
      <c r="FG7" s="71" t="n">
        <v>850</v>
      </c>
      <c r="FH7" s="67"/>
      <c r="FI7" s="71" t="n">
        <v>250</v>
      </c>
      <c r="FJ7" s="71" t="n">
        <v>1840</v>
      </c>
      <c r="FK7" s="71" t="n">
        <v>3263</v>
      </c>
      <c r="FL7" s="67"/>
      <c r="FM7" s="71" t="n">
        <v>1380</v>
      </c>
      <c r="FN7" s="71" t="n">
        <v>448</v>
      </c>
      <c r="FO7" s="67"/>
      <c r="FP7" s="71" t="n">
        <v>160</v>
      </c>
      <c r="FQ7" s="67"/>
      <c r="FR7" s="67"/>
      <c r="FS7" s="67"/>
      <c r="FT7" s="67"/>
      <c r="FU7" s="71" t="n">
        <v>510</v>
      </c>
      <c r="FV7" s="71" t="n">
        <v>440</v>
      </c>
      <c r="FW7" s="71" t="n">
        <v>1110</v>
      </c>
      <c r="FX7" s="71" t="n">
        <v>765</v>
      </c>
      <c r="FY7" s="71" t="n">
        <v>965</v>
      </c>
      <c r="FZ7" s="71" t="n">
        <v>360</v>
      </c>
      <c r="GA7" s="71" t="n">
        <v>715</v>
      </c>
      <c r="GB7" s="67"/>
      <c r="GC7" s="71" t="n">
        <v>430</v>
      </c>
      <c r="GD7" s="71" t="n">
        <v>1135</v>
      </c>
      <c r="GE7" s="67"/>
      <c r="GF7" s="71" t="n">
        <v>300</v>
      </c>
      <c r="GG7" s="71" t="n">
        <v>1600</v>
      </c>
      <c r="GH7" s="67"/>
      <c r="GI7" s="67"/>
      <c r="GJ7" s="71" t="n">
        <v>250</v>
      </c>
      <c r="GK7" s="71" t="n">
        <v>1569</v>
      </c>
      <c r="GL7" s="71" t="n">
        <v>155</v>
      </c>
      <c r="GM7" s="71" t="n">
        <v>80</v>
      </c>
      <c r="GN7" s="67"/>
      <c r="GO7" s="71" t="n">
        <v>1139</v>
      </c>
      <c r="GP7" s="71" t="n">
        <v>175</v>
      </c>
      <c r="GQ7" s="71" t="n">
        <v>1475</v>
      </c>
      <c r="GR7" s="67"/>
      <c r="GS7" s="71" t="n">
        <v>120</v>
      </c>
      <c r="GT7" s="71" t="n">
        <v>200</v>
      </c>
      <c r="GU7" s="71" t="n">
        <v>610</v>
      </c>
      <c r="GV7" s="67"/>
      <c r="GW7" s="67"/>
      <c r="GX7" s="71" t="n">
        <v>430</v>
      </c>
      <c r="GY7" s="71" t="n">
        <v>325</v>
      </c>
      <c r="GZ7" s="71" t="n">
        <v>1020</v>
      </c>
      <c r="HA7" s="67"/>
      <c r="HB7" s="71" t="n">
        <v>1625</v>
      </c>
      <c r="HC7" s="67"/>
      <c r="HD7" s="71" t="n">
        <v>810</v>
      </c>
      <c r="HE7" s="71" t="n">
        <v>320</v>
      </c>
      <c r="HF7" s="71" t="n">
        <v>389</v>
      </c>
      <c r="HG7" s="71" t="n">
        <v>200</v>
      </c>
      <c r="HH7" s="67"/>
      <c r="HI7" s="67"/>
      <c r="HJ7" s="67"/>
      <c r="HK7" s="67"/>
      <c r="HL7" s="67"/>
      <c r="HM7" s="67"/>
      <c r="HN7" s="71" t="n">
        <v>1570</v>
      </c>
      <c r="HO7" s="67"/>
      <c r="HP7" s="71" t="n">
        <v>665</v>
      </c>
      <c r="HQ7" s="67"/>
      <c r="HR7" s="67"/>
      <c r="HS7" s="67"/>
      <c r="HT7" s="67"/>
      <c r="HU7" s="67"/>
      <c r="HV7" s="71" t="n">
        <v>735</v>
      </c>
      <c r="HW7" s="71" t="n">
        <v>1014</v>
      </c>
      <c r="HX7" s="67"/>
      <c r="HY7" s="67"/>
      <c r="HZ7" s="67"/>
      <c r="IA7" s="67"/>
      <c r="IB7" s="71" t="n">
        <v>340</v>
      </c>
      <c r="IC7" s="71" t="n">
        <v>680</v>
      </c>
      <c r="ID7" s="71" t="n">
        <v>985</v>
      </c>
      <c r="IE7" s="67"/>
      <c r="IF7" s="67"/>
      <c r="IG7" s="67"/>
      <c r="IH7" s="67"/>
      <c r="II7" s="67"/>
      <c r="IJ7" s="67"/>
      <c r="IK7" s="67"/>
      <c r="IL7" s="67"/>
      <c r="IM7" s="67"/>
      <c r="IN7" s="71" t="n">
        <v>1170</v>
      </c>
      <c r="IO7" s="67"/>
      <c r="IP7" s="71" t="n">
        <v>1695</v>
      </c>
      <c r="IQ7" s="71" t="n">
        <v>260</v>
      </c>
      <c r="IR7" s="71" t="n">
        <v>625</v>
      </c>
      <c r="IS7" s="67"/>
      <c r="IT7" s="67"/>
      <c r="IU7" s="71" t="n">
        <v>210</v>
      </c>
      <c r="IV7" s="67"/>
      <c r="IW7" s="71" t="n">
        <v>440</v>
      </c>
      <c r="IX7" s="71" t="n">
        <v>1610</v>
      </c>
      <c r="IY7" s="71" t="n">
        <v>400</v>
      </c>
      <c r="IZ7" s="71" t="n">
        <v>1480</v>
      </c>
      <c r="JA7" s="67"/>
      <c r="JB7" s="71" t="n">
        <v>2280</v>
      </c>
      <c r="JC7" s="71" t="n">
        <v>2395</v>
      </c>
      <c r="JD7" s="71" t="n">
        <v>250</v>
      </c>
      <c r="JE7" s="71" t="n">
        <v>3030</v>
      </c>
      <c r="JF7" s="71" t="n">
        <v>380</v>
      </c>
      <c r="JG7" s="67"/>
      <c r="JH7" s="71" t="n">
        <v>230</v>
      </c>
      <c r="JI7" s="71" t="n">
        <v>1145</v>
      </c>
      <c r="JJ7" s="71" t="n">
        <v>210</v>
      </c>
      <c r="JK7" s="71" t="n">
        <v>1555</v>
      </c>
      <c r="JL7" s="71" t="n">
        <v>1660</v>
      </c>
      <c r="JM7" s="71" t="n">
        <v>2025</v>
      </c>
      <c r="JN7" s="67"/>
      <c r="JO7" s="71" t="n">
        <v>1310</v>
      </c>
      <c r="JP7" s="71" t="n">
        <v>585</v>
      </c>
      <c r="JQ7" s="71" t="n">
        <v>190</v>
      </c>
      <c r="JR7" s="71" t="n">
        <v>1255</v>
      </c>
      <c r="JS7" s="71" t="n">
        <v>620</v>
      </c>
      <c r="JT7" s="71" t="n">
        <v>1920</v>
      </c>
      <c r="JU7" s="67"/>
      <c r="JV7" s="67"/>
      <c r="JW7" s="67"/>
      <c r="JX7" s="67"/>
      <c r="JY7" s="71" t="n">
        <v>3964</v>
      </c>
      <c r="JZ7" s="71" t="n">
        <v>549</v>
      </c>
      <c r="KA7" s="67"/>
      <c r="KB7" s="71" t="n">
        <v>665</v>
      </c>
      <c r="KC7" s="67"/>
      <c r="KD7" s="71" t="n">
        <v>1750</v>
      </c>
      <c r="KE7" s="67"/>
      <c r="KF7" s="71" t="n">
        <v>2085</v>
      </c>
      <c r="KG7" s="71" t="n">
        <v>390</v>
      </c>
      <c r="KH7" s="67"/>
      <c r="KI7" s="71" t="n">
        <v>830</v>
      </c>
      <c r="KJ7" s="71" t="n">
        <v>710</v>
      </c>
      <c r="KK7" s="67"/>
      <c r="KL7" s="67"/>
      <c r="KM7" s="71" t="n">
        <v>5860</v>
      </c>
      <c r="KN7" s="71" t="n">
        <v>3915</v>
      </c>
      <c r="KO7" s="71" t="n">
        <v>1850</v>
      </c>
      <c r="KP7" s="71" t="n">
        <v>560</v>
      </c>
      <c r="KQ7" s="71" t="n">
        <v>360</v>
      </c>
      <c r="KR7" s="67"/>
      <c r="KS7" s="71" t="n">
        <v>130</v>
      </c>
      <c r="KT7" s="71" t="n">
        <v>12010</v>
      </c>
      <c r="KU7" s="71" t="n">
        <v>2725</v>
      </c>
      <c r="KV7" s="67"/>
      <c r="KW7" s="71" t="n">
        <v>720</v>
      </c>
      <c r="KX7" s="71" t="n">
        <v>210</v>
      </c>
      <c r="KY7" s="67"/>
      <c r="KZ7" s="67"/>
      <c r="LA7" s="67"/>
      <c r="LB7" s="71" t="n">
        <v>710</v>
      </c>
      <c r="LC7" s="71" t="n">
        <v>2160</v>
      </c>
      <c r="LD7" s="67"/>
      <c r="LE7" s="71" t="n">
        <v>800</v>
      </c>
      <c r="LF7" s="71" t="n">
        <v>570</v>
      </c>
      <c r="LG7" s="72" t="n">
        <v>0</v>
      </c>
      <c r="LH7" s="69" t="n">
        <v>224770</v>
      </c>
    </row>
    <row r="8" customFormat="false" ht="15" hidden="false" customHeight="false" outlineLevel="0" collapsed="false">
      <c r="B8" s="64"/>
      <c r="C8" s="65" t="s">
        <v>25</v>
      </c>
      <c r="D8" s="66" t="n">
        <v>1617</v>
      </c>
      <c r="E8" s="67"/>
      <c r="F8" s="71" t="n">
        <v>855</v>
      </c>
      <c r="G8" s="68"/>
      <c r="H8" s="69" t="n">
        <v>2472</v>
      </c>
      <c r="K8" s="70" t="s">
        <v>21</v>
      </c>
      <c r="L8" s="66" t="n">
        <v>4759</v>
      </c>
      <c r="M8" s="71" t="n">
        <v>2410</v>
      </c>
      <c r="N8" s="71" t="n">
        <v>3140</v>
      </c>
      <c r="O8" s="71" t="n">
        <v>5660</v>
      </c>
      <c r="P8" s="71" t="n">
        <v>3979</v>
      </c>
      <c r="Q8" s="71" t="n">
        <v>2540</v>
      </c>
      <c r="R8" s="71" t="n">
        <v>2415</v>
      </c>
      <c r="S8" s="71" t="n">
        <v>2710</v>
      </c>
      <c r="T8" s="71" t="n">
        <v>1700</v>
      </c>
      <c r="U8" s="71" t="n">
        <v>1840</v>
      </c>
      <c r="V8" s="71" t="n">
        <v>5015</v>
      </c>
      <c r="W8" s="71" t="n">
        <v>3340</v>
      </c>
      <c r="X8" s="71" t="n">
        <v>3065</v>
      </c>
      <c r="Y8" s="71" t="n">
        <v>2268</v>
      </c>
      <c r="Z8" s="71" t="n">
        <v>2390</v>
      </c>
      <c r="AA8" s="71" t="n">
        <v>3600</v>
      </c>
      <c r="AB8" s="71" t="n">
        <v>2160</v>
      </c>
      <c r="AC8" s="71" t="n">
        <v>5260</v>
      </c>
      <c r="AD8" s="71" t="n">
        <v>4599</v>
      </c>
      <c r="AE8" s="71" t="n">
        <v>3645</v>
      </c>
      <c r="AF8" s="71" t="n">
        <v>3210</v>
      </c>
      <c r="AG8" s="71" t="n">
        <v>4148</v>
      </c>
      <c r="AH8" s="71" t="n">
        <v>1800</v>
      </c>
      <c r="AI8" s="71" t="n">
        <v>1999</v>
      </c>
      <c r="AJ8" s="71" t="n">
        <v>5244</v>
      </c>
      <c r="AK8" s="71" t="n">
        <v>2335</v>
      </c>
      <c r="AL8" s="71" t="n">
        <v>2465</v>
      </c>
      <c r="AM8" s="71" t="n">
        <v>1215</v>
      </c>
      <c r="AN8" s="71" t="n">
        <v>2677</v>
      </c>
      <c r="AO8" s="71" t="n">
        <v>4700</v>
      </c>
      <c r="AP8" s="71" t="n">
        <v>1229</v>
      </c>
      <c r="AQ8" s="71" t="n">
        <v>3140</v>
      </c>
      <c r="AR8" s="71" t="n">
        <v>1460</v>
      </c>
      <c r="AS8" s="71" t="n">
        <v>2085</v>
      </c>
      <c r="AT8" s="71" t="n">
        <v>1240</v>
      </c>
      <c r="AU8" s="71" t="n">
        <v>4580</v>
      </c>
      <c r="AV8" s="71" t="n">
        <v>5440</v>
      </c>
      <c r="AW8" s="71" t="n">
        <v>4259</v>
      </c>
      <c r="AX8" s="71" t="n">
        <v>1870</v>
      </c>
      <c r="AY8" s="71" t="n">
        <v>2014</v>
      </c>
      <c r="AZ8" s="71" t="n">
        <v>3979</v>
      </c>
      <c r="BA8" s="71" t="n">
        <v>2234</v>
      </c>
      <c r="BB8" s="71" t="n">
        <v>1385</v>
      </c>
      <c r="BC8" s="71" t="n">
        <v>2745</v>
      </c>
      <c r="BD8" s="71" t="n">
        <v>4715</v>
      </c>
      <c r="BE8" s="71" t="n">
        <v>4743</v>
      </c>
      <c r="BF8" s="71" t="n">
        <v>1210</v>
      </c>
      <c r="BG8" s="71" t="n">
        <v>2620</v>
      </c>
      <c r="BH8" s="71" t="n">
        <v>4984</v>
      </c>
      <c r="BI8" s="71" t="n">
        <v>1360</v>
      </c>
      <c r="BJ8" s="71" t="n">
        <v>5235</v>
      </c>
      <c r="BK8" s="71" t="n">
        <v>2905</v>
      </c>
      <c r="BL8" s="71" t="n">
        <v>3548</v>
      </c>
      <c r="BM8" s="71" t="n">
        <v>1050</v>
      </c>
      <c r="BN8" s="71" t="n">
        <v>1805</v>
      </c>
      <c r="BO8" s="71" t="n">
        <v>1510</v>
      </c>
      <c r="BP8" s="71" t="n">
        <v>2080</v>
      </c>
      <c r="BQ8" s="71" t="n">
        <v>7710</v>
      </c>
      <c r="BR8" s="71" t="n">
        <v>7456</v>
      </c>
      <c r="BS8" s="71" t="n">
        <v>9034</v>
      </c>
      <c r="BT8" s="71" t="n">
        <v>4295</v>
      </c>
      <c r="BU8" s="71" t="n">
        <v>1500</v>
      </c>
      <c r="BV8" s="71" t="n">
        <v>4760</v>
      </c>
      <c r="BW8" s="71" t="n">
        <v>2640</v>
      </c>
      <c r="BX8" s="71" t="n">
        <v>1370</v>
      </c>
      <c r="BY8" s="71" t="n">
        <v>2695</v>
      </c>
      <c r="BZ8" s="71" t="n">
        <v>3074</v>
      </c>
      <c r="CA8" s="71" t="n">
        <v>3010</v>
      </c>
      <c r="CB8" s="71" t="n">
        <v>2684</v>
      </c>
      <c r="CC8" s="71" t="n">
        <v>2145</v>
      </c>
      <c r="CD8" s="71" t="n">
        <v>2320</v>
      </c>
      <c r="CE8" s="71" t="n">
        <v>2970</v>
      </c>
      <c r="CF8" s="71" t="n">
        <v>3444</v>
      </c>
      <c r="CG8" s="71" t="n">
        <v>2725</v>
      </c>
      <c r="CH8" s="71" t="n">
        <v>6595</v>
      </c>
      <c r="CI8" s="71" t="n">
        <v>1810</v>
      </c>
      <c r="CJ8" s="71" t="n">
        <v>5600</v>
      </c>
      <c r="CK8" s="71" t="n">
        <v>4635</v>
      </c>
      <c r="CL8" s="71" t="n">
        <v>1815</v>
      </c>
      <c r="CM8" s="71" t="n">
        <v>3210</v>
      </c>
      <c r="CN8" s="71" t="n">
        <v>3355</v>
      </c>
      <c r="CO8" s="71" t="n">
        <v>3600</v>
      </c>
      <c r="CP8" s="71" t="n">
        <v>2875</v>
      </c>
      <c r="CQ8" s="71" t="n">
        <v>2760</v>
      </c>
      <c r="CR8" s="71" t="n">
        <v>2440</v>
      </c>
      <c r="CS8" s="71" t="n">
        <v>2575</v>
      </c>
      <c r="CT8" s="71" t="n">
        <v>3970</v>
      </c>
      <c r="CU8" s="71" t="n">
        <v>6045</v>
      </c>
      <c r="CV8" s="71" t="n">
        <v>3440</v>
      </c>
      <c r="CW8" s="71" t="n">
        <v>2650</v>
      </c>
      <c r="CX8" s="71" t="n">
        <v>2610</v>
      </c>
      <c r="CY8" s="71" t="n">
        <v>1415</v>
      </c>
      <c r="CZ8" s="71" t="n">
        <v>3210</v>
      </c>
      <c r="DA8" s="71" t="n">
        <v>3760</v>
      </c>
      <c r="DB8" s="71" t="n">
        <v>3455</v>
      </c>
      <c r="DC8" s="71" t="n">
        <v>5320</v>
      </c>
      <c r="DD8" s="71" t="n">
        <v>4929</v>
      </c>
      <c r="DE8" s="71" t="n">
        <v>3140</v>
      </c>
      <c r="DF8" s="71" t="n">
        <v>2744</v>
      </c>
      <c r="DG8" s="71" t="n">
        <v>3895</v>
      </c>
      <c r="DH8" s="71" t="n">
        <v>2390</v>
      </c>
      <c r="DI8" s="71" t="n">
        <v>4645</v>
      </c>
      <c r="DJ8" s="71" t="n">
        <v>2934</v>
      </c>
      <c r="DK8" s="71" t="n">
        <v>1225</v>
      </c>
      <c r="DL8" s="71" t="n">
        <v>5790</v>
      </c>
      <c r="DM8" s="71" t="n">
        <v>800</v>
      </c>
      <c r="DN8" s="71" t="n">
        <v>2500</v>
      </c>
      <c r="DO8" s="71" t="n">
        <v>6055</v>
      </c>
      <c r="DP8" s="71" t="n">
        <v>1950</v>
      </c>
      <c r="DQ8" s="71" t="n">
        <v>3370</v>
      </c>
      <c r="DR8" s="71" t="n">
        <v>4000</v>
      </c>
      <c r="DS8" s="71" t="n">
        <v>3225</v>
      </c>
      <c r="DT8" s="71" t="n">
        <v>1060</v>
      </c>
      <c r="DU8" s="71" t="n">
        <v>580</v>
      </c>
      <c r="DV8" s="71" t="n">
        <v>5435</v>
      </c>
      <c r="DW8" s="71" t="n">
        <v>5350</v>
      </c>
      <c r="DX8" s="71" t="n">
        <v>4265</v>
      </c>
      <c r="DY8" s="71" t="n">
        <v>2110</v>
      </c>
      <c r="DZ8" s="71" t="n">
        <v>6335</v>
      </c>
      <c r="EA8" s="71" t="n">
        <v>1954</v>
      </c>
      <c r="EB8" s="71" t="n">
        <v>3139</v>
      </c>
      <c r="EC8" s="71" t="n">
        <v>2400</v>
      </c>
      <c r="ED8" s="71" t="n">
        <v>3565</v>
      </c>
      <c r="EE8" s="71" t="n">
        <v>1200</v>
      </c>
      <c r="EF8" s="71" t="n">
        <v>4119</v>
      </c>
      <c r="EG8" s="71" t="n">
        <v>2770</v>
      </c>
      <c r="EH8" s="71" t="n">
        <v>3295</v>
      </c>
      <c r="EI8" s="71" t="n">
        <v>1710</v>
      </c>
      <c r="EJ8" s="71" t="n">
        <v>2580</v>
      </c>
      <c r="EK8" s="71" t="n">
        <v>2169</v>
      </c>
      <c r="EL8" s="71" t="n">
        <v>2319</v>
      </c>
      <c r="EM8" s="71" t="n">
        <v>1140</v>
      </c>
      <c r="EN8" s="71" t="n">
        <v>3900</v>
      </c>
      <c r="EO8" s="71" t="n">
        <v>3230</v>
      </c>
      <c r="EP8" s="71" t="n">
        <v>2865</v>
      </c>
      <c r="EQ8" s="71" t="n">
        <v>1610</v>
      </c>
      <c r="ER8" s="71" t="n">
        <v>2381</v>
      </c>
      <c r="ES8" s="71" t="n">
        <v>1795</v>
      </c>
      <c r="ET8" s="71" t="n">
        <v>3179</v>
      </c>
      <c r="EU8" s="71" t="n">
        <v>1992</v>
      </c>
      <c r="EV8" s="71" t="n">
        <v>4055</v>
      </c>
      <c r="EW8" s="71" t="n">
        <v>1420</v>
      </c>
      <c r="EX8" s="71" t="n">
        <v>3725</v>
      </c>
      <c r="EY8" s="71" t="n">
        <v>6130</v>
      </c>
      <c r="EZ8" s="71" t="n">
        <v>3145</v>
      </c>
      <c r="FA8" s="71" t="n">
        <v>2362</v>
      </c>
      <c r="FB8" s="71" t="n">
        <v>5944</v>
      </c>
      <c r="FC8" s="71" t="n">
        <v>4245</v>
      </c>
      <c r="FD8" s="71" t="n">
        <v>5233</v>
      </c>
      <c r="FE8" s="71" t="n">
        <v>6085</v>
      </c>
      <c r="FF8" s="71" t="n">
        <v>3307</v>
      </c>
      <c r="FG8" s="71" t="n">
        <v>2760</v>
      </c>
      <c r="FH8" s="71" t="n">
        <v>3117</v>
      </c>
      <c r="FI8" s="71" t="n">
        <v>4255</v>
      </c>
      <c r="FJ8" s="71" t="n">
        <v>3435</v>
      </c>
      <c r="FK8" s="71" t="n">
        <v>3325</v>
      </c>
      <c r="FL8" s="71" t="n">
        <v>4070</v>
      </c>
      <c r="FM8" s="71" t="n">
        <v>390</v>
      </c>
      <c r="FN8" s="71" t="n">
        <v>3120</v>
      </c>
      <c r="FO8" s="71" t="n">
        <v>1660</v>
      </c>
      <c r="FP8" s="71" t="n">
        <v>3790</v>
      </c>
      <c r="FQ8" s="71" t="n">
        <v>3555</v>
      </c>
      <c r="FR8" s="71" t="n">
        <v>6324</v>
      </c>
      <c r="FS8" s="71" t="n">
        <v>2615</v>
      </c>
      <c r="FT8" s="71" t="n">
        <v>1870</v>
      </c>
      <c r="FU8" s="71" t="n">
        <v>2989</v>
      </c>
      <c r="FV8" s="71" t="n">
        <v>1895</v>
      </c>
      <c r="FW8" s="71" t="n">
        <v>1939</v>
      </c>
      <c r="FX8" s="71" t="n">
        <v>5103</v>
      </c>
      <c r="FY8" s="71" t="n">
        <v>4694</v>
      </c>
      <c r="FZ8" s="71" t="n">
        <v>7223</v>
      </c>
      <c r="GA8" s="71" t="n">
        <v>860</v>
      </c>
      <c r="GB8" s="71" t="n">
        <v>3053</v>
      </c>
      <c r="GC8" s="71" t="n">
        <v>5329</v>
      </c>
      <c r="GD8" s="71" t="n">
        <v>3555</v>
      </c>
      <c r="GE8" s="71" t="n">
        <v>735</v>
      </c>
      <c r="GF8" s="71" t="n">
        <v>2930</v>
      </c>
      <c r="GG8" s="71" t="n">
        <v>2960</v>
      </c>
      <c r="GH8" s="71" t="n">
        <v>680</v>
      </c>
      <c r="GI8" s="71" t="n">
        <v>3455</v>
      </c>
      <c r="GJ8" s="71" t="n">
        <v>1850</v>
      </c>
      <c r="GK8" s="71" t="n">
        <v>1050</v>
      </c>
      <c r="GL8" s="71" t="n">
        <v>1855</v>
      </c>
      <c r="GM8" s="71" t="n">
        <v>2360</v>
      </c>
      <c r="GN8" s="71" t="n">
        <v>3865</v>
      </c>
      <c r="GO8" s="71" t="n">
        <v>1720</v>
      </c>
      <c r="GP8" s="71" t="n">
        <v>940</v>
      </c>
      <c r="GQ8" s="71" t="n">
        <v>3789</v>
      </c>
      <c r="GR8" s="71" t="n">
        <v>1949</v>
      </c>
      <c r="GS8" s="71" t="n">
        <v>1880</v>
      </c>
      <c r="GT8" s="71" t="n">
        <v>2675</v>
      </c>
      <c r="GU8" s="71" t="n">
        <v>3559</v>
      </c>
      <c r="GV8" s="71" t="n">
        <v>4025</v>
      </c>
      <c r="GW8" s="71" t="n">
        <v>3035</v>
      </c>
      <c r="GX8" s="71" t="n">
        <v>1825</v>
      </c>
      <c r="GY8" s="71" t="n">
        <v>4147</v>
      </c>
      <c r="GZ8" s="71" t="n">
        <v>1180</v>
      </c>
      <c r="HA8" s="71" t="n">
        <v>2189</v>
      </c>
      <c r="HB8" s="71" t="n">
        <v>2960</v>
      </c>
      <c r="HC8" s="71" t="n">
        <v>910</v>
      </c>
      <c r="HD8" s="71" t="n">
        <v>1810</v>
      </c>
      <c r="HE8" s="71" t="n">
        <v>1310</v>
      </c>
      <c r="HF8" s="71" t="n">
        <v>3750</v>
      </c>
      <c r="HG8" s="71" t="n">
        <v>3070</v>
      </c>
      <c r="HH8" s="71" t="n">
        <v>2530</v>
      </c>
      <c r="HI8" s="71" t="n">
        <v>2105</v>
      </c>
      <c r="HJ8" s="71" t="n">
        <v>1650</v>
      </c>
      <c r="HK8" s="71" t="n">
        <v>380</v>
      </c>
      <c r="HL8" s="71" t="n">
        <v>750</v>
      </c>
      <c r="HM8" s="71" t="n">
        <v>2355</v>
      </c>
      <c r="HN8" s="71" t="n">
        <v>3160</v>
      </c>
      <c r="HO8" s="71" t="n">
        <v>5603</v>
      </c>
      <c r="HP8" s="71" t="n">
        <v>2560</v>
      </c>
      <c r="HQ8" s="71" t="n">
        <v>2913</v>
      </c>
      <c r="HR8" s="71" t="n">
        <v>1125</v>
      </c>
      <c r="HS8" s="71" t="n">
        <v>1310</v>
      </c>
      <c r="HT8" s="71" t="n">
        <v>2390</v>
      </c>
      <c r="HU8" s="71" t="n">
        <v>1935</v>
      </c>
      <c r="HV8" s="71" t="n">
        <v>1470</v>
      </c>
      <c r="HW8" s="71" t="n">
        <v>520</v>
      </c>
      <c r="HX8" s="71" t="n">
        <v>2400</v>
      </c>
      <c r="HY8" s="71" t="n">
        <v>3403</v>
      </c>
      <c r="HZ8" s="71" t="n">
        <v>900</v>
      </c>
      <c r="IA8" s="71" t="n">
        <v>3178</v>
      </c>
      <c r="IB8" s="71" t="n">
        <v>1940</v>
      </c>
      <c r="IC8" s="71" t="n">
        <v>3365</v>
      </c>
      <c r="ID8" s="71" t="n">
        <v>2655</v>
      </c>
      <c r="IE8" s="71" t="n">
        <v>406</v>
      </c>
      <c r="IF8" s="71" t="n">
        <v>1295</v>
      </c>
      <c r="IG8" s="71" t="n">
        <v>2839</v>
      </c>
      <c r="IH8" s="71" t="n">
        <v>3311</v>
      </c>
      <c r="II8" s="71" t="n">
        <v>3119</v>
      </c>
      <c r="IJ8" s="71" t="n">
        <v>1475</v>
      </c>
      <c r="IK8" s="71" t="n">
        <v>1550</v>
      </c>
      <c r="IL8" s="71" t="n">
        <v>1759</v>
      </c>
      <c r="IM8" s="71" t="n">
        <v>2790</v>
      </c>
      <c r="IN8" s="71" t="n">
        <v>2000</v>
      </c>
      <c r="IO8" s="71" t="n">
        <v>4180</v>
      </c>
      <c r="IP8" s="71" t="n">
        <v>5625</v>
      </c>
      <c r="IQ8" s="71" t="n">
        <v>2414</v>
      </c>
      <c r="IR8" s="71" t="n">
        <v>1825</v>
      </c>
      <c r="IS8" s="71" t="n">
        <v>1430</v>
      </c>
      <c r="IT8" s="71" t="n">
        <v>2820</v>
      </c>
      <c r="IU8" s="71" t="n">
        <v>1230</v>
      </c>
      <c r="IV8" s="71" t="n">
        <v>1610</v>
      </c>
      <c r="IW8" s="71" t="n">
        <v>1570</v>
      </c>
      <c r="IX8" s="71" t="n">
        <v>1910</v>
      </c>
      <c r="IY8" s="71" t="n">
        <v>1335</v>
      </c>
      <c r="IZ8" s="71" t="n">
        <v>340</v>
      </c>
      <c r="JA8" s="71" t="n">
        <v>3070</v>
      </c>
      <c r="JB8" s="71" t="n">
        <v>3920</v>
      </c>
      <c r="JC8" s="71" t="n">
        <v>2930</v>
      </c>
      <c r="JD8" s="71" t="n">
        <v>1485</v>
      </c>
      <c r="JE8" s="71" t="n">
        <v>1820</v>
      </c>
      <c r="JF8" s="71" t="n">
        <v>5655</v>
      </c>
      <c r="JG8" s="71" t="n">
        <v>1270</v>
      </c>
      <c r="JH8" s="71" t="n">
        <v>3550</v>
      </c>
      <c r="JI8" s="71" t="n">
        <v>3470</v>
      </c>
      <c r="JJ8" s="71" t="n">
        <v>2854</v>
      </c>
      <c r="JK8" s="71" t="n">
        <v>4545</v>
      </c>
      <c r="JL8" s="71" t="n">
        <v>1275</v>
      </c>
      <c r="JM8" s="71" t="n">
        <v>5165</v>
      </c>
      <c r="JN8" s="71" t="n">
        <v>1744</v>
      </c>
      <c r="JO8" s="71" t="n">
        <v>3670</v>
      </c>
      <c r="JP8" s="71" t="n">
        <v>3015</v>
      </c>
      <c r="JQ8" s="71" t="n">
        <v>5155</v>
      </c>
      <c r="JR8" s="71" t="n">
        <v>1415</v>
      </c>
      <c r="JS8" s="71" t="n">
        <v>2780</v>
      </c>
      <c r="JT8" s="71" t="n">
        <v>3390</v>
      </c>
      <c r="JU8" s="71" t="n">
        <v>3190</v>
      </c>
      <c r="JV8" s="71" t="n">
        <v>4740</v>
      </c>
      <c r="JW8" s="71" t="n">
        <v>4335</v>
      </c>
      <c r="JX8" s="71" t="n">
        <v>5059</v>
      </c>
      <c r="JY8" s="71" t="n">
        <v>3110</v>
      </c>
      <c r="JZ8" s="71" t="n">
        <v>5789</v>
      </c>
      <c r="KA8" s="71" t="n">
        <v>2424</v>
      </c>
      <c r="KB8" s="71" t="n">
        <v>4625</v>
      </c>
      <c r="KC8" s="71" t="n">
        <v>3699</v>
      </c>
      <c r="KD8" s="71" t="n">
        <v>6418</v>
      </c>
      <c r="KE8" s="71" t="n">
        <v>3435</v>
      </c>
      <c r="KF8" s="71" t="n">
        <v>3450</v>
      </c>
      <c r="KG8" s="71" t="n">
        <v>591</v>
      </c>
      <c r="KH8" s="71" t="n">
        <v>5673</v>
      </c>
      <c r="KI8" s="71" t="n">
        <v>1924</v>
      </c>
      <c r="KJ8" s="71" t="n">
        <v>7490</v>
      </c>
      <c r="KK8" s="71" t="n">
        <v>4975</v>
      </c>
      <c r="KL8" s="71" t="n">
        <v>5289</v>
      </c>
      <c r="KM8" s="71" t="n">
        <v>1960</v>
      </c>
      <c r="KN8" s="71" t="n">
        <v>3380</v>
      </c>
      <c r="KO8" s="71" t="n">
        <v>10912</v>
      </c>
      <c r="KP8" s="71" t="n">
        <v>1010</v>
      </c>
      <c r="KQ8" s="71" t="n">
        <v>4715</v>
      </c>
      <c r="KR8" s="71" t="n">
        <v>2880</v>
      </c>
      <c r="KS8" s="71" t="n">
        <v>3675</v>
      </c>
      <c r="KT8" s="71" t="n">
        <v>2765</v>
      </c>
      <c r="KU8" s="71" t="n">
        <v>3214</v>
      </c>
      <c r="KV8" s="71" t="n">
        <v>4490</v>
      </c>
      <c r="KW8" s="71" t="n">
        <v>1660</v>
      </c>
      <c r="KX8" s="71" t="n">
        <v>2128</v>
      </c>
      <c r="KY8" s="71" t="n">
        <v>3679</v>
      </c>
      <c r="KZ8" s="71" t="n">
        <v>2745</v>
      </c>
      <c r="LA8" s="71" t="n">
        <v>5385</v>
      </c>
      <c r="LB8" s="71" t="n">
        <v>10140</v>
      </c>
      <c r="LC8" s="71" t="n">
        <v>4690</v>
      </c>
      <c r="LD8" s="71" t="n">
        <v>3050</v>
      </c>
      <c r="LE8" s="71" t="n">
        <v>4280</v>
      </c>
      <c r="LF8" s="71" t="n">
        <v>2960</v>
      </c>
      <c r="LG8" s="72" t="n">
        <v>4570</v>
      </c>
      <c r="LH8" s="69" t="n">
        <v>959881</v>
      </c>
    </row>
    <row r="9" customFormat="false" ht="15" hidden="false" customHeight="false" outlineLevel="0" collapsed="false">
      <c r="B9" s="64"/>
      <c r="C9" s="65" t="s">
        <v>36</v>
      </c>
      <c r="D9" s="73"/>
      <c r="E9" s="67"/>
      <c r="F9" s="71" t="n">
        <v>60</v>
      </c>
      <c r="G9" s="68"/>
      <c r="H9" s="69" t="n">
        <v>60</v>
      </c>
      <c r="K9" s="70" t="s">
        <v>70</v>
      </c>
      <c r="L9" s="73"/>
      <c r="M9" s="67"/>
      <c r="N9" s="67"/>
      <c r="O9" s="67"/>
      <c r="P9" s="67"/>
      <c r="Q9" s="67"/>
      <c r="R9" s="67"/>
      <c r="S9" s="67"/>
      <c r="T9" s="67"/>
      <c r="U9" s="71" t="n">
        <v>210</v>
      </c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71" t="n">
        <v>180</v>
      </c>
      <c r="AP9" s="71" t="n">
        <v>230</v>
      </c>
      <c r="AQ9" s="67"/>
      <c r="AR9" s="67"/>
      <c r="AS9" s="67"/>
      <c r="AT9" s="71" t="n">
        <v>100</v>
      </c>
      <c r="AU9" s="67"/>
      <c r="AV9" s="71" t="n">
        <v>260</v>
      </c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7"/>
      <c r="BP9" s="67"/>
      <c r="BQ9" s="67"/>
      <c r="BR9" s="67"/>
      <c r="BS9" s="71" t="n">
        <v>530</v>
      </c>
      <c r="BT9" s="67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/>
      <c r="CF9" s="67"/>
      <c r="CG9" s="67"/>
      <c r="CH9" s="67"/>
      <c r="CI9" s="67"/>
      <c r="CJ9" s="67"/>
      <c r="CK9" s="67"/>
      <c r="CL9" s="67"/>
      <c r="CM9" s="67"/>
      <c r="CN9" s="67"/>
      <c r="CO9" s="67"/>
      <c r="CP9" s="67"/>
      <c r="CQ9" s="67"/>
      <c r="CR9" s="67"/>
      <c r="CS9" s="67"/>
      <c r="CT9" s="67"/>
      <c r="CU9" s="67"/>
      <c r="CV9" s="67"/>
      <c r="CW9" s="67"/>
      <c r="CX9" s="67"/>
      <c r="CY9" s="67"/>
      <c r="CZ9" s="67"/>
      <c r="DA9" s="67"/>
      <c r="DB9" s="67"/>
      <c r="DC9" s="67"/>
      <c r="DD9" s="67"/>
      <c r="DE9" s="67"/>
      <c r="DF9" s="67"/>
      <c r="DG9" s="67"/>
      <c r="DH9" s="67"/>
      <c r="DI9" s="67"/>
      <c r="DJ9" s="67"/>
      <c r="DK9" s="67"/>
      <c r="DL9" s="67"/>
      <c r="DM9" s="67"/>
      <c r="DN9" s="67"/>
      <c r="DO9" s="71" t="n">
        <v>1520</v>
      </c>
      <c r="DP9" s="67"/>
      <c r="DQ9" s="67"/>
      <c r="DR9" s="67"/>
      <c r="DS9" s="71" t="n">
        <v>170</v>
      </c>
      <c r="DT9" s="67"/>
      <c r="DU9" s="67"/>
      <c r="DV9" s="67"/>
      <c r="DW9" s="67"/>
      <c r="DX9" s="67"/>
      <c r="DY9" s="67"/>
      <c r="DZ9" s="67"/>
      <c r="EA9" s="67"/>
      <c r="EB9" s="71" t="n">
        <v>300</v>
      </c>
      <c r="EC9" s="67"/>
      <c r="ED9" s="71" t="n">
        <v>30</v>
      </c>
      <c r="EE9" s="67"/>
      <c r="EF9" s="67"/>
      <c r="EG9" s="67"/>
      <c r="EH9" s="67"/>
      <c r="EI9" s="67"/>
      <c r="EJ9" s="71" t="n">
        <v>389</v>
      </c>
      <c r="EK9" s="67"/>
      <c r="EL9" s="67"/>
      <c r="EM9" s="67"/>
      <c r="EN9" s="67"/>
      <c r="EO9" s="71" t="n">
        <v>260</v>
      </c>
      <c r="EP9" s="67"/>
      <c r="EQ9" s="67"/>
      <c r="ER9" s="67"/>
      <c r="ES9" s="67"/>
      <c r="ET9" s="67"/>
      <c r="EU9" s="67"/>
      <c r="EV9" s="67"/>
      <c r="EW9" s="67"/>
      <c r="EX9" s="67"/>
      <c r="EY9" s="67"/>
      <c r="EZ9" s="67"/>
      <c r="FA9" s="67"/>
      <c r="FB9" s="67"/>
      <c r="FC9" s="67"/>
      <c r="FD9" s="67"/>
      <c r="FE9" s="67"/>
      <c r="FF9" s="67"/>
      <c r="FG9" s="67"/>
      <c r="FH9" s="67"/>
      <c r="FI9" s="67"/>
      <c r="FJ9" s="67"/>
      <c r="FK9" s="67"/>
      <c r="FL9" s="67"/>
      <c r="FM9" s="67"/>
      <c r="FN9" s="67"/>
      <c r="FO9" s="71" t="n">
        <v>840</v>
      </c>
      <c r="FP9" s="67"/>
      <c r="FQ9" s="67"/>
      <c r="FR9" s="67"/>
      <c r="FS9" s="67"/>
      <c r="FT9" s="67"/>
      <c r="FU9" s="67"/>
      <c r="FV9" s="67"/>
      <c r="FW9" s="71" t="n">
        <v>200</v>
      </c>
      <c r="FX9" s="67"/>
      <c r="FY9" s="67"/>
      <c r="FZ9" s="67"/>
      <c r="GA9" s="67"/>
      <c r="GB9" s="67"/>
      <c r="GC9" s="67"/>
      <c r="GD9" s="67"/>
      <c r="GE9" s="67"/>
      <c r="GF9" s="67"/>
      <c r="GG9" s="67"/>
      <c r="GH9" s="67"/>
      <c r="GI9" s="67"/>
      <c r="GJ9" s="67"/>
      <c r="GK9" s="67"/>
      <c r="GL9" s="67"/>
      <c r="GM9" s="67"/>
      <c r="GN9" s="67"/>
      <c r="GO9" s="67"/>
      <c r="GP9" s="67"/>
      <c r="GQ9" s="67"/>
      <c r="GR9" s="67"/>
      <c r="GS9" s="67"/>
      <c r="GT9" s="67"/>
      <c r="GU9" s="67"/>
      <c r="GV9" s="67"/>
      <c r="GW9" s="67"/>
      <c r="GX9" s="67"/>
      <c r="GY9" s="67"/>
      <c r="GZ9" s="67"/>
      <c r="HA9" s="67"/>
      <c r="HB9" s="67"/>
      <c r="HC9" s="67"/>
      <c r="HD9" s="67"/>
      <c r="HE9" s="67"/>
      <c r="HF9" s="67"/>
      <c r="HG9" s="67"/>
      <c r="HH9" s="67"/>
      <c r="HI9" s="67"/>
      <c r="HJ9" s="67"/>
      <c r="HK9" s="67"/>
      <c r="HL9" s="67"/>
      <c r="HM9" s="67"/>
      <c r="HN9" s="67"/>
      <c r="HO9" s="67"/>
      <c r="HP9" s="67"/>
      <c r="HQ9" s="67"/>
      <c r="HR9" s="67"/>
      <c r="HS9" s="67"/>
      <c r="HT9" s="67"/>
      <c r="HU9" s="67"/>
      <c r="HV9" s="67"/>
      <c r="HW9" s="71" t="n">
        <v>910</v>
      </c>
      <c r="HX9" s="67"/>
      <c r="HY9" s="67"/>
      <c r="HZ9" s="67"/>
      <c r="IA9" s="67"/>
      <c r="IB9" s="67"/>
      <c r="IC9" s="67"/>
      <c r="ID9" s="67"/>
      <c r="IE9" s="71" t="n">
        <v>580</v>
      </c>
      <c r="IF9" s="67"/>
      <c r="IG9" s="67"/>
      <c r="IH9" s="67"/>
      <c r="II9" s="71" t="n">
        <v>240</v>
      </c>
      <c r="IJ9" s="67"/>
      <c r="IK9" s="67"/>
      <c r="IL9" s="71" t="n">
        <v>370</v>
      </c>
      <c r="IM9" s="71" t="n">
        <v>250</v>
      </c>
      <c r="IN9" s="71" t="n">
        <v>880</v>
      </c>
      <c r="IO9" s="67"/>
      <c r="IP9" s="67"/>
      <c r="IQ9" s="71" t="n">
        <v>310</v>
      </c>
      <c r="IR9" s="71" t="n">
        <v>470</v>
      </c>
      <c r="IS9" s="67"/>
      <c r="IT9" s="67"/>
      <c r="IU9" s="67"/>
      <c r="IV9" s="67"/>
      <c r="IW9" s="67"/>
      <c r="IX9" s="67"/>
      <c r="IY9" s="67"/>
      <c r="IZ9" s="67"/>
      <c r="JA9" s="67"/>
      <c r="JB9" s="67"/>
      <c r="JC9" s="67"/>
      <c r="JD9" s="71" t="n">
        <v>1280</v>
      </c>
      <c r="JE9" s="71" t="n">
        <v>1670</v>
      </c>
      <c r="JF9" s="67"/>
      <c r="JG9" s="71" t="n">
        <v>680</v>
      </c>
      <c r="JH9" s="71" t="n">
        <v>320</v>
      </c>
      <c r="JI9" s="71" t="n">
        <v>250</v>
      </c>
      <c r="JJ9" s="67"/>
      <c r="JK9" s="67"/>
      <c r="JL9" s="71" t="n">
        <v>575</v>
      </c>
      <c r="JM9" s="67"/>
      <c r="JN9" s="71" t="n">
        <v>670</v>
      </c>
      <c r="JO9" s="67"/>
      <c r="JP9" s="67"/>
      <c r="JQ9" s="67"/>
      <c r="JR9" s="71" t="n">
        <v>446</v>
      </c>
      <c r="JS9" s="67"/>
      <c r="JT9" s="67"/>
      <c r="JU9" s="67"/>
      <c r="JV9" s="71" t="n">
        <v>1270</v>
      </c>
      <c r="JW9" s="67"/>
      <c r="JX9" s="67"/>
      <c r="JY9" s="67"/>
      <c r="JZ9" s="67"/>
      <c r="KA9" s="71" t="n">
        <v>420</v>
      </c>
      <c r="KB9" s="67"/>
      <c r="KC9" s="67"/>
      <c r="KD9" s="67"/>
      <c r="KE9" s="67"/>
      <c r="KF9" s="67"/>
      <c r="KG9" s="67"/>
      <c r="KH9" s="67"/>
      <c r="KI9" s="71" t="n">
        <v>2700</v>
      </c>
      <c r="KJ9" s="67"/>
      <c r="KK9" s="67"/>
      <c r="KL9" s="67"/>
      <c r="KM9" s="67"/>
      <c r="KN9" s="71" t="n">
        <v>1130</v>
      </c>
      <c r="KO9" s="67"/>
      <c r="KP9" s="67"/>
      <c r="KQ9" s="67"/>
      <c r="KR9" s="67"/>
      <c r="KS9" s="67"/>
      <c r="KT9" s="67"/>
      <c r="KU9" s="67"/>
      <c r="KV9" s="67"/>
      <c r="KW9" s="67"/>
      <c r="KX9" s="71" t="n">
        <v>530</v>
      </c>
      <c r="KY9" s="67"/>
      <c r="KZ9" s="67"/>
      <c r="LA9" s="67"/>
      <c r="LB9" s="71" t="n">
        <v>300</v>
      </c>
      <c r="LC9" s="67"/>
      <c r="LD9" s="67"/>
      <c r="LE9" s="67"/>
      <c r="LF9" s="67"/>
      <c r="LG9" s="68"/>
      <c r="LH9" s="69" t="n">
        <v>21470</v>
      </c>
    </row>
    <row r="10" customFormat="false" ht="15" hidden="false" customHeight="false" outlineLevel="0" collapsed="false">
      <c r="B10" s="64"/>
      <c r="C10" s="65" t="s">
        <v>12</v>
      </c>
      <c r="D10" s="66" t="n">
        <v>19470</v>
      </c>
      <c r="E10" s="67"/>
      <c r="F10" s="67"/>
      <c r="G10" s="68"/>
      <c r="H10" s="69" t="n">
        <v>19470</v>
      </c>
      <c r="K10" s="70" t="s">
        <v>24</v>
      </c>
      <c r="L10" s="66" t="n">
        <v>2183</v>
      </c>
      <c r="M10" s="71" t="n">
        <v>467</v>
      </c>
      <c r="N10" s="71" t="n">
        <v>1038</v>
      </c>
      <c r="O10" s="71" t="n">
        <v>3477</v>
      </c>
      <c r="P10" s="71" t="n">
        <v>1658</v>
      </c>
      <c r="Q10" s="71" t="n">
        <v>686</v>
      </c>
      <c r="R10" s="71" t="n">
        <v>602</v>
      </c>
      <c r="S10" s="71" t="n">
        <v>1772</v>
      </c>
      <c r="T10" s="71" t="n">
        <v>989</v>
      </c>
      <c r="U10" s="71" t="n">
        <v>2060</v>
      </c>
      <c r="V10" s="71" t="n">
        <v>1100</v>
      </c>
      <c r="W10" s="71" t="n">
        <v>4324</v>
      </c>
      <c r="X10" s="71" t="n">
        <v>789</v>
      </c>
      <c r="Y10" s="71" t="n">
        <v>1204</v>
      </c>
      <c r="Z10" s="71" t="n">
        <v>1122</v>
      </c>
      <c r="AA10" s="71" t="n">
        <v>1244</v>
      </c>
      <c r="AB10" s="71" t="n">
        <v>2298</v>
      </c>
      <c r="AC10" s="71" t="n">
        <v>2037</v>
      </c>
      <c r="AD10" s="71" t="n">
        <v>1852</v>
      </c>
      <c r="AE10" s="71" t="n">
        <v>1862</v>
      </c>
      <c r="AF10" s="71" t="n">
        <v>2768</v>
      </c>
      <c r="AG10" s="71" t="n">
        <v>1310</v>
      </c>
      <c r="AH10" s="71" t="n">
        <v>2826</v>
      </c>
      <c r="AI10" s="71" t="n">
        <v>4916</v>
      </c>
      <c r="AJ10" s="71" t="n">
        <v>658</v>
      </c>
      <c r="AK10" s="71" t="n">
        <v>1960</v>
      </c>
      <c r="AL10" s="71" t="n">
        <v>2580</v>
      </c>
      <c r="AM10" s="71" t="n">
        <v>1911</v>
      </c>
      <c r="AN10" s="71" t="n">
        <v>2114</v>
      </c>
      <c r="AO10" s="71" t="n">
        <v>840</v>
      </c>
      <c r="AP10" s="71" t="n">
        <v>1488</v>
      </c>
      <c r="AQ10" s="71" t="n">
        <v>3937</v>
      </c>
      <c r="AR10" s="71" t="n">
        <v>6166</v>
      </c>
      <c r="AS10" s="71" t="n">
        <v>3586</v>
      </c>
      <c r="AT10" s="71" t="n">
        <v>2744</v>
      </c>
      <c r="AU10" s="71" t="n">
        <v>3769</v>
      </c>
      <c r="AV10" s="71" t="n">
        <v>6323</v>
      </c>
      <c r="AW10" s="71" t="n">
        <v>8030</v>
      </c>
      <c r="AX10" s="71" t="n">
        <v>5284</v>
      </c>
      <c r="AY10" s="71" t="n">
        <v>4221</v>
      </c>
      <c r="AZ10" s="71" t="n">
        <v>6740</v>
      </c>
      <c r="BA10" s="71" t="n">
        <v>6039</v>
      </c>
      <c r="BB10" s="71" t="n">
        <v>5104</v>
      </c>
      <c r="BC10" s="71" t="n">
        <v>6175</v>
      </c>
      <c r="BD10" s="71" t="n">
        <v>11213</v>
      </c>
      <c r="BE10" s="71" t="n">
        <v>10707</v>
      </c>
      <c r="BF10" s="71" t="n">
        <v>4676</v>
      </c>
      <c r="BG10" s="71" t="n">
        <v>6204</v>
      </c>
      <c r="BH10" s="71" t="n">
        <v>9992</v>
      </c>
      <c r="BI10" s="71" t="n">
        <v>5898</v>
      </c>
      <c r="BJ10" s="71" t="n">
        <v>4039</v>
      </c>
      <c r="BK10" s="71" t="n">
        <v>503</v>
      </c>
      <c r="BL10" s="71" t="n">
        <v>3167</v>
      </c>
      <c r="BM10" s="71" t="n">
        <v>2598</v>
      </c>
      <c r="BN10" s="71" t="n">
        <v>1363</v>
      </c>
      <c r="BO10" s="71" t="n">
        <v>3235</v>
      </c>
      <c r="BP10" s="71" t="n">
        <v>1289</v>
      </c>
      <c r="BQ10" s="71" t="n">
        <v>3633</v>
      </c>
      <c r="BR10" s="71" t="n">
        <v>3118</v>
      </c>
      <c r="BS10" s="71" t="n">
        <v>216</v>
      </c>
      <c r="BT10" s="71" t="n">
        <v>1725</v>
      </c>
      <c r="BU10" s="71" t="n">
        <v>1241</v>
      </c>
      <c r="BV10" s="71" t="n">
        <v>4601</v>
      </c>
      <c r="BW10" s="71" t="n">
        <v>785</v>
      </c>
      <c r="BX10" s="71" t="n">
        <v>1992</v>
      </c>
      <c r="BY10" s="71" t="n">
        <v>1190</v>
      </c>
      <c r="BZ10" s="71" t="n">
        <v>1409</v>
      </c>
      <c r="CA10" s="71" t="n">
        <v>1992</v>
      </c>
      <c r="CB10" s="71" t="n">
        <v>4194</v>
      </c>
      <c r="CC10" s="71" t="n">
        <v>2832</v>
      </c>
      <c r="CD10" s="71" t="n">
        <v>2869</v>
      </c>
      <c r="CE10" s="71" t="n">
        <v>2785</v>
      </c>
      <c r="CF10" s="71" t="n">
        <v>3771</v>
      </c>
      <c r="CG10" s="71" t="n">
        <v>1407</v>
      </c>
      <c r="CH10" s="71" t="n">
        <v>2728</v>
      </c>
      <c r="CI10" s="71" t="n">
        <v>2358</v>
      </c>
      <c r="CJ10" s="71" t="n">
        <v>2057</v>
      </c>
      <c r="CK10" s="71" t="n">
        <v>4223</v>
      </c>
      <c r="CL10" s="71" t="n">
        <v>2949</v>
      </c>
      <c r="CM10" s="71" t="n">
        <v>3982</v>
      </c>
      <c r="CN10" s="71" t="n">
        <v>3352</v>
      </c>
      <c r="CO10" s="71" t="n">
        <v>2630</v>
      </c>
      <c r="CP10" s="71" t="n">
        <v>2142</v>
      </c>
      <c r="CQ10" s="71" t="n">
        <v>1457</v>
      </c>
      <c r="CR10" s="71" t="n">
        <v>1100</v>
      </c>
      <c r="CS10" s="71" t="n">
        <v>1973</v>
      </c>
      <c r="CT10" s="71" t="n">
        <v>4119</v>
      </c>
      <c r="CU10" s="71" t="n">
        <v>1437</v>
      </c>
      <c r="CV10" s="71" t="n">
        <v>1047</v>
      </c>
      <c r="CW10" s="71" t="n">
        <v>4056</v>
      </c>
      <c r="CX10" s="71" t="n">
        <v>1192</v>
      </c>
      <c r="CY10" s="71" t="n">
        <v>730</v>
      </c>
      <c r="CZ10" s="71" t="n">
        <v>5009</v>
      </c>
      <c r="DA10" s="71" t="n">
        <v>989</v>
      </c>
      <c r="DB10" s="71" t="n">
        <v>5317</v>
      </c>
      <c r="DC10" s="71" t="n">
        <v>1487</v>
      </c>
      <c r="DD10" s="71" t="n">
        <v>1358</v>
      </c>
      <c r="DE10" s="71" t="n">
        <v>4336</v>
      </c>
      <c r="DF10" s="71" t="n">
        <v>3655</v>
      </c>
      <c r="DG10" s="71" t="n">
        <v>1480</v>
      </c>
      <c r="DH10" s="71" t="n">
        <v>2810</v>
      </c>
      <c r="DI10" s="71" t="n">
        <v>4239</v>
      </c>
      <c r="DJ10" s="71" t="n">
        <v>566</v>
      </c>
      <c r="DK10" s="71" t="n">
        <v>2336</v>
      </c>
      <c r="DL10" s="71" t="n">
        <v>1799</v>
      </c>
      <c r="DM10" s="71" t="n">
        <v>1305</v>
      </c>
      <c r="DN10" s="71" t="n">
        <v>5379</v>
      </c>
      <c r="DO10" s="71" t="n">
        <v>1494</v>
      </c>
      <c r="DP10" s="71" t="n">
        <v>2198</v>
      </c>
      <c r="DQ10" s="71" t="n">
        <v>913</v>
      </c>
      <c r="DR10" s="71" t="n">
        <v>3658</v>
      </c>
      <c r="DS10" s="71" t="n">
        <v>989</v>
      </c>
      <c r="DT10" s="71" t="n">
        <v>2371</v>
      </c>
      <c r="DU10" s="71" t="n">
        <v>4511</v>
      </c>
      <c r="DV10" s="71" t="n">
        <v>2583</v>
      </c>
      <c r="DW10" s="71" t="n">
        <v>3005</v>
      </c>
      <c r="DX10" s="71" t="n">
        <v>2927</v>
      </c>
      <c r="DY10" s="71" t="n">
        <v>2372</v>
      </c>
      <c r="DZ10" s="71" t="n">
        <v>2989</v>
      </c>
      <c r="EA10" s="71" t="n">
        <v>1835</v>
      </c>
      <c r="EB10" s="71" t="n">
        <v>2632</v>
      </c>
      <c r="EC10" s="71" t="n">
        <v>1745</v>
      </c>
      <c r="ED10" s="71" t="n">
        <v>3544</v>
      </c>
      <c r="EE10" s="71" t="n">
        <v>1658</v>
      </c>
      <c r="EF10" s="71" t="n">
        <v>2003</v>
      </c>
      <c r="EG10" s="71" t="n">
        <v>1619</v>
      </c>
      <c r="EH10" s="71" t="n">
        <v>2498</v>
      </c>
      <c r="EI10" s="71" t="n">
        <v>948</v>
      </c>
      <c r="EJ10" s="71" t="n">
        <v>4005</v>
      </c>
      <c r="EK10" s="71" t="n">
        <v>2732</v>
      </c>
      <c r="EL10" s="71" t="n">
        <v>2777</v>
      </c>
      <c r="EM10" s="71" t="n">
        <v>2255</v>
      </c>
      <c r="EN10" s="71" t="n">
        <v>2773</v>
      </c>
      <c r="EO10" s="71" t="n">
        <v>1570</v>
      </c>
      <c r="EP10" s="71" t="n">
        <v>6497</v>
      </c>
      <c r="EQ10" s="71" t="n">
        <v>3497</v>
      </c>
      <c r="ER10" s="71" t="n">
        <v>3775</v>
      </c>
      <c r="ES10" s="71" t="n">
        <v>554</v>
      </c>
      <c r="ET10" s="71" t="n">
        <v>1362</v>
      </c>
      <c r="EU10" s="71" t="n">
        <v>4154</v>
      </c>
      <c r="EV10" s="71" t="n">
        <v>2820</v>
      </c>
      <c r="EW10" s="71" t="n">
        <v>1256</v>
      </c>
      <c r="EX10" s="71" t="n">
        <v>2258</v>
      </c>
      <c r="EY10" s="71" t="n">
        <v>2024</v>
      </c>
      <c r="EZ10" s="71" t="n">
        <v>2255</v>
      </c>
      <c r="FA10" s="71" t="n">
        <v>2635</v>
      </c>
      <c r="FB10" s="71" t="n">
        <v>1487</v>
      </c>
      <c r="FC10" s="71" t="n">
        <v>5065</v>
      </c>
      <c r="FD10" s="71" t="n">
        <v>2885</v>
      </c>
      <c r="FE10" s="71" t="n">
        <v>4126</v>
      </c>
      <c r="FF10" s="71" t="n">
        <v>2251</v>
      </c>
      <c r="FG10" s="71" t="n">
        <v>2154</v>
      </c>
      <c r="FH10" s="71" t="n">
        <v>2760</v>
      </c>
      <c r="FI10" s="71" t="n">
        <v>2663</v>
      </c>
      <c r="FJ10" s="71" t="n">
        <v>2940</v>
      </c>
      <c r="FK10" s="71" t="n">
        <v>3676</v>
      </c>
      <c r="FL10" s="71" t="n">
        <v>1735</v>
      </c>
      <c r="FM10" s="71" t="n">
        <v>2184</v>
      </c>
      <c r="FN10" s="71" t="n">
        <v>2635</v>
      </c>
      <c r="FO10" s="71" t="n">
        <v>3146</v>
      </c>
      <c r="FP10" s="71" t="n">
        <v>4401</v>
      </c>
      <c r="FQ10" s="71" t="n">
        <v>2949</v>
      </c>
      <c r="FR10" s="71" t="n">
        <v>2337</v>
      </c>
      <c r="FS10" s="71" t="n">
        <v>2431</v>
      </c>
      <c r="FT10" s="71" t="n">
        <v>1635</v>
      </c>
      <c r="FU10" s="71" t="n">
        <v>2376</v>
      </c>
      <c r="FV10" s="71" t="n">
        <v>5041</v>
      </c>
      <c r="FW10" s="71" t="n">
        <v>1288</v>
      </c>
      <c r="FX10" s="71" t="n">
        <v>3201</v>
      </c>
      <c r="FY10" s="71" t="n">
        <v>2787</v>
      </c>
      <c r="FZ10" s="71" t="n">
        <v>2350</v>
      </c>
      <c r="GA10" s="71" t="n">
        <v>1800</v>
      </c>
      <c r="GB10" s="71" t="n">
        <v>2472</v>
      </c>
      <c r="GC10" s="71" t="n">
        <v>1280</v>
      </c>
      <c r="GD10" s="71" t="n">
        <v>854</v>
      </c>
      <c r="GE10" s="71" t="n">
        <v>2422</v>
      </c>
      <c r="GF10" s="71" t="n">
        <v>4069</v>
      </c>
      <c r="GG10" s="71" t="n">
        <v>5151</v>
      </c>
      <c r="GH10" s="71" t="n">
        <v>728</v>
      </c>
      <c r="GI10" s="71" t="n">
        <v>1358</v>
      </c>
      <c r="GJ10" s="71" t="n">
        <v>1369</v>
      </c>
      <c r="GK10" s="71" t="n">
        <v>1440</v>
      </c>
      <c r="GL10" s="71" t="n">
        <v>2972</v>
      </c>
      <c r="GM10" s="71" t="n">
        <v>1964</v>
      </c>
      <c r="GN10" s="71" t="n">
        <v>2091</v>
      </c>
      <c r="GO10" s="71" t="n">
        <v>1487</v>
      </c>
      <c r="GP10" s="71" t="n">
        <v>751</v>
      </c>
      <c r="GQ10" s="71" t="n">
        <v>894</v>
      </c>
      <c r="GR10" s="71" t="n">
        <v>1949</v>
      </c>
      <c r="GS10" s="71" t="n">
        <v>1768</v>
      </c>
      <c r="GT10" s="71" t="n">
        <v>1911</v>
      </c>
      <c r="GU10" s="71" t="n">
        <v>3897</v>
      </c>
      <c r="GV10" s="71" t="n">
        <v>616</v>
      </c>
      <c r="GW10" s="71" t="n">
        <v>1099</v>
      </c>
      <c r="GX10" s="71" t="n">
        <v>1894</v>
      </c>
      <c r="GY10" s="71" t="n">
        <v>3267</v>
      </c>
      <c r="GZ10" s="71" t="n">
        <v>1153</v>
      </c>
      <c r="HA10" s="71" t="n">
        <v>1683</v>
      </c>
      <c r="HB10" s="71" t="n">
        <v>4189</v>
      </c>
      <c r="HC10" s="67"/>
      <c r="HD10" s="71" t="n">
        <v>1606</v>
      </c>
      <c r="HE10" s="71" t="n">
        <v>1055</v>
      </c>
      <c r="HF10" s="67"/>
      <c r="HG10" s="71" t="n">
        <v>643</v>
      </c>
      <c r="HH10" s="71" t="n">
        <v>2755</v>
      </c>
      <c r="HI10" s="71" t="n">
        <v>2657</v>
      </c>
      <c r="HJ10" s="71" t="n">
        <v>1521</v>
      </c>
      <c r="HK10" s="71" t="n">
        <v>1349</v>
      </c>
      <c r="HL10" s="71" t="n">
        <v>238</v>
      </c>
      <c r="HM10" s="71" t="n">
        <v>1755</v>
      </c>
      <c r="HN10" s="71" t="n">
        <v>2431</v>
      </c>
      <c r="HO10" s="71" t="n">
        <v>1561</v>
      </c>
      <c r="HP10" s="71" t="n">
        <v>2172</v>
      </c>
      <c r="HQ10" s="71" t="n">
        <v>1492</v>
      </c>
      <c r="HR10" s="71" t="n">
        <v>3158</v>
      </c>
      <c r="HS10" s="71" t="n">
        <v>2137</v>
      </c>
      <c r="HT10" s="71" t="n">
        <v>1305</v>
      </c>
      <c r="HU10" s="71" t="n">
        <v>993</v>
      </c>
      <c r="HV10" s="67"/>
      <c r="HW10" s="71" t="n">
        <v>2937</v>
      </c>
      <c r="HX10" s="71" t="n">
        <v>421</v>
      </c>
      <c r="HY10" s="71" t="n">
        <v>976</v>
      </c>
      <c r="HZ10" s="71" t="n">
        <v>226</v>
      </c>
      <c r="IA10" s="71" t="n">
        <v>8815</v>
      </c>
      <c r="IB10" s="71" t="n">
        <v>403</v>
      </c>
      <c r="IC10" s="71" t="n">
        <v>4052</v>
      </c>
      <c r="ID10" s="71" t="n">
        <v>2391</v>
      </c>
      <c r="IE10" s="71" t="n">
        <v>2338</v>
      </c>
      <c r="IF10" s="71" t="n">
        <v>657</v>
      </c>
      <c r="IG10" s="71" t="n">
        <v>2701</v>
      </c>
      <c r="IH10" s="71" t="n">
        <v>1192</v>
      </c>
      <c r="II10" s="71" t="n">
        <v>2496</v>
      </c>
      <c r="IJ10" s="71" t="n">
        <v>6188</v>
      </c>
      <c r="IK10" s="71" t="n">
        <v>1256</v>
      </c>
      <c r="IL10" s="71" t="n">
        <v>1936</v>
      </c>
      <c r="IM10" s="71" t="n">
        <v>1455</v>
      </c>
      <c r="IN10" s="71" t="n">
        <v>496</v>
      </c>
      <c r="IO10" s="71" t="n">
        <v>2542</v>
      </c>
      <c r="IP10" s="71" t="n">
        <v>3815</v>
      </c>
      <c r="IQ10" s="71" t="n">
        <v>2839</v>
      </c>
      <c r="IR10" s="71" t="n">
        <v>2586</v>
      </c>
      <c r="IS10" s="71" t="n">
        <v>1389</v>
      </c>
      <c r="IT10" s="67"/>
      <c r="IU10" s="71" t="n">
        <v>239</v>
      </c>
      <c r="IV10" s="71" t="n">
        <v>3215</v>
      </c>
      <c r="IW10" s="71" t="n">
        <v>3172</v>
      </c>
      <c r="IX10" s="71" t="n">
        <v>5547</v>
      </c>
      <c r="IY10" s="71" t="n">
        <v>1020</v>
      </c>
      <c r="IZ10" s="71" t="n">
        <v>1303</v>
      </c>
      <c r="JA10" s="71" t="n">
        <v>583</v>
      </c>
      <c r="JB10" s="71" t="n">
        <v>909</v>
      </c>
      <c r="JC10" s="71" t="n">
        <v>1834</v>
      </c>
      <c r="JD10" s="71" t="n">
        <v>1810</v>
      </c>
      <c r="JE10" s="71" t="n">
        <v>5257</v>
      </c>
      <c r="JF10" s="71" t="n">
        <v>2180</v>
      </c>
      <c r="JG10" s="71" t="n">
        <v>2332</v>
      </c>
      <c r="JH10" s="71" t="n">
        <v>2159</v>
      </c>
      <c r="JI10" s="71" t="n">
        <v>1133</v>
      </c>
      <c r="JJ10" s="71" t="n">
        <v>693</v>
      </c>
      <c r="JK10" s="71" t="n">
        <v>4596</v>
      </c>
      <c r="JL10" s="71" t="n">
        <v>1546</v>
      </c>
      <c r="JM10" s="71" t="n">
        <v>3318</v>
      </c>
      <c r="JN10" s="71" t="n">
        <v>2710</v>
      </c>
      <c r="JO10" s="71" t="n">
        <v>2342</v>
      </c>
      <c r="JP10" s="71" t="n">
        <v>5040</v>
      </c>
      <c r="JQ10" s="71" t="n">
        <v>1285</v>
      </c>
      <c r="JR10" s="71" t="n">
        <v>2820</v>
      </c>
      <c r="JS10" s="71" t="n">
        <v>920</v>
      </c>
      <c r="JT10" s="71" t="n">
        <v>170</v>
      </c>
      <c r="JU10" s="71" t="n">
        <v>1057</v>
      </c>
      <c r="JV10" s="71" t="n">
        <v>1851</v>
      </c>
      <c r="JW10" s="71" t="n">
        <v>1196</v>
      </c>
      <c r="JX10" s="71" t="n">
        <v>760</v>
      </c>
      <c r="JY10" s="71" t="n">
        <v>1644</v>
      </c>
      <c r="JZ10" s="71" t="n">
        <v>890</v>
      </c>
      <c r="KA10" s="71" t="n">
        <v>2838</v>
      </c>
      <c r="KB10" s="71" t="n">
        <v>1326</v>
      </c>
      <c r="KC10" s="71" t="n">
        <v>5125</v>
      </c>
      <c r="KD10" s="71" t="n">
        <v>1935</v>
      </c>
      <c r="KE10" s="71" t="n">
        <v>1120</v>
      </c>
      <c r="KF10" s="71" t="n">
        <v>1780</v>
      </c>
      <c r="KG10" s="71" t="n">
        <v>1551</v>
      </c>
      <c r="KH10" s="71" t="n">
        <v>755</v>
      </c>
      <c r="KI10" s="71" t="n">
        <v>1527</v>
      </c>
      <c r="KJ10" s="71" t="n">
        <v>3551</v>
      </c>
      <c r="KK10" s="71" t="n">
        <v>2241</v>
      </c>
      <c r="KL10" s="71" t="n">
        <v>1140</v>
      </c>
      <c r="KM10" s="71" t="n">
        <v>3225</v>
      </c>
      <c r="KN10" s="71" t="n">
        <v>2966</v>
      </c>
      <c r="KO10" s="71" t="n">
        <v>4265</v>
      </c>
      <c r="KP10" s="71" t="n">
        <v>1197</v>
      </c>
      <c r="KQ10" s="71" t="n">
        <v>2375</v>
      </c>
      <c r="KR10" s="71" t="n">
        <v>2148</v>
      </c>
      <c r="KS10" s="71" t="n">
        <v>1424</v>
      </c>
      <c r="KT10" s="71" t="n">
        <v>2173</v>
      </c>
      <c r="KU10" s="71" t="n">
        <v>1455</v>
      </c>
      <c r="KV10" s="71" t="n">
        <v>2969</v>
      </c>
      <c r="KW10" s="71" t="n">
        <v>676</v>
      </c>
      <c r="KX10" s="71" t="n">
        <v>3392</v>
      </c>
      <c r="KY10" s="71" t="n">
        <v>3818</v>
      </c>
      <c r="KZ10" s="71" t="n">
        <v>828</v>
      </c>
      <c r="LA10" s="71" t="n">
        <v>1786</v>
      </c>
      <c r="LB10" s="71" t="n">
        <v>2307</v>
      </c>
      <c r="LC10" s="71" t="n">
        <v>3187</v>
      </c>
      <c r="LD10" s="71" t="n">
        <v>1756</v>
      </c>
      <c r="LE10" s="71" t="n">
        <v>1931</v>
      </c>
      <c r="LF10" s="71" t="n">
        <v>1830</v>
      </c>
      <c r="LG10" s="72" t="n">
        <v>1655</v>
      </c>
      <c r="LH10" s="69" t="n">
        <v>759934</v>
      </c>
    </row>
    <row r="11" customFormat="false" ht="15" hidden="false" customHeight="false" outlineLevel="0" collapsed="false">
      <c r="B11" s="64"/>
      <c r="C11" s="65" t="s">
        <v>22</v>
      </c>
      <c r="D11" s="66" t="n">
        <v>2801</v>
      </c>
      <c r="E11" s="67"/>
      <c r="F11" s="67"/>
      <c r="G11" s="68"/>
      <c r="H11" s="69" t="n">
        <v>2801</v>
      </c>
      <c r="K11" s="70" t="s">
        <v>33</v>
      </c>
      <c r="L11" s="66" t="n">
        <v>240</v>
      </c>
      <c r="M11" s="67"/>
      <c r="N11" s="71" t="n">
        <v>550</v>
      </c>
      <c r="O11" s="71" t="n">
        <v>3400</v>
      </c>
      <c r="P11" s="71" t="n">
        <v>320</v>
      </c>
      <c r="Q11" s="71" t="n">
        <v>614</v>
      </c>
      <c r="R11" s="67"/>
      <c r="S11" s="71" t="n">
        <v>3160</v>
      </c>
      <c r="T11" s="71" t="n">
        <v>2930</v>
      </c>
      <c r="U11" s="71" t="n">
        <v>150</v>
      </c>
      <c r="V11" s="71" t="n">
        <v>180</v>
      </c>
      <c r="W11" s="71" t="n">
        <v>989</v>
      </c>
      <c r="X11" s="71" t="n">
        <v>990</v>
      </c>
      <c r="Y11" s="71" t="n">
        <v>479</v>
      </c>
      <c r="Z11" s="71" t="n">
        <v>10</v>
      </c>
      <c r="AA11" s="71" t="n">
        <v>670</v>
      </c>
      <c r="AB11" s="67"/>
      <c r="AC11" s="71" t="n">
        <v>149</v>
      </c>
      <c r="AD11" s="71" t="n">
        <v>925</v>
      </c>
      <c r="AE11" s="71" t="n">
        <v>1570</v>
      </c>
      <c r="AF11" s="71" t="n">
        <v>50</v>
      </c>
      <c r="AG11" s="71" t="n">
        <v>470</v>
      </c>
      <c r="AH11" s="71" t="n">
        <v>480</v>
      </c>
      <c r="AI11" s="67"/>
      <c r="AJ11" s="71" t="n">
        <v>1160</v>
      </c>
      <c r="AK11" s="71" t="n">
        <v>69</v>
      </c>
      <c r="AL11" s="71" t="n">
        <v>320</v>
      </c>
      <c r="AM11" s="71" t="n">
        <v>1425</v>
      </c>
      <c r="AN11" s="71" t="n">
        <v>1610</v>
      </c>
      <c r="AO11" s="71" t="n">
        <v>185</v>
      </c>
      <c r="AP11" s="71" t="n">
        <v>589</v>
      </c>
      <c r="AQ11" s="71" t="n">
        <v>1570</v>
      </c>
      <c r="AR11" s="71" t="n">
        <v>2270</v>
      </c>
      <c r="AS11" s="71" t="n">
        <v>880</v>
      </c>
      <c r="AT11" s="71" t="n">
        <v>350</v>
      </c>
      <c r="AU11" s="71" t="n">
        <v>449</v>
      </c>
      <c r="AV11" s="71" t="n">
        <v>810</v>
      </c>
      <c r="AW11" s="71" t="n">
        <v>4640</v>
      </c>
      <c r="AX11" s="71" t="n">
        <v>820</v>
      </c>
      <c r="AY11" s="71" t="n">
        <v>320</v>
      </c>
      <c r="AZ11" s="67"/>
      <c r="BA11" s="71" t="n">
        <v>120</v>
      </c>
      <c r="BB11" s="71" t="n">
        <v>320</v>
      </c>
      <c r="BC11" s="71" t="n">
        <v>1393</v>
      </c>
      <c r="BD11" s="71" t="n">
        <v>2011</v>
      </c>
      <c r="BE11" s="71" t="n">
        <v>150</v>
      </c>
      <c r="BF11" s="67"/>
      <c r="BG11" s="71" t="n">
        <v>320</v>
      </c>
      <c r="BH11" s="71" t="n">
        <v>2650</v>
      </c>
      <c r="BI11" s="67"/>
      <c r="BJ11" s="71" t="n">
        <v>775</v>
      </c>
      <c r="BK11" s="71" t="n">
        <v>739</v>
      </c>
      <c r="BL11" s="71" t="n">
        <v>430</v>
      </c>
      <c r="BM11" s="67"/>
      <c r="BN11" s="67"/>
      <c r="BO11" s="67"/>
      <c r="BP11" s="67"/>
      <c r="BQ11" s="71" t="n">
        <v>1740</v>
      </c>
      <c r="BR11" s="71" t="n">
        <v>190</v>
      </c>
      <c r="BS11" s="71" t="n">
        <v>1580</v>
      </c>
      <c r="BT11" s="71" t="n">
        <v>500</v>
      </c>
      <c r="BU11" s="71" t="n">
        <v>420</v>
      </c>
      <c r="BV11" s="67"/>
      <c r="BW11" s="71" t="n">
        <v>789</v>
      </c>
      <c r="BX11" s="71" t="n">
        <v>40</v>
      </c>
      <c r="BY11" s="71" t="n">
        <v>1220</v>
      </c>
      <c r="BZ11" s="71" t="n">
        <v>420</v>
      </c>
      <c r="CA11" s="71" t="n">
        <v>1760</v>
      </c>
      <c r="CB11" s="71" t="n">
        <v>450</v>
      </c>
      <c r="CC11" s="71" t="n">
        <v>320</v>
      </c>
      <c r="CD11" s="71" t="n">
        <v>2220</v>
      </c>
      <c r="CE11" s="71" t="n">
        <v>290</v>
      </c>
      <c r="CF11" s="71" t="n">
        <v>480</v>
      </c>
      <c r="CG11" s="71" t="n">
        <v>1214</v>
      </c>
      <c r="CH11" s="71" t="n">
        <v>3595</v>
      </c>
      <c r="CI11" s="67"/>
      <c r="CJ11" s="71" t="n">
        <v>1260</v>
      </c>
      <c r="CK11" s="71" t="n">
        <v>500</v>
      </c>
      <c r="CL11" s="71" t="n">
        <v>420</v>
      </c>
      <c r="CM11" s="71" t="n">
        <v>689</v>
      </c>
      <c r="CN11" s="71" t="n">
        <v>80</v>
      </c>
      <c r="CO11" s="71" t="n">
        <v>1379</v>
      </c>
      <c r="CP11" s="71" t="n">
        <v>870</v>
      </c>
      <c r="CQ11" s="71" t="n">
        <v>2600</v>
      </c>
      <c r="CR11" s="67"/>
      <c r="CS11" s="71" t="n">
        <v>260</v>
      </c>
      <c r="CT11" s="71" t="n">
        <v>300</v>
      </c>
      <c r="CU11" s="71" t="n">
        <v>1684</v>
      </c>
      <c r="CV11" s="71" t="n">
        <v>980</v>
      </c>
      <c r="CW11" s="71" t="n">
        <v>990</v>
      </c>
      <c r="CX11" s="71" t="n">
        <v>520</v>
      </c>
      <c r="CY11" s="67"/>
      <c r="CZ11" s="71" t="n">
        <v>2310</v>
      </c>
      <c r="DA11" s="71" t="n">
        <v>230</v>
      </c>
      <c r="DB11" s="71" t="n">
        <v>540</v>
      </c>
      <c r="DC11" s="71" t="n">
        <v>350</v>
      </c>
      <c r="DD11" s="71" t="n">
        <v>150</v>
      </c>
      <c r="DE11" s="67"/>
      <c r="DF11" s="71" t="n">
        <v>100</v>
      </c>
      <c r="DG11" s="67"/>
      <c r="DH11" s="71" t="n">
        <v>1310</v>
      </c>
      <c r="DI11" s="71" t="n">
        <v>2525</v>
      </c>
      <c r="DJ11" s="71" t="n">
        <v>850</v>
      </c>
      <c r="DK11" s="71" t="n">
        <v>1810</v>
      </c>
      <c r="DL11" s="71" t="n">
        <v>60</v>
      </c>
      <c r="DM11" s="67"/>
      <c r="DN11" s="71" t="n">
        <v>750</v>
      </c>
      <c r="DO11" s="71" t="n">
        <v>3650</v>
      </c>
      <c r="DP11" s="71" t="n">
        <v>280</v>
      </c>
      <c r="DQ11" s="71" t="n">
        <v>420</v>
      </c>
      <c r="DR11" s="71" t="n">
        <v>290</v>
      </c>
      <c r="DS11" s="71" t="n">
        <v>5050</v>
      </c>
      <c r="DT11" s="67"/>
      <c r="DU11" s="71" t="n">
        <v>200</v>
      </c>
      <c r="DV11" s="71" t="n">
        <v>400</v>
      </c>
      <c r="DW11" s="71" t="n">
        <v>25</v>
      </c>
      <c r="DX11" s="71" t="n">
        <v>230</v>
      </c>
      <c r="DY11" s="71" t="n">
        <v>1519</v>
      </c>
      <c r="DZ11" s="71" t="n">
        <v>310</v>
      </c>
      <c r="EA11" s="71" t="n">
        <v>1000</v>
      </c>
      <c r="EB11" s="67"/>
      <c r="EC11" s="71" t="n">
        <v>170</v>
      </c>
      <c r="ED11" s="71" t="n">
        <v>70</v>
      </c>
      <c r="EE11" s="71" t="n">
        <v>430</v>
      </c>
      <c r="EF11" s="71" t="n">
        <v>525</v>
      </c>
      <c r="EG11" s="71" t="n">
        <v>2520</v>
      </c>
      <c r="EH11" s="71" t="n">
        <v>1720</v>
      </c>
      <c r="EI11" s="71" t="n">
        <v>2030</v>
      </c>
      <c r="EJ11" s="71" t="n">
        <v>580</v>
      </c>
      <c r="EK11" s="71" t="n">
        <v>1710</v>
      </c>
      <c r="EL11" s="71" t="n">
        <v>150</v>
      </c>
      <c r="EM11" s="71" t="n">
        <v>245</v>
      </c>
      <c r="EN11" s="71" t="n">
        <v>1534</v>
      </c>
      <c r="EO11" s="71" t="n">
        <v>1540</v>
      </c>
      <c r="EP11" s="71" t="n">
        <v>1740</v>
      </c>
      <c r="EQ11" s="71" t="n">
        <v>770</v>
      </c>
      <c r="ER11" s="71" t="n">
        <v>750</v>
      </c>
      <c r="ES11" s="71" t="n">
        <v>320</v>
      </c>
      <c r="ET11" s="71" t="n">
        <v>260</v>
      </c>
      <c r="EU11" s="71" t="n">
        <v>460</v>
      </c>
      <c r="EV11" s="71" t="n">
        <v>420</v>
      </c>
      <c r="EW11" s="71" t="n">
        <v>1790</v>
      </c>
      <c r="EX11" s="71" t="n">
        <v>910</v>
      </c>
      <c r="EY11" s="71" t="n">
        <v>20</v>
      </c>
      <c r="EZ11" s="71" t="n">
        <v>170</v>
      </c>
      <c r="FA11" s="71" t="n">
        <v>933</v>
      </c>
      <c r="FB11" s="71" t="n">
        <v>530</v>
      </c>
      <c r="FC11" s="71" t="n">
        <v>345</v>
      </c>
      <c r="FD11" s="67"/>
      <c r="FE11" s="71" t="n">
        <v>1571</v>
      </c>
      <c r="FF11" s="71" t="n">
        <v>1007</v>
      </c>
      <c r="FG11" s="71" t="n">
        <v>160</v>
      </c>
      <c r="FH11" s="71" t="n">
        <v>1143</v>
      </c>
      <c r="FI11" s="71" t="n">
        <v>595</v>
      </c>
      <c r="FJ11" s="71" t="n">
        <v>580</v>
      </c>
      <c r="FK11" s="71" t="n">
        <v>230</v>
      </c>
      <c r="FL11" s="71" t="n">
        <v>45</v>
      </c>
      <c r="FM11" s="71" t="n">
        <v>20</v>
      </c>
      <c r="FN11" s="71" t="n">
        <v>560</v>
      </c>
      <c r="FO11" s="71" t="n">
        <v>760</v>
      </c>
      <c r="FP11" s="71" t="n">
        <v>625</v>
      </c>
      <c r="FQ11" s="71" t="n">
        <v>920</v>
      </c>
      <c r="FR11" s="71" t="n">
        <v>730</v>
      </c>
      <c r="FS11" s="71" t="n">
        <v>1989</v>
      </c>
      <c r="FT11" s="71" t="n">
        <v>500</v>
      </c>
      <c r="FU11" s="71" t="n">
        <v>740</v>
      </c>
      <c r="FV11" s="71" t="n">
        <v>1395</v>
      </c>
      <c r="FW11" s="71" t="n">
        <v>405</v>
      </c>
      <c r="FX11" s="71" t="n">
        <v>260</v>
      </c>
      <c r="FY11" s="71" t="n">
        <v>230</v>
      </c>
      <c r="FZ11" s="71" t="n">
        <v>3159</v>
      </c>
      <c r="GA11" s="71" t="n">
        <v>170</v>
      </c>
      <c r="GB11" s="71" t="n">
        <v>60</v>
      </c>
      <c r="GC11" s="71" t="n">
        <v>95</v>
      </c>
      <c r="GD11" s="71" t="n">
        <v>500</v>
      </c>
      <c r="GE11" s="71" t="n">
        <v>30</v>
      </c>
      <c r="GF11" s="71" t="n">
        <v>150</v>
      </c>
      <c r="GG11" s="71" t="n">
        <v>1220</v>
      </c>
      <c r="GH11" s="71" t="n">
        <v>1245</v>
      </c>
      <c r="GI11" s="71" t="n">
        <v>1525</v>
      </c>
      <c r="GJ11" s="71" t="n">
        <v>1750</v>
      </c>
      <c r="GK11" s="71" t="n">
        <v>1055</v>
      </c>
      <c r="GL11" s="67"/>
      <c r="GM11" s="71" t="n">
        <v>190</v>
      </c>
      <c r="GN11" s="71" t="n">
        <v>220</v>
      </c>
      <c r="GO11" s="67"/>
      <c r="GP11" s="71" t="n">
        <v>200</v>
      </c>
      <c r="GQ11" s="71" t="n">
        <v>229</v>
      </c>
      <c r="GR11" s="71" t="n">
        <v>6325</v>
      </c>
      <c r="GS11" s="71" t="n">
        <v>1070</v>
      </c>
      <c r="GT11" s="71" t="n">
        <v>1610</v>
      </c>
      <c r="GU11" s="71" t="n">
        <v>350</v>
      </c>
      <c r="GV11" s="71" t="n">
        <v>310</v>
      </c>
      <c r="GW11" s="71" t="n">
        <v>599</v>
      </c>
      <c r="GX11" s="71" t="n">
        <v>380</v>
      </c>
      <c r="GY11" s="71" t="n">
        <v>1040</v>
      </c>
      <c r="GZ11" s="71" t="n">
        <v>20</v>
      </c>
      <c r="HA11" s="71" t="n">
        <v>110</v>
      </c>
      <c r="HB11" s="71" t="n">
        <v>815</v>
      </c>
      <c r="HC11" s="67"/>
      <c r="HD11" s="71" t="n">
        <v>740</v>
      </c>
      <c r="HE11" s="67"/>
      <c r="HF11" s="71" t="n">
        <v>315</v>
      </c>
      <c r="HG11" s="71" t="n">
        <v>1450</v>
      </c>
      <c r="HH11" s="71" t="n">
        <v>310</v>
      </c>
      <c r="HI11" s="71" t="n">
        <v>230</v>
      </c>
      <c r="HJ11" s="71" t="n">
        <v>360</v>
      </c>
      <c r="HK11" s="67"/>
      <c r="HL11" s="71" t="n">
        <v>320</v>
      </c>
      <c r="HM11" s="67"/>
      <c r="HN11" s="71" t="n">
        <v>1449</v>
      </c>
      <c r="HO11" s="71" t="n">
        <v>945</v>
      </c>
      <c r="HP11" s="71" t="n">
        <v>990</v>
      </c>
      <c r="HQ11" s="71" t="n">
        <v>4030</v>
      </c>
      <c r="HR11" s="71" t="n">
        <v>330</v>
      </c>
      <c r="HS11" s="71" t="n">
        <v>2210</v>
      </c>
      <c r="HT11" s="67"/>
      <c r="HU11" s="71" t="n">
        <v>860</v>
      </c>
      <c r="HV11" s="71" t="n">
        <v>930</v>
      </c>
      <c r="HW11" s="71" t="n">
        <v>550</v>
      </c>
      <c r="HX11" s="67"/>
      <c r="HY11" s="67"/>
      <c r="HZ11" s="71" t="n">
        <v>475</v>
      </c>
      <c r="IA11" s="67"/>
      <c r="IB11" s="71" t="n">
        <v>80</v>
      </c>
      <c r="IC11" s="71" t="n">
        <v>2950</v>
      </c>
      <c r="ID11" s="67"/>
      <c r="IE11" s="71" t="n">
        <v>996</v>
      </c>
      <c r="IF11" s="67"/>
      <c r="IG11" s="67"/>
      <c r="IH11" s="71" t="n">
        <v>620</v>
      </c>
      <c r="II11" s="71" t="n">
        <v>312</v>
      </c>
      <c r="IJ11" s="71" t="n">
        <v>80</v>
      </c>
      <c r="IK11" s="71" t="n">
        <v>909</v>
      </c>
      <c r="IL11" s="71" t="n">
        <v>690</v>
      </c>
      <c r="IM11" s="71" t="n">
        <v>3370</v>
      </c>
      <c r="IN11" s="71" t="n">
        <v>1590</v>
      </c>
      <c r="IO11" s="71" t="n">
        <v>1615</v>
      </c>
      <c r="IP11" s="71" t="n">
        <v>100</v>
      </c>
      <c r="IQ11" s="67"/>
      <c r="IR11" s="71" t="n">
        <v>480</v>
      </c>
      <c r="IS11" s="71" t="n">
        <v>190</v>
      </c>
      <c r="IT11" s="71" t="n">
        <v>50</v>
      </c>
      <c r="IU11" s="71" t="n">
        <v>230</v>
      </c>
      <c r="IV11" s="67"/>
      <c r="IW11" s="71" t="n">
        <v>130</v>
      </c>
      <c r="IX11" s="71" t="n">
        <v>1075</v>
      </c>
      <c r="IY11" s="67"/>
      <c r="IZ11" s="71" t="n">
        <v>20</v>
      </c>
      <c r="JA11" s="71" t="n">
        <v>999</v>
      </c>
      <c r="JB11" s="71" t="n">
        <v>110</v>
      </c>
      <c r="JC11" s="71" t="n">
        <v>200</v>
      </c>
      <c r="JD11" s="71" t="n">
        <v>2924</v>
      </c>
      <c r="JE11" s="67"/>
      <c r="JF11" s="71" t="n">
        <v>2739</v>
      </c>
      <c r="JG11" s="71" t="n">
        <v>369</v>
      </c>
      <c r="JH11" s="71" t="n">
        <v>250</v>
      </c>
      <c r="JI11" s="71" t="n">
        <v>45</v>
      </c>
      <c r="JJ11" s="71" t="n">
        <v>1725</v>
      </c>
      <c r="JK11" s="71" t="n">
        <v>570</v>
      </c>
      <c r="JL11" s="71" t="n">
        <v>210</v>
      </c>
      <c r="JM11" s="71" t="n">
        <v>1000</v>
      </c>
      <c r="JN11" s="71" t="n">
        <v>980</v>
      </c>
      <c r="JO11" s="71" t="n">
        <v>840</v>
      </c>
      <c r="JP11" s="71" t="n">
        <v>220</v>
      </c>
      <c r="JQ11" s="71" t="n">
        <v>1315</v>
      </c>
      <c r="JR11" s="71" t="n">
        <v>460</v>
      </c>
      <c r="JS11" s="71" t="n">
        <v>1034</v>
      </c>
      <c r="JT11" s="71" t="n">
        <v>940</v>
      </c>
      <c r="JU11" s="71" t="n">
        <v>300</v>
      </c>
      <c r="JV11" s="71" t="n">
        <v>1958</v>
      </c>
      <c r="JW11" s="71" t="n">
        <v>650</v>
      </c>
      <c r="JX11" s="71" t="n">
        <v>420</v>
      </c>
      <c r="JY11" s="71" t="n">
        <v>1269</v>
      </c>
      <c r="JZ11" s="71" t="n">
        <v>850</v>
      </c>
      <c r="KA11" s="67"/>
      <c r="KB11" s="71" t="n">
        <v>30</v>
      </c>
      <c r="KC11" s="67"/>
      <c r="KD11" s="71" t="n">
        <v>90</v>
      </c>
      <c r="KE11" s="71" t="n">
        <v>100</v>
      </c>
      <c r="KF11" s="71" t="n">
        <v>279</v>
      </c>
      <c r="KG11" s="71" t="n">
        <v>1495</v>
      </c>
      <c r="KH11" s="71" t="n">
        <v>7715</v>
      </c>
      <c r="KI11" s="71" t="n">
        <v>500</v>
      </c>
      <c r="KJ11" s="71" t="n">
        <v>570</v>
      </c>
      <c r="KK11" s="71" t="n">
        <v>215</v>
      </c>
      <c r="KL11" s="71" t="n">
        <v>70</v>
      </c>
      <c r="KM11" s="71" t="n">
        <v>560</v>
      </c>
      <c r="KN11" s="67"/>
      <c r="KO11" s="71" t="n">
        <v>100</v>
      </c>
      <c r="KP11" s="71" t="n">
        <v>10</v>
      </c>
      <c r="KQ11" s="71" t="n">
        <v>420</v>
      </c>
      <c r="KR11" s="67"/>
      <c r="KS11" s="71" t="n">
        <v>20</v>
      </c>
      <c r="KT11" s="71" t="n">
        <v>1675</v>
      </c>
      <c r="KU11" s="71" t="n">
        <v>1800</v>
      </c>
      <c r="KV11" s="71" t="n">
        <v>1653</v>
      </c>
      <c r="KW11" s="71" t="n">
        <v>30</v>
      </c>
      <c r="KX11" s="67"/>
      <c r="KY11" s="71" t="n">
        <v>2087</v>
      </c>
      <c r="KZ11" s="71" t="n">
        <v>865</v>
      </c>
      <c r="LA11" s="71" t="n">
        <v>1115</v>
      </c>
      <c r="LB11" s="71" t="n">
        <v>1310</v>
      </c>
      <c r="LC11" s="71" t="n">
        <v>1334</v>
      </c>
      <c r="LD11" s="71" t="n">
        <v>810</v>
      </c>
      <c r="LE11" s="71" t="n">
        <v>870</v>
      </c>
      <c r="LF11" s="71" t="n">
        <v>1080</v>
      </c>
      <c r="LG11" s="72" t="n">
        <v>410</v>
      </c>
      <c r="LH11" s="69" t="n">
        <v>241925</v>
      </c>
    </row>
    <row r="12" customFormat="false" ht="15" hidden="false" customHeight="false" outlineLevel="0" collapsed="false">
      <c r="B12" s="64"/>
      <c r="C12" s="65" t="s">
        <v>37</v>
      </c>
      <c r="D12" s="73"/>
      <c r="E12" s="67"/>
      <c r="F12" s="71" t="n">
        <v>0</v>
      </c>
      <c r="G12" s="68"/>
      <c r="H12" s="69" t="n">
        <v>0</v>
      </c>
      <c r="K12" s="70" t="s">
        <v>17</v>
      </c>
      <c r="L12" s="66" t="n">
        <v>19422</v>
      </c>
      <c r="M12" s="71" t="n">
        <v>10553</v>
      </c>
      <c r="N12" s="71" t="n">
        <v>19947</v>
      </c>
      <c r="O12" s="71" t="n">
        <v>26464</v>
      </c>
      <c r="P12" s="71" t="n">
        <v>33268</v>
      </c>
      <c r="Q12" s="71" t="n">
        <v>15670</v>
      </c>
      <c r="R12" s="71" t="n">
        <v>13162</v>
      </c>
      <c r="S12" s="71" t="n">
        <v>9785</v>
      </c>
      <c r="T12" s="71" t="n">
        <v>11791</v>
      </c>
      <c r="U12" s="71" t="n">
        <v>19723</v>
      </c>
      <c r="V12" s="71" t="n">
        <v>18947</v>
      </c>
      <c r="W12" s="71" t="n">
        <v>24773</v>
      </c>
      <c r="X12" s="71" t="n">
        <v>16745</v>
      </c>
      <c r="Y12" s="71" t="n">
        <v>9739</v>
      </c>
      <c r="Z12" s="71" t="n">
        <v>16846</v>
      </c>
      <c r="AA12" s="71" t="n">
        <v>16120</v>
      </c>
      <c r="AB12" s="71" t="n">
        <v>26031</v>
      </c>
      <c r="AC12" s="71" t="n">
        <v>17459</v>
      </c>
      <c r="AD12" s="71" t="n">
        <v>23463</v>
      </c>
      <c r="AE12" s="71" t="n">
        <v>10062</v>
      </c>
      <c r="AF12" s="71" t="n">
        <v>14439</v>
      </c>
      <c r="AG12" s="71" t="n">
        <v>14105</v>
      </c>
      <c r="AH12" s="71" t="n">
        <v>8789</v>
      </c>
      <c r="AI12" s="71" t="n">
        <v>28893</v>
      </c>
      <c r="AJ12" s="71" t="n">
        <v>14543</v>
      </c>
      <c r="AK12" s="71" t="n">
        <v>17085</v>
      </c>
      <c r="AL12" s="71" t="n">
        <v>8353</v>
      </c>
      <c r="AM12" s="71" t="n">
        <v>14788</v>
      </c>
      <c r="AN12" s="71" t="n">
        <v>11913</v>
      </c>
      <c r="AO12" s="71" t="n">
        <v>14834</v>
      </c>
      <c r="AP12" s="71" t="n">
        <v>22146</v>
      </c>
      <c r="AQ12" s="71" t="n">
        <v>15666</v>
      </c>
      <c r="AR12" s="71" t="n">
        <v>14098</v>
      </c>
      <c r="AS12" s="71" t="n">
        <v>11543</v>
      </c>
      <c r="AT12" s="71" t="n">
        <v>9793</v>
      </c>
      <c r="AU12" s="71" t="n">
        <v>16316</v>
      </c>
      <c r="AV12" s="71" t="n">
        <v>26223</v>
      </c>
      <c r="AW12" s="71" t="n">
        <v>32481</v>
      </c>
      <c r="AX12" s="71" t="n">
        <v>21971</v>
      </c>
      <c r="AY12" s="71" t="n">
        <v>15218</v>
      </c>
      <c r="AZ12" s="71" t="n">
        <v>16472</v>
      </c>
      <c r="BA12" s="71" t="n">
        <v>19400</v>
      </c>
      <c r="BB12" s="71" t="n">
        <v>17653</v>
      </c>
      <c r="BC12" s="71" t="n">
        <v>28766</v>
      </c>
      <c r="BD12" s="71" t="n">
        <v>23233</v>
      </c>
      <c r="BE12" s="71" t="n">
        <v>26853</v>
      </c>
      <c r="BF12" s="71" t="n">
        <v>14425</v>
      </c>
      <c r="BG12" s="71" t="n">
        <v>13289</v>
      </c>
      <c r="BH12" s="71" t="n">
        <v>20190</v>
      </c>
      <c r="BI12" s="71" t="n">
        <v>12539</v>
      </c>
      <c r="BJ12" s="71" t="n">
        <v>34924</v>
      </c>
      <c r="BK12" s="71" t="n">
        <v>20270</v>
      </c>
      <c r="BL12" s="71" t="n">
        <v>21202</v>
      </c>
      <c r="BM12" s="71" t="n">
        <v>12564</v>
      </c>
      <c r="BN12" s="71" t="n">
        <v>14284</v>
      </c>
      <c r="BO12" s="71" t="n">
        <v>11780</v>
      </c>
      <c r="BP12" s="71" t="n">
        <v>14847</v>
      </c>
      <c r="BQ12" s="71" t="n">
        <v>25241</v>
      </c>
      <c r="BR12" s="71" t="n">
        <v>21399</v>
      </c>
      <c r="BS12" s="71" t="n">
        <v>20324</v>
      </c>
      <c r="BT12" s="71" t="n">
        <v>9978</v>
      </c>
      <c r="BU12" s="71" t="n">
        <v>18648</v>
      </c>
      <c r="BV12" s="71" t="n">
        <v>14350</v>
      </c>
      <c r="BW12" s="71" t="n">
        <v>11730</v>
      </c>
      <c r="BX12" s="71" t="n">
        <v>17578</v>
      </c>
      <c r="BY12" s="71" t="n">
        <v>11875</v>
      </c>
      <c r="BZ12" s="71" t="n">
        <v>11538</v>
      </c>
      <c r="CA12" s="71" t="n">
        <v>19284</v>
      </c>
      <c r="CB12" s="71" t="n">
        <v>6869</v>
      </c>
      <c r="CC12" s="71" t="n">
        <v>11687</v>
      </c>
      <c r="CD12" s="71" t="n">
        <v>10313</v>
      </c>
      <c r="CE12" s="71" t="n">
        <v>17036</v>
      </c>
      <c r="CF12" s="71" t="n">
        <v>18895</v>
      </c>
      <c r="CG12" s="71" t="n">
        <v>19500</v>
      </c>
      <c r="CH12" s="71" t="n">
        <v>11194</v>
      </c>
      <c r="CI12" s="71" t="n">
        <v>11739</v>
      </c>
      <c r="CJ12" s="71" t="n">
        <v>13055</v>
      </c>
      <c r="CK12" s="71" t="n">
        <v>9400</v>
      </c>
      <c r="CL12" s="71" t="n">
        <v>18114</v>
      </c>
      <c r="CM12" s="71" t="n">
        <v>10788</v>
      </c>
      <c r="CN12" s="71" t="n">
        <v>20748</v>
      </c>
      <c r="CO12" s="71" t="n">
        <v>8364</v>
      </c>
      <c r="CP12" s="71" t="n">
        <v>12030</v>
      </c>
      <c r="CQ12" s="71" t="n">
        <v>9818</v>
      </c>
      <c r="CR12" s="71" t="n">
        <v>12833</v>
      </c>
      <c r="CS12" s="71" t="n">
        <v>15888</v>
      </c>
      <c r="CT12" s="71" t="n">
        <v>15463</v>
      </c>
      <c r="CU12" s="71" t="n">
        <v>23339</v>
      </c>
      <c r="CV12" s="71" t="n">
        <v>10210</v>
      </c>
      <c r="CW12" s="71" t="n">
        <v>6657</v>
      </c>
      <c r="CX12" s="71" t="n">
        <v>10840</v>
      </c>
      <c r="CY12" s="71" t="n">
        <v>9193</v>
      </c>
      <c r="CZ12" s="71" t="n">
        <v>20503</v>
      </c>
      <c r="DA12" s="71" t="n">
        <v>17575</v>
      </c>
      <c r="DB12" s="71" t="n">
        <v>14092</v>
      </c>
      <c r="DC12" s="71" t="n">
        <v>12895</v>
      </c>
      <c r="DD12" s="71" t="n">
        <v>11364</v>
      </c>
      <c r="DE12" s="71" t="n">
        <v>15392</v>
      </c>
      <c r="DF12" s="71" t="n">
        <v>21405</v>
      </c>
      <c r="DG12" s="71" t="n">
        <v>18194</v>
      </c>
      <c r="DH12" s="71" t="n">
        <v>25259</v>
      </c>
      <c r="DI12" s="71" t="n">
        <v>20117</v>
      </c>
      <c r="DJ12" s="71" t="n">
        <v>7842</v>
      </c>
      <c r="DK12" s="71" t="n">
        <v>12675</v>
      </c>
      <c r="DL12" s="71" t="n">
        <v>15728</v>
      </c>
      <c r="DM12" s="71" t="n">
        <v>11090</v>
      </c>
      <c r="DN12" s="71" t="n">
        <v>13726</v>
      </c>
      <c r="DO12" s="71" t="n">
        <v>13508</v>
      </c>
      <c r="DP12" s="71" t="n">
        <v>18547</v>
      </c>
      <c r="DQ12" s="71" t="n">
        <v>9270</v>
      </c>
      <c r="DR12" s="71" t="n">
        <v>9214</v>
      </c>
      <c r="DS12" s="71" t="n">
        <v>10134</v>
      </c>
      <c r="DT12" s="71" t="n">
        <v>12093</v>
      </c>
      <c r="DU12" s="71" t="n">
        <v>11024</v>
      </c>
      <c r="DV12" s="71" t="n">
        <v>10959</v>
      </c>
      <c r="DW12" s="71" t="n">
        <v>18583</v>
      </c>
      <c r="DX12" s="71" t="n">
        <v>5505</v>
      </c>
      <c r="DY12" s="71" t="n">
        <v>5944</v>
      </c>
      <c r="DZ12" s="71" t="n">
        <v>9834</v>
      </c>
      <c r="EA12" s="71" t="n">
        <v>14730</v>
      </c>
      <c r="EB12" s="71" t="n">
        <v>16944</v>
      </c>
      <c r="EC12" s="71" t="n">
        <v>17867</v>
      </c>
      <c r="ED12" s="71" t="n">
        <v>17353</v>
      </c>
      <c r="EE12" s="71" t="n">
        <v>10737</v>
      </c>
      <c r="EF12" s="71" t="n">
        <v>9552</v>
      </c>
      <c r="EG12" s="71" t="n">
        <v>12614</v>
      </c>
      <c r="EH12" s="71" t="n">
        <v>13478</v>
      </c>
      <c r="EI12" s="71" t="n">
        <v>18246</v>
      </c>
      <c r="EJ12" s="71" t="n">
        <v>24856</v>
      </c>
      <c r="EK12" s="71" t="n">
        <v>26482</v>
      </c>
      <c r="EL12" s="71" t="n">
        <v>10305</v>
      </c>
      <c r="EM12" s="71" t="n">
        <v>13548</v>
      </c>
      <c r="EN12" s="71" t="n">
        <v>12782</v>
      </c>
      <c r="EO12" s="71" t="n">
        <v>22272</v>
      </c>
      <c r="EP12" s="71" t="n">
        <v>15048</v>
      </c>
      <c r="EQ12" s="71" t="n">
        <v>16528</v>
      </c>
      <c r="ER12" s="71" t="n">
        <v>19753</v>
      </c>
      <c r="ES12" s="71" t="n">
        <v>11325</v>
      </c>
      <c r="ET12" s="67"/>
      <c r="EU12" s="71" t="n">
        <v>12040</v>
      </c>
      <c r="EV12" s="71" t="n">
        <v>8805</v>
      </c>
      <c r="EW12" s="71" t="n">
        <v>14970</v>
      </c>
      <c r="EX12" s="71" t="n">
        <v>15891</v>
      </c>
      <c r="EY12" s="71" t="n">
        <v>25162</v>
      </c>
      <c r="EZ12" s="71" t="n">
        <v>8659</v>
      </c>
      <c r="FA12" s="71" t="n">
        <v>10555</v>
      </c>
      <c r="FB12" s="71" t="n">
        <v>9953</v>
      </c>
      <c r="FC12" s="71" t="n">
        <v>17160</v>
      </c>
      <c r="FD12" s="71" t="n">
        <v>15189</v>
      </c>
      <c r="FE12" s="71" t="n">
        <v>19113</v>
      </c>
      <c r="FF12" s="71" t="n">
        <v>7155</v>
      </c>
      <c r="FG12" s="71" t="n">
        <v>19643</v>
      </c>
      <c r="FH12" s="71" t="n">
        <v>9159</v>
      </c>
      <c r="FI12" s="71" t="n">
        <v>11714</v>
      </c>
      <c r="FJ12" s="71" t="n">
        <v>13984</v>
      </c>
      <c r="FK12" s="71" t="n">
        <v>25036</v>
      </c>
      <c r="FL12" s="71" t="n">
        <v>20297</v>
      </c>
      <c r="FM12" s="71" t="n">
        <v>7783</v>
      </c>
      <c r="FN12" s="71" t="n">
        <v>16880</v>
      </c>
      <c r="FO12" s="71" t="n">
        <v>10789</v>
      </c>
      <c r="FP12" s="71" t="n">
        <v>9824</v>
      </c>
      <c r="FQ12" s="71" t="n">
        <v>18743</v>
      </c>
      <c r="FR12" s="71" t="n">
        <v>16530</v>
      </c>
      <c r="FS12" s="71" t="n">
        <v>16057</v>
      </c>
      <c r="FT12" s="71" t="n">
        <v>12849</v>
      </c>
      <c r="FU12" s="71" t="n">
        <v>15385</v>
      </c>
      <c r="FV12" s="71" t="n">
        <v>19584</v>
      </c>
      <c r="FW12" s="71" t="n">
        <v>9700</v>
      </c>
      <c r="FX12" s="71" t="n">
        <v>24257</v>
      </c>
      <c r="FY12" s="71" t="n">
        <v>27442</v>
      </c>
      <c r="FZ12" s="71" t="n">
        <v>12810</v>
      </c>
      <c r="GA12" s="71" t="n">
        <v>6980</v>
      </c>
      <c r="GB12" s="71" t="n">
        <v>9143</v>
      </c>
      <c r="GC12" s="71" t="n">
        <v>14075</v>
      </c>
      <c r="GD12" s="71" t="n">
        <v>6989</v>
      </c>
      <c r="GE12" s="71" t="n">
        <v>17544</v>
      </c>
      <c r="GF12" s="71" t="n">
        <v>12539</v>
      </c>
      <c r="GG12" s="71" t="n">
        <v>16799</v>
      </c>
      <c r="GH12" s="71" t="n">
        <v>3970</v>
      </c>
      <c r="GI12" s="71" t="n">
        <v>10240</v>
      </c>
      <c r="GJ12" s="71" t="n">
        <v>18449</v>
      </c>
      <c r="GK12" s="71" t="n">
        <v>9675</v>
      </c>
      <c r="GL12" s="71" t="n">
        <v>9723</v>
      </c>
      <c r="GM12" s="71" t="n">
        <v>16338</v>
      </c>
      <c r="GN12" s="71" t="n">
        <v>9744</v>
      </c>
      <c r="GO12" s="71" t="n">
        <v>8923</v>
      </c>
      <c r="GP12" s="71" t="n">
        <v>6129</v>
      </c>
      <c r="GQ12" s="71" t="n">
        <v>7769</v>
      </c>
      <c r="GR12" s="71" t="n">
        <v>8225</v>
      </c>
      <c r="GS12" s="71" t="n">
        <v>13624</v>
      </c>
      <c r="GT12" s="71" t="n">
        <v>13609</v>
      </c>
      <c r="GU12" s="71" t="n">
        <v>21006</v>
      </c>
      <c r="GV12" s="71" t="n">
        <v>5840</v>
      </c>
      <c r="GW12" s="71" t="n">
        <v>11235</v>
      </c>
      <c r="GX12" s="71" t="n">
        <v>6155</v>
      </c>
      <c r="GY12" s="71" t="n">
        <v>13908</v>
      </c>
      <c r="GZ12" s="71" t="n">
        <v>16319</v>
      </c>
      <c r="HA12" s="71" t="n">
        <v>12235</v>
      </c>
      <c r="HB12" s="71" t="n">
        <v>20058</v>
      </c>
      <c r="HC12" s="71" t="n">
        <v>9170</v>
      </c>
      <c r="HD12" s="71" t="n">
        <v>4280</v>
      </c>
      <c r="HE12" s="71" t="n">
        <v>8060</v>
      </c>
      <c r="HF12" s="71" t="n">
        <v>13543</v>
      </c>
      <c r="HG12" s="71" t="n">
        <v>17518</v>
      </c>
      <c r="HH12" s="71" t="n">
        <v>9920</v>
      </c>
      <c r="HI12" s="71" t="n">
        <v>14555</v>
      </c>
      <c r="HJ12" s="71" t="n">
        <v>5779</v>
      </c>
      <c r="HK12" s="71" t="n">
        <v>4540</v>
      </c>
      <c r="HL12" s="71" t="n">
        <v>9754</v>
      </c>
      <c r="HM12" s="71" t="n">
        <v>12001</v>
      </c>
      <c r="HN12" s="71" t="n">
        <v>17226</v>
      </c>
      <c r="HO12" s="71" t="n">
        <v>23279</v>
      </c>
      <c r="HP12" s="71" t="n">
        <v>25600</v>
      </c>
      <c r="HQ12" s="71" t="n">
        <v>7614</v>
      </c>
      <c r="HR12" s="71" t="n">
        <v>9094</v>
      </c>
      <c r="HS12" s="71" t="n">
        <v>7569</v>
      </c>
      <c r="HT12" s="71" t="n">
        <v>5360</v>
      </c>
      <c r="HU12" s="71" t="n">
        <v>13815</v>
      </c>
      <c r="HV12" s="71" t="n">
        <v>13068</v>
      </c>
      <c r="HW12" s="71" t="n">
        <v>10222</v>
      </c>
      <c r="HX12" s="71" t="n">
        <v>12393</v>
      </c>
      <c r="HY12" s="71" t="n">
        <v>8312</v>
      </c>
      <c r="HZ12" s="71" t="n">
        <v>15327</v>
      </c>
      <c r="IA12" s="71" t="n">
        <v>6483</v>
      </c>
      <c r="IB12" s="71" t="n">
        <v>14167</v>
      </c>
      <c r="IC12" s="71" t="n">
        <v>21950</v>
      </c>
      <c r="ID12" s="71" t="n">
        <v>12250</v>
      </c>
      <c r="IE12" s="71" t="n">
        <v>8585</v>
      </c>
      <c r="IF12" s="71" t="n">
        <v>14209</v>
      </c>
      <c r="IG12" s="71" t="n">
        <v>8094</v>
      </c>
      <c r="IH12" s="71" t="n">
        <v>12830</v>
      </c>
      <c r="II12" s="71" t="n">
        <v>17925</v>
      </c>
      <c r="IJ12" s="71" t="n">
        <v>13878</v>
      </c>
      <c r="IK12" s="71" t="n">
        <v>20974</v>
      </c>
      <c r="IL12" s="71" t="n">
        <v>9184</v>
      </c>
      <c r="IM12" s="71" t="n">
        <v>11350</v>
      </c>
      <c r="IN12" s="71" t="n">
        <v>14615</v>
      </c>
      <c r="IO12" s="71" t="n">
        <v>14422</v>
      </c>
      <c r="IP12" s="71" t="n">
        <v>20353</v>
      </c>
      <c r="IQ12" s="71" t="n">
        <v>24804</v>
      </c>
      <c r="IR12" s="71" t="n">
        <v>22260</v>
      </c>
      <c r="IS12" s="71" t="n">
        <v>7809</v>
      </c>
      <c r="IT12" s="71" t="n">
        <v>10397</v>
      </c>
      <c r="IU12" s="71" t="n">
        <v>7195</v>
      </c>
      <c r="IV12" s="71" t="n">
        <v>6692</v>
      </c>
      <c r="IW12" s="71" t="n">
        <v>10663</v>
      </c>
      <c r="IX12" s="71" t="n">
        <v>11083</v>
      </c>
      <c r="IY12" s="71" t="n">
        <v>12765</v>
      </c>
      <c r="IZ12" s="71" t="n">
        <v>6510</v>
      </c>
      <c r="JA12" s="71" t="n">
        <v>4865</v>
      </c>
      <c r="JB12" s="71" t="n">
        <v>15734</v>
      </c>
      <c r="JC12" s="71" t="n">
        <v>21014</v>
      </c>
      <c r="JD12" s="71" t="n">
        <v>17494</v>
      </c>
      <c r="JE12" s="71" t="n">
        <v>18734</v>
      </c>
      <c r="JF12" s="71" t="n">
        <v>30381</v>
      </c>
      <c r="JG12" s="71" t="n">
        <v>13224</v>
      </c>
      <c r="JH12" s="71" t="n">
        <v>17038</v>
      </c>
      <c r="JI12" s="71" t="n">
        <v>22368</v>
      </c>
      <c r="JJ12" s="71" t="n">
        <v>12820</v>
      </c>
      <c r="JK12" s="71" t="n">
        <v>17584</v>
      </c>
      <c r="JL12" s="71" t="n">
        <v>35087</v>
      </c>
      <c r="JM12" s="71" t="n">
        <v>30878</v>
      </c>
      <c r="JN12" s="71" t="n">
        <v>17028</v>
      </c>
      <c r="JO12" s="71" t="n">
        <v>17213</v>
      </c>
      <c r="JP12" s="71" t="n">
        <v>21072</v>
      </c>
      <c r="JQ12" s="71" t="n">
        <v>18709</v>
      </c>
      <c r="JR12" s="71" t="n">
        <v>13908</v>
      </c>
      <c r="JS12" s="71" t="n">
        <v>12800</v>
      </c>
      <c r="JT12" s="71" t="n">
        <v>18275</v>
      </c>
      <c r="JU12" s="71" t="n">
        <v>12600</v>
      </c>
      <c r="JV12" s="71" t="n">
        <v>25888</v>
      </c>
      <c r="JW12" s="71" t="n">
        <v>9149</v>
      </c>
      <c r="JX12" s="71" t="n">
        <v>10616</v>
      </c>
      <c r="JY12" s="71" t="n">
        <v>9144</v>
      </c>
      <c r="JZ12" s="71" t="n">
        <v>13660</v>
      </c>
      <c r="KA12" s="71" t="n">
        <v>10520</v>
      </c>
      <c r="KB12" s="71" t="n">
        <v>14257</v>
      </c>
      <c r="KC12" s="71" t="n">
        <v>16970</v>
      </c>
      <c r="KD12" s="71" t="n">
        <v>14811</v>
      </c>
      <c r="KE12" s="71" t="n">
        <v>13585</v>
      </c>
      <c r="KF12" s="71" t="n">
        <v>36525</v>
      </c>
      <c r="KG12" s="71" t="n">
        <v>24374</v>
      </c>
      <c r="KH12" s="71" t="n">
        <v>20846</v>
      </c>
      <c r="KI12" s="71" t="n">
        <v>12990</v>
      </c>
      <c r="KJ12" s="71" t="n">
        <v>18324</v>
      </c>
      <c r="KK12" s="71" t="n">
        <v>17139</v>
      </c>
      <c r="KL12" s="71" t="n">
        <v>21592</v>
      </c>
      <c r="KM12" s="71" t="n">
        <v>34948</v>
      </c>
      <c r="KN12" s="71" t="n">
        <v>18895</v>
      </c>
      <c r="KO12" s="71" t="n">
        <v>35353</v>
      </c>
      <c r="KP12" s="71" t="n">
        <v>12236</v>
      </c>
      <c r="KQ12" s="71" t="n">
        <v>14157</v>
      </c>
      <c r="KR12" s="71" t="n">
        <v>19844</v>
      </c>
      <c r="KS12" s="71" t="n">
        <v>15621</v>
      </c>
      <c r="KT12" s="71" t="n">
        <v>14868</v>
      </c>
      <c r="KU12" s="71" t="n">
        <v>25966</v>
      </c>
      <c r="KV12" s="71" t="n">
        <v>22459</v>
      </c>
      <c r="KW12" s="71" t="n">
        <v>14528</v>
      </c>
      <c r="KX12" s="71" t="n">
        <v>15003</v>
      </c>
      <c r="KY12" s="71" t="n">
        <v>21141</v>
      </c>
      <c r="KZ12" s="71" t="n">
        <v>17842</v>
      </c>
      <c r="LA12" s="71" t="n">
        <v>22764</v>
      </c>
      <c r="LB12" s="71" t="n">
        <v>31562</v>
      </c>
      <c r="LC12" s="71" t="n">
        <v>29572</v>
      </c>
      <c r="LD12" s="71" t="n">
        <v>16890</v>
      </c>
      <c r="LE12" s="71" t="n">
        <v>18892</v>
      </c>
      <c r="LF12" s="71" t="n">
        <v>23010</v>
      </c>
      <c r="LG12" s="72" t="n">
        <v>19394</v>
      </c>
      <c r="LH12" s="69" t="n">
        <v>4742636</v>
      </c>
    </row>
    <row r="13" customFormat="false" ht="15" hidden="false" customHeight="false" outlineLevel="0" collapsed="false">
      <c r="B13" s="64"/>
      <c r="C13" s="65" t="s">
        <v>31</v>
      </c>
      <c r="D13" s="73"/>
      <c r="E13" s="67"/>
      <c r="F13" s="71" t="n">
        <v>400</v>
      </c>
      <c r="G13" s="68"/>
      <c r="H13" s="69" t="n">
        <v>400</v>
      </c>
      <c r="K13" s="70" t="s">
        <v>59</v>
      </c>
      <c r="L13" s="74"/>
      <c r="M13" s="75"/>
      <c r="N13" s="75"/>
      <c r="O13" s="75"/>
      <c r="P13" s="76" t="n">
        <v>950</v>
      </c>
      <c r="Q13" s="76" t="n">
        <v>780</v>
      </c>
      <c r="R13" s="76" t="n">
        <v>585</v>
      </c>
      <c r="S13" s="75"/>
      <c r="T13" s="76" t="n">
        <v>500</v>
      </c>
      <c r="U13" s="75"/>
      <c r="V13" s="75"/>
      <c r="W13" s="75"/>
      <c r="X13" s="75"/>
      <c r="Y13" s="75"/>
      <c r="Z13" s="76" t="n">
        <v>190</v>
      </c>
      <c r="AA13" s="75"/>
      <c r="AB13" s="75"/>
      <c r="AC13" s="76" t="n">
        <v>1280</v>
      </c>
      <c r="AD13" s="76" t="n">
        <v>715</v>
      </c>
      <c r="AE13" s="75"/>
      <c r="AF13" s="76" t="n">
        <v>629</v>
      </c>
      <c r="AG13" s="76" t="n">
        <v>2440</v>
      </c>
      <c r="AH13" s="76" t="n">
        <v>580</v>
      </c>
      <c r="AI13" s="76" t="n">
        <v>430</v>
      </c>
      <c r="AJ13" s="76" t="n">
        <v>2100</v>
      </c>
      <c r="AK13" s="75"/>
      <c r="AL13" s="75"/>
      <c r="AM13" s="76" t="n">
        <v>690</v>
      </c>
      <c r="AN13" s="75"/>
      <c r="AO13" s="76" t="n">
        <v>1009</v>
      </c>
      <c r="AP13" s="76" t="n">
        <v>220</v>
      </c>
      <c r="AQ13" s="76" t="n">
        <v>675</v>
      </c>
      <c r="AR13" s="76" t="n">
        <v>1079</v>
      </c>
      <c r="AS13" s="76" t="n">
        <v>2960</v>
      </c>
      <c r="AT13" s="76" t="n">
        <v>1250</v>
      </c>
      <c r="AU13" s="76" t="n">
        <v>2090</v>
      </c>
      <c r="AV13" s="76" t="n">
        <v>1848</v>
      </c>
      <c r="AW13" s="76" t="n">
        <v>1079</v>
      </c>
      <c r="AX13" s="76" t="n">
        <v>270</v>
      </c>
      <c r="AY13" s="76" t="n">
        <v>380</v>
      </c>
      <c r="AZ13" s="75"/>
      <c r="BA13" s="75"/>
      <c r="BB13" s="76" t="n">
        <v>320</v>
      </c>
      <c r="BC13" s="75"/>
      <c r="BD13" s="76" t="n">
        <v>720</v>
      </c>
      <c r="BE13" s="75"/>
      <c r="BF13" s="75"/>
      <c r="BG13" s="75"/>
      <c r="BH13" s="75"/>
      <c r="BI13" s="76" t="n">
        <v>285</v>
      </c>
      <c r="BJ13" s="76" t="n">
        <v>130</v>
      </c>
      <c r="BK13" s="75"/>
      <c r="BL13" s="75"/>
      <c r="BM13" s="76" t="n">
        <v>150</v>
      </c>
      <c r="BN13" s="75"/>
      <c r="BO13" s="75"/>
      <c r="BP13" s="75"/>
      <c r="BQ13" s="75"/>
      <c r="BR13" s="75"/>
      <c r="BS13" s="76" t="n">
        <v>844</v>
      </c>
      <c r="BT13" s="75"/>
      <c r="BU13" s="75"/>
      <c r="BV13" s="75"/>
      <c r="BW13" s="76" t="n">
        <v>150</v>
      </c>
      <c r="BX13" s="75"/>
      <c r="BY13" s="75"/>
      <c r="BZ13" s="75"/>
      <c r="CA13" s="75"/>
      <c r="CB13" s="75"/>
      <c r="CC13" s="76" t="n">
        <v>430</v>
      </c>
      <c r="CD13" s="75"/>
      <c r="CE13" s="76" t="n">
        <v>360</v>
      </c>
      <c r="CF13" s="75"/>
      <c r="CG13" s="75"/>
      <c r="CH13" s="76" t="n">
        <v>690</v>
      </c>
      <c r="CI13" s="76" t="n">
        <v>550</v>
      </c>
      <c r="CJ13" s="76" t="n">
        <v>860</v>
      </c>
      <c r="CK13" s="76" t="n">
        <v>1048</v>
      </c>
      <c r="CL13" s="75"/>
      <c r="CM13" s="75"/>
      <c r="CN13" s="76" t="n">
        <v>800</v>
      </c>
      <c r="CO13" s="75"/>
      <c r="CP13" s="75"/>
      <c r="CQ13" s="75"/>
      <c r="CR13" s="76" t="n">
        <v>990</v>
      </c>
      <c r="CS13" s="76" t="n">
        <v>310</v>
      </c>
      <c r="CT13" s="75"/>
      <c r="CU13" s="76" t="n">
        <v>830</v>
      </c>
      <c r="CV13" s="75"/>
      <c r="CW13" s="75"/>
      <c r="CX13" s="75"/>
      <c r="CY13" s="75"/>
      <c r="CZ13" s="75"/>
      <c r="DA13" s="75"/>
      <c r="DB13" s="75"/>
      <c r="DC13" s="75"/>
      <c r="DD13" s="76" t="n">
        <v>1255</v>
      </c>
      <c r="DE13" s="76" t="n">
        <v>810</v>
      </c>
      <c r="DF13" s="75"/>
      <c r="DG13" s="75"/>
      <c r="DH13" s="75"/>
      <c r="DI13" s="75"/>
      <c r="DJ13" s="76" t="n">
        <v>400</v>
      </c>
      <c r="DK13" s="76" t="n">
        <v>535</v>
      </c>
      <c r="DL13" s="76" t="n">
        <v>450</v>
      </c>
      <c r="DM13" s="76" t="n">
        <v>460</v>
      </c>
      <c r="DN13" s="75"/>
      <c r="DO13" s="75"/>
      <c r="DP13" s="75"/>
      <c r="DQ13" s="76" t="n">
        <v>1165</v>
      </c>
      <c r="DR13" s="75"/>
      <c r="DS13" s="75"/>
      <c r="DT13" s="75"/>
      <c r="DU13" s="75"/>
      <c r="DV13" s="76" t="n">
        <v>500</v>
      </c>
      <c r="DW13" s="75"/>
      <c r="DX13" s="75"/>
      <c r="DY13" s="75"/>
      <c r="DZ13" s="75"/>
      <c r="EA13" s="75"/>
      <c r="EB13" s="75"/>
      <c r="EC13" s="75"/>
      <c r="ED13" s="75"/>
      <c r="EE13" s="76" t="n">
        <v>529</v>
      </c>
      <c r="EF13" s="75"/>
      <c r="EG13" s="75"/>
      <c r="EH13" s="75"/>
      <c r="EI13" s="76" t="n">
        <v>950</v>
      </c>
      <c r="EJ13" s="75"/>
      <c r="EK13" s="75"/>
      <c r="EL13" s="76" t="n">
        <v>820</v>
      </c>
      <c r="EM13" s="75"/>
      <c r="EN13" s="75"/>
      <c r="EO13" s="75"/>
      <c r="EP13" s="75"/>
      <c r="EQ13" s="76" t="n">
        <v>1660</v>
      </c>
      <c r="ER13" s="75"/>
      <c r="ES13" s="75"/>
      <c r="ET13" s="76" t="n">
        <v>830</v>
      </c>
      <c r="EU13" s="76" t="n">
        <v>1230</v>
      </c>
      <c r="EV13" s="75"/>
      <c r="EW13" s="75"/>
      <c r="EX13" s="76" t="n">
        <v>1945</v>
      </c>
      <c r="EY13" s="76" t="n">
        <v>1035</v>
      </c>
      <c r="EZ13" s="76" t="n">
        <v>555</v>
      </c>
      <c r="FA13" s="75"/>
      <c r="FB13" s="76" t="n">
        <v>570</v>
      </c>
      <c r="FC13" s="76" t="n">
        <v>1680</v>
      </c>
      <c r="FD13" s="76" t="n">
        <v>1200</v>
      </c>
      <c r="FE13" s="76" t="n">
        <v>1050</v>
      </c>
      <c r="FF13" s="76" t="n">
        <v>780</v>
      </c>
      <c r="FG13" s="76" t="n">
        <v>690</v>
      </c>
      <c r="FH13" s="76" t="n">
        <v>888</v>
      </c>
      <c r="FI13" s="76" t="n">
        <v>1099</v>
      </c>
      <c r="FJ13" s="75"/>
      <c r="FK13" s="75"/>
      <c r="FL13" s="75"/>
      <c r="FM13" s="76" t="n">
        <v>390</v>
      </c>
      <c r="FN13" s="75"/>
      <c r="FO13" s="76" t="n">
        <v>818</v>
      </c>
      <c r="FP13" s="75"/>
      <c r="FQ13" s="75"/>
      <c r="FR13" s="76" t="n">
        <v>1460</v>
      </c>
      <c r="FS13" s="75"/>
      <c r="FT13" s="75"/>
      <c r="FU13" s="75"/>
      <c r="FV13" s="75"/>
      <c r="FW13" s="75"/>
      <c r="FX13" s="76" t="n">
        <v>2680</v>
      </c>
      <c r="FY13" s="75"/>
      <c r="FZ13" s="76" t="n">
        <v>559</v>
      </c>
      <c r="GA13" s="75"/>
      <c r="GB13" s="75"/>
      <c r="GC13" s="75"/>
      <c r="GD13" s="75"/>
      <c r="GE13" s="76" t="n">
        <v>580</v>
      </c>
      <c r="GF13" s="75"/>
      <c r="GG13" s="76" t="n">
        <v>245</v>
      </c>
      <c r="GH13" s="75"/>
      <c r="GI13" s="76" t="n">
        <v>455</v>
      </c>
      <c r="GJ13" s="76" t="n">
        <v>399</v>
      </c>
      <c r="GK13" s="75"/>
      <c r="GL13" s="76" t="n">
        <v>785</v>
      </c>
      <c r="GM13" s="76" t="n">
        <v>750</v>
      </c>
      <c r="GN13" s="75"/>
      <c r="GO13" s="75"/>
      <c r="GP13" s="75"/>
      <c r="GQ13" s="76" t="n">
        <v>400</v>
      </c>
      <c r="GR13" s="75"/>
      <c r="GS13" s="76" t="n">
        <v>630</v>
      </c>
      <c r="GT13" s="75"/>
      <c r="GU13" s="75"/>
      <c r="GV13" s="75"/>
      <c r="GW13" s="75"/>
      <c r="GX13" s="75"/>
      <c r="GY13" s="75"/>
      <c r="GZ13" s="75"/>
      <c r="HA13" s="75"/>
      <c r="HB13" s="76" t="n">
        <v>889</v>
      </c>
      <c r="HC13" s="76" t="n">
        <v>2736</v>
      </c>
      <c r="HD13" s="75"/>
      <c r="HE13" s="75"/>
      <c r="HF13" s="76" t="n">
        <v>1835</v>
      </c>
      <c r="HG13" s="76" t="n">
        <v>100</v>
      </c>
      <c r="HH13" s="75"/>
      <c r="HI13" s="75"/>
      <c r="HJ13" s="75"/>
      <c r="HK13" s="75"/>
      <c r="HL13" s="75"/>
      <c r="HM13" s="75"/>
      <c r="HN13" s="75"/>
      <c r="HO13" s="75"/>
      <c r="HP13" s="76" t="n">
        <v>970</v>
      </c>
      <c r="HQ13" s="75"/>
      <c r="HR13" s="76" t="n">
        <v>700</v>
      </c>
      <c r="HS13" s="75"/>
      <c r="HT13" s="75"/>
      <c r="HU13" s="76" t="n">
        <v>1040</v>
      </c>
      <c r="HV13" s="75"/>
      <c r="HW13" s="75"/>
      <c r="HX13" s="75"/>
      <c r="HY13" s="75"/>
      <c r="HZ13" s="76" t="n">
        <v>1590</v>
      </c>
      <c r="IA13" s="75"/>
      <c r="IB13" s="75"/>
      <c r="IC13" s="75"/>
      <c r="ID13" s="76" t="n">
        <v>540</v>
      </c>
      <c r="IE13" s="75"/>
      <c r="IF13" s="76" t="n">
        <v>2498</v>
      </c>
      <c r="IG13" s="75"/>
      <c r="IH13" s="75"/>
      <c r="II13" s="76" t="n">
        <v>2270</v>
      </c>
      <c r="IJ13" s="76" t="n">
        <v>399</v>
      </c>
      <c r="IK13" s="75"/>
      <c r="IL13" s="76" t="n">
        <v>450</v>
      </c>
      <c r="IM13" s="76" t="n">
        <v>1240</v>
      </c>
      <c r="IN13" s="76" t="n">
        <v>710</v>
      </c>
      <c r="IO13" s="75"/>
      <c r="IP13" s="75"/>
      <c r="IQ13" s="76" t="n">
        <v>570</v>
      </c>
      <c r="IR13" s="75"/>
      <c r="IS13" s="75"/>
      <c r="IT13" s="75"/>
      <c r="IU13" s="75"/>
      <c r="IV13" s="75"/>
      <c r="IW13" s="75"/>
      <c r="IX13" s="75"/>
      <c r="IY13" s="75"/>
      <c r="IZ13" s="75"/>
      <c r="JA13" s="75"/>
      <c r="JB13" s="75"/>
      <c r="JC13" s="75"/>
      <c r="JD13" s="76" t="n">
        <v>640</v>
      </c>
      <c r="JE13" s="75"/>
      <c r="JF13" s="75"/>
      <c r="JG13" s="76" t="n">
        <v>710</v>
      </c>
      <c r="JH13" s="75"/>
      <c r="JI13" s="75"/>
      <c r="JJ13" s="75"/>
      <c r="JK13" s="76" t="n">
        <v>210</v>
      </c>
      <c r="JL13" s="76" t="n">
        <v>570</v>
      </c>
      <c r="JM13" s="75"/>
      <c r="JN13" s="75"/>
      <c r="JO13" s="76" t="n">
        <v>645</v>
      </c>
      <c r="JP13" s="76" t="n">
        <v>850</v>
      </c>
      <c r="JQ13" s="75"/>
      <c r="JR13" s="75"/>
      <c r="JS13" s="75"/>
      <c r="JT13" s="76" t="n">
        <v>530</v>
      </c>
      <c r="JU13" s="75"/>
      <c r="JV13" s="75"/>
      <c r="JW13" s="75"/>
      <c r="JX13" s="76" t="n">
        <v>1555</v>
      </c>
      <c r="JY13" s="76" t="n">
        <v>500</v>
      </c>
      <c r="JZ13" s="75"/>
      <c r="KA13" s="75"/>
      <c r="KB13" s="75"/>
      <c r="KC13" s="75"/>
      <c r="KD13" s="76" t="n">
        <v>705</v>
      </c>
      <c r="KE13" s="76" t="n">
        <v>690</v>
      </c>
      <c r="KF13" s="75"/>
      <c r="KG13" s="76" t="n">
        <v>700</v>
      </c>
      <c r="KH13" s="75"/>
      <c r="KI13" s="75"/>
      <c r="KJ13" s="75"/>
      <c r="KK13" s="76" t="n">
        <v>730</v>
      </c>
      <c r="KL13" s="75"/>
      <c r="KM13" s="75"/>
      <c r="KN13" s="75"/>
      <c r="KO13" s="76" t="n">
        <v>1595</v>
      </c>
      <c r="KP13" s="75"/>
      <c r="KQ13" s="75"/>
      <c r="KR13" s="75"/>
      <c r="KS13" s="76" t="n">
        <v>882</v>
      </c>
      <c r="KT13" s="75"/>
      <c r="KU13" s="76" t="n">
        <v>442</v>
      </c>
      <c r="KV13" s="76" t="n">
        <v>504</v>
      </c>
      <c r="KW13" s="75"/>
      <c r="KX13" s="75"/>
      <c r="KY13" s="76" t="n">
        <v>1010</v>
      </c>
      <c r="KZ13" s="75"/>
      <c r="LA13" s="76" t="n">
        <v>391</v>
      </c>
      <c r="LB13" s="75"/>
      <c r="LC13" s="75"/>
      <c r="LD13" s="75"/>
      <c r="LE13" s="76" t="n">
        <v>0</v>
      </c>
      <c r="LF13" s="76" t="n">
        <v>762</v>
      </c>
      <c r="LG13" s="77"/>
      <c r="LH13" s="78" t="n">
        <v>100591</v>
      </c>
    </row>
    <row r="14" customFormat="false" ht="15" hidden="false" customHeight="false" outlineLevel="0" collapsed="false">
      <c r="B14" s="64"/>
      <c r="C14" s="65" t="s">
        <v>35</v>
      </c>
      <c r="D14" s="73"/>
      <c r="E14" s="67"/>
      <c r="F14" s="71" t="n">
        <v>100</v>
      </c>
      <c r="G14" s="68"/>
      <c r="H14" s="69" t="n">
        <v>100</v>
      </c>
      <c r="K14" s="79" t="s">
        <v>740</v>
      </c>
      <c r="L14" s="80" t="n">
        <v>27918</v>
      </c>
      <c r="M14" s="81" t="n">
        <v>13430</v>
      </c>
      <c r="N14" s="81" t="n">
        <v>24925</v>
      </c>
      <c r="O14" s="81" t="n">
        <v>39001</v>
      </c>
      <c r="P14" s="81" t="n">
        <v>41795</v>
      </c>
      <c r="Q14" s="81" t="n">
        <v>21790</v>
      </c>
      <c r="R14" s="81" t="n">
        <v>18334</v>
      </c>
      <c r="S14" s="81" t="n">
        <v>17427</v>
      </c>
      <c r="T14" s="81" t="n">
        <v>18440</v>
      </c>
      <c r="U14" s="81" t="n">
        <v>25378</v>
      </c>
      <c r="V14" s="81" t="n">
        <v>27527</v>
      </c>
      <c r="W14" s="81" t="n">
        <v>35936</v>
      </c>
      <c r="X14" s="81" t="n">
        <v>22468</v>
      </c>
      <c r="Y14" s="81" t="n">
        <v>13710</v>
      </c>
      <c r="Z14" s="81" t="n">
        <v>20558</v>
      </c>
      <c r="AA14" s="81" t="n">
        <v>21634</v>
      </c>
      <c r="AB14" s="81" t="n">
        <v>30489</v>
      </c>
      <c r="AC14" s="81" t="n">
        <v>28095</v>
      </c>
      <c r="AD14" s="81" t="n">
        <v>32085</v>
      </c>
      <c r="AE14" s="81" t="n">
        <v>17139</v>
      </c>
      <c r="AF14" s="81" t="n">
        <v>21576</v>
      </c>
      <c r="AG14" s="81" t="n">
        <v>22853</v>
      </c>
      <c r="AH14" s="81" t="n">
        <v>14655</v>
      </c>
      <c r="AI14" s="81" t="n">
        <v>36988</v>
      </c>
      <c r="AJ14" s="81" t="n">
        <v>25390</v>
      </c>
      <c r="AK14" s="81" t="n">
        <v>22504</v>
      </c>
      <c r="AL14" s="81" t="n">
        <v>13718</v>
      </c>
      <c r="AM14" s="81" t="n">
        <v>21864</v>
      </c>
      <c r="AN14" s="81" t="n">
        <v>18724</v>
      </c>
      <c r="AO14" s="81" t="n">
        <v>21748</v>
      </c>
      <c r="AP14" s="81" t="n">
        <v>27657</v>
      </c>
      <c r="AQ14" s="81" t="n">
        <v>24988</v>
      </c>
      <c r="AR14" s="81" t="n">
        <v>26423</v>
      </c>
      <c r="AS14" s="81" t="n">
        <v>21819</v>
      </c>
      <c r="AT14" s="81" t="n">
        <v>15477</v>
      </c>
      <c r="AU14" s="81" t="n">
        <v>29334</v>
      </c>
      <c r="AV14" s="81" t="n">
        <v>44594</v>
      </c>
      <c r="AW14" s="81" t="n">
        <v>51249</v>
      </c>
      <c r="AX14" s="81" t="n">
        <v>30215</v>
      </c>
      <c r="AY14" s="81" t="n">
        <v>22807</v>
      </c>
      <c r="AZ14" s="81" t="n">
        <v>27896</v>
      </c>
      <c r="BA14" s="81" t="n">
        <v>27793</v>
      </c>
      <c r="BB14" s="81" t="n">
        <v>24962</v>
      </c>
      <c r="BC14" s="81" t="n">
        <v>41834</v>
      </c>
      <c r="BD14" s="81" t="n">
        <v>42341</v>
      </c>
      <c r="BE14" s="81" t="n">
        <v>45333</v>
      </c>
      <c r="BF14" s="81" t="n">
        <v>20311</v>
      </c>
      <c r="BG14" s="81" t="n">
        <v>22803</v>
      </c>
      <c r="BH14" s="81" t="n">
        <v>40291</v>
      </c>
      <c r="BI14" s="81" t="n">
        <v>20557</v>
      </c>
      <c r="BJ14" s="81" t="n">
        <v>46191</v>
      </c>
      <c r="BK14" s="81" t="n">
        <v>24417</v>
      </c>
      <c r="BL14" s="81" t="n">
        <v>29547</v>
      </c>
      <c r="BM14" s="81" t="n">
        <v>16362</v>
      </c>
      <c r="BN14" s="81" t="n">
        <v>17452</v>
      </c>
      <c r="BO14" s="81" t="n">
        <v>16525</v>
      </c>
      <c r="BP14" s="81" t="n">
        <v>19006</v>
      </c>
      <c r="BQ14" s="81" t="n">
        <v>39939</v>
      </c>
      <c r="BR14" s="81" t="n">
        <v>35478</v>
      </c>
      <c r="BS14" s="81" t="n">
        <v>33688</v>
      </c>
      <c r="BT14" s="81" t="n">
        <v>16938</v>
      </c>
      <c r="BU14" s="81" t="n">
        <v>24679</v>
      </c>
      <c r="BV14" s="81" t="n">
        <v>23866</v>
      </c>
      <c r="BW14" s="81" t="n">
        <v>16954</v>
      </c>
      <c r="BX14" s="81" t="n">
        <v>22055</v>
      </c>
      <c r="BY14" s="81" t="n">
        <v>16980</v>
      </c>
      <c r="BZ14" s="81" t="n">
        <v>16441</v>
      </c>
      <c r="CA14" s="81" t="n">
        <v>28136</v>
      </c>
      <c r="CB14" s="81" t="n">
        <v>14597</v>
      </c>
      <c r="CC14" s="81" t="n">
        <v>17414</v>
      </c>
      <c r="CD14" s="81" t="n">
        <v>17722</v>
      </c>
      <c r="CE14" s="81" t="n">
        <v>24231</v>
      </c>
      <c r="CF14" s="81" t="n">
        <v>28015</v>
      </c>
      <c r="CG14" s="81" t="n">
        <v>25126</v>
      </c>
      <c r="CH14" s="81" t="n">
        <v>26772</v>
      </c>
      <c r="CI14" s="81" t="n">
        <v>16457</v>
      </c>
      <c r="CJ14" s="81" t="n">
        <v>24202</v>
      </c>
      <c r="CK14" s="81" t="n">
        <v>20961</v>
      </c>
      <c r="CL14" s="81" t="n">
        <v>23948</v>
      </c>
      <c r="CM14" s="81" t="n">
        <v>19374</v>
      </c>
      <c r="CN14" s="81" t="n">
        <v>29270</v>
      </c>
      <c r="CO14" s="81" t="n">
        <v>15973</v>
      </c>
      <c r="CP14" s="81" t="n">
        <v>18997</v>
      </c>
      <c r="CQ14" s="81" t="n">
        <v>17905</v>
      </c>
      <c r="CR14" s="81" t="n">
        <v>17363</v>
      </c>
      <c r="CS14" s="81" t="n">
        <v>21006</v>
      </c>
      <c r="CT14" s="81" t="n">
        <v>24887</v>
      </c>
      <c r="CU14" s="81" t="n">
        <v>34665</v>
      </c>
      <c r="CV14" s="81" t="n">
        <v>16057</v>
      </c>
      <c r="CW14" s="81" t="n">
        <v>15432</v>
      </c>
      <c r="CX14" s="81" t="n">
        <v>16097</v>
      </c>
      <c r="CY14" s="81" t="n">
        <v>11548</v>
      </c>
      <c r="CZ14" s="81" t="n">
        <v>32137</v>
      </c>
      <c r="DA14" s="81" t="n">
        <v>24874</v>
      </c>
      <c r="DB14" s="81" t="n">
        <v>24994</v>
      </c>
      <c r="DC14" s="81" t="n">
        <v>20052</v>
      </c>
      <c r="DD14" s="81" t="n">
        <v>19211</v>
      </c>
      <c r="DE14" s="81" t="n">
        <v>23678</v>
      </c>
      <c r="DF14" s="81" t="n">
        <v>28114</v>
      </c>
      <c r="DG14" s="81" t="n">
        <v>24254</v>
      </c>
      <c r="DH14" s="81" t="n">
        <v>33229</v>
      </c>
      <c r="DI14" s="81" t="n">
        <v>31526</v>
      </c>
      <c r="DJ14" s="81" t="n">
        <v>13417</v>
      </c>
      <c r="DK14" s="81" t="n">
        <v>19061</v>
      </c>
      <c r="DL14" s="81" t="n">
        <v>23827</v>
      </c>
      <c r="DM14" s="81" t="n">
        <v>13655</v>
      </c>
      <c r="DN14" s="81" t="n">
        <v>23249</v>
      </c>
      <c r="DO14" s="81" t="n">
        <v>27207</v>
      </c>
      <c r="DP14" s="81" t="n">
        <v>24420</v>
      </c>
      <c r="DQ14" s="81" t="n">
        <v>15138</v>
      </c>
      <c r="DR14" s="81" t="n">
        <v>17597</v>
      </c>
      <c r="DS14" s="81" t="n">
        <v>20688</v>
      </c>
      <c r="DT14" s="81" t="n">
        <v>15524</v>
      </c>
      <c r="DU14" s="81" t="n">
        <v>20235</v>
      </c>
      <c r="DV14" s="81" t="n">
        <v>19877</v>
      </c>
      <c r="DW14" s="81" t="n">
        <v>28713</v>
      </c>
      <c r="DX14" s="81" t="n">
        <v>12927</v>
      </c>
      <c r="DY14" s="81" t="n">
        <v>12115</v>
      </c>
      <c r="DZ14" s="81" t="n">
        <v>20828</v>
      </c>
      <c r="EA14" s="81" t="n">
        <v>20574</v>
      </c>
      <c r="EB14" s="81" t="n">
        <v>23240</v>
      </c>
      <c r="EC14" s="81" t="n">
        <v>22182</v>
      </c>
      <c r="ED14" s="81" t="n">
        <v>24822</v>
      </c>
      <c r="EE14" s="81" t="n">
        <v>14634</v>
      </c>
      <c r="EF14" s="81" t="n">
        <v>16199</v>
      </c>
      <c r="EG14" s="81" t="n">
        <v>19753</v>
      </c>
      <c r="EH14" s="81" t="n">
        <v>22556</v>
      </c>
      <c r="EI14" s="81" t="n">
        <v>24338</v>
      </c>
      <c r="EJ14" s="81" t="n">
        <v>32410</v>
      </c>
      <c r="EK14" s="81" t="n">
        <v>34743</v>
      </c>
      <c r="EL14" s="81" t="n">
        <v>17286</v>
      </c>
      <c r="EM14" s="81" t="n">
        <v>17508</v>
      </c>
      <c r="EN14" s="81" t="n">
        <v>21219</v>
      </c>
      <c r="EO14" s="81" t="n">
        <v>29302</v>
      </c>
      <c r="EP14" s="81" t="n">
        <v>27715</v>
      </c>
      <c r="EQ14" s="81" t="n">
        <v>24585</v>
      </c>
      <c r="ER14" s="81" t="n">
        <v>27069</v>
      </c>
      <c r="ES14" s="81" t="n">
        <v>14793</v>
      </c>
      <c r="ET14" s="81" t="n">
        <v>19580</v>
      </c>
      <c r="EU14" s="81" t="n">
        <v>22236</v>
      </c>
      <c r="EV14" s="81" t="n">
        <v>17265</v>
      </c>
      <c r="EW14" s="81" t="n">
        <v>19436</v>
      </c>
      <c r="EX14" s="81" t="n">
        <v>25789</v>
      </c>
      <c r="EY14" s="81" t="n">
        <v>34371</v>
      </c>
      <c r="EZ14" s="81" t="n">
        <v>14784</v>
      </c>
      <c r="FA14" s="81" t="n">
        <v>19495</v>
      </c>
      <c r="FB14" s="81" t="n">
        <v>19573</v>
      </c>
      <c r="FC14" s="81" t="n">
        <v>28495</v>
      </c>
      <c r="FD14" s="81" t="n">
        <v>24777</v>
      </c>
      <c r="FE14" s="81" t="n">
        <v>35145</v>
      </c>
      <c r="FF14" s="81" t="n">
        <v>14710</v>
      </c>
      <c r="FG14" s="81" t="n">
        <v>26257</v>
      </c>
      <c r="FH14" s="81" t="n">
        <v>17067</v>
      </c>
      <c r="FI14" s="81" t="n">
        <v>20576</v>
      </c>
      <c r="FJ14" s="81" t="n">
        <v>22779</v>
      </c>
      <c r="FK14" s="81" t="n">
        <v>35530</v>
      </c>
      <c r="FL14" s="81" t="n">
        <v>26147</v>
      </c>
      <c r="FM14" s="81" t="n">
        <v>12147</v>
      </c>
      <c r="FN14" s="81" t="n">
        <v>23643</v>
      </c>
      <c r="FO14" s="81" t="n">
        <v>18013</v>
      </c>
      <c r="FP14" s="81" t="n">
        <v>18800</v>
      </c>
      <c r="FQ14" s="81" t="n">
        <v>26167</v>
      </c>
      <c r="FR14" s="81" t="n">
        <v>27381</v>
      </c>
      <c r="FS14" s="81" t="n">
        <v>23092</v>
      </c>
      <c r="FT14" s="81" t="n">
        <v>16854</v>
      </c>
      <c r="FU14" s="81" t="n">
        <v>22000</v>
      </c>
      <c r="FV14" s="81" t="n">
        <v>28355</v>
      </c>
      <c r="FW14" s="81" t="n">
        <v>14642</v>
      </c>
      <c r="FX14" s="81" t="n">
        <v>36266</v>
      </c>
      <c r="FY14" s="81" t="n">
        <v>36118</v>
      </c>
      <c r="FZ14" s="81" t="n">
        <v>26461</v>
      </c>
      <c r="GA14" s="81" t="n">
        <v>10525</v>
      </c>
      <c r="GB14" s="81" t="n">
        <v>14728</v>
      </c>
      <c r="GC14" s="81" t="n">
        <v>21209</v>
      </c>
      <c r="GD14" s="81" t="n">
        <v>13033</v>
      </c>
      <c r="GE14" s="81" t="n">
        <v>21311</v>
      </c>
      <c r="GF14" s="81" t="n">
        <v>19988</v>
      </c>
      <c r="GG14" s="81" t="n">
        <v>27975</v>
      </c>
      <c r="GH14" s="81" t="n">
        <v>6623</v>
      </c>
      <c r="GI14" s="81" t="n">
        <v>17033</v>
      </c>
      <c r="GJ14" s="81" t="n">
        <v>24067</v>
      </c>
      <c r="GK14" s="81" t="n">
        <v>14789</v>
      </c>
      <c r="GL14" s="81" t="n">
        <v>15490</v>
      </c>
      <c r="GM14" s="81" t="n">
        <v>21682</v>
      </c>
      <c r="GN14" s="81" t="n">
        <v>15920</v>
      </c>
      <c r="GO14" s="81" t="n">
        <v>13269</v>
      </c>
      <c r="GP14" s="81" t="n">
        <v>8195</v>
      </c>
      <c r="GQ14" s="81" t="n">
        <v>14556</v>
      </c>
      <c r="GR14" s="81" t="n">
        <v>18448</v>
      </c>
      <c r="GS14" s="81" t="n">
        <v>19092</v>
      </c>
      <c r="GT14" s="81" t="n">
        <v>20005</v>
      </c>
      <c r="GU14" s="81" t="n">
        <v>29422</v>
      </c>
      <c r="GV14" s="81" t="n">
        <v>10791</v>
      </c>
      <c r="GW14" s="81" t="n">
        <v>15968</v>
      </c>
      <c r="GX14" s="81" t="n">
        <v>10684</v>
      </c>
      <c r="GY14" s="81" t="n">
        <v>22687</v>
      </c>
      <c r="GZ14" s="81" t="n">
        <v>19692</v>
      </c>
      <c r="HA14" s="81" t="n">
        <v>16217</v>
      </c>
      <c r="HB14" s="81" t="n">
        <v>30536</v>
      </c>
      <c r="HC14" s="81" t="n">
        <v>12816</v>
      </c>
      <c r="HD14" s="81" t="n">
        <v>9246</v>
      </c>
      <c r="HE14" s="81" t="n">
        <v>10745</v>
      </c>
      <c r="HF14" s="81" t="n">
        <v>19832</v>
      </c>
      <c r="HG14" s="81" t="n">
        <v>22981</v>
      </c>
      <c r="HH14" s="81" t="n">
        <v>15515</v>
      </c>
      <c r="HI14" s="81" t="n">
        <v>19547</v>
      </c>
      <c r="HJ14" s="81" t="n">
        <v>9310</v>
      </c>
      <c r="HK14" s="81" t="n">
        <v>6269</v>
      </c>
      <c r="HL14" s="81" t="n">
        <v>11062</v>
      </c>
      <c r="HM14" s="81" t="n">
        <v>16111</v>
      </c>
      <c r="HN14" s="81" t="n">
        <v>25836</v>
      </c>
      <c r="HO14" s="81" t="n">
        <v>31388</v>
      </c>
      <c r="HP14" s="81" t="n">
        <v>32957</v>
      </c>
      <c r="HQ14" s="81" t="n">
        <v>16049</v>
      </c>
      <c r="HR14" s="81" t="n">
        <v>14407</v>
      </c>
      <c r="HS14" s="81" t="n">
        <v>13226</v>
      </c>
      <c r="HT14" s="81" t="n">
        <v>9055</v>
      </c>
      <c r="HU14" s="81" t="n">
        <v>18643</v>
      </c>
      <c r="HV14" s="81" t="n">
        <v>16203</v>
      </c>
      <c r="HW14" s="81" t="n">
        <v>16153</v>
      </c>
      <c r="HX14" s="81" t="n">
        <v>15214</v>
      </c>
      <c r="HY14" s="81" t="n">
        <v>12691</v>
      </c>
      <c r="HZ14" s="81" t="n">
        <v>18518</v>
      </c>
      <c r="IA14" s="81" t="n">
        <v>18476</v>
      </c>
      <c r="IB14" s="81" t="n">
        <v>16930</v>
      </c>
      <c r="IC14" s="81" t="n">
        <v>32997</v>
      </c>
      <c r="ID14" s="81" t="n">
        <v>18821</v>
      </c>
      <c r="IE14" s="81" t="n">
        <v>12905</v>
      </c>
      <c r="IF14" s="81" t="n">
        <v>18659</v>
      </c>
      <c r="IG14" s="81" t="n">
        <v>13634</v>
      </c>
      <c r="IH14" s="81" t="n">
        <v>17953</v>
      </c>
      <c r="II14" s="81" t="n">
        <v>26362</v>
      </c>
      <c r="IJ14" s="81" t="n">
        <v>22020</v>
      </c>
      <c r="IK14" s="81" t="n">
        <v>24689</v>
      </c>
      <c r="IL14" s="81" t="n">
        <v>14389</v>
      </c>
      <c r="IM14" s="81" t="n">
        <v>20455</v>
      </c>
      <c r="IN14" s="81" t="n">
        <v>21461</v>
      </c>
      <c r="IO14" s="81" t="n">
        <v>22759</v>
      </c>
      <c r="IP14" s="81" t="n">
        <v>31588</v>
      </c>
      <c r="IQ14" s="81" t="n">
        <v>31197</v>
      </c>
      <c r="IR14" s="81" t="n">
        <v>28246</v>
      </c>
      <c r="IS14" s="81" t="n">
        <v>10818</v>
      </c>
      <c r="IT14" s="81" t="n">
        <v>13267</v>
      </c>
      <c r="IU14" s="81" t="n">
        <v>9104</v>
      </c>
      <c r="IV14" s="81" t="n">
        <v>11517</v>
      </c>
      <c r="IW14" s="81" t="n">
        <v>15975</v>
      </c>
      <c r="IX14" s="81" t="n">
        <v>21225</v>
      </c>
      <c r="IY14" s="81" t="n">
        <v>15520</v>
      </c>
      <c r="IZ14" s="81" t="n">
        <v>9653</v>
      </c>
      <c r="JA14" s="81" t="n">
        <v>9517</v>
      </c>
      <c r="JB14" s="81" t="n">
        <v>22953</v>
      </c>
      <c r="JC14" s="81" t="n">
        <v>28373</v>
      </c>
      <c r="JD14" s="81" t="n">
        <v>25883</v>
      </c>
      <c r="JE14" s="81" t="n">
        <v>30511</v>
      </c>
      <c r="JF14" s="81" t="n">
        <v>41335</v>
      </c>
      <c r="JG14" s="81" t="n">
        <v>18585</v>
      </c>
      <c r="JH14" s="81" t="n">
        <v>23547</v>
      </c>
      <c r="JI14" s="81" t="n">
        <v>28411</v>
      </c>
      <c r="JJ14" s="81" t="n">
        <v>18302</v>
      </c>
      <c r="JK14" s="81" t="n">
        <v>29060</v>
      </c>
      <c r="JL14" s="81" t="n">
        <v>40923</v>
      </c>
      <c r="JM14" s="81" t="n">
        <v>42386</v>
      </c>
      <c r="JN14" s="81" t="n">
        <v>23132</v>
      </c>
      <c r="JO14" s="81" t="n">
        <v>26020</v>
      </c>
      <c r="JP14" s="81" t="n">
        <v>30782</v>
      </c>
      <c r="JQ14" s="81" t="n">
        <v>26654</v>
      </c>
      <c r="JR14" s="81" t="n">
        <v>20304</v>
      </c>
      <c r="JS14" s="81" t="n">
        <v>18154</v>
      </c>
      <c r="JT14" s="81" t="n">
        <v>25225</v>
      </c>
      <c r="JU14" s="81" t="n">
        <v>17147</v>
      </c>
      <c r="JV14" s="81" t="n">
        <v>35707</v>
      </c>
      <c r="JW14" s="81" t="n">
        <v>15330</v>
      </c>
      <c r="JX14" s="81" t="n">
        <v>18410</v>
      </c>
      <c r="JY14" s="81" t="n">
        <v>19631</v>
      </c>
      <c r="JZ14" s="81" t="n">
        <v>21738</v>
      </c>
      <c r="KA14" s="81" t="n">
        <v>16202</v>
      </c>
      <c r="KB14" s="81" t="n">
        <v>20903</v>
      </c>
      <c r="KC14" s="81" t="n">
        <v>25794</v>
      </c>
      <c r="KD14" s="81" t="n">
        <v>25709</v>
      </c>
      <c r="KE14" s="81" t="n">
        <v>18930</v>
      </c>
      <c r="KF14" s="81" t="n">
        <v>44119</v>
      </c>
      <c r="KG14" s="81" t="n">
        <v>29101</v>
      </c>
      <c r="KH14" s="81" t="n">
        <v>34989</v>
      </c>
      <c r="KI14" s="81" t="n">
        <v>20471</v>
      </c>
      <c r="KJ14" s="81" t="n">
        <v>30645</v>
      </c>
      <c r="KK14" s="81" t="n">
        <v>25300</v>
      </c>
      <c r="KL14" s="81" t="n">
        <v>28091</v>
      </c>
      <c r="KM14" s="81" t="n">
        <v>46553</v>
      </c>
      <c r="KN14" s="81" t="n">
        <v>30286</v>
      </c>
      <c r="KO14" s="81" t="n">
        <v>54075</v>
      </c>
      <c r="KP14" s="81" t="n">
        <v>15013</v>
      </c>
      <c r="KQ14" s="81" t="n">
        <v>22027</v>
      </c>
      <c r="KR14" s="81" t="n">
        <v>24872</v>
      </c>
      <c r="KS14" s="81" t="n">
        <v>21752</v>
      </c>
      <c r="KT14" s="81" t="n">
        <v>33491</v>
      </c>
      <c r="KU14" s="81" t="n">
        <v>35602</v>
      </c>
      <c r="KV14" s="81" t="n">
        <v>32075</v>
      </c>
      <c r="KW14" s="81" t="n">
        <v>17614</v>
      </c>
      <c r="KX14" s="81" t="n">
        <v>21263</v>
      </c>
      <c r="KY14" s="81" t="n">
        <v>31735</v>
      </c>
      <c r="KZ14" s="81" t="n">
        <v>22280</v>
      </c>
      <c r="LA14" s="81" t="n">
        <v>31441</v>
      </c>
      <c r="LB14" s="81" t="n">
        <v>46329</v>
      </c>
      <c r="LC14" s="81" t="n">
        <v>40943</v>
      </c>
      <c r="LD14" s="81" t="n">
        <v>22506</v>
      </c>
      <c r="LE14" s="81" t="n">
        <v>26773</v>
      </c>
      <c r="LF14" s="81" t="n">
        <v>30212</v>
      </c>
      <c r="LG14" s="82" t="n">
        <v>26029</v>
      </c>
      <c r="LH14" s="83" t="n">
        <v>7068356</v>
      </c>
    </row>
    <row r="15" customFormat="false" ht="15" hidden="false" customHeight="false" outlineLevel="0" collapsed="false">
      <c r="B15" s="64"/>
      <c r="C15" s="65" t="s">
        <v>34</v>
      </c>
      <c r="D15" s="73"/>
      <c r="E15" s="67"/>
      <c r="F15" s="71" t="n">
        <v>129</v>
      </c>
      <c r="G15" s="68"/>
      <c r="H15" s="69" t="n">
        <v>129</v>
      </c>
    </row>
    <row r="16" customFormat="false" ht="15" hidden="false" customHeight="false" outlineLevel="0" collapsed="false">
      <c r="B16" s="84"/>
      <c r="C16" s="85" t="s">
        <v>29</v>
      </c>
      <c r="D16" s="86" t="n">
        <v>469</v>
      </c>
      <c r="E16" s="75"/>
      <c r="F16" s="76" t="n">
        <v>90</v>
      </c>
      <c r="G16" s="77"/>
      <c r="H16" s="78" t="n">
        <v>559</v>
      </c>
    </row>
    <row r="17" customFormat="false" ht="15" hidden="false" customHeight="false" outlineLevel="0" collapsed="false">
      <c r="B17" s="87" t="s">
        <v>741</v>
      </c>
      <c r="C17" s="88"/>
      <c r="D17" s="89" t="n">
        <v>29984</v>
      </c>
      <c r="E17" s="90"/>
      <c r="F17" s="89" t="n">
        <v>1959</v>
      </c>
      <c r="G17" s="90"/>
      <c r="H17" s="91" t="n">
        <v>31943</v>
      </c>
    </row>
    <row r="18" customFormat="false" ht="15" hidden="false" customHeight="false" outlineLevel="0" collapsed="false">
      <c r="B18" s="56" t="n">
        <v>45680</v>
      </c>
      <c r="C18" s="57" t="s">
        <v>32</v>
      </c>
      <c r="D18" s="58"/>
      <c r="E18" s="59"/>
      <c r="F18" s="60" t="n">
        <v>160</v>
      </c>
      <c r="G18" s="61"/>
      <c r="H18" s="62" t="n">
        <v>160</v>
      </c>
    </row>
    <row r="19" customFormat="false" ht="15" hidden="false" customHeight="false" outlineLevel="0" collapsed="false">
      <c r="B19" s="64"/>
      <c r="C19" s="65" t="s">
        <v>19</v>
      </c>
      <c r="D19" s="66" t="n">
        <v>6577</v>
      </c>
      <c r="E19" s="67"/>
      <c r="F19" s="67"/>
      <c r="G19" s="68"/>
      <c r="H19" s="69" t="n">
        <v>6577</v>
      </c>
    </row>
    <row r="20" customFormat="false" ht="15" hidden="false" customHeight="false" outlineLevel="0" collapsed="false">
      <c r="B20" s="64"/>
      <c r="C20" s="65" t="s">
        <v>25</v>
      </c>
      <c r="D20" s="66" t="n">
        <v>1486</v>
      </c>
      <c r="E20" s="67"/>
      <c r="F20" s="67"/>
      <c r="G20" s="68"/>
      <c r="H20" s="69" t="n">
        <v>1486</v>
      </c>
    </row>
    <row r="21" customFormat="false" ht="15" hidden="false" customHeight="false" outlineLevel="0" collapsed="false">
      <c r="B21" s="64"/>
      <c r="C21" s="65" t="s">
        <v>22</v>
      </c>
      <c r="D21" s="66" t="n">
        <v>2540</v>
      </c>
      <c r="E21" s="67"/>
      <c r="F21" s="67"/>
      <c r="G21" s="68"/>
      <c r="H21" s="69" t="n">
        <v>2540</v>
      </c>
    </row>
    <row r="22" customFormat="false" ht="15" hidden="false" customHeight="false" outlineLevel="0" collapsed="false">
      <c r="B22" s="64"/>
      <c r="C22" s="65" t="s">
        <v>43</v>
      </c>
      <c r="D22" s="73"/>
      <c r="E22" s="67"/>
      <c r="F22" s="71" t="n">
        <v>350</v>
      </c>
      <c r="G22" s="68"/>
      <c r="H22" s="69" t="n">
        <v>350</v>
      </c>
    </row>
    <row r="23" customFormat="false" ht="15" hidden="false" customHeight="false" outlineLevel="0" collapsed="false">
      <c r="B23" s="64"/>
      <c r="C23" s="65" t="s">
        <v>40</v>
      </c>
      <c r="D23" s="73"/>
      <c r="E23" s="67"/>
      <c r="F23" s="71" t="n">
        <v>1480</v>
      </c>
      <c r="G23" s="68"/>
      <c r="H23" s="69" t="n">
        <v>1480</v>
      </c>
    </row>
    <row r="24" customFormat="false" ht="15" hidden="false" customHeight="false" outlineLevel="0" collapsed="false">
      <c r="B24" s="64"/>
      <c r="C24" s="65" t="s">
        <v>34</v>
      </c>
      <c r="D24" s="73"/>
      <c r="E24" s="67"/>
      <c r="F24" s="71" t="n">
        <v>120</v>
      </c>
      <c r="G24" s="68"/>
      <c r="H24" s="69" t="n">
        <v>120</v>
      </c>
    </row>
    <row r="25" customFormat="false" ht="15" hidden="false" customHeight="false" outlineLevel="0" collapsed="false">
      <c r="B25" s="84"/>
      <c r="C25" s="85" t="s">
        <v>29</v>
      </c>
      <c r="D25" s="86" t="n">
        <v>680</v>
      </c>
      <c r="E25" s="75"/>
      <c r="F25" s="75"/>
      <c r="G25" s="77"/>
      <c r="H25" s="78" t="n">
        <v>680</v>
      </c>
    </row>
    <row r="26" customFormat="false" ht="15" hidden="false" customHeight="false" outlineLevel="0" collapsed="false">
      <c r="B26" s="87" t="s">
        <v>742</v>
      </c>
      <c r="C26" s="88"/>
      <c r="D26" s="89" t="n">
        <v>11283</v>
      </c>
      <c r="E26" s="90"/>
      <c r="F26" s="89" t="n">
        <v>2110</v>
      </c>
      <c r="G26" s="90"/>
      <c r="H26" s="91" t="n">
        <v>13393</v>
      </c>
    </row>
    <row r="27" customFormat="false" ht="15" hidden="false" customHeight="false" outlineLevel="0" collapsed="false">
      <c r="B27" s="56" t="n">
        <v>45681</v>
      </c>
      <c r="C27" s="57" t="s">
        <v>44</v>
      </c>
      <c r="D27" s="58"/>
      <c r="E27" s="60" t="n">
        <v>10300</v>
      </c>
      <c r="F27" s="59"/>
      <c r="G27" s="61"/>
      <c r="H27" s="62" t="n">
        <v>10300</v>
      </c>
    </row>
    <row r="28" customFormat="false" ht="15" hidden="false" customHeight="false" outlineLevel="0" collapsed="false">
      <c r="B28" s="64"/>
      <c r="C28" s="65" t="s">
        <v>47</v>
      </c>
      <c r="D28" s="66" t="n">
        <v>840</v>
      </c>
      <c r="E28" s="67"/>
      <c r="F28" s="67"/>
      <c r="G28" s="68"/>
      <c r="H28" s="69" t="n">
        <v>840</v>
      </c>
    </row>
    <row r="29" customFormat="false" ht="15" hidden="false" customHeight="false" outlineLevel="0" collapsed="false">
      <c r="B29" s="64"/>
      <c r="C29" s="65" t="s">
        <v>19</v>
      </c>
      <c r="D29" s="66" t="n">
        <v>4243</v>
      </c>
      <c r="E29" s="67"/>
      <c r="F29" s="67"/>
      <c r="G29" s="68"/>
      <c r="H29" s="69" t="n">
        <v>4243</v>
      </c>
    </row>
    <row r="30" customFormat="false" ht="15" hidden="false" customHeight="false" outlineLevel="0" collapsed="false">
      <c r="B30" s="64"/>
      <c r="C30" s="65" t="s">
        <v>25</v>
      </c>
      <c r="D30" s="66" t="n">
        <v>1250</v>
      </c>
      <c r="E30" s="67"/>
      <c r="F30" s="67"/>
      <c r="G30" s="68"/>
      <c r="H30" s="69" t="n">
        <v>1250</v>
      </c>
    </row>
    <row r="31" customFormat="false" ht="15" hidden="false" customHeight="false" outlineLevel="0" collapsed="false">
      <c r="B31" s="64"/>
      <c r="C31" s="65" t="s">
        <v>22</v>
      </c>
      <c r="D31" s="66" t="n">
        <v>3967</v>
      </c>
      <c r="E31" s="67"/>
      <c r="F31" s="67"/>
      <c r="G31" s="68"/>
      <c r="H31" s="69" t="n">
        <v>3967</v>
      </c>
    </row>
    <row r="32" customFormat="false" ht="15" hidden="false" customHeight="false" outlineLevel="0" collapsed="false">
      <c r="B32" s="64"/>
      <c r="C32" s="65" t="s">
        <v>37</v>
      </c>
      <c r="D32" s="73"/>
      <c r="E32" s="67"/>
      <c r="F32" s="71" t="n">
        <v>40</v>
      </c>
      <c r="G32" s="68"/>
      <c r="H32" s="69" t="n">
        <v>40</v>
      </c>
    </row>
    <row r="33" customFormat="false" ht="15" hidden="false" customHeight="true" outlineLevel="0" collapsed="false">
      <c r="B33" s="64"/>
      <c r="C33" s="65" t="s">
        <v>43</v>
      </c>
      <c r="D33" s="73"/>
      <c r="E33" s="67"/>
      <c r="F33" s="71" t="n">
        <v>350</v>
      </c>
      <c r="G33" s="68"/>
      <c r="H33" s="69" t="n">
        <v>350</v>
      </c>
    </row>
    <row r="34" customFormat="false" ht="15" hidden="false" customHeight="true" outlineLevel="0" collapsed="false">
      <c r="B34" s="64"/>
      <c r="C34" s="65" t="s">
        <v>34</v>
      </c>
      <c r="D34" s="73"/>
      <c r="E34" s="67"/>
      <c r="F34" s="71" t="n">
        <v>100</v>
      </c>
      <c r="G34" s="68"/>
      <c r="H34" s="69" t="n">
        <v>100</v>
      </c>
    </row>
    <row r="35" customFormat="false" ht="15" hidden="false" customHeight="true" outlineLevel="0" collapsed="false">
      <c r="B35" s="84"/>
      <c r="C35" s="85" t="s">
        <v>29</v>
      </c>
      <c r="D35" s="86" t="n">
        <v>580</v>
      </c>
      <c r="E35" s="75"/>
      <c r="F35" s="75"/>
      <c r="G35" s="77"/>
      <c r="H35" s="78" t="n">
        <v>580</v>
      </c>
    </row>
    <row r="36" customFormat="false" ht="15" hidden="false" customHeight="true" outlineLevel="0" collapsed="false">
      <c r="B36" s="87" t="s">
        <v>743</v>
      </c>
      <c r="C36" s="88"/>
      <c r="D36" s="89" t="n">
        <v>10880</v>
      </c>
      <c r="E36" s="89" t="n">
        <v>10300</v>
      </c>
      <c r="F36" s="89" t="n">
        <v>490</v>
      </c>
      <c r="G36" s="90"/>
      <c r="H36" s="91" t="n">
        <v>21670</v>
      </c>
    </row>
    <row r="37" customFormat="false" ht="15" hidden="false" customHeight="true" outlineLevel="0" collapsed="false">
      <c r="B37" s="56" t="n">
        <v>45682</v>
      </c>
      <c r="C37" s="57" t="s">
        <v>53</v>
      </c>
      <c r="D37" s="58"/>
      <c r="E37" s="59"/>
      <c r="F37" s="60" t="n">
        <v>2964</v>
      </c>
      <c r="G37" s="61"/>
      <c r="H37" s="62" t="n">
        <v>2964</v>
      </c>
    </row>
    <row r="38" customFormat="false" ht="15" hidden="false" customHeight="true" outlineLevel="0" collapsed="false">
      <c r="B38" s="64"/>
      <c r="C38" s="65" t="s">
        <v>19</v>
      </c>
      <c r="D38" s="66" t="n">
        <v>1928</v>
      </c>
      <c r="E38" s="67"/>
      <c r="F38" s="67"/>
      <c r="G38" s="68"/>
      <c r="H38" s="69" t="n">
        <v>1928</v>
      </c>
    </row>
    <row r="39" customFormat="false" ht="15" hidden="false" customHeight="true" outlineLevel="0" collapsed="false">
      <c r="B39" s="64"/>
      <c r="C39" s="65" t="s">
        <v>25</v>
      </c>
      <c r="D39" s="66" t="n">
        <v>1296</v>
      </c>
      <c r="E39" s="67"/>
      <c r="F39" s="71" t="n">
        <v>40</v>
      </c>
      <c r="G39" s="68"/>
      <c r="H39" s="69" t="n">
        <v>1336</v>
      </c>
    </row>
    <row r="40" customFormat="false" ht="15" hidden="false" customHeight="true" outlineLevel="0" collapsed="false">
      <c r="B40" s="64"/>
      <c r="C40" s="65" t="s">
        <v>51</v>
      </c>
      <c r="D40" s="66" t="n">
        <v>3095</v>
      </c>
      <c r="E40" s="67"/>
      <c r="F40" s="67"/>
      <c r="G40" s="68"/>
      <c r="H40" s="69" t="n">
        <v>3095</v>
      </c>
    </row>
    <row r="41" customFormat="false" ht="15" hidden="false" customHeight="true" outlineLevel="0" collapsed="false">
      <c r="B41" s="64"/>
      <c r="C41" s="65" t="s">
        <v>36</v>
      </c>
      <c r="D41" s="73"/>
      <c r="E41" s="67"/>
      <c r="F41" s="71" t="n">
        <v>635</v>
      </c>
      <c r="G41" s="68"/>
      <c r="H41" s="69" t="n">
        <v>635</v>
      </c>
    </row>
    <row r="42" customFormat="false" ht="15" hidden="false" customHeight="true" outlineLevel="0" collapsed="false">
      <c r="B42" s="64"/>
      <c r="C42" s="65" t="s">
        <v>50</v>
      </c>
      <c r="D42" s="66" t="n">
        <v>9100</v>
      </c>
      <c r="E42" s="67"/>
      <c r="F42" s="67"/>
      <c r="G42" s="68"/>
      <c r="H42" s="69" t="n">
        <v>9100</v>
      </c>
    </row>
    <row r="43" customFormat="false" ht="15" hidden="false" customHeight="true" outlineLevel="0" collapsed="false">
      <c r="B43" s="64"/>
      <c r="C43" s="65" t="s">
        <v>22</v>
      </c>
      <c r="D43" s="66" t="n">
        <v>3373</v>
      </c>
      <c r="E43" s="67"/>
      <c r="F43" s="67"/>
      <c r="G43" s="68"/>
      <c r="H43" s="69" t="n">
        <v>3373</v>
      </c>
    </row>
    <row r="44" customFormat="false" ht="15" hidden="false" customHeight="true" outlineLevel="0" collapsed="false">
      <c r="B44" s="64"/>
      <c r="C44" s="65" t="s">
        <v>56</v>
      </c>
      <c r="D44" s="73"/>
      <c r="E44" s="67"/>
      <c r="F44" s="71" t="n">
        <v>200</v>
      </c>
      <c r="G44" s="68"/>
      <c r="H44" s="69" t="n">
        <v>200</v>
      </c>
    </row>
    <row r="45" customFormat="false" ht="15" hidden="false" customHeight="false" outlineLevel="0" collapsed="false">
      <c r="A45" s="11" t="s">
        <v>744</v>
      </c>
      <c r="B45" s="64"/>
      <c r="C45" s="65" t="s">
        <v>34</v>
      </c>
      <c r="D45" s="73"/>
      <c r="E45" s="67"/>
      <c r="F45" s="71" t="n">
        <v>121</v>
      </c>
      <c r="G45" s="68"/>
      <c r="H45" s="69" t="n">
        <v>121</v>
      </c>
    </row>
    <row r="46" customFormat="false" ht="15" hidden="false" customHeight="true" outlineLevel="0" collapsed="false">
      <c r="B46" s="84"/>
      <c r="C46" s="85" t="s">
        <v>29</v>
      </c>
      <c r="D46" s="86" t="n">
        <v>570</v>
      </c>
      <c r="E46" s="75"/>
      <c r="F46" s="75"/>
      <c r="G46" s="77"/>
      <c r="H46" s="78" t="n">
        <v>570</v>
      </c>
    </row>
    <row r="47" customFormat="false" ht="15" hidden="false" customHeight="true" outlineLevel="0" collapsed="false">
      <c r="B47" s="87" t="s">
        <v>745</v>
      </c>
      <c r="C47" s="88"/>
      <c r="D47" s="89" t="n">
        <v>19362</v>
      </c>
      <c r="E47" s="90"/>
      <c r="F47" s="89" t="n">
        <v>3960</v>
      </c>
      <c r="G47" s="90"/>
      <c r="H47" s="91" t="n">
        <v>23322</v>
      </c>
    </row>
    <row r="48" customFormat="false" ht="15" hidden="false" customHeight="true" outlineLevel="0" collapsed="false">
      <c r="B48" s="56" t="n">
        <v>45683</v>
      </c>
      <c r="C48" s="57" t="s">
        <v>44</v>
      </c>
      <c r="D48" s="58"/>
      <c r="E48" s="60" t="n">
        <v>2700</v>
      </c>
      <c r="F48" s="59"/>
      <c r="G48" s="61"/>
      <c r="H48" s="62" t="n">
        <v>2700</v>
      </c>
    </row>
    <row r="49" customFormat="false" ht="15" hidden="false" customHeight="true" outlineLevel="0" collapsed="false">
      <c r="B49" s="64"/>
      <c r="C49" s="65" t="s">
        <v>32</v>
      </c>
      <c r="D49" s="73"/>
      <c r="E49" s="67"/>
      <c r="F49" s="71" t="n">
        <v>485</v>
      </c>
      <c r="G49" s="68"/>
      <c r="H49" s="69" t="n">
        <v>485</v>
      </c>
    </row>
    <row r="50" customFormat="false" ht="15" hidden="false" customHeight="true" outlineLevel="0" collapsed="false">
      <c r="B50" s="64"/>
      <c r="C50" s="65" t="s">
        <v>53</v>
      </c>
      <c r="D50" s="73"/>
      <c r="E50" s="67"/>
      <c r="F50" s="71" t="n">
        <v>40</v>
      </c>
      <c r="G50" s="68"/>
      <c r="H50" s="69" t="n">
        <v>40</v>
      </c>
    </row>
    <row r="51" customFormat="false" ht="15" hidden="false" customHeight="true" outlineLevel="0" collapsed="false">
      <c r="B51" s="64"/>
      <c r="C51" s="65" t="s">
        <v>19</v>
      </c>
      <c r="D51" s="66" t="n">
        <v>8385</v>
      </c>
      <c r="E51" s="67"/>
      <c r="F51" s="67"/>
      <c r="G51" s="68"/>
      <c r="H51" s="69" t="n">
        <v>8385</v>
      </c>
    </row>
    <row r="52" customFormat="false" ht="15" hidden="false" customHeight="true" outlineLevel="0" collapsed="false">
      <c r="B52" s="64"/>
      <c r="C52" s="65" t="s">
        <v>25</v>
      </c>
      <c r="D52" s="66" t="n">
        <v>2486</v>
      </c>
      <c r="E52" s="67"/>
      <c r="F52" s="71" t="n">
        <v>1153</v>
      </c>
      <c r="G52" s="68"/>
      <c r="H52" s="69" t="n">
        <v>3639</v>
      </c>
    </row>
    <row r="53" customFormat="false" ht="15" hidden="false" customHeight="true" outlineLevel="0" collapsed="false">
      <c r="B53" s="64"/>
      <c r="C53" s="65" t="s">
        <v>36</v>
      </c>
      <c r="D53" s="73"/>
      <c r="E53" s="67"/>
      <c r="F53" s="71" t="n">
        <v>185</v>
      </c>
      <c r="G53" s="68"/>
      <c r="H53" s="69" t="n">
        <v>185</v>
      </c>
    </row>
    <row r="54" customFormat="false" ht="15" hidden="false" customHeight="true" outlineLevel="0" collapsed="false">
      <c r="B54" s="64"/>
      <c r="C54" s="65" t="s">
        <v>22</v>
      </c>
      <c r="D54" s="66" t="n">
        <v>3000</v>
      </c>
      <c r="E54" s="67"/>
      <c r="F54" s="67"/>
      <c r="G54" s="68"/>
      <c r="H54" s="69" t="n">
        <v>3000</v>
      </c>
    </row>
    <row r="55" customFormat="false" ht="15" hidden="false" customHeight="true" outlineLevel="0" collapsed="false">
      <c r="B55" s="64"/>
      <c r="C55" s="65" t="s">
        <v>60</v>
      </c>
      <c r="D55" s="73"/>
      <c r="E55" s="67"/>
      <c r="F55" s="71" t="n">
        <v>420</v>
      </c>
      <c r="G55" s="68"/>
      <c r="H55" s="69" t="n">
        <v>420</v>
      </c>
    </row>
    <row r="56" customFormat="false" ht="15" hidden="false" customHeight="true" outlineLevel="0" collapsed="false">
      <c r="B56" s="64"/>
      <c r="C56" s="65" t="s">
        <v>34</v>
      </c>
      <c r="D56" s="73"/>
      <c r="E56" s="67"/>
      <c r="F56" s="71" t="n">
        <v>96</v>
      </c>
      <c r="G56" s="68"/>
      <c r="H56" s="69" t="n">
        <v>96</v>
      </c>
    </row>
    <row r="57" customFormat="false" ht="15" hidden="false" customHeight="true" outlineLevel="0" collapsed="false">
      <c r="B57" s="84"/>
      <c r="C57" s="85" t="s">
        <v>29</v>
      </c>
      <c r="D57" s="86" t="n">
        <v>655</v>
      </c>
      <c r="E57" s="75"/>
      <c r="F57" s="75"/>
      <c r="G57" s="77"/>
      <c r="H57" s="78" t="n">
        <v>655</v>
      </c>
    </row>
    <row r="58" customFormat="false" ht="15" hidden="false" customHeight="true" outlineLevel="0" collapsed="false">
      <c r="B58" s="87" t="s">
        <v>746</v>
      </c>
      <c r="C58" s="88"/>
      <c r="D58" s="89" t="n">
        <v>14526</v>
      </c>
      <c r="E58" s="89" t="n">
        <v>2700</v>
      </c>
      <c r="F58" s="89" t="n">
        <v>2379</v>
      </c>
      <c r="G58" s="90"/>
      <c r="H58" s="91" t="n">
        <v>19605</v>
      </c>
    </row>
    <row r="59" customFormat="false" ht="15" hidden="false" customHeight="true" outlineLevel="0" collapsed="false">
      <c r="B59" s="56" t="n">
        <v>45684</v>
      </c>
      <c r="C59" s="57" t="s">
        <v>47</v>
      </c>
      <c r="D59" s="92" t="n">
        <v>840</v>
      </c>
      <c r="E59" s="59"/>
      <c r="F59" s="59"/>
      <c r="G59" s="61"/>
      <c r="H59" s="62" t="n">
        <v>840</v>
      </c>
    </row>
    <row r="60" customFormat="false" ht="15" hidden="false" customHeight="true" outlineLevel="0" collapsed="false">
      <c r="B60" s="64"/>
      <c r="C60" s="65" t="s">
        <v>19</v>
      </c>
      <c r="D60" s="66" t="n">
        <v>3997</v>
      </c>
      <c r="E60" s="67"/>
      <c r="F60" s="67"/>
      <c r="G60" s="68"/>
      <c r="H60" s="69" t="n">
        <v>3997</v>
      </c>
    </row>
    <row r="61" customFormat="false" ht="15" hidden="false" customHeight="true" outlineLevel="0" collapsed="false">
      <c r="B61" s="64"/>
      <c r="C61" s="65" t="s">
        <v>63</v>
      </c>
      <c r="D61" s="73"/>
      <c r="E61" s="67"/>
      <c r="F61" s="71" t="n">
        <v>450</v>
      </c>
      <c r="G61" s="68"/>
      <c r="H61" s="69" t="n">
        <v>450</v>
      </c>
    </row>
    <row r="62" customFormat="false" ht="15" hidden="false" customHeight="true" outlineLevel="0" collapsed="false">
      <c r="B62" s="64"/>
      <c r="C62" s="65" t="s">
        <v>25</v>
      </c>
      <c r="D62" s="66" t="n">
        <v>1135</v>
      </c>
      <c r="E62" s="67"/>
      <c r="F62" s="71" t="n">
        <v>650</v>
      </c>
      <c r="G62" s="68"/>
      <c r="H62" s="69" t="n">
        <v>1785</v>
      </c>
    </row>
    <row r="63" customFormat="false" ht="15" hidden="false" customHeight="true" outlineLevel="0" collapsed="false">
      <c r="B63" s="64"/>
      <c r="C63" s="65" t="s">
        <v>37</v>
      </c>
      <c r="D63" s="73"/>
      <c r="E63" s="67"/>
      <c r="F63" s="71" t="n">
        <v>30</v>
      </c>
      <c r="G63" s="68"/>
      <c r="H63" s="69" t="n">
        <v>30</v>
      </c>
    </row>
    <row r="64" customFormat="false" ht="15" hidden="false" customHeight="true" outlineLevel="0" collapsed="false">
      <c r="B64" s="64"/>
      <c r="C64" s="65" t="s">
        <v>34</v>
      </c>
      <c r="D64" s="73"/>
      <c r="E64" s="67"/>
      <c r="F64" s="71" t="n">
        <v>125</v>
      </c>
      <c r="G64" s="68"/>
      <c r="H64" s="69" t="n">
        <v>125</v>
      </c>
    </row>
    <row r="65" customFormat="false" ht="15" hidden="false" customHeight="true" outlineLevel="0" collapsed="false">
      <c r="B65" s="84"/>
      <c r="C65" s="85" t="s">
        <v>29</v>
      </c>
      <c r="D65" s="86" t="n">
        <v>526</v>
      </c>
      <c r="E65" s="75"/>
      <c r="F65" s="76" t="n">
        <v>35</v>
      </c>
      <c r="G65" s="77"/>
      <c r="H65" s="78" t="n">
        <v>561</v>
      </c>
    </row>
    <row r="66" customFormat="false" ht="15" hidden="false" customHeight="true" outlineLevel="0" collapsed="false">
      <c r="B66" s="87" t="s">
        <v>747</v>
      </c>
      <c r="C66" s="88"/>
      <c r="D66" s="89" t="n">
        <v>6498</v>
      </c>
      <c r="E66" s="90"/>
      <c r="F66" s="89" t="n">
        <v>1290</v>
      </c>
      <c r="G66" s="90"/>
      <c r="H66" s="91" t="n">
        <v>7788</v>
      </c>
    </row>
    <row r="67" customFormat="false" ht="15" hidden="false" customHeight="true" outlineLevel="0" collapsed="false">
      <c r="B67" s="56" t="n">
        <v>45685</v>
      </c>
      <c r="C67" s="57" t="s">
        <v>53</v>
      </c>
      <c r="D67" s="58"/>
      <c r="E67" s="59"/>
      <c r="F67" s="60" t="n">
        <v>40</v>
      </c>
      <c r="G67" s="61"/>
      <c r="H67" s="62" t="n">
        <v>40</v>
      </c>
    </row>
    <row r="68" customFormat="false" ht="15" hidden="false" customHeight="true" outlineLevel="0" collapsed="false">
      <c r="B68" s="64"/>
      <c r="C68" s="65" t="s">
        <v>19</v>
      </c>
      <c r="D68" s="66" t="n">
        <v>4204</v>
      </c>
      <c r="E68" s="67"/>
      <c r="F68" s="67"/>
      <c r="G68" s="68"/>
      <c r="H68" s="69" t="n">
        <v>4204</v>
      </c>
    </row>
    <row r="69" customFormat="false" ht="15" hidden="false" customHeight="true" outlineLevel="0" collapsed="false">
      <c r="B69" s="64"/>
      <c r="C69" s="65" t="s">
        <v>25</v>
      </c>
      <c r="D69" s="66" t="n">
        <v>1533</v>
      </c>
      <c r="E69" s="67"/>
      <c r="F69" s="71" t="n">
        <v>802</v>
      </c>
      <c r="G69" s="68"/>
      <c r="H69" s="69" t="n">
        <v>2335</v>
      </c>
    </row>
    <row r="70" customFormat="false" ht="15" hidden="false" customHeight="true" outlineLevel="0" collapsed="false">
      <c r="B70" s="64"/>
      <c r="C70" s="65" t="s">
        <v>22</v>
      </c>
      <c r="D70" s="66" t="n">
        <v>4708</v>
      </c>
      <c r="E70" s="67"/>
      <c r="F70" s="67"/>
      <c r="G70" s="68"/>
      <c r="H70" s="69" t="n">
        <v>4708</v>
      </c>
    </row>
    <row r="71" customFormat="false" ht="15" hidden="false" customHeight="true" outlineLevel="0" collapsed="false">
      <c r="B71" s="64"/>
      <c r="C71" s="65" t="s">
        <v>37</v>
      </c>
      <c r="D71" s="73"/>
      <c r="E71" s="67"/>
      <c r="F71" s="71" t="n">
        <v>23</v>
      </c>
      <c r="G71" s="68"/>
      <c r="H71" s="69" t="n">
        <v>23</v>
      </c>
    </row>
    <row r="72" customFormat="false" ht="15" hidden="false" customHeight="true" outlineLevel="0" collapsed="false">
      <c r="B72" s="64"/>
      <c r="C72" s="65" t="s">
        <v>56</v>
      </c>
      <c r="D72" s="73"/>
      <c r="E72" s="67"/>
      <c r="F72" s="71" t="n">
        <v>350</v>
      </c>
      <c r="G72" s="68"/>
      <c r="H72" s="69" t="n">
        <v>350</v>
      </c>
    </row>
    <row r="73" customFormat="false" ht="15" hidden="false" customHeight="true" outlineLevel="0" collapsed="false">
      <c r="B73" s="64"/>
      <c r="C73" s="65" t="s">
        <v>34</v>
      </c>
      <c r="D73" s="73"/>
      <c r="E73" s="67"/>
      <c r="F73" s="71" t="n">
        <v>100</v>
      </c>
      <c r="G73" s="68"/>
      <c r="H73" s="69" t="n">
        <v>100</v>
      </c>
    </row>
    <row r="74" customFormat="false" ht="15" hidden="false" customHeight="true" outlineLevel="0" collapsed="false">
      <c r="B74" s="84"/>
      <c r="C74" s="85" t="s">
        <v>29</v>
      </c>
      <c r="D74" s="86" t="n">
        <v>519</v>
      </c>
      <c r="E74" s="75"/>
      <c r="F74" s="75"/>
      <c r="G74" s="77"/>
      <c r="H74" s="78" t="n">
        <v>519</v>
      </c>
    </row>
    <row r="75" customFormat="false" ht="15" hidden="false" customHeight="true" outlineLevel="0" collapsed="false">
      <c r="B75" s="87" t="s">
        <v>748</v>
      </c>
      <c r="C75" s="88"/>
      <c r="D75" s="89" t="n">
        <v>10964</v>
      </c>
      <c r="E75" s="90"/>
      <c r="F75" s="89" t="n">
        <v>1315</v>
      </c>
      <c r="G75" s="90"/>
      <c r="H75" s="91" t="n">
        <v>12279</v>
      </c>
    </row>
    <row r="76" customFormat="false" ht="15" hidden="false" customHeight="true" outlineLevel="0" collapsed="false">
      <c r="B76" s="56" t="n">
        <v>45686</v>
      </c>
      <c r="C76" s="57" t="s">
        <v>53</v>
      </c>
      <c r="D76" s="58"/>
      <c r="E76" s="59"/>
      <c r="F76" s="60" t="n">
        <v>2400</v>
      </c>
      <c r="G76" s="61"/>
      <c r="H76" s="62" t="n">
        <v>2400</v>
      </c>
    </row>
    <row r="77" customFormat="false" ht="15" hidden="false" customHeight="true" outlineLevel="0" collapsed="false">
      <c r="B77" s="64"/>
      <c r="C77" s="65" t="s">
        <v>47</v>
      </c>
      <c r="D77" s="66" t="n">
        <v>1680</v>
      </c>
      <c r="E77" s="67"/>
      <c r="F77" s="67"/>
      <c r="G77" s="68"/>
      <c r="H77" s="69" t="n">
        <v>1680</v>
      </c>
    </row>
    <row r="78" customFormat="false" ht="15" hidden="false" customHeight="true" outlineLevel="0" collapsed="false">
      <c r="B78" s="64"/>
      <c r="C78" s="65" t="s">
        <v>25</v>
      </c>
      <c r="D78" s="66" t="n">
        <v>201</v>
      </c>
      <c r="E78" s="67"/>
      <c r="F78" s="67"/>
      <c r="G78" s="68"/>
      <c r="H78" s="69" t="n">
        <v>201</v>
      </c>
    </row>
    <row r="79" customFormat="false" ht="15" hidden="false" customHeight="true" outlineLevel="0" collapsed="false">
      <c r="B79" s="64"/>
      <c r="C79" s="65" t="s">
        <v>37</v>
      </c>
      <c r="D79" s="73"/>
      <c r="E79" s="67"/>
      <c r="F79" s="71" t="n">
        <v>20</v>
      </c>
      <c r="G79" s="68"/>
      <c r="H79" s="69" t="n">
        <v>20</v>
      </c>
    </row>
    <row r="80" customFormat="false" ht="15" hidden="false" customHeight="true" outlineLevel="0" collapsed="false">
      <c r="B80" s="64"/>
      <c r="C80" s="65" t="s">
        <v>31</v>
      </c>
      <c r="D80" s="73"/>
      <c r="E80" s="71" t="n">
        <v>100</v>
      </c>
      <c r="F80" s="67"/>
      <c r="G80" s="68"/>
      <c r="H80" s="69" t="n">
        <v>100</v>
      </c>
    </row>
    <row r="81" customFormat="false" ht="15" hidden="false" customHeight="true" outlineLevel="0" collapsed="false">
      <c r="B81" s="64"/>
      <c r="C81" s="65" t="s">
        <v>56</v>
      </c>
      <c r="D81" s="66" t="n">
        <v>7428</v>
      </c>
      <c r="E81" s="67"/>
      <c r="F81" s="67"/>
      <c r="G81" s="68"/>
      <c r="H81" s="69" t="n">
        <v>7428</v>
      </c>
    </row>
    <row r="82" customFormat="false" ht="15" hidden="false" customHeight="true" outlineLevel="0" collapsed="false">
      <c r="B82" s="64"/>
      <c r="C82" s="65" t="s">
        <v>34</v>
      </c>
      <c r="D82" s="73"/>
      <c r="E82" s="67"/>
      <c r="F82" s="71" t="n">
        <v>210</v>
      </c>
      <c r="G82" s="68"/>
      <c r="H82" s="69" t="n">
        <v>210</v>
      </c>
    </row>
    <row r="83" customFormat="false" ht="15" hidden="false" customHeight="true" outlineLevel="0" collapsed="false">
      <c r="B83" s="84"/>
      <c r="C83" s="85" t="s">
        <v>29</v>
      </c>
      <c r="D83" s="86" t="n">
        <v>467</v>
      </c>
      <c r="E83" s="75"/>
      <c r="F83" s="76" t="n">
        <v>30</v>
      </c>
      <c r="G83" s="77"/>
      <c r="H83" s="78" t="n">
        <v>497</v>
      </c>
    </row>
    <row r="84" customFormat="false" ht="15" hidden="false" customHeight="true" outlineLevel="0" collapsed="false">
      <c r="B84" s="87" t="s">
        <v>749</v>
      </c>
      <c r="C84" s="88"/>
      <c r="D84" s="89" t="n">
        <v>9776</v>
      </c>
      <c r="E84" s="89" t="n">
        <v>100</v>
      </c>
      <c r="F84" s="89" t="n">
        <v>2660</v>
      </c>
      <c r="G84" s="90"/>
      <c r="H84" s="91" t="n">
        <v>12536</v>
      </c>
    </row>
    <row r="85" customFormat="false" ht="15" hidden="false" customHeight="true" outlineLevel="0" collapsed="false">
      <c r="B85" s="56" t="n">
        <v>45687</v>
      </c>
      <c r="C85" s="57" t="s">
        <v>44</v>
      </c>
      <c r="D85" s="58"/>
      <c r="E85" s="60" t="n">
        <v>2000</v>
      </c>
      <c r="F85" s="59"/>
      <c r="G85" s="61"/>
      <c r="H85" s="62" t="n">
        <v>2000</v>
      </c>
    </row>
    <row r="86" customFormat="false" ht="15" hidden="false" customHeight="true" outlineLevel="0" collapsed="false">
      <c r="B86" s="64"/>
      <c r="C86" s="65" t="s">
        <v>19</v>
      </c>
      <c r="D86" s="66" t="n">
        <v>6170</v>
      </c>
      <c r="E86" s="67"/>
      <c r="F86" s="67"/>
      <c r="G86" s="68"/>
      <c r="H86" s="69" t="n">
        <v>6170</v>
      </c>
    </row>
    <row r="87" customFormat="false" ht="15" hidden="false" customHeight="true" outlineLevel="0" collapsed="false">
      <c r="B87" s="64"/>
      <c r="C87" s="65" t="s">
        <v>25</v>
      </c>
      <c r="D87" s="66" t="n">
        <v>848</v>
      </c>
      <c r="E87" s="67"/>
      <c r="F87" s="67"/>
      <c r="G87" s="68"/>
      <c r="H87" s="69" t="n">
        <v>848</v>
      </c>
    </row>
    <row r="88" customFormat="false" ht="15" hidden="false" customHeight="true" outlineLevel="0" collapsed="false">
      <c r="B88" s="64"/>
      <c r="C88" s="65" t="s">
        <v>22</v>
      </c>
      <c r="D88" s="66" t="n">
        <v>3181</v>
      </c>
      <c r="E88" s="67"/>
      <c r="F88" s="67"/>
      <c r="G88" s="68"/>
      <c r="H88" s="69" t="n">
        <v>3181</v>
      </c>
    </row>
    <row r="89" customFormat="false" ht="15" hidden="false" customHeight="true" outlineLevel="0" collapsed="false">
      <c r="B89" s="64"/>
      <c r="C89" s="65" t="s">
        <v>67</v>
      </c>
      <c r="D89" s="66" t="n">
        <v>8500</v>
      </c>
      <c r="E89" s="67"/>
      <c r="F89" s="67"/>
      <c r="G89" s="68"/>
      <c r="H89" s="69" t="n">
        <v>8500</v>
      </c>
    </row>
    <row r="90" customFormat="false" ht="15" hidden="false" customHeight="true" outlineLevel="0" collapsed="false">
      <c r="B90" s="64"/>
      <c r="C90" s="65" t="s">
        <v>34</v>
      </c>
      <c r="D90" s="73"/>
      <c r="E90" s="67"/>
      <c r="F90" s="71" t="n">
        <v>100</v>
      </c>
      <c r="G90" s="68"/>
      <c r="H90" s="69" t="n">
        <v>100</v>
      </c>
    </row>
    <row r="91" customFormat="false" ht="15" hidden="false" customHeight="true" outlineLevel="0" collapsed="false">
      <c r="B91" s="84"/>
      <c r="C91" s="85" t="s">
        <v>29</v>
      </c>
      <c r="D91" s="86" t="n">
        <v>495</v>
      </c>
      <c r="E91" s="75"/>
      <c r="F91" s="75"/>
      <c r="G91" s="77"/>
      <c r="H91" s="78" t="n">
        <v>495</v>
      </c>
    </row>
    <row r="92" customFormat="false" ht="15" hidden="false" customHeight="true" outlineLevel="0" collapsed="false">
      <c r="B92" s="87" t="s">
        <v>750</v>
      </c>
      <c r="C92" s="88"/>
      <c r="D92" s="89" t="n">
        <v>19194</v>
      </c>
      <c r="E92" s="89" t="n">
        <v>2000</v>
      </c>
      <c r="F92" s="89" t="n">
        <v>100</v>
      </c>
      <c r="G92" s="90"/>
      <c r="H92" s="91" t="n">
        <v>21294</v>
      </c>
    </row>
    <row r="93" customFormat="false" ht="15" hidden="false" customHeight="true" outlineLevel="0" collapsed="false">
      <c r="B93" s="56" t="n">
        <v>45688</v>
      </c>
      <c r="C93" s="57" t="s">
        <v>32</v>
      </c>
      <c r="D93" s="58"/>
      <c r="E93" s="59"/>
      <c r="F93" s="60" t="n">
        <v>455</v>
      </c>
      <c r="G93" s="61"/>
      <c r="H93" s="62" t="n">
        <v>455</v>
      </c>
    </row>
    <row r="94" customFormat="false" ht="15" hidden="false" customHeight="true" outlineLevel="0" collapsed="false">
      <c r="B94" s="64"/>
      <c r="C94" s="65" t="s">
        <v>19</v>
      </c>
      <c r="D94" s="66" t="n">
        <v>5930</v>
      </c>
      <c r="E94" s="67"/>
      <c r="F94" s="67"/>
      <c r="G94" s="68"/>
      <c r="H94" s="69" t="n">
        <v>5930</v>
      </c>
    </row>
    <row r="95" customFormat="false" ht="15" hidden="false" customHeight="true" outlineLevel="0" collapsed="false">
      <c r="B95" s="64"/>
      <c r="C95" s="65" t="s">
        <v>25</v>
      </c>
      <c r="D95" s="66" t="n">
        <v>1741</v>
      </c>
      <c r="E95" s="67"/>
      <c r="F95" s="71" t="n">
        <v>60</v>
      </c>
      <c r="G95" s="68"/>
      <c r="H95" s="69" t="n">
        <v>1801</v>
      </c>
    </row>
    <row r="96" customFormat="false" ht="15" hidden="false" customHeight="true" outlineLevel="0" collapsed="false">
      <c r="B96" s="64"/>
      <c r="C96" s="65" t="s">
        <v>69</v>
      </c>
      <c r="D96" s="73"/>
      <c r="E96" s="71" t="n">
        <v>1500</v>
      </c>
      <c r="F96" s="67"/>
      <c r="G96" s="68"/>
      <c r="H96" s="69" t="n">
        <v>1500</v>
      </c>
    </row>
    <row r="97" customFormat="false" ht="15" hidden="false" customHeight="true" outlineLevel="0" collapsed="false">
      <c r="B97" s="64"/>
      <c r="C97" s="65" t="s">
        <v>22</v>
      </c>
      <c r="D97" s="66" t="n">
        <v>3216</v>
      </c>
      <c r="E97" s="67"/>
      <c r="F97" s="67"/>
      <c r="G97" s="68"/>
      <c r="H97" s="69" t="n">
        <v>3216</v>
      </c>
    </row>
    <row r="98" customFormat="false" ht="15" hidden="false" customHeight="true" outlineLevel="0" collapsed="false">
      <c r="B98" s="64"/>
      <c r="C98" s="65" t="s">
        <v>37</v>
      </c>
      <c r="D98" s="73"/>
      <c r="E98" s="67"/>
      <c r="F98" s="71" t="n">
        <v>35</v>
      </c>
      <c r="G98" s="68"/>
      <c r="H98" s="69" t="n">
        <v>35</v>
      </c>
    </row>
    <row r="99" customFormat="false" ht="15" hidden="false" customHeight="true" outlineLevel="0" collapsed="false">
      <c r="B99" s="64"/>
      <c r="C99" s="65" t="s">
        <v>56</v>
      </c>
      <c r="D99" s="66" t="n">
        <v>16800</v>
      </c>
      <c r="E99" s="67"/>
      <c r="F99" s="67"/>
      <c r="G99" s="68"/>
      <c r="H99" s="69" t="n">
        <v>16800</v>
      </c>
    </row>
    <row r="100" customFormat="false" ht="15" hidden="false" customHeight="true" outlineLevel="0" collapsed="false">
      <c r="B100" s="64"/>
      <c r="C100" s="65" t="s">
        <v>34</v>
      </c>
      <c r="D100" s="73"/>
      <c r="E100" s="67"/>
      <c r="F100" s="71" t="n">
        <v>100</v>
      </c>
      <c r="G100" s="68"/>
      <c r="H100" s="69" t="n">
        <v>100</v>
      </c>
    </row>
    <row r="101" customFormat="false" ht="15" hidden="false" customHeight="true" outlineLevel="0" collapsed="false">
      <c r="B101" s="84"/>
      <c r="C101" s="85" t="s">
        <v>29</v>
      </c>
      <c r="D101" s="86" t="n">
        <v>599</v>
      </c>
      <c r="E101" s="75"/>
      <c r="F101" s="76" t="n">
        <v>90</v>
      </c>
      <c r="G101" s="77"/>
      <c r="H101" s="78" t="n">
        <v>689</v>
      </c>
    </row>
    <row r="102" customFormat="false" ht="15" hidden="false" customHeight="true" outlineLevel="0" collapsed="false">
      <c r="B102" s="87" t="s">
        <v>751</v>
      </c>
      <c r="C102" s="88"/>
      <c r="D102" s="89" t="n">
        <v>28286</v>
      </c>
      <c r="E102" s="89" t="n">
        <v>1500</v>
      </c>
      <c r="F102" s="89" t="n">
        <v>740</v>
      </c>
      <c r="G102" s="90"/>
      <c r="H102" s="91" t="n">
        <v>30526</v>
      </c>
    </row>
    <row r="103" customFormat="false" ht="15" hidden="false" customHeight="true" outlineLevel="0" collapsed="false">
      <c r="B103" s="56" t="n">
        <v>45689</v>
      </c>
      <c r="C103" s="57" t="s">
        <v>53</v>
      </c>
      <c r="D103" s="58"/>
      <c r="E103" s="59"/>
      <c r="F103" s="60" t="n">
        <v>1200</v>
      </c>
      <c r="G103" s="61"/>
      <c r="H103" s="62" t="n">
        <v>1200</v>
      </c>
    </row>
    <row r="104" customFormat="false" ht="15" hidden="false" customHeight="true" outlineLevel="0" collapsed="false">
      <c r="B104" s="64"/>
      <c r="C104" s="65" t="s">
        <v>47</v>
      </c>
      <c r="D104" s="66" t="n">
        <v>1680</v>
      </c>
      <c r="E104" s="67"/>
      <c r="F104" s="67"/>
      <c r="G104" s="68"/>
      <c r="H104" s="69" t="n">
        <v>1680</v>
      </c>
    </row>
    <row r="105" customFormat="false" ht="15" hidden="false" customHeight="true" outlineLevel="0" collapsed="false">
      <c r="B105" s="64"/>
      <c r="C105" s="65" t="s">
        <v>19</v>
      </c>
      <c r="D105" s="66" t="n">
        <v>1454</v>
      </c>
      <c r="E105" s="67"/>
      <c r="F105" s="67"/>
      <c r="G105" s="68"/>
      <c r="H105" s="69" t="n">
        <v>1454</v>
      </c>
    </row>
    <row r="106" customFormat="false" ht="15" hidden="false" customHeight="true" outlineLevel="0" collapsed="false">
      <c r="B106" s="64"/>
      <c r="C106" s="65" t="s">
        <v>25</v>
      </c>
      <c r="D106" s="66" t="n">
        <v>1330</v>
      </c>
      <c r="E106" s="67"/>
      <c r="F106" s="71" t="n">
        <v>825</v>
      </c>
      <c r="G106" s="68"/>
      <c r="H106" s="69" t="n">
        <v>2155</v>
      </c>
    </row>
    <row r="107" customFormat="false" ht="15" hidden="false" customHeight="true" outlineLevel="0" collapsed="false">
      <c r="B107" s="64"/>
      <c r="C107" s="65" t="s">
        <v>22</v>
      </c>
      <c r="D107" s="66" t="n">
        <v>7379</v>
      </c>
      <c r="E107" s="67"/>
      <c r="F107" s="67"/>
      <c r="G107" s="68"/>
      <c r="H107" s="69" t="n">
        <v>7379</v>
      </c>
    </row>
    <row r="108" customFormat="false" ht="15" hidden="false" customHeight="true" outlineLevel="0" collapsed="false">
      <c r="B108" s="64"/>
      <c r="C108" s="65" t="s">
        <v>37</v>
      </c>
      <c r="D108" s="73"/>
      <c r="E108" s="67"/>
      <c r="F108" s="71" t="n">
        <v>30</v>
      </c>
      <c r="G108" s="68"/>
      <c r="H108" s="69" t="n">
        <v>30</v>
      </c>
    </row>
    <row r="109" customFormat="false" ht="15" hidden="false" customHeight="true" outlineLevel="0" collapsed="false">
      <c r="B109" s="64"/>
      <c r="C109" s="65" t="s">
        <v>40</v>
      </c>
      <c r="D109" s="73"/>
      <c r="E109" s="67"/>
      <c r="F109" s="71" t="n">
        <v>1680</v>
      </c>
      <c r="G109" s="68"/>
      <c r="H109" s="69" t="n">
        <v>1680</v>
      </c>
    </row>
    <row r="110" customFormat="false" ht="15" hidden="false" customHeight="true" outlineLevel="0" collapsed="false">
      <c r="B110" s="64"/>
      <c r="C110" s="65" t="s">
        <v>31</v>
      </c>
      <c r="D110" s="73"/>
      <c r="E110" s="67"/>
      <c r="F110" s="71" t="n">
        <v>480</v>
      </c>
      <c r="G110" s="68"/>
      <c r="H110" s="69" t="n">
        <v>480</v>
      </c>
    </row>
    <row r="111" customFormat="false" ht="15" hidden="false" customHeight="true" outlineLevel="0" collapsed="false">
      <c r="B111" s="64"/>
      <c r="C111" s="65" t="s">
        <v>56</v>
      </c>
      <c r="D111" s="73"/>
      <c r="E111" s="67"/>
      <c r="F111" s="71" t="n">
        <v>150</v>
      </c>
      <c r="G111" s="68"/>
      <c r="H111" s="69" t="n">
        <v>150</v>
      </c>
    </row>
    <row r="112" customFormat="false" ht="15" hidden="false" customHeight="true" outlineLevel="0" collapsed="false">
      <c r="B112" s="64"/>
      <c r="C112" s="65" t="s">
        <v>34</v>
      </c>
      <c r="D112" s="73"/>
      <c r="E112" s="67"/>
      <c r="F112" s="71" t="n">
        <v>100</v>
      </c>
      <c r="G112" s="68"/>
      <c r="H112" s="69" t="n">
        <v>100</v>
      </c>
    </row>
    <row r="113" customFormat="false" ht="15" hidden="false" customHeight="true" outlineLevel="0" collapsed="false">
      <c r="B113" s="84"/>
      <c r="C113" s="85" t="s">
        <v>29</v>
      </c>
      <c r="D113" s="86" t="n">
        <v>467</v>
      </c>
      <c r="E113" s="75"/>
      <c r="F113" s="75"/>
      <c r="G113" s="77"/>
      <c r="H113" s="78" t="n">
        <v>467</v>
      </c>
    </row>
    <row r="114" customFormat="false" ht="15" hidden="false" customHeight="true" outlineLevel="0" collapsed="false">
      <c r="B114" s="87" t="s">
        <v>752</v>
      </c>
      <c r="C114" s="88"/>
      <c r="D114" s="89" t="n">
        <v>12310</v>
      </c>
      <c r="E114" s="90"/>
      <c r="F114" s="89" t="n">
        <v>4465</v>
      </c>
      <c r="G114" s="90"/>
      <c r="H114" s="91" t="n">
        <v>16775</v>
      </c>
    </row>
    <row r="115" customFormat="false" ht="15" hidden="false" customHeight="true" outlineLevel="0" collapsed="false">
      <c r="B115" s="56" t="n">
        <v>45690</v>
      </c>
      <c r="C115" s="57" t="s">
        <v>44</v>
      </c>
      <c r="D115" s="92" t="n">
        <v>10000</v>
      </c>
      <c r="E115" s="60" t="n">
        <v>3500</v>
      </c>
      <c r="F115" s="59"/>
      <c r="G115" s="61"/>
      <c r="H115" s="62" t="n">
        <v>13500</v>
      </c>
    </row>
    <row r="116" customFormat="false" ht="15" hidden="false" customHeight="true" outlineLevel="0" collapsed="false">
      <c r="B116" s="64"/>
      <c r="C116" s="65" t="s">
        <v>32</v>
      </c>
      <c r="D116" s="73"/>
      <c r="E116" s="67"/>
      <c r="F116" s="71" t="n">
        <v>195</v>
      </c>
      <c r="G116" s="68"/>
      <c r="H116" s="69" t="n">
        <v>195</v>
      </c>
    </row>
    <row r="117" customFormat="false" ht="15" hidden="false" customHeight="true" outlineLevel="0" collapsed="false">
      <c r="B117" s="64"/>
      <c r="C117" s="65" t="s">
        <v>19</v>
      </c>
      <c r="D117" s="66" t="n">
        <v>3983</v>
      </c>
      <c r="E117" s="67"/>
      <c r="F117" s="67"/>
      <c r="G117" s="68"/>
      <c r="H117" s="69" t="n">
        <v>3983</v>
      </c>
    </row>
    <row r="118" customFormat="false" ht="15" hidden="false" customHeight="true" outlineLevel="0" collapsed="false">
      <c r="B118" s="64"/>
      <c r="C118" s="65" t="s">
        <v>81</v>
      </c>
      <c r="D118" s="73"/>
      <c r="E118" s="67"/>
      <c r="F118" s="71" t="n">
        <v>70</v>
      </c>
      <c r="G118" s="68"/>
      <c r="H118" s="69" t="n">
        <v>70</v>
      </c>
    </row>
    <row r="119" customFormat="false" ht="15" hidden="false" customHeight="true" outlineLevel="0" collapsed="false">
      <c r="B119" s="64"/>
      <c r="C119" s="65" t="s">
        <v>25</v>
      </c>
      <c r="D119" s="66" t="n">
        <v>895</v>
      </c>
      <c r="E119" s="67"/>
      <c r="F119" s="67"/>
      <c r="G119" s="68"/>
      <c r="H119" s="69" t="n">
        <v>895</v>
      </c>
    </row>
    <row r="120" customFormat="false" ht="15" hidden="false" customHeight="true" outlineLevel="0" collapsed="false">
      <c r="B120" s="64"/>
      <c r="C120" s="65" t="s">
        <v>51</v>
      </c>
      <c r="D120" s="73"/>
      <c r="E120" s="67"/>
      <c r="F120" s="71" t="n">
        <v>550</v>
      </c>
      <c r="G120" s="68"/>
      <c r="H120" s="69" t="n">
        <v>550</v>
      </c>
    </row>
    <row r="121" customFormat="false" ht="15" hidden="false" customHeight="true" outlineLevel="0" collapsed="false">
      <c r="B121" s="64"/>
      <c r="C121" s="65" t="s">
        <v>22</v>
      </c>
      <c r="D121" s="66" t="n">
        <v>7766</v>
      </c>
      <c r="E121" s="67"/>
      <c r="F121" s="67"/>
      <c r="G121" s="68"/>
      <c r="H121" s="69" t="n">
        <v>7766</v>
      </c>
    </row>
    <row r="122" customFormat="false" ht="15" hidden="false" customHeight="true" outlineLevel="0" collapsed="false">
      <c r="B122" s="64"/>
      <c r="C122" s="65" t="s">
        <v>31</v>
      </c>
      <c r="D122" s="73"/>
      <c r="E122" s="67"/>
      <c r="F122" s="71" t="n">
        <v>415</v>
      </c>
      <c r="G122" s="68"/>
      <c r="H122" s="69" t="n">
        <v>415</v>
      </c>
    </row>
    <row r="123" customFormat="false" ht="15" hidden="false" customHeight="true" outlineLevel="0" collapsed="false">
      <c r="B123" s="64"/>
      <c r="C123" s="65" t="s">
        <v>34</v>
      </c>
      <c r="D123" s="73"/>
      <c r="E123" s="67"/>
      <c r="F123" s="71" t="n">
        <v>120</v>
      </c>
      <c r="G123" s="68"/>
      <c r="H123" s="69" t="n">
        <v>120</v>
      </c>
    </row>
    <row r="124" customFormat="false" ht="15" hidden="false" customHeight="true" outlineLevel="0" collapsed="false">
      <c r="B124" s="84"/>
      <c r="C124" s="85" t="s">
        <v>29</v>
      </c>
      <c r="D124" s="86" t="n">
        <v>454</v>
      </c>
      <c r="E124" s="75"/>
      <c r="F124" s="76" t="n">
        <v>1190</v>
      </c>
      <c r="G124" s="77"/>
      <c r="H124" s="78" t="n">
        <v>1644</v>
      </c>
    </row>
    <row r="125" customFormat="false" ht="15" hidden="false" customHeight="true" outlineLevel="0" collapsed="false">
      <c r="B125" s="87" t="s">
        <v>753</v>
      </c>
      <c r="C125" s="88"/>
      <c r="D125" s="89" t="n">
        <v>23098</v>
      </c>
      <c r="E125" s="89" t="n">
        <v>3500</v>
      </c>
      <c r="F125" s="89" t="n">
        <v>2540</v>
      </c>
      <c r="G125" s="90"/>
      <c r="H125" s="91" t="n">
        <v>29138</v>
      </c>
    </row>
    <row r="126" customFormat="false" ht="15" hidden="false" customHeight="true" outlineLevel="0" collapsed="false">
      <c r="B126" s="56" t="n">
        <v>45691</v>
      </c>
      <c r="C126" s="57" t="s">
        <v>47</v>
      </c>
      <c r="D126" s="92" t="n">
        <v>840</v>
      </c>
      <c r="E126" s="59"/>
      <c r="F126" s="59"/>
      <c r="G126" s="61"/>
      <c r="H126" s="62" t="n">
        <v>840</v>
      </c>
    </row>
    <row r="127" customFormat="false" ht="15" hidden="false" customHeight="true" outlineLevel="0" collapsed="false">
      <c r="B127" s="64"/>
      <c r="C127" s="65" t="s">
        <v>19</v>
      </c>
      <c r="D127" s="66" t="n">
        <v>4080</v>
      </c>
      <c r="E127" s="67"/>
      <c r="F127" s="67"/>
      <c r="G127" s="68"/>
      <c r="H127" s="69" t="n">
        <v>4080</v>
      </c>
    </row>
    <row r="128" customFormat="false" ht="15" hidden="false" customHeight="true" outlineLevel="0" collapsed="false">
      <c r="B128" s="64"/>
      <c r="C128" s="65" t="s">
        <v>25</v>
      </c>
      <c r="D128" s="66" t="n">
        <v>1073</v>
      </c>
      <c r="E128" s="67"/>
      <c r="F128" s="71" t="n">
        <v>825</v>
      </c>
      <c r="G128" s="68"/>
      <c r="H128" s="69" t="n">
        <v>1898</v>
      </c>
    </row>
    <row r="129" customFormat="false" ht="15" hidden="false" customHeight="true" outlineLevel="0" collapsed="false">
      <c r="B129" s="64"/>
      <c r="C129" s="65" t="s">
        <v>51</v>
      </c>
      <c r="D129" s="66" t="n">
        <v>2855</v>
      </c>
      <c r="E129" s="67"/>
      <c r="F129" s="67"/>
      <c r="G129" s="68"/>
      <c r="H129" s="69" t="n">
        <v>2855</v>
      </c>
    </row>
    <row r="130" customFormat="false" ht="15" hidden="false" customHeight="true" outlineLevel="0" collapsed="false">
      <c r="B130" s="64"/>
      <c r="C130" s="65" t="s">
        <v>50</v>
      </c>
      <c r="D130" s="66" t="n">
        <v>10920</v>
      </c>
      <c r="E130" s="67"/>
      <c r="F130" s="67"/>
      <c r="G130" s="68"/>
      <c r="H130" s="69" t="n">
        <v>10920</v>
      </c>
    </row>
    <row r="131" customFormat="false" ht="15" hidden="false" customHeight="true" outlineLevel="0" collapsed="false">
      <c r="B131" s="64"/>
      <c r="C131" s="65" t="s">
        <v>22</v>
      </c>
      <c r="D131" s="66" t="n">
        <v>3800</v>
      </c>
      <c r="E131" s="67"/>
      <c r="F131" s="67"/>
      <c r="G131" s="68"/>
      <c r="H131" s="69" t="n">
        <v>3800</v>
      </c>
    </row>
    <row r="132" customFormat="false" ht="15" hidden="false" customHeight="true" outlineLevel="0" collapsed="false">
      <c r="B132" s="64"/>
      <c r="C132" s="65" t="s">
        <v>67</v>
      </c>
      <c r="D132" s="73"/>
      <c r="E132" s="67"/>
      <c r="F132" s="71" t="n">
        <v>2000</v>
      </c>
      <c r="G132" s="68"/>
      <c r="H132" s="69" t="n">
        <v>2000</v>
      </c>
    </row>
    <row r="133" customFormat="false" ht="15" hidden="false" customHeight="true" outlineLevel="0" collapsed="false">
      <c r="B133" s="64"/>
      <c r="C133" s="65" t="s">
        <v>34</v>
      </c>
      <c r="D133" s="73"/>
      <c r="E133" s="67"/>
      <c r="F133" s="71" t="n">
        <v>90</v>
      </c>
      <c r="G133" s="68"/>
      <c r="H133" s="69" t="n">
        <v>90</v>
      </c>
    </row>
    <row r="134" customFormat="false" ht="15" hidden="false" customHeight="true" outlineLevel="0" collapsed="false">
      <c r="B134" s="84"/>
      <c r="C134" s="85" t="s">
        <v>29</v>
      </c>
      <c r="D134" s="86" t="n">
        <v>465</v>
      </c>
      <c r="E134" s="75"/>
      <c r="F134" s="75"/>
      <c r="G134" s="77"/>
      <c r="H134" s="78" t="n">
        <v>465</v>
      </c>
    </row>
    <row r="135" customFormat="false" ht="15" hidden="false" customHeight="true" outlineLevel="0" collapsed="false">
      <c r="B135" s="87" t="s">
        <v>754</v>
      </c>
      <c r="C135" s="88"/>
      <c r="D135" s="89" t="n">
        <v>24033</v>
      </c>
      <c r="E135" s="90"/>
      <c r="F135" s="89" t="n">
        <v>2915</v>
      </c>
      <c r="G135" s="90"/>
      <c r="H135" s="91" t="n">
        <v>26948</v>
      </c>
    </row>
    <row r="136" customFormat="false" ht="15" hidden="false" customHeight="true" outlineLevel="0" collapsed="false">
      <c r="B136" s="56" t="n">
        <v>45692</v>
      </c>
      <c r="C136" s="57" t="s">
        <v>32</v>
      </c>
      <c r="D136" s="58"/>
      <c r="E136" s="59"/>
      <c r="F136" s="60" t="n">
        <v>230</v>
      </c>
      <c r="G136" s="61"/>
      <c r="H136" s="62" t="n">
        <v>230</v>
      </c>
    </row>
    <row r="137" customFormat="false" ht="15" hidden="false" customHeight="true" outlineLevel="0" collapsed="false">
      <c r="B137" s="64"/>
      <c r="C137" s="65" t="s">
        <v>19</v>
      </c>
      <c r="D137" s="66" t="n">
        <v>2716</v>
      </c>
      <c r="E137" s="67"/>
      <c r="F137" s="67"/>
      <c r="G137" s="68"/>
      <c r="H137" s="69" t="n">
        <v>2716</v>
      </c>
    </row>
    <row r="138" customFormat="false" ht="15" hidden="false" customHeight="true" outlineLevel="0" collapsed="false">
      <c r="B138" s="64"/>
      <c r="C138" s="65" t="s">
        <v>25</v>
      </c>
      <c r="D138" s="66" t="n">
        <v>1748</v>
      </c>
      <c r="E138" s="67"/>
      <c r="F138" s="71" t="n">
        <v>550</v>
      </c>
      <c r="G138" s="68"/>
      <c r="H138" s="69" t="n">
        <v>2298</v>
      </c>
    </row>
    <row r="139" customFormat="false" ht="15" hidden="false" customHeight="true" outlineLevel="0" collapsed="false">
      <c r="B139" s="64"/>
      <c r="C139" s="65" t="s">
        <v>36</v>
      </c>
      <c r="D139" s="73"/>
      <c r="E139" s="67"/>
      <c r="F139" s="71" t="n">
        <v>30</v>
      </c>
      <c r="G139" s="68"/>
      <c r="H139" s="69" t="n">
        <v>30</v>
      </c>
    </row>
    <row r="140" customFormat="false" ht="15" hidden="false" customHeight="true" outlineLevel="0" collapsed="false">
      <c r="B140" s="64"/>
      <c r="C140" s="65" t="s">
        <v>22</v>
      </c>
      <c r="D140" s="66" t="n">
        <v>958</v>
      </c>
      <c r="E140" s="67"/>
      <c r="F140" s="67"/>
      <c r="G140" s="68"/>
      <c r="H140" s="69" t="n">
        <v>958</v>
      </c>
    </row>
    <row r="141" customFormat="false" ht="15" hidden="false" customHeight="true" outlineLevel="0" collapsed="false">
      <c r="B141" s="64"/>
      <c r="C141" s="65" t="s">
        <v>37</v>
      </c>
      <c r="D141" s="73"/>
      <c r="E141" s="67"/>
      <c r="F141" s="71" t="n">
        <v>38</v>
      </c>
      <c r="G141" s="68"/>
      <c r="H141" s="69" t="n">
        <v>38</v>
      </c>
    </row>
    <row r="142" customFormat="false" ht="15" hidden="false" customHeight="true" outlineLevel="0" collapsed="false">
      <c r="B142" s="64"/>
      <c r="C142" s="65" t="s">
        <v>34</v>
      </c>
      <c r="D142" s="73"/>
      <c r="E142" s="67"/>
      <c r="F142" s="71" t="n">
        <v>120</v>
      </c>
      <c r="G142" s="68"/>
      <c r="H142" s="69" t="n">
        <v>120</v>
      </c>
    </row>
    <row r="143" customFormat="false" ht="15" hidden="false" customHeight="true" outlineLevel="0" collapsed="false">
      <c r="B143" s="84"/>
      <c r="C143" s="85" t="s">
        <v>29</v>
      </c>
      <c r="D143" s="86" t="n">
        <v>506</v>
      </c>
      <c r="E143" s="75"/>
      <c r="F143" s="75"/>
      <c r="G143" s="77"/>
      <c r="H143" s="78" t="n">
        <v>506</v>
      </c>
    </row>
    <row r="144" customFormat="false" ht="15" hidden="false" customHeight="true" outlineLevel="0" collapsed="false">
      <c r="B144" s="87" t="s">
        <v>755</v>
      </c>
      <c r="C144" s="88"/>
      <c r="D144" s="89" t="n">
        <v>5928</v>
      </c>
      <c r="E144" s="90"/>
      <c r="F144" s="89" t="n">
        <v>968</v>
      </c>
      <c r="G144" s="90"/>
      <c r="H144" s="91" t="n">
        <v>6896</v>
      </c>
    </row>
    <row r="145" customFormat="false" ht="15" hidden="false" customHeight="true" outlineLevel="0" collapsed="false">
      <c r="B145" s="56" t="n">
        <v>45693</v>
      </c>
      <c r="C145" s="57" t="s">
        <v>44</v>
      </c>
      <c r="D145" s="92" t="n">
        <v>1500</v>
      </c>
      <c r="E145" s="60" t="n">
        <v>3000</v>
      </c>
      <c r="F145" s="60" t="n">
        <v>200</v>
      </c>
      <c r="G145" s="61"/>
      <c r="H145" s="62" t="n">
        <v>4700</v>
      </c>
    </row>
    <row r="146" customFormat="false" ht="15" hidden="false" customHeight="true" outlineLevel="0" collapsed="false">
      <c r="B146" s="64"/>
      <c r="C146" s="65" t="s">
        <v>53</v>
      </c>
      <c r="D146" s="73"/>
      <c r="E146" s="71" t="n">
        <v>2000</v>
      </c>
      <c r="F146" s="71" t="n">
        <v>160</v>
      </c>
      <c r="G146" s="68"/>
      <c r="H146" s="69" t="n">
        <v>2160</v>
      </c>
    </row>
    <row r="147" customFormat="false" ht="15" hidden="false" customHeight="true" outlineLevel="0" collapsed="false">
      <c r="B147" s="64"/>
      <c r="C147" s="65" t="s">
        <v>47</v>
      </c>
      <c r="D147" s="66" t="n">
        <v>840</v>
      </c>
      <c r="E147" s="67"/>
      <c r="F147" s="67"/>
      <c r="G147" s="68"/>
      <c r="H147" s="69" t="n">
        <v>840</v>
      </c>
    </row>
    <row r="148" customFormat="false" ht="15" hidden="false" customHeight="true" outlineLevel="0" collapsed="false">
      <c r="B148" s="64"/>
      <c r="C148" s="65" t="s">
        <v>19</v>
      </c>
      <c r="D148" s="66" t="n">
        <v>1571</v>
      </c>
      <c r="E148" s="67"/>
      <c r="F148" s="67"/>
      <c r="G148" s="68"/>
      <c r="H148" s="69" t="n">
        <v>1571</v>
      </c>
    </row>
    <row r="149" customFormat="false" ht="15" hidden="false" customHeight="true" outlineLevel="0" collapsed="false">
      <c r="B149" s="64"/>
      <c r="C149" s="65" t="s">
        <v>25</v>
      </c>
      <c r="D149" s="66" t="n">
        <v>838</v>
      </c>
      <c r="E149" s="67"/>
      <c r="F149" s="71" t="n">
        <v>40</v>
      </c>
      <c r="G149" s="68"/>
      <c r="H149" s="69" t="n">
        <v>878</v>
      </c>
    </row>
    <row r="150" customFormat="false" ht="15" hidden="false" customHeight="true" outlineLevel="0" collapsed="false">
      <c r="B150" s="64"/>
      <c r="C150" s="65" t="s">
        <v>51</v>
      </c>
      <c r="D150" s="66" t="n">
        <v>1160</v>
      </c>
      <c r="E150" s="67"/>
      <c r="F150" s="67"/>
      <c r="G150" s="68"/>
      <c r="H150" s="69" t="n">
        <v>1160</v>
      </c>
    </row>
    <row r="151" customFormat="false" ht="15" hidden="false" customHeight="true" outlineLevel="0" collapsed="false">
      <c r="B151" s="64"/>
      <c r="C151" s="65" t="s">
        <v>22</v>
      </c>
      <c r="D151" s="66" t="n">
        <v>375</v>
      </c>
      <c r="E151" s="67"/>
      <c r="F151" s="67"/>
      <c r="G151" s="68"/>
      <c r="H151" s="69" t="n">
        <v>375</v>
      </c>
    </row>
    <row r="152" customFormat="false" ht="15" hidden="false" customHeight="true" outlineLevel="0" collapsed="false">
      <c r="B152" s="64"/>
      <c r="C152" s="65" t="s">
        <v>34</v>
      </c>
      <c r="D152" s="73"/>
      <c r="E152" s="67"/>
      <c r="F152" s="71" t="n">
        <v>120</v>
      </c>
      <c r="G152" s="68"/>
      <c r="H152" s="69" t="n">
        <v>120</v>
      </c>
    </row>
    <row r="153" customFormat="false" ht="15" hidden="false" customHeight="true" outlineLevel="0" collapsed="false">
      <c r="B153" s="84"/>
      <c r="C153" s="85" t="s">
        <v>29</v>
      </c>
      <c r="D153" s="86" t="n">
        <v>203</v>
      </c>
      <c r="E153" s="75"/>
      <c r="F153" s="76" t="n">
        <v>20</v>
      </c>
      <c r="G153" s="77"/>
      <c r="H153" s="78" t="n">
        <v>223</v>
      </c>
    </row>
    <row r="154" customFormat="false" ht="15" hidden="false" customHeight="true" outlineLevel="0" collapsed="false">
      <c r="B154" s="87" t="s">
        <v>756</v>
      </c>
      <c r="C154" s="88"/>
      <c r="D154" s="89" t="n">
        <v>6487</v>
      </c>
      <c r="E154" s="89" t="n">
        <v>5000</v>
      </c>
      <c r="F154" s="89" t="n">
        <v>540</v>
      </c>
      <c r="G154" s="90"/>
      <c r="H154" s="91" t="n">
        <v>12027</v>
      </c>
    </row>
    <row r="155" customFormat="false" ht="15" hidden="false" customHeight="true" outlineLevel="0" collapsed="false">
      <c r="B155" s="56" t="n">
        <v>45694</v>
      </c>
      <c r="C155" s="57" t="s">
        <v>47</v>
      </c>
      <c r="D155" s="92" t="n">
        <v>840</v>
      </c>
      <c r="E155" s="59"/>
      <c r="F155" s="59"/>
      <c r="G155" s="61"/>
      <c r="H155" s="62" t="n">
        <v>840</v>
      </c>
    </row>
    <row r="156" customFormat="false" ht="15" hidden="false" customHeight="true" outlineLevel="0" collapsed="false">
      <c r="B156" s="64"/>
      <c r="C156" s="65" t="s">
        <v>19</v>
      </c>
      <c r="D156" s="66" t="n">
        <v>4135</v>
      </c>
      <c r="E156" s="67"/>
      <c r="F156" s="67"/>
      <c r="G156" s="68"/>
      <c r="H156" s="69" t="n">
        <v>4135</v>
      </c>
    </row>
    <row r="157" customFormat="false" ht="15" hidden="false" customHeight="true" outlineLevel="0" collapsed="false">
      <c r="B157" s="64"/>
      <c r="C157" s="65" t="s">
        <v>25</v>
      </c>
      <c r="D157" s="66" t="n">
        <v>803</v>
      </c>
      <c r="E157" s="67"/>
      <c r="F157" s="67"/>
      <c r="G157" s="68"/>
      <c r="H157" s="69" t="n">
        <v>803</v>
      </c>
    </row>
    <row r="158" customFormat="false" ht="15" hidden="false" customHeight="true" outlineLevel="0" collapsed="false">
      <c r="B158" s="64"/>
      <c r="C158" s="65" t="s">
        <v>28</v>
      </c>
      <c r="D158" s="73"/>
      <c r="E158" s="67"/>
      <c r="F158" s="71" t="n">
        <v>757</v>
      </c>
      <c r="G158" s="68"/>
      <c r="H158" s="69" t="n">
        <v>757</v>
      </c>
    </row>
    <row r="159" customFormat="false" ht="15" hidden="false" customHeight="true" outlineLevel="0" collapsed="false">
      <c r="B159" s="64"/>
      <c r="C159" s="65" t="s">
        <v>22</v>
      </c>
      <c r="D159" s="66" t="n">
        <v>4283</v>
      </c>
      <c r="E159" s="67"/>
      <c r="F159" s="67"/>
      <c r="G159" s="68"/>
      <c r="H159" s="69" t="n">
        <v>4283</v>
      </c>
    </row>
    <row r="160" customFormat="false" ht="15" hidden="false" customHeight="true" outlineLevel="0" collapsed="false">
      <c r="B160" s="64"/>
      <c r="C160" s="65" t="s">
        <v>60</v>
      </c>
      <c r="D160" s="73"/>
      <c r="E160" s="67"/>
      <c r="F160" s="71" t="n">
        <v>210</v>
      </c>
      <c r="G160" s="68"/>
      <c r="H160" s="69" t="n">
        <v>210</v>
      </c>
    </row>
    <row r="161" customFormat="false" ht="15" hidden="false" customHeight="true" outlineLevel="0" collapsed="false">
      <c r="B161" s="64"/>
      <c r="C161" s="65" t="s">
        <v>34</v>
      </c>
      <c r="D161" s="73"/>
      <c r="E161" s="67"/>
      <c r="F161" s="71" t="n">
        <v>83</v>
      </c>
      <c r="G161" s="68"/>
      <c r="H161" s="69" t="n">
        <v>83</v>
      </c>
    </row>
    <row r="162" customFormat="false" ht="15" hidden="false" customHeight="true" outlineLevel="0" collapsed="false">
      <c r="B162" s="84"/>
      <c r="C162" s="85" t="s">
        <v>29</v>
      </c>
      <c r="D162" s="86" t="n">
        <v>700</v>
      </c>
      <c r="E162" s="75"/>
      <c r="F162" s="75"/>
      <c r="G162" s="77"/>
      <c r="H162" s="78" t="n">
        <v>700</v>
      </c>
    </row>
    <row r="163" customFormat="false" ht="15" hidden="false" customHeight="true" outlineLevel="0" collapsed="false">
      <c r="B163" s="87" t="s">
        <v>757</v>
      </c>
      <c r="C163" s="88"/>
      <c r="D163" s="89" t="n">
        <v>10761</v>
      </c>
      <c r="E163" s="90"/>
      <c r="F163" s="89" t="n">
        <v>1050</v>
      </c>
      <c r="G163" s="90"/>
      <c r="H163" s="91" t="n">
        <v>11811</v>
      </c>
    </row>
    <row r="164" customFormat="false" ht="15" hidden="false" customHeight="true" outlineLevel="0" collapsed="false">
      <c r="B164" s="56" t="n">
        <v>45695</v>
      </c>
      <c r="C164" s="57" t="s">
        <v>19</v>
      </c>
      <c r="D164" s="92" t="n">
        <v>2440</v>
      </c>
      <c r="E164" s="59"/>
      <c r="F164" s="59"/>
      <c r="G164" s="61"/>
      <c r="H164" s="62" t="n">
        <v>2440</v>
      </c>
    </row>
    <row r="165" customFormat="false" ht="15" hidden="false" customHeight="true" outlineLevel="0" collapsed="false">
      <c r="B165" s="64"/>
      <c r="C165" s="65" t="s">
        <v>25</v>
      </c>
      <c r="D165" s="66" t="n">
        <v>1491</v>
      </c>
      <c r="E165" s="67"/>
      <c r="F165" s="71" t="n">
        <v>38</v>
      </c>
      <c r="G165" s="68"/>
      <c r="H165" s="69" t="n">
        <v>1529</v>
      </c>
    </row>
    <row r="166" customFormat="false" ht="15" hidden="false" customHeight="true" outlineLevel="0" collapsed="false">
      <c r="B166" s="64"/>
      <c r="C166" s="65" t="s">
        <v>22</v>
      </c>
      <c r="D166" s="66" t="n">
        <v>475</v>
      </c>
      <c r="E166" s="67"/>
      <c r="F166" s="67"/>
      <c r="G166" s="68"/>
      <c r="H166" s="69" t="n">
        <v>475</v>
      </c>
    </row>
    <row r="167" customFormat="false" ht="15" hidden="false" customHeight="true" outlineLevel="0" collapsed="false">
      <c r="B167" s="64"/>
      <c r="C167" s="65" t="s">
        <v>37</v>
      </c>
      <c r="D167" s="73"/>
      <c r="E167" s="67"/>
      <c r="F167" s="71" t="n">
        <v>10</v>
      </c>
      <c r="G167" s="68"/>
      <c r="H167" s="69" t="n">
        <v>10</v>
      </c>
    </row>
    <row r="168" customFormat="false" ht="15" hidden="false" customHeight="true" outlineLevel="0" collapsed="false">
      <c r="B168" s="64"/>
      <c r="C168" s="65" t="s">
        <v>43</v>
      </c>
      <c r="D168" s="73"/>
      <c r="E168" s="67"/>
      <c r="F168" s="71" t="n">
        <v>240</v>
      </c>
      <c r="G168" s="68"/>
      <c r="H168" s="69" t="n">
        <v>240</v>
      </c>
    </row>
    <row r="169" customFormat="false" ht="15" hidden="false" customHeight="true" outlineLevel="0" collapsed="false">
      <c r="B169" s="64"/>
      <c r="C169" s="65" t="s">
        <v>40</v>
      </c>
      <c r="D169" s="73"/>
      <c r="E169" s="67"/>
      <c r="F169" s="71" t="n">
        <v>1480</v>
      </c>
      <c r="G169" s="68"/>
      <c r="H169" s="69" t="n">
        <v>1480</v>
      </c>
    </row>
    <row r="170" customFormat="false" ht="15" hidden="false" customHeight="true" outlineLevel="0" collapsed="false">
      <c r="B170" s="64"/>
      <c r="C170" s="65" t="s">
        <v>34</v>
      </c>
      <c r="D170" s="73"/>
      <c r="E170" s="67"/>
      <c r="F170" s="71" t="n">
        <v>100</v>
      </c>
      <c r="G170" s="68"/>
      <c r="H170" s="69" t="n">
        <v>100</v>
      </c>
    </row>
    <row r="171" customFormat="false" ht="15" hidden="false" customHeight="true" outlineLevel="0" collapsed="false">
      <c r="B171" s="84"/>
      <c r="C171" s="85" t="s">
        <v>29</v>
      </c>
      <c r="D171" s="86" t="n">
        <v>549</v>
      </c>
      <c r="E171" s="75"/>
      <c r="F171" s="76" t="n">
        <v>60</v>
      </c>
      <c r="G171" s="77"/>
      <c r="H171" s="78" t="n">
        <v>609</v>
      </c>
    </row>
    <row r="172" customFormat="false" ht="15" hidden="false" customHeight="true" outlineLevel="0" collapsed="false">
      <c r="B172" s="87" t="s">
        <v>758</v>
      </c>
      <c r="C172" s="88"/>
      <c r="D172" s="89" t="n">
        <v>4955</v>
      </c>
      <c r="E172" s="90"/>
      <c r="F172" s="89" t="n">
        <v>1928</v>
      </c>
      <c r="G172" s="90"/>
      <c r="H172" s="91" t="n">
        <v>6883</v>
      </c>
    </row>
    <row r="173" customFormat="false" ht="15" hidden="false" customHeight="true" outlineLevel="0" collapsed="false">
      <c r="B173" s="56" t="n">
        <v>45696</v>
      </c>
      <c r="C173" s="57" t="s">
        <v>53</v>
      </c>
      <c r="D173" s="58"/>
      <c r="E173" s="60" t="n">
        <v>1300</v>
      </c>
      <c r="F173" s="60" t="n">
        <v>20</v>
      </c>
      <c r="G173" s="61"/>
      <c r="H173" s="62" t="n">
        <v>1320</v>
      </c>
    </row>
    <row r="174" customFormat="false" ht="15" hidden="false" customHeight="true" outlineLevel="0" collapsed="false">
      <c r="B174" s="64"/>
      <c r="C174" s="65" t="s">
        <v>47</v>
      </c>
      <c r="D174" s="66" t="n">
        <v>1680</v>
      </c>
      <c r="E174" s="67"/>
      <c r="F174" s="67"/>
      <c r="G174" s="68"/>
      <c r="H174" s="69" t="n">
        <v>1680</v>
      </c>
    </row>
    <row r="175" customFormat="false" ht="15" hidden="false" customHeight="true" outlineLevel="0" collapsed="false">
      <c r="B175" s="64"/>
      <c r="C175" s="65" t="s">
        <v>19</v>
      </c>
      <c r="D175" s="66" t="n">
        <v>5685</v>
      </c>
      <c r="E175" s="67"/>
      <c r="F175" s="67"/>
      <c r="G175" s="68"/>
      <c r="H175" s="69" t="n">
        <v>5685</v>
      </c>
    </row>
    <row r="176" customFormat="false" ht="15" hidden="false" customHeight="true" outlineLevel="0" collapsed="false">
      <c r="B176" s="64"/>
      <c r="C176" s="65" t="s">
        <v>25</v>
      </c>
      <c r="D176" s="66" t="n">
        <v>625</v>
      </c>
      <c r="E176" s="67"/>
      <c r="F176" s="71" t="n">
        <v>38</v>
      </c>
      <c r="G176" s="68"/>
      <c r="H176" s="69" t="n">
        <v>663</v>
      </c>
    </row>
    <row r="177" customFormat="false" ht="15" hidden="false" customHeight="true" outlineLevel="0" collapsed="false">
      <c r="B177" s="64"/>
      <c r="C177" s="65" t="s">
        <v>22</v>
      </c>
      <c r="D177" s="66" t="n">
        <v>2290</v>
      </c>
      <c r="E177" s="67"/>
      <c r="F177" s="67"/>
      <c r="G177" s="68"/>
      <c r="H177" s="69" t="n">
        <v>2290</v>
      </c>
    </row>
    <row r="178" customFormat="false" ht="15" hidden="false" customHeight="true" outlineLevel="0" collapsed="false">
      <c r="B178" s="64"/>
      <c r="C178" s="65" t="s">
        <v>102</v>
      </c>
      <c r="D178" s="66" t="n">
        <v>600</v>
      </c>
      <c r="E178" s="67"/>
      <c r="F178" s="67"/>
      <c r="G178" s="68"/>
      <c r="H178" s="69" t="n">
        <v>600</v>
      </c>
    </row>
    <row r="179" customFormat="false" ht="15" hidden="false" customHeight="true" outlineLevel="0" collapsed="false">
      <c r="B179" s="64"/>
      <c r="C179" s="65" t="s">
        <v>37</v>
      </c>
      <c r="D179" s="73"/>
      <c r="E179" s="67"/>
      <c r="F179" s="71" t="n">
        <v>20</v>
      </c>
      <c r="G179" s="68"/>
      <c r="H179" s="69" t="n">
        <v>20</v>
      </c>
    </row>
    <row r="180" customFormat="false" ht="15" hidden="false" customHeight="true" outlineLevel="0" collapsed="false">
      <c r="B180" s="64"/>
      <c r="C180" s="65" t="s">
        <v>107</v>
      </c>
      <c r="D180" s="73"/>
      <c r="E180" s="67"/>
      <c r="F180" s="71" t="n">
        <v>20</v>
      </c>
      <c r="G180" s="68"/>
      <c r="H180" s="69" t="n">
        <v>20</v>
      </c>
    </row>
    <row r="181" customFormat="false" ht="15" hidden="false" customHeight="true" outlineLevel="0" collapsed="false">
      <c r="B181" s="64"/>
      <c r="C181" s="65" t="s">
        <v>40</v>
      </c>
      <c r="D181" s="73"/>
      <c r="E181" s="71" t="n">
        <v>400</v>
      </c>
      <c r="F181" s="67"/>
      <c r="G181" s="68"/>
      <c r="H181" s="69" t="n">
        <v>400</v>
      </c>
    </row>
    <row r="182" customFormat="false" ht="15" hidden="false" customHeight="true" outlineLevel="0" collapsed="false">
      <c r="B182" s="64"/>
      <c r="C182" s="65" t="s">
        <v>34</v>
      </c>
      <c r="D182" s="73"/>
      <c r="E182" s="67"/>
      <c r="F182" s="71" t="n">
        <v>100</v>
      </c>
      <c r="G182" s="68"/>
      <c r="H182" s="69" t="n">
        <v>100</v>
      </c>
    </row>
    <row r="183" customFormat="false" ht="15" hidden="false" customHeight="true" outlineLevel="0" collapsed="false">
      <c r="B183" s="84"/>
      <c r="C183" s="85" t="s">
        <v>29</v>
      </c>
      <c r="D183" s="86" t="n">
        <v>532</v>
      </c>
      <c r="E183" s="75"/>
      <c r="F183" s="76" t="n">
        <v>30</v>
      </c>
      <c r="G183" s="77"/>
      <c r="H183" s="78" t="n">
        <v>562</v>
      </c>
    </row>
    <row r="184" customFormat="false" ht="15" hidden="false" customHeight="true" outlineLevel="0" collapsed="false">
      <c r="B184" s="87" t="s">
        <v>759</v>
      </c>
      <c r="C184" s="88"/>
      <c r="D184" s="89" t="n">
        <v>11412</v>
      </c>
      <c r="E184" s="89" t="n">
        <v>1700</v>
      </c>
      <c r="F184" s="89" t="n">
        <v>228</v>
      </c>
      <c r="G184" s="90"/>
      <c r="H184" s="91" t="n">
        <v>13340</v>
      </c>
    </row>
    <row r="185" customFormat="false" ht="15" hidden="false" customHeight="true" outlineLevel="0" collapsed="false">
      <c r="B185" s="56" t="n">
        <v>45697</v>
      </c>
      <c r="C185" s="57" t="s">
        <v>44</v>
      </c>
      <c r="D185" s="58"/>
      <c r="E185" s="60" t="n">
        <v>3100</v>
      </c>
      <c r="F185" s="59"/>
      <c r="G185" s="61"/>
      <c r="H185" s="62" t="n">
        <v>3100</v>
      </c>
    </row>
    <row r="186" customFormat="false" ht="15" hidden="false" customHeight="true" outlineLevel="0" collapsed="false">
      <c r="B186" s="64"/>
      <c r="C186" s="65" t="s">
        <v>32</v>
      </c>
      <c r="D186" s="73"/>
      <c r="E186" s="71" t="n">
        <v>750</v>
      </c>
      <c r="F186" s="67"/>
      <c r="G186" s="68"/>
      <c r="H186" s="69" t="n">
        <v>750</v>
      </c>
    </row>
    <row r="187" customFormat="false" ht="15" hidden="false" customHeight="true" outlineLevel="0" collapsed="false">
      <c r="B187" s="64"/>
      <c r="C187" s="65" t="s">
        <v>118</v>
      </c>
      <c r="D187" s="73"/>
      <c r="E187" s="67"/>
      <c r="F187" s="71" t="n">
        <v>455</v>
      </c>
      <c r="G187" s="68"/>
      <c r="H187" s="69" t="n">
        <v>455</v>
      </c>
    </row>
    <row r="188" customFormat="false" ht="15" hidden="false" customHeight="true" outlineLevel="0" collapsed="false">
      <c r="B188" s="64"/>
      <c r="C188" s="65" t="s">
        <v>19</v>
      </c>
      <c r="D188" s="66" t="n">
        <v>2967</v>
      </c>
      <c r="E188" s="67"/>
      <c r="F188" s="67"/>
      <c r="G188" s="68"/>
      <c r="H188" s="69" t="n">
        <v>2967</v>
      </c>
    </row>
    <row r="189" customFormat="false" ht="15" hidden="false" customHeight="true" outlineLevel="0" collapsed="false">
      <c r="B189" s="64"/>
      <c r="C189" s="65" t="s">
        <v>25</v>
      </c>
      <c r="D189" s="66" t="n">
        <v>1731</v>
      </c>
      <c r="E189" s="67"/>
      <c r="F189" s="67"/>
      <c r="G189" s="68"/>
      <c r="H189" s="69" t="n">
        <v>1731</v>
      </c>
    </row>
    <row r="190" customFormat="false" ht="15" hidden="false" customHeight="true" outlineLevel="0" collapsed="false">
      <c r="B190" s="64"/>
      <c r="C190" s="65" t="s">
        <v>51</v>
      </c>
      <c r="D190" s="66" t="n">
        <v>1405</v>
      </c>
      <c r="E190" s="67"/>
      <c r="F190" s="67"/>
      <c r="G190" s="68"/>
      <c r="H190" s="69" t="n">
        <v>1405</v>
      </c>
    </row>
    <row r="191" customFormat="false" ht="15" hidden="false" customHeight="true" outlineLevel="0" collapsed="false">
      <c r="B191" s="64"/>
      <c r="C191" s="65" t="s">
        <v>22</v>
      </c>
      <c r="D191" s="66" t="n">
        <v>3900</v>
      </c>
      <c r="E191" s="67"/>
      <c r="F191" s="67"/>
      <c r="G191" s="68"/>
      <c r="H191" s="69" t="n">
        <v>3900</v>
      </c>
    </row>
    <row r="192" customFormat="false" ht="15" hidden="false" customHeight="true" outlineLevel="0" collapsed="false">
      <c r="B192" s="64"/>
      <c r="C192" s="65" t="s">
        <v>37</v>
      </c>
      <c r="D192" s="73"/>
      <c r="E192" s="67"/>
      <c r="F192" s="71" t="n">
        <v>70</v>
      </c>
      <c r="G192" s="68"/>
      <c r="H192" s="69" t="n">
        <v>70</v>
      </c>
    </row>
    <row r="193" customFormat="false" ht="15" hidden="false" customHeight="true" outlineLevel="0" collapsed="false">
      <c r="B193" s="64"/>
      <c r="C193" s="65" t="s">
        <v>34</v>
      </c>
      <c r="D193" s="73"/>
      <c r="E193" s="71" t="n">
        <v>125</v>
      </c>
      <c r="F193" s="67"/>
      <c r="G193" s="68"/>
      <c r="H193" s="69" t="n">
        <v>125</v>
      </c>
    </row>
    <row r="194" customFormat="false" ht="15" hidden="false" customHeight="true" outlineLevel="0" collapsed="false">
      <c r="B194" s="84"/>
      <c r="C194" s="85" t="s">
        <v>29</v>
      </c>
      <c r="D194" s="86" t="n">
        <v>606</v>
      </c>
      <c r="E194" s="76" t="n">
        <v>120</v>
      </c>
      <c r="F194" s="75"/>
      <c r="G194" s="77"/>
      <c r="H194" s="78" t="n">
        <v>726</v>
      </c>
    </row>
    <row r="195" customFormat="false" ht="15" hidden="false" customHeight="true" outlineLevel="0" collapsed="false">
      <c r="B195" s="87" t="s">
        <v>760</v>
      </c>
      <c r="C195" s="88"/>
      <c r="D195" s="89" t="n">
        <v>10609</v>
      </c>
      <c r="E195" s="89" t="n">
        <v>4095</v>
      </c>
      <c r="F195" s="89" t="n">
        <v>525</v>
      </c>
      <c r="G195" s="90"/>
      <c r="H195" s="91" t="n">
        <v>15229</v>
      </c>
    </row>
    <row r="196" customFormat="false" ht="15" hidden="false" customHeight="true" outlineLevel="0" collapsed="false">
      <c r="B196" s="56" t="n">
        <v>45698</v>
      </c>
      <c r="C196" s="57" t="s">
        <v>13</v>
      </c>
      <c r="D196" s="58"/>
      <c r="E196" s="60" t="n">
        <v>6000</v>
      </c>
      <c r="F196" s="59"/>
      <c r="G196" s="61"/>
      <c r="H196" s="62" t="n">
        <v>6000</v>
      </c>
    </row>
    <row r="197" customFormat="false" ht="15" hidden="false" customHeight="true" outlineLevel="0" collapsed="false">
      <c r="B197" s="64"/>
      <c r="C197" s="65" t="s">
        <v>47</v>
      </c>
      <c r="D197" s="66" t="n">
        <v>840</v>
      </c>
      <c r="E197" s="67"/>
      <c r="F197" s="67"/>
      <c r="G197" s="68"/>
      <c r="H197" s="69" t="n">
        <v>840</v>
      </c>
    </row>
    <row r="198" customFormat="false" ht="15" hidden="false" customHeight="true" outlineLevel="0" collapsed="false">
      <c r="B198" s="64"/>
      <c r="C198" s="65" t="s">
        <v>19</v>
      </c>
      <c r="D198" s="66" t="n">
        <v>4840</v>
      </c>
      <c r="E198" s="67"/>
      <c r="F198" s="67"/>
      <c r="G198" s="68"/>
      <c r="H198" s="69" t="n">
        <v>4840</v>
      </c>
    </row>
    <row r="199" customFormat="false" ht="15" hidden="false" customHeight="true" outlineLevel="0" collapsed="false">
      <c r="B199" s="64"/>
      <c r="C199" s="65" t="s">
        <v>25</v>
      </c>
      <c r="D199" s="66" t="n">
        <v>1270</v>
      </c>
      <c r="E199" s="67"/>
      <c r="F199" s="67"/>
      <c r="G199" s="68"/>
      <c r="H199" s="69" t="n">
        <v>1270</v>
      </c>
    </row>
    <row r="200" customFormat="false" ht="15" hidden="false" customHeight="true" outlineLevel="0" collapsed="false">
      <c r="B200" s="64"/>
      <c r="C200" s="65" t="s">
        <v>22</v>
      </c>
      <c r="D200" s="66" t="n">
        <v>3083</v>
      </c>
      <c r="E200" s="67"/>
      <c r="F200" s="67"/>
      <c r="G200" s="68"/>
      <c r="H200" s="69" t="n">
        <v>3083</v>
      </c>
    </row>
    <row r="201" customFormat="false" ht="15" hidden="false" customHeight="true" outlineLevel="0" collapsed="false">
      <c r="B201" s="64"/>
      <c r="C201" s="65" t="s">
        <v>37</v>
      </c>
      <c r="D201" s="73"/>
      <c r="E201" s="67"/>
      <c r="F201" s="71" t="n">
        <v>30</v>
      </c>
      <c r="G201" s="68"/>
      <c r="H201" s="69" t="n">
        <v>30</v>
      </c>
    </row>
    <row r="202" customFormat="false" ht="15" hidden="false" customHeight="true" outlineLevel="0" collapsed="false">
      <c r="B202" s="64"/>
      <c r="C202" s="65" t="s">
        <v>34</v>
      </c>
      <c r="D202" s="73"/>
      <c r="E202" s="71" t="n">
        <v>105</v>
      </c>
      <c r="F202" s="67"/>
      <c r="G202" s="68"/>
      <c r="H202" s="69" t="n">
        <v>105</v>
      </c>
    </row>
    <row r="203" customFormat="false" ht="15" hidden="false" customHeight="true" outlineLevel="0" collapsed="false">
      <c r="B203" s="84"/>
      <c r="C203" s="85" t="s">
        <v>29</v>
      </c>
      <c r="D203" s="86" t="n">
        <v>428</v>
      </c>
      <c r="E203" s="76" t="n">
        <v>1730</v>
      </c>
      <c r="F203" s="75"/>
      <c r="G203" s="77"/>
      <c r="H203" s="78" t="n">
        <v>2158</v>
      </c>
    </row>
    <row r="204" customFormat="false" ht="15" hidden="false" customHeight="true" outlineLevel="0" collapsed="false">
      <c r="B204" s="87" t="s">
        <v>761</v>
      </c>
      <c r="C204" s="88"/>
      <c r="D204" s="89" t="n">
        <v>10461</v>
      </c>
      <c r="E204" s="89" t="n">
        <v>7835</v>
      </c>
      <c r="F204" s="89" t="n">
        <v>30</v>
      </c>
      <c r="G204" s="90"/>
      <c r="H204" s="91" t="n">
        <v>18326</v>
      </c>
    </row>
    <row r="205" customFormat="false" ht="15" hidden="false" customHeight="true" outlineLevel="0" collapsed="false">
      <c r="B205" s="56" t="n">
        <v>45699</v>
      </c>
      <c r="C205" s="57" t="s">
        <v>44</v>
      </c>
      <c r="D205" s="58"/>
      <c r="E205" s="60" t="n">
        <v>500</v>
      </c>
      <c r="F205" s="59"/>
      <c r="G205" s="61"/>
      <c r="H205" s="62" t="n">
        <v>500</v>
      </c>
    </row>
    <row r="206" customFormat="false" ht="15" hidden="false" customHeight="true" outlineLevel="0" collapsed="false">
      <c r="B206" s="64"/>
      <c r="C206" s="65" t="s">
        <v>19</v>
      </c>
      <c r="D206" s="66" t="n">
        <v>1830</v>
      </c>
      <c r="E206" s="67"/>
      <c r="F206" s="67"/>
      <c r="G206" s="68"/>
      <c r="H206" s="69" t="n">
        <v>1830</v>
      </c>
    </row>
    <row r="207" customFormat="false" ht="15" hidden="false" customHeight="true" outlineLevel="0" collapsed="false">
      <c r="B207" s="64"/>
      <c r="C207" s="65" t="s">
        <v>25</v>
      </c>
      <c r="D207" s="66" t="n">
        <v>1308</v>
      </c>
      <c r="E207" s="71" t="n">
        <v>38</v>
      </c>
      <c r="F207" s="67"/>
      <c r="G207" s="68"/>
      <c r="H207" s="69" t="n">
        <v>1346</v>
      </c>
    </row>
    <row r="208" customFormat="false" ht="15" hidden="false" customHeight="true" outlineLevel="0" collapsed="false">
      <c r="B208" s="64"/>
      <c r="C208" s="65" t="s">
        <v>28</v>
      </c>
      <c r="D208" s="73"/>
      <c r="E208" s="67"/>
      <c r="F208" s="71" t="n">
        <v>1040</v>
      </c>
      <c r="G208" s="68"/>
      <c r="H208" s="69" t="n">
        <v>1040</v>
      </c>
    </row>
    <row r="209" customFormat="false" ht="15" hidden="false" customHeight="true" outlineLevel="0" collapsed="false">
      <c r="B209" s="64"/>
      <c r="C209" s="65" t="s">
        <v>22</v>
      </c>
      <c r="D209" s="66" t="n">
        <v>2714</v>
      </c>
      <c r="E209" s="71" t="n">
        <v>640</v>
      </c>
      <c r="F209" s="67"/>
      <c r="G209" s="68"/>
      <c r="H209" s="69" t="n">
        <v>3354</v>
      </c>
    </row>
    <row r="210" customFormat="false" ht="15" hidden="false" customHeight="true" outlineLevel="0" collapsed="false">
      <c r="B210" s="64"/>
      <c r="C210" s="65" t="s">
        <v>37</v>
      </c>
      <c r="D210" s="73"/>
      <c r="E210" s="67"/>
      <c r="F210" s="71" t="n">
        <v>40</v>
      </c>
      <c r="G210" s="68"/>
      <c r="H210" s="69" t="n">
        <v>40</v>
      </c>
    </row>
    <row r="211" customFormat="false" ht="15" hidden="false" customHeight="true" outlineLevel="0" collapsed="false">
      <c r="B211" s="64"/>
      <c r="C211" s="65" t="s">
        <v>34</v>
      </c>
      <c r="D211" s="73"/>
      <c r="E211" s="71" t="n">
        <v>105</v>
      </c>
      <c r="F211" s="67"/>
      <c r="G211" s="68"/>
      <c r="H211" s="69" t="n">
        <v>105</v>
      </c>
    </row>
    <row r="212" customFormat="false" ht="15" hidden="false" customHeight="true" outlineLevel="0" collapsed="false">
      <c r="B212" s="84"/>
      <c r="C212" s="85" t="s">
        <v>29</v>
      </c>
      <c r="D212" s="86" t="n">
        <v>494</v>
      </c>
      <c r="E212" s="75"/>
      <c r="F212" s="76" t="n">
        <v>20</v>
      </c>
      <c r="G212" s="77"/>
      <c r="H212" s="78" t="n">
        <v>514</v>
      </c>
    </row>
    <row r="213" customFormat="false" ht="15" hidden="false" customHeight="true" outlineLevel="0" collapsed="false">
      <c r="B213" s="87" t="s">
        <v>762</v>
      </c>
      <c r="C213" s="88"/>
      <c r="D213" s="89" t="n">
        <v>6346</v>
      </c>
      <c r="E213" s="89" t="n">
        <v>1283</v>
      </c>
      <c r="F213" s="89" t="n">
        <v>1100</v>
      </c>
      <c r="G213" s="90"/>
      <c r="H213" s="91" t="n">
        <v>8729</v>
      </c>
    </row>
    <row r="214" customFormat="false" ht="15" hidden="false" customHeight="true" outlineLevel="0" collapsed="false">
      <c r="B214" s="56" t="n">
        <v>45700</v>
      </c>
      <c r="C214" s="57" t="s">
        <v>118</v>
      </c>
      <c r="D214" s="58"/>
      <c r="E214" s="59"/>
      <c r="F214" s="60" t="n">
        <v>1940</v>
      </c>
      <c r="G214" s="61"/>
      <c r="H214" s="62" t="n">
        <v>1940</v>
      </c>
    </row>
    <row r="215" customFormat="false" ht="15" hidden="false" customHeight="true" outlineLevel="0" collapsed="false">
      <c r="B215" s="64"/>
      <c r="C215" s="65" t="s">
        <v>19</v>
      </c>
      <c r="D215" s="66" t="n">
        <v>4559</v>
      </c>
      <c r="E215" s="67"/>
      <c r="F215" s="67"/>
      <c r="G215" s="68"/>
      <c r="H215" s="69" t="n">
        <v>4559</v>
      </c>
    </row>
    <row r="216" customFormat="false" ht="15" hidden="false" customHeight="true" outlineLevel="0" collapsed="false">
      <c r="B216" s="64"/>
      <c r="C216" s="65" t="s">
        <v>25</v>
      </c>
      <c r="D216" s="66" t="n">
        <v>970</v>
      </c>
      <c r="E216" s="71" t="n">
        <v>300</v>
      </c>
      <c r="F216" s="67"/>
      <c r="G216" s="68"/>
      <c r="H216" s="69" t="n">
        <v>1270</v>
      </c>
    </row>
    <row r="217" customFormat="false" ht="15" hidden="false" customHeight="true" outlineLevel="0" collapsed="false">
      <c r="B217" s="64"/>
      <c r="C217" s="65" t="s">
        <v>34</v>
      </c>
      <c r="D217" s="73"/>
      <c r="E217" s="71" t="n">
        <v>100</v>
      </c>
      <c r="F217" s="67"/>
      <c r="G217" s="68"/>
      <c r="H217" s="69" t="n">
        <v>100</v>
      </c>
    </row>
    <row r="218" customFormat="false" ht="15" hidden="false" customHeight="true" outlineLevel="0" collapsed="false">
      <c r="B218" s="84"/>
      <c r="C218" s="85" t="s">
        <v>29</v>
      </c>
      <c r="D218" s="86" t="n">
        <v>356</v>
      </c>
      <c r="E218" s="76" t="n">
        <v>70</v>
      </c>
      <c r="F218" s="76" t="n">
        <v>10</v>
      </c>
      <c r="G218" s="77"/>
      <c r="H218" s="78" t="n">
        <v>436</v>
      </c>
    </row>
    <row r="219" customFormat="false" ht="15" hidden="false" customHeight="true" outlineLevel="0" collapsed="false">
      <c r="B219" s="87" t="s">
        <v>763</v>
      </c>
      <c r="C219" s="88"/>
      <c r="D219" s="89" t="n">
        <v>5885</v>
      </c>
      <c r="E219" s="89" t="n">
        <v>470</v>
      </c>
      <c r="F219" s="89" t="n">
        <v>1950</v>
      </c>
      <c r="G219" s="90"/>
      <c r="H219" s="91" t="n">
        <v>8305</v>
      </c>
    </row>
    <row r="220" customFormat="false" ht="15" hidden="false" customHeight="true" outlineLevel="0" collapsed="false">
      <c r="B220" s="56" t="n">
        <v>45701</v>
      </c>
      <c r="C220" s="57" t="s">
        <v>32</v>
      </c>
      <c r="D220" s="58"/>
      <c r="E220" s="60" t="n">
        <v>162</v>
      </c>
      <c r="F220" s="59"/>
      <c r="G220" s="61"/>
      <c r="H220" s="62" t="n">
        <v>162</v>
      </c>
    </row>
    <row r="221" customFormat="false" ht="15" hidden="false" customHeight="true" outlineLevel="0" collapsed="false">
      <c r="B221" s="64"/>
      <c r="C221" s="65" t="s">
        <v>19</v>
      </c>
      <c r="D221" s="66" t="n">
        <v>3810</v>
      </c>
      <c r="E221" s="67"/>
      <c r="F221" s="67"/>
      <c r="G221" s="68"/>
      <c r="H221" s="69" t="n">
        <v>3810</v>
      </c>
    </row>
    <row r="222" customFormat="false" ht="15" hidden="false" customHeight="true" outlineLevel="0" collapsed="false">
      <c r="B222" s="64"/>
      <c r="C222" s="65" t="s">
        <v>25</v>
      </c>
      <c r="D222" s="66" t="n">
        <v>536</v>
      </c>
      <c r="E222" s="67"/>
      <c r="F222" s="67"/>
      <c r="G222" s="68"/>
      <c r="H222" s="69" t="n">
        <v>536</v>
      </c>
    </row>
    <row r="223" customFormat="false" ht="15" hidden="false" customHeight="true" outlineLevel="0" collapsed="false">
      <c r="B223" s="64"/>
      <c r="C223" s="65" t="s">
        <v>22</v>
      </c>
      <c r="D223" s="66" t="n">
        <v>6228</v>
      </c>
      <c r="E223" s="67"/>
      <c r="F223" s="67"/>
      <c r="G223" s="68"/>
      <c r="H223" s="69" t="n">
        <v>6228</v>
      </c>
    </row>
    <row r="224" customFormat="false" ht="15" hidden="false" customHeight="true" outlineLevel="0" collapsed="false">
      <c r="B224" s="64"/>
      <c r="C224" s="65" t="s">
        <v>37</v>
      </c>
      <c r="D224" s="73"/>
      <c r="E224" s="67"/>
      <c r="F224" s="71" t="n">
        <v>10</v>
      </c>
      <c r="G224" s="68"/>
      <c r="H224" s="69" t="n">
        <v>10</v>
      </c>
    </row>
    <row r="225" customFormat="false" ht="15" hidden="false" customHeight="true" outlineLevel="0" collapsed="false">
      <c r="B225" s="64"/>
      <c r="C225" s="65" t="s">
        <v>60</v>
      </c>
      <c r="D225" s="73"/>
      <c r="E225" s="71" t="n">
        <v>210</v>
      </c>
      <c r="F225" s="67"/>
      <c r="G225" s="68"/>
      <c r="H225" s="69" t="n">
        <v>210</v>
      </c>
    </row>
    <row r="226" customFormat="false" ht="15" hidden="false" customHeight="true" outlineLevel="0" collapsed="false">
      <c r="B226" s="64"/>
      <c r="C226" s="65" t="s">
        <v>34</v>
      </c>
      <c r="D226" s="73"/>
      <c r="E226" s="71" t="n">
        <v>130</v>
      </c>
      <c r="F226" s="67"/>
      <c r="G226" s="68"/>
      <c r="H226" s="69" t="n">
        <v>130</v>
      </c>
    </row>
    <row r="227" customFormat="false" ht="15" hidden="false" customHeight="true" outlineLevel="0" collapsed="false">
      <c r="B227" s="84"/>
      <c r="C227" s="85" t="s">
        <v>29</v>
      </c>
      <c r="D227" s="74"/>
      <c r="E227" s="75"/>
      <c r="F227" s="76" t="n">
        <v>10</v>
      </c>
      <c r="G227" s="77"/>
      <c r="H227" s="78" t="n">
        <v>10</v>
      </c>
    </row>
    <row r="228" customFormat="false" ht="15" hidden="false" customHeight="true" outlineLevel="0" collapsed="false">
      <c r="B228" s="87" t="s">
        <v>764</v>
      </c>
      <c r="C228" s="88"/>
      <c r="D228" s="89" t="n">
        <v>10574</v>
      </c>
      <c r="E228" s="89" t="n">
        <v>502</v>
      </c>
      <c r="F228" s="89" t="n">
        <v>20</v>
      </c>
      <c r="G228" s="90"/>
      <c r="H228" s="91" t="n">
        <v>11096</v>
      </c>
    </row>
    <row r="229" customFormat="false" ht="15" hidden="false" customHeight="true" outlineLevel="0" collapsed="false">
      <c r="B229" s="56" t="n">
        <v>45702</v>
      </c>
      <c r="C229" s="57" t="s">
        <v>47</v>
      </c>
      <c r="D229" s="92" t="n">
        <v>2520</v>
      </c>
      <c r="E229" s="59"/>
      <c r="F229" s="59"/>
      <c r="G229" s="61"/>
      <c r="H229" s="62" t="n">
        <v>2520</v>
      </c>
    </row>
    <row r="230" customFormat="false" ht="15" hidden="false" customHeight="true" outlineLevel="0" collapsed="false">
      <c r="B230" s="64"/>
      <c r="C230" s="65" t="s">
        <v>19</v>
      </c>
      <c r="D230" s="66" t="n">
        <v>1392</v>
      </c>
      <c r="E230" s="67"/>
      <c r="F230" s="67"/>
      <c r="G230" s="68"/>
      <c r="H230" s="69" t="n">
        <v>1392</v>
      </c>
    </row>
    <row r="231" customFormat="false" ht="15" hidden="false" customHeight="true" outlineLevel="0" collapsed="false">
      <c r="B231" s="64"/>
      <c r="C231" s="65" t="s">
        <v>25</v>
      </c>
      <c r="D231" s="66" t="n">
        <v>700</v>
      </c>
      <c r="E231" s="67"/>
      <c r="F231" s="67"/>
      <c r="G231" s="68"/>
      <c r="H231" s="69" t="n">
        <v>700</v>
      </c>
    </row>
    <row r="232" customFormat="false" ht="15" hidden="false" customHeight="true" outlineLevel="0" collapsed="false">
      <c r="B232" s="64"/>
      <c r="C232" s="65" t="s">
        <v>28</v>
      </c>
      <c r="D232" s="73"/>
      <c r="E232" s="67"/>
      <c r="F232" s="71" t="n">
        <v>742</v>
      </c>
      <c r="G232" s="68"/>
      <c r="H232" s="69" t="n">
        <v>742</v>
      </c>
    </row>
    <row r="233" customFormat="false" ht="15" hidden="false" customHeight="true" outlineLevel="0" collapsed="false">
      <c r="B233" s="64"/>
      <c r="C233" s="65" t="s">
        <v>37</v>
      </c>
      <c r="D233" s="73"/>
      <c r="E233" s="67"/>
      <c r="F233" s="71" t="n">
        <v>40</v>
      </c>
      <c r="G233" s="68"/>
      <c r="H233" s="69" t="n">
        <v>40</v>
      </c>
    </row>
    <row r="234" customFormat="false" ht="15" hidden="false" customHeight="true" outlineLevel="0" collapsed="false">
      <c r="B234" s="64"/>
      <c r="C234" s="65" t="s">
        <v>34</v>
      </c>
      <c r="D234" s="73"/>
      <c r="E234" s="71" t="n">
        <v>90</v>
      </c>
      <c r="F234" s="67"/>
      <c r="G234" s="68"/>
      <c r="H234" s="69" t="n">
        <v>90</v>
      </c>
    </row>
    <row r="235" customFormat="false" ht="15" hidden="false" customHeight="true" outlineLevel="0" collapsed="false">
      <c r="B235" s="84"/>
      <c r="C235" s="85" t="s">
        <v>29</v>
      </c>
      <c r="D235" s="86" t="n">
        <v>561</v>
      </c>
      <c r="E235" s="75"/>
      <c r="F235" s="76" t="n">
        <v>20</v>
      </c>
      <c r="G235" s="77"/>
      <c r="H235" s="78" t="n">
        <v>581</v>
      </c>
    </row>
    <row r="236" customFormat="false" ht="15" hidden="false" customHeight="true" outlineLevel="0" collapsed="false">
      <c r="B236" s="87" t="s">
        <v>765</v>
      </c>
      <c r="C236" s="88"/>
      <c r="D236" s="89" t="n">
        <v>5173</v>
      </c>
      <c r="E236" s="89" t="n">
        <v>90</v>
      </c>
      <c r="F236" s="89" t="n">
        <v>802</v>
      </c>
      <c r="G236" s="90"/>
      <c r="H236" s="91" t="n">
        <v>6065</v>
      </c>
    </row>
    <row r="237" customFormat="false" ht="15" hidden="false" customHeight="true" outlineLevel="0" collapsed="false">
      <c r="B237" s="56" t="n">
        <v>45703</v>
      </c>
      <c r="C237" s="57" t="s">
        <v>32</v>
      </c>
      <c r="D237" s="58"/>
      <c r="E237" s="60" t="n">
        <v>650</v>
      </c>
      <c r="F237" s="59"/>
      <c r="G237" s="61"/>
      <c r="H237" s="62" t="n">
        <v>650</v>
      </c>
    </row>
    <row r="238" customFormat="false" ht="15" hidden="false" customHeight="true" outlineLevel="0" collapsed="false">
      <c r="B238" s="64"/>
      <c r="C238" s="65" t="s">
        <v>19</v>
      </c>
      <c r="D238" s="66" t="n">
        <v>5540</v>
      </c>
      <c r="E238" s="67"/>
      <c r="F238" s="67"/>
      <c r="G238" s="68"/>
      <c r="H238" s="69" t="n">
        <v>5540</v>
      </c>
    </row>
    <row r="239" customFormat="false" ht="15" hidden="false" customHeight="true" outlineLevel="0" collapsed="false">
      <c r="B239" s="64"/>
      <c r="C239" s="65" t="s">
        <v>25</v>
      </c>
      <c r="D239" s="66" t="n">
        <v>1308</v>
      </c>
      <c r="E239" s="71" t="n">
        <v>706</v>
      </c>
      <c r="F239" s="67"/>
      <c r="G239" s="68"/>
      <c r="H239" s="69" t="n">
        <v>2014</v>
      </c>
    </row>
    <row r="240" customFormat="false" ht="15" hidden="false" customHeight="true" outlineLevel="0" collapsed="false">
      <c r="B240" s="64"/>
      <c r="C240" s="65" t="s">
        <v>22</v>
      </c>
      <c r="D240" s="73"/>
      <c r="E240" s="71" t="n">
        <v>240</v>
      </c>
      <c r="F240" s="67"/>
      <c r="G240" s="68"/>
      <c r="H240" s="69" t="n">
        <v>240</v>
      </c>
    </row>
    <row r="241" customFormat="false" ht="15" hidden="false" customHeight="true" outlineLevel="0" collapsed="false">
      <c r="B241" s="64"/>
      <c r="C241" s="65" t="s">
        <v>37</v>
      </c>
      <c r="D241" s="73"/>
      <c r="E241" s="67"/>
      <c r="F241" s="71" t="n">
        <v>30</v>
      </c>
      <c r="G241" s="68"/>
      <c r="H241" s="69" t="n">
        <v>30</v>
      </c>
    </row>
    <row r="242" customFormat="false" ht="15" hidden="false" customHeight="true" outlineLevel="0" collapsed="false">
      <c r="B242" s="64"/>
      <c r="C242" s="65" t="s">
        <v>60</v>
      </c>
      <c r="D242" s="73"/>
      <c r="E242" s="71" t="n">
        <v>210</v>
      </c>
      <c r="F242" s="67"/>
      <c r="G242" s="68"/>
      <c r="H242" s="69" t="n">
        <v>210</v>
      </c>
    </row>
    <row r="243" customFormat="false" ht="15" hidden="false" customHeight="true" outlineLevel="0" collapsed="false">
      <c r="B243" s="64"/>
      <c r="C243" s="65" t="s">
        <v>40</v>
      </c>
      <c r="D243" s="73"/>
      <c r="E243" s="71" t="n">
        <v>1880</v>
      </c>
      <c r="F243" s="67"/>
      <c r="G243" s="68"/>
      <c r="H243" s="69" t="n">
        <v>1880</v>
      </c>
    </row>
    <row r="244" customFormat="false" ht="15" hidden="false" customHeight="true" outlineLevel="0" collapsed="false">
      <c r="B244" s="84"/>
      <c r="C244" s="85" t="s">
        <v>34</v>
      </c>
      <c r="D244" s="74"/>
      <c r="E244" s="76" t="n">
        <v>105</v>
      </c>
      <c r="F244" s="75"/>
      <c r="G244" s="77"/>
      <c r="H244" s="78" t="n">
        <v>105</v>
      </c>
    </row>
    <row r="245" customFormat="false" ht="15" hidden="false" customHeight="true" outlineLevel="0" collapsed="false">
      <c r="B245" s="87" t="s">
        <v>766</v>
      </c>
      <c r="C245" s="88"/>
      <c r="D245" s="89" t="n">
        <v>6848</v>
      </c>
      <c r="E245" s="89" t="n">
        <v>3791</v>
      </c>
      <c r="F245" s="89" t="n">
        <v>30</v>
      </c>
      <c r="G245" s="90"/>
      <c r="H245" s="91" t="n">
        <v>10669</v>
      </c>
    </row>
    <row r="246" customFormat="false" ht="15" hidden="false" customHeight="true" outlineLevel="0" collapsed="false">
      <c r="B246" s="56" t="n">
        <v>45704</v>
      </c>
      <c r="C246" s="57" t="s">
        <v>19</v>
      </c>
      <c r="D246" s="92" t="n">
        <v>4239</v>
      </c>
      <c r="E246" s="59"/>
      <c r="F246" s="59"/>
      <c r="G246" s="61"/>
      <c r="H246" s="62" t="n">
        <v>4239</v>
      </c>
    </row>
    <row r="247" customFormat="false" ht="15" hidden="false" customHeight="true" outlineLevel="0" collapsed="false">
      <c r="B247" s="64"/>
      <c r="C247" s="65" t="s">
        <v>25</v>
      </c>
      <c r="D247" s="66" t="n">
        <v>1336</v>
      </c>
      <c r="E247" s="67"/>
      <c r="F247" s="67"/>
      <c r="G247" s="68"/>
      <c r="H247" s="69" t="n">
        <v>1336</v>
      </c>
    </row>
    <row r="248" customFormat="false" ht="15" hidden="false" customHeight="true" outlineLevel="0" collapsed="false">
      <c r="B248" s="64"/>
      <c r="C248" s="65" t="s">
        <v>51</v>
      </c>
      <c r="D248" s="66" t="n">
        <v>3415</v>
      </c>
      <c r="E248" s="67"/>
      <c r="F248" s="67"/>
      <c r="G248" s="68"/>
      <c r="H248" s="69" t="n">
        <v>3415</v>
      </c>
    </row>
    <row r="249" customFormat="false" ht="15" hidden="false" customHeight="true" outlineLevel="0" collapsed="false">
      <c r="B249" s="64"/>
      <c r="C249" s="65" t="s">
        <v>22</v>
      </c>
      <c r="D249" s="66" t="n">
        <v>6177</v>
      </c>
      <c r="E249" s="67"/>
      <c r="F249" s="67"/>
      <c r="G249" s="68"/>
      <c r="H249" s="69" t="n">
        <v>6177</v>
      </c>
    </row>
    <row r="250" customFormat="false" ht="15" hidden="false" customHeight="true" outlineLevel="0" collapsed="false">
      <c r="B250" s="64"/>
      <c r="C250" s="65" t="s">
        <v>37</v>
      </c>
      <c r="D250" s="73"/>
      <c r="E250" s="67"/>
      <c r="F250" s="71" t="n">
        <v>30</v>
      </c>
      <c r="G250" s="68"/>
      <c r="H250" s="69" t="n">
        <v>30</v>
      </c>
    </row>
    <row r="251" customFormat="false" ht="15" hidden="false" customHeight="true" outlineLevel="0" collapsed="false">
      <c r="B251" s="64"/>
      <c r="C251" s="65" t="s">
        <v>43</v>
      </c>
      <c r="D251" s="73"/>
      <c r="E251" s="71" t="n">
        <v>80</v>
      </c>
      <c r="F251" s="67"/>
      <c r="G251" s="68"/>
      <c r="H251" s="69" t="n">
        <v>80</v>
      </c>
    </row>
    <row r="252" customFormat="false" ht="15" hidden="false" customHeight="true" outlineLevel="0" collapsed="false">
      <c r="B252" s="64"/>
      <c r="C252" s="65" t="s">
        <v>40</v>
      </c>
      <c r="D252" s="73"/>
      <c r="E252" s="71" t="n">
        <v>2220</v>
      </c>
      <c r="F252" s="67"/>
      <c r="G252" s="68"/>
      <c r="H252" s="69" t="n">
        <v>2220</v>
      </c>
    </row>
    <row r="253" customFormat="false" ht="15" hidden="false" customHeight="true" outlineLevel="0" collapsed="false">
      <c r="B253" s="64"/>
      <c r="C253" s="65" t="s">
        <v>31</v>
      </c>
      <c r="D253" s="73"/>
      <c r="E253" s="71" t="n">
        <v>400</v>
      </c>
      <c r="F253" s="67"/>
      <c r="G253" s="68"/>
      <c r="H253" s="69" t="n">
        <v>400</v>
      </c>
    </row>
    <row r="254" customFormat="false" ht="15" hidden="false" customHeight="true" outlineLevel="0" collapsed="false">
      <c r="B254" s="64"/>
      <c r="C254" s="65" t="s">
        <v>34</v>
      </c>
      <c r="D254" s="73"/>
      <c r="E254" s="71" t="n">
        <v>115</v>
      </c>
      <c r="F254" s="67"/>
      <c r="G254" s="68"/>
      <c r="H254" s="69" t="n">
        <v>115</v>
      </c>
    </row>
    <row r="255" customFormat="false" ht="15" hidden="false" customHeight="true" outlineLevel="0" collapsed="false">
      <c r="B255" s="84"/>
      <c r="C255" s="85" t="s">
        <v>29</v>
      </c>
      <c r="D255" s="86" t="n">
        <v>1739</v>
      </c>
      <c r="E255" s="75"/>
      <c r="F255" s="75"/>
      <c r="G255" s="77"/>
      <c r="H255" s="78" t="n">
        <v>1739</v>
      </c>
    </row>
    <row r="256" customFormat="false" ht="15" hidden="false" customHeight="true" outlineLevel="0" collapsed="false">
      <c r="B256" s="87" t="s">
        <v>767</v>
      </c>
      <c r="C256" s="88"/>
      <c r="D256" s="89" t="n">
        <v>16906</v>
      </c>
      <c r="E256" s="89" t="n">
        <v>2815</v>
      </c>
      <c r="F256" s="89" t="n">
        <v>30</v>
      </c>
      <c r="G256" s="90"/>
      <c r="H256" s="91" t="n">
        <v>19751</v>
      </c>
    </row>
    <row r="257" customFormat="false" ht="15" hidden="false" customHeight="true" outlineLevel="0" collapsed="false">
      <c r="B257" s="56" t="n">
        <v>45705</v>
      </c>
      <c r="C257" s="57" t="s">
        <v>44</v>
      </c>
      <c r="D257" s="58"/>
      <c r="E257" s="60" t="n">
        <v>100</v>
      </c>
      <c r="F257" s="59"/>
      <c r="G257" s="61"/>
      <c r="H257" s="62" t="n">
        <v>100</v>
      </c>
    </row>
    <row r="258" customFormat="false" ht="15" hidden="false" customHeight="true" outlineLevel="0" collapsed="false">
      <c r="B258" s="64"/>
      <c r="C258" s="65" t="s">
        <v>19</v>
      </c>
      <c r="D258" s="66" t="n">
        <v>2323</v>
      </c>
      <c r="E258" s="67"/>
      <c r="F258" s="67"/>
      <c r="G258" s="68"/>
      <c r="H258" s="69" t="n">
        <v>2323</v>
      </c>
    </row>
    <row r="259" customFormat="false" ht="15" hidden="false" customHeight="true" outlineLevel="0" collapsed="false">
      <c r="B259" s="64"/>
      <c r="C259" s="65" t="s">
        <v>25</v>
      </c>
      <c r="D259" s="66" t="n">
        <v>626</v>
      </c>
      <c r="E259" s="71" t="n">
        <v>116</v>
      </c>
      <c r="F259" s="67"/>
      <c r="G259" s="68"/>
      <c r="H259" s="69" t="n">
        <v>742</v>
      </c>
    </row>
    <row r="260" customFormat="false" ht="15" hidden="false" customHeight="true" outlineLevel="0" collapsed="false">
      <c r="B260" s="64"/>
      <c r="C260" s="65" t="s">
        <v>28</v>
      </c>
      <c r="D260" s="73"/>
      <c r="E260" s="71" t="n">
        <v>727</v>
      </c>
      <c r="F260" s="67"/>
      <c r="G260" s="68"/>
      <c r="H260" s="69" t="n">
        <v>727</v>
      </c>
    </row>
    <row r="261" customFormat="false" ht="15" hidden="false" customHeight="true" outlineLevel="0" collapsed="false">
      <c r="B261" s="64"/>
      <c r="C261" s="65" t="s">
        <v>43</v>
      </c>
      <c r="D261" s="73"/>
      <c r="E261" s="71" t="n">
        <v>100</v>
      </c>
      <c r="F261" s="67"/>
      <c r="G261" s="68"/>
      <c r="H261" s="69" t="n">
        <v>100</v>
      </c>
    </row>
    <row r="262" customFormat="false" ht="15" hidden="false" customHeight="true" outlineLevel="0" collapsed="false">
      <c r="B262" s="64"/>
      <c r="C262" s="65" t="s">
        <v>34</v>
      </c>
      <c r="D262" s="73"/>
      <c r="E262" s="71" t="n">
        <v>90</v>
      </c>
      <c r="F262" s="67"/>
      <c r="G262" s="68"/>
      <c r="H262" s="69" t="n">
        <v>90</v>
      </c>
    </row>
    <row r="263" customFormat="false" ht="15" hidden="false" customHeight="true" outlineLevel="0" collapsed="false">
      <c r="B263" s="84"/>
      <c r="C263" s="85" t="s">
        <v>29</v>
      </c>
      <c r="D263" s="86" t="n">
        <v>466</v>
      </c>
      <c r="E263" s="76" t="n">
        <v>3572</v>
      </c>
      <c r="F263" s="75"/>
      <c r="G263" s="77"/>
      <c r="H263" s="78" t="n">
        <v>4038</v>
      </c>
    </row>
    <row r="264" customFormat="false" ht="15" hidden="false" customHeight="true" outlineLevel="0" collapsed="false">
      <c r="B264" s="87" t="s">
        <v>768</v>
      </c>
      <c r="C264" s="88"/>
      <c r="D264" s="89" t="n">
        <v>3415</v>
      </c>
      <c r="E264" s="89" t="n">
        <v>4705</v>
      </c>
      <c r="F264" s="90"/>
      <c r="G264" s="90"/>
      <c r="H264" s="91" t="n">
        <v>8120</v>
      </c>
    </row>
    <row r="265" customFormat="false" ht="15" hidden="false" customHeight="true" outlineLevel="0" collapsed="false">
      <c r="B265" s="56" t="n">
        <v>45706</v>
      </c>
      <c r="C265" s="57" t="s">
        <v>19</v>
      </c>
      <c r="D265" s="92" t="n">
        <v>1343</v>
      </c>
      <c r="E265" s="59"/>
      <c r="F265" s="59"/>
      <c r="G265" s="61"/>
      <c r="H265" s="62" t="n">
        <v>1343</v>
      </c>
    </row>
    <row r="266" customFormat="false" ht="15" hidden="false" customHeight="true" outlineLevel="0" collapsed="false">
      <c r="B266" s="64"/>
      <c r="C266" s="65" t="s">
        <v>25</v>
      </c>
      <c r="D266" s="66" t="n">
        <v>646</v>
      </c>
      <c r="E266" s="67"/>
      <c r="F266" s="67"/>
      <c r="G266" s="68"/>
      <c r="H266" s="69" t="n">
        <v>646</v>
      </c>
    </row>
    <row r="267" customFormat="false" ht="15" hidden="false" customHeight="true" outlineLevel="0" collapsed="false">
      <c r="B267" s="64"/>
      <c r="C267" s="65" t="s">
        <v>22</v>
      </c>
      <c r="D267" s="66" t="n">
        <v>2458</v>
      </c>
      <c r="E267" s="67"/>
      <c r="F267" s="67"/>
      <c r="G267" s="68"/>
      <c r="H267" s="69" t="n">
        <v>2458</v>
      </c>
    </row>
    <row r="268" customFormat="false" ht="15" hidden="false" customHeight="true" outlineLevel="0" collapsed="false">
      <c r="B268" s="64"/>
      <c r="C268" s="65" t="s">
        <v>34</v>
      </c>
      <c r="D268" s="73"/>
      <c r="E268" s="71" t="n">
        <v>135</v>
      </c>
      <c r="F268" s="67"/>
      <c r="G268" s="68"/>
      <c r="H268" s="69" t="n">
        <v>135</v>
      </c>
    </row>
    <row r="269" customFormat="false" ht="15" hidden="false" customHeight="true" outlineLevel="0" collapsed="false">
      <c r="B269" s="84"/>
      <c r="C269" s="85" t="s">
        <v>29</v>
      </c>
      <c r="D269" s="74"/>
      <c r="E269" s="75"/>
      <c r="F269" s="76" t="n">
        <v>15</v>
      </c>
      <c r="G269" s="77"/>
      <c r="H269" s="78" t="n">
        <v>15</v>
      </c>
    </row>
    <row r="270" customFormat="false" ht="15" hidden="false" customHeight="true" outlineLevel="0" collapsed="false">
      <c r="B270" s="87" t="s">
        <v>769</v>
      </c>
      <c r="C270" s="88"/>
      <c r="D270" s="89" t="n">
        <v>4447</v>
      </c>
      <c r="E270" s="89" t="n">
        <v>135</v>
      </c>
      <c r="F270" s="89" t="n">
        <v>15</v>
      </c>
      <c r="G270" s="90"/>
      <c r="H270" s="91" t="n">
        <v>4597</v>
      </c>
    </row>
    <row r="271" customFormat="false" ht="15" hidden="false" customHeight="true" outlineLevel="0" collapsed="false">
      <c r="B271" s="56" t="n">
        <v>45707</v>
      </c>
      <c r="C271" s="57" t="s">
        <v>53</v>
      </c>
      <c r="D271" s="58"/>
      <c r="E271" s="60" t="n">
        <v>3120</v>
      </c>
      <c r="F271" s="59"/>
      <c r="G271" s="61"/>
      <c r="H271" s="62" t="n">
        <v>3120</v>
      </c>
    </row>
    <row r="272" customFormat="false" ht="15" hidden="false" customHeight="true" outlineLevel="0" collapsed="false">
      <c r="B272" s="64"/>
      <c r="C272" s="65" t="s">
        <v>19</v>
      </c>
      <c r="D272" s="66" t="n">
        <v>2717</v>
      </c>
      <c r="E272" s="67"/>
      <c r="F272" s="67"/>
      <c r="G272" s="68"/>
      <c r="H272" s="69" t="n">
        <v>2717</v>
      </c>
    </row>
    <row r="273" customFormat="false" ht="15" hidden="false" customHeight="true" outlineLevel="0" collapsed="false">
      <c r="B273" s="64"/>
      <c r="C273" s="65" t="s">
        <v>25</v>
      </c>
      <c r="D273" s="66" t="n">
        <v>963</v>
      </c>
      <c r="E273" s="67"/>
      <c r="F273" s="67"/>
      <c r="G273" s="68"/>
      <c r="H273" s="69" t="n">
        <v>963</v>
      </c>
    </row>
    <row r="274" customFormat="false" ht="15" hidden="false" customHeight="true" outlineLevel="0" collapsed="false">
      <c r="B274" s="64"/>
      <c r="C274" s="65" t="s">
        <v>51</v>
      </c>
      <c r="D274" s="73"/>
      <c r="E274" s="71" t="n">
        <v>500</v>
      </c>
      <c r="F274" s="67"/>
      <c r="G274" s="68"/>
      <c r="H274" s="69" t="n">
        <v>500</v>
      </c>
    </row>
    <row r="275" customFormat="false" ht="15" hidden="false" customHeight="true" outlineLevel="0" collapsed="false">
      <c r="B275" s="64"/>
      <c r="C275" s="65" t="s">
        <v>22</v>
      </c>
      <c r="D275" s="66" t="n">
        <v>3620</v>
      </c>
      <c r="E275" s="67"/>
      <c r="F275" s="67"/>
      <c r="G275" s="68"/>
      <c r="H275" s="69" t="n">
        <v>3620</v>
      </c>
    </row>
    <row r="276" customFormat="false" ht="15" hidden="false" customHeight="true" outlineLevel="0" collapsed="false">
      <c r="B276" s="64"/>
      <c r="C276" s="65" t="s">
        <v>37</v>
      </c>
      <c r="D276" s="73"/>
      <c r="E276" s="67"/>
      <c r="F276" s="71" t="n">
        <v>30</v>
      </c>
      <c r="G276" s="68"/>
      <c r="H276" s="69" t="n">
        <v>30</v>
      </c>
    </row>
    <row r="277" customFormat="false" ht="15" hidden="false" customHeight="true" outlineLevel="0" collapsed="false">
      <c r="B277" s="64"/>
      <c r="C277" s="65" t="s">
        <v>43</v>
      </c>
      <c r="D277" s="73"/>
      <c r="E277" s="71" t="n">
        <v>500</v>
      </c>
      <c r="F277" s="67"/>
      <c r="G277" s="68"/>
      <c r="H277" s="69" t="n">
        <v>500</v>
      </c>
    </row>
    <row r="278" customFormat="false" ht="15" hidden="false" customHeight="true" outlineLevel="0" collapsed="false">
      <c r="B278" s="64"/>
      <c r="C278" s="65" t="s">
        <v>31</v>
      </c>
      <c r="D278" s="73"/>
      <c r="E278" s="71" t="n">
        <v>1250</v>
      </c>
      <c r="F278" s="67"/>
      <c r="G278" s="68"/>
      <c r="H278" s="69" t="n">
        <v>1250</v>
      </c>
    </row>
    <row r="279" customFormat="false" ht="15" hidden="false" customHeight="true" outlineLevel="0" collapsed="false">
      <c r="B279" s="64"/>
      <c r="C279" s="65" t="s">
        <v>34</v>
      </c>
      <c r="D279" s="73"/>
      <c r="E279" s="71" t="n">
        <v>135</v>
      </c>
      <c r="F279" s="67"/>
      <c r="G279" s="68"/>
      <c r="H279" s="69" t="n">
        <v>135</v>
      </c>
    </row>
    <row r="280" customFormat="false" ht="15" hidden="false" customHeight="true" outlineLevel="0" collapsed="false">
      <c r="B280" s="84"/>
      <c r="C280" s="85" t="s">
        <v>29</v>
      </c>
      <c r="D280" s="86" t="n">
        <v>904</v>
      </c>
      <c r="E280" s="75"/>
      <c r="F280" s="76" t="n">
        <v>10</v>
      </c>
      <c r="G280" s="77"/>
      <c r="H280" s="78" t="n">
        <v>914</v>
      </c>
    </row>
    <row r="281" customFormat="false" ht="15" hidden="false" customHeight="true" outlineLevel="0" collapsed="false">
      <c r="B281" s="87" t="s">
        <v>770</v>
      </c>
      <c r="C281" s="88"/>
      <c r="D281" s="89" t="n">
        <v>8204</v>
      </c>
      <c r="E281" s="89" t="n">
        <v>5505</v>
      </c>
      <c r="F281" s="89" t="n">
        <v>40</v>
      </c>
      <c r="G281" s="90"/>
      <c r="H281" s="91" t="n">
        <v>13749</v>
      </c>
    </row>
    <row r="282" customFormat="false" ht="15" hidden="false" customHeight="true" outlineLevel="0" collapsed="false">
      <c r="B282" s="56" t="n">
        <v>45708</v>
      </c>
      <c r="C282" s="57" t="s">
        <v>19</v>
      </c>
      <c r="D282" s="92" t="n">
        <v>3323</v>
      </c>
      <c r="E282" s="59"/>
      <c r="F282" s="59"/>
      <c r="G282" s="61"/>
      <c r="H282" s="62" t="n">
        <v>3323</v>
      </c>
    </row>
    <row r="283" customFormat="false" ht="15" hidden="false" customHeight="true" outlineLevel="0" collapsed="false">
      <c r="B283" s="64"/>
      <c r="C283" s="65" t="s">
        <v>25</v>
      </c>
      <c r="D283" s="73"/>
      <c r="E283" s="71" t="n">
        <v>76</v>
      </c>
      <c r="F283" s="67"/>
      <c r="G283" s="68"/>
      <c r="H283" s="69" t="n">
        <v>76</v>
      </c>
    </row>
    <row r="284" customFormat="false" ht="15" hidden="false" customHeight="true" outlineLevel="0" collapsed="false">
      <c r="B284" s="64"/>
      <c r="C284" s="65" t="s">
        <v>69</v>
      </c>
      <c r="D284" s="73"/>
      <c r="E284" s="71" t="n">
        <v>700</v>
      </c>
      <c r="F284" s="67"/>
      <c r="G284" s="68"/>
      <c r="H284" s="69" t="n">
        <v>700</v>
      </c>
    </row>
    <row r="285" customFormat="false" ht="15" hidden="false" customHeight="true" outlineLevel="0" collapsed="false">
      <c r="B285" s="64"/>
      <c r="C285" s="65" t="s">
        <v>22</v>
      </c>
      <c r="D285" s="66" t="n">
        <v>1231</v>
      </c>
      <c r="E285" s="67"/>
      <c r="F285" s="67"/>
      <c r="G285" s="68"/>
      <c r="H285" s="69" t="n">
        <v>1231</v>
      </c>
    </row>
    <row r="286" customFormat="false" ht="15" hidden="false" customHeight="true" outlineLevel="0" collapsed="false">
      <c r="B286" s="64"/>
      <c r="C286" s="65" t="s">
        <v>37</v>
      </c>
      <c r="D286" s="73"/>
      <c r="E286" s="67"/>
      <c r="F286" s="71" t="n">
        <v>20</v>
      </c>
      <c r="G286" s="68"/>
      <c r="H286" s="69" t="n">
        <v>20</v>
      </c>
    </row>
    <row r="287" customFormat="false" ht="15" hidden="false" customHeight="true" outlineLevel="0" collapsed="false">
      <c r="B287" s="64"/>
      <c r="C287" s="65" t="s">
        <v>43</v>
      </c>
      <c r="D287" s="73"/>
      <c r="E287" s="71" t="n">
        <v>1900</v>
      </c>
      <c r="F287" s="67"/>
      <c r="G287" s="68"/>
      <c r="H287" s="69" t="n">
        <v>1900</v>
      </c>
    </row>
    <row r="288" customFormat="false" ht="15" hidden="false" customHeight="true" outlineLevel="0" collapsed="false">
      <c r="B288" s="64"/>
      <c r="C288" s="65" t="s">
        <v>34</v>
      </c>
      <c r="D288" s="73"/>
      <c r="E288" s="71" t="n">
        <v>135</v>
      </c>
      <c r="F288" s="67"/>
      <c r="G288" s="68"/>
      <c r="H288" s="69" t="n">
        <v>135</v>
      </c>
    </row>
    <row r="289" customFormat="false" ht="15" hidden="false" customHeight="true" outlineLevel="0" collapsed="false">
      <c r="B289" s="84"/>
      <c r="C289" s="85" t="s">
        <v>29</v>
      </c>
      <c r="D289" s="86" t="n">
        <v>471</v>
      </c>
      <c r="E289" s="76" t="n">
        <v>60</v>
      </c>
      <c r="F289" s="75"/>
      <c r="G289" s="77"/>
      <c r="H289" s="78" t="n">
        <v>531</v>
      </c>
    </row>
    <row r="290" customFormat="false" ht="15" hidden="false" customHeight="true" outlineLevel="0" collapsed="false">
      <c r="B290" s="87" t="s">
        <v>771</v>
      </c>
      <c r="C290" s="88"/>
      <c r="D290" s="89" t="n">
        <v>5025</v>
      </c>
      <c r="E290" s="89" t="n">
        <v>2871</v>
      </c>
      <c r="F290" s="89" t="n">
        <v>20</v>
      </c>
      <c r="G290" s="90"/>
      <c r="H290" s="91" t="n">
        <v>7916</v>
      </c>
    </row>
    <row r="291" customFormat="false" ht="15" hidden="false" customHeight="true" outlineLevel="0" collapsed="false">
      <c r="B291" s="56" t="n">
        <v>45709</v>
      </c>
      <c r="C291" s="57" t="s">
        <v>32</v>
      </c>
      <c r="D291" s="58"/>
      <c r="E291" s="60" t="n">
        <v>650</v>
      </c>
      <c r="F291" s="59"/>
      <c r="G291" s="61"/>
      <c r="H291" s="62" t="n">
        <v>650</v>
      </c>
    </row>
    <row r="292" customFormat="false" ht="15" hidden="false" customHeight="true" outlineLevel="0" collapsed="false">
      <c r="B292" s="64"/>
      <c r="C292" s="65" t="s">
        <v>53</v>
      </c>
      <c r="D292" s="73"/>
      <c r="E292" s="71" t="n">
        <v>1200</v>
      </c>
      <c r="F292" s="67"/>
      <c r="G292" s="68"/>
      <c r="H292" s="69" t="n">
        <v>1200</v>
      </c>
    </row>
    <row r="293" customFormat="false" ht="15" hidden="false" customHeight="true" outlineLevel="0" collapsed="false">
      <c r="B293" s="64"/>
      <c r="C293" s="65" t="s">
        <v>47</v>
      </c>
      <c r="D293" s="66" t="n">
        <v>1680</v>
      </c>
      <c r="E293" s="67"/>
      <c r="F293" s="67"/>
      <c r="G293" s="68"/>
      <c r="H293" s="69" t="n">
        <v>1680</v>
      </c>
    </row>
    <row r="294" customFormat="false" ht="15" hidden="false" customHeight="true" outlineLevel="0" collapsed="false">
      <c r="B294" s="64"/>
      <c r="C294" s="65" t="s">
        <v>19</v>
      </c>
      <c r="D294" s="66" t="n">
        <v>3907</v>
      </c>
      <c r="E294" s="67"/>
      <c r="F294" s="67"/>
      <c r="G294" s="68"/>
      <c r="H294" s="69" t="n">
        <v>3907</v>
      </c>
    </row>
    <row r="295" customFormat="false" ht="15" hidden="false" customHeight="true" outlineLevel="0" collapsed="false">
      <c r="B295" s="64"/>
      <c r="C295" s="65" t="s">
        <v>25</v>
      </c>
      <c r="D295" s="66" t="n">
        <v>968</v>
      </c>
      <c r="E295" s="67"/>
      <c r="F295" s="67"/>
      <c r="G295" s="68"/>
      <c r="H295" s="69" t="n">
        <v>968</v>
      </c>
    </row>
    <row r="296" customFormat="false" ht="15" hidden="false" customHeight="true" outlineLevel="0" collapsed="false">
      <c r="B296" s="64"/>
      <c r="C296" s="65" t="s">
        <v>51</v>
      </c>
      <c r="D296" s="66" t="n">
        <v>2980</v>
      </c>
      <c r="E296" s="67"/>
      <c r="F296" s="67"/>
      <c r="G296" s="68"/>
      <c r="H296" s="69" t="n">
        <v>2980</v>
      </c>
    </row>
    <row r="297" customFormat="false" ht="15" hidden="false" customHeight="true" outlineLevel="0" collapsed="false">
      <c r="B297" s="64"/>
      <c r="C297" s="65" t="s">
        <v>22</v>
      </c>
      <c r="D297" s="66" t="n">
        <v>1068</v>
      </c>
      <c r="E297" s="67"/>
      <c r="F297" s="67"/>
      <c r="G297" s="68"/>
      <c r="H297" s="69" t="n">
        <v>1068</v>
      </c>
    </row>
    <row r="298" customFormat="false" ht="15" hidden="false" customHeight="true" outlineLevel="0" collapsed="false">
      <c r="B298" s="64"/>
      <c r="C298" s="65" t="s">
        <v>37</v>
      </c>
      <c r="D298" s="73"/>
      <c r="E298" s="67"/>
      <c r="F298" s="71" t="n">
        <v>30</v>
      </c>
      <c r="G298" s="68"/>
      <c r="H298" s="69" t="n">
        <v>30</v>
      </c>
    </row>
    <row r="299" customFormat="false" ht="15" hidden="false" customHeight="true" outlineLevel="0" collapsed="false">
      <c r="B299" s="64"/>
      <c r="C299" s="65" t="s">
        <v>43</v>
      </c>
      <c r="D299" s="73"/>
      <c r="E299" s="71" t="n">
        <v>560</v>
      </c>
      <c r="F299" s="67"/>
      <c r="G299" s="68"/>
      <c r="H299" s="69" t="n">
        <v>560</v>
      </c>
    </row>
    <row r="300" customFormat="false" ht="15" hidden="false" customHeight="true" outlineLevel="0" collapsed="false">
      <c r="B300" s="64"/>
      <c r="C300" s="65" t="s">
        <v>35</v>
      </c>
      <c r="D300" s="73"/>
      <c r="E300" s="67"/>
      <c r="F300" s="71" t="n">
        <v>20</v>
      </c>
      <c r="G300" s="68"/>
      <c r="H300" s="69" t="n">
        <v>20</v>
      </c>
    </row>
    <row r="301" customFormat="false" ht="15" hidden="false" customHeight="true" outlineLevel="0" collapsed="false">
      <c r="B301" s="64"/>
      <c r="C301" s="65" t="s">
        <v>34</v>
      </c>
      <c r="D301" s="73"/>
      <c r="E301" s="71" t="n">
        <v>120</v>
      </c>
      <c r="F301" s="67"/>
      <c r="G301" s="68"/>
      <c r="H301" s="69" t="n">
        <v>120</v>
      </c>
    </row>
    <row r="302" customFormat="false" ht="15" hidden="false" customHeight="true" outlineLevel="0" collapsed="false">
      <c r="B302" s="84"/>
      <c r="C302" s="85" t="s">
        <v>29</v>
      </c>
      <c r="D302" s="86" t="n">
        <v>350</v>
      </c>
      <c r="E302" s="75"/>
      <c r="F302" s="75"/>
      <c r="G302" s="77"/>
      <c r="H302" s="78" t="n">
        <v>350</v>
      </c>
    </row>
    <row r="303" customFormat="false" ht="15" hidden="false" customHeight="true" outlineLevel="0" collapsed="false">
      <c r="B303" s="87" t="s">
        <v>772</v>
      </c>
      <c r="C303" s="88"/>
      <c r="D303" s="89" t="n">
        <v>10953</v>
      </c>
      <c r="E303" s="89" t="n">
        <v>2530</v>
      </c>
      <c r="F303" s="89" t="n">
        <v>50</v>
      </c>
      <c r="G303" s="90"/>
      <c r="H303" s="91" t="n">
        <v>13533</v>
      </c>
    </row>
    <row r="304" customFormat="false" ht="15" hidden="false" customHeight="true" outlineLevel="0" collapsed="false">
      <c r="B304" s="56" t="n">
        <v>45710</v>
      </c>
      <c r="C304" s="57" t="s">
        <v>19</v>
      </c>
      <c r="D304" s="92" t="n">
        <v>2076</v>
      </c>
      <c r="E304" s="59"/>
      <c r="F304" s="59"/>
      <c r="G304" s="61"/>
      <c r="H304" s="62" t="n">
        <v>2076</v>
      </c>
    </row>
    <row r="305" customFormat="false" ht="15" hidden="false" customHeight="true" outlineLevel="0" collapsed="false">
      <c r="B305" s="64"/>
      <c r="C305" s="65" t="s">
        <v>25</v>
      </c>
      <c r="D305" s="66" t="n">
        <v>1168</v>
      </c>
      <c r="E305" s="67"/>
      <c r="F305" s="67"/>
      <c r="G305" s="68"/>
      <c r="H305" s="69" t="n">
        <v>1168</v>
      </c>
    </row>
    <row r="306" customFormat="false" ht="15" hidden="false" customHeight="true" outlineLevel="0" collapsed="false">
      <c r="B306" s="64"/>
      <c r="C306" s="65" t="s">
        <v>22</v>
      </c>
      <c r="D306" s="66" t="n">
        <v>7353</v>
      </c>
      <c r="E306" s="67"/>
      <c r="F306" s="67"/>
      <c r="G306" s="68"/>
      <c r="H306" s="69" t="n">
        <v>7353</v>
      </c>
    </row>
    <row r="307" customFormat="false" ht="15" hidden="false" customHeight="true" outlineLevel="0" collapsed="false">
      <c r="B307" s="64"/>
      <c r="C307" s="65" t="s">
        <v>37</v>
      </c>
      <c r="D307" s="73"/>
      <c r="E307" s="67"/>
      <c r="F307" s="71" t="n">
        <v>10</v>
      </c>
      <c r="G307" s="68"/>
      <c r="H307" s="69" t="n">
        <v>10</v>
      </c>
    </row>
    <row r="308" customFormat="false" ht="15" hidden="false" customHeight="true" outlineLevel="0" collapsed="false">
      <c r="B308" s="64"/>
      <c r="C308" s="65" t="s">
        <v>43</v>
      </c>
      <c r="D308" s="73"/>
      <c r="E308" s="71" t="n">
        <v>475</v>
      </c>
      <c r="F308" s="67"/>
      <c r="G308" s="68"/>
      <c r="H308" s="69" t="n">
        <v>475</v>
      </c>
    </row>
    <row r="309" customFormat="false" ht="15" hidden="false" customHeight="true" outlineLevel="0" collapsed="false">
      <c r="B309" s="64"/>
      <c r="C309" s="65" t="s">
        <v>40</v>
      </c>
      <c r="D309" s="73"/>
      <c r="E309" s="71" t="n">
        <v>1480</v>
      </c>
      <c r="F309" s="67"/>
      <c r="G309" s="68"/>
      <c r="H309" s="69" t="n">
        <v>1480</v>
      </c>
    </row>
    <row r="310" customFormat="false" ht="15" hidden="false" customHeight="true" outlineLevel="0" collapsed="false">
      <c r="B310" s="64"/>
      <c r="C310" s="65" t="s">
        <v>34</v>
      </c>
      <c r="D310" s="73"/>
      <c r="E310" s="71" t="n">
        <v>125</v>
      </c>
      <c r="F310" s="67"/>
      <c r="G310" s="68"/>
      <c r="H310" s="69" t="n">
        <v>125</v>
      </c>
    </row>
    <row r="311" customFormat="false" ht="15" hidden="false" customHeight="true" outlineLevel="0" collapsed="false">
      <c r="B311" s="84"/>
      <c r="C311" s="85" t="s">
        <v>29</v>
      </c>
      <c r="D311" s="86" t="n">
        <v>484</v>
      </c>
      <c r="E311" s="76" t="n">
        <v>1650</v>
      </c>
      <c r="F311" s="76" t="n">
        <v>2030</v>
      </c>
      <c r="G311" s="77"/>
      <c r="H311" s="78" t="n">
        <v>4164</v>
      </c>
    </row>
    <row r="312" customFormat="false" ht="15" hidden="false" customHeight="true" outlineLevel="0" collapsed="false">
      <c r="B312" s="87" t="s">
        <v>773</v>
      </c>
      <c r="C312" s="88"/>
      <c r="D312" s="89" t="n">
        <v>11081</v>
      </c>
      <c r="E312" s="89" t="n">
        <v>3730</v>
      </c>
      <c r="F312" s="89" t="n">
        <v>2040</v>
      </c>
      <c r="G312" s="90"/>
      <c r="H312" s="91" t="n">
        <v>16851</v>
      </c>
    </row>
    <row r="313" customFormat="false" ht="15" hidden="false" customHeight="true" outlineLevel="0" collapsed="false">
      <c r="B313" s="56" t="n">
        <v>45711</v>
      </c>
      <c r="C313" s="57" t="s">
        <v>19</v>
      </c>
      <c r="D313" s="92" t="n">
        <v>2926</v>
      </c>
      <c r="E313" s="59"/>
      <c r="F313" s="59"/>
      <c r="G313" s="61"/>
      <c r="H313" s="62" t="n">
        <v>2926</v>
      </c>
    </row>
    <row r="314" customFormat="false" ht="15" hidden="false" customHeight="true" outlineLevel="0" collapsed="false">
      <c r="B314" s="64"/>
      <c r="C314" s="65" t="s">
        <v>25</v>
      </c>
      <c r="D314" s="66" t="n">
        <v>690</v>
      </c>
      <c r="E314" s="71" t="n">
        <v>210</v>
      </c>
      <c r="F314" s="67"/>
      <c r="G314" s="68"/>
      <c r="H314" s="69" t="n">
        <v>900</v>
      </c>
    </row>
    <row r="315" customFormat="false" ht="15" hidden="false" customHeight="true" outlineLevel="0" collapsed="false">
      <c r="B315" s="64"/>
      <c r="C315" s="65" t="s">
        <v>28</v>
      </c>
      <c r="D315" s="73"/>
      <c r="E315" s="71" t="n">
        <v>1165</v>
      </c>
      <c r="F315" s="67"/>
      <c r="G315" s="68"/>
      <c r="H315" s="69" t="n">
        <v>1165</v>
      </c>
    </row>
    <row r="316" customFormat="false" ht="15" hidden="false" customHeight="true" outlineLevel="0" collapsed="false">
      <c r="B316" s="64"/>
      <c r="C316" s="65" t="s">
        <v>37</v>
      </c>
      <c r="D316" s="73"/>
      <c r="E316" s="67"/>
      <c r="F316" s="71" t="n">
        <v>20</v>
      </c>
      <c r="G316" s="68"/>
      <c r="H316" s="69" t="n">
        <v>20</v>
      </c>
    </row>
    <row r="317" customFormat="false" ht="15" hidden="false" customHeight="true" outlineLevel="0" collapsed="false">
      <c r="B317" s="64"/>
      <c r="C317" s="65" t="s">
        <v>43</v>
      </c>
      <c r="D317" s="73"/>
      <c r="E317" s="71" t="n">
        <v>40</v>
      </c>
      <c r="F317" s="67"/>
      <c r="G317" s="68"/>
      <c r="H317" s="69" t="n">
        <v>40</v>
      </c>
    </row>
    <row r="318" customFormat="false" ht="15" hidden="false" customHeight="true" outlineLevel="0" collapsed="false">
      <c r="B318" s="64"/>
      <c r="C318" s="65" t="s">
        <v>34</v>
      </c>
      <c r="D318" s="73"/>
      <c r="E318" s="71" t="n">
        <v>100</v>
      </c>
      <c r="F318" s="71" t="n">
        <v>20</v>
      </c>
      <c r="G318" s="68"/>
      <c r="H318" s="69" t="n">
        <v>120</v>
      </c>
    </row>
    <row r="319" customFormat="false" ht="15" hidden="false" customHeight="true" outlineLevel="0" collapsed="false">
      <c r="B319" s="84"/>
      <c r="C319" s="85" t="s">
        <v>29</v>
      </c>
      <c r="D319" s="86" t="n">
        <v>670</v>
      </c>
      <c r="E319" s="75"/>
      <c r="F319" s="75"/>
      <c r="G319" s="77"/>
      <c r="H319" s="78" t="n">
        <v>670</v>
      </c>
    </row>
    <row r="320" customFormat="false" ht="15" hidden="false" customHeight="true" outlineLevel="0" collapsed="false">
      <c r="B320" s="87" t="s">
        <v>774</v>
      </c>
      <c r="C320" s="88"/>
      <c r="D320" s="89" t="n">
        <v>4286</v>
      </c>
      <c r="E320" s="89" t="n">
        <v>1515</v>
      </c>
      <c r="F320" s="89" t="n">
        <v>40</v>
      </c>
      <c r="G320" s="90"/>
      <c r="H320" s="91" t="n">
        <v>5841</v>
      </c>
    </row>
    <row r="321" customFormat="false" ht="15" hidden="false" customHeight="true" outlineLevel="0" collapsed="false">
      <c r="B321" s="56" t="n">
        <v>45712</v>
      </c>
      <c r="C321" s="57" t="s">
        <v>44</v>
      </c>
      <c r="D321" s="58"/>
      <c r="E321" s="60" t="n">
        <v>1500</v>
      </c>
      <c r="F321" s="59"/>
      <c r="G321" s="61"/>
      <c r="H321" s="62" t="n">
        <v>1500</v>
      </c>
    </row>
    <row r="322" customFormat="false" ht="15" hidden="false" customHeight="true" outlineLevel="0" collapsed="false">
      <c r="B322" s="64"/>
      <c r="C322" s="65" t="s">
        <v>47</v>
      </c>
      <c r="D322" s="66" t="n">
        <v>1680</v>
      </c>
      <c r="E322" s="67"/>
      <c r="F322" s="67"/>
      <c r="G322" s="68"/>
      <c r="H322" s="69" t="n">
        <v>1680</v>
      </c>
    </row>
    <row r="323" customFormat="false" ht="15" hidden="false" customHeight="true" outlineLevel="0" collapsed="false">
      <c r="B323" s="64"/>
      <c r="C323" s="65" t="s">
        <v>19</v>
      </c>
      <c r="D323" s="66" t="n">
        <v>3511</v>
      </c>
      <c r="E323" s="67"/>
      <c r="F323" s="67"/>
      <c r="G323" s="68"/>
      <c r="H323" s="69" t="n">
        <v>3511</v>
      </c>
    </row>
    <row r="324" customFormat="false" ht="15" hidden="false" customHeight="true" outlineLevel="0" collapsed="false">
      <c r="B324" s="64"/>
      <c r="C324" s="65" t="s">
        <v>25</v>
      </c>
      <c r="D324" s="66" t="n">
        <v>976</v>
      </c>
      <c r="E324" s="71" t="n">
        <v>60</v>
      </c>
      <c r="F324" s="67"/>
      <c r="G324" s="68"/>
      <c r="H324" s="69" t="n">
        <v>1036</v>
      </c>
    </row>
    <row r="325" customFormat="false" ht="15" hidden="false" customHeight="true" outlineLevel="0" collapsed="false">
      <c r="B325" s="64"/>
      <c r="C325" s="65" t="s">
        <v>37</v>
      </c>
      <c r="D325" s="73"/>
      <c r="E325" s="67"/>
      <c r="F325" s="71" t="n">
        <v>20</v>
      </c>
      <c r="G325" s="68"/>
      <c r="H325" s="69" t="n">
        <v>20</v>
      </c>
    </row>
    <row r="326" customFormat="false" ht="15" hidden="false" customHeight="true" outlineLevel="0" collapsed="false">
      <c r="B326" s="64"/>
      <c r="C326" s="65" t="s">
        <v>43</v>
      </c>
      <c r="D326" s="73"/>
      <c r="E326" s="71" t="n">
        <v>100</v>
      </c>
      <c r="F326" s="67"/>
      <c r="G326" s="68"/>
      <c r="H326" s="69" t="n">
        <v>100</v>
      </c>
    </row>
    <row r="327" customFormat="false" ht="15" hidden="false" customHeight="true" outlineLevel="0" collapsed="false">
      <c r="B327" s="64"/>
      <c r="C327" s="65" t="s">
        <v>34</v>
      </c>
      <c r="D327" s="73"/>
      <c r="E327" s="71" t="n">
        <v>125</v>
      </c>
      <c r="F327" s="67"/>
      <c r="G327" s="68"/>
      <c r="H327" s="69" t="n">
        <v>125</v>
      </c>
    </row>
    <row r="328" customFormat="false" ht="15" hidden="false" customHeight="true" outlineLevel="0" collapsed="false">
      <c r="B328" s="84"/>
      <c r="C328" s="85" t="s">
        <v>29</v>
      </c>
      <c r="D328" s="86" t="n">
        <v>371</v>
      </c>
      <c r="E328" s="75"/>
      <c r="F328" s="75"/>
      <c r="G328" s="77"/>
      <c r="H328" s="78" t="n">
        <v>371</v>
      </c>
    </row>
    <row r="329" customFormat="false" ht="15" hidden="false" customHeight="true" outlineLevel="0" collapsed="false">
      <c r="B329" s="87" t="s">
        <v>775</v>
      </c>
      <c r="C329" s="88"/>
      <c r="D329" s="89" t="n">
        <v>6538</v>
      </c>
      <c r="E329" s="89" t="n">
        <v>1785</v>
      </c>
      <c r="F329" s="89" t="n">
        <v>20</v>
      </c>
      <c r="G329" s="90"/>
      <c r="H329" s="91" t="n">
        <v>8343</v>
      </c>
    </row>
    <row r="330" customFormat="false" ht="15" hidden="false" customHeight="true" outlineLevel="0" collapsed="false">
      <c r="B330" s="56" t="n">
        <v>45713</v>
      </c>
      <c r="C330" s="57" t="s">
        <v>19</v>
      </c>
      <c r="D330" s="92" t="n">
        <v>823</v>
      </c>
      <c r="E330" s="59"/>
      <c r="F330" s="59"/>
      <c r="G330" s="61"/>
      <c r="H330" s="62" t="n">
        <v>823</v>
      </c>
    </row>
    <row r="331" customFormat="false" ht="15" hidden="false" customHeight="true" outlineLevel="0" collapsed="false">
      <c r="B331" s="64"/>
      <c r="C331" s="65" t="s">
        <v>25</v>
      </c>
      <c r="D331" s="66" t="n">
        <v>496</v>
      </c>
      <c r="E331" s="71" t="n">
        <v>37</v>
      </c>
      <c r="F331" s="67"/>
      <c r="G331" s="68"/>
      <c r="H331" s="69" t="n">
        <v>533</v>
      </c>
    </row>
    <row r="332" customFormat="false" ht="15" hidden="false" customHeight="true" outlineLevel="0" collapsed="false">
      <c r="B332" s="64"/>
      <c r="C332" s="65" t="s">
        <v>12</v>
      </c>
      <c r="D332" s="66" t="n">
        <v>21050</v>
      </c>
      <c r="E332" s="67"/>
      <c r="F332" s="67"/>
      <c r="G332" s="68"/>
      <c r="H332" s="69" t="n">
        <v>21050</v>
      </c>
    </row>
    <row r="333" customFormat="false" ht="15" hidden="false" customHeight="true" outlineLevel="0" collapsed="false">
      <c r="B333" s="64"/>
      <c r="C333" s="65" t="s">
        <v>22</v>
      </c>
      <c r="D333" s="66" t="n">
        <v>4104</v>
      </c>
      <c r="E333" s="71" t="n">
        <v>198</v>
      </c>
      <c r="F333" s="67"/>
      <c r="G333" s="68"/>
      <c r="H333" s="69" t="n">
        <v>4302</v>
      </c>
    </row>
    <row r="334" customFormat="false" ht="15" hidden="false" customHeight="true" outlineLevel="0" collapsed="false">
      <c r="B334" s="64"/>
      <c r="C334" s="65" t="s">
        <v>37</v>
      </c>
      <c r="D334" s="73"/>
      <c r="E334" s="67"/>
      <c r="F334" s="71" t="n">
        <v>20</v>
      </c>
      <c r="G334" s="68"/>
      <c r="H334" s="69" t="n">
        <v>20</v>
      </c>
    </row>
    <row r="335" customFormat="false" ht="15" hidden="false" customHeight="true" outlineLevel="0" collapsed="false">
      <c r="B335" s="64"/>
      <c r="C335" s="65" t="s">
        <v>43</v>
      </c>
      <c r="D335" s="73"/>
      <c r="E335" s="67"/>
      <c r="F335" s="71" t="n">
        <v>20</v>
      </c>
      <c r="G335" s="68"/>
      <c r="H335" s="69" t="n">
        <v>20</v>
      </c>
    </row>
    <row r="336" customFormat="false" ht="15" hidden="false" customHeight="true" outlineLevel="0" collapsed="false">
      <c r="B336" s="64"/>
      <c r="C336" s="65" t="s">
        <v>34</v>
      </c>
      <c r="D336" s="73"/>
      <c r="E336" s="71" t="n">
        <v>100</v>
      </c>
      <c r="F336" s="67"/>
      <c r="G336" s="68"/>
      <c r="H336" s="69" t="n">
        <v>100</v>
      </c>
    </row>
    <row r="337" customFormat="false" ht="15" hidden="false" customHeight="true" outlineLevel="0" collapsed="false">
      <c r="B337" s="84"/>
      <c r="C337" s="85" t="s">
        <v>29</v>
      </c>
      <c r="D337" s="86" t="n">
        <v>282</v>
      </c>
      <c r="E337" s="75"/>
      <c r="F337" s="75"/>
      <c r="G337" s="77"/>
      <c r="H337" s="78" t="n">
        <v>282</v>
      </c>
    </row>
    <row r="338" customFormat="false" ht="15" hidden="false" customHeight="true" outlineLevel="0" collapsed="false">
      <c r="B338" s="87" t="s">
        <v>776</v>
      </c>
      <c r="C338" s="88"/>
      <c r="D338" s="89" t="n">
        <v>26755</v>
      </c>
      <c r="E338" s="89" t="n">
        <v>335</v>
      </c>
      <c r="F338" s="89" t="n">
        <v>40</v>
      </c>
      <c r="G338" s="90"/>
      <c r="H338" s="91" t="n">
        <v>27130</v>
      </c>
    </row>
    <row r="339" customFormat="false" ht="15" hidden="false" customHeight="true" outlineLevel="0" collapsed="false">
      <c r="B339" s="56" t="n">
        <v>45715</v>
      </c>
      <c r="C339" s="57" t="s">
        <v>44</v>
      </c>
      <c r="D339" s="58"/>
      <c r="E339" s="60" t="n">
        <v>200</v>
      </c>
      <c r="F339" s="59"/>
      <c r="G339" s="61"/>
      <c r="H339" s="62" t="n">
        <v>200</v>
      </c>
    </row>
    <row r="340" customFormat="false" ht="15" hidden="false" customHeight="true" outlineLevel="0" collapsed="false">
      <c r="B340" s="64"/>
      <c r="C340" s="65" t="s">
        <v>32</v>
      </c>
      <c r="D340" s="73"/>
      <c r="E340" s="71" t="n">
        <v>700</v>
      </c>
      <c r="F340" s="67"/>
      <c r="G340" s="68"/>
      <c r="H340" s="69" t="n">
        <v>700</v>
      </c>
    </row>
    <row r="341" customFormat="false" ht="15" hidden="false" customHeight="true" outlineLevel="0" collapsed="false">
      <c r="B341" s="64"/>
      <c r="C341" s="65" t="s">
        <v>19</v>
      </c>
      <c r="D341" s="66" t="n">
        <v>6351</v>
      </c>
      <c r="E341" s="67"/>
      <c r="F341" s="67"/>
      <c r="G341" s="68"/>
      <c r="H341" s="69" t="n">
        <v>6351</v>
      </c>
    </row>
    <row r="342" customFormat="false" ht="15" hidden="false" customHeight="true" outlineLevel="0" collapsed="false">
      <c r="B342" s="64"/>
      <c r="C342" s="65" t="s">
        <v>25</v>
      </c>
      <c r="D342" s="66" t="n">
        <v>1710</v>
      </c>
      <c r="E342" s="71" t="n">
        <v>580</v>
      </c>
      <c r="F342" s="67"/>
      <c r="G342" s="68"/>
      <c r="H342" s="69" t="n">
        <v>2290</v>
      </c>
    </row>
    <row r="343" customFormat="false" ht="15" hidden="false" customHeight="true" outlineLevel="0" collapsed="false">
      <c r="B343" s="64"/>
      <c r="C343" s="65" t="s">
        <v>22</v>
      </c>
      <c r="D343" s="66" t="n">
        <v>1258</v>
      </c>
      <c r="E343" s="67"/>
      <c r="F343" s="67"/>
      <c r="G343" s="68"/>
      <c r="H343" s="69" t="n">
        <v>1258</v>
      </c>
    </row>
    <row r="344" customFormat="false" ht="15" hidden="false" customHeight="true" outlineLevel="0" collapsed="false">
      <c r="B344" s="64"/>
      <c r="C344" s="65" t="s">
        <v>37</v>
      </c>
      <c r="D344" s="73"/>
      <c r="E344" s="67"/>
      <c r="F344" s="71" t="n">
        <v>30</v>
      </c>
      <c r="G344" s="68"/>
      <c r="H344" s="69" t="n">
        <v>30</v>
      </c>
    </row>
    <row r="345" customFormat="false" ht="15" hidden="false" customHeight="true" outlineLevel="0" collapsed="false">
      <c r="B345" s="64"/>
      <c r="C345" s="65" t="s">
        <v>43</v>
      </c>
      <c r="D345" s="73"/>
      <c r="E345" s="71" t="n">
        <v>60</v>
      </c>
      <c r="F345" s="67"/>
      <c r="G345" s="68"/>
      <c r="H345" s="69" t="n">
        <v>60</v>
      </c>
    </row>
    <row r="346" customFormat="false" ht="15" hidden="false" customHeight="true" outlineLevel="0" collapsed="false">
      <c r="B346" s="64"/>
      <c r="C346" s="65" t="s">
        <v>34</v>
      </c>
      <c r="D346" s="73"/>
      <c r="E346" s="71" t="n">
        <v>225</v>
      </c>
      <c r="F346" s="71" t="n">
        <v>20</v>
      </c>
      <c r="G346" s="68"/>
      <c r="H346" s="69" t="n">
        <v>245</v>
      </c>
    </row>
    <row r="347" customFormat="false" ht="15" hidden="false" customHeight="true" outlineLevel="0" collapsed="false">
      <c r="B347" s="84"/>
      <c r="C347" s="85" t="s">
        <v>29</v>
      </c>
      <c r="D347" s="86" t="n">
        <v>845</v>
      </c>
      <c r="E347" s="76" t="n">
        <v>120</v>
      </c>
      <c r="F347" s="75"/>
      <c r="G347" s="77"/>
      <c r="H347" s="78" t="n">
        <v>965</v>
      </c>
    </row>
    <row r="348" customFormat="false" ht="15" hidden="false" customHeight="true" outlineLevel="0" collapsed="false">
      <c r="B348" s="87" t="s">
        <v>777</v>
      </c>
      <c r="C348" s="88"/>
      <c r="D348" s="89" t="n">
        <v>10164</v>
      </c>
      <c r="E348" s="89" t="n">
        <v>1885</v>
      </c>
      <c r="F348" s="89" t="n">
        <v>50</v>
      </c>
      <c r="G348" s="90"/>
      <c r="H348" s="91" t="n">
        <v>12099</v>
      </c>
    </row>
    <row r="349" customFormat="false" ht="15" hidden="false" customHeight="true" outlineLevel="0" collapsed="false">
      <c r="B349" s="56" t="n">
        <v>45716</v>
      </c>
      <c r="C349" s="57" t="s">
        <v>44</v>
      </c>
      <c r="D349" s="58"/>
      <c r="E349" s="59"/>
      <c r="F349" s="60" t="n">
        <v>2100</v>
      </c>
      <c r="G349" s="61"/>
      <c r="H349" s="62" t="n">
        <v>2100</v>
      </c>
    </row>
    <row r="350" customFormat="false" ht="15" hidden="false" customHeight="true" outlineLevel="0" collapsed="false">
      <c r="B350" s="64"/>
      <c r="C350" s="65" t="s">
        <v>53</v>
      </c>
      <c r="D350" s="73"/>
      <c r="E350" s="71" t="n">
        <v>270</v>
      </c>
      <c r="F350" s="67"/>
      <c r="G350" s="68"/>
      <c r="H350" s="69" t="n">
        <v>270</v>
      </c>
    </row>
    <row r="351" customFormat="false" ht="15" hidden="false" customHeight="true" outlineLevel="0" collapsed="false">
      <c r="B351" s="64"/>
      <c r="C351" s="65" t="s">
        <v>47</v>
      </c>
      <c r="D351" s="66" t="n">
        <v>1680</v>
      </c>
      <c r="E351" s="67"/>
      <c r="F351" s="67"/>
      <c r="G351" s="68"/>
      <c r="H351" s="69" t="n">
        <v>1680</v>
      </c>
    </row>
    <row r="352" customFormat="false" ht="15" hidden="false" customHeight="true" outlineLevel="0" collapsed="false">
      <c r="B352" s="64"/>
      <c r="C352" s="65" t="s">
        <v>19</v>
      </c>
      <c r="D352" s="66" t="n">
        <v>7910</v>
      </c>
      <c r="E352" s="67"/>
      <c r="F352" s="67"/>
      <c r="G352" s="68"/>
      <c r="H352" s="69" t="n">
        <v>7910</v>
      </c>
    </row>
    <row r="353" customFormat="false" ht="15" hidden="false" customHeight="true" outlineLevel="0" collapsed="false">
      <c r="B353" s="64"/>
      <c r="C353" s="65" t="s">
        <v>25</v>
      </c>
      <c r="D353" s="66" t="n">
        <v>810</v>
      </c>
      <c r="E353" s="67"/>
      <c r="F353" s="67"/>
      <c r="G353" s="68"/>
      <c r="H353" s="69" t="n">
        <v>810</v>
      </c>
    </row>
    <row r="354" customFormat="false" ht="15" hidden="false" customHeight="true" outlineLevel="0" collapsed="false">
      <c r="B354" s="64"/>
      <c r="C354" s="65" t="s">
        <v>28</v>
      </c>
      <c r="D354" s="73"/>
      <c r="E354" s="67"/>
      <c r="F354" s="71" t="n">
        <v>765</v>
      </c>
      <c r="G354" s="68"/>
      <c r="H354" s="69" t="n">
        <v>765</v>
      </c>
    </row>
    <row r="355" customFormat="false" ht="15" hidden="false" customHeight="true" outlineLevel="0" collapsed="false">
      <c r="B355" s="64"/>
      <c r="C355" s="65" t="s">
        <v>22</v>
      </c>
      <c r="D355" s="66" t="n">
        <v>4202</v>
      </c>
      <c r="E355" s="71" t="n">
        <v>310</v>
      </c>
      <c r="F355" s="71" t="n">
        <v>10</v>
      </c>
      <c r="G355" s="68"/>
      <c r="H355" s="69" t="n">
        <v>4522</v>
      </c>
    </row>
    <row r="356" customFormat="false" ht="15" hidden="false" customHeight="true" outlineLevel="0" collapsed="false">
      <c r="B356" s="64"/>
      <c r="C356" s="65" t="s">
        <v>37</v>
      </c>
      <c r="D356" s="73"/>
      <c r="E356" s="67"/>
      <c r="F356" s="71" t="n">
        <v>6</v>
      </c>
      <c r="G356" s="68"/>
      <c r="H356" s="69" t="n">
        <v>6</v>
      </c>
    </row>
    <row r="357" customFormat="false" ht="15" hidden="false" customHeight="true" outlineLevel="0" collapsed="false">
      <c r="B357" s="64"/>
      <c r="C357" s="65" t="s">
        <v>43</v>
      </c>
      <c r="D357" s="73"/>
      <c r="E357" s="71" t="n">
        <v>120</v>
      </c>
      <c r="F357" s="67"/>
      <c r="G357" s="68"/>
      <c r="H357" s="69" t="n">
        <v>120</v>
      </c>
    </row>
    <row r="358" customFormat="false" ht="15" hidden="false" customHeight="true" outlineLevel="0" collapsed="false">
      <c r="B358" s="64"/>
      <c r="C358" s="65" t="s">
        <v>40</v>
      </c>
      <c r="D358" s="73"/>
      <c r="E358" s="71" t="n">
        <v>2420</v>
      </c>
      <c r="F358" s="67"/>
      <c r="G358" s="68"/>
      <c r="H358" s="69" t="n">
        <v>2420</v>
      </c>
    </row>
    <row r="359" customFormat="false" ht="15" hidden="false" customHeight="true" outlineLevel="0" collapsed="false">
      <c r="B359" s="64"/>
      <c r="C359" s="65" t="s">
        <v>31</v>
      </c>
      <c r="D359" s="73"/>
      <c r="E359" s="71" t="n">
        <v>400</v>
      </c>
      <c r="F359" s="71" t="n">
        <v>780</v>
      </c>
      <c r="G359" s="68"/>
      <c r="H359" s="69" t="n">
        <v>1180</v>
      </c>
    </row>
    <row r="360" customFormat="false" ht="15" hidden="false" customHeight="true" outlineLevel="0" collapsed="false">
      <c r="B360" s="64"/>
      <c r="C360" s="65" t="s">
        <v>56</v>
      </c>
      <c r="D360" s="73"/>
      <c r="E360" s="71" t="n">
        <v>450</v>
      </c>
      <c r="F360" s="67"/>
      <c r="G360" s="68"/>
      <c r="H360" s="69" t="n">
        <v>450</v>
      </c>
    </row>
    <row r="361" customFormat="false" ht="15" hidden="false" customHeight="true" outlineLevel="0" collapsed="false">
      <c r="B361" s="64"/>
      <c r="C361" s="65" t="s">
        <v>34</v>
      </c>
      <c r="D361" s="73"/>
      <c r="E361" s="67"/>
      <c r="F361" s="71" t="n">
        <v>130</v>
      </c>
      <c r="G361" s="68"/>
      <c r="H361" s="69" t="n">
        <v>130</v>
      </c>
    </row>
    <row r="362" customFormat="false" ht="15" hidden="false" customHeight="true" outlineLevel="0" collapsed="false">
      <c r="B362" s="84"/>
      <c r="C362" s="85" t="s">
        <v>29</v>
      </c>
      <c r="D362" s="86" t="n">
        <v>727</v>
      </c>
      <c r="E362" s="76" t="n">
        <v>1200</v>
      </c>
      <c r="F362" s="75"/>
      <c r="G362" s="77"/>
      <c r="H362" s="78" t="n">
        <v>1927</v>
      </c>
    </row>
    <row r="363" customFormat="false" ht="15" hidden="false" customHeight="true" outlineLevel="0" collapsed="false">
      <c r="B363" s="87" t="s">
        <v>778</v>
      </c>
      <c r="C363" s="88"/>
      <c r="D363" s="89" t="n">
        <v>15329</v>
      </c>
      <c r="E363" s="89" t="n">
        <v>5170</v>
      </c>
      <c r="F363" s="89" t="n">
        <v>3791</v>
      </c>
      <c r="G363" s="90"/>
      <c r="H363" s="91" t="n">
        <v>24290</v>
      </c>
    </row>
    <row r="364" customFormat="false" ht="15" hidden="false" customHeight="true" outlineLevel="0" collapsed="false">
      <c r="B364" s="56" t="n">
        <v>45717</v>
      </c>
      <c r="C364" s="57" t="s">
        <v>53</v>
      </c>
      <c r="D364" s="92" t="n">
        <v>2160</v>
      </c>
      <c r="E364" s="59"/>
      <c r="F364" s="59"/>
      <c r="G364" s="61"/>
      <c r="H364" s="62" t="n">
        <v>2160</v>
      </c>
    </row>
    <row r="365" customFormat="false" ht="15" hidden="false" customHeight="true" outlineLevel="0" collapsed="false">
      <c r="B365" s="64"/>
      <c r="C365" s="65" t="s">
        <v>47</v>
      </c>
      <c r="D365" s="66" t="n">
        <v>840</v>
      </c>
      <c r="E365" s="67"/>
      <c r="F365" s="67"/>
      <c r="G365" s="68"/>
      <c r="H365" s="69" t="n">
        <v>840</v>
      </c>
    </row>
    <row r="366" customFormat="false" ht="15" hidden="false" customHeight="true" outlineLevel="0" collapsed="false">
      <c r="B366" s="64"/>
      <c r="C366" s="65" t="s">
        <v>19</v>
      </c>
      <c r="D366" s="66" t="n">
        <v>8352</v>
      </c>
      <c r="E366" s="67"/>
      <c r="F366" s="67"/>
      <c r="G366" s="68"/>
      <c r="H366" s="69" t="n">
        <v>8352</v>
      </c>
    </row>
    <row r="367" customFormat="false" ht="15" hidden="false" customHeight="true" outlineLevel="0" collapsed="false">
      <c r="B367" s="64"/>
      <c r="C367" s="65" t="s">
        <v>25</v>
      </c>
      <c r="D367" s="66" t="n">
        <v>2298</v>
      </c>
      <c r="E367" s="71" t="n">
        <v>700</v>
      </c>
      <c r="F367" s="67"/>
      <c r="G367" s="68"/>
      <c r="H367" s="69" t="n">
        <v>2998</v>
      </c>
    </row>
    <row r="368" customFormat="false" ht="15" hidden="false" customHeight="true" outlineLevel="0" collapsed="false">
      <c r="B368" s="64"/>
      <c r="C368" s="65" t="s">
        <v>22</v>
      </c>
      <c r="D368" s="66" t="n">
        <v>4645</v>
      </c>
      <c r="E368" s="67"/>
      <c r="F368" s="67"/>
      <c r="G368" s="68"/>
      <c r="H368" s="69" t="n">
        <v>4645</v>
      </c>
    </row>
    <row r="369" customFormat="false" ht="15" hidden="false" customHeight="true" outlineLevel="0" collapsed="false">
      <c r="B369" s="64"/>
      <c r="C369" s="65" t="s">
        <v>37</v>
      </c>
      <c r="D369" s="73"/>
      <c r="E369" s="67"/>
      <c r="F369" s="71" t="n">
        <v>50</v>
      </c>
      <c r="G369" s="68"/>
      <c r="H369" s="69" t="n">
        <v>50</v>
      </c>
    </row>
    <row r="370" customFormat="false" ht="15" hidden="false" customHeight="true" outlineLevel="0" collapsed="false">
      <c r="B370" s="64"/>
      <c r="C370" s="65" t="s">
        <v>43</v>
      </c>
      <c r="D370" s="73"/>
      <c r="E370" s="71" t="n">
        <v>270</v>
      </c>
      <c r="F370" s="67"/>
      <c r="G370" s="68"/>
      <c r="H370" s="69" t="n">
        <v>270</v>
      </c>
    </row>
    <row r="371" customFormat="false" ht="15" hidden="false" customHeight="true" outlineLevel="0" collapsed="false">
      <c r="B371" s="64"/>
      <c r="C371" s="65" t="s">
        <v>34</v>
      </c>
      <c r="D371" s="73"/>
      <c r="E371" s="71" t="n">
        <v>120</v>
      </c>
      <c r="F371" s="67"/>
      <c r="G371" s="68"/>
      <c r="H371" s="69" t="n">
        <v>120</v>
      </c>
    </row>
    <row r="372" customFormat="false" ht="15" hidden="false" customHeight="true" outlineLevel="0" collapsed="false">
      <c r="B372" s="84"/>
      <c r="C372" s="85" t="s">
        <v>29</v>
      </c>
      <c r="D372" s="74"/>
      <c r="E372" s="75"/>
      <c r="F372" s="76" t="n">
        <v>25</v>
      </c>
      <c r="G372" s="77"/>
      <c r="H372" s="78" t="n">
        <v>25</v>
      </c>
    </row>
    <row r="373" customFormat="false" ht="15" hidden="false" customHeight="true" outlineLevel="0" collapsed="false">
      <c r="B373" s="87" t="s">
        <v>779</v>
      </c>
      <c r="C373" s="88"/>
      <c r="D373" s="89" t="n">
        <v>18295</v>
      </c>
      <c r="E373" s="89" t="n">
        <v>1090</v>
      </c>
      <c r="F373" s="89" t="n">
        <v>75</v>
      </c>
      <c r="G373" s="90"/>
      <c r="H373" s="91" t="n">
        <v>19460</v>
      </c>
    </row>
    <row r="374" customFormat="false" ht="15" hidden="false" customHeight="true" outlineLevel="0" collapsed="false">
      <c r="B374" s="56" t="n">
        <v>45718</v>
      </c>
      <c r="C374" s="57" t="s">
        <v>44</v>
      </c>
      <c r="D374" s="92" t="n">
        <v>5000</v>
      </c>
      <c r="E374" s="59"/>
      <c r="F374" s="59"/>
      <c r="G374" s="61"/>
      <c r="H374" s="62" t="n">
        <v>5000</v>
      </c>
    </row>
    <row r="375" customFormat="false" ht="15" hidden="false" customHeight="true" outlineLevel="0" collapsed="false">
      <c r="B375" s="64"/>
      <c r="C375" s="65" t="s">
        <v>53</v>
      </c>
      <c r="D375" s="66" t="n">
        <v>2400</v>
      </c>
      <c r="E375" s="67"/>
      <c r="F375" s="67"/>
      <c r="G375" s="68"/>
      <c r="H375" s="69" t="n">
        <v>2400</v>
      </c>
    </row>
    <row r="376" customFormat="false" ht="15" hidden="false" customHeight="true" outlineLevel="0" collapsed="false">
      <c r="B376" s="64"/>
      <c r="C376" s="65" t="s">
        <v>19</v>
      </c>
      <c r="D376" s="66" t="n">
        <v>9188</v>
      </c>
      <c r="E376" s="67"/>
      <c r="F376" s="67"/>
      <c r="G376" s="68"/>
      <c r="H376" s="69" t="n">
        <v>9188</v>
      </c>
    </row>
    <row r="377" customFormat="false" ht="15" hidden="false" customHeight="true" outlineLevel="0" collapsed="false">
      <c r="B377" s="64"/>
      <c r="C377" s="65" t="s">
        <v>25</v>
      </c>
      <c r="D377" s="66" t="n">
        <v>2795</v>
      </c>
      <c r="E377" s="67"/>
      <c r="F377" s="67"/>
      <c r="G377" s="68"/>
      <c r="H377" s="69" t="n">
        <v>2795</v>
      </c>
    </row>
    <row r="378" customFormat="false" ht="15" hidden="false" customHeight="true" outlineLevel="0" collapsed="false">
      <c r="B378" s="64"/>
      <c r="C378" s="65" t="s">
        <v>28</v>
      </c>
      <c r="D378" s="73"/>
      <c r="E378" s="71" t="n">
        <v>770</v>
      </c>
      <c r="F378" s="67"/>
      <c r="G378" s="68"/>
      <c r="H378" s="69" t="n">
        <v>770</v>
      </c>
    </row>
    <row r="379" customFormat="false" ht="15" hidden="false" customHeight="true" outlineLevel="0" collapsed="false">
      <c r="B379" s="64"/>
      <c r="C379" s="65" t="s">
        <v>22</v>
      </c>
      <c r="D379" s="66" t="n">
        <v>2925</v>
      </c>
      <c r="E379" s="67"/>
      <c r="F379" s="67"/>
      <c r="G379" s="68"/>
      <c r="H379" s="69" t="n">
        <v>2925</v>
      </c>
    </row>
    <row r="380" customFormat="false" ht="15" hidden="false" customHeight="true" outlineLevel="0" collapsed="false">
      <c r="B380" s="64"/>
      <c r="C380" s="65" t="s">
        <v>37</v>
      </c>
      <c r="D380" s="73"/>
      <c r="E380" s="67"/>
      <c r="F380" s="71" t="n">
        <v>50</v>
      </c>
      <c r="G380" s="68"/>
      <c r="H380" s="69" t="n">
        <v>50</v>
      </c>
    </row>
    <row r="381" customFormat="false" ht="15" hidden="false" customHeight="true" outlineLevel="0" collapsed="false">
      <c r="B381" s="64"/>
      <c r="C381" s="65" t="s">
        <v>43</v>
      </c>
      <c r="D381" s="73"/>
      <c r="E381" s="71" t="n">
        <v>110</v>
      </c>
      <c r="F381" s="67"/>
      <c r="G381" s="68"/>
      <c r="H381" s="69" t="n">
        <v>110</v>
      </c>
    </row>
    <row r="382" customFormat="false" ht="15" hidden="false" customHeight="true" outlineLevel="0" collapsed="false">
      <c r="B382" s="84"/>
      <c r="C382" s="85" t="s">
        <v>34</v>
      </c>
      <c r="D382" s="74"/>
      <c r="E382" s="76" t="n">
        <v>125</v>
      </c>
      <c r="F382" s="75"/>
      <c r="G382" s="77"/>
      <c r="H382" s="78" t="n">
        <v>125</v>
      </c>
    </row>
    <row r="383" customFormat="false" ht="15" hidden="false" customHeight="true" outlineLevel="0" collapsed="false">
      <c r="B383" s="87" t="s">
        <v>780</v>
      </c>
      <c r="C383" s="88"/>
      <c r="D383" s="89" t="n">
        <v>22308</v>
      </c>
      <c r="E383" s="89" t="n">
        <v>1005</v>
      </c>
      <c r="F383" s="89" t="n">
        <v>50</v>
      </c>
      <c r="G383" s="90"/>
      <c r="H383" s="91" t="n">
        <v>23363</v>
      </c>
    </row>
    <row r="384" customFormat="false" ht="15" hidden="false" customHeight="true" outlineLevel="0" collapsed="false">
      <c r="B384" s="56" t="n">
        <v>45719</v>
      </c>
      <c r="C384" s="57" t="s">
        <v>47</v>
      </c>
      <c r="D384" s="92" t="n">
        <v>1680</v>
      </c>
      <c r="E384" s="59"/>
      <c r="F384" s="59"/>
      <c r="G384" s="61"/>
      <c r="H384" s="62" t="n">
        <v>1680</v>
      </c>
    </row>
    <row r="385" customFormat="false" ht="15" hidden="false" customHeight="true" outlineLevel="0" collapsed="false">
      <c r="B385" s="64"/>
      <c r="C385" s="65" t="s">
        <v>19</v>
      </c>
      <c r="D385" s="66" t="n">
        <v>7309</v>
      </c>
      <c r="E385" s="67"/>
      <c r="F385" s="67"/>
      <c r="G385" s="68"/>
      <c r="H385" s="69" t="n">
        <v>7309</v>
      </c>
    </row>
    <row r="386" customFormat="false" ht="15" hidden="false" customHeight="true" outlineLevel="0" collapsed="false">
      <c r="B386" s="64"/>
      <c r="C386" s="65" t="s">
        <v>25</v>
      </c>
      <c r="D386" s="66" t="n">
        <v>1381</v>
      </c>
      <c r="E386" s="71" t="n">
        <v>610</v>
      </c>
      <c r="F386" s="67"/>
      <c r="G386" s="68"/>
      <c r="H386" s="69" t="n">
        <v>1991</v>
      </c>
    </row>
    <row r="387" customFormat="false" ht="15" hidden="false" customHeight="true" outlineLevel="0" collapsed="false">
      <c r="B387" s="64"/>
      <c r="C387" s="65" t="s">
        <v>28</v>
      </c>
      <c r="D387" s="73"/>
      <c r="E387" s="67"/>
      <c r="F387" s="71" t="n">
        <v>880</v>
      </c>
      <c r="G387" s="68"/>
      <c r="H387" s="69" t="n">
        <v>880</v>
      </c>
    </row>
    <row r="388" customFormat="false" ht="15" hidden="false" customHeight="true" outlineLevel="0" collapsed="false">
      <c r="B388" s="64"/>
      <c r="C388" s="65" t="s">
        <v>22</v>
      </c>
      <c r="D388" s="66" t="n">
        <v>4752</v>
      </c>
      <c r="E388" s="71" t="n">
        <v>272</v>
      </c>
      <c r="F388" s="67"/>
      <c r="G388" s="68"/>
      <c r="H388" s="69" t="n">
        <v>5024</v>
      </c>
    </row>
    <row r="389" customFormat="false" ht="15" hidden="false" customHeight="true" outlineLevel="0" collapsed="false">
      <c r="B389" s="64"/>
      <c r="C389" s="65" t="s">
        <v>37</v>
      </c>
      <c r="D389" s="73"/>
      <c r="E389" s="67"/>
      <c r="F389" s="71" t="n">
        <v>100</v>
      </c>
      <c r="G389" s="68"/>
      <c r="H389" s="69" t="n">
        <v>100</v>
      </c>
    </row>
    <row r="390" customFormat="false" ht="15" hidden="false" customHeight="true" outlineLevel="0" collapsed="false">
      <c r="B390" s="64"/>
      <c r="C390" s="65" t="s">
        <v>107</v>
      </c>
      <c r="D390" s="73"/>
      <c r="E390" s="71" t="n">
        <v>700</v>
      </c>
      <c r="F390" s="67"/>
      <c r="G390" s="68"/>
      <c r="H390" s="69" t="n">
        <v>700</v>
      </c>
    </row>
    <row r="391" customFormat="false" ht="15" hidden="false" customHeight="true" outlineLevel="0" collapsed="false">
      <c r="B391" s="64"/>
      <c r="C391" s="65" t="s">
        <v>40</v>
      </c>
      <c r="D391" s="73"/>
      <c r="E391" s="71" t="n">
        <v>2220</v>
      </c>
      <c r="F391" s="67"/>
      <c r="G391" s="68"/>
      <c r="H391" s="69" t="n">
        <v>2220</v>
      </c>
    </row>
    <row r="392" customFormat="false" ht="15" hidden="false" customHeight="true" outlineLevel="0" collapsed="false">
      <c r="B392" s="64"/>
      <c r="C392" s="65" t="s">
        <v>34</v>
      </c>
      <c r="D392" s="73"/>
      <c r="E392" s="71" t="n">
        <v>100</v>
      </c>
      <c r="F392" s="67"/>
      <c r="G392" s="68"/>
      <c r="H392" s="69" t="n">
        <v>100</v>
      </c>
    </row>
    <row r="393" customFormat="false" ht="15" hidden="false" customHeight="true" outlineLevel="0" collapsed="false">
      <c r="B393" s="84"/>
      <c r="C393" s="85" t="s">
        <v>29</v>
      </c>
      <c r="D393" s="74"/>
      <c r="E393" s="76" t="n">
        <v>120</v>
      </c>
      <c r="F393" s="76" t="n">
        <v>35</v>
      </c>
      <c r="G393" s="77"/>
      <c r="H393" s="78" t="n">
        <v>155</v>
      </c>
    </row>
    <row r="394" customFormat="false" ht="15" hidden="false" customHeight="true" outlineLevel="0" collapsed="false">
      <c r="B394" s="87" t="s">
        <v>781</v>
      </c>
      <c r="C394" s="88"/>
      <c r="D394" s="89" t="n">
        <v>15122</v>
      </c>
      <c r="E394" s="89" t="n">
        <v>4022</v>
      </c>
      <c r="F394" s="89" t="n">
        <v>1015</v>
      </c>
      <c r="G394" s="90"/>
      <c r="H394" s="91" t="n">
        <v>20159</v>
      </c>
    </row>
    <row r="395" customFormat="false" ht="15" hidden="false" customHeight="true" outlineLevel="0" collapsed="false">
      <c r="B395" s="56" t="n">
        <v>45720</v>
      </c>
      <c r="C395" s="57" t="s">
        <v>44</v>
      </c>
      <c r="D395" s="92" t="n">
        <v>6000</v>
      </c>
      <c r="E395" s="59"/>
      <c r="F395" s="59"/>
      <c r="G395" s="61"/>
      <c r="H395" s="62" t="n">
        <v>6000</v>
      </c>
    </row>
    <row r="396" customFormat="false" ht="15" hidden="false" customHeight="true" outlineLevel="0" collapsed="false">
      <c r="B396" s="64"/>
      <c r="C396" s="65" t="s">
        <v>53</v>
      </c>
      <c r="D396" s="66" t="n">
        <v>1300</v>
      </c>
      <c r="E396" s="67"/>
      <c r="F396" s="67"/>
      <c r="G396" s="68"/>
      <c r="H396" s="69" t="n">
        <v>1300</v>
      </c>
    </row>
    <row r="397" customFormat="false" ht="15" hidden="false" customHeight="true" outlineLevel="0" collapsed="false">
      <c r="B397" s="64"/>
      <c r="C397" s="65" t="s">
        <v>19</v>
      </c>
      <c r="D397" s="66" t="n">
        <v>2661</v>
      </c>
      <c r="E397" s="67"/>
      <c r="F397" s="67"/>
      <c r="G397" s="68"/>
      <c r="H397" s="69" t="n">
        <v>2661</v>
      </c>
    </row>
    <row r="398" customFormat="false" ht="15" hidden="false" customHeight="true" outlineLevel="0" collapsed="false">
      <c r="B398" s="64"/>
      <c r="C398" s="65" t="s">
        <v>25</v>
      </c>
      <c r="D398" s="66" t="n">
        <v>371</v>
      </c>
      <c r="E398" s="67"/>
      <c r="F398" s="67"/>
      <c r="G398" s="68"/>
      <c r="H398" s="69" t="n">
        <v>371</v>
      </c>
    </row>
    <row r="399" customFormat="false" ht="15" hidden="false" customHeight="true" outlineLevel="0" collapsed="false">
      <c r="B399" s="64"/>
      <c r="C399" s="65" t="s">
        <v>22</v>
      </c>
      <c r="D399" s="66" t="n">
        <v>2040</v>
      </c>
      <c r="E399" s="71" t="n">
        <v>300</v>
      </c>
      <c r="F399" s="67"/>
      <c r="G399" s="68"/>
      <c r="H399" s="69" t="n">
        <v>2340</v>
      </c>
    </row>
    <row r="400" customFormat="false" ht="15" hidden="false" customHeight="true" outlineLevel="0" collapsed="false">
      <c r="B400" s="64"/>
      <c r="C400" s="65" t="s">
        <v>37</v>
      </c>
      <c r="D400" s="73"/>
      <c r="E400" s="67"/>
      <c r="F400" s="71" t="n">
        <v>50</v>
      </c>
      <c r="G400" s="68"/>
      <c r="H400" s="69" t="n">
        <v>50</v>
      </c>
    </row>
    <row r="401" customFormat="false" ht="15" hidden="false" customHeight="true" outlineLevel="0" collapsed="false">
      <c r="B401" s="64"/>
      <c r="C401" s="65" t="s">
        <v>40</v>
      </c>
      <c r="D401" s="66" t="n">
        <v>4440</v>
      </c>
      <c r="E401" s="67"/>
      <c r="F401" s="67"/>
      <c r="G401" s="68"/>
      <c r="H401" s="69" t="n">
        <v>4440</v>
      </c>
    </row>
    <row r="402" customFormat="false" ht="15" hidden="false" customHeight="true" outlineLevel="0" collapsed="false">
      <c r="B402" s="64"/>
      <c r="C402" s="65" t="s">
        <v>67</v>
      </c>
      <c r="D402" s="66" t="n">
        <v>10500</v>
      </c>
      <c r="E402" s="67"/>
      <c r="F402" s="67"/>
      <c r="G402" s="68"/>
      <c r="H402" s="69" t="n">
        <v>10500</v>
      </c>
    </row>
    <row r="403" customFormat="false" ht="15" hidden="false" customHeight="true" outlineLevel="0" collapsed="false">
      <c r="B403" s="64"/>
      <c r="C403" s="65" t="s">
        <v>34</v>
      </c>
      <c r="D403" s="73"/>
      <c r="E403" s="71" t="n">
        <v>120</v>
      </c>
      <c r="F403" s="67"/>
      <c r="G403" s="68"/>
      <c r="H403" s="69" t="n">
        <v>120</v>
      </c>
    </row>
    <row r="404" customFormat="false" ht="15" hidden="false" customHeight="true" outlineLevel="0" collapsed="false">
      <c r="B404" s="84"/>
      <c r="C404" s="85" t="s">
        <v>29</v>
      </c>
      <c r="D404" s="86" t="n">
        <v>855</v>
      </c>
      <c r="E404" s="76" t="n">
        <v>1350</v>
      </c>
      <c r="F404" s="75"/>
      <c r="G404" s="77"/>
      <c r="H404" s="78" t="n">
        <v>2205</v>
      </c>
    </row>
    <row r="405" customFormat="false" ht="15" hidden="false" customHeight="true" outlineLevel="0" collapsed="false">
      <c r="B405" s="87" t="s">
        <v>782</v>
      </c>
      <c r="C405" s="88"/>
      <c r="D405" s="89" t="n">
        <v>28167</v>
      </c>
      <c r="E405" s="89" t="n">
        <v>1770</v>
      </c>
      <c r="F405" s="89" t="n">
        <v>50</v>
      </c>
      <c r="G405" s="90"/>
      <c r="H405" s="91" t="n">
        <v>29987</v>
      </c>
    </row>
    <row r="406" customFormat="false" ht="15" hidden="false" customHeight="true" outlineLevel="0" collapsed="false">
      <c r="B406" s="56" t="n">
        <v>45721</v>
      </c>
      <c r="C406" s="57" t="s">
        <v>44</v>
      </c>
      <c r="D406" s="92" t="n">
        <v>6000</v>
      </c>
      <c r="E406" s="59"/>
      <c r="F406" s="60" t="n">
        <v>350</v>
      </c>
      <c r="G406" s="61"/>
      <c r="H406" s="62" t="n">
        <v>6350</v>
      </c>
    </row>
    <row r="407" customFormat="false" ht="15" hidden="false" customHeight="true" outlineLevel="0" collapsed="false">
      <c r="B407" s="64"/>
      <c r="C407" s="65" t="s">
        <v>53</v>
      </c>
      <c r="D407" s="73"/>
      <c r="E407" s="71" t="n">
        <v>3600</v>
      </c>
      <c r="F407" s="67"/>
      <c r="G407" s="68"/>
      <c r="H407" s="69" t="n">
        <v>3600</v>
      </c>
    </row>
    <row r="408" customFormat="false" ht="15" hidden="false" customHeight="true" outlineLevel="0" collapsed="false">
      <c r="B408" s="64"/>
      <c r="C408" s="65" t="s">
        <v>47</v>
      </c>
      <c r="D408" s="66" t="n">
        <v>840</v>
      </c>
      <c r="E408" s="67"/>
      <c r="F408" s="67"/>
      <c r="G408" s="68"/>
      <c r="H408" s="69" t="n">
        <v>840</v>
      </c>
    </row>
    <row r="409" customFormat="false" ht="15" hidden="false" customHeight="true" outlineLevel="0" collapsed="false">
      <c r="B409" s="64"/>
      <c r="C409" s="65" t="s">
        <v>19</v>
      </c>
      <c r="D409" s="66" t="n">
        <v>6406</v>
      </c>
      <c r="E409" s="67"/>
      <c r="F409" s="67"/>
      <c r="G409" s="68"/>
      <c r="H409" s="69" t="n">
        <v>6406</v>
      </c>
    </row>
    <row r="410" customFormat="false" ht="15" hidden="false" customHeight="true" outlineLevel="0" collapsed="false">
      <c r="B410" s="64"/>
      <c r="C410" s="65" t="s">
        <v>25</v>
      </c>
      <c r="D410" s="66" t="n">
        <v>1654</v>
      </c>
      <c r="E410" s="67"/>
      <c r="F410" s="67"/>
      <c r="G410" s="68"/>
      <c r="H410" s="69" t="n">
        <v>1654</v>
      </c>
    </row>
    <row r="411" customFormat="false" ht="15" hidden="false" customHeight="true" outlineLevel="0" collapsed="false">
      <c r="B411" s="64"/>
      <c r="C411" s="65" t="s">
        <v>51</v>
      </c>
      <c r="D411" s="66" t="n">
        <v>4815</v>
      </c>
      <c r="E411" s="67"/>
      <c r="F411" s="67"/>
      <c r="G411" s="68"/>
      <c r="H411" s="69" t="n">
        <v>4815</v>
      </c>
    </row>
    <row r="412" customFormat="false" ht="15" hidden="false" customHeight="true" outlineLevel="0" collapsed="false">
      <c r="B412" s="64"/>
      <c r="C412" s="65" t="s">
        <v>22</v>
      </c>
      <c r="D412" s="66" t="n">
        <v>3101</v>
      </c>
      <c r="E412" s="67"/>
      <c r="F412" s="67"/>
      <c r="G412" s="68"/>
      <c r="H412" s="69" t="n">
        <v>3101</v>
      </c>
    </row>
    <row r="413" customFormat="false" ht="15" hidden="false" customHeight="true" outlineLevel="0" collapsed="false">
      <c r="B413" s="64"/>
      <c r="C413" s="65" t="s">
        <v>37</v>
      </c>
      <c r="D413" s="73"/>
      <c r="E413" s="67"/>
      <c r="F413" s="71" t="n">
        <v>12</v>
      </c>
      <c r="G413" s="68"/>
      <c r="H413" s="69" t="n">
        <v>12</v>
      </c>
    </row>
    <row r="414" customFormat="false" ht="15" hidden="false" customHeight="true" outlineLevel="0" collapsed="false">
      <c r="B414" s="64"/>
      <c r="C414" s="65" t="s">
        <v>43</v>
      </c>
      <c r="D414" s="73"/>
      <c r="E414" s="71" t="n">
        <v>800</v>
      </c>
      <c r="F414" s="67"/>
      <c r="G414" s="68"/>
      <c r="H414" s="69" t="n">
        <v>800</v>
      </c>
    </row>
    <row r="415" customFormat="false" ht="15" hidden="false" customHeight="true" outlineLevel="0" collapsed="false">
      <c r="B415" s="64"/>
      <c r="C415" s="65" t="s">
        <v>34</v>
      </c>
      <c r="D415" s="73"/>
      <c r="E415" s="71" t="n">
        <v>120</v>
      </c>
      <c r="F415" s="67"/>
      <c r="G415" s="68"/>
      <c r="H415" s="69" t="n">
        <v>120</v>
      </c>
    </row>
    <row r="416" customFormat="false" ht="15" hidden="false" customHeight="true" outlineLevel="0" collapsed="false">
      <c r="B416" s="84"/>
      <c r="C416" s="85" t="s">
        <v>29</v>
      </c>
      <c r="D416" s="86" t="n">
        <v>650</v>
      </c>
      <c r="E416" s="75"/>
      <c r="F416" s="75"/>
      <c r="G416" s="77"/>
      <c r="H416" s="78" t="n">
        <v>650</v>
      </c>
    </row>
    <row r="417" customFormat="false" ht="15" hidden="false" customHeight="true" outlineLevel="0" collapsed="false">
      <c r="B417" s="87" t="s">
        <v>783</v>
      </c>
      <c r="C417" s="88"/>
      <c r="D417" s="89" t="n">
        <v>23466</v>
      </c>
      <c r="E417" s="89" t="n">
        <v>4520</v>
      </c>
      <c r="F417" s="89" t="n">
        <v>362</v>
      </c>
      <c r="G417" s="90"/>
      <c r="H417" s="91" t="n">
        <v>28348</v>
      </c>
    </row>
    <row r="418" customFormat="false" ht="15" hidden="false" customHeight="true" outlineLevel="0" collapsed="false">
      <c r="B418" s="56" t="n">
        <v>45722</v>
      </c>
      <c r="C418" s="57" t="s">
        <v>19</v>
      </c>
      <c r="D418" s="92" t="n">
        <v>6431</v>
      </c>
      <c r="E418" s="59"/>
      <c r="F418" s="59"/>
      <c r="G418" s="61"/>
      <c r="H418" s="62" t="n">
        <v>6431</v>
      </c>
    </row>
    <row r="419" customFormat="false" ht="15" hidden="false" customHeight="true" outlineLevel="0" collapsed="false">
      <c r="B419" s="64"/>
      <c r="C419" s="65" t="s">
        <v>25</v>
      </c>
      <c r="D419" s="66" t="n">
        <v>1029</v>
      </c>
      <c r="E419" s="71" t="n">
        <v>60</v>
      </c>
      <c r="F419" s="67"/>
      <c r="G419" s="68"/>
      <c r="H419" s="69" t="n">
        <v>1089</v>
      </c>
    </row>
    <row r="420" customFormat="false" ht="15" hidden="false" customHeight="true" outlineLevel="0" collapsed="false">
      <c r="B420" s="64"/>
      <c r="C420" s="65" t="s">
        <v>22</v>
      </c>
      <c r="D420" s="66" t="n">
        <v>3682</v>
      </c>
      <c r="E420" s="67"/>
      <c r="F420" s="67"/>
      <c r="G420" s="68"/>
      <c r="H420" s="69" t="n">
        <v>3682</v>
      </c>
    </row>
    <row r="421" customFormat="false" ht="15" hidden="false" customHeight="true" outlineLevel="0" collapsed="false">
      <c r="B421" s="64"/>
      <c r="C421" s="65" t="s">
        <v>37</v>
      </c>
      <c r="D421" s="73"/>
      <c r="E421" s="67"/>
      <c r="F421" s="71" t="n">
        <v>30</v>
      </c>
      <c r="G421" s="68"/>
      <c r="H421" s="69" t="n">
        <v>30</v>
      </c>
    </row>
    <row r="422" customFormat="false" ht="15" hidden="false" customHeight="true" outlineLevel="0" collapsed="false">
      <c r="B422" s="64"/>
      <c r="C422" s="65" t="s">
        <v>40</v>
      </c>
      <c r="D422" s="66" t="n">
        <v>4100</v>
      </c>
      <c r="E422" s="67"/>
      <c r="F422" s="67"/>
      <c r="G422" s="68"/>
      <c r="H422" s="69" t="n">
        <v>4100</v>
      </c>
    </row>
    <row r="423" customFormat="false" ht="15" hidden="false" customHeight="true" outlineLevel="0" collapsed="false">
      <c r="B423" s="64"/>
      <c r="C423" s="65" t="s">
        <v>34</v>
      </c>
      <c r="D423" s="73"/>
      <c r="E423" s="71" t="n">
        <v>100</v>
      </c>
      <c r="F423" s="67"/>
      <c r="G423" s="68"/>
      <c r="H423" s="69" t="n">
        <v>100</v>
      </c>
    </row>
    <row r="424" customFormat="false" ht="15" hidden="false" customHeight="true" outlineLevel="0" collapsed="false">
      <c r="B424" s="84"/>
      <c r="C424" s="85" t="s">
        <v>29</v>
      </c>
      <c r="D424" s="86" t="n">
        <v>1006</v>
      </c>
      <c r="E424" s="75"/>
      <c r="F424" s="75"/>
      <c r="G424" s="77"/>
      <c r="H424" s="78" t="n">
        <v>1006</v>
      </c>
    </row>
    <row r="425" customFormat="false" ht="15" hidden="false" customHeight="true" outlineLevel="0" collapsed="false">
      <c r="B425" s="87" t="s">
        <v>784</v>
      </c>
      <c r="C425" s="88"/>
      <c r="D425" s="89" t="n">
        <v>16248</v>
      </c>
      <c r="E425" s="89" t="n">
        <v>160</v>
      </c>
      <c r="F425" s="89" t="n">
        <v>30</v>
      </c>
      <c r="G425" s="90"/>
      <c r="H425" s="91" t="n">
        <v>16438</v>
      </c>
    </row>
    <row r="426" customFormat="false" ht="15" hidden="false" customHeight="true" outlineLevel="0" collapsed="false">
      <c r="B426" s="56" t="n">
        <v>45723</v>
      </c>
      <c r="C426" s="57" t="s">
        <v>44</v>
      </c>
      <c r="D426" s="58"/>
      <c r="E426" s="59"/>
      <c r="F426" s="60" t="n">
        <v>1000</v>
      </c>
      <c r="G426" s="61"/>
      <c r="H426" s="62" t="n">
        <v>1000</v>
      </c>
    </row>
    <row r="427" customFormat="false" ht="15" hidden="false" customHeight="true" outlineLevel="0" collapsed="false">
      <c r="B427" s="64"/>
      <c r="C427" s="65" t="s">
        <v>32</v>
      </c>
      <c r="D427" s="73"/>
      <c r="E427" s="71" t="n">
        <v>770</v>
      </c>
      <c r="F427" s="67"/>
      <c r="G427" s="68"/>
      <c r="H427" s="69" t="n">
        <v>770</v>
      </c>
    </row>
    <row r="428" customFormat="false" ht="15" hidden="false" customHeight="true" outlineLevel="0" collapsed="false">
      <c r="B428" s="64"/>
      <c r="C428" s="65" t="s">
        <v>19</v>
      </c>
      <c r="D428" s="66" t="n">
        <v>3662</v>
      </c>
      <c r="E428" s="71" t="n">
        <v>794</v>
      </c>
      <c r="F428" s="67"/>
      <c r="G428" s="68"/>
      <c r="H428" s="69" t="n">
        <v>4456</v>
      </c>
    </row>
    <row r="429" customFormat="false" ht="15" hidden="false" customHeight="true" outlineLevel="0" collapsed="false">
      <c r="B429" s="64"/>
      <c r="C429" s="65" t="s">
        <v>25</v>
      </c>
      <c r="D429" s="66" t="n">
        <v>816</v>
      </c>
      <c r="E429" s="67"/>
      <c r="F429" s="67"/>
      <c r="G429" s="68"/>
      <c r="H429" s="69" t="n">
        <v>816</v>
      </c>
    </row>
    <row r="430" customFormat="false" ht="15" hidden="false" customHeight="true" outlineLevel="0" collapsed="false">
      <c r="B430" s="64"/>
      <c r="C430" s="65" t="s">
        <v>51</v>
      </c>
      <c r="D430" s="73"/>
      <c r="E430" s="67"/>
      <c r="F430" s="71" t="n">
        <v>390</v>
      </c>
      <c r="G430" s="68"/>
      <c r="H430" s="69" t="n">
        <v>390</v>
      </c>
    </row>
    <row r="431" customFormat="false" ht="15" hidden="false" customHeight="true" outlineLevel="0" collapsed="false">
      <c r="B431" s="64"/>
      <c r="C431" s="65" t="s">
        <v>40</v>
      </c>
      <c r="D431" s="66" t="n">
        <v>4440</v>
      </c>
      <c r="E431" s="67"/>
      <c r="F431" s="67"/>
      <c r="G431" s="68"/>
      <c r="H431" s="69" t="n">
        <v>4440</v>
      </c>
    </row>
    <row r="432" customFormat="false" ht="15" hidden="false" customHeight="true" outlineLevel="0" collapsed="false">
      <c r="B432" s="64"/>
      <c r="C432" s="65" t="s">
        <v>31</v>
      </c>
      <c r="D432" s="73"/>
      <c r="E432" s="71" t="n">
        <v>380</v>
      </c>
      <c r="F432" s="67"/>
      <c r="G432" s="68"/>
      <c r="H432" s="69" t="n">
        <v>380</v>
      </c>
    </row>
    <row r="433" customFormat="false" ht="15" hidden="false" customHeight="true" outlineLevel="0" collapsed="false">
      <c r="B433" s="64"/>
      <c r="C433" s="65" t="s">
        <v>34</v>
      </c>
      <c r="D433" s="73"/>
      <c r="E433" s="71" t="n">
        <v>125</v>
      </c>
      <c r="F433" s="67"/>
      <c r="G433" s="68"/>
      <c r="H433" s="69" t="n">
        <v>125</v>
      </c>
    </row>
    <row r="434" customFormat="false" ht="15" hidden="false" customHeight="true" outlineLevel="0" collapsed="false">
      <c r="B434" s="84"/>
      <c r="C434" s="85" t="s">
        <v>29</v>
      </c>
      <c r="D434" s="74"/>
      <c r="E434" s="76" t="n">
        <v>1150</v>
      </c>
      <c r="F434" s="75"/>
      <c r="G434" s="77"/>
      <c r="H434" s="78" t="n">
        <v>1150</v>
      </c>
    </row>
    <row r="435" customFormat="false" ht="15" hidden="false" customHeight="true" outlineLevel="0" collapsed="false">
      <c r="B435" s="87" t="s">
        <v>785</v>
      </c>
      <c r="C435" s="88"/>
      <c r="D435" s="89" t="n">
        <v>8918</v>
      </c>
      <c r="E435" s="89" t="n">
        <v>3219</v>
      </c>
      <c r="F435" s="89" t="n">
        <v>1390</v>
      </c>
      <c r="G435" s="90"/>
      <c r="H435" s="91" t="n">
        <v>13527</v>
      </c>
    </row>
    <row r="436" customFormat="false" ht="15" hidden="false" customHeight="true" outlineLevel="0" collapsed="false">
      <c r="B436" s="56" t="n">
        <v>45724</v>
      </c>
      <c r="C436" s="57" t="s">
        <v>47</v>
      </c>
      <c r="D436" s="92" t="n">
        <v>840</v>
      </c>
      <c r="E436" s="59"/>
      <c r="F436" s="59"/>
      <c r="G436" s="61"/>
      <c r="H436" s="62" t="n">
        <v>840</v>
      </c>
    </row>
    <row r="437" customFormat="false" ht="15" hidden="false" customHeight="true" outlineLevel="0" collapsed="false">
      <c r="B437" s="64"/>
      <c r="C437" s="65" t="s">
        <v>19</v>
      </c>
      <c r="D437" s="66" t="n">
        <v>5038</v>
      </c>
      <c r="E437" s="67"/>
      <c r="F437" s="67"/>
      <c r="G437" s="68"/>
      <c r="H437" s="69" t="n">
        <v>5038</v>
      </c>
    </row>
    <row r="438" customFormat="false" ht="15" hidden="false" customHeight="true" outlineLevel="0" collapsed="false">
      <c r="B438" s="64"/>
      <c r="C438" s="65" t="s">
        <v>25</v>
      </c>
      <c r="D438" s="66" t="n">
        <v>2401</v>
      </c>
      <c r="E438" s="71" t="n">
        <v>60</v>
      </c>
      <c r="F438" s="67"/>
      <c r="G438" s="68"/>
      <c r="H438" s="69" t="n">
        <v>2461</v>
      </c>
    </row>
    <row r="439" customFormat="false" ht="15" hidden="false" customHeight="true" outlineLevel="0" collapsed="false">
      <c r="B439" s="64"/>
      <c r="C439" s="65" t="s">
        <v>51</v>
      </c>
      <c r="D439" s="66" t="n">
        <v>3790</v>
      </c>
      <c r="E439" s="67"/>
      <c r="F439" s="67"/>
      <c r="G439" s="68"/>
      <c r="H439" s="69" t="n">
        <v>3790</v>
      </c>
    </row>
    <row r="440" customFormat="false" ht="15" hidden="false" customHeight="true" outlineLevel="0" collapsed="false">
      <c r="B440" s="64"/>
      <c r="C440" s="65" t="s">
        <v>28</v>
      </c>
      <c r="D440" s="73"/>
      <c r="E440" s="67"/>
      <c r="F440" s="71" t="n">
        <v>1090</v>
      </c>
      <c r="G440" s="68"/>
      <c r="H440" s="69" t="n">
        <v>1090</v>
      </c>
    </row>
    <row r="441" customFormat="false" ht="15" hidden="false" customHeight="true" outlineLevel="0" collapsed="false">
      <c r="B441" s="64"/>
      <c r="C441" s="65" t="s">
        <v>36</v>
      </c>
      <c r="D441" s="73"/>
      <c r="E441" s="71" t="n">
        <v>350</v>
      </c>
      <c r="F441" s="67"/>
      <c r="G441" s="68"/>
      <c r="H441" s="69" t="n">
        <v>350</v>
      </c>
    </row>
    <row r="442" customFormat="false" ht="15" hidden="false" customHeight="true" outlineLevel="0" collapsed="false">
      <c r="B442" s="64"/>
      <c r="C442" s="65" t="s">
        <v>22</v>
      </c>
      <c r="D442" s="66" t="n">
        <v>5971</v>
      </c>
      <c r="E442" s="67"/>
      <c r="F442" s="67"/>
      <c r="G442" s="68"/>
      <c r="H442" s="69" t="n">
        <v>5971</v>
      </c>
    </row>
    <row r="443" customFormat="false" ht="15" hidden="false" customHeight="true" outlineLevel="0" collapsed="false">
      <c r="B443" s="64"/>
      <c r="C443" s="65" t="s">
        <v>37</v>
      </c>
      <c r="D443" s="73"/>
      <c r="E443" s="67"/>
      <c r="F443" s="71" t="n">
        <v>30</v>
      </c>
      <c r="G443" s="68"/>
      <c r="H443" s="69" t="n">
        <v>30</v>
      </c>
    </row>
    <row r="444" customFormat="false" ht="15" hidden="false" customHeight="true" outlineLevel="0" collapsed="false">
      <c r="B444" s="64"/>
      <c r="C444" s="65" t="s">
        <v>40</v>
      </c>
      <c r="D444" s="66" t="n">
        <v>4440</v>
      </c>
      <c r="E444" s="67"/>
      <c r="F444" s="67"/>
      <c r="G444" s="68"/>
      <c r="H444" s="69" t="n">
        <v>4440</v>
      </c>
    </row>
    <row r="445" customFormat="false" ht="15" hidden="false" customHeight="true" outlineLevel="0" collapsed="false">
      <c r="B445" s="64"/>
      <c r="C445" s="65" t="s">
        <v>31</v>
      </c>
      <c r="D445" s="73"/>
      <c r="E445" s="71" t="n">
        <v>300</v>
      </c>
      <c r="F445" s="67"/>
      <c r="G445" s="68"/>
      <c r="H445" s="69" t="n">
        <v>300</v>
      </c>
    </row>
    <row r="446" customFormat="false" ht="15" hidden="false" customHeight="true" outlineLevel="0" collapsed="false">
      <c r="B446" s="64"/>
      <c r="C446" s="65" t="s">
        <v>34</v>
      </c>
      <c r="D446" s="73"/>
      <c r="E446" s="71" t="n">
        <v>135</v>
      </c>
      <c r="F446" s="67"/>
      <c r="G446" s="68"/>
      <c r="H446" s="69" t="n">
        <v>135</v>
      </c>
    </row>
    <row r="447" customFormat="false" ht="15" hidden="false" customHeight="true" outlineLevel="0" collapsed="false">
      <c r="B447" s="84"/>
      <c r="C447" s="85" t="s">
        <v>29</v>
      </c>
      <c r="D447" s="86" t="n">
        <v>740</v>
      </c>
      <c r="E447" s="75"/>
      <c r="F447" s="76" t="n">
        <v>40</v>
      </c>
      <c r="G447" s="77"/>
      <c r="H447" s="78" t="n">
        <v>780</v>
      </c>
    </row>
    <row r="448" customFormat="false" ht="15" hidden="false" customHeight="true" outlineLevel="0" collapsed="false">
      <c r="B448" s="87" t="s">
        <v>786</v>
      </c>
      <c r="C448" s="88"/>
      <c r="D448" s="89" t="n">
        <v>23220</v>
      </c>
      <c r="E448" s="89" t="n">
        <v>845</v>
      </c>
      <c r="F448" s="89" t="n">
        <v>1160</v>
      </c>
      <c r="G448" s="90"/>
      <c r="H448" s="91" t="n">
        <v>25225</v>
      </c>
    </row>
    <row r="449" customFormat="false" ht="15" hidden="false" customHeight="true" outlineLevel="0" collapsed="false">
      <c r="B449" s="56" t="n">
        <v>45725</v>
      </c>
      <c r="C449" s="57" t="s">
        <v>44</v>
      </c>
      <c r="D449" s="58"/>
      <c r="E449" s="59"/>
      <c r="F449" s="60" t="n">
        <v>2000</v>
      </c>
      <c r="G449" s="61"/>
      <c r="H449" s="62" t="n">
        <v>2000</v>
      </c>
    </row>
    <row r="450" customFormat="false" ht="15" hidden="false" customHeight="true" outlineLevel="0" collapsed="false">
      <c r="B450" s="64"/>
      <c r="C450" s="65" t="s">
        <v>53</v>
      </c>
      <c r="D450" s="73"/>
      <c r="E450" s="67"/>
      <c r="F450" s="71" t="n">
        <v>1200</v>
      </c>
      <c r="G450" s="68"/>
      <c r="H450" s="69" t="n">
        <v>1200</v>
      </c>
    </row>
    <row r="451" customFormat="false" ht="15" hidden="false" customHeight="true" outlineLevel="0" collapsed="false">
      <c r="B451" s="64"/>
      <c r="C451" s="65" t="s">
        <v>19</v>
      </c>
      <c r="D451" s="66" t="n">
        <v>7849</v>
      </c>
      <c r="E451" s="67"/>
      <c r="F451" s="67"/>
      <c r="G451" s="68"/>
      <c r="H451" s="69" t="n">
        <v>7849</v>
      </c>
    </row>
    <row r="452" customFormat="false" ht="15" hidden="false" customHeight="true" outlineLevel="0" collapsed="false">
      <c r="B452" s="64"/>
      <c r="C452" s="65" t="s">
        <v>25</v>
      </c>
      <c r="D452" s="66" t="n">
        <v>1339</v>
      </c>
      <c r="E452" s="67"/>
      <c r="F452" s="67"/>
      <c r="G452" s="68"/>
      <c r="H452" s="69" t="n">
        <v>1339</v>
      </c>
    </row>
    <row r="453" customFormat="false" ht="15" hidden="false" customHeight="true" outlineLevel="0" collapsed="false">
      <c r="B453" s="64"/>
      <c r="C453" s="65" t="s">
        <v>51</v>
      </c>
      <c r="D453" s="73"/>
      <c r="E453" s="67"/>
      <c r="F453" s="71" t="n">
        <v>60</v>
      </c>
      <c r="G453" s="68"/>
      <c r="H453" s="69" t="n">
        <v>60</v>
      </c>
    </row>
    <row r="454" customFormat="false" ht="15" hidden="false" customHeight="true" outlineLevel="0" collapsed="false">
      <c r="B454" s="64"/>
      <c r="C454" s="65" t="s">
        <v>22</v>
      </c>
      <c r="D454" s="66" t="n">
        <v>3920</v>
      </c>
      <c r="E454" s="67"/>
      <c r="F454" s="67"/>
      <c r="G454" s="68"/>
      <c r="H454" s="69" t="n">
        <v>3920</v>
      </c>
    </row>
    <row r="455" customFormat="false" ht="15" hidden="false" customHeight="true" outlineLevel="0" collapsed="false">
      <c r="B455" s="64"/>
      <c r="C455" s="65" t="s">
        <v>37</v>
      </c>
      <c r="D455" s="73"/>
      <c r="E455" s="67"/>
      <c r="F455" s="71" t="n">
        <v>8</v>
      </c>
      <c r="G455" s="68"/>
      <c r="H455" s="69" t="n">
        <v>8</v>
      </c>
    </row>
    <row r="456" customFormat="false" ht="15" hidden="false" customHeight="true" outlineLevel="0" collapsed="false">
      <c r="B456" s="64"/>
      <c r="C456" s="65" t="s">
        <v>40</v>
      </c>
      <c r="D456" s="66" t="n">
        <v>1200</v>
      </c>
      <c r="E456" s="71" t="n">
        <v>2500</v>
      </c>
      <c r="F456" s="67"/>
      <c r="G456" s="68"/>
      <c r="H456" s="69" t="n">
        <v>3700</v>
      </c>
    </row>
    <row r="457" customFormat="false" ht="15" hidden="false" customHeight="true" outlineLevel="0" collapsed="false">
      <c r="B457" s="64"/>
      <c r="C457" s="65" t="s">
        <v>34</v>
      </c>
      <c r="D457" s="73"/>
      <c r="E457" s="67"/>
      <c r="F457" s="71" t="n">
        <v>125</v>
      </c>
      <c r="G457" s="68"/>
      <c r="H457" s="69" t="n">
        <v>125</v>
      </c>
    </row>
    <row r="458" customFormat="false" ht="15" hidden="false" customHeight="true" outlineLevel="0" collapsed="false">
      <c r="B458" s="84"/>
      <c r="C458" s="85" t="s">
        <v>29</v>
      </c>
      <c r="D458" s="86" t="n">
        <v>1125</v>
      </c>
      <c r="E458" s="75"/>
      <c r="F458" s="75"/>
      <c r="G458" s="77"/>
      <c r="H458" s="78" t="n">
        <v>1125</v>
      </c>
    </row>
    <row r="459" customFormat="false" ht="15" hidden="false" customHeight="true" outlineLevel="0" collapsed="false">
      <c r="B459" s="87" t="s">
        <v>787</v>
      </c>
      <c r="C459" s="88"/>
      <c r="D459" s="89" t="n">
        <v>15433</v>
      </c>
      <c r="E459" s="89" t="n">
        <v>2500</v>
      </c>
      <c r="F459" s="89" t="n">
        <v>3393</v>
      </c>
      <c r="G459" s="90"/>
      <c r="H459" s="91" t="n">
        <v>21326</v>
      </c>
    </row>
    <row r="460" customFormat="false" ht="15" hidden="false" customHeight="true" outlineLevel="0" collapsed="false">
      <c r="B460" s="56" t="n">
        <v>45726</v>
      </c>
      <c r="C460" s="57" t="s">
        <v>32</v>
      </c>
      <c r="D460" s="58"/>
      <c r="E460" s="59"/>
      <c r="F460" s="60" t="n">
        <v>875</v>
      </c>
      <c r="G460" s="61"/>
      <c r="H460" s="62" t="n">
        <v>875</v>
      </c>
    </row>
    <row r="461" customFormat="false" ht="15" hidden="false" customHeight="true" outlineLevel="0" collapsed="false">
      <c r="B461" s="64"/>
      <c r="C461" s="65" t="s">
        <v>47</v>
      </c>
      <c r="D461" s="66" t="n">
        <v>840</v>
      </c>
      <c r="E461" s="67"/>
      <c r="F461" s="67"/>
      <c r="G461" s="68"/>
      <c r="H461" s="69" t="n">
        <v>840</v>
      </c>
    </row>
    <row r="462" customFormat="false" ht="15" hidden="false" customHeight="true" outlineLevel="0" collapsed="false">
      <c r="B462" s="64"/>
      <c r="C462" s="65" t="s">
        <v>19</v>
      </c>
      <c r="D462" s="66" t="n">
        <v>5465</v>
      </c>
      <c r="E462" s="67"/>
      <c r="F462" s="67"/>
      <c r="G462" s="68"/>
      <c r="H462" s="69" t="n">
        <v>5465</v>
      </c>
    </row>
    <row r="463" customFormat="false" ht="15" hidden="false" customHeight="true" outlineLevel="0" collapsed="false">
      <c r="B463" s="64"/>
      <c r="C463" s="65" t="s">
        <v>25</v>
      </c>
      <c r="D463" s="66" t="n">
        <v>1879</v>
      </c>
      <c r="E463" s="71" t="n">
        <v>550</v>
      </c>
      <c r="F463" s="67"/>
      <c r="G463" s="68"/>
      <c r="H463" s="69" t="n">
        <v>2429</v>
      </c>
    </row>
    <row r="464" customFormat="false" ht="15" hidden="false" customHeight="true" outlineLevel="0" collapsed="false">
      <c r="B464" s="64"/>
      <c r="C464" s="65" t="s">
        <v>22</v>
      </c>
      <c r="D464" s="66" t="n">
        <v>3662</v>
      </c>
      <c r="E464" s="67"/>
      <c r="F464" s="67"/>
      <c r="G464" s="68"/>
      <c r="H464" s="69" t="n">
        <v>3662</v>
      </c>
    </row>
    <row r="465" customFormat="false" ht="15" hidden="false" customHeight="true" outlineLevel="0" collapsed="false">
      <c r="B465" s="64"/>
      <c r="C465" s="65" t="s">
        <v>199</v>
      </c>
      <c r="D465" s="73"/>
      <c r="E465" s="67"/>
      <c r="F465" s="71" t="n">
        <v>330</v>
      </c>
      <c r="G465" s="68"/>
      <c r="H465" s="69" t="n">
        <v>330</v>
      </c>
    </row>
    <row r="466" customFormat="false" ht="15" hidden="false" customHeight="true" outlineLevel="0" collapsed="false">
      <c r="B466" s="64"/>
      <c r="C466" s="65" t="s">
        <v>37</v>
      </c>
      <c r="D466" s="73"/>
      <c r="E466" s="67"/>
      <c r="F466" s="71" t="n">
        <v>5</v>
      </c>
      <c r="G466" s="68"/>
      <c r="H466" s="69" t="n">
        <v>5</v>
      </c>
    </row>
    <row r="467" customFormat="false" ht="15" hidden="false" customHeight="true" outlineLevel="0" collapsed="false">
      <c r="B467" s="64"/>
      <c r="C467" s="65" t="s">
        <v>34</v>
      </c>
      <c r="D467" s="73"/>
      <c r="E467" s="71" t="n">
        <v>120</v>
      </c>
      <c r="F467" s="67"/>
      <c r="G467" s="68"/>
      <c r="H467" s="69" t="n">
        <v>120</v>
      </c>
    </row>
    <row r="468" customFormat="false" ht="15" hidden="false" customHeight="true" outlineLevel="0" collapsed="false">
      <c r="B468" s="64"/>
      <c r="C468" s="65" t="s">
        <v>29</v>
      </c>
      <c r="D468" s="66" t="n">
        <v>624</v>
      </c>
      <c r="E468" s="67"/>
      <c r="F468" s="67"/>
      <c r="G468" s="68"/>
      <c r="H468" s="69" t="n">
        <v>624</v>
      </c>
    </row>
    <row r="469" customFormat="false" ht="15" hidden="false" customHeight="true" outlineLevel="0" collapsed="false">
      <c r="B469" s="84"/>
      <c r="C469" s="85" t="s">
        <v>197</v>
      </c>
      <c r="D469" s="74"/>
      <c r="E469" s="76" t="n">
        <v>1200</v>
      </c>
      <c r="F469" s="75"/>
      <c r="G469" s="77"/>
      <c r="H469" s="78" t="n">
        <v>1200</v>
      </c>
    </row>
    <row r="470" customFormat="false" ht="15" hidden="false" customHeight="true" outlineLevel="0" collapsed="false">
      <c r="B470" s="87" t="s">
        <v>788</v>
      </c>
      <c r="C470" s="88"/>
      <c r="D470" s="89" t="n">
        <v>12470</v>
      </c>
      <c r="E470" s="89" t="n">
        <v>1870</v>
      </c>
      <c r="F470" s="89" t="n">
        <v>1210</v>
      </c>
      <c r="G470" s="90"/>
      <c r="H470" s="91" t="n">
        <v>15550</v>
      </c>
    </row>
    <row r="471" customFormat="false" ht="15" hidden="false" customHeight="true" outlineLevel="0" collapsed="false">
      <c r="B471" s="56" t="n">
        <v>45727</v>
      </c>
      <c r="C471" s="57" t="s">
        <v>44</v>
      </c>
      <c r="D471" s="92" t="n">
        <v>7000</v>
      </c>
      <c r="E471" s="60" t="n">
        <v>200</v>
      </c>
      <c r="F471" s="59"/>
      <c r="G471" s="61"/>
      <c r="H471" s="62" t="n">
        <v>7200</v>
      </c>
    </row>
    <row r="472" customFormat="false" ht="15" hidden="false" customHeight="true" outlineLevel="0" collapsed="false">
      <c r="B472" s="64"/>
      <c r="C472" s="65" t="s">
        <v>19</v>
      </c>
      <c r="D472" s="66" t="n">
        <v>3871</v>
      </c>
      <c r="E472" s="67"/>
      <c r="F472" s="67"/>
      <c r="G472" s="68"/>
      <c r="H472" s="69" t="n">
        <v>3871</v>
      </c>
    </row>
    <row r="473" customFormat="false" ht="15" hidden="false" customHeight="true" outlineLevel="0" collapsed="false">
      <c r="B473" s="64"/>
      <c r="C473" s="65" t="s">
        <v>81</v>
      </c>
      <c r="D473" s="73"/>
      <c r="E473" s="67"/>
      <c r="F473" s="71" t="n">
        <v>280</v>
      </c>
      <c r="G473" s="68"/>
      <c r="H473" s="69" t="n">
        <v>280</v>
      </c>
    </row>
    <row r="474" customFormat="false" ht="15" hidden="false" customHeight="true" outlineLevel="0" collapsed="false">
      <c r="B474" s="64"/>
      <c r="C474" s="65" t="s">
        <v>25</v>
      </c>
      <c r="D474" s="66" t="n">
        <v>930</v>
      </c>
      <c r="E474" s="67"/>
      <c r="F474" s="67"/>
      <c r="G474" s="68"/>
      <c r="H474" s="69" t="n">
        <v>930</v>
      </c>
    </row>
    <row r="475" customFormat="false" ht="15" hidden="false" customHeight="true" outlineLevel="0" collapsed="false">
      <c r="B475" s="64"/>
      <c r="C475" s="65" t="s">
        <v>28</v>
      </c>
      <c r="D475" s="73"/>
      <c r="E475" s="67"/>
      <c r="F475" s="71" t="n">
        <v>820</v>
      </c>
      <c r="G475" s="68"/>
      <c r="H475" s="69" t="n">
        <v>820</v>
      </c>
    </row>
    <row r="476" customFormat="false" ht="15" hidden="false" customHeight="true" outlineLevel="0" collapsed="false">
      <c r="B476" s="64"/>
      <c r="C476" s="65" t="s">
        <v>22</v>
      </c>
      <c r="D476" s="66" t="n">
        <v>883</v>
      </c>
      <c r="E476" s="67"/>
      <c r="F476" s="67"/>
      <c r="G476" s="68"/>
      <c r="H476" s="69" t="n">
        <v>883</v>
      </c>
    </row>
    <row r="477" customFormat="false" ht="15" hidden="false" customHeight="true" outlineLevel="0" collapsed="false">
      <c r="B477" s="64"/>
      <c r="C477" s="65" t="s">
        <v>102</v>
      </c>
      <c r="D477" s="66" t="n">
        <v>600</v>
      </c>
      <c r="E477" s="67"/>
      <c r="F477" s="67"/>
      <c r="G477" s="68"/>
      <c r="H477" s="69" t="n">
        <v>600</v>
      </c>
    </row>
    <row r="478" customFormat="false" ht="15" hidden="false" customHeight="true" outlineLevel="0" collapsed="false">
      <c r="B478" s="64"/>
      <c r="C478" s="65" t="s">
        <v>40</v>
      </c>
      <c r="D478" s="66" t="n">
        <v>7677</v>
      </c>
      <c r="E478" s="67"/>
      <c r="F478" s="67"/>
      <c r="G478" s="68"/>
      <c r="H478" s="69" t="n">
        <v>7677</v>
      </c>
    </row>
    <row r="479" customFormat="false" ht="15" hidden="false" customHeight="true" outlineLevel="0" collapsed="false">
      <c r="B479" s="64"/>
      <c r="C479" s="65" t="s">
        <v>202</v>
      </c>
      <c r="D479" s="73"/>
      <c r="E479" s="71" t="n">
        <v>150</v>
      </c>
      <c r="F479" s="67"/>
      <c r="G479" s="68"/>
      <c r="H479" s="69" t="n">
        <v>150</v>
      </c>
    </row>
    <row r="480" customFormat="false" ht="15" hidden="false" customHeight="true" outlineLevel="0" collapsed="false">
      <c r="B480" s="64"/>
      <c r="C480" s="65" t="s">
        <v>35</v>
      </c>
      <c r="D480" s="73"/>
      <c r="E480" s="71" t="n">
        <v>100</v>
      </c>
      <c r="F480" s="67"/>
      <c r="G480" s="68"/>
      <c r="H480" s="69" t="n">
        <v>100</v>
      </c>
    </row>
    <row r="481" customFormat="false" ht="15" hidden="false" customHeight="true" outlineLevel="0" collapsed="false">
      <c r="B481" s="64"/>
      <c r="C481" s="65" t="s">
        <v>34</v>
      </c>
      <c r="D481" s="73"/>
      <c r="E481" s="71" t="n">
        <v>103</v>
      </c>
      <c r="F481" s="67"/>
      <c r="G481" s="68"/>
      <c r="H481" s="69" t="n">
        <v>103</v>
      </c>
    </row>
    <row r="482" customFormat="false" ht="15" hidden="false" customHeight="true" outlineLevel="0" collapsed="false">
      <c r="B482" s="64"/>
      <c r="C482" s="65" t="s">
        <v>29</v>
      </c>
      <c r="D482" s="66" t="n">
        <v>766</v>
      </c>
      <c r="E482" s="67"/>
      <c r="F482" s="71" t="n">
        <v>20</v>
      </c>
      <c r="G482" s="68"/>
      <c r="H482" s="69" t="n">
        <v>786</v>
      </c>
    </row>
    <row r="483" customFormat="false" ht="15" hidden="false" customHeight="true" outlineLevel="0" collapsed="false">
      <c r="B483" s="84"/>
      <c r="C483" s="85" t="s">
        <v>201</v>
      </c>
      <c r="D483" s="86" t="n">
        <v>2040</v>
      </c>
      <c r="E483" s="75"/>
      <c r="F483" s="75"/>
      <c r="G483" s="77"/>
      <c r="H483" s="78" t="n">
        <v>2040</v>
      </c>
    </row>
    <row r="484" customFormat="false" ht="15" hidden="false" customHeight="true" outlineLevel="0" collapsed="false">
      <c r="B484" s="87" t="s">
        <v>789</v>
      </c>
      <c r="C484" s="88"/>
      <c r="D484" s="89" t="n">
        <v>23767</v>
      </c>
      <c r="E484" s="89" t="n">
        <v>553</v>
      </c>
      <c r="F484" s="89" t="n">
        <v>1120</v>
      </c>
      <c r="G484" s="90"/>
      <c r="H484" s="91" t="n">
        <v>25440</v>
      </c>
    </row>
    <row r="485" customFormat="false" ht="15" hidden="false" customHeight="true" outlineLevel="0" collapsed="false">
      <c r="B485" s="56" t="n">
        <v>45728</v>
      </c>
      <c r="C485" s="57" t="s">
        <v>44</v>
      </c>
      <c r="D485" s="92" t="n">
        <v>1000</v>
      </c>
      <c r="E485" s="60" t="n">
        <v>1500</v>
      </c>
      <c r="F485" s="59"/>
      <c r="G485" s="61"/>
      <c r="H485" s="62" t="n">
        <v>2500</v>
      </c>
    </row>
    <row r="486" customFormat="false" ht="15" hidden="false" customHeight="true" outlineLevel="0" collapsed="false">
      <c r="B486" s="64"/>
      <c r="C486" s="65" t="s">
        <v>53</v>
      </c>
      <c r="D486" s="66" t="n">
        <v>2703</v>
      </c>
      <c r="E486" s="67"/>
      <c r="F486" s="67"/>
      <c r="G486" s="68"/>
      <c r="H486" s="69" t="n">
        <v>2703</v>
      </c>
    </row>
    <row r="487" customFormat="false" ht="15" hidden="false" customHeight="true" outlineLevel="0" collapsed="false">
      <c r="B487" s="64"/>
      <c r="C487" s="65" t="s">
        <v>47</v>
      </c>
      <c r="D487" s="66" t="n">
        <v>1680</v>
      </c>
      <c r="E487" s="67"/>
      <c r="F487" s="67"/>
      <c r="G487" s="68"/>
      <c r="H487" s="69" t="n">
        <v>1680</v>
      </c>
    </row>
    <row r="488" customFormat="false" ht="15" hidden="false" customHeight="true" outlineLevel="0" collapsed="false">
      <c r="B488" s="64"/>
      <c r="C488" s="65" t="s">
        <v>19</v>
      </c>
      <c r="D488" s="66" t="n">
        <v>3643</v>
      </c>
      <c r="E488" s="67"/>
      <c r="F488" s="67"/>
      <c r="G488" s="68"/>
      <c r="H488" s="69" t="n">
        <v>3643</v>
      </c>
    </row>
    <row r="489" customFormat="false" ht="15" hidden="false" customHeight="true" outlineLevel="0" collapsed="false">
      <c r="B489" s="64"/>
      <c r="C489" s="65" t="s">
        <v>25</v>
      </c>
      <c r="D489" s="66" t="n">
        <v>1286</v>
      </c>
      <c r="E489" s="67"/>
      <c r="F489" s="71" t="n">
        <v>60</v>
      </c>
      <c r="G489" s="68"/>
      <c r="H489" s="69" t="n">
        <v>1346</v>
      </c>
    </row>
    <row r="490" customFormat="false" ht="15" hidden="false" customHeight="true" outlineLevel="0" collapsed="false">
      <c r="B490" s="64"/>
      <c r="C490" s="65" t="s">
        <v>51</v>
      </c>
      <c r="D490" s="66" t="n">
        <v>3940</v>
      </c>
      <c r="E490" s="67"/>
      <c r="F490" s="67"/>
      <c r="G490" s="68"/>
      <c r="H490" s="69" t="n">
        <v>3940</v>
      </c>
    </row>
    <row r="491" customFormat="false" ht="15" hidden="false" customHeight="true" outlineLevel="0" collapsed="false">
      <c r="B491" s="64"/>
      <c r="C491" s="65" t="s">
        <v>22</v>
      </c>
      <c r="D491" s="66" t="n">
        <v>6180</v>
      </c>
      <c r="E491" s="67"/>
      <c r="F491" s="67"/>
      <c r="G491" s="68"/>
      <c r="H491" s="69" t="n">
        <v>6180</v>
      </c>
    </row>
    <row r="492" customFormat="false" ht="15" hidden="false" customHeight="true" outlineLevel="0" collapsed="false">
      <c r="B492" s="64"/>
      <c r="C492" s="65" t="s">
        <v>37</v>
      </c>
      <c r="D492" s="73"/>
      <c r="E492" s="67"/>
      <c r="F492" s="71" t="n">
        <v>14</v>
      </c>
      <c r="G492" s="68"/>
      <c r="H492" s="69" t="n">
        <v>14</v>
      </c>
    </row>
    <row r="493" customFormat="false" ht="15" hidden="false" customHeight="true" outlineLevel="0" collapsed="false">
      <c r="B493" s="64"/>
      <c r="C493" s="65" t="s">
        <v>60</v>
      </c>
      <c r="D493" s="73"/>
      <c r="E493" s="67"/>
      <c r="F493" s="71" t="n">
        <v>210</v>
      </c>
      <c r="G493" s="68"/>
      <c r="H493" s="69" t="n">
        <v>210</v>
      </c>
    </row>
    <row r="494" customFormat="false" ht="15" hidden="false" customHeight="true" outlineLevel="0" collapsed="false">
      <c r="B494" s="64"/>
      <c r="C494" s="65" t="s">
        <v>40</v>
      </c>
      <c r="D494" s="66" t="n">
        <v>4440</v>
      </c>
      <c r="E494" s="67"/>
      <c r="F494" s="67"/>
      <c r="G494" s="68"/>
      <c r="H494" s="69" t="n">
        <v>4440</v>
      </c>
    </row>
    <row r="495" customFormat="false" ht="15" hidden="false" customHeight="true" outlineLevel="0" collapsed="false">
      <c r="B495" s="64"/>
      <c r="C495" s="65" t="s">
        <v>34</v>
      </c>
      <c r="D495" s="73"/>
      <c r="E495" s="71" t="n">
        <v>100</v>
      </c>
      <c r="F495" s="67"/>
      <c r="G495" s="68"/>
      <c r="H495" s="69" t="n">
        <v>100</v>
      </c>
    </row>
    <row r="496" customFormat="false" ht="15" hidden="false" customHeight="true" outlineLevel="0" collapsed="false">
      <c r="B496" s="84"/>
      <c r="C496" s="85" t="s">
        <v>29</v>
      </c>
      <c r="D496" s="86" t="n">
        <v>783</v>
      </c>
      <c r="E496" s="75"/>
      <c r="F496" s="75"/>
      <c r="G496" s="77"/>
      <c r="H496" s="78" t="n">
        <v>783</v>
      </c>
    </row>
    <row r="497" customFormat="false" ht="15" hidden="false" customHeight="true" outlineLevel="0" collapsed="false">
      <c r="B497" s="87" t="s">
        <v>790</v>
      </c>
      <c r="C497" s="88"/>
      <c r="D497" s="89" t="n">
        <v>25655</v>
      </c>
      <c r="E497" s="89" t="n">
        <v>1600</v>
      </c>
      <c r="F497" s="89" t="n">
        <v>284</v>
      </c>
      <c r="G497" s="90"/>
      <c r="H497" s="91" t="n">
        <v>27539</v>
      </c>
    </row>
    <row r="498" customFormat="false" ht="15" hidden="false" customHeight="true" outlineLevel="0" collapsed="false">
      <c r="B498" s="56" t="n">
        <v>45729</v>
      </c>
      <c r="C498" s="57" t="s">
        <v>19</v>
      </c>
      <c r="D498" s="92" t="n">
        <v>10672</v>
      </c>
      <c r="E498" s="59"/>
      <c r="F498" s="59"/>
      <c r="G498" s="61"/>
      <c r="H498" s="62" t="n">
        <v>10672</v>
      </c>
    </row>
    <row r="499" customFormat="false" ht="15" hidden="false" customHeight="true" outlineLevel="0" collapsed="false">
      <c r="B499" s="64"/>
      <c r="C499" s="65" t="s">
        <v>25</v>
      </c>
      <c r="D499" s="66" t="n">
        <v>1568</v>
      </c>
      <c r="E499" s="67"/>
      <c r="F499" s="67"/>
      <c r="G499" s="68"/>
      <c r="H499" s="69" t="n">
        <v>1568</v>
      </c>
    </row>
    <row r="500" customFormat="false" ht="15" hidden="false" customHeight="true" outlineLevel="0" collapsed="false">
      <c r="B500" s="64"/>
      <c r="C500" s="65" t="s">
        <v>50</v>
      </c>
      <c r="D500" s="66" t="n">
        <v>12740</v>
      </c>
      <c r="E500" s="67"/>
      <c r="F500" s="67"/>
      <c r="G500" s="68"/>
      <c r="H500" s="69" t="n">
        <v>12740</v>
      </c>
    </row>
    <row r="501" customFormat="false" ht="15" hidden="false" customHeight="true" outlineLevel="0" collapsed="false">
      <c r="B501" s="64"/>
      <c r="C501" s="65" t="s">
        <v>22</v>
      </c>
      <c r="D501" s="66" t="n">
        <v>2063</v>
      </c>
      <c r="E501" s="67"/>
      <c r="F501" s="67"/>
      <c r="G501" s="68"/>
      <c r="H501" s="69" t="n">
        <v>2063</v>
      </c>
    </row>
    <row r="502" customFormat="false" ht="15" hidden="false" customHeight="true" outlineLevel="0" collapsed="false">
      <c r="B502" s="64"/>
      <c r="C502" s="65" t="s">
        <v>37</v>
      </c>
      <c r="D502" s="73"/>
      <c r="E502" s="67"/>
      <c r="F502" s="71" t="n">
        <v>60</v>
      </c>
      <c r="G502" s="68"/>
      <c r="H502" s="69" t="n">
        <v>60</v>
      </c>
    </row>
    <row r="503" customFormat="false" ht="15" hidden="false" customHeight="true" outlineLevel="0" collapsed="false">
      <c r="B503" s="64"/>
      <c r="C503" s="65" t="s">
        <v>40</v>
      </c>
      <c r="D503" s="66" t="n">
        <v>2180</v>
      </c>
      <c r="E503" s="71" t="n">
        <v>3000</v>
      </c>
      <c r="F503" s="67"/>
      <c r="G503" s="68"/>
      <c r="H503" s="69" t="n">
        <v>5180</v>
      </c>
    </row>
    <row r="504" customFormat="false" ht="15" hidden="false" customHeight="true" outlineLevel="0" collapsed="false">
      <c r="B504" s="64"/>
      <c r="C504" s="65" t="s">
        <v>31</v>
      </c>
      <c r="D504" s="73"/>
      <c r="E504" s="71" t="n">
        <v>585</v>
      </c>
      <c r="F504" s="67"/>
      <c r="G504" s="68"/>
      <c r="H504" s="69" t="n">
        <v>585</v>
      </c>
    </row>
    <row r="505" customFormat="false" ht="15" hidden="false" customHeight="true" outlineLevel="0" collapsed="false">
      <c r="B505" s="64"/>
      <c r="C505" s="65" t="s">
        <v>34</v>
      </c>
      <c r="D505" s="73"/>
      <c r="E505" s="71" t="n">
        <v>195</v>
      </c>
      <c r="F505" s="67"/>
      <c r="G505" s="68"/>
      <c r="H505" s="69" t="n">
        <v>195</v>
      </c>
    </row>
    <row r="506" customFormat="false" ht="15" hidden="false" customHeight="true" outlineLevel="0" collapsed="false">
      <c r="B506" s="84"/>
      <c r="C506" s="85" t="s">
        <v>29</v>
      </c>
      <c r="D506" s="86" t="n">
        <v>819</v>
      </c>
      <c r="E506" s="76" t="n">
        <v>1170</v>
      </c>
      <c r="F506" s="75"/>
      <c r="G506" s="77"/>
      <c r="H506" s="78" t="n">
        <v>1989</v>
      </c>
    </row>
    <row r="507" customFormat="false" ht="15" hidden="false" customHeight="true" outlineLevel="0" collapsed="false">
      <c r="B507" s="87" t="s">
        <v>791</v>
      </c>
      <c r="C507" s="88"/>
      <c r="D507" s="89" t="n">
        <v>30042</v>
      </c>
      <c r="E507" s="89" t="n">
        <v>4950</v>
      </c>
      <c r="F507" s="89" t="n">
        <v>60</v>
      </c>
      <c r="G507" s="90"/>
      <c r="H507" s="91" t="n">
        <v>35052</v>
      </c>
    </row>
    <row r="508" customFormat="false" ht="15" hidden="false" customHeight="true" outlineLevel="0" collapsed="false">
      <c r="B508" s="56" t="n">
        <v>45730</v>
      </c>
      <c r="C508" s="57" t="s">
        <v>44</v>
      </c>
      <c r="D508" s="58"/>
      <c r="E508" s="60" t="n">
        <v>500</v>
      </c>
      <c r="F508" s="60" t="n">
        <v>1500</v>
      </c>
      <c r="G508" s="61"/>
      <c r="H508" s="62" t="n">
        <v>2000</v>
      </c>
    </row>
    <row r="509" customFormat="false" ht="15" hidden="false" customHeight="true" outlineLevel="0" collapsed="false">
      <c r="B509" s="64"/>
      <c r="C509" s="65" t="s">
        <v>53</v>
      </c>
      <c r="D509" s="73"/>
      <c r="E509" s="67"/>
      <c r="F509" s="71" t="n">
        <v>1200</v>
      </c>
      <c r="G509" s="68"/>
      <c r="H509" s="69" t="n">
        <v>1200</v>
      </c>
    </row>
    <row r="510" customFormat="false" ht="15" hidden="false" customHeight="true" outlineLevel="0" collapsed="false">
      <c r="B510" s="64"/>
      <c r="C510" s="65" t="s">
        <v>47</v>
      </c>
      <c r="D510" s="66" t="n">
        <v>840</v>
      </c>
      <c r="E510" s="67"/>
      <c r="F510" s="67"/>
      <c r="G510" s="68"/>
      <c r="H510" s="69" t="n">
        <v>840</v>
      </c>
    </row>
    <row r="511" customFormat="false" ht="15" hidden="false" customHeight="true" outlineLevel="0" collapsed="false">
      <c r="B511" s="64"/>
      <c r="C511" s="65" t="s">
        <v>19</v>
      </c>
      <c r="D511" s="66" t="n">
        <v>1455</v>
      </c>
      <c r="E511" s="67"/>
      <c r="F511" s="67"/>
      <c r="G511" s="68"/>
      <c r="H511" s="69" t="n">
        <v>1455</v>
      </c>
    </row>
    <row r="512" customFormat="false" ht="15" hidden="false" customHeight="true" outlineLevel="0" collapsed="false">
      <c r="B512" s="64"/>
      <c r="C512" s="65" t="s">
        <v>25</v>
      </c>
      <c r="D512" s="66" t="n">
        <v>1498</v>
      </c>
      <c r="E512" s="67"/>
      <c r="F512" s="67"/>
      <c r="G512" s="68"/>
      <c r="H512" s="69" t="n">
        <v>1498</v>
      </c>
    </row>
    <row r="513" customFormat="false" ht="15" hidden="false" customHeight="true" outlineLevel="0" collapsed="false">
      <c r="B513" s="64"/>
      <c r="C513" s="65" t="s">
        <v>28</v>
      </c>
      <c r="D513" s="73"/>
      <c r="E513" s="67"/>
      <c r="F513" s="71" t="n">
        <v>1068</v>
      </c>
      <c r="G513" s="68"/>
      <c r="H513" s="69" t="n">
        <v>1068</v>
      </c>
    </row>
    <row r="514" customFormat="false" ht="15" hidden="false" customHeight="true" outlineLevel="0" collapsed="false">
      <c r="B514" s="64"/>
      <c r="C514" s="65" t="s">
        <v>22</v>
      </c>
      <c r="D514" s="66" t="n">
        <v>4363</v>
      </c>
      <c r="E514" s="67"/>
      <c r="F514" s="67"/>
      <c r="G514" s="68"/>
      <c r="H514" s="69" t="n">
        <v>4363</v>
      </c>
    </row>
    <row r="515" customFormat="false" ht="15" hidden="false" customHeight="true" outlineLevel="0" collapsed="false">
      <c r="B515" s="64"/>
      <c r="C515" s="65" t="s">
        <v>37</v>
      </c>
      <c r="D515" s="73"/>
      <c r="E515" s="67"/>
      <c r="F515" s="71" t="n">
        <v>17</v>
      </c>
      <c r="G515" s="68"/>
      <c r="H515" s="69" t="n">
        <v>17</v>
      </c>
    </row>
    <row r="516" customFormat="false" ht="15" hidden="false" customHeight="true" outlineLevel="0" collapsed="false">
      <c r="B516" s="64"/>
      <c r="C516" s="65" t="s">
        <v>40</v>
      </c>
      <c r="D516" s="66" t="n">
        <v>4840</v>
      </c>
      <c r="E516" s="67"/>
      <c r="F516" s="67"/>
      <c r="G516" s="68"/>
      <c r="H516" s="69" t="n">
        <v>4840</v>
      </c>
    </row>
    <row r="517" customFormat="false" ht="15" hidden="false" customHeight="true" outlineLevel="0" collapsed="false">
      <c r="B517" s="64"/>
      <c r="C517" s="65" t="s">
        <v>31</v>
      </c>
      <c r="D517" s="73"/>
      <c r="E517" s="71" t="n">
        <v>400</v>
      </c>
      <c r="F517" s="67"/>
      <c r="G517" s="68"/>
      <c r="H517" s="69" t="n">
        <v>400</v>
      </c>
    </row>
    <row r="518" customFormat="false" ht="15" hidden="false" customHeight="true" outlineLevel="0" collapsed="false">
      <c r="B518" s="64"/>
      <c r="C518" s="65" t="s">
        <v>34</v>
      </c>
      <c r="D518" s="73"/>
      <c r="E518" s="71" t="n">
        <v>150</v>
      </c>
      <c r="F518" s="67"/>
      <c r="G518" s="68"/>
      <c r="H518" s="69" t="n">
        <v>150</v>
      </c>
    </row>
    <row r="519" customFormat="false" ht="15" hidden="false" customHeight="true" outlineLevel="0" collapsed="false">
      <c r="B519" s="84"/>
      <c r="C519" s="85" t="s">
        <v>29</v>
      </c>
      <c r="D519" s="86" t="n">
        <v>331</v>
      </c>
      <c r="E519" s="75"/>
      <c r="F519" s="75"/>
      <c r="G519" s="77"/>
      <c r="H519" s="78" t="n">
        <v>331</v>
      </c>
    </row>
    <row r="520" customFormat="false" ht="15" hidden="false" customHeight="true" outlineLevel="0" collapsed="false">
      <c r="B520" s="87" t="s">
        <v>792</v>
      </c>
      <c r="C520" s="88"/>
      <c r="D520" s="89" t="n">
        <v>13327</v>
      </c>
      <c r="E520" s="89" t="n">
        <v>1050</v>
      </c>
      <c r="F520" s="89" t="n">
        <v>3785</v>
      </c>
      <c r="G520" s="90"/>
      <c r="H520" s="91" t="n">
        <v>18162</v>
      </c>
    </row>
    <row r="521" customFormat="false" ht="15" hidden="false" customHeight="true" outlineLevel="0" collapsed="false">
      <c r="B521" s="56" t="n">
        <v>45731</v>
      </c>
      <c r="C521" s="57" t="s">
        <v>53</v>
      </c>
      <c r="D521" s="92" t="n">
        <v>2530</v>
      </c>
      <c r="E521" s="59"/>
      <c r="F521" s="59"/>
      <c r="G521" s="61"/>
      <c r="H521" s="62" t="n">
        <v>2530</v>
      </c>
    </row>
    <row r="522" customFormat="false" ht="15" hidden="false" customHeight="true" outlineLevel="0" collapsed="false">
      <c r="B522" s="64"/>
      <c r="C522" s="65" t="s">
        <v>47</v>
      </c>
      <c r="D522" s="66" t="n">
        <v>840</v>
      </c>
      <c r="E522" s="67"/>
      <c r="F522" s="67"/>
      <c r="G522" s="68"/>
      <c r="H522" s="69" t="n">
        <v>840</v>
      </c>
    </row>
    <row r="523" customFormat="false" ht="15" hidden="false" customHeight="true" outlineLevel="0" collapsed="false">
      <c r="B523" s="64"/>
      <c r="C523" s="65" t="s">
        <v>19</v>
      </c>
      <c r="D523" s="66" t="n">
        <v>6654</v>
      </c>
      <c r="E523" s="67"/>
      <c r="F523" s="67"/>
      <c r="G523" s="68"/>
      <c r="H523" s="69" t="n">
        <v>6654</v>
      </c>
    </row>
    <row r="524" customFormat="false" ht="15" hidden="false" customHeight="true" outlineLevel="0" collapsed="false">
      <c r="B524" s="64"/>
      <c r="C524" s="65" t="s">
        <v>63</v>
      </c>
      <c r="D524" s="73"/>
      <c r="E524" s="71" t="n">
        <v>70</v>
      </c>
      <c r="F524" s="67"/>
      <c r="G524" s="68"/>
      <c r="H524" s="69" t="n">
        <v>70</v>
      </c>
    </row>
    <row r="525" customFormat="false" ht="15" hidden="false" customHeight="true" outlineLevel="0" collapsed="false">
      <c r="B525" s="64"/>
      <c r="C525" s="65" t="s">
        <v>25</v>
      </c>
      <c r="D525" s="66" t="n">
        <v>1508</v>
      </c>
      <c r="E525" s="67"/>
      <c r="F525" s="67"/>
      <c r="G525" s="68"/>
      <c r="H525" s="69" t="n">
        <v>1508</v>
      </c>
    </row>
    <row r="526" customFormat="false" ht="15" hidden="false" customHeight="true" outlineLevel="0" collapsed="false">
      <c r="B526" s="64"/>
      <c r="C526" s="65" t="s">
        <v>22</v>
      </c>
      <c r="D526" s="66" t="n">
        <v>4571</v>
      </c>
      <c r="E526" s="67"/>
      <c r="F526" s="67"/>
      <c r="G526" s="68"/>
      <c r="H526" s="69" t="n">
        <v>4571</v>
      </c>
    </row>
    <row r="527" customFormat="false" ht="15" hidden="false" customHeight="true" outlineLevel="0" collapsed="false">
      <c r="B527" s="64"/>
      <c r="C527" s="65" t="s">
        <v>37</v>
      </c>
      <c r="D527" s="73"/>
      <c r="E527" s="67"/>
      <c r="F527" s="71" t="n">
        <v>5</v>
      </c>
      <c r="G527" s="68"/>
      <c r="H527" s="69" t="n">
        <v>5</v>
      </c>
    </row>
    <row r="528" customFormat="false" ht="15" hidden="false" customHeight="true" outlineLevel="0" collapsed="false">
      <c r="B528" s="64"/>
      <c r="C528" s="65" t="s">
        <v>40</v>
      </c>
      <c r="D528" s="66" t="n">
        <v>5180</v>
      </c>
      <c r="E528" s="67"/>
      <c r="F528" s="67"/>
      <c r="G528" s="68"/>
      <c r="H528" s="69" t="n">
        <v>5180</v>
      </c>
    </row>
    <row r="529" customFormat="false" ht="15" hidden="false" customHeight="true" outlineLevel="0" collapsed="false">
      <c r="B529" s="64"/>
      <c r="C529" s="65" t="s">
        <v>34</v>
      </c>
      <c r="D529" s="73"/>
      <c r="E529" s="71" t="n">
        <v>120</v>
      </c>
      <c r="F529" s="67"/>
      <c r="G529" s="68"/>
      <c r="H529" s="69" t="n">
        <v>120</v>
      </c>
    </row>
    <row r="530" customFormat="false" ht="15" hidden="false" customHeight="true" outlineLevel="0" collapsed="false">
      <c r="B530" s="84"/>
      <c r="C530" s="85" t="s">
        <v>29</v>
      </c>
      <c r="D530" s="86" t="n">
        <v>669</v>
      </c>
      <c r="E530" s="76" t="n">
        <v>980</v>
      </c>
      <c r="F530" s="75"/>
      <c r="G530" s="77"/>
      <c r="H530" s="78" t="n">
        <v>1649</v>
      </c>
    </row>
    <row r="531" customFormat="false" ht="15" hidden="false" customHeight="true" outlineLevel="0" collapsed="false">
      <c r="B531" s="87" t="s">
        <v>793</v>
      </c>
      <c r="C531" s="88"/>
      <c r="D531" s="89" t="n">
        <v>21952</v>
      </c>
      <c r="E531" s="89" t="n">
        <v>1170</v>
      </c>
      <c r="F531" s="89" t="n">
        <v>5</v>
      </c>
      <c r="G531" s="90"/>
      <c r="H531" s="91" t="n">
        <v>23127</v>
      </c>
    </row>
    <row r="532" customFormat="false" ht="15" hidden="false" customHeight="true" outlineLevel="0" collapsed="false">
      <c r="B532" s="56" t="n">
        <v>45732</v>
      </c>
      <c r="C532" s="57" t="s">
        <v>53</v>
      </c>
      <c r="D532" s="58"/>
      <c r="E532" s="59"/>
      <c r="F532" s="60" t="n">
        <v>1200</v>
      </c>
      <c r="G532" s="61"/>
      <c r="H532" s="62" t="n">
        <v>1200</v>
      </c>
    </row>
    <row r="533" customFormat="false" ht="15" hidden="false" customHeight="true" outlineLevel="0" collapsed="false">
      <c r="B533" s="64"/>
      <c r="C533" s="65" t="s">
        <v>214</v>
      </c>
      <c r="D533" s="73"/>
      <c r="E533" s="71" t="n">
        <v>1500</v>
      </c>
      <c r="F533" s="67"/>
      <c r="G533" s="68"/>
      <c r="H533" s="69" t="n">
        <v>1500</v>
      </c>
    </row>
    <row r="534" customFormat="false" ht="15" hidden="false" customHeight="true" outlineLevel="0" collapsed="false">
      <c r="B534" s="64"/>
      <c r="C534" s="65" t="s">
        <v>19</v>
      </c>
      <c r="D534" s="66" t="n">
        <v>4644</v>
      </c>
      <c r="E534" s="67"/>
      <c r="F534" s="67"/>
      <c r="G534" s="68"/>
      <c r="H534" s="69" t="n">
        <v>4644</v>
      </c>
    </row>
    <row r="535" customFormat="false" ht="15" hidden="false" customHeight="true" outlineLevel="0" collapsed="false">
      <c r="B535" s="64"/>
      <c r="C535" s="65" t="s">
        <v>25</v>
      </c>
      <c r="D535" s="66" t="n">
        <v>1088</v>
      </c>
      <c r="E535" s="67"/>
      <c r="F535" s="67"/>
      <c r="G535" s="68"/>
      <c r="H535" s="69" t="n">
        <v>1088</v>
      </c>
    </row>
    <row r="536" customFormat="false" ht="15" hidden="false" customHeight="true" outlineLevel="0" collapsed="false">
      <c r="B536" s="64"/>
      <c r="C536" s="65" t="s">
        <v>22</v>
      </c>
      <c r="D536" s="66" t="n">
        <v>6677</v>
      </c>
      <c r="E536" s="67"/>
      <c r="F536" s="71" t="n">
        <v>55</v>
      </c>
      <c r="G536" s="68"/>
      <c r="H536" s="69" t="n">
        <v>6732</v>
      </c>
    </row>
    <row r="537" customFormat="false" ht="15" hidden="false" customHeight="true" outlineLevel="0" collapsed="false">
      <c r="B537" s="64"/>
      <c r="C537" s="65" t="s">
        <v>37</v>
      </c>
      <c r="D537" s="73"/>
      <c r="E537" s="67"/>
      <c r="F537" s="71" t="n">
        <v>23</v>
      </c>
      <c r="G537" s="68"/>
      <c r="H537" s="69" t="n">
        <v>23</v>
      </c>
    </row>
    <row r="538" customFormat="false" ht="15" hidden="false" customHeight="true" outlineLevel="0" collapsed="false">
      <c r="B538" s="64"/>
      <c r="C538" s="65" t="s">
        <v>40</v>
      </c>
      <c r="D538" s="66" t="n">
        <v>2960</v>
      </c>
      <c r="E538" s="67"/>
      <c r="F538" s="67"/>
      <c r="G538" s="68"/>
      <c r="H538" s="69" t="n">
        <v>2960</v>
      </c>
    </row>
    <row r="539" customFormat="false" ht="15" hidden="false" customHeight="true" outlineLevel="0" collapsed="false">
      <c r="B539" s="84"/>
      <c r="C539" s="85" t="s">
        <v>34</v>
      </c>
      <c r="D539" s="74"/>
      <c r="E539" s="76" t="n">
        <v>120</v>
      </c>
      <c r="F539" s="75"/>
      <c r="G539" s="77"/>
      <c r="H539" s="78" t="n">
        <v>120</v>
      </c>
    </row>
    <row r="540" customFormat="false" ht="15" hidden="false" customHeight="true" outlineLevel="0" collapsed="false">
      <c r="B540" s="87" t="s">
        <v>794</v>
      </c>
      <c r="C540" s="88"/>
      <c r="D540" s="89" t="n">
        <v>15369</v>
      </c>
      <c r="E540" s="89" t="n">
        <v>1620</v>
      </c>
      <c r="F540" s="89" t="n">
        <v>1278</v>
      </c>
      <c r="G540" s="90"/>
      <c r="H540" s="91" t="n">
        <v>18267</v>
      </c>
    </row>
    <row r="541" customFormat="false" ht="15" hidden="false" customHeight="true" outlineLevel="0" collapsed="false">
      <c r="B541" s="56" t="n">
        <v>45733</v>
      </c>
      <c r="C541" s="57" t="s">
        <v>32</v>
      </c>
      <c r="D541" s="58"/>
      <c r="E541" s="60" t="n">
        <v>1960</v>
      </c>
      <c r="F541" s="59"/>
      <c r="G541" s="61"/>
      <c r="H541" s="62" t="n">
        <v>1960</v>
      </c>
    </row>
    <row r="542" customFormat="false" ht="15" hidden="false" customHeight="true" outlineLevel="0" collapsed="false">
      <c r="B542" s="64"/>
      <c r="C542" s="65" t="s">
        <v>47</v>
      </c>
      <c r="D542" s="66" t="n">
        <v>840</v>
      </c>
      <c r="E542" s="67"/>
      <c r="F542" s="67"/>
      <c r="G542" s="68"/>
      <c r="H542" s="69" t="n">
        <v>840</v>
      </c>
    </row>
    <row r="543" customFormat="false" ht="15" hidden="false" customHeight="true" outlineLevel="0" collapsed="false">
      <c r="B543" s="64"/>
      <c r="C543" s="65" t="s">
        <v>19</v>
      </c>
      <c r="D543" s="66" t="n">
        <v>3245</v>
      </c>
      <c r="E543" s="67"/>
      <c r="F543" s="67"/>
      <c r="G543" s="68"/>
      <c r="H543" s="69" t="n">
        <v>3245</v>
      </c>
    </row>
    <row r="544" customFormat="false" ht="15" hidden="false" customHeight="true" outlineLevel="0" collapsed="false">
      <c r="B544" s="64"/>
      <c r="C544" s="65" t="s">
        <v>25</v>
      </c>
      <c r="D544" s="66" t="n">
        <v>613</v>
      </c>
      <c r="E544" s="71" t="n">
        <v>550</v>
      </c>
      <c r="F544" s="67"/>
      <c r="G544" s="68"/>
      <c r="H544" s="69" t="n">
        <v>1163</v>
      </c>
    </row>
    <row r="545" customFormat="false" ht="15" hidden="false" customHeight="true" outlineLevel="0" collapsed="false">
      <c r="B545" s="64"/>
      <c r="C545" s="65" t="s">
        <v>28</v>
      </c>
      <c r="D545" s="73"/>
      <c r="E545" s="67"/>
      <c r="F545" s="71" t="n">
        <v>935</v>
      </c>
      <c r="G545" s="68"/>
      <c r="H545" s="69" t="n">
        <v>935</v>
      </c>
    </row>
    <row r="546" customFormat="false" ht="15" hidden="false" customHeight="true" outlineLevel="0" collapsed="false">
      <c r="B546" s="64"/>
      <c r="C546" s="65" t="s">
        <v>69</v>
      </c>
      <c r="D546" s="73"/>
      <c r="E546" s="71" t="n">
        <v>1500</v>
      </c>
      <c r="F546" s="67"/>
      <c r="G546" s="68"/>
      <c r="H546" s="69" t="n">
        <v>1500</v>
      </c>
    </row>
    <row r="547" customFormat="false" ht="15" hidden="false" customHeight="true" outlineLevel="0" collapsed="false">
      <c r="B547" s="64"/>
      <c r="C547" s="65" t="s">
        <v>22</v>
      </c>
      <c r="D547" s="66" t="n">
        <v>6793</v>
      </c>
      <c r="E547" s="67"/>
      <c r="F547" s="67"/>
      <c r="G547" s="68"/>
      <c r="H547" s="69" t="n">
        <v>6793</v>
      </c>
    </row>
    <row r="548" customFormat="false" ht="15" hidden="false" customHeight="true" outlineLevel="0" collapsed="false">
      <c r="B548" s="64"/>
      <c r="C548" s="65" t="s">
        <v>37</v>
      </c>
      <c r="D548" s="73"/>
      <c r="E548" s="67"/>
      <c r="F548" s="71" t="n">
        <v>15</v>
      </c>
      <c r="G548" s="68"/>
      <c r="H548" s="69" t="n">
        <v>15</v>
      </c>
    </row>
    <row r="549" customFormat="false" ht="15" hidden="false" customHeight="true" outlineLevel="0" collapsed="false">
      <c r="B549" s="64"/>
      <c r="C549" s="65" t="s">
        <v>40</v>
      </c>
      <c r="D549" s="66" t="n">
        <v>1700</v>
      </c>
      <c r="E549" s="71" t="n">
        <v>890</v>
      </c>
      <c r="F549" s="67"/>
      <c r="G549" s="68"/>
      <c r="H549" s="69" t="n">
        <v>2590</v>
      </c>
    </row>
    <row r="550" customFormat="false" ht="15" hidden="false" customHeight="true" outlineLevel="0" collapsed="false">
      <c r="B550" s="64"/>
      <c r="C550" s="65" t="s">
        <v>34</v>
      </c>
      <c r="D550" s="73"/>
      <c r="E550" s="71" t="n">
        <v>265</v>
      </c>
      <c r="F550" s="67"/>
      <c r="G550" s="68"/>
      <c r="H550" s="69" t="n">
        <v>265</v>
      </c>
    </row>
    <row r="551" customFormat="false" ht="15" hidden="false" customHeight="true" outlineLevel="0" collapsed="false">
      <c r="B551" s="84"/>
      <c r="C551" s="85" t="s">
        <v>29</v>
      </c>
      <c r="D551" s="86" t="n">
        <v>537</v>
      </c>
      <c r="E551" s="75"/>
      <c r="F551" s="75"/>
      <c r="G551" s="77"/>
      <c r="H551" s="78" t="n">
        <v>537</v>
      </c>
    </row>
    <row r="552" customFormat="false" ht="15" hidden="false" customHeight="true" outlineLevel="0" collapsed="false">
      <c r="B552" s="87" t="s">
        <v>795</v>
      </c>
      <c r="C552" s="88"/>
      <c r="D552" s="89" t="n">
        <v>13728</v>
      </c>
      <c r="E552" s="89" t="n">
        <v>5165</v>
      </c>
      <c r="F552" s="89" t="n">
        <v>950</v>
      </c>
      <c r="G552" s="90"/>
      <c r="H552" s="91" t="n">
        <v>19843</v>
      </c>
    </row>
    <row r="553" customFormat="false" ht="15" hidden="false" customHeight="true" outlineLevel="0" collapsed="false">
      <c r="B553" s="56" t="n">
        <v>45734</v>
      </c>
      <c r="C553" s="57" t="s">
        <v>32</v>
      </c>
      <c r="D553" s="58"/>
      <c r="E553" s="59"/>
      <c r="F553" s="60" t="n">
        <v>175</v>
      </c>
      <c r="G553" s="61"/>
      <c r="H553" s="62" t="n">
        <v>175</v>
      </c>
    </row>
    <row r="554" customFormat="false" ht="15" hidden="false" customHeight="true" outlineLevel="0" collapsed="false">
      <c r="B554" s="64"/>
      <c r="C554" s="65" t="s">
        <v>19</v>
      </c>
      <c r="D554" s="66" t="n">
        <v>2236</v>
      </c>
      <c r="E554" s="67"/>
      <c r="F554" s="67"/>
      <c r="G554" s="68"/>
      <c r="H554" s="69" t="n">
        <v>2236</v>
      </c>
    </row>
    <row r="555" customFormat="false" ht="15" hidden="false" customHeight="true" outlineLevel="0" collapsed="false">
      <c r="B555" s="64"/>
      <c r="C555" s="65" t="s">
        <v>25</v>
      </c>
      <c r="D555" s="66" t="n">
        <v>809</v>
      </c>
      <c r="E555" s="67"/>
      <c r="F555" s="67"/>
      <c r="G555" s="68"/>
      <c r="H555" s="69" t="n">
        <v>809</v>
      </c>
    </row>
    <row r="556" customFormat="false" ht="15" hidden="false" customHeight="true" outlineLevel="0" collapsed="false">
      <c r="B556" s="64"/>
      <c r="C556" s="65" t="s">
        <v>22</v>
      </c>
      <c r="D556" s="66" t="n">
        <v>3750</v>
      </c>
      <c r="E556" s="67"/>
      <c r="F556" s="67"/>
      <c r="G556" s="68"/>
      <c r="H556" s="69" t="n">
        <v>3750</v>
      </c>
    </row>
    <row r="557" customFormat="false" ht="15" hidden="false" customHeight="true" outlineLevel="0" collapsed="false">
      <c r="B557" s="64"/>
      <c r="C557" s="65" t="s">
        <v>37</v>
      </c>
      <c r="D557" s="73"/>
      <c r="E557" s="67"/>
      <c r="F557" s="71" t="n">
        <v>30</v>
      </c>
      <c r="G557" s="68"/>
      <c r="H557" s="69" t="n">
        <v>30</v>
      </c>
    </row>
    <row r="558" customFormat="false" ht="15" hidden="false" customHeight="true" outlineLevel="0" collapsed="false">
      <c r="B558" s="64"/>
      <c r="C558" s="65" t="s">
        <v>43</v>
      </c>
      <c r="D558" s="66" t="n">
        <v>600</v>
      </c>
      <c r="E558" s="67"/>
      <c r="F558" s="67"/>
      <c r="G558" s="68"/>
      <c r="H558" s="69" t="n">
        <v>600</v>
      </c>
    </row>
    <row r="559" customFormat="false" ht="15" hidden="false" customHeight="true" outlineLevel="0" collapsed="false">
      <c r="B559" s="64"/>
      <c r="C559" s="65" t="s">
        <v>34</v>
      </c>
      <c r="D559" s="73"/>
      <c r="E559" s="71" t="n">
        <v>125</v>
      </c>
      <c r="F559" s="67"/>
      <c r="G559" s="68"/>
      <c r="H559" s="69" t="n">
        <v>125</v>
      </c>
    </row>
    <row r="560" customFormat="false" ht="15" hidden="false" customHeight="true" outlineLevel="0" collapsed="false">
      <c r="B560" s="84"/>
      <c r="C560" s="85" t="s">
        <v>29</v>
      </c>
      <c r="D560" s="86" t="n">
        <v>498</v>
      </c>
      <c r="E560" s="75"/>
      <c r="F560" s="75"/>
      <c r="G560" s="77"/>
      <c r="H560" s="78" t="n">
        <v>498</v>
      </c>
    </row>
    <row r="561" customFormat="false" ht="15" hidden="false" customHeight="true" outlineLevel="0" collapsed="false">
      <c r="B561" s="87" t="s">
        <v>796</v>
      </c>
      <c r="C561" s="88"/>
      <c r="D561" s="89" t="n">
        <v>7893</v>
      </c>
      <c r="E561" s="89" t="n">
        <v>125</v>
      </c>
      <c r="F561" s="89" t="n">
        <v>205</v>
      </c>
      <c r="G561" s="90"/>
      <c r="H561" s="91" t="n">
        <v>8223</v>
      </c>
    </row>
    <row r="562" customFormat="false" ht="15" hidden="false" customHeight="true" outlineLevel="0" collapsed="false">
      <c r="B562" s="56" t="n">
        <v>45735</v>
      </c>
      <c r="C562" s="57" t="s">
        <v>44</v>
      </c>
      <c r="D562" s="58"/>
      <c r="E562" s="59"/>
      <c r="F562" s="60" t="n">
        <v>600</v>
      </c>
      <c r="G562" s="61"/>
      <c r="H562" s="62" t="n">
        <v>600</v>
      </c>
    </row>
    <row r="563" customFormat="false" ht="15" hidden="false" customHeight="true" outlineLevel="0" collapsed="false">
      <c r="B563" s="64"/>
      <c r="C563" s="65" t="s">
        <v>32</v>
      </c>
      <c r="D563" s="73"/>
      <c r="E563" s="71" t="n">
        <v>210</v>
      </c>
      <c r="F563" s="67"/>
      <c r="G563" s="68"/>
      <c r="H563" s="69" t="n">
        <v>210</v>
      </c>
    </row>
    <row r="564" customFormat="false" ht="15" hidden="false" customHeight="true" outlineLevel="0" collapsed="false">
      <c r="B564" s="64"/>
      <c r="C564" s="65" t="s">
        <v>53</v>
      </c>
      <c r="D564" s="73"/>
      <c r="E564" s="71" t="n">
        <v>975</v>
      </c>
      <c r="F564" s="67"/>
      <c r="G564" s="68"/>
      <c r="H564" s="69" t="n">
        <v>975</v>
      </c>
    </row>
    <row r="565" customFormat="false" ht="15" hidden="false" customHeight="true" outlineLevel="0" collapsed="false">
      <c r="B565" s="64"/>
      <c r="C565" s="65" t="s">
        <v>47</v>
      </c>
      <c r="D565" s="66" t="n">
        <v>1680</v>
      </c>
      <c r="E565" s="67"/>
      <c r="F565" s="67"/>
      <c r="G565" s="68"/>
      <c r="H565" s="69" t="n">
        <v>1680</v>
      </c>
    </row>
    <row r="566" customFormat="false" ht="15" hidden="false" customHeight="true" outlineLevel="0" collapsed="false">
      <c r="B566" s="64"/>
      <c r="C566" s="65" t="s">
        <v>19</v>
      </c>
      <c r="D566" s="66" t="n">
        <v>3352</v>
      </c>
      <c r="E566" s="67"/>
      <c r="F566" s="67"/>
      <c r="G566" s="68"/>
      <c r="H566" s="69" t="n">
        <v>3352</v>
      </c>
    </row>
    <row r="567" customFormat="false" ht="15" hidden="false" customHeight="true" outlineLevel="0" collapsed="false">
      <c r="B567" s="64"/>
      <c r="C567" s="65" t="s">
        <v>25</v>
      </c>
      <c r="D567" s="66" t="n">
        <v>1084</v>
      </c>
      <c r="E567" s="71" t="n">
        <v>60</v>
      </c>
      <c r="F567" s="67"/>
      <c r="G567" s="68"/>
      <c r="H567" s="69" t="n">
        <v>1144</v>
      </c>
    </row>
    <row r="568" customFormat="false" ht="15" hidden="false" customHeight="true" outlineLevel="0" collapsed="false">
      <c r="B568" s="64"/>
      <c r="C568" s="65" t="s">
        <v>51</v>
      </c>
      <c r="D568" s="66" t="n">
        <v>4710</v>
      </c>
      <c r="E568" s="67"/>
      <c r="F568" s="67"/>
      <c r="G568" s="68"/>
      <c r="H568" s="69" t="n">
        <v>4710</v>
      </c>
    </row>
    <row r="569" customFormat="false" ht="15" hidden="false" customHeight="true" outlineLevel="0" collapsed="false">
      <c r="B569" s="64"/>
      <c r="C569" s="65" t="s">
        <v>227</v>
      </c>
      <c r="D569" s="66" t="n">
        <v>4000</v>
      </c>
      <c r="E569" s="67"/>
      <c r="F569" s="67"/>
      <c r="G569" s="68"/>
      <c r="H569" s="69" t="n">
        <v>4000</v>
      </c>
    </row>
    <row r="570" customFormat="false" ht="15" hidden="false" customHeight="true" outlineLevel="0" collapsed="false">
      <c r="B570" s="64"/>
      <c r="C570" s="65" t="s">
        <v>69</v>
      </c>
      <c r="D570" s="66" t="n">
        <v>700</v>
      </c>
      <c r="E570" s="67"/>
      <c r="F570" s="67"/>
      <c r="G570" s="68"/>
      <c r="H570" s="69" t="n">
        <v>700</v>
      </c>
    </row>
    <row r="571" customFormat="false" ht="15" hidden="false" customHeight="true" outlineLevel="0" collapsed="false">
      <c r="B571" s="64"/>
      <c r="C571" s="65" t="s">
        <v>22</v>
      </c>
      <c r="D571" s="66" t="n">
        <v>2908</v>
      </c>
      <c r="E571" s="67"/>
      <c r="F571" s="71" t="n">
        <v>110</v>
      </c>
      <c r="G571" s="68"/>
      <c r="H571" s="69" t="n">
        <v>3018</v>
      </c>
    </row>
    <row r="572" customFormat="false" ht="15" hidden="false" customHeight="true" outlineLevel="0" collapsed="false">
      <c r="B572" s="64"/>
      <c r="C572" s="65" t="s">
        <v>43</v>
      </c>
      <c r="D572" s="73"/>
      <c r="E572" s="71" t="n">
        <v>180</v>
      </c>
      <c r="F572" s="67"/>
      <c r="G572" s="68"/>
      <c r="H572" s="69" t="n">
        <v>180</v>
      </c>
    </row>
    <row r="573" customFormat="false" ht="15" hidden="false" customHeight="true" outlineLevel="0" collapsed="false">
      <c r="B573" s="64"/>
      <c r="C573" s="65" t="s">
        <v>40</v>
      </c>
      <c r="D573" s="66" t="n">
        <v>2960</v>
      </c>
      <c r="E573" s="67"/>
      <c r="F573" s="67"/>
      <c r="G573" s="68"/>
      <c r="H573" s="69" t="n">
        <v>2960</v>
      </c>
    </row>
    <row r="574" customFormat="false" ht="15" hidden="false" customHeight="true" outlineLevel="0" collapsed="false">
      <c r="B574" s="64"/>
      <c r="C574" s="65" t="s">
        <v>31</v>
      </c>
      <c r="D574" s="73"/>
      <c r="E574" s="71" t="n">
        <v>100</v>
      </c>
      <c r="F574" s="67"/>
      <c r="G574" s="68"/>
      <c r="H574" s="69" t="n">
        <v>100</v>
      </c>
    </row>
    <row r="575" customFormat="false" ht="15" hidden="false" customHeight="true" outlineLevel="0" collapsed="false">
      <c r="B575" s="64"/>
      <c r="C575" s="65" t="s">
        <v>56</v>
      </c>
      <c r="D575" s="66" t="n">
        <v>1560</v>
      </c>
      <c r="E575" s="67"/>
      <c r="F575" s="67"/>
      <c r="G575" s="68"/>
      <c r="H575" s="69" t="n">
        <v>1560</v>
      </c>
    </row>
    <row r="576" customFormat="false" ht="15" hidden="false" customHeight="true" outlineLevel="0" collapsed="false">
      <c r="B576" s="64"/>
      <c r="C576" s="65" t="s">
        <v>34</v>
      </c>
      <c r="D576" s="73"/>
      <c r="E576" s="71" t="n">
        <v>185</v>
      </c>
      <c r="F576" s="67"/>
      <c r="G576" s="68"/>
      <c r="H576" s="69" t="n">
        <v>185</v>
      </c>
    </row>
    <row r="577" customFormat="false" ht="15" hidden="false" customHeight="true" outlineLevel="0" collapsed="false">
      <c r="B577" s="84"/>
      <c r="C577" s="85" t="s">
        <v>29</v>
      </c>
      <c r="D577" s="74"/>
      <c r="E577" s="76" t="n">
        <v>1043</v>
      </c>
      <c r="F577" s="75"/>
      <c r="G577" s="77"/>
      <c r="H577" s="78" t="n">
        <v>1043</v>
      </c>
    </row>
    <row r="578" customFormat="false" ht="15" hidden="false" customHeight="true" outlineLevel="0" collapsed="false">
      <c r="B578" s="87" t="s">
        <v>797</v>
      </c>
      <c r="C578" s="88"/>
      <c r="D578" s="89" t="n">
        <v>22954</v>
      </c>
      <c r="E578" s="89" t="n">
        <v>2753</v>
      </c>
      <c r="F578" s="89" t="n">
        <v>710</v>
      </c>
      <c r="G578" s="90"/>
      <c r="H578" s="91" t="n">
        <v>26417</v>
      </c>
    </row>
    <row r="579" customFormat="false" ht="15" hidden="false" customHeight="true" outlineLevel="0" collapsed="false">
      <c r="B579" s="56" t="n">
        <v>45736</v>
      </c>
      <c r="C579" s="57" t="s">
        <v>32</v>
      </c>
      <c r="D579" s="58"/>
      <c r="E579" s="59"/>
      <c r="F579" s="60" t="n">
        <v>210</v>
      </c>
      <c r="G579" s="61"/>
      <c r="H579" s="62" t="n">
        <v>210</v>
      </c>
    </row>
    <row r="580" customFormat="false" ht="15" hidden="false" customHeight="true" outlineLevel="0" collapsed="false">
      <c r="B580" s="64"/>
      <c r="C580" s="65" t="s">
        <v>19</v>
      </c>
      <c r="D580" s="66" t="n">
        <v>3293</v>
      </c>
      <c r="E580" s="67"/>
      <c r="F580" s="67"/>
      <c r="G580" s="68"/>
      <c r="H580" s="69" t="n">
        <v>3293</v>
      </c>
    </row>
    <row r="581" customFormat="false" ht="15" hidden="false" customHeight="true" outlineLevel="0" collapsed="false">
      <c r="B581" s="64"/>
      <c r="C581" s="65" t="s">
        <v>25</v>
      </c>
      <c r="D581" s="66" t="n">
        <v>925</v>
      </c>
      <c r="E581" s="71" t="n">
        <v>60</v>
      </c>
      <c r="F581" s="67"/>
      <c r="G581" s="68"/>
      <c r="H581" s="69" t="n">
        <v>985</v>
      </c>
    </row>
    <row r="582" customFormat="false" ht="15" hidden="false" customHeight="true" outlineLevel="0" collapsed="false">
      <c r="B582" s="64"/>
      <c r="C582" s="65" t="s">
        <v>28</v>
      </c>
      <c r="D582" s="73"/>
      <c r="E582" s="67"/>
      <c r="F582" s="71" t="n">
        <v>420</v>
      </c>
      <c r="G582" s="68"/>
      <c r="H582" s="69" t="n">
        <v>420</v>
      </c>
    </row>
    <row r="583" customFormat="false" ht="15" hidden="false" customHeight="true" outlineLevel="0" collapsed="false">
      <c r="B583" s="64"/>
      <c r="C583" s="65" t="s">
        <v>22</v>
      </c>
      <c r="D583" s="66" t="n">
        <v>3498</v>
      </c>
      <c r="E583" s="67"/>
      <c r="F583" s="67"/>
      <c r="G583" s="68"/>
      <c r="H583" s="69" t="n">
        <v>3498</v>
      </c>
    </row>
    <row r="584" customFormat="false" ht="15" hidden="false" customHeight="true" outlineLevel="0" collapsed="false">
      <c r="B584" s="64"/>
      <c r="C584" s="65" t="s">
        <v>40</v>
      </c>
      <c r="D584" s="66" t="n">
        <v>4440</v>
      </c>
      <c r="E584" s="67"/>
      <c r="F584" s="67"/>
      <c r="G584" s="68"/>
      <c r="H584" s="69" t="n">
        <v>4440</v>
      </c>
    </row>
    <row r="585" customFormat="false" ht="15" hidden="false" customHeight="true" outlineLevel="0" collapsed="false">
      <c r="B585" s="64"/>
      <c r="C585" s="65" t="s">
        <v>56</v>
      </c>
      <c r="D585" s="66" t="n">
        <v>1500</v>
      </c>
      <c r="E585" s="67"/>
      <c r="F585" s="67"/>
      <c r="G585" s="68"/>
      <c r="H585" s="69" t="n">
        <v>1500</v>
      </c>
    </row>
    <row r="586" customFormat="false" ht="15" hidden="false" customHeight="true" outlineLevel="0" collapsed="false">
      <c r="B586" s="64"/>
      <c r="C586" s="65" t="s">
        <v>34</v>
      </c>
      <c r="D586" s="73"/>
      <c r="E586" s="71" t="n">
        <v>150</v>
      </c>
      <c r="F586" s="67"/>
      <c r="G586" s="68"/>
      <c r="H586" s="69" t="n">
        <v>150</v>
      </c>
    </row>
    <row r="587" customFormat="false" ht="15" hidden="false" customHeight="true" outlineLevel="0" collapsed="false">
      <c r="B587" s="84"/>
      <c r="C587" s="85" t="s">
        <v>29</v>
      </c>
      <c r="D587" s="86" t="n">
        <v>315</v>
      </c>
      <c r="E587" s="75"/>
      <c r="F587" s="75"/>
      <c r="G587" s="77"/>
      <c r="H587" s="78" t="n">
        <v>315</v>
      </c>
    </row>
    <row r="588" customFormat="false" ht="15" hidden="false" customHeight="true" outlineLevel="0" collapsed="false">
      <c r="B588" s="87" t="s">
        <v>798</v>
      </c>
      <c r="C588" s="88"/>
      <c r="D588" s="89" t="n">
        <v>13971</v>
      </c>
      <c r="E588" s="89" t="n">
        <v>210</v>
      </c>
      <c r="F588" s="89" t="n">
        <v>630</v>
      </c>
      <c r="G588" s="90"/>
      <c r="H588" s="91" t="n">
        <v>14811</v>
      </c>
    </row>
    <row r="589" customFormat="false" ht="15" hidden="false" customHeight="true" outlineLevel="0" collapsed="false">
      <c r="B589" s="56" t="n">
        <v>45737</v>
      </c>
      <c r="C589" s="57" t="s">
        <v>32</v>
      </c>
      <c r="D589" s="58"/>
      <c r="E589" s="59"/>
      <c r="F589" s="60" t="n">
        <v>280</v>
      </c>
      <c r="G589" s="61"/>
      <c r="H589" s="62" t="n">
        <v>280</v>
      </c>
    </row>
    <row r="590" customFormat="false" ht="15" hidden="false" customHeight="true" outlineLevel="0" collapsed="false">
      <c r="B590" s="64"/>
      <c r="C590" s="65" t="s">
        <v>53</v>
      </c>
      <c r="D590" s="73"/>
      <c r="E590" s="67"/>
      <c r="F590" s="71" t="n">
        <v>1200</v>
      </c>
      <c r="G590" s="68"/>
      <c r="H590" s="69" t="n">
        <v>1200</v>
      </c>
    </row>
    <row r="591" customFormat="false" ht="15" hidden="false" customHeight="true" outlineLevel="0" collapsed="false">
      <c r="B591" s="64"/>
      <c r="C591" s="65" t="s">
        <v>47</v>
      </c>
      <c r="D591" s="66" t="n">
        <v>840</v>
      </c>
      <c r="E591" s="67"/>
      <c r="F591" s="67"/>
      <c r="G591" s="68"/>
      <c r="H591" s="69" t="n">
        <v>840</v>
      </c>
    </row>
    <row r="592" customFormat="false" ht="15" hidden="false" customHeight="true" outlineLevel="0" collapsed="false">
      <c r="B592" s="64"/>
      <c r="C592" s="65" t="s">
        <v>19</v>
      </c>
      <c r="D592" s="66" t="n">
        <v>4024</v>
      </c>
      <c r="E592" s="67"/>
      <c r="F592" s="67"/>
      <c r="G592" s="68"/>
      <c r="H592" s="69" t="n">
        <v>4024</v>
      </c>
    </row>
    <row r="593" customFormat="false" ht="15" hidden="false" customHeight="true" outlineLevel="0" collapsed="false">
      <c r="B593" s="64"/>
      <c r="C593" s="65" t="s">
        <v>63</v>
      </c>
      <c r="D593" s="73"/>
      <c r="E593" s="71" t="n">
        <v>600</v>
      </c>
      <c r="F593" s="67"/>
      <c r="G593" s="68"/>
      <c r="H593" s="69" t="n">
        <v>600</v>
      </c>
    </row>
    <row r="594" customFormat="false" ht="15" hidden="false" customHeight="true" outlineLevel="0" collapsed="false">
      <c r="B594" s="64"/>
      <c r="C594" s="65" t="s">
        <v>25</v>
      </c>
      <c r="D594" s="66" t="n">
        <v>1318</v>
      </c>
      <c r="E594" s="67"/>
      <c r="F594" s="67"/>
      <c r="G594" s="68"/>
      <c r="H594" s="69" t="n">
        <v>1318</v>
      </c>
    </row>
    <row r="595" customFormat="false" ht="15" hidden="false" customHeight="true" outlineLevel="0" collapsed="false">
      <c r="B595" s="64"/>
      <c r="C595" s="65" t="s">
        <v>51</v>
      </c>
      <c r="D595" s="66" t="n">
        <v>1335</v>
      </c>
      <c r="E595" s="67"/>
      <c r="F595" s="67"/>
      <c r="G595" s="68"/>
      <c r="H595" s="69" t="n">
        <v>1335</v>
      </c>
    </row>
    <row r="596" customFormat="false" ht="15" hidden="false" customHeight="true" outlineLevel="0" collapsed="false">
      <c r="B596" s="64"/>
      <c r="C596" s="65" t="s">
        <v>37</v>
      </c>
      <c r="D596" s="73"/>
      <c r="E596" s="67"/>
      <c r="F596" s="71" t="n">
        <v>30</v>
      </c>
      <c r="G596" s="68"/>
      <c r="H596" s="69" t="n">
        <v>30</v>
      </c>
    </row>
    <row r="597" customFormat="false" ht="15" hidden="false" customHeight="true" outlineLevel="0" collapsed="false">
      <c r="B597" s="64"/>
      <c r="C597" s="65" t="s">
        <v>40</v>
      </c>
      <c r="D597" s="66" t="n">
        <v>3700</v>
      </c>
      <c r="E597" s="67"/>
      <c r="F597" s="67"/>
      <c r="G597" s="68"/>
      <c r="H597" s="69" t="n">
        <v>3700</v>
      </c>
    </row>
    <row r="598" customFormat="false" ht="15" hidden="false" customHeight="true" outlineLevel="0" collapsed="false">
      <c r="B598" s="64"/>
      <c r="C598" s="65" t="s">
        <v>34</v>
      </c>
      <c r="D598" s="73"/>
      <c r="E598" s="71" t="n">
        <v>120</v>
      </c>
      <c r="F598" s="67"/>
      <c r="G598" s="68"/>
      <c r="H598" s="69" t="n">
        <v>120</v>
      </c>
    </row>
    <row r="599" customFormat="false" ht="15" hidden="false" customHeight="true" outlineLevel="0" collapsed="false">
      <c r="B599" s="84"/>
      <c r="C599" s="85" t="s">
        <v>29</v>
      </c>
      <c r="D599" s="74"/>
      <c r="E599" s="76" t="n">
        <v>640</v>
      </c>
      <c r="F599" s="75"/>
      <c r="G599" s="77"/>
      <c r="H599" s="78" t="n">
        <v>640</v>
      </c>
    </row>
    <row r="600" customFormat="false" ht="15" hidden="false" customHeight="true" outlineLevel="0" collapsed="false">
      <c r="B600" s="87" t="s">
        <v>799</v>
      </c>
      <c r="C600" s="88"/>
      <c r="D600" s="89" t="n">
        <v>11217</v>
      </c>
      <c r="E600" s="89" t="n">
        <v>1360</v>
      </c>
      <c r="F600" s="89" t="n">
        <v>1510</v>
      </c>
      <c r="G600" s="90"/>
      <c r="H600" s="91" t="n">
        <v>14087</v>
      </c>
    </row>
    <row r="601" customFormat="false" ht="15" hidden="false" customHeight="true" outlineLevel="0" collapsed="false">
      <c r="B601" s="56" t="n">
        <v>45738</v>
      </c>
      <c r="C601" s="57" t="s">
        <v>44</v>
      </c>
      <c r="D601" s="58"/>
      <c r="E601" s="60" t="n">
        <v>150</v>
      </c>
      <c r="F601" s="59"/>
      <c r="G601" s="61"/>
      <c r="H601" s="62" t="n">
        <v>150</v>
      </c>
    </row>
    <row r="602" customFormat="false" ht="15" hidden="false" customHeight="true" outlineLevel="0" collapsed="false">
      <c r="B602" s="64"/>
      <c r="C602" s="65" t="s">
        <v>32</v>
      </c>
      <c r="D602" s="73"/>
      <c r="E602" s="67"/>
      <c r="F602" s="71" t="n">
        <v>350</v>
      </c>
      <c r="G602" s="68"/>
      <c r="H602" s="69" t="n">
        <v>350</v>
      </c>
    </row>
    <row r="603" customFormat="false" ht="15" hidden="false" customHeight="true" outlineLevel="0" collapsed="false">
      <c r="B603" s="64"/>
      <c r="C603" s="65" t="s">
        <v>19</v>
      </c>
      <c r="D603" s="66" t="n">
        <v>9466</v>
      </c>
      <c r="E603" s="67"/>
      <c r="F603" s="67"/>
      <c r="G603" s="68"/>
      <c r="H603" s="69" t="n">
        <v>9466</v>
      </c>
    </row>
    <row r="604" customFormat="false" ht="15" hidden="false" customHeight="true" outlineLevel="0" collapsed="false">
      <c r="B604" s="64"/>
      <c r="C604" s="65" t="s">
        <v>25</v>
      </c>
      <c r="D604" s="66" t="n">
        <v>2010</v>
      </c>
      <c r="E604" s="67"/>
      <c r="F604" s="67"/>
      <c r="G604" s="68"/>
      <c r="H604" s="69" t="n">
        <v>2010</v>
      </c>
    </row>
    <row r="605" customFormat="false" ht="15" hidden="false" customHeight="true" outlineLevel="0" collapsed="false">
      <c r="B605" s="64"/>
      <c r="C605" s="65" t="s">
        <v>28</v>
      </c>
      <c r="D605" s="73"/>
      <c r="E605" s="67"/>
      <c r="F605" s="71" t="n">
        <v>836</v>
      </c>
      <c r="G605" s="68"/>
      <c r="H605" s="69" t="n">
        <v>836</v>
      </c>
    </row>
    <row r="606" customFormat="false" ht="15" hidden="false" customHeight="true" outlineLevel="0" collapsed="false">
      <c r="B606" s="64"/>
      <c r="C606" s="65" t="s">
        <v>12</v>
      </c>
      <c r="D606" s="66" t="n">
        <v>21320</v>
      </c>
      <c r="E606" s="67"/>
      <c r="F606" s="67"/>
      <c r="G606" s="68"/>
      <c r="H606" s="69" t="n">
        <v>21320</v>
      </c>
    </row>
    <row r="607" customFormat="false" ht="15" hidden="false" customHeight="true" outlineLevel="0" collapsed="false">
      <c r="B607" s="64"/>
      <c r="C607" s="65" t="s">
        <v>50</v>
      </c>
      <c r="D607" s="66" t="n">
        <v>10920</v>
      </c>
      <c r="E607" s="67"/>
      <c r="F607" s="67"/>
      <c r="G607" s="68"/>
      <c r="H607" s="69" t="n">
        <v>10920</v>
      </c>
    </row>
    <row r="608" customFormat="false" ht="15" hidden="false" customHeight="true" outlineLevel="0" collapsed="false">
      <c r="B608" s="64"/>
      <c r="C608" s="65" t="s">
        <v>22</v>
      </c>
      <c r="D608" s="66" t="n">
        <v>4039</v>
      </c>
      <c r="E608" s="67"/>
      <c r="F608" s="67"/>
      <c r="G608" s="68"/>
      <c r="H608" s="69" t="n">
        <v>4039</v>
      </c>
    </row>
    <row r="609" customFormat="false" ht="15" hidden="false" customHeight="true" outlineLevel="0" collapsed="false">
      <c r="B609" s="64"/>
      <c r="C609" s="65" t="s">
        <v>43</v>
      </c>
      <c r="D609" s="73"/>
      <c r="E609" s="71" t="n">
        <v>80</v>
      </c>
      <c r="F609" s="67"/>
      <c r="G609" s="68"/>
      <c r="H609" s="69" t="n">
        <v>80</v>
      </c>
    </row>
    <row r="610" customFormat="false" ht="15" hidden="false" customHeight="true" outlineLevel="0" collapsed="false">
      <c r="B610" s="64"/>
      <c r="C610" s="65" t="s">
        <v>60</v>
      </c>
      <c r="D610" s="73"/>
      <c r="E610" s="71" t="n">
        <v>210</v>
      </c>
      <c r="F610" s="67"/>
      <c r="G610" s="68"/>
      <c r="H610" s="69" t="n">
        <v>210</v>
      </c>
    </row>
    <row r="611" customFormat="false" ht="15" hidden="false" customHeight="true" outlineLevel="0" collapsed="false">
      <c r="B611" s="64"/>
      <c r="C611" s="65" t="s">
        <v>40</v>
      </c>
      <c r="D611" s="73"/>
      <c r="E611" s="71" t="n">
        <v>2960</v>
      </c>
      <c r="F611" s="67"/>
      <c r="G611" s="68"/>
      <c r="H611" s="69" t="n">
        <v>2960</v>
      </c>
    </row>
    <row r="612" customFormat="false" ht="15" hidden="false" customHeight="true" outlineLevel="0" collapsed="false">
      <c r="B612" s="64"/>
      <c r="C612" s="65" t="s">
        <v>31</v>
      </c>
      <c r="D612" s="73"/>
      <c r="E612" s="71" t="n">
        <v>400</v>
      </c>
      <c r="F612" s="67"/>
      <c r="G612" s="68"/>
      <c r="H612" s="69" t="n">
        <v>400</v>
      </c>
    </row>
    <row r="613" customFormat="false" ht="15" hidden="false" customHeight="true" outlineLevel="0" collapsed="false">
      <c r="B613" s="64"/>
      <c r="C613" s="65" t="s">
        <v>34</v>
      </c>
      <c r="D613" s="73"/>
      <c r="E613" s="71" t="n">
        <v>130</v>
      </c>
      <c r="F613" s="67"/>
      <c r="G613" s="68"/>
      <c r="H613" s="69" t="n">
        <v>130</v>
      </c>
    </row>
    <row r="614" customFormat="false" ht="15" hidden="false" customHeight="true" outlineLevel="0" collapsed="false">
      <c r="B614" s="84"/>
      <c r="C614" s="85" t="s">
        <v>29</v>
      </c>
      <c r="D614" s="74"/>
      <c r="E614" s="76" t="n">
        <v>2414</v>
      </c>
      <c r="F614" s="76" t="n">
        <v>20</v>
      </c>
      <c r="G614" s="77"/>
      <c r="H614" s="78" t="n">
        <v>2434</v>
      </c>
    </row>
    <row r="615" customFormat="false" ht="15" hidden="false" customHeight="true" outlineLevel="0" collapsed="false">
      <c r="B615" s="87" t="s">
        <v>800</v>
      </c>
      <c r="C615" s="88"/>
      <c r="D615" s="89" t="n">
        <v>47755</v>
      </c>
      <c r="E615" s="89" t="n">
        <v>6344</v>
      </c>
      <c r="F615" s="89" t="n">
        <v>1206</v>
      </c>
      <c r="G615" s="90"/>
      <c r="H615" s="91" t="n">
        <v>55305</v>
      </c>
    </row>
    <row r="616" customFormat="false" ht="15" hidden="false" customHeight="true" outlineLevel="0" collapsed="false">
      <c r="B616" s="56" t="n">
        <v>45739</v>
      </c>
      <c r="C616" s="57" t="s">
        <v>32</v>
      </c>
      <c r="D616" s="58"/>
      <c r="E616" s="59"/>
      <c r="F616" s="60" t="n">
        <v>350</v>
      </c>
      <c r="G616" s="61"/>
      <c r="H616" s="62" t="n">
        <v>350</v>
      </c>
    </row>
    <row r="617" customFormat="false" ht="15" hidden="false" customHeight="true" outlineLevel="0" collapsed="false">
      <c r="B617" s="64"/>
      <c r="C617" s="65" t="s">
        <v>19</v>
      </c>
      <c r="D617" s="66" t="n">
        <v>6019</v>
      </c>
      <c r="E617" s="67"/>
      <c r="F617" s="67"/>
      <c r="G617" s="68"/>
      <c r="H617" s="69" t="n">
        <v>6019</v>
      </c>
    </row>
    <row r="618" customFormat="false" ht="15" hidden="false" customHeight="true" outlineLevel="0" collapsed="false">
      <c r="B618" s="64"/>
      <c r="C618" s="65" t="s">
        <v>25</v>
      </c>
      <c r="D618" s="66" t="n">
        <v>1439</v>
      </c>
      <c r="E618" s="71" t="n">
        <v>550</v>
      </c>
      <c r="F618" s="67"/>
      <c r="G618" s="68"/>
      <c r="H618" s="69" t="n">
        <v>1989</v>
      </c>
    </row>
    <row r="619" customFormat="false" ht="15" hidden="false" customHeight="true" outlineLevel="0" collapsed="false">
      <c r="B619" s="64"/>
      <c r="C619" s="65" t="s">
        <v>22</v>
      </c>
      <c r="D619" s="66" t="n">
        <v>5525</v>
      </c>
      <c r="E619" s="67"/>
      <c r="F619" s="71" t="n">
        <v>110</v>
      </c>
      <c r="G619" s="68"/>
      <c r="H619" s="69" t="n">
        <v>5635</v>
      </c>
    </row>
    <row r="620" customFormat="false" ht="15" hidden="false" customHeight="true" outlineLevel="0" collapsed="false">
      <c r="B620" s="64"/>
      <c r="C620" s="65" t="s">
        <v>37</v>
      </c>
      <c r="D620" s="73"/>
      <c r="E620" s="67"/>
      <c r="F620" s="71" t="n">
        <v>24</v>
      </c>
      <c r="G620" s="68"/>
      <c r="H620" s="69" t="n">
        <v>24</v>
      </c>
    </row>
    <row r="621" customFormat="false" ht="15" hidden="false" customHeight="true" outlineLevel="0" collapsed="false">
      <c r="B621" s="64"/>
      <c r="C621" s="65" t="s">
        <v>40</v>
      </c>
      <c r="D621" s="73"/>
      <c r="E621" s="71" t="n">
        <v>2960</v>
      </c>
      <c r="F621" s="67"/>
      <c r="G621" s="68"/>
      <c r="H621" s="69" t="n">
        <v>2960</v>
      </c>
    </row>
    <row r="622" customFormat="false" ht="15" hidden="false" customHeight="true" outlineLevel="0" collapsed="false">
      <c r="B622" s="64"/>
      <c r="C622" s="65" t="s">
        <v>34</v>
      </c>
      <c r="D622" s="73"/>
      <c r="E622" s="71" t="n">
        <v>120</v>
      </c>
      <c r="F622" s="67"/>
      <c r="G622" s="68"/>
      <c r="H622" s="69" t="n">
        <v>120</v>
      </c>
    </row>
    <row r="623" customFormat="false" ht="15" hidden="false" customHeight="true" outlineLevel="0" collapsed="false">
      <c r="B623" s="84"/>
      <c r="C623" s="85" t="s">
        <v>29</v>
      </c>
      <c r="D623" s="74"/>
      <c r="E623" s="76" t="n">
        <v>700</v>
      </c>
      <c r="F623" s="75"/>
      <c r="G623" s="77"/>
      <c r="H623" s="78" t="n">
        <v>700</v>
      </c>
    </row>
    <row r="624" customFormat="false" ht="15" hidden="false" customHeight="true" outlineLevel="0" collapsed="false">
      <c r="B624" s="87" t="s">
        <v>801</v>
      </c>
      <c r="C624" s="88"/>
      <c r="D624" s="89" t="n">
        <v>12983</v>
      </c>
      <c r="E624" s="89" t="n">
        <v>4330</v>
      </c>
      <c r="F624" s="89" t="n">
        <v>484</v>
      </c>
      <c r="G624" s="90"/>
      <c r="H624" s="91" t="n">
        <v>17797</v>
      </c>
    </row>
    <row r="625" customFormat="false" ht="15" hidden="false" customHeight="true" outlineLevel="0" collapsed="false">
      <c r="B625" s="56" t="n">
        <v>45740</v>
      </c>
      <c r="C625" s="57" t="s">
        <v>32</v>
      </c>
      <c r="D625" s="58"/>
      <c r="E625" s="59"/>
      <c r="F625" s="60" t="n">
        <v>280</v>
      </c>
      <c r="G625" s="61"/>
      <c r="H625" s="62" t="n">
        <v>280</v>
      </c>
    </row>
    <row r="626" customFormat="false" ht="15" hidden="false" customHeight="true" outlineLevel="0" collapsed="false">
      <c r="B626" s="64"/>
      <c r="C626" s="65" t="s">
        <v>53</v>
      </c>
      <c r="D626" s="73"/>
      <c r="E626" s="71" t="n">
        <v>1200</v>
      </c>
      <c r="F626" s="67"/>
      <c r="G626" s="68"/>
      <c r="H626" s="69" t="n">
        <v>1200</v>
      </c>
    </row>
    <row r="627" customFormat="false" ht="15" hidden="false" customHeight="true" outlineLevel="0" collapsed="false">
      <c r="B627" s="64"/>
      <c r="C627" s="65" t="s">
        <v>47</v>
      </c>
      <c r="D627" s="66" t="n">
        <v>1680</v>
      </c>
      <c r="E627" s="67"/>
      <c r="F627" s="67"/>
      <c r="G627" s="68"/>
      <c r="H627" s="69" t="n">
        <v>1680</v>
      </c>
    </row>
    <row r="628" customFormat="false" ht="15" hidden="false" customHeight="true" outlineLevel="0" collapsed="false">
      <c r="B628" s="64"/>
      <c r="C628" s="65" t="s">
        <v>19</v>
      </c>
      <c r="D628" s="66" t="n">
        <v>2854</v>
      </c>
      <c r="E628" s="67"/>
      <c r="F628" s="67"/>
      <c r="G628" s="68"/>
      <c r="H628" s="69" t="n">
        <v>2854</v>
      </c>
    </row>
    <row r="629" customFormat="false" ht="15" hidden="false" customHeight="true" outlineLevel="0" collapsed="false">
      <c r="B629" s="64"/>
      <c r="C629" s="65" t="s">
        <v>25</v>
      </c>
      <c r="D629" s="66" t="n">
        <v>2225</v>
      </c>
      <c r="E629" s="71" t="n">
        <v>250</v>
      </c>
      <c r="F629" s="67"/>
      <c r="G629" s="68"/>
      <c r="H629" s="69" t="n">
        <v>2475</v>
      </c>
    </row>
    <row r="630" customFormat="false" ht="15" hidden="false" customHeight="true" outlineLevel="0" collapsed="false">
      <c r="B630" s="64"/>
      <c r="C630" s="65" t="s">
        <v>22</v>
      </c>
      <c r="D630" s="66" t="n">
        <v>7868</v>
      </c>
      <c r="E630" s="67"/>
      <c r="F630" s="67"/>
      <c r="G630" s="68"/>
      <c r="H630" s="69" t="n">
        <v>7868</v>
      </c>
    </row>
    <row r="631" customFormat="false" ht="15" hidden="false" customHeight="true" outlineLevel="0" collapsed="false">
      <c r="B631" s="64"/>
      <c r="C631" s="65" t="s">
        <v>37</v>
      </c>
      <c r="D631" s="73"/>
      <c r="E631" s="67"/>
      <c r="F631" s="71" t="n">
        <v>15</v>
      </c>
      <c r="G631" s="68"/>
      <c r="H631" s="69" t="n">
        <v>15</v>
      </c>
    </row>
    <row r="632" customFormat="false" ht="15" hidden="false" customHeight="true" outlineLevel="0" collapsed="false">
      <c r="B632" s="64"/>
      <c r="C632" s="65" t="s">
        <v>40</v>
      </c>
      <c r="D632" s="66" t="n">
        <v>4000</v>
      </c>
      <c r="E632" s="71" t="n">
        <v>440</v>
      </c>
      <c r="F632" s="67"/>
      <c r="G632" s="68"/>
      <c r="H632" s="69" t="n">
        <v>4440</v>
      </c>
    </row>
    <row r="633" customFormat="false" ht="15" hidden="false" customHeight="true" outlineLevel="0" collapsed="false">
      <c r="B633" s="64"/>
      <c r="C633" s="65" t="s">
        <v>202</v>
      </c>
      <c r="D633" s="73"/>
      <c r="E633" s="71" t="n">
        <v>65</v>
      </c>
      <c r="F633" s="67"/>
      <c r="G633" s="68"/>
      <c r="H633" s="69" t="n">
        <v>65</v>
      </c>
    </row>
    <row r="634" customFormat="false" ht="15" hidden="false" customHeight="true" outlineLevel="0" collapsed="false">
      <c r="B634" s="64"/>
      <c r="C634" s="65" t="s">
        <v>34</v>
      </c>
      <c r="D634" s="73"/>
      <c r="E634" s="71" t="n">
        <v>115</v>
      </c>
      <c r="F634" s="67"/>
      <c r="G634" s="68"/>
      <c r="H634" s="69" t="n">
        <v>115</v>
      </c>
    </row>
    <row r="635" customFormat="false" ht="15" hidden="false" customHeight="true" outlineLevel="0" collapsed="false">
      <c r="B635" s="84"/>
      <c r="C635" s="85" t="s">
        <v>29</v>
      </c>
      <c r="D635" s="74"/>
      <c r="E635" s="76" t="n">
        <v>692</v>
      </c>
      <c r="F635" s="75"/>
      <c r="G635" s="77"/>
      <c r="H635" s="78" t="n">
        <v>692</v>
      </c>
    </row>
    <row r="636" customFormat="false" ht="15" hidden="false" customHeight="true" outlineLevel="0" collapsed="false">
      <c r="B636" s="87" t="s">
        <v>802</v>
      </c>
      <c r="C636" s="88"/>
      <c r="D636" s="89" t="n">
        <v>18627</v>
      </c>
      <c r="E636" s="89" t="n">
        <v>2762</v>
      </c>
      <c r="F636" s="89" t="n">
        <v>295</v>
      </c>
      <c r="G636" s="90"/>
      <c r="H636" s="91" t="n">
        <v>21684</v>
      </c>
    </row>
    <row r="637" customFormat="false" ht="15" hidden="false" customHeight="true" outlineLevel="0" collapsed="false">
      <c r="B637" s="56" t="n">
        <v>45741</v>
      </c>
      <c r="C637" s="57" t="s">
        <v>44</v>
      </c>
      <c r="D637" s="58"/>
      <c r="E637" s="60" t="n">
        <v>1000</v>
      </c>
      <c r="F637" s="59"/>
      <c r="G637" s="61"/>
      <c r="H637" s="62" t="n">
        <v>1000</v>
      </c>
    </row>
    <row r="638" customFormat="false" ht="15" hidden="false" customHeight="true" outlineLevel="0" collapsed="false">
      <c r="B638" s="64"/>
      <c r="C638" s="65" t="s">
        <v>19</v>
      </c>
      <c r="D638" s="66" t="n">
        <v>3674</v>
      </c>
      <c r="E638" s="67"/>
      <c r="F638" s="67"/>
      <c r="G638" s="68"/>
      <c r="H638" s="69" t="n">
        <v>3674</v>
      </c>
    </row>
    <row r="639" customFormat="false" ht="15" hidden="false" customHeight="true" outlineLevel="0" collapsed="false">
      <c r="B639" s="64"/>
      <c r="C639" s="65" t="s">
        <v>25</v>
      </c>
      <c r="D639" s="66" t="n">
        <v>660</v>
      </c>
      <c r="E639" s="71" t="n">
        <v>370</v>
      </c>
      <c r="F639" s="67"/>
      <c r="G639" s="68"/>
      <c r="H639" s="69" t="n">
        <v>1030</v>
      </c>
    </row>
    <row r="640" customFormat="false" ht="15" hidden="false" customHeight="true" outlineLevel="0" collapsed="false">
      <c r="B640" s="64"/>
      <c r="C640" s="65" t="s">
        <v>22</v>
      </c>
      <c r="D640" s="66" t="n">
        <v>2754</v>
      </c>
      <c r="E640" s="67"/>
      <c r="F640" s="67"/>
      <c r="G640" s="68"/>
      <c r="H640" s="69" t="n">
        <v>2754</v>
      </c>
    </row>
    <row r="641" customFormat="false" ht="15" hidden="false" customHeight="true" outlineLevel="0" collapsed="false">
      <c r="B641" s="64"/>
      <c r="C641" s="65" t="s">
        <v>37</v>
      </c>
      <c r="D641" s="73"/>
      <c r="E641" s="67"/>
      <c r="F641" s="71" t="n">
        <v>40</v>
      </c>
      <c r="G641" s="68"/>
      <c r="H641" s="69" t="n">
        <v>40</v>
      </c>
    </row>
    <row r="642" customFormat="false" ht="15" hidden="false" customHeight="true" outlineLevel="0" collapsed="false">
      <c r="B642" s="64"/>
      <c r="C642" s="65" t="s">
        <v>60</v>
      </c>
      <c r="D642" s="73"/>
      <c r="E642" s="67"/>
      <c r="F642" s="71" t="n">
        <v>210</v>
      </c>
      <c r="G642" s="68"/>
      <c r="H642" s="69" t="n">
        <v>210</v>
      </c>
    </row>
    <row r="643" customFormat="false" ht="15" hidden="false" customHeight="true" outlineLevel="0" collapsed="false">
      <c r="B643" s="64"/>
      <c r="C643" s="65" t="s">
        <v>40</v>
      </c>
      <c r="D643" s="66" t="n">
        <v>2960</v>
      </c>
      <c r="E643" s="67"/>
      <c r="F643" s="67"/>
      <c r="G643" s="68"/>
      <c r="H643" s="69" t="n">
        <v>2960</v>
      </c>
    </row>
    <row r="644" customFormat="false" ht="15" hidden="false" customHeight="true" outlineLevel="0" collapsed="false">
      <c r="B644" s="64"/>
      <c r="C644" s="65" t="s">
        <v>34</v>
      </c>
      <c r="D644" s="73"/>
      <c r="E644" s="71" t="n">
        <v>130</v>
      </c>
      <c r="F644" s="67"/>
      <c r="G644" s="68"/>
      <c r="H644" s="69" t="n">
        <v>130</v>
      </c>
    </row>
    <row r="645" customFormat="false" ht="15" hidden="false" customHeight="true" outlineLevel="0" collapsed="false">
      <c r="B645" s="84"/>
      <c r="C645" s="85" t="s">
        <v>29</v>
      </c>
      <c r="D645" s="74"/>
      <c r="E645" s="76" t="n">
        <v>464</v>
      </c>
      <c r="F645" s="75"/>
      <c r="G645" s="77"/>
      <c r="H645" s="78" t="n">
        <v>464</v>
      </c>
    </row>
    <row r="646" customFormat="false" ht="15" hidden="false" customHeight="true" outlineLevel="0" collapsed="false">
      <c r="B646" s="87" t="s">
        <v>803</v>
      </c>
      <c r="C646" s="88"/>
      <c r="D646" s="89" t="n">
        <v>10048</v>
      </c>
      <c r="E646" s="89" t="n">
        <v>1964</v>
      </c>
      <c r="F646" s="89" t="n">
        <v>250</v>
      </c>
      <c r="G646" s="90"/>
      <c r="H646" s="91" t="n">
        <v>12262</v>
      </c>
    </row>
    <row r="647" customFormat="false" ht="15" hidden="false" customHeight="true" outlineLevel="0" collapsed="false">
      <c r="B647" s="56" t="n">
        <v>45742</v>
      </c>
      <c r="C647" s="57" t="s">
        <v>32</v>
      </c>
      <c r="D647" s="58"/>
      <c r="E647" s="60" t="n">
        <v>180</v>
      </c>
      <c r="F647" s="60" t="n">
        <v>350</v>
      </c>
      <c r="G647" s="61"/>
      <c r="H647" s="62" t="n">
        <v>530</v>
      </c>
    </row>
    <row r="648" customFormat="false" ht="15" hidden="false" customHeight="true" outlineLevel="0" collapsed="false">
      <c r="B648" s="64"/>
      <c r="C648" s="65" t="s">
        <v>53</v>
      </c>
      <c r="D648" s="73"/>
      <c r="E648" s="71" t="n">
        <v>1040</v>
      </c>
      <c r="F648" s="67"/>
      <c r="G648" s="68"/>
      <c r="H648" s="69" t="n">
        <v>1040</v>
      </c>
    </row>
    <row r="649" customFormat="false" ht="15" hidden="false" customHeight="true" outlineLevel="0" collapsed="false">
      <c r="B649" s="64"/>
      <c r="C649" s="65" t="s">
        <v>47</v>
      </c>
      <c r="D649" s="66" t="n">
        <v>840</v>
      </c>
      <c r="E649" s="67"/>
      <c r="F649" s="67"/>
      <c r="G649" s="68"/>
      <c r="H649" s="69" t="n">
        <v>840</v>
      </c>
    </row>
    <row r="650" customFormat="false" ht="15" hidden="false" customHeight="true" outlineLevel="0" collapsed="false">
      <c r="B650" s="64"/>
      <c r="C650" s="65" t="s">
        <v>19</v>
      </c>
      <c r="D650" s="66" t="n">
        <v>4456</v>
      </c>
      <c r="E650" s="67"/>
      <c r="F650" s="67"/>
      <c r="G650" s="68"/>
      <c r="H650" s="69" t="n">
        <v>4456</v>
      </c>
    </row>
    <row r="651" customFormat="false" ht="15" hidden="false" customHeight="true" outlineLevel="0" collapsed="false">
      <c r="B651" s="64"/>
      <c r="C651" s="65" t="s">
        <v>25</v>
      </c>
      <c r="D651" s="66" t="n">
        <v>1495</v>
      </c>
      <c r="E651" s="67"/>
      <c r="F651" s="67"/>
      <c r="G651" s="68"/>
      <c r="H651" s="69" t="n">
        <v>1495</v>
      </c>
    </row>
    <row r="652" customFormat="false" ht="15" hidden="false" customHeight="true" outlineLevel="0" collapsed="false">
      <c r="B652" s="64"/>
      <c r="C652" s="65" t="s">
        <v>28</v>
      </c>
      <c r="D652" s="73"/>
      <c r="E652" s="67"/>
      <c r="F652" s="71" t="n">
        <v>955</v>
      </c>
      <c r="G652" s="68"/>
      <c r="H652" s="69" t="n">
        <v>955</v>
      </c>
    </row>
    <row r="653" customFormat="false" ht="15" hidden="false" customHeight="true" outlineLevel="0" collapsed="false">
      <c r="B653" s="64"/>
      <c r="C653" s="65" t="s">
        <v>37</v>
      </c>
      <c r="D653" s="73"/>
      <c r="E653" s="67"/>
      <c r="F653" s="71" t="n">
        <v>15</v>
      </c>
      <c r="G653" s="68"/>
      <c r="H653" s="69" t="n">
        <v>15</v>
      </c>
    </row>
    <row r="654" customFormat="false" ht="15" hidden="false" customHeight="true" outlineLevel="0" collapsed="false">
      <c r="B654" s="64"/>
      <c r="C654" s="65" t="s">
        <v>34</v>
      </c>
      <c r="D654" s="73"/>
      <c r="E654" s="71" t="n">
        <v>100</v>
      </c>
      <c r="F654" s="67"/>
      <c r="G654" s="68"/>
      <c r="H654" s="69" t="n">
        <v>100</v>
      </c>
    </row>
    <row r="655" customFormat="false" ht="15" hidden="false" customHeight="true" outlineLevel="0" collapsed="false">
      <c r="B655" s="84"/>
      <c r="C655" s="85" t="s">
        <v>29</v>
      </c>
      <c r="D655" s="74"/>
      <c r="E655" s="76" t="n">
        <v>507</v>
      </c>
      <c r="F655" s="76" t="n">
        <v>40</v>
      </c>
      <c r="G655" s="77"/>
      <c r="H655" s="78" t="n">
        <v>547</v>
      </c>
    </row>
    <row r="656" customFormat="false" ht="15" hidden="false" customHeight="true" outlineLevel="0" collapsed="false">
      <c r="B656" s="87" t="s">
        <v>804</v>
      </c>
      <c r="C656" s="88"/>
      <c r="D656" s="89" t="n">
        <v>6791</v>
      </c>
      <c r="E656" s="89" t="n">
        <v>1827</v>
      </c>
      <c r="F656" s="89" t="n">
        <v>1360</v>
      </c>
      <c r="G656" s="90"/>
      <c r="H656" s="91" t="n">
        <v>9978</v>
      </c>
    </row>
    <row r="657" customFormat="false" ht="15" hidden="false" customHeight="true" outlineLevel="0" collapsed="false">
      <c r="B657" s="56" t="n">
        <v>45743</v>
      </c>
      <c r="C657" s="57" t="s">
        <v>32</v>
      </c>
      <c r="D657" s="58"/>
      <c r="E657" s="59"/>
      <c r="F657" s="60" t="n">
        <v>175</v>
      </c>
      <c r="G657" s="61"/>
      <c r="H657" s="62" t="n">
        <v>175</v>
      </c>
    </row>
    <row r="658" customFormat="false" ht="15" hidden="false" customHeight="true" outlineLevel="0" collapsed="false">
      <c r="B658" s="64"/>
      <c r="C658" s="65" t="s">
        <v>255</v>
      </c>
      <c r="D658" s="66" t="n">
        <v>18980</v>
      </c>
      <c r="E658" s="67"/>
      <c r="F658" s="67"/>
      <c r="G658" s="68"/>
      <c r="H658" s="69" t="n">
        <v>18980</v>
      </c>
    </row>
    <row r="659" customFormat="false" ht="15" hidden="false" customHeight="true" outlineLevel="0" collapsed="false">
      <c r="B659" s="64"/>
      <c r="C659" s="65" t="s">
        <v>19</v>
      </c>
      <c r="D659" s="66" t="n">
        <v>6665</v>
      </c>
      <c r="E659" s="67"/>
      <c r="F659" s="67"/>
      <c r="G659" s="68"/>
      <c r="H659" s="69" t="n">
        <v>6665</v>
      </c>
    </row>
    <row r="660" customFormat="false" ht="15" hidden="false" customHeight="true" outlineLevel="0" collapsed="false">
      <c r="B660" s="64"/>
      <c r="C660" s="65" t="s">
        <v>25</v>
      </c>
      <c r="D660" s="66" t="n">
        <v>943</v>
      </c>
      <c r="E660" s="67"/>
      <c r="F660" s="67"/>
      <c r="G660" s="68"/>
      <c r="H660" s="69" t="n">
        <v>943</v>
      </c>
    </row>
    <row r="661" customFormat="false" ht="15" hidden="false" customHeight="true" outlineLevel="0" collapsed="false">
      <c r="B661" s="64"/>
      <c r="C661" s="65" t="s">
        <v>51</v>
      </c>
      <c r="D661" s="66" t="n">
        <v>3310</v>
      </c>
      <c r="E661" s="67"/>
      <c r="F661" s="67"/>
      <c r="G661" s="68"/>
      <c r="H661" s="69" t="n">
        <v>3310</v>
      </c>
    </row>
    <row r="662" customFormat="false" ht="15" hidden="false" customHeight="true" outlineLevel="0" collapsed="false">
      <c r="B662" s="64"/>
      <c r="C662" s="65" t="s">
        <v>22</v>
      </c>
      <c r="D662" s="66" t="n">
        <v>2865</v>
      </c>
      <c r="E662" s="67"/>
      <c r="F662" s="67"/>
      <c r="G662" s="68"/>
      <c r="H662" s="69" t="n">
        <v>2865</v>
      </c>
    </row>
    <row r="663" customFormat="false" ht="15" hidden="false" customHeight="true" outlineLevel="0" collapsed="false">
      <c r="B663" s="64"/>
      <c r="C663" s="65" t="s">
        <v>37</v>
      </c>
      <c r="D663" s="73"/>
      <c r="E663" s="67"/>
      <c r="F663" s="71" t="n">
        <v>15</v>
      </c>
      <c r="G663" s="68"/>
      <c r="H663" s="69" t="n">
        <v>15</v>
      </c>
    </row>
    <row r="664" customFormat="false" ht="15" hidden="false" customHeight="true" outlineLevel="0" collapsed="false">
      <c r="B664" s="64"/>
      <c r="C664" s="65" t="s">
        <v>40</v>
      </c>
      <c r="D664" s="73"/>
      <c r="E664" s="71" t="n">
        <v>2220</v>
      </c>
      <c r="F664" s="67"/>
      <c r="G664" s="68"/>
      <c r="H664" s="69" t="n">
        <v>2220</v>
      </c>
    </row>
    <row r="665" customFormat="false" ht="15" hidden="false" customHeight="true" outlineLevel="0" collapsed="false">
      <c r="B665" s="64"/>
      <c r="C665" s="65" t="s">
        <v>34</v>
      </c>
      <c r="D665" s="73"/>
      <c r="E665" s="71" t="n">
        <v>140</v>
      </c>
      <c r="F665" s="67"/>
      <c r="G665" s="68"/>
      <c r="H665" s="69" t="n">
        <v>140</v>
      </c>
    </row>
    <row r="666" customFormat="false" ht="15" hidden="false" customHeight="true" outlineLevel="0" collapsed="false">
      <c r="B666" s="84"/>
      <c r="C666" s="85" t="s">
        <v>29</v>
      </c>
      <c r="D666" s="74"/>
      <c r="E666" s="76" t="n">
        <v>1375</v>
      </c>
      <c r="F666" s="75"/>
      <c r="G666" s="77"/>
      <c r="H666" s="78" t="n">
        <v>1375</v>
      </c>
    </row>
    <row r="667" customFormat="false" ht="15" hidden="false" customHeight="true" outlineLevel="0" collapsed="false">
      <c r="B667" s="87" t="s">
        <v>805</v>
      </c>
      <c r="C667" s="88"/>
      <c r="D667" s="89" t="n">
        <v>32763</v>
      </c>
      <c r="E667" s="89" t="n">
        <v>3735</v>
      </c>
      <c r="F667" s="89" t="n">
        <v>190</v>
      </c>
      <c r="G667" s="90"/>
      <c r="H667" s="91" t="n">
        <v>36688</v>
      </c>
    </row>
    <row r="668" customFormat="false" ht="15" hidden="false" customHeight="true" outlineLevel="0" collapsed="false">
      <c r="B668" s="56" t="n">
        <v>45744</v>
      </c>
      <c r="C668" s="57" t="s">
        <v>32</v>
      </c>
      <c r="D668" s="58"/>
      <c r="E668" s="59"/>
      <c r="F668" s="60" t="n">
        <v>175</v>
      </c>
      <c r="G668" s="61"/>
      <c r="H668" s="62" t="n">
        <v>175</v>
      </c>
    </row>
    <row r="669" customFormat="false" ht="15" hidden="false" customHeight="true" outlineLevel="0" collapsed="false">
      <c r="B669" s="64"/>
      <c r="C669" s="65" t="s">
        <v>53</v>
      </c>
      <c r="D669" s="73"/>
      <c r="E669" s="71" t="n">
        <v>1200</v>
      </c>
      <c r="F669" s="67"/>
      <c r="G669" s="68"/>
      <c r="H669" s="69" t="n">
        <v>1200</v>
      </c>
    </row>
    <row r="670" customFormat="false" ht="15" hidden="false" customHeight="true" outlineLevel="0" collapsed="false">
      <c r="B670" s="64"/>
      <c r="C670" s="65" t="s">
        <v>47</v>
      </c>
      <c r="D670" s="66" t="n">
        <v>1680</v>
      </c>
      <c r="E670" s="67"/>
      <c r="F670" s="67"/>
      <c r="G670" s="68"/>
      <c r="H670" s="69" t="n">
        <v>1680</v>
      </c>
    </row>
    <row r="671" customFormat="false" ht="15" hidden="false" customHeight="true" outlineLevel="0" collapsed="false">
      <c r="B671" s="64"/>
      <c r="C671" s="65" t="s">
        <v>19</v>
      </c>
      <c r="D671" s="66" t="n">
        <v>1947</v>
      </c>
      <c r="E671" s="67"/>
      <c r="F671" s="67"/>
      <c r="G671" s="68"/>
      <c r="H671" s="69" t="n">
        <v>1947</v>
      </c>
    </row>
    <row r="672" customFormat="false" ht="15" hidden="false" customHeight="true" outlineLevel="0" collapsed="false">
      <c r="B672" s="64"/>
      <c r="C672" s="65" t="s">
        <v>25</v>
      </c>
      <c r="D672" s="66" t="n">
        <v>846</v>
      </c>
      <c r="E672" s="67"/>
      <c r="F672" s="67"/>
      <c r="G672" s="68"/>
      <c r="H672" s="69" t="n">
        <v>846</v>
      </c>
    </row>
    <row r="673" customFormat="false" ht="15" hidden="false" customHeight="true" outlineLevel="0" collapsed="false">
      <c r="B673" s="64"/>
      <c r="C673" s="65" t="s">
        <v>22</v>
      </c>
      <c r="D673" s="66" t="n">
        <v>1767</v>
      </c>
      <c r="E673" s="67"/>
      <c r="F673" s="71" t="n">
        <v>110</v>
      </c>
      <c r="G673" s="68"/>
      <c r="H673" s="69" t="n">
        <v>1877</v>
      </c>
    </row>
    <row r="674" customFormat="false" ht="15" hidden="false" customHeight="true" outlineLevel="0" collapsed="false">
      <c r="B674" s="64"/>
      <c r="C674" s="65" t="s">
        <v>31</v>
      </c>
      <c r="D674" s="73"/>
      <c r="E674" s="71" t="n">
        <v>1300</v>
      </c>
      <c r="F674" s="67"/>
      <c r="G674" s="68"/>
      <c r="H674" s="69" t="n">
        <v>1300</v>
      </c>
    </row>
    <row r="675" customFormat="false" ht="15" hidden="false" customHeight="true" outlineLevel="0" collapsed="false">
      <c r="B675" s="64"/>
      <c r="C675" s="65" t="s">
        <v>34</v>
      </c>
      <c r="D675" s="73"/>
      <c r="E675" s="67"/>
      <c r="F675" s="71" t="n">
        <v>85</v>
      </c>
      <c r="G675" s="68"/>
      <c r="H675" s="69" t="n">
        <v>85</v>
      </c>
    </row>
    <row r="676" customFormat="false" ht="15" hidden="false" customHeight="true" outlineLevel="0" collapsed="false">
      <c r="B676" s="84"/>
      <c r="C676" s="85" t="s">
        <v>29</v>
      </c>
      <c r="D676" s="74"/>
      <c r="E676" s="76" t="n">
        <v>579</v>
      </c>
      <c r="F676" s="75"/>
      <c r="G676" s="77"/>
      <c r="H676" s="78" t="n">
        <v>579</v>
      </c>
    </row>
    <row r="677" customFormat="false" ht="15" hidden="false" customHeight="true" outlineLevel="0" collapsed="false">
      <c r="B677" s="87" t="s">
        <v>806</v>
      </c>
      <c r="C677" s="88"/>
      <c r="D677" s="89" t="n">
        <v>6240</v>
      </c>
      <c r="E677" s="89" t="n">
        <v>3079</v>
      </c>
      <c r="F677" s="89" t="n">
        <v>370</v>
      </c>
      <c r="G677" s="90"/>
      <c r="H677" s="91" t="n">
        <v>9689</v>
      </c>
    </row>
    <row r="678" customFormat="false" ht="15" hidden="false" customHeight="true" outlineLevel="0" collapsed="false">
      <c r="B678" s="56" t="n">
        <v>45745</v>
      </c>
      <c r="C678" s="57" t="s">
        <v>32</v>
      </c>
      <c r="D678" s="58"/>
      <c r="E678" s="59"/>
      <c r="F678" s="60" t="n">
        <v>105</v>
      </c>
      <c r="G678" s="61"/>
      <c r="H678" s="62" t="n">
        <v>105</v>
      </c>
    </row>
    <row r="679" customFormat="false" ht="15" hidden="false" customHeight="true" outlineLevel="0" collapsed="false">
      <c r="B679" s="64"/>
      <c r="C679" s="65" t="s">
        <v>47</v>
      </c>
      <c r="D679" s="66" t="n">
        <v>840</v>
      </c>
      <c r="E679" s="67"/>
      <c r="F679" s="67"/>
      <c r="G679" s="68"/>
      <c r="H679" s="69" t="n">
        <v>840</v>
      </c>
    </row>
    <row r="680" customFormat="false" ht="15" hidden="false" customHeight="true" outlineLevel="0" collapsed="false">
      <c r="B680" s="64"/>
      <c r="C680" s="65" t="s">
        <v>19</v>
      </c>
      <c r="D680" s="66" t="n">
        <v>4591</v>
      </c>
      <c r="E680" s="67"/>
      <c r="F680" s="67"/>
      <c r="G680" s="68"/>
      <c r="H680" s="69" t="n">
        <v>4591</v>
      </c>
    </row>
    <row r="681" customFormat="false" ht="15" hidden="false" customHeight="true" outlineLevel="0" collapsed="false">
      <c r="B681" s="64"/>
      <c r="C681" s="65" t="s">
        <v>25</v>
      </c>
      <c r="D681" s="66" t="n">
        <v>1031</v>
      </c>
      <c r="E681" s="71" t="n">
        <v>550</v>
      </c>
      <c r="F681" s="67"/>
      <c r="G681" s="68"/>
      <c r="H681" s="69" t="n">
        <v>1581</v>
      </c>
    </row>
    <row r="682" customFormat="false" ht="15" hidden="false" customHeight="true" outlineLevel="0" collapsed="false">
      <c r="B682" s="64"/>
      <c r="C682" s="65" t="s">
        <v>28</v>
      </c>
      <c r="D682" s="73"/>
      <c r="E682" s="71" t="n">
        <v>735</v>
      </c>
      <c r="F682" s="67"/>
      <c r="G682" s="68"/>
      <c r="H682" s="69" t="n">
        <v>735</v>
      </c>
    </row>
    <row r="683" customFormat="false" ht="15" hidden="false" customHeight="true" outlineLevel="0" collapsed="false">
      <c r="B683" s="64"/>
      <c r="C683" s="65" t="s">
        <v>22</v>
      </c>
      <c r="D683" s="66" t="n">
        <v>3255</v>
      </c>
      <c r="E683" s="67"/>
      <c r="F683" s="67"/>
      <c r="G683" s="68"/>
      <c r="H683" s="69" t="n">
        <v>3255</v>
      </c>
    </row>
    <row r="684" customFormat="false" ht="15" hidden="false" customHeight="true" outlineLevel="0" collapsed="false">
      <c r="B684" s="64"/>
      <c r="C684" s="65" t="s">
        <v>37</v>
      </c>
      <c r="D684" s="73"/>
      <c r="E684" s="67"/>
      <c r="F684" s="71" t="n">
        <v>40</v>
      </c>
      <c r="G684" s="68"/>
      <c r="H684" s="69" t="n">
        <v>40</v>
      </c>
    </row>
    <row r="685" customFormat="false" ht="15" hidden="false" customHeight="true" outlineLevel="0" collapsed="false">
      <c r="B685" s="64"/>
      <c r="C685" s="65" t="s">
        <v>43</v>
      </c>
      <c r="D685" s="73"/>
      <c r="E685" s="71" t="n">
        <v>350</v>
      </c>
      <c r="F685" s="67"/>
      <c r="G685" s="68"/>
      <c r="H685" s="69" t="n">
        <v>350</v>
      </c>
    </row>
    <row r="686" customFormat="false" ht="15" hidden="false" customHeight="true" outlineLevel="0" collapsed="false">
      <c r="B686" s="64"/>
      <c r="C686" s="65" t="s">
        <v>67</v>
      </c>
      <c r="D686" s="73"/>
      <c r="E686" s="71" t="n">
        <v>8500</v>
      </c>
      <c r="F686" s="67"/>
      <c r="G686" s="68"/>
      <c r="H686" s="69" t="n">
        <v>8500</v>
      </c>
    </row>
    <row r="687" customFormat="false" ht="15" hidden="false" customHeight="true" outlineLevel="0" collapsed="false">
      <c r="B687" s="64"/>
      <c r="C687" s="65" t="s">
        <v>258</v>
      </c>
      <c r="D687" s="66" t="n">
        <v>6500</v>
      </c>
      <c r="E687" s="67"/>
      <c r="F687" s="67"/>
      <c r="G687" s="68"/>
      <c r="H687" s="69" t="n">
        <v>6500</v>
      </c>
    </row>
    <row r="688" customFormat="false" ht="15" hidden="false" customHeight="true" outlineLevel="0" collapsed="false">
      <c r="B688" s="64"/>
      <c r="C688" s="65" t="s">
        <v>34</v>
      </c>
      <c r="D688" s="73"/>
      <c r="E688" s="71" t="n">
        <v>115</v>
      </c>
      <c r="F688" s="67"/>
      <c r="G688" s="68"/>
      <c r="H688" s="69" t="n">
        <v>115</v>
      </c>
    </row>
    <row r="689" customFormat="false" ht="15" hidden="false" customHeight="true" outlineLevel="0" collapsed="false">
      <c r="B689" s="84"/>
      <c r="C689" s="85" t="s">
        <v>29</v>
      </c>
      <c r="D689" s="74"/>
      <c r="E689" s="76" t="n">
        <v>666</v>
      </c>
      <c r="F689" s="75"/>
      <c r="G689" s="77"/>
      <c r="H689" s="78" t="n">
        <v>666</v>
      </c>
    </row>
    <row r="690" customFormat="false" ht="15" hidden="false" customHeight="true" outlineLevel="0" collapsed="false">
      <c r="B690" s="87" t="s">
        <v>807</v>
      </c>
      <c r="C690" s="88"/>
      <c r="D690" s="89" t="n">
        <v>16217</v>
      </c>
      <c r="E690" s="89" t="n">
        <v>10916</v>
      </c>
      <c r="F690" s="89" t="n">
        <v>145</v>
      </c>
      <c r="G690" s="90"/>
      <c r="H690" s="91" t="n">
        <v>27278</v>
      </c>
    </row>
    <row r="691" customFormat="false" ht="15" hidden="false" customHeight="true" outlineLevel="0" collapsed="false">
      <c r="B691" s="56" t="n">
        <v>45746</v>
      </c>
      <c r="C691" s="57" t="s">
        <v>44</v>
      </c>
      <c r="D691" s="58"/>
      <c r="E691" s="60" t="n">
        <v>3500</v>
      </c>
      <c r="F691" s="59"/>
      <c r="G691" s="61"/>
      <c r="H691" s="62" t="n">
        <v>3500</v>
      </c>
    </row>
    <row r="692" customFormat="false" ht="15" hidden="false" customHeight="true" outlineLevel="0" collapsed="false">
      <c r="B692" s="64"/>
      <c r="C692" s="65" t="s">
        <v>19</v>
      </c>
      <c r="D692" s="66" t="n">
        <v>2324</v>
      </c>
      <c r="E692" s="67"/>
      <c r="F692" s="67"/>
      <c r="G692" s="68"/>
      <c r="H692" s="69" t="n">
        <v>2324</v>
      </c>
    </row>
    <row r="693" customFormat="false" ht="15" hidden="false" customHeight="true" outlineLevel="0" collapsed="false">
      <c r="B693" s="64"/>
      <c r="C693" s="65" t="s">
        <v>81</v>
      </c>
      <c r="D693" s="73"/>
      <c r="E693" s="67"/>
      <c r="F693" s="71" t="n">
        <v>250</v>
      </c>
      <c r="G693" s="68"/>
      <c r="H693" s="69" t="n">
        <v>250</v>
      </c>
    </row>
    <row r="694" customFormat="false" ht="15" hidden="false" customHeight="true" outlineLevel="0" collapsed="false">
      <c r="B694" s="64"/>
      <c r="C694" s="65" t="s">
        <v>25</v>
      </c>
      <c r="D694" s="66" t="n">
        <v>393</v>
      </c>
      <c r="E694" s="67"/>
      <c r="F694" s="67"/>
      <c r="G694" s="68"/>
      <c r="H694" s="69" t="n">
        <v>393</v>
      </c>
    </row>
    <row r="695" customFormat="false" ht="15" hidden="false" customHeight="true" outlineLevel="0" collapsed="false">
      <c r="B695" s="64"/>
      <c r="C695" s="65" t="s">
        <v>36</v>
      </c>
      <c r="D695" s="73"/>
      <c r="E695" s="71" t="n">
        <v>300</v>
      </c>
      <c r="F695" s="67"/>
      <c r="G695" s="68"/>
      <c r="H695" s="69" t="n">
        <v>300</v>
      </c>
    </row>
    <row r="696" customFormat="false" ht="15" hidden="false" customHeight="true" outlineLevel="0" collapsed="false">
      <c r="B696" s="64"/>
      <c r="C696" s="65" t="s">
        <v>22</v>
      </c>
      <c r="D696" s="66" t="n">
        <v>3833</v>
      </c>
      <c r="E696" s="67"/>
      <c r="F696" s="67"/>
      <c r="G696" s="68"/>
      <c r="H696" s="69" t="n">
        <v>3833</v>
      </c>
    </row>
    <row r="697" customFormat="false" ht="15" hidden="false" customHeight="true" outlineLevel="0" collapsed="false">
      <c r="B697" s="64"/>
      <c r="C697" s="65" t="s">
        <v>37</v>
      </c>
      <c r="D697" s="73"/>
      <c r="E697" s="67"/>
      <c r="F697" s="71" t="n">
        <v>24</v>
      </c>
      <c r="G697" s="68"/>
      <c r="H697" s="69" t="n">
        <v>24</v>
      </c>
    </row>
    <row r="698" customFormat="false" ht="15" hidden="false" customHeight="true" outlineLevel="0" collapsed="false">
      <c r="B698" s="64"/>
      <c r="C698" s="65" t="s">
        <v>258</v>
      </c>
      <c r="D698" s="73"/>
      <c r="E698" s="71" t="n">
        <v>1000</v>
      </c>
      <c r="F698" s="67"/>
      <c r="G698" s="68"/>
      <c r="H698" s="69" t="n">
        <v>1000</v>
      </c>
    </row>
    <row r="699" customFormat="false" ht="15" hidden="false" customHeight="true" outlineLevel="0" collapsed="false">
      <c r="B699" s="64"/>
      <c r="C699" s="65" t="s">
        <v>34</v>
      </c>
      <c r="D699" s="73"/>
      <c r="E699" s="71" t="n">
        <v>100</v>
      </c>
      <c r="F699" s="67"/>
      <c r="G699" s="68"/>
      <c r="H699" s="69" t="n">
        <v>100</v>
      </c>
    </row>
    <row r="700" customFormat="false" ht="15" hidden="false" customHeight="true" outlineLevel="0" collapsed="false">
      <c r="B700" s="84"/>
      <c r="C700" s="85" t="s">
        <v>29</v>
      </c>
      <c r="D700" s="74"/>
      <c r="E700" s="76" t="n">
        <v>552</v>
      </c>
      <c r="F700" s="75"/>
      <c r="G700" s="77"/>
      <c r="H700" s="78" t="n">
        <v>552</v>
      </c>
    </row>
    <row r="701" customFormat="false" ht="15" hidden="false" customHeight="true" outlineLevel="0" collapsed="false">
      <c r="B701" s="87" t="s">
        <v>808</v>
      </c>
      <c r="C701" s="88"/>
      <c r="D701" s="89" t="n">
        <v>6550</v>
      </c>
      <c r="E701" s="89" t="n">
        <v>5452</v>
      </c>
      <c r="F701" s="89" t="n">
        <v>274</v>
      </c>
      <c r="G701" s="90"/>
      <c r="H701" s="91" t="n">
        <v>12276</v>
      </c>
    </row>
    <row r="702" customFormat="false" ht="15" hidden="false" customHeight="true" outlineLevel="0" collapsed="false">
      <c r="B702" s="56" t="n">
        <v>45747</v>
      </c>
      <c r="C702" s="57" t="s">
        <v>32</v>
      </c>
      <c r="D702" s="58"/>
      <c r="E702" s="60" t="n">
        <v>320</v>
      </c>
      <c r="F702" s="59"/>
      <c r="G702" s="61"/>
      <c r="H702" s="62" t="n">
        <v>320</v>
      </c>
    </row>
    <row r="703" customFormat="false" ht="15" hidden="false" customHeight="true" outlineLevel="0" collapsed="false">
      <c r="B703" s="64"/>
      <c r="C703" s="65" t="s">
        <v>47</v>
      </c>
      <c r="D703" s="66" t="n">
        <v>840</v>
      </c>
      <c r="E703" s="67"/>
      <c r="F703" s="67"/>
      <c r="G703" s="68"/>
      <c r="H703" s="69" t="n">
        <v>840</v>
      </c>
    </row>
    <row r="704" customFormat="false" ht="15" hidden="false" customHeight="true" outlineLevel="0" collapsed="false">
      <c r="B704" s="64"/>
      <c r="C704" s="65" t="s">
        <v>19</v>
      </c>
      <c r="D704" s="66" t="n">
        <v>2087</v>
      </c>
      <c r="E704" s="67"/>
      <c r="F704" s="67"/>
      <c r="G704" s="68"/>
      <c r="H704" s="69" t="n">
        <v>2087</v>
      </c>
    </row>
    <row r="705" customFormat="false" ht="15" hidden="false" customHeight="true" outlineLevel="0" collapsed="false">
      <c r="B705" s="64"/>
      <c r="C705" s="65" t="s">
        <v>25</v>
      </c>
      <c r="D705" s="66" t="n">
        <v>1168</v>
      </c>
      <c r="E705" s="71" t="n">
        <v>640</v>
      </c>
      <c r="F705" s="67"/>
      <c r="G705" s="68"/>
      <c r="H705" s="69" t="n">
        <v>1808</v>
      </c>
    </row>
    <row r="706" customFormat="false" ht="15" hidden="false" customHeight="true" outlineLevel="0" collapsed="false">
      <c r="B706" s="64"/>
      <c r="C706" s="65" t="s">
        <v>31</v>
      </c>
      <c r="D706" s="73"/>
      <c r="E706" s="71" t="n">
        <v>300</v>
      </c>
      <c r="F706" s="67"/>
      <c r="G706" s="68"/>
      <c r="H706" s="69" t="n">
        <v>300</v>
      </c>
    </row>
    <row r="707" customFormat="false" ht="15" hidden="false" customHeight="true" outlineLevel="0" collapsed="false">
      <c r="B707" s="64"/>
      <c r="C707" s="65" t="s">
        <v>34</v>
      </c>
      <c r="D707" s="73"/>
      <c r="E707" s="67"/>
      <c r="F707" s="71" t="n">
        <v>110</v>
      </c>
      <c r="G707" s="68"/>
      <c r="H707" s="69" t="n">
        <v>110</v>
      </c>
    </row>
    <row r="708" customFormat="false" ht="15" hidden="false" customHeight="true" outlineLevel="0" collapsed="false">
      <c r="B708" s="84"/>
      <c r="C708" s="85" t="s">
        <v>29</v>
      </c>
      <c r="D708" s="74"/>
      <c r="E708" s="76" t="n">
        <v>249</v>
      </c>
      <c r="F708" s="75"/>
      <c r="G708" s="77"/>
      <c r="H708" s="78" t="n">
        <v>249</v>
      </c>
    </row>
    <row r="709" customFormat="false" ht="15" hidden="false" customHeight="true" outlineLevel="0" collapsed="false">
      <c r="B709" s="87" t="s">
        <v>809</v>
      </c>
      <c r="C709" s="88"/>
      <c r="D709" s="89" t="n">
        <v>4095</v>
      </c>
      <c r="E709" s="89" t="n">
        <v>1509</v>
      </c>
      <c r="F709" s="89" t="n">
        <v>110</v>
      </c>
      <c r="G709" s="90"/>
      <c r="H709" s="91" t="n">
        <v>5714</v>
      </c>
    </row>
    <row r="710" customFormat="false" ht="15" hidden="false" customHeight="true" outlineLevel="0" collapsed="false">
      <c r="B710" s="56" t="n">
        <v>45748</v>
      </c>
      <c r="C710" s="57" t="s">
        <v>44</v>
      </c>
      <c r="D710" s="58"/>
      <c r="E710" s="60" t="n">
        <v>7000</v>
      </c>
      <c r="F710" s="59"/>
      <c r="G710" s="61"/>
      <c r="H710" s="62" t="n">
        <v>7000</v>
      </c>
    </row>
    <row r="711" customFormat="false" ht="15" hidden="false" customHeight="true" outlineLevel="0" collapsed="false">
      <c r="B711" s="64"/>
      <c r="C711" s="65" t="s">
        <v>19</v>
      </c>
      <c r="D711" s="66" t="n">
        <v>6295</v>
      </c>
      <c r="E711" s="67"/>
      <c r="F711" s="67"/>
      <c r="G711" s="68"/>
      <c r="H711" s="69" t="n">
        <v>6295</v>
      </c>
    </row>
    <row r="712" customFormat="false" ht="15" hidden="false" customHeight="true" outlineLevel="0" collapsed="false">
      <c r="B712" s="64"/>
      <c r="C712" s="65" t="s">
        <v>25</v>
      </c>
      <c r="D712" s="66" t="n">
        <v>1675</v>
      </c>
      <c r="E712" s="67"/>
      <c r="F712" s="67"/>
      <c r="G712" s="68"/>
      <c r="H712" s="69" t="n">
        <v>1675</v>
      </c>
    </row>
    <row r="713" customFormat="false" ht="15" hidden="false" customHeight="true" outlineLevel="0" collapsed="false">
      <c r="B713" s="64"/>
      <c r="C713" s="65" t="s">
        <v>22</v>
      </c>
      <c r="D713" s="66" t="n">
        <v>3051</v>
      </c>
      <c r="E713" s="67"/>
      <c r="F713" s="67"/>
      <c r="G713" s="68"/>
      <c r="H713" s="69" t="n">
        <v>3051</v>
      </c>
    </row>
    <row r="714" customFormat="false" ht="15" hidden="false" customHeight="true" outlineLevel="0" collapsed="false">
      <c r="B714" s="64"/>
      <c r="C714" s="65" t="s">
        <v>37</v>
      </c>
      <c r="D714" s="73"/>
      <c r="E714" s="67"/>
      <c r="F714" s="71" t="n">
        <v>34</v>
      </c>
      <c r="G714" s="68"/>
      <c r="H714" s="69" t="n">
        <v>34</v>
      </c>
    </row>
    <row r="715" customFormat="false" ht="15" hidden="false" customHeight="true" outlineLevel="0" collapsed="false">
      <c r="B715" s="64"/>
      <c r="C715" s="65" t="s">
        <v>35</v>
      </c>
      <c r="D715" s="73"/>
      <c r="E715" s="71" t="n">
        <v>100</v>
      </c>
      <c r="F715" s="67"/>
      <c r="G715" s="68"/>
      <c r="H715" s="69" t="n">
        <v>100</v>
      </c>
    </row>
    <row r="716" customFormat="false" ht="15" hidden="false" customHeight="true" outlineLevel="0" collapsed="false">
      <c r="B716" s="64"/>
      <c r="C716" s="65" t="s">
        <v>34</v>
      </c>
      <c r="D716" s="73"/>
      <c r="E716" s="71" t="n">
        <v>120</v>
      </c>
      <c r="F716" s="67"/>
      <c r="G716" s="68"/>
      <c r="H716" s="69" t="n">
        <v>120</v>
      </c>
    </row>
    <row r="717" customFormat="false" ht="15" hidden="false" customHeight="true" outlineLevel="0" collapsed="false">
      <c r="B717" s="84"/>
      <c r="C717" s="85" t="s">
        <v>29</v>
      </c>
      <c r="D717" s="74"/>
      <c r="E717" s="76" t="n">
        <v>510</v>
      </c>
      <c r="F717" s="75"/>
      <c r="G717" s="77"/>
      <c r="H717" s="78" t="n">
        <v>510</v>
      </c>
    </row>
    <row r="718" customFormat="false" ht="15" hidden="false" customHeight="true" outlineLevel="0" collapsed="false">
      <c r="B718" s="87" t="s">
        <v>810</v>
      </c>
      <c r="C718" s="88"/>
      <c r="D718" s="89" t="n">
        <v>11021</v>
      </c>
      <c r="E718" s="89" t="n">
        <v>7730</v>
      </c>
      <c r="F718" s="89" t="n">
        <v>34</v>
      </c>
      <c r="G718" s="90"/>
      <c r="H718" s="91" t="n">
        <v>18785</v>
      </c>
    </row>
    <row r="719" customFormat="false" ht="15" hidden="false" customHeight="true" outlineLevel="0" collapsed="false">
      <c r="B719" s="56" t="n">
        <v>45749</v>
      </c>
      <c r="C719" s="57" t="s">
        <v>32</v>
      </c>
      <c r="D719" s="58"/>
      <c r="E719" s="59"/>
      <c r="F719" s="60" t="n">
        <v>315</v>
      </c>
      <c r="G719" s="61"/>
      <c r="H719" s="62" t="n">
        <v>315</v>
      </c>
    </row>
    <row r="720" customFormat="false" ht="15" hidden="false" customHeight="true" outlineLevel="0" collapsed="false">
      <c r="B720" s="64"/>
      <c r="C720" s="65" t="s">
        <v>53</v>
      </c>
      <c r="D720" s="66" t="n">
        <v>2208</v>
      </c>
      <c r="E720" s="67"/>
      <c r="F720" s="67"/>
      <c r="G720" s="68"/>
      <c r="H720" s="69" t="n">
        <v>2208</v>
      </c>
    </row>
    <row r="721" customFormat="false" ht="15" hidden="false" customHeight="true" outlineLevel="0" collapsed="false">
      <c r="B721" s="64"/>
      <c r="C721" s="65" t="s">
        <v>47</v>
      </c>
      <c r="D721" s="66" t="n">
        <v>1680</v>
      </c>
      <c r="E721" s="67"/>
      <c r="F721" s="67"/>
      <c r="G721" s="68"/>
      <c r="H721" s="69" t="n">
        <v>1680</v>
      </c>
    </row>
    <row r="722" customFormat="false" ht="15" hidden="false" customHeight="true" outlineLevel="0" collapsed="false">
      <c r="B722" s="64"/>
      <c r="C722" s="65" t="s">
        <v>19</v>
      </c>
      <c r="D722" s="66" t="n">
        <v>982</v>
      </c>
      <c r="E722" s="67"/>
      <c r="F722" s="67"/>
      <c r="G722" s="68"/>
      <c r="H722" s="69" t="n">
        <v>982</v>
      </c>
    </row>
    <row r="723" customFormat="false" ht="15" hidden="false" customHeight="true" outlineLevel="0" collapsed="false">
      <c r="B723" s="64"/>
      <c r="C723" s="65" t="s">
        <v>25</v>
      </c>
      <c r="D723" s="66" t="n">
        <v>270</v>
      </c>
      <c r="E723" s="71" t="n">
        <v>60</v>
      </c>
      <c r="F723" s="67"/>
      <c r="G723" s="68"/>
      <c r="H723" s="69" t="n">
        <v>330</v>
      </c>
    </row>
    <row r="724" customFormat="false" ht="15" hidden="false" customHeight="true" outlineLevel="0" collapsed="false">
      <c r="B724" s="64"/>
      <c r="C724" s="65" t="s">
        <v>28</v>
      </c>
      <c r="D724" s="73"/>
      <c r="E724" s="67"/>
      <c r="F724" s="71" t="n">
        <v>580</v>
      </c>
      <c r="G724" s="68"/>
      <c r="H724" s="69" t="n">
        <v>580</v>
      </c>
    </row>
    <row r="725" customFormat="false" ht="15" hidden="false" customHeight="true" outlineLevel="0" collapsed="false">
      <c r="B725" s="64"/>
      <c r="C725" s="65" t="s">
        <v>50</v>
      </c>
      <c r="D725" s="66" t="n">
        <v>1770</v>
      </c>
      <c r="E725" s="67"/>
      <c r="F725" s="67"/>
      <c r="G725" s="68"/>
      <c r="H725" s="69" t="n">
        <v>1770</v>
      </c>
    </row>
    <row r="726" customFormat="false" ht="15" hidden="false" customHeight="true" outlineLevel="0" collapsed="false">
      <c r="B726" s="64"/>
      <c r="C726" s="65" t="s">
        <v>22</v>
      </c>
      <c r="D726" s="66" t="n">
        <v>2173</v>
      </c>
      <c r="E726" s="67"/>
      <c r="F726" s="67"/>
      <c r="G726" s="68"/>
      <c r="H726" s="69" t="n">
        <v>2173</v>
      </c>
    </row>
    <row r="727" customFormat="false" ht="15" hidden="false" customHeight="true" outlineLevel="0" collapsed="false">
      <c r="B727" s="64"/>
      <c r="C727" s="65" t="s">
        <v>43</v>
      </c>
      <c r="D727" s="73"/>
      <c r="E727" s="71" t="n">
        <v>280</v>
      </c>
      <c r="F727" s="67"/>
      <c r="G727" s="68"/>
      <c r="H727" s="69" t="n">
        <v>280</v>
      </c>
    </row>
    <row r="728" customFormat="false" ht="15" hidden="false" customHeight="true" outlineLevel="0" collapsed="false">
      <c r="B728" s="64"/>
      <c r="C728" s="65" t="s">
        <v>40</v>
      </c>
      <c r="D728" s="73"/>
      <c r="E728" s="71" t="n">
        <v>400</v>
      </c>
      <c r="F728" s="67"/>
      <c r="G728" s="68"/>
      <c r="H728" s="69" t="n">
        <v>400</v>
      </c>
    </row>
    <row r="729" customFormat="false" ht="15" hidden="false" customHeight="true" outlineLevel="0" collapsed="false">
      <c r="B729" s="64"/>
      <c r="C729" s="65" t="s">
        <v>34</v>
      </c>
      <c r="D729" s="73"/>
      <c r="E729" s="71" t="n">
        <v>130</v>
      </c>
      <c r="F729" s="67"/>
      <c r="G729" s="68"/>
      <c r="H729" s="69" t="n">
        <v>130</v>
      </c>
    </row>
    <row r="730" customFormat="false" ht="15" hidden="false" customHeight="true" outlineLevel="0" collapsed="false">
      <c r="B730" s="84"/>
      <c r="C730" s="85" t="s">
        <v>29</v>
      </c>
      <c r="D730" s="74"/>
      <c r="E730" s="76" t="n">
        <v>1273</v>
      </c>
      <c r="F730" s="76" t="n">
        <v>30</v>
      </c>
      <c r="G730" s="77"/>
      <c r="H730" s="78" t="n">
        <v>1303</v>
      </c>
    </row>
    <row r="731" customFormat="false" ht="15" hidden="false" customHeight="true" outlineLevel="0" collapsed="false">
      <c r="B731" s="87" t="s">
        <v>811</v>
      </c>
      <c r="C731" s="88"/>
      <c r="D731" s="89" t="n">
        <v>9083</v>
      </c>
      <c r="E731" s="89" t="n">
        <v>2143</v>
      </c>
      <c r="F731" s="89" t="n">
        <v>925</v>
      </c>
      <c r="G731" s="90"/>
      <c r="H731" s="91" t="n">
        <v>12151</v>
      </c>
    </row>
    <row r="732" customFormat="false" ht="15" hidden="false" customHeight="true" outlineLevel="0" collapsed="false">
      <c r="B732" s="56" t="n">
        <v>45750</v>
      </c>
      <c r="C732" s="57" t="s">
        <v>32</v>
      </c>
      <c r="D732" s="58"/>
      <c r="E732" s="60" t="n">
        <v>70</v>
      </c>
      <c r="F732" s="60" t="n">
        <v>175</v>
      </c>
      <c r="G732" s="61"/>
      <c r="H732" s="62" t="n">
        <v>245</v>
      </c>
    </row>
    <row r="733" customFormat="false" ht="15" hidden="false" customHeight="true" outlineLevel="0" collapsed="false">
      <c r="B733" s="64"/>
      <c r="C733" s="65" t="s">
        <v>53</v>
      </c>
      <c r="D733" s="73"/>
      <c r="E733" s="67"/>
      <c r="F733" s="71" t="n">
        <v>1200</v>
      </c>
      <c r="G733" s="68"/>
      <c r="H733" s="69" t="n">
        <v>1200</v>
      </c>
    </row>
    <row r="734" customFormat="false" ht="15" hidden="false" customHeight="true" outlineLevel="0" collapsed="false">
      <c r="B734" s="64"/>
      <c r="C734" s="65" t="s">
        <v>19</v>
      </c>
      <c r="D734" s="66" t="n">
        <v>3103</v>
      </c>
      <c r="E734" s="67"/>
      <c r="F734" s="67"/>
      <c r="G734" s="68"/>
      <c r="H734" s="69" t="n">
        <v>3103</v>
      </c>
    </row>
    <row r="735" customFormat="false" ht="15" hidden="false" customHeight="true" outlineLevel="0" collapsed="false">
      <c r="B735" s="64"/>
      <c r="C735" s="65" t="s">
        <v>25</v>
      </c>
      <c r="D735" s="66" t="n">
        <v>696</v>
      </c>
      <c r="E735" s="71" t="n">
        <v>220</v>
      </c>
      <c r="F735" s="67"/>
      <c r="G735" s="68"/>
      <c r="H735" s="69" t="n">
        <v>916</v>
      </c>
    </row>
    <row r="736" customFormat="false" ht="15" hidden="false" customHeight="true" outlineLevel="0" collapsed="false">
      <c r="B736" s="64"/>
      <c r="C736" s="65" t="s">
        <v>69</v>
      </c>
      <c r="D736" s="66" t="n">
        <v>1500</v>
      </c>
      <c r="E736" s="67"/>
      <c r="F736" s="67"/>
      <c r="G736" s="68"/>
      <c r="H736" s="69" t="n">
        <v>1500</v>
      </c>
    </row>
    <row r="737" customFormat="false" ht="15" hidden="false" customHeight="true" outlineLevel="0" collapsed="false">
      <c r="B737" s="64"/>
      <c r="C737" s="65" t="s">
        <v>50</v>
      </c>
      <c r="D737" s="66" t="n">
        <v>1770</v>
      </c>
      <c r="E737" s="67"/>
      <c r="F737" s="67"/>
      <c r="G737" s="68"/>
      <c r="H737" s="69" t="n">
        <v>1770</v>
      </c>
    </row>
    <row r="738" customFormat="false" ht="15" hidden="false" customHeight="true" outlineLevel="0" collapsed="false">
      <c r="B738" s="64"/>
      <c r="C738" s="65" t="s">
        <v>22</v>
      </c>
      <c r="D738" s="66" t="n">
        <v>2523</v>
      </c>
      <c r="E738" s="67"/>
      <c r="F738" s="71" t="n">
        <v>110</v>
      </c>
      <c r="G738" s="68"/>
      <c r="H738" s="69" t="n">
        <v>2633</v>
      </c>
    </row>
    <row r="739" customFormat="false" ht="15" hidden="false" customHeight="true" outlineLevel="0" collapsed="false">
      <c r="B739" s="64"/>
      <c r="C739" s="65" t="s">
        <v>37</v>
      </c>
      <c r="D739" s="73"/>
      <c r="E739" s="67"/>
      <c r="F739" s="71" t="n">
        <v>15</v>
      </c>
      <c r="G739" s="68"/>
      <c r="H739" s="69" t="n">
        <v>15</v>
      </c>
    </row>
    <row r="740" customFormat="false" ht="15" hidden="false" customHeight="true" outlineLevel="0" collapsed="false">
      <c r="B740" s="64"/>
      <c r="C740" s="65" t="s">
        <v>34</v>
      </c>
      <c r="D740" s="73"/>
      <c r="E740" s="71" t="n">
        <v>130</v>
      </c>
      <c r="F740" s="67"/>
      <c r="G740" s="68"/>
      <c r="H740" s="69" t="n">
        <v>130</v>
      </c>
    </row>
    <row r="741" customFormat="false" ht="15" hidden="false" customHeight="true" outlineLevel="0" collapsed="false">
      <c r="B741" s="84"/>
      <c r="C741" s="85" t="s">
        <v>29</v>
      </c>
      <c r="D741" s="74"/>
      <c r="E741" s="76" t="n">
        <v>496</v>
      </c>
      <c r="F741" s="75"/>
      <c r="G741" s="77"/>
      <c r="H741" s="78" t="n">
        <v>496</v>
      </c>
    </row>
    <row r="742" customFormat="false" ht="15" hidden="false" customHeight="true" outlineLevel="0" collapsed="false">
      <c r="B742" s="87" t="s">
        <v>812</v>
      </c>
      <c r="C742" s="88"/>
      <c r="D742" s="89" t="n">
        <v>9592</v>
      </c>
      <c r="E742" s="89" t="n">
        <v>916</v>
      </c>
      <c r="F742" s="89" t="n">
        <v>1500</v>
      </c>
      <c r="G742" s="90"/>
      <c r="H742" s="91" t="n">
        <v>12008</v>
      </c>
    </row>
    <row r="743" customFormat="false" ht="15" hidden="false" customHeight="true" outlineLevel="0" collapsed="false">
      <c r="B743" s="56" t="n">
        <v>45751</v>
      </c>
      <c r="C743" s="57" t="s">
        <v>44</v>
      </c>
      <c r="D743" s="92" t="n">
        <v>10000</v>
      </c>
      <c r="E743" s="59"/>
      <c r="F743" s="59"/>
      <c r="G743" s="61"/>
      <c r="H743" s="62" t="n">
        <v>10000</v>
      </c>
    </row>
    <row r="744" customFormat="false" ht="15" hidden="false" customHeight="true" outlineLevel="0" collapsed="false">
      <c r="B744" s="64"/>
      <c r="C744" s="65" t="s">
        <v>19</v>
      </c>
      <c r="D744" s="66" t="n">
        <v>4305</v>
      </c>
      <c r="E744" s="67"/>
      <c r="F744" s="67"/>
      <c r="G744" s="68"/>
      <c r="H744" s="69" t="n">
        <v>4305</v>
      </c>
    </row>
    <row r="745" customFormat="false" ht="15" hidden="false" customHeight="true" outlineLevel="0" collapsed="false">
      <c r="B745" s="64"/>
      <c r="C745" s="65" t="s">
        <v>81</v>
      </c>
      <c r="D745" s="73"/>
      <c r="E745" s="67"/>
      <c r="F745" s="71" t="n">
        <v>60</v>
      </c>
      <c r="G745" s="68"/>
      <c r="H745" s="69" t="n">
        <v>60</v>
      </c>
    </row>
    <row r="746" customFormat="false" ht="15" hidden="false" customHeight="true" outlineLevel="0" collapsed="false">
      <c r="B746" s="64"/>
      <c r="C746" s="65" t="s">
        <v>25</v>
      </c>
      <c r="D746" s="66" t="n">
        <v>645</v>
      </c>
      <c r="E746" s="67"/>
      <c r="F746" s="67"/>
      <c r="G746" s="68"/>
      <c r="H746" s="69" t="n">
        <v>645</v>
      </c>
    </row>
    <row r="747" customFormat="false" ht="15" hidden="false" customHeight="true" outlineLevel="0" collapsed="false">
      <c r="B747" s="64"/>
      <c r="C747" s="65" t="s">
        <v>227</v>
      </c>
      <c r="D747" s="66" t="n">
        <v>1000</v>
      </c>
      <c r="E747" s="67"/>
      <c r="F747" s="67"/>
      <c r="G747" s="68"/>
      <c r="H747" s="69" t="n">
        <v>1000</v>
      </c>
    </row>
    <row r="748" customFormat="false" ht="15" hidden="false" customHeight="true" outlineLevel="0" collapsed="false">
      <c r="B748" s="64"/>
      <c r="C748" s="65" t="s">
        <v>36</v>
      </c>
      <c r="D748" s="73"/>
      <c r="E748" s="67"/>
      <c r="F748" s="71" t="n">
        <v>60</v>
      </c>
      <c r="G748" s="68"/>
      <c r="H748" s="69" t="n">
        <v>60</v>
      </c>
    </row>
    <row r="749" customFormat="false" ht="15" hidden="false" customHeight="true" outlineLevel="0" collapsed="false">
      <c r="B749" s="64"/>
      <c r="C749" s="65" t="s">
        <v>12</v>
      </c>
      <c r="D749" s="66" t="n">
        <v>19710</v>
      </c>
      <c r="E749" s="67"/>
      <c r="F749" s="67"/>
      <c r="G749" s="68"/>
      <c r="H749" s="69" t="n">
        <v>19710</v>
      </c>
    </row>
    <row r="750" customFormat="false" ht="15" hidden="false" customHeight="true" outlineLevel="0" collapsed="false">
      <c r="B750" s="64"/>
      <c r="C750" s="65" t="s">
        <v>50</v>
      </c>
      <c r="D750" s="66" t="n">
        <v>1770</v>
      </c>
      <c r="E750" s="67"/>
      <c r="F750" s="67"/>
      <c r="G750" s="68"/>
      <c r="H750" s="69" t="n">
        <v>1770</v>
      </c>
    </row>
    <row r="751" customFormat="false" ht="15" hidden="false" customHeight="true" outlineLevel="0" collapsed="false">
      <c r="B751" s="64"/>
      <c r="C751" s="65" t="s">
        <v>22</v>
      </c>
      <c r="D751" s="66" t="n">
        <v>646</v>
      </c>
      <c r="E751" s="67"/>
      <c r="F751" s="67"/>
      <c r="G751" s="68"/>
      <c r="H751" s="69" t="n">
        <v>646</v>
      </c>
    </row>
    <row r="752" customFormat="false" ht="15" hidden="false" customHeight="true" outlineLevel="0" collapsed="false">
      <c r="B752" s="64"/>
      <c r="C752" s="65" t="s">
        <v>37</v>
      </c>
      <c r="D752" s="73"/>
      <c r="E752" s="67"/>
      <c r="F752" s="71" t="n">
        <v>30</v>
      </c>
      <c r="G752" s="68"/>
      <c r="H752" s="69" t="n">
        <v>30</v>
      </c>
    </row>
    <row r="753" customFormat="false" ht="15" hidden="false" customHeight="true" outlineLevel="0" collapsed="false">
      <c r="B753" s="64"/>
      <c r="C753" s="65" t="s">
        <v>40</v>
      </c>
      <c r="D753" s="66" t="n">
        <v>1480</v>
      </c>
      <c r="E753" s="67"/>
      <c r="F753" s="67"/>
      <c r="G753" s="68"/>
      <c r="H753" s="69" t="n">
        <v>1480</v>
      </c>
    </row>
    <row r="754" customFormat="false" ht="15" hidden="false" customHeight="true" outlineLevel="0" collapsed="false">
      <c r="B754" s="64"/>
      <c r="C754" s="65" t="s">
        <v>34</v>
      </c>
      <c r="D754" s="73"/>
      <c r="E754" s="71" t="n">
        <v>100</v>
      </c>
      <c r="F754" s="67"/>
      <c r="G754" s="68"/>
      <c r="H754" s="69" t="n">
        <v>100</v>
      </c>
    </row>
    <row r="755" customFormat="false" ht="15" hidden="false" customHeight="true" outlineLevel="0" collapsed="false">
      <c r="B755" s="84"/>
      <c r="C755" s="85" t="s">
        <v>29</v>
      </c>
      <c r="D755" s="86" t="n">
        <v>361</v>
      </c>
      <c r="E755" s="75"/>
      <c r="F755" s="76" t="n">
        <v>20</v>
      </c>
      <c r="G755" s="77"/>
      <c r="H755" s="78" t="n">
        <v>381</v>
      </c>
    </row>
    <row r="756" customFormat="false" ht="15" hidden="false" customHeight="true" outlineLevel="0" collapsed="false">
      <c r="B756" s="87" t="s">
        <v>813</v>
      </c>
      <c r="C756" s="88"/>
      <c r="D756" s="89" t="n">
        <v>39917</v>
      </c>
      <c r="E756" s="89" t="n">
        <v>100</v>
      </c>
      <c r="F756" s="89" t="n">
        <v>170</v>
      </c>
      <c r="G756" s="90"/>
      <c r="H756" s="91" t="n">
        <v>40187</v>
      </c>
    </row>
    <row r="757" customFormat="false" ht="15" hidden="false" customHeight="true" outlineLevel="0" collapsed="false">
      <c r="B757" s="56" t="n">
        <v>45752</v>
      </c>
      <c r="C757" s="57" t="s">
        <v>44</v>
      </c>
      <c r="D757" s="92" t="n">
        <v>374</v>
      </c>
      <c r="E757" s="60" t="n">
        <v>5000</v>
      </c>
      <c r="F757" s="59"/>
      <c r="G757" s="61"/>
      <c r="H757" s="62" t="n">
        <v>5374</v>
      </c>
    </row>
    <row r="758" customFormat="false" ht="15" hidden="false" customHeight="true" outlineLevel="0" collapsed="false">
      <c r="B758" s="64"/>
      <c r="C758" s="65" t="s">
        <v>32</v>
      </c>
      <c r="D758" s="73"/>
      <c r="E758" s="67"/>
      <c r="F758" s="71" t="n">
        <v>350</v>
      </c>
      <c r="G758" s="68"/>
      <c r="H758" s="69" t="n">
        <v>350</v>
      </c>
    </row>
    <row r="759" customFormat="false" ht="15" hidden="false" customHeight="true" outlineLevel="0" collapsed="false">
      <c r="B759" s="64"/>
      <c r="C759" s="65" t="s">
        <v>47</v>
      </c>
      <c r="D759" s="66" t="n">
        <v>840</v>
      </c>
      <c r="E759" s="67"/>
      <c r="F759" s="67"/>
      <c r="G759" s="68"/>
      <c r="H759" s="69" t="n">
        <v>840</v>
      </c>
    </row>
    <row r="760" customFormat="false" ht="15" hidden="false" customHeight="true" outlineLevel="0" collapsed="false">
      <c r="B760" s="64"/>
      <c r="C760" s="65" t="s">
        <v>19</v>
      </c>
      <c r="D760" s="66" t="n">
        <v>2775</v>
      </c>
      <c r="E760" s="67"/>
      <c r="F760" s="67"/>
      <c r="G760" s="68"/>
      <c r="H760" s="69" t="n">
        <v>2775</v>
      </c>
    </row>
    <row r="761" customFormat="false" ht="15" hidden="false" customHeight="true" outlineLevel="0" collapsed="false">
      <c r="B761" s="64"/>
      <c r="C761" s="65" t="s">
        <v>25</v>
      </c>
      <c r="D761" s="66" t="n">
        <v>1617</v>
      </c>
      <c r="E761" s="67"/>
      <c r="F761" s="71" t="n">
        <v>900</v>
      </c>
      <c r="G761" s="68"/>
      <c r="H761" s="69" t="n">
        <v>2517</v>
      </c>
    </row>
    <row r="762" customFormat="false" ht="15" hidden="false" customHeight="true" outlineLevel="0" collapsed="false">
      <c r="B762" s="64"/>
      <c r="C762" s="65" t="s">
        <v>51</v>
      </c>
      <c r="D762" s="66" t="n">
        <v>1185</v>
      </c>
      <c r="E762" s="67"/>
      <c r="F762" s="67"/>
      <c r="G762" s="68"/>
      <c r="H762" s="69" t="n">
        <v>1185</v>
      </c>
    </row>
    <row r="763" customFormat="false" ht="15" hidden="false" customHeight="true" outlineLevel="0" collapsed="false">
      <c r="B763" s="64"/>
      <c r="C763" s="65" t="s">
        <v>22</v>
      </c>
      <c r="D763" s="66" t="n">
        <v>2381</v>
      </c>
      <c r="E763" s="67"/>
      <c r="F763" s="71" t="n">
        <v>110</v>
      </c>
      <c r="G763" s="68"/>
      <c r="H763" s="69" t="n">
        <v>2491</v>
      </c>
    </row>
    <row r="764" customFormat="false" ht="15" hidden="false" customHeight="true" outlineLevel="0" collapsed="false">
      <c r="B764" s="64"/>
      <c r="C764" s="65" t="s">
        <v>37</v>
      </c>
      <c r="D764" s="73"/>
      <c r="E764" s="67"/>
      <c r="F764" s="71" t="n">
        <v>34</v>
      </c>
      <c r="G764" s="68"/>
      <c r="H764" s="69" t="n">
        <v>34</v>
      </c>
    </row>
    <row r="765" customFormat="false" ht="15" hidden="false" customHeight="true" outlineLevel="0" collapsed="false">
      <c r="B765" s="64"/>
      <c r="C765" s="65" t="s">
        <v>202</v>
      </c>
      <c r="D765" s="73"/>
      <c r="E765" s="71" t="n">
        <v>240</v>
      </c>
      <c r="F765" s="67"/>
      <c r="G765" s="68"/>
      <c r="H765" s="69" t="n">
        <v>240</v>
      </c>
    </row>
    <row r="766" customFormat="false" ht="15" hidden="false" customHeight="true" outlineLevel="0" collapsed="false">
      <c r="B766" s="64"/>
      <c r="C766" s="65" t="s">
        <v>67</v>
      </c>
      <c r="D766" s="66" t="n">
        <v>2000</v>
      </c>
      <c r="E766" s="67"/>
      <c r="F766" s="67"/>
      <c r="G766" s="68"/>
      <c r="H766" s="69" t="n">
        <v>2000</v>
      </c>
    </row>
    <row r="767" customFormat="false" ht="15" hidden="false" customHeight="true" outlineLevel="0" collapsed="false">
      <c r="B767" s="64"/>
      <c r="C767" s="65" t="s">
        <v>34</v>
      </c>
      <c r="D767" s="73"/>
      <c r="E767" s="71" t="n">
        <v>140</v>
      </c>
      <c r="F767" s="67"/>
      <c r="G767" s="68"/>
      <c r="H767" s="69" t="n">
        <v>140</v>
      </c>
    </row>
    <row r="768" customFormat="false" ht="15" hidden="false" customHeight="true" outlineLevel="0" collapsed="false">
      <c r="B768" s="84"/>
      <c r="C768" s="85" t="s">
        <v>29</v>
      </c>
      <c r="D768" s="86" t="n">
        <v>254</v>
      </c>
      <c r="E768" s="75"/>
      <c r="F768" s="75"/>
      <c r="G768" s="77"/>
      <c r="H768" s="78" t="n">
        <v>254</v>
      </c>
    </row>
    <row r="769" customFormat="false" ht="15" hidden="false" customHeight="true" outlineLevel="0" collapsed="false">
      <c r="B769" s="87" t="s">
        <v>814</v>
      </c>
      <c r="C769" s="88"/>
      <c r="D769" s="89" t="n">
        <v>11426</v>
      </c>
      <c r="E769" s="89" t="n">
        <v>5380</v>
      </c>
      <c r="F769" s="89" t="n">
        <v>1394</v>
      </c>
      <c r="G769" s="90"/>
      <c r="H769" s="91" t="n">
        <v>18200</v>
      </c>
    </row>
    <row r="770" customFormat="false" ht="15" hidden="false" customHeight="true" outlineLevel="0" collapsed="false">
      <c r="B770" s="56" t="n">
        <v>45753</v>
      </c>
      <c r="C770" s="57" t="s">
        <v>53</v>
      </c>
      <c r="D770" s="58"/>
      <c r="E770" s="59"/>
      <c r="F770" s="60" t="n">
        <v>1200</v>
      </c>
      <c r="G770" s="61"/>
      <c r="H770" s="62" t="n">
        <v>1200</v>
      </c>
    </row>
    <row r="771" customFormat="false" ht="15" hidden="false" customHeight="true" outlineLevel="0" collapsed="false">
      <c r="B771" s="64"/>
      <c r="C771" s="65" t="s">
        <v>19</v>
      </c>
      <c r="D771" s="66" t="n">
        <v>2693</v>
      </c>
      <c r="E771" s="67"/>
      <c r="F771" s="67"/>
      <c r="G771" s="68"/>
      <c r="H771" s="69" t="n">
        <v>2693</v>
      </c>
    </row>
    <row r="772" customFormat="false" ht="15" hidden="false" customHeight="true" outlineLevel="0" collapsed="false">
      <c r="B772" s="64"/>
      <c r="C772" s="65" t="s">
        <v>25</v>
      </c>
      <c r="D772" s="66" t="n">
        <v>1216</v>
      </c>
      <c r="E772" s="67"/>
      <c r="F772" s="67"/>
      <c r="G772" s="68"/>
      <c r="H772" s="69" t="n">
        <v>1216</v>
      </c>
    </row>
    <row r="773" customFormat="false" ht="15" hidden="false" customHeight="true" outlineLevel="0" collapsed="false">
      <c r="B773" s="64"/>
      <c r="C773" s="65" t="s">
        <v>28</v>
      </c>
      <c r="D773" s="73"/>
      <c r="E773" s="67"/>
      <c r="F773" s="71" t="n">
        <v>320</v>
      </c>
      <c r="G773" s="68"/>
      <c r="H773" s="69" t="n">
        <v>320</v>
      </c>
    </row>
    <row r="774" customFormat="false" ht="15" hidden="false" customHeight="true" outlineLevel="0" collapsed="false">
      <c r="B774" s="64"/>
      <c r="C774" s="65" t="s">
        <v>22</v>
      </c>
      <c r="D774" s="66" t="n">
        <v>555</v>
      </c>
      <c r="E774" s="67"/>
      <c r="F774" s="67"/>
      <c r="G774" s="68"/>
      <c r="H774" s="69" t="n">
        <v>555</v>
      </c>
    </row>
    <row r="775" customFormat="false" ht="15" hidden="false" customHeight="true" outlineLevel="0" collapsed="false">
      <c r="B775" s="64"/>
      <c r="C775" s="65" t="s">
        <v>34</v>
      </c>
      <c r="D775" s="73"/>
      <c r="E775" s="67"/>
      <c r="F775" s="71" t="n">
        <v>105</v>
      </c>
      <c r="G775" s="68"/>
      <c r="H775" s="69" t="n">
        <v>105</v>
      </c>
    </row>
    <row r="776" customFormat="false" ht="15" hidden="false" customHeight="true" outlineLevel="0" collapsed="false">
      <c r="B776" s="84"/>
      <c r="C776" s="85" t="s">
        <v>29</v>
      </c>
      <c r="D776" s="86" t="n">
        <v>592</v>
      </c>
      <c r="E776" s="76" t="n">
        <v>870</v>
      </c>
      <c r="F776" s="75"/>
      <c r="G776" s="77"/>
      <c r="H776" s="78" t="n">
        <v>1462</v>
      </c>
    </row>
    <row r="777" customFormat="false" ht="15" hidden="false" customHeight="true" outlineLevel="0" collapsed="false">
      <c r="B777" s="87" t="s">
        <v>815</v>
      </c>
      <c r="C777" s="88"/>
      <c r="D777" s="89" t="n">
        <v>5056</v>
      </c>
      <c r="E777" s="89" t="n">
        <v>870</v>
      </c>
      <c r="F777" s="89" t="n">
        <v>1625</v>
      </c>
      <c r="G777" s="90"/>
      <c r="H777" s="91" t="n">
        <v>7551</v>
      </c>
    </row>
    <row r="778" customFormat="false" ht="15" hidden="false" customHeight="true" outlineLevel="0" collapsed="false">
      <c r="B778" s="56" t="n">
        <v>45754</v>
      </c>
      <c r="C778" s="57" t="s">
        <v>32</v>
      </c>
      <c r="D778" s="58"/>
      <c r="E778" s="59"/>
      <c r="F778" s="60" t="n">
        <v>455</v>
      </c>
      <c r="G778" s="61"/>
      <c r="H778" s="62" t="n">
        <v>455</v>
      </c>
    </row>
    <row r="779" customFormat="false" ht="15" hidden="false" customHeight="true" outlineLevel="0" collapsed="false">
      <c r="B779" s="64"/>
      <c r="C779" s="65" t="s">
        <v>47</v>
      </c>
      <c r="D779" s="66" t="n">
        <v>840</v>
      </c>
      <c r="E779" s="67"/>
      <c r="F779" s="67"/>
      <c r="G779" s="68"/>
      <c r="H779" s="69" t="n">
        <v>840</v>
      </c>
    </row>
    <row r="780" customFormat="false" ht="15" hidden="false" customHeight="true" outlineLevel="0" collapsed="false">
      <c r="B780" s="64"/>
      <c r="C780" s="65" t="s">
        <v>19</v>
      </c>
      <c r="D780" s="66" t="n">
        <v>4603</v>
      </c>
      <c r="E780" s="67"/>
      <c r="F780" s="67"/>
      <c r="G780" s="68"/>
      <c r="H780" s="69" t="n">
        <v>4603</v>
      </c>
    </row>
    <row r="781" customFormat="false" ht="15" hidden="false" customHeight="true" outlineLevel="0" collapsed="false">
      <c r="B781" s="64"/>
      <c r="C781" s="65" t="s">
        <v>25</v>
      </c>
      <c r="D781" s="66" t="n">
        <v>1653</v>
      </c>
      <c r="E781" s="71" t="n">
        <v>60</v>
      </c>
      <c r="F781" s="67"/>
      <c r="G781" s="68"/>
      <c r="H781" s="69" t="n">
        <v>1713</v>
      </c>
    </row>
    <row r="782" customFormat="false" ht="15" hidden="false" customHeight="true" outlineLevel="0" collapsed="false">
      <c r="B782" s="64"/>
      <c r="C782" s="65" t="s">
        <v>28</v>
      </c>
      <c r="D782" s="73"/>
      <c r="E782" s="67"/>
      <c r="F782" s="71" t="n">
        <v>705</v>
      </c>
      <c r="G782" s="68"/>
      <c r="H782" s="69" t="n">
        <v>705</v>
      </c>
    </row>
    <row r="783" customFormat="false" ht="15" hidden="false" customHeight="true" outlineLevel="0" collapsed="false">
      <c r="B783" s="64"/>
      <c r="C783" s="65" t="s">
        <v>50</v>
      </c>
      <c r="D783" s="66" t="n">
        <v>1770</v>
      </c>
      <c r="E783" s="67"/>
      <c r="F783" s="67"/>
      <c r="G783" s="68"/>
      <c r="H783" s="69" t="n">
        <v>1770</v>
      </c>
    </row>
    <row r="784" customFormat="false" ht="15" hidden="false" customHeight="true" outlineLevel="0" collapsed="false">
      <c r="B784" s="64"/>
      <c r="C784" s="65" t="s">
        <v>22</v>
      </c>
      <c r="D784" s="66" t="n">
        <v>1256</v>
      </c>
      <c r="E784" s="67"/>
      <c r="F784" s="67"/>
      <c r="G784" s="68"/>
      <c r="H784" s="69" t="n">
        <v>1256</v>
      </c>
    </row>
    <row r="785" customFormat="false" ht="15" hidden="false" customHeight="true" outlineLevel="0" collapsed="false">
      <c r="B785" s="64"/>
      <c r="C785" s="65" t="s">
        <v>37</v>
      </c>
      <c r="D785" s="73"/>
      <c r="E785" s="67"/>
      <c r="F785" s="71" t="n">
        <v>35</v>
      </c>
      <c r="G785" s="68"/>
      <c r="H785" s="69" t="n">
        <v>35</v>
      </c>
    </row>
    <row r="786" customFormat="false" ht="15" hidden="false" customHeight="true" outlineLevel="0" collapsed="false">
      <c r="B786" s="64"/>
      <c r="C786" s="65" t="s">
        <v>34</v>
      </c>
      <c r="D786" s="73"/>
      <c r="E786" s="71" t="n">
        <v>100</v>
      </c>
      <c r="F786" s="67"/>
      <c r="G786" s="68"/>
      <c r="H786" s="69" t="n">
        <v>100</v>
      </c>
    </row>
    <row r="787" customFormat="false" ht="15" hidden="false" customHeight="true" outlineLevel="0" collapsed="false">
      <c r="B787" s="84"/>
      <c r="C787" s="85" t="s">
        <v>29</v>
      </c>
      <c r="D787" s="86" t="n">
        <v>386</v>
      </c>
      <c r="E787" s="76" t="n">
        <v>40</v>
      </c>
      <c r="F787" s="75"/>
      <c r="G787" s="77"/>
      <c r="H787" s="78" t="n">
        <v>426</v>
      </c>
    </row>
    <row r="788" customFormat="false" ht="15" hidden="false" customHeight="true" outlineLevel="0" collapsed="false">
      <c r="B788" s="87" t="s">
        <v>816</v>
      </c>
      <c r="C788" s="88"/>
      <c r="D788" s="89" t="n">
        <v>10508</v>
      </c>
      <c r="E788" s="89" t="n">
        <v>200</v>
      </c>
      <c r="F788" s="89" t="n">
        <v>1195</v>
      </c>
      <c r="G788" s="90"/>
      <c r="H788" s="91" t="n">
        <v>11903</v>
      </c>
    </row>
    <row r="789" customFormat="false" ht="15" hidden="false" customHeight="true" outlineLevel="0" collapsed="false">
      <c r="B789" s="56" t="n">
        <v>45755</v>
      </c>
      <c r="C789" s="57" t="s">
        <v>32</v>
      </c>
      <c r="D789" s="58"/>
      <c r="E789" s="59"/>
      <c r="F789" s="60" t="n">
        <v>350</v>
      </c>
      <c r="G789" s="61"/>
      <c r="H789" s="62" t="n">
        <v>350</v>
      </c>
    </row>
    <row r="790" customFormat="false" ht="15" hidden="false" customHeight="true" outlineLevel="0" collapsed="false">
      <c r="B790" s="64"/>
      <c r="C790" s="65" t="s">
        <v>19</v>
      </c>
      <c r="D790" s="66" t="n">
        <v>3238</v>
      </c>
      <c r="E790" s="67"/>
      <c r="F790" s="67"/>
      <c r="G790" s="68"/>
      <c r="H790" s="69" t="n">
        <v>3238</v>
      </c>
    </row>
    <row r="791" customFormat="false" ht="15" hidden="false" customHeight="true" outlineLevel="0" collapsed="false">
      <c r="B791" s="64"/>
      <c r="C791" s="65" t="s">
        <v>25</v>
      </c>
      <c r="D791" s="66" t="n">
        <v>955</v>
      </c>
      <c r="E791" s="67"/>
      <c r="F791" s="67"/>
      <c r="G791" s="68"/>
      <c r="H791" s="69" t="n">
        <v>955</v>
      </c>
    </row>
    <row r="792" customFormat="false" ht="15" hidden="false" customHeight="true" outlineLevel="0" collapsed="false">
      <c r="B792" s="64"/>
      <c r="C792" s="65" t="s">
        <v>50</v>
      </c>
      <c r="D792" s="66" t="n">
        <v>1740</v>
      </c>
      <c r="E792" s="67"/>
      <c r="F792" s="67"/>
      <c r="G792" s="68"/>
      <c r="H792" s="69" t="n">
        <v>1740</v>
      </c>
    </row>
    <row r="793" customFormat="false" ht="15" hidden="false" customHeight="true" outlineLevel="0" collapsed="false">
      <c r="B793" s="64"/>
      <c r="C793" s="65" t="s">
        <v>22</v>
      </c>
      <c r="D793" s="66" t="n">
        <v>2998</v>
      </c>
      <c r="E793" s="67"/>
      <c r="F793" s="67"/>
      <c r="G793" s="68"/>
      <c r="H793" s="69" t="n">
        <v>2998</v>
      </c>
    </row>
    <row r="794" customFormat="false" ht="15" hidden="false" customHeight="true" outlineLevel="0" collapsed="false">
      <c r="B794" s="64"/>
      <c r="C794" s="65" t="s">
        <v>37</v>
      </c>
      <c r="D794" s="73"/>
      <c r="E794" s="67"/>
      <c r="F794" s="71" t="n">
        <v>10</v>
      </c>
      <c r="G794" s="68"/>
      <c r="H794" s="69" t="n">
        <v>10</v>
      </c>
    </row>
    <row r="795" customFormat="false" ht="15" hidden="false" customHeight="true" outlineLevel="0" collapsed="false">
      <c r="B795" s="64"/>
      <c r="C795" s="65" t="s">
        <v>40</v>
      </c>
      <c r="D795" s="73"/>
      <c r="E795" s="71" t="n">
        <v>750</v>
      </c>
      <c r="F795" s="67"/>
      <c r="G795" s="68"/>
      <c r="H795" s="69" t="n">
        <v>750</v>
      </c>
    </row>
    <row r="796" customFormat="false" ht="15" hidden="false" customHeight="true" outlineLevel="0" collapsed="false">
      <c r="B796" s="64"/>
      <c r="C796" s="65" t="s">
        <v>31</v>
      </c>
      <c r="D796" s="73"/>
      <c r="E796" s="71" t="n">
        <v>300</v>
      </c>
      <c r="F796" s="67"/>
      <c r="G796" s="68"/>
      <c r="H796" s="69" t="n">
        <v>300</v>
      </c>
    </row>
    <row r="797" customFormat="false" ht="15" hidden="false" customHeight="true" outlineLevel="0" collapsed="false">
      <c r="B797" s="64"/>
      <c r="C797" s="65" t="s">
        <v>34</v>
      </c>
      <c r="D797" s="73"/>
      <c r="E797" s="71" t="n">
        <v>200</v>
      </c>
      <c r="F797" s="67"/>
      <c r="G797" s="68"/>
      <c r="H797" s="69" t="n">
        <v>200</v>
      </c>
    </row>
    <row r="798" customFormat="false" ht="15" hidden="false" customHeight="true" outlineLevel="0" collapsed="false">
      <c r="B798" s="84"/>
      <c r="C798" s="85" t="s">
        <v>29</v>
      </c>
      <c r="D798" s="86" t="n">
        <v>362</v>
      </c>
      <c r="E798" s="75"/>
      <c r="F798" s="75"/>
      <c r="G798" s="77"/>
      <c r="H798" s="78" t="n">
        <v>362</v>
      </c>
    </row>
    <row r="799" customFormat="false" ht="15" hidden="false" customHeight="true" outlineLevel="0" collapsed="false">
      <c r="B799" s="87" t="s">
        <v>817</v>
      </c>
      <c r="C799" s="88"/>
      <c r="D799" s="89" t="n">
        <v>9293</v>
      </c>
      <c r="E799" s="89" t="n">
        <v>1250</v>
      </c>
      <c r="F799" s="89" t="n">
        <v>360</v>
      </c>
      <c r="G799" s="90"/>
      <c r="H799" s="91" t="n">
        <v>10903</v>
      </c>
    </row>
    <row r="800" customFormat="false" ht="15" hidden="false" customHeight="true" outlineLevel="0" collapsed="false">
      <c r="B800" s="56" t="n">
        <v>45756</v>
      </c>
      <c r="C800" s="57" t="s">
        <v>44</v>
      </c>
      <c r="D800" s="58"/>
      <c r="E800" s="60" t="n">
        <v>1000</v>
      </c>
      <c r="F800" s="59"/>
      <c r="G800" s="61"/>
      <c r="H800" s="62" t="n">
        <v>1000</v>
      </c>
    </row>
    <row r="801" customFormat="false" ht="15" hidden="false" customHeight="true" outlineLevel="0" collapsed="false">
      <c r="B801" s="64"/>
      <c r="C801" s="65" t="s">
        <v>19</v>
      </c>
      <c r="D801" s="66" t="n">
        <v>3607</v>
      </c>
      <c r="E801" s="67"/>
      <c r="F801" s="67"/>
      <c r="G801" s="68"/>
      <c r="H801" s="69" t="n">
        <v>3607</v>
      </c>
    </row>
    <row r="802" customFormat="false" ht="15" hidden="false" customHeight="true" outlineLevel="0" collapsed="false">
      <c r="B802" s="64"/>
      <c r="C802" s="65" t="s">
        <v>25</v>
      </c>
      <c r="D802" s="66" t="n">
        <v>375</v>
      </c>
      <c r="E802" s="67"/>
      <c r="F802" s="67"/>
      <c r="G802" s="68"/>
      <c r="H802" s="69" t="n">
        <v>375</v>
      </c>
    </row>
    <row r="803" customFormat="false" ht="15" hidden="false" customHeight="true" outlineLevel="0" collapsed="false">
      <c r="B803" s="64"/>
      <c r="C803" s="65" t="s">
        <v>28</v>
      </c>
      <c r="D803" s="73"/>
      <c r="E803" s="67"/>
      <c r="F803" s="71" t="n">
        <v>690</v>
      </c>
      <c r="G803" s="68"/>
      <c r="H803" s="69" t="n">
        <v>690</v>
      </c>
    </row>
    <row r="804" customFormat="false" ht="15" hidden="false" customHeight="true" outlineLevel="0" collapsed="false">
      <c r="B804" s="64"/>
      <c r="C804" s="65" t="s">
        <v>22</v>
      </c>
      <c r="D804" s="66" t="n">
        <v>3533</v>
      </c>
      <c r="E804" s="67"/>
      <c r="F804" s="67"/>
      <c r="G804" s="68"/>
      <c r="H804" s="69" t="n">
        <v>3533</v>
      </c>
    </row>
    <row r="805" customFormat="false" ht="15" hidden="false" customHeight="true" outlineLevel="0" collapsed="false">
      <c r="B805" s="64"/>
      <c r="C805" s="65" t="s">
        <v>37</v>
      </c>
      <c r="D805" s="73"/>
      <c r="E805" s="67"/>
      <c r="F805" s="71" t="n">
        <v>10</v>
      </c>
      <c r="G805" s="68"/>
      <c r="H805" s="69" t="n">
        <v>10</v>
      </c>
    </row>
    <row r="806" customFormat="false" ht="15" hidden="false" customHeight="true" outlineLevel="0" collapsed="false">
      <c r="B806" s="64"/>
      <c r="C806" s="65" t="s">
        <v>43</v>
      </c>
      <c r="D806" s="73"/>
      <c r="E806" s="71" t="n">
        <v>250</v>
      </c>
      <c r="F806" s="67"/>
      <c r="G806" s="68"/>
      <c r="H806" s="69" t="n">
        <v>250</v>
      </c>
    </row>
    <row r="807" customFormat="false" ht="15" hidden="false" customHeight="true" outlineLevel="0" collapsed="false">
      <c r="B807" s="64"/>
      <c r="C807" s="65" t="s">
        <v>34</v>
      </c>
      <c r="D807" s="73"/>
      <c r="E807" s="71" t="n">
        <v>100</v>
      </c>
      <c r="F807" s="67"/>
      <c r="G807" s="68"/>
      <c r="H807" s="69" t="n">
        <v>100</v>
      </c>
    </row>
    <row r="808" customFormat="false" ht="15" hidden="false" customHeight="true" outlineLevel="0" collapsed="false">
      <c r="B808" s="84"/>
      <c r="C808" s="85" t="s">
        <v>29</v>
      </c>
      <c r="D808" s="86" t="n">
        <v>344</v>
      </c>
      <c r="E808" s="75"/>
      <c r="F808" s="75"/>
      <c r="G808" s="77"/>
      <c r="H808" s="78" t="n">
        <v>344</v>
      </c>
    </row>
    <row r="809" customFormat="false" ht="15" hidden="false" customHeight="true" outlineLevel="0" collapsed="false">
      <c r="B809" s="87" t="s">
        <v>818</v>
      </c>
      <c r="C809" s="88"/>
      <c r="D809" s="89" t="n">
        <v>7859</v>
      </c>
      <c r="E809" s="89" t="n">
        <v>1350</v>
      </c>
      <c r="F809" s="89" t="n">
        <v>700</v>
      </c>
      <c r="G809" s="90"/>
      <c r="H809" s="91" t="n">
        <v>9909</v>
      </c>
    </row>
    <row r="810" customFormat="false" ht="15" hidden="false" customHeight="true" outlineLevel="0" collapsed="false">
      <c r="B810" s="56" t="n">
        <v>45757</v>
      </c>
      <c r="C810" s="57" t="s">
        <v>32</v>
      </c>
      <c r="D810" s="58"/>
      <c r="E810" s="59"/>
      <c r="F810" s="60" t="n">
        <v>525</v>
      </c>
      <c r="G810" s="61"/>
      <c r="H810" s="62" t="n">
        <v>525</v>
      </c>
    </row>
    <row r="811" customFormat="false" ht="15" hidden="false" customHeight="true" outlineLevel="0" collapsed="false">
      <c r="B811" s="64"/>
      <c r="C811" s="65" t="s">
        <v>53</v>
      </c>
      <c r="D811" s="73"/>
      <c r="E811" s="67"/>
      <c r="F811" s="71" t="n">
        <v>1200</v>
      </c>
      <c r="G811" s="68"/>
      <c r="H811" s="69" t="n">
        <v>1200</v>
      </c>
    </row>
    <row r="812" customFormat="false" ht="15" hidden="false" customHeight="true" outlineLevel="0" collapsed="false">
      <c r="B812" s="64"/>
      <c r="C812" s="65" t="s">
        <v>19</v>
      </c>
      <c r="D812" s="66" t="n">
        <v>4333</v>
      </c>
      <c r="E812" s="67"/>
      <c r="F812" s="67"/>
      <c r="G812" s="68"/>
      <c r="H812" s="69" t="n">
        <v>4333</v>
      </c>
    </row>
    <row r="813" customFormat="false" ht="15" hidden="false" customHeight="true" outlineLevel="0" collapsed="false">
      <c r="B813" s="64"/>
      <c r="C813" s="65" t="s">
        <v>25</v>
      </c>
      <c r="D813" s="66" t="n">
        <v>1126</v>
      </c>
      <c r="E813" s="71" t="n">
        <v>420</v>
      </c>
      <c r="F813" s="67"/>
      <c r="G813" s="68"/>
      <c r="H813" s="69" t="n">
        <v>1546</v>
      </c>
    </row>
    <row r="814" customFormat="false" ht="15" hidden="false" customHeight="true" outlineLevel="0" collapsed="false">
      <c r="B814" s="64"/>
      <c r="C814" s="65" t="s">
        <v>51</v>
      </c>
      <c r="D814" s="66" t="n">
        <v>5140</v>
      </c>
      <c r="E814" s="67"/>
      <c r="F814" s="67"/>
      <c r="G814" s="68"/>
      <c r="H814" s="69" t="n">
        <v>5140</v>
      </c>
    </row>
    <row r="815" customFormat="false" ht="15" hidden="false" customHeight="true" outlineLevel="0" collapsed="false">
      <c r="B815" s="64"/>
      <c r="C815" s="65" t="s">
        <v>22</v>
      </c>
      <c r="D815" s="66" t="n">
        <v>2906</v>
      </c>
      <c r="E815" s="67"/>
      <c r="F815" s="67"/>
      <c r="G815" s="68"/>
      <c r="H815" s="69" t="n">
        <v>2906</v>
      </c>
    </row>
    <row r="816" customFormat="false" ht="15" hidden="false" customHeight="true" outlineLevel="0" collapsed="false">
      <c r="B816" s="64"/>
      <c r="C816" s="65" t="s">
        <v>37</v>
      </c>
      <c r="D816" s="73"/>
      <c r="E816" s="67"/>
      <c r="F816" s="71" t="n">
        <v>10</v>
      </c>
      <c r="G816" s="68"/>
      <c r="H816" s="69" t="n">
        <v>10</v>
      </c>
    </row>
    <row r="817" customFormat="false" ht="15" hidden="false" customHeight="true" outlineLevel="0" collapsed="false">
      <c r="B817" s="64"/>
      <c r="C817" s="65" t="s">
        <v>40</v>
      </c>
      <c r="D817" s="73"/>
      <c r="E817" s="71" t="n">
        <v>1480</v>
      </c>
      <c r="F817" s="67"/>
      <c r="G817" s="68"/>
      <c r="H817" s="69" t="n">
        <v>1480</v>
      </c>
    </row>
    <row r="818" customFormat="false" ht="15" hidden="false" customHeight="true" outlineLevel="0" collapsed="false">
      <c r="B818" s="64"/>
      <c r="C818" s="65" t="s">
        <v>34</v>
      </c>
      <c r="D818" s="73"/>
      <c r="E818" s="71" t="n">
        <v>200</v>
      </c>
      <c r="F818" s="67"/>
      <c r="G818" s="68"/>
      <c r="H818" s="69" t="n">
        <v>200</v>
      </c>
    </row>
    <row r="819" customFormat="false" ht="15" hidden="false" customHeight="true" outlineLevel="0" collapsed="false">
      <c r="B819" s="84"/>
      <c r="C819" s="85" t="s">
        <v>29</v>
      </c>
      <c r="D819" s="86" t="n">
        <v>568</v>
      </c>
      <c r="E819" s="75"/>
      <c r="F819" s="75"/>
      <c r="G819" s="77"/>
      <c r="H819" s="78" t="n">
        <v>568</v>
      </c>
    </row>
    <row r="820" customFormat="false" ht="15" hidden="false" customHeight="true" outlineLevel="0" collapsed="false">
      <c r="B820" s="87" t="s">
        <v>819</v>
      </c>
      <c r="C820" s="88"/>
      <c r="D820" s="89" t="n">
        <v>14073</v>
      </c>
      <c r="E820" s="89" t="n">
        <v>2100</v>
      </c>
      <c r="F820" s="89" t="n">
        <v>1735</v>
      </c>
      <c r="G820" s="90"/>
      <c r="H820" s="91" t="n">
        <v>17908</v>
      </c>
    </row>
    <row r="821" customFormat="false" ht="15" hidden="false" customHeight="true" outlineLevel="0" collapsed="false">
      <c r="B821" s="56" t="n">
        <v>45758</v>
      </c>
      <c r="C821" s="57" t="s">
        <v>32</v>
      </c>
      <c r="D821" s="58"/>
      <c r="E821" s="59"/>
      <c r="F821" s="60" t="n">
        <v>175</v>
      </c>
      <c r="G821" s="61"/>
      <c r="H821" s="62" t="n">
        <v>175</v>
      </c>
    </row>
    <row r="822" customFormat="false" ht="15" hidden="false" customHeight="true" outlineLevel="0" collapsed="false">
      <c r="B822" s="64"/>
      <c r="C822" s="65" t="s">
        <v>47</v>
      </c>
      <c r="D822" s="66" t="n">
        <v>1680</v>
      </c>
      <c r="E822" s="67"/>
      <c r="F822" s="67"/>
      <c r="G822" s="68"/>
      <c r="H822" s="69" t="n">
        <v>1680</v>
      </c>
    </row>
    <row r="823" customFormat="false" ht="15" hidden="false" customHeight="true" outlineLevel="0" collapsed="false">
      <c r="B823" s="64"/>
      <c r="C823" s="65" t="s">
        <v>19</v>
      </c>
      <c r="D823" s="66" t="n">
        <v>3806</v>
      </c>
      <c r="E823" s="67"/>
      <c r="F823" s="67"/>
      <c r="G823" s="68"/>
      <c r="H823" s="69" t="n">
        <v>3806</v>
      </c>
    </row>
    <row r="824" customFormat="false" ht="15" hidden="false" customHeight="true" outlineLevel="0" collapsed="false">
      <c r="B824" s="64"/>
      <c r="C824" s="65" t="s">
        <v>25</v>
      </c>
      <c r="D824" s="66" t="n">
        <v>1331</v>
      </c>
      <c r="E824" s="71" t="n">
        <v>650</v>
      </c>
      <c r="F824" s="67"/>
      <c r="G824" s="68"/>
      <c r="H824" s="69" t="n">
        <v>1981</v>
      </c>
    </row>
    <row r="825" customFormat="false" ht="15" hidden="false" customHeight="true" outlineLevel="0" collapsed="false">
      <c r="B825" s="64"/>
      <c r="C825" s="65" t="s">
        <v>22</v>
      </c>
      <c r="D825" s="66" t="n">
        <v>1081</v>
      </c>
      <c r="E825" s="67"/>
      <c r="F825" s="71" t="n">
        <v>110</v>
      </c>
      <c r="G825" s="68"/>
      <c r="H825" s="69" t="n">
        <v>1191</v>
      </c>
    </row>
    <row r="826" customFormat="false" ht="15" hidden="false" customHeight="true" outlineLevel="0" collapsed="false">
      <c r="B826" s="64"/>
      <c r="C826" s="65" t="s">
        <v>37</v>
      </c>
      <c r="D826" s="73"/>
      <c r="E826" s="67"/>
      <c r="F826" s="71" t="n">
        <v>10</v>
      </c>
      <c r="G826" s="68"/>
      <c r="H826" s="69" t="n">
        <v>10</v>
      </c>
    </row>
    <row r="827" customFormat="false" ht="15" hidden="false" customHeight="true" outlineLevel="0" collapsed="false">
      <c r="B827" s="64"/>
      <c r="C827" s="65" t="s">
        <v>43</v>
      </c>
      <c r="D827" s="73"/>
      <c r="E827" s="71" t="n">
        <v>90</v>
      </c>
      <c r="F827" s="67"/>
      <c r="G827" s="68"/>
      <c r="H827" s="69" t="n">
        <v>90</v>
      </c>
    </row>
    <row r="828" customFormat="false" ht="15" hidden="false" customHeight="true" outlineLevel="0" collapsed="false">
      <c r="B828" s="64"/>
      <c r="C828" s="65" t="s">
        <v>34</v>
      </c>
      <c r="D828" s="73"/>
      <c r="E828" s="71" t="n">
        <v>130</v>
      </c>
      <c r="F828" s="67"/>
      <c r="G828" s="68"/>
      <c r="H828" s="69" t="n">
        <v>130</v>
      </c>
    </row>
    <row r="829" customFormat="false" ht="15" hidden="false" customHeight="true" outlineLevel="0" collapsed="false">
      <c r="B829" s="84"/>
      <c r="C829" s="85" t="s">
        <v>29</v>
      </c>
      <c r="D829" s="86" t="n">
        <v>470</v>
      </c>
      <c r="E829" s="75"/>
      <c r="F829" s="75"/>
      <c r="G829" s="77"/>
      <c r="H829" s="78" t="n">
        <v>470</v>
      </c>
    </row>
    <row r="830" customFormat="false" ht="15" hidden="false" customHeight="true" outlineLevel="0" collapsed="false">
      <c r="B830" s="87" t="s">
        <v>820</v>
      </c>
      <c r="C830" s="88"/>
      <c r="D830" s="89" t="n">
        <v>8368</v>
      </c>
      <c r="E830" s="89" t="n">
        <v>870</v>
      </c>
      <c r="F830" s="89" t="n">
        <v>295</v>
      </c>
      <c r="G830" s="90"/>
      <c r="H830" s="91" t="n">
        <v>9533</v>
      </c>
    </row>
    <row r="831" customFormat="false" ht="15" hidden="false" customHeight="true" outlineLevel="0" collapsed="false">
      <c r="B831" s="56" t="n">
        <v>45759</v>
      </c>
      <c r="C831" s="57" t="s">
        <v>47</v>
      </c>
      <c r="D831" s="92" t="n">
        <v>840</v>
      </c>
      <c r="E831" s="59"/>
      <c r="F831" s="59"/>
      <c r="G831" s="61"/>
      <c r="H831" s="62" t="n">
        <v>840</v>
      </c>
    </row>
    <row r="832" customFormat="false" ht="15" hidden="false" customHeight="true" outlineLevel="0" collapsed="false">
      <c r="B832" s="64"/>
      <c r="C832" s="65" t="s">
        <v>19</v>
      </c>
      <c r="D832" s="66" t="n">
        <v>2969</v>
      </c>
      <c r="E832" s="67"/>
      <c r="F832" s="67"/>
      <c r="G832" s="68"/>
      <c r="H832" s="69" t="n">
        <v>2969</v>
      </c>
    </row>
    <row r="833" customFormat="false" ht="15" hidden="false" customHeight="true" outlineLevel="0" collapsed="false">
      <c r="B833" s="64"/>
      <c r="C833" s="65" t="s">
        <v>25</v>
      </c>
      <c r="D833" s="66" t="n">
        <v>595</v>
      </c>
      <c r="E833" s="67"/>
      <c r="F833" s="67"/>
      <c r="G833" s="68"/>
      <c r="H833" s="69" t="n">
        <v>595</v>
      </c>
    </row>
    <row r="834" customFormat="false" ht="15" hidden="false" customHeight="true" outlineLevel="0" collapsed="false">
      <c r="B834" s="64"/>
      <c r="C834" s="65" t="s">
        <v>50</v>
      </c>
      <c r="D834" s="66" t="n">
        <v>1780</v>
      </c>
      <c r="E834" s="67"/>
      <c r="F834" s="67"/>
      <c r="G834" s="68"/>
      <c r="H834" s="69" t="n">
        <v>1780</v>
      </c>
    </row>
    <row r="835" customFormat="false" ht="15" hidden="false" customHeight="true" outlineLevel="0" collapsed="false">
      <c r="B835" s="64"/>
      <c r="C835" s="65" t="s">
        <v>102</v>
      </c>
      <c r="D835" s="73"/>
      <c r="E835" s="67"/>
      <c r="F835" s="71" t="n">
        <v>600</v>
      </c>
      <c r="G835" s="68"/>
      <c r="H835" s="69" t="n">
        <v>600</v>
      </c>
    </row>
    <row r="836" customFormat="false" ht="15" hidden="false" customHeight="true" outlineLevel="0" collapsed="false">
      <c r="B836" s="64"/>
      <c r="C836" s="65" t="s">
        <v>37</v>
      </c>
      <c r="D836" s="73"/>
      <c r="E836" s="67"/>
      <c r="F836" s="71" t="n">
        <v>10</v>
      </c>
      <c r="G836" s="68"/>
      <c r="H836" s="69" t="n">
        <v>10</v>
      </c>
    </row>
    <row r="837" customFormat="false" ht="15" hidden="false" customHeight="true" outlineLevel="0" collapsed="false">
      <c r="B837" s="64"/>
      <c r="C837" s="65" t="s">
        <v>202</v>
      </c>
      <c r="D837" s="73"/>
      <c r="E837" s="71" t="n">
        <v>545</v>
      </c>
      <c r="F837" s="67"/>
      <c r="G837" s="68"/>
      <c r="H837" s="69" t="n">
        <v>545</v>
      </c>
    </row>
    <row r="838" customFormat="false" ht="15" hidden="false" customHeight="true" outlineLevel="0" collapsed="false">
      <c r="B838" s="64"/>
      <c r="C838" s="65" t="s">
        <v>34</v>
      </c>
      <c r="D838" s="73"/>
      <c r="E838" s="71" t="n">
        <v>155</v>
      </c>
      <c r="F838" s="67"/>
      <c r="G838" s="68"/>
      <c r="H838" s="69" t="n">
        <v>155</v>
      </c>
    </row>
    <row r="839" customFormat="false" ht="15" hidden="false" customHeight="true" outlineLevel="0" collapsed="false">
      <c r="B839" s="84"/>
      <c r="C839" s="85" t="s">
        <v>29</v>
      </c>
      <c r="D839" s="86" t="n">
        <v>366</v>
      </c>
      <c r="E839" s="75"/>
      <c r="F839" s="75"/>
      <c r="G839" s="77"/>
      <c r="H839" s="78" t="n">
        <v>366</v>
      </c>
    </row>
    <row r="840" customFormat="false" ht="15" hidden="false" customHeight="true" outlineLevel="0" collapsed="false">
      <c r="B840" s="87" t="s">
        <v>821</v>
      </c>
      <c r="C840" s="88"/>
      <c r="D840" s="89" t="n">
        <v>6550</v>
      </c>
      <c r="E840" s="89" t="n">
        <v>700</v>
      </c>
      <c r="F840" s="89" t="n">
        <v>610</v>
      </c>
      <c r="G840" s="90"/>
      <c r="H840" s="91" t="n">
        <v>7860</v>
      </c>
    </row>
    <row r="841" customFormat="false" ht="15" hidden="false" customHeight="true" outlineLevel="0" collapsed="false">
      <c r="B841" s="56" t="n">
        <v>45760</v>
      </c>
      <c r="C841" s="57" t="s">
        <v>53</v>
      </c>
      <c r="D841" s="58"/>
      <c r="E841" s="60" t="n">
        <v>1950</v>
      </c>
      <c r="F841" s="59"/>
      <c r="G841" s="61"/>
      <c r="H841" s="62" t="n">
        <v>1950</v>
      </c>
    </row>
    <row r="842" customFormat="false" ht="15" hidden="false" customHeight="true" outlineLevel="0" collapsed="false">
      <c r="B842" s="64"/>
      <c r="C842" s="65" t="s">
        <v>19</v>
      </c>
      <c r="D842" s="66" t="n">
        <v>3550</v>
      </c>
      <c r="E842" s="67"/>
      <c r="F842" s="67"/>
      <c r="G842" s="68"/>
      <c r="H842" s="69" t="n">
        <v>3550</v>
      </c>
    </row>
    <row r="843" customFormat="false" ht="15" hidden="false" customHeight="true" outlineLevel="0" collapsed="false">
      <c r="B843" s="64"/>
      <c r="C843" s="65" t="s">
        <v>25</v>
      </c>
      <c r="D843" s="66" t="n">
        <v>1163</v>
      </c>
      <c r="E843" s="71" t="n">
        <v>445</v>
      </c>
      <c r="F843" s="67"/>
      <c r="G843" s="68"/>
      <c r="H843" s="69" t="n">
        <v>1608</v>
      </c>
    </row>
    <row r="844" customFormat="false" ht="15" hidden="false" customHeight="true" outlineLevel="0" collapsed="false">
      <c r="B844" s="64"/>
      <c r="C844" s="65" t="s">
        <v>50</v>
      </c>
      <c r="D844" s="66" t="n">
        <v>1780</v>
      </c>
      <c r="E844" s="67"/>
      <c r="F844" s="67"/>
      <c r="G844" s="68"/>
      <c r="H844" s="69" t="n">
        <v>1780</v>
      </c>
    </row>
    <row r="845" customFormat="false" ht="15" hidden="false" customHeight="true" outlineLevel="0" collapsed="false">
      <c r="B845" s="64"/>
      <c r="C845" s="65" t="s">
        <v>22</v>
      </c>
      <c r="D845" s="66" t="n">
        <v>3060</v>
      </c>
      <c r="E845" s="67"/>
      <c r="F845" s="67"/>
      <c r="G845" s="68"/>
      <c r="H845" s="69" t="n">
        <v>3060</v>
      </c>
    </row>
    <row r="846" customFormat="false" ht="15" hidden="false" customHeight="true" outlineLevel="0" collapsed="false">
      <c r="B846" s="64"/>
      <c r="C846" s="65" t="s">
        <v>37</v>
      </c>
      <c r="D846" s="73"/>
      <c r="E846" s="67"/>
      <c r="F846" s="71" t="n">
        <v>5</v>
      </c>
      <c r="G846" s="68"/>
      <c r="H846" s="69" t="n">
        <v>5</v>
      </c>
    </row>
    <row r="847" customFormat="false" ht="15" hidden="false" customHeight="true" outlineLevel="0" collapsed="false">
      <c r="B847" s="64"/>
      <c r="C847" s="65" t="s">
        <v>40</v>
      </c>
      <c r="D847" s="73"/>
      <c r="E847" s="71" t="n">
        <v>1880</v>
      </c>
      <c r="F847" s="67"/>
      <c r="G847" s="68"/>
      <c r="H847" s="69" t="n">
        <v>1880</v>
      </c>
    </row>
    <row r="848" customFormat="false" ht="15" hidden="false" customHeight="true" outlineLevel="0" collapsed="false">
      <c r="B848" s="64"/>
      <c r="C848" s="65" t="s">
        <v>31</v>
      </c>
      <c r="D848" s="73"/>
      <c r="E848" s="67"/>
      <c r="F848" s="71" t="n">
        <v>1650</v>
      </c>
      <c r="G848" s="68"/>
      <c r="H848" s="69" t="n">
        <v>1650</v>
      </c>
    </row>
    <row r="849" customFormat="false" ht="15" hidden="false" customHeight="true" outlineLevel="0" collapsed="false">
      <c r="B849" s="64"/>
      <c r="C849" s="65" t="s">
        <v>202</v>
      </c>
      <c r="D849" s="73"/>
      <c r="E849" s="71" t="n">
        <v>765</v>
      </c>
      <c r="F849" s="67"/>
      <c r="G849" s="68"/>
      <c r="H849" s="69" t="n">
        <v>765</v>
      </c>
    </row>
    <row r="850" customFormat="false" ht="15" hidden="false" customHeight="true" outlineLevel="0" collapsed="false">
      <c r="B850" s="64"/>
      <c r="C850" s="65" t="s">
        <v>34</v>
      </c>
      <c r="D850" s="73"/>
      <c r="E850" s="71" t="n">
        <v>160</v>
      </c>
      <c r="F850" s="67"/>
      <c r="G850" s="68"/>
      <c r="H850" s="69" t="n">
        <v>160</v>
      </c>
    </row>
    <row r="851" customFormat="false" ht="15" hidden="false" customHeight="true" outlineLevel="0" collapsed="false">
      <c r="B851" s="84"/>
      <c r="C851" s="85" t="s">
        <v>29</v>
      </c>
      <c r="D851" s="86" t="n">
        <v>332</v>
      </c>
      <c r="E851" s="75"/>
      <c r="F851" s="75"/>
      <c r="G851" s="77"/>
      <c r="H851" s="78" t="n">
        <v>332</v>
      </c>
    </row>
    <row r="852" customFormat="false" ht="15" hidden="false" customHeight="true" outlineLevel="0" collapsed="false">
      <c r="B852" s="87" t="s">
        <v>822</v>
      </c>
      <c r="C852" s="88"/>
      <c r="D852" s="89" t="n">
        <v>9885</v>
      </c>
      <c r="E852" s="89" t="n">
        <v>5200</v>
      </c>
      <c r="F852" s="89" t="n">
        <v>1655</v>
      </c>
      <c r="G852" s="90"/>
      <c r="H852" s="91" t="n">
        <v>16740</v>
      </c>
    </row>
    <row r="853" customFormat="false" ht="15" hidden="false" customHeight="true" outlineLevel="0" collapsed="false">
      <c r="B853" s="56" t="n">
        <v>45761</v>
      </c>
      <c r="C853" s="57" t="s">
        <v>32</v>
      </c>
      <c r="D853" s="58"/>
      <c r="E853" s="59"/>
      <c r="F853" s="60" t="n">
        <v>455</v>
      </c>
      <c r="G853" s="61"/>
      <c r="H853" s="62" t="n">
        <v>455</v>
      </c>
    </row>
    <row r="854" customFormat="false" ht="15" hidden="false" customHeight="true" outlineLevel="0" collapsed="false">
      <c r="B854" s="64"/>
      <c r="C854" s="65" t="s">
        <v>47</v>
      </c>
      <c r="D854" s="66" t="n">
        <v>1680</v>
      </c>
      <c r="E854" s="67"/>
      <c r="F854" s="67"/>
      <c r="G854" s="68"/>
      <c r="H854" s="69" t="n">
        <v>1680</v>
      </c>
    </row>
    <row r="855" customFormat="false" ht="15" hidden="false" customHeight="true" outlineLevel="0" collapsed="false">
      <c r="B855" s="64"/>
      <c r="C855" s="65" t="s">
        <v>19</v>
      </c>
      <c r="D855" s="66" t="n">
        <v>3086</v>
      </c>
      <c r="E855" s="67"/>
      <c r="F855" s="67"/>
      <c r="G855" s="68"/>
      <c r="H855" s="69" t="n">
        <v>3086</v>
      </c>
    </row>
    <row r="856" customFormat="false" ht="15" hidden="false" customHeight="true" outlineLevel="0" collapsed="false">
      <c r="B856" s="64"/>
      <c r="C856" s="65" t="s">
        <v>25</v>
      </c>
      <c r="D856" s="66" t="n">
        <v>710</v>
      </c>
      <c r="E856" s="71" t="n">
        <v>60</v>
      </c>
      <c r="F856" s="67"/>
      <c r="G856" s="68"/>
      <c r="H856" s="69" t="n">
        <v>770</v>
      </c>
    </row>
    <row r="857" customFormat="false" ht="15" hidden="false" customHeight="true" outlineLevel="0" collapsed="false">
      <c r="B857" s="64"/>
      <c r="C857" s="65" t="s">
        <v>28</v>
      </c>
      <c r="D857" s="73"/>
      <c r="E857" s="67"/>
      <c r="F857" s="71" t="n">
        <v>800</v>
      </c>
      <c r="G857" s="68"/>
      <c r="H857" s="69" t="n">
        <v>800</v>
      </c>
    </row>
    <row r="858" customFormat="false" ht="15" hidden="false" customHeight="true" outlineLevel="0" collapsed="false">
      <c r="B858" s="64"/>
      <c r="C858" s="65" t="s">
        <v>22</v>
      </c>
      <c r="D858" s="66" t="n">
        <v>2780</v>
      </c>
      <c r="E858" s="67"/>
      <c r="F858" s="71" t="n">
        <v>110</v>
      </c>
      <c r="G858" s="68"/>
      <c r="H858" s="69" t="n">
        <v>2890</v>
      </c>
    </row>
    <row r="859" customFormat="false" ht="15" hidden="false" customHeight="true" outlineLevel="0" collapsed="false">
      <c r="B859" s="64"/>
      <c r="C859" s="65" t="s">
        <v>37</v>
      </c>
      <c r="D859" s="73"/>
      <c r="E859" s="67"/>
      <c r="F859" s="71" t="n">
        <v>15</v>
      </c>
      <c r="G859" s="68"/>
      <c r="H859" s="69" t="n">
        <v>15</v>
      </c>
    </row>
    <row r="860" customFormat="false" ht="15" hidden="false" customHeight="true" outlineLevel="0" collapsed="false">
      <c r="B860" s="64"/>
      <c r="C860" s="65" t="s">
        <v>60</v>
      </c>
      <c r="D860" s="73"/>
      <c r="E860" s="71" t="n">
        <v>210</v>
      </c>
      <c r="F860" s="67"/>
      <c r="G860" s="68"/>
      <c r="H860" s="69" t="n">
        <v>210</v>
      </c>
    </row>
    <row r="861" customFormat="false" ht="15" hidden="false" customHeight="true" outlineLevel="0" collapsed="false">
      <c r="B861" s="64"/>
      <c r="C861" s="65" t="s">
        <v>31</v>
      </c>
      <c r="D861" s="73"/>
      <c r="E861" s="71" t="n">
        <v>500</v>
      </c>
      <c r="F861" s="67"/>
      <c r="G861" s="68"/>
      <c r="H861" s="69" t="n">
        <v>500</v>
      </c>
    </row>
    <row r="862" customFormat="false" ht="15" hidden="false" customHeight="true" outlineLevel="0" collapsed="false">
      <c r="B862" s="64"/>
      <c r="C862" s="65" t="s">
        <v>34</v>
      </c>
      <c r="D862" s="73"/>
      <c r="E862" s="71" t="n">
        <v>130</v>
      </c>
      <c r="F862" s="67"/>
      <c r="G862" s="68"/>
      <c r="H862" s="69" t="n">
        <v>130</v>
      </c>
    </row>
    <row r="863" customFormat="false" ht="15" hidden="false" customHeight="true" outlineLevel="0" collapsed="false">
      <c r="B863" s="84"/>
      <c r="C863" s="85" t="s">
        <v>29</v>
      </c>
      <c r="D863" s="86" t="n">
        <v>344</v>
      </c>
      <c r="E863" s="75"/>
      <c r="F863" s="76" t="n">
        <v>20</v>
      </c>
      <c r="G863" s="77"/>
      <c r="H863" s="78" t="n">
        <v>364</v>
      </c>
    </row>
    <row r="864" customFormat="false" ht="15" hidden="false" customHeight="true" outlineLevel="0" collapsed="false">
      <c r="B864" s="87" t="s">
        <v>823</v>
      </c>
      <c r="C864" s="88"/>
      <c r="D864" s="89" t="n">
        <v>8600</v>
      </c>
      <c r="E864" s="89" t="n">
        <v>900</v>
      </c>
      <c r="F864" s="89" t="n">
        <v>1400</v>
      </c>
      <c r="G864" s="90"/>
      <c r="H864" s="91" t="n">
        <v>10900</v>
      </c>
    </row>
    <row r="865" customFormat="false" ht="15" hidden="false" customHeight="true" outlineLevel="0" collapsed="false">
      <c r="B865" s="56" t="n">
        <v>45762</v>
      </c>
      <c r="C865" s="57" t="s">
        <v>44</v>
      </c>
      <c r="D865" s="58"/>
      <c r="E865" s="59"/>
      <c r="F865" s="60" t="n">
        <v>500</v>
      </c>
      <c r="G865" s="61"/>
      <c r="H865" s="62" t="n">
        <v>500</v>
      </c>
    </row>
    <row r="866" customFormat="false" ht="15" hidden="false" customHeight="true" outlineLevel="0" collapsed="false">
      <c r="B866" s="64"/>
      <c r="C866" s="65" t="s">
        <v>19</v>
      </c>
      <c r="D866" s="66" t="n">
        <v>2044</v>
      </c>
      <c r="E866" s="67"/>
      <c r="F866" s="67"/>
      <c r="G866" s="68"/>
      <c r="H866" s="69" t="n">
        <v>2044</v>
      </c>
    </row>
    <row r="867" customFormat="false" ht="15" hidden="false" customHeight="true" outlineLevel="0" collapsed="false">
      <c r="B867" s="64"/>
      <c r="C867" s="65" t="s">
        <v>25</v>
      </c>
      <c r="D867" s="66" t="n">
        <v>353</v>
      </c>
      <c r="E867" s="67"/>
      <c r="F867" s="67"/>
      <c r="G867" s="68"/>
      <c r="H867" s="69" t="n">
        <v>353</v>
      </c>
    </row>
    <row r="868" customFormat="false" ht="15" hidden="false" customHeight="true" outlineLevel="0" collapsed="false">
      <c r="B868" s="64"/>
      <c r="C868" s="65" t="s">
        <v>50</v>
      </c>
      <c r="D868" s="66" t="n">
        <v>1780</v>
      </c>
      <c r="E868" s="67"/>
      <c r="F868" s="67"/>
      <c r="G868" s="68"/>
      <c r="H868" s="69" t="n">
        <v>1780</v>
      </c>
    </row>
    <row r="869" customFormat="false" ht="15" hidden="false" customHeight="true" outlineLevel="0" collapsed="false">
      <c r="B869" s="64"/>
      <c r="C869" s="65" t="s">
        <v>22</v>
      </c>
      <c r="D869" s="66" t="n">
        <v>9553</v>
      </c>
      <c r="E869" s="67"/>
      <c r="F869" s="67"/>
      <c r="G869" s="68"/>
      <c r="H869" s="69" t="n">
        <v>9553</v>
      </c>
    </row>
    <row r="870" customFormat="false" ht="15" hidden="false" customHeight="true" outlineLevel="0" collapsed="false">
      <c r="B870" s="64"/>
      <c r="C870" s="65" t="s">
        <v>43</v>
      </c>
      <c r="D870" s="73"/>
      <c r="E870" s="67"/>
      <c r="F870" s="71" t="n">
        <v>20</v>
      </c>
      <c r="G870" s="68"/>
      <c r="H870" s="69" t="n">
        <v>20</v>
      </c>
    </row>
    <row r="871" customFormat="false" ht="15" hidden="false" customHeight="true" outlineLevel="0" collapsed="false">
      <c r="B871" s="64"/>
      <c r="C871" s="65" t="s">
        <v>34</v>
      </c>
      <c r="D871" s="73"/>
      <c r="E871" s="67"/>
      <c r="F871" s="71" t="n">
        <v>125</v>
      </c>
      <c r="G871" s="68"/>
      <c r="H871" s="69" t="n">
        <v>125</v>
      </c>
    </row>
    <row r="872" customFormat="false" ht="15" hidden="false" customHeight="true" outlineLevel="0" collapsed="false">
      <c r="B872" s="84"/>
      <c r="C872" s="85" t="s">
        <v>29</v>
      </c>
      <c r="D872" s="86" t="n">
        <v>260</v>
      </c>
      <c r="E872" s="75"/>
      <c r="F872" s="76" t="n">
        <v>30</v>
      </c>
      <c r="G872" s="77"/>
      <c r="H872" s="78" t="n">
        <v>290</v>
      </c>
    </row>
    <row r="873" customFormat="false" ht="15" hidden="false" customHeight="true" outlineLevel="0" collapsed="false">
      <c r="B873" s="87" t="s">
        <v>824</v>
      </c>
      <c r="C873" s="88"/>
      <c r="D873" s="89" t="n">
        <v>13990</v>
      </c>
      <c r="E873" s="90"/>
      <c r="F873" s="89" t="n">
        <v>675</v>
      </c>
      <c r="G873" s="90"/>
      <c r="H873" s="91" t="n">
        <v>14665</v>
      </c>
    </row>
    <row r="874" customFormat="false" ht="15" hidden="false" customHeight="true" outlineLevel="0" collapsed="false">
      <c r="B874" s="56" t="n">
        <v>45763</v>
      </c>
      <c r="C874" s="57" t="s">
        <v>44</v>
      </c>
      <c r="D874" s="92" t="n">
        <v>1000</v>
      </c>
      <c r="E874" s="59"/>
      <c r="F874" s="59"/>
      <c r="G874" s="61"/>
      <c r="H874" s="62" t="n">
        <v>1000</v>
      </c>
    </row>
    <row r="875" customFormat="false" ht="15" hidden="false" customHeight="true" outlineLevel="0" collapsed="false">
      <c r="B875" s="64"/>
      <c r="C875" s="65" t="s">
        <v>32</v>
      </c>
      <c r="D875" s="73"/>
      <c r="E875" s="67"/>
      <c r="F875" s="71" t="n">
        <v>280</v>
      </c>
      <c r="G875" s="68"/>
      <c r="H875" s="69" t="n">
        <v>280</v>
      </c>
    </row>
    <row r="876" customFormat="false" ht="15" hidden="false" customHeight="true" outlineLevel="0" collapsed="false">
      <c r="B876" s="64"/>
      <c r="C876" s="65" t="s">
        <v>53</v>
      </c>
      <c r="D876" s="73"/>
      <c r="E876" s="67"/>
      <c r="F876" s="71" t="n">
        <v>1200</v>
      </c>
      <c r="G876" s="68"/>
      <c r="H876" s="69" t="n">
        <v>1200</v>
      </c>
    </row>
    <row r="877" customFormat="false" ht="15" hidden="false" customHeight="true" outlineLevel="0" collapsed="false">
      <c r="B877" s="64"/>
      <c r="C877" s="65" t="s">
        <v>47</v>
      </c>
      <c r="D877" s="66" t="n">
        <v>840</v>
      </c>
      <c r="E877" s="67"/>
      <c r="F877" s="67"/>
      <c r="G877" s="68"/>
      <c r="H877" s="69" t="n">
        <v>840</v>
      </c>
    </row>
    <row r="878" customFormat="false" ht="15" hidden="false" customHeight="true" outlineLevel="0" collapsed="false">
      <c r="B878" s="64"/>
      <c r="C878" s="65" t="s">
        <v>19</v>
      </c>
      <c r="D878" s="66" t="n">
        <v>4801</v>
      </c>
      <c r="E878" s="67"/>
      <c r="F878" s="67"/>
      <c r="G878" s="68"/>
      <c r="H878" s="69" t="n">
        <v>4801</v>
      </c>
    </row>
    <row r="879" customFormat="false" ht="15" hidden="false" customHeight="true" outlineLevel="0" collapsed="false">
      <c r="B879" s="64"/>
      <c r="C879" s="65" t="s">
        <v>81</v>
      </c>
      <c r="D879" s="73"/>
      <c r="E879" s="67"/>
      <c r="F879" s="71" t="n">
        <v>40</v>
      </c>
      <c r="G879" s="68"/>
      <c r="H879" s="69" t="n">
        <v>40</v>
      </c>
    </row>
    <row r="880" customFormat="false" ht="15" hidden="false" customHeight="true" outlineLevel="0" collapsed="false">
      <c r="B880" s="64"/>
      <c r="C880" s="65" t="s">
        <v>25</v>
      </c>
      <c r="D880" s="66" t="n">
        <v>870</v>
      </c>
      <c r="E880" s="67"/>
      <c r="F880" s="67"/>
      <c r="G880" s="68"/>
      <c r="H880" s="69" t="n">
        <v>870</v>
      </c>
    </row>
    <row r="881" customFormat="false" ht="15" hidden="false" customHeight="true" outlineLevel="0" collapsed="false">
      <c r="B881" s="64"/>
      <c r="C881" s="65" t="s">
        <v>22</v>
      </c>
      <c r="D881" s="66" t="n">
        <v>2414</v>
      </c>
      <c r="E881" s="67"/>
      <c r="F881" s="67"/>
      <c r="G881" s="68"/>
      <c r="H881" s="69" t="n">
        <v>2414</v>
      </c>
    </row>
    <row r="882" customFormat="false" ht="15" hidden="false" customHeight="true" outlineLevel="0" collapsed="false">
      <c r="B882" s="64"/>
      <c r="C882" s="65" t="s">
        <v>43</v>
      </c>
      <c r="D882" s="73"/>
      <c r="E882" s="67"/>
      <c r="F882" s="71" t="n">
        <v>40</v>
      </c>
      <c r="G882" s="68"/>
      <c r="H882" s="69" t="n">
        <v>40</v>
      </c>
    </row>
    <row r="883" customFormat="false" ht="15" hidden="false" customHeight="true" outlineLevel="0" collapsed="false">
      <c r="B883" s="64"/>
      <c r="C883" s="65" t="s">
        <v>56</v>
      </c>
      <c r="D883" s="73"/>
      <c r="E883" s="71" t="n">
        <v>540</v>
      </c>
      <c r="F883" s="67"/>
      <c r="G883" s="68"/>
      <c r="H883" s="69" t="n">
        <v>540</v>
      </c>
    </row>
    <row r="884" customFormat="false" ht="15" hidden="false" customHeight="true" outlineLevel="0" collapsed="false">
      <c r="B884" s="64"/>
      <c r="C884" s="65" t="s">
        <v>34</v>
      </c>
      <c r="D884" s="73"/>
      <c r="E884" s="71" t="n">
        <v>160</v>
      </c>
      <c r="F884" s="67"/>
      <c r="G884" s="68"/>
      <c r="H884" s="69" t="n">
        <v>160</v>
      </c>
    </row>
    <row r="885" customFormat="false" ht="15" hidden="false" customHeight="true" outlineLevel="0" collapsed="false">
      <c r="B885" s="64"/>
      <c r="C885" s="65" t="s">
        <v>29</v>
      </c>
      <c r="D885" s="66" t="n">
        <v>574</v>
      </c>
      <c r="E885" s="67"/>
      <c r="F885" s="67"/>
      <c r="G885" s="68"/>
      <c r="H885" s="69" t="n">
        <v>574</v>
      </c>
    </row>
    <row r="886" customFormat="false" ht="15" hidden="false" customHeight="true" outlineLevel="0" collapsed="false">
      <c r="B886" s="84"/>
      <c r="C886" s="85" t="s">
        <v>201</v>
      </c>
      <c r="D886" s="86" t="n">
        <v>2610</v>
      </c>
      <c r="E886" s="75"/>
      <c r="F886" s="75"/>
      <c r="G886" s="77"/>
      <c r="H886" s="78" t="n">
        <v>2610</v>
      </c>
    </row>
    <row r="887" customFormat="false" ht="15" hidden="false" customHeight="true" outlineLevel="0" collapsed="false">
      <c r="B887" s="87" t="s">
        <v>825</v>
      </c>
      <c r="C887" s="88"/>
      <c r="D887" s="89" t="n">
        <v>13109</v>
      </c>
      <c r="E887" s="89" t="n">
        <v>700</v>
      </c>
      <c r="F887" s="89" t="n">
        <v>1560</v>
      </c>
      <c r="G887" s="90"/>
      <c r="H887" s="91" t="n">
        <v>15369</v>
      </c>
    </row>
    <row r="888" customFormat="false" ht="15" hidden="false" customHeight="true" outlineLevel="0" collapsed="false">
      <c r="B888" s="56" t="n">
        <v>45764</v>
      </c>
      <c r="C888" s="57" t="s">
        <v>44</v>
      </c>
      <c r="D888" s="92" t="n">
        <v>4000</v>
      </c>
      <c r="E888" s="59"/>
      <c r="F888" s="59"/>
      <c r="G888" s="61"/>
      <c r="H888" s="62" t="n">
        <v>4000</v>
      </c>
    </row>
    <row r="889" customFormat="false" ht="15" hidden="false" customHeight="true" outlineLevel="0" collapsed="false">
      <c r="B889" s="64"/>
      <c r="C889" s="65" t="s">
        <v>32</v>
      </c>
      <c r="D889" s="73"/>
      <c r="E889" s="67"/>
      <c r="F889" s="71" t="n">
        <v>280</v>
      </c>
      <c r="G889" s="68"/>
      <c r="H889" s="69" t="n">
        <v>280</v>
      </c>
    </row>
    <row r="890" customFormat="false" ht="15" hidden="false" customHeight="true" outlineLevel="0" collapsed="false">
      <c r="B890" s="64"/>
      <c r="C890" s="65" t="s">
        <v>19</v>
      </c>
      <c r="D890" s="66" t="n">
        <v>3338</v>
      </c>
      <c r="E890" s="67"/>
      <c r="F890" s="67"/>
      <c r="G890" s="68"/>
      <c r="H890" s="69" t="n">
        <v>3338</v>
      </c>
    </row>
    <row r="891" customFormat="false" ht="15" hidden="false" customHeight="true" outlineLevel="0" collapsed="false">
      <c r="B891" s="64"/>
      <c r="C891" s="65" t="s">
        <v>25</v>
      </c>
      <c r="D891" s="66" t="n">
        <v>1233</v>
      </c>
      <c r="E891" s="67"/>
      <c r="F891" s="67"/>
      <c r="G891" s="68"/>
      <c r="H891" s="69" t="n">
        <v>1233</v>
      </c>
    </row>
    <row r="892" customFormat="false" ht="15" hidden="false" customHeight="true" outlineLevel="0" collapsed="false">
      <c r="B892" s="64"/>
      <c r="C892" s="65" t="s">
        <v>51</v>
      </c>
      <c r="D892" s="66" t="n">
        <v>2275</v>
      </c>
      <c r="E892" s="67"/>
      <c r="F892" s="67"/>
      <c r="G892" s="68"/>
      <c r="H892" s="69" t="n">
        <v>2275</v>
      </c>
    </row>
    <row r="893" customFormat="false" ht="15" hidden="false" customHeight="true" outlineLevel="0" collapsed="false">
      <c r="B893" s="64"/>
      <c r="C893" s="65" t="s">
        <v>50</v>
      </c>
      <c r="D893" s="66" t="n">
        <v>1780</v>
      </c>
      <c r="E893" s="67"/>
      <c r="F893" s="67"/>
      <c r="G893" s="68"/>
      <c r="H893" s="69" t="n">
        <v>1780</v>
      </c>
    </row>
    <row r="894" customFormat="false" ht="15" hidden="false" customHeight="true" outlineLevel="0" collapsed="false">
      <c r="B894" s="64"/>
      <c r="C894" s="65" t="s">
        <v>22</v>
      </c>
      <c r="D894" s="66" t="n">
        <v>505</v>
      </c>
      <c r="E894" s="67"/>
      <c r="F894" s="67"/>
      <c r="G894" s="68"/>
      <c r="H894" s="69" t="n">
        <v>505</v>
      </c>
    </row>
    <row r="895" customFormat="false" ht="15" hidden="false" customHeight="true" outlineLevel="0" collapsed="false">
      <c r="B895" s="64"/>
      <c r="C895" s="65" t="s">
        <v>37</v>
      </c>
      <c r="D895" s="73"/>
      <c r="E895" s="67"/>
      <c r="F895" s="71" t="n">
        <v>10</v>
      </c>
      <c r="G895" s="68"/>
      <c r="H895" s="69" t="n">
        <v>10</v>
      </c>
    </row>
    <row r="896" customFormat="false" ht="15" hidden="false" customHeight="true" outlineLevel="0" collapsed="false">
      <c r="B896" s="64"/>
      <c r="C896" s="65" t="s">
        <v>43</v>
      </c>
      <c r="D896" s="73"/>
      <c r="E896" s="71" t="n">
        <v>60</v>
      </c>
      <c r="F896" s="67"/>
      <c r="G896" s="68"/>
      <c r="H896" s="69" t="n">
        <v>60</v>
      </c>
    </row>
    <row r="897" customFormat="false" ht="15" hidden="false" customHeight="true" outlineLevel="0" collapsed="false">
      <c r="B897" s="64"/>
      <c r="C897" s="65" t="s">
        <v>34</v>
      </c>
      <c r="D897" s="73"/>
      <c r="E897" s="71" t="n">
        <v>120</v>
      </c>
      <c r="F897" s="67"/>
      <c r="G897" s="68"/>
      <c r="H897" s="69" t="n">
        <v>120</v>
      </c>
    </row>
    <row r="898" customFormat="false" ht="15" hidden="false" customHeight="true" outlineLevel="0" collapsed="false">
      <c r="B898" s="84"/>
      <c r="C898" s="85" t="s">
        <v>29</v>
      </c>
      <c r="D898" s="86" t="n">
        <v>468</v>
      </c>
      <c r="E898" s="76" t="n">
        <v>970</v>
      </c>
      <c r="F898" s="75"/>
      <c r="G898" s="77"/>
      <c r="H898" s="78" t="n">
        <v>1438</v>
      </c>
    </row>
    <row r="899" customFormat="false" ht="15" hidden="false" customHeight="true" outlineLevel="0" collapsed="false">
      <c r="B899" s="87" t="s">
        <v>826</v>
      </c>
      <c r="C899" s="88"/>
      <c r="D899" s="89" t="n">
        <v>13599</v>
      </c>
      <c r="E899" s="89" t="n">
        <v>1150</v>
      </c>
      <c r="F899" s="89" t="n">
        <v>290</v>
      </c>
      <c r="G899" s="90"/>
      <c r="H899" s="91" t="n">
        <v>15039</v>
      </c>
    </row>
    <row r="900" customFormat="false" ht="15" hidden="false" customHeight="true" outlineLevel="0" collapsed="false">
      <c r="B900" s="56" t="n">
        <v>45765</v>
      </c>
      <c r="C900" s="57" t="s">
        <v>32</v>
      </c>
      <c r="D900" s="58"/>
      <c r="E900" s="59"/>
      <c r="F900" s="60" t="n">
        <v>140</v>
      </c>
      <c r="G900" s="61"/>
      <c r="H900" s="62" t="n">
        <v>140</v>
      </c>
    </row>
    <row r="901" customFormat="false" ht="15" hidden="false" customHeight="true" outlineLevel="0" collapsed="false">
      <c r="B901" s="64"/>
      <c r="C901" s="65" t="s">
        <v>47</v>
      </c>
      <c r="D901" s="66" t="n">
        <v>1680</v>
      </c>
      <c r="E901" s="67"/>
      <c r="F901" s="67"/>
      <c r="G901" s="68"/>
      <c r="H901" s="69" t="n">
        <v>1680</v>
      </c>
    </row>
    <row r="902" customFormat="false" ht="15" hidden="false" customHeight="true" outlineLevel="0" collapsed="false">
      <c r="B902" s="64"/>
      <c r="C902" s="65" t="s">
        <v>19</v>
      </c>
      <c r="D902" s="66" t="n">
        <v>2080</v>
      </c>
      <c r="E902" s="67"/>
      <c r="F902" s="67"/>
      <c r="G902" s="68"/>
      <c r="H902" s="69" t="n">
        <v>2080</v>
      </c>
    </row>
    <row r="903" customFormat="false" ht="15" hidden="false" customHeight="true" outlineLevel="0" collapsed="false">
      <c r="B903" s="64"/>
      <c r="C903" s="65" t="s">
        <v>25</v>
      </c>
      <c r="D903" s="66" t="n">
        <v>438</v>
      </c>
      <c r="E903" s="67"/>
      <c r="F903" s="67"/>
      <c r="G903" s="68"/>
      <c r="H903" s="69" t="n">
        <v>438</v>
      </c>
    </row>
    <row r="904" customFormat="false" ht="15" hidden="false" customHeight="true" outlineLevel="0" collapsed="false">
      <c r="B904" s="64"/>
      <c r="C904" s="65" t="s">
        <v>50</v>
      </c>
      <c r="D904" s="66" t="n">
        <v>1780</v>
      </c>
      <c r="E904" s="67"/>
      <c r="F904" s="67"/>
      <c r="G904" s="68"/>
      <c r="H904" s="69" t="n">
        <v>1780</v>
      </c>
    </row>
    <row r="905" customFormat="false" ht="15" hidden="false" customHeight="true" outlineLevel="0" collapsed="false">
      <c r="B905" s="64"/>
      <c r="C905" s="65" t="s">
        <v>22</v>
      </c>
      <c r="D905" s="66" t="n">
        <v>744</v>
      </c>
      <c r="E905" s="67"/>
      <c r="F905" s="71" t="n">
        <v>110</v>
      </c>
      <c r="G905" s="68"/>
      <c r="H905" s="69" t="n">
        <v>854</v>
      </c>
    </row>
    <row r="906" customFormat="false" ht="15" hidden="false" customHeight="true" outlineLevel="0" collapsed="false">
      <c r="B906" s="64"/>
      <c r="C906" s="65" t="s">
        <v>37</v>
      </c>
      <c r="D906" s="73"/>
      <c r="E906" s="67"/>
      <c r="F906" s="71" t="n">
        <v>25</v>
      </c>
      <c r="G906" s="68"/>
      <c r="H906" s="69" t="n">
        <v>25</v>
      </c>
    </row>
    <row r="907" customFormat="false" ht="15" hidden="false" customHeight="true" outlineLevel="0" collapsed="false">
      <c r="B907" s="64"/>
      <c r="C907" s="65" t="s">
        <v>43</v>
      </c>
      <c r="D907" s="73"/>
      <c r="E907" s="71" t="n">
        <v>950</v>
      </c>
      <c r="F907" s="67"/>
      <c r="G907" s="68"/>
      <c r="H907" s="69" t="n">
        <v>950</v>
      </c>
    </row>
    <row r="908" customFormat="false" ht="15" hidden="false" customHeight="true" outlineLevel="0" collapsed="false">
      <c r="B908" s="64"/>
      <c r="C908" s="65" t="s">
        <v>34</v>
      </c>
      <c r="D908" s="73"/>
      <c r="E908" s="71" t="n">
        <v>150</v>
      </c>
      <c r="F908" s="67"/>
      <c r="G908" s="68"/>
      <c r="H908" s="69" t="n">
        <v>150</v>
      </c>
    </row>
    <row r="909" customFormat="false" ht="15" hidden="false" customHeight="true" outlineLevel="0" collapsed="false">
      <c r="B909" s="84"/>
      <c r="C909" s="85" t="s">
        <v>29</v>
      </c>
      <c r="D909" s="86" t="n">
        <v>242</v>
      </c>
      <c r="E909" s="75"/>
      <c r="F909" s="75"/>
      <c r="G909" s="77"/>
      <c r="H909" s="78" t="n">
        <v>242</v>
      </c>
    </row>
    <row r="910" customFormat="false" ht="15" hidden="false" customHeight="true" outlineLevel="0" collapsed="false">
      <c r="B910" s="87" t="s">
        <v>827</v>
      </c>
      <c r="C910" s="88"/>
      <c r="D910" s="89" t="n">
        <v>6964</v>
      </c>
      <c r="E910" s="89" t="n">
        <v>1100</v>
      </c>
      <c r="F910" s="89" t="n">
        <v>275</v>
      </c>
      <c r="G910" s="90"/>
      <c r="H910" s="91" t="n">
        <v>8339</v>
      </c>
    </row>
    <row r="911" customFormat="false" ht="15" hidden="false" customHeight="true" outlineLevel="0" collapsed="false">
      <c r="B911" s="56" t="n">
        <v>45766</v>
      </c>
      <c r="C911" s="57" t="s">
        <v>32</v>
      </c>
      <c r="D911" s="58"/>
      <c r="E911" s="59"/>
      <c r="F911" s="60" t="n">
        <v>175</v>
      </c>
      <c r="G911" s="61"/>
      <c r="H911" s="62" t="n">
        <v>175</v>
      </c>
    </row>
    <row r="912" customFormat="false" ht="15" hidden="false" customHeight="true" outlineLevel="0" collapsed="false">
      <c r="B912" s="64"/>
      <c r="C912" s="65" t="s">
        <v>19</v>
      </c>
      <c r="D912" s="66" t="n">
        <v>1813</v>
      </c>
      <c r="E912" s="67"/>
      <c r="F912" s="67"/>
      <c r="G912" s="68"/>
      <c r="H912" s="69" t="n">
        <v>1813</v>
      </c>
    </row>
    <row r="913" customFormat="false" ht="15" hidden="false" customHeight="true" outlineLevel="0" collapsed="false">
      <c r="B913" s="64"/>
      <c r="C913" s="65" t="s">
        <v>25</v>
      </c>
      <c r="D913" s="66" t="n">
        <v>496</v>
      </c>
      <c r="E913" s="67"/>
      <c r="F913" s="67"/>
      <c r="G913" s="68"/>
      <c r="H913" s="69" t="n">
        <v>496</v>
      </c>
    </row>
    <row r="914" customFormat="false" ht="15" hidden="false" customHeight="true" outlineLevel="0" collapsed="false">
      <c r="B914" s="64"/>
      <c r="C914" s="65" t="s">
        <v>28</v>
      </c>
      <c r="D914" s="73"/>
      <c r="E914" s="67"/>
      <c r="F914" s="71" t="n">
        <v>680</v>
      </c>
      <c r="G914" s="68"/>
      <c r="H914" s="69" t="n">
        <v>680</v>
      </c>
    </row>
    <row r="915" customFormat="false" ht="15" hidden="false" customHeight="true" outlineLevel="0" collapsed="false">
      <c r="B915" s="64"/>
      <c r="C915" s="65" t="s">
        <v>69</v>
      </c>
      <c r="D915" s="73"/>
      <c r="E915" s="71" t="n">
        <v>700</v>
      </c>
      <c r="F915" s="67"/>
      <c r="G915" s="68"/>
      <c r="H915" s="69" t="n">
        <v>700</v>
      </c>
    </row>
    <row r="916" customFormat="false" ht="15" hidden="false" customHeight="true" outlineLevel="0" collapsed="false">
      <c r="B916" s="64"/>
      <c r="C916" s="65" t="s">
        <v>50</v>
      </c>
      <c r="D916" s="66" t="n">
        <v>1780</v>
      </c>
      <c r="E916" s="67"/>
      <c r="F916" s="67"/>
      <c r="G916" s="68"/>
      <c r="H916" s="69" t="n">
        <v>1780</v>
      </c>
    </row>
    <row r="917" customFormat="false" ht="15" hidden="false" customHeight="true" outlineLevel="0" collapsed="false">
      <c r="B917" s="64"/>
      <c r="C917" s="65" t="s">
        <v>37</v>
      </c>
      <c r="D917" s="73"/>
      <c r="E917" s="67"/>
      <c r="F917" s="71" t="n">
        <v>15</v>
      </c>
      <c r="G917" s="68"/>
      <c r="H917" s="69" t="n">
        <v>15</v>
      </c>
    </row>
    <row r="918" customFormat="false" ht="15" hidden="false" customHeight="true" outlineLevel="0" collapsed="false">
      <c r="B918" s="64"/>
      <c r="C918" s="65" t="s">
        <v>43</v>
      </c>
      <c r="D918" s="73"/>
      <c r="E918" s="71" t="n">
        <v>1995</v>
      </c>
      <c r="F918" s="67"/>
      <c r="G918" s="68"/>
      <c r="H918" s="69" t="n">
        <v>1995</v>
      </c>
    </row>
    <row r="919" customFormat="false" ht="15" hidden="false" customHeight="true" outlineLevel="0" collapsed="false">
      <c r="B919" s="64"/>
      <c r="C919" s="65" t="s">
        <v>34</v>
      </c>
      <c r="D919" s="73"/>
      <c r="E919" s="71" t="n">
        <v>155</v>
      </c>
      <c r="F919" s="67"/>
      <c r="G919" s="68"/>
      <c r="H919" s="69" t="n">
        <v>155</v>
      </c>
    </row>
    <row r="920" customFormat="false" ht="15" hidden="false" customHeight="true" outlineLevel="0" collapsed="false">
      <c r="B920" s="84"/>
      <c r="C920" s="85" t="s">
        <v>29</v>
      </c>
      <c r="D920" s="86" t="n">
        <v>307</v>
      </c>
      <c r="E920" s="75"/>
      <c r="F920" s="75"/>
      <c r="G920" s="77"/>
      <c r="H920" s="78" t="n">
        <v>307</v>
      </c>
    </row>
    <row r="921" customFormat="false" ht="15" hidden="false" customHeight="true" outlineLevel="0" collapsed="false">
      <c r="B921" s="87" t="s">
        <v>828</v>
      </c>
      <c r="C921" s="88"/>
      <c r="D921" s="89" t="n">
        <v>4396</v>
      </c>
      <c r="E921" s="89" t="n">
        <v>2850</v>
      </c>
      <c r="F921" s="89" t="n">
        <v>870</v>
      </c>
      <c r="G921" s="90"/>
      <c r="H921" s="91" t="n">
        <v>8116</v>
      </c>
    </row>
    <row r="922" customFormat="false" ht="15" hidden="false" customHeight="true" outlineLevel="0" collapsed="false">
      <c r="B922" s="56" t="n">
        <v>45767</v>
      </c>
      <c r="C922" s="57" t="s">
        <v>32</v>
      </c>
      <c r="D922" s="58"/>
      <c r="E922" s="59"/>
      <c r="F922" s="60" t="n">
        <v>175</v>
      </c>
      <c r="G922" s="61"/>
      <c r="H922" s="62" t="n">
        <v>175</v>
      </c>
    </row>
    <row r="923" customFormat="false" ht="15" hidden="false" customHeight="true" outlineLevel="0" collapsed="false">
      <c r="B923" s="64"/>
      <c r="C923" s="65" t="s">
        <v>19</v>
      </c>
      <c r="D923" s="66" t="n">
        <v>3301</v>
      </c>
      <c r="E923" s="67"/>
      <c r="F923" s="67"/>
      <c r="G923" s="68"/>
      <c r="H923" s="69" t="n">
        <v>3301</v>
      </c>
    </row>
    <row r="924" customFormat="false" ht="15" hidden="false" customHeight="true" outlineLevel="0" collapsed="false">
      <c r="B924" s="64"/>
      <c r="C924" s="65" t="s">
        <v>25</v>
      </c>
      <c r="D924" s="66" t="n">
        <v>899</v>
      </c>
      <c r="E924" s="71" t="n">
        <v>760</v>
      </c>
      <c r="F924" s="67"/>
      <c r="G924" s="68"/>
      <c r="H924" s="69" t="n">
        <v>1659</v>
      </c>
    </row>
    <row r="925" customFormat="false" ht="15" hidden="false" customHeight="true" outlineLevel="0" collapsed="false">
      <c r="B925" s="64"/>
      <c r="C925" s="65" t="s">
        <v>50</v>
      </c>
      <c r="D925" s="66" t="n">
        <v>1780</v>
      </c>
      <c r="E925" s="67"/>
      <c r="F925" s="67"/>
      <c r="G925" s="68"/>
      <c r="H925" s="69" t="n">
        <v>1780</v>
      </c>
    </row>
    <row r="926" customFormat="false" ht="15" hidden="false" customHeight="true" outlineLevel="0" collapsed="false">
      <c r="B926" s="64"/>
      <c r="C926" s="65" t="s">
        <v>22</v>
      </c>
      <c r="D926" s="66" t="n">
        <v>3092</v>
      </c>
      <c r="E926" s="67"/>
      <c r="F926" s="67"/>
      <c r="G926" s="68"/>
      <c r="H926" s="69" t="n">
        <v>3092</v>
      </c>
    </row>
    <row r="927" customFormat="false" ht="15" hidden="false" customHeight="true" outlineLevel="0" collapsed="false">
      <c r="B927" s="64"/>
      <c r="C927" s="65" t="s">
        <v>37</v>
      </c>
      <c r="D927" s="73"/>
      <c r="E927" s="67"/>
      <c r="F927" s="71" t="n">
        <v>20</v>
      </c>
      <c r="G927" s="68"/>
      <c r="H927" s="69" t="n">
        <v>20</v>
      </c>
    </row>
    <row r="928" customFormat="false" ht="15" hidden="false" customHeight="true" outlineLevel="0" collapsed="false">
      <c r="B928" s="64"/>
      <c r="C928" s="65" t="s">
        <v>40</v>
      </c>
      <c r="D928" s="73"/>
      <c r="E928" s="71" t="n">
        <v>1480</v>
      </c>
      <c r="F928" s="67"/>
      <c r="G928" s="68"/>
      <c r="H928" s="69" t="n">
        <v>1480</v>
      </c>
    </row>
    <row r="929" customFormat="false" ht="15" hidden="false" customHeight="true" outlineLevel="0" collapsed="false">
      <c r="B929" s="64"/>
      <c r="C929" s="65" t="s">
        <v>35</v>
      </c>
      <c r="D929" s="73"/>
      <c r="E929" s="71" t="n">
        <v>100</v>
      </c>
      <c r="F929" s="67"/>
      <c r="G929" s="68"/>
      <c r="H929" s="69" t="n">
        <v>100</v>
      </c>
    </row>
    <row r="930" customFormat="false" ht="15" hidden="false" customHeight="true" outlineLevel="0" collapsed="false">
      <c r="B930" s="64"/>
      <c r="C930" s="65" t="s">
        <v>34</v>
      </c>
      <c r="D930" s="73"/>
      <c r="E930" s="71" t="n">
        <v>140</v>
      </c>
      <c r="F930" s="67"/>
      <c r="G930" s="68"/>
      <c r="H930" s="69" t="n">
        <v>140</v>
      </c>
    </row>
    <row r="931" customFormat="false" ht="15" hidden="false" customHeight="true" outlineLevel="0" collapsed="false">
      <c r="B931" s="84"/>
      <c r="C931" s="85" t="s">
        <v>29</v>
      </c>
      <c r="D931" s="86" t="n">
        <v>434</v>
      </c>
      <c r="E931" s="76" t="n">
        <v>870</v>
      </c>
      <c r="F931" s="75"/>
      <c r="G931" s="77"/>
      <c r="H931" s="78" t="n">
        <v>1304</v>
      </c>
    </row>
    <row r="932" customFormat="false" ht="15" hidden="false" customHeight="true" outlineLevel="0" collapsed="false">
      <c r="B932" s="87" t="s">
        <v>829</v>
      </c>
      <c r="C932" s="88"/>
      <c r="D932" s="89" t="n">
        <v>9506</v>
      </c>
      <c r="E932" s="89" t="n">
        <v>3350</v>
      </c>
      <c r="F932" s="89" t="n">
        <v>195</v>
      </c>
      <c r="G932" s="90"/>
      <c r="H932" s="91" t="n">
        <v>13051</v>
      </c>
    </row>
    <row r="933" customFormat="false" ht="15" hidden="false" customHeight="true" outlineLevel="0" collapsed="false">
      <c r="B933" s="56" t="n">
        <v>45768</v>
      </c>
      <c r="C933" s="57" t="s">
        <v>44</v>
      </c>
      <c r="D933" s="58"/>
      <c r="E933" s="60" t="n">
        <v>9728</v>
      </c>
      <c r="F933" s="59"/>
      <c r="G933" s="61"/>
      <c r="H933" s="62" t="n">
        <v>9728</v>
      </c>
    </row>
    <row r="934" customFormat="false" ht="15" hidden="false" customHeight="true" outlineLevel="0" collapsed="false">
      <c r="B934" s="64"/>
      <c r="C934" s="65" t="s">
        <v>32</v>
      </c>
      <c r="D934" s="73"/>
      <c r="E934" s="67"/>
      <c r="F934" s="71" t="n">
        <v>245</v>
      </c>
      <c r="G934" s="68"/>
      <c r="H934" s="69" t="n">
        <v>245</v>
      </c>
    </row>
    <row r="935" customFormat="false" ht="15" hidden="false" customHeight="true" outlineLevel="0" collapsed="false">
      <c r="B935" s="64"/>
      <c r="C935" s="65" t="s">
        <v>53</v>
      </c>
      <c r="D935" s="73"/>
      <c r="E935" s="67"/>
      <c r="F935" s="71" t="n">
        <v>1200</v>
      </c>
      <c r="G935" s="68"/>
      <c r="H935" s="69" t="n">
        <v>1200</v>
      </c>
    </row>
    <row r="936" customFormat="false" ht="15" hidden="false" customHeight="true" outlineLevel="0" collapsed="false">
      <c r="B936" s="64"/>
      <c r="C936" s="65" t="s">
        <v>19</v>
      </c>
      <c r="D936" s="66" t="n">
        <v>5365</v>
      </c>
      <c r="E936" s="67"/>
      <c r="F936" s="67"/>
      <c r="G936" s="68"/>
      <c r="H936" s="69" t="n">
        <v>5365</v>
      </c>
    </row>
    <row r="937" customFormat="false" ht="15" hidden="false" customHeight="true" outlineLevel="0" collapsed="false">
      <c r="B937" s="64"/>
      <c r="C937" s="65" t="s">
        <v>25</v>
      </c>
      <c r="D937" s="66" t="n">
        <v>1369</v>
      </c>
      <c r="E937" s="67"/>
      <c r="F937" s="67"/>
      <c r="G937" s="68"/>
      <c r="H937" s="69" t="n">
        <v>1369</v>
      </c>
    </row>
    <row r="938" customFormat="false" ht="15" hidden="false" customHeight="true" outlineLevel="0" collapsed="false">
      <c r="B938" s="64"/>
      <c r="C938" s="65" t="s">
        <v>22</v>
      </c>
      <c r="D938" s="66" t="n">
        <v>5205</v>
      </c>
      <c r="E938" s="67"/>
      <c r="F938" s="67"/>
      <c r="G938" s="68"/>
      <c r="H938" s="69" t="n">
        <v>5205</v>
      </c>
    </row>
    <row r="939" customFormat="false" ht="15" hidden="false" customHeight="true" outlineLevel="0" collapsed="false">
      <c r="B939" s="64"/>
      <c r="C939" s="65" t="s">
        <v>34</v>
      </c>
      <c r="D939" s="73"/>
      <c r="E939" s="71" t="n">
        <v>147</v>
      </c>
      <c r="F939" s="67"/>
      <c r="G939" s="68"/>
      <c r="H939" s="69" t="n">
        <v>147</v>
      </c>
    </row>
    <row r="940" customFormat="false" ht="15" hidden="false" customHeight="true" outlineLevel="0" collapsed="false">
      <c r="B940" s="84"/>
      <c r="C940" s="85" t="s">
        <v>29</v>
      </c>
      <c r="D940" s="86" t="n">
        <v>444</v>
      </c>
      <c r="E940" s="75"/>
      <c r="F940" s="75"/>
      <c r="G940" s="77"/>
      <c r="H940" s="78" t="n">
        <v>444</v>
      </c>
    </row>
    <row r="941" customFormat="false" ht="15" hidden="false" customHeight="true" outlineLevel="0" collapsed="false">
      <c r="B941" s="87" t="s">
        <v>830</v>
      </c>
      <c r="C941" s="88"/>
      <c r="D941" s="89" t="n">
        <v>12383</v>
      </c>
      <c r="E941" s="89" t="n">
        <v>9875</v>
      </c>
      <c r="F941" s="89" t="n">
        <v>1445</v>
      </c>
      <c r="G941" s="90"/>
      <c r="H941" s="91" t="n">
        <v>23703</v>
      </c>
    </row>
    <row r="942" customFormat="false" ht="15" hidden="false" customHeight="true" outlineLevel="0" collapsed="false">
      <c r="B942" s="56" t="n">
        <v>45769</v>
      </c>
      <c r="C942" s="57" t="s">
        <v>32</v>
      </c>
      <c r="D942" s="58"/>
      <c r="E942" s="59"/>
      <c r="F942" s="60" t="n">
        <v>175</v>
      </c>
      <c r="G942" s="61"/>
      <c r="H942" s="62" t="n">
        <v>175</v>
      </c>
    </row>
    <row r="943" customFormat="false" ht="15" hidden="false" customHeight="true" outlineLevel="0" collapsed="false">
      <c r="B943" s="64"/>
      <c r="C943" s="65" t="s">
        <v>19</v>
      </c>
      <c r="D943" s="66" t="n">
        <v>3096</v>
      </c>
      <c r="E943" s="67"/>
      <c r="F943" s="67"/>
      <c r="G943" s="68"/>
      <c r="H943" s="69" t="n">
        <v>3096</v>
      </c>
    </row>
    <row r="944" customFormat="false" ht="15" hidden="false" customHeight="true" outlineLevel="0" collapsed="false">
      <c r="B944" s="64"/>
      <c r="C944" s="65" t="s">
        <v>25</v>
      </c>
      <c r="D944" s="66" t="n">
        <v>835</v>
      </c>
      <c r="E944" s="67"/>
      <c r="F944" s="67"/>
      <c r="G944" s="68"/>
      <c r="H944" s="69" t="n">
        <v>835</v>
      </c>
    </row>
    <row r="945" customFormat="false" ht="15" hidden="false" customHeight="true" outlineLevel="0" collapsed="false">
      <c r="B945" s="64"/>
      <c r="C945" s="65" t="s">
        <v>50</v>
      </c>
      <c r="D945" s="66" t="n">
        <v>1780</v>
      </c>
      <c r="E945" s="67"/>
      <c r="F945" s="67"/>
      <c r="G945" s="68"/>
      <c r="H945" s="69" t="n">
        <v>1780</v>
      </c>
    </row>
    <row r="946" customFormat="false" ht="15" hidden="false" customHeight="true" outlineLevel="0" collapsed="false">
      <c r="B946" s="64"/>
      <c r="C946" s="65" t="s">
        <v>22</v>
      </c>
      <c r="D946" s="66" t="n">
        <v>2200</v>
      </c>
      <c r="E946" s="67"/>
      <c r="F946" s="67"/>
      <c r="G946" s="68"/>
      <c r="H946" s="69" t="n">
        <v>2200</v>
      </c>
    </row>
    <row r="947" customFormat="false" ht="15" hidden="false" customHeight="true" outlineLevel="0" collapsed="false">
      <c r="B947" s="64"/>
      <c r="C947" s="65" t="s">
        <v>37</v>
      </c>
      <c r="D947" s="73"/>
      <c r="E947" s="67"/>
      <c r="F947" s="71" t="n">
        <v>45</v>
      </c>
      <c r="G947" s="68"/>
      <c r="H947" s="69" t="n">
        <v>45</v>
      </c>
    </row>
    <row r="948" customFormat="false" ht="15" hidden="false" customHeight="true" outlineLevel="0" collapsed="false">
      <c r="B948" s="64"/>
      <c r="C948" s="65" t="s">
        <v>34</v>
      </c>
      <c r="D948" s="73"/>
      <c r="E948" s="71" t="n">
        <v>150</v>
      </c>
      <c r="F948" s="67"/>
      <c r="G948" s="68"/>
      <c r="H948" s="69" t="n">
        <v>150</v>
      </c>
    </row>
    <row r="949" customFormat="false" ht="15" hidden="false" customHeight="true" outlineLevel="0" collapsed="false">
      <c r="B949" s="84"/>
      <c r="C949" s="85" t="s">
        <v>29</v>
      </c>
      <c r="D949" s="86" t="n">
        <v>439</v>
      </c>
      <c r="E949" s="75"/>
      <c r="F949" s="76" t="n">
        <v>30</v>
      </c>
      <c r="G949" s="77"/>
      <c r="H949" s="78" t="n">
        <v>469</v>
      </c>
    </row>
    <row r="950" customFormat="false" ht="15" hidden="false" customHeight="true" outlineLevel="0" collapsed="false">
      <c r="B950" s="87" t="s">
        <v>831</v>
      </c>
      <c r="C950" s="88"/>
      <c r="D950" s="89" t="n">
        <v>8350</v>
      </c>
      <c r="E950" s="89" t="n">
        <v>150</v>
      </c>
      <c r="F950" s="89" t="n">
        <v>250</v>
      </c>
      <c r="G950" s="90"/>
      <c r="H950" s="91" t="n">
        <v>8750</v>
      </c>
    </row>
    <row r="951" customFormat="false" ht="15" hidden="false" customHeight="true" outlineLevel="0" collapsed="false">
      <c r="B951" s="56" t="n">
        <v>45770</v>
      </c>
      <c r="C951" s="57" t="s">
        <v>44</v>
      </c>
      <c r="D951" s="92" t="n">
        <v>516</v>
      </c>
      <c r="E951" s="60" t="n">
        <v>1000</v>
      </c>
      <c r="F951" s="59"/>
      <c r="G951" s="61"/>
      <c r="H951" s="62" t="n">
        <v>1516</v>
      </c>
    </row>
    <row r="952" customFormat="false" ht="15" hidden="false" customHeight="true" outlineLevel="0" collapsed="false">
      <c r="B952" s="64"/>
      <c r="C952" s="65" t="s">
        <v>32</v>
      </c>
      <c r="D952" s="73"/>
      <c r="E952" s="67"/>
      <c r="F952" s="71" t="n">
        <v>350</v>
      </c>
      <c r="G952" s="68"/>
      <c r="H952" s="69" t="n">
        <v>350</v>
      </c>
    </row>
    <row r="953" customFormat="false" ht="15" hidden="false" customHeight="true" outlineLevel="0" collapsed="false">
      <c r="B953" s="64"/>
      <c r="C953" s="65" t="s">
        <v>53</v>
      </c>
      <c r="D953" s="73"/>
      <c r="E953" s="71" t="n">
        <v>1950</v>
      </c>
      <c r="F953" s="67"/>
      <c r="G953" s="68"/>
      <c r="H953" s="69" t="n">
        <v>1950</v>
      </c>
    </row>
    <row r="954" customFormat="false" ht="15" hidden="false" customHeight="true" outlineLevel="0" collapsed="false">
      <c r="B954" s="64"/>
      <c r="C954" s="65" t="s">
        <v>47</v>
      </c>
      <c r="D954" s="66" t="n">
        <v>840</v>
      </c>
      <c r="E954" s="67"/>
      <c r="F954" s="67"/>
      <c r="G954" s="68"/>
      <c r="H954" s="69" t="n">
        <v>840</v>
      </c>
    </row>
    <row r="955" customFormat="false" ht="15" hidden="false" customHeight="true" outlineLevel="0" collapsed="false">
      <c r="B955" s="64"/>
      <c r="C955" s="65" t="s">
        <v>19</v>
      </c>
      <c r="D955" s="66" t="n">
        <v>1140</v>
      </c>
      <c r="E955" s="67"/>
      <c r="F955" s="67"/>
      <c r="G955" s="68"/>
      <c r="H955" s="69" t="n">
        <v>1140</v>
      </c>
    </row>
    <row r="956" customFormat="false" ht="15" hidden="false" customHeight="true" outlineLevel="0" collapsed="false">
      <c r="B956" s="64"/>
      <c r="C956" s="65" t="s">
        <v>25</v>
      </c>
      <c r="D956" s="66" t="n">
        <v>621</v>
      </c>
      <c r="E956" s="67"/>
      <c r="F956" s="67"/>
      <c r="G956" s="68"/>
      <c r="H956" s="69" t="n">
        <v>621</v>
      </c>
    </row>
    <row r="957" customFormat="false" ht="15" hidden="false" customHeight="true" outlineLevel="0" collapsed="false">
      <c r="B957" s="64"/>
      <c r="C957" s="65" t="s">
        <v>22</v>
      </c>
      <c r="D957" s="66" t="n">
        <v>334</v>
      </c>
      <c r="E957" s="67"/>
      <c r="F957" s="67"/>
      <c r="G957" s="68"/>
      <c r="H957" s="69" t="n">
        <v>334</v>
      </c>
    </row>
    <row r="958" customFormat="false" ht="15" hidden="false" customHeight="true" outlineLevel="0" collapsed="false">
      <c r="B958" s="64"/>
      <c r="C958" s="65" t="s">
        <v>37</v>
      </c>
      <c r="D958" s="73"/>
      <c r="E958" s="67"/>
      <c r="F958" s="71" t="n">
        <v>10</v>
      </c>
      <c r="G958" s="68"/>
      <c r="H958" s="69" t="n">
        <v>10</v>
      </c>
    </row>
    <row r="959" customFormat="false" ht="15" hidden="false" customHeight="true" outlineLevel="0" collapsed="false">
      <c r="B959" s="64"/>
      <c r="C959" s="65" t="s">
        <v>31</v>
      </c>
      <c r="D959" s="73"/>
      <c r="E959" s="71" t="n">
        <v>415</v>
      </c>
      <c r="F959" s="67"/>
      <c r="G959" s="68"/>
      <c r="H959" s="69" t="n">
        <v>415</v>
      </c>
    </row>
    <row r="960" customFormat="false" ht="15" hidden="false" customHeight="true" outlineLevel="0" collapsed="false">
      <c r="B960" s="64"/>
      <c r="C960" s="65" t="s">
        <v>56</v>
      </c>
      <c r="D960" s="73"/>
      <c r="E960" s="71" t="n">
        <v>790</v>
      </c>
      <c r="F960" s="67"/>
      <c r="G960" s="68"/>
      <c r="H960" s="69" t="n">
        <v>790</v>
      </c>
    </row>
    <row r="961" customFormat="false" ht="15" hidden="false" customHeight="true" outlineLevel="0" collapsed="false">
      <c r="B961" s="64"/>
      <c r="C961" s="65" t="s">
        <v>34</v>
      </c>
      <c r="D961" s="73"/>
      <c r="E961" s="71" t="n">
        <v>185</v>
      </c>
      <c r="F961" s="67"/>
      <c r="G961" s="68"/>
      <c r="H961" s="69" t="n">
        <v>185</v>
      </c>
    </row>
    <row r="962" customFormat="false" ht="15" hidden="false" customHeight="true" outlineLevel="0" collapsed="false">
      <c r="B962" s="84"/>
      <c r="C962" s="85" t="s">
        <v>29</v>
      </c>
      <c r="D962" s="86" t="n">
        <v>183</v>
      </c>
      <c r="E962" s="75"/>
      <c r="F962" s="76" t="n">
        <v>30</v>
      </c>
      <c r="G962" s="77"/>
      <c r="H962" s="78" t="n">
        <v>213</v>
      </c>
    </row>
    <row r="963" customFormat="false" ht="15" hidden="false" customHeight="true" outlineLevel="0" collapsed="false">
      <c r="B963" s="87" t="s">
        <v>832</v>
      </c>
      <c r="C963" s="88"/>
      <c r="D963" s="89" t="n">
        <v>3634</v>
      </c>
      <c r="E963" s="89" t="n">
        <v>4340</v>
      </c>
      <c r="F963" s="89" t="n">
        <v>390</v>
      </c>
      <c r="G963" s="90"/>
      <c r="H963" s="91" t="n">
        <v>8364</v>
      </c>
    </row>
    <row r="964" customFormat="false" ht="15" hidden="false" customHeight="true" outlineLevel="0" collapsed="false">
      <c r="B964" s="56" t="n">
        <v>45771</v>
      </c>
      <c r="C964" s="57" t="s">
        <v>32</v>
      </c>
      <c r="D964" s="58"/>
      <c r="E964" s="59"/>
      <c r="F964" s="60" t="n">
        <v>105</v>
      </c>
      <c r="G964" s="61"/>
      <c r="H964" s="62" t="n">
        <v>105</v>
      </c>
    </row>
    <row r="965" customFormat="false" ht="15" hidden="false" customHeight="true" outlineLevel="0" collapsed="false">
      <c r="B965" s="64"/>
      <c r="C965" s="65" t="s">
        <v>19</v>
      </c>
      <c r="D965" s="66" t="n">
        <v>2232</v>
      </c>
      <c r="E965" s="67"/>
      <c r="F965" s="67"/>
      <c r="G965" s="68"/>
      <c r="H965" s="69" t="n">
        <v>2232</v>
      </c>
    </row>
    <row r="966" customFormat="false" ht="15" hidden="false" customHeight="true" outlineLevel="0" collapsed="false">
      <c r="B966" s="64"/>
      <c r="C966" s="65" t="s">
        <v>25</v>
      </c>
      <c r="D966" s="66" t="n">
        <v>446</v>
      </c>
      <c r="E966" s="67"/>
      <c r="F966" s="67"/>
      <c r="G966" s="68"/>
      <c r="H966" s="69" t="n">
        <v>446</v>
      </c>
    </row>
    <row r="967" customFormat="false" ht="15" hidden="false" customHeight="true" outlineLevel="0" collapsed="false">
      <c r="B967" s="64"/>
      <c r="C967" s="65" t="s">
        <v>22</v>
      </c>
      <c r="D967" s="66" t="n">
        <v>905</v>
      </c>
      <c r="E967" s="67"/>
      <c r="F967" s="67"/>
      <c r="G967" s="68"/>
      <c r="H967" s="69" t="n">
        <v>905</v>
      </c>
    </row>
    <row r="968" customFormat="false" ht="15" hidden="false" customHeight="true" outlineLevel="0" collapsed="false">
      <c r="B968" s="64"/>
      <c r="C968" s="65" t="s">
        <v>37</v>
      </c>
      <c r="D968" s="73"/>
      <c r="E968" s="67"/>
      <c r="F968" s="71" t="n">
        <v>10</v>
      </c>
      <c r="G968" s="68"/>
      <c r="H968" s="69" t="n">
        <v>10</v>
      </c>
    </row>
    <row r="969" customFormat="false" ht="15" hidden="false" customHeight="true" outlineLevel="0" collapsed="false">
      <c r="B969" s="64"/>
      <c r="C969" s="65" t="s">
        <v>40</v>
      </c>
      <c r="D969" s="73"/>
      <c r="E969" s="71" t="n">
        <v>1480</v>
      </c>
      <c r="F969" s="67"/>
      <c r="G969" s="68"/>
      <c r="H969" s="69" t="n">
        <v>1480</v>
      </c>
    </row>
    <row r="970" customFormat="false" ht="15" hidden="false" customHeight="true" outlineLevel="0" collapsed="false">
      <c r="B970" s="64"/>
      <c r="C970" s="65" t="s">
        <v>31</v>
      </c>
      <c r="D970" s="73"/>
      <c r="E970" s="71" t="n">
        <v>400</v>
      </c>
      <c r="F970" s="67"/>
      <c r="G970" s="68"/>
      <c r="H970" s="69" t="n">
        <v>400</v>
      </c>
    </row>
    <row r="971" customFormat="false" ht="15" hidden="false" customHeight="true" outlineLevel="0" collapsed="false">
      <c r="B971" s="64"/>
      <c r="C971" s="65" t="s">
        <v>34</v>
      </c>
      <c r="D971" s="73"/>
      <c r="E971" s="71" t="n">
        <v>150</v>
      </c>
      <c r="F971" s="67"/>
      <c r="G971" s="68"/>
      <c r="H971" s="69" t="n">
        <v>150</v>
      </c>
    </row>
    <row r="972" customFormat="false" ht="15" hidden="false" customHeight="true" outlineLevel="0" collapsed="false">
      <c r="B972" s="84"/>
      <c r="C972" s="85" t="s">
        <v>29</v>
      </c>
      <c r="D972" s="86" t="n">
        <v>222</v>
      </c>
      <c r="E972" s="75"/>
      <c r="F972" s="75"/>
      <c r="G972" s="77"/>
      <c r="H972" s="78" t="n">
        <v>222</v>
      </c>
    </row>
    <row r="973" customFormat="false" ht="15" hidden="false" customHeight="true" outlineLevel="0" collapsed="false">
      <c r="B973" s="87" t="s">
        <v>833</v>
      </c>
      <c r="C973" s="88"/>
      <c r="D973" s="89" t="n">
        <v>3805</v>
      </c>
      <c r="E973" s="89" t="n">
        <v>2030</v>
      </c>
      <c r="F973" s="89" t="n">
        <v>115</v>
      </c>
      <c r="G973" s="90"/>
      <c r="H973" s="91" t="n">
        <v>5950</v>
      </c>
    </row>
    <row r="974" customFormat="false" ht="15" hidden="false" customHeight="true" outlineLevel="0" collapsed="false">
      <c r="B974" s="56" t="n">
        <v>45772</v>
      </c>
      <c r="C974" s="57" t="s">
        <v>32</v>
      </c>
      <c r="D974" s="58"/>
      <c r="E974" s="59"/>
      <c r="F974" s="60" t="n">
        <v>175</v>
      </c>
      <c r="G974" s="61"/>
      <c r="H974" s="62" t="n">
        <v>175</v>
      </c>
    </row>
    <row r="975" customFormat="false" ht="15" hidden="false" customHeight="true" outlineLevel="0" collapsed="false">
      <c r="B975" s="64"/>
      <c r="C975" s="65" t="s">
        <v>47</v>
      </c>
      <c r="D975" s="66" t="n">
        <v>1680</v>
      </c>
      <c r="E975" s="67"/>
      <c r="F975" s="67"/>
      <c r="G975" s="68"/>
      <c r="H975" s="69" t="n">
        <v>1680</v>
      </c>
    </row>
    <row r="976" customFormat="false" ht="15" hidden="false" customHeight="true" outlineLevel="0" collapsed="false">
      <c r="B976" s="64"/>
      <c r="C976" s="65" t="s">
        <v>19</v>
      </c>
      <c r="D976" s="66" t="n">
        <v>1712</v>
      </c>
      <c r="E976" s="67"/>
      <c r="F976" s="67"/>
      <c r="G976" s="68"/>
      <c r="H976" s="69" t="n">
        <v>1712</v>
      </c>
    </row>
    <row r="977" customFormat="false" ht="15" hidden="false" customHeight="true" outlineLevel="0" collapsed="false">
      <c r="B977" s="64"/>
      <c r="C977" s="65" t="s">
        <v>25</v>
      </c>
      <c r="D977" s="66" t="n">
        <v>335</v>
      </c>
      <c r="E977" s="71" t="n">
        <v>620</v>
      </c>
      <c r="F977" s="67"/>
      <c r="G977" s="68"/>
      <c r="H977" s="69" t="n">
        <v>955</v>
      </c>
    </row>
    <row r="978" customFormat="false" ht="15" hidden="false" customHeight="true" outlineLevel="0" collapsed="false">
      <c r="B978" s="64"/>
      <c r="C978" s="65" t="s">
        <v>28</v>
      </c>
      <c r="D978" s="73"/>
      <c r="E978" s="67"/>
      <c r="F978" s="71" t="n">
        <v>675</v>
      </c>
      <c r="G978" s="68"/>
      <c r="H978" s="69" t="n">
        <v>675</v>
      </c>
    </row>
    <row r="979" customFormat="false" ht="15" hidden="false" customHeight="true" outlineLevel="0" collapsed="false">
      <c r="B979" s="64"/>
      <c r="C979" s="65" t="s">
        <v>22</v>
      </c>
      <c r="D979" s="66" t="n">
        <v>4776</v>
      </c>
      <c r="E979" s="67"/>
      <c r="F979" s="67"/>
      <c r="G979" s="68"/>
      <c r="H979" s="69" t="n">
        <v>4776</v>
      </c>
    </row>
    <row r="980" customFormat="false" ht="15" hidden="false" customHeight="true" outlineLevel="0" collapsed="false">
      <c r="B980" s="64"/>
      <c r="C980" s="65" t="s">
        <v>37</v>
      </c>
      <c r="D980" s="73"/>
      <c r="E980" s="67"/>
      <c r="F980" s="71" t="n">
        <v>10</v>
      </c>
      <c r="G980" s="68"/>
      <c r="H980" s="69" t="n">
        <v>10</v>
      </c>
    </row>
    <row r="981" customFormat="false" ht="15" hidden="false" customHeight="true" outlineLevel="0" collapsed="false">
      <c r="B981" s="64"/>
      <c r="C981" s="65" t="s">
        <v>60</v>
      </c>
      <c r="D981" s="73"/>
      <c r="E981" s="71" t="n">
        <v>210</v>
      </c>
      <c r="F981" s="67"/>
      <c r="G981" s="68"/>
      <c r="H981" s="69" t="n">
        <v>210</v>
      </c>
    </row>
    <row r="982" customFormat="false" ht="15" hidden="false" customHeight="true" outlineLevel="0" collapsed="false">
      <c r="B982" s="64"/>
      <c r="C982" s="65" t="s">
        <v>34</v>
      </c>
      <c r="D982" s="73"/>
      <c r="E982" s="71" t="n">
        <v>140</v>
      </c>
      <c r="F982" s="67"/>
      <c r="G982" s="68"/>
      <c r="H982" s="69" t="n">
        <v>140</v>
      </c>
    </row>
    <row r="983" customFormat="false" ht="15" hidden="false" customHeight="true" outlineLevel="0" collapsed="false">
      <c r="B983" s="84"/>
      <c r="C983" s="85" t="s">
        <v>29</v>
      </c>
      <c r="D983" s="86" t="n">
        <v>390</v>
      </c>
      <c r="E983" s="75"/>
      <c r="F983" s="75"/>
      <c r="G983" s="77"/>
      <c r="H983" s="78" t="n">
        <v>390</v>
      </c>
    </row>
    <row r="984" customFormat="false" ht="15" hidden="false" customHeight="true" outlineLevel="0" collapsed="false">
      <c r="B984" s="87" t="s">
        <v>834</v>
      </c>
      <c r="C984" s="88"/>
      <c r="D984" s="89" t="n">
        <v>8893</v>
      </c>
      <c r="E984" s="89" t="n">
        <v>970</v>
      </c>
      <c r="F984" s="89" t="n">
        <v>860</v>
      </c>
      <c r="G984" s="90"/>
      <c r="H984" s="91" t="n">
        <v>10723</v>
      </c>
    </row>
    <row r="985" customFormat="false" ht="15" hidden="false" customHeight="true" outlineLevel="0" collapsed="false">
      <c r="B985" s="56" t="n">
        <v>45773</v>
      </c>
      <c r="C985" s="57" t="s">
        <v>32</v>
      </c>
      <c r="D985" s="58"/>
      <c r="E985" s="59"/>
      <c r="F985" s="60" t="n">
        <v>210</v>
      </c>
      <c r="G985" s="61"/>
      <c r="H985" s="62" t="n">
        <v>210</v>
      </c>
    </row>
    <row r="986" customFormat="false" ht="15" hidden="false" customHeight="true" outlineLevel="0" collapsed="false">
      <c r="B986" s="64"/>
      <c r="C986" s="65" t="s">
        <v>53</v>
      </c>
      <c r="D986" s="73"/>
      <c r="E986" s="71" t="n">
        <v>2000</v>
      </c>
      <c r="F986" s="67"/>
      <c r="G986" s="68"/>
      <c r="H986" s="69" t="n">
        <v>2000</v>
      </c>
    </row>
    <row r="987" customFormat="false" ht="15" hidden="false" customHeight="true" outlineLevel="0" collapsed="false">
      <c r="B987" s="64"/>
      <c r="C987" s="65" t="s">
        <v>19</v>
      </c>
      <c r="D987" s="66" t="n">
        <v>6034</v>
      </c>
      <c r="E987" s="67"/>
      <c r="F987" s="67"/>
      <c r="G987" s="68"/>
      <c r="H987" s="69" t="n">
        <v>6034</v>
      </c>
    </row>
    <row r="988" customFormat="false" ht="15" hidden="false" customHeight="true" outlineLevel="0" collapsed="false">
      <c r="B988" s="64"/>
      <c r="C988" s="65" t="s">
        <v>25</v>
      </c>
      <c r="D988" s="66" t="n">
        <v>1830</v>
      </c>
      <c r="E988" s="71" t="n">
        <v>85</v>
      </c>
      <c r="F988" s="67"/>
      <c r="G988" s="68"/>
      <c r="H988" s="69" t="n">
        <v>1915</v>
      </c>
    </row>
    <row r="989" customFormat="false" ht="15" hidden="false" customHeight="true" outlineLevel="0" collapsed="false">
      <c r="B989" s="64"/>
      <c r="C989" s="65" t="s">
        <v>51</v>
      </c>
      <c r="D989" s="66" t="n">
        <v>4055</v>
      </c>
      <c r="E989" s="67"/>
      <c r="F989" s="67"/>
      <c r="G989" s="68"/>
      <c r="H989" s="69" t="n">
        <v>4055</v>
      </c>
    </row>
    <row r="990" customFormat="false" ht="15" hidden="false" customHeight="true" outlineLevel="0" collapsed="false">
      <c r="B990" s="64"/>
      <c r="C990" s="65" t="s">
        <v>50</v>
      </c>
      <c r="D990" s="66" t="n">
        <v>1780</v>
      </c>
      <c r="E990" s="67"/>
      <c r="F990" s="67"/>
      <c r="G990" s="68"/>
      <c r="H990" s="69" t="n">
        <v>1780</v>
      </c>
    </row>
    <row r="991" customFormat="false" ht="15" hidden="false" customHeight="true" outlineLevel="0" collapsed="false">
      <c r="B991" s="64"/>
      <c r="C991" s="65" t="s">
        <v>22</v>
      </c>
      <c r="D991" s="66" t="n">
        <v>4692</v>
      </c>
      <c r="E991" s="67"/>
      <c r="F991" s="67"/>
      <c r="G991" s="68"/>
      <c r="H991" s="69" t="n">
        <v>4692</v>
      </c>
    </row>
    <row r="992" customFormat="false" ht="15" hidden="false" customHeight="true" outlineLevel="0" collapsed="false">
      <c r="B992" s="64"/>
      <c r="C992" s="65" t="s">
        <v>56</v>
      </c>
      <c r="D992" s="73"/>
      <c r="E992" s="71" t="n">
        <v>600</v>
      </c>
      <c r="F992" s="67"/>
      <c r="G992" s="68"/>
      <c r="H992" s="69" t="n">
        <v>600</v>
      </c>
    </row>
    <row r="993" customFormat="false" ht="15" hidden="false" customHeight="true" outlineLevel="0" collapsed="false">
      <c r="B993" s="64"/>
      <c r="C993" s="65" t="s">
        <v>34</v>
      </c>
      <c r="D993" s="73"/>
      <c r="E993" s="71" t="n">
        <v>165</v>
      </c>
      <c r="F993" s="67"/>
      <c r="G993" s="68"/>
      <c r="H993" s="69" t="n">
        <v>165</v>
      </c>
    </row>
    <row r="994" customFormat="false" ht="15" hidden="false" customHeight="true" outlineLevel="0" collapsed="false">
      <c r="B994" s="84"/>
      <c r="C994" s="85" t="s">
        <v>29</v>
      </c>
      <c r="D994" s="86" t="n">
        <v>573</v>
      </c>
      <c r="E994" s="75"/>
      <c r="F994" s="75"/>
      <c r="G994" s="77"/>
      <c r="H994" s="78" t="n">
        <v>573</v>
      </c>
    </row>
    <row r="995" customFormat="false" ht="15" hidden="false" customHeight="true" outlineLevel="0" collapsed="false">
      <c r="B995" s="87" t="s">
        <v>835</v>
      </c>
      <c r="C995" s="88"/>
      <c r="D995" s="89" t="n">
        <v>18964</v>
      </c>
      <c r="E995" s="89" t="n">
        <v>2850</v>
      </c>
      <c r="F995" s="89" t="n">
        <v>210</v>
      </c>
      <c r="G995" s="90"/>
      <c r="H995" s="91" t="n">
        <v>22024</v>
      </c>
    </row>
    <row r="996" customFormat="false" ht="15" hidden="false" customHeight="true" outlineLevel="0" collapsed="false">
      <c r="B996" s="56" t="n">
        <v>45774</v>
      </c>
      <c r="C996" s="57" t="s">
        <v>32</v>
      </c>
      <c r="D996" s="58"/>
      <c r="E996" s="59"/>
      <c r="F996" s="60" t="n">
        <v>175</v>
      </c>
      <c r="G996" s="61"/>
      <c r="H996" s="62" t="n">
        <v>175</v>
      </c>
    </row>
    <row r="997" customFormat="false" ht="15" hidden="false" customHeight="true" outlineLevel="0" collapsed="false">
      <c r="B997" s="64"/>
      <c r="C997" s="65" t="s">
        <v>19</v>
      </c>
      <c r="D997" s="66" t="n">
        <v>4506</v>
      </c>
      <c r="E997" s="67"/>
      <c r="F997" s="67"/>
      <c r="G997" s="68"/>
      <c r="H997" s="69" t="n">
        <v>4506</v>
      </c>
    </row>
    <row r="998" customFormat="false" ht="15" hidden="false" customHeight="true" outlineLevel="0" collapsed="false">
      <c r="B998" s="64"/>
      <c r="C998" s="65" t="s">
        <v>25</v>
      </c>
      <c r="D998" s="66" t="n">
        <v>1189</v>
      </c>
      <c r="E998" s="71" t="n">
        <v>550</v>
      </c>
      <c r="F998" s="67"/>
      <c r="G998" s="68"/>
      <c r="H998" s="69" t="n">
        <v>1739</v>
      </c>
    </row>
    <row r="999" customFormat="false" ht="15" hidden="false" customHeight="true" outlineLevel="0" collapsed="false">
      <c r="B999" s="64"/>
      <c r="C999" s="65" t="s">
        <v>50</v>
      </c>
      <c r="D999" s="66" t="n">
        <v>1780</v>
      </c>
      <c r="E999" s="67"/>
      <c r="F999" s="67"/>
      <c r="G999" s="68"/>
      <c r="H999" s="69" t="n">
        <v>1780</v>
      </c>
    </row>
    <row r="1000" customFormat="false" ht="15" hidden="false" customHeight="true" outlineLevel="0" collapsed="false">
      <c r="B1000" s="64"/>
      <c r="C1000" s="65" t="s">
        <v>22</v>
      </c>
      <c r="D1000" s="66" t="n">
        <v>1802</v>
      </c>
      <c r="E1000" s="67"/>
      <c r="F1000" s="71" t="n">
        <v>110</v>
      </c>
      <c r="G1000" s="68"/>
      <c r="H1000" s="69" t="n">
        <v>1912</v>
      </c>
    </row>
    <row r="1001" customFormat="false" ht="15" hidden="false" customHeight="true" outlineLevel="0" collapsed="false">
      <c r="B1001" s="64"/>
      <c r="C1001" s="65" t="s">
        <v>34</v>
      </c>
      <c r="D1001" s="73"/>
      <c r="E1001" s="71" t="n">
        <v>150</v>
      </c>
      <c r="F1001" s="67"/>
      <c r="G1001" s="68"/>
      <c r="H1001" s="69" t="n">
        <v>150</v>
      </c>
    </row>
    <row r="1002" customFormat="false" ht="15" hidden="false" customHeight="true" outlineLevel="0" collapsed="false">
      <c r="B1002" s="84"/>
      <c r="C1002" s="85" t="s">
        <v>29</v>
      </c>
      <c r="D1002" s="86" t="n">
        <v>669</v>
      </c>
      <c r="E1002" s="75"/>
      <c r="F1002" s="76" t="n">
        <v>20</v>
      </c>
      <c r="G1002" s="77"/>
      <c r="H1002" s="78" t="n">
        <v>689</v>
      </c>
    </row>
    <row r="1003" customFormat="false" ht="15" hidden="false" customHeight="true" outlineLevel="0" collapsed="false">
      <c r="B1003" s="87" t="s">
        <v>836</v>
      </c>
      <c r="C1003" s="88"/>
      <c r="D1003" s="89" t="n">
        <v>9946</v>
      </c>
      <c r="E1003" s="89" t="n">
        <v>700</v>
      </c>
      <c r="F1003" s="89" t="n">
        <v>305</v>
      </c>
      <c r="G1003" s="90"/>
      <c r="H1003" s="91" t="n">
        <v>10951</v>
      </c>
    </row>
    <row r="1004" customFormat="false" ht="15" hidden="false" customHeight="true" outlineLevel="0" collapsed="false">
      <c r="B1004" s="56" t="n">
        <v>45775</v>
      </c>
      <c r="C1004" s="57" t="s">
        <v>32</v>
      </c>
      <c r="D1004" s="58"/>
      <c r="E1004" s="59"/>
      <c r="F1004" s="60" t="n">
        <v>105</v>
      </c>
      <c r="G1004" s="61"/>
      <c r="H1004" s="62" t="n">
        <v>105</v>
      </c>
    </row>
    <row r="1005" customFormat="false" ht="15" hidden="false" customHeight="true" outlineLevel="0" collapsed="false">
      <c r="B1005" s="64"/>
      <c r="C1005" s="65" t="s">
        <v>47</v>
      </c>
      <c r="D1005" s="66" t="n">
        <v>1680</v>
      </c>
      <c r="E1005" s="67"/>
      <c r="F1005" s="67"/>
      <c r="G1005" s="68"/>
      <c r="H1005" s="69" t="n">
        <v>1680</v>
      </c>
    </row>
    <row r="1006" customFormat="false" ht="15" hidden="false" customHeight="true" outlineLevel="0" collapsed="false">
      <c r="B1006" s="64"/>
      <c r="C1006" s="65" t="s">
        <v>19</v>
      </c>
      <c r="D1006" s="66" t="n">
        <v>2739</v>
      </c>
      <c r="E1006" s="67"/>
      <c r="F1006" s="67"/>
      <c r="G1006" s="68"/>
      <c r="H1006" s="69" t="n">
        <v>2739</v>
      </c>
    </row>
    <row r="1007" customFormat="false" ht="15" hidden="false" customHeight="true" outlineLevel="0" collapsed="false">
      <c r="B1007" s="64"/>
      <c r="C1007" s="65" t="s">
        <v>25</v>
      </c>
      <c r="D1007" s="66" t="n">
        <v>1365</v>
      </c>
      <c r="E1007" s="67"/>
      <c r="F1007" s="67"/>
      <c r="G1007" s="68"/>
      <c r="H1007" s="69" t="n">
        <v>1365</v>
      </c>
    </row>
    <row r="1008" customFormat="false" ht="15" hidden="false" customHeight="true" outlineLevel="0" collapsed="false">
      <c r="B1008" s="64"/>
      <c r="C1008" s="65" t="s">
        <v>50</v>
      </c>
      <c r="D1008" s="66" t="n">
        <v>1780</v>
      </c>
      <c r="E1008" s="67"/>
      <c r="F1008" s="67"/>
      <c r="G1008" s="68"/>
      <c r="H1008" s="69" t="n">
        <v>1780</v>
      </c>
    </row>
    <row r="1009" customFormat="false" ht="15" hidden="false" customHeight="true" outlineLevel="0" collapsed="false">
      <c r="B1009" s="64"/>
      <c r="C1009" s="65" t="s">
        <v>22</v>
      </c>
      <c r="D1009" s="66" t="n">
        <v>5239</v>
      </c>
      <c r="E1009" s="67"/>
      <c r="F1009" s="67"/>
      <c r="G1009" s="68"/>
      <c r="H1009" s="69" t="n">
        <v>5239</v>
      </c>
    </row>
    <row r="1010" customFormat="false" ht="15" hidden="false" customHeight="true" outlineLevel="0" collapsed="false">
      <c r="B1010" s="64"/>
      <c r="C1010" s="65" t="s">
        <v>37</v>
      </c>
      <c r="D1010" s="73"/>
      <c r="E1010" s="67"/>
      <c r="F1010" s="71" t="n">
        <v>15</v>
      </c>
      <c r="G1010" s="68"/>
      <c r="H1010" s="69" t="n">
        <v>15</v>
      </c>
    </row>
    <row r="1011" customFormat="false" ht="15" hidden="false" customHeight="true" outlineLevel="0" collapsed="false">
      <c r="B1011" s="64"/>
      <c r="C1011" s="65" t="s">
        <v>34</v>
      </c>
      <c r="D1011" s="73"/>
      <c r="E1011" s="71" t="n">
        <v>120</v>
      </c>
      <c r="F1011" s="67"/>
      <c r="G1011" s="68"/>
      <c r="H1011" s="69" t="n">
        <v>120</v>
      </c>
    </row>
    <row r="1012" customFormat="false" ht="15" hidden="false" customHeight="true" outlineLevel="0" collapsed="false">
      <c r="B1012" s="84"/>
      <c r="C1012" s="85" t="s">
        <v>29</v>
      </c>
      <c r="D1012" s="86" t="n">
        <v>442</v>
      </c>
      <c r="E1012" s="76" t="n">
        <v>830</v>
      </c>
      <c r="F1012" s="75"/>
      <c r="G1012" s="77"/>
      <c r="H1012" s="78" t="n">
        <v>1272</v>
      </c>
    </row>
    <row r="1013" customFormat="false" ht="15" hidden="false" customHeight="true" outlineLevel="0" collapsed="false">
      <c r="B1013" s="87" t="s">
        <v>837</v>
      </c>
      <c r="C1013" s="88"/>
      <c r="D1013" s="89" t="n">
        <v>13245</v>
      </c>
      <c r="E1013" s="89" t="n">
        <v>950</v>
      </c>
      <c r="F1013" s="89" t="n">
        <v>120</v>
      </c>
      <c r="G1013" s="90"/>
      <c r="H1013" s="91" t="n">
        <v>14315</v>
      </c>
    </row>
    <row r="1014" customFormat="false" ht="15" hidden="false" customHeight="true" outlineLevel="0" collapsed="false">
      <c r="B1014" s="56" t="n">
        <v>45776</v>
      </c>
      <c r="C1014" s="57" t="s">
        <v>32</v>
      </c>
      <c r="D1014" s="58"/>
      <c r="E1014" s="59"/>
      <c r="F1014" s="60" t="n">
        <v>140</v>
      </c>
      <c r="G1014" s="61"/>
      <c r="H1014" s="62" t="n">
        <v>140</v>
      </c>
    </row>
    <row r="1015" customFormat="false" ht="15" hidden="false" customHeight="true" outlineLevel="0" collapsed="false">
      <c r="B1015" s="64"/>
      <c r="C1015" s="65" t="s">
        <v>19</v>
      </c>
      <c r="D1015" s="66" t="n">
        <v>3188</v>
      </c>
      <c r="E1015" s="67"/>
      <c r="F1015" s="67"/>
      <c r="G1015" s="68"/>
      <c r="H1015" s="69" t="n">
        <v>3188</v>
      </c>
    </row>
    <row r="1016" customFormat="false" ht="15" hidden="false" customHeight="true" outlineLevel="0" collapsed="false">
      <c r="B1016" s="64"/>
      <c r="C1016" s="65" t="s">
        <v>25</v>
      </c>
      <c r="D1016" s="66" t="n">
        <v>783</v>
      </c>
      <c r="E1016" s="71" t="n">
        <v>350</v>
      </c>
      <c r="F1016" s="67"/>
      <c r="G1016" s="68"/>
      <c r="H1016" s="69" t="n">
        <v>1133</v>
      </c>
    </row>
    <row r="1017" customFormat="false" ht="15" hidden="false" customHeight="true" outlineLevel="0" collapsed="false">
      <c r="B1017" s="64"/>
      <c r="C1017" s="65" t="s">
        <v>22</v>
      </c>
      <c r="D1017" s="66" t="n">
        <v>1502</v>
      </c>
      <c r="E1017" s="71" t="n">
        <v>520</v>
      </c>
      <c r="F1017" s="67"/>
      <c r="G1017" s="68"/>
      <c r="H1017" s="69" t="n">
        <v>2022</v>
      </c>
    </row>
    <row r="1018" customFormat="false" ht="15" hidden="false" customHeight="true" outlineLevel="0" collapsed="false">
      <c r="B1018" s="64"/>
      <c r="C1018" s="65" t="s">
        <v>37</v>
      </c>
      <c r="D1018" s="73"/>
      <c r="E1018" s="67"/>
      <c r="F1018" s="71" t="n">
        <v>29</v>
      </c>
      <c r="G1018" s="68"/>
      <c r="H1018" s="69" t="n">
        <v>29</v>
      </c>
    </row>
    <row r="1019" customFormat="false" ht="15" hidden="false" customHeight="true" outlineLevel="0" collapsed="false">
      <c r="B1019" s="64"/>
      <c r="C1019" s="65" t="s">
        <v>34</v>
      </c>
      <c r="D1019" s="73"/>
      <c r="E1019" s="71" t="n">
        <v>130</v>
      </c>
      <c r="F1019" s="67"/>
      <c r="G1019" s="68"/>
      <c r="H1019" s="69" t="n">
        <v>130</v>
      </c>
    </row>
    <row r="1020" customFormat="false" ht="15" hidden="false" customHeight="true" outlineLevel="0" collapsed="false">
      <c r="B1020" s="84"/>
      <c r="C1020" s="85" t="s">
        <v>29</v>
      </c>
      <c r="D1020" s="86" t="n">
        <v>324</v>
      </c>
      <c r="E1020" s="75"/>
      <c r="F1020" s="76" t="n">
        <v>10</v>
      </c>
      <c r="G1020" s="77"/>
      <c r="H1020" s="78" t="n">
        <v>334</v>
      </c>
    </row>
    <row r="1021" customFormat="false" ht="15" hidden="false" customHeight="true" outlineLevel="0" collapsed="false">
      <c r="B1021" s="87" t="s">
        <v>838</v>
      </c>
      <c r="C1021" s="88"/>
      <c r="D1021" s="89" t="n">
        <v>5797</v>
      </c>
      <c r="E1021" s="89" t="n">
        <v>1000</v>
      </c>
      <c r="F1021" s="89" t="n">
        <v>179</v>
      </c>
      <c r="G1021" s="90"/>
      <c r="H1021" s="91" t="n">
        <v>6976</v>
      </c>
    </row>
    <row r="1022" customFormat="false" ht="15" hidden="false" customHeight="true" outlineLevel="0" collapsed="false">
      <c r="B1022" s="56" t="n">
        <v>45777</v>
      </c>
      <c r="C1022" s="57" t="s">
        <v>32</v>
      </c>
      <c r="D1022" s="58"/>
      <c r="E1022" s="59"/>
      <c r="F1022" s="60" t="n">
        <v>315</v>
      </c>
      <c r="G1022" s="61"/>
      <c r="H1022" s="62" t="n">
        <v>315</v>
      </c>
    </row>
    <row r="1023" customFormat="false" ht="15" hidden="false" customHeight="true" outlineLevel="0" collapsed="false">
      <c r="B1023" s="64"/>
      <c r="C1023" s="65" t="s">
        <v>53</v>
      </c>
      <c r="D1023" s="73"/>
      <c r="E1023" s="71" t="n">
        <v>975</v>
      </c>
      <c r="F1023" s="67"/>
      <c r="G1023" s="68"/>
      <c r="H1023" s="69" t="n">
        <v>975</v>
      </c>
    </row>
    <row r="1024" customFormat="false" ht="15" hidden="false" customHeight="true" outlineLevel="0" collapsed="false">
      <c r="B1024" s="64"/>
      <c r="C1024" s="65" t="s">
        <v>47</v>
      </c>
      <c r="D1024" s="66" t="n">
        <v>840</v>
      </c>
      <c r="E1024" s="67"/>
      <c r="F1024" s="67"/>
      <c r="G1024" s="68"/>
      <c r="H1024" s="69" t="n">
        <v>840</v>
      </c>
    </row>
    <row r="1025" customFormat="false" ht="15" hidden="false" customHeight="true" outlineLevel="0" collapsed="false">
      <c r="B1025" s="64"/>
      <c r="C1025" s="65" t="s">
        <v>19</v>
      </c>
      <c r="D1025" s="66" t="n">
        <v>3465</v>
      </c>
      <c r="E1025" s="67"/>
      <c r="F1025" s="67"/>
      <c r="G1025" s="68"/>
      <c r="H1025" s="69" t="n">
        <v>3465</v>
      </c>
    </row>
    <row r="1026" customFormat="false" ht="15" hidden="false" customHeight="true" outlineLevel="0" collapsed="false">
      <c r="B1026" s="64"/>
      <c r="C1026" s="65" t="s">
        <v>25</v>
      </c>
      <c r="D1026" s="66" t="n">
        <v>783</v>
      </c>
      <c r="E1026" s="67"/>
      <c r="F1026" s="67"/>
      <c r="G1026" s="68"/>
      <c r="H1026" s="69" t="n">
        <v>783</v>
      </c>
    </row>
    <row r="1027" customFormat="false" ht="15" hidden="false" customHeight="true" outlineLevel="0" collapsed="false">
      <c r="B1027" s="64"/>
      <c r="C1027" s="65" t="s">
        <v>28</v>
      </c>
      <c r="D1027" s="73"/>
      <c r="E1027" s="67"/>
      <c r="F1027" s="71" t="n">
        <v>710</v>
      </c>
      <c r="G1027" s="68"/>
      <c r="H1027" s="69" t="n">
        <v>710</v>
      </c>
    </row>
    <row r="1028" customFormat="false" ht="15" hidden="false" customHeight="true" outlineLevel="0" collapsed="false">
      <c r="B1028" s="64"/>
      <c r="C1028" s="65" t="s">
        <v>50</v>
      </c>
      <c r="D1028" s="66" t="n">
        <v>1780</v>
      </c>
      <c r="E1028" s="67"/>
      <c r="F1028" s="67"/>
      <c r="G1028" s="68"/>
      <c r="H1028" s="69" t="n">
        <v>1780</v>
      </c>
    </row>
    <row r="1029" customFormat="false" ht="15" hidden="false" customHeight="true" outlineLevel="0" collapsed="false">
      <c r="B1029" s="64"/>
      <c r="C1029" s="65" t="s">
        <v>22</v>
      </c>
      <c r="D1029" s="66" t="n">
        <v>720</v>
      </c>
      <c r="E1029" s="67"/>
      <c r="F1029" s="67"/>
      <c r="G1029" s="68"/>
      <c r="H1029" s="69" t="n">
        <v>720</v>
      </c>
    </row>
    <row r="1030" customFormat="false" ht="15" hidden="false" customHeight="true" outlineLevel="0" collapsed="false">
      <c r="B1030" s="64"/>
      <c r="C1030" s="65" t="s">
        <v>37</v>
      </c>
      <c r="D1030" s="73"/>
      <c r="E1030" s="67"/>
      <c r="F1030" s="71" t="n">
        <v>15</v>
      </c>
      <c r="G1030" s="68"/>
      <c r="H1030" s="69" t="n">
        <v>15</v>
      </c>
    </row>
    <row r="1031" customFormat="false" ht="15" hidden="false" customHeight="true" outlineLevel="0" collapsed="false">
      <c r="B1031" s="64"/>
      <c r="C1031" s="65" t="s">
        <v>34</v>
      </c>
      <c r="D1031" s="73"/>
      <c r="E1031" s="71" t="n">
        <v>125</v>
      </c>
      <c r="F1031" s="67"/>
      <c r="G1031" s="68"/>
      <c r="H1031" s="69" t="n">
        <v>125</v>
      </c>
    </row>
    <row r="1032" customFormat="false" ht="15" hidden="false" customHeight="true" outlineLevel="0" collapsed="false">
      <c r="B1032" s="84"/>
      <c r="C1032" s="85" t="s">
        <v>29</v>
      </c>
      <c r="D1032" s="86" t="n">
        <v>420</v>
      </c>
      <c r="E1032" s="75"/>
      <c r="F1032" s="75"/>
      <c r="G1032" s="77"/>
      <c r="H1032" s="78" t="n">
        <v>420</v>
      </c>
    </row>
    <row r="1033" customFormat="false" ht="15" hidden="false" customHeight="true" outlineLevel="0" collapsed="false">
      <c r="B1033" s="87" t="s">
        <v>839</v>
      </c>
      <c r="C1033" s="88"/>
      <c r="D1033" s="89" t="n">
        <v>8008</v>
      </c>
      <c r="E1033" s="89" t="n">
        <v>1100</v>
      </c>
      <c r="F1033" s="89" t="n">
        <v>1040</v>
      </c>
      <c r="G1033" s="90"/>
      <c r="H1033" s="91" t="n">
        <v>10148</v>
      </c>
    </row>
    <row r="1034" customFormat="false" ht="15" hidden="false" customHeight="true" outlineLevel="0" collapsed="false">
      <c r="B1034" s="56" t="n">
        <v>45778</v>
      </c>
      <c r="C1034" s="57" t="s">
        <v>19</v>
      </c>
      <c r="D1034" s="92" t="n">
        <v>3259</v>
      </c>
      <c r="E1034" s="59"/>
      <c r="F1034" s="59"/>
      <c r="G1034" s="61"/>
      <c r="H1034" s="62" t="n">
        <v>3259</v>
      </c>
    </row>
    <row r="1035" customFormat="false" ht="15" hidden="false" customHeight="true" outlineLevel="0" collapsed="false">
      <c r="B1035" s="64"/>
      <c r="C1035" s="65" t="s">
        <v>25</v>
      </c>
      <c r="D1035" s="66" t="n">
        <v>616</v>
      </c>
      <c r="E1035" s="71" t="n">
        <v>30</v>
      </c>
      <c r="F1035" s="67"/>
      <c r="G1035" s="68"/>
      <c r="H1035" s="69" t="n">
        <v>646</v>
      </c>
    </row>
    <row r="1036" customFormat="false" ht="15" hidden="false" customHeight="true" outlineLevel="0" collapsed="false">
      <c r="B1036" s="64"/>
      <c r="C1036" s="65" t="s">
        <v>69</v>
      </c>
      <c r="D1036" s="73"/>
      <c r="E1036" s="71" t="n">
        <v>1500</v>
      </c>
      <c r="F1036" s="67"/>
      <c r="G1036" s="68"/>
      <c r="H1036" s="69" t="n">
        <v>1500</v>
      </c>
    </row>
    <row r="1037" customFormat="false" ht="15" hidden="false" customHeight="true" outlineLevel="0" collapsed="false">
      <c r="B1037" s="64"/>
      <c r="C1037" s="65" t="s">
        <v>22</v>
      </c>
      <c r="D1037" s="66" t="n">
        <v>3105</v>
      </c>
      <c r="E1037" s="67"/>
      <c r="F1037" s="71" t="n">
        <v>110</v>
      </c>
      <c r="G1037" s="68"/>
      <c r="H1037" s="69" t="n">
        <v>3215</v>
      </c>
    </row>
    <row r="1038" customFormat="false" ht="15" hidden="false" customHeight="true" outlineLevel="0" collapsed="false">
      <c r="B1038" s="64"/>
      <c r="C1038" s="65" t="s">
        <v>37</v>
      </c>
      <c r="D1038" s="73"/>
      <c r="E1038" s="67"/>
      <c r="F1038" s="71" t="n">
        <v>34</v>
      </c>
      <c r="G1038" s="68"/>
      <c r="H1038" s="69" t="n">
        <v>34</v>
      </c>
    </row>
    <row r="1039" customFormat="false" ht="15" hidden="false" customHeight="true" outlineLevel="0" collapsed="false">
      <c r="B1039" s="64"/>
      <c r="C1039" s="65" t="s">
        <v>31</v>
      </c>
      <c r="D1039" s="73"/>
      <c r="E1039" s="71" t="n">
        <v>1385</v>
      </c>
      <c r="F1039" s="67"/>
      <c r="G1039" s="68"/>
      <c r="H1039" s="69" t="n">
        <v>1385</v>
      </c>
    </row>
    <row r="1040" customFormat="false" ht="15" hidden="false" customHeight="true" outlineLevel="0" collapsed="false">
      <c r="B1040" s="64"/>
      <c r="C1040" s="65" t="s">
        <v>67</v>
      </c>
      <c r="D1040" s="73"/>
      <c r="E1040" s="71" t="n">
        <v>8500</v>
      </c>
      <c r="F1040" s="67"/>
      <c r="G1040" s="68"/>
      <c r="H1040" s="69" t="n">
        <v>8500</v>
      </c>
    </row>
    <row r="1041" customFormat="false" ht="15" hidden="false" customHeight="true" outlineLevel="0" collapsed="false">
      <c r="B1041" s="64"/>
      <c r="C1041" s="65" t="s">
        <v>34</v>
      </c>
      <c r="D1041" s="73"/>
      <c r="E1041" s="71" t="n">
        <v>135</v>
      </c>
      <c r="F1041" s="67"/>
      <c r="G1041" s="68"/>
      <c r="H1041" s="69" t="n">
        <v>135</v>
      </c>
    </row>
    <row r="1042" customFormat="false" ht="15" hidden="false" customHeight="true" outlineLevel="0" collapsed="false">
      <c r="B1042" s="84"/>
      <c r="C1042" s="85" t="s">
        <v>29</v>
      </c>
      <c r="D1042" s="86" t="n">
        <v>453</v>
      </c>
      <c r="E1042" s="75"/>
      <c r="F1042" s="75"/>
      <c r="G1042" s="77"/>
      <c r="H1042" s="78" t="n">
        <v>453</v>
      </c>
    </row>
    <row r="1043" customFormat="false" ht="15" hidden="false" customHeight="true" outlineLevel="0" collapsed="false">
      <c r="B1043" s="87" t="s">
        <v>840</v>
      </c>
      <c r="C1043" s="88"/>
      <c r="D1043" s="89" t="n">
        <v>7433</v>
      </c>
      <c r="E1043" s="89" t="n">
        <v>11550</v>
      </c>
      <c r="F1043" s="89" t="n">
        <v>144</v>
      </c>
      <c r="G1043" s="90"/>
      <c r="H1043" s="91" t="n">
        <v>19127</v>
      </c>
    </row>
    <row r="1044" customFormat="false" ht="15" hidden="false" customHeight="true" outlineLevel="0" collapsed="false">
      <c r="B1044" s="56" t="n">
        <v>45779</v>
      </c>
      <c r="C1044" s="57" t="s">
        <v>44</v>
      </c>
      <c r="D1044" s="92" t="n">
        <v>10000</v>
      </c>
      <c r="E1044" s="59"/>
      <c r="F1044" s="59"/>
      <c r="G1044" s="61"/>
      <c r="H1044" s="62" t="n">
        <v>10000</v>
      </c>
    </row>
    <row r="1045" customFormat="false" ht="15" hidden="false" customHeight="true" outlineLevel="0" collapsed="false">
      <c r="B1045" s="64"/>
      <c r="C1045" s="65" t="s">
        <v>32</v>
      </c>
      <c r="D1045" s="73"/>
      <c r="E1045" s="71" t="n">
        <v>420</v>
      </c>
      <c r="F1045" s="67"/>
      <c r="G1045" s="68"/>
      <c r="H1045" s="69" t="n">
        <v>420</v>
      </c>
    </row>
    <row r="1046" customFormat="false" ht="15" hidden="false" customHeight="true" outlineLevel="0" collapsed="false">
      <c r="B1046" s="64"/>
      <c r="C1046" s="65" t="s">
        <v>53</v>
      </c>
      <c r="D1046" s="73"/>
      <c r="E1046" s="71" t="n">
        <v>1200</v>
      </c>
      <c r="F1046" s="67"/>
      <c r="G1046" s="68"/>
      <c r="H1046" s="69" t="n">
        <v>1200</v>
      </c>
    </row>
    <row r="1047" customFormat="false" ht="15" hidden="false" customHeight="true" outlineLevel="0" collapsed="false">
      <c r="B1047" s="64"/>
      <c r="C1047" s="65" t="s">
        <v>47</v>
      </c>
      <c r="D1047" s="66" t="n">
        <v>840</v>
      </c>
      <c r="E1047" s="67"/>
      <c r="F1047" s="67"/>
      <c r="G1047" s="68"/>
      <c r="H1047" s="69" t="n">
        <v>840</v>
      </c>
    </row>
    <row r="1048" customFormat="false" ht="15" hidden="false" customHeight="true" outlineLevel="0" collapsed="false">
      <c r="B1048" s="64"/>
      <c r="C1048" s="65" t="s">
        <v>19</v>
      </c>
      <c r="D1048" s="66" t="n">
        <v>5087</v>
      </c>
      <c r="E1048" s="67"/>
      <c r="F1048" s="67"/>
      <c r="G1048" s="68"/>
      <c r="H1048" s="69" t="n">
        <v>5087</v>
      </c>
    </row>
    <row r="1049" customFormat="false" ht="15" hidden="false" customHeight="true" outlineLevel="0" collapsed="false">
      <c r="B1049" s="64"/>
      <c r="C1049" s="65" t="s">
        <v>25</v>
      </c>
      <c r="D1049" s="66" t="n">
        <v>1310</v>
      </c>
      <c r="E1049" s="67"/>
      <c r="F1049" s="67"/>
      <c r="G1049" s="68"/>
      <c r="H1049" s="69" t="n">
        <v>1310</v>
      </c>
    </row>
    <row r="1050" customFormat="false" ht="15" hidden="false" customHeight="true" outlineLevel="0" collapsed="false">
      <c r="B1050" s="64"/>
      <c r="C1050" s="65" t="s">
        <v>28</v>
      </c>
      <c r="D1050" s="73"/>
      <c r="E1050" s="67"/>
      <c r="F1050" s="71" t="n">
        <v>740</v>
      </c>
      <c r="G1050" s="68"/>
      <c r="H1050" s="69" t="n">
        <v>740</v>
      </c>
    </row>
    <row r="1051" customFormat="false" ht="15" hidden="false" customHeight="true" outlineLevel="0" collapsed="false">
      <c r="B1051" s="64"/>
      <c r="C1051" s="65" t="s">
        <v>199</v>
      </c>
      <c r="D1051" s="66" t="n">
        <v>1034</v>
      </c>
      <c r="E1051" s="67"/>
      <c r="F1051" s="67"/>
      <c r="G1051" s="68"/>
      <c r="H1051" s="69" t="n">
        <v>1034</v>
      </c>
    </row>
    <row r="1052" customFormat="false" ht="15" hidden="false" customHeight="true" outlineLevel="0" collapsed="false">
      <c r="B1052" s="64"/>
      <c r="C1052" s="65" t="s">
        <v>37</v>
      </c>
      <c r="D1052" s="73"/>
      <c r="E1052" s="67"/>
      <c r="F1052" s="71" t="n">
        <v>10</v>
      </c>
      <c r="G1052" s="68"/>
      <c r="H1052" s="69" t="n">
        <v>10</v>
      </c>
    </row>
    <row r="1053" customFormat="false" ht="15" hidden="false" customHeight="true" outlineLevel="0" collapsed="false">
      <c r="B1053" s="64"/>
      <c r="C1053" s="65" t="s">
        <v>40</v>
      </c>
      <c r="D1053" s="73"/>
      <c r="E1053" s="71" t="n">
        <v>2420</v>
      </c>
      <c r="F1053" s="67"/>
      <c r="G1053" s="68"/>
      <c r="H1053" s="69" t="n">
        <v>2420</v>
      </c>
    </row>
    <row r="1054" customFormat="false" ht="15" hidden="false" customHeight="true" outlineLevel="0" collapsed="false">
      <c r="B1054" s="64"/>
      <c r="C1054" s="65" t="s">
        <v>34</v>
      </c>
      <c r="D1054" s="73"/>
      <c r="E1054" s="71" t="n">
        <v>155</v>
      </c>
      <c r="F1054" s="67"/>
      <c r="G1054" s="68"/>
      <c r="H1054" s="69" t="n">
        <v>155</v>
      </c>
    </row>
    <row r="1055" customFormat="false" ht="15" hidden="false" customHeight="true" outlineLevel="0" collapsed="false">
      <c r="B1055" s="84"/>
      <c r="C1055" s="85" t="s">
        <v>29</v>
      </c>
      <c r="D1055" s="86" t="n">
        <v>530</v>
      </c>
      <c r="E1055" s="75"/>
      <c r="F1055" s="75"/>
      <c r="G1055" s="77"/>
      <c r="H1055" s="78" t="n">
        <v>530</v>
      </c>
    </row>
    <row r="1056" customFormat="false" ht="15" hidden="false" customHeight="true" outlineLevel="0" collapsed="false">
      <c r="B1056" s="87" t="s">
        <v>841</v>
      </c>
      <c r="C1056" s="88"/>
      <c r="D1056" s="89" t="n">
        <v>18801</v>
      </c>
      <c r="E1056" s="89" t="n">
        <v>4195</v>
      </c>
      <c r="F1056" s="89" t="n">
        <v>750</v>
      </c>
      <c r="G1056" s="90"/>
      <c r="H1056" s="91" t="n">
        <v>23746</v>
      </c>
    </row>
    <row r="1057" customFormat="false" ht="15" hidden="false" customHeight="true" outlineLevel="0" collapsed="false">
      <c r="B1057" s="56" t="n">
        <v>45780</v>
      </c>
      <c r="C1057" s="57" t="s">
        <v>32</v>
      </c>
      <c r="D1057" s="58"/>
      <c r="E1057" s="59"/>
      <c r="F1057" s="60" t="n">
        <v>210</v>
      </c>
      <c r="G1057" s="61"/>
      <c r="H1057" s="62" t="n">
        <v>210</v>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"71" t="n">
        <v>2340</v>
      </c>
      <c r="F1058" s="67"/>
      <c r="G1058" s="68"/>
      <c r="H1058" s="69" t="n">
        <v>2340</v>
      </c>
    </row>
    <row r="1059" customFormat="false" ht="15" hidden="false" customHeight="true" outlineLevel="0" collapsed="false">
      <c r="B1059" s="64"/>
      <c r="C1059" s="65" t="s">
        <v>19</v>
      </c>
      <c r="D1059" s="66" t="n">
        <v>3816</v>
      </c>
      <c r="E1059" s="67"/>
      <c r="F1059" s="67"/>
      <c r="G1059" s="68"/>
      <c r="H1059" s="69" t="n">
        <v>3816</v>
      </c>
    </row>
    <row r="1060" customFormat="false" ht="15" hidden="false" customHeight="true" outlineLevel="0" collapsed="false">
      <c r="B1060" s="64"/>
      <c r="C1060" s="65" t="s">
        <v>25</v>
      </c>
      <c r="D1060" s="66" t="n">
        <v>810</v>
      </c>
      <c r="E1060" s="67"/>
      <c r="F1060" s="67"/>
      <c r="G1060" s="68"/>
      <c r="H1060" s="69" t="n">
        <v>810</v>
      </c>
    </row>
    <row r="1061" customFormat="false" ht="15" hidden="false" customHeight="true" outlineLevel="0" collapsed="false">
      <c r="B1061" s="64"/>
      <c r="C1061" s="65" t="s">
        <v>50</v>
      </c>
      <c r="D1061" s="66" t="n">
        <v>3520</v>
      </c>
      <c r="E1061" s="67"/>
      <c r="F1061" s="67"/>
      <c r="G1061" s="68"/>
      <c r="H1061" s="69" t="n">
        <v>3520</v>
      </c>
    </row>
    <row r="1062" customFormat="false" ht="15" hidden="false" customHeight="true" outlineLevel="0" collapsed="false">
      <c r="B1062" s="64"/>
      <c r="C1062" s="65" t="s">
        <v>22</v>
      </c>
      <c r="D1062" s="66" t="n">
        <v>2477</v>
      </c>
      <c r="E1062" s="67"/>
      <c r="F1062" s="67"/>
      <c r="G1062" s="68"/>
      <c r="H1062" s="69" t="n">
        <v>2477</v>
      </c>
    </row>
    <row r="1063" customFormat="false" ht="15" hidden="false" customHeight="true" outlineLevel="0" collapsed="false">
      <c r="B1063" s="64"/>
      <c r="C1063" s="65" t="s">
        <v>43</v>
      </c>
      <c r="D1063" s="73"/>
      <c r="E1063" s="71" t="n">
        <v>40</v>
      </c>
      <c r="F1063" s="67"/>
      <c r="G1063" s="68"/>
      <c r="H1063" s="69" t="n">
        <v>40</v>
      </c>
    </row>
    <row r="1064" customFormat="false" ht="15" hidden="false" customHeight="true" outlineLevel="0" collapsed="false">
      <c r="B1064" s="64"/>
      <c r="C1064" s="65" t="s">
        <v>34</v>
      </c>
      <c r="D1064" s="73"/>
      <c r="E1064" s="71" t="n">
        <v>160</v>
      </c>
      <c r="F1064" s="67"/>
      <c r="G1064" s="68"/>
      <c r="H1064" s="69" t="n">
        <v>160</v>
      </c>
    </row>
    <row r="1065" customFormat="false" ht="15" hidden="false" customHeight="true" outlineLevel="0" collapsed="false">
      <c r="B1065" s="84"/>
      <c r="C1065" s="85" t="s">
        <v>29</v>
      </c>
      <c r="D1065" s="86" t="n">
        <v>447</v>
      </c>
      <c r="E1065" s="76" t="n">
        <v>40</v>
      </c>
      <c r="F1065" s="75"/>
      <c r="G1065" s="77"/>
      <c r="H1065" s="78" t="n">
        <v>487</v>
      </c>
    </row>
    <row r="1066" customFormat="false" ht="15" hidden="false" customHeight="true" outlineLevel="0" collapsed="false">
      <c r="B1066" s="87" t="s">
        <v>842</v>
      </c>
      <c r="C1066" s="88"/>
      <c r="D1066" s="89" t="n">
        <v>11070</v>
      </c>
      <c r="E1066" s="89" t="n">
        <v>2580</v>
      </c>
      <c r="F1066" s="89" t="n">
        <v>210</v>
      </c>
      <c r="G1066" s="90"/>
      <c r="H1066" s="91" t="n">
        <v>13860</v>
      </c>
    </row>
    <row r="1067" customFormat="false" ht="15" hidden="false" customHeight="true" outlineLevel="0" collapsed="false">
      <c r="B1067" s="56" t="n">
        <v>45781</v>
      </c>
      <c r="C1067" s="57" t="s">
        <v>44</v>
      </c>
      <c r="D1067" s="92" t="n">
        <v>5000</v>
      </c>
      <c r="E1067" s="60" t="n">
        <v>1000</v>
      </c>
      <c r="F1067" s="59"/>
      <c r="G1067" s="61"/>
      <c r="H1067" s="62" t="n">
        <v>6000</v>
      </c>
    </row>
    <row r="1068" customFormat="false" ht="15" hidden="false" customHeight="true" outlineLevel="0" collapsed="false">
      <c r="B1068" s="64"/>
      <c r="C1068" s="65" t="s">
        <v>32</v>
      </c>
      <c r="D1068" s="73"/>
      <c r="E1068" s="67"/>
      <c r="F1068" s="71" t="n">
        <v>245</v>
      </c>
      <c r="G1068" s="68"/>
      <c r="H1068" s="69" t="n">
        <v>245</v>
      </c>
    </row>
    <row r="1069" customFormat="false" ht="15" hidden="false" customHeight="true" outlineLevel="0" collapsed="false">
      <c r="B1069" s="64"/>
      <c r="C1069" s="65" t="s">
        <v>19</v>
      </c>
      <c r="D1069" s="66" t="n">
        <v>6811</v>
      </c>
      <c r="E1069" s="67"/>
      <c r="F1069" s="67"/>
      <c r="G1069" s="68"/>
      <c r="H1069" s="69" t="n">
        <v>6811</v>
      </c>
    </row>
    <row r="1070" customFormat="false" ht="15" hidden="false" customHeight="true" outlineLevel="0" collapsed="false">
      <c r="B1070" s="64"/>
      <c r="C1070" s="65" t="s">
        <v>25</v>
      </c>
      <c r="D1070" s="66" t="n">
        <v>1571</v>
      </c>
      <c r="E1070" s="71" t="n">
        <v>550</v>
      </c>
      <c r="F1070" s="67"/>
      <c r="G1070" s="68"/>
      <c r="H1070" s="69" t="n">
        <v>2121</v>
      </c>
    </row>
    <row r="1071" customFormat="false" ht="15" hidden="false" customHeight="true" outlineLevel="0" collapsed="false">
      <c r="B1071" s="64"/>
      <c r="C1071" s="65" t="s">
        <v>28</v>
      </c>
      <c r="D1071" s="73"/>
      <c r="E1071" s="67"/>
      <c r="F1071" s="71" t="n">
        <v>465</v>
      </c>
      <c r="G1071" s="68"/>
      <c r="H1071" s="69" t="n">
        <v>465</v>
      </c>
    </row>
    <row r="1072" customFormat="false" ht="15" hidden="false" customHeight="true" outlineLevel="0" collapsed="false">
      <c r="B1072" s="64"/>
      <c r="C1072" s="65" t="s">
        <v>22</v>
      </c>
      <c r="D1072" s="66" t="n">
        <v>128</v>
      </c>
      <c r="E1072" s="67"/>
      <c r="F1072" s="71" t="n">
        <v>110</v>
      </c>
      <c r="G1072" s="68"/>
      <c r="H1072" s="69" t="n">
        <v>238</v>
      </c>
    </row>
    <row r="1073" customFormat="false" ht="15" hidden="false" customHeight="true" outlineLevel="0" collapsed="false">
      <c r="B1073" s="64"/>
      <c r="C1073" s="65" t="s">
        <v>37</v>
      </c>
      <c r="D1073" s="73"/>
      <c r="E1073" s="67"/>
      <c r="F1073" s="71" t="n">
        <v>25</v>
      </c>
      <c r="G1073" s="68"/>
      <c r="H1073" s="69" t="n">
        <v>25</v>
      </c>
    </row>
    <row r="1074" customFormat="false" ht="15" hidden="false" customHeight="true" outlineLevel="0" collapsed="false">
      <c r="B1074" s="64"/>
      <c r="C1074" s="65" t="s">
        <v>67</v>
      </c>
      <c r="D1074" s="73"/>
      <c r="E1074" s="71" t="n">
        <v>2000</v>
      </c>
      <c r="F1074" s="67"/>
      <c r="G1074" s="68"/>
      <c r="H1074" s="69" t="n">
        <v>2000</v>
      </c>
    </row>
    <row r="1075" customFormat="false" ht="15" hidden="false" customHeight="true" outlineLevel="0" collapsed="false">
      <c r="B1075" s="64"/>
      <c r="C1075" s="65" t="s">
        <v>34</v>
      </c>
      <c r="D1075" s="73"/>
      <c r="E1075" s="71" t="n">
        <v>130</v>
      </c>
      <c r="F1075" s="67"/>
      <c r="G1075" s="68"/>
      <c r="H1075" s="69" t="n">
        <v>130</v>
      </c>
    </row>
    <row r="1076" customFormat="false" ht="15" hidden="false" customHeight="true" outlineLevel="0" collapsed="false">
      <c r="B1076" s="84"/>
      <c r="C1076" s="85" t="s">
        <v>29</v>
      </c>
      <c r="D1076" s="86" t="n">
        <v>706</v>
      </c>
      <c r="E1076" s="76" t="n">
        <v>570</v>
      </c>
      <c r="F1076" s="75"/>
      <c r="G1076" s="77"/>
      <c r="H1076" s="78" t="n">
        <v>1276</v>
      </c>
    </row>
    <row r="1077" customFormat="false" ht="15" hidden="false" customHeight="true" outlineLevel="0" collapsed="false">
      <c r="B1077" s="87" t="s">
        <v>843</v>
      </c>
      <c r="C1077" s="88"/>
      <c r="D1077" s="89" t="n">
        <v>14216</v>
      </c>
      <c r="E1077" s="89" t="n">
        <v>4250</v>
      </c>
      <c r="F1077" s="89" t="n">
        <v>845</v>
      </c>
      <c r="G1077" s="90"/>
      <c r="H1077" s="91" t="n">
        <v>19311</v>
      </c>
    </row>
    <row r="1078" customFormat="false" ht="15" hidden="false" customHeight="true" outlineLevel="0" collapsed="false">
      <c r="B1078" s="56" t="n">
        <v>45782</v>
      </c>
      <c r="C1078" s="57" t="s">
        <v>32</v>
      </c>
      <c r="D1078" s="58"/>
      <c r="E1078" s="59"/>
      <c r="F1078" s="60" t="n">
        <v>245</v>
      </c>
      <c r="G1078" s="61"/>
      <c r="H1078" s="62" t="n">
        <v>245</v>
      </c>
    </row>
    <row r="1079" customFormat="false" ht="15" hidden="false" customHeight="true" outlineLevel="0" collapsed="false">
      <c r="B1079" s="64"/>
      <c r="C1079" s="65" t="s">
        <v>53</v>
      </c>
      <c r="D1079" s="66" t="n">
        <v>700</v>
      </c>
      <c r="E1079" s="67"/>
      <c r="F1079" s="71" t="n">
        <v>20</v>
      </c>
      <c r="G1079" s="68"/>
      <c r="H1079" s="69" t="n">
        <v>720</v>
      </c>
    </row>
    <row r="1080" customFormat="false" ht="15" hidden="false" customHeight="true" outlineLevel="0" collapsed="false">
      <c r="B1080" s="64"/>
      <c r="C1080" s="65" t="s">
        <v>47</v>
      </c>
      <c r="D1080" s="66" t="n">
        <v>1680</v>
      </c>
      <c r="E1080" s="67"/>
      <c r="F1080" s="67"/>
      <c r="G1080" s="68"/>
      <c r="H1080" s="69" t="n">
        <v>1680</v>
      </c>
    </row>
    <row r="1081" customFormat="false" ht="15" hidden="false" customHeight="true" outlineLevel="0" collapsed="false">
      <c r="B1081" s="64"/>
      <c r="C1081" s="65" t="s">
        <v>19</v>
      </c>
      <c r="D1081" s="66" t="n">
        <v>3744</v>
      </c>
      <c r="E1081" s="67"/>
      <c r="F1081" s="67"/>
      <c r="G1081" s="68"/>
      <c r="H1081" s="69" t="n">
        <v>3744</v>
      </c>
    </row>
    <row r="1082" customFormat="false" ht="15" hidden="false" customHeight="true" outlineLevel="0" collapsed="false">
      <c r="B1082" s="64"/>
      <c r="C1082" s="65" t="s">
        <v>25</v>
      </c>
      <c r="D1082" s="66" t="n">
        <v>980</v>
      </c>
      <c r="E1082" s="71" t="n">
        <v>445</v>
      </c>
      <c r="F1082" s="67"/>
      <c r="G1082" s="68"/>
      <c r="H1082" s="69" t="n">
        <v>1425</v>
      </c>
    </row>
    <row r="1083" customFormat="false" ht="15" hidden="false" customHeight="true" outlineLevel="0" collapsed="false">
      <c r="B1083" s="64"/>
      <c r="C1083" s="65" t="s">
        <v>12</v>
      </c>
      <c r="D1083" s="66" t="n">
        <v>23960</v>
      </c>
      <c r="E1083" s="67"/>
      <c r="F1083" s="67"/>
      <c r="G1083" s="68"/>
      <c r="H1083" s="69" t="n">
        <v>23960</v>
      </c>
    </row>
    <row r="1084" customFormat="false" ht="15" hidden="false" customHeight="true" outlineLevel="0" collapsed="false">
      <c r="B1084" s="64"/>
      <c r="C1084" s="65" t="s">
        <v>22</v>
      </c>
      <c r="D1084" s="66" t="n">
        <v>6989</v>
      </c>
      <c r="E1084" s="67"/>
      <c r="F1084" s="67"/>
      <c r="G1084" s="68"/>
      <c r="H1084" s="69" t="n">
        <v>6989</v>
      </c>
    </row>
    <row r="1085" customFormat="false" ht="15" hidden="false" customHeight="true" outlineLevel="0" collapsed="false">
      <c r="B1085" s="64"/>
      <c r="C1085" s="65" t="s">
        <v>37</v>
      </c>
      <c r="D1085" s="73"/>
      <c r="E1085" s="67"/>
      <c r="F1085" s="71" t="n">
        <v>19</v>
      </c>
      <c r="G1085" s="68"/>
      <c r="H1085" s="69" t="n">
        <v>19</v>
      </c>
    </row>
    <row r="1086" customFormat="false" ht="15" hidden="false" customHeight="true" outlineLevel="0" collapsed="false">
      <c r="B1086" s="64"/>
      <c r="C1086" s="65" t="s">
        <v>31</v>
      </c>
      <c r="D1086" s="73"/>
      <c r="E1086" s="71" t="n">
        <v>300</v>
      </c>
      <c r="F1086" s="67"/>
      <c r="G1086" s="68"/>
      <c r="H1086" s="69" t="n">
        <v>300</v>
      </c>
    </row>
    <row r="1087" customFormat="false" ht="15" hidden="false" customHeight="true" outlineLevel="0" collapsed="false">
      <c r="B1087" s="64"/>
      <c r="C1087" s="65" t="s">
        <v>34</v>
      </c>
      <c r="D1087" s="73"/>
      <c r="E1087" s="71" t="n">
        <v>105</v>
      </c>
      <c r="F1087" s="67"/>
      <c r="G1087" s="68"/>
      <c r="H1087" s="69" t="n">
        <v>105</v>
      </c>
    </row>
    <row r="1088" customFormat="false" ht="15" hidden="false" customHeight="true" outlineLevel="0" collapsed="false">
      <c r="B1088" s="64"/>
      <c r="C1088" s="65" t="s">
        <v>29</v>
      </c>
      <c r="D1088" s="66" t="n">
        <v>506</v>
      </c>
      <c r="E1088" s="67"/>
      <c r="F1088" s="67"/>
      <c r="G1088" s="68"/>
      <c r="H1088" s="69" t="n">
        <v>506</v>
      </c>
    </row>
    <row r="1089" customFormat="false" ht="15" hidden="false" customHeight="true" outlineLevel="0" collapsed="false">
      <c r="B1089" s="84"/>
      <c r="C1089" s="85" t="s">
        <v>201</v>
      </c>
      <c r="D1089" s="86" t="n">
        <v>2220</v>
      </c>
      <c r="E1089" s="75"/>
      <c r="F1089" s="75"/>
      <c r="G1089" s="77"/>
      <c r="H1089" s="78" t="n">
        <v>2220</v>
      </c>
    </row>
    <row r="1090" customFormat="false" ht="15" hidden="false" customHeight="true" outlineLevel="0" collapsed="false">
      <c r="B1090" s="87" t="s">
        <v>844</v>
      </c>
      <c r="C1090" s="88"/>
      <c r="D1090" s="89" t="n">
        <v>40779</v>
      </c>
      <c r="E1090" s="89" t="n">
        <v>850</v>
      </c>
      <c r="F1090" s="89" t="n">
        <v>284</v>
      </c>
      <c r="G1090" s="90"/>
      <c r="H1090" s="91" t="n">
        <v>41913</v>
      </c>
    </row>
    <row r="1091" customFormat="false" ht="15" hidden="false" customHeight="true" outlineLevel="0" collapsed="false">
      <c r="B1091" s="56" t="n">
        <v>45783</v>
      </c>
      <c r="C1091" s="57" t="s">
        <v>44</v>
      </c>
      <c r="D1091" s="92" t="n">
        <v>5000</v>
      </c>
      <c r="E1091" s="60" t="n">
        <v>5000</v>
      </c>
      <c r="F1091" s="59"/>
      <c r="G1091" s="61"/>
      <c r="H1091" s="62" t="n">
        <v>10000</v>
      </c>
    </row>
    <row r="1092" customFormat="false" ht="15" hidden="false" customHeight="true" outlineLevel="0" collapsed="false">
      <c r="B1092" s="64"/>
      <c r="C1092" s="65" t="s">
        <v>32</v>
      </c>
      <c r="D1092" s="73"/>
      <c r="E1092" s="67"/>
      <c r="F1092" s="71" t="n">
        <v>140</v>
      </c>
      <c r="G1092" s="68"/>
      <c r="H1092" s="69" t="n">
        <v>140</v>
      </c>
    </row>
    <row r="1093" customFormat="false" ht="15" hidden="false" customHeight="true" outlineLevel="0" collapsed="false">
      <c r="B1093" s="64"/>
      <c r="C1093" s="65" t="s">
        <v>19</v>
      </c>
      <c r="D1093" s="66" t="n">
        <v>2775</v>
      </c>
      <c r="E1093" s="67"/>
      <c r="F1093" s="67"/>
      <c r="G1093" s="68"/>
      <c r="H1093" s="69" t="n">
        <v>2775</v>
      </c>
    </row>
    <row r="1094" customFormat="false" ht="15" hidden="false" customHeight="true" outlineLevel="0" collapsed="false">
      <c r="B1094" s="64"/>
      <c r="C1094" s="65" t="s">
        <v>25</v>
      </c>
      <c r="D1094" s="66" t="n">
        <v>791</v>
      </c>
      <c r="E1094" s="67"/>
      <c r="F1094" s="67"/>
      <c r="G1094" s="68"/>
      <c r="H1094" s="69" t="n">
        <v>791</v>
      </c>
    </row>
    <row r="1095" customFormat="false" ht="15" hidden="false" customHeight="true" outlineLevel="0" collapsed="false">
      <c r="B1095" s="64"/>
      <c r="C1095" s="65" t="s">
        <v>28</v>
      </c>
      <c r="D1095" s="73"/>
      <c r="E1095" s="67"/>
      <c r="F1095" s="71" t="n">
        <v>480</v>
      </c>
      <c r="G1095" s="68"/>
      <c r="H1095" s="69" t="n">
        <v>480</v>
      </c>
    </row>
    <row r="1096" customFormat="false" ht="15" hidden="false" customHeight="true" outlineLevel="0" collapsed="false">
      <c r="B1096" s="64"/>
      <c r="C1096" s="65" t="s">
        <v>37</v>
      </c>
      <c r="D1096" s="73"/>
      <c r="E1096" s="67"/>
      <c r="F1096" s="71" t="n">
        <v>5</v>
      </c>
      <c r="G1096" s="68"/>
      <c r="H1096" s="69" t="n">
        <v>5</v>
      </c>
    </row>
    <row r="1097" customFormat="false" ht="15" hidden="false" customHeight="true" outlineLevel="0" collapsed="false">
      <c r="B1097" s="64"/>
      <c r="C1097" s="65" t="s">
        <v>43</v>
      </c>
      <c r="D1097" s="73"/>
      <c r="E1097" s="71" t="n">
        <v>900</v>
      </c>
      <c r="F1097" s="67"/>
      <c r="G1097" s="68"/>
      <c r="H1097" s="69" t="n">
        <v>900</v>
      </c>
    </row>
    <row r="1098" customFormat="false" ht="15" hidden="false" customHeight="true" outlineLevel="0" collapsed="false">
      <c r="B1098" s="64"/>
      <c r="C1098" s="65" t="s">
        <v>34</v>
      </c>
      <c r="D1098" s="73"/>
      <c r="E1098" s="71" t="n">
        <v>150</v>
      </c>
      <c r="F1098" s="67"/>
      <c r="G1098" s="68"/>
      <c r="H1098" s="69" t="n">
        <v>150</v>
      </c>
    </row>
    <row r="1099" customFormat="false" ht="15" hidden="false" customHeight="true" outlineLevel="0" collapsed="false">
      <c r="B1099" s="84"/>
      <c r="C1099" s="85" t="s">
        <v>29</v>
      </c>
      <c r="D1099" s="86" t="n">
        <v>288</v>
      </c>
      <c r="E1099" s="75"/>
      <c r="F1099" s="75"/>
      <c r="G1099" s="77"/>
      <c r="H1099" s="78" t="n">
        <v>288</v>
      </c>
    </row>
    <row r="1100" customFormat="false" ht="15" hidden="false" customHeight="true" outlineLevel="0" collapsed="false">
      <c r="B1100" s="87" t="s">
        <v>845</v>
      </c>
      <c r="C1100" s="88"/>
      <c r="D1100" s="89" t="n">
        <v>8854</v>
      </c>
      <c r="E1100" s="89" t="n">
        <v>6050</v>
      </c>
      <c r="F1100" s="89" t="n">
        <v>625</v>
      </c>
      <c r="G1100" s="90"/>
      <c r="H1100" s="91" t="n">
        <v>15529</v>
      </c>
    </row>
    <row r="1101" customFormat="false" ht="15" hidden="false" customHeight="true" outlineLevel="0" collapsed="false">
      <c r="B1101" s="56" t="n">
        <v>45784</v>
      </c>
      <c r="C1101" s="57" t="s">
        <v>44</v>
      </c>
      <c r="D1101" s="92" t="n">
        <v>5000</v>
      </c>
      <c r="E1101" s="60" t="n">
        <v>1000</v>
      </c>
      <c r="F1101" s="59"/>
      <c r="G1101" s="61"/>
      <c r="H1101" s="62" t="n">
        <v>6000</v>
      </c>
    </row>
    <row r="1102" customFormat="false" ht="15" hidden="false" customHeight="true" outlineLevel="0" collapsed="false">
      <c r="B1102" s="64"/>
      <c r="C1102" s="65" t="s">
        <v>53</v>
      </c>
      <c r="D1102" s="73"/>
      <c r="E1102" s="67"/>
      <c r="F1102" s="71" t="n">
        <v>210</v>
      </c>
      <c r="G1102" s="68"/>
      <c r="H1102" s="69" t="n">
        <v>210</v>
      </c>
    </row>
    <row r="1103" customFormat="false" ht="15" hidden="false" customHeight="true" outlineLevel="0" collapsed="false">
      <c r="B1103" s="64"/>
      <c r="C1103" s="65" t="s">
        <v>47</v>
      </c>
      <c r="D1103" s="66" t="n">
        <v>1680</v>
      </c>
      <c r="E1103" s="67"/>
      <c r="F1103" s="67"/>
      <c r="G1103" s="68"/>
      <c r="H1103" s="69" t="n">
        <v>1680</v>
      </c>
    </row>
    <row r="1104" customFormat="false" ht="15" hidden="false" customHeight="true" outlineLevel="0" collapsed="false">
      <c r="B1104" s="64"/>
      <c r="C1104" s="65" t="s">
        <v>19</v>
      </c>
      <c r="D1104" s="66" t="n">
        <v>2949</v>
      </c>
      <c r="E1104" s="67"/>
      <c r="F1104" s="67"/>
      <c r="G1104" s="68"/>
      <c r="H1104" s="69" t="n">
        <v>2949</v>
      </c>
    </row>
    <row r="1105" customFormat="false" ht="15" hidden="false" customHeight="true" outlineLevel="0" collapsed="false">
      <c r="B1105" s="64"/>
      <c r="C1105" s="65" t="s">
        <v>25</v>
      </c>
      <c r="D1105" s="66" t="n">
        <v>776</v>
      </c>
      <c r="E1105" s="67"/>
      <c r="F1105" s="67"/>
      <c r="G1105" s="68"/>
      <c r="H1105" s="69" t="n">
        <v>776</v>
      </c>
    </row>
    <row r="1106" customFormat="false" ht="15" hidden="false" customHeight="true" outlineLevel="0" collapsed="false">
      <c r="B1106" s="64"/>
      <c r="C1106" s="65" t="s">
        <v>51</v>
      </c>
      <c r="D1106" s="66" t="n">
        <v>4815</v>
      </c>
      <c r="E1106" s="67"/>
      <c r="F1106" s="67"/>
      <c r="G1106" s="68"/>
      <c r="H1106" s="69" t="n">
        <v>4815</v>
      </c>
    </row>
    <row r="1107" customFormat="false" ht="15" hidden="false" customHeight="true" outlineLevel="0" collapsed="false">
      <c r="B1107" s="64"/>
      <c r="C1107" s="65" t="s">
        <v>50</v>
      </c>
      <c r="D1107" s="66" t="n">
        <v>1760</v>
      </c>
      <c r="E1107" s="67"/>
      <c r="F1107" s="67"/>
      <c r="G1107" s="68"/>
      <c r="H1107" s="69" t="n">
        <v>1760</v>
      </c>
    </row>
    <row r="1108" customFormat="false" ht="15" hidden="false" customHeight="true" outlineLevel="0" collapsed="false">
      <c r="B1108" s="64"/>
      <c r="C1108" s="65" t="s">
        <v>22</v>
      </c>
      <c r="D1108" s="66" t="n">
        <v>2947</v>
      </c>
      <c r="E1108" s="67"/>
      <c r="F1108" s="67"/>
      <c r="G1108" s="68"/>
      <c r="H1108" s="69" t="n">
        <v>2947</v>
      </c>
    </row>
    <row r="1109" customFormat="false" ht="15" hidden="false" customHeight="true" outlineLevel="0" collapsed="false">
      <c r="B1109" s="64"/>
      <c r="C1109" s="65" t="s">
        <v>34</v>
      </c>
      <c r="D1109" s="73"/>
      <c r="E1109" s="67"/>
      <c r="F1109" s="71" t="n">
        <v>145</v>
      </c>
      <c r="G1109" s="68"/>
      <c r="H1109" s="69" t="n">
        <v>145</v>
      </c>
    </row>
    <row r="1110" customFormat="false" ht="15" hidden="false" customHeight="true" outlineLevel="0" collapsed="false">
      <c r="B1110" s="84"/>
      <c r="C1110" s="85" t="s">
        <v>29</v>
      </c>
      <c r="D1110" s="86" t="n">
        <v>597</v>
      </c>
      <c r="E1110" s="75"/>
      <c r="F1110" s="76" t="n">
        <v>20</v>
      </c>
      <c r="G1110" s="77"/>
      <c r="H1110" s="78" t="n">
        <v>617</v>
      </c>
    </row>
    <row r="1111" customFormat="false" ht="15" hidden="false" customHeight="true" outlineLevel="0" collapsed="false">
      <c r="B1111" s="87" t="s">
        <v>846</v>
      </c>
      <c r="C1111" s="88"/>
      <c r="D1111" s="89" t="n">
        <v>20524</v>
      </c>
      <c r="E1111" s="89" t="n">
        <v>1000</v>
      </c>
      <c r="F1111" s="89" t="n">
        <v>375</v>
      </c>
      <c r="G1111" s="90"/>
      <c r="H1111" s="91" t="n">
        <v>21899</v>
      </c>
    </row>
    <row r="1112" customFormat="false" ht="15" hidden="false" customHeight="true" outlineLevel="0" collapsed="false">
      <c r="B1112" s="56" t="n">
        <v>45785</v>
      </c>
      <c r="C1112" s="57" t="s">
        <v>19</v>
      </c>
      <c r="D1112" s="92" t="n">
        <v>4325</v>
      </c>
      <c r="E1112" s="59"/>
      <c r="F1112" s="59"/>
      <c r="G1112" s="61"/>
      <c r="H1112" s="62" t="n">
        <v>4325</v>
      </c>
    </row>
    <row r="1113" customFormat="false" ht="15" hidden="false" customHeight="true" outlineLevel="0" collapsed="false">
      <c r="B1113" s="64"/>
      <c r="C1113" s="65" t="s">
        <v>25</v>
      </c>
      <c r="D1113" s="66" t="n">
        <v>518</v>
      </c>
      <c r="E1113" s="67"/>
      <c r="F1113" s="67"/>
      <c r="G1113" s="68"/>
      <c r="H1113" s="69" t="n">
        <v>518</v>
      </c>
    </row>
    <row r="1114" customFormat="false" ht="15" hidden="false" customHeight="true" outlineLevel="0" collapsed="false">
      <c r="B1114" s="64"/>
      <c r="C1114" s="65" t="s">
        <v>50</v>
      </c>
      <c r="D1114" s="66" t="n">
        <v>1760</v>
      </c>
      <c r="E1114" s="67"/>
      <c r="F1114" s="67"/>
      <c r="G1114" s="68"/>
      <c r="H1114" s="69" t="n">
        <v>1760</v>
      </c>
    </row>
    <row r="1115" customFormat="false" ht="15" hidden="false" customHeight="true" outlineLevel="0" collapsed="false">
      <c r="B1115" s="64"/>
      <c r="C1115" s="65" t="s">
        <v>22</v>
      </c>
      <c r="D1115" s="66" t="n">
        <v>2638</v>
      </c>
      <c r="E1115" s="67"/>
      <c r="F1115" s="67"/>
      <c r="G1115" s="68"/>
      <c r="H1115" s="69" t="n">
        <v>2638</v>
      </c>
    </row>
    <row r="1116" customFormat="false" ht="15" hidden="false" customHeight="true" outlineLevel="0" collapsed="false">
      <c r="B1116" s="64"/>
      <c r="C1116" s="65" t="s">
        <v>40</v>
      </c>
      <c r="D1116" s="73"/>
      <c r="E1116" s="71" t="n">
        <v>2220</v>
      </c>
      <c r="F1116" s="67"/>
      <c r="G1116" s="68"/>
      <c r="H1116" s="69" t="n">
        <v>2220</v>
      </c>
    </row>
    <row r="1117" customFormat="false" ht="15" hidden="false" customHeight="true" outlineLevel="0" collapsed="false">
      <c r="B1117" s="64"/>
      <c r="C1117" s="65" t="s">
        <v>34</v>
      </c>
      <c r="D1117" s="73"/>
      <c r="E1117" s="71" t="n">
        <v>145</v>
      </c>
      <c r="F1117" s="67"/>
      <c r="G1117" s="68"/>
      <c r="H1117" s="69" t="n">
        <v>145</v>
      </c>
    </row>
    <row r="1118" customFormat="false" ht="15" hidden="false" customHeight="true" outlineLevel="0" collapsed="false">
      <c r="B1118" s="84"/>
      <c r="C1118" s="85" t="s">
        <v>29</v>
      </c>
      <c r="D1118" s="86" t="n">
        <v>415</v>
      </c>
      <c r="E1118" s="75"/>
      <c r="F1118" s="75"/>
      <c r="G1118" s="77"/>
      <c r="H1118" s="78" t="n">
        <v>415</v>
      </c>
    </row>
    <row r="1119" customFormat="false" ht="15" hidden="false" customHeight="true" outlineLevel="0" collapsed="false">
      <c r="B1119" s="87" t="s">
        <v>847</v>
      </c>
      <c r="C1119" s="88"/>
      <c r="D1119" s="89" t="n">
        <v>9656</v>
      </c>
      <c r="E1119" s="89" t="n">
        <v>2365</v>
      </c>
      <c r="F1119" s="90"/>
      <c r="G1119" s="90"/>
      <c r="H1119" s="91" t="n">
        <v>12021</v>
      </c>
    </row>
    <row r="1120" customFormat="false" ht="15" hidden="false" customHeight="true" outlineLevel="0" collapsed="false">
      <c r="B1120" s="56" t="n">
        <v>45786</v>
      </c>
      <c r="C1120" s="57" t="s">
        <v>47</v>
      </c>
      <c r="D1120" s="92" t="n">
        <v>1680</v>
      </c>
      <c r="E1120" s="59"/>
      <c r="F1120" s="59"/>
      <c r="G1120" s="61"/>
      <c r="H1120" s="62" t="n">
        <v>1680</v>
      </c>
    </row>
    <row r="1121" customFormat="false" ht="15" hidden="false" customHeight="true" outlineLevel="0" collapsed="false">
      <c r="B1121" s="64"/>
      <c r="C1121" s="65" t="s">
        <v>19</v>
      </c>
      <c r="D1121" s="66" t="n">
        <v>2694</v>
      </c>
      <c r="E1121" s="67"/>
      <c r="F1121" s="67"/>
      <c r="G1121" s="68"/>
      <c r="H1121" s="69" t="n">
        <v>2694</v>
      </c>
    </row>
    <row r="1122" customFormat="false" ht="15" hidden="false" customHeight="true" outlineLevel="0" collapsed="false">
      <c r="B1122" s="64"/>
      <c r="C1122" s="65" t="s">
        <v>25</v>
      </c>
      <c r="D1122" s="66" t="n">
        <v>1180</v>
      </c>
      <c r="E1122" s="67"/>
      <c r="F1122" s="67"/>
      <c r="G1122" s="68"/>
      <c r="H1122" s="69" t="n">
        <v>1180</v>
      </c>
    </row>
    <row r="1123" customFormat="false" ht="15" hidden="false" customHeight="true" outlineLevel="0" collapsed="false">
      <c r="B1123" s="64"/>
      <c r="C1123" s="65" t="s">
        <v>43</v>
      </c>
      <c r="D1123" s="73"/>
      <c r="E1123" s="71" t="n">
        <v>120</v>
      </c>
      <c r="F1123" s="67"/>
      <c r="G1123" s="68"/>
      <c r="H1123" s="69" t="n">
        <v>120</v>
      </c>
    </row>
    <row r="1124" customFormat="false" ht="15" hidden="false" customHeight="true" outlineLevel="0" collapsed="false">
      <c r="B1124" s="64"/>
      <c r="C1124" s="65" t="s">
        <v>34</v>
      </c>
      <c r="D1124" s="73"/>
      <c r="E1124" s="71" t="n">
        <v>130</v>
      </c>
      <c r="F1124" s="67"/>
      <c r="G1124" s="68"/>
      <c r="H1124" s="69" t="n">
        <v>130</v>
      </c>
    </row>
    <row r="1125" customFormat="false" ht="15" hidden="false" customHeight="true" outlineLevel="0" collapsed="false">
      <c r="B1125" s="84"/>
      <c r="C1125" s="85" t="s">
        <v>29</v>
      </c>
      <c r="D1125" s="86" t="n">
        <v>248</v>
      </c>
      <c r="E1125" s="75"/>
      <c r="F1125" s="75"/>
      <c r="G1125" s="77"/>
      <c r="H1125" s="78" t="n">
        <v>248</v>
      </c>
    </row>
    <row r="1126" customFormat="false" ht="15" hidden="false" customHeight="true" outlineLevel="0" collapsed="false">
      <c r="B1126" s="87" t="s">
        <v>848</v>
      </c>
      <c r="C1126" s="88"/>
      <c r="D1126" s="89" t="n">
        <v>5802</v>
      </c>
      <c r="E1126" s="89" t="n">
        <v>250</v>
      </c>
      <c r="F1126" s="90"/>
      <c r="G1126" s="90"/>
      <c r="H1126" s="91" t="n">
        <v>6052</v>
      </c>
    </row>
    <row r="1127" customFormat="false" ht="15" hidden="false" customHeight="true" outlineLevel="0" collapsed="false">
      <c r="B1127" s="56" t="n">
        <v>45787</v>
      </c>
      <c r="C1127" s="57" t="s">
        <v>53</v>
      </c>
      <c r="D1127" s="58"/>
      <c r="E1127" s="59"/>
      <c r="F1127" s="60" t="n">
        <v>1395</v>
      </c>
      <c r="G1127" s="61"/>
      <c r="H1127" s="62" t="n">
        <v>1395</v>
      </c>
    </row>
    <row r="1128" customFormat="false" ht="15" hidden="false" customHeight="true" outlineLevel="0" collapsed="false">
      <c r="B1128" s="64"/>
      <c r="C1128" s="65" t="s">
        <v>19</v>
      </c>
      <c r="D1128" s="66" t="n">
        <v>2576</v>
      </c>
      <c r="E1128" s="67"/>
      <c r="F1128" s="67"/>
      <c r="G1128" s="68"/>
      <c r="H1128" s="69" t="n">
        <v>2576</v>
      </c>
    </row>
    <row r="1129" customFormat="false" ht="15" hidden="false" customHeight="true" outlineLevel="0" collapsed="false">
      <c r="B1129" s="64"/>
      <c r="C1129" s="65" t="s">
        <v>25</v>
      </c>
      <c r="D1129" s="66" t="n">
        <v>683</v>
      </c>
      <c r="E1129" s="67"/>
      <c r="F1129" s="67"/>
      <c r="G1129" s="68"/>
      <c r="H1129" s="69" t="n">
        <v>683</v>
      </c>
    </row>
    <row r="1130" customFormat="false" ht="15" hidden="false" customHeight="true" outlineLevel="0" collapsed="false">
      <c r="B1130" s="64"/>
      <c r="C1130" s="65" t="s">
        <v>50</v>
      </c>
      <c r="D1130" s="66" t="n">
        <v>1760</v>
      </c>
      <c r="E1130" s="67"/>
      <c r="F1130" s="67"/>
      <c r="G1130" s="68"/>
      <c r="H1130" s="69" t="n">
        <v>1760</v>
      </c>
    </row>
    <row r="1131" customFormat="false" ht="15" hidden="false" customHeight="true" outlineLevel="0" collapsed="false">
      <c r="B1131" s="64"/>
      <c r="C1131" s="65" t="s">
        <v>22</v>
      </c>
      <c r="D1131" s="73"/>
      <c r="E1131" s="67"/>
      <c r="F1131" s="71" t="n">
        <v>110</v>
      </c>
      <c r="G1131" s="68"/>
      <c r="H1131" s="69" t="n">
        <v>110</v>
      </c>
    </row>
    <row r="1132" customFormat="false" ht="15" hidden="false" customHeight="true" outlineLevel="0" collapsed="false">
      <c r="B1132" s="64"/>
      <c r="C1132" s="65" t="s">
        <v>37</v>
      </c>
      <c r="D1132" s="73"/>
      <c r="E1132" s="67"/>
      <c r="F1132" s="71" t="n">
        <v>15</v>
      </c>
      <c r="G1132" s="68"/>
      <c r="H1132" s="69" t="n">
        <v>15</v>
      </c>
    </row>
    <row r="1133" customFormat="false" ht="15" hidden="false" customHeight="true" outlineLevel="0" collapsed="false">
      <c r="B1133" s="64"/>
      <c r="C1133" s="65" t="s">
        <v>60</v>
      </c>
      <c r="D1133" s="73"/>
      <c r="E1133" s="71" t="n">
        <v>210</v>
      </c>
      <c r="F1133" s="67"/>
      <c r="G1133" s="68"/>
      <c r="H1133" s="69" t="n">
        <v>210</v>
      </c>
    </row>
    <row r="1134" customFormat="false" ht="15" hidden="false" customHeight="true" outlineLevel="0" collapsed="false">
      <c r="B1134" s="64"/>
      <c r="C1134" s="65" t="s">
        <v>40</v>
      </c>
      <c r="D1134" s="73"/>
      <c r="E1134" s="71" t="n">
        <v>1140</v>
      </c>
      <c r="F1134" s="67"/>
      <c r="G1134" s="68"/>
      <c r="H1134" s="69" t="n">
        <v>1140</v>
      </c>
    </row>
    <row r="1135" customFormat="false" ht="15" hidden="false" customHeight="true" outlineLevel="0" collapsed="false">
      <c r="B1135" s="64"/>
      <c r="C1135" s="65" t="s">
        <v>34</v>
      </c>
      <c r="D1135" s="73"/>
      <c r="E1135" s="71" t="n">
        <v>125</v>
      </c>
      <c r="F1135" s="67"/>
      <c r="G1135" s="68"/>
      <c r="H1135" s="69" t="n">
        <v>125</v>
      </c>
    </row>
    <row r="1136" customFormat="false" ht="15" hidden="false" customHeight="true" outlineLevel="0" collapsed="false">
      <c r="B1136" s="84"/>
      <c r="C1136" s="85" t="s">
        <v>29</v>
      </c>
      <c r="D1136" s="86" t="n">
        <v>344</v>
      </c>
      <c r="E1136" s="76" t="n">
        <v>60</v>
      </c>
      <c r="F1136" s="75"/>
      <c r="G1136" s="77"/>
      <c r="H1136" s="78" t="n">
        <v>404</v>
      </c>
    </row>
    <row r="1137" customFormat="false" ht="15" hidden="false" customHeight="true" outlineLevel="0" collapsed="false">
      <c r="B1137" s="87" t="s">
        <v>849</v>
      </c>
      <c r="C1137" s="88"/>
      <c r="D1137" s="89" t="n">
        <v>5363</v>
      </c>
      <c r="E1137" s="89" t="n">
        <v>1535</v>
      </c>
      <c r="F1137" s="89" t="n">
        <v>1520</v>
      </c>
      <c r="G1137" s="90"/>
      <c r="H1137" s="91" t="n">
        <v>8418</v>
      </c>
    </row>
    <row r="1138" customFormat="false" ht="15" hidden="false" customHeight="true" outlineLevel="0" collapsed="false">
      <c r="B1138" s="56" t="n">
        <v>45788</v>
      </c>
      <c r="C1138" s="57" t="s">
        <v>19</v>
      </c>
      <c r="D1138" s="92" t="n">
        <v>3059</v>
      </c>
      <c r="E1138" s="59"/>
      <c r="F1138" s="59"/>
      <c r="G1138" s="61"/>
      <c r="H1138" s="62" t="n">
        <v>3059</v>
      </c>
    </row>
    <row r="1139" customFormat="false" ht="15" hidden="false" customHeight="true" outlineLevel="0" collapsed="false">
      <c r="B1139" s="64"/>
      <c r="C1139" s="65" t="s">
        <v>25</v>
      </c>
      <c r="D1139" s="66" t="n">
        <v>853</v>
      </c>
      <c r="E1139" s="71" t="n">
        <v>680</v>
      </c>
      <c r="F1139" s="67"/>
      <c r="G1139" s="68"/>
      <c r="H1139" s="69" t="n">
        <v>1533</v>
      </c>
    </row>
    <row r="1140" customFormat="false" ht="15" hidden="false" customHeight="true" outlineLevel="0" collapsed="false">
      <c r="B1140" s="64"/>
      <c r="C1140" s="65" t="s">
        <v>28</v>
      </c>
      <c r="D1140" s="73"/>
      <c r="E1140" s="67"/>
      <c r="F1140" s="71" t="n">
        <v>825</v>
      </c>
      <c r="G1140" s="68"/>
      <c r="H1140" s="69" t="n">
        <v>825</v>
      </c>
    </row>
    <row r="1141" customFormat="false" ht="15" hidden="false" customHeight="true" outlineLevel="0" collapsed="false">
      <c r="B1141" s="64"/>
      <c r="C1141" s="65" t="s">
        <v>50</v>
      </c>
      <c r="D1141" s="66" t="n">
        <v>1760</v>
      </c>
      <c r="E1141" s="67"/>
      <c r="F1141" s="67"/>
      <c r="G1141" s="68"/>
      <c r="H1141" s="69" t="n">
        <v>1760</v>
      </c>
    </row>
    <row r="1142" customFormat="false" ht="15" hidden="false" customHeight="true" outlineLevel="0" collapsed="false">
      <c r="B1142" s="64"/>
      <c r="C1142" s="65" t="s">
        <v>22</v>
      </c>
      <c r="D1142" s="66" t="n">
        <v>5426</v>
      </c>
      <c r="E1142" s="67"/>
      <c r="F1142" s="67"/>
      <c r="G1142" s="68"/>
      <c r="H1142" s="69" t="n">
        <v>5426</v>
      </c>
    </row>
    <row r="1143" customFormat="false" ht="15" hidden="false" customHeight="true" outlineLevel="0" collapsed="false">
      <c r="B1143" s="64"/>
      <c r="C1143" s="65" t="s">
        <v>37</v>
      </c>
      <c r="D1143" s="73"/>
      <c r="E1143" s="67"/>
      <c r="F1143" s="71" t="n">
        <v>25</v>
      </c>
      <c r="G1143" s="68"/>
      <c r="H1143" s="69" t="n">
        <v>25</v>
      </c>
    </row>
    <row r="1144" customFormat="false" ht="15" hidden="false" customHeight="true" outlineLevel="0" collapsed="false">
      <c r="B1144" s="64"/>
      <c r="C1144" s="65" t="s">
        <v>34</v>
      </c>
      <c r="D1144" s="73"/>
      <c r="E1144" s="71" t="n">
        <v>150</v>
      </c>
      <c r="F1144" s="67"/>
      <c r="G1144" s="68"/>
      <c r="H1144" s="69" t="n">
        <v>150</v>
      </c>
    </row>
    <row r="1145" customFormat="false" ht="15" hidden="false" customHeight="true" outlineLevel="0" collapsed="false">
      <c r="B1145" s="84"/>
      <c r="C1145" s="85" t="s">
        <v>29</v>
      </c>
      <c r="D1145" s="86" t="n">
        <v>484</v>
      </c>
      <c r="E1145" s="76" t="n">
        <v>670</v>
      </c>
      <c r="F1145" s="75"/>
      <c r="G1145" s="77"/>
      <c r="H1145" s="78" t="n">
        <v>1154</v>
      </c>
    </row>
    <row r="1146" customFormat="false" ht="15" hidden="false" customHeight="true" outlineLevel="0" collapsed="false">
      <c r="B1146" s="87" t="s">
        <v>850</v>
      </c>
      <c r="C1146" s="88"/>
      <c r="D1146" s="89" t="n">
        <v>11582</v>
      </c>
      <c r="E1146" s="89" t="n">
        <v>1500</v>
      </c>
      <c r="F1146" s="89" t="n">
        <v>850</v>
      </c>
      <c r="G1146" s="90"/>
      <c r="H1146" s="91" t="n">
        <v>13932</v>
      </c>
    </row>
    <row r="1147" customFormat="false" ht="15" hidden="false" customHeight="true" outlineLevel="0" collapsed="false">
      <c r="B1147" s="56" t="n">
        <v>45789</v>
      </c>
      <c r="C1147" s="57" t="s">
        <v>47</v>
      </c>
      <c r="D1147" s="92" t="n">
        <v>1680</v>
      </c>
      <c r="E1147" s="59"/>
      <c r="F1147" s="59"/>
      <c r="G1147" s="61"/>
      <c r="H1147" s="62" t="n">
        <v>1680</v>
      </c>
    </row>
    <row r="1148" customFormat="false" ht="15" hidden="false" customHeight="true" outlineLevel="0" collapsed="false">
      <c r="B1148" s="64"/>
      <c r="C1148" s="65" t="s">
        <v>19</v>
      </c>
      <c r="D1148" s="66" t="n">
        <v>3613</v>
      </c>
      <c r="E1148" s="67"/>
      <c r="F1148" s="67"/>
      <c r="G1148" s="68"/>
      <c r="H1148" s="69" t="n">
        <v>3613</v>
      </c>
    </row>
    <row r="1149" customFormat="false" ht="15" hidden="false" customHeight="true" outlineLevel="0" collapsed="false">
      <c r="B1149" s="64"/>
      <c r="C1149" s="65" t="s">
        <v>25</v>
      </c>
      <c r="D1149" s="66" t="n">
        <v>790</v>
      </c>
      <c r="E1149" s="67"/>
      <c r="F1149" s="67"/>
      <c r="G1149" s="68"/>
      <c r="H1149" s="69" t="n">
        <v>790</v>
      </c>
    </row>
    <row r="1150" customFormat="false" ht="15" hidden="false" customHeight="true" outlineLevel="0" collapsed="false">
      <c r="B1150" s="64"/>
      <c r="C1150" s="65" t="s">
        <v>22</v>
      </c>
      <c r="D1150" s="66" t="n">
        <v>4547</v>
      </c>
      <c r="E1150" s="71" t="n">
        <v>150</v>
      </c>
      <c r="F1150" s="67"/>
      <c r="G1150" s="68"/>
      <c r="H1150" s="69" t="n">
        <v>4697</v>
      </c>
    </row>
    <row r="1151" customFormat="false" ht="15" hidden="false" customHeight="true" outlineLevel="0" collapsed="false">
      <c r="B1151" s="64"/>
      <c r="C1151" s="65" t="s">
        <v>37</v>
      </c>
      <c r="D1151" s="73"/>
      <c r="E1151" s="67"/>
      <c r="F1151" s="71" t="n">
        <v>20</v>
      </c>
      <c r="G1151" s="68"/>
      <c r="H1151" s="69" t="n">
        <v>20</v>
      </c>
    </row>
    <row r="1152" customFormat="false" ht="15" hidden="false" customHeight="true" outlineLevel="0" collapsed="false">
      <c r="B1152" s="64"/>
      <c r="C1152" s="65" t="s">
        <v>40</v>
      </c>
      <c r="D1152" s="73"/>
      <c r="E1152" s="71" t="n">
        <v>2220</v>
      </c>
      <c r="F1152" s="67"/>
      <c r="G1152" s="68"/>
      <c r="H1152" s="69" t="n">
        <v>2220</v>
      </c>
    </row>
    <row r="1153" customFormat="false" ht="15" hidden="false" customHeight="true" outlineLevel="0" collapsed="false">
      <c r="B1153" s="64"/>
      <c r="C1153" s="65" t="s">
        <v>31</v>
      </c>
      <c r="D1153" s="73"/>
      <c r="E1153" s="71" t="n">
        <v>300</v>
      </c>
      <c r="F1153" s="67"/>
      <c r="G1153" s="68"/>
      <c r="H1153" s="69" t="n">
        <v>300</v>
      </c>
    </row>
    <row r="1154" customFormat="false" ht="15" hidden="false" customHeight="true" outlineLevel="0" collapsed="false">
      <c r="B1154" s="64"/>
      <c r="C1154" s="65" t="s">
        <v>35</v>
      </c>
      <c r="D1154" s="73"/>
      <c r="E1154" s="71" t="n">
        <v>130</v>
      </c>
      <c r="F1154" s="67"/>
      <c r="G1154" s="68"/>
      <c r="H1154" s="69" t="n">
        <v>130</v>
      </c>
    </row>
    <row r="1155" customFormat="false" ht="15" hidden="false" customHeight="true" outlineLevel="0" collapsed="false">
      <c r="B1155" s="64"/>
      <c r="C1155" s="65" t="s">
        <v>34</v>
      </c>
      <c r="D1155" s="73"/>
      <c r="E1155" s="71" t="n">
        <v>150</v>
      </c>
      <c r="F1155" s="67"/>
      <c r="G1155" s="68"/>
      <c r="H1155" s="69" t="n">
        <v>150</v>
      </c>
    </row>
    <row r="1156" customFormat="false" ht="15" hidden="false" customHeight="true" outlineLevel="0" collapsed="false">
      <c r="B1156" s="84"/>
      <c r="C1156" s="85" t="s">
        <v>29</v>
      </c>
      <c r="D1156" s="86" t="n">
        <v>648</v>
      </c>
      <c r="E1156" s="75"/>
      <c r="F1156" s="75"/>
      <c r="G1156" s="77"/>
      <c r="H1156" s="78" t="n">
        <v>648</v>
      </c>
    </row>
    <row r="1157" customFormat="false" ht="15" hidden="false" customHeight="true" outlineLevel="0" collapsed="false">
      <c r="B1157" s="87" t="s">
        <v>851</v>
      </c>
      <c r="C1157" s="88"/>
      <c r="D1157" s="89" t="n">
        <v>11278</v>
      </c>
      <c r="E1157" s="89" t="n">
        <v>2950</v>
      </c>
      <c r="F1157" s="89" t="n">
        <v>20</v>
      </c>
      <c r="G1157" s="90"/>
      <c r="H1157" s="91" t="n">
        <v>14248</v>
      </c>
    </row>
    <row r="1158" customFormat="false" ht="15" hidden="false" customHeight="true" outlineLevel="0" collapsed="false">
      <c r="B1158" s="56" t="n">
        <v>45790</v>
      </c>
      <c r="C1158" s="57" t="s">
        <v>19</v>
      </c>
      <c r="D1158" s="92" t="n">
        <v>795</v>
      </c>
      <c r="E1158" s="59"/>
      <c r="F1158" s="59"/>
      <c r="G1158" s="61"/>
      <c r="H1158" s="62" t="n">
        <v>795</v>
      </c>
    </row>
    <row r="1159" customFormat="false" ht="15" hidden="false" customHeight="true" outlineLevel="0" collapsed="false">
      <c r="B1159" s="64"/>
      <c r="C1159" s="65" t="s">
        <v>25</v>
      </c>
      <c r="D1159" s="66" t="n">
        <v>939</v>
      </c>
      <c r="E1159" s="67"/>
      <c r="F1159" s="67"/>
      <c r="G1159" s="68"/>
      <c r="H1159" s="69" t="n">
        <v>939</v>
      </c>
    </row>
    <row r="1160" customFormat="false" ht="15" hidden="false" customHeight="true" outlineLevel="0" collapsed="false">
      <c r="B1160" s="64"/>
      <c r="C1160" s="65" t="s">
        <v>22</v>
      </c>
      <c r="D1160" s="66" t="n">
        <v>2443</v>
      </c>
      <c r="E1160" s="67"/>
      <c r="F1160" s="67"/>
      <c r="G1160" s="68"/>
      <c r="H1160" s="69" t="n">
        <v>2443</v>
      </c>
    </row>
    <row r="1161" customFormat="false" ht="15" hidden="false" customHeight="true" outlineLevel="0" collapsed="false">
      <c r="B1161" s="64"/>
      <c r="C1161" s="65" t="s">
        <v>31</v>
      </c>
      <c r="D1161" s="73"/>
      <c r="E1161" s="71" t="n">
        <v>200</v>
      </c>
      <c r="F1161" s="67"/>
      <c r="G1161" s="68"/>
      <c r="H1161" s="69" t="n">
        <v>200</v>
      </c>
    </row>
    <row r="1162" customFormat="false" ht="15" hidden="false" customHeight="true" outlineLevel="0" collapsed="false">
      <c r="B1162" s="64"/>
      <c r="C1162" s="65" t="s">
        <v>34</v>
      </c>
      <c r="D1162" s="73"/>
      <c r="E1162" s="71" t="n">
        <v>150</v>
      </c>
      <c r="F1162" s="67"/>
      <c r="G1162" s="68"/>
      <c r="H1162" s="69" t="n">
        <v>150</v>
      </c>
    </row>
    <row r="1163" customFormat="false" ht="15" hidden="false" customHeight="true" outlineLevel="0" collapsed="false">
      <c r="B1163" s="84"/>
      <c r="C1163" s="85" t="s">
        <v>29</v>
      </c>
      <c r="D1163" s="86" t="n">
        <v>325</v>
      </c>
      <c r="E1163" s="75"/>
      <c r="F1163" s="75"/>
      <c r="G1163" s="77"/>
      <c r="H1163" s="78" t="n">
        <v>325</v>
      </c>
    </row>
    <row r="1164" customFormat="false" ht="15" hidden="false" customHeight="true" outlineLevel="0" collapsed="false">
      <c r="B1164" s="87" t="s">
        <v>852</v>
      </c>
      <c r="C1164" s="88"/>
      <c r="D1164" s="89" t="n">
        <v>4502</v>
      </c>
      <c r="E1164" s="89" t="n">
        <v>350</v>
      </c>
      <c r="F1164" s="90"/>
      <c r="G1164" s="90"/>
      <c r="H1164" s="91" t="n">
        <v>4852</v>
      </c>
    </row>
    <row r="1165" customFormat="false" ht="15" hidden="false" customHeight="true" outlineLevel="0" collapsed="false">
      <c r="B1165" s="56" t="n">
        <v>45791</v>
      </c>
      <c r="C1165" s="57" t="s">
        <v>44</v>
      </c>
      <c r="D1165" s="92" t="n">
        <v>5000</v>
      </c>
      <c r="E1165" s="59"/>
      <c r="F1165" s="59"/>
      <c r="G1165" s="61"/>
      <c r="H1165" s="62" t="n">
        <v>5000</v>
      </c>
    </row>
    <row r="1166" customFormat="false" ht="15" hidden="false" customHeight="true" outlineLevel="0" collapsed="false">
      <c r="B1166" s="64"/>
      <c r="C1166" s="65" t="s">
        <v>53</v>
      </c>
      <c r="D1166" s="73"/>
      <c r="E1166" s="71" t="n">
        <v>900</v>
      </c>
      <c r="F1166" s="71" t="n">
        <v>585</v>
      </c>
      <c r="G1166" s="68"/>
      <c r="H1166" s="69" t="n">
        <v>1485</v>
      </c>
    </row>
    <row r="1167" customFormat="false" ht="15" hidden="false" customHeight="true" outlineLevel="0" collapsed="false">
      <c r="B1167" s="64"/>
      <c r="C1167" s="65" t="s">
        <v>255</v>
      </c>
      <c r="D1167" s="73"/>
      <c r="E1167" s="71" t="n">
        <v>6000</v>
      </c>
      <c r="F1167" s="67"/>
      <c r="G1167" s="68"/>
      <c r="H1167" s="69" t="n">
        <v>6000</v>
      </c>
    </row>
    <row r="1168" customFormat="false" ht="15" hidden="false" customHeight="true" outlineLevel="0" collapsed="false">
      <c r="B1168" s="64"/>
      <c r="C1168" s="65" t="s">
        <v>47</v>
      </c>
      <c r="D1168" s="66" t="n">
        <v>840</v>
      </c>
      <c r="E1168" s="67"/>
      <c r="F1168" s="67"/>
      <c r="G1168" s="68"/>
      <c r="H1168" s="69" t="n">
        <v>840</v>
      </c>
    </row>
    <row r="1169" customFormat="false" ht="15" hidden="false" customHeight="true" outlineLevel="0" collapsed="false">
      <c r="B1169" s="64"/>
      <c r="C1169" s="65" t="s">
        <v>19</v>
      </c>
      <c r="D1169" s="66" t="n">
        <v>4004</v>
      </c>
      <c r="E1169" s="67"/>
      <c r="F1169" s="67"/>
      <c r="G1169" s="68"/>
      <c r="H1169" s="69" t="n">
        <v>4004</v>
      </c>
    </row>
    <row r="1170" customFormat="false" ht="15" hidden="false" customHeight="true" outlineLevel="0" collapsed="false">
      <c r="B1170" s="64"/>
      <c r="C1170" s="65" t="s">
        <v>25</v>
      </c>
      <c r="D1170" s="66" t="n">
        <v>925</v>
      </c>
      <c r="E1170" s="67"/>
      <c r="F1170" s="67"/>
      <c r="G1170" s="68"/>
      <c r="H1170" s="69" t="n">
        <v>925</v>
      </c>
    </row>
    <row r="1171" customFormat="false" ht="15" hidden="false" customHeight="true" outlineLevel="0" collapsed="false">
      <c r="B1171" s="64"/>
      <c r="C1171" s="65" t="s">
        <v>51</v>
      </c>
      <c r="D1171" s="66" t="n">
        <v>2340</v>
      </c>
      <c r="E1171" s="67"/>
      <c r="F1171" s="67"/>
      <c r="G1171" s="68"/>
      <c r="H1171" s="69" t="n">
        <v>2340</v>
      </c>
    </row>
    <row r="1172" customFormat="false" ht="15" hidden="false" customHeight="true" outlineLevel="0" collapsed="false">
      <c r="B1172" s="64"/>
      <c r="C1172" s="65" t="s">
        <v>22</v>
      </c>
      <c r="D1172" s="66" t="n">
        <v>1950</v>
      </c>
      <c r="E1172" s="67"/>
      <c r="F1172" s="67"/>
      <c r="G1172" s="68"/>
      <c r="H1172" s="69" t="n">
        <v>1950</v>
      </c>
    </row>
    <row r="1173" customFormat="false" ht="15" hidden="false" customHeight="true" outlineLevel="0" collapsed="false">
      <c r="B1173" s="64"/>
      <c r="C1173" s="65" t="s">
        <v>34</v>
      </c>
      <c r="D1173" s="73"/>
      <c r="E1173" s="71" t="n">
        <v>140</v>
      </c>
      <c r="F1173" s="67"/>
      <c r="G1173" s="68"/>
      <c r="H1173" s="69" t="n">
        <v>140</v>
      </c>
    </row>
    <row r="1174" customFormat="false" ht="15" hidden="false" customHeight="true" outlineLevel="0" collapsed="false">
      <c r="B1174" s="84"/>
      <c r="C1174" s="85" t="s">
        <v>29</v>
      </c>
      <c r="D1174" s="86" t="n">
        <v>193</v>
      </c>
      <c r="E1174" s="75"/>
      <c r="F1174" s="75"/>
      <c r="G1174" s="77"/>
      <c r="H1174" s="78" t="n">
        <v>193</v>
      </c>
    </row>
    <row r="1175" customFormat="false" ht="15" hidden="false" customHeight="true" outlineLevel="0" collapsed="false">
      <c r="B1175" s="87" t="s">
        <v>853</v>
      </c>
      <c r="C1175" s="88"/>
      <c r="D1175" s="89" t="n">
        <v>15252</v>
      </c>
      <c r="E1175" s="89" t="n">
        <v>7040</v>
      </c>
      <c r="F1175" s="89" t="n">
        <v>585</v>
      </c>
      <c r="G1175" s="90"/>
      <c r="H1175" s="91" t="n">
        <v>22877</v>
      </c>
    </row>
    <row r="1176" customFormat="false" ht="15" hidden="false" customHeight="true" outlineLevel="0" collapsed="false">
      <c r="B1176" s="56" t="n">
        <v>45792</v>
      </c>
      <c r="C1176" s="57" t="s">
        <v>19</v>
      </c>
      <c r="D1176" s="92" t="n">
        <v>3547</v>
      </c>
      <c r="E1176" s="59"/>
      <c r="F1176" s="59"/>
      <c r="G1176" s="61"/>
      <c r="H1176" s="62" t="n">
        <v>3547</v>
      </c>
    </row>
    <row r="1177" customFormat="false" ht="15" hidden="false" customHeight="true" outlineLevel="0" collapsed="false">
      <c r="B1177" s="64"/>
      <c r="C1177" s="65" t="s">
        <v>25</v>
      </c>
      <c r="D1177" s="66" t="n">
        <v>1186</v>
      </c>
      <c r="E1177" s="71" t="n">
        <v>1000</v>
      </c>
      <c r="F1177" s="67"/>
      <c r="G1177" s="68"/>
      <c r="H1177" s="69" t="n">
        <v>2186</v>
      </c>
    </row>
    <row r="1178" customFormat="false" ht="15" hidden="false" customHeight="true" outlineLevel="0" collapsed="false">
      <c r="B1178" s="64"/>
      <c r="C1178" s="65" t="s">
        <v>28</v>
      </c>
      <c r="D1178" s="73"/>
      <c r="E1178" s="67"/>
      <c r="F1178" s="71" t="n">
        <v>840</v>
      </c>
      <c r="G1178" s="68"/>
      <c r="H1178" s="69" t="n">
        <v>840</v>
      </c>
    </row>
    <row r="1179" customFormat="false" ht="15" hidden="false" customHeight="true" outlineLevel="0" collapsed="false">
      <c r="B1179" s="64"/>
      <c r="C1179" s="65" t="s">
        <v>22</v>
      </c>
      <c r="D1179" s="66" t="n">
        <v>1650</v>
      </c>
      <c r="E1179" s="71" t="n">
        <v>130</v>
      </c>
      <c r="F1179" s="67"/>
      <c r="G1179" s="68"/>
      <c r="H1179" s="69" t="n">
        <v>1780</v>
      </c>
    </row>
    <row r="1180" customFormat="false" ht="15" hidden="false" customHeight="true" outlineLevel="0" collapsed="false">
      <c r="B1180" s="64"/>
      <c r="C1180" s="65" t="s">
        <v>43</v>
      </c>
      <c r="D1180" s="73"/>
      <c r="E1180" s="71" t="n">
        <v>100</v>
      </c>
      <c r="F1180" s="67"/>
      <c r="G1180" s="68"/>
      <c r="H1180" s="69" t="n">
        <v>100</v>
      </c>
    </row>
    <row r="1181" customFormat="false" ht="15" hidden="false" customHeight="true" outlineLevel="0" collapsed="false">
      <c r="B1181" s="64"/>
      <c r="C1181" s="65" t="s">
        <v>34</v>
      </c>
      <c r="D1181" s="73"/>
      <c r="E1181" s="71" t="n">
        <v>140</v>
      </c>
      <c r="F1181" s="67"/>
      <c r="G1181" s="68"/>
      <c r="H1181" s="69" t="n">
        <v>140</v>
      </c>
    </row>
    <row r="1182" customFormat="false" ht="15" hidden="false" customHeight="true" outlineLevel="0" collapsed="false">
      <c r="B1182" s="84"/>
      <c r="C1182" s="85" t="s">
        <v>29</v>
      </c>
      <c r="D1182" s="86" t="n">
        <v>380</v>
      </c>
      <c r="E1182" s="75"/>
      <c r="F1182" s="75"/>
      <c r="G1182" s="77"/>
      <c r="H1182" s="78" t="n">
        <v>380</v>
      </c>
    </row>
    <row r="1183" customFormat="false" ht="15" hidden="false" customHeight="true" outlineLevel="0" collapsed="false">
      <c r="B1183" s="87" t="s">
        <v>854</v>
      </c>
      <c r="C1183" s="88"/>
      <c r="D1183" s="89" t="n">
        <v>6763</v>
      </c>
      <c r="E1183" s="89" t="n">
        <v>1370</v>
      </c>
      <c r="F1183" s="89" t="n">
        <v>840</v>
      </c>
      <c r="G1183" s="90"/>
      <c r="H1183" s="91" t="n">
        <v>8973</v>
      </c>
    </row>
    <row r="1184" customFormat="false" ht="15" hidden="false" customHeight="true" outlineLevel="0" collapsed="false">
      <c r="B1184" s="56" t="n">
        <v>45793</v>
      </c>
      <c r="C1184" s="57" t="s">
        <v>47</v>
      </c>
      <c r="D1184" s="92" t="n">
        <v>1680</v>
      </c>
      <c r="E1184" s="59"/>
      <c r="F1184" s="59"/>
      <c r="G1184" s="61"/>
      <c r="H1184" s="62" t="n">
        <v>1680</v>
      </c>
    </row>
    <row r="1185" customFormat="false" ht="15" hidden="false" customHeight="true" outlineLevel="0" collapsed="false">
      <c r="B1185" s="64"/>
      <c r="C1185" s="65" t="s">
        <v>19</v>
      </c>
      <c r="D1185" s="66" t="n">
        <v>2178</v>
      </c>
      <c r="E1185" s="67"/>
      <c r="F1185" s="67"/>
      <c r="G1185" s="68"/>
      <c r="H1185" s="69" t="n">
        <v>2178</v>
      </c>
    </row>
    <row r="1186" customFormat="false" ht="15" hidden="false" customHeight="true" outlineLevel="0" collapsed="false">
      <c r="B1186" s="64"/>
      <c r="C1186" s="65" t="s">
        <v>25</v>
      </c>
      <c r="D1186" s="66" t="n">
        <v>491</v>
      </c>
      <c r="E1186" s="67"/>
      <c r="F1186" s="67"/>
      <c r="G1186" s="68"/>
      <c r="H1186" s="69" t="n">
        <v>491</v>
      </c>
    </row>
    <row r="1187" customFormat="false" ht="15" hidden="false" customHeight="true" outlineLevel="0" collapsed="false">
      <c r="B1187" s="64"/>
      <c r="C1187" s="65" t="s">
        <v>50</v>
      </c>
      <c r="D1187" s="66" t="n">
        <v>1760</v>
      </c>
      <c r="E1187" s="67"/>
      <c r="F1187" s="67"/>
      <c r="G1187" s="68"/>
      <c r="H1187" s="69" t="n">
        <v>1760</v>
      </c>
    </row>
    <row r="1188" customFormat="false" ht="15" hidden="false" customHeight="true" outlineLevel="0" collapsed="false">
      <c r="B1188" s="64"/>
      <c r="C1188" s="65" t="s">
        <v>43</v>
      </c>
      <c r="D1188" s="73"/>
      <c r="E1188" s="71" t="n">
        <v>5350</v>
      </c>
      <c r="F1188" s="67"/>
      <c r="G1188" s="68"/>
      <c r="H1188" s="69" t="n">
        <v>5350</v>
      </c>
    </row>
    <row r="1189" customFormat="false" ht="15" hidden="false" customHeight="true" outlineLevel="0" collapsed="false">
      <c r="B1189" s="64"/>
      <c r="C1189" s="65" t="s">
        <v>31</v>
      </c>
      <c r="D1189" s="73"/>
      <c r="E1189" s="71" t="n">
        <v>1300</v>
      </c>
      <c r="F1189" s="67"/>
      <c r="G1189" s="68"/>
      <c r="H1189" s="69" t="n">
        <v>1300</v>
      </c>
    </row>
    <row r="1190" customFormat="false" ht="15" hidden="false" customHeight="true" outlineLevel="0" collapsed="false">
      <c r="B1190" s="64"/>
      <c r="C1190" s="65" t="s">
        <v>34</v>
      </c>
      <c r="D1190" s="73"/>
      <c r="E1190" s="71" t="n">
        <v>150</v>
      </c>
      <c r="F1190" s="67"/>
      <c r="G1190" s="68"/>
      <c r="H1190" s="69" t="n">
        <v>150</v>
      </c>
    </row>
    <row r="1191" customFormat="false" ht="15" hidden="false" customHeight="true" outlineLevel="0" collapsed="false">
      <c r="B1191" s="84"/>
      <c r="C1191" s="85" t="s">
        <v>29</v>
      </c>
      <c r="D1191" s="86" t="n">
        <v>318</v>
      </c>
      <c r="E1191" s="75"/>
      <c r="F1191" s="76" t="n">
        <v>30</v>
      </c>
      <c r="G1191" s="77"/>
      <c r="H1191" s="78" t="n">
        <v>348</v>
      </c>
    </row>
    <row r="1192" customFormat="false" ht="15" hidden="false" customHeight="true" outlineLevel="0" collapsed="false">
      <c r="B1192" s="87" t="s">
        <v>855</v>
      </c>
      <c r="C1192" s="88"/>
      <c r="D1192" s="89" t="n">
        <v>6427</v>
      </c>
      <c r="E1192" s="89" t="n">
        <v>6800</v>
      </c>
      <c r="F1192" s="89" t="n">
        <v>30</v>
      </c>
      <c r="G1192" s="90"/>
      <c r="H1192" s="91" t="n">
        <v>13257</v>
      </c>
    </row>
    <row r="1193" customFormat="false" ht="15" hidden="false" customHeight="true" outlineLevel="0" collapsed="false">
      <c r="B1193" s="56" t="n">
        <v>45794</v>
      </c>
      <c r="C1193" s="57" t="s">
        <v>32</v>
      </c>
      <c r="D1193" s="58"/>
      <c r="E1193" s="59"/>
      <c r="F1193" s="60" t="n">
        <v>280</v>
      </c>
      <c r="G1193" s="61"/>
      <c r="H1193" s="62" t="n">
        <v>280</v>
      </c>
    </row>
    <row r="1194" customFormat="false" ht="15" hidden="false" customHeight="true" outlineLevel="0" collapsed="false">
      <c r="B1194" s="64"/>
      <c r="C1194" s="65" t="s">
        <v>53</v>
      </c>
      <c r="D1194" s="73"/>
      <c r="E1194" s="67"/>
      <c r="F1194" s="71" t="n">
        <v>585</v>
      </c>
      <c r="G1194" s="68"/>
      <c r="H1194" s="69" t="n">
        <v>585</v>
      </c>
    </row>
    <row r="1195" customFormat="false" ht="15" hidden="false" customHeight="true" outlineLevel="0" collapsed="false">
      <c r="B1195" s="64"/>
      <c r="C1195" s="65" t="s">
        <v>47</v>
      </c>
      <c r="D1195" s="66" t="n">
        <v>840</v>
      </c>
      <c r="E1195" s="67"/>
      <c r="F1195" s="67"/>
      <c r="G1195" s="68"/>
      <c r="H1195" s="69" t="n">
        <v>840</v>
      </c>
    </row>
    <row r="1196" customFormat="false" ht="15" hidden="false" customHeight="true" outlineLevel="0" collapsed="false">
      <c r="B1196" s="64"/>
      <c r="C1196" s="65" t="s">
        <v>19</v>
      </c>
      <c r="D1196" s="66" t="n">
        <v>5502</v>
      </c>
      <c r="E1196" s="67"/>
      <c r="F1196" s="67"/>
      <c r="G1196" s="68"/>
      <c r="H1196" s="69" t="n">
        <v>5502</v>
      </c>
    </row>
    <row r="1197" customFormat="false" ht="15" hidden="false" customHeight="true" outlineLevel="0" collapsed="false">
      <c r="B1197" s="64"/>
      <c r="C1197" s="65" t="s">
        <v>25</v>
      </c>
      <c r="D1197" s="66" t="n">
        <v>955</v>
      </c>
      <c r="E1197" s="67"/>
      <c r="F1197" s="67"/>
      <c r="G1197" s="68"/>
      <c r="H1197" s="69" t="n">
        <v>955</v>
      </c>
    </row>
    <row r="1198" customFormat="false" ht="15" hidden="false" customHeight="true" outlineLevel="0" collapsed="false">
      <c r="B1198" s="64"/>
      <c r="C1198" s="65" t="s">
        <v>50</v>
      </c>
      <c r="D1198" s="66" t="n">
        <v>1760</v>
      </c>
      <c r="E1198" s="67"/>
      <c r="F1198" s="67"/>
      <c r="G1198" s="68"/>
      <c r="H1198" s="69" t="n">
        <v>1760</v>
      </c>
    </row>
    <row r="1199" customFormat="false" ht="15" hidden="false" customHeight="true" outlineLevel="0" collapsed="false">
      <c r="B1199" s="64"/>
      <c r="C1199" s="65" t="s">
        <v>22</v>
      </c>
      <c r="D1199" s="66" t="n">
        <v>2329</v>
      </c>
      <c r="E1199" s="67"/>
      <c r="F1199" s="67"/>
      <c r="G1199" s="68"/>
      <c r="H1199" s="69" t="n">
        <v>2329</v>
      </c>
    </row>
    <row r="1200" customFormat="false" ht="15" hidden="false" customHeight="true" outlineLevel="0" collapsed="false">
      <c r="B1200" s="64"/>
      <c r="C1200" s="65" t="s">
        <v>43</v>
      </c>
      <c r="D1200" s="73"/>
      <c r="E1200" s="71" t="n">
        <v>300</v>
      </c>
      <c r="F1200" s="67"/>
      <c r="G1200" s="68"/>
      <c r="H1200" s="69" t="n">
        <v>300</v>
      </c>
    </row>
    <row r="1201" customFormat="false" ht="15" hidden="false" customHeight="true" outlineLevel="0" collapsed="false">
      <c r="B1201" s="64"/>
      <c r="C1201" s="65" t="s">
        <v>34</v>
      </c>
      <c r="D1201" s="73"/>
      <c r="E1201" s="71" t="n">
        <v>150</v>
      </c>
      <c r="F1201" s="67"/>
      <c r="G1201" s="68"/>
      <c r="H1201" s="69" t="n">
        <v>150</v>
      </c>
    </row>
    <row r="1202" customFormat="false" ht="15" hidden="false" customHeight="true" outlineLevel="0" collapsed="false">
      <c r="B1202" s="84"/>
      <c r="C1202" s="85" t="s">
        <v>29</v>
      </c>
      <c r="D1202" s="86" t="n">
        <v>451</v>
      </c>
      <c r="E1202" s="76" t="n">
        <v>670</v>
      </c>
      <c r="F1202" s="75"/>
      <c r="G1202" s="77"/>
      <c r="H1202" s="78" t="n">
        <v>1121</v>
      </c>
    </row>
    <row r="1203" customFormat="false" ht="15" hidden="false" customHeight="true" outlineLevel="0" collapsed="false">
      <c r="B1203" s="87" t="s">
        <v>856</v>
      </c>
      <c r="C1203" s="88"/>
      <c r="D1203" s="89" t="n">
        <v>11837</v>
      </c>
      <c r="E1203" s="89" t="n">
        <v>1120</v>
      </c>
      <c r="F1203" s="89" t="n">
        <v>865</v>
      </c>
      <c r="G1203" s="90"/>
      <c r="H1203" s="91" t="n">
        <v>13822</v>
      </c>
    </row>
    <row r="1204" customFormat="false" ht="15" hidden="false" customHeight="true" outlineLevel="0" collapsed="false">
      <c r="B1204" s="56" t="n">
        <v>45795</v>
      </c>
      <c r="C1204" s="57" t="s">
        <v>32</v>
      </c>
      <c r="D1204" s="58"/>
      <c r="E1204" s="60" t="n">
        <v>280</v>
      </c>
      <c r="F1204" s="59"/>
      <c r="G1204" s="61"/>
      <c r="H1204" s="62" t="n">
        <v>280</v>
      </c>
    </row>
    <row r="1205" customFormat="false" ht="15" hidden="false" customHeight="true" outlineLevel="0" collapsed="false">
      <c r="B1205" s="64"/>
      <c r="C1205" s="65" t="s">
        <v>19</v>
      </c>
      <c r="D1205" s="66" t="n">
        <v>1420</v>
      </c>
      <c r="E1205" s="67"/>
      <c r="F1205" s="67"/>
      <c r="G1205" s="68"/>
      <c r="H1205" s="69" t="n">
        <v>1420</v>
      </c>
    </row>
    <row r="1206" customFormat="false" ht="15" hidden="false" customHeight="true" outlineLevel="0" collapsed="false">
      <c r="B1206" s="64"/>
      <c r="C1206" s="65" t="s">
        <v>25</v>
      </c>
      <c r="D1206" s="66" t="n">
        <v>620</v>
      </c>
      <c r="E1206" s="71" t="n">
        <v>350</v>
      </c>
      <c r="F1206" s="67"/>
      <c r="G1206" s="68"/>
      <c r="H1206" s="69" t="n">
        <v>970</v>
      </c>
    </row>
    <row r="1207" customFormat="false" ht="15" hidden="false" customHeight="true" outlineLevel="0" collapsed="false">
      <c r="B1207" s="64"/>
      <c r="C1207" s="65" t="s">
        <v>50</v>
      </c>
      <c r="D1207" s="66" t="n">
        <v>1760</v>
      </c>
      <c r="E1207" s="67"/>
      <c r="F1207" s="67"/>
      <c r="G1207" s="68"/>
      <c r="H1207" s="69" t="n">
        <v>1760</v>
      </c>
    </row>
    <row r="1208" customFormat="false" ht="15" hidden="false" customHeight="true" outlineLevel="0" collapsed="false">
      <c r="B1208" s="64"/>
      <c r="C1208" s="65" t="s">
        <v>22</v>
      </c>
      <c r="D1208" s="66" t="n">
        <v>3160</v>
      </c>
      <c r="E1208" s="71" t="n">
        <v>320</v>
      </c>
      <c r="F1208" s="67"/>
      <c r="G1208" s="68"/>
      <c r="H1208" s="69" t="n">
        <v>3480</v>
      </c>
    </row>
    <row r="1209" customFormat="false" ht="15" hidden="false" customHeight="true" outlineLevel="0" collapsed="false">
      <c r="B1209" s="64"/>
      <c r="C1209" s="65" t="s">
        <v>102</v>
      </c>
      <c r="D1209" s="73"/>
      <c r="E1209" s="67"/>
      <c r="F1209" s="71" t="n">
        <v>600</v>
      </c>
      <c r="G1209" s="68"/>
      <c r="H1209" s="69" t="n">
        <v>600</v>
      </c>
    </row>
    <row r="1210" customFormat="false" ht="15" hidden="false" customHeight="true" outlineLevel="0" collapsed="false">
      <c r="B1210" s="64"/>
      <c r="C1210" s="65" t="s">
        <v>40</v>
      </c>
      <c r="D1210" s="73"/>
      <c r="E1210" s="71" t="n">
        <v>2220</v>
      </c>
      <c r="F1210" s="67"/>
      <c r="G1210" s="68"/>
      <c r="H1210" s="69" t="n">
        <v>2220</v>
      </c>
    </row>
    <row r="1211" customFormat="false" ht="15" hidden="false" customHeight="true" outlineLevel="0" collapsed="false">
      <c r="B1211" s="64"/>
      <c r="C1211" s="65" t="s">
        <v>34</v>
      </c>
      <c r="D1211" s="73"/>
      <c r="E1211" s="71" t="n">
        <v>130</v>
      </c>
      <c r="F1211" s="67"/>
      <c r="G1211" s="68"/>
      <c r="H1211" s="69" t="n">
        <v>130</v>
      </c>
    </row>
    <row r="1212" customFormat="false" ht="15" hidden="false" customHeight="true" outlineLevel="0" collapsed="false">
      <c r="B1212" s="84"/>
      <c r="C1212" s="85" t="s">
        <v>29</v>
      </c>
      <c r="D1212" s="86" t="n">
        <v>355</v>
      </c>
      <c r="E1212" s="75"/>
      <c r="F1212" s="75"/>
      <c r="G1212" s="77"/>
      <c r="H1212" s="78" t="n">
        <v>355</v>
      </c>
    </row>
    <row r="1213" customFormat="false" ht="15" hidden="false" customHeight="true" outlineLevel="0" collapsed="false">
      <c r="B1213" s="87" t="s">
        <v>857</v>
      </c>
      <c r="C1213" s="88"/>
      <c r="D1213" s="89" t="n">
        <v>7315</v>
      </c>
      <c r="E1213" s="89" t="n">
        <v>3300</v>
      </c>
      <c r="F1213" s="89" t="n">
        <v>600</v>
      </c>
      <c r="G1213" s="90"/>
      <c r="H1213" s="91" t="n">
        <v>11215</v>
      </c>
    </row>
    <row r="1214" customFormat="false" ht="15" hidden="false" customHeight="true" outlineLevel="0" collapsed="false">
      <c r="B1214" s="56" t="n">
        <v>45796</v>
      </c>
      <c r="C1214" s="57" t="s">
        <v>44</v>
      </c>
      <c r="D1214" s="58"/>
      <c r="E1214" s="60" t="n">
        <v>600</v>
      </c>
      <c r="F1214" s="59"/>
      <c r="G1214" s="61"/>
      <c r="H1214" s="62" t="n">
        <v>600</v>
      </c>
    </row>
    <row r="1215" customFormat="false" ht="15" hidden="false" customHeight="true" outlineLevel="0" collapsed="false">
      <c r="B1215" s="64"/>
      <c r="C1215" s="65" t="s">
        <v>53</v>
      </c>
      <c r="D1215" s="73"/>
      <c r="E1215" s="67"/>
      <c r="F1215" s="71" t="n">
        <v>900</v>
      </c>
      <c r="G1215" s="68"/>
      <c r="H1215" s="69" t="n">
        <v>900</v>
      </c>
    </row>
    <row r="1216" customFormat="false" ht="15" hidden="false" customHeight="true" outlineLevel="0" collapsed="false">
      <c r="B1216" s="64"/>
      <c r="C1216" s="65" t="s">
        <v>47</v>
      </c>
      <c r="D1216" s="66" t="n">
        <v>840</v>
      </c>
      <c r="E1216" s="67"/>
      <c r="F1216" s="67"/>
      <c r="G1216" s="68"/>
      <c r="H1216" s="69" t="n">
        <v>840</v>
      </c>
    </row>
    <row r="1217" customFormat="false" ht="15" hidden="false" customHeight="true" outlineLevel="0" collapsed="false">
      <c r="B1217" s="64"/>
      <c r="C1217" s="65" t="s">
        <v>19</v>
      </c>
      <c r="D1217" s="66" t="n">
        <v>5293</v>
      </c>
      <c r="E1217" s="67"/>
      <c r="F1217" s="67"/>
      <c r="G1217" s="68"/>
      <c r="H1217" s="69" t="n">
        <v>5293</v>
      </c>
    </row>
    <row r="1218" customFormat="false" ht="15" hidden="false" customHeight="true" outlineLevel="0" collapsed="false">
      <c r="B1218" s="64"/>
      <c r="C1218" s="65" t="s">
        <v>25</v>
      </c>
      <c r="D1218" s="66" t="n">
        <v>1357</v>
      </c>
      <c r="E1218" s="67"/>
      <c r="F1218" s="67"/>
      <c r="G1218" s="68"/>
      <c r="H1218" s="69" t="n">
        <v>1357</v>
      </c>
    </row>
    <row r="1219" customFormat="false" ht="15" hidden="false" customHeight="true" outlineLevel="0" collapsed="false">
      <c r="B1219" s="64"/>
      <c r="C1219" s="65" t="s">
        <v>28</v>
      </c>
      <c r="D1219" s="73"/>
      <c r="E1219" s="71" t="n">
        <v>900</v>
      </c>
      <c r="F1219" s="67"/>
      <c r="G1219" s="68"/>
      <c r="H1219" s="69" t="n">
        <v>900</v>
      </c>
    </row>
    <row r="1220" customFormat="false" ht="15" hidden="false" customHeight="true" outlineLevel="0" collapsed="false">
      <c r="B1220" s="64"/>
      <c r="C1220" s="65" t="s">
        <v>69</v>
      </c>
      <c r="D1220" s="73"/>
      <c r="E1220" s="67"/>
      <c r="F1220" s="71" t="n">
        <v>700</v>
      </c>
      <c r="G1220" s="68"/>
      <c r="H1220" s="69" t="n">
        <v>700</v>
      </c>
    </row>
    <row r="1221" customFormat="false" ht="15" hidden="false" customHeight="true" outlineLevel="0" collapsed="false">
      <c r="B1221" s="64"/>
      <c r="C1221" s="65" t="s">
        <v>37</v>
      </c>
      <c r="D1221" s="73"/>
      <c r="E1221" s="67"/>
      <c r="F1221" s="71" t="n">
        <v>35</v>
      </c>
      <c r="G1221" s="68"/>
      <c r="H1221" s="69" t="n">
        <v>35</v>
      </c>
    </row>
    <row r="1222" customFormat="false" ht="15" hidden="false" customHeight="true" outlineLevel="0" collapsed="false">
      <c r="B1222" s="64"/>
      <c r="C1222" s="65" t="s">
        <v>43</v>
      </c>
      <c r="D1222" s="73"/>
      <c r="E1222" s="71" t="n">
        <v>1020</v>
      </c>
      <c r="F1222" s="67"/>
      <c r="G1222" s="68"/>
      <c r="H1222" s="69" t="n">
        <v>1020</v>
      </c>
    </row>
    <row r="1223" customFormat="false" ht="15" hidden="false" customHeight="true" outlineLevel="0" collapsed="false">
      <c r="B1223" s="64"/>
      <c r="C1223" s="65" t="s">
        <v>31</v>
      </c>
      <c r="D1223" s="73"/>
      <c r="E1223" s="71" t="n">
        <v>310</v>
      </c>
      <c r="F1223" s="67"/>
      <c r="G1223" s="68"/>
      <c r="H1223" s="69" t="n">
        <v>310</v>
      </c>
    </row>
    <row r="1224" customFormat="false" ht="15" hidden="false" customHeight="true" outlineLevel="0" collapsed="false">
      <c r="B1224" s="64"/>
      <c r="C1224" s="65" t="s">
        <v>34</v>
      </c>
      <c r="D1224" s="73"/>
      <c r="E1224" s="71" t="n">
        <v>100</v>
      </c>
      <c r="F1224" s="67"/>
      <c r="G1224" s="68"/>
      <c r="H1224" s="69" t="n">
        <v>100</v>
      </c>
    </row>
    <row r="1225" customFormat="false" ht="15" hidden="false" customHeight="true" outlineLevel="0" collapsed="false">
      <c r="B1225" s="84"/>
      <c r="C1225" s="85" t="s">
        <v>29</v>
      </c>
      <c r="D1225" s="86" t="n">
        <v>454</v>
      </c>
      <c r="E1225" s="75"/>
      <c r="F1225" s="75"/>
      <c r="G1225" s="77"/>
      <c r="H1225" s="78" t="n">
        <v>454</v>
      </c>
    </row>
    <row r="1226" customFormat="false" ht="15" hidden="false" customHeight="true" outlineLevel="0" collapsed="false">
      <c r="B1226" s="87" t="s">
        <v>858</v>
      </c>
      <c r="C1226" s="88"/>
      <c r="D1226" s="89" t="n">
        <v>7944</v>
      </c>
      <c r="E1226" s="89" t="n">
        <v>2930</v>
      </c>
      <c r="F1226" s="89" t="n">
        <v>1635</v>
      </c>
      <c r="G1226" s="90"/>
      <c r="H1226" s="91" t="n">
        <v>12509</v>
      </c>
    </row>
    <row r="1227" customFormat="false" ht="15" hidden="false" customHeight="true" outlineLevel="0" collapsed="false">
      <c r="B1227" s="56" t="n">
        <v>45797</v>
      </c>
      <c r="C1227" s="57" t="s">
        <v>32</v>
      </c>
      <c r="D1227" s="58"/>
      <c r="E1227" s="60" t="n">
        <v>105</v>
      </c>
      <c r="F1227" s="59"/>
      <c r="G1227" s="61"/>
      <c r="H1227" s="62" t="n">
        <v>105</v>
      </c>
    </row>
    <row r="1228" customFormat="false" ht="15" hidden="false" customHeight="true" outlineLevel="0" collapsed="false">
      <c r="B1228" s="64"/>
      <c r="C1228" s="65" t="s">
        <v>19</v>
      </c>
      <c r="D1228" s="66" t="n">
        <v>2265</v>
      </c>
      <c r="E1228" s="67"/>
      <c r="F1228" s="67"/>
      <c r="G1228" s="68"/>
      <c r="H1228" s="69" t="n">
        <v>2265</v>
      </c>
    </row>
    <row r="1229" customFormat="false" ht="15" hidden="false" customHeight="true" outlineLevel="0" collapsed="false">
      <c r="B1229" s="64"/>
      <c r="C1229" s="65" t="s">
        <v>25</v>
      </c>
      <c r="D1229" s="66" t="n">
        <v>743</v>
      </c>
      <c r="E1229" s="67"/>
      <c r="F1229" s="67"/>
      <c r="G1229" s="68"/>
      <c r="H1229" s="69" t="n">
        <v>743</v>
      </c>
    </row>
    <row r="1230" customFormat="false" ht="15" hidden="false" customHeight="true" outlineLevel="0" collapsed="false">
      <c r="B1230" s="64"/>
      <c r="C1230" s="65" t="s">
        <v>22</v>
      </c>
      <c r="D1230" s="66" t="n">
        <v>2345</v>
      </c>
      <c r="E1230" s="67"/>
      <c r="F1230" s="67"/>
      <c r="G1230" s="68"/>
      <c r="H1230" s="69" t="n">
        <v>2345</v>
      </c>
    </row>
    <row r="1231" customFormat="false" ht="15" hidden="false" customHeight="true" outlineLevel="0" collapsed="false">
      <c r="B1231" s="64"/>
      <c r="C1231" s="65" t="s">
        <v>37</v>
      </c>
      <c r="D1231" s="73"/>
      <c r="E1231" s="67"/>
      <c r="F1231" s="71" t="n">
        <v>10</v>
      </c>
      <c r="G1231" s="68"/>
      <c r="H1231" s="69" t="n">
        <v>10</v>
      </c>
    </row>
    <row r="1232" customFormat="false" ht="15" hidden="false" customHeight="true" outlineLevel="0" collapsed="false">
      <c r="B1232" s="64"/>
      <c r="C1232" s="65" t="s">
        <v>34</v>
      </c>
      <c r="D1232" s="73"/>
      <c r="E1232" s="71" t="n">
        <v>145</v>
      </c>
      <c r="F1232" s="67"/>
      <c r="G1232" s="68"/>
      <c r="H1232" s="69" t="n">
        <v>145</v>
      </c>
    </row>
    <row r="1233" customFormat="false" ht="15" hidden="false" customHeight="true" outlineLevel="0" collapsed="false">
      <c r="B1233" s="84"/>
      <c r="C1233" s="85" t="s">
        <v>29</v>
      </c>
      <c r="D1233" s="86" t="n">
        <v>215</v>
      </c>
      <c r="E1233" s="75"/>
      <c r="F1233" s="75"/>
      <c r="G1233" s="77"/>
      <c r="H1233" s="78" t="n">
        <v>215</v>
      </c>
    </row>
    <row r="1234" customFormat="false" ht="15" hidden="false" customHeight="true" outlineLevel="0" collapsed="false">
      <c r="B1234" s="87" t="s">
        <v>859</v>
      </c>
      <c r="C1234" s="88"/>
      <c r="D1234" s="89" t="n">
        <v>5568</v>
      </c>
      <c r="E1234" s="89" t="n">
        <v>250</v>
      </c>
      <c r="F1234" s="89" t="n">
        <v>10</v>
      </c>
      <c r="G1234" s="90"/>
      <c r="H1234" s="91" t="n">
        <v>5828</v>
      </c>
    </row>
    <row r="1235" customFormat="false" ht="15" hidden="false" customHeight="true" outlineLevel="0" collapsed="false">
      <c r="B1235" s="56" t="n">
        <v>45798</v>
      </c>
      <c r="C1235" s="57" t="s">
        <v>44</v>
      </c>
      <c r="D1235" s="92" t="n">
        <v>1000</v>
      </c>
      <c r="E1235" s="59"/>
      <c r="F1235" s="59"/>
      <c r="G1235" s="61"/>
      <c r="H1235" s="62" t="n">
        <v>1000</v>
      </c>
    </row>
    <row r="1236" customFormat="false" ht="15" hidden="false" customHeight="true" outlineLevel="0" collapsed="false">
      <c r="B1236" s="64"/>
      <c r="C1236" s="65" t="s">
        <v>32</v>
      </c>
      <c r="D1236" s="73"/>
      <c r="E1236" s="67"/>
      <c r="F1236" s="71" t="n">
        <v>70</v>
      </c>
      <c r="G1236" s="68"/>
      <c r="H1236" s="69" t="n">
        <v>70</v>
      </c>
    </row>
    <row r="1237" customFormat="false" ht="15" hidden="false" customHeight="true" outlineLevel="0" collapsed="false">
      <c r="B1237" s="64"/>
      <c r="C1237" s="65" t="s">
        <v>47</v>
      </c>
      <c r="D1237" s="66" t="n">
        <v>1680</v>
      </c>
      <c r="E1237" s="67"/>
      <c r="F1237" s="67"/>
      <c r="G1237" s="68"/>
      <c r="H1237" s="69" t="n">
        <v>1680</v>
      </c>
    </row>
    <row r="1238" customFormat="false" ht="15" hidden="false" customHeight="true" outlineLevel="0" collapsed="false">
      <c r="B1238" s="64"/>
      <c r="C1238" s="65" t="s">
        <v>25</v>
      </c>
      <c r="D1238" s="66" t="n">
        <v>390</v>
      </c>
      <c r="E1238" s="67"/>
      <c r="F1238" s="67"/>
      <c r="G1238" s="68"/>
      <c r="H1238" s="69" t="n">
        <v>390</v>
      </c>
    </row>
    <row r="1239" customFormat="false" ht="15" hidden="false" customHeight="true" outlineLevel="0" collapsed="false">
      <c r="B1239" s="64"/>
      <c r="C1239" s="65" t="s">
        <v>51</v>
      </c>
      <c r="D1239" s="66" t="n">
        <v>3345</v>
      </c>
      <c r="E1239" s="67"/>
      <c r="F1239" s="67"/>
      <c r="G1239" s="68"/>
      <c r="H1239" s="69" t="n">
        <v>3345</v>
      </c>
    </row>
    <row r="1240" customFormat="false" ht="15" hidden="false" customHeight="true" outlineLevel="0" collapsed="false">
      <c r="B1240" s="64"/>
      <c r="C1240" s="65" t="s">
        <v>50</v>
      </c>
      <c r="D1240" s="66" t="n">
        <v>1760</v>
      </c>
      <c r="E1240" s="67"/>
      <c r="F1240" s="67"/>
      <c r="G1240" s="68"/>
      <c r="H1240" s="69" t="n">
        <v>1760</v>
      </c>
    </row>
    <row r="1241" customFormat="false" ht="15" hidden="false" customHeight="true" outlineLevel="0" collapsed="false">
      <c r="B1241" s="64"/>
      <c r="C1241" s="65" t="s">
        <v>22</v>
      </c>
      <c r="D1241" s="66" t="n">
        <v>2015</v>
      </c>
      <c r="E1241" s="67"/>
      <c r="F1241" s="67"/>
      <c r="G1241" s="68"/>
      <c r="H1241" s="69" t="n">
        <v>2015</v>
      </c>
    </row>
    <row r="1242" customFormat="false" ht="15" hidden="false" customHeight="true" outlineLevel="0" collapsed="false">
      <c r="B1242" s="64"/>
      <c r="C1242" s="65" t="s">
        <v>37</v>
      </c>
      <c r="D1242" s="73"/>
      <c r="E1242" s="67"/>
      <c r="F1242" s="71" t="n">
        <v>15</v>
      </c>
      <c r="G1242" s="68"/>
      <c r="H1242" s="69" t="n">
        <v>15</v>
      </c>
    </row>
    <row r="1243" customFormat="false" ht="15" hidden="false" customHeight="true" outlineLevel="0" collapsed="false">
      <c r="B1243" s="64"/>
      <c r="C1243" s="65" t="s">
        <v>43</v>
      </c>
      <c r="D1243" s="73"/>
      <c r="E1243" s="71" t="n">
        <v>4200</v>
      </c>
      <c r="F1243" s="67"/>
      <c r="G1243" s="68"/>
      <c r="H1243" s="69" t="n">
        <v>4200</v>
      </c>
    </row>
    <row r="1244" customFormat="false" ht="15" hidden="false" customHeight="true" outlineLevel="0" collapsed="false">
      <c r="B1244" s="64"/>
      <c r="C1244" s="65" t="s">
        <v>60</v>
      </c>
      <c r="D1244" s="73"/>
      <c r="E1244" s="71" t="n">
        <v>210</v>
      </c>
      <c r="F1244" s="67"/>
      <c r="G1244" s="68"/>
      <c r="H1244" s="69" t="n">
        <v>210</v>
      </c>
    </row>
    <row r="1245" customFormat="false" ht="15" hidden="false" customHeight="true" outlineLevel="0" collapsed="false">
      <c r="B1245" s="64"/>
      <c r="C1245" s="65" t="s">
        <v>34</v>
      </c>
      <c r="D1245" s="73"/>
      <c r="E1245" s="71" t="n">
        <v>140</v>
      </c>
      <c r="F1245" s="67"/>
      <c r="G1245" s="68"/>
      <c r="H1245" s="69" t="n">
        <v>140</v>
      </c>
    </row>
    <row r="1246" customFormat="false" ht="15" hidden="false" customHeight="true" outlineLevel="0" collapsed="false">
      <c r="B1246" s="84"/>
      <c r="C1246" s="85" t="s">
        <v>29</v>
      </c>
      <c r="D1246" s="86" t="n">
        <v>401</v>
      </c>
      <c r="E1246" s="75"/>
      <c r="F1246" s="75"/>
      <c r="G1246" s="77"/>
      <c r="H1246" s="78" t="n">
        <v>401</v>
      </c>
    </row>
    <row r="1247" customFormat="false" ht="15" hidden="false" customHeight="true" outlineLevel="0" collapsed="false">
      <c r="B1247" s="87" t="s">
        <v>860</v>
      </c>
      <c r="C1247" s="88"/>
      <c r="D1247" s="89" t="n">
        <v>10591</v>
      </c>
      <c r="E1247" s="89" t="n">
        <v>4550</v>
      </c>
      <c r="F1247" s="89" t="n">
        <v>85</v>
      </c>
      <c r="G1247" s="90"/>
      <c r="H1247" s="91" t="n">
        <v>15226</v>
      </c>
    </row>
    <row r="1248" customFormat="false" ht="15" hidden="false" customHeight="true" outlineLevel="0" collapsed="false">
      <c r="B1248" s="56" t="n">
        <v>45799</v>
      </c>
      <c r="C1248" s="57" t="s">
        <v>44</v>
      </c>
      <c r="D1248" s="58"/>
      <c r="E1248" s="60" t="n">
        <v>300</v>
      </c>
      <c r="F1248" s="59"/>
      <c r="G1248" s="61"/>
      <c r="H1248" s="62" t="n">
        <v>300</v>
      </c>
    </row>
    <row r="1249" customFormat="false" ht="15" hidden="false" customHeight="true" outlineLevel="0" collapsed="false">
      <c r="B1249" s="64"/>
      <c r="C1249" s="65" t="s">
        <v>32</v>
      </c>
      <c r="D1249" s="73"/>
      <c r="E1249" s="71" t="n">
        <v>140</v>
      </c>
      <c r="F1249" s="67"/>
      <c r="G1249" s="68"/>
      <c r="H1249" s="69" t="n">
        <v>140</v>
      </c>
    </row>
    <row r="1250" customFormat="false" ht="15" hidden="false" customHeight="true" outlineLevel="0" collapsed="false">
      <c r="B1250" s="64"/>
      <c r="C1250" s="65" t="s">
        <v>19</v>
      </c>
      <c r="D1250" s="66" t="n">
        <v>5106</v>
      </c>
      <c r="E1250" s="67"/>
      <c r="F1250" s="67"/>
      <c r="G1250" s="68"/>
      <c r="H1250" s="69" t="n">
        <v>5106</v>
      </c>
    </row>
    <row r="1251" customFormat="false" ht="15" hidden="false" customHeight="true" outlineLevel="0" collapsed="false">
      <c r="B1251" s="64"/>
      <c r="C1251" s="65" t="s">
        <v>25</v>
      </c>
      <c r="D1251" s="66" t="n">
        <v>827</v>
      </c>
      <c r="E1251" s="71" t="n">
        <v>420</v>
      </c>
      <c r="F1251" s="67"/>
      <c r="G1251" s="68"/>
      <c r="H1251" s="69" t="n">
        <v>1247</v>
      </c>
    </row>
    <row r="1252" customFormat="false" ht="15" hidden="false" customHeight="true" outlineLevel="0" collapsed="false">
      <c r="B1252" s="64"/>
      <c r="C1252" s="65" t="s">
        <v>51</v>
      </c>
      <c r="D1252" s="73"/>
      <c r="E1252" s="71" t="n">
        <v>160</v>
      </c>
      <c r="F1252" s="67"/>
      <c r="G1252" s="68"/>
      <c r="H1252" s="69" t="n">
        <v>160</v>
      </c>
    </row>
    <row r="1253" customFormat="false" ht="15" hidden="false" customHeight="true" outlineLevel="0" collapsed="false">
      <c r="B1253" s="64"/>
      <c r="C1253" s="65" t="s">
        <v>28</v>
      </c>
      <c r="D1253" s="73"/>
      <c r="E1253" s="67"/>
      <c r="F1253" s="71" t="n">
        <v>885</v>
      </c>
      <c r="G1253" s="68"/>
      <c r="H1253" s="69" t="n">
        <v>885</v>
      </c>
    </row>
    <row r="1254" customFormat="false" ht="15" hidden="false" customHeight="true" outlineLevel="0" collapsed="false">
      <c r="B1254" s="64"/>
      <c r="C1254" s="65" t="s">
        <v>50</v>
      </c>
      <c r="D1254" s="66" t="n">
        <v>1760</v>
      </c>
      <c r="E1254" s="67"/>
      <c r="F1254" s="67"/>
      <c r="G1254" s="68"/>
      <c r="H1254" s="69" t="n">
        <v>1760</v>
      </c>
    </row>
    <row r="1255" customFormat="false" ht="15" hidden="false" customHeight="true" outlineLevel="0" collapsed="false">
      <c r="B1255" s="64"/>
      <c r="C1255" s="65" t="s">
        <v>22</v>
      </c>
      <c r="D1255" s="66" t="n">
        <v>456</v>
      </c>
      <c r="E1255" s="67"/>
      <c r="F1255" s="67"/>
      <c r="G1255" s="68"/>
      <c r="H1255" s="69" t="n">
        <v>456</v>
      </c>
    </row>
    <row r="1256" customFormat="false" ht="15" hidden="false" customHeight="true" outlineLevel="0" collapsed="false">
      <c r="B1256" s="64"/>
      <c r="C1256" s="65" t="s">
        <v>199</v>
      </c>
      <c r="D1256" s="73"/>
      <c r="E1256" s="67"/>
      <c r="F1256" s="71" t="n">
        <v>980</v>
      </c>
      <c r="G1256" s="68"/>
      <c r="H1256" s="69" t="n">
        <v>980</v>
      </c>
    </row>
    <row r="1257" customFormat="false" ht="15" hidden="false" customHeight="true" outlineLevel="0" collapsed="false">
      <c r="B1257" s="64"/>
      <c r="C1257" s="65" t="s">
        <v>37</v>
      </c>
      <c r="D1257" s="73"/>
      <c r="E1257" s="67"/>
      <c r="F1257" s="71" t="n">
        <v>14</v>
      </c>
      <c r="G1257" s="68"/>
      <c r="H1257" s="69" t="n">
        <v>14</v>
      </c>
    </row>
    <row r="1258" customFormat="false" ht="15" hidden="false" customHeight="true" outlineLevel="0" collapsed="false">
      <c r="B1258" s="64"/>
      <c r="C1258" s="65" t="s">
        <v>40</v>
      </c>
      <c r="D1258" s="73"/>
      <c r="E1258" s="71" t="n">
        <v>2960</v>
      </c>
      <c r="F1258" s="67"/>
      <c r="G1258" s="68"/>
      <c r="H1258" s="69" t="n">
        <v>2960</v>
      </c>
    </row>
    <row r="1259" customFormat="false" ht="15" hidden="false" customHeight="true" outlineLevel="0" collapsed="false">
      <c r="B1259" s="64"/>
      <c r="C1259" s="65" t="s">
        <v>34</v>
      </c>
      <c r="D1259" s="73"/>
      <c r="E1259" s="71" t="n">
        <v>170</v>
      </c>
      <c r="F1259" s="67"/>
      <c r="G1259" s="68"/>
      <c r="H1259" s="69" t="n">
        <v>170</v>
      </c>
    </row>
    <row r="1260" customFormat="false" ht="15" hidden="false" customHeight="true" outlineLevel="0" collapsed="false">
      <c r="B1260" s="84"/>
      <c r="C1260" s="85" t="s">
        <v>29</v>
      </c>
      <c r="D1260" s="86" t="n">
        <v>412</v>
      </c>
      <c r="E1260" s="76" t="n">
        <v>100</v>
      </c>
      <c r="F1260" s="76" t="n">
        <v>25</v>
      </c>
      <c r="G1260" s="77"/>
      <c r="H1260" s="78" t="n">
        <v>537</v>
      </c>
    </row>
    <row r="1261" customFormat="false" ht="15" hidden="false" customHeight="true" outlineLevel="0" collapsed="false">
      <c r="B1261" s="87" t="s">
        <v>861</v>
      </c>
      <c r="C1261" s="88"/>
      <c r="D1261" s="89" t="n">
        <v>8561</v>
      </c>
      <c r="E1261" s="89" t="n">
        <v>4250</v>
      </c>
      <c r="F1261" s="89" t="n">
        <v>1904</v>
      </c>
      <c r="G1261" s="90"/>
      <c r="H1261" s="91" t="n">
        <v>14715</v>
      </c>
    </row>
    <row r="1262" customFormat="false" ht="15" hidden="false" customHeight="true" outlineLevel="0" collapsed="false">
      <c r="B1262" s="56" t="n">
        <v>45800</v>
      </c>
      <c r="C1262" s="57" t="s">
        <v>32</v>
      </c>
      <c r="D1262" s="58"/>
      <c r="E1262" s="59"/>
      <c r="F1262" s="60" t="n">
        <v>175</v>
      </c>
      <c r="G1262" s="61"/>
      <c r="H1262" s="62" t="n">
        <v>175</v>
      </c>
    </row>
    <row r="1263" customFormat="false" ht="15" hidden="false" customHeight="true" outlineLevel="0" collapsed="false">
      <c r="B1263" s="64"/>
      <c r="C1263" s="65" t="s">
        <v>47</v>
      </c>
      <c r="D1263" s="66" t="n">
        <v>1680</v>
      </c>
      <c r="E1263" s="67"/>
      <c r="F1263" s="67"/>
      <c r="G1263" s="68"/>
      <c r="H1263" s="69" t="n">
        <v>1680</v>
      </c>
    </row>
    <row r="1264" customFormat="false" ht="15" hidden="false" customHeight="true" outlineLevel="0" collapsed="false">
      <c r="B1264" s="64"/>
      <c r="C1264" s="65" t="s">
        <v>19</v>
      </c>
      <c r="D1264" s="66" t="n">
        <v>4850</v>
      </c>
      <c r="E1264" s="67"/>
      <c r="F1264" s="67"/>
      <c r="G1264" s="68"/>
      <c r="H1264" s="69" t="n">
        <v>4850</v>
      </c>
    </row>
    <row r="1265" customFormat="false" ht="15" hidden="false" customHeight="true" outlineLevel="0" collapsed="false">
      <c r="B1265" s="64"/>
      <c r="C1265" s="65" t="s">
        <v>25</v>
      </c>
      <c r="D1265" s="66" t="n">
        <v>787</v>
      </c>
      <c r="E1265" s="71" t="n">
        <v>350</v>
      </c>
      <c r="F1265" s="67"/>
      <c r="G1265" s="68"/>
      <c r="H1265" s="69" t="n">
        <v>1137</v>
      </c>
    </row>
    <row r="1266" customFormat="false" ht="15" hidden="false" customHeight="true" outlineLevel="0" collapsed="false">
      <c r="B1266" s="64"/>
      <c r="C1266" s="65" t="s">
        <v>50</v>
      </c>
      <c r="D1266" s="66" t="n">
        <v>1760</v>
      </c>
      <c r="E1266" s="67"/>
      <c r="F1266" s="67"/>
      <c r="G1266" s="68"/>
      <c r="H1266" s="69" t="n">
        <v>1760</v>
      </c>
    </row>
    <row r="1267" customFormat="false" ht="15" hidden="false" customHeight="true" outlineLevel="0" collapsed="false">
      <c r="B1267" s="64"/>
      <c r="C1267" s="65" t="s">
        <v>22</v>
      </c>
      <c r="D1267" s="66" t="n">
        <v>6739</v>
      </c>
      <c r="E1267" s="67"/>
      <c r="F1267" s="67"/>
      <c r="G1267" s="68"/>
      <c r="H1267" s="69" t="n">
        <v>6739</v>
      </c>
    </row>
    <row r="1268" customFormat="false" ht="15" hidden="false" customHeight="true" outlineLevel="0" collapsed="false">
      <c r="B1268" s="64"/>
      <c r="C1268" s="65" t="s">
        <v>37</v>
      </c>
      <c r="D1268" s="73"/>
      <c r="E1268" s="67"/>
      <c r="F1268" s="71" t="n">
        <v>24</v>
      </c>
      <c r="G1268" s="68"/>
      <c r="H1268" s="69" t="n">
        <v>24</v>
      </c>
    </row>
    <row r="1269" customFormat="false" ht="15" hidden="false" customHeight="true" outlineLevel="0" collapsed="false">
      <c r="B1269" s="64"/>
      <c r="C1269" s="65" t="s">
        <v>34</v>
      </c>
      <c r="D1269" s="73"/>
      <c r="E1269" s="71" t="n">
        <v>140</v>
      </c>
      <c r="F1269" s="67"/>
      <c r="G1269" s="68"/>
      <c r="H1269" s="69" t="n">
        <v>140</v>
      </c>
    </row>
    <row r="1270" customFormat="false" ht="15" hidden="false" customHeight="true" outlineLevel="0" collapsed="false">
      <c r="B1270" s="84"/>
      <c r="C1270" s="85" t="s">
        <v>29</v>
      </c>
      <c r="D1270" s="86" t="n">
        <v>663</v>
      </c>
      <c r="E1270" s="75"/>
      <c r="F1270" s="75"/>
      <c r="G1270" s="77"/>
      <c r="H1270" s="78" t="n">
        <v>663</v>
      </c>
    </row>
    <row r="1271" customFormat="false" ht="15" hidden="false" customHeight="true" outlineLevel="0" collapsed="false">
      <c r="B1271" s="87" t="s">
        <v>862</v>
      </c>
      <c r="C1271" s="88"/>
      <c r="D1271" s="89" t="n">
        <v>16479</v>
      </c>
      <c r="E1271" s="89" t="n">
        <v>490</v>
      </c>
      <c r="F1271" s="89" t="n">
        <v>199</v>
      </c>
      <c r="G1271" s="90"/>
      <c r="H1271" s="91" t="n">
        <v>17168</v>
      </c>
    </row>
    <row r="1272" customFormat="false" ht="15" hidden="false" customHeight="true" outlineLevel="0" collapsed="false">
      <c r="B1272" s="56" t="n">
        <v>45801</v>
      </c>
      <c r="C1272" s="57" t="s">
        <v>32</v>
      </c>
      <c r="D1272" s="58"/>
      <c r="E1272" s="60" t="n">
        <v>140</v>
      </c>
      <c r="F1272" s="59"/>
      <c r="G1272" s="61"/>
      <c r="H1272" s="62" t="n">
        <v>140</v>
      </c>
    </row>
    <row r="1273" customFormat="false" ht="15" hidden="false" customHeight="true" outlineLevel="0" collapsed="false">
      <c r="B1273" s="64"/>
      <c r="C1273" s="65" t="s">
        <v>53</v>
      </c>
      <c r="D1273" s="73"/>
      <c r="E1273" s="71" t="n">
        <v>585</v>
      </c>
      <c r="F1273" s="67"/>
      <c r="G1273" s="68"/>
      <c r="H1273" s="69" t="n">
        <v>585</v>
      </c>
    </row>
    <row r="1274" customFormat="false" ht="15" hidden="false" customHeight="true" outlineLevel="0" collapsed="false">
      <c r="B1274" s="64"/>
      <c r="C1274" s="65" t="s">
        <v>19</v>
      </c>
      <c r="D1274" s="66" t="n">
        <v>3855</v>
      </c>
      <c r="E1274" s="67"/>
      <c r="F1274" s="67"/>
      <c r="G1274" s="68"/>
      <c r="H1274" s="69" t="n">
        <v>3855</v>
      </c>
    </row>
    <row r="1275" customFormat="false" ht="15" hidden="false" customHeight="true" outlineLevel="0" collapsed="false">
      <c r="B1275" s="64"/>
      <c r="C1275" s="65" t="s">
        <v>25</v>
      </c>
      <c r="D1275" s="66" t="n">
        <v>1431</v>
      </c>
      <c r="E1275" s="67"/>
      <c r="F1275" s="67"/>
      <c r="G1275" s="68"/>
      <c r="H1275" s="69" t="n">
        <v>1431</v>
      </c>
    </row>
    <row r="1276" customFormat="false" ht="15" hidden="false" customHeight="true" outlineLevel="0" collapsed="false">
      <c r="B1276" s="64"/>
      <c r="C1276" s="65" t="s">
        <v>22</v>
      </c>
      <c r="D1276" s="66" t="n">
        <v>3394</v>
      </c>
      <c r="E1276" s="71" t="n">
        <v>110</v>
      </c>
      <c r="F1276" s="67"/>
      <c r="G1276" s="68"/>
      <c r="H1276" s="69" t="n">
        <v>3504</v>
      </c>
    </row>
    <row r="1277" customFormat="false" ht="15" hidden="false" customHeight="true" outlineLevel="0" collapsed="false">
      <c r="B1277" s="64"/>
      <c r="C1277" s="65" t="s">
        <v>37</v>
      </c>
      <c r="D1277" s="73"/>
      <c r="E1277" s="67"/>
      <c r="F1277" s="71" t="n">
        <v>25</v>
      </c>
      <c r="G1277" s="68"/>
      <c r="H1277" s="69" t="n">
        <v>25</v>
      </c>
    </row>
    <row r="1278" customFormat="false" ht="15" hidden="false" customHeight="true" outlineLevel="0" collapsed="false">
      <c r="B1278" s="64"/>
      <c r="C1278" s="65" t="s">
        <v>31</v>
      </c>
      <c r="D1278" s="73"/>
      <c r="E1278" s="71" t="n">
        <v>700</v>
      </c>
      <c r="F1278" s="67"/>
      <c r="G1278" s="68"/>
      <c r="H1278" s="69" t="n">
        <v>700</v>
      </c>
    </row>
    <row r="1279" customFormat="false" ht="15" hidden="false" customHeight="true" outlineLevel="0" collapsed="false">
      <c r="B1279" s="64"/>
      <c r="C1279" s="65" t="s">
        <v>56</v>
      </c>
      <c r="D1279" s="73"/>
      <c r="E1279" s="71" t="n">
        <v>150</v>
      </c>
      <c r="F1279" s="67"/>
      <c r="G1279" s="68"/>
      <c r="H1279" s="69" t="n">
        <v>150</v>
      </c>
    </row>
    <row r="1280" customFormat="false" ht="15" hidden="false" customHeight="true" outlineLevel="0" collapsed="false">
      <c r="B1280" s="64"/>
      <c r="C1280" s="65" t="s">
        <v>34</v>
      </c>
      <c r="D1280" s="73"/>
      <c r="E1280" s="71" t="n">
        <v>145</v>
      </c>
      <c r="F1280" s="67"/>
      <c r="G1280" s="68"/>
      <c r="H1280" s="69" t="n">
        <v>145</v>
      </c>
    </row>
    <row r="1281" customFormat="false" ht="15" hidden="false" customHeight="true" outlineLevel="0" collapsed="false">
      <c r="B1281" s="84"/>
      <c r="C1281" s="85" t="s">
        <v>29</v>
      </c>
      <c r="D1281" s="86" t="n">
        <v>789</v>
      </c>
      <c r="E1281" s="76" t="n">
        <v>620</v>
      </c>
      <c r="F1281" s="76" t="n">
        <v>25</v>
      </c>
      <c r="G1281" s="77"/>
      <c r="H1281" s="78" t="n">
        <v>1434</v>
      </c>
    </row>
    <row r="1282" customFormat="false" ht="15" hidden="false" customHeight="true" outlineLevel="0" collapsed="false">
      <c r="B1282" s="87" t="s">
        <v>863</v>
      </c>
      <c r="C1282" s="88"/>
      <c r="D1282" s="89" t="n">
        <v>9469</v>
      </c>
      <c r="E1282" s="89" t="n">
        <v>2450</v>
      </c>
      <c r="F1282" s="89" t="n">
        <v>50</v>
      </c>
      <c r="G1282" s="90"/>
      <c r="H1282" s="91" t="n">
        <v>11969</v>
      </c>
    </row>
    <row r="1283" customFormat="false" ht="15" hidden="false" customHeight="true" outlineLevel="0" collapsed="false">
      <c r="B1283" s="56" t="n">
        <v>45802</v>
      </c>
      <c r="C1283" s="57" t="s">
        <v>44</v>
      </c>
      <c r="D1283" s="58"/>
      <c r="E1283" s="60" t="n">
        <v>100</v>
      </c>
      <c r="F1283" s="59"/>
      <c r="G1283" s="61"/>
      <c r="H1283" s="62" t="n">
        <v>100</v>
      </c>
    </row>
    <row r="1284" customFormat="false" ht="15" hidden="false" customHeight="true" outlineLevel="0" collapsed="false">
      <c r="B1284" s="64"/>
      <c r="C1284" s="65" t="s">
        <v>32</v>
      </c>
      <c r="D1284" s="73"/>
      <c r="E1284" s="67"/>
      <c r="F1284" s="71" t="n">
        <v>105</v>
      </c>
      <c r="G1284" s="68"/>
      <c r="H1284" s="69" t="n">
        <v>105</v>
      </c>
    </row>
    <row r="1285" customFormat="false" ht="15" hidden="false" customHeight="true" outlineLevel="0" collapsed="false">
      <c r="B1285" s="64"/>
      <c r="C1285" s="65" t="s">
        <v>19</v>
      </c>
      <c r="D1285" s="66" t="n">
        <v>1330</v>
      </c>
      <c r="E1285" s="67"/>
      <c r="F1285" s="67"/>
      <c r="G1285" s="68"/>
      <c r="H1285" s="69" t="n">
        <v>1330</v>
      </c>
    </row>
    <row r="1286" customFormat="false" ht="15" hidden="false" customHeight="true" outlineLevel="0" collapsed="false">
      <c r="B1286" s="64"/>
      <c r="C1286" s="65" t="s">
        <v>25</v>
      </c>
      <c r="D1286" s="66" t="n">
        <v>850</v>
      </c>
      <c r="E1286" s="71" t="n">
        <v>680</v>
      </c>
      <c r="F1286" s="67"/>
      <c r="G1286" s="68"/>
      <c r="H1286" s="69" t="n">
        <v>1530</v>
      </c>
    </row>
    <row r="1287" customFormat="false" ht="15" hidden="false" customHeight="true" outlineLevel="0" collapsed="false">
      <c r="B1287" s="64"/>
      <c r="C1287" s="65" t="s">
        <v>51</v>
      </c>
      <c r="D1287" s="73"/>
      <c r="E1287" s="71" t="n">
        <v>70</v>
      </c>
      <c r="F1287" s="67"/>
      <c r="G1287" s="68"/>
      <c r="H1287" s="69" t="n">
        <v>70</v>
      </c>
    </row>
    <row r="1288" customFormat="false" ht="15" hidden="false" customHeight="true" outlineLevel="0" collapsed="false">
      <c r="B1288" s="64"/>
      <c r="C1288" s="65" t="s">
        <v>50</v>
      </c>
      <c r="D1288" s="66" t="n">
        <v>1760</v>
      </c>
      <c r="E1288" s="67"/>
      <c r="F1288" s="67"/>
      <c r="G1288" s="68"/>
      <c r="H1288" s="69" t="n">
        <v>1760</v>
      </c>
    </row>
    <row r="1289" customFormat="false" ht="15" hidden="false" customHeight="true" outlineLevel="0" collapsed="false">
      <c r="B1289" s="64"/>
      <c r="C1289" s="65" t="s">
        <v>22</v>
      </c>
      <c r="D1289" s="66" t="n">
        <v>2824</v>
      </c>
      <c r="E1289" s="67"/>
      <c r="F1289" s="67"/>
      <c r="G1289" s="68"/>
      <c r="H1289" s="69" t="n">
        <v>2824</v>
      </c>
    </row>
    <row r="1290" customFormat="false" ht="15" hidden="false" customHeight="true" outlineLevel="0" collapsed="false">
      <c r="B1290" s="64"/>
      <c r="C1290" s="65" t="s">
        <v>37</v>
      </c>
      <c r="D1290" s="73"/>
      <c r="E1290" s="67"/>
      <c r="F1290" s="71" t="n">
        <v>10</v>
      </c>
      <c r="G1290" s="68"/>
      <c r="H1290" s="69" t="n">
        <v>10</v>
      </c>
    </row>
    <row r="1291" customFormat="false" ht="15" hidden="false" customHeight="true" outlineLevel="0" collapsed="false">
      <c r="B1291" s="64"/>
      <c r="C1291" s="65" t="s">
        <v>34</v>
      </c>
      <c r="D1291" s="73"/>
      <c r="E1291" s="71" t="n">
        <v>130</v>
      </c>
      <c r="F1291" s="67"/>
      <c r="G1291" s="68"/>
      <c r="H1291" s="69" t="n">
        <v>130</v>
      </c>
    </row>
    <row r="1292" customFormat="false" ht="15" hidden="false" customHeight="true" outlineLevel="0" collapsed="false">
      <c r="B1292" s="84"/>
      <c r="C1292" s="85" t="s">
        <v>29</v>
      </c>
      <c r="D1292" s="86" t="n">
        <v>365</v>
      </c>
      <c r="E1292" s="76" t="n">
        <v>120</v>
      </c>
      <c r="F1292" s="75"/>
      <c r="G1292" s="77"/>
      <c r="H1292" s="78" t="n">
        <v>485</v>
      </c>
    </row>
    <row r="1293" customFormat="false" ht="15" hidden="false" customHeight="true" outlineLevel="0" collapsed="false">
      <c r="B1293" s="87" t="s">
        <v>864</v>
      </c>
      <c r="C1293" s="88"/>
      <c r="D1293" s="89" t="n">
        <v>7129</v>
      </c>
      <c r="E1293" s="89" t="n">
        <v>1100</v>
      </c>
      <c r="F1293" s="89" t="n">
        <v>115</v>
      </c>
      <c r="G1293" s="90"/>
      <c r="H1293" s="91" t="n">
        <v>8344</v>
      </c>
    </row>
    <row r="1294" customFormat="false" ht="15" hidden="false" customHeight="true" outlineLevel="0" collapsed="false">
      <c r="B1294" s="56" t="n">
        <v>45803</v>
      </c>
      <c r="C1294" s="57" t="s">
        <v>53</v>
      </c>
      <c r="D1294" s="58"/>
      <c r="E1294" s="59"/>
      <c r="F1294" s="60" t="n">
        <v>1080</v>
      </c>
      <c r="G1294" s="61"/>
      <c r="H1294" s="62" t="n">
        <v>1080</v>
      </c>
    </row>
    <row r="1295" customFormat="false" ht="15" hidden="false" customHeight="true" outlineLevel="0" collapsed="false">
      <c r="B1295" s="64"/>
      <c r="C1295" s="65" t="s">
        <v>47</v>
      </c>
      <c r="D1295" s="66" t="n">
        <v>1680</v>
      </c>
      <c r="E1295" s="67"/>
      <c r="F1295" s="67"/>
      <c r="G1295" s="68"/>
      <c r="H1295" s="69" t="n">
        <v>1680</v>
      </c>
    </row>
    <row r="1296" customFormat="false" ht="15" hidden="false" customHeight="true" outlineLevel="0" collapsed="false">
      <c r="B1296" s="64"/>
      <c r="C1296" s="65" t="s">
        <v>19</v>
      </c>
      <c r="D1296" s="66" t="n">
        <v>3668</v>
      </c>
      <c r="E1296" s="67"/>
      <c r="F1296" s="67"/>
      <c r="G1296" s="68"/>
      <c r="H1296" s="69" t="n">
        <v>3668</v>
      </c>
    </row>
    <row r="1297" customFormat="false" ht="15" hidden="false" customHeight="true" outlineLevel="0" collapsed="false">
      <c r="B1297" s="64"/>
      <c r="C1297" s="65" t="s">
        <v>25</v>
      </c>
      <c r="D1297" s="66" t="n">
        <v>720</v>
      </c>
      <c r="E1297" s="67"/>
      <c r="F1297" s="67"/>
      <c r="G1297" s="68"/>
      <c r="H1297" s="69" t="n">
        <v>720</v>
      </c>
    </row>
    <row r="1298" customFormat="false" ht="15" hidden="false" customHeight="true" outlineLevel="0" collapsed="false">
      <c r="B1298" s="64"/>
      <c r="C1298" s="65" t="s">
        <v>51</v>
      </c>
      <c r="D1298" s="66" t="n">
        <v>6900</v>
      </c>
      <c r="E1298" s="67"/>
      <c r="F1298" s="67"/>
      <c r="G1298" s="68"/>
      <c r="H1298" s="69" t="n">
        <v>6900</v>
      </c>
    </row>
    <row r="1299" customFormat="false" ht="15" hidden="false" customHeight="true" outlineLevel="0" collapsed="false">
      <c r="B1299" s="64"/>
      <c r="C1299" s="65" t="s">
        <v>28</v>
      </c>
      <c r="D1299" s="73"/>
      <c r="E1299" s="71" t="n">
        <v>870</v>
      </c>
      <c r="F1299" s="67"/>
      <c r="G1299" s="68"/>
      <c r="H1299" s="69" t="n">
        <v>870</v>
      </c>
    </row>
    <row r="1300" customFormat="false" ht="15" hidden="false" customHeight="true" outlineLevel="0" collapsed="false">
      <c r="B1300" s="64"/>
      <c r="C1300" s="65" t="s">
        <v>50</v>
      </c>
      <c r="D1300" s="66" t="n">
        <v>1760</v>
      </c>
      <c r="E1300" s="67"/>
      <c r="F1300" s="67"/>
      <c r="G1300" s="68"/>
      <c r="H1300" s="69" t="n">
        <v>1760</v>
      </c>
    </row>
    <row r="1301" customFormat="false" ht="15" hidden="false" customHeight="true" outlineLevel="0" collapsed="false">
      <c r="B1301" s="64"/>
      <c r="C1301" s="65" t="s">
        <v>22</v>
      </c>
      <c r="D1301" s="66" t="n">
        <v>835</v>
      </c>
      <c r="E1301" s="67"/>
      <c r="F1301" s="67"/>
      <c r="G1301" s="68"/>
      <c r="H1301" s="69" t="n">
        <v>835</v>
      </c>
    </row>
    <row r="1302" customFormat="false" ht="15" hidden="false" customHeight="true" outlineLevel="0" collapsed="false">
      <c r="B1302" s="64"/>
      <c r="C1302" s="65" t="s">
        <v>37</v>
      </c>
      <c r="D1302" s="73"/>
      <c r="E1302" s="67"/>
      <c r="F1302" s="71" t="n">
        <v>20</v>
      </c>
      <c r="G1302" s="68"/>
      <c r="H1302" s="69" t="n">
        <v>20</v>
      </c>
    </row>
    <row r="1303" customFormat="false" ht="15" hidden="false" customHeight="true" outlineLevel="0" collapsed="false">
      <c r="B1303" s="64"/>
      <c r="C1303" s="65" t="s">
        <v>56</v>
      </c>
      <c r="D1303" s="73"/>
      <c r="E1303" s="71" t="n">
        <v>1400</v>
      </c>
      <c r="F1303" s="67"/>
      <c r="G1303" s="68"/>
      <c r="H1303" s="69" t="n">
        <v>1400</v>
      </c>
    </row>
    <row r="1304" customFormat="false" ht="15" hidden="false" customHeight="true" outlineLevel="0" collapsed="false">
      <c r="B1304" s="64"/>
      <c r="C1304" s="65" t="s">
        <v>34</v>
      </c>
      <c r="D1304" s="73"/>
      <c r="E1304" s="71" t="n">
        <v>130</v>
      </c>
      <c r="F1304" s="67"/>
      <c r="G1304" s="68"/>
      <c r="H1304" s="69" t="n">
        <v>130</v>
      </c>
    </row>
    <row r="1305" customFormat="false" ht="15" hidden="false" customHeight="true" outlineLevel="0" collapsed="false">
      <c r="B1305" s="84"/>
      <c r="C1305" s="85" t="s">
        <v>29</v>
      </c>
      <c r="D1305" s="86" t="n">
        <v>355</v>
      </c>
      <c r="E1305" s="75"/>
      <c r="F1305" s="75"/>
      <c r="G1305" s="77"/>
      <c r="H1305" s="78" t="n">
        <v>355</v>
      </c>
    </row>
    <row r="1306" customFormat="false" ht="15" hidden="false" customHeight="true" outlineLevel="0" collapsed="false">
      <c r="B1306" s="87" t="s">
        <v>865</v>
      </c>
      <c r="C1306" s="88"/>
      <c r="D1306" s="89" t="n">
        <v>15918</v>
      </c>
      <c r="E1306" s="89" t="n">
        <v>2400</v>
      </c>
      <c r="F1306" s="89" t="n">
        <v>1100</v>
      </c>
      <c r="G1306" s="90"/>
      <c r="H1306" s="91" t="n">
        <v>19418</v>
      </c>
    </row>
    <row r="1307" customFormat="false" ht="15" hidden="false" customHeight="true" outlineLevel="0" collapsed="false">
      <c r="B1307" s="56" t="n">
        <v>45804</v>
      </c>
      <c r="C1307" s="57" t="s">
        <v>25</v>
      </c>
      <c r="D1307" s="92" t="n">
        <v>416</v>
      </c>
      <c r="E1307" s="59"/>
      <c r="F1307" s="59"/>
      <c r="G1307" s="61"/>
      <c r="H1307" s="62" t="n">
        <v>416</v>
      </c>
    </row>
    <row r="1308" customFormat="false" ht="15" hidden="false" customHeight="true" outlineLevel="0" collapsed="false">
      <c r="B1308" s="64"/>
      <c r="C1308" s="65" t="s">
        <v>22</v>
      </c>
      <c r="D1308" s="66" t="n">
        <v>6300</v>
      </c>
      <c r="E1308" s="71" t="n">
        <v>700</v>
      </c>
      <c r="F1308" s="67"/>
      <c r="G1308" s="68"/>
      <c r="H1308" s="69" t="n">
        <v>7000</v>
      </c>
    </row>
    <row r="1309" customFormat="false" ht="15" hidden="false" customHeight="true" outlineLevel="0" collapsed="false">
      <c r="B1309" s="64"/>
      <c r="C1309" s="65" t="s">
        <v>37</v>
      </c>
      <c r="D1309" s="73"/>
      <c r="E1309" s="67"/>
      <c r="F1309" s="71" t="n">
        <v>19</v>
      </c>
      <c r="G1309" s="68"/>
      <c r="H1309" s="69" t="n">
        <v>19</v>
      </c>
    </row>
    <row r="1310" customFormat="false" ht="15" hidden="false" customHeight="true" outlineLevel="0" collapsed="false">
      <c r="B1310" s="64"/>
      <c r="C1310" s="65" t="s">
        <v>40</v>
      </c>
      <c r="D1310" s="73"/>
      <c r="E1310" s="71" t="n">
        <v>2620</v>
      </c>
      <c r="F1310" s="67"/>
      <c r="G1310" s="68"/>
      <c r="H1310" s="69" t="n">
        <v>2620</v>
      </c>
    </row>
    <row r="1311" customFormat="false" ht="15" hidden="false" customHeight="true" outlineLevel="0" collapsed="false">
      <c r="B1311" s="64"/>
      <c r="C1311" s="65" t="s">
        <v>31</v>
      </c>
      <c r="D1311" s="73"/>
      <c r="E1311" s="71" t="n">
        <v>310</v>
      </c>
      <c r="F1311" s="67"/>
      <c r="G1311" s="68"/>
      <c r="H1311" s="69" t="n">
        <v>310</v>
      </c>
    </row>
    <row r="1312" customFormat="false" ht="15" hidden="false" customHeight="true" outlineLevel="0" collapsed="false">
      <c r="B1312" s="64"/>
      <c r="C1312" s="65" t="s">
        <v>34</v>
      </c>
      <c r="D1312" s="73"/>
      <c r="E1312" s="71" t="n">
        <v>120</v>
      </c>
      <c r="F1312" s="67"/>
      <c r="G1312" s="68"/>
      <c r="H1312" s="69" t="n">
        <v>120</v>
      </c>
    </row>
    <row r="1313" customFormat="false" ht="15" hidden="false" customHeight="true" outlineLevel="0" collapsed="false">
      <c r="B1313" s="84"/>
      <c r="C1313" s="85" t="s">
        <v>29</v>
      </c>
      <c r="D1313" s="86" t="n">
        <v>451</v>
      </c>
      <c r="E1313" s="75"/>
      <c r="F1313" s="75"/>
      <c r="G1313" s="77"/>
      <c r="H1313" s="78" t="n">
        <v>451</v>
      </c>
    </row>
    <row r="1314" customFormat="false" ht="15" hidden="false" customHeight="true" outlineLevel="0" collapsed="false">
      <c r="B1314" s="87" t="s">
        <v>866</v>
      </c>
      <c r="C1314" s="88"/>
      <c r="D1314" s="89" t="n">
        <v>7167</v>
      </c>
      <c r="E1314" s="89" t="n">
        <v>3750</v>
      </c>
      <c r="F1314" s="89" t="n">
        <v>19</v>
      </c>
      <c r="G1314" s="90"/>
      <c r="H1314" s="91" t="n">
        <v>10936</v>
      </c>
    </row>
    <row r="1315" customFormat="false" ht="15" hidden="false" customHeight="true" outlineLevel="0" collapsed="false">
      <c r="B1315" s="56" t="n">
        <v>45805</v>
      </c>
      <c r="C1315" s="57" t="s">
        <v>32</v>
      </c>
      <c r="D1315" s="58"/>
      <c r="E1315" s="60" t="n">
        <v>350</v>
      </c>
      <c r="F1315" s="59"/>
      <c r="G1315" s="61"/>
      <c r="H1315" s="62" t="n">
        <v>350</v>
      </c>
    </row>
    <row r="1316" customFormat="false" ht="15" hidden="false" customHeight="true" outlineLevel="0" collapsed="false">
      <c r="B1316" s="64"/>
      <c r="C1316" s="65" t="s">
        <v>47</v>
      </c>
      <c r="D1316" s="66" t="n">
        <v>840</v>
      </c>
      <c r="E1316" s="67"/>
      <c r="F1316" s="67"/>
      <c r="G1316" s="68"/>
      <c r="H1316" s="69" t="n">
        <v>840</v>
      </c>
    </row>
    <row r="1317" customFormat="false" ht="15" hidden="false" customHeight="true" outlineLevel="0" collapsed="false">
      <c r="B1317" s="64"/>
      <c r="C1317" s="65" t="s">
        <v>19</v>
      </c>
      <c r="D1317" s="66" t="n">
        <v>3535</v>
      </c>
      <c r="E1317" s="67"/>
      <c r="F1317" s="67"/>
      <c r="G1317" s="68"/>
      <c r="H1317" s="69" t="n">
        <v>3535</v>
      </c>
    </row>
    <row r="1318" customFormat="false" ht="15" hidden="false" customHeight="true" outlineLevel="0" collapsed="false">
      <c r="B1318" s="64"/>
      <c r="C1318" s="65" t="s">
        <v>25</v>
      </c>
      <c r="D1318" s="66" t="n">
        <v>559</v>
      </c>
      <c r="E1318" s="67"/>
      <c r="F1318" s="67"/>
      <c r="G1318" s="68"/>
      <c r="H1318" s="69" t="n">
        <v>559</v>
      </c>
    </row>
    <row r="1319" customFormat="false" ht="15" hidden="false" customHeight="true" outlineLevel="0" collapsed="false">
      <c r="B1319" s="64"/>
      <c r="C1319" s="65" t="s">
        <v>50</v>
      </c>
      <c r="D1319" s="66" t="n">
        <v>1760</v>
      </c>
      <c r="E1319" s="67"/>
      <c r="F1319" s="67"/>
      <c r="G1319" s="68"/>
      <c r="H1319" s="69" t="n">
        <v>1760</v>
      </c>
    </row>
    <row r="1320" customFormat="false" ht="15" hidden="false" customHeight="true" outlineLevel="0" collapsed="false">
      <c r="B1320" s="64"/>
      <c r="C1320" s="65" t="s">
        <v>22</v>
      </c>
      <c r="D1320" s="66" t="n">
        <v>3061</v>
      </c>
      <c r="E1320" s="67"/>
      <c r="F1320" s="67"/>
      <c r="G1320" s="68"/>
      <c r="H1320" s="69" t="n">
        <v>3061</v>
      </c>
    </row>
    <row r="1321" customFormat="false" ht="15" hidden="false" customHeight="true" outlineLevel="0" collapsed="false">
      <c r="B1321" s="64"/>
      <c r="C1321" s="65" t="s">
        <v>37</v>
      </c>
      <c r="D1321" s="73"/>
      <c r="E1321" s="67"/>
      <c r="F1321" s="71" t="n">
        <v>20</v>
      </c>
      <c r="G1321" s="68"/>
      <c r="H1321" s="69" t="n">
        <v>20</v>
      </c>
    </row>
    <row r="1322" customFormat="false" ht="15" hidden="false" customHeight="true" outlineLevel="0" collapsed="false">
      <c r="B1322" s="64"/>
      <c r="C1322" s="65" t="s">
        <v>43</v>
      </c>
      <c r="D1322" s="73"/>
      <c r="E1322" s="71" t="n">
        <v>230</v>
      </c>
      <c r="F1322" s="71" t="n">
        <v>300</v>
      </c>
      <c r="G1322" s="68"/>
      <c r="H1322" s="69" t="n">
        <v>530</v>
      </c>
    </row>
    <row r="1323" customFormat="false" ht="15" hidden="false" customHeight="true" outlineLevel="0" collapsed="false">
      <c r="B1323" s="64"/>
      <c r="C1323" s="65" t="s">
        <v>34</v>
      </c>
      <c r="D1323" s="73"/>
      <c r="E1323" s="71" t="n">
        <v>120</v>
      </c>
      <c r="F1323" s="67"/>
      <c r="G1323" s="68"/>
      <c r="H1323" s="69" t="n">
        <v>120</v>
      </c>
    </row>
    <row r="1324" customFormat="false" ht="15" hidden="false" customHeight="true" outlineLevel="0" collapsed="false">
      <c r="B1324" s="84"/>
      <c r="C1324" s="85" t="s">
        <v>29</v>
      </c>
      <c r="D1324" s="86" t="n">
        <v>485</v>
      </c>
      <c r="E1324" s="75"/>
      <c r="F1324" s="75"/>
      <c r="G1324" s="77"/>
      <c r="H1324" s="78" t="n">
        <v>485</v>
      </c>
    </row>
    <row r="1325" customFormat="false" ht="15" hidden="false" customHeight="true" outlineLevel="0" collapsed="false">
      <c r="B1325" s="87" t="s">
        <v>867</v>
      </c>
      <c r="C1325" s="88"/>
      <c r="D1325" s="89" t="n">
        <v>10240</v>
      </c>
      <c r="E1325" s="89" t="n">
        <v>700</v>
      </c>
      <c r="F1325" s="89" t="n">
        <v>320</v>
      </c>
      <c r="G1325" s="90"/>
      <c r="H1325" s="91" t="n">
        <v>11260</v>
      </c>
    </row>
    <row r="1326" customFormat="false" ht="15" hidden="false" customHeight="true" outlineLevel="0" collapsed="false">
      <c r="B1326" s="56" t="n">
        <v>45806</v>
      </c>
      <c r="C1326" s="57" t="s">
        <v>44</v>
      </c>
      <c r="D1326" s="58"/>
      <c r="E1326" s="60" t="n">
        <v>100</v>
      </c>
      <c r="F1326" s="59"/>
      <c r="G1326" s="61"/>
      <c r="H1326" s="62" t="n">
        <v>100</v>
      </c>
    </row>
    <row r="1327" customFormat="false" ht="15" hidden="false" customHeight="true" outlineLevel="0" collapsed="false">
      <c r="B1327" s="64"/>
      <c r="C1327" s="65" t="s">
        <v>32</v>
      </c>
      <c r="D1327" s="73"/>
      <c r="E1327" s="67"/>
      <c r="F1327" s="71" t="n">
        <v>210</v>
      </c>
      <c r="G1327" s="68"/>
      <c r="H1327" s="69" t="n">
        <v>210</v>
      </c>
    </row>
    <row r="1328" customFormat="false" ht="15" hidden="false" customHeight="true" outlineLevel="0" collapsed="false">
      <c r="B1328" s="64"/>
      <c r="C1328" s="65" t="s">
        <v>19</v>
      </c>
      <c r="D1328" s="66" t="n">
        <v>3855</v>
      </c>
      <c r="E1328" s="67"/>
      <c r="F1328" s="67"/>
      <c r="G1328" s="68"/>
      <c r="H1328" s="69" t="n">
        <v>3855</v>
      </c>
    </row>
    <row r="1329" customFormat="false" ht="15" hidden="false" customHeight="true" outlineLevel="0" collapsed="false">
      <c r="B1329" s="64"/>
      <c r="C1329" s="65" t="s">
        <v>25</v>
      </c>
      <c r="D1329" s="66" t="n">
        <v>1204</v>
      </c>
      <c r="E1329" s="67"/>
      <c r="F1329" s="67"/>
      <c r="G1329" s="68"/>
      <c r="H1329" s="69" t="n">
        <v>1204</v>
      </c>
    </row>
    <row r="1330" customFormat="false" ht="15" hidden="false" customHeight="true" outlineLevel="0" collapsed="false">
      <c r="B1330" s="64"/>
      <c r="C1330" s="65" t="s">
        <v>22</v>
      </c>
      <c r="D1330" s="66" t="n">
        <v>1990</v>
      </c>
      <c r="E1330" s="67"/>
      <c r="F1330" s="67"/>
      <c r="G1330" s="68"/>
      <c r="H1330" s="69" t="n">
        <v>1990</v>
      </c>
    </row>
    <row r="1331" customFormat="false" ht="15" hidden="false" customHeight="true" outlineLevel="0" collapsed="false">
      <c r="B1331" s="64"/>
      <c r="C1331" s="65" t="s">
        <v>43</v>
      </c>
      <c r="D1331" s="73"/>
      <c r="E1331" s="71" t="n">
        <v>300</v>
      </c>
      <c r="F1331" s="67"/>
      <c r="G1331" s="68"/>
      <c r="H1331" s="69" t="n">
        <v>300</v>
      </c>
    </row>
    <row r="1332" customFormat="false" ht="15" hidden="false" customHeight="true" outlineLevel="0" collapsed="false">
      <c r="B1332" s="64"/>
      <c r="C1332" s="65" t="s">
        <v>34</v>
      </c>
      <c r="D1332" s="73"/>
      <c r="E1332" s="71" t="n">
        <v>150</v>
      </c>
      <c r="F1332" s="67"/>
      <c r="G1332" s="68"/>
      <c r="H1332" s="69" t="n">
        <v>150</v>
      </c>
    </row>
    <row r="1333" customFormat="false" ht="15" hidden="false" customHeight="true" outlineLevel="0" collapsed="false">
      <c r="B1333" s="84"/>
      <c r="C1333" s="85" t="s">
        <v>29</v>
      </c>
      <c r="D1333" s="86" t="n">
        <v>235</v>
      </c>
      <c r="E1333" s="75"/>
      <c r="F1333" s="76" t="n">
        <v>35</v>
      </c>
      <c r="G1333" s="77"/>
      <c r="H1333" s="78" t="n">
        <v>270</v>
      </c>
    </row>
    <row r="1334" customFormat="false" ht="15" hidden="false" customHeight="true" outlineLevel="0" collapsed="false">
      <c r="B1334" s="87" t="s">
        <v>868</v>
      </c>
      <c r="C1334" s="88"/>
      <c r="D1334" s="89" t="n">
        <v>7284</v>
      </c>
      <c r="E1334" s="89" t="n">
        <v>550</v>
      </c>
      <c r="F1334" s="89" t="n">
        <v>245</v>
      </c>
      <c r="G1334" s="90"/>
      <c r="H1334" s="91" t="n">
        <v>8079</v>
      </c>
    </row>
    <row r="1335" customFormat="false" ht="15" hidden="false" customHeight="true" outlineLevel="0" collapsed="false">
      <c r="B1335" s="56" t="n">
        <v>45807</v>
      </c>
      <c r="C1335" s="57" t="s">
        <v>32</v>
      </c>
      <c r="D1335" s="58"/>
      <c r="E1335" s="59"/>
      <c r="F1335" s="60" t="n">
        <v>210</v>
      </c>
      <c r="G1335" s="61"/>
      <c r="H1335" s="62" t="n">
        <v>210</v>
      </c>
    </row>
    <row r="1336" customFormat="false" ht="15" hidden="false" customHeight="true" outlineLevel="0" collapsed="false">
      <c r="B1336" s="64"/>
      <c r="C1336" s="65" t="s">
        <v>47</v>
      </c>
      <c r="D1336" s="66" t="n">
        <v>1680</v>
      </c>
      <c r="E1336" s="67"/>
      <c r="F1336" s="67"/>
      <c r="G1336" s="68"/>
      <c r="H1336" s="69" t="n">
        <v>1680</v>
      </c>
    </row>
    <row r="1337" customFormat="false" ht="15" hidden="false" customHeight="true" outlineLevel="0" collapsed="false">
      <c r="B1337" s="64"/>
      <c r="C1337" s="65" t="s">
        <v>19</v>
      </c>
      <c r="D1337" s="66" t="n">
        <v>3890</v>
      </c>
      <c r="E1337" s="67"/>
      <c r="F1337" s="67"/>
      <c r="G1337" s="68"/>
      <c r="H1337" s="69" t="n">
        <v>3890</v>
      </c>
    </row>
    <row r="1338" customFormat="false" ht="15" hidden="false" customHeight="true" outlineLevel="0" collapsed="false">
      <c r="B1338" s="64"/>
      <c r="C1338" s="65" t="s">
        <v>25</v>
      </c>
      <c r="D1338" s="66" t="n">
        <v>783</v>
      </c>
      <c r="E1338" s="67"/>
      <c r="F1338" s="67"/>
      <c r="G1338" s="68"/>
      <c r="H1338" s="69" t="n">
        <v>783</v>
      </c>
    </row>
    <row r="1339" customFormat="false" ht="15" hidden="false" customHeight="true" outlineLevel="0" collapsed="false">
      <c r="B1339" s="64"/>
      <c r="C1339" s="65" t="s">
        <v>28</v>
      </c>
      <c r="D1339" s="73"/>
      <c r="E1339" s="67"/>
      <c r="F1339" s="71" t="n">
        <v>890</v>
      </c>
      <c r="G1339" s="68"/>
      <c r="H1339" s="69" t="n">
        <v>890</v>
      </c>
    </row>
    <row r="1340" customFormat="false" ht="15" hidden="false" customHeight="true" outlineLevel="0" collapsed="false">
      <c r="B1340" s="64"/>
      <c r="C1340" s="65" t="s">
        <v>50</v>
      </c>
      <c r="D1340" s="66" t="n">
        <v>1760</v>
      </c>
      <c r="E1340" s="67"/>
      <c r="F1340" s="67"/>
      <c r="G1340" s="68"/>
      <c r="H1340" s="69" t="n">
        <v>1760</v>
      </c>
    </row>
    <row r="1341" customFormat="false" ht="15" hidden="false" customHeight="true" outlineLevel="0" collapsed="false">
      <c r="B1341" s="64"/>
      <c r="C1341" s="65" t="s">
        <v>22</v>
      </c>
      <c r="D1341" s="66" t="n">
        <v>640</v>
      </c>
      <c r="E1341" s="67"/>
      <c r="F1341" s="67"/>
      <c r="G1341" s="68"/>
      <c r="H1341" s="69" t="n">
        <v>640</v>
      </c>
    </row>
    <row r="1342" customFormat="false" ht="15" hidden="false" customHeight="true" outlineLevel="0" collapsed="false">
      <c r="B1342" s="64"/>
      <c r="C1342" s="65" t="s">
        <v>37</v>
      </c>
      <c r="D1342" s="73"/>
      <c r="E1342" s="67"/>
      <c r="F1342" s="71" t="n">
        <v>10</v>
      </c>
      <c r="G1342" s="68"/>
      <c r="H1342" s="69" t="n">
        <v>10</v>
      </c>
    </row>
    <row r="1343" customFormat="false" ht="15" hidden="false" customHeight="true" outlineLevel="0" collapsed="false">
      <c r="B1343" s="64"/>
      <c r="C1343" s="65" t="s">
        <v>43</v>
      </c>
      <c r="D1343" s="73"/>
      <c r="E1343" s="71" t="n">
        <v>850</v>
      </c>
      <c r="F1343" s="67"/>
      <c r="G1343" s="68"/>
      <c r="H1343" s="69" t="n">
        <v>850</v>
      </c>
    </row>
    <row r="1344" customFormat="false" ht="15" hidden="false" customHeight="true" outlineLevel="0" collapsed="false">
      <c r="B1344" s="64"/>
      <c r="C1344" s="65" t="s">
        <v>34</v>
      </c>
      <c r="D1344" s="73"/>
      <c r="E1344" s="71" t="n">
        <v>150</v>
      </c>
      <c r="F1344" s="67"/>
      <c r="G1344" s="68"/>
      <c r="H1344" s="69" t="n">
        <v>150</v>
      </c>
    </row>
    <row r="1345" customFormat="false" ht="15" hidden="false" customHeight="true" outlineLevel="0" collapsed="false">
      <c r="B1345" s="84"/>
      <c r="C1345" s="85" t="s">
        <v>29</v>
      </c>
      <c r="D1345" s="86" t="n">
        <v>495</v>
      </c>
      <c r="E1345" s="75"/>
      <c r="F1345" s="75"/>
      <c r="G1345" s="77"/>
      <c r="H1345" s="78" t="n">
        <v>495</v>
      </c>
    </row>
    <row r="1346" customFormat="false" ht="15" hidden="false" customHeight="true" outlineLevel="0" collapsed="false">
      <c r="B1346" s="87" t="s">
        <v>869</v>
      </c>
      <c r="C1346" s="88"/>
      <c r="D1346" s="89" t="n">
        <v>9248</v>
      </c>
      <c r="E1346" s="89" t="n">
        <v>1000</v>
      </c>
      <c r="F1346" s="89" t="n">
        <v>1110</v>
      </c>
      <c r="G1346" s="90"/>
      <c r="H1346" s="91" t="n">
        <v>11358</v>
      </c>
    </row>
    <row r="1347" customFormat="false" ht="15" hidden="false" customHeight="true" outlineLevel="0" collapsed="false">
      <c r="B1347" s="56" t="n">
        <v>45808</v>
      </c>
      <c r="C1347" s="57" t="s">
        <v>32</v>
      </c>
      <c r="D1347" s="58"/>
      <c r="E1347" s="59"/>
      <c r="F1347" s="60" t="n">
        <v>140</v>
      </c>
      <c r="G1347" s="61"/>
      <c r="H1347" s="62" t="n">
        <v>140</v>
      </c>
    </row>
    <row r="1348" customFormat="false" ht="15" hidden="false" customHeight="true" outlineLevel="0" collapsed="false">
      <c r="B1348" s="64"/>
      <c r="C1348" s="65" t="s">
        <v>53</v>
      </c>
      <c r="D1348" s="73"/>
      <c r="E1348" s="71" t="n">
        <v>1080</v>
      </c>
      <c r="F1348" s="67"/>
      <c r="G1348" s="68"/>
      <c r="H1348" s="69" t="n">
        <v>1080</v>
      </c>
    </row>
    <row r="1349" customFormat="false" ht="15" hidden="false" customHeight="true" outlineLevel="0" collapsed="false">
      <c r="B1349" s="64"/>
      <c r="C1349" s="65" t="s">
        <v>47</v>
      </c>
      <c r="D1349" s="66" t="n">
        <v>840</v>
      </c>
      <c r="E1349" s="67"/>
      <c r="F1349" s="67"/>
      <c r="G1349" s="68"/>
      <c r="H1349" s="69" t="n">
        <v>840</v>
      </c>
    </row>
    <row r="1350" customFormat="false" ht="15" hidden="false" customHeight="true" outlineLevel="0" collapsed="false">
      <c r="B1350" s="64"/>
      <c r="C1350" s="65" t="s">
        <v>19</v>
      </c>
      <c r="D1350" s="66" t="n">
        <v>4630</v>
      </c>
      <c r="E1350" s="67"/>
      <c r="F1350" s="67"/>
      <c r="G1350" s="68"/>
      <c r="H1350" s="69" t="n">
        <v>4630</v>
      </c>
    </row>
    <row r="1351" customFormat="false" ht="15" hidden="false" customHeight="true" outlineLevel="0" collapsed="false">
      <c r="B1351" s="64"/>
      <c r="C1351" s="65" t="s">
        <v>25</v>
      </c>
      <c r="D1351" s="66" t="n">
        <v>1178</v>
      </c>
      <c r="E1351" s="67"/>
      <c r="F1351" s="67"/>
      <c r="G1351" s="68"/>
      <c r="H1351" s="69" t="n">
        <v>1178</v>
      </c>
    </row>
    <row r="1352" customFormat="false" ht="15" hidden="false" customHeight="true" outlineLevel="0" collapsed="false">
      <c r="B1352" s="64"/>
      <c r="C1352" s="65" t="s">
        <v>51</v>
      </c>
      <c r="D1352" s="73"/>
      <c r="E1352" s="67"/>
      <c r="F1352" s="71" t="n">
        <v>200</v>
      </c>
      <c r="G1352" s="68"/>
      <c r="H1352" s="69" t="n">
        <v>200</v>
      </c>
    </row>
    <row r="1353" customFormat="false" ht="15" hidden="false" customHeight="true" outlineLevel="0" collapsed="false">
      <c r="B1353" s="64"/>
      <c r="C1353" s="65" t="s">
        <v>50</v>
      </c>
      <c r="D1353" s="66" t="n">
        <v>1760</v>
      </c>
      <c r="E1353" s="67"/>
      <c r="F1353" s="67"/>
      <c r="G1353" s="68"/>
      <c r="H1353" s="69" t="n">
        <v>1760</v>
      </c>
    </row>
    <row r="1354" customFormat="false" ht="15" hidden="false" customHeight="true" outlineLevel="0" collapsed="false">
      <c r="B1354" s="64"/>
      <c r="C1354" s="65" t="s">
        <v>22</v>
      </c>
      <c r="D1354" s="66" t="n">
        <v>2478</v>
      </c>
      <c r="E1354" s="67"/>
      <c r="F1354" s="71" t="n">
        <v>110</v>
      </c>
      <c r="G1354" s="68"/>
      <c r="H1354" s="69" t="n">
        <v>2588</v>
      </c>
    </row>
    <row r="1355" customFormat="false" ht="15" hidden="false" customHeight="true" outlineLevel="0" collapsed="false">
      <c r="B1355" s="64"/>
      <c r="C1355" s="65" t="s">
        <v>60</v>
      </c>
      <c r="D1355" s="73"/>
      <c r="E1355" s="71" t="n">
        <v>210</v>
      </c>
      <c r="F1355" s="67"/>
      <c r="G1355" s="68"/>
      <c r="H1355" s="69" t="n">
        <v>210</v>
      </c>
    </row>
    <row r="1356" customFormat="false" ht="15" hidden="false" customHeight="true" outlineLevel="0" collapsed="false">
      <c r="B1356" s="64"/>
      <c r="C1356" s="65" t="s">
        <v>67</v>
      </c>
      <c r="D1356" s="73"/>
      <c r="E1356" s="71" t="n">
        <v>8500</v>
      </c>
      <c r="F1356" s="67"/>
      <c r="G1356" s="68"/>
      <c r="H1356" s="69" t="n">
        <v>8500</v>
      </c>
    </row>
    <row r="1357" customFormat="false" ht="15" hidden="false" customHeight="true" outlineLevel="0" collapsed="false">
      <c r="B1357" s="64"/>
      <c r="C1357" s="65" t="s">
        <v>34</v>
      </c>
      <c r="D1357" s="73"/>
      <c r="E1357" s="71" t="n">
        <v>140</v>
      </c>
      <c r="F1357" s="67"/>
      <c r="G1357" s="68"/>
      <c r="H1357" s="69" t="n">
        <v>140</v>
      </c>
    </row>
    <row r="1358" customFormat="false" ht="15" hidden="false" customHeight="true" outlineLevel="0" collapsed="false">
      <c r="B1358" s="84"/>
      <c r="C1358" s="85" t="s">
        <v>29</v>
      </c>
      <c r="D1358" s="86" t="n">
        <v>338</v>
      </c>
      <c r="E1358" s="75"/>
      <c r="F1358" s="75"/>
      <c r="G1358" s="77"/>
      <c r="H1358" s="78" t="n">
        <v>338</v>
      </c>
    </row>
    <row r="1359" customFormat="false" ht="15" hidden="false" customHeight="true" outlineLevel="0" collapsed="false">
      <c r="B1359" s="87" t="s">
        <v>870</v>
      </c>
      <c r="C1359" s="88"/>
      <c r="D1359" s="89" t="n">
        <v>11224</v>
      </c>
      <c r="E1359" s="89" t="n">
        <v>9930</v>
      </c>
      <c r="F1359" s="89" t="n">
        <v>450</v>
      </c>
      <c r="G1359" s="90"/>
      <c r="H1359" s="91" t="n">
        <v>21604</v>
      </c>
    </row>
    <row r="1360" customFormat="false" ht="15" hidden="false" customHeight="true" outlineLevel="0" collapsed="false">
      <c r="B1360" s="56" t="n">
        <v>45809</v>
      </c>
      <c r="C1360" s="57" t="s">
        <v>44</v>
      </c>
      <c r="D1360" s="58"/>
      <c r="E1360" s="60" t="n">
        <v>100</v>
      </c>
      <c r="F1360" s="59"/>
      <c r="G1360" s="61"/>
      <c r="H1360" s="62" t="n">
        <v>100</v>
      </c>
    </row>
    <row r="1361" customFormat="false" ht="15" hidden="false" customHeight="true" outlineLevel="0" collapsed="false">
      <c r="B1361" s="64"/>
      <c r="C1361" s="65" t="s">
        <v>32</v>
      </c>
      <c r="D1361" s="73"/>
      <c r="E1361" s="67"/>
      <c r="F1361" s="71" t="n">
        <v>350</v>
      </c>
      <c r="G1361" s="68"/>
      <c r="H1361" s="69" t="n">
        <v>350</v>
      </c>
    </row>
    <row r="1362" customFormat="false" ht="15" hidden="false" customHeight="true" outlineLevel="0" collapsed="false">
      <c r="B1362" s="64"/>
      <c r="C1362" s="65" t="s">
        <v>19</v>
      </c>
      <c r="D1362" s="66" t="n">
        <v>6575</v>
      </c>
      <c r="E1362" s="67"/>
      <c r="F1362" s="67"/>
      <c r="G1362" s="68"/>
      <c r="H1362" s="69" t="n">
        <v>6575</v>
      </c>
    </row>
    <row r="1363" customFormat="false" ht="15" hidden="false" customHeight="true" outlineLevel="0" collapsed="false">
      <c r="B1363" s="64"/>
      <c r="C1363" s="65" t="s">
        <v>63</v>
      </c>
      <c r="D1363" s="73"/>
      <c r="E1363" s="71" t="n">
        <v>340</v>
      </c>
      <c r="F1363" s="67"/>
      <c r="G1363" s="68"/>
      <c r="H1363" s="69" t="n">
        <v>340</v>
      </c>
    </row>
    <row r="1364" customFormat="false" ht="15" hidden="false" customHeight="true" outlineLevel="0" collapsed="false">
      <c r="B1364" s="64"/>
      <c r="C1364" s="65" t="s">
        <v>25</v>
      </c>
      <c r="D1364" s="66" t="n">
        <v>1264</v>
      </c>
      <c r="E1364" s="67"/>
      <c r="F1364" s="67"/>
      <c r="G1364" s="68"/>
      <c r="H1364" s="69" t="n">
        <v>1264</v>
      </c>
    </row>
    <row r="1365" customFormat="false" ht="15" hidden="false" customHeight="true" outlineLevel="0" collapsed="false">
      <c r="B1365" s="64"/>
      <c r="C1365" s="65" t="s">
        <v>28</v>
      </c>
      <c r="D1365" s="73"/>
      <c r="E1365" s="67"/>
      <c r="F1365" s="71" t="n">
        <v>535</v>
      </c>
      <c r="G1365" s="68"/>
      <c r="H1365" s="69" t="n">
        <v>535</v>
      </c>
    </row>
    <row r="1366" customFormat="false" ht="15" hidden="false" customHeight="true" outlineLevel="0" collapsed="false">
      <c r="B1366" s="64"/>
      <c r="C1366" s="65" t="s">
        <v>12</v>
      </c>
      <c r="D1366" s="66" t="n">
        <v>20760</v>
      </c>
      <c r="E1366" s="67"/>
      <c r="F1366" s="67"/>
      <c r="G1366" s="68"/>
      <c r="H1366" s="69" t="n">
        <v>20760</v>
      </c>
    </row>
    <row r="1367" customFormat="false" ht="15" hidden="false" customHeight="true" outlineLevel="0" collapsed="false">
      <c r="B1367" s="64"/>
      <c r="C1367" s="65" t="s">
        <v>50</v>
      </c>
      <c r="D1367" s="66" t="n">
        <v>1740</v>
      </c>
      <c r="E1367" s="67"/>
      <c r="F1367" s="67"/>
      <c r="G1367" s="68"/>
      <c r="H1367" s="69" t="n">
        <v>1740</v>
      </c>
    </row>
    <row r="1368" customFormat="false" ht="15" hidden="false" customHeight="true" outlineLevel="0" collapsed="false">
      <c r="B1368" s="64"/>
      <c r="C1368" s="65" t="s">
        <v>22</v>
      </c>
      <c r="D1368" s="66" t="n">
        <v>3415</v>
      </c>
      <c r="E1368" s="67"/>
      <c r="F1368" s="67"/>
      <c r="G1368" s="68"/>
      <c r="H1368" s="69" t="n">
        <v>3415</v>
      </c>
    </row>
    <row r="1369" customFormat="false" ht="15" hidden="false" customHeight="true" outlineLevel="0" collapsed="false">
      <c r="B1369" s="64"/>
      <c r="C1369" s="65" t="s">
        <v>31</v>
      </c>
      <c r="D1369" s="73"/>
      <c r="E1369" s="71" t="n">
        <v>310</v>
      </c>
      <c r="F1369" s="67"/>
      <c r="G1369" s="68"/>
      <c r="H1369" s="69" t="n">
        <v>310</v>
      </c>
    </row>
    <row r="1370" customFormat="false" ht="15" hidden="false" customHeight="true" outlineLevel="0" collapsed="false">
      <c r="B1370" s="64"/>
      <c r="C1370" s="65" t="s">
        <v>56</v>
      </c>
      <c r="D1370" s="66" t="n">
        <v>1655</v>
      </c>
      <c r="E1370" s="67"/>
      <c r="F1370" s="67"/>
      <c r="G1370" s="68"/>
      <c r="H1370" s="69" t="n">
        <v>1655</v>
      </c>
    </row>
    <row r="1371" customFormat="false" ht="15" hidden="false" customHeight="true" outlineLevel="0" collapsed="false">
      <c r="B1371" s="64"/>
      <c r="C1371" s="65" t="s">
        <v>35</v>
      </c>
      <c r="D1371" s="73"/>
      <c r="E1371" s="71" t="n">
        <v>100</v>
      </c>
      <c r="F1371" s="67"/>
      <c r="G1371" s="68"/>
      <c r="H1371" s="69" t="n">
        <v>100</v>
      </c>
    </row>
    <row r="1372" customFormat="false" ht="15" hidden="false" customHeight="true" outlineLevel="0" collapsed="false">
      <c r="B1372" s="64"/>
      <c r="C1372" s="65" t="s">
        <v>34</v>
      </c>
      <c r="D1372" s="73"/>
      <c r="E1372" s="71" t="n">
        <v>290</v>
      </c>
      <c r="F1372" s="67"/>
      <c r="G1372" s="68"/>
      <c r="H1372" s="69" t="n">
        <v>290</v>
      </c>
    </row>
    <row r="1373" customFormat="false" ht="15" hidden="false" customHeight="true" outlineLevel="0" collapsed="false">
      <c r="B1373" s="84"/>
      <c r="C1373" s="85" t="s">
        <v>29</v>
      </c>
      <c r="D1373" s="74"/>
      <c r="E1373" s="76" t="n">
        <v>1452</v>
      </c>
      <c r="F1373" s="76" t="n">
        <v>24</v>
      </c>
      <c r="G1373" s="77"/>
      <c r="H1373" s="78" t="n">
        <v>1476</v>
      </c>
    </row>
    <row r="1374" customFormat="false" ht="15" hidden="false" customHeight="true" outlineLevel="0" collapsed="false">
      <c r="B1374" s="87" t="s">
        <v>871</v>
      </c>
      <c r="C1374" s="88"/>
      <c r="D1374" s="89" t="n">
        <v>35409</v>
      </c>
      <c r="E1374" s="89" t="n">
        <v>2592</v>
      </c>
      <c r="F1374" s="89" t="n">
        <v>909</v>
      </c>
      <c r="G1374" s="90"/>
      <c r="H1374" s="91" t="n">
        <v>38910</v>
      </c>
    </row>
    <row r="1375" customFormat="false" ht="15" hidden="false" customHeight="true" outlineLevel="0" collapsed="false">
      <c r="B1375" s="56" t="n">
        <v>45810</v>
      </c>
      <c r="C1375" s="57" t="s">
        <v>32</v>
      </c>
      <c r="D1375" s="58"/>
      <c r="E1375" s="59"/>
      <c r="F1375" s="60" t="n">
        <v>105</v>
      </c>
      <c r="G1375" s="61"/>
      <c r="H1375" s="62" t="n">
        <v>105</v>
      </c>
    </row>
    <row r="1376" customFormat="false" ht="15" hidden="false" customHeight="true" outlineLevel="0" collapsed="false">
      <c r="B1376" s="64"/>
      <c r="C1376" s="65" t="s">
        <v>47</v>
      </c>
      <c r="D1376" s="66" t="n">
        <v>1680</v>
      </c>
      <c r="E1376" s="67"/>
      <c r="F1376" s="67"/>
      <c r="G1376" s="68"/>
      <c r="H1376" s="69" t="n">
        <v>1680</v>
      </c>
    </row>
    <row r="1377" customFormat="false" ht="15" hidden="false" customHeight="true" outlineLevel="0" collapsed="false">
      <c r="B1377" s="64"/>
      <c r="C1377" s="65" t="s">
        <v>19</v>
      </c>
      <c r="D1377" s="66" t="n">
        <v>2401</v>
      </c>
      <c r="E1377" s="67"/>
      <c r="F1377" s="67"/>
      <c r="G1377" s="68"/>
      <c r="H1377" s="69" t="n">
        <v>2401</v>
      </c>
    </row>
    <row r="1378" customFormat="false" ht="15" hidden="false" customHeight="true" outlineLevel="0" collapsed="false">
      <c r="B1378" s="64"/>
      <c r="C1378" s="65" t="s">
        <v>63</v>
      </c>
      <c r="D1378" s="66" t="n">
        <v>3500</v>
      </c>
      <c r="E1378" s="67"/>
      <c r="F1378" s="67"/>
      <c r="G1378" s="68"/>
      <c r="H1378" s="69" t="n">
        <v>3500</v>
      </c>
    </row>
    <row r="1379" customFormat="false" ht="15" hidden="false" customHeight="true" outlineLevel="0" collapsed="false">
      <c r="B1379" s="64"/>
      <c r="C1379" s="65" t="s">
        <v>25</v>
      </c>
      <c r="D1379" s="66" t="n">
        <v>1477</v>
      </c>
      <c r="E1379" s="71" t="n">
        <v>800</v>
      </c>
      <c r="F1379" s="67"/>
      <c r="G1379" s="68"/>
      <c r="H1379" s="69" t="n">
        <v>2277</v>
      </c>
    </row>
    <row r="1380" customFormat="false" ht="15" hidden="false" customHeight="true" outlineLevel="0" collapsed="false">
      <c r="B1380" s="64"/>
      <c r="C1380" s="65" t="s">
        <v>22</v>
      </c>
      <c r="D1380" s="66" t="n">
        <v>3384</v>
      </c>
      <c r="E1380" s="67"/>
      <c r="F1380" s="67"/>
      <c r="G1380" s="68"/>
      <c r="H1380" s="69" t="n">
        <v>3384</v>
      </c>
    </row>
    <row r="1381" customFormat="false" ht="15" hidden="false" customHeight="true" outlineLevel="0" collapsed="false">
      <c r="B1381" s="64"/>
      <c r="C1381" s="65" t="s">
        <v>37</v>
      </c>
      <c r="D1381" s="73"/>
      <c r="E1381" s="67"/>
      <c r="F1381" s="71" t="n">
        <v>14</v>
      </c>
      <c r="G1381" s="68"/>
      <c r="H1381" s="69" t="n">
        <v>14</v>
      </c>
    </row>
    <row r="1382" customFormat="false" ht="15" hidden="false" customHeight="true" outlineLevel="0" collapsed="false">
      <c r="B1382" s="64"/>
      <c r="C1382" s="65" t="s">
        <v>43</v>
      </c>
      <c r="D1382" s="73"/>
      <c r="E1382" s="71" t="n">
        <v>250</v>
      </c>
      <c r="F1382" s="67"/>
      <c r="G1382" s="68"/>
      <c r="H1382" s="69" t="n">
        <v>250</v>
      </c>
    </row>
    <row r="1383" customFormat="false" ht="15" hidden="false" customHeight="true" outlineLevel="0" collapsed="false">
      <c r="B1383" s="64"/>
      <c r="C1383" s="65" t="s">
        <v>67</v>
      </c>
      <c r="D1383" s="73"/>
      <c r="E1383" s="71" t="n">
        <v>2000</v>
      </c>
      <c r="F1383" s="67"/>
      <c r="G1383" s="68"/>
      <c r="H1383" s="69" t="n">
        <v>2000</v>
      </c>
    </row>
    <row r="1384" customFormat="false" ht="15" hidden="false" customHeight="true" outlineLevel="0" collapsed="false">
      <c r="B1384" s="64"/>
      <c r="C1384" s="65" t="s">
        <v>34</v>
      </c>
      <c r="D1384" s="73"/>
      <c r="E1384" s="71" t="n">
        <v>150</v>
      </c>
      <c r="F1384" s="67"/>
      <c r="G1384" s="68"/>
      <c r="H1384" s="69" t="n">
        <v>150</v>
      </c>
    </row>
    <row r="1385" customFormat="false" ht="15" hidden="false" customHeight="true" outlineLevel="0" collapsed="false">
      <c r="B1385" s="64"/>
      <c r="C1385" s="65" t="s">
        <v>29</v>
      </c>
      <c r="D1385" s="73"/>
      <c r="E1385" s="71" t="n">
        <v>310</v>
      </c>
      <c r="F1385" s="67"/>
      <c r="G1385" s="68"/>
      <c r="H1385" s="69" t="n">
        <v>310</v>
      </c>
    </row>
    <row r="1386" customFormat="false" ht="15" hidden="false" customHeight="true" outlineLevel="0" collapsed="false">
      <c r="B1386" s="84"/>
      <c r="C1386" s="85" t="s">
        <v>201</v>
      </c>
      <c r="D1386" s="86" t="n">
        <v>2100</v>
      </c>
      <c r="E1386" s="75"/>
      <c r="F1386" s="75"/>
      <c r="G1386" s="77"/>
      <c r="H1386" s="78" t="n">
        <v>2100</v>
      </c>
    </row>
    <row r="1387" customFormat="false" ht="15" hidden="false" customHeight="true" outlineLevel="0" collapsed="false">
      <c r="B1387" s="87" t="s">
        <v>872</v>
      </c>
      <c r="C1387" s="88"/>
      <c r="D1387" s="89" t="n">
        <v>14542</v>
      </c>
      <c r="E1387" s="89" t="n">
        <v>3510</v>
      </c>
      <c r="F1387" s="89" t="n">
        <v>119</v>
      </c>
      <c r="G1387" s="90"/>
      <c r="H1387" s="91" t="n">
        <v>18171</v>
      </c>
    </row>
    <row r="1388" customFormat="false" ht="15" hidden="false" customHeight="true" outlineLevel="0" collapsed="false">
      <c r="B1388" s="56" t="n">
        <v>45811</v>
      </c>
      <c r="C1388" s="57" t="s">
        <v>44</v>
      </c>
      <c r="D1388" s="58"/>
      <c r="E1388" s="60" t="n">
        <v>1200</v>
      </c>
      <c r="F1388" s="59"/>
      <c r="G1388" s="61"/>
      <c r="H1388" s="62" t="n">
        <v>1200</v>
      </c>
    </row>
    <row r="1389" customFormat="false" ht="15" hidden="false" customHeight="true" outlineLevel="0" collapsed="false">
      <c r="B1389" s="64"/>
      <c r="C1389" s="65" t="s">
        <v>32</v>
      </c>
      <c r="D1389" s="73"/>
      <c r="E1389" s="67"/>
      <c r="F1389" s="71" t="n">
        <v>210</v>
      </c>
      <c r="G1389" s="68"/>
      <c r="H1389" s="69" t="n">
        <v>210</v>
      </c>
    </row>
    <row r="1390" customFormat="false" ht="15" hidden="false" customHeight="true" outlineLevel="0" collapsed="false">
      <c r="B1390" s="64"/>
      <c r="C1390" s="65" t="s">
        <v>19</v>
      </c>
      <c r="D1390" s="66" t="n">
        <v>4818</v>
      </c>
      <c r="E1390" s="67"/>
      <c r="F1390" s="67"/>
      <c r="G1390" s="68"/>
      <c r="H1390" s="69" t="n">
        <v>4818</v>
      </c>
    </row>
    <row r="1391" customFormat="false" ht="15" hidden="false" customHeight="true" outlineLevel="0" collapsed="false">
      <c r="B1391" s="64"/>
      <c r="C1391" s="65" t="s">
        <v>63</v>
      </c>
      <c r="D1391" s="73"/>
      <c r="E1391" s="71" t="n">
        <v>150</v>
      </c>
      <c r="F1391" s="67"/>
      <c r="G1391" s="68"/>
      <c r="H1391" s="69" t="n">
        <v>150</v>
      </c>
    </row>
    <row r="1392" customFormat="false" ht="15" hidden="false" customHeight="true" outlineLevel="0" collapsed="false">
      <c r="B1392" s="64"/>
      <c r="C1392" s="65" t="s">
        <v>25</v>
      </c>
      <c r="D1392" s="66" t="n">
        <v>551</v>
      </c>
      <c r="E1392" s="67"/>
      <c r="F1392" s="67"/>
      <c r="G1392" s="68"/>
      <c r="H1392" s="69" t="n">
        <v>551</v>
      </c>
    </row>
    <row r="1393" customFormat="false" ht="15" hidden="false" customHeight="true" outlineLevel="0" collapsed="false">
      <c r="B1393" s="64"/>
      <c r="C1393" s="65" t="s">
        <v>22</v>
      </c>
      <c r="D1393" s="66" t="n">
        <v>655</v>
      </c>
      <c r="E1393" s="67"/>
      <c r="F1393" s="67"/>
      <c r="G1393" s="68"/>
      <c r="H1393" s="69" t="n">
        <v>655</v>
      </c>
    </row>
    <row r="1394" customFormat="false" ht="15" hidden="false" customHeight="true" outlineLevel="0" collapsed="false">
      <c r="B1394" s="64"/>
      <c r="C1394" s="65" t="s">
        <v>37</v>
      </c>
      <c r="D1394" s="73"/>
      <c r="E1394" s="67"/>
      <c r="F1394" s="71" t="n">
        <v>10</v>
      </c>
      <c r="G1394" s="68"/>
      <c r="H1394" s="69" t="n">
        <v>10</v>
      </c>
    </row>
    <row r="1395" customFormat="false" ht="15" hidden="false" customHeight="true" outlineLevel="0" collapsed="false">
      <c r="B1395" s="64"/>
      <c r="C1395" s="65" t="s">
        <v>60</v>
      </c>
      <c r="D1395" s="73"/>
      <c r="E1395" s="71" t="n">
        <v>210</v>
      </c>
      <c r="F1395" s="67"/>
      <c r="G1395" s="68"/>
      <c r="H1395" s="69" t="n">
        <v>210</v>
      </c>
    </row>
    <row r="1396" customFormat="false" ht="15" hidden="false" customHeight="true" outlineLevel="0" collapsed="false">
      <c r="B1396" s="64"/>
      <c r="C1396" s="65" t="s">
        <v>56</v>
      </c>
      <c r="D1396" s="73"/>
      <c r="E1396" s="71" t="n">
        <v>60</v>
      </c>
      <c r="F1396" s="67"/>
      <c r="G1396" s="68"/>
      <c r="H1396" s="69" t="n">
        <v>60</v>
      </c>
    </row>
    <row r="1397" customFormat="false" ht="15" hidden="false" customHeight="true" outlineLevel="0" collapsed="false">
      <c r="B1397" s="64"/>
      <c r="C1397" s="65" t="s">
        <v>34</v>
      </c>
      <c r="D1397" s="73"/>
      <c r="E1397" s="71" t="n">
        <v>150</v>
      </c>
      <c r="F1397" s="67"/>
      <c r="G1397" s="68"/>
      <c r="H1397" s="69" t="n">
        <v>150</v>
      </c>
    </row>
    <row r="1398" customFormat="false" ht="15" hidden="false" customHeight="true" outlineLevel="0" collapsed="false">
      <c r="B1398" s="84"/>
      <c r="C1398" s="85" t="s">
        <v>29</v>
      </c>
      <c r="D1398" s="74"/>
      <c r="E1398" s="76" t="n">
        <v>580</v>
      </c>
      <c r="F1398" s="75"/>
      <c r="G1398" s="77"/>
      <c r="H1398" s="78" t="n">
        <v>580</v>
      </c>
    </row>
    <row r="1399" customFormat="false" ht="15" hidden="false" customHeight="true" outlineLevel="0" collapsed="false">
      <c r="B1399" s="87" t="s">
        <v>873</v>
      </c>
      <c r="C1399" s="88"/>
      <c r="D1399" s="89" t="n">
        <v>6024</v>
      </c>
      <c r="E1399" s="89" t="n">
        <v>2350</v>
      </c>
      <c r="F1399" s="89" t="n">
        <v>220</v>
      </c>
      <c r="G1399" s="90"/>
      <c r="H1399" s="91" t="n">
        <v>8594</v>
      </c>
    </row>
    <row r="1400" customFormat="false" ht="15" hidden="false" customHeight="true" outlineLevel="0" collapsed="false">
      <c r="B1400" s="56" t="n">
        <v>45812</v>
      </c>
      <c r="C1400" s="57" t="s">
        <v>44</v>
      </c>
      <c r="D1400" s="92" t="n">
        <v>9000</v>
      </c>
      <c r="E1400" s="60" t="n">
        <v>500</v>
      </c>
      <c r="F1400" s="60" t="n">
        <v>100</v>
      </c>
      <c r="G1400" s="61"/>
      <c r="H1400" s="62" t="n">
        <v>9600</v>
      </c>
    </row>
    <row r="1401" customFormat="false" ht="15" hidden="false" customHeight="true" outlineLevel="0" collapsed="false">
      <c r="B1401" s="64"/>
      <c r="C1401" s="65" t="s">
        <v>47</v>
      </c>
      <c r="D1401" s="66" t="n">
        <v>840</v>
      </c>
      <c r="E1401" s="67"/>
      <c r="F1401" s="67"/>
      <c r="G1401" s="68"/>
      <c r="H1401" s="69" t="n">
        <v>840</v>
      </c>
    </row>
    <row r="1402" customFormat="false" ht="15" hidden="false" customHeight="true" outlineLevel="0" collapsed="false">
      <c r="B1402" s="64"/>
      <c r="C1402" s="65" t="s">
        <v>19</v>
      </c>
      <c r="D1402" s="66" t="n">
        <v>1546</v>
      </c>
      <c r="E1402" s="67"/>
      <c r="F1402" s="67"/>
      <c r="G1402" s="68"/>
      <c r="H1402" s="69" t="n">
        <v>1546</v>
      </c>
    </row>
    <row r="1403" customFormat="false" ht="15" hidden="false" customHeight="true" outlineLevel="0" collapsed="false">
      <c r="B1403" s="64"/>
      <c r="C1403" s="65" t="s">
        <v>25</v>
      </c>
      <c r="D1403" s="66" t="n">
        <v>1014</v>
      </c>
      <c r="E1403" s="67"/>
      <c r="F1403" s="67"/>
      <c r="G1403" s="68"/>
      <c r="H1403" s="69" t="n">
        <v>1014</v>
      </c>
    </row>
    <row r="1404" customFormat="false" ht="15" hidden="false" customHeight="true" outlineLevel="0" collapsed="false">
      <c r="B1404" s="64"/>
      <c r="C1404" s="65" t="s">
        <v>22</v>
      </c>
      <c r="D1404" s="66" t="n">
        <v>2811</v>
      </c>
      <c r="E1404" s="71" t="n">
        <v>110</v>
      </c>
      <c r="F1404" s="67"/>
      <c r="G1404" s="68"/>
      <c r="H1404" s="69" t="n">
        <v>2921</v>
      </c>
    </row>
    <row r="1405" customFormat="false" ht="15" hidden="false" customHeight="true" outlineLevel="0" collapsed="false">
      <c r="B1405" s="64"/>
      <c r="C1405" s="65" t="s">
        <v>107</v>
      </c>
      <c r="D1405" s="73"/>
      <c r="E1405" s="71" t="n">
        <v>115</v>
      </c>
      <c r="F1405" s="67"/>
      <c r="G1405" s="68"/>
      <c r="H1405" s="69" t="n">
        <v>115</v>
      </c>
    </row>
    <row r="1406" customFormat="false" ht="15" hidden="false" customHeight="true" outlineLevel="0" collapsed="false">
      <c r="B1406" s="64"/>
      <c r="C1406" s="65" t="s">
        <v>34</v>
      </c>
      <c r="D1406" s="73"/>
      <c r="E1406" s="71" t="n">
        <v>145</v>
      </c>
      <c r="F1406" s="67"/>
      <c r="G1406" s="68"/>
      <c r="H1406" s="69" t="n">
        <v>145</v>
      </c>
    </row>
    <row r="1407" customFormat="false" ht="15" hidden="false" customHeight="true" outlineLevel="0" collapsed="false">
      <c r="B1407" s="84"/>
      <c r="C1407" s="85" t="s">
        <v>29</v>
      </c>
      <c r="D1407" s="74"/>
      <c r="E1407" s="76" t="n">
        <v>1090</v>
      </c>
      <c r="F1407" s="76" t="n">
        <v>30</v>
      </c>
      <c r="G1407" s="77"/>
      <c r="H1407" s="78" t="n">
        <v>1120</v>
      </c>
    </row>
    <row r="1408" customFormat="false" ht="15" hidden="false" customHeight="true" outlineLevel="0" collapsed="false">
      <c r="B1408" s="87" t="s">
        <v>874</v>
      </c>
      <c r="C1408" s="88"/>
      <c r="D1408" s="89" t="n">
        <v>15211</v>
      </c>
      <c r="E1408" s="89" t="n">
        <v>1960</v>
      </c>
      <c r="F1408" s="89" t="n">
        <v>130</v>
      </c>
      <c r="G1408" s="90"/>
      <c r="H1408" s="91" t="n">
        <v>17301</v>
      </c>
    </row>
    <row r="1409" customFormat="false" ht="15" hidden="false" customHeight="true" outlineLevel="0" collapsed="false">
      <c r="B1409" s="56" t="n">
        <v>45813</v>
      </c>
      <c r="C1409" s="57" t="s">
        <v>44</v>
      </c>
      <c r="D1409" s="92" t="n">
        <v>10000</v>
      </c>
      <c r="E1409" s="59"/>
      <c r="F1409" s="59"/>
      <c r="G1409" s="61"/>
      <c r="H1409" s="62" t="n">
        <v>10000</v>
      </c>
    </row>
    <row r="1410" customFormat="false" ht="15" hidden="false" customHeight="true" outlineLevel="0" collapsed="false">
      <c r="B1410" s="64"/>
      <c r="C1410" s="65" t="s">
        <v>32</v>
      </c>
      <c r="D1410" s="73"/>
      <c r="E1410" s="67"/>
      <c r="F1410" s="71" t="n">
        <v>350</v>
      </c>
      <c r="G1410" s="68"/>
      <c r="H1410" s="69" t="n">
        <v>350</v>
      </c>
    </row>
    <row r="1411" customFormat="false" ht="15" hidden="false" customHeight="true" outlineLevel="0" collapsed="false">
      <c r="B1411" s="64"/>
      <c r="C1411" s="65" t="s">
        <v>53</v>
      </c>
      <c r="D1411" s="73"/>
      <c r="E1411" s="67"/>
      <c r="F1411" s="71" t="n">
        <v>1200</v>
      </c>
      <c r="G1411" s="68"/>
      <c r="H1411" s="69" t="n">
        <v>1200</v>
      </c>
    </row>
    <row r="1412" customFormat="false" ht="15" hidden="false" customHeight="true" outlineLevel="0" collapsed="false">
      <c r="B1412" s="64"/>
      <c r="C1412" s="65" t="s">
        <v>19</v>
      </c>
      <c r="D1412" s="66" t="n">
        <v>5777</v>
      </c>
      <c r="E1412" s="67"/>
      <c r="F1412" s="67"/>
      <c r="G1412" s="68"/>
      <c r="H1412" s="69" t="n">
        <v>5777</v>
      </c>
    </row>
    <row r="1413" customFormat="false" ht="15" hidden="false" customHeight="true" outlineLevel="0" collapsed="false">
      <c r="B1413" s="64"/>
      <c r="C1413" s="65" t="s">
        <v>25</v>
      </c>
      <c r="D1413" s="66" t="n">
        <v>888</v>
      </c>
      <c r="E1413" s="67"/>
      <c r="F1413" s="67"/>
      <c r="G1413" s="68"/>
      <c r="H1413" s="69" t="n">
        <v>888</v>
      </c>
    </row>
    <row r="1414" customFormat="false" ht="15" hidden="false" customHeight="true" outlineLevel="0" collapsed="false">
      <c r="B1414" s="64"/>
      <c r="C1414" s="65" t="s">
        <v>69</v>
      </c>
      <c r="D1414" s="66" t="n">
        <v>1400</v>
      </c>
      <c r="E1414" s="67"/>
      <c r="F1414" s="67"/>
      <c r="G1414" s="68"/>
      <c r="H1414" s="69" t="n">
        <v>1400</v>
      </c>
    </row>
    <row r="1415" customFormat="false" ht="15" hidden="false" customHeight="true" outlineLevel="0" collapsed="false">
      <c r="B1415" s="64"/>
      <c r="C1415" s="65" t="s">
        <v>50</v>
      </c>
      <c r="D1415" s="66" t="n">
        <v>1740</v>
      </c>
      <c r="E1415" s="67"/>
      <c r="F1415" s="67"/>
      <c r="G1415" s="68"/>
      <c r="H1415" s="69" t="n">
        <v>1740</v>
      </c>
    </row>
    <row r="1416" customFormat="false" ht="15" hidden="false" customHeight="true" outlineLevel="0" collapsed="false">
      <c r="B1416" s="64"/>
      <c r="C1416" s="65" t="s">
        <v>22</v>
      </c>
      <c r="D1416" s="66" t="n">
        <v>2200</v>
      </c>
      <c r="E1416" s="67"/>
      <c r="F1416" s="67"/>
      <c r="G1416" s="68"/>
      <c r="H1416" s="69" t="n">
        <v>2200</v>
      </c>
    </row>
    <row r="1417" customFormat="false" ht="15" hidden="false" customHeight="true" outlineLevel="0" collapsed="false">
      <c r="B1417" s="64"/>
      <c r="C1417" s="65" t="s">
        <v>199</v>
      </c>
      <c r="D1417" s="66" t="n">
        <v>1370</v>
      </c>
      <c r="E1417" s="67"/>
      <c r="F1417" s="67"/>
      <c r="G1417" s="68"/>
      <c r="H1417" s="69" t="n">
        <v>1370</v>
      </c>
    </row>
    <row r="1418" customFormat="false" ht="15" hidden="false" customHeight="true" outlineLevel="0" collapsed="false">
      <c r="B1418" s="64"/>
      <c r="C1418" s="65" t="s">
        <v>37</v>
      </c>
      <c r="D1418" s="73"/>
      <c r="E1418" s="67"/>
      <c r="F1418" s="71" t="n">
        <v>20</v>
      </c>
      <c r="G1418" s="68"/>
      <c r="H1418" s="69" t="n">
        <v>20</v>
      </c>
    </row>
    <row r="1419" customFormat="false" ht="15" hidden="false" customHeight="true" outlineLevel="0" collapsed="false">
      <c r="B1419" s="64"/>
      <c r="C1419" s="65" t="s">
        <v>43</v>
      </c>
      <c r="D1419" s="66" t="n">
        <v>2000</v>
      </c>
      <c r="E1419" s="67"/>
      <c r="F1419" s="67"/>
      <c r="G1419" s="68"/>
      <c r="H1419" s="69" t="n">
        <v>2000</v>
      </c>
    </row>
    <row r="1420" customFormat="false" ht="15" hidden="false" customHeight="true" outlineLevel="0" collapsed="false">
      <c r="B1420" s="64"/>
      <c r="C1420" s="65" t="s">
        <v>40</v>
      </c>
      <c r="D1420" s="73"/>
      <c r="E1420" s="71" t="n">
        <v>2220</v>
      </c>
      <c r="F1420" s="67"/>
      <c r="G1420" s="68"/>
      <c r="H1420" s="69" t="n">
        <v>2220</v>
      </c>
    </row>
    <row r="1421" customFormat="false" ht="15" hidden="false" customHeight="true" outlineLevel="0" collapsed="false">
      <c r="B1421" s="64"/>
      <c r="C1421" s="65" t="s">
        <v>31</v>
      </c>
      <c r="D1421" s="73"/>
      <c r="E1421" s="71" t="n">
        <v>310</v>
      </c>
      <c r="F1421" s="67"/>
      <c r="G1421" s="68"/>
      <c r="H1421" s="69" t="n">
        <v>310</v>
      </c>
    </row>
    <row r="1422" customFormat="false" ht="15" hidden="false" customHeight="true" outlineLevel="0" collapsed="false">
      <c r="B1422" s="64"/>
      <c r="C1422" s="65" t="s">
        <v>34</v>
      </c>
      <c r="D1422" s="73"/>
      <c r="E1422" s="71" t="n">
        <v>150</v>
      </c>
      <c r="F1422" s="67"/>
      <c r="G1422" s="68"/>
      <c r="H1422" s="69" t="n">
        <v>150</v>
      </c>
    </row>
    <row r="1423" customFormat="false" ht="15" hidden="false" customHeight="true" outlineLevel="0" collapsed="false">
      <c r="B1423" s="84"/>
      <c r="C1423" s="85" t="s">
        <v>29</v>
      </c>
      <c r="D1423" s="74"/>
      <c r="E1423" s="76" t="n">
        <v>478</v>
      </c>
      <c r="F1423" s="75"/>
      <c r="G1423" s="77"/>
      <c r="H1423" s="78" t="n">
        <v>478</v>
      </c>
    </row>
    <row r="1424" customFormat="false" ht="15" hidden="false" customHeight="true" outlineLevel="0" collapsed="false">
      <c r="B1424" s="87" t="s">
        <v>875</v>
      </c>
      <c r="C1424" s="88"/>
      <c r="D1424" s="89" t="n">
        <v>25375</v>
      </c>
      <c r="E1424" s="89" t="n">
        <v>3158</v>
      </c>
      <c r="F1424" s="89" t="n">
        <v>1570</v>
      </c>
      <c r="G1424" s="90"/>
      <c r="H1424" s="91" t="n">
        <v>30103</v>
      </c>
    </row>
    <row r="1425" customFormat="false" ht="15" hidden="false" customHeight="true" outlineLevel="0" collapsed="false">
      <c r="B1425" s="56" t="n">
        <v>45814</v>
      </c>
      <c r="C1425" s="57" t="s">
        <v>44</v>
      </c>
      <c r="D1425" s="92" t="n">
        <v>6000</v>
      </c>
      <c r="E1425" s="59"/>
      <c r="F1425" s="60" t="n">
        <v>1200</v>
      </c>
      <c r="G1425" s="61"/>
      <c r="H1425" s="62" t="n">
        <v>7200</v>
      </c>
    </row>
    <row r="1426" customFormat="false" ht="15" hidden="false" customHeight="true" outlineLevel="0" collapsed="false">
      <c r="B1426" s="64"/>
      <c r="C1426" s="65" t="s">
        <v>32</v>
      </c>
      <c r="D1426" s="73"/>
      <c r="E1426" s="67"/>
      <c r="F1426" s="71" t="n">
        <v>350</v>
      </c>
      <c r="G1426" s="68"/>
      <c r="H1426" s="69" t="n">
        <v>350</v>
      </c>
    </row>
    <row r="1427" customFormat="false" ht="15" hidden="false" customHeight="true" outlineLevel="0" collapsed="false">
      <c r="B1427" s="64"/>
      <c r="C1427" s="65" t="s">
        <v>47</v>
      </c>
      <c r="D1427" s="66" t="n">
        <v>840</v>
      </c>
      <c r="E1427" s="67"/>
      <c r="F1427" s="67"/>
      <c r="G1427" s="68"/>
      <c r="H1427" s="69" t="n">
        <v>840</v>
      </c>
    </row>
    <row r="1428" customFormat="false" ht="15" hidden="false" customHeight="true" outlineLevel="0" collapsed="false">
      <c r="B1428" s="64"/>
      <c r="C1428" s="65" t="s">
        <v>19</v>
      </c>
      <c r="D1428" s="66" t="n">
        <v>7183</v>
      </c>
      <c r="E1428" s="67"/>
      <c r="F1428" s="67"/>
      <c r="G1428" s="68"/>
      <c r="H1428" s="69" t="n">
        <v>7183</v>
      </c>
    </row>
    <row r="1429" customFormat="false" ht="15" hidden="false" customHeight="true" outlineLevel="0" collapsed="false">
      <c r="B1429" s="64"/>
      <c r="C1429" s="65" t="s">
        <v>25</v>
      </c>
      <c r="D1429" s="66" t="n">
        <v>1002</v>
      </c>
      <c r="E1429" s="67"/>
      <c r="F1429" s="67"/>
      <c r="G1429" s="68"/>
      <c r="H1429" s="69" t="n">
        <v>1002</v>
      </c>
    </row>
    <row r="1430" customFormat="false" ht="15" hidden="false" customHeight="true" outlineLevel="0" collapsed="false">
      <c r="B1430" s="64"/>
      <c r="C1430" s="65" t="s">
        <v>51</v>
      </c>
      <c r="D1430" s="66" t="n">
        <v>3340</v>
      </c>
      <c r="E1430" s="67"/>
      <c r="F1430" s="67"/>
      <c r="G1430" s="68"/>
      <c r="H1430" s="69" t="n">
        <v>3340</v>
      </c>
    </row>
    <row r="1431" customFormat="false" ht="15" hidden="false" customHeight="true" outlineLevel="0" collapsed="false">
      <c r="B1431" s="64"/>
      <c r="C1431" s="65" t="s">
        <v>28</v>
      </c>
      <c r="D1431" s="73"/>
      <c r="E1431" s="67"/>
      <c r="F1431" s="71" t="n">
        <v>1070</v>
      </c>
      <c r="G1431" s="68"/>
      <c r="H1431" s="69" t="n">
        <v>1070</v>
      </c>
    </row>
    <row r="1432" customFormat="false" ht="15" hidden="false" customHeight="true" outlineLevel="0" collapsed="false">
      <c r="B1432" s="64"/>
      <c r="C1432" s="65" t="s">
        <v>22</v>
      </c>
      <c r="D1432" s="66" t="n">
        <v>5790</v>
      </c>
      <c r="E1432" s="71" t="n">
        <v>700</v>
      </c>
      <c r="F1432" s="67"/>
      <c r="G1432" s="68"/>
      <c r="H1432" s="69" t="n">
        <v>6490</v>
      </c>
    </row>
    <row r="1433" customFormat="false" ht="15" hidden="false" customHeight="true" outlineLevel="0" collapsed="false">
      <c r="B1433" s="64"/>
      <c r="C1433" s="65" t="s">
        <v>34</v>
      </c>
      <c r="D1433" s="73"/>
      <c r="E1433" s="71" t="n">
        <v>125</v>
      </c>
      <c r="F1433" s="67"/>
      <c r="G1433" s="68"/>
      <c r="H1433" s="69" t="n">
        <v>125</v>
      </c>
    </row>
    <row r="1434" customFormat="false" ht="15" hidden="false" customHeight="true" outlineLevel="0" collapsed="false">
      <c r="B1434" s="84"/>
      <c r="C1434" s="85" t="s">
        <v>29</v>
      </c>
      <c r="D1434" s="74"/>
      <c r="E1434" s="76" t="n">
        <v>1012</v>
      </c>
      <c r="F1434" s="75"/>
      <c r="G1434" s="77"/>
      <c r="H1434" s="78" t="n">
        <v>1012</v>
      </c>
    </row>
    <row r="1435" customFormat="false" ht="15" hidden="false" customHeight="true" outlineLevel="0" collapsed="false">
      <c r="B1435" s="87" t="s">
        <v>876</v>
      </c>
      <c r="C1435" s="88"/>
      <c r="D1435" s="89" t="n">
        <v>24155</v>
      </c>
      <c r="E1435" s="89" t="n">
        <v>1837</v>
      </c>
      <c r="F1435" s="89" t="n">
        <v>2620</v>
      </c>
      <c r="G1435" s="90"/>
      <c r="H1435" s="91" t="n">
        <v>28612</v>
      </c>
    </row>
    <row r="1436" customFormat="false" ht="15" hidden="false" customHeight="true" outlineLevel="0" collapsed="false">
      <c r="B1436" s="56" t="n">
        <v>45815</v>
      </c>
      <c r="C1436" s="57" t="s">
        <v>53</v>
      </c>
      <c r="D1436" s="92" t="n">
        <v>4095</v>
      </c>
      <c r="E1436" s="59"/>
      <c r="F1436" s="59"/>
      <c r="G1436" s="61"/>
      <c r="H1436" s="62" t="n">
        <v>4095</v>
      </c>
    </row>
    <row r="1437" customFormat="false" ht="15" hidden="false" customHeight="true" outlineLevel="0" collapsed="false">
      <c r="B1437" s="64"/>
      <c r="C1437" s="65" t="s">
        <v>47</v>
      </c>
      <c r="D1437" s="66" t="n">
        <v>1680</v>
      </c>
      <c r="E1437" s="67"/>
      <c r="F1437" s="67"/>
      <c r="G1437" s="68"/>
      <c r="H1437" s="69" t="n">
        <v>1680</v>
      </c>
    </row>
    <row r="1438" customFormat="false" ht="15" hidden="false" customHeight="true" outlineLevel="0" collapsed="false">
      <c r="B1438" s="64"/>
      <c r="C1438" s="65" t="s">
        <v>19</v>
      </c>
      <c r="D1438" s="66" t="n">
        <v>2393</v>
      </c>
      <c r="E1438" s="67"/>
      <c r="F1438" s="67"/>
      <c r="G1438" s="68"/>
      <c r="H1438" s="69" t="n">
        <v>2393</v>
      </c>
    </row>
    <row r="1439" customFormat="false" ht="15" hidden="false" customHeight="true" outlineLevel="0" collapsed="false">
      <c r="B1439" s="64"/>
      <c r="C1439" s="65" t="s">
        <v>25</v>
      </c>
      <c r="D1439" s="66" t="n">
        <v>828</v>
      </c>
      <c r="E1439" s="67"/>
      <c r="F1439" s="67"/>
      <c r="G1439" s="68"/>
      <c r="H1439" s="69" t="n">
        <v>828</v>
      </c>
    </row>
    <row r="1440" customFormat="false" ht="15" hidden="false" customHeight="true" outlineLevel="0" collapsed="false">
      <c r="B1440" s="64"/>
      <c r="C1440" s="65" t="s">
        <v>50</v>
      </c>
      <c r="D1440" s="66" t="n">
        <v>1740</v>
      </c>
      <c r="E1440" s="67"/>
      <c r="F1440" s="67"/>
      <c r="G1440" s="68"/>
      <c r="H1440" s="69" t="n">
        <v>1740</v>
      </c>
    </row>
    <row r="1441" customFormat="false" ht="15" hidden="false" customHeight="true" outlineLevel="0" collapsed="false">
      <c r="B1441" s="64"/>
      <c r="C1441" s="65" t="s">
        <v>22</v>
      </c>
      <c r="D1441" s="66" t="n">
        <v>4985</v>
      </c>
      <c r="E1441" s="67"/>
      <c r="F1441" s="67"/>
      <c r="G1441" s="68"/>
      <c r="H1441" s="69" t="n">
        <v>4985</v>
      </c>
    </row>
    <row r="1442" customFormat="false" ht="15" hidden="false" customHeight="true" outlineLevel="0" collapsed="false">
      <c r="B1442" s="64"/>
      <c r="C1442" s="65" t="s">
        <v>31</v>
      </c>
      <c r="D1442" s="73"/>
      <c r="E1442" s="71" t="n">
        <v>310</v>
      </c>
      <c r="F1442" s="67"/>
      <c r="G1442" s="68"/>
      <c r="H1442" s="69" t="n">
        <v>310</v>
      </c>
    </row>
    <row r="1443" customFormat="false" ht="15" hidden="false" customHeight="true" outlineLevel="0" collapsed="false">
      <c r="B1443" s="64"/>
      <c r="C1443" s="65" t="s">
        <v>34</v>
      </c>
      <c r="D1443" s="73"/>
      <c r="E1443" s="67"/>
      <c r="F1443" s="71" t="n">
        <v>100</v>
      </c>
      <c r="G1443" s="68"/>
      <c r="H1443" s="69" t="n">
        <v>100</v>
      </c>
    </row>
    <row r="1444" customFormat="false" ht="15" hidden="false" customHeight="true" outlineLevel="0" collapsed="false">
      <c r="B1444" s="84"/>
      <c r="C1444" s="85" t="s">
        <v>29</v>
      </c>
      <c r="D1444" s="74"/>
      <c r="E1444" s="76" t="n">
        <v>420</v>
      </c>
      <c r="F1444" s="75"/>
      <c r="G1444" s="77"/>
      <c r="H1444" s="78" t="n">
        <v>420</v>
      </c>
    </row>
    <row r="1445" customFormat="false" ht="15" hidden="false" customHeight="true" outlineLevel="0" collapsed="false">
      <c r="B1445" s="87" t="s">
        <v>877</v>
      </c>
      <c r="C1445" s="88"/>
      <c r="D1445" s="89" t="n">
        <v>15721</v>
      </c>
      <c r="E1445" s="89" t="n">
        <v>730</v>
      </c>
      <c r="F1445" s="89" t="n">
        <v>100</v>
      </c>
      <c r="G1445" s="90"/>
      <c r="H1445" s="91" t="n">
        <v>16551</v>
      </c>
    </row>
    <row r="1446" customFormat="false" ht="15" hidden="false" customHeight="true" outlineLevel="0" collapsed="false">
      <c r="B1446" s="56" t="n">
        <v>45816</v>
      </c>
      <c r="C1446" s="57" t="s">
        <v>44</v>
      </c>
      <c r="D1446" s="58"/>
      <c r="E1446" s="59"/>
      <c r="F1446" s="60" t="n">
        <v>170</v>
      </c>
      <c r="G1446" s="61"/>
      <c r="H1446" s="62" t="n">
        <v>170</v>
      </c>
    </row>
    <row r="1447" customFormat="false" ht="15" hidden="false" customHeight="true" outlineLevel="0" collapsed="false">
      <c r="B1447" s="64"/>
      <c r="C1447" s="65" t="s">
        <v>32</v>
      </c>
      <c r="D1447" s="73"/>
      <c r="E1447" s="67"/>
      <c r="F1447" s="71" t="n">
        <v>350</v>
      </c>
      <c r="G1447" s="68"/>
      <c r="H1447" s="69" t="n">
        <v>350</v>
      </c>
    </row>
    <row r="1448" customFormat="false" ht="15" hidden="false" customHeight="true" outlineLevel="0" collapsed="false">
      <c r="B1448" s="64"/>
      <c r="C1448" s="65" t="s">
        <v>19</v>
      </c>
      <c r="D1448" s="66" t="n">
        <v>4726</v>
      </c>
      <c r="E1448" s="67"/>
      <c r="F1448" s="67"/>
      <c r="G1448" s="68"/>
      <c r="H1448" s="69" t="n">
        <v>4726</v>
      </c>
    </row>
    <row r="1449" customFormat="false" ht="15" hidden="false" customHeight="true" outlineLevel="0" collapsed="false">
      <c r="B1449" s="64"/>
      <c r="C1449" s="65" t="s">
        <v>25</v>
      </c>
      <c r="D1449" s="66" t="n">
        <v>1036</v>
      </c>
      <c r="E1449" s="71" t="n">
        <v>540</v>
      </c>
      <c r="F1449" s="67"/>
      <c r="G1449" s="68"/>
      <c r="H1449" s="69" t="n">
        <v>1576</v>
      </c>
    </row>
    <row r="1450" customFormat="false" ht="15" hidden="false" customHeight="true" outlineLevel="0" collapsed="false">
      <c r="B1450" s="64"/>
      <c r="C1450" s="65" t="s">
        <v>50</v>
      </c>
      <c r="D1450" s="66" t="n">
        <v>3480</v>
      </c>
      <c r="E1450" s="67"/>
      <c r="F1450" s="67"/>
      <c r="G1450" s="68"/>
      <c r="H1450" s="69" t="n">
        <v>3480</v>
      </c>
    </row>
    <row r="1451" customFormat="false" ht="15" hidden="false" customHeight="true" outlineLevel="0" collapsed="false">
      <c r="B1451" s="64"/>
      <c r="C1451" s="65" t="s">
        <v>22</v>
      </c>
      <c r="D1451" s="66" t="n">
        <v>2971</v>
      </c>
      <c r="E1451" s="67"/>
      <c r="F1451" s="67"/>
      <c r="G1451" s="68"/>
      <c r="H1451" s="69" t="n">
        <v>2971</v>
      </c>
    </row>
    <row r="1452" customFormat="false" ht="15" hidden="false" customHeight="true" outlineLevel="0" collapsed="false">
      <c r="B1452" s="64"/>
      <c r="C1452" s="65" t="s">
        <v>37</v>
      </c>
      <c r="D1452" s="73"/>
      <c r="E1452" s="67"/>
      <c r="F1452" s="71" t="n">
        <v>11</v>
      </c>
      <c r="G1452" s="68"/>
      <c r="H1452" s="69" t="n">
        <v>11</v>
      </c>
    </row>
    <row r="1453" customFormat="false" ht="15" hidden="false" customHeight="true" outlineLevel="0" collapsed="false">
      <c r="B1453" s="64"/>
      <c r="C1453" s="65" t="s">
        <v>43</v>
      </c>
      <c r="D1453" s="73"/>
      <c r="E1453" s="71" t="n">
        <v>50</v>
      </c>
      <c r="F1453" s="67"/>
      <c r="G1453" s="68"/>
      <c r="H1453" s="69" t="n">
        <v>50</v>
      </c>
    </row>
    <row r="1454" customFormat="false" ht="15" hidden="false" customHeight="true" outlineLevel="0" collapsed="false">
      <c r="B1454" s="64"/>
      <c r="C1454" s="65" t="s">
        <v>60</v>
      </c>
      <c r="D1454" s="73"/>
      <c r="E1454" s="71" t="n">
        <v>210</v>
      </c>
      <c r="F1454" s="67"/>
      <c r="G1454" s="68"/>
      <c r="H1454" s="69" t="n">
        <v>210</v>
      </c>
    </row>
    <row r="1455" customFormat="false" ht="15" hidden="false" customHeight="true" outlineLevel="0" collapsed="false">
      <c r="B1455" s="64"/>
      <c r="C1455" s="65" t="s">
        <v>31</v>
      </c>
      <c r="D1455" s="73"/>
      <c r="E1455" s="71" t="n">
        <v>1090</v>
      </c>
      <c r="F1455" s="67"/>
      <c r="G1455" s="68"/>
      <c r="H1455" s="69" t="n">
        <v>1090</v>
      </c>
    </row>
    <row r="1456" customFormat="false" ht="15" hidden="false" customHeight="true" outlineLevel="0" collapsed="false">
      <c r="B1456" s="64"/>
      <c r="C1456" s="65" t="s">
        <v>56</v>
      </c>
      <c r="D1456" s="73"/>
      <c r="E1456" s="71" t="n">
        <v>650</v>
      </c>
      <c r="F1456" s="67"/>
      <c r="G1456" s="68"/>
      <c r="H1456" s="69" t="n">
        <v>650</v>
      </c>
    </row>
    <row r="1457" customFormat="false" ht="15" hidden="false" customHeight="true" outlineLevel="0" collapsed="false">
      <c r="B1457" s="64"/>
      <c r="C1457" s="65" t="s">
        <v>34</v>
      </c>
      <c r="D1457" s="73"/>
      <c r="E1457" s="71" t="n">
        <v>160</v>
      </c>
      <c r="F1457" s="67"/>
      <c r="G1457" s="68"/>
      <c r="H1457" s="69" t="n">
        <v>160</v>
      </c>
    </row>
    <row r="1458" customFormat="false" ht="15" hidden="false" customHeight="true" outlineLevel="0" collapsed="false">
      <c r="B1458" s="84"/>
      <c r="C1458" s="85" t="s">
        <v>29</v>
      </c>
      <c r="D1458" s="74"/>
      <c r="E1458" s="76" t="n">
        <v>373</v>
      </c>
      <c r="F1458" s="75"/>
      <c r="G1458" s="77"/>
      <c r="H1458" s="78" t="n">
        <v>373</v>
      </c>
    </row>
    <row r="1459" customFormat="false" ht="15" hidden="false" customHeight="true" outlineLevel="0" collapsed="false">
      <c r="B1459" s="87" t="s">
        <v>878</v>
      </c>
      <c r="C1459" s="88"/>
      <c r="D1459" s="89" t="n">
        <v>12213</v>
      </c>
      <c r="E1459" s="89" t="n">
        <v>3073</v>
      </c>
      <c r="F1459" s="89" t="n">
        <v>531</v>
      </c>
      <c r="G1459" s="90"/>
      <c r="H1459" s="91" t="n">
        <v>15817</v>
      </c>
    </row>
    <row r="1460" customFormat="false" ht="15" hidden="false" customHeight="true" outlineLevel="0" collapsed="false">
      <c r="B1460" s="56" t="n">
        <v>45817</v>
      </c>
      <c r="C1460" s="57" t="s">
        <v>32</v>
      </c>
      <c r="D1460" s="58"/>
      <c r="E1460" s="59"/>
      <c r="F1460" s="60" t="n">
        <v>210</v>
      </c>
      <c r="G1460" s="61"/>
      <c r="H1460" s="62" t="n">
        <v>210</v>
      </c>
    </row>
    <row r="1461" customFormat="false" ht="15" hidden="false" customHeight="true" outlineLevel="0" collapsed="false">
      <c r="B1461" s="64"/>
      <c r="C1461" s="65" t="s">
        <v>47</v>
      </c>
      <c r="D1461" s="66" t="n">
        <v>840</v>
      </c>
      <c r="E1461" s="67"/>
      <c r="F1461" s="67"/>
      <c r="G1461" s="68"/>
      <c r="H1461" s="69" t="n">
        <v>840</v>
      </c>
    </row>
    <row r="1462" customFormat="false" ht="15" hidden="false" customHeight="true" outlineLevel="0" collapsed="false">
      <c r="B1462" s="64"/>
      <c r="C1462" s="65" t="s">
        <v>19</v>
      </c>
      <c r="D1462" s="66" t="n">
        <v>4463</v>
      </c>
      <c r="E1462" s="67"/>
      <c r="F1462" s="67"/>
      <c r="G1462" s="68"/>
      <c r="H1462" s="69" t="n">
        <v>4463</v>
      </c>
    </row>
    <row r="1463" customFormat="false" ht="15" hidden="false" customHeight="true" outlineLevel="0" collapsed="false">
      <c r="B1463" s="64"/>
      <c r="C1463" s="65" t="s">
        <v>25</v>
      </c>
      <c r="D1463" s="66" t="n">
        <v>652</v>
      </c>
      <c r="E1463" s="67"/>
      <c r="F1463" s="67"/>
      <c r="G1463" s="68"/>
      <c r="H1463" s="69" t="n">
        <v>652</v>
      </c>
    </row>
    <row r="1464" customFormat="false" ht="15" hidden="false" customHeight="true" outlineLevel="0" collapsed="false">
      <c r="B1464" s="64"/>
      <c r="C1464" s="65" t="s">
        <v>22</v>
      </c>
      <c r="D1464" s="66" t="n">
        <v>217</v>
      </c>
      <c r="E1464" s="67"/>
      <c r="F1464" s="71" t="n">
        <v>110</v>
      </c>
      <c r="G1464" s="68"/>
      <c r="H1464" s="69" t="n">
        <v>327</v>
      </c>
    </row>
    <row r="1465" customFormat="false" ht="15" hidden="false" customHeight="true" outlineLevel="0" collapsed="false">
      <c r="B1465" s="64"/>
      <c r="C1465" s="65" t="s">
        <v>43</v>
      </c>
      <c r="D1465" s="73"/>
      <c r="E1465" s="67"/>
      <c r="F1465" s="71" t="n">
        <v>60</v>
      </c>
      <c r="G1465" s="68"/>
      <c r="H1465" s="69" t="n">
        <v>60</v>
      </c>
    </row>
    <row r="1466" customFormat="false" ht="15" hidden="false" customHeight="true" outlineLevel="0" collapsed="false">
      <c r="B1466" s="64"/>
      <c r="C1466" s="65" t="s">
        <v>34</v>
      </c>
      <c r="D1466" s="73"/>
      <c r="E1466" s="67"/>
      <c r="F1466" s="71" t="n">
        <v>115</v>
      </c>
      <c r="G1466" s="68"/>
      <c r="H1466" s="69" t="n">
        <v>115</v>
      </c>
    </row>
    <row r="1467" customFormat="false" ht="15" hidden="false" customHeight="true" outlineLevel="0" collapsed="false">
      <c r="B1467" s="84"/>
      <c r="C1467" s="85" t="s">
        <v>29</v>
      </c>
      <c r="D1467" s="74"/>
      <c r="E1467" s="76" t="n">
        <v>840</v>
      </c>
      <c r="F1467" s="75"/>
      <c r="G1467" s="77"/>
      <c r="H1467" s="78" t="n">
        <v>840</v>
      </c>
    </row>
    <row r="1468" customFormat="false" ht="15" hidden="false" customHeight="true" outlineLevel="0" collapsed="false">
      <c r="B1468" s="87" t="s">
        <v>879</v>
      </c>
      <c r="C1468" s="88"/>
      <c r="D1468" s="89" t="n">
        <v>6172</v>
      </c>
      <c r="E1468" s="89" t="n">
        <v>840</v>
      </c>
      <c r="F1468" s="89" t="n">
        <v>495</v>
      </c>
      <c r="G1468" s="90"/>
      <c r="H1468" s="91" t="n">
        <v>7507</v>
      </c>
    </row>
    <row r="1469" customFormat="false" ht="15" hidden="false" customHeight="true" outlineLevel="0" collapsed="false">
      <c r="B1469" s="56" t="n">
        <v>45818</v>
      </c>
      <c r="C1469" s="57" t="s">
        <v>53</v>
      </c>
      <c r="D1469" s="92" t="n">
        <v>1200</v>
      </c>
      <c r="E1469" s="59"/>
      <c r="F1469" s="59"/>
      <c r="G1469" s="61"/>
      <c r="H1469" s="62" t="n">
        <v>1200</v>
      </c>
    </row>
    <row r="1470" customFormat="false" ht="15" hidden="false" customHeight="true" outlineLevel="0" collapsed="false">
      <c r="B1470" s="64"/>
      <c r="C1470" s="65" t="s">
        <v>19</v>
      </c>
      <c r="D1470" s="66" t="n">
        <v>2370</v>
      </c>
      <c r="E1470" s="67"/>
      <c r="F1470" s="67"/>
      <c r="G1470" s="68"/>
      <c r="H1470" s="69" t="n">
        <v>2370</v>
      </c>
    </row>
    <row r="1471" customFormat="false" ht="15" hidden="false" customHeight="true" outlineLevel="0" collapsed="false">
      <c r="B1471" s="64"/>
      <c r="C1471" s="65" t="s">
        <v>63</v>
      </c>
      <c r="D1471" s="73"/>
      <c r="E1471" s="71" t="n">
        <v>700</v>
      </c>
      <c r="F1471" s="67"/>
      <c r="G1471" s="68"/>
      <c r="H1471" s="69" t="n">
        <v>700</v>
      </c>
    </row>
    <row r="1472" customFormat="false" ht="15" hidden="false" customHeight="true" outlineLevel="0" collapsed="false">
      <c r="B1472" s="64"/>
      <c r="C1472" s="65" t="s">
        <v>25</v>
      </c>
      <c r="D1472" s="66" t="n">
        <v>1215</v>
      </c>
      <c r="E1472" s="67"/>
      <c r="F1472" s="67"/>
      <c r="G1472" s="68"/>
      <c r="H1472" s="69" t="n">
        <v>1215</v>
      </c>
    </row>
    <row r="1473" customFormat="false" ht="15" hidden="false" customHeight="true" outlineLevel="0" collapsed="false">
      <c r="B1473" s="64"/>
      <c r="C1473" s="65" t="s">
        <v>22</v>
      </c>
      <c r="D1473" s="66" t="n">
        <v>2061</v>
      </c>
      <c r="E1473" s="71" t="n">
        <v>650</v>
      </c>
      <c r="F1473" s="67"/>
      <c r="G1473" s="68"/>
      <c r="H1473" s="69" t="n">
        <v>2711</v>
      </c>
    </row>
    <row r="1474" customFormat="false" ht="15" hidden="false" customHeight="true" outlineLevel="0" collapsed="false">
      <c r="B1474" s="64"/>
      <c r="C1474" s="65" t="s">
        <v>37</v>
      </c>
      <c r="D1474" s="73"/>
      <c r="E1474" s="67"/>
      <c r="F1474" s="71" t="n">
        <v>19</v>
      </c>
      <c r="G1474" s="68"/>
      <c r="H1474" s="69" t="n">
        <v>19</v>
      </c>
    </row>
    <row r="1475" customFormat="false" ht="15" hidden="false" customHeight="true" outlineLevel="0" collapsed="false">
      <c r="B1475" s="64"/>
      <c r="C1475" s="65" t="s">
        <v>43</v>
      </c>
      <c r="D1475" s="73"/>
      <c r="E1475" s="71" t="n">
        <v>350</v>
      </c>
      <c r="F1475" s="67"/>
      <c r="G1475" s="68"/>
      <c r="H1475" s="69" t="n">
        <v>350</v>
      </c>
    </row>
    <row r="1476" customFormat="false" ht="15" hidden="false" customHeight="true" outlineLevel="0" collapsed="false">
      <c r="B1476" s="64"/>
      <c r="C1476" s="65" t="s">
        <v>34</v>
      </c>
      <c r="D1476" s="73"/>
      <c r="E1476" s="71" t="n">
        <v>140</v>
      </c>
      <c r="F1476" s="67"/>
      <c r="G1476" s="68"/>
      <c r="H1476" s="69" t="n">
        <v>140</v>
      </c>
    </row>
    <row r="1477" customFormat="false" ht="15" hidden="false" customHeight="true" outlineLevel="0" collapsed="false">
      <c r="B1477" s="84"/>
      <c r="C1477" s="85" t="s">
        <v>29</v>
      </c>
      <c r="D1477" s="74"/>
      <c r="E1477" s="76" t="n">
        <v>964</v>
      </c>
      <c r="F1477" s="75"/>
      <c r="G1477" s="77"/>
      <c r="H1477" s="78" t="n">
        <v>964</v>
      </c>
    </row>
    <row r="1478" customFormat="false" ht="15" hidden="false" customHeight="true" outlineLevel="0" collapsed="false">
      <c r="B1478" s="87" t="s">
        <v>880</v>
      </c>
      <c r="C1478" s="88"/>
      <c r="D1478" s="89" t="n">
        <v>6846</v>
      </c>
      <c r="E1478" s="89" t="n">
        <v>2804</v>
      </c>
      <c r="F1478" s="89" t="n">
        <v>19</v>
      </c>
      <c r="G1478" s="90"/>
      <c r="H1478" s="91" t="n">
        <v>9669</v>
      </c>
    </row>
    <row r="1479" customFormat="false" ht="15" hidden="false" customHeight="true" outlineLevel="0" collapsed="false">
      <c r="B1479" s="56" t="n">
        <v>45819</v>
      </c>
      <c r="C1479" s="57" t="s">
        <v>32</v>
      </c>
      <c r="D1479" s="58"/>
      <c r="E1479" s="59"/>
      <c r="F1479" s="60" t="n">
        <v>210</v>
      </c>
      <c r="G1479" s="61"/>
      <c r="H1479" s="62" t="n">
        <v>210</v>
      </c>
    </row>
    <row r="1480" customFormat="false" ht="15" hidden="false" customHeight="true" outlineLevel="0" collapsed="false">
      <c r="B1480" s="64"/>
      <c r="C1480" s="65" t="s">
        <v>47</v>
      </c>
      <c r="D1480" s="66" t="n">
        <v>1680</v>
      </c>
      <c r="E1480" s="67"/>
      <c r="F1480" s="67"/>
      <c r="G1480" s="68"/>
      <c r="H1480" s="69" t="n">
        <v>1680</v>
      </c>
    </row>
    <row r="1481" customFormat="false" ht="15" hidden="false" customHeight="true" outlineLevel="0" collapsed="false">
      <c r="B1481" s="64"/>
      <c r="C1481" s="65" t="s">
        <v>19</v>
      </c>
      <c r="D1481" s="66" t="n">
        <v>4769</v>
      </c>
      <c r="E1481" s="67"/>
      <c r="F1481" s="67"/>
      <c r="G1481" s="68"/>
      <c r="H1481" s="69" t="n">
        <v>4769</v>
      </c>
    </row>
    <row r="1482" customFormat="false" ht="15" hidden="false" customHeight="true" outlineLevel="0" collapsed="false">
      <c r="B1482" s="64"/>
      <c r="C1482" s="65" t="s">
        <v>25</v>
      </c>
      <c r="D1482" s="66" t="n">
        <v>902</v>
      </c>
      <c r="E1482" s="67"/>
      <c r="F1482" s="67"/>
      <c r="G1482" s="68"/>
      <c r="H1482" s="69" t="n">
        <v>902</v>
      </c>
    </row>
    <row r="1483" customFormat="false" ht="15" hidden="false" customHeight="true" outlineLevel="0" collapsed="false">
      <c r="B1483" s="64"/>
      <c r="C1483" s="65" t="s">
        <v>36</v>
      </c>
      <c r="D1483" s="66" t="n">
        <v>3850</v>
      </c>
      <c r="E1483" s="67"/>
      <c r="F1483" s="67"/>
      <c r="G1483" s="68"/>
      <c r="H1483" s="69" t="n">
        <v>3850</v>
      </c>
    </row>
    <row r="1484" customFormat="false" ht="15" hidden="false" customHeight="true" outlineLevel="0" collapsed="false">
      <c r="B1484" s="64"/>
      <c r="C1484" s="65" t="s">
        <v>22</v>
      </c>
      <c r="D1484" s="66" t="n">
        <v>1029</v>
      </c>
      <c r="E1484" s="67"/>
      <c r="F1484" s="67"/>
      <c r="G1484" s="68"/>
      <c r="H1484" s="69" t="n">
        <v>1029</v>
      </c>
    </row>
    <row r="1485" customFormat="false" ht="15" hidden="false" customHeight="true" outlineLevel="0" collapsed="false">
      <c r="B1485" s="64"/>
      <c r="C1485" s="65" t="s">
        <v>40</v>
      </c>
      <c r="D1485" s="73"/>
      <c r="E1485" s="71" t="n">
        <v>2220</v>
      </c>
      <c r="F1485" s="67"/>
      <c r="G1485" s="68"/>
      <c r="H1485" s="69" t="n">
        <v>2220</v>
      </c>
    </row>
    <row r="1486" customFormat="false" ht="15" hidden="false" customHeight="true" outlineLevel="0" collapsed="false">
      <c r="B1486" s="64"/>
      <c r="C1486" s="65" t="s">
        <v>34</v>
      </c>
      <c r="D1486" s="73"/>
      <c r="E1486" s="71" t="n">
        <v>232</v>
      </c>
      <c r="F1486" s="67"/>
      <c r="G1486" s="68"/>
      <c r="H1486" s="69" t="n">
        <v>232</v>
      </c>
    </row>
    <row r="1487" customFormat="false" ht="15" hidden="false" customHeight="true" outlineLevel="0" collapsed="false">
      <c r="B1487" s="84"/>
      <c r="C1487" s="85" t="s">
        <v>29</v>
      </c>
      <c r="D1487" s="86" t="n">
        <v>493</v>
      </c>
      <c r="E1487" s="76" t="n">
        <v>80</v>
      </c>
      <c r="F1487" s="75"/>
      <c r="G1487" s="77"/>
      <c r="H1487" s="78" t="n">
        <v>573</v>
      </c>
    </row>
    <row r="1488" customFormat="false" ht="15" hidden="false" customHeight="true" outlineLevel="0" collapsed="false">
      <c r="B1488" s="87" t="s">
        <v>881</v>
      </c>
      <c r="C1488" s="88"/>
      <c r="D1488" s="89" t="n">
        <v>12723</v>
      </c>
      <c r="E1488" s="89" t="n">
        <v>2532</v>
      </c>
      <c r="F1488" s="89" t="n">
        <v>210</v>
      </c>
      <c r="G1488" s="90"/>
      <c r="H1488" s="91" t="n">
        <v>15465</v>
      </c>
    </row>
    <row r="1489" customFormat="false" ht="15" hidden="false" customHeight="true" outlineLevel="0" collapsed="false">
      <c r="B1489" s="56" t="n">
        <v>45820</v>
      </c>
      <c r="C1489" s="57" t="s">
        <v>44</v>
      </c>
      <c r="D1489" s="58"/>
      <c r="E1489" s="60" t="n">
        <v>300</v>
      </c>
      <c r="F1489" s="59"/>
      <c r="G1489" s="61"/>
      <c r="H1489" s="62" t="n">
        <v>300</v>
      </c>
    </row>
    <row r="1490" customFormat="false" ht="15" hidden="false" customHeight="true" outlineLevel="0" collapsed="false">
      <c r="B1490" s="64"/>
      <c r="C1490" s="65" t="s">
        <v>19</v>
      </c>
      <c r="D1490" s="66" t="n">
        <v>2656</v>
      </c>
      <c r="E1490" s="67"/>
      <c r="F1490" s="67"/>
      <c r="G1490" s="68"/>
      <c r="H1490" s="69" t="n">
        <v>2656</v>
      </c>
    </row>
    <row r="1491" customFormat="false" ht="15" hidden="false" customHeight="true" outlineLevel="0" collapsed="false">
      <c r="B1491" s="64"/>
      <c r="C1491" s="65" t="s">
        <v>25</v>
      </c>
      <c r="D1491" s="66" t="n">
        <v>1212</v>
      </c>
      <c r="E1491" s="67"/>
      <c r="F1491" s="67"/>
      <c r="G1491" s="68"/>
      <c r="H1491" s="69" t="n">
        <v>1212</v>
      </c>
    </row>
    <row r="1492" customFormat="false" ht="15" hidden="false" customHeight="true" outlineLevel="0" collapsed="false">
      <c r="B1492" s="64"/>
      <c r="C1492" s="65" t="s">
        <v>51</v>
      </c>
      <c r="D1492" s="66" t="n">
        <v>8000</v>
      </c>
      <c r="E1492" s="67"/>
      <c r="F1492" s="67"/>
      <c r="G1492" s="68"/>
      <c r="H1492" s="69" t="n">
        <v>8000</v>
      </c>
    </row>
    <row r="1493" customFormat="false" ht="15" hidden="false" customHeight="true" outlineLevel="0" collapsed="false">
      <c r="B1493" s="64"/>
      <c r="C1493" s="65" t="s">
        <v>28</v>
      </c>
      <c r="D1493" s="73"/>
      <c r="E1493" s="67"/>
      <c r="F1493" s="71" t="n">
        <v>915</v>
      </c>
      <c r="G1493" s="68"/>
      <c r="H1493" s="69" t="n">
        <v>915</v>
      </c>
    </row>
    <row r="1494" customFormat="false" ht="15" hidden="false" customHeight="true" outlineLevel="0" collapsed="false">
      <c r="B1494" s="64"/>
      <c r="C1494" s="65" t="s">
        <v>22</v>
      </c>
      <c r="D1494" s="66" t="n">
        <v>5624</v>
      </c>
      <c r="E1494" s="67"/>
      <c r="F1494" s="67"/>
      <c r="G1494" s="68"/>
      <c r="H1494" s="69" t="n">
        <v>5624</v>
      </c>
    </row>
    <row r="1495" customFormat="false" ht="15" hidden="false" customHeight="true" outlineLevel="0" collapsed="false">
      <c r="B1495" s="64"/>
      <c r="C1495" s="65" t="s">
        <v>43</v>
      </c>
      <c r="D1495" s="73"/>
      <c r="E1495" s="71" t="n">
        <v>330</v>
      </c>
      <c r="F1495" s="67"/>
      <c r="G1495" s="68"/>
      <c r="H1495" s="69" t="n">
        <v>330</v>
      </c>
    </row>
    <row r="1496" customFormat="false" ht="15" hidden="false" customHeight="true" outlineLevel="0" collapsed="false">
      <c r="B1496" s="64"/>
      <c r="C1496" s="65" t="s">
        <v>34</v>
      </c>
      <c r="D1496" s="73"/>
      <c r="E1496" s="71" t="n">
        <v>160</v>
      </c>
      <c r="F1496" s="67"/>
      <c r="G1496" s="68"/>
      <c r="H1496" s="69" t="n">
        <v>160</v>
      </c>
    </row>
    <row r="1497" customFormat="false" ht="15" hidden="false" customHeight="true" outlineLevel="0" collapsed="false">
      <c r="B1497" s="84"/>
      <c r="C1497" s="85" t="s">
        <v>29</v>
      </c>
      <c r="D1497" s="86" t="n">
        <v>366</v>
      </c>
      <c r="E1497" s="75"/>
      <c r="F1497" s="75"/>
      <c r="G1497" s="77"/>
      <c r="H1497" s="78" t="n">
        <v>366</v>
      </c>
    </row>
    <row r="1498" customFormat="false" ht="15" hidden="false" customHeight="true" outlineLevel="0" collapsed="false">
      <c r="B1498" s="87" t="s">
        <v>882</v>
      </c>
      <c r="C1498" s="88"/>
      <c r="D1498" s="89" t="n">
        <v>17858</v>
      </c>
      <c r="E1498" s="89" t="n">
        <v>790</v>
      </c>
      <c r="F1498" s="89" t="n">
        <v>915</v>
      </c>
      <c r="G1498" s="90"/>
      <c r="H1498" s="91" t="n">
        <v>19563</v>
      </c>
    </row>
    <row r="1499" customFormat="false" ht="15" hidden="false" customHeight="true" outlineLevel="0" collapsed="false">
      <c r="B1499" s="56" t="n">
        <v>45821</v>
      </c>
      <c r="C1499" s="57" t="s">
        <v>32</v>
      </c>
      <c r="D1499" s="58"/>
      <c r="E1499" s="59"/>
      <c r="F1499" s="60" t="n">
        <v>210</v>
      </c>
      <c r="G1499" s="61"/>
      <c r="H1499" s="62" t="n">
        <v>210</v>
      </c>
    </row>
    <row r="1500" customFormat="false" ht="15" hidden="false" customHeight="true" outlineLevel="0" collapsed="false">
      <c r="B1500" s="64"/>
      <c r="C1500" s="65" t="s">
        <v>53</v>
      </c>
      <c r="D1500" s="73"/>
      <c r="E1500" s="71" t="n">
        <v>1200</v>
      </c>
      <c r="F1500" s="67"/>
      <c r="G1500" s="68"/>
      <c r="H1500" s="69" t="n">
        <v>1200</v>
      </c>
    </row>
    <row r="1501" customFormat="false" ht="15" hidden="false" customHeight="true" outlineLevel="0" collapsed="false">
      <c r="B1501" s="64"/>
      <c r="C1501" s="65" t="s">
        <v>47</v>
      </c>
      <c r="D1501" s="66" t="n">
        <v>1680</v>
      </c>
      <c r="E1501" s="67"/>
      <c r="F1501" s="67"/>
      <c r="G1501" s="68"/>
      <c r="H1501" s="69" t="n">
        <v>1680</v>
      </c>
    </row>
    <row r="1502" customFormat="false" ht="15" hidden="false" customHeight="true" outlineLevel="0" collapsed="false">
      <c r="B1502" s="64"/>
      <c r="C1502" s="65" t="s">
        <v>19</v>
      </c>
      <c r="D1502" s="66" t="n">
        <v>3392</v>
      </c>
      <c r="E1502" s="67"/>
      <c r="F1502" s="67"/>
      <c r="G1502" s="68"/>
      <c r="H1502" s="69" t="n">
        <v>3392</v>
      </c>
    </row>
    <row r="1503" customFormat="false" ht="15" hidden="false" customHeight="true" outlineLevel="0" collapsed="false">
      <c r="B1503" s="64"/>
      <c r="C1503" s="65" t="s">
        <v>25</v>
      </c>
      <c r="D1503" s="66" t="n">
        <v>725</v>
      </c>
      <c r="E1503" s="67"/>
      <c r="F1503" s="67"/>
      <c r="G1503" s="68"/>
      <c r="H1503" s="69" t="n">
        <v>725</v>
      </c>
    </row>
    <row r="1504" customFormat="false" ht="15" hidden="false" customHeight="true" outlineLevel="0" collapsed="false">
      <c r="B1504" s="64"/>
      <c r="C1504" s="65" t="s">
        <v>22</v>
      </c>
      <c r="D1504" s="66" t="n">
        <v>1941</v>
      </c>
      <c r="E1504" s="67"/>
      <c r="F1504" s="71" t="n">
        <v>110</v>
      </c>
      <c r="G1504" s="68"/>
      <c r="H1504" s="69" t="n">
        <v>2051</v>
      </c>
    </row>
    <row r="1505" customFormat="false" ht="15" hidden="false" customHeight="true" outlineLevel="0" collapsed="false">
      <c r="B1505" s="64"/>
      <c r="C1505" s="65" t="s">
        <v>40</v>
      </c>
      <c r="D1505" s="73"/>
      <c r="E1505" s="71" t="n">
        <v>400</v>
      </c>
      <c r="F1505" s="67"/>
      <c r="G1505" s="68"/>
      <c r="H1505" s="69" t="n">
        <v>400</v>
      </c>
    </row>
    <row r="1506" customFormat="false" ht="15" hidden="false" customHeight="true" outlineLevel="0" collapsed="false">
      <c r="B1506" s="64"/>
      <c r="C1506" s="65" t="s">
        <v>31</v>
      </c>
      <c r="D1506" s="73"/>
      <c r="E1506" s="71" t="n">
        <v>710</v>
      </c>
      <c r="F1506" s="67"/>
      <c r="G1506" s="68"/>
      <c r="H1506" s="69" t="n">
        <v>710</v>
      </c>
    </row>
    <row r="1507" customFormat="false" ht="15" hidden="false" customHeight="true" outlineLevel="0" collapsed="false">
      <c r="B1507" s="64"/>
      <c r="C1507" s="65" t="s">
        <v>34</v>
      </c>
      <c r="D1507" s="73"/>
      <c r="E1507" s="71" t="n">
        <v>140</v>
      </c>
      <c r="F1507" s="67"/>
      <c r="G1507" s="68"/>
      <c r="H1507" s="69" t="n">
        <v>140</v>
      </c>
    </row>
    <row r="1508" customFormat="false" ht="15" hidden="false" customHeight="true" outlineLevel="0" collapsed="false">
      <c r="B1508" s="84"/>
      <c r="C1508" s="85" t="s">
        <v>29</v>
      </c>
      <c r="D1508" s="86" t="n">
        <v>273</v>
      </c>
      <c r="E1508" s="75"/>
      <c r="F1508" s="75"/>
      <c r="G1508" s="77"/>
      <c r="H1508" s="78" t="n">
        <v>273</v>
      </c>
    </row>
    <row r="1509" customFormat="false" ht="15" hidden="false" customHeight="true" outlineLevel="0" collapsed="false">
      <c r="B1509" s="87" t="s">
        <v>883</v>
      </c>
      <c r="C1509" s="88"/>
      <c r="D1509" s="89" t="n">
        <v>8011</v>
      </c>
      <c r="E1509" s="89" t="n">
        <v>2450</v>
      </c>
      <c r="F1509" s="89" t="n">
        <v>320</v>
      </c>
      <c r="G1509" s="90"/>
      <c r="H1509" s="91" t="n">
        <v>10781</v>
      </c>
    </row>
    <row r="1510" customFormat="false" ht="15" hidden="false" customHeight="true" outlineLevel="0" collapsed="false">
      <c r="B1510" s="56" t="n">
        <v>45822</v>
      </c>
      <c r="C1510" s="57" t="s">
        <v>32</v>
      </c>
      <c r="D1510" s="58"/>
      <c r="E1510" s="60" t="n">
        <v>210</v>
      </c>
      <c r="F1510" s="59"/>
      <c r="G1510" s="61"/>
      <c r="H1510" s="62" t="n">
        <v>210</v>
      </c>
    </row>
    <row r="1511" customFormat="false" ht="15" hidden="false" customHeight="true" outlineLevel="0" collapsed="false">
      <c r="B1511" s="64"/>
      <c r="C1511" s="65" t="s">
        <v>19</v>
      </c>
      <c r="D1511" s="66" t="n">
        <v>3141</v>
      </c>
      <c r="E1511" s="67"/>
      <c r="F1511" s="67"/>
      <c r="G1511" s="68"/>
      <c r="H1511" s="69" t="n">
        <v>3141</v>
      </c>
    </row>
    <row r="1512" customFormat="false" ht="15" hidden="false" customHeight="true" outlineLevel="0" collapsed="false">
      <c r="B1512" s="64"/>
      <c r="C1512" s="65" t="s">
        <v>25</v>
      </c>
      <c r="D1512" s="66" t="n">
        <v>615</v>
      </c>
      <c r="E1512" s="67"/>
      <c r="F1512" s="67"/>
      <c r="G1512" s="68"/>
      <c r="H1512" s="69" t="n">
        <v>615</v>
      </c>
    </row>
    <row r="1513" customFormat="false" ht="15" hidden="false" customHeight="true" outlineLevel="0" collapsed="false">
      <c r="B1513" s="64"/>
      <c r="C1513" s="65" t="s">
        <v>50</v>
      </c>
      <c r="D1513" s="66" t="n">
        <v>3480</v>
      </c>
      <c r="E1513" s="67"/>
      <c r="F1513" s="67"/>
      <c r="G1513" s="68"/>
      <c r="H1513" s="69" t="n">
        <v>3480</v>
      </c>
    </row>
    <row r="1514" customFormat="false" ht="15" hidden="false" customHeight="true" outlineLevel="0" collapsed="false">
      <c r="B1514" s="64"/>
      <c r="C1514" s="65" t="s">
        <v>37</v>
      </c>
      <c r="D1514" s="73"/>
      <c r="E1514" s="67"/>
      <c r="F1514" s="71" t="n">
        <v>25</v>
      </c>
      <c r="G1514" s="68"/>
      <c r="H1514" s="69" t="n">
        <v>25</v>
      </c>
    </row>
    <row r="1515" customFormat="false" ht="15" hidden="false" customHeight="true" outlineLevel="0" collapsed="false">
      <c r="B1515" s="64"/>
      <c r="C1515" s="65" t="s">
        <v>34</v>
      </c>
      <c r="D1515" s="73"/>
      <c r="E1515" s="71" t="n">
        <v>190</v>
      </c>
      <c r="F1515" s="67"/>
      <c r="G1515" s="68"/>
      <c r="H1515" s="69" t="n">
        <v>190</v>
      </c>
    </row>
    <row r="1516" customFormat="false" ht="15" hidden="false" customHeight="true" outlineLevel="0" collapsed="false">
      <c r="B1516" s="84"/>
      <c r="C1516" s="85" t="s">
        <v>29</v>
      </c>
      <c r="D1516" s="86" t="n">
        <v>430</v>
      </c>
      <c r="E1516" s="75"/>
      <c r="F1516" s="75"/>
      <c r="G1516" s="77"/>
      <c r="H1516" s="78" t="n">
        <v>430</v>
      </c>
    </row>
    <row r="1517" customFormat="false" ht="15" hidden="false" customHeight="true" outlineLevel="0" collapsed="false">
      <c r="B1517" s="87" t="s">
        <v>884</v>
      </c>
      <c r="C1517" s="88"/>
      <c r="D1517" s="89" t="n">
        <v>7666</v>
      </c>
      <c r="E1517" s="89" t="n">
        <v>400</v>
      </c>
      <c r="F1517" s="89" t="n">
        <v>25</v>
      </c>
      <c r="G1517" s="90"/>
      <c r="H1517" s="91" t="n">
        <v>8091</v>
      </c>
    </row>
    <row r="1518" customFormat="false" ht="15" hidden="false" customHeight="true" outlineLevel="0" collapsed="false">
      <c r="B1518" s="56" t="n">
        <v>45823</v>
      </c>
      <c r="C1518" s="57" t="s">
        <v>19</v>
      </c>
      <c r="D1518" s="92" t="n">
        <v>4515</v>
      </c>
      <c r="E1518" s="59"/>
      <c r="F1518" s="59"/>
      <c r="G1518" s="61"/>
      <c r="H1518" s="62" t="n">
        <v>4515</v>
      </c>
    </row>
    <row r="1519" customFormat="false" ht="15" hidden="false" customHeight="true" outlineLevel="0" collapsed="false">
      <c r="B1519" s="64"/>
      <c r="C1519" s="65" t="s">
        <v>25</v>
      </c>
      <c r="D1519" s="66" t="n">
        <v>783</v>
      </c>
      <c r="E1519" s="71" t="n">
        <v>680</v>
      </c>
      <c r="F1519" s="67"/>
      <c r="G1519" s="68"/>
      <c r="H1519" s="69" t="n">
        <v>1463</v>
      </c>
    </row>
    <row r="1520" customFormat="false" ht="15" hidden="false" customHeight="true" outlineLevel="0" collapsed="false">
      <c r="B1520" s="64"/>
      <c r="C1520" s="65" t="s">
        <v>28</v>
      </c>
      <c r="D1520" s="73"/>
      <c r="E1520" s="67"/>
      <c r="F1520" s="71" t="n">
        <v>870</v>
      </c>
      <c r="G1520" s="68"/>
      <c r="H1520" s="69" t="n">
        <v>870</v>
      </c>
    </row>
    <row r="1521" customFormat="false" ht="15" hidden="false" customHeight="true" outlineLevel="0" collapsed="false">
      <c r="B1521" s="64"/>
      <c r="C1521" s="65" t="s">
        <v>22</v>
      </c>
      <c r="D1521" s="66" t="n">
        <v>1165</v>
      </c>
      <c r="E1521" s="71" t="n">
        <v>700</v>
      </c>
      <c r="F1521" s="67"/>
      <c r="G1521" s="68"/>
      <c r="H1521" s="69" t="n">
        <v>1865</v>
      </c>
    </row>
    <row r="1522" customFormat="false" ht="15" hidden="false" customHeight="true" outlineLevel="0" collapsed="false">
      <c r="B1522" s="64"/>
      <c r="C1522" s="65" t="s">
        <v>60</v>
      </c>
      <c r="D1522" s="73"/>
      <c r="E1522" s="71" t="n">
        <v>210</v>
      </c>
      <c r="F1522" s="67"/>
      <c r="G1522" s="68"/>
      <c r="H1522" s="69" t="n">
        <v>210</v>
      </c>
    </row>
    <row r="1523" customFormat="false" ht="15" hidden="false" customHeight="true" outlineLevel="0" collapsed="false">
      <c r="B1523" s="64"/>
      <c r="C1523" s="65" t="s">
        <v>34</v>
      </c>
      <c r="D1523" s="73"/>
      <c r="E1523" s="71" t="n">
        <v>350</v>
      </c>
      <c r="F1523" s="67"/>
      <c r="G1523" s="68"/>
      <c r="H1523" s="69" t="n">
        <v>350</v>
      </c>
    </row>
    <row r="1524" customFormat="false" ht="15" hidden="false" customHeight="true" outlineLevel="0" collapsed="false">
      <c r="B1524" s="84"/>
      <c r="C1524" s="85" t="s">
        <v>29</v>
      </c>
      <c r="D1524" s="86" t="n">
        <v>492</v>
      </c>
      <c r="E1524" s="76" t="n">
        <v>670</v>
      </c>
      <c r="F1524" s="75"/>
      <c r="G1524" s="77"/>
      <c r="H1524" s="78" t="n">
        <v>1162</v>
      </c>
    </row>
    <row r="1525" customFormat="false" ht="15" hidden="false" customHeight="true" outlineLevel="0" collapsed="false">
      <c r="B1525" s="87" t="s">
        <v>885</v>
      </c>
      <c r="C1525" s="88"/>
      <c r="D1525" s="89" t="n">
        <v>6955</v>
      </c>
      <c r="E1525" s="89" t="n">
        <v>2610</v>
      </c>
      <c r="F1525" s="89" t="n">
        <v>870</v>
      </c>
      <c r="G1525" s="90"/>
      <c r="H1525" s="91" t="n">
        <v>10435</v>
      </c>
    </row>
    <row r="1526" customFormat="false" ht="15" hidden="false" customHeight="true" outlineLevel="0" collapsed="false">
      <c r="B1526" s="93" t="n">
        <v>45824</v>
      </c>
      <c r="C1526" s="94" t="s">
        <v>44</v>
      </c>
      <c r="D1526" s="95"/>
      <c r="E1526" s="96" t="n">
        <v>1100</v>
      </c>
      <c r="F1526" s="97"/>
      <c r="G1526" s="98"/>
      <c r="H1526" s="91" t="n">
        <v>1100</v>
      </c>
    </row>
    <row r="1527" customFormat="false" ht="15" hidden="false" customHeight="true" outlineLevel="0" collapsed="false">
      <c r="B1527" s="87" t="s">
        <v>886</v>
      </c>
      <c r="C1527" s="88"/>
      <c r="D1527" s="90"/>
      <c r="E1527" s="89" t="n">
        <v>1100</v>
      </c>
      <c r="F1527" s="90"/>
      <c r="G1527" s="90"/>
      <c r="H1527" s="91" t="n">
        <v>1100</v>
      </c>
    </row>
    <row r="1528" customFormat="false" ht="15" hidden="false" customHeight="true" outlineLevel="0" collapsed="false">
      <c r="B1528" s="56" t="n">
        <v>45825</v>
      </c>
      <c r="C1528" s="57" t="s">
        <v>44</v>
      </c>
      <c r="D1528" s="58"/>
      <c r="E1528" s="60" t="n">
        <v>2000</v>
      </c>
      <c r="F1528" s="59"/>
      <c r="G1528" s="61"/>
      <c r="H1528" s="62" t="n">
        <v>2000</v>
      </c>
    </row>
    <row r="1529" customFormat="false" ht="15" hidden="false" customHeight="true" outlineLevel="0" collapsed="false">
      <c r="B1529" s="64"/>
      <c r="C1529" s="65" t="s">
        <v>32</v>
      </c>
      <c r="D1529" s="73"/>
      <c r="E1529" s="67"/>
      <c r="F1529" s="71" t="n">
        <v>280</v>
      </c>
      <c r="G1529" s="68"/>
      <c r="H1529" s="69" t="n">
        <v>280</v>
      </c>
    </row>
    <row r="1530" customFormat="false" ht="15" hidden="false" customHeight="true" outlineLevel="0" collapsed="false">
      <c r="B1530" s="64"/>
      <c r="C1530" s="65" t="s">
        <v>47</v>
      </c>
      <c r="D1530" s="66" t="n">
        <v>840</v>
      </c>
      <c r="E1530" s="67"/>
      <c r="F1530" s="67"/>
      <c r="G1530" s="68"/>
      <c r="H1530" s="69" t="n">
        <v>840</v>
      </c>
    </row>
    <row r="1531" customFormat="false" ht="15" hidden="false" customHeight="true" outlineLevel="0" collapsed="false">
      <c r="B1531" s="64"/>
      <c r="C1531" s="65" t="s">
        <v>19</v>
      </c>
      <c r="D1531" s="66" t="n">
        <v>3406</v>
      </c>
      <c r="E1531" s="67"/>
      <c r="F1531" s="67"/>
      <c r="G1531" s="68"/>
      <c r="H1531" s="69" t="n">
        <v>3406</v>
      </c>
    </row>
    <row r="1532" customFormat="false" ht="15" hidden="false" customHeight="true" outlineLevel="0" collapsed="false">
      <c r="B1532" s="64"/>
      <c r="C1532" s="65" t="s">
        <v>25</v>
      </c>
      <c r="D1532" s="66" t="n">
        <v>950</v>
      </c>
      <c r="E1532" s="67"/>
      <c r="F1532" s="67"/>
      <c r="G1532" s="68"/>
      <c r="H1532" s="69" t="n">
        <v>950</v>
      </c>
    </row>
    <row r="1533" customFormat="false" ht="15" hidden="false" customHeight="true" outlineLevel="0" collapsed="false">
      <c r="B1533" s="64"/>
      <c r="C1533" s="65" t="s">
        <v>22</v>
      </c>
      <c r="D1533" s="66" t="n">
        <v>2700</v>
      </c>
      <c r="E1533" s="67"/>
      <c r="F1533" s="67"/>
      <c r="G1533" s="68"/>
      <c r="H1533" s="69" t="n">
        <v>2700</v>
      </c>
    </row>
    <row r="1534" customFormat="false" ht="15" hidden="false" customHeight="true" outlineLevel="0" collapsed="false">
      <c r="B1534" s="64"/>
      <c r="C1534" s="65" t="s">
        <v>43</v>
      </c>
      <c r="D1534" s="73"/>
      <c r="E1534" s="71" t="n">
        <v>150</v>
      </c>
      <c r="F1534" s="67"/>
      <c r="G1534" s="68"/>
      <c r="H1534" s="69" t="n">
        <v>150</v>
      </c>
    </row>
    <row r="1535" customFormat="false" ht="15" hidden="false" customHeight="true" outlineLevel="0" collapsed="false">
      <c r="B1535" s="64"/>
      <c r="C1535" s="65" t="s">
        <v>34</v>
      </c>
      <c r="D1535" s="73"/>
      <c r="E1535" s="67"/>
      <c r="F1535" s="71" t="n">
        <v>115</v>
      </c>
      <c r="G1535" s="68"/>
      <c r="H1535" s="69" t="n">
        <v>115</v>
      </c>
    </row>
    <row r="1536" customFormat="false" ht="15" hidden="false" customHeight="true" outlineLevel="0" collapsed="false">
      <c r="B1536" s="84"/>
      <c r="C1536" s="85" t="s">
        <v>29</v>
      </c>
      <c r="D1536" s="86" t="n">
        <v>562</v>
      </c>
      <c r="E1536" s="75"/>
      <c r="F1536" s="75"/>
      <c r="G1536" s="77"/>
      <c r="H1536" s="78" t="n">
        <v>562</v>
      </c>
    </row>
    <row r="1537" customFormat="false" ht="15" hidden="false" customHeight="true" outlineLevel="0" collapsed="false">
      <c r="B1537" s="87" t="s">
        <v>887</v>
      </c>
      <c r="C1537" s="88"/>
      <c r="D1537" s="89" t="n">
        <v>8458</v>
      </c>
      <c r="E1537" s="89" t="n">
        <v>2150</v>
      </c>
      <c r="F1537" s="89" t="n">
        <v>395</v>
      </c>
      <c r="G1537" s="90"/>
      <c r="H1537" s="91" t="n">
        <v>11003</v>
      </c>
    </row>
    <row r="1538" customFormat="false" ht="15" hidden="false" customHeight="true" outlineLevel="0" collapsed="false">
      <c r="B1538" s="56" t="n">
        <v>45826</v>
      </c>
      <c r="C1538" s="57" t="s">
        <v>32</v>
      </c>
      <c r="D1538" s="58"/>
      <c r="E1538" s="59"/>
      <c r="F1538" s="60" t="n">
        <v>280</v>
      </c>
      <c r="G1538" s="61"/>
      <c r="H1538" s="62" t="n">
        <v>280</v>
      </c>
    </row>
    <row r="1539" customFormat="false" ht="15" hidden="false" customHeight="true" outlineLevel="0" collapsed="false">
      <c r="B1539" s="64"/>
      <c r="C1539" s="65" t="s">
        <v>47</v>
      </c>
      <c r="D1539" s="66" t="n">
        <v>1680</v>
      </c>
      <c r="E1539" s="67"/>
      <c r="F1539" s="67"/>
      <c r="G1539" s="68"/>
      <c r="H1539" s="69" t="n">
        <v>1680</v>
      </c>
    </row>
    <row r="1540" customFormat="false" ht="15" hidden="false" customHeight="true" outlineLevel="0" collapsed="false">
      <c r="B1540" s="64"/>
      <c r="C1540" s="65" t="s">
        <v>19</v>
      </c>
      <c r="D1540" s="66" t="n">
        <v>2476</v>
      </c>
      <c r="E1540" s="67"/>
      <c r="F1540" s="67"/>
      <c r="G1540" s="68"/>
      <c r="H1540" s="69" t="n">
        <v>2476</v>
      </c>
    </row>
    <row r="1541" customFormat="false" ht="15" hidden="false" customHeight="true" outlineLevel="0" collapsed="false">
      <c r="B1541" s="64"/>
      <c r="C1541" s="65" t="s">
        <v>25</v>
      </c>
      <c r="D1541" s="66" t="n">
        <v>702</v>
      </c>
      <c r="E1541" s="67"/>
      <c r="F1541" s="67"/>
      <c r="G1541" s="68"/>
      <c r="H1541" s="69" t="n">
        <v>702</v>
      </c>
    </row>
    <row r="1542" customFormat="false" ht="15" hidden="false" customHeight="true" outlineLevel="0" collapsed="false">
      <c r="B1542" s="64"/>
      <c r="C1542" s="65" t="s">
        <v>50</v>
      </c>
      <c r="D1542" s="66" t="n">
        <v>3480</v>
      </c>
      <c r="E1542" s="67"/>
      <c r="F1542" s="67"/>
      <c r="G1542" s="68"/>
      <c r="H1542" s="69" t="n">
        <v>3480</v>
      </c>
    </row>
    <row r="1543" customFormat="false" ht="15" hidden="false" customHeight="true" outlineLevel="0" collapsed="false">
      <c r="B1543" s="64"/>
      <c r="C1543" s="65" t="s">
        <v>22</v>
      </c>
      <c r="D1543" s="66" t="n">
        <v>726</v>
      </c>
      <c r="E1543" s="67"/>
      <c r="F1543" s="67"/>
      <c r="G1543" s="68"/>
      <c r="H1543" s="69" t="n">
        <v>726</v>
      </c>
    </row>
    <row r="1544" customFormat="false" ht="15" hidden="false" customHeight="true" outlineLevel="0" collapsed="false">
      <c r="B1544" s="64"/>
      <c r="C1544" s="65" t="s">
        <v>34</v>
      </c>
      <c r="D1544" s="73"/>
      <c r="E1544" s="71" t="n">
        <v>153</v>
      </c>
      <c r="F1544" s="67"/>
      <c r="G1544" s="68"/>
      <c r="H1544" s="69" t="n">
        <v>153</v>
      </c>
    </row>
    <row r="1545" customFormat="false" ht="15" hidden="false" customHeight="true" outlineLevel="0" collapsed="false">
      <c r="B1545" s="84"/>
      <c r="C1545" s="85" t="s">
        <v>29</v>
      </c>
      <c r="D1545" s="86" t="n">
        <v>459</v>
      </c>
      <c r="E1545" s="75"/>
      <c r="F1545" s="75"/>
      <c r="G1545" s="77"/>
      <c r="H1545" s="78" t="n">
        <v>459</v>
      </c>
    </row>
    <row r="1546" customFormat="false" ht="15" hidden="false" customHeight="true" outlineLevel="0" collapsed="false">
      <c r="B1546" s="87" t="s">
        <v>888</v>
      </c>
      <c r="C1546" s="88"/>
      <c r="D1546" s="89" t="n">
        <v>9523</v>
      </c>
      <c r="E1546" s="89" t="n">
        <v>153</v>
      </c>
      <c r="F1546" s="89" t="n">
        <v>280</v>
      </c>
      <c r="G1546" s="90"/>
      <c r="H1546" s="91" t="n">
        <v>9956</v>
      </c>
    </row>
    <row r="1547" customFormat="false" ht="15" hidden="false" customHeight="true" outlineLevel="0" collapsed="false">
      <c r="B1547" s="56" t="n">
        <v>45827</v>
      </c>
      <c r="C1547" s="57" t="s">
        <v>32</v>
      </c>
      <c r="D1547" s="58"/>
      <c r="E1547" s="59"/>
      <c r="F1547" s="60" t="n">
        <v>210</v>
      </c>
      <c r="G1547" s="61"/>
      <c r="H1547" s="62" t="n">
        <v>210</v>
      </c>
    </row>
    <row r="1548" customFormat="false" ht="15" hidden="false" customHeight="true" outlineLevel="0" collapsed="false">
      <c r="B1548" s="64"/>
      <c r="C1548" s="65" t="s">
        <v>214</v>
      </c>
      <c r="D1548" s="73"/>
      <c r="E1548" s="71" t="n">
        <v>1000</v>
      </c>
      <c r="F1548" s="67"/>
      <c r="G1548" s="68"/>
      <c r="H1548" s="69" t="n">
        <v>1000</v>
      </c>
    </row>
    <row r="1549" customFormat="false" ht="15" hidden="false" customHeight="true" outlineLevel="0" collapsed="false">
      <c r="B1549" s="64"/>
      <c r="C1549" s="65" t="s">
        <v>19</v>
      </c>
      <c r="D1549" s="66" t="n">
        <v>4559</v>
      </c>
      <c r="E1549" s="67"/>
      <c r="F1549" s="67"/>
      <c r="G1549" s="68"/>
      <c r="H1549" s="69" t="n">
        <v>4559</v>
      </c>
    </row>
    <row r="1550" customFormat="false" ht="15" hidden="false" customHeight="true" outlineLevel="0" collapsed="false">
      <c r="B1550" s="64"/>
      <c r="C1550" s="65" t="s">
        <v>25</v>
      </c>
      <c r="D1550" s="66" t="n">
        <v>810</v>
      </c>
      <c r="E1550" s="71" t="n">
        <v>680</v>
      </c>
      <c r="F1550" s="67"/>
      <c r="G1550" s="68"/>
      <c r="H1550" s="69" t="n">
        <v>1490</v>
      </c>
    </row>
    <row r="1551" customFormat="false" ht="15" hidden="false" customHeight="true" outlineLevel="0" collapsed="false">
      <c r="B1551" s="64"/>
      <c r="C1551" s="65" t="s">
        <v>69</v>
      </c>
      <c r="D1551" s="73"/>
      <c r="E1551" s="71" t="n">
        <v>700</v>
      </c>
      <c r="F1551" s="67"/>
      <c r="G1551" s="68"/>
      <c r="H1551" s="69" t="n">
        <v>700</v>
      </c>
    </row>
    <row r="1552" customFormat="false" ht="15" hidden="false" customHeight="true" outlineLevel="0" collapsed="false">
      <c r="B1552" s="64"/>
      <c r="C1552" s="65" t="s">
        <v>22</v>
      </c>
      <c r="D1552" s="66" t="n">
        <v>5060</v>
      </c>
      <c r="E1552" s="67"/>
      <c r="F1552" s="67"/>
      <c r="G1552" s="68"/>
      <c r="H1552" s="69" t="n">
        <v>5060</v>
      </c>
    </row>
    <row r="1553" customFormat="false" ht="15" hidden="false" customHeight="true" outlineLevel="0" collapsed="false">
      <c r="B1553" s="64"/>
      <c r="C1553" s="65" t="s">
        <v>31</v>
      </c>
      <c r="D1553" s="73"/>
      <c r="E1553" s="71" t="n">
        <v>310</v>
      </c>
      <c r="F1553" s="67"/>
      <c r="G1553" s="68"/>
      <c r="H1553" s="69" t="n">
        <v>310</v>
      </c>
    </row>
    <row r="1554" customFormat="false" ht="15" hidden="false" customHeight="true" outlineLevel="0" collapsed="false">
      <c r="B1554" s="64"/>
      <c r="C1554" s="65" t="s">
        <v>35</v>
      </c>
      <c r="D1554" s="73"/>
      <c r="E1554" s="71" t="n">
        <v>100</v>
      </c>
      <c r="F1554" s="67"/>
      <c r="G1554" s="68"/>
      <c r="H1554" s="69" t="n">
        <v>100</v>
      </c>
    </row>
    <row r="1555" customFormat="false" ht="15" hidden="false" customHeight="true" outlineLevel="0" collapsed="false">
      <c r="B1555" s="64"/>
      <c r="C1555" s="65" t="s">
        <v>34</v>
      </c>
      <c r="D1555" s="73"/>
      <c r="E1555" s="71" t="n">
        <v>144</v>
      </c>
      <c r="F1555" s="67"/>
      <c r="G1555" s="68"/>
      <c r="H1555" s="69" t="n">
        <v>144</v>
      </c>
    </row>
    <row r="1556" customFormat="false" ht="15" hidden="false" customHeight="true" outlineLevel="0" collapsed="false">
      <c r="B1556" s="84"/>
      <c r="C1556" s="85" t="s">
        <v>29</v>
      </c>
      <c r="D1556" s="86" t="n">
        <v>269</v>
      </c>
      <c r="E1556" s="76" t="n">
        <v>100</v>
      </c>
      <c r="F1556" s="75"/>
      <c r="G1556" s="77"/>
      <c r="H1556" s="78" t="n">
        <v>369</v>
      </c>
    </row>
    <row r="1557" customFormat="false" ht="15" hidden="false" customHeight="true" outlineLevel="0" collapsed="false">
      <c r="B1557" s="87" t="s">
        <v>889</v>
      </c>
      <c r="C1557" s="88"/>
      <c r="D1557" s="89" t="n">
        <v>10698</v>
      </c>
      <c r="E1557" s="89" t="n">
        <v>3034</v>
      </c>
      <c r="F1557" s="89" t="n">
        <v>210</v>
      </c>
      <c r="G1557" s="90"/>
      <c r="H1557" s="91" t="n">
        <v>13942</v>
      </c>
    </row>
    <row r="1558" customFormat="false" ht="15" hidden="false" customHeight="true" outlineLevel="0" collapsed="false">
      <c r="B1558" s="56" t="n">
        <v>45828</v>
      </c>
      <c r="C1558" s="57" t="s">
        <v>32</v>
      </c>
      <c r="D1558" s="58"/>
      <c r="E1558" s="59"/>
      <c r="F1558" s="60" t="n">
        <v>140</v>
      </c>
      <c r="G1558" s="61"/>
      <c r="H1558" s="62" t="n">
        <v>140</v>
      </c>
    </row>
    <row r="1559" customFormat="false" ht="15" hidden="false" customHeight="true" outlineLevel="0" collapsed="false">
      <c r="B1559" s="64"/>
      <c r="C1559" s="65" t="s">
        <v>53</v>
      </c>
      <c r="D1559" s="73"/>
      <c r="E1559" s="67"/>
      <c r="F1559" s="71" t="n">
        <v>1200</v>
      </c>
      <c r="G1559" s="68"/>
      <c r="H1559" s="69" t="n">
        <v>1200</v>
      </c>
    </row>
    <row r="1560" customFormat="false" ht="15" hidden="false" customHeight="true" outlineLevel="0" collapsed="false">
      <c r="B1560" s="64"/>
      <c r="C1560" s="65" t="s">
        <v>19</v>
      </c>
      <c r="D1560" s="66" t="n">
        <v>3094</v>
      </c>
      <c r="E1560" s="67"/>
      <c r="F1560" s="67"/>
      <c r="G1560" s="68"/>
      <c r="H1560" s="69" t="n">
        <v>3094</v>
      </c>
    </row>
    <row r="1561" customFormat="false" ht="15" hidden="false" customHeight="true" outlineLevel="0" collapsed="false">
      <c r="B1561" s="64"/>
      <c r="C1561" s="65" t="s">
        <v>25</v>
      </c>
      <c r="D1561" s="66" t="n">
        <v>725</v>
      </c>
      <c r="E1561" s="67"/>
      <c r="F1561" s="67"/>
      <c r="G1561" s="68"/>
      <c r="H1561" s="69" t="n">
        <v>725</v>
      </c>
    </row>
    <row r="1562" customFormat="false" ht="15" hidden="false" customHeight="true" outlineLevel="0" collapsed="false">
      <c r="B1562" s="64"/>
      <c r="C1562" s="65" t="s">
        <v>22</v>
      </c>
      <c r="D1562" s="66" t="n">
        <v>241</v>
      </c>
      <c r="E1562" s="67"/>
      <c r="F1562" s="71" t="n">
        <v>220</v>
      </c>
      <c r="G1562" s="68"/>
      <c r="H1562" s="69" t="n">
        <v>461</v>
      </c>
    </row>
    <row r="1563" customFormat="false" ht="15" hidden="false" customHeight="true" outlineLevel="0" collapsed="false">
      <c r="B1563" s="64"/>
      <c r="C1563" s="65" t="s">
        <v>102</v>
      </c>
      <c r="D1563" s="73"/>
      <c r="E1563" s="67"/>
      <c r="F1563" s="71" t="n">
        <v>600</v>
      </c>
      <c r="G1563" s="68"/>
      <c r="H1563" s="69" t="n">
        <v>600</v>
      </c>
    </row>
    <row r="1564" customFormat="false" ht="15" hidden="false" customHeight="true" outlineLevel="0" collapsed="false">
      <c r="B1564" s="64"/>
      <c r="C1564" s="65" t="s">
        <v>40</v>
      </c>
      <c r="D1564" s="66" t="n">
        <v>2220</v>
      </c>
      <c r="E1564" s="67"/>
      <c r="F1564" s="67"/>
      <c r="G1564" s="68"/>
      <c r="H1564" s="69" t="n">
        <v>2220</v>
      </c>
    </row>
    <row r="1565" customFormat="false" ht="15" hidden="false" customHeight="true" outlineLevel="0" collapsed="false">
      <c r="B1565" s="64"/>
      <c r="C1565" s="65" t="s">
        <v>34</v>
      </c>
      <c r="D1565" s="73"/>
      <c r="E1565" s="67"/>
      <c r="F1565" s="71" t="n">
        <v>135</v>
      </c>
      <c r="G1565" s="68"/>
      <c r="H1565" s="69" t="n">
        <v>135</v>
      </c>
    </row>
    <row r="1566" customFormat="false" ht="15" hidden="false" customHeight="true" outlineLevel="0" collapsed="false">
      <c r="B1566" s="84"/>
      <c r="C1566" s="85" t="s">
        <v>29</v>
      </c>
      <c r="D1566" s="86" t="n">
        <v>530</v>
      </c>
      <c r="E1566" s="75"/>
      <c r="F1566" s="75"/>
      <c r="G1566" s="77"/>
      <c r="H1566" s="78" t="n">
        <v>530</v>
      </c>
    </row>
    <row r="1567" customFormat="false" ht="15" hidden="false" customHeight="true" outlineLevel="0" collapsed="false">
      <c r="B1567" s="87" t="s">
        <v>890</v>
      </c>
      <c r="C1567" s="88"/>
      <c r="D1567" s="89" t="n">
        <v>6810</v>
      </c>
      <c r="E1567" s="90"/>
      <c r="F1567" s="89" t="n">
        <v>2295</v>
      </c>
      <c r="G1567" s="90"/>
      <c r="H1567" s="91" t="n">
        <v>9105</v>
      </c>
    </row>
    <row r="1568" customFormat="false" ht="15" hidden="false" customHeight="true" outlineLevel="0" collapsed="false">
      <c r="B1568" s="56" t="n">
        <v>45829</v>
      </c>
      <c r="C1568" s="57" t="s">
        <v>44</v>
      </c>
      <c r="D1568" s="58"/>
      <c r="E1568" s="60" t="n">
        <v>700</v>
      </c>
      <c r="F1568" s="59"/>
      <c r="G1568" s="61"/>
      <c r="H1568" s="62" t="n">
        <v>700</v>
      </c>
    </row>
    <row r="1569" customFormat="false" ht="15" hidden="false" customHeight="true" outlineLevel="0" collapsed="false">
      <c r="B1569" s="64"/>
      <c r="C1569" s="65" t="s">
        <v>32</v>
      </c>
      <c r="D1569" s="73"/>
      <c r="E1569" s="67"/>
      <c r="F1569" s="71" t="n">
        <v>210</v>
      </c>
      <c r="G1569" s="68"/>
      <c r="H1569" s="69" t="n">
        <v>210</v>
      </c>
    </row>
    <row r="1570" customFormat="false" ht="15" hidden="false" customHeight="true" outlineLevel="0" collapsed="false">
      <c r="B1570" s="64"/>
      <c r="C1570" s="65" t="s">
        <v>47</v>
      </c>
      <c r="D1570" s="66" t="n">
        <v>1680</v>
      </c>
      <c r="E1570" s="67"/>
      <c r="F1570" s="67"/>
      <c r="G1570" s="68"/>
      <c r="H1570" s="69" t="n">
        <v>1680</v>
      </c>
    </row>
    <row r="1571" customFormat="false" ht="15" hidden="false" customHeight="true" outlineLevel="0" collapsed="false">
      <c r="B1571" s="64"/>
      <c r="C1571" s="65" t="s">
        <v>19</v>
      </c>
      <c r="D1571" s="66" t="n">
        <v>4600</v>
      </c>
      <c r="E1571" s="67"/>
      <c r="F1571" s="67"/>
      <c r="G1571" s="68"/>
      <c r="H1571" s="69" t="n">
        <v>4600</v>
      </c>
    </row>
    <row r="1572" customFormat="false" ht="15" hidden="false" customHeight="true" outlineLevel="0" collapsed="false">
      <c r="B1572" s="64"/>
      <c r="C1572" s="65" t="s">
        <v>25</v>
      </c>
      <c r="D1572" s="66" t="n">
        <v>950</v>
      </c>
      <c r="E1572" s="67"/>
      <c r="F1572" s="67"/>
      <c r="G1572" s="68"/>
      <c r="H1572" s="69" t="n">
        <v>950</v>
      </c>
    </row>
    <row r="1573" customFormat="false" ht="15" hidden="false" customHeight="true" outlineLevel="0" collapsed="false">
      <c r="B1573" s="64"/>
      <c r="C1573" s="65" t="s">
        <v>28</v>
      </c>
      <c r="D1573" s="73"/>
      <c r="E1573" s="67"/>
      <c r="F1573" s="71" t="n">
        <v>1043</v>
      </c>
      <c r="G1573" s="68"/>
      <c r="H1573" s="69" t="n">
        <v>1043</v>
      </c>
    </row>
    <row r="1574" customFormat="false" ht="15" hidden="false" customHeight="true" outlineLevel="0" collapsed="false">
      <c r="B1574" s="64"/>
      <c r="C1574" s="65" t="s">
        <v>50</v>
      </c>
      <c r="D1574" s="66" t="n">
        <v>1740</v>
      </c>
      <c r="E1574" s="67"/>
      <c r="F1574" s="67"/>
      <c r="G1574" s="68"/>
      <c r="H1574" s="69" t="n">
        <v>1740</v>
      </c>
    </row>
    <row r="1575" customFormat="false" ht="15" hidden="false" customHeight="true" outlineLevel="0" collapsed="false">
      <c r="B1575" s="64"/>
      <c r="C1575" s="65" t="s">
        <v>22</v>
      </c>
      <c r="D1575" s="66" t="n">
        <v>2442</v>
      </c>
      <c r="E1575" s="67"/>
      <c r="F1575" s="67"/>
      <c r="G1575" s="68"/>
      <c r="H1575" s="69" t="n">
        <v>2442</v>
      </c>
    </row>
    <row r="1576" customFormat="false" ht="15" hidden="false" customHeight="true" outlineLevel="0" collapsed="false">
      <c r="B1576" s="64"/>
      <c r="C1576" s="65" t="s">
        <v>31</v>
      </c>
      <c r="D1576" s="73"/>
      <c r="E1576" s="71" t="n">
        <v>1750</v>
      </c>
      <c r="F1576" s="67"/>
      <c r="G1576" s="68"/>
      <c r="H1576" s="69" t="n">
        <v>1750</v>
      </c>
    </row>
    <row r="1577" customFormat="false" ht="15" hidden="false" customHeight="true" outlineLevel="0" collapsed="false">
      <c r="B1577" s="64"/>
      <c r="C1577" s="65" t="s">
        <v>34</v>
      </c>
      <c r="D1577" s="73"/>
      <c r="E1577" s="71" t="n">
        <v>160</v>
      </c>
      <c r="F1577" s="67"/>
      <c r="G1577" s="68"/>
      <c r="H1577" s="69" t="n">
        <v>160</v>
      </c>
    </row>
    <row r="1578" customFormat="false" ht="15" hidden="false" customHeight="true" outlineLevel="0" collapsed="false">
      <c r="B1578" s="84"/>
      <c r="C1578" s="85" t="s">
        <v>29</v>
      </c>
      <c r="D1578" s="86" t="n">
        <v>567</v>
      </c>
      <c r="E1578" s="76" t="n">
        <v>620</v>
      </c>
      <c r="F1578" s="75"/>
      <c r="G1578" s="77"/>
      <c r="H1578" s="78" t="n">
        <v>1187</v>
      </c>
    </row>
    <row r="1579" customFormat="false" ht="15" hidden="false" customHeight="true" outlineLevel="0" collapsed="false">
      <c r="B1579" s="87" t="s">
        <v>891</v>
      </c>
      <c r="C1579" s="88"/>
      <c r="D1579" s="89" t="n">
        <v>11979</v>
      </c>
      <c r="E1579" s="89" t="n">
        <v>3230</v>
      </c>
      <c r="F1579" s="89" t="n">
        <v>1253</v>
      </c>
      <c r="G1579" s="90"/>
      <c r="H1579" s="91" t="n">
        <v>16462</v>
      </c>
    </row>
    <row r="1580" customFormat="false" ht="15" hidden="false" customHeight="true" outlineLevel="0" collapsed="false">
      <c r="B1580" s="56" t="n">
        <v>45830</v>
      </c>
      <c r="C1580" s="57" t="s">
        <v>32</v>
      </c>
      <c r="D1580" s="58"/>
      <c r="E1580" s="60" t="n">
        <v>140</v>
      </c>
      <c r="F1580" s="59"/>
      <c r="G1580" s="61"/>
      <c r="H1580" s="62" t="n">
        <v>140</v>
      </c>
    </row>
    <row r="1581" customFormat="false" ht="15" hidden="false" customHeight="true" outlineLevel="0" collapsed="false">
      <c r="B1581" s="64"/>
      <c r="C1581" s="65" t="s">
        <v>25</v>
      </c>
      <c r="D1581" s="66" t="n">
        <v>1245</v>
      </c>
      <c r="E1581" s="67"/>
      <c r="F1581" s="67"/>
      <c r="G1581" s="68"/>
      <c r="H1581" s="69" t="n">
        <v>1245</v>
      </c>
    </row>
    <row r="1582" customFormat="false" ht="15" hidden="false" customHeight="true" outlineLevel="0" collapsed="false">
      <c r="B1582" s="64"/>
      <c r="C1582" s="65" t="s">
        <v>50</v>
      </c>
      <c r="D1582" s="66" t="n">
        <v>1740</v>
      </c>
      <c r="E1582" s="67"/>
      <c r="F1582" s="67"/>
      <c r="G1582" s="68"/>
      <c r="H1582" s="69" t="n">
        <v>1740</v>
      </c>
    </row>
    <row r="1583" customFormat="false" ht="15" hidden="false" customHeight="true" outlineLevel="0" collapsed="false">
      <c r="B1583" s="64"/>
      <c r="C1583" s="65" t="s">
        <v>43</v>
      </c>
      <c r="D1583" s="73"/>
      <c r="E1583" s="71" t="n">
        <v>50</v>
      </c>
      <c r="F1583" s="67"/>
      <c r="G1583" s="68"/>
      <c r="H1583" s="69" t="n">
        <v>50</v>
      </c>
    </row>
    <row r="1584" customFormat="false" ht="15" hidden="false" customHeight="true" outlineLevel="0" collapsed="false">
      <c r="B1584" s="64"/>
      <c r="C1584" s="65" t="s">
        <v>40</v>
      </c>
      <c r="D1584" s="73"/>
      <c r="E1584" s="71" t="n">
        <v>400</v>
      </c>
      <c r="F1584" s="67"/>
      <c r="G1584" s="68"/>
      <c r="H1584" s="69" t="n">
        <v>400</v>
      </c>
    </row>
    <row r="1585" customFormat="false" ht="15" hidden="false" customHeight="true" outlineLevel="0" collapsed="false">
      <c r="B1585" s="64"/>
      <c r="C1585" s="65" t="s">
        <v>34</v>
      </c>
      <c r="D1585" s="73"/>
      <c r="E1585" s="71" t="n">
        <v>145</v>
      </c>
      <c r="F1585" s="67"/>
      <c r="G1585" s="68"/>
      <c r="H1585" s="69" t="n">
        <v>145</v>
      </c>
    </row>
    <row r="1586" customFormat="false" ht="15" hidden="false" customHeight="true" outlineLevel="0" collapsed="false">
      <c r="B1586" s="84"/>
      <c r="C1586" s="85" t="s">
        <v>29</v>
      </c>
      <c r="D1586" s="86" t="n">
        <v>536</v>
      </c>
      <c r="E1586" s="75"/>
      <c r="F1586" s="75"/>
      <c r="G1586" s="77"/>
      <c r="H1586" s="78" t="n">
        <v>536</v>
      </c>
    </row>
    <row r="1587" customFormat="false" ht="15" hidden="false" customHeight="true" outlineLevel="0" collapsed="false">
      <c r="B1587" s="87" t="s">
        <v>892</v>
      </c>
      <c r="C1587" s="88"/>
      <c r="D1587" s="89" t="n">
        <v>3521</v>
      </c>
      <c r="E1587" s="89" t="n">
        <v>735</v>
      </c>
      <c r="F1587" s="90"/>
      <c r="G1587" s="90"/>
      <c r="H1587" s="91" t="n">
        <v>4256</v>
      </c>
    </row>
    <row r="1588" customFormat="false" ht="15" hidden="false" customHeight="true" outlineLevel="0" collapsed="false">
      <c r="B1588" s="56" t="n">
        <v>45831</v>
      </c>
      <c r="C1588" s="57" t="s">
        <v>44</v>
      </c>
      <c r="D1588" s="58"/>
      <c r="E1588" s="60" t="n">
        <v>5000</v>
      </c>
      <c r="F1588" s="59"/>
      <c r="G1588" s="61"/>
      <c r="H1588" s="62" t="n">
        <v>5000</v>
      </c>
    </row>
    <row r="1589" customFormat="false" ht="15" hidden="false" customHeight="true" outlineLevel="0" collapsed="false">
      <c r="B1589" s="64"/>
      <c r="C1589" s="65" t="s">
        <v>32</v>
      </c>
      <c r="D1589" s="73"/>
      <c r="E1589" s="67"/>
      <c r="F1589" s="71" t="n">
        <v>175</v>
      </c>
      <c r="G1589" s="68"/>
      <c r="H1589" s="69" t="n">
        <v>175</v>
      </c>
    </row>
    <row r="1590" customFormat="false" ht="15" hidden="false" customHeight="true" outlineLevel="0" collapsed="false">
      <c r="B1590" s="64"/>
      <c r="C1590" s="65" t="s">
        <v>47</v>
      </c>
      <c r="D1590" s="66" t="n">
        <v>840</v>
      </c>
      <c r="E1590" s="67"/>
      <c r="F1590" s="67"/>
      <c r="G1590" s="68"/>
      <c r="H1590" s="69" t="n">
        <v>840</v>
      </c>
    </row>
    <row r="1591" customFormat="false" ht="15" hidden="false" customHeight="true" outlineLevel="0" collapsed="false">
      <c r="B1591" s="64"/>
      <c r="C1591" s="65" t="s">
        <v>19</v>
      </c>
      <c r="D1591" s="66" t="n">
        <v>4875</v>
      </c>
      <c r="E1591" s="67"/>
      <c r="F1591" s="67"/>
      <c r="G1591" s="68"/>
      <c r="H1591" s="69" t="n">
        <v>4875</v>
      </c>
    </row>
    <row r="1592" customFormat="false" ht="15" hidden="false" customHeight="true" outlineLevel="0" collapsed="false">
      <c r="B1592" s="64"/>
      <c r="C1592" s="65" t="s">
        <v>63</v>
      </c>
      <c r="D1592" s="73"/>
      <c r="E1592" s="71" t="n">
        <v>1200</v>
      </c>
      <c r="F1592" s="67"/>
      <c r="G1592" s="68"/>
      <c r="H1592" s="69" t="n">
        <v>1200</v>
      </c>
    </row>
    <row r="1593" customFormat="false" ht="15" hidden="false" customHeight="true" outlineLevel="0" collapsed="false">
      <c r="B1593" s="64"/>
      <c r="C1593" s="65" t="s">
        <v>25</v>
      </c>
      <c r="D1593" s="66" t="n">
        <v>1160</v>
      </c>
      <c r="E1593" s="67"/>
      <c r="F1593" s="67"/>
      <c r="G1593" s="68"/>
      <c r="H1593" s="69" t="n">
        <v>1160</v>
      </c>
    </row>
    <row r="1594" customFormat="false" ht="15" hidden="false" customHeight="true" outlineLevel="0" collapsed="false">
      <c r="B1594" s="64"/>
      <c r="C1594" s="65" t="s">
        <v>22</v>
      </c>
      <c r="D1594" s="66" t="n">
        <v>1106</v>
      </c>
      <c r="E1594" s="67"/>
      <c r="F1594" s="67"/>
      <c r="G1594" s="68"/>
      <c r="H1594" s="69" t="n">
        <v>1106</v>
      </c>
    </row>
    <row r="1595" customFormat="false" ht="15" hidden="false" customHeight="true" outlineLevel="0" collapsed="false">
      <c r="B1595" s="64"/>
      <c r="C1595" s="65" t="s">
        <v>43</v>
      </c>
      <c r="D1595" s="73"/>
      <c r="E1595" s="71" t="n">
        <v>410</v>
      </c>
      <c r="F1595" s="67"/>
      <c r="G1595" s="68"/>
      <c r="H1595" s="69" t="n">
        <v>410</v>
      </c>
    </row>
    <row r="1596" customFormat="false" ht="15" hidden="false" customHeight="true" outlineLevel="0" collapsed="false">
      <c r="B1596" s="64"/>
      <c r="C1596" s="65" t="s">
        <v>40</v>
      </c>
      <c r="D1596" s="73"/>
      <c r="E1596" s="71" t="n">
        <v>2960</v>
      </c>
      <c r="F1596" s="67"/>
      <c r="G1596" s="68"/>
      <c r="H1596" s="69" t="n">
        <v>2960</v>
      </c>
    </row>
    <row r="1597" customFormat="false" ht="15" hidden="false" customHeight="true" outlineLevel="0" collapsed="false">
      <c r="B1597" s="64"/>
      <c r="C1597" s="65" t="s">
        <v>31</v>
      </c>
      <c r="D1597" s="73"/>
      <c r="E1597" s="71" t="n">
        <v>310</v>
      </c>
      <c r="F1597" s="67"/>
      <c r="G1597" s="68"/>
      <c r="H1597" s="69" t="n">
        <v>310</v>
      </c>
    </row>
    <row r="1598" customFormat="false" ht="15" hidden="false" customHeight="true" outlineLevel="0" collapsed="false">
      <c r="B1598" s="64"/>
      <c r="C1598" s="65" t="s">
        <v>34</v>
      </c>
      <c r="D1598" s="73"/>
      <c r="E1598" s="71" t="n">
        <v>152</v>
      </c>
      <c r="F1598" s="67"/>
      <c r="G1598" s="68"/>
      <c r="H1598" s="69" t="n">
        <v>152</v>
      </c>
    </row>
    <row r="1599" customFormat="false" ht="15" hidden="false" customHeight="true" outlineLevel="0" collapsed="false">
      <c r="B1599" s="84"/>
      <c r="C1599" s="85" t="s">
        <v>29</v>
      </c>
      <c r="D1599" s="86" t="n">
        <v>388</v>
      </c>
      <c r="E1599" s="75"/>
      <c r="F1599" s="75"/>
      <c r="G1599" s="77"/>
      <c r="H1599" s="78" t="n">
        <v>388</v>
      </c>
    </row>
    <row r="1600" customFormat="false" ht="15" hidden="false" customHeight="true" outlineLevel="0" collapsed="false">
      <c r="B1600" s="87" t="s">
        <v>893</v>
      </c>
      <c r="C1600" s="88"/>
      <c r="D1600" s="89" t="n">
        <v>8369</v>
      </c>
      <c r="E1600" s="89" t="n">
        <v>10032</v>
      </c>
      <c r="F1600" s="89" t="n">
        <v>175</v>
      </c>
      <c r="G1600" s="90"/>
      <c r="H1600" s="91" t="n">
        <v>18576</v>
      </c>
    </row>
    <row r="1601" customFormat="false" ht="15" hidden="false" customHeight="true" outlineLevel="0" collapsed="false">
      <c r="B1601" s="56" t="n">
        <v>45832</v>
      </c>
      <c r="C1601" s="57" t="s">
        <v>32</v>
      </c>
      <c r="D1601" s="58"/>
      <c r="E1601" s="59"/>
      <c r="F1601" s="60" t="n">
        <v>350</v>
      </c>
      <c r="G1601" s="61"/>
      <c r="H1601" s="62" t="n">
        <v>350</v>
      </c>
    </row>
    <row r="1602" customFormat="false" ht="15" hidden="false" customHeight="true" outlineLevel="0" collapsed="false">
      <c r="B1602" s="64"/>
      <c r="C1602" s="65" t="s">
        <v>19</v>
      </c>
      <c r="D1602" s="66" t="n">
        <v>4583</v>
      </c>
      <c r="E1602" s="67"/>
      <c r="F1602" s="67"/>
      <c r="G1602" s="68"/>
      <c r="H1602" s="69" t="n">
        <v>4583</v>
      </c>
    </row>
    <row r="1603" customFormat="false" ht="15" hidden="false" customHeight="true" outlineLevel="0" collapsed="false">
      <c r="B1603" s="64"/>
      <c r="C1603" s="65" t="s">
        <v>25</v>
      </c>
      <c r="D1603" s="66" t="n">
        <v>353</v>
      </c>
      <c r="E1603" s="67"/>
      <c r="F1603" s="67"/>
      <c r="G1603" s="68"/>
      <c r="H1603" s="69" t="n">
        <v>353</v>
      </c>
    </row>
    <row r="1604" customFormat="false" ht="15" hidden="false" customHeight="true" outlineLevel="0" collapsed="false">
      <c r="B1604" s="64"/>
      <c r="C1604" s="65" t="s">
        <v>22</v>
      </c>
      <c r="D1604" s="66" t="n">
        <v>4812</v>
      </c>
      <c r="E1604" s="71" t="n">
        <v>1000</v>
      </c>
      <c r="F1604" s="67"/>
      <c r="G1604" s="68"/>
      <c r="H1604" s="69" t="n">
        <v>5812</v>
      </c>
    </row>
    <row r="1605" customFormat="false" ht="15" hidden="false" customHeight="true" outlineLevel="0" collapsed="false">
      <c r="B1605" s="64"/>
      <c r="C1605" s="65" t="s">
        <v>43</v>
      </c>
      <c r="D1605" s="73"/>
      <c r="E1605" s="71" t="n">
        <v>240</v>
      </c>
      <c r="F1605" s="67"/>
      <c r="G1605" s="68"/>
      <c r="H1605" s="69" t="n">
        <v>240</v>
      </c>
    </row>
    <row r="1606" customFormat="false" ht="15" hidden="false" customHeight="true" outlineLevel="0" collapsed="false">
      <c r="B1606" s="64"/>
      <c r="C1606" s="65" t="s">
        <v>34</v>
      </c>
      <c r="D1606" s="73"/>
      <c r="E1606" s="71" t="n">
        <v>120</v>
      </c>
      <c r="F1606" s="67"/>
      <c r="G1606" s="68"/>
      <c r="H1606" s="69" t="n">
        <v>120</v>
      </c>
    </row>
    <row r="1607" customFormat="false" ht="15" hidden="false" customHeight="true" outlineLevel="0" collapsed="false">
      <c r="B1607" s="84"/>
      <c r="C1607" s="85" t="s">
        <v>29</v>
      </c>
      <c r="D1607" s="86" t="n">
        <v>250</v>
      </c>
      <c r="E1607" s="75"/>
      <c r="F1607" s="75"/>
      <c r="G1607" s="77"/>
      <c r="H1607" s="78" t="n">
        <v>250</v>
      </c>
    </row>
    <row r="1608" customFormat="false" ht="15" hidden="false" customHeight="true" outlineLevel="0" collapsed="false">
      <c r="B1608" s="87" t="s">
        <v>894</v>
      </c>
      <c r="C1608" s="88"/>
      <c r="D1608" s="89" t="n">
        <v>9998</v>
      </c>
      <c r="E1608" s="89" t="n">
        <v>1360</v>
      </c>
      <c r="F1608" s="89" t="n">
        <v>350</v>
      </c>
      <c r="G1608" s="90"/>
      <c r="H1608" s="91" t="n">
        <v>11708</v>
      </c>
    </row>
    <row r="1609" customFormat="false" ht="15" hidden="false" customHeight="true" outlineLevel="0" collapsed="false">
      <c r="B1609" s="56" t="n">
        <v>45833</v>
      </c>
      <c r="C1609" s="57" t="s">
        <v>32</v>
      </c>
      <c r="D1609" s="58"/>
      <c r="E1609" s="59"/>
      <c r="F1609" s="60" t="n">
        <v>210</v>
      </c>
      <c r="G1609" s="61"/>
      <c r="H1609" s="62" t="n">
        <v>210</v>
      </c>
    </row>
    <row r="1610" customFormat="false" ht="15" hidden="false" customHeight="true" outlineLevel="0" collapsed="false">
      <c r="B1610" s="64"/>
      <c r="C1610" s="65" t="s">
        <v>47</v>
      </c>
      <c r="D1610" s="66" t="n">
        <v>1680</v>
      </c>
      <c r="E1610" s="67"/>
      <c r="F1610" s="67"/>
      <c r="G1610" s="68"/>
      <c r="H1610" s="69" t="n">
        <v>1680</v>
      </c>
    </row>
    <row r="1611" customFormat="false" ht="15" hidden="false" customHeight="true" outlineLevel="0" collapsed="false">
      <c r="B1611" s="64"/>
      <c r="C1611" s="65" t="s">
        <v>19</v>
      </c>
      <c r="D1611" s="66" t="n">
        <v>6005</v>
      </c>
      <c r="E1611" s="67"/>
      <c r="F1611" s="67"/>
      <c r="G1611" s="68"/>
      <c r="H1611" s="69" t="n">
        <v>6005</v>
      </c>
    </row>
    <row r="1612" customFormat="false" ht="15" hidden="false" customHeight="true" outlineLevel="0" collapsed="false">
      <c r="B1612" s="64"/>
      <c r="C1612" s="65" t="s">
        <v>25</v>
      </c>
      <c r="D1612" s="66" t="n">
        <v>1227</v>
      </c>
      <c r="E1612" s="67"/>
      <c r="F1612" s="67"/>
      <c r="G1612" s="68"/>
      <c r="H1612" s="69" t="n">
        <v>1227</v>
      </c>
    </row>
    <row r="1613" customFormat="false" ht="15" hidden="false" customHeight="true" outlineLevel="0" collapsed="false">
      <c r="B1613" s="64"/>
      <c r="C1613" s="65" t="s">
        <v>50</v>
      </c>
      <c r="D1613" s="66" t="n">
        <v>1740</v>
      </c>
      <c r="E1613" s="67"/>
      <c r="F1613" s="67"/>
      <c r="G1613" s="68"/>
      <c r="H1613" s="69" t="n">
        <v>1740</v>
      </c>
    </row>
    <row r="1614" customFormat="false" ht="15" hidden="false" customHeight="true" outlineLevel="0" collapsed="false">
      <c r="B1614" s="64"/>
      <c r="C1614" s="65" t="s">
        <v>22</v>
      </c>
      <c r="D1614" s="66" t="n">
        <v>3828</v>
      </c>
      <c r="E1614" s="71" t="n">
        <v>110</v>
      </c>
      <c r="F1614" s="67"/>
      <c r="G1614" s="68"/>
      <c r="H1614" s="69" t="n">
        <v>3938</v>
      </c>
    </row>
    <row r="1615" customFormat="false" ht="15" hidden="false" customHeight="true" outlineLevel="0" collapsed="false">
      <c r="B1615" s="64"/>
      <c r="C1615" s="65" t="s">
        <v>37</v>
      </c>
      <c r="D1615" s="73"/>
      <c r="E1615" s="67"/>
      <c r="F1615" s="71" t="n">
        <v>7</v>
      </c>
      <c r="G1615" s="68"/>
      <c r="H1615" s="69" t="n">
        <v>7</v>
      </c>
    </row>
    <row r="1616" customFormat="false" ht="15" hidden="false" customHeight="true" outlineLevel="0" collapsed="false">
      <c r="B1616" s="64"/>
      <c r="C1616" s="65" t="s">
        <v>43</v>
      </c>
      <c r="D1616" s="73"/>
      <c r="E1616" s="71" t="n">
        <v>4000</v>
      </c>
      <c r="F1616" s="67"/>
      <c r="G1616" s="68"/>
      <c r="H1616" s="69" t="n">
        <v>4000</v>
      </c>
    </row>
    <row r="1617" customFormat="false" ht="15" hidden="false" customHeight="true" outlineLevel="0" collapsed="false">
      <c r="B1617" s="64"/>
      <c r="C1617" s="65" t="s">
        <v>60</v>
      </c>
      <c r="D1617" s="73"/>
      <c r="E1617" s="71" t="n">
        <v>70</v>
      </c>
      <c r="F1617" s="67"/>
      <c r="G1617" s="68"/>
      <c r="H1617" s="69" t="n">
        <v>70</v>
      </c>
    </row>
    <row r="1618" customFormat="false" ht="15" hidden="false" customHeight="true" outlineLevel="0" collapsed="false">
      <c r="B1618" s="64"/>
      <c r="C1618" s="65" t="s">
        <v>34</v>
      </c>
      <c r="D1618" s="73"/>
      <c r="E1618" s="71" t="n">
        <v>120</v>
      </c>
      <c r="F1618" s="67"/>
      <c r="G1618" s="68"/>
      <c r="H1618" s="69" t="n">
        <v>120</v>
      </c>
    </row>
    <row r="1619" customFormat="false" ht="15" hidden="false" customHeight="true" outlineLevel="0" collapsed="false">
      <c r="B1619" s="84"/>
      <c r="C1619" s="85" t="s">
        <v>29</v>
      </c>
      <c r="D1619" s="86" t="n">
        <v>710</v>
      </c>
      <c r="E1619" s="75"/>
      <c r="F1619" s="75"/>
      <c r="G1619" s="77"/>
      <c r="H1619" s="78" t="n">
        <v>710</v>
      </c>
    </row>
    <row r="1620" customFormat="false" ht="15" hidden="false" customHeight="true" outlineLevel="0" collapsed="false">
      <c r="B1620" s="87" t="s">
        <v>895</v>
      </c>
      <c r="C1620" s="88"/>
      <c r="D1620" s="89" t="n">
        <v>15190</v>
      </c>
      <c r="E1620" s="89" t="n">
        <v>4300</v>
      </c>
      <c r="F1620" s="89" t="n">
        <v>217</v>
      </c>
      <c r="G1620" s="90"/>
      <c r="H1620" s="91" t="n">
        <v>19707</v>
      </c>
    </row>
    <row r="1621" customFormat="false" ht="15" hidden="false" customHeight="true" outlineLevel="0" collapsed="false">
      <c r="B1621" s="56" t="n">
        <v>45834</v>
      </c>
      <c r="C1621" s="57" t="s">
        <v>44</v>
      </c>
      <c r="D1621" s="58"/>
      <c r="E1621" s="60" t="n">
        <v>250</v>
      </c>
      <c r="F1621" s="59"/>
      <c r="G1621" s="61"/>
      <c r="H1621" s="62" t="n">
        <v>250</v>
      </c>
    </row>
    <row r="1622" customFormat="false" ht="15" hidden="false" customHeight="true" outlineLevel="0" collapsed="false">
      <c r="B1622" s="64"/>
      <c r="C1622" s="65" t="s">
        <v>32</v>
      </c>
      <c r="D1622" s="73"/>
      <c r="E1622" s="67"/>
      <c r="F1622" s="71" t="n">
        <v>140</v>
      </c>
      <c r="G1622" s="68"/>
      <c r="H1622" s="69" t="n">
        <v>140</v>
      </c>
    </row>
    <row r="1623" customFormat="false" ht="15" hidden="false" customHeight="true" outlineLevel="0" collapsed="false">
      <c r="B1623" s="64"/>
      <c r="C1623" s="65" t="s">
        <v>19</v>
      </c>
      <c r="D1623" s="66" t="n">
        <v>2814</v>
      </c>
      <c r="E1623" s="67"/>
      <c r="F1623" s="67"/>
      <c r="G1623" s="68"/>
      <c r="H1623" s="69" t="n">
        <v>2814</v>
      </c>
    </row>
    <row r="1624" customFormat="false" ht="15" hidden="false" customHeight="true" outlineLevel="0" collapsed="false">
      <c r="B1624" s="64"/>
      <c r="C1624" s="65" t="s">
        <v>25</v>
      </c>
      <c r="D1624" s="66" t="n">
        <v>1119</v>
      </c>
      <c r="E1624" s="67"/>
      <c r="F1624" s="67"/>
      <c r="G1624" s="68"/>
      <c r="H1624" s="69" t="n">
        <v>1119</v>
      </c>
    </row>
    <row r="1625" customFormat="false" ht="15" hidden="false" customHeight="true" outlineLevel="0" collapsed="false">
      <c r="B1625" s="64"/>
      <c r="C1625" s="65" t="s">
        <v>28</v>
      </c>
      <c r="D1625" s="73"/>
      <c r="E1625" s="71" t="n">
        <v>1090</v>
      </c>
      <c r="F1625" s="67"/>
      <c r="G1625" s="68"/>
      <c r="H1625" s="69" t="n">
        <v>1090</v>
      </c>
    </row>
    <row r="1626" customFormat="false" ht="15" hidden="false" customHeight="true" outlineLevel="0" collapsed="false">
      <c r="B1626" s="64"/>
      <c r="C1626" s="65" t="s">
        <v>50</v>
      </c>
      <c r="D1626" s="66" t="n">
        <v>1740</v>
      </c>
      <c r="E1626" s="67"/>
      <c r="F1626" s="67"/>
      <c r="G1626" s="68"/>
      <c r="H1626" s="69" t="n">
        <v>1740</v>
      </c>
    </row>
    <row r="1627" customFormat="false" ht="15" hidden="false" customHeight="true" outlineLevel="0" collapsed="false">
      <c r="B1627" s="64"/>
      <c r="C1627" s="65" t="s">
        <v>22</v>
      </c>
      <c r="D1627" s="66" t="n">
        <v>2505</v>
      </c>
      <c r="E1627" s="67"/>
      <c r="F1627" s="67"/>
      <c r="G1627" s="68"/>
      <c r="H1627" s="69" t="n">
        <v>2505</v>
      </c>
    </row>
    <row r="1628" customFormat="false" ht="15" hidden="false" customHeight="true" outlineLevel="0" collapsed="false">
      <c r="B1628" s="64"/>
      <c r="C1628" s="65" t="s">
        <v>37</v>
      </c>
      <c r="D1628" s="73"/>
      <c r="E1628" s="67"/>
      <c r="F1628" s="71" t="n">
        <v>15</v>
      </c>
      <c r="G1628" s="68"/>
      <c r="H1628" s="69" t="n">
        <v>15</v>
      </c>
    </row>
    <row r="1629" customFormat="false" ht="15" hidden="false" customHeight="true" outlineLevel="0" collapsed="false">
      <c r="B1629" s="64"/>
      <c r="C1629" s="65" t="s">
        <v>43</v>
      </c>
      <c r="D1629" s="73"/>
      <c r="E1629" s="71" t="n">
        <v>1190</v>
      </c>
      <c r="F1629" s="67"/>
      <c r="G1629" s="68"/>
      <c r="H1629" s="69" t="n">
        <v>1190</v>
      </c>
    </row>
    <row r="1630" customFormat="false" ht="15" hidden="false" customHeight="true" outlineLevel="0" collapsed="false">
      <c r="B1630" s="64"/>
      <c r="C1630" s="65" t="s">
        <v>31</v>
      </c>
      <c r="D1630" s="73"/>
      <c r="E1630" s="71" t="n">
        <v>200</v>
      </c>
      <c r="F1630" s="67"/>
      <c r="G1630" s="68"/>
      <c r="H1630" s="69" t="n">
        <v>200</v>
      </c>
    </row>
    <row r="1631" customFormat="false" ht="15" hidden="false" customHeight="true" outlineLevel="0" collapsed="false">
      <c r="B1631" s="64"/>
      <c r="C1631" s="65" t="s">
        <v>56</v>
      </c>
      <c r="D1631" s="66" t="n">
        <v>5749</v>
      </c>
      <c r="E1631" s="71" t="n">
        <v>2500</v>
      </c>
      <c r="F1631" s="67"/>
      <c r="G1631" s="68"/>
      <c r="H1631" s="69" t="n">
        <v>8249</v>
      </c>
    </row>
    <row r="1632" customFormat="false" ht="15" hidden="false" customHeight="true" outlineLevel="0" collapsed="false">
      <c r="B1632" s="64"/>
      <c r="C1632" s="65" t="s">
        <v>34</v>
      </c>
      <c r="D1632" s="73"/>
      <c r="E1632" s="71" t="n">
        <v>170</v>
      </c>
      <c r="F1632" s="67"/>
      <c r="G1632" s="68"/>
      <c r="H1632" s="69" t="n">
        <v>170</v>
      </c>
    </row>
    <row r="1633" customFormat="false" ht="15" hidden="false" customHeight="true" outlineLevel="0" collapsed="false">
      <c r="B1633" s="84"/>
      <c r="C1633" s="85" t="s">
        <v>29</v>
      </c>
      <c r="D1633" s="86" t="n">
        <v>371</v>
      </c>
      <c r="E1633" s="75"/>
      <c r="F1633" s="75"/>
      <c r="G1633" s="77"/>
      <c r="H1633" s="78" t="n">
        <v>371</v>
      </c>
    </row>
    <row r="1634" customFormat="false" ht="15" hidden="false" customHeight="true" outlineLevel="0" collapsed="false">
      <c r="B1634" s="87" t="s">
        <v>896</v>
      </c>
      <c r="C1634" s="88"/>
      <c r="D1634" s="89" t="n">
        <v>14298</v>
      </c>
      <c r="E1634" s="89" t="n">
        <v>5400</v>
      </c>
      <c r="F1634" s="89" t="n">
        <v>155</v>
      </c>
      <c r="G1634" s="90"/>
      <c r="H1634" s="91" t="n">
        <v>19853</v>
      </c>
    </row>
    <row r="1635" customFormat="false" ht="15" hidden="false" customHeight="true" outlineLevel="0" collapsed="false">
      <c r="B1635" s="56" t="n">
        <v>45835</v>
      </c>
      <c r="C1635" s="57" t="s">
        <v>44</v>
      </c>
      <c r="D1635" s="58"/>
      <c r="E1635" s="60" t="n">
        <v>100</v>
      </c>
      <c r="F1635" s="59"/>
      <c r="G1635" s="61"/>
      <c r="H1635" s="62" t="n">
        <v>100</v>
      </c>
    </row>
    <row r="1636" customFormat="false" ht="15" hidden="false" customHeight="true" outlineLevel="0" collapsed="false">
      <c r="B1636" s="64"/>
      <c r="C1636" s="65" t="s">
        <v>32</v>
      </c>
      <c r="D1636" s="73"/>
      <c r="E1636" s="67"/>
      <c r="F1636" s="71" t="n">
        <v>210</v>
      </c>
      <c r="G1636" s="68"/>
      <c r="H1636" s="69" t="n">
        <v>210</v>
      </c>
    </row>
    <row r="1637" customFormat="false" ht="15" hidden="false" customHeight="true" outlineLevel="0" collapsed="false">
      <c r="B1637" s="64"/>
      <c r="C1637" s="65" t="s">
        <v>53</v>
      </c>
      <c r="D1637" s="73"/>
      <c r="E1637" s="71" t="n">
        <v>2400</v>
      </c>
      <c r="F1637" s="67"/>
      <c r="G1637" s="68"/>
      <c r="H1637" s="69" t="n">
        <v>2400</v>
      </c>
    </row>
    <row r="1638" customFormat="false" ht="15" hidden="false" customHeight="true" outlineLevel="0" collapsed="false">
      <c r="B1638" s="64"/>
      <c r="C1638" s="65" t="s">
        <v>47</v>
      </c>
      <c r="D1638" s="66" t="n">
        <v>1680</v>
      </c>
      <c r="E1638" s="67"/>
      <c r="F1638" s="67"/>
      <c r="G1638" s="68"/>
      <c r="H1638" s="69" t="n">
        <v>1680</v>
      </c>
    </row>
    <row r="1639" customFormat="false" ht="15" hidden="false" customHeight="true" outlineLevel="0" collapsed="false">
      <c r="B1639" s="64"/>
      <c r="C1639" s="65" t="s">
        <v>19</v>
      </c>
      <c r="D1639" s="66" t="n">
        <v>4680</v>
      </c>
      <c r="E1639" s="67"/>
      <c r="F1639" s="67"/>
      <c r="G1639" s="68"/>
      <c r="H1639" s="69" t="n">
        <v>4680</v>
      </c>
    </row>
    <row r="1640" customFormat="false" ht="15" hidden="false" customHeight="true" outlineLevel="0" collapsed="false">
      <c r="B1640" s="64"/>
      <c r="C1640" s="65" t="s">
        <v>25</v>
      </c>
      <c r="D1640" s="66" t="n">
        <v>755</v>
      </c>
      <c r="E1640" s="71" t="n">
        <v>350</v>
      </c>
      <c r="F1640" s="67"/>
      <c r="G1640" s="68"/>
      <c r="H1640" s="69" t="n">
        <v>1105</v>
      </c>
    </row>
    <row r="1641" customFormat="false" ht="15" hidden="false" customHeight="true" outlineLevel="0" collapsed="false">
      <c r="B1641" s="64"/>
      <c r="C1641" s="65" t="s">
        <v>51</v>
      </c>
      <c r="D1641" s="66" t="n">
        <v>3435</v>
      </c>
      <c r="E1641" s="67"/>
      <c r="F1641" s="67"/>
      <c r="G1641" s="68"/>
      <c r="H1641" s="69" t="n">
        <v>3435</v>
      </c>
    </row>
    <row r="1642" customFormat="false" ht="15" hidden="false" customHeight="true" outlineLevel="0" collapsed="false">
      <c r="B1642" s="64"/>
      <c r="C1642" s="65" t="s">
        <v>50</v>
      </c>
      <c r="D1642" s="66" t="n">
        <v>1740</v>
      </c>
      <c r="E1642" s="67"/>
      <c r="F1642" s="67"/>
      <c r="G1642" s="68"/>
      <c r="H1642" s="69" t="n">
        <v>1740</v>
      </c>
    </row>
    <row r="1643" customFormat="false" ht="15" hidden="false" customHeight="true" outlineLevel="0" collapsed="false">
      <c r="B1643" s="64"/>
      <c r="C1643" s="65" t="s">
        <v>22</v>
      </c>
      <c r="D1643" s="66" t="n">
        <v>1006</v>
      </c>
      <c r="E1643" s="67"/>
      <c r="F1643" s="67"/>
      <c r="G1643" s="68"/>
      <c r="H1643" s="69" t="n">
        <v>1006</v>
      </c>
    </row>
    <row r="1644" customFormat="false" ht="15" hidden="false" customHeight="true" outlineLevel="0" collapsed="false">
      <c r="B1644" s="64"/>
      <c r="C1644" s="65" t="s">
        <v>43</v>
      </c>
      <c r="D1644" s="73"/>
      <c r="E1644" s="71" t="n">
        <v>510</v>
      </c>
      <c r="F1644" s="67"/>
      <c r="G1644" s="68"/>
      <c r="H1644" s="69" t="n">
        <v>510</v>
      </c>
    </row>
    <row r="1645" customFormat="false" ht="15" hidden="false" customHeight="true" outlineLevel="0" collapsed="false">
      <c r="B1645" s="64"/>
      <c r="C1645" s="65" t="s">
        <v>31</v>
      </c>
      <c r="D1645" s="73"/>
      <c r="E1645" s="71" t="n">
        <v>1020</v>
      </c>
      <c r="F1645" s="67"/>
      <c r="G1645" s="68"/>
      <c r="H1645" s="69" t="n">
        <v>1020</v>
      </c>
    </row>
    <row r="1646" customFormat="false" ht="15" hidden="false" customHeight="true" outlineLevel="0" collapsed="false">
      <c r="B1646" s="64"/>
      <c r="C1646" s="65" t="s">
        <v>34</v>
      </c>
      <c r="D1646" s="73"/>
      <c r="E1646" s="71" t="n">
        <v>155</v>
      </c>
      <c r="F1646" s="67"/>
      <c r="G1646" s="68"/>
      <c r="H1646" s="69" t="n">
        <v>155</v>
      </c>
    </row>
    <row r="1647" customFormat="false" ht="15" hidden="false" customHeight="true" outlineLevel="0" collapsed="false">
      <c r="B1647" s="84"/>
      <c r="C1647" s="85" t="s">
        <v>29</v>
      </c>
      <c r="D1647" s="86" t="n">
        <v>362</v>
      </c>
      <c r="E1647" s="76" t="n">
        <v>640</v>
      </c>
      <c r="F1647" s="75"/>
      <c r="G1647" s="77"/>
      <c r="H1647" s="78" t="n">
        <v>1002</v>
      </c>
    </row>
    <row r="1648" customFormat="false" ht="15" hidden="false" customHeight="true" outlineLevel="0" collapsed="false">
      <c r="B1648" s="87" t="s">
        <v>897</v>
      </c>
      <c r="C1648" s="88"/>
      <c r="D1648" s="89" t="n">
        <v>13658</v>
      </c>
      <c r="E1648" s="89" t="n">
        <v>5175</v>
      </c>
      <c r="F1648" s="89" t="n">
        <v>210</v>
      </c>
      <c r="G1648" s="90"/>
      <c r="H1648" s="91" t="n">
        <v>19043</v>
      </c>
    </row>
    <row r="1649" customFormat="false" ht="15" hidden="false" customHeight="true" outlineLevel="0" collapsed="false">
      <c r="B1649" s="56" t="n">
        <v>45836</v>
      </c>
      <c r="C1649" s="57" t="s">
        <v>32</v>
      </c>
      <c r="D1649" s="58"/>
      <c r="E1649" s="59"/>
      <c r="F1649" s="60" t="n">
        <v>210</v>
      </c>
      <c r="G1649" s="61"/>
      <c r="H1649" s="62" t="n">
        <v>210</v>
      </c>
    </row>
    <row r="1650" customFormat="false" ht="15" hidden="false" customHeight="true" outlineLevel="0" collapsed="false">
      <c r="B1650" s="64"/>
      <c r="C1650" s="65" t="s">
        <v>19</v>
      </c>
      <c r="D1650" s="66" t="n">
        <v>3995</v>
      </c>
      <c r="E1650" s="67"/>
      <c r="F1650" s="67"/>
      <c r="G1650" s="68"/>
      <c r="H1650" s="69" t="n">
        <v>3995</v>
      </c>
    </row>
    <row r="1651" customFormat="false" ht="15" hidden="false" customHeight="true" outlineLevel="0" collapsed="false">
      <c r="B1651" s="64"/>
      <c r="C1651" s="65" t="s">
        <v>25</v>
      </c>
      <c r="D1651" s="66" t="n">
        <v>702</v>
      </c>
      <c r="E1651" s="67"/>
      <c r="F1651" s="67"/>
      <c r="G1651" s="68"/>
      <c r="H1651" s="69" t="n">
        <v>702</v>
      </c>
    </row>
    <row r="1652" customFormat="false" ht="15" hidden="false" customHeight="true" outlineLevel="0" collapsed="false">
      <c r="B1652" s="64"/>
      <c r="C1652" s="65" t="s">
        <v>50</v>
      </c>
      <c r="D1652" s="66" t="n">
        <v>1740</v>
      </c>
      <c r="E1652" s="67"/>
      <c r="F1652" s="67"/>
      <c r="G1652" s="68"/>
      <c r="H1652" s="69" t="n">
        <v>1740</v>
      </c>
    </row>
    <row r="1653" customFormat="false" ht="15" hidden="false" customHeight="true" outlineLevel="0" collapsed="false">
      <c r="B1653" s="64"/>
      <c r="C1653" s="65" t="s">
        <v>22</v>
      </c>
      <c r="D1653" s="66" t="n">
        <v>2455</v>
      </c>
      <c r="E1653" s="67"/>
      <c r="F1653" s="67"/>
      <c r="G1653" s="68"/>
      <c r="H1653" s="69" t="n">
        <v>2455</v>
      </c>
    </row>
    <row r="1654" customFormat="false" ht="15" hidden="false" customHeight="true" outlineLevel="0" collapsed="false">
      <c r="B1654" s="64"/>
      <c r="C1654" s="65" t="s">
        <v>199</v>
      </c>
      <c r="D1654" s="73"/>
      <c r="E1654" s="67"/>
      <c r="F1654" s="71" t="n">
        <v>1380</v>
      </c>
      <c r="G1654" s="68"/>
      <c r="H1654" s="69" t="n">
        <v>1380</v>
      </c>
    </row>
    <row r="1655" customFormat="false" ht="15" hidden="false" customHeight="true" outlineLevel="0" collapsed="false">
      <c r="B1655" s="64"/>
      <c r="C1655" s="65" t="s">
        <v>37</v>
      </c>
      <c r="D1655" s="73"/>
      <c r="E1655" s="67"/>
      <c r="F1655" s="71" t="n">
        <v>35</v>
      </c>
      <c r="G1655" s="68"/>
      <c r="H1655" s="69" t="n">
        <v>35</v>
      </c>
    </row>
    <row r="1656" customFormat="false" ht="15" hidden="false" customHeight="true" outlineLevel="0" collapsed="false">
      <c r="B1656" s="64"/>
      <c r="C1656" s="65" t="s">
        <v>43</v>
      </c>
      <c r="D1656" s="73"/>
      <c r="E1656" s="71" t="n">
        <v>1000</v>
      </c>
      <c r="F1656" s="67"/>
      <c r="G1656" s="68"/>
      <c r="H1656" s="69" t="n">
        <v>1000</v>
      </c>
    </row>
    <row r="1657" customFormat="false" ht="15" hidden="false" customHeight="true" outlineLevel="0" collapsed="false">
      <c r="B1657" s="64"/>
      <c r="C1657" s="65" t="s">
        <v>34</v>
      </c>
      <c r="D1657" s="73"/>
      <c r="E1657" s="71" t="n">
        <v>150</v>
      </c>
      <c r="F1657" s="67"/>
      <c r="G1657" s="68"/>
      <c r="H1657" s="69" t="n">
        <v>150</v>
      </c>
    </row>
    <row r="1658" customFormat="false" ht="15" hidden="false" customHeight="true" outlineLevel="0" collapsed="false">
      <c r="B1658" s="84"/>
      <c r="C1658" s="85" t="s">
        <v>29</v>
      </c>
      <c r="D1658" s="86" t="n">
        <v>369</v>
      </c>
      <c r="E1658" s="75"/>
      <c r="F1658" s="75"/>
      <c r="G1658" s="77"/>
      <c r="H1658" s="78" t="n">
        <v>369</v>
      </c>
    </row>
    <row r="1659" customFormat="false" ht="15" hidden="false" customHeight="true" outlineLevel="0" collapsed="false">
      <c r="B1659" s="87" t="s">
        <v>898</v>
      </c>
      <c r="C1659" s="88"/>
      <c r="D1659" s="89" t="n">
        <v>9261</v>
      </c>
      <c r="E1659" s="89" t="n">
        <v>1150</v>
      </c>
      <c r="F1659" s="89" t="n">
        <v>1625</v>
      </c>
      <c r="G1659" s="90"/>
      <c r="H1659" s="91" t="n">
        <v>12036</v>
      </c>
    </row>
    <row r="1660" customFormat="false" ht="15" hidden="false" customHeight="true" outlineLevel="0" collapsed="false">
      <c r="B1660" s="56" t="n">
        <v>45837</v>
      </c>
      <c r="C1660" s="57" t="s">
        <v>32</v>
      </c>
      <c r="D1660" s="58"/>
      <c r="E1660" s="59"/>
      <c r="F1660" s="60" t="n">
        <v>280</v>
      </c>
      <c r="G1660" s="61"/>
      <c r="H1660" s="62" t="n">
        <v>280</v>
      </c>
    </row>
    <row r="1661" customFormat="false" ht="15" hidden="false" customHeight="true" outlineLevel="0" collapsed="false">
      <c r="B1661" s="64"/>
      <c r="C1661" s="65" t="s">
        <v>19</v>
      </c>
      <c r="D1661" s="66" t="n">
        <v>5455</v>
      </c>
      <c r="E1661" s="67"/>
      <c r="F1661" s="67"/>
      <c r="G1661" s="68"/>
      <c r="H1661" s="69" t="n">
        <v>5455</v>
      </c>
    </row>
    <row r="1662" customFormat="false" ht="15" hidden="false" customHeight="true" outlineLevel="0" collapsed="false">
      <c r="B1662" s="64"/>
      <c r="C1662" s="65" t="s">
        <v>25</v>
      </c>
      <c r="D1662" s="66" t="n">
        <v>1509</v>
      </c>
      <c r="E1662" s="67"/>
      <c r="F1662" s="67"/>
      <c r="G1662" s="68"/>
      <c r="H1662" s="69" t="n">
        <v>1509</v>
      </c>
    </row>
    <row r="1663" customFormat="false" ht="15" hidden="false" customHeight="true" outlineLevel="0" collapsed="false">
      <c r="B1663" s="64"/>
      <c r="C1663" s="65" t="s">
        <v>50</v>
      </c>
      <c r="D1663" s="66" t="n">
        <v>1740</v>
      </c>
      <c r="E1663" s="67"/>
      <c r="F1663" s="67"/>
      <c r="G1663" s="68"/>
      <c r="H1663" s="69" t="n">
        <v>1740</v>
      </c>
    </row>
    <row r="1664" customFormat="false" ht="15" hidden="false" customHeight="true" outlineLevel="0" collapsed="false">
      <c r="B1664" s="64"/>
      <c r="C1664" s="65" t="s">
        <v>22</v>
      </c>
      <c r="D1664" s="66" t="n">
        <v>455</v>
      </c>
      <c r="E1664" s="67"/>
      <c r="F1664" s="71" t="n">
        <v>110</v>
      </c>
      <c r="G1664" s="68"/>
      <c r="H1664" s="69" t="n">
        <v>565</v>
      </c>
    </row>
    <row r="1665" customFormat="false" ht="15" hidden="false" customHeight="true" outlineLevel="0" collapsed="false">
      <c r="B1665" s="64"/>
      <c r="C1665" s="65" t="s">
        <v>60</v>
      </c>
      <c r="D1665" s="73"/>
      <c r="E1665" s="71" t="n">
        <v>210</v>
      </c>
      <c r="F1665" s="67"/>
      <c r="G1665" s="68"/>
      <c r="H1665" s="69" t="n">
        <v>210</v>
      </c>
    </row>
    <row r="1666" customFormat="false" ht="15" hidden="false" customHeight="true" outlineLevel="0" collapsed="false">
      <c r="B1666" s="64"/>
      <c r="C1666" s="65" t="s">
        <v>31</v>
      </c>
      <c r="D1666" s="73"/>
      <c r="E1666" s="71" t="n">
        <v>400</v>
      </c>
      <c r="F1666" s="67"/>
      <c r="G1666" s="68"/>
      <c r="H1666" s="69" t="n">
        <v>400</v>
      </c>
    </row>
    <row r="1667" customFormat="false" ht="15" hidden="false" customHeight="true" outlineLevel="0" collapsed="false">
      <c r="B1667" s="64"/>
      <c r="C1667" s="65" t="s">
        <v>34</v>
      </c>
      <c r="D1667" s="73"/>
      <c r="E1667" s="71" t="n">
        <v>150</v>
      </c>
      <c r="F1667" s="67"/>
      <c r="G1667" s="68"/>
      <c r="H1667" s="69" t="n">
        <v>150</v>
      </c>
    </row>
    <row r="1668" customFormat="false" ht="15" hidden="false" customHeight="true" outlineLevel="0" collapsed="false">
      <c r="B1668" s="84"/>
      <c r="C1668" s="85" t="s">
        <v>29</v>
      </c>
      <c r="D1668" s="86" t="n">
        <v>587</v>
      </c>
      <c r="E1668" s="76" t="n">
        <v>620</v>
      </c>
      <c r="F1668" s="75"/>
      <c r="G1668" s="77"/>
      <c r="H1668" s="78" t="n">
        <v>1207</v>
      </c>
    </row>
    <row r="1669" customFormat="false" ht="15" hidden="false" customHeight="true" outlineLevel="0" collapsed="false">
      <c r="B1669" s="87" t="s">
        <v>899</v>
      </c>
      <c r="C1669" s="88"/>
      <c r="D1669" s="89" t="n">
        <v>9746</v>
      </c>
      <c r="E1669" s="89" t="n">
        <v>1380</v>
      </c>
      <c r="F1669" s="89" t="n">
        <v>390</v>
      </c>
      <c r="G1669" s="90"/>
      <c r="H1669" s="91" t="n">
        <v>11516</v>
      </c>
    </row>
    <row r="1670" customFormat="false" ht="15" hidden="false" customHeight="true" outlineLevel="0" collapsed="false">
      <c r="B1670" s="56" t="n">
        <v>45838</v>
      </c>
      <c r="C1670" s="57" t="s">
        <v>44</v>
      </c>
      <c r="D1670" s="92" t="n">
        <v>5000</v>
      </c>
      <c r="E1670" s="59"/>
      <c r="F1670" s="59"/>
      <c r="G1670" s="61"/>
      <c r="H1670" s="62" t="n">
        <v>5000</v>
      </c>
    </row>
    <row r="1671" customFormat="false" ht="15" hidden="false" customHeight="true" outlineLevel="0" collapsed="false">
      <c r="B1671" s="64"/>
      <c r="C1671" s="65" t="s">
        <v>32</v>
      </c>
      <c r="D1671" s="73"/>
      <c r="E1671" s="67"/>
      <c r="F1671" s="71" t="n">
        <v>140</v>
      </c>
      <c r="G1671" s="68"/>
      <c r="H1671" s="69" t="n">
        <v>140</v>
      </c>
    </row>
    <row r="1672" customFormat="false" ht="15" hidden="false" customHeight="true" outlineLevel="0" collapsed="false">
      <c r="B1672" s="64"/>
      <c r="C1672" s="65" t="s">
        <v>47</v>
      </c>
      <c r="D1672" s="66" t="n">
        <v>840</v>
      </c>
      <c r="E1672" s="67"/>
      <c r="F1672" s="67"/>
      <c r="G1672" s="68"/>
      <c r="H1672" s="69" t="n">
        <v>840</v>
      </c>
    </row>
    <row r="1673" customFormat="false" ht="15" hidden="false" customHeight="true" outlineLevel="0" collapsed="false">
      <c r="B1673" s="64"/>
      <c r="C1673" s="65" t="s">
        <v>19</v>
      </c>
      <c r="D1673" s="66" t="n">
        <v>3929</v>
      </c>
      <c r="E1673" s="67"/>
      <c r="F1673" s="67"/>
      <c r="G1673" s="68"/>
      <c r="H1673" s="69" t="n">
        <v>3929</v>
      </c>
    </row>
    <row r="1674" customFormat="false" ht="15" hidden="false" customHeight="true" outlineLevel="0" collapsed="false">
      <c r="B1674" s="64"/>
      <c r="C1674" s="65" t="s">
        <v>25</v>
      </c>
      <c r="D1674" s="66" t="n">
        <v>1719</v>
      </c>
      <c r="E1674" s="67"/>
      <c r="F1674" s="67"/>
      <c r="G1674" s="68"/>
      <c r="H1674" s="69" t="n">
        <v>1719</v>
      </c>
    </row>
    <row r="1675" customFormat="false" ht="15" hidden="false" customHeight="true" outlineLevel="0" collapsed="false">
      <c r="B1675" s="64"/>
      <c r="C1675" s="65" t="s">
        <v>28</v>
      </c>
      <c r="D1675" s="73"/>
      <c r="E1675" s="71" t="n">
        <v>940</v>
      </c>
      <c r="F1675" s="67"/>
      <c r="G1675" s="68"/>
      <c r="H1675" s="69" t="n">
        <v>940</v>
      </c>
    </row>
    <row r="1676" customFormat="false" ht="15" hidden="false" customHeight="true" outlineLevel="0" collapsed="false">
      <c r="B1676" s="64"/>
      <c r="C1676" s="65" t="s">
        <v>50</v>
      </c>
      <c r="D1676" s="66" t="n">
        <v>1740</v>
      </c>
      <c r="E1676" s="67"/>
      <c r="F1676" s="67"/>
      <c r="G1676" s="68"/>
      <c r="H1676" s="69" t="n">
        <v>1740</v>
      </c>
    </row>
    <row r="1677" customFormat="false" ht="15" hidden="false" customHeight="true" outlineLevel="0" collapsed="false">
      <c r="B1677" s="64"/>
      <c r="C1677" s="65" t="s">
        <v>22</v>
      </c>
      <c r="D1677" s="66" t="n">
        <v>551</v>
      </c>
      <c r="E1677" s="67"/>
      <c r="F1677" s="67"/>
      <c r="G1677" s="68"/>
      <c r="H1677" s="69" t="n">
        <v>551</v>
      </c>
    </row>
    <row r="1678" customFormat="false" ht="15" hidden="false" customHeight="true" outlineLevel="0" collapsed="false">
      <c r="B1678" s="64"/>
      <c r="C1678" s="65" t="s">
        <v>34</v>
      </c>
      <c r="D1678" s="73"/>
      <c r="E1678" s="67"/>
      <c r="F1678" s="71" t="n">
        <v>110</v>
      </c>
      <c r="G1678" s="68"/>
      <c r="H1678" s="69" t="n">
        <v>110</v>
      </c>
    </row>
    <row r="1679" customFormat="false" ht="15" hidden="false" customHeight="true" outlineLevel="0" collapsed="false">
      <c r="B1679" s="84"/>
      <c r="C1679" s="85" t="s">
        <v>29</v>
      </c>
      <c r="D1679" s="86" t="n">
        <v>302</v>
      </c>
      <c r="E1679" s="75"/>
      <c r="F1679" s="75"/>
      <c r="G1679" s="77"/>
      <c r="H1679" s="78" t="n">
        <v>302</v>
      </c>
    </row>
    <row r="1680" customFormat="false" ht="15" hidden="false" customHeight="true" outlineLevel="0" collapsed="false">
      <c r="B1680" s="87" t="s">
        <v>900</v>
      </c>
      <c r="C1680" s="88"/>
      <c r="D1680" s="89" t="n">
        <v>14081</v>
      </c>
      <c r="E1680" s="89" t="n">
        <v>940</v>
      </c>
      <c r="F1680" s="89" t="n">
        <v>250</v>
      </c>
      <c r="G1680" s="90"/>
      <c r="H1680" s="91" t="n">
        <v>15271</v>
      </c>
    </row>
    <row r="1681" customFormat="false" ht="15" hidden="false" customHeight="true" outlineLevel="0" collapsed="false">
      <c r="B1681" s="56" t="n">
        <v>45839</v>
      </c>
      <c r="C1681" s="57" t="s">
        <v>44</v>
      </c>
      <c r="D1681" s="58"/>
      <c r="E1681" s="60" t="n">
        <v>100</v>
      </c>
      <c r="F1681" s="60" t="n">
        <v>500</v>
      </c>
      <c r="G1681" s="61"/>
      <c r="H1681" s="62" t="n">
        <v>600</v>
      </c>
    </row>
    <row r="1682" customFormat="false" ht="15" hidden="false" customHeight="true" outlineLevel="0" collapsed="false">
      <c r="B1682" s="64"/>
      <c r="C1682" s="65" t="s">
        <v>19</v>
      </c>
      <c r="D1682" s="66" t="n">
        <v>788</v>
      </c>
      <c r="E1682" s="67"/>
      <c r="F1682" s="67"/>
      <c r="G1682" s="68"/>
      <c r="H1682" s="69" t="n">
        <v>788</v>
      </c>
    </row>
    <row r="1683" customFormat="false" ht="15" hidden="false" customHeight="true" outlineLevel="0" collapsed="false">
      <c r="B1683" s="64"/>
      <c r="C1683" s="65" t="s">
        <v>25</v>
      </c>
      <c r="D1683" s="66" t="n">
        <v>286</v>
      </c>
      <c r="E1683" s="67"/>
      <c r="F1683" s="67"/>
      <c r="G1683" s="68"/>
      <c r="H1683" s="69" t="n">
        <v>286</v>
      </c>
    </row>
    <row r="1684" customFormat="false" ht="15" hidden="false" customHeight="true" outlineLevel="0" collapsed="false">
      <c r="B1684" s="64"/>
      <c r="C1684" s="65" t="s">
        <v>50</v>
      </c>
      <c r="D1684" s="66" t="n">
        <v>1678</v>
      </c>
      <c r="E1684" s="67"/>
      <c r="F1684" s="67"/>
      <c r="G1684" s="68"/>
      <c r="H1684" s="69" t="n">
        <v>1678</v>
      </c>
    </row>
    <row r="1685" customFormat="false" ht="15" hidden="false" customHeight="true" outlineLevel="0" collapsed="false">
      <c r="B1685" s="64"/>
      <c r="C1685" s="65" t="s">
        <v>199</v>
      </c>
      <c r="D1685" s="73"/>
      <c r="E1685" s="71" t="n">
        <v>3800</v>
      </c>
      <c r="F1685" s="67"/>
      <c r="G1685" s="68"/>
      <c r="H1685" s="69" t="n">
        <v>3800</v>
      </c>
    </row>
    <row r="1686" customFormat="false" ht="15" hidden="false" customHeight="true" outlineLevel="0" collapsed="false">
      <c r="B1686" s="64"/>
      <c r="C1686" s="65" t="s">
        <v>37</v>
      </c>
      <c r="D1686" s="73"/>
      <c r="E1686" s="67"/>
      <c r="F1686" s="71" t="n">
        <v>20</v>
      </c>
      <c r="G1686" s="68"/>
      <c r="H1686" s="69" t="n">
        <v>20</v>
      </c>
    </row>
    <row r="1687" customFormat="false" ht="15" hidden="false" customHeight="true" outlineLevel="0" collapsed="false">
      <c r="B1687" s="64"/>
      <c r="C1687" s="65" t="s">
        <v>43</v>
      </c>
      <c r="D1687" s="73"/>
      <c r="E1687" s="71" t="n">
        <v>1160</v>
      </c>
      <c r="F1687" s="67"/>
      <c r="G1687" s="68"/>
      <c r="H1687" s="69" t="n">
        <v>1160</v>
      </c>
    </row>
    <row r="1688" customFormat="false" ht="15" hidden="false" customHeight="true" outlineLevel="0" collapsed="false">
      <c r="B1688" s="64"/>
      <c r="C1688" s="65" t="s">
        <v>35</v>
      </c>
      <c r="D1688" s="73"/>
      <c r="E1688" s="71" t="n">
        <v>1500</v>
      </c>
      <c r="F1688" s="67"/>
      <c r="G1688" s="68"/>
      <c r="H1688" s="69" t="n">
        <v>1500</v>
      </c>
    </row>
    <row r="1689" customFormat="false" ht="15" hidden="false" customHeight="true" outlineLevel="0" collapsed="false">
      <c r="B1689" s="64"/>
      <c r="C1689" s="65" t="s">
        <v>34</v>
      </c>
      <c r="D1689" s="73"/>
      <c r="E1689" s="71" t="n">
        <v>140</v>
      </c>
      <c r="F1689" s="67"/>
      <c r="G1689" s="68"/>
      <c r="H1689" s="69" t="n">
        <v>140</v>
      </c>
    </row>
    <row r="1690" customFormat="false" ht="15" hidden="false" customHeight="true" outlineLevel="0" collapsed="false">
      <c r="B1690" s="84"/>
      <c r="C1690" s="85" t="s">
        <v>29</v>
      </c>
      <c r="D1690" s="86" t="n">
        <v>245</v>
      </c>
      <c r="E1690" s="75"/>
      <c r="F1690" s="75"/>
      <c r="G1690" s="77"/>
      <c r="H1690" s="78" t="n">
        <v>245</v>
      </c>
    </row>
    <row r="1691" customFormat="false" ht="15" hidden="false" customHeight="true" outlineLevel="0" collapsed="false">
      <c r="B1691" s="87" t="s">
        <v>901</v>
      </c>
      <c r="C1691" s="88"/>
      <c r="D1691" s="89" t="n">
        <v>2997</v>
      </c>
      <c r="E1691" s="89" t="n">
        <v>6700</v>
      </c>
      <c r="F1691" s="89" t="n">
        <v>520</v>
      </c>
      <c r="G1691" s="90"/>
      <c r="H1691" s="91" t="n">
        <v>10217</v>
      </c>
    </row>
    <row r="1692" customFormat="false" ht="15" hidden="false" customHeight="true" outlineLevel="0" collapsed="false">
      <c r="B1692" s="56" t="n">
        <v>45840</v>
      </c>
      <c r="C1692" s="57" t="s">
        <v>32</v>
      </c>
      <c r="D1692" s="58"/>
      <c r="E1692" s="59"/>
      <c r="F1692" s="60" t="n">
        <v>350</v>
      </c>
      <c r="G1692" s="61"/>
      <c r="H1692" s="62" t="n">
        <v>350</v>
      </c>
    </row>
    <row r="1693" customFormat="false" ht="15" hidden="false" customHeight="true" outlineLevel="0" collapsed="false">
      <c r="B1693" s="64"/>
      <c r="C1693" s="65" t="s">
        <v>53</v>
      </c>
      <c r="D1693" s="73"/>
      <c r="E1693" s="71" t="n">
        <v>2535</v>
      </c>
      <c r="F1693" s="67"/>
      <c r="G1693" s="68"/>
      <c r="H1693" s="69" t="n">
        <v>2535</v>
      </c>
    </row>
    <row r="1694" customFormat="false" ht="15" hidden="false" customHeight="true" outlineLevel="0" collapsed="false">
      <c r="B1694" s="64"/>
      <c r="C1694" s="65" t="s">
        <v>47</v>
      </c>
      <c r="D1694" s="66" t="n">
        <v>1680</v>
      </c>
      <c r="E1694" s="67"/>
      <c r="F1694" s="67"/>
      <c r="G1694" s="68"/>
      <c r="H1694" s="69" t="n">
        <v>1680</v>
      </c>
    </row>
    <row r="1695" customFormat="false" ht="15" hidden="false" customHeight="true" outlineLevel="0" collapsed="false">
      <c r="B1695" s="64"/>
      <c r="C1695" s="65" t="s">
        <v>19</v>
      </c>
      <c r="D1695" s="66" t="n">
        <v>5319</v>
      </c>
      <c r="E1695" s="67"/>
      <c r="F1695" s="67"/>
      <c r="G1695" s="68"/>
      <c r="H1695" s="69" t="n">
        <v>5319</v>
      </c>
    </row>
    <row r="1696" customFormat="false" ht="15" hidden="false" customHeight="true" outlineLevel="0" collapsed="false">
      <c r="B1696" s="64"/>
      <c r="C1696" s="65" t="s">
        <v>25</v>
      </c>
      <c r="D1696" s="66" t="n">
        <v>586</v>
      </c>
      <c r="E1696" s="67"/>
      <c r="F1696" s="67"/>
      <c r="G1696" s="68"/>
      <c r="H1696" s="69" t="n">
        <v>586</v>
      </c>
    </row>
    <row r="1697" customFormat="false" ht="15" hidden="false" customHeight="true" outlineLevel="0" collapsed="false">
      <c r="B1697" s="64"/>
      <c r="C1697" s="65" t="s">
        <v>12</v>
      </c>
      <c r="D1697" s="66" t="n">
        <v>19900</v>
      </c>
      <c r="E1697" s="67"/>
      <c r="F1697" s="67"/>
      <c r="G1697" s="68"/>
      <c r="H1697" s="69" t="n">
        <v>19900</v>
      </c>
    </row>
    <row r="1698" customFormat="false" ht="15" hidden="false" customHeight="true" outlineLevel="0" collapsed="false">
      <c r="B1698" s="64"/>
      <c r="C1698" s="65" t="s">
        <v>199</v>
      </c>
      <c r="D1698" s="66" t="n">
        <v>1622</v>
      </c>
      <c r="E1698" s="67"/>
      <c r="F1698" s="67"/>
      <c r="G1698" s="68"/>
      <c r="H1698" s="69" t="n">
        <v>1622</v>
      </c>
    </row>
    <row r="1699" customFormat="false" ht="15" hidden="false" customHeight="true" outlineLevel="0" collapsed="false">
      <c r="B1699" s="64"/>
      <c r="C1699" s="65" t="s">
        <v>40</v>
      </c>
      <c r="D1699" s="66" t="n">
        <v>3360</v>
      </c>
      <c r="E1699" s="67"/>
      <c r="F1699" s="67"/>
      <c r="G1699" s="68"/>
      <c r="H1699" s="69" t="n">
        <v>3360</v>
      </c>
    </row>
    <row r="1700" customFormat="false" ht="15" hidden="false" customHeight="true" outlineLevel="0" collapsed="false">
      <c r="B1700" s="64"/>
      <c r="C1700" s="65" t="s">
        <v>34</v>
      </c>
      <c r="D1700" s="73"/>
      <c r="E1700" s="67"/>
      <c r="F1700" s="71" t="n">
        <v>125</v>
      </c>
      <c r="G1700" s="68"/>
      <c r="H1700" s="69" t="n">
        <v>125</v>
      </c>
    </row>
    <row r="1701" customFormat="false" ht="15" hidden="false" customHeight="true" outlineLevel="0" collapsed="false">
      <c r="B1701" s="84"/>
      <c r="C1701" s="85" t="s">
        <v>29</v>
      </c>
      <c r="D1701" s="86" t="n">
        <v>169</v>
      </c>
      <c r="E1701" s="75"/>
      <c r="F1701" s="75"/>
      <c r="G1701" s="77"/>
      <c r="H1701" s="78" t="n">
        <v>169</v>
      </c>
    </row>
    <row r="1702" customFormat="false" ht="15" hidden="false" customHeight="true" outlineLevel="0" collapsed="false">
      <c r="B1702" s="87" t="s">
        <v>902</v>
      </c>
      <c r="C1702" s="88"/>
      <c r="D1702" s="89" t="n">
        <v>32636</v>
      </c>
      <c r="E1702" s="89" t="n">
        <v>2535</v>
      </c>
      <c r="F1702" s="89" t="n">
        <v>475</v>
      </c>
      <c r="G1702" s="90"/>
      <c r="H1702" s="91" t="n">
        <v>35646</v>
      </c>
    </row>
    <row r="1703" customFormat="false" ht="15" hidden="false" customHeight="true" outlineLevel="0" collapsed="false">
      <c r="B1703" s="56" t="n">
        <v>45841</v>
      </c>
      <c r="C1703" s="57" t="s">
        <v>44</v>
      </c>
      <c r="D1703" s="58"/>
      <c r="E1703" s="60" t="n">
        <v>1240</v>
      </c>
      <c r="F1703" s="60" t="n">
        <v>60</v>
      </c>
      <c r="G1703" s="61"/>
      <c r="H1703" s="62" t="n">
        <v>1300</v>
      </c>
    </row>
    <row r="1704" customFormat="false" ht="15" hidden="false" customHeight="true" outlineLevel="0" collapsed="false">
      <c r="B1704" s="64"/>
      <c r="C1704" s="65" t="s">
        <v>32</v>
      </c>
      <c r="D1704" s="73"/>
      <c r="E1704" s="67"/>
      <c r="F1704" s="71" t="n">
        <v>140</v>
      </c>
      <c r="G1704" s="68"/>
      <c r="H1704" s="69" t="n">
        <v>140</v>
      </c>
    </row>
    <row r="1705" customFormat="false" ht="15" hidden="false" customHeight="true" outlineLevel="0" collapsed="false">
      <c r="B1705" s="64"/>
      <c r="C1705" s="65" t="s">
        <v>19</v>
      </c>
      <c r="D1705" s="66" t="n">
        <v>2386</v>
      </c>
      <c r="E1705" s="67"/>
      <c r="F1705" s="67"/>
      <c r="G1705" s="68"/>
      <c r="H1705" s="69" t="n">
        <v>2386</v>
      </c>
    </row>
    <row r="1706" customFormat="false" ht="15" hidden="false" customHeight="true" outlineLevel="0" collapsed="false">
      <c r="B1706" s="64"/>
      <c r="C1706" s="65" t="s">
        <v>25</v>
      </c>
      <c r="D1706" s="66" t="n">
        <v>958</v>
      </c>
      <c r="E1706" s="71" t="n">
        <v>900</v>
      </c>
      <c r="F1706" s="67"/>
      <c r="G1706" s="68"/>
      <c r="H1706" s="69" t="n">
        <v>1858</v>
      </c>
    </row>
    <row r="1707" customFormat="false" ht="15" hidden="false" customHeight="true" outlineLevel="0" collapsed="false">
      <c r="B1707" s="64"/>
      <c r="C1707" s="65" t="s">
        <v>69</v>
      </c>
      <c r="D1707" s="66" t="n">
        <v>1500</v>
      </c>
      <c r="E1707" s="67"/>
      <c r="F1707" s="67"/>
      <c r="G1707" s="68"/>
      <c r="H1707" s="69" t="n">
        <v>1500</v>
      </c>
    </row>
    <row r="1708" customFormat="false" ht="15" hidden="false" customHeight="true" outlineLevel="0" collapsed="false">
      <c r="B1708" s="64"/>
      <c r="C1708" s="65" t="s">
        <v>50</v>
      </c>
      <c r="D1708" s="66" t="n">
        <v>1678</v>
      </c>
      <c r="E1708" s="67"/>
      <c r="F1708" s="67"/>
      <c r="G1708" s="68"/>
      <c r="H1708" s="69" t="n">
        <v>1678</v>
      </c>
    </row>
    <row r="1709" customFormat="false" ht="15" hidden="false" customHeight="true" outlineLevel="0" collapsed="false">
      <c r="B1709" s="64"/>
      <c r="C1709" s="65" t="s">
        <v>22</v>
      </c>
      <c r="D1709" s="66" t="n">
        <v>4802</v>
      </c>
      <c r="E1709" s="71" t="n">
        <v>700</v>
      </c>
      <c r="F1709" s="71" t="n">
        <v>110</v>
      </c>
      <c r="G1709" s="68"/>
      <c r="H1709" s="69" t="n">
        <v>5612</v>
      </c>
    </row>
    <row r="1710" customFormat="false" ht="15" hidden="false" customHeight="true" outlineLevel="0" collapsed="false">
      <c r="B1710" s="64"/>
      <c r="C1710" s="65" t="s">
        <v>43</v>
      </c>
      <c r="D1710" s="73"/>
      <c r="E1710" s="71" t="n">
        <v>160</v>
      </c>
      <c r="F1710" s="67"/>
      <c r="G1710" s="68"/>
      <c r="H1710" s="69" t="n">
        <v>160</v>
      </c>
    </row>
    <row r="1711" customFormat="false" ht="15" hidden="false" customHeight="true" outlineLevel="0" collapsed="false">
      <c r="B1711" s="64"/>
      <c r="C1711" s="65" t="s">
        <v>56</v>
      </c>
      <c r="D1711" s="66" t="n">
        <v>13250</v>
      </c>
      <c r="E1711" s="67"/>
      <c r="F1711" s="67"/>
      <c r="G1711" s="68"/>
      <c r="H1711" s="69" t="n">
        <v>13250</v>
      </c>
    </row>
    <row r="1712" customFormat="false" ht="15" hidden="false" customHeight="true" outlineLevel="0" collapsed="false">
      <c r="B1712" s="64"/>
      <c r="C1712" s="65" t="s">
        <v>34</v>
      </c>
      <c r="D1712" s="73"/>
      <c r="E1712" s="67"/>
      <c r="F1712" s="71" t="n">
        <v>80</v>
      </c>
      <c r="G1712" s="68"/>
      <c r="H1712" s="69" t="n">
        <v>80</v>
      </c>
    </row>
    <row r="1713" customFormat="false" ht="15" hidden="false" customHeight="true" outlineLevel="0" collapsed="false">
      <c r="B1713" s="84"/>
      <c r="C1713" s="85" t="s">
        <v>29</v>
      </c>
      <c r="D1713" s="86" t="n">
        <v>258</v>
      </c>
      <c r="E1713" s="75"/>
      <c r="F1713" s="75"/>
      <c r="G1713" s="77"/>
      <c r="H1713" s="78" t="n">
        <v>258</v>
      </c>
    </row>
    <row r="1714" customFormat="false" ht="15" hidden="false" customHeight="true" outlineLevel="0" collapsed="false">
      <c r="B1714" s="87" t="s">
        <v>903</v>
      </c>
      <c r="C1714" s="88"/>
      <c r="D1714" s="89" t="n">
        <v>24832</v>
      </c>
      <c r="E1714" s="89" t="n">
        <v>3000</v>
      </c>
      <c r="F1714" s="89" t="n">
        <v>390</v>
      </c>
      <c r="G1714" s="90"/>
      <c r="H1714" s="91" t="n">
        <v>28222</v>
      </c>
    </row>
    <row r="1715" customFormat="false" ht="15" hidden="false" customHeight="true" outlineLevel="0" collapsed="false">
      <c r="B1715" s="56" t="n">
        <v>45842</v>
      </c>
      <c r="C1715" s="57" t="s">
        <v>44</v>
      </c>
      <c r="D1715" s="58"/>
      <c r="E1715" s="60" t="n">
        <v>3500</v>
      </c>
      <c r="F1715" s="60" t="n">
        <v>100</v>
      </c>
      <c r="G1715" s="61"/>
      <c r="H1715" s="62" t="n">
        <v>3600</v>
      </c>
    </row>
    <row r="1716" customFormat="false" ht="15" hidden="false" customHeight="true" outlineLevel="0" collapsed="false">
      <c r="B1716" s="64"/>
      <c r="C1716" s="65" t="s">
        <v>32</v>
      </c>
      <c r="D1716" s="73"/>
      <c r="E1716" s="67"/>
      <c r="F1716" s="71" t="n">
        <v>140</v>
      </c>
      <c r="G1716" s="68"/>
      <c r="H1716" s="69" t="n">
        <v>140</v>
      </c>
    </row>
    <row r="1717" customFormat="false" ht="15" hidden="false" customHeight="true" outlineLevel="0" collapsed="false">
      <c r="B1717" s="64"/>
      <c r="C1717" s="65" t="s">
        <v>47</v>
      </c>
      <c r="D1717" s="66" t="n">
        <v>1800</v>
      </c>
      <c r="E1717" s="67"/>
      <c r="F1717" s="67"/>
      <c r="G1717" s="68"/>
      <c r="H1717" s="69" t="n">
        <v>1800</v>
      </c>
    </row>
    <row r="1718" customFormat="false" ht="15" hidden="false" customHeight="true" outlineLevel="0" collapsed="false">
      <c r="B1718" s="64"/>
      <c r="C1718" s="65" t="s">
        <v>19</v>
      </c>
      <c r="D1718" s="66" t="n">
        <v>4490</v>
      </c>
      <c r="E1718" s="67"/>
      <c r="F1718" s="67"/>
      <c r="G1718" s="68"/>
      <c r="H1718" s="69" t="n">
        <v>4490</v>
      </c>
    </row>
    <row r="1719" customFormat="false" ht="15" hidden="false" customHeight="true" outlineLevel="0" collapsed="false">
      <c r="B1719" s="64"/>
      <c r="C1719" s="65" t="s">
        <v>25</v>
      </c>
      <c r="D1719" s="66" t="n">
        <v>1131</v>
      </c>
      <c r="E1719" s="67"/>
      <c r="F1719" s="67"/>
      <c r="G1719" s="68"/>
      <c r="H1719" s="69" t="n">
        <v>1131</v>
      </c>
    </row>
    <row r="1720" customFormat="false" ht="15" hidden="false" customHeight="true" outlineLevel="0" collapsed="false">
      <c r="B1720" s="64"/>
      <c r="C1720" s="65" t="s">
        <v>50</v>
      </c>
      <c r="D1720" s="66" t="n">
        <v>1678</v>
      </c>
      <c r="E1720" s="67"/>
      <c r="F1720" s="67"/>
      <c r="G1720" s="68"/>
      <c r="H1720" s="69" t="n">
        <v>1678</v>
      </c>
    </row>
    <row r="1721" customFormat="false" ht="15" hidden="false" customHeight="true" outlineLevel="0" collapsed="false">
      <c r="B1721" s="64"/>
      <c r="C1721" s="65" t="s">
        <v>22</v>
      </c>
      <c r="D1721" s="66" t="n">
        <v>1954</v>
      </c>
      <c r="E1721" s="67"/>
      <c r="F1721" s="67"/>
      <c r="G1721" s="68"/>
      <c r="H1721" s="69" t="n">
        <v>1954</v>
      </c>
    </row>
    <row r="1722" customFormat="false" ht="15" hidden="false" customHeight="true" outlineLevel="0" collapsed="false">
      <c r="B1722" s="64"/>
      <c r="C1722" s="65" t="s">
        <v>34</v>
      </c>
      <c r="D1722" s="73"/>
      <c r="E1722" s="67"/>
      <c r="F1722" s="71" t="n">
        <v>115</v>
      </c>
      <c r="G1722" s="68"/>
      <c r="H1722" s="69" t="n">
        <v>115</v>
      </c>
    </row>
    <row r="1723" customFormat="false" ht="15" hidden="false" customHeight="true" outlineLevel="0" collapsed="false">
      <c r="B1723" s="84"/>
      <c r="C1723" s="85" t="s">
        <v>29</v>
      </c>
      <c r="D1723" s="86" t="n">
        <v>474</v>
      </c>
      <c r="E1723" s="75"/>
      <c r="F1723" s="75"/>
      <c r="G1723" s="77"/>
      <c r="H1723" s="78" t="n">
        <v>474</v>
      </c>
    </row>
    <row r="1724" customFormat="false" ht="15" hidden="false" customHeight="true" outlineLevel="0" collapsed="false">
      <c r="B1724" s="87" t="s">
        <v>904</v>
      </c>
      <c r="C1724" s="88"/>
      <c r="D1724" s="89" t="n">
        <v>11527</v>
      </c>
      <c r="E1724" s="89" t="n">
        <v>3500</v>
      </c>
      <c r="F1724" s="89" t="n">
        <v>355</v>
      </c>
      <c r="G1724" s="90"/>
      <c r="H1724" s="91" t="n">
        <v>15382</v>
      </c>
    </row>
    <row r="1725" customFormat="false" ht="15" hidden="false" customHeight="true" outlineLevel="0" collapsed="false">
      <c r="B1725" s="56" t="n">
        <v>45843</v>
      </c>
      <c r="C1725" s="57" t="s">
        <v>32</v>
      </c>
      <c r="D1725" s="58"/>
      <c r="E1725" s="60" t="n">
        <v>140</v>
      </c>
      <c r="F1725" s="59"/>
      <c r="G1725" s="61"/>
      <c r="H1725" s="62" t="n">
        <v>140</v>
      </c>
    </row>
    <row r="1726" customFormat="false" ht="15" hidden="false" customHeight="true" outlineLevel="0" collapsed="false">
      <c r="B1726" s="64"/>
      <c r="C1726" s="65" t="s">
        <v>53</v>
      </c>
      <c r="D1726" s="73"/>
      <c r="E1726" s="71" t="n">
        <v>1980</v>
      </c>
      <c r="F1726" s="67"/>
      <c r="G1726" s="68"/>
      <c r="H1726" s="69" t="n">
        <v>1980</v>
      </c>
    </row>
    <row r="1727" customFormat="false" ht="15" hidden="false" customHeight="true" outlineLevel="0" collapsed="false">
      <c r="B1727" s="64"/>
      <c r="C1727" s="65" t="s">
        <v>19</v>
      </c>
      <c r="D1727" s="66" t="n">
        <v>1130</v>
      </c>
      <c r="E1727" s="67"/>
      <c r="F1727" s="67"/>
      <c r="G1727" s="68"/>
      <c r="H1727" s="69" t="n">
        <v>1130</v>
      </c>
    </row>
    <row r="1728" customFormat="false" ht="15" hidden="false" customHeight="true" outlineLevel="0" collapsed="false">
      <c r="B1728" s="64"/>
      <c r="C1728" s="65" t="s">
        <v>25</v>
      </c>
      <c r="D1728" s="66" t="n">
        <v>1258</v>
      </c>
      <c r="E1728" s="67"/>
      <c r="F1728" s="67"/>
      <c r="G1728" s="68"/>
      <c r="H1728" s="69" t="n">
        <v>1258</v>
      </c>
    </row>
    <row r="1729" customFormat="false" ht="15" hidden="false" customHeight="true" outlineLevel="0" collapsed="false">
      <c r="B1729" s="64"/>
      <c r="C1729" s="65" t="s">
        <v>51</v>
      </c>
      <c r="D1729" s="66" t="n">
        <v>6175</v>
      </c>
      <c r="E1729" s="67"/>
      <c r="F1729" s="67"/>
      <c r="G1729" s="68"/>
      <c r="H1729" s="69" t="n">
        <v>6175</v>
      </c>
    </row>
    <row r="1730" customFormat="false" ht="15" hidden="false" customHeight="true" outlineLevel="0" collapsed="false">
      <c r="B1730" s="64"/>
      <c r="C1730" s="65" t="s">
        <v>28</v>
      </c>
      <c r="D1730" s="73"/>
      <c r="E1730" s="71" t="n">
        <v>400</v>
      </c>
      <c r="F1730" s="67"/>
      <c r="G1730" s="68"/>
      <c r="H1730" s="69" t="n">
        <v>400</v>
      </c>
    </row>
    <row r="1731" customFormat="false" ht="15" hidden="false" customHeight="true" outlineLevel="0" collapsed="false">
      <c r="B1731" s="64"/>
      <c r="C1731" s="65" t="s">
        <v>31</v>
      </c>
      <c r="D1731" s="73"/>
      <c r="E1731" s="71" t="n">
        <v>410</v>
      </c>
      <c r="F1731" s="67"/>
      <c r="G1731" s="68"/>
      <c r="H1731" s="69" t="n">
        <v>410</v>
      </c>
    </row>
    <row r="1732" customFormat="false" ht="15" hidden="false" customHeight="true" outlineLevel="0" collapsed="false">
      <c r="B1732" s="64"/>
      <c r="C1732" s="65" t="s">
        <v>35</v>
      </c>
      <c r="D1732" s="73"/>
      <c r="E1732" s="71" t="n">
        <v>100</v>
      </c>
      <c r="F1732" s="67"/>
      <c r="G1732" s="68"/>
      <c r="H1732" s="69" t="n">
        <v>100</v>
      </c>
    </row>
    <row r="1733" customFormat="false" ht="15" hidden="false" customHeight="true" outlineLevel="0" collapsed="false">
      <c r="B1733" s="64"/>
      <c r="C1733" s="65" t="s">
        <v>34</v>
      </c>
      <c r="D1733" s="73"/>
      <c r="E1733" s="67"/>
      <c r="F1733" s="71" t="n">
        <v>94</v>
      </c>
      <c r="G1733" s="68"/>
      <c r="H1733" s="69" t="n">
        <v>94</v>
      </c>
    </row>
    <row r="1734" customFormat="false" ht="15" hidden="false" customHeight="true" outlineLevel="0" collapsed="false">
      <c r="B1734" s="84"/>
      <c r="C1734" s="85" t="s">
        <v>29</v>
      </c>
      <c r="D1734" s="86" t="n">
        <v>353</v>
      </c>
      <c r="E1734" s="75"/>
      <c r="F1734" s="75"/>
      <c r="G1734" s="77"/>
      <c r="H1734" s="78" t="n">
        <v>353</v>
      </c>
    </row>
    <row r="1735" customFormat="false" ht="15" hidden="false" customHeight="true" outlineLevel="0" collapsed="false">
      <c r="B1735" s="87" t="s">
        <v>905</v>
      </c>
      <c r="C1735" s="88"/>
      <c r="D1735" s="89" t="n">
        <v>8916</v>
      </c>
      <c r="E1735" s="89" t="n">
        <v>3030</v>
      </c>
      <c r="F1735" s="89" t="n">
        <v>94</v>
      </c>
      <c r="G1735" s="90"/>
      <c r="H1735" s="91" t="n">
        <v>12040</v>
      </c>
    </row>
    <row r="1736" customFormat="false" ht="15" hidden="false" customHeight="true" outlineLevel="0" collapsed="false">
      <c r="B1736" s="56" t="n">
        <v>45844</v>
      </c>
      <c r="C1736" s="57" t="s">
        <v>44</v>
      </c>
      <c r="D1736" s="58"/>
      <c r="E1736" s="60" t="n">
        <v>6000</v>
      </c>
      <c r="F1736" s="60" t="n">
        <v>1200</v>
      </c>
      <c r="G1736" s="61"/>
      <c r="H1736" s="62" t="n">
        <v>7200</v>
      </c>
    </row>
    <row r="1737" customFormat="false" ht="15" hidden="false" customHeight="true" outlineLevel="0" collapsed="false">
      <c r="B1737" s="64"/>
      <c r="C1737" s="65" t="s">
        <v>32</v>
      </c>
      <c r="D1737" s="73"/>
      <c r="E1737" s="67"/>
      <c r="F1737" s="71" t="n">
        <v>140</v>
      </c>
      <c r="G1737" s="68"/>
      <c r="H1737" s="69" t="n">
        <v>140</v>
      </c>
    </row>
    <row r="1738" customFormat="false" ht="15" hidden="false" customHeight="true" outlineLevel="0" collapsed="false">
      <c r="B1738" s="64"/>
      <c r="C1738" s="65" t="s">
        <v>19</v>
      </c>
      <c r="D1738" s="66" t="n">
        <v>5858</v>
      </c>
      <c r="E1738" s="67"/>
      <c r="F1738" s="67"/>
      <c r="G1738" s="68"/>
      <c r="H1738" s="69" t="n">
        <v>5858</v>
      </c>
    </row>
    <row r="1739" customFormat="false" ht="15" hidden="false" customHeight="true" outlineLevel="0" collapsed="false">
      <c r="B1739" s="64"/>
      <c r="C1739" s="65" t="s">
        <v>25</v>
      </c>
      <c r="D1739" s="66" t="n">
        <v>725</v>
      </c>
      <c r="E1739" s="67"/>
      <c r="F1739" s="67"/>
      <c r="G1739" s="68"/>
      <c r="H1739" s="69" t="n">
        <v>725</v>
      </c>
    </row>
    <row r="1740" customFormat="false" ht="15" hidden="false" customHeight="true" outlineLevel="0" collapsed="false">
      <c r="B1740" s="64"/>
      <c r="C1740" s="65" t="s">
        <v>28</v>
      </c>
      <c r="D1740" s="73"/>
      <c r="E1740" s="67"/>
      <c r="F1740" s="71" t="n">
        <v>920</v>
      </c>
      <c r="G1740" s="68"/>
      <c r="H1740" s="69" t="n">
        <v>920</v>
      </c>
    </row>
    <row r="1741" customFormat="false" ht="15" hidden="false" customHeight="true" outlineLevel="0" collapsed="false">
      <c r="B1741" s="64"/>
      <c r="C1741" s="65" t="s">
        <v>50</v>
      </c>
      <c r="D1741" s="66" t="n">
        <v>1678</v>
      </c>
      <c r="E1741" s="67"/>
      <c r="F1741" s="67"/>
      <c r="G1741" s="68"/>
      <c r="H1741" s="69" t="n">
        <v>1678</v>
      </c>
    </row>
    <row r="1742" customFormat="false" ht="15" hidden="false" customHeight="true" outlineLevel="0" collapsed="false">
      <c r="B1742" s="64"/>
      <c r="C1742" s="65" t="s">
        <v>22</v>
      </c>
      <c r="D1742" s="66" t="n">
        <v>2265</v>
      </c>
      <c r="E1742" s="67"/>
      <c r="F1742" s="67"/>
      <c r="G1742" s="68"/>
      <c r="H1742" s="69" t="n">
        <v>2265</v>
      </c>
    </row>
    <row r="1743" customFormat="false" ht="15" hidden="false" customHeight="true" outlineLevel="0" collapsed="false">
      <c r="B1743" s="64"/>
      <c r="C1743" s="65" t="s">
        <v>34</v>
      </c>
      <c r="D1743" s="73"/>
      <c r="E1743" s="67"/>
      <c r="F1743" s="71" t="n">
        <v>105</v>
      </c>
      <c r="G1743" s="68"/>
      <c r="H1743" s="69" t="n">
        <v>105</v>
      </c>
    </row>
    <row r="1744" customFormat="false" ht="15" hidden="false" customHeight="true" outlineLevel="0" collapsed="false">
      <c r="B1744" s="84"/>
      <c r="C1744" s="85" t="s">
        <v>29</v>
      </c>
      <c r="D1744" s="86" t="n">
        <v>313</v>
      </c>
      <c r="E1744" s="75"/>
      <c r="F1744" s="75"/>
      <c r="G1744" s="77"/>
      <c r="H1744" s="78" t="n">
        <v>313</v>
      </c>
    </row>
    <row r="1745" customFormat="false" ht="15" hidden="false" customHeight="true" outlineLevel="0" collapsed="false">
      <c r="B1745" s="87" t="s">
        <v>906</v>
      </c>
      <c r="C1745" s="88"/>
      <c r="D1745" s="89" t="n">
        <v>10839</v>
      </c>
      <c r="E1745" s="89" t="n">
        <v>6000</v>
      </c>
      <c r="F1745" s="89" t="n">
        <v>2365</v>
      </c>
      <c r="G1745" s="90"/>
      <c r="H1745" s="91" t="n">
        <v>19204</v>
      </c>
    </row>
    <row r="1746" customFormat="false" ht="15" hidden="false" customHeight="true" outlineLevel="0" collapsed="false">
      <c r="B1746" s="56" t="n">
        <v>45845</v>
      </c>
      <c r="C1746" s="57" t="s">
        <v>44</v>
      </c>
      <c r="D1746" s="58"/>
      <c r="E1746" s="59"/>
      <c r="F1746" s="60" t="n">
        <v>100</v>
      </c>
      <c r="G1746" s="61"/>
      <c r="H1746" s="62" t="n">
        <v>100</v>
      </c>
    </row>
    <row r="1747" customFormat="false" ht="15" hidden="false" customHeight="true" outlineLevel="0" collapsed="false">
      <c r="B1747" s="64"/>
      <c r="C1747" s="65" t="s">
        <v>32</v>
      </c>
      <c r="D1747" s="73"/>
      <c r="E1747" s="71" t="n">
        <v>210</v>
      </c>
      <c r="F1747" s="67"/>
      <c r="G1747" s="68"/>
      <c r="H1747" s="69" t="n">
        <v>210</v>
      </c>
    </row>
    <row r="1748" customFormat="false" ht="15" hidden="false" customHeight="true" outlineLevel="0" collapsed="false">
      <c r="B1748" s="64"/>
      <c r="C1748" s="65" t="s">
        <v>214</v>
      </c>
      <c r="D1748" s="73"/>
      <c r="E1748" s="67"/>
      <c r="F1748" s="71" t="n">
        <v>1000</v>
      </c>
      <c r="G1748" s="68"/>
      <c r="H1748" s="69" t="n">
        <v>1000</v>
      </c>
    </row>
    <row r="1749" customFormat="false" ht="15" hidden="false" customHeight="true" outlineLevel="0" collapsed="false">
      <c r="B1749" s="64"/>
      <c r="C1749" s="65" t="s">
        <v>47</v>
      </c>
      <c r="D1749" s="66" t="n">
        <v>1800</v>
      </c>
      <c r="E1749" s="67"/>
      <c r="F1749" s="67"/>
      <c r="G1749" s="68"/>
      <c r="H1749" s="69" t="n">
        <v>1800</v>
      </c>
    </row>
    <row r="1750" customFormat="false" ht="15" hidden="false" customHeight="true" outlineLevel="0" collapsed="false">
      <c r="B1750" s="64"/>
      <c r="C1750" s="65" t="s">
        <v>19</v>
      </c>
      <c r="D1750" s="66" t="n">
        <v>2169</v>
      </c>
      <c r="E1750" s="67"/>
      <c r="F1750" s="67"/>
      <c r="G1750" s="68"/>
      <c r="H1750" s="69" t="n">
        <v>2169</v>
      </c>
    </row>
    <row r="1751" customFormat="false" ht="15" hidden="false" customHeight="true" outlineLevel="0" collapsed="false">
      <c r="B1751" s="64"/>
      <c r="C1751" s="65" t="s">
        <v>25</v>
      </c>
      <c r="D1751" s="66" t="n">
        <v>936</v>
      </c>
      <c r="E1751" s="71" t="n">
        <v>220</v>
      </c>
      <c r="F1751" s="67"/>
      <c r="G1751" s="68"/>
      <c r="H1751" s="69" t="n">
        <v>1156</v>
      </c>
    </row>
    <row r="1752" customFormat="false" ht="15" hidden="false" customHeight="true" outlineLevel="0" collapsed="false">
      <c r="B1752" s="64"/>
      <c r="C1752" s="65" t="s">
        <v>51</v>
      </c>
      <c r="D1752" s="73"/>
      <c r="E1752" s="67"/>
      <c r="F1752" s="71" t="n">
        <v>80</v>
      </c>
      <c r="G1752" s="68"/>
      <c r="H1752" s="69" t="n">
        <v>80</v>
      </c>
    </row>
    <row r="1753" customFormat="false" ht="15" hidden="false" customHeight="true" outlineLevel="0" collapsed="false">
      <c r="B1753" s="64"/>
      <c r="C1753" s="65" t="s">
        <v>50</v>
      </c>
      <c r="D1753" s="66" t="n">
        <v>1678</v>
      </c>
      <c r="E1753" s="67"/>
      <c r="F1753" s="67"/>
      <c r="G1753" s="68"/>
      <c r="H1753" s="69" t="n">
        <v>1678</v>
      </c>
    </row>
    <row r="1754" customFormat="false" ht="15" hidden="false" customHeight="true" outlineLevel="0" collapsed="false">
      <c r="B1754" s="64"/>
      <c r="C1754" s="65" t="s">
        <v>22</v>
      </c>
      <c r="D1754" s="66" t="n">
        <v>6250</v>
      </c>
      <c r="E1754" s="67"/>
      <c r="F1754" s="67"/>
      <c r="G1754" s="68"/>
      <c r="H1754" s="69" t="n">
        <v>6250</v>
      </c>
    </row>
    <row r="1755" customFormat="false" ht="15" hidden="false" customHeight="true" outlineLevel="0" collapsed="false">
      <c r="B1755" s="64"/>
      <c r="C1755" s="65" t="s">
        <v>43</v>
      </c>
      <c r="D1755" s="66" t="n">
        <v>2300</v>
      </c>
      <c r="E1755" s="71" t="n">
        <v>220</v>
      </c>
      <c r="F1755" s="67"/>
      <c r="G1755" s="68"/>
      <c r="H1755" s="69" t="n">
        <v>2520</v>
      </c>
    </row>
    <row r="1756" customFormat="false" ht="15" hidden="false" customHeight="true" outlineLevel="0" collapsed="false">
      <c r="B1756" s="64"/>
      <c r="C1756" s="65" t="s">
        <v>34</v>
      </c>
      <c r="D1756" s="73"/>
      <c r="E1756" s="67"/>
      <c r="F1756" s="71" t="n">
        <v>90</v>
      </c>
      <c r="G1756" s="68"/>
      <c r="H1756" s="69" t="n">
        <v>90</v>
      </c>
    </row>
    <row r="1757" customFormat="false" ht="15" hidden="false" customHeight="true" outlineLevel="0" collapsed="false">
      <c r="B1757" s="84"/>
      <c r="C1757" s="85" t="s">
        <v>29</v>
      </c>
      <c r="D1757" s="86" t="n">
        <v>357</v>
      </c>
      <c r="E1757" s="76" t="n">
        <v>500</v>
      </c>
      <c r="F1757" s="75"/>
      <c r="G1757" s="77"/>
      <c r="H1757" s="78" t="n">
        <v>857</v>
      </c>
    </row>
    <row r="1758" customFormat="false" ht="15" hidden="false" customHeight="true" outlineLevel="0" collapsed="false">
      <c r="B1758" s="87" t="s">
        <v>907</v>
      </c>
      <c r="C1758" s="88"/>
      <c r="D1758" s="89" t="n">
        <v>15490</v>
      </c>
      <c r="E1758" s="89" t="n">
        <v>1150</v>
      </c>
      <c r="F1758" s="89" t="n">
        <v>1270</v>
      </c>
      <c r="G1758" s="90"/>
      <c r="H1758" s="91" t="n">
        <v>17910</v>
      </c>
    </row>
    <row r="1759" customFormat="false" ht="15" hidden="false" customHeight="true" outlineLevel="0" collapsed="false">
      <c r="B1759" s="56" t="n">
        <v>45846</v>
      </c>
      <c r="C1759" s="57" t="s">
        <v>44</v>
      </c>
      <c r="D1759" s="92" t="n">
        <v>8000</v>
      </c>
      <c r="E1759" s="59"/>
      <c r="F1759" s="59"/>
      <c r="G1759" s="61"/>
      <c r="H1759" s="62" t="n">
        <v>8000</v>
      </c>
    </row>
    <row r="1760" customFormat="false" ht="15" hidden="false" customHeight="true" outlineLevel="0" collapsed="false">
      <c r="B1760" s="64"/>
      <c r="C1760" s="65" t="s">
        <v>32</v>
      </c>
      <c r="D1760" s="73"/>
      <c r="E1760" s="67"/>
      <c r="F1760" s="71" t="n">
        <v>350</v>
      </c>
      <c r="G1760" s="68"/>
      <c r="H1760" s="69" t="n">
        <v>350</v>
      </c>
    </row>
    <row r="1761" customFormat="false" ht="15" hidden="false" customHeight="true" outlineLevel="0" collapsed="false">
      <c r="B1761" s="64"/>
      <c r="C1761" s="65" t="s">
        <v>19</v>
      </c>
      <c r="D1761" s="66" t="n">
        <v>4469</v>
      </c>
      <c r="E1761" s="67"/>
      <c r="F1761" s="67"/>
      <c r="G1761" s="68"/>
      <c r="H1761" s="69" t="n">
        <v>4469</v>
      </c>
    </row>
    <row r="1762" customFormat="false" ht="15" hidden="false" customHeight="true" outlineLevel="0" collapsed="false">
      <c r="B1762" s="64"/>
      <c r="C1762" s="65" t="s">
        <v>25</v>
      </c>
      <c r="D1762" s="66" t="n">
        <v>653</v>
      </c>
      <c r="E1762" s="67"/>
      <c r="F1762" s="67"/>
      <c r="G1762" s="68"/>
      <c r="H1762" s="69" t="n">
        <v>653</v>
      </c>
    </row>
    <row r="1763" customFormat="false" ht="15" hidden="false" customHeight="true" outlineLevel="0" collapsed="false">
      <c r="B1763" s="64"/>
      <c r="C1763" s="65" t="s">
        <v>22</v>
      </c>
      <c r="D1763" s="66" t="n">
        <v>4093</v>
      </c>
      <c r="E1763" s="67"/>
      <c r="F1763" s="67"/>
      <c r="G1763" s="68"/>
      <c r="H1763" s="69" t="n">
        <v>4093</v>
      </c>
    </row>
    <row r="1764" customFormat="false" ht="15" hidden="false" customHeight="true" outlineLevel="0" collapsed="false">
      <c r="B1764" s="64"/>
      <c r="C1764" s="65" t="s">
        <v>107</v>
      </c>
      <c r="D1764" s="73"/>
      <c r="E1764" s="67"/>
      <c r="F1764" s="71" t="n">
        <v>90</v>
      </c>
      <c r="G1764" s="68"/>
      <c r="H1764" s="69" t="n">
        <v>90</v>
      </c>
    </row>
    <row r="1765" customFormat="false" ht="15" hidden="false" customHeight="true" outlineLevel="0" collapsed="false">
      <c r="B1765" s="64"/>
      <c r="C1765" s="65" t="s">
        <v>34</v>
      </c>
      <c r="D1765" s="73"/>
      <c r="E1765" s="67"/>
      <c r="F1765" s="71" t="n">
        <v>99</v>
      </c>
      <c r="G1765" s="68"/>
      <c r="H1765" s="69" t="n">
        <v>99</v>
      </c>
    </row>
    <row r="1766" customFormat="false" ht="15" hidden="false" customHeight="true" outlineLevel="0" collapsed="false">
      <c r="B1766" s="84"/>
      <c r="C1766" s="85" t="s">
        <v>29</v>
      </c>
      <c r="D1766" s="86" t="n">
        <v>188</v>
      </c>
      <c r="E1766" s="75"/>
      <c r="F1766" s="75"/>
      <c r="G1766" s="77"/>
      <c r="H1766" s="78" t="n">
        <v>188</v>
      </c>
    </row>
    <row r="1767" customFormat="false" ht="15" hidden="false" customHeight="true" outlineLevel="0" collapsed="false">
      <c r="B1767" s="87" t="s">
        <v>908</v>
      </c>
      <c r="C1767" s="88"/>
      <c r="D1767" s="89" t="n">
        <v>17403</v>
      </c>
      <c r="E1767" s="90"/>
      <c r="F1767" s="89" t="n">
        <v>539</v>
      </c>
      <c r="G1767" s="90"/>
      <c r="H1767" s="91" t="n">
        <v>17942</v>
      </c>
    </row>
    <row r="1768" customFormat="false" ht="15" hidden="false" customHeight="true" outlineLevel="0" collapsed="false">
      <c r="B1768" s="56" t="n">
        <v>45847</v>
      </c>
      <c r="C1768" s="57" t="s">
        <v>47</v>
      </c>
      <c r="D1768" s="92" t="n">
        <v>900</v>
      </c>
      <c r="E1768" s="59"/>
      <c r="F1768" s="59"/>
      <c r="G1768" s="61"/>
      <c r="H1768" s="62" t="n">
        <v>900</v>
      </c>
    </row>
    <row r="1769" customFormat="false" ht="15" hidden="false" customHeight="true" outlineLevel="0" collapsed="false">
      <c r="B1769" s="64"/>
      <c r="C1769" s="65" t="s">
        <v>19</v>
      </c>
      <c r="D1769" s="66" t="n">
        <v>3937</v>
      </c>
      <c r="E1769" s="67"/>
      <c r="F1769" s="67"/>
      <c r="G1769" s="68"/>
      <c r="H1769" s="69" t="n">
        <v>3937</v>
      </c>
    </row>
    <row r="1770" customFormat="false" ht="15" hidden="false" customHeight="true" outlineLevel="0" collapsed="false">
      <c r="B1770" s="64"/>
      <c r="C1770" s="65" t="s">
        <v>25</v>
      </c>
      <c r="D1770" s="66" t="n">
        <v>630</v>
      </c>
      <c r="E1770" s="67"/>
      <c r="F1770" s="67"/>
      <c r="G1770" s="68"/>
      <c r="H1770" s="69" t="n">
        <v>630</v>
      </c>
    </row>
    <row r="1771" customFormat="false" ht="15" hidden="false" customHeight="true" outlineLevel="0" collapsed="false">
      <c r="B1771" s="64"/>
      <c r="C1771" s="65" t="s">
        <v>22</v>
      </c>
      <c r="D1771" s="66" t="n">
        <v>2215</v>
      </c>
      <c r="E1771" s="71" t="n">
        <v>150</v>
      </c>
      <c r="F1771" s="67"/>
      <c r="G1771" s="68"/>
      <c r="H1771" s="69" t="n">
        <v>2365</v>
      </c>
    </row>
    <row r="1772" customFormat="false" ht="15" hidden="false" customHeight="true" outlineLevel="0" collapsed="false">
      <c r="B1772" s="64"/>
      <c r="C1772" s="65" t="s">
        <v>40</v>
      </c>
      <c r="D1772" s="73"/>
      <c r="E1772" s="71" t="n">
        <v>400</v>
      </c>
      <c r="F1772" s="67"/>
      <c r="G1772" s="68"/>
      <c r="H1772" s="69" t="n">
        <v>400</v>
      </c>
    </row>
    <row r="1773" customFormat="false" ht="15" hidden="false" customHeight="true" outlineLevel="0" collapsed="false">
      <c r="B1773" s="64"/>
      <c r="C1773" s="65" t="s">
        <v>34</v>
      </c>
      <c r="D1773" s="73"/>
      <c r="E1773" s="67"/>
      <c r="F1773" s="71" t="n">
        <v>95</v>
      </c>
      <c r="G1773" s="68"/>
      <c r="H1773" s="69" t="n">
        <v>95</v>
      </c>
    </row>
    <row r="1774" customFormat="false" ht="15" hidden="false" customHeight="true" outlineLevel="0" collapsed="false">
      <c r="B1774" s="84"/>
      <c r="C1774" s="85" t="s">
        <v>29</v>
      </c>
      <c r="D1774" s="86" t="n">
        <v>507</v>
      </c>
      <c r="E1774" s="75"/>
      <c r="F1774" s="75"/>
      <c r="G1774" s="77"/>
      <c r="H1774" s="78" t="n">
        <v>507</v>
      </c>
    </row>
    <row r="1775" customFormat="false" ht="15" hidden="false" customHeight="true" outlineLevel="0" collapsed="false">
      <c r="B1775" s="87" t="s">
        <v>909</v>
      </c>
      <c r="C1775" s="88"/>
      <c r="D1775" s="89" t="n">
        <v>8189</v>
      </c>
      <c r="E1775" s="89" t="n">
        <v>550</v>
      </c>
      <c r="F1775" s="89" t="n">
        <v>95</v>
      </c>
      <c r="G1775" s="90"/>
      <c r="H1775" s="91" t="n">
        <v>8834</v>
      </c>
    </row>
    <row r="1776" customFormat="false" ht="15" hidden="false" customHeight="true" outlineLevel="0" collapsed="false">
      <c r="B1776" s="56" t="n">
        <v>45848</v>
      </c>
      <c r="C1776" s="57" t="s">
        <v>32</v>
      </c>
      <c r="D1776" s="58"/>
      <c r="E1776" s="60" t="n">
        <v>210</v>
      </c>
      <c r="F1776" s="59"/>
      <c r="G1776" s="61"/>
      <c r="H1776" s="62" t="n">
        <v>210</v>
      </c>
    </row>
    <row r="1777" customFormat="false" ht="15" hidden="false" customHeight="true" outlineLevel="0" collapsed="false">
      <c r="B1777" s="64"/>
      <c r="C1777" s="65" t="s">
        <v>19</v>
      </c>
      <c r="D1777" s="66" t="n">
        <v>5454</v>
      </c>
      <c r="E1777" s="67"/>
      <c r="F1777" s="67"/>
      <c r="G1777" s="68"/>
      <c r="H1777" s="69" t="n">
        <v>5454</v>
      </c>
    </row>
    <row r="1778" customFormat="false" ht="15" hidden="false" customHeight="true" outlineLevel="0" collapsed="false">
      <c r="B1778" s="64"/>
      <c r="C1778" s="65" t="s">
        <v>25</v>
      </c>
      <c r="D1778" s="66" t="n">
        <v>1329</v>
      </c>
      <c r="E1778" s="67"/>
      <c r="F1778" s="67"/>
      <c r="G1778" s="68"/>
      <c r="H1778" s="69" t="n">
        <v>1329</v>
      </c>
    </row>
    <row r="1779" customFormat="false" ht="15" hidden="false" customHeight="true" outlineLevel="0" collapsed="false">
      <c r="B1779" s="64"/>
      <c r="C1779" s="65" t="s">
        <v>51</v>
      </c>
      <c r="D1779" s="66" t="n">
        <v>810</v>
      </c>
      <c r="E1779" s="67"/>
      <c r="F1779" s="67"/>
      <c r="G1779" s="68"/>
      <c r="H1779" s="69" t="n">
        <v>810</v>
      </c>
    </row>
    <row r="1780" customFormat="false" ht="15" hidden="false" customHeight="true" outlineLevel="0" collapsed="false">
      <c r="B1780" s="64"/>
      <c r="C1780" s="65" t="s">
        <v>28</v>
      </c>
      <c r="D1780" s="73"/>
      <c r="E1780" s="67"/>
      <c r="F1780" s="71" t="n">
        <v>879</v>
      </c>
      <c r="G1780" s="68"/>
      <c r="H1780" s="69" t="n">
        <v>879</v>
      </c>
    </row>
    <row r="1781" customFormat="false" ht="15" hidden="false" customHeight="true" outlineLevel="0" collapsed="false">
      <c r="B1781" s="64"/>
      <c r="C1781" s="65" t="s">
        <v>50</v>
      </c>
      <c r="D1781" s="66" t="n">
        <v>1678</v>
      </c>
      <c r="E1781" s="67"/>
      <c r="F1781" s="67"/>
      <c r="G1781" s="68"/>
      <c r="H1781" s="69" t="n">
        <v>1678</v>
      </c>
    </row>
    <row r="1782" customFormat="false" ht="15" hidden="false" customHeight="true" outlineLevel="0" collapsed="false">
      <c r="B1782" s="64"/>
      <c r="C1782" s="65" t="s">
        <v>22</v>
      </c>
      <c r="D1782" s="66" t="n">
        <v>781</v>
      </c>
      <c r="E1782" s="71" t="n">
        <v>3610</v>
      </c>
      <c r="F1782" s="67"/>
      <c r="G1782" s="68"/>
      <c r="H1782" s="69" t="n">
        <v>4391</v>
      </c>
    </row>
    <row r="1783" customFormat="false" ht="15" hidden="false" customHeight="true" outlineLevel="0" collapsed="false">
      <c r="B1783" s="64"/>
      <c r="C1783" s="65" t="s">
        <v>43</v>
      </c>
      <c r="D1783" s="73"/>
      <c r="E1783" s="71" t="n">
        <v>150</v>
      </c>
      <c r="F1783" s="67"/>
      <c r="G1783" s="68"/>
      <c r="H1783" s="69" t="n">
        <v>150</v>
      </c>
    </row>
    <row r="1784" customFormat="false" ht="15" hidden="false" customHeight="true" outlineLevel="0" collapsed="false">
      <c r="B1784" s="64"/>
      <c r="C1784" s="65" t="s">
        <v>34</v>
      </c>
      <c r="D1784" s="73"/>
      <c r="E1784" s="67"/>
      <c r="F1784" s="71" t="n">
        <v>90</v>
      </c>
      <c r="G1784" s="68"/>
      <c r="H1784" s="69" t="n">
        <v>90</v>
      </c>
    </row>
    <row r="1785" customFormat="false" ht="15" hidden="false" customHeight="true" outlineLevel="0" collapsed="false">
      <c r="B1785" s="84"/>
      <c r="C1785" s="85" t="s">
        <v>29</v>
      </c>
      <c r="D1785" s="86" t="n">
        <v>507</v>
      </c>
      <c r="E1785" s="75"/>
      <c r="F1785" s="75"/>
      <c r="G1785" s="77"/>
      <c r="H1785" s="78" t="n">
        <v>507</v>
      </c>
    </row>
    <row r="1786" customFormat="false" ht="15" hidden="false" customHeight="true" outlineLevel="0" collapsed="false">
      <c r="B1786" s="87" t="s">
        <v>910</v>
      </c>
      <c r="C1786" s="88"/>
      <c r="D1786" s="89" t="n">
        <v>10559</v>
      </c>
      <c r="E1786" s="89" t="n">
        <v>3970</v>
      </c>
      <c r="F1786" s="89" t="n">
        <v>969</v>
      </c>
      <c r="G1786" s="90"/>
      <c r="H1786" s="91" t="n">
        <v>15498</v>
      </c>
    </row>
    <row r="1787" customFormat="false" ht="15" hidden="false" customHeight="true" outlineLevel="0" collapsed="false">
      <c r="B1787" s="56" t="n">
        <v>45849</v>
      </c>
      <c r="C1787" s="57" t="s">
        <v>32</v>
      </c>
      <c r="D1787" s="58"/>
      <c r="E1787" s="60" t="n">
        <v>210</v>
      </c>
      <c r="F1787" s="59"/>
      <c r="G1787" s="61"/>
      <c r="H1787" s="62" t="n">
        <v>210</v>
      </c>
    </row>
    <row r="1788" customFormat="false" ht="15" hidden="false" customHeight="true" outlineLevel="0" collapsed="false">
      <c r="B1788" s="64"/>
      <c r="C1788" s="65" t="s">
        <v>47</v>
      </c>
      <c r="D1788" s="66" t="n">
        <v>1800</v>
      </c>
      <c r="E1788" s="67"/>
      <c r="F1788" s="67"/>
      <c r="G1788" s="68"/>
      <c r="H1788" s="69" t="n">
        <v>1800</v>
      </c>
    </row>
    <row r="1789" customFormat="false" ht="15" hidden="false" customHeight="true" outlineLevel="0" collapsed="false">
      <c r="B1789" s="64"/>
      <c r="C1789" s="65" t="s">
        <v>19</v>
      </c>
      <c r="D1789" s="66" t="n">
        <v>2204</v>
      </c>
      <c r="E1789" s="67"/>
      <c r="F1789" s="67"/>
      <c r="G1789" s="68"/>
      <c r="H1789" s="69" t="n">
        <v>2204</v>
      </c>
    </row>
    <row r="1790" customFormat="false" ht="15" hidden="false" customHeight="true" outlineLevel="0" collapsed="false">
      <c r="B1790" s="64"/>
      <c r="C1790" s="65" t="s">
        <v>25</v>
      </c>
      <c r="D1790" s="66" t="n">
        <v>630</v>
      </c>
      <c r="E1790" s="67"/>
      <c r="F1790" s="67"/>
      <c r="G1790" s="68"/>
      <c r="H1790" s="69" t="n">
        <v>630</v>
      </c>
    </row>
    <row r="1791" customFormat="false" ht="15" hidden="false" customHeight="true" outlineLevel="0" collapsed="false">
      <c r="B1791" s="64"/>
      <c r="C1791" s="65" t="s">
        <v>22</v>
      </c>
      <c r="D1791" s="66" t="n">
        <v>1810</v>
      </c>
      <c r="E1791" s="67"/>
      <c r="F1791" s="67"/>
      <c r="G1791" s="68"/>
      <c r="H1791" s="69" t="n">
        <v>1810</v>
      </c>
    </row>
    <row r="1792" customFormat="false" ht="15" hidden="false" customHeight="true" outlineLevel="0" collapsed="false">
      <c r="B1792" s="64"/>
      <c r="C1792" s="65" t="s">
        <v>102</v>
      </c>
      <c r="D1792" s="73"/>
      <c r="E1792" s="71" t="n">
        <v>600</v>
      </c>
      <c r="F1792" s="67"/>
      <c r="G1792" s="68"/>
      <c r="H1792" s="69" t="n">
        <v>600</v>
      </c>
    </row>
    <row r="1793" customFormat="false" ht="15" hidden="false" customHeight="true" outlineLevel="0" collapsed="false">
      <c r="B1793" s="64"/>
      <c r="C1793" s="65" t="s">
        <v>31</v>
      </c>
      <c r="D1793" s="73"/>
      <c r="E1793" s="71" t="n">
        <v>310</v>
      </c>
      <c r="F1793" s="67"/>
      <c r="G1793" s="68"/>
      <c r="H1793" s="69" t="n">
        <v>310</v>
      </c>
    </row>
    <row r="1794" customFormat="false" ht="15" hidden="false" customHeight="true" outlineLevel="0" collapsed="false">
      <c r="B1794" s="64"/>
      <c r="C1794" s="65" t="s">
        <v>34</v>
      </c>
      <c r="D1794" s="73"/>
      <c r="E1794" s="67"/>
      <c r="F1794" s="71" t="n">
        <v>83</v>
      </c>
      <c r="G1794" s="68"/>
      <c r="H1794" s="69" t="n">
        <v>83</v>
      </c>
    </row>
    <row r="1795" customFormat="false" ht="15" hidden="false" customHeight="true" outlineLevel="0" collapsed="false">
      <c r="B1795" s="84"/>
      <c r="C1795" s="85" t="s">
        <v>29</v>
      </c>
      <c r="D1795" s="86" t="n">
        <v>315</v>
      </c>
      <c r="E1795" s="75"/>
      <c r="F1795" s="75"/>
      <c r="G1795" s="77"/>
      <c r="H1795" s="78" t="n">
        <v>315</v>
      </c>
    </row>
    <row r="1796" customFormat="false" ht="15" hidden="false" customHeight="true" outlineLevel="0" collapsed="false">
      <c r="B1796" s="87" t="s">
        <v>911</v>
      </c>
      <c r="C1796" s="88"/>
      <c r="D1796" s="89" t="n">
        <v>6759</v>
      </c>
      <c r="E1796" s="89" t="n">
        <v>1120</v>
      </c>
      <c r="F1796" s="89" t="n">
        <v>83</v>
      </c>
      <c r="G1796" s="90"/>
      <c r="H1796" s="91" t="n">
        <v>7962</v>
      </c>
    </row>
    <row r="1797" customFormat="false" ht="15" hidden="false" customHeight="true" outlineLevel="0" collapsed="false">
      <c r="B1797" s="56" t="n">
        <v>45850</v>
      </c>
      <c r="C1797" s="57" t="s">
        <v>44</v>
      </c>
      <c r="D1797" s="58"/>
      <c r="E1797" s="59"/>
      <c r="F1797" s="60" t="n">
        <v>1000</v>
      </c>
      <c r="G1797" s="61"/>
      <c r="H1797" s="62" t="n">
        <v>1000</v>
      </c>
    </row>
    <row r="1798" customFormat="false" ht="15" hidden="false" customHeight="true" outlineLevel="0" collapsed="false">
      <c r="B1798" s="64"/>
      <c r="C1798" s="65" t="s">
        <v>32</v>
      </c>
      <c r="D1798" s="73"/>
      <c r="E1798" s="71" t="n">
        <v>210</v>
      </c>
      <c r="F1798" s="67"/>
      <c r="G1798" s="68"/>
      <c r="H1798" s="69" t="n">
        <v>210</v>
      </c>
    </row>
    <row r="1799" customFormat="false" ht="15" hidden="false" customHeight="true" outlineLevel="0" collapsed="false">
      <c r="B1799" s="64"/>
      <c r="C1799" s="65" t="s">
        <v>53</v>
      </c>
      <c r="D1799" s="73"/>
      <c r="E1799" s="71" t="n">
        <v>1200</v>
      </c>
      <c r="F1799" s="67"/>
      <c r="G1799" s="68"/>
      <c r="H1799" s="69" t="n">
        <v>1200</v>
      </c>
    </row>
    <row r="1800" customFormat="false" ht="15" hidden="false" customHeight="true" outlineLevel="0" collapsed="false">
      <c r="B1800" s="64"/>
      <c r="C1800" s="65" t="s">
        <v>19</v>
      </c>
      <c r="D1800" s="66" t="n">
        <v>7481</v>
      </c>
      <c r="E1800" s="67"/>
      <c r="F1800" s="67"/>
      <c r="G1800" s="68"/>
      <c r="H1800" s="69" t="n">
        <v>7481</v>
      </c>
    </row>
    <row r="1801" customFormat="false" ht="15" hidden="false" customHeight="true" outlineLevel="0" collapsed="false">
      <c r="B1801" s="64"/>
      <c r="C1801" s="65" t="s">
        <v>25</v>
      </c>
      <c r="D1801" s="66" t="n">
        <v>1646</v>
      </c>
      <c r="E1801" s="71" t="n">
        <v>350</v>
      </c>
      <c r="F1801" s="67"/>
      <c r="G1801" s="68"/>
      <c r="H1801" s="69" t="n">
        <v>1996</v>
      </c>
    </row>
    <row r="1802" customFormat="false" ht="15" hidden="false" customHeight="true" outlineLevel="0" collapsed="false">
      <c r="B1802" s="64"/>
      <c r="C1802" s="65" t="s">
        <v>50</v>
      </c>
      <c r="D1802" s="66" t="n">
        <v>1678</v>
      </c>
      <c r="E1802" s="67"/>
      <c r="F1802" s="67"/>
      <c r="G1802" s="68"/>
      <c r="H1802" s="69" t="n">
        <v>1678</v>
      </c>
    </row>
    <row r="1803" customFormat="false" ht="15" hidden="false" customHeight="true" outlineLevel="0" collapsed="false">
      <c r="B1803" s="64"/>
      <c r="C1803" s="65" t="s">
        <v>22</v>
      </c>
      <c r="D1803" s="66" t="n">
        <v>1303</v>
      </c>
      <c r="E1803" s="67"/>
      <c r="F1803" s="67"/>
      <c r="G1803" s="68"/>
      <c r="H1803" s="69" t="n">
        <v>1303</v>
      </c>
    </row>
    <row r="1804" customFormat="false" ht="15" hidden="false" customHeight="true" outlineLevel="0" collapsed="false">
      <c r="B1804" s="64"/>
      <c r="C1804" s="65" t="s">
        <v>40</v>
      </c>
      <c r="D1804" s="73"/>
      <c r="E1804" s="71" t="n">
        <v>1880</v>
      </c>
      <c r="F1804" s="67"/>
      <c r="G1804" s="68"/>
      <c r="H1804" s="69" t="n">
        <v>1880</v>
      </c>
    </row>
    <row r="1805" customFormat="false" ht="15" hidden="false" customHeight="true" outlineLevel="0" collapsed="false">
      <c r="B1805" s="64"/>
      <c r="C1805" s="65" t="s">
        <v>34</v>
      </c>
      <c r="D1805" s="73"/>
      <c r="E1805" s="67"/>
      <c r="F1805" s="71" t="n">
        <v>104</v>
      </c>
      <c r="G1805" s="68"/>
      <c r="H1805" s="69" t="n">
        <v>104</v>
      </c>
    </row>
    <row r="1806" customFormat="false" ht="15" hidden="false" customHeight="true" outlineLevel="0" collapsed="false">
      <c r="B1806" s="84"/>
      <c r="C1806" s="85" t="s">
        <v>29</v>
      </c>
      <c r="D1806" s="86" t="n">
        <v>838</v>
      </c>
      <c r="E1806" s="76" t="n">
        <v>900</v>
      </c>
      <c r="F1806" s="75"/>
      <c r="G1806" s="77"/>
      <c r="H1806" s="78" t="n">
        <v>1738</v>
      </c>
    </row>
    <row r="1807" customFormat="false" ht="15" hidden="false" customHeight="true" outlineLevel="0" collapsed="false">
      <c r="B1807" s="87" t="s">
        <v>912</v>
      </c>
      <c r="C1807" s="88"/>
      <c r="D1807" s="89" t="n">
        <v>12946</v>
      </c>
      <c r="E1807" s="89" t="n">
        <v>4540</v>
      </c>
      <c r="F1807" s="89" t="n">
        <v>1104</v>
      </c>
      <c r="G1807" s="90"/>
      <c r="H1807" s="91" t="n">
        <v>18590</v>
      </c>
    </row>
    <row r="1808" customFormat="false" ht="15" hidden="false" customHeight="true" outlineLevel="0" collapsed="false">
      <c r="B1808" s="56" t="n">
        <v>45851</v>
      </c>
      <c r="C1808" s="57" t="s">
        <v>44</v>
      </c>
      <c r="D1808" s="58"/>
      <c r="E1808" s="60" t="n">
        <v>3500</v>
      </c>
      <c r="F1808" s="59"/>
      <c r="G1808" s="61"/>
      <c r="H1808" s="62" t="n">
        <v>3500</v>
      </c>
    </row>
    <row r="1809" customFormat="false" ht="15" hidden="false" customHeight="true" outlineLevel="0" collapsed="false">
      <c r="B1809" s="64"/>
      <c r="C1809" s="65" t="s">
        <v>32</v>
      </c>
      <c r="D1809" s="73"/>
      <c r="E1809" s="71" t="n">
        <v>210</v>
      </c>
      <c r="F1809" s="67"/>
      <c r="G1809" s="68"/>
      <c r="H1809" s="69" t="n">
        <v>210</v>
      </c>
    </row>
    <row r="1810" customFormat="false" ht="15" hidden="false" customHeight="true" outlineLevel="0" collapsed="false">
      <c r="B1810" s="64"/>
      <c r="C1810" s="65" t="s">
        <v>19</v>
      </c>
      <c r="D1810" s="66" t="n">
        <v>3825</v>
      </c>
      <c r="E1810" s="67"/>
      <c r="F1810" s="67"/>
      <c r="G1810" s="68"/>
      <c r="H1810" s="69" t="n">
        <v>3825</v>
      </c>
    </row>
    <row r="1811" customFormat="false" ht="15" hidden="false" customHeight="true" outlineLevel="0" collapsed="false">
      <c r="B1811" s="64"/>
      <c r="C1811" s="65" t="s">
        <v>25</v>
      </c>
      <c r="D1811" s="66" t="n">
        <v>1656</v>
      </c>
      <c r="E1811" s="67"/>
      <c r="F1811" s="67"/>
      <c r="G1811" s="68"/>
      <c r="H1811" s="69" t="n">
        <v>1656</v>
      </c>
    </row>
    <row r="1812" customFormat="false" ht="15" hidden="false" customHeight="true" outlineLevel="0" collapsed="false">
      <c r="B1812" s="64"/>
      <c r="C1812" s="65" t="s">
        <v>22</v>
      </c>
      <c r="D1812" s="66" t="n">
        <v>4650</v>
      </c>
      <c r="E1812" s="71" t="n">
        <v>110</v>
      </c>
      <c r="F1812" s="67"/>
      <c r="G1812" s="68"/>
      <c r="H1812" s="69" t="n">
        <v>4760</v>
      </c>
    </row>
    <row r="1813" customFormat="false" ht="15" hidden="false" customHeight="true" outlineLevel="0" collapsed="false">
      <c r="B1813" s="64"/>
      <c r="C1813" s="65" t="s">
        <v>34</v>
      </c>
      <c r="D1813" s="73"/>
      <c r="E1813" s="67"/>
      <c r="F1813" s="71" t="n">
        <v>103</v>
      </c>
      <c r="G1813" s="68"/>
      <c r="H1813" s="69" t="n">
        <v>103</v>
      </c>
    </row>
    <row r="1814" customFormat="false" ht="15" hidden="false" customHeight="true" outlineLevel="0" collapsed="false">
      <c r="B1814" s="84"/>
      <c r="C1814" s="85" t="s">
        <v>29</v>
      </c>
      <c r="D1814" s="86" t="n">
        <v>583</v>
      </c>
      <c r="E1814" s="75"/>
      <c r="F1814" s="75"/>
      <c r="G1814" s="77"/>
      <c r="H1814" s="78" t="n">
        <v>583</v>
      </c>
    </row>
    <row r="1815" customFormat="false" ht="15" hidden="false" customHeight="true" outlineLevel="0" collapsed="false">
      <c r="B1815" s="87" t="s">
        <v>913</v>
      </c>
      <c r="C1815" s="88"/>
      <c r="D1815" s="89" t="n">
        <v>10714</v>
      </c>
      <c r="E1815" s="89" t="n">
        <v>3820</v>
      </c>
      <c r="F1815" s="89" t="n">
        <v>103</v>
      </c>
      <c r="G1815" s="90"/>
      <c r="H1815" s="91" t="n">
        <v>14637</v>
      </c>
    </row>
    <row r="1816" customFormat="false" ht="15" hidden="false" customHeight="true" outlineLevel="0" collapsed="false">
      <c r="B1816" s="56" t="n">
        <v>45852</v>
      </c>
      <c r="C1816" s="57" t="s">
        <v>32</v>
      </c>
      <c r="D1816" s="58"/>
      <c r="E1816" s="60" t="n">
        <v>210</v>
      </c>
      <c r="F1816" s="59"/>
      <c r="G1816" s="61"/>
      <c r="H1816" s="62" t="n">
        <v>210</v>
      </c>
    </row>
    <row r="1817" customFormat="false" ht="15" hidden="false" customHeight="true" outlineLevel="0" collapsed="false">
      <c r="B1817" s="64"/>
      <c r="C1817" s="65" t="s">
        <v>47</v>
      </c>
      <c r="D1817" s="66" t="n">
        <v>900</v>
      </c>
      <c r="E1817" s="67"/>
      <c r="F1817" s="67"/>
      <c r="G1817" s="68"/>
      <c r="H1817" s="69" t="n">
        <v>900</v>
      </c>
    </row>
    <row r="1818" customFormat="false" ht="15" hidden="false" customHeight="true" outlineLevel="0" collapsed="false">
      <c r="B1818" s="64"/>
      <c r="C1818" s="65" t="s">
        <v>19</v>
      </c>
      <c r="D1818" s="66" t="n">
        <v>3586</v>
      </c>
      <c r="E1818" s="67"/>
      <c r="F1818" s="67"/>
      <c r="G1818" s="68"/>
      <c r="H1818" s="69" t="n">
        <v>3586</v>
      </c>
    </row>
    <row r="1819" customFormat="false" ht="15" hidden="false" customHeight="true" outlineLevel="0" collapsed="false">
      <c r="B1819" s="64"/>
      <c r="C1819" s="65" t="s">
        <v>25</v>
      </c>
      <c r="D1819" s="66" t="n">
        <v>962</v>
      </c>
      <c r="E1819" s="67"/>
      <c r="F1819" s="67"/>
      <c r="G1819" s="68"/>
      <c r="H1819" s="69" t="n">
        <v>962</v>
      </c>
    </row>
    <row r="1820" customFormat="false" ht="15" hidden="false" customHeight="true" outlineLevel="0" collapsed="false">
      <c r="B1820" s="64"/>
      <c r="C1820" s="65" t="s">
        <v>50</v>
      </c>
      <c r="D1820" s="66" t="n">
        <v>1678</v>
      </c>
      <c r="E1820" s="67"/>
      <c r="F1820" s="67"/>
      <c r="G1820" s="68"/>
      <c r="H1820" s="69" t="n">
        <v>1678</v>
      </c>
    </row>
    <row r="1821" customFormat="false" ht="15" hidden="false" customHeight="true" outlineLevel="0" collapsed="false">
      <c r="B1821" s="64"/>
      <c r="C1821" s="65" t="s">
        <v>22</v>
      </c>
      <c r="D1821" s="66" t="n">
        <v>200</v>
      </c>
      <c r="E1821" s="67"/>
      <c r="F1821" s="67"/>
      <c r="G1821" s="68"/>
      <c r="H1821" s="69" t="n">
        <v>200</v>
      </c>
    </row>
    <row r="1822" customFormat="false" ht="15" hidden="false" customHeight="true" outlineLevel="0" collapsed="false">
      <c r="B1822" s="64"/>
      <c r="C1822" s="65" t="s">
        <v>37</v>
      </c>
      <c r="D1822" s="73"/>
      <c r="E1822" s="67"/>
      <c r="F1822" s="71" t="n">
        <v>50</v>
      </c>
      <c r="G1822" s="68"/>
      <c r="H1822" s="69" t="n">
        <v>50</v>
      </c>
    </row>
    <row r="1823" customFormat="false" ht="15" hidden="false" customHeight="true" outlineLevel="0" collapsed="false">
      <c r="B1823" s="84"/>
      <c r="C1823" s="85" t="s">
        <v>29</v>
      </c>
      <c r="D1823" s="86" t="n">
        <v>327</v>
      </c>
      <c r="E1823" s="75"/>
      <c r="F1823" s="75"/>
      <c r="G1823" s="77"/>
      <c r="H1823" s="78" t="n">
        <v>327</v>
      </c>
    </row>
    <row r="1824" customFormat="false" ht="15" hidden="false" customHeight="true" outlineLevel="0" collapsed="false">
      <c r="B1824" s="87" t="s">
        <v>914</v>
      </c>
      <c r="C1824" s="88"/>
      <c r="D1824" s="89" t="n">
        <v>7653</v>
      </c>
      <c r="E1824" s="89" t="n">
        <v>210</v>
      </c>
      <c r="F1824" s="89" t="n">
        <v>50</v>
      </c>
      <c r="G1824" s="90"/>
      <c r="H1824" s="91" t="n">
        <v>7913</v>
      </c>
    </row>
    <row r="1825" customFormat="false" ht="15" hidden="false" customHeight="true" outlineLevel="0" collapsed="false">
      <c r="B1825" s="56" t="n">
        <v>45853</v>
      </c>
      <c r="C1825" s="57" t="s">
        <v>44</v>
      </c>
      <c r="D1825" s="58"/>
      <c r="E1825" s="60" t="n">
        <v>100</v>
      </c>
      <c r="F1825" s="59"/>
      <c r="G1825" s="61"/>
      <c r="H1825" s="62" t="n">
        <v>100</v>
      </c>
    </row>
    <row r="1826" customFormat="false" ht="15" hidden="false" customHeight="true" outlineLevel="0" collapsed="false">
      <c r="B1826" s="64"/>
      <c r="C1826" s="65" t="s">
        <v>19</v>
      </c>
      <c r="D1826" s="66" t="n">
        <v>1935</v>
      </c>
      <c r="E1826" s="67"/>
      <c r="F1826" s="67"/>
      <c r="G1826" s="68"/>
      <c r="H1826" s="69" t="n">
        <v>1935</v>
      </c>
    </row>
    <row r="1827" customFormat="false" ht="15" hidden="false" customHeight="true" outlineLevel="0" collapsed="false">
      <c r="B1827" s="64"/>
      <c r="C1827" s="65" t="s">
        <v>25</v>
      </c>
      <c r="D1827" s="66" t="n">
        <v>711</v>
      </c>
      <c r="E1827" s="67"/>
      <c r="F1827" s="67"/>
      <c r="G1827" s="68"/>
      <c r="H1827" s="69" t="n">
        <v>711</v>
      </c>
    </row>
    <row r="1828" customFormat="false" ht="15" hidden="false" customHeight="true" outlineLevel="0" collapsed="false">
      <c r="B1828" s="64"/>
      <c r="C1828" s="65" t="s">
        <v>28</v>
      </c>
      <c r="D1828" s="73"/>
      <c r="E1828" s="71" t="n">
        <v>1020</v>
      </c>
      <c r="F1828" s="67"/>
      <c r="G1828" s="68"/>
      <c r="H1828" s="69" t="n">
        <v>1020</v>
      </c>
    </row>
    <row r="1829" customFormat="false" ht="15" hidden="false" customHeight="true" outlineLevel="0" collapsed="false">
      <c r="B1829" s="64"/>
      <c r="C1829" s="65" t="s">
        <v>22</v>
      </c>
      <c r="D1829" s="73"/>
      <c r="E1829" s="71" t="n">
        <v>165</v>
      </c>
      <c r="F1829" s="67"/>
      <c r="G1829" s="68"/>
      <c r="H1829" s="69" t="n">
        <v>165</v>
      </c>
    </row>
    <row r="1830" customFormat="false" ht="15" hidden="false" customHeight="true" outlineLevel="0" collapsed="false">
      <c r="B1830" s="64"/>
      <c r="C1830" s="65" t="s">
        <v>34</v>
      </c>
      <c r="D1830" s="73"/>
      <c r="E1830" s="67"/>
      <c r="F1830" s="71" t="n">
        <v>118</v>
      </c>
      <c r="G1830" s="68"/>
      <c r="H1830" s="69" t="n">
        <v>118</v>
      </c>
    </row>
    <row r="1831" customFormat="false" ht="15" hidden="false" customHeight="true" outlineLevel="0" collapsed="false">
      <c r="B1831" s="84"/>
      <c r="C1831" s="85" t="s">
        <v>29</v>
      </c>
      <c r="D1831" s="86" t="n">
        <v>100</v>
      </c>
      <c r="E1831" s="75"/>
      <c r="F1831" s="75"/>
      <c r="G1831" s="77"/>
      <c r="H1831" s="78" t="n">
        <v>100</v>
      </c>
    </row>
    <row r="1832" customFormat="false" ht="15" hidden="false" customHeight="true" outlineLevel="0" collapsed="false">
      <c r="B1832" s="87" t="s">
        <v>915</v>
      </c>
      <c r="C1832" s="88"/>
      <c r="D1832" s="89" t="n">
        <v>2746</v>
      </c>
      <c r="E1832" s="89" t="n">
        <v>1285</v>
      </c>
      <c r="F1832" s="89" t="n">
        <v>118</v>
      </c>
      <c r="G1832" s="90"/>
      <c r="H1832" s="91" t="n">
        <v>4149</v>
      </c>
    </row>
    <row r="1833" customFormat="false" ht="15" hidden="false" customHeight="true" outlineLevel="0" collapsed="false">
      <c r="B1833" s="56" t="n">
        <v>45854</v>
      </c>
      <c r="C1833" s="57" t="s">
        <v>32</v>
      </c>
      <c r="D1833" s="58"/>
      <c r="E1833" s="60" t="n">
        <v>210</v>
      </c>
      <c r="F1833" s="59"/>
      <c r="G1833" s="61"/>
      <c r="H1833" s="62" t="n">
        <v>210</v>
      </c>
    </row>
    <row r="1834" customFormat="false" ht="15" hidden="false" customHeight="true" outlineLevel="0" collapsed="false">
      <c r="B1834" s="64"/>
      <c r="C1834" s="65" t="s">
        <v>47</v>
      </c>
      <c r="D1834" s="66" t="n">
        <v>1800</v>
      </c>
      <c r="E1834" s="67"/>
      <c r="F1834" s="67"/>
      <c r="G1834" s="68"/>
      <c r="H1834" s="69" t="n">
        <v>1800</v>
      </c>
    </row>
    <row r="1835" customFormat="false" ht="15" hidden="false" customHeight="true" outlineLevel="0" collapsed="false">
      <c r="B1835" s="64"/>
      <c r="C1835" s="65" t="s">
        <v>19</v>
      </c>
      <c r="D1835" s="66" t="n">
        <v>1450</v>
      </c>
      <c r="E1835" s="67"/>
      <c r="F1835" s="67"/>
      <c r="G1835" s="68"/>
      <c r="H1835" s="69" t="n">
        <v>1450</v>
      </c>
    </row>
    <row r="1836" customFormat="false" ht="15" hidden="false" customHeight="true" outlineLevel="0" collapsed="false">
      <c r="B1836" s="64"/>
      <c r="C1836" s="65" t="s">
        <v>25</v>
      </c>
      <c r="D1836" s="66" t="n">
        <v>543</v>
      </c>
      <c r="E1836" s="71" t="n">
        <v>570</v>
      </c>
      <c r="F1836" s="67"/>
      <c r="G1836" s="68"/>
      <c r="H1836" s="69" t="n">
        <v>1113</v>
      </c>
    </row>
    <row r="1837" customFormat="false" ht="15" hidden="false" customHeight="true" outlineLevel="0" collapsed="false">
      <c r="B1837" s="64"/>
      <c r="C1837" s="65" t="s">
        <v>51</v>
      </c>
      <c r="D1837" s="66" t="n">
        <v>2155</v>
      </c>
      <c r="E1837" s="67"/>
      <c r="F1837" s="67"/>
      <c r="G1837" s="68"/>
      <c r="H1837" s="69" t="n">
        <v>2155</v>
      </c>
    </row>
    <row r="1838" customFormat="false" ht="15" hidden="false" customHeight="true" outlineLevel="0" collapsed="false">
      <c r="B1838" s="64"/>
      <c r="C1838" s="65" t="s">
        <v>50</v>
      </c>
      <c r="D1838" s="66" t="n">
        <v>1678</v>
      </c>
      <c r="E1838" s="67"/>
      <c r="F1838" s="67"/>
      <c r="G1838" s="68"/>
      <c r="H1838" s="69" t="n">
        <v>1678</v>
      </c>
    </row>
    <row r="1839" customFormat="false" ht="15" hidden="false" customHeight="true" outlineLevel="0" collapsed="false">
      <c r="B1839" s="64"/>
      <c r="C1839" s="65" t="s">
        <v>22</v>
      </c>
      <c r="D1839" s="66" t="n">
        <v>3170</v>
      </c>
      <c r="E1839" s="71" t="n">
        <v>700</v>
      </c>
      <c r="F1839" s="67"/>
      <c r="G1839" s="68"/>
      <c r="H1839" s="69" t="n">
        <v>3870</v>
      </c>
    </row>
    <row r="1840" customFormat="false" ht="15" hidden="false" customHeight="true" outlineLevel="0" collapsed="false">
      <c r="B1840" s="64"/>
      <c r="C1840" s="65" t="s">
        <v>60</v>
      </c>
      <c r="D1840" s="73"/>
      <c r="E1840" s="71" t="n">
        <v>210</v>
      </c>
      <c r="F1840" s="67"/>
      <c r="G1840" s="68"/>
      <c r="H1840" s="69" t="n">
        <v>210</v>
      </c>
    </row>
    <row r="1841" customFormat="false" ht="15" hidden="false" customHeight="true" outlineLevel="0" collapsed="false">
      <c r="B1841" s="64"/>
      <c r="C1841" s="65" t="s">
        <v>31</v>
      </c>
      <c r="D1841" s="73"/>
      <c r="E1841" s="71" t="n">
        <v>370</v>
      </c>
      <c r="F1841" s="67"/>
      <c r="G1841" s="68"/>
      <c r="H1841" s="69" t="n">
        <v>370</v>
      </c>
    </row>
    <row r="1842" customFormat="false" ht="15" hidden="false" customHeight="true" outlineLevel="0" collapsed="false">
      <c r="B1842" s="64"/>
      <c r="C1842" s="65" t="s">
        <v>34</v>
      </c>
      <c r="D1842" s="73"/>
      <c r="E1842" s="67"/>
      <c r="F1842" s="71" t="n">
        <v>69</v>
      </c>
      <c r="G1842" s="68"/>
      <c r="H1842" s="69" t="n">
        <v>69</v>
      </c>
    </row>
    <row r="1843" customFormat="false" ht="15" hidden="false" customHeight="true" outlineLevel="0" collapsed="false">
      <c r="B1843" s="64"/>
      <c r="C1843" s="65" t="s">
        <v>29</v>
      </c>
      <c r="D1843" s="66" t="n">
        <v>331</v>
      </c>
      <c r="E1843" s="67"/>
      <c r="F1843" s="67"/>
      <c r="G1843" s="68"/>
      <c r="H1843" s="69" t="n">
        <v>331</v>
      </c>
    </row>
    <row r="1844" customFormat="false" ht="15" hidden="false" customHeight="true" outlineLevel="0" collapsed="false">
      <c r="B1844" s="84"/>
      <c r="C1844" s="85" t="s">
        <v>201</v>
      </c>
      <c r="D1844" s="86" t="n">
        <v>1950</v>
      </c>
      <c r="E1844" s="75"/>
      <c r="F1844" s="75"/>
      <c r="G1844" s="77"/>
      <c r="H1844" s="78" t="n">
        <v>1950</v>
      </c>
    </row>
    <row r="1845" customFormat="false" ht="15" hidden="false" customHeight="true" outlineLevel="0" collapsed="false">
      <c r="B1845" s="87" t="s">
        <v>916</v>
      </c>
      <c r="C1845" s="88"/>
      <c r="D1845" s="89" t="n">
        <v>13077</v>
      </c>
      <c r="E1845" s="89" t="n">
        <v>2060</v>
      </c>
      <c r="F1845" s="89" t="n">
        <v>69</v>
      </c>
      <c r="G1845" s="90"/>
      <c r="H1845" s="91" t="n">
        <v>15206</v>
      </c>
    </row>
    <row r="1846" customFormat="false" ht="15" hidden="false" customHeight="true" outlineLevel="0" collapsed="false">
      <c r="B1846" s="56" t="n">
        <v>45855</v>
      </c>
      <c r="C1846" s="57" t="s">
        <v>32</v>
      </c>
      <c r="D1846" s="58"/>
      <c r="E1846" s="60" t="n">
        <v>350</v>
      </c>
      <c r="F1846" s="59"/>
      <c r="G1846" s="61"/>
      <c r="H1846" s="62" t="n">
        <v>350</v>
      </c>
    </row>
    <row r="1847" customFormat="false" ht="15" hidden="false" customHeight="true" outlineLevel="0" collapsed="false">
      <c r="B1847" s="64"/>
      <c r="C1847" s="65" t="s">
        <v>53</v>
      </c>
      <c r="D1847" s="73"/>
      <c r="E1847" s="71" t="n">
        <v>1200</v>
      </c>
      <c r="F1847" s="67"/>
      <c r="G1847" s="68"/>
      <c r="H1847" s="69" t="n">
        <v>1200</v>
      </c>
    </row>
    <row r="1848" customFormat="false" ht="15" hidden="false" customHeight="true" outlineLevel="0" collapsed="false">
      <c r="B1848" s="64"/>
      <c r="C1848" s="65" t="s">
        <v>19</v>
      </c>
      <c r="D1848" s="66" t="n">
        <v>3768</v>
      </c>
      <c r="E1848" s="67"/>
      <c r="F1848" s="67"/>
      <c r="G1848" s="68"/>
      <c r="H1848" s="69" t="n">
        <v>3768</v>
      </c>
    </row>
    <row r="1849" customFormat="false" ht="15" hidden="false" customHeight="true" outlineLevel="0" collapsed="false">
      <c r="B1849" s="64"/>
      <c r="C1849" s="65" t="s">
        <v>25</v>
      </c>
      <c r="D1849" s="66" t="n">
        <v>1448</v>
      </c>
      <c r="E1849" s="67"/>
      <c r="F1849" s="67"/>
      <c r="G1849" s="68"/>
      <c r="H1849" s="69" t="n">
        <v>1448</v>
      </c>
    </row>
    <row r="1850" customFormat="false" ht="15" hidden="false" customHeight="true" outlineLevel="0" collapsed="false">
      <c r="B1850" s="64"/>
      <c r="C1850" s="65" t="s">
        <v>22</v>
      </c>
      <c r="D1850" s="66" t="n">
        <v>2923</v>
      </c>
      <c r="E1850" s="67"/>
      <c r="F1850" s="67"/>
      <c r="G1850" s="68"/>
      <c r="H1850" s="69" t="n">
        <v>2923</v>
      </c>
    </row>
    <row r="1851" customFormat="false" ht="15" hidden="false" customHeight="true" outlineLevel="0" collapsed="false">
      <c r="B1851" s="64"/>
      <c r="C1851" s="65" t="s">
        <v>37</v>
      </c>
      <c r="D1851" s="73"/>
      <c r="E1851" s="71" t="n">
        <v>100</v>
      </c>
      <c r="F1851" s="67"/>
      <c r="G1851" s="68"/>
      <c r="H1851" s="69" t="n">
        <v>100</v>
      </c>
    </row>
    <row r="1852" customFormat="false" ht="15" hidden="false" customHeight="true" outlineLevel="0" collapsed="false">
      <c r="B1852" s="64"/>
      <c r="C1852" s="65" t="s">
        <v>43</v>
      </c>
      <c r="D1852" s="73"/>
      <c r="E1852" s="71" t="n">
        <v>50</v>
      </c>
      <c r="F1852" s="67"/>
      <c r="G1852" s="68"/>
      <c r="H1852" s="69" t="n">
        <v>50</v>
      </c>
    </row>
    <row r="1853" customFormat="false" ht="15" hidden="false" customHeight="true" outlineLevel="0" collapsed="false">
      <c r="B1853" s="64"/>
      <c r="C1853" s="65" t="s">
        <v>34</v>
      </c>
      <c r="D1853" s="73"/>
      <c r="E1853" s="67"/>
      <c r="F1853" s="71" t="n">
        <v>55</v>
      </c>
      <c r="G1853" s="68"/>
      <c r="H1853" s="69" t="n">
        <v>55</v>
      </c>
    </row>
    <row r="1854" customFormat="false" ht="15" hidden="false" customHeight="true" outlineLevel="0" collapsed="false">
      <c r="B1854" s="84"/>
      <c r="C1854" s="85" t="s">
        <v>29</v>
      </c>
      <c r="D1854" s="86" t="n">
        <v>237</v>
      </c>
      <c r="E1854" s="75"/>
      <c r="F1854" s="75"/>
      <c r="G1854" s="77"/>
      <c r="H1854" s="78" t="n">
        <v>237</v>
      </c>
    </row>
    <row r="1855" customFormat="false" ht="15" hidden="false" customHeight="true" outlineLevel="0" collapsed="false">
      <c r="B1855" s="87" t="s">
        <v>917</v>
      </c>
      <c r="C1855" s="88"/>
      <c r="D1855" s="89" t="n">
        <v>8376</v>
      </c>
      <c r="E1855" s="89" t="n">
        <v>1700</v>
      </c>
      <c r="F1855" s="89" t="n">
        <v>55</v>
      </c>
      <c r="G1855" s="90"/>
      <c r="H1855" s="91" t="n">
        <v>10131</v>
      </c>
    </row>
    <row r="1856" customFormat="false" ht="15" hidden="false" customHeight="true" outlineLevel="0" collapsed="false">
      <c r="B1856" s="56" t="n">
        <v>45856</v>
      </c>
      <c r="C1856" s="57" t="s">
        <v>47</v>
      </c>
      <c r="D1856" s="92" t="n">
        <v>900</v>
      </c>
      <c r="E1856" s="59"/>
      <c r="F1856" s="59"/>
      <c r="G1856" s="61"/>
      <c r="H1856" s="62" t="n">
        <v>900</v>
      </c>
    </row>
    <row r="1857" customFormat="false" ht="15" hidden="false" customHeight="true" outlineLevel="0" collapsed="false">
      <c r="B1857" s="64"/>
      <c r="C1857" s="65" t="s">
        <v>19</v>
      </c>
      <c r="D1857" s="66" t="n">
        <v>1975</v>
      </c>
      <c r="E1857" s="67"/>
      <c r="F1857" s="67"/>
      <c r="G1857" s="68"/>
      <c r="H1857" s="69" t="n">
        <v>1975</v>
      </c>
    </row>
    <row r="1858" customFormat="false" ht="15" hidden="false" customHeight="true" outlineLevel="0" collapsed="false">
      <c r="B1858" s="64"/>
      <c r="C1858" s="65" t="s">
        <v>25</v>
      </c>
      <c r="D1858" s="66" t="n">
        <v>610</v>
      </c>
      <c r="E1858" s="67"/>
      <c r="F1858" s="67"/>
      <c r="G1858" s="68"/>
      <c r="H1858" s="69" t="n">
        <v>610</v>
      </c>
    </row>
    <row r="1859" customFormat="false" ht="15" hidden="false" customHeight="true" outlineLevel="0" collapsed="false">
      <c r="B1859" s="64"/>
      <c r="C1859" s="65" t="s">
        <v>50</v>
      </c>
      <c r="D1859" s="66" t="n">
        <v>1678</v>
      </c>
      <c r="E1859" s="67"/>
      <c r="F1859" s="67"/>
      <c r="G1859" s="68"/>
      <c r="H1859" s="69" t="n">
        <v>1678</v>
      </c>
    </row>
    <row r="1860" customFormat="false" ht="15" hidden="false" customHeight="true" outlineLevel="0" collapsed="false">
      <c r="B1860" s="64"/>
      <c r="C1860" s="65" t="s">
        <v>22</v>
      </c>
      <c r="D1860" s="66" t="n">
        <v>653</v>
      </c>
      <c r="E1860" s="71" t="n">
        <v>110</v>
      </c>
      <c r="F1860" s="67"/>
      <c r="G1860" s="68"/>
      <c r="H1860" s="69" t="n">
        <v>763</v>
      </c>
    </row>
    <row r="1861" customFormat="false" ht="15" hidden="false" customHeight="true" outlineLevel="0" collapsed="false">
      <c r="B1861" s="64"/>
      <c r="C1861" s="65" t="s">
        <v>40</v>
      </c>
      <c r="D1861" s="73"/>
      <c r="E1861" s="71" t="n">
        <v>1480</v>
      </c>
      <c r="F1861" s="67"/>
      <c r="G1861" s="68"/>
      <c r="H1861" s="69" t="n">
        <v>1480</v>
      </c>
    </row>
    <row r="1862" customFormat="false" ht="15" hidden="false" customHeight="true" outlineLevel="0" collapsed="false">
      <c r="B1862" s="64"/>
      <c r="C1862" s="65" t="s">
        <v>34</v>
      </c>
      <c r="D1862" s="73"/>
      <c r="E1862" s="67"/>
      <c r="F1862" s="71" t="n">
        <v>95</v>
      </c>
      <c r="G1862" s="68"/>
      <c r="H1862" s="69" t="n">
        <v>95</v>
      </c>
    </row>
    <row r="1863" customFormat="false" ht="15" hidden="false" customHeight="true" outlineLevel="0" collapsed="false">
      <c r="B1863" s="84"/>
      <c r="C1863" s="85" t="s">
        <v>29</v>
      </c>
      <c r="D1863" s="86" t="n">
        <v>537</v>
      </c>
      <c r="E1863" s="75"/>
      <c r="F1863" s="75"/>
      <c r="G1863" s="77"/>
      <c r="H1863" s="78" t="n">
        <v>537</v>
      </c>
    </row>
    <row r="1864" customFormat="false" ht="15" hidden="false" customHeight="true" outlineLevel="0" collapsed="false">
      <c r="B1864" s="87" t="s">
        <v>918</v>
      </c>
      <c r="C1864" s="88"/>
      <c r="D1864" s="89" t="n">
        <v>6353</v>
      </c>
      <c r="E1864" s="89" t="n">
        <v>1590</v>
      </c>
      <c r="F1864" s="89" t="n">
        <v>95</v>
      </c>
      <c r="G1864" s="90"/>
      <c r="H1864" s="91" t="n">
        <v>8038</v>
      </c>
    </row>
    <row r="1865" customFormat="false" ht="15" hidden="false" customHeight="true" outlineLevel="0" collapsed="false">
      <c r="B1865" s="56" t="n">
        <v>45857</v>
      </c>
      <c r="C1865" s="57" t="s">
        <v>44</v>
      </c>
      <c r="D1865" s="58"/>
      <c r="E1865" s="60" t="n">
        <v>3000</v>
      </c>
      <c r="F1865" s="59"/>
      <c r="G1865" s="61"/>
      <c r="H1865" s="62" t="n">
        <v>3000</v>
      </c>
    </row>
    <row r="1866" customFormat="false" ht="15" hidden="false" customHeight="true" outlineLevel="0" collapsed="false">
      <c r="B1866" s="64"/>
      <c r="C1866" s="65" t="s">
        <v>32</v>
      </c>
      <c r="D1866" s="73"/>
      <c r="E1866" s="71" t="n">
        <v>210</v>
      </c>
      <c r="F1866" s="67"/>
      <c r="G1866" s="68"/>
      <c r="H1866" s="69" t="n">
        <v>210</v>
      </c>
    </row>
    <row r="1867" customFormat="false" ht="15" hidden="false" customHeight="true" outlineLevel="0" collapsed="false">
      <c r="B1867" s="64"/>
      <c r="C1867" s="65" t="s">
        <v>19</v>
      </c>
      <c r="D1867" s="66" t="n">
        <v>2687</v>
      </c>
      <c r="E1867" s="67"/>
      <c r="F1867" s="67"/>
      <c r="G1867" s="68"/>
      <c r="H1867" s="69" t="n">
        <v>2687</v>
      </c>
    </row>
    <row r="1868" customFormat="false" ht="15" hidden="false" customHeight="true" outlineLevel="0" collapsed="false">
      <c r="B1868" s="64"/>
      <c r="C1868" s="65" t="s">
        <v>25</v>
      </c>
      <c r="D1868" s="66" t="n">
        <v>545</v>
      </c>
      <c r="E1868" s="67"/>
      <c r="F1868" s="67"/>
      <c r="G1868" s="68"/>
      <c r="H1868" s="69" t="n">
        <v>545</v>
      </c>
    </row>
    <row r="1869" customFormat="false" ht="15" hidden="false" customHeight="true" outlineLevel="0" collapsed="false">
      <c r="B1869" s="64"/>
      <c r="C1869" s="65" t="s">
        <v>28</v>
      </c>
      <c r="D1869" s="73"/>
      <c r="E1869" s="71" t="n">
        <v>1010</v>
      </c>
      <c r="F1869" s="67"/>
      <c r="G1869" s="68"/>
      <c r="H1869" s="69" t="n">
        <v>1010</v>
      </c>
    </row>
    <row r="1870" customFormat="false" ht="15" hidden="false" customHeight="true" outlineLevel="0" collapsed="false">
      <c r="B1870" s="64"/>
      <c r="C1870" s="65" t="s">
        <v>69</v>
      </c>
      <c r="D1870" s="73"/>
      <c r="E1870" s="71" t="n">
        <v>700</v>
      </c>
      <c r="F1870" s="67"/>
      <c r="G1870" s="68"/>
      <c r="H1870" s="69" t="n">
        <v>700</v>
      </c>
    </row>
    <row r="1871" customFormat="false" ht="15" hidden="false" customHeight="true" outlineLevel="0" collapsed="false">
      <c r="B1871" s="64"/>
      <c r="C1871" s="65" t="s">
        <v>22</v>
      </c>
      <c r="D1871" s="66" t="n">
        <v>2725</v>
      </c>
      <c r="E1871" s="71" t="n">
        <v>310</v>
      </c>
      <c r="F1871" s="67"/>
      <c r="G1871" s="68"/>
      <c r="H1871" s="69" t="n">
        <v>3035</v>
      </c>
    </row>
    <row r="1872" customFormat="false" ht="15" hidden="false" customHeight="true" outlineLevel="0" collapsed="false">
      <c r="B1872" s="64"/>
      <c r="C1872" s="65" t="s">
        <v>40</v>
      </c>
      <c r="D1872" s="73"/>
      <c r="E1872" s="71" t="n">
        <v>400</v>
      </c>
      <c r="F1872" s="67"/>
      <c r="G1872" s="68"/>
      <c r="H1872" s="69" t="n">
        <v>400</v>
      </c>
    </row>
    <row r="1873" customFormat="false" ht="15" hidden="false" customHeight="true" outlineLevel="0" collapsed="false">
      <c r="B1873" s="64"/>
      <c r="C1873" s="65" t="s">
        <v>34</v>
      </c>
      <c r="D1873" s="73"/>
      <c r="E1873" s="67"/>
      <c r="F1873" s="71" t="n">
        <v>100</v>
      </c>
      <c r="G1873" s="68"/>
      <c r="H1873" s="69" t="n">
        <v>100</v>
      </c>
    </row>
    <row r="1874" customFormat="false" ht="15" hidden="false" customHeight="true" outlineLevel="0" collapsed="false">
      <c r="B1874" s="84"/>
      <c r="C1874" s="85" t="s">
        <v>29</v>
      </c>
      <c r="D1874" s="86" t="n">
        <v>475</v>
      </c>
      <c r="E1874" s="75"/>
      <c r="F1874" s="75"/>
      <c r="G1874" s="77"/>
      <c r="H1874" s="78" t="n">
        <v>475</v>
      </c>
    </row>
    <row r="1875" customFormat="false" ht="15" hidden="false" customHeight="true" outlineLevel="0" collapsed="false">
      <c r="B1875" s="87" t="s">
        <v>919</v>
      </c>
      <c r="C1875" s="88"/>
      <c r="D1875" s="89" t="n">
        <v>6432</v>
      </c>
      <c r="E1875" s="89" t="n">
        <v>5630</v>
      </c>
      <c r="F1875" s="89" t="n">
        <v>100</v>
      </c>
      <c r="G1875" s="90"/>
      <c r="H1875" s="91" t="n">
        <v>12162</v>
      </c>
    </row>
    <row r="1876" customFormat="false" ht="15" hidden="false" customHeight="true" outlineLevel="0" collapsed="false">
      <c r="B1876" s="56" t="n">
        <v>45858</v>
      </c>
      <c r="C1876" s="57" t="s">
        <v>44</v>
      </c>
      <c r="D1876" s="58"/>
      <c r="E1876" s="60" t="n">
        <v>9720</v>
      </c>
      <c r="F1876" s="59"/>
      <c r="G1876" s="61"/>
      <c r="H1876" s="62" t="n">
        <v>9720</v>
      </c>
    </row>
    <row r="1877" customFormat="false" ht="15" hidden="false" customHeight="true" outlineLevel="0" collapsed="false">
      <c r="B1877" s="64"/>
      <c r="C1877" s="65" t="s">
        <v>19</v>
      </c>
      <c r="D1877" s="66" t="n">
        <v>4555</v>
      </c>
      <c r="E1877" s="67"/>
      <c r="F1877" s="67"/>
      <c r="G1877" s="68"/>
      <c r="H1877" s="69" t="n">
        <v>4555</v>
      </c>
    </row>
    <row r="1878" customFormat="false" ht="15" hidden="false" customHeight="true" outlineLevel="0" collapsed="false">
      <c r="B1878" s="64"/>
      <c r="C1878" s="65" t="s">
        <v>25</v>
      </c>
      <c r="D1878" s="66" t="n">
        <v>1371</v>
      </c>
      <c r="E1878" s="71" t="n">
        <v>350</v>
      </c>
      <c r="F1878" s="67"/>
      <c r="G1878" s="68"/>
      <c r="H1878" s="69" t="n">
        <v>1721</v>
      </c>
    </row>
    <row r="1879" customFormat="false" ht="15" hidden="false" customHeight="true" outlineLevel="0" collapsed="false">
      <c r="B1879" s="64"/>
      <c r="C1879" s="65" t="s">
        <v>50</v>
      </c>
      <c r="D1879" s="66" t="n">
        <v>3356</v>
      </c>
      <c r="E1879" s="67"/>
      <c r="F1879" s="67"/>
      <c r="G1879" s="68"/>
      <c r="H1879" s="69" t="n">
        <v>3356</v>
      </c>
    </row>
    <row r="1880" customFormat="false" ht="15" hidden="false" customHeight="true" outlineLevel="0" collapsed="false">
      <c r="B1880" s="64"/>
      <c r="C1880" s="65" t="s">
        <v>22</v>
      </c>
      <c r="D1880" s="66" t="n">
        <v>870</v>
      </c>
      <c r="E1880" s="67"/>
      <c r="F1880" s="67"/>
      <c r="G1880" s="68"/>
      <c r="H1880" s="69" t="n">
        <v>870</v>
      </c>
    </row>
    <row r="1881" customFormat="false" ht="15" hidden="false" customHeight="true" outlineLevel="0" collapsed="false">
      <c r="B1881" s="64"/>
      <c r="C1881" s="65" t="s">
        <v>31</v>
      </c>
      <c r="D1881" s="73"/>
      <c r="E1881" s="71" t="n">
        <v>310</v>
      </c>
      <c r="F1881" s="67"/>
      <c r="G1881" s="68"/>
      <c r="H1881" s="69" t="n">
        <v>310</v>
      </c>
    </row>
    <row r="1882" customFormat="false" ht="15" hidden="false" customHeight="true" outlineLevel="0" collapsed="false">
      <c r="B1882" s="64"/>
      <c r="C1882" s="65" t="s">
        <v>35</v>
      </c>
      <c r="D1882" s="73"/>
      <c r="E1882" s="71" t="n">
        <v>100</v>
      </c>
      <c r="F1882" s="67"/>
      <c r="G1882" s="68"/>
      <c r="H1882" s="69" t="n">
        <v>100</v>
      </c>
    </row>
    <row r="1883" customFormat="false" ht="15" hidden="false" customHeight="true" outlineLevel="0" collapsed="false">
      <c r="B1883" s="64"/>
      <c r="C1883" s="65" t="s">
        <v>34</v>
      </c>
      <c r="D1883" s="73"/>
      <c r="E1883" s="67"/>
      <c r="F1883" s="71" t="n">
        <v>80</v>
      </c>
      <c r="G1883" s="68"/>
      <c r="H1883" s="69" t="n">
        <v>80</v>
      </c>
    </row>
    <row r="1884" customFormat="false" ht="15" hidden="false" customHeight="true" outlineLevel="0" collapsed="false">
      <c r="B1884" s="84"/>
      <c r="C1884" s="85" t="s">
        <v>29</v>
      </c>
      <c r="D1884" s="86" t="n">
        <v>190</v>
      </c>
      <c r="E1884" s="75"/>
      <c r="F1884" s="75"/>
      <c r="G1884" s="77"/>
      <c r="H1884" s="78" t="n">
        <v>190</v>
      </c>
    </row>
    <row r="1885" customFormat="false" ht="15" hidden="false" customHeight="true" outlineLevel="0" collapsed="false">
      <c r="B1885" s="87" t="s">
        <v>920</v>
      </c>
      <c r="C1885" s="88"/>
      <c r="D1885" s="89" t="n">
        <v>10342</v>
      </c>
      <c r="E1885" s="89" t="n">
        <v>10480</v>
      </c>
      <c r="F1885" s="89" t="n">
        <v>80</v>
      </c>
      <c r="G1885" s="90"/>
      <c r="H1885" s="91" t="n">
        <v>20902</v>
      </c>
    </row>
    <row r="1886" customFormat="false" ht="15" hidden="false" customHeight="true" outlineLevel="0" collapsed="false">
      <c r="B1886" s="56" t="n">
        <v>45859</v>
      </c>
      <c r="C1886" s="57" t="s">
        <v>32</v>
      </c>
      <c r="D1886" s="58"/>
      <c r="E1886" s="59"/>
      <c r="F1886" s="60" t="n">
        <v>315</v>
      </c>
      <c r="G1886" s="61"/>
      <c r="H1886" s="62" t="n">
        <v>315</v>
      </c>
    </row>
    <row r="1887" customFormat="false" ht="15" hidden="false" customHeight="true" outlineLevel="0" collapsed="false">
      <c r="B1887" s="64"/>
      <c r="C1887" s="65" t="s">
        <v>53</v>
      </c>
      <c r="D1887" s="73"/>
      <c r="E1887" s="71" t="n">
        <v>1200</v>
      </c>
      <c r="F1887" s="67"/>
      <c r="G1887" s="68"/>
      <c r="H1887" s="69" t="n">
        <v>1200</v>
      </c>
    </row>
    <row r="1888" customFormat="false" ht="15" hidden="false" customHeight="true" outlineLevel="0" collapsed="false">
      <c r="B1888" s="64"/>
      <c r="C1888" s="65" t="s">
        <v>47</v>
      </c>
      <c r="D1888" s="66" t="n">
        <v>900</v>
      </c>
      <c r="E1888" s="67"/>
      <c r="F1888" s="67"/>
      <c r="G1888" s="68"/>
      <c r="H1888" s="69" t="n">
        <v>900</v>
      </c>
    </row>
    <row r="1889" customFormat="false" ht="15" hidden="false" customHeight="true" outlineLevel="0" collapsed="false">
      <c r="B1889" s="64"/>
      <c r="C1889" s="65" t="s">
        <v>19</v>
      </c>
      <c r="D1889" s="66" t="n">
        <v>5735</v>
      </c>
      <c r="E1889" s="67"/>
      <c r="F1889" s="67"/>
      <c r="G1889" s="68"/>
      <c r="H1889" s="69" t="n">
        <v>5735</v>
      </c>
    </row>
    <row r="1890" customFormat="false" ht="15" hidden="false" customHeight="true" outlineLevel="0" collapsed="false">
      <c r="B1890" s="64"/>
      <c r="C1890" s="65" t="s">
        <v>25</v>
      </c>
      <c r="D1890" s="66" t="n">
        <v>1425</v>
      </c>
      <c r="E1890" s="67"/>
      <c r="F1890" s="67"/>
      <c r="G1890" s="68"/>
      <c r="H1890" s="69" t="n">
        <v>1425</v>
      </c>
    </row>
    <row r="1891" customFormat="false" ht="15" hidden="false" customHeight="true" outlineLevel="0" collapsed="false">
      <c r="B1891" s="64"/>
      <c r="C1891" s="65" t="s">
        <v>22</v>
      </c>
      <c r="D1891" s="66" t="n">
        <v>4662</v>
      </c>
      <c r="E1891" s="67"/>
      <c r="F1891" s="67"/>
      <c r="G1891" s="68"/>
      <c r="H1891" s="69" t="n">
        <v>4662</v>
      </c>
    </row>
    <row r="1892" customFormat="false" ht="15" hidden="false" customHeight="true" outlineLevel="0" collapsed="false">
      <c r="B1892" s="64"/>
      <c r="C1892" s="65" t="s">
        <v>34</v>
      </c>
      <c r="D1892" s="73"/>
      <c r="E1892" s="67"/>
      <c r="F1892" s="71" t="n">
        <v>65</v>
      </c>
      <c r="G1892" s="68"/>
      <c r="H1892" s="69" t="n">
        <v>65</v>
      </c>
    </row>
    <row r="1893" customFormat="false" ht="15" hidden="false" customHeight="true" outlineLevel="0" collapsed="false">
      <c r="B1893" s="84"/>
      <c r="C1893" s="85" t="s">
        <v>29</v>
      </c>
      <c r="D1893" s="86" t="n">
        <v>363</v>
      </c>
      <c r="E1893" s="76" t="n">
        <v>50</v>
      </c>
      <c r="F1893" s="75"/>
      <c r="G1893" s="77"/>
      <c r="H1893" s="78" t="n">
        <v>413</v>
      </c>
    </row>
    <row r="1894" customFormat="false" ht="15" hidden="false" customHeight="true" outlineLevel="0" collapsed="false">
      <c r="B1894" s="87" t="s">
        <v>921</v>
      </c>
      <c r="C1894" s="88"/>
      <c r="D1894" s="89" t="n">
        <v>13085</v>
      </c>
      <c r="E1894" s="89" t="n">
        <v>1250</v>
      </c>
      <c r="F1894" s="89" t="n">
        <v>380</v>
      </c>
      <c r="G1894" s="90"/>
      <c r="H1894" s="91" t="n">
        <v>14715</v>
      </c>
    </row>
    <row r="1895" customFormat="false" ht="15" hidden="false" customHeight="true" outlineLevel="0" collapsed="false">
      <c r="B1895" s="56" t="n">
        <v>45860</v>
      </c>
      <c r="C1895" s="57" t="s">
        <v>25</v>
      </c>
      <c r="D1895" s="92" t="n">
        <v>446</v>
      </c>
      <c r="E1895" s="60" t="n">
        <v>150</v>
      </c>
      <c r="F1895" s="59"/>
      <c r="G1895" s="61"/>
      <c r="H1895" s="62" t="n">
        <v>596</v>
      </c>
    </row>
    <row r="1896" customFormat="false" ht="15" hidden="false" customHeight="true" outlineLevel="0" collapsed="false">
      <c r="B1896" s="64"/>
      <c r="C1896" s="65" t="s">
        <v>50</v>
      </c>
      <c r="D1896" s="66" t="n">
        <v>1678</v>
      </c>
      <c r="E1896" s="67"/>
      <c r="F1896" s="67"/>
      <c r="G1896" s="68"/>
      <c r="H1896" s="69" t="n">
        <v>1678</v>
      </c>
    </row>
    <row r="1897" customFormat="false" ht="15" hidden="false" customHeight="true" outlineLevel="0" collapsed="false">
      <c r="B1897" s="64"/>
      <c r="C1897" s="65" t="s">
        <v>22</v>
      </c>
      <c r="D1897" s="66" t="n">
        <v>2442</v>
      </c>
      <c r="E1897" s="67"/>
      <c r="F1897" s="67"/>
      <c r="G1897" s="68"/>
      <c r="H1897" s="69" t="n">
        <v>2442</v>
      </c>
    </row>
    <row r="1898" customFormat="false" ht="15" hidden="false" customHeight="true" outlineLevel="0" collapsed="false">
      <c r="B1898" s="64"/>
      <c r="C1898" s="65" t="s">
        <v>34</v>
      </c>
      <c r="D1898" s="73"/>
      <c r="E1898" s="67"/>
      <c r="F1898" s="71" t="n">
        <v>55</v>
      </c>
      <c r="G1898" s="68"/>
      <c r="H1898" s="69" t="n">
        <v>55</v>
      </c>
    </row>
    <row r="1899" customFormat="false" ht="15" hidden="false" customHeight="true" outlineLevel="0" collapsed="false">
      <c r="B1899" s="84"/>
      <c r="C1899" s="85" t="s">
        <v>29</v>
      </c>
      <c r="D1899" s="86" t="n">
        <v>285</v>
      </c>
      <c r="E1899" s="76" t="n">
        <v>550</v>
      </c>
      <c r="F1899" s="75"/>
      <c r="G1899" s="77"/>
      <c r="H1899" s="78" t="n">
        <v>835</v>
      </c>
    </row>
    <row r="1900" customFormat="false" ht="15" hidden="false" customHeight="true" outlineLevel="0" collapsed="false">
      <c r="B1900" s="87" t="s">
        <v>922</v>
      </c>
      <c r="C1900" s="88"/>
      <c r="D1900" s="89" t="n">
        <v>4851</v>
      </c>
      <c r="E1900" s="89" t="n">
        <v>700</v>
      </c>
      <c r="F1900" s="89" t="n">
        <v>55</v>
      </c>
      <c r="G1900" s="90"/>
      <c r="H1900" s="91" t="n">
        <v>5606</v>
      </c>
    </row>
    <row r="1901" customFormat="false" ht="15" hidden="false" customHeight="true" outlineLevel="0" collapsed="false">
      <c r="B1901" s="56" t="n">
        <v>45861</v>
      </c>
      <c r="C1901" s="57" t="s">
        <v>32</v>
      </c>
      <c r="D1901" s="58"/>
      <c r="E1901" s="59"/>
      <c r="F1901" s="60" t="n">
        <v>60</v>
      </c>
      <c r="G1901" s="61"/>
      <c r="H1901" s="62" t="n">
        <v>60</v>
      </c>
    </row>
    <row r="1902" customFormat="false" ht="15" hidden="false" customHeight="true" outlineLevel="0" collapsed="false">
      <c r="B1902" s="64"/>
      <c r="C1902" s="65" t="s">
        <v>47</v>
      </c>
      <c r="D1902" s="66" t="n">
        <v>900</v>
      </c>
      <c r="E1902" s="67"/>
      <c r="F1902" s="67"/>
      <c r="G1902" s="68"/>
      <c r="H1902" s="69" t="n">
        <v>900</v>
      </c>
    </row>
    <row r="1903" customFormat="false" ht="15" hidden="false" customHeight="true" outlineLevel="0" collapsed="false">
      <c r="B1903" s="64"/>
      <c r="C1903" s="65" t="s">
        <v>19</v>
      </c>
      <c r="D1903" s="66" t="n">
        <v>3170</v>
      </c>
      <c r="E1903" s="67"/>
      <c r="F1903" s="67"/>
      <c r="G1903" s="68"/>
      <c r="H1903" s="69" t="n">
        <v>3170</v>
      </c>
    </row>
    <row r="1904" customFormat="false" ht="15" hidden="false" customHeight="true" outlineLevel="0" collapsed="false">
      <c r="B1904" s="64"/>
      <c r="C1904" s="65" t="s">
        <v>25</v>
      </c>
      <c r="D1904" s="66" t="n">
        <v>603</v>
      </c>
      <c r="E1904" s="67"/>
      <c r="F1904" s="67"/>
      <c r="G1904" s="68"/>
      <c r="H1904" s="69" t="n">
        <v>603</v>
      </c>
    </row>
    <row r="1905" customFormat="false" ht="15" hidden="false" customHeight="true" outlineLevel="0" collapsed="false">
      <c r="B1905" s="64"/>
      <c r="C1905" s="65" t="s">
        <v>28</v>
      </c>
      <c r="D1905" s="73"/>
      <c r="E1905" s="67"/>
      <c r="F1905" s="71" t="n">
        <v>950</v>
      </c>
      <c r="G1905" s="68"/>
      <c r="H1905" s="69" t="n">
        <v>950</v>
      </c>
    </row>
    <row r="1906" customFormat="false" ht="15" hidden="false" customHeight="true" outlineLevel="0" collapsed="false">
      <c r="B1906" s="64"/>
      <c r="C1906" s="65" t="s">
        <v>22</v>
      </c>
      <c r="D1906" s="66" t="n">
        <v>1265</v>
      </c>
      <c r="E1906" s="67"/>
      <c r="F1906" s="71" t="n">
        <v>700</v>
      </c>
      <c r="G1906" s="68"/>
      <c r="H1906" s="69" t="n">
        <v>1965</v>
      </c>
    </row>
    <row r="1907" customFormat="false" ht="15" hidden="false" customHeight="true" outlineLevel="0" collapsed="false">
      <c r="B1907" s="64"/>
      <c r="C1907" s="65" t="s">
        <v>40</v>
      </c>
      <c r="D1907" s="73"/>
      <c r="E1907" s="67"/>
      <c r="F1907" s="71" t="n">
        <v>400</v>
      </c>
      <c r="G1907" s="68"/>
      <c r="H1907" s="69" t="n">
        <v>400</v>
      </c>
    </row>
    <row r="1908" customFormat="false" ht="15" hidden="false" customHeight="true" outlineLevel="0" collapsed="false">
      <c r="B1908" s="64"/>
      <c r="C1908" s="65" t="s">
        <v>34</v>
      </c>
      <c r="D1908" s="73"/>
      <c r="E1908" s="67"/>
      <c r="F1908" s="71" t="n">
        <v>20</v>
      </c>
      <c r="G1908" s="68"/>
      <c r="H1908" s="69" t="n">
        <v>20</v>
      </c>
    </row>
    <row r="1909" customFormat="false" ht="15" hidden="false" customHeight="true" outlineLevel="0" collapsed="false">
      <c r="B1909" s="84"/>
      <c r="C1909" s="85" t="s">
        <v>29</v>
      </c>
      <c r="D1909" s="86" t="n">
        <v>187</v>
      </c>
      <c r="E1909" s="75"/>
      <c r="F1909" s="75"/>
      <c r="G1909" s="77"/>
      <c r="H1909" s="78" t="n">
        <v>187</v>
      </c>
    </row>
    <row r="1910" customFormat="false" ht="15" hidden="false" customHeight="true" outlineLevel="0" collapsed="false">
      <c r="B1910" s="87" t="s">
        <v>923</v>
      </c>
      <c r="C1910" s="88"/>
      <c r="D1910" s="89" t="n">
        <v>6125</v>
      </c>
      <c r="E1910" s="90"/>
      <c r="F1910" s="89" t="n">
        <v>2130</v>
      </c>
      <c r="G1910" s="90"/>
      <c r="H1910" s="91" t="n">
        <v>8255</v>
      </c>
    </row>
    <row r="1911" customFormat="false" ht="15" hidden="false" customHeight="true" outlineLevel="0" collapsed="false">
      <c r="B1911" s="56" t="n">
        <v>45862</v>
      </c>
      <c r="C1911" s="57" t="s">
        <v>19</v>
      </c>
      <c r="D1911" s="92" t="n">
        <v>4222</v>
      </c>
      <c r="E1911" s="59"/>
      <c r="F1911" s="59"/>
      <c r="G1911" s="61"/>
      <c r="H1911" s="62" t="n">
        <v>4222</v>
      </c>
    </row>
    <row r="1912" customFormat="false" ht="15" hidden="false" customHeight="true" outlineLevel="0" collapsed="false">
      <c r="B1912" s="64"/>
      <c r="C1912" s="65" t="s">
        <v>25</v>
      </c>
      <c r="D1912" s="66" t="n">
        <v>806</v>
      </c>
      <c r="E1912" s="67"/>
      <c r="F1912" s="67"/>
      <c r="G1912" s="68"/>
      <c r="H1912" s="69" t="n">
        <v>806</v>
      </c>
    </row>
    <row r="1913" customFormat="false" ht="15" hidden="false" customHeight="true" outlineLevel="0" collapsed="false">
      <c r="B1913" s="64"/>
      <c r="C1913" s="65" t="s">
        <v>51</v>
      </c>
      <c r="D1913" s="66" t="n">
        <v>6545</v>
      </c>
      <c r="E1913" s="67"/>
      <c r="F1913" s="67"/>
      <c r="G1913" s="68"/>
      <c r="H1913" s="69" t="n">
        <v>6545</v>
      </c>
    </row>
    <row r="1914" customFormat="false" ht="15" hidden="false" customHeight="true" outlineLevel="0" collapsed="false">
      <c r="B1914" s="64"/>
      <c r="C1914" s="65" t="s">
        <v>50</v>
      </c>
      <c r="D1914" s="66" t="n">
        <v>1678</v>
      </c>
      <c r="E1914" s="67"/>
      <c r="F1914" s="67"/>
      <c r="G1914" s="68"/>
      <c r="H1914" s="69" t="n">
        <v>1678</v>
      </c>
    </row>
    <row r="1915" customFormat="false" ht="15" hidden="false" customHeight="true" outlineLevel="0" collapsed="false">
      <c r="B1915" s="64"/>
      <c r="C1915" s="65" t="s">
        <v>22</v>
      </c>
      <c r="D1915" s="73"/>
      <c r="E1915" s="67"/>
      <c r="F1915" s="71" t="n">
        <v>110</v>
      </c>
      <c r="G1915" s="68"/>
      <c r="H1915" s="69" t="n">
        <v>110</v>
      </c>
    </row>
    <row r="1916" customFormat="false" ht="15" hidden="false" customHeight="true" outlineLevel="0" collapsed="false">
      <c r="B1916" s="64"/>
      <c r="C1916" s="65" t="s">
        <v>34</v>
      </c>
      <c r="D1916" s="73"/>
      <c r="E1916" s="67"/>
      <c r="F1916" s="71" t="n">
        <v>60</v>
      </c>
      <c r="G1916" s="68"/>
      <c r="H1916" s="69" t="n">
        <v>60</v>
      </c>
    </row>
    <row r="1917" customFormat="false" ht="15" hidden="false" customHeight="true" outlineLevel="0" collapsed="false">
      <c r="B1917" s="84"/>
      <c r="C1917" s="85" t="s">
        <v>29</v>
      </c>
      <c r="D1917" s="86" t="n">
        <v>304</v>
      </c>
      <c r="E1917" s="75"/>
      <c r="F1917" s="75"/>
      <c r="G1917" s="77"/>
      <c r="H1917" s="78" t="n">
        <v>304</v>
      </c>
    </row>
    <row r="1918" customFormat="false" ht="15" hidden="false" customHeight="true" outlineLevel="0" collapsed="false">
      <c r="B1918" s="87" t="s">
        <v>924</v>
      </c>
      <c r="C1918" s="88"/>
      <c r="D1918" s="89" t="n">
        <v>13555</v>
      </c>
      <c r="E1918" s="90"/>
      <c r="F1918" s="89" t="n">
        <v>170</v>
      </c>
      <c r="G1918" s="90"/>
      <c r="H1918" s="91" t="n">
        <v>13725</v>
      </c>
    </row>
    <row r="1919" customFormat="false" ht="15" hidden="false" customHeight="true" outlineLevel="0" collapsed="false">
      <c r="B1919" s="56" t="n">
        <v>45863</v>
      </c>
      <c r="C1919" s="57" t="s">
        <v>44</v>
      </c>
      <c r="D1919" s="58"/>
      <c r="E1919" s="60" t="n">
        <v>400</v>
      </c>
      <c r="F1919" s="59"/>
      <c r="G1919" s="61"/>
      <c r="H1919" s="62" t="n">
        <v>400</v>
      </c>
    </row>
    <row r="1920" customFormat="false" ht="15" hidden="false" customHeight="true" outlineLevel="0" collapsed="false">
      <c r="B1920" s="64"/>
      <c r="C1920" s="65" t="s">
        <v>32</v>
      </c>
      <c r="D1920" s="73"/>
      <c r="E1920" s="71" t="n">
        <v>350</v>
      </c>
      <c r="F1920" s="67"/>
      <c r="G1920" s="68"/>
      <c r="H1920" s="69" t="n">
        <v>350</v>
      </c>
    </row>
    <row r="1921" customFormat="false" ht="15" hidden="false" customHeight="true" outlineLevel="0" collapsed="false">
      <c r="B1921" s="64"/>
      <c r="C1921" s="65" t="s">
        <v>47</v>
      </c>
      <c r="D1921" s="66" t="n">
        <v>1800</v>
      </c>
      <c r="E1921" s="67"/>
      <c r="F1921" s="67"/>
      <c r="G1921" s="68"/>
      <c r="H1921" s="69" t="n">
        <v>1800</v>
      </c>
    </row>
    <row r="1922" customFormat="false" ht="15" hidden="false" customHeight="true" outlineLevel="0" collapsed="false">
      <c r="B1922" s="64"/>
      <c r="C1922" s="65" t="s">
        <v>19</v>
      </c>
      <c r="D1922" s="66" t="n">
        <v>4313</v>
      </c>
      <c r="E1922" s="67"/>
      <c r="F1922" s="67"/>
      <c r="G1922" s="68"/>
      <c r="H1922" s="69" t="n">
        <v>4313</v>
      </c>
    </row>
    <row r="1923" customFormat="false" ht="15" hidden="false" customHeight="true" outlineLevel="0" collapsed="false">
      <c r="B1923" s="64"/>
      <c r="C1923" s="65" t="s">
        <v>25</v>
      </c>
      <c r="D1923" s="66" t="n">
        <v>568</v>
      </c>
      <c r="E1923" s="67"/>
      <c r="F1923" s="67"/>
      <c r="G1923" s="68"/>
      <c r="H1923" s="69" t="n">
        <v>568</v>
      </c>
    </row>
    <row r="1924" customFormat="false" ht="15" hidden="false" customHeight="true" outlineLevel="0" collapsed="false">
      <c r="B1924" s="64"/>
      <c r="C1924" s="65" t="s">
        <v>22</v>
      </c>
      <c r="D1924" s="66" t="n">
        <v>2655</v>
      </c>
      <c r="E1924" s="71" t="n">
        <v>810</v>
      </c>
      <c r="F1924" s="67"/>
      <c r="G1924" s="68"/>
      <c r="H1924" s="69" t="n">
        <v>3465</v>
      </c>
    </row>
    <row r="1925" customFormat="false" ht="15" hidden="false" customHeight="true" outlineLevel="0" collapsed="false">
      <c r="B1925" s="64"/>
      <c r="C1925" s="65" t="s">
        <v>40</v>
      </c>
      <c r="D1925" s="73"/>
      <c r="E1925" s="71" t="n">
        <v>1480</v>
      </c>
      <c r="F1925" s="67"/>
      <c r="G1925" s="68"/>
      <c r="H1925" s="69" t="n">
        <v>1480</v>
      </c>
    </row>
    <row r="1926" customFormat="false" ht="15" hidden="false" customHeight="true" outlineLevel="0" collapsed="false">
      <c r="B1926" s="64"/>
      <c r="C1926" s="65" t="s">
        <v>31</v>
      </c>
      <c r="D1926" s="73"/>
      <c r="E1926" s="71" t="n">
        <v>310</v>
      </c>
      <c r="F1926" s="67"/>
      <c r="G1926" s="68"/>
      <c r="H1926" s="69" t="n">
        <v>310</v>
      </c>
    </row>
    <row r="1927" customFormat="false" ht="15" hidden="false" customHeight="true" outlineLevel="0" collapsed="false">
      <c r="B1927" s="64"/>
      <c r="C1927" s="65" t="s">
        <v>34</v>
      </c>
      <c r="D1927" s="73"/>
      <c r="E1927" s="67"/>
      <c r="F1927" s="71" t="n">
        <v>55</v>
      </c>
      <c r="G1927" s="68"/>
      <c r="H1927" s="69" t="n">
        <v>55</v>
      </c>
    </row>
    <row r="1928" customFormat="false" ht="15" hidden="false" customHeight="true" outlineLevel="0" collapsed="false">
      <c r="B1928" s="84"/>
      <c r="C1928" s="85" t="s">
        <v>29</v>
      </c>
      <c r="D1928" s="86" t="n">
        <v>486</v>
      </c>
      <c r="E1928" s="75"/>
      <c r="F1928" s="75"/>
      <c r="G1928" s="77"/>
      <c r="H1928" s="78" t="n">
        <v>486</v>
      </c>
    </row>
    <row r="1929" customFormat="false" ht="15" hidden="false" customHeight="true" outlineLevel="0" collapsed="false">
      <c r="B1929" s="87" t="s">
        <v>925</v>
      </c>
      <c r="C1929" s="88"/>
      <c r="D1929" s="89" t="n">
        <v>9822</v>
      </c>
      <c r="E1929" s="89" t="n">
        <v>3350</v>
      </c>
      <c r="F1929" s="89" t="n">
        <v>55</v>
      </c>
      <c r="G1929" s="90"/>
      <c r="H1929" s="91" t="n">
        <v>13227</v>
      </c>
    </row>
    <row r="1930" customFormat="false" ht="15" hidden="false" customHeight="true" outlineLevel="0" collapsed="false">
      <c r="B1930" s="56" t="n">
        <v>45864</v>
      </c>
      <c r="C1930" s="57" t="s">
        <v>44</v>
      </c>
      <c r="D1930" s="92" t="n">
        <v>3000</v>
      </c>
      <c r="E1930" s="59"/>
      <c r="F1930" s="59"/>
      <c r="G1930" s="61"/>
      <c r="H1930" s="62" t="n">
        <v>3000</v>
      </c>
    </row>
    <row r="1931" customFormat="false" ht="15" hidden="false" customHeight="true" outlineLevel="0" collapsed="false">
      <c r="B1931" s="64"/>
      <c r="C1931" s="65" t="s">
        <v>32</v>
      </c>
      <c r="D1931" s="73"/>
      <c r="E1931" s="71" t="n">
        <v>140</v>
      </c>
      <c r="F1931" s="67"/>
      <c r="G1931" s="68"/>
      <c r="H1931" s="69" t="n">
        <v>140</v>
      </c>
    </row>
    <row r="1932" customFormat="false" ht="15" hidden="false" customHeight="true" outlineLevel="0" collapsed="false">
      <c r="B1932" s="64"/>
      <c r="C1932" s="65" t="s">
        <v>53</v>
      </c>
      <c r="D1932" s="66" t="n">
        <v>2748</v>
      </c>
      <c r="E1932" s="67"/>
      <c r="F1932" s="67"/>
      <c r="G1932" s="68"/>
      <c r="H1932" s="69" t="n">
        <v>2748</v>
      </c>
    </row>
    <row r="1933" customFormat="false" ht="15" hidden="false" customHeight="true" outlineLevel="0" collapsed="false">
      <c r="B1933" s="64"/>
      <c r="C1933" s="65" t="s">
        <v>47</v>
      </c>
      <c r="D1933" s="66" t="n">
        <v>900</v>
      </c>
      <c r="E1933" s="67"/>
      <c r="F1933" s="67"/>
      <c r="G1933" s="68"/>
      <c r="H1933" s="69" t="n">
        <v>900</v>
      </c>
    </row>
    <row r="1934" customFormat="false" ht="15" hidden="false" customHeight="true" outlineLevel="0" collapsed="false">
      <c r="B1934" s="64"/>
      <c r="C1934" s="65" t="s">
        <v>19</v>
      </c>
      <c r="D1934" s="66" t="n">
        <v>4105</v>
      </c>
      <c r="E1934" s="67"/>
      <c r="F1934" s="67"/>
      <c r="G1934" s="68"/>
      <c r="H1934" s="69" t="n">
        <v>4105</v>
      </c>
    </row>
    <row r="1935" customFormat="false" ht="15" hidden="false" customHeight="true" outlineLevel="0" collapsed="false">
      <c r="B1935" s="64"/>
      <c r="C1935" s="65" t="s">
        <v>25</v>
      </c>
      <c r="D1935" s="66" t="n">
        <v>823</v>
      </c>
      <c r="E1935" s="67"/>
      <c r="F1935" s="67"/>
      <c r="G1935" s="68"/>
      <c r="H1935" s="69" t="n">
        <v>823</v>
      </c>
    </row>
    <row r="1936" customFormat="false" ht="15" hidden="false" customHeight="true" outlineLevel="0" collapsed="false">
      <c r="B1936" s="64"/>
      <c r="C1936" s="65" t="s">
        <v>50</v>
      </c>
      <c r="D1936" s="66" t="n">
        <v>1678</v>
      </c>
      <c r="E1936" s="67"/>
      <c r="F1936" s="67"/>
      <c r="G1936" s="68"/>
      <c r="H1936" s="69" t="n">
        <v>1678</v>
      </c>
    </row>
    <row r="1937" customFormat="false" ht="15" hidden="false" customHeight="true" outlineLevel="0" collapsed="false">
      <c r="B1937" s="64"/>
      <c r="C1937" s="65" t="s">
        <v>22</v>
      </c>
      <c r="D1937" s="66" t="n">
        <v>5357</v>
      </c>
      <c r="E1937" s="71" t="n">
        <v>160</v>
      </c>
      <c r="F1937" s="67"/>
      <c r="G1937" s="68"/>
      <c r="H1937" s="69" t="n">
        <v>5517</v>
      </c>
    </row>
    <row r="1938" customFormat="false" ht="15" hidden="false" customHeight="true" outlineLevel="0" collapsed="false">
      <c r="B1938" s="64"/>
      <c r="C1938" s="65" t="s">
        <v>43</v>
      </c>
      <c r="D1938" s="73"/>
      <c r="E1938" s="71" t="n">
        <v>200</v>
      </c>
      <c r="F1938" s="67"/>
      <c r="G1938" s="68"/>
      <c r="H1938" s="69" t="n">
        <v>200</v>
      </c>
    </row>
    <row r="1939" customFormat="false" ht="15" hidden="false" customHeight="true" outlineLevel="0" collapsed="false">
      <c r="B1939" s="64"/>
      <c r="C1939" s="65" t="s">
        <v>34</v>
      </c>
      <c r="D1939" s="73"/>
      <c r="E1939" s="67"/>
      <c r="F1939" s="71" t="n">
        <v>60</v>
      </c>
      <c r="G1939" s="68"/>
      <c r="H1939" s="69" t="n">
        <v>60</v>
      </c>
    </row>
    <row r="1940" customFormat="false" ht="15" hidden="false" customHeight="true" outlineLevel="0" collapsed="false">
      <c r="B1940" s="84"/>
      <c r="C1940" s="85" t="s">
        <v>29</v>
      </c>
      <c r="D1940" s="86" t="n">
        <v>456</v>
      </c>
      <c r="E1940" s="75"/>
      <c r="F1940" s="75"/>
      <c r="G1940" s="77"/>
      <c r="H1940" s="78" t="n">
        <v>456</v>
      </c>
    </row>
    <row r="1941" customFormat="false" ht="15" hidden="false" customHeight="true" outlineLevel="0" collapsed="false">
      <c r="B1941" s="87" t="s">
        <v>926</v>
      </c>
      <c r="C1941" s="88"/>
      <c r="D1941" s="89" t="n">
        <v>19067</v>
      </c>
      <c r="E1941" s="89" t="n">
        <v>500</v>
      </c>
      <c r="F1941" s="89" t="n">
        <v>60</v>
      </c>
      <c r="G1941" s="90"/>
      <c r="H1941" s="91" t="n">
        <v>19627</v>
      </c>
    </row>
    <row r="1942" customFormat="false" ht="15" hidden="false" customHeight="true" outlineLevel="0" collapsed="false">
      <c r="B1942" s="56" t="n">
        <v>45865</v>
      </c>
      <c r="C1942" s="57" t="s">
        <v>44</v>
      </c>
      <c r="D1942" s="92" t="n">
        <v>1000</v>
      </c>
      <c r="E1942" s="59"/>
      <c r="F1942" s="59"/>
      <c r="G1942" s="61"/>
      <c r="H1942" s="62" t="n">
        <v>1000</v>
      </c>
    </row>
    <row r="1943" customFormat="false" ht="15" hidden="false" customHeight="true" outlineLevel="0" collapsed="false">
      <c r="B1943" s="64"/>
      <c r="C1943" s="65" t="s">
        <v>32</v>
      </c>
      <c r="D1943" s="73"/>
      <c r="E1943" s="71" t="n">
        <v>105</v>
      </c>
      <c r="F1943" s="67"/>
      <c r="G1943" s="68"/>
      <c r="H1943" s="69" t="n">
        <v>105</v>
      </c>
    </row>
    <row r="1944" customFormat="false" ht="15" hidden="false" customHeight="true" outlineLevel="0" collapsed="false">
      <c r="B1944" s="64"/>
      <c r="C1944" s="65" t="s">
        <v>53</v>
      </c>
      <c r="D1944" s="73"/>
      <c r="E1944" s="71" t="n">
        <v>1200</v>
      </c>
      <c r="F1944" s="67"/>
      <c r="G1944" s="68"/>
      <c r="H1944" s="69" t="n">
        <v>1200</v>
      </c>
    </row>
    <row r="1945" customFormat="false" ht="15" hidden="false" customHeight="true" outlineLevel="0" collapsed="false">
      <c r="B1945" s="64"/>
      <c r="C1945" s="65" t="s">
        <v>25</v>
      </c>
      <c r="D1945" s="66" t="n">
        <v>688</v>
      </c>
      <c r="E1945" s="67"/>
      <c r="F1945" s="67"/>
      <c r="G1945" s="68"/>
      <c r="H1945" s="69" t="n">
        <v>688</v>
      </c>
    </row>
    <row r="1946" customFormat="false" ht="15" hidden="false" customHeight="true" outlineLevel="0" collapsed="false">
      <c r="B1946" s="64"/>
      <c r="C1946" s="65" t="s">
        <v>22</v>
      </c>
      <c r="D1946" s="66" t="n">
        <v>4151</v>
      </c>
      <c r="E1946" s="71" t="n">
        <v>200</v>
      </c>
      <c r="F1946" s="67"/>
      <c r="G1946" s="68"/>
      <c r="H1946" s="69" t="n">
        <v>4351</v>
      </c>
    </row>
    <row r="1947" customFormat="false" ht="15" hidden="false" customHeight="true" outlineLevel="0" collapsed="false">
      <c r="B1947" s="64"/>
      <c r="C1947" s="65" t="s">
        <v>34</v>
      </c>
      <c r="D1947" s="73"/>
      <c r="E1947" s="67"/>
      <c r="F1947" s="71" t="n">
        <v>110</v>
      </c>
      <c r="G1947" s="68"/>
      <c r="H1947" s="69" t="n">
        <v>110</v>
      </c>
    </row>
    <row r="1948" customFormat="false" ht="15" hidden="false" customHeight="true" outlineLevel="0" collapsed="false">
      <c r="B1948" s="84"/>
      <c r="C1948" s="85" t="s">
        <v>29</v>
      </c>
      <c r="D1948" s="86" t="n">
        <v>193</v>
      </c>
      <c r="E1948" s="75"/>
      <c r="F1948" s="75"/>
      <c r="G1948" s="77"/>
      <c r="H1948" s="78" t="n">
        <v>193</v>
      </c>
    </row>
    <row r="1949" customFormat="false" ht="15" hidden="false" customHeight="true" outlineLevel="0" collapsed="false">
      <c r="B1949" s="87" t="s">
        <v>927</v>
      </c>
      <c r="C1949" s="88"/>
      <c r="D1949" s="89" t="n">
        <v>6032</v>
      </c>
      <c r="E1949" s="89" t="n">
        <v>1505</v>
      </c>
      <c r="F1949" s="89" t="n">
        <v>110</v>
      </c>
      <c r="G1949" s="90"/>
      <c r="H1949" s="91" t="n">
        <v>7647</v>
      </c>
    </row>
    <row r="1950" customFormat="false" ht="15" hidden="false" customHeight="true" outlineLevel="0" collapsed="false">
      <c r="B1950" s="56" t="n">
        <v>45866</v>
      </c>
      <c r="C1950" s="57" t="s">
        <v>44</v>
      </c>
      <c r="D1950" s="58"/>
      <c r="E1950" s="60" t="n">
        <v>100</v>
      </c>
      <c r="F1950" s="59"/>
      <c r="G1950" s="61"/>
      <c r="H1950" s="62" t="n">
        <v>100</v>
      </c>
    </row>
    <row r="1951" customFormat="false" ht="15" hidden="false" customHeight="true" outlineLevel="0" collapsed="false">
      <c r="B1951" s="64"/>
      <c r="C1951" s="65" t="s">
        <v>32</v>
      </c>
      <c r="D1951" s="73"/>
      <c r="E1951" s="71" t="n">
        <v>105</v>
      </c>
      <c r="F1951" s="67"/>
      <c r="G1951" s="68"/>
      <c r="H1951" s="69" t="n">
        <v>105</v>
      </c>
    </row>
    <row r="1952" customFormat="false" ht="15" hidden="false" customHeight="true" outlineLevel="0" collapsed="false">
      <c r="B1952" s="64"/>
      <c r="C1952" s="65" t="s">
        <v>47</v>
      </c>
      <c r="D1952" s="66" t="n">
        <v>900</v>
      </c>
      <c r="E1952" s="67"/>
      <c r="F1952" s="67"/>
      <c r="G1952" s="68"/>
      <c r="H1952" s="69" t="n">
        <v>900</v>
      </c>
    </row>
    <row r="1953" customFormat="false" ht="15" hidden="false" customHeight="true" outlineLevel="0" collapsed="false">
      <c r="B1953" s="64"/>
      <c r="C1953" s="65" t="s">
        <v>19</v>
      </c>
      <c r="D1953" s="66" t="n">
        <v>715</v>
      </c>
      <c r="E1953" s="67"/>
      <c r="F1953" s="67"/>
      <c r="G1953" s="68"/>
      <c r="H1953" s="69" t="n">
        <v>715</v>
      </c>
    </row>
    <row r="1954" customFormat="false" ht="15" hidden="false" customHeight="true" outlineLevel="0" collapsed="false">
      <c r="B1954" s="64"/>
      <c r="C1954" s="65" t="s">
        <v>25</v>
      </c>
      <c r="D1954" s="66" t="n">
        <v>344</v>
      </c>
      <c r="E1954" s="71" t="n">
        <v>985</v>
      </c>
      <c r="F1954" s="67"/>
      <c r="G1954" s="68"/>
      <c r="H1954" s="69" t="n">
        <v>1329</v>
      </c>
    </row>
    <row r="1955" customFormat="false" ht="15" hidden="false" customHeight="true" outlineLevel="0" collapsed="false">
      <c r="B1955" s="64"/>
      <c r="C1955" s="65" t="s">
        <v>50</v>
      </c>
      <c r="D1955" s="66" t="n">
        <v>3356</v>
      </c>
      <c r="E1955" s="67"/>
      <c r="F1955" s="67"/>
      <c r="G1955" s="68"/>
      <c r="H1955" s="69" t="n">
        <v>3356</v>
      </c>
    </row>
    <row r="1956" customFormat="false" ht="15" hidden="false" customHeight="true" outlineLevel="0" collapsed="false">
      <c r="B1956" s="64"/>
      <c r="C1956" s="65" t="s">
        <v>22</v>
      </c>
      <c r="D1956" s="73"/>
      <c r="E1956" s="71" t="n">
        <v>110</v>
      </c>
      <c r="F1956" s="67"/>
      <c r="G1956" s="68"/>
      <c r="H1956" s="69" t="n">
        <v>110</v>
      </c>
    </row>
    <row r="1957" customFormat="false" ht="15" hidden="false" customHeight="true" outlineLevel="0" collapsed="false">
      <c r="B1957" s="64"/>
      <c r="C1957" s="65" t="s">
        <v>43</v>
      </c>
      <c r="D1957" s="73"/>
      <c r="E1957" s="71" t="n">
        <v>120</v>
      </c>
      <c r="F1957" s="67"/>
      <c r="G1957" s="68"/>
      <c r="H1957" s="69" t="n">
        <v>120</v>
      </c>
    </row>
    <row r="1958" customFormat="false" ht="15" hidden="false" customHeight="true" outlineLevel="0" collapsed="false">
      <c r="B1958" s="64"/>
      <c r="C1958" s="65" t="s">
        <v>60</v>
      </c>
      <c r="D1958" s="73"/>
      <c r="E1958" s="71" t="n">
        <v>210</v>
      </c>
      <c r="F1958" s="67"/>
      <c r="G1958" s="68"/>
      <c r="H1958" s="69" t="n">
        <v>210</v>
      </c>
    </row>
    <row r="1959" customFormat="false" ht="15" hidden="false" customHeight="true" outlineLevel="0" collapsed="false">
      <c r="B1959" s="64"/>
      <c r="C1959" s="65" t="s">
        <v>40</v>
      </c>
      <c r="D1959" s="73"/>
      <c r="E1959" s="71" t="n">
        <v>400</v>
      </c>
      <c r="F1959" s="67"/>
      <c r="G1959" s="68"/>
      <c r="H1959" s="69" t="n">
        <v>400</v>
      </c>
    </row>
    <row r="1960" customFormat="false" ht="15" hidden="false" customHeight="true" outlineLevel="0" collapsed="false">
      <c r="B1960" s="64"/>
      <c r="C1960" s="65" t="s">
        <v>34</v>
      </c>
      <c r="D1960" s="73"/>
      <c r="E1960" s="67"/>
      <c r="F1960" s="71" t="n">
        <v>90</v>
      </c>
      <c r="G1960" s="68"/>
      <c r="H1960" s="69" t="n">
        <v>90</v>
      </c>
    </row>
    <row r="1961" customFormat="false" ht="15" hidden="false" customHeight="true" outlineLevel="0" collapsed="false">
      <c r="B1961" s="84"/>
      <c r="C1961" s="85" t="s">
        <v>29</v>
      </c>
      <c r="D1961" s="86" t="n">
        <v>203</v>
      </c>
      <c r="E1961" s="75"/>
      <c r="F1961" s="75"/>
      <c r="G1961" s="77"/>
      <c r="H1961" s="78" t="n">
        <v>203</v>
      </c>
    </row>
    <row r="1962" customFormat="false" ht="15" hidden="false" customHeight="true" outlineLevel="0" collapsed="false">
      <c r="B1962" s="87" t="s">
        <v>928</v>
      </c>
      <c r="C1962" s="88"/>
      <c r="D1962" s="89" t="n">
        <v>5518</v>
      </c>
      <c r="E1962" s="89" t="n">
        <v>2030</v>
      </c>
      <c r="F1962" s="89" t="n">
        <v>90</v>
      </c>
      <c r="G1962" s="90"/>
      <c r="H1962" s="91" t="n">
        <v>7638</v>
      </c>
    </row>
    <row r="1963" customFormat="false" ht="15" hidden="false" customHeight="true" outlineLevel="0" collapsed="false">
      <c r="B1963" s="56" t="n">
        <v>45867</v>
      </c>
      <c r="C1963" s="57" t="s">
        <v>19</v>
      </c>
      <c r="D1963" s="92" t="n">
        <v>1473</v>
      </c>
      <c r="E1963" s="59"/>
      <c r="F1963" s="59"/>
      <c r="G1963" s="61"/>
      <c r="H1963" s="62" t="n">
        <v>1473</v>
      </c>
    </row>
    <row r="1964" customFormat="false" ht="15" hidden="false" customHeight="true" outlineLevel="0" collapsed="false">
      <c r="B1964" s="64"/>
      <c r="C1964" s="65" t="s">
        <v>25</v>
      </c>
      <c r="D1964" s="66" t="n">
        <v>290</v>
      </c>
      <c r="E1964" s="67"/>
      <c r="F1964" s="67"/>
      <c r="G1964" s="68"/>
      <c r="H1964" s="69" t="n">
        <v>290</v>
      </c>
    </row>
    <row r="1965" customFormat="false" ht="15" hidden="false" customHeight="true" outlineLevel="0" collapsed="false">
      <c r="B1965" s="64"/>
      <c r="C1965" s="65" t="s">
        <v>22</v>
      </c>
      <c r="D1965" s="66" t="n">
        <v>3350</v>
      </c>
      <c r="E1965" s="67"/>
      <c r="F1965" s="67"/>
      <c r="G1965" s="68"/>
      <c r="H1965" s="69" t="n">
        <v>3350</v>
      </c>
    </row>
    <row r="1966" customFormat="false" ht="15" hidden="false" customHeight="true" outlineLevel="0" collapsed="false">
      <c r="B1966" s="64"/>
      <c r="C1966" s="65" t="s">
        <v>43</v>
      </c>
      <c r="D1966" s="73"/>
      <c r="E1966" s="71" t="n">
        <v>500</v>
      </c>
      <c r="F1966" s="67"/>
      <c r="G1966" s="68"/>
      <c r="H1966" s="69" t="n">
        <v>500</v>
      </c>
    </row>
    <row r="1967" customFormat="false" ht="15" hidden="false" customHeight="true" outlineLevel="0" collapsed="false">
      <c r="B1967" s="64"/>
      <c r="C1967" s="65" t="s">
        <v>31</v>
      </c>
      <c r="D1967" s="73"/>
      <c r="E1967" s="71" t="n">
        <v>310</v>
      </c>
      <c r="F1967" s="67"/>
      <c r="G1967" s="68"/>
      <c r="H1967" s="69" t="n">
        <v>310</v>
      </c>
    </row>
    <row r="1968" customFormat="false" ht="15" hidden="false" customHeight="true" outlineLevel="0" collapsed="false">
      <c r="B1968" s="64"/>
      <c r="C1968" s="65" t="s">
        <v>34</v>
      </c>
      <c r="D1968" s="73"/>
      <c r="E1968" s="67"/>
      <c r="F1968" s="71" t="n">
        <v>30</v>
      </c>
      <c r="G1968" s="68"/>
      <c r="H1968" s="69" t="n">
        <v>30</v>
      </c>
    </row>
    <row r="1969" customFormat="false" ht="15" hidden="false" customHeight="true" outlineLevel="0" collapsed="false">
      <c r="B1969" s="84"/>
      <c r="C1969" s="85" t="s">
        <v>29</v>
      </c>
      <c r="D1969" s="86" t="n">
        <v>362</v>
      </c>
      <c r="E1969" s="75"/>
      <c r="F1969" s="75"/>
      <c r="G1969" s="77"/>
      <c r="H1969" s="78" t="n">
        <v>362</v>
      </c>
    </row>
    <row r="1970" customFormat="false" ht="15" hidden="false" customHeight="true" outlineLevel="0" collapsed="false">
      <c r="B1970" s="87" t="s">
        <v>929</v>
      </c>
      <c r="C1970" s="88"/>
      <c r="D1970" s="89" t="n">
        <v>5475</v>
      </c>
      <c r="E1970" s="89" t="n">
        <v>810</v>
      </c>
      <c r="F1970" s="89" t="n">
        <v>30</v>
      </c>
      <c r="G1970" s="90"/>
      <c r="H1970" s="91" t="n">
        <v>6315</v>
      </c>
    </row>
    <row r="1971" customFormat="false" ht="15" hidden="false" customHeight="true" outlineLevel="0" collapsed="false">
      <c r="B1971" s="56" t="n">
        <v>45868</v>
      </c>
      <c r="C1971" s="57" t="s">
        <v>53</v>
      </c>
      <c r="D1971" s="58"/>
      <c r="E1971" s="60" t="n">
        <v>2040</v>
      </c>
      <c r="F1971" s="59"/>
      <c r="G1971" s="61"/>
      <c r="H1971" s="62" t="n">
        <v>2040</v>
      </c>
    </row>
    <row r="1972" customFormat="false" ht="15" hidden="false" customHeight="true" outlineLevel="0" collapsed="false">
      <c r="B1972" s="64"/>
      <c r="C1972" s="65" t="s">
        <v>47</v>
      </c>
      <c r="D1972" s="66" t="n">
        <v>900</v>
      </c>
      <c r="E1972" s="67"/>
      <c r="F1972" s="67"/>
      <c r="G1972" s="68"/>
      <c r="H1972" s="69" t="n">
        <v>900</v>
      </c>
    </row>
    <row r="1973" customFormat="false" ht="15" hidden="false" customHeight="true" outlineLevel="0" collapsed="false">
      <c r="B1973" s="64"/>
      <c r="C1973" s="65" t="s">
        <v>25</v>
      </c>
      <c r="D1973" s="66" t="n">
        <v>813</v>
      </c>
      <c r="E1973" s="67"/>
      <c r="F1973" s="67"/>
      <c r="G1973" s="68"/>
      <c r="H1973" s="69" t="n">
        <v>813</v>
      </c>
    </row>
    <row r="1974" customFormat="false" ht="15" hidden="false" customHeight="true" outlineLevel="0" collapsed="false">
      <c r="B1974" s="64"/>
      <c r="C1974" s="65" t="s">
        <v>51</v>
      </c>
      <c r="D1974" s="73"/>
      <c r="E1974" s="71" t="n">
        <v>140</v>
      </c>
      <c r="F1974" s="67"/>
      <c r="G1974" s="68"/>
      <c r="H1974" s="69" t="n">
        <v>140</v>
      </c>
    </row>
    <row r="1975" customFormat="false" ht="15" hidden="false" customHeight="true" outlineLevel="0" collapsed="false">
      <c r="B1975" s="64"/>
      <c r="C1975" s="65" t="s">
        <v>22</v>
      </c>
      <c r="D1975" s="66" t="n">
        <v>38</v>
      </c>
      <c r="E1975" s="67"/>
      <c r="F1975" s="67"/>
      <c r="G1975" s="68"/>
      <c r="H1975" s="69" t="n">
        <v>38</v>
      </c>
    </row>
    <row r="1976" customFormat="false" ht="15" hidden="false" customHeight="true" outlineLevel="0" collapsed="false">
      <c r="B1976" s="64"/>
      <c r="C1976" s="65" t="s">
        <v>40</v>
      </c>
      <c r="D1976" s="73"/>
      <c r="E1976" s="71" t="n">
        <v>740</v>
      </c>
      <c r="F1976" s="67"/>
      <c r="G1976" s="68"/>
      <c r="H1976" s="69" t="n">
        <v>740</v>
      </c>
    </row>
    <row r="1977" customFormat="false" ht="15" hidden="false" customHeight="true" outlineLevel="0" collapsed="false">
      <c r="B1977" s="64"/>
      <c r="C1977" s="65" t="s">
        <v>34</v>
      </c>
      <c r="D1977" s="73"/>
      <c r="E1977" s="67"/>
      <c r="F1977" s="71" t="n">
        <v>69</v>
      </c>
      <c r="G1977" s="68"/>
      <c r="H1977" s="69" t="n">
        <v>69</v>
      </c>
    </row>
    <row r="1978" customFormat="false" ht="15" hidden="false" customHeight="true" outlineLevel="0" collapsed="false">
      <c r="B1978" s="84"/>
      <c r="C1978" s="85" t="s">
        <v>29</v>
      </c>
      <c r="D1978" s="86" t="n">
        <v>125</v>
      </c>
      <c r="E1978" s="75"/>
      <c r="F1978" s="75"/>
      <c r="G1978" s="77"/>
      <c r="H1978" s="78" t="n">
        <v>125</v>
      </c>
    </row>
    <row r="1979" customFormat="false" ht="15" hidden="false" customHeight="true" outlineLevel="0" collapsed="false">
      <c r="B1979" s="87" t="s">
        <v>930</v>
      </c>
      <c r="C1979" s="88"/>
      <c r="D1979" s="89" t="n">
        <v>1876</v>
      </c>
      <c r="E1979" s="89" t="n">
        <v>2920</v>
      </c>
      <c r="F1979" s="89" t="n">
        <v>69</v>
      </c>
      <c r="G1979" s="90"/>
      <c r="H1979" s="91" t="n">
        <v>4865</v>
      </c>
    </row>
    <row r="1980" customFormat="false" ht="15" hidden="false" customHeight="true" outlineLevel="0" collapsed="false">
      <c r="B1980" s="56" t="n">
        <v>45869</v>
      </c>
      <c r="C1980" s="57" t="s">
        <v>44</v>
      </c>
      <c r="D1980" s="58"/>
      <c r="E1980" s="60" t="n">
        <v>800</v>
      </c>
      <c r="F1980" s="59"/>
      <c r="G1980" s="61"/>
      <c r="H1980" s="62" t="n">
        <v>800</v>
      </c>
    </row>
    <row r="1981" customFormat="false" ht="15" hidden="false" customHeight="true" outlineLevel="0" collapsed="false">
      <c r="B1981" s="64"/>
      <c r="C1981" s="65" t="s">
        <v>32</v>
      </c>
      <c r="D1981" s="73"/>
      <c r="E1981" s="71" t="n">
        <v>140</v>
      </c>
      <c r="F1981" s="67"/>
      <c r="G1981" s="68"/>
      <c r="H1981" s="69" t="n">
        <v>140</v>
      </c>
    </row>
    <row r="1982" customFormat="false" ht="15" hidden="false" customHeight="true" outlineLevel="0" collapsed="false">
      <c r="B1982" s="64"/>
      <c r="C1982" s="65" t="s">
        <v>19</v>
      </c>
      <c r="D1982" s="66" t="n">
        <v>1195</v>
      </c>
      <c r="E1982" s="67"/>
      <c r="F1982" s="67"/>
      <c r="G1982" s="68"/>
      <c r="H1982" s="69" t="n">
        <v>1195</v>
      </c>
    </row>
    <row r="1983" customFormat="false" ht="15" hidden="false" customHeight="true" outlineLevel="0" collapsed="false">
      <c r="B1983" s="64"/>
      <c r="C1983" s="65" t="s">
        <v>25</v>
      </c>
      <c r="D1983" s="66" t="n">
        <v>406</v>
      </c>
      <c r="E1983" s="67"/>
      <c r="F1983" s="67"/>
      <c r="G1983" s="68"/>
      <c r="H1983" s="69" t="n">
        <v>406</v>
      </c>
    </row>
    <row r="1984" customFormat="false" ht="15" hidden="false" customHeight="true" outlineLevel="0" collapsed="false">
      <c r="B1984" s="64"/>
      <c r="C1984" s="65" t="s">
        <v>50</v>
      </c>
      <c r="D1984" s="66" t="n">
        <v>1678</v>
      </c>
      <c r="E1984" s="67"/>
      <c r="F1984" s="67"/>
      <c r="G1984" s="68"/>
      <c r="H1984" s="69" t="n">
        <v>1678</v>
      </c>
    </row>
    <row r="1985" customFormat="false" ht="15" hidden="false" customHeight="true" outlineLevel="0" collapsed="false">
      <c r="B1985" s="64"/>
      <c r="C1985" s="65" t="s">
        <v>22</v>
      </c>
      <c r="D1985" s="66" t="n">
        <v>334</v>
      </c>
      <c r="E1985" s="67"/>
      <c r="F1985" s="67"/>
      <c r="G1985" s="68"/>
      <c r="H1985" s="69" t="n">
        <v>334</v>
      </c>
    </row>
    <row r="1986" customFormat="false" ht="15" hidden="false" customHeight="true" outlineLevel="0" collapsed="false">
      <c r="B1986" s="64"/>
      <c r="C1986" s="65" t="s">
        <v>43</v>
      </c>
      <c r="D1986" s="73"/>
      <c r="E1986" s="71" t="n">
        <v>430</v>
      </c>
      <c r="F1986" s="67"/>
      <c r="G1986" s="68"/>
      <c r="H1986" s="69" t="n">
        <v>430</v>
      </c>
    </row>
    <row r="1987" customFormat="false" ht="15" hidden="false" customHeight="true" outlineLevel="0" collapsed="false">
      <c r="B1987" s="64"/>
      <c r="C1987" s="65" t="s">
        <v>40</v>
      </c>
      <c r="D1987" s="73"/>
      <c r="E1987" s="71" t="n">
        <v>740</v>
      </c>
      <c r="F1987" s="67"/>
      <c r="G1987" s="68"/>
      <c r="H1987" s="69" t="n">
        <v>740</v>
      </c>
    </row>
    <row r="1988" customFormat="false" ht="15" hidden="false" customHeight="true" outlineLevel="0" collapsed="false">
      <c r="B1988" s="64"/>
      <c r="C1988" s="65" t="s">
        <v>35</v>
      </c>
      <c r="D1988" s="73"/>
      <c r="E1988" s="71" t="n">
        <v>670</v>
      </c>
      <c r="F1988" s="67"/>
      <c r="G1988" s="68"/>
      <c r="H1988" s="69" t="n">
        <v>670</v>
      </c>
    </row>
    <row r="1989" customFormat="false" ht="15" hidden="false" customHeight="true" outlineLevel="0" collapsed="false">
      <c r="B1989" s="84"/>
      <c r="C1989" s="85" t="s">
        <v>34</v>
      </c>
      <c r="D1989" s="74"/>
      <c r="E1989" s="75"/>
      <c r="F1989" s="76" t="n">
        <v>69</v>
      </c>
      <c r="G1989" s="77"/>
      <c r="H1989" s="78" t="n">
        <v>69</v>
      </c>
    </row>
    <row r="1990" customFormat="false" ht="15" hidden="false" customHeight="true" outlineLevel="0" collapsed="false">
      <c r="B1990" s="87" t="s">
        <v>931</v>
      </c>
      <c r="C1990" s="88"/>
      <c r="D1990" s="89" t="n">
        <v>3613</v>
      </c>
      <c r="E1990" s="89" t="n">
        <v>2780</v>
      </c>
      <c r="F1990" s="89" t="n">
        <v>69</v>
      </c>
      <c r="G1990" s="90"/>
      <c r="H1990" s="91" t="n">
        <v>6462</v>
      </c>
    </row>
    <row r="1991" customFormat="false" ht="15" hidden="false" customHeight="true" outlineLevel="0" collapsed="false">
      <c r="B1991" s="56" t="n">
        <v>45870</v>
      </c>
      <c r="C1991" s="57" t="s">
        <v>32</v>
      </c>
      <c r="D1991" s="58"/>
      <c r="E1991" s="60" t="n">
        <v>210</v>
      </c>
      <c r="F1991" s="59"/>
      <c r="G1991" s="61"/>
      <c r="H1991" s="62" t="n">
        <v>210</v>
      </c>
    </row>
    <row r="1992" customFormat="false" ht="15" hidden="false" customHeight="true" outlineLevel="0" collapsed="false">
      <c r="B1992" s="64"/>
      <c r="C1992" s="65" t="s">
        <v>47</v>
      </c>
      <c r="D1992" s="66" t="n">
        <v>900</v>
      </c>
      <c r="E1992" s="67"/>
      <c r="F1992" s="67"/>
      <c r="G1992" s="68"/>
      <c r="H1992" s="69" t="n">
        <v>900</v>
      </c>
    </row>
    <row r="1993" customFormat="false" ht="15" hidden="false" customHeight="true" outlineLevel="0" collapsed="false">
      <c r="B1993" s="64"/>
      <c r="C1993" s="65" t="s">
        <v>19</v>
      </c>
      <c r="D1993" s="66" t="n">
        <v>1964</v>
      </c>
      <c r="E1993" s="67"/>
      <c r="F1993" s="67"/>
      <c r="G1993" s="68"/>
      <c r="H1993" s="69" t="n">
        <v>1964</v>
      </c>
    </row>
    <row r="1994" customFormat="false" ht="15" hidden="false" customHeight="true" outlineLevel="0" collapsed="false">
      <c r="B1994" s="64"/>
      <c r="C1994" s="65" t="s">
        <v>25</v>
      </c>
      <c r="D1994" s="66" t="n">
        <v>1036</v>
      </c>
      <c r="E1994" s="67"/>
      <c r="F1994" s="67"/>
      <c r="G1994" s="68"/>
      <c r="H1994" s="69" t="n">
        <v>1036</v>
      </c>
    </row>
    <row r="1995" customFormat="false" ht="15" hidden="false" customHeight="true" outlineLevel="0" collapsed="false">
      <c r="B1995" s="64"/>
      <c r="C1995" s="65" t="s">
        <v>50</v>
      </c>
      <c r="D1995" s="66" t="n">
        <v>1645</v>
      </c>
      <c r="E1995" s="67"/>
      <c r="F1995" s="67"/>
      <c r="G1995" s="68"/>
      <c r="H1995" s="69" t="n">
        <v>1645</v>
      </c>
    </row>
    <row r="1996" customFormat="false" ht="15" hidden="false" customHeight="true" outlineLevel="0" collapsed="false">
      <c r="B1996" s="64"/>
      <c r="C1996" s="65" t="s">
        <v>22</v>
      </c>
      <c r="D1996" s="66" t="n">
        <v>11653</v>
      </c>
      <c r="E1996" s="67"/>
      <c r="F1996" s="67"/>
      <c r="G1996" s="68"/>
      <c r="H1996" s="69" t="n">
        <v>11653</v>
      </c>
    </row>
    <row r="1997" customFormat="false" ht="15" hidden="false" customHeight="true" outlineLevel="0" collapsed="false">
      <c r="B1997" s="64"/>
      <c r="C1997" s="65" t="s">
        <v>43</v>
      </c>
      <c r="D1997" s="73"/>
      <c r="E1997" s="71" t="n">
        <v>200</v>
      </c>
      <c r="F1997" s="67"/>
      <c r="G1997" s="68"/>
      <c r="H1997" s="69" t="n">
        <v>200</v>
      </c>
    </row>
    <row r="1998" customFormat="false" ht="15" hidden="false" customHeight="true" outlineLevel="0" collapsed="false">
      <c r="B1998" s="64"/>
      <c r="C1998" s="65" t="s">
        <v>31</v>
      </c>
      <c r="D1998" s="73"/>
      <c r="E1998" s="71" t="n">
        <v>300</v>
      </c>
      <c r="F1998" s="67"/>
      <c r="G1998" s="68"/>
      <c r="H1998" s="69" t="n">
        <v>300</v>
      </c>
    </row>
    <row r="1999" customFormat="false" ht="15" hidden="false" customHeight="true" outlineLevel="0" collapsed="false">
      <c r="B1999" s="64"/>
      <c r="C1999" s="65" t="s">
        <v>34</v>
      </c>
      <c r="D1999" s="73"/>
      <c r="E1999" s="67"/>
      <c r="F1999" s="71" t="n">
        <v>60</v>
      </c>
      <c r="G1999" s="68"/>
      <c r="H1999" s="69" t="n">
        <v>60</v>
      </c>
    </row>
    <row r="2000" customFormat="false" ht="15" hidden="false" customHeight="true" outlineLevel="0" collapsed="false">
      <c r="B2000" s="84"/>
      <c r="C2000" s="85" t="s">
        <v>29</v>
      </c>
      <c r="D2000" s="86" t="n">
        <v>624</v>
      </c>
      <c r="E2000" s="75"/>
      <c r="F2000" s="76" t="n">
        <v>60</v>
      </c>
      <c r="G2000" s="77"/>
      <c r="H2000" s="78" t="n">
        <v>684</v>
      </c>
    </row>
    <row r="2001" customFormat="false" ht="15" hidden="false" customHeight="true" outlineLevel="0" collapsed="false">
      <c r="B2001" s="87" t="s">
        <v>932</v>
      </c>
      <c r="C2001" s="88"/>
      <c r="D2001" s="89" t="n">
        <v>17822</v>
      </c>
      <c r="E2001" s="89" t="n">
        <v>710</v>
      </c>
      <c r="F2001" s="89" t="n">
        <v>120</v>
      </c>
      <c r="G2001" s="90"/>
      <c r="H2001" s="91" t="n">
        <v>18652</v>
      </c>
    </row>
    <row r="2002" customFormat="false" ht="15" hidden="false" customHeight="true" outlineLevel="0" collapsed="false">
      <c r="B2002" s="56" t="n">
        <v>45871</v>
      </c>
      <c r="C2002" s="57" t="s">
        <v>44</v>
      </c>
      <c r="D2002" s="58"/>
      <c r="E2002" s="60" t="n">
        <v>500</v>
      </c>
      <c r="F2002" s="59"/>
      <c r="G2002" s="61"/>
      <c r="H2002" s="62" t="n">
        <v>500</v>
      </c>
    </row>
    <row r="2003" customFormat="false" ht="15" hidden="false" customHeight="true" outlineLevel="0" collapsed="false">
      <c r="B2003" s="64"/>
      <c r="C2003" s="65" t="s">
        <v>19</v>
      </c>
      <c r="D2003" s="66" t="n">
        <v>2957</v>
      </c>
      <c r="E2003" s="67"/>
      <c r="F2003" s="67"/>
      <c r="G2003" s="68"/>
      <c r="H2003" s="69" t="n">
        <v>2957</v>
      </c>
    </row>
    <row r="2004" customFormat="false" ht="15" hidden="false" customHeight="true" outlineLevel="0" collapsed="false">
      <c r="B2004" s="64"/>
      <c r="C2004" s="65" t="s">
        <v>25</v>
      </c>
      <c r="D2004" s="66" t="n">
        <v>600</v>
      </c>
      <c r="E2004" s="67"/>
      <c r="F2004" s="67"/>
      <c r="G2004" s="68"/>
      <c r="H2004" s="69" t="n">
        <v>600</v>
      </c>
    </row>
    <row r="2005" customFormat="false" ht="15" hidden="false" customHeight="true" outlineLevel="0" collapsed="false">
      <c r="B2005" s="64"/>
      <c r="C2005" s="65" t="s">
        <v>50</v>
      </c>
      <c r="D2005" s="66" t="n">
        <v>1645</v>
      </c>
      <c r="E2005" s="67"/>
      <c r="F2005" s="67"/>
      <c r="G2005" s="68"/>
      <c r="H2005" s="69" t="n">
        <v>1645</v>
      </c>
    </row>
    <row r="2006" customFormat="false" ht="15" hidden="false" customHeight="true" outlineLevel="0" collapsed="false">
      <c r="B2006" s="64"/>
      <c r="C2006" s="65" t="s">
        <v>22</v>
      </c>
      <c r="D2006" s="66" t="n">
        <v>4123</v>
      </c>
      <c r="E2006" s="67"/>
      <c r="F2006" s="71" t="n">
        <v>165</v>
      </c>
      <c r="G2006" s="68"/>
      <c r="H2006" s="69" t="n">
        <v>4288</v>
      </c>
    </row>
    <row r="2007" customFormat="false" ht="15" hidden="false" customHeight="true" outlineLevel="0" collapsed="false">
      <c r="B2007" s="64"/>
      <c r="C2007" s="65" t="s">
        <v>40</v>
      </c>
      <c r="D2007" s="73"/>
      <c r="E2007" s="71" t="n">
        <v>740</v>
      </c>
      <c r="F2007" s="67"/>
      <c r="G2007" s="68"/>
      <c r="H2007" s="69" t="n">
        <v>740</v>
      </c>
    </row>
    <row r="2008" customFormat="false" ht="15" hidden="false" customHeight="true" outlineLevel="0" collapsed="false">
      <c r="B2008" s="64"/>
      <c r="C2008" s="65" t="s">
        <v>35</v>
      </c>
      <c r="D2008" s="73"/>
      <c r="E2008" s="71" t="n">
        <v>70</v>
      </c>
      <c r="F2008" s="67"/>
      <c r="G2008" s="68"/>
      <c r="H2008" s="69" t="n">
        <v>70</v>
      </c>
    </row>
    <row r="2009" customFormat="false" ht="15" hidden="false" customHeight="true" outlineLevel="0" collapsed="false">
      <c r="B2009" s="64"/>
      <c r="C2009" s="65" t="s">
        <v>34</v>
      </c>
      <c r="D2009" s="73"/>
      <c r="E2009" s="67"/>
      <c r="F2009" s="71" t="n">
        <v>110</v>
      </c>
      <c r="G2009" s="68"/>
      <c r="H2009" s="69" t="n">
        <v>110</v>
      </c>
    </row>
    <row r="2010" customFormat="false" ht="15" hidden="false" customHeight="true" outlineLevel="0" collapsed="false">
      <c r="B2010" s="64"/>
      <c r="C2010" s="65" t="s">
        <v>29</v>
      </c>
      <c r="D2010" s="66" t="n">
        <v>616</v>
      </c>
      <c r="E2010" s="71" t="n">
        <v>600</v>
      </c>
      <c r="F2010" s="67"/>
      <c r="G2010" s="68"/>
      <c r="H2010" s="69" t="n">
        <v>1216</v>
      </c>
    </row>
    <row r="2011" customFormat="false" ht="15" hidden="false" customHeight="true" outlineLevel="0" collapsed="false">
      <c r="B2011" s="64"/>
      <c r="C2011" s="65" t="s">
        <v>201</v>
      </c>
      <c r="D2011" s="73"/>
      <c r="E2011" s="71" t="n">
        <v>90</v>
      </c>
      <c r="F2011" s="67"/>
      <c r="G2011" s="68"/>
      <c r="H2011" s="69" t="n">
        <v>90</v>
      </c>
    </row>
    <row r="2012" customFormat="false" ht="15" hidden="false" customHeight="true" outlineLevel="0" collapsed="false">
      <c r="B2012" s="84"/>
      <c r="C2012" s="85" t="s">
        <v>197</v>
      </c>
      <c r="D2012" s="86" t="n">
        <v>1200</v>
      </c>
      <c r="E2012" s="75"/>
      <c r="F2012" s="75"/>
      <c r="G2012" s="77"/>
      <c r="H2012" s="78" t="n">
        <v>1200</v>
      </c>
    </row>
    <row r="2013" customFormat="false" ht="15" hidden="false" customHeight="true" outlineLevel="0" collapsed="false">
      <c r="B2013" s="87" t="s">
        <v>933</v>
      </c>
      <c r="C2013" s="88"/>
      <c r="D2013" s="89" t="n">
        <v>11141</v>
      </c>
      <c r="E2013" s="89" t="n">
        <v>2000</v>
      </c>
      <c r="F2013" s="89" t="n">
        <v>275</v>
      </c>
      <c r="G2013" s="90"/>
      <c r="H2013" s="91" t="n">
        <v>13416</v>
      </c>
    </row>
    <row r="2014" customFormat="false" ht="15" hidden="false" customHeight="true" outlineLevel="0" collapsed="false">
      <c r="B2014" s="56" t="n">
        <v>45872</v>
      </c>
      <c r="C2014" s="57" t="s">
        <v>44</v>
      </c>
      <c r="D2014" s="58"/>
      <c r="E2014" s="59"/>
      <c r="F2014" s="60" t="n">
        <v>1500</v>
      </c>
      <c r="G2014" s="61"/>
      <c r="H2014" s="62" t="n">
        <v>1500</v>
      </c>
    </row>
    <row r="2015" customFormat="false" ht="15" hidden="false" customHeight="true" outlineLevel="0" collapsed="false">
      <c r="B2015" s="64"/>
      <c r="C2015" s="65" t="s">
        <v>32</v>
      </c>
      <c r="D2015" s="73"/>
      <c r="E2015" s="67"/>
      <c r="F2015" s="71" t="n">
        <v>360</v>
      </c>
      <c r="G2015" s="68"/>
      <c r="H2015" s="69" t="n">
        <v>360</v>
      </c>
    </row>
    <row r="2016" customFormat="false" ht="15" hidden="false" customHeight="true" outlineLevel="0" collapsed="false">
      <c r="B2016" s="64"/>
      <c r="C2016" s="65" t="s">
        <v>19</v>
      </c>
      <c r="D2016" s="66" t="n">
        <v>1192</v>
      </c>
      <c r="E2016" s="67"/>
      <c r="F2016" s="67"/>
      <c r="G2016" s="68"/>
      <c r="H2016" s="69" t="n">
        <v>1192</v>
      </c>
    </row>
    <row r="2017" customFormat="false" ht="15" hidden="false" customHeight="true" outlineLevel="0" collapsed="false">
      <c r="B2017" s="64"/>
      <c r="C2017" s="65" t="s">
        <v>25</v>
      </c>
      <c r="D2017" s="66" t="n">
        <v>1170</v>
      </c>
      <c r="E2017" s="67"/>
      <c r="F2017" s="71" t="n">
        <v>90</v>
      </c>
      <c r="G2017" s="68"/>
      <c r="H2017" s="69" t="n">
        <v>1260</v>
      </c>
    </row>
    <row r="2018" customFormat="false" ht="15" hidden="false" customHeight="true" outlineLevel="0" collapsed="false">
      <c r="B2018" s="64"/>
      <c r="C2018" s="65" t="s">
        <v>51</v>
      </c>
      <c r="D2018" s="66" t="n">
        <v>4105</v>
      </c>
      <c r="E2018" s="67"/>
      <c r="F2018" s="67"/>
      <c r="G2018" s="68"/>
      <c r="H2018" s="69" t="n">
        <v>4105</v>
      </c>
    </row>
    <row r="2019" customFormat="false" ht="15" hidden="false" customHeight="true" outlineLevel="0" collapsed="false">
      <c r="B2019" s="64"/>
      <c r="C2019" s="65" t="s">
        <v>227</v>
      </c>
      <c r="D2019" s="66" t="n">
        <v>2100</v>
      </c>
      <c r="E2019" s="67"/>
      <c r="F2019" s="67"/>
      <c r="G2019" s="68"/>
      <c r="H2019" s="69" t="n">
        <v>2100</v>
      </c>
    </row>
    <row r="2020" customFormat="false" ht="15" hidden="false" customHeight="true" outlineLevel="0" collapsed="false">
      <c r="B2020" s="64"/>
      <c r="C2020" s="65" t="s">
        <v>28</v>
      </c>
      <c r="D2020" s="73"/>
      <c r="E2020" s="67"/>
      <c r="F2020" s="71" t="n">
        <v>700</v>
      </c>
      <c r="G2020" s="68"/>
      <c r="H2020" s="69" t="n">
        <v>700</v>
      </c>
    </row>
    <row r="2021" customFormat="false" ht="15" hidden="false" customHeight="true" outlineLevel="0" collapsed="false">
      <c r="B2021" s="64"/>
      <c r="C2021" s="65" t="s">
        <v>69</v>
      </c>
      <c r="D2021" s="66" t="n">
        <v>1500</v>
      </c>
      <c r="E2021" s="67"/>
      <c r="F2021" s="67"/>
      <c r="G2021" s="68"/>
      <c r="H2021" s="69" t="n">
        <v>1500</v>
      </c>
    </row>
    <row r="2022" customFormat="false" ht="15" hidden="false" customHeight="true" outlineLevel="0" collapsed="false">
      <c r="B2022" s="64"/>
      <c r="C2022" s="65" t="s">
        <v>22</v>
      </c>
      <c r="D2022" s="66" t="n">
        <v>1890</v>
      </c>
      <c r="E2022" s="67"/>
      <c r="F2022" s="71" t="n">
        <v>110</v>
      </c>
      <c r="G2022" s="68"/>
      <c r="H2022" s="69" t="n">
        <v>2000</v>
      </c>
    </row>
    <row r="2023" customFormat="false" ht="15" hidden="false" customHeight="true" outlineLevel="0" collapsed="false">
      <c r="B2023" s="64"/>
      <c r="C2023" s="65" t="s">
        <v>40</v>
      </c>
      <c r="D2023" s="73"/>
      <c r="E2023" s="67"/>
      <c r="F2023" s="71" t="n">
        <v>1480</v>
      </c>
      <c r="G2023" s="68"/>
      <c r="H2023" s="69" t="n">
        <v>1480</v>
      </c>
    </row>
    <row r="2024" customFormat="false" ht="15" hidden="false" customHeight="true" outlineLevel="0" collapsed="false">
      <c r="B2024" s="84"/>
      <c r="C2024" s="85" t="s">
        <v>34</v>
      </c>
      <c r="D2024" s="74"/>
      <c r="E2024" s="75"/>
      <c r="F2024" s="76" t="n">
        <v>80</v>
      </c>
      <c r="G2024" s="77"/>
      <c r="H2024" s="78" t="n">
        <v>80</v>
      </c>
    </row>
    <row r="2025" customFormat="false" ht="15" hidden="false" customHeight="true" outlineLevel="0" collapsed="false">
      <c r="B2025" s="87" t="s">
        <v>934</v>
      </c>
      <c r="C2025" s="88"/>
      <c r="D2025" s="89" t="n">
        <v>11957</v>
      </c>
      <c r="E2025" s="90"/>
      <c r="F2025" s="89" t="n">
        <v>4320</v>
      </c>
      <c r="G2025" s="90"/>
      <c r="H2025" s="91" t="n">
        <v>16277</v>
      </c>
    </row>
    <row r="2026" customFormat="false" ht="15" hidden="false" customHeight="true" outlineLevel="0" collapsed="false">
      <c r="B2026" s="56" t="n">
        <v>45873</v>
      </c>
      <c r="C2026" s="57" t="s">
        <v>44</v>
      </c>
      <c r="D2026" s="58"/>
      <c r="E2026" s="60" t="n">
        <v>1000</v>
      </c>
      <c r="F2026" s="59"/>
      <c r="G2026" s="61"/>
      <c r="H2026" s="62" t="n">
        <v>1000</v>
      </c>
    </row>
    <row r="2027" customFormat="false" ht="15" hidden="false" customHeight="true" outlineLevel="0" collapsed="false">
      <c r="B2027" s="64"/>
      <c r="C2027" s="65" t="s">
        <v>32</v>
      </c>
      <c r="D2027" s="73"/>
      <c r="E2027" s="67"/>
      <c r="F2027" s="71" t="n">
        <v>175</v>
      </c>
      <c r="G2027" s="68"/>
      <c r="H2027" s="69" t="n">
        <v>175</v>
      </c>
    </row>
    <row r="2028" customFormat="false" ht="15" hidden="false" customHeight="true" outlineLevel="0" collapsed="false">
      <c r="B2028" s="64"/>
      <c r="C2028" s="65" t="s">
        <v>53</v>
      </c>
      <c r="D2028" s="73"/>
      <c r="E2028" s="67"/>
      <c r="F2028" s="71" t="n">
        <v>1000</v>
      </c>
      <c r="G2028" s="68"/>
      <c r="H2028" s="69" t="n">
        <v>1000</v>
      </c>
    </row>
    <row r="2029" customFormat="false" ht="15" hidden="false" customHeight="true" outlineLevel="0" collapsed="false">
      <c r="B2029" s="64"/>
      <c r="C2029" s="65" t="s">
        <v>47</v>
      </c>
      <c r="D2029" s="66" t="n">
        <v>2250</v>
      </c>
      <c r="E2029" s="67"/>
      <c r="F2029" s="67"/>
      <c r="G2029" s="68"/>
      <c r="H2029" s="69" t="n">
        <v>2250</v>
      </c>
    </row>
    <row r="2030" customFormat="false" ht="15" hidden="false" customHeight="true" outlineLevel="0" collapsed="false">
      <c r="B2030" s="64"/>
      <c r="C2030" s="65" t="s">
        <v>19</v>
      </c>
      <c r="D2030" s="66" t="n">
        <v>4304</v>
      </c>
      <c r="E2030" s="67"/>
      <c r="F2030" s="67"/>
      <c r="G2030" s="68"/>
      <c r="H2030" s="69" t="n">
        <v>4304</v>
      </c>
    </row>
    <row r="2031" customFormat="false" ht="15" hidden="false" customHeight="true" outlineLevel="0" collapsed="false">
      <c r="B2031" s="64"/>
      <c r="C2031" s="65" t="s">
        <v>25</v>
      </c>
      <c r="D2031" s="66" t="n">
        <v>2085</v>
      </c>
      <c r="E2031" s="67"/>
      <c r="F2031" s="71" t="n">
        <v>50</v>
      </c>
      <c r="G2031" s="68"/>
      <c r="H2031" s="69" t="n">
        <v>2135</v>
      </c>
    </row>
    <row r="2032" customFormat="false" ht="15" hidden="false" customHeight="true" outlineLevel="0" collapsed="false">
      <c r="B2032" s="64"/>
      <c r="C2032" s="65" t="s">
        <v>22</v>
      </c>
      <c r="D2032" s="66" t="n">
        <v>393</v>
      </c>
      <c r="E2032" s="67"/>
      <c r="F2032" s="71" t="n">
        <v>170</v>
      </c>
      <c r="G2032" s="68"/>
      <c r="H2032" s="69" t="n">
        <v>563</v>
      </c>
    </row>
    <row r="2033" customFormat="false" ht="15" hidden="false" customHeight="true" outlineLevel="0" collapsed="false">
      <c r="B2033" s="64"/>
      <c r="C2033" s="65" t="s">
        <v>199</v>
      </c>
      <c r="D2033" s="66" t="n">
        <v>1500</v>
      </c>
      <c r="E2033" s="67"/>
      <c r="F2033" s="67"/>
      <c r="G2033" s="68"/>
      <c r="H2033" s="69" t="n">
        <v>1500</v>
      </c>
    </row>
    <row r="2034" customFormat="false" ht="15" hidden="false" customHeight="true" outlineLevel="0" collapsed="false">
      <c r="B2034" s="64"/>
      <c r="C2034" s="65" t="s">
        <v>37</v>
      </c>
      <c r="D2034" s="73"/>
      <c r="E2034" s="67"/>
      <c r="F2034" s="71" t="n">
        <v>20</v>
      </c>
      <c r="G2034" s="68"/>
      <c r="H2034" s="69" t="n">
        <v>20</v>
      </c>
    </row>
    <row r="2035" customFormat="false" ht="15" hidden="false" customHeight="true" outlineLevel="0" collapsed="false">
      <c r="B2035" s="64"/>
      <c r="C2035" s="65" t="s">
        <v>43</v>
      </c>
      <c r="D2035" s="73"/>
      <c r="E2035" s="71" t="n">
        <v>1600</v>
      </c>
      <c r="F2035" s="71" t="n">
        <v>170</v>
      </c>
      <c r="G2035" s="68"/>
      <c r="H2035" s="69" t="n">
        <v>1770</v>
      </c>
    </row>
    <row r="2036" customFormat="false" ht="15" hidden="false" customHeight="true" outlineLevel="0" collapsed="false">
      <c r="B2036" s="64"/>
      <c r="C2036" s="65" t="s">
        <v>31</v>
      </c>
      <c r="D2036" s="73"/>
      <c r="E2036" s="67"/>
      <c r="F2036" s="71" t="n">
        <v>100</v>
      </c>
      <c r="G2036" s="68"/>
      <c r="H2036" s="69" t="n">
        <v>100</v>
      </c>
    </row>
    <row r="2037" customFormat="false" ht="15" hidden="false" customHeight="true" outlineLevel="0" collapsed="false">
      <c r="B2037" s="64"/>
      <c r="C2037" s="65" t="s">
        <v>34</v>
      </c>
      <c r="D2037" s="73"/>
      <c r="E2037" s="67"/>
      <c r="F2037" s="71" t="n">
        <v>20</v>
      </c>
      <c r="G2037" s="68"/>
      <c r="H2037" s="69" t="n">
        <v>20</v>
      </c>
    </row>
    <row r="2038" customFormat="false" ht="15" hidden="false" customHeight="true" outlineLevel="0" collapsed="false">
      <c r="B2038" s="84"/>
      <c r="C2038" s="85" t="s">
        <v>29</v>
      </c>
      <c r="D2038" s="74"/>
      <c r="E2038" s="75"/>
      <c r="F2038" s="76" t="n">
        <v>20</v>
      </c>
      <c r="G2038" s="77"/>
      <c r="H2038" s="78" t="n">
        <v>20</v>
      </c>
    </row>
    <row r="2039" customFormat="false" ht="15" hidden="false" customHeight="true" outlineLevel="0" collapsed="false">
      <c r="B2039" s="87" t="s">
        <v>935</v>
      </c>
      <c r="C2039" s="88"/>
      <c r="D2039" s="89" t="n">
        <v>10532</v>
      </c>
      <c r="E2039" s="89" t="n">
        <v>2600</v>
      </c>
      <c r="F2039" s="89" t="n">
        <v>1725</v>
      </c>
      <c r="G2039" s="90"/>
      <c r="H2039" s="91" t="n">
        <v>14857</v>
      </c>
    </row>
    <row r="2040" customFormat="false" ht="15" hidden="false" customHeight="true" outlineLevel="0" collapsed="false">
      <c r="B2040" s="93" t="n">
        <v>45874</v>
      </c>
      <c r="C2040" s="94" t="s">
        <v>19</v>
      </c>
      <c r="D2040" s="99" t="n">
        <v>400</v>
      </c>
      <c r="E2040" s="97"/>
      <c r="F2040" s="97"/>
      <c r="G2040" s="98"/>
      <c r="H2040" s="91" t="n">
        <v>400</v>
      </c>
    </row>
    <row r="2041" customFormat="false" ht="15" hidden="false" customHeight="true" outlineLevel="0" collapsed="false">
      <c r="B2041" s="87" t="s">
        <v>936</v>
      </c>
      <c r="C2041" s="88"/>
      <c r="D2041" s="89" t="n">
        <v>400</v>
      </c>
      <c r="E2041" s="90"/>
      <c r="F2041" s="90"/>
      <c r="G2041" s="90"/>
      <c r="H2041" s="91" t="n">
        <v>400</v>
      </c>
    </row>
    <row r="2042" customFormat="false" ht="15" hidden="false" customHeight="true" outlineLevel="0" collapsed="false">
      <c r="B2042" s="56" t="n">
        <v>45875</v>
      </c>
      <c r="C2042" s="57" t="s">
        <v>44</v>
      </c>
      <c r="D2042" s="92" t="n">
        <v>220</v>
      </c>
      <c r="E2042" s="60" t="n">
        <v>2200</v>
      </c>
      <c r="F2042" s="59"/>
      <c r="G2042" s="61"/>
      <c r="H2042" s="62" t="n">
        <v>2420</v>
      </c>
    </row>
    <row r="2043" customFormat="false" ht="15" hidden="false" customHeight="true" outlineLevel="0" collapsed="false">
      <c r="B2043" s="64"/>
      <c r="C2043" s="65" t="s">
        <v>19</v>
      </c>
      <c r="D2043" s="66" t="n">
        <v>3834</v>
      </c>
      <c r="E2043" s="67"/>
      <c r="F2043" s="67"/>
      <c r="G2043" s="68"/>
      <c r="H2043" s="69" t="n">
        <v>3834</v>
      </c>
    </row>
    <row r="2044" customFormat="false" ht="15" hidden="false" customHeight="true" outlineLevel="0" collapsed="false">
      <c r="B2044" s="64"/>
      <c r="C2044" s="65" t="s">
        <v>50</v>
      </c>
      <c r="D2044" s="66" t="n">
        <v>1645</v>
      </c>
      <c r="E2044" s="67"/>
      <c r="F2044" s="67"/>
      <c r="G2044" s="68"/>
      <c r="H2044" s="69" t="n">
        <v>1645</v>
      </c>
    </row>
    <row r="2045" customFormat="false" ht="15" hidden="false" customHeight="true" outlineLevel="0" collapsed="false">
      <c r="B2045" s="64"/>
      <c r="C2045" s="65" t="s">
        <v>22</v>
      </c>
      <c r="D2045" s="73"/>
      <c r="E2045" s="67"/>
      <c r="F2045" s="71" t="n">
        <v>312</v>
      </c>
      <c r="G2045" s="68"/>
      <c r="H2045" s="69" t="n">
        <v>312</v>
      </c>
    </row>
    <row r="2046" customFormat="false" ht="15" hidden="false" customHeight="true" outlineLevel="0" collapsed="false">
      <c r="B2046" s="84"/>
      <c r="C2046" s="85" t="s">
        <v>31</v>
      </c>
      <c r="D2046" s="74"/>
      <c r="E2046" s="75"/>
      <c r="F2046" s="76" t="n">
        <v>310</v>
      </c>
      <c r="G2046" s="77"/>
      <c r="H2046" s="78" t="n">
        <v>310</v>
      </c>
    </row>
    <row r="2047" customFormat="false" ht="15" hidden="false" customHeight="true" outlineLevel="0" collapsed="false">
      <c r="B2047" s="87" t="s">
        <v>937</v>
      </c>
      <c r="C2047" s="88"/>
      <c r="D2047" s="89" t="n">
        <v>5699</v>
      </c>
      <c r="E2047" s="89" t="n">
        <v>2200</v>
      </c>
      <c r="F2047" s="89" t="n">
        <v>622</v>
      </c>
      <c r="G2047" s="90"/>
      <c r="H2047" s="91" t="n">
        <v>8521</v>
      </c>
    </row>
    <row r="2048" customFormat="false" ht="15" hidden="false" customHeight="true" outlineLevel="0" collapsed="false">
      <c r="B2048" s="93" t="n">
        <v>45876</v>
      </c>
      <c r="C2048" s="94" t="s">
        <v>19</v>
      </c>
      <c r="D2048" s="99" t="n">
        <v>993</v>
      </c>
      <c r="E2048" s="97"/>
      <c r="F2048" s="97"/>
      <c r="G2048" s="98"/>
      <c r="H2048" s="91" t="n">
        <v>993</v>
      </c>
    </row>
    <row r="2049" customFormat="false" ht="15" hidden="false" customHeight="true" outlineLevel="0" collapsed="false">
      <c r="B2049" s="87" t="s">
        <v>938</v>
      </c>
      <c r="C2049" s="88"/>
      <c r="D2049" s="89" t="n">
        <v>993</v>
      </c>
      <c r="E2049" s="90"/>
      <c r="F2049" s="90"/>
      <c r="G2049" s="90"/>
      <c r="H2049" s="91" t="n">
        <v>993</v>
      </c>
    </row>
    <row r="2050" customFormat="false" ht="15" hidden="false" customHeight="true" outlineLevel="0" collapsed="false">
      <c r="B2050" s="56" t="n">
        <v>45877</v>
      </c>
      <c r="C2050" s="57" t="s">
        <v>44</v>
      </c>
      <c r="D2050" s="92" t="n">
        <v>6740</v>
      </c>
      <c r="E2050" s="60" t="n">
        <v>2260</v>
      </c>
      <c r="F2050" s="59"/>
      <c r="G2050" s="61"/>
      <c r="H2050" s="62" t="n">
        <v>9000</v>
      </c>
    </row>
    <row r="2051" customFormat="false" ht="15" hidden="false" customHeight="true" outlineLevel="0" collapsed="false">
      <c r="B2051" s="64"/>
      <c r="C2051" s="65" t="s">
        <v>47</v>
      </c>
      <c r="D2051" s="66" t="n">
        <v>900</v>
      </c>
      <c r="E2051" s="67"/>
      <c r="F2051" s="67"/>
      <c r="G2051" s="68"/>
      <c r="H2051" s="69" t="n">
        <v>900</v>
      </c>
    </row>
    <row r="2052" customFormat="false" ht="15" hidden="false" customHeight="true" outlineLevel="0" collapsed="false">
      <c r="B2052" s="64"/>
      <c r="C2052" s="65" t="s">
        <v>19</v>
      </c>
      <c r="D2052" s="66" t="n">
        <v>3990</v>
      </c>
      <c r="E2052" s="67"/>
      <c r="F2052" s="67"/>
      <c r="G2052" s="68"/>
      <c r="H2052" s="69" t="n">
        <v>3990</v>
      </c>
    </row>
    <row r="2053" customFormat="false" ht="15" hidden="false" customHeight="true" outlineLevel="0" collapsed="false">
      <c r="B2053" s="64"/>
      <c r="C2053" s="65" t="s">
        <v>81</v>
      </c>
      <c r="D2053" s="73"/>
      <c r="E2053" s="71" t="n">
        <v>90</v>
      </c>
      <c r="F2053" s="67"/>
      <c r="G2053" s="68"/>
      <c r="H2053" s="69" t="n">
        <v>90</v>
      </c>
    </row>
    <row r="2054" customFormat="false" ht="15" hidden="false" customHeight="true" outlineLevel="0" collapsed="false">
      <c r="B2054" s="64"/>
      <c r="C2054" s="65" t="s">
        <v>25</v>
      </c>
      <c r="D2054" s="66" t="n">
        <v>870</v>
      </c>
      <c r="E2054" s="71" t="n">
        <v>30</v>
      </c>
      <c r="F2054" s="67"/>
      <c r="G2054" s="68"/>
      <c r="H2054" s="69" t="n">
        <v>900</v>
      </c>
    </row>
    <row r="2055" customFormat="false" ht="15" hidden="false" customHeight="true" outlineLevel="0" collapsed="false">
      <c r="B2055" s="64"/>
      <c r="C2055" s="65" t="s">
        <v>51</v>
      </c>
      <c r="D2055" s="73"/>
      <c r="E2055" s="71" t="n">
        <v>410</v>
      </c>
      <c r="F2055" s="67"/>
      <c r="G2055" s="68"/>
      <c r="H2055" s="69" t="n">
        <v>410</v>
      </c>
    </row>
    <row r="2056" customFormat="false" ht="15" hidden="false" customHeight="true" outlineLevel="0" collapsed="false">
      <c r="B2056" s="64"/>
      <c r="C2056" s="65" t="s">
        <v>22</v>
      </c>
      <c r="D2056" s="66" t="n">
        <v>2910</v>
      </c>
      <c r="E2056" s="71" t="n">
        <v>155</v>
      </c>
      <c r="F2056" s="67"/>
      <c r="G2056" s="68"/>
      <c r="H2056" s="69" t="n">
        <v>3065</v>
      </c>
    </row>
    <row r="2057" customFormat="false" ht="15" hidden="false" customHeight="true" outlineLevel="0" collapsed="false">
      <c r="B2057" s="64"/>
      <c r="C2057" s="65" t="s">
        <v>37</v>
      </c>
      <c r="D2057" s="73"/>
      <c r="E2057" s="71" t="n">
        <v>40</v>
      </c>
      <c r="F2057" s="67"/>
      <c r="G2057" s="68"/>
      <c r="H2057" s="69" t="n">
        <v>40</v>
      </c>
    </row>
    <row r="2058" customFormat="false" ht="15" hidden="false" customHeight="true" outlineLevel="0" collapsed="false">
      <c r="B2058" s="64"/>
      <c r="C2058" s="65" t="s">
        <v>43</v>
      </c>
      <c r="D2058" s="73"/>
      <c r="E2058" s="71" t="n">
        <v>140</v>
      </c>
      <c r="F2058" s="67"/>
      <c r="G2058" s="68"/>
      <c r="H2058" s="69" t="n">
        <v>140</v>
      </c>
    </row>
    <row r="2059" customFormat="false" ht="15" hidden="false" customHeight="true" outlineLevel="0" collapsed="false">
      <c r="B2059" s="64"/>
      <c r="C2059" s="65" t="s">
        <v>40</v>
      </c>
      <c r="D2059" s="73"/>
      <c r="E2059" s="71" t="n">
        <v>1880</v>
      </c>
      <c r="F2059" s="67"/>
      <c r="G2059" s="68"/>
      <c r="H2059" s="69" t="n">
        <v>1880</v>
      </c>
    </row>
    <row r="2060" customFormat="false" ht="15" hidden="false" customHeight="true" outlineLevel="0" collapsed="false">
      <c r="B2060" s="64"/>
      <c r="C2060" s="65" t="s">
        <v>34</v>
      </c>
      <c r="D2060" s="73"/>
      <c r="E2060" s="71" t="n">
        <v>30</v>
      </c>
      <c r="F2060" s="67"/>
      <c r="G2060" s="68"/>
      <c r="H2060" s="69" t="n">
        <v>30</v>
      </c>
    </row>
    <row r="2061" customFormat="false" ht="15" hidden="false" customHeight="true" outlineLevel="0" collapsed="false">
      <c r="B2061" s="84"/>
      <c r="C2061" s="85" t="s">
        <v>29</v>
      </c>
      <c r="D2061" s="86" t="n">
        <v>1713</v>
      </c>
      <c r="E2061" s="76" t="n">
        <v>40</v>
      </c>
      <c r="F2061" s="75"/>
      <c r="G2061" s="77"/>
      <c r="H2061" s="78" t="n">
        <v>1753</v>
      </c>
    </row>
    <row r="2062" customFormat="false" ht="15" hidden="false" customHeight="true" outlineLevel="0" collapsed="false">
      <c r="B2062" s="87" t="s">
        <v>939</v>
      </c>
      <c r="C2062" s="88"/>
      <c r="D2062" s="89" t="n">
        <v>17123</v>
      </c>
      <c r="E2062" s="89" t="n">
        <v>5075</v>
      </c>
      <c r="F2062" s="90"/>
      <c r="G2062" s="90"/>
      <c r="H2062" s="91" t="n">
        <v>22198</v>
      </c>
    </row>
    <row r="2063" customFormat="false" ht="15" hidden="false" customHeight="true" outlineLevel="0" collapsed="false">
      <c r="B2063" s="56" t="n">
        <v>45878</v>
      </c>
      <c r="C2063" s="57" t="s">
        <v>53</v>
      </c>
      <c r="D2063" s="58"/>
      <c r="E2063" s="59"/>
      <c r="F2063" s="60" t="n">
        <v>975</v>
      </c>
      <c r="G2063" s="61"/>
      <c r="H2063" s="62" t="n">
        <v>975</v>
      </c>
    </row>
    <row r="2064" customFormat="false" ht="15" hidden="false" customHeight="true" outlineLevel="0" collapsed="false">
      <c r="B2064" s="64"/>
      <c r="C2064" s="65" t="s">
        <v>19</v>
      </c>
      <c r="D2064" s="66" t="n">
        <v>1285</v>
      </c>
      <c r="E2064" s="67"/>
      <c r="F2064" s="67"/>
      <c r="G2064" s="68"/>
      <c r="H2064" s="69" t="n">
        <v>1285</v>
      </c>
    </row>
    <row r="2065" customFormat="false" ht="15" hidden="false" customHeight="true" outlineLevel="0" collapsed="false">
      <c r="B2065" s="64"/>
      <c r="C2065" s="65" t="s">
        <v>28</v>
      </c>
      <c r="D2065" s="73"/>
      <c r="E2065" s="67"/>
      <c r="F2065" s="71" t="n">
        <v>912</v>
      </c>
      <c r="G2065" s="68"/>
      <c r="H2065" s="69" t="n">
        <v>912</v>
      </c>
    </row>
    <row r="2066" customFormat="false" ht="15" hidden="false" customHeight="true" outlineLevel="0" collapsed="false">
      <c r="B2066" s="64"/>
      <c r="C2066" s="65" t="s">
        <v>50</v>
      </c>
      <c r="D2066" s="66" t="n">
        <v>3290</v>
      </c>
      <c r="E2066" s="67"/>
      <c r="F2066" s="67"/>
      <c r="G2066" s="68"/>
      <c r="H2066" s="69" t="n">
        <v>3290</v>
      </c>
    </row>
    <row r="2067" customFormat="false" ht="15" hidden="false" customHeight="true" outlineLevel="0" collapsed="false">
      <c r="B2067" s="64"/>
      <c r="C2067" s="65" t="s">
        <v>22</v>
      </c>
      <c r="D2067" s="66" t="n">
        <v>25280</v>
      </c>
      <c r="E2067" s="67"/>
      <c r="F2067" s="71" t="n">
        <v>110</v>
      </c>
      <c r="G2067" s="68"/>
      <c r="H2067" s="69" t="n">
        <v>25390</v>
      </c>
    </row>
    <row r="2068" customFormat="false" ht="15" hidden="false" customHeight="true" outlineLevel="0" collapsed="false">
      <c r="B2068" s="64"/>
      <c r="C2068" s="65" t="s">
        <v>37</v>
      </c>
      <c r="D2068" s="73"/>
      <c r="E2068" s="67"/>
      <c r="F2068" s="71" t="n">
        <v>20</v>
      </c>
      <c r="G2068" s="68"/>
      <c r="H2068" s="69" t="n">
        <v>20</v>
      </c>
    </row>
    <row r="2069" customFormat="false" ht="15" hidden="false" customHeight="true" outlineLevel="0" collapsed="false">
      <c r="B2069" s="64"/>
      <c r="C2069" s="65" t="s">
        <v>43</v>
      </c>
      <c r="D2069" s="73"/>
      <c r="E2069" s="67"/>
      <c r="F2069" s="71" t="n">
        <v>100</v>
      </c>
      <c r="G2069" s="68"/>
      <c r="H2069" s="69" t="n">
        <v>100</v>
      </c>
    </row>
    <row r="2070" customFormat="false" ht="15" hidden="false" customHeight="true" outlineLevel="0" collapsed="false">
      <c r="B2070" s="64"/>
      <c r="C2070" s="65" t="s">
        <v>34</v>
      </c>
      <c r="D2070" s="73"/>
      <c r="E2070" s="67"/>
      <c r="F2070" s="71" t="n">
        <v>20</v>
      </c>
      <c r="G2070" s="68"/>
      <c r="H2070" s="69" t="n">
        <v>20</v>
      </c>
    </row>
    <row r="2071" customFormat="false" ht="15" hidden="false" customHeight="true" outlineLevel="0" collapsed="false">
      <c r="B2071" s="64"/>
      <c r="C2071" s="65" t="s">
        <v>29</v>
      </c>
      <c r="D2071" s="66" t="n">
        <v>153</v>
      </c>
      <c r="E2071" s="67"/>
      <c r="F2071" s="67"/>
      <c r="G2071" s="68"/>
      <c r="H2071" s="69" t="n">
        <v>153</v>
      </c>
    </row>
    <row r="2072" customFormat="false" ht="15" hidden="false" customHeight="true" outlineLevel="0" collapsed="false">
      <c r="B2072" s="84"/>
      <c r="C2072" s="85" t="s">
        <v>201</v>
      </c>
      <c r="D2072" s="74"/>
      <c r="E2072" s="75"/>
      <c r="F2072" s="76" t="n">
        <v>50</v>
      </c>
      <c r="G2072" s="77"/>
      <c r="H2072" s="78" t="n">
        <v>50</v>
      </c>
    </row>
    <row r="2073" customFormat="false" ht="15" hidden="false" customHeight="true" outlineLevel="0" collapsed="false">
      <c r="B2073" s="87" t="s">
        <v>940</v>
      </c>
      <c r="C2073" s="88"/>
      <c r="D2073" s="89" t="n">
        <v>30008</v>
      </c>
      <c r="E2073" s="90"/>
      <c r="F2073" s="89" t="n">
        <v>2187</v>
      </c>
      <c r="G2073" s="90"/>
      <c r="H2073" s="91" t="n">
        <v>32195</v>
      </c>
    </row>
    <row r="2074" customFormat="false" ht="15" hidden="false" customHeight="true" outlineLevel="0" collapsed="false">
      <c r="B2074" s="56" t="n">
        <v>45879</v>
      </c>
      <c r="C2074" s="57" t="s">
        <v>44</v>
      </c>
      <c r="D2074" s="92" t="n">
        <v>1000</v>
      </c>
      <c r="E2074" s="59"/>
      <c r="F2074" s="60" t="n">
        <v>100</v>
      </c>
      <c r="G2074" s="61"/>
      <c r="H2074" s="62" t="n">
        <v>1100</v>
      </c>
    </row>
    <row r="2075" customFormat="false" ht="15" hidden="false" customHeight="true" outlineLevel="0" collapsed="false">
      <c r="B2075" s="64"/>
      <c r="C2075" s="65" t="s">
        <v>32</v>
      </c>
      <c r="D2075" s="73"/>
      <c r="E2075" s="67"/>
      <c r="F2075" s="71" t="n">
        <v>770</v>
      </c>
      <c r="G2075" s="68"/>
      <c r="H2075" s="69" t="n">
        <v>770</v>
      </c>
    </row>
    <row r="2076" customFormat="false" ht="15" hidden="false" customHeight="true" outlineLevel="0" collapsed="false">
      <c r="B2076" s="64"/>
      <c r="C2076" s="65" t="s">
        <v>53</v>
      </c>
      <c r="D2076" s="73"/>
      <c r="E2076" s="67"/>
      <c r="F2076" s="71" t="n">
        <v>1200</v>
      </c>
      <c r="G2076" s="68"/>
      <c r="H2076" s="69" t="n">
        <v>1200</v>
      </c>
    </row>
    <row r="2077" customFormat="false" ht="15" hidden="false" customHeight="true" outlineLevel="0" collapsed="false">
      <c r="B2077" s="64"/>
      <c r="C2077" s="65" t="s">
        <v>19</v>
      </c>
      <c r="D2077" s="66" t="n">
        <v>1815</v>
      </c>
      <c r="E2077" s="67"/>
      <c r="F2077" s="67"/>
      <c r="G2077" s="68"/>
      <c r="H2077" s="69" t="n">
        <v>1815</v>
      </c>
    </row>
    <row r="2078" customFormat="false" ht="15" hidden="false" customHeight="true" outlineLevel="0" collapsed="false">
      <c r="B2078" s="64"/>
      <c r="C2078" s="65" t="s">
        <v>25</v>
      </c>
      <c r="D2078" s="66" t="n">
        <v>998</v>
      </c>
      <c r="E2078" s="67"/>
      <c r="F2078" s="67"/>
      <c r="G2078" s="68"/>
      <c r="H2078" s="69" t="n">
        <v>998</v>
      </c>
    </row>
    <row r="2079" customFormat="false" ht="15" hidden="false" customHeight="true" outlineLevel="0" collapsed="false">
      <c r="B2079" s="64"/>
      <c r="C2079" s="65" t="s">
        <v>37</v>
      </c>
      <c r="D2079" s="73"/>
      <c r="E2079" s="67"/>
      <c r="F2079" s="71" t="n">
        <v>20</v>
      </c>
      <c r="G2079" s="68"/>
      <c r="H2079" s="69" t="n">
        <v>20</v>
      </c>
    </row>
    <row r="2080" customFormat="false" ht="15" hidden="false" customHeight="true" outlineLevel="0" collapsed="false">
      <c r="B2080" s="64"/>
      <c r="C2080" s="65" t="s">
        <v>31</v>
      </c>
      <c r="D2080" s="73"/>
      <c r="E2080" s="67"/>
      <c r="F2080" s="71" t="n">
        <v>310</v>
      </c>
      <c r="G2080" s="68"/>
      <c r="H2080" s="69" t="n">
        <v>310</v>
      </c>
    </row>
    <row r="2081" customFormat="false" ht="15" hidden="false" customHeight="true" outlineLevel="0" collapsed="false">
      <c r="B2081" s="84"/>
      <c r="C2081" s="85" t="s">
        <v>29</v>
      </c>
      <c r="D2081" s="86" t="n">
        <v>1080</v>
      </c>
      <c r="E2081" s="75"/>
      <c r="F2081" s="76" t="n">
        <v>30</v>
      </c>
      <c r="G2081" s="77"/>
      <c r="H2081" s="78" t="n">
        <v>1110</v>
      </c>
    </row>
    <row r="2082" customFormat="false" ht="15" hidden="false" customHeight="true" outlineLevel="0" collapsed="false">
      <c r="B2082" s="87" t="s">
        <v>941</v>
      </c>
      <c r="C2082" s="88"/>
      <c r="D2082" s="89" t="n">
        <v>4893</v>
      </c>
      <c r="E2082" s="90"/>
      <c r="F2082" s="89" t="n">
        <v>2430</v>
      </c>
      <c r="G2082" s="90"/>
      <c r="H2082" s="91" t="n">
        <v>7323</v>
      </c>
    </row>
    <row r="2083" customFormat="false" ht="15" hidden="false" customHeight="true" outlineLevel="0" collapsed="false">
      <c r="B2083" s="56" t="n">
        <v>45880</v>
      </c>
      <c r="C2083" s="57" t="s">
        <v>44</v>
      </c>
      <c r="D2083" s="92" t="n">
        <v>300</v>
      </c>
      <c r="E2083" s="59"/>
      <c r="F2083" s="59"/>
      <c r="G2083" s="61"/>
      <c r="H2083" s="62" t="n">
        <v>300</v>
      </c>
    </row>
    <row r="2084" customFormat="false" ht="15" hidden="false" customHeight="true" outlineLevel="0" collapsed="false">
      <c r="B2084" s="64"/>
      <c r="C2084" s="65" t="s">
        <v>32</v>
      </c>
      <c r="D2084" s="73"/>
      <c r="E2084" s="67"/>
      <c r="F2084" s="71" t="n">
        <v>350</v>
      </c>
      <c r="G2084" s="68"/>
      <c r="H2084" s="69" t="n">
        <v>350</v>
      </c>
    </row>
    <row r="2085" customFormat="false" ht="15" hidden="false" customHeight="true" outlineLevel="0" collapsed="false">
      <c r="B2085" s="64"/>
      <c r="C2085" s="65" t="s">
        <v>47</v>
      </c>
      <c r="D2085" s="66" t="n">
        <v>1800</v>
      </c>
      <c r="E2085" s="67"/>
      <c r="F2085" s="67"/>
      <c r="G2085" s="68"/>
      <c r="H2085" s="69" t="n">
        <v>1800</v>
      </c>
    </row>
    <row r="2086" customFormat="false" ht="15" hidden="false" customHeight="true" outlineLevel="0" collapsed="false">
      <c r="B2086" s="64"/>
      <c r="C2086" s="65" t="s">
        <v>19</v>
      </c>
      <c r="D2086" s="66" t="n">
        <v>2788</v>
      </c>
      <c r="E2086" s="67"/>
      <c r="F2086" s="67"/>
      <c r="G2086" s="68"/>
      <c r="H2086" s="69" t="n">
        <v>2788</v>
      </c>
    </row>
    <row r="2087" customFormat="false" ht="15" hidden="false" customHeight="true" outlineLevel="0" collapsed="false">
      <c r="B2087" s="64"/>
      <c r="C2087" s="65" t="s">
        <v>25</v>
      </c>
      <c r="D2087" s="73"/>
      <c r="E2087" s="67"/>
      <c r="F2087" s="71" t="n">
        <v>350</v>
      </c>
      <c r="G2087" s="68"/>
      <c r="H2087" s="69" t="n">
        <v>350</v>
      </c>
    </row>
    <row r="2088" customFormat="false" ht="15" hidden="false" customHeight="true" outlineLevel="0" collapsed="false">
      <c r="B2088" s="64"/>
      <c r="C2088" s="65" t="s">
        <v>50</v>
      </c>
      <c r="D2088" s="66" t="n">
        <v>1645</v>
      </c>
      <c r="E2088" s="67"/>
      <c r="F2088" s="67"/>
      <c r="G2088" s="68"/>
      <c r="H2088" s="69" t="n">
        <v>1645</v>
      </c>
    </row>
    <row r="2089" customFormat="false" ht="15" hidden="false" customHeight="true" outlineLevel="0" collapsed="false">
      <c r="B2089" s="64"/>
      <c r="C2089" s="65" t="s">
        <v>37</v>
      </c>
      <c r="D2089" s="73"/>
      <c r="E2089" s="67"/>
      <c r="F2089" s="71" t="n">
        <v>20</v>
      </c>
      <c r="G2089" s="68"/>
      <c r="H2089" s="69" t="n">
        <v>20</v>
      </c>
    </row>
    <row r="2090" customFormat="false" ht="15" hidden="false" customHeight="true" outlineLevel="0" collapsed="false">
      <c r="B2090" s="64"/>
      <c r="C2090" s="65" t="s">
        <v>43</v>
      </c>
      <c r="D2090" s="73"/>
      <c r="E2090" s="67"/>
      <c r="F2090" s="71" t="n">
        <v>200</v>
      </c>
      <c r="G2090" s="68"/>
      <c r="H2090" s="69" t="n">
        <v>200</v>
      </c>
    </row>
    <row r="2091" customFormat="false" ht="15" hidden="false" customHeight="true" outlineLevel="0" collapsed="false">
      <c r="B2091" s="64"/>
      <c r="C2091" s="65" t="s">
        <v>35</v>
      </c>
      <c r="D2091" s="73"/>
      <c r="E2091" s="67"/>
      <c r="F2091" s="71" t="n">
        <v>100</v>
      </c>
      <c r="G2091" s="68"/>
      <c r="H2091" s="69" t="n">
        <v>100</v>
      </c>
    </row>
    <row r="2092" customFormat="false" ht="15" hidden="false" customHeight="true" outlineLevel="0" collapsed="false">
      <c r="B2092" s="84"/>
      <c r="C2092" s="85" t="s">
        <v>29</v>
      </c>
      <c r="D2092" s="86" t="n">
        <v>1501</v>
      </c>
      <c r="E2092" s="75"/>
      <c r="F2092" s="75"/>
      <c r="G2092" s="77"/>
      <c r="H2092" s="78" t="n">
        <v>1501</v>
      </c>
    </row>
    <row r="2093" customFormat="false" ht="15" hidden="false" customHeight="true" outlineLevel="0" collapsed="false">
      <c r="B2093" s="87" t="s">
        <v>942</v>
      </c>
      <c r="C2093" s="88"/>
      <c r="D2093" s="89" t="n">
        <v>8034</v>
      </c>
      <c r="E2093" s="90"/>
      <c r="F2093" s="89" t="n">
        <v>1020</v>
      </c>
      <c r="G2093" s="90"/>
      <c r="H2093" s="91" t="n">
        <v>9054</v>
      </c>
    </row>
    <row r="2094" customFormat="false" ht="15" hidden="false" customHeight="true" outlineLevel="0" collapsed="false">
      <c r="B2094" s="56" t="n">
        <v>45881</v>
      </c>
      <c r="C2094" s="57" t="s">
        <v>19</v>
      </c>
      <c r="D2094" s="92" t="n">
        <v>1253</v>
      </c>
      <c r="E2094" s="59"/>
      <c r="F2094" s="59"/>
      <c r="G2094" s="61"/>
      <c r="H2094" s="62" t="n">
        <v>1253</v>
      </c>
    </row>
    <row r="2095" customFormat="false" ht="15" hidden="false" customHeight="true" outlineLevel="0" collapsed="false">
      <c r="B2095" s="64"/>
      <c r="C2095" s="65" t="s">
        <v>81</v>
      </c>
      <c r="D2095" s="73"/>
      <c r="E2095" s="67"/>
      <c r="F2095" s="71" t="n">
        <v>100</v>
      </c>
      <c r="G2095" s="68"/>
      <c r="H2095" s="69" t="n">
        <v>100</v>
      </c>
    </row>
    <row r="2096" customFormat="false" ht="15" hidden="false" customHeight="true" outlineLevel="0" collapsed="false">
      <c r="B2096" s="64"/>
      <c r="C2096" s="65" t="s">
        <v>25</v>
      </c>
      <c r="D2096" s="66" t="n">
        <v>510</v>
      </c>
      <c r="E2096" s="67"/>
      <c r="F2096" s="67"/>
      <c r="G2096" s="68"/>
      <c r="H2096" s="69" t="n">
        <v>510</v>
      </c>
    </row>
    <row r="2097" customFormat="false" ht="15" hidden="false" customHeight="true" outlineLevel="0" collapsed="false">
      <c r="B2097" s="84"/>
      <c r="C2097" s="85" t="s">
        <v>43</v>
      </c>
      <c r="D2097" s="86" t="n">
        <v>1000</v>
      </c>
      <c r="E2097" s="75"/>
      <c r="F2097" s="75"/>
      <c r="G2097" s="77"/>
      <c r="H2097" s="78" t="n">
        <v>1000</v>
      </c>
    </row>
    <row r="2098" customFormat="false" ht="15" hidden="false" customHeight="true" outlineLevel="0" collapsed="false">
      <c r="B2098" s="87" t="s">
        <v>943</v>
      </c>
      <c r="C2098" s="88"/>
      <c r="D2098" s="89" t="n">
        <v>2763</v>
      </c>
      <c r="E2098" s="90"/>
      <c r="F2098" s="89" t="n">
        <v>100</v>
      </c>
      <c r="G2098" s="90"/>
      <c r="H2098" s="91" t="n">
        <v>2863</v>
      </c>
    </row>
    <row r="2099" customFormat="false" ht="15" hidden="false" customHeight="true" outlineLevel="0" collapsed="false">
      <c r="B2099" s="56" t="n">
        <v>45882</v>
      </c>
      <c r="C2099" s="57" t="s">
        <v>47</v>
      </c>
      <c r="D2099" s="92" t="n">
        <v>900</v>
      </c>
      <c r="E2099" s="59"/>
      <c r="F2099" s="59"/>
      <c r="G2099" s="61"/>
      <c r="H2099" s="62" t="n">
        <v>900</v>
      </c>
    </row>
    <row r="2100" customFormat="false" ht="15" hidden="false" customHeight="true" outlineLevel="0" collapsed="false">
      <c r="B2100" s="64"/>
      <c r="C2100" s="65" t="s">
        <v>19</v>
      </c>
      <c r="D2100" s="66" t="n">
        <v>755</v>
      </c>
      <c r="E2100" s="67"/>
      <c r="F2100" s="67"/>
      <c r="G2100" s="68"/>
      <c r="H2100" s="69" t="n">
        <v>755</v>
      </c>
    </row>
    <row r="2101" customFormat="false" ht="15" hidden="false" customHeight="true" outlineLevel="0" collapsed="false">
      <c r="B2101" s="64"/>
      <c r="C2101" s="65" t="s">
        <v>25</v>
      </c>
      <c r="D2101" s="66" t="n">
        <v>900</v>
      </c>
      <c r="E2101" s="67"/>
      <c r="F2101" s="67"/>
      <c r="G2101" s="68"/>
      <c r="H2101" s="69" t="n">
        <v>900</v>
      </c>
    </row>
    <row r="2102" customFormat="false" ht="15" hidden="false" customHeight="true" outlineLevel="0" collapsed="false">
      <c r="B2102" s="64"/>
      <c r="C2102" s="65" t="s">
        <v>51</v>
      </c>
      <c r="D2102" s="66" t="n">
        <v>10750</v>
      </c>
      <c r="E2102" s="67"/>
      <c r="F2102" s="67"/>
      <c r="G2102" s="68"/>
      <c r="H2102" s="69" t="n">
        <v>10750</v>
      </c>
    </row>
    <row r="2103" customFormat="false" ht="15" hidden="false" customHeight="true" outlineLevel="0" collapsed="false">
      <c r="B2103" s="64"/>
      <c r="C2103" s="65" t="s">
        <v>22</v>
      </c>
      <c r="D2103" s="73"/>
      <c r="E2103" s="67"/>
      <c r="F2103" s="71" t="n">
        <v>55</v>
      </c>
      <c r="G2103" s="68"/>
      <c r="H2103" s="69" t="n">
        <v>55</v>
      </c>
    </row>
    <row r="2104" customFormat="false" ht="15" hidden="false" customHeight="true" outlineLevel="0" collapsed="false">
      <c r="B2104" s="64"/>
      <c r="C2104" s="65" t="s">
        <v>37</v>
      </c>
      <c r="D2104" s="73"/>
      <c r="E2104" s="67"/>
      <c r="F2104" s="71" t="n">
        <v>50</v>
      </c>
      <c r="G2104" s="68"/>
      <c r="H2104" s="69" t="n">
        <v>50</v>
      </c>
    </row>
    <row r="2105" customFormat="false" ht="15" hidden="false" customHeight="true" outlineLevel="0" collapsed="false">
      <c r="B2105" s="64"/>
      <c r="C2105" s="65" t="s">
        <v>43</v>
      </c>
      <c r="D2105" s="73"/>
      <c r="E2105" s="67"/>
      <c r="F2105" s="71" t="n">
        <v>465</v>
      </c>
      <c r="G2105" s="68"/>
      <c r="H2105" s="69" t="n">
        <v>465</v>
      </c>
    </row>
    <row r="2106" customFormat="false" ht="15" hidden="false" customHeight="true" outlineLevel="0" collapsed="false">
      <c r="B2106" s="84"/>
      <c r="C2106" s="85" t="s">
        <v>40</v>
      </c>
      <c r="D2106" s="74"/>
      <c r="E2106" s="75"/>
      <c r="F2106" s="76" t="n">
        <v>1480</v>
      </c>
      <c r="G2106" s="77"/>
      <c r="H2106" s="78" t="n">
        <v>1480</v>
      </c>
    </row>
    <row r="2107" customFormat="false" ht="15" hidden="false" customHeight="true" outlineLevel="0" collapsed="false">
      <c r="B2107" s="87" t="s">
        <v>944</v>
      </c>
      <c r="C2107" s="88"/>
      <c r="D2107" s="89" t="n">
        <v>13305</v>
      </c>
      <c r="E2107" s="90"/>
      <c r="F2107" s="89" t="n">
        <v>2050</v>
      </c>
      <c r="G2107" s="90"/>
      <c r="H2107" s="91" t="n">
        <v>15355</v>
      </c>
    </row>
    <row r="2108" customFormat="false" ht="15" hidden="false" customHeight="true" outlineLevel="0" collapsed="false">
      <c r="B2108" s="56" t="n">
        <v>45883</v>
      </c>
      <c r="C2108" s="57" t="s">
        <v>44</v>
      </c>
      <c r="D2108" s="92" t="n">
        <v>500</v>
      </c>
      <c r="E2108" s="59"/>
      <c r="F2108" s="59"/>
      <c r="G2108" s="61"/>
      <c r="H2108" s="62" t="n">
        <v>500</v>
      </c>
    </row>
    <row r="2109" customFormat="false" ht="15" hidden="false" customHeight="true" outlineLevel="0" collapsed="false">
      <c r="B2109" s="64"/>
      <c r="C2109" s="65" t="s">
        <v>32</v>
      </c>
      <c r="D2109" s="73"/>
      <c r="E2109" s="67"/>
      <c r="F2109" s="71" t="n">
        <v>120</v>
      </c>
      <c r="G2109" s="68"/>
      <c r="H2109" s="69" t="n">
        <v>120</v>
      </c>
    </row>
    <row r="2110" customFormat="false" ht="15" hidden="false" customHeight="true" outlineLevel="0" collapsed="false">
      <c r="B2110" s="64"/>
      <c r="C2110" s="65" t="s">
        <v>19</v>
      </c>
      <c r="D2110" s="66" t="n">
        <v>2212</v>
      </c>
      <c r="E2110" s="67"/>
      <c r="F2110" s="67"/>
      <c r="G2110" s="68"/>
      <c r="H2110" s="69" t="n">
        <v>2212</v>
      </c>
    </row>
    <row r="2111" customFormat="false" ht="15" hidden="false" customHeight="true" outlineLevel="0" collapsed="false">
      <c r="B2111" s="64"/>
      <c r="C2111" s="65" t="s">
        <v>25</v>
      </c>
      <c r="D2111" s="66" t="n">
        <v>1350</v>
      </c>
      <c r="E2111" s="67"/>
      <c r="F2111" s="71" t="n">
        <v>150</v>
      </c>
      <c r="G2111" s="68"/>
      <c r="H2111" s="69" t="n">
        <v>1500</v>
      </c>
    </row>
    <row r="2112" customFormat="false" ht="15" hidden="false" customHeight="true" outlineLevel="0" collapsed="false">
      <c r="B2112" s="64"/>
      <c r="C2112" s="65" t="s">
        <v>51</v>
      </c>
      <c r="D2112" s="73"/>
      <c r="E2112" s="67"/>
      <c r="F2112" s="71" t="n">
        <v>450</v>
      </c>
      <c r="G2112" s="68"/>
      <c r="H2112" s="69" t="n">
        <v>450</v>
      </c>
    </row>
    <row r="2113" customFormat="false" ht="15" hidden="false" customHeight="true" outlineLevel="0" collapsed="false">
      <c r="B2113" s="64"/>
      <c r="C2113" s="65" t="s">
        <v>22</v>
      </c>
      <c r="D2113" s="73"/>
      <c r="E2113" s="67"/>
      <c r="F2113" s="71" t="n">
        <v>50</v>
      </c>
      <c r="G2113" s="68"/>
      <c r="H2113" s="69" t="n">
        <v>50</v>
      </c>
    </row>
    <row r="2114" customFormat="false" ht="15" hidden="false" customHeight="true" outlineLevel="0" collapsed="false">
      <c r="B2114" s="64"/>
      <c r="C2114" s="65" t="s">
        <v>43</v>
      </c>
      <c r="D2114" s="73"/>
      <c r="E2114" s="67"/>
      <c r="F2114" s="71" t="n">
        <v>80</v>
      </c>
      <c r="G2114" s="68"/>
      <c r="H2114" s="69" t="n">
        <v>80</v>
      </c>
    </row>
    <row r="2115" customFormat="false" ht="15" hidden="false" customHeight="true" outlineLevel="0" collapsed="false">
      <c r="B2115" s="84"/>
      <c r="C2115" s="85" t="s">
        <v>29</v>
      </c>
      <c r="D2115" s="74"/>
      <c r="E2115" s="75"/>
      <c r="F2115" s="76" t="n">
        <v>55</v>
      </c>
      <c r="G2115" s="77"/>
      <c r="H2115" s="78" t="n">
        <v>55</v>
      </c>
    </row>
    <row r="2116" customFormat="false" ht="15" hidden="false" customHeight="true" outlineLevel="0" collapsed="false">
      <c r="B2116" s="87" t="s">
        <v>945</v>
      </c>
      <c r="C2116" s="88"/>
      <c r="D2116" s="89" t="n">
        <v>4062</v>
      </c>
      <c r="E2116" s="90"/>
      <c r="F2116" s="89" t="n">
        <v>905</v>
      </c>
      <c r="G2116" s="90"/>
      <c r="H2116" s="91" t="n">
        <v>4967</v>
      </c>
    </row>
    <row r="2117" customFormat="false" ht="15" hidden="false" customHeight="true" outlineLevel="0" collapsed="false">
      <c r="B2117" s="56" t="n">
        <v>45884</v>
      </c>
      <c r="C2117" s="57" t="s">
        <v>32</v>
      </c>
      <c r="D2117" s="58"/>
      <c r="E2117" s="59"/>
      <c r="F2117" s="60" t="n">
        <v>380</v>
      </c>
      <c r="G2117" s="61"/>
      <c r="H2117" s="62" t="n">
        <v>380</v>
      </c>
    </row>
    <row r="2118" customFormat="false" ht="15" hidden="false" customHeight="true" outlineLevel="0" collapsed="false">
      <c r="B2118" s="64"/>
      <c r="C2118" s="65" t="s">
        <v>13</v>
      </c>
      <c r="D2118" s="73"/>
      <c r="E2118" s="67"/>
      <c r="F2118" s="71" t="n">
        <v>3300</v>
      </c>
      <c r="G2118" s="68"/>
      <c r="H2118" s="69" t="n">
        <v>3300</v>
      </c>
    </row>
    <row r="2119" customFormat="false" ht="15" hidden="false" customHeight="true" outlineLevel="0" collapsed="false">
      <c r="B2119" s="64"/>
      <c r="C2119" s="65" t="s">
        <v>47</v>
      </c>
      <c r="D2119" s="66" t="n">
        <v>1500</v>
      </c>
      <c r="E2119" s="67"/>
      <c r="F2119" s="67"/>
      <c r="G2119" s="68"/>
      <c r="H2119" s="69" t="n">
        <v>1500</v>
      </c>
    </row>
    <row r="2120" customFormat="false" ht="15" hidden="false" customHeight="true" outlineLevel="0" collapsed="false">
      <c r="B2120" s="64"/>
      <c r="C2120" s="65" t="s">
        <v>19</v>
      </c>
      <c r="D2120" s="66" t="n">
        <v>3567</v>
      </c>
      <c r="E2120" s="67"/>
      <c r="F2120" s="67"/>
      <c r="G2120" s="68"/>
      <c r="H2120" s="69" t="n">
        <v>3567</v>
      </c>
    </row>
    <row r="2121" customFormat="false" ht="15" hidden="false" customHeight="true" outlineLevel="0" collapsed="false">
      <c r="B2121" s="64"/>
      <c r="C2121" s="65" t="s">
        <v>25</v>
      </c>
      <c r="D2121" s="66" t="n">
        <v>718</v>
      </c>
      <c r="E2121" s="67"/>
      <c r="F2121" s="67"/>
      <c r="G2121" s="68"/>
      <c r="H2121" s="69" t="n">
        <v>718</v>
      </c>
    </row>
    <row r="2122" customFormat="false" ht="15" hidden="false" customHeight="true" outlineLevel="0" collapsed="false">
      <c r="B2122" s="64"/>
      <c r="C2122" s="65" t="s">
        <v>22</v>
      </c>
      <c r="D2122" s="66" t="n">
        <v>1187.5</v>
      </c>
      <c r="E2122" s="67"/>
      <c r="F2122" s="71" t="n">
        <v>540</v>
      </c>
      <c r="G2122" s="68"/>
      <c r="H2122" s="69" t="n">
        <v>1727.5</v>
      </c>
    </row>
    <row r="2123" customFormat="false" ht="15" hidden="false" customHeight="true" outlineLevel="0" collapsed="false">
      <c r="B2123" s="64"/>
      <c r="C2123" s="65" t="s">
        <v>37</v>
      </c>
      <c r="D2123" s="73"/>
      <c r="E2123" s="67"/>
      <c r="F2123" s="71" t="n">
        <v>20</v>
      </c>
      <c r="G2123" s="68"/>
      <c r="H2123" s="69" t="n">
        <v>20</v>
      </c>
    </row>
    <row r="2124" customFormat="false" ht="15" hidden="false" customHeight="true" outlineLevel="0" collapsed="false">
      <c r="B2124" s="64"/>
      <c r="C2124" s="65" t="s">
        <v>107</v>
      </c>
      <c r="D2124" s="73"/>
      <c r="E2124" s="67"/>
      <c r="F2124" s="71" t="n">
        <v>10</v>
      </c>
      <c r="G2124" s="68"/>
      <c r="H2124" s="69" t="n">
        <v>10</v>
      </c>
    </row>
    <row r="2125" customFormat="false" ht="15" hidden="false" customHeight="true" outlineLevel="0" collapsed="false">
      <c r="B2125" s="64"/>
      <c r="C2125" s="65" t="s">
        <v>60</v>
      </c>
      <c r="D2125" s="73"/>
      <c r="E2125" s="67"/>
      <c r="F2125" s="71" t="n">
        <v>210</v>
      </c>
      <c r="G2125" s="68"/>
      <c r="H2125" s="69" t="n">
        <v>210</v>
      </c>
    </row>
    <row r="2126" customFormat="false" ht="15" hidden="false" customHeight="true" outlineLevel="0" collapsed="false">
      <c r="B2126" s="84"/>
      <c r="C2126" s="85" t="s">
        <v>29</v>
      </c>
      <c r="D2126" s="86" t="n">
        <v>380</v>
      </c>
      <c r="E2126" s="75"/>
      <c r="F2126" s="76" t="n">
        <v>10</v>
      </c>
      <c r="G2126" s="77"/>
      <c r="H2126" s="78" t="n">
        <v>390</v>
      </c>
    </row>
    <row r="2127" customFormat="false" ht="15" hidden="false" customHeight="true" outlineLevel="0" collapsed="false">
      <c r="B2127" s="87" t="s">
        <v>946</v>
      </c>
      <c r="C2127" s="88"/>
      <c r="D2127" s="89" t="n">
        <v>7352.5</v>
      </c>
      <c r="E2127" s="90"/>
      <c r="F2127" s="89" t="n">
        <v>4470</v>
      </c>
      <c r="G2127" s="90"/>
      <c r="H2127" s="91" t="n">
        <v>11822.5</v>
      </c>
    </row>
    <row r="2128" customFormat="false" ht="15" hidden="false" customHeight="true" outlineLevel="0" collapsed="false">
      <c r="B2128" s="56" t="n">
        <v>45885</v>
      </c>
      <c r="C2128" s="57" t="s">
        <v>53</v>
      </c>
      <c r="D2128" s="58"/>
      <c r="E2128" s="59"/>
      <c r="F2128" s="60" t="n">
        <v>2600</v>
      </c>
      <c r="G2128" s="61"/>
      <c r="H2128" s="62" t="n">
        <v>2600</v>
      </c>
    </row>
    <row r="2129" customFormat="false" ht="15" hidden="false" customHeight="true" outlineLevel="0" collapsed="false">
      <c r="B2129" s="64"/>
      <c r="C2129" s="65" t="s">
        <v>19</v>
      </c>
      <c r="D2129" s="66" t="n">
        <v>2954</v>
      </c>
      <c r="E2129" s="67"/>
      <c r="F2129" s="67"/>
      <c r="G2129" s="68"/>
      <c r="H2129" s="69" t="n">
        <v>2954</v>
      </c>
    </row>
    <row r="2130" customFormat="false" ht="15" hidden="false" customHeight="true" outlineLevel="0" collapsed="false">
      <c r="B2130" s="64"/>
      <c r="C2130" s="65" t="s">
        <v>25</v>
      </c>
      <c r="D2130" s="66" t="n">
        <v>789</v>
      </c>
      <c r="E2130" s="67"/>
      <c r="F2130" s="67"/>
      <c r="G2130" s="68"/>
      <c r="H2130" s="69" t="n">
        <v>789</v>
      </c>
    </row>
    <row r="2131" customFormat="false" ht="15" hidden="false" customHeight="true" outlineLevel="0" collapsed="false">
      <c r="B2131" s="64"/>
      <c r="C2131" s="65" t="s">
        <v>28</v>
      </c>
      <c r="D2131" s="66" t="n">
        <v>780</v>
      </c>
      <c r="E2131" s="67"/>
      <c r="F2131" s="67"/>
      <c r="G2131" s="68"/>
      <c r="H2131" s="69" t="n">
        <v>780</v>
      </c>
    </row>
    <row r="2132" customFormat="false" ht="15" hidden="false" customHeight="true" outlineLevel="0" collapsed="false">
      <c r="B2132" s="64"/>
      <c r="C2132" s="65" t="s">
        <v>50</v>
      </c>
      <c r="D2132" s="66" t="n">
        <v>1645</v>
      </c>
      <c r="E2132" s="67"/>
      <c r="F2132" s="67"/>
      <c r="G2132" s="68"/>
      <c r="H2132" s="69" t="n">
        <v>1645</v>
      </c>
    </row>
    <row r="2133" customFormat="false" ht="15" hidden="false" customHeight="true" outlineLevel="0" collapsed="false">
      <c r="B2133" s="64"/>
      <c r="C2133" s="65" t="s">
        <v>22</v>
      </c>
      <c r="D2133" s="73"/>
      <c r="E2133" s="67"/>
      <c r="F2133" s="71" t="n">
        <v>70</v>
      </c>
      <c r="G2133" s="68"/>
      <c r="H2133" s="69" t="n">
        <v>70</v>
      </c>
    </row>
    <row r="2134" customFormat="false" ht="15" hidden="false" customHeight="true" outlineLevel="0" collapsed="false">
      <c r="B2134" s="64"/>
      <c r="C2134" s="65" t="s">
        <v>37</v>
      </c>
      <c r="D2134" s="73"/>
      <c r="E2134" s="67"/>
      <c r="F2134" s="71" t="n">
        <v>20</v>
      </c>
      <c r="G2134" s="68"/>
      <c r="H2134" s="69" t="n">
        <v>20</v>
      </c>
    </row>
    <row r="2135" customFormat="false" ht="15" hidden="false" customHeight="true" outlineLevel="0" collapsed="false">
      <c r="B2135" s="64"/>
      <c r="C2135" s="65" t="s">
        <v>43</v>
      </c>
      <c r="D2135" s="73"/>
      <c r="E2135" s="67"/>
      <c r="F2135" s="71" t="n">
        <v>500</v>
      </c>
      <c r="G2135" s="68"/>
      <c r="H2135" s="69" t="n">
        <v>500</v>
      </c>
    </row>
    <row r="2136" customFormat="false" ht="15" hidden="false" customHeight="true" outlineLevel="0" collapsed="false">
      <c r="B2136" s="64"/>
      <c r="C2136" s="65" t="s">
        <v>40</v>
      </c>
      <c r="D2136" s="73"/>
      <c r="E2136" s="67"/>
      <c r="F2136" s="71" t="n">
        <v>400</v>
      </c>
      <c r="G2136" s="68"/>
      <c r="H2136" s="69" t="n">
        <v>400</v>
      </c>
    </row>
    <row r="2137" customFormat="false" ht="15" hidden="false" customHeight="true" outlineLevel="0" collapsed="false">
      <c r="B2137" s="64"/>
      <c r="C2137" s="65" t="s">
        <v>31</v>
      </c>
      <c r="D2137" s="73"/>
      <c r="E2137" s="67"/>
      <c r="F2137" s="71" t="n">
        <v>310</v>
      </c>
      <c r="G2137" s="68"/>
      <c r="H2137" s="69" t="n">
        <v>310</v>
      </c>
    </row>
    <row r="2138" customFormat="false" ht="15" hidden="false" customHeight="true" outlineLevel="0" collapsed="false">
      <c r="B2138" s="84"/>
      <c r="C2138" s="85" t="s">
        <v>29</v>
      </c>
      <c r="D2138" s="86" t="n">
        <v>885</v>
      </c>
      <c r="E2138" s="75"/>
      <c r="F2138" s="75"/>
      <c r="G2138" s="77"/>
      <c r="H2138" s="78" t="n">
        <v>885</v>
      </c>
    </row>
    <row r="2139" customFormat="false" ht="15" hidden="false" customHeight="true" outlineLevel="0" collapsed="false">
      <c r="B2139" s="87" t="s">
        <v>947</v>
      </c>
      <c r="C2139" s="88"/>
      <c r="D2139" s="89" t="n">
        <v>7053</v>
      </c>
      <c r="E2139" s="90"/>
      <c r="F2139" s="89" t="n">
        <v>3900</v>
      </c>
      <c r="G2139" s="90"/>
      <c r="H2139" s="91" t="n">
        <v>10953</v>
      </c>
    </row>
    <row r="2140" customFormat="false" ht="15" hidden="false" customHeight="true" outlineLevel="0" collapsed="false">
      <c r="B2140" s="56" t="n">
        <v>45886</v>
      </c>
      <c r="C2140" s="57" t="s">
        <v>44</v>
      </c>
      <c r="D2140" s="92" t="n">
        <v>6000</v>
      </c>
      <c r="E2140" s="59"/>
      <c r="F2140" s="60" t="n">
        <v>1000</v>
      </c>
      <c r="G2140" s="61"/>
      <c r="H2140" s="62" t="n">
        <v>7000</v>
      </c>
    </row>
    <row r="2141" customFormat="false" ht="15" hidden="false" customHeight="true" outlineLevel="0" collapsed="false">
      <c r="B2141" s="64"/>
      <c r="C2141" s="65" t="s">
        <v>32</v>
      </c>
      <c r="D2141" s="73"/>
      <c r="E2141" s="67"/>
      <c r="F2141" s="71" t="n">
        <v>175</v>
      </c>
      <c r="G2141" s="68"/>
      <c r="H2141" s="69" t="n">
        <v>175</v>
      </c>
    </row>
    <row r="2142" customFormat="false" ht="15" hidden="false" customHeight="true" outlineLevel="0" collapsed="false">
      <c r="B2142" s="64"/>
      <c r="C2142" s="65" t="s">
        <v>118</v>
      </c>
      <c r="D2142" s="73"/>
      <c r="E2142" s="67"/>
      <c r="F2142" s="71" t="n">
        <v>87</v>
      </c>
      <c r="G2142" s="68"/>
      <c r="H2142" s="69" t="n">
        <v>87</v>
      </c>
    </row>
    <row r="2143" customFormat="false" ht="15" hidden="false" customHeight="true" outlineLevel="0" collapsed="false">
      <c r="B2143" s="64"/>
      <c r="C2143" s="65" t="s">
        <v>19</v>
      </c>
      <c r="D2143" s="66" t="n">
        <v>2351</v>
      </c>
      <c r="E2143" s="67"/>
      <c r="F2143" s="67"/>
      <c r="G2143" s="68"/>
      <c r="H2143" s="69" t="n">
        <v>2351</v>
      </c>
    </row>
    <row r="2144" customFormat="false" ht="15" hidden="false" customHeight="true" outlineLevel="0" collapsed="false">
      <c r="B2144" s="64"/>
      <c r="C2144" s="65" t="s">
        <v>25</v>
      </c>
      <c r="D2144" s="66" t="n">
        <v>879</v>
      </c>
      <c r="E2144" s="67"/>
      <c r="F2144" s="67"/>
      <c r="G2144" s="68"/>
      <c r="H2144" s="69" t="n">
        <v>879</v>
      </c>
    </row>
    <row r="2145" customFormat="false" ht="15" hidden="false" customHeight="true" outlineLevel="0" collapsed="false">
      <c r="B2145" s="64"/>
      <c r="C2145" s="65" t="s">
        <v>22</v>
      </c>
      <c r="D2145" s="73"/>
      <c r="E2145" s="67"/>
      <c r="F2145" s="71" t="n">
        <v>532</v>
      </c>
      <c r="G2145" s="68"/>
      <c r="H2145" s="69" t="n">
        <v>532</v>
      </c>
    </row>
    <row r="2146" customFormat="false" ht="15" hidden="false" customHeight="true" outlineLevel="0" collapsed="false">
      <c r="B2146" s="64"/>
      <c r="C2146" s="65" t="s">
        <v>37</v>
      </c>
      <c r="D2146" s="73"/>
      <c r="E2146" s="67"/>
      <c r="F2146" s="71" t="n">
        <v>20</v>
      </c>
      <c r="G2146" s="68"/>
      <c r="H2146" s="69" t="n">
        <v>20</v>
      </c>
    </row>
    <row r="2147" customFormat="false" ht="15" hidden="false" customHeight="true" outlineLevel="0" collapsed="false">
      <c r="B2147" s="84"/>
      <c r="C2147" s="85" t="s">
        <v>29</v>
      </c>
      <c r="D2147" s="74"/>
      <c r="E2147" s="75"/>
      <c r="F2147" s="76" t="n">
        <v>1180</v>
      </c>
      <c r="G2147" s="77"/>
      <c r="H2147" s="78" t="n">
        <v>1180</v>
      </c>
    </row>
    <row r="2148" customFormat="false" ht="15" hidden="false" customHeight="true" outlineLevel="0" collapsed="false">
      <c r="B2148" s="87" t="s">
        <v>948</v>
      </c>
      <c r="C2148" s="88"/>
      <c r="D2148" s="89" t="n">
        <v>9230</v>
      </c>
      <c r="E2148" s="90"/>
      <c r="F2148" s="89" t="n">
        <v>2994</v>
      </c>
      <c r="G2148" s="90"/>
      <c r="H2148" s="91" t="n">
        <v>12224</v>
      </c>
    </row>
    <row r="2149" customFormat="false" ht="15" hidden="false" customHeight="true" outlineLevel="0" collapsed="false">
      <c r="B2149" s="56" t="n">
        <v>45887</v>
      </c>
      <c r="C2149" s="57" t="s">
        <v>32</v>
      </c>
      <c r="D2149" s="58"/>
      <c r="E2149" s="59"/>
      <c r="F2149" s="60" t="n">
        <v>280</v>
      </c>
      <c r="G2149" s="61"/>
      <c r="H2149" s="62" t="n">
        <v>280</v>
      </c>
    </row>
    <row r="2150" customFormat="false" ht="15" hidden="false" customHeight="true" outlineLevel="0" collapsed="false">
      <c r="B2150" s="64"/>
      <c r="C2150" s="65" t="s">
        <v>47</v>
      </c>
      <c r="D2150" s="66" t="n">
        <v>1800</v>
      </c>
      <c r="E2150" s="67"/>
      <c r="F2150" s="67"/>
      <c r="G2150" s="68"/>
      <c r="H2150" s="69" t="n">
        <v>1800</v>
      </c>
    </row>
    <row r="2151" customFormat="false" ht="15" hidden="false" customHeight="true" outlineLevel="0" collapsed="false">
      <c r="B2151" s="64"/>
      <c r="C2151" s="65" t="s">
        <v>19</v>
      </c>
      <c r="D2151" s="66" t="n">
        <v>1539</v>
      </c>
      <c r="E2151" s="67"/>
      <c r="F2151" s="67"/>
      <c r="G2151" s="68"/>
      <c r="H2151" s="69" t="n">
        <v>1539</v>
      </c>
    </row>
    <row r="2152" customFormat="false" ht="15" hidden="false" customHeight="true" outlineLevel="0" collapsed="false">
      <c r="B2152" s="64"/>
      <c r="C2152" s="65" t="s">
        <v>25</v>
      </c>
      <c r="D2152" s="66" t="n">
        <v>968</v>
      </c>
      <c r="E2152" s="67"/>
      <c r="F2152" s="67"/>
      <c r="G2152" s="68"/>
      <c r="H2152" s="69" t="n">
        <v>968</v>
      </c>
    </row>
    <row r="2153" customFormat="false" ht="15" hidden="false" customHeight="true" outlineLevel="0" collapsed="false">
      <c r="B2153" s="64"/>
      <c r="C2153" s="65" t="s">
        <v>22</v>
      </c>
      <c r="D2153" s="66" t="n">
        <v>9728</v>
      </c>
      <c r="E2153" s="67"/>
      <c r="F2153" s="67"/>
      <c r="G2153" s="68"/>
      <c r="H2153" s="69" t="n">
        <v>9728</v>
      </c>
    </row>
    <row r="2154" customFormat="false" ht="15" hidden="false" customHeight="true" outlineLevel="0" collapsed="false">
      <c r="B2154" s="84"/>
      <c r="C2154" s="85" t="s">
        <v>107</v>
      </c>
      <c r="D2154" s="74"/>
      <c r="E2154" s="75"/>
      <c r="F2154" s="76" t="n">
        <v>550</v>
      </c>
      <c r="G2154" s="77"/>
      <c r="H2154" s="78" t="n">
        <v>550</v>
      </c>
    </row>
    <row r="2155" customFormat="false" ht="15" hidden="false" customHeight="true" outlineLevel="0" collapsed="false">
      <c r="B2155" s="87" t="s">
        <v>949</v>
      </c>
      <c r="C2155" s="88"/>
      <c r="D2155" s="89" t="n">
        <v>14035</v>
      </c>
      <c r="E2155" s="90"/>
      <c r="F2155" s="89" t="n">
        <v>830</v>
      </c>
      <c r="G2155" s="90"/>
      <c r="H2155" s="91" t="n">
        <v>14865</v>
      </c>
    </row>
    <row r="2156" customFormat="false" ht="15" hidden="false" customHeight="true" outlineLevel="0" collapsed="false">
      <c r="B2156" s="56" t="n">
        <v>45888</v>
      </c>
      <c r="C2156" s="57" t="s">
        <v>19</v>
      </c>
      <c r="D2156" s="92" t="n">
        <v>2764</v>
      </c>
      <c r="E2156" s="59"/>
      <c r="F2156" s="59"/>
      <c r="G2156" s="61"/>
      <c r="H2156" s="62" t="n">
        <v>2764</v>
      </c>
    </row>
    <row r="2157" customFormat="false" ht="15" hidden="false" customHeight="true" outlineLevel="0" collapsed="false">
      <c r="B2157" s="64"/>
      <c r="C2157" s="65" t="s">
        <v>25</v>
      </c>
      <c r="D2157" s="66" t="n">
        <v>385</v>
      </c>
      <c r="E2157" s="67"/>
      <c r="F2157" s="67"/>
      <c r="G2157" s="68"/>
      <c r="H2157" s="69" t="n">
        <v>385</v>
      </c>
    </row>
    <row r="2158" customFormat="false" ht="15" hidden="false" customHeight="true" outlineLevel="0" collapsed="false">
      <c r="B2158" s="64"/>
      <c r="C2158" s="65" t="s">
        <v>69</v>
      </c>
      <c r="D2158" s="66" t="n">
        <v>700</v>
      </c>
      <c r="E2158" s="67"/>
      <c r="F2158" s="67"/>
      <c r="G2158" s="68"/>
      <c r="H2158" s="69" t="n">
        <v>700</v>
      </c>
    </row>
    <row r="2159" customFormat="false" ht="15" hidden="false" customHeight="true" outlineLevel="0" collapsed="false">
      <c r="B2159" s="64"/>
      <c r="C2159" s="65" t="s">
        <v>50</v>
      </c>
      <c r="D2159" s="66" t="n">
        <v>1645</v>
      </c>
      <c r="E2159" s="67"/>
      <c r="F2159" s="67"/>
      <c r="G2159" s="68"/>
      <c r="H2159" s="69" t="n">
        <v>1645</v>
      </c>
    </row>
    <row r="2160" customFormat="false" ht="15" hidden="false" customHeight="true" outlineLevel="0" collapsed="false">
      <c r="B2160" s="84"/>
      <c r="C2160" s="85" t="s">
        <v>202</v>
      </c>
      <c r="D2160" s="74"/>
      <c r="E2160" s="75"/>
      <c r="F2160" s="76" t="n">
        <v>120</v>
      </c>
      <c r="G2160" s="77"/>
      <c r="H2160" s="78" t="n">
        <v>120</v>
      </c>
    </row>
    <row r="2161" customFormat="false" ht="15" hidden="false" customHeight="true" outlineLevel="0" collapsed="false">
      <c r="B2161" s="87" t="s">
        <v>950</v>
      </c>
      <c r="C2161" s="88"/>
      <c r="D2161" s="89" t="n">
        <v>5494</v>
      </c>
      <c r="E2161" s="90"/>
      <c r="F2161" s="89" t="n">
        <v>120</v>
      </c>
      <c r="G2161" s="90"/>
      <c r="H2161" s="91" t="n">
        <v>5614</v>
      </c>
    </row>
    <row r="2162" customFormat="false" ht="15" hidden="false" customHeight="true" outlineLevel="0" collapsed="false">
      <c r="B2162" s="56" t="n">
        <v>45889</v>
      </c>
      <c r="C2162" s="57" t="s">
        <v>44</v>
      </c>
      <c r="D2162" s="58"/>
      <c r="E2162" s="60" t="n">
        <v>300</v>
      </c>
      <c r="F2162" s="60" t="n">
        <v>200</v>
      </c>
      <c r="G2162" s="61"/>
      <c r="H2162" s="62" t="n">
        <v>500</v>
      </c>
    </row>
    <row r="2163" customFormat="false" ht="15" hidden="false" customHeight="true" outlineLevel="0" collapsed="false">
      <c r="B2163" s="64"/>
      <c r="C2163" s="65" t="s">
        <v>47</v>
      </c>
      <c r="D2163" s="66" t="n">
        <v>900</v>
      </c>
      <c r="E2163" s="67"/>
      <c r="F2163" s="67"/>
      <c r="G2163" s="68"/>
      <c r="H2163" s="69" t="n">
        <v>900</v>
      </c>
    </row>
    <row r="2164" customFormat="false" ht="15" hidden="false" customHeight="true" outlineLevel="0" collapsed="false">
      <c r="B2164" s="64"/>
      <c r="C2164" s="65" t="s">
        <v>25</v>
      </c>
      <c r="D2164" s="66" t="n">
        <v>340</v>
      </c>
      <c r="E2164" s="67"/>
      <c r="F2164" s="67"/>
      <c r="G2164" s="68"/>
      <c r="H2164" s="69" t="n">
        <v>340</v>
      </c>
    </row>
    <row r="2165" customFormat="false" ht="15" hidden="false" customHeight="true" outlineLevel="0" collapsed="false">
      <c r="B2165" s="64"/>
      <c r="C2165" s="65" t="s">
        <v>22</v>
      </c>
      <c r="D2165" s="73"/>
      <c r="E2165" s="67"/>
      <c r="F2165" s="71" t="n">
        <v>200</v>
      </c>
      <c r="G2165" s="68"/>
      <c r="H2165" s="69" t="n">
        <v>200</v>
      </c>
    </row>
    <row r="2166" customFormat="false" ht="15" hidden="false" customHeight="true" outlineLevel="0" collapsed="false">
      <c r="B2166" s="64"/>
      <c r="C2166" s="65" t="s">
        <v>43</v>
      </c>
      <c r="D2166" s="66" t="n">
        <v>500</v>
      </c>
      <c r="E2166" s="67"/>
      <c r="F2166" s="67"/>
      <c r="G2166" s="68"/>
      <c r="H2166" s="69" t="n">
        <v>500</v>
      </c>
    </row>
    <row r="2167" customFormat="false" ht="15" hidden="false" customHeight="true" outlineLevel="0" collapsed="false">
      <c r="B2167" s="64"/>
      <c r="C2167" s="65" t="s">
        <v>202</v>
      </c>
      <c r="D2167" s="73"/>
      <c r="E2167" s="67"/>
      <c r="F2167" s="71" t="n">
        <v>235</v>
      </c>
      <c r="G2167" s="68"/>
      <c r="H2167" s="69" t="n">
        <v>235</v>
      </c>
    </row>
    <row r="2168" customFormat="false" ht="15" hidden="false" customHeight="true" outlineLevel="0" collapsed="false">
      <c r="B2168" s="84"/>
      <c r="C2168" s="85" t="s">
        <v>34</v>
      </c>
      <c r="D2168" s="74"/>
      <c r="E2168" s="75"/>
      <c r="F2168" s="76" t="n">
        <v>50</v>
      </c>
      <c r="G2168" s="77"/>
      <c r="H2168" s="78" t="n">
        <v>50</v>
      </c>
    </row>
    <row r="2169" customFormat="false" ht="15" hidden="false" customHeight="true" outlineLevel="0" collapsed="false">
      <c r="B2169" s="87" t="s">
        <v>951</v>
      </c>
      <c r="C2169" s="88"/>
      <c r="D2169" s="89" t="n">
        <v>1740</v>
      </c>
      <c r="E2169" s="89" t="n">
        <v>300</v>
      </c>
      <c r="F2169" s="89" t="n">
        <v>685</v>
      </c>
      <c r="G2169" s="90"/>
      <c r="H2169" s="91" t="n">
        <v>2725</v>
      </c>
    </row>
    <row r="2170" customFormat="false" ht="15" hidden="false" customHeight="true" outlineLevel="0" collapsed="false">
      <c r="B2170" s="56" t="n">
        <v>45890</v>
      </c>
      <c r="C2170" s="57" t="s">
        <v>44</v>
      </c>
      <c r="D2170" s="92" t="n">
        <v>349</v>
      </c>
      <c r="E2170" s="59"/>
      <c r="F2170" s="59"/>
      <c r="G2170" s="61"/>
      <c r="H2170" s="62" t="n">
        <v>349</v>
      </c>
    </row>
    <row r="2171" customFormat="false" ht="15" hidden="false" customHeight="true" outlineLevel="0" collapsed="false">
      <c r="B2171" s="64"/>
      <c r="C2171" s="65" t="s">
        <v>32</v>
      </c>
      <c r="D2171" s="73"/>
      <c r="E2171" s="67"/>
      <c r="F2171" s="71" t="n">
        <v>180</v>
      </c>
      <c r="G2171" s="68"/>
      <c r="H2171" s="69" t="n">
        <v>180</v>
      </c>
    </row>
    <row r="2172" customFormat="false" ht="15" hidden="false" customHeight="true" outlineLevel="0" collapsed="false">
      <c r="B2172" s="64"/>
      <c r="C2172" s="65" t="s">
        <v>19</v>
      </c>
      <c r="D2172" s="66" t="n">
        <v>3233</v>
      </c>
      <c r="E2172" s="67"/>
      <c r="F2172" s="67"/>
      <c r="G2172" s="68"/>
      <c r="H2172" s="69" t="n">
        <v>3233</v>
      </c>
    </row>
    <row r="2173" customFormat="false" ht="15" hidden="false" customHeight="true" outlineLevel="0" collapsed="false">
      <c r="B2173" s="64"/>
      <c r="C2173" s="65" t="s">
        <v>25</v>
      </c>
      <c r="D2173" s="66" t="n">
        <v>1080</v>
      </c>
      <c r="E2173" s="67"/>
      <c r="F2173" s="71" t="n">
        <v>58</v>
      </c>
      <c r="G2173" s="68"/>
      <c r="H2173" s="69" t="n">
        <v>1138</v>
      </c>
    </row>
    <row r="2174" customFormat="false" ht="15" hidden="false" customHeight="true" outlineLevel="0" collapsed="false">
      <c r="B2174" s="64"/>
      <c r="C2174" s="65" t="s">
        <v>50</v>
      </c>
      <c r="D2174" s="66" t="n">
        <v>1645</v>
      </c>
      <c r="E2174" s="67"/>
      <c r="F2174" s="67"/>
      <c r="G2174" s="68"/>
      <c r="H2174" s="69" t="n">
        <v>1645</v>
      </c>
    </row>
    <row r="2175" customFormat="false" ht="15" hidden="false" customHeight="true" outlineLevel="0" collapsed="false">
      <c r="B2175" s="64"/>
      <c r="C2175" s="65" t="s">
        <v>22</v>
      </c>
      <c r="D2175" s="73"/>
      <c r="E2175" s="67"/>
      <c r="F2175" s="71" t="n">
        <v>110</v>
      </c>
      <c r="G2175" s="68"/>
      <c r="H2175" s="69" t="n">
        <v>110</v>
      </c>
    </row>
    <row r="2176" customFormat="false" ht="15" hidden="false" customHeight="true" outlineLevel="0" collapsed="false">
      <c r="B2176" s="64"/>
      <c r="C2176" s="65" t="s">
        <v>37</v>
      </c>
      <c r="D2176" s="73"/>
      <c r="E2176" s="67"/>
      <c r="F2176" s="71" t="n">
        <v>15</v>
      </c>
      <c r="G2176" s="68"/>
      <c r="H2176" s="69" t="n">
        <v>15</v>
      </c>
    </row>
    <row r="2177" customFormat="false" ht="15" hidden="false" customHeight="true" outlineLevel="0" collapsed="false">
      <c r="B2177" s="64"/>
      <c r="C2177" s="65" t="s">
        <v>43</v>
      </c>
      <c r="D2177" s="66" t="n">
        <v>12500</v>
      </c>
      <c r="E2177" s="67"/>
      <c r="F2177" s="67"/>
      <c r="G2177" s="68"/>
      <c r="H2177" s="69" t="n">
        <v>12500</v>
      </c>
    </row>
    <row r="2178" customFormat="false" ht="15" hidden="false" customHeight="true" outlineLevel="0" collapsed="false">
      <c r="B2178" s="64"/>
      <c r="C2178" s="65" t="s">
        <v>31</v>
      </c>
      <c r="D2178" s="66" t="n">
        <v>300</v>
      </c>
      <c r="E2178" s="67"/>
      <c r="F2178" s="67"/>
      <c r="G2178" s="68"/>
      <c r="H2178" s="69" t="n">
        <v>300</v>
      </c>
    </row>
    <row r="2179" customFormat="false" ht="15" hidden="false" customHeight="true" outlineLevel="0" collapsed="false">
      <c r="B2179" s="64"/>
      <c r="C2179" s="65" t="s">
        <v>29</v>
      </c>
      <c r="D2179" s="73"/>
      <c r="E2179" s="67"/>
      <c r="F2179" s="71" t="n">
        <v>25</v>
      </c>
      <c r="G2179" s="68"/>
      <c r="H2179" s="69" t="n">
        <v>25</v>
      </c>
    </row>
    <row r="2180" customFormat="false" ht="15" hidden="false" customHeight="true" outlineLevel="0" collapsed="false">
      <c r="B2180" s="84"/>
      <c r="C2180" s="85" t="s">
        <v>197</v>
      </c>
      <c r="D2180" s="86" t="n">
        <v>300</v>
      </c>
      <c r="E2180" s="75"/>
      <c r="F2180" s="76" t="n">
        <v>700</v>
      </c>
      <c r="G2180" s="77"/>
      <c r="H2180" s="78" t="n">
        <v>1000</v>
      </c>
    </row>
    <row r="2181" customFormat="false" ht="15" hidden="false" customHeight="true" outlineLevel="0" collapsed="false">
      <c r="B2181" s="87" t="s">
        <v>952</v>
      </c>
      <c r="C2181" s="88"/>
      <c r="D2181" s="89" t="n">
        <v>19407</v>
      </c>
      <c r="E2181" s="90"/>
      <c r="F2181" s="89" t="n">
        <v>1088</v>
      </c>
      <c r="G2181" s="90"/>
      <c r="H2181" s="91" t="n">
        <v>20495</v>
      </c>
    </row>
    <row r="2182" customFormat="false" ht="15" hidden="false" customHeight="true" outlineLevel="0" collapsed="false">
      <c r="B2182" s="56" t="n">
        <v>45891</v>
      </c>
      <c r="C2182" s="57" t="s">
        <v>32</v>
      </c>
      <c r="D2182" s="58"/>
      <c r="E2182" s="60" t="n">
        <v>210</v>
      </c>
      <c r="F2182" s="59"/>
      <c r="G2182" s="61"/>
      <c r="H2182" s="62" t="n">
        <v>210</v>
      </c>
    </row>
    <row r="2183" customFormat="false" ht="15" hidden="false" customHeight="true" outlineLevel="0" collapsed="false">
      <c r="B2183" s="64"/>
      <c r="C2183" s="65" t="s">
        <v>47</v>
      </c>
      <c r="D2183" s="66" t="n">
        <v>1800</v>
      </c>
      <c r="E2183" s="67"/>
      <c r="F2183" s="67"/>
      <c r="G2183" s="68"/>
      <c r="H2183" s="69" t="n">
        <v>1800</v>
      </c>
    </row>
    <row r="2184" customFormat="false" ht="15" hidden="false" customHeight="true" outlineLevel="0" collapsed="false">
      <c r="B2184" s="64"/>
      <c r="C2184" s="65" t="s">
        <v>19</v>
      </c>
      <c r="D2184" s="66" t="n">
        <v>1181</v>
      </c>
      <c r="E2184" s="67"/>
      <c r="F2184" s="67"/>
      <c r="G2184" s="68"/>
      <c r="H2184" s="69" t="n">
        <v>1181</v>
      </c>
    </row>
    <row r="2185" customFormat="false" ht="15" hidden="false" customHeight="true" outlineLevel="0" collapsed="false">
      <c r="B2185" s="64"/>
      <c r="C2185" s="65" t="s">
        <v>25</v>
      </c>
      <c r="D2185" s="66" t="n">
        <v>526</v>
      </c>
      <c r="E2185" s="67"/>
      <c r="F2185" s="67"/>
      <c r="G2185" s="68"/>
      <c r="H2185" s="69" t="n">
        <v>526</v>
      </c>
    </row>
    <row r="2186" customFormat="false" ht="15" hidden="false" customHeight="true" outlineLevel="0" collapsed="false">
      <c r="B2186" s="64"/>
      <c r="C2186" s="65" t="s">
        <v>22</v>
      </c>
      <c r="D2186" s="66" t="n">
        <v>4073</v>
      </c>
      <c r="E2186" s="71" t="n">
        <v>330</v>
      </c>
      <c r="F2186" s="71" t="n">
        <v>120</v>
      </c>
      <c r="G2186" s="68"/>
      <c r="H2186" s="69" t="n">
        <v>4523</v>
      </c>
    </row>
    <row r="2187" customFormat="false" ht="15" hidden="false" customHeight="true" outlineLevel="0" collapsed="false">
      <c r="B2187" s="64"/>
      <c r="C2187" s="65" t="s">
        <v>37</v>
      </c>
      <c r="D2187" s="73"/>
      <c r="E2187" s="67"/>
      <c r="F2187" s="71" t="n">
        <v>30</v>
      </c>
      <c r="G2187" s="68"/>
      <c r="H2187" s="69" t="n">
        <v>30</v>
      </c>
    </row>
    <row r="2188" customFormat="false" ht="15" hidden="false" customHeight="true" outlineLevel="0" collapsed="false">
      <c r="B2188" s="64"/>
      <c r="C2188" s="65" t="s">
        <v>40</v>
      </c>
      <c r="D2188" s="73"/>
      <c r="E2188" s="71" t="n">
        <v>400</v>
      </c>
      <c r="F2188" s="67"/>
      <c r="G2188" s="68"/>
      <c r="H2188" s="69" t="n">
        <v>400</v>
      </c>
    </row>
    <row r="2189" customFormat="false" ht="15" hidden="false" customHeight="true" outlineLevel="0" collapsed="false">
      <c r="B2189" s="64"/>
      <c r="C2189" s="65" t="s">
        <v>56</v>
      </c>
      <c r="D2189" s="66" t="n">
        <v>450</v>
      </c>
      <c r="E2189" s="67"/>
      <c r="F2189" s="67"/>
      <c r="G2189" s="68"/>
      <c r="H2189" s="69" t="n">
        <v>450</v>
      </c>
    </row>
    <row r="2190" customFormat="false" ht="15" hidden="false" customHeight="true" outlineLevel="0" collapsed="false">
      <c r="B2190" s="84"/>
      <c r="C2190" s="85" t="s">
        <v>29</v>
      </c>
      <c r="D2190" s="86" t="n">
        <v>135</v>
      </c>
      <c r="E2190" s="75"/>
      <c r="F2190" s="75"/>
      <c r="G2190" s="77"/>
      <c r="H2190" s="78" t="n">
        <v>135</v>
      </c>
    </row>
    <row r="2191" customFormat="false" ht="15" hidden="false" customHeight="true" outlineLevel="0" collapsed="false">
      <c r="B2191" s="87" t="s">
        <v>953</v>
      </c>
      <c r="C2191" s="88"/>
      <c r="D2191" s="89" t="n">
        <v>8165</v>
      </c>
      <c r="E2191" s="89" t="n">
        <v>940</v>
      </c>
      <c r="F2191" s="89" t="n">
        <v>150</v>
      </c>
      <c r="G2191" s="90"/>
      <c r="H2191" s="91" t="n">
        <v>9255</v>
      </c>
    </row>
    <row r="2192" customFormat="false" ht="15" hidden="false" customHeight="true" outlineLevel="0" collapsed="false">
      <c r="B2192" s="56" t="n">
        <v>45892</v>
      </c>
      <c r="C2192" s="57" t="s">
        <v>32</v>
      </c>
      <c r="D2192" s="58"/>
      <c r="E2192" s="60" t="n">
        <v>175</v>
      </c>
      <c r="F2192" s="59"/>
      <c r="G2192" s="61"/>
      <c r="H2192" s="62" t="n">
        <v>175</v>
      </c>
    </row>
    <row r="2193" customFormat="false" ht="15" hidden="false" customHeight="true" outlineLevel="0" collapsed="false">
      <c r="B2193" s="64"/>
      <c r="C2193" s="65" t="s">
        <v>53</v>
      </c>
      <c r="D2193" s="73"/>
      <c r="E2193" s="71" t="n">
        <v>585</v>
      </c>
      <c r="F2193" s="67"/>
      <c r="G2193" s="68"/>
      <c r="H2193" s="69" t="n">
        <v>585</v>
      </c>
    </row>
    <row r="2194" customFormat="false" ht="15" hidden="false" customHeight="true" outlineLevel="0" collapsed="false">
      <c r="B2194" s="64"/>
      <c r="C2194" s="65" t="s">
        <v>19</v>
      </c>
      <c r="D2194" s="66" t="n">
        <v>6080</v>
      </c>
      <c r="E2194" s="67"/>
      <c r="F2194" s="67"/>
      <c r="G2194" s="68"/>
      <c r="H2194" s="69" t="n">
        <v>6080</v>
      </c>
    </row>
    <row r="2195" customFormat="false" ht="15" hidden="false" customHeight="true" outlineLevel="0" collapsed="false">
      <c r="B2195" s="64"/>
      <c r="C2195" s="65" t="s">
        <v>81</v>
      </c>
      <c r="D2195" s="73"/>
      <c r="E2195" s="67"/>
      <c r="F2195" s="71" t="n">
        <v>20</v>
      </c>
      <c r="G2195" s="68"/>
      <c r="H2195" s="69" t="n">
        <v>20</v>
      </c>
    </row>
    <row r="2196" customFormat="false" ht="15" hidden="false" customHeight="true" outlineLevel="0" collapsed="false">
      <c r="B2196" s="64"/>
      <c r="C2196" s="65" t="s">
        <v>25</v>
      </c>
      <c r="D2196" s="66" t="n">
        <v>2052</v>
      </c>
      <c r="E2196" s="67"/>
      <c r="F2196" s="67"/>
      <c r="G2196" s="68"/>
      <c r="H2196" s="69" t="n">
        <v>2052</v>
      </c>
    </row>
    <row r="2197" customFormat="false" ht="15" hidden="false" customHeight="true" outlineLevel="0" collapsed="false">
      <c r="B2197" s="64"/>
      <c r="C2197" s="65" t="s">
        <v>36</v>
      </c>
      <c r="D2197" s="73"/>
      <c r="E2197" s="71" t="n">
        <v>220</v>
      </c>
      <c r="F2197" s="67"/>
      <c r="G2197" s="68"/>
      <c r="H2197" s="69" t="n">
        <v>220</v>
      </c>
    </row>
    <row r="2198" customFormat="false" ht="15" hidden="false" customHeight="true" outlineLevel="0" collapsed="false">
      <c r="B2198" s="64"/>
      <c r="C2198" s="65" t="s">
        <v>50</v>
      </c>
      <c r="D2198" s="66" t="n">
        <v>1645</v>
      </c>
      <c r="E2198" s="67"/>
      <c r="F2198" s="67"/>
      <c r="G2198" s="68"/>
      <c r="H2198" s="69" t="n">
        <v>1645</v>
      </c>
    </row>
    <row r="2199" customFormat="false" ht="15" hidden="false" customHeight="true" outlineLevel="0" collapsed="false">
      <c r="B2199" s="64"/>
      <c r="C2199" s="65" t="s">
        <v>22</v>
      </c>
      <c r="D2199" s="73"/>
      <c r="E2199" s="71" t="n">
        <v>190</v>
      </c>
      <c r="F2199" s="67"/>
      <c r="G2199" s="68"/>
      <c r="H2199" s="69" t="n">
        <v>190</v>
      </c>
    </row>
    <row r="2200" customFormat="false" ht="15" hidden="false" customHeight="true" outlineLevel="0" collapsed="false">
      <c r="B2200" s="64"/>
      <c r="C2200" s="65" t="s">
        <v>37</v>
      </c>
      <c r="D2200" s="73"/>
      <c r="E2200" s="67"/>
      <c r="F2200" s="71" t="n">
        <v>20</v>
      </c>
      <c r="G2200" s="68"/>
      <c r="H2200" s="69" t="n">
        <v>20</v>
      </c>
    </row>
    <row r="2201" customFormat="false" ht="15" hidden="false" customHeight="true" outlineLevel="0" collapsed="false">
      <c r="B2201" s="64"/>
      <c r="C2201" s="65" t="s">
        <v>40</v>
      </c>
      <c r="D2201" s="66" t="n">
        <v>2200</v>
      </c>
      <c r="E2201" s="67"/>
      <c r="F2201" s="67"/>
      <c r="G2201" s="68"/>
      <c r="H2201" s="69" t="n">
        <v>2200</v>
      </c>
    </row>
    <row r="2202" customFormat="false" ht="15" hidden="false" customHeight="true" outlineLevel="0" collapsed="false">
      <c r="B2202" s="64"/>
      <c r="C2202" s="65" t="s">
        <v>56</v>
      </c>
      <c r="D2202" s="73"/>
      <c r="E2202" s="71" t="n">
        <v>950</v>
      </c>
      <c r="F2202" s="67"/>
      <c r="G2202" s="68"/>
      <c r="H2202" s="69" t="n">
        <v>950</v>
      </c>
    </row>
    <row r="2203" customFormat="false" ht="15" hidden="false" customHeight="true" outlineLevel="0" collapsed="false">
      <c r="B2203" s="84"/>
      <c r="C2203" s="85" t="s">
        <v>29</v>
      </c>
      <c r="D2203" s="74"/>
      <c r="E2203" s="75"/>
      <c r="F2203" s="76" t="n">
        <v>2440</v>
      </c>
      <c r="G2203" s="77"/>
      <c r="H2203" s="78" t="n">
        <v>2440</v>
      </c>
    </row>
    <row r="2204" customFormat="false" ht="15" hidden="false" customHeight="true" outlineLevel="0" collapsed="false">
      <c r="B2204" s="87" t="s">
        <v>954</v>
      </c>
      <c r="C2204" s="88"/>
      <c r="D2204" s="89" t="n">
        <v>11977</v>
      </c>
      <c r="E2204" s="89" t="n">
        <v>2120</v>
      </c>
      <c r="F2204" s="89" t="n">
        <v>2480</v>
      </c>
      <c r="G2204" s="90"/>
      <c r="H2204" s="91" t="n">
        <v>16577</v>
      </c>
    </row>
    <row r="2205" customFormat="false" ht="15" hidden="false" customHeight="true" outlineLevel="0" collapsed="false">
      <c r="B2205" s="56" t="n">
        <v>45893</v>
      </c>
      <c r="C2205" s="57" t="s">
        <v>44</v>
      </c>
      <c r="D2205" s="58"/>
      <c r="E2205" s="59"/>
      <c r="F2205" s="60" t="n">
        <v>1250</v>
      </c>
      <c r="G2205" s="61"/>
      <c r="H2205" s="62" t="n">
        <v>1250</v>
      </c>
    </row>
    <row r="2206" customFormat="false" ht="15" hidden="false" customHeight="true" outlineLevel="0" collapsed="false">
      <c r="B2206" s="64"/>
      <c r="C2206" s="65" t="s">
        <v>32</v>
      </c>
      <c r="D2206" s="73"/>
      <c r="E2206" s="71" t="n">
        <v>175</v>
      </c>
      <c r="F2206" s="67"/>
      <c r="G2206" s="68"/>
      <c r="H2206" s="69" t="n">
        <v>175</v>
      </c>
    </row>
    <row r="2207" customFormat="false" ht="15" hidden="false" customHeight="true" outlineLevel="0" collapsed="false">
      <c r="B2207" s="64"/>
      <c r="C2207" s="65" t="s">
        <v>19</v>
      </c>
      <c r="D2207" s="66" t="n">
        <v>3802</v>
      </c>
      <c r="E2207" s="67"/>
      <c r="F2207" s="67"/>
      <c r="G2207" s="68"/>
      <c r="H2207" s="69" t="n">
        <v>3802</v>
      </c>
    </row>
    <row r="2208" customFormat="false" ht="15" hidden="false" customHeight="true" outlineLevel="0" collapsed="false">
      <c r="B2208" s="64"/>
      <c r="C2208" s="65" t="s">
        <v>81</v>
      </c>
      <c r="D2208" s="73"/>
      <c r="E2208" s="67"/>
      <c r="F2208" s="71" t="n">
        <v>50</v>
      </c>
      <c r="G2208" s="68"/>
      <c r="H2208" s="69" t="n">
        <v>50</v>
      </c>
    </row>
    <row r="2209" customFormat="false" ht="15" hidden="false" customHeight="true" outlineLevel="0" collapsed="false">
      <c r="B2209" s="64"/>
      <c r="C2209" s="65" t="s">
        <v>25</v>
      </c>
      <c r="D2209" s="66" t="n">
        <v>350</v>
      </c>
      <c r="E2209" s="67"/>
      <c r="F2209" s="67"/>
      <c r="G2209" s="68"/>
      <c r="H2209" s="69" t="n">
        <v>350</v>
      </c>
    </row>
    <row r="2210" customFormat="false" ht="15" hidden="false" customHeight="true" outlineLevel="0" collapsed="false">
      <c r="B2210" s="64"/>
      <c r="C2210" s="65" t="s">
        <v>28</v>
      </c>
      <c r="D2210" s="73"/>
      <c r="E2210" s="71" t="n">
        <v>324</v>
      </c>
      <c r="F2210" s="67"/>
      <c r="G2210" s="68"/>
      <c r="H2210" s="69" t="n">
        <v>324</v>
      </c>
    </row>
    <row r="2211" customFormat="false" ht="15" hidden="false" customHeight="true" outlineLevel="0" collapsed="false">
      <c r="B2211" s="64"/>
      <c r="C2211" s="65" t="s">
        <v>50</v>
      </c>
      <c r="D2211" s="66" t="n">
        <v>1645</v>
      </c>
      <c r="E2211" s="67"/>
      <c r="F2211" s="67"/>
      <c r="G2211" s="68"/>
      <c r="H2211" s="69" t="n">
        <v>1645</v>
      </c>
    </row>
    <row r="2212" customFormat="false" ht="15" hidden="false" customHeight="true" outlineLevel="0" collapsed="false">
      <c r="B2212" s="64"/>
      <c r="C2212" s="65" t="s">
        <v>37</v>
      </c>
      <c r="D2212" s="73"/>
      <c r="E2212" s="67"/>
      <c r="F2212" s="71" t="n">
        <v>30</v>
      </c>
      <c r="G2212" s="68"/>
      <c r="H2212" s="69" t="n">
        <v>30</v>
      </c>
    </row>
    <row r="2213" customFormat="false" ht="15" hidden="false" customHeight="true" outlineLevel="0" collapsed="false">
      <c r="B2213" s="64"/>
      <c r="C2213" s="65" t="s">
        <v>60</v>
      </c>
      <c r="D2213" s="73"/>
      <c r="E2213" s="71" t="n">
        <v>210</v>
      </c>
      <c r="F2213" s="67"/>
      <c r="G2213" s="68"/>
      <c r="H2213" s="69" t="n">
        <v>210</v>
      </c>
    </row>
    <row r="2214" customFormat="false" ht="15" hidden="false" customHeight="true" outlineLevel="0" collapsed="false">
      <c r="B2214" s="64"/>
      <c r="C2214" s="65" t="s">
        <v>34</v>
      </c>
      <c r="D2214" s="73"/>
      <c r="E2214" s="71" t="n">
        <v>30</v>
      </c>
      <c r="F2214" s="67"/>
      <c r="G2214" s="68"/>
      <c r="H2214" s="69" t="n">
        <v>30</v>
      </c>
    </row>
    <row r="2215" customFormat="false" ht="15" hidden="false" customHeight="true" outlineLevel="0" collapsed="false">
      <c r="B2215" s="84"/>
      <c r="C2215" s="85" t="s">
        <v>29</v>
      </c>
      <c r="D2215" s="74"/>
      <c r="E2215" s="76" t="n">
        <v>240</v>
      </c>
      <c r="F2215" s="76" t="n">
        <v>30</v>
      </c>
      <c r="G2215" s="77"/>
      <c r="H2215" s="78" t="n">
        <v>270</v>
      </c>
    </row>
    <row r="2216" customFormat="false" ht="15" hidden="false" customHeight="true" outlineLevel="0" collapsed="false">
      <c r="B2216" s="87" t="s">
        <v>955</v>
      </c>
      <c r="C2216" s="88"/>
      <c r="D2216" s="89" t="n">
        <v>5797</v>
      </c>
      <c r="E2216" s="89" t="n">
        <v>979</v>
      </c>
      <c r="F2216" s="89" t="n">
        <v>1360</v>
      </c>
      <c r="G2216" s="90"/>
      <c r="H2216" s="91" t="n">
        <v>8136</v>
      </c>
    </row>
    <row r="2217" customFormat="false" ht="15" hidden="false" customHeight="true" outlineLevel="0" collapsed="false">
      <c r="B2217" s="56" t="n">
        <v>45894</v>
      </c>
      <c r="C2217" s="57" t="s">
        <v>47</v>
      </c>
      <c r="D2217" s="92" t="n">
        <v>900</v>
      </c>
      <c r="E2217" s="59"/>
      <c r="F2217" s="59"/>
      <c r="G2217" s="61"/>
      <c r="H2217" s="62" t="n">
        <v>900</v>
      </c>
    </row>
    <row r="2218" customFormat="false" ht="15" hidden="false" customHeight="true" outlineLevel="0" collapsed="false">
      <c r="B2218" s="64"/>
      <c r="C2218" s="65" t="s">
        <v>19</v>
      </c>
      <c r="D2218" s="66" t="n">
        <v>2472</v>
      </c>
      <c r="E2218" s="67"/>
      <c r="F2218" s="67"/>
      <c r="G2218" s="68"/>
      <c r="H2218" s="69" t="n">
        <v>2472</v>
      </c>
    </row>
    <row r="2219" customFormat="false" ht="15" hidden="false" customHeight="true" outlineLevel="0" collapsed="false">
      <c r="B2219" s="64"/>
      <c r="C2219" s="65" t="s">
        <v>63</v>
      </c>
      <c r="D2219" s="73"/>
      <c r="E2219" s="71" t="n">
        <v>310</v>
      </c>
      <c r="F2219" s="67"/>
      <c r="G2219" s="68"/>
      <c r="H2219" s="69" t="n">
        <v>310</v>
      </c>
    </row>
    <row r="2220" customFormat="false" ht="15" hidden="false" customHeight="true" outlineLevel="0" collapsed="false">
      <c r="B2220" s="64"/>
      <c r="C2220" s="65" t="s">
        <v>25</v>
      </c>
      <c r="D2220" s="66" t="n">
        <v>1165</v>
      </c>
      <c r="E2220" s="67"/>
      <c r="F2220" s="67"/>
      <c r="G2220" s="68"/>
      <c r="H2220" s="69" t="n">
        <v>1165</v>
      </c>
    </row>
    <row r="2221" customFormat="false" ht="15" hidden="false" customHeight="true" outlineLevel="0" collapsed="false">
      <c r="B2221" s="64"/>
      <c r="C2221" s="65" t="s">
        <v>28</v>
      </c>
      <c r="D2221" s="66" t="n">
        <v>490</v>
      </c>
      <c r="E2221" s="67"/>
      <c r="F2221" s="67"/>
      <c r="G2221" s="68"/>
      <c r="H2221" s="69" t="n">
        <v>490</v>
      </c>
    </row>
    <row r="2222" customFormat="false" ht="15" hidden="false" customHeight="true" outlineLevel="0" collapsed="false">
      <c r="B2222" s="64"/>
      <c r="C2222" s="65" t="s">
        <v>22</v>
      </c>
      <c r="D2222" s="73"/>
      <c r="E2222" s="71" t="n">
        <v>295</v>
      </c>
      <c r="F2222" s="67"/>
      <c r="G2222" s="68"/>
      <c r="H2222" s="69" t="n">
        <v>295</v>
      </c>
    </row>
    <row r="2223" customFormat="false" ht="15" hidden="false" customHeight="true" outlineLevel="0" collapsed="false">
      <c r="B2223" s="64"/>
      <c r="C2223" s="65" t="s">
        <v>37</v>
      </c>
      <c r="D2223" s="73"/>
      <c r="E2223" s="67"/>
      <c r="F2223" s="71" t="n">
        <v>20</v>
      </c>
      <c r="G2223" s="68"/>
      <c r="H2223" s="69" t="n">
        <v>20</v>
      </c>
    </row>
    <row r="2224" customFormat="false" ht="15" hidden="false" customHeight="true" outlineLevel="0" collapsed="false">
      <c r="B2224" s="64"/>
      <c r="C2224" s="65" t="s">
        <v>40</v>
      </c>
      <c r="D2224" s="66" t="n">
        <v>1600</v>
      </c>
      <c r="E2224" s="67"/>
      <c r="F2224" s="67"/>
      <c r="G2224" s="68"/>
      <c r="H2224" s="69" t="n">
        <v>1600</v>
      </c>
    </row>
    <row r="2225" customFormat="false" ht="15" hidden="false" customHeight="true" outlineLevel="0" collapsed="false">
      <c r="B2225" s="84"/>
      <c r="C2225" s="85" t="s">
        <v>31</v>
      </c>
      <c r="D2225" s="74"/>
      <c r="E2225" s="76" t="n">
        <v>300</v>
      </c>
      <c r="F2225" s="75"/>
      <c r="G2225" s="77"/>
      <c r="H2225" s="78" t="n">
        <v>300</v>
      </c>
    </row>
    <row r="2226" customFormat="false" ht="15" hidden="false" customHeight="true" outlineLevel="0" collapsed="false">
      <c r="B2226" s="87" t="s">
        <v>956</v>
      </c>
      <c r="C2226" s="88"/>
      <c r="D2226" s="89" t="n">
        <v>6627</v>
      </c>
      <c r="E2226" s="89" t="n">
        <v>905</v>
      </c>
      <c r="F2226" s="89" t="n">
        <v>20</v>
      </c>
      <c r="G2226" s="90"/>
      <c r="H2226" s="91" t="n">
        <v>7552</v>
      </c>
    </row>
    <row r="2227" customFormat="false" ht="15" hidden="false" customHeight="true" outlineLevel="0" collapsed="false">
      <c r="B2227" s="56" t="n">
        <v>45895</v>
      </c>
      <c r="C2227" s="57" t="s">
        <v>53</v>
      </c>
      <c r="D2227" s="58"/>
      <c r="E2227" s="60" t="n">
        <v>1200</v>
      </c>
      <c r="F2227" s="59"/>
      <c r="G2227" s="61"/>
      <c r="H2227" s="62" t="n">
        <v>1200</v>
      </c>
    </row>
    <row r="2228" customFormat="false" ht="15" hidden="false" customHeight="true" outlineLevel="0" collapsed="false">
      <c r="B2228" s="64"/>
      <c r="C2228" s="65" t="s">
        <v>19</v>
      </c>
      <c r="D2228" s="66" t="n">
        <v>1592</v>
      </c>
      <c r="E2228" s="67"/>
      <c r="F2228" s="67"/>
      <c r="G2228" s="68"/>
      <c r="H2228" s="69" t="n">
        <v>1592</v>
      </c>
    </row>
    <row r="2229" customFormat="false" ht="15" hidden="false" customHeight="true" outlineLevel="0" collapsed="false">
      <c r="B2229" s="64"/>
      <c r="C2229" s="65" t="s">
        <v>25</v>
      </c>
      <c r="D2229" s="66" t="n">
        <v>619</v>
      </c>
      <c r="E2229" s="67"/>
      <c r="F2229" s="67"/>
      <c r="G2229" s="68"/>
      <c r="H2229" s="69" t="n">
        <v>619</v>
      </c>
    </row>
    <row r="2230" customFormat="false" ht="15" hidden="false" customHeight="true" outlineLevel="0" collapsed="false">
      <c r="B2230" s="64"/>
      <c r="C2230" s="65" t="s">
        <v>227</v>
      </c>
      <c r="D2230" s="73"/>
      <c r="E2230" s="71" t="n">
        <v>1500</v>
      </c>
      <c r="F2230" s="67"/>
      <c r="G2230" s="68"/>
      <c r="H2230" s="69" t="n">
        <v>1500</v>
      </c>
    </row>
    <row r="2231" customFormat="false" ht="15" hidden="false" customHeight="true" outlineLevel="0" collapsed="false">
      <c r="B2231" s="64"/>
      <c r="C2231" s="65" t="s">
        <v>50</v>
      </c>
      <c r="D2231" s="66" t="n">
        <v>1645</v>
      </c>
      <c r="E2231" s="67"/>
      <c r="F2231" s="67"/>
      <c r="G2231" s="68"/>
      <c r="H2231" s="69" t="n">
        <v>1645</v>
      </c>
    </row>
    <row r="2232" customFormat="false" ht="15" hidden="false" customHeight="true" outlineLevel="0" collapsed="false">
      <c r="B2232" s="64"/>
      <c r="C2232" s="65" t="s">
        <v>22</v>
      </c>
      <c r="D2232" s="66" t="n">
        <v>28310</v>
      </c>
      <c r="E2232" s="67"/>
      <c r="F2232" s="71" t="n">
        <v>40</v>
      </c>
      <c r="G2232" s="68"/>
      <c r="H2232" s="69" t="n">
        <v>28350</v>
      </c>
    </row>
    <row r="2233" customFormat="false" ht="15" hidden="false" customHeight="true" outlineLevel="0" collapsed="false">
      <c r="B2233" s="64"/>
      <c r="C2233" s="65" t="s">
        <v>43</v>
      </c>
      <c r="D2233" s="73"/>
      <c r="E2233" s="71" t="n">
        <v>290</v>
      </c>
      <c r="F2233" s="67"/>
      <c r="G2233" s="68"/>
      <c r="H2233" s="69" t="n">
        <v>290</v>
      </c>
    </row>
    <row r="2234" customFormat="false" ht="15" hidden="false" customHeight="true" outlineLevel="0" collapsed="false">
      <c r="B2234" s="84"/>
      <c r="C2234" s="85" t="s">
        <v>40</v>
      </c>
      <c r="D2234" s="74"/>
      <c r="E2234" s="76" t="n">
        <v>1560</v>
      </c>
      <c r="F2234" s="75"/>
      <c r="G2234" s="77"/>
      <c r="H2234" s="78" t="n">
        <v>1560</v>
      </c>
    </row>
    <row r="2235" customFormat="false" ht="15" hidden="false" customHeight="true" outlineLevel="0" collapsed="false">
      <c r="B2235" s="87" t="s">
        <v>957</v>
      </c>
      <c r="C2235" s="88"/>
      <c r="D2235" s="89" t="n">
        <v>32166</v>
      </c>
      <c r="E2235" s="89" t="n">
        <v>4550</v>
      </c>
      <c r="F2235" s="89" t="n">
        <v>40</v>
      </c>
      <c r="G2235" s="90"/>
      <c r="H2235" s="91" t="n">
        <v>36756</v>
      </c>
    </row>
    <row r="2236" customFormat="false" ht="15" hidden="false" customHeight="true" outlineLevel="0" collapsed="false">
      <c r="B2236" s="56" t="n">
        <v>45896</v>
      </c>
      <c r="C2236" s="57" t="s">
        <v>214</v>
      </c>
      <c r="D2236" s="58"/>
      <c r="E2236" s="60" t="n">
        <v>1500</v>
      </c>
      <c r="F2236" s="59"/>
      <c r="G2236" s="61"/>
      <c r="H2236" s="62" t="n">
        <v>1500</v>
      </c>
    </row>
    <row r="2237" customFormat="false" ht="15" hidden="false" customHeight="true" outlineLevel="0" collapsed="false">
      <c r="B2237" s="64"/>
      <c r="C2237" s="65" t="s">
        <v>19</v>
      </c>
      <c r="D2237" s="66" t="n">
        <v>2624</v>
      </c>
      <c r="E2237" s="67"/>
      <c r="F2237" s="67"/>
      <c r="G2237" s="68"/>
      <c r="H2237" s="69" t="n">
        <v>2624</v>
      </c>
    </row>
    <row r="2238" customFormat="false" ht="15" hidden="false" customHeight="true" outlineLevel="0" collapsed="false">
      <c r="B2238" s="64"/>
      <c r="C2238" s="65" t="s">
        <v>25</v>
      </c>
      <c r="D2238" s="66" t="n">
        <v>809</v>
      </c>
      <c r="E2238" s="67"/>
      <c r="F2238" s="67"/>
      <c r="G2238" s="68"/>
      <c r="H2238" s="69" t="n">
        <v>809</v>
      </c>
    </row>
    <row r="2239" customFormat="false" ht="15" hidden="false" customHeight="true" outlineLevel="0" collapsed="false">
      <c r="B2239" s="64"/>
      <c r="C2239" s="65" t="s">
        <v>50</v>
      </c>
      <c r="D2239" s="66" t="n">
        <v>1645</v>
      </c>
      <c r="E2239" s="67"/>
      <c r="F2239" s="67"/>
      <c r="G2239" s="68"/>
      <c r="H2239" s="69" t="n">
        <v>1645</v>
      </c>
    </row>
    <row r="2240" customFormat="false" ht="15" hidden="false" customHeight="true" outlineLevel="0" collapsed="false">
      <c r="B2240" s="64"/>
      <c r="C2240" s="65" t="s">
        <v>22</v>
      </c>
      <c r="D2240" s="73"/>
      <c r="E2240" s="71" t="n">
        <v>165</v>
      </c>
      <c r="F2240" s="71" t="n">
        <v>50</v>
      </c>
      <c r="G2240" s="68"/>
      <c r="H2240" s="69" t="n">
        <v>215</v>
      </c>
    </row>
    <row r="2241" customFormat="false" ht="15" hidden="false" customHeight="true" outlineLevel="0" collapsed="false">
      <c r="B2241" s="64"/>
      <c r="C2241" s="65" t="s">
        <v>37</v>
      </c>
      <c r="D2241" s="73"/>
      <c r="E2241" s="67"/>
      <c r="F2241" s="71" t="n">
        <v>10</v>
      </c>
      <c r="G2241" s="68"/>
      <c r="H2241" s="69" t="n">
        <v>10</v>
      </c>
    </row>
    <row r="2242" customFormat="false" ht="15" hidden="false" customHeight="true" outlineLevel="0" collapsed="false">
      <c r="B2242" s="64"/>
      <c r="C2242" s="65" t="s">
        <v>43</v>
      </c>
      <c r="D2242" s="73"/>
      <c r="E2242" s="71" t="n">
        <v>1290</v>
      </c>
      <c r="F2242" s="67"/>
      <c r="G2242" s="68"/>
      <c r="H2242" s="69" t="n">
        <v>1290</v>
      </c>
    </row>
    <row r="2243" customFormat="false" ht="15" hidden="false" customHeight="true" outlineLevel="0" collapsed="false">
      <c r="B2243" s="84"/>
      <c r="C2243" s="85" t="s">
        <v>29</v>
      </c>
      <c r="D2243" s="86" t="n">
        <v>279</v>
      </c>
      <c r="E2243" s="75"/>
      <c r="F2243" s="76" t="n">
        <v>20</v>
      </c>
      <c r="G2243" s="77"/>
      <c r="H2243" s="78" t="n">
        <v>299</v>
      </c>
    </row>
    <row r="2244" customFormat="false" ht="15" hidden="false" customHeight="true" outlineLevel="0" collapsed="false">
      <c r="B2244" s="87" t="s">
        <v>958</v>
      </c>
      <c r="C2244" s="88"/>
      <c r="D2244" s="89" t="n">
        <v>5357</v>
      </c>
      <c r="E2244" s="89" t="n">
        <v>2955</v>
      </c>
      <c r="F2244" s="89" t="n">
        <v>80</v>
      </c>
      <c r="G2244" s="90"/>
      <c r="H2244" s="91" t="n">
        <v>8392</v>
      </c>
    </row>
    <row r="2245" customFormat="false" ht="15" hidden="false" customHeight="true" outlineLevel="0" collapsed="false">
      <c r="B2245" s="56" t="n">
        <v>45897</v>
      </c>
      <c r="C2245" s="57" t="s">
        <v>44</v>
      </c>
      <c r="D2245" s="58"/>
      <c r="E2245" s="59"/>
      <c r="F2245" s="60" t="n">
        <v>1000</v>
      </c>
      <c r="G2245" s="61"/>
      <c r="H2245" s="62" t="n">
        <v>1000</v>
      </c>
    </row>
    <row r="2246" customFormat="false" ht="15" hidden="false" customHeight="true" outlineLevel="0" collapsed="false">
      <c r="B2246" s="64"/>
      <c r="C2246" s="65" t="s">
        <v>118</v>
      </c>
      <c r="D2246" s="73"/>
      <c r="E2246" s="71" t="n">
        <v>9326</v>
      </c>
      <c r="F2246" s="67"/>
      <c r="G2246" s="68"/>
      <c r="H2246" s="69" t="n">
        <v>9326</v>
      </c>
    </row>
    <row r="2247" customFormat="false" ht="15" hidden="false" customHeight="true" outlineLevel="0" collapsed="false">
      <c r="B2247" s="64"/>
      <c r="C2247" s="65" t="s">
        <v>19</v>
      </c>
      <c r="D2247" s="66" t="n">
        <v>1290</v>
      </c>
      <c r="E2247" s="67"/>
      <c r="F2247" s="67"/>
      <c r="G2247" s="68"/>
      <c r="H2247" s="69" t="n">
        <v>1290</v>
      </c>
    </row>
    <row r="2248" customFormat="false" ht="15" hidden="false" customHeight="true" outlineLevel="0" collapsed="false">
      <c r="B2248" s="64"/>
      <c r="C2248" s="65" t="s">
        <v>25</v>
      </c>
      <c r="D2248" s="66" t="n">
        <v>740</v>
      </c>
      <c r="E2248" s="67"/>
      <c r="F2248" s="67"/>
      <c r="G2248" s="68"/>
      <c r="H2248" s="69" t="n">
        <v>740</v>
      </c>
    </row>
    <row r="2249" customFormat="false" ht="15" hidden="false" customHeight="true" outlineLevel="0" collapsed="false">
      <c r="B2249" s="64"/>
      <c r="C2249" s="65" t="s">
        <v>50</v>
      </c>
      <c r="D2249" s="66" t="n">
        <v>3290</v>
      </c>
      <c r="E2249" s="67"/>
      <c r="F2249" s="67"/>
      <c r="G2249" s="68"/>
      <c r="H2249" s="69" t="n">
        <v>3290</v>
      </c>
    </row>
    <row r="2250" customFormat="false" ht="15" hidden="false" customHeight="true" outlineLevel="0" collapsed="false">
      <c r="B2250" s="64"/>
      <c r="C2250" s="65" t="s">
        <v>37</v>
      </c>
      <c r="D2250" s="66" t="n">
        <v>10</v>
      </c>
      <c r="E2250" s="67"/>
      <c r="F2250" s="67"/>
      <c r="G2250" s="68"/>
      <c r="H2250" s="69" t="n">
        <v>10</v>
      </c>
    </row>
    <row r="2251" customFormat="false" ht="15" hidden="false" customHeight="true" outlineLevel="0" collapsed="false">
      <c r="B2251" s="64"/>
      <c r="C2251" s="65" t="s">
        <v>43</v>
      </c>
      <c r="D2251" s="73"/>
      <c r="E2251" s="71" t="n">
        <v>325</v>
      </c>
      <c r="F2251" s="67"/>
      <c r="G2251" s="68"/>
      <c r="H2251" s="69" t="n">
        <v>325</v>
      </c>
    </row>
    <row r="2252" customFormat="false" ht="15" hidden="false" customHeight="true" outlineLevel="0" collapsed="false">
      <c r="B2252" s="84"/>
      <c r="C2252" s="85" t="s">
        <v>34</v>
      </c>
      <c r="D2252" s="74"/>
      <c r="E2252" s="76" t="n">
        <v>30</v>
      </c>
      <c r="F2252" s="75"/>
      <c r="G2252" s="77"/>
      <c r="H2252" s="78" t="n">
        <v>30</v>
      </c>
    </row>
    <row r="2253" customFormat="false" ht="15" hidden="false" customHeight="true" outlineLevel="0" collapsed="false">
      <c r="B2253" s="87" t="s">
        <v>959</v>
      </c>
      <c r="C2253" s="88"/>
      <c r="D2253" s="89" t="n">
        <v>5330</v>
      </c>
      <c r="E2253" s="89" t="n">
        <v>9681</v>
      </c>
      <c r="F2253" s="89" t="n">
        <v>1000</v>
      </c>
      <c r="G2253" s="90"/>
      <c r="H2253" s="91" t="n">
        <v>16011</v>
      </c>
    </row>
    <row r="2254" customFormat="false" ht="15" hidden="false" customHeight="true" outlineLevel="0" collapsed="false">
      <c r="B2254" s="56" t="n">
        <v>45898</v>
      </c>
      <c r="C2254" s="57" t="s">
        <v>47</v>
      </c>
      <c r="D2254" s="92" t="n">
        <v>1800</v>
      </c>
      <c r="E2254" s="59"/>
      <c r="F2254" s="59"/>
      <c r="G2254" s="61"/>
      <c r="H2254" s="62" t="n">
        <v>1800</v>
      </c>
    </row>
    <row r="2255" customFormat="false" ht="15" hidden="false" customHeight="true" outlineLevel="0" collapsed="false">
      <c r="B2255" s="64"/>
      <c r="C2255" s="65" t="s">
        <v>19</v>
      </c>
      <c r="D2255" s="66" t="n">
        <v>2691</v>
      </c>
      <c r="E2255" s="67"/>
      <c r="F2255" s="67"/>
      <c r="G2255" s="68"/>
      <c r="H2255" s="69" t="n">
        <v>2691</v>
      </c>
    </row>
    <row r="2256" customFormat="false" ht="15" hidden="false" customHeight="true" outlineLevel="0" collapsed="false">
      <c r="B2256" s="64"/>
      <c r="C2256" s="65" t="s">
        <v>25</v>
      </c>
      <c r="D2256" s="66" t="n">
        <v>665</v>
      </c>
      <c r="E2256" s="67"/>
      <c r="F2256" s="67"/>
      <c r="G2256" s="68"/>
      <c r="H2256" s="69" t="n">
        <v>665</v>
      </c>
    </row>
    <row r="2257" customFormat="false" ht="15" hidden="false" customHeight="true" outlineLevel="0" collapsed="false">
      <c r="B2257" s="64"/>
      <c r="C2257" s="65" t="s">
        <v>51</v>
      </c>
      <c r="D2257" s="66" t="n">
        <v>11000</v>
      </c>
      <c r="E2257" s="67"/>
      <c r="F2257" s="67"/>
      <c r="G2257" s="68"/>
      <c r="H2257" s="69" t="n">
        <v>11000</v>
      </c>
    </row>
    <row r="2258" customFormat="false" ht="15" hidden="false" customHeight="true" outlineLevel="0" collapsed="false">
      <c r="B2258" s="64"/>
      <c r="C2258" s="65" t="s">
        <v>37</v>
      </c>
      <c r="D2258" s="73"/>
      <c r="E2258" s="67"/>
      <c r="F2258" s="71" t="n">
        <v>10</v>
      </c>
      <c r="G2258" s="68"/>
      <c r="H2258" s="69" t="n">
        <v>10</v>
      </c>
    </row>
    <row r="2259" customFormat="false" ht="15" hidden="false" customHeight="true" outlineLevel="0" collapsed="false">
      <c r="B2259" s="64"/>
      <c r="C2259" s="65" t="s">
        <v>43</v>
      </c>
      <c r="D2259" s="73"/>
      <c r="E2259" s="71" t="n">
        <v>160</v>
      </c>
      <c r="F2259" s="67"/>
      <c r="G2259" s="68"/>
      <c r="H2259" s="69" t="n">
        <v>160</v>
      </c>
    </row>
    <row r="2260" customFormat="false" ht="15" hidden="false" customHeight="true" outlineLevel="0" collapsed="false">
      <c r="B2260" s="84"/>
      <c r="C2260" s="85" t="s">
        <v>29</v>
      </c>
      <c r="D2260" s="86" t="n">
        <v>336</v>
      </c>
      <c r="E2260" s="76" t="n">
        <v>600</v>
      </c>
      <c r="F2260" s="75"/>
      <c r="G2260" s="77"/>
      <c r="H2260" s="78" t="n">
        <v>936</v>
      </c>
    </row>
    <row r="2261" customFormat="false" ht="15" hidden="false" customHeight="true" outlineLevel="0" collapsed="false">
      <c r="B2261" s="87" t="s">
        <v>960</v>
      </c>
      <c r="C2261" s="88"/>
      <c r="D2261" s="89" t="n">
        <v>16492</v>
      </c>
      <c r="E2261" s="89" t="n">
        <v>760</v>
      </c>
      <c r="F2261" s="89" t="n">
        <v>10</v>
      </c>
      <c r="G2261" s="90"/>
      <c r="H2261" s="91" t="n">
        <v>17262</v>
      </c>
    </row>
    <row r="2262" customFormat="false" ht="15" hidden="false" customHeight="true" outlineLevel="0" collapsed="false">
      <c r="B2262" s="56" t="n">
        <v>45899</v>
      </c>
      <c r="C2262" s="57" t="s">
        <v>32</v>
      </c>
      <c r="D2262" s="58"/>
      <c r="E2262" s="60" t="n">
        <v>520</v>
      </c>
      <c r="F2262" s="59"/>
      <c r="G2262" s="61"/>
      <c r="H2262" s="62" t="n">
        <v>520</v>
      </c>
    </row>
    <row r="2263" customFormat="false" ht="15" hidden="false" customHeight="true" outlineLevel="0" collapsed="false">
      <c r="B2263" s="64"/>
      <c r="C2263" s="65" t="s">
        <v>53</v>
      </c>
      <c r="D2263" s="73"/>
      <c r="E2263" s="71" t="n">
        <v>1170</v>
      </c>
      <c r="F2263" s="67"/>
      <c r="G2263" s="68"/>
      <c r="H2263" s="69" t="n">
        <v>1170</v>
      </c>
    </row>
    <row r="2264" customFormat="false" ht="15" hidden="false" customHeight="true" outlineLevel="0" collapsed="false">
      <c r="B2264" s="64"/>
      <c r="C2264" s="65" t="s">
        <v>19</v>
      </c>
      <c r="D2264" s="66" t="n">
        <v>2566</v>
      </c>
      <c r="E2264" s="67"/>
      <c r="F2264" s="67"/>
      <c r="G2264" s="68"/>
      <c r="H2264" s="69" t="n">
        <v>2566</v>
      </c>
    </row>
    <row r="2265" customFormat="false" ht="15" hidden="false" customHeight="true" outlineLevel="0" collapsed="false">
      <c r="B2265" s="64"/>
      <c r="C2265" s="65" t="s">
        <v>25</v>
      </c>
      <c r="D2265" s="73"/>
      <c r="E2265" s="71" t="n">
        <v>874</v>
      </c>
      <c r="F2265" s="67"/>
      <c r="G2265" s="68"/>
      <c r="H2265" s="69" t="n">
        <v>874</v>
      </c>
    </row>
    <row r="2266" customFormat="false" ht="15" hidden="false" customHeight="true" outlineLevel="0" collapsed="false">
      <c r="B2266" s="64"/>
      <c r="C2266" s="65" t="s">
        <v>37</v>
      </c>
      <c r="D2266" s="73"/>
      <c r="E2266" s="67"/>
      <c r="F2266" s="71" t="n">
        <v>20</v>
      </c>
      <c r="G2266" s="68"/>
      <c r="H2266" s="69" t="n">
        <v>20</v>
      </c>
    </row>
    <row r="2267" customFormat="false" ht="15" hidden="false" customHeight="true" outlineLevel="0" collapsed="false">
      <c r="B2267" s="64"/>
      <c r="C2267" s="65" t="s">
        <v>43</v>
      </c>
      <c r="D2267" s="73"/>
      <c r="E2267" s="71" t="n">
        <v>80</v>
      </c>
      <c r="F2267" s="67"/>
      <c r="G2267" s="68"/>
      <c r="H2267" s="69" t="n">
        <v>80</v>
      </c>
    </row>
    <row r="2268" customFormat="false" ht="15" hidden="false" customHeight="true" outlineLevel="0" collapsed="false">
      <c r="B2268" s="64"/>
      <c r="C2268" s="65" t="s">
        <v>31</v>
      </c>
      <c r="D2268" s="73"/>
      <c r="E2268" s="71" t="n">
        <v>300</v>
      </c>
      <c r="F2268" s="67"/>
      <c r="G2268" s="68"/>
      <c r="H2268" s="69" t="n">
        <v>300</v>
      </c>
    </row>
    <row r="2269" customFormat="false" ht="15" hidden="false" customHeight="true" outlineLevel="0" collapsed="false">
      <c r="B2269" s="64"/>
      <c r="C2269" s="65" t="s">
        <v>34</v>
      </c>
      <c r="D2269" s="73"/>
      <c r="E2269" s="71" t="n">
        <v>30</v>
      </c>
      <c r="F2269" s="67"/>
      <c r="G2269" s="68"/>
      <c r="H2269" s="69" t="n">
        <v>30</v>
      </c>
    </row>
    <row r="2270" customFormat="false" ht="15" hidden="false" customHeight="true" outlineLevel="0" collapsed="false">
      <c r="B2270" s="84"/>
      <c r="C2270" s="85" t="s">
        <v>29</v>
      </c>
      <c r="D2270" s="74"/>
      <c r="E2270" s="76" t="n">
        <v>607</v>
      </c>
      <c r="F2270" s="76" t="n">
        <v>20</v>
      </c>
      <c r="G2270" s="77"/>
      <c r="H2270" s="78" t="n">
        <v>627</v>
      </c>
    </row>
    <row r="2271" customFormat="false" ht="15" hidden="false" customHeight="true" outlineLevel="0" collapsed="false">
      <c r="B2271" s="87" t="s">
        <v>961</v>
      </c>
      <c r="C2271" s="88"/>
      <c r="D2271" s="89" t="n">
        <v>2566</v>
      </c>
      <c r="E2271" s="89" t="n">
        <v>3581</v>
      </c>
      <c r="F2271" s="89" t="n">
        <v>40</v>
      </c>
      <c r="G2271" s="90"/>
      <c r="H2271" s="91" t="n">
        <v>6187</v>
      </c>
    </row>
    <row r="2272" customFormat="false" ht="15" hidden="false" customHeight="true" outlineLevel="0" collapsed="false">
      <c r="B2272" s="56" t="n">
        <v>45900</v>
      </c>
      <c r="C2272" s="57" t="s">
        <v>44</v>
      </c>
      <c r="D2272" s="92" t="n">
        <v>1000</v>
      </c>
      <c r="E2272" s="59"/>
      <c r="F2272" s="59"/>
      <c r="G2272" s="61"/>
      <c r="H2272" s="62" t="n">
        <v>1000</v>
      </c>
    </row>
    <row r="2273" customFormat="false" ht="15" hidden="false" customHeight="true" outlineLevel="0" collapsed="false">
      <c r="B2273" s="64"/>
      <c r="C2273" s="65" t="s">
        <v>32</v>
      </c>
      <c r="D2273" s="73"/>
      <c r="E2273" s="67"/>
      <c r="F2273" s="71" t="n">
        <v>140</v>
      </c>
      <c r="G2273" s="68"/>
      <c r="H2273" s="69" t="n">
        <v>140</v>
      </c>
    </row>
    <row r="2274" customFormat="false" ht="15" hidden="false" customHeight="true" outlineLevel="0" collapsed="false">
      <c r="B2274" s="64"/>
      <c r="C2274" s="65" t="s">
        <v>25</v>
      </c>
      <c r="D2274" s="66" t="n">
        <v>854</v>
      </c>
      <c r="E2274" s="71" t="n">
        <v>740</v>
      </c>
      <c r="F2274" s="67"/>
      <c r="G2274" s="68"/>
      <c r="H2274" s="69" t="n">
        <v>1594</v>
      </c>
    </row>
    <row r="2275" customFormat="false" ht="15" hidden="false" customHeight="true" outlineLevel="0" collapsed="false">
      <c r="B2275" s="64"/>
      <c r="C2275" s="65" t="s">
        <v>28</v>
      </c>
      <c r="D2275" s="73"/>
      <c r="E2275" s="67"/>
      <c r="F2275" s="71" t="n">
        <v>513</v>
      </c>
      <c r="G2275" s="68"/>
      <c r="H2275" s="69" t="n">
        <v>513</v>
      </c>
    </row>
    <row r="2276" customFormat="false" ht="15" hidden="false" customHeight="true" outlineLevel="0" collapsed="false">
      <c r="B2276" s="64"/>
      <c r="C2276" s="65" t="s">
        <v>12</v>
      </c>
      <c r="D2276" s="66" t="n">
        <v>19290</v>
      </c>
      <c r="E2276" s="67"/>
      <c r="F2276" s="67"/>
      <c r="G2276" s="68"/>
      <c r="H2276" s="69" t="n">
        <v>19290</v>
      </c>
    </row>
    <row r="2277" customFormat="false" ht="15" hidden="false" customHeight="true" outlineLevel="0" collapsed="false">
      <c r="B2277" s="64"/>
      <c r="C2277" s="65" t="s">
        <v>50</v>
      </c>
      <c r="D2277" s="66" t="n">
        <v>1645</v>
      </c>
      <c r="E2277" s="67"/>
      <c r="F2277" s="67"/>
      <c r="G2277" s="68"/>
      <c r="H2277" s="69" t="n">
        <v>1645</v>
      </c>
    </row>
    <row r="2278" customFormat="false" ht="15" hidden="false" customHeight="true" outlineLevel="0" collapsed="false">
      <c r="B2278" s="64"/>
      <c r="C2278" s="65" t="s">
        <v>22</v>
      </c>
      <c r="D2278" s="66" t="n">
        <v>294</v>
      </c>
      <c r="E2278" s="71" t="n">
        <v>100</v>
      </c>
      <c r="F2278" s="71" t="n">
        <v>10</v>
      </c>
      <c r="G2278" s="68"/>
      <c r="H2278" s="69" t="n">
        <v>404</v>
      </c>
    </row>
    <row r="2279" customFormat="false" ht="15" hidden="false" customHeight="true" outlineLevel="0" collapsed="false">
      <c r="B2279" s="64"/>
      <c r="C2279" s="65" t="s">
        <v>37</v>
      </c>
      <c r="D2279" s="73"/>
      <c r="E2279" s="67"/>
      <c r="F2279" s="71" t="n">
        <v>15</v>
      </c>
      <c r="G2279" s="68"/>
      <c r="H2279" s="69" t="n">
        <v>15</v>
      </c>
    </row>
    <row r="2280" customFormat="false" ht="15" hidden="false" customHeight="true" outlineLevel="0" collapsed="false">
      <c r="B2280" s="84"/>
      <c r="C2280" s="85" t="s">
        <v>40</v>
      </c>
      <c r="D2280" s="74"/>
      <c r="E2280" s="76" t="n">
        <v>1710</v>
      </c>
      <c r="F2280" s="75"/>
      <c r="G2280" s="77"/>
      <c r="H2280" s="78" t="n">
        <v>1710</v>
      </c>
    </row>
    <row r="2281" customFormat="false" ht="15" hidden="false" customHeight="true" outlineLevel="0" collapsed="false">
      <c r="B2281" s="87" t="s">
        <v>962</v>
      </c>
      <c r="C2281" s="88"/>
      <c r="D2281" s="89" t="n">
        <v>23083</v>
      </c>
      <c r="E2281" s="89" t="n">
        <v>2550</v>
      </c>
      <c r="F2281" s="89" t="n">
        <v>678</v>
      </c>
      <c r="G2281" s="90"/>
      <c r="H2281" s="91" t="n">
        <v>26311</v>
      </c>
    </row>
    <row r="2282" customFormat="false" ht="15" hidden="false" customHeight="true" outlineLevel="0" collapsed="false">
      <c r="B2282" s="56" t="n">
        <v>45901</v>
      </c>
      <c r="C2282" s="57" t="s">
        <v>47</v>
      </c>
      <c r="D2282" s="92" t="n">
        <v>1800</v>
      </c>
      <c r="E2282" s="59"/>
      <c r="F2282" s="59"/>
      <c r="G2282" s="61"/>
      <c r="H2282" s="62" t="n">
        <v>1800</v>
      </c>
    </row>
    <row r="2283" customFormat="false" ht="15" hidden="false" customHeight="true" outlineLevel="0" collapsed="false">
      <c r="B2283" s="64"/>
      <c r="C2283" s="65" t="s">
        <v>25</v>
      </c>
      <c r="D2283" s="66" t="n">
        <v>814</v>
      </c>
      <c r="E2283" s="67"/>
      <c r="F2283" s="67"/>
      <c r="G2283" s="68"/>
      <c r="H2283" s="69" t="n">
        <v>814</v>
      </c>
    </row>
    <row r="2284" customFormat="false" ht="15" hidden="false" customHeight="true" outlineLevel="0" collapsed="false">
      <c r="B2284" s="64"/>
      <c r="C2284" s="65" t="s">
        <v>37</v>
      </c>
      <c r="D2284" s="73"/>
      <c r="E2284" s="67"/>
      <c r="F2284" s="71" t="n">
        <v>20</v>
      </c>
      <c r="G2284" s="68"/>
      <c r="H2284" s="69" t="n">
        <v>20</v>
      </c>
    </row>
    <row r="2285" customFormat="false" ht="15" hidden="false" customHeight="true" outlineLevel="0" collapsed="false">
      <c r="B2285" s="64"/>
      <c r="C2285" s="65" t="s">
        <v>34</v>
      </c>
      <c r="D2285" s="73"/>
      <c r="E2285" s="71" t="n">
        <v>20</v>
      </c>
      <c r="F2285" s="67"/>
      <c r="G2285" s="68"/>
      <c r="H2285" s="69" t="n">
        <v>20</v>
      </c>
    </row>
    <row r="2286" customFormat="false" ht="15" hidden="false" customHeight="true" outlineLevel="0" collapsed="false">
      <c r="B2286" s="84"/>
      <c r="C2286" s="85" t="s">
        <v>29</v>
      </c>
      <c r="D2286" s="74"/>
      <c r="E2286" s="75"/>
      <c r="F2286" s="76" t="n">
        <v>25</v>
      </c>
      <c r="G2286" s="77"/>
      <c r="H2286" s="78" t="n">
        <v>25</v>
      </c>
    </row>
    <row r="2287" customFormat="false" ht="15" hidden="false" customHeight="true" outlineLevel="0" collapsed="false">
      <c r="B2287" s="87" t="s">
        <v>963</v>
      </c>
      <c r="C2287" s="88"/>
      <c r="D2287" s="89" t="n">
        <v>2614</v>
      </c>
      <c r="E2287" s="89" t="n">
        <v>20</v>
      </c>
      <c r="F2287" s="89" t="n">
        <v>45</v>
      </c>
      <c r="G2287" s="90"/>
      <c r="H2287" s="91" t="n">
        <v>2679</v>
      </c>
    </row>
    <row r="2288" customFormat="false" ht="15" hidden="false" customHeight="true" outlineLevel="0" collapsed="false">
      <c r="B2288" s="56" t="n">
        <v>45902</v>
      </c>
      <c r="C2288" s="57" t="s">
        <v>32</v>
      </c>
      <c r="D2288" s="58"/>
      <c r="E2288" s="60" t="n">
        <v>175</v>
      </c>
      <c r="F2288" s="59"/>
      <c r="G2288" s="61"/>
      <c r="H2288" s="62" t="n">
        <v>175</v>
      </c>
    </row>
    <row r="2289" customFormat="false" ht="15" hidden="false" customHeight="true" outlineLevel="0" collapsed="false">
      <c r="B2289" s="64"/>
      <c r="C2289" s="65" t="s">
        <v>53</v>
      </c>
      <c r="D2289" s="73"/>
      <c r="E2289" s="67"/>
      <c r="F2289" s="71" t="n">
        <v>1200</v>
      </c>
      <c r="G2289" s="68"/>
      <c r="H2289" s="69" t="n">
        <v>1200</v>
      </c>
    </row>
    <row r="2290" customFormat="false" ht="15" hidden="false" customHeight="true" outlineLevel="0" collapsed="false">
      <c r="B2290" s="64"/>
      <c r="C2290" s="65" t="s">
        <v>19</v>
      </c>
      <c r="D2290" s="66" t="n">
        <v>2472</v>
      </c>
      <c r="E2290" s="67"/>
      <c r="F2290" s="67"/>
      <c r="G2290" s="68"/>
      <c r="H2290" s="69" t="n">
        <v>2472</v>
      </c>
    </row>
    <row r="2291" customFormat="false" ht="15" hidden="false" customHeight="true" outlineLevel="0" collapsed="false">
      <c r="B2291" s="64"/>
      <c r="C2291" s="65" t="s">
        <v>25</v>
      </c>
      <c r="D2291" s="66" t="n">
        <v>435</v>
      </c>
      <c r="E2291" s="67"/>
      <c r="F2291" s="67"/>
      <c r="G2291" s="68"/>
      <c r="H2291" s="69" t="n">
        <v>435</v>
      </c>
    </row>
    <row r="2292" customFormat="false" ht="15" hidden="false" customHeight="true" outlineLevel="0" collapsed="false">
      <c r="B2292" s="64"/>
      <c r="C2292" s="65" t="s">
        <v>50</v>
      </c>
      <c r="D2292" s="66" t="n">
        <v>1593</v>
      </c>
      <c r="E2292" s="67"/>
      <c r="F2292" s="67"/>
      <c r="G2292" s="68"/>
      <c r="H2292" s="69" t="n">
        <v>1593</v>
      </c>
    </row>
    <row r="2293" customFormat="false" ht="15" hidden="false" customHeight="true" outlineLevel="0" collapsed="false">
      <c r="B2293" s="64"/>
      <c r="C2293" s="65" t="s">
        <v>37</v>
      </c>
      <c r="D2293" s="73"/>
      <c r="E2293" s="67"/>
      <c r="F2293" s="71" t="n">
        <v>20</v>
      </c>
      <c r="G2293" s="68"/>
      <c r="H2293" s="69" t="n">
        <v>20</v>
      </c>
    </row>
    <row r="2294" customFormat="false" ht="15" hidden="false" customHeight="true" outlineLevel="0" collapsed="false">
      <c r="B2294" s="84"/>
      <c r="C2294" s="85" t="s">
        <v>34</v>
      </c>
      <c r="D2294" s="86" t="n">
        <v>30</v>
      </c>
      <c r="E2294" s="75"/>
      <c r="F2294" s="75"/>
      <c r="G2294" s="77"/>
      <c r="H2294" s="78" t="n">
        <v>30</v>
      </c>
    </row>
    <row r="2295" customFormat="false" ht="15" hidden="false" customHeight="true" outlineLevel="0" collapsed="false">
      <c r="B2295" s="87" t="s">
        <v>964</v>
      </c>
      <c r="C2295" s="88"/>
      <c r="D2295" s="89" t="n">
        <v>4530</v>
      </c>
      <c r="E2295" s="89" t="n">
        <v>175</v>
      </c>
      <c r="F2295" s="89" t="n">
        <v>1220</v>
      </c>
      <c r="G2295" s="90"/>
      <c r="H2295" s="91" t="n">
        <v>5925</v>
      </c>
    </row>
    <row r="2296" customFormat="false" ht="15" hidden="false" customHeight="true" outlineLevel="0" collapsed="false">
      <c r="B2296" s="56" t="n">
        <v>45903</v>
      </c>
      <c r="C2296" s="57" t="s">
        <v>47</v>
      </c>
      <c r="D2296" s="92" t="n">
        <v>900</v>
      </c>
      <c r="E2296" s="59"/>
      <c r="F2296" s="59"/>
      <c r="G2296" s="61"/>
      <c r="H2296" s="62" t="n">
        <v>900</v>
      </c>
    </row>
    <row r="2297" customFormat="false" ht="15" hidden="false" customHeight="true" outlineLevel="0" collapsed="false">
      <c r="B2297" s="64"/>
      <c r="C2297" s="65" t="s">
        <v>19</v>
      </c>
      <c r="D2297" s="66" t="n">
        <v>673</v>
      </c>
      <c r="E2297" s="67"/>
      <c r="F2297" s="67"/>
      <c r="G2297" s="68"/>
      <c r="H2297" s="69" t="n">
        <v>673</v>
      </c>
    </row>
    <row r="2298" customFormat="false" ht="15" hidden="false" customHeight="true" outlineLevel="0" collapsed="false">
      <c r="B2298" s="64"/>
      <c r="C2298" s="65" t="s">
        <v>25</v>
      </c>
      <c r="D2298" s="66" t="n">
        <v>1573</v>
      </c>
      <c r="E2298" s="67"/>
      <c r="F2298" s="67"/>
      <c r="G2298" s="68"/>
      <c r="H2298" s="69" t="n">
        <v>1573</v>
      </c>
    </row>
    <row r="2299" customFormat="false" ht="15" hidden="false" customHeight="true" outlineLevel="0" collapsed="false">
      <c r="B2299" s="64"/>
      <c r="C2299" s="65" t="s">
        <v>12</v>
      </c>
      <c r="D2299" s="73"/>
      <c r="E2299" s="71" t="n">
        <v>20</v>
      </c>
      <c r="F2299" s="67"/>
      <c r="G2299" s="68"/>
      <c r="H2299" s="69" t="n">
        <v>20</v>
      </c>
    </row>
    <row r="2300" customFormat="false" ht="15" hidden="false" customHeight="true" outlineLevel="0" collapsed="false">
      <c r="B2300" s="64"/>
      <c r="C2300" s="65" t="s">
        <v>69</v>
      </c>
      <c r="D2300" s="73"/>
      <c r="E2300" s="71" t="n">
        <v>1500</v>
      </c>
      <c r="F2300" s="67"/>
      <c r="G2300" s="68"/>
      <c r="H2300" s="69" t="n">
        <v>1500</v>
      </c>
    </row>
    <row r="2301" customFormat="false" ht="15" hidden="false" customHeight="true" outlineLevel="0" collapsed="false">
      <c r="B2301" s="64"/>
      <c r="C2301" s="65" t="s">
        <v>37</v>
      </c>
      <c r="D2301" s="73"/>
      <c r="E2301" s="67"/>
      <c r="F2301" s="71" t="n">
        <v>20</v>
      </c>
      <c r="G2301" s="68"/>
      <c r="H2301" s="69" t="n">
        <v>20</v>
      </c>
    </row>
    <row r="2302" customFormat="false" ht="15" hidden="false" customHeight="true" outlineLevel="0" collapsed="false">
      <c r="B2302" s="64"/>
      <c r="C2302" s="65" t="s">
        <v>40</v>
      </c>
      <c r="D2302" s="73"/>
      <c r="E2302" s="71" t="n">
        <v>500</v>
      </c>
      <c r="F2302" s="67"/>
      <c r="G2302" s="68"/>
      <c r="H2302" s="69" t="n">
        <v>500</v>
      </c>
    </row>
    <row r="2303" customFormat="false" ht="15" hidden="false" customHeight="true" outlineLevel="0" collapsed="false">
      <c r="B2303" s="64"/>
      <c r="C2303" s="65" t="s">
        <v>31</v>
      </c>
      <c r="D2303" s="73"/>
      <c r="E2303" s="71" t="n">
        <v>600</v>
      </c>
      <c r="F2303" s="67"/>
      <c r="G2303" s="68"/>
      <c r="H2303" s="69" t="n">
        <v>600</v>
      </c>
    </row>
    <row r="2304" customFormat="false" ht="15" hidden="false" customHeight="true" outlineLevel="0" collapsed="false">
      <c r="B2304" s="64"/>
      <c r="C2304" s="65" t="s">
        <v>56</v>
      </c>
      <c r="D2304" s="73"/>
      <c r="E2304" s="71" t="n">
        <v>315</v>
      </c>
      <c r="F2304" s="67"/>
      <c r="G2304" s="68"/>
      <c r="H2304" s="69" t="n">
        <v>315</v>
      </c>
    </row>
    <row r="2305" customFormat="false" ht="15" hidden="false" customHeight="true" outlineLevel="0" collapsed="false">
      <c r="B2305" s="64"/>
      <c r="C2305" s="65" t="s">
        <v>34</v>
      </c>
      <c r="D2305" s="73"/>
      <c r="E2305" s="71" t="n">
        <v>30</v>
      </c>
      <c r="F2305" s="67"/>
      <c r="G2305" s="68"/>
      <c r="H2305" s="69" t="n">
        <v>30</v>
      </c>
    </row>
    <row r="2306" customFormat="false" ht="15" hidden="false" customHeight="true" outlineLevel="0" collapsed="false">
      <c r="B2306" s="84"/>
      <c r="C2306" s="85" t="s">
        <v>29</v>
      </c>
      <c r="D2306" s="74"/>
      <c r="E2306" s="76" t="n">
        <v>200</v>
      </c>
      <c r="F2306" s="75"/>
      <c r="G2306" s="77"/>
      <c r="H2306" s="78" t="n">
        <v>200</v>
      </c>
    </row>
    <row r="2307" customFormat="false" ht="15" hidden="false" customHeight="true" outlineLevel="0" collapsed="false">
      <c r="B2307" s="87" t="s">
        <v>965</v>
      </c>
      <c r="C2307" s="88"/>
      <c r="D2307" s="89" t="n">
        <v>3146</v>
      </c>
      <c r="E2307" s="89" t="n">
        <v>3165</v>
      </c>
      <c r="F2307" s="89" t="n">
        <v>20</v>
      </c>
      <c r="G2307" s="90"/>
      <c r="H2307" s="91" t="n">
        <v>6331</v>
      </c>
    </row>
    <row r="2308" customFormat="false" ht="15" hidden="false" customHeight="true" outlineLevel="0" collapsed="false">
      <c r="B2308" s="56" t="n">
        <v>45904</v>
      </c>
      <c r="C2308" s="57" t="s">
        <v>44</v>
      </c>
      <c r="D2308" s="92" t="n">
        <v>4000</v>
      </c>
      <c r="E2308" s="59"/>
      <c r="F2308" s="59"/>
      <c r="G2308" s="61"/>
      <c r="H2308" s="62" t="n">
        <v>4000</v>
      </c>
    </row>
    <row r="2309" customFormat="false" ht="15" hidden="false" customHeight="true" outlineLevel="0" collapsed="false">
      <c r="B2309" s="64"/>
      <c r="C2309" s="65" t="s">
        <v>32</v>
      </c>
      <c r="D2309" s="73"/>
      <c r="E2309" s="67"/>
      <c r="F2309" s="71" t="n">
        <v>175</v>
      </c>
      <c r="G2309" s="68"/>
      <c r="H2309" s="69" t="n">
        <v>175</v>
      </c>
    </row>
    <row r="2310" customFormat="false" ht="15" hidden="false" customHeight="true" outlineLevel="0" collapsed="false">
      <c r="B2310" s="64"/>
      <c r="C2310" s="65" t="s">
        <v>50</v>
      </c>
      <c r="D2310" s="66" t="n">
        <v>1593</v>
      </c>
      <c r="E2310" s="67"/>
      <c r="F2310" s="67"/>
      <c r="G2310" s="68"/>
      <c r="H2310" s="69" t="n">
        <v>1593</v>
      </c>
    </row>
    <row r="2311" customFormat="false" ht="15" hidden="false" customHeight="true" outlineLevel="0" collapsed="false">
      <c r="B2311" s="64"/>
      <c r="C2311" s="65" t="s">
        <v>22</v>
      </c>
      <c r="D2311" s="66" t="n">
        <v>7602</v>
      </c>
      <c r="E2311" s="67"/>
      <c r="F2311" s="71" t="n">
        <v>55</v>
      </c>
      <c r="G2311" s="68"/>
      <c r="H2311" s="69" t="n">
        <v>7657</v>
      </c>
    </row>
    <row r="2312" customFormat="false" ht="15" hidden="false" customHeight="true" outlineLevel="0" collapsed="false">
      <c r="B2312" s="64"/>
      <c r="C2312" s="65" t="s">
        <v>40</v>
      </c>
      <c r="D2312" s="73"/>
      <c r="E2312" s="71" t="n">
        <v>1560</v>
      </c>
      <c r="F2312" s="67"/>
      <c r="G2312" s="68"/>
      <c r="H2312" s="69" t="n">
        <v>1560</v>
      </c>
    </row>
    <row r="2313" customFormat="false" ht="15" hidden="false" customHeight="true" outlineLevel="0" collapsed="false">
      <c r="B2313" s="64"/>
      <c r="C2313" s="65" t="s">
        <v>56</v>
      </c>
      <c r="D2313" s="73"/>
      <c r="E2313" s="71" t="n">
        <v>20</v>
      </c>
      <c r="F2313" s="67"/>
      <c r="G2313" s="68"/>
      <c r="H2313" s="69" t="n">
        <v>20</v>
      </c>
    </row>
    <row r="2314" customFormat="false" ht="15" hidden="false" customHeight="true" outlineLevel="0" collapsed="false">
      <c r="B2314" s="64"/>
      <c r="C2314" s="65" t="s">
        <v>34</v>
      </c>
      <c r="D2314" s="73"/>
      <c r="E2314" s="71" t="n">
        <v>30</v>
      </c>
      <c r="F2314" s="67"/>
      <c r="G2314" s="68"/>
      <c r="H2314" s="69" t="n">
        <v>30</v>
      </c>
    </row>
    <row r="2315" customFormat="false" ht="15" hidden="false" customHeight="true" outlineLevel="0" collapsed="false">
      <c r="B2315" s="84"/>
      <c r="C2315" s="85" t="s">
        <v>29</v>
      </c>
      <c r="D2315" s="74"/>
      <c r="E2315" s="76" t="n">
        <v>500</v>
      </c>
      <c r="F2315" s="76" t="n">
        <v>25</v>
      </c>
      <c r="G2315" s="77"/>
      <c r="H2315" s="78" t="n">
        <v>525</v>
      </c>
    </row>
    <row r="2316" customFormat="false" ht="15" hidden="false" customHeight="true" outlineLevel="0" collapsed="false">
      <c r="B2316" s="87" t="s">
        <v>966</v>
      </c>
      <c r="C2316" s="88"/>
      <c r="D2316" s="89" t="n">
        <v>13195</v>
      </c>
      <c r="E2316" s="89" t="n">
        <v>2110</v>
      </c>
      <c r="F2316" s="89" t="n">
        <v>255</v>
      </c>
      <c r="G2316" s="90"/>
      <c r="H2316" s="91" t="n">
        <v>15560</v>
      </c>
    </row>
    <row r="2317" customFormat="false" ht="15" hidden="false" customHeight="true" outlineLevel="0" collapsed="false">
      <c r="B2317" s="56" t="n">
        <v>45905</v>
      </c>
      <c r="C2317" s="57" t="s">
        <v>44</v>
      </c>
      <c r="D2317" s="92" t="n">
        <v>500</v>
      </c>
      <c r="E2317" s="60" t="n">
        <v>3000</v>
      </c>
      <c r="F2317" s="59"/>
      <c r="G2317" s="61"/>
      <c r="H2317" s="62" t="n">
        <v>3500</v>
      </c>
    </row>
    <row r="2318" customFormat="false" ht="15" hidden="false" customHeight="true" outlineLevel="0" collapsed="false">
      <c r="B2318" s="64"/>
      <c r="C2318" s="65" t="s">
        <v>32</v>
      </c>
      <c r="D2318" s="73"/>
      <c r="E2318" s="71" t="n">
        <v>140</v>
      </c>
      <c r="F2318" s="67"/>
      <c r="G2318" s="68"/>
      <c r="H2318" s="69" t="n">
        <v>140</v>
      </c>
    </row>
    <row r="2319" customFormat="false" ht="15" hidden="false" customHeight="true" outlineLevel="0" collapsed="false">
      <c r="B2319" s="64"/>
      <c r="C2319" s="65" t="s">
        <v>25</v>
      </c>
      <c r="D2319" s="66" t="n">
        <v>368</v>
      </c>
      <c r="E2319" s="67"/>
      <c r="F2319" s="67"/>
      <c r="G2319" s="68"/>
      <c r="H2319" s="69" t="n">
        <v>368</v>
      </c>
    </row>
    <row r="2320" customFormat="false" ht="15" hidden="false" customHeight="true" outlineLevel="0" collapsed="false">
      <c r="B2320" s="64"/>
      <c r="C2320" s="65" t="s">
        <v>28</v>
      </c>
      <c r="D2320" s="66" t="n">
        <v>360</v>
      </c>
      <c r="E2320" s="67"/>
      <c r="F2320" s="67"/>
      <c r="G2320" s="68"/>
      <c r="H2320" s="69" t="n">
        <v>360</v>
      </c>
    </row>
    <row r="2321" customFormat="false" ht="15" hidden="false" customHeight="true" outlineLevel="0" collapsed="false">
      <c r="B2321" s="64"/>
      <c r="C2321" s="65" t="s">
        <v>50</v>
      </c>
      <c r="D2321" s="66" t="n">
        <v>1593</v>
      </c>
      <c r="E2321" s="67"/>
      <c r="F2321" s="67"/>
      <c r="G2321" s="68"/>
      <c r="H2321" s="69" t="n">
        <v>1593</v>
      </c>
    </row>
    <row r="2322" customFormat="false" ht="15" hidden="false" customHeight="true" outlineLevel="0" collapsed="false">
      <c r="B2322" s="64"/>
      <c r="C2322" s="65" t="s">
        <v>22</v>
      </c>
      <c r="D2322" s="73"/>
      <c r="E2322" s="67"/>
      <c r="F2322" s="71" t="n">
        <v>210</v>
      </c>
      <c r="G2322" s="68"/>
      <c r="H2322" s="69" t="n">
        <v>210</v>
      </c>
    </row>
    <row r="2323" customFormat="false" ht="15" hidden="false" customHeight="true" outlineLevel="0" collapsed="false">
      <c r="B2323" s="64"/>
      <c r="C2323" s="65" t="s">
        <v>199</v>
      </c>
      <c r="D2323" s="66" t="n">
        <v>4023</v>
      </c>
      <c r="E2323" s="67"/>
      <c r="F2323" s="67"/>
      <c r="G2323" s="68"/>
      <c r="H2323" s="69" t="n">
        <v>4023</v>
      </c>
    </row>
    <row r="2324" customFormat="false" ht="15" hidden="false" customHeight="true" outlineLevel="0" collapsed="false">
      <c r="B2324" s="64"/>
      <c r="C2324" s="65" t="s">
        <v>37</v>
      </c>
      <c r="D2324" s="73"/>
      <c r="E2324" s="67"/>
      <c r="F2324" s="71" t="n">
        <v>10</v>
      </c>
      <c r="G2324" s="68"/>
      <c r="H2324" s="69" t="n">
        <v>10</v>
      </c>
    </row>
    <row r="2325" customFormat="false" ht="15" hidden="false" customHeight="true" outlineLevel="0" collapsed="false">
      <c r="B2325" s="64"/>
      <c r="C2325" s="65" t="s">
        <v>43</v>
      </c>
      <c r="D2325" s="66" t="n">
        <v>1000</v>
      </c>
      <c r="E2325" s="67"/>
      <c r="F2325" s="67"/>
      <c r="G2325" s="68"/>
      <c r="H2325" s="69" t="n">
        <v>1000</v>
      </c>
    </row>
    <row r="2326" customFormat="false" ht="15" hidden="false" customHeight="true" outlineLevel="0" collapsed="false">
      <c r="B2326" s="64"/>
      <c r="C2326" s="65" t="s">
        <v>56</v>
      </c>
      <c r="D2326" s="73"/>
      <c r="E2326" s="71" t="n">
        <v>130</v>
      </c>
      <c r="F2326" s="67"/>
      <c r="G2326" s="68"/>
      <c r="H2326" s="69" t="n">
        <v>130</v>
      </c>
    </row>
    <row r="2327" customFormat="false" ht="15" hidden="false" customHeight="true" outlineLevel="0" collapsed="false">
      <c r="B2327" s="84"/>
      <c r="C2327" s="85" t="s">
        <v>34</v>
      </c>
      <c r="D2327" s="74"/>
      <c r="E2327" s="76" t="n">
        <v>30</v>
      </c>
      <c r="F2327" s="75"/>
      <c r="G2327" s="77"/>
      <c r="H2327" s="78" t="n">
        <v>30</v>
      </c>
    </row>
    <row r="2328" customFormat="false" ht="15" hidden="false" customHeight="true" outlineLevel="0" collapsed="false">
      <c r="B2328" s="87" t="s">
        <v>967</v>
      </c>
      <c r="C2328" s="88"/>
      <c r="D2328" s="89" t="n">
        <v>7844</v>
      </c>
      <c r="E2328" s="89" t="n">
        <v>3300</v>
      </c>
      <c r="F2328" s="89" t="n">
        <v>220</v>
      </c>
      <c r="G2328" s="90"/>
      <c r="H2328" s="91" t="n">
        <v>11364</v>
      </c>
    </row>
    <row r="2329" customFormat="false" ht="15" hidden="false" customHeight="true" outlineLevel="0" collapsed="false">
      <c r="B2329" s="56" t="n">
        <v>45906</v>
      </c>
      <c r="C2329" s="57" t="s">
        <v>44</v>
      </c>
      <c r="D2329" s="58"/>
      <c r="E2329" s="59"/>
      <c r="F2329" s="60" t="n">
        <v>1105</v>
      </c>
      <c r="G2329" s="61"/>
      <c r="H2329" s="62" t="n">
        <v>1105</v>
      </c>
    </row>
    <row r="2330" customFormat="false" ht="15" hidden="false" customHeight="true" outlineLevel="0" collapsed="false">
      <c r="B2330" s="64"/>
      <c r="C2330" s="65" t="s">
        <v>19</v>
      </c>
      <c r="D2330" s="66" t="n">
        <v>1960</v>
      </c>
      <c r="E2330" s="67"/>
      <c r="F2330" s="67"/>
      <c r="G2330" s="68"/>
      <c r="H2330" s="69" t="n">
        <v>1960</v>
      </c>
    </row>
    <row r="2331" customFormat="false" ht="15" hidden="false" customHeight="true" outlineLevel="0" collapsed="false">
      <c r="B2331" s="64"/>
      <c r="C2331" s="65" t="s">
        <v>81</v>
      </c>
      <c r="D2331" s="73"/>
      <c r="E2331" s="67"/>
      <c r="F2331" s="71" t="n">
        <v>475</v>
      </c>
      <c r="G2331" s="68"/>
      <c r="H2331" s="69" t="n">
        <v>475</v>
      </c>
    </row>
    <row r="2332" customFormat="false" ht="15" hidden="false" customHeight="true" outlineLevel="0" collapsed="false">
      <c r="B2332" s="64"/>
      <c r="C2332" s="65" t="s">
        <v>25</v>
      </c>
      <c r="D2332" s="66" t="n">
        <v>1154</v>
      </c>
      <c r="E2332" s="67"/>
      <c r="F2332" s="67"/>
      <c r="G2332" s="68"/>
      <c r="H2332" s="69" t="n">
        <v>1154</v>
      </c>
    </row>
    <row r="2333" customFormat="false" ht="15" hidden="false" customHeight="true" outlineLevel="0" collapsed="false">
      <c r="B2333" s="64"/>
      <c r="C2333" s="65" t="s">
        <v>12</v>
      </c>
      <c r="D2333" s="73"/>
      <c r="E2333" s="67"/>
      <c r="F2333" s="71" t="n">
        <v>20</v>
      </c>
      <c r="G2333" s="68"/>
      <c r="H2333" s="69" t="n">
        <v>20</v>
      </c>
    </row>
    <row r="2334" customFormat="false" ht="15" hidden="false" customHeight="true" outlineLevel="0" collapsed="false">
      <c r="B2334" s="64"/>
      <c r="C2334" s="65" t="s">
        <v>22</v>
      </c>
      <c r="D2334" s="66" t="n">
        <v>2565</v>
      </c>
      <c r="E2334" s="67"/>
      <c r="F2334" s="67"/>
      <c r="G2334" s="68"/>
      <c r="H2334" s="69" t="n">
        <v>2565</v>
      </c>
    </row>
    <row r="2335" customFormat="false" ht="15" hidden="false" customHeight="true" outlineLevel="0" collapsed="false">
      <c r="B2335" s="64"/>
      <c r="C2335" s="65" t="s">
        <v>37</v>
      </c>
      <c r="D2335" s="73"/>
      <c r="E2335" s="67"/>
      <c r="F2335" s="71" t="n">
        <v>20</v>
      </c>
      <c r="G2335" s="68"/>
      <c r="H2335" s="69" t="n">
        <v>20</v>
      </c>
    </row>
    <row r="2336" customFormat="false" ht="15" hidden="false" customHeight="true" outlineLevel="0" collapsed="false">
      <c r="B2336" s="64"/>
      <c r="C2336" s="65" t="s">
        <v>43</v>
      </c>
      <c r="D2336" s="73"/>
      <c r="E2336" s="71" t="n">
        <v>1430</v>
      </c>
      <c r="F2336" s="67"/>
      <c r="G2336" s="68"/>
      <c r="H2336" s="69" t="n">
        <v>1430</v>
      </c>
    </row>
    <row r="2337" customFormat="false" ht="15" hidden="false" customHeight="true" outlineLevel="0" collapsed="false">
      <c r="B2337" s="84"/>
      <c r="C2337" s="85" t="s">
        <v>107</v>
      </c>
      <c r="D2337" s="74"/>
      <c r="E2337" s="76" t="n">
        <v>50</v>
      </c>
      <c r="F2337" s="75"/>
      <c r="G2337" s="77"/>
      <c r="H2337" s="78" t="n">
        <v>50</v>
      </c>
    </row>
    <row r="2338" customFormat="false" ht="15" hidden="false" customHeight="true" outlineLevel="0" collapsed="false">
      <c r="B2338" s="87" t="s">
        <v>968</v>
      </c>
      <c r="C2338" s="88"/>
      <c r="D2338" s="89" t="n">
        <v>5679</v>
      </c>
      <c r="E2338" s="89" t="n">
        <v>1480</v>
      </c>
      <c r="F2338" s="89" t="n">
        <v>1620</v>
      </c>
      <c r="G2338" s="90"/>
      <c r="H2338" s="91" t="n">
        <v>8779</v>
      </c>
    </row>
    <row r="2339" customFormat="false" ht="15" hidden="false" customHeight="true" outlineLevel="0" collapsed="false">
      <c r="B2339" s="56" t="n">
        <v>45907</v>
      </c>
      <c r="C2339" s="57" t="s">
        <v>44</v>
      </c>
      <c r="D2339" s="92" t="n">
        <v>4500</v>
      </c>
      <c r="E2339" s="60" t="n">
        <v>1000</v>
      </c>
      <c r="F2339" s="59"/>
      <c r="G2339" s="61"/>
      <c r="H2339" s="62" t="n">
        <v>5500</v>
      </c>
    </row>
    <row r="2340" customFormat="false" ht="15" hidden="false" customHeight="true" outlineLevel="0" collapsed="false">
      <c r="B2340" s="64"/>
      <c r="C2340" s="65" t="s">
        <v>32</v>
      </c>
      <c r="D2340" s="73"/>
      <c r="E2340" s="67"/>
      <c r="F2340" s="71" t="n">
        <v>175</v>
      </c>
      <c r="G2340" s="68"/>
      <c r="H2340" s="69" t="n">
        <v>175</v>
      </c>
    </row>
    <row r="2341" customFormat="false" ht="15" hidden="false" customHeight="true" outlineLevel="0" collapsed="false">
      <c r="B2341" s="64"/>
      <c r="C2341" s="65" t="s">
        <v>19</v>
      </c>
      <c r="D2341" s="66" t="n">
        <v>2773</v>
      </c>
      <c r="E2341" s="67"/>
      <c r="F2341" s="67"/>
      <c r="G2341" s="68"/>
      <c r="H2341" s="69" t="n">
        <v>2773</v>
      </c>
    </row>
    <row r="2342" customFormat="false" ht="15" hidden="false" customHeight="true" outlineLevel="0" collapsed="false">
      <c r="B2342" s="64"/>
      <c r="C2342" s="65" t="s">
        <v>25</v>
      </c>
      <c r="D2342" s="66" t="n">
        <v>774</v>
      </c>
      <c r="E2342" s="71" t="n">
        <v>330</v>
      </c>
      <c r="F2342" s="67"/>
      <c r="G2342" s="68"/>
      <c r="H2342" s="69" t="n">
        <v>1104</v>
      </c>
    </row>
    <row r="2343" customFormat="false" ht="15" hidden="false" customHeight="true" outlineLevel="0" collapsed="false">
      <c r="B2343" s="64"/>
      <c r="C2343" s="65" t="s">
        <v>12</v>
      </c>
      <c r="D2343" s="73"/>
      <c r="E2343" s="71" t="n">
        <v>225</v>
      </c>
      <c r="F2343" s="67"/>
      <c r="G2343" s="68"/>
      <c r="H2343" s="69" t="n">
        <v>225</v>
      </c>
    </row>
    <row r="2344" customFormat="false" ht="15" hidden="false" customHeight="true" outlineLevel="0" collapsed="false">
      <c r="B2344" s="64"/>
      <c r="C2344" s="65" t="s">
        <v>37</v>
      </c>
      <c r="D2344" s="73"/>
      <c r="E2344" s="67"/>
      <c r="F2344" s="71" t="n">
        <v>15</v>
      </c>
      <c r="G2344" s="68"/>
      <c r="H2344" s="69" t="n">
        <v>15</v>
      </c>
    </row>
    <row r="2345" customFormat="false" ht="15" hidden="false" customHeight="true" outlineLevel="0" collapsed="false">
      <c r="B2345" s="64"/>
      <c r="C2345" s="65" t="s">
        <v>43</v>
      </c>
      <c r="D2345" s="73"/>
      <c r="E2345" s="71" t="n">
        <v>400</v>
      </c>
      <c r="F2345" s="67"/>
      <c r="G2345" s="68"/>
      <c r="H2345" s="69" t="n">
        <v>400</v>
      </c>
    </row>
    <row r="2346" customFormat="false" ht="15" hidden="false" customHeight="true" outlineLevel="0" collapsed="false">
      <c r="B2346" s="64"/>
      <c r="C2346" s="65" t="s">
        <v>31</v>
      </c>
      <c r="D2346" s="73"/>
      <c r="E2346" s="71" t="n">
        <v>300</v>
      </c>
      <c r="F2346" s="67"/>
      <c r="G2346" s="68"/>
      <c r="H2346" s="69" t="n">
        <v>300</v>
      </c>
    </row>
    <row r="2347" customFormat="false" ht="15" hidden="false" customHeight="true" outlineLevel="0" collapsed="false">
      <c r="B2347" s="84"/>
      <c r="C2347" s="85" t="s">
        <v>34</v>
      </c>
      <c r="D2347" s="74"/>
      <c r="E2347" s="76" t="n">
        <v>30</v>
      </c>
      <c r="F2347" s="75"/>
      <c r="G2347" s="77"/>
      <c r="H2347" s="78" t="n">
        <v>30</v>
      </c>
    </row>
    <row r="2348" customFormat="false" ht="15" hidden="false" customHeight="true" outlineLevel="0" collapsed="false">
      <c r="B2348" s="87" t="s">
        <v>969</v>
      </c>
      <c r="C2348" s="88"/>
      <c r="D2348" s="89" t="n">
        <v>8047</v>
      </c>
      <c r="E2348" s="89" t="n">
        <v>2285</v>
      </c>
      <c r="F2348" s="89" t="n">
        <v>190</v>
      </c>
      <c r="G2348" s="90"/>
      <c r="H2348" s="91" t="n">
        <v>10522</v>
      </c>
    </row>
    <row r="2349" customFormat="false" ht="15" hidden="false" customHeight="true" outlineLevel="0" collapsed="false">
      <c r="B2349" s="56" t="n">
        <v>45908</v>
      </c>
      <c r="C2349" s="57" t="s">
        <v>53</v>
      </c>
      <c r="D2349" s="58"/>
      <c r="E2349" s="60" t="n">
        <v>1200</v>
      </c>
      <c r="F2349" s="59"/>
      <c r="G2349" s="61"/>
      <c r="H2349" s="62" t="n">
        <v>1200</v>
      </c>
    </row>
    <row r="2350" customFormat="false" ht="15" hidden="false" customHeight="true" outlineLevel="0" collapsed="false">
      <c r="B2350" s="64"/>
      <c r="C2350" s="65" t="s">
        <v>47</v>
      </c>
      <c r="D2350" s="66" t="n">
        <v>1800</v>
      </c>
      <c r="E2350" s="67"/>
      <c r="F2350" s="67"/>
      <c r="G2350" s="68"/>
      <c r="H2350" s="69" t="n">
        <v>1800</v>
      </c>
    </row>
    <row r="2351" customFormat="false" ht="15" hidden="false" customHeight="true" outlineLevel="0" collapsed="false">
      <c r="B2351" s="64"/>
      <c r="C2351" s="65" t="s">
        <v>19</v>
      </c>
      <c r="D2351" s="66" t="n">
        <v>2657</v>
      </c>
      <c r="E2351" s="67"/>
      <c r="F2351" s="67"/>
      <c r="G2351" s="68"/>
      <c r="H2351" s="69" t="n">
        <v>2657</v>
      </c>
    </row>
    <row r="2352" customFormat="false" ht="15" hidden="false" customHeight="true" outlineLevel="0" collapsed="false">
      <c r="B2352" s="64"/>
      <c r="C2352" s="65" t="s">
        <v>25</v>
      </c>
      <c r="D2352" s="66" t="n">
        <v>745</v>
      </c>
      <c r="E2352" s="67"/>
      <c r="F2352" s="67"/>
      <c r="G2352" s="68"/>
      <c r="H2352" s="69" t="n">
        <v>745</v>
      </c>
    </row>
    <row r="2353" customFormat="false" ht="15" hidden="false" customHeight="true" outlineLevel="0" collapsed="false">
      <c r="B2353" s="64"/>
      <c r="C2353" s="65" t="s">
        <v>51</v>
      </c>
      <c r="D2353" s="73"/>
      <c r="E2353" s="71" t="n">
        <v>790</v>
      </c>
      <c r="F2353" s="67"/>
      <c r="G2353" s="68"/>
      <c r="H2353" s="69" t="n">
        <v>790</v>
      </c>
    </row>
    <row r="2354" customFormat="false" ht="15" hidden="false" customHeight="true" outlineLevel="0" collapsed="false">
      <c r="B2354" s="64"/>
      <c r="C2354" s="65" t="s">
        <v>22</v>
      </c>
      <c r="D2354" s="66" t="n">
        <v>2525</v>
      </c>
      <c r="E2354" s="67"/>
      <c r="F2354" s="67"/>
      <c r="G2354" s="68"/>
      <c r="H2354" s="69" t="n">
        <v>2525</v>
      </c>
    </row>
    <row r="2355" customFormat="false" ht="15" hidden="false" customHeight="true" outlineLevel="0" collapsed="false">
      <c r="B2355" s="64"/>
      <c r="C2355" s="65" t="s">
        <v>37</v>
      </c>
      <c r="D2355" s="73"/>
      <c r="E2355" s="67"/>
      <c r="F2355" s="71" t="n">
        <v>15</v>
      </c>
      <c r="G2355" s="68"/>
      <c r="H2355" s="69" t="n">
        <v>15</v>
      </c>
    </row>
    <row r="2356" customFormat="false" ht="15" hidden="false" customHeight="true" outlineLevel="0" collapsed="false">
      <c r="B2356" s="64"/>
      <c r="C2356" s="65" t="s">
        <v>40</v>
      </c>
      <c r="D2356" s="66" t="n">
        <v>3100</v>
      </c>
      <c r="E2356" s="67"/>
      <c r="F2356" s="67"/>
      <c r="G2356" s="68"/>
      <c r="H2356" s="69" t="n">
        <v>3100</v>
      </c>
    </row>
    <row r="2357" customFormat="false" ht="15" hidden="false" customHeight="true" outlineLevel="0" collapsed="false">
      <c r="B2357" s="64"/>
      <c r="C2357" s="65" t="s">
        <v>29</v>
      </c>
      <c r="D2357" s="73"/>
      <c r="E2357" s="67"/>
      <c r="F2357" s="71" t="n">
        <v>200</v>
      </c>
      <c r="G2357" s="68"/>
      <c r="H2357" s="69" t="n">
        <v>200</v>
      </c>
    </row>
    <row r="2358" customFormat="false" ht="15" hidden="false" customHeight="true" outlineLevel="0" collapsed="false">
      <c r="B2358" s="84"/>
      <c r="C2358" s="85" t="s">
        <v>197</v>
      </c>
      <c r="D2358" s="74"/>
      <c r="E2358" s="76" t="n">
        <v>1000</v>
      </c>
      <c r="F2358" s="75"/>
      <c r="G2358" s="77"/>
      <c r="H2358" s="78" t="n">
        <v>1000</v>
      </c>
    </row>
    <row r="2359" customFormat="false" ht="15" hidden="false" customHeight="true" outlineLevel="0" collapsed="false">
      <c r="B2359" s="87" t="s">
        <v>970</v>
      </c>
      <c r="C2359" s="88"/>
      <c r="D2359" s="89" t="n">
        <v>10827</v>
      </c>
      <c r="E2359" s="89" t="n">
        <v>2990</v>
      </c>
      <c r="F2359" s="89" t="n">
        <v>215</v>
      </c>
      <c r="G2359" s="90"/>
      <c r="H2359" s="91" t="n">
        <v>14032</v>
      </c>
    </row>
    <row r="2360" customFormat="false" ht="15" hidden="false" customHeight="true" outlineLevel="0" collapsed="false">
      <c r="B2360" s="56" t="n">
        <v>45909</v>
      </c>
      <c r="C2360" s="57" t="s">
        <v>32</v>
      </c>
      <c r="D2360" s="58"/>
      <c r="E2360" s="59"/>
      <c r="F2360" s="60" t="n">
        <v>525</v>
      </c>
      <c r="G2360" s="61"/>
      <c r="H2360" s="62" t="n">
        <v>525</v>
      </c>
    </row>
    <row r="2361" customFormat="false" ht="15" hidden="false" customHeight="true" outlineLevel="0" collapsed="false">
      <c r="B2361" s="64"/>
      <c r="C2361" s="65" t="s">
        <v>19</v>
      </c>
      <c r="D2361" s="66" t="n">
        <v>1278</v>
      </c>
      <c r="E2361" s="67"/>
      <c r="F2361" s="67"/>
      <c r="G2361" s="68"/>
      <c r="H2361" s="69" t="n">
        <v>1278</v>
      </c>
    </row>
    <row r="2362" customFormat="false" ht="15" hidden="false" customHeight="true" outlineLevel="0" collapsed="false">
      <c r="B2362" s="64"/>
      <c r="C2362" s="65" t="s">
        <v>28</v>
      </c>
      <c r="D2362" s="66" t="n">
        <v>522</v>
      </c>
      <c r="E2362" s="67"/>
      <c r="F2362" s="67"/>
      <c r="G2362" s="68"/>
      <c r="H2362" s="69" t="n">
        <v>522</v>
      </c>
    </row>
    <row r="2363" customFormat="false" ht="15" hidden="false" customHeight="true" outlineLevel="0" collapsed="false">
      <c r="B2363" s="64"/>
      <c r="C2363" s="65" t="s">
        <v>50</v>
      </c>
      <c r="D2363" s="66" t="n">
        <v>1593</v>
      </c>
      <c r="E2363" s="67"/>
      <c r="F2363" s="67"/>
      <c r="G2363" s="68"/>
      <c r="H2363" s="69" t="n">
        <v>1593</v>
      </c>
    </row>
    <row r="2364" customFormat="false" ht="15" hidden="false" customHeight="true" outlineLevel="0" collapsed="false">
      <c r="B2364" s="64"/>
      <c r="C2364" s="65" t="s">
        <v>37</v>
      </c>
      <c r="D2364" s="73"/>
      <c r="E2364" s="67"/>
      <c r="F2364" s="71" t="n">
        <v>10</v>
      </c>
      <c r="G2364" s="68"/>
      <c r="H2364" s="69" t="n">
        <v>10</v>
      </c>
    </row>
    <row r="2365" customFormat="false" ht="15" hidden="false" customHeight="true" outlineLevel="0" collapsed="false">
      <c r="B2365" s="64"/>
      <c r="C2365" s="65" t="s">
        <v>43</v>
      </c>
      <c r="D2365" s="73"/>
      <c r="E2365" s="67"/>
      <c r="F2365" s="71" t="n">
        <v>350</v>
      </c>
      <c r="G2365" s="68"/>
      <c r="H2365" s="69" t="n">
        <v>350</v>
      </c>
    </row>
    <row r="2366" customFormat="false" ht="15" hidden="false" customHeight="true" outlineLevel="0" collapsed="false">
      <c r="B2366" s="64"/>
      <c r="C2366" s="65" t="s">
        <v>56</v>
      </c>
      <c r="D2366" s="66" t="n">
        <v>5570</v>
      </c>
      <c r="E2366" s="67"/>
      <c r="F2366" s="71" t="n">
        <v>300</v>
      </c>
      <c r="G2366" s="68"/>
      <c r="H2366" s="69" t="n">
        <v>5870</v>
      </c>
    </row>
    <row r="2367" customFormat="false" ht="15" hidden="false" customHeight="true" outlineLevel="0" collapsed="false">
      <c r="B2367" s="84"/>
      <c r="C2367" s="85" t="s">
        <v>29</v>
      </c>
      <c r="D2367" s="74"/>
      <c r="E2367" s="75"/>
      <c r="F2367" s="76" t="n">
        <v>485</v>
      </c>
      <c r="G2367" s="77"/>
      <c r="H2367" s="78" t="n">
        <v>485</v>
      </c>
    </row>
    <row r="2368" customFormat="false" ht="15" hidden="false" customHeight="true" outlineLevel="0" collapsed="false">
      <c r="B2368" s="87" t="s">
        <v>971</v>
      </c>
      <c r="C2368" s="88"/>
      <c r="D2368" s="89" t="n">
        <v>8963</v>
      </c>
      <c r="E2368" s="90"/>
      <c r="F2368" s="89" t="n">
        <v>1670</v>
      </c>
      <c r="G2368" s="90"/>
      <c r="H2368" s="91" t="n">
        <v>10633</v>
      </c>
    </row>
    <row r="2369" customFormat="false" ht="15" hidden="false" customHeight="true" outlineLevel="0" collapsed="false">
      <c r="B2369" s="56" t="n">
        <v>45910</v>
      </c>
      <c r="C2369" s="57" t="s">
        <v>47</v>
      </c>
      <c r="D2369" s="92" t="n">
        <v>900</v>
      </c>
      <c r="E2369" s="59"/>
      <c r="F2369" s="59"/>
      <c r="G2369" s="61"/>
      <c r="H2369" s="62" t="n">
        <v>900</v>
      </c>
    </row>
    <row r="2370" customFormat="false" ht="15" hidden="false" customHeight="true" outlineLevel="0" collapsed="false">
      <c r="B2370" s="64"/>
      <c r="C2370" s="65" t="s">
        <v>19</v>
      </c>
      <c r="D2370" s="66" t="n">
        <v>4299</v>
      </c>
      <c r="E2370" s="67"/>
      <c r="F2370" s="67"/>
      <c r="G2370" s="68"/>
      <c r="H2370" s="69" t="n">
        <v>4299</v>
      </c>
    </row>
    <row r="2371" customFormat="false" ht="15" hidden="false" customHeight="true" outlineLevel="0" collapsed="false">
      <c r="B2371" s="64"/>
      <c r="C2371" s="65" t="s">
        <v>25</v>
      </c>
      <c r="D2371" s="66" t="n">
        <v>864</v>
      </c>
      <c r="E2371" s="67"/>
      <c r="F2371" s="67"/>
      <c r="G2371" s="68"/>
      <c r="H2371" s="69" t="n">
        <v>864</v>
      </c>
    </row>
    <row r="2372" customFormat="false" ht="15" hidden="false" customHeight="true" outlineLevel="0" collapsed="false">
      <c r="B2372" s="64"/>
      <c r="C2372" s="65" t="s">
        <v>37</v>
      </c>
      <c r="D2372" s="73"/>
      <c r="E2372" s="67"/>
      <c r="F2372" s="71" t="n">
        <v>30</v>
      </c>
      <c r="G2372" s="68"/>
      <c r="H2372" s="69" t="n">
        <v>30</v>
      </c>
    </row>
    <row r="2373" customFormat="false" ht="15" hidden="false" customHeight="true" outlineLevel="0" collapsed="false">
      <c r="B2373" s="64"/>
      <c r="C2373" s="65" t="s">
        <v>43</v>
      </c>
      <c r="D2373" s="66" t="n">
        <v>3200</v>
      </c>
      <c r="E2373" s="71" t="n">
        <v>40</v>
      </c>
      <c r="F2373" s="67"/>
      <c r="G2373" s="68"/>
      <c r="H2373" s="69" t="n">
        <v>3240</v>
      </c>
    </row>
    <row r="2374" customFormat="false" ht="15" hidden="false" customHeight="true" outlineLevel="0" collapsed="false">
      <c r="B2374" s="64"/>
      <c r="C2374" s="65" t="s">
        <v>202</v>
      </c>
      <c r="D2374" s="73"/>
      <c r="E2374" s="67"/>
      <c r="F2374" s="71" t="n">
        <v>20</v>
      </c>
      <c r="G2374" s="68"/>
      <c r="H2374" s="69" t="n">
        <v>20</v>
      </c>
    </row>
    <row r="2375" customFormat="false" ht="15" hidden="false" customHeight="true" outlineLevel="0" collapsed="false">
      <c r="B2375" s="84"/>
      <c r="C2375" s="85" t="s">
        <v>56</v>
      </c>
      <c r="D2375" s="74"/>
      <c r="E2375" s="75"/>
      <c r="F2375" s="76" t="n">
        <v>300</v>
      </c>
      <c r="G2375" s="77"/>
      <c r="H2375" s="78" t="n">
        <v>300</v>
      </c>
    </row>
    <row r="2376" customFormat="false" ht="15" hidden="false" customHeight="true" outlineLevel="0" collapsed="false">
      <c r="B2376" s="87" t="s">
        <v>972</v>
      </c>
      <c r="C2376" s="88"/>
      <c r="D2376" s="89" t="n">
        <v>9263</v>
      </c>
      <c r="E2376" s="89" t="n">
        <v>40</v>
      </c>
      <c r="F2376" s="89" t="n">
        <v>350</v>
      </c>
      <c r="G2376" s="90"/>
      <c r="H2376" s="91" t="n">
        <v>9653</v>
      </c>
    </row>
    <row r="2377" customFormat="false" ht="15" hidden="false" customHeight="true" outlineLevel="0" collapsed="false">
      <c r="B2377" s="56" t="n">
        <v>45911</v>
      </c>
      <c r="C2377" s="57" t="s">
        <v>25</v>
      </c>
      <c r="D2377" s="92" t="n">
        <v>858</v>
      </c>
      <c r="E2377" s="59"/>
      <c r="F2377" s="59"/>
      <c r="G2377" s="61"/>
      <c r="H2377" s="62" t="n">
        <v>858</v>
      </c>
    </row>
    <row r="2378" customFormat="false" ht="15" hidden="false" customHeight="true" outlineLevel="0" collapsed="false">
      <c r="B2378" s="64"/>
      <c r="C2378" s="65" t="s">
        <v>50</v>
      </c>
      <c r="D2378" s="66" t="n">
        <v>1593</v>
      </c>
      <c r="E2378" s="67"/>
      <c r="F2378" s="67"/>
      <c r="G2378" s="68"/>
      <c r="H2378" s="69" t="n">
        <v>1593</v>
      </c>
    </row>
    <row r="2379" customFormat="false" ht="15" hidden="false" customHeight="true" outlineLevel="0" collapsed="false">
      <c r="B2379" s="64"/>
      <c r="C2379" s="65" t="s">
        <v>22</v>
      </c>
      <c r="D2379" s="66" t="n">
        <v>27940</v>
      </c>
      <c r="E2379" s="71" t="n">
        <v>60</v>
      </c>
      <c r="F2379" s="67"/>
      <c r="G2379" s="68"/>
      <c r="H2379" s="69" t="n">
        <v>28000</v>
      </c>
    </row>
    <row r="2380" customFormat="false" ht="15" hidden="false" customHeight="true" outlineLevel="0" collapsed="false">
      <c r="B2380" s="64"/>
      <c r="C2380" s="65" t="s">
        <v>37</v>
      </c>
      <c r="D2380" s="73"/>
      <c r="E2380" s="67"/>
      <c r="F2380" s="71" t="n">
        <v>20</v>
      </c>
      <c r="G2380" s="68"/>
      <c r="H2380" s="69" t="n">
        <v>20</v>
      </c>
    </row>
    <row r="2381" customFormat="false" ht="15" hidden="false" customHeight="true" outlineLevel="0" collapsed="false">
      <c r="B2381" s="64"/>
      <c r="C2381" s="65" t="s">
        <v>43</v>
      </c>
      <c r="D2381" s="73"/>
      <c r="E2381" s="71" t="n">
        <v>830</v>
      </c>
      <c r="F2381" s="67"/>
      <c r="G2381" s="68"/>
      <c r="H2381" s="69" t="n">
        <v>830</v>
      </c>
    </row>
    <row r="2382" customFormat="false" ht="15" hidden="false" customHeight="true" outlineLevel="0" collapsed="false">
      <c r="B2382" s="64"/>
      <c r="C2382" s="65" t="s">
        <v>60</v>
      </c>
      <c r="D2382" s="73"/>
      <c r="E2382" s="67"/>
      <c r="F2382" s="71" t="n">
        <v>35</v>
      </c>
      <c r="G2382" s="68"/>
      <c r="H2382" s="69" t="n">
        <v>35</v>
      </c>
    </row>
    <row r="2383" customFormat="false" ht="15" hidden="false" customHeight="true" outlineLevel="0" collapsed="false">
      <c r="B2383" s="84"/>
      <c r="C2383" s="85" t="s">
        <v>34</v>
      </c>
      <c r="D2383" s="74"/>
      <c r="E2383" s="76" t="n">
        <v>30</v>
      </c>
      <c r="F2383" s="75"/>
      <c r="G2383" s="77"/>
      <c r="H2383" s="78" t="n">
        <v>30</v>
      </c>
    </row>
    <row r="2384" customFormat="false" ht="15" hidden="false" customHeight="true" outlineLevel="0" collapsed="false">
      <c r="B2384" s="87" t="s">
        <v>973</v>
      </c>
      <c r="C2384" s="88"/>
      <c r="D2384" s="89" t="n">
        <v>30391</v>
      </c>
      <c r="E2384" s="89" t="n">
        <v>920</v>
      </c>
      <c r="F2384" s="89" t="n">
        <v>55</v>
      </c>
      <c r="G2384" s="90"/>
      <c r="H2384" s="91" t="n">
        <v>31366</v>
      </c>
    </row>
    <row r="2385" customFormat="false" ht="15" hidden="false" customHeight="true" outlineLevel="0" collapsed="false">
      <c r="B2385" s="56" t="n">
        <v>45912</v>
      </c>
      <c r="C2385" s="57" t="s">
        <v>47</v>
      </c>
      <c r="D2385" s="92" t="n">
        <v>900</v>
      </c>
      <c r="E2385" s="59"/>
      <c r="F2385" s="59"/>
      <c r="G2385" s="61"/>
      <c r="H2385" s="62" t="n">
        <v>900</v>
      </c>
    </row>
    <row r="2386" customFormat="false" ht="15" hidden="false" customHeight="true" outlineLevel="0" collapsed="false">
      <c r="B2386" s="64"/>
      <c r="C2386" s="65" t="s">
        <v>19</v>
      </c>
      <c r="D2386" s="66" t="n">
        <v>5930</v>
      </c>
      <c r="E2386" s="67"/>
      <c r="F2386" s="67"/>
      <c r="G2386" s="68"/>
      <c r="H2386" s="69" t="n">
        <v>5930</v>
      </c>
    </row>
    <row r="2387" customFormat="false" ht="15" hidden="false" customHeight="true" outlineLevel="0" collapsed="false">
      <c r="B2387" s="64"/>
      <c r="C2387" s="65" t="s">
        <v>25</v>
      </c>
      <c r="D2387" s="66" t="n">
        <v>507</v>
      </c>
      <c r="E2387" s="67"/>
      <c r="F2387" s="67"/>
      <c r="G2387" s="68"/>
      <c r="H2387" s="69" t="n">
        <v>507</v>
      </c>
    </row>
    <row r="2388" customFormat="false" ht="15" hidden="false" customHeight="true" outlineLevel="0" collapsed="false">
      <c r="B2388" s="64"/>
      <c r="C2388" s="65" t="s">
        <v>37</v>
      </c>
      <c r="D2388" s="73"/>
      <c r="E2388" s="67"/>
      <c r="F2388" s="71" t="n">
        <v>40</v>
      </c>
      <c r="G2388" s="68"/>
      <c r="H2388" s="69" t="n">
        <v>40</v>
      </c>
    </row>
    <row r="2389" customFormat="false" ht="15" hidden="false" customHeight="true" outlineLevel="0" collapsed="false">
      <c r="B2389" s="64"/>
      <c r="C2389" s="65" t="s">
        <v>31</v>
      </c>
      <c r="D2389" s="73"/>
      <c r="E2389" s="71" t="n">
        <v>300</v>
      </c>
      <c r="F2389" s="67"/>
      <c r="G2389" s="68"/>
      <c r="H2389" s="69" t="n">
        <v>300</v>
      </c>
    </row>
    <row r="2390" customFormat="false" ht="15" hidden="false" customHeight="true" outlineLevel="0" collapsed="false">
      <c r="B2390" s="84"/>
      <c r="C2390" s="85" t="s">
        <v>29</v>
      </c>
      <c r="D2390" s="74"/>
      <c r="E2390" s="75"/>
      <c r="F2390" s="76" t="n">
        <v>35</v>
      </c>
      <c r="G2390" s="77"/>
      <c r="H2390" s="78" t="n">
        <v>35</v>
      </c>
    </row>
    <row r="2391" customFormat="false" ht="15" hidden="false" customHeight="true" outlineLevel="0" collapsed="false">
      <c r="B2391" s="87" t="s">
        <v>974</v>
      </c>
      <c r="C2391" s="88"/>
      <c r="D2391" s="89" t="n">
        <v>7337</v>
      </c>
      <c r="E2391" s="89" t="n">
        <v>300</v>
      </c>
      <c r="F2391" s="89" t="n">
        <v>75</v>
      </c>
      <c r="G2391" s="90"/>
      <c r="H2391" s="91" t="n">
        <v>7712</v>
      </c>
    </row>
    <row r="2392" customFormat="false" ht="15" hidden="false" customHeight="true" outlineLevel="0" collapsed="false">
      <c r="B2392" s="56" t="n">
        <v>45913</v>
      </c>
      <c r="C2392" s="57" t="s">
        <v>19</v>
      </c>
      <c r="D2392" s="92" t="n">
        <v>2277</v>
      </c>
      <c r="E2392" s="59"/>
      <c r="F2392" s="59"/>
      <c r="G2392" s="61"/>
      <c r="H2392" s="62" t="n">
        <v>2277</v>
      </c>
    </row>
    <row r="2393" customFormat="false" ht="15" hidden="false" customHeight="true" outlineLevel="0" collapsed="false">
      <c r="B2393" s="64"/>
      <c r="C2393" s="65" t="s">
        <v>25</v>
      </c>
      <c r="D2393" s="66" t="n">
        <v>1138</v>
      </c>
      <c r="E2393" s="71" t="n">
        <v>680</v>
      </c>
      <c r="F2393" s="67"/>
      <c r="G2393" s="68"/>
      <c r="H2393" s="69" t="n">
        <v>1818</v>
      </c>
    </row>
    <row r="2394" customFormat="false" ht="15" hidden="false" customHeight="true" outlineLevel="0" collapsed="false">
      <c r="B2394" s="64"/>
      <c r="C2394" s="65" t="s">
        <v>51</v>
      </c>
      <c r="D2394" s="73"/>
      <c r="E2394" s="71" t="n">
        <v>600</v>
      </c>
      <c r="F2394" s="67"/>
      <c r="G2394" s="68"/>
      <c r="H2394" s="69" t="n">
        <v>600</v>
      </c>
    </row>
    <row r="2395" customFormat="false" ht="15" hidden="false" customHeight="true" outlineLevel="0" collapsed="false">
      <c r="B2395" s="64"/>
      <c r="C2395" s="65" t="s">
        <v>50</v>
      </c>
      <c r="D2395" s="66" t="n">
        <v>1593</v>
      </c>
      <c r="E2395" s="67"/>
      <c r="F2395" s="67"/>
      <c r="G2395" s="68"/>
      <c r="H2395" s="69" t="n">
        <v>1593</v>
      </c>
    </row>
    <row r="2396" customFormat="false" ht="15" hidden="false" customHeight="true" outlineLevel="0" collapsed="false">
      <c r="B2396" s="64"/>
      <c r="C2396" s="65" t="s">
        <v>22</v>
      </c>
      <c r="D2396" s="73"/>
      <c r="E2396" s="71" t="n">
        <v>310</v>
      </c>
      <c r="F2396" s="67"/>
      <c r="G2396" s="68"/>
      <c r="H2396" s="69" t="n">
        <v>310</v>
      </c>
    </row>
    <row r="2397" customFormat="false" ht="15" hidden="false" customHeight="true" outlineLevel="0" collapsed="false">
      <c r="B2397" s="64"/>
      <c r="C2397" s="65" t="s">
        <v>37</v>
      </c>
      <c r="D2397" s="73"/>
      <c r="E2397" s="67"/>
      <c r="F2397" s="71" t="n">
        <v>10</v>
      </c>
      <c r="G2397" s="68"/>
      <c r="H2397" s="69" t="n">
        <v>10</v>
      </c>
    </row>
    <row r="2398" customFormat="false" ht="15" hidden="false" customHeight="true" outlineLevel="0" collapsed="false">
      <c r="B2398" s="64"/>
      <c r="C2398" s="65" t="s">
        <v>40</v>
      </c>
      <c r="D2398" s="73"/>
      <c r="E2398" s="71" t="n">
        <v>1520</v>
      </c>
      <c r="F2398" s="67"/>
      <c r="G2398" s="68"/>
      <c r="H2398" s="69" t="n">
        <v>1520</v>
      </c>
    </row>
    <row r="2399" customFormat="false" ht="15" hidden="false" customHeight="true" outlineLevel="0" collapsed="false">
      <c r="B2399" s="64"/>
      <c r="C2399" s="65" t="s">
        <v>56</v>
      </c>
      <c r="D2399" s="73"/>
      <c r="E2399" s="71" t="n">
        <v>450</v>
      </c>
      <c r="F2399" s="67"/>
      <c r="G2399" s="68"/>
      <c r="H2399" s="69" t="n">
        <v>450</v>
      </c>
    </row>
    <row r="2400" customFormat="false" ht="15" hidden="false" customHeight="true" outlineLevel="0" collapsed="false">
      <c r="B2400" s="64"/>
      <c r="C2400" s="65" t="s">
        <v>35</v>
      </c>
      <c r="D2400" s="73"/>
      <c r="E2400" s="71" t="n">
        <v>100</v>
      </c>
      <c r="F2400" s="67"/>
      <c r="G2400" s="68"/>
      <c r="H2400" s="69" t="n">
        <v>100</v>
      </c>
    </row>
    <row r="2401" customFormat="false" ht="15" hidden="false" customHeight="true" outlineLevel="0" collapsed="false">
      <c r="B2401" s="84"/>
      <c r="C2401" s="85" t="s">
        <v>29</v>
      </c>
      <c r="D2401" s="74"/>
      <c r="E2401" s="76" t="n">
        <v>200</v>
      </c>
      <c r="F2401" s="75"/>
      <c r="G2401" s="77"/>
      <c r="H2401" s="78" t="n">
        <v>200</v>
      </c>
    </row>
    <row r="2402" customFormat="false" ht="15" hidden="false" customHeight="true" outlineLevel="0" collapsed="false">
      <c r="B2402" s="87" t="s">
        <v>975</v>
      </c>
      <c r="C2402" s="88"/>
      <c r="D2402" s="89" t="n">
        <v>5008</v>
      </c>
      <c r="E2402" s="89" t="n">
        <v>3860</v>
      </c>
      <c r="F2402" s="89" t="n">
        <v>10</v>
      </c>
      <c r="G2402" s="90"/>
      <c r="H2402" s="91" t="n">
        <v>8878</v>
      </c>
    </row>
    <row r="2403" customFormat="false" ht="15" hidden="false" customHeight="true" outlineLevel="0" collapsed="false">
      <c r="B2403" s="56" t="n">
        <v>45914</v>
      </c>
      <c r="C2403" s="57" t="s">
        <v>19</v>
      </c>
      <c r="D2403" s="92" t="n">
        <v>2872</v>
      </c>
      <c r="E2403" s="59"/>
      <c r="F2403" s="59"/>
      <c r="G2403" s="61"/>
      <c r="H2403" s="62" t="n">
        <v>2872</v>
      </c>
    </row>
    <row r="2404" customFormat="false" ht="15" hidden="false" customHeight="true" outlineLevel="0" collapsed="false">
      <c r="B2404" s="64"/>
      <c r="C2404" s="65" t="s">
        <v>25</v>
      </c>
      <c r="D2404" s="66" t="n">
        <v>1259</v>
      </c>
      <c r="E2404" s="67"/>
      <c r="F2404" s="67"/>
      <c r="G2404" s="68"/>
      <c r="H2404" s="69" t="n">
        <v>1259</v>
      </c>
    </row>
    <row r="2405" customFormat="false" ht="15" hidden="false" customHeight="true" outlineLevel="0" collapsed="false">
      <c r="B2405" s="64"/>
      <c r="C2405" s="65" t="s">
        <v>28</v>
      </c>
      <c r="D2405" s="73"/>
      <c r="E2405" s="71" t="n">
        <v>350</v>
      </c>
      <c r="F2405" s="67"/>
      <c r="G2405" s="68"/>
      <c r="H2405" s="69" t="n">
        <v>350</v>
      </c>
    </row>
    <row r="2406" customFormat="false" ht="15" hidden="false" customHeight="true" outlineLevel="0" collapsed="false">
      <c r="B2406" s="64"/>
      <c r="C2406" s="65" t="s">
        <v>50</v>
      </c>
      <c r="D2406" s="66" t="n">
        <v>1593</v>
      </c>
      <c r="E2406" s="67"/>
      <c r="F2406" s="67"/>
      <c r="G2406" s="68"/>
      <c r="H2406" s="69" t="n">
        <v>1593</v>
      </c>
    </row>
    <row r="2407" customFormat="false" ht="15" hidden="false" customHeight="true" outlineLevel="0" collapsed="false">
      <c r="B2407" s="64"/>
      <c r="C2407" s="65" t="s">
        <v>22</v>
      </c>
      <c r="D2407" s="73"/>
      <c r="E2407" s="71" t="n">
        <v>295</v>
      </c>
      <c r="F2407" s="67"/>
      <c r="G2407" s="68"/>
      <c r="H2407" s="69" t="n">
        <v>295</v>
      </c>
    </row>
    <row r="2408" customFormat="false" ht="15" hidden="false" customHeight="true" outlineLevel="0" collapsed="false">
      <c r="B2408" s="64"/>
      <c r="C2408" s="65" t="s">
        <v>37</v>
      </c>
      <c r="D2408" s="73"/>
      <c r="E2408" s="67"/>
      <c r="F2408" s="71" t="n">
        <v>20</v>
      </c>
      <c r="G2408" s="68"/>
      <c r="H2408" s="69" t="n">
        <v>20</v>
      </c>
    </row>
    <row r="2409" customFormat="false" ht="15" hidden="false" customHeight="true" outlineLevel="0" collapsed="false">
      <c r="B2409" s="64"/>
      <c r="C2409" s="65" t="s">
        <v>60</v>
      </c>
      <c r="D2409" s="73"/>
      <c r="E2409" s="71" t="n">
        <v>210</v>
      </c>
      <c r="F2409" s="67"/>
      <c r="G2409" s="68"/>
      <c r="H2409" s="69" t="n">
        <v>210</v>
      </c>
    </row>
    <row r="2410" customFormat="false" ht="15" hidden="false" customHeight="true" outlineLevel="0" collapsed="false">
      <c r="B2410" s="64"/>
      <c r="C2410" s="65" t="s">
        <v>34</v>
      </c>
      <c r="D2410" s="73"/>
      <c r="E2410" s="71" t="n">
        <v>30</v>
      </c>
      <c r="F2410" s="67"/>
      <c r="G2410" s="68"/>
      <c r="H2410" s="69" t="n">
        <v>30</v>
      </c>
    </row>
    <row r="2411" customFormat="false" ht="15" hidden="false" customHeight="true" outlineLevel="0" collapsed="false">
      <c r="B2411" s="84"/>
      <c r="C2411" s="85" t="s">
        <v>29</v>
      </c>
      <c r="D2411" s="86" t="n">
        <v>894</v>
      </c>
      <c r="E2411" s="75"/>
      <c r="F2411" s="75"/>
      <c r="G2411" s="77"/>
      <c r="H2411" s="78" t="n">
        <v>894</v>
      </c>
    </row>
    <row r="2412" customFormat="false" ht="15" hidden="false" customHeight="true" outlineLevel="0" collapsed="false">
      <c r="B2412" s="87" t="s">
        <v>976</v>
      </c>
      <c r="C2412" s="88"/>
      <c r="D2412" s="89" t="n">
        <v>6618</v>
      </c>
      <c r="E2412" s="89" t="n">
        <v>885</v>
      </c>
      <c r="F2412" s="89" t="n">
        <v>20</v>
      </c>
      <c r="G2412" s="90"/>
      <c r="H2412" s="91" t="n">
        <v>7523</v>
      </c>
    </row>
    <row r="2413" customFormat="false" ht="15" hidden="false" customHeight="true" outlineLevel="0" collapsed="false">
      <c r="B2413" s="56" t="n">
        <v>45915</v>
      </c>
      <c r="C2413" s="57" t="s">
        <v>53</v>
      </c>
      <c r="D2413" s="58"/>
      <c r="E2413" s="59"/>
      <c r="F2413" s="60" t="n">
        <v>1200</v>
      </c>
      <c r="G2413" s="61"/>
      <c r="H2413" s="62" t="n">
        <v>1200</v>
      </c>
    </row>
    <row r="2414" customFormat="false" ht="15" hidden="false" customHeight="true" outlineLevel="0" collapsed="false">
      <c r="B2414" s="64"/>
      <c r="C2414" s="65" t="s">
        <v>47</v>
      </c>
      <c r="D2414" s="66" t="n">
        <v>900</v>
      </c>
      <c r="E2414" s="67"/>
      <c r="F2414" s="67"/>
      <c r="G2414" s="68"/>
      <c r="H2414" s="69" t="n">
        <v>900</v>
      </c>
    </row>
    <row r="2415" customFormat="false" ht="15" hidden="false" customHeight="true" outlineLevel="0" collapsed="false">
      <c r="B2415" s="64"/>
      <c r="C2415" s="65" t="s">
        <v>19</v>
      </c>
      <c r="D2415" s="66" t="n">
        <v>2346</v>
      </c>
      <c r="E2415" s="67"/>
      <c r="F2415" s="67"/>
      <c r="G2415" s="68"/>
      <c r="H2415" s="69" t="n">
        <v>2346</v>
      </c>
    </row>
    <row r="2416" customFormat="false" ht="15" hidden="false" customHeight="true" outlineLevel="0" collapsed="false">
      <c r="B2416" s="64"/>
      <c r="C2416" s="65" t="s">
        <v>25</v>
      </c>
      <c r="D2416" s="66" t="n">
        <v>969</v>
      </c>
      <c r="E2416" s="67"/>
      <c r="F2416" s="67"/>
      <c r="G2416" s="68"/>
      <c r="H2416" s="69" t="n">
        <v>969</v>
      </c>
    </row>
    <row r="2417" customFormat="false" ht="15" hidden="false" customHeight="true" outlineLevel="0" collapsed="false">
      <c r="B2417" s="64"/>
      <c r="C2417" s="65" t="s">
        <v>51</v>
      </c>
      <c r="D2417" s="73"/>
      <c r="E2417" s="71" t="n">
        <v>180</v>
      </c>
      <c r="F2417" s="67"/>
      <c r="G2417" s="68"/>
      <c r="H2417" s="69" t="n">
        <v>180</v>
      </c>
    </row>
    <row r="2418" customFormat="false" ht="15" hidden="false" customHeight="true" outlineLevel="0" collapsed="false">
      <c r="B2418" s="64"/>
      <c r="C2418" s="65" t="s">
        <v>36</v>
      </c>
      <c r="D2418" s="73"/>
      <c r="E2418" s="71" t="n">
        <v>210</v>
      </c>
      <c r="F2418" s="67"/>
      <c r="G2418" s="68"/>
      <c r="H2418" s="69" t="n">
        <v>210</v>
      </c>
    </row>
    <row r="2419" customFormat="false" ht="15" hidden="false" customHeight="true" outlineLevel="0" collapsed="false">
      <c r="B2419" s="64"/>
      <c r="C2419" s="65" t="s">
        <v>50</v>
      </c>
      <c r="D2419" s="66" t="n">
        <v>1593</v>
      </c>
      <c r="E2419" s="67"/>
      <c r="F2419" s="67"/>
      <c r="G2419" s="68"/>
      <c r="H2419" s="69" t="n">
        <v>1593</v>
      </c>
    </row>
    <row r="2420" customFormat="false" ht="15" hidden="false" customHeight="true" outlineLevel="0" collapsed="false">
      <c r="B2420" s="64"/>
      <c r="C2420" s="65" t="s">
        <v>37</v>
      </c>
      <c r="D2420" s="73"/>
      <c r="E2420" s="67"/>
      <c r="F2420" s="71" t="n">
        <v>15</v>
      </c>
      <c r="G2420" s="68"/>
      <c r="H2420" s="69" t="n">
        <v>15</v>
      </c>
    </row>
    <row r="2421" customFormat="false" ht="15" hidden="false" customHeight="true" outlineLevel="0" collapsed="false">
      <c r="B2421" s="64"/>
      <c r="C2421" s="65" t="s">
        <v>31</v>
      </c>
      <c r="D2421" s="73"/>
      <c r="E2421" s="71" t="n">
        <v>150</v>
      </c>
      <c r="F2421" s="67"/>
      <c r="G2421" s="68"/>
      <c r="H2421" s="69" t="n">
        <v>150</v>
      </c>
    </row>
    <row r="2422" customFormat="false" ht="15" hidden="false" customHeight="true" outlineLevel="0" collapsed="false">
      <c r="B2422" s="64"/>
      <c r="C2422" s="65" t="s">
        <v>56</v>
      </c>
      <c r="D2422" s="73"/>
      <c r="E2422" s="71" t="n">
        <v>4870</v>
      </c>
      <c r="F2422" s="67"/>
      <c r="G2422" s="68"/>
      <c r="H2422" s="69" t="n">
        <v>4870</v>
      </c>
    </row>
    <row r="2423" customFormat="false" ht="15" hidden="false" customHeight="true" outlineLevel="0" collapsed="false">
      <c r="B2423" s="84"/>
      <c r="C2423" s="85" t="s">
        <v>29</v>
      </c>
      <c r="D2423" s="86" t="n">
        <v>368</v>
      </c>
      <c r="E2423" s="75"/>
      <c r="F2423" s="76" t="n">
        <v>10</v>
      </c>
      <c r="G2423" s="77"/>
      <c r="H2423" s="78" t="n">
        <v>378</v>
      </c>
    </row>
    <row r="2424" customFormat="false" ht="15" hidden="false" customHeight="true" outlineLevel="0" collapsed="false">
      <c r="B2424" s="87" t="s">
        <v>977</v>
      </c>
      <c r="C2424" s="88"/>
      <c r="D2424" s="89" t="n">
        <v>6176</v>
      </c>
      <c r="E2424" s="89" t="n">
        <v>5410</v>
      </c>
      <c r="F2424" s="89" t="n">
        <v>1225</v>
      </c>
      <c r="G2424" s="90"/>
      <c r="H2424" s="91" t="n">
        <v>12811</v>
      </c>
    </row>
    <row r="2425" customFormat="false" ht="15" hidden="false" customHeight="true" outlineLevel="0" collapsed="false">
      <c r="B2425" s="56" t="n">
        <v>45916</v>
      </c>
      <c r="C2425" s="57" t="s">
        <v>19</v>
      </c>
      <c r="D2425" s="92" t="n">
        <v>2396</v>
      </c>
      <c r="E2425" s="59"/>
      <c r="F2425" s="59"/>
      <c r="G2425" s="61"/>
      <c r="H2425" s="62" t="n">
        <v>2396</v>
      </c>
    </row>
    <row r="2426" customFormat="false" ht="15" hidden="false" customHeight="true" outlineLevel="0" collapsed="false">
      <c r="B2426" s="64"/>
      <c r="C2426" s="65" t="s">
        <v>25</v>
      </c>
      <c r="D2426" s="66" t="n">
        <v>550</v>
      </c>
      <c r="E2426" s="67"/>
      <c r="F2426" s="67"/>
      <c r="G2426" s="68"/>
      <c r="H2426" s="69" t="n">
        <v>550</v>
      </c>
    </row>
    <row r="2427" customFormat="false" ht="15" hidden="false" customHeight="true" outlineLevel="0" collapsed="false">
      <c r="B2427" s="64"/>
      <c r="C2427" s="65" t="s">
        <v>51</v>
      </c>
      <c r="D2427" s="66" t="n">
        <v>2060</v>
      </c>
      <c r="E2427" s="67"/>
      <c r="F2427" s="67"/>
      <c r="G2427" s="68"/>
      <c r="H2427" s="69" t="n">
        <v>2060</v>
      </c>
    </row>
    <row r="2428" customFormat="false" ht="15" hidden="false" customHeight="true" outlineLevel="0" collapsed="false">
      <c r="B2428" s="64"/>
      <c r="C2428" s="65" t="s">
        <v>31</v>
      </c>
      <c r="D2428" s="73"/>
      <c r="E2428" s="67"/>
      <c r="F2428" s="71" t="n">
        <v>300</v>
      </c>
      <c r="G2428" s="68"/>
      <c r="H2428" s="69" t="n">
        <v>300</v>
      </c>
    </row>
    <row r="2429" customFormat="false" ht="15" hidden="false" customHeight="true" outlineLevel="0" collapsed="false">
      <c r="B2429" s="64"/>
      <c r="C2429" s="65" t="s">
        <v>202</v>
      </c>
      <c r="D2429" s="73"/>
      <c r="E2429" s="71" t="n">
        <v>1055</v>
      </c>
      <c r="F2429" s="67"/>
      <c r="G2429" s="68"/>
      <c r="H2429" s="69" t="n">
        <v>1055</v>
      </c>
    </row>
    <row r="2430" customFormat="false" ht="15" hidden="false" customHeight="true" outlineLevel="0" collapsed="false">
      <c r="B2430" s="64"/>
      <c r="C2430" s="65" t="s">
        <v>56</v>
      </c>
      <c r="D2430" s="73"/>
      <c r="E2430" s="67"/>
      <c r="F2430" s="71" t="n">
        <v>1400</v>
      </c>
      <c r="G2430" s="68"/>
      <c r="H2430" s="69" t="n">
        <v>1400</v>
      </c>
    </row>
    <row r="2431" customFormat="false" ht="15" hidden="false" customHeight="true" outlineLevel="0" collapsed="false">
      <c r="B2431" s="64"/>
      <c r="C2431" s="65" t="s">
        <v>34</v>
      </c>
      <c r="D2431" s="73"/>
      <c r="E2431" s="67"/>
      <c r="F2431" s="71" t="n">
        <v>26</v>
      </c>
      <c r="G2431" s="68"/>
      <c r="H2431" s="69" t="n">
        <v>26</v>
      </c>
    </row>
    <row r="2432" customFormat="false" ht="15" hidden="false" customHeight="true" outlineLevel="0" collapsed="false">
      <c r="B2432" s="84"/>
      <c r="C2432" s="85" t="s">
        <v>29</v>
      </c>
      <c r="D2432" s="86" t="n">
        <v>221</v>
      </c>
      <c r="E2432" s="75"/>
      <c r="F2432" s="76" t="n">
        <v>600</v>
      </c>
      <c r="G2432" s="77"/>
      <c r="H2432" s="78" t="n">
        <v>821</v>
      </c>
    </row>
    <row r="2433" customFormat="false" ht="15" hidden="false" customHeight="true" outlineLevel="0" collapsed="false">
      <c r="B2433" s="87" t="s">
        <v>978</v>
      </c>
      <c r="C2433" s="88"/>
      <c r="D2433" s="89" t="n">
        <v>5227</v>
      </c>
      <c r="E2433" s="89" t="n">
        <v>1055</v>
      </c>
      <c r="F2433" s="89" t="n">
        <v>2326</v>
      </c>
      <c r="G2433" s="90"/>
      <c r="H2433" s="91" t="n">
        <v>8608</v>
      </c>
    </row>
    <row r="2434" customFormat="false" ht="15" hidden="false" customHeight="true" outlineLevel="0" collapsed="false">
      <c r="B2434" s="56" t="n">
        <v>45917</v>
      </c>
      <c r="C2434" s="57" t="s">
        <v>47</v>
      </c>
      <c r="D2434" s="92" t="n">
        <v>1800</v>
      </c>
      <c r="E2434" s="59"/>
      <c r="F2434" s="59"/>
      <c r="G2434" s="61"/>
      <c r="H2434" s="62" t="n">
        <v>1800</v>
      </c>
    </row>
    <row r="2435" customFormat="false" ht="15" hidden="false" customHeight="true" outlineLevel="0" collapsed="false">
      <c r="B2435" s="64"/>
      <c r="C2435" s="65" t="s">
        <v>19</v>
      </c>
      <c r="D2435" s="66" t="n">
        <v>3737</v>
      </c>
      <c r="E2435" s="67"/>
      <c r="F2435" s="67"/>
      <c r="G2435" s="68"/>
      <c r="H2435" s="69" t="n">
        <v>3737</v>
      </c>
    </row>
    <row r="2436" customFormat="false" ht="15" hidden="false" customHeight="true" outlineLevel="0" collapsed="false">
      <c r="B2436" s="64"/>
      <c r="C2436" s="65" t="s">
        <v>25</v>
      </c>
      <c r="D2436" s="66" t="n">
        <v>1528</v>
      </c>
      <c r="E2436" s="67"/>
      <c r="F2436" s="67"/>
      <c r="G2436" s="68"/>
      <c r="H2436" s="69" t="n">
        <v>1528</v>
      </c>
    </row>
    <row r="2437" customFormat="false" ht="15" hidden="false" customHeight="true" outlineLevel="0" collapsed="false">
      <c r="B2437" s="64"/>
      <c r="C2437" s="65" t="s">
        <v>50</v>
      </c>
      <c r="D2437" s="66" t="n">
        <v>1593</v>
      </c>
      <c r="E2437" s="67"/>
      <c r="F2437" s="67"/>
      <c r="G2437" s="68"/>
      <c r="H2437" s="69" t="n">
        <v>1593</v>
      </c>
    </row>
    <row r="2438" customFormat="false" ht="15" hidden="false" customHeight="true" outlineLevel="0" collapsed="false">
      <c r="B2438" s="64"/>
      <c r="C2438" s="65" t="s">
        <v>22</v>
      </c>
      <c r="D2438" s="66" t="n">
        <v>1400</v>
      </c>
      <c r="E2438" s="67"/>
      <c r="F2438" s="67"/>
      <c r="G2438" s="68"/>
      <c r="H2438" s="69" t="n">
        <v>1400</v>
      </c>
    </row>
    <row r="2439" customFormat="false" ht="15" hidden="false" customHeight="true" outlineLevel="0" collapsed="false">
      <c r="B2439" s="64"/>
      <c r="C2439" s="65" t="s">
        <v>40</v>
      </c>
      <c r="D2439" s="66" t="n">
        <v>1480</v>
      </c>
      <c r="E2439" s="67"/>
      <c r="F2439" s="67"/>
      <c r="G2439" s="68"/>
      <c r="H2439" s="69" t="n">
        <v>1480</v>
      </c>
    </row>
    <row r="2440" customFormat="false" ht="15" hidden="false" customHeight="true" outlineLevel="0" collapsed="false">
      <c r="B2440" s="64"/>
      <c r="C2440" s="65" t="s">
        <v>34</v>
      </c>
      <c r="D2440" s="73"/>
      <c r="E2440" s="71" t="n">
        <v>100</v>
      </c>
      <c r="F2440" s="67"/>
      <c r="G2440" s="68"/>
      <c r="H2440" s="69" t="n">
        <v>100</v>
      </c>
    </row>
    <row r="2441" customFormat="false" ht="15" hidden="false" customHeight="true" outlineLevel="0" collapsed="false">
      <c r="B2441" s="64"/>
      <c r="C2441" s="65" t="s">
        <v>29</v>
      </c>
      <c r="D2441" s="66" t="n">
        <v>364</v>
      </c>
      <c r="E2441" s="67"/>
      <c r="F2441" s="67"/>
      <c r="G2441" s="68"/>
      <c r="H2441" s="69" t="n">
        <v>364</v>
      </c>
    </row>
    <row r="2442" customFormat="false" ht="15" hidden="false" customHeight="true" outlineLevel="0" collapsed="false">
      <c r="B2442" s="84"/>
      <c r="C2442" s="85" t="s">
        <v>197</v>
      </c>
      <c r="D2442" s="74"/>
      <c r="E2442" s="75"/>
      <c r="F2442" s="76" t="n">
        <v>1000</v>
      </c>
      <c r="G2442" s="77"/>
      <c r="H2442" s="78" t="n">
        <v>1000</v>
      </c>
    </row>
    <row r="2443" customFormat="false" ht="15" hidden="false" customHeight="true" outlineLevel="0" collapsed="false">
      <c r="B2443" s="87" t="s">
        <v>979</v>
      </c>
      <c r="C2443" s="88"/>
      <c r="D2443" s="89" t="n">
        <v>11902</v>
      </c>
      <c r="E2443" s="89" t="n">
        <v>100</v>
      </c>
      <c r="F2443" s="89" t="n">
        <v>1000</v>
      </c>
      <c r="G2443" s="90"/>
      <c r="H2443" s="91" t="n">
        <v>13002</v>
      </c>
    </row>
    <row r="2444" customFormat="false" ht="15" hidden="false" customHeight="true" outlineLevel="0" collapsed="false">
      <c r="B2444" s="56" t="n">
        <v>45918</v>
      </c>
      <c r="C2444" s="57" t="s">
        <v>32</v>
      </c>
      <c r="D2444" s="58"/>
      <c r="E2444" s="59"/>
      <c r="F2444" s="60" t="n">
        <v>125</v>
      </c>
      <c r="G2444" s="61"/>
      <c r="H2444" s="62" t="n">
        <v>125</v>
      </c>
    </row>
    <row r="2445" customFormat="false" ht="15" hidden="false" customHeight="true" outlineLevel="0" collapsed="false">
      <c r="B2445" s="64"/>
      <c r="C2445" s="65" t="s">
        <v>19</v>
      </c>
      <c r="D2445" s="66" t="n">
        <v>3207</v>
      </c>
      <c r="E2445" s="67"/>
      <c r="F2445" s="67"/>
      <c r="G2445" s="68"/>
      <c r="H2445" s="69" t="n">
        <v>3207</v>
      </c>
    </row>
    <row r="2446" customFormat="false" ht="15" hidden="false" customHeight="true" outlineLevel="0" collapsed="false">
      <c r="B2446" s="64"/>
      <c r="C2446" s="65" t="s">
        <v>25</v>
      </c>
      <c r="D2446" s="66" t="n">
        <v>1205</v>
      </c>
      <c r="E2446" s="67"/>
      <c r="F2446" s="67"/>
      <c r="G2446" s="68"/>
      <c r="H2446" s="69" t="n">
        <v>1205</v>
      </c>
    </row>
    <row r="2447" customFormat="false" ht="15" hidden="false" customHeight="true" outlineLevel="0" collapsed="false">
      <c r="B2447" s="64"/>
      <c r="C2447" s="65" t="s">
        <v>28</v>
      </c>
      <c r="D2447" s="73"/>
      <c r="E2447" s="67"/>
      <c r="F2447" s="71" t="n">
        <v>355</v>
      </c>
      <c r="G2447" s="68"/>
      <c r="H2447" s="69" t="n">
        <v>355</v>
      </c>
    </row>
    <row r="2448" customFormat="false" ht="15" hidden="false" customHeight="true" outlineLevel="0" collapsed="false">
      <c r="B2448" s="64"/>
      <c r="C2448" s="65" t="s">
        <v>50</v>
      </c>
      <c r="D2448" s="66" t="n">
        <v>1593</v>
      </c>
      <c r="E2448" s="67"/>
      <c r="F2448" s="67"/>
      <c r="G2448" s="68"/>
      <c r="H2448" s="69" t="n">
        <v>1593</v>
      </c>
    </row>
    <row r="2449" customFormat="false" ht="15" hidden="false" customHeight="true" outlineLevel="0" collapsed="false">
      <c r="B2449" s="64"/>
      <c r="C2449" s="65" t="s">
        <v>31</v>
      </c>
      <c r="D2449" s="73"/>
      <c r="E2449" s="67"/>
      <c r="F2449" s="71" t="n">
        <v>310</v>
      </c>
      <c r="G2449" s="68"/>
      <c r="H2449" s="69" t="n">
        <v>310</v>
      </c>
    </row>
    <row r="2450" customFormat="false" ht="15" hidden="false" customHeight="true" outlineLevel="0" collapsed="false">
      <c r="B2450" s="64"/>
      <c r="C2450" s="65" t="s">
        <v>34</v>
      </c>
      <c r="D2450" s="73"/>
      <c r="E2450" s="67"/>
      <c r="F2450" s="71" t="n">
        <v>140</v>
      </c>
      <c r="G2450" s="68"/>
      <c r="H2450" s="69" t="n">
        <v>140</v>
      </c>
    </row>
    <row r="2451" customFormat="false" ht="15" hidden="false" customHeight="true" outlineLevel="0" collapsed="false">
      <c r="B2451" s="84"/>
      <c r="C2451" s="85" t="s">
        <v>29</v>
      </c>
      <c r="D2451" s="86" t="n">
        <v>597</v>
      </c>
      <c r="E2451" s="75"/>
      <c r="F2451" s="76" t="n">
        <v>350</v>
      </c>
      <c r="G2451" s="77"/>
      <c r="H2451" s="78" t="n">
        <v>947</v>
      </c>
    </row>
    <row r="2452" customFormat="false" ht="15" hidden="false" customHeight="true" outlineLevel="0" collapsed="false">
      <c r="B2452" s="87" t="s">
        <v>980</v>
      </c>
      <c r="C2452" s="88"/>
      <c r="D2452" s="89" t="n">
        <v>6602</v>
      </c>
      <c r="E2452" s="90"/>
      <c r="F2452" s="89" t="n">
        <v>1280</v>
      </c>
      <c r="G2452" s="90"/>
      <c r="H2452" s="91" t="n">
        <v>7882</v>
      </c>
    </row>
    <row r="2453" customFormat="false" ht="15" hidden="false" customHeight="true" outlineLevel="0" collapsed="false">
      <c r="B2453" s="56" t="n">
        <v>45919</v>
      </c>
      <c r="C2453" s="57" t="s">
        <v>32</v>
      </c>
      <c r="D2453" s="58"/>
      <c r="E2453" s="59"/>
      <c r="F2453" s="60" t="n">
        <v>100</v>
      </c>
      <c r="G2453" s="61"/>
      <c r="H2453" s="62" t="n">
        <v>100</v>
      </c>
    </row>
    <row r="2454" customFormat="false" ht="15" hidden="false" customHeight="true" outlineLevel="0" collapsed="false">
      <c r="B2454" s="64"/>
      <c r="C2454" s="65" t="s">
        <v>47</v>
      </c>
      <c r="D2454" s="66" t="n">
        <v>900</v>
      </c>
      <c r="E2454" s="67"/>
      <c r="F2454" s="67"/>
      <c r="G2454" s="68"/>
      <c r="H2454" s="69" t="n">
        <v>900</v>
      </c>
    </row>
    <row r="2455" customFormat="false" ht="15" hidden="false" customHeight="true" outlineLevel="0" collapsed="false">
      <c r="B2455" s="64"/>
      <c r="C2455" s="65" t="s">
        <v>19</v>
      </c>
      <c r="D2455" s="66" t="n">
        <v>2180</v>
      </c>
      <c r="E2455" s="67"/>
      <c r="F2455" s="67"/>
      <c r="G2455" s="68"/>
      <c r="H2455" s="69" t="n">
        <v>2180</v>
      </c>
    </row>
    <row r="2456" customFormat="false" ht="15" hidden="false" customHeight="true" outlineLevel="0" collapsed="false">
      <c r="B2456" s="64"/>
      <c r="C2456" s="65" t="s">
        <v>25</v>
      </c>
      <c r="D2456" s="66" t="n">
        <v>789</v>
      </c>
      <c r="E2456" s="71" t="n">
        <v>280</v>
      </c>
      <c r="F2456" s="67"/>
      <c r="G2456" s="68"/>
      <c r="H2456" s="69" t="n">
        <v>1069</v>
      </c>
    </row>
    <row r="2457" customFormat="false" ht="15" hidden="false" customHeight="true" outlineLevel="0" collapsed="false">
      <c r="B2457" s="64"/>
      <c r="C2457" s="65" t="s">
        <v>51</v>
      </c>
      <c r="D2457" s="73"/>
      <c r="E2457" s="67"/>
      <c r="F2457" s="71" t="n">
        <v>490</v>
      </c>
      <c r="G2457" s="68"/>
      <c r="H2457" s="69" t="n">
        <v>490</v>
      </c>
    </row>
    <row r="2458" customFormat="false" ht="15" hidden="false" customHeight="true" outlineLevel="0" collapsed="false">
      <c r="B2458" s="64"/>
      <c r="C2458" s="65" t="s">
        <v>36</v>
      </c>
      <c r="D2458" s="73"/>
      <c r="E2458" s="71" t="n">
        <v>30</v>
      </c>
      <c r="F2458" s="67"/>
      <c r="G2458" s="68"/>
      <c r="H2458" s="69" t="n">
        <v>30</v>
      </c>
    </row>
    <row r="2459" customFormat="false" ht="15" hidden="false" customHeight="true" outlineLevel="0" collapsed="false">
      <c r="B2459" s="64"/>
      <c r="C2459" s="65" t="s">
        <v>69</v>
      </c>
      <c r="D2459" s="73"/>
      <c r="E2459" s="67"/>
      <c r="F2459" s="71" t="n">
        <v>700</v>
      </c>
      <c r="G2459" s="68"/>
      <c r="H2459" s="69" t="n">
        <v>700</v>
      </c>
    </row>
    <row r="2460" customFormat="false" ht="15" hidden="false" customHeight="true" outlineLevel="0" collapsed="false">
      <c r="B2460" s="64"/>
      <c r="C2460" s="65" t="s">
        <v>50</v>
      </c>
      <c r="D2460" s="66" t="n">
        <v>1593</v>
      </c>
      <c r="E2460" s="67"/>
      <c r="F2460" s="67"/>
      <c r="G2460" s="68"/>
      <c r="H2460" s="69" t="n">
        <v>1593</v>
      </c>
    </row>
    <row r="2461" customFormat="false" ht="15" hidden="false" customHeight="true" outlineLevel="0" collapsed="false">
      <c r="B2461" s="64"/>
      <c r="C2461" s="65" t="s">
        <v>22</v>
      </c>
      <c r="D2461" s="73"/>
      <c r="E2461" s="67"/>
      <c r="F2461" s="71" t="n">
        <v>365</v>
      </c>
      <c r="G2461" s="68"/>
      <c r="H2461" s="69" t="n">
        <v>365</v>
      </c>
    </row>
    <row r="2462" customFormat="false" ht="15" hidden="false" customHeight="true" outlineLevel="0" collapsed="false">
      <c r="B2462" s="64"/>
      <c r="C2462" s="65" t="s">
        <v>43</v>
      </c>
      <c r="D2462" s="73"/>
      <c r="E2462" s="71" t="n">
        <v>1200</v>
      </c>
      <c r="F2462" s="67"/>
      <c r="G2462" s="68"/>
      <c r="H2462" s="69" t="n">
        <v>1200</v>
      </c>
    </row>
    <row r="2463" customFormat="false" ht="15" hidden="false" customHeight="true" outlineLevel="0" collapsed="false">
      <c r="B2463" s="64"/>
      <c r="C2463" s="65" t="s">
        <v>40</v>
      </c>
      <c r="D2463" s="73"/>
      <c r="E2463" s="71" t="n">
        <v>1560</v>
      </c>
      <c r="F2463" s="67"/>
      <c r="G2463" s="68"/>
      <c r="H2463" s="69" t="n">
        <v>1560</v>
      </c>
    </row>
    <row r="2464" customFormat="false" ht="15" hidden="false" customHeight="true" outlineLevel="0" collapsed="false">
      <c r="B2464" s="64"/>
      <c r="C2464" s="65" t="s">
        <v>34</v>
      </c>
      <c r="D2464" s="73"/>
      <c r="E2464" s="67"/>
      <c r="F2464" s="71" t="n">
        <v>200</v>
      </c>
      <c r="G2464" s="68"/>
      <c r="H2464" s="69" t="n">
        <v>200</v>
      </c>
    </row>
    <row r="2465" customFormat="false" ht="15" hidden="false" customHeight="true" outlineLevel="0" collapsed="false">
      <c r="B2465" s="84"/>
      <c r="C2465" s="85" t="s">
        <v>29</v>
      </c>
      <c r="D2465" s="86" t="n">
        <v>467</v>
      </c>
      <c r="E2465" s="75"/>
      <c r="F2465" s="75"/>
      <c r="G2465" s="77"/>
      <c r="H2465" s="78" t="n">
        <v>467</v>
      </c>
    </row>
    <row r="2466" customFormat="false" ht="15" hidden="false" customHeight="true" outlineLevel="0" collapsed="false">
      <c r="B2466" s="87" t="s">
        <v>981</v>
      </c>
      <c r="C2466" s="88"/>
      <c r="D2466" s="89" t="n">
        <v>5929</v>
      </c>
      <c r="E2466" s="89" t="n">
        <v>3070</v>
      </c>
      <c r="F2466" s="89" t="n">
        <v>1855</v>
      </c>
      <c r="G2466" s="90"/>
      <c r="H2466" s="91" t="n">
        <v>10854</v>
      </c>
    </row>
    <row r="2467" customFormat="false" ht="15" hidden="false" customHeight="true" outlineLevel="0" collapsed="false">
      <c r="B2467" s="56" t="n">
        <v>45920</v>
      </c>
      <c r="C2467" s="57" t="s">
        <v>32</v>
      </c>
      <c r="D2467" s="58"/>
      <c r="E2467" s="59"/>
      <c r="F2467" s="60" t="n">
        <v>125</v>
      </c>
      <c r="G2467" s="61"/>
      <c r="H2467" s="62" t="n">
        <v>125</v>
      </c>
    </row>
    <row r="2468" customFormat="false" ht="15" hidden="false" customHeight="true" outlineLevel="0" collapsed="false">
      <c r="B2468" s="64"/>
      <c r="C2468" s="65" t="s">
        <v>53</v>
      </c>
      <c r="D2468" s="73"/>
      <c r="E2468" s="71" t="n">
        <v>4080</v>
      </c>
      <c r="F2468" s="67"/>
      <c r="G2468" s="68"/>
      <c r="H2468" s="69" t="n">
        <v>4080</v>
      </c>
    </row>
    <row r="2469" customFormat="false" ht="15" hidden="false" customHeight="true" outlineLevel="0" collapsed="false">
      <c r="B2469" s="64"/>
      <c r="C2469" s="65" t="s">
        <v>19</v>
      </c>
      <c r="D2469" s="66" t="n">
        <v>6966</v>
      </c>
      <c r="E2469" s="67"/>
      <c r="F2469" s="67"/>
      <c r="G2469" s="68"/>
      <c r="H2469" s="69" t="n">
        <v>6966</v>
      </c>
    </row>
    <row r="2470" customFormat="false" ht="15" hidden="false" customHeight="true" outlineLevel="0" collapsed="false">
      <c r="B2470" s="64"/>
      <c r="C2470" s="65" t="s">
        <v>25</v>
      </c>
      <c r="D2470" s="66" t="n">
        <v>1038</v>
      </c>
      <c r="E2470" s="67"/>
      <c r="F2470" s="67"/>
      <c r="G2470" s="68"/>
      <c r="H2470" s="69" t="n">
        <v>1038</v>
      </c>
    </row>
    <row r="2471" customFormat="false" ht="15" hidden="false" customHeight="true" outlineLevel="0" collapsed="false">
      <c r="B2471" s="64"/>
      <c r="C2471" s="65" t="s">
        <v>51</v>
      </c>
      <c r="D2471" s="66" t="n">
        <v>500</v>
      </c>
      <c r="E2471" s="67"/>
      <c r="F2471" s="67"/>
      <c r="G2471" s="68"/>
      <c r="H2471" s="69" t="n">
        <v>500</v>
      </c>
    </row>
    <row r="2472" customFormat="false" ht="15" hidden="false" customHeight="true" outlineLevel="0" collapsed="false">
      <c r="B2472" s="64"/>
      <c r="C2472" s="65" t="s">
        <v>28</v>
      </c>
      <c r="D2472" s="73"/>
      <c r="E2472" s="67"/>
      <c r="F2472" s="71" t="n">
        <v>355</v>
      </c>
      <c r="G2472" s="68"/>
      <c r="H2472" s="69" t="n">
        <v>355</v>
      </c>
    </row>
    <row r="2473" customFormat="false" ht="15" hidden="false" customHeight="true" outlineLevel="0" collapsed="false">
      <c r="B2473" s="64"/>
      <c r="C2473" s="65" t="s">
        <v>36</v>
      </c>
      <c r="D2473" s="73"/>
      <c r="E2473" s="67"/>
      <c r="F2473" s="71" t="n">
        <v>120</v>
      </c>
      <c r="G2473" s="68"/>
      <c r="H2473" s="69" t="n">
        <v>120</v>
      </c>
    </row>
    <row r="2474" customFormat="false" ht="15" hidden="false" customHeight="true" outlineLevel="0" collapsed="false">
      <c r="B2474" s="64"/>
      <c r="C2474" s="65" t="s">
        <v>50</v>
      </c>
      <c r="D2474" s="66" t="n">
        <v>1593</v>
      </c>
      <c r="E2474" s="67"/>
      <c r="F2474" s="67"/>
      <c r="G2474" s="68"/>
      <c r="H2474" s="69" t="n">
        <v>1593</v>
      </c>
    </row>
    <row r="2475" customFormat="false" ht="15" hidden="false" customHeight="true" outlineLevel="0" collapsed="false">
      <c r="B2475" s="64"/>
      <c r="C2475" s="65" t="s">
        <v>22</v>
      </c>
      <c r="D2475" s="73"/>
      <c r="E2475" s="67"/>
      <c r="F2475" s="71" t="n">
        <v>110</v>
      </c>
      <c r="G2475" s="68"/>
      <c r="H2475" s="69" t="n">
        <v>110</v>
      </c>
    </row>
    <row r="2476" customFormat="false" ht="15" hidden="false" customHeight="true" outlineLevel="0" collapsed="false">
      <c r="B2476" s="64"/>
      <c r="C2476" s="65" t="s">
        <v>31</v>
      </c>
      <c r="D2476" s="73"/>
      <c r="E2476" s="67"/>
      <c r="F2476" s="71" t="n">
        <v>310</v>
      </c>
      <c r="G2476" s="68"/>
      <c r="H2476" s="69" t="n">
        <v>310</v>
      </c>
    </row>
    <row r="2477" customFormat="false" ht="15" hidden="false" customHeight="true" outlineLevel="0" collapsed="false">
      <c r="B2477" s="64"/>
      <c r="C2477" s="65" t="s">
        <v>34</v>
      </c>
      <c r="D2477" s="73"/>
      <c r="E2477" s="67"/>
      <c r="F2477" s="71" t="n">
        <v>164</v>
      </c>
      <c r="G2477" s="68"/>
      <c r="H2477" s="69" t="n">
        <v>164</v>
      </c>
    </row>
    <row r="2478" customFormat="false" ht="15" hidden="false" customHeight="true" outlineLevel="0" collapsed="false">
      <c r="B2478" s="84"/>
      <c r="C2478" s="85" t="s">
        <v>29</v>
      </c>
      <c r="D2478" s="86" t="n">
        <v>1148</v>
      </c>
      <c r="E2478" s="75"/>
      <c r="F2478" s="76" t="n">
        <v>200</v>
      </c>
      <c r="G2478" s="77"/>
      <c r="H2478" s="78" t="n">
        <v>1348</v>
      </c>
    </row>
    <row r="2479" customFormat="false" ht="15" hidden="false" customHeight="true" outlineLevel="0" collapsed="false">
      <c r="B2479" s="87" t="s">
        <v>982</v>
      </c>
      <c r="C2479" s="88"/>
      <c r="D2479" s="89" t="n">
        <v>11245</v>
      </c>
      <c r="E2479" s="89" t="n">
        <v>4080</v>
      </c>
      <c r="F2479" s="89" t="n">
        <v>1384</v>
      </c>
      <c r="G2479" s="90"/>
      <c r="H2479" s="91" t="n">
        <v>16709</v>
      </c>
    </row>
    <row r="2480" customFormat="false" ht="15" hidden="false" customHeight="true" outlineLevel="0" collapsed="false">
      <c r="B2480" s="56" t="n">
        <v>45921</v>
      </c>
      <c r="C2480" s="57" t="s">
        <v>44</v>
      </c>
      <c r="D2480" s="58"/>
      <c r="E2480" s="59"/>
      <c r="F2480" s="60" t="n">
        <v>600</v>
      </c>
      <c r="G2480" s="61"/>
      <c r="H2480" s="62" t="n">
        <v>600</v>
      </c>
    </row>
    <row r="2481" customFormat="false" ht="15" hidden="false" customHeight="true" outlineLevel="0" collapsed="false">
      <c r="B2481" s="64"/>
      <c r="C2481" s="65" t="s">
        <v>32</v>
      </c>
      <c r="D2481" s="73"/>
      <c r="E2481" s="67"/>
      <c r="F2481" s="71" t="n">
        <v>275</v>
      </c>
      <c r="G2481" s="68"/>
      <c r="H2481" s="69" t="n">
        <v>275</v>
      </c>
    </row>
    <row r="2482" customFormat="false" ht="15" hidden="false" customHeight="true" outlineLevel="0" collapsed="false">
      <c r="B2482" s="64"/>
      <c r="C2482" s="65" t="s">
        <v>53</v>
      </c>
      <c r="D2482" s="73"/>
      <c r="E2482" s="71" t="n">
        <v>475</v>
      </c>
      <c r="F2482" s="67"/>
      <c r="G2482" s="68"/>
      <c r="H2482" s="69" t="n">
        <v>475</v>
      </c>
    </row>
    <row r="2483" customFormat="false" ht="15" hidden="false" customHeight="true" outlineLevel="0" collapsed="false">
      <c r="B2483" s="64"/>
      <c r="C2483" s="65" t="s">
        <v>19</v>
      </c>
      <c r="D2483" s="66" t="n">
        <v>2695</v>
      </c>
      <c r="E2483" s="67"/>
      <c r="F2483" s="67"/>
      <c r="G2483" s="68"/>
      <c r="H2483" s="69" t="n">
        <v>2695</v>
      </c>
    </row>
    <row r="2484" customFormat="false" ht="15" hidden="false" customHeight="true" outlineLevel="0" collapsed="false">
      <c r="B2484" s="64"/>
      <c r="C2484" s="65" t="s">
        <v>25</v>
      </c>
      <c r="D2484" s="66" t="n">
        <v>1585</v>
      </c>
      <c r="E2484" s="67"/>
      <c r="F2484" s="67"/>
      <c r="G2484" s="68"/>
      <c r="H2484" s="69" t="n">
        <v>1585</v>
      </c>
    </row>
    <row r="2485" customFormat="false" ht="15" hidden="false" customHeight="true" outlineLevel="0" collapsed="false">
      <c r="B2485" s="64"/>
      <c r="C2485" s="65" t="s">
        <v>51</v>
      </c>
      <c r="D2485" s="66" t="n">
        <v>350</v>
      </c>
      <c r="E2485" s="67"/>
      <c r="F2485" s="67"/>
      <c r="G2485" s="68"/>
      <c r="H2485" s="69" t="n">
        <v>350</v>
      </c>
    </row>
    <row r="2486" customFormat="false" ht="15" hidden="false" customHeight="true" outlineLevel="0" collapsed="false">
      <c r="B2486" s="64"/>
      <c r="C2486" s="65" t="s">
        <v>50</v>
      </c>
      <c r="D2486" s="66" t="n">
        <v>1593</v>
      </c>
      <c r="E2486" s="67"/>
      <c r="F2486" s="67"/>
      <c r="G2486" s="68"/>
      <c r="H2486" s="69" t="n">
        <v>1593</v>
      </c>
    </row>
    <row r="2487" customFormat="false" ht="15" hidden="false" customHeight="true" outlineLevel="0" collapsed="false">
      <c r="B2487" s="64"/>
      <c r="C2487" s="65" t="s">
        <v>22</v>
      </c>
      <c r="D2487" s="66" t="n">
        <v>1700</v>
      </c>
      <c r="E2487" s="67"/>
      <c r="F2487" s="67"/>
      <c r="G2487" s="68"/>
      <c r="H2487" s="69" t="n">
        <v>1700</v>
      </c>
    </row>
    <row r="2488" customFormat="false" ht="15" hidden="false" customHeight="true" outlineLevel="0" collapsed="false">
      <c r="B2488" s="64"/>
      <c r="C2488" s="65" t="s">
        <v>37</v>
      </c>
      <c r="D2488" s="73"/>
      <c r="E2488" s="67"/>
      <c r="F2488" s="71" t="n">
        <v>65</v>
      </c>
      <c r="G2488" s="68"/>
      <c r="H2488" s="69" t="n">
        <v>65</v>
      </c>
    </row>
    <row r="2489" customFormat="false" ht="15" hidden="false" customHeight="true" outlineLevel="0" collapsed="false">
      <c r="B2489" s="64"/>
      <c r="C2489" s="65" t="s">
        <v>31</v>
      </c>
      <c r="D2489" s="73"/>
      <c r="E2489" s="71" t="n">
        <v>150</v>
      </c>
      <c r="F2489" s="67"/>
      <c r="G2489" s="68"/>
      <c r="H2489" s="69" t="n">
        <v>150</v>
      </c>
    </row>
    <row r="2490" customFormat="false" ht="15" hidden="false" customHeight="true" outlineLevel="0" collapsed="false">
      <c r="B2490" s="64"/>
      <c r="C2490" s="65" t="s">
        <v>34</v>
      </c>
      <c r="D2490" s="73"/>
      <c r="E2490" s="71" t="n">
        <v>210</v>
      </c>
      <c r="F2490" s="67"/>
      <c r="G2490" s="68"/>
      <c r="H2490" s="69" t="n">
        <v>210</v>
      </c>
    </row>
    <row r="2491" customFormat="false" ht="15" hidden="false" customHeight="true" outlineLevel="0" collapsed="false">
      <c r="B2491" s="84"/>
      <c r="C2491" s="85" t="s">
        <v>29</v>
      </c>
      <c r="D2491" s="86" t="n">
        <v>431</v>
      </c>
      <c r="E2491" s="75"/>
      <c r="F2491" s="75"/>
      <c r="G2491" s="77"/>
      <c r="H2491" s="78" t="n">
        <v>431</v>
      </c>
    </row>
    <row r="2492" customFormat="false" ht="15" hidden="false" customHeight="true" outlineLevel="0" collapsed="false">
      <c r="B2492" s="87" t="s">
        <v>983</v>
      </c>
      <c r="C2492" s="88"/>
      <c r="D2492" s="89" t="n">
        <v>8354</v>
      </c>
      <c r="E2492" s="89" t="n">
        <v>835</v>
      </c>
      <c r="F2492" s="89" t="n">
        <v>940</v>
      </c>
      <c r="G2492" s="90"/>
      <c r="H2492" s="91" t="n">
        <v>10129</v>
      </c>
    </row>
    <row r="2493" customFormat="false" ht="15" hidden="false" customHeight="true" outlineLevel="0" collapsed="false">
      <c r="B2493" s="56" t="n">
        <v>45922</v>
      </c>
      <c r="C2493" s="57" t="s">
        <v>32</v>
      </c>
      <c r="D2493" s="58"/>
      <c r="E2493" s="59"/>
      <c r="F2493" s="60" t="n">
        <v>75</v>
      </c>
      <c r="G2493" s="61"/>
      <c r="H2493" s="62" t="n">
        <v>75</v>
      </c>
    </row>
    <row r="2494" customFormat="false" ht="15" hidden="false" customHeight="true" outlineLevel="0" collapsed="false">
      <c r="B2494" s="64"/>
      <c r="C2494" s="65" t="s">
        <v>47</v>
      </c>
      <c r="D2494" s="66" t="n">
        <v>900</v>
      </c>
      <c r="E2494" s="67"/>
      <c r="F2494" s="67"/>
      <c r="G2494" s="68"/>
      <c r="H2494" s="69" t="n">
        <v>900</v>
      </c>
    </row>
    <row r="2495" customFormat="false" ht="15" hidden="false" customHeight="true" outlineLevel="0" collapsed="false">
      <c r="B2495" s="64"/>
      <c r="C2495" s="65" t="s">
        <v>19</v>
      </c>
      <c r="D2495" s="66" t="n">
        <v>2248</v>
      </c>
      <c r="E2495" s="67"/>
      <c r="F2495" s="67"/>
      <c r="G2495" s="68"/>
      <c r="H2495" s="69" t="n">
        <v>2248</v>
      </c>
    </row>
    <row r="2496" customFormat="false" ht="15" hidden="false" customHeight="true" outlineLevel="0" collapsed="false">
      <c r="B2496" s="64"/>
      <c r="C2496" s="65" t="s">
        <v>25</v>
      </c>
      <c r="D2496" s="66" t="n">
        <v>1633</v>
      </c>
      <c r="E2496" s="67"/>
      <c r="F2496" s="67"/>
      <c r="G2496" s="68"/>
      <c r="H2496" s="69" t="n">
        <v>1633</v>
      </c>
    </row>
    <row r="2497" customFormat="false" ht="15" hidden="false" customHeight="true" outlineLevel="0" collapsed="false">
      <c r="B2497" s="64"/>
      <c r="C2497" s="65" t="s">
        <v>51</v>
      </c>
      <c r="D2497" s="73"/>
      <c r="E2497" s="71" t="n">
        <v>120</v>
      </c>
      <c r="F2497" s="67"/>
      <c r="G2497" s="68"/>
      <c r="H2497" s="69" t="n">
        <v>120</v>
      </c>
    </row>
    <row r="2498" customFormat="false" ht="15" hidden="false" customHeight="true" outlineLevel="0" collapsed="false">
      <c r="B2498" s="64"/>
      <c r="C2498" s="65" t="s">
        <v>22</v>
      </c>
      <c r="D2498" s="66" t="n">
        <v>25730</v>
      </c>
      <c r="E2498" s="67"/>
      <c r="F2498" s="71" t="n">
        <v>55</v>
      </c>
      <c r="G2498" s="68"/>
      <c r="H2498" s="69" t="n">
        <v>25785</v>
      </c>
    </row>
    <row r="2499" customFormat="false" ht="15" hidden="false" customHeight="true" outlineLevel="0" collapsed="false">
      <c r="B2499" s="64"/>
      <c r="C2499" s="65" t="s">
        <v>37</v>
      </c>
      <c r="D2499" s="73"/>
      <c r="E2499" s="67"/>
      <c r="F2499" s="71" t="n">
        <v>30</v>
      </c>
      <c r="G2499" s="68"/>
      <c r="H2499" s="69" t="n">
        <v>30</v>
      </c>
    </row>
    <row r="2500" customFormat="false" ht="15" hidden="false" customHeight="true" outlineLevel="0" collapsed="false">
      <c r="B2500" s="64"/>
      <c r="C2500" s="65" t="s">
        <v>43</v>
      </c>
      <c r="D2500" s="73"/>
      <c r="E2500" s="71" t="n">
        <v>180</v>
      </c>
      <c r="F2500" s="67"/>
      <c r="G2500" s="68"/>
      <c r="H2500" s="69" t="n">
        <v>180</v>
      </c>
    </row>
    <row r="2501" customFormat="false" ht="15" hidden="false" customHeight="true" outlineLevel="0" collapsed="false">
      <c r="B2501" s="64"/>
      <c r="C2501" s="65" t="s">
        <v>56</v>
      </c>
      <c r="D2501" s="66" t="n">
        <v>18500</v>
      </c>
      <c r="E2501" s="67"/>
      <c r="F2501" s="67"/>
      <c r="G2501" s="68"/>
      <c r="H2501" s="69" t="n">
        <v>18500</v>
      </c>
    </row>
    <row r="2502" customFormat="false" ht="15" hidden="false" customHeight="true" outlineLevel="0" collapsed="false">
      <c r="B2502" s="64"/>
      <c r="C2502" s="65" t="s">
        <v>34</v>
      </c>
      <c r="D2502" s="73"/>
      <c r="E2502" s="71" t="n">
        <v>400</v>
      </c>
      <c r="F2502" s="67"/>
      <c r="G2502" s="68"/>
      <c r="H2502" s="69" t="n">
        <v>400</v>
      </c>
    </row>
    <row r="2503" customFormat="false" ht="15" hidden="false" customHeight="true" outlineLevel="0" collapsed="false">
      <c r="B2503" s="84"/>
      <c r="C2503" s="85" t="s">
        <v>29</v>
      </c>
      <c r="D2503" s="86" t="n">
        <v>958</v>
      </c>
      <c r="E2503" s="75"/>
      <c r="F2503" s="76" t="n">
        <v>20</v>
      </c>
      <c r="G2503" s="77"/>
      <c r="H2503" s="78" t="n">
        <v>978</v>
      </c>
    </row>
    <row r="2504" customFormat="false" ht="15" hidden="false" customHeight="true" outlineLevel="0" collapsed="false">
      <c r="B2504" s="87" t="s">
        <v>984</v>
      </c>
      <c r="C2504" s="88"/>
      <c r="D2504" s="89" t="n">
        <v>49969</v>
      </c>
      <c r="E2504" s="89" t="n">
        <v>700</v>
      </c>
      <c r="F2504" s="89" t="n">
        <v>180</v>
      </c>
      <c r="G2504" s="90"/>
      <c r="H2504" s="91" t="n">
        <v>50849</v>
      </c>
    </row>
    <row r="2505" customFormat="false" ht="15" hidden="false" customHeight="true" outlineLevel="0" collapsed="false">
      <c r="B2505" s="56" t="n">
        <v>45923</v>
      </c>
      <c r="C2505" s="57" t="s">
        <v>32</v>
      </c>
      <c r="D2505" s="92" t="n">
        <v>75</v>
      </c>
      <c r="E2505" s="59"/>
      <c r="F2505" s="59"/>
      <c r="G2505" s="61"/>
      <c r="H2505" s="62" t="n">
        <v>75</v>
      </c>
    </row>
    <row r="2506" customFormat="false" ht="15" hidden="false" customHeight="true" outlineLevel="0" collapsed="false">
      <c r="B2506" s="64"/>
      <c r="C2506" s="65" t="s">
        <v>19</v>
      </c>
      <c r="D2506" s="66" t="n">
        <v>2115</v>
      </c>
      <c r="E2506" s="67"/>
      <c r="F2506" s="67"/>
      <c r="G2506" s="68"/>
      <c r="H2506" s="69" t="n">
        <v>2115</v>
      </c>
    </row>
    <row r="2507" customFormat="false" ht="15" hidden="false" customHeight="true" outlineLevel="0" collapsed="false">
      <c r="B2507" s="64"/>
      <c r="C2507" s="65" t="s">
        <v>25</v>
      </c>
      <c r="D2507" s="66" t="n">
        <v>250</v>
      </c>
      <c r="E2507" s="67"/>
      <c r="F2507" s="67"/>
      <c r="G2507" s="68"/>
      <c r="H2507" s="69" t="n">
        <v>250</v>
      </c>
    </row>
    <row r="2508" customFormat="false" ht="15" hidden="false" customHeight="true" outlineLevel="0" collapsed="false">
      <c r="B2508" s="64"/>
      <c r="C2508" s="65" t="s">
        <v>28</v>
      </c>
      <c r="D2508" s="73"/>
      <c r="E2508" s="67"/>
      <c r="F2508" s="71" t="n">
        <v>350</v>
      </c>
      <c r="G2508" s="68"/>
      <c r="H2508" s="69" t="n">
        <v>350</v>
      </c>
    </row>
    <row r="2509" customFormat="false" ht="15" hidden="false" customHeight="true" outlineLevel="0" collapsed="false">
      <c r="B2509" s="64"/>
      <c r="C2509" s="65" t="s">
        <v>12</v>
      </c>
      <c r="D2509" s="66" t="n">
        <v>20530</v>
      </c>
      <c r="E2509" s="67"/>
      <c r="F2509" s="67"/>
      <c r="G2509" s="68"/>
      <c r="H2509" s="69" t="n">
        <v>20530</v>
      </c>
    </row>
    <row r="2510" customFormat="false" ht="15" hidden="false" customHeight="true" outlineLevel="0" collapsed="false">
      <c r="B2510" s="64"/>
      <c r="C2510" s="65" t="s">
        <v>37</v>
      </c>
      <c r="D2510" s="73"/>
      <c r="E2510" s="67"/>
      <c r="F2510" s="71" t="n">
        <v>20</v>
      </c>
      <c r="G2510" s="68"/>
      <c r="H2510" s="69" t="n">
        <v>20</v>
      </c>
    </row>
    <row r="2511" customFormat="false" ht="15" hidden="false" customHeight="true" outlineLevel="0" collapsed="false">
      <c r="B2511" s="64"/>
      <c r="C2511" s="65" t="s">
        <v>43</v>
      </c>
      <c r="D2511" s="73"/>
      <c r="E2511" s="71" t="n">
        <v>190</v>
      </c>
      <c r="F2511" s="71" t="n">
        <v>200</v>
      </c>
      <c r="G2511" s="68"/>
      <c r="H2511" s="69" t="n">
        <v>390</v>
      </c>
    </row>
    <row r="2512" customFormat="false" ht="15" hidden="false" customHeight="true" outlineLevel="0" collapsed="false">
      <c r="B2512" s="64"/>
      <c r="C2512" s="65" t="s">
        <v>31</v>
      </c>
      <c r="D2512" s="73"/>
      <c r="E2512" s="71" t="n">
        <v>310</v>
      </c>
      <c r="F2512" s="67"/>
      <c r="G2512" s="68"/>
      <c r="H2512" s="69" t="n">
        <v>310</v>
      </c>
    </row>
    <row r="2513" customFormat="false" ht="15" hidden="false" customHeight="true" outlineLevel="0" collapsed="false">
      <c r="B2513" s="64"/>
      <c r="C2513" s="65" t="s">
        <v>34</v>
      </c>
      <c r="D2513" s="73"/>
      <c r="E2513" s="71" t="n">
        <v>250</v>
      </c>
      <c r="F2513" s="67"/>
      <c r="G2513" s="68"/>
      <c r="H2513" s="69" t="n">
        <v>250</v>
      </c>
    </row>
    <row r="2514" customFormat="false" ht="15" hidden="false" customHeight="true" outlineLevel="0" collapsed="false">
      <c r="B2514" s="84"/>
      <c r="C2514" s="85" t="s">
        <v>29</v>
      </c>
      <c r="D2514" s="86" t="n">
        <v>419</v>
      </c>
      <c r="E2514" s="76" t="n">
        <v>900</v>
      </c>
      <c r="F2514" s="76" t="n">
        <v>200</v>
      </c>
      <c r="G2514" s="77"/>
      <c r="H2514" s="78" t="n">
        <v>1519</v>
      </c>
    </row>
    <row r="2515" customFormat="false" ht="15" hidden="false" customHeight="true" outlineLevel="0" collapsed="false">
      <c r="B2515" s="87" t="s">
        <v>985</v>
      </c>
      <c r="C2515" s="88"/>
      <c r="D2515" s="89" t="n">
        <v>23389</v>
      </c>
      <c r="E2515" s="89" t="n">
        <v>1650</v>
      </c>
      <c r="F2515" s="89" t="n">
        <v>770</v>
      </c>
      <c r="G2515" s="90"/>
      <c r="H2515" s="91" t="n">
        <v>25809</v>
      </c>
    </row>
    <row r="2516" customFormat="false" ht="15" hidden="false" customHeight="true" outlineLevel="0" collapsed="false">
      <c r="B2516" s="56" t="n">
        <v>45924</v>
      </c>
      <c r="C2516" s="57" t="s">
        <v>32</v>
      </c>
      <c r="D2516" s="58"/>
      <c r="E2516" s="59"/>
      <c r="F2516" s="60" t="n">
        <v>125</v>
      </c>
      <c r="G2516" s="61"/>
      <c r="H2516" s="62" t="n">
        <v>125</v>
      </c>
    </row>
    <row r="2517" customFormat="false" ht="15" hidden="false" customHeight="true" outlineLevel="0" collapsed="false">
      <c r="B2517" s="64"/>
      <c r="C2517" s="65" t="s">
        <v>53</v>
      </c>
      <c r="D2517" s="73"/>
      <c r="E2517" s="71" t="n">
        <v>1150</v>
      </c>
      <c r="F2517" s="67"/>
      <c r="G2517" s="68"/>
      <c r="H2517" s="69" t="n">
        <v>1150</v>
      </c>
    </row>
    <row r="2518" customFormat="false" ht="15" hidden="false" customHeight="true" outlineLevel="0" collapsed="false">
      <c r="B2518" s="64"/>
      <c r="C2518" s="65" t="s">
        <v>47</v>
      </c>
      <c r="D2518" s="66" t="n">
        <v>2700</v>
      </c>
      <c r="E2518" s="67"/>
      <c r="F2518" s="67"/>
      <c r="G2518" s="68"/>
      <c r="H2518" s="69" t="n">
        <v>2700</v>
      </c>
    </row>
    <row r="2519" customFormat="false" ht="15" hidden="false" customHeight="true" outlineLevel="0" collapsed="false">
      <c r="B2519" s="64"/>
      <c r="C2519" s="65" t="s">
        <v>19</v>
      </c>
      <c r="D2519" s="66" t="n">
        <v>2325</v>
      </c>
      <c r="E2519" s="67"/>
      <c r="F2519" s="67"/>
      <c r="G2519" s="68"/>
      <c r="H2519" s="69" t="n">
        <v>2325</v>
      </c>
    </row>
    <row r="2520" customFormat="false" ht="15" hidden="false" customHeight="true" outlineLevel="0" collapsed="false">
      <c r="B2520" s="64"/>
      <c r="C2520" s="65" t="s">
        <v>50</v>
      </c>
      <c r="D2520" s="66" t="n">
        <v>3186</v>
      </c>
      <c r="E2520" s="67"/>
      <c r="F2520" s="67"/>
      <c r="G2520" s="68"/>
      <c r="H2520" s="69" t="n">
        <v>3186</v>
      </c>
    </row>
    <row r="2521" customFormat="false" ht="15" hidden="false" customHeight="true" outlineLevel="0" collapsed="false">
      <c r="B2521" s="64"/>
      <c r="C2521" s="65" t="s">
        <v>22</v>
      </c>
      <c r="D2521" s="73"/>
      <c r="E2521" s="67"/>
      <c r="F2521" s="71" t="n">
        <v>55</v>
      </c>
      <c r="G2521" s="68"/>
      <c r="H2521" s="69" t="n">
        <v>55</v>
      </c>
    </row>
    <row r="2522" customFormat="false" ht="15" hidden="false" customHeight="true" outlineLevel="0" collapsed="false">
      <c r="B2522" s="64"/>
      <c r="C2522" s="65" t="s">
        <v>43</v>
      </c>
      <c r="D2522" s="73"/>
      <c r="E2522" s="67"/>
      <c r="F2522" s="71" t="n">
        <v>1000</v>
      </c>
      <c r="G2522" s="68"/>
      <c r="H2522" s="69" t="n">
        <v>1000</v>
      </c>
    </row>
    <row r="2523" customFormat="false" ht="15" hidden="false" customHeight="true" outlineLevel="0" collapsed="false">
      <c r="B2523" s="64"/>
      <c r="C2523" s="65" t="s">
        <v>34</v>
      </c>
      <c r="D2523" s="73"/>
      <c r="E2523" s="67"/>
      <c r="F2523" s="71" t="n">
        <v>250</v>
      </c>
      <c r="G2523" s="68"/>
      <c r="H2523" s="69" t="n">
        <v>250</v>
      </c>
    </row>
    <row r="2524" customFormat="false" ht="15" hidden="false" customHeight="true" outlineLevel="0" collapsed="false">
      <c r="B2524" s="84"/>
      <c r="C2524" s="85" t="s">
        <v>29</v>
      </c>
      <c r="D2524" s="86" t="n">
        <v>428</v>
      </c>
      <c r="E2524" s="76" t="n">
        <v>150</v>
      </c>
      <c r="F2524" s="75"/>
      <c r="G2524" s="77"/>
      <c r="H2524" s="78" t="n">
        <v>578</v>
      </c>
    </row>
    <row r="2525" customFormat="false" ht="15" hidden="false" customHeight="true" outlineLevel="0" collapsed="false">
      <c r="B2525" s="87" t="s">
        <v>986</v>
      </c>
      <c r="C2525" s="88"/>
      <c r="D2525" s="89" t="n">
        <v>8639</v>
      </c>
      <c r="E2525" s="89" t="n">
        <v>1300</v>
      </c>
      <c r="F2525" s="89" t="n">
        <v>1430</v>
      </c>
      <c r="G2525" s="90"/>
      <c r="H2525" s="91" t="n">
        <v>11369</v>
      </c>
    </row>
    <row r="2526" customFormat="false" ht="15" hidden="false" customHeight="true" outlineLevel="0" collapsed="false">
      <c r="B2526" s="56" t="n">
        <v>45925</v>
      </c>
      <c r="C2526" s="57" t="s">
        <v>22</v>
      </c>
      <c r="D2526" s="92" t="n">
        <v>504</v>
      </c>
      <c r="E2526" s="59"/>
      <c r="F2526" s="59"/>
      <c r="G2526" s="61"/>
      <c r="H2526" s="62" t="n">
        <v>504</v>
      </c>
    </row>
    <row r="2527" customFormat="false" ht="15" hidden="false" customHeight="true" outlineLevel="0" collapsed="false">
      <c r="B2527" s="64"/>
      <c r="C2527" s="65" t="s">
        <v>56</v>
      </c>
      <c r="D2527" s="73"/>
      <c r="E2527" s="67"/>
      <c r="F2527" s="71" t="n">
        <v>250</v>
      </c>
      <c r="G2527" s="68"/>
      <c r="H2527" s="69" t="n">
        <v>250</v>
      </c>
    </row>
    <row r="2528" customFormat="false" ht="15" hidden="false" customHeight="true" outlineLevel="0" collapsed="false">
      <c r="B2528" s="64"/>
      <c r="C2528" s="65" t="s">
        <v>34</v>
      </c>
      <c r="D2528" s="73"/>
      <c r="E2528" s="67"/>
      <c r="F2528" s="71" t="n">
        <v>160</v>
      </c>
      <c r="G2528" s="68"/>
      <c r="H2528" s="69" t="n">
        <v>160</v>
      </c>
    </row>
    <row r="2529" customFormat="false" ht="15" hidden="false" customHeight="true" outlineLevel="0" collapsed="false">
      <c r="B2529" s="84"/>
      <c r="C2529" s="85" t="s">
        <v>29</v>
      </c>
      <c r="D2529" s="74"/>
      <c r="E2529" s="75"/>
      <c r="F2529" s="76" t="n">
        <v>700</v>
      </c>
      <c r="G2529" s="77"/>
      <c r="H2529" s="78" t="n">
        <v>700</v>
      </c>
    </row>
    <row r="2530" customFormat="false" ht="15" hidden="false" customHeight="true" outlineLevel="0" collapsed="false">
      <c r="B2530" s="87" t="s">
        <v>987</v>
      </c>
      <c r="C2530" s="88"/>
      <c r="D2530" s="89" t="n">
        <v>504</v>
      </c>
      <c r="E2530" s="90"/>
      <c r="F2530" s="89" t="n">
        <v>1110</v>
      </c>
      <c r="G2530" s="90"/>
      <c r="H2530" s="91" t="n">
        <v>1614</v>
      </c>
    </row>
    <row r="2531" customFormat="false" ht="15" hidden="false" customHeight="true" outlineLevel="0" collapsed="false">
      <c r="B2531" s="56" t="n">
        <v>45926</v>
      </c>
      <c r="C2531" s="57" t="s">
        <v>47</v>
      </c>
      <c r="D2531" s="92" t="n">
        <v>1800</v>
      </c>
      <c r="E2531" s="59"/>
      <c r="F2531" s="59"/>
      <c r="G2531" s="61"/>
      <c r="H2531" s="62" t="n">
        <v>1800</v>
      </c>
    </row>
    <row r="2532" customFormat="false" ht="15" hidden="false" customHeight="true" outlineLevel="0" collapsed="false">
      <c r="B2532" s="64"/>
      <c r="C2532" s="65" t="s">
        <v>19</v>
      </c>
      <c r="D2532" s="66" t="n">
        <v>380</v>
      </c>
      <c r="E2532" s="67"/>
      <c r="F2532" s="67"/>
      <c r="G2532" s="68"/>
      <c r="H2532" s="69" t="n">
        <v>380</v>
      </c>
    </row>
    <row r="2533" customFormat="false" ht="15" hidden="false" customHeight="true" outlineLevel="0" collapsed="false">
      <c r="B2533" s="64"/>
      <c r="C2533" s="65" t="s">
        <v>25</v>
      </c>
      <c r="D2533" s="66" t="n">
        <v>383</v>
      </c>
      <c r="E2533" s="67"/>
      <c r="F2533" s="67"/>
      <c r="G2533" s="68"/>
      <c r="H2533" s="69" t="n">
        <v>383</v>
      </c>
    </row>
    <row r="2534" customFormat="false" ht="15" hidden="false" customHeight="true" outlineLevel="0" collapsed="false">
      <c r="B2534" s="64"/>
      <c r="C2534" s="65" t="s">
        <v>51</v>
      </c>
      <c r="D2534" s="66" t="n">
        <v>9535</v>
      </c>
      <c r="E2534" s="67"/>
      <c r="F2534" s="67"/>
      <c r="G2534" s="68"/>
      <c r="H2534" s="69" t="n">
        <v>9535</v>
      </c>
    </row>
    <row r="2535" customFormat="false" ht="15" hidden="false" customHeight="true" outlineLevel="0" collapsed="false">
      <c r="B2535" s="64"/>
      <c r="C2535" s="65" t="s">
        <v>31</v>
      </c>
      <c r="D2535" s="73"/>
      <c r="E2535" s="67"/>
      <c r="F2535" s="71" t="n">
        <v>150</v>
      </c>
      <c r="G2535" s="68"/>
      <c r="H2535" s="69" t="n">
        <v>150</v>
      </c>
    </row>
    <row r="2536" customFormat="false" ht="15" hidden="false" customHeight="true" outlineLevel="0" collapsed="false">
      <c r="B2536" s="64"/>
      <c r="C2536" s="65" t="s">
        <v>34</v>
      </c>
      <c r="D2536" s="73"/>
      <c r="E2536" s="67"/>
      <c r="F2536" s="71" t="n">
        <v>190</v>
      </c>
      <c r="G2536" s="68"/>
      <c r="H2536" s="69" t="n">
        <v>190</v>
      </c>
    </row>
    <row r="2537" customFormat="false" ht="15" hidden="false" customHeight="true" outlineLevel="0" collapsed="false">
      <c r="B2537" s="84"/>
      <c r="C2537" s="85" t="s">
        <v>29</v>
      </c>
      <c r="D2537" s="86" t="n">
        <v>285</v>
      </c>
      <c r="E2537" s="75"/>
      <c r="F2537" s="76" t="n">
        <v>30</v>
      </c>
      <c r="G2537" s="77"/>
      <c r="H2537" s="78" t="n">
        <v>315</v>
      </c>
    </row>
    <row r="2538" customFormat="false" ht="15" hidden="false" customHeight="true" outlineLevel="0" collapsed="false">
      <c r="B2538" s="87" t="s">
        <v>988</v>
      </c>
      <c r="C2538" s="88"/>
      <c r="D2538" s="89" t="n">
        <v>12383</v>
      </c>
      <c r="E2538" s="90"/>
      <c r="F2538" s="89" t="n">
        <v>370</v>
      </c>
      <c r="G2538" s="90"/>
      <c r="H2538" s="91" t="n">
        <v>12753</v>
      </c>
    </row>
    <row r="2539" customFormat="false" ht="15" hidden="false" customHeight="true" outlineLevel="0" collapsed="false">
      <c r="B2539" s="56" t="n">
        <v>45927</v>
      </c>
      <c r="C2539" s="57" t="s">
        <v>32</v>
      </c>
      <c r="D2539" s="58"/>
      <c r="E2539" s="59"/>
      <c r="F2539" s="60" t="n">
        <v>225</v>
      </c>
      <c r="G2539" s="61"/>
      <c r="H2539" s="62" t="n">
        <v>225</v>
      </c>
    </row>
    <row r="2540" customFormat="false" ht="15" hidden="false" customHeight="true" outlineLevel="0" collapsed="false">
      <c r="B2540" s="64"/>
      <c r="C2540" s="65" t="s">
        <v>214</v>
      </c>
      <c r="D2540" s="73"/>
      <c r="E2540" s="71" t="n">
        <v>1000</v>
      </c>
      <c r="F2540" s="67"/>
      <c r="G2540" s="68"/>
      <c r="H2540" s="69" t="n">
        <v>1000</v>
      </c>
    </row>
    <row r="2541" customFormat="false" ht="15" hidden="false" customHeight="true" outlineLevel="0" collapsed="false">
      <c r="B2541" s="64"/>
      <c r="C2541" s="65" t="s">
        <v>19</v>
      </c>
      <c r="D2541" s="66" t="n">
        <v>471</v>
      </c>
      <c r="E2541" s="67"/>
      <c r="F2541" s="67"/>
      <c r="G2541" s="68"/>
      <c r="H2541" s="69" t="n">
        <v>471</v>
      </c>
    </row>
    <row r="2542" customFormat="false" ht="15" hidden="false" customHeight="true" outlineLevel="0" collapsed="false">
      <c r="B2542" s="64"/>
      <c r="C2542" s="65" t="s">
        <v>25</v>
      </c>
      <c r="D2542" s="66" t="n">
        <v>475</v>
      </c>
      <c r="E2542" s="67"/>
      <c r="F2542" s="67"/>
      <c r="G2542" s="68"/>
      <c r="H2542" s="69" t="n">
        <v>475</v>
      </c>
    </row>
    <row r="2543" customFormat="false" ht="15" hidden="false" customHeight="true" outlineLevel="0" collapsed="false">
      <c r="B2543" s="64"/>
      <c r="C2543" s="65" t="s">
        <v>36</v>
      </c>
      <c r="D2543" s="73"/>
      <c r="E2543" s="67"/>
      <c r="F2543" s="71" t="n">
        <v>110</v>
      </c>
      <c r="G2543" s="68"/>
      <c r="H2543" s="69" t="n">
        <v>110</v>
      </c>
    </row>
    <row r="2544" customFormat="false" ht="15" hidden="false" customHeight="true" outlineLevel="0" collapsed="false">
      <c r="B2544" s="64"/>
      <c r="C2544" s="65" t="s">
        <v>22</v>
      </c>
      <c r="D2544" s="73"/>
      <c r="E2544" s="67"/>
      <c r="F2544" s="71" t="n">
        <v>55</v>
      </c>
      <c r="G2544" s="68"/>
      <c r="H2544" s="69" t="n">
        <v>55</v>
      </c>
    </row>
    <row r="2545" customFormat="false" ht="15" hidden="false" customHeight="true" outlineLevel="0" collapsed="false">
      <c r="B2545" s="64"/>
      <c r="C2545" s="65" t="s">
        <v>56</v>
      </c>
      <c r="D2545" s="66" t="n">
        <v>1715</v>
      </c>
      <c r="E2545" s="67"/>
      <c r="F2545" s="67"/>
      <c r="G2545" s="68"/>
      <c r="H2545" s="69" t="n">
        <v>1715</v>
      </c>
    </row>
    <row r="2546" customFormat="false" ht="15" hidden="false" customHeight="true" outlineLevel="0" collapsed="false">
      <c r="B2546" s="64"/>
      <c r="C2546" s="65" t="s">
        <v>34</v>
      </c>
      <c r="D2546" s="73"/>
      <c r="E2546" s="67"/>
      <c r="F2546" s="71" t="n">
        <v>220</v>
      </c>
      <c r="G2546" s="68"/>
      <c r="H2546" s="69" t="n">
        <v>220</v>
      </c>
    </row>
    <row r="2547" customFormat="false" ht="15" hidden="false" customHeight="true" outlineLevel="0" collapsed="false">
      <c r="B2547" s="84"/>
      <c r="C2547" s="85" t="s">
        <v>29</v>
      </c>
      <c r="D2547" s="86" t="n">
        <v>357</v>
      </c>
      <c r="E2547" s="75"/>
      <c r="F2547" s="75"/>
      <c r="G2547" s="77"/>
      <c r="H2547" s="78" t="n">
        <v>357</v>
      </c>
    </row>
    <row r="2548" customFormat="false" ht="15" hidden="false" customHeight="true" outlineLevel="0" collapsed="false">
      <c r="B2548" s="87" t="s">
        <v>989</v>
      </c>
      <c r="C2548" s="88"/>
      <c r="D2548" s="89" t="n">
        <v>3018</v>
      </c>
      <c r="E2548" s="89" t="n">
        <v>1000</v>
      </c>
      <c r="F2548" s="89" t="n">
        <v>610</v>
      </c>
      <c r="G2548" s="90"/>
      <c r="H2548" s="91" t="n">
        <v>4628</v>
      </c>
    </row>
    <row r="2549" customFormat="false" ht="15" hidden="false" customHeight="true" outlineLevel="0" collapsed="false">
      <c r="B2549" s="56" t="n">
        <v>45928</v>
      </c>
      <c r="C2549" s="57" t="s">
        <v>32</v>
      </c>
      <c r="D2549" s="58"/>
      <c r="E2549" s="59"/>
      <c r="F2549" s="60" t="n">
        <v>135</v>
      </c>
      <c r="G2549" s="61"/>
      <c r="H2549" s="62" t="n">
        <v>135</v>
      </c>
    </row>
    <row r="2550" customFormat="false" ht="15" hidden="false" customHeight="true" outlineLevel="0" collapsed="false">
      <c r="B2550" s="64"/>
      <c r="C2550" s="65" t="s">
        <v>19</v>
      </c>
      <c r="D2550" s="66" t="n">
        <v>1675</v>
      </c>
      <c r="E2550" s="67"/>
      <c r="F2550" s="67"/>
      <c r="G2550" s="68"/>
      <c r="H2550" s="69" t="n">
        <v>1675</v>
      </c>
    </row>
    <row r="2551" customFormat="false" ht="15" hidden="false" customHeight="true" outlineLevel="0" collapsed="false">
      <c r="B2551" s="64"/>
      <c r="C2551" s="65" t="s">
        <v>25</v>
      </c>
      <c r="D2551" s="66" t="n">
        <v>815</v>
      </c>
      <c r="E2551" s="67"/>
      <c r="F2551" s="67"/>
      <c r="G2551" s="68"/>
      <c r="H2551" s="69" t="n">
        <v>815</v>
      </c>
    </row>
    <row r="2552" customFormat="false" ht="15" hidden="false" customHeight="true" outlineLevel="0" collapsed="false">
      <c r="B2552" s="64"/>
      <c r="C2552" s="65" t="s">
        <v>50</v>
      </c>
      <c r="D2552" s="66" t="n">
        <v>1593</v>
      </c>
      <c r="E2552" s="67"/>
      <c r="F2552" s="67"/>
      <c r="G2552" s="68"/>
      <c r="H2552" s="69" t="n">
        <v>1593</v>
      </c>
    </row>
    <row r="2553" customFormat="false" ht="15" hidden="false" customHeight="true" outlineLevel="0" collapsed="false">
      <c r="B2553" s="64"/>
      <c r="C2553" s="65" t="s">
        <v>22</v>
      </c>
      <c r="D2553" s="66" t="n">
        <v>452</v>
      </c>
      <c r="E2553" s="67"/>
      <c r="F2553" s="71" t="n">
        <v>55</v>
      </c>
      <c r="G2553" s="68"/>
      <c r="H2553" s="69" t="n">
        <v>507</v>
      </c>
    </row>
    <row r="2554" customFormat="false" ht="15" hidden="false" customHeight="true" outlineLevel="0" collapsed="false">
      <c r="B2554" s="64"/>
      <c r="C2554" s="65" t="s">
        <v>40</v>
      </c>
      <c r="D2554" s="66" t="n">
        <v>1560</v>
      </c>
      <c r="E2554" s="67"/>
      <c r="F2554" s="67"/>
      <c r="G2554" s="68"/>
      <c r="H2554" s="69" t="n">
        <v>1560</v>
      </c>
    </row>
    <row r="2555" customFormat="false" ht="15" hidden="false" customHeight="true" outlineLevel="0" collapsed="false">
      <c r="B2555" s="64"/>
      <c r="C2555" s="65" t="s">
        <v>31</v>
      </c>
      <c r="D2555" s="73"/>
      <c r="E2555" s="67"/>
      <c r="F2555" s="71" t="n">
        <v>310</v>
      </c>
      <c r="G2555" s="68"/>
      <c r="H2555" s="69" t="n">
        <v>310</v>
      </c>
    </row>
    <row r="2556" customFormat="false" ht="15" hidden="false" customHeight="true" outlineLevel="0" collapsed="false">
      <c r="B2556" s="64"/>
      <c r="C2556" s="65" t="s">
        <v>34</v>
      </c>
      <c r="D2556" s="73"/>
      <c r="E2556" s="67"/>
      <c r="F2556" s="71" t="n">
        <v>285</v>
      </c>
      <c r="G2556" s="68"/>
      <c r="H2556" s="69" t="n">
        <v>285</v>
      </c>
    </row>
    <row r="2557" customFormat="false" ht="15" hidden="false" customHeight="true" outlineLevel="0" collapsed="false">
      <c r="B2557" s="84"/>
      <c r="C2557" s="85" t="s">
        <v>29</v>
      </c>
      <c r="D2557" s="86" t="n">
        <v>674</v>
      </c>
      <c r="E2557" s="75"/>
      <c r="F2557" s="75"/>
      <c r="G2557" s="77"/>
      <c r="H2557" s="78" t="n">
        <v>674</v>
      </c>
    </row>
    <row r="2558" customFormat="false" ht="15" hidden="false" customHeight="true" outlineLevel="0" collapsed="false">
      <c r="B2558" s="87" t="s">
        <v>990</v>
      </c>
      <c r="C2558" s="88"/>
      <c r="D2558" s="89" t="n">
        <v>6769</v>
      </c>
      <c r="E2558" s="90"/>
      <c r="F2558" s="89" t="n">
        <v>785</v>
      </c>
      <c r="G2558" s="90"/>
      <c r="H2558" s="91" t="n">
        <v>7554</v>
      </c>
    </row>
    <row r="2559" customFormat="false" ht="15" hidden="false" customHeight="true" outlineLevel="0" collapsed="false">
      <c r="B2559" s="56" t="n">
        <v>45929</v>
      </c>
      <c r="C2559" s="57" t="s">
        <v>44</v>
      </c>
      <c r="D2559" s="58"/>
      <c r="E2559" s="59"/>
      <c r="F2559" s="60" t="n">
        <v>100</v>
      </c>
      <c r="G2559" s="61"/>
      <c r="H2559" s="62" t="n">
        <v>100</v>
      </c>
    </row>
    <row r="2560" customFormat="false" ht="15" hidden="false" customHeight="true" outlineLevel="0" collapsed="false">
      <c r="B2560" s="64"/>
      <c r="C2560" s="65" t="s">
        <v>32</v>
      </c>
      <c r="D2560" s="73"/>
      <c r="E2560" s="67"/>
      <c r="F2560" s="71" t="n">
        <v>50</v>
      </c>
      <c r="G2560" s="68"/>
      <c r="H2560" s="69" t="n">
        <v>50</v>
      </c>
    </row>
    <row r="2561" customFormat="false" ht="15" hidden="false" customHeight="true" outlineLevel="0" collapsed="false">
      <c r="B2561" s="64"/>
      <c r="C2561" s="65" t="s">
        <v>47</v>
      </c>
      <c r="D2561" s="66" t="n">
        <v>1800</v>
      </c>
      <c r="E2561" s="67"/>
      <c r="F2561" s="67"/>
      <c r="G2561" s="68"/>
      <c r="H2561" s="69" t="n">
        <v>1800</v>
      </c>
    </row>
    <row r="2562" customFormat="false" ht="15" hidden="false" customHeight="true" outlineLevel="0" collapsed="false">
      <c r="B2562" s="64"/>
      <c r="C2562" s="65" t="s">
        <v>19</v>
      </c>
      <c r="D2562" s="66" t="n">
        <v>1041</v>
      </c>
      <c r="E2562" s="67"/>
      <c r="F2562" s="67"/>
      <c r="G2562" s="68"/>
      <c r="H2562" s="69" t="n">
        <v>1041</v>
      </c>
    </row>
    <row r="2563" customFormat="false" ht="15" hidden="false" customHeight="true" outlineLevel="0" collapsed="false">
      <c r="B2563" s="64"/>
      <c r="C2563" s="65" t="s">
        <v>50</v>
      </c>
      <c r="D2563" s="66" t="n">
        <v>1593</v>
      </c>
      <c r="E2563" s="67"/>
      <c r="F2563" s="67"/>
      <c r="G2563" s="68"/>
      <c r="H2563" s="69" t="n">
        <v>1593</v>
      </c>
    </row>
    <row r="2564" customFormat="false" ht="15" hidden="false" customHeight="true" outlineLevel="0" collapsed="false">
      <c r="B2564" s="64"/>
      <c r="C2564" s="65" t="s">
        <v>22</v>
      </c>
      <c r="D2564" s="73"/>
      <c r="E2564" s="71" t="n">
        <v>310</v>
      </c>
      <c r="F2564" s="67"/>
      <c r="G2564" s="68"/>
      <c r="H2564" s="69" t="n">
        <v>310</v>
      </c>
    </row>
    <row r="2565" customFormat="false" ht="15" hidden="false" customHeight="true" outlineLevel="0" collapsed="false">
      <c r="B2565" s="64"/>
      <c r="C2565" s="65" t="s">
        <v>102</v>
      </c>
      <c r="D2565" s="66" t="n">
        <v>1200</v>
      </c>
      <c r="E2565" s="67"/>
      <c r="F2565" s="67"/>
      <c r="G2565" s="68"/>
      <c r="H2565" s="69" t="n">
        <v>1200</v>
      </c>
    </row>
    <row r="2566" customFormat="false" ht="15" hidden="false" customHeight="true" outlineLevel="0" collapsed="false">
      <c r="B2566" s="64"/>
      <c r="C2566" s="65" t="s">
        <v>34</v>
      </c>
      <c r="D2566" s="73"/>
      <c r="E2566" s="71" t="n">
        <v>230</v>
      </c>
      <c r="F2566" s="67"/>
      <c r="G2566" s="68"/>
      <c r="H2566" s="69" t="n">
        <v>230</v>
      </c>
    </row>
    <row r="2567" customFormat="false" ht="15" hidden="false" customHeight="true" outlineLevel="0" collapsed="false">
      <c r="B2567" s="84"/>
      <c r="C2567" s="85" t="s">
        <v>29</v>
      </c>
      <c r="D2567" s="86" t="n">
        <v>260</v>
      </c>
      <c r="E2567" s="75"/>
      <c r="F2567" s="75"/>
      <c r="G2567" s="77"/>
      <c r="H2567" s="78" t="n">
        <v>260</v>
      </c>
    </row>
    <row r="2568" customFormat="false" ht="15" hidden="false" customHeight="true" outlineLevel="0" collapsed="false">
      <c r="B2568" s="87" t="s">
        <v>991</v>
      </c>
      <c r="C2568" s="88"/>
      <c r="D2568" s="89" t="n">
        <v>5894</v>
      </c>
      <c r="E2568" s="89" t="n">
        <v>540</v>
      </c>
      <c r="F2568" s="89" t="n">
        <v>150</v>
      </c>
      <c r="G2568" s="90"/>
      <c r="H2568" s="91" t="n">
        <v>6584</v>
      </c>
    </row>
    <row r="2569" customFormat="false" ht="15" hidden="false" customHeight="true" outlineLevel="0" collapsed="false">
      <c r="B2569" s="56" t="n">
        <v>45930</v>
      </c>
      <c r="C2569" s="57" t="s">
        <v>32</v>
      </c>
      <c r="D2569" s="58"/>
      <c r="E2569" s="59"/>
      <c r="F2569" s="60" t="n">
        <v>50</v>
      </c>
      <c r="G2569" s="61"/>
      <c r="H2569" s="62" t="n">
        <v>50</v>
      </c>
    </row>
    <row r="2570" customFormat="false" ht="15" hidden="false" customHeight="true" outlineLevel="0" collapsed="false">
      <c r="B2570" s="64"/>
      <c r="C2570" s="65" t="s">
        <v>19</v>
      </c>
      <c r="D2570" s="66" t="n">
        <v>1887</v>
      </c>
      <c r="E2570" s="67"/>
      <c r="F2570" s="67"/>
      <c r="G2570" s="68"/>
      <c r="H2570" s="69" t="n">
        <v>1887</v>
      </c>
    </row>
    <row r="2571" customFormat="false" ht="15" hidden="false" customHeight="true" outlineLevel="0" collapsed="false">
      <c r="B2571" s="64"/>
      <c r="C2571" s="65" t="s">
        <v>25</v>
      </c>
      <c r="D2571" s="66" t="n">
        <v>655</v>
      </c>
      <c r="E2571" s="67"/>
      <c r="F2571" s="67"/>
      <c r="G2571" s="68"/>
      <c r="H2571" s="69" t="n">
        <v>655</v>
      </c>
    </row>
    <row r="2572" customFormat="false" ht="15" hidden="false" customHeight="true" outlineLevel="0" collapsed="false">
      <c r="B2572" s="64"/>
      <c r="C2572" s="65" t="s">
        <v>28</v>
      </c>
      <c r="D2572" s="73"/>
      <c r="E2572" s="67"/>
      <c r="F2572" s="71" t="n">
        <v>320</v>
      </c>
      <c r="G2572" s="68"/>
      <c r="H2572" s="69" t="n">
        <v>320</v>
      </c>
    </row>
    <row r="2573" customFormat="false" ht="15" hidden="false" customHeight="true" outlineLevel="0" collapsed="false">
      <c r="B2573" s="64"/>
      <c r="C2573" s="65" t="s">
        <v>36</v>
      </c>
      <c r="D2573" s="66" t="n">
        <v>400</v>
      </c>
      <c r="E2573" s="67"/>
      <c r="F2573" s="67"/>
      <c r="G2573" s="68"/>
      <c r="H2573" s="69" t="n">
        <v>400</v>
      </c>
    </row>
    <row r="2574" customFormat="false" ht="15" hidden="false" customHeight="true" outlineLevel="0" collapsed="false">
      <c r="B2574" s="64"/>
      <c r="C2574" s="65" t="s">
        <v>22</v>
      </c>
      <c r="D2574" s="66" t="n">
        <v>1080</v>
      </c>
      <c r="E2574" s="67"/>
      <c r="F2574" s="67"/>
      <c r="G2574" s="68"/>
      <c r="H2574" s="69" t="n">
        <v>1080</v>
      </c>
    </row>
    <row r="2575" customFormat="false" ht="15" hidden="false" customHeight="true" outlineLevel="0" collapsed="false">
      <c r="B2575" s="64"/>
      <c r="C2575" s="65" t="s">
        <v>43</v>
      </c>
      <c r="D2575" s="73"/>
      <c r="E2575" s="71" t="n">
        <v>2400</v>
      </c>
      <c r="F2575" s="67"/>
      <c r="G2575" s="68"/>
      <c r="H2575" s="69" t="n">
        <v>2400</v>
      </c>
    </row>
    <row r="2576" customFormat="false" ht="15" hidden="false" customHeight="true" outlineLevel="0" collapsed="false">
      <c r="B2576" s="64"/>
      <c r="C2576" s="65" t="s">
        <v>34</v>
      </c>
      <c r="D2576" s="73"/>
      <c r="E2576" s="71" t="n">
        <v>150</v>
      </c>
      <c r="F2576" s="67"/>
      <c r="G2576" s="68"/>
      <c r="H2576" s="69" t="n">
        <v>150</v>
      </c>
    </row>
    <row r="2577" customFormat="false" ht="15" hidden="false" customHeight="true" outlineLevel="0" collapsed="false">
      <c r="B2577" s="84"/>
      <c r="C2577" s="85" t="s">
        <v>29</v>
      </c>
      <c r="D2577" s="86" t="n">
        <v>164</v>
      </c>
      <c r="E2577" s="75"/>
      <c r="F2577" s="75"/>
      <c r="G2577" s="77"/>
      <c r="H2577" s="78" t="n">
        <v>164</v>
      </c>
    </row>
    <row r="2578" customFormat="false" ht="15" hidden="false" customHeight="true" outlineLevel="0" collapsed="false">
      <c r="B2578" s="87" t="s">
        <v>992</v>
      </c>
      <c r="C2578" s="88"/>
      <c r="D2578" s="89" t="n">
        <v>4186</v>
      </c>
      <c r="E2578" s="89" t="n">
        <v>2550</v>
      </c>
      <c r="F2578" s="89" t="n">
        <v>370</v>
      </c>
      <c r="G2578" s="90"/>
      <c r="H2578" s="91" t="n">
        <v>7106</v>
      </c>
    </row>
    <row r="2579" customFormat="false" ht="15" hidden="false" customHeight="true" outlineLevel="0" collapsed="false">
      <c r="B2579" s="56" t="n">
        <v>45931</v>
      </c>
      <c r="C2579" s="57" t="s">
        <v>32</v>
      </c>
      <c r="D2579" s="58"/>
      <c r="E2579" s="59"/>
      <c r="F2579" s="60" t="n">
        <v>100</v>
      </c>
      <c r="G2579" s="61"/>
      <c r="H2579" s="62" t="n">
        <v>100</v>
      </c>
    </row>
    <row r="2580" customFormat="false" ht="15" hidden="false" customHeight="true" outlineLevel="0" collapsed="false">
      <c r="B2580" s="64"/>
      <c r="C2580" s="65" t="s">
        <v>47</v>
      </c>
      <c r="D2580" s="66" t="n">
        <v>1800</v>
      </c>
      <c r="E2580" s="67"/>
      <c r="F2580" s="67"/>
      <c r="G2580" s="68"/>
      <c r="H2580" s="69" t="n">
        <v>1800</v>
      </c>
    </row>
    <row r="2581" customFormat="false" ht="15" hidden="false" customHeight="true" outlineLevel="0" collapsed="false">
      <c r="B2581" s="64"/>
      <c r="C2581" s="65" t="s">
        <v>19</v>
      </c>
      <c r="D2581" s="66" t="n">
        <v>4151</v>
      </c>
      <c r="E2581" s="67"/>
      <c r="F2581" s="67"/>
      <c r="G2581" s="68"/>
      <c r="H2581" s="69" t="n">
        <v>4151</v>
      </c>
    </row>
    <row r="2582" customFormat="false" ht="15" hidden="false" customHeight="true" outlineLevel="0" collapsed="false">
      <c r="B2582" s="64"/>
      <c r="C2582" s="65" t="s">
        <v>25</v>
      </c>
      <c r="D2582" s="66" t="n">
        <v>260</v>
      </c>
      <c r="E2582" s="71" t="n">
        <v>715</v>
      </c>
      <c r="F2582" s="67"/>
      <c r="G2582" s="68"/>
      <c r="H2582" s="69" t="n">
        <v>975</v>
      </c>
    </row>
    <row r="2583" customFormat="false" ht="15" hidden="false" customHeight="true" outlineLevel="0" collapsed="false">
      <c r="B2583" s="64"/>
      <c r="C2583" s="65" t="s">
        <v>50</v>
      </c>
      <c r="D2583" s="66" t="n">
        <v>1609</v>
      </c>
      <c r="E2583" s="67"/>
      <c r="F2583" s="67"/>
      <c r="G2583" s="68"/>
      <c r="H2583" s="69" t="n">
        <v>1609</v>
      </c>
    </row>
    <row r="2584" customFormat="false" ht="15" hidden="false" customHeight="true" outlineLevel="0" collapsed="false">
      <c r="B2584" s="64"/>
      <c r="C2584" s="65" t="s">
        <v>22</v>
      </c>
      <c r="D2584" s="73"/>
      <c r="E2584" s="67"/>
      <c r="F2584" s="71" t="n">
        <v>55</v>
      </c>
      <c r="G2584" s="68"/>
      <c r="H2584" s="69" t="n">
        <v>55</v>
      </c>
    </row>
    <row r="2585" customFormat="false" ht="15" hidden="false" customHeight="true" outlineLevel="0" collapsed="false">
      <c r="B2585" s="64"/>
      <c r="C2585" s="65" t="s">
        <v>37</v>
      </c>
      <c r="D2585" s="73"/>
      <c r="E2585" s="67"/>
      <c r="F2585" s="71" t="n">
        <v>15</v>
      </c>
      <c r="G2585" s="68"/>
      <c r="H2585" s="69" t="n">
        <v>15</v>
      </c>
    </row>
    <row r="2586" customFormat="false" ht="15" hidden="false" customHeight="true" outlineLevel="0" collapsed="false">
      <c r="B2586" s="64"/>
      <c r="C2586" s="65" t="s">
        <v>43</v>
      </c>
      <c r="D2586" s="73"/>
      <c r="E2586" s="71" t="n">
        <v>1150</v>
      </c>
      <c r="F2586" s="67"/>
      <c r="G2586" s="68"/>
      <c r="H2586" s="69" t="n">
        <v>1150</v>
      </c>
    </row>
    <row r="2587" customFormat="false" ht="15" hidden="false" customHeight="true" outlineLevel="0" collapsed="false">
      <c r="B2587" s="64"/>
      <c r="C2587" s="65" t="s">
        <v>34</v>
      </c>
      <c r="D2587" s="73"/>
      <c r="E2587" s="71" t="n">
        <v>185</v>
      </c>
      <c r="F2587" s="67"/>
      <c r="G2587" s="68"/>
      <c r="H2587" s="69" t="n">
        <v>185</v>
      </c>
    </row>
    <row r="2588" customFormat="false" ht="15" hidden="false" customHeight="true" outlineLevel="0" collapsed="false">
      <c r="B2588" s="84"/>
      <c r="C2588" s="85" t="s">
        <v>29</v>
      </c>
      <c r="D2588" s="86" t="n">
        <v>486</v>
      </c>
      <c r="E2588" s="76" t="n">
        <v>50</v>
      </c>
      <c r="F2588" s="75"/>
      <c r="G2588" s="77"/>
      <c r="H2588" s="78" t="n">
        <v>536</v>
      </c>
    </row>
    <row r="2589" customFormat="false" ht="15" hidden="false" customHeight="true" outlineLevel="0" collapsed="false">
      <c r="B2589" s="87" t="s">
        <v>993</v>
      </c>
      <c r="C2589" s="88"/>
      <c r="D2589" s="89" t="n">
        <v>8306</v>
      </c>
      <c r="E2589" s="89" t="n">
        <v>2100</v>
      </c>
      <c r="F2589" s="89" t="n">
        <v>170</v>
      </c>
      <c r="G2589" s="90"/>
      <c r="H2589" s="91" t="n">
        <v>10576</v>
      </c>
    </row>
    <row r="2590" customFormat="false" ht="15" hidden="false" customHeight="true" outlineLevel="0" collapsed="false">
      <c r="B2590" s="56" t="n">
        <v>45932</v>
      </c>
      <c r="C2590" s="57" t="s">
        <v>32</v>
      </c>
      <c r="D2590" s="58"/>
      <c r="E2590" s="59"/>
      <c r="F2590" s="60" t="n">
        <v>100</v>
      </c>
      <c r="G2590" s="61"/>
      <c r="H2590" s="62" t="n">
        <v>100</v>
      </c>
    </row>
    <row r="2591" customFormat="false" ht="15" hidden="false" customHeight="true" outlineLevel="0" collapsed="false">
      <c r="B2591" s="64"/>
      <c r="C2591" s="65" t="s">
        <v>19</v>
      </c>
      <c r="D2591" s="66" t="n">
        <v>2961</v>
      </c>
      <c r="E2591" s="71" t="n">
        <v>530</v>
      </c>
      <c r="F2591" s="67"/>
      <c r="G2591" s="68"/>
      <c r="H2591" s="69" t="n">
        <v>3491</v>
      </c>
    </row>
    <row r="2592" customFormat="false" ht="15" hidden="false" customHeight="true" outlineLevel="0" collapsed="false">
      <c r="B2592" s="64"/>
      <c r="C2592" s="65" t="s">
        <v>25</v>
      </c>
      <c r="D2592" s="66" t="n">
        <v>1430</v>
      </c>
      <c r="E2592" s="67"/>
      <c r="F2592" s="71" t="n">
        <v>330</v>
      </c>
      <c r="G2592" s="68"/>
      <c r="H2592" s="69" t="n">
        <v>1760</v>
      </c>
    </row>
    <row r="2593" customFormat="false" ht="15" hidden="false" customHeight="true" outlineLevel="0" collapsed="false">
      <c r="B2593" s="64"/>
      <c r="C2593" s="65" t="s">
        <v>28</v>
      </c>
      <c r="D2593" s="73"/>
      <c r="E2593" s="67"/>
      <c r="F2593" s="71" t="n">
        <v>320</v>
      </c>
      <c r="G2593" s="68"/>
      <c r="H2593" s="69" t="n">
        <v>320</v>
      </c>
    </row>
    <row r="2594" customFormat="false" ht="15" hidden="false" customHeight="true" outlineLevel="0" collapsed="false">
      <c r="B2594" s="64"/>
      <c r="C2594" s="65" t="s">
        <v>36</v>
      </c>
      <c r="D2594" s="73"/>
      <c r="E2594" s="71" t="n">
        <v>290</v>
      </c>
      <c r="F2594" s="67"/>
      <c r="G2594" s="68"/>
      <c r="H2594" s="69" t="n">
        <v>290</v>
      </c>
    </row>
    <row r="2595" customFormat="false" ht="15" hidden="false" customHeight="true" outlineLevel="0" collapsed="false">
      <c r="B2595" s="64"/>
      <c r="C2595" s="65" t="s">
        <v>22</v>
      </c>
      <c r="D2595" s="66" t="n">
        <v>3850</v>
      </c>
      <c r="E2595" s="71" t="n">
        <v>1600</v>
      </c>
      <c r="F2595" s="71" t="n">
        <v>870</v>
      </c>
      <c r="G2595" s="68"/>
      <c r="H2595" s="69" t="n">
        <v>6320</v>
      </c>
    </row>
    <row r="2596" customFormat="false" ht="15" hidden="false" customHeight="true" outlineLevel="0" collapsed="false">
      <c r="B2596" s="64"/>
      <c r="C2596" s="65" t="s">
        <v>37</v>
      </c>
      <c r="D2596" s="73"/>
      <c r="E2596" s="67"/>
      <c r="F2596" s="71" t="n">
        <v>10</v>
      </c>
      <c r="G2596" s="68"/>
      <c r="H2596" s="69" t="n">
        <v>10</v>
      </c>
    </row>
    <row r="2597" customFormat="false" ht="15" hidden="false" customHeight="true" outlineLevel="0" collapsed="false">
      <c r="B2597" s="64"/>
      <c r="C2597" s="65" t="s">
        <v>43</v>
      </c>
      <c r="D2597" s="73"/>
      <c r="E2597" s="71" t="n">
        <v>80</v>
      </c>
      <c r="F2597" s="67"/>
      <c r="G2597" s="68"/>
      <c r="H2597" s="69" t="n">
        <v>80</v>
      </c>
    </row>
    <row r="2598" customFormat="false" ht="15" hidden="false" customHeight="true" outlineLevel="0" collapsed="false">
      <c r="B2598" s="64"/>
      <c r="C2598" s="65" t="s">
        <v>107</v>
      </c>
      <c r="D2598" s="73"/>
      <c r="E2598" s="71" t="n">
        <v>310</v>
      </c>
      <c r="F2598" s="67"/>
      <c r="G2598" s="68"/>
      <c r="H2598" s="69" t="n">
        <v>310</v>
      </c>
    </row>
    <row r="2599" customFormat="false" ht="15" hidden="false" customHeight="true" outlineLevel="0" collapsed="false">
      <c r="B2599" s="64"/>
      <c r="C2599" s="65" t="s">
        <v>31</v>
      </c>
      <c r="D2599" s="73"/>
      <c r="E2599" s="71" t="n">
        <v>310</v>
      </c>
      <c r="F2599" s="67"/>
      <c r="G2599" s="68"/>
      <c r="H2599" s="69" t="n">
        <v>310</v>
      </c>
    </row>
    <row r="2600" customFormat="false" ht="15" hidden="false" customHeight="true" outlineLevel="0" collapsed="false">
      <c r="B2600" s="64"/>
      <c r="C2600" s="65" t="s">
        <v>56</v>
      </c>
      <c r="D2600" s="66" t="n">
        <v>4965</v>
      </c>
      <c r="E2600" s="67"/>
      <c r="F2600" s="67"/>
      <c r="G2600" s="68"/>
      <c r="H2600" s="69" t="n">
        <v>4965</v>
      </c>
    </row>
    <row r="2601" customFormat="false" ht="15" hidden="false" customHeight="true" outlineLevel="0" collapsed="false">
      <c r="B2601" s="64"/>
      <c r="C2601" s="65" t="s">
        <v>34</v>
      </c>
      <c r="D2601" s="73"/>
      <c r="E2601" s="71" t="n">
        <v>210</v>
      </c>
      <c r="F2601" s="67"/>
      <c r="G2601" s="68"/>
      <c r="H2601" s="69" t="n">
        <v>210</v>
      </c>
    </row>
    <row r="2602" customFormat="false" ht="15" hidden="false" customHeight="true" outlineLevel="0" collapsed="false">
      <c r="B2602" s="84"/>
      <c r="C2602" s="85" t="s">
        <v>29</v>
      </c>
      <c r="D2602" s="86" t="n">
        <v>464</v>
      </c>
      <c r="E2602" s="76" t="n">
        <v>470</v>
      </c>
      <c r="F2602" s="75"/>
      <c r="G2602" s="77"/>
      <c r="H2602" s="78" t="n">
        <v>934</v>
      </c>
    </row>
    <row r="2603" customFormat="false" ht="15" hidden="false" customHeight="true" outlineLevel="0" collapsed="false">
      <c r="B2603" s="87" t="s">
        <v>994</v>
      </c>
      <c r="C2603" s="88"/>
      <c r="D2603" s="89" t="n">
        <v>13670</v>
      </c>
      <c r="E2603" s="89" t="n">
        <v>3800</v>
      </c>
      <c r="F2603" s="89" t="n">
        <v>1630</v>
      </c>
      <c r="G2603" s="90"/>
      <c r="H2603" s="91" t="n">
        <v>19100</v>
      </c>
    </row>
    <row r="2604" customFormat="false" ht="15" hidden="false" customHeight="true" outlineLevel="0" collapsed="false">
      <c r="B2604" s="56" t="n">
        <v>45933</v>
      </c>
      <c r="C2604" s="57" t="s">
        <v>32</v>
      </c>
      <c r="D2604" s="58"/>
      <c r="E2604" s="59"/>
      <c r="F2604" s="60" t="n">
        <v>150</v>
      </c>
      <c r="G2604" s="61"/>
      <c r="H2604" s="62" t="n">
        <v>150</v>
      </c>
    </row>
    <row r="2605" customFormat="false" ht="15" hidden="false" customHeight="true" outlineLevel="0" collapsed="false">
      <c r="B2605" s="64"/>
      <c r="C2605" s="65" t="s">
        <v>47</v>
      </c>
      <c r="D2605" s="66" t="n">
        <v>1800</v>
      </c>
      <c r="E2605" s="67"/>
      <c r="F2605" s="67"/>
      <c r="G2605" s="68"/>
      <c r="H2605" s="69" t="n">
        <v>1800</v>
      </c>
    </row>
    <row r="2606" customFormat="false" ht="15" hidden="false" customHeight="true" outlineLevel="0" collapsed="false">
      <c r="B2606" s="64"/>
      <c r="C2606" s="65" t="s">
        <v>19</v>
      </c>
      <c r="D2606" s="66" t="n">
        <v>3609</v>
      </c>
      <c r="E2606" s="67"/>
      <c r="F2606" s="67"/>
      <c r="G2606" s="68"/>
      <c r="H2606" s="69" t="n">
        <v>3609</v>
      </c>
    </row>
    <row r="2607" customFormat="false" ht="15" hidden="false" customHeight="true" outlineLevel="0" collapsed="false">
      <c r="B2607" s="64"/>
      <c r="C2607" s="65" t="s">
        <v>25</v>
      </c>
      <c r="D2607" s="66" t="n">
        <v>1513</v>
      </c>
      <c r="E2607" s="71" t="n">
        <v>710</v>
      </c>
      <c r="F2607" s="67"/>
      <c r="G2607" s="68"/>
      <c r="H2607" s="69" t="n">
        <v>2223</v>
      </c>
    </row>
    <row r="2608" customFormat="false" ht="15" hidden="false" customHeight="true" outlineLevel="0" collapsed="false">
      <c r="B2608" s="64"/>
      <c r="C2608" s="65" t="s">
        <v>36</v>
      </c>
      <c r="D2608" s="66" t="n">
        <v>2650</v>
      </c>
      <c r="E2608" s="67"/>
      <c r="F2608" s="67"/>
      <c r="G2608" s="68"/>
      <c r="H2608" s="69" t="n">
        <v>2650</v>
      </c>
    </row>
    <row r="2609" customFormat="false" ht="15" hidden="false" customHeight="true" outlineLevel="0" collapsed="false">
      <c r="B2609" s="64"/>
      <c r="C2609" s="65" t="s">
        <v>69</v>
      </c>
      <c r="D2609" s="66" t="n">
        <v>1500</v>
      </c>
      <c r="E2609" s="67"/>
      <c r="F2609" s="67"/>
      <c r="G2609" s="68"/>
      <c r="H2609" s="69" t="n">
        <v>1500</v>
      </c>
    </row>
    <row r="2610" customFormat="false" ht="15" hidden="false" customHeight="true" outlineLevel="0" collapsed="false">
      <c r="B2610" s="64"/>
      <c r="C2610" s="65" t="s">
        <v>50</v>
      </c>
      <c r="D2610" s="66" t="n">
        <v>1609</v>
      </c>
      <c r="E2610" s="67"/>
      <c r="F2610" s="67"/>
      <c r="G2610" s="68"/>
      <c r="H2610" s="69" t="n">
        <v>1609</v>
      </c>
    </row>
    <row r="2611" customFormat="false" ht="15" hidden="false" customHeight="true" outlineLevel="0" collapsed="false">
      <c r="B2611" s="64"/>
      <c r="C2611" s="65" t="s">
        <v>22</v>
      </c>
      <c r="D2611" s="73"/>
      <c r="E2611" s="67"/>
      <c r="F2611" s="71" t="n">
        <v>165</v>
      </c>
      <c r="G2611" s="68"/>
      <c r="H2611" s="69" t="n">
        <v>165</v>
      </c>
    </row>
    <row r="2612" customFormat="false" ht="15" hidden="false" customHeight="true" outlineLevel="0" collapsed="false">
      <c r="B2612" s="64"/>
      <c r="C2612" s="65" t="s">
        <v>37</v>
      </c>
      <c r="D2612" s="73"/>
      <c r="E2612" s="67"/>
      <c r="F2612" s="71" t="n">
        <v>30</v>
      </c>
      <c r="G2612" s="68"/>
      <c r="H2612" s="69" t="n">
        <v>30</v>
      </c>
    </row>
    <row r="2613" customFormat="false" ht="15" hidden="false" customHeight="true" outlineLevel="0" collapsed="false">
      <c r="B2613" s="64"/>
      <c r="C2613" s="65" t="s">
        <v>60</v>
      </c>
      <c r="D2613" s="73"/>
      <c r="E2613" s="67"/>
      <c r="F2613" s="71" t="n">
        <v>210</v>
      </c>
      <c r="G2613" s="68"/>
      <c r="H2613" s="69" t="n">
        <v>210</v>
      </c>
    </row>
    <row r="2614" customFormat="false" ht="15" hidden="false" customHeight="true" outlineLevel="0" collapsed="false">
      <c r="B2614" s="64"/>
      <c r="C2614" s="65" t="s">
        <v>40</v>
      </c>
      <c r="D2614" s="66" t="n">
        <v>2160</v>
      </c>
      <c r="E2614" s="67"/>
      <c r="F2614" s="67"/>
      <c r="G2614" s="68"/>
      <c r="H2614" s="69" t="n">
        <v>2160</v>
      </c>
    </row>
    <row r="2615" customFormat="false" ht="15" hidden="false" customHeight="true" outlineLevel="0" collapsed="false">
      <c r="B2615" s="64"/>
      <c r="C2615" s="65" t="s">
        <v>31</v>
      </c>
      <c r="D2615" s="73"/>
      <c r="E2615" s="71" t="n">
        <v>300</v>
      </c>
      <c r="F2615" s="67"/>
      <c r="G2615" s="68"/>
      <c r="H2615" s="69" t="n">
        <v>300</v>
      </c>
    </row>
    <row r="2616" customFormat="false" ht="15" hidden="false" customHeight="true" outlineLevel="0" collapsed="false">
      <c r="B2616" s="64"/>
      <c r="C2616" s="65" t="s">
        <v>56</v>
      </c>
      <c r="D2616" s="66" t="n">
        <v>950</v>
      </c>
      <c r="E2616" s="67"/>
      <c r="F2616" s="67"/>
      <c r="G2616" s="68"/>
      <c r="H2616" s="69" t="n">
        <v>950</v>
      </c>
    </row>
    <row r="2617" customFormat="false" ht="15" hidden="false" customHeight="true" outlineLevel="0" collapsed="false">
      <c r="B2617" s="64"/>
      <c r="C2617" s="65" t="s">
        <v>35</v>
      </c>
      <c r="D2617" s="66" t="n">
        <v>6220</v>
      </c>
      <c r="E2617" s="67"/>
      <c r="F2617" s="67"/>
      <c r="G2617" s="68"/>
      <c r="H2617" s="69" t="n">
        <v>6220</v>
      </c>
    </row>
    <row r="2618" customFormat="false" ht="15" hidden="false" customHeight="true" outlineLevel="0" collapsed="false">
      <c r="B2618" s="64"/>
      <c r="C2618" s="65" t="s">
        <v>34</v>
      </c>
      <c r="D2618" s="73"/>
      <c r="E2618" s="71" t="n">
        <v>300</v>
      </c>
      <c r="F2618" s="67"/>
      <c r="G2618" s="68"/>
      <c r="H2618" s="69" t="n">
        <v>300</v>
      </c>
    </row>
    <row r="2619" customFormat="false" ht="15" hidden="false" customHeight="true" outlineLevel="0" collapsed="false">
      <c r="B2619" s="64"/>
      <c r="C2619" s="65" t="s">
        <v>29</v>
      </c>
      <c r="D2619" s="66" t="n">
        <v>673</v>
      </c>
      <c r="E2619" s="71" t="n">
        <v>720</v>
      </c>
      <c r="F2619" s="67"/>
      <c r="G2619" s="68"/>
      <c r="H2619" s="69" t="n">
        <v>1393</v>
      </c>
    </row>
    <row r="2620" customFormat="false" ht="15" hidden="false" customHeight="true" outlineLevel="0" collapsed="false">
      <c r="B2620" s="84"/>
      <c r="C2620" s="85" t="s">
        <v>197</v>
      </c>
      <c r="D2620" s="74"/>
      <c r="E2620" s="75"/>
      <c r="F2620" s="76" t="n">
        <v>800</v>
      </c>
      <c r="G2620" s="77"/>
      <c r="H2620" s="78" t="n">
        <v>800</v>
      </c>
    </row>
    <row r="2621" customFormat="false" ht="15" hidden="false" customHeight="true" outlineLevel="0" collapsed="false">
      <c r="B2621" s="87" t="s">
        <v>995</v>
      </c>
      <c r="C2621" s="88"/>
      <c r="D2621" s="89" t="n">
        <v>22684</v>
      </c>
      <c r="E2621" s="89" t="n">
        <v>2030</v>
      </c>
      <c r="F2621" s="89" t="n">
        <v>1355</v>
      </c>
      <c r="G2621" s="90"/>
      <c r="H2621" s="91" t="n">
        <v>26069</v>
      </c>
    </row>
    <row r="2622" customFormat="false" ht="15" hidden="false" customHeight="true" outlineLevel="0" collapsed="false">
      <c r="B2622" s="56" t="n">
        <v>45934</v>
      </c>
      <c r="C2622" s="57" t="s">
        <v>32</v>
      </c>
      <c r="D2622" s="58"/>
      <c r="E2622" s="59"/>
      <c r="F2622" s="60" t="n">
        <v>100</v>
      </c>
      <c r="G2622" s="61"/>
      <c r="H2622" s="62" t="n">
        <v>100</v>
      </c>
    </row>
    <row r="2623" customFormat="false" ht="15" hidden="false" customHeight="true" outlineLevel="0" collapsed="false">
      <c r="B2623" s="64"/>
      <c r="C2623" s="65" t="s">
        <v>19</v>
      </c>
      <c r="D2623" s="66" t="n">
        <v>6053</v>
      </c>
      <c r="E2623" s="67"/>
      <c r="F2623" s="67"/>
      <c r="G2623" s="68"/>
      <c r="H2623" s="69" t="n">
        <v>6053</v>
      </c>
    </row>
    <row r="2624" customFormat="false" ht="15" hidden="false" customHeight="true" outlineLevel="0" collapsed="false">
      <c r="B2624" s="64"/>
      <c r="C2624" s="65" t="s">
        <v>25</v>
      </c>
      <c r="D2624" s="66" t="n">
        <v>935</v>
      </c>
      <c r="E2624" s="67"/>
      <c r="F2624" s="67"/>
      <c r="G2624" s="68"/>
      <c r="H2624" s="69" t="n">
        <v>935</v>
      </c>
    </row>
    <row r="2625" customFormat="false" ht="15" hidden="false" customHeight="true" outlineLevel="0" collapsed="false">
      <c r="B2625" s="64"/>
      <c r="C2625" s="65" t="s">
        <v>51</v>
      </c>
      <c r="D2625" s="73"/>
      <c r="E2625" s="71" t="n">
        <v>100</v>
      </c>
      <c r="F2625" s="67"/>
      <c r="G2625" s="68"/>
      <c r="H2625" s="69" t="n">
        <v>100</v>
      </c>
    </row>
    <row r="2626" customFormat="false" ht="15" hidden="false" customHeight="true" outlineLevel="0" collapsed="false">
      <c r="B2626" s="64"/>
      <c r="C2626" s="65" t="s">
        <v>22</v>
      </c>
      <c r="D2626" s="66" t="n">
        <v>2770</v>
      </c>
      <c r="E2626" s="67"/>
      <c r="F2626" s="67"/>
      <c r="G2626" s="68"/>
      <c r="H2626" s="69" t="n">
        <v>2770</v>
      </c>
    </row>
    <row r="2627" customFormat="false" ht="15" hidden="false" customHeight="true" outlineLevel="0" collapsed="false">
      <c r="B2627" s="64"/>
      <c r="C2627" s="65" t="s">
        <v>37</v>
      </c>
      <c r="D2627" s="73"/>
      <c r="E2627" s="67"/>
      <c r="F2627" s="71" t="n">
        <v>20</v>
      </c>
      <c r="G2627" s="68"/>
      <c r="H2627" s="69" t="n">
        <v>20</v>
      </c>
    </row>
    <row r="2628" customFormat="false" ht="15" hidden="false" customHeight="true" outlineLevel="0" collapsed="false">
      <c r="B2628" s="64"/>
      <c r="C2628" s="65" t="s">
        <v>43</v>
      </c>
      <c r="D2628" s="66" t="n">
        <v>1000</v>
      </c>
      <c r="E2628" s="67"/>
      <c r="F2628" s="71" t="n">
        <v>450</v>
      </c>
      <c r="G2628" s="68"/>
      <c r="H2628" s="69" t="n">
        <v>1450</v>
      </c>
    </row>
    <row r="2629" customFormat="false" ht="15" hidden="false" customHeight="true" outlineLevel="0" collapsed="false">
      <c r="B2629" s="64"/>
      <c r="C2629" s="65" t="s">
        <v>107</v>
      </c>
      <c r="D2629" s="73"/>
      <c r="E2629" s="67"/>
      <c r="F2629" s="71" t="n">
        <v>400</v>
      </c>
      <c r="G2629" s="68"/>
      <c r="H2629" s="69" t="n">
        <v>400</v>
      </c>
    </row>
    <row r="2630" customFormat="false" ht="15" hidden="false" customHeight="true" outlineLevel="0" collapsed="false">
      <c r="B2630" s="64"/>
      <c r="C2630" s="65" t="s">
        <v>34</v>
      </c>
      <c r="D2630" s="73"/>
      <c r="E2630" s="67"/>
      <c r="F2630" s="71" t="n">
        <v>150</v>
      </c>
      <c r="G2630" s="68"/>
      <c r="H2630" s="69" t="n">
        <v>150</v>
      </c>
    </row>
    <row r="2631" customFormat="false" ht="15" hidden="false" customHeight="true" outlineLevel="0" collapsed="false">
      <c r="B2631" s="84"/>
      <c r="C2631" s="85" t="s">
        <v>29</v>
      </c>
      <c r="D2631" s="86" t="n">
        <v>501</v>
      </c>
      <c r="E2631" s="75"/>
      <c r="F2631" s="75"/>
      <c r="G2631" s="77"/>
      <c r="H2631" s="78" t="n">
        <v>501</v>
      </c>
    </row>
    <row r="2632" customFormat="false" ht="15" hidden="false" customHeight="true" outlineLevel="0" collapsed="false">
      <c r="B2632" s="87" t="s">
        <v>996</v>
      </c>
      <c r="C2632" s="88"/>
      <c r="D2632" s="89" t="n">
        <v>11259</v>
      </c>
      <c r="E2632" s="89" t="n">
        <v>100</v>
      </c>
      <c r="F2632" s="89" t="n">
        <v>1120</v>
      </c>
      <c r="G2632" s="90"/>
      <c r="H2632" s="91" t="n">
        <v>12479</v>
      </c>
    </row>
    <row r="2633" customFormat="false" ht="15" hidden="false" customHeight="true" outlineLevel="0" collapsed="false">
      <c r="B2633" s="56" t="n">
        <v>45935</v>
      </c>
      <c r="C2633" s="57" t="s">
        <v>44</v>
      </c>
      <c r="D2633" s="92" t="n">
        <v>2240</v>
      </c>
      <c r="E2633" s="59"/>
      <c r="F2633" s="60" t="n">
        <v>1000</v>
      </c>
      <c r="G2633" s="61"/>
      <c r="H2633" s="62" t="n">
        <v>3240</v>
      </c>
    </row>
    <row r="2634" customFormat="false" ht="15" hidden="false" customHeight="true" outlineLevel="0" collapsed="false">
      <c r="B2634" s="64"/>
      <c r="C2634" s="65" t="s">
        <v>32</v>
      </c>
      <c r="D2634" s="73"/>
      <c r="E2634" s="67"/>
      <c r="F2634" s="71" t="n">
        <v>125</v>
      </c>
      <c r="G2634" s="68"/>
      <c r="H2634" s="69" t="n">
        <v>125</v>
      </c>
    </row>
    <row r="2635" customFormat="false" ht="15" hidden="false" customHeight="true" outlineLevel="0" collapsed="false">
      <c r="B2635" s="64"/>
      <c r="C2635" s="65" t="s">
        <v>53</v>
      </c>
      <c r="D2635" s="66" t="n">
        <v>950</v>
      </c>
      <c r="E2635" s="67"/>
      <c r="F2635" s="67"/>
      <c r="G2635" s="68"/>
      <c r="H2635" s="69" t="n">
        <v>950</v>
      </c>
    </row>
    <row r="2636" customFormat="false" ht="15" hidden="false" customHeight="true" outlineLevel="0" collapsed="false">
      <c r="B2636" s="64"/>
      <c r="C2636" s="65" t="s">
        <v>19</v>
      </c>
      <c r="D2636" s="66" t="n">
        <v>4213</v>
      </c>
      <c r="E2636" s="67"/>
      <c r="F2636" s="67"/>
      <c r="G2636" s="68"/>
      <c r="H2636" s="69" t="n">
        <v>4213</v>
      </c>
    </row>
    <row r="2637" customFormat="false" ht="15" hidden="false" customHeight="true" outlineLevel="0" collapsed="false">
      <c r="B2637" s="64"/>
      <c r="C2637" s="65" t="s">
        <v>25</v>
      </c>
      <c r="D2637" s="66" t="n">
        <v>1355</v>
      </c>
      <c r="E2637" s="67"/>
      <c r="F2637" s="71" t="n">
        <v>210</v>
      </c>
      <c r="G2637" s="68"/>
      <c r="H2637" s="69" t="n">
        <v>1565</v>
      </c>
    </row>
    <row r="2638" customFormat="false" ht="15" hidden="false" customHeight="true" outlineLevel="0" collapsed="false">
      <c r="B2638" s="64"/>
      <c r="C2638" s="65" t="s">
        <v>28</v>
      </c>
      <c r="D2638" s="73"/>
      <c r="E2638" s="67"/>
      <c r="F2638" s="71" t="n">
        <v>480</v>
      </c>
      <c r="G2638" s="68"/>
      <c r="H2638" s="69" t="n">
        <v>480</v>
      </c>
    </row>
    <row r="2639" customFormat="false" ht="15" hidden="false" customHeight="true" outlineLevel="0" collapsed="false">
      <c r="B2639" s="64"/>
      <c r="C2639" s="65" t="s">
        <v>50</v>
      </c>
      <c r="D2639" s="66" t="n">
        <v>1609</v>
      </c>
      <c r="E2639" s="67"/>
      <c r="F2639" s="67"/>
      <c r="G2639" s="68"/>
      <c r="H2639" s="69" t="n">
        <v>1609</v>
      </c>
    </row>
    <row r="2640" customFormat="false" ht="15" hidden="false" customHeight="true" outlineLevel="0" collapsed="false">
      <c r="B2640" s="64"/>
      <c r="C2640" s="65" t="s">
        <v>22</v>
      </c>
      <c r="D2640" s="66" t="n">
        <v>29901</v>
      </c>
      <c r="E2640" s="67"/>
      <c r="F2640" s="71" t="n">
        <v>55</v>
      </c>
      <c r="G2640" s="68"/>
      <c r="H2640" s="69" t="n">
        <v>29956</v>
      </c>
    </row>
    <row r="2641" customFormat="false" ht="15" hidden="false" customHeight="true" outlineLevel="0" collapsed="false">
      <c r="B2641" s="64"/>
      <c r="C2641" s="65" t="s">
        <v>43</v>
      </c>
      <c r="D2641" s="73"/>
      <c r="E2641" s="71" t="n">
        <v>370</v>
      </c>
      <c r="F2641" s="67"/>
      <c r="G2641" s="68"/>
      <c r="H2641" s="69" t="n">
        <v>370</v>
      </c>
    </row>
    <row r="2642" customFormat="false" ht="15" hidden="false" customHeight="true" outlineLevel="0" collapsed="false">
      <c r="B2642" s="64"/>
      <c r="C2642" s="65" t="s">
        <v>40</v>
      </c>
      <c r="D2642" s="66" t="n">
        <v>2340</v>
      </c>
      <c r="E2642" s="67"/>
      <c r="F2642" s="67"/>
      <c r="G2642" s="68"/>
      <c r="H2642" s="69" t="n">
        <v>2340</v>
      </c>
    </row>
    <row r="2643" customFormat="false" ht="15" hidden="false" customHeight="true" outlineLevel="0" collapsed="false">
      <c r="B2643" s="64"/>
      <c r="C2643" s="65" t="s">
        <v>34</v>
      </c>
      <c r="D2643" s="73"/>
      <c r="E2643" s="71" t="n">
        <v>165</v>
      </c>
      <c r="F2643" s="67"/>
      <c r="G2643" s="68"/>
      <c r="H2643" s="69" t="n">
        <v>165</v>
      </c>
    </row>
    <row r="2644" customFormat="false" ht="15" hidden="false" customHeight="true" outlineLevel="0" collapsed="false">
      <c r="B2644" s="84"/>
      <c r="C2644" s="85" t="s">
        <v>29</v>
      </c>
      <c r="D2644" s="86" t="n">
        <v>706</v>
      </c>
      <c r="E2644" s="75"/>
      <c r="F2644" s="75"/>
      <c r="G2644" s="77"/>
      <c r="H2644" s="78" t="n">
        <v>706</v>
      </c>
    </row>
    <row r="2645" customFormat="false" ht="15" hidden="false" customHeight="true" outlineLevel="0" collapsed="false">
      <c r="B2645" s="87" t="s">
        <v>997</v>
      </c>
      <c r="C2645" s="88"/>
      <c r="D2645" s="89" t="n">
        <v>43314</v>
      </c>
      <c r="E2645" s="89" t="n">
        <v>535</v>
      </c>
      <c r="F2645" s="89" t="n">
        <v>1870</v>
      </c>
      <c r="G2645" s="90"/>
      <c r="H2645" s="91" t="n">
        <v>45719</v>
      </c>
    </row>
    <row r="2646" customFormat="false" ht="15" hidden="false" customHeight="true" outlineLevel="0" collapsed="false">
      <c r="B2646" s="56" t="n">
        <v>45936</v>
      </c>
      <c r="C2646" s="57" t="s">
        <v>44</v>
      </c>
      <c r="D2646" s="92" t="n">
        <v>7000</v>
      </c>
      <c r="E2646" s="60" t="n">
        <v>1250</v>
      </c>
      <c r="F2646" s="59"/>
      <c r="G2646" s="61"/>
      <c r="H2646" s="62" t="n">
        <v>8250</v>
      </c>
    </row>
    <row r="2647" customFormat="false" ht="15" hidden="false" customHeight="true" outlineLevel="0" collapsed="false">
      <c r="B2647" s="64"/>
      <c r="C2647" s="65" t="s">
        <v>32</v>
      </c>
      <c r="D2647" s="73"/>
      <c r="E2647" s="67"/>
      <c r="F2647" s="71" t="n">
        <v>325</v>
      </c>
      <c r="G2647" s="68"/>
      <c r="H2647" s="69" t="n">
        <v>325</v>
      </c>
    </row>
    <row r="2648" customFormat="false" ht="15" hidden="false" customHeight="true" outlineLevel="0" collapsed="false">
      <c r="B2648" s="64"/>
      <c r="C2648" s="65" t="s">
        <v>53</v>
      </c>
      <c r="D2648" s="73"/>
      <c r="E2648" s="71" t="n">
        <v>950</v>
      </c>
      <c r="F2648" s="67"/>
      <c r="G2648" s="68"/>
      <c r="H2648" s="69" t="n">
        <v>950</v>
      </c>
    </row>
    <row r="2649" customFormat="false" ht="15" hidden="false" customHeight="true" outlineLevel="0" collapsed="false">
      <c r="B2649" s="64"/>
      <c r="C2649" s="65" t="s">
        <v>47</v>
      </c>
      <c r="D2649" s="66" t="n">
        <v>900</v>
      </c>
      <c r="E2649" s="67"/>
      <c r="F2649" s="67"/>
      <c r="G2649" s="68"/>
      <c r="H2649" s="69" t="n">
        <v>900</v>
      </c>
    </row>
    <row r="2650" customFormat="false" ht="15" hidden="false" customHeight="true" outlineLevel="0" collapsed="false">
      <c r="B2650" s="64"/>
      <c r="C2650" s="65" t="s">
        <v>19</v>
      </c>
      <c r="D2650" s="66" t="n">
        <v>4334</v>
      </c>
      <c r="E2650" s="67"/>
      <c r="F2650" s="67"/>
      <c r="G2650" s="68"/>
      <c r="H2650" s="69" t="n">
        <v>4334</v>
      </c>
    </row>
    <row r="2651" customFormat="false" ht="15" hidden="false" customHeight="true" outlineLevel="0" collapsed="false">
      <c r="B2651" s="64"/>
      <c r="C2651" s="65" t="s">
        <v>25</v>
      </c>
      <c r="D2651" s="66" t="n">
        <v>1200</v>
      </c>
      <c r="E2651" s="71" t="n">
        <v>350</v>
      </c>
      <c r="F2651" s="67"/>
      <c r="G2651" s="68"/>
      <c r="H2651" s="69" t="n">
        <v>1550</v>
      </c>
    </row>
    <row r="2652" customFormat="false" ht="15" hidden="false" customHeight="true" outlineLevel="0" collapsed="false">
      <c r="B2652" s="64"/>
      <c r="C2652" s="65" t="s">
        <v>51</v>
      </c>
      <c r="D2652" s="66" t="n">
        <v>495</v>
      </c>
      <c r="E2652" s="67"/>
      <c r="F2652" s="67"/>
      <c r="G2652" s="68"/>
      <c r="H2652" s="69" t="n">
        <v>495</v>
      </c>
    </row>
    <row r="2653" customFormat="false" ht="15" hidden="false" customHeight="true" outlineLevel="0" collapsed="false">
      <c r="B2653" s="64"/>
      <c r="C2653" s="65" t="s">
        <v>50</v>
      </c>
      <c r="D2653" s="66" t="n">
        <v>1609</v>
      </c>
      <c r="E2653" s="67"/>
      <c r="F2653" s="67"/>
      <c r="G2653" s="68"/>
      <c r="H2653" s="69" t="n">
        <v>1609</v>
      </c>
    </row>
    <row r="2654" customFormat="false" ht="15" hidden="false" customHeight="true" outlineLevel="0" collapsed="false">
      <c r="B2654" s="64"/>
      <c r="C2654" s="65" t="s">
        <v>22</v>
      </c>
      <c r="D2654" s="73"/>
      <c r="E2654" s="67"/>
      <c r="F2654" s="71" t="n">
        <v>55</v>
      </c>
      <c r="G2654" s="68"/>
      <c r="H2654" s="69" t="n">
        <v>55</v>
      </c>
    </row>
    <row r="2655" customFormat="false" ht="15" hidden="false" customHeight="true" outlineLevel="0" collapsed="false">
      <c r="B2655" s="64"/>
      <c r="C2655" s="65" t="s">
        <v>43</v>
      </c>
      <c r="D2655" s="73"/>
      <c r="E2655" s="71" t="n">
        <v>1020</v>
      </c>
      <c r="F2655" s="67"/>
      <c r="G2655" s="68"/>
      <c r="H2655" s="69" t="n">
        <v>1020</v>
      </c>
    </row>
    <row r="2656" customFormat="false" ht="15" hidden="false" customHeight="true" outlineLevel="0" collapsed="false">
      <c r="B2656" s="64"/>
      <c r="C2656" s="65" t="s">
        <v>34</v>
      </c>
      <c r="D2656" s="73"/>
      <c r="E2656" s="71" t="n">
        <v>170</v>
      </c>
      <c r="F2656" s="67"/>
      <c r="G2656" s="68"/>
      <c r="H2656" s="69" t="n">
        <v>170</v>
      </c>
    </row>
    <row r="2657" customFormat="false" ht="15" hidden="false" customHeight="true" outlineLevel="0" collapsed="false">
      <c r="B2657" s="84"/>
      <c r="C2657" s="85" t="s">
        <v>29</v>
      </c>
      <c r="D2657" s="86" t="n">
        <v>709</v>
      </c>
      <c r="E2657" s="75"/>
      <c r="F2657" s="75"/>
      <c r="G2657" s="77"/>
      <c r="H2657" s="78" t="n">
        <v>709</v>
      </c>
    </row>
    <row r="2658" customFormat="false" ht="15" hidden="false" customHeight="true" outlineLevel="0" collapsed="false">
      <c r="B2658" s="87" t="s">
        <v>998</v>
      </c>
      <c r="C2658" s="88"/>
      <c r="D2658" s="89" t="n">
        <v>16247</v>
      </c>
      <c r="E2658" s="89" t="n">
        <v>3740</v>
      </c>
      <c r="F2658" s="89" t="n">
        <v>380</v>
      </c>
      <c r="G2658" s="90"/>
      <c r="H2658" s="91" t="n">
        <v>20367</v>
      </c>
    </row>
    <row r="2659" customFormat="false" ht="15" hidden="false" customHeight="true" outlineLevel="0" collapsed="false">
      <c r="B2659" s="56" t="n">
        <v>45937</v>
      </c>
      <c r="C2659" s="57" t="s">
        <v>44</v>
      </c>
      <c r="D2659" s="58"/>
      <c r="E2659" s="59"/>
      <c r="F2659" s="60" t="n">
        <v>1500</v>
      </c>
      <c r="G2659" s="61"/>
      <c r="H2659" s="62" t="n">
        <v>1500</v>
      </c>
    </row>
    <row r="2660" customFormat="false" ht="15" hidden="false" customHeight="true" outlineLevel="0" collapsed="false">
      <c r="B2660" s="64"/>
      <c r="C2660" s="65" t="s">
        <v>19</v>
      </c>
      <c r="D2660" s="66" t="n">
        <v>2905</v>
      </c>
      <c r="E2660" s="67"/>
      <c r="F2660" s="67"/>
      <c r="G2660" s="68"/>
      <c r="H2660" s="69" t="n">
        <v>2905</v>
      </c>
    </row>
    <row r="2661" customFormat="false" ht="15" hidden="false" customHeight="true" outlineLevel="0" collapsed="false">
      <c r="B2661" s="64"/>
      <c r="C2661" s="65" t="s">
        <v>25</v>
      </c>
      <c r="D2661" s="66" t="n">
        <v>410</v>
      </c>
      <c r="E2661" s="67"/>
      <c r="F2661" s="67"/>
      <c r="G2661" s="68"/>
      <c r="H2661" s="69" t="n">
        <v>410</v>
      </c>
    </row>
    <row r="2662" customFormat="false" ht="15" hidden="false" customHeight="true" outlineLevel="0" collapsed="false">
      <c r="B2662" s="64"/>
      <c r="C2662" s="65" t="s">
        <v>227</v>
      </c>
      <c r="D2662" s="73"/>
      <c r="E2662" s="67"/>
      <c r="F2662" s="71" t="n">
        <v>50</v>
      </c>
      <c r="G2662" s="68"/>
      <c r="H2662" s="69" t="n">
        <v>50</v>
      </c>
    </row>
    <row r="2663" customFormat="false" ht="15" hidden="false" customHeight="true" outlineLevel="0" collapsed="false">
      <c r="B2663" s="64"/>
      <c r="C2663" s="65" t="s">
        <v>50</v>
      </c>
      <c r="D2663" s="66" t="n">
        <v>1609</v>
      </c>
      <c r="E2663" s="67"/>
      <c r="F2663" s="67"/>
      <c r="G2663" s="68"/>
      <c r="H2663" s="69" t="n">
        <v>1609</v>
      </c>
    </row>
    <row r="2664" customFormat="false" ht="15" hidden="false" customHeight="true" outlineLevel="0" collapsed="false">
      <c r="B2664" s="64"/>
      <c r="C2664" s="65" t="s">
        <v>22</v>
      </c>
      <c r="D2664" s="73"/>
      <c r="E2664" s="67"/>
      <c r="F2664" s="71" t="n">
        <v>475</v>
      </c>
      <c r="G2664" s="68"/>
      <c r="H2664" s="69" t="n">
        <v>475</v>
      </c>
    </row>
    <row r="2665" customFormat="false" ht="15" hidden="false" customHeight="true" outlineLevel="0" collapsed="false">
      <c r="B2665" s="64"/>
      <c r="C2665" s="65" t="s">
        <v>199</v>
      </c>
      <c r="D2665" s="66" t="n">
        <v>4641</v>
      </c>
      <c r="E2665" s="67"/>
      <c r="F2665" s="67"/>
      <c r="G2665" s="68"/>
      <c r="H2665" s="69" t="n">
        <v>4641</v>
      </c>
    </row>
    <row r="2666" customFormat="false" ht="15" hidden="false" customHeight="true" outlineLevel="0" collapsed="false">
      <c r="B2666" s="64"/>
      <c r="C2666" s="65" t="s">
        <v>43</v>
      </c>
      <c r="D2666" s="73"/>
      <c r="E2666" s="71" t="n">
        <v>1000</v>
      </c>
      <c r="F2666" s="67"/>
      <c r="G2666" s="68"/>
      <c r="H2666" s="69" t="n">
        <v>1000</v>
      </c>
    </row>
    <row r="2667" customFormat="false" ht="15" hidden="false" customHeight="true" outlineLevel="0" collapsed="false">
      <c r="B2667" s="64"/>
      <c r="C2667" s="65" t="s">
        <v>31</v>
      </c>
      <c r="D2667" s="73"/>
      <c r="E2667" s="67"/>
      <c r="F2667" s="71" t="n">
        <v>310</v>
      </c>
      <c r="G2667" s="68"/>
      <c r="H2667" s="69" t="n">
        <v>310</v>
      </c>
    </row>
    <row r="2668" customFormat="false" ht="15" hidden="false" customHeight="true" outlineLevel="0" collapsed="false">
      <c r="B2668" s="64"/>
      <c r="C2668" s="65" t="s">
        <v>34</v>
      </c>
      <c r="D2668" s="73"/>
      <c r="E2668" s="67"/>
      <c r="F2668" s="71" t="n">
        <v>115</v>
      </c>
      <c r="G2668" s="68"/>
      <c r="H2668" s="69" t="n">
        <v>115</v>
      </c>
    </row>
    <row r="2669" customFormat="false" ht="15" hidden="false" customHeight="true" outlineLevel="0" collapsed="false">
      <c r="B2669" s="84"/>
      <c r="C2669" s="85" t="s">
        <v>29</v>
      </c>
      <c r="D2669" s="86" t="n">
        <v>480</v>
      </c>
      <c r="E2669" s="75"/>
      <c r="F2669" s="76" t="n">
        <v>200</v>
      </c>
      <c r="G2669" s="77"/>
      <c r="H2669" s="78" t="n">
        <v>680</v>
      </c>
    </row>
    <row r="2670" customFormat="false" ht="15" hidden="false" customHeight="true" outlineLevel="0" collapsed="false">
      <c r="B2670" s="87" t="s">
        <v>999</v>
      </c>
      <c r="C2670" s="88"/>
      <c r="D2670" s="89" t="n">
        <v>10045</v>
      </c>
      <c r="E2670" s="89" t="n">
        <v>1000</v>
      </c>
      <c r="F2670" s="89" t="n">
        <v>2650</v>
      </c>
      <c r="G2670" s="90"/>
      <c r="H2670" s="91" t="n">
        <v>13695</v>
      </c>
    </row>
    <row r="2671" customFormat="false" ht="15" hidden="false" customHeight="true" outlineLevel="0" collapsed="false">
      <c r="B2671" s="56" t="n">
        <v>45938</v>
      </c>
      <c r="C2671" s="57" t="s">
        <v>44</v>
      </c>
      <c r="D2671" s="92" t="n">
        <v>1000</v>
      </c>
      <c r="E2671" s="59"/>
      <c r="F2671" s="59"/>
      <c r="G2671" s="61"/>
      <c r="H2671" s="62" t="n">
        <v>1000</v>
      </c>
    </row>
    <row r="2672" customFormat="false" ht="15" hidden="false" customHeight="true" outlineLevel="0" collapsed="false">
      <c r="B2672" s="64"/>
      <c r="C2672" s="65" t="s">
        <v>32</v>
      </c>
      <c r="D2672" s="73"/>
      <c r="E2672" s="67"/>
      <c r="F2672" s="71" t="n">
        <v>300</v>
      </c>
      <c r="G2672" s="68"/>
      <c r="H2672" s="69" t="n">
        <v>300</v>
      </c>
    </row>
    <row r="2673" customFormat="false" ht="15" hidden="false" customHeight="true" outlineLevel="0" collapsed="false">
      <c r="B2673" s="64"/>
      <c r="C2673" s="65" t="s">
        <v>53</v>
      </c>
      <c r="D2673" s="73"/>
      <c r="E2673" s="67"/>
      <c r="F2673" s="71" t="n">
        <v>1220</v>
      </c>
      <c r="G2673" s="68"/>
      <c r="H2673" s="69" t="n">
        <v>1220</v>
      </c>
    </row>
    <row r="2674" customFormat="false" ht="15" hidden="false" customHeight="true" outlineLevel="0" collapsed="false">
      <c r="B2674" s="64"/>
      <c r="C2674" s="65" t="s">
        <v>19</v>
      </c>
      <c r="D2674" s="66" t="n">
        <v>5338</v>
      </c>
      <c r="E2674" s="67"/>
      <c r="F2674" s="67"/>
      <c r="G2674" s="68"/>
      <c r="H2674" s="69" t="n">
        <v>5338</v>
      </c>
    </row>
    <row r="2675" customFormat="false" ht="15" hidden="false" customHeight="true" outlineLevel="0" collapsed="false">
      <c r="B2675" s="64"/>
      <c r="C2675" s="65" t="s">
        <v>25</v>
      </c>
      <c r="D2675" s="66" t="n">
        <v>1110</v>
      </c>
      <c r="E2675" s="67"/>
      <c r="F2675" s="67"/>
      <c r="G2675" s="68"/>
      <c r="H2675" s="69" t="n">
        <v>1110</v>
      </c>
    </row>
    <row r="2676" customFormat="false" ht="15" hidden="false" customHeight="true" outlineLevel="0" collapsed="false">
      <c r="B2676" s="64"/>
      <c r="C2676" s="65" t="s">
        <v>50</v>
      </c>
      <c r="D2676" s="66" t="n">
        <v>1609</v>
      </c>
      <c r="E2676" s="67"/>
      <c r="F2676" s="67"/>
      <c r="G2676" s="68"/>
      <c r="H2676" s="69" t="n">
        <v>1609</v>
      </c>
    </row>
    <row r="2677" customFormat="false" ht="15" hidden="false" customHeight="true" outlineLevel="0" collapsed="false">
      <c r="B2677" s="64"/>
      <c r="C2677" s="65" t="s">
        <v>22</v>
      </c>
      <c r="D2677" s="66" t="n">
        <v>650</v>
      </c>
      <c r="E2677" s="71" t="n">
        <v>110</v>
      </c>
      <c r="F2677" s="71" t="n">
        <v>110</v>
      </c>
      <c r="G2677" s="68"/>
      <c r="H2677" s="69" t="n">
        <v>870</v>
      </c>
    </row>
    <row r="2678" customFormat="false" ht="15" hidden="false" customHeight="true" outlineLevel="0" collapsed="false">
      <c r="B2678" s="64"/>
      <c r="C2678" s="65" t="s">
        <v>43</v>
      </c>
      <c r="D2678" s="73"/>
      <c r="E2678" s="71" t="n">
        <v>510</v>
      </c>
      <c r="F2678" s="67"/>
      <c r="G2678" s="68"/>
      <c r="H2678" s="69" t="n">
        <v>510</v>
      </c>
    </row>
    <row r="2679" customFormat="false" ht="15" hidden="false" customHeight="true" outlineLevel="0" collapsed="false">
      <c r="B2679" s="64"/>
      <c r="C2679" s="65" t="s">
        <v>40</v>
      </c>
      <c r="D2679" s="66" t="n">
        <v>2340</v>
      </c>
      <c r="E2679" s="67"/>
      <c r="F2679" s="67"/>
      <c r="G2679" s="68"/>
      <c r="H2679" s="69" t="n">
        <v>2340</v>
      </c>
    </row>
    <row r="2680" customFormat="false" ht="15" hidden="false" customHeight="true" outlineLevel="0" collapsed="false">
      <c r="B2680" s="64"/>
      <c r="C2680" s="65" t="s">
        <v>34</v>
      </c>
      <c r="D2680" s="73"/>
      <c r="E2680" s="71" t="n">
        <v>190</v>
      </c>
      <c r="F2680" s="67"/>
      <c r="G2680" s="68"/>
      <c r="H2680" s="69" t="n">
        <v>190</v>
      </c>
    </row>
    <row r="2681" customFormat="false" ht="15" hidden="false" customHeight="true" outlineLevel="0" collapsed="false">
      <c r="B2681" s="84"/>
      <c r="C2681" s="85" t="s">
        <v>29</v>
      </c>
      <c r="D2681" s="86" t="n">
        <v>833</v>
      </c>
      <c r="E2681" s="75"/>
      <c r="F2681" s="76" t="n">
        <v>30</v>
      </c>
      <c r="G2681" s="77"/>
      <c r="H2681" s="78" t="n">
        <v>863</v>
      </c>
    </row>
    <row r="2682" customFormat="false" ht="15" hidden="false" customHeight="true" outlineLevel="0" collapsed="false">
      <c r="B2682" s="87" t="s">
        <v>1000</v>
      </c>
      <c r="C2682" s="88"/>
      <c r="D2682" s="89" t="n">
        <v>12880</v>
      </c>
      <c r="E2682" s="89" t="n">
        <v>810</v>
      </c>
      <c r="F2682" s="89" t="n">
        <v>1660</v>
      </c>
      <c r="G2682" s="90"/>
      <c r="H2682" s="91" t="n">
        <v>15350</v>
      </c>
    </row>
    <row r="2683" customFormat="false" ht="15" hidden="false" customHeight="true" outlineLevel="0" collapsed="false">
      <c r="B2683" s="56" t="n">
        <v>45939</v>
      </c>
      <c r="C2683" s="57" t="s">
        <v>44</v>
      </c>
      <c r="D2683" s="92" t="n">
        <v>5000</v>
      </c>
      <c r="E2683" s="59"/>
      <c r="F2683" s="59"/>
      <c r="G2683" s="61"/>
      <c r="H2683" s="62" t="n">
        <v>5000</v>
      </c>
    </row>
    <row r="2684" customFormat="false" ht="15" hidden="false" customHeight="true" outlineLevel="0" collapsed="false">
      <c r="B2684" s="64"/>
      <c r="C2684" s="65" t="s">
        <v>32</v>
      </c>
      <c r="D2684" s="73"/>
      <c r="E2684" s="67"/>
      <c r="F2684" s="71" t="n">
        <v>250</v>
      </c>
      <c r="G2684" s="68"/>
      <c r="H2684" s="69" t="n">
        <v>250</v>
      </c>
    </row>
    <row r="2685" customFormat="false" ht="15" hidden="false" customHeight="true" outlineLevel="0" collapsed="false">
      <c r="B2685" s="64"/>
      <c r="C2685" s="65" t="s">
        <v>53</v>
      </c>
      <c r="D2685" s="73"/>
      <c r="E2685" s="67"/>
      <c r="F2685" s="71" t="n">
        <v>950</v>
      </c>
      <c r="G2685" s="68"/>
      <c r="H2685" s="69" t="n">
        <v>950</v>
      </c>
    </row>
    <row r="2686" customFormat="false" ht="15" hidden="false" customHeight="true" outlineLevel="0" collapsed="false">
      <c r="B2686" s="64"/>
      <c r="C2686" s="65" t="s">
        <v>19</v>
      </c>
      <c r="D2686" s="66" t="n">
        <v>4269</v>
      </c>
      <c r="E2686" s="67"/>
      <c r="F2686" s="67"/>
      <c r="G2686" s="68"/>
      <c r="H2686" s="69" t="n">
        <v>4269</v>
      </c>
    </row>
    <row r="2687" customFormat="false" ht="15" hidden="false" customHeight="true" outlineLevel="0" collapsed="false">
      <c r="B2687" s="64"/>
      <c r="C2687" s="65" t="s">
        <v>25</v>
      </c>
      <c r="D2687" s="66" t="n">
        <v>1020</v>
      </c>
      <c r="E2687" s="67"/>
      <c r="F2687" s="67"/>
      <c r="G2687" s="68"/>
      <c r="H2687" s="69" t="n">
        <v>1020</v>
      </c>
    </row>
    <row r="2688" customFormat="false" ht="15" hidden="false" customHeight="true" outlineLevel="0" collapsed="false">
      <c r="B2688" s="64"/>
      <c r="C2688" s="65" t="s">
        <v>28</v>
      </c>
      <c r="D2688" s="73"/>
      <c r="E2688" s="67"/>
      <c r="F2688" s="71" t="n">
        <v>410</v>
      </c>
      <c r="G2688" s="68"/>
      <c r="H2688" s="69" t="n">
        <v>410</v>
      </c>
    </row>
    <row r="2689" customFormat="false" ht="15" hidden="false" customHeight="true" outlineLevel="0" collapsed="false">
      <c r="B2689" s="64"/>
      <c r="C2689" s="65" t="s">
        <v>199</v>
      </c>
      <c r="D2689" s="66" t="n">
        <v>1773</v>
      </c>
      <c r="E2689" s="67"/>
      <c r="F2689" s="67"/>
      <c r="G2689" s="68"/>
      <c r="H2689" s="69" t="n">
        <v>1773</v>
      </c>
    </row>
    <row r="2690" customFormat="false" ht="15" hidden="false" customHeight="true" outlineLevel="0" collapsed="false">
      <c r="B2690" s="64"/>
      <c r="C2690" s="65" t="s">
        <v>43</v>
      </c>
      <c r="D2690" s="66" t="n">
        <v>670</v>
      </c>
      <c r="E2690" s="67"/>
      <c r="F2690" s="67"/>
      <c r="G2690" s="68"/>
      <c r="H2690" s="69" t="n">
        <v>670</v>
      </c>
    </row>
    <row r="2691" customFormat="false" ht="15" hidden="false" customHeight="true" outlineLevel="0" collapsed="false">
      <c r="B2691" s="64"/>
      <c r="C2691" s="65" t="s">
        <v>35</v>
      </c>
      <c r="D2691" s="73"/>
      <c r="E2691" s="71" t="n">
        <v>100</v>
      </c>
      <c r="F2691" s="67"/>
      <c r="G2691" s="68"/>
      <c r="H2691" s="69" t="n">
        <v>100</v>
      </c>
    </row>
    <row r="2692" customFormat="false" ht="15" hidden="false" customHeight="true" outlineLevel="0" collapsed="false">
      <c r="B2692" s="64"/>
      <c r="C2692" s="65" t="s">
        <v>34</v>
      </c>
      <c r="D2692" s="73"/>
      <c r="E2692" s="67"/>
      <c r="F2692" s="71" t="n">
        <v>174</v>
      </c>
      <c r="G2692" s="68"/>
      <c r="H2692" s="69" t="n">
        <v>174</v>
      </c>
    </row>
    <row r="2693" customFormat="false" ht="15" hidden="false" customHeight="true" outlineLevel="0" collapsed="false">
      <c r="B2693" s="84"/>
      <c r="C2693" s="85" t="s">
        <v>29</v>
      </c>
      <c r="D2693" s="86" t="n">
        <v>387</v>
      </c>
      <c r="E2693" s="76" t="n">
        <v>1270</v>
      </c>
      <c r="F2693" s="75"/>
      <c r="G2693" s="77"/>
      <c r="H2693" s="78" t="n">
        <v>1657</v>
      </c>
    </row>
    <row r="2694" customFormat="false" ht="15" hidden="false" customHeight="true" outlineLevel="0" collapsed="false">
      <c r="B2694" s="87" t="s">
        <v>1001</v>
      </c>
      <c r="C2694" s="88"/>
      <c r="D2694" s="89" t="n">
        <v>13119</v>
      </c>
      <c r="E2694" s="89" t="n">
        <v>1370</v>
      </c>
      <c r="F2694" s="89" t="n">
        <v>1784</v>
      </c>
      <c r="G2694" s="90"/>
      <c r="H2694" s="91" t="n">
        <v>16273</v>
      </c>
    </row>
    <row r="2695" customFormat="false" ht="15" hidden="false" customHeight="true" outlineLevel="0" collapsed="false">
      <c r="B2695" s="56" t="n">
        <v>45940</v>
      </c>
      <c r="C2695" s="57" t="s">
        <v>47</v>
      </c>
      <c r="D2695" s="92" t="n">
        <v>1800</v>
      </c>
      <c r="E2695" s="59"/>
      <c r="F2695" s="59"/>
      <c r="G2695" s="61"/>
      <c r="H2695" s="62" t="n">
        <v>1800</v>
      </c>
    </row>
    <row r="2696" customFormat="false" ht="15" hidden="false" customHeight="true" outlineLevel="0" collapsed="false">
      <c r="B2696" s="64"/>
      <c r="C2696" s="65" t="s">
        <v>19</v>
      </c>
      <c r="D2696" s="66" t="n">
        <v>3102</v>
      </c>
      <c r="E2696" s="67"/>
      <c r="F2696" s="67"/>
      <c r="G2696" s="68"/>
      <c r="H2696" s="69" t="n">
        <v>3102</v>
      </c>
    </row>
    <row r="2697" customFormat="false" ht="15" hidden="false" customHeight="true" outlineLevel="0" collapsed="false">
      <c r="B2697" s="64"/>
      <c r="C2697" s="65" t="s">
        <v>25</v>
      </c>
      <c r="D2697" s="66" t="n">
        <v>685</v>
      </c>
      <c r="E2697" s="71" t="n">
        <v>250</v>
      </c>
      <c r="F2697" s="67"/>
      <c r="G2697" s="68"/>
      <c r="H2697" s="69" t="n">
        <v>935</v>
      </c>
    </row>
    <row r="2698" customFormat="false" ht="15" hidden="false" customHeight="true" outlineLevel="0" collapsed="false">
      <c r="B2698" s="64"/>
      <c r="C2698" s="65" t="s">
        <v>51</v>
      </c>
      <c r="D2698" s="66" t="n">
        <v>9035</v>
      </c>
      <c r="E2698" s="67"/>
      <c r="F2698" s="67"/>
      <c r="G2698" s="68"/>
      <c r="H2698" s="69" t="n">
        <v>9035</v>
      </c>
    </row>
    <row r="2699" customFormat="false" ht="15" hidden="false" customHeight="true" outlineLevel="0" collapsed="false">
      <c r="B2699" s="64"/>
      <c r="C2699" s="65" t="s">
        <v>50</v>
      </c>
      <c r="D2699" s="66" t="n">
        <v>1609</v>
      </c>
      <c r="E2699" s="67"/>
      <c r="F2699" s="67"/>
      <c r="G2699" s="68"/>
      <c r="H2699" s="69" t="n">
        <v>1609</v>
      </c>
    </row>
    <row r="2700" customFormat="false" ht="15" hidden="false" customHeight="true" outlineLevel="0" collapsed="false">
      <c r="B2700" s="64"/>
      <c r="C2700" s="65" t="s">
        <v>22</v>
      </c>
      <c r="D2700" s="73"/>
      <c r="E2700" s="67"/>
      <c r="F2700" s="71" t="n">
        <v>55</v>
      </c>
      <c r="G2700" s="68"/>
      <c r="H2700" s="69" t="n">
        <v>55</v>
      </c>
    </row>
    <row r="2701" customFormat="false" ht="15" hidden="false" customHeight="true" outlineLevel="0" collapsed="false">
      <c r="B2701" s="64"/>
      <c r="C2701" s="65" t="s">
        <v>43</v>
      </c>
      <c r="D2701" s="73"/>
      <c r="E2701" s="71" t="n">
        <v>155</v>
      </c>
      <c r="F2701" s="67"/>
      <c r="G2701" s="68"/>
      <c r="H2701" s="69" t="n">
        <v>155</v>
      </c>
    </row>
    <row r="2702" customFormat="false" ht="15" hidden="false" customHeight="true" outlineLevel="0" collapsed="false">
      <c r="B2702" s="64"/>
      <c r="C2702" s="65" t="s">
        <v>60</v>
      </c>
      <c r="D2702" s="73"/>
      <c r="E2702" s="67"/>
      <c r="F2702" s="71" t="n">
        <v>210</v>
      </c>
      <c r="G2702" s="68"/>
      <c r="H2702" s="69" t="n">
        <v>210</v>
      </c>
    </row>
    <row r="2703" customFormat="false" ht="15" hidden="false" customHeight="true" outlineLevel="0" collapsed="false">
      <c r="B2703" s="64"/>
      <c r="C2703" s="65" t="s">
        <v>31</v>
      </c>
      <c r="D2703" s="73"/>
      <c r="E2703" s="71" t="n">
        <v>310</v>
      </c>
      <c r="F2703" s="67"/>
      <c r="G2703" s="68"/>
      <c r="H2703" s="69" t="n">
        <v>310</v>
      </c>
    </row>
    <row r="2704" customFormat="false" ht="15" hidden="false" customHeight="true" outlineLevel="0" collapsed="false">
      <c r="B2704" s="64"/>
      <c r="C2704" s="65" t="s">
        <v>34</v>
      </c>
      <c r="D2704" s="73"/>
      <c r="E2704" s="71" t="n">
        <v>165</v>
      </c>
      <c r="F2704" s="67"/>
      <c r="G2704" s="68"/>
      <c r="H2704" s="69" t="n">
        <v>165</v>
      </c>
    </row>
    <row r="2705" customFormat="false" ht="15" hidden="false" customHeight="true" outlineLevel="0" collapsed="false">
      <c r="B2705" s="84"/>
      <c r="C2705" s="85" t="s">
        <v>29</v>
      </c>
      <c r="D2705" s="86" t="n">
        <v>278</v>
      </c>
      <c r="E2705" s="75"/>
      <c r="F2705" s="75"/>
      <c r="G2705" s="77"/>
      <c r="H2705" s="78" t="n">
        <v>278</v>
      </c>
    </row>
    <row r="2706" customFormat="false" ht="15" hidden="false" customHeight="true" outlineLevel="0" collapsed="false">
      <c r="B2706" s="87" t="s">
        <v>1002</v>
      </c>
      <c r="C2706" s="88"/>
      <c r="D2706" s="89" t="n">
        <v>16509</v>
      </c>
      <c r="E2706" s="89" t="n">
        <v>880</v>
      </c>
      <c r="F2706" s="89" t="n">
        <v>265</v>
      </c>
      <c r="G2706" s="90"/>
      <c r="H2706" s="91" t="n">
        <v>17654</v>
      </c>
    </row>
    <row r="2707" customFormat="false" ht="15" hidden="false" customHeight="true" outlineLevel="0" collapsed="false">
      <c r="B2707" s="56" t="n">
        <v>45941</v>
      </c>
      <c r="C2707" s="57" t="s">
        <v>44</v>
      </c>
      <c r="D2707" s="58"/>
      <c r="E2707" s="59"/>
      <c r="F2707" s="60" t="n">
        <v>300</v>
      </c>
      <c r="G2707" s="61"/>
      <c r="H2707" s="62" t="n">
        <v>300</v>
      </c>
    </row>
    <row r="2708" customFormat="false" ht="15" hidden="false" customHeight="true" outlineLevel="0" collapsed="false">
      <c r="B2708" s="64"/>
      <c r="C2708" s="65" t="s">
        <v>47</v>
      </c>
      <c r="D2708" s="66" t="n">
        <v>1800</v>
      </c>
      <c r="E2708" s="67"/>
      <c r="F2708" s="67"/>
      <c r="G2708" s="68"/>
      <c r="H2708" s="69" t="n">
        <v>1800</v>
      </c>
    </row>
    <row r="2709" customFormat="false" ht="15" hidden="false" customHeight="true" outlineLevel="0" collapsed="false">
      <c r="B2709" s="64"/>
      <c r="C2709" s="65" t="s">
        <v>19</v>
      </c>
      <c r="D2709" s="66" t="n">
        <v>2426</v>
      </c>
      <c r="E2709" s="67"/>
      <c r="F2709" s="67"/>
      <c r="G2709" s="68"/>
      <c r="H2709" s="69" t="n">
        <v>2426</v>
      </c>
    </row>
    <row r="2710" customFormat="false" ht="15" hidden="false" customHeight="true" outlineLevel="0" collapsed="false">
      <c r="B2710" s="64"/>
      <c r="C2710" s="65" t="s">
        <v>25</v>
      </c>
      <c r="D2710" s="66" t="n">
        <v>1200</v>
      </c>
      <c r="E2710" s="71" t="n">
        <v>450</v>
      </c>
      <c r="F2710" s="67"/>
      <c r="G2710" s="68"/>
      <c r="H2710" s="69" t="n">
        <v>1650</v>
      </c>
    </row>
    <row r="2711" customFormat="false" ht="15" hidden="false" customHeight="true" outlineLevel="0" collapsed="false">
      <c r="B2711" s="64"/>
      <c r="C2711" s="65" t="s">
        <v>50</v>
      </c>
      <c r="D2711" s="66" t="n">
        <v>1609</v>
      </c>
      <c r="E2711" s="67"/>
      <c r="F2711" s="67"/>
      <c r="G2711" s="68"/>
      <c r="H2711" s="69" t="n">
        <v>1609</v>
      </c>
    </row>
    <row r="2712" customFormat="false" ht="15" hidden="false" customHeight="true" outlineLevel="0" collapsed="false">
      <c r="B2712" s="64"/>
      <c r="C2712" s="65" t="s">
        <v>22</v>
      </c>
      <c r="D2712" s="73"/>
      <c r="E2712" s="71" t="n">
        <v>665</v>
      </c>
      <c r="F2712" s="67"/>
      <c r="G2712" s="68"/>
      <c r="H2712" s="69" t="n">
        <v>665</v>
      </c>
    </row>
    <row r="2713" customFormat="false" ht="15" hidden="false" customHeight="true" outlineLevel="0" collapsed="false">
      <c r="B2713" s="64"/>
      <c r="C2713" s="65" t="s">
        <v>199</v>
      </c>
      <c r="D2713" s="73"/>
      <c r="E2713" s="71" t="n">
        <v>1610</v>
      </c>
      <c r="F2713" s="67"/>
      <c r="G2713" s="68"/>
      <c r="H2713" s="69" t="n">
        <v>1610</v>
      </c>
    </row>
    <row r="2714" customFormat="false" ht="15" hidden="false" customHeight="true" outlineLevel="0" collapsed="false">
      <c r="B2714" s="64"/>
      <c r="C2714" s="65" t="s">
        <v>37</v>
      </c>
      <c r="D2714" s="73"/>
      <c r="E2714" s="67"/>
      <c r="F2714" s="71" t="n">
        <v>110</v>
      </c>
      <c r="G2714" s="68"/>
      <c r="H2714" s="69" t="n">
        <v>110</v>
      </c>
    </row>
    <row r="2715" customFormat="false" ht="15" hidden="false" customHeight="true" outlineLevel="0" collapsed="false">
      <c r="B2715" s="64"/>
      <c r="C2715" s="65" t="s">
        <v>43</v>
      </c>
      <c r="D2715" s="73"/>
      <c r="E2715" s="71" t="n">
        <v>1420</v>
      </c>
      <c r="F2715" s="67"/>
      <c r="G2715" s="68"/>
      <c r="H2715" s="69" t="n">
        <v>1420</v>
      </c>
    </row>
    <row r="2716" customFormat="false" ht="15" hidden="false" customHeight="true" outlineLevel="0" collapsed="false">
      <c r="B2716" s="64"/>
      <c r="C2716" s="65" t="s">
        <v>34</v>
      </c>
      <c r="D2716" s="73"/>
      <c r="E2716" s="67"/>
      <c r="F2716" s="71" t="n">
        <v>110</v>
      </c>
      <c r="G2716" s="68"/>
      <c r="H2716" s="69" t="n">
        <v>110</v>
      </c>
    </row>
    <row r="2717" customFormat="false" ht="15" hidden="false" customHeight="true" outlineLevel="0" collapsed="false">
      <c r="B2717" s="84"/>
      <c r="C2717" s="85" t="s">
        <v>29</v>
      </c>
      <c r="D2717" s="86" t="n">
        <v>427</v>
      </c>
      <c r="E2717" s="76" t="n">
        <v>60</v>
      </c>
      <c r="F2717" s="75"/>
      <c r="G2717" s="77"/>
      <c r="H2717" s="78" t="n">
        <v>487</v>
      </c>
    </row>
    <row r="2718" customFormat="false" ht="15" hidden="false" customHeight="true" outlineLevel="0" collapsed="false">
      <c r="B2718" s="87" t="s">
        <v>1003</v>
      </c>
      <c r="C2718" s="88"/>
      <c r="D2718" s="89" t="n">
        <v>7462</v>
      </c>
      <c r="E2718" s="89" t="n">
        <v>4205</v>
      </c>
      <c r="F2718" s="89" t="n">
        <v>520</v>
      </c>
      <c r="G2718" s="90"/>
      <c r="H2718" s="91" t="n">
        <v>12187</v>
      </c>
    </row>
    <row r="2719" customFormat="false" ht="15" hidden="false" customHeight="true" outlineLevel="0" collapsed="false">
      <c r="B2719" s="56" t="n">
        <v>45942</v>
      </c>
      <c r="C2719" s="57" t="s">
        <v>32</v>
      </c>
      <c r="D2719" s="58"/>
      <c r="E2719" s="59"/>
      <c r="F2719" s="60" t="n">
        <v>250</v>
      </c>
      <c r="G2719" s="61"/>
      <c r="H2719" s="62" t="n">
        <v>250</v>
      </c>
    </row>
    <row r="2720" customFormat="false" ht="15" hidden="false" customHeight="true" outlineLevel="0" collapsed="false">
      <c r="B2720" s="64"/>
      <c r="C2720" s="65" t="s">
        <v>19</v>
      </c>
      <c r="D2720" s="66" t="n">
        <v>8654</v>
      </c>
      <c r="E2720" s="67"/>
      <c r="F2720" s="67"/>
      <c r="G2720" s="68"/>
      <c r="H2720" s="69" t="n">
        <v>8654</v>
      </c>
    </row>
    <row r="2721" customFormat="false" ht="15" hidden="false" customHeight="true" outlineLevel="0" collapsed="false">
      <c r="B2721" s="64"/>
      <c r="C2721" s="65" t="s">
        <v>25</v>
      </c>
      <c r="D2721" s="66" t="n">
        <v>1325</v>
      </c>
      <c r="E2721" s="71" t="n">
        <v>350</v>
      </c>
      <c r="F2721" s="67"/>
      <c r="G2721" s="68"/>
      <c r="H2721" s="69" t="n">
        <v>1675</v>
      </c>
    </row>
    <row r="2722" customFormat="false" ht="15" hidden="false" customHeight="true" outlineLevel="0" collapsed="false">
      <c r="B2722" s="64"/>
      <c r="C2722" s="65" t="s">
        <v>28</v>
      </c>
      <c r="D2722" s="73"/>
      <c r="E2722" s="67"/>
      <c r="F2722" s="71" t="n">
        <v>330</v>
      </c>
      <c r="G2722" s="68"/>
      <c r="H2722" s="69" t="n">
        <v>330</v>
      </c>
    </row>
    <row r="2723" customFormat="false" ht="15" hidden="false" customHeight="true" outlineLevel="0" collapsed="false">
      <c r="B2723" s="64"/>
      <c r="C2723" s="65" t="s">
        <v>22</v>
      </c>
      <c r="D2723" s="66" t="n">
        <v>9121</v>
      </c>
      <c r="E2723" s="67"/>
      <c r="F2723" s="71" t="n">
        <v>55</v>
      </c>
      <c r="G2723" s="68"/>
      <c r="H2723" s="69" t="n">
        <v>9176</v>
      </c>
    </row>
    <row r="2724" customFormat="false" ht="15" hidden="false" customHeight="true" outlineLevel="0" collapsed="false">
      <c r="B2724" s="64"/>
      <c r="C2724" s="65" t="s">
        <v>37</v>
      </c>
      <c r="D2724" s="73"/>
      <c r="E2724" s="67"/>
      <c r="F2724" s="71" t="n">
        <v>20</v>
      </c>
      <c r="G2724" s="68"/>
      <c r="H2724" s="69" t="n">
        <v>20</v>
      </c>
    </row>
    <row r="2725" customFormat="false" ht="15" hidden="false" customHeight="true" outlineLevel="0" collapsed="false">
      <c r="B2725" s="64"/>
      <c r="C2725" s="65" t="s">
        <v>60</v>
      </c>
      <c r="D2725" s="73"/>
      <c r="E2725" s="67"/>
      <c r="F2725" s="71" t="n">
        <v>210</v>
      </c>
      <c r="G2725" s="68"/>
      <c r="H2725" s="69" t="n">
        <v>210</v>
      </c>
    </row>
    <row r="2726" customFormat="false" ht="15" hidden="false" customHeight="true" outlineLevel="0" collapsed="false">
      <c r="B2726" s="64"/>
      <c r="C2726" s="65" t="s">
        <v>34</v>
      </c>
      <c r="D2726" s="73"/>
      <c r="E2726" s="71" t="n">
        <v>200</v>
      </c>
      <c r="F2726" s="67"/>
      <c r="G2726" s="68"/>
      <c r="H2726" s="69" t="n">
        <v>200</v>
      </c>
    </row>
    <row r="2727" customFormat="false" ht="15" hidden="false" customHeight="true" outlineLevel="0" collapsed="false">
      <c r="B2727" s="64"/>
      <c r="C2727" s="65" t="s">
        <v>29</v>
      </c>
      <c r="D2727" s="66" t="n">
        <v>813</v>
      </c>
      <c r="E2727" s="67"/>
      <c r="F2727" s="71" t="n">
        <v>200</v>
      </c>
      <c r="G2727" s="68"/>
      <c r="H2727" s="69" t="n">
        <v>1013</v>
      </c>
    </row>
    <row r="2728" customFormat="false" ht="15" hidden="false" customHeight="true" outlineLevel="0" collapsed="false">
      <c r="B2728" s="84"/>
      <c r="C2728" s="85" t="s">
        <v>201</v>
      </c>
      <c r="D2728" s="86" t="n">
        <v>1740</v>
      </c>
      <c r="E2728" s="75"/>
      <c r="F2728" s="75"/>
      <c r="G2728" s="77"/>
      <c r="H2728" s="78" t="n">
        <v>1740</v>
      </c>
    </row>
    <row r="2729" customFormat="false" ht="15" hidden="false" customHeight="true" outlineLevel="0" collapsed="false">
      <c r="B2729" s="87" t="s">
        <v>1004</v>
      </c>
      <c r="C2729" s="88"/>
      <c r="D2729" s="89" t="n">
        <v>21653</v>
      </c>
      <c r="E2729" s="89" t="n">
        <v>550</v>
      </c>
      <c r="F2729" s="89" t="n">
        <v>1065</v>
      </c>
      <c r="G2729" s="90"/>
      <c r="H2729" s="91" t="n">
        <v>23268</v>
      </c>
    </row>
    <row r="2730" customFormat="false" ht="15" hidden="false" customHeight="true" outlineLevel="0" collapsed="false">
      <c r="B2730" s="56" t="n">
        <v>45943</v>
      </c>
      <c r="C2730" s="57" t="s">
        <v>44</v>
      </c>
      <c r="D2730" s="92" t="n">
        <v>2000</v>
      </c>
      <c r="E2730" s="59"/>
      <c r="F2730" s="59"/>
      <c r="G2730" s="61"/>
      <c r="H2730" s="62" t="n">
        <v>2000</v>
      </c>
    </row>
    <row r="2731" customFormat="false" ht="15" hidden="false" customHeight="true" outlineLevel="0" collapsed="false">
      <c r="B2731" s="64"/>
      <c r="C2731" s="65" t="s">
        <v>32</v>
      </c>
      <c r="D2731" s="73"/>
      <c r="E2731" s="71" t="n">
        <v>150</v>
      </c>
      <c r="F2731" s="67"/>
      <c r="G2731" s="68"/>
      <c r="H2731" s="69" t="n">
        <v>150</v>
      </c>
    </row>
    <row r="2732" customFormat="false" ht="15" hidden="false" customHeight="true" outlineLevel="0" collapsed="false">
      <c r="B2732" s="64"/>
      <c r="C2732" s="65" t="s">
        <v>19</v>
      </c>
      <c r="D2732" s="66" t="n">
        <v>2926</v>
      </c>
      <c r="E2732" s="67"/>
      <c r="F2732" s="67"/>
      <c r="G2732" s="68"/>
      <c r="H2732" s="69" t="n">
        <v>2926</v>
      </c>
    </row>
    <row r="2733" customFormat="false" ht="15" hidden="false" customHeight="true" outlineLevel="0" collapsed="false">
      <c r="B2733" s="64"/>
      <c r="C2733" s="65" t="s">
        <v>25</v>
      </c>
      <c r="D2733" s="66" t="n">
        <v>1345</v>
      </c>
      <c r="E2733" s="67"/>
      <c r="F2733" s="67"/>
      <c r="G2733" s="68"/>
      <c r="H2733" s="69" t="n">
        <v>1345</v>
      </c>
    </row>
    <row r="2734" customFormat="false" ht="15" hidden="false" customHeight="true" outlineLevel="0" collapsed="false">
      <c r="B2734" s="64"/>
      <c r="C2734" s="65" t="s">
        <v>51</v>
      </c>
      <c r="D2734" s="73"/>
      <c r="E2734" s="71" t="n">
        <v>180</v>
      </c>
      <c r="F2734" s="67"/>
      <c r="G2734" s="68"/>
      <c r="H2734" s="69" t="n">
        <v>180</v>
      </c>
    </row>
    <row r="2735" customFormat="false" ht="15" hidden="false" customHeight="true" outlineLevel="0" collapsed="false">
      <c r="B2735" s="64"/>
      <c r="C2735" s="65" t="s">
        <v>50</v>
      </c>
      <c r="D2735" s="66" t="n">
        <v>1609</v>
      </c>
      <c r="E2735" s="67"/>
      <c r="F2735" s="67"/>
      <c r="G2735" s="68"/>
      <c r="H2735" s="69" t="n">
        <v>1609</v>
      </c>
    </row>
    <row r="2736" customFormat="false" ht="15" hidden="false" customHeight="true" outlineLevel="0" collapsed="false">
      <c r="B2736" s="64"/>
      <c r="C2736" s="65" t="s">
        <v>22</v>
      </c>
      <c r="D2736" s="73"/>
      <c r="E2736" s="67"/>
      <c r="F2736" s="71" t="n">
        <v>55</v>
      </c>
      <c r="G2736" s="68"/>
      <c r="H2736" s="69" t="n">
        <v>55</v>
      </c>
    </row>
    <row r="2737" customFormat="false" ht="15" hidden="false" customHeight="true" outlineLevel="0" collapsed="false">
      <c r="B2737" s="64"/>
      <c r="C2737" s="65" t="s">
        <v>37</v>
      </c>
      <c r="D2737" s="73"/>
      <c r="E2737" s="67"/>
      <c r="F2737" s="71" t="n">
        <v>150</v>
      </c>
      <c r="G2737" s="68"/>
      <c r="H2737" s="69" t="n">
        <v>150</v>
      </c>
    </row>
    <row r="2738" customFormat="false" ht="15" hidden="false" customHeight="true" outlineLevel="0" collapsed="false">
      <c r="B2738" s="64"/>
      <c r="C2738" s="65" t="s">
        <v>43</v>
      </c>
      <c r="D2738" s="73"/>
      <c r="E2738" s="71" t="n">
        <v>1400</v>
      </c>
      <c r="F2738" s="67"/>
      <c r="G2738" s="68"/>
      <c r="H2738" s="69" t="n">
        <v>1400</v>
      </c>
    </row>
    <row r="2739" customFormat="false" ht="15" hidden="false" customHeight="true" outlineLevel="0" collapsed="false">
      <c r="B2739" s="64"/>
      <c r="C2739" s="65" t="s">
        <v>107</v>
      </c>
      <c r="D2739" s="73"/>
      <c r="E2739" s="67"/>
      <c r="F2739" s="71" t="n">
        <v>110</v>
      </c>
      <c r="G2739" s="68"/>
      <c r="H2739" s="69" t="n">
        <v>110</v>
      </c>
    </row>
    <row r="2740" customFormat="false" ht="15" hidden="false" customHeight="true" outlineLevel="0" collapsed="false">
      <c r="B2740" s="64"/>
      <c r="C2740" s="65" t="s">
        <v>34</v>
      </c>
      <c r="D2740" s="73"/>
      <c r="E2740" s="67"/>
      <c r="F2740" s="71" t="n">
        <v>99</v>
      </c>
      <c r="G2740" s="68"/>
      <c r="H2740" s="69" t="n">
        <v>99</v>
      </c>
    </row>
    <row r="2741" customFormat="false" ht="15" hidden="false" customHeight="true" outlineLevel="0" collapsed="false">
      <c r="B2741" s="84"/>
      <c r="C2741" s="85" t="s">
        <v>29</v>
      </c>
      <c r="D2741" s="86" t="n">
        <v>647</v>
      </c>
      <c r="E2741" s="75"/>
      <c r="F2741" s="75"/>
      <c r="G2741" s="77"/>
      <c r="H2741" s="78" t="n">
        <v>647</v>
      </c>
    </row>
    <row r="2742" customFormat="false" ht="15" hidden="false" customHeight="true" outlineLevel="0" collapsed="false">
      <c r="B2742" s="87" t="s">
        <v>1005</v>
      </c>
      <c r="C2742" s="88"/>
      <c r="D2742" s="89" t="n">
        <v>8527</v>
      </c>
      <c r="E2742" s="89" t="n">
        <v>1730</v>
      </c>
      <c r="F2742" s="89" t="n">
        <v>414</v>
      </c>
      <c r="G2742" s="90"/>
      <c r="H2742" s="91" t="n">
        <v>10671</v>
      </c>
    </row>
    <row r="2743" customFormat="false" ht="15" hidden="false" customHeight="true" outlineLevel="0" collapsed="false">
      <c r="B2743" s="56" t="n">
        <v>45944</v>
      </c>
      <c r="C2743" s="57" t="s">
        <v>32</v>
      </c>
      <c r="D2743" s="92" t="n">
        <v>1050</v>
      </c>
      <c r="E2743" s="59"/>
      <c r="F2743" s="60" t="n">
        <v>100</v>
      </c>
      <c r="G2743" s="61"/>
      <c r="H2743" s="62" t="n">
        <v>1150</v>
      </c>
    </row>
    <row r="2744" customFormat="false" ht="15" hidden="false" customHeight="true" outlineLevel="0" collapsed="false">
      <c r="B2744" s="64"/>
      <c r="C2744" s="65" t="s">
        <v>19</v>
      </c>
      <c r="D2744" s="66" t="n">
        <v>3113</v>
      </c>
      <c r="E2744" s="67"/>
      <c r="F2744" s="67"/>
      <c r="G2744" s="68"/>
      <c r="H2744" s="69" t="n">
        <v>3113</v>
      </c>
    </row>
    <row r="2745" customFormat="false" ht="15" hidden="false" customHeight="true" outlineLevel="0" collapsed="false">
      <c r="B2745" s="64"/>
      <c r="C2745" s="65" t="s">
        <v>25</v>
      </c>
      <c r="D2745" s="66" t="n">
        <v>195</v>
      </c>
      <c r="E2745" s="71" t="n">
        <v>550</v>
      </c>
      <c r="F2745" s="67"/>
      <c r="G2745" s="68"/>
      <c r="H2745" s="69" t="n">
        <v>745</v>
      </c>
    </row>
    <row r="2746" customFormat="false" ht="15" hidden="false" customHeight="true" outlineLevel="0" collapsed="false">
      <c r="B2746" s="64"/>
      <c r="C2746" s="65" t="s">
        <v>51</v>
      </c>
      <c r="D2746" s="73"/>
      <c r="E2746" s="67"/>
      <c r="F2746" s="71" t="n">
        <v>530</v>
      </c>
      <c r="G2746" s="68"/>
      <c r="H2746" s="69" t="n">
        <v>530</v>
      </c>
    </row>
    <row r="2747" customFormat="false" ht="15" hidden="false" customHeight="true" outlineLevel="0" collapsed="false">
      <c r="B2747" s="64"/>
      <c r="C2747" s="65" t="s">
        <v>22</v>
      </c>
      <c r="D2747" s="73"/>
      <c r="E2747" s="71" t="n">
        <v>750</v>
      </c>
      <c r="F2747" s="67"/>
      <c r="G2747" s="68"/>
      <c r="H2747" s="69" t="n">
        <v>750</v>
      </c>
    </row>
    <row r="2748" customFormat="false" ht="15" hidden="false" customHeight="true" outlineLevel="0" collapsed="false">
      <c r="B2748" s="64"/>
      <c r="C2748" s="65" t="s">
        <v>43</v>
      </c>
      <c r="D2748" s="73"/>
      <c r="E2748" s="71" t="n">
        <v>250</v>
      </c>
      <c r="F2748" s="67"/>
      <c r="G2748" s="68"/>
      <c r="H2748" s="69" t="n">
        <v>250</v>
      </c>
    </row>
    <row r="2749" customFormat="false" ht="15" hidden="false" customHeight="true" outlineLevel="0" collapsed="false">
      <c r="B2749" s="64"/>
      <c r="C2749" s="65" t="s">
        <v>34</v>
      </c>
      <c r="D2749" s="73"/>
      <c r="E2749" s="71" t="n">
        <v>150</v>
      </c>
      <c r="F2749" s="67"/>
      <c r="G2749" s="68"/>
      <c r="H2749" s="69" t="n">
        <v>150</v>
      </c>
    </row>
    <row r="2750" customFormat="false" ht="15" hidden="false" customHeight="true" outlineLevel="0" collapsed="false">
      <c r="B2750" s="84"/>
      <c r="C2750" s="85" t="s">
        <v>29</v>
      </c>
      <c r="D2750" s="86" t="n">
        <v>1679</v>
      </c>
      <c r="E2750" s="75"/>
      <c r="F2750" s="76" t="n">
        <v>40</v>
      </c>
      <c r="G2750" s="77"/>
      <c r="H2750" s="78" t="n">
        <v>1719</v>
      </c>
    </row>
    <row r="2751" customFormat="false" ht="15" hidden="false" customHeight="true" outlineLevel="0" collapsed="false">
      <c r="B2751" s="87" t="s">
        <v>1006</v>
      </c>
      <c r="C2751" s="88"/>
      <c r="D2751" s="89" t="n">
        <v>6037</v>
      </c>
      <c r="E2751" s="89" t="n">
        <v>1700</v>
      </c>
      <c r="F2751" s="89" t="n">
        <v>670</v>
      </c>
      <c r="G2751" s="90"/>
      <c r="H2751" s="91" t="n">
        <v>8407</v>
      </c>
    </row>
    <row r="2752" customFormat="false" ht="15" hidden="false" customHeight="true" outlineLevel="0" collapsed="false">
      <c r="B2752" s="56" t="n">
        <v>45945</v>
      </c>
      <c r="C2752" s="57" t="s">
        <v>32</v>
      </c>
      <c r="D2752" s="58"/>
      <c r="E2752" s="59"/>
      <c r="F2752" s="60" t="n">
        <v>150</v>
      </c>
      <c r="G2752" s="61"/>
      <c r="H2752" s="62" t="n">
        <v>150</v>
      </c>
    </row>
    <row r="2753" customFormat="false" ht="15" hidden="false" customHeight="true" outlineLevel="0" collapsed="false">
      <c r="B2753" s="64"/>
      <c r="C2753" s="65" t="s">
        <v>47</v>
      </c>
      <c r="D2753" s="66" t="n">
        <v>1800</v>
      </c>
      <c r="E2753" s="67"/>
      <c r="F2753" s="67"/>
      <c r="G2753" s="68"/>
      <c r="H2753" s="69" t="n">
        <v>1800</v>
      </c>
    </row>
    <row r="2754" customFormat="false" ht="15" hidden="false" customHeight="true" outlineLevel="0" collapsed="false">
      <c r="B2754" s="64"/>
      <c r="C2754" s="65" t="s">
        <v>19</v>
      </c>
      <c r="D2754" s="66" t="n">
        <v>5222</v>
      </c>
      <c r="E2754" s="67"/>
      <c r="F2754" s="67"/>
      <c r="G2754" s="68"/>
      <c r="H2754" s="69" t="n">
        <v>5222</v>
      </c>
    </row>
    <row r="2755" customFormat="false" ht="15" hidden="false" customHeight="true" outlineLevel="0" collapsed="false">
      <c r="B2755" s="64"/>
      <c r="C2755" s="65" t="s">
        <v>25</v>
      </c>
      <c r="D2755" s="66" t="n">
        <v>1410</v>
      </c>
      <c r="E2755" s="67"/>
      <c r="F2755" s="67"/>
      <c r="G2755" s="68"/>
      <c r="H2755" s="69" t="n">
        <v>1410</v>
      </c>
    </row>
    <row r="2756" customFormat="false" ht="15" hidden="false" customHeight="true" outlineLevel="0" collapsed="false">
      <c r="B2756" s="64"/>
      <c r="C2756" s="65" t="s">
        <v>50</v>
      </c>
      <c r="D2756" s="66" t="n">
        <v>3218</v>
      </c>
      <c r="E2756" s="67"/>
      <c r="F2756" s="67"/>
      <c r="G2756" s="68"/>
      <c r="H2756" s="69" t="n">
        <v>3218</v>
      </c>
    </row>
    <row r="2757" customFormat="false" ht="15" hidden="false" customHeight="true" outlineLevel="0" collapsed="false">
      <c r="B2757" s="64"/>
      <c r="C2757" s="65" t="s">
        <v>22</v>
      </c>
      <c r="D2757" s="73"/>
      <c r="E2757" s="71" t="n">
        <v>200</v>
      </c>
      <c r="F2757" s="71" t="n">
        <v>55</v>
      </c>
      <c r="G2757" s="68"/>
      <c r="H2757" s="69" t="n">
        <v>255</v>
      </c>
    </row>
    <row r="2758" customFormat="false" ht="15" hidden="false" customHeight="true" outlineLevel="0" collapsed="false">
      <c r="B2758" s="64"/>
      <c r="C2758" s="65" t="s">
        <v>43</v>
      </c>
      <c r="D2758" s="73"/>
      <c r="E2758" s="71" t="n">
        <v>1150</v>
      </c>
      <c r="F2758" s="67"/>
      <c r="G2758" s="68"/>
      <c r="H2758" s="69" t="n">
        <v>1150</v>
      </c>
    </row>
    <row r="2759" customFormat="false" ht="15" hidden="false" customHeight="true" outlineLevel="0" collapsed="false">
      <c r="B2759" s="64"/>
      <c r="C2759" s="65" t="s">
        <v>60</v>
      </c>
      <c r="D2759" s="73"/>
      <c r="E2759" s="67"/>
      <c r="F2759" s="71" t="n">
        <v>140</v>
      </c>
      <c r="G2759" s="68"/>
      <c r="H2759" s="69" t="n">
        <v>140</v>
      </c>
    </row>
    <row r="2760" customFormat="false" ht="15" hidden="false" customHeight="true" outlineLevel="0" collapsed="false">
      <c r="B2760" s="64"/>
      <c r="C2760" s="65" t="s">
        <v>31</v>
      </c>
      <c r="D2760" s="73"/>
      <c r="E2760" s="71" t="n">
        <v>310</v>
      </c>
      <c r="F2760" s="67"/>
      <c r="G2760" s="68"/>
      <c r="H2760" s="69" t="n">
        <v>310</v>
      </c>
    </row>
    <row r="2761" customFormat="false" ht="15" hidden="false" customHeight="true" outlineLevel="0" collapsed="false">
      <c r="B2761" s="64"/>
      <c r="C2761" s="65" t="s">
        <v>34</v>
      </c>
      <c r="D2761" s="73"/>
      <c r="E2761" s="71" t="n">
        <v>210</v>
      </c>
      <c r="F2761" s="67"/>
      <c r="G2761" s="68"/>
      <c r="H2761" s="69" t="n">
        <v>210</v>
      </c>
    </row>
    <row r="2762" customFormat="false" ht="15" hidden="false" customHeight="true" outlineLevel="0" collapsed="false">
      <c r="B2762" s="84"/>
      <c r="C2762" s="85" t="s">
        <v>29</v>
      </c>
      <c r="D2762" s="86" t="n">
        <v>715</v>
      </c>
      <c r="E2762" s="75"/>
      <c r="F2762" s="76" t="n">
        <v>200</v>
      </c>
      <c r="G2762" s="77"/>
      <c r="H2762" s="78" t="n">
        <v>915</v>
      </c>
    </row>
    <row r="2763" customFormat="false" ht="15" hidden="false" customHeight="true" outlineLevel="0" collapsed="false">
      <c r="B2763" s="87" t="s">
        <v>1007</v>
      </c>
      <c r="C2763" s="88"/>
      <c r="D2763" s="89" t="n">
        <v>12365</v>
      </c>
      <c r="E2763" s="89" t="n">
        <v>1870</v>
      </c>
      <c r="F2763" s="89" t="n">
        <v>545</v>
      </c>
      <c r="G2763" s="90"/>
      <c r="H2763" s="91" t="n">
        <v>14780</v>
      </c>
    </row>
    <row r="2764" customFormat="false" ht="15" hidden="false" customHeight="true" outlineLevel="0" collapsed="false">
      <c r="B2764" s="56" t="n">
        <v>45946</v>
      </c>
      <c r="C2764" s="57" t="s">
        <v>44</v>
      </c>
      <c r="D2764" s="58"/>
      <c r="E2764" s="60" t="n">
        <v>1600</v>
      </c>
      <c r="F2764" s="59"/>
      <c r="G2764" s="61"/>
      <c r="H2764" s="62" t="n">
        <v>1600</v>
      </c>
    </row>
    <row r="2765" customFormat="false" ht="15" hidden="false" customHeight="true" outlineLevel="0" collapsed="false">
      <c r="B2765" s="64"/>
      <c r="C2765" s="65" t="s">
        <v>32</v>
      </c>
      <c r="D2765" s="73"/>
      <c r="E2765" s="67"/>
      <c r="F2765" s="71" t="n">
        <v>250</v>
      </c>
      <c r="G2765" s="68"/>
      <c r="H2765" s="69" t="n">
        <v>250</v>
      </c>
    </row>
    <row r="2766" customFormat="false" ht="15" hidden="false" customHeight="true" outlineLevel="0" collapsed="false">
      <c r="B2766" s="64"/>
      <c r="C2766" s="65" t="s">
        <v>53</v>
      </c>
      <c r="D2766" s="73"/>
      <c r="E2766" s="67"/>
      <c r="F2766" s="71" t="n">
        <v>900</v>
      </c>
      <c r="G2766" s="68"/>
      <c r="H2766" s="69" t="n">
        <v>900</v>
      </c>
    </row>
    <row r="2767" customFormat="false" ht="15" hidden="false" customHeight="true" outlineLevel="0" collapsed="false">
      <c r="B2767" s="64"/>
      <c r="C2767" s="65" t="s">
        <v>19</v>
      </c>
      <c r="D2767" s="66" t="n">
        <v>6605</v>
      </c>
      <c r="E2767" s="67"/>
      <c r="F2767" s="67"/>
      <c r="G2767" s="68"/>
      <c r="H2767" s="69" t="n">
        <v>6605</v>
      </c>
    </row>
    <row r="2768" customFormat="false" ht="15" hidden="false" customHeight="true" outlineLevel="0" collapsed="false">
      <c r="B2768" s="64"/>
      <c r="C2768" s="65" t="s">
        <v>25</v>
      </c>
      <c r="D2768" s="66" t="n">
        <v>935</v>
      </c>
      <c r="E2768" s="67"/>
      <c r="F2768" s="67"/>
      <c r="G2768" s="68"/>
      <c r="H2768" s="69" t="n">
        <v>935</v>
      </c>
    </row>
    <row r="2769" customFormat="false" ht="15" hidden="false" customHeight="true" outlineLevel="0" collapsed="false">
      <c r="B2769" s="64"/>
      <c r="C2769" s="65" t="s">
        <v>28</v>
      </c>
      <c r="D2769" s="73"/>
      <c r="E2769" s="67"/>
      <c r="F2769" s="71" t="n">
        <v>360</v>
      </c>
      <c r="G2769" s="68"/>
      <c r="H2769" s="69" t="n">
        <v>360</v>
      </c>
    </row>
    <row r="2770" customFormat="false" ht="15" hidden="false" customHeight="true" outlineLevel="0" collapsed="false">
      <c r="B2770" s="64"/>
      <c r="C2770" s="65" t="s">
        <v>22</v>
      </c>
      <c r="D2770" s="73"/>
      <c r="E2770" s="67"/>
      <c r="F2770" s="71" t="n">
        <v>55</v>
      </c>
      <c r="G2770" s="68"/>
      <c r="H2770" s="69" t="n">
        <v>55</v>
      </c>
    </row>
    <row r="2771" customFormat="false" ht="15" hidden="false" customHeight="true" outlineLevel="0" collapsed="false">
      <c r="B2771" s="64"/>
      <c r="C2771" s="65" t="s">
        <v>37</v>
      </c>
      <c r="D2771" s="73"/>
      <c r="E2771" s="67"/>
      <c r="F2771" s="71" t="n">
        <v>100</v>
      </c>
      <c r="G2771" s="68"/>
      <c r="H2771" s="69" t="n">
        <v>100</v>
      </c>
    </row>
    <row r="2772" customFormat="false" ht="15" hidden="false" customHeight="true" outlineLevel="0" collapsed="false">
      <c r="B2772" s="64"/>
      <c r="C2772" s="65" t="s">
        <v>107</v>
      </c>
      <c r="D2772" s="73"/>
      <c r="E2772" s="67"/>
      <c r="F2772" s="71" t="n">
        <v>620</v>
      </c>
      <c r="G2772" s="68"/>
      <c r="H2772" s="69" t="n">
        <v>620</v>
      </c>
    </row>
    <row r="2773" customFormat="false" ht="15" hidden="false" customHeight="true" outlineLevel="0" collapsed="false">
      <c r="B2773" s="64"/>
      <c r="C2773" s="65" t="s">
        <v>34</v>
      </c>
      <c r="D2773" s="73"/>
      <c r="E2773" s="67"/>
      <c r="F2773" s="71" t="n">
        <v>220</v>
      </c>
      <c r="G2773" s="68"/>
      <c r="H2773" s="69" t="n">
        <v>220</v>
      </c>
    </row>
    <row r="2774" customFormat="false" ht="15" hidden="false" customHeight="true" outlineLevel="0" collapsed="false">
      <c r="B2774" s="84"/>
      <c r="C2774" s="85" t="s">
        <v>29</v>
      </c>
      <c r="D2774" s="86" t="n">
        <v>735</v>
      </c>
      <c r="E2774" s="75"/>
      <c r="F2774" s="75"/>
      <c r="G2774" s="77"/>
      <c r="H2774" s="78" t="n">
        <v>735</v>
      </c>
    </row>
    <row r="2775" customFormat="false" ht="15" hidden="false" customHeight="true" outlineLevel="0" collapsed="false">
      <c r="B2775" s="87" t="s">
        <v>1008</v>
      </c>
      <c r="C2775" s="88"/>
      <c r="D2775" s="89" t="n">
        <v>8275</v>
      </c>
      <c r="E2775" s="89" t="n">
        <v>1600</v>
      </c>
      <c r="F2775" s="89" t="n">
        <v>2505</v>
      </c>
      <c r="G2775" s="90"/>
      <c r="H2775" s="91" t="n">
        <v>12380</v>
      </c>
    </row>
    <row r="2776" customFormat="false" ht="15" hidden="false" customHeight="true" outlineLevel="0" collapsed="false">
      <c r="B2776" s="56" t="n">
        <v>45947</v>
      </c>
      <c r="C2776" s="57" t="s">
        <v>32</v>
      </c>
      <c r="D2776" s="58"/>
      <c r="E2776" s="59"/>
      <c r="F2776" s="60" t="n">
        <v>250</v>
      </c>
      <c r="G2776" s="61"/>
      <c r="H2776" s="62" t="n">
        <v>250</v>
      </c>
    </row>
    <row r="2777" customFormat="false" ht="15" hidden="false" customHeight="true" outlineLevel="0" collapsed="false">
      <c r="B2777" s="64"/>
      <c r="C2777" s="65" t="s">
        <v>47</v>
      </c>
      <c r="D2777" s="66" t="n">
        <v>1800</v>
      </c>
      <c r="E2777" s="67"/>
      <c r="F2777" s="67"/>
      <c r="G2777" s="68"/>
      <c r="H2777" s="69" t="n">
        <v>1800</v>
      </c>
    </row>
    <row r="2778" customFormat="false" ht="15" hidden="false" customHeight="true" outlineLevel="0" collapsed="false">
      <c r="B2778" s="64"/>
      <c r="C2778" s="65" t="s">
        <v>19</v>
      </c>
      <c r="D2778" s="66" t="n">
        <v>4866</v>
      </c>
      <c r="E2778" s="67"/>
      <c r="F2778" s="67"/>
      <c r="G2778" s="68"/>
      <c r="H2778" s="69" t="n">
        <v>4866</v>
      </c>
    </row>
    <row r="2779" customFormat="false" ht="15" hidden="false" customHeight="true" outlineLevel="0" collapsed="false">
      <c r="B2779" s="64"/>
      <c r="C2779" s="65" t="s">
        <v>25</v>
      </c>
      <c r="D2779" s="66" t="n">
        <v>1254</v>
      </c>
      <c r="E2779" s="71" t="n">
        <v>350</v>
      </c>
      <c r="F2779" s="67"/>
      <c r="G2779" s="68"/>
      <c r="H2779" s="69" t="n">
        <v>1604</v>
      </c>
    </row>
    <row r="2780" customFormat="false" ht="15" hidden="false" customHeight="true" outlineLevel="0" collapsed="false">
      <c r="B2780" s="64"/>
      <c r="C2780" s="65" t="s">
        <v>50</v>
      </c>
      <c r="D2780" s="66" t="n">
        <v>1609</v>
      </c>
      <c r="E2780" s="67"/>
      <c r="F2780" s="67"/>
      <c r="G2780" s="68"/>
      <c r="H2780" s="69" t="n">
        <v>1609</v>
      </c>
    </row>
    <row r="2781" customFormat="false" ht="15" hidden="false" customHeight="true" outlineLevel="0" collapsed="false">
      <c r="B2781" s="64"/>
      <c r="C2781" s="65" t="s">
        <v>22</v>
      </c>
      <c r="D2781" s="66" t="n">
        <v>543</v>
      </c>
      <c r="E2781" s="67"/>
      <c r="F2781" s="67"/>
      <c r="G2781" s="68"/>
      <c r="H2781" s="69" t="n">
        <v>543</v>
      </c>
    </row>
    <row r="2782" customFormat="false" ht="15" hidden="false" customHeight="true" outlineLevel="0" collapsed="false">
      <c r="B2782" s="64"/>
      <c r="C2782" s="65" t="s">
        <v>102</v>
      </c>
      <c r="D2782" s="73"/>
      <c r="E2782" s="67"/>
      <c r="F2782" s="71" t="n">
        <v>600</v>
      </c>
      <c r="G2782" s="68"/>
      <c r="H2782" s="69" t="n">
        <v>600</v>
      </c>
    </row>
    <row r="2783" customFormat="false" ht="15" hidden="false" customHeight="true" outlineLevel="0" collapsed="false">
      <c r="B2783" s="64"/>
      <c r="C2783" s="65" t="s">
        <v>43</v>
      </c>
      <c r="D2783" s="73"/>
      <c r="E2783" s="71" t="n">
        <v>1150</v>
      </c>
      <c r="F2783" s="71" t="n">
        <v>50</v>
      </c>
      <c r="G2783" s="68"/>
      <c r="H2783" s="69" t="n">
        <v>1200</v>
      </c>
    </row>
    <row r="2784" customFormat="false" ht="15" hidden="false" customHeight="true" outlineLevel="0" collapsed="false">
      <c r="B2784" s="64"/>
      <c r="C2784" s="65" t="s">
        <v>60</v>
      </c>
      <c r="D2784" s="73"/>
      <c r="E2784" s="67"/>
      <c r="F2784" s="71" t="n">
        <v>210</v>
      </c>
      <c r="G2784" s="68"/>
      <c r="H2784" s="69" t="n">
        <v>210</v>
      </c>
    </row>
    <row r="2785" customFormat="false" ht="15" hidden="false" customHeight="true" outlineLevel="0" collapsed="false">
      <c r="B2785" s="64"/>
      <c r="C2785" s="65" t="s">
        <v>40</v>
      </c>
      <c r="D2785" s="73"/>
      <c r="E2785" s="71" t="n">
        <v>2900</v>
      </c>
      <c r="F2785" s="67"/>
      <c r="G2785" s="68"/>
      <c r="H2785" s="69" t="n">
        <v>2900</v>
      </c>
    </row>
    <row r="2786" customFormat="false" ht="15" hidden="false" customHeight="true" outlineLevel="0" collapsed="false">
      <c r="B2786" s="64"/>
      <c r="C2786" s="65" t="s">
        <v>34</v>
      </c>
      <c r="D2786" s="73"/>
      <c r="E2786" s="67"/>
      <c r="F2786" s="71" t="n">
        <v>225</v>
      </c>
      <c r="G2786" s="68"/>
      <c r="H2786" s="69" t="n">
        <v>225</v>
      </c>
    </row>
    <row r="2787" customFormat="false" ht="15" hidden="false" customHeight="true" outlineLevel="0" collapsed="false">
      <c r="B2787" s="84"/>
      <c r="C2787" s="85" t="s">
        <v>29</v>
      </c>
      <c r="D2787" s="86" t="n">
        <v>751</v>
      </c>
      <c r="E2787" s="75"/>
      <c r="F2787" s="76" t="n">
        <v>30</v>
      </c>
      <c r="G2787" s="77"/>
      <c r="H2787" s="78" t="n">
        <v>781</v>
      </c>
    </row>
    <row r="2788" customFormat="false" ht="15" hidden="false" customHeight="true" outlineLevel="0" collapsed="false">
      <c r="B2788" s="87" t="s">
        <v>1009</v>
      </c>
      <c r="C2788" s="88"/>
      <c r="D2788" s="89" t="n">
        <v>10823</v>
      </c>
      <c r="E2788" s="89" t="n">
        <v>4400</v>
      </c>
      <c r="F2788" s="89" t="n">
        <v>1365</v>
      </c>
      <c r="G2788" s="90"/>
      <c r="H2788" s="91" t="n">
        <v>16588</v>
      </c>
    </row>
    <row r="2789" customFormat="false" ht="15" hidden="false" customHeight="true" outlineLevel="0" collapsed="false">
      <c r="B2789" s="56" t="n">
        <v>45948</v>
      </c>
      <c r="C2789" s="57" t="s">
        <v>32</v>
      </c>
      <c r="D2789" s="58"/>
      <c r="E2789" s="59"/>
      <c r="F2789" s="60" t="n">
        <v>100</v>
      </c>
      <c r="G2789" s="61"/>
      <c r="H2789" s="62" t="n">
        <v>100</v>
      </c>
    </row>
    <row r="2790" customFormat="false" ht="15" hidden="false" customHeight="true" outlineLevel="0" collapsed="false">
      <c r="B2790" s="64"/>
      <c r="C2790" s="65" t="s">
        <v>53</v>
      </c>
      <c r="D2790" s="73"/>
      <c r="E2790" s="67"/>
      <c r="F2790" s="71" t="n">
        <v>900</v>
      </c>
      <c r="G2790" s="68"/>
      <c r="H2790" s="69" t="n">
        <v>900</v>
      </c>
    </row>
    <row r="2791" customFormat="false" ht="15" hidden="false" customHeight="true" outlineLevel="0" collapsed="false">
      <c r="B2791" s="64"/>
      <c r="C2791" s="65" t="s">
        <v>19</v>
      </c>
      <c r="D2791" s="66" t="n">
        <v>1507</v>
      </c>
      <c r="E2791" s="67"/>
      <c r="F2791" s="67"/>
      <c r="G2791" s="68"/>
      <c r="H2791" s="69" t="n">
        <v>1507</v>
      </c>
    </row>
    <row r="2792" customFormat="false" ht="15" hidden="false" customHeight="true" outlineLevel="0" collapsed="false">
      <c r="B2792" s="64"/>
      <c r="C2792" s="65" t="s">
        <v>25</v>
      </c>
      <c r="D2792" s="66" t="n">
        <v>1060</v>
      </c>
      <c r="E2792" s="67"/>
      <c r="F2792" s="67"/>
      <c r="G2792" s="68"/>
      <c r="H2792" s="69" t="n">
        <v>1060</v>
      </c>
    </row>
    <row r="2793" customFormat="false" ht="15" hidden="false" customHeight="true" outlineLevel="0" collapsed="false">
      <c r="B2793" s="64"/>
      <c r="C2793" s="65" t="s">
        <v>50</v>
      </c>
      <c r="D2793" s="66" t="n">
        <v>1609</v>
      </c>
      <c r="E2793" s="67"/>
      <c r="F2793" s="67"/>
      <c r="G2793" s="68"/>
      <c r="H2793" s="69" t="n">
        <v>1609</v>
      </c>
    </row>
    <row r="2794" customFormat="false" ht="15" hidden="false" customHeight="true" outlineLevel="0" collapsed="false">
      <c r="B2794" s="64"/>
      <c r="C2794" s="65" t="s">
        <v>22</v>
      </c>
      <c r="D2794" s="73"/>
      <c r="E2794" s="67"/>
      <c r="F2794" s="71" t="n">
        <v>100</v>
      </c>
      <c r="G2794" s="68"/>
      <c r="H2794" s="69" t="n">
        <v>100</v>
      </c>
    </row>
    <row r="2795" customFormat="false" ht="15" hidden="false" customHeight="true" outlineLevel="0" collapsed="false">
      <c r="B2795" s="64"/>
      <c r="C2795" s="65" t="s">
        <v>37</v>
      </c>
      <c r="D2795" s="73"/>
      <c r="E2795" s="67"/>
      <c r="F2795" s="71" t="n">
        <v>70</v>
      </c>
      <c r="G2795" s="68"/>
      <c r="H2795" s="69" t="n">
        <v>70</v>
      </c>
    </row>
    <row r="2796" customFormat="false" ht="15" hidden="false" customHeight="true" outlineLevel="0" collapsed="false">
      <c r="B2796" s="64"/>
      <c r="C2796" s="65" t="s">
        <v>43</v>
      </c>
      <c r="D2796" s="66" t="n">
        <v>17000</v>
      </c>
      <c r="E2796" s="67"/>
      <c r="F2796" s="67"/>
      <c r="G2796" s="68"/>
      <c r="H2796" s="69" t="n">
        <v>17000</v>
      </c>
    </row>
    <row r="2797" customFormat="false" ht="15" hidden="false" customHeight="true" outlineLevel="0" collapsed="false">
      <c r="B2797" s="64"/>
      <c r="C2797" s="65" t="s">
        <v>34</v>
      </c>
      <c r="D2797" s="73"/>
      <c r="E2797" s="67"/>
      <c r="F2797" s="71" t="n">
        <v>210</v>
      </c>
      <c r="G2797" s="68"/>
      <c r="H2797" s="69" t="n">
        <v>210</v>
      </c>
    </row>
    <row r="2798" customFormat="false" ht="15" hidden="false" customHeight="true" outlineLevel="0" collapsed="false">
      <c r="B2798" s="84"/>
      <c r="C2798" s="85" t="s">
        <v>29</v>
      </c>
      <c r="D2798" s="86" t="n">
        <v>520</v>
      </c>
      <c r="E2798" s="75"/>
      <c r="F2798" s="75"/>
      <c r="G2798" s="77"/>
      <c r="H2798" s="78" t="n">
        <v>520</v>
      </c>
    </row>
    <row r="2799" customFormat="false" ht="15" hidden="false" customHeight="true" outlineLevel="0" collapsed="false">
      <c r="B2799" s="87" t="s">
        <v>1010</v>
      </c>
      <c r="C2799" s="88"/>
      <c r="D2799" s="89" t="n">
        <v>21696</v>
      </c>
      <c r="E2799" s="90"/>
      <c r="F2799" s="89" t="n">
        <v>1380</v>
      </c>
      <c r="G2799" s="90"/>
      <c r="H2799" s="91" t="n">
        <v>23076</v>
      </c>
    </row>
    <row r="2800" customFormat="false" ht="15" hidden="false" customHeight="true" outlineLevel="0" collapsed="false">
      <c r="B2800" s="56" t="n">
        <v>45949</v>
      </c>
      <c r="C2800" s="57" t="s">
        <v>44</v>
      </c>
      <c r="D2800" s="58"/>
      <c r="E2800" s="59"/>
      <c r="F2800" s="60" t="n">
        <v>1500</v>
      </c>
      <c r="G2800" s="61"/>
      <c r="H2800" s="62" t="n">
        <v>1500</v>
      </c>
    </row>
    <row r="2801" customFormat="false" ht="15" hidden="false" customHeight="true" outlineLevel="0" collapsed="false">
      <c r="B2801" s="64"/>
      <c r="C2801" s="65" t="s">
        <v>19</v>
      </c>
      <c r="D2801" s="66" t="n">
        <v>1654</v>
      </c>
      <c r="E2801" s="67"/>
      <c r="F2801" s="67"/>
      <c r="G2801" s="68"/>
      <c r="H2801" s="69" t="n">
        <v>1654</v>
      </c>
    </row>
    <row r="2802" customFormat="false" ht="15" hidden="false" customHeight="true" outlineLevel="0" collapsed="false">
      <c r="B2802" s="64"/>
      <c r="C2802" s="65" t="s">
        <v>51</v>
      </c>
      <c r="D2802" s="73"/>
      <c r="E2802" s="71" t="n">
        <v>160</v>
      </c>
      <c r="F2802" s="67"/>
      <c r="G2802" s="68"/>
      <c r="H2802" s="69" t="n">
        <v>160</v>
      </c>
    </row>
    <row r="2803" customFormat="false" ht="15" hidden="false" customHeight="true" outlineLevel="0" collapsed="false">
      <c r="B2803" s="64"/>
      <c r="C2803" s="65" t="s">
        <v>69</v>
      </c>
      <c r="D2803" s="73"/>
      <c r="E2803" s="67"/>
      <c r="F2803" s="71" t="n">
        <v>700</v>
      </c>
      <c r="G2803" s="68"/>
      <c r="H2803" s="69" t="n">
        <v>700</v>
      </c>
    </row>
    <row r="2804" customFormat="false" ht="15" hidden="false" customHeight="true" outlineLevel="0" collapsed="false">
      <c r="B2804" s="64"/>
      <c r="C2804" s="65" t="s">
        <v>37</v>
      </c>
      <c r="D2804" s="73"/>
      <c r="E2804" s="67"/>
      <c r="F2804" s="71" t="n">
        <v>75</v>
      </c>
      <c r="G2804" s="68"/>
      <c r="H2804" s="69" t="n">
        <v>75</v>
      </c>
    </row>
    <row r="2805" customFormat="false" ht="15" hidden="false" customHeight="true" outlineLevel="0" collapsed="false">
      <c r="B2805" s="64"/>
      <c r="C2805" s="65" t="s">
        <v>43</v>
      </c>
      <c r="D2805" s="66" t="n">
        <v>3600</v>
      </c>
      <c r="E2805" s="71" t="n">
        <v>150</v>
      </c>
      <c r="F2805" s="67"/>
      <c r="G2805" s="68"/>
      <c r="H2805" s="69" t="n">
        <v>3750</v>
      </c>
    </row>
    <row r="2806" customFormat="false" ht="15" hidden="false" customHeight="true" outlineLevel="0" collapsed="false">
      <c r="B2806" s="64"/>
      <c r="C2806" s="65" t="s">
        <v>56</v>
      </c>
      <c r="D2806" s="66" t="n">
        <v>400</v>
      </c>
      <c r="E2806" s="71" t="n">
        <v>200</v>
      </c>
      <c r="F2806" s="67"/>
      <c r="G2806" s="68"/>
      <c r="H2806" s="69" t="n">
        <v>600</v>
      </c>
    </row>
    <row r="2807" customFormat="false" ht="15" hidden="false" customHeight="true" outlineLevel="0" collapsed="false">
      <c r="B2807" s="64"/>
      <c r="C2807" s="65" t="s">
        <v>35</v>
      </c>
      <c r="D2807" s="73"/>
      <c r="E2807" s="71" t="n">
        <v>35</v>
      </c>
      <c r="F2807" s="67"/>
      <c r="G2807" s="68"/>
      <c r="H2807" s="69" t="n">
        <v>35</v>
      </c>
    </row>
    <row r="2808" customFormat="false" ht="15" hidden="false" customHeight="true" outlineLevel="0" collapsed="false">
      <c r="B2808" s="64"/>
      <c r="C2808" s="65" t="s">
        <v>34</v>
      </c>
      <c r="D2808" s="73"/>
      <c r="E2808" s="71" t="n">
        <v>50</v>
      </c>
      <c r="F2808" s="67"/>
      <c r="G2808" s="68"/>
      <c r="H2808" s="69" t="n">
        <v>50</v>
      </c>
    </row>
    <row r="2809" customFormat="false" ht="15" hidden="false" customHeight="true" outlineLevel="0" collapsed="false">
      <c r="B2809" s="84"/>
      <c r="C2809" s="85" t="s">
        <v>29</v>
      </c>
      <c r="D2809" s="86" t="n">
        <v>300</v>
      </c>
      <c r="E2809" s="76" t="n">
        <v>70</v>
      </c>
      <c r="F2809" s="75"/>
      <c r="G2809" s="77"/>
      <c r="H2809" s="78" t="n">
        <v>370</v>
      </c>
    </row>
    <row r="2810" customFormat="false" ht="15" hidden="false" customHeight="true" outlineLevel="0" collapsed="false">
      <c r="B2810" s="87" t="s">
        <v>1011</v>
      </c>
      <c r="C2810" s="88"/>
      <c r="D2810" s="89" t="n">
        <v>5954</v>
      </c>
      <c r="E2810" s="89" t="n">
        <v>665</v>
      </c>
      <c r="F2810" s="89" t="n">
        <v>2275</v>
      </c>
      <c r="G2810" s="90"/>
      <c r="H2810" s="91" t="n">
        <v>8894</v>
      </c>
    </row>
    <row r="2811" customFormat="false" ht="15" hidden="false" customHeight="true" outlineLevel="0" collapsed="false">
      <c r="B2811" s="56" t="n">
        <v>45950</v>
      </c>
      <c r="C2811" s="57" t="s">
        <v>47</v>
      </c>
      <c r="D2811" s="92" t="n">
        <v>900</v>
      </c>
      <c r="E2811" s="59"/>
      <c r="F2811" s="59"/>
      <c r="G2811" s="61"/>
      <c r="H2811" s="62" t="n">
        <v>900</v>
      </c>
    </row>
    <row r="2812" customFormat="false" ht="15" hidden="false" customHeight="true" outlineLevel="0" collapsed="false">
      <c r="B2812" s="64"/>
      <c r="C2812" s="65" t="s">
        <v>19</v>
      </c>
      <c r="D2812" s="66" t="n">
        <v>1390</v>
      </c>
      <c r="E2812" s="67"/>
      <c r="F2812" s="67"/>
      <c r="G2812" s="68"/>
      <c r="H2812" s="69" t="n">
        <v>1390</v>
      </c>
    </row>
    <row r="2813" customFormat="false" ht="15" hidden="false" customHeight="true" outlineLevel="0" collapsed="false">
      <c r="B2813" s="64"/>
      <c r="C2813" s="65" t="s">
        <v>25</v>
      </c>
      <c r="D2813" s="73"/>
      <c r="E2813" s="71" t="n">
        <v>320</v>
      </c>
      <c r="F2813" s="67"/>
      <c r="G2813" s="68"/>
      <c r="H2813" s="69" t="n">
        <v>320</v>
      </c>
    </row>
    <row r="2814" customFormat="false" ht="15" hidden="false" customHeight="true" outlineLevel="0" collapsed="false">
      <c r="B2814" s="64"/>
      <c r="C2814" s="65" t="s">
        <v>28</v>
      </c>
      <c r="D2814" s="73"/>
      <c r="E2814" s="67"/>
      <c r="F2814" s="71" t="n">
        <v>360</v>
      </c>
      <c r="G2814" s="68"/>
      <c r="H2814" s="69" t="n">
        <v>360</v>
      </c>
    </row>
    <row r="2815" customFormat="false" ht="15" hidden="false" customHeight="true" outlineLevel="0" collapsed="false">
      <c r="B2815" s="64"/>
      <c r="C2815" s="65" t="s">
        <v>37</v>
      </c>
      <c r="D2815" s="73"/>
      <c r="E2815" s="67"/>
      <c r="F2815" s="71" t="n">
        <v>10</v>
      </c>
      <c r="G2815" s="68"/>
      <c r="H2815" s="69" t="n">
        <v>10</v>
      </c>
    </row>
    <row r="2816" customFormat="false" ht="15" hidden="false" customHeight="true" outlineLevel="0" collapsed="false">
      <c r="B2816" s="64"/>
      <c r="C2816" s="65" t="s">
        <v>40</v>
      </c>
      <c r="D2816" s="66" t="n">
        <v>1600</v>
      </c>
      <c r="E2816" s="67"/>
      <c r="F2816" s="67"/>
      <c r="G2816" s="68"/>
      <c r="H2816" s="69" t="n">
        <v>1600</v>
      </c>
    </row>
    <row r="2817" customFormat="false" ht="15" hidden="false" customHeight="true" outlineLevel="0" collapsed="false">
      <c r="B2817" s="64"/>
      <c r="C2817" s="65" t="s">
        <v>56</v>
      </c>
      <c r="D2817" s="66" t="n">
        <v>514</v>
      </c>
      <c r="E2817" s="71" t="n">
        <v>1150</v>
      </c>
      <c r="F2817" s="67"/>
      <c r="G2817" s="68"/>
      <c r="H2817" s="69" t="n">
        <v>1664</v>
      </c>
    </row>
    <row r="2818" customFormat="false" ht="15" hidden="false" customHeight="true" outlineLevel="0" collapsed="false">
      <c r="B2818" s="64"/>
      <c r="C2818" s="65" t="s">
        <v>34</v>
      </c>
      <c r="D2818" s="73"/>
      <c r="E2818" s="71" t="n">
        <v>50</v>
      </c>
      <c r="F2818" s="67"/>
      <c r="G2818" s="68"/>
      <c r="H2818" s="69" t="n">
        <v>50</v>
      </c>
    </row>
    <row r="2819" customFormat="false" ht="15" hidden="false" customHeight="true" outlineLevel="0" collapsed="false">
      <c r="B2819" s="84"/>
      <c r="C2819" s="85" t="s">
        <v>29</v>
      </c>
      <c r="D2819" s="74"/>
      <c r="E2819" s="75"/>
      <c r="F2819" s="76" t="n">
        <v>30</v>
      </c>
      <c r="G2819" s="77"/>
      <c r="H2819" s="78" t="n">
        <v>30</v>
      </c>
    </row>
    <row r="2820" customFormat="false" ht="15" hidden="false" customHeight="true" outlineLevel="0" collapsed="false">
      <c r="B2820" s="87" t="s">
        <v>1012</v>
      </c>
      <c r="C2820" s="88"/>
      <c r="D2820" s="89" t="n">
        <v>4404</v>
      </c>
      <c r="E2820" s="89" t="n">
        <v>1520</v>
      </c>
      <c r="F2820" s="89" t="n">
        <v>400</v>
      </c>
      <c r="G2820" s="90"/>
      <c r="H2820" s="91" t="n">
        <v>6324</v>
      </c>
    </row>
    <row r="2821" customFormat="false" ht="15" hidden="false" customHeight="true" outlineLevel="0" collapsed="false">
      <c r="B2821" s="56" t="n">
        <v>45951</v>
      </c>
      <c r="C2821" s="57" t="s">
        <v>19</v>
      </c>
      <c r="D2821" s="92" t="n">
        <v>3702</v>
      </c>
      <c r="E2821" s="59"/>
      <c r="F2821" s="59"/>
      <c r="G2821" s="61"/>
      <c r="H2821" s="62" t="n">
        <v>3702</v>
      </c>
    </row>
    <row r="2822" customFormat="false" ht="15" hidden="false" customHeight="true" outlineLevel="0" collapsed="false">
      <c r="B2822" s="64"/>
      <c r="C2822" s="65" t="s">
        <v>25</v>
      </c>
      <c r="D2822" s="66" t="n">
        <v>1050</v>
      </c>
      <c r="E2822" s="71" t="n">
        <v>60</v>
      </c>
      <c r="F2822" s="67"/>
      <c r="G2822" s="68"/>
      <c r="H2822" s="69" t="n">
        <v>1110</v>
      </c>
    </row>
    <row r="2823" customFormat="false" ht="15" hidden="false" customHeight="true" outlineLevel="0" collapsed="false">
      <c r="B2823" s="64"/>
      <c r="C2823" s="65" t="s">
        <v>22</v>
      </c>
      <c r="D2823" s="66" t="n">
        <v>2050</v>
      </c>
      <c r="E2823" s="67"/>
      <c r="F2823" s="67"/>
      <c r="G2823" s="68"/>
      <c r="H2823" s="69" t="n">
        <v>2050</v>
      </c>
    </row>
    <row r="2824" customFormat="false" ht="15" hidden="false" customHeight="true" outlineLevel="0" collapsed="false">
      <c r="B2824" s="64"/>
      <c r="C2824" s="65" t="s">
        <v>37</v>
      </c>
      <c r="D2824" s="73"/>
      <c r="E2824" s="67"/>
      <c r="F2824" s="71" t="n">
        <v>55</v>
      </c>
      <c r="G2824" s="68"/>
      <c r="H2824" s="69" t="n">
        <v>55</v>
      </c>
    </row>
    <row r="2825" customFormat="false" ht="15" hidden="false" customHeight="true" outlineLevel="0" collapsed="false">
      <c r="B2825" s="64"/>
      <c r="C2825" s="65" t="s">
        <v>31</v>
      </c>
      <c r="D2825" s="73"/>
      <c r="E2825" s="71" t="n">
        <v>300</v>
      </c>
      <c r="F2825" s="67"/>
      <c r="G2825" s="68"/>
      <c r="H2825" s="69" t="n">
        <v>300</v>
      </c>
    </row>
    <row r="2826" customFormat="false" ht="15" hidden="false" customHeight="true" outlineLevel="0" collapsed="false">
      <c r="B2826" s="64"/>
      <c r="C2826" s="65" t="s">
        <v>56</v>
      </c>
      <c r="D2826" s="73"/>
      <c r="E2826" s="71" t="n">
        <v>500</v>
      </c>
      <c r="F2826" s="67"/>
      <c r="G2826" s="68"/>
      <c r="H2826" s="69" t="n">
        <v>500</v>
      </c>
    </row>
    <row r="2827" customFormat="false" ht="15" hidden="false" customHeight="true" outlineLevel="0" collapsed="false">
      <c r="B2827" s="84"/>
      <c r="C2827" s="85" t="s">
        <v>34</v>
      </c>
      <c r="D2827" s="74"/>
      <c r="E2827" s="76" t="n">
        <v>30</v>
      </c>
      <c r="F2827" s="75"/>
      <c r="G2827" s="77"/>
      <c r="H2827" s="78" t="n">
        <v>30</v>
      </c>
    </row>
    <row r="2828" customFormat="false" ht="15" hidden="false" customHeight="true" outlineLevel="0" collapsed="false">
      <c r="B2828" s="87" t="s">
        <v>1013</v>
      </c>
      <c r="C2828" s="88"/>
      <c r="D2828" s="89" t="n">
        <v>6802</v>
      </c>
      <c r="E2828" s="89" t="n">
        <v>890</v>
      </c>
      <c r="F2828" s="89" t="n">
        <v>55</v>
      </c>
      <c r="G2828" s="90"/>
      <c r="H2828" s="91" t="n">
        <v>7747</v>
      </c>
    </row>
    <row r="2829" customFormat="false" ht="15" hidden="false" customHeight="true" outlineLevel="0" collapsed="false">
      <c r="B2829" s="56" t="n">
        <v>45952</v>
      </c>
      <c r="C2829" s="57" t="s">
        <v>44</v>
      </c>
      <c r="D2829" s="92" t="n">
        <v>1000</v>
      </c>
      <c r="E2829" s="59"/>
      <c r="F2829" s="59"/>
      <c r="G2829" s="61"/>
      <c r="H2829" s="62" t="n">
        <v>1000</v>
      </c>
    </row>
    <row r="2830" customFormat="false" ht="15" hidden="false" customHeight="true" outlineLevel="0" collapsed="false">
      <c r="B2830" s="64"/>
      <c r="C2830" s="65" t="s">
        <v>47</v>
      </c>
      <c r="D2830" s="66" t="n">
        <v>1800</v>
      </c>
      <c r="E2830" s="67"/>
      <c r="F2830" s="67"/>
      <c r="G2830" s="68"/>
      <c r="H2830" s="69" t="n">
        <v>1800</v>
      </c>
    </row>
    <row r="2831" customFormat="false" ht="15" hidden="false" customHeight="true" outlineLevel="0" collapsed="false">
      <c r="B2831" s="64"/>
      <c r="C2831" s="65" t="s">
        <v>19</v>
      </c>
      <c r="D2831" s="66" t="n">
        <v>5266</v>
      </c>
      <c r="E2831" s="67"/>
      <c r="F2831" s="67"/>
      <c r="G2831" s="68"/>
      <c r="H2831" s="69" t="n">
        <v>5266</v>
      </c>
    </row>
    <row r="2832" customFormat="false" ht="15" hidden="false" customHeight="true" outlineLevel="0" collapsed="false">
      <c r="B2832" s="64"/>
      <c r="C2832" s="65" t="s">
        <v>25</v>
      </c>
      <c r="D2832" s="66" t="n">
        <v>1220</v>
      </c>
      <c r="E2832" s="71" t="n">
        <v>30</v>
      </c>
      <c r="F2832" s="67"/>
      <c r="G2832" s="68"/>
      <c r="H2832" s="69" t="n">
        <v>1250</v>
      </c>
    </row>
    <row r="2833" customFormat="false" ht="15" hidden="false" customHeight="true" outlineLevel="0" collapsed="false">
      <c r="B2833" s="64"/>
      <c r="C2833" s="65" t="s">
        <v>28</v>
      </c>
      <c r="D2833" s="73"/>
      <c r="E2833" s="67"/>
      <c r="F2833" s="71" t="n">
        <v>522</v>
      </c>
      <c r="G2833" s="68"/>
      <c r="H2833" s="69" t="n">
        <v>522</v>
      </c>
    </row>
    <row r="2834" customFormat="false" ht="15" hidden="false" customHeight="true" outlineLevel="0" collapsed="false">
      <c r="B2834" s="64"/>
      <c r="C2834" s="65" t="s">
        <v>12</v>
      </c>
      <c r="D2834" s="66" t="n">
        <v>300</v>
      </c>
      <c r="E2834" s="67"/>
      <c r="F2834" s="67"/>
      <c r="G2834" s="68"/>
      <c r="H2834" s="69" t="n">
        <v>300</v>
      </c>
    </row>
    <row r="2835" customFormat="false" ht="15" hidden="false" customHeight="true" outlineLevel="0" collapsed="false">
      <c r="B2835" s="64"/>
      <c r="C2835" s="65" t="s">
        <v>22</v>
      </c>
      <c r="D2835" s="66" t="n">
        <v>27552</v>
      </c>
      <c r="E2835" s="71" t="n">
        <v>1125</v>
      </c>
      <c r="F2835" s="67"/>
      <c r="G2835" s="68"/>
      <c r="H2835" s="69" t="n">
        <v>28677</v>
      </c>
    </row>
    <row r="2836" customFormat="false" ht="15" hidden="false" customHeight="true" outlineLevel="0" collapsed="false">
      <c r="B2836" s="64"/>
      <c r="C2836" s="65" t="s">
        <v>37</v>
      </c>
      <c r="D2836" s="73"/>
      <c r="E2836" s="67"/>
      <c r="F2836" s="71" t="n">
        <v>10</v>
      </c>
      <c r="G2836" s="68"/>
      <c r="H2836" s="69" t="n">
        <v>10</v>
      </c>
    </row>
    <row r="2837" customFormat="false" ht="15" hidden="false" customHeight="true" outlineLevel="0" collapsed="false">
      <c r="B2837" s="64"/>
      <c r="C2837" s="65" t="s">
        <v>40</v>
      </c>
      <c r="D2837" s="73"/>
      <c r="E2837" s="71" t="n">
        <v>1600</v>
      </c>
      <c r="F2837" s="67"/>
      <c r="G2837" s="68"/>
      <c r="H2837" s="69" t="n">
        <v>1600</v>
      </c>
    </row>
    <row r="2838" customFormat="false" ht="15" hidden="false" customHeight="true" outlineLevel="0" collapsed="false">
      <c r="B2838" s="64"/>
      <c r="C2838" s="65" t="s">
        <v>202</v>
      </c>
      <c r="D2838" s="73"/>
      <c r="E2838" s="71" t="n">
        <v>90</v>
      </c>
      <c r="F2838" s="67"/>
      <c r="G2838" s="68"/>
      <c r="H2838" s="69" t="n">
        <v>90</v>
      </c>
    </row>
    <row r="2839" customFormat="false" ht="15" hidden="false" customHeight="true" outlineLevel="0" collapsed="false">
      <c r="B2839" s="64"/>
      <c r="C2839" s="65" t="s">
        <v>34</v>
      </c>
      <c r="D2839" s="73"/>
      <c r="E2839" s="71" t="n">
        <v>30</v>
      </c>
      <c r="F2839" s="67"/>
      <c r="G2839" s="68"/>
      <c r="H2839" s="69" t="n">
        <v>30</v>
      </c>
    </row>
    <row r="2840" customFormat="false" ht="15" hidden="false" customHeight="true" outlineLevel="0" collapsed="false">
      <c r="B2840" s="84"/>
      <c r="C2840" s="85" t="s">
        <v>29</v>
      </c>
      <c r="D2840" s="86" t="n">
        <v>1300</v>
      </c>
      <c r="E2840" s="75"/>
      <c r="F2840" s="76" t="n">
        <v>200</v>
      </c>
      <c r="G2840" s="77"/>
      <c r="H2840" s="78" t="n">
        <v>1500</v>
      </c>
    </row>
    <row r="2841" customFormat="false" ht="15" hidden="false" customHeight="true" outlineLevel="0" collapsed="false">
      <c r="B2841" s="87" t="s">
        <v>1014</v>
      </c>
      <c r="C2841" s="88"/>
      <c r="D2841" s="89" t="n">
        <v>38438</v>
      </c>
      <c r="E2841" s="89" t="n">
        <v>2875</v>
      </c>
      <c r="F2841" s="89" t="n">
        <v>732</v>
      </c>
      <c r="G2841" s="90"/>
      <c r="H2841" s="91" t="n">
        <v>42045</v>
      </c>
    </row>
    <row r="2842" customFormat="false" ht="15" hidden="false" customHeight="true" outlineLevel="0" collapsed="false">
      <c r="B2842" s="56" t="n">
        <v>45953</v>
      </c>
      <c r="C2842" s="57" t="s">
        <v>47</v>
      </c>
      <c r="D2842" s="92" t="n">
        <v>900</v>
      </c>
      <c r="E2842" s="59"/>
      <c r="F2842" s="59"/>
      <c r="G2842" s="61"/>
      <c r="H2842" s="62" t="n">
        <v>900</v>
      </c>
    </row>
    <row r="2843" customFormat="false" ht="15" hidden="false" customHeight="true" outlineLevel="0" collapsed="false">
      <c r="B2843" s="64"/>
      <c r="C2843" s="65" t="s">
        <v>19</v>
      </c>
      <c r="D2843" s="66" t="n">
        <v>2368</v>
      </c>
      <c r="E2843" s="67"/>
      <c r="F2843" s="67"/>
      <c r="G2843" s="68"/>
      <c r="H2843" s="69" t="n">
        <v>2368</v>
      </c>
    </row>
    <row r="2844" customFormat="false" ht="15" hidden="false" customHeight="true" outlineLevel="0" collapsed="false">
      <c r="B2844" s="64"/>
      <c r="C2844" s="65" t="s">
        <v>25</v>
      </c>
      <c r="D2844" s="66" t="n">
        <v>680</v>
      </c>
      <c r="E2844" s="71" t="n">
        <v>30</v>
      </c>
      <c r="F2844" s="67"/>
      <c r="G2844" s="68"/>
      <c r="H2844" s="69" t="n">
        <v>710</v>
      </c>
    </row>
    <row r="2845" customFormat="false" ht="15" hidden="false" customHeight="true" outlineLevel="0" collapsed="false">
      <c r="B2845" s="64"/>
      <c r="C2845" s="65" t="s">
        <v>37</v>
      </c>
      <c r="D2845" s="73"/>
      <c r="E2845" s="67"/>
      <c r="F2845" s="71" t="n">
        <v>10</v>
      </c>
      <c r="G2845" s="68"/>
      <c r="H2845" s="69" t="n">
        <v>10</v>
      </c>
    </row>
    <row r="2846" customFormat="false" ht="15" hidden="false" customHeight="true" outlineLevel="0" collapsed="false">
      <c r="B2846" s="84"/>
      <c r="C2846" s="85" t="s">
        <v>29</v>
      </c>
      <c r="D2846" s="86" t="n">
        <v>590</v>
      </c>
      <c r="E2846" s="75"/>
      <c r="F2846" s="75"/>
      <c r="G2846" s="77"/>
      <c r="H2846" s="78" t="n">
        <v>590</v>
      </c>
    </row>
    <row r="2847" customFormat="false" ht="15" hidden="false" customHeight="true" outlineLevel="0" collapsed="false">
      <c r="B2847" s="87" t="s">
        <v>1015</v>
      </c>
      <c r="C2847" s="88"/>
      <c r="D2847" s="89" t="n">
        <v>4538</v>
      </c>
      <c r="E2847" s="89" t="n">
        <v>30</v>
      </c>
      <c r="F2847" s="89" t="n">
        <v>10</v>
      </c>
      <c r="G2847" s="90"/>
      <c r="H2847" s="91" t="n">
        <v>4578</v>
      </c>
    </row>
    <row r="2848" customFormat="false" ht="15" hidden="false" customHeight="true" outlineLevel="0" collapsed="false">
      <c r="B2848" s="56" t="n">
        <v>45954</v>
      </c>
      <c r="C2848" s="57" t="s">
        <v>53</v>
      </c>
      <c r="D2848" s="92" t="n">
        <v>925</v>
      </c>
      <c r="E2848" s="59"/>
      <c r="F2848" s="59"/>
      <c r="G2848" s="61"/>
      <c r="H2848" s="62" t="n">
        <v>925</v>
      </c>
    </row>
    <row r="2849" customFormat="false" ht="15" hidden="false" customHeight="true" outlineLevel="0" collapsed="false">
      <c r="B2849" s="64"/>
      <c r="C2849" s="65" t="s">
        <v>19</v>
      </c>
      <c r="D2849" s="66" t="n">
        <v>4332</v>
      </c>
      <c r="E2849" s="67"/>
      <c r="F2849" s="67"/>
      <c r="G2849" s="68"/>
      <c r="H2849" s="69" t="n">
        <v>4332</v>
      </c>
    </row>
    <row r="2850" customFormat="false" ht="15" hidden="false" customHeight="true" outlineLevel="0" collapsed="false">
      <c r="B2850" s="64"/>
      <c r="C2850" s="65" t="s">
        <v>25</v>
      </c>
      <c r="D2850" s="66" t="n">
        <v>1110</v>
      </c>
      <c r="E2850" s="71" t="n">
        <v>30</v>
      </c>
      <c r="F2850" s="67"/>
      <c r="G2850" s="68"/>
      <c r="H2850" s="69" t="n">
        <v>1140</v>
      </c>
    </row>
    <row r="2851" customFormat="false" ht="15" hidden="false" customHeight="true" outlineLevel="0" collapsed="false">
      <c r="B2851" s="64"/>
      <c r="C2851" s="65" t="s">
        <v>28</v>
      </c>
      <c r="D2851" s="73"/>
      <c r="E2851" s="67"/>
      <c r="F2851" s="71" t="n">
        <v>350</v>
      </c>
      <c r="G2851" s="68"/>
      <c r="H2851" s="69" t="n">
        <v>350</v>
      </c>
    </row>
    <row r="2852" customFormat="false" ht="15" hidden="false" customHeight="true" outlineLevel="0" collapsed="false">
      <c r="B2852" s="64"/>
      <c r="C2852" s="65" t="s">
        <v>12</v>
      </c>
      <c r="D2852" s="73"/>
      <c r="E2852" s="71" t="n">
        <v>250</v>
      </c>
      <c r="F2852" s="67"/>
      <c r="G2852" s="68"/>
      <c r="H2852" s="69" t="n">
        <v>250</v>
      </c>
    </row>
    <row r="2853" customFormat="false" ht="15" hidden="false" customHeight="true" outlineLevel="0" collapsed="false">
      <c r="B2853" s="64"/>
      <c r="C2853" s="65" t="s">
        <v>37</v>
      </c>
      <c r="D2853" s="73"/>
      <c r="E2853" s="67"/>
      <c r="F2853" s="71" t="n">
        <v>40</v>
      </c>
      <c r="G2853" s="68"/>
      <c r="H2853" s="69" t="n">
        <v>40</v>
      </c>
    </row>
    <row r="2854" customFormat="false" ht="15" hidden="false" customHeight="true" outlineLevel="0" collapsed="false">
      <c r="B2854" s="64"/>
      <c r="C2854" s="65" t="s">
        <v>56</v>
      </c>
      <c r="D2854" s="73"/>
      <c r="E2854" s="71" t="n">
        <v>80</v>
      </c>
      <c r="F2854" s="71" t="n">
        <v>500</v>
      </c>
      <c r="G2854" s="68"/>
      <c r="H2854" s="69" t="n">
        <v>580</v>
      </c>
    </row>
    <row r="2855" customFormat="false" ht="15" hidden="false" customHeight="true" outlineLevel="0" collapsed="false">
      <c r="B2855" s="64"/>
      <c r="C2855" s="65" t="s">
        <v>34</v>
      </c>
      <c r="D2855" s="73"/>
      <c r="E2855" s="71" t="n">
        <v>30</v>
      </c>
      <c r="F2855" s="67"/>
      <c r="G2855" s="68"/>
      <c r="H2855" s="69" t="n">
        <v>30</v>
      </c>
    </row>
    <row r="2856" customFormat="false" ht="15" hidden="false" customHeight="true" outlineLevel="0" collapsed="false">
      <c r="B2856" s="84"/>
      <c r="C2856" s="85" t="s">
        <v>29</v>
      </c>
      <c r="D2856" s="86" t="n">
        <v>710</v>
      </c>
      <c r="E2856" s="76" t="n">
        <v>12000</v>
      </c>
      <c r="F2856" s="76" t="n">
        <v>20</v>
      </c>
      <c r="G2856" s="77"/>
      <c r="H2856" s="78" t="n">
        <v>12730</v>
      </c>
    </row>
    <row r="2857" customFormat="false" ht="15" hidden="false" customHeight="true" outlineLevel="0" collapsed="false">
      <c r="B2857" s="87" t="s">
        <v>1016</v>
      </c>
      <c r="C2857" s="88"/>
      <c r="D2857" s="89" t="n">
        <v>7077</v>
      </c>
      <c r="E2857" s="89" t="n">
        <v>12390</v>
      </c>
      <c r="F2857" s="89" t="n">
        <v>910</v>
      </c>
      <c r="G2857" s="90"/>
      <c r="H2857" s="91" t="n">
        <v>20377</v>
      </c>
    </row>
    <row r="2858" customFormat="false" ht="15" hidden="false" customHeight="true" outlineLevel="0" collapsed="false">
      <c r="B2858" s="56" t="n">
        <v>45955</v>
      </c>
      <c r="C2858" s="57" t="s">
        <v>44</v>
      </c>
      <c r="D2858" s="58"/>
      <c r="E2858" s="59"/>
      <c r="F2858" s="60" t="n">
        <v>540</v>
      </c>
      <c r="G2858" s="61"/>
      <c r="H2858" s="62" t="n">
        <v>540</v>
      </c>
    </row>
    <row r="2859" customFormat="false" ht="15" hidden="false" customHeight="true" outlineLevel="0" collapsed="false">
      <c r="B2859" s="64"/>
      <c r="C2859" s="65" t="s">
        <v>53</v>
      </c>
      <c r="D2859" s="66" t="n">
        <v>2327</v>
      </c>
      <c r="E2859" s="67"/>
      <c r="F2859" s="67"/>
      <c r="G2859" s="68"/>
      <c r="H2859" s="69" t="n">
        <v>2327</v>
      </c>
    </row>
    <row r="2860" customFormat="false" ht="15" hidden="false" customHeight="true" outlineLevel="0" collapsed="false">
      <c r="B2860" s="64"/>
      <c r="C2860" s="65" t="s">
        <v>19</v>
      </c>
      <c r="D2860" s="66" t="n">
        <v>3375</v>
      </c>
      <c r="E2860" s="67"/>
      <c r="F2860" s="67"/>
      <c r="G2860" s="68"/>
      <c r="H2860" s="69" t="n">
        <v>3375</v>
      </c>
    </row>
    <row r="2861" customFormat="false" ht="15" hidden="false" customHeight="true" outlineLevel="0" collapsed="false">
      <c r="B2861" s="64"/>
      <c r="C2861" s="65" t="s">
        <v>25</v>
      </c>
      <c r="D2861" s="66" t="n">
        <v>410</v>
      </c>
      <c r="E2861" s="71" t="n">
        <v>30</v>
      </c>
      <c r="F2861" s="67"/>
      <c r="G2861" s="68"/>
      <c r="H2861" s="69" t="n">
        <v>440</v>
      </c>
    </row>
    <row r="2862" customFormat="false" ht="15" hidden="false" customHeight="true" outlineLevel="0" collapsed="false">
      <c r="B2862" s="64"/>
      <c r="C2862" s="65" t="s">
        <v>22</v>
      </c>
      <c r="D2862" s="73"/>
      <c r="E2862" s="71" t="n">
        <v>650</v>
      </c>
      <c r="F2862" s="67"/>
      <c r="G2862" s="68"/>
      <c r="H2862" s="69" t="n">
        <v>650</v>
      </c>
    </row>
    <row r="2863" customFormat="false" ht="15" hidden="false" customHeight="true" outlineLevel="0" collapsed="false">
      <c r="B2863" s="64"/>
      <c r="C2863" s="65" t="s">
        <v>37</v>
      </c>
      <c r="D2863" s="73"/>
      <c r="E2863" s="67"/>
      <c r="F2863" s="71" t="n">
        <v>5</v>
      </c>
      <c r="G2863" s="68"/>
      <c r="H2863" s="69" t="n">
        <v>5</v>
      </c>
    </row>
    <row r="2864" customFormat="false" ht="15" hidden="false" customHeight="true" outlineLevel="0" collapsed="false">
      <c r="B2864" s="64"/>
      <c r="C2864" s="65" t="s">
        <v>56</v>
      </c>
      <c r="D2864" s="73"/>
      <c r="E2864" s="71" t="n">
        <v>250</v>
      </c>
      <c r="F2864" s="67"/>
      <c r="G2864" s="68"/>
      <c r="H2864" s="69" t="n">
        <v>250</v>
      </c>
    </row>
    <row r="2865" customFormat="false" ht="15" hidden="false" customHeight="true" outlineLevel="0" collapsed="false">
      <c r="B2865" s="64"/>
      <c r="C2865" s="65" t="s">
        <v>34</v>
      </c>
      <c r="D2865" s="73"/>
      <c r="E2865" s="71" t="n">
        <v>30</v>
      </c>
      <c r="F2865" s="67"/>
      <c r="G2865" s="68"/>
      <c r="H2865" s="69" t="n">
        <v>30</v>
      </c>
    </row>
    <row r="2866" customFormat="false" ht="15" hidden="false" customHeight="true" outlineLevel="0" collapsed="false">
      <c r="B2866" s="84"/>
      <c r="C2866" s="85" t="s">
        <v>29</v>
      </c>
      <c r="D2866" s="86" t="n">
        <v>602</v>
      </c>
      <c r="E2866" s="76" t="n">
        <v>80</v>
      </c>
      <c r="F2866" s="76" t="n">
        <v>200</v>
      </c>
      <c r="G2866" s="77"/>
      <c r="H2866" s="78" t="n">
        <v>882</v>
      </c>
    </row>
    <row r="2867" customFormat="false" ht="15" hidden="false" customHeight="true" outlineLevel="0" collapsed="false">
      <c r="B2867" s="87" t="s">
        <v>1017</v>
      </c>
      <c r="C2867" s="88"/>
      <c r="D2867" s="89" t="n">
        <v>6714</v>
      </c>
      <c r="E2867" s="89" t="n">
        <v>1040</v>
      </c>
      <c r="F2867" s="89" t="n">
        <v>745</v>
      </c>
      <c r="G2867" s="90"/>
      <c r="H2867" s="91" t="n">
        <v>8499</v>
      </c>
    </row>
    <row r="2868" customFormat="false" ht="15" hidden="false" customHeight="true" outlineLevel="0" collapsed="false">
      <c r="B2868" s="56" t="n">
        <v>45956</v>
      </c>
      <c r="C2868" s="57" t="s">
        <v>44</v>
      </c>
      <c r="D2868" s="58"/>
      <c r="E2868" s="59"/>
      <c r="F2868" s="60" t="n">
        <v>500</v>
      </c>
      <c r="G2868" s="61"/>
      <c r="H2868" s="62" t="n">
        <v>500</v>
      </c>
    </row>
    <row r="2869" customFormat="false" ht="15" hidden="false" customHeight="true" outlineLevel="0" collapsed="false">
      <c r="B2869" s="64"/>
      <c r="C2869" s="65" t="s">
        <v>32</v>
      </c>
      <c r="D2869" s="73"/>
      <c r="E2869" s="71" t="n">
        <v>625</v>
      </c>
      <c r="F2869" s="67"/>
      <c r="G2869" s="68"/>
      <c r="H2869" s="69" t="n">
        <v>625</v>
      </c>
    </row>
    <row r="2870" customFormat="false" ht="15" hidden="false" customHeight="true" outlineLevel="0" collapsed="false">
      <c r="B2870" s="64"/>
      <c r="C2870" s="65" t="s">
        <v>53</v>
      </c>
      <c r="D2870" s="73"/>
      <c r="E2870" s="71" t="n">
        <v>480</v>
      </c>
      <c r="F2870" s="67"/>
      <c r="G2870" s="68"/>
      <c r="H2870" s="69" t="n">
        <v>480</v>
      </c>
    </row>
    <row r="2871" customFormat="false" ht="15" hidden="false" customHeight="true" outlineLevel="0" collapsed="false">
      <c r="B2871" s="64"/>
      <c r="C2871" s="65" t="s">
        <v>118</v>
      </c>
      <c r="D2871" s="73"/>
      <c r="E2871" s="67"/>
      <c r="F2871" s="71" t="n">
        <v>475</v>
      </c>
      <c r="G2871" s="68"/>
      <c r="H2871" s="69" t="n">
        <v>475</v>
      </c>
    </row>
    <row r="2872" customFormat="false" ht="15" hidden="false" customHeight="true" outlineLevel="0" collapsed="false">
      <c r="B2872" s="64"/>
      <c r="C2872" s="65" t="s">
        <v>19</v>
      </c>
      <c r="D2872" s="66" t="n">
        <v>5924</v>
      </c>
      <c r="E2872" s="67"/>
      <c r="F2872" s="67"/>
      <c r="G2872" s="68"/>
      <c r="H2872" s="69" t="n">
        <v>5924</v>
      </c>
    </row>
    <row r="2873" customFormat="false" ht="15" hidden="false" customHeight="true" outlineLevel="0" collapsed="false">
      <c r="B2873" s="64"/>
      <c r="C2873" s="65" t="s">
        <v>25</v>
      </c>
      <c r="D2873" s="66" t="n">
        <v>530</v>
      </c>
      <c r="E2873" s="71" t="n">
        <v>710</v>
      </c>
      <c r="F2873" s="67"/>
      <c r="G2873" s="68"/>
      <c r="H2873" s="69" t="n">
        <v>1240</v>
      </c>
    </row>
    <row r="2874" customFormat="false" ht="15" hidden="false" customHeight="true" outlineLevel="0" collapsed="false">
      <c r="B2874" s="64"/>
      <c r="C2874" s="65" t="s">
        <v>12</v>
      </c>
      <c r="D2874" s="73"/>
      <c r="E2874" s="71" t="n">
        <v>30</v>
      </c>
      <c r="F2874" s="67"/>
      <c r="G2874" s="68"/>
      <c r="H2874" s="69" t="n">
        <v>30</v>
      </c>
    </row>
    <row r="2875" customFormat="false" ht="15" hidden="false" customHeight="true" outlineLevel="0" collapsed="false">
      <c r="B2875" s="64"/>
      <c r="C2875" s="65" t="s">
        <v>37</v>
      </c>
      <c r="D2875" s="73"/>
      <c r="E2875" s="67"/>
      <c r="F2875" s="71" t="n">
        <v>20</v>
      </c>
      <c r="G2875" s="68"/>
      <c r="H2875" s="69" t="n">
        <v>20</v>
      </c>
    </row>
    <row r="2876" customFormat="false" ht="15" hidden="false" customHeight="true" outlineLevel="0" collapsed="false">
      <c r="B2876" s="64"/>
      <c r="C2876" s="65" t="s">
        <v>40</v>
      </c>
      <c r="D2876" s="73"/>
      <c r="E2876" s="71" t="n">
        <v>1600</v>
      </c>
      <c r="F2876" s="67"/>
      <c r="G2876" s="68"/>
      <c r="H2876" s="69" t="n">
        <v>1600</v>
      </c>
    </row>
    <row r="2877" customFormat="false" ht="15" hidden="false" customHeight="true" outlineLevel="0" collapsed="false">
      <c r="B2877" s="64"/>
      <c r="C2877" s="65" t="s">
        <v>31</v>
      </c>
      <c r="D2877" s="73"/>
      <c r="E2877" s="71" t="n">
        <v>310</v>
      </c>
      <c r="F2877" s="67"/>
      <c r="G2877" s="68"/>
      <c r="H2877" s="69" t="n">
        <v>310</v>
      </c>
    </row>
    <row r="2878" customFormat="false" ht="15" hidden="false" customHeight="true" outlineLevel="0" collapsed="false">
      <c r="B2878" s="64"/>
      <c r="C2878" s="65" t="s">
        <v>56</v>
      </c>
      <c r="D2878" s="73"/>
      <c r="E2878" s="71" t="n">
        <v>50</v>
      </c>
      <c r="F2878" s="67"/>
      <c r="G2878" s="68"/>
      <c r="H2878" s="69" t="n">
        <v>50</v>
      </c>
    </row>
    <row r="2879" customFormat="false" ht="15" hidden="false" customHeight="true" outlineLevel="0" collapsed="false">
      <c r="B2879" s="64"/>
      <c r="C2879" s="65" t="s">
        <v>35</v>
      </c>
      <c r="D2879" s="73"/>
      <c r="E2879" s="71" t="n">
        <v>100</v>
      </c>
      <c r="F2879" s="67"/>
      <c r="G2879" s="68"/>
      <c r="H2879" s="69" t="n">
        <v>100</v>
      </c>
    </row>
    <row r="2880" customFormat="false" ht="15" hidden="false" customHeight="true" outlineLevel="0" collapsed="false">
      <c r="B2880" s="64"/>
      <c r="C2880" s="65" t="s">
        <v>34</v>
      </c>
      <c r="D2880" s="73"/>
      <c r="E2880" s="71" t="n">
        <v>30</v>
      </c>
      <c r="F2880" s="67"/>
      <c r="G2880" s="68"/>
      <c r="H2880" s="69" t="n">
        <v>30</v>
      </c>
    </row>
    <row r="2881" customFormat="false" ht="15" hidden="false" customHeight="true" outlineLevel="0" collapsed="false">
      <c r="B2881" s="84"/>
      <c r="C2881" s="85" t="s">
        <v>29</v>
      </c>
      <c r="D2881" s="86" t="n">
        <v>469</v>
      </c>
      <c r="E2881" s="75"/>
      <c r="F2881" s="76" t="n">
        <v>20</v>
      </c>
      <c r="G2881" s="77"/>
      <c r="H2881" s="78" t="n">
        <v>489</v>
      </c>
    </row>
    <row r="2882" customFormat="false" ht="15" hidden="false" customHeight="true" outlineLevel="0" collapsed="false">
      <c r="B2882" s="87" t="s">
        <v>1018</v>
      </c>
      <c r="C2882" s="88"/>
      <c r="D2882" s="89" t="n">
        <v>6923</v>
      </c>
      <c r="E2882" s="89" t="n">
        <v>3935</v>
      </c>
      <c r="F2882" s="89" t="n">
        <v>1015</v>
      </c>
      <c r="G2882" s="90"/>
      <c r="H2882" s="91" t="n">
        <v>11873</v>
      </c>
    </row>
    <row r="2883" customFormat="false" ht="15" hidden="false" customHeight="true" outlineLevel="0" collapsed="false">
      <c r="B2883" s="56" t="n">
        <v>45957</v>
      </c>
      <c r="C2883" s="57" t="s">
        <v>44</v>
      </c>
      <c r="D2883" s="58"/>
      <c r="E2883" s="60" t="n">
        <v>500</v>
      </c>
      <c r="F2883" s="59"/>
      <c r="G2883" s="61"/>
      <c r="H2883" s="62" t="n">
        <v>500</v>
      </c>
    </row>
    <row r="2884" customFormat="false" ht="15" hidden="false" customHeight="true" outlineLevel="0" collapsed="false">
      <c r="B2884" s="64"/>
      <c r="C2884" s="65" t="s">
        <v>25</v>
      </c>
      <c r="D2884" s="66" t="n">
        <v>685</v>
      </c>
      <c r="E2884" s="67"/>
      <c r="F2884" s="67"/>
      <c r="G2884" s="68"/>
      <c r="H2884" s="69" t="n">
        <v>685</v>
      </c>
    </row>
    <row r="2885" customFormat="false" ht="15" hidden="false" customHeight="true" outlineLevel="0" collapsed="false">
      <c r="B2885" s="64"/>
      <c r="C2885" s="65" t="s">
        <v>36</v>
      </c>
      <c r="D2885" s="73"/>
      <c r="E2885" s="71" t="n">
        <v>100</v>
      </c>
      <c r="F2885" s="67"/>
      <c r="G2885" s="68"/>
      <c r="H2885" s="69" t="n">
        <v>100</v>
      </c>
    </row>
    <row r="2886" customFormat="false" ht="15" hidden="false" customHeight="true" outlineLevel="0" collapsed="false">
      <c r="B2886" s="64"/>
      <c r="C2886" s="65" t="s">
        <v>12</v>
      </c>
      <c r="D2886" s="66" t="n">
        <v>24840</v>
      </c>
      <c r="E2886" s="71" t="n">
        <v>60</v>
      </c>
      <c r="F2886" s="67"/>
      <c r="G2886" s="68"/>
      <c r="H2886" s="69" t="n">
        <v>24900</v>
      </c>
    </row>
    <row r="2887" customFormat="false" ht="15" hidden="false" customHeight="true" outlineLevel="0" collapsed="false">
      <c r="B2887" s="64"/>
      <c r="C2887" s="65" t="s">
        <v>43</v>
      </c>
      <c r="D2887" s="73"/>
      <c r="E2887" s="71" t="n">
        <v>500</v>
      </c>
      <c r="F2887" s="67"/>
      <c r="G2887" s="68"/>
      <c r="H2887" s="69" t="n">
        <v>500</v>
      </c>
    </row>
    <row r="2888" customFormat="false" ht="15" hidden="false" customHeight="true" outlineLevel="0" collapsed="false">
      <c r="B2888" s="84"/>
      <c r="C2888" s="85" t="s">
        <v>29</v>
      </c>
      <c r="D2888" s="86" t="n">
        <v>358</v>
      </c>
      <c r="E2888" s="75"/>
      <c r="F2888" s="75"/>
      <c r="G2888" s="77"/>
      <c r="H2888" s="78" t="n">
        <v>358</v>
      </c>
    </row>
    <row r="2889" customFormat="false" ht="15" hidden="false" customHeight="true" outlineLevel="0" collapsed="false">
      <c r="B2889" s="87" t="s">
        <v>1019</v>
      </c>
      <c r="C2889" s="88"/>
      <c r="D2889" s="89" t="n">
        <v>25883</v>
      </c>
      <c r="E2889" s="89" t="n">
        <v>1160</v>
      </c>
      <c r="F2889" s="90"/>
      <c r="G2889" s="90"/>
      <c r="H2889" s="91" t="n">
        <v>27043</v>
      </c>
    </row>
    <row r="2890" customFormat="false" ht="15" hidden="false" customHeight="true" outlineLevel="0" collapsed="false">
      <c r="B2890" s="56" t="n">
        <v>45958</v>
      </c>
      <c r="C2890" s="57" t="s">
        <v>19</v>
      </c>
      <c r="D2890" s="92" t="n">
        <v>2920</v>
      </c>
      <c r="E2890" s="59"/>
      <c r="F2890" s="59"/>
      <c r="G2890" s="61"/>
      <c r="H2890" s="62" t="n">
        <v>2920</v>
      </c>
    </row>
    <row r="2891" customFormat="false" ht="15" hidden="false" customHeight="true" outlineLevel="0" collapsed="false">
      <c r="B2891" s="64"/>
      <c r="C2891" s="65" t="s">
        <v>25</v>
      </c>
      <c r="D2891" s="73"/>
      <c r="E2891" s="71" t="n">
        <v>530</v>
      </c>
      <c r="F2891" s="67"/>
      <c r="G2891" s="68"/>
      <c r="H2891" s="69" t="n">
        <v>530</v>
      </c>
    </row>
    <row r="2892" customFormat="false" ht="15" hidden="false" customHeight="true" outlineLevel="0" collapsed="false">
      <c r="B2892" s="64"/>
      <c r="C2892" s="65" t="s">
        <v>43</v>
      </c>
      <c r="D2892" s="73"/>
      <c r="E2892" s="71" t="n">
        <v>350</v>
      </c>
      <c r="F2892" s="67"/>
      <c r="G2892" s="68"/>
      <c r="H2892" s="69" t="n">
        <v>350</v>
      </c>
    </row>
    <row r="2893" customFormat="false" ht="15" hidden="false" customHeight="true" outlineLevel="0" collapsed="false">
      <c r="B2893" s="64"/>
      <c r="C2893" s="65" t="s">
        <v>40</v>
      </c>
      <c r="D2893" s="73"/>
      <c r="E2893" s="71" t="n">
        <v>500</v>
      </c>
      <c r="F2893" s="67"/>
      <c r="G2893" s="68"/>
      <c r="H2893" s="69" t="n">
        <v>500</v>
      </c>
    </row>
    <row r="2894" customFormat="false" ht="15" hidden="false" customHeight="true" outlineLevel="0" collapsed="false">
      <c r="B2894" s="64"/>
      <c r="C2894" s="65" t="s">
        <v>34</v>
      </c>
      <c r="D2894" s="73"/>
      <c r="E2894" s="71" t="n">
        <v>30</v>
      </c>
      <c r="F2894" s="71" t="n">
        <v>30</v>
      </c>
      <c r="G2894" s="68"/>
      <c r="H2894" s="69" t="n">
        <v>60</v>
      </c>
    </row>
    <row r="2895" customFormat="false" ht="15" hidden="false" customHeight="true" outlineLevel="0" collapsed="false">
      <c r="B2895" s="84"/>
      <c r="C2895" s="85" t="s">
        <v>29</v>
      </c>
      <c r="D2895" s="74"/>
      <c r="E2895" s="76" t="n">
        <v>5000</v>
      </c>
      <c r="F2895" s="75"/>
      <c r="G2895" s="77"/>
      <c r="H2895" s="78" t="n">
        <v>5000</v>
      </c>
    </row>
    <row r="2896" customFormat="false" ht="15" hidden="false" customHeight="true" outlineLevel="0" collapsed="false">
      <c r="B2896" s="87" t="s">
        <v>1020</v>
      </c>
      <c r="C2896" s="88"/>
      <c r="D2896" s="89" t="n">
        <v>2920</v>
      </c>
      <c r="E2896" s="89" t="n">
        <v>6410</v>
      </c>
      <c r="F2896" s="89" t="n">
        <v>30</v>
      </c>
      <c r="G2896" s="90"/>
      <c r="H2896" s="91" t="n">
        <v>9360</v>
      </c>
    </row>
    <row r="2897" customFormat="false" ht="15" hidden="false" customHeight="true" outlineLevel="0" collapsed="false">
      <c r="B2897" s="56" t="n">
        <v>45959</v>
      </c>
      <c r="C2897" s="57" t="s">
        <v>47</v>
      </c>
      <c r="D2897" s="92" t="n">
        <v>900</v>
      </c>
      <c r="E2897" s="59"/>
      <c r="F2897" s="59"/>
      <c r="G2897" s="61"/>
      <c r="H2897" s="62" t="n">
        <v>900</v>
      </c>
    </row>
    <row r="2898" customFormat="false" ht="15" hidden="false" customHeight="true" outlineLevel="0" collapsed="false">
      <c r="B2898" s="64"/>
      <c r="C2898" s="65" t="s">
        <v>19</v>
      </c>
      <c r="D2898" s="66" t="n">
        <v>5200</v>
      </c>
      <c r="E2898" s="67"/>
      <c r="F2898" s="67"/>
      <c r="G2898" s="68"/>
      <c r="H2898" s="69" t="n">
        <v>5200</v>
      </c>
    </row>
    <row r="2899" customFormat="false" ht="15" hidden="false" customHeight="true" outlineLevel="0" collapsed="false">
      <c r="B2899" s="64"/>
      <c r="C2899" s="65" t="s">
        <v>25</v>
      </c>
      <c r="D2899" s="66" t="n">
        <v>745</v>
      </c>
      <c r="E2899" s="67"/>
      <c r="F2899" s="67"/>
      <c r="G2899" s="68"/>
      <c r="H2899" s="69" t="n">
        <v>745</v>
      </c>
    </row>
    <row r="2900" customFormat="false" ht="15" hidden="false" customHeight="true" outlineLevel="0" collapsed="false">
      <c r="B2900" s="64"/>
      <c r="C2900" s="65" t="s">
        <v>51</v>
      </c>
      <c r="D2900" s="66" t="n">
        <v>2465</v>
      </c>
      <c r="E2900" s="67"/>
      <c r="F2900" s="67"/>
      <c r="G2900" s="68"/>
      <c r="H2900" s="69" t="n">
        <v>2465</v>
      </c>
    </row>
    <row r="2901" customFormat="false" ht="15" hidden="false" customHeight="true" outlineLevel="0" collapsed="false">
      <c r="B2901" s="64"/>
      <c r="C2901" s="65" t="s">
        <v>12</v>
      </c>
      <c r="D2901" s="73"/>
      <c r="E2901" s="67"/>
      <c r="F2901" s="71" t="n">
        <v>15</v>
      </c>
      <c r="G2901" s="68"/>
      <c r="H2901" s="69" t="n">
        <v>15</v>
      </c>
    </row>
    <row r="2902" customFormat="false" ht="15" hidden="false" customHeight="true" outlineLevel="0" collapsed="false">
      <c r="B2902" s="64"/>
      <c r="C2902" s="65" t="s">
        <v>22</v>
      </c>
      <c r="D2902" s="66" t="n">
        <v>3640</v>
      </c>
      <c r="E2902" s="67"/>
      <c r="F2902" s="67"/>
      <c r="G2902" s="68"/>
      <c r="H2902" s="69" t="n">
        <v>3640</v>
      </c>
    </row>
    <row r="2903" customFormat="false" ht="15" hidden="false" customHeight="true" outlineLevel="0" collapsed="false">
      <c r="B2903" s="64"/>
      <c r="C2903" s="65" t="s">
        <v>37</v>
      </c>
      <c r="D2903" s="73"/>
      <c r="E2903" s="67"/>
      <c r="F2903" s="71" t="n">
        <v>10</v>
      </c>
      <c r="G2903" s="68"/>
      <c r="H2903" s="69" t="n">
        <v>10</v>
      </c>
    </row>
    <row r="2904" customFormat="false" ht="15" hidden="false" customHeight="true" outlineLevel="0" collapsed="false">
      <c r="B2904" s="64"/>
      <c r="C2904" s="65" t="s">
        <v>60</v>
      </c>
      <c r="D2904" s="73"/>
      <c r="E2904" s="67"/>
      <c r="F2904" s="71" t="n">
        <v>210</v>
      </c>
      <c r="G2904" s="68"/>
      <c r="H2904" s="69" t="n">
        <v>210</v>
      </c>
    </row>
    <row r="2905" customFormat="false" ht="15" hidden="false" customHeight="true" outlineLevel="0" collapsed="false">
      <c r="B2905" s="84"/>
      <c r="C2905" s="85" t="s">
        <v>29</v>
      </c>
      <c r="D2905" s="86" t="n">
        <v>677</v>
      </c>
      <c r="E2905" s="75"/>
      <c r="F2905" s="76" t="n">
        <v>20</v>
      </c>
      <c r="G2905" s="77"/>
      <c r="H2905" s="78" t="n">
        <v>697</v>
      </c>
    </row>
    <row r="2906" customFormat="false" ht="15" hidden="false" customHeight="true" outlineLevel="0" collapsed="false">
      <c r="B2906" s="87" t="s">
        <v>1021</v>
      </c>
      <c r="C2906" s="88"/>
      <c r="D2906" s="89" t="n">
        <v>13627</v>
      </c>
      <c r="E2906" s="90"/>
      <c r="F2906" s="89" t="n">
        <v>255</v>
      </c>
      <c r="G2906" s="90"/>
      <c r="H2906" s="91" t="n">
        <v>13882</v>
      </c>
    </row>
    <row r="2907" customFormat="false" ht="15" hidden="false" customHeight="true" outlineLevel="0" collapsed="false">
      <c r="B2907" s="56" t="n">
        <v>45960</v>
      </c>
      <c r="C2907" s="57" t="s">
        <v>53</v>
      </c>
      <c r="D2907" s="58"/>
      <c r="E2907" s="60" t="n">
        <v>900</v>
      </c>
      <c r="F2907" s="59"/>
      <c r="G2907" s="61"/>
      <c r="H2907" s="62" t="n">
        <v>900</v>
      </c>
    </row>
    <row r="2908" customFormat="false" ht="15" hidden="false" customHeight="true" outlineLevel="0" collapsed="false">
      <c r="B2908" s="64"/>
      <c r="C2908" s="65" t="s">
        <v>19</v>
      </c>
      <c r="D2908" s="66" t="n">
        <v>6776</v>
      </c>
      <c r="E2908" s="67"/>
      <c r="F2908" s="67"/>
      <c r="G2908" s="68"/>
      <c r="H2908" s="69" t="n">
        <v>6776</v>
      </c>
    </row>
    <row r="2909" customFormat="false" ht="15" hidden="false" customHeight="true" outlineLevel="0" collapsed="false">
      <c r="B2909" s="64"/>
      <c r="C2909" s="65" t="s">
        <v>25</v>
      </c>
      <c r="D2909" s="66" t="n">
        <v>960</v>
      </c>
      <c r="E2909" s="67"/>
      <c r="F2909" s="67"/>
      <c r="G2909" s="68"/>
      <c r="H2909" s="69" t="n">
        <v>960</v>
      </c>
    </row>
    <row r="2910" customFormat="false" ht="15" hidden="false" customHeight="true" outlineLevel="0" collapsed="false">
      <c r="B2910" s="64"/>
      <c r="C2910" s="65" t="s">
        <v>51</v>
      </c>
      <c r="D2910" s="73"/>
      <c r="E2910" s="71" t="n">
        <v>110</v>
      </c>
      <c r="F2910" s="67"/>
      <c r="G2910" s="68"/>
      <c r="H2910" s="69" t="n">
        <v>110</v>
      </c>
    </row>
    <row r="2911" customFormat="false" ht="15" hidden="false" customHeight="true" outlineLevel="0" collapsed="false">
      <c r="B2911" s="64"/>
      <c r="C2911" s="65" t="s">
        <v>227</v>
      </c>
      <c r="D2911" s="73"/>
      <c r="E2911" s="67"/>
      <c r="F2911" s="71" t="n">
        <v>20</v>
      </c>
      <c r="G2911" s="68"/>
      <c r="H2911" s="69" t="n">
        <v>20</v>
      </c>
    </row>
    <row r="2912" customFormat="false" ht="15" hidden="false" customHeight="true" outlineLevel="0" collapsed="false">
      <c r="B2912" s="64"/>
      <c r="C2912" s="65" t="s">
        <v>28</v>
      </c>
      <c r="D2912" s="73"/>
      <c r="E2912" s="71" t="n">
        <v>379</v>
      </c>
      <c r="F2912" s="67"/>
      <c r="G2912" s="68"/>
      <c r="H2912" s="69" t="n">
        <v>379</v>
      </c>
    </row>
    <row r="2913" customFormat="false" ht="15" hidden="false" customHeight="true" outlineLevel="0" collapsed="false">
      <c r="B2913" s="64"/>
      <c r="C2913" s="65" t="s">
        <v>22</v>
      </c>
      <c r="D2913" s="73"/>
      <c r="E2913" s="71" t="n">
        <v>1400</v>
      </c>
      <c r="F2913" s="67"/>
      <c r="G2913" s="68"/>
      <c r="H2913" s="69" t="n">
        <v>1400</v>
      </c>
    </row>
    <row r="2914" customFormat="false" ht="15" hidden="false" customHeight="true" outlineLevel="0" collapsed="false">
      <c r="B2914" s="64"/>
      <c r="C2914" s="65" t="s">
        <v>37</v>
      </c>
      <c r="D2914" s="73"/>
      <c r="E2914" s="67"/>
      <c r="F2914" s="71" t="n">
        <v>10</v>
      </c>
      <c r="G2914" s="68"/>
      <c r="H2914" s="69" t="n">
        <v>10</v>
      </c>
    </row>
    <row r="2915" customFormat="false" ht="15" hidden="false" customHeight="true" outlineLevel="0" collapsed="false">
      <c r="B2915" s="64"/>
      <c r="C2915" s="65" t="s">
        <v>34</v>
      </c>
      <c r="D2915" s="73"/>
      <c r="E2915" s="71" t="n">
        <v>30</v>
      </c>
      <c r="F2915" s="67"/>
      <c r="G2915" s="68"/>
      <c r="H2915" s="69" t="n">
        <v>30</v>
      </c>
    </row>
    <row r="2916" customFormat="false" ht="15" hidden="false" customHeight="true" outlineLevel="0" collapsed="false">
      <c r="B2916" s="84"/>
      <c r="C2916" s="85" t="s">
        <v>29</v>
      </c>
      <c r="D2916" s="86" t="n">
        <v>994</v>
      </c>
      <c r="E2916" s="76" t="n">
        <v>5320</v>
      </c>
      <c r="F2916" s="75"/>
      <c r="G2916" s="77"/>
      <c r="H2916" s="78" t="n">
        <v>6314</v>
      </c>
    </row>
    <row r="2917" customFormat="false" ht="15" hidden="false" customHeight="true" outlineLevel="0" collapsed="false">
      <c r="B2917" s="87" t="s">
        <v>1022</v>
      </c>
      <c r="C2917" s="88"/>
      <c r="D2917" s="89" t="n">
        <v>8730</v>
      </c>
      <c r="E2917" s="89" t="n">
        <v>8139</v>
      </c>
      <c r="F2917" s="89" t="n">
        <v>30</v>
      </c>
      <c r="G2917" s="90"/>
      <c r="H2917" s="91" t="n">
        <v>16899</v>
      </c>
    </row>
    <row r="2918" customFormat="false" ht="15" hidden="false" customHeight="true" outlineLevel="0" collapsed="false">
      <c r="B2918" s="56" t="n">
        <v>45961</v>
      </c>
      <c r="C2918" s="57" t="s">
        <v>47</v>
      </c>
      <c r="D2918" s="92" t="n">
        <v>1800</v>
      </c>
      <c r="E2918" s="59"/>
      <c r="F2918" s="59"/>
      <c r="G2918" s="61"/>
      <c r="H2918" s="62" t="n">
        <v>1800</v>
      </c>
    </row>
    <row r="2919" customFormat="false" ht="15" hidden="false" customHeight="true" outlineLevel="0" collapsed="false">
      <c r="B2919" s="64"/>
      <c r="C2919" s="65" t="s">
        <v>19</v>
      </c>
      <c r="D2919" s="66" t="n">
        <v>4315</v>
      </c>
      <c r="E2919" s="67"/>
      <c r="F2919" s="67"/>
      <c r="G2919" s="68"/>
      <c r="H2919" s="69" t="n">
        <v>4315</v>
      </c>
    </row>
    <row r="2920" customFormat="false" ht="15" hidden="false" customHeight="true" outlineLevel="0" collapsed="false">
      <c r="B2920" s="64"/>
      <c r="C2920" s="65" t="s">
        <v>25</v>
      </c>
      <c r="D2920" s="66" t="n">
        <v>2020</v>
      </c>
      <c r="E2920" s="67"/>
      <c r="F2920" s="67"/>
      <c r="G2920" s="68"/>
      <c r="H2920" s="69" t="n">
        <v>2020</v>
      </c>
    </row>
    <row r="2921" customFormat="false" ht="15" hidden="false" customHeight="true" outlineLevel="0" collapsed="false">
      <c r="B2921" s="64"/>
      <c r="C2921" s="65" t="s">
        <v>22</v>
      </c>
      <c r="D2921" s="73"/>
      <c r="E2921" s="71" t="n">
        <v>70</v>
      </c>
      <c r="F2921" s="67"/>
      <c r="G2921" s="68"/>
      <c r="H2921" s="69" t="n">
        <v>70</v>
      </c>
    </row>
    <row r="2922" customFormat="false" ht="15" hidden="false" customHeight="true" outlineLevel="0" collapsed="false">
      <c r="B2922" s="64"/>
      <c r="C2922" s="65" t="s">
        <v>37</v>
      </c>
      <c r="D2922" s="73"/>
      <c r="E2922" s="67"/>
      <c r="F2922" s="71" t="n">
        <v>15</v>
      </c>
      <c r="G2922" s="68"/>
      <c r="H2922" s="69" t="n">
        <v>15</v>
      </c>
    </row>
    <row r="2923" customFormat="false" ht="15" hidden="false" customHeight="true" outlineLevel="0" collapsed="false">
      <c r="B2923" s="64"/>
      <c r="C2923" s="65" t="s">
        <v>43</v>
      </c>
      <c r="D2923" s="73"/>
      <c r="E2923" s="71" t="n">
        <v>320</v>
      </c>
      <c r="F2923" s="67"/>
      <c r="G2923" s="68"/>
      <c r="H2923" s="69" t="n">
        <v>320</v>
      </c>
    </row>
    <row r="2924" customFormat="false" ht="15" hidden="false" customHeight="true" outlineLevel="0" collapsed="false">
      <c r="B2924" s="64"/>
      <c r="C2924" s="65" t="s">
        <v>60</v>
      </c>
      <c r="D2924" s="73"/>
      <c r="E2924" s="67"/>
      <c r="F2924" s="71" t="n">
        <v>210</v>
      </c>
      <c r="G2924" s="68"/>
      <c r="H2924" s="69" t="n">
        <v>210</v>
      </c>
    </row>
    <row r="2925" customFormat="false" ht="15" hidden="false" customHeight="true" outlineLevel="0" collapsed="false">
      <c r="B2925" s="64"/>
      <c r="C2925" s="65" t="s">
        <v>31</v>
      </c>
      <c r="D2925" s="73"/>
      <c r="E2925" s="71" t="n">
        <v>310</v>
      </c>
      <c r="F2925" s="67"/>
      <c r="G2925" s="68"/>
      <c r="H2925" s="69" t="n">
        <v>310</v>
      </c>
    </row>
    <row r="2926" customFormat="false" ht="15" hidden="false" customHeight="true" outlineLevel="0" collapsed="false">
      <c r="B2926" s="84"/>
      <c r="C2926" s="85" t="s">
        <v>29</v>
      </c>
      <c r="D2926" s="86" t="n">
        <v>745</v>
      </c>
      <c r="E2926" s="76" t="n">
        <v>470</v>
      </c>
      <c r="F2926" s="76" t="n">
        <v>30</v>
      </c>
      <c r="G2926" s="77"/>
      <c r="H2926" s="78" t="n">
        <v>1245</v>
      </c>
    </row>
    <row r="2927" customFormat="false" ht="15" hidden="false" customHeight="true" outlineLevel="0" collapsed="false">
      <c r="B2927" s="87" t="s">
        <v>1023</v>
      </c>
      <c r="C2927" s="88"/>
      <c r="D2927" s="89" t="n">
        <v>8880</v>
      </c>
      <c r="E2927" s="89" t="n">
        <v>1170</v>
      </c>
      <c r="F2927" s="89" t="n">
        <v>255</v>
      </c>
      <c r="G2927" s="90"/>
      <c r="H2927" s="91" t="n">
        <v>10305</v>
      </c>
    </row>
    <row r="2928" customFormat="false" ht="15" hidden="false" customHeight="true" outlineLevel="0" collapsed="false">
      <c r="B2928" s="56" t="n">
        <v>45962</v>
      </c>
      <c r="C2928" s="57" t="s">
        <v>19</v>
      </c>
      <c r="D2928" s="92" t="n">
        <v>10354</v>
      </c>
      <c r="E2928" s="59"/>
      <c r="F2928" s="59"/>
      <c r="G2928" s="61"/>
      <c r="H2928" s="62" t="n">
        <v>10354</v>
      </c>
    </row>
    <row r="2929" customFormat="false" ht="15" hidden="false" customHeight="true" outlineLevel="0" collapsed="false">
      <c r="B2929" s="64"/>
      <c r="C2929" s="65" t="s">
        <v>25</v>
      </c>
      <c r="D2929" s="66" t="n">
        <v>1800</v>
      </c>
      <c r="E2929" s="67"/>
      <c r="F2929" s="67"/>
      <c r="G2929" s="68"/>
      <c r="H2929" s="69" t="n">
        <v>1800</v>
      </c>
    </row>
    <row r="2930" customFormat="false" ht="15" hidden="false" customHeight="true" outlineLevel="0" collapsed="false">
      <c r="B2930" s="64"/>
      <c r="C2930" s="65" t="s">
        <v>28</v>
      </c>
      <c r="D2930" s="73"/>
      <c r="E2930" s="67"/>
      <c r="F2930" s="71" t="n">
        <v>366</v>
      </c>
      <c r="G2930" s="68"/>
      <c r="H2930" s="69" t="n">
        <v>366</v>
      </c>
    </row>
    <row r="2931" customFormat="false" ht="15" hidden="false" customHeight="true" outlineLevel="0" collapsed="false">
      <c r="B2931" s="64"/>
      <c r="C2931" s="65" t="s">
        <v>37</v>
      </c>
      <c r="D2931" s="73"/>
      <c r="E2931" s="67"/>
      <c r="F2931" s="71" t="n">
        <v>20</v>
      </c>
      <c r="G2931" s="68"/>
      <c r="H2931" s="69" t="n">
        <v>20</v>
      </c>
    </row>
    <row r="2932" customFormat="false" ht="15" hidden="false" customHeight="true" outlineLevel="0" collapsed="false">
      <c r="B2932" s="64"/>
      <c r="C2932" s="65" t="s">
        <v>34</v>
      </c>
      <c r="D2932" s="73"/>
      <c r="E2932" s="71" t="n">
        <v>30</v>
      </c>
      <c r="F2932" s="67"/>
      <c r="G2932" s="68"/>
      <c r="H2932" s="69" t="n">
        <v>30</v>
      </c>
    </row>
    <row r="2933" customFormat="false" ht="15" hidden="false" customHeight="true" outlineLevel="0" collapsed="false">
      <c r="B2933" s="84"/>
      <c r="C2933" s="85" t="s">
        <v>29</v>
      </c>
      <c r="D2933" s="86" t="n">
        <v>691</v>
      </c>
      <c r="E2933" s="75"/>
      <c r="F2933" s="75"/>
      <c r="G2933" s="77"/>
      <c r="H2933" s="78" t="n">
        <v>691</v>
      </c>
    </row>
    <row r="2934" customFormat="false" ht="15" hidden="false" customHeight="true" outlineLevel="0" collapsed="false">
      <c r="B2934" s="87" t="s">
        <v>1024</v>
      </c>
      <c r="C2934" s="88"/>
      <c r="D2934" s="89" t="n">
        <v>12845</v>
      </c>
      <c r="E2934" s="89" t="n">
        <v>30</v>
      </c>
      <c r="F2934" s="89" t="n">
        <v>386</v>
      </c>
      <c r="G2934" s="90"/>
      <c r="H2934" s="91" t="n">
        <v>13261</v>
      </c>
    </row>
    <row r="2935" customFormat="false" ht="15" hidden="false" customHeight="true" outlineLevel="0" collapsed="false">
      <c r="B2935" s="56" t="n">
        <v>45963</v>
      </c>
      <c r="C2935" s="57" t="s">
        <v>19</v>
      </c>
      <c r="D2935" s="92" t="n">
        <v>2320</v>
      </c>
      <c r="E2935" s="59"/>
      <c r="F2935" s="59"/>
      <c r="G2935" s="61"/>
      <c r="H2935" s="62" t="n">
        <v>2320</v>
      </c>
    </row>
    <row r="2936" customFormat="false" ht="15" hidden="false" customHeight="true" outlineLevel="0" collapsed="false">
      <c r="B2936" s="64"/>
      <c r="C2936" s="65" t="s">
        <v>25</v>
      </c>
      <c r="D2936" s="66" t="n">
        <v>600</v>
      </c>
      <c r="E2936" s="71" t="n">
        <v>1070</v>
      </c>
      <c r="F2936" s="67"/>
      <c r="G2936" s="68"/>
      <c r="H2936" s="69" t="n">
        <v>1670</v>
      </c>
    </row>
    <row r="2937" customFormat="false" ht="15" hidden="false" customHeight="true" outlineLevel="0" collapsed="false">
      <c r="B2937" s="64"/>
      <c r="C2937" s="65" t="s">
        <v>28</v>
      </c>
      <c r="D2937" s="73"/>
      <c r="E2937" s="71" t="n">
        <v>380</v>
      </c>
      <c r="F2937" s="67"/>
      <c r="G2937" s="68"/>
      <c r="H2937" s="69" t="n">
        <v>380</v>
      </c>
    </row>
    <row r="2938" customFormat="false" ht="15" hidden="false" customHeight="true" outlineLevel="0" collapsed="false">
      <c r="B2938" s="64"/>
      <c r="C2938" s="65" t="s">
        <v>199</v>
      </c>
      <c r="D2938" s="73"/>
      <c r="E2938" s="71" t="n">
        <v>1900</v>
      </c>
      <c r="F2938" s="67"/>
      <c r="G2938" s="68"/>
      <c r="H2938" s="69" t="n">
        <v>1900</v>
      </c>
    </row>
    <row r="2939" customFormat="false" ht="15" hidden="false" customHeight="true" outlineLevel="0" collapsed="false">
      <c r="B2939" s="64"/>
      <c r="C2939" s="65" t="s">
        <v>37</v>
      </c>
      <c r="D2939" s="73"/>
      <c r="E2939" s="67"/>
      <c r="F2939" s="71" t="n">
        <v>10</v>
      </c>
      <c r="G2939" s="68"/>
      <c r="H2939" s="69" t="n">
        <v>10</v>
      </c>
    </row>
    <row r="2940" customFormat="false" ht="15" hidden="false" customHeight="true" outlineLevel="0" collapsed="false">
      <c r="B2940" s="64"/>
      <c r="C2940" s="65" t="s">
        <v>43</v>
      </c>
      <c r="D2940" s="73"/>
      <c r="E2940" s="71" t="n">
        <v>2540</v>
      </c>
      <c r="F2940" s="67"/>
      <c r="G2940" s="68"/>
      <c r="H2940" s="69" t="n">
        <v>2540</v>
      </c>
    </row>
    <row r="2941" customFormat="false" ht="15" hidden="false" customHeight="true" outlineLevel="0" collapsed="false">
      <c r="B2941" s="64"/>
      <c r="C2941" s="65" t="s">
        <v>34</v>
      </c>
      <c r="D2941" s="73"/>
      <c r="E2941" s="71" t="n">
        <v>30</v>
      </c>
      <c r="F2941" s="67"/>
      <c r="G2941" s="68"/>
      <c r="H2941" s="69" t="n">
        <v>30</v>
      </c>
    </row>
    <row r="2942" customFormat="false" ht="15" hidden="false" customHeight="true" outlineLevel="0" collapsed="false">
      <c r="B2942" s="84"/>
      <c r="C2942" s="85" t="s">
        <v>29</v>
      </c>
      <c r="D2942" s="86" t="n">
        <v>630</v>
      </c>
      <c r="E2942" s="76" t="n">
        <v>200</v>
      </c>
      <c r="F2942" s="75"/>
      <c r="G2942" s="77"/>
      <c r="H2942" s="78" t="n">
        <v>830</v>
      </c>
    </row>
    <row r="2943" customFormat="false" ht="15" hidden="false" customHeight="true" outlineLevel="0" collapsed="false">
      <c r="B2943" s="87" t="s">
        <v>1025</v>
      </c>
      <c r="C2943" s="88"/>
      <c r="D2943" s="89" t="n">
        <v>3550</v>
      </c>
      <c r="E2943" s="89" t="n">
        <v>6120</v>
      </c>
      <c r="F2943" s="89" t="n">
        <v>10</v>
      </c>
      <c r="G2943" s="90"/>
      <c r="H2943" s="91" t="n">
        <v>9680</v>
      </c>
    </row>
    <row r="2944" customFormat="false" ht="15" hidden="false" customHeight="true" outlineLevel="0" collapsed="false">
      <c r="B2944" s="56" t="n">
        <v>45964</v>
      </c>
      <c r="C2944" s="57" t="s">
        <v>44</v>
      </c>
      <c r="D2944" s="92" t="n">
        <v>14000</v>
      </c>
      <c r="E2944" s="60" t="n">
        <v>600</v>
      </c>
      <c r="F2944" s="59"/>
      <c r="G2944" s="61"/>
      <c r="H2944" s="62" t="n">
        <v>14600</v>
      </c>
    </row>
    <row r="2945" customFormat="false" ht="15" hidden="false" customHeight="true" outlineLevel="0" collapsed="false">
      <c r="B2945" s="64"/>
      <c r="C2945" s="65" t="s">
        <v>53</v>
      </c>
      <c r="D2945" s="73"/>
      <c r="E2945" s="67"/>
      <c r="F2945" s="71" t="n">
        <v>475</v>
      </c>
      <c r="G2945" s="68"/>
      <c r="H2945" s="69" t="n">
        <v>475</v>
      </c>
    </row>
    <row r="2946" customFormat="false" ht="15" hidden="false" customHeight="true" outlineLevel="0" collapsed="false">
      <c r="B2946" s="64"/>
      <c r="C2946" s="65" t="s">
        <v>47</v>
      </c>
      <c r="D2946" s="66" t="n">
        <v>1800</v>
      </c>
      <c r="E2946" s="67"/>
      <c r="F2946" s="67"/>
      <c r="G2946" s="68"/>
      <c r="H2946" s="69" t="n">
        <v>1800</v>
      </c>
    </row>
    <row r="2947" customFormat="false" ht="15" hidden="false" customHeight="true" outlineLevel="0" collapsed="false">
      <c r="B2947" s="64"/>
      <c r="C2947" s="65" t="s">
        <v>19</v>
      </c>
      <c r="D2947" s="66" t="n">
        <v>4505</v>
      </c>
      <c r="E2947" s="67"/>
      <c r="F2947" s="67"/>
      <c r="G2947" s="68"/>
      <c r="H2947" s="69" t="n">
        <v>4505</v>
      </c>
    </row>
    <row r="2948" customFormat="false" ht="15" hidden="false" customHeight="true" outlineLevel="0" collapsed="false">
      <c r="B2948" s="64"/>
      <c r="C2948" s="65" t="s">
        <v>25</v>
      </c>
      <c r="D2948" s="66" t="n">
        <v>1040</v>
      </c>
      <c r="E2948" s="67"/>
      <c r="F2948" s="67"/>
      <c r="G2948" s="68"/>
      <c r="H2948" s="69" t="n">
        <v>1040</v>
      </c>
    </row>
    <row r="2949" customFormat="false" ht="15" hidden="false" customHeight="true" outlineLevel="0" collapsed="false">
      <c r="B2949" s="64"/>
      <c r="C2949" s="65" t="s">
        <v>51</v>
      </c>
      <c r="D2949" s="73"/>
      <c r="E2949" s="71" t="n">
        <v>300</v>
      </c>
      <c r="F2949" s="67"/>
      <c r="G2949" s="68"/>
      <c r="H2949" s="69" t="n">
        <v>300</v>
      </c>
    </row>
    <row r="2950" customFormat="false" ht="15" hidden="false" customHeight="true" outlineLevel="0" collapsed="false">
      <c r="B2950" s="64"/>
      <c r="C2950" s="65" t="s">
        <v>28</v>
      </c>
      <c r="D2950" s="73"/>
      <c r="E2950" s="67"/>
      <c r="F2950" s="71" t="n">
        <v>366</v>
      </c>
      <c r="G2950" s="68"/>
      <c r="H2950" s="69" t="n">
        <v>366</v>
      </c>
    </row>
    <row r="2951" customFormat="false" ht="15" hidden="false" customHeight="true" outlineLevel="0" collapsed="false">
      <c r="B2951" s="64"/>
      <c r="C2951" s="65" t="s">
        <v>22</v>
      </c>
      <c r="D2951" s="66" t="n">
        <v>30621</v>
      </c>
      <c r="E2951" s="67"/>
      <c r="F2951" s="67"/>
      <c r="G2951" s="68"/>
      <c r="H2951" s="69" t="n">
        <v>30621</v>
      </c>
    </row>
    <row r="2952" customFormat="false" ht="15" hidden="false" customHeight="true" outlineLevel="0" collapsed="false">
      <c r="B2952" s="64"/>
      <c r="C2952" s="65" t="s">
        <v>37</v>
      </c>
      <c r="D2952" s="73"/>
      <c r="E2952" s="67"/>
      <c r="F2952" s="71" t="n">
        <v>10</v>
      </c>
      <c r="G2952" s="68"/>
      <c r="H2952" s="69" t="n">
        <v>10</v>
      </c>
    </row>
    <row r="2953" customFormat="false" ht="15" hidden="false" customHeight="true" outlineLevel="0" collapsed="false">
      <c r="B2953" s="64"/>
      <c r="C2953" s="65" t="s">
        <v>43</v>
      </c>
      <c r="D2953" s="73"/>
      <c r="E2953" s="71" t="n">
        <v>3400</v>
      </c>
      <c r="F2953" s="67"/>
      <c r="G2953" s="68"/>
      <c r="H2953" s="69" t="n">
        <v>3400</v>
      </c>
    </row>
    <row r="2954" customFormat="false" ht="15" hidden="false" customHeight="true" outlineLevel="0" collapsed="false">
      <c r="B2954" s="84"/>
      <c r="C2954" s="85" t="s">
        <v>34</v>
      </c>
      <c r="D2954" s="74"/>
      <c r="E2954" s="76" t="n">
        <v>30</v>
      </c>
      <c r="F2954" s="75"/>
      <c r="G2954" s="77"/>
      <c r="H2954" s="78" t="n">
        <v>30</v>
      </c>
    </row>
    <row r="2955" customFormat="false" ht="15" hidden="false" customHeight="true" outlineLevel="0" collapsed="false">
      <c r="B2955" s="87" t="s">
        <v>1026</v>
      </c>
      <c r="C2955" s="88"/>
      <c r="D2955" s="89" t="n">
        <v>51966</v>
      </c>
      <c r="E2955" s="89" t="n">
        <v>4330</v>
      </c>
      <c r="F2955" s="89" t="n">
        <v>851</v>
      </c>
      <c r="G2955" s="90"/>
      <c r="H2955" s="91" t="n">
        <v>57147</v>
      </c>
    </row>
    <row r="2956" customFormat="false" ht="15" hidden="false" customHeight="true" outlineLevel="0" collapsed="false">
      <c r="B2956" s="56" t="n">
        <v>45965</v>
      </c>
      <c r="C2956" s="57" t="s">
        <v>44</v>
      </c>
      <c r="D2956" s="58"/>
      <c r="E2956" s="60" t="n">
        <v>6000</v>
      </c>
      <c r="F2956" s="60" t="n">
        <v>500</v>
      </c>
      <c r="G2956" s="61"/>
      <c r="H2956" s="62" t="n">
        <v>6500</v>
      </c>
    </row>
    <row r="2957" customFormat="false" ht="15" hidden="false" customHeight="true" outlineLevel="0" collapsed="false">
      <c r="B2957" s="64"/>
      <c r="C2957" s="65" t="s">
        <v>32</v>
      </c>
      <c r="D2957" s="73"/>
      <c r="E2957" s="67"/>
      <c r="F2957" s="71" t="n">
        <v>1725</v>
      </c>
      <c r="G2957" s="68"/>
      <c r="H2957" s="69" t="n">
        <v>1725</v>
      </c>
    </row>
    <row r="2958" customFormat="false" ht="15" hidden="false" customHeight="true" outlineLevel="0" collapsed="false">
      <c r="B2958" s="64"/>
      <c r="C2958" s="65" t="s">
        <v>19</v>
      </c>
      <c r="D2958" s="66" t="n">
        <v>1776</v>
      </c>
      <c r="E2958" s="67"/>
      <c r="F2958" s="67"/>
      <c r="G2958" s="68"/>
      <c r="H2958" s="69" t="n">
        <v>1776</v>
      </c>
    </row>
    <row r="2959" customFormat="false" ht="15" hidden="false" customHeight="true" outlineLevel="0" collapsed="false">
      <c r="B2959" s="64"/>
      <c r="C2959" s="65" t="s">
        <v>25</v>
      </c>
      <c r="D2959" s="66" t="n">
        <v>675</v>
      </c>
      <c r="E2959" s="71" t="n">
        <v>160</v>
      </c>
      <c r="F2959" s="67"/>
      <c r="G2959" s="68"/>
      <c r="H2959" s="69" t="n">
        <v>835</v>
      </c>
    </row>
    <row r="2960" customFormat="false" ht="15" hidden="false" customHeight="true" outlineLevel="0" collapsed="false">
      <c r="B2960" s="64"/>
      <c r="C2960" s="65" t="s">
        <v>51</v>
      </c>
      <c r="D2960" s="66" t="n">
        <v>5010</v>
      </c>
      <c r="E2960" s="67"/>
      <c r="F2960" s="67"/>
      <c r="G2960" s="68"/>
      <c r="H2960" s="69" t="n">
        <v>5010</v>
      </c>
    </row>
    <row r="2961" customFormat="false" ht="15" hidden="false" customHeight="true" outlineLevel="0" collapsed="false">
      <c r="B2961" s="64"/>
      <c r="C2961" s="65" t="s">
        <v>22</v>
      </c>
      <c r="D2961" s="73"/>
      <c r="E2961" s="67"/>
      <c r="F2961" s="71" t="n">
        <v>550</v>
      </c>
      <c r="G2961" s="68"/>
      <c r="H2961" s="69" t="n">
        <v>550</v>
      </c>
    </row>
    <row r="2962" customFormat="false" ht="15" hidden="false" customHeight="true" outlineLevel="0" collapsed="false">
      <c r="B2962" s="64"/>
      <c r="C2962" s="65" t="s">
        <v>37</v>
      </c>
      <c r="D2962" s="73"/>
      <c r="E2962" s="67"/>
      <c r="F2962" s="71" t="n">
        <v>10</v>
      </c>
      <c r="G2962" s="68"/>
      <c r="H2962" s="69" t="n">
        <v>10</v>
      </c>
    </row>
    <row r="2963" customFormat="false" ht="15" hidden="false" customHeight="true" outlineLevel="0" collapsed="false">
      <c r="B2963" s="64"/>
      <c r="C2963" s="65" t="s">
        <v>43</v>
      </c>
      <c r="D2963" s="73"/>
      <c r="E2963" s="71" t="n">
        <v>960</v>
      </c>
      <c r="F2963" s="67"/>
      <c r="G2963" s="68"/>
      <c r="H2963" s="69" t="n">
        <v>960</v>
      </c>
    </row>
    <row r="2964" customFormat="false" ht="15" hidden="false" customHeight="true" outlineLevel="0" collapsed="false">
      <c r="B2964" s="64"/>
      <c r="C2964" s="65" t="s">
        <v>107</v>
      </c>
      <c r="D2964" s="73"/>
      <c r="E2964" s="67"/>
      <c r="F2964" s="71" t="n">
        <v>100</v>
      </c>
      <c r="G2964" s="68"/>
      <c r="H2964" s="69" t="n">
        <v>100</v>
      </c>
    </row>
    <row r="2965" customFormat="false" ht="15" hidden="false" customHeight="true" outlineLevel="0" collapsed="false">
      <c r="B2965" s="64"/>
      <c r="C2965" s="65" t="s">
        <v>31</v>
      </c>
      <c r="D2965" s="73"/>
      <c r="E2965" s="71" t="n">
        <v>310</v>
      </c>
      <c r="F2965" s="67"/>
      <c r="G2965" s="68"/>
      <c r="H2965" s="69" t="n">
        <v>310</v>
      </c>
    </row>
    <row r="2966" customFormat="false" ht="15" hidden="false" customHeight="true" outlineLevel="0" collapsed="false">
      <c r="B2966" s="64"/>
      <c r="C2966" s="65" t="s">
        <v>35</v>
      </c>
      <c r="D2966" s="73"/>
      <c r="E2966" s="71" t="n">
        <v>100</v>
      </c>
      <c r="F2966" s="67"/>
      <c r="G2966" s="68"/>
      <c r="H2966" s="69" t="n">
        <v>100</v>
      </c>
    </row>
    <row r="2967" customFormat="false" ht="15" hidden="false" customHeight="true" outlineLevel="0" collapsed="false">
      <c r="B2967" s="64"/>
      <c r="C2967" s="65" t="s">
        <v>34</v>
      </c>
      <c r="D2967" s="73"/>
      <c r="E2967" s="71" t="n">
        <v>30</v>
      </c>
      <c r="F2967" s="67"/>
      <c r="G2967" s="68"/>
      <c r="H2967" s="69" t="n">
        <v>30</v>
      </c>
    </row>
    <row r="2968" customFormat="false" ht="15" hidden="false" customHeight="true" outlineLevel="0" collapsed="false">
      <c r="B2968" s="84"/>
      <c r="C2968" s="85" t="s">
        <v>29</v>
      </c>
      <c r="D2968" s="86" t="n">
        <v>377</v>
      </c>
      <c r="E2968" s="75"/>
      <c r="F2968" s="76" t="n">
        <v>20</v>
      </c>
      <c r="G2968" s="77"/>
      <c r="H2968" s="78" t="n">
        <v>397</v>
      </c>
    </row>
    <row r="2969" customFormat="false" ht="15" hidden="false" customHeight="true" outlineLevel="0" collapsed="false">
      <c r="B2969" s="87" t="s">
        <v>1027</v>
      </c>
      <c r="C2969" s="88"/>
      <c r="D2969" s="89" t="n">
        <v>7838</v>
      </c>
      <c r="E2969" s="89" t="n">
        <v>7560</v>
      </c>
      <c r="F2969" s="89" t="n">
        <v>2905</v>
      </c>
      <c r="G2969" s="90"/>
      <c r="H2969" s="91" t="n">
        <v>18303</v>
      </c>
    </row>
    <row r="2970" customFormat="false" ht="15" hidden="false" customHeight="true" outlineLevel="0" collapsed="false">
      <c r="B2970" s="56" t="n">
        <v>45966</v>
      </c>
      <c r="C2970" s="57" t="s">
        <v>44</v>
      </c>
      <c r="D2970" s="92" t="n">
        <v>500</v>
      </c>
      <c r="E2970" s="59"/>
      <c r="F2970" s="59"/>
      <c r="G2970" s="61"/>
      <c r="H2970" s="62" t="n">
        <v>500</v>
      </c>
    </row>
    <row r="2971" customFormat="false" ht="15" hidden="false" customHeight="true" outlineLevel="0" collapsed="false">
      <c r="B2971" s="64"/>
      <c r="C2971" s="65" t="s">
        <v>53</v>
      </c>
      <c r="D2971" s="73"/>
      <c r="E2971" s="71" t="n">
        <v>3060</v>
      </c>
      <c r="F2971" s="71" t="n">
        <v>540</v>
      </c>
      <c r="G2971" s="68"/>
      <c r="H2971" s="69" t="n">
        <v>3600</v>
      </c>
    </row>
    <row r="2972" customFormat="false" ht="15" hidden="false" customHeight="true" outlineLevel="0" collapsed="false">
      <c r="B2972" s="64"/>
      <c r="C2972" s="65" t="s">
        <v>19</v>
      </c>
      <c r="D2972" s="66" t="n">
        <v>6256</v>
      </c>
      <c r="E2972" s="67"/>
      <c r="F2972" s="67"/>
      <c r="G2972" s="68"/>
      <c r="H2972" s="69" t="n">
        <v>6256</v>
      </c>
    </row>
    <row r="2973" customFormat="false" ht="15" hidden="false" customHeight="true" outlineLevel="0" collapsed="false">
      <c r="B2973" s="64"/>
      <c r="C2973" s="65" t="s">
        <v>25</v>
      </c>
      <c r="D2973" s="66" t="n">
        <v>1135</v>
      </c>
      <c r="E2973" s="67"/>
      <c r="F2973" s="67"/>
      <c r="G2973" s="68"/>
      <c r="H2973" s="69" t="n">
        <v>1135</v>
      </c>
    </row>
    <row r="2974" customFormat="false" ht="15" hidden="false" customHeight="true" outlineLevel="0" collapsed="false">
      <c r="B2974" s="64"/>
      <c r="C2974" s="65" t="s">
        <v>12</v>
      </c>
      <c r="D2974" s="73"/>
      <c r="E2974" s="71" t="n">
        <v>100</v>
      </c>
      <c r="F2974" s="67"/>
      <c r="G2974" s="68"/>
      <c r="H2974" s="69" t="n">
        <v>100</v>
      </c>
    </row>
    <row r="2975" customFormat="false" ht="15" hidden="false" customHeight="true" outlineLevel="0" collapsed="false">
      <c r="B2975" s="64"/>
      <c r="C2975" s="65" t="s">
        <v>22</v>
      </c>
      <c r="D2975" s="66" t="n">
        <v>800</v>
      </c>
      <c r="E2975" s="67"/>
      <c r="F2975" s="67"/>
      <c r="G2975" s="68"/>
      <c r="H2975" s="69" t="n">
        <v>800</v>
      </c>
    </row>
    <row r="2976" customFormat="false" ht="15" hidden="false" customHeight="true" outlineLevel="0" collapsed="false">
      <c r="B2976" s="64"/>
      <c r="C2976" s="65" t="s">
        <v>37</v>
      </c>
      <c r="D2976" s="73"/>
      <c r="E2976" s="67"/>
      <c r="F2976" s="71" t="n">
        <v>10</v>
      </c>
      <c r="G2976" s="68"/>
      <c r="H2976" s="69" t="n">
        <v>10</v>
      </c>
    </row>
    <row r="2977" customFormat="false" ht="15" hidden="false" customHeight="true" outlineLevel="0" collapsed="false">
      <c r="B2977" s="64"/>
      <c r="C2977" s="65" t="s">
        <v>43</v>
      </c>
      <c r="D2977" s="73"/>
      <c r="E2977" s="67"/>
      <c r="F2977" s="71" t="n">
        <v>1000</v>
      </c>
      <c r="G2977" s="68"/>
      <c r="H2977" s="69" t="n">
        <v>1000</v>
      </c>
    </row>
    <row r="2978" customFormat="false" ht="15" hidden="false" customHeight="true" outlineLevel="0" collapsed="false">
      <c r="B2978" s="64"/>
      <c r="C2978" s="65" t="s">
        <v>40</v>
      </c>
      <c r="D2978" s="66" t="n">
        <v>2100</v>
      </c>
      <c r="E2978" s="67"/>
      <c r="F2978" s="67"/>
      <c r="G2978" s="68"/>
      <c r="H2978" s="69" t="n">
        <v>2100</v>
      </c>
    </row>
    <row r="2979" customFormat="false" ht="15" hidden="false" customHeight="true" outlineLevel="0" collapsed="false">
      <c r="B2979" s="64"/>
      <c r="C2979" s="65" t="s">
        <v>202</v>
      </c>
      <c r="D2979" s="73"/>
      <c r="E2979" s="71" t="n">
        <v>20</v>
      </c>
      <c r="F2979" s="67"/>
      <c r="G2979" s="68"/>
      <c r="H2979" s="69" t="n">
        <v>20</v>
      </c>
    </row>
    <row r="2980" customFormat="false" ht="15" hidden="false" customHeight="true" outlineLevel="0" collapsed="false">
      <c r="B2980" s="64"/>
      <c r="C2980" s="65" t="s">
        <v>34</v>
      </c>
      <c r="D2980" s="73"/>
      <c r="E2980" s="71" t="n">
        <v>30</v>
      </c>
      <c r="F2980" s="67"/>
      <c r="G2980" s="68"/>
      <c r="H2980" s="69" t="n">
        <v>30</v>
      </c>
    </row>
    <row r="2981" customFormat="false" ht="15" hidden="false" customHeight="true" outlineLevel="0" collapsed="false">
      <c r="B2981" s="84"/>
      <c r="C2981" s="85" t="s">
        <v>29</v>
      </c>
      <c r="D2981" s="86" t="n">
        <v>469</v>
      </c>
      <c r="E2981" s="76" t="n">
        <v>200</v>
      </c>
      <c r="F2981" s="75"/>
      <c r="G2981" s="77"/>
      <c r="H2981" s="78" t="n">
        <v>669</v>
      </c>
    </row>
    <row r="2982" customFormat="false" ht="15" hidden="false" customHeight="true" outlineLevel="0" collapsed="false">
      <c r="B2982" s="87" t="s">
        <v>1028</v>
      </c>
      <c r="C2982" s="88"/>
      <c r="D2982" s="89" t="n">
        <v>11260</v>
      </c>
      <c r="E2982" s="89" t="n">
        <v>3410</v>
      </c>
      <c r="F2982" s="89" t="n">
        <v>1550</v>
      </c>
      <c r="G2982" s="90"/>
      <c r="H2982" s="91" t="n">
        <v>16220</v>
      </c>
    </row>
    <row r="2983" customFormat="false" ht="15" hidden="false" customHeight="true" outlineLevel="0" collapsed="false">
      <c r="B2983" s="56" t="n">
        <v>45967</v>
      </c>
      <c r="C2983" s="57" t="s">
        <v>44</v>
      </c>
      <c r="D2983" s="58"/>
      <c r="E2983" s="60" t="n">
        <v>1250</v>
      </c>
      <c r="F2983" s="59"/>
      <c r="G2983" s="61"/>
      <c r="H2983" s="62" t="n">
        <v>1250</v>
      </c>
    </row>
    <row r="2984" customFormat="false" ht="15" hidden="false" customHeight="true" outlineLevel="0" collapsed="false">
      <c r="B2984" s="64"/>
      <c r="C2984" s="65" t="s">
        <v>19</v>
      </c>
      <c r="D2984" s="66" t="n">
        <v>5787</v>
      </c>
      <c r="E2984" s="67"/>
      <c r="F2984" s="67"/>
      <c r="G2984" s="68"/>
      <c r="H2984" s="69" t="n">
        <v>5787</v>
      </c>
    </row>
    <row r="2985" customFormat="false" ht="15" hidden="false" customHeight="true" outlineLevel="0" collapsed="false">
      <c r="B2985" s="64"/>
      <c r="C2985" s="65" t="s">
        <v>25</v>
      </c>
      <c r="D2985" s="66" t="n">
        <v>555</v>
      </c>
      <c r="E2985" s="67"/>
      <c r="F2985" s="67"/>
      <c r="G2985" s="68"/>
      <c r="H2985" s="69" t="n">
        <v>555</v>
      </c>
    </row>
    <row r="2986" customFormat="false" ht="15" hidden="false" customHeight="true" outlineLevel="0" collapsed="false">
      <c r="B2986" s="64"/>
      <c r="C2986" s="65" t="s">
        <v>51</v>
      </c>
      <c r="D2986" s="73"/>
      <c r="E2986" s="71" t="n">
        <v>100</v>
      </c>
      <c r="F2986" s="67"/>
      <c r="G2986" s="68"/>
      <c r="H2986" s="69" t="n">
        <v>100</v>
      </c>
    </row>
    <row r="2987" customFormat="false" ht="15" hidden="false" customHeight="true" outlineLevel="0" collapsed="false">
      <c r="B2987" s="64"/>
      <c r="C2987" s="65" t="s">
        <v>12</v>
      </c>
      <c r="D2987" s="73"/>
      <c r="E2987" s="67"/>
      <c r="F2987" s="71" t="n">
        <v>15</v>
      </c>
      <c r="G2987" s="68"/>
      <c r="H2987" s="69" t="n">
        <v>15</v>
      </c>
    </row>
    <row r="2988" customFormat="false" ht="15" hidden="false" customHeight="true" outlineLevel="0" collapsed="false">
      <c r="B2988" s="64"/>
      <c r="C2988" s="65" t="s">
        <v>37</v>
      </c>
      <c r="D2988" s="73"/>
      <c r="E2988" s="67"/>
      <c r="F2988" s="71" t="n">
        <v>15</v>
      </c>
      <c r="G2988" s="68"/>
      <c r="H2988" s="69" t="n">
        <v>15</v>
      </c>
    </row>
    <row r="2989" customFormat="false" ht="15" hidden="false" customHeight="true" outlineLevel="0" collapsed="false">
      <c r="B2989" s="64"/>
      <c r="C2989" s="65" t="s">
        <v>43</v>
      </c>
      <c r="D2989" s="73"/>
      <c r="E2989" s="71" t="n">
        <v>190</v>
      </c>
      <c r="F2989" s="67"/>
      <c r="G2989" s="68"/>
      <c r="H2989" s="69" t="n">
        <v>190</v>
      </c>
    </row>
    <row r="2990" customFormat="false" ht="15" hidden="false" customHeight="true" outlineLevel="0" collapsed="false">
      <c r="B2990" s="84"/>
      <c r="C2990" s="85" t="s">
        <v>29</v>
      </c>
      <c r="D2990" s="86" t="n">
        <v>696</v>
      </c>
      <c r="E2990" s="75"/>
      <c r="F2990" s="76" t="n">
        <v>20</v>
      </c>
      <c r="G2990" s="77"/>
      <c r="H2990" s="78" t="n">
        <v>716</v>
      </c>
    </row>
    <row r="2991" customFormat="false" ht="15" hidden="false" customHeight="true" outlineLevel="0" collapsed="false">
      <c r="B2991" s="87" t="s">
        <v>1029</v>
      </c>
      <c r="C2991" s="88"/>
      <c r="D2991" s="89" t="n">
        <v>7038</v>
      </c>
      <c r="E2991" s="89" t="n">
        <v>1540</v>
      </c>
      <c r="F2991" s="89" t="n">
        <v>50</v>
      </c>
      <c r="G2991" s="90"/>
      <c r="H2991" s="91" t="n">
        <v>8628</v>
      </c>
    </row>
    <row r="2992" customFormat="false" ht="15" hidden="false" customHeight="true" outlineLevel="0" collapsed="false">
      <c r="B2992" s="56" t="n">
        <v>45968</v>
      </c>
      <c r="C2992" s="57" t="s">
        <v>47</v>
      </c>
      <c r="D2992" s="92" t="n">
        <v>1800</v>
      </c>
      <c r="E2992" s="59"/>
      <c r="F2992" s="59"/>
      <c r="G2992" s="61"/>
      <c r="H2992" s="62" t="n">
        <v>1800</v>
      </c>
    </row>
    <row r="2993" customFormat="false" ht="15" hidden="false" customHeight="true" outlineLevel="0" collapsed="false">
      <c r="B2993" s="64"/>
      <c r="C2993" s="65" t="s">
        <v>19</v>
      </c>
      <c r="D2993" s="66" t="n">
        <v>6410</v>
      </c>
      <c r="E2993" s="67"/>
      <c r="F2993" s="67"/>
      <c r="G2993" s="68"/>
      <c r="H2993" s="69" t="n">
        <v>6410</v>
      </c>
    </row>
    <row r="2994" customFormat="false" ht="15" hidden="false" customHeight="true" outlineLevel="0" collapsed="false">
      <c r="B2994" s="64"/>
      <c r="C2994" s="65" t="s">
        <v>25</v>
      </c>
      <c r="D2994" s="66" t="n">
        <v>940</v>
      </c>
      <c r="E2994" s="67"/>
      <c r="F2994" s="67"/>
      <c r="G2994" s="68"/>
      <c r="H2994" s="69" t="n">
        <v>940</v>
      </c>
    </row>
    <row r="2995" customFormat="false" ht="15" hidden="false" customHeight="true" outlineLevel="0" collapsed="false">
      <c r="B2995" s="64"/>
      <c r="C2995" s="65" t="s">
        <v>28</v>
      </c>
      <c r="D2995" s="73"/>
      <c r="E2995" s="71" t="n">
        <v>390</v>
      </c>
      <c r="F2995" s="67"/>
      <c r="G2995" s="68"/>
      <c r="H2995" s="69" t="n">
        <v>390</v>
      </c>
    </row>
    <row r="2996" customFormat="false" ht="15" hidden="false" customHeight="true" outlineLevel="0" collapsed="false">
      <c r="B2996" s="64"/>
      <c r="C2996" s="65" t="s">
        <v>22</v>
      </c>
      <c r="D2996" s="66" t="n">
        <v>8517</v>
      </c>
      <c r="E2996" s="67"/>
      <c r="F2996" s="67"/>
      <c r="G2996" s="68"/>
      <c r="H2996" s="69" t="n">
        <v>8517</v>
      </c>
    </row>
    <row r="2997" customFormat="false" ht="15" hidden="false" customHeight="true" outlineLevel="0" collapsed="false">
      <c r="B2997" s="64"/>
      <c r="C2997" s="65" t="s">
        <v>37</v>
      </c>
      <c r="D2997" s="73"/>
      <c r="E2997" s="67"/>
      <c r="F2997" s="71" t="n">
        <v>10</v>
      </c>
      <c r="G2997" s="68"/>
      <c r="H2997" s="69" t="n">
        <v>10</v>
      </c>
    </row>
    <row r="2998" customFormat="false" ht="15" hidden="false" customHeight="true" outlineLevel="0" collapsed="false">
      <c r="B2998" s="64"/>
      <c r="C2998" s="65" t="s">
        <v>43</v>
      </c>
      <c r="D2998" s="73"/>
      <c r="E2998" s="71" t="n">
        <v>530</v>
      </c>
      <c r="F2998" s="67"/>
      <c r="G2998" s="68"/>
      <c r="H2998" s="69" t="n">
        <v>530</v>
      </c>
    </row>
    <row r="2999" customFormat="false" ht="15" hidden="false" customHeight="true" outlineLevel="0" collapsed="false">
      <c r="B2999" s="84"/>
      <c r="C2999" s="85" t="s">
        <v>29</v>
      </c>
      <c r="D2999" s="86" t="n">
        <v>829</v>
      </c>
      <c r="E2999" s="76" t="n">
        <v>6470</v>
      </c>
      <c r="F2999" s="76" t="n">
        <v>200</v>
      </c>
      <c r="G2999" s="77"/>
      <c r="H2999" s="78" t="n">
        <v>7499</v>
      </c>
    </row>
    <row r="3000" customFormat="false" ht="15" hidden="false" customHeight="true" outlineLevel="0" collapsed="false">
      <c r="B3000" s="87" t="s">
        <v>1030</v>
      </c>
      <c r="C3000" s="88"/>
      <c r="D3000" s="89" t="n">
        <v>18496</v>
      </c>
      <c r="E3000" s="89" t="n">
        <v>7390</v>
      </c>
      <c r="F3000" s="89" t="n">
        <v>210</v>
      </c>
      <c r="G3000" s="90"/>
      <c r="H3000" s="91" t="n">
        <v>26096</v>
      </c>
    </row>
    <row r="3001" customFormat="false" ht="15" hidden="false" customHeight="true" outlineLevel="0" collapsed="false">
      <c r="B3001" s="56" t="n">
        <v>45969</v>
      </c>
      <c r="C3001" s="57" t="s">
        <v>44</v>
      </c>
      <c r="D3001" s="58"/>
      <c r="E3001" s="60" t="n">
        <v>500</v>
      </c>
      <c r="F3001" s="59"/>
      <c r="G3001" s="61"/>
      <c r="H3001" s="62" t="n">
        <v>500</v>
      </c>
    </row>
    <row r="3002" customFormat="false" ht="15" hidden="false" customHeight="true" outlineLevel="0" collapsed="false">
      <c r="B3002" s="64"/>
      <c r="C3002" s="65" t="s">
        <v>32</v>
      </c>
      <c r="D3002" s="73"/>
      <c r="E3002" s="71" t="n">
        <v>1125</v>
      </c>
      <c r="F3002" s="67"/>
      <c r="G3002" s="68"/>
      <c r="H3002" s="69" t="n">
        <v>1125</v>
      </c>
    </row>
    <row r="3003" customFormat="false" ht="15" hidden="false" customHeight="true" outlineLevel="0" collapsed="false">
      <c r="B3003" s="64"/>
      <c r="C3003" s="65" t="s">
        <v>53</v>
      </c>
      <c r="D3003" s="73"/>
      <c r="E3003" s="67"/>
      <c r="F3003" s="71" t="n">
        <v>540</v>
      </c>
      <c r="G3003" s="68"/>
      <c r="H3003" s="69" t="n">
        <v>540</v>
      </c>
    </row>
    <row r="3004" customFormat="false" ht="15" hidden="false" customHeight="true" outlineLevel="0" collapsed="false">
      <c r="B3004" s="64"/>
      <c r="C3004" s="65" t="s">
        <v>19</v>
      </c>
      <c r="D3004" s="66" t="n">
        <v>7481</v>
      </c>
      <c r="E3004" s="67"/>
      <c r="F3004" s="67"/>
      <c r="G3004" s="68"/>
      <c r="H3004" s="69" t="n">
        <v>7481</v>
      </c>
    </row>
    <row r="3005" customFormat="false" ht="15" hidden="false" customHeight="true" outlineLevel="0" collapsed="false">
      <c r="B3005" s="64"/>
      <c r="C3005" s="65" t="s">
        <v>25</v>
      </c>
      <c r="D3005" s="73"/>
      <c r="E3005" s="71" t="n">
        <v>680</v>
      </c>
      <c r="F3005" s="71" t="n">
        <v>110</v>
      </c>
      <c r="G3005" s="68"/>
      <c r="H3005" s="69" t="n">
        <v>790</v>
      </c>
    </row>
    <row r="3006" customFormat="false" ht="15" hidden="false" customHeight="true" outlineLevel="0" collapsed="false">
      <c r="B3006" s="64"/>
      <c r="C3006" s="65" t="s">
        <v>37</v>
      </c>
      <c r="D3006" s="73"/>
      <c r="E3006" s="67"/>
      <c r="F3006" s="71" t="n">
        <v>15</v>
      </c>
      <c r="G3006" s="68"/>
      <c r="H3006" s="69" t="n">
        <v>15</v>
      </c>
    </row>
    <row r="3007" customFormat="false" ht="15" hidden="false" customHeight="true" outlineLevel="0" collapsed="false">
      <c r="B3007" s="64"/>
      <c r="C3007" s="65" t="s">
        <v>43</v>
      </c>
      <c r="D3007" s="73"/>
      <c r="E3007" s="71" t="n">
        <v>500</v>
      </c>
      <c r="F3007" s="67"/>
      <c r="G3007" s="68"/>
      <c r="H3007" s="69" t="n">
        <v>500</v>
      </c>
    </row>
    <row r="3008" customFormat="false" ht="15" hidden="false" customHeight="true" outlineLevel="0" collapsed="false">
      <c r="B3008" s="64"/>
      <c r="C3008" s="65" t="s">
        <v>60</v>
      </c>
      <c r="D3008" s="73"/>
      <c r="E3008" s="67"/>
      <c r="F3008" s="71" t="n">
        <v>210</v>
      </c>
      <c r="G3008" s="68"/>
      <c r="H3008" s="69" t="n">
        <v>210</v>
      </c>
    </row>
    <row r="3009" customFormat="false" ht="15" hidden="false" customHeight="true" outlineLevel="0" collapsed="false">
      <c r="B3009" s="64"/>
      <c r="C3009" s="65" t="s">
        <v>40</v>
      </c>
      <c r="D3009" s="66" t="n">
        <v>1600</v>
      </c>
      <c r="E3009" s="67"/>
      <c r="F3009" s="67"/>
      <c r="G3009" s="68"/>
      <c r="H3009" s="69" t="n">
        <v>1600</v>
      </c>
    </row>
    <row r="3010" customFormat="false" ht="15" hidden="false" customHeight="true" outlineLevel="0" collapsed="false">
      <c r="B3010" s="64"/>
      <c r="C3010" s="65" t="s">
        <v>31</v>
      </c>
      <c r="D3010" s="73"/>
      <c r="E3010" s="71" t="n">
        <v>310</v>
      </c>
      <c r="F3010" s="67"/>
      <c r="G3010" s="68"/>
      <c r="H3010" s="69" t="n">
        <v>310</v>
      </c>
    </row>
    <row r="3011" customFormat="false" ht="15" hidden="false" customHeight="true" outlineLevel="0" collapsed="false">
      <c r="B3011" s="64"/>
      <c r="C3011" s="65" t="s">
        <v>34</v>
      </c>
      <c r="D3011" s="73"/>
      <c r="E3011" s="71" t="n">
        <v>30</v>
      </c>
      <c r="F3011" s="67"/>
      <c r="G3011" s="68"/>
      <c r="H3011" s="69" t="n">
        <v>30</v>
      </c>
    </row>
    <row r="3012" customFormat="false" ht="15" hidden="false" customHeight="true" outlineLevel="0" collapsed="false">
      <c r="B3012" s="84"/>
      <c r="C3012" s="85" t="s">
        <v>29</v>
      </c>
      <c r="D3012" s="86" t="n">
        <v>739</v>
      </c>
      <c r="E3012" s="75"/>
      <c r="F3012" s="75"/>
      <c r="G3012" s="77"/>
      <c r="H3012" s="78" t="n">
        <v>739</v>
      </c>
    </row>
    <row r="3013" customFormat="false" ht="15" hidden="false" customHeight="true" outlineLevel="0" collapsed="false">
      <c r="B3013" s="87" t="s">
        <v>1031</v>
      </c>
      <c r="C3013" s="88"/>
      <c r="D3013" s="89" t="n">
        <v>9820</v>
      </c>
      <c r="E3013" s="89" t="n">
        <v>3145</v>
      </c>
      <c r="F3013" s="89" t="n">
        <v>875</v>
      </c>
      <c r="G3013" s="90"/>
      <c r="H3013" s="91" t="n">
        <v>13840</v>
      </c>
    </row>
    <row r="3014" customFormat="false" ht="15" hidden="false" customHeight="true" outlineLevel="0" collapsed="false">
      <c r="B3014" s="56" t="n">
        <v>45970</v>
      </c>
      <c r="C3014" s="57" t="s">
        <v>19</v>
      </c>
      <c r="D3014" s="92" t="n">
        <v>5944</v>
      </c>
      <c r="E3014" s="59"/>
      <c r="F3014" s="59"/>
      <c r="G3014" s="61"/>
      <c r="H3014" s="62" t="n">
        <v>5944</v>
      </c>
    </row>
    <row r="3015" customFormat="false" ht="15" hidden="false" customHeight="true" outlineLevel="0" collapsed="false">
      <c r="B3015" s="64"/>
      <c r="C3015" s="65" t="s">
        <v>25</v>
      </c>
      <c r="D3015" s="66" t="n">
        <v>3290</v>
      </c>
      <c r="E3015" s="67"/>
      <c r="F3015" s="67"/>
      <c r="G3015" s="68"/>
      <c r="H3015" s="69" t="n">
        <v>3290</v>
      </c>
    </row>
    <row r="3016" customFormat="false" ht="15" hidden="false" customHeight="true" outlineLevel="0" collapsed="false">
      <c r="B3016" s="64"/>
      <c r="C3016" s="65" t="s">
        <v>51</v>
      </c>
      <c r="D3016" s="73"/>
      <c r="E3016" s="67"/>
      <c r="F3016" s="71" t="n">
        <v>470</v>
      </c>
      <c r="G3016" s="68"/>
      <c r="H3016" s="69" t="n">
        <v>470</v>
      </c>
    </row>
    <row r="3017" customFormat="false" ht="15" hidden="false" customHeight="true" outlineLevel="0" collapsed="false">
      <c r="B3017" s="64"/>
      <c r="C3017" s="65" t="s">
        <v>22</v>
      </c>
      <c r="D3017" s="66" t="n">
        <v>2640</v>
      </c>
      <c r="E3017" s="67"/>
      <c r="F3017" s="67"/>
      <c r="G3017" s="68"/>
      <c r="H3017" s="69" t="n">
        <v>2640</v>
      </c>
    </row>
    <row r="3018" customFormat="false" ht="15" hidden="false" customHeight="true" outlineLevel="0" collapsed="false">
      <c r="B3018" s="64"/>
      <c r="C3018" s="65" t="s">
        <v>37</v>
      </c>
      <c r="D3018" s="73"/>
      <c r="E3018" s="67"/>
      <c r="F3018" s="71" t="n">
        <v>20</v>
      </c>
      <c r="G3018" s="68"/>
      <c r="H3018" s="69" t="n">
        <v>20</v>
      </c>
    </row>
    <row r="3019" customFormat="false" ht="15" hidden="false" customHeight="true" outlineLevel="0" collapsed="false">
      <c r="B3019" s="64"/>
      <c r="C3019" s="65" t="s">
        <v>43</v>
      </c>
      <c r="D3019" s="73"/>
      <c r="E3019" s="67"/>
      <c r="F3019" s="71" t="n">
        <v>80</v>
      </c>
      <c r="G3019" s="68"/>
      <c r="H3019" s="69" t="n">
        <v>80</v>
      </c>
    </row>
    <row r="3020" customFormat="false" ht="15" hidden="false" customHeight="true" outlineLevel="0" collapsed="false">
      <c r="B3020" s="84"/>
      <c r="C3020" s="85" t="s">
        <v>29</v>
      </c>
      <c r="D3020" s="86" t="n">
        <v>934</v>
      </c>
      <c r="E3020" s="76" t="n">
        <v>2430</v>
      </c>
      <c r="F3020" s="76" t="n">
        <v>400</v>
      </c>
      <c r="G3020" s="77"/>
      <c r="H3020" s="78" t="n">
        <v>3764</v>
      </c>
    </row>
    <row r="3021" customFormat="false" ht="15" hidden="false" customHeight="true" outlineLevel="0" collapsed="false">
      <c r="B3021" s="87" t="s">
        <v>1032</v>
      </c>
      <c r="C3021" s="88"/>
      <c r="D3021" s="89" t="n">
        <v>12808</v>
      </c>
      <c r="E3021" s="89" t="n">
        <v>2430</v>
      </c>
      <c r="F3021" s="89" t="n">
        <v>970</v>
      </c>
      <c r="G3021" s="90"/>
      <c r="H3021" s="91" t="n">
        <v>16208</v>
      </c>
    </row>
    <row r="3022" customFormat="false" ht="15" hidden="false" customHeight="true" outlineLevel="0" collapsed="false">
      <c r="B3022" s="56" t="n">
        <v>45971</v>
      </c>
      <c r="C3022" s="57" t="s">
        <v>44</v>
      </c>
      <c r="D3022" s="92" t="n">
        <v>2000</v>
      </c>
      <c r="E3022" s="59"/>
      <c r="F3022" s="59"/>
      <c r="G3022" s="61"/>
      <c r="H3022" s="62" t="n">
        <v>2000</v>
      </c>
    </row>
    <row r="3023" customFormat="false" ht="15" hidden="false" customHeight="true" outlineLevel="0" collapsed="false">
      <c r="B3023" s="64"/>
      <c r="C3023" s="65" t="s">
        <v>47</v>
      </c>
      <c r="D3023" s="66" t="n">
        <v>1800</v>
      </c>
      <c r="E3023" s="67"/>
      <c r="F3023" s="67"/>
      <c r="G3023" s="68"/>
      <c r="H3023" s="69" t="n">
        <v>1800</v>
      </c>
    </row>
    <row r="3024" customFormat="false" ht="15" hidden="false" customHeight="true" outlineLevel="0" collapsed="false">
      <c r="B3024" s="64"/>
      <c r="C3024" s="65" t="s">
        <v>19</v>
      </c>
      <c r="D3024" s="66" t="n">
        <v>7373</v>
      </c>
      <c r="E3024" s="67"/>
      <c r="F3024" s="67"/>
      <c r="G3024" s="68"/>
      <c r="H3024" s="69" t="n">
        <v>7373</v>
      </c>
    </row>
    <row r="3025" customFormat="false" ht="15" hidden="false" customHeight="true" outlineLevel="0" collapsed="false">
      <c r="B3025" s="64"/>
      <c r="C3025" s="65" t="s">
        <v>25</v>
      </c>
      <c r="D3025" s="66" t="n">
        <v>1570</v>
      </c>
      <c r="E3025" s="67"/>
      <c r="F3025" s="67"/>
      <c r="G3025" s="68"/>
      <c r="H3025" s="69" t="n">
        <v>1570</v>
      </c>
    </row>
    <row r="3026" customFormat="false" ht="15" hidden="false" customHeight="true" outlineLevel="0" collapsed="false">
      <c r="B3026" s="64"/>
      <c r="C3026" s="65" t="s">
        <v>37</v>
      </c>
      <c r="D3026" s="73"/>
      <c r="E3026" s="67"/>
      <c r="F3026" s="71" t="n">
        <v>10</v>
      </c>
      <c r="G3026" s="68"/>
      <c r="H3026" s="69" t="n">
        <v>10</v>
      </c>
    </row>
    <row r="3027" customFormat="false" ht="15" hidden="false" customHeight="true" outlineLevel="0" collapsed="false">
      <c r="B3027" s="64"/>
      <c r="C3027" s="65" t="s">
        <v>35</v>
      </c>
      <c r="D3027" s="73"/>
      <c r="E3027" s="71" t="n">
        <v>40</v>
      </c>
      <c r="F3027" s="67"/>
      <c r="G3027" s="68"/>
      <c r="H3027" s="69" t="n">
        <v>40</v>
      </c>
    </row>
    <row r="3028" customFormat="false" ht="15" hidden="false" customHeight="true" outlineLevel="0" collapsed="false">
      <c r="B3028" s="64"/>
      <c r="C3028" s="65" t="s">
        <v>34</v>
      </c>
      <c r="D3028" s="73"/>
      <c r="E3028" s="71" t="n">
        <v>100</v>
      </c>
      <c r="F3028" s="67"/>
      <c r="G3028" s="68"/>
      <c r="H3028" s="69" t="n">
        <v>100</v>
      </c>
    </row>
    <row r="3029" customFormat="false" ht="15" hidden="false" customHeight="true" outlineLevel="0" collapsed="false">
      <c r="B3029" s="84"/>
      <c r="C3029" s="85" t="s">
        <v>29</v>
      </c>
      <c r="D3029" s="86" t="n">
        <v>647</v>
      </c>
      <c r="E3029" s="75"/>
      <c r="F3029" s="76" t="n">
        <v>20</v>
      </c>
      <c r="G3029" s="77"/>
      <c r="H3029" s="78" t="n">
        <v>667</v>
      </c>
    </row>
    <row r="3030" customFormat="false" ht="15" hidden="false" customHeight="true" outlineLevel="0" collapsed="false">
      <c r="B3030" s="87" t="s">
        <v>1033</v>
      </c>
      <c r="C3030" s="88"/>
      <c r="D3030" s="89" t="n">
        <v>13390</v>
      </c>
      <c r="E3030" s="89" t="n">
        <v>140</v>
      </c>
      <c r="F3030" s="89" t="n">
        <v>30</v>
      </c>
      <c r="G3030" s="90"/>
      <c r="H3030" s="91" t="n">
        <v>13560</v>
      </c>
    </row>
    <row r="3031" customFormat="false" ht="15" hidden="false" customHeight="true" outlineLevel="0" collapsed="false">
      <c r="B3031" s="56" t="n">
        <v>45972</v>
      </c>
      <c r="C3031" s="57" t="s">
        <v>53</v>
      </c>
      <c r="D3031" s="58"/>
      <c r="E3031" s="60" t="n">
        <v>540</v>
      </c>
      <c r="F3031" s="59"/>
      <c r="G3031" s="61"/>
      <c r="H3031" s="62" t="n">
        <v>540</v>
      </c>
    </row>
    <row r="3032" customFormat="false" ht="15" hidden="false" customHeight="true" outlineLevel="0" collapsed="false">
      <c r="B3032" s="64"/>
      <c r="C3032" s="65" t="s">
        <v>19</v>
      </c>
      <c r="D3032" s="66" t="n">
        <v>4074</v>
      </c>
      <c r="E3032" s="67"/>
      <c r="F3032" s="67"/>
      <c r="G3032" s="68"/>
      <c r="H3032" s="69" t="n">
        <v>4074</v>
      </c>
    </row>
    <row r="3033" customFormat="false" ht="15" hidden="false" customHeight="true" outlineLevel="0" collapsed="false">
      <c r="B3033" s="64"/>
      <c r="C3033" s="65" t="s">
        <v>25</v>
      </c>
      <c r="D3033" s="66" t="n">
        <v>575</v>
      </c>
      <c r="E3033" s="67"/>
      <c r="F3033" s="67"/>
      <c r="G3033" s="68"/>
      <c r="H3033" s="69" t="n">
        <v>575</v>
      </c>
    </row>
    <row r="3034" customFormat="false" ht="15" hidden="false" customHeight="true" outlineLevel="0" collapsed="false">
      <c r="B3034" s="64"/>
      <c r="C3034" s="65" t="s">
        <v>51</v>
      </c>
      <c r="D3034" s="66" t="n">
        <v>6148</v>
      </c>
      <c r="E3034" s="71" t="n">
        <v>300</v>
      </c>
      <c r="F3034" s="67"/>
      <c r="G3034" s="68"/>
      <c r="H3034" s="69" t="n">
        <v>6448</v>
      </c>
    </row>
    <row r="3035" customFormat="false" ht="15" hidden="false" customHeight="true" outlineLevel="0" collapsed="false">
      <c r="B3035" s="64"/>
      <c r="C3035" s="65" t="s">
        <v>22</v>
      </c>
      <c r="D3035" s="66" t="n">
        <v>21150</v>
      </c>
      <c r="E3035" s="67"/>
      <c r="F3035" s="67"/>
      <c r="G3035" s="68"/>
      <c r="H3035" s="69" t="n">
        <v>21150</v>
      </c>
    </row>
    <row r="3036" customFormat="false" ht="15" hidden="false" customHeight="true" outlineLevel="0" collapsed="false">
      <c r="B3036" s="64"/>
      <c r="C3036" s="65" t="s">
        <v>37</v>
      </c>
      <c r="D3036" s="73"/>
      <c r="E3036" s="67"/>
      <c r="F3036" s="71" t="n">
        <v>15</v>
      </c>
      <c r="G3036" s="68"/>
      <c r="H3036" s="69" t="n">
        <v>15</v>
      </c>
    </row>
    <row r="3037" customFormat="false" ht="15" hidden="false" customHeight="true" outlineLevel="0" collapsed="false">
      <c r="B3037" s="64"/>
      <c r="C3037" s="65" t="s">
        <v>43</v>
      </c>
      <c r="D3037" s="73"/>
      <c r="E3037" s="71" t="n">
        <v>100</v>
      </c>
      <c r="F3037" s="67"/>
      <c r="G3037" s="68"/>
      <c r="H3037" s="69" t="n">
        <v>100</v>
      </c>
    </row>
    <row r="3038" customFormat="false" ht="15" hidden="false" customHeight="true" outlineLevel="0" collapsed="false">
      <c r="B3038" s="64"/>
      <c r="C3038" s="65" t="s">
        <v>40</v>
      </c>
      <c r="D3038" s="73"/>
      <c r="E3038" s="71" t="n">
        <v>1600</v>
      </c>
      <c r="F3038" s="67"/>
      <c r="G3038" s="68"/>
      <c r="H3038" s="69" t="n">
        <v>1600</v>
      </c>
    </row>
    <row r="3039" customFormat="false" ht="15" hidden="false" customHeight="true" outlineLevel="0" collapsed="false">
      <c r="B3039" s="64"/>
      <c r="C3039" s="65" t="s">
        <v>31</v>
      </c>
      <c r="D3039" s="73"/>
      <c r="E3039" s="71" t="n">
        <v>200</v>
      </c>
      <c r="F3039" s="67"/>
      <c r="G3039" s="68"/>
      <c r="H3039" s="69" t="n">
        <v>200</v>
      </c>
    </row>
    <row r="3040" customFormat="false" ht="15" hidden="false" customHeight="true" outlineLevel="0" collapsed="false">
      <c r="B3040" s="64"/>
      <c r="C3040" s="65" t="s">
        <v>56</v>
      </c>
      <c r="D3040" s="73"/>
      <c r="E3040" s="71" t="n">
        <v>4100</v>
      </c>
      <c r="F3040" s="67"/>
      <c r="G3040" s="68"/>
      <c r="H3040" s="69" t="n">
        <v>4100</v>
      </c>
    </row>
    <row r="3041" customFormat="false" ht="15" hidden="false" customHeight="true" outlineLevel="0" collapsed="false">
      <c r="B3041" s="64"/>
      <c r="C3041" s="65" t="s">
        <v>34</v>
      </c>
      <c r="D3041" s="73"/>
      <c r="E3041" s="71" t="n">
        <v>60</v>
      </c>
      <c r="F3041" s="67"/>
      <c r="G3041" s="68"/>
      <c r="H3041" s="69" t="n">
        <v>60</v>
      </c>
    </row>
    <row r="3042" customFormat="false" ht="15" hidden="false" customHeight="true" outlineLevel="0" collapsed="false">
      <c r="B3042" s="84"/>
      <c r="C3042" s="85" t="s">
        <v>29</v>
      </c>
      <c r="D3042" s="86" t="n">
        <v>664</v>
      </c>
      <c r="E3042" s="75"/>
      <c r="F3042" s="75"/>
      <c r="G3042" s="77"/>
      <c r="H3042" s="78" t="n">
        <v>664</v>
      </c>
    </row>
    <row r="3043" customFormat="false" ht="15" hidden="false" customHeight="true" outlineLevel="0" collapsed="false">
      <c r="B3043" s="87" t="s">
        <v>1034</v>
      </c>
      <c r="C3043" s="88"/>
      <c r="D3043" s="89" t="n">
        <v>32611</v>
      </c>
      <c r="E3043" s="89" t="n">
        <v>6900</v>
      </c>
      <c r="F3043" s="89" t="n">
        <v>15</v>
      </c>
      <c r="G3043" s="90"/>
      <c r="H3043" s="91" t="n">
        <v>39526</v>
      </c>
    </row>
    <row r="3044" customFormat="false" ht="15" hidden="false" customHeight="true" outlineLevel="0" collapsed="false">
      <c r="B3044" s="56" t="n">
        <v>45973</v>
      </c>
      <c r="C3044" s="57" t="s">
        <v>44</v>
      </c>
      <c r="D3044" s="58"/>
      <c r="E3044" s="60" t="n">
        <v>1000</v>
      </c>
      <c r="F3044" s="59"/>
      <c r="G3044" s="61"/>
      <c r="H3044" s="62" t="n">
        <v>1000</v>
      </c>
    </row>
    <row r="3045" customFormat="false" ht="15" hidden="false" customHeight="true" outlineLevel="0" collapsed="false">
      <c r="B3045" s="64"/>
      <c r="C3045" s="65" t="s">
        <v>53</v>
      </c>
      <c r="D3045" s="73"/>
      <c r="E3045" s="71" t="n">
        <v>1630</v>
      </c>
      <c r="F3045" s="71" t="n">
        <v>575</v>
      </c>
      <c r="G3045" s="68"/>
      <c r="H3045" s="69" t="n">
        <v>2205</v>
      </c>
    </row>
    <row r="3046" customFormat="false" ht="15" hidden="false" customHeight="true" outlineLevel="0" collapsed="false">
      <c r="B3046" s="64"/>
      <c r="C3046" s="65" t="s">
        <v>19</v>
      </c>
      <c r="D3046" s="66" t="n">
        <v>1720</v>
      </c>
      <c r="E3046" s="67"/>
      <c r="F3046" s="67"/>
      <c r="G3046" s="68"/>
      <c r="H3046" s="69" t="n">
        <v>1720</v>
      </c>
    </row>
    <row r="3047" customFormat="false" ht="15" hidden="false" customHeight="true" outlineLevel="0" collapsed="false">
      <c r="B3047" s="64"/>
      <c r="C3047" s="65" t="s">
        <v>25</v>
      </c>
      <c r="D3047" s="66" t="n">
        <v>340</v>
      </c>
      <c r="E3047" s="67"/>
      <c r="F3047" s="71" t="n">
        <v>30</v>
      </c>
      <c r="G3047" s="68"/>
      <c r="H3047" s="69" t="n">
        <v>370</v>
      </c>
    </row>
    <row r="3048" customFormat="false" ht="15" hidden="false" customHeight="true" outlineLevel="0" collapsed="false">
      <c r="B3048" s="64"/>
      <c r="C3048" s="65" t="s">
        <v>28</v>
      </c>
      <c r="D3048" s="73"/>
      <c r="E3048" s="67"/>
      <c r="F3048" s="71" t="n">
        <v>567</v>
      </c>
      <c r="G3048" s="68"/>
      <c r="H3048" s="69" t="n">
        <v>567</v>
      </c>
    </row>
    <row r="3049" customFormat="false" ht="15" hidden="false" customHeight="true" outlineLevel="0" collapsed="false">
      <c r="B3049" s="64"/>
      <c r="C3049" s="65" t="s">
        <v>37</v>
      </c>
      <c r="D3049" s="73"/>
      <c r="E3049" s="67"/>
      <c r="F3049" s="71" t="n">
        <v>20</v>
      </c>
      <c r="G3049" s="68"/>
      <c r="H3049" s="69" t="n">
        <v>20</v>
      </c>
    </row>
    <row r="3050" customFormat="false" ht="15" hidden="false" customHeight="true" outlineLevel="0" collapsed="false">
      <c r="B3050" s="64"/>
      <c r="C3050" s="65" t="s">
        <v>43</v>
      </c>
      <c r="D3050" s="73"/>
      <c r="E3050" s="71" t="n">
        <v>350</v>
      </c>
      <c r="F3050" s="67"/>
      <c r="G3050" s="68"/>
      <c r="H3050" s="69" t="n">
        <v>350</v>
      </c>
    </row>
    <row r="3051" customFormat="false" ht="15" hidden="false" customHeight="true" outlineLevel="0" collapsed="false">
      <c r="B3051" s="64"/>
      <c r="C3051" s="65" t="s">
        <v>31</v>
      </c>
      <c r="D3051" s="73"/>
      <c r="E3051" s="71" t="n">
        <v>310</v>
      </c>
      <c r="F3051" s="67"/>
      <c r="G3051" s="68"/>
      <c r="H3051" s="69" t="n">
        <v>310</v>
      </c>
    </row>
    <row r="3052" customFormat="false" ht="15" hidden="false" customHeight="true" outlineLevel="0" collapsed="false">
      <c r="B3052" s="64"/>
      <c r="C3052" s="65" t="s">
        <v>35</v>
      </c>
      <c r="D3052" s="73"/>
      <c r="E3052" s="71" t="n">
        <v>100</v>
      </c>
      <c r="F3052" s="67"/>
      <c r="G3052" s="68"/>
      <c r="H3052" s="69" t="n">
        <v>100</v>
      </c>
    </row>
    <row r="3053" customFormat="false" ht="15" hidden="false" customHeight="true" outlineLevel="0" collapsed="false">
      <c r="B3053" s="64"/>
      <c r="C3053" s="65" t="s">
        <v>34</v>
      </c>
      <c r="D3053" s="73"/>
      <c r="E3053" s="71" t="n">
        <v>60</v>
      </c>
      <c r="F3053" s="67"/>
      <c r="G3053" s="68"/>
      <c r="H3053" s="69" t="n">
        <v>60</v>
      </c>
    </row>
    <row r="3054" customFormat="false" ht="15" hidden="false" customHeight="true" outlineLevel="0" collapsed="false">
      <c r="B3054" s="84"/>
      <c r="C3054" s="85" t="s">
        <v>29</v>
      </c>
      <c r="D3054" s="86" t="n">
        <v>259</v>
      </c>
      <c r="E3054" s="76" t="n">
        <v>200</v>
      </c>
      <c r="F3054" s="76" t="n">
        <v>20</v>
      </c>
      <c r="G3054" s="77"/>
      <c r="H3054" s="78" t="n">
        <v>479</v>
      </c>
    </row>
    <row r="3055" customFormat="false" ht="15" hidden="false" customHeight="true" outlineLevel="0" collapsed="false">
      <c r="B3055" s="87" t="s">
        <v>1035</v>
      </c>
      <c r="C3055" s="88"/>
      <c r="D3055" s="89" t="n">
        <v>2319</v>
      </c>
      <c r="E3055" s="89" t="n">
        <v>3650</v>
      </c>
      <c r="F3055" s="89" t="n">
        <v>1212</v>
      </c>
      <c r="G3055" s="90"/>
      <c r="H3055" s="91" t="n">
        <v>7181</v>
      </c>
    </row>
    <row r="3056" customFormat="false" ht="15" hidden="false" customHeight="true" outlineLevel="0" collapsed="false">
      <c r="B3056" s="56" t="n">
        <v>45974</v>
      </c>
      <c r="C3056" s="57" t="s">
        <v>44</v>
      </c>
      <c r="D3056" s="58"/>
      <c r="E3056" s="60" t="n">
        <v>1000</v>
      </c>
      <c r="F3056" s="59"/>
      <c r="G3056" s="61"/>
      <c r="H3056" s="62" t="n">
        <v>1000</v>
      </c>
    </row>
    <row r="3057" customFormat="false" ht="15" hidden="false" customHeight="true" outlineLevel="0" collapsed="false">
      <c r="B3057" s="64"/>
      <c r="C3057" s="65" t="s">
        <v>19</v>
      </c>
      <c r="D3057" s="66" t="n">
        <v>3747</v>
      </c>
      <c r="E3057" s="67"/>
      <c r="F3057" s="67"/>
      <c r="G3057" s="68"/>
      <c r="H3057" s="69" t="n">
        <v>3747</v>
      </c>
    </row>
    <row r="3058" customFormat="false" ht="15" hidden="false" customHeight="true" outlineLevel="0" collapsed="false">
      <c r="B3058" s="64"/>
      <c r="C3058" s="65" t="s">
        <v>25</v>
      </c>
      <c r="D3058" s="66" t="n">
        <v>803</v>
      </c>
      <c r="E3058" s="71" t="n">
        <v>170</v>
      </c>
      <c r="F3058" s="67"/>
      <c r="G3058" s="68"/>
      <c r="H3058" s="69" t="n">
        <v>973</v>
      </c>
    </row>
    <row r="3059" customFormat="false" ht="15" hidden="false" customHeight="true" outlineLevel="0" collapsed="false">
      <c r="B3059" s="64"/>
      <c r="C3059" s="65" t="s">
        <v>22</v>
      </c>
      <c r="D3059" s="73"/>
      <c r="E3059" s="71" t="n">
        <v>750</v>
      </c>
      <c r="F3059" s="67"/>
      <c r="G3059" s="68"/>
      <c r="H3059" s="69" t="n">
        <v>750</v>
      </c>
    </row>
    <row r="3060" customFormat="false" ht="15" hidden="false" customHeight="true" outlineLevel="0" collapsed="false">
      <c r="B3060" s="64"/>
      <c r="C3060" s="65" t="s">
        <v>37</v>
      </c>
      <c r="D3060" s="73"/>
      <c r="E3060" s="67"/>
      <c r="F3060" s="71" t="n">
        <v>25</v>
      </c>
      <c r="G3060" s="68"/>
      <c r="H3060" s="69" t="n">
        <v>25</v>
      </c>
    </row>
    <row r="3061" customFormat="false" ht="15" hidden="false" customHeight="true" outlineLevel="0" collapsed="false">
      <c r="B3061" s="64"/>
      <c r="C3061" s="65" t="s">
        <v>43</v>
      </c>
      <c r="D3061" s="73"/>
      <c r="E3061" s="71" t="n">
        <v>860</v>
      </c>
      <c r="F3061" s="67"/>
      <c r="G3061" s="68"/>
      <c r="H3061" s="69" t="n">
        <v>860</v>
      </c>
    </row>
    <row r="3062" customFormat="false" ht="15" hidden="false" customHeight="true" outlineLevel="0" collapsed="false">
      <c r="B3062" s="64"/>
      <c r="C3062" s="65" t="s">
        <v>60</v>
      </c>
      <c r="D3062" s="73"/>
      <c r="E3062" s="67"/>
      <c r="F3062" s="71" t="n">
        <v>210</v>
      </c>
      <c r="G3062" s="68"/>
      <c r="H3062" s="69" t="n">
        <v>210</v>
      </c>
    </row>
    <row r="3063" customFormat="false" ht="15" hidden="false" customHeight="true" outlineLevel="0" collapsed="false">
      <c r="B3063" s="64"/>
      <c r="C3063" s="65" t="s">
        <v>40</v>
      </c>
      <c r="D3063" s="73"/>
      <c r="E3063" s="71" t="n">
        <v>500</v>
      </c>
      <c r="F3063" s="67"/>
      <c r="G3063" s="68"/>
      <c r="H3063" s="69" t="n">
        <v>500</v>
      </c>
    </row>
    <row r="3064" customFormat="false" ht="15" hidden="false" customHeight="true" outlineLevel="0" collapsed="false">
      <c r="B3064" s="64"/>
      <c r="C3064" s="65" t="s">
        <v>31</v>
      </c>
      <c r="D3064" s="73"/>
      <c r="E3064" s="67"/>
      <c r="F3064" s="71" t="n">
        <v>2300</v>
      </c>
      <c r="G3064" s="68"/>
      <c r="H3064" s="69" t="n">
        <v>2300</v>
      </c>
    </row>
    <row r="3065" customFormat="false" ht="15" hidden="false" customHeight="true" outlineLevel="0" collapsed="false">
      <c r="B3065" s="84"/>
      <c r="C3065" s="85" t="s">
        <v>29</v>
      </c>
      <c r="D3065" s="86" t="n">
        <v>577</v>
      </c>
      <c r="E3065" s="76" t="n">
        <v>100</v>
      </c>
      <c r="F3065" s="75"/>
      <c r="G3065" s="77"/>
      <c r="H3065" s="78" t="n">
        <v>677</v>
      </c>
    </row>
    <row r="3066" customFormat="false" ht="15" hidden="false" customHeight="true" outlineLevel="0" collapsed="false">
      <c r="B3066" s="87" t="s">
        <v>1036</v>
      </c>
      <c r="C3066" s="88"/>
      <c r="D3066" s="89" t="n">
        <v>5127</v>
      </c>
      <c r="E3066" s="89" t="n">
        <v>3380</v>
      </c>
      <c r="F3066" s="89" t="n">
        <v>2535</v>
      </c>
      <c r="G3066" s="90"/>
      <c r="H3066" s="91" t="n">
        <v>11042</v>
      </c>
    </row>
    <row r="3067" customFormat="false" ht="15" hidden="false" customHeight="true" outlineLevel="0" collapsed="false">
      <c r="B3067" s="56" t="n">
        <v>45975</v>
      </c>
      <c r="C3067" s="57" t="s">
        <v>19</v>
      </c>
      <c r="D3067" s="92" t="n">
        <v>3891</v>
      </c>
      <c r="E3067" s="59"/>
      <c r="F3067" s="59"/>
      <c r="G3067" s="61"/>
      <c r="H3067" s="62" t="n">
        <v>3891</v>
      </c>
    </row>
    <row r="3068" customFormat="false" ht="15" hidden="false" customHeight="true" outlineLevel="0" collapsed="false">
      <c r="B3068" s="64"/>
      <c r="C3068" s="65" t="s">
        <v>25</v>
      </c>
      <c r="D3068" s="66" t="n">
        <v>1835</v>
      </c>
      <c r="E3068" s="67"/>
      <c r="F3068" s="67"/>
      <c r="G3068" s="68"/>
      <c r="H3068" s="69" t="n">
        <v>1835</v>
      </c>
    </row>
    <row r="3069" customFormat="false" ht="15" hidden="false" customHeight="true" outlineLevel="0" collapsed="false">
      <c r="B3069" s="64"/>
      <c r="C3069" s="65" t="s">
        <v>51</v>
      </c>
      <c r="D3069" s="73"/>
      <c r="E3069" s="71" t="n">
        <v>700</v>
      </c>
      <c r="F3069" s="67"/>
      <c r="G3069" s="68"/>
      <c r="H3069" s="69" t="n">
        <v>700</v>
      </c>
    </row>
    <row r="3070" customFormat="false" ht="15" hidden="false" customHeight="true" outlineLevel="0" collapsed="false">
      <c r="B3070" s="64"/>
      <c r="C3070" s="65" t="s">
        <v>28</v>
      </c>
      <c r="D3070" s="66" t="n">
        <v>400</v>
      </c>
      <c r="E3070" s="67"/>
      <c r="F3070" s="67"/>
      <c r="G3070" s="68"/>
      <c r="H3070" s="69" t="n">
        <v>400</v>
      </c>
    </row>
    <row r="3071" customFormat="false" ht="15" hidden="false" customHeight="true" outlineLevel="0" collapsed="false">
      <c r="B3071" s="64"/>
      <c r="C3071" s="65" t="s">
        <v>37</v>
      </c>
      <c r="D3071" s="73"/>
      <c r="E3071" s="67"/>
      <c r="F3071" s="71" t="n">
        <v>25</v>
      </c>
      <c r="G3071" s="68"/>
      <c r="H3071" s="69" t="n">
        <v>25</v>
      </c>
    </row>
    <row r="3072" customFormat="false" ht="15" hidden="false" customHeight="true" outlineLevel="0" collapsed="false">
      <c r="B3072" s="64"/>
      <c r="C3072" s="65" t="s">
        <v>43</v>
      </c>
      <c r="D3072" s="66" t="n">
        <v>600</v>
      </c>
      <c r="E3072" s="71" t="n">
        <v>180</v>
      </c>
      <c r="F3072" s="67"/>
      <c r="G3072" s="68"/>
      <c r="H3072" s="69" t="n">
        <v>780</v>
      </c>
    </row>
    <row r="3073" customFormat="false" ht="15" hidden="false" customHeight="true" outlineLevel="0" collapsed="false">
      <c r="B3073" s="64"/>
      <c r="C3073" s="65" t="s">
        <v>34</v>
      </c>
      <c r="D3073" s="73"/>
      <c r="E3073" s="71" t="n">
        <v>160</v>
      </c>
      <c r="F3073" s="67"/>
      <c r="G3073" s="68"/>
      <c r="H3073" s="69" t="n">
        <v>160</v>
      </c>
    </row>
    <row r="3074" customFormat="false" ht="15" hidden="false" customHeight="true" outlineLevel="0" collapsed="false">
      <c r="B3074" s="84"/>
      <c r="C3074" s="85" t="s">
        <v>29</v>
      </c>
      <c r="D3074" s="86" t="n">
        <v>486</v>
      </c>
      <c r="E3074" s="75"/>
      <c r="F3074" s="76" t="n">
        <v>20</v>
      </c>
      <c r="G3074" s="77"/>
      <c r="H3074" s="78" t="n">
        <v>506</v>
      </c>
    </row>
    <row r="3075" customFormat="false" ht="15" hidden="false" customHeight="true" outlineLevel="0" collapsed="false">
      <c r="B3075" s="87" t="s">
        <v>1037</v>
      </c>
      <c r="C3075" s="88"/>
      <c r="D3075" s="89" t="n">
        <v>7212</v>
      </c>
      <c r="E3075" s="89" t="n">
        <v>1040</v>
      </c>
      <c r="F3075" s="89" t="n">
        <v>45</v>
      </c>
      <c r="G3075" s="90"/>
      <c r="H3075" s="91" t="n">
        <v>8297</v>
      </c>
    </row>
    <row r="3076" customFormat="false" ht="15" hidden="false" customHeight="true" outlineLevel="0" collapsed="false">
      <c r="B3076" s="56" t="n">
        <v>45976</v>
      </c>
      <c r="C3076" s="57" t="s">
        <v>32</v>
      </c>
      <c r="D3076" s="58"/>
      <c r="E3076" s="59"/>
      <c r="F3076" s="60" t="n">
        <v>1155</v>
      </c>
      <c r="G3076" s="61"/>
      <c r="H3076" s="62" t="n">
        <v>1155</v>
      </c>
    </row>
    <row r="3077" customFormat="false" ht="15" hidden="false" customHeight="true" outlineLevel="0" collapsed="false">
      <c r="B3077" s="64"/>
      <c r="C3077" s="65" t="s">
        <v>19</v>
      </c>
      <c r="D3077" s="66" t="n">
        <v>3750</v>
      </c>
      <c r="E3077" s="67"/>
      <c r="F3077" s="67"/>
      <c r="G3077" s="68"/>
      <c r="H3077" s="69" t="n">
        <v>3750</v>
      </c>
    </row>
    <row r="3078" customFormat="false" ht="15" hidden="false" customHeight="true" outlineLevel="0" collapsed="false">
      <c r="B3078" s="64"/>
      <c r="C3078" s="65" t="s">
        <v>25</v>
      </c>
      <c r="D3078" s="66" t="n">
        <v>1475</v>
      </c>
      <c r="E3078" s="71" t="n">
        <v>30</v>
      </c>
      <c r="F3078" s="67"/>
      <c r="G3078" s="68"/>
      <c r="H3078" s="69" t="n">
        <v>1505</v>
      </c>
    </row>
    <row r="3079" customFormat="false" ht="15" hidden="false" customHeight="true" outlineLevel="0" collapsed="false">
      <c r="B3079" s="64"/>
      <c r="C3079" s="65" t="s">
        <v>28</v>
      </c>
      <c r="D3079" s="73"/>
      <c r="E3079" s="67"/>
      <c r="F3079" s="71" t="n">
        <v>387</v>
      </c>
      <c r="G3079" s="68"/>
      <c r="H3079" s="69" t="n">
        <v>387</v>
      </c>
    </row>
    <row r="3080" customFormat="false" ht="15" hidden="false" customHeight="true" outlineLevel="0" collapsed="false">
      <c r="B3080" s="64"/>
      <c r="C3080" s="65" t="s">
        <v>37</v>
      </c>
      <c r="D3080" s="73"/>
      <c r="E3080" s="67"/>
      <c r="F3080" s="71" t="n">
        <v>20</v>
      </c>
      <c r="G3080" s="68"/>
      <c r="H3080" s="69" t="n">
        <v>20</v>
      </c>
    </row>
    <row r="3081" customFormat="false" ht="15" hidden="false" customHeight="true" outlineLevel="0" collapsed="false">
      <c r="B3081" s="64"/>
      <c r="C3081" s="65" t="s">
        <v>43</v>
      </c>
      <c r="D3081" s="73"/>
      <c r="E3081" s="71" t="n">
        <v>60</v>
      </c>
      <c r="F3081" s="67"/>
      <c r="G3081" s="68"/>
      <c r="H3081" s="69" t="n">
        <v>60</v>
      </c>
    </row>
    <row r="3082" customFormat="false" ht="15" hidden="false" customHeight="true" outlineLevel="0" collapsed="false">
      <c r="B3082" s="84"/>
      <c r="C3082" s="85" t="s">
        <v>29</v>
      </c>
      <c r="D3082" s="86" t="n">
        <v>814</v>
      </c>
      <c r="E3082" s="75"/>
      <c r="F3082" s="75"/>
      <c r="G3082" s="77"/>
      <c r="H3082" s="78" t="n">
        <v>814</v>
      </c>
    </row>
    <row r="3083" customFormat="false" ht="15" hidden="false" customHeight="true" outlineLevel="0" collapsed="false">
      <c r="B3083" s="87" t="s">
        <v>1038</v>
      </c>
      <c r="C3083" s="88"/>
      <c r="D3083" s="89" t="n">
        <v>6039</v>
      </c>
      <c r="E3083" s="89" t="n">
        <v>90</v>
      </c>
      <c r="F3083" s="89" t="n">
        <v>1562</v>
      </c>
      <c r="G3083" s="90"/>
      <c r="H3083" s="91" t="n">
        <v>7691</v>
      </c>
    </row>
    <row r="3084" customFormat="false" ht="15" hidden="false" customHeight="true" outlineLevel="0" collapsed="false">
      <c r="B3084" s="56" t="n">
        <v>45977</v>
      </c>
      <c r="C3084" s="57" t="s">
        <v>53</v>
      </c>
      <c r="D3084" s="58"/>
      <c r="E3084" s="59"/>
      <c r="F3084" s="60" t="n">
        <v>540</v>
      </c>
      <c r="G3084" s="61"/>
      <c r="H3084" s="62" t="n">
        <v>540</v>
      </c>
    </row>
    <row r="3085" customFormat="false" ht="15" hidden="false" customHeight="true" outlineLevel="0" collapsed="false">
      <c r="B3085" s="64"/>
      <c r="C3085" s="65" t="s">
        <v>19</v>
      </c>
      <c r="D3085" s="66" t="n">
        <v>4695</v>
      </c>
      <c r="E3085" s="71" t="n">
        <v>2490</v>
      </c>
      <c r="F3085" s="67"/>
      <c r="G3085" s="68"/>
      <c r="H3085" s="69" t="n">
        <v>7185</v>
      </c>
    </row>
    <row r="3086" customFormat="false" ht="15" hidden="false" customHeight="true" outlineLevel="0" collapsed="false">
      <c r="B3086" s="64"/>
      <c r="C3086" s="65" t="s">
        <v>25</v>
      </c>
      <c r="D3086" s="73"/>
      <c r="E3086" s="71" t="n">
        <v>30</v>
      </c>
      <c r="F3086" s="67"/>
      <c r="G3086" s="68"/>
      <c r="H3086" s="69" t="n">
        <v>30</v>
      </c>
    </row>
    <row r="3087" customFormat="false" ht="15" hidden="false" customHeight="true" outlineLevel="0" collapsed="false">
      <c r="B3087" s="64"/>
      <c r="C3087" s="65" t="s">
        <v>22</v>
      </c>
      <c r="D3087" s="73"/>
      <c r="E3087" s="71" t="n">
        <v>646</v>
      </c>
      <c r="F3087" s="67"/>
      <c r="G3087" s="68"/>
      <c r="H3087" s="69" t="n">
        <v>646</v>
      </c>
    </row>
    <row r="3088" customFormat="false" ht="15" hidden="false" customHeight="true" outlineLevel="0" collapsed="false">
      <c r="B3088" s="64"/>
      <c r="C3088" s="65" t="s">
        <v>37</v>
      </c>
      <c r="D3088" s="73"/>
      <c r="E3088" s="67"/>
      <c r="F3088" s="71" t="n">
        <v>30</v>
      </c>
      <c r="G3088" s="68"/>
      <c r="H3088" s="69" t="n">
        <v>30</v>
      </c>
    </row>
    <row r="3089" customFormat="false" ht="15" hidden="false" customHeight="true" outlineLevel="0" collapsed="false">
      <c r="B3089" s="64"/>
      <c r="C3089" s="65" t="s">
        <v>43</v>
      </c>
      <c r="D3089" s="73"/>
      <c r="E3089" s="67"/>
      <c r="F3089" s="71" t="n">
        <v>400</v>
      </c>
      <c r="G3089" s="68"/>
      <c r="H3089" s="69" t="n">
        <v>400</v>
      </c>
    </row>
    <row r="3090" customFormat="false" ht="15" hidden="false" customHeight="true" outlineLevel="0" collapsed="false">
      <c r="B3090" s="64"/>
      <c r="C3090" s="65" t="s">
        <v>60</v>
      </c>
      <c r="D3090" s="73"/>
      <c r="E3090" s="67"/>
      <c r="F3090" s="71" t="n">
        <v>210</v>
      </c>
      <c r="G3090" s="68"/>
      <c r="H3090" s="69" t="n">
        <v>210</v>
      </c>
    </row>
    <row r="3091" customFormat="false" ht="15" hidden="false" customHeight="true" outlineLevel="0" collapsed="false">
      <c r="B3091" s="64"/>
      <c r="C3091" s="65" t="s">
        <v>40</v>
      </c>
      <c r="D3091" s="73"/>
      <c r="E3091" s="71" t="n">
        <v>1600</v>
      </c>
      <c r="F3091" s="67"/>
      <c r="G3091" s="68"/>
      <c r="H3091" s="69" t="n">
        <v>1600</v>
      </c>
    </row>
    <row r="3092" customFormat="false" ht="15" hidden="false" customHeight="true" outlineLevel="0" collapsed="false">
      <c r="B3092" s="64"/>
      <c r="C3092" s="65" t="s">
        <v>34</v>
      </c>
      <c r="D3092" s="73"/>
      <c r="E3092" s="71" t="n">
        <v>30</v>
      </c>
      <c r="F3092" s="67"/>
      <c r="G3092" s="68"/>
      <c r="H3092" s="69" t="n">
        <v>30</v>
      </c>
    </row>
    <row r="3093" customFormat="false" ht="15" hidden="false" customHeight="true" outlineLevel="0" collapsed="false">
      <c r="B3093" s="84"/>
      <c r="C3093" s="85" t="s">
        <v>29</v>
      </c>
      <c r="D3093" s="86" t="n">
        <v>778</v>
      </c>
      <c r="E3093" s="75"/>
      <c r="F3093" s="76" t="n">
        <v>25</v>
      </c>
      <c r="G3093" s="77"/>
      <c r="H3093" s="78" t="n">
        <v>803</v>
      </c>
    </row>
    <row r="3094" customFormat="false" ht="15" hidden="false" customHeight="true" outlineLevel="0" collapsed="false">
      <c r="B3094" s="87" t="s">
        <v>1039</v>
      </c>
      <c r="C3094" s="88"/>
      <c r="D3094" s="89" t="n">
        <v>5473</v>
      </c>
      <c r="E3094" s="89" t="n">
        <v>4796</v>
      </c>
      <c r="F3094" s="89" t="n">
        <v>1205</v>
      </c>
      <c r="G3094" s="90"/>
      <c r="H3094" s="91" t="n">
        <v>11474</v>
      </c>
    </row>
    <row r="3095" customFormat="false" ht="15" hidden="false" customHeight="true" outlineLevel="0" collapsed="false">
      <c r="B3095" s="56" t="n">
        <v>45978</v>
      </c>
      <c r="C3095" s="57" t="s">
        <v>44</v>
      </c>
      <c r="D3095" s="58"/>
      <c r="E3095" s="60" t="n">
        <v>1000</v>
      </c>
      <c r="F3095" s="59"/>
      <c r="G3095" s="61"/>
      <c r="H3095" s="62" t="n">
        <v>1000</v>
      </c>
    </row>
    <row r="3096" customFormat="false" ht="15" hidden="false" customHeight="true" outlineLevel="0" collapsed="false">
      <c r="B3096" s="64"/>
      <c r="C3096" s="65" t="s">
        <v>47</v>
      </c>
      <c r="D3096" s="66" t="n">
        <v>1800</v>
      </c>
      <c r="E3096" s="67"/>
      <c r="F3096" s="67"/>
      <c r="G3096" s="68"/>
      <c r="H3096" s="69" t="n">
        <v>1800</v>
      </c>
    </row>
    <row r="3097" customFormat="false" ht="15" hidden="false" customHeight="true" outlineLevel="0" collapsed="false">
      <c r="B3097" s="64"/>
      <c r="C3097" s="65" t="s">
        <v>19</v>
      </c>
      <c r="D3097" s="66" t="n">
        <v>4422</v>
      </c>
      <c r="E3097" s="67"/>
      <c r="F3097" s="67"/>
      <c r="G3097" s="68"/>
      <c r="H3097" s="69" t="n">
        <v>4422</v>
      </c>
    </row>
    <row r="3098" customFormat="false" ht="15" hidden="false" customHeight="true" outlineLevel="0" collapsed="false">
      <c r="B3098" s="64"/>
      <c r="C3098" s="65" t="s">
        <v>25</v>
      </c>
      <c r="D3098" s="66" t="n">
        <v>993</v>
      </c>
      <c r="E3098" s="71" t="n">
        <v>30</v>
      </c>
      <c r="F3098" s="67"/>
      <c r="G3098" s="68"/>
      <c r="H3098" s="69" t="n">
        <v>1023</v>
      </c>
    </row>
    <row r="3099" customFormat="false" ht="15" hidden="false" customHeight="true" outlineLevel="0" collapsed="false">
      <c r="B3099" s="64"/>
      <c r="C3099" s="65" t="s">
        <v>22</v>
      </c>
      <c r="D3099" s="66" t="n">
        <v>9411</v>
      </c>
      <c r="E3099" s="71" t="n">
        <v>440</v>
      </c>
      <c r="F3099" s="67"/>
      <c r="G3099" s="68"/>
      <c r="H3099" s="69" t="n">
        <v>9851</v>
      </c>
    </row>
    <row r="3100" customFormat="false" ht="15" hidden="false" customHeight="true" outlineLevel="0" collapsed="false">
      <c r="B3100" s="64"/>
      <c r="C3100" s="65" t="s">
        <v>37</v>
      </c>
      <c r="D3100" s="73"/>
      <c r="E3100" s="67"/>
      <c r="F3100" s="71" t="n">
        <v>40</v>
      </c>
      <c r="G3100" s="68"/>
      <c r="H3100" s="69" t="n">
        <v>40</v>
      </c>
    </row>
    <row r="3101" customFormat="false" ht="15" hidden="false" customHeight="true" outlineLevel="0" collapsed="false">
      <c r="B3101" s="64"/>
      <c r="C3101" s="65" t="s">
        <v>43</v>
      </c>
      <c r="D3101" s="73"/>
      <c r="E3101" s="71" t="n">
        <v>1287</v>
      </c>
      <c r="F3101" s="71" t="n">
        <v>150</v>
      </c>
      <c r="G3101" s="68"/>
      <c r="H3101" s="69" t="n">
        <v>1437</v>
      </c>
    </row>
    <row r="3102" customFormat="false" ht="15" hidden="false" customHeight="true" outlineLevel="0" collapsed="false">
      <c r="B3102" s="64"/>
      <c r="C3102" s="65" t="s">
        <v>31</v>
      </c>
      <c r="D3102" s="73"/>
      <c r="E3102" s="71" t="n">
        <v>310</v>
      </c>
      <c r="F3102" s="67"/>
      <c r="G3102" s="68"/>
      <c r="H3102" s="69" t="n">
        <v>310</v>
      </c>
    </row>
    <row r="3103" customFormat="false" ht="15" hidden="false" customHeight="true" outlineLevel="0" collapsed="false">
      <c r="B3103" s="64"/>
      <c r="C3103" s="65" t="s">
        <v>35</v>
      </c>
      <c r="D3103" s="73"/>
      <c r="E3103" s="71" t="n">
        <v>55</v>
      </c>
      <c r="F3103" s="67"/>
      <c r="G3103" s="68"/>
      <c r="H3103" s="69" t="n">
        <v>55</v>
      </c>
    </row>
    <row r="3104" customFormat="false" ht="15" hidden="false" customHeight="true" outlineLevel="0" collapsed="false">
      <c r="B3104" s="64"/>
      <c r="C3104" s="65" t="s">
        <v>34</v>
      </c>
      <c r="D3104" s="73"/>
      <c r="E3104" s="71" t="n">
        <v>40</v>
      </c>
      <c r="F3104" s="67"/>
      <c r="G3104" s="68"/>
      <c r="H3104" s="69" t="n">
        <v>40</v>
      </c>
    </row>
    <row r="3105" customFormat="false" ht="15" hidden="false" customHeight="true" outlineLevel="0" collapsed="false">
      <c r="B3105" s="84"/>
      <c r="C3105" s="85" t="s">
        <v>29</v>
      </c>
      <c r="D3105" s="86" t="n">
        <v>2230</v>
      </c>
      <c r="E3105" s="76" t="n">
        <v>80</v>
      </c>
      <c r="F3105" s="75"/>
      <c r="G3105" s="77"/>
      <c r="H3105" s="78" t="n">
        <v>2310</v>
      </c>
    </row>
    <row r="3106" customFormat="false" ht="15" hidden="false" customHeight="true" outlineLevel="0" collapsed="false">
      <c r="B3106" s="87" t="s">
        <v>1040</v>
      </c>
      <c r="C3106" s="88"/>
      <c r="D3106" s="89" t="n">
        <v>18856</v>
      </c>
      <c r="E3106" s="89" t="n">
        <v>3242</v>
      </c>
      <c r="F3106" s="89" t="n">
        <v>190</v>
      </c>
      <c r="G3106" s="90"/>
      <c r="H3106" s="91" t="n">
        <v>22288</v>
      </c>
    </row>
    <row r="3107" customFormat="false" ht="15" hidden="false" customHeight="true" outlineLevel="0" collapsed="false">
      <c r="B3107" s="56" t="n">
        <v>45979</v>
      </c>
      <c r="C3107" s="57" t="s">
        <v>44</v>
      </c>
      <c r="D3107" s="58"/>
      <c r="E3107" s="59"/>
      <c r="F3107" s="60" t="n">
        <v>100</v>
      </c>
      <c r="G3107" s="61"/>
      <c r="H3107" s="62" t="n">
        <v>100</v>
      </c>
    </row>
    <row r="3108" customFormat="false" ht="15" hidden="false" customHeight="true" outlineLevel="0" collapsed="false">
      <c r="B3108" s="64"/>
      <c r="C3108" s="65" t="s">
        <v>53</v>
      </c>
      <c r="D3108" s="73"/>
      <c r="E3108" s="67"/>
      <c r="F3108" s="71" t="n">
        <v>1200</v>
      </c>
      <c r="G3108" s="68"/>
      <c r="H3108" s="69" t="n">
        <v>1200</v>
      </c>
    </row>
    <row r="3109" customFormat="false" ht="15" hidden="false" customHeight="true" outlineLevel="0" collapsed="false">
      <c r="B3109" s="64"/>
      <c r="C3109" s="65" t="s">
        <v>19</v>
      </c>
      <c r="D3109" s="66" t="n">
        <v>2482</v>
      </c>
      <c r="E3109" s="67"/>
      <c r="F3109" s="67"/>
      <c r="G3109" s="68"/>
      <c r="H3109" s="69" t="n">
        <v>2482</v>
      </c>
    </row>
    <row r="3110" customFormat="false" ht="15" hidden="false" customHeight="true" outlineLevel="0" collapsed="false">
      <c r="B3110" s="64"/>
      <c r="C3110" s="65" t="s">
        <v>25</v>
      </c>
      <c r="D3110" s="66" t="n">
        <v>573</v>
      </c>
      <c r="E3110" s="71" t="n">
        <v>60</v>
      </c>
      <c r="F3110" s="67"/>
      <c r="G3110" s="68"/>
      <c r="H3110" s="69" t="n">
        <v>633</v>
      </c>
    </row>
    <row r="3111" customFormat="false" ht="15" hidden="false" customHeight="true" outlineLevel="0" collapsed="false">
      <c r="B3111" s="64"/>
      <c r="C3111" s="65" t="s">
        <v>22</v>
      </c>
      <c r="D3111" s="73"/>
      <c r="E3111" s="71" t="n">
        <v>750</v>
      </c>
      <c r="F3111" s="67"/>
      <c r="G3111" s="68"/>
      <c r="H3111" s="69" t="n">
        <v>750</v>
      </c>
    </row>
    <row r="3112" customFormat="false" ht="15" hidden="false" customHeight="true" outlineLevel="0" collapsed="false">
      <c r="B3112" s="64"/>
      <c r="C3112" s="65" t="s">
        <v>37</v>
      </c>
      <c r="D3112" s="73"/>
      <c r="E3112" s="67"/>
      <c r="F3112" s="71" t="n">
        <v>20</v>
      </c>
      <c r="G3112" s="68"/>
      <c r="H3112" s="69" t="n">
        <v>20</v>
      </c>
    </row>
    <row r="3113" customFormat="false" ht="15" hidden="false" customHeight="true" outlineLevel="0" collapsed="false">
      <c r="B3113" s="64"/>
      <c r="C3113" s="65" t="s">
        <v>40</v>
      </c>
      <c r="D3113" s="66" t="n">
        <v>1850</v>
      </c>
      <c r="E3113" s="67"/>
      <c r="F3113" s="67"/>
      <c r="G3113" s="68"/>
      <c r="H3113" s="69" t="n">
        <v>1850</v>
      </c>
    </row>
    <row r="3114" customFormat="false" ht="15" hidden="false" customHeight="true" outlineLevel="0" collapsed="false">
      <c r="B3114" s="84"/>
      <c r="C3114" s="85" t="s">
        <v>29</v>
      </c>
      <c r="D3114" s="86" t="n">
        <v>400</v>
      </c>
      <c r="E3114" s="75"/>
      <c r="F3114" s="76" t="n">
        <v>20</v>
      </c>
      <c r="G3114" s="77"/>
      <c r="H3114" s="78" t="n">
        <v>420</v>
      </c>
    </row>
    <row r="3115" customFormat="false" ht="15" hidden="false" customHeight="true" outlineLevel="0" collapsed="false">
      <c r="B3115" s="87" t="s">
        <v>1041</v>
      </c>
      <c r="C3115" s="88"/>
      <c r="D3115" s="89" t="n">
        <v>5305</v>
      </c>
      <c r="E3115" s="89" t="n">
        <v>810</v>
      </c>
      <c r="F3115" s="89" t="n">
        <v>1340</v>
      </c>
      <c r="G3115" s="90"/>
      <c r="H3115" s="91" t="n">
        <v>7455</v>
      </c>
    </row>
    <row r="3116" customFormat="false" ht="15" hidden="false" customHeight="true" outlineLevel="0" collapsed="false">
      <c r="B3116" s="56" t="n">
        <v>45980</v>
      </c>
      <c r="C3116" s="57" t="s">
        <v>19</v>
      </c>
      <c r="D3116" s="92" t="n">
        <v>5008</v>
      </c>
      <c r="E3116" s="59"/>
      <c r="F3116" s="59"/>
      <c r="G3116" s="61"/>
      <c r="H3116" s="62" t="n">
        <v>5008</v>
      </c>
    </row>
    <row r="3117" customFormat="false" ht="15" hidden="false" customHeight="true" outlineLevel="0" collapsed="false">
      <c r="B3117" s="64"/>
      <c r="C3117" s="65" t="s">
        <v>25</v>
      </c>
      <c r="D3117" s="66" t="n">
        <v>1015</v>
      </c>
      <c r="E3117" s="71" t="n">
        <v>90</v>
      </c>
      <c r="F3117" s="67"/>
      <c r="G3117" s="68"/>
      <c r="H3117" s="69" t="n">
        <v>1105</v>
      </c>
    </row>
    <row r="3118" customFormat="false" ht="15" hidden="false" customHeight="true" outlineLevel="0" collapsed="false">
      <c r="B3118" s="64"/>
      <c r="C3118" s="65" t="s">
        <v>28</v>
      </c>
      <c r="D3118" s="73"/>
      <c r="E3118" s="71" t="n">
        <v>426</v>
      </c>
      <c r="F3118" s="67"/>
      <c r="G3118" s="68"/>
      <c r="H3118" s="69" t="n">
        <v>426</v>
      </c>
    </row>
    <row r="3119" customFormat="false" ht="15" hidden="false" customHeight="true" outlineLevel="0" collapsed="false">
      <c r="B3119" s="64"/>
      <c r="C3119" s="65" t="s">
        <v>22</v>
      </c>
      <c r="D3119" s="66" t="n">
        <v>15850</v>
      </c>
      <c r="E3119" s="71" t="n">
        <v>500</v>
      </c>
      <c r="F3119" s="67"/>
      <c r="G3119" s="68"/>
      <c r="H3119" s="69" t="n">
        <v>16350</v>
      </c>
    </row>
    <row r="3120" customFormat="false" ht="15" hidden="false" customHeight="true" outlineLevel="0" collapsed="false">
      <c r="B3120" s="64"/>
      <c r="C3120" s="65" t="s">
        <v>37</v>
      </c>
      <c r="D3120" s="73"/>
      <c r="E3120" s="67"/>
      <c r="F3120" s="71" t="n">
        <v>30</v>
      </c>
      <c r="G3120" s="68"/>
      <c r="H3120" s="69" t="n">
        <v>30</v>
      </c>
    </row>
    <row r="3121" customFormat="false" ht="15" hidden="false" customHeight="true" outlineLevel="0" collapsed="false">
      <c r="B3121" s="64"/>
      <c r="C3121" s="65" t="s">
        <v>43</v>
      </c>
      <c r="D3121" s="66" t="n">
        <v>1600</v>
      </c>
      <c r="E3121" s="71" t="n">
        <v>50</v>
      </c>
      <c r="F3121" s="67"/>
      <c r="G3121" s="68"/>
      <c r="H3121" s="69" t="n">
        <v>1650</v>
      </c>
    </row>
    <row r="3122" customFormat="false" ht="15" hidden="false" customHeight="true" outlineLevel="0" collapsed="false">
      <c r="B3122" s="84"/>
      <c r="C3122" s="85" t="s">
        <v>29</v>
      </c>
      <c r="D3122" s="86" t="n">
        <v>495</v>
      </c>
      <c r="E3122" s="76" t="n">
        <v>370</v>
      </c>
      <c r="F3122" s="75"/>
      <c r="G3122" s="77"/>
      <c r="H3122" s="78" t="n">
        <v>865</v>
      </c>
    </row>
    <row r="3123" customFormat="false" ht="15" hidden="false" customHeight="true" outlineLevel="0" collapsed="false">
      <c r="B3123" s="87" t="s">
        <v>1042</v>
      </c>
      <c r="C3123" s="88"/>
      <c r="D3123" s="89" t="n">
        <v>23968</v>
      </c>
      <c r="E3123" s="89" t="n">
        <v>1436</v>
      </c>
      <c r="F3123" s="89" t="n">
        <v>30</v>
      </c>
      <c r="G3123" s="90"/>
      <c r="H3123" s="91" t="n">
        <v>25434</v>
      </c>
    </row>
    <row r="3124" customFormat="false" ht="15" hidden="false" customHeight="true" outlineLevel="0" collapsed="false">
      <c r="B3124" s="56" t="n">
        <v>45981</v>
      </c>
      <c r="C3124" s="57" t="s">
        <v>32</v>
      </c>
      <c r="D3124" s="58"/>
      <c r="E3124" s="59"/>
      <c r="F3124" s="60" t="n">
        <v>625</v>
      </c>
      <c r="G3124" s="61"/>
      <c r="H3124" s="62" t="n">
        <v>625</v>
      </c>
    </row>
    <row r="3125" customFormat="false" ht="15" hidden="false" customHeight="true" outlineLevel="0" collapsed="false">
      <c r="B3125" s="64"/>
      <c r="C3125" s="65" t="s">
        <v>19</v>
      </c>
      <c r="D3125" s="66" t="n">
        <v>5089</v>
      </c>
      <c r="E3125" s="67"/>
      <c r="F3125" s="67"/>
      <c r="G3125" s="68"/>
      <c r="H3125" s="69" t="n">
        <v>5089</v>
      </c>
    </row>
    <row r="3126" customFormat="false" ht="15" hidden="false" customHeight="true" outlineLevel="0" collapsed="false">
      <c r="B3126" s="64"/>
      <c r="C3126" s="65" t="s">
        <v>25</v>
      </c>
      <c r="D3126" s="73"/>
      <c r="E3126" s="71" t="n">
        <v>300</v>
      </c>
      <c r="F3126" s="71" t="n">
        <v>40</v>
      </c>
      <c r="G3126" s="68"/>
      <c r="H3126" s="69" t="n">
        <v>340</v>
      </c>
    </row>
    <row r="3127" customFormat="false" ht="15" hidden="false" customHeight="true" outlineLevel="0" collapsed="false">
      <c r="B3127" s="64"/>
      <c r="C3127" s="65" t="s">
        <v>69</v>
      </c>
      <c r="D3127" s="73"/>
      <c r="E3127" s="67"/>
      <c r="F3127" s="71" t="n">
        <v>700</v>
      </c>
      <c r="G3127" s="68"/>
      <c r="H3127" s="69" t="n">
        <v>700</v>
      </c>
    </row>
    <row r="3128" customFormat="false" ht="15" hidden="false" customHeight="true" outlineLevel="0" collapsed="false">
      <c r="B3128" s="64"/>
      <c r="C3128" s="65" t="s">
        <v>37</v>
      </c>
      <c r="D3128" s="73"/>
      <c r="E3128" s="67"/>
      <c r="F3128" s="71" t="n">
        <v>20</v>
      </c>
      <c r="G3128" s="68"/>
      <c r="H3128" s="69" t="n">
        <v>20</v>
      </c>
    </row>
    <row r="3129" customFormat="false" ht="15" hidden="false" customHeight="true" outlineLevel="0" collapsed="false">
      <c r="B3129" s="64"/>
      <c r="C3129" s="65" t="s">
        <v>107</v>
      </c>
      <c r="D3129" s="73"/>
      <c r="E3129" s="67"/>
      <c r="F3129" s="71" t="n">
        <v>255</v>
      </c>
      <c r="G3129" s="68"/>
      <c r="H3129" s="69" t="n">
        <v>255</v>
      </c>
    </row>
    <row r="3130" customFormat="false" ht="15" hidden="false" customHeight="true" outlineLevel="0" collapsed="false">
      <c r="B3130" s="64"/>
      <c r="C3130" s="65" t="s">
        <v>34</v>
      </c>
      <c r="D3130" s="73"/>
      <c r="E3130" s="71" t="n">
        <v>70</v>
      </c>
      <c r="F3130" s="71" t="n">
        <v>50</v>
      </c>
      <c r="G3130" s="68"/>
      <c r="H3130" s="69" t="n">
        <v>120</v>
      </c>
    </row>
    <row r="3131" customFormat="false" ht="15" hidden="false" customHeight="true" outlineLevel="0" collapsed="false">
      <c r="B3131" s="84"/>
      <c r="C3131" s="85" t="s">
        <v>29</v>
      </c>
      <c r="D3131" s="86" t="n">
        <v>659</v>
      </c>
      <c r="E3131" s="75"/>
      <c r="F3131" s="75"/>
      <c r="G3131" s="77"/>
      <c r="H3131" s="78" t="n">
        <v>659</v>
      </c>
    </row>
    <row r="3132" customFormat="false" ht="15" hidden="false" customHeight="true" outlineLevel="0" collapsed="false">
      <c r="B3132" s="87" t="s">
        <v>1043</v>
      </c>
      <c r="C3132" s="88"/>
      <c r="D3132" s="89" t="n">
        <v>5748</v>
      </c>
      <c r="E3132" s="89" t="n">
        <v>370</v>
      </c>
      <c r="F3132" s="89" t="n">
        <v>1690</v>
      </c>
      <c r="G3132" s="90"/>
      <c r="H3132" s="91" t="n">
        <v>7808</v>
      </c>
    </row>
    <row r="3133" customFormat="false" ht="15" hidden="false" customHeight="true" outlineLevel="0" collapsed="false">
      <c r="B3133" s="56" t="n">
        <v>45982</v>
      </c>
      <c r="C3133" s="57" t="s">
        <v>32</v>
      </c>
      <c r="D3133" s="58"/>
      <c r="E3133" s="59"/>
      <c r="F3133" s="60" t="n">
        <v>250</v>
      </c>
      <c r="G3133" s="61"/>
      <c r="H3133" s="62" t="n">
        <v>250</v>
      </c>
    </row>
    <row r="3134" customFormat="false" ht="15" hidden="false" customHeight="true" outlineLevel="0" collapsed="false">
      <c r="B3134" s="64"/>
      <c r="C3134" s="65" t="s">
        <v>19</v>
      </c>
      <c r="D3134" s="66" t="n">
        <v>7300</v>
      </c>
      <c r="E3134" s="67"/>
      <c r="F3134" s="67"/>
      <c r="G3134" s="68"/>
      <c r="H3134" s="69" t="n">
        <v>7300</v>
      </c>
    </row>
    <row r="3135" customFormat="false" ht="15" hidden="false" customHeight="true" outlineLevel="0" collapsed="false">
      <c r="B3135" s="64"/>
      <c r="C3135" s="65" t="s">
        <v>25</v>
      </c>
      <c r="D3135" s="66" t="n">
        <v>923</v>
      </c>
      <c r="E3135" s="71" t="n">
        <v>580</v>
      </c>
      <c r="F3135" s="67"/>
      <c r="G3135" s="68"/>
      <c r="H3135" s="69" t="n">
        <v>1503</v>
      </c>
    </row>
    <row r="3136" customFormat="false" ht="15" hidden="false" customHeight="true" outlineLevel="0" collapsed="false">
      <c r="B3136" s="64"/>
      <c r="C3136" s="65" t="s">
        <v>37</v>
      </c>
      <c r="D3136" s="73"/>
      <c r="E3136" s="67"/>
      <c r="F3136" s="71" t="n">
        <v>30</v>
      </c>
      <c r="G3136" s="68"/>
      <c r="H3136" s="69" t="n">
        <v>30</v>
      </c>
    </row>
    <row r="3137" customFormat="false" ht="15" hidden="false" customHeight="true" outlineLevel="0" collapsed="false">
      <c r="B3137" s="64"/>
      <c r="C3137" s="65" t="s">
        <v>43</v>
      </c>
      <c r="D3137" s="73"/>
      <c r="E3137" s="71" t="n">
        <v>450</v>
      </c>
      <c r="F3137" s="67"/>
      <c r="G3137" s="68"/>
      <c r="H3137" s="69" t="n">
        <v>450</v>
      </c>
    </row>
    <row r="3138" customFormat="false" ht="15" hidden="false" customHeight="true" outlineLevel="0" collapsed="false">
      <c r="B3138" s="64"/>
      <c r="C3138" s="65" t="s">
        <v>107</v>
      </c>
      <c r="D3138" s="73"/>
      <c r="E3138" s="71" t="n">
        <v>100</v>
      </c>
      <c r="F3138" s="67"/>
      <c r="G3138" s="68"/>
      <c r="H3138" s="69" t="n">
        <v>100</v>
      </c>
    </row>
    <row r="3139" customFormat="false" ht="15" hidden="false" customHeight="true" outlineLevel="0" collapsed="false">
      <c r="B3139" s="64"/>
      <c r="C3139" s="65" t="s">
        <v>40</v>
      </c>
      <c r="D3139" s="73"/>
      <c r="E3139" s="71" t="n">
        <v>250</v>
      </c>
      <c r="F3139" s="67"/>
      <c r="G3139" s="68"/>
      <c r="H3139" s="69" t="n">
        <v>250</v>
      </c>
    </row>
    <row r="3140" customFormat="false" ht="15" hidden="false" customHeight="true" outlineLevel="0" collapsed="false">
      <c r="B3140" s="64"/>
      <c r="C3140" s="65" t="s">
        <v>31</v>
      </c>
      <c r="D3140" s="73"/>
      <c r="E3140" s="71" t="n">
        <v>310</v>
      </c>
      <c r="F3140" s="67"/>
      <c r="G3140" s="68"/>
      <c r="H3140" s="69" t="n">
        <v>310</v>
      </c>
    </row>
    <row r="3141" customFormat="false" ht="15" hidden="false" customHeight="true" outlineLevel="0" collapsed="false">
      <c r="B3141" s="64"/>
      <c r="C3141" s="65" t="s">
        <v>34</v>
      </c>
      <c r="D3141" s="73"/>
      <c r="E3141" s="71" t="n">
        <v>30</v>
      </c>
      <c r="F3141" s="67"/>
      <c r="G3141" s="68"/>
      <c r="H3141" s="69" t="n">
        <v>30</v>
      </c>
    </row>
    <row r="3142" customFormat="false" ht="15" hidden="false" customHeight="true" outlineLevel="0" collapsed="false">
      <c r="B3142" s="84"/>
      <c r="C3142" s="85" t="s">
        <v>29</v>
      </c>
      <c r="D3142" s="86" t="n">
        <v>709</v>
      </c>
      <c r="E3142" s="75"/>
      <c r="F3142" s="75"/>
      <c r="G3142" s="77"/>
      <c r="H3142" s="78" t="n">
        <v>709</v>
      </c>
    </row>
    <row r="3143" customFormat="false" ht="15" hidden="false" customHeight="true" outlineLevel="0" collapsed="false">
      <c r="B3143" s="87" t="s">
        <v>1044</v>
      </c>
      <c r="C3143" s="88"/>
      <c r="D3143" s="89" t="n">
        <v>8932</v>
      </c>
      <c r="E3143" s="89" t="n">
        <v>1720</v>
      </c>
      <c r="F3143" s="89" t="n">
        <v>280</v>
      </c>
      <c r="G3143" s="90"/>
      <c r="H3143" s="91" t="n">
        <v>10932</v>
      </c>
    </row>
    <row r="3144" customFormat="false" ht="15" hidden="false" customHeight="true" outlineLevel="0" collapsed="false">
      <c r="B3144" s="56" t="n">
        <v>45983</v>
      </c>
      <c r="C3144" s="57" t="s">
        <v>53</v>
      </c>
      <c r="D3144" s="58"/>
      <c r="E3144" s="60" t="n">
        <v>2242</v>
      </c>
      <c r="F3144" s="60" t="n">
        <v>1200</v>
      </c>
      <c r="G3144" s="61"/>
      <c r="H3144" s="62" t="n">
        <v>3442</v>
      </c>
    </row>
    <row r="3145" customFormat="false" ht="15" hidden="false" customHeight="true" outlineLevel="0" collapsed="false">
      <c r="B3145" s="64"/>
      <c r="C3145" s="65" t="s">
        <v>47</v>
      </c>
      <c r="D3145" s="66" t="n">
        <v>180</v>
      </c>
      <c r="E3145" s="67"/>
      <c r="F3145" s="67"/>
      <c r="G3145" s="68"/>
      <c r="H3145" s="69" t="n">
        <v>180</v>
      </c>
    </row>
    <row r="3146" customFormat="false" ht="15" hidden="false" customHeight="true" outlineLevel="0" collapsed="false">
      <c r="B3146" s="64"/>
      <c r="C3146" s="65" t="s">
        <v>19</v>
      </c>
      <c r="D3146" s="66" t="n">
        <v>3022</v>
      </c>
      <c r="E3146" s="67"/>
      <c r="F3146" s="67"/>
      <c r="G3146" s="68"/>
      <c r="H3146" s="69" t="n">
        <v>3022</v>
      </c>
    </row>
    <row r="3147" customFormat="false" ht="15" hidden="false" customHeight="true" outlineLevel="0" collapsed="false">
      <c r="B3147" s="64"/>
      <c r="C3147" s="65" t="s">
        <v>25</v>
      </c>
      <c r="D3147" s="66" t="n">
        <v>768</v>
      </c>
      <c r="E3147" s="71" t="n">
        <v>380</v>
      </c>
      <c r="F3147" s="67"/>
      <c r="G3147" s="68"/>
      <c r="H3147" s="69" t="n">
        <v>1148</v>
      </c>
    </row>
    <row r="3148" customFormat="false" ht="15" hidden="false" customHeight="true" outlineLevel="0" collapsed="false">
      <c r="B3148" s="64"/>
      <c r="C3148" s="65" t="s">
        <v>22</v>
      </c>
      <c r="D3148" s="73"/>
      <c r="E3148" s="71" t="n">
        <v>460</v>
      </c>
      <c r="F3148" s="67"/>
      <c r="G3148" s="68"/>
      <c r="H3148" s="69" t="n">
        <v>460</v>
      </c>
    </row>
    <row r="3149" customFormat="false" ht="15" hidden="false" customHeight="true" outlineLevel="0" collapsed="false">
      <c r="B3149" s="64"/>
      <c r="C3149" s="65" t="s">
        <v>37</v>
      </c>
      <c r="D3149" s="73"/>
      <c r="E3149" s="67"/>
      <c r="F3149" s="71" t="n">
        <v>28</v>
      </c>
      <c r="G3149" s="68"/>
      <c r="H3149" s="69" t="n">
        <v>28</v>
      </c>
    </row>
    <row r="3150" customFormat="false" ht="15" hidden="false" customHeight="true" outlineLevel="0" collapsed="false">
      <c r="B3150" s="64"/>
      <c r="C3150" s="65" t="s">
        <v>40</v>
      </c>
      <c r="D3150" s="73"/>
      <c r="E3150" s="71" t="n">
        <v>1850</v>
      </c>
      <c r="F3150" s="67"/>
      <c r="G3150" s="68"/>
      <c r="H3150" s="69" t="n">
        <v>1850</v>
      </c>
    </row>
    <row r="3151" customFormat="false" ht="15" hidden="false" customHeight="true" outlineLevel="0" collapsed="false">
      <c r="B3151" s="64"/>
      <c r="C3151" s="65" t="s">
        <v>34</v>
      </c>
      <c r="D3151" s="73"/>
      <c r="E3151" s="71" t="n">
        <v>30</v>
      </c>
      <c r="F3151" s="67"/>
      <c r="G3151" s="68"/>
      <c r="H3151" s="69" t="n">
        <v>30</v>
      </c>
    </row>
    <row r="3152" customFormat="false" ht="15" hidden="false" customHeight="true" outlineLevel="0" collapsed="false">
      <c r="B3152" s="84"/>
      <c r="C3152" s="85" t="s">
        <v>29</v>
      </c>
      <c r="D3152" s="86" t="n">
        <v>508</v>
      </c>
      <c r="E3152" s="75"/>
      <c r="F3152" s="75"/>
      <c r="G3152" s="77"/>
      <c r="H3152" s="78" t="n">
        <v>508</v>
      </c>
    </row>
    <row r="3153" customFormat="false" ht="15" hidden="false" customHeight="true" outlineLevel="0" collapsed="false">
      <c r="B3153" s="87" t="s">
        <v>1045</v>
      </c>
      <c r="C3153" s="88"/>
      <c r="D3153" s="89" t="n">
        <v>4478</v>
      </c>
      <c r="E3153" s="89" t="n">
        <v>4962</v>
      </c>
      <c r="F3153" s="89" t="n">
        <v>1228</v>
      </c>
      <c r="G3153" s="90"/>
      <c r="H3153" s="91" t="n">
        <v>10668</v>
      </c>
    </row>
    <row r="3154" customFormat="false" ht="15" hidden="false" customHeight="true" outlineLevel="0" collapsed="false">
      <c r="B3154" s="56" t="n">
        <v>45984</v>
      </c>
      <c r="C3154" s="57" t="s">
        <v>44</v>
      </c>
      <c r="D3154" s="58"/>
      <c r="E3154" s="59"/>
      <c r="F3154" s="60" t="n">
        <v>2000</v>
      </c>
      <c r="G3154" s="61"/>
      <c r="H3154" s="62" t="n">
        <v>2000</v>
      </c>
    </row>
    <row r="3155" customFormat="false" ht="15" hidden="false" customHeight="true" outlineLevel="0" collapsed="false">
      <c r="B3155" s="64"/>
      <c r="C3155" s="65" t="s">
        <v>47</v>
      </c>
      <c r="D3155" s="73"/>
      <c r="E3155" s="71" t="n">
        <v>600</v>
      </c>
      <c r="F3155" s="67"/>
      <c r="G3155" s="68"/>
      <c r="H3155" s="69" t="n">
        <v>600</v>
      </c>
    </row>
    <row r="3156" customFormat="false" ht="15" hidden="false" customHeight="true" outlineLevel="0" collapsed="false">
      <c r="B3156" s="64"/>
      <c r="C3156" s="65" t="s">
        <v>19</v>
      </c>
      <c r="D3156" s="66" t="n">
        <v>5625</v>
      </c>
      <c r="E3156" s="67"/>
      <c r="F3156" s="67"/>
      <c r="G3156" s="68"/>
      <c r="H3156" s="69" t="n">
        <v>5625</v>
      </c>
    </row>
    <row r="3157" customFormat="false" ht="15" hidden="false" customHeight="true" outlineLevel="0" collapsed="false">
      <c r="B3157" s="64"/>
      <c r="C3157" s="65" t="s">
        <v>25</v>
      </c>
      <c r="D3157" s="66" t="n">
        <v>1678</v>
      </c>
      <c r="E3157" s="71" t="n">
        <v>280</v>
      </c>
      <c r="F3157" s="67"/>
      <c r="G3157" s="68"/>
      <c r="H3157" s="69" t="n">
        <v>1958</v>
      </c>
    </row>
    <row r="3158" customFormat="false" ht="15" hidden="false" customHeight="true" outlineLevel="0" collapsed="false">
      <c r="B3158" s="64"/>
      <c r="C3158" s="65" t="s">
        <v>51</v>
      </c>
      <c r="D3158" s="73"/>
      <c r="E3158" s="71" t="n">
        <v>330</v>
      </c>
      <c r="F3158" s="67"/>
      <c r="G3158" s="68"/>
      <c r="H3158" s="69" t="n">
        <v>330</v>
      </c>
    </row>
    <row r="3159" customFormat="false" ht="15" hidden="false" customHeight="true" outlineLevel="0" collapsed="false">
      <c r="B3159" s="64"/>
      <c r="C3159" s="65" t="s">
        <v>28</v>
      </c>
      <c r="D3159" s="73"/>
      <c r="E3159" s="71" t="n">
        <v>440</v>
      </c>
      <c r="F3159" s="67"/>
      <c r="G3159" s="68"/>
      <c r="H3159" s="69" t="n">
        <v>440</v>
      </c>
    </row>
    <row r="3160" customFormat="false" ht="15" hidden="false" customHeight="true" outlineLevel="0" collapsed="false">
      <c r="B3160" s="64"/>
      <c r="C3160" s="65" t="s">
        <v>37</v>
      </c>
      <c r="D3160" s="73"/>
      <c r="E3160" s="71" t="n">
        <v>30</v>
      </c>
      <c r="F3160" s="67"/>
      <c r="G3160" s="68"/>
      <c r="H3160" s="69" t="n">
        <v>30</v>
      </c>
    </row>
    <row r="3161" customFormat="false" ht="15" hidden="false" customHeight="true" outlineLevel="0" collapsed="false">
      <c r="B3161" s="64"/>
      <c r="C3161" s="65" t="s">
        <v>43</v>
      </c>
      <c r="D3161" s="73"/>
      <c r="E3161" s="71" t="n">
        <v>140</v>
      </c>
      <c r="F3161" s="67"/>
      <c r="G3161" s="68"/>
      <c r="H3161" s="69" t="n">
        <v>140</v>
      </c>
    </row>
    <row r="3162" customFormat="false" ht="15" hidden="false" customHeight="true" outlineLevel="0" collapsed="false">
      <c r="B3162" s="64"/>
      <c r="C3162" s="65" t="s">
        <v>60</v>
      </c>
      <c r="D3162" s="73"/>
      <c r="E3162" s="71" t="n">
        <v>210</v>
      </c>
      <c r="F3162" s="67"/>
      <c r="G3162" s="68"/>
      <c r="H3162" s="69" t="n">
        <v>210</v>
      </c>
    </row>
    <row r="3163" customFormat="false" ht="15" hidden="false" customHeight="true" outlineLevel="0" collapsed="false">
      <c r="B3163" s="64"/>
      <c r="C3163" s="65" t="s">
        <v>31</v>
      </c>
      <c r="D3163" s="73"/>
      <c r="E3163" s="71" t="n">
        <v>310</v>
      </c>
      <c r="F3163" s="67"/>
      <c r="G3163" s="68"/>
      <c r="H3163" s="69" t="n">
        <v>310</v>
      </c>
    </row>
    <row r="3164" customFormat="false" ht="15" hidden="false" customHeight="true" outlineLevel="0" collapsed="false">
      <c r="B3164" s="64"/>
      <c r="C3164" s="65" t="s">
        <v>35</v>
      </c>
      <c r="D3164" s="73"/>
      <c r="E3164" s="71" t="n">
        <v>250</v>
      </c>
      <c r="F3164" s="67"/>
      <c r="G3164" s="68"/>
      <c r="H3164" s="69" t="n">
        <v>250</v>
      </c>
    </row>
    <row r="3165" customFormat="false" ht="15" hidden="false" customHeight="true" outlineLevel="0" collapsed="false">
      <c r="B3165" s="64"/>
      <c r="C3165" s="65" t="s">
        <v>34</v>
      </c>
      <c r="D3165" s="73"/>
      <c r="E3165" s="71" t="n">
        <v>130</v>
      </c>
      <c r="F3165" s="67"/>
      <c r="G3165" s="68"/>
      <c r="H3165" s="69" t="n">
        <v>130</v>
      </c>
    </row>
    <row r="3166" customFormat="false" ht="15" hidden="false" customHeight="true" outlineLevel="0" collapsed="false">
      <c r="B3166" s="84"/>
      <c r="C3166" s="85" t="s">
        <v>29</v>
      </c>
      <c r="D3166" s="86" t="n">
        <v>727</v>
      </c>
      <c r="E3166" s="76" t="n">
        <v>7000</v>
      </c>
      <c r="F3166" s="75"/>
      <c r="G3166" s="77"/>
      <c r="H3166" s="78" t="n">
        <v>7727</v>
      </c>
    </row>
    <row r="3167" customFormat="false" ht="15" hidden="false" customHeight="true" outlineLevel="0" collapsed="false">
      <c r="B3167" s="87" t="s">
        <v>1046</v>
      </c>
      <c r="C3167" s="88"/>
      <c r="D3167" s="89" t="n">
        <v>8030</v>
      </c>
      <c r="E3167" s="89" t="n">
        <v>9720</v>
      </c>
      <c r="F3167" s="89" t="n">
        <v>2000</v>
      </c>
      <c r="G3167" s="90"/>
      <c r="H3167" s="91" t="n">
        <v>19750</v>
      </c>
    </row>
    <row r="3168" customFormat="false" ht="15" hidden="false" customHeight="true" outlineLevel="0" collapsed="false">
      <c r="B3168" s="56" t="n">
        <v>45985</v>
      </c>
      <c r="C3168" s="57" t="s">
        <v>44</v>
      </c>
      <c r="D3168" s="58"/>
      <c r="E3168" s="59"/>
      <c r="F3168" s="60" t="n">
        <v>120</v>
      </c>
      <c r="G3168" s="61"/>
      <c r="H3168" s="62" t="n">
        <v>120</v>
      </c>
    </row>
    <row r="3169" customFormat="false" ht="15" hidden="false" customHeight="true" outlineLevel="0" collapsed="false">
      <c r="B3169" s="64"/>
      <c r="C3169" s="65" t="s">
        <v>47</v>
      </c>
      <c r="D3169" s="66" t="n">
        <v>1800</v>
      </c>
      <c r="E3169" s="67"/>
      <c r="F3169" s="67"/>
      <c r="G3169" s="68"/>
      <c r="H3169" s="69" t="n">
        <v>1800</v>
      </c>
    </row>
    <row r="3170" customFormat="false" ht="15" hidden="false" customHeight="true" outlineLevel="0" collapsed="false">
      <c r="B3170" s="64"/>
      <c r="C3170" s="65" t="s">
        <v>19</v>
      </c>
      <c r="D3170" s="66" t="n">
        <v>5286</v>
      </c>
      <c r="E3170" s="67"/>
      <c r="F3170" s="67"/>
      <c r="G3170" s="68"/>
      <c r="H3170" s="69" t="n">
        <v>5286</v>
      </c>
    </row>
    <row r="3171" customFormat="false" ht="15" hidden="false" customHeight="true" outlineLevel="0" collapsed="false">
      <c r="B3171" s="64"/>
      <c r="C3171" s="65" t="s">
        <v>25</v>
      </c>
      <c r="D3171" s="66" t="n">
        <v>895</v>
      </c>
      <c r="E3171" s="71" t="n">
        <v>30</v>
      </c>
      <c r="F3171" s="67"/>
      <c r="G3171" s="68"/>
      <c r="H3171" s="69" t="n">
        <v>925</v>
      </c>
    </row>
    <row r="3172" customFormat="false" ht="15" hidden="false" customHeight="true" outlineLevel="0" collapsed="false">
      <c r="B3172" s="64"/>
      <c r="C3172" s="65" t="s">
        <v>28</v>
      </c>
      <c r="D3172" s="73"/>
      <c r="E3172" s="67"/>
      <c r="F3172" s="71" t="n">
        <v>408</v>
      </c>
      <c r="G3172" s="68"/>
      <c r="H3172" s="69" t="n">
        <v>408</v>
      </c>
    </row>
    <row r="3173" customFormat="false" ht="15" hidden="false" customHeight="true" outlineLevel="0" collapsed="false">
      <c r="B3173" s="64"/>
      <c r="C3173" s="65" t="s">
        <v>22</v>
      </c>
      <c r="D3173" s="73"/>
      <c r="E3173" s="71" t="n">
        <v>1067</v>
      </c>
      <c r="F3173" s="67"/>
      <c r="G3173" s="68"/>
      <c r="H3173" s="69" t="n">
        <v>1067</v>
      </c>
    </row>
    <row r="3174" customFormat="false" ht="15" hidden="false" customHeight="true" outlineLevel="0" collapsed="false">
      <c r="B3174" s="64"/>
      <c r="C3174" s="65" t="s">
        <v>107</v>
      </c>
      <c r="D3174" s="73"/>
      <c r="E3174" s="71" t="n">
        <v>1075</v>
      </c>
      <c r="F3174" s="67"/>
      <c r="G3174" s="68"/>
      <c r="H3174" s="69" t="n">
        <v>1075</v>
      </c>
    </row>
    <row r="3175" customFormat="false" ht="15" hidden="false" customHeight="true" outlineLevel="0" collapsed="false">
      <c r="B3175" s="64"/>
      <c r="C3175" s="65" t="s">
        <v>34</v>
      </c>
      <c r="D3175" s="73"/>
      <c r="E3175" s="71" t="n">
        <v>30</v>
      </c>
      <c r="F3175" s="67"/>
      <c r="G3175" s="68"/>
      <c r="H3175" s="69" t="n">
        <v>30</v>
      </c>
    </row>
    <row r="3176" customFormat="false" ht="15" hidden="false" customHeight="true" outlineLevel="0" collapsed="false">
      <c r="B3176" s="84"/>
      <c r="C3176" s="85" t="s">
        <v>29</v>
      </c>
      <c r="D3176" s="86" t="n">
        <v>715</v>
      </c>
      <c r="E3176" s="75"/>
      <c r="F3176" s="76" t="n">
        <v>20</v>
      </c>
      <c r="G3176" s="77"/>
      <c r="H3176" s="78" t="n">
        <v>735</v>
      </c>
    </row>
    <row r="3177" customFormat="false" ht="15" hidden="false" customHeight="true" outlineLevel="0" collapsed="false">
      <c r="B3177" s="87" t="s">
        <v>1047</v>
      </c>
      <c r="C3177" s="88"/>
      <c r="D3177" s="89" t="n">
        <v>8696</v>
      </c>
      <c r="E3177" s="89" t="n">
        <v>2202</v>
      </c>
      <c r="F3177" s="89" t="n">
        <v>548</v>
      </c>
      <c r="G3177" s="90"/>
      <c r="H3177" s="91" t="n">
        <v>11446</v>
      </c>
    </row>
    <row r="3178" customFormat="false" ht="15" hidden="false" customHeight="true" outlineLevel="0" collapsed="false">
      <c r="B3178" s="56" t="n">
        <v>45986</v>
      </c>
      <c r="C3178" s="57" t="s">
        <v>53</v>
      </c>
      <c r="D3178" s="58"/>
      <c r="E3178" s="60" t="n">
        <v>1200</v>
      </c>
      <c r="F3178" s="59"/>
      <c r="G3178" s="61"/>
      <c r="H3178" s="62" t="n">
        <v>1200</v>
      </c>
    </row>
    <row r="3179" customFormat="false" ht="15" hidden="false" customHeight="true" outlineLevel="0" collapsed="false">
      <c r="B3179" s="64"/>
      <c r="C3179" s="65" t="s">
        <v>19</v>
      </c>
      <c r="D3179" s="66" t="n">
        <v>2896</v>
      </c>
      <c r="E3179" s="67"/>
      <c r="F3179" s="67"/>
      <c r="G3179" s="68"/>
      <c r="H3179" s="69" t="n">
        <v>2896</v>
      </c>
    </row>
    <row r="3180" customFormat="false" ht="15" hidden="false" customHeight="true" outlineLevel="0" collapsed="false">
      <c r="B3180" s="64"/>
      <c r="C3180" s="65" t="s">
        <v>25</v>
      </c>
      <c r="D3180" s="66" t="n">
        <v>741</v>
      </c>
      <c r="E3180" s="71" t="n">
        <v>985</v>
      </c>
      <c r="F3180" s="67"/>
      <c r="G3180" s="68"/>
      <c r="H3180" s="69" t="n">
        <v>1726</v>
      </c>
    </row>
    <row r="3181" customFormat="false" ht="15" hidden="false" customHeight="true" outlineLevel="0" collapsed="false">
      <c r="B3181" s="64"/>
      <c r="C3181" s="65" t="s">
        <v>28</v>
      </c>
      <c r="D3181" s="73"/>
      <c r="E3181" s="71" t="n">
        <v>440</v>
      </c>
      <c r="F3181" s="67"/>
      <c r="G3181" s="68"/>
      <c r="H3181" s="69" t="n">
        <v>440</v>
      </c>
    </row>
    <row r="3182" customFormat="false" ht="15" hidden="false" customHeight="true" outlineLevel="0" collapsed="false">
      <c r="B3182" s="64"/>
      <c r="C3182" s="65" t="s">
        <v>37</v>
      </c>
      <c r="D3182" s="73"/>
      <c r="E3182" s="67"/>
      <c r="F3182" s="71" t="n">
        <v>20</v>
      </c>
      <c r="G3182" s="68"/>
      <c r="H3182" s="69" t="n">
        <v>20</v>
      </c>
    </row>
    <row r="3183" customFormat="false" ht="15" hidden="false" customHeight="true" outlineLevel="0" collapsed="false">
      <c r="B3183" s="64"/>
      <c r="C3183" s="65" t="s">
        <v>43</v>
      </c>
      <c r="D3183" s="66" t="n">
        <v>27460</v>
      </c>
      <c r="E3183" s="71" t="n">
        <v>270</v>
      </c>
      <c r="F3183" s="67"/>
      <c r="G3183" s="68"/>
      <c r="H3183" s="69" t="n">
        <v>27730</v>
      </c>
    </row>
    <row r="3184" customFormat="false" ht="15" hidden="false" customHeight="true" outlineLevel="0" collapsed="false">
      <c r="B3184" s="64"/>
      <c r="C3184" s="65" t="s">
        <v>34</v>
      </c>
      <c r="D3184" s="73"/>
      <c r="E3184" s="71" t="n">
        <v>480</v>
      </c>
      <c r="F3184" s="67"/>
      <c r="G3184" s="68"/>
      <c r="H3184" s="69" t="n">
        <v>480</v>
      </c>
    </row>
    <row r="3185" customFormat="false" ht="15" hidden="false" customHeight="true" outlineLevel="0" collapsed="false">
      <c r="B3185" s="84"/>
      <c r="C3185" s="85" t="s">
        <v>29</v>
      </c>
      <c r="D3185" s="86" t="n">
        <v>681</v>
      </c>
      <c r="E3185" s="76" t="n">
        <v>470</v>
      </c>
      <c r="F3185" s="75"/>
      <c r="G3185" s="77"/>
      <c r="H3185" s="78" t="n">
        <v>1151</v>
      </c>
    </row>
    <row r="3186" customFormat="false" ht="15" hidden="false" customHeight="true" outlineLevel="0" collapsed="false">
      <c r="B3186" s="87" t="s">
        <v>1048</v>
      </c>
      <c r="C3186" s="88"/>
      <c r="D3186" s="89" t="n">
        <v>31778</v>
      </c>
      <c r="E3186" s="89" t="n">
        <v>3845</v>
      </c>
      <c r="F3186" s="89" t="n">
        <v>20</v>
      </c>
      <c r="G3186" s="90"/>
      <c r="H3186" s="91" t="n">
        <v>35643</v>
      </c>
    </row>
    <row r="3187" customFormat="false" ht="15" hidden="false" customHeight="true" outlineLevel="0" collapsed="false">
      <c r="B3187" s="56" t="n">
        <v>45987</v>
      </c>
      <c r="C3187" s="57" t="s">
        <v>19</v>
      </c>
      <c r="D3187" s="92" t="n">
        <v>5361</v>
      </c>
      <c r="E3187" s="59"/>
      <c r="F3187" s="59"/>
      <c r="G3187" s="61"/>
      <c r="H3187" s="62" t="n">
        <v>5361</v>
      </c>
    </row>
    <row r="3188" customFormat="false" ht="15" hidden="false" customHeight="true" outlineLevel="0" collapsed="false">
      <c r="B3188" s="64"/>
      <c r="C3188" s="65" t="s">
        <v>25</v>
      </c>
      <c r="D3188" s="66" t="n">
        <v>1286</v>
      </c>
      <c r="E3188" s="71" t="n">
        <v>30</v>
      </c>
      <c r="F3188" s="67"/>
      <c r="G3188" s="68"/>
      <c r="H3188" s="69" t="n">
        <v>1316</v>
      </c>
    </row>
    <row r="3189" customFormat="false" ht="15" hidden="false" customHeight="true" outlineLevel="0" collapsed="false">
      <c r="B3189" s="64"/>
      <c r="C3189" s="65" t="s">
        <v>51</v>
      </c>
      <c r="D3189" s="73"/>
      <c r="E3189" s="71" t="n">
        <v>700</v>
      </c>
      <c r="F3189" s="67"/>
      <c r="G3189" s="68"/>
      <c r="H3189" s="69" t="n">
        <v>700</v>
      </c>
    </row>
    <row r="3190" customFormat="false" ht="15" hidden="false" customHeight="true" outlineLevel="0" collapsed="false">
      <c r="B3190" s="64"/>
      <c r="C3190" s="65" t="s">
        <v>37</v>
      </c>
      <c r="D3190" s="73"/>
      <c r="E3190" s="67"/>
      <c r="F3190" s="71" t="n">
        <v>20</v>
      </c>
      <c r="G3190" s="68"/>
      <c r="H3190" s="69" t="n">
        <v>20</v>
      </c>
    </row>
    <row r="3191" customFormat="false" ht="15" hidden="false" customHeight="true" outlineLevel="0" collapsed="false">
      <c r="B3191" s="64"/>
      <c r="C3191" s="65" t="s">
        <v>43</v>
      </c>
      <c r="D3191" s="73"/>
      <c r="E3191" s="71" t="n">
        <v>65</v>
      </c>
      <c r="F3191" s="67"/>
      <c r="G3191" s="68"/>
      <c r="H3191" s="69" t="n">
        <v>65</v>
      </c>
    </row>
    <row r="3192" customFormat="false" ht="15" hidden="false" customHeight="true" outlineLevel="0" collapsed="false">
      <c r="B3192" s="64"/>
      <c r="C3192" s="65" t="s">
        <v>31</v>
      </c>
      <c r="D3192" s="73"/>
      <c r="E3192" s="71" t="n">
        <v>310</v>
      </c>
      <c r="F3192" s="67"/>
      <c r="G3192" s="68"/>
      <c r="H3192" s="69" t="n">
        <v>310</v>
      </c>
    </row>
    <row r="3193" customFormat="false" ht="15" hidden="false" customHeight="true" outlineLevel="0" collapsed="false">
      <c r="B3193" s="64"/>
      <c r="C3193" s="65" t="s">
        <v>34</v>
      </c>
      <c r="D3193" s="73"/>
      <c r="E3193" s="71" t="n">
        <v>50</v>
      </c>
      <c r="F3193" s="67"/>
      <c r="G3193" s="68"/>
      <c r="H3193" s="69" t="n">
        <v>50</v>
      </c>
    </row>
    <row r="3194" customFormat="false" ht="15" hidden="false" customHeight="true" outlineLevel="0" collapsed="false">
      <c r="B3194" s="84"/>
      <c r="C3194" s="85" t="s">
        <v>29</v>
      </c>
      <c r="D3194" s="86" t="n">
        <v>1121</v>
      </c>
      <c r="E3194" s="75"/>
      <c r="F3194" s="75"/>
      <c r="G3194" s="77"/>
      <c r="H3194" s="78" t="n">
        <v>1121</v>
      </c>
    </row>
    <row r="3195" customFormat="false" ht="15" hidden="false" customHeight="true" outlineLevel="0" collapsed="false">
      <c r="B3195" s="87" t="s">
        <v>1049</v>
      </c>
      <c r="C3195" s="88"/>
      <c r="D3195" s="89" t="n">
        <v>7768</v>
      </c>
      <c r="E3195" s="89" t="n">
        <v>1155</v>
      </c>
      <c r="F3195" s="89" t="n">
        <v>20</v>
      </c>
      <c r="G3195" s="90"/>
      <c r="H3195" s="91" t="n">
        <v>8943</v>
      </c>
    </row>
    <row r="3196" customFormat="false" ht="15" hidden="false" customHeight="true" outlineLevel="0" collapsed="false">
      <c r="B3196" s="56" t="n">
        <v>45988</v>
      </c>
      <c r="C3196" s="57" t="s">
        <v>32</v>
      </c>
      <c r="D3196" s="58"/>
      <c r="E3196" s="59"/>
      <c r="F3196" s="60" t="n">
        <v>20</v>
      </c>
      <c r="G3196" s="61"/>
      <c r="H3196" s="62" t="n">
        <v>20</v>
      </c>
    </row>
    <row r="3197" customFormat="false" ht="15" hidden="false" customHeight="true" outlineLevel="0" collapsed="false">
      <c r="B3197" s="64"/>
      <c r="C3197" s="65" t="s">
        <v>19</v>
      </c>
      <c r="D3197" s="66" t="n">
        <v>5844</v>
      </c>
      <c r="E3197" s="67"/>
      <c r="F3197" s="67"/>
      <c r="G3197" s="68"/>
      <c r="H3197" s="69" t="n">
        <v>5844</v>
      </c>
    </row>
    <row r="3198" customFormat="false" ht="15" hidden="false" customHeight="true" outlineLevel="0" collapsed="false">
      <c r="B3198" s="64"/>
      <c r="C3198" s="65" t="s">
        <v>25</v>
      </c>
      <c r="D3198" s="66" t="n">
        <v>1006</v>
      </c>
      <c r="E3198" s="67"/>
      <c r="F3198" s="67"/>
      <c r="G3198" s="68"/>
      <c r="H3198" s="69" t="n">
        <v>1006</v>
      </c>
    </row>
    <row r="3199" customFormat="false" ht="15" hidden="false" customHeight="true" outlineLevel="0" collapsed="false">
      <c r="B3199" s="64"/>
      <c r="C3199" s="65" t="s">
        <v>34</v>
      </c>
      <c r="D3199" s="73"/>
      <c r="E3199" s="71" t="n">
        <v>50</v>
      </c>
      <c r="F3199" s="67"/>
      <c r="G3199" s="68"/>
      <c r="H3199" s="69" t="n">
        <v>50</v>
      </c>
    </row>
    <row r="3200" customFormat="false" ht="15" hidden="false" customHeight="true" outlineLevel="0" collapsed="false">
      <c r="B3200" s="84"/>
      <c r="C3200" s="85" t="s">
        <v>29</v>
      </c>
      <c r="D3200" s="86" t="n">
        <v>581</v>
      </c>
      <c r="E3200" s="75"/>
      <c r="F3200" s="75"/>
      <c r="G3200" s="77"/>
      <c r="H3200" s="78" t="n">
        <v>581</v>
      </c>
    </row>
    <row r="3201" customFormat="false" ht="15" hidden="false" customHeight="true" outlineLevel="0" collapsed="false">
      <c r="B3201" s="87" t="s">
        <v>1050</v>
      </c>
      <c r="C3201" s="88"/>
      <c r="D3201" s="89" t="n">
        <v>7431</v>
      </c>
      <c r="E3201" s="89" t="n">
        <v>50</v>
      </c>
      <c r="F3201" s="89" t="n">
        <v>20</v>
      </c>
      <c r="G3201" s="90"/>
      <c r="H3201" s="91" t="n">
        <v>7501</v>
      </c>
    </row>
    <row r="3202" customFormat="false" ht="15" hidden="false" customHeight="true" outlineLevel="0" collapsed="false">
      <c r="B3202" s="56" t="n">
        <v>45989</v>
      </c>
      <c r="C3202" s="57" t="s">
        <v>32</v>
      </c>
      <c r="D3202" s="58"/>
      <c r="E3202" s="59"/>
      <c r="F3202" s="60" t="n">
        <v>1000</v>
      </c>
      <c r="G3202" s="61"/>
      <c r="H3202" s="62" t="n">
        <v>1000</v>
      </c>
    </row>
    <row r="3203" customFormat="false" ht="15" hidden="false" customHeight="true" outlineLevel="0" collapsed="false">
      <c r="B3203" s="64"/>
      <c r="C3203" s="65" t="s">
        <v>47</v>
      </c>
      <c r="D3203" s="66" t="n">
        <v>1800</v>
      </c>
      <c r="E3203" s="67"/>
      <c r="F3203" s="67"/>
      <c r="G3203" s="68"/>
      <c r="H3203" s="69" t="n">
        <v>1800</v>
      </c>
    </row>
    <row r="3204" customFormat="false" ht="15" hidden="false" customHeight="true" outlineLevel="0" collapsed="false">
      <c r="B3204" s="64"/>
      <c r="C3204" s="65" t="s">
        <v>19</v>
      </c>
      <c r="D3204" s="66" t="n">
        <v>6411</v>
      </c>
      <c r="E3204" s="67"/>
      <c r="F3204" s="67"/>
      <c r="G3204" s="68"/>
      <c r="H3204" s="69" t="n">
        <v>6411</v>
      </c>
    </row>
    <row r="3205" customFormat="false" ht="15" hidden="false" customHeight="true" outlineLevel="0" collapsed="false">
      <c r="B3205" s="64"/>
      <c r="C3205" s="65" t="s">
        <v>25</v>
      </c>
      <c r="D3205" s="66" t="n">
        <v>964</v>
      </c>
      <c r="E3205" s="67"/>
      <c r="F3205" s="67"/>
      <c r="G3205" s="68"/>
      <c r="H3205" s="69" t="n">
        <v>964</v>
      </c>
    </row>
    <row r="3206" customFormat="false" ht="15" hidden="false" customHeight="true" outlineLevel="0" collapsed="false">
      <c r="B3206" s="64"/>
      <c r="C3206" s="65" t="s">
        <v>51</v>
      </c>
      <c r="D3206" s="73"/>
      <c r="E3206" s="67"/>
      <c r="F3206" s="71" t="n">
        <v>340</v>
      </c>
      <c r="G3206" s="68"/>
      <c r="H3206" s="69" t="n">
        <v>340</v>
      </c>
    </row>
    <row r="3207" customFormat="false" ht="15" hidden="false" customHeight="true" outlineLevel="0" collapsed="false">
      <c r="B3207" s="64"/>
      <c r="C3207" s="65" t="s">
        <v>22</v>
      </c>
      <c r="D3207" s="73"/>
      <c r="E3207" s="71" t="n">
        <v>750</v>
      </c>
      <c r="F3207" s="67"/>
      <c r="G3207" s="68"/>
      <c r="H3207" s="69" t="n">
        <v>750</v>
      </c>
    </row>
    <row r="3208" customFormat="false" ht="15" hidden="false" customHeight="true" outlineLevel="0" collapsed="false">
      <c r="B3208" s="64"/>
      <c r="C3208" s="65" t="s">
        <v>43</v>
      </c>
      <c r="D3208" s="73"/>
      <c r="E3208" s="71" t="n">
        <v>280</v>
      </c>
      <c r="F3208" s="67"/>
      <c r="G3208" s="68"/>
      <c r="H3208" s="69" t="n">
        <v>280</v>
      </c>
    </row>
    <row r="3209" customFormat="false" ht="15" hidden="false" customHeight="true" outlineLevel="0" collapsed="false">
      <c r="B3209" s="64"/>
      <c r="C3209" s="65" t="s">
        <v>40</v>
      </c>
      <c r="D3209" s="73"/>
      <c r="E3209" s="71" t="n">
        <v>1600</v>
      </c>
      <c r="F3209" s="67"/>
      <c r="G3209" s="68"/>
      <c r="H3209" s="69" t="n">
        <v>1600</v>
      </c>
    </row>
    <row r="3210" customFormat="false" ht="15" hidden="false" customHeight="true" outlineLevel="0" collapsed="false">
      <c r="B3210" s="64"/>
      <c r="C3210" s="65" t="s">
        <v>29</v>
      </c>
      <c r="D3210" s="73"/>
      <c r="E3210" s="71" t="n">
        <v>6000</v>
      </c>
      <c r="F3210" s="67"/>
      <c r="G3210" s="68"/>
      <c r="H3210" s="69" t="n">
        <v>6000</v>
      </c>
    </row>
    <row r="3211" customFormat="false" ht="15" hidden="false" customHeight="true" outlineLevel="0" collapsed="false">
      <c r="B3211" s="84"/>
      <c r="C3211" s="85" t="s">
        <v>739</v>
      </c>
      <c r="D3211" s="74"/>
      <c r="E3211" s="75"/>
      <c r="F3211" s="75"/>
      <c r="G3211" s="77"/>
      <c r="H3211" s="100"/>
    </row>
    <row r="3212" customFormat="false" ht="15" hidden="false" customHeight="true" outlineLevel="0" collapsed="false">
      <c r="B3212" s="87" t="s">
        <v>1051</v>
      </c>
      <c r="C3212" s="88"/>
      <c r="D3212" s="89" t="n">
        <v>9175</v>
      </c>
      <c r="E3212" s="89" t="n">
        <v>8630</v>
      </c>
      <c r="F3212" s="89" t="n">
        <v>1340</v>
      </c>
      <c r="G3212" s="90"/>
      <c r="H3212" s="91" t="n">
        <v>19145</v>
      </c>
    </row>
    <row r="3213" customFormat="false" ht="15" hidden="false" customHeight="true" outlineLevel="0" collapsed="false">
      <c r="B3213" s="93" t="s">
        <v>739</v>
      </c>
      <c r="C3213" s="94" t="s">
        <v>739</v>
      </c>
      <c r="D3213" s="95"/>
      <c r="E3213" s="97"/>
      <c r="F3213" s="97"/>
      <c r="G3213" s="98"/>
      <c r="H3213" s="101"/>
    </row>
    <row r="3214" customFormat="false" ht="15" hidden="false" customHeight="true" outlineLevel="0" collapsed="false">
      <c r="B3214" s="87" t="s">
        <v>1052</v>
      </c>
      <c r="C3214" s="88"/>
      <c r="D3214" s="90"/>
      <c r="E3214" s="90"/>
      <c r="F3214" s="90"/>
      <c r="G3214" s="90"/>
      <c r="H3214" s="101"/>
    </row>
    <row r="3215" customFormat="false" ht="15" hidden="false" customHeight="true" outlineLevel="0" collapsed="false">
      <c r="B3215" s="102" t="s">
        <v>740</v>
      </c>
      <c r="C3215" s="103"/>
      <c r="D3215" s="80" t="n">
        <v>3690668.5</v>
      </c>
      <c r="E3215" s="81" t="n">
        <v>720504</v>
      </c>
      <c r="F3215" s="81" t="n">
        <v>241979</v>
      </c>
      <c r="G3215" s="104"/>
      <c r="H3215" s="83" t="n">
        <v>4653151.5</v>
      </c>
    </row>
  </sheetData>
  <mergeCells count="1">
    <mergeCell ref="C3:G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V4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4" activeCellId="0" sqref="A14"/>
    </sheetView>
  </sheetViews>
  <sheetFormatPr defaultColWidth="14.4296875" defaultRowHeight="15" zeroHeight="false" outlineLevelRow="0" outlineLevelCol="0"/>
  <cols>
    <col collapsed="false" customWidth="true" hidden="false" outlineLevel="0" max="4" min="4" style="0" width="14.86"/>
    <col collapsed="false" customWidth="true" hidden="false" outlineLevel="0" max="16" min="16" style="0" width="16.43"/>
  </cols>
  <sheetData>
    <row r="2" customFormat="false" ht="15" hidden="false" customHeight="false" outlineLevel="0" collapsed="false">
      <c r="P2" s="2" t="s">
        <v>3</v>
      </c>
      <c r="Q2" s="11" t="s">
        <v>9</v>
      </c>
    </row>
    <row r="3" customFormat="false" ht="15" hidden="false" customHeight="false" outlineLevel="0" collapsed="false">
      <c r="P3" s="11" t="s">
        <v>13</v>
      </c>
      <c r="Q3" s="11" t="s">
        <v>1053</v>
      </c>
    </row>
    <row r="4" customFormat="false" ht="15" hidden="false" customHeight="false" outlineLevel="0" collapsed="false">
      <c r="A4" s="39" t="s">
        <v>4</v>
      </c>
      <c r="B4" s="40" t="s">
        <v>1054</v>
      </c>
      <c r="Q4" s="11" t="s">
        <v>1055</v>
      </c>
    </row>
    <row r="5" customFormat="false" ht="15" hidden="false" customHeight="false" outlineLevel="0" collapsed="false">
      <c r="Q5" s="11" t="s">
        <v>1056</v>
      </c>
    </row>
    <row r="6" customFormat="false" ht="15" hidden="false" customHeight="false" outlineLevel="0" collapsed="false">
      <c r="A6" s="47" t="s">
        <v>737</v>
      </c>
      <c r="B6" s="44" t="s">
        <v>5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6"/>
      <c r="Q6" s="11" t="s">
        <v>16</v>
      </c>
    </row>
    <row r="7" customFormat="false" ht="15" hidden="false" customHeight="false" outlineLevel="0" collapsed="false">
      <c r="A7" s="48" t="s">
        <v>1</v>
      </c>
      <c r="B7" s="105" t="n">
        <v>45962</v>
      </c>
      <c r="C7" s="106" t="s">
        <v>1057</v>
      </c>
      <c r="D7" s="106" t="s">
        <v>1058</v>
      </c>
      <c r="E7" s="106" t="s">
        <v>1059</v>
      </c>
      <c r="F7" s="106" t="s">
        <v>1060</v>
      </c>
      <c r="G7" s="106" t="s">
        <v>1061</v>
      </c>
      <c r="H7" s="106" t="s">
        <v>1062</v>
      </c>
      <c r="I7" s="106" t="s">
        <v>1063</v>
      </c>
      <c r="J7" s="106" t="s">
        <v>1064</v>
      </c>
      <c r="K7" s="106" t="s">
        <v>1065</v>
      </c>
      <c r="L7" s="106" t="s">
        <v>1066</v>
      </c>
      <c r="M7" s="106" t="s">
        <v>680</v>
      </c>
      <c r="N7" s="106" t="s">
        <v>1067</v>
      </c>
      <c r="O7" s="106" t="s">
        <v>739</v>
      </c>
      <c r="P7" s="107" t="s">
        <v>740</v>
      </c>
      <c r="Q7" s="11" t="s">
        <v>16</v>
      </c>
      <c r="T7" s="11" t="s">
        <v>14</v>
      </c>
      <c r="U7" s="11" t="s">
        <v>18</v>
      </c>
    </row>
    <row r="8" customFormat="false" ht="15" hidden="false" customHeight="false" outlineLevel="0" collapsed="false">
      <c r="A8" s="63" t="s">
        <v>32</v>
      </c>
      <c r="B8" s="58"/>
      <c r="C8" s="60" t="n">
        <v>1425</v>
      </c>
      <c r="D8" s="60" t="n">
        <v>3337</v>
      </c>
      <c r="E8" s="60" t="n">
        <v>6765</v>
      </c>
      <c r="F8" s="60" t="n">
        <v>5915</v>
      </c>
      <c r="G8" s="60" t="n">
        <v>3465</v>
      </c>
      <c r="H8" s="60" t="n">
        <v>5530</v>
      </c>
      <c r="I8" s="60" t="n">
        <v>4505</v>
      </c>
      <c r="J8" s="60" t="n">
        <v>4220</v>
      </c>
      <c r="K8" s="60" t="n">
        <v>2550</v>
      </c>
      <c r="L8" s="60" t="n">
        <v>4375</v>
      </c>
      <c r="M8" s="60" t="n">
        <v>5900</v>
      </c>
      <c r="N8" s="59"/>
      <c r="O8" s="61"/>
      <c r="P8" s="62" t="n">
        <v>47987</v>
      </c>
      <c r="Q8" s="11" t="s">
        <v>16</v>
      </c>
      <c r="R8" s="11"/>
      <c r="S8" s="11" t="s">
        <v>1068</v>
      </c>
      <c r="T8" s="30" t="n">
        <f aca="false">SUMIFS('Daily Transactions'!C2:C8647, 'Daily Transactions'!G2:G8647,$T$7)</f>
        <v>3723308.5</v>
      </c>
    </row>
    <row r="9" customFormat="false" ht="15" hidden="false" customHeight="false" outlineLevel="0" collapsed="false">
      <c r="A9" s="70" t="s">
        <v>13</v>
      </c>
      <c r="B9" s="73"/>
      <c r="C9" s="67"/>
      <c r="D9" s="71" t="n">
        <v>6000</v>
      </c>
      <c r="E9" s="67"/>
      <c r="F9" s="67"/>
      <c r="G9" s="67"/>
      <c r="H9" s="67"/>
      <c r="I9" s="67"/>
      <c r="J9" s="71" t="n">
        <v>3300</v>
      </c>
      <c r="K9" s="67"/>
      <c r="L9" s="67"/>
      <c r="M9" s="67"/>
      <c r="N9" s="67"/>
      <c r="O9" s="68"/>
      <c r="P9" s="69" t="n">
        <v>9300</v>
      </c>
      <c r="Q9" s="11" t="s">
        <v>16</v>
      </c>
      <c r="R9" s="11"/>
      <c r="S9" s="11" t="s">
        <v>1069</v>
      </c>
      <c r="U9" s="30" t="n">
        <f aca="false">SUMIFS('Daily Transactions'!C2:C8648, 'Daily Transactions'!G2:G8648,$U$7)</f>
        <v>923698</v>
      </c>
    </row>
    <row r="10" customFormat="false" ht="15" hidden="false" customHeight="false" outlineLevel="0" collapsed="false">
      <c r="A10" s="70" t="s">
        <v>53</v>
      </c>
      <c r="B10" s="73"/>
      <c r="C10" s="71" t="n">
        <v>5444</v>
      </c>
      <c r="D10" s="71" t="n">
        <v>9270</v>
      </c>
      <c r="E10" s="71" t="n">
        <v>23908</v>
      </c>
      <c r="F10" s="71" t="n">
        <v>15083</v>
      </c>
      <c r="G10" s="71" t="n">
        <v>11580</v>
      </c>
      <c r="H10" s="71" t="n">
        <v>11295</v>
      </c>
      <c r="I10" s="71" t="n">
        <v>14103</v>
      </c>
      <c r="J10" s="71" t="n">
        <v>8730</v>
      </c>
      <c r="K10" s="71" t="n">
        <v>9305</v>
      </c>
      <c r="L10" s="71" t="n">
        <v>10502</v>
      </c>
      <c r="M10" s="71" t="n">
        <v>13742</v>
      </c>
      <c r="N10" s="67"/>
      <c r="O10" s="68"/>
      <c r="P10" s="69" t="n">
        <v>132962</v>
      </c>
      <c r="Q10" s="11" t="s">
        <v>16</v>
      </c>
      <c r="R10" s="11"/>
      <c r="S10" s="11" t="s">
        <v>1070</v>
      </c>
      <c r="T10" s="30" t="n">
        <f aca="false">SUMIFS('Daily Transactions'!C2:C100, 'Daily Transactions'!B2:B100, "Sales")</f>
        <v>186006</v>
      </c>
    </row>
    <row r="11" customFormat="false" ht="15" hidden="false" customHeight="false" outlineLevel="0" collapsed="false">
      <c r="A11" s="70" t="s">
        <v>629</v>
      </c>
      <c r="B11" s="73"/>
      <c r="C11" s="67"/>
      <c r="D11" s="67"/>
      <c r="E11" s="67"/>
      <c r="F11" s="67"/>
      <c r="G11" s="67"/>
      <c r="H11" s="67"/>
      <c r="I11" s="67"/>
      <c r="J11" s="67"/>
      <c r="K11" s="67"/>
      <c r="L11" s="71" t="n">
        <v>30</v>
      </c>
      <c r="M11" s="71" t="n">
        <v>670</v>
      </c>
      <c r="N11" s="67"/>
      <c r="O11" s="68"/>
      <c r="P11" s="69" t="n">
        <v>700</v>
      </c>
      <c r="Q11" s="11" t="s">
        <v>16</v>
      </c>
    </row>
    <row r="12" customFormat="false" ht="15" hidden="false" customHeight="true" outlineLevel="0" collapsed="false">
      <c r="A12" s="70" t="s">
        <v>118</v>
      </c>
      <c r="B12" s="73"/>
      <c r="C12" s="67"/>
      <c r="D12" s="71" t="n">
        <v>2395</v>
      </c>
      <c r="E12" s="67"/>
      <c r="F12" s="67"/>
      <c r="G12" s="67"/>
      <c r="H12" s="67"/>
      <c r="I12" s="67"/>
      <c r="J12" s="71" t="n">
        <v>9413</v>
      </c>
      <c r="K12" s="67"/>
      <c r="L12" s="71" t="n">
        <v>475</v>
      </c>
      <c r="M12" s="67"/>
      <c r="N12" s="67"/>
      <c r="O12" s="68"/>
      <c r="P12" s="69" t="n">
        <v>12283</v>
      </c>
    </row>
    <row r="13" customFormat="false" ht="15" hidden="false" customHeight="true" outlineLevel="0" collapsed="false">
      <c r="A13" s="70" t="s">
        <v>214</v>
      </c>
      <c r="B13" s="73"/>
      <c r="C13" s="67"/>
      <c r="D13" s="67"/>
      <c r="E13" s="71" t="n">
        <v>1500</v>
      </c>
      <c r="F13" s="67"/>
      <c r="G13" s="67"/>
      <c r="H13" s="71" t="n">
        <v>1000</v>
      </c>
      <c r="I13" s="71" t="n">
        <v>1000</v>
      </c>
      <c r="J13" s="71" t="n">
        <v>1500</v>
      </c>
      <c r="K13" s="71" t="n">
        <v>1000</v>
      </c>
      <c r="L13" s="67"/>
      <c r="M13" s="67"/>
      <c r="N13" s="67"/>
      <c r="O13" s="68"/>
      <c r="P13" s="69" t="n">
        <v>6000</v>
      </c>
    </row>
    <row r="14" customFormat="false" ht="15" hidden="false" customHeight="true" outlineLevel="0" collapsed="false">
      <c r="A14" s="70" t="s">
        <v>255</v>
      </c>
      <c r="B14" s="73"/>
      <c r="C14" s="67"/>
      <c r="D14" s="67"/>
      <c r="E14" s="71" t="n">
        <v>18980</v>
      </c>
      <c r="F14" s="67"/>
      <c r="G14" s="71" t="n">
        <v>6000</v>
      </c>
      <c r="H14" s="67"/>
      <c r="I14" s="67"/>
      <c r="J14" s="67"/>
      <c r="K14" s="67"/>
      <c r="L14" s="67"/>
      <c r="M14" s="67"/>
      <c r="N14" s="67"/>
      <c r="O14" s="68"/>
      <c r="P14" s="69" t="n">
        <v>24980</v>
      </c>
    </row>
    <row r="15" customFormat="false" ht="15" hidden="false" customHeight="true" outlineLevel="0" collapsed="false">
      <c r="A15" s="70" t="s">
        <v>47</v>
      </c>
      <c r="B15" s="73"/>
      <c r="C15" s="71" t="n">
        <v>3360</v>
      </c>
      <c r="D15" s="71" t="n">
        <v>14280</v>
      </c>
      <c r="E15" s="71" t="n">
        <v>17640</v>
      </c>
      <c r="F15" s="71" t="n">
        <v>15120</v>
      </c>
      <c r="G15" s="71" t="n">
        <v>20160</v>
      </c>
      <c r="H15" s="71" t="n">
        <v>18480</v>
      </c>
      <c r="I15" s="71" t="n">
        <v>17880</v>
      </c>
      <c r="J15" s="71" t="n">
        <v>15450</v>
      </c>
      <c r="K15" s="71" t="n">
        <v>17100</v>
      </c>
      <c r="L15" s="71" t="n">
        <v>18000</v>
      </c>
      <c r="M15" s="71" t="n">
        <v>11580</v>
      </c>
      <c r="N15" s="67"/>
      <c r="O15" s="68"/>
      <c r="P15" s="69" t="n">
        <v>169050</v>
      </c>
    </row>
    <row r="16" customFormat="false" ht="15" hidden="false" customHeight="false" outlineLevel="0" collapsed="false">
      <c r="A16" s="70" t="s">
        <v>19</v>
      </c>
      <c r="B16" s="73"/>
      <c r="C16" s="71" t="n">
        <v>47061</v>
      </c>
      <c r="D16" s="71" t="n">
        <v>92451</v>
      </c>
      <c r="E16" s="71" t="n">
        <v>154327</v>
      </c>
      <c r="F16" s="71" t="n">
        <v>100199</v>
      </c>
      <c r="G16" s="71" t="n">
        <v>104431</v>
      </c>
      <c r="H16" s="71" t="n">
        <v>115196</v>
      </c>
      <c r="I16" s="71" t="n">
        <v>94394</v>
      </c>
      <c r="J16" s="71" t="n">
        <v>70448</v>
      </c>
      <c r="K16" s="71" t="n">
        <v>62860</v>
      </c>
      <c r="L16" s="71" t="n">
        <v>124006</v>
      </c>
      <c r="M16" s="71" t="n">
        <v>141319</v>
      </c>
      <c r="N16" s="67"/>
      <c r="O16" s="68"/>
      <c r="P16" s="69" t="n">
        <v>1106692</v>
      </c>
      <c r="T16" s="11" t="s">
        <v>14</v>
      </c>
      <c r="U16" s="11" t="s">
        <v>18</v>
      </c>
      <c r="V16" s="11" t="s">
        <v>1071</v>
      </c>
    </row>
    <row r="17" customFormat="false" ht="15" hidden="false" customHeight="false" outlineLevel="0" collapsed="false">
      <c r="A17" s="70" t="s">
        <v>63</v>
      </c>
      <c r="B17" s="73"/>
      <c r="C17" s="71" t="n">
        <v>450</v>
      </c>
      <c r="D17" s="67"/>
      <c r="E17" s="71" t="n">
        <v>670</v>
      </c>
      <c r="F17" s="67"/>
      <c r="G17" s="67"/>
      <c r="H17" s="71" t="n">
        <v>5890</v>
      </c>
      <c r="I17" s="67"/>
      <c r="J17" s="71" t="n">
        <v>310</v>
      </c>
      <c r="K17" s="67"/>
      <c r="L17" s="67"/>
      <c r="M17" s="67"/>
      <c r="N17" s="67"/>
      <c r="O17" s="68"/>
      <c r="P17" s="69" t="n">
        <v>7320</v>
      </c>
      <c r="Q17" s="11"/>
      <c r="R17" s="11"/>
      <c r="S17" s="11" t="s">
        <v>25</v>
      </c>
      <c r="T17" s="30" t="n">
        <f aca="false">SUMIFS('Daily Transactions'!$C$2:$C$8647,'Daily Transactions'!$B$2:$B$8647,$S17 , 'Daily Transactions'!$G$2:$G$8647, $T$7)</f>
        <v>212595</v>
      </c>
      <c r="U17" s="30" t="n">
        <f aca="false">SUMIFS('Daily Transactions'!$C$2:$C$8647,'Daily Transactions'!$B$2:$B$8647,$S17 , 'Daily Transactions'!$G$2:$G$8647, $U$7)</f>
        <v>120155</v>
      </c>
      <c r="V17" s="30" t="n">
        <f aca="false">SUM(T17:U17)</f>
        <v>332750</v>
      </c>
    </row>
    <row r="18" customFormat="false" ht="15" hidden="false" customHeight="false" outlineLevel="0" collapsed="false">
      <c r="A18" s="70" t="s">
        <v>81</v>
      </c>
      <c r="B18" s="73"/>
      <c r="C18" s="67"/>
      <c r="D18" s="71" t="n">
        <v>70</v>
      </c>
      <c r="E18" s="71" t="n">
        <v>530</v>
      </c>
      <c r="F18" s="71" t="n">
        <v>100</v>
      </c>
      <c r="G18" s="67"/>
      <c r="H18" s="67"/>
      <c r="I18" s="67"/>
      <c r="J18" s="71" t="n">
        <v>260</v>
      </c>
      <c r="K18" s="71" t="n">
        <v>475</v>
      </c>
      <c r="L18" s="67"/>
      <c r="M18" s="67"/>
      <c r="N18" s="67"/>
      <c r="O18" s="68"/>
      <c r="P18" s="69" t="n">
        <v>1435</v>
      </c>
      <c r="Q18" s="11"/>
      <c r="R18" s="11"/>
      <c r="S18" s="11" t="s">
        <v>19</v>
      </c>
      <c r="T18" s="30" t="n">
        <f aca="false">SUMIFS('Daily Transactions'!$C$2:$C$8647,'Daily Transactions'!$B$2:$B$8647,$S18 , 'Daily Transactions'!$G$2:$G$8647, $T$7)</f>
        <v>986818</v>
      </c>
      <c r="U18" s="30" t="n">
        <f aca="false">SUMIFS('Daily Transactions'!$C$2:$C$8647,'Daily Transactions'!$B$2:$B$8647,$S18 , 'Daily Transactions'!$G$2:$G$8647, $U$7)</f>
        <v>119874</v>
      </c>
      <c r="V18" s="30" t="n">
        <f aca="false">SUM(T18:U18)</f>
        <v>1106692</v>
      </c>
    </row>
    <row r="19" customFormat="false" ht="15" hidden="false" customHeight="false" outlineLevel="0" collapsed="false">
      <c r="A19" s="70" t="s">
        <v>25</v>
      </c>
      <c r="B19" s="73"/>
      <c r="C19" s="71" t="n">
        <v>17153</v>
      </c>
      <c r="D19" s="71" t="n">
        <v>31454</v>
      </c>
      <c r="E19" s="71" t="n">
        <v>45870</v>
      </c>
      <c r="F19" s="71" t="n">
        <v>33052</v>
      </c>
      <c r="G19" s="71" t="n">
        <v>31744</v>
      </c>
      <c r="H19" s="71" t="n">
        <v>31140</v>
      </c>
      <c r="I19" s="71" t="n">
        <v>29351</v>
      </c>
      <c r="J19" s="71" t="n">
        <v>24800</v>
      </c>
      <c r="K19" s="71" t="n">
        <v>23654</v>
      </c>
      <c r="L19" s="71" t="n">
        <v>34057</v>
      </c>
      <c r="M19" s="71" t="n">
        <v>32560</v>
      </c>
      <c r="N19" s="67"/>
      <c r="O19" s="68"/>
      <c r="P19" s="69" t="n">
        <v>334835</v>
      </c>
      <c r="Q19" s="11"/>
      <c r="R19" s="11"/>
      <c r="S19" s="11" t="s">
        <v>22</v>
      </c>
      <c r="T19" s="30" t="n">
        <f aca="false">SUMIFS('Daily Transactions'!$C$2:$C$8647,'Daily Transactions'!$B$2:$B$8647,$S19 , 'Daily Transactions'!$G$2:$G$8647, $T$7)</f>
        <v>550302.5</v>
      </c>
      <c r="U19" s="30" t="n">
        <f aca="false">SUMIFS('Daily Transactions'!$C$2:$C$8647,'Daily Transactions'!$B$2:$B$8647,$S19 , 'Daily Transactions'!$G$2:$G$8647, $U$7)</f>
        <v>283013</v>
      </c>
      <c r="V19" s="30" t="n">
        <f aca="false">SUM(T19:U19)</f>
        <v>833315.5</v>
      </c>
    </row>
    <row r="20" customFormat="false" ht="15" hidden="false" customHeight="false" outlineLevel="0" collapsed="false">
      <c r="A20" s="70" t="s">
        <v>51</v>
      </c>
      <c r="B20" s="73"/>
      <c r="C20" s="71" t="n">
        <v>3095</v>
      </c>
      <c r="D20" s="71" t="n">
        <v>12865</v>
      </c>
      <c r="E20" s="71" t="n">
        <v>22350</v>
      </c>
      <c r="F20" s="71" t="n">
        <v>12655</v>
      </c>
      <c r="G20" s="71" t="n">
        <v>17830</v>
      </c>
      <c r="H20" s="71" t="n">
        <v>14775</v>
      </c>
      <c r="I20" s="71" t="n">
        <v>15905</v>
      </c>
      <c r="J20" s="71" t="n">
        <v>26715</v>
      </c>
      <c r="K20" s="71" t="n">
        <v>14625</v>
      </c>
      <c r="L20" s="71" t="n">
        <v>13075</v>
      </c>
      <c r="M20" s="71" t="n">
        <v>14398</v>
      </c>
      <c r="N20" s="67"/>
      <c r="O20" s="68"/>
      <c r="P20" s="69" t="n">
        <v>168288</v>
      </c>
      <c r="Q20" s="11"/>
      <c r="R20" s="11"/>
      <c r="S20" s="11" t="s">
        <v>25</v>
      </c>
      <c r="T20" s="30" t="n">
        <f aca="false">SUMIFS('Daily Transactions'!$C$2:$C$8647,'Daily Transactions'!$B$2:$B$8647,$S20 , 'Daily Transactions'!$G$2:$G$8647, $T$7)</f>
        <v>212595</v>
      </c>
      <c r="U20" s="30" t="n">
        <f aca="false">SUMIFS('Daily Transactions'!$C$2:$C$8647,'Daily Transactions'!$B$2:$B$8647,$S20 , 'Daily Transactions'!$G$2:$G$8647, $U$7)</f>
        <v>120155</v>
      </c>
      <c r="V20" s="30" t="n">
        <f aca="false">SUM(T20:U20)</f>
        <v>332750</v>
      </c>
    </row>
    <row r="21" customFormat="false" ht="15" hidden="false" customHeight="false" outlineLevel="0" collapsed="false">
      <c r="A21" s="70" t="s">
        <v>227</v>
      </c>
      <c r="B21" s="73"/>
      <c r="C21" s="67"/>
      <c r="D21" s="67"/>
      <c r="E21" s="71" t="n">
        <v>4000</v>
      </c>
      <c r="F21" s="71" t="n">
        <v>1000</v>
      </c>
      <c r="G21" s="67"/>
      <c r="H21" s="67"/>
      <c r="I21" s="67"/>
      <c r="J21" s="71" t="n">
        <v>3600</v>
      </c>
      <c r="K21" s="67"/>
      <c r="L21" s="71" t="n">
        <v>70</v>
      </c>
      <c r="M21" s="67"/>
      <c r="N21" s="67"/>
      <c r="O21" s="68"/>
      <c r="P21" s="69" t="n">
        <v>8670</v>
      </c>
      <c r="Q21" s="11"/>
      <c r="R21" s="11"/>
      <c r="S21" s="11" t="s">
        <v>29</v>
      </c>
      <c r="T21" s="30" t="n">
        <f aca="false">SUMIFS('Daily Transactions'!$C$2:$C$8647,'Daily Transactions'!$B$2:$B$8647,$S21 , 'Daily Transactions'!$G$2:$G$8647, $T$7)</f>
        <v>176749</v>
      </c>
      <c r="U21" s="30" t="n">
        <f aca="false">SUMIFS('Daily Transactions'!$C$2:$C$8647,'Daily Transactions'!$B$2:$B$8647,$S21 , 'Daily Transactions'!$G$2:$G$8647, $U$7)</f>
        <v>56193</v>
      </c>
      <c r="V21" s="30" t="n">
        <f aca="false">SUM(T21:U21)</f>
        <v>232942</v>
      </c>
    </row>
    <row r="22" customFormat="false" ht="15" hidden="false" customHeight="false" outlineLevel="0" collapsed="false">
      <c r="A22" s="70" t="s">
        <v>28</v>
      </c>
      <c r="B22" s="73"/>
      <c r="C22" s="67"/>
      <c r="D22" s="71" t="n">
        <v>5196</v>
      </c>
      <c r="E22" s="71" t="n">
        <v>8509</v>
      </c>
      <c r="F22" s="71" t="n">
        <v>5160</v>
      </c>
      <c r="G22" s="71" t="n">
        <v>6895</v>
      </c>
      <c r="H22" s="71" t="n">
        <v>6463</v>
      </c>
      <c r="I22" s="71" t="n">
        <v>5179</v>
      </c>
      <c r="J22" s="71" t="n">
        <v>3719</v>
      </c>
      <c r="K22" s="71" t="n">
        <v>2612</v>
      </c>
      <c r="L22" s="71" t="n">
        <v>3511</v>
      </c>
      <c r="M22" s="71" t="n">
        <v>4570</v>
      </c>
      <c r="N22" s="67"/>
      <c r="O22" s="68"/>
      <c r="P22" s="69" t="n">
        <v>51814</v>
      </c>
      <c r="Q22" s="11"/>
      <c r="R22" s="11"/>
      <c r="S22" s="11" t="s">
        <v>32</v>
      </c>
      <c r="T22" s="30" t="n">
        <f aca="false">SUMIFS('Daily Transactions'!$C$2:$C$8647,'Daily Transactions'!$B$2:$B$8647,$S22 , 'Daily Transactions'!$G$2:$G$8647, $T$7)</f>
        <v>47987</v>
      </c>
      <c r="U22" s="30" t="n">
        <f aca="false">SUMIFS('Daily Transactions'!$C$2:$C$8647,'Daily Transactions'!$B$2:$B$8647,$S22 , 'Daily Transactions'!$G$2:$G$8647, $U$7)</f>
        <v>0</v>
      </c>
      <c r="V22" s="30" t="n">
        <f aca="false">SUM(T22:U22)</f>
        <v>47987</v>
      </c>
    </row>
    <row r="23" customFormat="false" ht="15" hidden="false" customHeight="false" outlineLevel="0" collapsed="false">
      <c r="A23" s="70" t="s">
        <v>36</v>
      </c>
      <c r="B23" s="73"/>
      <c r="C23" s="71" t="n">
        <v>880</v>
      </c>
      <c r="D23" s="71" t="n">
        <v>30</v>
      </c>
      <c r="E23" s="71" t="n">
        <v>650</v>
      </c>
      <c r="F23" s="71" t="n">
        <v>60</v>
      </c>
      <c r="G23" s="67"/>
      <c r="H23" s="71" t="n">
        <v>3850</v>
      </c>
      <c r="I23" s="67"/>
      <c r="J23" s="71" t="n">
        <v>220</v>
      </c>
      <c r="K23" s="71" t="n">
        <v>870</v>
      </c>
      <c r="L23" s="71" t="n">
        <v>3040</v>
      </c>
      <c r="M23" s="67"/>
      <c r="N23" s="67"/>
      <c r="O23" s="68"/>
      <c r="P23" s="69" t="n">
        <v>9600</v>
      </c>
      <c r="Q23" s="11"/>
      <c r="R23" s="11"/>
      <c r="S23" s="11" t="s">
        <v>40</v>
      </c>
      <c r="T23" s="30" t="n">
        <f aca="false">SUMIFS('Daily Transactions'!$C$2:$C$8647,'Daily Transactions'!$B$2:$B$8647,$S23 , 'Daily Transactions'!$G$2:$G$8647, $T$7)</f>
        <v>195057</v>
      </c>
      <c r="U23" s="30" t="n">
        <f aca="false">SUMIFS('Daily Transactions'!$C$2:$C$8647,'Daily Transactions'!$B$2:$B$8647,$S23 , 'Daily Transactions'!$G$2:$G$8647, $U$7)</f>
        <v>0</v>
      </c>
      <c r="V23" s="30" t="n">
        <f aca="false">SUM(T23:U23)</f>
        <v>195057</v>
      </c>
    </row>
    <row r="24" customFormat="false" ht="15" hidden="false" customHeight="true" outlineLevel="0" collapsed="false">
      <c r="A24" s="70" t="s">
        <v>12</v>
      </c>
      <c r="B24" s="73"/>
      <c r="C24" s="71" t="n">
        <v>19470</v>
      </c>
      <c r="D24" s="71" t="n">
        <v>21050</v>
      </c>
      <c r="E24" s="71" t="n">
        <v>21320</v>
      </c>
      <c r="F24" s="71" t="n">
        <v>19710</v>
      </c>
      <c r="G24" s="71" t="n">
        <v>23960</v>
      </c>
      <c r="H24" s="71" t="n">
        <v>20760</v>
      </c>
      <c r="I24" s="71" t="n">
        <v>19900</v>
      </c>
      <c r="J24" s="71" t="n">
        <v>19290</v>
      </c>
      <c r="K24" s="71" t="n">
        <v>20795</v>
      </c>
      <c r="L24" s="71" t="n">
        <v>25495</v>
      </c>
      <c r="M24" s="71" t="n">
        <v>115</v>
      </c>
      <c r="N24" s="67"/>
      <c r="O24" s="68"/>
      <c r="P24" s="69" t="n">
        <v>211865</v>
      </c>
    </row>
    <row r="25" customFormat="false" ht="15" hidden="false" customHeight="true" outlineLevel="0" collapsed="false">
      <c r="A25" s="70" t="s">
        <v>69</v>
      </c>
      <c r="B25" s="73"/>
      <c r="C25" s="71" t="n">
        <v>1500</v>
      </c>
      <c r="D25" s="71" t="n">
        <v>700</v>
      </c>
      <c r="E25" s="71" t="n">
        <v>2200</v>
      </c>
      <c r="F25" s="71" t="n">
        <v>2200</v>
      </c>
      <c r="G25" s="71" t="n">
        <v>2200</v>
      </c>
      <c r="H25" s="71" t="n">
        <v>2100</v>
      </c>
      <c r="I25" s="71" t="n">
        <v>2200</v>
      </c>
      <c r="J25" s="71" t="n">
        <v>2200</v>
      </c>
      <c r="K25" s="71" t="n">
        <v>2200</v>
      </c>
      <c r="L25" s="71" t="n">
        <v>2200</v>
      </c>
      <c r="M25" s="71" t="n">
        <v>700</v>
      </c>
      <c r="N25" s="67"/>
      <c r="O25" s="68"/>
      <c r="P25" s="69" t="n">
        <v>20400</v>
      </c>
    </row>
    <row r="26" customFormat="false" ht="15" hidden="false" customHeight="true" outlineLevel="0" collapsed="false">
      <c r="A26" s="70" t="s">
        <v>50</v>
      </c>
      <c r="B26" s="73"/>
      <c r="C26" s="71" t="n">
        <v>9100</v>
      </c>
      <c r="D26" s="71" t="n">
        <v>10920</v>
      </c>
      <c r="E26" s="71" t="n">
        <v>23660</v>
      </c>
      <c r="F26" s="71" t="n">
        <v>30180</v>
      </c>
      <c r="G26" s="71" t="n">
        <v>29920</v>
      </c>
      <c r="H26" s="71" t="n">
        <v>29580</v>
      </c>
      <c r="I26" s="71" t="n">
        <v>30204</v>
      </c>
      <c r="J26" s="71" t="n">
        <v>26320</v>
      </c>
      <c r="K26" s="71" t="n">
        <v>27081</v>
      </c>
      <c r="L26" s="71" t="n">
        <v>20917</v>
      </c>
      <c r="M26" s="67"/>
      <c r="N26" s="67"/>
      <c r="O26" s="68"/>
      <c r="P26" s="69" t="n">
        <v>237882</v>
      </c>
    </row>
    <row r="27" customFormat="false" ht="15" hidden="false" customHeight="true" outlineLevel="0" collapsed="false">
      <c r="A27" s="70" t="s">
        <v>22</v>
      </c>
      <c r="B27" s="73"/>
      <c r="C27" s="71" t="n">
        <v>26786</v>
      </c>
      <c r="D27" s="71" t="n">
        <v>76120</v>
      </c>
      <c r="E27" s="71" t="n">
        <v>109247</v>
      </c>
      <c r="F27" s="71" t="n">
        <v>73806</v>
      </c>
      <c r="G27" s="71" t="n">
        <v>74716</v>
      </c>
      <c r="H27" s="71" t="n">
        <v>69955</v>
      </c>
      <c r="I27" s="71" t="n">
        <v>72973</v>
      </c>
      <c r="J27" s="71" t="n">
        <v>93720.5</v>
      </c>
      <c r="K27" s="71" t="n">
        <v>73433</v>
      </c>
      <c r="L27" s="71" t="n">
        <v>88807</v>
      </c>
      <c r="M27" s="71" t="n">
        <v>94902</v>
      </c>
      <c r="N27" s="67"/>
      <c r="O27" s="68"/>
      <c r="P27" s="69" t="n">
        <v>854465.5</v>
      </c>
    </row>
    <row r="28" customFormat="false" ht="15" hidden="false" customHeight="true" outlineLevel="0" collapsed="false">
      <c r="A28" s="70" t="s">
        <v>199</v>
      </c>
      <c r="B28" s="73"/>
      <c r="C28" s="67"/>
      <c r="D28" s="67"/>
      <c r="E28" s="71" t="n">
        <v>330</v>
      </c>
      <c r="F28" s="67"/>
      <c r="G28" s="71" t="n">
        <v>2014</v>
      </c>
      <c r="H28" s="71" t="n">
        <v>2750</v>
      </c>
      <c r="I28" s="71" t="n">
        <v>5422</v>
      </c>
      <c r="J28" s="71" t="n">
        <v>1500</v>
      </c>
      <c r="K28" s="71" t="n">
        <v>4023</v>
      </c>
      <c r="L28" s="71" t="n">
        <v>8024</v>
      </c>
      <c r="M28" s="71" t="n">
        <v>1900</v>
      </c>
      <c r="N28" s="67"/>
      <c r="O28" s="68"/>
      <c r="P28" s="69" t="n">
        <v>25963</v>
      </c>
    </row>
    <row r="29" customFormat="false" ht="15" hidden="false" customHeight="true" outlineLevel="0" collapsed="false">
      <c r="A29" s="70" t="s">
        <v>102</v>
      </c>
      <c r="B29" s="73"/>
      <c r="C29" s="67"/>
      <c r="D29" s="71" t="n">
        <v>600</v>
      </c>
      <c r="E29" s="71" t="n">
        <v>600</v>
      </c>
      <c r="F29" s="71" t="n">
        <v>600</v>
      </c>
      <c r="G29" s="71" t="n">
        <v>600</v>
      </c>
      <c r="H29" s="71" t="n">
        <v>600</v>
      </c>
      <c r="I29" s="71" t="n">
        <v>600</v>
      </c>
      <c r="J29" s="67"/>
      <c r="K29" s="71" t="n">
        <v>1200</v>
      </c>
      <c r="L29" s="71" t="n">
        <v>600</v>
      </c>
      <c r="M29" s="67"/>
      <c r="N29" s="67"/>
      <c r="O29" s="68"/>
      <c r="P29" s="69" t="n">
        <v>5400</v>
      </c>
    </row>
    <row r="30" customFormat="false" ht="15" hidden="false" customHeight="true" outlineLevel="0" collapsed="false">
      <c r="A30" s="70" t="s">
        <v>37</v>
      </c>
      <c r="B30" s="73"/>
      <c r="C30" s="71" t="n">
        <v>148</v>
      </c>
      <c r="D30" s="71" t="n">
        <v>534</v>
      </c>
      <c r="E30" s="71" t="n">
        <v>702</v>
      </c>
      <c r="F30" s="71" t="n">
        <v>422</v>
      </c>
      <c r="G30" s="71" t="n">
        <v>355</v>
      </c>
      <c r="H30" s="71" t="n">
        <v>156</v>
      </c>
      <c r="I30" s="71" t="n">
        <v>170</v>
      </c>
      <c r="J30" s="71" t="n">
        <v>410</v>
      </c>
      <c r="K30" s="71" t="n">
        <v>380</v>
      </c>
      <c r="L30" s="71" t="n">
        <v>785</v>
      </c>
      <c r="M30" s="71" t="n">
        <v>503</v>
      </c>
      <c r="N30" s="67"/>
      <c r="O30" s="68"/>
      <c r="P30" s="69" t="n">
        <v>4565</v>
      </c>
    </row>
    <row r="31" customFormat="false" ht="15" hidden="false" customHeight="true" outlineLevel="0" collapsed="false">
      <c r="A31" s="70" t="s">
        <v>43</v>
      </c>
      <c r="B31" s="73"/>
      <c r="C31" s="71" t="n">
        <v>700</v>
      </c>
      <c r="D31" s="71" t="n">
        <v>4195</v>
      </c>
      <c r="E31" s="71" t="n">
        <v>2390</v>
      </c>
      <c r="F31" s="71" t="n">
        <v>3685</v>
      </c>
      <c r="G31" s="71" t="n">
        <v>13710</v>
      </c>
      <c r="H31" s="71" t="n">
        <v>10590</v>
      </c>
      <c r="I31" s="71" t="n">
        <v>5290</v>
      </c>
      <c r="J31" s="71" t="n">
        <v>19600</v>
      </c>
      <c r="K31" s="71" t="n">
        <v>12420</v>
      </c>
      <c r="L31" s="71" t="n">
        <v>33745</v>
      </c>
      <c r="M31" s="71" t="n">
        <v>43502</v>
      </c>
      <c r="N31" s="67"/>
      <c r="O31" s="68"/>
      <c r="P31" s="69" t="n">
        <v>149827</v>
      </c>
    </row>
    <row r="32" customFormat="false" ht="15" hidden="false" customHeight="true" outlineLevel="0" collapsed="false">
      <c r="A32" s="70" t="s">
        <v>107</v>
      </c>
      <c r="B32" s="73"/>
      <c r="C32" s="67"/>
      <c r="D32" s="71" t="n">
        <v>20</v>
      </c>
      <c r="E32" s="71" t="n">
        <v>700</v>
      </c>
      <c r="F32" s="67"/>
      <c r="G32" s="67"/>
      <c r="H32" s="71" t="n">
        <v>115</v>
      </c>
      <c r="I32" s="71" t="n">
        <v>90</v>
      </c>
      <c r="J32" s="71" t="n">
        <v>560</v>
      </c>
      <c r="K32" s="71" t="n">
        <v>50</v>
      </c>
      <c r="L32" s="71" t="n">
        <v>1440</v>
      </c>
      <c r="M32" s="71" t="n">
        <v>1530</v>
      </c>
      <c r="N32" s="67"/>
      <c r="O32" s="68"/>
      <c r="P32" s="69" t="n">
        <v>4505</v>
      </c>
    </row>
    <row r="33" customFormat="false" ht="15" hidden="false" customHeight="true" outlineLevel="0" collapsed="false">
      <c r="A33" s="70" t="s">
        <v>60</v>
      </c>
      <c r="B33" s="73"/>
      <c r="C33" s="71" t="n">
        <v>420</v>
      </c>
      <c r="D33" s="71" t="n">
        <v>630</v>
      </c>
      <c r="E33" s="71" t="n">
        <v>630</v>
      </c>
      <c r="F33" s="71" t="n">
        <v>420</v>
      </c>
      <c r="G33" s="71" t="n">
        <v>630</v>
      </c>
      <c r="H33" s="71" t="n">
        <v>910</v>
      </c>
      <c r="I33" s="71" t="n">
        <v>420</v>
      </c>
      <c r="J33" s="71" t="n">
        <v>420</v>
      </c>
      <c r="K33" s="71" t="n">
        <v>245</v>
      </c>
      <c r="L33" s="71" t="n">
        <v>1400</v>
      </c>
      <c r="M33" s="71" t="n">
        <v>840</v>
      </c>
      <c r="N33" s="67"/>
      <c r="O33" s="68"/>
      <c r="P33" s="69" t="n">
        <v>6965</v>
      </c>
    </row>
    <row r="34" customFormat="false" ht="15" hidden="false" customHeight="true" outlineLevel="0" collapsed="false">
      <c r="A34" s="70" t="s">
        <v>40</v>
      </c>
      <c r="B34" s="66" t="n">
        <v>1850</v>
      </c>
      <c r="C34" s="71" t="n">
        <v>1480</v>
      </c>
      <c r="D34" s="71" t="n">
        <v>11560</v>
      </c>
      <c r="E34" s="71" t="n">
        <v>82847</v>
      </c>
      <c r="F34" s="71" t="n">
        <v>8950</v>
      </c>
      <c r="G34" s="71" t="n">
        <v>15800</v>
      </c>
      <c r="H34" s="71" t="n">
        <v>10420</v>
      </c>
      <c r="I34" s="71" t="n">
        <v>11280</v>
      </c>
      <c r="J34" s="71" t="n">
        <v>13450</v>
      </c>
      <c r="K34" s="71" t="n">
        <v>11280</v>
      </c>
      <c r="L34" s="71" t="n">
        <v>15040</v>
      </c>
      <c r="M34" s="71" t="n">
        <v>11100</v>
      </c>
      <c r="N34" s="67"/>
      <c r="O34" s="68"/>
      <c r="P34" s="69" t="n">
        <v>195057</v>
      </c>
    </row>
    <row r="35" customFormat="false" ht="15" hidden="false" customHeight="true" outlineLevel="0" collapsed="false">
      <c r="A35" s="70" t="s">
        <v>31</v>
      </c>
      <c r="B35" s="73"/>
      <c r="C35" s="71" t="n">
        <v>500</v>
      </c>
      <c r="D35" s="71" t="n">
        <v>3725</v>
      </c>
      <c r="E35" s="71" t="n">
        <v>3765</v>
      </c>
      <c r="F35" s="71" t="n">
        <v>3265</v>
      </c>
      <c r="G35" s="71" t="n">
        <v>4805</v>
      </c>
      <c r="H35" s="71" t="n">
        <v>6720</v>
      </c>
      <c r="I35" s="71" t="n">
        <v>2020</v>
      </c>
      <c r="J35" s="71" t="n">
        <v>2230</v>
      </c>
      <c r="K35" s="71" t="n">
        <v>3190</v>
      </c>
      <c r="L35" s="71" t="n">
        <v>2460</v>
      </c>
      <c r="M35" s="71" t="n">
        <v>4670</v>
      </c>
      <c r="N35" s="67"/>
      <c r="O35" s="68"/>
      <c r="P35" s="69" t="n">
        <v>37350</v>
      </c>
    </row>
    <row r="36" customFormat="false" ht="15" hidden="false" customHeight="true" outlineLevel="0" collapsed="false">
      <c r="A36" s="70" t="s">
        <v>202</v>
      </c>
      <c r="B36" s="73"/>
      <c r="C36" s="67"/>
      <c r="D36" s="67"/>
      <c r="E36" s="71" t="n">
        <v>215</v>
      </c>
      <c r="F36" s="71" t="n">
        <v>1550</v>
      </c>
      <c r="G36" s="67"/>
      <c r="H36" s="67"/>
      <c r="I36" s="67"/>
      <c r="J36" s="71" t="n">
        <v>355</v>
      </c>
      <c r="K36" s="71" t="n">
        <v>1075</v>
      </c>
      <c r="L36" s="71" t="n">
        <v>90</v>
      </c>
      <c r="M36" s="71" t="n">
        <v>20</v>
      </c>
      <c r="N36" s="67"/>
      <c r="O36" s="68"/>
      <c r="P36" s="69" t="n">
        <v>3305</v>
      </c>
    </row>
    <row r="37" customFormat="false" ht="15" hidden="false" customHeight="true" outlineLevel="0" collapsed="false">
      <c r="A37" s="70" t="s">
        <v>67</v>
      </c>
      <c r="B37" s="73"/>
      <c r="C37" s="71" t="n">
        <v>8500</v>
      </c>
      <c r="D37" s="71" t="n">
        <v>2000</v>
      </c>
      <c r="E37" s="71" t="n">
        <v>19000</v>
      </c>
      <c r="F37" s="71" t="n">
        <v>2000</v>
      </c>
      <c r="G37" s="71" t="n">
        <v>19000</v>
      </c>
      <c r="H37" s="71" t="n">
        <v>2000</v>
      </c>
      <c r="I37" s="67"/>
      <c r="J37" s="67"/>
      <c r="K37" s="67"/>
      <c r="L37" s="67"/>
      <c r="M37" s="67"/>
      <c r="N37" s="67"/>
      <c r="O37" s="68"/>
      <c r="P37" s="69" t="n">
        <v>52500</v>
      </c>
    </row>
    <row r="38" customFormat="false" ht="15" hidden="false" customHeight="true" outlineLevel="0" collapsed="false">
      <c r="A38" s="70" t="s">
        <v>56</v>
      </c>
      <c r="B38" s="73"/>
      <c r="C38" s="71" t="n">
        <v>24778</v>
      </c>
      <c r="D38" s="71" t="n">
        <v>600</v>
      </c>
      <c r="E38" s="71" t="n">
        <v>3060</v>
      </c>
      <c r="F38" s="71" t="n">
        <v>1930</v>
      </c>
      <c r="G38" s="71" t="n">
        <v>1550</v>
      </c>
      <c r="H38" s="71" t="n">
        <v>10614</v>
      </c>
      <c r="I38" s="71" t="n">
        <v>13250</v>
      </c>
      <c r="J38" s="71" t="n">
        <v>1400</v>
      </c>
      <c r="K38" s="71" t="n">
        <v>33820</v>
      </c>
      <c r="L38" s="71" t="n">
        <v>9559</v>
      </c>
      <c r="M38" s="71" t="n">
        <v>4100</v>
      </c>
      <c r="N38" s="67"/>
      <c r="O38" s="68"/>
      <c r="P38" s="69" t="n">
        <v>104661</v>
      </c>
    </row>
    <row r="39" customFormat="false" ht="15" hidden="false" customHeight="true" outlineLevel="0" collapsed="false">
      <c r="A39" s="70" t="s">
        <v>267</v>
      </c>
      <c r="B39" s="73"/>
      <c r="C39" s="67"/>
      <c r="D39" s="67"/>
      <c r="E39" s="67"/>
      <c r="F39" s="67"/>
      <c r="G39" s="67"/>
      <c r="H39" s="67"/>
      <c r="I39" s="67"/>
      <c r="J39" s="67"/>
      <c r="K39" s="67"/>
      <c r="L39" s="71" t="n">
        <v>2600</v>
      </c>
      <c r="M39" s="67"/>
      <c r="N39" s="67"/>
      <c r="O39" s="68"/>
      <c r="P39" s="69" t="n">
        <v>2600</v>
      </c>
    </row>
    <row r="40" customFormat="false" ht="15" hidden="false" customHeight="true" outlineLevel="0" collapsed="false">
      <c r="A40" s="70" t="s">
        <v>285</v>
      </c>
      <c r="B40" s="73"/>
      <c r="C40" s="67"/>
      <c r="D40" s="67"/>
      <c r="E40" s="67"/>
      <c r="F40" s="67"/>
      <c r="G40" s="67"/>
      <c r="H40" s="67"/>
      <c r="I40" s="67"/>
      <c r="J40" s="67"/>
      <c r="K40" s="67"/>
      <c r="L40" s="71" t="n">
        <v>2950</v>
      </c>
      <c r="M40" s="67"/>
      <c r="N40" s="67"/>
      <c r="O40" s="68"/>
      <c r="P40" s="69" t="n">
        <v>2950</v>
      </c>
    </row>
    <row r="41" customFormat="false" ht="15" hidden="false" customHeight="true" outlineLevel="0" collapsed="false">
      <c r="A41" s="70" t="s">
        <v>258</v>
      </c>
      <c r="B41" s="73"/>
      <c r="C41" s="67"/>
      <c r="D41" s="67"/>
      <c r="E41" s="71" t="n">
        <v>7500</v>
      </c>
      <c r="F41" s="67"/>
      <c r="G41" s="67"/>
      <c r="H41" s="67"/>
      <c r="I41" s="67"/>
      <c r="J41" s="67"/>
      <c r="K41" s="67"/>
      <c r="L41" s="67"/>
      <c r="M41" s="67"/>
      <c r="N41" s="67"/>
      <c r="O41" s="68"/>
      <c r="P41" s="69" t="n">
        <v>7500</v>
      </c>
    </row>
    <row r="42" customFormat="false" ht="15" hidden="false" customHeight="true" outlineLevel="0" collapsed="false">
      <c r="A42" s="70" t="s">
        <v>35</v>
      </c>
      <c r="B42" s="73"/>
      <c r="C42" s="71" t="n">
        <v>100</v>
      </c>
      <c r="D42" s="71" t="n">
        <v>20</v>
      </c>
      <c r="E42" s="71" t="n">
        <v>100</v>
      </c>
      <c r="F42" s="71" t="n">
        <v>200</v>
      </c>
      <c r="G42" s="71" t="n">
        <v>130</v>
      </c>
      <c r="H42" s="71" t="n">
        <v>200</v>
      </c>
      <c r="I42" s="71" t="n">
        <v>2370</v>
      </c>
      <c r="J42" s="71" t="n">
        <v>170</v>
      </c>
      <c r="K42" s="71" t="n">
        <v>100</v>
      </c>
      <c r="L42" s="71" t="n">
        <v>6455</v>
      </c>
      <c r="M42" s="71" t="n">
        <v>545</v>
      </c>
      <c r="N42" s="67"/>
      <c r="O42" s="68"/>
      <c r="P42" s="69" t="n">
        <v>10390</v>
      </c>
    </row>
    <row r="43" customFormat="false" ht="15" hidden="false" customHeight="true" outlineLevel="0" collapsed="false">
      <c r="A43" s="70" t="s">
        <v>34</v>
      </c>
      <c r="B43" s="73"/>
      <c r="C43" s="71" t="n">
        <v>1201</v>
      </c>
      <c r="D43" s="71" t="n">
        <v>3168</v>
      </c>
      <c r="E43" s="71" t="n">
        <v>3968</v>
      </c>
      <c r="F43" s="71" t="n">
        <v>4212</v>
      </c>
      <c r="G43" s="71" t="n">
        <v>4320</v>
      </c>
      <c r="H43" s="71" t="n">
        <v>4576</v>
      </c>
      <c r="I43" s="71" t="n">
        <v>2523</v>
      </c>
      <c r="J43" s="71" t="n">
        <v>460</v>
      </c>
      <c r="K43" s="71" t="n">
        <v>3205</v>
      </c>
      <c r="L43" s="71" t="n">
        <v>3588</v>
      </c>
      <c r="M43" s="71" t="n">
        <v>1550</v>
      </c>
      <c r="N43" s="67"/>
      <c r="O43" s="68"/>
      <c r="P43" s="69" t="n">
        <v>32771</v>
      </c>
    </row>
    <row r="44" customFormat="false" ht="15" hidden="false" customHeight="true" outlineLevel="0" collapsed="false">
      <c r="A44" s="70" t="s">
        <v>29</v>
      </c>
      <c r="B44" s="73"/>
      <c r="C44" s="71" t="n">
        <v>5805</v>
      </c>
      <c r="D44" s="71" t="n">
        <v>25567</v>
      </c>
      <c r="E44" s="71" t="n">
        <v>24549</v>
      </c>
      <c r="F44" s="71" t="n">
        <v>16819</v>
      </c>
      <c r="G44" s="71" t="n">
        <v>16331</v>
      </c>
      <c r="H44" s="71" t="n">
        <v>18619</v>
      </c>
      <c r="I44" s="71" t="n">
        <v>12268</v>
      </c>
      <c r="J44" s="71" t="n">
        <v>13679</v>
      </c>
      <c r="K44" s="71" t="n">
        <v>12865</v>
      </c>
      <c r="L44" s="71" t="n">
        <v>45279</v>
      </c>
      <c r="M44" s="71" t="n">
        <v>42701</v>
      </c>
      <c r="N44" s="67"/>
      <c r="O44" s="68"/>
      <c r="P44" s="69" t="n">
        <v>234482</v>
      </c>
    </row>
    <row r="45" customFormat="false" ht="15" hidden="false" customHeight="true" outlineLevel="0" collapsed="false">
      <c r="A45" s="70" t="s">
        <v>201</v>
      </c>
      <c r="B45" s="73"/>
      <c r="C45" s="67"/>
      <c r="D45" s="67"/>
      <c r="E45" s="71" t="n">
        <v>2040</v>
      </c>
      <c r="F45" s="71" t="n">
        <v>2610</v>
      </c>
      <c r="G45" s="71" t="n">
        <v>2220</v>
      </c>
      <c r="H45" s="71" t="n">
        <v>2100</v>
      </c>
      <c r="I45" s="71" t="n">
        <v>1950</v>
      </c>
      <c r="J45" s="71" t="n">
        <v>140</v>
      </c>
      <c r="K45" s="67"/>
      <c r="L45" s="71" t="n">
        <v>1740</v>
      </c>
      <c r="M45" s="67"/>
      <c r="N45" s="67"/>
      <c r="O45" s="68"/>
      <c r="P45" s="69" t="n">
        <v>12800</v>
      </c>
    </row>
    <row r="46" customFormat="false" ht="15" hidden="false" customHeight="true" outlineLevel="0" collapsed="false">
      <c r="A46" s="70" t="s">
        <v>197</v>
      </c>
      <c r="B46" s="73"/>
      <c r="C46" s="67"/>
      <c r="D46" s="67"/>
      <c r="E46" s="71" t="n">
        <v>1200</v>
      </c>
      <c r="F46" s="67"/>
      <c r="G46" s="67"/>
      <c r="H46" s="67"/>
      <c r="I46" s="67"/>
      <c r="J46" s="71" t="n">
        <v>2200</v>
      </c>
      <c r="K46" s="71" t="n">
        <v>2000</v>
      </c>
      <c r="L46" s="71" t="n">
        <v>800</v>
      </c>
      <c r="M46" s="67"/>
      <c r="N46" s="67"/>
      <c r="O46" s="68"/>
      <c r="P46" s="69" t="n">
        <v>6200</v>
      </c>
    </row>
    <row r="47" customFormat="false" ht="15" hidden="false" customHeight="true" outlineLevel="0" collapsed="false">
      <c r="A47" s="70" t="s">
        <v>739</v>
      </c>
      <c r="B47" s="74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7"/>
      <c r="P47" s="100"/>
    </row>
    <row r="48" customFormat="false" ht="15" hidden="false" customHeight="true" outlineLevel="0" collapsed="false">
      <c r="A48" s="79" t="s">
        <v>740</v>
      </c>
      <c r="B48" s="80" t="n">
        <v>1850</v>
      </c>
      <c r="C48" s="81" t="n">
        <v>179356</v>
      </c>
      <c r="D48" s="81" t="n">
        <v>338757</v>
      </c>
      <c r="E48" s="81" t="n">
        <v>615722</v>
      </c>
      <c r="F48" s="81" t="n">
        <v>360903</v>
      </c>
      <c r="G48" s="81" t="n">
        <v>414366</v>
      </c>
      <c r="H48" s="81" t="n">
        <v>406384</v>
      </c>
      <c r="I48" s="81" t="n">
        <v>365247</v>
      </c>
      <c r="J48" s="81" t="n">
        <v>370789.5</v>
      </c>
      <c r="K48" s="81" t="n">
        <v>344413</v>
      </c>
      <c r="L48" s="81" t="n">
        <v>485115</v>
      </c>
      <c r="M48" s="81" t="n">
        <v>433417</v>
      </c>
      <c r="N48" s="108"/>
      <c r="O48" s="104"/>
      <c r="P48" s="83" t="n">
        <v>4316319.5</v>
      </c>
    </row>
    <row r="52" customFormat="false" ht="15" hidden="false" customHeight="false" outlineLevel="0" collapsed="false">
      <c r="H52" s="11"/>
      <c r="I52" s="11"/>
      <c r="J52" s="11"/>
      <c r="K52" s="11"/>
      <c r="L52" s="11"/>
      <c r="M52" s="11"/>
      <c r="N52" s="11"/>
    </row>
    <row r="53" customFormat="false" ht="15" hidden="false" customHeight="false" outlineLevel="0" collapsed="false">
      <c r="A53" s="39" t="s">
        <v>1</v>
      </c>
      <c r="B53" s="40" t="s">
        <v>44</v>
      </c>
      <c r="N53" s="11"/>
    </row>
    <row r="54" customFormat="false" ht="15" hidden="false" customHeight="false" outlineLevel="0" collapsed="false">
      <c r="N54" s="11"/>
    </row>
    <row r="55" customFormat="false" ht="15" hidden="false" customHeight="false" outlineLevel="0" collapsed="false">
      <c r="A55" s="47" t="s">
        <v>737</v>
      </c>
      <c r="B55" s="44" t="s">
        <v>5</v>
      </c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6"/>
    </row>
    <row r="56" customFormat="false" ht="15" hidden="false" customHeight="false" outlineLevel="0" collapsed="false">
      <c r="A56" s="48" t="s">
        <v>4</v>
      </c>
      <c r="B56" s="105" t="s">
        <v>1057</v>
      </c>
      <c r="C56" s="106" t="s">
        <v>1058</v>
      </c>
      <c r="D56" s="106" t="s">
        <v>1059</v>
      </c>
      <c r="E56" s="106" t="s">
        <v>1060</v>
      </c>
      <c r="F56" s="106" t="s">
        <v>1061</v>
      </c>
      <c r="G56" s="106" t="s">
        <v>1062</v>
      </c>
      <c r="H56" s="106" t="s">
        <v>1063</v>
      </c>
      <c r="I56" s="106" t="s">
        <v>1064</v>
      </c>
      <c r="J56" s="106" t="s">
        <v>1065</v>
      </c>
      <c r="K56" s="106" t="s">
        <v>1066</v>
      </c>
      <c r="L56" s="106" t="s">
        <v>680</v>
      </c>
      <c r="M56" s="107" t="s">
        <v>740</v>
      </c>
    </row>
    <row r="57" customFormat="false" ht="15" hidden="false" customHeight="false" outlineLevel="0" collapsed="false">
      <c r="A57" s="63" t="s">
        <v>392</v>
      </c>
      <c r="B57" s="58"/>
      <c r="C57" s="59"/>
      <c r="D57" s="59"/>
      <c r="E57" s="59"/>
      <c r="F57" s="59"/>
      <c r="G57" s="59"/>
      <c r="H57" s="59"/>
      <c r="I57" s="60" t="n">
        <v>1200</v>
      </c>
      <c r="J57" s="59"/>
      <c r="K57" s="59"/>
      <c r="L57" s="61"/>
      <c r="M57" s="62" t="n">
        <v>1200</v>
      </c>
      <c r="N57" s="11"/>
    </row>
    <row r="58" customFormat="false" ht="15" hidden="false" customHeight="false" outlineLevel="0" collapsed="false">
      <c r="A58" s="70" t="s">
        <v>655</v>
      </c>
      <c r="B58" s="73"/>
      <c r="C58" s="67"/>
      <c r="D58" s="67"/>
      <c r="E58" s="67"/>
      <c r="F58" s="67"/>
      <c r="G58" s="67"/>
      <c r="H58" s="67"/>
      <c r="I58" s="67"/>
      <c r="J58" s="67"/>
      <c r="K58" s="67"/>
      <c r="L58" s="72" t="n">
        <v>1250</v>
      </c>
      <c r="M58" s="69" t="n">
        <v>1250</v>
      </c>
      <c r="N58" s="11"/>
    </row>
    <row r="59" customFormat="false" ht="15" hidden="false" customHeight="false" outlineLevel="0" collapsed="false">
      <c r="A59" s="70" t="s">
        <v>338</v>
      </c>
      <c r="B59" s="73"/>
      <c r="C59" s="67"/>
      <c r="D59" s="67"/>
      <c r="E59" s="67"/>
      <c r="F59" s="67"/>
      <c r="G59" s="71" t="n">
        <v>1200</v>
      </c>
      <c r="H59" s="71" t="n">
        <v>1200</v>
      </c>
      <c r="I59" s="67"/>
      <c r="J59" s="67"/>
      <c r="K59" s="71" t="n">
        <v>1250</v>
      </c>
      <c r="L59" s="68"/>
      <c r="M59" s="69" t="n">
        <v>3650</v>
      </c>
      <c r="N59" s="11"/>
    </row>
    <row r="60" customFormat="false" ht="15" hidden="false" customHeight="false" outlineLevel="0" collapsed="false">
      <c r="A60" s="70" t="s">
        <v>624</v>
      </c>
      <c r="B60" s="73"/>
      <c r="C60" s="67"/>
      <c r="D60" s="67"/>
      <c r="E60" s="67"/>
      <c r="F60" s="67"/>
      <c r="G60" s="67"/>
      <c r="H60" s="67"/>
      <c r="I60" s="67"/>
      <c r="J60" s="67"/>
      <c r="K60" s="71" t="n">
        <v>500</v>
      </c>
      <c r="L60" s="68"/>
      <c r="M60" s="69" t="n">
        <v>500</v>
      </c>
    </row>
    <row r="61" customFormat="false" ht="22.5" hidden="false" customHeight="true" outlineLevel="0" collapsed="false">
      <c r="A61" s="70" t="s">
        <v>390</v>
      </c>
      <c r="B61" s="73"/>
      <c r="C61" s="67"/>
      <c r="D61" s="67"/>
      <c r="E61" s="67"/>
      <c r="F61" s="67"/>
      <c r="G61" s="67"/>
      <c r="H61" s="67"/>
      <c r="I61" s="71" t="n">
        <v>1000</v>
      </c>
      <c r="J61" s="67"/>
      <c r="K61" s="67"/>
      <c r="L61" s="68"/>
      <c r="M61" s="69" t="n">
        <v>1000</v>
      </c>
      <c r="P61" s="4" t="s">
        <v>1072</v>
      </c>
    </row>
    <row r="62" customFormat="false" ht="22.5" hidden="false" customHeight="true" outlineLevel="0" collapsed="false">
      <c r="A62" s="70" t="s">
        <v>44</v>
      </c>
      <c r="B62" s="73"/>
      <c r="C62" s="67"/>
      <c r="D62" s="67"/>
      <c r="E62" s="67"/>
      <c r="F62" s="67"/>
      <c r="G62" s="67"/>
      <c r="H62" s="67"/>
      <c r="I62" s="67"/>
      <c r="J62" s="67"/>
      <c r="K62" s="67"/>
      <c r="L62" s="72" t="n">
        <v>2000</v>
      </c>
      <c r="M62" s="69" t="n">
        <v>2000</v>
      </c>
      <c r="P62" s="8"/>
    </row>
    <row r="63" customFormat="false" ht="22.5" hidden="false" customHeight="true" outlineLevel="0" collapsed="false">
      <c r="A63" s="70" t="s">
        <v>628</v>
      </c>
      <c r="B63" s="73"/>
      <c r="C63" s="67"/>
      <c r="D63" s="67"/>
      <c r="E63" s="67"/>
      <c r="F63" s="67"/>
      <c r="G63" s="67"/>
      <c r="H63" s="67"/>
      <c r="I63" s="67"/>
      <c r="J63" s="67"/>
      <c r="K63" s="71" t="n">
        <v>500</v>
      </c>
      <c r="L63" s="68"/>
      <c r="M63" s="69" t="n">
        <v>500</v>
      </c>
      <c r="P63" s="8"/>
    </row>
    <row r="64" customFormat="false" ht="22.5" hidden="false" customHeight="true" outlineLevel="0" collapsed="false">
      <c r="A64" s="70" t="s">
        <v>405</v>
      </c>
      <c r="B64" s="73"/>
      <c r="C64" s="67"/>
      <c r="D64" s="67"/>
      <c r="E64" s="67"/>
      <c r="F64" s="67"/>
      <c r="G64" s="67"/>
      <c r="H64" s="67"/>
      <c r="I64" s="71" t="n">
        <v>3000</v>
      </c>
      <c r="J64" s="67"/>
      <c r="K64" s="67"/>
      <c r="L64" s="68"/>
      <c r="M64" s="69" t="n">
        <v>3000</v>
      </c>
      <c r="P64" s="8"/>
    </row>
    <row r="65" customFormat="false" ht="22.5" hidden="false" customHeight="true" outlineLevel="0" collapsed="false">
      <c r="A65" s="70" t="s">
        <v>576</v>
      </c>
      <c r="B65" s="73"/>
      <c r="C65" s="67"/>
      <c r="D65" s="67"/>
      <c r="E65" s="67"/>
      <c r="F65" s="67"/>
      <c r="G65" s="67"/>
      <c r="H65" s="67"/>
      <c r="I65" s="67"/>
      <c r="J65" s="67"/>
      <c r="K65" s="71" t="n">
        <v>1500</v>
      </c>
      <c r="L65" s="68"/>
      <c r="M65" s="69" t="n">
        <v>1500</v>
      </c>
      <c r="P65" s="8"/>
    </row>
    <row r="66" customFormat="false" ht="22.5" hidden="false" customHeight="true" outlineLevel="0" collapsed="false">
      <c r="A66" s="70" t="s">
        <v>243</v>
      </c>
      <c r="B66" s="73"/>
      <c r="C66" s="67"/>
      <c r="D66" s="71" t="n">
        <v>150</v>
      </c>
      <c r="E66" s="67"/>
      <c r="F66" s="67"/>
      <c r="G66" s="67"/>
      <c r="H66" s="67"/>
      <c r="I66" s="67"/>
      <c r="J66" s="67"/>
      <c r="K66" s="67"/>
      <c r="L66" s="68"/>
      <c r="M66" s="69" t="n">
        <v>150</v>
      </c>
      <c r="N66" s="11"/>
      <c r="P66" s="8"/>
    </row>
    <row r="67" customFormat="false" ht="22.5" hidden="false" customHeight="true" outlineLevel="0" collapsed="false">
      <c r="A67" s="70" t="s">
        <v>196</v>
      </c>
      <c r="B67" s="73"/>
      <c r="C67" s="67"/>
      <c r="D67" s="71" t="n">
        <v>4000</v>
      </c>
      <c r="E67" s="67"/>
      <c r="F67" s="67"/>
      <c r="G67" s="67"/>
      <c r="H67" s="67"/>
      <c r="I67" s="67"/>
      <c r="J67" s="67"/>
      <c r="K67" s="67"/>
      <c r="L67" s="68"/>
      <c r="M67" s="69" t="n">
        <v>4000</v>
      </c>
      <c r="N67" s="11"/>
      <c r="P67" s="8"/>
    </row>
    <row r="68" customFormat="false" ht="22.5" hidden="false" customHeight="true" outlineLevel="0" collapsed="false">
      <c r="A68" s="70" t="s">
        <v>591</v>
      </c>
      <c r="B68" s="73"/>
      <c r="C68" s="67"/>
      <c r="D68" s="67"/>
      <c r="E68" s="67"/>
      <c r="F68" s="67"/>
      <c r="G68" s="67"/>
      <c r="H68" s="67"/>
      <c r="I68" s="67"/>
      <c r="J68" s="67"/>
      <c r="K68" s="71" t="n">
        <v>1000</v>
      </c>
      <c r="L68" s="68"/>
      <c r="M68" s="69" t="n">
        <v>1000</v>
      </c>
      <c r="N68" s="11"/>
      <c r="P68" s="8"/>
    </row>
    <row r="69" customFormat="false" ht="22.5" hidden="false" customHeight="true" outlineLevel="0" collapsed="false">
      <c r="A69" s="70" t="s">
        <v>129</v>
      </c>
      <c r="B69" s="73"/>
      <c r="C69" s="71" t="n">
        <v>500</v>
      </c>
      <c r="D69" s="67"/>
      <c r="E69" s="67"/>
      <c r="F69" s="67"/>
      <c r="G69" s="67"/>
      <c r="H69" s="67"/>
      <c r="I69" s="67"/>
      <c r="J69" s="67"/>
      <c r="K69" s="67"/>
      <c r="L69" s="68"/>
      <c r="M69" s="69" t="n">
        <v>500</v>
      </c>
      <c r="N69" s="11"/>
      <c r="P69" s="8"/>
    </row>
    <row r="70" customFormat="false" ht="22.5" hidden="false" customHeight="true" outlineLevel="0" collapsed="false">
      <c r="A70" s="70" t="s">
        <v>212</v>
      </c>
      <c r="B70" s="73"/>
      <c r="C70" s="67"/>
      <c r="D70" s="71" t="n">
        <v>1500</v>
      </c>
      <c r="E70" s="67"/>
      <c r="F70" s="67"/>
      <c r="G70" s="67"/>
      <c r="H70" s="67"/>
      <c r="I70" s="67"/>
      <c r="J70" s="67"/>
      <c r="K70" s="67"/>
      <c r="L70" s="68"/>
      <c r="M70" s="69" t="n">
        <v>1500</v>
      </c>
      <c r="N70" s="11"/>
      <c r="P70" s="8"/>
    </row>
    <row r="71" customFormat="false" ht="22.5" hidden="false" customHeight="true" outlineLevel="0" collapsed="false">
      <c r="A71" s="70" t="s">
        <v>191</v>
      </c>
      <c r="B71" s="73"/>
      <c r="C71" s="67"/>
      <c r="D71" s="71" t="n">
        <v>500</v>
      </c>
      <c r="E71" s="67"/>
      <c r="F71" s="67"/>
      <c r="G71" s="67"/>
      <c r="H71" s="67"/>
      <c r="I71" s="67"/>
      <c r="J71" s="67"/>
      <c r="K71" s="67"/>
      <c r="L71" s="68"/>
      <c r="M71" s="69" t="n">
        <v>500</v>
      </c>
      <c r="N71" s="11"/>
      <c r="P71" s="8"/>
    </row>
    <row r="72" customFormat="false" ht="22.5" hidden="false" customHeight="true" outlineLevel="0" collapsed="false">
      <c r="A72" s="70" t="s">
        <v>77</v>
      </c>
      <c r="B72" s="73"/>
      <c r="C72" s="71" t="n">
        <v>3500</v>
      </c>
      <c r="D72" s="67"/>
      <c r="E72" s="67"/>
      <c r="F72" s="67"/>
      <c r="G72" s="67"/>
      <c r="H72" s="71" t="n">
        <v>3000</v>
      </c>
      <c r="I72" s="67"/>
      <c r="J72" s="67"/>
      <c r="K72" s="67"/>
      <c r="L72" s="68"/>
      <c r="M72" s="69" t="n">
        <v>6500</v>
      </c>
      <c r="N72" s="11"/>
      <c r="P72" s="8"/>
    </row>
    <row r="73" customFormat="false" ht="22.5" hidden="false" customHeight="true" outlineLevel="0" collapsed="false">
      <c r="A73" s="70" t="s">
        <v>673</v>
      </c>
      <c r="B73" s="73"/>
      <c r="C73" s="67"/>
      <c r="D73" s="67"/>
      <c r="E73" s="67"/>
      <c r="F73" s="67"/>
      <c r="G73" s="67"/>
      <c r="H73" s="67"/>
      <c r="I73" s="67"/>
      <c r="J73" s="67"/>
      <c r="K73" s="67"/>
      <c r="L73" s="72" t="n">
        <v>1000</v>
      </c>
      <c r="M73" s="69" t="n">
        <v>1000</v>
      </c>
      <c r="P73" s="8"/>
    </row>
    <row r="74" customFormat="false" ht="22.5" hidden="false" customHeight="true" outlineLevel="0" collapsed="false">
      <c r="A74" s="70" t="s">
        <v>690</v>
      </c>
      <c r="B74" s="73"/>
      <c r="C74" s="67"/>
      <c r="D74" s="67"/>
      <c r="E74" s="67"/>
      <c r="F74" s="67"/>
      <c r="G74" s="67"/>
      <c r="H74" s="67"/>
      <c r="I74" s="67"/>
      <c r="J74" s="67"/>
      <c r="K74" s="67"/>
      <c r="L74" s="72" t="n">
        <v>100</v>
      </c>
      <c r="M74" s="69" t="n">
        <v>100</v>
      </c>
      <c r="P74" s="8"/>
    </row>
    <row r="75" customFormat="false" ht="22.5" hidden="false" customHeight="true" outlineLevel="0" collapsed="false">
      <c r="A75" s="70" t="s">
        <v>58</v>
      </c>
      <c r="B75" s="66" t="n">
        <v>2700</v>
      </c>
      <c r="C75" s="67"/>
      <c r="D75" s="67"/>
      <c r="E75" s="67"/>
      <c r="F75" s="67"/>
      <c r="G75" s="67"/>
      <c r="H75" s="67"/>
      <c r="I75" s="67"/>
      <c r="J75" s="67"/>
      <c r="K75" s="67"/>
      <c r="L75" s="68"/>
      <c r="M75" s="69" t="n">
        <v>2700</v>
      </c>
      <c r="P75" s="8"/>
    </row>
    <row r="76" customFormat="false" ht="22.5" hidden="false" customHeight="true" outlineLevel="0" collapsed="false">
      <c r="A76" s="70" t="s">
        <v>377</v>
      </c>
      <c r="B76" s="73"/>
      <c r="C76" s="67"/>
      <c r="D76" s="67"/>
      <c r="E76" s="67"/>
      <c r="F76" s="67"/>
      <c r="G76" s="67"/>
      <c r="H76" s="71" t="n">
        <v>1000</v>
      </c>
      <c r="I76" s="71" t="n">
        <v>3000</v>
      </c>
      <c r="J76" s="71" t="n">
        <v>500</v>
      </c>
      <c r="K76" s="71" t="n">
        <v>500</v>
      </c>
      <c r="L76" s="68"/>
      <c r="M76" s="69" t="n">
        <v>5000</v>
      </c>
      <c r="P76" s="8"/>
    </row>
    <row r="77" customFormat="false" ht="22.5" hidden="false" customHeight="true" outlineLevel="0" collapsed="false">
      <c r="A77" s="70" t="s">
        <v>497</v>
      </c>
      <c r="B77" s="73"/>
      <c r="C77" s="67"/>
      <c r="D77" s="67"/>
      <c r="E77" s="67"/>
      <c r="F77" s="67"/>
      <c r="G77" s="67"/>
      <c r="H77" s="67"/>
      <c r="I77" s="71" t="n">
        <v>1000</v>
      </c>
      <c r="J77" s="71" t="n">
        <v>500</v>
      </c>
      <c r="K77" s="67"/>
      <c r="L77" s="68"/>
      <c r="M77" s="69" t="n">
        <v>1500</v>
      </c>
      <c r="P77" s="8"/>
    </row>
    <row r="78" customFormat="false" ht="22.5" hidden="false" customHeight="true" outlineLevel="0" collapsed="false">
      <c r="A78" s="70" t="s">
        <v>483</v>
      </c>
      <c r="B78" s="73"/>
      <c r="C78" s="67"/>
      <c r="D78" s="67"/>
      <c r="E78" s="67"/>
      <c r="F78" s="67"/>
      <c r="G78" s="67"/>
      <c r="H78" s="67"/>
      <c r="I78" s="71" t="n">
        <v>1000</v>
      </c>
      <c r="J78" s="71" t="n">
        <v>500</v>
      </c>
      <c r="K78" s="67"/>
      <c r="L78" s="68"/>
      <c r="M78" s="69" t="n">
        <v>1500</v>
      </c>
      <c r="P78" s="8"/>
    </row>
    <row r="79" customFormat="false" ht="22.5" hidden="false" customHeight="true" outlineLevel="0" collapsed="false">
      <c r="A79" s="70" t="s">
        <v>370</v>
      </c>
      <c r="B79" s="73"/>
      <c r="C79" s="67"/>
      <c r="D79" s="67"/>
      <c r="E79" s="67"/>
      <c r="F79" s="67"/>
      <c r="G79" s="67"/>
      <c r="H79" s="71" t="n">
        <v>2000</v>
      </c>
      <c r="I79" s="67"/>
      <c r="J79" s="71" t="n">
        <v>7000</v>
      </c>
      <c r="K79" s="67"/>
      <c r="L79" s="68"/>
      <c r="M79" s="69" t="n">
        <v>9000</v>
      </c>
      <c r="P79" s="8"/>
    </row>
    <row r="80" customFormat="false" ht="22.5" hidden="false" customHeight="true" outlineLevel="0" collapsed="false">
      <c r="A80" s="70" t="s">
        <v>80</v>
      </c>
      <c r="B80" s="73"/>
      <c r="C80" s="71" t="n">
        <v>1000</v>
      </c>
      <c r="D80" s="67"/>
      <c r="E80" s="67"/>
      <c r="F80" s="67"/>
      <c r="G80" s="67"/>
      <c r="H80" s="67"/>
      <c r="I80" s="67"/>
      <c r="J80" s="67"/>
      <c r="K80" s="67"/>
      <c r="L80" s="68"/>
      <c r="M80" s="69" t="n">
        <v>1000</v>
      </c>
      <c r="P80" s="8"/>
    </row>
    <row r="81" customFormat="false" ht="22.5" hidden="false" customHeight="true" outlineLevel="0" collapsed="false">
      <c r="A81" s="70" t="s">
        <v>451</v>
      </c>
      <c r="B81" s="73"/>
      <c r="C81" s="67"/>
      <c r="D81" s="67"/>
      <c r="E81" s="67"/>
      <c r="F81" s="67"/>
      <c r="G81" s="67"/>
      <c r="H81" s="67"/>
      <c r="I81" s="71" t="n">
        <v>349</v>
      </c>
      <c r="J81" s="67"/>
      <c r="K81" s="67"/>
      <c r="L81" s="68"/>
      <c r="M81" s="69" t="n">
        <v>349</v>
      </c>
      <c r="P81" s="8"/>
    </row>
    <row r="82" customFormat="false" ht="22.5" hidden="false" customHeight="true" outlineLevel="0" collapsed="false">
      <c r="A82" s="70" t="s">
        <v>261</v>
      </c>
      <c r="B82" s="73"/>
      <c r="C82" s="67"/>
      <c r="D82" s="67"/>
      <c r="E82" s="71" t="n">
        <v>2000</v>
      </c>
      <c r="F82" s="71" t="n">
        <v>6000</v>
      </c>
      <c r="G82" s="67"/>
      <c r="H82" s="67"/>
      <c r="I82" s="67"/>
      <c r="J82" s="67"/>
      <c r="K82" s="67"/>
      <c r="L82" s="68"/>
      <c r="M82" s="69" t="n">
        <v>8000</v>
      </c>
      <c r="P82" s="8"/>
    </row>
    <row r="83" customFormat="false" ht="22.5" hidden="false" customHeight="true" outlineLevel="0" collapsed="false">
      <c r="A83" s="70" t="s">
        <v>205</v>
      </c>
      <c r="B83" s="73"/>
      <c r="C83" s="67"/>
      <c r="D83" s="71" t="n">
        <v>5000</v>
      </c>
      <c r="E83" s="67"/>
      <c r="F83" s="67"/>
      <c r="G83" s="67"/>
      <c r="H83" s="67"/>
      <c r="I83" s="67"/>
      <c r="J83" s="67"/>
      <c r="K83" s="67"/>
      <c r="L83" s="68"/>
      <c r="M83" s="69" t="n">
        <v>5000</v>
      </c>
      <c r="P83" s="8"/>
    </row>
    <row r="84" customFormat="false" ht="22.5" hidden="false" customHeight="true" outlineLevel="0" collapsed="false">
      <c r="A84" s="70" t="s">
        <v>286</v>
      </c>
      <c r="B84" s="73"/>
      <c r="C84" s="67"/>
      <c r="D84" s="67"/>
      <c r="E84" s="71" t="n">
        <v>516</v>
      </c>
      <c r="F84" s="67"/>
      <c r="G84" s="67"/>
      <c r="H84" s="67"/>
      <c r="I84" s="67"/>
      <c r="J84" s="67"/>
      <c r="K84" s="67"/>
      <c r="L84" s="68"/>
      <c r="M84" s="69" t="n">
        <v>516</v>
      </c>
      <c r="P84" s="8"/>
    </row>
    <row r="85" customFormat="false" ht="22.5" hidden="false" customHeight="true" outlineLevel="0" collapsed="false">
      <c r="A85" s="70" t="s">
        <v>121</v>
      </c>
      <c r="B85" s="73"/>
      <c r="C85" s="71" t="n">
        <v>2300</v>
      </c>
      <c r="D85" s="67"/>
      <c r="E85" s="67"/>
      <c r="F85" s="67"/>
      <c r="G85" s="67"/>
      <c r="H85" s="67"/>
      <c r="I85" s="67"/>
      <c r="J85" s="67"/>
      <c r="K85" s="67"/>
      <c r="L85" s="68"/>
      <c r="M85" s="69" t="n">
        <v>2300</v>
      </c>
      <c r="P85" s="8"/>
    </row>
    <row r="86" customFormat="false" ht="22.5" hidden="false" customHeight="true" outlineLevel="0" collapsed="false">
      <c r="A86" s="70" t="s">
        <v>204</v>
      </c>
      <c r="B86" s="73"/>
      <c r="C86" s="67"/>
      <c r="D86" s="71" t="n">
        <v>4700</v>
      </c>
      <c r="E86" s="71" t="n">
        <v>1000</v>
      </c>
      <c r="F86" s="67"/>
      <c r="G86" s="71" t="n">
        <v>7200</v>
      </c>
      <c r="H86" s="67"/>
      <c r="I86" s="67"/>
      <c r="J86" s="67"/>
      <c r="K86" s="67"/>
      <c r="L86" s="68"/>
      <c r="M86" s="69" t="n">
        <v>12900</v>
      </c>
      <c r="P86" s="8"/>
    </row>
    <row r="87" customFormat="false" ht="22.5" hidden="false" customHeight="true" outlineLevel="0" collapsed="false">
      <c r="A87" s="70" t="s">
        <v>253</v>
      </c>
      <c r="B87" s="73"/>
      <c r="C87" s="67"/>
      <c r="D87" s="71" t="n">
        <v>1000</v>
      </c>
      <c r="E87" s="67"/>
      <c r="F87" s="67"/>
      <c r="G87" s="67"/>
      <c r="H87" s="67"/>
      <c r="I87" s="71" t="n">
        <v>6000</v>
      </c>
      <c r="J87" s="67"/>
      <c r="K87" s="67"/>
      <c r="L87" s="68"/>
      <c r="M87" s="69" t="n">
        <v>7000</v>
      </c>
      <c r="P87" s="8"/>
    </row>
    <row r="88" customFormat="false" ht="22.5" hidden="false" customHeight="true" outlineLevel="0" collapsed="false">
      <c r="A88" s="70" t="s">
        <v>85</v>
      </c>
      <c r="B88" s="73"/>
      <c r="C88" s="71" t="n">
        <v>3000</v>
      </c>
      <c r="D88" s="67"/>
      <c r="E88" s="71" t="n">
        <v>5000</v>
      </c>
      <c r="F88" s="71" t="n">
        <v>6000</v>
      </c>
      <c r="G88" s="71" t="n">
        <v>6000</v>
      </c>
      <c r="H88" s="71" t="n">
        <v>6000</v>
      </c>
      <c r="I88" s="67"/>
      <c r="J88" s="67"/>
      <c r="K88" s="67"/>
      <c r="L88" s="68"/>
      <c r="M88" s="69" t="n">
        <v>26000</v>
      </c>
      <c r="P88" s="8"/>
    </row>
    <row r="89" customFormat="false" ht="22.5" hidden="false" customHeight="true" outlineLevel="0" collapsed="false">
      <c r="A89" s="70" t="s">
        <v>573</v>
      </c>
      <c r="B89" s="73"/>
      <c r="C89" s="67"/>
      <c r="D89" s="67"/>
      <c r="E89" s="67"/>
      <c r="F89" s="67"/>
      <c r="G89" s="67"/>
      <c r="H89" s="67"/>
      <c r="I89" s="67"/>
      <c r="J89" s="67"/>
      <c r="K89" s="71" t="n">
        <v>6000</v>
      </c>
      <c r="L89" s="68"/>
      <c r="M89" s="69" t="n">
        <v>6000</v>
      </c>
      <c r="P89" s="8"/>
    </row>
    <row r="90" customFormat="false" ht="22.5" hidden="false" customHeight="true" outlineLevel="0" collapsed="false">
      <c r="A90" s="70" t="s">
        <v>649</v>
      </c>
      <c r="B90" s="73"/>
      <c r="C90" s="67"/>
      <c r="D90" s="67"/>
      <c r="E90" s="67"/>
      <c r="F90" s="67"/>
      <c r="G90" s="67"/>
      <c r="H90" s="67"/>
      <c r="I90" s="67"/>
      <c r="J90" s="67"/>
      <c r="K90" s="67"/>
      <c r="L90" s="72" t="n">
        <v>6000</v>
      </c>
      <c r="M90" s="69" t="n">
        <v>6000</v>
      </c>
      <c r="P90" s="8"/>
    </row>
    <row r="91" customFormat="false" ht="22.5" hidden="false" customHeight="true" outlineLevel="0" collapsed="false">
      <c r="A91" s="70" t="s">
        <v>87</v>
      </c>
      <c r="B91" s="73"/>
      <c r="C91" s="71" t="n">
        <v>200</v>
      </c>
      <c r="D91" s="71" t="n">
        <v>1000</v>
      </c>
      <c r="E91" s="67"/>
      <c r="F91" s="67"/>
      <c r="G91" s="67"/>
      <c r="H91" s="67"/>
      <c r="I91" s="67"/>
      <c r="J91" s="67"/>
      <c r="K91" s="67"/>
      <c r="L91" s="68"/>
      <c r="M91" s="69" t="n">
        <v>1200</v>
      </c>
      <c r="P91" s="8"/>
    </row>
    <row r="92" customFormat="false" ht="22.5" hidden="false" customHeight="true" outlineLevel="0" collapsed="false">
      <c r="A92" s="70" t="s">
        <v>611</v>
      </c>
      <c r="B92" s="73"/>
      <c r="C92" s="67"/>
      <c r="D92" s="67"/>
      <c r="E92" s="67"/>
      <c r="F92" s="67"/>
      <c r="G92" s="67"/>
      <c r="H92" s="67"/>
      <c r="I92" s="67"/>
      <c r="J92" s="67"/>
      <c r="K92" s="71" t="n">
        <v>1000</v>
      </c>
      <c r="L92" s="72" t="n">
        <v>3000</v>
      </c>
      <c r="M92" s="69" t="n">
        <v>4000</v>
      </c>
      <c r="P92" s="8"/>
    </row>
    <row r="93" customFormat="false" ht="22.5" hidden="false" customHeight="true" outlineLevel="0" collapsed="false">
      <c r="A93" s="70" t="s">
        <v>185</v>
      </c>
      <c r="B93" s="73"/>
      <c r="C93" s="67"/>
      <c r="D93" s="71" t="n">
        <v>6000</v>
      </c>
      <c r="E93" s="67"/>
      <c r="F93" s="67"/>
      <c r="G93" s="67"/>
      <c r="H93" s="67"/>
      <c r="I93" s="67"/>
      <c r="J93" s="67"/>
      <c r="K93" s="67"/>
      <c r="L93" s="68"/>
      <c r="M93" s="69" t="n">
        <v>6000</v>
      </c>
      <c r="P93" s="8"/>
    </row>
    <row r="94" customFormat="false" ht="22.5" hidden="false" customHeight="true" outlineLevel="0" collapsed="false">
      <c r="A94" s="70" t="s">
        <v>79</v>
      </c>
      <c r="B94" s="73"/>
      <c r="C94" s="71" t="n">
        <v>1000</v>
      </c>
      <c r="D94" s="67"/>
      <c r="E94" s="67"/>
      <c r="F94" s="67"/>
      <c r="G94" s="67"/>
      <c r="H94" s="67"/>
      <c r="I94" s="67"/>
      <c r="J94" s="67"/>
      <c r="K94" s="67"/>
      <c r="L94" s="68"/>
      <c r="M94" s="69" t="n">
        <v>1000</v>
      </c>
      <c r="P94" s="8"/>
    </row>
    <row r="95" customFormat="false" ht="22.5" hidden="false" customHeight="true" outlineLevel="0" collapsed="false">
      <c r="A95" s="70" t="s">
        <v>192</v>
      </c>
      <c r="B95" s="73"/>
      <c r="C95" s="67"/>
      <c r="D95" s="71" t="n">
        <v>500</v>
      </c>
      <c r="E95" s="67"/>
      <c r="F95" s="67"/>
      <c r="G95" s="67"/>
      <c r="H95" s="67"/>
      <c r="I95" s="67"/>
      <c r="J95" s="67"/>
      <c r="K95" s="67"/>
      <c r="L95" s="68"/>
      <c r="M95" s="69" t="n">
        <v>500</v>
      </c>
      <c r="P95" s="8"/>
    </row>
    <row r="96" customFormat="false" ht="22.5" hidden="false" customHeight="true" outlineLevel="0" collapsed="false">
      <c r="A96" s="70" t="s">
        <v>365</v>
      </c>
      <c r="B96" s="73"/>
      <c r="C96" s="67"/>
      <c r="D96" s="67"/>
      <c r="E96" s="67"/>
      <c r="F96" s="67"/>
      <c r="G96" s="67"/>
      <c r="H96" s="71" t="n">
        <v>3000</v>
      </c>
      <c r="I96" s="67"/>
      <c r="J96" s="67"/>
      <c r="K96" s="67"/>
      <c r="L96" s="68"/>
      <c r="M96" s="69" t="n">
        <v>3000</v>
      </c>
      <c r="P96" s="8"/>
    </row>
    <row r="97" customFormat="false" ht="22.5" hidden="false" customHeight="true" outlineLevel="0" collapsed="false">
      <c r="A97" s="70" t="s">
        <v>317</v>
      </c>
      <c r="B97" s="73"/>
      <c r="C97" s="67"/>
      <c r="D97" s="67"/>
      <c r="E97" s="67"/>
      <c r="F97" s="71" t="n">
        <v>200</v>
      </c>
      <c r="G97" s="71" t="n">
        <v>5100</v>
      </c>
      <c r="H97" s="71" t="n">
        <v>200</v>
      </c>
      <c r="I97" s="67"/>
      <c r="J97" s="67"/>
      <c r="K97" s="67"/>
      <c r="L97" s="68"/>
      <c r="M97" s="69" t="n">
        <v>5500</v>
      </c>
      <c r="P97" s="8"/>
    </row>
    <row r="98" customFormat="false" ht="22.5" hidden="false" customHeight="true" outlineLevel="0" collapsed="false">
      <c r="A98" s="70" t="s">
        <v>572</v>
      </c>
      <c r="B98" s="73"/>
      <c r="C98" s="67"/>
      <c r="D98" s="67"/>
      <c r="E98" s="67"/>
      <c r="F98" s="67"/>
      <c r="G98" s="67"/>
      <c r="H98" s="67"/>
      <c r="I98" s="67"/>
      <c r="J98" s="67"/>
      <c r="K98" s="71" t="n">
        <v>2240</v>
      </c>
      <c r="L98" s="68"/>
      <c r="M98" s="69" t="n">
        <v>2240</v>
      </c>
      <c r="P98" s="8"/>
    </row>
    <row r="99" customFormat="false" ht="22.5" hidden="false" customHeight="true" outlineLevel="0" collapsed="false">
      <c r="A99" s="70" t="s">
        <v>170</v>
      </c>
      <c r="B99" s="73"/>
      <c r="C99" s="71" t="n">
        <v>200</v>
      </c>
      <c r="D99" s="67"/>
      <c r="E99" s="67"/>
      <c r="F99" s="67"/>
      <c r="G99" s="67"/>
      <c r="H99" s="67"/>
      <c r="I99" s="67"/>
      <c r="J99" s="67"/>
      <c r="K99" s="67"/>
      <c r="L99" s="68"/>
      <c r="M99" s="69" t="n">
        <v>200</v>
      </c>
      <c r="P99" s="8"/>
    </row>
    <row r="100" customFormat="false" ht="22.5" hidden="false" customHeight="true" outlineLevel="0" collapsed="false">
      <c r="A100" s="70" t="s">
        <v>68</v>
      </c>
      <c r="B100" s="66" t="n">
        <v>2000</v>
      </c>
      <c r="C100" s="67"/>
      <c r="D100" s="67"/>
      <c r="E100" s="67"/>
      <c r="F100" s="67"/>
      <c r="G100" s="67"/>
      <c r="H100" s="67"/>
      <c r="I100" s="67"/>
      <c r="J100" s="67"/>
      <c r="K100" s="67"/>
      <c r="L100" s="68"/>
      <c r="M100" s="69" t="n">
        <v>2000</v>
      </c>
      <c r="P100" s="8"/>
    </row>
    <row r="101" customFormat="false" ht="22.5" hidden="false" customHeight="true" outlineLevel="0" collapsed="false">
      <c r="A101" s="70" t="s">
        <v>625</v>
      </c>
      <c r="B101" s="73"/>
      <c r="C101" s="67"/>
      <c r="D101" s="67"/>
      <c r="E101" s="67"/>
      <c r="F101" s="67"/>
      <c r="G101" s="67"/>
      <c r="H101" s="67"/>
      <c r="I101" s="67"/>
      <c r="J101" s="67"/>
      <c r="K101" s="67"/>
      <c r="L101" s="72" t="n">
        <v>600</v>
      </c>
      <c r="M101" s="69" t="n">
        <v>600</v>
      </c>
      <c r="P101" s="8"/>
    </row>
    <row r="102" customFormat="false" ht="22.5" hidden="false" customHeight="true" outlineLevel="0" collapsed="false">
      <c r="A102" s="70" t="s">
        <v>514</v>
      </c>
      <c r="B102" s="73"/>
      <c r="C102" s="67"/>
      <c r="D102" s="67"/>
      <c r="E102" s="67"/>
      <c r="F102" s="67"/>
      <c r="G102" s="67"/>
      <c r="H102" s="67"/>
      <c r="I102" s="67"/>
      <c r="J102" s="71" t="n">
        <v>605</v>
      </c>
      <c r="K102" s="67"/>
      <c r="L102" s="72" t="n">
        <v>120</v>
      </c>
      <c r="M102" s="69" t="n">
        <v>725</v>
      </c>
      <c r="P102" s="8"/>
    </row>
    <row r="103" customFormat="false" ht="22.5" hidden="false" customHeight="true" outlineLevel="0" collapsed="false">
      <c r="A103" s="70" t="s">
        <v>236</v>
      </c>
      <c r="B103" s="73"/>
      <c r="C103" s="67"/>
      <c r="D103" s="71" t="n">
        <v>600</v>
      </c>
      <c r="E103" s="67"/>
      <c r="F103" s="71" t="n">
        <v>600</v>
      </c>
      <c r="G103" s="67"/>
      <c r="H103" s="71" t="n">
        <v>1300</v>
      </c>
      <c r="I103" s="67"/>
      <c r="J103" s="67"/>
      <c r="K103" s="71" t="n">
        <v>5600</v>
      </c>
      <c r="L103" s="68"/>
      <c r="M103" s="69" t="n">
        <v>8100</v>
      </c>
      <c r="P103" s="8"/>
    </row>
    <row r="104" customFormat="false" ht="22.5" hidden="false" customHeight="true" outlineLevel="0" collapsed="false">
      <c r="A104" s="70" t="s">
        <v>341</v>
      </c>
      <c r="B104" s="73"/>
      <c r="C104" s="67"/>
      <c r="D104" s="67"/>
      <c r="E104" s="67"/>
      <c r="F104" s="67"/>
      <c r="G104" s="71" t="n">
        <v>170</v>
      </c>
      <c r="H104" s="67"/>
      <c r="I104" s="67"/>
      <c r="J104" s="67"/>
      <c r="K104" s="67"/>
      <c r="L104" s="68"/>
      <c r="M104" s="69" t="n">
        <v>170</v>
      </c>
      <c r="P104" s="8"/>
    </row>
    <row r="105" customFormat="false" ht="22.5" hidden="false" customHeight="true" outlineLevel="0" collapsed="false">
      <c r="A105" s="70" t="s">
        <v>354</v>
      </c>
      <c r="B105" s="73"/>
      <c r="C105" s="67"/>
      <c r="D105" s="67"/>
      <c r="E105" s="67"/>
      <c r="F105" s="67"/>
      <c r="G105" s="67"/>
      <c r="H105" s="71" t="n">
        <v>1500</v>
      </c>
      <c r="I105" s="71" t="n">
        <v>500</v>
      </c>
      <c r="J105" s="67"/>
      <c r="K105" s="67"/>
      <c r="L105" s="68"/>
      <c r="M105" s="69" t="n">
        <v>2000</v>
      </c>
      <c r="P105" s="8"/>
    </row>
    <row r="106" customFormat="false" ht="22.5" hidden="false" customHeight="true" outlineLevel="0" collapsed="false">
      <c r="A106" s="70" t="s">
        <v>371</v>
      </c>
      <c r="B106" s="73"/>
      <c r="C106" s="67"/>
      <c r="D106" s="67"/>
      <c r="E106" s="67"/>
      <c r="F106" s="67"/>
      <c r="G106" s="67"/>
      <c r="H106" s="71" t="n">
        <v>1000</v>
      </c>
      <c r="I106" s="67"/>
      <c r="J106" s="67"/>
      <c r="K106" s="67"/>
      <c r="L106" s="68"/>
      <c r="M106" s="69" t="n">
        <v>1000</v>
      </c>
      <c r="P106" s="8"/>
    </row>
    <row r="107" customFormat="false" ht="22.5" hidden="false" customHeight="true" outlineLevel="0" collapsed="false">
      <c r="A107" s="70" t="s">
        <v>334</v>
      </c>
      <c r="B107" s="73"/>
      <c r="C107" s="67"/>
      <c r="D107" s="67"/>
      <c r="E107" s="67"/>
      <c r="F107" s="67"/>
      <c r="G107" s="71" t="n">
        <v>300</v>
      </c>
      <c r="H107" s="71" t="n">
        <v>5000</v>
      </c>
      <c r="I107" s="67"/>
      <c r="J107" s="67"/>
      <c r="K107" s="67"/>
      <c r="L107" s="68"/>
      <c r="M107" s="69" t="n">
        <v>5300</v>
      </c>
      <c r="P107" s="8"/>
    </row>
    <row r="108" customFormat="false" ht="22.5" hidden="false" customHeight="true" outlineLevel="0" collapsed="false">
      <c r="A108" s="70" t="s">
        <v>211</v>
      </c>
      <c r="B108" s="73"/>
      <c r="C108" s="67"/>
      <c r="D108" s="71" t="n">
        <v>1000</v>
      </c>
      <c r="E108" s="71" t="n">
        <v>6000</v>
      </c>
      <c r="F108" s="71" t="n">
        <v>15000</v>
      </c>
      <c r="G108" s="67"/>
      <c r="H108" s="67"/>
      <c r="I108" s="67"/>
      <c r="J108" s="67"/>
      <c r="K108" s="67"/>
      <c r="L108" s="68"/>
      <c r="M108" s="69" t="n">
        <v>22000</v>
      </c>
      <c r="P108" s="8"/>
    </row>
    <row r="109" customFormat="false" ht="22.5" hidden="false" customHeight="true" outlineLevel="0" collapsed="false">
      <c r="A109" s="70" t="s">
        <v>115</v>
      </c>
      <c r="B109" s="73"/>
      <c r="C109" s="71" t="n">
        <v>6000</v>
      </c>
      <c r="D109" s="67"/>
      <c r="E109" s="67"/>
      <c r="F109" s="67"/>
      <c r="G109" s="67"/>
      <c r="H109" s="67"/>
      <c r="I109" s="67"/>
      <c r="J109" s="71" t="n">
        <v>200</v>
      </c>
      <c r="K109" s="71" t="n">
        <v>800</v>
      </c>
      <c r="L109" s="68"/>
      <c r="M109" s="69" t="n">
        <v>7000</v>
      </c>
      <c r="P109" s="8"/>
    </row>
    <row r="110" customFormat="false" ht="22.5" hidden="false" customHeight="true" outlineLevel="0" collapsed="false">
      <c r="A110" s="70" t="s">
        <v>658</v>
      </c>
      <c r="B110" s="73"/>
      <c r="C110" s="67"/>
      <c r="D110" s="67"/>
      <c r="E110" s="67"/>
      <c r="F110" s="67"/>
      <c r="G110" s="67"/>
      <c r="H110" s="67"/>
      <c r="I110" s="67"/>
      <c r="J110" s="67"/>
      <c r="K110" s="67"/>
      <c r="L110" s="72" t="n">
        <v>500</v>
      </c>
      <c r="M110" s="69" t="n">
        <v>500</v>
      </c>
      <c r="P110" s="8"/>
    </row>
    <row r="111" customFormat="false" ht="22.5" hidden="false" customHeight="true" outlineLevel="0" collapsed="false">
      <c r="A111" s="70" t="s">
        <v>179</v>
      </c>
      <c r="B111" s="73"/>
      <c r="C111" s="67"/>
      <c r="D111" s="71" t="n">
        <v>5000</v>
      </c>
      <c r="E111" s="67"/>
      <c r="F111" s="67"/>
      <c r="G111" s="67"/>
      <c r="H111" s="67"/>
      <c r="I111" s="67"/>
      <c r="J111" s="67"/>
      <c r="K111" s="67"/>
      <c r="L111" s="68"/>
      <c r="M111" s="69" t="n">
        <v>5000</v>
      </c>
      <c r="P111" s="8"/>
    </row>
    <row r="112" customFormat="false" ht="22.5" hidden="false" customHeight="true" outlineLevel="0" collapsed="false">
      <c r="A112" s="70" t="s">
        <v>316</v>
      </c>
      <c r="B112" s="73"/>
      <c r="C112" s="67"/>
      <c r="D112" s="67"/>
      <c r="E112" s="67"/>
      <c r="F112" s="71" t="n">
        <v>300</v>
      </c>
      <c r="G112" s="71" t="n">
        <v>4750</v>
      </c>
      <c r="H112" s="71" t="n">
        <v>3500</v>
      </c>
      <c r="I112" s="67"/>
      <c r="J112" s="67"/>
      <c r="K112" s="67"/>
      <c r="L112" s="68"/>
      <c r="M112" s="69" t="n">
        <v>8550</v>
      </c>
      <c r="P112" s="8"/>
    </row>
    <row r="113" customFormat="false" ht="22.5" hidden="false" customHeight="true" outlineLevel="0" collapsed="false">
      <c r="A113" s="70" t="s">
        <v>383</v>
      </c>
      <c r="B113" s="73"/>
      <c r="C113" s="67"/>
      <c r="D113" s="67"/>
      <c r="E113" s="67"/>
      <c r="F113" s="67"/>
      <c r="G113" s="67"/>
      <c r="H113" s="67"/>
      <c r="I113" s="71" t="n">
        <v>500</v>
      </c>
      <c r="J113" s="67"/>
      <c r="K113" s="67"/>
      <c r="L113" s="68"/>
      <c r="M113" s="69" t="n">
        <v>500</v>
      </c>
      <c r="P113" s="8"/>
    </row>
    <row r="114" customFormat="false" ht="22.5" hidden="false" customHeight="true" outlineLevel="0" collapsed="false">
      <c r="A114" s="70" t="s">
        <v>372</v>
      </c>
      <c r="B114" s="73"/>
      <c r="C114" s="67"/>
      <c r="D114" s="67"/>
      <c r="E114" s="67"/>
      <c r="F114" s="67"/>
      <c r="G114" s="67"/>
      <c r="H114" s="71" t="n">
        <v>7720</v>
      </c>
      <c r="I114" s="67"/>
      <c r="J114" s="67"/>
      <c r="K114" s="67"/>
      <c r="L114" s="68"/>
      <c r="M114" s="69" t="n">
        <v>7720</v>
      </c>
      <c r="P114" s="8"/>
    </row>
    <row r="115" customFormat="false" ht="22.5" hidden="false" customHeight="true" outlineLevel="0" collapsed="false">
      <c r="A115" s="70" t="s">
        <v>446</v>
      </c>
      <c r="B115" s="73"/>
      <c r="C115" s="67"/>
      <c r="D115" s="67"/>
      <c r="E115" s="67"/>
      <c r="F115" s="67"/>
      <c r="G115" s="67"/>
      <c r="H115" s="67"/>
      <c r="I115" s="71" t="n">
        <v>500</v>
      </c>
      <c r="J115" s="67"/>
      <c r="K115" s="67"/>
      <c r="L115" s="68"/>
      <c r="M115" s="69" t="n">
        <v>500</v>
      </c>
      <c r="P115" s="8"/>
    </row>
    <row r="116" customFormat="false" ht="22.5" hidden="false" customHeight="true" outlineLevel="0" collapsed="false">
      <c r="A116" s="70" t="s">
        <v>513</v>
      </c>
      <c r="B116" s="73"/>
      <c r="C116" s="67"/>
      <c r="D116" s="67"/>
      <c r="E116" s="67"/>
      <c r="F116" s="67"/>
      <c r="G116" s="67"/>
      <c r="H116" s="67"/>
      <c r="I116" s="67"/>
      <c r="J116" s="71" t="n">
        <v>5000</v>
      </c>
      <c r="K116" s="67"/>
      <c r="L116" s="68"/>
      <c r="M116" s="69" t="n">
        <v>5000</v>
      </c>
      <c r="P116" s="8"/>
    </row>
    <row r="117" customFormat="false" ht="22.5" hidden="false" customHeight="true" outlineLevel="0" collapsed="false">
      <c r="A117" s="70" t="s">
        <v>467</v>
      </c>
      <c r="B117" s="73"/>
      <c r="C117" s="67"/>
      <c r="D117" s="67"/>
      <c r="E117" s="67"/>
      <c r="F117" s="67"/>
      <c r="G117" s="67"/>
      <c r="H117" s="67"/>
      <c r="I117" s="71" t="n">
        <v>250</v>
      </c>
      <c r="J117" s="67"/>
      <c r="K117" s="67"/>
      <c r="L117" s="72" t="n">
        <v>10000</v>
      </c>
      <c r="M117" s="69" t="n">
        <v>10250</v>
      </c>
      <c r="P117" s="8"/>
    </row>
    <row r="118" customFormat="false" ht="22.5" hidden="false" customHeight="true" outlineLevel="0" collapsed="false">
      <c r="A118" s="70" t="s">
        <v>574</v>
      </c>
      <c r="B118" s="73"/>
      <c r="C118" s="67"/>
      <c r="D118" s="67"/>
      <c r="E118" s="67"/>
      <c r="F118" s="67"/>
      <c r="G118" s="67"/>
      <c r="H118" s="67"/>
      <c r="I118" s="67"/>
      <c r="J118" s="67"/>
      <c r="K118" s="71" t="n">
        <v>1000</v>
      </c>
      <c r="L118" s="68"/>
      <c r="M118" s="69" t="n">
        <v>1000</v>
      </c>
      <c r="P118" s="8"/>
    </row>
    <row r="119" customFormat="false" ht="22.5" hidden="false" customHeight="true" outlineLevel="0" collapsed="false">
      <c r="A119" s="70" t="s">
        <v>165</v>
      </c>
      <c r="B119" s="73"/>
      <c r="C119" s="71" t="n">
        <v>500</v>
      </c>
      <c r="D119" s="67"/>
      <c r="E119" s="67"/>
      <c r="F119" s="67"/>
      <c r="G119" s="67"/>
      <c r="H119" s="67"/>
      <c r="I119" s="67"/>
      <c r="J119" s="67"/>
      <c r="K119" s="67"/>
      <c r="L119" s="68"/>
      <c r="M119" s="69" t="n">
        <v>500</v>
      </c>
      <c r="P119" s="8"/>
    </row>
    <row r="120" customFormat="false" ht="22.5" hidden="false" customHeight="true" outlineLevel="0" collapsed="false">
      <c r="A120" s="70" t="s">
        <v>166</v>
      </c>
      <c r="B120" s="73"/>
      <c r="C120" s="71" t="n">
        <v>1000</v>
      </c>
      <c r="D120" s="67"/>
      <c r="E120" s="67"/>
      <c r="F120" s="67"/>
      <c r="G120" s="67"/>
      <c r="H120" s="67"/>
      <c r="I120" s="67"/>
      <c r="J120" s="67"/>
      <c r="K120" s="67"/>
      <c r="L120" s="68"/>
      <c r="M120" s="69" t="n">
        <v>1000</v>
      </c>
      <c r="P120" s="8"/>
    </row>
    <row r="121" customFormat="false" ht="22.5" hidden="false" customHeight="true" outlineLevel="0" collapsed="false">
      <c r="A121" s="70" t="s">
        <v>15</v>
      </c>
      <c r="B121" s="73"/>
      <c r="C121" s="67"/>
      <c r="D121" s="67"/>
      <c r="E121" s="67"/>
      <c r="F121" s="67"/>
      <c r="G121" s="71" t="n">
        <v>1900</v>
      </c>
      <c r="H121" s="67"/>
      <c r="I121" s="67"/>
      <c r="J121" s="67"/>
      <c r="K121" s="71" t="n">
        <v>4500</v>
      </c>
      <c r="L121" s="72" t="n">
        <v>2000</v>
      </c>
      <c r="M121" s="69" t="n">
        <v>8400</v>
      </c>
      <c r="P121" s="8"/>
    </row>
    <row r="122" customFormat="false" ht="22.5" hidden="false" customHeight="true" outlineLevel="0" collapsed="false">
      <c r="A122" s="70" t="s">
        <v>617</v>
      </c>
      <c r="B122" s="73"/>
      <c r="C122" s="67"/>
      <c r="D122" s="67"/>
      <c r="E122" s="67"/>
      <c r="F122" s="67"/>
      <c r="G122" s="67"/>
      <c r="H122" s="67"/>
      <c r="I122" s="67"/>
      <c r="J122" s="67"/>
      <c r="K122" s="71" t="n">
        <v>540</v>
      </c>
      <c r="L122" s="68"/>
      <c r="M122" s="69" t="n">
        <v>540</v>
      </c>
      <c r="P122" s="8"/>
    </row>
    <row r="123" customFormat="false" ht="22.5" hidden="false" customHeight="true" outlineLevel="0" collapsed="false">
      <c r="A123" s="70" t="s">
        <v>74</v>
      </c>
      <c r="B123" s="73"/>
      <c r="C123" s="71" t="n">
        <v>5000</v>
      </c>
      <c r="D123" s="67"/>
      <c r="E123" s="67"/>
      <c r="F123" s="67"/>
      <c r="G123" s="67"/>
      <c r="H123" s="67"/>
      <c r="I123" s="67"/>
      <c r="J123" s="67"/>
      <c r="K123" s="67"/>
      <c r="L123" s="68"/>
      <c r="M123" s="69" t="n">
        <v>5000</v>
      </c>
      <c r="P123" s="8"/>
    </row>
    <row r="124" customFormat="false" ht="22.5" hidden="false" customHeight="true" outlineLevel="0" collapsed="false">
      <c r="A124" s="70" t="s">
        <v>188</v>
      </c>
      <c r="B124" s="73"/>
      <c r="C124" s="67"/>
      <c r="D124" s="71" t="n">
        <v>6350</v>
      </c>
      <c r="E124" s="67"/>
      <c r="F124" s="67"/>
      <c r="G124" s="67"/>
      <c r="H124" s="67"/>
      <c r="I124" s="67"/>
      <c r="J124" s="67"/>
      <c r="K124" s="67"/>
      <c r="L124" s="68"/>
      <c r="M124" s="69" t="n">
        <v>6350</v>
      </c>
      <c r="P124" s="8"/>
    </row>
    <row r="125" customFormat="false" ht="22.5" hidden="false" customHeight="true" outlineLevel="0" collapsed="false">
      <c r="A125" s="70" t="s">
        <v>284</v>
      </c>
      <c r="B125" s="73"/>
      <c r="C125" s="67"/>
      <c r="D125" s="67"/>
      <c r="E125" s="71" t="n">
        <v>9728</v>
      </c>
      <c r="F125" s="67"/>
      <c r="G125" s="67"/>
      <c r="H125" s="67"/>
      <c r="I125" s="67"/>
      <c r="J125" s="67"/>
      <c r="K125" s="67"/>
      <c r="L125" s="68"/>
      <c r="M125" s="69" t="n">
        <v>9728</v>
      </c>
      <c r="P125" s="8"/>
    </row>
    <row r="126" customFormat="false" ht="22.5" hidden="false" customHeight="true" outlineLevel="0" collapsed="false">
      <c r="A126" s="70" t="s">
        <v>332</v>
      </c>
      <c r="B126" s="73"/>
      <c r="C126" s="67"/>
      <c r="D126" s="67"/>
      <c r="E126" s="67"/>
      <c r="F126" s="67"/>
      <c r="G126" s="71" t="n">
        <v>100</v>
      </c>
      <c r="H126" s="67"/>
      <c r="I126" s="67"/>
      <c r="J126" s="67"/>
      <c r="K126" s="67"/>
      <c r="L126" s="68"/>
      <c r="M126" s="69" t="n">
        <v>100</v>
      </c>
      <c r="P126" s="8"/>
    </row>
    <row r="127" customFormat="false" ht="22.5" hidden="false" customHeight="true" outlineLevel="0" collapsed="false">
      <c r="A127" s="70" t="s">
        <v>86</v>
      </c>
      <c r="B127" s="73"/>
      <c r="C127" s="71" t="n">
        <v>1500</v>
      </c>
      <c r="D127" s="67"/>
      <c r="E127" s="71" t="n">
        <v>15374</v>
      </c>
      <c r="F127" s="71" t="n">
        <v>11000</v>
      </c>
      <c r="G127" s="71" t="n">
        <v>16000</v>
      </c>
      <c r="H127" s="71" t="n">
        <v>7000</v>
      </c>
      <c r="I127" s="71" t="n">
        <v>7900</v>
      </c>
      <c r="J127" s="67"/>
      <c r="K127" s="67"/>
      <c r="L127" s="72" t="n">
        <v>4000</v>
      </c>
      <c r="M127" s="69" t="n">
        <v>62774</v>
      </c>
      <c r="P127" s="8"/>
    </row>
    <row r="128" customFormat="false" ht="22.5" hidden="false" customHeight="true" outlineLevel="0" collapsed="false">
      <c r="A128" s="70" t="s">
        <v>393</v>
      </c>
      <c r="B128" s="73"/>
      <c r="C128" s="67"/>
      <c r="D128" s="67"/>
      <c r="E128" s="67"/>
      <c r="F128" s="67"/>
      <c r="G128" s="67"/>
      <c r="H128" s="67"/>
      <c r="I128" s="71" t="n">
        <v>1000</v>
      </c>
      <c r="J128" s="67"/>
      <c r="K128" s="67"/>
      <c r="L128" s="68"/>
      <c r="M128" s="69" t="n">
        <v>1000</v>
      </c>
      <c r="P128" s="8"/>
    </row>
    <row r="129" customFormat="false" ht="22.5" hidden="false" customHeight="true" outlineLevel="0" collapsed="false">
      <c r="A129" s="70" t="s">
        <v>396</v>
      </c>
      <c r="B129" s="73"/>
      <c r="C129" s="67"/>
      <c r="D129" s="67"/>
      <c r="E129" s="67"/>
      <c r="F129" s="67"/>
      <c r="G129" s="67"/>
      <c r="H129" s="67"/>
      <c r="I129" s="71" t="n">
        <v>220</v>
      </c>
      <c r="J129" s="67"/>
      <c r="K129" s="67"/>
      <c r="L129" s="68"/>
      <c r="M129" s="69" t="n">
        <v>220</v>
      </c>
      <c r="P129" s="8"/>
    </row>
    <row r="130" customFormat="false" ht="22.5" hidden="false" customHeight="true" outlineLevel="0" collapsed="false">
      <c r="A130" s="70" t="s">
        <v>519</v>
      </c>
      <c r="B130" s="73"/>
      <c r="C130" s="67"/>
      <c r="D130" s="67"/>
      <c r="E130" s="67"/>
      <c r="F130" s="67"/>
      <c r="G130" s="67"/>
      <c r="H130" s="67"/>
      <c r="I130" s="67"/>
      <c r="J130" s="71" t="n">
        <v>500</v>
      </c>
      <c r="K130" s="67"/>
      <c r="L130" s="68"/>
      <c r="M130" s="69" t="n">
        <v>500</v>
      </c>
      <c r="P130" s="8"/>
    </row>
    <row r="131" customFormat="false" ht="22.5" hidden="false" customHeight="true" outlineLevel="0" collapsed="false">
      <c r="A131" s="70" t="s">
        <v>275</v>
      </c>
      <c r="B131" s="73"/>
      <c r="C131" s="67"/>
      <c r="D131" s="67"/>
      <c r="E131" s="71" t="n">
        <v>500</v>
      </c>
      <c r="F131" s="67"/>
      <c r="G131" s="67"/>
      <c r="H131" s="67"/>
      <c r="I131" s="67"/>
      <c r="J131" s="67"/>
      <c r="K131" s="67"/>
      <c r="L131" s="68"/>
      <c r="M131" s="69" t="n">
        <v>500</v>
      </c>
      <c r="P131" s="8"/>
    </row>
    <row r="132" customFormat="false" ht="22.5" hidden="false" customHeight="true" outlineLevel="0" collapsed="false">
      <c r="A132" s="70" t="s">
        <v>739</v>
      </c>
      <c r="B132" s="86" t="n">
        <v>10300</v>
      </c>
      <c r="C132" s="75"/>
      <c r="D132" s="75"/>
      <c r="E132" s="75"/>
      <c r="F132" s="75"/>
      <c r="G132" s="75"/>
      <c r="H132" s="75"/>
      <c r="I132" s="75"/>
      <c r="J132" s="75"/>
      <c r="K132" s="75"/>
      <c r="L132" s="77"/>
      <c r="M132" s="78" t="n">
        <v>10300</v>
      </c>
      <c r="P132" s="8"/>
    </row>
    <row r="133" customFormat="false" ht="22.5" hidden="false" customHeight="true" outlineLevel="0" collapsed="false">
      <c r="A133" s="79" t="s">
        <v>740</v>
      </c>
      <c r="B133" s="80" t="n">
        <v>15000</v>
      </c>
      <c r="C133" s="81" t="n">
        <v>25700</v>
      </c>
      <c r="D133" s="81" t="n">
        <v>37300</v>
      </c>
      <c r="E133" s="81" t="n">
        <v>40118</v>
      </c>
      <c r="F133" s="81" t="n">
        <v>39100</v>
      </c>
      <c r="G133" s="81" t="n">
        <v>42720</v>
      </c>
      <c r="H133" s="81" t="n">
        <v>43420</v>
      </c>
      <c r="I133" s="81" t="n">
        <v>27419</v>
      </c>
      <c r="J133" s="81" t="n">
        <v>14805</v>
      </c>
      <c r="K133" s="81" t="n">
        <v>26930</v>
      </c>
      <c r="L133" s="82" t="n">
        <v>30570</v>
      </c>
      <c r="M133" s="83" t="n">
        <v>343082</v>
      </c>
      <c r="P133" s="8"/>
    </row>
    <row r="134" customFormat="false" ht="22.5" hidden="false" customHeight="true" outlineLevel="0" collapsed="false">
      <c r="P134" s="8"/>
    </row>
    <row r="135" customFormat="false" ht="22.5" hidden="false" customHeight="true" outlineLevel="0" collapsed="false">
      <c r="P135" s="8"/>
    </row>
    <row r="136" customFormat="false" ht="22.5" hidden="false" customHeight="true" outlineLevel="0" collapsed="false">
      <c r="P136" s="8"/>
    </row>
    <row r="137" customFormat="false" ht="22.5" hidden="false" customHeight="true" outlineLevel="0" collapsed="false">
      <c r="P137" s="8"/>
    </row>
    <row r="138" customFormat="false" ht="22.5" hidden="false" customHeight="true" outlineLevel="0" collapsed="false">
      <c r="P138" s="8"/>
    </row>
    <row r="139" customFormat="false" ht="22.5" hidden="false" customHeight="true" outlineLevel="0" collapsed="false">
      <c r="P139" s="8"/>
    </row>
    <row r="140" customFormat="false" ht="22.5" hidden="false" customHeight="true" outlineLevel="0" collapsed="false">
      <c r="P140" s="8"/>
    </row>
    <row r="141" customFormat="false" ht="22.5" hidden="false" customHeight="true" outlineLevel="0" collapsed="false">
      <c r="P141" s="8"/>
    </row>
    <row r="142" customFormat="false" ht="22.5" hidden="false" customHeight="true" outlineLevel="0" collapsed="false">
      <c r="P142" s="8"/>
    </row>
    <row r="143" customFormat="false" ht="22.5" hidden="false" customHeight="true" outlineLevel="0" collapsed="false">
      <c r="P143" s="8"/>
    </row>
    <row r="144" customFormat="false" ht="22.5" hidden="false" customHeight="true" outlineLevel="0" collapsed="false">
      <c r="P144" s="8"/>
    </row>
    <row r="145" customFormat="false" ht="22.5" hidden="false" customHeight="true" outlineLevel="0" collapsed="false">
      <c r="P145" s="8"/>
    </row>
    <row r="146" customFormat="false" ht="22.5" hidden="false" customHeight="true" outlineLevel="0" collapsed="false">
      <c r="P146" s="8"/>
    </row>
    <row r="147" customFormat="false" ht="22.5" hidden="false" customHeight="true" outlineLevel="0" collapsed="false">
      <c r="P147" s="8"/>
    </row>
    <row r="148" customFormat="false" ht="22.5" hidden="false" customHeight="true" outlineLevel="0" collapsed="false">
      <c r="P148" s="8"/>
    </row>
    <row r="149" customFormat="false" ht="22.5" hidden="false" customHeight="true" outlineLevel="0" collapsed="false">
      <c r="P149" s="8"/>
    </row>
    <row r="150" customFormat="false" ht="22.5" hidden="false" customHeight="true" outlineLevel="0" collapsed="false">
      <c r="P150" s="8"/>
    </row>
    <row r="151" customFormat="false" ht="22.5" hidden="false" customHeight="true" outlineLevel="0" collapsed="false">
      <c r="P151" s="8"/>
    </row>
    <row r="152" customFormat="false" ht="22.5" hidden="false" customHeight="true" outlineLevel="0" collapsed="false">
      <c r="P152" s="8"/>
    </row>
    <row r="153" customFormat="false" ht="22.5" hidden="false" customHeight="true" outlineLevel="0" collapsed="false">
      <c r="P153" s="8"/>
    </row>
    <row r="154" customFormat="false" ht="22.5" hidden="false" customHeight="true" outlineLevel="0" collapsed="false">
      <c r="P154" s="8"/>
    </row>
    <row r="155" customFormat="false" ht="22.5" hidden="false" customHeight="true" outlineLevel="0" collapsed="false">
      <c r="P155" s="8"/>
    </row>
    <row r="156" customFormat="false" ht="22.5" hidden="false" customHeight="true" outlineLevel="0" collapsed="false">
      <c r="P156" s="8"/>
    </row>
    <row r="157" customFormat="false" ht="22.5" hidden="false" customHeight="true" outlineLevel="0" collapsed="false">
      <c r="P157" s="8"/>
    </row>
    <row r="158" customFormat="false" ht="22.5" hidden="false" customHeight="true" outlineLevel="0" collapsed="false">
      <c r="P158" s="8"/>
    </row>
    <row r="159" customFormat="false" ht="22.5" hidden="false" customHeight="true" outlineLevel="0" collapsed="false">
      <c r="P159" s="8"/>
    </row>
    <row r="160" customFormat="false" ht="22.5" hidden="false" customHeight="true" outlineLevel="0" collapsed="false">
      <c r="P160" s="8"/>
    </row>
    <row r="161" customFormat="false" ht="22.5" hidden="false" customHeight="true" outlineLevel="0" collapsed="false">
      <c r="P161" s="8"/>
    </row>
    <row r="162" customFormat="false" ht="22.5" hidden="false" customHeight="true" outlineLevel="0" collapsed="false">
      <c r="P162" s="8"/>
    </row>
    <row r="163" customFormat="false" ht="22.5" hidden="false" customHeight="true" outlineLevel="0" collapsed="false">
      <c r="P163" s="8"/>
    </row>
    <row r="164" customFormat="false" ht="22.5" hidden="false" customHeight="true" outlineLevel="0" collapsed="false">
      <c r="P164" s="8"/>
    </row>
    <row r="165" customFormat="false" ht="22.5" hidden="false" customHeight="true" outlineLevel="0" collapsed="false">
      <c r="P165" s="8"/>
    </row>
    <row r="166" customFormat="false" ht="22.5" hidden="false" customHeight="true" outlineLevel="0" collapsed="false">
      <c r="P166" s="8"/>
    </row>
    <row r="167" customFormat="false" ht="22.5" hidden="false" customHeight="true" outlineLevel="0" collapsed="false">
      <c r="P167" s="8"/>
    </row>
    <row r="168" customFormat="false" ht="22.5" hidden="false" customHeight="true" outlineLevel="0" collapsed="false">
      <c r="P168" s="8"/>
    </row>
    <row r="169" customFormat="false" ht="22.5" hidden="false" customHeight="true" outlineLevel="0" collapsed="false">
      <c r="P169" s="8"/>
    </row>
    <row r="170" customFormat="false" ht="22.5" hidden="false" customHeight="true" outlineLevel="0" collapsed="false">
      <c r="P170" s="8"/>
    </row>
    <row r="171" customFormat="false" ht="22.5" hidden="false" customHeight="true" outlineLevel="0" collapsed="false">
      <c r="P171" s="8"/>
    </row>
    <row r="172" customFormat="false" ht="22.5" hidden="false" customHeight="true" outlineLevel="0" collapsed="false">
      <c r="P172" s="8"/>
    </row>
    <row r="173" customFormat="false" ht="22.5" hidden="false" customHeight="true" outlineLevel="0" collapsed="false">
      <c r="P173" s="8"/>
    </row>
    <row r="174" customFormat="false" ht="22.5" hidden="false" customHeight="true" outlineLevel="0" collapsed="false">
      <c r="P174" s="8"/>
    </row>
    <row r="175" customFormat="false" ht="22.5" hidden="false" customHeight="true" outlineLevel="0" collapsed="false">
      <c r="P175" s="8"/>
    </row>
    <row r="176" customFormat="false" ht="22.5" hidden="false" customHeight="true" outlineLevel="0" collapsed="false">
      <c r="P176" s="8"/>
    </row>
    <row r="177" customFormat="false" ht="22.5" hidden="false" customHeight="true" outlineLevel="0" collapsed="false">
      <c r="P177" s="8"/>
    </row>
    <row r="178" customFormat="false" ht="22.5" hidden="false" customHeight="true" outlineLevel="0" collapsed="false">
      <c r="P178" s="8"/>
    </row>
    <row r="179" customFormat="false" ht="22.5" hidden="false" customHeight="true" outlineLevel="0" collapsed="false">
      <c r="P179" s="8"/>
    </row>
    <row r="180" customFormat="false" ht="22.5" hidden="false" customHeight="true" outlineLevel="0" collapsed="false">
      <c r="P180" s="8"/>
    </row>
    <row r="181" customFormat="false" ht="22.5" hidden="false" customHeight="true" outlineLevel="0" collapsed="false">
      <c r="P181" s="8"/>
    </row>
    <row r="182" customFormat="false" ht="22.5" hidden="false" customHeight="true" outlineLevel="0" collapsed="false">
      <c r="P182" s="8"/>
    </row>
    <row r="183" customFormat="false" ht="22.5" hidden="false" customHeight="true" outlineLevel="0" collapsed="false">
      <c r="P183" s="8"/>
    </row>
    <row r="184" customFormat="false" ht="22.5" hidden="false" customHeight="true" outlineLevel="0" collapsed="false">
      <c r="P184" s="8"/>
    </row>
    <row r="185" customFormat="false" ht="22.5" hidden="false" customHeight="true" outlineLevel="0" collapsed="false">
      <c r="P185" s="8"/>
    </row>
    <row r="186" customFormat="false" ht="22.5" hidden="false" customHeight="true" outlineLevel="0" collapsed="false">
      <c r="P186" s="8"/>
    </row>
    <row r="187" customFormat="false" ht="22.5" hidden="false" customHeight="true" outlineLevel="0" collapsed="false">
      <c r="P187" s="8"/>
    </row>
    <row r="188" customFormat="false" ht="22.5" hidden="false" customHeight="true" outlineLevel="0" collapsed="false">
      <c r="P188" s="8"/>
    </row>
    <row r="189" customFormat="false" ht="22.5" hidden="false" customHeight="true" outlineLevel="0" collapsed="false">
      <c r="P189" s="8"/>
    </row>
    <row r="190" customFormat="false" ht="22.5" hidden="false" customHeight="true" outlineLevel="0" collapsed="false">
      <c r="P190" s="8"/>
    </row>
    <row r="191" customFormat="false" ht="22.5" hidden="false" customHeight="true" outlineLevel="0" collapsed="false">
      <c r="P191" s="8"/>
    </row>
    <row r="192" customFormat="false" ht="22.5" hidden="false" customHeight="true" outlineLevel="0" collapsed="false">
      <c r="P192" s="8"/>
    </row>
    <row r="193" customFormat="false" ht="22.5" hidden="false" customHeight="true" outlineLevel="0" collapsed="false">
      <c r="P193" s="8"/>
    </row>
    <row r="194" customFormat="false" ht="22.5" hidden="false" customHeight="true" outlineLevel="0" collapsed="false">
      <c r="P194" s="8"/>
    </row>
    <row r="195" customFormat="false" ht="22.5" hidden="false" customHeight="true" outlineLevel="0" collapsed="false">
      <c r="P195" s="8"/>
    </row>
    <row r="196" customFormat="false" ht="22.5" hidden="false" customHeight="true" outlineLevel="0" collapsed="false">
      <c r="P196" s="8"/>
    </row>
    <row r="197" customFormat="false" ht="22.5" hidden="false" customHeight="true" outlineLevel="0" collapsed="false">
      <c r="P197" s="8"/>
    </row>
    <row r="198" customFormat="false" ht="22.5" hidden="false" customHeight="true" outlineLevel="0" collapsed="false">
      <c r="P198" s="8"/>
    </row>
    <row r="199" customFormat="false" ht="22.5" hidden="false" customHeight="true" outlineLevel="0" collapsed="false">
      <c r="P199" s="8"/>
    </row>
    <row r="200" customFormat="false" ht="22.5" hidden="false" customHeight="true" outlineLevel="0" collapsed="false">
      <c r="P200" s="8"/>
    </row>
    <row r="201" customFormat="false" ht="22.5" hidden="false" customHeight="true" outlineLevel="0" collapsed="false">
      <c r="P201" s="8"/>
    </row>
    <row r="202" customFormat="false" ht="22.5" hidden="false" customHeight="true" outlineLevel="0" collapsed="false">
      <c r="P202" s="8"/>
    </row>
    <row r="203" customFormat="false" ht="22.5" hidden="false" customHeight="true" outlineLevel="0" collapsed="false">
      <c r="P203" s="8"/>
    </row>
    <row r="204" customFormat="false" ht="22.5" hidden="false" customHeight="true" outlineLevel="0" collapsed="false">
      <c r="P204" s="8"/>
    </row>
    <row r="205" customFormat="false" ht="22.5" hidden="false" customHeight="true" outlineLevel="0" collapsed="false">
      <c r="P205" s="8"/>
    </row>
    <row r="206" customFormat="false" ht="22.5" hidden="false" customHeight="true" outlineLevel="0" collapsed="false">
      <c r="P206" s="8"/>
    </row>
    <row r="207" customFormat="false" ht="22.5" hidden="false" customHeight="true" outlineLevel="0" collapsed="false">
      <c r="P207" s="8"/>
    </row>
    <row r="208" customFormat="false" ht="22.5" hidden="false" customHeight="true" outlineLevel="0" collapsed="false">
      <c r="P208" s="8"/>
    </row>
    <row r="209" customFormat="false" ht="22.5" hidden="false" customHeight="true" outlineLevel="0" collapsed="false">
      <c r="P209" s="8"/>
    </row>
    <row r="210" customFormat="false" ht="22.5" hidden="false" customHeight="true" outlineLevel="0" collapsed="false">
      <c r="P210" s="8"/>
    </row>
    <row r="211" customFormat="false" ht="22.5" hidden="false" customHeight="true" outlineLevel="0" collapsed="false">
      <c r="P211" s="8"/>
    </row>
    <row r="212" customFormat="false" ht="22.5" hidden="false" customHeight="true" outlineLevel="0" collapsed="false">
      <c r="P212" s="8"/>
    </row>
    <row r="213" customFormat="false" ht="22.5" hidden="false" customHeight="true" outlineLevel="0" collapsed="false">
      <c r="P213" s="8"/>
    </row>
    <row r="214" customFormat="false" ht="22.5" hidden="false" customHeight="true" outlineLevel="0" collapsed="false">
      <c r="P214" s="8"/>
    </row>
    <row r="215" customFormat="false" ht="22.5" hidden="false" customHeight="true" outlineLevel="0" collapsed="false">
      <c r="P215" s="8"/>
    </row>
    <row r="216" customFormat="false" ht="22.5" hidden="false" customHeight="true" outlineLevel="0" collapsed="false">
      <c r="P216" s="8"/>
    </row>
    <row r="217" customFormat="false" ht="22.5" hidden="false" customHeight="true" outlineLevel="0" collapsed="false">
      <c r="P217" s="8"/>
    </row>
    <row r="218" customFormat="false" ht="22.5" hidden="false" customHeight="true" outlineLevel="0" collapsed="false">
      <c r="P218" s="8"/>
    </row>
    <row r="219" customFormat="false" ht="22.5" hidden="false" customHeight="true" outlineLevel="0" collapsed="false">
      <c r="P219" s="8"/>
    </row>
    <row r="220" customFormat="false" ht="22.5" hidden="false" customHeight="true" outlineLevel="0" collapsed="false">
      <c r="P220" s="8"/>
    </row>
    <row r="221" customFormat="false" ht="22.5" hidden="false" customHeight="true" outlineLevel="0" collapsed="false">
      <c r="P221" s="8"/>
    </row>
    <row r="222" customFormat="false" ht="22.5" hidden="false" customHeight="true" outlineLevel="0" collapsed="false">
      <c r="P222" s="8"/>
    </row>
    <row r="223" customFormat="false" ht="22.5" hidden="false" customHeight="true" outlineLevel="0" collapsed="false">
      <c r="P223" s="8"/>
    </row>
    <row r="224" customFormat="false" ht="22.5" hidden="false" customHeight="true" outlineLevel="0" collapsed="false">
      <c r="P224" s="8"/>
    </row>
    <row r="225" customFormat="false" ht="22.5" hidden="false" customHeight="true" outlineLevel="0" collapsed="false">
      <c r="P225" s="8"/>
    </row>
    <row r="226" customFormat="false" ht="22.5" hidden="false" customHeight="true" outlineLevel="0" collapsed="false">
      <c r="P226" s="8"/>
    </row>
    <row r="227" customFormat="false" ht="22.5" hidden="false" customHeight="true" outlineLevel="0" collapsed="false">
      <c r="P227" s="8"/>
    </row>
    <row r="228" customFormat="false" ht="22.5" hidden="false" customHeight="true" outlineLevel="0" collapsed="false">
      <c r="P228" s="8"/>
    </row>
    <row r="229" customFormat="false" ht="22.5" hidden="false" customHeight="true" outlineLevel="0" collapsed="false">
      <c r="P229" s="8"/>
    </row>
    <row r="230" customFormat="false" ht="22.5" hidden="false" customHeight="true" outlineLevel="0" collapsed="false">
      <c r="P230" s="8"/>
    </row>
    <row r="231" customFormat="false" ht="22.5" hidden="false" customHeight="true" outlineLevel="0" collapsed="false">
      <c r="P231" s="8"/>
    </row>
    <row r="232" customFormat="false" ht="22.5" hidden="false" customHeight="true" outlineLevel="0" collapsed="false">
      <c r="P232" s="8"/>
    </row>
    <row r="233" customFormat="false" ht="22.5" hidden="false" customHeight="true" outlineLevel="0" collapsed="false">
      <c r="P233" s="8"/>
    </row>
    <row r="234" customFormat="false" ht="22.5" hidden="false" customHeight="true" outlineLevel="0" collapsed="false">
      <c r="P234" s="8"/>
    </row>
    <row r="235" customFormat="false" ht="22.5" hidden="false" customHeight="true" outlineLevel="0" collapsed="false">
      <c r="P235" s="8"/>
    </row>
    <row r="236" customFormat="false" ht="22.5" hidden="false" customHeight="true" outlineLevel="0" collapsed="false">
      <c r="P236" s="8"/>
    </row>
    <row r="237" customFormat="false" ht="22.5" hidden="false" customHeight="true" outlineLevel="0" collapsed="false">
      <c r="P237" s="8"/>
    </row>
    <row r="238" customFormat="false" ht="22.5" hidden="false" customHeight="true" outlineLevel="0" collapsed="false">
      <c r="P238" s="8"/>
    </row>
    <row r="239" customFormat="false" ht="22.5" hidden="false" customHeight="true" outlineLevel="0" collapsed="false">
      <c r="P239" s="8"/>
    </row>
    <row r="240" customFormat="false" ht="22.5" hidden="false" customHeight="true" outlineLevel="0" collapsed="false">
      <c r="P240" s="8"/>
    </row>
    <row r="241" customFormat="false" ht="22.5" hidden="false" customHeight="true" outlineLevel="0" collapsed="false">
      <c r="P241" s="8"/>
    </row>
    <row r="242" customFormat="false" ht="22.5" hidden="false" customHeight="true" outlineLevel="0" collapsed="false">
      <c r="P242" s="8"/>
    </row>
    <row r="243" customFormat="false" ht="22.5" hidden="false" customHeight="true" outlineLevel="0" collapsed="false">
      <c r="P243" s="8"/>
    </row>
    <row r="244" customFormat="false" ht="22.5" hidden="false" customHeight="true" outlineLevel="0" collapsed="false">
      <c r="P244" s="8"/>
    </row>
    <row r="245" customFormat="false" ht="22.5" hidden="false" customHeight="true" outlineLevel="0" collapsed="false">
      <c r="P245" s="8"/>
    </row>
    <row r="246" customFormat="false" ht="22.5" hidden="false" customHeight="true" outlineLevel="0" collapsed="false">
      <c r="P246" s="8"/>
    </row>
    <row r="247" customFormat="false" ht="22.5" hidden="false" customHeight="true" outlineLevel="0" collapsed="false">
      <c r="P247" s="8"/>
    </row>
    <row r="248" customFormat="false" ht="22.5" hidden="false" customHeight="true" outlineLevel="0" collapsed="false">
      <c r="P248" s="8"/>
    </row>
    <row r="249" customFormat="false" ht="22.5" hidden="false" customHeight="true" outlineLevel="0" collapsed="false">
      <c r="P249" s="8"/>
    </row>
    <row r="250" customFormat="false" ht="22.5" hidden="false" customHeight="true" outlineLevel="0" collapsed="false">
      <c r="P250" s="8"/>
    </row>
    <row r="251" customFormat="false" ht="22.5" hidden="false" customHeight="true" outlineLevel="0" collapsed="false">
      <c r="P251" s="8"/>
    </row>
    <row r="252" customFormat="false" ht="22.5" hidden="false" customHeight="true" outlineLevel="0" collapsed="false">
      <c r="P252" s="8"/>
    </row>
    <row r="253" customFormat="false" ht="22.5" hidden="false" customHeight="true" outlineLevel="0" collapsed="false">
      <c r="P253" s="8"/>
    </row>
    <row r="254" customFormat="false" ht="22.5" hidden="false" customHeight="true" outlineLevel="0" collapsed="false">
      <c r="P254" s="8"/>
    </row>
    <row r="255" customFormat="false" ht="22.5" hidden="false" customHeight="true" outlineLevel="0" collapsed="false">
      <c r="P255" s="8"/>
    </row>
    <row r="256" customFormat="false" ht="22.5" hidden="false" customHeight="true" outlineLevel="0" collapsed="false">
      <c r="P256" s="8"/>
    </row>
    <row r="257" customFormat="false" ht="22.5" hidden="false" customHeight="true" outlineLevel="0" collapsed="false">
      <c r="P257" s="8"/>
    </row>
    <row r="258" customFormat="false" ht="22.5" hidden="false" customHeight="true" outlineLevel="0" collapsed="false">
      <c r="P258" s="8"/>
    </row>
    <row r="259" customFormat="false" ht="22.5" hidden="false" customHeight="true" outlineLevel="0" collapsed="false">
      <c r="P259" s="8"/>
    </row>
    <row r="260" customFormat="false" ht="22.5" hidden="false" customHeight="true" outlineLevel="0" collapsed="false">
      <c r="P260" s="8"/>
    </row>
    <row r="261" customFormat="false" ht="22.5" hidden="false" customHeight="true" outlineLevel="0" collapsed="false">
      <c r="P261" s="8"/>
    </row>
    <row r="262" customFormat="false" ht="22.5" hidden="false" customHeight="true" outlineLevel="0" collapsed="false">
      <c r="P262" s="8"/>
    </row>
    <row r="263" customFormat="false" ht="22.5" hidden="false" customHeight="true" outlineLevel="0" collapsed="false">
      <c r="P263" s="8"/>
    </row>
    <row r="264" customFormat="false" ht="22.5" hidden="false" customHeight="true" outlineLevel="0" collapsed="false">
      <c r="P264" s="8"/>
    </row>
    <row r="265" customFormat="false" ht="22.5" hidden="false" customHeight="true" outlineLevel="0" collapsed="false">
      <c r="P265" s="8"/>
    </row>
    <row r="266" customFormat="false" ht="22.5" hidden="false" customHeight="true" outlineLevel="0" collapsed="false">
      <c r="P266" s="8"/>
    </row>
    <row r="267" customFormat="false" ht="22.5" hidden="false" customHeight="true" outlineLevel="0" collapsed="false">
      <c r="P267" s="8"/>
    </row>
    <row r="268" customFormat="false" ht="22.5" hidden="false" customHeight="true" outlineLevel="0" collapsed="false">
      <c r="P268" s="8"/>
    </row>
    <row r="269" customFormat="false" ht="22.5" hidden="false" customHeight="true" outlineLevel="0" collapsed="false">
      <c r="P269" s="8"/>
    </row>
    <row r="270" customFormat="false" ht="22.5" hidden="false" customHeight="true" outlineLevel="0" collapsed="false">
      <c r="P270" s="8"/>
    </row>
    <row r="271" customFormat="false" ht="22.5" hidden="false" customHeight="true" outlineLevel="0" collapsed="false">
      <c r="P271" s="8"/>
    </row>
    <row r="272" customFormat="false" ht="22.5" hidden="false" customHeight="true" outlineLevel="0" collapsed="false">
      <c r="P272" s="8"/>
    </row>
    <row r="273" customFormat="false" ht="22.5" hidden="false" customHeight="true" outlineLevel="0" collapsed="false">
      <c r="P273" s="8"/>
    </row>
    <row r="274" customFormat="false" ht="22.5" hidden="false" customHeight="true" outlineLevel="0" collapsed="false">
      <c r="P274" s="8"/>
    </row>
    <row r="275" customFormat="false" ht="22.5" hidden="false" customHeight="true" outlineLevel="0" collapsed="false">
      <c r="P275" s="8"/>
    </row>
    <row r="276" customFormat="false" ht="22.5" hidden="false" customHeight="true" outlineLevel="0" collapsed="false">
      <c r="P276" s="8"/>
    </row>
    <row r="277" customFormat="false" ht="22.5" hidden="false" customHeight="true" outlineLevel="0" collapsed="false">
      <c r="P277" s="8"/>
    </row>
    <row r="278" customFormat="false" ht="22.5" hidden="false" customHeight="true" outlineLevel="0" collapsed="false">
      <c r="P278" s="8"/>
    </row>
    <row r="279" customFormat="false" ht="22.5" hidden="false" customHeight="true" outlineLevel="0" collapsed="false">
      <c r="P279" s="8"/>
    </row>
    <row r="280" customFormat="false" ht="22.5" hidden="false" customHeight="true" outlineLevel="0" collapsed="false">
      <c r="P280" s="8"/>
    </row>
    <row r="281" customFormat="false" ht="22.5" hidden="false" customHeight="true" outlineLevel="0" collapsed="false">
      <c r="P281" s="8"/>
    </row>
    <row r="282" customFormat="false" ht="22.5" hidden="false" customHeight="true" outlineLevel="0" collapsed="false">
      <c r="P282" s="8"/>
    </row>
    <row r="283" customFormat="false" ht="22.5" hidden="false" customHeight="true" outlineLevel="0" collapsed="false">
      <c r="P283" s="8"/>
    </row>
    <row r="284" customFormat="false" ht="22.5" hidden="false" customHeight="true" outlineLevel="0" collapsed="false">
      <c r="P284" s="8"/>
    </row>
    <row r="285" customFormat="false" ht="22.5" hidden="false" customHeight="true" outlineLevel="0" collapsed="false">
      <c r="P285" s="8"/>
    </row>
    <row r="286" customFormat="false" ht="22.5" hidden="false" customHeight="true" outlineLevel="0" collapsed="false">
      <c r="P286" s="8"/>
    </row>
    <row r="287" customFormat="false" ht="22.5" hidden="false" customHeight="true" outlineLevel="0" collapsed="false">
      <c r="P287" s="8"/>
    </row>
    <row r="288" customFormat="false" ht="22.5" hidden="false" customHeight="true" outlineLevel="0" collapsed="false">
      <c r="P288" s="8"/>
    </row>
    <row r="289" customFormat="false" ht="22.5" hidden="false" customHeight="true" outlineLevel="0" collapsed="false">
      <c r="P289" s="8"/>
    </row>
    <row r="290" customFormat="false" ht="22.5" hidden="false" customHeight="true" outlineLevel="0" collapsed="false">
      <c r="P290" s="8"/>
    </row>
    <row r="291" customFormat="false" ht="22.5" hidden="false" customHeight="true" outlineLevel="0" collapsed="false">
      <c r="P291" s="8"/>
    </row>
    <row r="292" customFormat="false" ht="22.5" hidden="false" customHeight="true" outlineLevel="0" collapsed="false">
      <c r="P292" s="8"/>
    </row>
    <row r="293" customFormat="false" ht="22.5" hidden="false" customHeight="true" outlineLevel="0" collapsed="false">
      <c r="P293" s="8"/>
    </row>
    <row r="294" customFormat="false" ht="22.5" hidden="false" customHeight="true" outlineLevel="0" collapsed="false">
      <c r="P294" s="8"/>
    </row>
    <row r="295" customFormat="false" ht="22.5" hidden="false" customHeight="true" outlineLevel="0" collapsed="false">
      <c r="P295" s="8"/>
    </row>
    <row r="296" customFormat="false" ht="22.5" hidden="false" customHeight="true" outlineLevel="0" collapsed="false">
      <c r="P296" s="8"/>
    </row>
    <row r="297" customFormat="false" ht="22.5" hidden="false" customHeight="true" outlineLevel="0" collapsed="false">
      <c r="P297" s="8"/>
    </row>
    <row r="298" customFormat="false" ht="22.5" hidden="false" customHeight="true" outlineLevel="0" collapsed="false">
      <c r="P298" s="8"/>
    </row>
    <row r="299" customFormat="false" ht="22.5" hidden="false" customHeight="true" outlineLevel="0" collapsed="false">
      <c r="P299" s="8"/>
    </row>
    <row r="300" customFormat="false" ht="22.5" hidden="false" customHeight="true" outlineLevel="0" collapsed="false">
      <c r="P300" s="8"/>
    </row>
    <row r="301" customFormat="false" ht="22.5" hidden="false" customHeight="true" outlineLevel="0" collapsed="false">
      <c r="P301" s="8"/>
    </row>
    <row r="302" customFormat="false" ht="22.5" hidden="false" customHeight="true" outlineLevel="0" collapsed="false">
      <c r="P302" s="8"/>
    </row>
    <row r="303" customFormat="false" ht="22.5" hidden="false" customHeight="true" outlineLevel="0" collapsed="false">
      <c r="P303" s="8"/>
    </row>
    <row r="304" customFormat="false" ht="22.5" hidden="false" customHeight="true" outlineLevel="0" collapsed="false">
      <c r="P304" s="8"/>
    </row>
    <row r="305" customFormat="false" ht="22.5" hidden="false" customHeight="true" outlineLevel="0" collapsed="false">
      <c r="P305" s="8"/>
    </row>
    <row r="306" customFormat="false" ht="22.5" hidden="false" customHeight="true" outlineLevel="0" collapsed="false">
      <c r="P306" s="8"/>
    </row>
    <row r="307" customFormat="false" ht="22.5" hidden="false" customHeight="true" outlineLevel="0" collapsed="false">
      <c r="P307" s="8"/>
    </row>
    <row r="308" customFormat="false" ht="22.5" hidden="false" customHeight="true" outlineLevel="0" collapsed="false">
      <c r="P308" s="8"/>
    </row>
    <row r="309" customFormat="false" ht="22.5" hidden="false" customHeight="true" outlineLevel="0" collapsed="false">
      <c r="P309" s="8"/>
    </row>
    <row r="310" customFormat="false" ht="22.5" hidden="false" customHeight="true" outlineLevel="0" collapsed="false">
      <c r="P310" s="8"/>
    </row>
    <row r="311" customFormat="false" ht="22.5" hidden="false" customHeight="true" outlineLevel="0" collapsed="false">
      <c r="P311" s="8"/>
    </row>
    <row r="312" customFormat="false" ht="22.5" hidden="false" customHeight="true" outlineLevel="0" collapsed="false">
      <c r="P312" s="8"/>
    </row>
    <row r="313" customFormat="false" ht="22.5" hidden="false" customHeight="true" outlineLevel="0" collapsed="false">
      <c r="P313" s="8"/>
    </row>
    <row r="314" customFormat="false" ht="22.5" hidden="false" customHeight="true" outlineLevel="0" collapsed="false">
      <c r="P314" s="8"/>
    </row>
    <row r="315" customFormat="false" ht="22.5" hidden="false" customHeight="true" outlineLevel="0" collapsed="false">
      <c r="P315" s="8"/>
    </row>
    <row r="316" customFormat="false" ht="22.5" hidden="false" customHeight="true" outlineLevel="0" collapsed="false">
      <c r="P316" s="8"/>
    </row>
    <row r="317" customFormat="false" ht="22.5" hidden="false" customHeight="true" outlineLevel="0" collapsed="false">
      <c r="P317" s="8"/>
    </row>
    <row r="318" customFormat="false" ht="22.5" hidden="false" customHeight="true" outlineLevel="0" collapsed="false">
      <c r="P318" s="8"/>
    </row>
    <row r="319" customFormat="false" ht="22.5" hidden="false" customHeight="true" outlineLevel="0" collapsed="false">
      <c r="P319" s="8"/>
    </row>
    <row r="320" customFormat="false" ht="22.5" hidden="false" customHeight="true" outlineLevel="0" collapsed="false">
      <c r="P320" s="8"/>
    </row>
    <row r="321" customFormat="false" ht="22.5" hidden="false" customHeight="true" outlineLevel="0" collapsed="false">
      <c r="P321" s="8"/>
    </row>
    <row r="322" customFormat="false" ht="22.5" hidden="false" customHeight="true" outlineLevel="0" collapsed="false">
      <c r="P322" s="8"/>
    </row>
    <row r="323" customFormat="false" ht="22.5" hidden="false" customHeight="true" outlineLevel="0" collapsed="false">
      <c r="P323" s="8"/>
    </row>
    <row r="324" customFormat="false" ht="22.5" hidden="false" customHeight="true" outlineLevel="0" collapsed="false">
      <c r="P324" s="8"/>
    </row>
    <row r="325" customFormat="false" ht="22.5" hidden="false" customHeight="true" outlineLevel="0" collapsed="false">
      <c r="P325" s="8"/>
    </row>
    <row r="326" customFormat="false" ht="22.5" hidden="false" customHeight="true" outlineLevel="0" collapsed="false">
      <c r="P326" s="8"/>
    </row>
    <row r="327" customFormat="false" ht="22.5" hidden="false" customHeight="true" outlineLevel="0" collapsed="false">
      <c r="P327" s="8"/>
    </row>
    <row r="328" customFormat="false" ht="22.5" hidden="false" customHeight="true" outlineLevel="0" collapsed="false">
      <c r="P328" s="8"/>
    </row>
    <row r="329" customFormat="false" ht="22.5" hidden="false" customHeight="true" outlineLevel="0" collapsed="false">
      <c r="P329" s="8"/>
    </row>
    <row r="330" customFormat="false" ht="22.5" hidden="false" customHeight="true" outlineLevel="0" collapsed="false">
      <c r="P330" s="8"/>
    </row>
    <row r="331" customFormat="false" ht="22.5" hidden="false" customHeight="true" outlineLevel="0" collapsed="false">
      <c r="P331" s="8"/>
    </row>
    <row r="332" customFormat="false" ht="22.5" hidden="false" customHeight="true" outlineLevel="0" collapsed="false">
      <c r="P332" s="8"/>
    </row>
    <row r="333" customFormat="false" ht="22.5" hidden="false" customHeight="true" outlineLevel="0" collapsed="false">
      <c r="P333" s="8"/>
    </row>
    <row r="334" customFormat="false" ht="22.5" hidden="false" customHeight="true" outlineLevel="0" collapsed="false">
      <c r="P334" s="8"/>
    </row>
    <row r="335" customFormat="false" ht="22.5" hidden="false" customHeight="true" outlineLevel="0" collapsed="false">
      <c r="P335" s="8"/>
    </row>
    <row r="336" customFormat="false" ht="22.5" hidden="false" customHeight="true" outlineLevel="0" collapsed="false">
      <c r="P336" s="8"/>
    </row>
    <row r="337" customFormat="false" ht="22.5" hidden="false" customHeight="true" outlineLevel="0" collapsed="false">
      <c r="P337" s="8"/>
    </row>
    <row r="338" customFormat="false" ht="22.5" hidden="false" customHeight="true" outlineLevel="0" collapsed="false">
      <c r="P338" s="8"/>
    </row>
    <row r="339" customFormat="false" ht="22.5" hidden="false" customHeight="true" outlineLevel="0" collapsed="false">
      <c r="P339" s="8"/>
    </row>
    <row r="340" customFormat="false" ht="22.5" hidden="false" customHeight="true" outlineLevel="0" collapsed="false">
      <c r="P340" s="8"/>
    </row>
    <row r="341" customFormat="false" ht="22.5" hidden="false" customHeight="true" outlineLevel="0" collapsed="false">
      <c r="P341" s="8"/>
    </row>
    <row r="342" customFormat="false" ht="22.5" hidden="false" customHeight="true" outlineLevel="0" collapsed="false">
      <c r="P342" s="8"/>
    </row>
    <row r="343" customFormat="false" ht="22.5" hidden="false" customHeight="true" outlineLevel="0" collapsed="false">
      <c r="P343" s="8"/>
    </row>
    <row r="344" customFormat="false" ht="22.5" hidden="false" customHeight="true" outlineLevel="0" collapsed="false">
      <c r="P344" s="8"/>
    </row>
    <row r="345" customFormat="false" ht="22.5" hidden="false" customHeight="true" outlineLevel="0" collapsed="false">
      <c r="P345" s="8"/>
    </row>
    <row r="346" customFormat="false" ht="22.5" hidden="false" customHeight="true" outlineLevel="0" collapsed="false">
      <c r="P346" s="8"/>
    </row>
    <row r="347" customFormat="false" ht="22.5" hidden="false" customHeight="true" outlineLevel="0" collapsed="false">
      <c r="P347" s="8"/>
    </row>
    <row r="348" customFormat="false" ht="22.5" hidden="false" customHeight="true" outlineLevel="0" collapsed="false">
      <c r="P348" s="8"/>
    </row>
    <row r="349" customFormat="false" ht="22.5" hidden="false" customHeight="true" outlineLevel="0" collapsed="false">
      <c r="P349" s="8"/>
    </row>
    <row r="350" customFormat="false" ht="22.5" hidden="false" customHeight="true" outlineLevel="0" collapsed="false">
      <c r="P350" s="8"/>
    </row>
    <row r="351" customFormat="false" ht="22.5" hidden="false" customHeight="true" outlineLevel="0" collapsed="false">
      <c r="P351" s="8"/>
    </row>
    <row r="352" customFormat="false" ht="22.5" hidden="false" customHeight="true" outlineLevel="0" collapsed="false">
      <c r="P352" s="8"/>
    </row>
    <row r="353" customFormat="false" ht="22.5" hidden="false" customHeight="true" outlineLevel="0" collapsed="false">
      <c r="P353" s="8"/>
    </row>
    <row r="354" customFormat="false" ht="22.5" hidden="false" customHeight="true" outlineLevel="0" collapsed="false">
      <c r="P354" s="8"/>
    </row>
    <row r="355" customFormat="false" ht="22.5" hidden="false" customHeight="true" outlineLevel="0" collapsed="false">
      <c r="P355" s="8"/>
    </row>
    <row r="356" customFormat="false" ht="22.5" hidden="false" customHeight="true" outlineLevel="0" collapsed="false">
      <c r="P356" s="8"/>
    </row>
    <row r="357" customFormat="false" ht="22.5" hidden="false" customHeight="true" outlineLevel="0" collapsed="false">
      <c r="P357" s="8"/>
    </row>
    <row r="358" customFormat="false" ht="22.5" hidden="false" customHeight="true" outlineLevel="0" collapsed="false">
      <c r="P358" s="8"/>
    </row>
    <row r="359" customFormat="false" ht="22.5" hidden="false" customHeight="true" outlineLevel="0" collapsed="false">
      <c r="P359" s="8"/>
    </row>
    <row r="360" customFormat="false" ht="22.5" hidden="false" customHeight="true" outlineLevel="0" collapsed="false">
      <c r="P360" s="8"/>
    </row>
    <row r="361" customFormat="false" ht="22.5" hidden="false" customHeight="true" outlineLevel="0" collapsed="false">
      <c r="P361" s="8"/>
    </row>
    <row r="362" customFormat="false" ht="22.5" hidden="false" customHeight="true" outlineLevel="0" collapsed="false">
      <c r="P362" s="8"/>
    </row>
    <row r="363" customFormat="false" ht="22.5" hidden="false" customHeight="true" outlineLevel="0" collapsed="false">
      <c r="P363" s="8"/>
    </row>
    <row r="364" customFormat="false" ht="22.5" hidden="false" customHeight="true" outlineLevel="0" collapsed="false">
      <c r="P364" s="8"/>
    </row>
    <row r="365" customFormat="false" ht="22.5" hidden="false" customHeight="true" outlineLevel="0" collapsed="false">
      <c r="P365" s="8"/>
    </row>
    <row r="366" customFormat="false" ht="22.5" hidden="false" customHeight="true" outlineLevel="0" collapsed="false">
      <c r="P366" s="8"/>
    </row>
    <row r="367" customFormat="false" ht="22.5" hidden="false" customHeight="true" outlineLevel="0" collapsed="false">
      <c r="P367" s="8"/>
    </row>
    <row r="368" customFormat="false" ht="22.5" hidden="false" customHeight="true" outlineLevel="0" collapsed="false">
      <c r="P368" s="8"/>
    </row>
    <row r="369" customFormat="false" ht="22.5" hidden="false" customHeight="true" outlineLevel="0" collapsed="false">
      <c r="P369" s="8"/>
    </row>
    <row r="370" customFormat="false" ht="22.5" hidden="false" customHeight="true" outlineLevel="0" collapsed="false">
      <c r="P370" s="8"/>
    </row>
    <row r="371" customFormat="false" ht="22.5" hidden="false" customHeight="true" outlineLevel="0" collapsed="false">
      <c r="P371" s="8"/>
    </row>
    <row r="372" customFormat="false" ht="22.5" hidden="false" customHeight="true" outlineLevel="0" collapsed="false">
      <c r="P372" s="8"/>
    </row>
    <row r="373" customFormat="false" ht="22.5" hidden="false" customHeight="true" outlineLevel="0" collapsed="false">
      <c r="P373" s="8"/>
    </row>
    <row r="374" customFormat="false" ht="22.5" hidden="false" customHeight="true" outlineLevel="0" collapsed="false">
      <c r="P374" s="8"/>
    </row>
    <row r="375" customFormat="false" ht="22.5" hidden="false" customHeight="true" outlineLevel="0" collapsed="false">
      <c r="P375" s="8"/>
    </row>
    <row r="376" customFormat="false" ht="22.5" hidden="false" customHeight="true" outlineLevel="0" collapsed="false">
      <c r="P376" s="8"/>
    </row>
    <row r="377" customFormat="false" ht="22.5" hidden="false" customHeight="true" outlineLevel="0" collapsed="false">
      <c r="P377" s="8"/>
    </row>
    <row r="378" customFormat="false" ht="22.5" hidden="false" customHeight="true" outlineLevel="0" collapsed="false">
      <c r="P378" s="8"/>
    </row>
    <row r="379" customFormat="false" ht="22.5" hidden="false" customHeight="true" outlineLevel="0" collapsed="false">
      <c r="P379" s="8"/>
    </row>
    <row r="380" customFormat="false" ht="22.5" hidden="false" customHeight="true" outlineLevel="0" collapsed="false">
      <c r="P380" s="8"/>
    </row>
    <row r="381" customFormat="false" ht="22.5" hidden="false" customHeight="true" outlineLevel="0" collapsed="false">
      <c r="P381" s="8"/>
    </row>
    <row r="382" customFormat="false" ht="22.5" hidden="false" customHeight="true" outlineLevel="0" collapsed="false">
      <c r="P382" s="8"/>
    </row>
    <row r="383" customFormat="false" ht="22.5" hidden="false" customHeight="true" outlineLevel="0" collapsed="false">
      <c r="P383" s="8"/>
    </row>
    <row r="384" customFormat="false" ht="22.5" hidden="false" customHeight="true" outlineLevel="0" collapsed="false">
      <c r="P384" s="8"/>
    </row>
    <row r="385" customFormat="false" ht="22.5" hidden="false" customHeight="true" outlineLevel="0" collapsed="false">
      <c r="P385" s="8"/>
    </row>
    <row r="386" customFormat="false" ht="22.5" hidden="false" customHeight="true" outlineLevel="0" collapsed="false">
      <c r="P386" s="8"/>
    </row>
    <row r="387" customFormat="false" ht="22.5" hidden="false" customHeight="true" outlineLevel="0" collapsed="false">
      <c r="P387" s="8"/>
    </row>
    <row r="388" customFormat="false" ht="22.5" hidden="false" customHeight="true" outlineLevel="0" collapsed="false">
      <c r="P388" s="8"/>
    </row>
    <row r="389" customFormat="false" ht="22.5" hidden="false" customHeight="true" outlineLevel="0" collapsed="false">
      <c r="P389" s="8"/>
    </row>
    <row r="390" customFormat="false" ht="22.5" hidden="false" customHeight="true" outlineLevel="0" collapsed="false">
      <c r="P390" s="8"/>
    </row>
    <row r="391" customFormat="false" ht="22.5" hidden="false" customHeight="true" outlineLevel="0" collapsed="false">
      <c r="P391" s="8"/>
    </row>
    <row r="392" customFormat="false" ht="22.5" hidden="false" customHeight="true" outlineLevel="0" collapsed="false">
      <c r="P392" s="8"/>
    </row>
    <row r="393" customFormat="false" ht="22.5" hidden="false" customHeight="true" outlineLevel="0" collapsed="false">
      <c r="P393" s="8"/>
    </row>
    <row r="394" customFormat="false" ht="22.5" hidden="false" customHeight="true" outlineLevel="0" collapsed="false">
      <c r="P394" s="8"/>
    </row>
    <row r="395" customFormat="false" ht="22.5" hidden="false" customHeight="true" outlineLevel="0" collapsed="false">
      <c r="P395" s="8"/>
    </row>
    <row r="396" customFormat="false" ht="22.5" hidden="false" customHeight="true" outlineLevel="0" collapsed="false">
      <c r="P396" s="8"/>
    </row>
    <row r="397" customFormat="false" ht="22.5" hidden="false" customHeight="true" outlineLevel="0" collapsed="false">
      <c r="P397" s="8"/>
    </row>
    <row r="398" customFormat="false" ht="22.5" hidden="false" customHeight="true" outlineLevel="0" collapsed="false">
      <c r="P398" s="8"/>
    </row>
    <row r="399" customFormat="false" ht="22.5" hidden="false" customHeight="true" outlineLevel="0" collapsed="false">
      <c r="P399" s="8"/>
    </row>
    <row r="400" customFormat="false" ht="22.5" hidden="false" customHeight="true" outlineLevel="0" collapsed="false">
      <c r="P400" s="8"/>
    </row>
    <row r="401" customFormat="false" ht="22.5" hidden="false" customHeight="true" outlineLevel="0" collapsed="false">
      <c r="P401" s="8"/>
    </row>
    <row r="402" customFormat="false" ht="22.5" hidden="false" customHeight="true" outlineLevel="0" collapsed="false">
      <c r="P402" s="8"/>
    </row>
    <row r="403" customFormat="false" ht="22.5" hidden="false" customHeight="true" outlineLevel="0" collapsed="false">
      <c r="P403" s="8"/>
    </row>
    <row r="404" customFormat="false" ht="22.5" hidden="false" customHeight="true" outlineLevel="0" collapsed="false">
      <c r="P404" s="8"/>
    </row>
    <row r="405" customFormat="false" ht="22.5" hidden="false" customHeight="true" outlineLevel="0" collapsed="false">
      <c r="P405" s="8"/>
    </row>
    <row r="406" customFormat="false" ht="22.5" hidden="false" customHeight="true" outlineLevel="0" collapsed="false">
      <c r="P406" s="8"/>
    </row>
    <row r="407" customFormat="false" ht="22.5" hidden="false" customHeight="true" outlineLevel="0" collapsed="false">
      <c r="P407" s="8"/>
    </row>
    <row r="408" customFormat="false" ht="22.5" hidden="false" customHeight="true" outlineLevel="0" collapsed="false">
      <c r="P408" s="8"/>
    </row>
    <row r="409" customFormat="false" ht="22.5" hidden="false" customHeight="true" outlineLevel="0" collapsed="false">
      <c r="P409" s="8"/>
    </row>
    <row r="410" customFormat="false" ht="22.5" hidden="false" customHeight="true" outlineLevel="0" collapsed="false">
      <c r="P410" s="8"/>
    </row>
    <row r="411" customFormat="false" ht="22.5" hidden="false" customHeight="true" outlineLevel="0" collapsed="false">
      <c r="P411" s="8"/>
    </row>
    <row r="412" customFormat="false" ht="22.5" hidden="false" customHeight="true" outlineLevel="0" collapsed="false">
      <c r="P412" s="8"/>
    </row>
    <row r="413" customFormat="false" ht="22.5" hidden="false" customHeight="true" outlineLevel="0" collapsed="false">
      <c r="P413" s="8"/>
    </row>
    <row r="414" customFormat="false" ht="22.5" hidden="false" customHeight="true" outlineLevel="0" collapsed="false">
      <c r="P414" s="8"/>
    </row>
    <row r="415" customFormat="false" ht="22.5" hidden="false" customHeight="true" outlineLevel="0" collapsed="false">
      <c r="P415" s="8"/>
    </row>
    <row r="416" customFormat="false" ht="22.5" hidden="false" customHeight="true" outlineLevel="0" collapsed="false">
      <c r="P416" s="8"/>
    </row>
    <row r="417" customFormat="false" ht="22.5" hidden="false" customHeight="true" outlineLevel="0" collapsed="false">
      <c r="P417" s="8"/>
    </row>
    <row r="418" customFormat="false" ht="22.5" hidden="false" customHeight="true" outlineLevel="0" collapsed="false">
      <c r="P418" s="8"/>
    </row>
    <row r="419" customFormat="false" ht="22.5" hidden="false" customHeight="true" outlineLevel="0" collapsed="false">
      <c r="P419" s="8"/>
    </row>
    <row r="420" customFormat="false" ht="22.5" hidden="false" customHeight="true" outlineLevel="0" collapsed="false">
      <c r="P420" s="8"/>
    </row>
    <row r="421" customFormat="false" ht="22.5" hidden="false" customHeight="true" outlineLevel="0" collapsed="false">
      <c r="P421" s="8"/>
    </row>
    <row r="422" customFormat="false" ht="22.5" hidden="false" customHeight="true" outlineLevel="0" collapsed="false">
      <c r="P422" s="8"/>
    </row>
    <row r="423" customFormat="false" ht="22.5" hidden="false" customHeight="true" outlineLevel="0" collapsed="false">
      <c r="P423" s="8"/>
    </row>
    <row r="424" customFormat="false" ht="22.5" hidden="false" customHeight="true" outlineLevel="0" collapsed="false">
      <c r="P424" s="8"/>
    </row>
    <row r="425" customFormat="false" ht="22.5" hidden="false" customHeight="true" outlineLevel="0" collapsed="false">
      <c r="P425" s="8"/>
    </row>
    <row r="426" customFormat="false" ht="22.5" hidden="false" customHeight="true" outlineLevel="0" collapsed="false">
      <c r="P426" s="8"/>
    </row>
  </sheetData>
  <dataValidations count="2">
    <dataValidation allowBlank="true" errorStyle="stop" operator="between" showDropDown="false" showErrorMessage="false" showInputMessage="false" sqref="T7:U7" type="list">
      <formula1>"Unpaid,Paid"</formula1>
      <formula2>0</formula2>
    </dataValidation>
    <dataValidation allowBlank="true" errorStyle="stop" operator="between" showDropDown="false" showErrorMessage="false" showInputMessage="false" sqref="P62:P426" type="list">
      <formula1>#ref!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T10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296875" defaultRowHeight="15" zeroHeight="false" outlineLevelRow="0" outlineLevelCol="0"/>
  <cols>
    <col collapsed="false" customWidth="true" hidden="false" outlineLevel="0" max="3" min="1" style="0" width="8.71"/>
    <col collapsed="false" customWidth="true" hidden="false" outlineLevel="0" max="4" min="4" style="0" width="26.43"/>
    <col collapsed="false" customWidth="true" hidden="false" outlineLevel="0" max="5" min="5" style="0" width="28"/>
    <col collapsed="false" customWidth="true" hidden="false" outlineLevel="0" max="6" min="6" style="0" width="10.7"/>
    <col collapsed="false" customWidth="true" hidden="false" outlineLevel="0" max="23" min="7" style="0" width="8.71"/>
  </cols>
  <sheetData>
    <row r="1" customFormat="false" ht="22.5" hidden="false" customHeight="true" outlineLevel="0" collapsed="false">
      <c r="D1" s="4" t="s">
        <v>1</v>
      </c>
      <c r="E1" s="4" t="s">
        <v>1073</v>
      </c>
      <c r="F1" s="4" t="s">
        <v>1074</v>
      </c>
      <c r="G1" s="4" t="s">
        <v>10</v>
      </c>
    </row>
    <row r="2" customFormat="false" ht="22.5" hidden="false" customHeight="true" outlineLevel="0" collapsed="false">
      <c r="D2" s="8" t="s">
        <v>44</v>
      </c>
      <c r="E2" s="8" t="s">
        <v>1075</v>
      </c>
      <c r="F2" s="8" t="s">
        <v>1076</v>
      </c>
      <c r="G2" s="8"/>
    </row>
    <row r="3" customFormat="false" ht="22.5" hidden="false" customHeight="true" outlineLevel="0" collapsed="false">
      <c r="D3" s="8" t="s">
        <v>32</v>
      </c>
      <c r="E3" s="8" t="s">
        <v>22</v>
      </c>
      <c r="F3" s="8" t="s">
        <v>1076</v>
      </c>
      <c r="G3" s="8"/>
      <c r="Q3" s="32" t="s">
        <v>3</v>
      </c>
    </row>
    <row r="4" customFormat="false" ht="22.5" hidden="false" customHeight="true" outlineLevel="0" collapsed="false">
      <c r="D4" s="8" t="s">
        <v>53</v>
      </c>
      <c r="E4" s="8" t="s">
        <v>22</v>
      </c>
      <c r="F4" s="8" t="s">
        <v>1076</v>
      </c>
      <c r="G4" s="8"/>
      <c r="L4" s="11" t="s">
        <v>81</v>
      </c>
      <c r="Q4" s="30" t="s">
        <v>13</v>
      </c>
    </row>
    <row r="5" customFormat="false" ht="22.5" hidden="false" customHeight="true" outlineLevel="0" collapsed="false">
      <c r="D5" s="8" t="s">
        <v>47</v>
      </c>
      <c r="E5" s="8" t="s">
        <v>1077</v>
      </c>
      <c r="F5" s="8" t="s">
        <v>1076</v>
      </c>
      <c r="G5" s="8"/>
      <c r="L5" s="11" t="s">
        <v>118</v>
      </c>
      <c r="Q5" s="11" t="s">
        <v>17</v>
      </c>
    </row>
    <row r="6" customFormat="false" ht="22.5" hidden="false" customHeight="true" outlineLevel="0" collapsed="false">
      <c r="D6" s="8" t="s">
        <v>19</v>
      </c>
      <c r="E6" s="8" t="s">
        <v>1077</v>
      </c>
      <c r="F6" s="8" t="s">
        <v>1076</v>
      </c>
      <c r="G6" s="8"/>
      <c r="L6" s="11" t="s">
        <v>13</v>
      </c>
      <c r="Q6" s="11" t="s">
        <v>21</v>
      </c>
    </row>
    <row r="7" customFormat="false" ht="22.5" hidden="false" customHeight="true" outlineLevel="0" collapsed="false">
      <c r="D7" s="8" t="s">
        <v>63</v>
      </c>
      <c r="E7" s="8" t="s">
        <v>476</v>
      </c>
      <c r="F7" s="8" t="s">
        <v>1076</v>
      </c>
      <c r="G7" s="8"/>
      <c r="L7" s="11" t="s">
        <v>197</v>
      </c>
      <c r="Q7" s="11" t="s">
        <v>24</v>
      </c>
    </row>
    <row r="8" customFormat="false" ht="22.5" hidden="false" customHeight="true" outlineLevel="0" collapsed="false">
      <c r="D8" s="8" t="s">
        <v>25</v>
      </c>
      <c r="E8" s="8" t="s">
        <v>1077</v>
      </c>
      <c r="F8" s="8" t="s">
        <v>1076</v>
      </c>
      <c r="G8" s="8"/>
      <c r="L8" s="11" t="s">
        <v>214</v>
      </c>
      <c r="Q8" s="11" t="s">
        <v>27</v>
      </c>
      <c r="T8" s="30" t="s">
        <v>13</v>
      </c>
    </row>
    <row r="9" customFormat="false" ht="22.5" hidden="false" customHeight="true" outlineLevel="0" collapsed="false">
      <c r="D9" s="8" t="s">
        <v>51</v>
      </c>
      <c r="E9" s="8" t="s">
        <v>1077</v>
      </c>
      <c r="F9" s="8" t="s">
        <v>1076</v>
      </c>
      <c r="G9" s="8"/>
      <c r="L9" s="11" t="s">
        <v>255</v>
      </c>
      <c r="Q9" s="11" t="s">
        <v>33</v>
      </c>
      <c r="T9" s="11" t="s">
        <v>17</v>
      </c>
    </row>
    <row r="10" customFormat="false" ht="22.5" hidden="false" customHeight="true" outlineLevel="0" collapsed="false">
      <c r="D10" s="8" t="s">
        <v>227</v>
      </c>
      <c r="E10" s="8" t="s">
        <v>476</v>
      </c>
      <c r="F10" s="8" t="s">
        <v>1076</v>
      </c>
      <c r="G10" s="8"/>
      <c r="L10" s="11" t="s">
        <v>258</v>
      </c>
      <c r="Q10" s="11" t="s">
        <v>45</v>
      </c>
      <c r="T10" s="11" t="s">
        <v>21</v>
      </c>
    </row>
    <row r="11" customFormat="false" ht="22.5" hidden="false" customHeight="true" outlineLevel="0" collapsed="false">
      <c r="D11" s="8" t="s">
        <v>28</v>
      </c>
      <c r="E11" s="8" t="s">
        <v>22</v>
      </c>
      <c r="F11" s="8" t="s">
        <v>1076</v>
      </c>
      <c r="G11" s="8"/>
      <c r="Q11" s="11" t="s">
        <v>59</v>
      </c>
      <c r="T11" s="11" t="s">
        <v>24</v>
      </c>
    </row>
    <row r="12" customFormat="false" ht="22.5" hidden="false" customHeight="true" outlineLevel="0" collapsed="false">
      <c r="D12" s="8" t="s">
        <v>36</v>
      </c>
      <c r="E12" s="8" t="s">
        <v>476</v>
      </c>
      <c r="F12" s="8" t="s">
        <v>1076</v>
      </c>
      <c r="G12" s="8"/>
      <c r="Q12" s="11" t="s">
        <v>70</v>
      </c>
      <c r="T12" s="11" t="s">
        <v>27</v>
      </c>
    </row>
    <row r="13" customFormat="false" ht="22.5" hidden="false" customHeight="true" outlineLevel="0" collapsed="false">
      <c r="D13" s="8" t="s">
        <v>12</v>
      </c>
      <c r="E13" s="8" t="s">
        <v>1078</v>
      </c>
      <c r="F13" s="8" t="s">
        <v>1076</v>
      </c>
      <c r="G13" s="8"/>
      <c r="T13" s="11" t="s">
        <v>33</v>
      </c>
    </row>
    <row r="14" customFormat="false" ht="22.5" hidden="false" customHeight="true" outlineLevel="0" collapsed="false">
      <c r="D14" s="8" t="s">
        <v>69</v>
      </c>
      <c r="E14" s="8" t="s">
        <v>1078</v>
      </c>
      <c r="F14" s="8" t="s">
        <v>1076</v>
      </c>
      <c r="G14" s="8"/>
      <c r="T14" s="11" t="s">
        <v>45</v>
      </c>
    </row>
    <row r="15" customFormat="false" ht="22.5" hidden="false" customHeight="true" outlineLevel="0" collapsed="false">
      <c r="D15" s="8" t="s">
        <v>50</v>
      </c>
      <c r="E15" s="8" t="s">
        <v>1078</v>
      </c>
      <c r="F15" s="8" t="s">
        <v>1076</v>
      </c>
      <c r="G15" s="8"/>
      <c r="T15" s="11" t="s">
        <v>59</v>
      </c>
    </row>
    <row r="16" customFormat="false" ht="22.5" hidden="false" customHeight="true" outlineLevel="0" collapsed="false">
      <c r="D16" s="8" t="s">
        <v>22</v>
      </c>
      <c r="E16" s="8" t="s">
        <v>1077</v>
      </c>
      <c r="F16" s="8" t="s">
        <v>1076</v>
      </c>
      <c r="G16" s="8"/>
      <c r="T16" s="11" t="s">
        <v>70</v>
      </c>
    </row>
    <row r="17" customFormat="false" ht="22.5" hidden="false" customHeight="true" outlineLevel="0" collapsed="false">
      <c r="D17" s="8" t="s">
        <v>102</v>
      </c>
      <c r="E17" s="8" t="s">
        <v>1078</v>
      </c>
      <c r="F17" s="8" t="s">
        <v>1076</v>
      </c>
      <c r="G17" s="8"/>
    </row>
    <row r="18" customFormat="false" ht="22.5" hidden="false" customHeight="true" outlineLevel="0" collapsed="false">
      <c r="D18" s="8" t="s">
        <v>37</v>
      </c>
      <c r="E18" s="8" t="s">
        <v>476</v>
      </c>
      <c r="F18" s="8" t="s">
        <v>1076</v>
      </c>
      <c r="G18" s="8"/>
    </row>
    <row r="19" customFormat="false" ht="22.5" hidden="false" customHeight="true" outlineLevel="0" collapsed="false">
      <c r="D19" s="8" t="s">
        <v>476</v>
      </c>
      <c r="E19" s="8" t="s">
        <v>476</v>
      </c>
      <c r="F19" s="8" t="s">
        <v>1076</v>
      </c>
      <c r="G19" s="8"/>
    </row>
    <row r="20" customFormat="false" ht="22.5" hidden="false" customHeight="true" outlineLevel="0" collapsed="false">
      <c r="D20" s="8" t="s">
        <v>107</v>
      </c>
      <c r="E20" s="8" t="s">
        <v>1079</v>
      </c>
      <c r="F20" s="8" t="s">
        <v>1076</v>
      </c>
      <c r="G20" s="8"/>
    </row>
    <row r="21" customFormat="false" ht="15.75" hidden="false" customHeight="true" outlineLevel="0" collapsed="false">
      <c r="D21" s="8" t="s">
        <v>60</v>
      </c>
      <c r="E21" s="8" t="s">
        <v>1077</v>
      </c>
      <c r="F21" s="8" t="s">
        <v>1076</v>
      </c>
      <c r="G21" s="8"/>
    </row>
    <row r="22" customFormat="false" ht="15.75" hidden="false" customHeight="true" outlineLevel="0" collapsed="false">
      <c r="D22" s="8" t="s">
        <v>40</v>
      </c>
      <c r="E22" s="8" t="s">
        <v>1077</v>
      </c>
      <c r="F22" s="8" t="s">
        <v>1076</v>
      </c>
      <c r="G22" s="8"/>
    </row>
    <row r="23" customFormat="false" ht="15.75" hidden="false" customHeight="true" outlineLevel="0" collapsed="false">
      <c r="D23" s="8" t="s">
        <v>31</v>
      </c>
      <c r="E23" s="8" t="s">
        <v>1080</v>
      </c>
      <c r="F23" s="8" t="s">
        <v>1076</v>
      </c>
      <c r="G23" s="8"/>
    </row>
    <row r="24" customFormat="false" ht="15.75" hidden="false" customHeight="true" outlineLevel="0" collapsed="false">
      <c r="D24" s="8" t="s">
        <v>202</v>
      </c>
      <c r="E24" s="8" t="s">
        <v>476</v>
      </c>
      <c r="F24" s="8" t="s">
        <v>1076</v>
      </c>
      <c r="G24" s="8"/>
    </row>
    <row r="25" customFormat="false" ht="15.75" hidden="false" customHeight="true" outlineLevel="0" collapsed="false">
      <c r="D25" s="8" t="s">
        <v>67</v>
      </c>
      <c r="E25" s="8" t="s">
        <v>1078</v>
      </c>
      <c r="F25" s="8" t="s">
        <v>1076</v>
      </c>
      <c r="G25" s="8"/>
    </row>
    <row r="26" customFormat="false" ht="15.75" hidden="false" customHeight="true" outlineLevel="0" collapsed="false">
      <c r="D26" s="8" t="s">
        <v>56</v>
      </c>
      <c r="E26" s="8" t="s">
        <v>1081</v>
      </c>
      <c r="F26" s="8" t="s">
        <v>1076</v>
      </c>
      <c r="G26" s="8"/>
    </row>
    <row r="27" customFormat="false" ht="15.75" hidden="false" customHeight="true" outlineLevel="0" collapsed="false">
      <c r="D27" s="8" t="s">
        <v>16</v>
      </c>
      <c r="E27" s="8" t="s">
        <v>16</v>
      </c>
      <c r="F27" s="8" t="s">
        <v>1082</v>
      </c>
      <c r="G27" s="8"/>
    </row>
    <row r="28" customFormat="false" ht="15.75" hidden="false" customHeight="true" outlineLevel="0" collapsed="false">
      <c r="D28" s="8" t="s">
        <v>35</v>
      </c>
      <c r="E28" s="8" t="s">
        <v>1077</v>
      </c>
      <c r="F28" s="8" t="s">
        <v>1076</v>
      </c>
      <c r="G28" s="8"/>
    </row>
    <row r="29" customFormat="false" ht="15.75" hidden="false" customHeight="true" outlineLevel="0" collapsed="false">
      <c r="D29" s="8" t="s">
        <v>34</v>
      </c>
      <c r="E29" s="8" t="s">
        <v>1079</v>
      </c>
      <c r="F29" s="8" t="s">
        <v>1076</v>
      </c>
      <c r="G29" s="8"/>
    </row>
    <row r="30" customFormat="false" ht="15.75" hidden="false" customHeight="true" outlineLevel="0" collapsed="false">
      <c r="D30" s="8" t="s">
        <v>29</v>
      </c>
      <c r="E30" s="8" t="s">
        <v>1077</v>
      </c>
      <c r="F30" s="8" t="s">
        <v>1076</v>
      </c>
      <c r="G30" s="8"/>
    </row>
    <row r="31" customFormat="false" ht="15.75" hidden="false" customHeight="true" outlineLevel="0" collapsed="false">
      <c r="D31" s="8" t="s">
        <v>201</v>
      </c>
      <c r="E31" s="8" t="s">
        <v>1077</v>
      </c>
      <c r="F31" s="8" t="s">
        <v>1076</v>
      </c>
      <c r="G31" s="8"/>
    </row>
    <row r="32" customFormat="false" ht="15.75" hidden="false" customHeight="true" outlineLevel="0" collapsed="false">
      <c r="D32" s="8" t="s">
        <v>629</v>
      </c>
      <c r="E32" s="8" t="s">
        <v>1083</v>
      </c>
      <c r="F32" s="8" t="s">
        <v>1076</v>
      </c>
      <c r="G32" s="8"/>
    </row>
    <row r="33" customFormat="false" ht="15.75" hidden="false" customHeight="true" outlineLevel="0" collapsed="false">
      <c r="D33" s="8" t="s">
        <v>43</v>
      </c>
      <c r="E33" s="8" t="s">
        <v>476</v>
      </c>
      <c r="F33" s="8" t="s">
        <v>1076</v>
      </c>
      <c r="G33" s="8"/>
    </row>
    <row r="34" customFormat="false" ht="15.75" hidden="false" customHeight="true" outlineLevel="0" collapsed="false">
      <c r="D34" s="8" t="s">
        <v>199</v>
      </c>
      <c r="E34" s="8" t="s">
        <v>1078</v>
      </c>
      <c r="F34" s="8" t="s">
        <v>1076</v>
      </c>
      <c r="G34" s="8"/>
    </row>
    <row r="35" customFormat="false" ht="15.75" hidden="false" customHeight="true" outlineLevel="0" collapsed="false">
      <c r="D35" s="8" t="s">
        <v>81</v>
      </c>
      <c r="E35" s="8" t="s">
        <v>1083</v>
      </c>
      <c r="F35" s="8" t="s">
        <v>1076</v>
      </c>
      <c r="G35" s="8"/>
    </row>
    <row r="36" customFormat="false" ht="15.75" hidden="false" customHeight="true" outlineLevel="0" collapsed="false">
      <c r="D36" s="8" t="s">
        <v>118</v>
      </c>
      <c r="E36" s="8" t="s">
        <v>440</v>
      </c>
      <c r="F36" s="8" t="s">
        <v>1076</v>
      </c>
      <c r="G36" s="8"/>
    </row>
    <row r="37" customFormat="false" ht="15.75" hidden="false" customHeight="true" outlineLevel="0" collapsed="false">
      <c r="D37" s="8" t="s">
        <v>13</v>
      </c>
      <c r="E37" s="8" t="s">
        <v>1084</v>
      </c>
      <c r="F37" s="8" t="s">
        <v>1076</v>
      </c>
      <c r="G37" s="8"/>
    </row>
    <row r="38" customFormat="false" ht="15.75" hidden="false" customHeight="true" outlineLevel="0" collapsed="false">
      <c r="D38" s="8" t="s">
        <v>197</v>
      </c>
      <c r="E38" s="8" t="s">
        <v>43</v>
      </c>
      <c r="F38" s="8" t="s">
        <v>1076</v>
      </c>
      <c r="G38" s="8"/>
    </row>
    <row r="39" customFormat="false" ht="15.75" hidden="false" customHeight="true" outlineLevel="0" collapsed="false">
      <c r="D39" s="8" t="s">
        <v>214</v>
      </c>
      <c r="E39" s="8" t="s">
        <v>43</v>
      </c>
      <c r="F39" s="8" t="s">
        <v>1076</v>
      </c>
      <c r="G39" s="8"/>
    </row>
    <row r="40" customFormat="false" ht="15.75" hidden="false" customHeight="true" outlineLevel="0" collapsed="false">
      <c r="D40" s="8" t="s">
        <v>255</v>
      </c>
      <c r="E40" s="8" t="s">
        <v>22</v>
      </c>
      <c r="F40" s="8" t="s">
        <v>1076</v>
      </c>
      <c r="G40" s="8"/>
    </row>
    <row r="41" customFormat="false" ht="15.75" hidden="false" customHeight="true" outlineLevel="0" collapsed="false">
      <c r="D41" s="8" t="s">
        <v>587</v>
      </c>
      <c r="E41" s="8" t="s">
        <v>1079</v>
      </c>
      <c r="F41" s="8" t="s">
        <v>1076</v>
      </c>
      <c r="G41" s="8"/>
    </row>
    <row r="42" customFormat="false" ht="15.75" hidden="false" customHeight="true" outlineLevel="0" collapsed="false">
      <c r="D42" s="8" t="s">
        <v>1077</v>
      </c>
      <c r="E42" s="8" t="s">
        <v>1077</v>
      </c>
      <c r="F42" s="8" t="s">
        <v>1076</v>
      </c>
      <c r="G42" s="8"/>
    </row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16" customFormat="false" ht="15.75" hidden="false" customHeight="true" outlineLevel="0" collapsed="false"/>
    <row r="1017" customFormat="false" ht="15.75" hidden="false" customHeight="true" outlineLevel="0" collapsed="false"/>
    <row r="1018" customFormat="false" ht="15.75" hidden="false" customHeight="true" outlineLevel="0" collapsed="false"/>
    <row r="1019" customFormat="false" ht="15.75" hidden="false" customHeight="true" outlineLevel="0" collapsed="false"/>
    <row r="1020" customFormat="false" ht="15.75" hidden="false" customHeight="true" outlineLevel="0" collapsed="false"/>
    <row r="1021" customFormat="false" ht="15.75" hidden="false" customHeight="true" outlineLevel="0" collapsed="false"/>
    <row r="1022" customFormat="false" ht="15.75" hidden="false" customHeight="true" outlineLevel="0" collapsed="false"/>
    <row r="1023" customFormat="false" ht="15.75" hidden="false" customHeight="true" outlineLevel="0" collapsed="false"/>
    <row r="1024" customFormat="false" ht="15.75" hidden="false" customHeight="true" outlineLevel="0" collapsed="false"/>
    <row r="1025" customFormat="false" ht="15.75" hidden="false" customHeight="true" outlineLevel="0" collapsed="false"/>
    <row r="1026" customFormat="false" ht="15.75" hidden="false" customHeight="true" outlineLevel="0" collapsed="false"/>
    <row r="1027" customFormat="false" ht="15.75" hidden="false" customHeight="true" outlineLevel="0" collapsed="false"/>
    <row r="1028" customFormat="false" ht="15.75" hidden="false" customHeight="true" outlineLevel="0" collapsed="false"/>
    <row r="1029" customFormat="false" ht="15.75" hidden="false" customHeight="true" outlineLevel="0" collapsed="false"/>
    <row r="1030" customFormat="false" ht="15.75" hidden="false" customHeight="true" outlineLevel="0" collapsed="false"/>
    <row r="1031" customFormat="false" ht="15.75" hidden="false" customHeight="true" outlineLevel="0" collapsed="false"/>
    <row r="1032" customFormat="false" ht="15.75" hidden="false" customHeight="true" outlineLevel="0" collapsed="false"/>
    <row r="1033" customFormat="false" ht="15.75" hidden="false" customHeight="true" outlineLevel="0" collapsed="false"/>
    <row r="1034" customFormat="false" ht="15.75" hidden="false" customHeight="true" outlineLevel="0" collapsed="false"/>
    <row r="1035" customFormat="false" ht="15.75" hidden="false" customHeight="true" outlineLevel="0" collapsed="false"/>
    <row r="1036" customFormat="false" ht="15.75" hidden="false" customHeight="true" outlineLevel="0" collapsed="false"/>
    <row r="1037" customFormat="false" ht="15.75" hidden="false" customHeight="true" outlineLevel="0" collapsed="false"/>
    <row r="1038" customFormat="false" ht="15.75" hidden="false" customHeight="true" outlineLevel="0" collapsed="false"/>
    <row r="1039" customFormat="false" ht="15.75" hidden="false" customHeight="true" outlineLevel="0" collapsed="false"/>
    <row r="1040" customFormat="false" ht="15.75" hidden="false" customHeight="true" outlineLevel="0" collapsed="false"/>
    <row r="1041" customFormat="false" ht="15.75" hidden="false" customHeight="true" outlineLevel="0" collapsed="false"/>
    <row r="1042" customFormat="false" ht="15.75" hidden="false" customHeight="true" outlineLevel="0" collapsed="false"/>
    <row r="1043" customFormat="false" ht="15.75" hidden="false" customHeight="true" outlineLevel="0" collapsed="false"/>
    <row r="1044" customFormat="false" ht="15.75" hidden="false" customHeight="true" outlineLevel="0" collapsed="false"/>
    <row r="1045" customFormat="false" ht="15.75" hidden="false" customHeight="true" outlineLevel="0" collapsed="false"/>
    <row r="1046" customFormat="false" ht="15.75" hidden="false" customHeight="true" outlineLevel="0" collapsed="false"/>
    <row r="1047" customFormat="false" ht="15.75" hidden="false" customHeight="true" outlineLevel="0" collapsed="false"/>
    <row r="1048" customFormat="false" ht="15.75" hidden="false" customHeight="true" outlineLevel="0" collapsed="false"/>
    <row r="1049" customFormat="false" ht="15.75" hidden="false" customHeight="true" outlineLevel="0" collapsed="false"/>
    <row r="1050" customFormat="false" ht="15.75" hidden="false" customHeight="true" outlineLevel="0" collapsed="false"/>
    <row r="1051" customFormat="false" ht="15.75" hidden="false" customHeight="true" outlineLevel="0" collapsed="false"/>
    <row r="1052" customFormat="false" ht="15.75" hidden="false" customHeight="true" outlineLevel="0" collapsed="false"/>
    <row r="1053" customFormat="false" ht="15.75" hidden="false" customHeight="true" outlineLevel="0" collapsed="false"/>
    <row r="1054" customFormat="false" ht="15.75" hidden="false" customHeight="true" outlineLevel="0" collapsed="false"/>
    <row r="1055" customFormat="false" ht="15.75" hidden="false" customHeight="true" outlineLevel="0" collapsed="false"/>
    <row r="1056" customFormat="false" ht="15.75" hidden="false" customHeight="true" outlineLevel="0" collapsed="false"/>
    <row r="1057" customFormat="false" ht="15.75" hidden="false" customHeight="true" outlineLevel="0" collapsed="false"/>
    <row r="1058" customFormat="false" ht="15.75" hidden="false" customHeight="true" outlineLevel="0" collapsed="false"/>
    <row r="1059" customFormat="false" ht="15.75" hidden="false" customHeight="true" outlineLevel="0" collapsed="false"/>
    <row r="1060" customFormat="false" ht="15.75" hidden="false" customHeight="true" outlineLevel="0" collapsed="false"/>
    <row r="1061" customFormat="false" ht="15.75" hidden="false" customHeight="true" outlineLevel="0" collapsed="false"/>
    <row r="1062" customFormat="false" ht="15.75" hidden="false" customHeight="true" outlineLevel="0" collapsed="false"/>
    <row r="1063" customFormat="false" ht="15.75" hidden="false" customHeight="true" outlineLevel="0" collapsed="false"/>
    <row r="1064" customFormat="false" ht="15.75" hidden="false" customHeight="true" outlineLevel="0" collapsed="false"/>
    <row r="1065" customFormat="false" ht="15.75" hidden="false" customHeight="true" outlineLevel="0" collapsed="false"/>
    <row r="1066" customFormat="false" ht="15.75" hidden="false" customHeight="true" outlineLevel="0" collapsed="false"/>
    <row r="1067" customFormat="false" ht="15.75" hidden="false" customHeight="true" outlineLevel="0" collapsed="false"/>
    <row r="1068" customFormat="false" ht="15.75" hidden="false" customHeight="true" outlineLevel="0" collapsed="false"/>
    <row r="1069" customFormat="false" ht="15.75" hidden="false" customHeight="true" outlineLevel="0" collapsed="false"/>
    <row r="1070" customFormat="false" ht="15.75" hidden="false" customHeight="true" outlineLevel="0" collapsed="false"/>
    <row r="1071" customFormat="false" ht="15.75" hidden="false" customHeight="true" outlineLevel="0" collapsed="false"/>
    <row r="1072" customFormat="false" ht="15.75" hidden="false" customHeight="true" outlineLevel="0" collapsed="false"/>
    <row r="1073" customFormat="false" ht="15.75" hidden="false" customHeight="true" outlineLevel="0" collapsed="false"/>
    <row r="1074" customFormat="false" ht="15.75" hidden="false" customHeight="true" outlineLevel="0" collapsed="false"/>
    <row r="1075" customFormat="false" ht="15.75" hidden="false" customHeight="true" outlineLevel="0" collapsed="false"/>
    <row r="1076" customFormat="false" ht="15.75" hidden="false" customHeight="true" outlineLevel="0" collapsed="false"/>
    <row r="1077" customFormat="false" ht="15.75" hidden="false" customHeight="true" outlineLevel="0" collapsed="false"/>
    <row r="1078" customFormat="false" ht="15.75" hidden="false" customHeight="true" outlineLevel="0" collapsed="false"/>
    <row r="1079" customFormat="false" ht="15.75" hidden="false" customHeight="true" outlineLevel="0" collapsed="false"/>
    <row r="1080" customFormat="false" ht="15.75" hidden="false" customHeight="true" outlineLevel="0" collapsed="false"/>
    <row r="1081" customFormat="false" ht="15.75" hidden="false" customHeight="true" outlineLevel="0" collapsed="false"/>
    <row r="1082" customFormat="false" ht="15.75" hidden="false" customHeight="true" outlineLevel="0" collapsed="false"/>
    <row r="1083" customFormat="false" ht="15.75" hidden="false" customHeight="true" outlineLevel="0" collapsed="false"/>
    <row r="1084" customFormat="false" ht="15.75" hidden="false" customHeight="true" outlineLevel="0" collapsed="false"/>
    <row r="1085" customFormat="false" ht="15.75" hidden="false" customHeight="true" outlineLevel="0" collapsed="false"/>
    <row r="1086" customFormat="false" ht="15.75" hidden="false" customHeight="true" outlineLevel="0" collapsed="false"/>
    <row r="1087" customFormat="false" ht="15.75" hidden="false" customHeight="true" outlineLevel="0" collapsed="false"/>
    <row r="1088" customFormat="false" ht="15.75" hidden="false" customHeight="true" outlineLevel="0" collapsed="false"/>
    <row r="1089" customFormat="false" ht="15.75" hidden="false" customHeight="true" outlineLevel="0" collapsed="false"/>
    <row r="1090" customFormat="false" ht="15.75" hidden="false" customHeight="true" outlineLevel="0" collapsed="false"/>
    <row r="1091" customFormat="false" ht="15.75" hidden="false" customHeight="true" outlineLevel="0" collapsed="false"/>
    <row r="1092" customFormat="false" ht="15.75" hidden="false" customHeight="true" outlineLevel="0" collapsed="false"/>
    <row r="1093" customFormat="false" ht="15.75" hidden="false" customHeight="true" outlineLevel="0" collapsed="false"/>
    <row r="1094" customFormat="false" ht="15.75" hidden="false" customHeight="true" outlineLevel="0" collapsed="false"/>
    <row r="1095" customFormat="false" ht="15.75" hidden="false" customHeight="true" outlineLevel="0" collapsed="false"/>
    <row r="1096" customFormat="false" ht="15.75" hidden="false" customHeight="true" outlineLevel="0" collapsed="false"/>
    <row r="1097" customFormat="false" ht="15.75" hidden="false" customHeight="true" outlineLevel="0" collapsed="false"/>
    <row r="1098" customFormat="false" ht="15.75" hidden="false" customHeight="true" outlineLevel="0" collapsed="false"/>
    <row r="1099" customFormat="false" ht="15.75" hidden="false" customHeight="true" outlineLevel="0" collapsed="false"/>
    <row r="1100" customFormat="false" ht="15.75" hidden="false" customHeight="true" outlineLevel="0" collapsed="false"/>
    <row r="1101" customFormat="false" ht="15.75" hidden="false" customHeight="true" outlineLevel="0" collapsed="false"/>
    <row r="1102" customFormat="false" ht="15.75" hidden="false" customHeight="true" outlineLevel="0" collapsed="false"/>
    <row r="1103" customFormat="false" ht="15.75" hidden="false" customHeight="true" outlineLevel="0" collapsed="false"/>
    <row r="1104" customFormat="false" ht="15.75" hidden="false" customHeight="true" outlineLevel="0" collapsed="false"/>
    <row r="1105" customFormat="false" ht="15.75" hidden="false" customHeight="true" outlineLevel="0" collapsed="false"/>
    <row r="1106" customFormat="false" ht="15.75" hidden="false" customHeight="true" outlineLevel="0" collapsed="false"/>
    <row r="1107" customFormat="false" ht="15.75" hidden="false" customHeight="true" outlineLevel="0" collapsed="false"/>
    <row r="1108" customFormat="false" ht="15.75" hidden="false" customHeight="true" outlineLevel="0" collapsed="false"/>
    <row r="1109" customFormat="false" ht="15.75" hidden="false" customHeight="true" outlineLevel="0" collapsed="false"/>
    <row r="1110" customFormat="false" ht="15.75" hidden="false" customHeight="true" outlineLevel="0" collapsed="false"/>
    <row r="1111" customFormat="false" ht="15.75" hidden="false" customHeight="true" outlineLevel="0" collapsed="false"/>
    <row r="1112" customFormat="false" ht="15.75" hidden="false" customHeight="true" outlineLevel="0" collapsed="false"/>
    <row r="1113" customFormat="false" ht="15.75" hidden="false" customHeight="true" outlineLevel="0" collapsed="false"/>
    <row r="1114" customFormat="false" ht="15.75" hidden="false" customHeight="true" outlineLevel="0" collapsed="false"/>
    <row r="1115" customFormat="false" ht="15.75" hidden="false" customHeight="true" outlineLevel="0" collapsed="false"/>
    <row r="1116" customFormat="false" ht="15.75" hidden="false" customHeight="true" outlineLevel="0" collapsed="false"/>
    <row r="1117" customFormat="false" ht="15.75" hidden="false" customHeight="true" outlineLevel="0" collapsed="false"/>
    <row r="1118" customFormat="false" ht="15.75" hidden="false" customHeight="true" outlineLevel="0" collapsed="false"/>
    <row r="1119" customFormat="false" ht="15.75" hidden="false" customHeight="true" outlineLevel="0" collapsed="false"/>
    <row r="1120" customFormat="false" ht="15.75" hidden="false" customHeight="true" outlineLevel="0" collapsed="false"/>
    <row r="1121" customFormat="false" ht="15.75" hidden="false" customHeight="true" outlineLevel="0" collapsed="false"/>
    <row r="1122" customFormat="false" ht="15.75" hidden="false" customHeight="true" outlineLevel="0" collapsed="false"/>
    <row r="1123" customFormat="false" ht="15.75" hidden="false" customHeight="true" outlineLevel="0" collapsed="false"/>
    <row r="1124" customFormat="false" ht="15.75" hidden="false" customHeight="true" outlineLevel="0" collapsed="false"/>
    <row r="1125" customFormat="false" ht="15.75" hidden="false" customHeight="true" outlineLevel="0" collapsed="false"/>
    <row r="1126" customFormat="false" ht="15.75" hidden="false" customHeight="true" outlineLevel="0" collapsed="false"/>
    <row r="1127" customFormat="false" ht="15.75" hidden="false" customHeight="true" outlineLevel="0" collapsed="false"/>
    <row r="1128" customFormat="false" ht="15.75" hidden="false" customHeight="true" outlineLevel="0" collapsed="false"/>
    <row r="1129" customFormat="false" ht="15.75" hidden="false" customHeight="true" outlineLevel="0" collapsed="false"/>
    <row r="1130" customFormat="false" ht="15.75" hidden="false" customHeight="true" outlineLevel="0" collapsed="false"/>
    <row r="1131" customFormat="false" ht="15.75" hidden="false" customHeight="true" outlineLevel="0" collapsed="false"/>
    <row r="1132" customFormat="false" ht="15.75" hidden="false" customHeight="true" outlineLevel="0" collapsed="false"/>
    <row r="1133" customFormat="false" ht="15.75" hidden="false" customHeight="true" outlineLevel="0" collapsed="false"/>
    <row r="1134" customFormat="false" ht="15.75" hidden="false" customHeight="true" outlineLevel="0" collapsed="false"/>
    <row r="1135" customFormat="false" ht="15.75" hidden="false" customHeight="true" outlineLevel="0" collapsed="false"/>
    <row r="1136" customFormat="false" ht="15.75" hidden="false" customHeight="true" outlineLevel="0" collapsed="false"/>
    <row r="1137" customFormat="false" ht="15.75" hidden="false" customHeight="true" outlineLevel="0" collapsed="false"/>
    <row r="1138" customFormat="false" ht="15.75" hidden="false" customHeight="true" outlineLevel="0" collapsed="false"/>
    <row r="1139" customFormat="false" ht="15.75" hidden="false" customHeight="true" outlineLevel="0" collapsed="false"/>
    <row r="1140" customFormat="false" ht="15.75" hidden="false" customHeight="true" outlineLevel="0" collapsed="false"/>
    <row r="1141" customFormat="false" ht="15.75" hidden="false" customHeight="true" outlineLevel="0" collapsed="false"/>
    <row r="1142" customFormat="false" ht="15.75" hidden="false" customHeight="true" outlineLevel="0" collapsed="false"/>
    <row r="1143" customFormat="false" ht="15.75" hidden="false" customHeight="true" outlineLevel="0" collapsed="false"/>
    <row r="1144" customFormat="false" ht="15.75" hidden="false" customHeight="true" outlineLevel="0" collapsed="false"/>
    <row r="1145" customFormat="false" ht="15.75" hidden="false" customHeight="true" outlineLevel="0" collapsed="false"/>
    <row r="1146" customFormat="false" ht="15.75" hidden="false" customHeight="true" outlineLevel="0" collapsed="false"/>
    <row r="1147" customFormat="false" ht="15.75" hidden="false" customHeight="true" outlineLevel="0" collapsed="false"/>
    <row r="1148" customFormat="false" ht="15.75" hidden="false" customHeight="true" outlineLevel="0" collapsed="false"/>
    <row r="1149" customFormat="false" ht="15.75" hidden="false" customHeight="true" outlineLevel="0" collapsed="false"/>
    <row r="1150" customFormat="false" ht="15.75" hidden="false" customHeight="true" outlineLevel="0" collapsed="false"/>
    <row r="1151" customFormat="false" ht="15.75" hidden="false" customHeight="true" outlineLevel="0" collapsed="false"/>
    <row r="1152" customFormat="false" ht="15.75" hidden="false" customHeight="true" outlineLevel="0" collapsed="false"/>
    <row r="1153" customFormat="false" ht="15.75" hidden="false" customHeight="true" outlineLevel="0" collapsed="false"/>
    <row r="1154" customFormat="false" ht="15.75" hidden="false" customHeight="true" outlineLevel="0" collapsed="false"/>
    <row r="1155" customFormat="false" ht="15.75" hidden="false" customHeight="true" outlineLevel="0" collapsed="false"/>
    <row r="1156" customFormat="false" ht="15.75" hidden="false" customHeight="true" outlineLevel="0" collapsed="false"/>
    <row r="1157" customFormat="false" ht="15.75" hidden="false" customHeight="true" outlineLevel="0" collapsed="false"/>
    <row r="1158" customFormat="false" ht="15.75" hidden="false" customHeight="true" outlineLevel="0" collapsed="false"/>
    <row r="1159" customFormat="false" ht="15.75" hidden="false" customHeight="true" outlineLevel="0" collapsed="false"/>
    <row r="1160" customFormat="false" ht="15.75" hidden="false" customHeight="true" outlineLevel="0" collapsed="false"/>
    <row r="1161" customFormat="false" ht="15.75" hidden="false" customHeight="true" outlineLevel="0" collapsed="false"/>
    <row r="1162" customFormat="false" ht="15.75" hidden="false" customHeight="true" outlineLevel="0" collapsed="false"/>
    <row r="1163" customFormat="false" ht="15.75" hidden="false" customHeight="true" outlineLevel="0" collapsed="false"/>
    <row r="1164" customFormat="false" ht="15.75" hidden="false" customHeight="true" outlineLevel="0" collapsed="false"/>
    <row r="1165" customFormat="false" ht="15.75" hidden="false" customHeight="true" outlineLevel="0" collapsed="false"/>
    <row r="1166" customFormat="false" ht="15.75" hidden="false" customHeight="true" outlineLevel="0" collapsed="false"/>
    <row r="1167" customFormat="false" ht="15.75" hidden="false" customHeight="true" outlineLevel="0" collapsed="false"/>
    <row r="1168" customFormat="false" ht="15.75" hidden="false" customHeight="true" outlineLevel="0" collapsed="false"/>
    <row r="1169" customFormat="false" ht="15.75" hidden="false" customHeight="true" outlineLevel="0" collapsed="false"/>
    <row r="1170" customFormat="false" ht="15.75" hidden="false" customHeight="true" outlineLevel="0" collapsed="false"/>
    <row r="1171" customFormat="false" ht="15.75" hidden="false" customHeight="true" outlineLevel="0" collapsed="false"/>
    <row r="1172" customFormat="false" ht="15.75" hidden="false" customHeight="true" outlineLevel="0" collapsed="false"/>
    <row r="1173" customFormat="false" ht="15.75" hidden="false" customHeight="true" outlineLevel="0" collapsed="false"/>
    <row r="1174" customFormat="false" ht="15.75" hidden="false" customHeight="true" outlineLevel="0" collapsed="false"/>
    <row r="1175" customFormat="false" ht="15.75" hidden="false" customHeight="true" outlineLevel="0" collapsed="false"/>
    <row r="1176" customFormat="false" ht="15.75" hidden="false" customHeight="true" outlineLevel="0" collapsed="false"/>
    <row r="1177" customFormat="false" ht="15.75" hidden="false" customHeight="true" outlineLevel="0" collapsed="false"/>
    <row r="1178" customFormat="false" ht="15.75" hidden="false" customHeight="true" outlineLevel="0" collapsed="false"/>
    <row r="1179" customFormat="false" ht="15.75" hidden="false" customHeight="true" outlineLevel="0" collapsed="false"/>
    <row r="1180" customFormat="false" ht="15.75" hidden="false" customHeight="true" outlineLevel="0" collapsed="false"/>
    <row r="1181" customFormat="false" ht="15.75" hidden="false" customHeight="true" outlineLevel="0" collapsed="false"/>
    <row r="1182" customFormat="false" ht="15.75" hidden="false" customHeight="true" outlineLevel="0" collapsed="false"/>
    <row r="1183" customFormat="false" ht="15.75" hidden="false" customHeight="true" outlineLevel="0" collapsed="false"/>
    <row r="1184" customFormat="false" ht="15.75" hidden="false" customHeight="true" outlineLevel="0" collapsed="false"/>
    <row r="1185" customFormat="false" ht="15.75" hidden="false" customHeight="true" outlineLevel="0" collapsed="false"/>
    <row r="1186" customFormat="false" ht="15.75" hidden="false" customHeight="true" outlineLevel="0" collapsed="false"/>
    <row r="1187" customFormat="false" ht="15.75" hidden="false" customHeight="true" outlineLevel="0" collapsed="false"/>
    <row r="1188" customFormat="false" ht="15.75" hidden="false" customHeight="true" outlineLevel="0" collapsed="false"/>
    <row r="1189" customFormat="false" ht="15.75" hidden="false" customHeight="true" outlineLevel="0" collapsed="false"/>
    <row r="1190" customFormat="false" ht="15.75" hidden="false" customHeight="true" outlineLevel="0" collapsed="false"/>
    <row r="1191" customFormat="false" ht="15.75" hidden="false" customHeight="true" outlineLevel="0" collapsed="false"/>
    <row r="1192" customFormat="false" ht="15.75" hidden="false" customHeight="true" outlineLevel="0" collapsed="false"/>
    <row r="1193" customFormat="false" ht="15.75" hidden="false" customHeight="true" outlineLevel="0" collapsed="false"/>
    <row r="1194" customFormat="false" ht="15.75" hidden="false" customHeight="true" outlineLevel="0" collapsed="false"/>
    <row r="1195" customFormat="false" ht="15.75" hidden="false" customHeight="true" outlineLevel="0" collapsed="false"/>
    <row r="1196" customFormat="false" ht="15.75" hidden="false" customHeight="true" outlineLevel="0" collapsed="false"/>
    <row r="1197" customFormat="false" ht="15.75" hidden="false" customHeight="true" outlineLevel="0" collapsed="false"/>
    <row r="1198" customFormat="false" ht="15.75" hidden="false" customHeight="true" outlineLevel="0" collapsed="false"/>
    <row r="1199" customFormat="false" ht="15.75" hidden="false" customHeight="true" outlineLevel="0" collapsed="false"/>
    <row r="1200" customFormat="false" ht="15.75" hidden="false" customHeight="true" outlineLevel="0" collapsed="false"/>
    <row r="1201" customFormat="false" ht="15.75" hidden="false" customHeight="true" outlineLevel="0" collapsed="false"/>
    <row r="1202" customFormat="false" ht="15.75" hidden="false" customHeight="true" outlineLevel="0" collapsed="false"/>
    <row r="1203" customFormat="false" ht="15.75" hidden="false" customHeight="true" outlineLevel="0" collapsed="false"/>
    <row r="1204" customFormat="false" ht="15.75" hidden="false" customHeight="true" outlineLevel="0" collapsed="false"/>
    <row r="1205" customFormat="false" ht="15.75" hidden="false" customHeight="true" outlineLevel="0" collapsed="false"/>
    <row r="1206" customFormat="false" ht="15.75" hidden="false" customHeight="true" outlineLevel="0" collapsed="false"/>
    <row r="1207" customFormat="false" ht="15.75" hidden="false" customHeight="true" outlineLevel="0" collapsed="false"/>
    <row r="1208" customFormat="false" ht="15.75" hidden="false" customHeight="true" outlineLevel="0" collapsed="false"/>
    <row r="1209" customFormat="false" ht="15.75" hidden="false" customHeight="true" outlineLevel="0" collapsed="false"/>
    <row r="1210" customFormat="false" ht="15.75" hidden="false" customHeight="true" outlineLevel="0" collapsed="false"/>
    <row r="1211" customFormat="false" ht="15.75" hidden="false" customHeight="true" outlineLevel="0" collapsed="false"/>
    <row r="1212" customFormat="false" ht="15.75" hidden="false" customHeight="true" outlineLevel="0" collapsed="false"/>
    <row r="1213" customFormat="false" ht="15.75" hidden="false" customHeight="true" outlineLevel="0" collapsed="false"/>
    <row r="1214" customFormat="false" ht="15.75" hidden="false" customHeight="true" outlineLevel="0" collapsed="false"/>
    <row r="1215" customFormat="false" ht="15.75" hidden="false" customHeight="true" outlineLevel="0" collapsed="false"/>
    <row r="1216" customFormat="false" ht="15.75" hidden="false" customHeight="true" outlineLevel="0" collapsed="false"/>
    <row r="1217" customFormat="false" ht="15.75" hidden="false" customHeight="true" outlineLevel="0" collapsed="false"/>
    <row r="1218" customFormat="false" ht="15.75" hidden="false" customHeight="true" outlineLevel="0" collapsed="false"/>
    <row r="1219" customFormat="false" ht="15.75" hidden="false" customHeight="true" outlineLevel="0" collapsed="false"/>
    <row r="1220" customFormat="false" ht="15.75" hidden="false" customHeight="true" outlineLevel="0" collapsed="false"/>
    <row r="1221" customFormat="false" ht="15.75" hidden="false" customHeight="true" outlineLevel="0" collapsed="false"/>
    <row r="1222" customFormat="false" ht="15.75" hidden="false" customHeight="true" outlineLevel="0" collapsed="false"/>
    <row r="1223" customFormat="false" ht="15.75" hidden="false" customHeight="true" outlineLevel="0" collapsed="false"/>
    <row r="1224" customFormat="false" ht="15.75" hidden="false" customHeight="true" outlineLevel="0" collapsed="false"/>
    <row r="1225" customFormat="false" ht="15.75" hidden="false" customHeight="true" outlineLevel="0" collapsed="false"/>
    <row r="1226" customFormat="false" ht="15.75" hidden="false" customHeight="true" outlineLevel="0" collapsed="false"/>
    <row r="1227" customFormat="false" ht="15.75" hidden="false" customHeight="true" outlineLevel="0" collapsed="false"/>
    <row r="1228" customFormat="false" ht="15.75" hidden="false" customHeight="true" outlineLevel="0" collapsed="false"/>
    <row r="1229" customFormat="false" ht="15.75" hidden="false" customHeight="true" outlineLevel="0" collapsed="false"/>
    <row r="1230" customFormat="false" ht="15.75" hidden="false" customHeight="true" outlineLevel="0" collapsed="false"/>
    <row r="1231" customFormat="false" ht="15.75" hidden="false" customHeight="true" outlineLevel="0" collapsed="false"/>
    <row r="1232" customFormat="false" ht="15.75" hidden="false" customHeight="true" outlineLevel="0" collapsed="false"/>
    <row r="1233" customFormat="false" ht="15.75" hidden="false" customHeight="true" outlineLevel="0" collapsed="false"/>
    <row r="1234" customFormat="false" ht="15.75" hidden="false" customHeight="true" outlineLevel="0" collapsed="false"/>
    <row r="1235" customFormat="false" ht="15.75" hidden="false" customHeight="true" outlineLevel="0" collapsed="false"/>
    <row r="1236" customFormat="false" ht="15.75" hidden="false" customHeight="true" outlineLevel="0" collapsed="false"/>
    <row r="1237" customFormat="false" ht="15.75" hidden="false" customHeight="true" outlineLevel="0" collapsed="false"/>
    <row r="1238" customFormat="false" ht="15.75" hidden="false" customHeight="true" outlineLevel="0" collapsed="false"/>
    <row r="1239" customFormat="false" ht="15.75" hidden="false" customHeight="true" outlineLevel="0" collapsed="false"/>
    <row r="1240" customFormat="false" ht="15.75" hidden="false" customHeight="true" outlineLevel="0" collapsed="false"/>
    <row r="1241" customFormat="false" ht="15.75" hidden="false" customHeight="true" outlineLevel="0" collapsed="false"/>
    <row r="1242" customFormat="false" ht="15.75" hidden="false" customHeight="true" outlineLevel="0" collapsed="false"/>
    <row r="1243" customFormat="false" ht="15.75" hidden="false" customHeight="true" outlineLevel="0" collapsed="false"/>
    <row r="1244" customFormat="false" ht="15.75" hidden="false" customHeight="true" outlineLevel="0" collapsed="false"/>
    <row r="1245" customFormat="false" ht="15.75" hidden="false" customHeight="true" outlineLevel="0" collapsed="false"/>
    <row r="1246" customFormat="false" ht="15.75" hidden="false" customHeight="true" outlineLevel="0" collapsed="false"/>
    <row r="1247" customFormat="false" ht="15.75" hidden="false" customHeight="true" outlineLevel="0" collapsed="false"/>
    <row r="1248" customFormat="false" ht="15.75" hidden="false" customHeight="true" outlineLevel="0" collapsed="false"/>
    <row r="1249" customFormat="false" ht="15.75" hidden="false" customHeight="true" outlineLevel="0" collapsed="false"/>
    <row r="1250" customFormat="false" ht="15.75" hidden="false" customHeight="true" outlineLevel="0" collapsed="false"/>
    <row r="1251" customFormat="false" ht="15.75" hidden="false" customHeight="true" outlineLevel="0" collapsed="false"/>
    <row r="1252" customFormat="false" ht="15.75" hidden="false" customHeight="true" outlineLevel="0" collapsed="false"/>
    <row r="1253" customFormat="false" ht="15.75" hidden="false" customHeight="true" outlineLevel="0" collapsed="false"/>
    <row r="1254" customFormat="false" ht="15.75" hidden="false" customHeight="true" outlineLevel="0" collapsed="false"/>
    <row r="1255" customFormat="false" ht="15.75" hidden="false" customHeight="true" outlineLevel="0" collapsed="false"/>
    <row r="1256" customFormat="false" ht="15.75" hidden="false" customHeight="true" outlineLevel="0" collapsed="false"/>
    <row r="1257" customFormat="false" ht="15.75" hidden="false" customHeight="true" outlineLevel="0" collapsed="false"/>
    <row r="1258" customFormat="false" ht="15.75" hidden="false" customHeight="true" outlineLevel="0" collapsed="false"/>
    <row r="1259" customFormat="false" ht="15.75" hidden="false" customHeight="true" outlineLevel="0" collapsed="false"/>
    <row r="1260" customFormat="false" ht="15.75" hidden="false" customHeight="true" outlineLevel="0" collapsed="false"/>
    <row r="1261" customFormat="false" ht="15.75" hidden="false" customHeight="true" outlineLevel="0" collapsed="false"/>
    <row r="1262" customFormat="false" ht="15.75" hidden="false" customHeight="true" outlineLevel="0" collapsed="false"/>
    <row r="1263" customFormat="false" ht="15.75" hidden="false" customHeight="true" outlineLevel="0" collapsed="false"/>
    <row r="1264" customFormat="false" ht="15.75" hidden="false" customHeight="true" outlineLevel="0" collapsed="false"/>
    <row r="1265" customFormat="false" ht="15.75" hidden="false" customHeight="true" outlineLevel="0" collapsed="false"/>
    <row r="1266" customFormat="false" ht="15.75" hidden="false" customHeight="true" outlineLevel="0" collapsed="false"/>
    <row r="1267" customFormat="false" ht="15.75" hidden="false" customHeight="true" outlineLevel="0" collapsed="false"/>
    <row r="1268" customFormat="false" ht="15.75" hidden="false" customHeight="true" outlineLevel="0" collapsed="false"/>
    <row r="1269" customFormat="false" ht="15.75" hidden="false" customHeight="true" outlineLevel="0" collapsed="false"/>
    <row r="1270" customFormat="false" ht="15.75" hidden="false" customHeight="true" outlineLevel="0" collapsed="false"/>
    <row r="1271" customFormat="false" ht="15.75" hidden="false" customHeight="true" outlineLevel="0" collapsed="false"/>
    <row r="1272" customFormat="false" ht="15.75" hidden="false" customHeight="true" outlineLevel="0" collapsed="false"/>
    <row r="1273" customFormat="false" ht="15.75" hidden="false" customHeight="true" outlineLevel="0" collapsed="false"/>
    <row r="1274" customFormat="false" ht="15.75" hidden="false" customHeight="true" outlineLevel="0" collapsed="false"/>
    <row r="1275" customFormat="false" ht="15.75" hidden="false" customHeight="true" outlineLevel="0" collapsed="false"/>
    <row r="1276" customFormat="false" ht="15.75" hidden="false" customHeight="true" outlineLevel="0" collapsed="false"/>
    <row r="1277" customFormat="false" ht="15.75" hidden="false" customHeight="true" outlineLevel="0" collapsed="false"/>
    <row r="1278" customFormat="false" ht="15.75" hidden="false" customHeight="true" outlineLevel="0" collapsed="false"/>
    <row r="1279" customFormat="false" ht="15.75" hidden="false" customHeight="true" outlineLevel="0" collapsed="false"/>
    <row r="1280" customFormat="false" ht="15.75" hidden="false" customHeight="true" outlineLevel="0" collapsed="false"/>
    <row r="1281" customFormat="false" ht="15.75" hidden="false" customHeight="true" outlineLevel="0" collapsed="false"/>
    <row r="1282" customFormat="false" ht="15.75" hidden="false" customHeight="true" outlineLevel="0" collapsed="false"/>
    <row r="1283" customFormat="false" ht="15.75" hidden="false" customHeight="true" outlineLevel="0" collapsed="false"/>
    <row r="1284" customFormat="false" ht="15.75" hidden="false" customHeight="true" outlineLevel="0" collapsed="false"/>
    <row r="1285" customFormat="false" ht="15.75" hidden="false" customHeight="true" outlineLevel="0" collapsed="false"/>
    <row r="1286" customFormat="false" ht="15.75" hidden="false" customHeight="true" outlineLevel="0" collapsed="false"/>
    <row r="1287" customFormat="false" ht="15.75" hidden="false" customHeight="true" outlineLevel="0" collapsed="false"/>
    <row r="1288" customFormat="false" ht="15.75" hidden="false" customHeight="true" outlineLevel="0" collapsed="false"/>
    <row r="1289" customFormat="false" ht="15.75" hidden="false" customHeight="true" outlineLevel="0" collapsed="false"/>
    <row r="1290" customFormat="false" ht="15.75" hidden="false" customHeight="true" outlineLevel="0" collapsed="false"/>
    <row r="1291" customFormat="false" ht="15.75" hidden="false" customHeight="true" outlineLevel="0" collapsed="false"/>
    <row r="1292" customFormat="false" ht="15.75" hidden="false" customHeight="true" outlineLevel="0" collapsed="false"/>
    <row r="1293" customFormat="false" ht="15.75" hidden="false" customHeight="true" outlineLevel="0" collapsed="false"/>
    <row r="1294" customFormat="false" ht="15.75" hidden="false" customHeight="true" outlineLevel="0" collapsed="false"/>
    <row r="1295" customFormat="false" ht="15.75" hidden="false" customHeight="true" outlineLevel="0" collapsed="false"/>
    <row r="1296" customFormat="false" ht="15.75" hidden="false" customHeight="true" outlineLevel="0" collapsed="false"/>
    <row r="1297" customFormat="false" ht="15.75" hidden="false" customHeight="true" outlineLevel="0" collapsed="false"/>
    <row r="1298" customFormat="false" ht="15.75" hidden="false" customHeight="true" outlineLevel="0" collapsed="false"/>
    <row r="1299" customFormat="false" ht="15.75" hidden="false" customHeight="true" outlineLevel="0" collapsed="false"/>
    <row r="1300" customFormat="false" ht="15.75" hidden="false" customHeight="true" outlineLevel="0" collapsed="false"/>
    <row r="1301" customFormat="false" ht="15.75" hidden="false" customHeight="true" outlineLevel="0" collapsed="false"/>
    <row r="1302" customFormat="false" ht="15.75" hidden="false" customHeight="true" outlineLevel="0" collapsed="false"/>
    <row r="1303" customFormat="false" ht="15.75" hidden="false" customHeight="true" outlineLevel="0" collapsed="false"/>
    <row r="1304" customFormat="false" ht="15.75" hidden="false" customHeight="true" outlineLevel="0" collapsed="false"/>
    <row r="1305" customFormat="false" ht="15.75" hidden="false" customHeight="true" outlineLevel="0" collapsed="false"/>
    <row r="1306" customFormat="false" ht="15.75" hidden="false" customHeight="true" outlineLevel="0" collapsed="false"/>
    <row r="1307" customFormat="false" ht="15.75" hidden="false" customHeight="true" outlineLevel="0" collapsed="false"/>
    <row r="1308" customFormat="false" ht="15.75" hidden="false" customHeight="true" outlineLevel="0" collapsed="false"/>
    <row r="1309" customFormat="false" ht="15.75" hidden="false" customHeight="true" outlineLevel="0" collapsed="false"/>
    <row r="1310" customFormat="false" ht="15.75" hidden="false" customHeight="true" outlineLevel="0" collapsed="false"/>
    <row r="1311" customFormat="false" ht="15.75" hidden="false" customHeight="true" outlineLevel="0" collapsed="false"/>
    <row r="1312" customFormat="false" ht="15.75" hidden="false" customHeight="true" outlineLevel="0" collapsed="false"/>
    <row r="1313" customFormat="false" ht="15.75" hidden="false" customHeight="true" outlineLevel="0" collapsed="false"/>
    <row r="1314" customFormat="false" ht="15.75" hidden="false" customHeight="true" outlineLevel="0" collapsed="false"/>
    <row r="1315" customFormat="false" ht="15.75" hidden="false" customHeight="true" outlineLevel="0" collapsed="false"/>
    <row r="1316" customFormat="false" ht="15.75" hidden="false" customHeight="true" outlineLevel="0" collapsed="false"/>
    <row r="1317" customFormat="false" ht="15.75" hidden="false" customHeight="true" outlineLevel="0" collapsed="false"/>
    <row r="1318" customFormat="false" ht="15.75" hidden="false" customHeight="true" outlineLevel="0" collapsed="false"/>
    <row r="1319" customFormat="false" ht="15.75" hidden="false" customHeight="true" outlineLevel="0" collapsed="false"/>
    <row r="1320" customFormat="false" ht="15.75" hidden="false" customHeight="true" outlineLevel="0" collapsed="false"/>
    <row r="1321" customFormat="false" ht="15.75" hidden="false" customHeight="true" outlineLevel="0" collapsed="false"/>
    <row r="1322" customFormat="false" ht="15.75" hidden="false" customHeight="true" outlineLevel="0" collapsed="false"/>
    <row r="1323" customFormat="false" ht="15.75" hidden="false" customHeight="true" outlineLevel="0" collapsed="false"/>
    <row r="1324" customFormat="false" ht="15.75" hidden="false" customHeight="true" outlineLevel="0" collapsed="false"/>
    <row r="1325" customFormat="false" ht="15.75" hidden="false" customHeight="true" outlineLevel="0" collapsed="false"/>
    <row r="1326" customFormat="false" ht="15.75" hidden="false" customHeight="true" outlineLevel="0" collapsed="false"/>
    <row r="1327" customFormat="false" ht="15.75" hidden="false" customHeight="true" outlineLevel="0" collapsed="false"/>
    <row r="1328" customFormat="false" ht="15.75" hidden="false" customHeight="true" outlineLevel="0" collapsed="false"/>
    <row r="1329" customFormat="false" ht="15.75" hidden="false" customHeight="true" outlineLevel="0" collapsed="false"/>
    <row r="1330" customFormat="false" ht="15.75" hidden="false" customHeight="true" outlineLevel="0" collapsed="false"/>
    <row r="1331" customFormat="false" ht="15.75" hidden="false" customHeight="true" outlineLevel="0" collapsed="false"/>
    <row r="1332" customFormat="false" ht="15.75" hidden="false" customHeight="true" outlineLevel="0" collapsed="false"/>
    <row r="1333" customFormat="false" ht="15.75" hidden="false" customHeight="true" outlineLevel="0" collapsed="false"/>
    <row r="1334" customFormat="false" ht="15.75" hidden="false" customHeight="true" outlineLevel="0" collapsed="false"/>
    <row r="1335" customFormat="false" ht="15.75" hidden="false" customHeight="true" outlineLevel="0" collapsed="false"/>
    <row r="1336" customFormat="false" ht="15.75" hidden="false" customHeight="true" outlineLevel="0" collapsed="false"/>
    <row r="1337" customFormat="false" ht="15.75" hidden="false" customHeight="true" outlineLevel="0" collapsed="false"/>
    <row r="1338" customFormat="false" ht="15.75" hidden="false" customHeight="true" outlineLevel="0" collapsed="false"/>
    <row r="1339" customFormat="false" ht="15.75" hidden="false" customHeight="true" outlineLevel="0" collapsed="false"/>
    <row r="1340" customFormat="false" ht="15.75" hidden="false" customHeight="true" outlineLevel="0" collapsed="false"/>
    <row r="1341" customFormat="false" ht="15.75" hidden="false" customHeight="true" outlineLevel="0" collapsed="false"/>
    <row r="1342" customFormat="false" ht="15.75" hidden="false" customHeight="true" outlineLevel="0" collapsed="false"/>
    <row r="1343" customFormat="false" ht="15.75" hidden="false" customHeight="true" outlineLevel="0" collapsed="false"/>
    <row r="1344" customFormat="false" ht="15.75" hidden="false" customHeight="true" outlineLevel="0" collapsed="false"/>
    <row r="1345" customFormat="false" ht="15.75" hidden="false" customHeight="true" outlineLevel="0" collapsed="false"/>
    <row r="1346" customFormat="false" ht="15.75" hidden="false" customHeight="true" outlineLevel="0" collapsed="false"/>
    <row r="1347" customFormat="false" ht="15.75" hidden="false" customHeight="true" outlineLevel="0" collapsed="false"/>
    <row r="1348" customFormat="false" ht="15.75" hidden="false" customHeight="true" outlineLevel="0" collapsed="false"/>
    <row r="1349" customFormat="false" ht="15.75" hidden="false" customHeight="true" outlineLevel="0" collapsed="false"/>
    <row r="1350" customFormat="false" ht="15.75" hidden="false" customHeight="true" outlineLevel="0" collapsed="false"/>
    <row r="1351" customFormat="false" ht="15.75" hidden="false" customHeight="true" outlineLevel="0" collapsed="false"/>
    <row r="1352" customFormat="false" ht="15.75" hidden="false" customHeight="true" outlineLevel="0" collapsed="false"/>
    <row r="1353" customFormat="false" ht="15.75" hidden="false" customHeight="true" outlineLevel="0" collapsed="false"/>
    <row r="1354" customFormat="false" ht="15.75" hidden="false" customHeight="true" outlineLevel="0" collapsed="false"/>
    <row r="1355" customFormat="false" ht="15.75" hidden="false" customHeight="true" outlineLevel="0" collapsed="false"/>
    <row r="1356" customFormat="false" ht="15.75" hidden="false" customHeight="true" outlineLevel="0" collapsed="false"/>
    <row r="1357" customFormat="false" ht="15.75" hidden="false" customHeight="true" outlineLevel="0" collapsed="false"/>
    <row r="1358" customFormat="false" ht="15.75" hidden="false" customHeight="true" outlineLevel="0" collapsed="false"/>
    <row r="1359" customFormat="false" ht="15.75" hidden="false" customHeight="true" outlineLevel="0" collapsed="false"/>
    <row r="1360" customFormat="false" ht="15.75" hidden="false" customHeight="true" outlineLevel="0" collapsed="false"/>
    <row r="1361" customFormat="false" ht="15.75" hidden="false" customHeight="true" outlineLevel="0" collapsed="false"/>
    <row r="1362" customFormat="false" ht="15.75" hidden="false" customHeight="true" outlineLevel="0" collapsed="false"/>
    <row r="1363" customFormat="false" ht="15.75" hidden="false" customHeight="true" outlineLevel="0" collapsed="false"/>
    <row r="1364" customFormat="false" ht="15.75" hidden="false" customHeight="true" outlineLevel="0" collapsed="false"/>
    <row r="1365" customFormat="false" ht="15.75" hidden="false" customHeight="true" outlineLevel="0" collapsed="false"/>
    <row r="1366" customFormat="false" ht="15.75" hidden="false" customHeight="true" outlineLevel="0" collapsed="false"/>
    <row r="1367" customFormat="false" ht="15.75" hidden="false" customHeight="true" outlineLevel="0" collapsed="false"/>
    <row r="1368" customFormat="false" ht="15.75" hidden="false" customHeight="true" outlineLevel="0" collapsed="false"/>
    <row r="1369" customFormat="false" ht="15.75" hidden="false" customHeight="true" outlineLevel="0" collapsed="false"/>
    <row r="1370" customFormat="false" ht="15.75" hidden="false" customHeight="true" outlineLevel="0" collapsed="false"/>
    <row r="1371" customFormat="false" ht="15.75" hidden="false" customHeight="true" outlineLevel="0" collapsed="false"/>
    <row r="1372" customFormat="false" ht="15.75" hidden="false" customHeight="true" outlineLevel="0" collapsed="false"/>
    <row r="1373" customFormat="false" ht="15.75" hidden="false" customHeight="true" outlineLevel="0" collapsed="false"/>
    <row r="1374" customFormat="false" ht="15.75" hidden="false" customHeight="true" outlineLevel="0" collapsed="false"/>
    <row r="1375" customFormat="false" ht="15.75" hidden="false" customHeight="true" outlineLevel="0" collapsed="false"/>
    <row r="1376" customFormat="false" ht="15.75" hidden="false" customHeight="true" outlineLevel="0" collapsed="false"/>
    <row r="1377" customFormat="false" ht="15.75" hidden="false" customHeight="true" outlineLevel="0" collapsed="false"/>
    <row r="1378" customFormat="false" ht="15.75" hidden="false" customHeight="true" outlineLevel="0" collapsed="false"/>
    <row r="1379" customFormat="false" ht="15.75" hidden="false" customHeight="true" outlineLevel="0" collapsed="false"/>
    <row r="1380" customFormat="false" ht="15.75" hidden="false" customHeight="true" outlineLevel="0" collapsed="false"/>
    <row r="1381" customFormat="false" ht="15.75" hidden="false" customHeight="true" outlineLevel="0" collapsed="false"/>
    <row r="1382" customFormat="false" ht="15.75" hidden="false" customHeight="true" outlineLevel="0" collapsed="false"/>
    <row r="1383" customFormat="false" ht="15.75" hidden="false" customHeight="true" outlineLevel="0" collapsed="false"/>
    <row r="1384" customFormat="false" ht="15.75" hidden="false" customHeight="true" outlineLevel="0" collapsed="false"/>
    <row r="1385" customFormat="false" ht="15.75" hidden="false" customHeight="true" outlineLevel="0" collapsed="false"/>
    <row r="1386" customFormat="false" ht="15.75" hidden="false" customHeight="true" outlineLevel="0" collapsed="false"/>
    <row r="1387" customFormat="false" ht="15.75" hidden="false" customHeight="true" outlineLevel="0" collapsed="false"/>
    <row r="1388" customFormat="false" ht="15.75" hidden="false" customHeight="true" outlineLevel="0" collapsed="false"/>
    <row r="1389" customFormat="false" ht="15.75" hidden="false" customHeight="true" outlineLevel="0" collapsed="false"/>
    <row r="1390" customFormat="false" ht="15.75" hidden="false" customHeight="true" outlineLevel="0" collapsed="false"/>
    <row r="1391" customFormat="false" ht="15.75" hidden="false" customHeight="true" outlineLevel="0" collapsed="false"/>
    <row r="1392" customFormat="false" ht="15.75" hidden="false" customHeight="true" outlineLevel="0" collapsed="false"/>
    <row r="1393" customFormat="false" ht="15.75" hidden="false" customHeight="true" outlineLevel="0" collapsed="false"/>
    <row r="1394" customFormat="false" ht="15.75" hidden="false" customHeight="true" outlineLevel="0" collapsed="false"/>
    <row r="1395" customFormat="false" ht="15.75" hidden="false" customHeight="true" outlineLevel="0" collapsed="false"/>
    <row r="1396" customFormat="false" ht="15.75" hidden="false" customHeight="true" outlineLevel="0" collapsed="false"/>
    <row r="1397" customFormat="false" ht="15.75" hidden="false" customHeight="true" outlineLevel="0" collapsed="false"/>
    <row r="1398" customFormat="false" ht="15.75" hidden="false" customHeight="true" outlineLevel="0" collapsed="false"/>
    <row r="1399" customFormat="false" ht="15.75" hidden="false" customHeight="true" outlineLevel="0" collapsed="false"/>
    <row r="1400" customFormat="false" ht="15.75" hidden="false" customHeight="true" outlineLevel="0" collapsed="false"/>
    <row r="1401" customFormat="false" ht="15.75" hidden="false" customHeight="true" outlineLevel="0" collapsed="false"/>
    <row r="1402" customFormat="false" ht="15.75" hidden="false" customHeight="true" outlineLevel="0" collapsed="false"/>
    <row r="1403" customFormat="false" ht="15.75" hidden="false" customHeight="true" outlineLevel="0" collapsed="false"/>
    <row r="1404" customFormat="false" ht="15.75" hidden="false" customHeight="true" outlineLevel="0" collapsed="false"/>
    <row r="1405" customFormat="false" ht="15.75" hidden="false" customHeight="true" outlineLevel="0" collapsed="false"/>
    <row r="1406" customFormat="false" ht="15.75" hidden="false" customHeight="true" outlineLevel="0" collapsed="false"/>
    <row r="1407" customFormat="false" ht="15.75" hidden="false" customHeight="true" outlineLevel="0" collapsed="false"/>
    <row r="1408" customFormat="false" ht="15.75" hidden="false" customHeight="true" outlineLevel="0" collapsed="false"/>
    <row r="1409" customFormat="false" ht="15.75" hidden="false" customHeight="true" outlineLevel="0" collapsed="false"/>
    <row r="1410" customFormat="false" ht="15.75" hidden="false" customHeight="true" outlineLevel="0" collapsed="false"/>
    <row r="1411" customFormat="false" ht="15.75" hidden="false" customHeight="true" outlineLevel="0" collapsed="false"/>
    <row r="1412" customFormat="false" ht="15.75" hidden="false" customHeight="true" outlineLevel="0" collapsed="false"/>
    <row r="1413" customFormat="false" ht="15.75" hidden="false" customHeight="true" outlineLevel="0" collapsed="false"/>
    <row r="1414" customFormat="false" ht="15.75" hidden="false" customHeight="true" outlineLevel="0" collapsed="false"/>
    <row r="1415" customFormat="false" ht="15.75" hidden="false" customHeight="true" outlineLevel="0" collapsed="false"/>
    <row r="1416" customFormat="false" ht="15.75" hidden="false" customHeight="true" outlineLevel="0" collapsed="false"/>
    <row r="1417" customFormat="false" ht="15.75" hidden="false" customHeight="true" outlineLevel="0" collapsed="false"/>
    <row r="1418" customFormat="false" ht="15.75" hidden="false" customHeight="true" outlineLevel="0" collapsed="false"/>
    <row r="1419" customFormat="false" ht="15.75" hidden="false" customHeight="true" outlineLevel="0" collapsed="false"/>
    <row r="1420" customFormat="false" ht="15.75" hidden="false" customHeight="true" outlineLevel="0" collapsed="false"/>
    <row r="1421" customFormat="false" ht="15.75" hidden="false" customHeight="true" outlineLevel="0" collapsed="false"/>
    <row r="1422" customFormat="false" ht="15.75" hidden="false" customHeight="true" outlineLevel="0" collapsed="false"/>
    <row r="1423" customFormat="false" ht="15.75" hidden="false" customHeight="true" outlineLevel="0" collapsed="false"/>
    <row r="1424" customFormat="false" ht="15.75" hidden="false" customHeight="true" outlineLevel="0" collapsed="false"/>
    <row r="1425" customFormat="false" ht="15.75" hidden="false" customHeight="true" outlineLevel="0" collapsed="false"/>
    <row r="1426" customFormat="false" ht="15.75" hidden="false" customHeight="true" outlineLevel="0" collapsed="false"/>
    <row r="1427" customFormat="false" ht="15.75" hidden="false" customHeight="true" outlineLevel="0" collapsed="false"/>
    <row r="1428" customFormat="false" ht="15.75" hidden="false" customHeight="true" outlineLevel="0" collapsed="false"/>
    <row r="1429" customFormat="false" ht="15.75" hidden="false" customHeight="true" outlineLevel="0" collapsed="false"/>
    <row r="1430" customFormat="false" ht="15.75" hidden="false" customHeight="true" outlineLevel="0" collapsed="false"/>
    <row r="1431" customFormat="false" ht="15.75" hidden="false" customHeight="true" outlineLevel="0" collapsed="false"/>
    <row r="1432" customFormat="false" ht="15.75" hidden="false" customHeight="true" outlineLevel="0" collapsed="false"/>
    <row r="1433" customFormat="false" ht="15.75" hidden="false" customHeight="true" outlineLevel="0" collapsed="false"/>
    <row r="1434" customFormat="false" ht="15.75" hidden="false" customHeight="true" outlineLevel="0" collapsed="false"/>
    <row r="1435" customFormat="false" ht="15.75" hidden="false" customHeight="true" outlineLevel="0" collapsed="false"/>
    <row r="1436" customFormat="false" ht="15.75" hidden="false" customHeight="true" outlineLevel="0" collapsed="false"/>
    <row r="1437" customFormat="false" ht="15.75" hidden="false" customHeight="true" outlineLevel="0" collapsed="false"/>
    <row r="1438" customFormat="false" ht="15.75" hidden="false" customHeight="true" outlineLevel="0" collapsed="false"/>
    <row r="1439" customFormat="false" ht="15.75" hidden="false" customHeight="true" outlineLevel="0" collapsed="false"/>
    <row r="1440" customFormat="false" ht="15.75" hidden="false" customHeight="true" outlineLevel="0" collapsed="false"/>
    <row r="1441" customFormat="false" ht="15.75" hidden="false" customHeight="true" outlineLevel="0" collapsed="false"/>
    <row r="1442" customFormat="false" ht="15.75" hidden="false" customHeight="true" outlineLevel="0" collapsed="false"/>
    <row r="1443" customFormat="false" ht="15.75" hidden="false" customHeight="true" outlineLevel="0" collapsed="false"/>
    <row r="1444" customFormat="false" ht="15.75" hidden="false" customHeight="true" outlineLevel="0" collapsed="false"/>
    <row r="1445" customFormat="false" ht="15.75" hidden="false" customHeight="true" outlineLevel="0" collapsed="false"/>
    <row r="1446" customFormat="false" ht="15.75" hidden="false" customHeight="true" outlineLevel="0" collapsed="false"/>
    <row r="1447" customFormat="false" ht="15.75" hidden="false" customHeight="true" outlineLevel="0" collapsed="false"/>
    <row r="1448" customFormat="false" ht="15.75" hidden="false" customHeight="true" outlineLevel="0" collapsed="false"/>
    <row r="1449" customFormat="false" ht="15.75" hidden="false" customHeight="true" outlineLevel="0" collapsed="false"/>
    <row r="1450" customFormat="false" ht="15.75" hidden="false" customHeight="true" outlineLevel="0" collapsed="false"/>
    <row r="1451" customFormat="false" ht="15.75" hidden="false" customHeight="true" outlineLevel="0" collapsed="false"/>
    <row r="1452" customFormat="false" ht="15.75" hidden="false" customHeight="true" outlineLevel="0" collapsed="false"/>
    <row r="1453" customFormat="false" ht="15.75" hidden="false" customHeight="true" outlineLevel="0" collapsed="false"/>
    <row r="1454" customFormat="false" ht="15.75" hidden="false" customHeight="true" outlineLevel="0" collapsed="false"/>
    <row r="1455" customFormat="false" ht="15.75" hidden="false" customHeight="true" outlineLevel="0" collapsed="false"/>
    <row r="1456" customFormat="false" ht="15.75" hidden="false" customHeight="true" outlineLevel="0" collapsed="false"/>
    <row r="1457" customFormat="false" ht="15.75" hidden="false" customHeight="true" outlineLevel="0" collapsed="false"/>
    <row r="1458" customFormat="false" ht="15.75" hidden="false" customHeight="true" outlineLevel="0" collapsed="false"/>
    <row r="1459" customFormat="false" ht="15.75" hidden="false" customHeight="true" outlineLevel="0" collapsed="false"/>
    <row r="1460" customFormat="false" ht="15.75" hidden="false" customHeight="true" outlineLevel="0" collapsed="false"/>
    <row r="1461" customFormat="false" ht="15.75" hidden="false" customHeight="true" outlineLevel="0" collapsed="false"/>
    <row r="1462" customFormat="false" ht="15.75" hidden="false" customHeight="true" outlineLevel="0" collapsed="false"/>
    <row r="1463" customFormat="false" ht="15.75" hidden="false" customHeight="true" outlineLevel="0" collapsed="false"/>
    <row r="1464" customFormat="false" ht="15.75" hidden="false" customHeight="true" outlineLevel="0" collapsed="false"/>
    <row r="1465" customFormat="false" ht="15.75" hidden="false" customHeight="true" outlineLevel="0" collapsed="false"/>
    <row r="1466" customFormat="false" ht="15.75" hidden="false" customHeight="true" outlineLevel="0" collapsed="false"/>
    <row r="1467" customFormat="false" ht="15.75" hidden="false" customHeight="true" outlineLevel="0" collapsed="false"/>
    <row r="1468" customFormat="false" ht="15.75" hidden="false" customHeight="true" outlineLevel="0" collapsed="false"/>
    <row r="1469" customFormat="false" ht="15.75" hidden="false" customHeight="true" outlineLevel="0" collapsed="false"/>
    <row r="1470" customFormat="false" ht="15.75" hidden="false" customHeight="true" outlineLevel="0" collapsed="false"/>
    <row r="1471" customFormat="false" ht="15.75" hidden="false" customHeight="true" outlineLevel="0" collapsed="false"/>
    <row r="1472" customFormat="false" ht="15.75" hidden="false" customHeight="true" outlineLevel="0" collapsed="false"/>
    <row r="1473" customFormat="false" ht="15.75" hidden="false" customHeight="true" outlineLevel="0" collapsed="false"/>
    <row r="1474" customFormat="false" ht="15.75" hidden="false" customHeight="true" outlineLevel="0" collapsed="false"/>
    <row r="1475" customFormat="false" ht="15.75" hidden="false" customHeight="true" outlineLevel="0" collapsed="false"/>
    <row r="1476" customFormat="false" ht="15.75" hidden="false" customHeight="true" outlineLevel="0" collapsed="false"/>
    <row r="1477" customFormat="false" ht="15.75" hidden="false" customHeight="true" outlineLevel="0" collapsed="false"/>
    <row r="1478" customFormat="false" ht="15.75" hidden="false" customHeight="true" outlineLevel="0" collapsed="false"/>
    <row r="1479" customFormat="false" ht="15.75" hidden="false" customHeight="true" outlineLevel="0" collapsed="false"/>
    <row r="1480" customFormat="false" ht="15.75" hidden="false" customHeight="true" outlineLevel="0" collapsed="false"/>
    <row r="1481" customFormat="false" ht="15.75" hidden="false" customHeight="true" outlineLevel="0" collapsed="false"/>
    <row r="1482" customFormat="false" ht="15.75" hidden="false" customHeight="true" outlineLevel="0" collapsed="false"/>
    <row r="1483" customFormat="false" ht="15.75" hidden="false" customHeight="true" outlineLevel="0" collapsed="false"/>
    <row r="1484" customFormat="false" ht="15.75" hidden="false" customHeight="true" outlineLevel="0" collapsed="false"/>
    <row r="1485" customFormat="false" ht="15.75" hidden="false" customHeight="true" outlineLevel="0" collapsed="false"/>
    <row r="1486" customFormat="false" ht="15.75" hidden="false" customHeight="true" outlineLevel="0" collapsed="false"/>
    <row r="1487" customFormat="false" ht="15.75" hidden="false" customHeight="true" outlineLevel="0" collapsed="false"/>
    <row r="1488" customFormat="false" ht="15.75" hidden="false" customHeight="true" outlineLevel="0" collapsed="false"/>
    <row r="1489" customFormat="false" ht="15.75" hidden="false" customHeight="true" outlineLevel="0" collapsed="false"/>
    <row r="1490" customFormat="false" ht="15.75" hidden="false" customHeight="true" outlineLevel="0" collapsed="false"/>
    <row r="1491" customFormat="false" ht="15.75" hidden="false" customHeight="true" outlineLevel="0" collapsed="false"/>
    <row r="1492" customFormat="false" ht="15.75" hidden="false" customHeight="true" outlineLevel="0" collapsed="false"/>
    <row r="1493" customFormat="false" ht="15.75" hidden="false" customHeight="true" outlineLevel="0" collapsed="false"/>
    <row r="1494" customFormat="false" ht="15.75" hidden="false" customHeight="true" outlineLevel="0" collapsed="false"/>
    <row r="1495" customFormat="false" ht="15.75" hidden="false" customHeight="true" outlineLevel="0" collapsed="false"/>
    <row r="1496" customFormat="false" ht="15.75" hidden="false" customHeight="true" outlineLevel="0" collapsed="false"/>
    <row r="1497" customFormat="false" ht="15.75" hidden="false" customHeight="true" outlineLevel="0" collapsed="false"/>
    <row r="1498" customFormat="false" ht="15.75" hidden="false" customHeight="true" outlineLevel="0" collapsed="false"/>
    <row r="1499" customFormat="false" ht="15.75" hidden="false" customHeight="true" outlineLevel="0" collapsed="false"/>
    <row r="1500" customFormat="false" ht="15.75" hidden="false" customHeight="true" outlineLevel="0" collapsed="false"/>
    <row r="1501" customFormat="false" ht="15.75" hidden="false" customHeight="true" outlineLevel="0" collapsed="false"/>
    <row r="1502" customFormat="false" ht="15.75" hidden="false" customHeight="true" outlineLevel="0" collapsed="false"/>
    <row r="1503" customFormat="false" ht="15.75" hidden="false" customHeight="true" outlineLevel="0" collapsed="false"/>
    <row r="1504" customFormat="false" ht="15.75" hidden="false" customHeight="true" outlineLevel="0" collapsed="false"/>
    <row r="1505" customFormat="false" ht="15.75" hidden="false" customHeight="true" outlineLevel="0" collapsed="false"/>
    <row r="1506" customFormat="false" ht="15.75" hidden="false" customHeight="true" outlineLevel="0" collapsed="false"/>
    <row r="1507" customFormat="false" ht="15.75" hidden="false" customHeight="true" outlineLevel="0" collapsed="false"/>
    <row r="1508" customFormat="false" ht="15.75" hidden="false" customHeight="true" outlineLevel="0" collapsed="false"/>
    <row r="1509" customFormat="false" ht="15.75" hidden="false" customHeight="true" outlineLevel="0" collapsed="false"/>
    <row r="1510" customFormat="false" ht="15.75" hidden="false" customHeight="true" outlineLevel="0" collapsed="false"/>
    <row r="1511" customFormat="false" ht="15.75" hidden="false" customHeight="true" outlineLevel="0" collapsed="false"/>
    <row r="1512" customFormat="false" ht="15.75" hidden="false" customHeight="true" outlineLevel="0" collapsed="false"/>
    <row r="1513" customFormat="false" ht="15.75" hidden="false" customHeight="true" outlineLevel="0" collapsed="false"/>
    <row r="1514" customFormat="false" ht="15.75" hidden="false" customHeight="true" outlineLevel="0" collapsed="false"/>
    <row r="1515" customFormat="false" ht="15.75" hidden="false" customHeight="true" outlineLevel="0" collapsed="false"/>
    <row r="1516" customFormat="false" ht="15.75" hidden="false" customHeight="true" outlineLevel="0" collapsed="false"/>
    <row r="1517" customFormat="false" ht="15.75" hidden="false" customHeight="true" outlineLevel="0" collapsed="false"/>
    <row r="1518" customFormat="false" ht="15.75" hidden="false" customHeight="true" outlineLevel="0" collapsed="false"/>
    <row r="1519" customFormat="false" ht="15.75" hidden="false" customHeight="true" outlineLevel="0" collapsed="false"/>
    <row r="1520" customFormat="false" ht="15.75" hidden="false" customHeight="true" outlineLevel="0" collapsed="false"/>
    <row r="1521" customFormat="false" ht="15.75" hidden="false" customHeight="true" outlineLevel="0" collapsed="false"/>
    <row r="1522" customFormat="false" ht="15.75" hidden="false" customHeight="true" outlineLevel="0" collapsed="false"/>
    <row r="1523" customFormat="false" ht="15.75" hidden="false" customHeight="true" outlineLevel="0" collapsed="false"/>
    <row r="1524" customFormat="false" ht="15.75" hidden="false" customHeight="true" outlineLevel="0" collapsed="false"/>
    <row r="1525" customFormat="false" ht="15.75" hidden="false" customHeight="true" outlineLevel="0" collapsed="false"/>
    <row r="1526" customFormat="false" ht="15.75" hidden="false" customHeight="true" outlineLevel="0" collapsed="false"/>
    <row r="1527" customFormat="false" ht="15.75" hidden="false" customHeight="true" outlineLevel="0" collapsed="false"/>
    <row r="1528" customFormat="false" ht="15.75" hidden="false" customHeight="true" outlineLevel="0" collapsed="false"/>
    <row r="1529" customFormat="false" ht="15.75" hidden="false" customHeight="true" outlineLevel="0" collapsed="false"/>
    <row r="1530" customFormat="false" ht="15.75" hidden="false" customHeight="true" outlineLevel="0" collapsed="false"/>
    <row r="1531" customFormat="false" ht="15.75" hidden="false" customHeight="true" outlineLevel="0" collapsed="false"/>
    <row r="1532" customFormat="false" ht="15.75" hidden="false" customHeight="true" outlineLevel="0" collapsed="false"/>
    <row r="1533" customFormat="false" ht="15.75" hidden="false" customHeight="true" outlineLevel="0" collapsed="false"/>
    <row r="1534" customFormat="false" ht="15.75" hidden="false" customHeight="true" outlineLevel="0" collapsed="false"/>
    <row r="1535" customFormat="false" ht="15.75" hidden="false" customHeight="true" outlineLevel="0" collapsed="false"/>
    <row r="1536" customFormat="false" ht="15.75" hidden="false" customHeight="true" outlineLevel="0" collapsed="false"/>
    <row r="1537" customFormat="false" ht="15.75" hidden="false" customHeight="true" outlineLevel="0" collapsed="false"/>
    <row r="1538" customFormat="false" ht="15.75" hidden="false" customHeight="true" outlineLevel="0" collapsed="false"/>
    <row r="1539" customFormat="false" ht="15.75" hidden="false" customHeight="true" outlineLevel="0" collapsed="false"/>
    <row r="1540" customFormat="false" ht="15.75" hidden="false" customHeight="true" outlineLevel="0" collapsed="false"/>
    <row r="1541" customFormat="false" ht="15.75" hidden="false" customHeight="true" outlineLevel="0" collapsed="false"/>
    <row r="1542" customFormat="false" ht="15.75" hidden="false" customHeight="true" outlineLevel="0" collapsed="false"/>
    <row r="1543" customFormat="false" ht="15.75" hidden="false" customHeight="true" outlineLevel="0" collapsed="false"/>
    <row r="1544" customFormat="false" ht="15.75" hidden="false" customHeight="true" outlineLevel="0" collapsed="false"/>
    <row r="1545" customFormat="false" ht="15.75" hidden="false" customHeight="true" outlineLevel="0" collapsed="false"/>
    <row r="1546" customFormat="false" ht="15.75" hidden="false" customHeight="true" outlineLevel="0" collapsed="false"/>
    <row r="1547" customFormat="false" ht="15.75" hidden="false" customHeight="true" outlineLevel="0" collapsed="false"/>
    <row r="1548" customFormat="false" ht="15.75" hidden="false" customHeight="true" outlineLevel="0" collapsed="false"/>
    <row r="1549" customFormat="false" ht="15.75" hidden="false" customHeight="true" outlineLevel="0" collapsed="false"/>
    <row r="1550" customFormat="false" ht="15.75" hidden="false" customHeight="true" outlineLevel="0" collapsed="false"/>
    <row r="1551" customFormat="false" ht="15.75" hidden="false" customHeight="true" outlineLevel="0" collapsed="false"/>
    <row r="1552" customFormat="false" ht="15.75" hidden="false" customHeight="true" outlineLevel="0" collapsed="false"/>
    <row r="1553" customFormat="false" ht="15.75" hidden="false" customHeight="true" outlineLevel="0" collapsed="false"/>
    <row r="1554" customFormat="false" ht="15.75" hidden="false" customHeight="true" outlineLevel="0" collapsed="false"/>
    <row r="1555" customFormat="false" ht="15.75" hidden="false" customHeight="true" outlineLevel="0" collapsed="false"/>
    <row r="1556" customFormat="false" ht="15.75" hidden="false" customHeight="true" outlineLevel="0" collapsed="false"/>
    <row r="1557" customFormat="false" ht="15.75" hidden="false" customHeight="true" outlineLevel="0" collapsed="false"/>
    <row r="1558" customFormat="false" ht="15.75" hidden="false" customHeight="true" outlineLevel="0" collapsed="false"/>
    <row r="1559" customFormat="false" ht="15.75" hidden="false" customHeight="true" outlineLevel="0" collapsed="false"/>
    <row r="1560" customFormat="false" ht="15.75" hidden="false" customHeight="true" outlineLevel="0" collapsed="false"/>
    <row r="1561" customFormat="false" ht="15.75" hidden="false" customHeight="true" outlineLevel="0" collapsed="false"/>
    <row r="1562" customFormat="false" ht="15.75" hidden="false" customHeight="true" outlineLevel="0" collapsed="false"/>
    <row r="1563" customFormat="false" ht="15.75" hidden="false" customHeight="true" outlineLevel="0" collapsed="false"/>
    <row r="1564" customFormat="false" ht="15.75" hidden="false" customHeight="true" outlineLevel="0" collapsed="false"/>
    <row r="1565" customFormat="false" ht="15.75" hidden="false" customHeight="true" outlineLevel="0" collapsed="false"/>
    <row r="1566" customFormat="false" ht="15.75" hidden="false" customHeight="true" outlineLevel="0" collapsed="false"/>
    <row r="1567" customFormat="false" ht="15.75" hidden="false" customHeight="true" outlineLevel="0" collapsed="false"/>
    <row r="1568" customFormat="false" ht="15.75" hidden="false" customHeight="true" outlineLevel="0" collapsed="false"/>
    <row r="1569" customFormat="false" ht="15.75" hidden="false" customHeight="true" outlineLevel="0" collapsed="false"/>
    <row r="1570" customFormat="false" ht="15.75" hidden="false" customHeight="true" outlineLevel="0" collapsed="false"/>
    <row r="1571" customFormat="false" ht="15.75" hidden="false" customHeight="true" outlineLevel="0" collapsed="false"/>
    <row r="1572" customFormat="false" ht="15.75" hidden="false" customHeight="true" outlineLevel="0" collapsed="false"/>
    <row r="1573" customFormat="false" ht="15.75" hidden="false" customHeight="true" outlineLevel="0" collapsed="false"/>
    <row r="1574" customFormat="false" ht="15.75" hidden="false" customHeight="true" outlineLevel="0" collapsed="false"/>
    <row r="1575" customFormat="false" ht="15.75" hidden="false" customHeight="true" outlineLevel="0" collapsed="false"/>
    <row r="1576" customFormat="false" ht="15.75" hidden="false" customHeight="true" outlineLevel="0" collapsed="false"/>
    <row r="1577" customFormat="false" ht="15.75" hidden="false" customHeight="true" outlineLevel="0" collapsed="false"/>
    <row r="1578" customFormat="false" ht="15.75" hidden="false" customHeight="true" outlineLevel="0" collapsed="false"/>
    <row r="1579" customFormat="false" ht="15.75" hidden="false" customHeight="true" outlineLevel="0" collapsed="false"/>
    <row r="1580" customFormat="false" ht="15.75" hidden="false" customHeight="true" outlineLevel="0" collapsed="false"/>
    <row r="1581" customFormat="false" ht="15.75" hidden="false" customHeight="true" outlineLevel="0" collapsed="false"/>
    <row r="1582" customFormat="false" ht="15.75" hidden="false" customHeight="true" outlineLevel="0" collapsed="false"/>
    <row r="1583" customFormat="false" ht="15.75" hidden="false" customHeight="true" outlineLevel="0" collapsed="false"/>
    <row r="1584" customFormat="false" ht="15.75" hidden="false" customHeight="true" outlineLevel="0" collapsed="false"/>
    <row r="1585" customFormat="false" ht="15.75" hidden="false" customHeight="true" outlineLevel="0" collapsed="false"/>
    <row r="1586" customFormat="false" ht="15.75" hidden="false" customHeight="true" outlineLevel="0" collapsed="false"/>
    <row r="1587" customFormat="false" ht="15.75" hidden="false" customHeight="true" outlineLevel="0" collapsed="false"/>
    <row r="1588" customFormat="false" ht="15.75" hidden="false" customHeight="true" outlineLevel="0" collapsed="false"/>
    <row r="1589" customFormat="false" ht="15.75" hidden="false" customHeight="true" outlineLevel="0" collapsed="false"/>
    <row r="1590" customFormat="false" ht="15.75" hidden="false" customHeight="true" outlineLevel="0" collapsed="false"/>
    <row r="1591" customFormat="false" ht="15.75" hidden="false" customHeight="true" outlineLevel="0" collapsed="false"/>
    <row r="1592" customFormat="false" ht="15.75" hidden="false" customHeight="true" outlineLevel="0" collapsed="false"/>
    <row r="1593" customFormat="false" ht="15.75" hidden="false" customHeight="true" outlineLevel="0" collapsed="false"/>
    <row r="1594" customFormat="false" ht="15.75" hidden="false" customHeight="true" outlineLevel="0" collapsed="false"/>
    <row r="1595" customFormat="false" ht="15.75" hidden="false" customHeight="true" outlineLevel="0" collapsed="false"/>
    <row r="1596" customFormat="false" ht="15.75" hidden="false" customHeight="true" outlineLevel="0" collapsed="false"/>
    <row r="1597" customFormat="false" ht="15.75" hidden="false" customHeight="true" outlineLevel="0" collapsed="false"/>
    <row r="1598" customFormat="false" ht="15.75" hidden="false" customHeight="true" outlineLevel="0" collapsed="false"/>
    <row r="1599" customFormat="false" ht="15.75" hidden="false" customHeight="true" outlineLevel="0" collapsed="false"/>
    <row r="1600" customFormat="false" ht="15.75" hidden="false" customHeight="true" outlineLevel="0" collapsed="false"/>
    <row r="1601" customFormat="false" ht="15.75" hidden="false" customHeight="true" outlineLevel="0" collapsed="false"/>
    <row r="1602" customFormat="false" ht="15.75" hidden="false" customHeight="true" outlineLevel="0" collapsed="false"/>
    <row r="1603" customFormat="false" ht="15.75" hidden="false" customHeight="true" outlineLevel="0" collapsed="false"/>
    <row r="1604" customFormat="false" ht="15.75" hidden="false" customHeight="true" outlineLevel="0" collapsed="false"/>
    <row r="1605" customFormat="false" ht="15.75" hidden="false" customHeight="true" outlineLevel="0" collapsed="false"/>
    <row r="1606" customFormat="false" ht="15.75" hidden="false" customHeight="true" outlineLevel="0" collapsed="false"/>
    <row r="1607" customFormat="false" ht="15.75" hidden="false" customHeight="true" outlineLevel="0" collapsed="false"/>
    <row r="1608" customFormat="false" ht="15.75" hidden="false" customHeight="true" outlineLevel="0" collapsed="false"/>
    <row r="1609" customFormat="false" ht="15.75" hidden="false" customHeight="true" outlineLevel="0" collapsed="false"/>
    <row r="1610" customFormat="false" ht="15.75" hidden="false" customHeight="true" outlineLevel="0" collapsed="false"/>
    <row r="1611" customFormat="false" ht="15.75" hidden="false" customHeight="true" outlineLevel="0" collapsed="false"/>
    <row r="1612" customFormat="false" ht="15.75" hidden="false" customHeight="true" outlineLevel="0" collapsed="false"/>
    <row r="1613" customFormat="false" ht="15.75" hidden="false" customHeight="true" outlineLevel="0" collapsed="false"/>
    <row r="1614" customFormat="false" ht="15.75" hidden="false" customHeight="true" outlineLevel="0" collapsed="false"/>
    <row r="1615" customFormat="false" ht="15.75" hidden="false" customHeight="true" outlineLevel="0" collapsed="false"/>
    <row r="1616" customFormat="false" ht="15.75" hidden="false" customHeight="true" outlineLevel="0" collapsed="false"/>
    <row r="1617" customFormat="false" ht="15.75" hidden="false" customHeight="true" outlineLevel="0" collapsed="false"/>
    <row r="1618" customFormat="false" ht="15.75" hidden="false" customHeight="true" outlineLevel="0" collapsed="false"/>
    <row r="1619" customFormat="false" ht="15.75" hidden="false" customHeight="true" outlineLevel="0" collapsed="false"/>
    <row r="1620" customFormat="false" ht="15.75" hidden="false" customHeight="true" outlineLevel="0" collapsed="false"/>
    <row r="1621" customFormat="false" ht="15.75" hidden="false" customHeight="true" outlineLevel="0" collapsed="false"/>
    <row r="1622" customFormat="false" ht="15.75" hidden="false" customHeight="true" outlineLevel="0" collapsed="false"/>
    <row r="1623" customFormat="false" ht="15.75" hidden="false" customHeight="true" outlineLevel="0" collapsed="false"/>
    <row r="1624" customFormat="false" ht="15.75" hidden="false" customHeight="true" outlineLevel="0" collapsed="false"/>
    <row r="1625" customFormat="false" ht="15.75" hidden="false" customHeight="true" outlineLevel="0" collapsed="false"/>
    <row r="1626" customFormat="false" ht="15.75" hidden="false" customHeight="true" outlineLevel="0" collapsed="false"/>
    <row r="1627" customFormat="false" ht="15.75" hidden="false" customHeight="true" outlineLevel="0" collapsed="false"/>
    <row r="1628" customFormat="false" ht="15.75" hidden="false" customHeight="true" outlineLevel="0" collapsed="false"/>
    <row r="1629" customFormat="false" ht="15.75" hidden="false" customHeight="true" outlineLevel="0" collapsed="false"/>
    <row r="1630" customFormat="false" ht="15.75" hidden="false" customHeight="true" outlineLevel="0" collapsed="false"/>
    <row r="1631" customFormat="false" ht="15.75" hidden="false" customHeight="true" outlineLevel="0" collapsed="false"/>
    <row r="1632" customFormat="false" ht="15.75" hidden="false" customHeight="true" outlineLevel="0" collapsed="false"/>
    <row r="1633" customFormat="false" ht="15.75" hidden="false" customHeight="true" outlineLevel="0" collapsed="false"/>
    <row r="1634" customFormat="false" ht="15.75" hidden="false" customHeight="true" outlineLevel="0" collapsed="false"/>
    <row r="1635" customFormat="false" ht="15.75" hidden="false" customHeight="true" outlineLevel="0" collapsed="false"/>
    <row r="1636" customFormat="false" ht="15.75" hidden="false" customHeight="true" outlineLevel="0" collapsed="false"/>
    <row r="1637" customFormat="false" ht="15.75" hidden="false" customHeight="true" outlineLevel="0" collapsed="false"/>
    <row r="1638" customFormat="false" ht="15.75" hidden="false" customHeight="true" outlineLevel="0" collapsed="false"/>
    <row r="1639" customFormat="false" ht="15.75" hidden="false" customHeight="true" outlineLevel="0" collapsed="false"/>
    <row r="1640" customFormat="false" ht="15.75" hidden="false" customHeight="true" outlineLevel="0" collapsed="false"/>
    <row r="1641" customFormat="false" ht="15.75" hidden="false" customHeight="true" outlineLevel="0" collapsed="false"/>
    <row r="1642" customFormat="false" ht="15.75" hidden="false" customHeight="true" outlineLevel="0" collapsed="false"/>
    <row r="1643" customFormat="false" ht="15.75" hidden="false" customHeight="true" outlineLevel="0" collapsed="false"/>
    <row r="1644" customFormat="false" ht="15.75" hidden="false" customHeight="true" outlineLevel="0" collapsed="false"/>
    <row r="1645" customFormat="false" ht="15.75" hidden="false" customHeight="true" outlineLevel="0" collapsed="false"/>
    <row r="1646" customFormat="false" ht="15.75" hidden="false" customHeight="true" outlineLevel="0" collapsed="false"/>
    <row r="1647" customFormat="false" ht="15.75" hidden="false" customHeight="true" outlineLevel="0" collapsed="false"/>
    <row r="1648" customFormat="false" ht="15.75" hidden="false" customHeight="true" outlineLevel="0" collapsed="false"/>
    <row r="1649" customFormat="false" ht="15.75" hidden="false" customHeight="true" outlineLevel="0" collapsed="false"/>
    <row r="1650" customFormat="false" ht="15.75" hidden="false" customHeight="true" outlineLevel="0" collapsed="false"/>
    <row r="1651" customFormat="false" ht="15.75" hidden="false" customHeight="true" outlineLevel="0" collapsed="false"/>
    <row r="1652" customFormat="false" ht="15.75" hidden="false" customHeight="true" outlineLevel="0" collapsed="false"/>
    <row r="1653" customFormat="false" ht="15.75" hidden="false" customHeight="true" outlineLevel="0" collapsed="false"/>
    <row r="1654" customFormat="false" ht="15.75" hidden="false" customHeight="true" outlineLevel="0" collapsed="false"/>
    <row r="1655" customFormat="false" ht="15.75" hidden="false" customHeight="true" outlineLevel="0" collapsed="false"/>
    <row r="1656" customFormat="false" ht="15.75" hidden="false" customHeight="true" outlineLevel="0" collapsed="false"/>
    <row r="1657" customFormat="false" ht="15.75" hidden="false" customHeight="true" outlineLevel="0" collapsed="false"/>
    <row r="1658" customFormat="false" ht="15.75" hidden="false" customHeight="true" outlineLevel="0" collapsed="false"/>
    <row r="1659" customFormat="false" ht="15.75" hidden="false" customHeight="true" outlineLevel="0" collapsed="false"/>
    <row r="1660" customFormat="false" ht="15.75" hidden="false" customHeight="true" outlineLevel="0" collapsed="false"/>
    <row r="1661" customFormat="false" ht="15.75" hidden="false" customHeight="true" outlineLevel="0" collapsed="false"/>
    <row r="1662" customFormat="false" ht="15.75" hidden="false" customHeight="true" outlineLevel="0" collapsed="false"/>
    <row r="1663" customFormat="false" ht="15.75" hidden="false" customHeight="true" outlineLevel="0" collapsed="false"/>
    <row r="1664" customFormat="false" ht="15.75" hidden="false" customHeight="true" outlineLevel="0" collapsed="false"/>
    <row r="1665" customFormat="false" ht="15.75" hidden="false" customHeight="true" outlineLevel="0" collapsed="false"/>
    <row r="1666" customFormat="false" ht="15.75" hidden="false" customHeight="true" outlineLevel="0" collapsed="false"/>
    <row r="1667" customFormat="false" ht="15.75" hidden="false" customHeight="true" outlineLevel="0" collapsed="false"/>
    <row r="1668" customFormat="false" ht="15.75" hidden="false" customHeight="true" outlineLevel="0" collapsed="false"/>
    <row r="1669" customFormat="false" ht="15.75" hidden="false" customHeight="true" outlineLevel="0" collapsed="false"/>
    <row r="1670" customFormat="false" ht="15.75" hidden="false" customHeight="true" outlineLevel="0" collapsed="false"/>
    <row r="1671" customFormat="false" ht="15.75" hidden="false" customHeight="true" outlineLevel="0" collapsed="false"/>
    <row r="1672" customFormat="false" ht="15.75" hidden="false" customHeight="true" outlineLevel="0" collapsed="false"/>
    <row r="1673" customFormat="false" ht="15.75" hidden="false" customHeight="true" outlineLevel="0" collapsed="false"/>
    <row r="1674" customFormat="false" ht="15.75" hidden="false" customHeight="true" outlineLevel="0" collapsed="false"/>
    <row r="1675" customFormat="false" ht="15.75" hidden="false" customHeight="true" outlineLevel="0" collapsed="false"/>
    <row r="1676" customFormat="false" ht="15.75" hidden="false" customHeight="true" outlineLevel="0" collapsed="false"/>
    <row r="1677" customFormat="false" ht="15.75" hidden="false" customHeight="true" outlineLevel="0" collapsed="false"/>
    <row r="1678" customFormat="false" ht="15.75" hidden="false" customHeight="true" outlineLevel="0" collapsed="false"/>
    <row r="1679" customFormat="false" ht="15.75" hidden="false" customHeight="true" outlineLevel="0" collapsed="false"/>
    <row r="1680" customFormat="false" ht="15.75" hidden="false" customHeight="true" outlineLevel="0" collapsed="false"/>
    <row r="1681" customFormat="false" ht="15.75" hidden="false" customHeight="true" outlineLevel="0" collapsed="false"/>
    <row r="1682" customFormat="false" ht="15.75" hidden="false" customHeight="true" outlineLevel="0" collapsed="false"/>
    <row r="1683" customFormat="false" ht="15.75" hidden="false" customHeight="true" outlineLevel="0" collapsed="false"/>
    <row r="1684" customFormat="false" ht="15.75" hidden="false" customHeight="true" outlineLevel="0" collapsed="false"/>
    <row r="1685" customFormat="false" ht="15.75" hidden="false" customHeight="true" outlineLevel="0" collapsed="false"/>
    <row r="1686" customFormat="false" ht="15.75" hidden="false" customHeight="true" outlineLevel="0" collapsed="false"/>
    <row r="1687" customFormat="false" ht="15.75" hidden="false" customHeight="true" outlineLevel="0" collapsed="false"/>
    <row r="1688" customFormat="false" ht="15.75" hidden="false" customHeight="true" outlineLevel="0" collapsed="false"/>
    <row r="1689" customFormat="false" ht="15.75" hidden="false" customHeight="true" outlineLevel="0" collapsed="false"/>
    <row r="1690" customFormat="false" ht="15.75" hidden="false" customHeight="true" outlineLevel="0" collapsed="false"/>
    <row r="1691" customFormat="false" ht="15.75" hidden="false" customHeight="true" outlineLevel="0" collapsed="false"/>
    <row r="1692" customFormat="false" ht="15.75" hidden="false" customHeight="true" outlineLevel="0" collapsed="false"/>
    <row r="1693" customFormat="false" ht="15.75" hidden="false" customHeight="true" outlineLevel="0" collapsed="false"/>
    <row r="1694" customFormat="false" ht="15.75" hidden="false" customHeight="true" outlineLevel="0" collapsed="false"/>
    <row r="1695" customFormat="false" ht="15.75" hidden="false" customHeight="true" outlineLevel="0" collapsed="false"/>
    <row r="1696" customFormat="false" ht="15.75" hidden="false" customHeight="true" outlineLevel="0" collapsed="false"/>
    <row r="1697" customFormat="false" ht="15.75" hidden="false" customHeight="true" outlineLevel="0" collapsed="false"/>
    <row r="1698" customFormat="false" ht="15.75" hidden="false" customHeight="true" outlineLevel="0" collapsed="false"/>
    <row r="1699" customFormat="false" ht="15.75" hidden="false" customHeight="true" outlineLevel="0" collapsed="false"/>
    <row r="1700" customFormat="false" ht="15.75" hidden="false" customHeight="true" outlineLevel="0" collapsed="false"/>
    <row r="1701" customFormat="false" ht="15.75" hidden="false" customHeight="true" outlineLevel="0" collapsed="false"/>
    <row r="1702" customFormat="false" ht="15.75" hidden="false" customHeight="true" outlineLevel="0" collapsed="false"/>
    <row r="1703" customFormat="false" ht="15.75" hidden="false" customHeight="true" outlineLevel="0" collapsed="false"/>
    <row r="1704" customFormat="false" ht="15.75" hidden="false" customHeight="true" outlineLevel="0" collapsed="false"/>
    <row r="1705" customFormat="false" ht="15.75" hidden="false" customHeight="true" outlineLevel="0" collapsed="false"/>
    <row r="1706" customFormat="false" ht="15.75" hidden="false" customHeight="true" outlineLevel="0" collapsed="false"/>
    <row r="1707" customFormat="false" ht="15.75" hidden="false" customHeight="true" outlineLevel="0" collapsed="false"/>
    <row r="1708" customFormat="false" ht="15.75" hidden="false" customHeight="true" outlineLevel="0" collapsed="false"/>
    <row r="1709" customFormat="false" ht="15.75" hidden="false" customHeight="true" outlineLevel="0" collapsed="false"/>
    <row r="1710" customFormat="false" ht="15.75" hidden="false" customHeight="true" outlineLevel="0" collapsed="false"/>
    <row r="1711" customFormat="false" ht="15.75" hidden="false" customHeight="true" outlineLevel="0" collapsed="false"/>
    <row r="1712" customFormat="false" ht="15.75" hidden="false" customHeight="true" outlineLevel="0" collapsed="false"/>
    <row r="1713" customFormat="false" ht="15.75" hidden="false" customHeight="true" outlineLevel="0" collapsed="false"/>
    <row r="1714" customFormat="false" ht="15.75" hidden="false" customHeight="true" outlineLevel="0" collapsed="false"/>
    <row r="1715" customFormat="false" ht="15.75" hidden="false" customHeight="true" outlineLevel="0" collapsed="false"/>
    <row r="1716" customFormat="false" ht="15.75" hidden="false" customHeight="true" outlineLevel="0" collapsed="false"/>
    <row r="1717" customFormat="false" ht="15.75" hidden="false" customHeight="true" outlineLevel="0" collapsed="false"/>
    <row r="1718" customFormat="false" ht="15.75" hidden="false" customHeight="true" outlineLevel="0" collapsed="false"/>
    <row r="1719" customFormat="false" ht="15.75" hidden="false" customHeight="true" outlineLevel="0" collapsed="false"/>
    <row r="1720" customFormat="false" ht="15.75" hidden="false" customHeight="true" outlineLevel="0" collapsed="false"/>
    <row r="1721" customFormat="false" ht="15.75" hidden="false" customHeight="true" outlineLevel="0" collapsed="false"/>
    <row r="1722" customFormat="false" ht="15.75" hidden="false" customHeight="true" outlineLevel="0" collapsed="false"/>
    <row r="1723" customFormat="false" ht="15.75" hidden="false" customHeight="true" outlineLevel="0" collapsed="false"/>
    <row r="1724" customFormat="false" ht="15.75" hidden="false" customHeight="true" outlineLevel="0" collapsed="false"/>
    <row r="1725" customFormat="false" ht="15.75" hidden="false" customHeight="true" outlineLevel="0" collapsed="false"/>
    <row r="1726" customFormat="false" ht="15.75" hidden="false" customHeight="true" outlineLevel="0" collapsed="false"/>
    <row r="1727" customFormat="false" ht="15.75" hidden="false" customHeight="true" outlineLevel="0" collapsed="false"/>
    <row r="1728" customFormat="false" ht="15.75" hidden="false" customHeight="true" outlineLevel="0" collapsed="false"/>
    <row r="1729" customFormat="false" ht="15.75" hidden="false" customHeight="true" outlineLevel="0" collapsed="false"/>
    <row r="1730" customFormat="false" ht="15.75" hidden="false" customHeight="true" outlineLevel="0" collapsed="false"/>
    <row r="1731" customFormat="false" ht="15.75" hidden="false" customHeight="true" outlineLevel="0" collapsed="false"/>
    <row r="1732" customFormat="false" ht="15.75" hidden="false" customHeight="true" outlineLevel="0" collapsed="false"/>
    <row r="1733" customFormat="false" ht="15.75" hidden="false" customHeight="true" outlineLevel="0" collapsed="false"/>
    <row r="1734" customFormat="false" ht="15.75" hidden="false" customHeight="true" outlineLevel="0" collapsed="false"/>
    <row r="1735" customFormat="false" ht="15.75" hidden="false" customHeight="true" outlineLevel="0" collapsed="false"/>
    <row r="1736" customFormat="false" ht="15.75" hidden="false" customHeight="true" outlineLevel="0" collapsed="false"/>
    <row r="1737" customFormat="false" ht="15.75" hidden="false" customHeight="true" outlineLevel="0" collapsed="false"/>
    <row r="1738" customFormat="false" ht="15.75" hidden="false" customHeight="true" outlineLevel="0" collapsed="false"/>
    <row r="1739" customFormat="false" ht="15.75" hidden="false" customHeight="true" outlineLevel="0" collapsed="false"/>
    <row r="1740" customFormat="false" ht="15.75" hidden="false" customHeight="true" outlineLevel="0" collapsed="false"/>
    <row r="1741" customFormat="false" ht="15.75" hidden="false" customHeight="true" outlineLevel="0" collapsed="false"/>
    <row r="1742" customFormat="false" ht="15.75" hidden="false" customHeight="true" outlineLevel="0" collapsed="false"/>
    <row r="1743" customFormat="false" ht="15.75" hidden="false" customHeight="true" outlineLevel="0" collapsed="false"/>
    <row r="1744" customFormat="false" ht="15.75" hidden="false" customHeight="true" outlineLevel="0" collapsed="false"/>
    <row r="1745" customFormat="false" ht="15.75" hidden="false" customHeight="true" outlineLevel="0" collapsed="false"/>
    <row r="1746" customFormat="false" ht="15.75" hidden="false" customHeight="true" outlineLevel="0" collapsed="false"/>
    <row r="1747" customFormat="false" ht="15.75" hidden="false" customHeight="true" outlineLevel="0" collapsed="false"/>
    <row r="1748" customFormat="false" ht="15.75" hidden="false" customHeight="true" outlineLevel="0" collapsed="false"/>
    <row r="1749" customFormat="false" ht="15.75" hidden="false" customHeight="true" outlineLevel="0" collapsed="false"/>
    <row r="1750" customFormat="false" ht="15.75" hidden="false" customHeight="true" outlineLevel="0" collapsed="false"/>
    <row r="1751" customFormat="false" ht="15.75" hidden="false" customHeight="true" outlineLevel="0" collapsed="false"/>
    <row r="1752" customFormat="false" ht="15.75" hidden="false" customHeight="true" outlineLevel="0" collapsed="false"/>
    <row r="1753" customFormat="false" ht="15.75" hidden="false" customHeight="true" outlineLevel="0" collapsed="false"/>
    <row r="1754" customFormat="false" ht="15.75" hidden="false" customHeight="true" outlineLevel="0" collapsed="false"/>
    <row r="1755" customFormat="false" ht="15.75" hidden="false" customHeight="true" outlineLevel="0" collapsed="false"/>
    <row r="1756" customFormat="false" ht="15.75" hidden="false" customHeight="true" outlineLevel="0" collapsed="false"/>
    <row r="1757" customFormat="false" ht="15.75" hidden="false" customHeight="true" outlineLevel="0" collapsed="false"/>
    <row r="1758" customFormat="false" ht="15.75" hidden="false" customHeight="true" outlineLevel="0" collapsed="false"/>
    <row r="1759" customFormat="false" ht="15.75" hidden="false" customHeight="true" outlineLevel="0" collapsed="false"/>
    <row r="1760" customFormat="false" ht="15.75" hidden="false" customHeight="true" outlineLevel="0" collapsed="false"/>
    <row r="1761" customFormat="false" ht="15.75" hidden="false" customHeight="true" outlineLevel="0" collapsed="false"/>
    <row r="1762" customFormat="false" ht="15.75" hidden="false" customHeight="true" outlineLevel="0" collapsed="false"/>
    <row r="1763" customFormat="false" ht="15.75" hidden="false" customHeight="true" outlineLevel="0" collapsed="false"/>
    <row r="1764" customFormat="false" ht="15.75" hidden="false" customHeight="true" outlineLevel="0" collapsed="false"/>
    <row r="1765" customFormat="false" ht="15.75" hidden="false" customHeight="true" outlineLevel="0" collapsed="false"/>
    <row r="1766" customFormat="false" ht="15.75" hidden="false" customHeight="true" outlineLevel="0" collapsed="false"/>
    <row r="1767" customFormat="false" ht="15.75" hidden="false" customHeight="true" outlineLevel="0" collapsed="false"/>
    <row r="1768" customFormat="false" ht="15.75" hidden="false" customHeight="true" outlineLevel="0" collapsed="false"/>
    <row r="1769" customFormat="false" ht="15.75" hidden="false" customHeight="true" outlineLevel="0" collapsed="false"/>
    <row r="1770" customFormat="false" ht="15.75" hidden="false" customHeight="true" outlineLevel="0" collapsed="false"/>
    <row r="1771" customFormat="false" ht="15.75" hidden="false" customHeight="true" outlineLevel="0" collapsed="false"/>
    <row r="1772" customFormat="false" ht="15.75" hidden="false" customHeight="true" outlineLevel="0" collapsed="false"/>
    <row r="1773" customFormat="false" ht="15.75" hidden="false" customHeight="true" outlineLevel="0" collapsed="false"/>
    <row r="1774" customFormat="false" ht="15.75" hidden="false" customHeight="true" outlineLevel="0" collapsed="false"/>
    <row r="1775" customFormat="false" ht="15.75" hidden="false" customHeight="true" outlineLevel="0" collapsed="false"/>
    <row r="1776" customFormat="false" ht="15.75" hidden="false" customHeight="true" outlineLevel="0" collapsed="false"/>
    <row r="1777" customFormat="false" ht="15.75" hidden="false" customHeight="true" outlineLevel="0" collapsed="false"/>
    <row r="1778" customFormat="false" ht="15.75" hidden="false" customHeight="true" outlineLevel="0" collapsed="false"/>
    <row r="1779" customFormat="false" ht="15.75" hidden="false" customHeight="true" outlineLevel="0" collapsed="false"/>
    <row r="1780" customFormat="false" ht="15.75" hidden="false" customHeight="true" outlineLevel="0" collapsed="false"/>
    <row r="1781" customFormat="false" ht="15.75" hidden="false" customHeight="true" outlineLevel="0" collapsed="false"/>
    <row r="1782" customFormat="false" ht="15.75" hidden="false" customHeight="true" outlineLevel="0" collapsed="false"/>
    <row r="1783" customFormat="false" ht="15.75" hidden="false" customHeight="true" outlineLevel="0" collapsed="false"/>
    <row r="1784" customFormat="false" ht="15.75" hidden="false" customHeight="true" outlineLevel="0" collapsed="false"/>
    <row r="1785" customFormat="false" ht="15.75" hidden="false" customHeight="true" outlineLevel="0" collapsed="false"/>
    <row r="1786" customFormat="false" ht="15.75" hidden="false" customHeight="true" outlineLevel="0" collapsed="false"/>
    <row r="1787" customFormat="false" ht="15.75" hidden="false" customHeight="true" outlineLevel="0" collapsed="false"/>
    <row r="1788" customFormat="false" ht="15.75" hidden="false" customHeight="true" outlineLevel="0" collapsed="false"/>
    <row r="1789" customFormat="false" ht="15.75" hidden="false" customHeight="true" outlineLevel="0" collapsed="false"/>
    <row r="1790" customFormat="false" ht="15.75" hidden="false" customHeight="true" outlineLevel="0" collapsed="false"/>
    <row r="1791" customFormat="false" ht="15.75" hidden="false" customHeight="true" outlineLevel="0" collapsed="false"/>
    <row r="1792" customFormat="false" ht="15.75" hidden="false" customHeight="true" outlineLevel="0" collapsed="false"/>
    <row r="1793" customFormat="false" ht="15.75" hidden="false" customHeight="true" outlineLevel="0" collapsed="false"/>
    <row r="1794" customFormat="false" ht="15.75" hidden="false" customHeight="true" outlineLevel="0" collapsed="false"/>
    <row r="1795" customFormat="false" ht="15.75" hidden="false" customHeight="true" outlineLevel="0" collapsed="false"/>
    <row r="1796" customFormat="false" ht="15.75" hidden="false" customHeight="true" outlineLevel="0" collapsed="false"/>
    <row r="1797" customFormat="false" ht="15.75" hidden="false" customHeight="true" outlineLevel="0" collapsed="false"/>
    <row r="1798" customFormat="false" ht="15.75" hidden="false" customHeight="true" outlineLevel="0" collapsed="false"/>
    <row r="1799" customFormat="false" ht="15.75" hidden="false" customHeight="true" outlineLevel="0" collapsed="false"/>
    <row r="1800" customFormat="false" ht="15.75" hidden="false" customHeight="true" outlineLevel="0" collapsed="false"/>
    <row r="1801" customFormat="false" ht="15.75" hidden="false" customHeight="true" outlineLevel="0" collapsed="false"/>
    <row r="1802" customFormat="false" ht="15.75" hidden="false" customHeight="true" outlineLevel="0" collapsed="false"/>
    <row r="1803" customFormat="false" ht="15.75" hidden="false" customHeight="true" outlineLevel="0" collapsed="false"/>
    <row r="1804" customFormat="false" ht="15.75" hidden="false" customHeight="true" outlineLevel="0" collapsed="false"/>
    <row r="1805" customFormat="false" ht="15.75" hidden="false" customHeight="true" outlineLevel="0" collapsed="false"/>
    <row r="1806" customFormat="false" ht="15.75" hidden="false" customHeight="true" outlineLevel="0" collapsed="false"/>
    <row r="1807" customFormat="false" ht="15.75" hidden="false" customHeight="true" outlineLevel="0" collapsed="false"/>
    <row r="1808" customFormat="false" ht="15.75" hidden="false" customHeight="true" outlineLevel="0" collapsed="false"/>
    <row r="1809" customFormat="false" ht="15.75" hidden="false" customHeight="true" outlineLevel="0" collapsed="false"/>
    <row r="1810" customFormat="false" ht="15.75" hidden="false" customHeight="true" outlineLevel="0" collapsed="false"/>
    <row r="1811" customFormat="false" ht="15.75" hidden="false" customHeight="true" outlineLevel="0" collapsed="false"/>
    <row r="1812" customFormat="false" ht="15.75" hidden="false" customHeight="true" outlineLevel="0" collapsed="false"/>
    <row r="1813" customFormat="false" ht="15.75" hidden="false" customHeight="true" outlineLevel="0" collapsed="false"/>
    <row r="1814" customFormat="false" ht="15.75" hidden="false" customHeight="true" outlineLevel="0" collapsed="false"/>
    <row r="1815" customFormat="false" ht="15.75" hidden="false" customHeight="true" outlineLevel="0" collapsed="false"/>
    <row r="1816" customFormat="false" ht="15.75" hidden="false" customHeight="true" outlineLevel="0" collapsed="false"/>
    <row r="1817" customFormat="false" ht="15.75" hidden="false" customHeight="true" outlineLevel="0" collapsed="false"/>
    <row r="1818" customFormat="false" ht="15.75" hidden="false" customHeight="true" outlineLevel="0" collapsed="false"/>
    <row r="1819" customFormat="false" ht="15.75" hidden="false" customHeight="true" outlineLevel="0" collapsed="false"/>
    <row r="1820" customFormat="false" ht="15.75" hidden="false" customHeight="true" outlineLevel="0" collapsed="false"/>
    <row r="1821" customFormat="false" ht="15.75" hidden="false" customHeight="true" outlineLevel="0" collapsed="false"/>
    <row r="1822" customFormat="false" ht="15.75" hidden="false" customHeight="true" outlineLevel="0" collapsed="false"/>
    <row r="1823" customFormat="false" ht="15.75" hidden="false" customHeight="true" outlineLevel="0" collapsed="false"/>
    <row r="1824" customFormat="false" ht="15.75" hidden="false" customHeight="true" outlineLevel="0" collapsed="false"/>
    <row r="1825" customFormat="false" ht="15.75" hidden="false" customHeight="true" outlineLevel="0" collapsed="false"/>
    <row r="1826" customFormat="false" ht="15.75" hidden="false" customHeight="true" outlineLevel="0" collapsed="false"/>
    <row r="1827" customFormat="false" ht="15.75" hidden="false" customHeight="true" outlineLevel="0" collapsed="false"/>
    <row r="1828" customFormat="false" ht="15.75" hidden="false" customHeight="true" outlineLevel="0" collapsed="false"/>
    <row r="1829" customFormat="false" ht="15.75" hidden="false" customHeight="true" outlineLevel="0" collapsed="false"/>
    <row r="1830" customFormat="false" ht="15.75" hidden="false" customHeight="true" outlineLevel="0" collapsed="false"/>
    <row r="1831" customFormat="false" ht="15.75" hidden="false" customHeight="true" outlineLevel="0" collapsed="false"/>
    <row r="1832" customFormat="false" ht="15.75" hidden="false" customHeight="true" outlineLevel="0" collapsed="false"/>
    <row r="1833" customFormat="false" ht="15.75" hidden="false" customHeight="true" outlineLevel="0" collapsed="false"/>
    <row r="1834" customFormat="false" ht="15.75" hidden="false" customHeight="true" outlineLevel="0" collapsed="false"/>
    <row r="1835" customFormat="false" ht="15.75" hidden="false" customHeight="true" outlineLevel="0" collapsed="false"/>
    <row r="1836" customFormat="false" ht="15.75" hidden="false" customHeight="true" outlineLevel="0" collapsed="false"/>
    <row r="1837" customFormat="false" ht="15.75" hidden="false" customHeight="true" outlineLevel="0" collapsed="false"/>
    <row r="1838" customFormat="false" ht="15.75" hidden="false" customHeight="true" outlineLevel="0" collapsed="false"/>
    <row r="1839" customFormat="false" ht="15.75" hidden="false" customHeight="true" outlineLevel="0" collapsed="false"/>
    <row r="1840" customFormat="false" ht="15.75" hidden="false" customHeight="true" outlineLevel="0" collapsed="false"/>
    <row r="1841" customFormat="false" ht="15.75" hidden="false" customHeight="true" outlineLevel="0" collapsed="false"/>
    <row r="1842" customFormat="false" ht="15.75" hidden="false" customHeight="true" outlineLevel="0" collapsed="false"/>
    <row r="1843" customFormat="false" ht="15.75" hidden="false" customHeight="true" outlineLevel="0" collapsed="false"/>
    <row r="1844" customFormat="false" ht="15.75" hidden="false" customHeight="true" outlineLevel="0" collapsed="false"/>
    <row r="1845" customFormat="false" ht="15.75" hidden="false" customHeight="true" outlineLevel="0" collapsed="false"/>
    <row r="1846" customFormat="false" ht="15.75" hidden="false" customHeight="true" outlineLevel="0" collapsed="false"/>
    <row r="1847" customFormat="false" ht="15.75" hidden="false" customHeight="true" outlineLevel="0" collapsed="false"/>
    <row r="1848" customFormat="false" ht="15.75" hidden="false" customHeight="true" outlineLevel="0" collapsed="false"/>
    <row r="1849" customFormat="false" ht="15.75" hidden="false" customHeight="true" outlineLevel="0" collapsed="false"/>
    <row r="1850" customFormat="false" ht="15.75" hidden="false" customHeight="true" outlineLevel="0" collapsed="false"/>
    <row r="1851" customFormat="false" ht="15.75" hidden="false" customHeight="true" outlineLevel="0" collapsed="false"/>
    <row r="1852" customFormat="false" ht="15.75" hidden="false" customHeight="true" outlineLevel="0" collapsed="false"/>
    <row r="1853" customFormat="false" ht="15.75" hidden="false" customHeight="true" outlineLevel="0" collapsed="false"/>
    <row r="1854" customFormat="false" ht="15.75" hidden="false" customHeight="true" outlineLevel="0" collapsed="false"/>
    <row r="1855" customFormat="false" ht="15.75" hidden="false" customHeight="true" outlineLevel="0" collapsed="false"/>
    <row r="1856" customFormat="false" ht="15.75" hidden="false" customHeight="true" outlineLevel="0" collapsed="false"/>
    <row r="1857" customFormat="false" ht="15.75" hidden="false" customHeight="true" outlineLevel="0" collapsed="false"/>
    <row r="1858" customFormat="false" ht="15.75" hidden="false" customHeight="true" outlineLevel="0" collapsed="false"/>
    <row r="1859" customFormat="false" ht="15.75" hidden="false" customHeight="true" outlineLevel="0" collapsed="false"/>
    <row r="1860" customFormat="false" ht="15.75" hidden="false" customHeight="true" outlineLevel="0" collapsed="false"/>
    <row r="1861" customFormat="false" ht="15.75" hidden="false" customHeight="true" outlineLevel="0" collapsed="false"/>
    <row r="1862" customFormat="false" ht="15.75" hidden="false" customHeight="true" outlineLevel="0" collapsed="false"/>
    <row r="1863" customFormat="false" ht="15.75" hidden="false" customHeight="true" outlineLevel="0" collapsed="false"/>
    <row r="1864" customFormat="false" ht="15.75" hidden="false" customHeight="true" outlineLevel="0" collapsed="false"/>
    <row r="1865" customFormat="false" ht="15.75" hidden="false" customHeight="true" outlineLevel="0" collapsed="false"/>
    <row r="1866" customFormat="false" ht="15.75" hidden="false" customHeight="true" outlineLevel="0" collapsed="false"/>
    <row r="1867" customFormat="false" ht="15.75" hidden="false" customHeight="true" outlineLevel="0" collapsed="false"/>
    <row r="1868" customFormat="false" ht="15.75" hidden="false" customHeight="true" outlineLevel="0" collapsed="false"/>
    <row r="1869" customFormat="false" ht="15.75" hidden="false" customHeight="true" outlineLevel="0" collapsed="false"/>
    <row r="1870" customFormat="false" ht="15.75" hidden="false" customHeight="true" outlineLevel="0" collapsed="false"/>
    <row r="1871" customFormat="false" ht="15.75" hidden="false" customHeight="true" outlineLevel="0" collapsed="false"/>
    <row r="1872" customFormat="false" ht="15.75" hidden="false" customHeight="true" outlineLevel="0" collapsed="false"/>
    <row r="1873" customFormat="false" ht="15.75" hidden="false" customHeight="true" outlineLevel="0" collapsed="false"/>
    <row r="1874" customFormat="false" ht="15.75" hidden="false" customHeight="true" outlineLevel="0" collapsed="false"/>
    <row r="1875" customFormat="false" ht="15.75" hidden="false" customHeight="true" outlineLevel="0" collapsed="false"/>
    <row r="1876" customFormat="false" ht="15.75" hidden="false" customHeight="true" outlineLevel="0" collapsed="false"/>
    <row r="1877" customFormat="false" ht="15.75" hidden="false" customHeight="true" outlineLevel="0" collapsed="false"/>
    <row r="1878" customFormat="false" ht="15.75" hidden="false" customHeight="true" outlineLevel="0" collapsed="false"/>
    <row r="1879" customFormat="false" ht="15.75" hidden="false" customHeight="true" outlineLevel="0" collapsed="false"/>
    <row r="1880" customFormat="false" ht="15.75" hidden="false" customHeight="true" outlineLevel="0" collapsed="false"/>
    <row r="1881" customFormat="false" ht="15.75" hidden="false" customHeight="true" outlineLevel="0" collapsed="false"/>
    <row r="1882" customFormat="false" ht="15.75" hidden="false" customHeight="true" outlineLevel="0" collapsed="false"/>
    <row r="1883" customFormat="false" ht="15.75" hidden="false" customHeight="true" outlineLevel="0" collapsed="false"/>
    <row r="1884" customFormat="false" ht="15.75" hidden="false" customHeight="true" outlineLevel="0" collapsed="false"/>
    <row r="1885" customFormat="false" ht="15.75" hidden="false" customHeight="true" outlineLevel="0" collapsed="false"/>
    <row r="1886" customFormat="false" ht="15.75" hidden="false" customHeight="true" outlineLevel="0" collapsed="false"/>
    <row r="1887" customFormat="false" ht="15.75" hidden="false" customHeight="true" outlineLevel="0" collapsed="false"/>
    <row r="1888" customFormat="false" ht="15.75" hidden="false" customHeight="true" outlineLevel="0" collapsed="false"/>
    <row r="1889" customFormat="false" ht="15.75" hidden="false" customHeight="true" outlineLevel="0" collapsed="false"/>
    <row r="1890" customFormat="false" ht="15.75" hidden="false" customHeight="true" outlineLevel="0" collapsed="false"/>
    <row r="1891" customFormat="false" ht="15.75" hidden="false" customHeight="true" outlineLevel="0" collapsed="false"/>
    <row r="1892" customFormat="false" ht="15.75" hidden="false" customHeight="true" outlineLevel="0" collapsed="false"/>
    <row r="1893" customFormat="false" ht="15.75" hidden="false" customHeight="true" outlineLevel="0" collapsed="false"/>
    <row r="1894" customFormat="false" ht="15.75" hidden="false" customHeight="true" outlineLevel="0" collapsed="false"/>
    <row r="1895" customFormat="false" ht="15.75" hidden="false" customHeight="true" outlineLevel="0" collapsed="false"/>
    <row r="1896" customFormat="false" ht="15.75" hidden="false" customHeight="true" outlineLevel="0" collapsed="false"/>
    <row r="1897" customFormat="false" ht="15.75" hidden="false" customHeight="true" outlineLevel="0" collapsed="false"/>
    <row r="1898" customFormat="false" ht="15.75" hidden="false" customHeight="true" outlineLevel="0" collapsed="false"/>
    <row r="1899" customFormat="false" ht="15.75" hidden="false" customHeight="true" outlineLevel="0" collapsed="false"/>
    <row r="1900" customFormat="false" ht="15.75" hidden="false" customHeight="true" outlineLevel="0" collapsed="false"/>
    <row r="1901" customFormat="false" ht="15.75" hidden="false" customHeight="true" outlineLevel="0" collapsed="false"/>
    <row r="1902" customFormat="false" ht="15.75" hidden="false" customHeight="true" outlineLevel="0" collapsed="false"/>
    <row r="1903" customFormat="false" ht="15.75" hidden="false" customHeight="true" outlineLevel="0" collapsed="false"/>
    <row r="1904" customFormat="false" ht="15.75" hidden="false" customHeight="true" outlineLevel="0" collapsed="false"/>
    <row r="1905" customFormat="false" ht="15.75" hidden="false" customHeight="true" outlineLevel="0" collapsed="false"/>
    <row r="1906" customFormat="false" ht="15.75" hidden="false" customHeight="true" outlineLevel="0" collapsed="false"/>
    <row r="1907" customFormat="false" ht="15.75" hidden="false" customHeight="true" outlineLevel="0" collapsed="false"/>
    <row r="1908" customFormat="false" ht="15.75" hidden="false" customHeight="true" outlineLevel="0" collapsed="false"/>
    <row r="1909" customFormat="false" ht="15.75" hidden="false" customHeight="true" outlineLevel="0" collapsed="false"/>
    <row r="1910" customFormat="false" ht="15.75" hidden="false" customHeight="true" outlineLevel="0" collapsed="false"/>
    <row r="1911" customFormat="false" ht="15.75" hidden="false" customHeight="true" outlineLevel="0" collapsed="false"/>
    <row r="1912" customFormat="false" ht="15.75" hidden="false" customHeight="true" outlineLevel="0" collapsed="false"/>
    <row r="1913" customFormat="false" ht="15.75" hidden="false" customHeight="true" outlineLevel="0" collapsed="false"/>
    <row r="1914" customFormat="false" ht="15.75" hidden="false" customHeight="true" outlineLevel="0" collapsed="false"/>
    <row r="1915" customFormat="false" ht="15.75" hidden="false" customHeight="true" outlineLevel="0" collapsed="false"/>
    <row r="1916" customFormat="false" ht="15.75" hidden="false" customHeight="true" outlineLevel="0" collapsed="false"/>
    <row r="1917" customFormat="false" ht="15.75" hidden="false" customHeight="true" outlineLevel="0" collapsed="false"/>
    <row r="1918" customFormat="false" ht="15.75" hidden="false" customHeight="true" outlineLevel="0" collapsed="false"/>
    <row r="1919" customFormat="false" ht="15.75" hidden="false" customHeight="true" outlineLevel="0" collapsed="false"/>
    <row r="1920" customFormat="false" ht="15.75" hidden="false" customHeight="true" outlineLevel="0" collapsed="false"/>
    <row r="1921" customFormat="false" ht="15.75" hidden="false" customHeight="true" outlineLevel="0" collapsed="false"/>
    <row r="1922" customFormat="false" ht="15.75" hidden="false" customHeight="true" outlineLevel="0" collapsed="false"/>
    <row r="1923" customFormat="false" ht="15.75" hidden="false" customHeight="true" outlineLevel="0" collapsed="false"/>
    <row r="1924" customFormat="false" ht="15.75" hidden="false" customHeight="true" outlineLevel="0" collapsed="false"/>
    <row r="1925" customFormat="false" ht="15.75" hidden="false" customHeight="true" outlineLevel="0" collapsed="false"/>
    <row r="1926" customFormat="false" ht="15.75" hidden="false" customHeight="true" outlineLevel="0" collapsed="false"/>
    <row r="1927" customFormat="false" ht="15.75" hidden="false" customHeight="true" outlineLevel="0" collapsed="false"/>
    <row r="1928" customFormat="false" ht="15.75" hidden="false" customHeight="true" outlineLevel="0" collapsed="false"/>
    <row r="1929" customFormat="false" ht="15.75" hidden="false" customHeight="true" outlineLevel="0" collapsed="false"/>
    <row r="1930" customFormat="false" ht="15.75" hidden="false" customHeight="true" outlineLevel="0" collapsed="false"/>
    <row r="1931" customFormat="false" ht="15.75" hidden="false" customHeight="true" outlineLevel="0" collapsed="false"/>
    <row r="1932" customFormat="false" ht="15.75" hidden="false" customHeight="true" outlineLevel="0" collapsed="false"/>
    <row r="1933" customFormat="false" ht="15.75" hidden="false" customHeight="true" outlineLevel="0" collapsed="false"/>
    <row r="1934" customFormat="false" ht="15.75" hidden="false" customHeight="true" outlineLevel="0" collapsed="false"/>
    <row r="1935" customFormat="false" ht="15.75" hidden="false" customHeight="true" outlineLevel="0" collapsed="false"/>
    <row r="1936" customFormat="false" ht="15.75" hidden="false" customHeight="true" outlineLevel="0" collapsed="false"/>
    <row r="1937" customFormat="false" ht="15.75" hidden="false" customHeight="true" outlineLevel="0" collapsed="false"/>
    <row r="1938" customFormat="false" ht="15.75" hidden="false" customHeight="true" outlineLevel="0" collapsed="false"/>
    <row r="1939" customFormat="false" ht="15.75" hidden="false" customHeight="true" outlineLevel="0" collapsed="false"/>
    <row r="1940" customFormat="false" ht="15.75" hidden="false" customHeight="true" outlineLevel="0" collapsed="false"/>
    <row r="1941" customFormat="false" ht="15.75" hidden="false" customHeight="true" outlineLevel="0" collapsed="false"/>
    <row r="1942" customFormat="false" ht="15.75" hidden="false" customHeight="true" outlineLevel="0" collapsed="false"/>
    <row r="1943" customFormat="false" ht="15.75" hidden="false" customHeight="true" outlineLevel="0" collapsed="false"/>
    <row r="1944" customFormat="false" ht="15.75" hidden="false" customHeight="true" outlineLevel="0" collapsed="false"/>
    <row r="1945" customFormat="false" ht="15.75" hidden="false" customHeight="true" outlineLevel="0" collapsed="false"/>
    <row r="1946" customFormat="false" ht="15.75" hidden="false" customHeight="true" outlineLevel="0" collapsed="false"/>
    <row r="1947" customFormat="false" ht="15.75" hidden="false" customHeight="true" outlineLevel="0" collapsed="false"/>
    <row r="1948" customFormat="false" ht="15.75" hidden="false" customHeight="true" outlineLevel="0" collapsed="false"/>
    <row r="1949" customFormat="false" ht="15.75" hidden="false" customHeight="true" outlineLevel="0" collapsed="false"/>
    <row r="1950" customFormat="false" ht="15.75" hidden="false" customHeight="true" outlineLevel="0" collapsed="false"/>
    <row r="1951" customFormat="false" ht="15.75" hidden="false" customHeight="true" outlineLevel="0" collapsed="false"/>
    <row r="1952" customFormat="false" ht="15.75" hidden="false" customHeight="true" outlineLevel="0" collapsed="false"/>
    <row r="1953" customFormat="false" ht="15.75" hidden="false" customHeight="true" outlineLevel="0" collapsed="false"/>
    <row r="1954" customFormat="false" ht="15.75" hidden="false" customHeight="true" outlineLevel="0" collapsed="false"/>
    <row r="1955" customFormat="false" ht="15.75" hidden="false" customHeight="true" outlineLevel="0" collapsed="false"/>
    <row r="1956" customFormat="false" ht="15.75" hidden="false" customHeight="true" outlineLevel="0" collapsed="false"/>
    <row r="1957" customFormat="false" ht="15.75" hidden="false" customHeight="true" outlineLevel="0" collapsed="false"/>
    <row r="1958" customFormat="false" ht="15.75" hidden="false" customHeight="true" outlineLevel="0" collapsed="false"/>
    <row r="1959" customFormat="false" ht="15.75" hidden="false" customHeight="true" outlineLevel="0" collapsed="false"/>
    <row r="1960" customFormat="false" ht="15.75" hidden="false" customHeight="true" outlineLevel="0" collapsed="false"/>
    <row r="1961" customFormat="false" ht="15.75" hidden="false" customHeight="true" outlineLevel="0" collapsed="false"/>
    <row r="1962" customFormat="false" ht="15.75" hidden="false" customHeight="true" outlineLevel="0" collapsed="false"/>
    <row r="1963" customFormat="false" ht="15.75" hidden="false" customHeight="true" outlineLevel="0" collapsed="false"/>
    <row r="1964" customFormat="false" ht="15.75" hidden="false" customHeight="true" outlineLevel="0" collapsed="false"/>
    <row r="1965" customFormat="false" ht="15.75" hidden="false" customHeight="true" outlineLevel="0" collapsed="false"/>
    <row r="1966" customFormat="false" ht="15.75" hidden="false" customHeight="true" outlineLevel="0" collapsed="false"/>
    <row r="1967" customFormat="false" ht="15.75" hidden="false" customHeight="true" outlineLevel="0" collapsed="false"/>
    <row r="1968" customFormat="false" ht="15.75" hidden="false" customHeight="true" outlineLevel="0" collapsed="false"/>
    <row r="1969" customFormat="false" ht="15.75" hidden="false" customHeight="true" outlineLevel="0" collapsed="false"/>
    <row r="1970" customFormat="false" ht="15.75" hidden="false" customHeight="true" outlineLevel="0" collapsed="false"/>
    <row r="1971" customFormat="false" ht="15.75" hidden="false" customHeight="true" outlineLevel="0" collapsed="false"/>
    <row r="1972" customFormat="false" ht="15.75" hidden="false" customHeight="true" outlineLevel="0" collapsed="false"/>
    <row r="1973" customFormat="false" ht="15.75" hidden="false" customHeight="true" outlineLevel="0" collapsed="false"/>
    <row r="1974" customFormat="false" ht="15.75" hidden="false" customHeight="true" outlineLevel="0" collapsed="false"/>
    <row r="1975" customFormat="false" ht="15.75" hidden="false" customHeight="true" outlineLevel="0" collapsed="false"/>
    <row r="1976" customFormat="false" ht="15.75" hidden="false" customHeight="true" outlineLevel="0" collapsed="false"/>
    <row r="1977" customFormat="false" ht="15.75" hidden="false" customHeight="true" outlineLevel="0" collapsed="false"/>
    <row r="1978" customFormat="false" ht="15.75" hidden="false" customHeight="true" outlineLevel="0" collapsed="false"/>
    <row r="1979" customFormat="false" ht="15.75" hidden="false" customHeight="true" outlineLevel="0" collapsed="false"/>
    <row r="1980" customFormat="false" ht="15.75" hidden="false" customHeight="true" outlineLevel="0" collapsed="false"/>
    <row r="1981" customFormat="false" ht="15.75" hidden="false" customHeight="true" outlineLevel="0" collapsed="false"/>
    <row r="1982" customFormat="false" ht="15.75" hidden="false" customHeight="true" outlineLevel="0" collapsed="false"/>
    <row r="1983" customFormat="false" ht="15.75" hidden="false" customHeight="true" outlineLevel="0" collapsed="false"/>
    <row r="1984" customFormat="false" ht="15.75" hidden="false" customHeight="true" outlineLevel="0" collapsed="false"/>
    <row r="1985" customFormat="false" ht="15.75" hidden="false" customHeight="true" outlineLevel="0" collapsed="false"/>
    <row r="1986" customFormat="false" ht="15.75" hidden="false" customHeight="true" outlineLevel="0" collapsed="false"/>
    <row r="1987" customFormat="false" ht="15.75" hidden="false" customHeight="true" outlineLevel="0" collapsed="false"/>
    <row r="1988" customFormat="false" ht="15.75" hidden="false" customHeight="true" outlineLevel="0" collapsed="false"/>
    <row r="1989" customFormat="false" ht="15.75" hidden="false" customHeight="true" outlineLevel="0" collapsed="false"/>
    <row r="1990" customFormat="false" ht="15.75" hidden="false" customHeight="true" outlineLevel="0" collapsed="false"/>
    <row r="1991" customFormat="false" ht="15.75" hidden="false" customHeight="true" outlineLevel="0" collapsed="false"/>
    <row r="1992" customFormat="false" ht="15.75" hidden="false" customHeight="true" outlineLevel="0" collapsed="false"/>
    <row r="1993" customFormat="false" ht="15.75" hidden="false" customHeight="true" outlineLevel="0" collapsed="false"/>
    <row r="1994" customFormat="false" ht="15.75" hidden="false" customHeight="true" outlineLevel="0" collapsed="false"/>
    <row r="1995" customFormat="false" ht="15.75" hidden="false" customHeight="true" outlineLevel="0" collapsed="false"/>
    <row r="1996" customFormat="false" ht="15.75" hidden="false" customHeight="true" outlineLevel="0" collapsed="false"/>
    <row r="1997" customFormat="false" ht="15.75" hidden="false" customHeight="true" outlineLevel="0" collapsed="false"/>
    <row r="1998" customFormat="false" ht="15.75" hidden="false" customHeight="true" outlineLevel="0" collapsed="false"/>
    <row r="1999" customFormat="false" ht="15.75" hidden="false" customHeight="true" outlineLevel="0" collapsed="false"/>
    <row r="2000" customFormat="false" ht="15.75" hidden="false" customHeight="true" outlineLevel="0" collapsed="false"/>
    <row r="2001" customFormat="false" ht="15.75" hidden="false" customHeight="true" outlineLevel="0" collapsed="false"/>
    <row r="2002" customFormat="false" ht="15.75" hidden="false" customHeight="true" outlineLevel="0" collapsed="false"/>
    <row r="2003" customFormat="false" ht="15.75" hidden="false" customHeight="true" outlineLevel="0" collapsed="false"/>
    <row r="2004" customFormat="false" ht="15.75" hidden="false" customHeight="true" outlineLevel="0" collapsed="false"/>
    <row r="2005" customFormat="false" ht="15.75" hidden="false" customHeight="true" outlineLevel="0" collapsed="false"/>
    <row r="2006" customFormat="false" ht="15.75" hidden="false" customHeight="true" outlineLevel="0" collapsed="false"/>
    <row r="2007" customFormat="false" ht="15.75" hidden="false" customHeight="true" outlineLevel="0" collapsed="false"/>
    <row r="2008" customFormat="false" ht="15.75" hidden="false" customHeight="true" outlineLevel="0" collapsed="false"/>
    <row r="2009" customFormat="false" ht="15.75" hidden="false" customHeight="true" outlineLevel="0" collapsed="false"/>
    <row r="2010" customFormat="false" ht="15.75" hidden="false" customHeight="true" outlineLevel="0" collapsed="false"/>
    <row r="2011" customFormat="false" ht="15.75" hidden="false" customHeight="true" outlineLevel="0" collapsed="false"/>
    <row r="2012" customFormat="false" ht="15.75" hidden="false" customHeight="true" outlineLevel="0" collapsed="false"/>
    <row r="2013" customFormat="false" ht="15.75" hidden="false" customHeight="true" outlineLevel="0" collapsed="false"/>
    <row r="2014" customFormat="false" ht="15.75" hidden="false" customHeight="true" outlineLevel="0" collapsed="false"/>
    <row r="2015" customFormat="false" ht="15.75" hidden="false" customHeight="true" outlineLevel="0" collapsed="false"/>
    <row r="2016" customFormat="false" ht="15.75" hidden="false" customHeight="true" outlineLevel="0" collapsed="false"/>
    <row r="2017" customFormat="false" ht="15.75" hidden="false" customHeight="true" outlineLevel="0" collapsed="false"/>
    <row r="2018" customFormat="false" ht="15.75" hidden="false" customHeight="true" outlineLevel="0" collapsed="false"/>
    <row r="2019" customFormat="false" ht="15.75" hidden="false" customHeight="true" outlineLevel="0" collapsed="false"/>
    <row r="2020" customFormat="false" ht="15.75" hidden="false" customHeight="true" outlineLevel="0" collapsed="false"/>
    <row r="2021" customFormat="false" ht="15.75" hidden="false" customHeight="true" outlineLevel="0" collapsed="false"/>
    <row r="2022" customFormat="false" ht="15.75" hidden="false" customHeight="true" outlineLevel="0" collapsed="false"/>
    <row r="2023" customFormat="false" ht="15.75" hidden="false" customHeight="true" outlineLevel="0" collapsed="false"/>
    <row r="2024" customFormat="false" ht="15.75" hidden="false" customHeight="true" outlineLevel="0" collapsed="false"/>
    <row r="2025" customFormat="false" ht="15.75" hidden="false" customHeight="true" outlineLevel="0" collapsed="false"/>
    <row r="2026" customFormat="false" ht="15.75" hidden="false" customHeight="true" outlineLevel="0" collapsed="false"/>
    <row r="2027" customFormat="false" ht="15.75" hidden="false" customHeight="true" outlineLevel="0" collapsed="false"/>
    <row r="2028" customFormat="false" ht="15.75" hidden="false" customHeight="true" outlineLevel="0" collapsed="false"/>
    <row r="2029" customFormat="false" ht="15.75" hidden="false" customHeight="true" outlineLevel="0" collapsed="false"/>
    <row r="2030" customFormat="false" ht="15.75" hidden="false" customHeight="true" outlineLevel="0" collapsed="false"/>
    <row r="2031" customFormat="false" ht="15.75" hidden="false" customHeight="true" outlineLevel="0" collapsed="false"/>
    <row r="2032" customFormat="false" ht="15.75" hidden="false" customHeight="true" outlineLevel="0" collapsed="false"/>
    <row r="2033" customFormat="false" ht="15.75" hidden="false" customHeight="true" outlineLevel="0" collapsed="false"/>
    <row r="2034" customFormat="false" ht="15.75" hidden="false" customHeight="true" outlineLevel="0" collapsed="false"/>
    <row r="2035" customFormat="false" ht="15.75" hidden="false" customHeight="true" outlineLevel="0" collapsed="false"/>
    <row r="2036" customFormat="false" ht="15.75" hidden="false" customHeight="true" outlineLevel="0" collapsed="false"/>
    <row r="2037" customFormat="false" ht="15.75" hidden="false" customHeight="true" outlineLevel="0" collapsed="false"/>
    <row r="2038" customFormat="false" ht="15.75" hidden="false" customHeight="true" outlineLevel="0" collapsed="false"/>
    <row r="2039" customFormat="false" ht="15.75" hidden="false" customHeight="true" outlineLevel="0" collapsed="false"/>
    <row r="2040" customFormat="false" ht="15.75" hidden="false" customHeight="true" outlineLevel="0" collapsed="false"/>
    <row r="2041" customFormat="false" ht="15.75" hidden="false" customHeight="true" outlineLevel="0" collapsed="false"/>
    <row r="2042" customFormat="false" ht="15.75" hidden="false" customHeight="true" outlineLevel="0" collapsed="false"/>
    <row r="2043" customFormat="false" ht="15.75" hidden="false" customHeight="true" outlineLevel="0" collapsed="false"/>
    <row r="2044" customFormat="false" ht="15.75" hidden="false" customHeight="true" outlineLevel="0" collapsed="false"/>
    <row r="2045" customFormat="false" ht="15.75" hidden="false" customHeight="true" outlineLevel="0" collapsed="false"/>
    <row r="2046" customFormat="false" ht="15.75" hidden="false" customHeight="true" outlineLevel="0" collapsed="false"/>
    <row r="2047" customFormat="false" ht="15.75" hidden="false" customHeight="true" outlineLevel="0" collapsed="false"/>
    <row r="2048" customFormat="false" ht="15.75" hidden="false" customHeight="true" outlineLevel="0" collapsed="false"/>
    <row r="2049" customFormat="false" ht="15.75" hidden="false" customHeight="true" outlineLevel="0" collapsed="false"/>
    <row r="2050" customFormat="false" ht="15.75" hidden="false" customHeight="true" outlineLevel="0" collapsed="false"/>
    <row r="2051" customFormat="false" ht="15.75" hidden="false" customHeight="true" outlineLevel="0" collapsed="false"/>
    <row r="2052" customFormat="false" ht="15.75" hidden="false" customHeight="true" outlineLevel="0" collapsed="false"/>
    <row r="2053" customFormat="false" ht="15.75" hidden="false" customHeight="true" outlineLevel="0" collapsed="false"/>
    <row r="2054" customFormat="false" ht="15.75" hidden="false" customHeight="true" outlineLevel="0" collapsed="false"/>
    <row r="2055" customFormat="false" ht="15.75" hidden="false" customHeight="true" outlineLevel="0" collapsed="false"/>
    <row r="2056" customFormat="false" ht="15.75" hidden="false" customHeight="true" outlineLevel="0" collapsed="false"/>
    <row r="2057" customFormat="false" ht="15.75" hidden="false" customHeight="true" outlineLevel="0" collapsed="false"/>
    <row r="2058" customFormat="false" ht="15.75" hidden="false" customHeight="true" outlineLevel="0" collapsed="false"/>
    <row r="2059" customFormat="false" ht="15.75" hidden="false" customHeight="true" outlineLevel="0" collapsed="false"/>
    <row r="2060" customFormat="false" ht="15.75" hidden="false" customHeight="true" outlineLevel="0" collapsed="false"/>
    <row r="2061" customFormat="false" ht="15.75" hidden="false" customHeight="true" outlineLevel="0" collapsed="false"/>
    <row r="2062" customFormat="false" ht="15.75" hidden="false" customHeight="true" outlineLevel="0" collapsed="false"/>
    <row r="2063" customFormat="false" ht="15.75" hidden="false" customHeight="true" outlineLevel="0" collapsed="false"/>
    <row r="2064" customFormat="false" ht="15.75" hidden="false" customHeight="true" outlineLevel="0" collapsed="false"/>
    <row r="2065" customFormat="false" ht="15.75" hidden="false" customHeight="true" outlineLevel="0" collapsed="false"/>
    <row r="2066" customFormat="false" ht="15.75" hidden="false" customHeight="true" outlineLevel="0" collapsed="false"/>
    <row r="2067" customFormat="false" ht="15.75" hidden="false" customHeight="true" outlineLevel="0" collapsed="false"/>
    <row r="2068" customFormat="false" ht="15.75" hidden="false" customHeight="true" outlineLevel="0" collapsed="false"/>
    <row r="2069" customFormat="false" ht="15.75" hidden="false" customHeight="true" outlineLevel="0" collapsed="false"/>
    <row r="2070" customFormat="false" ht="15.75" hidden="false" customHeight="true" outlineLevel="0" collapsed="false"/>
    <row r="2071" customFormat="false" ht="15.75" hidden="false" customHeight="true" outlineLevel="0" collapsed="false"/>
    <row r="2072" customFormat="false" ht="15.75" hidden="false" customHeight="true" outlineLevel="0" collapsed="false"/>
    <row r="2073" customFormat="false" ht="15.75" hidden="false" customHeight="true" outlineLevel="0" collapsed="false"/>
    <row r="2074" customFormat="false" ht="15.75" hidden="false" customHeight="true" outlineLevel="0" collapsed="false"/>
    <row r="2075" customFormat="false" ht="15.75" hidden="false" customHeight="true" outlineLevel="0" collapsed="false"/>
    <row r="2076" customFormat="false" ht="15.75" hidden="false" customHeight="true" outlineLevel="0" collapsed="false"/>
    <row r="2077" customFormat="false" ht="15.75" hidden="false" customHeight="true" outlineLevel="0" collapsed="false"/>
    <row r="2078" customFormat="false" ht="15.75" hidden="false" customHeight="true" outlineLevel="0" collapsed="false"/>
    <row r="2079" customFormat="false" ht="15.75" hidden="false" customHeight="true" outlineLevel="0" collapsed="false"/>
    <row r="2080" customFormat="false" ht="15.75" hidden="false" customHeight="true" outlineLevel="0" collapsed="false"/>
    <row r="2081" customFormat="false" ht="15.75" hidden="false" customHeight="true" outlineLevel="0" collapsed="false"/>
    <row r="2082" customFormat="false" ht="15.75" hidden="false" customHeight="true" outlineLevel="0" collapsed="false"/>
    <row r="2083" customFormat="false" ht="15.75" hidden="false" customHeight="true" outlineLevel="0" collapsed="false"/>
    <row r="2084" customFormat="false" ht="15.75" hidden="false" customHeight="true" outlineLevel="0" collapsed="false"/>
    <row r="2085" customFormat="false" ht="15.75" hidden="false" customHeight="true" outlineLevel="0" collapsed="false"/>
    <row r="2086" customFormat="false" ht="15.75" hidden="false" customHeight="true" outlineLevel="0" collapsed="false"/>
    <row r="2087" customFormat="false" ht="15.75" hidden="false" customHeight="true" outlineLevel="0" collapsed="false"/>
    <row r="2088" customFormat="false" ht="15.75" hidden="false" customHeight="true" outlineLevel="0" collapsed="false"/>
    <row r="2089" customFormat="false" ht="15.75" hidden="false" customHeight="true" outlineLevel="0" collapsed="false"/>
    <row r="2090" customFormat="false" ht="15.75" hidden="false" customHeight="true" outlineLevel="0" collapsed="false"/>
    <row r="2091" customFormat="false" ht="15.75" hidden="false" customHeight="true" outlineLevel="0" collapsed="false"/>
    <row r="2092" customFormat="false" ht="15.75" hidden="false" customHeight="true" outlineLevel="0" collapsed="false"/>
    <row r="2093" customFormat="false" ht="15.75" hidden="false" customHeight="true" outlineLevel="0" collapsed="false"/>
    <row r="2094" customFormat="false" ht="15.75" hidden="false" customHeight="true" outlineLevel="0" collapsed="false"/>
    <row r="2095" customFormat="false" ht="15.75" hidden="false" customHeight="true" outlineLevel="0" collapsed="false"/>
    <row r="2096" customFormat="false" ht="15.75" hidden="false" customHeight="true" outlineLevel="0" collapsed="false"/>
    <row r="2097" customFormat="false" ht="15.75" hidden="false" customHeight="true" outlineLevel="0" collapsed="false"/>
    <row r="2098" customFormat="false" ht="15.75" hidden="false" customHeight="true" outlineLevel="0" collapsed="false"/>
    <row r="2099" customFormat="false" ht="15.75" hidden="false" customHeight="true" outlineLevel="0" collapsed="false"/>
    <row r="2100" customFormat="false" ht="15.75" hidden="false" customHeight="true" outlineLevel="0" collapsed="false"/>
    <row r="2101" customFormat="false" ht="15.75" hidden="false" customHeight="true" outlineLevel="0" collapsed="false"/>
    <row r="2102" customFormat="false" ht="15.75" hidden="false" customHeight="true" outlineLevel="0" collapsed="false"/>
    <row r="2103" customFormat="false" ht="15.75" hidden="false" customHeight="true" outlineLevel="0" collapsed="false"/>
    <row r="2104" customFormat="false" ht="15.75" hidden="false" customHeight="true" outlineLevel="0" collapsed="false"/>
    <row r="2105" customFormat="false" ht="15.75" hidden="false" customHeight="true" outlineLevel="0" collapsed="false"/>
    <row r="2106" customFormat="false" ht="15.75" hidden="false" customHeight="true" outlineLevel="0" collapsed="false"/>
    <row r="2107" customFormat="false" ht="15.75" hidden="false" customHeight="true" outlineLevel="0" collapsed="false"/>
    <row r="2108" customFormat="false" ht="15.75" hidden="false" customHeight="true" outlineLevel="0" collapsed="false"/>
    <row r="2109" customFormat="false" ht="15.75" hidden="false" customHeight="true" outlineLevel="0" collapsed="false"/>
    <row r="2110" customFormat="false" ht="15.75" hidden="false" customHeight="true" outlineLevel="0" collapsed="false"/>
    <row r="2111" customFormat="false" ht="15.75" hidden="false" customHeight="true" outlineLevel="0" collapsed="false"/>
    <row r="2112" customFormat="false" ht="15.75" hidden="false" customHeight="true" outlineLevel="0" collapsed="false"/>
    <row r="2113" customFormat="false" ht="15.75" hidden="false" customHeight="true" outlineLevel="0" collapsed="false"/>
    <row r="2114" customFormat="false" ht="15.75" hidden="false" customHeight="true" outlineLevel="0" collapsed="false"/>
    <row r="2115" customFormat="false" ht="15.75" hidden="false" customHeight="true" outlineLevel="0" collapsed="false"/>
    <row r="2116" customFormat="false" ht="15.75" hidden="false" customHeight="true" outlineLevel="0" collapsed="false"/>
    <row r="2117" customFormat="false" ht="15.75" hidden="false" customHeight="true" outlineLevel="0" collapsed="false"/>
    <row r="2118" customFormat="false" ht="15.75" hidden="false" customHeight="true" outlineLevel="0" collapsed="false"/>
    <row r="2119" customFormat="false" ht="15.75" hidden="false" customHeight="true" outlineLevel="0" collapsed="false"/>
    <row r="2120" customFormat="false" ht="15.75" hidden="false" customHeight="true" outlineLevel="0" collapsed="false"/>
    <row r="2121" customFormat="false" ht="15.75" hidden="false" customHeight="true" outlineLevel="0" collapsed="false"/>
    <row r="2122" customFormat="false" ht="15.75" hidden="false" customHeight="true" outlineLevel="0" collapsed="false"/>
    <row r="2123" customFormat="false" ht="15.75" hidden="false" customHeight="true" outlineLevel="0" collapsed="false"/>
    <row r="2124" customFormat="false" ht="15.75" hidden="false" customHeight="true" outlineLevel="0" collapsed="false"/>
    <row r="2125" customFormat="false" ht="15.75" hidden="false" customHeight="true" outlineLevel="0" collapsed="false"/>
    <row r="2126" customFormat="false" ht="15.75" hidden="false" customHeight="true" outlineLevel="0" collapsed="false"/>
    <row r="2127" customFormat="false" ht="15.75" hidden="false" customHeight="true" outlineLevel="0" collapsed="false"/>
    <row r="2128" customFormat="false" ht="15.75" hidden="false" customHeight="true" outlineLevel="0" collapsed="false"/>
    <row r="2129" customFormat="false" ht="15.75" hidden="false" customHeight="true" outlineLevel="0" collapsed="false"/>
    <row r="2130" customFormat="false" ht="15.75" hidden="false" customHeight="true" outlineLevel="0" collapsed="false"/>
    <row r="2131" customFormat="false" ht="15.75" hidden="false" customHeight="true" outlineLevel="0" collapsed="false"/>
    <row r="2132" customFormat="false" ht="15.75" hidden="false" customHeight="true" outlineLevel="0" collapsed="false"/>
    <row r="2133" customFormat="false" ht="15.75" hidden="false" customHeight="true" outlineLevel="0" collapsed="false"/>
    <row r="2134" customFormat="false" ht="15.75" hidden="false" customHeight="true" outlineLevel="0" collapsed="false"/>
    <row r="2135" customFormat="false" ht="15.75" hidden="false" customHeight="true" outlineLevel="0" collapsed="false"/>
    <row r="2136" customFormat="false" ht="15.75" hidden="false" customHeight="true" outlineLevel="0" collapsed="false"/>
    <row r="2137" customFormat="false" ht="15.75" hidden="false" customHeight="true" outlineLevel="0" collapsed="false"/>
    <row r="2138" customFormat="false" ht="15.75" hidden="false" customHeight="true" outlineLevel="0" collapsed="false"/>
    <row r="2139" customFormat="false" ht="15.75" hidden="false" customHeight="true" outlineLevel="0" collapsed="false"/>
    <row r="2140" customFormat="false" ht="15.75" hidden="false" customHeight="true" outlineLevel="0" collapsed="false"/>
    <row r="2141" customFormat="false" ht="15.75" hidden="false" customHeight="true" outlineLevel="0" collapsed="false"/>
    <row r="2142" customFormat="false" ht="15.75" hidden="false" customHeight="true" outlineLevel="0" collapsed="false"/>
    <row r="2143" customFormat="false" ht="15.75" hidden="false" customHeight="true" outlineLevel="0" collapsed="false"/>
    <row r="2144" customFormat="false" ht="15.75" hidden="false" customHeight="true" outlineLevel="0" collapsed="false"/>
    <row r="2145" customFormat="false" ht="15.75" hidden="false" customHeight="true" outlineLevel="0" collapsed="false"/>
    <row r="2146" customFormat="false" ht="15.75" hidden="false" customHeight="true" outlineLevel="0" collapsed="false"/>
    <row r="2147" customFormat="false" ht="15.75" hidden="false" customHeight="true" outlineLevel="0" collapsed="false"/>
    <row r="2148" customFormat="false" ht="15.75" hidden="false" customHeight="true" outlineLevel="0" collapsed="false"/>
    <row r="2149" customFormat="false" ht="15.75" hidden="false" customHeight="true" outlineLevel="0" collapsed="false"/>
    <row r="2150" customFormat="false" ht="15.75" hidden="false" customHeight="true" outlineLevel="0" collapsed="false"/>
    <row r="2151" customFormat="false" ht="15.75" hidden="false" customHeight="true" outlineLevel="0" collapsed="false"/>
    <row r="2152" customFormat="false" ht="15.75" hidden="false" customHeight="true" outlineLevel="0" collapsed="false"/>
    <row r="2153" customFormat="false" ht="15.75" hidden="false" customHeight="true" outlineLevel="0" collapsed="false"/>
    <row r="2154" customFormat="false" ht="15.75" hidden="false" customHeight="true" outlineLevel="0" collapsed="false"/>
    <row r="2155" customFormat="false" ht="15.75" hidden="false" customHeight="true" outlineLevel="0" collapsed="false"/>
    <row r="2156" customFormat="false" ht="15.75" hidden="false" customHeight="true" outlineLevel="0" collapsed="false"/>
    <row r="2157" customFormat="false" ht="15.75" hidden="false" customHeight="true" outlineLevel="0" collapsed="false"/>
    <row r="2158" customFormat="false" ht="15.75" hidden="false" customHeight="true" outlineLevel="0" collapsed="false"/>
    <row r="2159" customFormat="false" ht="15.75" hidden="false" customHeight="true" outlineLevel="0" collapsed="false"/>
    <row r="2160" customFormat="false" ht="15.75" hidden="false" customHeight="true" outlineLevel="0" collapsed="false"/>
    <row r="2161" customFormat="false" ht="15.75" hidden="false" customHeight="true" outlineLevel="0" collapsed="false"/>
    <row r="2162" customFormat="false" ht="15.75" hidden="false" customHeight="true" outlineLevel="0" collapsed="false"/>
    <row r="2163" customFormat="false" ht="15.75" hidden="false" customHeight="true" outlineLevel="0" collapsed="false"/>
    <row r="2164" customFormat="false" ht="15.75" hidden="false" customHeight="true" outlineLevel="0" collapsed="false"/>
    <row r="2165" customFormat="false" ht="15.75" hidden="false" customHeight="true" outlineLevel="0" collapsed="false"/>
    <row r="2166" customFormat="false" ht="15.75" hidden="false" customHeight="true" outlineLevel="0" collapsed="false"/>
    <row r="2167" customFormat="false" ht="15.75" hidden="false" customHeight="true" outlineLevel="0" collapsed="false"/>
    <row r="2168" customFormat="false" ht="15.75" hidden="false" customHeight="true" outlineLevel="0" collapsed="false"/>
    <row r="2169" customFormat="false" ht="15.75" hidden="false" customHeight="true" outlineLevel="0" collapsed="false"/>
    <row r="2170" customFormat="false" ht="15.75" hidden="false" customHeight="true" outlineLevel="0" collapsed="false"/>
    <row r="2171" customFormat="false" ht="15.75" hidden="false" customHeight="true" outlineLevel="0" collapsed="false"/>
    <row r="2172" customFormat="false" ht="15.75" hidden="false" customHeight="true" outlineLevel="0" collapsed="false"/>
    <row r="2173" customFormat="false" ht="15.75" hidden="false" customHeight="true" outlineLevel="0" collapsed="false"/>
    <row r="2174" customFormat="false" ht="15.75" hidden="false" customHeight="true" outlineLevel="0" collapsed="false"/>
    <row r="2175" customFormat="false" ht="15.75" hidden="false" customHeight="true" outlineLevel="0" collapsed="false"/>
    <row r="2176" customFormat="false" ht="15.75" hidden="false" customHeight="true" outlineLevel="0" collapsed="false"/>
    <row r="2177" customFormat="false" ht="15.75" hidden="false" customHeight="true" outlineLevel="0" collapsed="false"/>
    <row r="2178" customFormat="false" ht="15.75" hidden="false" customHeight="true" outlineLevel="0" collapsed="false"/>
    <row r="2179" customFormat="false" ht="15.75" hidden="false" customHeight="true" outlineLevel="0" collapsed="false"/>
    <row r="2180" customFormat="false" ht="15.75" hidden="false" customHeight="true" outlineLevel="0" collapsed="false"/>
    <row r="2181" customFormat="false" ht="15.75" hidden="false" customHeight="true" outlineLevel="0" collapsed="false"/>
    <row r="2182" customFormat="false" ht="15.75" hidden="false" customHeight="true" outlineLevel="0" collapsed="false"/>
    <row r="2183" customFormat="false" ht="15.75" hidden="false" customHeight="true" outlineLevel="0" collapsed="false"/>
    <row r="2184" customFormat="false" ht="15.75" hidden="false" customHeight="true" outlineLevel="0" collapsed="false"/>
    <row r="2185" customFormat="false" ht="15.75" hidden="false" customHeight="true" outlineLevel="0" collapsed="false"/>
    <row r="2186" customFormat="false" ht="15.75" hidden="false" customHeight="true" outlineLevel="0" collapsed="false"/>
    <row r="2187" customFormat="false" ht="15.75" hidden="false" customHeight="true" outlineLevel="0" collapsed="false"/>
    <row r="2188" customFormat="false" ht="15.75" hidden="false" customHeight="true" outlineLevel="0" collapsed="false"/>
    <row r="2189" customFormat="false" ht="15.75" hidden="false" customHeight="true" outlineLevel="0" collapsed="false"/>
    <row r="2190" customFormat="false" ht="15.75" hidden="false" customHeight="true" outlineLevel="0" collapsed="false"/>
    <row r="2191" customFormat="false" ht="15.75" hidden="false" customHeight="true" outlineLevel="0" collapsed="false"/>
    <row r="2192" customFormat="false" ht="15.75" hidden="false" customHeight="true" outlineLevel="0" collapsed="false"/>
    <row r="2193" customFormat="false" ht="15.75" hidden="false" customHeight="true" outlineLevel="0" collapsed="false"/>
    <row r="2194" customFormat="false" ht="15.75" hidden="false" customHeight="true" outlineLevel="0" collapsed="false"/>
    <row r="2195" customFormat="false" ht="15.75" hidden="false" customHeight="true" outlineLevel="0" collapsed="false"/>
    <row r="2196" customFormat="false" ht="15.75" hidden="false" customHeight="true" outlineLevel="0" collapsed="false"/>
    <row r="2197" customFormat="false" ht="15.75" hidden="false" customHeight="true" outlineLevel="0" collapsed="false"/>
    <row r="2198" customFormat="false" ht="15.75" hidden="false" customHeight="true" outlineLevel="0" collapsed="false"/>
    <row r="2199" customFormat="false" ht="15.75" hidden="false" customHeight="true" outlineLevel="0" collapsed="false"/>
    <row r="2200" customFormat="false" ht="15.75" hidden="false" customHeight="true" outlineLevel="0" collapsed="false"/>
    <row r="2201" customFormat="false" ht="15.75" hidden="false" customHeight="true" outlineLevel="0" collapsed="false"/>
    <row r="2202" customFormat="false" ht="15.75" hidden="false" customHeight="true" outlineLevel="0" collapsed="false"/>
    <row r="2203" customFormat="false" ht="15.75" hidden="false" customHeight="true" outlineLevel="0" collapsed="false"/>
    <row r="2204" customFormat="false" ht="15.75" hidden="false" customHeight="true" outlineLevel="0" collapsed="false"/>
    <row r="2205" customFormat="false" ht="15.75" hidden="false" customHeight="true" outlineLevel="0" collapsed="false"/>
    <row r="2206" customFormat="false" ht="15.75" hidden="false" customHeight="true" outlineLevel="0" collapsed="false"/>
    <row r="2207" customFormat="false" ht="15.75" hidden="false" customHeight="true" outlineLevel="0" collapsed="false"/>
    <row r="2208" customFormat="false" ht="15.75" hidden="false" customHeight="true" outlineLevel="0" collapsed="false"/>
    <row r="2209" customFormat="false" ht="15.75" hidden="false" customHeight="true" outlineLevel="0" collapsed="false"/>
    <row r="2210" customFormat="false" ht="15.75" hidden="false" customHeight="true" outlineLevel="0" collapsed="false"/>
    <row r="2211" customFormat="false" ht="15.75" hidden="false" customHeight="true" outlineLevel="0" collapsed="false"/>
    <row r="2212" customFormat="false" ht="15.75" hidden="false" customHeight="true" outlineLevel="0" collapsed="false"/>
    <row r="2213" customFormat="false" ht="15.75" hidden="false" customHeight="true" outlineLevel="0" collapsed="false"/>
    <row r="2214" customFormat="false" ht="15.75" hidden="false" customHeight="true" outlineLevel="0" collapsed="false"/>
    <row r="2215" customFormat="false" ht="15.75" hidden="false" customHeight="true" outlineLevel="0" collapsed="false"/>
    <row r="2216" customFormat="false" ht="15.75" hidden="false" customHeight="true" outlineLevel="0" collapsed="false"/>
    <row r="2217" customFormat="false" ht="15.75" hidden="false" customHeight="true" outlineLevel="0" collapsed="false"/>
    <row r="2218" customFormat="false" ht="15.75" hidden="false" customHeight="true" outlineLevel="0" collapsed="false"/>
    <row r="2219" customFormat="false" ht="15.75" hidden="false" customHeight="true" outlineLevel="0" collapsed="false"/>
    <row r="2220" customFormat="false" ht="15.75" hidden="false" customHeight="true" outlineLevel="0" collapsed="false"/>
    <row r="2221" customFormat="false" ht="15.75" hidden="false" customHeight="true" outlineLevel="0" collapsed="false"/>
    <row r="2222" customFormat="false" ht="15.75" hidden="false" customHeight="true" outlineLevel="0" collapsed="false"/>
    <row r="2223" customFormat="false" ht="15.75" hidden="false" customHeight="true" outlineLevel="0" collapsed="false"/>
    <row r="2224" customFormat="false" ht="15.75" hidden="false" customHeight="true" outlineLevel="0" collapsed="false"/>
    <row r="2225" customFormat="false" ht="15.75" hidden="false" customHeight="true" outlineLevel="0" collapsed="false"/>
    <row r="2226" customFormat="false" ht="15.75" hidden="false" customHeight="true" outlineLevel="0" collapsed="false"/>
    <row r="2227" customFormat="false" ht="15.75" hidden="false" customHeight="true" outlineLevel="0" collapsed="false"/>
    <row r="2228" customFormat="false" ht="15.75" hidden="false" customHeight="true" outlineLevel="0" collapsed="false"/>
    <row r="2229" customFormat="false" ht="15.75" hidden="false" customHeight="true" outlineLevel="0" collapsed="false"/>
    <row r="2230" customFormat="false" ht="15.75" hidden="false" customHeight="true" outlineLevel="0" collapsed="false"/>
    <row r="2231" customFormat="false" ht="15.75" hidden="false" customHeight="true" outlineLevel="0" collapsed="false"/>
    <row r="2232" customFormat="false" ht="15.75" hidden="false" customHeight="true" outlineLevel="0" collapsed="false"/>
    <row r="2233" customFormat="false" ht="15.75" hidden="false" customHeight="true" outlineLevel="0" collapsed="false"/>
    <row r="2234" customFormat="false" ht="15.75" hidden="false" customHeight="true" outlineLevel="0" collapsed="false"/>
    <row r="2235" customFormat="false" ht="15.75" hidden="false" customHeight="true" outlineLevel="0" collapsed="false"/>
    <row r="2236" customFormat="false" ht="15.75" hidden="false" customHeight="true" outlineLevel="0" collapsed="false"/>
    <row r="2237" customFormat="false" ht="15.75" hidden="false" customHeight="true" outlineLevel="0" collapsed="false"/>
    <row r="2238" customFormat="false" ht="15.75" hidden="false" customHeight="true" outlineLevel="0" collapsed="false"/>
    <row r="2239" customFormat="false" ht="15.75" hidden="false" customHeight="true" outlineLevel="0" collapsed="false"/>
    <row r="2240" customFormat="false" ht="15.75" hidden="false" customHeight="true" outlineLevel="0" collapsed="false"/>
    <row r="2241" customFormat="false" ht="15.75" hidden="false" customHeight="true" outlineLevel="0" collapsed="false"/>
    <row r="2242" customFormat="false" ht="15.75" hidden="false" customHeight="true" outlineLevel="0" collapsed="false"/>
    <row r="2243" customFormat="false" ht="15.75" hidden="false" customHeight="true" outlineLevel="0" collapsed="false"/>
    <row r="2244" customFormat="false" ht="15.75" hidden="false" customHeight="true" outlineLevel="0" collapsed="false"/>
    <row r="2245" customFormat="false" ht="15.75" hidden="false" customHeight="true" outlineLevel="0" collapsed="false"/>
    <row r="2246" customFormat="false" ht="15.75" hidden="false" customHeight="true" outlineLevel="0" collapsed="false"/>
    <row r="2247" customFormat="false" ht="15.75" hidden="false" customHeight="true" outlineLevel="0" collapsed="false"/>
    <row r="2248" customFormat="false" ht="15.75" hidden="false" customHeight="true" outlineLevel="0" collapsed="false"/>
    <row r="2249" customFormat="false" ht="15.75" hidden="false" customHeight="true" outlineLevel="0" collapsed="false"/>
    <row r="2250" customFormat="false" ht="15.75" hidden="false" customHeight="true" outlineLevel="0" collapsed="false"/>
    <row r="2251" customFormat="false" ht="15.75" hidden="false" customHeight="true" outlineLevel="0" collapsed="false"/>
    <row r="2252" customFormat="false" ht="15.75" hidden="false" customHeight="true" outlineLevel="0" collapsed="false"/>
    <row r="2253" customFormat="false" ht="15.75" hidden="false" customHeight="true" outlineLevel="0" collapsed="false"/>
    <row r="2254" customFormat="false" ht="15.75" hidden="false" customHeight="true" outlineLevel="0" collapsed="false"/>
    <row r="2255" customFormat="false" ht="15.75" hidden="false" customHeight="true" outlineLevel="0" collapsed="false"/>
    <row r="2256" customFormat="false" ht="15.75" hidden="false" customHeight="true" outlineLevel="0" collapsed="false"/>
    <row r="2257" customFormat="false" ht="15.75" hidden="false" customHeight="true" outlineLevel="0" collapsed="false"/>
    <row r="2258" customFormat="false" ht="15.75" hidden="false" customHeight="true" outlineLevel="0" collapsed="false"/>
    <row r="2259" customFormat="false" ht="15.75" hidden="false" customHeight="true" outlineLevel="0" collapsed="false"/>
    <row r="2260" customFormat="false" ht="15.75" hidden="false" customHeight="true" outlineLevel="0" collapsed="false"/>
    <row r="2261" customFormat="false" ht="15.75" hidden="false" customHeight="true" outlineLevel="0" collapsed="false"/>
    <row r="2262" customFormat="false" ht="15.75" hidden="false" customHeight="true" outlineLevel="0" collapsed="false"/>
    <row r="2263" customFormat="false" ht="15.75" hidden="false" customHeight="true" outlineLevel="0" collapsed="false"/>
    <row r="2264" customFormat="false" ht="15.75" hidden="false" customHeight="true" outlineLevel="0" collapsed="false"/>
    <row r="2265" customFormat="false" ht="15.75" hidden="false" customHeight="true" outlineLevel="0" collapsed="false"/>
    <row r="2266" customFormat="false" ht="15.75" hidden="false" customHeight="true" outlineLevel="0" collapsed="false"/>
    <row r="2267" customFormat="false" ht="15.75" hidden="false" customHeight="true" outlineLevel="0" collapsed="false"/>
    <row r="2268" customFormat="false" ht="15.75" hidden="false" customHeight="true" outlineLevel="0" collapsed="false"/>
    <row r="2269" customFormat="false" ht="15.75" hidden="false" customHeight="true" outlineLevel="0" collapsed="false"/>
    <row r="2270" customFormat="false" ht="15.75" hidden="false" customHeight="true" outlineLevel="0" collapsed="false"/>
    <row r="2271" customFormat="false" ht="15.75" hidden="false" customHeight="true" outlineLevel="0" collapsed="false"/>
    <row r="2272" customFormat="false" ht="15.75" hidden="false" customHeight="true" outlineLevel="0" collapsed="false"/>
    <row r="2273" customFormat="false" ht="15.75" hidden="false" customHeight="true" outlineLevel="0" collapsed="false"/>
    <row r="2274" customFormat="false" ht="15.75" hidden="false" customHeight="true" outlineLevel="0" collapsed="false"/>
    <row r="2275" customFormat="false" ht="15.75" hidden="false" customHeight="true" outlineLevel="0" collapsed="false"/>
    <row r="2276" customFormat="false" ht="15.75" hidden="false" customHeight="true" outlineLevel="0" collapsed="false"/>
    <row r="2277" customFormat="false" ht="15.75" hidden="false" customHeight="true" outlineLevel="0" collapsed="false"/>
    <row r="2278" customFormat="false" ht="15.75" hidden="false" customHeight="true" outlineLevel="0" collapsed="false"/>
    <row r="2279" customFormat="false" ht="15.75" hidden="false" customHeight="true" outlineLevel="0" collapsed="false"/>
    <row r="2280" customFormat="false" ht="15.75" hidden="false" customHeight="true" outlineLevel="0" collapsed="false"/>
    <row r="2281" customFormat="false" ht="15.75" hidden="false" customHeight="true" outlineLevel="0" collapsed="false"/>
    <row r="2282" customFormat="false" ht="15.75" hidden="false" customHeight="true" outlineLevel="0" collapsed="false"/>
    <row r="2283" customFormat="false" ht="15.75" hidden="false" customHeight="true" outlineLevel="0" collapsed="false"/>
    <row r="2284" customFormat="false" ht="15.75" hidden="false" customHeight="true" outlineLevel="0" collapsed="false"/>
    <row r="2285" customFormat="false" ht="15.75" hidden="false" customHeight="true" outlineLevel="0" collapsed="false"/>
    <row r="2286" customFormat="false" ht="15.75" hidden="false" customHeight="true" outlineLevel="0" collapsed="false"/>
    <row r="2287" customFormat="false" ht="15.75" hidden="false" customHeight="true" outlineLevel="0" collapsed="false"/>
    <row r="2288" customFormat="false" ht="15.75" hidden="false" customHeight="true" outlineLevel="0" collapsed="false"/>
    <row r="2289" customFormat="false" ht="15.75" hidden="false" customHeight="true" outlineLevel="0" collapsed="false"/>
    <row r="2290" customFormat="false" ht="15.75" hidden="false" customHeight="true" outlineLevel="0" collapsed="false"/>
    <row r="2291" customFormat="false" ht="15.75" hidden="false" customHeight="true" outlineLevel="0" collapsed="false"/>
    <row r="2292" customFormat="false" ht="15.75" hidden="false" customHeight="true" outlineLevel="0" collapsed="false"/>
    <row r="2293" customFormat="false" ht="15.75" hidden="false" customHeight="true" outlineLevel="0" collapsed="false"/>
    <row r="2294" customFormat="false" ht="15.75" hidden="false" customHeight="true" outlineLevel="0" collapsed="false"/>
    <row r="2295" customFormat="false" ht="15.75" hidden="false" customHeight="true" outlineLevel="0" collapsed="false"/>
    <row r="2296" customFormat="false" ht="15.75" hidden="false" customHeight="true" outlineLevel="0" collapsed="false"/>
    <row r="2297" customFormat="false" ht="15.75" hidden="false" customHeight="true" outlineLevel="0" collapsed="false"/>
    <row r="2298" customFormat="false" ht="15.75" hidden="false" customHeight="true" outlineLevel="0" collapsed="false"/>
    <row r="2299" customFormat="false" ht="15.75" hidden="false" customHeight="true" outlineLevel="0" collapsed="false"/>
    <row r="2300" customFormat="false" ht="15.75" hidden="false" customHeight="true" outlineLevel="0" collapsed="false"/>
    <row r="2301" customFormat="false" ht="15.75" hidden="false" customHeight="true" outlineLevel="0" collapsed="false"/>
    <row r="2302" customFormat="false" ht="15.75" hidden="false" customHeight="true" outlineLevel="0" collapsed="false"/>
    <row r="2303" customFormat="false" ht="15.75" hidden="false" customHeight="true" outlineLevel="0" collapsed="false"/>
    <row r="2304" customFormat="false" ht="15.75" hidden="false" customHeight="true" outlineLevel="0" collapsed="false"/>
    <row r="2305" customFormat="false" ht="15.75" hidden="false" customHeight="true" outlineLevel="0" collapsed="false"/>
    <row r="2306" customFormat="false" ht="15.75" hidden="false" customHeight="true" outlineLevel="0" collapsed="false"/>
    <row r="2307" customFormat="false" ht="15.75" hidden="false" customHeight="true" outlineLevel="0" collapsed="false"/>
    <row r="2308" customFormat="false" ht="15.75" hidden="false" customHeight="true" outlineLevel="0" collapsed="false"/>
    <row r="2309" customFormat="false" ht="15.75" hidden="false" customHeight="true" outlineLevel="0" collapsed="false"/>
    <row r="2310" customFormat="false" ht="15.75" hidden="false" customHeight="true" outlineLevel="0" collapsed="false"/>
    <row r="2311" customFormat="false" ht="15.75" hidden="false" customHeight="true" outlineLevel="0" collapsed="false"/>
    <row r="2312" customFormat="false" ht="15.75" hidden="false" customHeight="true" outlineLevel="0" collapsed="false"/>
    <row r="2313" customFormat="false" ht="15.75" hidden="false" customHeight="true" outlineLevel="0" collapsed="false"/>
    <row r="2314" customFormat="false" ht="15.75" hidden="false" customHeight="true" outlineLevel="0" collapsed="false"/>
    <row r="2315" customFormat="false" ht="15.75" hidden="false" customHeight="true" outlineLevel="0" collapsed="false"/>
    <row r="2316" customFormat="false" ht="15.75" hidden="false" customHeight="true" outlineLevel="0" collapsed="false"/>
    <row r="2317" customFormat="false" ht="15.75" hidden="false" customHeight="true" outlineLevel="0" collapsed="false"/>
    <row r="2318" customFormat="false" ht="15.75" hidden="false" customHeight="true" outlineLevel="0" collapsed="false"/>
    <row r="2319" customFormat="false" ht="15.75" hidden="false" customHeight="true" outlineLevel="0" collapsed="false"/>
    <row r="2320" customFormat="false" ht="15.75" hidden="false" customHeight="true" outlineLevel="0" collapsed="false"/>
    <row r="2321" customFormat="false" ht="15.75" hidden="false" customHeight="true" outlineLevel="0" collapsed="false"/>
    <row r="2322" customFormat="false" ht="15.75" hidden="false" customHeight="true" outlineLevel="0" collapsed="false"/>
    <row r="2323" customFormat="false" ht="15.75" hidden="false" customHeight="true" outlineLevel="0" collapsed="false"/>
    <row r="2324" customFormat="false" ht="15.75" hidden="false" customHeight="true" outlineLevel="0" collapsed="false"/>
    <row r="2325" customFormat="false" ht="15.75" hidden="false" customHeight="true" outlineLevel="0" collapsed="false"/>
    <row r="2326" customFormat="false" ht="15.75" hidden="false" customHeight="true" outlineLevel="0" collapsed="false"/>
    <row r="2327" customFormat="false" ht="15.75" hidden="false" customHeight="true" outlineLevel="0" collapsed="false"/>
    <row r="2328" customFormat="false" ht="15.75" hidden="false" customHeight="true" outlineLevel="0" collapsed="false"/>
    <row r="2329" customFormat="false" ht="15.75" hidden="false" customHeight="true" outlineLevel="0" collapsed="false"/>
    <row r="2330" customFormat="false" ht="15.75" hidden="false" customHeight="true" outlineLevel="0" collapsed="false"/>
    <row r="2331" customFormat="false" ht="15.75" hidden="false" customHeight="true" outlineLevel="0" collapsed="false"/>
    <row r="2332" customFormat="false" ht="15.75" hidden="false" customHeight="true" outlineLevel="0" collapsed="false"/>
    <row r="2333" customFormat="false" ht="15.75" hidden="false" customHeight="true" outlineLevel="0" collapsed="false"/>
    <row r="2334" customFormat="false" ht="15.75" hidden="false" customHeight="true" outlineLevel="0" collapsed="false"/>
    <row r="2335" customFormat="false" ht="15.75" hidden="false" customHeight="true" outlineLevel="0" collapsed="false"/>
    <row r="2336" customFormat="false" ht="15.75" hidden="false" customHeight="true" outlineLevel="0" collapsed="false"/>
    <row r="2337" customFormat="false" ht="15.75" hidden="false" customHeight="true" outlineLevel="0" collapsed="false"/>
    <row r="2338" customFormat="false" ht="15.75" hidden="false" customHeight="true" outlineLevel="0" collapsed="false"/>
    <row r="2339" customFormat="false" ht="15.75" hidden="false" customHeight="true" outlineLevel="0" collapsed="false"/>
    <row r="2340" customFormat="false" ht="15.75" hidden="false" customHeight="true" outlineLevel="0" collapsed="false"/>
    <row r="2341" customFormat="false" ht="15.75" hidden="false" customHeight="true" outlineLevel="0" collapsed="false"/>
    <row r="2342" customFormat="false" ht="15.75" hidden="false" customHeight="true" outlineLevel="0" collapsed="false"/>
    <row r="2343" customFormat="false" ht="15.75" hidden="false" customHeight="true" outlineLevel="0" collapsed="false"/>
    <row r="2344" customFormat="false" ht="15.75" hidden="false" customHeight="true" outlineLevel="0" collapsed="false"/>
    <row r="2345" customFormat="false" ht="15.75" hidden="false" customHeight="true" outlineLevel="0" collapsed="false"/>
    <row r="2346" customFormat="false" ht="15.75" hidden="false" customHeight="true" outlineLevel="0" collapsed="false"/>
    <row r="2347" customFormat="false" ht="15.75" hidden="false" customHeight="true" outlineLevel="0" collapsed="false"/>
    <row r="2348" customFormat="false" ht="15.75" hidden="false" customHeight="true" outlineLevel="0" collapsed="false"/>
    <row r="2349" customFormat="false" ht="15.75" hidden="false" customHeight="true" outlineLevel="0" collapsed="false"/>
    <row r="2350" customFormat="false" ht="15.75" hidden="false" customHeight="true" outlineLevel="0" collapsed="false"/>
    <row r="2351" customFormat="false" ht="15.75" hidden="false" customHeight="true" outlineLevel="0" collapsed="false"/>
    <row r="2352" customFormat="false" ht="15.75" hidden="false" customHeight="true" outlineLevel="0" collapsed="false"/>
    <row r="2353" customFormat="false" ht="15.75" hidden="false" customHeight="true" outlineLevel="0" collapsed="false"/>
    <row r="2354" customFormat="false" ht="15.75" hidden="false" customHeight="true" outlineLevel="0" collapsed="false"/>
    <row r="2355" customFormat="false" ht="15.75" hidden="false" customHeight="true" outlineLevel="0" collapsed="false"/>
    <row r="2356" customFormat="false" ht="15.75" hidden="false" customHeight="true" outlineLevel="0" collapsed="false"/>
    <row r="2357" customFormat="false" ht="15.75" hidden="false" customHeight="true" outlineLevel="0" collapsed="false"/>
    <row r="2358" customFormat="false" ht="15.75" hidden="false" customHeight="true" outlineLevel="0" collapsed="false"/>
    <row r="2359" customFormat="false" ht="15.75" hidden="false" customHeight="true" outlineLevel="0" collapsed="false"/>
    <row r="2360" customFormat="false" ht="15.75" hidden="false" customHeight="true" outlineLevel="0" collapsed="false"/>
    <row r="2361" customFormat="false" ht="15.75" hidden="false" customHeight="true" outlineLevel="0" collapsed="false"/>
    <row r="2362" customFormat="false" ht="15.75" hidden="false" customHeight="true" outlineLevel="0" collapsed="false"/>
    <row r="2363" customFormat="false" ht="15.75" hidden="false" customHeight="true" outlineLevel="0" collapsed="false"/>
    <row r="2364" customFormat="false" ht="15.75" hidden="false" customHeight="true" outlineLevel="0" collapsed="false"/>
    <row r="2365" customFormat="false" ht="15.75" hidden="false" customHeight="true" outlineLevel="0" collapsed="false"/>
    <row r="2366" customFormat="false" ht="15.75" hidden="false" customHeight="true" outlineLevel="0" collapsed="false"/>
    <row r="2367" customFormat="false" ht="15.75" hidden="false" customHeight="true" outlineLevel="0" collapsed="false"/>
    <row r="2368" customFormat="false" ht="15.75" hidden="false" customHeight="true" outlineLevel="0" collapsed="false"/>
    <row r="2369" customFormat="false" ht="15.75" hidden="false" customHeight="true" outlineLevel="0" collapsed="false"/>
    <row r="2370" customFormat="false" ht="15.75" hidden="false" customHeight="true" outlineLevel="0" collapsed="false"/>
    <row r="2371" customFormat="false" ht="15.75" hidden="false" customHeight="true" outlineLevel="0" collapsed="false"/>
    <row r="2372" customFormat="false" ht="15.75" hidden="false" customHeight="true" outlineLevel="0" collapsed="false"/>
    <row r="2373" customFormat="false" ht="15.75" hidden="false" customHeight="true" outlineLevel="0" collapsed="false"/>
    <row r="2374" customFormat="false" ht="15.75" hidden="false" customHeight="true" outlineLevel="0" collapsed="false"/>
    <row r="2375" customFormat="false" ht="15.75" hidden="false" customHeight="true" outlineLevel="0" collapsed="false"/>
    <row r="2376" customFormat="false" ht="15.75" hidden="false" customHeight="true" outlineLevel="0" collapsed="false"/>
    <row r="2377" customFormat="false" ht="15.75" hidden="false" customHeight="true" outlineLevel="0" collapsed="false"/>
    <row r="2378" customFormat="false" ht="15.75" hidden="false" customHeight="true" outlineLevel="0" collapsed="false"/>
    <row r="2379" customFormat="false" ht="15.75" hidden="false" customHeight="true" outlineLevel="0" collapsed="false"/>
    <row r="2380" customFormat="false" ht="15.75" hidden="false" customHeight="true" outlineLevel="0" collapsed="false"/>
    <row r="2381" customFormat="false" ht="15.75" hidden="false" customHeight="true" outlineLevel="0" collapsed="false"/>
    <row r="2382" customFormat="false" ht="15.75" hidden="false" customHeight="true" outlineLevel="0" collapsed="false"/>
    <row r="2383" customFormat="false" ht="15.75" hidden="false" customHeight="true" outlineLevel="0" collapsed="false"/>
    <row r="2384" customFormat="false" ht="15.75" hidden="false" customHeight="true" outlineLevel="0" collapsed="false"/>
    <row r="2385" customFormat="false" ht="15.75" hidden="false" customHeight="true" outlineLevel="0" collapsed="false"/>
    <row r="2386" customFormat="false" ht="15.75" hidden="false" customHeight="true" outlineLevel="0" collapsed="false"/>
    <row r="2387" customFormat="false" ht="15.75" hidden="false" customHeight="true" outlineLevel="0" collapsed="false"/>
    <row r="2388" customFormat="false" ht="15.75" hidden="false" customHeight="true" outlineLevel="0" collapsed="false"/>
    <row r="2389" customFormat="false" ht="15.75" hidden="false" customHeight="true" outlineLevel="0" collapsed="false"/>
    <row r="2390" customFormat="false" ht="15.75" hidden="false" customHeight="true" outlineLevel="0" collapsed="false"/>
    <row r="2391" customFormat="false" ht="15.75" hidden="false" customHeight="true" outlineLevel="0" collapsed="false"/>
    <row r="2392" customFormat="false" ht="15.75" hidden="false" customHeight="true" outlineLevel="0" collapsed="false"/>
    <row r="2393" customFormat="false" ht="15.75" hidden="false" customHeight="true" outlineLevel="0" collapsed="false"/>
    <row r="2394" customFormat="false" ht="15.75" hidden="false" customHeight="true" outlineLevel="0" collapsed="false"/>
    <row r="2395" customFormat="false" ht="15.75" hidden="false" customHeight="true" outlineLevel="0" collapsed="false"/>
    <row r="2396" customFormat="false" ht="15.75" hidden="false" customHeight="true" outlineLevel="0" collapsed="false"/>
    <row r="2397" customFormat="false" ht="15.75" hidden="false" customHeight="true" outlineLevel="0" collapsed="false"/>
    <row r="2398" customFormat="false" ht="15.75" hidden="false" customHeight="true" outlineLevel="0" collapsed="false"/>
    <row r="2399" customFormat="false" ht="15.75" hidden="false" customHeight="true" outlineLevel="0" collapsed="false"/>
    <row r="2400" customFormat="false" ht="15.75" hidden="false" customHeight="true" outlineLevel="0" collapsed="false"/>
    <row r="2401" customFormat="false" ht="15.75" hidden="false" customHeight="true" outlineLevel="0" collapsed="false"/>
    <row r="2402" customFormat="false" ht="15.75" hidden="false" customHeight="true" outlineLevel="0" collapsed="false"/>
    <row r="2403" customFormat="false" ht="15.75" hidden="false" customHeight="true" outlineLevel="0" collapsed="false"/>
    <row r="2404" customFormat="false" ht="15.75" hidden="false" customHeight="true" outlineLevel="0" collapsed="false"/>
    <row r="2405" customFormat="false" ht="15.75" hidden="false" customHeight="true" outlineLevel="0" collapsed="false"/>
    <row r="2406" customFormat="false" ht="15.75" hidden="false" customHeight="true" outlineLevel="0" collapsed="false"/>
    <row r="2407" customFormat="false" ht="15.75" hidden="false" customHeight="true" outlineLevel="0" collapsed="false"/>
    <row r="2408" customFormat="false" ht="15.75" hidden="false" customHeight="true" outlineLevel="0" collapsed="false"/>
    <row r="2409" customFormat="false" ht="15.75" hidden="false" customHeight="true" outlineLevel="0" collapsed="false"/>
    <row r="2410" customFormat="false" ht="15.75" hidden="false" customHeight="true" outlineLevel="0" collapsed="false"/>
    <row r="2411" customFormat="false" ht="15.75" hidden="false" customHeight="true" outlineLevel="0" collapsed="false"/>
    <row r="2412" customFormat="false" ht="15.75" hidden="false" customHeight="true" outlineLevel="0" collapsed="false"/>
    <row r="2413" customFormat="false" ht="15.75" hidden="false" customHeight="true" outlineLevel="0" collapsed="false"/>
    <row r="2414" customFormat="false" ht="15.75" hidden="false" customHeight="true" outlineLevel="0" collapsed="false"/>
    <row r="2415" customFormat="false" ht="15.75" hidden="false" customHeight="true" outlineLevel="0" collapsed="false"/>
    <row r="2416" customFormat="false" ht="15.75" hidden="false" customHeight="true" outlineLevel="0" collapsed="false"/>
    <row r="2417" customFormat="false" ht="15.75" hidden="false" customHeight="true" outlineLevel="0" collapsed="false"/>
    <row r="2418" customFormat="false" ht="15.75" hidden="false" customHeight="true" outlineLevel="0" collapsed="false"/>
    <row r="2419" customFormat="false" ht="15.75" hidden="false" customHeight="true" outlineLevel="0" collapsed="false"/>
    <row r="2420" customFormat="false" ht="15.75" hidden="false" customHeight="true" outlineLevel="0" collapsed="false"/>
    <row r="2421" customFormat="false" ht="15.75" hidden="false" customHeight="true" outlineLevel="0" collapsed="false"/>
    <row r="2422" customFormat="false" ht="15.75" hidden="false" customHeight="true" outlineLevel="0" collapsed="false"/>
    <row r="2423" customFormat="false" ht="15.75" hidden="false" customHeight="true" outlineLevel="0" collapsed="false"/>
    <row r="2424" customFormat="false" ht="15.75" hidden="false" customHeight="true" outlineLevel="0" collapsed="false"/>
    <row r="2425" customFormat="false" ht="15.75" hidden="false" customHeight="true" outlineLevel="0" collapsed="false"/>
    <row r="2426" customFormat="false" ht="15.75" hidden="false" customHeight="true" outlineLevel="0" collapsed="false"/>
    <row r="2427" customFormat="false" ht="15.75" hidden="false" customHeight="true" outlineLevel="0" collapsed="false"/>
    <row r="2428" customFormat="false" ht="15.75" hidden="false" customHeight="true" outlineLevel="0" collapsed="false"/>
    <row r="2429" customFormat="false" ht="15.75" hidden="false" customHeight="true" outlineLevel="0" collapsed="false"/>
    <row r="2430" customFormat="false" ht="15.75" hidden="false" customHeight="true" outlineLevel="0" collapsed="false"/>
    <row r="2431" customFormat="false" ht="15.75" hidden="false" customHeight="true" outlineLevel="0" collapsed="false"/>
    <row r="2432" customFormat="false" ht="15.75" hidden="false" customHeight="true" outlineLevel="0" collapsed="false"/>
    <row r="2433" customFormat="false" ht="15.75" hidden="false" customHeight="true" outlineLevel="0" collapsed="false"/>
    <row r="2434" customFormat="false" ht="15.75" hidden="false" customHeight="true" outlineLevel="0" collapsed="false"/>
    <row r="2435" customFormat="false" ht="15.75" hidden="false" customHeight="true" outlineLevel="0" collapsed="false"/>
    <row r="2436" customFormat="false" ht="15.75" hidden="false" customHeight="true" outlineLevel="0" collapsed="false"/>
    <row r="2437" customFormat="false" ht="15.75" hidden="false" customHeight="true" outlineLevel="0" collapsed="false"/>
    <row r="2438" customFormat="false" ht="15.75" hidden="false" customHeight="true" outlineLevel="0" collapsed="false"/>
    <row r="2439" customFormat="false" ht="15.75" hidden="false" customHeight="true" outlineLevel="0" collapsed="false"/>
    <row r="2440" customFormat="false" ht="15.75" hidden="false" customHeight="true" outlineLevel="0" collapsed="false"/>
    <row r="2441" customFormat="false" ht="15.75" hidden="false" customHeight="true" outlineLevel="0" collapsed="false"/>
    <row r="2442" customFormat="false" ht="15.75" hidden="false" customHeight="true" outlineLevel="0" collapsed="false"/>
    <row r="2443" customFormat="false" ht="15.75" hidden="false" customHeight="true" outlineLevel="0" collapsed="false"/>
    <row r="2444" customFormat="false" ht="15.75" hidden="false" customHeight="true" outlineLevel="0" collapsed="false"/>
    <row r="2445" customFormat="false" ht="15.75" hidden="false" customHeight="true" outlineLevel="0" collapsed="false"/>
    <row r="2446" customFormat="false" ht="15.75" hidden="false" customHeight="true" outlineLevel="0" collapsed="false"/>
    <row r="2447" customFormat="false" ht="15.75" hidden="false" customHeight="true" outlineLevel="0" collapsed="false"/>
    <row r="2448" customFormat="false" ht="15.75" hidden="false" customHeight="true" outlineLevel="0" collapsed="false"/>
    <row r="2449" customFormat="false" ht="15.75" hidden="false" customHeight="true" outlineLevel="0" collapsed="false"/>
    <row r="2450" customFormat="false" ht="15.75" hidden="false" customHeight="true" outlineLevel="0" collapsed="false"/>
    <row r="2451" customFormat="false" ht="15.75" hidden="false" customHeight="true" outlineLevel="0" collapsed="false"/>
    <row r="2452" customFormat="false" ht="15.75" hidden="false" customHeight="true" outlineLevel="0" collapsed="false"/>
    <row r="2453" customFormat="false" ht="15.75" hidden="false" customHeight="true" outlineLevel="0" collapsed="false"/>
    <row r="2454" customFormat="false" ht="15.75" hidden="false" customHeight="true" outlineLevel="0" collapsed="false"/>
    <row r="2455" customFormat="false" ht="15.75" hidden="false" customHeight="true" outlineLevel="0" collapsed="false"/>
    <row r="2456" customFormat="false" ht="15.75" hidden="false" customHeight="true" outlineLevel="0" collapsed="false"/>
    <row r="2457" customFormat="false" ht="15.75" hidden="false" customHeight="true" outlineLevel="0" collapsed="false"/>
    <row r="2458" customFormat="false" ht="15.75" hidden="false" customHeight="true" outlineLevel="0" collapsed="false"/>
    <row r="2459" customFormat="false" ht="15.75" hidden="false" customHeight="true" outlineLevel="0" collapsed="false"/>
    <row r="2460" customFormat="false" ht="15.75" hidden="false" customHeight="true" outlineLevel="0" collapsed="false"/>
    <row r="2461" customFormat="false" ht="15.75" hidden="false" customHeight="true" outlineLevel="0" collapsed="false"/>
    <row r="2462" customFormat="false" ht="15.75" hidden="false" customHeight="true" outlineLevel="0" collapsed="false"/>
    <row r="2463" customFormat="false" ht="15.75" hidden="false" customHeight="true" outlineLevel="0" collapsed="false"/>
    <row r="2464" customFormat="false" ht="15.75" hidden="false" customHeight="true" outlineLevel="0" collapsed="false"/>
    <row r="2465" customFormat="false" ht="15.75" hidden="false" customHeight="true" outlineLevel="0" collapsed="false"/>
    <row r="2466" customFormat="false" ht="15.75" hidden="false" customHeight="true" outlineLevel="0" collapsed="false"/>
    <row r="2467" customFormat="false" ht="15.75" hidden="false" customHeight="true" outlineLevel="0" collapsed="false"/>
    <row r="2468" customFormat="false" ht="15.75" hidden="false" customHeight="true" outlineLevel="0" collapsed="false"/>
    <row r="2469" customFormat="false" ht="15.75" hidden="false" customHeight="true" outlineLevel="0" collapsed="false"/>
    <row r="2470" customFormat="false" ht="15.75" hidden="false" customHeight="true" outlineLevel="0" collapsed="false"/>
    <row r="2471" customFormat="false" ht="15.75" hidden="false" customHeight="true" outlineLevel="0" collapsed="false"/>
    <row r="2472" customFormat="false" ht="15.75" hidden="false" customHeight="true" outlineLevel="0" collapsed="false"/>
    <row r="2473" customFormat="false" ht="15.75" hidden="false" customHeight="true" outlineLevel="0" collapsed="false"/>
    <row r="2474" customFormat="false" ht="15.75" hidden="false" customHeight="true" outlineLevel="0" collapsed="false"/>
    <row r="2475" customFormat="false" ht="15.75" hidden="false" customHeight="true" outlineLevel="0" collapsed="false"/>
    <row r="2476" customFormat="false" ht="15.75" hidden="false" customHeight="true" outlineLevel="0" collapsed="false"/>
    <row r="2477" customFormat="false" ht="15.75" hidden="false" customHeight="true" outlineLevel="0" collapsed="false"/>
    <row r="2478" customFormat="false" ht="15.75" hidden="false" customHeight="true" outlineLevel="0" collapsed="false"/>
    <row r="2479" customFormat="false" ht="15.75" hidden="false" customHeight="true" outlineLevel="0" collapsed="false"/>
    <row r="2480" customFormat="false" ht="15.75" hidden="false" customHeight="true" outlineLevel="0" collapsed="false"/>
    <row r="2481" customFormat="false" ht="15.75" hidden="false" customHeight="true" outlineLevel="0" collapsed="false"/>
    <row r="2482" customFormat="false" ht="15.75" hidden="false" customHeight="true" outlineLevel="0" collapsed="false"/>
    <row r="2483" customFormat="false" ht="15.75" hidden="false" customHeight="true" outlineLevel="0" collapsed="false"/>
    <row r="2484" customFormat="false" ht="15.75" hidden="false" customHeight="true" outlineLevel="0" collapsed="false"/>
    <row r="2485" customFormat="false" ht="15.75" hidden="false" customHeight="true" outlineLevel="0" collapsed="false"/>
    <row r="2486" customFormat="false" ht="15.75" hidden="false" customHeight="true" outlineLevel="0" collapsed="false"/>
    <row r="2487" customFormat="false" ht="15.75" hidden="false" customHeight="true" outlineLevel="0" collapsed="false"/>
    <row r="2488" customFormat="false" ht="15.75" hidden="false" customHeight="true" outlineLevel="0" collapsed="false"/>
    <row r="2489" customFormat="false" ht="15.75" hidden="false" customHeight="true" outlineLevel="0" collapsed="false"/>
    <row r="2490" customFormat="false" ht="15.75" hidden="false" customHeight="true" outlineLevel="0" collapsed="false"/>
    <row r="2491" customFormat="false" ht="15.75" hidden="false" customHeight="true" outlineLevel="0" collapsed="false"/>
    <row r="2492" customFormat="false" ht="15.75" hidden="false" customHeight="true" outlineLevel="0" collapsed="false"/>
    <row r="2493" customFormat="false" ht="15.75" hidden="false" customHeight="true" outlineLevel="0" collapsed="false"/>
    <row r="2494" customFormat="false" ht="15.75" hidden="false" customHeight="true" outlineLevel="0" collapsed="false"/>
    <row r="2495" customFormat="false" ht="15.75" hidden="false" customHeight="true" outlineLevel="0" collapsed="false"/>
    <row r="2496" customFormat="false" ht="15.75" hidden="false" customHeight="true" outlineLevel="0" collapsed="false"/>
    <row r="2497" customFormat="false" ht="15.75" hidden="false" customHeight="true" outlineLevel="0" collapsed="false"/>
    <row r="2498" customFormat="false" ht="15.75" hidden="false" customHeight="true" outlineLevel="0" collapsed="false"/>
    <row r="2499" customFormat="false" ht="15.75" hidden="false" customHeight="true" outlineLevel="0" collapsed="false"/>
    <row r="2500" customFormat="false" ht="15.75" hidden="false" customHeight="true" outlineLevel="0" collapsed="false"/>
    <row r="2501" customFormat="false" ht="15.75" hidden="false" customHeight="true" outlineLevel="0" collapsed="false"/>
    <row r="2502" customFormat="false" ht="15.75" hidden="false" customHeight="true" outlineLevel="0" collapsed="false"/>
    <row r="2503" customFormat="false" ht="15.75" hidden="false" customHeight="true" outlineLevel="0" collapsed="false"/>
    <row r="2504" customFormat="false" ht="15.75" hidden="false" customHeight="true" outlineLevel="0" collapsed="false"/>
    <row r="2505" customFormat="false" ht="15.75" hidden="false" customHeight="true" outlineLevel="0" collapsed="false"/>
    <row r="2506" customFormat="false" ht="15.75" hidden="false" customHeight="true" outlineLevel="0" collapsed="false"/>
    <row r="2507" customFormat="false" ht="15.75" hidden="false" customHeight="true" outlineLevel="0" collapsed="false"/>
    <row r="2508" customFormat="false" ht="15.75" hidden="false" customHeight="true" outlineLevel="0" collapsed="false"/>
    <row r="2509" customFormat="false" ht="15.75" hidden="false" customHeight="true" outlineLevel="0" collapsed="false"/>
    <row r="2510" customFormat="false" ht="15.75" hidden="false" customHeight="true" outlineLevel="0" collapsed="false"/>
    <row r="2511" customFormat="false" ht="15.75" hidden="false" customHeight="true" outlineLevel="0" collapsed="false"/>
    <row r="2512" customFormat="false" ht="15.75" hidden="false" customHeight="true" outlineLevel="0" collapsed="false"/>
    <row r="2513" customFormat="false" ht="15.75" hidden="false" customHeight="true" outlineLevel="0" collapsed="false"/>
    <row r="2514" customFormat="false" ht="15.75" hidden="false" customHeight="true" outlineLevel="0" collapsed="false"/>
    <row r="2515" customFormat="false" ht="15.75" hidden="false" customHeight="true" outlineLevel="0" collapsed="false"/>
    <row r="2516" customFormat="false" ht="15.75" hidden="false" customHeight="true" outlineLevel="0" collapsed="false"/>
    <row r="2517" customFormat="false" ht="15.75" hidden="false" customHeight="true" outlineLevel="0" collapsed="false"/>
    <row r="2518" customFormat="false" ht="15.75" hidden="false" customHeight="true" outlineLevel="0" collapsed="false"/>
    <row r="2519" customFormat="false" ht="15.75" hidden="false" customHeight="true" outlineLevel="0" collapsed="false"/>
    <row r="2520" customFormat="false" ht="15.75" hidden="false" customHeight="true" outlineLevel="0" collapsed="false"/>
    <row r="2521" customFormat="false" ht="15.75" hidden="false" customHeight="true" outlineLevel="0" collapsed="false"/>
    <row r="2522" customFormat="false" ht="15.75" hidden="false" customHeight="true" outlineLevel="0" collapsed="false"/>
    <row r="2523" customFormat="false" ht="15.75" hidden="false" customHeight="true" outlineLevel="0" collapsed="false"/>
    <row r="2524" customFormat="false" ht="15.75" hidden="false" customHeight="true" outlineLevel="0" collapsed="false"/>
    <row r="2525" customFormat="false" ht="15.75" hidden="false" customHeight="true" outlineLevel="0" collapsed="false"/>
    <row r="2526" customFormat="false" ht="15.75" hidden="false" customHeight="true" outlineLevel="0" collapsed="false"/>
    <row r="2527" customFormat="false" ht="15.75" hidden="false" customHeight="true" outlineLevel="0" collapsed="false"/>
    <row r="2528" customFormat="false" ht="15.75" hidden="false" customHeight="true" outlineLevel="0" collapsed="false"/>
    <row r="2529" customFormat="false" ht="15.75" hidden="false" customHeight="true" outlineLevel="0" collapsed="false"/>
    <row r="2530" customFormat="false" ht="15.75" hidden="false" customHeight="true" outlineLevel="0" collapsed="false"/>
    <row r="2531" customFormat="false" ht="15.75" hidden="false" customHeight="true" outlineLevel="0" collapsed="false"/>
    <row r="2532" customFormat="false" ht="15.75" hidden="false" customHeight="true" outlineLevel="0" collapsed="false"/>
    <row r="2533" customFormat="false" ht="15.75" hidden="false" customHeight="true" outlineLevel="0" collapsed="false"/>
    <row r="2534" customFormat="false" ht="15.75" hidden="false" customHeight="true" outlineLevel="0" collapsed="false"/>
    <row r="2535" customFormat="false" ht="15.75" hidden="false" customHeight="true" outlineLevel="0" collapsed="false"/>
    <row r="2536" customFormat="false" ht="15.75" hidden="false" customHeight="true" outlineLevel="0" collapsed="false"/>
    <row r="2537" customFormat="false" ht="15.75" hidden="false" customHeight="true" outlineLevel="0" collapsed="false"/>
    <row r="2538" customFormat="false" ht="15.75" hidden="false" customHeight="true" outlineLevel="0" collapsed="false"/>
    <row r="2539" customFormat="false" ht="15.75" hidden="false" customHeight="true" outlineLevel="0" collapsed="false"/>
    <row r="2540" customFormat="false" ht="15.75" hidden="false" customHeight="true" outlineLevel="0" collapsed="false"/>
    <row r="2541" customFormat="false" ht="15.75" hidden="false" customHeight="true" outlineLevel="0" collapsed="false"/>
    <row r="2542" customFormat="false" ht="15.75" hidden="false" customHeight="true" outlineLevel="0" collapsed="false"/>
    <row r="2543" customFormat="false" ht="15.75" hidden="false" customHeight="true" outlineLevel="0" collapsed="false"/>
    <row r="2544" customFormat="false" ht="15.75" hidden="false" customHeight="true" outlineLevel="0" collapsed="false"/>
    <row r="2545" customFormat="false" ht="15.75" hidden="false" customHeight="true" outlineLevel="0" collapsed="false"/>
    <row r="2546" customFormat="false" ht="15.75" hidden="false" customHeight="true" outlineLevel="0" collapsed="false"/>
    <row r="2547" customFormat="false" ht="15.75" hidden="false" customHeight="true" outlineLevel="0" collapsed="false"/>
    <row r="2548" customFormat="false" ht="15.75" hidden="false" customHeight="true" outlineLevel="0" collapsed="false"/>
    <row r="2549" customFormat="false" ht="15.75" hidden="false" customHeight="true" outlineLevel="0" collapsed="false"/>
    <row r="2550" customFormat="false" ht="15.75" hidden="false" customHeight="true" outlineLevel="0" collapsed="false"/>
    <row r="2551" customFormat="false" ht="15.75" hidden="false" customHeight="true" outlineLevel="0" collapsed="false"/>
    <row r="2552" customFormat="false" ht="15.75" hidden="false" customHeight="true" outlineLevel="0" collapsed="false"/>
    <row r="2553" customFormat="false" ht="15.75" hidden="false" customHeight="true" outlineLevel="0" collapsed="false"/>
    <row r="2554" customFormat="false" ht="15.75" hidden="false" customHeight="true" outlineLevel="0" collapsed="false"/>
    <row r="2555" customFormat="false" ht="15.75" hidden="false" customHeight="true" outlineLevel="0" collapsed="false"/>
    <row r="2556" customFormat="false" ht="15.75" hidden="false" customHeight="true" outlineLevel="0" collapsed="false"/>
    <row r="2557" customFormat="false" ht="15.75" hidden="false" customHeight="true" outlineLevel="0" collapsed="false"/>
    <row r="2558" customFormat="false" ht="15.75" hidden="false" customHeight="true" outlineLevel="0" collapsed="false"/>
    <row r="2559" customFormat="false" ht="15.75" hidden="false" customHeight="true" outlineLevel="0" collapsed="false"/>
    <row r="2560" customFormat="false" ht="15.75" hidden="false" customHeight="true" outlineLevel="0" collapsed="false"/>
    <row r="2561" customFormat="false" ht="15.75" hidden="false" customHeight="true" outlineLevel="0" collapsed="false"/>
    <row r="2562" customFormat="false" ht="15.75" hidden="false" customHeight="true" outlineLevel="0" collapsed="false"/>
    <row r="2563" customFormat="false" ht="15.75" hidden="false" customHeight="true" outlineLevel="0" collapsed="false"/>
    <row r="2564" customFormat="false" ht="15.75" hidden="false" customHeight="true" outlineLevel="0" collapsed="false"/>
    <row r="2565" customFormat="false" ht="15.75" hidden="false" customHeight="true" outlineLevel="0" collapsed="false"/>
    <row r="2566" customFormat="false" ht="15.75" hidden="false" customHeight="true" outlineLevel="0" collapsed="false"/>
    <row r="2567" customFormat="false" ht="15.75" hidden="false" customHeight="true" outlineLevel="0" collapsed="false"/>
    <row r="2568" customFormat="false" ht="15.75" hidden="false" customHeight="true" outlineLevel="0" collapsed="false"/>
    <row r="2569" customFormat="false" ht="15.75" hidden="false" customHeight="true" outlineLevel="0" collapsed="false"/>
    <row r="2570" customFormat="false" ht="15.75" hidden="false" customHeight="true" outlineLevel="0" collapsed="false"/>
    <row r="2571" customFormat="false" ht="15.75" hidden="false" customHeight="true" outlineLevel="0" collapsed="false"/>
    <row r="2572" customFormat="false" ht="15.75" hidden="false" customHeight="true" outlineLevel="0" collapsed="false"/>
    <row r="2573" customFormat="false" ht="15.75" hidden="false" customHeight="true" outlineLevel="0" collapsed="false"/>
    <row r="2574" customFormat="false" ht="15.75" hidden="false" customHeight="true" outlineLevel="0" collapsed="false"/>
    <row r="2575" customFormat="false" ht="15.75" hidden="false" customHeight="true" outlineLevel="0" collapsed="false"/>
    <row r="2576" customFormat="false" ht="15.75" hidden="false" customHeight="true" outlineLevel="0" collapsed="false"/>
    <row r="2577" customFormat="false" ht="15.75" hidden="false" customHeight="true" outlineLevel="0" collapsed="false"/>
    <row r="2578" customFormat="false" ht="15.75" hidden="false" customHeight="true" outlineLevel="0" collapsed="false"/>
    <row r="2579" customFormat="false" ht="15.75" hidden="false" customHeight="true" outlineLevel="0" collapsed="false"/>
    <row r="2580" customFormat="false" ht="15.75" hidden="false" customHeight="true" outlineLevel="0" collapsed="false"/>
    <row r="2581" customFormat="false" ht="15.75" hidden="false" customHeight="true" outlineLevel="0" collapsed="false"/>
    <row r="2582" customFormat="false" ht="15.75" hidden="false" customHeight="true" outlineLevel="0" collapsed="false"/>
    <row r="2583" customFormat="false" ht="15.75" hidden="false" customHeight="true" outlineLevel="0" collapsed="false"/>
    <row r="2584" customFormat="false" ht="15.75" hidden="false" customHeight="true" outlineLevel="0" collapsed="false"/>
    <row r="2585" customFormat="false" ht="15.75" hidden="false" customHeight="true" outlineLevel="0" collapsed="false"/>
    <row r="2586" customFormat="false" ht="15.75" hidden="false" customHeight="true" outlineLevel="0" collapsed="false"/>
    <row r="2587" customFormat="false" ht="15.75" hidden="false" customHeight="true" outlineLevel="0" collapsed="false"/>
    <row r="2588" customFormat="false" ht="15.75" hidden="false" customHeight="true" outlineLevel="0" collapsed="false"/>
    <row r="2589" customFormat="false" ht="15.75" hidden="false" customHeight="true" outlineLevel="0" collapsed="false"/>
    <row r="2590" customFormat="false" ht="15.75" hidden="false" customHeight="true" outlineLevel="0" collapsed="false"/>
    <row r="2591" customFormat="false" ht="15.75" hidden="false" customHeight="true" outlineLevel="0" collapsed="false"/>
    <row r="2592" customFormat="false" ht="15.75" hidden="false" customHeight="true" outlineLevel="0" collapsed="false"/>
    <row r="2593" customFormat="false" ht="15.75" hidden="false" customHeight="true" outlineLevel="0" collapsed="false"/>
    <row r="2594" customFormat="false" ht="15.75" hidden="false" customHeight="true" outlineLevel="0" collapsed="false"/>
    <row r="2595" customFormat="false" ht="15.75" hidden="false" customHeight="true" outlineLevel="0" collapsed="false"/>
    <row r="2596" customFormat="false" ht="15.75" hidden="false" customHeight="true" outlineLevel="0" collapsed="false"/>
    <row r="2597" customFormat="false" ht="15.75" hidden="false" customHeight="true" outlineLevel="0" collapsed="false"/>
    <row r="2598" customFormat="false" ht="15.75" hidden="false" customHeight="true" outlineLevel="0" collapsed="false"/>
    <row r="2599" customFormat="false" ht="15.75" hidden="false" customHeight="true" outlineLevel="0" collapsed="false"/>
    <row r="2600" customFormat="false" ht="15.75" hidden="false" customHeight="true" outlineLevel="0" collapsed="false"/>
    <row r="2601" customFormat="false" ht="15.75" hidden="false" customHeight="true" outlineLevel="0" collapsed="false"/>
    <row r="2602" customFormat="false" ht="15.75" hidden="false" customHeight="true" outlineLevel="0" collapsed="false"/>
    <row r="2603" customFormat="false" ht="15.75" hidden="false" customHeight="true" outlineLevel="0" collapsed="false"/>
    <row r="2604" customFormat="false" ht="15.75" hidden="false" customHeight="true" outlineLevel="0" collapsed="false"/>
    <row r="2605" customFormat="false" ht="15.75" hidden="false" customHeight="true" outlineLevel="0" collapsed="false"/>
    <row r="2606" customFormat="false" ht="15.75" hidden="false" customHeight="true" outlineLevel="0" collapsed="false"/>
    <row r="2607" customFormat="false" ht="15.75" hidden="false" customHeight="true" outlineLevel="0" collapsed="false"/>
    <row r="2608" customFormat="false" ht="15.75" hidden="false" customHeight="true" outlineLevel="0" collapsed="false"/>
    <row r="2609" customFormat="false" ht="15.75" hidden="false" customHeight="true" outlineLevel="0" collapsed="false"/>
    <row r="2610" customFormat="false" ht="15.75" hidden="false" customHeight="true" outlineLevel="0" collapsed="false"/>
    <row r="2611" customFormat="false" ht="15.75" hidden="false" customHeight="true" outlineLevel="0" collapsed="false"/>
    <row r="2612" customFormat="false" ht="15.75" hidden="false" customHeight="true" outlineLevel="0" collapsed="false"/>
    <row r="2613" customFormat="false" ht="15.75" hidden="false" customHeight="true" outlineLevel="0" collapsed="false"/>
    <row r="2614" customFormat="false" ht="15.75" hidden="false" customHeight="true" outlineLevel="0" collapsed="false"/>
    <row r="2615" customFormat="false" ht="15.75" hidden="false" customHeight="true" outlineLevel="0" collapsed="false"/>
    <row r="2616" customFormat="false" ht="15.75" hidden="false" customHeight="true" outlineLevel="0" collapsed="false"/>
    <row r="2617" customFormat="false" ht="15.75" hidden="false" customHeight="true" outlineLevel="0" collapsed="false"/>
    <row r="2618" customFormat="false" ht="15.75" hidden="false" customHeight="true" outlineLevel="0" collapsed="false"/>
    <row r="2619" customFormat="false" ht="15.75" hidden="false" customHeight="true" outlineLevel="0" collapsed="false"/>
    <row r="2620" customFormat="false" ht="15.75" hidden="false" customHeight="true" outlineLevel="0" collapsed="false"/>
    <row r="2621" customFormat="false" ht="15.75" hidden="false" customHeight="true" outlineLevel="0" collapsed="false"/>
    <row r="2622" customFormat="false" ht="15.75" hidden="false" customHeight="true" outlineLevel="0" collapsed="false"/>
    <row r="2623" customFormat="false" ht="15.75" hidden="false" customHeight="true" outlineLevel="0" collapsed="false"/>
    <row r="2624" customFormat="false" ht="15.75" hidden="false" customHeight="true" outlineLevel="0" collapsed="false"/>
    <row r="2625" customFormat="false" ht="15.75" hidden="false" customHeight="true" outlineLevel="0" collapsed="false"/>
    <row r="2626" customFormat="false" ht="15.75" hidden="false" customHeight="true" outlineLevel="0" collapsed="false"/>
    <row r="2627" customFormat="false" ht="15.75" hidden="false" customHeight="true" outlineLevel="0" collapsed="false"/>
    <row r="2628" customFormat="false" ht="15.75" hidden="false" customHeight="true" outlineLevel="0" collapsed="false"/>
    <row r="2629" customFormat="false" ht="15.75" hidden="false" customHeight="true" outlineLevel="0" collapsed="false"/>
    <row r="2630" customFormat="false" ht="15.75" hidden="false" customHeight="true" outlineLevel="0" collapsed="false"/>
    <row r="2631" customFormat="false" ht="15.75" hidden="false" customHeight="true" outlineLevel="0" collapsed="false"/>
    <row r="2632" customFormat="false" ht="15.75" hidden="false" customHeight="true" outlineLevel="0" collapsed="false"/>
    <row r="2633" customFormat="false" ht="15.75" hidden="false" customHeight="true" outlineLevel="0" collapsed="false"/>
    <row r="2634" customFormat="false" ht="15.75" hidden="false" customHeight="true" outlineLevel="0" collapsed="false"/>
    <row r="2635" customFormat="false" ht="15.75" hidden="false" customHeight="true" outlineLevel="0" collapsed="false"/>
    <row r="2636" customFormat="false" ht="15.75" hidden="false" customHeight="true" outlineLevel="0" collapsed="false"/>
    <row r="2637" customFormat="false" ht="15.75" hidden="false" customHeight="true" outlineLevel="0" collapsed="false"/>
    <row r="2638" customFormat="false" ht="15.75" hidden="false" customHeight="true" outlineLevel="0" collapsed="false"/>
    <row r="2639" customFormat="false" ht="15.75" hidden="false" customHeight="true" outlineLevel="0" collapsed="false"/>
    <row r="2640" customFormat="false" ht="15.75" hidden="false" customHeight="true" outlineLevel="0" collapsed="false"/>
    <row r="2641" customFormat="false" ht="15.75" hidden="false" customHeight="true" outlineLevel="0" collapsed="false"/>
    <row r="2642" customFormat="false" ht="15.75" hidden="false" customHeight="true" outlineLevel="0" collapsed="false"/>
    <row r="2643" customFormat="false" ht="15.75" hidden="false" customHeight="true" outlineLevel="0" collapsed="false"/>
    <row r="2644" customFormat="false" ht="15.75" hidden="false" customHeight="true" outlineLevel="0" collapsed="false"/>
    <row r="2645" customFormat="false" ht="15.75" hidden="false" customHeight="true" outlineLevel="0" collapsed="false"/>
    <row r="2646" customFormat="false" ht="15.75" hidden="false" customHeight="true" outlineLevel="0" collapsed="false"/>
    <row r="2647" customFormat="false" ht="15.75" hidden="false" customHeight="true" outlineLevel="0" collapsed="false"/>
    <row r="2648" customFormat="false" ht="15.75" hidden="false" customHeight="true" outlineLevel="0" collapsed="false"/>
    <row r="2649" customFormat="false" ht="15.75" hidden="false" customHeight="true" outlineLevel="0" collapsed="false"/>
    <row r="2650" customFormat="false" ht="15.75" hidden="false" customHeight="true" outlineLevel="0" collapsed="false"/>
    <row r="2651" customFormat="false" ht="15.75" hidden="false" customHeight="true" outlineLevel="0" collapsed="false"/>
    <row r="2652" customFormat="false" ht="15.75" hidden="false" customHeight="true" outlineLevel="0" collapsed="false"/>
    <row r="2653" customFormat="false" ht="15.75" hidden="false" customHeight="true" outlineLevel="0" collapsed="false"/>
    <row r="2654" customFormat="false" ht="15.75" hidden="false" customHeight="true" outlineLevel="0" collapsed="false"/>
    <row r="2655" customFormat="false" ht="15.75" hidden="false" customHeight="true" outlineLevel="0" collapsed="false"/>
    <row r="2656" customFormat="false" ht="15.75" hidden="false" customHeight="true" outlineLevel="0" collapsed="false"/>
    <row r="2657" customFormat="false" ht="15.75" hidden="false" customHeight="true" outlineLevel="0" collapsed="false"/>
    <row r="2658" customFormat="false" ht="15.75" hidden="false" customHeight="true" outlineLevel="0" collapsed="false"/>
    <row r="2659" customFormat="false" ht="15.75" hidden="false" customHeight="true" outlineLevel="0" collapsed="false"/>
    <row r="2660" customFormat="false" ht="15.75" hidden="false" customHeight="true" outlineLevel="0" collapsed="false"/>
    <row r="2661" customFormat="false" ht="15.75" hidden="false" customHeight="true" outlineLevel="0" collapsed="false"/>
    <row r="2662" customFormat="false" ht="15.75" hidden="false" customHeight="true" outlineLevel="0" collapsed="false"/>
    <row r="2663" customFormat="false" ht="15.75" hidden="false" customHeight="true" outlineLevel="0" collapsed="false"/>
    <row r="2664" customFormat="false" ht="15.75" hidden="false" customHeight="true" outlineLevel="0" collapsed="false"/>
    <row r="2665" customFormat="false" ht="15.75" hidden="false" customHeight="true" outlineLevel="0" collapsed="false"/>
    <row r="2666" customFormat="false" ht="15.75" hidden="false" customHeight="true" outlineLevel="0" collapsed="false"/>
    <row r="2667" customFormat="false" ht="15.75" hidden="false" customHeight="true" outlineLevel="0" collapsed="false"/>
    <row r="2668" customFormat="false" ht="15.75" hidden="false" customHeight="true" outlineLevel="0" collapsed="false"/>
    <row r="2669" customFormat="false" ht="15.75" hidden="false" customHeight="true" outlineLevel="0" collapsed="false"/>
    <row r="2670" customFormat="false" ht="15.75" hidden="false" customHeight="true" outlineLevel="0" collapsed="false"/>
    <row r="2671" customFormat="false" ht="15.75" hidden="false" customHeight="true" outlineLevel="0" collapsed="false"/>
    <row r="2672" customFormat="false" ht="15.75" hidden="false" customHeight="true" outlineLevel="0" collapsed="false"/>
    <row r="2673" customFormat="false" ht="15.75" hidden="false" customHeight="true" outlineLevel="0" collapsed="false"/>
    <row r="2674" customFormat="false" ht="15.75" hidden="false" customHeight="true" outlineLevel="0" collapsed="false"/>
    <row r="2675" customFormat="false" ht="15.75" hidden="false" customHeight="true" outlineLevel="0" collapsed="false"/>
    <row r="2676" customFormat="false" ht="15.75" hidden="false" customHeight="true" outlineLevel="0" collapsed="false"/>
    <row r="2677" customFormat="false" ht="15.75" hidden="false" customHeight="true" outlineLevel="0" collapsed="false"/>
    <row r="2678" customFormat="false" ht="15.75" hidden="false" customHeight="true" outlineLevel="0" collapsed="false"/>
    <row r="2679" customFormat="false" ht="15.75" hidden="false" customHeight="true" outlineLevel="0" collapsed="false"/>
    <row r="2680" customFormat="false" ht="15.75" hidden="false" customHeight="true" outlineLevel="0" collapsed="false"/>
    <row r="2681" customFormat="false" ht="15.75" hidden="false" customHeight="true" outlineLevel="0" collapsed="false"/>
    <row r="2682" customFormat="false" ht="15.75" hidden="false" customHeight="true" outlineLevel="0" collapsed="false"/>
    <row r="2683" customFormat="false" ht="15.75" hidden="false" customHeight="true" outlineLevel="0" collapsed="false"/>
    <row r="2684" customFormat="false" ht="15.75" hidden="false" customHeight="true" outlineLevel="0" collapsed="false"/>
    <row r="2685" customFormat="false" ht="15.75" hidden="false" customHeight="true" outlineLevel="0" collapsed="false"/>
    <row r="2686" customFormat="false" ht="15.75" hidden="false" customHeight="true" outlineLevel="0" collapsed="false"/>
    <row r="2687" customFormat="false" ht="15.75" hidden="false" customHeight="true" outlineLevel="0" collapsed="false"/>
    <row r="2688" customFormat="false" ht="15.75" hidden="false" customHeight="true" outlineLevel="0" collapsed="false"/>
    <row r="2689" customFormat="false" ht="15.75" hidden="false" customHeight="true" outlineLevel="0" collapsed="false"/>
    <row r="2690" customFormat="false" ht="15.75" hidden="false" customHeight="true" outlineLevel="0" collapsed="false"/>
    <row r="2691" customFormat="false" ht="15.75" hidden="false" customHeight="true" outlineLevel="0" collapsed="false"/>
    <row r="2692" customFormat="false" ht="15.75" hidden="false" customHeight="true" outlineLevel="0" collapsed="false"/>
    <row r="2693" customFormat="false" ht="15.75" hidden="false" customHeight="true" outlineLevel="0" collapsed="false"/>
    <row r="2694" customFormat="false" ht="15.75" hidden="false" customHeight="true" outlineLevel="0" collapsed="false"/>
    <row r="2695" customFormat="false" ht="15.75" hidden="false" customHeight="true" outlineLevel="0" collapsed="false"/>
    <row r="2696" customFormat="false" ht="15.75" hidden="false" customHeight="true" outlineLevel="0" collapsed="false"/>
    <row r="2697" customFormat="false" ht="15.75" hidden="false" customHeight="true" outlineLevel="0" collapsed="false"/>
    <row r="2698" customFormat="false" ht="15.75" hidden="false" customHeight="true" outlineLevel="0" collapsed="false"/>
    <row r="2699" customFormat="false" ht="15.75" hidden="false" customHeight="true" outlineLevel="0" collapsed="false"/>
    <row r="2700" customFormat="false" ht="15.75" hidden="false" customHeight="true" outlineLevel="0" collapsed="false"/>
    <row r="2701" customFormat="false" ht="15.75" hidden="false" customHeight="true" outlineLevel="0" collapsed="false"/>
    <row r="2702" customFormat="false" ht="15.75" hidden="false" customHeight="true" outlineLevel="0" collapsed="false"/>
    <row r="2703" customFormat="false" ht="15.75" hidden="false" customHeight="true" outlineLevel="0" collapsed="false"/>
    <row r="2704" customFormat="false" ht="15.75" hidden="false" customHeight="true" outlineLevel="0" collapsed="false"/>
    <row r="2705" customFormat="false" ht="15.75" hidden="false" customHeight="true" outlineLevel="0" collapsed="false"/>
    <row r="2706" customFormat="false" ht="15.75" hidden="false" customHeight="true" outlineLevel="0" collapsed="false"/>
    <row r="2707" customFormat="false" ht="15.75" hidden="false" customHeight="true" outlineLevel="0" collapsed="false"/>
    <row r="2708" customFormat="false" ht="15.75" hidden="false" customHeight="true" outlineLevel="0" collapsed="false"/>
    <row r="2709" customFormat="false" ht="15.75" hidden="false" customHeight="true" outlineLevel="0" collapsed="false"/>
    <row r="2710" customFormat="false" ht="15.75" hidden="false" customHeight="true" outlineLevel="0" collapsed="false"/>
    <row r="2711" customFormat="false" ht="15.75" hidden="false" customHeight="true" outlineLevel="0" collapsed="false"/>
    <row r="2712" customFormat="false" ht="15.75" hidden="false" customHeight="true" outlineLevel="0" collapsed="false"/>
    <row r="2713" customFormat="false" ht="15.75" hidden="false" customHeight="true" outlineLevel="0" collapsed="false"/>
    <row r="2714" customFormat="false" ht="15.75" hidden="false" customHeight="true" outlineLevel="0" collapsed="false"/>
    <row r="2715" customFormat="false" ht="15.75" hidden="false" customHeight="true" outlineLevel="0" collapsed="false"/>
    <row r="2716" customFormat="false" ht="15.75" hidden="false" customHeight="true" outlineLevel="0" collapsed="false"/>
    <row r="2717" customFormat="false" ht="15.75" hidden="false" customHeight="true" outlineLevel="0" collapsed="false"/>
    <row r="2718" customFormat="false" ht="15.75" hidden="false" customHeight="true" outlineLevel="0" collapsed="false"/>
    <row r="2719" customFormat="false" ht="15.75" hidden="false" customHeight="true" outlineLevel="0" collapsed="false"/>
    <row r="2720" customFormat="false" ht="15.75" hidden="false" customHeight="true" outlineLevel="0" collapsed="false"/>
    <row r="2721" customFormat="false" ht="15.75" hidden="false" customHeight="true" outlineLevel="0" collapsed="false"/>
    <row r="2722" customFormat="false" ht="15.75" hidden="false" customHeight="true" outlineLevel="0" collapsed="false"/>
    <row r="2723" customFormat="false" ht="15.75" hidden="false" customHeight="true" outlineLevel="0" collapsed="false"/>
    <row r="2724" customFormat="false" ht="15.75" hidden="false" customHeight="true" outlineLevel="0" collapsed="false"/>
    <row r="2725" customFormat="false" ht="15.75" hidden="false" customHeight="true" outlineLevel="0" collapsed="false"/>
    <row r="2726" customFormat="false" ht="15.75" hidden="false" customHeight="true" outlineLevel="0" collapsed="false"/>
    <row r="2727" customFormat="false" ht="15.75" hidden="false" customHeight="true" outlineLevel="0" collapsed="false"/>
    <row r="2728" customFormat="false" ht="15.75" hidden="false" customHeight="true" outlineLevel="0" collapsed="false"/>
    <row r="2729" customFormat="false" ht="15.75" hidden="false" customHeight="true" outlineLevel="0" collapsed="false"/>
    <row r="2730" customFormat="false" ht="15.75" hidden="false" customHeight="true" outlineLevel="0" collapsed="false"/>
    <row r="2731" customFormat="false" ht="15.75" hidden="false" customHeight="true" outlineLevel="0" collapsed="false"/>
    <row r="2732" customFormat="false" ht="15.75" hidden="false" customHeight="true" outlineLevel="0" collapsed="false"/>
    <row r="2733" customFormat="false" ht="15.75" hidden="false" customHeight="true" outlineLevel="0" collapsed="false"/>
    <row r="2734" customFormat="false" ht="15.75" hidden="false" customHeight="true" outlineLevel="0" collapsed="false"/>
    <row r="2735" customFormat="false" ht="15.75" hidden="false" customHeight="true" outlineLevel="0" collapsed="false"/>
    <row r="2736" customFormat="false" ht="15.75" hidden="false" customHeight="true" outlineLevel="0" collapsed="false"/>
    <row r="2737" customFormat="false" ht="15.75" hidden="false" customHeight="true" outlineLevel="0" collapsed="false"/>
    <row r="2738" customFormat="false" ht="15.75" hidden="false" customHeight="true" outlineLevel="0" collapsed="false"/>
    <row r="2739" customFormat="false" ht="15.75" hidden="false" customHeight="true" outlineLevel="0" collapsed="false"/>
    <row r="2740" customFormat="false" ht="15.75" hidden="false" customHeight="true" outlineLevel="0" collapsed="false"/>
    <row r="2741" customFormat="false" ht="15.75" hidden="false" customHeight="true" outlineLevel="0" collapsed="false"/>
    <row r="2742" customFormat="false" ht="15.75" hidden="false" customHeight="true" outlineLevel="0" collapsed="false"/>
    <row r="2743" customFormat="false" ht="15.75" hidden="false" customHeight="true" outlineLevel="0" collapsed="false"/>
    <row r="2744" customFormat="false" ht="15.75" hidden="false" customHeight="true" outlineLevel="0" collapsed="false"/>
    <row r="2745" customFormat="false" ht="15.75" hidden="false" customHeight="true" outlineLevel="0" collapsed="false"/>
    <row r="2746" customFormat="false" ht="15.75" hidden="false" customHeight="true" outlineLevel="0" collapsed="false"/>
    <row r="2747" customFormat="false" ht="15.75" hidden="false" customHeight="true" outlineLevel="0" collapsed="false"/>
    <row r="2748" customFormat="false" ht="15.75" hidden="false" customHeight="true" outlineLevel="0" collapsed="false"/>
    <row r="2749" customFormat="false" ht="15.75" hidden="false" customHeight="true" outlineLevel="0" collapsed="false"/>
    <row r="2750" customFormat="false" ht="15.75" hidden="false" customHeight="true" outlineLevel="0" collapsed="false"/>
    <row r="2751" customFormat="false" ht="15.75" hidden="false" customHeight="true" outlineLevel="0" collapsed="false"/>
    <row r="2752" customFormat="false" ht="15.75" hidden="false" customHeight="true" outlineLevel="0" collapsed="false"/>
    <row r="2753" customFormat="false" ht="15.75" hidden="false" customHeight="true" outlineLevel="0" collapsed="false"/>
    <row r="2754" customFormat="false" ht="15.75" hidden="false" customHeight="true" outlineLevel="0" collapsed="false"/>
    <row r="2755" customFormat="false" ht="15.75" hidden="false" customHeight="true" outlineLevel="0" collapsed="false"/>
    <row r="2756" customFormat="false" ht="15.75" hidden="false" customHeight="true" outlineLevel="0" collapsed="false"/>
    <row r="2757" customFormat="false" ht="15.75" hidden="false" customHeight="true" outlineLevel="0" collapsed="false"/>
    <row r="2758" customFormat="false" ht="15.75" hidden="false" customHeight="true" outlineLevel="0" collapsed="false"/>
    <row r="2759" customFormat="false" ht="15.75" hidden="false" customHeight="true" outlineLevel="0" collapsed="false"/>
    <row r="2760" customFormat="false" ht="15.75" hidden="false" customHeight="true" outlineLevel="0" collapsed="false"/>
    <row r="2761" customFormat="false" ht="15.75" hidden="false" customHeight="true" outlineLevel="0" collapsed="false"/>
    <row r="2762" customFormat="false" ht="15.75" hidden="false" customHeight="true" outlineLevel="0" collapsed="false"/>
    <row r="2763" customFormat="false" ht="15.75" hidden="false" customHeight="true" outlineLevel="0" collapsed="false"/>
    <row r="2764" customFormat="false" ht="15.75" hidden="false" customHeight="true" outlineLevel="0" collapsed="false"/>
    <row r="2765" customFormat="false" ht="15.75" hidden="false" customHeight="true" outlineLevel="0" collapsed="false"/>
    <row r="2766" customFormat="false" ht="15.75" hidden="false" customHeight="true" outlineLevel="0" collapsed="false"/>
    <row r="2767" customFormat="false" ht="15.75" hidden="false" customHeight="true" outlineLevel="0" collapsed="false"/>
    <row r="2768" customFormat="false" ht="15.75" hidden="false" customHeight="true" outlineLevel="0" collapsed="false"/>
    <row r="2769" customFormat="false" ht="15.75" hidden="false" customHeight="true" outlineLevel="0" collapsed="false"/>
    <row r="2770" customFormat="false" ht="15.75" hidden="false" customHeight="true" outlineLevel="0" collapsed="false"/>
    <row r="2771" customFormat="false" ht="15.75" hidden="false" customHeight="true" outlineLevel="0" collapsed="false"/>
    <row r="2772" customFormat="false" ht="15.75" hidden="false" customHeight="true" outlineLevel="0" collapsed="false"/>
    <row r="2773" customFormat="false" ht="15.75" hidden="false" customHeight="true" outlineLevel="0" collapsed="false"/>
    <row r="2774" customFormat="false" ht="15.75" hidden="false" customHeight="true" outlineLevel="0" collapsed="false"/>
    <row r="2775" customFormat="false" ht="15.75" hidden="false" customHeight="true" outlineLevel="0" collapsed="false"/>
    <row r="2776" customFormat="false" ht="15.75" hidden="false" customHeight="true" outlineLevel="0" collapsed="false"/>
    <row r="2777" customFormat="false" ht="15.75" hidden="false" customHeight="true" outlineLevel="0" collapsed="false"/>
    <row r="2778" customFormat="false" ht="15.75" hidden="false" customHeight="true" outlineLevel="0" collapsed="false"/>
    <row r="2779" customFormat="false" ht="15.75" hidden="false" customHeight="true" outlineLevel="0" collapsed="false"/>
    <row r="2780" customFormat="false" ht="15.75" hidden="false" customHeight="true" outlineLevel="0" collapsed="false"/>
    <row r="2781" customFormat="false" ht="15.75" hidden="false" customHeight="true" outlineLevel="0" collapsed="false"/>
    <row r="2782" customFormat="false" ht="15.75" hidden="false" customHeight="true" outlineLevel="0" collapsed="false"/>
    <row r="2783" customFormat="false" ht="15.75" hidden="false" customHeight="true" outlineLevel="0" collapsed="false"/>
    <row r="2784" customFormat="false" ht="15.75" hidden="false" customHeight="true" outlineLevel="0" collapsed="false"/>
    <row r="2785" customFormat="false" ht="15.75" hidden="false" customHeight="true" outlineLevel="0" collapsed="false"/>
    <row r="2786" customFormat="false" ht="15.75" hidden="false" customHeight="true" outlineLevel="0" collapsed="false"/>
    <row r="2787" customFormat="false" ht="15.75" hidden="false" customHeight="true" outlineLevel="0" collapsed="false"/>
    <row r="2788" customFormat="false" ht="15.75" hidden="false" customHeight="true" outlineLevel="0" collapsed="false"/>
    <row r="2789" customFormat="false" ht="15.75" hidden="false" customHeight="true" outlineLevel="0" collapsed="false"/>
    <row r="2790" customFormat="false" ht="15.75" hidden="false" customHeight="true" outlineLevel="0" collapsed="false"/>
    <row r="2791" customFormat="false" ht="15.75" hidden="false" customHeight="true" outlineLevel="0" collapsed="false"/>
    <row r="2792" customFormat="false" ht="15.75" hidden="false" customHeight="true" outlineLevel="0" collapsed="false"/>
    <row r="2793" customFormat="false" ht="15.75" hidden="false" customHeight="true" outlineLevel="0" collapsed="false"/>
    <row r="2794" customFormat="false" ht="15.75" hidden="false" customHeight="true" outlineLevel="0" collapsed="false"/>
    <row r="2795" customFormat="false" ht="15.75" hidden="false" customHeight="true" outlineLevel="0" collapsed="false"/>
    <row r="2796" customFormat="false" ht="15.75" hidden="false" customHeight="true" outlineLevel="0" collapsed="false"/>
    <row r="2797" customFormat="false" ht="15.75" hidden="false" customHeight="true" outlineLevel="0" collapsed="false"/>
    <row r="2798" customFormat="false" ht="15.75" hidden="false" customHeight="true" outlineLevel="0" collapsed="false"/>
    <row r="2799" customFormat="false" ht="15.75" hidden="false" customHeight="true" outlineLevel="0" collapsed="false"/>
    <row r="2800" customFormat="false" ht="15.75" hidden="false" customHeight="true" outlineLevel="0" collapsed="false"/>
    <row r="2801" customFormat="false" ht="15.75" hidden="false" customHeight="true" outlineLevel="0" collapsed="false"/>
    <row r="2802" customFormat="false" ht="15.75" hidden="false" customHeight="true" outlineLevel="0" collapsed="false"/>
    <row r="2803" customFormat="false" ht="15.75" hidden="false" customHeight="true" outlineLevel="0" collapsed="false"/>
    <row r="2804" customFormat="false" ht="15.75" hidden="false" customHeight="true" outlineLevel="0" collapsed="false"/>
    <row r="2805" customFormat="false" ht="15.75" hidden="false" customHeight="true" outlineLevel="0" collapsed="false"/>
    <row r="2806" customFormat="false" ht="15.75" hidden="false" customHeight="true" outlineLevel="0" collapsed="false"/>
    <row r="2807" customFormat="false" ht="15.75" hidden="false" customHeight="true" outlineLevel="0" collapsed="false"/>
    <row r="2808" customFormat="false" ht="15.75" hidden="false" customHeight="true" outlineLevel="0" collapsed="false"/>
    <row r="2809" customFormat="false" ht="15.75" hidden="false" customHeight="true" outlineLevel="0" collapsed="false"/>
    <row r="2810" customFormat="false" ht="15.75" hidden="false" customHeight="true" outlineLevel="0" collapsed="false"/>
    <row r="2811" customFormat="false" ht="15.75" hidden="false" customHeight="true" outlineLevel="0" collapsed="false"/>
    <row r="2812" customFormat="false" ht="15.75" hidden="false" customHeight="true" outlineLevel="0" collapsed="false"/>
    <row r="2813" customFormat="false" ht="15.75" hidden="false" customHeight="true" outlineLevel="0" collapsed="false"/>
    <row r="2814" customFormat="false" ht="15.75" hidden="false" customHeight="true" outlineLevel="0" collapsed="false"/>
    <row r="2815" customFormat="false" ht="15.75" hidden="false" customHeight="true" outlineLevel="0" collapsed="false"/>
    <row r="2816" customFormat="false" ht="15.75" hidden="false" customHeight="true" outlineLevel="0" collapsed="false"/>
    <row r="2817" customFormat="false" ht="15.75" hidden="false" customHeight="true" outlineLevel="0" collapsed="false"/>
    <row r="2818" customFormat="false" ht="15.75" hidden="false" customHeight="true" outlineLevel="0" collapsed="false"/>
    <row r="2819" customFormat="false" ht="15.75" hidden="false" customHeight="true" outlineLevel="0" collapsed="false"/>
    <row r="2820" customFormat="false" ht="15.75" hidden="false" customHeight="true" outlineLevel="0" collapsed="false"/>
    <row r="2821" customFormat="false" ht="15.75" hidden="false" customHeight="true" outlineLevel="0" collapsed="false"/>
    <row r="2822" customFormat="false" ht="15.75" hidden="false" customHeight="true" outlineLevel="0" collapsed="false"/>
    <row r="2823" customFormat="false" ht="15.75" hidden="false" customHeight="true" outlineLevel="0" collapsed="false"/>
    <row r="2824" customFormat="false" ht="15.75" hidden="false" customHeight="true" outlineLevel="0" collapsed="false"/>
    <row r="2825" customFormat="false" ht="15.75" hidden="false" customHeight="true" outlineLevel="0" collapsed="false"/>
    <row r="2826" customFormat="false" ht="15.75" hidden="false" customHeight="true" outlineLevel="0" collapsed="false"/>
    <row r="2827" customFormat="false" ht="15.75" hidden="false" customHeight="true" outlineLevel="0" collapsed="false"/>
    <row r="2828" customFormat="false" ht="15.75" hidden="false" customHeight="true" outlineLevel="0" collapsed="false"/>
    <row r="2829" customFormat="false" ht="15.75" hidden="false" customHeight="true" outlineLevel="0" collapsed="false"/>
    <row r="2830" customFormat="false" ht="15.75" hidden="false" customHeight="true" outlineLevel="0" collapsed="false"/>
    <row r="2831" customFormat="false" ht="15.75" hidden="false" customHeight="true" outlineLevel="0" collapsed="false"/>
    <row r="2832" customFormat="false" ht="15.75" hidden="false" customHeight="true" outlineLevel="0" collapsed="false"/>
    <row r="2833" customFormat="false" ht="15.75" hidden="false" customHeight="true" outlineLevel="0" collapsed="false"/>
    <row r="2834" customFormat="false" ht="15.75" hidden="false" customHeight="true" outlineLevel="0" collapsed="false"/>
    <row r="2835" customFormat="false" ht="15.75" hidden="false" customHeight="true" outlineLevel="0" collapsed="false"/>
    <row r="2836" customFormat="false" ht="15.75" hidden="false" customHeight="true" outlineLevel="0" collapsed="false"/>
    <row r="2837" customFormat="false" ht="15.75" hidden="false" customHeight="true" outlineLevel="0" collapsed="false"/>
    <row r="2838" customFormat="false" ht="15.75" hidden="false" customHeight="true" outlineLevel="0" collapsed="false"/>
    <row r="2839" customFormat="false" ht="15.75" hidden="false" customHeight="true" outlineLevel="0" collapsed="false"/>
    <row r="2840" customFormat="false" ht="15.75" hidden="false" customHeight="true" outlineLevel="0" collapsed="false"/>
    <row r="2841" customFormat="false" ht="15.75" hidden="false" customHeight="true" outlineLevel="0" collapsed="false"/>
    <row r="2842" customFormat="false" ht="15.75" hidden="false" customHeight="true" outlineLevel="0" collapsed="false"/>
    <row r="2843" customFormat="false" ht="15.75" hidden="false" customHeight="true" outlineLevel="0" collapsed="false"/>
    <row r="2844" customFormat="false" ht="15.75" hidden="false" customHeight="true" outlineLevel="0" collapsed="false"/>
    <row r="2845" customFormat="false" ht="15.75" hidden="false" customHeight="true" outlineLevel="0" collapsed="false"/>
    <row r="2846" customFormat="false" ht="15.75" hidden="false" customHeight="true" outlineLevel="0" collapsed="false"/>
    <row r="2847" customFormat="false" ht="15.75" hidden="false" customHeight="true" outlineLevel="0" collapsed="false"/>
    <row r="2848" customFormat="false" ht="15.75" hidden="false" customHeight="true" outlineLevel="0" collapsed="false"/>
    <row r="2849" customFormat="false" ht="15.75" hidden="false" customHeight="true" outlineLevel="0" collapsed="false"/>
    <row r="2850" customFormat="false" ht="15.75" hidden="false" customHeight="true" outlineLevel="0" collapsed="false"/>
    <row r="2851" customFormat="false" ht="15.75" hidden="false" customHeight="true" outlineLevel="0" collapsed="false"/>
    <row r="2852" customFormat="false" ht="15.75" hidden="false" customHeight="true" outlineLevel="0" collapsed="false"/>
    <row r="2853" customFormat="false" ht="15.75" hidden="false" customHeight="true" outlineLevel="0" collapsed="false"/>
    <row r="2854" customFormat="false" ht="15.75" hidden="false" customHeight="true" outlineLevel="0" collapsed="false"/>
    <row r="2855" customFormat="false" ht="15.75" hidden="false" customHeight="true" outlineLevel="0" collapsed="false"/>
    <row r="2856" customFormat="false" ht="15.75" hidden="false" customHeight="true" outlineLevel="0" collapsed="false"/>
    <row r="2857" customFormat="false" ht="15.75" hidden="false" customHeight="true" outlineLevel="0" collapsed="false"/>
    <row r="2858" customFormat="false" ht="15.75" hidden="false" customHeight="true" outlineLevel="0" collapsed="false"/>
    <row r="2859" customFormat="false" ht="15.75" hidden="false" customHeight="true" outlineLevel="0" collapsed="false"/>
    <row r="2860" customFormat="false" ht="15.75" hidden="false" customHeight="true" outlineLevel="0" collapsed="false"/>
    <row r="2861" customFormat="false" ht="15.75" hidden="false" customHeight="true" outlineLevel="0" collapsed="false"/>
    <row r="2862" customFormat="false" ht="15.75" hidden="false" customHeight="true" outlineLevel="0" collapsed="false"/>
    <row r="2863" customFormat="false" ht="15.75" hidden="false" customHeight="true" outlineLevel="0" collapsed="false"/>
    <row r="2864" customFormat="false" ht="15.75" hidden="false" customHeight="true" outlineLevel="0" collapsed="false"/>
    <row r="2865" customFormat="false" ht="15.75" hidden="false" customHeight="true" outlineLevel="0" collapsed="false"/>
    <row r="2866" customFormat="false" ht="15.75" hidden="false" customHeight="true" outlineLevel="0" collapsed="false"/>
    <row r="2867" customFormat="false" ht="15.75" hidden="false" customHeight="true" outlineLevel="0" collapsed="false"/>
    <row r="2868" customFormat="false" ht="15.75" hidden="false" customHeight="true" outlineLevel="0" collapsed="false"/>
    <row r="2869" customFormat="false" ht="15.75" hidden="false" customHeight="true" outlineLevel="0" collapsed="false"/>
    <row r="2870" customFormat="false" ht="15.75" hidden="false" customHeight="true" outlineLevel="0" collapsed="false"/>
    <row r="2871" customFormat="false" ht="15.75" hidden="false" customHeight="true" outlineLevel="0" collapsed="false"/>
    <row r="2872" customFormat="false" ht="15.75" hidden="false" customHeight="true" outlineLevel="0" collapsed="false"/>
    <row r="2873" customFormat="false" ht="15.75" hidden="false" customHeight="true" outlineLevel="0" collapsed="false"/>
    <row r="2874" customFormat="false" ht="15.75" hidden="false" customHeight="true" outlineLevel="0" collapsed="false"/>
    <row r="2875" customFormat="false" ht="15.75" hidden="false" customHeight="true" outlineLevel="0" collapsed="false"/>
    <row r="2876" customFormat="false" ht="15.75" hidden="false" customHeight="true" outlineLevel="0" collapsed="false"/>
    <row r="2877" customFormat="false" ht="15.75" hidden="false" customHeight="true" outlineLevel="0" collapsed="false"/>
    <row r="2878" customFormat="false" ht="15.75" hidden="false" customHeight="true" outlineLevel="0" collapsed="false"/>
    <row r="2879" customFormat="false" ht="15.75" hidden="false" customHeight="true" outlineLevel="0" collapsed="false"/>
    <row r="2880" customFormat="false" ht="15.75" hidden="false" customHeight="true" outlineLevel="0" collapsed="false"/>
    <row r="2881" customFormat="false" ht="15.75" hidden="false" customHeight="true" outlineLevel="0" collapsed="false"/>
    <row r="2882" customFormat="false" ht="15.75" hidden="false" customHeight="true" outlineLevel="0" collapsed="false"/>
    <row r="2883" customFormat="false" ht="15.75" hidden="false" customHeight="true" outlineLevel="0" collapsed="false"/>
    <row r="2884" customFormat="false" ht="15.75" hidden="false" customHeight="true" outlineLevel="0" collapsed="false"/>
    <row r="2885" customFormat="false" ht="15.75" hidden="false" customHeight="true" outlineLevel="0" collapsed="false"/>
    <row r="2886" customFormat="false" ht="15.75" hidden="false" customHeight="true" outlineLevel="0" collapsed="false"/>
    <row r="2887" customFormat="false" ht="15.75" hidden="false" customHeight="true" outlineLevel="0" collapsed="false"/>
    <row r="2888" customFormat="false" ht="15.75" hidden="false" customHeight="true" outlineLevel="0" collapsed="false"/>
    <row r="2889" customFormat="false" ht="15.75" hidden="false" customHeight="true" outlineLevel="0" collapsed="false"/>
    <row r="2890" customFormat="false" ht="15.75" hidden="false" customHeight="true" outlineLevel="0" collapsed="false"/>
    <row r="2891" customFormat="false" ht="15.75" hidden="false" customHeight="true" outlineLevel="0" collapsed="false"/>
    <row r="2892" customFormat="false" ht="15.75" hidden="false" customHeight="true" outlineLevel="0" collapsed="false"/>
    <row r="2893" customFormat="false" ht="15.75" hidden="false" customHeight="true" outlineLevel="0" collapsed="false"/>
    <row r="2894" customFormat="false" ht="15.75" hidden="false" customHeight="true" outlineLevel="0" collapsed="false"/>
    <row r="2895" customFormat="false" ht="15.75" hidden="false" customHeight="true" outlineLevel="0" collapsed="false"/>
    <row r="2896" customFormat="false" ht="15.75" hidden="false" customHeight="true" outlineLevel="0" collapsed="false"/>
    <row r="2897" customFormat="false" ht="15.75" hidden="false" customHeight="true" outlineLevel="0" collapsed="false"/>
    <row r="2898" customFormat="false" ht="15.75" hidden="false" customHeight="true" outlineLevel="0" collapsed="false"/>
    <row r="2899" customFormat="false" ht="15.75" hidden="false" customHeight="true" outlineLevel="0" collapsed="false"/>
    <row r="2900" customFormat="false" ht="15.75" hidden="false" customHeight="true" outlineLevel="0" collapsed="false"/>
    <row r="2901" customFormat="false" ht="15.75" hidden="false" customHeight="true" outlineLevel="0" collapsed="false"/>
    <row r="2902" customFormat="false" ht="15.75" hidden="false" customHeight="true" outlineLevel="0" collapsed="false"/>
    <row r="2903" customFormat="false" ht="15.75" hidden="false" customHeight="true" outlineLevel="0" collapsed="false"/>
    <row r="2904" customFormat="false" ht="15.75" hidden="false" customHeight="true" outlineLevel="0" collapsed="false"/>
    <row r="2905" customFormat="false" ht="15.75" hidden="false" customHeight="true" outlineLevel="0" collapsed="false"/>
    <row r="2906" customFormat="false" ht="15.75" hidden="false" customHeight="true" outlineLevel="0" collapsed="false"/>
    <row r="2907" customFormat="false" ht="15.75" hidden="false" customHeight="true" outlineLevel="0" collapsed="false"/>
    <row r="2908" customFormat="false" ht="15.75" hidden="false" customHeight="true" outlineLevel="0" collapsed="false"/>
    <row r="2909" customFormat="false" ht="15.75" hidden="false" customHeight="true" outlineLevel="0" collapsed="false"/>
    <row r="2910" customFormat="false" ht="15.75" hidden="false" customHeight="true" outlineLevel="0" collapsed="false"/>
    <row r="2911" customFormat="false" ht="15.75" hidden="false" customHeight="true" outlineLevel="0" collapsed="false"/>
    <row r="2912" customFormat="false" ht="15.75" hidden="false" customHeight="true" outlineLevel="0" collapsed="false"/>
    <row r="2913" customFormat="false" ht="15.75" hidden="false" customHeight="true" outlineLevel="0" collapsed="false"/>
    <row r="2914" customFormat="false" ht="15.75" hidden="false" customHeight="true" outlineLevel="0" collapsed="false"/>
    <row r="2915" customFormat="false" ht="15.75" hidden="false" customHeight="true" outlineLevel="0" collapsed="false"/>
    <row r="2916" customFormat="false" ht="15.75" hidden="false" customHeight="true" outlineLevel="0" collapsed="false"/>
    <row r="2917" customFormat="false" ht="15.75" hidden="false" customHeight="true" outlineLevel="0" collapsed="false"/>
    <row r="2918" customFormat="false" ht="15.75" hidden="false" customHeight="true" outlineLevel="0" collapsed="false"/>
    <row r="2919" customFormat="false" ht="15.75" hidden="false" customHeight="true" outlineLevel="0" collapsed="false"/>
    <row r="2920" customFormat="false" ht="15.75" hidden="false" customHeight="true" outlineLevel="0" collapsed="false"/>
    <row r="2921" customFormat="false" ht="15.75" hidden="false" customHeight="true" outlineLevel="0" collapsed="false"/>
    <row r="2922" customFormat="false" ht="15.75" hidden="false" customHeight="true" outlineLevel="0" collapsed="false"/>
    <row r="2923" customFormat="false" ht="15.75" hidden="false" customHeight="true" outlineLevel="0" collapsed="false"/>
    <row r="2924" customFormat="false" ht="15.75" hidden="false" customHeight="true" outlineLevel="0" collapsed="false"/>
    <row r="2925" customFormat="false" ht="15.75" hidden="false" customHeight="true" outlineLevel="0" collapsed="false"/>
    <row r="2926" customFormat="false" ht="15.75" hidden="false" customHeight="true" outlineLevel="0" collapsed="false"/>
    <row r="2927" customFormat="false" ht="15.75" hidden="false" customHeight="true" outlineLevel="0" collapsed="false"/>
    <row r="2928" customFormat="false" ht="15.75" hidden="false" customHeight="true" outlineLevel="0" collapsed="false"/>
    <row r="2929" customFormat="false" ht="15.75" hidden="false" customHeight="true" outlineLevel="0" collapsed="false"/>
    <row r="2930" customFormat="false" ht="15.75" hidden="false" customHeight="true" outlineLevel="0" collapsed="false"/>
    <row r="2931" customFormat="false" ht="15.75" hidden="false" customHeight="true" outlineLevel="0" collapsed="false"/>
    <row r="2932" customFormat="false" ht="15.75" hidden="false" customHeight="true" outlineLevel="0" collapsed="false"/>
    <row r="2933" customFormat="false" ht="15.75" hidden="false" customHeight="true" outlineLevel="0" collapsed="false"/>
    <row r="2934" customFormat="false" ht="15.75" hidden="false" customHeight="true" outlineLevel="0" collapsed="false"/>
    <row r="2935" customFormat="false" ht="15.75" hidden="false" customHeight="true" outlineLevel="0" collapsed="false"/>
    <row r="2936" customFormat="false" ht="15.75" hidden="false" customHeight="true" outlineLevel="0" collapsed="false"/>
    <row r="2937" customFormat="false" ht="15.75" hidden="false" customHeight="true" outlineLevel="0" collapsed="false"/>
    <row r="2938" customFormat="false" ht="15.75" hidden="false" customHeight="true" outlineLevel="0" collapsed="false"/>
    <row r="2939" customFormat="false" ht="15.75" hidden="false" customHeight="true" outlineLevel="0" collapsed="false"/>
    <row r="2940" customFormat="false" ht="15.75" hidden="false" customHeight="true" outlineLevel="0" collapsed="false"/>
    <row r="2941" customFormat="false" ht="15.75" hidden="false" customHeight="true" outlineLevel="0" collapsed="false"/>
    <row r="2942" customFormat="false" ht="15.75" hidden="false" customHeight="true" outlineLevel="0" collapsed="false"/>
    <row r="2943" customFormat="false" ht="15.75" hidden="false" customHeight="true" outlineLevel="0" collapsed="false"/>
    <row r="2944" customFormat="false" ht="15.75" hidden="false" customHeight="true" outlineLevel="0" collapsed="false"/>
    <row r="2945" customFormat="false" ht="15.75" hidden="false" customHeight="true" outlineLevel="0" collapsed="false"/>
    <row r="2946" customFormat="false" ht="15.75" hidden="false" customHeight="true" outlineLevel="0" collapsed="false"/>
    <row r="2947" customFormat="false" ht="15.75" hidden="false" customHeight="true" outlineLevel="0" collapsed="false"/>
    <row r="2948" customFormat="false" ht="15.75" hidden="false" customHeight="true" outlineLevel="0" collapsed="false"/>
    <row r="2949" customFormat="false" ht="15.75" hidden="false" customHeight="true" outlineLevel="0" collapsed="false"/>
    <row r="2950" customFormat="false" ht="15.75" hidden="false" customHeight="true" outlineLevel="0" collapsed="false"/>
    <row r="2951" customFormat="false" ht="15.75" hidden="false" customHeight="true" outlineLevel="0" collapsed="false"/>
    <row r="2952" customFormat="false" ht="15.75" hidden="false" customHeight="true" outlineLevel="0" collapsed="false"/>
    <row r="2953" customFormat="false" ht="15.75" hidden="false" customHeight="true" outlineLevel="0" collapsed="false"/>
    <row r="2954" customFormat="false" ht="15.75" hidden="false" customHeight="true" outlineLevel="0" collapsed="false"/>
    <row r="2955" customFormat="false" ht="15.75" hidden="false" customHeight="true" outlineLevel="0" collapsed="false"/>
    <row r="2956" customFormat="false" ht="15.75" hidden="false" customHeight="true" outlineLevel="0" collapsed="false"/>
    <row r="2957" customFormat="false" ht="15.75" hidden="false" customHeight="true" outlineLevel="0" collapsed="false"/>
    <row r="2958" customFormat="false" ht="15.75" hidden="false" customHeight="true" outlineLevel="0" collapsed="false"/>
    <row r="2959" customFormat="false" ht="15.75" hidden="false" customHeight="true" outlineLevel="0" collapsed="false"/>
    <row r="2960" customFormat="false" ht="15.75" hidden="false" customHeight="true" outlineLevel="0" collapsed="false"/>
    <row r="2961" customFormat="false" ht="15.75" hidden="false" customHeight="true" outlineLevel="0" collapsed="false"/>
    <row r="2962" customFormat="false" ht="15.75" hidden="false" customHeight="true" outlineLevel="0" collapsed="false"/>
    <row r="2963" customFormat="false" ht="15.75" hidden="false" customHeight="true" outlineLevel="0" collapsed="false"/>
    <row r="2964" customFormat="false" ht="15.75" hidden="false" customHeight="true" outlineLevel="0" collapsed="false"/>
    <row r="2965" customFormat="false" ht="15.75" hidden="false" customHeight="true" outlineLevel="0" collapsed="false"/>
    <row r="2966" customFormat="false" ht="15.75" hidden="false" customHeight="true" outlineLevel="0" collapsed="false"/>
    <row r="2967" customFormat="false" ht="15.75" hidden="false" customHeight="true" outlineLevel="0" collapsed="false"/>
    <row r="2968" customFormat="false" ht="15.75" hidden="false" customHeight="true" outlineLevel="0" collapsed="false"/>
    <row r="2969" customFormat="false" ht="15.75" hidden="false" customHeight="true" outlineLevel="0" collapsed="false"/>
    <row r="2970" customFormat="false" ht="15.75" hidden="false" customHeight="true" outlineLevel="0" collapsed="false"/>
    <row r="2971" customFormat="false" ht="15.75" hidden="false" customHeight="true" outlineLevel="0" collapsed="false"/>
    <row r="2972" customFormat="false" ht="15.75" hidden="false" customHeight="true" outlineLevel="0" collapsed="false"/>
    <row r="2973" customFormat="false" ht="15.75" hidden="false" customHeight="true" outlineLevel="0" collapsed="false"/>
    <row r="2974" customFormat="false" ht="15.75" hidden="false" customHeight="true" outlineLevel="0" collapsed="false"/>
    <row r="2975" customFormat="false" ht="15.75" hidden="false" customHeight="true" outlineLevel="0" collapsed="false"/>
    <row r="2976" customFormat="false" ht="15.75" hidden="false" customHeight="true" outlineLevel="0" collapsed="false"/>
    <row r="2977" customFormat="false" ht="15.75" hidden="false" customHeight="true" outlineLevel="0" collapsed="false"/>
    <row r="2978" customFormat="false" ht="15.75" hidden="false" customHeight="true" outlineLevel="0" collapsed="false"/>
    <row r="2979" customFormat="false" ht="15.75" hidden="false" customHeight="true" outlineLevel="0" collapsed="false"/>
    <row r="2980" customFormat="false" ht="15.75" hidden="false" customHeight="true" outlineLevel="0" collapsed="false"/>
    <row r="2981" customFormat="false" ht="15.75" hidden="false" customHeight="true" outlineLevel="0" collapsed="false"/>
    <row r="2982" customFormat="false" ht="15.75" hidden="false" customHeight="true" outlineLevel="0" collapsed="false"/>
    <row r="2983" customFormat="false" ht="15.75" hidden="false" customHeight="true" outlineLevel="0" collapsed="false"/>
    <row r="2984" customFormat="false" ht="15.75" hidden="false" customHeight="true" outlineLevel="0" collapsed="false"/>
    <row r="2985" customFormat="false" ht="15.75" hidden="false" customHeight="true" outlineLevel="0" collapsed="false"/>
    <row r="2986" customFormat="false" ht="15.75" hidden="false" customHeight="true" outlineLevel="0" collapsed="false"/>
    <row r="2987" customFormat="false" ht="15.75" hidden="false" customHeight="true" outlineLevel="0" collapsed="false"/>
    <row r="2988" customFormat="false" ht="15.75" hidden="false" customHeight="true" outlineLevel="0" collapsed="false"/>
    <row r="2989" customFormat="false" ht="15.75" hidden="false" customHeight="true" outlineLevel="0" collapsed="false"/>
    <row r="2990" customFormat="false" ht="15.75" hidden="false" customHeight="true" outlineLevel="0" collapsed="false"/>
    <row r="2991" customFormat="false" ht="15.75" hidden="false" customHeight="true" outlineLevel="0" collapsed="false"/>
    <row r="2992" customFormat="false" ht="15.75" hidden="false" customHeight="true" outlineLevel="0" collapsed="false"/>
    <row r="2993" customFormat="false" ht="15.75" hidden="false" customHeight="true" outlineLevel="0" collapsed="false"/>
    <row r="2994" customFormat="false" ht="15.75" hidden="false" customHeight="true" outlineLevel="0" collapsed="false"/>
    <row r="2995" customFormat="false" ht="15.75" hidden="false" customHeight="true" outlineLevel="0" collapsed="false"/>
    <row r="2996" customFormat="false" ht="15.75" hidden="false" customHeight="true" outlineLevel="0" collapsed="false"/>
    <row r="2997" customFormat="false" ht="15.75" hidden="false" customHeight="true" outlineLevel="0" collapsed="false"/>
    <row r="2998" customFormat="false" ht="15.75" hidden="false" customHeight="true" outlineLevel="0" collapsed="false"/>
    <row r="2999" customFormat="false" ht="15.75" hidden="false" customHeight="true" outlineLevel="0" collapsed="false"/>
    <row r="3000" customFormat="false" ht="15.75" hidden="false" customHeight="true" outlineLevel="0" collapsed="false"/>
    <row r="3001" customFormat="false" ht="15.75" hidden="false" customHeight="true" outlineLevel="0" collapsed="false"/>
    <row r="3002" customFormat="false" ht="15.75" hidden="false" customHeight="true" outlineLevel="0" collapsed="false"/>
    <row r="3003" customFormat="false" ht="15.75" hidden="false" customHeight="true" outlineLevel="0" collapsed="false"/>
    <row r="3004" customFormat="false" ht="15.75" hidden="false" customHeight="true" outlineLevel="0" collapsed="false"/>
    <row r="3005" customFormat="false" ht="15.75" hidden="false" customHeight="true" outlineLevel="0" collapsed="false"/>
    <row r="3006" customFormat="false" ht="15.75" hidden="false" customHeight="true" outlineLevel="0" collapsed="false"/>
    <row r="3007" customFormat="false" ht="15.75" hidden="false" customHeight="true" outlineLevel="0" collapsed="false"/>
    <row r="3008" customFormat="false" ht="15.75" hidden="false" customHeight="true" outlineLevel="0" collapsed="false"/>
    <row r="3009" customFormat="false" ht="15.75" hidden="false" customHeight="true" outlineLevel="0" collapsed="false"/>
    <row r="3010" customFormat="false" ht="15.75" hidden="false" customHeight="true" outlineLevel="0" collapsed="false"/>
    <row r="3011" customFormat="false" ht="15.75" hidden="false" customHeight="true" outlineLevel="0" collapsed="false"/>
    <row r="3012" customFormat="false" ht="15.75" hidden="false" customHeight="true" outlineLevel="0" collapsed="false"/>
    <row r="3013" customFormat="false" ht="15.75" hidden="false" customHeight="true" outlineLevel="0" collapsed="false"/>
    <row r="3014" customFormat="false" ht="15.75" hidden="false" customHeight="true" outlineLevel="0" collapsed="false"/>
    <row r="3015" customFormat="false" ht="15.75" hidden="false" customHeight="true" outlineLevel="0" collapsed="false"/>
    <row r="3016" customFormat="false" ht="15.75" hidden="false" customHeight="true" outlineLevel="0" collapsed="false"/>
    <row r="3017" customFormat="false" ht="15.75" hidden="false" customHeight="true" outlineLevel="0" collapsed="false"/>
    <row r="3018" customFormat="false" ht="15.75" hidden="false" customHeight="true" outlineLevel="0" collapsed="false"/>
    <row r="3019" customFormat="false" ht="15.75" hidden="false" customHeight="true" outlineLevel="0" collapsed="false"/>
    <row r="3020" customFormat="false" ht="15.75" hidden="false" customHeight="true" outlineLevel="0" collapsed="false"/>
    <row r="3021" customFormat="false" ht="15.75" hidden="false" customHeight="true" outlineLevel="0" collapsed="false"/>
    <row r="3022" customFormat="false" ht="15.75" hidden="false" customHeight="true" outlineLevel="0" collapsed="false"/>
    <row r="3023" customFormat="false" ht="15.75" hidden="false" customHeight="true" outlineLevel="0" collapsed="false"/>
    <row r="3024" customFormat="false" ht="15.75" hidden="false" customHeight="true" outlineLevel="0" collapsed="false"/>
    <row r="3025" customFormat="false" ht="15.75" hidden="false" customHeight="true" outlineLevel="0" collapsed="false"/>
    <row r="3026" customFormat="false" ht="15.75" hidden="false" customHeight="true" outlineLevel="0" collapsed="false"/>
    <row r="3027" customFormat="false" ht="15.75" hidden="false" customHeight="true" outlineLevel="0" collapsed="false"/>
    <row r="3028" customFormat="false" ht="15.75" hidden="false" customHeight="true" outlineLevel="0" collapsed="false"/>
    <row r="3029" customFormat="false" ht="15.75" hidden="false" customHeight="true" outlineLevel="0" collapsed="false"/>
    <row r="3030" customFormat="false" ht="15.75" hidden="false" customHeight="true" outlineLevel="0" collapsed="false"/>
    <row r="3031" customFormat="false" ht="15.75" hidden="false" customHeight="true" outlineLevel="0" collapsed="false"/>
    <row r="3032" customFormat="false" ht="15.75" hidden="false" customHeight="true" outlineLevel="0" collapsed="false"/>
    <row r="3033" customFormat="false" ht="15.75" hidden="false" customHeight="true" outlineLevel="0" collapsed="false"/>
    <row r="3034" customFormat="false" ht="15.75" hidden="false" customHeight="true" outlineLevel="0" collapsed="false"/>
    <row r="3035" customFormat="false" ht="15.75" hidden="false" customHeight="true" outlineLevel="0" collapsed="false"/>
    <row r="3036" customFormat="false" ht="15.75" hidden="false" customHeight="true" outlineLevel="0" collapsed="false"/>
    <row r="3037" customFormat="false" ht="15.75" hidden="false" customHeight="true" outlineLevel="0" collapsed="false"/>
    <row r="3038" customFormat="false" ht="15.75" hidden="false" customHeight="true" outlineLevel="0" collapsed="false"/>
    <row r="3039" customFormat="false" ht="15.75" hidden="false" customHeight="true" outlineLevel="0" collapsed="false"/>
    <row r="3040" customFormat="false" ht="15.75" hidden="false" customHeight="true" outlineLevel="0" collapsed="false"/>
    <row r="3041" customFormat="false" ht="15.75" hidden="false" customHeight="true" outlineLevel="0" collapsed="false"/>
    <row r="3042" customFormat="false" ht="15.75" hidden="false" customHeight="true" outlineLevel="0" collapsed="false"/>
    <row r="3043" customFormat="false" ht="15.75" hidden="false" customHeight="true" outlineLevel="0" collapsed="false"/>
    <row r="3044" customFormat="false" ht="15.75" hidden="false" customHeight="true" outlineLevel="0" collapsed="false"/>
    <row r="3045" customFormat="false" ht="15.75" hidden="false" customHeight="true" outlineLevel="0" collapsed="false"/>
    <row r="3046" customFormat="false" ht="15.75" hidden="false" customHeight="true" outlineLevel="0" collapsed="false"/>
    <row r="3047" customFormat="false" ht="15.75" hidden="false" customHeight="true" outlineLevel="0" collapsed="false"/>
    <row r="3048" customFormat="false" ht="15.75" hidden="false" customHeight="true" outlineLevel="0" collapsed="false"/>
    <row r="3049" customFormat="false" ht="15.75" hidden="false" customHeight="true" outlineLevel="0" collapsed="false"/>
    <row r="3050" customFormat="false" ht="15.75" hidden="false" customHeight="true" outlineLevel="0" collapsed="false"/>
    <row r="3051" customFormat="false" ht="15.75" hidden="false" customHeight="true" outlineLevel="0" collapsed="false"/>
    <row r="3052" customFormat="false" ht="15.75" hidden="false" customHeight="true" outlineLevel="0" collapsed="false"/>
    <row r="3053" customFormat="false" ht="15.75" hidden="false" customHeight="true" outlineLevel="0" collapsed="false"/>
    <row r="3054" customFormat="false" ht="15.75" hidden="false" customHeight="true" outlineLevel="0" collapsed="false"/>
    <row r="3055" customFormat="false" ht="15.75" hidden="false" customHeight="true" outlineLevel="0" collapsed="false"/>
    <row r="3056" customFormat="false" ht="15.75" hidden="false" customHeight="true" outlineLevel="0" collapsed="false"/>
    <row r="3057" customFormat="false" ht="15.75" hidden="false" customHeight="true" outlineLevel="0" collapsed="false"/>
    <row r="3058" customFormat="false" ht="15.75" hidden="false" customHeight="true" outlineLevel="0" collapsed="false"/>
    <row r="3059" customFormat="false" ht="15.75" hidden="false" customHeight="true" outlineLevel="0" collapsed="false"/>
    <row r="3060" customFormat="false" ht="15.75" hidden="false" customHeight="true" outlineLevel="0" collapsed="false"/>
    <row r="3061" customFormat="false" ht="15.75" hidden="false" customHeight="true" outlineLevel="0" collapsed="false"/>
    <row r="3062" customFormat="false" ht="15.75" hidden="false" customHeight="true" outlineLevel="0" collapsed="false"/>
    <row r="3063" customFormat="false" ht="15.75" hidden="false" customHeight="true" outlineLevel="0" collapsed="false"/>
    <row r="3064" customFormat="false" ht="15.75" hidden="false" customHeight="true" outlineLevel="0" collapsed="false"/>
    <row r="3065" customFormat="false" ht="15.75" hidden="false" customHeight="true" outlineLevel="0" collapsed="false"/>
    <row r="3066" customFormat="false" ht="15.75" hidden="false" customHeight="true" outlineLevel="0" collapsed="false"/>
    <row r="3067" customFormat="false" ht="15.75" hidden="false" customHeight="true" outlineLevel="0" collapsed="false"/>
    <row r="3068" customFormat="false" ht="15.75" hidden="false" customHeight="true" outlineLevel="0" collapsed="false"/>
    <row r="3069" customFormat="false" ht="15.75" hidden="false" customHeight="true" outlineLevel="0" collapsed="false"/>
    <row r="3070" customFormat="false" ht="15.75" hidden="false" customHeight="true" outlineLevel="0" collapsed="false"/>
    <row r="3071" customFormat="false" ht="15.75" hidden="false" customHeight="true" outlineLevel="0" collapsed="false"/>
    <row r="3072" customFormat="false" ht="15.75" hidden="false" customHeight="true" outlineLevel="0" collapsed="false"/>
    <row r="3073" customFormat="false" ht="15.75" hidden="false" customHeight="true" outlineLevel="0" collapsed="false"/>
    <row r="3074" customFormat="false" ht="15.75" hidden="false" customHeight="true" outlineLevel="0" collapsed="false"/>
    <row r="3075" customFormat="false" ht="15.75" hidden="false" customHeight="true" outlineLevel="0" collapsed="false"/>
    <row r="3076" customFormat="false" ht="15.75" hidden="false" customHeight="true" outlineLevel="0" collapsed="false"/>
    <row r="3077" customFormat="false" ht="15.75" hidden="false" customHeight="true" outlineLevel="0" collapsed="false"/>
    <row r="3078" customFormat="false" ht="15.75" hidden="false" customHeight="true" outlineLevel="0" collapsed="false"/>
    <row r="3079" customFormat="false" ht="15.75" hidden="false" customHeight="true" outlineLevel="0" collapsed="false"/>
    <row r="3080" customFormat="false" ht="15.75" hidden="false" customHeight="true" outlineLevel="0" collapsed="false"/>
    <row r="3081" customFormat="false" ht="15.75" hidden="false" customHeight="true" outlineLevel="0" collapsed="false"/>
    <row r="3082" customFormat="false" ht="15.75" hidden="false" customHeight="true" outlineLevel="0" collapsed="false"/>
    <row r="3083" customFormat="false" ht="15.75" hidden="false" customHeight="true" outlineLevel="0" collapsed="false"/>
    <row r="3084" customFormat="false" ht="15.75" hidden="false" customHeight="true" outlineLevel="0" collapsed="false"/>
    <row r="3085" customFormat="false" ht="15.75" hidden="false" customHeight="true" outlineLevel="0" collapsed="false"/>
    <row r="3086" customFormat="false" ht="15.75" hidden="false" customHeight="true" outlineLevel="0" collapsed="false"/>
    <row r="3087" customFormat="false" ht="15.75" hidden="false" customHeight="true" outlineLevel="0" collapsed="false"/>
    <row r="3088" customFormat="false" ht="15.75" hidden="false" customHeight="true" outlineLevel="0" collapsed="false"/>
    <row r="3089" customFormat="false" ht="15.75" hidden="false" customHeight="true" outlineLevel="0" collapsed="false"/>
    <row r="3090" customFormat="false" ht="15.75" hidden="false" customHeight="true" outlineLevel="0" collapsed="false"/>
    <row r="3091" customFormat="false" ht="15.75" hidden="false" customHeight="true" outlineLevel="0" collapsed="false"/>
    <row r="3092" customFormat="false" ht="15.75" hidden="false" customHeight="true" outlineLevel="0" collapsed="false"/>
    <row r="3093" customFormat="false" ht="15.75" hidden="false" customHeight="true" outlineLevel="0" collapsed="false"/>
    <row r="3094" customFormat="false" ht="15.75" hidden="false" customHeight="true" outlineLevel="0" collapsed="false"/>
    <row r="3095" customFormat="false" ht="15.75" hidden="false" customHeight="true" outlineLevel="0" collapsed="false"/>
    <row r="3096" customFormat="false" ht="15.75" hidden="false" customHeight="true" outlineLevel="0" collapsed="false"/>
    <row r="3097" customFormat="false" ht="15.75" hidden="false" customHeight="true" outlineLevel="0" collapsed="false"/>
    <row r="3098" customFormat="false" ht="15.75" hidden="false" customHeight="true" outlineLevel="0" collapsed="false"/>
    <row r="3099" customFormat="false" ht="15.75" hidden="false" customHeight="true" outlineLevel="0" collapsed="false"/>
    <row r="3100" customFormat="false" ht="15.75" hidden="false" customHeight="true" outlineLevel="0" collapsed="false"/>
    <row r="3101" customFormat="false" ht="15.75" hidden="false" customHeight="true" outlineLevel="0" collapsed="false"/>
    <row r="3102" customFormat="false" ht="15.75" hidden="false" customHeight="true" outlineLevel="0" collapsed="false"/>
    <row r="3103" customFormat="false" ht="15.75" hidden="false" customHeight="true" outlineLevel="0" collapsed="false"/>
    <row r="3104" customFormat="false" ht="15.75" hidden="false" customHeight="true" outlineLevel="0" collapsed="false"/>
    <row r="3105" customFormat="false" ht="15.75" hidden="false" customHeight="true" outlineLevel="0" collapsed="false"/>
    <row r="3106" customFormat="false" ht="15.75" hidden="false" customHeight="true" outlineLevel="0" collapsed="false"/>
    <row r="3107" customFormat="false" ht="15.75" hidden="false" customHeight="true" outlineLevel="0" collapsed="false"/>
    <row r="3108" customFormat="false" ht="15.75" hidden="false" customHeight="true" outlineLevel="0" collapsed="false"/>
    <row r="3109" customFormat="false" ht="15.75" hidden="false" customHeight="true" outlineLevel="0" collapsed="false"/>
    <row r="3110" customFormat="false" ht="15.75" hidden="false" customHeight="true" outlineLevel="0" collapsed="false"/>
    <row r="3111" customFormat="false" ht="15.75" hidden="false" customHeight="true" outlineLevel="0" collapsed="false"/>
    <row r="3112" customFormat="false" ht="15.75" hidden="false" customHeight="true" outlineLevel="0" collapsed="false"/>
    <row r="3113" customFormat="false" ht="15.75" hidden="false" customHeight="true" outlineLevel="0" collapsed="false"/>
    <row r="3114" customFormat="false" ht="15.75" hidden="false" customHeight="true" outlineLevel="0" collapsed="false"/>
    <row r="3115" customFormat="false" ht="15.75" hidden="false" customHeight="true" outlineLevel="0" collapsed="false"/>
    <row r="3116" customFormat="false" ht="15.75" hidden="false" customHeight="true" outlineLevel="0" collapsed="false"/>
    <row r="3117" customFormat="false" ht="15.75" hidden="false" customHeight="true" outlineLevel="0" collapsed="false"/>
    <row r="3118" customFormat="false" ht="15.75" hidden="false" customHeight="true" outlineLevel="0" collapsed="false"/>
    <row r="3119" customFormat="false" ht="15.75" hidden="false" customHeight="true" outlineLevel="0" collapsed="false"/>
    <row r="3120" customFormat="false" ht="15.75" hidden="false" customHeight="true" outlineLevel="0" collapsed="false"/>
    <row r="3121" customFormat="false" ht="15.75" hidden="false" customHeight="true" outlineLevel="0" collapsed="false"/>
    <row r="3122" customFormat="false" ht="15.75" hidden="false" customHeight="true" outlineLevel="0" collapsed="false"/>
    <row r="3123" customFormat="false" ht="15.75" hidden="false" customHeight="true" outlineLevel="0" collapsed="false"/>
    <row r="3124" customFormat="false" ht="15.75" hidden="false" customHeight="true" outlineLevel="0" collapsed="false"/>
    <row r="3125" customFormat="false" ht="15.75" hidden="false" customHeight="true" outlineLevel="0" collapsed="false"/>
    <row r="3126" customFormat="false" ht="15.75" hidden="false" customHeight="true" outlineLevel="0" collapsed="false"/>
    <row r="3127" customFormat="false" ht="15.75" hidden="false" customHeight="true" outlineLevel="0" collapsed="false"/>
    <row r="3128" customFormat="false" ht="15.75" hidden="false" customHeight="true" outlineLevel="0" collapsed="false"/>
    <row r="3129" customFormat="false" ht="15.75" hidden="false" customHeight="true" outlineLevel="0" collapsed="false"/>
    <row r="3130" customFormat="false" ht="15.75" hidden="false" customHeight="true" outlineLevel="0" collapsed="false"/>
    <row r="3131" customFormat="false" ht="15.75" hidden="false" customHeight="true" outlineLevel="0" collapsed="false"/>
    <row r="3132" customFormat="false" ht="15.75" hidden="false" customHeight="true" outlineLevel="0" collapsed="false"/>
    <row r="3133" customFormat="false" ht="15.75" hidden="false" customHeight="true" outlineLevel="0" collapsed="false"/>
    <row r="3134" customFormat="false" ht="15.75" hidden="false" customHeight="true" outlineLevel="0" collapsed="false"/>
    <row r="3135" customFormat="false" ht="15.75" hidden="false" customHeight="true" outlineLevel="0" collapsed="false"/>
    <row r="3136" customFormat="false" ht="15.75" hidden="false" customHeight="true" outlineLevel="0" collapsed="false"/>
    <row r="3137" customFormat="false" ht="15.75" hidden="false" customHeight="true" outlineLevel="0" collapsed="false"/>
  </sheetData>
  <dataValidations count="2">
    <dataValidation allowBlank="true" errorStyle="stop" operator="between" showDropDown="false" showErrorMessage="false" showInputMessage="false" sqref="E2:E42" type="list">
      <formula1>"Salary,Grocery,Maintenance,Inventory,Sales,Fixed Maintance,Staff Expenses,Bike Maintance,New Inventory,Excess Amount Return,Shortage,Cash Withdrawal"</formula1>
      <formula2>0</formula2>
    </dataValidation>
    <dataValidation allowBlank="true" errorStyle="stop" operator="between" showDropDown="false" showErrorMessage="true" showInputMessage="false" sqref="T8:T16" type="list">
      <formula1>Mode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2025-11-28T22:01:55Z</dcterms:modified>
  <cp:revision>1</cp:revision>
  <dc:subject/>
  <dc:title/>
</cp:coreProperties>
</file>